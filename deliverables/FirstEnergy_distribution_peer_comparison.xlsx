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9.xml.rels" ContentType="application/vnd.openxmlformats-package.relationships+xml"/>
  <Override PartName="/xl/worksheets/_rels/sheet5.xml.rels" ContentType="application/vnd.openxmlformats-package.relationships+xml"/>
  <Override PartName="/xl/worksheets/_rels/sheet3.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Notes" sheetId="1" state="visible" r:id="rId3"/>
    <sheet name="Group Results" sheetId="2" state="visible" r:id="rId4"/>
    <sheet name="Utility Results" sheetId="3" state="visible" r:id="rId5"/>
    <sheet name="Peer Medians" sheetId="4" state="visible" r:id="rId6"/>
    <sheet name="Reconciliation" sheetId="5" state="visible" r:id="rId7"/>
    <sheet name="Peer Groups" sheetId="6" state="visible" r:id="rId8"/>
    <sheet name="Category Map" sheetId="7" state="visible" r:id="rId9"/>
    <sheet name="Assumptions" sheetId="8" state="visible" r:id="rId10"/>
    <sheet name="Data" sheetId="9" state="visible" r:id="rId11"/>
  </sheets>
  <definedNames>
    <definedName function="false" hidden="true" localSheetId="8" name="_xlnm._FilterDatabase" vbProcedure="false">Data!$A$1:$N$1006</definedName>
    <definedName function="false" hidden="true" localSheetId="4" name="_xlnm._FilterDatabase" vbProcedure="false">Reconciliation!$A$5:$L$1010</definedName>
    <definedName function="false" hidden="true" localSheetId="2" name="_xlnm._FilterDatabase" vbProcedure="false">'Utility Results'!$A$3:$Q$1034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<sst xmlns="http://schemas.openxmlformats.org/spreadsheetml/2006/main" count="7507" uniqueCount="270">
  <si>
    <t xml:space="preserve">FirstEnergy distribution and customer costs compared with Northeast and Midwest peers, 2000–2025</t>
  </si>
  <si>
    <t xml:space="preserve">Prepared 2026-10-24.</t>
  </si>
  <si>
    <t xml:space="preserve">Measures</t>
  </si>
  <si>
    <t xml:space="preserve">Total costs = distribution O&amp;M (accounts 580–598) + customer costs (accounts 901–910) + distribution depreciation and amortization (p. 336). Capital additions to distribution plant (p. 204) are reported separately and are not added to total costs, because depreciation already reflects past capital. Sales expenses (911–916), A&amp;G, taxes and return on rate base are not included. Electric utility only. Nominal dollars unless the constant-dollar columns are filled.</t>
  </si>
  <si>
    <t xml:space="preserve">Per-customer values divide dollars by customers used (see data treatment 3). Group values divide group totals by group customers; Peer Medians gives the median of utility-level values.</t>
  </si>
  <si>
    <t xml:space="preserve">Sheets</t>
  </si>
  <si>
    <t xml:space="preserve">Group Results – FirstEnergy consolidated, Northeast peers and Midwest peers by year: dollars, per-customer values, constant-dollar columns, growth rates.</t>
  </si>
  <si>
    <t xml:space="preserve">Utility Results – each utility by year, with ranks among the 36 utilities. Includes a FirstEnergy Pennsylvania combined series (four Pennsylvania companies through 2023, FirstEnergy Pennsylvania Electric from 2024).</t>
  </si>
  <si>
    <t xml:space="preserve">Peer Medians – medians of utility-level per-customer values for each peer group, with FirstEnergy consolidated.</t>
  </si>
  <si>
    <t xml:space="preserve">Reconciliation – line items vs reported subtotals for every utility-year. Peer Groups – utilities, IDs and years. Category Map – accounts behind each measure. Assumptions – adjustable inputs. Data – inputs from PUDL.</t>
  </si>
  <si>
    <t xml:space="preserve">Source and version</t>
  </si>
  <si>
    <t xml:space="preserve">Catalyst Cooperative, Public Utility Data Liberation (PUDL), data release v2026.10.0 (datapackage created 2026-10-14T17:10:33Z; git SHA 90561c620a8292583c59b063fe7fd69f59035c24; DOI https://doi.org/10.5281/zenodo.22172378). Documentation: https://docs.catalyst.coop/pudl/en/v2026.10.0/data_sources/ferc1.html. License: CC-BY-4.0 (PUDL); underlying FERC and EIA data are U.S. Government works.</t>
  </si>
  <si>
    <t xml:space="preserve">Files from https://s3.us-west-2.amazonaws.com/pudl.catalyst.coop/v2026.10.0/ , downloaded 2026-10-24; SHA-256 hashes match the release’s pudl_parquet_datapackage.json:</t>
  </si>
  <si>
    <t xml:space="preserve">   core_ferc1__yearly_operating_expenses_sched320.parquet  ab3b33ae585652f5a784afa8fa4f1a63a760069b95b2a406a87be221da36800b</t>
  </si>
  <si>
    <t xml:space="preserve">   core_ferc1__yearly_depreciation_summary_sched336.parquet  feacae25fd95f9679674770462f3fb66e016f6805f86f16bb225784fbf0980a3</t>
  </si>
  <si>
    <t xml:space="preserve">   core_ferc1__yearly_plant_in_service_sched204.parquet  1f0b03cc12aa1ca12531c7b8efdad34c34cb09a1c1d01782eab8d77d09ba0922</t>
  </si>
  <si>
    <t xml:space="preserve">   core_ferc1__yearly_operating_revenues_sched300.parquet  c17edaad2a0f22f40263d40eaae07550ae570a95c082d343a589cfbe48f0cbad</t>
  </si>
  <si>
    <t xml:space="preserve">   core_eia861__yearly_sales.parquet  996d6ac640ab664272187711a45b5944cf3116cab882ca05749f93d4a74ae9fe  (EIA Form 861; 2001–2025 in PUDL)</t>
  </si>
  <si>
    <t xml:space="preserve">   core_pudl__assn_eia_pudl_utilities.parquet  1907b79291ee2ccf68201e4b8c7ee3d7af5458ff89e6ed1a93cddce13dfbc453</t>
  </si>
  <si>
    <t xml:space="preserve">   core_pudl__assn_ferc1_pudl_utilities.parquet  204d9de4e8a3299eae30e7c58f14e09a2b13597c9d2748dac96df6b274690e76</t>
  </si>
  <si>
    <t xml:space="preserve">   out_ferc1__yearly_rate_base.parquet  ccb899408adfc522b322690f70a2e536922a078c9b5c3f86a48bafcccef6e72d  (respondent names only)</t>
  </si>
  <si>
    <t xml:space="preserve">PUDL values are Catalyst’s standardized extraction of FERC Form 1 filings (Visual FoxPro data through 2020, XBRL from 2021) and EIA-861; they are not the filings as submitted.</t>
  </si>
  <si>
    <t xml:space="preserve">Data treatment</t>
  </si>
  <si>
    <t xml:space="preserve">1. O&amp;M uses line-item rows only (PUDL row_type_xbrl = reported_value), plus untyped energy-storage O&amp;M rows in 2021–2024; subtotal rows are excluded. Credit accounts 504, 522, 922 and 929 are entered as negative amounts (none falls in the measures here). Every included utility-year reconciles to its reported subtotals within 0.5% (Reconciliation sheet).</t>
  </si>
  <si>
    <t xml:space="preserve">2. Utility-years with no data in PUDL are omitted: Consumers Energy 2002, 2003, 2004. Group counts on Group Results show the number of utilities in each year.</t>
  </si>
  <si>
    <t xml:space="preserve">3. Customers: FERC Form 1 p. 300 average customers per month is used, except where it is below 95% (Assumptions sheet) of the EIA-861 count of bundled plus delivery-only customers; then the EIA-861 count is used. This replaces AES Ohio 2012–2020, where the Form 1 count is 21–50% below EIA-861 and appears to omit delivery-only customers, and Potomac Edison 2010 (12% below). EIA-861 is not in PUDL for 2000, and PUDL’s ID crosswalk does not link NSP-Wisconsin, PPL Electric Utilities or FirstEnergy Pennsylvania Electric (2024–2025) to EIA-861; those counts are used without the cross-check. Data column M shows the source used for each row.</t>
  </si>
  <si>
    <t xml:space="preserve">4. Customer declines present in both sources: Potomac Edison about 93,000 from 2009 to 2011; Interstate Power &amp; Light about 41,000 from 2014 to 2016. The causes are not established from these data.</t>
  </si>
  <si>
    <t xml:space="preserve">5. Depreciation sign: Baltimore Gas &amp; Electric 2006 reports negative depreciation in every plant function (total −$158.3 million, against $161.1 million in 2005 and $164.9 million in 2007); it is treated as a sign error and the positive amount is used. Public Service Electric &amp; Gas reports negative distribution depreciation in 2002 (−$4.2 million) and 2003 (−$40.8 million) while its other functions are positive; these are used as reported.</t>
  </si>
  <si>
    <t xml:space="preserve">6. FirstEnergy Pennsylvania: Metropolitan Edison, Pennsylvania Electric, Pennsylvania Power and West Penn Power file through 2023; FirstEnergy Pennsylvania Electric files from 2024 and records the combined companies’ distribution plant as transfers ($9,861 million in 2024), not additions.</t>
  </si>
  <si>
    <t xml:space="preserve">7. AEP Ohio is Ohio Power Company plus Columbus Southern Power Company through 2010. Interstate Power &amp; Light 2000–2001 is IES Utilities plus Interstate Power Company.</t>
  </si>
  <si>
    <t xml:space="preserve">8. Midwest peers: Madison Gas &amp; Electric 2006, excluded from the Midwest functional-share workbook because its A&amp;G line items do not reconcile, is included here because its distribution and customer accounts reconcile.</t>
  </si>
  <si>
    <t xml:space="preserve">Limits</t>
  </si>
  <si>
    <t xml:space="preserve">Capital additions are additions to plant in service, which differ from construction expenditures reported in financial statements. Storm costs that regulators allowed to be deferred may not appear in distribution O&amp;M in the year incurred. Per-customer values do not adjust for customer density or line miles, which these PUDL tables do not include. Jersey Central Power &amp; Light distribution and customer costs rise from $404 million (2011) to $610 million (2012); the cause is not established from these data.</t>
  </si>
  <si>
    <t xml:space="preserve">Calculation code</t>
  </si>
  <si>
    <t xml:space="preserve">download_pudl_fe.sh downloads the eight PUDL files above and checks their hashes; fe_dist.py builds the tables and prints checks (python fe_dist.py &lt;dir&gt; check); fe_workbook.py writes this workbook (python fe_workbook.py &lt;dir&gt; fe_dist.py &lt;output.xlsx&gt;). Requirements: Python 3, duckdb, openpyxl. Formulas were recalculated with LibreOffice before delivery.</t>
  </si>
  <si>
    <t xml:space="preserve">Formatting</t>
  </si>
  <si>
    <t xml:space="preserve">Blue text: input values from PUDL or typed labels. Black text: formulas referring only to the same sheet. Green text: formulas referring to another sheet. Yellow fill: adjustable inputs.</t>
  </si>
  <si>
    <t xml:space="preserve">Distribution and customer costs per customer: FirstEnergy (consolidated) and peer groups, 2000–2025</t>
  </si>
  <si>
    <t xml:space="preserve">Group totals divided by group customers (dollar-weighted). Nominal dollars; constant-dollar columns fill when the GDP price index is entered on the Assumptions sheet. Total costs = distribution O&amp;M + customer costs + distribution depreciation. Capital additions are shown separately.</t>
  </si>
  <si>
    <t xml:space="preserve">Year</t>
  </si>
  <si>
    <t xml:space="preserve">FirstEnergy: utilities</t>
  </si>
  <si>
    <t xml:space="preserve">FirstEnergy: customers</t>
  </si>
  <si>
    <t xml:space="preserve">FirstEnergy: Distribution O&amp;M ($mm)</t>
  </si>
  <si>
    <t xml:space="preserve">FirstEnergy: Customer costs ($mm)</t>
  </si>
  <si>
    <t xml:space="preserve">FirstEnergy: Depreciation ($mm)</t>
  </si>
  <si>
    <t xml:space="preserve">FirstEnergy: Total costs ($mm)</t>
  </si>
  <si>
    <t xml:space="preserve">FirstEnergy: Capital additions ($mm)</t>
  </si>
  <si>
    <t xml:space="preserve">FirstEnergy: Distribution O&amp;M per customer ($)</t>
  </si>
  <si>
    <t xml:space="preserve">FirstEnergy: Customer costs per customer ($)</t>
  </si>
  <si>
    <t xml:space="preserve">FirstEnergy: Depreciation per customer ($)</t>
  </si>
  <si>
    <t xml:space="preserve">FirstEnergy: Total costs per customer ($)</t>
  </si>
  <si>
    <t xml:space="preserve">FirstEnergy: Capital additions per customer ($)</t>
  </si>
  <si>
    <t xml:space="preserve">FirstEnergy: total costs per customer, constant $</t>
  </si>
  <si>
    <t xml:space="preserve">FirstEnergy: capital additions per customer, constant $</t>
  </si>
  <si>
    <t xml:space="preserve">Northeast peers: utilities</t>
  </si>
  <si>
    <t xml:space="preserve">Northeast peers: customers</t>
  </si>
  <si>
    <t xml:space="preserve">Northeast peers: Distribution O&amp;M ($mm)</t>
  </si>
  <si>
    <t xml:space="preserve">Northeast peers: Customer costs ($mm)</t>
  </si>
  <si>
    <t xml:space="preserve">Northeast peers: Depreciation ($mm)</t>
  </si>
  <si>
    <t xml:space="preserve">Northeast peers: Total costs ($mm)</t>
  </si>
  <si>
    <t xml:space="preserve">Northeast peers: Capital additions ($mm)</t>
  </si>
  <si>
    <t xml:space="preserve">Northeast peers: Distribution O&amp;M per customer ($)</t>
  </si>
  <si>
    <t xml:space="preserve">Northeast peers: Customer costs per customer ($)</t>
  </si>
  <si>
    <t xml:space="preserve">Northeast peers: Depreciation per customer ($)</t>
  </si>
  <si>
    <t xml:space="preserve">Northeast peers: Total costs per customer ($)</t>
  </si>
  <si>
    <t xml:space="preserve">Northeast peers: Capital additions per customer ($)</t>
  </si>
  <si>
    <t xml:space="preserve">Northeast peers: total costs per customer, constant $</t>
  </si>
  <si>
    <t xml:space="preserve">Northeast peers: capital additions per customer, constant $</t>
  </si>
  <si>
    <t xml:space="preserve">Midwest peers: utilities</t>
  </si>
  <si>
    <t xml:space="preserve">Midwest peers: customers</t>
  </si>
  <si>
    <t xml:space="preserve">Midwest peers: Distribution O&amp;M ($mm)</t>
  </si>
  <si>
    <t xml:space="preserve">Midwest peers: Customer costs ($mm)</t>
  </si>
  <si>
    <t xml:space="preserve">Midwest peers: Depreciation ($mm)</t>
  </si>
  <si>
    <t xml:space="preserve">Midwest peers: Total costs ($mm)</t>
  </si>
  <si>
    <t xml:space="preserve">Midwest peers: Capital additions ($mm)</t>
  </si>
  <si>
    <t xml:space="preserve">Midwest peers: Distribution O&amp;M per customer ($)</t>
  </si>
  <si>
    <t xml:space="preserve">Midwest peers: Customer costs per customer ($)</t>
  </si>
  <si>
    <t xml:space="preserve">Midwest peers: Depreciation per customer ($)</t>
  </si>
  <si>
    <t xml:space="preserve">Midwest peers: Total costs per customer ($)</t>
  </si>
  <si>
    <t xml:space="preserve">Midwest peers: Capital additions per customer ($)</t>
  </si>
  <si>
    <t xml:space="preserve">Midwest peers: total costs per customer, constant $</t>
  </si>
  <si>
    <t xml:space="preserve">Midwest peers: capital additions per customer, constant $</t>
  </si>
  <si>
    <t xml:space="preserve">Growth 2000–2025, compound annual rate (nominal):</t>
  </si>
  <si>
    <t xml:space="preserve">Capital additions 2000–2025 per average customer ($):</t>
  </si>
  <si>
    <t xml:space="preserve">Per-customer results by utility and year (nominal $). Ranks are among all 36 utilities reporting in the year (1 = highest); the FirstEnergy Pennsylvania combined series is not ranked.</t>
  </si>
  <si>
    <t xml:space="preserve">Utility</t>
  </si>
  <si>
    <t xml:space="preserve">Group</t>
  </si>
  <si>
    <t xml:space="preserve">State</t>
  </si>
  <si>
    <t xml:space="preserve">Customers used</t>
  </si>
  <si>
    <t xml:space="preserve">Distribution O&amp;M ($mm)</t>
  </si>
  <si>
    <t xml:space="preserve">Customer costs ($mm)</t>
  </si>
  <si>
    <t xml:space="preserve">Depreciation ($mm)</t>
  </si>
  <si>
    <t xml:space="preserve">Total costs ($mm)</t>
  </si>
  <si>
    <t xml:space="preserve">Capital additions ($mm)</t>
  </si>
  <si>
    <t xml:space="preserve">Distribution O&amp;M per customer ($)</t>
  </si>
  <si>
    <t xml:space="preserve">Customer costs per customer ($)</t>
  </si>
  <si>
    <t xml:space="preserve">Depreciation per customer ($)</t>
  </si>
  <si>
    <t xml:space="preserve">Total costs per customer ($)</t>
  </si>
  <si>
    <t xml:space="preserve">Capital additions per customer ($)</t>
  </si>
  <si>
    <t xml:space="preserve">Rank: total costs per customer</t>
  </si>
  <si>
    <t xml:space="preserve">Rank: capital additions per customer</t>
  </si>
  <si>
    <t xml:space="preserve">Cleveland Electric Illuminating</t>
  </si>
  <si>
    <t xml:space="preserve">FirstEnergy</t>
  </si>
  <si>
    <t xml:space="preserve">OH</t>
  </si>
  <si>
    <t xml:space="preserve">Jersey Central Power &amp; Light</t>
  </si>
  <si>
    <t xml:space="preserve">NJ</t>
  </si>
  <si>
    <t xml:space="preserve">Metropolitan Edison</t>
  </si>
  <si>
    <t xml:space="preserve">PA</t>
  </si>
  <si>
    <t xml:space="preserve">Monongahela Power</t>
  </si>
  <si>
    <t xml:space="preserve">WV</t>
  </si>
  <si>
    <t xml:space="preserve">Ohio Edison</t>
  </si>
  <si>
    <t xml:space="preserve">Pennsylvania Electric</t>
  </si>
  <si>
    <t xml:space="preserve">Pennsylvania Power</t>
  </si>
  <si>
    <t xml:space="preserve">Potomac Edison</t>
  </si>
  <si>
    <t xml:space="preserve">MD/WV</t>
  </si>
  <si>
    <t xml:space="preserve">Toledo Edison</t>
  </si>
  <si>
    <t xml:space="preserve">West Penn Power</t>
  </si>
  <si>
    <t xml:space="preserve">AEP Ohio (Ohio Power)</t>
  </si>
  <si>
    <t xml:space="preserve">Northeast peers</t>
  </si>
  <si>
    <t xml:space="preserve">AES Ohio (Dayton Power &amp; Light)</t>
  </si>
  <si>
    <t xml:space="preserve">Appalachian Power</t>
  </si>
  <si>
    <t xml:space="preserve">VA/WV</t>
  </si>
  <si>
    <t xml:space="preserve">Atlantic City Electric</t>
  </si>
  <si>
    <t xml:space="preserve">Baltimore Gas &amp; Electric</t>
  </si>
  <si>
    <t xml:space="preserve">MD</t>
  </si>
  <si>
    <t xml:space="preserve">Delmarva Power &amp; Light</t>
  </si>
  <si>
    <t xml:space="preserve">DE/MD</t>
  </si>
  <si>
    <t xml:space="preserve">Duke Energy Ohio</t>
  </si>
  <si>
    <t xml:space="preserve">Duquesne Light</t>
  </si>
  <si>
    <t xml:space="preserve">PECO Energy</t>
  </si>
  <si>
    <t xml:space="preserve">PPL Electric Utilities</t>
  </si>
  <si>
    <t xml:space="preserve">Potomac Electric Power (Pepco)</t>
  </si>
  <si>
    <t xml:space="preserve">DC/MD</t>
  </si>
  <si>
    <t xml:space="preserve">Public Service Electric &amp; Gas</t>
  </si>
  <si>
    <t xml:space="preserve">ALLETE (Minnesota Power)</t>
  </si>
  <si>
    <t xml:space="preserve">Midwest peers</t>
  </si>
  <si>
    <t xml:space="preserve">MN</t>
  </si>
  <si>
    <t xml:space="preserve">Consumers Energy</t>
  </si>
  <si>
    <t xml:space="preserve">MI</t>
  </si>
  <si>
    <t xml:space="preserve">DTE Electric</t>
  </si>
  <si>
    <t xml:space="preserve">Duke Energy Indiana</t>
  </si>
  <si>
    <t xml:space="preserve">IN</t>
  </si>
  <si>
    <t xml:space="preserve">Indiana Michigan Power</t>
  </si>
  <si>
    <t xml:space="preserve">IN/MI</t>
  </si>
  <si>
    <t xml:space="preserve">Indianapolis Power &amp; Light (AES Indiana)</t>
  </si>
  <si>
    <t xml:space="preserve">Interstate Power &amp; Light</t>
  </si>
  <si>
    <t xml:space="preserve">IA</t>
  </si>
  <si>
    <t xml:space="preserve">Madison Gas &amp; Electric</t>
  </si>
  <si>
    <t xml:space="preserve">WI</t>
  </si>
  <si>
    <t xml:space="preserve">MidAmerican Energy</t>
  </si>
  <si>
    <t xml:space="preserve">NIPSCO</t>
  </si>
  <si>
    <t xml:space="preserve">NSP-Minnesota</t>
  </si>
  <si>
    <t xml:space="preserve">NSP-Wisconsin</t>
  </si>
  <si>
    <t xml:space="preserve">Otter Tail Power</t>
  </si>
  <si>
    <t xml:space="preserve">Southern Indiana Gas &amp; Electric</t>
  </si>
  <si>
    <t xml:space="preserve">Wisconsin Electric Power</t>
  </si>
  <si>
    <t xml:space="preserve">Wisconsin Power &amp; Light</t>
  </si>
  <si>
    <t xml:space="preserve">Wisconsin Public Service</t>
  </si>
  <si>
    <t xml:space="preserve">FirstEnergy Pennsylvania Electric</t>
  </si>
  <si>
    <t xml:space="preserve">FirstEnergy Pennsylvania (combined series)</t>
  </si>
  <si>
    <t xml:space="preserve">FirstEnergy PA series</t>
  </si>
  <si>
    <t xml:space="preserve">Median of utility-level per-customer values, by peer group and year (nominal $), with FirstEnergy consolidated for comparison</t>
  </si>
  <si>
    <t xml:space="preserve">FirstEnergy consolidated: total costs per customer</t>
  </si>
  <si>
    <t xml:space="preserve">Northeast peers: median total costs per customer</t>
  </si>
  <si>
    <t xml:space="preserve">Midwest peers: median total costs per customer</t>
  </si>
  <si>
    <t xml:space="preserve">FirstEnergy consolidated: capital additions per customer</t>
  </si>
  <si>
    <t xml:space="preserve">Northeast peers: median capital additions per customer</t>
  </si>
  <si>
    <t xml:space="preserve">Midwest peers: median capital additions per customer</t>
  </si>
  <si>
    <t xml:space="preserve">Line items compared with reported subtotals, by utility and year</t>
  </si>
  <si>
    <t xml:space="preserve">Tolerance (share of reported subtotal):</t>
  </si>
  <si>
    <t xml:space="preserve">Distribution O&amp;M: accounts 580–598 line items vs PUDL subtotal distribution_expenses. Customer costs: accounts 901–910 line items vs customer_account_expenses + customer_service_and_information_expenses. Capital additions: distribution plant line items (p. 204) vs PUDL subtotal distribution_plant.</t>
  </si>
  <si>
    <t xml:space="preserve">Distribution O&amp;M line items ($mm)</t>
  </si>
  <si>
    <t xml:space="preserve">Reported distribution expenses ($mm)</t>
  </si>
  <si>
    <t xml:space="preserve">Difference (%)</t>
  </si>
  <si>
    <t xml:space="preserve">Customer cost line items ($mm)</t>
  </si>
  <si>
    <t xml:space="preserve">Reported customer accounts + service ($mm)</t>
  </si>
  <si>
    <t xml:space="preserve">Capital additions line items ($mm)</t>
  </si>
  <si>
    <t xml:space="preserve">Reported distribution plant additions ($mm)</t>
  </si>
  <si>
    <t xml:space="preserve">Status</t>
  </si>
  <si>
    <t xml:space="preserve">Utility-years outside tolerance:</t>
  </si>
  <si>
    <t xml:space="preserve">Utility-years with no reported subtotal:</t>
  </si>
  <si>
    <t xml:space="preserve">Utilities in the comparison</t>
  </si>
  <si>
    <t xml:space="preserve">Series name</t>
  </si>
  <si>
    <t xml:space="preserve">State(s)</t>
  </si>
  <si>
    <t xml:space="preserve">FERC respondent ID</t>
  </si>
  <si>
    <t xml:space="preserve">Years used</t>
  </si>
  <si>
    <t xml:space="preserve">PUDL respondent name</t>
  </si>
  <si>
    <t xml:space="preserve">2000–2025</t>
  </si>
  <si>
    <t xml:space="preserve">Cleveland Electric Illuminating Company, The</t>
  </si>
  <si>
    <t xml:space="preserve">2024–2025</t>
  </si>
  <si>
    <t xml:space="preserve">firstenergy pennsylvania electric company</t>
  </si>
  <si>
    <t xml:space="preserve">Jersey Central Power &amp; Light Company</t>
  </si>
  <si>
    <t xml:space="preserve">2000–2023</t>
  </si>
  <si>
    <t xml:space="preserve">Metropolitan Edison Company</t>
  </si>
  <si>
    <t xml:space="preserve">MONONGAHELA POWER COMPANY</t>
  </si>
  <si>
    <t xml:space="preserve">Ohio Edison Company</t>
  </si>
  <si>
    <t xml:space="preserve">Pennsylvania Electric Company</t>
  </si>
  <si>
    <t xml:space="preserve">Pennsylvania Power Company</t>
  </si>
  <si>
    <t xml:space="preserve">THE POTOMAC EDISON COMPANY</t>
  </si>
  <si>
    <t xml:space="preserve">Toledo Edison Company, The</t>
  </si>
  <si>
    <t xml:space="preserve">WEST PENN POWER COMPANY</t>
  </si>
  <si>
    <t xml:space="preserve">Ohio Power Company</t>
  </si>
  <si>
    <t xml:space="preserve">2000–2010</t>
  </si>
  <si>
    <t xml:space="preserve">Columbus Southern Power Company</t>
  </si>
  <si>
    <t xml:space="preserve">The Dayton Power and Light Company</t>
  </si>
  <si>
    <t xml:space="preserve">Appalachian Power Company</t>
  </si>
  <si>
    <t xml:space="preserve">Atlantic City Electric Company</t>
  </si>
  <si>
    <t xml:space="preserve">Baltimore Gas and Electric Company</t>
  </si>
  <si>
    <t xml:space="preserve">Delmarva Power &amp; Light Company</t>
  </si>
  <si>
    <t xml:space="preserve">Duke Energy Ohio, Inc.</t>
  </si>
  <si>
    <t xml:space="preserve">Duquesne Light Company</t>
  </si>
  <si>
    <t xml:space="preserve">PECO Energy Company</t>
  </si>
  <si>
    <t xml:space="preserve">PPL Electric Utilities Corporation</t>
  </si>
  <si>
    <t xml:space="preserve">Potomac Electric Power Company</t>
  </si>
  <si>
    <t xml:space="preserve">Public Service Electric and Gas Company</t>
  </si>
  <si>
    <t xml:space="preserve">ALLETE, Inc.</t>
  </si>
  <si>
    <t xml:space="preserve">Consumers Energy Company</t>
  </si>
  <si>
    <t xml:space="preserve">DTE Electric Company</t>
  </si>
  <si>
    <t xml:space="preserve">Duke Energy Indiana, Inc.</t>
  </si>
  <si>
    <t xml:space="preserve">Indiana Michigan Power Company</t>
  </si>
  <si>
    <t xml:space="preserve">Indianapolis Power &amp; Light Company</t>
  </si>
  <si>
    <t xml:space="preserve">2000–2001</t>
  </si>
  <si>
    <t xml:space="preserve">IES Utilities Inc.</t>
  </si>
  <si>
    <t xml:space="preserve">Interstate Power Company</t>
  </si>
  <si>
    <t xml:space="preserve">2002–2025</t>
  </si>
  <si>
    <t xml:space="preserve">Interstate Power and Light Company</t>
  </si>
  <si>
    <t xml:space="preserve">Madison Gas and Electric Company</t>
  </si>
  <si>
    <t xml:space="preserve">MidAmerican Energy Company</t>
  </si>
  <si>
    <t xml:space="preserve">Northern Indiana Public Service Company</t>
  </si>
  <si>
    <t xml:space="preserve">Northern States Power Company (Minnesota)</t>
  </si>
  <si>
    <t xml:space="preserve">Northern States Power Company (Wisconsin)</t>
  </si>
  <si>
    <t xml:space="preserve">Otter Tail Power Company</t>
  </si>
  <si>
    <t xml:space="preserve">Southern Indiana Gas and Electric Company</t>
  </si>
  <si>
    <t xml:space="preserve">Wisconsin Electric Power Company</t>
  </si>
  <si>
    <t xml:space="preserve">Wisconsin Power and Light Company</t>
  </si>
  <si>
    <t xml:space="preserve">Wisconsin Public Service Corporation</t>
  </si>
  <si>
    <t xml:space="preserve">Northeast peers: investor-owned distribution utilities in FirstEnergy’s states (Ohio, Pennsylvania, New Jersey, Maryland, West Virginia) and adjoining Delaware, the District of Columbia and Virginia, chosen 2026-10-24.</t>
  </si>
  <si>
    <t xml:space="preserve">Midwest peers: the 17-utility group from the Midwest functional-share workbook (selection criteria on that workbook’s Peer Group sheet).</t>
  </si>
  <si>
    <t xml:space="preserve">FirstEnergy consolidated: the FirstEnergy distribution companies listed, summed in every year (current companies, including years before FirstEnergy owned them). Transmission-only subsidiaries (American Transmission Systems, Mid-Atlantic Interstate Transmission, Trans-Allegheny Interstate Line) are excluded.</t>
  </si>
  <si>
    <t xml:space="preserve">Measure</t>
  </si>
  <si>
    <t xml:space="preserve">Source</t>
  </si>
  <si>
    <t xml:space="preserve">Accounts / rows</t>
  </si>
  <si>
    <t xml:space="preserve">Distribution O&amp;M</t>
  </si>
  <si>
    <t xml:space="preserve">FERC Form 1 pp. 320–323 (Schedule 320)</t>
  </si>
  <si>
    <t xml:space="preserve">Accounts 580–598 line items; energy-storage O&amp;M lines labeled distribution (2021–2025).</t>
  </si>
  <si>
    <t xml:space="preserve">Customer costs</t>
  </si>
  <si>
    <t xml:space="preserve">Accounts 901–905 (customer accounts) and 907–910 (customer service and information). Sales expenses 911–916 excluded.</t>
  </si>
  <si>
    <t xml:space="preserve">Distribution depreciation</t>
  </si>
  <si>
    <t xml:space="preserve">FERC Form 1 p. 336 Section A</t>
  </si>
  <si>
    <t xml:space="preserve">Plant function = distribution, row depreciation_amortization_total (accounts 403, 404, 405 and 403.1).</t>
  </si>
  <si>
    <t xml:space="preserve">Distribution capital additions</t>
  </si>
  <si>
    <t xml:space="preserve">FERC Form 1 pp. 204–207 (Schedule 204)</t>
  </si>
  <si>
    <t xml:space="preserve">Additions column, distribution plant line items (accounts 360–374 and energy storage equipment – distribution plant). Transfers, retirements and adjustments excluded.</t>
  </si>
  <si>
    <t xml:space="preserve">Distribution plant in service</t>
  </si>
  <si>
    <t xml:space="preserve">Ending balance, same line items. Shown on Data sheet for context.</t>
  </si>
  <si>
    <t xml:space="preserve">Customers</t>
  </si>
  <si>
    <t xml:space="preserve">FERC Form 1 p. 300; EIA-861</t>
  </si>
  <si>
    <t xml:space="preserve">p. 300 average number of customers per month, sales to ultimate consumers; EIA-861 customers, service types bundled and delivery, all states.</t>
  </si>
  <si>
    <t xml:space="preserve">Adjustable inputs</t>
  </si>
  <si>
    <t xml:space="preserve">Customer-count substitution threshold</t>
  </si>
  <si>
    <t xml:space="preserve">Where the FERC Form 1 p. 300 count is below this share of the EIA-861 count (bundled + delivery-only customers), the EIA-861 count is used.</t>
  </si>
  <si>
    <t xml:space="preserve">Constant-dollar base year</t>
  </si>
  <si>
    <t xml:space="preserve">Enter a base year and the GDP price index for each year (BEA NIPA Table 1.1.9, line 1, or FRED series A191RD3A086NBEA) to fill the constant-dollar columns on Group Results. The index was not retrieved for this workbook because the analysis environment’s network policy blocks BEA and FRED.</t>
  </si>
  <si>
    <t xml:space="preserve">GDP price index (enter)</t>
  </si>
  <si>
    <t xml:space="preserve">Distribution depreciation ($mm)</t>
  </si>
  <si>
    <t xml:space="preserve">Distribution capital additions ($mm)</t>
  </si>
  <si>
    <t xml:space="preserve">Distribution plant in service, year end ($mm)</t>
  </si>
  <si>
    <t xml:space="preserve">Customers: FERC Form 1 p. 300</t>
  </si>
  <si>
    <t xml:space="preserve">Customers: EIA-861 (bundled + delivery)</t>
  </si>
  <si>
    <t xml:space="preserve">Customer count source</t>
  </si>
</sst>
</file>

<file path=xl/styles.xml><?xml version="1.0" encoding="utf-8"?>
<styleSheet xmlns="http://schemas.openxmlformats.org/spreadsheetml/2006/main">
  <numFmts count="9">
    <numFmt numFmtId="164" formatCode="General"/>
    <numFmt numFmtId="165" formatCode="0"/>
    <numFmt numFmtId="166" formatCode="#,##0"/>
    <numFmt numFmtId="167" formatCode="#,##0.0;\(#,##0.0\);\-"/>
    <numFmt numFmtId="168" formatCode="\$#,##0;&quot;($&quot;#,##0\);\-"/>
    <numFmt numFmtId="169" formatCode="0.0%"/>
    <numFmt numFmtId="170" formatCode="0.00%;\(0.00%\);\-"/>
    <numFmt numFmtId="171" formatCode="0%"/>
    <numFmt numFmtId="172" formatCode="0.000"/>
  </numFmts>
  <fonts count="11">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sz val="11"/>
      <name val="Arial"/>
      <family val="0"/>
      <charset val="1"/>
    </font>
    <font>
      <b val="true"/>
      <sz val="11"/>
      <name val="Arial"/>
      <family val="0"/>
      <charset val="1"/>
    </font>
    <font>
      <i val="true"/>
      <sz val="11"/>
      <name val="Arial"/>
      <family val="0"/>
      <charset val="1"/>
    </font>
    <font>
      <b val="true"/>
      <sz val="11"/>
      <color rgb="FFFFFFFF"/>
      <name val="Arial"/>
      <family val="0"/>
      <charset val="1"/>
    </font>
    <font>
      <sz val="11"/>
      <color rgb="FF0000FF"/>
      <name val="Arial"/>
      <family val="0"/>
      <charset val="1"/>
    </font>
    <font>
      <sz val="11"/>
      <color rgb="FF008000"/>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center" vertical="center" textRotation="0" wrapText="tru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7" fontId="10" fillId="0" borderId="0" xfId="0" applyFont="true" applyBorder="false" applyAlignment="false" applyProtection="false">
      <alignment horizontal="general" vertical="bottom" textRotation="0" wrapText="false" indent="0" shrinkToFit="false"/>
      <protection locked="true" hidden="false"/>
    </xf>
    <xf numFmtId="168" fontId="5" fillId="0" borderId="0" xfId="0" applyFont="true" applyBorder="false" applyAlignment="false" applyProtection="false">
      <alignment horizontal="general" vertical="bottom" textRotation="0" wrapText="false" indent="0" shrinkToFit="false"/>
      <protection locked="true" hidden="false"/>
    </xf>
    <xf numFmtId="168" fontId="10"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9" fontId="5"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9" fontId="9" fillId="3"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7" fontId="9" fillId="0" borderId="0" xfId="0" applyFont="true" applyBorder="false" applyAlignment="false" applyProtection="false">
      <alignment horizontal="general" vertical="bottom" textRotation="0" wrapText="false" indent="0" shrinkToFit="false"/>
      <protection locked="true" hidden="false"/>
    </xf>
    <xf numFmtId="170"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71" fontId="9" fillId="3"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5" fontId="9" fillId="3" borderId="0" xfId="0" applyFont="true" applyBorder="false" applyAlignment="false" applyProtection="false">
      <alignment horizontal="general" vertical="bottom" textRotation="0" wrapText="false" indent="0" shrinkToFit="false"/>
      <protection locked="true" hidden="false"/>
    </xf>
    <xf numFmtId="172" fontId="9" fillId="3" borderId="0" xfId="0" applyFont="true" applyBorder="false" applyAlignment="fals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1F3864"/>
          <bgColor rgb="FF000000"/>
        </patternFill>
      </fill>
    </dxf>
    <dxf>
      <fill>
        <patternFill patternType="solid">
          <bgColor rgb="FF000000"/>
        </patternFill>
      </fill>
    </dxf>
    <dxf>
      <fill>
        <patternFill patternType="solid">
          <fgColor rgb="FF0000FF"/>
          <bgColor rgb="FF000000"/>
        </patternFill>
      </fill>
    </dxf>
    <dxf>
      <fill>
        <patternFill patternType="solid">
          <fgColor rgb="FFFFFFFF"/>
          <bgColor rgb="FF000000"/>
        </patternFill>
      </fill>
    </dxf>
    <dxf>
      <fill>
        <patternFill patternType="solid">
          <fgColor rgb="FF008000"/>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_rels/sheet9.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0"/>
  </cols>
  <sheetData>
    <row r="1" customFormat="false" ht="1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t="s">
        <v>2</v>
      </c>
    </row>
    <row r="4" customFormat="false" ht="52.2" hidden="false" customHeight="false" outlineLevel="0" collapsed="false">
      <c r="A4" s="2" t="s">
        <v>3</v>
      </c>
    </row>
    <row r="5" customFormat="false" ht="26.85" hidden="false" customHeight="false" outlineLevel="0" collapsed="false">
      <c r="A5" s="2" t="s">
        <v>4</v>
      </c>
    </row>
    <row r="6" customFormat="false" ht="15" hidden="false" customHeight="false" outlineLevel="0" collapsed="false">
      <c r="A6" s="3" t="s">
        <v>5</v>
      </c>
    </row>
    <row r="7" customFormat="false" ht="26.85" hidden="false" customHeight="false" outlineLevel="0" collapsed="false">
      <c r="A7" s="2" t="s">
        <v>6</v>
      </c>
    </row>
    <row r="8" customFormat="false" ht="26.85" hidden="false" customHeight="false" outlineLevel="0" collapsed="false">
      <c r="A8" s="2" t="s">
        <v>7</v>
      </c>
    </row>
    <row r="9" customFormat="false" ht="15" hidden="false" customHeight="false" outlineLevel="0" collapsed="false">
      <c r="A9" s="2" t="s">
        <v>8</v>
      </c>
    </row>
    <row r="10" customFormat="false" ht="26.85" hidden="false" customHeight="false" outlineLevel="0" collapsed="false">
      <c r="A10" s="2" t="s">
        <v>9</v>
      </c>
    </row>
    <row r="11" customFormat="false" ht="15" hidden="false" customHeight="false" outlineLevel="0" collapsed="false">
      <c r="A11" s="3" t="s">
        <v>10</v>
      </c>
    </row>
    <row r="12" customFormat="false" ht="52.2" hidden="false" customHeight="false" outlineLevel="0" collapsed="false">
      <c r="A12" s="2" t="s">
        <v>11</v>
      </c>
    </row>
    <row r="13" customFormat="false" ht="26.85" hidden="false" customHeight="false" outlineLevel="0" collapsed="false">
      <c r="A13" s="2" t="s">
        <v>12</v>
      </c>
    </row>
    <row r="14" customFormat="false" ht="15" hidden="false" customHeight="false" outlineLevel="0" collapsed="false">
      <c r="A14" s="2" t="s">
        <v>13</v>
      </c>
    </row>
    <row r="15" customFormat="false" ht="15" hidden="false" customHeight="false" outlineLevel="0" collapsed="false">
      <c r="A15" s="2" t="s">
        <v>14</v>
      </c>
    </row>
    <row r="16" customFormat="false" ht="15" hidden="false" customHeight="false" outlineLevel="0" collapsed="false">
      <c r="A16" s="2" t="s">
        <v>15</v>
      </c>
    </row>
    <row r="17" customFormat="false" ht="15" hidden="false" customHeight="false" outlineLevel="0" collapsed="false">
      <c r="A17" s="2" t="s">
        <v>16</v>
      </c>
    </row>
    <row r="18" customFormat="false" ht="26.85" hidden="false" customHeight="false" outlineLevel="0" collapsed="false">
      <c r="A18" s="2" t="s">
        <v>17</v>
      </c>
    </row>
    <row r="19" customFormat="false" ht="15" hidden="false" customHeight="false" outlineLevel="0" collapsed="false">
      <c r="A19" s="2" t="s">
        <v>18</v>
      </c>
    </row>
    <row r="20" customFormat="false" ht="15" hidden="false" customHeight="false" outlineLevel="0" collapsed="false">
      <c r="A20" s="2" t="s">
        <v>19</v>
      </c>
    </row>
    <row r="21" customFormat="false" ht="15" hidden="false" customHeight="false" outlineLevel="0" collapsed="false">
      <c r="A21" s="2" t="s">
        <v>20</v>
      </c>
    </row>
    <row r="22" customFormat="false" ht="26.85" hidden="false" customHeight="false" outlineLevel="0" collapsed="false">
      <c r="A22" s="2" t="s">
        <v>21</v>
      </c>
    </row>
    <row r="23" customFormat="false" ht="15" hidden="false" customHeight="false" outlineLevel="0" collapsed="false">
      <c r="A23" s="3" t="s">
        <v>22</v>
      </c>
    </row>
    <row r="24" customFormat="false" ht="39.55" hidden="false" customHeight="false" outlineLevel="0" collapsed="false">
      <c r="A24" s="2" t="s">
        <v>23</v>
      </c>
    </row>
    <row r="25" customFormat="false" ht="26.85" hidden="false" customHeight="false" outlineLevel="0" collapsed="false">
      <c r="A25" s="2" t="s">
        <v>24</v>
      </c>
    </row>
    <row r="26" customFormat="false" ht="64.9" hidden="false" customHeight="false" outlineLevel="0" collapsed="false">
      <c r="A26" s="2" t="s">
        <v>25</v>
      </c>
    </row>
    <row r="27" customFormat="false" ht="26.85" hidden="false" customHeight="false" outlineLevel="0" collapsed="false">
      <c r="A27" s="2" t="s">
        <v>26</v>
      </c>
    </row>
    <row r="28" customFormat="false" ht="39.55" hidden="false" customHeight="false" outlineLevel="0" collapsed="false">
      <c r="A28" s="2" t="s">
        <v>27</v>
      </c>
    </row>
    <row r="29" customFormat="false" ht="26.85" hidden="false" customHeight="false" outlineLevel="0" collapsed="false">
      <c r="A29" s="2" t="s">
        <v>28</v>
      </c>
    </row>
    <row r="30" customFormat="false" ht="26.85" hidden="false" customHeight="false" outlineLevel="0" collapsed="false">
      <c r="A30" s="2" t="s">
        <v>29</v>
      </c>
    </row>
    <row r="31" customFormat="false" ht="26.85" hidden="false" customHeight="false" outlineLevel="0" collapsed="false">
      <c r="A31" s="2" t="s">
        <v>30</v>
      </c>
    </row>
    <row r="32" customFormat="false" ht="15" hidden="false" customHeight="false" outlineLevel="0" collapsed="false">
      <c r="A32" s="3" t="s">
        <v>31</v>
      </c>
    </row>
    <row r="33" customFormat="false" ht="52.2" hidden="false" customHeight="false" outlineLevel="0" collapsed="false">
      <c r="A33" s="2" t="s">
        <v>32</v>
      </c>
    </row>
    <row r="34" customFormat="false" ht="15" hidden="false" customHeight="false" outlineLevel="0" collapsed="false">
      <c r="A34" s="3" t="s">
        <v>33</v>
      </c>
    </row>
    <row r="35" customFormat="false" ht="39.55" hidden="false" customHeight="false" outlineLevel="0" collapsed="false">
      <c r="A35" s="2" t="s">
        <v>34</v>
      </c>
    </row>
    <row r="36" customFormat="false" ht="15" hidden="false" customHeight="false" outlineLevel="0" collapsed="false">
      <c r="A36" s="3" t="s">
        <v>35</v>
      </c>
    </row>
    <row r="37" customFormat="false" ht="26.85" hidden="false" customHeight="false" outlineLevel="0" collapsed="false">
      <c r="A37" s="2"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Q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43" min="2" style="0" width="11"/>
  </cols>
  <sheetData>
    <row r="1" customFormat="false" ht="15" hidden="false" customHeight="false" outlineLevel="0" collapsed="false">
      <c r="A1" s="4" t="s">
        <v>37</v>
      </c>
    </row>
    <row r="2" customFormat="false" ht="15" hidden="false" customHeight="false" outlineLevel="0" collapsed="false">
      <c r="A2" s="5" t="s">
        <v>38</v>
      </c>
    </row>
    <row r="4" customFormat="false" ht="57.75" hidden="false" customHeight="true" outlineLevel="0" collapsed="false">
      <c r="A4" s="6" t="s">
        <v>39</v>
      </c>
      <c r="B4" s="6" t="s">
        <v>40</v>
      </c>
      <c r="C4" s="6" t="s">
        <v>41</v>
      </c>
      <c r="D4" s="6" t="s">
        <v>42</v>
      </c>
      <c r="E4" s="6" t="s">
        <v>43</v>
      </c>
      <c r="F4" s="6" t="s">
        <v>44</v>
      </c>
      <c r="G4" s="6" t="s">
        <v>45</v>
      </c>
      <c r="H4" s="6" t="s">
        <v>46</v>
      </c>
      <c r="I4" s="6" t="s">
        <v>47</v>
      </c>
      <c r="J4" s="6" t="s">
        <v>48</v>
      </c>
      <c r="K4" s="6" t="s">
        <v>49</v>
      </c>
      <c r="L4" s="6" t="s">
        <v>50</v>
      </c>
      <c r="M4" s="6" t="s">
        <v>51</v>
      </c>
      <c r="N4" s="6" t="s">
        <v>52</v>
      </c>
      <c r="O4" s="6" t="s">
        <v>53</v>
      </c>
      <c r="P4" s="6" t="s">
        <v>54</v>
      </c>
      <c r="Q4" s="6" t="s">
        <v>55</v>
      </c>
      <c r="R4" s="6" t="s">
        <v>56</v>
      </c>
      <c r="S4" s="6" t="s">
        <v>57</v>
      </c>
      <c r="T4" s="6" t="s">
        <v>58</v>
      </c>
      <c r="U4" s="6" t="s">
        <v>59</v>
      </c>
      <c r="V4" s="6" t="s">
        <v>60</v>
      </c>
      <c r="W4" s="6" t="s">
        <v>61</v>
      </c>
      <c r="X4" s="6" t="s">
        <v>62</v>
      </c>
      <c r="Y4" s="6" t="s">
        <v>63</v>
      </c>
      <c r="Z4" s="6" t="s">
        <v>64</v>
      </c>
      <c r="AA4" s="6" t="s">
        <v>65</v>
      </c>
      <c r="AB4" s="6" t="s">
        <v>66</v>
      </c>
      <c r="AC4" s="6" t="s">
        <v>67</v>
      </c>
      <c r="AD4" s="6" t="s">
        <v>68</v>
      </c>
      <c r="AE4" s="6" t="s">
        <v>69</v>
      </c>
      <c r="AF4" s="6" t="s">
        <v>70</v>
      </c>
      <c r="AG4" s="6" t="s">
        <v>71</v>
      </c>
      <c r="AH4" s="6" t="s">
        <v>72</v>
      </c>
      <c r="AI4" s="6" t="s">
        <v>73</v>
      </c>
      <c r="AJ4" s="6" t="s">
        <v>74</v>
      </c>
      <c r="AK4" s="6" t="s">
        <v>75</v>
      </c>
      <c r="AL4" s="6" t="s">
        <v>76</v>
      </c>
      <c r="AM4" s="6" t="s">
        <v>77</v>
      </c>
      <c r="AN4" s="6" t="s">
        <v>78</v>
      </c>
      <c r="AO4" s="6" t="s">
        <v>79</v>
      </c>
      <c r="AP4" s="6" t="s">
        <v>80</v>
      </c>
      <c r="AQ4" s="6" t="s">
        <v>81</v>
      </c>
    </row>
    <row r="5" customFormat="false" ht="15" hidden="false" customHeight="false" outlineLevel="0" collapsed="false">
      <c r="A5" s="7" t="n">
        <v>2000</v>
      </c>
      <c r="B5" s="8" t="n">
        <f aca="false">COUNTIFS(Data!$A$2:$A$1006,$A5,Data!$C$2:$C$1006,"FirstEnergy")</f>
        <v>10</v>
      </c>
      <c r="C5" s="9" t="n">
        <f aca="false">SUMIFS(Data!$L$2:$L$1006,Data!$A$2:$A$1006,$A5,Data!$C$2:$C$1006,"FirstEnergy")</f>
        <v>5717603</v>
      </c>
      <c r="D5" s="10" t="n">
        <f aca="false">SUMIFS(Data!$E$2:$E$1006,Data!$A$2:$A$1006,$A5,Data!$C$2:$C$1006,"FirstEnergy")</f>
        <v>452.550305</v>
      </c>
      <c r="E5" s="10" t="n">
        <f aca="false">SUMIFS(Data!$F$2:$F$1006,Data!$A$2:$A$1006,$A5,Data!$C$2:$C$1006,"FirstEnergy")</f>
        <v>417.40168</v>
      </c>
      <c r="F5" s="10" t="n">
        <f aca="false">SUMIFS(Data!$G$2:$G$1006,Data!$A$2:$A$1006,$A5,Data!$C$2:$C$1006,"FirstEnergy")</f>
        <v>313.469055</v>
      </c>
      <c r="G5" s="10" t="n">
        <f aca="false">SUMIFS(Data!$N$2:$N$1006,Data!$A$2:$A$1006,$A5,Data!$C$2:$C$1006,"FirstEnergy")</f>
        <v>1183.42104</v>
      </c>
      <c r="H5" s="10" t="n">
        <f aca="false">SUMIFS(Data!$H$2:$H$1006,Data!$A$2:$A$1006,$A5,Data!$C$2:$C$1006,"FirstEnergy")</f>
        <v>452.526068</v>
      </c>
      <c r="I5" s="11" t="n">
        <f aca="false">IFERROR(D5*1000000/C5,"")</f>
        <v>79.1503546153869</v>
      </c>
      <c r="J5" s="11" t="n">
        <f aca="false">IFERROR(E5*1000000/C5,"")</f>
        <v>73.0029139833598</v>
      </c>
      <c r="K5" s="11" t="n">
        <f aca="false">IFERROR(F5*1000000/C5,"")</f>
        <v>54.8252571925683</v>
      </c>
      <c r="L5" s="11" t="n">
        <f aca="false">IFERROR(G5*1000000/C5,"")</f>
        <v>206.978525791315</v>
      </c>
      <c r="M5" s="11" t="n">
        <f aca="false">IFERROR(H5*1000000/C5,"")</f>
        <v>79.1461156012406</v>
      </c>
      <c r="N5" s="12" t="str">
        <f aca="false">IFERROR(IF(OR(IFERROR(INDEX(Assumptions!$B$8:$B$33,MATCH(Assumptions!$B$5,Assumptions!$A$8:$A$33,0)),"")="",INDEX(Assumptions!$B$8:$B$33,MATCH($A5,Assumptions!$A$8:$A$33,0))=""),"",L5*IFERROR(INDEX(Assumptions!$B$8:$B$33,MATCH(Assumptions!$B$5,Assumptions!$A$8:$A$33,0)),"")/INDEX(Assumptions!$B$8:$B$33,MATCH($A5,Assumptions!$A$8:$A$33,0))),"")</f>
        <v/>
      </c>
      <c r="O5" s="12" t="str">
        <f aca="false">IFERROR(IF(OR(IFERROR(INDEX(Assumptions!$B$8:$B$33,MATCH(Assumptions!$B$5,Assumptions!$A$8:$A$33,0)),"")="",INDEX(Assumptions!$B$8:$B$33,MATCH($A5,Assumptions!$A$8:$A$33,0))=""),"",M5*IFERROR(INDEX(Assumptions!$B$8:$B$33,MATCH(Assumptions!$B$5,Assumptions!$A$8:$A$33,0)),"")/INDEX(Assumptions!$B$8:$B$33,MATCH($A5,Assumptions!$A$8:$A$33,0))),"")</f>
        <v/>
      </c>
      <c r="P5" s="8" t="n">
        <f aca="false">COUNTIFS(Data!$A$2:$A$1006,$A5,Data!$C$2:$C$1006,"Northeast peers")</f>
        <v>12</v>
      </c>
      <c r="Q5" s="9" t="n">
        <f aca="false">SUMIFS(Data!$L$2:$L$1006,Data!$A$2:$A$1006,$A5,Data!$C$2:$C$1006,"Northeast peers")</f>
        <v>11311217</v>
      </c>
      <c r="R5" s="10" t="n">
        <f aca="false">SUMIFS(Data!$E$2:$E$1006,Data!$A$2:$A$1006,$A5,Data!$C$2:$C$1006,"Northeast peers")</f>
        <v>848.186439</v>
      </c>
      <c r="S5" s="10" t="n">
        <f aca="false">SUMIFS(Data!$F$2:$F$1006,Data!$A$2:$A$1006,$A5,Data!$C$2:$C$1006,"Northeast peers")</f>
        <v>847.05251</v>
      </c>
      <c r="T5" s="10" t="n">
        <f aca="false">SUMIFS(Data!$G$2:$G$1006,Data!$A$2:$A$1006,$A5,Data!$C$2:$C$1006,"Northeast peers")</f>
        <v>644.198525</v>
      </c>
      <c r="U5" s="10" t="n">
        <f aca="false">SUMIFS(Data!$N$2:$N$1006,Data!$A$2:$A$1006,$A5,Data!$C$2:$C$1006,"Northeast peers")</f>
        <v>2339.437474</v>
      </c>
      <c r="V5" s="10" t="n">
        <f aca="false">SUMIFS(Data!$H$2:$H$1006,Data!$A$2:$A$1006,$A5,Data!$C$2:$C$1006,"Northeast peers")</f>
        <v>1052.0881</v>
      </c>
      <c r="W5" s="11" t="n">
        <f aca="false">IFERROR(R5*1000000/Q5,"")</f>
        <v>74.9863112872824</v>
      </c>
      <c r="X5" s="11" t="n">
        <f aca="false">IFERROR(S5*1000000/Q5,"")</f>
        <v>74.8860631000183</v>
      </c>
      <c r="Y5" s="11" t="n">
        <f aca="false">IFERROR(T5*1000000/Q5,"")</f>
        <v>56.952185162746</v>
      </c>
      <c r="Z5" s="11" t="n">
        <f aca="false">IFERROR(U5*1000000/Q5,"")</f>
        <v>206.824559550047</v>
      </c>
      <c r="AA5" s="11" t="n">
        <f aca="false">IFERROR(V5*1000000/Q5,"")</f>
        <v>93.0128119723987</v>
      </c>
      <c r="AB5" s="12" t="str">
        <f aca="false">IFERROR(IF(OR(IFERROR(INDEX(Assumptions!$B$8:$B$33,MATCH(Assumptions!$B$5,Assumptions!$A$8:$A$33,0)),"")="",INDEX(Assumptions!$B$8:$B$33,MATCH($A5,Assumptions!$A$8:$A$33,0))=""),"",Z5*IFERROR(INDEX(Assumptions!$B$8:$B$33,MATCH(Assumptions!$B$5,Assumptions!$A$8:$A$33,0)),"")/INDEX(Assumptions!$B$8:$B$33,MATCH($A5,Assumptions!$A$8:$A$33,0))),"")</f>
        <v/>
      </c>
      <c r="AC5" s="12" t="str">
        <f aca="false">IFERROR(IF(OR(IFERROR(INDEX(Assumptions!$B$8:$B$33,MATCH(Assumptions!$B$5,Assumptions!$A$8:$A$33,0)),"")="",INDEX(Assumptions!$B$8:$B$33,MATCH($A5,Assumptions!$A$8:$A$33,0))=""),"",AA5*IFERROR(INDEX(Assumptions!$B$8:$B$33,MATCH(Assumptions!$B$5,Assumptions!$A$8:$A$33,0)),"")/INDEX(Assumptions!$B$8:$B$33,MATCH($A5,Assumptions!$A$8:$A$33,0))),"")</f>
        <v/>
      </c>
      <c r="AD5" s="8" t="n">
        <f aca="false">COUNTIFS(Data!$A$2:$A$1006,$A5,Data!$C$2:$C$1006,"Midwest peers")</f>
        <v>17</v>
      </c>
      <c r="AE5" s="9" t="n">
        <f aca="false">SUMIFS(Data!$L$2:$L$1006,Data!$A$2:$A$1006,$A5,Data!$C$2:$C$1006,"Midwest peers")</f>
        <v>10911721</v>
      </c>
      <c r="AF5" s="10" t="n">
        <f aca="false">SUMIFS(Data!$E$2:$E$1006,Data!$A$2:$A$1006,$A5,Data!$C$2:$C$1006,"Midwest peers")</f>
        <v>784.857995</v>
      </c>
      <c r="AG5" s="10" t="n">
        <f aca="false">SUMIFS(Data!$F$2:$F$1006,Data!$A$2:$A$1006,$A5,Data!$C$2:$C$1006,"Midwest peers")</f>
        <v>641.811823</v>
      </c>
      <c r="AH5" s="10" t="n">
        <f aca="false">SUMIFS(Data!$G$2:$G$1006,Data!$A$2:$A$1006,$A5,Data!$C$2:$C$1006,"Midwest peers")</f>
        <v>732.838103</v>
      </c>
      <c r="AI5" s="10" t="n">
        <f aca="false">SUMIFS(Data!$N$2:$N$1006,Data!$A$2:$A$1006,$A5,Data!$C$2:$C$1006,"Midwest peers")</f>
        <v>2159.507921</v>
      </c>
      <c r="AJ5" s="10" t="n">
        <f aca="false">SUMIFS(Data!$H$2:$H$1006,Data!$A$2:$A$1006,$A5,Data!$C$2:$C$1006,"Midwest peers")</f>
        <v>1250.1348</v>
      </c>
      <c r="AK5" s="11" t="n">
        <f aca="false">IFERROR(AF5*1000000/AE5,"")</f>
        <v>71.9279749729672</v>
      </c>
      <c r="AL5" s="11" t="n">
        <f aca="false">IFERROR(AG5*1000000/AE5,"")</f>
        <v>58.8185697746487</v>
      </c>
      <c r="AM5" s="11" t="n">
        <f aca="false">IFERROR(AH5*1000000/AE5,"")</f>
        <v>67.1606342390902</v>
      </c>
      <c r="AN5" s="11" t="n">
        <f aca="false">IFERROR(AI5*1000000/AE5,"")</f>
        <v>197.907178986706</v>
      </c>
      <c r="AO5" s="11" t="n">
        <f aca="false">IFERROR(AJ5*1000000/AE5,"")</f>
        <v>114.568068593396</v>
      </c>
      <c r="AP5" s="12" t="str">
        <f aca="false">IFERROR(IF(OR(IFERROR(INDEX(Assumptions!$B$8:$B$33,MATCH(Assumptions!$B$5,Assumptions!$A$8:$A$33,0)),"")="",INDEX(Assumptions!$B$8:$B$33,MATCH($A5,Assumptions!$A$8:$A$33,0))=""),"",AN5*IFERROR(INDEX(Assumptions!$B$8:$B$33,MATCH(Assumptions!$B$5,Assumptions!$A$8:$A$33,0)),"")/INDEX(Assumptions!$B$8:$B$33,MATCH($A5,Assumptions!$A$8:$A$33,0))),"")</f>
        <v/>
      </c>
      <c r="AQ5" s="12" t="str">
        <f aca="false">IFERROR(IF(OR(IFERROR(INDEX(Assumptions!$B$8:$B$33,MATCH(Assumptions!$B$5,Assumptions!$A$8:$A$33,0)),"")="",INDEX(Assumptions!$B$8:$B$33,MATCH($A5,Assumptions!$A$8:$A$33,0))=""),"",AO5*IFERROR(INDEX(Assumptions!$B$8:$B$33,MATCH(Assumptions!$B$5,Assumptions!$A$8:$A$33,0)),"")/INDEX(Assumptions!$B$8:$B$33,MATCH($A5,Assumptions!$A$8:$A$33,0))),"")</f>
        <v/>
      </c>
    </row>
    <row r="6" customFormat="false" ht="15" hidden="false" customHeight="false" outlineLevel="0" collapsed="false">
      <c r="A6" s="7" t="n">
        <v>2001</v>
      </c>
      <c r="B6" s="8" t="n">
        <f aca="false">COUNTIFS(Data!$A$2:$A$1006,$A6,Data!$C$2:$C$1006,"FirstEnergy")</f>
        <v>10</v>
      </c>
      <c r="C6" s="9" t="n">
        <f aca="false">SUMIFS(Data!$L$2:$L$1006,Data!$A$2:$A$1006,$A6,Data!$C$2:$C$1006,"FirstEnergy")</f>
        <v>5786092</v>
      </c>
      <c r="D6" s="10" t="n">
        <f aca="false">SUMIFS(Data!$E$2:$E$1006,Data!$A$2:$A$1006,$A6,Data!$C$2:$C$1006,"FirstEnergy")</f>
        <v>452.728935</v>
      </c>
      <c r="E6" s="10" t="n">
        <f aca="false">SUMIFS(Data!$F$2:$F$1006,Data!$A$2:$A$1006,$A6,Data!$C$2:$C$1006,"FirstEnergy")</f>
        <v>296.75485</v>
      </c>
      <c r="F6" s="10" t="n">
        <f aca="false">SUMIFS(Data!$G$2:$G$1006,Data!$A$2:$A$1006,$A6,Data!$C$2:$C$1006,"FirstEnergy")</f>
        <v>327.165231</v>
      </c>
      <c r="G6" s="10" t="n">
        <f aca="false">SUMIFS(Data!$N$2:$N$1006,Data!$A$2:$A$1006,$A6,Data!$C$2:$C$1006,"FirstEnergy")</f>
        <v>1076.649016</v>
      </c>
      <c r="H6" s="10" t="n">
        <f aca="false">SUMIFS(Data!$H$2:$H$1006,Data!$A$2:$A$1006,$A6,Data!$C$2:$C$1006,"FirstEnergy")</f>
        <v>442.532233</v>
      </c>
      <c r="I6" s="11" t="n">
        <f aca="false">IFERROR(D6*1000000/C6,"")</f>
        <v>78.244337456093</v>
      </c>
      <c r="J6" s="11" t="n">
        <f aca="false">IFERROR(E6*1000000/C6,"")</f>
        <v>51.28761347037</v>
      </c>
      <c r="K6" s="11" t="n">
        <f aca="false">IFERROR(F6*1000000/C6,"")</f>
        <v>56.5433855873705</v>
      </c>
      <c r="L6" s="11" t="n">
        <f aca="false">IFERROR(G6*1000000/C6,"")</f>
        <v>186.075336513834</v>
      </c>
      <c r="M6" s="11" t="n">
        <f aca="false">IFERROR(H6*1000000/C6,"")</f>
        <v>76.4820595662841</v>
      </c>
      <c r="N6" s="12" t="str">
        <f aca="false">IFERROR(IF(OR(IFERROR(INDEX(Assumptions!$B$8:$B$33,MATCH(Assumptions!$B$5,Assumptions!$A$8:$A$33,0)),"")="",INDEX(Assumptions!$B$8:$B$33,MATCH($A6,Assumptions!$A$8:$A$33,0))=""),"",L6*IFERROR(INDEX(Assumptions!$B$8:$B$33,MATCH(Assumptions!$B$5,Assumptions!$A$8:$A$33,0)),"")/INDEX(Assumptions!$B$8:$B$33,MATCH($A6,Assumptions!$A$8:$A$33,0))),"")</f>
        <v/>
      </c>
      <c r="O6" s="12" t="str">
        <f aca="false">IFERROR(IF(OR(IFERROR(INDEX(Assumptions!$B$8:$B$33,MATCH(Assumptions!$B$5,Assumptions!$A$8:$A$33,0)),"")="",INDEX(Assumptions!$B$8:$B$33,MATCH($A6,Assumptions!$A$8:$A$33,0))=""),"",M6*IFERROR(INDEX(Assumptions!$B$8:$B$33,MATCH(Assumptions!$B$5,Assumptions!$A$8:$A$33,0)),"")/INDEX(Assumptions!$B$8:$B$33,MATCH($A6,Assumptions!$A$8:$A$33,0))),"")</f>
        <v/>
      </c>
      <c r="P6" s="8" t="n">
        <f aca="false">COUNTIFS(Data!$A$2:$A$1006,$A6,Data!$C$2:$C$1006,"Northeast peers")</f>
        <v>12</v>
      </c>
      <c r="Q6" s="9" t="n">
        <f aca="false">SUMIFS(Data!$L$2:$L$1006,Data!$A$2:$A$1006,$A6,Data!$C$2:$C$1006,"Northeast peers")</f>
        <v>11714513</v>
      </c>
      <c r="R6" s="10" t="n">
        <f aca="false">SUMIFS(Data!$E$2:$E$1006,Data!$A$2:$A$1006,$A6,Data!$C$2:$C$1006,"Northeast peers")</f>
        <v>969.738545</v>
      </c>
      <c r="S6" s="10" t="n">
        <f aca="false">SUMIFS(Data!$F$2:$F$1006,Data!$A$2:$A$1006,$A6,Data!$C$2:$C$1006,"Northeast peers")</f>
        <v>836.00108</v>
      </c>
      <c r="T6" s="10" t="n">
        <f aca="false">SUMIFS(Data!$G$2:$G$1006,Data!$A$2:$A$1006,$A6,Data!$C$2:$C$1006,"Northeast peers")</f>
        <v>660.323426</v>
      </c>
      <c r="U6" s="10" t="n">
        <f aca="false">SUMIFS(Data!$N$2:$N$1006,Data!$A$2:$A$1006,$A6,Data!$C$2:$C$1006,"Northeast peers")</f>
        <v>2466.063051</v>
      </c>
      <c r="V6" s="10" t="n">
        <f aca="false">SUMIFS(Data!$H$2:$H$1006,Data!$A$2:$A$1006,$A6,Data!$C$2:$C$1006,"Northeast peers")</f>
        <v>1187.389342</v>
      </c>
      <c r="W6" s="11" t="n">
        <f aca="false">IFERROR(R6*1000000/Q6,"")</f>
        <v>82.7809525671276</v>
      </c>
      <c r="X6" s="11" t="n">
        <f aca="false">IFERROR(S6*1000000/Q6,"")</f>
        <v>71.3645612071112</v>
      </c>
      <c r="Y6" s="11" t="n">
        <f aca="false">IFERROR(T6*1000000/Q6,"")</f>
        <v>56.3679792749387</v>
      </c>
      <c r="Z6" s="11" t="n">
        <f aca="false">IFERROR(U6*1000000/Q6,"")</f>
        <v>210.513493049178</v>
      </c>
      <c r="AA6" s="11" t="n">
        <f aca="false">IFERROR(V6*1000000/Q6,"")</f>
        <v>101.360538163217</v>
      </c>
      <c r="AB6" s="12" t="str">
        <f aca="false">IFERROR(IF(OR(IFERROR(INDEX(Assumptions!$B$8:$B$33,MATCH(Assumptions!$B$5,Assumptions!$A$8:$A$33,0)),"")="",INDEX(Assumptions!$B$8:$B$33,MATCH($A6,Assumptions!$A$8:$A$33,0))=""),"",Z6*IFERROR(INDEX(Assumptions!$B$8:$B$33,MATCH(Assumptions!$B$5,Assumptions!$A$8:$A$33,0)),"")/INDEX(Assumptions!$B$8:$B$33,MATCH($A6,Assumptions!$A$8:$A$33,0))),"")</f>
        <v/>
      </c>
      <c r="AC6" s="12" t="str">
        <f aca="false">IFERROR(IF(OR(IFERROR(INDEX(Assumptions!$B$8:$B$33,MATCH(Assumptions!$B$5,Assumptions!$A$8:$A$33,0)),"")="",INDEX(Assumptions!$B$8:$B$33,MATCH($A6,Assumptions!$A$8:$A$33,0))=""),"",AA6*IFERROR(INDEX(Assumptions!$B$8:$B$33,MATCH(Assumptions!$B$5,Assumptions!$A$8:$A$33,0)),"")/INDEX(Assumptions!$B$8:$B$33,MATCH($A6,Assumptions!$A$8:$A$33,0))),"")</f>
        <v/>
      </c>
      <c r="AD6" s="8" t="n">
        <f aca="false">COUNTIFS(Data!$A$2:$A$1006,$A6,Data!$C$2:$C$1006,"Midwest peers")</f>
        <v>17</v>
      </c>
      <c r="AE6" s="9" t="n">
        <f aca="false">SUMIFS(Data!$L$2:$L$1006,Data!$A$2:$A$1006,$A6,Data!$C$2:$C$1006,"Midwest peers")</f>
        <v>11041374</v>
      </c>
      <c r="AF6" s="10" t="n">
        <f aca="false">SUMIFS(Data!$E$2:$E$1006,Data!$A$2:$A$1006,$A6,Data!$C$2:$C$1006,"Midwest peers")</f>
        <v>803.543973</v>
      </c>
      <c r="AG6" s="10" t="n">
        <f aca="false">SUMIFS(Data!$F$2:$F$1006,Data!$A$2:$A$1006,$A6,Data!$C$2:$C$1006,"Midwest peers")</f>
        <v>678.327593</v>
      </c>
      <c r="AH6" s="10" t="n">
        <f aca="false">SUMIFS(Data!$G$2:$G$1006,Data!$A$2:$A$1006,$A6,Data!$C$2:$C$1006,"Midwest peers")</f>
        <v>763.992082</v>
      </c>
      <c r="AI6" s="10" t="n">
        <f aca="false">SUMIFS(Data!$N$2:$N$1006,Data!$A$2:$A$1006,$A6,Data!$C$2:$C$1006,"Midwest peers")</f>
        <v>2245.863648</v>
      </c>
      <c r="AJ6" s="10" t="n">
        <f aca="false">SUMIFS(Data!$H$2:$H$1006,Data!$A$2:$A$1006,$A6,Data!$C$2:$C$1006,"Midwest peers")</f>
        <v>1238.946906</v>
      </c>
      <c r="AK6" s="11" t="n">
        <f aca="false">IFERROR(AF6*1000000/AE6,"")</f>
        <v>72.775722749723</v>
      </c>
      <c r="AL6" s="11" t="n">
        <f aca="false">IFERROR(AG6*1000000/AE6,"")</f>
        <v>61.4350707620265</v>
      </c>
      <c r="AM6" s="11" t="n">
        <f aca="false">IFERROR(AH6*1000000/AE6,"")</f>
        <v>69.193569749562</v>
      </c>
      <c r="AN6" s="11" t="n">
        <f aca="false">IFERROR(AI6*1000000/AE6,"")</f>
        <v>203.404363261312</v>
      </c>
      <c r="AO6" s="11" t="n">
        <f aca="false">IFERROR(AJ6*1000000/AE6,"")</f>
        <v>112.209486428048</v>
      </c>
      <c r="AP6" s="12" t="str">
        <f aca="false">IFERROR(IF(OR(IFERROR(INDEX(Assumptions!$B$8:$B$33,MATCH(Assumptions!$B$5,Assumptions!$A$8:$A$33,0)),"")="",INDEX(Assumptions!$B$8:$B$33,MATCH($A6,Assumptions!$A$8:$A$33,0))=""),"",AN6*IFERROR(INDEX(Assumptions!$B$8:$B$33,MATCH(Assumptions!$B$5,Assumptions!$A$8:$A$33,0)),"")/INDEX(Assumptions!$B$8:$B$33,MATCH($A6,Assumptions!$A$8:$A$33,0))),"")</f>
        <v/>
      </c>
      <c r="AQ6" s="12" t="str">
        <f aca="false">IFERROR(IF(OR(IFERROR(INDEX(Assumptions!$B$8:$B$33,MATCH(Assumptions!$B$5,Assumptions!$A$8:$A$33,0)),"")="",INDEX(Assumptions!$B$8:$B$33,MATCH($A6,Assumptions!$A$8:$A$33,0))=""),"",AO6*IFERROR(INDEX(Assumptions!$B$8:$B$33,MATCH(Assumptions!$B$5,Assumptions!$A$8:$A$33,0)),"")/INDEX(Assumptions!$B$8:$B$33,MATCH($A6,Assumptions!$A$8:$A$33,0))),"")</f>
        <v/>
      </c>
    </row>
    <row r="7" customFormat="false" ht="15" hidden="false" customHeight="false" outlineLevel="0" collapsed="false">
      <c r="A7" s="7" t="n">
        <v>2002</v>
      </c>
      <c r="B7" s="8" t="n">
        <f aca="false">COUNTIFS(Data!$A$2:$A$1006,$A7,Data!$C$2:$C$1006,"FirstEnergy")</f>
        <v>10</v>
      </c>
      <c r="C7" s="9" t="n">
        <f aca="false">SUMIFS(Data!$L$2:$L$1006,Data!$A$2:$A$1006,$A7,Data!$C$2:$C$1006,"FirstEnergy")</f>
        <v>5849398</v>
      </c>
      <c r="D7" s="10" t="n">
        <f aca="false">SUMIFS(Data!$E$2:$E$1006,Data!$A$2:$A$1006,$A7,Data!$C$2:$C$1006,"FirstEnergy")</f>
        <v>445.091639</v>
      </c>
      <c r="E7" s="10" t="n">
        <f aca="false">SUMIFS(Data!$F$2:$F$1006,Data!$A$2:$A$1006,$A7,Data!$C$2:$C$1006,"FirstEnergy")</f>
        <v>256.53968</v>
      </c>
      <c r="F7" s="10" t="n">
        <f aca="false">SUMIFS(Data!$G$2:$G$1006,Data!$A$2:$A$1006,$A7,Data!$C$2:$C$1006,"FirstEnergy")</f>
        <v>325.166678</v>
      </c>
      <c r="G7" s="10" t="n">
        <f aca="false">SUMIFS(Data!$N$2:$N$1006,Data!$A$2:$A$1006,$A7,Data!$C$2:$C$1006,"FirstEnergy")</f>
        <v>1026.797997</v>
      </c>
      <c r="H7" s="10" t="n">
        <f aca="false">SUMIFS(Data!$H$2:$H$1006,Data!$A$2:$A$1006,$A7,Data!$C$2:$C$1006,"FirstEnergy")</f>
        <v>410.868246</v>
      </c>
      <c r="I7" s="11" t="n">
        <f aca="false">IFERROR(D7*1000000/C7,"")</f>
        <v>76.0918711634941</v>
      </c>
      <c r="J7" s="11" t="n">
        <f aca="false">IFERROR(E7*1000000/C7,"")</f>
        <v>43.8574499461312</v>
      </c>
      <c r="K7" s="11" t="n">
        <f aca="false">IFERROR(F7*1000000/C7,"")</f>
        <v>55.5897680410873</v>
      </c>
      <c r="L7" s="11" t="n">
        <f aca="false">IFERROR(G7*1000000/C7,"")</f>
        <v>175.539089150713</v>
      </c>
      <c r="M7" s="11" t="n">
        <f aca="false">IFERROR(H7*1000000/C7,"")</f>
        <v>70.2411164362555</v>
      </c>
      <c r="N7" s="12" t="str">
        <f aca="false">IFERROR(IF(OR(IFERROR(INDEX(Assumptions!$B$8:$B$33,MATCH(Assumptions!$B$5,Assumptions!$A$8:$A$33,0)),"")="",INDEX(Assumptions!$B$8:$B$33,MATCH($A7,Assumptions!$A$8:$A$33,0))=""),"",L7*IFERROR(INDEX(Assumptions!$B$8:$B$33,MATCH(Assumptions!$B$5,Assumptions!$A$8:$A$33,0)),"")/INDEX(Assumptions!$B$8:$B$33,MATCH($A7,Assumptions!$A$8:$A$33,0))),"")</f>
        <v/>
      </c>
      <c r="O7" s="12" t="str">
        <f aca="false">IFERROR(IF(OR(IFERROR(INDEX(Assumptions!$B$8:$B$33,MATCH(Assumptions!$B$5,Assumptions!$A$8:$A$33,0)),"")="",INDEX(Assumptions!$B$8:$B$33,MATCH($A7,Assumptions!$A$8:$A$33,0))=""),"",M7*IFERROR(INDEX(Assumptions!$B$8:$B$33,MATCH(Assumptions!$B$5,Assumptions!$A$8:$A$33,0)),"")/INDEX(Assumptions!$B$8:$B$33,MATCH($A7,Assumptions!$A$8:$A$33,0))),"")</f>
        <v/>
      </c>
      <c r="P7" s="8" t="n">
        <f aca="false">COUNTIFS(Data!$A$2:$A$1006,$A7,Data!$C$2:$C$1006,"Northeast peers")</f>
        <v>12</v>
      </c>
      <c r="Q7" s="9" t="n">
        <f aca="false">SUMIFS(Data!$L$2:$L$1006,Data!$A$2:$A$1006,$A7,Data!$C$2:$C$1006,"Northeast peers")</f>
        <v>11803407</v>
      </c>
      <c r="R7" s="10" t="n">
        <f aca="false">SUMIFS(Data!$E$2:$E$1006,Data!$A$2:$A$1006,$A7,Data!$C$2:$C$1006,"Northeast peers")</f>
        <v>875.253736</v>
      </c>
      <c r="S7" s="10" t="n">
        <f aca="false">SUMIFS(Data!$F$2:$F$1006,Data!$A$2:$A$1006,$A7,Data!$C$2:$C$1006,"Northeast peers")</f>
        <v>812.632646</v>
      </c>
      <c r="T7" s="10" t="n">
        <f aca="false">SUMIFS(Data!$G$2:$G$1006,Data!$A$2:$A$1006,$A7,Data!$C$2:$C$1006,"Northeast peers")</f>
        <v>663.275847</v>
      </c>
      <c r="U7" s="10" t="n">
        <f aca="false">SUMIFS(Data!$N$2:$N$1006,Data!$A$2:$A$1006,$A7,Data!$C$2:$C$1006,"Northeast peers")</f>
        <v>2351.162229</v>
      </c>
      <c r="V7" s="10" t="n">
        <f aca="false">SUMIFS(Data!$H$2:$H$1006,Data!$A$2:$A$1006,$A7,Data!$C$2:$C$1006,"Northeast peers")</f>
        <v>1221.433669</v>
      </c>
      <c r="W7" s="11" t="n">
        <f aca="false">IFERROR(R7*1000000/Q7,"")</f>
        <v>74.1526354212813</v>
      </c>
      <c r="X7" s="11" t="n">
        <f aca="false">IFERROR(S7*1000000/Q7,"")</f>
        <v>68.847295191973</v>
      </c>
      <c r="Y7" s="11" t="n">
        <f aca="false">IFERROR(T7*1000000/Q7,"")</f>
        <v>56.1935928329846</v>
      </c>
      <c r="Z7" s="11" t="n">
        <f aca="false">IFERROR(U7*1000000/Q7,"")</f>
        <v>199.193523446239</v>
      </c>
      <c r="AA7" s="11" t="n">
        <f aca="false">IFERROR(V7*1000000/Q7,"")</f>
        <v>103.481449805128</v>
      </c>
      <c r="AB7" s="12" t="str">
        <f aca="false">IFERROR(IF(OR(IFERROR(INDEX(Assumptions!$B$8:$B$33,MATCH(Assumptions!$B$5,Assumptions!$A$8:$A$33,0)),"")="",INDEX(Assumptions!$B$8:$B$33,MATCH($A7,Assumptions!$A$8:$A$33,0))=""),"",Z7*IFERROR(INDEX(Assumptions!$B$8:$B$33,MATCH(Assumptions!$B$5,Assumptions!$A$8:$A$33,0)),"")/INDEX(Assumptions!$B$8:$B$33,MATCH($A7,Assumptions!$A$8:$A$33,0))),"")</f>
        <v/>
      </c>
      <c r="AC7" s="12" t="str">
        <f aca="false">IFERROR(IF(OR(IFERROR(INDEX(Assumptions!$B$8:$B$33,MATCH(Assumptions!$B$5,Assumptions!$A$8:$A$33,0)),"")="",INDEX(Assumptions!$B$8:$B$33,MATCH($A7,Assumptions!$A$8:$A$33,0))=""),"",AA7*IFERROR(INDEX(Assumptions!$B$8:$B$33,MATCH(Assumptions!$B$5,Assumptions!$A$8:$A$33,0)),"")/INDEX(Assumptions!$B$8:$B$33,MATCH($A7,Assumptions!$A$8:$A$33,0))),"")</f>
        <v/>
      </c>
      <c r="AD7" s="8" t="n">
        <f aca="false">COUNTIFS(Data!$A$2:$A$1006,$A7,Data!$C$2:$C$1006,"Midwest peers")</f>
        <v>16</v>
      </c>
      <c r="AE7" s="9" t="n">
        <f aca="false">SUMIFS(Data!$L$2:$L$1006,Data!$A$2:$A$1006,$A7,Data!$C$2:$C$1006,"Midwest peers")</f>
        <v>9450554</v>
      </c>
      <c r="AF7" s="10" t="n">
        <f aca="false">SUMIFS(Data!$E$2:$E$1006,Data!$A$2:$A$1006,$A7,Data!$C$2:$C$1006,"Midwest peers")</f>
        <v>696.739205</v>
      </c>
      <c r="AG7" s="10" t="n">
        <f aca="false">SUMIFS(Data!$F$2:$F$1006,Data!$A$2:$A$1006,$A7,Data!$C$2:$C$1006,"Midwest peers")</f>
        <v>656.578873</v>
      </c>
      <c r="AH7" s="10" t="n">
        <f aca="false">SUMIFS(Data!$G$2:$G$1006,Data!$A$2:$A$1006,$A7,Data!$C$2:$C$1006,"Midwest peers")</f>
        <v>687.41818</v>
      </c>
      <c r="AI7" s="10" t="n">
        <f aca="false">SUMIFS(Data!$N$2:$N$1006,Data!$A$2:$A$1006,$A7,Data!$C$2:$C$1006,"Midwest peers")</f>
        <v>2040.736258</v>
      </c>
      <c r="AJ7" s="10" t="n">
        <f aca="false">SUMIFS(Data!$H$2:$H$1006,Data!$A$2:$A$1006,$A7,Data!$C$2:$C$1006,"Midwest peers")</f>
        <v>1073.915496</v>
      </c>
      <c r="AK7" s="11" t="n">
        <f aca="false">IFERROR(AF7*1000000/AE7,"")</f>
        <v>73.7246943406704</v>
      </c>
      <c r="AL7" s="11" t="n">
        <f aca="false">IFERROR(AG7*1000000/AE7,"")</f>
        <v>69.4751728840447</v>
      </c>
      <c r="AM7" s="11" t="n">
        <f aca="false">IFERROR(AH7*1000000/AE7,"")</f>
        <v>72.7384003096538</v>
      </c>
      <c r="AN7" s="11" t="n">
        <f aca="false">IFERROR(AI7*1000000/AE7,"")</f>
        <v>215.938267534369</v>
      </c>
      <c r="AO7" s="11" t="n">
        <f aca="false">IFERROR(AJ7*1000000/AE7,"")</f>
        <v>113.635189640734</v>
      </c>
      <c r="AP7" s="12" t="str">
        <f aca="false">IFERROR(IF(OR(IFERROR(INDEX(Assumptions!$B$8:$B$33,MATCH(Assumptions!$B$5,Assumptions!$A$8:$A$33,0)),"")="",INDEX(Assumptions!$B$8:$B$33,MATCH($A7,Assumptions!$A$8:$A$33,0))=""),"",AN7*IFERROR(INDEX(Assumptions!$B$8:$B$33,MATCH(Assumptions!$B$5,Assumptions!$A$8:$A$33,0)),"")/INDEX(Assumptions!$B$8:$B$33,MATCH($A7,Assumptions!$A$8:$A$33,0))),"")</f>
        <v/>
      </c>
      <c r="AQ7" s="12" t="str">
        <f aca="false">IFERROR(IF(OR(IFERROR(INDEX(Assumptions!$B$8:$B$33,MATCH(Assumptions!$B$5,Assumptions!$A$8:$A$33,0)),"")="",INDEX(Assumptions!$B$8:$B$33,MATCH($A7,Assumptions!$A$8:$A$33,0))=""),"",AO7*IFERROR(INDEX(Assumptions!$B$8:$B$33,MATCH(Assumptions!$B$5,Assumptions!$A$8:$A$33,0)),"")/INDEX(Assumptions!$B$8:$B$33,MATCH($A7,Assumptions!$A$8:$A$33,0))),"")</f>
        <v/>
      </c>
    </row>
    <row r="8" customFormat="false" ht="15" hidden="false" customHeight="false" outlineLevel="0" collapsed="false">
      <c r="A8" s="7" t="n">
        <v>2003</v>
      </c>
      <c r="B8" s="8" t="n">
        <f aca="false">COUNTIFS(Data!$A$2:$A$1006,$A8,Data!$C$2:$C$1006,"FirstEnergy")</f>
        <v>10</v>
      </c>
      <c r="C8" s="9" t="n">
        <f aca="false">SUMIFS(Data!$L$2:$L$1006,Data!$A$2:$A$1006,$A8,Data!$C$2:$C$1006,"FirstEnergy")</f>
        <v>5895460</v>
      </c>
      <c r="D8" s="10" t="n">
        <f aca="false">SUMIFS(Data!$E$2:$E$1006,Data!$A$2:$A$1006,$A8,Data!$C$2:$C$1006,"FirstEnergy")</f>
        <v>534.369723</v>
      </c>
      <c r="E8" s="10" t="n">
        <f aca="false">SUMIFS(Data!$F$2:$F$1006,Data!$A$2:$A$1006,$A8,Data!$C$2:$C$1006,"FirstEnergy")</f>
        <v>312.915451</v>
      </c>
      <c r="F8" s="10" t="n">
        <f aca="false">SUMIFS(Data!$G$2:$G$1006,Data!$A$2:$A$1006,$A8,Data!$C$2:$C$1006,"FirstEnergy")</f>
        <v>311.478708</v>
      </c>
      <c r="G8" s="10" t="n">
        <f aca="false">SUMIFS(Data!$N$2:$N$1006,Data!$A$2:$A$1006,$A8,Data!$C$2:$C$1006,"FirstEnergy")</f>
        <v>1158.763882</v>
      </c>
      <c r="H8" s="10" t="n">
        <f aca="false">SUMIFS(Data!$H$2:$H$1006,Data!$A$2:$A$1006,$A8,Data!$C$2:$C$1006,"FirstEnergy")</f>
        <v>448.415311</v>
      </c>
      <c r="I8" s="11" t="n">
        <f aca="false">IFERROR(D8*1000000/C8,"")</f>
        <v>90.640886885841</v>
      </c>
      <c r="J8" s="11" t="n">
        <f aca="false">IFERROR(E8*1000000/C8,"")</f>
        <v>53.0773596971229</v>
      </c>
      <c r="K8" s="11" t="n">
        <f aca="false">IFERROR(F8*1000000/C8,"")</f>
        <v>52.8336564067944</v>
      </c>
      <c r="L8" s="11" t="n">
        <f aca="false">IFERROR(G8*1000000/C8,"")</f>
        <v>196.551902989758</v>
      </c>
      <c r="M8" s="11" t="n">
        <f aca="false">IFERROR(H8*1000000/C8,"")</f>
        <v>76.0611234746737</v>
      </c>
      <c r="N8" s="12" t="str">
        <f aca="false">IFERROR(IF(OR(IFERROR(INDEX(Assumptions!$B$8:$B$33,MATCH(Assumptions!$B$5,Assumptions!$A$8:$A$33,0)),"")="",INDEX(Assumptions!$B$8:$B$33,MATCH($A8,Assumptions!$A$8:$A$33,0))=""),"",L8*IFERROR(INDEX(Assumptions!$B$8:$B$33,MATCH(Assumptions!$B$5,Assumptions!$A$8:$A$33,0)),"")/INDEX(Assumptions!$B$8:$B$33,MATCH($A8,Assumptions!$A$8:$A$33,0))),"")</f>
        <v/>
      </c>
      <c r="O8" s="12" t="str">
        <f aca="false">IFERROR(IF(OR(IFERROR(INDEX(Assumptions!$B$8:$B$33,MATCH(Assumptions!$B$5,Assumptions!$A$8:$A$33,0)),"")="",INDEX(Assumptions!$B$8:$B$33,MATCH($A8,Assumptions!$A$8:$A$33,0))=""),"",M8*IFERROR(INDEX(Assumptions!$B$8:$B$33,MATCH(Assumptions!$B$5,Assumptions!$A$8:$A$33,0)),"")/INDEX(Assumptions!$B$8:$B$33,MATCH($A8,Assumptions!$A$8:$A$33,0))),"")</f>
        <v/>
      </c>
      <c r="P8" s="8" t="n">
        <f aca="false">COUNTIFS(Data!$A$2:$A$1006,$A8,Data!$C$2:$C$1006,"Northeast peers")</f>
        <v>12</v>
      </c>
      <c r="Q8" s="9" t="n">
        <f aca="false">SUMIFS(Data!$L$2:$L$1006,Data!$A$2:$A$1006,$A8,Data!$C$2:$C$1006,"Northeast peers")</f>
        <v>11891572</v>
      </c>
      <c r="R8" s="10" t="n">
        <f aca="false">SUMIFS(Data!$E$2:$E$1006,Data!$A$2:$A$1006,$A8,Data!$C$2:$C$1006,"Northeast peers")</f>
        <v>987.187044</v>
      </c>
      <c r="S8" s="10" t="n">
        <f aca="false">SUMIFS(Data!$F$2:$F$1006,Data!$A$2:$A$1006,$A8,Data!$C$2:$C$1006,"Northeast peers")</f>
        <v>769.726249</v>
      </c>
      <c r="T8" s="10" t="n">
        <f aca="false">SUMIFS(Data!$G$2:$G$1006,Data!$A$2:$A$1006,$A8,Data!$C$2:$C$1006,"Northeast peers")</f>
        <v>655.786892</v>
      </c>
      <c r="U8" s="10" t="n">
        <f aca="false">SUMIFS(Data!$N$2:$N$1006,Data!$A$2:$A$1006,$A8,Data!$C$2:$C$1006,"Northeast peers")</f>
        <v>2412.700185</v>
      </c>
      <c r="V8" s="10" t="n">
        <f aca="false">SUMIFS(Data!$H$2:$H$1006,Data!$A$2:$A$1006,$A8,Data!$C$2:$C$1006,"Northeast peers")</f>
        <v>1291.341354</v>
      </c>
      <c r="W8" s="11" t="n">
        <f aca="false">IFERROR(R8*1000000/Q8,"")</f>
        <v>83.0156890947639</v>
      </c>
      <c r="X8" s="11" t="n">
        <f aca="false">IFERROR(S8*1000000/Q8,"")</f>
        <v>64.7287212321466</v>
      </c>
      <c r="Y8" s="11" t="n">
        <f aca="false">IFERROR(T8*1000000/Q8,"")</f>
        <v>55.1471993778451</v>
      </c>
      <c r="Z8" s="11" t="n">
        <f aca="false">IFERROR(U8*1000000/Q8,"")</f>
        <v>202.891609704756</v>
      </c>
      <c r="AA8" s="11" t="n">
        <f aca="false">IFERROR(V8*1000000/Q8,"")</f>
        <v>108.592989555965</v>
      </c>
      <c r="AB8" s="12" t="str">
        <f aca="false">IFERROR(IF(OR(IFERROR(INDEX(Assumptions!$B$8:$B$33,MATCH(Assumptions!$B$5,Assumptions!$A$8:$A$33,0)),"")="",INDEX(Assumptions!$B$8:$B$33,MATCH($A8,Assumptions!$A$8:$A$33,0))=""),"",Z8*IFERROR(INDEX(Assumptions!$B$8:$B$33,MATCH(Assumptions!$B$5,Assumptions!$A$8:$A$33,0)),"")/INDEX(Assumptions!$B$8:$B$33,MATCH($A8,Assumptions!$A$8:$A$33,0))),"")</f>
        <v/>
      </c>
      <c r="AC8" s="12" t="str">
        <f aca="false">IFERROR(IF(OR(IFERROR(INDEX(Assumptions!$B$8:$B$33,MATCH(Assumptions!$B$5,Assumptions!$A$8:$A$33,0)),"")="",INDEX(Assumptions!$B$8:$B$33,MATCH($A8,Assumptions!$A$8:$A$33,0))=""),"",AA8*IFERROR(INDEX(Assumptions!$B$8:$B$33,MATCH(Assumptions!$B$5,Assumptions!$A$8:$A$33,0)),"")/INDEX(Assumptions!$B$8:$B$33,MATCH($A8,Assumptions!$A$8:$A$33,0))),"")</f>
        <v/>
      </c>
      <c r="AD8" s="8" t="n">
        <f aca="false">COUNTIFS(Data!$A$2:$A$1006,$A8,Data!$C$2:$C$1006,"Midwest peers")</f>
        <v>16</v>
      </c>
      <c r="AE8" s="9" t="n">
        <f aca="false">SUMIFS(Data!$L$2:$L$1006,Data!$A$2:$A$1006,$A8,Data!$C$2:$C$1006,"Midwest peers")</f>
        <v>9532900</v>
      </c>
      <c r="AF8" s="10" t="n">
        <f aca="false">SUMIFS(Data!$E$2:$E$1006,Data!$A$2:$A$1006,$A8,Data!$C$2:$C$1006,"Midwest peers")</f>
        <v>741.836808</v>
      </c>
      <c r="AG8" s="10" t="n">
        <f aca="false">SUMIFS(Data!$F$2:$F$1006,Data!$A$2:$A$1006,$A8,Data!$C$2:$C$1006,"Midwest peers")</f>
        <v>668.280684</v>
      </c>
      <c r="AH8" s="10" t="n">
        <f aca="false">SUMIFS(Data!$G$2:$G$1006,Data!$A$2:$A$1006,$A8,Data!$C$2:$C$1006,"Midwest peers")</f>
        <v>717.666961</v>
      </c>
      <c r="AI8" s="10" t="n">
        <f aca="false">SUMIFS(Data!$N$2:$N$1006,Data!$A$2:$A$1006,$A8,Data!$C$2:$C$1006,"Midwest peers")</f>
        <v>2127.784453</v>
      </c>
      <c r="AJ8" s="10" t="n">
        <f aca="false">SUMIFS(Data!$H$2:$H$1006,Data!$A$2:$A$1006,$A8,Data!$C$2:$C$1006,"Midwest peers")</f>
        <v>1150.286124</v>
      </c>
      <c r="AK8" s="11" t="n">
        <f aca="false">IFERROR(AF8*1000000/AE8,"")</f>
        <v>77.8185869987097</v>
      </c>
      <c r="AL8" s="11" t="n">
        <f aca="false">IFERROR(AG8*1000000/AE8,"")</f>
        <v>70.1025589275037</v>
      </c>
      <c r="AM8" s="11" t="n">
        <f aca="false">IFERROR(AH8*1000000/AE8,"")</f>
        <v>75.2831731162605</v>
      </c>
      <c r="AN8" s="11" t="n">
        <f aca="false">IFERROR(AI8*1000000/AE8,"")</f>
        <v>223.204319042474</v>
      </c>
      <c r="AO8" s="11" t="n">
        <f aca="false">IFERROR(AJ8*1000000/AE8,"")</f>
        <v>120.664868403109</v>
      </c>
      <c r="AP8" s="12" t="str">
        <f aca="false">IFERROR(IF(OR(IFERROR(INDEX(Assumptions!$B$8:$B$33,MATCH(Assumptions!$B$5,Assumptions!$A$8:$A$33,0)),"")="",INDEX(Assumptions!$B$8:$B$33,MATCH($A8,Assumptions!$A$8:$A$33,0))=""),"",AN8*IFERROR(INDEX(Assumptions!$B$8:$B$33,MATCH(Assumptions!$B$5,Assumptions!$A$8:$A$33,0)),"")/INDEX(Assumptions!$B$8:$B$33,MATCH($A8,Assumptions!$A$8:$A$33,0))),"")</f>
        <v/>
      </c>
      <c r="AQ8" s="12" t="str">
        <f aca="false">IFERROR(IF(OR(IFERROR(INDEX(Assumptions!$B$8:$B$33,MATCH(Assumptions!$B$5,Assumptions!$A$8:$A$33,0)),"")="",INDEX(Assumptions!$B$8:$B$33,MATCH($A8,Assumptions!$A$8:$A$33,0))=""),"",AO8*IFERROR(INDEX(Assumptions!$B$8:$B$33,MATCH(Assumptions!$B$5,Assumptions!$A$8:$A$33,0)),"")/INDEX(Assumptions!$B$8:$B$33,MATCH($A8,Assumptions!$A$8:$A$33,0))),"")</f>
        <v/>
      </c>
    </row>
    <row r="9" customFormat="false" ht="15" hidden="false" customHeight="false" outlineLevel="0" collapsed="false">
      <c r="A9" s="7" t="n">
        <v>2004</v>
      </c>
      <c r="B9" s="8" t="n">
        <f aca="false">COUNTIFS(Data!$A$2:$A$1006,$A9,Data!$C$2:$C$1006,"FirstEnergy")</f>
        <v>10</v>
      </c>
      <c r="C9" s="9" t="n">
        <f aca="false">SUMIFS(Data!$L$2:$L$1006,Data!$A$2:$A$1006,$A9,Data!$C$2:$C$1006,"FirstEnergy")</f>
        <v>5941310</v>
      </c>
      <c r="D9" s="10" t="n">
        <f aca="false">SUMIFS(Data!$E$2:$E$1006,Data!$A$2:$A$1006,$A9,Data!$C$2:$C$1006,"FirstEnergy")</f>
        <v>447.379822</v>
      </c>
      <c r="E9" s="10" t="n">
        <f aca="false">SUMIFS(Data!$F$2:$F$1006,Data!$A$2:$A$1006,$A9,Data!$C$2:$C$1006,"FirstEnergy")</f>
        <v>304.586778</v>
      </c>
      <c r="F9" s="10" t="n">
        <f aca="false">SUMIFS(Data!$G$2:$G$1006,Data!$A$2:$A$1006,$A9,Data!$C$2:$C$1006,"FirstEnergy")</f>
        <v>301.897284</v>
      </c>
      <c r="G9" s="10" t="n">
        <f aca="false">SUMIFS(Data!$N$2:$N$1006,Data!$A$2:$A$1006,$A9,Data!$C$2:$C$1006,"FirstEnergy")</f>
        <v>1053.863884</v>
      </c>
      <c r="H9" s="10" t="n">
        <f aca="false">SUMIFS(Data!$H$2:$H$1006,Data!$A$2:$A$1006,$A9,Data!$C$2:$C$1006,"FirstEnergy")</f>
        <v>517.784395</v>
      </c>
      <c r="I9" s="11" t="n">
        <f aca="false">IFERROR(D9*1000000/C9,"")</f>
        <v>75.2998618149869</v>
      </c>
      <c r="J9" s="11" t="n">
        <f aca="false">IFERROR(E9*1000000/C9,"")</f>
        <v>51.2659292310955</v>
      </c>
      <c r="K9" s="11" t="n">
        <f aca="false">IFERROR(F9*1000000/C9,"")</f>
        <v>50.8132522962108</v>
      </c>
      <c r="L9" s="11" t="n">
        <f aca="false">IFERROR(G9*1000000/C9,"")</f>
        <v>177.379043342293</v>
      </c>
      <c r="M9" s="11" t="n">
        <f aca="false">IFERROR(H9*1000000/C9,"")</f>
        <v>87.1498701464828</v>
      </c>
      <c r="N9" s="12" t="str">
        <f aca="false">IFERROR(IF(OR(IFERROR(INDEX(Assumptions!$B$8:$B$33,MATCH(Assumptions!$B$5,Assumptions!$A$8:$A$33,0)),"")="",INDEX(Assumptions!$B$8:$B$33,MATCH($A9,Assumptions!$A$8:$A$33,0))=""),"",L9*IFERROR(INDEX(Assumptions!$B$8:$B$33,MATCH(Assumptions!$B$5,Assumptions!$A$8:$A$33,0)),"")/INDEX(Assumptions!$B$8:$B$33,MATCH($A9,Assumptions!$A$8:$A$33,0))),"")</f>
        <v/>
      </c>
      <c r="O9" s="12" t="str">
        <f aca="false">IFERROR(IF(OR(IFERROR(INDEX(Assumptions!$B$8:$B$33,MATCH(Assumptions!$B$5,Assumptions!$A$8:$A$33,0)),"")="",INDEX(Assumptions!$B$8:$B$33,MATCH($A9,Assumptions!$A$8:$A$33,0))=""),"",M9*IFERROR(INDEX(Assumptions!$B$8:$B$33,MATCH(Assumptions!$B$5,Assumptions!$A$8:$A$33,0)),"")/INDEX(Assumptions!$B$8:$B$33,MATCH($A9,Assumptions!$A$8:$A$33,0))),"")</f>
        <v/>
      </c>
      <c r="P9" s="8" t="n">
        <f aca="false">COUNTIFS(Data!$A$2:$A$1006,$A9,Data!$C$2:$C$1006,"Northeast peers")</f>
        <v>12</v>
      </c>
      <c r="Q9" s="9" t="n">
        <f aca="false">SUMIFS(Data!$L$2:$L$1006,Data!$A$2:$A$1006,$A9,Data!$C$2:$C$1006,"Northeast peers")</f>
        <v>12007423</v>
      </c>
      <c r="R9" s="10" t="n">
        <f aca="false">SUMIFS(Data!$E$2:$E$1006,Data!$A$2:$A$1006,$A9,Data!$C$2:$C$1006,"Northeast peers")</f>
        <v>967.47299</v>
      </c>
      <c r="S9" s="10" t="n">
        <f aca="false">SUMIFS(Data!$F$2:$F$1006,Data!$A$2:$A$1006,$A9,Data!$C$2:$C$1006,"Northeast peers")</f>
        <v>775.393087</v>
      </c>
      <c r="T9" s="10" t="n">
        <f aca="false">SUMIFS(Data!$G$2:$G$1006,Data!$A$2:$A$1006,$A9,Data!$C$2:$C$1006,"Northeast peers")</f>
        <v>827.775584</v>
      </c>
      <c r="U9" s="10" t="n">
        <f aca="false">SUMIFS(Data!$N$2:$N$1006,Data!$A$2:$A$1006,$A9,Data!$C$2:$C$1006,"Northeast peers")</f>
        <v>2570.641661</v>
      </c>
      <c r="V9" s="10" t="n">
        <f aca="false">SUMIFS(Data!$H$2:$H$1006,Data!$A$2:$A$1006,$A9,Data!$C$2:$C$1006,"Northeast peers")</f>
        <v>1212.051546</v>
      </c>
      <c r="W9" s="11" t="n">
        <f aca="false">IFERROR(R9*1000000/Q9,"")</f>
        <v>80.5729081085925</v>
      </c>
      <c r="X9" s="11" t="n">
        <f aca="false">IFERROR(S9*1000000/Q9,"")</f>
        <v>64.5761448563943</v>
      </c>
      <c r="Y9" s="11" t="n">
        <f aca="false">IFERROR(T9*1000000/Q9,"")</f>
        <v>68.9386543640546</v>
      </c>
      <c r="Z9" s="11" t="n">
        <f aca="false">IFERROR(U9*1000000/Q9,"")</f>
        <v>214.087707329041</v>
      </c>
      <c r="AA9" s="11" t="n">
        <f aca="false">IFERROR(V9*1000000/Q9,"")</f>
        <v>100.941854551139</v>
      </c>
      <c r="AB9" s="12" t="str">
        <f aca="false">IFERROR(IF(OR(IFERROR(INDEX(Assumptions!$B$8:$B$33,MATCH(Assumptions!$B$5,Assumptions!$A$8:$A$33,0)),"")="",INDEX(Assumptions!$B$8:$B$33,MATCH($A9,Assumptions!$A$8:$A$33,0))=""),"",Z9*IFERROR(INDEX(Assumptions!$B$8:$B$33,MATCH(Assumptions!$B$5,Assumptions!$A$8:$A$33,0)),"")/INDEX(Assumptions!$B$8:$B$33,MATCH($A9,Assumptions!$A$8:$A$33,0))),"")</f>
        <v/>
      </c>
      <c r="AC9" s="12" t="str">
        <f aca="false">IFERROR(IF(OR(IFERROR(INDEX(Assumptions!$B$8:$B$33,MATCH(Assumptions!$B$5,Assumptions!$A$8:$A$33,0)),"")="",INDEX(Assumptions!$B$8:$B$33,MATCH($A9,Assumptions!$A$8:$A$33,0))=""),"",AA9*IFERROR(INDEX(Assumptions!$B$8:$B$33,MATCH(Assumptions!$B$5,Assumptions!$A$8:$A$33,0)),"")/INDEX(Assumptions!$B$8:$B$33,MATCH($A9,Assumptions!$A$8:$A$33,0))),"")</f>
        <v/>
      </c>
      <c r="AD9" s="8" t="n">
        <f aca="false">COUNTIFS(Data!$A$2:$A$1006,$A9,Data!$C$2:$C$1006,"Midwest peers")</f>
        <v>16</v>
      </c>
      <c r="AE9" s="9" t="n">
        <f aca="false">SUMIFS(Data!$L$2:$L$1006,Data!$A$2:$A$1006,$A9,Data!$C$2:$C$1006,"Midwest peers")</f>
        <v>9630221</v>
      </c>
      <c r="AF9" s="10" t="n">
        <f aca="false">SUMIFS(Data!$E$2:$E$1006,Data!$A$2:$A$1006,$A9,Data!$C$2:$C$1006,"Midwest peers")</f>
        <v>732.375061</v>
      </c>
      <c r="AG9" s="10" t="n">
        <f aca="false">SUMIFS(Data!$F$2:$F$1006,Data!$A$2:$A$1006,$A9,Data!$C$2:$C$1006,"Midwest peers")</f>
        <v>664.231523</v>
      </c>
      <c r="AH9" s="10" t="n">
        <f aca="false">SUMIFS(Data!$G$2:$G$1006,Data!$A$2:$A$1006,$A9,Data!$C$2:$C$1006,"Midwest peers")</f>
        <v>756.002335</v>
      </c>
      <c r="AI9" s="10" t="n">
        <f aca="false">SUMIFS(Data!$N$2:$N$1006,Data!$A$2:$A$1006,$A9,Data!$C$2:$C$1006,"Midwest peers")</f>
        <v>2152.608919</v>
      </c>
      <c r="AJ9" s="10" t="n">
        <f aca="false">SUMIFS(Data!$H$2:$H$1006,Data!$A$2:$A$1006,$A9,Data!$C$2:$C$1006,"Midwest peers")</f>
        <v>1256.085715</v>
      </c>
      <c r="AK9" s="11" t="n">
        <f aca="false">IFERROR(AF9*1000000/AE9,"")</f>
        <v>76.0496629308922</v>
      </c>
      <c r="AL9" s="11" t="n">
        <f aca="false">IFERROR(AG9*1000000/AE9,"")</f>
        <v>68.9736531487699</v>
      </c>
      <c r="AM9" s="11" t="n">
        <f aca="false">IFERROR(AH9*1000000/AE9,"")</f>
        <v>78.5031137914696</v>
      </c>
      <c r="AN9" s="11" t="n">
        <f aca="false">IFERROR(AI9*1000000/AE9,"")</f>
        <v>223.526429871132</v>
      </c>
      <c r="AO9" s="11" t="n">
        <f aca="false">IFERROR(AJ9*1000000/AE9,"")</f>
        <v>130.431660394917</v>
      </c>
      <c r="AP9" s="12" t="str">
        <f aca="false">IFERROR(IF(OR(IFERROR(INDEX(Assumptions!$B$8:$B$33,MATCH(Assumptions!$B$5,Assumptions!$A$8:$A$33,0)),"")="",INDEX(Assumptions!$B$8:$B$33,MATCH($A9,Assumptions!$A$8:$A$33,0))=""),"",AN9*IFERROR(INDEX(Assumptions!$B$8:$B$33,MATCH(Assumptions!$B$5,Assumptions!$A$8:$A$33,0)),"")/INDEX(Assumptions!$B$8:$B$33,MATCH($A9,Assumptions!$A$8:$A$33,0))),"")</f>
        <v/>
      </c>
      <c r="AQ9" s="12" t="str">
        <f aca="false">IFERROR(IF(OR(IFERROR(INDEX(Assumptions!$B$8:$B$33,MATCH(Assumptions!$B$5,Assumptions!$A$8:$A$33,0)),"")="",INDEX(Assumptions!$B$8:$B$33,MATCH($A9,Assumptions!$A$8:$A$33,0))=""),"",AO9*IFERROR(INDEX(Assumptions!$B$8:$B$33,MATCH(Assumptions!$B$5,Assumptions!$A$8:$A$33,0)),"")/INDEX(Assumptions!$B$8:$B$33,MATCH($A9,Assumptions!$A$8:$A$33,0))),"")</f>
        <v/>
      </c>
    </row>
    <row r="10" customFormat="false" ht="15" hidden="false" customHeight="false" outlineLevel="0" collapsed="false">
      <c r="A10" s="7" t="n">
        <v>2005</v>
      </c>
      <c r="B10" s="8" t="n">
        <f aca="false">COUNTIFS(Data!$A$2:$A$1006,$A10,Data!$C$2:$C$1006,"FirstEnergy")</f>
        <v>10</v>
      </c>
      <c r="C10" s="9" t="n">
        <f aca="false">SUMIFS(Data!$L$2:$L$1006,Data!$A$2:$A$1006,$A10,Data!$C$2:$C$1006,"FirstEnergy")</f>
        <v>6008786</v>
      </c>
      <c r="D10" s="10" t="n">
        <f aca="false">SUMIFS(Data!$E$2:$E$1006,Data!$A$2:$A$1006,$A10,Data!$C$2:$C$1006,"FirstEnergy")</f>
        <v>471.665315</v>
      </c>
      <c r="E10" s="10" t="n">
        <f aca="false">SUMIFS(Data!$F$2:$F$1006,Data!$A$2:$A$1006,$A10,Data!$C$2:$C$1006,"FirstEnergy")</f>
        <v>346.409292</v>
      </c>
      <c r="F10" s="10" t="n">
        <f aca="false">SUMIFS(Data!$G$2:$G$1006,Data!$A$2:$A$1006,$A10,Data!$C$2:$C$1006,"FirstEnergy")</f>
        <v>315.654335</v>
      </c>
      <c r="G10" s="10" t="n">
        <f aca="false">SUMIFS(Data!$N$2:$N$1006,Data!$A$2:$A$1006,$A10,Data!$C$2:$C$1006,"FirstEnergy")</f>
        <v>1133.728942</v>
      </c>
      <c r="H10" s="10" t="n">
        <f aca="false">SUMIFS(Data!$H$2:$H$1006,Data!$A$2:$A$1006,$A10,Data!$C$2:$C$1006,"FirstEnergy")</f>
        <v>680.831213</v>
      </c>
      <c r="I10" s="11" t="n">
        <f aca="false">IFERROR(D10*1000000/C10,"")</f>
        <v>78.4959416095032</v>
      </c>
      <c r="J10" s="11" t="n">
        <f aca="false">IFERROR(E10*1000000/C10,"")</f>
        <v>57.6504625060703</v>
      </c>
      <c r="K10" s="11" t="n">
        <f aca="false">IFERROR(F10*1000000/C10,"")</f>
        <v>52.5321312824254</v>
      </c>
      <c r="L10" s="11" t="n">
        <f aca="false">IFERROR(G10*1000000/C10,"")</f>
        <v>188.678535397999</v>
      </c>
      <c r="M10" s="11" t="n">
        <f aca="false">IFERROR(H10*1000000/C10,"")</f>
        <v>113.305951152196</v>
      </c>
      <c r="N10" s="12" t="str">
        <f aca="false">IFERROR(IF(OR(IFERROR(INDEX(Assumptions!$B$8:$B$33,MATCH(Assumptions!$B$5,Assumptions!$A$8:$A$33,0)),"")="",INDEX(Assumptions!$B$8:$B$33,MATCH($A10,Assumptions!$A$8:$A$33,0))=""),"",L10*IFERROR(INDEX(Assumptions!$B$8:$B$33,MATCH(Assumptions!$B$5,Assumptions!$A$8:$A$33,0)),"")/INDEX(Assumptions!$B$8:$B$33,MATCH($A10,Assumptions!$A$8:$A$33,0))),"")</f>
        <v/>
      </c>
      <c r="O10" s="12" t="str">
        <f aca="false">IFERROR(IF(OR(IFERROR(INDEX(Assumptions!$B$8:$B$33,MATCH(Assumptions!$B$5,Assumptions!$A$8:$A$33,0)),"")="",INDEX(Assumptions!$B$8:$B$33,MATCH($A10,Assumptions!$A$8:$A$33,0))=""),"",M10*IFERROR(INDEX(Assumptions!$B$8:$B$33,MATCH(Assumptions!$B$5,Assumptions!$A$8:$A$33,0)),"")/INDEX(Assumptions!$B$8:$B$33,MATCH($A10,Assumptions!$A$8:$A$33,0))),"")</f>
        <v/>
      </c>
      <c r="P10" s="8" t="n">
        <f aca="false">COUNTIFS(Data!$A$2:$A$1006,$A10,Data!$C$2:$C$1006,"Northeast peers")</f>
        <v>12</v>
      </c>
      <c r="Q10" s="9" t="n">
        <f aca="false">SUMIFS(Data!$L$2:$L$1006,Data!$A$2:$A$1006,$A10,Data!$C$2:$C$1006,"Northeast peers")</f>
        <v>12105214</v>
      </c>
      <c r="R10" s="10" t="n">
        <f aca="false">SUMIFS(Data!$E$2:$E$1006,Data!$A$2:$A$1006,$A10,Data!$C$2:$C$1006,"Northeast peers")</f>
        <v>973.418421</v>
      </c>
      <c r="S10" s="10" t="n">
        <f aca="false">SUMIFS(Data!$F$2:$F$1006,Data!$A$2:$A$1006,$A10,Data!$C$2:$C$1006,"Northeast peers")</f>
        <v>792.512318</v>
      </c>
      <c r="T10" s="10" t="n">
        <f aca="false">SUMIFS(Data!$G$2:$G$1006,Data!$A$2:$A$1006,$A10,Data!$C$2:$C$1006,"Northeast peers")</f>
        <v>851.156306</v>
      </c>
      <c r="U10" s="10" t="n">
        <f aca="false">SUMIFS(Data!$N$2:$N$1006,Data!$A$2:$A$1006,$A10,Data!$C$2:$C$1006,"Northeast peers")</f>
        <v>2617.087045</v>
      </c>
      <c r="V10" s="10" t="n">
        <f aca="false">SUMIFS(Data!$H$2:$H$1006,Data!$A$2:$A$1006,$A10,Data!$C$2:$C$1006,"Northeast peers")</f>
        <v>1428.020119</v>
      </c>
      <c r="W10" s="11" t="n">
        <f aca="false">IFERROR(R10*1000000/Q10,"")</f>
        <v>80.4131526299329</v>
      </c>
      <c r="X10" s="11" t="n">
        <f aca="false">IFERROR(S10*1000000/Q10,"")</f>
        <v>65.4686747380096</v>
      </c>
      <c r="Y10" s="11" t="n">
        <f aca="false">IFERROR(T10*1000000/Q10,"")</f>
        <v>70.3131977675075</v>
      </c>
      <c r="Z10" s="11" t="n">
        <f aca="false">IFERROR(U10*1000000/Q10,"")</f>
        <v>216.19502513545</v>
      </c>
      <c r="AA10" s="11" t="n">
        <f aca="false">IFERROR(V10*1000000/Q10,"")</f>
        <v>117.967358445708</v>
      </c>
      <c r="AB10" s="12" t="str">
        <f aca="false">IFERROR(IF(OR(IFERROR(INDEX(Assumptions!$B$8:$B$33,MATCH(Assumptions!$B$5,Assumptions!$A$8:$A$33,0)),"")="",INDEX(Assumptions!$B$8:$B$33,MATCH($A10,Assumptions!$A$8:$A$33,0))=""),"",Z10*IFERROR(INDEX(Assumptions!$B$8:$B$33,MATCH(Assumptions!$B$5,Assumptions!$A$8:$A$33,0)),"")/INDEX(Assumptions!$B$8:$B$33,MATCH($A10,Assumptions!$A$8:$A$33,0))),"")</f>
        <v/>
      </c>
      <c r="AC10" s="12" t="str">
        <f aca="false">IFERROR(IF(OR(IFERROR(INDEX(Assumptions!$B$8:$B$33,MATCH(Assumptions!$B$5,Assumptions!$A$8:$A$33,0)),"")="",INDEX(Assumptions!$B$8:$B$33,MATCH($A10,Assumptions!$A$8:$A$33,0))=""),"",AA10*IFERROR(INDEX(Assumptions!$B$8:$B$33,MATCH(Assumptions!$B$5,Assumptions!$A$8:$A$33,0)),"")/INDEX(Assumptions!$B$8:$B$33,MATCH($A10,Assumptions!$A$8:$A$33,0))),"")</f>
        <v/>
      </c>
      <c r="AD10" s="8" t="n">
        <f aca="false">COUNTIFS(Data!$A$2:$A$1006,$A10,Data!$C$2:$C$1006,"Midwest peers")</f>
        <v>17</v>
      </c>
      <c r="AE10" s="9" t="n">
        <f aca="false">SUMIFS(Data!$L$2:$L$1006,Data!$A$2:$A$1006,$A10,Data!$C$2:$C$1006,"Midwest peers")</f>
        <v>11556354</v>
      </c>
      <c r="AF10" s="10" t="n">
        <f aca="false">SUMIFS(Data!$E$2:$E$1006,Data!$A$2:$A$1006,$A10,Data!$C$2:$C$1006,"Midwest peers")</f>
        <v>927.849813</v>
      </c>
      <c r="AG10" s="10" t="n">
        <f aca="false">SUMIFS(Data!$F$2:$F$1006,Data!$A$2:$A$1006,$A10,Data!$C$2:$C$1006,"Midwest peers")</f>
        <v>758.040431</v>
      </c>
      <c r="AH10" s="10" t="n">
        <f aca="false">SUMIFS(Data!$G$2:$G$1006,Data!$A$2:$A$1006,$A10,Data!$C$2:$C$1006,"Midwest peers")</f>
        <v>890.19774</v>
      </c>
      <c r="AI10" s="10" t="n">
        <f aca="false">SUMIFS(Data!$N$2:$N$1006,Data!$A$2:$A$1006,$A10,Data!$C$2:$C$1006,"Midwest peers")</f>
        <v>2576.087984</v>
      </c>
      <c r="AJ10" s="10" t="n">
        <f aca="false">SUMIFS(Data!$H$2:$H$1006,Data!$A$2:$A$1006,$A10,Data!$C$2:$C$1006,"Midwest peers")</f>
        <v>1215.336106</v>
      </c>
      <c r="AK10" s="11" t="n">
        <f aca="false">IFERROR(AF10*1000000/AE10,"")</f>
        <v>80.2891476844687</v>
      </c>
      <c r="AL10" s="11" t="n">
        <f aca="false">IFERROR(AG10*1000000/AE10,"")</f>
        <v>65.5951203121677</v>
      </c>
      <c r="AM10" s="11" t="n">
        <f aca="false">IFERROR(AH10*1000000/AE10,"")</f>
        <v>77.0310203373832</v>
      </c>
      <c r="AN10" s="11" t="n">
        <f aca="false">IFERROR(AI10*1000000/AE10,"")</f>
        <v>222.91528833402</v>
      </c>
      <c r="AO10" s="11" t="n">
        <f aca="false">IFERROR(AJ10*1000000/AE10,"")</f>
        <v>105.166050295794</v>
      </c>
      <c r="AP10" s="12" t="str">
        <f aca="false">IFERROR(IF(OR(IFERROR(INDEX(Assumptions!$B$8:$B$33,MATCH(Assumptions!$B$5,Assumptions!$A$8:$A$33,0)),"")="",INDEX(Assumptions!$B$8:$B$33,MATCH($A10,Assumptions!$A$8:$A$33,0))=""),"",AN10*IFERROR(INDEX(Assumptions!$B$8:$B$33,MATCH(Assumptions!$B$5,Assumptions!$A$8:$A$33,0)),"")/INDEX(Assumptions!$B$8:$B$33,MATCH($A10,Assumptions!$A$8:$A$33,0))),"")</f>
        <v/>
      </c>
      <c r="AQ10" s="12" t="str">
        <f aca="false">IFERROR(IF(OR(IFERROR(INDEX(Assumptions!$B$8:$B$33,MATCH(Assumptions!$B$5,Assumptions!$A$8:$A$33,0)),"")="",INDEX(Assumptions!$B$8:$B$33,MATCH($A10,Assumptions!$A$8:$A$33,0))=""),"",AO10*IFERROR(INDEX(Assumptions!$B$8:$B$33,MATCH(Assumptions!$B$5,Assumptions!$A$8:$A$33,0)),"")/INDEX(Assumptions!$B$8:$B$33,MATCH($A10,Assumptions!$A$8:$A$33,0))),"")</f>
        <v/>
      </c>
    </row>
    <row r="11" customFormat="false" ht="15" hidden="false" customHeight="false" outlineLevel="0" collapsed="false">
      <c r="A11" s="7" t="n">
        <v>2006</v>
      </c>
      <c r="B11" s="8" t="n">
        <f aca="false">COUNTIFS(Data!$A$2:$A$1006,$A11,Data!$C$2:$C$1006,"FirstEnergy")</f>
        <v>10</v>
      </c>
      <c r="C11" s="9" t="n">
        <f aca="false">SUMIFS(Data!$L$2:$L$1006,Data!$A$2:$A$1006,$A11,Data!$C$2:$C$1006,"FirstEnergy")</f>
        <v>6027692</v>
      </c>
      <c r="D11" s="10" t="n">
        <f aca="false">SUMIFS(Data!$E$2:$E$1006,Data!$A$2:$A$1006,$A11,Data!$C$2:$C$1006,"FirstEnergy")</f>
        <v>467.886158</v>
      </c>
      <c r="E11" s="10" t="n">
        <f aca="false">SUMIFS(Data!$F$2:$F$1006,Data!$A$2:$A$1006,$A11,Data!$C$2:$C$1006,"FirstEnergy")</f>
        <v>351.452338</v>
      </c>
      <c r="F11" s="10" t="n">
        <f aca="false">SUMIFS(Data!$G$2:$G$1006,Data!$A$2:$A$1006,$A11,Data!$C$2:$C$1006,"FirstEnergy")</f>
        <v>338.701694</v>
      </c>
      <c r="G11" s="10" t="n">
        <f aca="false">SUMIFS(Data!$N$2:$N$1006,Data!$A$2:$A$1006,$A11,Data!$C$2:$C$1006,"FirstEnergy")</f>
        <v>1158.04019</v>
      </c>
      <c r="H11" s="10" t="n">
        <f aca="false">SUMIFS(Data!$H$2:$H$1006,Data!$A$2:$A$1006,$A11,Data!$C$2:$C$1006,"FirstEnergy")</f>
        <v>678.013883</v>
      </c>
      <c r="I11" s="11" t="n">
        <f aca="false">IFERROR(D11*1000000/C11,"")</f>
        <v>77.6227713692073</v>
      </c>
      <c r="J11" s="11" t="n">
        <f aca="false">IFERROR(E11*1000000/C11,"")</f>
        <v>58.306286718034</v>
      </c>
      <c r="K11" s="11" t="n">
        <f aca="false">IFERROR(F11*1000000/C11,"")</f>
        <v>56.1909424038256</v>
      </c>
      <c r="L11" s="11" t="n">
        <f aca="false">IFERROR(G11*1000000/C11,"")</f>
        <v>192.120000491067</v>
      </c>
      <c r="M11" s="11" t="n">
        <f aca="false">IFERROR(H11*1000000/C11,"")</f>
        <v>112.48316652543</v>
      </c>
      <c r="N11" s="12" t="str">
        <f aca="false">IFERROR(IF(OR(IFERROR(INDEX(Assumptions!$B$8:$B$33,MATCH(Assumptions!$B$5,Assumptions!$A$8:$A$33,0)),"")="",INDEX(Assumptions!$B$8:$B$33,MATCH($A11,Assumptions!$A$8:$A$33,0))=""),"",L11*IFERROR(INDEX(Assumptions!$B$8:$B$33,MATCH(Assumptions!$B$5,Assumptions!$A$8:$A$33,0)),"")/INDEX(Assumptions!$B$8:$B$33,MATCH($A11,Assumptions!$A$8:$A$33,0))),"")</f>
        <v/>
      </c>
      <c r="O11" s="12" t="str">
        <f aca="false">IFERROR(IF(OR(IFERROR(INDEX(Assumptions!$B$8:$B$33,MATCH(Assumptions!$B$5,Assumptions!$A$8:$A$33,0)),"")="",INDEX(Assumptions!$B$8:$B$33,MATCH($A11,Assumptions!$A$8:$A$33,0))=""),"",M11*IFERROR(INDEX(Assumptions!$B$8:$B$33,MATCH(Assumptions!$B$5,Assumptions!$A$8:$A$33,0)),"")/INDEX(Assumptions!$B$8:$B$33,MATCH($A11,Assumptions!$A$8:$A$33,0))),"")</f>
        <v/>
      </c>
      <c r="P11" s="8" t="n">
        <f aca="false">COUNTIFS(Data!$A$2:$A$1006,$A11,Data!$C$2:$C$1006,"Northeast peers")</f>
        <v>12</v>
      </c>
      <c r="Q11" s="9" t="n">
        <f aca="false">SUMIFS(Data!$L$2:$L$1006,Data!$A$2:$A$1006,$A11,Data!$C$2:$C$1006,"Northeast peers")</f>
        <v>12195157</v>
      </c>
      <c r="R11" s="10" t="n">
        <f aca="false">SUMIFS(Data!$E$2:$E$1006,Data!$A$2:$A$1006,$A11,Data!$C$2:$C$1006,"Northeast peers")</f>
        <v>1051.226721</v>
      </c>
      <c r="S11" s="10" t="n">
        <f aca="false">SUMIFS(Data!$F$2:$F$1006,Data!$A$2:$A$1006,$A11,Data!$C$2:$C$1006,"Northeast peers")</f>
        <v>840.749349</v>
      </c>
      <c r="T11" s="10" t="n">
        <f aca="false">SUMIFS(Data!$G$2:$G$1006,Data!$A$2:$A$1006,$A11,Data!$C$2:$C$1006,"Northeast peers")</f>
        <v>884.806904</v>
      </c>
      <c r="U11" s="10" t="n">
        <f aca="false">SUMIFS(Data!$N$2:$N$1006,Data!$A$2:$A$1006,$A11,Data!$C$2:$C$1006,"Northeast peers")</f>
        <v>2776.782974</v>
      </c>
      <c r="V11" s="10" t="n">
        <f aca="false">SUMIFS(Data!$H$2:$H$1006,Data!$A$2:$A$1006,$A11,Data!$C$2:$C$1006,"Northeast peers")</f>
        <v>1721.516557</v>
      </c>
      <c r="W11" s="11" t="n">
        <f aca="false">IFERROR(R11*1000000/Q11,"")</f>
        <v>86.2003433822131</v>
      </c>
      <c r="X11" s="11" t="n">
        <f aca="false">IFERROR(S11*1000000/Q11,"")</f>
        <v>68.9412484808519</v>
      </c>
      <c r="Y11" s="11" t="n">
        <f aca="false">IFERROR(T11*1000000/Q11,"")</f>
        <v>72.5539576079258</v>
      </c>
      <c r="Z11" s="11" t="n">
        <f aca="false">IFERROR(U11*1000000/Q11,"")</f>
        <v>227.695549470991</v>
      </c>
      <c r="AA11" s="11" t="n">
        <f aca="false">IFERROR(V11*1000000/Q11,"")</f>
        <v>141.163951968802</v>
      </c>
      <c r="AB11" s="12" t="str">
        <f aca="false">IFERROR(IF(OR(IFERROR(INDEX(Assumptions!$B$8:$B$33,MATCH(Assumptions!$B$5,Assumptions!$A$8:$A$33,0)),"")="",INDEX(Assumptions!$B$8:$B$33,MATCH($A11,Assumptions!$A$8:$A$33,0))=""),"",Z11*IFERROR(INDEX(Assumptions!$B$8:$B$33,MATCH(Assumptions!$B$5,Assumptions!$A$8:$A$33,0)),"")/INDEX(Assumptions!$B$8:$B$33,MATCH($A11,Assumptions!$A$8:$A$33,0))),"")</f>
        <v/>
      </c>
      <c r="AC11" s="12" t="str">
        <f aca="false">IFERROR(IF(OR(IFERROR(INDEX(Assumptions!$B$8:$B$33,MATCH(Assumptions!$B$5,Assumptions!$A$8:$A$33,0)),"")="",INDEX(Assumptions!$B$8:$B$33,MATCH($A11,Assumptions!$A$8:$A$33,0))=""),"",AA11*IFERROR(INDEX(Assumptions!$B$8:$B$33,MATCH(Assumptions!$B$5,Assumptions!$A$8:$A$33,0)),"")/INDEX(Assumptions!$B$8:$B$33,MATCH($A11,Assumptions!$A$8:$A$33,0))),"")</f>
        <v/>
      </c>
      <c r="AD11" s="8" t="n">
        <f aca="false">COUNTIFS(Data!$A$2:$A$1006,$A11,Data!$C$2:$C$1006,"Midwest peers")</f>
        <v>17</v>
      </c>
      <c r="AE11" s="9" t="n">
        <f aca="false">SUMIFS(Data!$L$2:$L$1006,Data!$A$2:$A$1006,$A11,Data!$C$2:$C$1006,"Midwest peers")</f>
        <v>11551752</v>
      </c>
      <c r="AF11" s="10" t="n">
        <f aca="false">SUMIFS(Data!$E$2:$E$1006,Data!$A$2:$A$1006,$A11,Data!$C$2:$C$1006,"Midwest peers")</f>
        <v>974.542117</v>
      </c>
      <c r="AG11" s="10" t="n">
        <f aca="false">SUMIFS(Data!$F$2:$F$1006,Data!$A$2:$A$1006,$A11,Data!$C$2:$C$1006,"Midwest peers")</f>
        <v>830.817036</v>
      </c>
      <c r="AH11" s="10" t="n">
        <f aca="false">SUMIFS(Data!$G$2:$G$1006,Data!$A$2:$A$1006,$A11,Data!$C$2:$C$1006,"Midwest peers")</f>
        <v>927.841534</v>
      </c>
      <c r="AI11" s="10" t="n">
        <f aca="false">SUMIFS(Data!$N$2:$N$1006,Data!$A$2:$A$1006,$A11,Data!$C$2:$C$1006,"Midwest peers")</f>
        <v>2733.200687</v>
      </c>
      <c r="AJ11" s="10" t="n">
        <f aca="false">SUMIFS(Data!$H$2:$H$1006,Data!$A$2:$A$1006,$A11,Data!$C$2:$C$1006,"Midwest peers")</f>
        <v>1423.392335</v>
      </c>
      <c r="AK11" s="11" t="n">
        <f aca="false">IFERROR(AF11*1000000/AE11,"")</f>
        <v>84.3631439629244</v>
      </c>
      <c r="AL11" s="11" t="n">
        <f aca="false">IFERROR(AG11*1000000/AE11,"")</f>
        <v>71.9213012883241</v>
      </c>
      <c r="AM11" s="11" t="n">
        <f aca="false">IFERROR(AH11*1000000/AE11,"")</f>
        <v>80.3204166779204</v>
      </c>
      <c r="AN11" s="11" t="n">
        <f aca="false">IFERROR(AI11*1000000/AE11,"")</f>
        <v>236.604861929169</v>
      </c>
      <c r="AO11" s="11" t="n">
        <f aca="false">IFERROR(AJ11*1000000/AE11,"")</f>
        <v>123.218740758978</v>
      </c>
      <c r="AP11" s="12" t="str">
        <f aca="false">IFERROR(IF(OR(IFERROR(INDEX(Assumptions!$B$8:$B$33,MATCH(Assumptions!$B$5,Assumptions!$A$8:$A$33,0)),"")="",INDEX(Assumptions!$B$8:$B$33,MATCH($A11,Assumptions!$A$8:$A$33,0))=""),"",AN11*IFERROR(INDEX(Assumptions!$B$8:$B$33,MATCH(Assumptions!$B$5,Assumptions!$A$8:$A$33,0)),"")/INDEX(Assumptions!$B$8:$B$33,MATCH($A11,Assumptions!$A$8:$A$33,0))),"")</f>
        <v/>
      </c>
      <c r="AQ11" s="12" t="str">
        <f aca="false">IFERROR(IF(OR(IFERROR(INDEX(Assumptions!$B$8:$B$33,MATCH(Assumptions!$B$5,Assumptions!$A$8:$A$33,0)),"")="",INDEX(Assumptions!$B$8:$B$33,MATCH($A11,Assumptions!$A$8:$A$33,0))=""),"",AO11*IFERROR(INDEX(Assumptions!$B$8:$B$33,MATCH(Assumptions!$B$5,Assumptions!$A$8:$A$33,0)),"")/INDEX(Assumptions!$B$8:$B$33,MATCH($A11,Assumptions!$A$8:$A$33,0))),"")</f>
        <v/>
      </c>
    </row>
    <row r="12" customFormat="false" ht="15" hidden="false" customHeight="false" outlineLevel="0" collapsed="false">
      <c r="A12" s="7" t="n">
        <v>2007</v>
      </c>
      <c r="B12" s="8" t="n">
        <f aca="false">COUNTIFS(Data!$A$2:$A$1006,$A12,Data!$C$2:$C$1006,"FirstEnergy")</f>
        <v>10</v>
      </c>
      <c r="C12" s="9" t="n">
        <f aca="false">SUMIFS(Data!$L$2:$L$1006,Data!$A$2:$A$1006,$A12,Data!$C$2:$C$1006,"FirstEnergy")</f>
        <v>6053941</v>
      </c>
      <c r="D12" s="10" t="n">
        <f aca="false">SUMIFS(Data!$E$2:$E$1006,Data!$A$2:$A$1006,$A12,Data!$C$2:$C$1006,"FirstEnergy")</f>
        <v>506.787709</v>
      </c>
      <c r="E12" s="10" t="n">
        <f aca="false">SUMIFS(Data!$F$2:$F$1006,Data!$A$2:$A$1006,$A12,Data!$C$2:$C$1006,"FirstEnergy")</f>
        <v>379.465679</v>
      </c>
      <c r="F12" s="10" t="n">
        <f aca="false">SUMIFS(Data!$G$2:$G$1006,Data!$A$2:$A$1006,$A12,Data!$C$2:$C$1006,"FirstEnergy")</f>
        <v>351.102582</v>
      </c>
      <c r="G12" s="10" t="n">
        <f aca="false">SUMIFS(Data!$N$2:$N$1006,Data!$A$2:$A$1006,$A12,Data!$C$2:$C$1006,"FirstEnergy")</f>
        <v>1237.35597</v>
      </c>
      <c r="H12" s="10" t="n">
        <f aca="false">SUMIFS(Data!$H$2:$H$1006,Data!$A$2:$A$1006,$A12,Data!$C$2:$C$1006,"FirstEnergy")</f>
        <v>684.494413</v>
      </c>
      <c r="I12" s="11" t="n">
        <f aca="false">IFERROR(D12*1000000/C12,"")</f>
        <v>83.7120330376527</v>
      </c>
      <c r="J12" s="11" t="n">
        <f aca="false">IFERROR(E12*1000000/C12,"")</f>
        <v>62.680769270794</v>
      </c>
      <c r="K12" s="11" t="n">
        <f aca="false">IFERROR(F12*1000000/C12,"")</f>
        <v>57.9957059376694</v>
      </c>
      <c r="L12" s="11" t="n">
        <f aca="false">IFERROR(G12*1000000/C12,"")</f>
        <v>204.388508246116</v>
      </c>
      <c r="M12" s="11" t="n">
        <f aca="false">IFERROR(H12*1000000/C12,"")</f>
        <v>113.065920695296</v>
      </c>
      <c r="N12" s="12" t="str">
        <f aca="false">IFERROR(IF(OR(IFERROR(INDEX(Assumptions!$B$8:$B$33,MATCH(Assumptions!$B$5,Assumptions!$A$8:$A$33,0)),"")="",INDEX(Assumptions!$B$8:$B$33,MATCH($A12,Assumptions!$A$8:$A$33,0))=""),"",L12*IFERROR(INDEX(Assumptions!$B$8:$B$33,MATCH(Assumptions!$B$5,Assumptions!$A$8:$A$33,0)),"")/INDEX(Assumptions!$B$8:$B$33,MATCH($A12,Assumptions!$A$8:$A$33,0))),"")</f>
        <v/>
      </c>
      <c r="O12" s="12" t="str">
        <f aca="false">IFERROR(IF(OR(IFERROR(INDEX(Assumptions!$B$8:$B$33,MATCH(Assumptions!$B$5,Assumptions!$A$8:$A$33,0)),"")="",INDEX(Assumptions!$B$8:$B$33,MATCH($A12,Assumptions!$A$8:$A$33,0))=""),"",M12*IFERROR(INDEX(Assumptions!$B$8:$B$33,MATCH(Assumptions!$B$5,Assumptions!$A$8:$A$33,0)),"")/INDEX(Assumptions!$B$8:$B$33,MATCH($A12,Assumptions!$A$8:$A$33,0))),"")</f>
        <v/>
      </c>
      <c r="P12" s="8" t="n">
        <f aca="false">COUNTIFS(Data!$A$2:$A$1006,$A12,Data!$C$2:$C$1006,"Northeast peers")</f>
        <v>12</v>
      </c>
      <c r="Q12" s="9" t="n">
        <f aca="false">SUMIFS(Data!$L$2:$L$1006,Data!$A$2:$A$1006,$A12,Data!$C$2:$C$1006,"Northeast peers")</f>
        <v>12271387</v>
      </c>
      <c r="R12" s="10" t="n">
        <f aca="false">SUMIFS(Data!$E$2:$E$1006,Data!$A$2:$A$1006,$A12,Data!$C$2:$C$1006,"Northeast peers")</f>
        <v>1091.672224</v>
      </c>
      <c r="S12" s="10" t="n">
        <f aca="false">SUMIFS(Data!$F$2:$F$1006,Data!$A$2:$A$1006,$A12,Data!$C$2:$C$1006,"Northeast peers")</f>
        <v>1031.701486</v>
      </c>
      <c r="T12" s="10" t="n">
        <f aca="false">SUMIFS(Data!$G$2:$G$1006,Data!$A$2:$A$1006,$A12,Data!$C$2:$C$1006,"Northeast peers")</f>
        <v>903.528401</v>
      </c>
      <c r="U12" s="10" t="n">
        <f aca="false">SUMIFS(Data!$N$2:$N$1006,Data!$A$2:$A$1006,$A12,Data!$C$2:$C$1006,"Northeast peers")</f>
        <v>3026.902111</v>
      </c>
      <c r="V12" s="10" t="n">
        <f aca="false">SUMIFS(Data!$H$2:$H$1006,Data!$A$2:$A$1006,$A12,Data!$C$2:$C$1006,"Northeast peers")</f>
        <v>1642.443832</v>
      </c>
      <c r="W12" s="11" t="n">
        <f aca="false">IFERROR(R12*1000000/Q12,"")</f>
        <v>88.9607852804251</v>
      </c>
      <c r="X12" s="11" t="n">
        <f aca="false">IFERROR(S12*1000000/Q12,"")</f>
        <v>84.073747001867</v>
      </c>
      <c r="Y12" s="11" t="n">
        <f aca="false">IFERROR(T12*1000000/Q12,"")</f>
        <v>73.6288734924585</v>
      </c>
      <c r="Z12" s="11" t="n">
        <f aca="false">IFERROR(U12*1000000/Q12,"")</f>
        <v>246.663405774751</v>
      </c>
      <c r="AA12" s="11" t="n">
        <f aca="false">IFERROR(V12*1000000/Q12,"")</f>
        <v>133.843373369286</v>
      </c>
      <c r="AB12" s="12" t="str">
        <f aca="false">IFERROR(IF(OR(IFERROR(INDEX(Assumptions!$B$8:$B$33,MATCH(Assumptions!$B$5,Assumptions!$A$8:$A$33,0)),"")="",INDEX(Assumptions!$B$8:$B$33,MATCH($A12,Assumptions!$A$8:$A$33,0))=""),"",Z12*IFERROR(INDEX(Assumptions!$B$8:$B$33,MATCH(Assumptions!$B$5,Assumptions!$A$8:$A$33,0)),"")/INDEX(Assumptions!$B$8:$B$33,MATCH($A12,Assumptions!$A$8:$A$33,0))),"")</f>
        <v/>
      </c>
      <c r="AC12" s="12" t="str">
        <f aca="false">IFERROR(IF(OR(IFERROR(INDEX(Assumptions!$B$8:$B$33,MATCH(Assumptions!$B$5,Assumptions!$A$8:$A$33,0)),"")="",INDEX(Assumptions!$B$8:$B$33,MATCH($A12,Assumptions!$A$8:$A$33,0))=""),"",AA12*IFERROR(INDEX(Assumptions!$B$8:$B$33,MATCH(Assumptions!$B$5,Assumptions!$A$8:$A$33,0)),"")/INDEX(Assumptions!$B$8:$B$33,MATCH($A12,Assumptions!$A$8:$A$33,0))),"")</f>
        <v/>
      </c>
      <c r="AD12" s="8" t="n">
        <f aca="false">COUNTIFS(Data!$A$2:$A$1006,$A12,Data!$C$2:$C$1006,"Midwest peers")</f>
        <v>17</v>
      </c>
      <c r="AE12" s="9" t="n">
        <f aca="false">SUMIFS(Data!$L$2:$L$1006,Data!$A$2:$A$1006,$A12,Data!$C$2:$C$1006,"Midwest peers")</f>
        <v>11607120</v>
      </c>
      <c r="AF12" s="10" t="n">
        <f aca="false">SUMIFS(Data!$E$2:$E$1006,Data!$A$2:$A$1006,$A12,Data!$C$2:$C$1006,"Midwest peers")</f>
        <v>1044.105399</v>
      </c>
      <c r="AG12" s="10" t="n">
        <f aca="false">SUMIFS(Data!$F$2:$F$1006,Data!$A$2:$A$1006,$A12,Data!$C$2:$C$1006,"Midwest peers")</f>
        <v>875.566013</v>
      </c>
      <c r="AH12" s="10" t="n">
        <f aca="false">SUMIFS(Data!$G$2:$G$1006,Data!$A$2:$A$1006,$A12,Data!$C$2:$C$1006,"Midwest peers")</f>
        <v>953.267028</v>
      </c>
      <c r="AI12" s="10" t="n">
        <f aca="false">SUMIFS(Data!$N$2:$N$1006,Data!$A$2:$A$1006,$A12,Data!$C$2:$C$1006,"Midwest peers")</f>
        <v>2872.93844</v>
      </c>
      <c r="AJ12" s="10" t="n">
        <f aca="false">SUMIFS(Data!$H$2:$H$1006,Data!$A$2:$A$1006,$A12,Data!$C$2:$C$1006,"Midwest peers")</f>
        <v>1494.506148</v>
      </c>
      <c r="AK12" s="11" t="n">
        <f aca="false">IFERROR(AF12*1000000/AE12,"")</f>
        <v>89.9538730537808</v>
      </c>
      <c r="AL12" s="11" t="n">
        <f aca="false">IFERROR(AG12*1000000/AE12,"")</f>
        <v>75.4335281275631</v>
      </c>
      <c r="AM12" s="11" t="n">
        <f aca="false">IFERROR(AH12*1000000/AE12,"")</f>
        <v>82.1277826024027</v>
      </c>
      <c r="AN12" s="11" t="n">
        <f aca="false">IFERROR(AI12*1000000/AE12,"")</f>
        <v>247.515183783747</v>
      </c>
      <c r="AO12" s="11" t="n">
        <f aca="false">IFERROR(AJ12*1000000/AE12,"")</f>
        <v>128.757706304406</v>
      </c>
      <c r="AP12" s="12" t="str">
        <f aca="false">IFERROR(IF(OR(IFERROR(INDEX(Assumptions!$B$8:$B$33,MATCH(Assumptions!$B$5,Assumptions!$A$8:$A$33,0)),"")="",INDEX(Assumptions!$B$8:$B$33,MATCH($A12,Assumptions!$A$8:$A$33,0))=""),"",AN12*IFERROR(INDEX(Assumptions!$B$8:$B$33,MATCH(Assumptions!$B$5,Assumptions!$A$8:$A$33,0)),"")/INDEX(Assumptions!$B$8:$B$33,MATCH($A12,Assumptions!$A$8:$A$33,0))),"")</f>
        <v/>
      </c>
      <c r="AQ12" s="12" t="str">
        <f aca="false">IFERROR(IF(OR(IFERROR(INDEX(Assumptions!$B$8:$B$33,MATCH(Assumptions!$B$5,Assumptions!$A$8:$A$33,0)),"")="",INDEX(Assumptions!$B$8:$B$33,MATCH($A12,Assumptions!$A$8:$A$33,0))=""),"",AO12*IFERROR(INDEX(Assumptions!$B$8:$B$33,MATCH(Assumptions!$B$5,Assumptions!$A$8:$A$33,0)),"")/INDEX(Assumptions!$B$8:$B$33,MATCH($A12,Assumptions!$A$8:$A$33,0))),"")</f>
        <v/>
      </c>
    </row>
    <row r="13" customFormat="false" ht="15" hidden="false" customHeight="false" outlineLevel="0" collapsed="false">
      <c r="A13" s="7" t="n">
        <v>2008</v>
      </c>
      <c r="B13" s="8" t="n">
        <f aca="false">COUNTIFS(Data!$A$2:$A$1006,$A13,Data!$C$2:$C$1006,"FirstEnergy")</f>
        <v>10</v>
      </c>
      <c r="C13" s="9" t="n">
        <f aca="false">SUMIFS(Data!$L$2:$L$1006,Data!$A$2:$A$1006,$A13,Data!$C$2:$C$1006,"FirstEnergy")</f>
        <v>6069675</v>
      </c>
      <c r="D13" s="10" t="n">
        <f aca="false">SUMIFS(Data!$E$2:$E$1006,Data!$A$2:$A$1006,$A13,Data!$C$2:$C$1006,"FirstEnergy")</f>
        <v>521.290432</v>
      </c>
      <c r="E13" s="10" t="n">
        <f aca="false">SUMIFS(Data!$F$2:$F$1006,Data!$A$2:$A$1006,$A13,Data!$C$2:$C$1006,"FirstEnergy")</f>
        <v>400.122706</v>
      </c>
      <c r="F13" s="10" t="n">
        <f aca="false">SUMIFS(Data!$G$2:$G$1006,Data!$A$2:$A$1006,$A13,Data!$C$2:$C$1006,"FirstEnergy")</f>
        <v>372.243941</v>
      </c>
      <c r="G13" s="10" t="n">
        <f aca="false">SUMIFS(Data!$N$2:$N$1006,Data!$A$2:$A$1006,$A13,Data!$C$2:$C$1006,"FirstEnergy")</f>
        <v>1293.657079</v>
      </c>
      <c r="H13" s="10" t="n">
        <f aca="false">SUMIFS(Data!$H$2:$H$1006,Data!$A$2:$A$1006,$A13,Data!$C$2:$C$1006,"FirstEnergy")</f>
        <v>804.069909</v>
      </c>
      <c r="I13" s="11" t="n">
        <f aca="false">IFERROR(D13*1000000/C13,"")</f>
        <v>85.8844060019688</v>
      </c>
      <c r="J13" s="11" t="n">
        <f aca="false">IFERROR(E13*1000000/C13,"")</f>
        <v>65.9216030512342</v>
      </c>
      <c r="K13" s="11" t="n">
        <f aca="false">IFERROR(F13*1000000/C13,"")</f>
        <v>61.3284798609481</v>
      </c>
      <c r="L13" s="11" t="n">
        <f aca="false">IFERROR(G13*1000000/C13,"")</f>
        <v>213.134488914151</v>
      </c>
      <c r="M13" s="11" t="n">
        <f aca="false">IFERROR(H13*1000000/C13,"")</f>
        <v>132.473305242867</v>
      </c>
      <c r="N13" s="12" t="str">
        <f aca="false">IFERROR(IF(OR(IFERROR(INDEX(Assumptions!$B$8:$B$33,MATCH(Assumptions!$B$5,Assumptions!$A$8:$A$33,0)),"")="",INDEX(Assumptions!$B$8:$B$33,MATCH($A13,Assumptions!$A$8:$A$33,0))=""),"",L13*IFERROR(INDEX(Assumptions!$B$8:$B$33,MATCH(Assumptions!$B$5,Assumptions!$A$8:$A$33,0)),"")/INDEX(Assumptions!$B$8:$B$33,MATCH($A13,Assumptions!$A$8:$A$33,0))),"")</f>
        <v/>
      </c>
      <c r="O13" s="12" t="str">
        <f aca="false">IFERROR(IF(OR(IFERROR(INDEX(Assumptions!$B$8:$B$33,MATCH(Assumptions!$B$5,Assumptions!$A$8:$A$33,0)),"")="",INDEX(Assumptions!$B$8:$B$33,MATCH($A13,Assumptions!$A$8:$A$33,0))=""),"",M13*IFERROR(INDEX(Assumptions!$B$8:$B$33,MATCH(Assumptions!$B$5,Assumptions!$A$8:$A$33,0)),"")/INDEX(Assumptions!$B$8:$B$33,MATCH($A13,Assumptions!$A$8:$A$33,0))),"")</f>
        <v/>
      </c>
      <c r="P13" s="8" t="n">
        <f aca="false">COUNTIFS(Data!$A$2:$A$1006,$A13,Data!$C$2:$C$1006,"Northeast peers")</f>
        <v>12</v>
      </c>
      <c r="Q13" s="9" t="n">
        <f aca="false">SUMIFS(Data!$L$2:$L$1006,Data!$A$2:$A$1006,$A13,Data!$C$2:$C$1006,"Northeast peers")</f>
        <v>12308890</v>
      </c>
      <c r="R13" s="10" t="n">
        <f aca="false">SUMIFS(Data!$E$2:$E$1006,Data!$A$2:$A$1006,$A13,Data!$C$2:$C$1006,"Northeast peers")</f>
        <v>1144.003743</v>
      </c>
      <c r="S13" s="10" t="n">
        <f aca="false">SUMIFS(Data!$F$2:$F$1006,Data!$A$2:$A$1006,$A13,Data!$C$2:$C$1006,"Northeast peers")</f>
        <v>1218.257658</v>
      </c>
      <c r="T13" s="10" t="n">
        <f aca="false">SUMIFS(Data!$G$2:$G$1006,Data!$A$2:$A$1006,$A13,Data!$C$2:$C$1006,"Northeast peers")</f>
        <v>896.968062</v>
      </c>
      <c r="U13" s="10" t="n">
        <f aca="false">SUMIFS(Data!$N$2:$N$1006,Data!$A$2:$A$1006,$A13,Data!$C$2:$C$1006,"Northeast peers")</f>
        <v>3259.229463</v>
      </c>
      <c r="V13" s="10" t="n">
        <f aca="false">SUMIFS(Data!$H$2:$H$1006,Data!$A$2:$A$1006,$A13,Data!$C$2:$C$1006,"Northeast peers")</f>
        <v>1907.854849</v>
      </c>
      <c r="W13" s="11" t="n">
        <f aca="false">IFERROR(R13*1000000/Q13,"")</f>
        <v>92.9412597724084</v>
      </c>
      <c r="X13" s="11" t="n">
        <f aca="false">IFERROR(S13*1000000/Q13,"")</f>
        <v>98.973803324264</v>
      </c>
      <c r="Y13" s="11" t="n">
        <f aca="false">IFERROR(T13*1000000/Q13,"")</f>
        <v>72.8715637234552</v>
      </c>
      <c r="Z13" s="11" t="n">
        <f aca="false">IFERROR(U13*1000000/Q13,"")</f>
        <v>264.786626820128</v>
      </c>
      <c r="AA13" s="11" t="n">
        <f aca="false">IFERROR(V13*1000000/Q13,"")</f>
        <v>154.998123226384</v>
      </c>
      <c r="AB13" s="12" t="str">
        <f aca="false">IFERROR(IF(OR(IFERROR(INDEX(Assumptions!$B$8:$B$33,MATCH(Assumptions!$B$5,Assumptions!$A$8:$A$33,0)),"")="",INDEX(Assumptions!$B$8:$B$33,MATCH($A13,Assumptions!$A$8:$A$33,0))=""),"",Z13*IFERROR(INDEX(Assumptions!$B$8:$B$33,MATCH(Assumptions!$B$5,Assumptions!$A$8:$A$33,0)),"")/INDEX(Assumptions!$B$8:$B$33,MATCH($A13,Assumptions!$A$8:$A$33,0))),"")</f>
        <v/>
      </c>
      <c r="AC13" s="12" t="str">
        <f aca="false">IFERROR(IF(OR(IFERROR(INDEX(Assumptions!$B$8:$B$33,MATCH(Assumptions!$B$5,Assumptions!$A$8:$A$33,0)),"")="",INDEX(Assumptions!$B$8:$B$33,MATCH($A13,Assumptions!$A$8:$A$33,0))=""),"",AA13*IFERROR(INDEX(Assumptions!$B$8:$B$33,MATCH(Assumptions!$B$5,Assumptions!$A$8:$A$33,0)),"")/INDEX(Assumptions!$B$8:$B$33,MATCH($A13,Assumptions!$A$8:$A$33,0))),"")</f>
        <v/>
      </c>
      <c r="AD13" s="8" t="n">
        <f aca="false">COUNTIFS(Data!$A$2:$A$1006,$A13,Data!$C$2:$C$1006,"Midwest peers")</f>
        <v>17</v>
      </c>
      <c r="AE13" s="9" t="n">
        <f aca="false">SUMIFS(Data!$L$2:$L$1006,Data!$A$2:$A$1006,$A13,Data!$C$2:$C$1006,"Midwest peers")</f>
        <v>11646245</v>
      </c>
      <c r="AF13" s="10" t="n">
        <f aca="false">SUMIFS(Data!$E$2:$E$1006,Data!$A$2:$A$1006,$A13,Data!$C$2:$C$1006,"Midwest peers")</f>
        <v>1118.394199</v>
      </c>
      <c r="AG13" s="10" t="n">
        <f aca="false">SUMIFS(Data!$F$2:$F$1006,Data!$A$2:$A$1006,$A13,Data!$C$2:$C$1006,"Midwest peers")</f>
        <v>981.837435</v>
      </c>
      <c r="AH13" s="10" t="n">
        <f aca="false">SUMIFS(Data!$G$2:$G$1006,Data!$A$2:$A$1006,$A13,Data!$C$2:$C$1006,"Midwest peers")</f>
        <v>986.115717</v>
      </c>
      <c r="AI13" s="10" t="n">
        <f aca="false">SUMIFS(Data!$N$2:$N$1006,Data!$A$2:$A$1006,$A13,Data!$C$2:$C$1006,"Midwest peers")</f>
        <v>3086.347351</v>
      </c>
      <c r="AJ13" s="10" t="n">
        <f aca="false">SUMIFS(Data!$H$2:$H$1006,Data!$A$2:$A$1006,$A13,Data!$C$2:$C$1006,"Midwest peers")</f>
        <v>1805.470273</v>
      </c>
      <c r="AK13" s="11" t="n">
        <f aca="false">IFERROR(AF13*1000000/AE13,"")</f>
        <v>96.0304543653341</v>
      </c>
      <c r="AL13" s="11" t="n">
        <f aca="false">IFERROR(AG13*1000000/AE13,"")</f>
        <v>84.3050644220519</v>
      </c>
      <c r="AM13" s="11" t="n">
        <f aca="false">IFERROR(AH13*1000000/AE13,"")</f>
        <v>84.672417332797</v>
      </c>
      <c r="AN13" s="11" t="n">
        <f aca="false">IFERROR(AI13*1000000/AE13,"")</f>
        <v>265.007936120183</v>
      </c>
      <c r="AO13" s="11" t="n">
        <f aca="false">IFERROR(AJ13*1000000/AE13,"")</f>
        <v>155.025956692479</v>
      </c>
      <c r="AP13" s="12" t="str">
        <f aca="false">IFERROR(IF(OR(IFERROR(INDEX(Assumptions!$B$8:$B$33,MATCH(Assumptions!$B$5,Assumptions!$A$8:$A$33,0)),"")="",INDEX(Assumptions!$B$8:$B$33,MATCH($A13,Assumptions!$A$8:$A$33,0))=""),"",AN13*IFERROR(INDEX(Assumptions!$B$8:$B$33,MATCH(Assumptions!$B$5,Assumptions!$A$8:$A$33,0)),"")/INDEX(Assumptions!$B$8:$B$33,MATCH($A13,Assumptions!$A$8:$A$33,0))),"")</f>
        <v/>
      </c>
      <c r="AQ13" s="12" t="str">
        <f aca="false">IFERROR(IF(OR(IFERROR(INDEX(Assumptions!$B$8:$B$33,MATCH(Assumptions!$B$5,Assumptions!$A$8:$A$33,0)),"")="",INDEX(Assumptions!$B$8:$B$33,MATCH($A13,Assumptions!$A$8:$A$33,0))=""),"",AO13*IFERROR(INDEX(Assumptions!$B$8:$B$33,MATCH(Assumptions!$B$5,Assumptions!$A$8:$A$33,0)),"")/INDEX(Assumptions!$B$8:$B$33,MATCH($A13,Assumptions!$A$8:$A$33,0))),"")</f>
        <v/>
      </c>
    </row>
    <row r="14" customFormat="false" ht="15" hidden="false" customHeight="false" outlineLevel="0" collapsed="false">
      <c r="A14" s="7" t="n">
        <v>2009</v>
      </c>
      <c r="B14" s="8" t="n">
        <f aca="false">COUNTIFS(Data!$A$2:$A$1006,$A14,Data!$C$2:$C$1006,"FirstEnergy")</f>
        <v>10</v>
      </c>
      <c r="C14" s="9" t="n">
        <f aca="false">SUMIFS(Data!$L$2:$L$1006,Data!$A$2:$A$1006,$A14,Data!$C$2:$C$1006,"FirstEnergy")</f>
        <v>6077048</v>
      </c>
      <c r="D14" s="10" t="n">
        <f aca="false">SUMIFS(Data!$E$2:$E$1006,Data!$A$2:$A$1006,$A14,Data!$C$2:$C$1006,"FirstEnergy")</f>
        <v>401.30227</v>
      </c>
      <c r="E14" s="10" t="n">
        <f aca="false">SUMIFS(Data!$F$2:$F$1006,Data!$A$2:$A$1006,$A14,Data!$C$2:$C$1006,"FirstEnergy")</f>
        <v>410.585895</v>
      </c>
      <c r="F14" s="10" t="n">
        <f aca="false">SUMIFS(Data!$G$2:$G$1006,Data!$A$2:$A$1006,$A14,Data!$C$2:$C$1006,"FirstEnergy")</f>
        <v>386.98517</v>
      </c>
      <c r="G14" s="10" t="n">
        <f aca="false">SUMIFS(Data!$N$2:$N$1006,Data!$A$2:$A$1006,$A14,Data!$C$2:$C$1006,"FirstEnergy")</f>
        <v>1198.873335</v>
      </c>
      <c r="H14" s="10" t="n">
        <f aca="false">SUMIFS(Data!$H$2:$H$1006,Data!$A$2:$A$1006,$A14,Data!$C$2:$C$1006,"FirstEnergy")</f>
        <v>781.667914</v>
      </c>
      <c r="I14" s="11" t="n">
        <f aca="false">IFERROR(D14*1000000/C14,"")</f>
        <v>66.035724911174</v>
      </c>
      <c r="J14" s="11" t="n">
        <f aca="false">IFERROR(E14*1000000/C14,"")</f>
        <v>67.5633786338367</v>
      </c>
      <c r="K14" s="11" t="n">
        <f aca="false">IFERROR(F14*1000000/C14,"")</f>
        <v>63.6797948609259</v>
      </c>
      <c r="L14" s="11" t="n">
        <f aca="false">IFERROR(G14*1000000/C14,"")</f>
        <v>197.278898405937</v>
      </c>
      <c r="M14" s="11" t="n">
        <f aca="false">IFERROR(H14*1000000/C14,"")</f>
        <v>128.626253075506</v>
      </c>
      <c r="N14" s="12" t="str">
        <f aca="false">IFERROR(IF(OR(IFERROR(INDEX(Assumptions!$B$8:$B$33,MATCH(Assumptions!$B$5,Assumptions!$A$8:$A$33,0)),"")="",INDEX(Assumptions!$B$8:$B$33,MATCH($A14,Assumptions!$A$8:$A$33,0))=""),"",L14*IFERROR(INDEX(Assumptions!$B$8:$B$33,MATCH(Assumptions!$B$5,Assumptions!$A$8:$A$33,0)),"")/INDEX(Assumptions!$B$8:$B$33,MATCH($A14,Assumptions!$A$8:$A$33,0))),"")</f>
        <v/>
      </c>
      <c r="O14" s="12" t="str">
        <f aca="false">IFERROR(IF(OR(IFERROR(INDEX(Assumptions!$B$8:$B$33,MATCH(Assumptions!$B$5,Assumptions!$A$8:$A$33,0)),"")="",INDEX(Assumptions!$B$8:$B$33,MATCH($A14,Assumptions!$A$8:$A$33,0))=""),"",M14*IFERROR(INDEX(Assumptions!$B$8:$B$33,MATCH(Assumptions!$B$5,Assumptions!$A$8:$A$33,0)),"")/INDEX(Assumptions!$B$8:$B$33,MATCH($A14,Assumptions!$A$8:$A$33,0))),"")</f>
        <v/>
      </c>
      <c r="P14" s="8" t="n">
        <f aca="false">COUNTIFS(Data!$A$2:$A$1006,$A14,Data!$C$2:$C$1006,"Northeast peers")</f>
        <v>12</v>
      </c>
      <c r="Q14" s="9" t="n">
        <f aca="false">SUMIFS(Data!$L$2:$L$1006,Data!$A$2:$A$1006,$A14,Data!$C$2:$C$1006,"Northeast peers")</f>
        <v>12347413</v>
      </c>
      <c r="R14" s="10" t="n">
        <f aca="false">SUMIFS(Data!$E$2:$E$1006,Data!$A$2:$A$1006,$A14,Data!$C$2:$C$1006,"Northeast peers")</f>
        <v>1199.823464</v>
      </c>
      <c r="S14" s="10" t="n">
        <f aca="false">SUMIFS(Data!$F$2:$F$1006,Data!$A$2:$A$1006,$A14,Data!$C$2:$C$1006,"Northeast peers")</f>
        <v>1199.565531</v>
      </c>
      <c r="T14" s="10" t="n">
        <f aca="false">SUMIFS(Data!$G$2:$G$1006,Data!$A$2:$A$1006,$A14,Data!$C$2:$C$1006,"Northeast peers")</f>
        <v>925.538274</v>
      </c>
      <c r="U14" s="10" t="n">
        <f aca="false">SUMIFS(Data!$N$2:$N$1006,Data!$A$2:$A$1006,$A14,Data!$C$2:$C$1006,"Northeast peers")</f>
        <v>3324.927269</v>
      </c>
      <c r="V14" s="10" t="n">
        <f aca="false">SUMIFS(Data!$H$2:$H$1006,Data!$A$2:$A$1006,$A14,Data!$C$2:$C$1006,"Northeast peers")</f>
        <v>1904.599723</v>
      </c>
      <c r="W14" s="11" t="n">
        <f aca="false">IFERROR(R14*1000000/Q14,"")</f>
        <v>97.1720524777134</v>
      </c>
      <c r="X14" s="11" t="n">
        <f aca="false">IFERROR(S14*1000000/Q14,"")</f>
        <v>97.1511628387258</v>
      </c>
      <c r="Y14" s="11" t="n">
        <f aca="false">IFERROR(T14*1000000/Q14,"")</f>
        <v>74.9580721078982</v>
      </c>
      <c r="Z14" s="11" t="n">
        <f aca="false">IFERROR(U14*1000000/Q14,"")</f>
        <v>269.281287424337</v>
      </c>
      <c r="AA14" s="11" t="n">
        <f aca="false">IFERROR(V14*1000000/Q14,"")</f>
        <v>154.250912559578</v>
      </c>
      <c r="AB14" s="12" t="str">
        <f aca="false">IFERROR(IF(OR(IFERROR(INDEX(Assumptions!$B$8:$B$33,MATCH(Assumptions!$B$5,Assumptions!$A$8:$A$33,0)),"")="",INDEX(Assumptions!$B$8:$B$33,MATCH($A14,Assumptions!$A$8:$A$33,0))=""),"",Z14*IFERROR(INDEX(Assumptions!$B$8:$B$33,MATCH(Assumptions!$B$5,Assumptions!$A$8:$A$33,0)),"")/INDEX(Assumptions!$B$8:$B$33,MATCH($A14,Assumptions!$A$8:$A$33,0))),"")</f>
        <v/>
      </c>
      <c r="AC14" s="12" t="str">
        <f aca="false">IFERROR(IF(OR(IFERROR(INDEX(Assumptions!$B$8:$B$33,MATCH(Assumptions!$B$5,Assumptions!$A$8:$A$33,0)),"")="",INDEX(Assumptions!$B$8:$B$33,MATCH($A14,Assumptions!$A$8:$A$33,0))=""),"",AA14*IFERROR(INDEX(Assumptions!$B$8:$B$33,MATCH(Assumptions!$B$5,Assumptions!$A$8:$A$33,0)),"")/INDEX(Assumptions!$B$8:$B$33,MATCH($A14,Assumptions!$A$8:$A$33,0))),"")</f>
        <v/>
      </c>
      <c r="AD14" s="8" t="n">
        <f aca="false">COUNTIFS(Data!$A$2:$A$1006,$A14,Data!$C$2:$C$1006,"Midwest peers")</f>
        <v>17</v>
      </c>
      <c r="AE14" s="9" t="n">
        <f aca="false">SUMIFS(Data!$L$2:$L$1006,Data!$A$2:$A$1006,$A14,Data!$C$2:$C$1006,"Midwest peers")</f>
        <v>11645338</v>
      </c>
      <c r="AF14" s="10" t="n">
        <f aca="false">SUMIFS(Data!$E$2:$E$1006,Data!$A$2:$A$1006,$A14,Data!$C$2:$C$1006,"Midwest peers")</f>
        <v>1029.181338</v>
      </c>
      <c r="AG14" s="10" t="n">
        <f aca="false">SUMIFS(Data!$F$2:$F$1006,Data!$A$2:$A$1006,$A14,Data!$C$2:$C$1006,"Midwest peers")</f>
        <v>964.65181</v>
      </c>
      <c r="AH14" s="10" t="n">
        <f aca="false">SUMIFS(Data!$G$2:$G$1006,Data!$A$2:$A$1006,$A14,Data!$C$2:$C$1006,"Midwest peers")</f>
        <v>1025.535247</v>
      </c>
      <c r="AI14" s="10" t="n">
        <f aca="false">SUMIFS(Data!$N$2:$N$1006,Data!$A$2:$A$1006,$A14,Data!$C$2:$C$1006,"Midwest peers")</f>
        <v>3019.368395</v>
      </c>
      <c r="AJ14" s="10" t="n">
        <f aca="false">SUMIFS(Data!$H$2:$H$1006,Data!$A$2:$A$1006,$A14,Data!$C$2:$C$1006,"Midwest peers")</f>
        <v>1658.776887</v>
      </c>
      <c r="AK14" s="11" t="n">
        <f aca="false">IFERROR(AF14*1000000/AE14,"")</f>
        <v>88.3771117678165</v>
      </c>
      <c r="AL14" s="11" t="n">
        <f aca="false">IFERROR(AG14*1000000/AE14,"")</f>
        <v>82.8358790444726</v>
      </c>
      <c r="AM14" s="11" t="n">
        <f aca="false">IFERROR(AH14*1000000/AE14,"")</f>
        <v>88.0640172917265</v>
      </c>
      <c r="AN14" s="11" t="n">
        <f aca="false">IFERROR(AI14*1000000/AE14,"")</f>
        <v>259.277008104016</v>
      </c>
      <c r="AO14" s="11" t="n">
        <f aca="false">IFERROR(AJ14*1000000/AE14,"")</f>
        <v>142.441283112607</v>
      </c>
      <c r="AP14" s="12" t="str">
        <f aca="false">IFERROR(IF(OR(IFERROR(INDEX(Assumptions!$B$8:$B$33,MATCH(Assumptions!$B$5,Assumptions!$A$8:$A$33,0)),"")="",INDEX(Assumptions!$B$8:$B$33,MATCH($A14,Assumptions!$A$8:$A$33,0))=""),"",AN14*IFERROR(INDEX(Assumptions!$B$8:$B$33,MATCH(Assumptions!$B$5,Assumptions!$A$8:$A$33,0)),"")/INDEX(Assumptions!$B$8:$B$33,MATCH($A14,Assumptions!$A$8:$A$33,0))),"")</f>
        <v/>
      </c>
      <c r="AQ14" s="12" t="str">
        <f aca="false">IFERROR(IF(OR(IFERROR(INDEX(Assumptions!$B$8:$B$33,MATCH(Assumptions!$B$5,Assumptions!$A$8:$A$33,0)),"")="",INDEX(Assumptions!$B$8:$B$33,MATCH($A14,Assumptions!$A$8:$A$33,0))=""),"",AO14*IFERROR(INDEX(Assumptions!$B$8:$B$33,MATCH(Assumptions!$B$5,Assumptions!$A$8:$A$33,0)),"")/INDEX(Assumptions!$B$8:$B$33,MATCH($A14,Assumptions!$A$8:$A$33,0))),"")</f>
        <v/>
      </c>
    </row>
    <row r="15" customFormat="false" ht="15" hidden="false" customHeight="false" outlineLevel="0" collapsed="false">
      <c r="A15" s="7" t="n">
        <v>2010</v>
      </c>
      <c r="B15" s="8" t="n">
        <f aca="false">COUNTIFS(Data!$A$2:$A$1006,$A15,Data!$C$2:$C$1006,"FirstEnergy")</f>
        <v>10</v>
      </c>
      <c r="C15" s="9" t="n">
        <f aca="false">SUMIFS(Data!$L$2:$L$1006,Data!$A$2:$A$1006,$A15,Data!$C$2:$C$1006,"FirstEnergy")</f>
        <v>6081211</v>
      </c>
      <c r="D15" s="10" t="n">
        <f aca="false">SUMIFS(Data!$E$2:$E$1006,Data!$A$2:$A$1006,$A15,Data!$C$2:$C$1006,"FirstEnergy")</f>
        <v>398.102875</v>
      </c>
      <c r="E15" s="10" t="n">
        <f aca="false">SUMIFS(Data!$F$2:$F$1006,Data!$A$2:$A$1006,$A15,Data!$C$2:$C$1006,"FirstEnergy")</f>
        <v>420.835193</v>
      </c>
      <c r="F15" s="10" t="n">
        <f aca="false">SUMIFS(Data!$G$2:$G$1006,Data!$A$2:$A$1006,$A15,Data!$C$2:$C$1006,"FirstEnergy")</f>
        <v>397.050293</v>
      </c>
      <c r="G15" s="10" t="n">
        <f aca="false">SUMIFS(Data!$N$2:$N$1006,Data!$A$2:$A$1006,$A15,Data!$C$2:$C$1006,"FirstEnergy")</f>
        <v>1215.988361</v>
      </c>
      <c r="H15" s="10" t="n">
        <f aca="false">SUMIFS(Data!$H$2:$H$1006,Data!$A$2:$A$1006,$A15,Data!$C$2:$C$1006,"FirstEnergy")</f>
        <v>752.649073</v>
      </c>
      <c r="I15" s="11" t="n">
        <f aca="false">IFERROR(D15*1000000/C15,"")</f>
        <v>65.464407500414</v>
      </c>
      <c r="J15" s="11" t="n">
        <f aca="false">IFERROR(E15*1000000/C15,"")</f>
        <v>69.2025310419257</v>
      </c>
      <c r="K15" s="11" t="n">
        <f aca="false">IFERROR(F15*1000000/C15,"")</f>
        <v>65.2913199361114</v>
      </c>
      <c r="L15" s="11" t="n">
        <f aca="false">IFERROR(G15*1000000/C15,"")</f>
        <v>199.958258478451</v>
      </c>
      <c r="M15" s="11" t="n">
        <f aca="false">IFERROR(H15*1000000/C15,"")</f>
        <v>123.766314472561</v>
      </c>
      <c r="N15" s="12" t="str">
        <f aca="false">IFERROR(IF(OR(IFERROR(INDEX(Assumptions!$B$8:$B$33,MATCH(Assumptions!$B$5,Assumptions!$A$8:$A$33,0)),"")="",INDEX(Assumptions!$B$8:$B$33,MATCH($A15,Assumptions!$A$8:$A$33,0))=""),"",L15*IFERROR(INDEX(Assumptions!$B$8:$B$33,MATCH(Assumptions!$B$5,Assumptions!$A$8:$A$33,0)),"")/INDEX(Assumptions!$B$8:$B$33,MATCH($A15,Assumptions!$A$8:$A$33,0))),"")</f>
        <v/>
      </c>
      <c r="O15" s="12" t="str">
        <f aca="false">IFERROR(IF(OR(IFERROR(INDEX(Assumptions!$B$8:$B$33,MATCH(Assumptions!$B$5,Assumptions!$A$8:$A$33,0)),"")="",INDEX(Assumptions!$B$8:$B$33,MATCH($A15,Assumptions!$A$8:$A$33,0))=""),"",M15*IFERROR(INDEX(Assumptions!$B$8:$B$33,MATCH(Assumptions!$B$5,Assumptions!$A$8:$A$33,0)),"")/INDEX(Assumptions!$B$8:$B$33,MATCH($A15,Assumptions!$A$8:$A$33,0))),"")</f>
        <v/>
      </c>
      <c r="P15" s="8" t="n">
        <f aca="false">COUNTIFS(Data!$A$2:$A$1006,$A15,Data!$C$2:$C$1006,"Northeast peers")</f>
        <v>12</v>
      </c>
      <c r="Q15" s="9" t="n">
        <f aca="false">SUMIFS(Data!$L$2:$L$1006,Data!$A$2:$A$1006,$A15,Data!$C$2:$C$1006,"Northeast peers")</f>
        <v>12396097</v>
      </c>
      <c r="R15" s="10" t="n">
        <f aca="false">SUMIFS(Data!$E$2:$E$1006,Data!$A$2:$A$1006,$A15,Data!$C$2:$C$1006,"Northeast peers")</f>
        <v>1316.926447</v>
      </c>
      <c r="S15" s="10" t="n">
        <f aca="false">SUMIFS(Data!$F$2:$F$1006,Data!$A$2:$A$1006,$A15,Data!$C$2:$C$1006,"Northeast peers")</f>
        <v>1468.26038</v>
      </c>
      <c r="T15" s="10" t="n">
        <f aca="false">SUMIFS(Data!$G$2:$G$1006,Data!$A$2:$A$1006,$A15,Data!$C$2:$C$1006,"Northeast peers")</f>
        <v>972.72631</v>
      </c>
      <c r="U15" s="10" t="n">
        <f aca="false">SUMIFS(Data!$N$2:$N$1006,Data!$A$2:$A$1006,$A15,Data!$C$2:$C$1006,"Northeast peers")</f>
        <v>3757.913137</v>
      </c>
      <c r="V15" s="10" t="n">
        <f aca="false">SUMIFS(Data!$H$2:$H$1006,Data!$A$2:$A$1006,$A15,Data!$C$2:$C$1006,"Northeast peers")</f>
        <v>2068.084131</v>
      </c>
      <c r="W15" s="11" t="n">
        <f aca="false">IFERROR(R15*1000000/Q15,"")</f>
        <v>106.237184736454</v>
      </c>
      <c r="X15" s="11" t="n">
        <f aca="false">IFERROR(S15*1000000/Q15,"")</f>
        <v>118.445376798842</v>
      </c>
      <c r="Y15" s="11" t="n">
        <f aca="false">IFERROR(T15*1000000/Q15,"")</f>
        <v>78.4703693428666</v>
      </c>
      <c r="Z15" s="11" t="n">
        <f aca="false">IFERROR(U15*1000000/Q15,"")</f>
        <v>303.152930878163</v>
      </c>
      <c r="AA15" s="11" t="n">
        <f aca="false">IFERROR(V15*1000000/Q15,"")</f>
        <v>166.833490493016</v>
      </c>
      <c r="AB15" s="12" t="str">
        <f aca="false">IFERROR(IF(OR(IFERROR(INDEX(Assumptions!$B$8:$B$33,MATCH(Assumptions!$B$5,Assumptions!$A$8:$A$33,0)),"")="",INDEX(Assumptions!$B$8:$B$33,MATCH($A15,Assumptions!$A$8:$A$33,0))=""),"",Z15*IFERROR(INDEX(Assumptions!$B$8:$B$33,MATCH(Assumptions!$B$5,Assumptions!$A$8:$A$33,0)),"")/INDEX(Assumptions!$B$8:$B$33,MATCH($A15,Assumptions!$A$8:$A$33,0))),"")</f>
        <v/>
      </c>
      <c r="AC15" s="12" t="str">
        <f aca="false">IFERROR(IF(OR(IFERROR(INDEX(Assumptions!$B$8:$B$33,MATCH(Assumptions!$B$5,Assumptions!$A$8:$A$33,0)),"")="",INDEX(Assumptions!$B$8:$B$33,MATCH($A15,Assumptions!$A$8:$A$33,0))=""),"",AA15*IFERROR(INDEX(Assumptions!$B$8:$B$33,MATCH(Assumptions!$B$5,Assumptions!$A$8:$A$33,0)),"")/INDEX(Assumptions!$B$8:$B$33,MATCH($A15,Assumptions!$A$8:$A$33,0))),"")</f>
        <v/>
      </c>
      <c r="AD15" s="8" t="n">
        <f aca="false">COUNTIFS(Data!$A$2:$A$1006,$A15,Data!$C$2:$C$1006,"Midwest peers")</f>
        <v>17</v>
      </c>
      <c r="AE15" s="9" t="n">
        <f aca="false">SUMIFS(Data!$L$2:$L$1006,Data!$A$2:$A$1006,$A15,Data!$C$2:$C$1006,"Midwest peers")</f>
        <v>11649576</v>
      </c>
      <c r="AF15" s="10" t="n">
        <f aca="false">SUMIFS(Data!$E$2:$E$1006,Data!$A$2:$A$1006,$A15,Data!$C$2:$C$1006,"Midwest peers")</f>
        <v>1083.768003</v>
      </c>
      <c r="AG15" s="10" t="n">
        <f aca="false">SUMIFS(Data!$F$2:$F$1006,Data!$A$2:$A$1006,$A15,Data!$C$2:$C$1006,"Midwest peers")</f>
        <v>1067.642184</v>
      </c>
      <c r="AH15" s="10" t="n">
        <f aca="false">SUMIFS(Data!$G$2:$G$1006,Data!$A$2:$A$1006,$A15,Data!$C$2:$C$1006,"Midwest peers")</f>
        <v>1048.539158</v>
      </c>
      <c r="AI15" s="10" t="n">
        <f aca="false">SUMIFS(Data!$N$2:$N$1006,Data!$A$2:$A$1006,$A15,Data!$C$2:$C$1006,"Midwest peers")</f>
        <v>3199.949345</v>
      </c>
      <c r="AJ15" s="10" t="n">
        <f aca="false">SUMIFS(Data!$H$2:$H$1006,Data!$A$2:$A$1006,$A15,Data!$C$2:$C$1006,"Midwest peers")</f>
        <v>1605.971458</v>
      </c>
      <c r="AK15" s="11" t="n">
        <f aca="false">IFERROR(AF15*1000000/AE15,"")</f>
        <v>93.0306822325551</v>
      </c>
      <c r="AL15" s="11" t="n">
        <f aca="false">IFERROR(AG15*1000000/AE15,"")</f>
        <v>91.6464413812142</v>
      </c>
      <c r="AM15" s="11" t="n">
        <f aca="false">IFERROR(AH15*1000000/AE15,"")</f>
        <v>90.0066369797493</v>
      </c>
      <c r="AN15" s="11" t="n">
        <f aca="false">IFERROR(AI15*1000000/AE15,"")</f>
        <v>274.683760593519</v>
      </c>
      <c r="AO15" s="11" t="n">
        <f aca="false">IFERROR(AJ15*1000000/AE15,"")</f>
        <v>137.856644568008</v>
      </c>
      <c r="AP15" s="12" t="str">
        <f aca="false">IFERROR(IF(OR(IFERROR(INDEX(Assumptions!$B$8:$B$33,MATCH(Assumptions!$B$5,Assumptions!$A$8:$A$33,0)),"")="",INDEX(Assumptions!$B$8:$B$33,MATCH($A15,Assumptions!$A$8:$A$33,0))=""),"",AN15*IFERROR(INDEX(Assumptions!$B$8:$B$33,MATCH(Assumptions!$B$5,Assumptions!$A$8:$A$33,0)),"")/INDEX(Assumptions!$B$8:$B$33,MATCH($A15,Assumptions!$A$8:$A$33,0))),"")</f>
        <v/>
      </c>
      <c r="AQ15" s="12" t="str">
        <f aca="false">IFERROR(IF(OR(IFERROR(INDEX(Assumptions!$B$8:$B$33,MATCH(Assumptions!$B$5,Assumptions!$A$8:$A$33,0)),"")="",INDEX(Assumptions!$B$8:$B$33,MATCH($A15,Assumptions!$A$8:$A$33,0))=""),"",AO15*IFERROR(INDEX(Assumptions!$B$8:$B$33,MATCH(Assumptions!$B$5,Assumptions!$A$8:$A$33,0)),"")/INDEX(Assumptions!$B$8:$B$33,MATCH($A15,Assumptions!$A$8:$A$33,0))),"")</f>
        <v/>
      </c>
    </row>
    <row r="16" customFormat="false" ht="15" hidden="false" customHeight="false" outlineLevel="0" collapsed="false">
      <c r="A16" s="7" t="n">
        <v>2011</v>
      </c>
      <c r="B16" s="8" t="n">
        <f aca="false">COUNTIFS(Data!$A$2:$A$1006,$A16,Data!$C$2:$C$1006,"FirstEnergy")</f>
        <v>10</v>
      </c>
      <c r="C16" s="9" t="n">
        <f aca="false">SUMIFS(Data!$L$2:$L$1006,Data!$A$2:$A$1006,$A16,Data!$C$2:$C$1006,"FirstEnergy")</f>
        <v>5987117</v>
      </c>
      <c r="D16" s="10" t="n">
        <f aca="false">SUMIFS(Data!$E$2:$E$1006,Data!$A$2:$A$1006,$A16,Data!$C$2:$C$1006,"FirstEnergy")</f>
        <v>443.02297</v>
      </c>
      <c r="E16" s="10" t="n">
        <f aca="false">SUMIFS(Data!$F$2:$F$1006,Data!$A$2:$A$1006,$A16,Data!$C$2:$C$1006,"FirstEnergy")</f>
        <v>509.245015</v>
      </c>
      <c r="F16" s="10" t="n">
        <f aca="false">SUMIFS(Data!$G$2:$G$1006,Data!$A$2:$A$1006,$A16,Data!$C$2:$C$1006,"FirstEnergy")</f>
        <v>463.592021</v>
      </c>
      <c r="G16" s="10" t="n">
        <f aca="false">SUMIFS(Data!$N$2:$N$1006,Data!$A$2:$A$1006,$A16,Data!$C$2:$C$1006,"FirstEnergy")</f>
        <v>1415.860006</v>
      </c>
      <c r="H16" s="10" t="n">
        <f aca="false">SUMIFS(Data!$H$2:$H$1006,Data!$A$2:$A$1006,$A16,Data!$C$2:$C$1006,"FirstEnergy")</f>
        <v>700.501181</v>
      </c>
      <c r="I16" s="11" t="n">
        <f aca="false">IFERROR(D16*1000000/C16,"")</f>
        <v>73.9960435047453</v>
      </c>
      <c r="J16" s="11" t="n">
        <f aca="false">IFERROR(E16*1000000/C16,"")</f>
        <v>85.0568002930292</v>
      </c>
      <c r="K16" s="11" t="n">
        <f aca="false">IFERROR(F16*1000000/C16,"")</f>
        <v>77.4315953738669</v>
      </c>
      <c r="L16" s="11" t="n">
        <f aca="false">IFERROR(G16*1000000/C16,"")</f>
        <v>236.484439171641</v>
      </c>
      <c r="M16" s="11" t="n">
        <f aca="false">IFERROR(H16*1000000/C16,"")</f>
        <v>117.001418378829</v>
      </c>
      <c r="N16" s="12" t="str">
        <f aca="false">IFERROR(IF(OR(IFERROR(INDEX(Assumptions!$B$8:$B$33,MATCH(Assumptions!$B$5,Assumptions!$A$8:$A$33,0)),"")="",INDEX(Assumptions!$B$8:$B$33,MATCH($A16,Assumptions!$A$8:$A$33,0))=""),"",L16*IFERROR(INDEX(Assumptions!$B$8:$B$33,MATCH(Assumptions!$B$5,Assumptions!$A$8:$A$33,0)),"")/INDEX(Assumptions!$B$8:$B$33,MATCH($A16,Assumptions!$A$8:$A$33,0))),"")</f>
        <v/>
      </c>
      <c r="O16" s="12" t="str">
        <f aca="false">IFERROR(IF(OR(IFERROR(INDEX(Assumptions!$B$8:$B$33,MATCH(Assumptions!$B$5,Assumptions!$A$8:$A$33,0)),"")="",INDEX(Assumptions!$B$8:$B$33,MATCH($A16,Assumptions!$A$8:$A$33,0))=""),"",M16*IFERROR(INDEX(Assumptions!$B$8:$B$33,MATCH(Assumptions!$B$5,Assumptions!$A$8:$A$33,0)),"")/INDEX(Assumptions!$B$8:$B$33,MATCH($A16,Assumptions!$A$8:$A$33,0))),"")</f>
        <v/>
      </c>
      <c r="P16" s="8" t="n">
        <f aca="false">COUNTIFS(Data!$A$2:$A$1006,$A16,Data!$C$2:$C$1006,"Northeast peers")</f>
        <v>12</v>
      </c>
      <c r="Q16" s="9" t="n">
        <f aca="false">SUMIFS(Data!$L$2:$L$1006,Data!$A$2:$A$1006,$A16,Data!$C$2:$C$1006,"Northeast peers")</f>
        <v>12419140</v>
      </c>
      <c r="R16" s="10" t="n">
        <f aca="false">SUMIFS(Data!$E$2:$E$1006,Data!$A$2:$A$1006,$A16,Data!$C$2:$C$1006,"Northeast peers")</f>
        <v>1368.914438</v>
      </c>
      <c r="S16" s="10" t="n">
        <f aca="false">SUMIFS(Data!$F$2:$F$1006,Data!$A$2:$A$1006,$A16,Data!$C$2:$C$1006,"Northeast peers")</f>
        <v>1568.833972</v>
      </c>
      <c r="T16" s="10" t="n">
        <f aca="false">SUMIFS(Data!$G$2:$G$1006,Data!$A$2:$A$1006,$A16,Data!$C$2:$C$1006,"Northeast peers")</f>
        <v>1034.60111</v>
      </c>
      <c r="U16" s="10" t="n">
        <f aca="false">SUMIFS(Data!$N$2:$N$1006,Data!$A$2:$A$1006,$A16,Data!$C$2:$C$1006,"Northeast peers")</f>
        <v>3972.34952</v>
      </c>
      <c r="V16" s="10" t="n">
        <f aca="false">SUMIFS(Data!$H$2:$H$1006,Data!$A$2:$A$1006,$A16,Data!$C$2:$C$1006,"Northeast peers")</f>
        <v>2108.054468</v>
      </c>
      <c r="W16" s="11" t="n">
        <f aca="false">IFERROR(R16*1000000/Q16,"")</f>
        <v>110.226186193247</v>
      </c>
      <c r="X16" s="11" t="n">
        <f aca="false">IFERROR(S16*1000000/Q16,"")</f>
        <v>126.323881685849</v>
      </c>
      <c r="Y16" s="11" t="n">
        <f aca="false">IFERROR(T16*1000000/Q16,"")</f>
        <v>83.306985024728</v>
      </c>
      <c r="Z16" s="11" t="n">
        <f aca="false">IFERROR(U16*1000000/Q16,"")</f>
        <v>319.857052903824</v>
      </c>
      <c r="AA16" s="11" t="n">
        <f aca="false">IFERROR(V16*1000000/Q16,"")</f>
        <v>169.74238699298</v>
      </c>
      <c r="AB16" s="12" t="str">
        <f aca="false">IFERROR(IF(OR(IFERROR(INDEX(Assumptions!$B$8:$B$33,MATCH(Assumptions!$B$5,Assumptions!$A$8:$A$33,0)),"")="",INDEX(Assumptions!$B$8:$B$33,MATCH($A16,Assumptions!$A$8:$A$33,0))=""),"",Z16*IFERROR(INDEX(Assumptions!$B$8:$B$33,MATCH(Assumptions!$B$5,Assumptions!$A$8:$A$33,0)),"")/INDEX(Assumptions!$B$8:$B$33,MATCH($A16,Assumptions!$A$8:$A$33,0))),"")</f>
        <v/>
      </c>
      <c r="AC16" s="12" t="str">
        <f aca="false">IFERROR(IF(OR(IFERROR(INDEX(Assumptions!$B$8:$B$33,MATCH(Assumptions!$B$5,Assumptions!$A$8:$A$33,0)),"")="",INDEX(Assumptions!$B$8:$B$33,MATCH($A16,Assumptions!$A$8:$A$33,0))=""),"",AA16*IFERROR(INDEX(Assumptions!$B$8:$B$33,MATCH(Assumptions!$B$5,Assumptions!$A$8:$A$33,0)),"")/INDEX(Assumptions!$B$8:$B$33,MATCH($A16,Assumptions!$A$8:$A$33,0))),"")</f>
        <v/>
      </c>
      <c r="AD16" s="8" t="n">
        <f aca="false">COUNTIFS(Data!$A$2:$A$1006,$A16,Data!$C$2:$C$1006,"Midwest peers")</f>
        <v>17</v>
      </c>
      <c r="AE16" s="9" t="n">
        <f aca="false">SUMIFS(Data!$L$2:$L$1006,Data!$A$2:$A$1006,$A16,Data!$C$2:$C$1006,"Midwest peers")</f>
        <v>11685397</v>
      </c>
      <c r="AF16" s="10" t="n">
        <f aca="false">SUMIFS(Data!$E$2:$E$1006,Data!$A$2:$A$1006,$A16,Data!$C$2:$C$1006,"Midwest peers")</f>
        <v>1198.588913</v>
      </c>
      <c r="AG16" s="10" t="n">
        <f aca="false">SUMIFS(Data!$F$2:$F$1006,Data!$A$2:$A$1006,$A16,Data!$C$2:$C$1006,"Midwest peers")</f>
        <v>1139.240139</v>
      </c>
      <c r="AH16" s="10" t="n">
        <f aca="false">SUMIFS(Data!$G$2:$G$1006,Data!$A$2:$A$1006,$A16,Data!$C$2:$C$1006,"Midwest peers")</f>
        <v>1054.495773</v>
      </c>
      <c r="AI16" s="10" t="n">
        <f aca="false">SUMIFS(Data!$N$2:$N$1006,Data!$A$2:$A$1006,$A16,Data!$C$2:$C$1006,"Midwest peers")</f>
        <v>3392.324825</v>
      </c>
      <c r="AJ16" s="10" t="n">
        <f aca="false">SUMIFS(Data!$H$2:$H$1006,Data!$A$2:$A$1006,$A16,Data!$C$2:$C$1006,"Midwest peers")</f>
        <v>1662.426084</v>
      </c>
      <c r="AK16" s="11" t="n">
        <f aca="false">IFERROR(AF16*1000000/AE16,"")</f>
        <v>102.571518366043</v>
      </c>
      <c r="AL16" s="11" t="n">
        <f aca="false">IFERROR(AG16*1000000/AE16,"")</f>
        <v>97.4926345249545</v>
      </c>
      <c r="AM16" s="11" t="n">
        <f aca="false">IFERROR(AH16*1000000/AE16,"")</f>
        <v>90.2404747566557</v>
      </c>
      <c r="AN16" s="11" t="n">
        <f aca="false">IFERROR(AI16*1000000/AE16,"")</f>
        <v>290.304627647653</v>
      </c>
      <c r="AO16" s="11" t="n">
        <f aca="false">IFERROR(AJ16*1000000/AE16,"")</f>
        <v>142.265263559295</v>
      </c>
      <c r="AP16" s="12" t="str">
        <f aca="false">IFERROR(IF(OR(IFERROR(INDEX(Assumptions!$B$8:$B$33,MATCH(Assumptions!$B$5,Assumptions!$A$8:$A$33,0)),"")="",INDEX(Assumptions!$B$8:$B$33,MATCH($A16,Assumptions!$A$8:$A$33,0))=""),"",AN16*IFERROR(INDEX(Assumptions!$B$8:$B$33,MATCH(Assumptions!$B$5,Assumptions!$A$8:$A$33,0)),"")/INDEX(Assumptions!$B$8:$B$33,MATCH($A16,Assumptions!$A$8:$A$33,0))),"")</f>
        <v/>
      </c>
      <c r="AQ16" s="12" t="str">
        <f aca="false">IFERROR(IF(OR(IFERROR(INDEX(Assumptions!$B$8:$B$33,MATCH(Assumptions!$B$5,Assumptions!$A$8:$A$33,0)),"")="",INDEX(Assumptions!$B$8:$B$33,MATCH($A16,Assumptions!$A$8:$A$33,0))=""),"",AO16*IFERROR(INDEX(Assumptions!$B$8:$B$33,MATCH(Assumptions!$B$5,Assumptions!$A$8:$A$33,0)),"")/INDEX(Assumptions!$B$8:$B$33,MATCH($A16,Assumptions!$A$8:$A$33,0))),"")</f>
        <v/>
      </c>
    </row>
    <row r="17" customFormat="false" ht="15" hidden="false" customHeight="false" outlineLevel="0" collapsed="false">
      <c r="A17" s="7" t="n">
        <v>2012</v>
      </c>
      <c r="B17" s="8" t="n">
        <f aca="false">COUNTIFS(Data!$A$2:$A$1006,$A17,Data!$C$2:$C$1006,"FirstEnergy")</f>
        <v>10</v>
      </c>
      <c r="C17" s="9" t="n">
        <f aca="false">SUMIFS(Data!$L$2:$L$1006,Data!$A$2:$A$1006,$A17,Data!$C$2:$C$1006,"FirstEnergy")</f>
        <v>5982083</v>
      </c>
      <c r="D17" s="10" t="n">
        <f aca="false">SUMIFS(Data!$E$2:$E$1006,Data!$A$2:$A$1006,$A17,Data!$C$2:$C$1006,"FirstEnergy")</f>
        <v>534.63053</v>
      </c>
      <c r="E17" s="10" t="n">
        <f aca="false">SUMIFS(Data!$F$2:$F$1006,Data!$A$2:$A$1006,$A17,Data!$C$2:$C$1006,"FirstEnergy")</f>
        <v>541.293261</v>
      </c>
      <c r="F17" s="10" t="n">
        <f aca="false">SUMIFS(Data!$G$2:$G$1006,Data!$A$2:$A$1006,$A17,Data!$C$2:$C$1006,"FirstEnergy")</f>
        <v>623.941912</v>
      </c>
      <c r="G17" s="10" t="n">
        <f aca="false">SUMIFS(Data!$N$2:$N$1006,Data!$A$2:$A$1006,$A17,Data!$C$2:$C$1006,"FirstEnergy")</f>
        <v>1699.865703</v>
      </c>
      <c r="H17" s="10" t="n">
        <f aca="false">SUMIFS(Data!$H$2:$H$1006,Data!$A$2:$A$1006,$A17,Data!$C$2:$C$1006,"FirstEnergy")</f>
        <v>1583.839162</v>
      </c>
      <c r="I17" s="11" t="n">
        <f aca="false">IFERROR(D17*1000000/C17,"")</f>
        <v>89.371967924885</v>
      </c>
      <c r="J17" s="11" t="n">
        <f aca="false">IFERROR(E17*1000000/C17,"")</f>
        <v>90.4857490275545</v>
      </c>
      <c r="K17" s="11" t="n">
        <f aca="false">IFERROR(F17*1000000/C17,"")</f>
        <v>104.301781168867</v>
      </c>
      <c r="L17" s="11" t="n">
        <f aca="false">IFERROR(G17*1000000/C17,"")</f>
        <v>284.159498121307</v>
      </c>
      <c r="M17" s="11" t="n">
        <f aca="false">IFERROR(H17*1000000/C17,"")</f>
        <v>264.763822568159</v>
      </c>
      <c r="N17" s="12" t="str">
        <f aca="false">IFERROR(IF(OR(IFERROR(INDEX(Assumptions!$B$8:$B$33,MATCH(Assumptions!$B$5,Assumptions!$A$8:$A$33,0)),"")="",INDEX(Assumptions!$B$8:$B$33,MATCH($A17,Assumptions!$A$8:$A$33,0))=""),"",L17*IFERROR(INDEX(Assumptions!$B$8:$B$33,MATCH(Assumptions!$B$5,Assumptions!$A$8:$A$33,0)),"")/INDEX(Assumptions!$B$8:$B$33,MATCH($A17,Assumptions!$A$8:$A$33,0))),"")</f>
        <v/>
      </c>
      <c r="O17" s="12" t="str">
        <f aca="false">IFERROR(IF(OR(IFERROR(INDEX(Assumptions!$B$8:$B$33,MATCH(Assumptions!$B$5,Assumptions!$A$8:$A$33,0)),"")="",INDEX(Assumptions!$B$8:$B$33,MATCH($A17,Assumptions!$A$8:$A$33,0))=""),"",M17*IFERROR(INDEX(Assumptions!$B$8:$B$33,MATCH(Assumptions!$B$5,Assumptions!$A$8:$A$33,0)),"")/INDEX(Assumptions!$B$8:$B$33,MATCH($A17,Assumptions!$A$8:$A$33,0))),"")</f>
        <v/>
      </c>
      <c r="P17" s="8" t="n">
        <f aca="false">COUNTIFS(Data!$A$2:$A$1006,$A17,Data!$C$2:$C$1006,"Northeast peers")</f>
        <v>12</v>
      </c>
      <c r="Q17" s="9" t="n">
        <f aca="false">SUMIFS(Data!$L$2:$L$1006,Data!$A$2:$A$1006,$A17,Data!$C$2:$C$1006,"Northeast peers")</f>
        <v>12442638</v>
      </c>
      <c r="R17" s="10" t="n">
        <f aca="false">SUMIFS(Data!$E$2:$E$1006,Data!$A$2:$A$1006,$A17,Data!$C$2:$C$1006,"Northeast peers")</f>
        <v>1426.002456</v>
      </c>
      <c r="S17" s="10" t="n">
        <f aca="false">SUMIFS(Data!$F$2:$F$1006,Data!$A$2:$A$1006,$A17,Data!$C$2:$C$1006,"Northeast peers")</f>
        <v>1641.088707</v>
      </c>
      <c r="T17" s="10" t="n">
        <f aca="false">SUMIFS(Data!$G$2:$G$1006,Data!$A$2:$A$1006,$A17,Data!$C$2:$C$1006,"Northeast peers")</f>
        <v>1043.031601</v>
      </c>
      <c r="U17" s="10" t="n">
        <f aca="false">SUMIFS(Data!$N$2:$N$1006,Data!$A$2:$A$1006,$A17,Data!$C$2:$C$1006,"Northeast peers")</f>
        <v>4110.122764</v>
      </c>
      <c r="V17" s="10" t="n">
        <f aca="false">SUMIFS(Data!$H$2:$H$1006,Data!$A$2:$A$1006,$A17,Data!$C$2:$C$1006,"Northeast peers")</f>
        <v>2449.972419</v>
      </c>
      <c r="W17" s="11" t="n">
        <f aca="false">IFERROR(R17*1000000/Q17,"")</f>
        <v>114.606119377579</v>
      </c>
      <c r="X17" s="11" t="n">
        <f aca="false">IFERROR(S17*1000000/Q17,"")</f>
        <v>131.892345256689</v>
      </c>
      <c r="Y17" s="11" t="n">
        <f aca="false">IFERROR(T17*1000000/Q17,"")</f>
        <v>83.8272077834298</v>
      </c>
      <c r="Z17" s="11" t="n">
        <f aca="false">IFERROR(U17*1000000/Q17,"")</f>
        <v>330.325672417698</v>
      </c>
      <c r="AA17" s="11" t="n">
        <f aca="false">IFERROR(V17*1000000/Q17,"")</f>
        <v>196.901366012577</v>
      </c>
      <c r="AB17" s="12" t="str">
        <f aca="false">IFERROR(IF(OR(IFERROR(INDEX(Assumptions!$B$8:$B$33,MATCH(Assumptions!$B$5,Assumptions!$A$8:$A$33,0)),"")="",INDEX(Assumptions!$B$8:$B$33,MATCH($A17,Assumptions!$A$8:$A$33,0))=""),"",Z17*IFERROR(INDEX(Assumptions!$B$8:$B$33,MATCH(Assumptions!$B$5,Assumptions!$A$8:$A$33,0)),"")/INDEX(Assumptions!$B$8:$B$33,MATCH($A17,Assumptions!$A$8:$A$33,0))),"")</f>
        <v/>
      </c>
      <c r="AC17" s="12" t="str">
        <f aca="false">IFERROR(IF(OR(IFERROR(INDEX(Assumptions!$B$8:$B$33,MATCH(Assumptions!$B$5,Assumptions!$A$8:$A$33,0)),"")="",INDEX(Assumptions!$B$8:$B$33,MATCH($A17,Assumptions!$A$8:$A$33,0))=""),"",AA17*IFERROR(INDEX(Assumptions!$B$8:$B$33,MATCH(Assumptions!$B$5,Assumptions!$A$8:$A$33,0)),"")/INDEX(Assumptions!$B$8:$B$33,MATCH($A17,Assumptions!$A$8:$A$33,0))),"")</f>
        <v/>
      </c>
      <c r="AD17" s="8" t="n">
        <f aca="false">COUNTIFS(Data!$A$2:$A$1006,$A17,Data!$C$2:$C$1006,"Midwest peers")</f>
        <v>17</v>
      </c>
      <c r="AE17" s="9" t="n">
        <f aca="false">SUMIFS(Data!$L$2:$L$1006,Data!$A$2:$A$1006,$A17,Data!$C$2:$C$1006,"Midwest peers")</f>
        <v>11718128</v>
      </c>
      <c r="AF17" s="10" t="n">
        <f aca="false">SUMIFS(Data!$E$2:$E$1006,Data!$A$2:$A$1006,$A17,Data!$C$2:$C$1006,"Midwest peers")</f>
        <v>1159.322491</v>
      </c>
      <c r="AG17" s="10" t="n">
        <f aca="false">SUMIFS(Data!$F$2:$F$1006,Data!$A$2:$A$1006,$A17,Data!$C$2:$C$1006,"Midwest peers")</f>
        <v>999.080255</v>
      </c>
      <c r="AH17" s="10" t="n">
        <f aca="false">SUMIFS(Data!$G$2:$G$1006,Data!$A$2:$A$1006,$A17,Data!$C$2:$C$1006,"Midwest peers")</f>
        <v>1074.347212</v>
      </c>
      <c r="AI17" s="10" t="n">
        <f aca="false">SUMIFS(Data!$N$2:$N$1006,Data!$A$2:$A$1006,$A17,Data!$C$2:$C$1006,"Midwest peers")</f>
        <v>3232.749958</v>
      </c>
      <c r="AJ17" s="10" t="n">
        <f aca="false">SUMIFS(Data!$H$2:$H$1006,Data!$A$2:$A$1006,$A17,Data!$C$2:$C$1006,"Midwest peers")</f>
        <v>1789.724246</v>
      </c>
      <c r="AK17" s="11" t="n">
        <f aca="false">IFERROR(AF17*1000000/AE17,"")</f>
        <v>98.9341037237347</v>
      </c>
      <c r="AL17" s="11" t="n">
        <f aca="false">IFERROR(AG17*1000000/AE17,"")</f>
        <v>85.2593737668679</v>
      </c>
      <c r="AM17" s="11" t="n">
        <f aca="false">IFERROR(AH17*1000000/AE17,"")</f>
        <v>91.6824950196824</v>
      </c>
      <c r="AN17" s="11" t="n">
        <f aca="false">IFERROR(AI17*1000000/AE17,"")</f>
        <v>275.875972510285</v>
      </c>
      <c r="AO17" s="11" t="n">
        <f aca="false">IFERROR(AJ17*1000000/AE17,"")</f>
        <v>152.731242225721</v>
      </c>
      <c r="AP17" s="12" t="str">
        <f aca="false">IFERROR(IF(OR(IFERROR(INDEX(Assumptions!$B$8:$B$33,MATCH(Assumptions!$B$5,Assumptions!$A$8:$A$33,0)),"")="",INDEX(Assumptions!$B$8:$B$33,MATCH($A17,Assumptions!$A$8:$A$33,0))=""),"",AN17*IFERROR(INDEX(Assumptions!$B$8:$B$33,MATCH(Assumptions!$B$5,Assumptions!$A$8:$A$33,0)),"")/INDEX(Assumptions!$B$8:$B$33,MATCH($A17,Assumptions!$A$8:$A$33,0))),"")</f>
        <v/>
      </c>
      <c r="AQ17" s="12" t="str">
        <f aca="false">IFERROR(IF(OR(IFERROR(INDEX(Assumptions!$B$8:$B$33,MATCH(Assumptions!$B$5,Assumptions!$A$8:$A$33,0)),"")="",INDEX(Assumptions!$B$8:$B$33,MATCH($A17,Assumptions!$A$8:$A$33,0))=""),"",AO17*IFERROR(INDEX(Assumptions!$B$8:$B$33,MATCH(Assumptions!$B$5,Assumptions!$A$8:$A$33,0)),"")/INDEX(Assumptions!$B$8:$B$33,MATCH($A17,Assumptions!$A$8:$A$33,0))),"")</f>
        <v/>
      </c>
    </row>
    <row r="18" customFormat="false" ht="15" hidden="false" customHeight="false" outlineLevel="0" collapsed="false">
      <c r="A18" s="7" t="n">
        <v>2013</v>
      </c>
      <c r="B18" s="8" t="n">
        <f aca="false">COUNTIFS(Data!$A$2:$A$1006,$A18,Data!$C$2:$C$1006,"FirstEnergy")</f>
        <v>10</v>
      </c>
      <c r="C18" s="9" t="n">
        <f aca="false">SUMIFS(Data!$L$2:$L$1006,Data!$A$2:$A$1006,$A18,Data!$C$2:$C$1006,"FirstEnergy")</f>
        <v>5984146</v>
      </c>
      <c r="D18" s="10" t="n">
        <f aca="false">SUMIFS(Data!$E$2:$E$1006,Data!$A$2:$A$1006,$A18,Data!$C$2:$C$1006,"FirstEnergy")</f>
        <v>403.154048</v>
      </c>
      <c r="E18" s="10" t="n">
        <f aca="false">SUMIFS(Data!$F$2:$F$1006,Data!$A$2:$A$1006,$A18,Data!$C$2:$C$1006,"FirstEnergy")</f>
        <v>520.068889</v>
      </c>
      <c r="F18" s="10" t="n">
        <f aca="false">SUMIFS(Data!$G$2:$G$1006,Data!$A$2:$A$1006,$A18,Data!$C$2:$C$1006,"FirstEnergy")</f>
        <v>436.548985</v>
      </c>
      <c r="G18" s="10" t="n">
        <f aca="false">SUMIFS(Data!$N$2:$N$1006,Data!$A$2:$A$1006,$A18,Data!$C$2:$C$1006,"FirstEnergy")</f>
        <v>1359.771922</v>
      </c>
      <c r="H18" s="10" t="n">
        <f aca="false">SUMIFS(Data!$H$2:$H$1006,Data!$A$2:$A$1006,$A18,Data!$C$2:$C$1006,"FirstEnergy")</f>
        <v>822.762699</v>
      </c>
      <c r="I18" s="11" t="n">
        <f aca="false">IFERROR(D18*1000000/C18,"")</f>
        <v>67.3703562713878</v>
      </c>
      <c r="J18" s="11" t="n">
        <f aca="false">IFERROR(E18*1000000/C18,"")</f>
        <v>86.907787510532</v>
      </c>
      <c r="K18" s="11" t="n">
        <f aca="false">IFERROR(F18*1000000/C18,"")</f>
        <v>72.9509248270346</v>
      </c>
      <c r="L18" s="11" t="n">
        <f aca="false">IFERROR(G18*1000000/C18,"")</f>
        <v>227.229068608954</v>
      </c>
      <c r="M18" s="11" t="n">
        <f aca="false">IFERROR(H18*1000000/C18,"")</f>
        <v>137.490411998638</v>
      </c>
      <c r="N18" s="12" t="str">
        <f aca="false">IFERROR(IF(OR(IFERROR(INDEX(Assumptions!$B$8:$B$33,MATCH(Assumptions!$B$5,Assumptions!$A$8:$A$33,0)),"")="",INDEX(Assumptions!$B$8:$B$33,MATCH($A18,Assumptions!$A$8:$A$33,0))=""),"",L18*IFERROR(INDEX(Assumptions!$B$8:$B$33,MATCH(Assumptions!$B$5,Assumptions!$A$8:$A$33,0)),"")/INDEX(Assumptions!$B$8:$B$33,MATCH($A18,Assumptions!$A$8:$A$33,0))),"")</f>
        <v/>
      </c>
      <c r="O18" s="12" t="str">
        <f aca="false">IFERROR(IF(OR(IFERROR(INDEX(Assumptions!$B$8:$B$33,MATCH(Assumptions!$B$5,Assumptions!$A$8:$A$33,0)),"")="",INDEX(Assumptions!$B$8:$B$33,MATCH($A18,Assumptions!$A$8:$A$33,0))=""),"",M18*IFERROR(INDEX(Assumptions!$B$8:$B$33,MATCH(Assumptions!$B$5,Assumptions!$A$8:$A$33,0)),"")/INDEX(Assumptions!$B$8:$B$33,MATCH($A18,Assumptions!$A$8:$A$33,0))),"")</f>
        <v/>
      </c>
      <c r="P18" s="8" t="n">
        <f aca="false">COUNTIFS(Data!$A$2:$A$1006,$A18,Data!$C$2:$C$1006,"Northeast peers")</f>
        <v>12</v>
      </c>
      <c r="Q18" s="9" t="n">
        <f aca="false">SUMIFS(Data!$L$2:$L$1006,Data!$A$2:$A$1006,$A18,Data!$C$2:$C$1006,"Northeast peers")</f>
        <v>12490519</v>
      </c>
      <c r="R18" s="10" t="n">
        <f aca="false">SUMIFS(Data!$E$2:$E$1006,Data!$A$2:$A$1006,$A18,Data!$C$2:$C$1006,"Northeast peers")</f>
        <v>1377.945915</v>
      </c>
      <c r="S18" s="10" t="n">
        <f aca="false">SUMIFS(Data!$F$2:$F$1006,Data!$A$2:$A$1006,$A18,Data!$C$2:$C$1006,"Northeast peers")</f>
        <v>1743.656016</v>
      </c>
      <c r="T18" s="10" t="n">
        <f aca="false">SUMIFS(Data!$G$2:$G$1006,Data!$A$2:$A$1006,$A18,Data!$C$2:$C$1006,"Northeast peers")</f>
        <v>1097.067761</v>
      </c>
      <c r="U18" s="10" t="n">
        <f aca="false">SUMIFS(Data!$N$2:$N$1006,Data!$A$2:$A$1006,$A18,Data!$C$2:$C$1006,"Northeast peers")</f>
        <v>4218.669692</v>
      </c>
      <c r="V18" s="10" t="n">
        <f aca="false">SUMIFS(Data!$H$2:$H$1006,Data!$A$2:$A$1006,$A18,Data!$C$2:$C$1006,"Northeast peers")</f>
        <v>2702.075377</v>
      </c>
      <c r="W18" s="11" t="n">
        <f aca="false">IFERROR(R18*1000000/Q18,"")</f>
        <v>110.319348219237</v>
      </c>
      <c r="X18" s="11" t="n">
        <f aca="false">IFERROR(S18*1000000/Q18,"")</f>
        <v>139.598363847011</v>
      </c>
      <c r="Y18" s="11" t="n">
        <f aca="false">IFERROR(T18*1000000/Q18,"")</f>
        <v>87.832039725491</v>
      </c>
      <c r="Z18" s="11" t="n">
        <f aca="false">IFERROR(U18*1000000/Q18,"")</f>
        <v>337.749751791739</v>
      </c>
      <c r="AA18" s="11" t="n">
        <f aca="false">IFERROR(V18*1000000/Q18,"")</f>
        <v>216.330112223519</v>
      </c>
      <c r="AB18" s="12" t="str">
        <f aca="false">IFERROR(IF(OR(IFERROR(INDEX(Assumptions!$B$8:$B$33,MATCH(Assumptions!$B$5,Assumptions!$A$8:$A$33,0)),"")="",INDEX(Assumptions!$B$8:$B$33,MATCH($A18,Assumptions!$A$8:$A$33,0))=""),"",Z18*IFERROR(INDEX(Assumptions!$B$8:$B$33,MATCH(Assumptions!$B$5,Assumptions!$A$8:$A$33,0)),"")/INDEX(Assumptions!$B$8:$B$33,MATCH($A18,Assumptions!$A$8:$A$33,0))),"")</f>
        <v/>
      </c>
      <c r="AC18" s="12" t="str">
        <f aca="false">IFERROR(IF(OR(IFERROR(INDEX(Assumptions!$B$8:$B$33,MATCH(Assumptions!$B$5,Assumptions!$A$8:$A$33,0)),"")="",INDEX(Assumptions!$B$8:$B$33,MATCH($A18,Assumptions!$A$8:$A$33,0))=""),"",AA18*IFERROR(INDEX(Assumptions!$B$8:$B$33,MATCH(Assumptions!$B$5,Assumptions!$A$8:$A$33,0)),"")/INDEX(Assumptions!$B$8:$B$33,MATCH($A18,Assumptions!$A$8:$A$33,0))),"")</f>
        <v/>
      </c>
      <c r="AD18" s="8" t="n">
        <f aca="false">COUNTIFS(Data!$A$2:$A$1006,$A18,Data!$C$2:$C$1006,"Midwest peers")</f>
        <v>17</v>
      </c>
      <c r="AE18" s="9" t="n">
        <f aca="false">SUMIFS(Data!$L$2:$L$1006,Data!$A$2:$A$1006,$A18,Data!$C$2:$C$1006,"Midwest peers")</f>
        <v>11771186</v>
      </c>
      <c r="AF18" s="10" t="n">
        <f aca="false">SUMIFS(Data!$E$2:$E$1006,Data!$A$2:$A$1006,$A18,Data!$C$2:$C$1006,"Midwest peers")</f>
        <v>1236.888723</v>
      </c>
      <c r="AG18" s="10" t="n">
        <f aca="false">SUMIFS(Data!$F$2:$F$1006,Data!$A$2:$A$1006,$A18,Data!$C$2:$C$1006,"Midwest peers")</f>
        <v>1080.536391</v>
      </c>
      <c r="AH18" s="10" t="n">
        <f aca="false">SUMIFS(Data!$G$2:$G$1006,Data!$A$2:$A$1006,$A18,Data!$C$2:$C$1006,"Midwest peers")</f>
        <v>1115.628548</v>
      </c>
      <c r="AI18" s="10" t="n">
        <f aca="false">SUMIFS(Data!$N$2:$N$1006,Data!$A$2:$A$1006,$A18,Data!$C$2:$C$1006,"Midwest peers")</f>
        <v>3433.053662</v>
      </c>
      <c r="AJ18" s="10" t="n">
        <f aca="false">SUMIFS(Data!$H$2:$H$1006,Data!$A$2:$A$1006,$A18,Data!$C$2:$C$1006,"Midwest peers")</f>
        <v>1880.699566</v>
      </c>
      <c r="AK18" s="11" t="n">
        <f aca="false">IFERROR(AF18*1000000/AE18,"")</f>
        <v>105.077663627098</v>
      </c>
      <c r="AL18" s="11" t="n">
        <f aca="false">IFERROR(AG18*1000000/AE18,"")</f>
        <v>91.7950316136369</v>
      </c>
      <c r="AM18" s="11" t="n">
        <f aca="false">IFERROR(AH18*1000000/AE18,"")</f>
        <v>94.7762228886707</v>
      </c>
      <c r="AN18" s="11" t="n">
        <f aca="false">IFERROR(AI18*1000000/AE18,"")</f>
        <v>291.648918129405</v>
      </c>
      <c r="AO18" s="11" t="n">
        <f aca="false">IFERROR(AJ18*1000000/AE18,"")</f>
        <v>159.771459392452</v>
      </c>
      <c r="AP18" s="12" t="str">
        <f aca="false">IFERROR(IF(OR(IFERROR(INDEX(Assumptions!$B$8:$B$33,MATCH(Assumptions!$B$5,Assumptions!$A$8:$A$33,0)),"")="",INDEX(Assumptions!$B$8:$B$33,MATCH($A18,Assumptions!$A$8:$A$33,0))=""),"",AN18*IFERROR(INDEX(Assumptions!$B$8:$B$33,MATCH(Assumptions!$B$5,Assumptions!$A$8:$A$33,0)),"")/INDEX(Assumptions!$B$8:$B$33,MATCH($A18,Assumptions!$A$8:$A$33,0))),"")</f>
        <v/>
      </c>
      <c r="AQ18" s="12" t="str">
        <f aca="false">IFERROR(IF(OR(IFERROR(INDEX(Assumptions!$B$8:$B$33,MATCH(Assumptions!$B$5,Assumptions!$A$8:$A$33,0)),"")="",INDEX(Assumptions!$B$8:$B$33,MATCH($A18,Assumptions!$A$8:$A$33,0))=""),"",AO18*IFERROR(INDEX(Assumptions!$B$8:$B$33,MATCH(Assumptions!$B$5,Assumptions!$A$8:$A$33,0)),"")/INDEX(Assumptions!$B$8:$B$33,MATCH($A18,Assumptions!$A$8:$A$33,0))),"")</f>
        <v/>
      </c>
    </row>
    <row r="19" customFormat="false" ht="15" hidden="false" customHeight="false" outlineLevel="0" collapsed="false">
      <c r="A19" s="7" t="n">
        <v>2014</v>
      </c>
      <c r="B19" s="8" t="n">
        <f aca="false">COUNTIFS(Data!$A$2:$A$1006,$A19,Data!$C$2:$C$1006,"FirstEnergy")</f>
        <v>10</v>
      </c>
      <c r="C19" s="9" t="n">
        <f aca="false">SUMIFS(Data!$L$2:$L$1006,Data!$A$2:$A$1006,$A19,Data!$C$2:$C$1006,"FirstEnergy")</f>
        <v>5998482</v>
      </c>
      <c r="D19" s="10" t="n">
        <f aca="false">SUMIFS(Data!$E$2:$E$1006,Data!$A$2:$A$1006,$A19,Data!$C$2:$C$1006,"FirstEnergy")</f>
        <v>442.534262</v>
      </c>
      <c r="E19" s="10" t="n">
        <f aca="false">SUMIFS(Data!$F$2:$F$1006,Data!$A$2:$A$1006,$A19,Data!$C$2:$C$1006,"FirstEnergy")</f>
        <v>511.389528</v>
      </c>
      <c r="F19" s="10" t="n">
        <f aca="false">SUMIFS(Data!$G$2:$G$1006,Data!$A$2:$A$1006,$A19,Data!$C$2:$C$1006,"FirstEnergy")</f>
        <v>521.468623</v>
      </c>
      <c r="G19" s="10" t="n">
        <f aca="false">SUMIFS(Data!$N$2:$N$1006,Data!$A$2:$A$1006,$A19,Data!$C$2:$C$1006,"FirstEnergy")</f>
        <v>1475.392413</v>
      </c>
      <c r="H19" s="10" t="n">
        <f aca="false">SUMIFS(Data!$H$2:$H$1006,Data!$A$2:$A$1006,$A19,Data!$C$2:$C$1006,"FirstEnergy")</f>
        <v>882.328396</v>
      </c>
      <c r="I19" s="11" t="n">
        <f aca="false">IFERROR(D19*1000000/C19,"")</f>
        <v>73.7743752502717</v>
      </c>
      <c r="J19" s="11" t="n">
        <f aca="false">IFERROR(E19*1000000/C19,"")</f>
        <v>85.2531570487333</v>
      </c>
      <c r="K19" s="11" t="n">
        <f aca="false">IFERROR(F19*1000000/C19,"")</f>
        <v>86.9334313247918</v>
      </c>
      <c r="L19" s="11" t="n">
        <f aca="false">IFERROR(G19*1000000/C19,"")</f>
        <v>245.960963623797</v>
      </c>
      <c r="M19" s="11" t="n">
        <f aca="false">IFERROR(H19*1000000/C19,"")</f>
        <v>147.09194692924</v>
      </c>
      <c r="N19" s="12" t="str">
        <f aca="false">IFERROR(IF(OR(IFERROR(INDEX(Assumptions!$B$8:$B$33,MATCH(Assumptions!$B$5,Assumptions!$A$8:$A$33,0)),"")="",INDEX(Assumptions!$B$8:$B$33,MATCH($A19,Assumptions!$A$8:$A$33,0))=""),"",L19*IFERROR(INDEX(Assumptions!$B$8:$B$33,MATCH(Assumptions!$B$5,Assumptions!$A$8:$A$33,0)),"")/INDEX(Assumptions!$B$8:$B$33,MATCH($A19,Assumptions!$A$8:$A$33,0))),"")</f>
        <v/>
      </c>
      <c r="O19" s="12" t="str">
        <f aca="false">IFERROR(IF(OR(IFERROR(INDEX(Assumptions!$B$8:$B$33,MATCH(Assumptions!$B$5,Assumptions!$A$8:$A$33,0)),"")="",INDEX(Assumptions!$B$8:$B$33,MATCH($A19,Assumptions!$A$8:$A$33,0))=""),"",M19*IFERROR(INDEX(Assumptions!$B$8:$B$33,MATCH(Assumptions!$B$5,Assumptions!$A$8:$A$33,0)),"")/INDEX(Assumptions!$B$8:$B$33,MATCH($A19,Assumptions!$A$8:$A$33,0))),"")</f>
        <v/>
      </c>
      <c r="P19" s="8" t="n">
        <f aca="false">COUNTIFS(Data!$A$2:$A$1006,$A19,Data!$C$2:$C$1006,"Northeast peers")</f>
        <v>12</v>
      </c>
      <c r="Q19" s="9" t="n">
        <f aca="false">SUMIFS(Data!$L$2:$L$1006,Data!$A$2:$A$1006,$A19,Data!$C$2:$C$1006,"Northeast peers")</f>
        <v>12537135</v>
      </c>
      <c r="R19" s="10" t="n">
        <f aca="false">SUMIFS(Data!$E$2:$E$1006,Data!$A$2:$A$1006,$A19,Data!$C$2:$C$1006,"Northeast peers")</f>
        <v>1584.83316</v>
      </c>
      <c r="S19" s="10" t="n">
        <f aca="false">SUMIFS(Data!$F$2:$F$1006,Data!$A$2:$A$1006,$A19,Data!$C$2:$C$1006,"Northeast peers")</f>
        <v>1773.017111</v>
      </c>
      <c r="T19" s="10" t="n">
        <f aca="false">SUMIFS(Data!$G$2:$G$1006,Data!$A$2:$A$1006,$A19,Data!$C$2:$C$1006,"Northeast peers")</f>
        <v>1160.193316</v>
      </c>
      <c r="U19" s="10" t="n">
        <f aca="false">SUMIFS(Data!$N$2:$N$1006,Data!$A$2:$A$1006,$A19,Data!$C$2:$C$1006,"Northeast peers")</f>
        <v>4518.043587</v>
      </c>
      <c r="V19" s="10" t="n">
        <f aca="false">SUMIFS(Data!$H$2:$H$1006,Data!$A$2:$A$1006,$A19,Data!$C$2:$C$1006,"Northeast peers")</f>
        <v>2385.053403</v>
      </c>
      <c r="W19" s="11" t="n">
        <f aca="false">IFERROR(R19*1000000/Q19,"")</f>
        <v>126.411110672414</v>
      </c>
      <c r="X19" s="11" t="n">
        <f aca="false">IFERROR(S19*1000000/Q19,"")</f>
        <v>141.421234676024</v>
      </c>
      <c r="Y19" s="11" t="n">
        <f aca="false">IFERROR(T19*1000000/Q19,"")</f>
        <v>92.5405458264588</v>
      </c>
      <c r="Z19" s="11" t="n">
        <f aca="false">IFERROR(U19*1000000/Q19,"")</f>
        <v>360.372891174898</v>
      </c>
      <c r="AA19" s="11" t="n">
        <f aca="false">IFERROR(V19*1000000/Q19,"")</f>
        <v>190.239109892332</v>
      </c>
      <c r="AB19" s="12" t="str">
        <f aca="false">IFERROR(IF(OR(IFERROR(INDEX(Assumptions!$B$8:$B$33,MATCH(Assumptions!$B$5,Assumptions!$A$8:$A$33,0)),"")="",INDEX(Assumptions!$B$8:$B$33,MATCH($A19,Assumptions!$A$8:$A$33,0))=""),"",Z19*IFERROR(INDEX(Assumptions!$B$8:$B$33,MATCH(Assumptions!$B$5,Assumptions!$A$8:$A$33,0)),"")/INDEX(Assumptions!$B$8:$B$33,MATCH($A19,Assumptions!$A$8:$A$33,0))),"")</f>
        <v/>
      </c>
      <c r="AC19" s="12" t="str">
        <f aca="false">IFERROR(IF(OR(IFERROR(INDEX(Assumptions!$B$8:$B$33,MATCH(Assumptions!$B$5,Assumptions!$A$8:$A$33,0)),"")="",INDEX(Assumptions!$B$8:$B$33,MATCH($A19,Assumptions!$A$8:$A$33,0))=""),"",AA19*IFERROR(INDEX(Assumptions!$B$8:$B$33,MATCH(Assumptions!$B$5,Assumptions!$A$8:$A$33,0)),"")/INDEX(Assumptions!$B$8:$B$33,MATCH($A19,Assumptions!$A$8:$A$33,0))),"")</f>
        <v/>
      </c>
      <c r="AD19" s="8" t="n">
        <f aca="false">COUNTIFS(Data!$A$2:$A$1006,$A19,Data!$C$2:$C$1006,"Midwest peers")</f>
        <v>17</v>
      </c>
      <c r="AE19" s="9" t="n">
        <f aca="false">SUMIFS(Data!$L$2:$L$1006,Data!$A$2:$A$1006,$A19,Data!$C$2:$C$1006,"Midwest peers")</f>
        <v>11822491</v>
      </c>
      <c r="AF19" s="10" t="n">
        <f aca="false">SUMIFS(Data!$E$2:$E$1006,Data!$A$2:$A$1006,$A19,Data!$C$2:$C$1006,"Midwest peers")</f>
        <v>1201.325264</v>
      </c>
      <c r="AG19" s="10" t="n">
        <f aca="false">SUMIFS(Data!$F$2:$F$1006,Data!$A$2:$A$1006,$A19,Data!$C$2:$C$1006,"Midwest peers")</f>
        <v>1189.678142</v>
      </c>
      <c r="AH19" s="10" t="n">
        <f aca="false">SUMIFS(Data!$G$2:$G$1006,Data!$A$2:$A$1006,$A19,Data!$C$2:$C$1006,"Midwest peers")</f>
        <v>1167.741052</v>
      </c>
      <c r="AI19" s="10" t="n">
        <f aca="false">SUMIFS(Data!$N$2:$N$1006,Data!$A$2:$A$1006,$A19,Data!$C$2:$C$1006,"Midwest peers")</f>
        <v>3558.744458</v>
      </c>
      <c r="AJ19" s="10" t="n">
        <f aca="false">SUMIFS(Data!$H$2:$H$1006,Data!$A$2:$A$1006,$A19,Data!$C$2:$C$1006,"Midwest peers")</f>
        <v>2245.335966</v>
      </c>
      <c r="AK19" s="11" t="n">
        <f aca="false">IFERROR(AF19*1000000/AE19,"")</f>
        <v>101.613548616785</v>
      </c>
      <c r="AL19" s="11" t="n">
        <f aca="false">IFERROR(AG19*1000000/AE19,"")</f>
        <v>100.62838212353</v>
      </c>
      <c r="AM19" s="11" t="n">
        <f aca="false">IFERROR(AH19*1000000/AE19,"")</f>
        <v>98.7728433880812</v>
      </c>
      <c r="AN19" s="11" t="n">
        <f aca="false">IFERROR(AI19*1000000/AE19,"")</f>
        <v>301.014774128397</v>
      </c>
      <c r="AO19" s="11" t="n">
        <f aca="false">IFERROR(AJ19*1000000/AE19,"")</f>
        <v>189.920716877687</v>
      </c>
      <c r="AP19" s="12" t="str">
        <f aca="false">IFERROR(IF(OR(IFERROR(INDEX(Assumptions!$B$8:$B$33,MATCH(Assumptions!$B$5,Assumptions!$A$8:$A$33,0)),"")="",INDEX(Assumptions!$B$8:$B$33,MATCH($A19,Assumptions!$A$8:$A$33,0))=""),"",AN19*IFERROR(INDEX(Assumptions!$B$8:$B$33,MATCH(Assumptions!$B$5,Assumptions!$A$8:$A$33,0)),"")/INDEX(Assumptions!$B$8:$B$33,MATCH($A19,Assumptions!$A$8:$A$33,0))),"")</f>
        <v/>
      </c>
      <c r="AQ19" s="12" t="str">
        <f aca="false">IFERROR(IF(OR(IFERROR(INDEX(Assumptions!$B$8:$B$33,MATCH(Assumptions!$B$5,Assumptions!$A$8:$A$33,0)),"")="",INDEX(Assumptions!$B$8:$B$33,MATCH($A19,Assumptions!$A$8:$A$33,0))=""),"",AO19*IFERROR(INDEX(Assumptions!$B$8:$B$33,MATCH(Assumptions!$B$5,Assumptions!$A$8:$A$33,0)),"")/INDEX(Assumptions!$B$8:$B$33,MATCH($A19,Assumptions!$A$8:$A$33,0))),"")</f>
        <v/>
      </c>
    </row>
    <row r="20" customFormat="false" ht="15" hidden="false" customHeight="false" outlineLevel="0" collapsed="false">
      <c r="A20" s="7" t="n">
        <v>2015</v>
      </c>
      <c r="B20" s="8" t="n">
        <f aca="false">COUNTIFS(Data!$A$2:$A$1006,$A20,Data!$C$2:$C$1006,"FirstEnergy")</f>
        <v>10</v>
      </c>
      <c r="C20" s="9" t="n">
        <f aca="false">SUMIFS(Data!$L$2:$L$1006,Data!$A$2:$A$1006,$A20,Data!$C$2:$C$1006,"FirstEnergy")</f>
        <v>6017118</v>
      </c>
      <c r="D20" s="10" t="n">
        <f aca="false">SUMIFS(Data!$E$2:$E$1006,Data!$A$2:$A$1006,$A20,Data!$C$2:$C$1006,"FirstEnergy")</f>
        <v>476.463339</v>
      </c>
      <c r="E20" s="10" t="n">
        <f aca="false">SUMIFS(Data!$F$2:$F$1006,Data!$A$2:$A$1006,$A20,Data!$C$2:$C$1006,"FirstEnergy")</f>
        <v>545.287912</v>
      </c>
      <c r="F20" s="10" t="n">
        <f aca="false">SUMIFS(Data!$G$2:$G$1006,Data!$A$2:$A$1006,$A20,Data!$C$2:$C$1006,"FirstEnergy")</f>
        <v>529.846604</v>
      </c>
      <c r="G20" s="10" t="n">
        <f aca="false">SUMIFS(Data!$N$2:$N$1006,Data!$A$2:$A$1006,$A20,Data!$C$2:$C$1006,"FirstEnergy")</f>
        <v>1551.597855</v>
      </c>
      <c r="H20" s="10" t="n">
        <f aca="false">SUMIFS(Data!$H$2:$H$1006,Data!$A$2:$A$1006,$A20,Data!$C$2:$C$1006,"FirstEnergy")</f>
        <v>914.946768</v>
      </c>
      <c r="I20" s="11" t="n">
        <f aca="false">IFERROR(D20*1000000/C20,"")</f>
        <v>79.184642714336</v>
      </c>
      <c r="J20" s="11" t="n">
        <f aca="false">IFERROR(E20*1000000/C20,"")</f>
        <v>90.6227718984404</v>
      </c>
      <c r="K20" s="11" t="n">
        <f aca="false">IFERROR(F20*1000000/C20,"")</f>
        <v>88.0565420189533</v>
      </c>
      <c r="L20" s="11" t="n">
        <f aca="false">IFERROR(G20*1000000/C20,"")</f>
        <v>257.86395663173</v>
      </c>
      <c r="M20" s="11" t="n">
        <f aca="false">IFERROR(H20*1000000/C20,"")</f>
        <v>152.057308498853</v>
      </c>
      <c r="N20" s="12" t="str">
        <f aca="false">IFERROR(IF(OR(IFERROR(INDEX(Assumptions!$B$8:$B$33,MATCH(Assumptions!$B$5,Assumptions!$A$8:$A$33,0)),"")="",INDEX(Assumptions!$B$8:$B$33,MATCH($A20,Assumptions!$A$8:$A$33,0))=""),"",L20*IFERROR(INDEX(Assumptions!$B$8:$B$33,MATCH(Assumptions!$B$5,Assumptions!$A$8:$A$33,0)),"")/INDEX(Assumptions!$B$8:$B$33,MATCH($A20,Assumptions!$A$8:$A$33,0))),"")</f>
        <v/>
      </c>
      <c r="O20" s="12" t="str">
        <f aca="false">IFERROR(IF(OR(IFERROR(INDEX(Assumptions!$B$8:$B$33,MATCH(Assumptions!$B$5,Assumptions!$A$8:$A$33,0)),"")="",INDEX(Assumptions!$B$8:$B$33,MATCH($A20,Assumptions!$A$8:$A$33,0))=""),"",M20*IFERROR(INDEX(Assumptions!$B$8:$B$33,MATCH(Assumptions!$B$5,Assumptions!$A$8:$A$33,0)),"")/INDEX(Assumptions!$B$8:$B$33,MATCH($A20,Assumptions!$A$8:$A$33,0))),"")</f>
        <v/>
      </c>
      <c r="P20" s="8" t="n">
        <f aca="false">COUNTIFS(Data!$A$2:$A$1006,$A20,Data!$C$2:$C$1006,"Northeast peers")</f>
        <v>12</v>
      </c>
      <c r="Q20" s="9" t="n">
        <f aca="false">SUMIFS(Data!$L$2:$L$1006,Data!$A$2:$A$1006,$A20,Data!$C$2:$C$1006,"Northeast peers")</f>
        <v>12593765</v>
      </c>
      <c r="R20" s="10" t="n">
        <f aca="false">SUMIFS(Data!$E$2:$E$1006,Data!$A$2:$A$1006,$A20,Data!$C$2:$C$1006,"Northeast peers")</f>
        <v>1539.775817</v>
      </c>
      <c r="S20" s="10" t="n">
        <f aca="false">SUMIFS(Data!$F$2:$F$1006,Data!$A$2:$A$1006,$A20,Data!$C$2:$C$1006,"Northeast peers")</f>
        <v>1746.090818</v>
      </c>
      <c r="T20" s="10" t="n">
        <f aca="false">SUMIFS(Data!$G$2:$G$1006,Data!$A$2:$A$1006,$A20,Data!$C$2:$C$1006,"Northeast peers")</f>
        <v>1179.718106</v>
      </c>
      <c r="U20" s="10" t="n">
        <f aca="false">SUMIFS(Data!$N$2:$N$1006,Data!$A$2:$A$1006,$A20,Data!$C$2:$C$1006,"Northeast peers")</f>
        <v>4465.584741</v>
      </c>
      <c r="V20" s="10" t="n">
        <f aca="false">SUMIFS(Data!$H$2:$H$1006,Data!$A$2:$A$1006,$A20,Data!$C$2:$C$1006,"Northeast peers")</f>
        <v>2497.69718</v>
      </c>
      <c r="W20" s="11" t="n">
        <f aca="false">IFERROR(R20*1000000/Q20,"")</f>
        <v>122.264931654672</v>
      </c>
      <c r="X20" s="11" t="n">
        <f aca="false">IFERROR(S20*1000000/Q20,"")</f>
        <v>138.647244727847</v>
      </c>
      <c r="Y20" s="11" t="n">
        <f aca="false">IFERROR(T20*1000000/Q20,"")</f>
        <v>93.6747752558508</v>
      </c>
      <c r="Z20" s="11" t="n">
        <f aca="false">IFERROR(U20*1000000/Q20,"")</f>
        <v>354.58695163837</v>
      </c>
      <c r="AA20" s="11" t="n">
        <f aca="false">IFERROR(V20*1000000/Q20,"")</f>
        <v>198.328075837528</v>
      </c>
      <c r="AB20" s="12" t="str">
        <f aca="false">IFERROR(IF(OR(IFERROR(INDEX(Assumptions!$B$8:$B$33,MATCH(Assumptions!$B$5,Assumptions!$A$8:$A$33,0)),"")="",INDEX(Assumptions!$B$8:$B$33,MATCH($A20,Assumptions!$A$8:$A$33,0))=""),"",Z20*IFERROR(INDEX(Assumptions!$B$8:$B$33,MATCH(Assumptions!$B$5,Assumptions!$A$8:$A$33,0)),"")/INDEX(Assumptions!$B$8:$B$33,MATCH($A20,Assumptions!$A$8:$A$33,0))),"")</f>
        <v/>
      </c>
      <c r="AC20" s="12" t="str">
        <f aca="false">IFERROR(IF(OR(IFERROR(INDEX(Assumptions!$B$8:$B$33,MATCH(Assumptions!$B$5,Assumptions!$A$8:$A$33,0)),"")="",INDEX(Assumptions!$B$8:$B$33,MATCH($A20,Assumptions!$A$8:$A$33,0))=""),"",AA20*IFERROR(INDEX(Assumptions!$B$8:$B$33,MATCH(Assumptions!$B$5,Assumptions!$A$8:$A$33,0)),"")/INDEX(Assumptions!$B$8:$B$33,MATCH($A20,Assumptions!$A$8:$A$33,0))),"")</f>
        <v/>
      </c>
      <c r="AD20" s="8" t="n">
        <f aca="false">COUNTIFS(Data!$A$2:$A$1006,$A20,Data!$C$2:$C$1006,"Midwest peers")</f>
        <v>17</v>
      </c>
      <c r="AE20" s="9" t="n">
        <f aca="false">SUMIFS(Data!$L$2:$L$1006,Data!$A$2:$A$1006,$A20,Data!$C$2:$C$1006,"Midwest peers")</f>
        <v>11869701</v>
      </c>
      <c r="AF20" s="10" t="n">
        <f aca="false">SUMIFS(Data!$E$2:$E$1006,Data!$A$2:$A$1006,$A20,Data!$C$2:$C$1006,"Midwest peers")</f>
        <v>1146.222619</v>
      </c>
      <c r="AG20" s="10" t="n">
        <f aca="false">SUMIFS(Data!$F$2:$F$1006,Data!$A$2:$A$1006,$A20,Data!$C$2:$C$1006,"Midwest peers")</f>
        <v>1113.106597</v>
      </c>
      <c r="AH20" s="10" t="n">
        <f aca="false">SUMIFS(Data!$G$2:$G$1006,Data!$A$2:$A$1006,$A20,Data!$C$2:$C$1006,"Midwest peers")</f>
        <v>1223.735661</v>
      </c>
      <c r="AI20" s="10" t="n">
        <f aca="false">SUMIFS(Data!$N$2:$N$1006,Data!$A$2:$A$1006,$A20,Data!$C$2:$C$1006,"Midwest peers")</f>
        <v>3483.064877</v>
      </c>
      <c r="AJ20" s="10" t="n">
        <f aca="false">SUMIFS(Data!$H$2:$H$1006,Data!$A$2:$A$1006,$A20,Data!$C$2:$C$1006,"Midwest peers")</f>
        <v>2337.653069</v>
      </c>
      <c r="AK20" s="11" t="n">
        <f aca="false">IFERROR(AF20*1000000/AE20,"")</f>
        <v>96.5671013111451</v>
      </c>
      <c r="AL20" s="11" t="n">
        <f aca="false">IFERROR(AG20*1000000/AE20,"")</f>
        <v>93.7771386996185</v>
      </c>
      <c r="AM20" s="11" t="n">
        <f aca="false">IFERROR(AH20*1000000/AE20,"")</f>
        <v>103.097429412923</v>
      </c>
      <c r="AN20" s="11" t="n">
        <f aca="false">IFERROR(AI20*1000000/AE20,"")</f>
        <v>293.441669423686</v>
      </c>
      <c r="AO20" s="11" t="n">
        <f aca="false">IFERROR(AJ20*1000000/AE20,"")</f>
        <v>196.942877415362</v>
      </c>
      <c r="AP20" s="12" t="str">
        <f aca="false">IFERROR(IF(OR(IFERROR(INDEX(Assumptions!$B$8:$B$33,MATCH(Assumptions!$B$5,Assumptions!$A$8:$A$33,0)),"")="",INDEX(Assumptions!$B$8:$B$33,MATCH($A20,Assumptions!$A$8:$A$33,0))=""),"",AN20*IFERROR(INDEX(Assumptions!$B$8:$B$33,MATCH(Assumptions!$B$5,Assumptions!$A$8:$A$33,0)),"")/INDEX(Assumptions!$B$8:$B$33,MATCH($A20,Assumptions!$A$8:$A$33,0))),"")</f>
        <v/>
      </c>
      <c r="AQ20" s="12" t="str">
        <f aca="false">IFERROR(IF(OR(IFERROR(INDEX(Assumptions!$B$8:$B$33,MATCH(Assumptions!$B$5,Assumptions!$A$8:$A$33,0)),"")="",INDEX(Assumptions!$B$8:$B$33,MATCH($A20,Assumptions!$A$8:$A$33,0))=""),"",AO20*IFERROR(INDEX(Assumptions!$B$8:$B$33,MATCH(Assumptions!$B$5,Assumptions!$A$8:$A$33,0)),"")/INDEX(Assumptions!$B$8:$B$33,MATCH($A20,Assumptions!$A$8:$A$33,0))),"")</f>
        <v/>
      </c>
    </row>
    <row r="21" customFormat="false" ht="15" hidden="false" customHeight="false" outlineLevel="0" collapsed="false">
      <c r="A21" s="7" t="n">
        <v>2016</v>
      </c>
      <c r="B21" s="8" t="n">
        <f aca="false">COUNTIFS(Data!$A$2:$A$1006,$A21,Data!$C$2:$C$1006,"FirstEnergy")</f>
        <v>10</v>
      </c>
      <c r="C21" s="9" t="n">
        <f aca="false">SUMIFS(Data!$L$2:$L$1006,Data!$A$2:$A$1006,$A21,Data!$C$2:$C$1006,"FirstEnergy")</f>
        <v>6041214</v>
      </c>
      <c r="D21" s="10" t="n">
        <f aca="false">SUMIFS(Data!$E$2:$E$1006,Data!$A$2:$A$1006,$A21,Data!$C$2:$C$1006,"FirstEnergy")</f>
        <v>463.647236</v>
      </c>
      <c r="E21" s="10" t="n">
        <f aca="false">SUMIFS(Data!$F$2:$F$1006,Data!$A$2:$A$1006,$A21,Data!$C$2:$C$1006,"FirstEnergy")</f>
        <v>532.794904</v>
      </c>
      <c r="F21" s="10" t="n">
        <f aca="false">SUMIFS(Data!$G$2:$G$1006,Data!$A$2:$A$1006,$A21,Data!$C$2:$C$1006,"FirstEnergy")</f>
        <v>518.472045</v>
      </c>
      <c r="G21" s="10" t="n">
        <f aca="false">SUMIFS(Data!$N$2:$N$1006,Data!$A$2:$A$1006,$A21,Data!$C$2:$C$1006,"FirstEnergy")</f>
        <v>1514.914185</v>
      </c>
      <c r="H21" s="10" t="n">
        <f aca="false">SUMIFS(Data!$H$2:$H$1006,Data!$A$2:$A$1006,$A21,Data!$C$2:$C$1006,"FirstEnergy")</f>
        <v>1028.714396</v>
      </c>
      <c r="I21" s="11" t="n">
        <f aca="false">IFERROR(D21*1000000/C21,"")</f>
        <v>76.7473617057764</v>
      </c>
      <c r="J21" s="11" t="n">
        <f aca="false">IFERROR(E21*1000000/C21,"")</f>
        <v>88.1933505417951</v>
      </c>
      <c r="K21" s="11" t="n">
        <f aca="false">IFERROR(F21*1000000/C21,"")</f>
        <v>85.8224927969776</v>
      </c>
      <c r="L21" s="11" t="n">
        <f aca="false">IFERROR(G21*1000000/C21,"")</f>
        <v>250.763205044549</v>
      </c>
      <c r="M21" s="11" t="n">
        <f aca="false">IFERROR(H21*1000000/C21,"")</f>
        <v>170.282727279649</v>
      </c>
      <c r="N21" s="12" t="str">
        <f aca="false">IFERROR(IF(OR(IFERROR(INDEX(Assumptions!$B$8:$B$33,MATCH(Assumptions!$B$5,Assumptions!$A$8:$A$33,0)),"")="",INDEX(Assumptions!$B$8:$B$33,MATCH($A21,Assumptions!$A$8:$A$33,0))=""),"",L21*IFERROR(INDEX(Assumptions!$B$8:$B$33,MATCH(Assumptions!$B$5,Assumptions!$A$8:$A$33,0)),"")/INDEX(Assumptions!$B$8:$B$33,MATCH($A21,Assumptions!$A$8:$A$33,0))),"")</f>
        <v/>
      </c>
      <c r="O21" s="12" t="str">
        <f aca="false">IFERROR(IF(OR(IFERROR(INDEX(Assumptions!$B$8:$B$33,MATCH(Assumptions!$B$5,Assumptions!$A$8:$A$33,0)),"")="",INDEX(Assumptions!$B$8:$B$33,MATCH($A21,Assumptions!$A$8:$A$33,0))=""),"",M21*IFERROR(INDEX(Assumptions!$B$8:$B$33,MATCH(Assumptions!$B$5,Assumptions!$A$8:$A$33,0)),"")/INDEX(Assumptions!$B$8:$B$33,MATCH($A21,Assumptions!$A$8:$A$33,0))),"")</f>
        <v/>
      </c>
      <c r="P21" s="8" t="n">
        <f aca="false">COUNTIFS(Data!$A$2:$A$1006,$A21,Data!$C$2:$C$1006,"Northeast peers")</f>
        <v>12</v>
      </c>
      <c r="Q21" s="9" t="n">
        <f aca="false">SUMIFS(Data!$L$2:$L$1006,Data!$A$2:$A$1006,$A21,Data!$C$2:$C$1006,"Northeast peers")</f>
        <v>12685859</v>
      </c>
      <c r="R21" s="10" t="n">
        <f aca="false">SUMIFS(Data!$E$2:$E$1006,Data!$A$2:$A$1006,$A21,Data!$C$2:$C$1006,"Northeast peers")</f>
        <v>1687.436526</v>
      </c>
      <c r="S21" s="10" t="n">
        <f aca="false">SUMIFS(Data!$F$2:$F$1006,Data!$A$2:$A$1006,$A21,Data!$C$2:$C$1006,"Northeast peers")</f>
        <v>1669.110178</v>
      </c>
      <c r="T21" s="10" t="n">
        <f aca="false">SUMIFS(Data!$G$2:$G$1006,Data!$A$2:$A$1006,$A21,Data!$C$2:$C$1006,"Northeast peers")</f>
        <v>1242.933891</v>
      </c>
      <c r="U21" s="10" t="n">
        <f aca="false">SUMIFS(Data!$N$2:$N$1006,Data!$A$2:$A$1006,$A21,Data!$C$2:$C$1006,"Northeast peers")</f>
        <v>4599.480595</v>
      </c>
      <c r="V21" s="10" t="n">
        <f aca="false">SUMIFS(Data!$H$2:$H$1006,Data!$A$2:$A$1006,$A21,Data!$C$2:$C$1006,"Northeast peers")</f>
        <v>2602.808223</v>
      </c>
      <c r="W21" s="11" t="n">
        <f aca="false">IFERROR(R21*1000000/Q21,"")</f>
        <v>133.017127653713</v>
      </c>
      <c r="X21" s="11" t="n">
        <f aca="false">IFERROR(S21*1000000/Q21,"")</f>
        <v>131.572499583986</v>
      </c>
      <c r="Y21" s="11" t="n">
        <f aca="false">IFERROR(T21*1000000/Q21,"")</f>
        <v>97.9779052407882</v>
      </c>
      <c r="Z21" s="11" t="n">
        <f aca="false">IFERROR(U21*1000000/Q21,"")</f>
        <v>362.567532478487</v>
      </c>
      <c r="AA21" s="11" t="n">
        <f aca="false">IFERROR(V21*1000000/Q21,"")</f>
        <v>205.173983330573</v>
      </c>
      <c r="AB21" s="12" t="str">
        <f aca="false">IFERROR(IF(OR(IFERROR(INDEX(Assumptions!$B$8:$B$33,MATCH(Assumptions!$B$5,Assumptions!$A$8:$A$33,0)),"")="",INDEX(Assumptions!$B$8:$B$33,MATCH($A21,Assumptions!$A$8:$A$33,0))=""),"",Z21*IFERROR(INDEX(Assumptions!$B$8:$B$33,MATCH(Assumptions!$B$5,Assumptions!$A$8:$A$33,0)),"")/INDEX(Assumptions!$B$8:$B$33,MATCH($A21,Assumptions!$A$8:$A$33,0))),"")</f>
        <v/>
      </c>
      <c r="AC21" s="12" t="str">
        <f aca="false">IFERROR(IF(OR(IFERROR(INDEX(Assumptions!$B$8:$B$33,MATCH(Assumptions!$B$5,Assumptions!$A$8:$A$33,0)),"")="",INDEX(Assumptions!$B$8:$B$33,MATCH($A21,Assumptions!$A$8:$A$33,0))=""),"",AA21*IFERROR(INDEX(Assumptions!$B$8:$B$33,MATCH(Assumptions!$B$5,Assumptions!$A$8:$A$33,0)),"")/INDEX(Assumptions!$B$8:$B$33,MATCH($A21,Assumptions!$A$8:$A$33,0))),"")</f>
        <v/>
      </c>
      <c r="AD21" s="8" t="n">
        <f aca="false">COUNTIFS(Data!$A$2:$A$1006,$A21,Data!$C$2:$C$1006,"Midwest peers")</f>
        <v>17</v>
      </c>
      <c r="AE21" s="9" t="n">
        <f aca="false">SUMIFS(Data!$L$2:$L$1006,Data!$A$2:$A$1006,$A21,Data!$C$2:$C$1006,"Midwest peers")</f>
        <v>11921518</v>
      </c>
      <c r="AF21" s="10" t="n">
        <f aca="false">SUMIFS(Data!$E$2:$E$1006,Data!$A$2:$A$1006,$A21,Data!$C$2:$C$1006,"Midwest peers")</f>
        <v>1179.544588</v>
      </c>
      <c r="AG21" s="10" t="n">
        <f aca="false">SUMIFS(Data!$F$2:$F$1006,Data!$A$2:$A$1006,$A21,Data!$C$2:$C$1006,"Midwest peers")</f>
        <v>1078.126526</v>
      </c>
      <c r="AH21" s="10" t="n">
        <f aca="false">SUMIFS(Data!$G$2:$G$1006,Data!$A$2:$A$1006,$A21,Data!$C$2:$C$1006,"Midwest peers")</f>
        <v>1238.935644</v>
      </c>
      <c r="AI21" s="10" t="n">
        <f aca="false">SUMIFS(Data!$N$2:$N$1006,Data!$A$2:$A$1006,$A21,Data!$C$2:$C$1006,"Midwest peers")</f>
        <v>3496.606758</v>
      </c>
      <c r="AJ21" s="10" t="n">
        <f aca="false">SUMIFS(Data!$H$2:$H$1006,Data!$A$2:$A$1006,$A21,Data!$C$2:$C$1006,"Midwest peers")</f>
        <v>2592.110943</v>
      </c>
      <c r="AK21" s="11" t="n">
        <f aca="false">IFERROR(AF21*1000000/AE21,"")</f>
        <v>98.9424826603458</v>
      </c>
      <c r="AL21" s="11" t="n">
        <f aca="false">IFERROR(AG21*1000000/AE21,"")</f>
        <v>90.4353393586287</v>
      </c>
      <c r="AM21" s="11" t="n">
        <f aca="false">IFERROR(AH21*1000000/AE21,"")</f>
        <v>103.924319369396</v>
      </c>
      <c r="AN21" s="11" t="n">
        <f aca="false">IFERROR(AI21*1000000/AE21,"")</f>
        <v>293.30214138837</v>
      </c>
      <c r="AO21" s="11" t="n">
        <f aca="false">IFERROR(AJ21*1000000/AE21,"")</f>
        <v>217.431282073306</v>
      </c>
      <c r="AP21" s="12" t="str">
        <f aca="false">IFERROR(IF(OR(IFERROR(INDEX(Assumptions!$B$8:$B$33,MATCH(Assumptions!$B$5,Assumptions!$A$8:$A$33,0)),"")="",INDEX(Assumptions!$B$8:$B$33,MATCH($A21,Assumptions!$A$8:$A$33,0))=""),"",AN21*IFERROR(INDEX(Assumptions!$B$8:$B$33,MATCH(Assumptions!$B$5,Assumptions!$A$8:$A$33,0)),"")/INDEX(Assumptions!$B$8:$B$33,MATCH($A21,Assumptions!$A$8:$A$33,0))),"")</f>
        <v/>
      </c>
      <c r="AQ21" s="12" t="str">
        <f aca="false">IFERROR(IF(OR(IFERROR(INDEX(Assumptions!$B$8:$B$33,MATCH(Assumptions!$B$5,Assumptions!$A$8:$A$33,0)),"")="",INDEX(Assumptions!$B$8:$B$33,MATCH($A21,Assumptions!$A$8:$A$33,0))=""),"",AO21*IFERROR(INDEX(Assumptions!$B$8:$B$33,MATCH(Assumptions!$B$5,Assumptions!$A$8:$A$33,0)),"")/INDEX(Assumptions!$B$8:$B$33,MATCH($A21,Assumptions!$A$8:$A$33,0))),"")</f>
        <v/>
      </c>
    </row>
    <row r="22" customFormat="false" ht="15" hidden="false" customHeight="false" outlineLevel="0" collapsed="false">
      <c r="A22" s="7" t="n">
        <v>2017</v>
      </c>
      <c r="B22" s="8" t="n">
        <f aca="false">COUNTIFS(Data!$A$2:$A$1006,$A22,Data!$C$2:$C$1006,"FirstEnergy")</f>
        <v>10</v>
      </c>
      <c r="C22" s="9" t="n">
        <f aca="false">SUMIFS(Data!$L$2:$L$1006,Data!$A$2:$A$1006,$A22,Data!$C$2:$C$1006,"FirstEnergy")</f>
        <v>6071188</v>
      </c>
      <c r="D22" s="10" t="n">
        <f aca="false">SUMIFS(Data!$E$2:$E$1006,Data!$A$2:$A$1006,$A22,Data!$C$2:$C$1006,"FirstEnergy")</f>
        <v>539.977865</v>
      </c>
      <c r="E22" s="10" t="n">
        <f aca="false">SUMIFS(Data!$F$2:$F$1006,Data!$A$2:$A$1006,$A22,Data!$C$2:$C$1006,"FirstEnergy")</f>
        <v>542.562131</v>
      </c>
      <c r="F22" s="10" t="n">
        <f aca="false">SUMIFS(Data!$G$2:$G$1006,Data!$A$2:$A$1006,$A22,Data!$C$2:$C$1006,"FirstEnergy")</f>
        <v>540.858223</v>
      </c>
      <c r="G22" s="10" t="n">
        <f aca="false">SUMIFS(Data!$N$2:$N$1006,Data!$A$2:$A$1006,$A22,Data!$C$2:$C$1006,"FirstEnergy")</f>
        <v>1623.398219</v>
      </c>
      <c r="H22" s="10" t="n">
        <f aca="false">SUMIFS(Data!$H$2:$H$1006,Data!$A$2:$A$1006,$A22,Data!$C$2:$C$1006,"FirstEnergy")</f>
        <v>970.210422</v>
      </c>
      <c r="I22" s="11" t="n">
        <f aca="false">IFERROR(D22*1000000/C22,"")</f>
        <v>88.9410548643857</v>
      </c>
      <c r="J22" s="11" t="n">
        <f aca="false">IFERROR(E22*1000000/C22,"")</f>
        <v>89.3667155423288</v>
      </c>
      <c r="K22" s="11" t="n">
        <f aca="false">IFERROR(F22*1000000/C22,"")</f>
        <v>89.0860607512072</v>
      </c>
      <c r="L22" s="11" t="n">
        <f aca="false">IFERROR(G22*1000000/C22,"")</f>
        <v>267.393831157922</v>
      </c>
      <c r="M22" s="11" t="n">
        <f aca="false">IFERROR(H22*1000000/C22,"")</f>
        <v>159.805695689213</v>
      </c>
      <c r="N22" s="12" t="str">
        <f aca="false">IFERROR(IF(OR(IFERROR(INDEX(Assumptions!$B$8:$B$33,MATCH(Assumptions!$B$5,Assumptions!$A$8:$A$33,0)),"")="",INDEX(Assumptions!$B$8:$B$33,MATCH($A22,Assumptions!$A$8:$A$33,0))=""),"",L22*IFERROR(INDEX(Assumptions!$B$8:$B$33,MATCH(Assumptions!$B$5,Assumptions!$A$8:$A$33,0)),"")/INDEX(Assumptions!$B$8:$B$33,MATCH($A22,Assumptions!$A$8:$A$33,0))),"")</f>
        <v/>
      </c>
      <c r="O22" s="12" t="str">
        <f aca="false">IFERROR(IF(OR(IFERROR(INDEX(Assumptions!$B$8:$B$33,MATCH(Assumptions!$B$5,Assumptions!$A$8:$A$33,0)),"")="",INDEX(Assumptions!$B$8:$B$33,MATCH($A22,Assumptions!$A$8:$A$33,0))=""),"",M22*IFERROR(INDEX(Assumptions!$B$8:$B$33,MATCH(Assumptions!$B$5,Assumptions!$A$8:$A$33,0)),"")/INDEX(Assumptions!$B$8:$B$33,MATCH($A22,Assumptions!$A$8:$A$33,0))),"")</f>
        <v/>
      </c>
      <c r="P22" s="8" t="n">
        <f aca="false">COUNTIFS(Data!$A$2:$A$1006,$A22,Data!$C$2:$C$1006,"Northeast peers")</f>
        <v>12</v>
      </c>
      <c r="Q22" s="9" t="n">
        <f aca="false">SUMIFS(Data!$L$2:$L$1006,Data!$A$2:$A$1006,$A22,Data!$C$2:$C$1006,"Northeast peers")</f>
        <v>12770789</v>
      </c>
      <c r="R22" s="10" t="n">
        <f aca="false">SUMIFS(Data!$E$2:$E$1006,Data!$A$2:$A$1006,$A22,Data!$C$2:$C$1006,"Northeast peers")</f>
        <v>1616.29658</v>
      </c>
      <c r="S22" s="10" t="n">
        <f aca="false">SUMIFS(Data!$F$2:$F$1006,Data!$A$2:$A$1006,$A22,Data!$C$2:$C$1006,"Northeast peers")</f>
        <v>1345.448568</v>
      </c>
      <c r="T22" s="10" t="n">
        <f aca="false">SUMIFS(Data!$G$2:$G$1006,Data!$A$2:$A$1006,$A22,Data!$C$2:$C$1006,"Northeast peers")</f>
        <v>1341.981333</v>
      </c>
      <c r="U22" s="10" t="n">
        <f aca="false">SUMIFS(Data!$N$2:$N$1006,Data!$A$2:$A$1006,$A22,Data!$C$2:$C$1006,"Northeast peers")</f>
        <v>4303.726481</v>
      </c>
      <c r="V22" s="10" t="n">
        <f aca="false">SUMIFS(Data!$H$2:$H$1006,Data!$A$2:$A$1006,$A22,Data!$C$2:$C$1006,"Northeast peers")</f>
        <v>3074.534867</v>
      </c>
      <c r="W22" s="11" t="n">
        <f aca="false">IFERROR(R22*1000000/Q22,"")</f>
        <v>126.561998636106</v>
      </c>
      <c r="X22" s="11" t="n">
        <f aca="false">IFERROR(S22*1000000/Q22,"")</f>
        <v>105.353597808248</v>
      </c>
      <c r="Y22" s="11" t="n">
        <f aca="false">IFERROR(T22*1000000/Q22,"")</f>
        <v>105.082100487292</v>
      </c>
      <c r="Z22" s="11" t="n">
        <f aca="false">IFERROR(U22*1000000/Q22,"")</f>
        <v>336.997696931646</v>
      </c>
      <c r="AA22" s="11" t="n">
        <f aca="false">IFERROR(V22*1000000/Q22,"")</f>
        <v>240.74744849359</v>
      </c>
      <c r="AB22" s="12" t="str">
        <f aca="false">IFERROR(IF(OR(IFERROR(INDEX(Assumptions!$B$8:$B$33,MATCH(Assumptions!$B$5,Assumptions!$A$8:$A$33,0)),"")="",INDEX(Assumptions!$B$8:$B$33,MATCH($A22,Assumptions!$A$8:$A$33,0))=""),"",Z22*IFERROR(INDEX(Assumptions!$B$8:$B$33,MATCH(Assumptions!$B$5,Assumptions!$A$8:$A$33,0)),"")/INDEX(Assumptions!$B$8:$B$33,MATCH($A22,Assumptions!$A$8:$A$33,0))),"")</f>
        <v/>
      </c>
      <c r="AC22" s="12" t="str">
        <f aca="false">IFERROR(IF(OR(IFERROR(INDEX(Assumptions!$B$8:$B$33,MATCH(Assumptions!$B$5,Assumptions!$A$8:$A$33,0)),"")="",INDEX(Assumptions!$B$8:$B$33,MATCH($A22,Assumptions!$A$8:$A$33,0))=""),"",AA22*IFERROR(INDEX(Assumptions!$B$8:$B$33,MATCH(Assumptions!$B$5,Assumptions!$A$8:$A$33,0)),"")/INDEX(Assumptions!$B$8:$B$33,MATCH($A22,Assumptions!$A$8:$A$33,0))),"")</f>
        <v/>
      </c>
      <c r="AD22" s="8" t="n">
        <f aca="false">COUNTIFS(Data!$A$2:$A$1006,$A22,Data!$C$2:$C$1006,"Midwest peers")</f>
        <v>17</v>
      </c>
      <c r="AE22" s="9" t="n">
        <f aca="false">SUMIFS(Data!$L$2:$L$1006,Data!$A$2:$A$1006,$A22,Data!$C$2:$C$1006,"Midwest peers")</f>
        <v>11962699</v>
      </c>
      <c r="AF22" s="10" t="n">
        <f aca="false">SUMIFS(Data!$E$2:$E$1006,Data!$A$2:$A$1006,$A22,Data!$C$2:$C$1006,"Midwest peers")</f>
        <v>1223.827006</v>
      </c>
      <c r="AG22" s="10" t="n">
        <f aca="false">SUMIFS(Data!$F$2:$F$1006,Data!$A$2:$A$1006,$A22,Data!$C$2:$C$1006,"Midwest peers")</f>
        <v>1180.213074</v>
      </c>
      <c r="AH22" s="10" t="n">
        <f aca="false">SUMIFS(Data!$G$2:$G$1006,Data!$A$2:$A$1006,$A22,Data!$C$2:$C$1006,"Midwest peers")</f>
        <v>1289.376669</v>
      </c>
      <c r="AI22" s="10" t="n">
        <f aca="false">SUMIFS(Data!$N$2:$N$1006,Data!$A$2:$A$1006,$A22,Data!$C$2:$C$1006,"Midwest peers")</f>
        <v>3693.416749</v>
      </c>
      <c r="AJ22" s="10" t="n">
        <f aca="false">SUMIFS(Data!$H$2:$H$1006,Data!$A$2:$A$1006,$A22,Data!$C$2:$C$1006,"Midwest peers")</f>
        <v>3131.031799</v>
      </c>
      <c r="AK22" s="11" t="n">
        <f aca="false">IFERROR(AF22*1000000/AE22,"")</f>
        <v>102.303586005131</v>
      </c>
      <c r="AL22" s="11" t="n">
        <f aca="false">IFERROR(AG22*1000000/AE22,"")</f>
        <v>98.6577589221295</v>
      </c>
      <c r="AM22" s="11" t="n">
        <f aca="false">IFERROR(AH22*1000000/AE22,"")</f>
        <v>107.78309050491</v>
      </c>
      <c r="AN22" s="11" t="n">
        <f aca="false">IFERROR(AI22*1000000/AE22,"")</f>
        <v>308.744435432171</v>
      </c>
      <c r="AO22" s="11" t="n">
        <f aca="false">IFERROR(AJ22*1000000/AE22,"")</f>
        <v>261.732891465379</v>
      </c>
      <c r="AP22" s="12" t="str">
        <f aca="false">IFERROR(IF(OR(IFERROR(INDEX(Assumptions!$B$8:$B$33,MATCH(Assumptions!$B$5,Assumptions!$A$8:$A$33,0)),"")="",INDEX(Assumptions!$B$8:$B$33,MATCH($A22,Assumptions!$A$8:$A$33,0))=""),"",AN22*IFERROR(INDEX(Assumptions!$B$8:$B$33,MATCH(Assumptions!$B$5,Assumptions!$A$8:$A$33,0)),"")/INDEX(Assumptions!$B$8:$B$33,MATCH($A22,Assumptions!$A$8:$A$33,0))),"")</f>
        <v/>
      </c>
      <c r="AQ22" s="12" t="str">
        <f aca="false">IFERROR(IF(OR(IFERROR(INDEX(Assumptions!$B$8:$B$33,MATCH(Assumptions!$B$5,Assumptions!$A$8:$A$33,0)),"")="",INDEX(Assumptions!$B$8:$B$33,MATCH($A22,Assumptions!$A$8:$A$33,0))=""),"",AO22*IFERROR(INDEX(Assumptions!$B$8:$B$33,MATCH(Assumptions!$B$5,Assumptions!$A$8:$A$33,0)),"")/INDEX(Assumptions!$B$8:$B$33,MATCH($A22,Assumptions!$A$8:$A$33,0))),"")</f>
        <v/>
      </c>
    </row>
    <row r="23" customFormat="false" ht="15" hidden="false" customHeight="false" outlineLevel="0" collapsed="false">
      <c r="A23" s="7" t="n">
        <v>2018</v>
      </c>
      <c r="B23" s="8" t="n">
        <f aca="false">COUNTIFS(Data!$A$2:$A$1006,$A23,Data!$C$2:$C$1006,"FirstEnergy")</f>
        <v>10</v>
      </c>
      <c r="C23" s="9" t="n">
        <f aca="false">SUMIFS(Data!$L$2:$L$1006,Data!$A$2:$A$1006,$A23,Data!$C$2:$C$1006,"FirstEnergy")</f>
        <v>6096987</v>
      </c>
      <c r="D23" s="10" t="n">
        <f aca="false">SUMIFS(Data!$E$2:$E$1006,Data!$A$2:$A$1006,$A23,Data!$C$2:$C$1006,"FirstEnergy")</f>
        <v>804.273824</v>
      </c>
      <c r="E23" s="10" t="n">
        <f aca="false">SUMIFS(Data!$F$2:$F$1006,Data!$A$2:$A$1006,$A23,Data!$C$2:$C$1006,"FirstEnergy")</f>
        <v>556.981208</v>
      </c>
      <c r="F23" s="10" t="n">
        <f aca="false">SUMIFS(Data!$G$2:$G$1006,Data!$A$2:$A$1006,$A23,Data!$C$2:$C$1006,"FirstEnergy")</f>
        <v>604.861746</v>
      </c>
      <c r="G23" s="10" t="n">
        <f aca="false">SUMIFS(Data!$N$2:$N$1006,Data!$A$2:$A$1006,$A23,Data!$C$2:$C$1006,"FirstEnergy")</f>
        <v>1966.116778</v>
      </c>
      <c r="H23" s="10" t="n">
        <f aca="false">SUMIFS(Data!$H$2:$H$1006,Data!$A$2:$A$1006,$A23,Data!$C$2:$C$1006,"FirstEnergy")</f>
        <v>1287.400142</v>
      </c>
      <c r="I23" s="11" t="n">
        <f aca="false">IFERROR(D23*1000000/C23,"")</f>
        <v>131.913324401053</v>
      </c>
      <c r="J23" s="11" t="n">
        <f aca="false">IFERROR(E23*1000000/C23,"")</f>
        <v>91.3535174013</v>
      </c>
      <c r="K23" s="11" t="n">
        <f aca="false">IFERROR(F23*1000000/C23,"")</f>
        <v>99.2066648657771</v>
      </c>
      <c r="L23" s="11" t="n">
        <f aca="false">IFERROR(G23*1000000/C23,"")</f>
        <v>322.47350666813</v>
      </c>
      <c r="M23" s="11" t="n">
        <f aca="false">IFERROR(H23*1000000/C23,"")</f>
        <v>211.153499589223</v>
      </c>
      <c r="N23" s="12" t="str">
        <f aca="false">IFERROR(IF(OR(IFERROR(INDEX(Assumptions!$B$8:$B$33,MATCH(Assumptions!$B$5,Assumptions!$A$8:$A$33,0)),"")="",INDEX(Assumptions!$B$8:$B$33,MATCH($A23,Assumptions!$A$8:$A$33,0))=""),"",L23*IFERROR(INDEX(Assumptions!$B$8:$B$33,MATCH(Assumptions!$B$5,Assumptions!$A$8:$A$33,0)),"")/INDEX(Assumptions!$B$8:$B$33,MATCH($A23,Assumptions!$A$8:$A$33,0))),"")</f>
        <v/>
      </c>
      <c r="O23" s="12" t="str">
        <f aca="false">IFERROR(IF(OR(IFERROR(INDEX(Assumptions!$B$8:$B$33,MATCH(Assumptions!$B$5,Assumptions!$A$8:$A$33,0)),"")="",INDEX(Assumptions!$B$8:$B$33,MATCH($A23,Assumptions!$A$8:$A$33,0))=""),"",M23*IFERROR(INDEX(Assumptions!$B$8:$B$33,MATCH(Assumptions!$B$5,Assumptions!$A$8:$A$33,0)),"")/INDEX(Assumptions!$B$8:$B$33,MATCH($A23,Assumptions!$A$8:$A$33,0))),"")</f>
        <v/>
      </c>
      <c r="P23" s="8" t="n">
        <f aca="false">COUNTIFS(Data!$A$2:$A$1006,$A23,Data!$C$2:$C$1006,"Northeast peers")</f>
        <v>12</v>
      </c>
      <c r="Q23" s="9" t="n">
        <f aca="false">SUMIFS(Data!$L$2:$L$1006,Data!$A$2:$A$1006,$A23,Data!$C$2:$C$1006,"Northeast peers")</f>
        <v>12865371</v>
      </c>
      <c r="R23" s="10" t="n">
        <f aca="false">SUMIFS(Data!$E$2:$E$1006,Data!$A$2:$A$1006,$A23,Data!$C$2:$C$1006,"Northeast peers")</f>
        <v>1872.231198</v>
      </c>
      <c r="S23" s="10" t="n">
        <f aca="false">SUMIFS(Data!$F$2:$F$1006,Data!$A$2:$A$1006,$A23,Data!$C$2:$C$1006,"Northeast peers")</f>
        <v>1431.573615</v>
      </c>
      <c r="T23" s="10" t="n">
        <f aca="false">SUMIFS(Data!$G$2:$G$1006,Data!$A$2:$A$1006,$A23,Data!$C$2:$C$1006,"Northeast peers")</f>
        <v>1435.011145</v>
      </c>
      <c r="U23" s="10" t="n">
        <f aca="false">SUMIFS(Data!$N$2:$N$1006,Data!$A$2:$A$1006,$A23,Data!$C$2:$C$1006,"Northeast peers")</f>
        <v>4738.815958</v>
      </c>
      <c r="V23" s="10" t="n">
        <f aca="false">SUMIFS(Data!$H$2:$H$1006,Data!$A$2:$A$1006,$A23,Data!$C$2:$C$1006,"Northeast peers")</f>
        <v>3669.748869</v>
      </c>
      <c r="W23" s="11" t="n">
        <f aca="false">IFERROR(R23*1000000/Q23,"")</f>
        <v>145.524851012847</v>
      </c>
      <c r="X23" s="11" t="n">
        <f aca="false">IFERROR(S23*1000000/Q23,"")</f>
        <v>111.273403231046</v>
      </c>
      <c r="Y23" s="11" t="n">
        <f aca="false">IFERROR(T23*1000000/Q23,"")</f>
        <v>111.540595681228</v>
      </c>
      <c r="Z23" s="11" t="n">
        <f aca="false">IFERROR(U23*1000000/Q23,"")</f>
        <v>368.338849925121</v>
      </c>
      <c r="AA23" s="11" t="n">
        <f aca="false">IFERROR(V23*1000000/Q23,"")</f>
        <v>285.242366426899</v>
      </c>
      <c r="AB23" s="12" t="str">
        <f aca="false">IFERROR(IF(OR(IFERROR(INDEX(Assumptions!$B$8:$B$33,MATCH(Assumptions!$B$5,Assumptions!$A$8:$A$33,0)),"")="",INDEX(Assumptions!$B$8:$B$33,MATCH($A23,Assumptions!$A$8:$A$33,0))=""),"",Z23*IFERROR(INDEX(Assumptions!$B$8:$B$33,MATCH(Assumptions!$B$5,Assumptions!$A$8:$A$33,0)),"")/INDEX(Assumptions!$B$8:$B$33,MATCH($A23,Assumptions!$A$8:$A$33,0))),"")</f>
        <v/>
      </c>
      <c r="AC23" s="12" t="str">
        <f aca="false">IFERROR(IF(OR(IFERROR(INDEX(Assumptions!$B$8:$B$33,MATCH(Assumptions!$B$5,Assumptions!$A$8:$A$33,0)),"")="",INDEX(Assumptions!$B$8:$B$33,MATCH($A23,Assumptions!$A$8:$A$33,0))=""),"",AA23*IFERROR(INDEX(Assumptions!$B$8:$B$33,MATCH(Assumptions!$B$5,Assumptions!$A$8:$A$33,0)),"")/INDEX(Assumptions!$B$8:$B$33,MATCH($A23,Assumptions!$A$8:$A$33,0))),"")</f>
        <v/>
      </c>
      <c r="AD23" s="8" t="n">
        <f aca="false">COUNTIFS(Data!$A$2:$A$1006,$A23,Data!$C$2:$C$1006,"Midwest peers")</f>
        <v>17</v>
      </c>
      <c r="AE23" s="9" t="n">
        <f aca="false">SUMIFS(Data!$L$2:$L$1006,Data!$A$2:$A$1006,$A23,Data!$C$2:$C$1006,"Midwest peers")</f>
        <v>12052589</v>
      </c>
      <c r="AF23" s="10" t="n">
        <f aca="false">SUMIFS(Data!$E$2:$E$1006,Data!$A$2:$A$1006,$A23,Data!$C$2:$C$1006,"Midwest peers")</f>
        <v>1262.586596</v>
      </c>
      <c r="AG23" s="10" t="n">
        <f aca="false">SUMIFS(Data!$F$2:$F$1006,Data!$A$2:$A$1006,$A23,Data!$C$2:$C$1006,"Midwest peers")</f>
        <v>1275.071388</v>
      </c>
      <c r="AH23" s="10" t="n">
        <f aca="false">SUMIFS(Data!$G$2:$G$1006,Data!$A$2:$A$1006,$A23,Data!$C$2:$C$1006,"Midwest peers")</f>
        <v>1393.01742</v>
      </c>
      <c r="AI23" s="10" t="n">
        <f aca="false">SUMIFS(Data!$N$2:$N$1006,Data!$A$2:$A$1006,$A23,Data!$C$2:$C$1006,"Midwest peers")</f>
        <v>3930.675404</v>
      </c>
      <c r="AJ23" s="10" t="n">
        <f aca="false">SUMIFS(Data!$H$2:$H$1006,Data!$A$2:$A$1006,$A23,Data!$C$2:$C$1006,"Midwest peers")</f>
        <v>3401.515715</v>
      </c>
      <c r="AK23" s="11" t="n">
        <f aca="false">IFERROR(AF23*1000000/AE23,"")</f>
        <v>104.756463196414</v>
      </c>
      <c r="AL23" s="11" t="n">
        <f aca="false">IFERROR(AG23*1000000/AE23,"")</f>
        <v>105.792322960652</v>
      </c>
      <c r="AM23" s="11" t="n">
        <f aca="false">IFERROR(AH23*1000000/AE23,"")</f>
        <v>115.578272850754</v>
      </c>
      <c r="AN23" s="11" t="n">
        <f aca="false">IFERROR(AI23*1000000/AE23,"")</f>
        <v>326.12705900782</v>
      </c>
      <c r="AO23" s="11" t="n">
        <f aca="false">IFERROR(AJ23*1000000/AE23,"")</f>
        <v>282.222824905089</v>
      </c>
      <c r="AP23" s="12" t="str">
        <f aca="false">IFERROR(IF(OR(IFERROR(INDEX(Assumptions!$B$8:$B$33,MATCH(Assumptions!$B$5,Assumptions!$A$8:$A$33,0)),"")="",INDEX(Assumptions!$B$8:$B$33,MATCH($A23,Assumptions!$A$8:$A$33,0))=""),"",AN23*IFERROR(INDEX(Assumptions!$B$8:$B$33,MATCH(Assumptions!$B$5,Assumptions!$A$8:$A$33,0)),"")/INDEX(Assumptions!$B$8:$B$33,MATCH($A23,Assumptions!$A$8:$A$33,0))),"")</f>
        <v/>
      </c>
      <c r="AQ23" s="12" t="str">
        <f aca="false">IFERROR(IF(OR(IFERROR(INDEX(Assumptions!$B$8:$B$33,MATCH(Assumptions!$B$5,Assumptions!$A$8:$A$33,0)),"")="",INDEX(Assumptions!$B$8:$B$33,MATCH($A23,Assumptions!$A$8:$A$33,0))=""),"",AO23*IFERROR(INDEX(Assumptions!$B$8:$B$33,MATCH(Assumptions!$B$5,Assumptions!$A$8:$A$33,0)),"")/INDEX(Assumptions!$B$8:$B$33,MATCH($A23,Assumptions!$A$8:$A$33,0))),"")</f>
        <v/>
      </c>
    </row>
    <row r="24" customFormat="false" ht="15" hidden="false" customHeight="false" outlineLevel="0" collapsed="false">
      <c r="A24" s="7" t="n">
        <v>2019</v>
      </c>
      <c r="B24" s="8" t="n">
        <f aca="false">COUNTIFS(Data!$A$2:$A$1006,$A24,Data!$C$2:$C$1006,"FirstEnergy")</f>
        <v>10</v>
      </c>
      <c r="C24" s="9" t="n">
        <f aca="false">SUMIFS(Data!$L$2:$L$1006,Data!$A$2:$A$1006,$A24,Data!$C$2:$C$1006,"FirstEnergy")</f>
        <v>6118526</v>
      </c>
      <c r="D24" s="10" t="n">
        <f aca="false">SUMIFS(Data!$E$2:$E$1006,Data!$A$2:$A$1006,$A24,Data!$C$2:$C$1006,"FirstEnergy")</f>
        <v>700.564472</v>
      </c>
      <c r="E24" s="10" t="n">
        <f aca="false">SUMIFS(Data!$F$2:$F$1006,Data!$A$2:$A$1006,$A24,Data!$C$2:$C$1006,"FirstEnergy")</f>
        <v>543.082926</v>
      </c>
      <c r="F24" s="10" t="n">
        <f aca="false">SUMIFS(Data!$G$2:$G$1006,Data!$A$2:$A$1006,$A24,Data!$C$2:$C$1006,"FirstEnergy")</f>
        <v>614.475763</v>
      </c>
      <c r="G24" s="10" t="n">
        <f aca="false">SUMIFS(Data!$N$2:$N$1006,Data!$A$2:$A$1006,$A24,Data!$C$2:$C$1006,"FirstEnergy")</f>
        <v>1858.123161</v>
      </c>
      <c r="H24" s="10" t="n">
        <f aca="false">SUMIFS(Data!$H$2:$H$1006,Data!$A$2:$A$1006,$A24,Data!$C$2:$C$1006,"FirstEnergy")</f>
        <v>1314.080527</v>
      </c>
      <c r="I24" s="11" t="n">
        <f aca="false">IFERROR(D24*1000000/C24,"")</f>
        <v>114.498895975926</v>
      </c>
      <c r="J24" s="11" t="n">
        <f aca="false">IFERROR(E24*1000000/C24,"")</f>
        <v>88.7604181137745</v>
      </c>
      <c r="K24" s="11" t="n">
        <f aca="false">IFERROR(F24*1000000/C24,"")</f>
        <v>100.428724663424</v>
      </c>
      <c r="L24" s="11" t="n">
        <f aca="false">IFERROR(G24*1000000/C24,"")</f>
        <v>303.688038753125</v>
      </c>
      <c r="M24" s="11" t="n">
        <f aca="false">IFERROR(H24*1000000/C24,"")</f>
        <v>214.770767828722</v>
      </c>
      <c r="N24" s="12" t="str">
        <f aca="false">IFERROR(IF(OR(IFERROR(INDEX(Assumptions!$B$8:$B$33,MATCH(Assumptions!$B$5,Assumptions!$A$8:$A$33,0)),"")="",INDEX(Assumptions!$B$8:$B$33,MATCH($A24,Assumptions!$A$8:$A$33,0))=""),"",L24*IFERROR(INDEX(Assumptions!$B$8:$B$33,MATCH(Assumptions!$B$5,Assumptions!$A$8:$A$33,0)),"")/INDEX(Assumptions!$B$8:$B$33,MATCH($A24,Assumptions!$A$8:$A$33,0))),"")</f>
        <v/>
      </c>
      <c r="O24" s="12" t="str">
        <f aca="false">IFERROR(IF(OR(IFERROR(INDEX(Assumptions!$B$8:$B$33,MATCH(Assumptions!$B$5,Assumptions!$A$8:$A$33,0)),"")="",INDEX(Assumptions!$B$8:$B$33,MATCH($A24,Assumptions!$A$8:$A$33,0))=""),"",M24*IFERROR(INDEX(Assumptions!$B$8:$B$33,MATCH(Assumptions!$B$5,Assumptions!$A$8:$A$33,0)),"")/INDEX(Assumptions!$B$8:$B$33,MATCH($A24,Assumptions!$A$8:$A$33,0))),"")</f>
        <v/>
      </c>
      <c r="P24" s="8" t="n">
        <f aca="false">COUNTIFS(Data!$A$2:$A$1006,$A24,Data!$C$2:$C$1006,"Northeast peers")</f>
        <v>12</v>
      </c>
      <c r="Q24" s="9" t="n">
        <f aca="false">SUMIFS(Data!$L$2:$L$1006,Data!$A$2:$A$1006,$A24,Data!$C$2:$C$1006,"Northeast peers")</f>
        <v>12959993</v>
      </c>
      <c r="R24" s="10" t="n">
        <f aca="false">SUMIFS(Data!$E$2:$E$1006,Data!$A$2:$A$1006,$A24,Data!$C$2:$C$1006,"Northeast peers")</f>
        <v>1787.223493</v>
      </c>
      <c r="S24" s="10" t="n">
        <f aca="false">SUMIFS(Data!$F$2:$F$1006,Data!$A$2:$A$1006,$A24,Data!$C$2:$C$1006,"Northeast peers")</f>
        <v>1489.915268</v>
      </c>
      <c r="T24" s="10" t="n">
        <f aca="false">SUMIFS(Data!$G$2:$G$1006,Data!$A$2:$A$1006,$A24,Data!$C$2:$C$1006,"Northeast peers")</f>
        <v>1497.793532</v>
      </c>
      <c r="U24" s="10" t="n">
        <f aca="false">SUMIFS(Data!$N$2:$N$1006,Data!$A$2:$A$1006,$A24,Data!$C$2:$C$1006,"Northeast peers")</f>
        <v>4774.932293</v>
      </c>
      <c r="V24" s="10" t="n">
        <f aca="false">SUMIFS(Data!$H$2:$H$1006,Data!$A$2:$A$1006,$A24,Data!$C$2:$C$1006,"Northeast peers")</f>
        <v>3353.413879</v>
      </c>
      <c r="W24" s="11" t="n">
        <f aca="false">IFERROR(R24*1000000/Q24,"")</f>
        <v>137.903121784094</v>
      </c>
      <c r="X24" s="11" t="n">
        <f aca="false">IFERROR(S24*1000000/Q24,"")</f>
        <v>114.962659933535</v>
      </c>
      <c r="Y24" s="11" t="n">
        <f aca="false">IFERROR(T24*1000000/Q24,"")</f>
        <v>115.570551002612</v>
      </c>
      <c r="Z24" s="11" t="n">
        <f aca="false">IFERROR(U24*1000000/Q24,"")</f>
        <v>368.436332720241</v>
      </c>
      <c r="AA24" s="11" t="n">
        <f aca="false">IFERROR(V24*1000000/Q24,"")</f>
        <v>258.751210668092</v>
      </c>
      <c r="AB24" s="12" t="str">
        <f aca="false">IFERROR(IF(OR(IFERROR(INDEX(Assumptions!$B$8:$B$33,MATCH(Assumptions!$B$5,Assumptions!$A$8:$A$33,0)),"")="",INDEX(Assumptions!$B$8:$B$33,MATCH($A24,Assumptions!$A$8:$A$33,0))=""),"",Z24*IFERROR(INDEX(Assumptions!$B$8:$B$33,MATCH(Assumptions!$B$5,Assumptions!$A$8:$A$33,0)),"")/INDEX(Assumptions!$B$8:$B$33,MATCH($A24,Assumptions!$A$8:$A$33,0))),"")</f>
        <v/>
      </c>
      <c r="AC24" s="12" t="str">
        <f aca="false">IFERROR(IF(OR(IFERROR(INDEX(Assumptions!$B$8:$B$33,MATCH(Assumptions!$B$5,Assumptions!$A$8:$A$33,0)),"")="",INDEX(Assumptions!$B$8:$B$33,MATCH($A24,Assumptions!$A$8:$A$33,0))=""),"",AA24*IFERROR(INDEX(Assumptions!$B$8:$B$33,MATCH(Assumptions!$B$5,Assumptions!$A$8:$A$33,0)),"")/INDEX(Assumptions!$B$8:$B$33,MATCH($A24,Assumptions!$A$8:$A$33,0))),"")</f>
        <v/>
      </c>
      <c r="AD24" s="8" t="n">
        <f aca="false">COUNTIFS(Data!$A$2:$A$1006,$A24,Data!$C$2:$C$1006,"Midwest peers")</f>
        <v>17</v>
      </c>
      <c r="AE24" s="9" t="n">
        <f aca="false">SUMIFS(Data!$L$2:$L$1006,Data!$A$2:$A$1006,$A24,Data!$C$2:$C$1006,"Midwest peers")</f>
        <v>12139823</v>
      </c>
      <c r="AF24" s="10" t="n">
        <f aca="false">SUMIFS(Data!$E$2:$E$1006,Data!$A$2:$A$1006,$A24,Data!$C$2:$C$1006,"Midwest peers")</f>
        <v>1353.391122</v>
      </c>
      <c r="AG24" s="10" t="n">
        <f aca="false">SUMIFS(Data!$F$2:$F$1006,Data!$A$2:$A$1006,$A24,Data!$C$2:$C$1006,"Midwest peers")</f>
        <v>1235.382171</v>
      </c>
      <c r="AH24" s="10" t="n">
        <f aca="false">SUMIFS(Data!$G$2:$G$1006,Data!$A$2:$A$1006,$A24,Data!$C$2:$C$1006,"Midwest peers")</f>
        <v>1496.139152</v>
      </c>
      <c r="AI24" s="10" t="n">
        <f aca="false">SUMIFS(Data!$N$2:$N$1006,Data!$A$2:$A$1006,$A24,Data!$C$2:$C$1006,"Midwest peers")</f>
        <v>4084.912445</v>
      </c>
      <c r="AJ24" s="10" t="n">
        <f aca="false">SUMIFS(Data!$H$2:$H$1006,Data!$A$2:$A$1006,$A24,Data!$C$2:$C$1006,"Midwest peers")</f>
        <v>3881.611098</v>
      </c>
      <c r="AK24" s="11" t="n">
        <f aca="false">IFERROR(AF24*1000000/AE24,"")</f>
        <v>111.483595930517</v>
      </c>
      <c r="AL24" s="11" t="n">
        <f aca="false">IFERROR(AG24*1000000/AE24,"")</f>
        <v>101.762782785219</v>
      </c>
      <c r="AM24" s="11" t="n">
        <f aca="false">IFERROR(AH24*1000000/AE24,"")</f>
        <v>123.242254191021</v>
      </c>
      <c r="AN24" s="11" t="n">
        <f aca="false">IFERROR(AI24*1000000/AE24,"")</f>
        <v>336.488632906757</v>
      </c>
      <c r="AO24" s="11" t="n">
        <f aca="false">IFERROR(AJ24*1000000/AE24,"")</f>
        <v>319.74198454129</v>
      </c>
      <c r="AP24" s="12" t="str">
        <f aca="false">IFERROR(IF(OR(IFERROR(INDEX(Assumptions!$B$8:$B$33,MATCH(Assumptions!$B$5,Assumptions!$A$8:$A$33,0)),"")="",INDEX(Assumptions!$B$8:$B$33,MATCH($A24,Assumptions!$A$8:$A$33,0))=""),"",AN24*IFERROR(INDEX(Assumptions!$B$8:$B$33,MATCH(Assumptions!$B$5,Assumptions!$A$8:$A$33,0)),"")/INDEX(Assumptions!$B$8:$B$33,MATCH($A24,Assumptions!$A$8:$A$33,0))),"")</f>
        <v/>
      </c>
      <c r="AQ24" s="12" t="str">
        <f aca="false">IFERROR(IF(OR(IFERROR(INDEX(Assumptions!$B$8:$B$33,MATCH(Assumptions!$B$5,Assumptions!$A$8:$A$33,0)),"")="",INDEX(Assumptions!$B$8:$B$33,MATCH($A24,Assumptions!$A$8:$A$33,0))=""),"",AO24*IFERROR(INDEX(Assumptions!$B$8:$B$33,MATCH(Assumptions!$B$5,Assumptions!$A$8:$A$33,0)),"")/INDEX(Assumptions!$B$8:$B$33,MATCH($A24,Assumptions!$A$8:$A$33,0))),"")</f>
        <v/>
      </c>
    </row>
    <row r="25" customFormat="false" ht="15" hidden="false" customHeight="false" outlineLevel="0" collapsed="false">
      <c r="A25" s="7" t="n">
        <v>2020</v>
      </c>
      <c r="B25" s="8" t="n">
        <f aca="false">COUNTIFS(Data!$A$2:$A$1006,$A25,Data!$C$2:$C$1006,"FirstEnergy")</f>
        <v>10</v>
      </c>
      <c r="C25" s="9" t="n">
        <f aca="false">SUMIFS(Data!$L$2:$L$1006,Data!$A$2:$A$1006,$A25,Data!$C$2:$C$1006,"FirstEnergy")</f>
        <v>6151612</v>
      </c>
      <c r="D25" s="10" t="n">
        <f aca="false">SUMIFS(Data!$E$2:$E$1006,Data!$A$2:$A$1006,$A25,Data!$C$2:$C$1006,"FirstEnergy")</f>
        <v>852.442613</v>
      </c>
      <c r="E25" s="10" t="n">
        <f aca="false">SUMIFS(Data!$F$2:$F$1006,Data!$A$2:$A$1006,$A25,Data!$C$2:$C$1006,"FirstEnergy")</f>
        <v>612.631629</v>
      </c>
      <c r="F25" s="10" t="n">
        <f aca="false">SUMIFS(Data!$G$2:$G$1006,Data!$A$2:$A$1006,$A25,Data!$C$2:$C$1006,"FirstEnergy")</f>
        <v>649.142135</v>
      </c>
      <c r="G25" s="10" t="n">
        <f aca="false">SUMIFS(Data!$N$2:$N$1006,Data!$A$2:$A$1006,$A25,Data!$C$2:$C$1006,"FirstEnergy")</f>
        <v>2114.216377</v>
      </c>
      <c r="H25" s="10" t="n">
        <f aca="false">SUMIFS(Data!$H$2:$H$1006,Data!$A$2:$A$1006,$A25,Data!$C$2:$C$1006,"FirstEnergy")</f>
        <v>1261.896412</v>
      </c>
      <c r="I25" s="11" t="n">
        <f aca="false">IFERROR(D25*1000000/C25,"")</f>
        <v>138.572233261786</v>
      </c>
      <c r="J25" s="11" t="n">
        <f aca="false">IFERROR(E25*1000000/C25,"")</f>
        <v>99.5887954246789</v>
      </c>
      <c r="K25" s="11" t="n">
        <f aca="false">IFERROR(F25*1000000/C25,"")</f>
        <v>105.523907392079</v>
      </c>
      <c r="L25" s="11" t="n">
        <f aca="false">IFERROR(G25*1000000/C25,"")</f>
        <v>343.684936078543</v>
      </c>
      <c r="M25" s="11" t="n">
        <f aca="false">IFERROR(H25*1000000/C25,"")</f>
        <v>205.132640355081</v>
      </c>
      <c r="N25" s="12" t="str">
        <f aca="false">IFERROR(IF(OR(IFERROR(INDEX(Assumptions!$B$8:$B$33,MATCH(Assumptions!$B$5,Assumptions!$A$8:$A$33,0)),"")="",INDEX(Assumptions!$B$8:$B$33,MATCH($A25,Assumptions!$A$8:$A$33,0))=""),"",L25*IFERROR(INDEX(Assumptions!$B$8:$B$33,MATCH(Assumptions!$B$5,Assumptions!$A$8:$A$33,0)),"")/INDEX(Assumptions!$B$8:$B$33,MATCH($A25,Assumptions!$A$8:$A$33,0))),"")</f>
        <v/>
      </c>
      <c r="O25" s="12" t="str">
        <f aca="false">IFERROR(IF(OR(IFERROR(INDEX(Assumptions!$B$8:$B$33,MATCH(Assumptions!$B$5,Assumptions!$A$8:$A$33,0)),"")="",INDEX(Assumptions!$B$8:$B$33,MATCH($A25,Assumptions!$A$8:$A$33,0))=""),"",M25*IFERROR(INDEX(Assumptions!$B$8:$B$33,MATCH(Assumptions!$B$5,Assumptions!$A$8:$A$33,0)),"")/INDEX(Assumptions!$B$8:$B$33,MATCH($A25,Assumptions!$A$8:$A$33,0))),"")</f>
        <v/>
      </c>
      <c r="P25" s="8" t="n">
        <f aca="false">COUNTIFS(Data!$A$2:$A$1006,$A25,Data!$C$2:$C$1006,"Northeast peers")</f>
        <v>12</v>
      </c>
      <c r="Q25" s="9" t="n">
        <f aca="false">SUMIFS(Data!$L$2:$L$1006,Data!$A$2:$A$1006,$A25,Data!$C$2:$C$1006,"Northeast peers")</f>
        <v>13061979</v>
      </c>
      <c r="R25" s="10" t="n">
        <f aca="false">SUMIFS(Data!$E$2:$E$1006,Data!$A$2:$A$1006,$A25,Data!$C$2:$C$1006,"Northeast peers")</f>
        <v>1859.97248</v>
      </c>
      <c r="S25" s="10" t="n">
        <f aca="false">SUMIFS(Data!$F$2:$F$1006,Data!$A$2:$A$1006,$A25,Data!$C$2:$C$1006,"Northeast peers")</f>
        <v>1489.826021</v>
      </c>
      <c r="T25" s="10" t="n">
        <f aca="false">SUMIFS(Data!$G$2:$G$1006,Data!$A$2:$A$1006,$A25,Data!$C$2:$C$1006,"Northeast peers")</f>
        <v>1615.47514</v>
      </c>
      <c r="U25" s="10" t="n">
        <f aca="false">SUMIFS(Data!$N$2:$N$1006,Data!$A$2:$A$1006,$A25,Data!$C$2:$C$1006,"Northeast peers")</f>
        <v>4965.273641</v>
      </c>
      <c r="V25" s="10" t="n">
        <f aca="false">SUMIFS(Data!$H$2:$H$1006,Data!$A$2:$A$1006,$A25,Data!$C$2:$C$1006,"Northeast peers")</f>
        <v>3542.831305</v>
      </c>
      <c r="W25" s="11" t="n">
        <f aca="false">IFERROR(R25*1000000/Q25,"")</f>
        <v>142.395917188353</v>
      </c>
      <c r="X25" s="11" t="n">
        <f aca="false">IFERROR(S25*1000000/Q25,"")</f>
        <v>114.058215910468</v>
      </c>
      <c r="Y25" s="11" t="n">
        <f aca="false">IFERROR(T25*1000000/Q25,"")</f>
        <v>123.677670895046</v>
      </c>
      <c r="Z25" s="11" t="n">
        <f aca="false">IFERROR(U25*1000000/Q25,"")</f>
        <v>380.131803993866</v>
      </c>
      <c r="AA25" s="11" t="n">
        <f aca="false">IFERROR(V25*1000000/Q25,"")</f>
        <v>271.232353458844</v>
      </c>
      <c r="AB25" s="12" t="str">
        <f aca="false">IFERROR(IF(OR(IFERROR(INDEX(Assumptions!$B$8:$B$33,MATCH(Assumptions!$B$5,Assumptions!$A$8:$A$33,0)),"")="",INDEX(Assumptions!$B$8:$B$33,MATCH($A25,Assumptions!$A$8:$A$33,0))=""),"",Z25*IFERROR(INDEX(Assumptions!$B$8:$B$33,MATCH(Assumptions!$B$5,Assumptions!$A$8:$A$33,0)),"")/INDEX(Assumptions!$B$8:$B$33,MATCH($A25,Assumptions!$A$8:$A$33,0))),"")</f>
        <v/>
      </c>
      <c r="AC25" s="12" t="str">
        <f aca="false">IFERROR(IF(OR(IFERROR(INDEX(Assumptions!$B$8:$B$33,MATCH(Assumptions!$B$5,Assumptions!$A$8:$A$33,0)),"")="",INDEX(Assumptions!$B$8:$B$33,MATCH($A25,Assumptions!$A$8:$A$33,0))=""),"",AA25*IFERROR(INDEX(Assumptions!$B$8:$B$33,MATCH(Assumptions!$B$5,Assumptions!$A$8:$A$33,0)),"")/INDEX(Assumptions!$B$8:$B$33,MATCH($A25,Assumptions!$A$8:$A$33,0))),"")</f>
        <v/>
      </c>
      <c r="AD25" s="8" t="n">
        <f aca="false">COUNTIFS(Data!$A$2:$A$1006,$A25,Data!$C$2:$C$1006,"Midwest peers")</f>
        <v>17</v>
      </c>
      <c r="AE25" s="9" t="n">
        <f aca="false">SUMIFS(Data!$L$2:$L$1006,Data!$A$2:$A$1006,$A25,Data!$C$2:$C$1006,"Midwest peers")</f>
        <v>12248151</v>
      </c>
      <c r="AF25" s="10" t="n">
        <f aca="false">SUMIFS(Data!$E$2:$E$1006,Data!$A$2:$A$1006,$A25,Data!$C$2:$C$1006,"Midwest peers")</f>
        <v>1266.923835</v>
      </c>
      <c r="AG25" s="10" t="n">
        <f aca="false">SUMIFS(Data!$F$2:$F$1006,Data!$A$2:$A$1006,$A25,Data!$C$2:$C$1006,"Midwest peers")</f>
        <v>1221.326427</v>
      </c>
      <c r="AH25" s="10" t="n">
        <f aca="false">SUMIFS(Data!$G$2:$G$1006,Data!$A$2:$A$1006,$A25,Data!$C$2:$C$1006,"Midwest peers")</f>
        <v>1603.574954</v>
      </c>
      <c r="AI25" s="10" t="n">
        <f aca="false">SUMIFS(Data!$N$2:$N$1006,Data!$A$2:$A$1006,$A25,Data!$C$2:$C$1006,"Midwest peers")</f>
        <v>4091.825216</v>
      </c>
      <c r="AJ25" s="10" t="n">
        <f aca="false">SUMIFS(Data!$H$2:$H$1006,Data!$A$2:$A$1006,$A25,Data!$C$2:$C$1006,"Midwest peers")</f>
        <v>4039.3943</v>
      </c>
      <c r="AK25" s="11" t="n">
        <f aca="false">IFERROR(AF25*1000000/AE25,"")</f>
        <v>103.437966677583</v>
      </c>
      <c r="AL25" s="11" t="n">
        <f aca="false">IFERROR(AG25*1000000/AE25,"")</f>
        <v>99.7151673750593</v>
      </c>
      <c r="AM25" s="11" t="n">
        <f aca="false">IFERROR(AH25*1000000/AE25,"")</f>
        <v>130.923839361549</v>
      </c>
      <c r="AN25" s="11" t="n">
        <f aca="false">IFERROR(AI25*1000000/AE25,"")</f>
        <v>334.076973414191</v>
      </c>
      <c r="AO25" s="11" t="n">
        <f aca="false">IFERROR(AJ25*1000000/AE25,"")</f>
        <v>329.79625251191</v>
      </c>
      <c r="AP25" s="12" t="str">
        <f aca="false">IFERROR(IF(OR(IFERROR(INDEX(Assumptions!$B$8:$B$33,MATCH(Assumptions!$B$5,Assumptions!$A$8:$A$33,0)),"")="",INDEX(Assumptions!$B$8:$B$33,MATCH($A25,Assumptions!$A$8:$A$33,0))=""),"",AN25*IFERROR(INDEX(Assumptions!$B$8:$B$33,MATCH(Assumptions!$B$5,Assumptions!$A$8:$A$33,0)),"")/INDEX(Assumptions!$B$8:$B$33,MATCH($A25,Assumptions!$A$8:$A$33,0))),"")</f>
        <v/>
      </c>
      <c r="AQ25" s="12" t="str">
        <f aca="false">IFERROR(IF(OR(IFERROR(INDEX(Assumptions!$B$8:$B$33,MATCH(Assumptions!$B$5,Assumptions!$A$8:$A$33,0)),"")="",INDEX(Assumptions!$B$8:$B$33,MATCH($A25,Assumptions!$A$8:$A$33,0))=""),"",AO25*IFERROR(INDEX(Assumptions!$B$8:$B$33,MATCH(Assumptions!$B$5,Assumptions!$A$8:$A$33,0)),"")/INDEX(Assumptions!$B$8:$B$33,MATCH($A25,Assumptions!$A$8:$A$33,0))),"")</f>
        <v/>
      </c>
    </row>
    <row r="26" customFormat="false" ht="15" hidden="false" customHeight="false" outlineLevel="0" collapsed="false">
      <c r="A26" s="7" t="n">
        <v>2021</v>
      </c>
      <c r="B26" s="8" t="n">
        <f aca="false">COUNTIFS(Data!$A$2:$A$1006,$A26,Data!$C$2:$C$1006,"FirstEnergy")</f>
        <v>10</v>
      </c>
      <c r="C26" s="9" t="n">
        <f aca="false">SUMIFS(Data!$L$2:$L$1006,Data!$A$2:$A$1006,$A26,Data!$C$2:$C$1006,"FirstEnergy")</f>
        <v>6179720</v>
      </c>
      <c r="D26" s="10" t="n">
        <f aca="false">SUMIFS(Data!$E$2:$E$1006,Data!$A$2:$A$1006,$A26,Data!$C$2:$C$1006,"FirstEnergy")</f>
        <v>704.983212</v>
      </c>
      <c r="E26" s="10" t="n">
        <f aca="false">SUMIFS(Data!$F$2:$F$1006,Data!$A$2:$A$1006,$A26,Data!$C$2:$C$1006,"FirstEnergy")</f>
        <v>473.353256</v>
      </c>
      <c r="F26" s="10" t="n">
        <f aca="false">SUMIFS(Data!$G$2:$G$1006,Data!$A$2:$A$1006,$A26,Data!$C$2:$C$1006,"FirstEnergy")</f>
        <v>663.309041</v>
      </c>
      <c r="G26" s="10" t="n">
        <f aca="false">SUMIFS(Data!$N$2:$N$1006,Data!$A$2:$A$1006,$A26,Data!$C$2:$C$1006,"FirstEnergy")</f>
        <v>1841.645509</v>
      </c>
      <c r="H26" s="10" t="n">
        <f aca="false">SUMIFS(Data!$H$2:$H$1006,Data!$A$2:$A$1006,$A26,Data!$C$2:$C$1006,"FirstEnergy")</f>
        <v>1307.603069</v>
      </c>
      <c r="I26" s="11" t="n">
        <f aca="false">IFERROR(D26*1000000/C26,"")</f>
        <v>114.080122076728</v>
      </c>
      <c r="J26" s="11" t="n">
        <f aca="false">IFERROR(E26*1000000/C26,"")</f>
        <v>76.5978484462079</v>
      </c>
      <c r="K26" s="11" t="n">
        <f aca="false">IFERROR(F26*1000000/C26,"")</f>
        <v>107.336423171276</v>
      </c>
      <c r="L26" s="11" t="n">
        <f aca="false">IFERROR(G26*1000000/C26,"")</f>
        <v>298.014393694213</v>
      </c>
      <c r="M26" s="11" t="n">
        <f aca="false">IFERROR(H26*1000000/C26,"")</f>
        <v>211.595843986459</v>
      </c>
      <c r="N26" s="12" t="str">
        <f aca="false">IFERROR(IF(OR(IFERROR(INDEX(Assumptions!$B$8:$B$33,MATCH(Assumptions!$B$5,Assumptions!$A$8:$A$33,0)),"")="",INDEX(Assumptions!$B$8:$B$33,MATCH($A26,Assumptions!$A$8:$A$33,0))=""),"",L26*IFERROR(INDEX(Assumptions!$B$8:$B$33,MATCH(Assumptions!$B$5,Assumptions!$A$8:$A$33,0)),"")/INDEX(Assumptions!$B$8:$B$33,MATCH($A26,Assumptions!$A$8:$A$33,0))),"")</f>
        <v/>
      </c>
      <c r="O26" s="12" t="str">
        <f aca="false">IFERROR(IF(OR(IFERROR(INDEX(Assumptions!$B$8:$B$33,MATCH(Assumptions!$B$5,Assumptions!$A$8:$A$33,0)),"")="",INDEX(Assumptions!$B$8:$B$33,MATCH($A26,Assumptions!$A$8:$A$33,0))=""),"",M26*IFERROR(INDEX(Assumptions!$B$8:$B$33,MATCH(Assumptions!$B$5,Assumptions!$A$8:$A$33,0)),"")/INDEX(Assumptions!$B$8:$B$33,MATCH($A26,Assumptions!$A$8:$A$33,0))),"")</f>
        <v/>
      </c>
      <c r="P26" s="8" t="n">
        <f aca="false">COUNTIFS(Data!$A$2:$A$1006,$A26,Data!$C$2:$C$1006,"Northeast peers")</f>
        <v>12</v>
      </c>
      <c r="Q26" s="9" t="n">
        <f aca="false">SUMIFS(Data!$L$2:$L$1006,Data!$A$2:$A$1006,$A26,Data!$C$2:$C$1006,"Northeast peers")</f>
        <v>13163246</v>
      </c>
      <c r="R26" s="10" t="n">
        <f aca="false">SUMIFS(Data!$E$2:$E$1006,Data!$A$2:$A$1006,$A26,Data!$C$2:$C$1006,"Northeast peers")</f>
        <v>1864.122062</v>
      </c>
      <c r="S26" s="10" t="n">
        <f aca="false">SUMIFS(Data!$F$2:$F$1006,Data!$A$2:$A$1006,$A26,Data!$C$2:$C$1006,"Northeast peers")</f>
        <v>1403.213844</v>
      </c>
      <c r="T26" s="10" t="n">
        <f aca="false">SUMIFS(Data!$G$2:$G$1006,Data!$A$2:$A$1006,$A26,Data!$C$2:$C$1006,"Northeast peers")</f>
        <v>1672.712796</v>
      </c>
      <c r="U26" s="10" t="n">
        <f aca="false">SUMIFS(Data!$N$2:$N$1006,Data!$A$2:$A$1006,$A26,Data!$C$2:$C$1006,"Northeast peers")</f>
        <v>4940.048702</v>
      </c>
      <c r="V26" s="10" t="n">
        <f aca="false">SUMIFS(Data!$H$2:$H$1006,Data!$A$2:$A$1006,$A26,Data!$C$2:$C$1006,"Northeast peers")</f>
        <v>3806.930561</v>
      </c>
      <c r="W26" s="11" t="n">
        <f aca="false">IFERROR(R26*1000000/Q26,"")</f>
        <v>141.61568218052</v>
      </c>
      <c r="X26" s="11" t="n">
        <f aca="false">IFERROR(S26*1000000/Q26,"")</f>
        <v>106.600897985193</v>
      </c>
      <c r="Y26" s="11" t="n">
        <f aca="false">IFERROR(T26*1000000/Q26,"")</f>
        <v>127.074491808479</v>
      </c>
      <c r="Z26" s="11" t="n">
        <f aca="false">IFERROR(U26*1000000/Q26,"")</f>
        <v>375.291071974192</v>
      </c>
      <c r="AA26" s="11" t="n">
        <f aca="false">IFERROR(V26*1000000/Q26,"")</f>
        <v>289.20910245087</v>
      </c>
      <c r="AB26" s="12" t="str">
        <f aca="false">IFERROR(IF(OR(IFERROR(INDEX(Assumptions!$B$8:$B$33,MATCH(Assumptions!$B$5,Assumptions!$A$8:$A$33,0)),"")="",INDEX(Assumptions!$B$8:$B$33,MATCH($A26,Assumptions!$A$8:$A$33,0))=""),"",Z26*IFERROR(INDEX(Assumptions!$B$8:$B$33,MATCH(Assumptions!$B$5,Assumptions!$A$8:$A$33,0)),"")/INDEX(Assumptions!$B$8:$B$33,MATCH($A26,Assumptions!$A$8:$A$33,0))),"")</f>
        <v/>
      </c>
      <c r="AC26" s="12" t="str">
        <f aca="false">IFERROR(IF(OR(IFERROR(INDEX(Assumptions!$B$8:$B$33,MATCH(Assumptions!$B$5,Assumptions!$A$8:$A$33,0)),"")="",INDEX(Assumptions!$B$8:$B$33,MATCH($A26,Assumptions!$A$8:$A$33,0))=""),"",AA26*IFERROR(INDEX(Assumptions!$B$8:$B$33,MATCH(Assumptions!$B$5,Assumptions!$A$8:$A$33,0)),"")/INDEX(Assumptions!$B$8:$B$33,MATCH($A26,Assumptions!$A$8:$A$33,0))),"")</f>
        <v/>
      </c>
      <c r="AD26" s="8" t="n">
        <f aca="false">COUNTIFS(Data!$A$2:$A$1006,$A26,Data!$C$2:$C$1006,"Midwest peers")</f>
        <v>17</v>
      </c>
      <c r="AE26" s="9" t="n">
        <f aca="false">SUMIFS(Data!$L$2:$L$1006,Data!$A$2:$A$1006,$A26,Data!$C$2:$C$1006,"Midwest peers")</f>
        <v>12349741</v>
      </c>
      <c r="AF26" s="10" t="n">
        <f aca="false">SUMIFS(Data!$E$2:$E$1006,Data!$A$2:$A$1006,$A26,Data!$C$2:$C$1006,"Midwest peers")</f>
        <v>1492.702124</v>
      </c>
      <c r="AG26" s="10" t="n">
        <f aca="false">SUMIFS(Data!$F$2:$F$1006,Data!$A$2:$A$1006,$A26,Data!$C$2:$C$1006,"Midwest peers")</f>
        <v>1230.872743</v>
      </c>
      <c r="AH26" s="10" t="n">
        <f aca="false">SUMIFS(Data!$G$2:$G$1006,Data!$A$2:$A$1006,$A26,Data!$C$2:$C$1006,"Midwest peers")</f>
        <v>1707.553488</v>
      </c>
      <c r="AI26" s="10" t="n">
        <f aca="false">SUMIFS(Data!$N$2:$N$1006,Data!$A$2:$A$1006,$A26,Data!$C$2:$C$1006,"Midwest peers")</f>
        <v>4431.128355</v>
      </c>
      <c r="AJ26" s="10" t="n">
        <f aca="false">SUMIFS(Data!$H$2:$H$1006,Data!$A$2:$A$1006,$A26,Data!$C$2:$C$1006,"Midwest peers")</f>
        <v>4293.166305</v>
      </c>
      <c r="AK26" s="11" t="n">
        <f aca="false">IFERROR(AF26*1000000/AE26,"")</f>
        <v>120.869103570674</v>
      </c>
      <c r="AL26" s="11" t="n">
        <f aca="false">IFERROR(AG26*1000000/AE26,"")</f>
        <v>99.6678993510876</v>
      </c>
      <c r="AM26" s="11" t="n">
        <f aca="false">IFERROR(AH26*1000000/AE26,"")</f>
        <v>138.266339998547</v>
      </c>
      <c r="AN26" s="11" t="n">
        <f aca="false">IFERROR(AI26*1000000/AE26,"")</f>
        <v>358.803342920309</v>
      </c>
      <c r="AO26" s="11" t="n">
        <f aca="false">IFERROR(AJ26*1000000/AE26,"")</f>
        <v>347.632092446311</v>
      </c>
      <c r="AP26" s="12" t="str">
        <f aca="false">IFERROR(IF(OR(IFERROR(INDEX(Assumptions!$B$8:$B$33,MATCH(Assumptions!$B$5,Assumptions!$A$8:$A$33,0)),"")="",INDEX(Assumptions!$B$8:$B$33,MATCH($A26,Assumptions!$A$8:$A$33,0))=""),"",AN26*IFERROR(INDEX(Assumptions!$B$8:$B$33,MATCH(Assumptions!$B$5,Assumptions!$A$8:$A$33,0)),"")/INDEX(Assumptions!$B$8:$B$33,MATCH($A26,Assumptions!$A$8:$A$33,0))),"")</f>
        <v/>
      </c>
      <c r="AQ26" s="12" t="str">
        <f aca="false">IFERROR(IF(OR(IFERROR(INDEX(Assumptions!$B$8:$B$33,MATCH(Assumptions!$B$5,Assumptions!$A$8:$A$33,0)),"")="",INDEX(Assumptions!$B$8:$B$33,MATCH($A26,Assumptions!$A$8:$A$33,0))=""),"",AO26*IFERROR(INDEX(Assumptions!$B$8:$B$33,MATCH(Assumptions!$B$5,Assumptions!$A$8:$A$33,0)),"")/INDEX(Assumptions!$B$8:$B$33,MATCH($A26,Assumptions!$A$8:$A$33,0))),"")</f>
        <v/>
      </c>
    </row>
    <row r="27" customFormat="false" ht="15" hidden="false" customHeight="false" outlineLevel="0" collapsed="false">
      <c r="A27" s="7" t="n">
        <v>2022</v>
      </c>
      <c r="B27" s="8" t="n">
        <f aca="false">COUNTIFS(Data!$A$2:$A$1006,$A27,Data!$C$2:$C$1006,"FirstEnergy")</f>
        <v>10</v>
      </c>
      <c r="C27" s="9" t="n">
        <f aca="false">SUMIFS(Data!$L$2:$L$1006,Data!$A$2:$A$1006,$A27,Data!$C$2:$C$1006,"FirstEnergy")</f>
        <v>6202096</v>
      </c>
      <c r="D27" s="10" t="n">
        <f aca="false">SUMIFS(Data!$E$2:$E$1006,Data!$A$2:$A$1006,$A27,Data!$C$2:$C$1006,"FirstEnergy")</f>
        <v>856.395338</v>
      </c>
      <c r="E27" s="10" t="n">
        <f aca="false">SUMIFS(Data!$F$2:$F$1006,Data!$A$2:$A$1006,$A27,Data!$C$2:$C$1006,"FirstEnergy")</f>
        <v>558.269714</v>
      </c>
      <c r="F27" s="10" t="n">
        <f aca="false">SUMIFS(Data!$G$2:$G$1006,Data!$A$2:$A$1006,$A27,Data!$C$2:$C$1006,"FirstEnergy")</f>
        <v>711.385346</v>
      </c>
      <c r="G27" s="10" t="n">
        <f aca="false">SUMIFS(Data!$N$2:$N$1006,Data!$A$2:$A$1006,$A27,Data!$C$2:$C$1006,"FirstEnergy")</f>
        <v>2126.050398</v>
      </c>
      <c r="H27" s="10" t="n">
        <f aca="false">SUMIFS(Data!$H$2:$H$1006,Data!$A$2:$A$1006,$A27,Data!$C$2:$C$1006,"FirstEnergy")</f>
        <v>1143.808009</v>
      </c>
      <c r="I27" s="11" t="n">
        <f aca="false">IFERROR(D27*1000000/C27,"")</f>
        <v>138.081599833347</v>
      </c>
      <c r="J27" s="11" t="n">
        <f aca="false">IFERROR(E27*1000000/C27,"")</f>
        <v>90.0130720324226</v>
      </c>
      <c r="K27" s="11" t="n">
        <f aca="false">IFERROR(F27*1000000/C27,"")</f>
        <v>114.700795666497</v>
      </c>
      <c r="L27" s="11" t="n">
        <f aca="false">IFERROR(G27*1000000/C27,"")</f>
        <v>342.795467532267</v>
      </c>
      <c r="M27" s="11" t="n">
        <f aca="false">IFERROR(H27*1000000/C27,"")</f>
        <v>184.422815931904</v>
      </c>
      <c r="N27" s="12" t="str">
        <f aca="false">IFERROR(IF(OR(IFERROR(INDEX(Assumptions!$B$8:$B$33,MATCH(Assumptions!$B$5,Assumptions!$A$8:$A$33,0)),"")="",INDEX(Assumptions!$B$8:$B$33,MATCH($A27,Assumptions!$A$8:$A$33,0))=""),"",L27*IFERROR(INDEX(Assumptions!$B$8:$B$33,MATCH(Assumptions!$B$5,Assumptions!$A$8:$A$33,0)),"")/INDEX(Assumptions!$B$8:$B$33,MATCH($A27,Assumptions!$A$8:$A$33,0))),"")</f>
        <v/>
      </c>
      <c r="O27" s="12" t="str">
        <f aca="false">IFERROR(IF(OR(IFERROR(INDEX(Assumptions!$B$8:$B$33,MATCH(Assumptions!$B$5,Assumptions!$A$8:$A$33,0)),"")="",INDEX(Assumptions!$B$8:$B$33,MATCH($A27,Assumptions!$A$8:$A$33,0))=""),"",M27*IFERROR(INDEX(Assumptions!$B$8:$B$33,MATCH(Assumptions!$B$5,Assumptions!$A$8:$A$33,0)),"")/INDEX(Assumptions!$B$8:$B$33,MATCH($A27,Assumptions!$A$8:$A$33,0))),"")</f>
        <v/>
      </c>
      <c r="P27" s="8" t="n">
        <f aca="false">COUNTIFS(Data!$A$2:$A$1006,$A27,Data!$C$2:$C$1006,"Northeast peers")</f>
        <v>12</v>
      </c>
      <c r="Q27" s="9" t="n">
        <f aca="false">SUMIFS(Data!$L$2:$L$1006,Data!$A$2:$A$1006,$A27,Data!$C$2:$C$1006,"Northeast peers")</f>
        <v>13253696</v>
      </c>
      <c r="R27" s="10" t="n">
        <f aca="false">SUMIFS(Data!$E$2:$E$1006,Data!$A$2:$A$1006,$A27,Data!$C$2:$C$1006,"Northeast peers")</f>
        <v>1945.503004</v>
      </c>
      <c r="S27" s="10" t="n">
        <f aca="false">SUMIFS(Data!$F$2:$F$1006,Data!$A$2:$A$1006,$A27,Data!$C$2:$C$1006,"Northeast peers")</f>
        <v>1595.394351</v>
      </c>
      <c r="T27" s="10" t="n">
        <f aca="false">SUMIFS(Data!$G$2:$G$1006,Data!$A$2:$A$1006,$A27,Data!$C$2:$C$1006,"Northeast peers")</f>
        <v>1728.707792</v>
      </c>
      <c r="U27" s="10" t="n">
        <f aca="false">SUMIFS(Data!$N$2:$N$1006,Data!$A$2:$A$1006,$A27,Data!$C$2:$C$1006,"Northeast peers")</f>
        <v>5269.605147</v>
      </c>
      <c r="V27" s="10" t="n">
        <f aca="false">SUMIFS(Data!$H$2:$H$1006,Data!$A$2:$A$1006,$A27,Data!$C$2:$C$1006,"Northeast peers")</f>
        <v>3916.254452</v>
      </c>
      <c r="W27" s="11" t="n">
        <f aca="false">IFERROR(R27*1000000/Q27,"")</f>
        <v>146.78946944309</v>
      </c>
      <c r="X27" s="11" t="n">
        <f aca="false">IFERROR(S27*1000000/Q27,"")</f>
        <v>120.37354342517</v>
      </c>
      <c r="Y27" s="11" t="n">
        <f aca="false">IFERROR(T27*1000000/Q27,"")</f>
        <v>130.432129422615</v>
      </c>
      <c r="Z27" s="11" t="n">
        <f aca="false">IFERROR(U27*1000000/Q27,"")</f>
        <v>397.595142290875</v>
      </c>
      <c r="AA27" s="11" t="n">
        <f aca="false">IFERROR(V27*1000000/Q27,"")</f>
        <v>295.483950439183</v>
      </c>
      <c r="AB27" s="12" t="str">
        <f aca="false">IFERROR(IF(OR(IFERROR(INDEX(Assumptions!$B$8:$B$33,MATCH(Assumptions!$B$5,Assumptions!$A$8:$A$33,0)),"")="",INDEX(Assumptions!$B$8:$B$33,MATCH($A27,Assumptions!$A$8:$A$33,0))=""),"",Z27*IFERROR(INDEX(Assumptions!$B$8:$B$33,MATCH(Assumptions!$B$5,Assumptions!$A$8:$A$33,0)),"")/INDEX(Assumptions!$B$8:$B$33,MATCH($A27,Assumptions!$A$8:$A$33,0))),"")</f>
        <v/>
      </c>
      <c r="AC27" s="12" t="str">
        <f aca="false">IFERROR(IF(OR(IFERROR(INDEX(Assumptions!$B$8:$B$33,MATCH(Assumptions!$B$5,Assumptions!$A$8:$A$33,0)),"")="",INDEX(Assumptions!$B$8:$B$33,MATCH($A27,Assumptions!$A$8:$A$33,0))=""),"",AA27*IFERROR(INDEX(Assumptions!$B$8:$B$33,MATCH(Assumptions!$B$5,Assumptions!$A$8:$A$33,0)),"")/INDEX(Assumptions!$B$8:$B$33,MATCH($A27,Assumptions!$A$8:$A$33,0))),"")</f>
        <v/>
      </c>
      <c r="AD27" s="8" t="n">
        <f aca="false">COUNTIFS(Data!$A$2:$A$1006,$A27,Data!$C$2:$C$1006,"Midwest peers")</f>
        <v>17</v>
      </c>
      <c r="AE27" s="9" t="n">
        <f aca="false">SUMIFS(Data!$L$2:$L$1006,Data!$A$2:$A$1006,$A27,Data!$C$2:$C$1006,"Midwest peers")</f>
        <v>12442086</v>
      </c>
      <c r="AF27" s="10" t="n">
        <f aca="false">SUMIFS(Data!$E$2:$E$1006,Data!$A$2:$A$1006,$A27,Data!$C$2:$C$1006,"Midwest peers")</f>
        <v>1573.070511</v>
      </c>
      <c r="AG27" s="10" t="n">
        <f aca="false">SUMIFS(Data!$F$2:$F$1006,Data!$A$2:$A$1006,$A27,Data!$C$2:$C$1006,"Midwest peers")</f>
        <v>1327.680484</v>
      </c>
      <c r="AH27" s="10" t="n">
        <f aca="false">SUMIFS(Data!$G$2:$G$1006,Data!$A$2:$A$1006,$A27,Data!$C$2:$C$1006,"Midwest peers")</f>
        <v>1800.999158</v>
      </c>
      <c r="AI27" s="10" t="n">
        <f aca="false">SUMIFS(Data!$N$2:$N$1006,Data!$A$2:$A$1006,$A27,Data!$C$2:$C$1006,"Midwest peers")</f>
        <v>4701.750153</v>
      </c>
      <c r="AJ27" s="10" t="n">
        <f aca="false">SUMIFS(Data!$H$2:$H$1006,Data!$A$2:$A$1006,$A27,Data!$C$2:$C$1006,"Midwest peers")</f>
        <v>4689.03536</v>
      </c>
      <c r="AK27" s="11" t="n">
        <f aca="false">IFERROR(AF27*1000000/AE27,"")</f>
        <v>126.431412787213</v>
      </c>
      <c r="AL27" s="11" t="n">
        <f aca="false">IFERROR(AG27*1000000/AE27,"")</f>
        <v>106.708833550901</v>
      </c>
      <c r="AM27" s="11" t="n">
        <f aca="false">IFERROR(AH27*1000000/AE27,"")</f>
        <v>144.750579444637</v>
      </c>
      <c r="AN27" s="11" t="n">
        <f aca="false">IFERROR(AI27*1000000/AE27,"")</f>
        <v>377.890825782751</v>
      </c>
      <c r="AO27" s="11" t="n">
        <f aca="false">IFERROR(AJ27*1000000/AE27,"")</f>
        <v>376.86890767352</v>
      </c>
      <c r="AP27" s="12" t="str">
        <f aca="false">IFERROR(IF(OR(IFERROR(INDEX(Assumptions!$B$8:$B$33,MATCH(Assumptions!$B$5,Assumptions!$A$8:$A$33,0)),"")="",INDEX(Assumptions!$B$8:$B$33,MATCH($A27,Assumptions!$A$8:$A$33,0))=""),"",AN27*IFERROR(INDEX(Assumptions!$B$8:$B$33,MATCH(Assumptions!$B$5,Assumptions!$A$8:$A$33,0)),"")/INDEX(Assumptions!$B$8:$B$33,MATCH($A27,Assumptions!$A$8:$A$33,0))),"")</f>
        <v/>
      </c>
      <c r="AQ27" s="12" t="str">
        <f aca="false">IFERROR(IF(OR(IFERROR(INDEX(Assumptions!$B$8:$B$33,MATCH(Assumptions!$B$5,Assumptions!$A$8:$A$33,0)),"")="",INDEX(Assumptions!$B$8:$B$33,MATCH($A27,Assumptions!$A$8:$A$33,0))=""),"",AO27*IFERROR(INDEX(Assumptions!$B$8:$B$33,MATCH(Assumptions!$B$5,Assumptions!$A$8:$A$33,0)),"")/INDEX(Assumptions!$B$8:$B$33,MATCH($A27,Assumptions!$A$8:$A$33,0))),"")</f>
        <v/>
      </c>
    </row>
    <row r="28" customFormat="false" ht="15" hidden="false" customHeight="false" outlineLevel="0" collapsed="false">
      <c r="A28" s="7" t="n">
        <v>2023</v>
      </c>
      <c r="B28" s="8" t="n">
        <f aca="false">COUNTIFS(Data!$A$2:$A$1006,$A28,Data!$C$2:$C$1006,"FirstEnergy")</f>
        <v>10</v>
      </c>
      <c r="C28" s="9" t="n">
        <f aca="false">SUMIFS(Data!$L$2:$L$1006,Data!$A$2:$A$1006,$A28,Data!$C$2:$C$1006,"FirstEnergy")</f>
        <v>6227969</v>
      </c>
      <c r="D28" s="10" t="n">
        <f aca="false">SUMIFS(Data!$E$2:$E$1006,Data!$A$2:$A$1006,$A28,Data!$C$2:$C$1006,"FirstEnergy")</f>
        <v>845.056453</v>
      </c>
      <c r="E28" s="10" t="n">
        <f aca="false">SUMIFS(Data!$F$2:$F$1006,Data!$A$2:$A$1006,$A28,Data!$C$2:$C$1006,"FirstEnergy")</f>
        <v>524.633667</v>
      </c>
      <c r="F28" s="10" t="n">
        <f aca="false">SUMIFS(Data!$G$2:$G$1006,Data!$A$2:$A$1006,$A28,Data!$C$2:$C$1006,"FirstEnergy")</f>
        <v>742.124871</v>
      </c>
      <c r="G28" s="10" t="n">
        <f aca="false">SUMIFS(Data!$N$2:$N$1006,Data!$A$2:$A$1006,$A28,Data!$C$2:$C$1006,"FirstEnergy")</f>
        <v>2111.814991</v>
      </c>
      <c r="H28" s="10" t="n">
        <f aca="false">SUMIFS(Data!$H$2:$H$1006,Data!$A$2:$A$1006,$A28,Data!$C$2:$C$1006,"FirstEnergy")</f>
        <v>1206.094026</v>
      </c>
      <c r="I28" s="11" t="n">
        <f aca="false">IFERROR(D28*1000000/C28,"")</f>
        <v>135.687324872683</v>
      </c>
      <c r="J28" s="11" t="n">
        <f aca="false">IFERROR(E28*1000000/C28,"")</f>
        <v>84.2383234405952</v>
      </c>
      <c r="K28" s="11" t="n">
        <f aca="false">IFERROR(F28*1000000/C28,"")</f>
        <v>119.160013641686</v>
      </c>
      <c r="L28" s="11" t="n">
        <f aca="false">IFERROR(G28*1000000/C28,"")</f>
        <v>339.085661954965</v>
      </c>
      <c r="M28" s="11" t="n">
        <f aca="false">IFERROR(H28*1000000/C28,"")</f>
        <v>193.657679734758</v>
      </c>
      <c r="N28" s="12" t="str">
        <f aca="false">IFERROR(IF(OR(IFERROR(INDEX(Assumptions!$B$8:$B$33,MATCH(Assumptions!$B$5,Assumptions!$A$8:$A$33,0)),"")="",INDEX(Assumptions!$B$8:$B$33,MATCH($A28,Assumptions!$A$8:$A$33,0))=""),"",L28*IFERROR(INDEX(Assumptions!$B$8:$B$33,MATCH(Assumptions!$B$5,Assumptions!$A$8:$A$33,0)),"")/INDEX(Assumptions!$B$8:$B$33,MATCH($A28,Assumptions!$A$8:$A$33,0))),"")</f>
        <v/>
      </c>
      <c r="O28" s="12" t="str">
        <f aca="false">IFERROR(IF(OR(IFERROR(INDEX(Assumptions!$B$8:$B$33,MATCH(Assumptions!$B$5,Assumptions!$A$8:$A$33,0)),"")="",INDEX(Assumptions!$B$8:$B$33,MATCH($A28,Assumptions!$A$8:$A$33,0))=""),"",M28*IFERROR(INDEX(Assumptions!$B$8:$B$33,MATCH(Assumptions!$B$5,Assumptions!$A$8:$A$33,0)),"")/INDEX(Assumptions!$B$8:$B$33,MATCH($A28,Assumptions!$A$8:$A$33,0))),"")</f>
        <v/>
      </c>
      <c r="P28" s="8" t="n">
        <f aca="false">COUNTIFS(Data!$A$2:$A$1006,$A28,Data!$C$2:$C$1006,"Northeast peers")</f>
        <v>12</v>
      </c>
      <c r="Q28" s="9" t="n">
        <f aca="false">SUMIFS(Data!$L$2:$L$1006,Data!$A$2:$A$1006,$A28,Data!$C$2:$C$1006,"Northeast peers")</f>
        <v>13329621</v>
      </c>
      <c r="R28" s="10" t="n">
        <f aca="false">SUMIFS(Data!$E$2:$E$1006,Data!$A$2:$A$1006,$A28,Data!$C$2:$C$1006,"Northeast peers")</f>
        <v>2004.258789</v>
      </c>
      <c r="S28" s="10" t="n">
        <f aca="false">SUMIFS(Data!$F$2:$F$1006,Data!$A$2:$A$1006,$A28,Data!$C$2:$C$1006,"Northeast peers")</f>
        <v>1828.978247</v>
      </c>
      <c r="T28" s="10" t="n">
        <f aca="false">SUMIFS(Data!$G$2:$G$1006,Data!$A$2:$A$1006,$A28,Data!$C$2:$C$1006,"Northeast peers")</f>
        <v>1811.243725</v>
      </c>
      <c r="U28" s="10" t="n">
        <f aca="false">SUMIFS(Data!$N$2:$N$1006,Data!$A$2:$A$1006,$A28,Data!$C$2:$C$1006,"Northeast peers")</f>
        <v>5644.480761</v>
      </c>
      <c r="V28" s="10" t="n">
        <f aca="false">SUMIFS(Data!$H$2:$H$1006,Data!$A$2:$A$1006,$A28,Data!$C$2:$C$1006,"Northeast peers")</f>
        <v>4733.566489</v>
      </c>
      <c r="W28" s="11" t="n">
        <f aca="false">IFERROR(R28*1000000/Q28,"")</f>
        <v>150.361273512578</v>
      </c>
      <c r="X28" s="11" t="n">
        <f aca="false">IFERROR(S28*1000000/Q28,"")</f>
        <v>137.211571656839</v>
      </c>
      <c r="Y28" s="11" t="n">
        <f aca="false">IFERROR(T28*1000000/Q28,"")</f>
        <v>135.881112073629</v>
      </c>
      <c r="Z28" s="11" t="n">
        <f aca="false">IFERROR(U28*1000000/Q28,"")</f>
        <v>423.453957243045</v>
      </c>
      <c r="AA28" s="11" t="n">
        <f aca="false">IFERROR(V28*1000000/Q28,"")</f>
        <v>355.116359947518</v>
      </c>
      <c r="AB28" s="12" t="str">
        <f aca="false">IFERROR(IF(OR(IFERROR(INDEX(Assumptions!$B$8:$B$33,MATCH(Assumptions!$B$5,Assumptions!$A$8:$A$33,0)),"")="",INDEX(Assumptions!$B$8:$B$33,MATCH($A28,Assumptions!$A$8:$A$33,0))=""),"",Z28*IFERROR(INDEX(Assumptions!$B$8:$B$33,MATCH(Assumptions!$B$5,Assumptions!$A$8:$A$33,0)),"")/INDEX(Assumptions!$B$8:$B$33,MATCH($A28,Assumptions!$A$8:$A$33,0))),"")</f>
        <v/>
      </c>
      <c r="AC28" s="12" t="str">
        <f aca="false">IFERROR(IF(OR(IFERROR(INDEX(Assumptions!$B$8:$B$33,MATCH(Assumptions!$B$5,Assumptions!$A$8:$A$33,0)),"")="",INDEX(Assumptions!$B$8:$B$33,MATCH($A28,Assumptions!$A$8:$A$33,0))=""),"",AA28*IFERROR(INDEX(Assumptions!$B$8:$B$33,MATCH(Assumptions!$B$5,Assumptions!$A$8:$A$33,0)),"")/INDEX(Assumptions!$B$8:$B$33,MATCH($A28,Assumptions!$A$8:$A$33,0))),"")</f>
        <v/>
      </c>
      <c r="AD28" s="8" t="n">
        <f aca="false">COUNTIFS(Data!$A$2:$A$1006,$A28,Data!$C$2:$C$1006,"Midwest peers")</f>
        <v>17</v>
      </c>
      <c r="AE28" s="9" t="n">
        <f aca="false">SUMIFS(Data!$L$2:$L$1006,Data!$A$2:$A$1006,$A28,Data!$C$2:$C$1006,"Midwest peers")</f>
        <v>12534968</v>
      </c>
      <c r="AF28" s="10" t="n">
        <f aca="false">SUMIFS(Data!$E$2:$E$1006,Data!$A$2:$A$1006,$A28,Data!$C$2:$C$1006,"Midwest peers")</f>
        <v>1659.71991</v>
      </c>
      <c r="AG28" s="10" t="n">
        <f aca="false">SUMIFS(Data!$F$2:$F$1006,Data!$A$2:$A$1006,$A28,Data!$C$2:$C$1006,"Midwest peers")</f>
        <v>1345.258771</v>
      </c>
      <c r="AH28" s="10" t="n">
        <f aca="false">SUMIFS(Data!$G$2:$G$1006,Data!$A$2:$A$1006,$A28,Data!$C$2:$C$1006,"Midwest peers")</f>
        <v>1965.324601</v>
      </c>
      <c r="AI28" s="10" t="n">
        <f aca="false">SUMIFS(Data!$N$2:$N$1006,Data!$A$2:$A$1006,$A28,Data!$C$2:$C$1006,"Midwest peers")</f>
        <v>4970.303282</v>
      </c>
      <c r="AJ28" s="10" t="n">
        <f aca="false">SUMIFS(Data!$H$2:$H$1006,Data!$A$2:$A$1006,$A28,Data!$C$2:$C$1006,"Midwest peers")</f>
        <v>5312.285017</v>
      </c>
      <c r="AK28" s="11" t="n">
        <f aca="false">IFERROR(AF28*1000000/AE28,"")</f>
        <v>132.407191625858</v>
      </c>
      <c r="AL28" s="11" t="n">
        <f aca="false">IFERROR(AG28*1000000/AE28,"")</f>
        <v>107.320479079005</v>
      </c>
      <c r="AM28" s="11" t="n">
        <f aca="false">IFERROR(AH28*1000000/AE28,"")</f>
        <v>156.787364834118</v>
      </c>
      <c r="AN28" s="11" t="n">
        <f aca="false">IFERROR(AI28*1000000/AE28,"")</f>
        <v>396.515035538982</v>
      </c>
      <c r="AO28" s="11" t="n">
        <f aca="false">IFERROR(AJ28*1000000/AE28,"")</f>
        <v>423.797253969855</v>
      </c>
      <c r="AP28" s="12" t="str">
        <f aca="false">IFERROR(IF(OR(IFERROR(INDEX(Assumptions!$B$8:$B$33,MATCH(Assumptions!$B$5,Assumptions!$A$8:$A$33,0)),"")="",INDEX(Assumptions!$B$8:$B$33,MATCH($A28,Assumptions!$A$8:$A$33,0))=""),"",AN28*IFERROR(INDEX(Assumptions!$B$8:$B$33,MATCH(Assumptions!$B$5,Assumptions!$A$8:$A$33,0)),"")/INDEX(Assumptions!$B$8:$B$33,MATCH($A28,Assumptions!$A$8:$A$33,0))),"")</f>
        <v/>
      </c>
      <c r="AQ28" s="12" t="str">
        <f aca="false">IFERROR(IF(OR(IFERROR(INDEX(Assumptions!$B$8:$B$33,MATCH(Assumptions!$B$5,Assumptions!$A$8:$A$33,0)),"")="",INDEX(Assumptions!$B$8:$B$33,MATCH($A28,Assumptions!$A$8:$A$33,0))=""),"",AO28*IFERROR(INDEX(Assumptions!$B$8:$B$33,MATCH(Assumptions!$B$5,Assumptions!$A$8:$A$33,0)),"")/INDEX(Assumptions!$B$8:$B$33,MATCH($A28,Assumptions!$A$8:$A$33,0))),"")</f>
        <v/>
      </c>
    </row>
    <row r="29" customFormat="false" ht="15" hidden="false" customHeight="false" outlineLevel="0" collapsed="false">
      <c r="A29" s="7" t="n">
        <v>2024</v>
      </c>
      <c r="B29" s="8" t="n">
        <f aca="false">COUNTIFS(Data!$A$2:$A$1006,$A29,Data!$C$2:$C$1006,"FirstEnergy")</f>
        <v>7</v>
      </c>
      <c r="C29" s="9" t="n">
        <f aca="false">SUMIFS(Data!$L$2:$L$1006,Data!$A$2:$A$1006,$A29,Data!$C$2:$C$1006,"FirstEnergy")</f>
        <v>6256511</v>
      </c>
      <c r="D29" s="10" t="n">
        <f aca="false">SUMIFS(Data!$E$2:$E$1006,Data!$A$2:$A$1006,$A29,Data!$C$2:$C$1006,"FirstEnergy")</f>
        <v>972.383097</v>
      </c>
      <c r="E29" s="10" t="n">
        <f aca="false">SUMIFS(Data!$F$2:$F$1006,Data!$A$2:$A$1006,$A29,Data!$C$2:$C$1006,"FirstEnergy")</f>
        <v>562.366017</v>
      </c>
      <c r="F29" s="10" t="n">
        <f aca="false">SUMIFS(Data!$G$2:$G$1006,Data!$A$2:$A$1006,$A29,Data!$C$2:$C$1006,"FirstEnergy")</f>
        <v>774.851376</v>
      </c>
      <c r="G29" s="10" t="n">
        <f aca="false">SUMIFS(Data!$N$2:$N$1006,Data!$A$2:$A$1006,$A29,Data!$C$2:$C$1006,"FirstEnergy")</f>
        <v>2309.60049</v>
      </c>
      <c r="H29" s="10" t="n">
        <f aca="false">SUMIFS(Data!$H$2:$H$1006,Data!$A$2:$A$1006,$A29,Data!$C$2:$C$1006,"FirstEnergy")</f>
        <v>1333.026364</v>
      </c>
      <c r="I29" s="11" t="n">
        <f aca="false">IFERROR(D29*1000000/C29,"")</f>
        <v>155.419385820628</v>
      </c>
      <c r="J29" s="11" t="n">
        <f aca="false">IFERROR(E29*1000000/C29,"")</f>
        <v>89.884924201364</v>
      </c>
      <c r="K29" s="11" t="n">
        <f aca="false">IFERROR(F29*1000000/C29,"")</f>
        <v>123.847201099782</v>
      </c>
      <c r="L29" s="11" t="n">
        <f aca="false">IFERROR(G29*1000000/C29,"")</f>
        <v>369.151511121774</v>
      </c>
      <c r="M29" s="11" t="n">
        <f aca="false">IFERROR(H29*1000000/C29,"")</f>
        <v>213.062258501583</v>
      </c>
      <c r="N29" s="12" t="str">
        <f aca="false">IFERROR(IF(OR(IFERROR(INDEX(Assumptions!$B$8:$B$33,MATCH(Assumptions!$B$5,Assumptions!$A$8:$A$33,0)),"")="",INDEX(Assumptions!$B$8:$B$33,MATCH($A29,Assumptions!$A$8:$A$33,0))=""),"",L29*IFERROR(INDEX(Assumptions!$B$8:$B$33,MATCH(Assumptions!$B$5,Assumptions!$A$8:$A$33,0)),"")/INDEX(Assumptions!$B$8:$B$33,MATCH($A29,Assumptions!$A$8:$A$33,0))),"")</f>
        <v/>
      </c>
      <c r="O29" s="12" t="str">
        <f aca="false">IFERROR(IF(OR(IFERROR(INDEX(Assumptions!$B$8:$B$33,MATCH(Assumptions!$B$5,Assumptions!$A$8:$A$33,0)),"")="",INDEX(Assumptions!$B$8:$B$33,MATCH($A29,Assumptions!$A$8:$A$33,0))=""),"",M29*IFERROR(INDEX(Assumptions!$B$8:$B$33,MATCH(Assumptions!$B$5,Assumptions!$A$8:$A$33,0)),"")/INDEX(Assumptions!$B$8:$B$33,MATCH($A29,Assumptions!$A$8:$A$33,0))),"")</f>
        <v/>
      </c>
      <c r="P29" s="8" t="n">
        <f aca="false">COUNTIFS(Data!$A$2:$A$1006,$A29,Data!$C$2:$C$1006,"Northeast peers")</f>
        <v>12</v>
      </c>
      <c r="Q29" s="9" t="n">
        <f aca="false">SUMIFS(Data!$L$2:$L$1006,Data!$A$2:$A$1006,$A29,Data!$C$2:$C$1006,"Northeast peers")</f>
        <v>13413277</v>
      </c>
      <c r="R29" s="10" t="n">
        <f aca="false">SUMIFS(Data!$E$2:$E$1006,Data!$A$2:$A$1006,$A29,Data!$C$2:$C$1006,"Northeast peers")</f>
        <v>2178.955011</v>
      </c>
      <c r="S29" s="10" t="n">
        <f aca="false">SUMIFS(Data!$F$2:$F$1006,Data!$A$2:$A$1006,$A29,Data!$C$2:$C$1006,"Northeast peers")</f>
        <v>1998.056278</v>
      </c>
      <c r="T29" s="10" t="n">
        <f aca="false">SUMIFS(Data!$G$2:$G$1006,Data!$A$2:$A$1006,$A29,Data!$C$2:$C$1006,"Northeast peers")</f>
        <v>1935.042197</v>
      </c>
      <c r="U29" s="10" t="n">
        <f aca="false">SUMIFS(Data!$N$2:$N$1006,Data!$A$2:$A$1006,$A29,Data!$C$2:$C$1006,"Northeast peers")</f>
        <v>6112.053486</v>
      </c>
      <c r="V29" s="10" t="n">
        <f aca="false">SUMIFS(Data!$H$2:$H$1006,Data!$A$2:$A$1006,$A29,Data!$C$2:$C$1006,"Northeast peers")</f>
        <v>5615.84592</v>
      </c>
      <c r="W29" s="11" t="n">
        <f aca="false">IFERROR(R29*1000000/Q29,"")</f>
        <v>162.447626407775</v>
      </c>
      <c r="X29" s="11" t="n">
        <f aca="false">IFERROR(S29*1000000/Q29,"")</f>
        <v>148.961083708329</v>
      </c>
      <c r="Y29" s="11" t="n">
        <f aca="false">IFERROR(T29*1000000/Q29,"")</f>
        <v>144.263195116302</v>
      </c>
      <c r="Z29" s="11" t="n">
        <f aca="false">IFERROR(U29*1000000/Q29,"")</f>
        <v>455.671905232405</v>
      </c>
      <c r="AA29" s="11" t="n">
        <f aca="false">IFERROR(V29*1000000/Q29,"")</f>
        <v>418.678144050854</v>
      </c>
      <c r="AB29" s="12" t="str">
        <f aca="false">IFERROR(IF(OR(IFERROR(INDEX(Assumptions!$B$8:$B$33,MATCH(Assumptions!$B$5,Assumptions!$A$8:$A$33,0)),"")="",INDEX(Assumptions!$B$8:$B$33,MATCH($A29,Assumptions!$A$8:$A$33,0))=""),"",Z29*IFERROR(INDEX(Assumptions!$B$8:$B$33,MATCH(Assumptions!$B$5,Assumptions!$A$8:$A$33,0)),"")/INDEX(Assumptions!$B$8:$B$33,MATCH($A29,Assumptions!$A$8:$A$33,0))),"")</f>
        <v/>
      </c>
      <c r="AC29" s="12" t="str">
        <f aca="false">IFERROR(IF(OR(IFERROR(INDEX(Assumptions!$B$8:$B$33,MATCH(Assumptions!$B$5,Assumptions!$A$8:$A$33,0)),"")="",INDEX(Assumptions!$B$8:$B$33,MATCH($A29,Assumptions!$A$8:$A$33,0))=""),"",AA29*IFERROR(INDEX(Assumptions!$B$8:$B$33,MATCH(Assumptions!$B$5,Assumptions!$A$8:$A$33,0)),"")/INDEX(Assumptions!$B$8:$B$33,MATCH($A29,Assumptions!$A$8:$A$33,0))),"")</f>
        <v/>
      </c>
      <c r="AD29" s="8" t="n">
        <f aca="false">COUNTIFS(Data!$A$2:$A$1006,$A29,Data!$C$2:$C$1006,"Midwest peers")</f>
        <v>17</v>
      </c>
      <c r="AE29" s="9" t="n">
        <f aca="false">SUMIFS(Data!$L$2:$L$1006,Data!$A$2:$A$1006,$A29,Data!$C$2:$C$1006,"Midwest peers")</f>
        <v>12646560</v>
      </c>
      <c r="AF29" s="10" t="n">
        <f aca="false">SUMIFS(Data!$E$2:$E$1006,Data!$A$2:$A$1006,$A29,Data!$C$2:$C$1006,"Midwest peers")</f>
        <v>1600.460106</v>
      </c>
      <c r="AG29" s="10" t="n">
        <f aca="false">SUMIFS(Data!$F$2:$F$1006,Data!$A$2:$A$1006,$A29,Data!$C$2:$C$1006,"Midwest peers")</f>
        <v>1473.368462</v>
      </c>
      <c r="AH29" s="10" t="n">
        <f aca="false">SUMIFS(Data!$G$2:$G$1006,Data!$A$2:$A$1006,$A29,Data!$C$2:$C$1006,"Midwest peers")</f>
        <v>2102.716976</v>
      </c>
      <c r="AI29" s="10" t="n">
        <f aca="false">SUMIFS(Data!$N$2:$N$1006,Data!$A$2:$A$1006,$A29,Data!$C$2:$C$1006,"Midwest peers")</f>
        <v>5176.545544</v>
      </c>
      <c r="AJ29" s="10" t="n">
        <f aca="false">SUMIFS(Data!$H$2:$H$1006,Data!$A$2:$A$1006,$A29,Data!$C$2:$C$1006,"Midwest peers")</f>
        <v>6025.871827</v>
      </c>
      <c r="AK29" s="11" t="n">
        <f aca="false">IFERROR(AF29*1000000/AE29,"")</f>
        <v>126.552999867158</v>
      </c>
      <c r="AL29" s="11" t="n">
        <f aca="false">IFERROR(AG29*1000000/AE29,"")</f>
        <v>116.503496761175</v>
      </c>
      <c r="AM29" s="11" t="n">
        <f aca="false">IFERROR(AH29*1000000/AE29,"")</f>
        <v>166.267900203692</v>
      </c>
      <c r="AN29" s="11" t="n">
        <f aca="false">IFERROR(AI29*1000000/AE29,"")</f>
        <v>409.324396832024</v>
      </c>
      <c r="AO29" s="11" t="n">
        <f aca="false">IFERROR(AJ29*1000000/AE29,"")</f>
        <v>476.483077374401</v>
      </c>
      <c r="AP29" s="12" t="str">
        <f aca="false">IFERROR(IF(OR(IFERROR(INDEX(Assumptions!$B$8:$B$33,MATCH(Assumptions!$B$5,Assumptions!$A$8:$A$33,0)),"")="",INDEX(Assumptions!$B$8:$B$33,MATCH($A29,Assumptions!$A$8:$A$33,0))=""),"",AN29*IFERROR(INDEX(Assumptions!$B$8:$B$33,MATCH(Assumptions!$B$5,Assumptions!$A$8:$A$33,0)),"")/INDEX(Assumptions!$B$8:$B$33,MATCH($A29,Assumptions!$A$8:$A$33,0))),"")</f>
        <v/>
      </c>
      <c r="AQ29" s="12" t="str">
        <f aca="false">IFERROR(IF(OR(IFERROR(INDEX(Assumptions!$B$8:$B$33,MATCH(Assumptions!$B$5,Assumptions!$A$8:$A$33,0)),"")="",INDEX(Assumptions!$B$8:$B$33,MATCH($A29,Assumptions!$A$8:$A$33,0))=""),"",AO29*IFERROR(INDEX(Assumptions!$B$8:$B$33,MATCH(Assumptions!$B$5,Assumptions!$A$8:$A$33,0)),"")/INDEX(Assumptions!$B$8:$B$33,MATCH($A29,Assumptions!$A$8:$A$33,0))),"")</f>
        <v/>
      </c>
    </row>
    <row r="30" customFormat="false" ht="15" hidden="false" customHeight="false" outlineLevel="0" collapsed="false">
      <c r="A30" s="7" t="n">
        <v>2025</v>
      </c>
      <c r="B30" s="8" t="n">
        <f aca="false">COUNTIFS(Data!$A$2:$A$1006,$A30,Data!$C$2:$C$1006,"FirstEnergy")</f>
        <v>7</v>
      </c>
      <c r="C30" s="9" t="n">
        <f aca="false">SUMIFS(Data!$L$2:$L$1006,Data!$A$2:$A$1006,$A30,Data!$C$2:$C$1006,"FirstEnergy")</f>
        <v>6284377</v>
      </c>
      <c r="D30" s="10" t="n">
        <f aca="false">SUMIFS(Data!$E$2:$E$1006,Data!$A$2:$A$1006,$A30,Data!$C$2:$C$1006,"FirstEnergy")</f>
        <v>1021.823376</v>
      </c>
      <c r="E30" s="10" t="n">
        <f aca="false">SUMIFS(Data!$F$2:$F$1006,Data!$A$2:$A$1006,$A30,Data!$C$2:$C$1006,"FirstEnergy")</f>
        <v>701.860784</v>
      </c>
      <c r="F30" s="10" t="n">
        <f aca="false">SUMIFS(Data!$G$2:$G$1006,Data!$A$2:$A$1006,$A30,Data!$C$2:$C$1006,"FirstEnergy")</f>
        <v>904.129031</v>
      </c>
      <c r="G30" s="10" t="n">
        <f aca="false">SUMIFS(Data!$N$2:$N$1006,Data!$A$2:$A$1006,$A30,Data!$C$2:$C$1006,"FirstEnergy")</f>
        <v>2627.813191</v>
      </c>
      <c r="H30" s="10" t="n">
        <f aca="false">SUMIFS(Data!$H$2:$H$1006,Data!$A$2:$A$1006,$A30,Data!$C$2:$C$1006,"FirstEnergy")</f>
        <v>1952.127446</v>
      </c>
      <c r="I30" s="11" t="n">
        <f aca="false">IFERROR(D30*1000000/C30,"")</f>
        <v>162.597402415546</v>
      </c>
      <c r="J30" s="11" t="n">
        <f aca="false">IFERROR(E30*1000000/C30,"")</f>
        <v>111.683430831728</v>
      </c>
      <c r="K30" s="11" t="n">
        <f aca="false">IFERROR(F30*1000000/C30,"")</f>
        <v>143.869317674608</v>
      </c>
      <c r="L30" s="11" t="n">
        <f aca="false">IFERROR(G30*1000000/C30,"")</f>
        <v>418.150150921881</v>
      </c>
      <c r="M30" s="11" t="n">
        <f aca="false">IFERROR(H30*1000000/C30,"")</f>
        <v>310.631816964514</v>
      </c>
      <c r="N30" s="12" t="str">
        <f aca="false">IFERROR(IF(OR(IFERROR(INDEX(Assumptions!$B$8:$B$33,MATCH(Assumptions!$B$5,Assumptions!$A$8:$A$33,0)),"")="",INDEX(Assumptions!$B$8:$B$33,MATCH($A30,Assumptions!$A$8:$A$33,0))=""),"",L30*IFERROR(INDEX(Assumptions!$B$8:$B$33,MATCH(Assumptions!$B$5,Assumptions!$A$8:$A$33,0)),"")/INDEX(Assumptions!$B$8:$B$33,MATCH($A30,Assumptions!$A$8:$A$33,0))),"")</f>
        <v/>
      </c>
      <c r="O30" s="12" t="str">
        <f aca="false">IFERROR(IF(OR(IFERROR(INDEX(Assumptions!$B$8:$B$33,MATCH(Assumptions!$B$5,Assumptions!$A$8:$A$33,0)),"")="",INDEX(Assumptions!$B$8:$B$33,MATCH($A30,Assumptions!$A$8:$A$33,0))=""),"",M30*IFERROR(INDEX(Assumptions!$B$8:$B$33,MATCH(Assumptions!$B$5,Assumptions!$A$8:$A$33,0)),"")/INDEX(Assumptions!$B$8:$B$33,MATCH($A30,Assumptions!$A$8:$A$33,0))),"")</f>
        <v/>
      </c>
      <c r="P30" s="8" t="n">
        <f aca="false">COUNTIFS(Data!$A$2:$A$1006,$A30,Data!$C$2:$C$1006,"Northeast peers")</f>
        <v>12</v>
      </c>
      <c r="Q30" s="9" t="n">
        <f aca="false">SUMIFS(Data!$L$2:$L$1006,Data!$A$2:$A$1006,$A30,Data!$C$2:$C$1006,"Northeast peers")</f>
        <v>13490862</v>
      </c>
      <c r="R30" s="10" t="n">
        <f aca="false">SUMIFS(Data!$E$2:$E$1006,Data!$A$2:$A$1006,$A30,Data!$C$2:$C$1006,"Northeast peers")</f>
        <v>2224.672885</v>
      </c>
      <c r="S30" s="10" t="n">
        <f aca="false">SUMIFS(Data!$F$2:$F$1006,Data!$A$2:$A$1006,$A30,Data!$C$2:$C$1006,"Northeast peers")</f>
        <v>2171.436948</v>
      </c>
      <c r="T30" s="10" t="n">
        <f aca="false">SUMIFS(Data!$G$2:$G$1006,Data!$A$2:$A$1006,$A30,Data!$C$2:$C$1006,"Northeast peers")</f>
        <v>2249.200723</v>
      </c>
      <c r="U30" s="10" t="n">
        <f aca="false">SUMIFS(Data!$N$2:$N$1006,Data!$A$2:$A$1006,$A30,Data!$C$2:$C$1006,"Northeast peers")</f>
        <v>6645.310556</v>
      </c>
      <c r="V30" s="10" t="n">
        <f aca="false">SUMIFS(Data!$H$2:$H$1006,Data!$A$2:$A$1006,$A30,Data!$C$2:$C$1006,"Northeast peers")</f>
        <v>6138.471585</v>
      </c>
      <c r="W30" s="11" t="n">
        <f aca="false">IFERROR(R30*1000000/Q30,"")</f>
        <v>164.902204544083</v>
      </c>
      <c r="X30" s="11" t="n">
        <f aca="false">IFERROR(S30*1000000/Q30,"")</f>
        <v>160.956130749836</v>
      </c>
      <c r="Y30" s="11" t="n">
        <f aca="false">IFERROR(T30*1000000/Q30,"")</f>
        <v>166.720312089769</v>
      </c>
      <c r="Z30" s="11" t="n">
        <f aca="false">IFERROR(U30*1000000/Q30,"")</f>
        <v>492.578647383688</v>
      </c>
      <c r="AA30" s="11" t="n">
        <f aca="false">IFERROR(V30*1000000/Q30,"")</f>
        <v>455.009589824579</v>
      </c>
      <c r="AB30" s="12" t="str">
        <f aca="false">IFERROR(IF(OR(IFERROR(INDEX(Assumptions!$B$8:$B$33,MATCH(Assumptions!$B$5,Assumptions!$A$8:$A$33,0)),"")="",INDEX(Assumptions!$B$8:$B$33,MATCH($A30,Assumptions!$A$8:$A$33,0))=""),"",Z30*IFERROR(INDEX(Assumptions!$B$8:$B$33,MATCH(Assumptions!$B$5,Assumptions!$A$8:$A$33,0)),"")/INDEX(Assumptions!$B$8:$B$33,MATCH($A30,Assumptions!$A$8:$A$33,0))),"")</f>
        <v/>
      </c>
      <c r="AC30" s="12" t="str">
        <f aca="false">IFERROR(IF(OR(IFERROR(INDEX(Assumptions!$B$8:$B$33,MATCH(Assumptions!$B$5,Assumptions!$A$8:$A$33,0)),"")="",INDEX(Assumptions!$B$8:$B$33,MATCH($A30,Assumptions!$A$8:$A$33,0))=""),"",AA30*IFERROR(INDEX(Assumptions!$B$8:$B$33,MATCH(Assumptions!$B$5,Assumptions!$A$8:$A$33,0)),"")/INDEX(Assumptions!$B$8:$B$33,MATCH($A30,Assumptions!$A$8:$A$33,0))),"")</f>
        <v/>
      </c>
      <c r="AD30" s="8" t="n">
        <f aca="false">COUNTIFS(Data!$A$2:$A$1006,$A30,Data!$C$2:$C$1006,"Midwest peers")</f>
        <v>17</v>
      </c>
      <c r="AE30" s="9" t="n">
        <f aca="false">SUMIFS(Data!$L$2:$L$1006,Data!$A$2:$A$1006,$A30,Data!$C$2:$C$1006,"Midwest peers")</f>
        <v>12733714</v>
      </c>
      <c r="AF30" s="10" t="n">
        <f aca="false">SUMIFS(Data!$E$2:$E$1006,Data!$A$2:$A$1006,$A30,Data!$C$2:$C$1006,"Midwest peers")</f>
        <v>1748.915071</v>
      </c>
      <c r="AG30" s="10" t="n">
        <f aca="false">SUMIFS(Data!$F$2:$F$1006,Data!$A$2:$A$1006,$A30,Data!$C$2:$C$1006,"Midwest peers")</f>
        <v>1557.12979</v>
      </c>
      <c r="AH30" s="10" t="n">
        <f aca="false">SUMIFS(Data!$G$2:$G$1006,Data!$A$2:$A$1006,$A30,Data!$C$2:$C$1006,"Midwest peers")</f>
        <v>2412.20267</v>
      </c>
      <c r="AI30" s="10" t="n">
        <f aca="false">SUMIFS(Data!$N$2:$N$1006,Data!$A$2:$A$1006,$A30,Data!$C$2:$C$1006,"Midwest peers")</f>
        <v>5718.247531</v>
      </c>
      <c r="AJ30" s="10" t="n">
        <f aca="false">SUMIFS(Data!$H$2:$H$1006,Data!$A$2:$A$1006,$A30,Data!$C$2:$C$1006,"Midwest peers")</f>
        <v>7402.467258</v>
      </c>
      <c r="AK30" s="11" t="n">
        <f aca="false">IFERROR(AF30*1000000/AE30,"")</f>
        <v>137.345245150001</v>
      </c>
      <c r="AL30" s="11" t="n">
        <f aca="false">IFERROR(AG30*1000000/AE30,"")</f>
        <v>122.284024126818</v>
      </c>
      <c r="AM30" s="11" t="n">
        <f aca="false">IFERROR(AH30*1000000/AE30,"")</f>
        <v>189.434337067724</v>
      </c>
      <c r="AN30" s="11" t="n">
        <f aca="false">IFERROR(AI30*1000000/AE30,"")</f>
        <v>449.063606344543</v>
      </c>
      <c r="AO30" s="11" t="n">
        <f aca="false">IFERROR(AJ30*1000000/AE30,"")</f>
        <v>581.328217203559</v>
      </c>
      <c r="AP30" s="12" t="str">
        <f aca="false">IFERROR(IF(OR(IFERROR(INDEX(Assumptions!$B$8:$B$33,MATCH(Assumptions!$B$5,Assumptions!$A$8:$A$33,0)),"")="",INDEX(Assumptions!$B$8:$B$33,MATCH($A30,Assumptions!$A$8:$A$33,0))=""),"",AN30*IFERROR(INDEX(Assumptions!$B$8:$B$33,MATCH(Assumptions!$B$5,Assumptions!$A$8:$A$33,0)),"")/INDEX(Assumptions!$B$8:$B$33,MATCH($A30,Assumptions!$A$8:$A$33,0))),"")</f>
        <v/>
      </c>
      <c r="AQ30" s="12" t="str">
        <f aca="false">IFERROR(IF(OR(IFERROR(INDEX(Assumptions!$B$8:$B$33,MATCH(Assumptions!$B$5,Assumptions!$A$8:$A$33,0)),"")="",INDEX(Assumptions!$B$8:$B$33,MATCH($A30,Assumptions!$A$8:$A$33,0))=""),"",AO30*IFERROR(INDEX(Assumptions!$B$8:$B$33,MATCH(Assumptions!$B$5,Assumptions!$A$8:$A$33,0)),"")/INDEX(Assumptions!$B$8:$B$33,MATCH($A30,Assumptions!$A$8:$A$33,0))),"")</f>
        <v/>
      </c>
    </row>
    <row r="32" customFormat="false" ht="15" hidden="false" customHeight="false" outlineLevel="0" collapsed="false">
      <c r="A32" s="13" t="s">
        <v>82</v>
      </c>
      <c r="I32" s="14" t="n">
        <f aca="false">IFERROR((I30/I5)^(1/25)-1,"")</f>
        <v>0.0292157641479534</v>
      </c>
      <c r="J32" s="14" t="n">
        <f aca="false">IFERROR((J30/J5)^(1/25)-1,"")</f>
        <v>0.0171521982837495</v>
      </c>
      <c r="K32" s="14" t="n">
        <f aca="false">IFERROR((K30/K5)^(1/25)-1,"")</f>
        <v>0.0393444474726032</v>
      </c>
      <c r="L32" s="14" t="n">
        <f aca="false">IFERROR((L30/L5)^(1/25)-1,"")</f>
        <v>0.0285283779504721</v>
      </c>
      <c r="M32" s="14" t="n">
        <f aca="false">IFERROR((M30/M5)^(1/25)-1,"")</f>
        <v>0.0562157840384894</v>
      </c>
      <c r="W32" s="14" t="n">
        <f aca="false">IFERROR((W30/W5)^(1/25)-1,"")</f>
        <v>0.032023956765229</v>
      </c>
      <c r="X32" s="14" t="n">
        <f aca="false">IFERROR((X30/X5)^(1/25)-1,"")</f>
        <v>0.0310797580443019</v>
      </c>
      <c r="Y32" s="14" t="n">
        <f aca="false">IFERROR((Y30/Y5)^(1/25)-1,"")</f>
        <v>0.0439005464064892</v>
      </c>
      <c r="Z32" s="14" t="n">
        <f aca="false">IFERROR((Z30/Z5)^(1/25)-1,"")</f>
        <v>0.0353207992922484</v>
      </c>
      <c r="AA32" s="14" t="n">
        <f aca="false">IFERROR((AA30/AA5)^(1/25)-1,"")</f>
        <v>0.0655629488096789</v>
      </c>
      <c r="AK32" s="14" t="n">
        <f aca="false">IFERROR((AK30/AK5)^(1/25)-1,"")</f>
        <v>0.0262109202450991</v>
      </c>
      <c r="AL32" s="14" t="n">
        <f aca="false">IFERROR((AL30/AL5)^(1/25)-1,"")</f>
        <v>0.0297082930742363</v>
      </c>
      <c r="AM32" s="14" t="n">
        <f aca="false">IFERROR((AM30/AM5)^(1/25)-1,"")</f>
        <v>0.0423504459679158</v>
      </c>
      <c r="AN32" s="14" t="n">
        <f aca="false">IFERROR((AN30/AN5)^(1/25)-1,"")</f>
        <v>0.0333176615712829</v>
      </c>
      <c r="AO32" s="14" t="n">
        <f aca="false">IFERROR((AO30/AO5)^(1/25)-1,"")</f>
        <v>0.0671225872109997</v>
      </c>
    </row>
    <row r="33" customFormat="false" ht="15" hidden="false" customHeight="false" outlineLevel="0" collapsed="false">
      <c r="A33" s="13" t="s">
        <v>83</v>
      </c>
      <c r="M33" s="11" t="n">
        <f aca="false">SUM(H5:H30)*1000000/AVERAGE(C5:C30)</f>
        <v>4031.91152558465</v>
      </c>
      <c r="AA33" s="11" t="n">
        <f aca="false">SUM(V5:V30)*1000000/AVERAGE(Q5:Q30)</f>
        <v>5524.61450223549</v>
      </c>
      <c r="AO33" s="11" t="n">
        <f aca="false">SUM(AJ5:AJ30)*1000000/AVERAGE(AE5:AE30)</f>
        <v>6011.76504829224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0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38"/>
    <col collapsed="false" customWidth="true" hidden="false" outlineLevel="0" max="3" min="3" style="0" width="18"/>
    <col collapsed="false" customWidth="true" hidden="false" outlineLevel="0" max="4" min="4" style="0" width="8"/>
    <col collapsed="false" customWidth="true" hidden="false" outlineLevel="0" max="5" min="5" style="0" width="13"/>
    <col collapsed="false" customWidth="true" hidden="false" outlineLevel="0" max="15" min="6" style="0" width="12"/>
    <col collapsed="false" customWidth="true" hidden="false" outlineLevel="0" max="17" min="16" style="0" width="11"/>
  </cols>
  <sheetData>
    <row r="1" customFormat="false" ht="15" hidden="false" customHeight="false" outlineLevel="0" collapsed="false">
      <c r="A1" s="5" t="s">
        <v>84</v>
      </c>
    </row>
    <row r="3" customFormat="false" ht="57.75" hidden="false" customHeight="true" outlineLevel="0" collapsed="false">
      <c r="A3" s="6" t="s">
        <v>39</v>
      </c>
      <c r="B3" s="6" t="s">
        <v>85</v>
      </c>
      <c r="C3" s="6" t="s">
        <v>86</v>
      </c>
      <c r="D3" s="6" t="s">
        <v>87</v>
      </c>
      <c r="E3" s="6" t="s">
        <v>88</v>
      </c>
      <c r="F3" s="6" t="s">
        <v>89</v>
      </c>
      <c r="G3" s="6" t="s">
        <v>90</v>
      </c>
      <c r="H3" s="6" t="s">
        <v>91</v>
      </c>
      <c r="I3" s="6" t="s">
        <v>92</v>
      </c>
      <c r="J3" s="6" t="s">
        <v>93</v>
      </c>
      <c r="K3" s="6" t="s">
        <v>94</v>
      </c>
      <c r="L3" s="6" t="s">
        <v>95</v>
      </c>
      <c r="M3" s="6" t="s">
        <v>96</v>
      </c>
      <c r="N3" s="6" t="s">
        <v>97</v>
      </c>
      <c r="O3" s="6" t="s">
        <v>98</v>
      </c>
      <c r="P3" s="6" t="s">
        <v>99</v>
      </c>
      <c r="Q3" s="6" t="s">
        <v>100</v>
      </c>
    </row>
    <row r="4" customFormat="false" ht="15" hidden="false" customHeight="false" outlineLevel="0" collapsed="false">
      <c r="A4" s="7" t="n">
        <v>2000</v>
      </c>
      <c r="B4" s="15" t="s">
        <v>101</v>
      </c>
      <c r="C4" s="15" t="s">
        <v>102</v>
      </c>
      <c r="D4" s="15" t="s">
        <v>103</v>
      </c>
      <c r="E4" s="9" t="n">
        <f aca="false">SUMIFS(Data!$L$2:$L$1006,Data!$A$2:$A$1006,$A4,Data!$B$2:$B$1006,$B4)</f>
        <v>743158</v>
      </c>
      <c r="F4" s="10" t="n">
        <f aca="false">SUMIFS(Data!$E$2:$E$1006,Data!$A$2:$A$1006,$A4,Data!$B$2:$B$1006,$B4)</f>
        <v>58.333212</v>
      </c>
      <c r="G4" s="10" t="n">
        <f aca="false">SUMIFS(Data!$F$2:$F$1006,Data!$A$2:$A$1006,$A4,Data!$B$2:$B$1006,$B4)</f>
        <v>52.097101</v>
      </c>
      <c r="H4" s="10" t="n">
        <f aca="false">SUMIFS(Data!$G$2:$G$1006,Data!$A$2:$A$1006,$A4,Data!$B$2:$B$1006,$B4)</f>
        <v>39.712796</v>
      </c>
      <c r="I4" s="10" t="n">
        <f aca="false">SUMIFS(Data!$N$2:$N$1006,Data!$A$2:$A$1006,$A4,Data!$B$2:$B$1006,$B4)</f>
        <v>150.143109</v>
      </c>
      <c r="J4" s="10" t="n">
        <f aca="false">SUMIFS(Data!$H$2:$H$1006,Data!$A$2:$A$1006,$A4,Data!$B$2:$B$1006,$B4)</f>
        <v>29.98762</v>
      </c>
      <c r="K4" s="11" t="n">
        <f aca="false">IFERROR(F4*1000000/$E4,"")</f>
        <v>78.4936877487695</v>
      </c>
      <c r="L4" s="11" t="n">
        <f aca="false">IFERROR(G4*1000000/$E4,"")</f>
        <v>70.1023214444304</v>
      </c>
      <c r="M4" s="11" t="n">
        <f aca="false">IFERROR(H4*1000000/$E4,"")</f>
        <v>53.437890731177</v>
      </c>
      <c r="N4" s="11" t="n">
        <f aca="false">IFERROR(I4*1000000/$E4,"")</f>
        <v>202.033899924377</v>
      </c>
      <c r="O4" s="11" t="n">
        <f aca="false">IFERROR(J4*1000000/$E4,"")</f>
        <v>40.3516075989224</v>
      </c>
      <c r="P4" s="16" t="n">
        <f aca="false">COUNTIFS($A$4:$A$1008,$A4,$N$4:$N$1008,"&gt;"&amp;N4)+1</f>
        <v>21</v>
      </c>
      <c r="Q4" s="16" t="n">
        <f aca="false">COUNTIFS($A$4:$A$1008,$A4,$O$4:$O$1008,"&gt;"&amp;O4)+1</f>
        <v>38</v>
      </c>
    </row>
    <row r="5" customFormat="false" ht="15" hidden="false" customHeight="false" outlineLevel="0" collapsed="false">
      <c r="A5" s="7" t="n">
        <v>2000</v>
      </c>
      <c r="B5" s="15" t="s">
        <v>104</v>
      </c>
      <c r="C5" s="15" t="s">
        <v>102</v>
      </c>
      <c r="D5" s="15" t="s">
        <v>105</v>
      </c>
      <c r="E5" s="9" t="n">
        <f aca="false">SUMIFS(Data!$L$2:$L$1006,Data!$A$2:$A$1006,$A5,Data!$B$2:$B$1006,$B5)</f>
        <v>1002120</v>
      </c>
      <c r="F5" s="10" t="n">
        <f aca="false">SUMIFS(Data!$E$2:$E$1006,Data!$A$2:$A$1006,$A5,Data!$B$2:$B$1006,$B5)</f>
        <v>102.354684</v>
      </c>
      <c r="G5" s="10" t="n">
        <f aca="false">SUMIFS(Data!$F$2:$F$1006,Data!$A$2:$A$1006,$A5,Data!$B$2:$B$1006,$B5)</f>
        <v>97.350554</v>
      </c>
      <c r="H5" s="10" t="n">
        <f aca="false">SUMIFS(Data!$G$2:$G$1006,Data!$A$2:$A$1006,$A5,Data!$B$2:$B$1006,$B5)</f>
        <v>78.199154</v>
      </c>
      <c r="I5" s="10" t="n">
        <f aca="false">SUMIFS(Data!$N$2:$N$1006,Data!$A$2:$A$1006,$A5,Data!$B$2:$B$1006,$B5)</f>
        <v>277.904392</v>
      </c>
      <c r="J5" s="10" t="n">
        <f aca="false">SUMIFS(Data!$H$2:$H$1006,Data!$A$2:$A$1006,$A5,Data!$B$2:$B$1006,$B5)</f>
        <v>107.608118</v>
      </c>
      <c r="K5" s="11" t="n">
        <f aca="false">IFERROR(F5*1000000/$E5,"")</f>
        <v>102.138151119626</v>
      </c>
      <c r="L5" s="11" t="n">
        <f aca="false">IFERROR(G5*1000000/$E5,"")</f>
        <v>97.1446074322437</v>
      </c>
      <c r="M5" s="11" t="n">
        <f aca="false">IFERROR(H5*1000000/$E5,"")</f>
        <v>78.0337225082824</v>
      </c>
      <c r="N5" s="11" t="n">
        <f aca="false">IFERROR(I5*1000000/$E5,"")</f>
        <v>277.316481060153</v>
      </c>
      <c r="O5" s="11" t="n">
        <f aca="false">IFERROR(J5*1000000/$E5,"")</f>
        <v>107.380471400631</v>
      </c>
      <c r="P5" s="16" t="n">
        <f aca="false">COUNTIFS($A$4:$A$1008,$A5,$N$4:$N$1008,"&gt;"&amp;N5)+1</f>
        <v>5</v>
      </c>
      <c r="Q5" s="16" t="n">
        <f aca="false">COUNTIFS($A$4:$A$1008,$A5,$O$4:$O$1008,"&gt;"&amp;O5)+1</f>
        <v>13</v>
      </c>
    </row>
    <row r="6" customFormat="false" ht="15" hidden="false" customHeight="false" outlineLevel="0" collapsed="false">
      <c r="A6" s="7" t="n">
        <v>2000</v>
      </c>
      <c r="B6" s="15" t="s">
        <v>106</v>
      </c>
      <c r="C6" s="15" t="s">
        <v>102</v>
      </c>
      <c r="D6" s="15" t="s">
        <v>107</v>
      </c>
      <c r="E6" s="9" t="n">
        <f aca="false">SUMIFS(Data!$L$2:$L$1006,Data!$A$2:$A$1006,$A6,Data!$B$2:$B$1006,$B6)</f>
        <v>491905</v>
      </c>
      <c r="F6" s="10" t="n">
        <f aca="false">SUMIFS(Data!$E$2:$E$1006,Data!$A$2:$A$1006,$A6,Data!$B$2:$B$1006,$B6)</f>
        <v>35.78359</v>
      </c>
      <c r="G6" s="10" t="n">
        <f aca="false">SUMIFS(Data!$F$2:$F$1006,Data!$A$2:$A$1006,$A6,Data!$B$2:$B$1006,$B6)</f>
        <v>45.498449</v>
      </c>
      <c r="H6" s="10" t="n">
        <f aca="false">SUMIFS(Data!$G$2:$G$1006,Data!$A$2:$A$1006,$A6,Data!$B$2:$B$1006,$B6)</f>
        <v>25.302159</v>
      </c>
      <c r="I6" s="10" t="n">
        <f aca="false">SUMIFS(Data!$N$2:$N$1006,Data!$A$2:$A$1006,$A6,Data!$B$2:$B$1006,$B6)</f>
        <v>106.584198</v>
      </c>
      <c r="J6" s="10" t="n">
        <f aca="false">SUMIFS(Data!$H$2:$H$1006,Data!$A$2:$A$1006,$A6,Data!$B$2:$B$1006,$B6)</f>
        <v>41.130203</v>
      </c>
      <c r="K6" s="11" t="n">
        <f aca="false">IFERROR(F6*1000000/$E6,"")</f>
        <v>72.7449202589931</v>
      </c>
      <c r="L6" s="11" t="n">
        <f aca="false">IFERROR(G6*1000000/$E6,"")</f>
        <v>92.4943820453136</v>
      </c>
      <c r="M6" s="11" t="n">
        <f aca="false">IFERROR(H6*1000000/$E6,"")</f>
        <v>51.4370843963774</v>
      </c>
      <c r="N6" s="11" t="n">
        <f aca="false">IFERROR(I6*1000000/$E6,"")</f>
        <v>216.676386700684</v>
      </c>
      <c r="O6" s="11" t="n">
        <f aca="false">IFERROR(J6*1000000/$E6,"")</f>
        <v>83.6141185798071</v>
      </c>
      <c r="P6" s="16" t="n">
        <f aca="false">COUNTIFS($A$4:$A$1008,$A6,$N$4:$N$1008,"&gt;"&amp;N6)+1</f>
        <v>14</v>
      </c>
      <c r="Q6" s="16" t="n">
        <f aca="false">COUNTIFS($A$4:$A$1008,$A6,$O$4:$O$1008,"&gt;"&amp;O6)+1</f>
        <v>28</v>
      </c>
    </row>
    <row r="7" customFormat="false" ht="15" hidden="false" customHeight="false" outlineLevel="0" collapsed="false">
      <c r="A7" s="7" t="n">
        <v>2000</v>
      </c>
      <c r="B7" s="15" t="s">
        <v>108</v>
      </c>
      <c r="C7" s="15" t="s">
        <v>102</v>
      </c>
      <c r="D7" s="15" t="s">
        <v>109</v>
      </c>
      <c r="E7" s="9" t="n">
        <f aca="false">SUMIFS(Data!$L$2:$L$1006,Data!$A$2:$A$1006,$A7,Data!$B$2:$B$1006,$B7)</f>
        <v>387020</v>
      </c>
      <c r="F7" s="10" t="n">
        <f aca="false">SUMIFS(Data!$E$2:$E$1006,Data!$A$2:$A$1006,$A7,Data!$B$2:$B$1006,$B7)</f>
        <v>34.314597</v>
      </c>
      <c r="G7" s="10" t="n">
        <f aca="false">SUMIFS(Data!$F$2:$F$1006,Data!$A$2:$A$1006,$A7,Data!$B$2:$B$1006,$B7)</f>
        <v>15.751245</v>
      </c>
      <c r="H7" s="10" t="n">
        <f aca="false">SUMIFS(Data!$G$2:$G$1006,Data!$A$2:$A$1006,$A7,Data!$B$2:$B$1006,$B7)</f>
        <v>20.224646</v>
      </c>
      <c r="I7" s="10" t="n">
        <f aca="false">SUMIFS(Data!$N$2:$N$1006,Data!$A$2:$A$1006,$A7,Data!$B$2:$B$1006,$B7)</f>
        <v>70.290488</v>
      </c>
      <c r="J7" s="10" t="n">
        <f aca="false">SUMIFS(Data!$H$2:$H$1006,Data!$A$2:$A$1006,$A7,Data!$B$2:$B$1006,$B7)</f>
        <v>38.784727</v>
      </c>
      <c r="K7" s="11" t="n">
        <f aca="false">IFERROR(F7*1000000/$E7,"")</f>
        <v>88.6636272027285</v>
      </c>
      <c r="L7" s="11" t="n">
        <f aca="false">IFERROR(G7*1000000/$E7,"")</f>
        <v>40.6987881763216</v>
      </c>
      <c r="M7" s="11" t="n">
        <f aca="false">IFERROR(H7*1000000/$E7,"")</f>
        <v>52.2573665443646</v>
      </c>
      <c r="N7" s="11" t="n">
        <f aca="false">IFERROR(I7*1000000/$E7,"")</f>
        <v>181.619781923415</v>
      </c>
      <c r="O7" s="11" t="n">
        <f aca="false">IFERROR(J7*1000000/$E7,"")</f>
        <v>100.213753811173</v>
      </c>
      <c r="P7" s="16" t="n">
        <f aca="false">COUNTIFS($A$4:$A$1008,$A7,$N$4:$N$1008,"&gt;"&amp;N7)+1</f>
        <v>29</v>
      </c>
      <c r="Q7" s="16" t="n">
        <f aca="false">COUNTIFS($A$4:$A$1008,$A7,$O$4:$O$1008,"&gt;"&amp;O7)+1</f>
        <v>21</v>
      </c>
    </row>
    <row r="8" customFormat="false" ht="15" hidden="false" customHeight="false" outlineLevel="0" collapsed="false">
      <c r="A8" s="7" t="n">
        <v>2000</v>
      </c>
      <c r="B8" s="15" t="s">
        <v>110</v>
      </c>
      <c r="C8" s="15" t="s">
        <v>102</v>
      </c>
      <c r="D8" s="15" t="s">
        <v>103</v>
      </c>
      <c r="E8" s="9" t="n">
        <f aca="false">SUMIFS(Data!$L$2:$L$1006,Data!$A$2:$A$1006,$A8,Data!$B$2:$B$1006,$B8)</f>
        <v>993655</v>
      </c>
      <c r="F8" s="10" t="n">
        <f aca="false">SUMIFS(Data!$E$2:$E$1006,Data!$A$2:$A$1006,$A8,Data!$B$2:$B$1006,$B8)</f>
        <v>65.821602</v>
      </c>
      <c r="G8" s="10" t="n">
        <f aca="false">SUMIFS(Data!$F$2:$F$1006,Data!$A$2:$A$1006,$A8,Data!$B$2:$B$1006,$B8)</f>
        <v>76.311504</v>
      </c>
      <c r="H8" s="10" t="n">
        <f aca="false">SUMIFS(Data!$G$2:$G$1006,Data!$A$2:$A$1006,$A8,Data!$B$2:$B$1006,$B8)</f>
        <v>31.565034</v>
      </c>
      <c r="I8" s="10" t="n">
        <f aca="false">SUMIFS(Data!$N$2:$N$1006,Data!$A$2:$A$1006,$A8,Data!$B$2:$B$1006,$B8)</f>
        <v>173.69814</v>
      </c>
      <c r="J8" s="10" t="n">
        <f aca="false">SUMIFS(Data!$H$2:$H$1006,Data!$A$2:$A$1006,$A8,Data!$B$2:$B$1006,$B8)</f>
        <v>42.14557</v>
      </c>
      <c r="K8" s="11" t="n">
        <f aca="false">IFERROR(F8*1000000/$E8,"")</f>
        <v>66.2419068992759</v>
      </c>
      <c r="L8" s="11" t="n">
        <f aca="false">IFERROR(G8*1000000/$E8,"")</f>
        <v>76.7987923373807</v>
      </c>
      <c r="M8" s="11" t="n">
        <f aca="false">IFERROR(H8*1000000/$E8,"")</f>
        <v>31.7665930327931</v>
      </c>
      <c r="N8" s="11" t="n">
        <f aca="false">IFERROR(I8*1000000/$E8,"")</f>
        <v>174.80729226945</v>
      </c>
      <c r="O8" s="11" t="n">
        <f aca="false">IFERROR(J8*1000000/$E8,"")</f>
        <v>42.414691215764</v>
      </c>
      <c r="P8" s="16" t="n">
        <f aca="false">COUNTIFS($A$4:$A$1008,$A8,$N$4:$N$1008,"&gt;"&amp;N8)+1</f>
        <v>32</v>
      </c>
      <c r="Q8" s="16" t="n">
        <f aca="false">COUNTIFS($A$4:$A$1008,$A8,$O$4:$O$1008,"&gt;"&amp;O8)+1</f>
        <v>37</v>
      </c>
    </row>
    <row r="9" customFormat="false" ht="15" hidden="false" customHeight="false" outlineLevel="0" collapsed="false">
      <c r="A9" s="7" t="n">
        <v>2000</v>
      </c>
      <c r="B9" s="15" t="s">
        <v>111</v>
      </c>
      <c r="C9" s="15" t="s">
        <v>102</v>
      </c>
      <c r="D9" s="15" t="s">
        <v>107</v>
      </c>
      <c r="E9" s="9" t="n">
        <f aca="false">SUMIFS(Data!$L$2:$L$1006,Data!$A$2:$A$1006,$A9,Data!$B$2:$B$1006,$B9)</f>
        <v>579087</v>
      </c>
      <c r="F9" s="10" t="n">
        <f aca="false">SUMIFS(Data!$E$2:$E$1006,Data!$A$2:$A$1006,$A9,Data!$B$2:$B$1006,$B9)</f>
        <v>49.803059</v>
      </c>
      <c r="G9" s="10" t="n">
        <f aca="false">SUMIFS(Data!$F$2:$F$1006,Data!$A$2:$A$1006,$A9,Data!$B$2:$B$1006,$B9)</f>
        <v>53.697075</v>
      </c>
      <c r="H9" s="10" t="n">
        <f aca="false">SUMIFS(Data!$G$2:$G$1006,Data!$A$2:$A$1006,$A9,Data!$B$2:$B$1006,$B9)</f>
        <v>37.934021</v>
      </c>
      <c r="I9" s="10" t="n">
        <f aca="false">SUMIFS(Data!$N$2:$N$1006,Data!$A$2:$A$1006,$A9,Data!$B$2:$B$1006,$B9)</f>
        <v>141.434155</v>
      </c>
      <c r="J9" s="10" t="n">
        <f aca="false">SUMIFS(Data!$H$2:$H$1006,Data!$A$2:$A$1006,$A9,Data!$B$2:$B$1006,$B9)</f>
        <v>61.998848</v>
      </c>
      <c r="K9" s="11" t="n">
        <f aca="false">IFERROR(F9*1000000/$E9,"")</f>
        <v>86.002723252292</v>
      </c>
      <c r="L9" s="11" t="n">
        <f aca="false">IFERROR(G9*1000000/$E9,"")</f>
        <v>92.7271290842309</v>
      </c>
      <c r="M9" s="11" t="n">
        <f aca="false">IFERROR(H9*1000000/$E9,"")</f>
        <v>65.506600907981</v>
      </c>
      <c r="N9" s="11" t="n">
        <f aca="false">IFERROR(I9*1000000/$E9,"")</f>
        <v>244.236453244504</v>
      </c>
      <c r="O9" s="11" t="n">
        <f aca="false">IFERROR(J9*1000000/$E9,"")</f>
        <v>107.063097600188</v>
      </c>
      <c r="P9" s="16" t="n">
        <f aca="false">COUNTIFS($A$4:$A$1008,$A9,$N$4:$N$1008,"&gt;"&amp;N9)+1</f>
        <v>8</v>
      </c>
      <c r="Q9" s="16" t="n">
        <f aca="false">COUNTIFS($A$4:$A$1008,$A9,$O$4:$O$1008,"&gt;"&amp;O9)+1</f>
        <v>15</v>
      </c>
    </row>
    <row r="10" customFormat="false" ht="15" hidden="false" customHeight="false" outlineLevel="0" collapsed="false">
      <c r="A10" s="7" t="n">
        <v>2000</v>
      </c>
      <c r="B10" s="15" t="s">
        <v>112</v>
      </c>
      <c r="C10" s="15" t="s">
        <v>102</v>
      </c>
      <c r="D10" s="15" t="s">
        <v>107</v>
      </c>
      <c r="E10" s="9" t="n">
        <f aca="false">SUMIFS(Data!$L$2:$L$1006,Data!$A$2:$A$1006,$A10,Data!$B$2:$B$1006,$B10)</f>
        <v>134634</v>
      </c>
      <c r="F10" s="10" t="n">
        <f aca="false">SUMIFS(Data!$E$2:$E$1006,Data!$A$2:$A$1006,$A10,Data!$B$2:$B$1006,$B10)</f>
        <v>10.959921</v>
      </c>
      <c r="G10" s="10" t="n">
        <f aca="false">SUMIFS(Data!$F$2:$F$1006,Data!$A$2:$A$1006,$A10,Data!$B$2:$B$1006,$B10)</f>
        <v>8.22639</v>
      </c>
      <c r="H10" s="10" t="n">
        <f aca="false">SUMIFS(Data!$G$2:$G$1006,Data!$A$2:$A$1006,$A10,Data!$B$2:$B$1006,$B10)</f>
        <v>6.374134</v>
      </c>
      <c r="I10" s="10" t="n">
        <f aca="false">SUMIFS(Data!$N$2:$N$1006,Data!$A$2:$A$1006,$A10,Data!$B$2:$B$1006,$B10)</f>
        <v>25.560445</v>
      </c>
      <c r="J10" s="10" t="n">
        <f aca="false">SUMIFS(Data!$H$2:$H$1006,Data!$A$2:$A$1006,$A10,Data!$B$2:$B$1006,$B10)</f>
        <v>9.280058</v>
      </c>
      <c r="K10" s="11" t="n">
        <f aca="false">IFERROR(F10*1000000/$E10,"")</f>
        <v>81.4052988101074</v>
      </c>
      <c r="L10" s="11" t="n">
        <f aca="false">IFERROR(G10*1000000/$E10,"")</f>
        <v>61.1018761976915</v>
      </c>
      <c r="M10" s="11" t="n">
        <f aca="false">IFERROR(H10*1000000/$E10,"")</f>
        <v>47.3441626929305</v>
      </c>
      <c r="N10" s="11" t="n">
        <f aca="false">IFERROR(I10*1000000/$E10,"")</f>
        <v>189.851337700729</v>
      </c>
      <c r="O10" s="11" t="n">
        <f aca="false">IFERROR(J10*1000000/$E10,"")</f>
        <v>68.9280419507702</v>
      </c>
      <c r="P10" s="16" t="n">
        <f aca="false">COUNTIFS($A$4:$A$1008,$A10,$N$4:$N$1008,"&gt;"&amp;N10)+1</f>
        <v>23</v>
      </c>
      <c r="Q10" s="16" t="n">
        <f aca="false">COUNTIFS($A$4:$A$1008,$A10,$O$4:$O$1008,"&gt;"&amp;O10)+1</f>
        <v>32</v>
      </c>
    </row>
    <row r="11" customFormat="false" ht="15" hidden="false" customHeight="false" outlineLevel="0" collapsed="false">
      <c r="A11" s="7" t="n">
        <v>2000</v>
      </c>
      <c r="B11" s="15" t="s">
        <v>113</v>
      </c>
      <c r="C11" s="15" t="s">
        <v>102</v>
      </c>
      <c r="D11" s="15" t="s">
        <v>114</v>
      </c>
      <c r="E11" s="9" t="n">
        <f aca="false">SUMIFS(Data!$L$2:$L$1006,Data!$A$2:$A$1006,$A11,Data!$B$2:$B$1006,$B11)</f>
        <v>402621</v>
      </c>
      <c r="F11" s="10" t="n">
        <f aca="false">SUMIFS(Data!$E$2:$E$1006,Data!$A$2:$A$1006,$A11,Data!$B$2:$B$1006,$B11)</f>
        <v>26.348026</v>
      </c>
      <c r="G11" s="10" t="n">
        <f aca="false">SUMIFS(Data!$F$2:$F$1006,Data!$A$2:$A$1006,$A11,Data!$B$2:$B$1006,$B11)</f>
        <v>17.321462</v>
      </c>
      <c r="H11" s="10" t="n">
        <f aca="false">SUMIFS(Data!$G$2:$G$1006,Data!$A$2:$A$1006,$A11,Data!$B$2:$B$1006,$B11)</f>
        <v>26.221384</v>
      </c>
      <c r="I11" s="10" t="n">
        <f aca="false">SUMIFS(Data!$N$2:$N$1006,Data!$A$2:$A$1006,$A11,Data!$B$2:$B$1006,$B11)</f>
        <v>69.890872</v>
      </c>
      <c r="J11" s="10" t="n">
        <f aca="false">SUMIFS(Data!$H$2:$H$1006,Data!$A$2:$A$1006,$A11,Data!$B$2:$B$1006,$B11)</f>
        <v>53.9817</v>
      </c>
      <c r="K11" s="11" t="n">
        <f aca="false">IFERROR(F11*1000000/$E11,"")</f>
        <v>65.4412611364037</v>
      </c>
      <c r="L11" s="11" t="n">
        <f aca="false">IFERROR(G11*1000000/$E11,"")</f>
        <v>43.0217549506856</v>
      </c>
      <c r="M11" s="11" t="n">
        <f aca="false">IFERROR(H11*1000000/$E11,"")</f>
        <v>65.1267171856411</v>
      </c>
      <c r="N11" s="11" t="n">
        <f aca="false">IFERROR(I11*1000000/$E11,"")</f>
        <v>173.58973327273</v>
      </c>
      <c r="O11" s="11" t="n">
        <f aca="false">IFERROR(J11*1000000/$E11,"")</f>
        <v>134.075718852221</v>
      </c>
      <c r="P11" s="16" t="n">
        <f aca="false">COUNTIFS($A$4:$A$1008,$A11,$N$4:$N$1008,"&gt;"&amp;N11)+1</f>
        <v>33</v>
      </c>
      <c r="Q11" s="16" t="n">
        <f aca="false">COUNTIFS($A$4:$A$1008,$A11,$O$4:$O$1008,"&gt;"&amp;O11)+1</f>
        <v>6</v>
      </c>
    </row>
    <row r="12" customFormat="false" ht="15" hidden="false" customHeight="false" outlineLevel="0" collapsed="false">
      <c r="A12" s="7" t="n">
        <v>2000</v>
      </c>
      <c r="B12" s="15" t="s">
        <v>115</v>
      </c>
      <c r="C12" s="15" t="s">
        <v>102</v>
      </c>
      <c r="D12" s="15" t="s">
        <v>103</v>
      </c>
      <c r="E12" s="9" t="n">
        <f aca="false">SUMIFS(Data!$L$2:$L$1006,Data!$A$2:$A$1006,$A12,Data!$B$2:$B$1006,$B12)</f>
        <v>302480</v>
      </c>
      <c r="F12" s="10" t="n">
        <f aca="false">SUMIFS(Data!$E$2:$E$1006,Data!$A$2:$A$1006,$A12,Data!$B$2:$B$1006,$B12)</f>
        <v>29.09178</v>
      </c>
      <c r="G12" s="10" t="n">
        <f aca="false">SUMIFS(Data!$F$2:$F$1006,Data!$A$2:$A$1006,$A12,Data!$B$2:$B$1006,$B12)</f>
        <v>19.902142</v>
      </c>
      <c r="H12" s="10" t="n">
        <f aca="false">SUMIFS(Data!$G$2:$G$1006,Data!$A$2:$A$1006,$A12,Data!$B$2:$B$1006,$B12)</f>
        <v>18.549546</v>
      </c>
      <c r="I12" s="10" t="n">
        <f aca="false">SUMIFS(Data!$N$2:$N$1006,Data!$A$2:$A$1006,$A12,Data!$B$2:$B$1006,$B12)</f>
        <v>67.543468</v>
      </c>
      <c r="J12" s="10" t="n">
        <f aca="false">SUMIFS(Data!$H$2:$H$1006,Data!$A$2:$A$1006,$A12,Data!$B$2:$B$1006,$B12)</f>
        <v>20.917035</v>
      </c>
      <c r="K12" s="11" t="n">
        <f aca="false">IFERROR(F12*1000000/$E12,"")</f>
        <v>96.1775323988363</v>
      </c>
      <c r="L12" s="11" t="n">
        <f aca="false">IFERROR(G12*1000000/$E12,"")</f>
        <v>65.7965551441418</v>
      </c>
      <c r="M12" s="11" t="n">
        <f aca="false">IFERROR(H12*1000000/$E12,"")</f>
        <v>61.3248677598519</v>
      </c>
      <c r="N12" s="11" t="n">
        <f aca="false">IFERROR(I12*1000000/$E12,"")</f>
        <v>223.29895530283</v>
      </c>
      <c r="O12" s="11" t="n">
        <f aca="false">IFERROR(J12*1000000/$E12,"")</f>
        <v>69.1517951600106</v>
      </c>
      <c r="P12" s="16" t="n">
        <f aca="false">COUNTIFS($A$4:$A$1008,$A12,$N$4:$N$1008,"&gt;"&amp;N12)+1</f>
        <v>11</v>
      </c>
      <c r="Q12" s="16" t="n">
        <f aca="false">COUNTIFS($A$4:$A$1008,$A12,$O$4:$O$1008,"&gt;"&amp;O12)+1</f>
        <v>31</v>
      </c>
    </row>
    <row r="13" customFormat="false" ht="15" hidden="false" customHeight="false" outlineLevel="0" collapsed="false">
      <c r="A13" s="7" t="n">
        <v>2000</v>
      </c>
      <c r="B13" s="15" t="s">
        <v>116</v>
      </c>
      <c r="C13" s="15" t="s">
        <v>102</v>
      </c>
      <c r="D13" s="15" t="s">
        <v>107</v>
      </c>
      <c r="E13" s="9" t="n">
        <f aca="false">SUMIFS(Data!$L$2:$L$1006,Data!$A$2:$A$1006,$A13,Data!$B$2:$B$1006,$B13)</f>
        <v>680923</v>
      </c>
      <c r="F13" s="10" t="n">
        <f aca="false">SUMIFS(Data!$E$2:$E$1006,Data!$A$2:$A$1006,$A13,Data!$B$2:$B$1006,$B13)</f>
        <v>39.739834</v>
      </c>
      <c r="G13" s="10" t="n">
        <f aca="false">SUMIFS(Data!$F$2:$F$1006,Data!$A$2:$A$1006,$A13,Data!$B$2:$B$1006,$B13)</f>
        <v>31.245758</v>
      </c>
      <c r="H13" s="10" t="n">
        <f aca="false">SUMIFS(Data!$G$2:$G$1006,Data!$A$2:$A$1006,$A13,Data!$B$2:$B$1006,$B13)</f>
        <v>29.386181</v>
      </c>
      <c r="I13" s="10" t="n">
        <f aca="false">SUMIFS(Data!$N$2:$N$1006,Data!$A$2:$A$1006,$A13,Data!$B$2:$B$1006,$B13)</f>
        <v>100.371773</v>
      </c>
      <c r="J13" s="10" t="n">
        <f aca="false">SUMIFS(Data!$H$2:$H$1006,Data!$A$2:$A$1006,$A13,Data!$B$2:$B$1006,$B13)</f>
        <v>46.692189</v>
      </c>
      <c r="K13" s="11" t="n">
        <f aca="false">IFERROR(F13*1000000/$E13,"")</f>
        <v>58.3617149075593</v>
      </c>
      <c r="L13" s="11" t="n">
        <f aca="false">IFERROR(G13*1000000/$E13,"")</f>
        <v>45.8873587762493</v>
      </c>
      <c r="M13" s="11" t="n">
        <f aca="false">IFERROR(H13*1000000/$E13,"")</f>
        <v>43.1563936010386</v>
      </c>
      <c r="N13" s="11" t="n">
        <f aca="false">IFERROR(I13*1000000/$E13,"")</f>
        <v>147.405467284847</v>
      </c>
      <c r="O13" s="11" t="n">
        <f aca="false">IFERROR(J13*1000000/$E13,"")</f>
        <v>68.5719075431436</v>
      </c>
      <c r="P13" s="16" t="n">
        <f aca="false">COUNTIFS($A$4:$A$1008,$A13,$N$4:$N$1008,"&gt;"&amp;N13)+1</f>
        <v>36</v>
      </c>
      <c r="Q13" s="16" t="n">
        <f aca="false">COUNTIFS($A$4:$A$1008,$A13,$O$4:$O$1008,"&gt;"&amp;O13)+1</f>
        <v>34</v>
      </c>
    </row>
    <row r="14" customFormat="false" ht="15" hidden="false" customHeight="false" outlineLevel="0" collapsed="false">
      <c r="A14" s="7" t="n">
        <v>2000</v>
      </c>
      <c r="B14" s="15" t="s">
        <v>117</v>
      </c>
      <c r="C14" s="15" t="s">
        <v>118</v>
      </c>
      <c r="D14" s="15" t="s">
        <v>103</v>
      </c>
      <c r="E14" s="9" t="n">
        <f aca="false">SUMIFS(Data!$L$2:$L$1006,Data!$A$2:$A$1006,$A14,Data!$B$2:$B$1006,$B14)</f>
        <v>1354690</v>
      </c>
      <c r="F14" s="10" t="n">
        <f aca="false">SUMIFS(Data!$E$2:$E$1006,Data!$A$2:$A$1006,$A14,Data!$B$2:$B$1006,$B14)</f>
        <v>98.937796</v>
      </c>
      <c r="G14" s="10" t="n">
        <f aca="false">SUMIFS(Data!$F$2:$F$1006,Data!$A$2:$A$1006,$A14,Data!$B$2:$B$1006,$B14)</f>
        <v>76.065082</v>
      </c>
      <c r="H14" s="10" t="n">
        <f aca="false">SUMIFS(Data!$G$2:$G$1006,Data!$A$2:$A$1006,$A14,Data!$B$2:$B$1006,$B14)</f>
        <v>78.984041</v>
      </c>
      <c r="I14" s="10" t="n">
        <f aca="false">SUMIFS(Data!$N$2:$N$1006,Data!$A$2:$A$1006,$A14,Data!$B$2:$B$1006,$B14)</f>
        <v>253.986919</v>
      </c>
      <c r="J14" s="10" t="n">
        <f aca="false">SUMIFS(Data!$H$2:$H$1006,Data!$A$2:$A$1006,$A14,Data!$B$2:$B$1006,$B14)</f>
        <v>145.202089</v>
      </c>
      <c r="K14" s="11" t="n">
        <f aca="false">IFERROR(F14*1000000/$E14,"")</f>
        <v>73.0335323948653</v>
      </c>
      <c r="L14" s="11" t="n">
        <f aca="false">IFERROR(G14*1000000/$E14,"")</f>
        <v>56.1494378787767</v>
      </c>
      <c r="M14" s="11" t="n">
        <f aca="false">IFERROR(H14*1000000/$E14,"")</f>
        <v>58.3041441215333</v>
      </c>
      <c r="N14" s="11" t="n">
        <f aca="false">IFERROR(I14*1000000/$E14,"")</f>
        <v>187.487114395175</v>
      </c>
      <c r="O14" s="11" t="n">
        <f aca="false">IFERROR(J14*1000000/$E14,"")</f>
        <v>107.184735253084</v>
      </c>
      <c r="P14" s="16" t="n">
        <f aca="false">COUNTIFS($A$4:$A$1008,$A14,$N$4:$N$1008,"&gt;"&amp;N14)+1</f>
        <v>26</v>
      </c>
      <c r="Q14" s="16" t="n">
        <f aca="false">COUNTIFS($A$4:$A$1008,$A14,$O$4:$O$1008,"&gt;"&amp;O14)+1</f>
        <v>14</v>
      </c>
    </row>
    <row r="15" customFormat="false" ht="15" hidden="false" customHeight="false" outlineLevel="0" collapsed="false">
      <c r="A15" s="7" t="n">
        <v>2000</v>
      </c>
      <c r="B15" s="15" t="s">
        <v>119</v>
      </c>
      <c r="C15" s="15" t="s">
        <v>118</v>
      </c>
      <c r="D15" s="15" t="s">
        <v>103</v>
      </c>
      <c r="E15" s="9" t="n">
        <f aca="false">SUMIFS(Data!$L$2:$L$1006,Data!$A$2:$A$1006,$A15,Data!$B$2:$B$1006,$B15)</f>
        <v>496623</v>
      </c>
      <c r="F15" s="10" t="n">
        <f aca="false">SUMIFS(Data!$E$2:$E$1006,Data!$A$2:$A$1006,$A15,Data!$B$2:$B$1006,$B15)</f>
        <v>23.561136</v>
      </c>
      <c r="G15" s="10" t="n">
        <f aca="false">SUMIFS(Data!$F$2:$F$1006,Data!$A$2:$A$1006,$A15,Data!$B$2:$B$1006,$B15)</f>
        <v>34.003834</v>
      </c>
      <c r="H15" s="10" t="n">
        <f aca="false">SUMIFS(Data!$G$2:$G$1006,Data!$A$2:$A$1006,$A15,Data!$B$2:$B$1006,$B15)</f>
        <v>30.277266</v>
      </c>
      <c r="I15" s="10" t="n">
        <f aca="false">SUMIFS(Data!$N$2:$N$1006,Data!$A$2:$A$1006,$A15,Data!$B$2:$B$1006,$B15)</f>
        <v>87.842236</v>
      </c>
      <c r="J15" s="10" t="n">
        <f aca="false">SUMIFS(Data!$H$2:$H$1006,Data!$A$2:$A$1006,$A15,Data!$B$2:$B$1006,$B15)</f>
        <v>25.959165</v>
      </c>
      <c r="K15" s="11" t="n">
        <f aca="false">IFERROR(F15*1000000/$E15,"")</f>
        <v>47.4426999957714</v>
      </c>
      <c r="L15" s="11" t="n">
        <f aca="false">IFERROR(G15*1000000/$E15,"")</f>
        <v>68.4701151577756</v>
      </c>
      <c r="M15" s="11" t="n">
        <f aca="false">IFERROR(H15*1000000/$E15,"")</f>
        <v>60.9662983792535</v>
      </c>
      <c r="N15" s="11" t="n">
        <f aca="false">IFERROR(I15*1000000/$E15,"")</f>
        <v>176.879113532801</v>
      </c>
      <c r="O15" s="11" t="n">
        <f aca="false">IFERROR(J15*1000000/$E15,"")</f>
        <v>52.2713708386442</v>
      </c>
      <c r="P15" s="16" t="n">
        <f aca="false">COUNTIFS($A$4:$A$1008,$A15,$N$4:$N$1008,"&gt;"&amp;N15)+1</f>
        <v>31</v>
      </c>
      <c r="Q15" s="16" t="n">
        <f aca="false">COUNTIFS($A$4:$A$1008,$A15,$O$4:$O$1008,"&gt;"&amp;O15)+1</f>
        <v>36</v>
      </c>
    </row>
    <row r="16" customFormat="false" ht="15" hidden="false" customHeight="false" outlineLevel="0" collapsed="false">
      <c r="A16" s="7" t="n">
        <v>2000</v>
      </c>
      <c r="B16" s="15" t="s">
        <v>120</v>
      </c>
      <c r="C16" s="15" t="s">
        <v>118</v>
      </c>
      <c r="D16" s="15" t="s">
        <v>121</v>
      </c>
      <c r="E16" s="9" t="n">
        <f aca="false">SUMIFS(Data!$L$2:$L$1006,Data!$A$2:$A$1006,$A16,Data!$B$2:$B$1006,$B16)</f>
        <v>903150</v>
      </c>
      <c r="F16" s="10" t="n">
        <f aca="false">SUMIFS(Data!$E$2:$E$1006,Data!$A$2:$A$1006,$A16,Data!$B$2:$B$1006,$B16)</f>
        <v>82.825598</v>
      </c>
      <c r="G16" s="10" t="n">
        <f aca="false">SUMIFS(Data!$F$2:$F$1006,Data!$A$2:$A$1006,$A16,Data!$B$2:$B$1006,$B16)</f>
        <v>55.866952</v>
      </c>
      <c r="H16" s="10" t="n">
        <f aca="false">SUMIFS(Data!$G$2:$G$1006,Data!$A$2:$A$1006,$A16,Data!$B$2:$B$1006,$B16)</f>
        <v>57.675755</v>
      </c>
      <c r="I16" s="10" t="n">
        <f aca="false">SUMIFS(Data!$N$2:$N$1006,Data!$A$2:$A$1006,$A16,Data!$B$2:$B$1006,$B16)</f>
        <v>196.368305</v>
      </c>
      <c r="J16" s="10" t="n">
        <f aca="false">SUMIFS(Data!$H$2:$H$1006,Data!$A$2:$A$1006,$A16,Data!$B$2:$B$1006,$B16)</f>
        <v>103.676486</v>
      </c>
      <c r="K16" s="11" t="n">
        <f aca="false">IFERROR(F16*1000000/$E16,"")</f>
        <v>91.7074660909041</v>
      </c>
      <c r="L16" s="11" t="n">
        <f aca="false">IFERROR(G16*1000000/$E16,"")</f>
        <v>61.8578885013564</v>
      </c>
      <c r="M16" s="11" t="n">
        <f aca="false">IFERROR(H16*1000000/$E16,"")</f>
        <v>63.8606599125284</v>
      </c>
      <c r="N16" s="11" t="n">
        <f aca="false">IFERROR(I16*1000000/$E16,"")</f>
        <v>217.426014504789</v>
      </c>
      <c r="O16" s="11" t="n">
        <f aca="false">IFERROR(J16*1000000/$E16,"")</f>
        <v>114.794315451475</v>
      </c>
      <c r="P16" s="16" t="n">
        <f aca="false">COUNTIFS($A$4:$A$1008,$A16,$N$4:$N$1008,"&gt;"&amp;N16)+1</f>
        <v>13</v>
      </c>
      <c r="Q16" s="16" t="n">
        <f aca="false">COUNTIFS($A$4:$A$1008,$A16,$O$4:$O$1008,"&gt;"&amp;O16)+1</f>
        <v>12</v>
      </c>
    </row>
    <row r="17" customFormat="false" ht="15" hidden="false" customHeight="false" outlineLevel="0" collapsed="false">
      <c r="A17" s="7" t="n">
        <v>2000</v>
      </c>
      <c r="B17" s="15" t="s">
        <v>122</v>
      </c>
      <c r="C17" s="15" t="s">
        <v>118</v>
      </c>
      <c r="D17" s="15" t="s">
        <v>105</v>
      </c>
      <c r="E17" s="9" t="n">
        <f aca="false">SUMIFS(Data!$L$2:$L$1006,Data!$A$2:$A$1006,$A17,Data!$B$2:$B$1006,$B17)</f>
        <v>497299</v>
      </c>
      <c r="F17" s="10" t="n">
        <f aca="false">SUMIFS(Data!$E$2:$E$1006,Data!$A$2:$A$1006,$A17,Data!$B$2:$B$1006,$B17)</f>
        <v>39.012646</v>
      </c>
      <c r="G17" s="10" t="n">
        <f aca="false">SUMIFS(Data!$F$2:$F$1006,Data!$A$2:$A$1006,$A17,Data!$B$2:$B$1006,$B17)</f>
        <v>41.303685</v>
      </c>
      <c r="H17" s="10" t="n">
        <f aca="false">SUMIFS(Data!$G$2:$G$1006,Data!$A$2:$A$1006,$A17,Data!$B$2:$B$1006,$B17)</f>
        <v>30.55559</v>
      </c>
      <c r="I17" s="10" t="n">
        <f aca="false">SUMIFS(Data!$N$2:$N$1006,Data!$A$2:$A$1006,$A17,Data!$B$2:$B$1006,$B17)</f>
        <v>110.871921</v>
      </c>
      <c r="J17" s="10" t="n">
        <f aca="false">SUMIFS(Data!$H$2:$H$1006,Data!$A$2:$A$1006,$A17,Data!$B$2:$B$1006,$B17)</f>
        <v>30.504788</v>
      </c>
      <c r="K17" s="11" t="n">
        <f aca="false">IFERROR(F17*1000000/$E17,"")</f>
        <v>78.4490738971926</v>
      </c>
      <c r="L17" s="11" t="n">
        <f aca="false">IFERROR(G17*1000000/$E17,"")</f>
        <v>83.0560387211718</v>
      </c>
      <c r="M17" s="11" t="n">
        <f aca="false">IFERROR(H17*1000000/$E17,"")</f>
        <v>61.4430956024444</v>
      </c>
      <c r="N17" s="11" t="n">
        <f aca="false">IFERROR(I17*1000000/$E17,"")</f>
        <v>222.948208220809</v>
      </c>
      <c r="O17" s="11" t="n">
        <f aca="false">IFERROR(J17*1000000/$E17,"")</f>
        <v>61.340939756565</v>
      </c>
      <c r="P17" s="16" t="n">
        <f aca="false">COUNTIFS($A$4:$A$1008,$A17,$N$4:$N$1008,"&gt;"&amp;N17)+1</f>
        <v>12</v>
      </c>
      <c r="Q17" s="16" t="n">
        <f aca="false">COUNTIFS($A$4:$A$1008,$A17,$O$4:$O$1008,"&gt;"&amp;O17)+1</f>
        <v>35</v>
      </c>
    </row>
    <row r="18" customFormat="false" ht="15" hidden="false" customHeight="false" outlineLevel="0" collapsed="false">
      <c r="A18" s="7" t="n">
        <v>2000</v>
      </c>
      <c r="B18" s="15" t="s">
        <v>123</v>
      </c>
      <c r="C18" s="15" t="s">
        <v>118</v>
      </c>
      <c r="D18" s="15" t="s">
        <v>124</v>
      </c>
      <c r="E18" s="9" t="n">
        <f aca="false">SUMIFS(Data!$L$2:$L$1006,Data!$A$2:$A$1006,$A18,Data!$B$2:$B$1006,$B18)</f>
        <v>1140309</v>
      </c>
      <c r="F18" s="10" t="n">
        <f aca="false">SUMIFS(Data!$E$2:$E$1006,Data!$A$2:$A$1006,$A18,Data!$B$2:$B$1006,$B18)</f>
        <v>85.996568</v>
      </c>
      <c r="G18" s="10" t="n">
        <f aca="false">SUMIFS(Data!$F$2:$F$1006,Data!$A$2:$A$1006,$A18,Data!$B$2:$B$1006,$B18)</f>
        <v>51.742818</v>
      </c>
      <c r="H18" s="10" t="n">
        <f aca="false">SUMIFS(Data!$G$2:$G$1006,Data!$A$2:$A$1006,$A18,Data!$B$2:$B$1006,$B18)</f>
        <v>91.641267</v>
      </c>
      <c r="I18" s="10" t="n">
        <f aca="false">SUMIFS(Data!$N$2:$N$1006,Data!$A$2:$A$1006,$A18,Data!$B$2:$B$1006,$B18)</f>
        <v>229.380653</v>
      </c>
      <c r="J18" s="10" t="n">
        <f aca="false">SUMIFS(Data!$H$2:$H$1006,Data!$A$2:$A$1006,$A18,Data!$B$2:$B$1006,$B18)</f>
        <v>136.551513</v>
      </c>
      <c r="K18" s="11" t="n">
        <f aca="false">IFERROR(F18*1000000/$E18,"")</f>
        <v>75.415144491537</v>
      </c>
      <c r="L18" s="11" t="n">
        <f aca="false">IFERROR(G18*1000000/$E18,"")</f>
        <v>45.3761375206194</v>
      </c>
      <c r="M18" s="11" t="n">
        <f aca="false">IFERROR(H18*1000000/$E18,"")</f>
        <v>80.3652930916094</v>
      </c>
      <c r="N18" s="11" t="n">
        <f aca="false">IFERROR(I18*1000000/$E18,"")</f>
        <v>201.156575103766</v>
      </c>
      <c r="O18" s="11" t="n">
        <f aca="false">IFERROR(J18*1000000/$E18,"")</f>
        <v>119.749570511151</v>
      </c>
      <c r="P18" s="16" t="n">
        <f aca="false">COUNTIFS($A$4:$A$1008,$A18,$N$4:$N$1008,"&gt;"&amp;N18)+1</f>
        <v>22</v>
      </c>
      <c r="Q18" s="16" t="n">
        <f aca="false">COUNTIFS($A$4:$A$1008,$A18,$O$4:$O$1008,"&gt;"&amp;O18)+1</f>
        <v>9</v>
      </c>
    </row>
    <row r="19" customFormat="false" ht="15" hidden="false" customHeight="false" outlineLevel="0" collapsed="false">
      <c r="A19" s="7" t="n">
        <v>2000</v>
      </c>
      <c r="B19" s="15" t="s">
        <v>125</v>
      </c>
      <c r="C19" s="15" t="s">
        <v>118</v>
      </c>
      <c r="D19" s="15" t="s">
        <v>126</v>
      </c>
      <c r="E19" s="9" t="n">
        <f aca="false">SUMIFS(Data!$L$2:$L$1006,Data!$A$2:$A$1006,$A19,Data!$B$2:$B$1006,$B19)</f>
        <v>470916</v>
      </c>
      <c r="F19" s="10" t="n">
        <f aca="false">SUMIFS(Data!$E$2:$E$1006,Data!$A$2:$A$1006,$A19,Data!$B$2:$B$1006,$B19)</f>
        <v>37.267162</v>
      </c>
      <c r="G19" s="10" t="n">
        <f aca="false">SUMIFS(Data!$F$2:$F$1006,Data!$A$2:$A$1006,$A19,Data!$B$2:$B$1006,$B19)</f>
        <v>62.963665</v>
      </c>
      <c r="H19" s="10" t="n">
        <f aca="false">SUMIFS(Data!$G$2:$G$1006,Data!$A$2:$A$1006,$A19,Data!$B$2:$B$1006,$B19)</f>
        <v>30.866316</v>
      </c>
      <c r="I19" s="10" t="n">
        <f aca="false">SUMIFS(Data!$N$2:$N$1006,Data!$A$2:$A$1006,$A19,Data!$B$2:$B$1006,$B19)</f>
        <v>131.097143</v>
      </c>
      <c r="J19" s="10" t="n">
        <f aca="false">SUMIFS(Data!$H$2:$H$1006,Data!$A$2:$A$1006,$A19,Data!$B$2:$B$1006,$B19)</f>
        <v>33.98422</v>
      </c>
      <c r="K19" s="11" t="n">
        <f aca="false">IFERROR(F19*1000000/$E19,"")</f>
        <v>79.1375999116615</v>
      </c>
      <c r="L19" s="11" t="n">
        <f aca="false">IFERROR(G19*1000000/$E19,"")</f>
        <v>133.704662827341</v>
      </c>
      <c r="M19" s="11" t="n">
        <f aca="false">IFERROR(H19*1000000/$E19,"")</f>
        <v>65.5452692199883</v>
      </c>
      <c r="N19" s="11" t="n">
        <f aca="false">IFERROR(I19*1000000/$E19,"")</f>
        <v>278.387531958991</v>
      </c>
      <c r="O19" s="11" t="n">
        <f aca="false">IFERROR(J19*1000000/$E19,"")</f>
        <v>72.1662037390957</v>
      </c>
      <c r="P19" s="16" t="n">
        <f aca="false">COUNTIFS($A$4:$A$1008,$A19,$N$4:$N$1008,"&gt;"&amp;N19)+1</f>
        <v>4</v>
      </c>
      <c r="Q19" s="16" t="n">
        <f aca="false">COUNTIFS($A$4:$A$1008,$A19,$O$4:$O$1008,"&gt;"&amp;O19)+1</f>
        <v>30</v>
      </c>
    </row>
    <row r="20" customFormat="false" ht="15" hidden="false" customHeight="false" outlineLevel="0" collapsed="false">
      <c r="A20" s="7" t="n">
        <v>2000</v>
      </c>
      <c r="B20" s="15" t="s">
        <v>127</v>
      </c>
      <c r="C20" s="15" t="s">
        <v>118</v>
      </c>
      <c r="D20" s="15" t="s">
        <v>103</v>
      </c>
      <c r="E20" s="9" t="n">
        <f aca="false">SUMIFS(Data!$L$2:$L$1006,Data!$A$2:$A$1006,$A20,Data!$B$2:$B$1006,$B20)</f>
        <v>643563</v>
      </c>
      <c r="F20" s="10" t="n">
        <f aca="false">SUMIFS(Data!$E$2:$E$1006,Data!$A$2:$A$1006,$A20,Data!$B$2:$B$1006,$B20)</f>
        <v>32.510727</v>
      </c>
      <c r="G20" s="10" t="n">
        <f aca="false">SUMIFS(Data!$F$2:$F$1006,Data!$A$2:$A$1006,$A20,Data!$B$2:$B$1006,$B20)</f>
        <v>37.399295</v>
      </c>
      <c r="H20" s="10" t="n">
        <f aca="false">SUMIFS(Data!$G$2:$G$1006,Data!$A$2:$A$1006,$A20,Data!$B$2:$B$1006,$B20)</f>
        <v>30.001245</v>
      </c>
      <c r="I20" s="10" t="n">
        <f aca="false">SUMIFS(Data!$N$2:$N$1006,Data!$A$2:$A$1006,$A20,Data!$B$2:$B$1006,$B20)</f>
        <v>99.911267</v>
      </c>
      <c r="J20" s="10" t="n">
        <f aca="false">SUMIFS(Data!$H$2:$H$1006,Data!$A$2:$A$1006,$A20,Data!$B$2:$B$1006,$B20)</f>
        <v>61.624265</v>
      </c>
      <c r="K20" s="11" t="n">
        <f aca="false">IFERROR(F20*1000000/$E20,"")</f>
        <v>50.5167745815095</v>
      </c>
      <c r="L20" s="11" t="n">
        <f aca="false">IFERROR(G20*1000000/$E20,"")</f>
        <v>58.1128731763635</v>
      </c>
      <c r="M20" s="11" t="n">
        <f aca="false">IFERROR(H20*1000000/$E20,"")</f>
        <v>46.6174174090182</v>
      </c>
      <c r="N20" s="11" t="n">
        <f aca="false">IFERROR(I20*1000000/$E20,"")</f>
        <v>155.247065166891</v>
      </c>
      <c r="O20" s="11" t="n">
        <f aca="false">IFERROR(J20*1000000/$E20,"")</f>
        <v>95.7548289755626</v>
      </c>
      <c r="P20" s="16" t="n">
        <f aca="false">COUNTIFS($A$4:$A$1008,$A20,$N$4:$N$1008,"&gt;"&amp;N20)+1</f>
        <v>35</v>
      </c>
      <c r="Q20" s="16" t="n">
        <f aca="false">COUNTIFS($A$4:$A$1008,$A20,$O$4:$O$1008,"&gt;"&amp;O20)+1</f>
        <v>23</v>
      </c>
    </row>
    <row r="21" customFormat="false" ht="15" hidden="false" customHeight="false" outlineLevel="0" collapsed="false">
      <c r="A21" s="7" t="n">
        <v>2000</v>
      </c>
      <c r="B21" s="15" t="s">
        <v>128</v>
      </c>
      <c r="C21" s="15" t="s">
        <v>118</v>
      </c>
      <c r="D21" s="15" t="s">
        <v>107</v>
      </c>
      <c r="E21" s="9" t="n">
        <f aca="false">SUMIFS(Data!$L$2:$L$1006,Data!$A$2:$A$1006,$A21,Data!$B$2:$B$1006,$B21)</f>
        <v>584250</v>
      </c>
      <c r="F21" s="10" t="n">
        <f aca="false">SUMIFS(Data!$E$2:$E$1006,Data!$A$2:$A$1006,$A21,Data!$B$2:$B$1006,$B21)</f>
        <v>36.874613</v>
      </c>
      <c r="G21" s="10" t="n">
        <f aca="false">SUMIFS(Data!$F$2:$F$1006,Data!$A$2:$A$1006,$A21,Data!$B$2:$B$1006,$B21)</f>
        <v>39.719021</v>
      </c>
      <c r="H21" s="10" t="n">
        <f aca="false">SUMIFS(Data!$G$2:$G$1006,Data!$A$2:$A$1006,$A21,Data!$B$2:$B$1006,$B21)</f>
        <v>28.698999</v>
      </c>
      <c r="I21" s="10" t="n">
        <f aca="false">SUMIFS(Data!$N$2:$N$1006,Data!$A$2:$A$1006,$A21,Data!$B$2:$B$1006,$B21)</f>
        <v>105.292633</v>
      </c>
      <c r="J21" s="10" t="n">
        <f aca="false">SUMIFS(Data!$H$2:$H$1006,Data!$A$2:$A$1006,$A21,Data!$B$2:$B$1006,$B21)</f>
        <v>67.116131</v>
      </c>
      <c r="K21" s="11" t="n">
        <f aca="false">IFERROR(F21*1000000/$E21,"")</f>
        <v>63.1144424475824</v>
      </c>
      <c r="L21" s="11" t="n">
        <f aca="false">IFERROR(G21*1000000/$E21,"")</f>
        <v>67.982919982884</v>
      </c>
      <c r="M21" s="11" t="n">
        <f aca="false">IFERROR(H21*1000000/$E21,"")</f>
        <v>49.1210937098845</v>
      </c>
      <c r="N21" s="11" t="n">
        <f aca="false">IFERROR(I21*1000000/$E21,"")</f>
        <v>180.218456140351</v>
      </c>
      <c r="O21" s="11" t="n">
        <f aca="false">IFERROR(J21*1000000/$E21,"")</f>
        <v>114.875705605477</v>
      </c>
      <c r="P21" s="16" t="n">
        <f aca="false">COUNTIFS($A$4:$A$1008,$A21,$N$4:$N$1008,"&gt;"&amp;N21)+1</f>
        <v>30</v>
      </c>
      <c r="Q21" s="16" t="n">
        <f aca="false">COUNTIFS($A$4:$A$1008,$A21,$O$4:$O$1008,"&gt;"&amp;O21)+1</f>
        <v>11</v>
      </c>
    </row>
    <row r="22" customFormat="false" ht="15" hidden="false" customHeight="false" outlineLevel="0" collapsed="false">
      <c r="A22" s="7" t="n">
        <v>2000</v>
      </c>
      <c r="B22" s="15" t="s">
        <v>129</v>
      </c>
      <c r="C22" s="15" t="s">
        <v>118</v>
      </c>
      <c r="D22" s="15" t="s">
        <v>107</v>
      </c>
      <c r="E22" s="9" t="n">
        <f aca="false">SUMIFS(Data!$L$2:$L$1006,Data!$A$2:$A$1006,$A22,Data!$B$2:$B$1006,$B22)</f>
        <v>1253848</v>
      </c>
      <c r="F22" s="10" t="n">
        <f aca="false">SUMIFS(Data!$E$2:$E$1006,Data!$A$2:$A$1006,$A22,Data!$B$2:$B$1006,$B22)</f>
        <v>114.074952</v>
      </c>
      <c r="G22" s="10" t="n">
        <f aca="false">SUMIFS(Data!$F$2:$F$1006,Data!$A$2:$A$1006,$A22,Data!$B$2:$B$1006,$B22)</f>
        <v>166.304142</v>
      </c>
      <c r="H22" s="10" t="n">
        <f aca="false">SUMIFS(Data!$G$2:$G$1006,Data!$A$2:$A$1006,$A22,Data!$B$2:$B$1006,$B22)</f>
        <v>78.237012</v>
      </c>
      <c r="I22" s="10" t="n">
        <f aca="false">SUMIFS(Data!$N$2:$N$1006,Data!$A$2:$A$1006,$A22,Data!$B$2:$B$1006,$B22)</f>
        <v>358.616106</v>
      </c>
      <c r="J22" s="10" t="n">
        <f aca="false">SUMIFS(Data!$H$2:$H$1006,Data!$A$2:$A$1006,$A22,Data!$B$2:$B$1006,$B22)</f>
        <v>41.831145</v>
      </c>
      <c r="K22" s="11" t="n">
        <f aca="false">IFERROR(F22*1000000/$E22,"")</f>
        <v>90.9798891093657</v>
      </c>
      <c r="L22" s="11" t="n">
        <f aca="false">IFERROR(G22*1000000/$E22,"")</f>
        <v>132.635009985261</v>
      </c>
      <c r="M22" s="11" t="n">
        <f aca="false">IFERROR(H22*1000000/$E22,"")</f>
        <v>62.3975250588588</v>
      </c>
      <c r="N22" s="11" t="n">
        <f aca="false">IFERROR(I22*1000000/$E22,"")</f>
        <v>286.012424153486</v>
      </c>
      <c r="O22" s="11" t="n">
        <f aca="false">IFERROR(J22*1000000/$E22,"")</f>
        <v>33.3622137611577</v>
      </c>
      <c r="P22" s="16" t="n">
        <f aca="false">COUNTIFS($A$4:$A$1008,$A22,$N$4:$N$1008,"&gt;"&amp;N22)+1</f>
        <v>3</v>
      </c>
      <c r="Q22" s="16" t="n">
        <f aca="false">COUNTIFS($A$4:$A$1008,$A22,$O$4:$O$1008,"&gt;"&amp;O22)+1</f>
        <v>39</v>
      </c>
    </row>
    <row r="23" customFormat="false" ht="15" hidden="false" customHeight="false" outlineLevel="0" collapsed="false">
      <c r="A23" s="7" t="n">
        <v>2000</v>
      </c>
      <c r="B23" s="15" t="s">
        <v>130</v>
      </c>
      <c r="C23" s="15" t="s">
        <v>118</v>
      </c>
      <c r="D23" s="15" t="s">
        <v>107</v>
      </c>
      <c r="E23" s="9" t="n">
        <f aca="false">SUMIFS(Data!$L$2:$L$1006,Data!$A$2:$A$1006,$A23,Data!$B$2:$B$1006,$B23)</f>
        <v>1273336</v>
      </c>
      <c r="F23" s="10" t="n">
        <f aca="false">SUMIFS(Data!$E$2:$E$1006,Data!$A$2:$A$1006,$A23,Data!$B$2:$B$1006,$B23)</f>
        <v>109.780592</v>
      </c>
      <c r="G23" s="10" t="n">
        <f aca="false">SUMIFS(Data!$F$2:$F$1006,Data!$A$2:$A$1006,$A23,Data!$B$2:$B$1006,$B23)</f>
        <v>68.518118</v>
      </c>
      <c r="H23" s="10" t="n">
        <f aca="false">SUMIFS(Data!$G$2:$G$1006,Data!$A$2:$A$1006,$A23,Data!$B$2:$B$1006,$B23)</f>
        <v>80.830281</v>
      </c>
      <c r="I23" s="10" t="n">
        <f aca="false">SUMIFS(Data!$N$2:$N$1006,Data!$A$2:$A$1006,$A23,Data!$B$2:$B$1006,$B23)</f>
        <v>259.128991</v>
      </c>
      <c r="J23" s="10" t="n">
        <f aca="false">SUMIFS(Data!$H$2:$H$1006,Data!$A$2:$A$1006,$A23,Data!$B$2:$B$1006,$B23)</f>
        <v>110.995037</v>
      </c>
      <c r="K23" s="11" t="n">
        <f aca="false">IFERROR(F23*1000000/$E23,"")</f>
        <v>86.2149440524732</v>
      </c>
      <c r="L23" s="11" t="n">
        <f aca="false">IFERROR(G23*1000000/$E23,"")</f>
        <v>53.8099276231882</v>
      </c>
      <c r="M23" s="11" t="n">
        <f aca="false">IFERROR(H23*1000000/$E23,"")</f>
        <v>63.4791453316328</v>
      </c>
      <c r="N23" s="11" t="n">
        <f aca="false">IFERROR(I23*1000000/$E23,"")</f>
        <v>203.504017007294</v>
      </c>
      <c r="O23" s="11" t="n">
        <f aca="false">IFERROR(J23*1000000/$E23,"")</f>
        <v>87.1686946728907</v>
      </c>
      <c r="P23" s="16" t="n">
        <f aca="false">COUNTIFS($A$4:$A$1008,$A23,$N$4:$N$1008,"&gt;"&amp;N23)+1</f>
        <v>19</v>
      </c>
      <c r="Q23" s="16" t="n">
        <f aca="false">COUNTIFS($A$4:$A$1008,$A23,$O$4:$O$1008,"&gt;"&amp;O23)+1</f>
        <v>27</v>
      </c>
    </row>
    <row r="24" customFormat="false" ht="15" hidden="false" customHeight="false" outlineLevel="0" collapsed="false">
      <c r="A24" s="7" t="n">
        <v>2000</v>
      </c>
      <c r="B24" s="15" t="s">
        <v>131</v>
      </c>
      <c r="C24" s="15" t="s">
        <v>118</v>
      </c>
      <c r="D24" s="15" t="s">
        <v>132</v>
      </c>
      <c r="E24" s="9" t="n">
        <f aca="false">SUMIFS(Data!$L$2:$L$1006,Data!$A$2:$A$1006,$A24,Data!$B$2:$B$1006,$B24)</f>
        <v>711382</v>
      </c>
      <c r="F24" s="10" t="n">
        <f aca="false">SUMIFS(Data!$E$2:$E$1006,Data!$A$2:$A$1006,$A24,Data!$B$2:$B$1006,$B24)</f>
        <v>63.710745</v>
      </c>
      <c r="G24" s="10" t="n">
        <f aca="false">SUMIFS(Data!$F$2:$F$1006,Data!$A$2:$A$1006,$A24,Data!$B$2:$B$1006,$B24)</f>
        <v>49.513469</v>
      </c>
      <c r="H24" s="10" t="n">
        <f aca="false">SUMIFS(Data!$G$2:$G$1006,Data!$A$2:$A$1006,$A24,Data!$B$2:$B$1006,$B24)</f>
        <v>101.951988</v>
      </c>
      <c r="I24" s="10" t="n">
        <f aca="false">SUMIFS(Data!$N$2:$N$1006,Data!$A$2:$A$1006,$A24,Data!$B$2:$B$1006,$B24)</f>
        <v>215.176202</v>
      </c>
      <c r="J24" s="10" t="n">
        <f aca="false">SUMIFS(Data!$H$2:$H$1006,Data!$A$2:$A$1006,$A24,Data!$B$2:$B$1006,$B24)</f>
        <v>121.031791</v>
      </c>
      <c r="K24" s="11" t="n">
        <f aca="false">IFERROR(F24*1000000/$E24,"")</f>
        <v>89.559118729459</v>
      </c>
      <c r="L24" s="11" t="n">
        <f aca="false">IFERROR(G24*1000000/$E24,"")</f>
        <v>69.6018018448597</v>
      </c>
      <c r="M24" s="11" t="n">
        <f aca="false">IFERROR(H24*1000000/$E24,"")</f>
        <v>143.315388919034</v>
      </c>
      <c r="N24" s="11" t="n">
        <f aca="false">IFERROR(I24*1000000/$E24,"")</f>
        <v>302.476309493352</v>
      </c>
      <c r="O24" s="11" t="n">
        <f aca="false">IFERROR(J24*1000000/$E24,"")</f>
        <v>170.136144856069</v>
      </c>
      <c r="P24" s="16" t="n">
        <f aca="false">COUNTIFS($A$4:$A$1008,$A24,$N$4:$N$1008,"&gt;"&amp;N24)+1</f>
        <v>2</v>
      </c>
      <c r="Q24" s="16" t="n">
        <f aca="false">COUNTIFS($A$4:$A$1008,$A24,$O$4:$O$1008,"&gt;"&amp;O24)+1</f>
        <v>1</v>
      </c>
    </row>
    <row r="25" customFormat="false" ht="15" hidden="false" customHeight="false" outlineLevel="0" collapsed="false">
      <c r="A25" s="7" t="n">
        <v>2000</v>
      </c>
      <c r="B25" s="15" t="s">
        <v>133</v>
      </c>
      <c r="C25" s="15" t="s">
        <v>118</v>
      </c>
      <c r="D25" s="15" t="s">
        <v>105</v>
      </c>
      <c r="E25" s="9" t="n">
        <f aca="false">SUMIFS(Data!$L$2:$L$1006,Data!$A$2:$A$1006,$A25,Data!$B$2:$B$1006,$B25)</f>
        <v>1981851</v>
      </c>
      <c r="F25" s="10" t="n">
        <f aca="false">SUMIFS(Data!$E$2:$E$1006,Data!$A$2:$A$1006,$A25,Data!$B$2:$B$1006,$B25)</f>
        <v>123.633904</v>
      </c>
      <c r="G25" s="10" t="n">
        <f aca="false">SUMIFS(Data!$F$2:$F$1006,Data!$A$2:$A$1006,$A25,Data!$B$2:$B$1006,$B25)</f>
        <v>163.652429</v>
      </c>
      <c r="H25" s="10" t="n">
        <f aca="false">SUMIFS(Data!$G$2:$G$1006,Data!$A$2:$A$1006,$A25,Data!$B$2:$B$1006,$B25)</f>
        <v>4.478765</v>
      </c>
      <c r="I25" s="10" t="n">
        <f aca="false">SUMIFS(Data!$N$2:$N$1006,Data!$A$2:$A$1006,$A25,Data!$B$2:$B$1006,$B25)</f>
        <v>291.765098</v>
      </c>
      <c r="J25" s="10" t="n">
        <f aca="false">SUMIFS(Data!$H$2:$H$1006,Data!$A$2:$A$1006,$A25,Data!$B$2:$B$1006,$B25)</f>
        <v>173.61147</v>
      </c>
      <c r="K25" s="11" t="n">
        <f aca="false">IFERROR(F25*1000000/$E25,"")</f>
        <v>62.3830469596352</v>
      </c>
      <c r="L25" s="11" t="n">
        <f aca="false">IFERROR(G25*1000000/$E25,"")</f>
        <v>82.5755462948526</v>
      </c>
      <c r="M25" s="11" t="n">
        <f aca="false">IFERROR(H25*1000000/$E25,"")</f>
        <v>2.25988987063104</v>
      </c>
      <c r="N25" s="11" t="n">
        <f aca="false">IFERROR(I25*1000000/$E25,"")</f>
        <v>147.218483125119</v>
      </c>
      <c r="O25" s="11" t="n">
        <f aca="false">IFERROR(J25*1000000/$E25,"")</f>
        <v>87.6006672550056</v>
      </c>
      <c r="P25" s="16" t="n">
        <f aca="false">COUNTIFS($A$4:$A$1008,$A25,$N$4:$N$1008,"&gt;"&amp;N25)+1</f>
        <v>37</v>
      </c>
      <c r="Q25" s="16" t="n">
        <f aca="false">COUNTIFS($A$4:$A$1008,$A25,$O$4:$O$1008,"&gt;"&amp;O25)+1</f>
        <v>26</v>
      </c>
    </row>
    <row r="26" customFormat="false" ht="15" hidden="false" customHeight="false" outlineLevel="0" collapsed="false">
      <c r="A26" s="7" t="n">
        <v>2000</v>
      </c>
      <c r="B26" s="15" t="s">
        <v>134</v>
      </c>
      <c r="C26" s="15" t="s">
        <v>135</v>
      </c>
      <c r="D26" s="15" t="s">
        <v>136</v>
      </c>
      <c r="E26" s="9" t="n">
        <f aca="false">SUMIFS(Data!$L$2:$L$1006,Data!$A$2:$A$1006,$A26,Data!$B$2:$B$1006,$B26)</f>
        <v>129789</v>
      </c>
      <c r="F26" s="10" t="n">
        <f aca="false">SUMIFS(Data!$E$2:$E$1006,Data!$A$2:$A$1006,$A26,Data!$B$2:$B$1006,$B26)</f>
        <v>12.484589</v>
      </c>
      <c r="G26" s="10" t="n">
        <f aca="false">SUMIFS(Data!$F$2:$F$1006,Data!$A$2:$A$1006,$A26,Data!$B$2:$B$1006,$B26)</f>
        <v>25.58908</v>
      </c>
      <c r="H26" s="10" t="n">
        <f aca="false">SUMIFS(Data!$G$2:$G$1006,Data!$A$2:$A$1006,$A26,Data!$B$2:$B$1006,$B26)</f>
        <v>10.071165</v>
      </c>
      <c r="I26" s="10" t="n">
        <f aca="false">SUMIFS(Data!$N$2:$N$1006,Data!$A$2:$A$1006,$A26,Data!$B$2:$B$1006,$B26)</f>
        <v>48.144834</v>
      </c>
      <c r="J26" s="10" t="n">
        <f aca="false">SUMIFS(Data!$H$2:$H$1006,Data!$A$2:$A$1006,$A26,Data!$B$2:$B$1006,$B26)</f>
        <v>8.930011</v>
      </c>
      <c r="K26" s="11" t="n">
        <f aca="false">IFERROR(F26*1000000/$E26,"")</f>
        <v>96.1914260838746</v>
      </c>
      <c r="L26" s="11" t="n">
        <f aca="false">IFERROR(G26*1000000/$E26,"")</f>
        <v>197.159081278074</v>
      </c>
      <c r="M26" s="11" t="n">
        <f aca="false">IFERROR(H26*1000000/$E26,"")</f>
        <v>77.596444999191</v>
      </c>
      <c r="N26" s="11" t="n">
        <f aca="false">IFERROR(I26*1000000/$E26,"")</f>
        <v>370.94695236114</v>
      </c>
      <c r="O26" s="11" t="n">
        <f aca="false">IFERROR(J26*1000000/$E26,"")</f>
        <v>68.8040666004053</v>
      </c>
      <c r="P26" s="16" t="n">
        <f aca="false">COUNTIFS($A$4:$A$1008,$A26,$N$4:$N$1008,"&gt;"&amp;N26)+1</f>
        <v>1</v>
      </c>
      <c r="Q26" s="16" t="n">
        <f aca="false">COUNTIFS($A$4:$A$1008,$A26,$O$4:$O$1008,"&gt;"&amp;O26)+1</f>
        <v>33</v>
      </c>
    </row>
    <row r="27" customFormat="false" ht="15" hidden="false" customHeight="false" outlineLevel="0" collapsed="false">
      <c r="A27" s="7" t="n">
        <v>2000</v>
      </c>
      <c r="B27" s="15" t="s">
        <v>137</v>
      </c>
      <c r="C27" s="15" t="s">
        <v>135</v>
      </c>
      <c r="D27" s="15" t="s">
        <v>138</v>
      </c>
      <c r="E27" s="9" t="n">
        <f aca="false">SUMIFS(Data!$L$2:$L$1006,Data!$A$2:$A$1006,$A27,Data!$B$2:$B$1006,$B27)</f>
        <v>1677235</v>
      </c>
      <c r="F27" s="10" t="n">
        <f aca="false">SUMIFS(Data!$E$2:$E$1006,Data!$A$2:$A$1006,$A27,Data!$B$2:$B$1006,$B27)</f>
        <v>93.482606</v>
      </c>
      <c r="G27" s="10" t="n">
        <f aca="false">SUMIFS(Data!$F$2:$F$1006,Data!$A$2:$A$1006,$A27,Data!$B$2:$B$1006,$B27)</f>
        <v>53.90191</v>
      </c>
      <c r="H27" s="10" t="n">
        <f aca="false">SUMIFS(Data!$G$2:$G$1006,Data!$A$2:$A$1006,$A27,Data!$B$2:$B$1006,$B27)</f>
        <v>96.7413</v>
      </c>
      <c r="I27" s="10" t="n">
        <f aca="false">SUMIFS(Data!$N$2:$N$1006,Data!$A$2:$A$1006,$A27,Data!$B$2:$B$1006,$B27)</f>
        <v>244.125816</v>
      </c>
      <c r="J27" s="10" t="n">
        <f aca="false">SUMIFS(Data!$H$2:$H$1006,Data!$A$2:$A$1006,$A27,Data!$B$2:$B$1006,$B27)</f>
        <v>176.409177</v>
      </c>
      <c r="K27" s="11" t="n">
        <f aca="false">IFERROR(F27*1000000/$E27,"")</f>
        <v>55.7361407316208</v>
      </c>
      <c r="L27" s="11" t="n">
        <f aca="false">IFERROR(G27*1000000/$E27,"")</f>
        <v>32.1373629813354</v>
      </c>
      <c r="M27" s="11" t="n">
        <f aca="false">IFERROR(H27*1000000/$E27,"")</f>
        <v>57.6790372249566</v>
      </c>
      <c r="N27" s="11" t="n">
        <f aca="false">IFERROR(I27*1000000/$E27,"")</f>
        <v>145.552540937913</v>
      </c>
      <c r="O27" s="11" t="n">
        <f aca="false">IFERROR(J27*1000000/$E27,"")</f>
        <v>105.178568894639</v>
      </c>
      <c r="P27" s="16" t="n">
        <f aca="false">COUNTIFS($A$4:$A$1008,$A27,$N$4:$N$1008,"&gt;"&amp;N27)+1</f>
        <v>38</v>
      </c>
      <c r="Q27" s="16" t="n">
        <f aca="false">COUNTIFS($A$4:$A$1008,$A27,$O$4:$O$1008,"&gt;"&amp;O27)+1</f>
        <v>16</v>
      </c>
    </row>
    <row r="28" customFormat="false" ht="15" hidden="false" customHeight="false" outlineLevel="0" collapsed="false">
      <c r="A28" s="7" t="n">
        <v>2000</v>
      </c>
      <c r="B28" s="15" t="s">
        <v>139</v>
      </c>
      <c r="C28" s="15" t="s">
        <v>135</v>
      </c>
      <c r="D28" s="15" t="s">
        <v>138</v>
      </c>
      <c r="E28" s="9" t="n">
        <f aca="false">SUMIFS(Data!$L$2:$L$1006,Data!$A$2:$A$1006,$A28,Data!$B$2:$B$1006,$B28)</f>
        <v>2101124</v>
      </c>
      <c r="F28" s="10" t="n">
        <f aca="false">SUMIFS(Data!$E$2:$E$1006,Data!$A$2:$A$1006,$A28,Data!$B$2:$B$1006,$B28)</f>
        <v>173.381831</v>
      </c>
      <c r="G28" s="10" t="n">
        <f aca="false">SUMIFS(Data!$F$2:$F$1006,Data!$A$2:$A$1006,$A28,Data!$B$2:$B$1006,$B28)</f>
        <v>94.971947</v>
      </c>
      <c r="H28" s="10" t="n">
        <f aca="false">SUMIFS(Data!$G$2:$G$1006,Data!$A$2:$A$1006,$A28,Data!$B$2:$B$1006,$B28)</f>
        <v>169.1</v>
      </c>
      <c r="I28" s="10" t="n">
        <f aca="false">SUMIFS(Data!$N$2:$N$1006,Data!$A$2:$A$1006,$A28,Data!$B$2:$B$1006,$B28)</f>
        <v>437.453778</v>
      </c>
      <c r="J28" s="10" t="n">
        <f aca="false">SUMIFS(Data!$H$2:$H$1006,Data!$A$2:$A$1006,$A28,Data!$B$2:$B$1006,$B28)</f>
        <v>253.76159</v>
      </c>
      <c r="K28" s="11" t="n">
        <f aca="false">IFERROR(F28*1000000/$E28,"")</f>
        <v>82.5186095632623</v>
      </c>
      <c r="L28" s="11" t="n">
        <f aca="false">IFERROR(G28*1000000/$E28,"")</f>
        <v>45.2005436137991</v>
      </c>
      <c r="M28" s="11" t="n">
        <f aca="false">IFERROR(H28*1000000/$E28,"")</f>
        <v>80.4807331694845</v>
      </c>
      <c r="N28" s="11" t="n">
        <f aca="false">IFERROR(I28*1000000/$E28,"")</f>
        <v>208.199886346546</v>
      </c>
      <c r="O28" s="11" t="n">
        <f aca="false">IFERROR(J28*1000000/$E28,"")</f>
        <v>120.774209423147</v>
      </c>
      <c r="P28" s="16" t="n">
        <f aca="false">COUNTIFS($A$4:$A$1008,$A28,$N$4:$N$1008,"&gt;"&amp;N28)+1</f>
        <v>17</v>
      </c>
      <c r="Q28" s="16" t="n">
        <f aca="false">COUNTIFS($A$4:$A$1008,$A28,$O$4:$O$1008,"&gt;"&amp;O28)+1</f>
        <v>8</v>
      </c>
    </row>
    <row r="29" customFormat="false" ht="15" hidden="false" customHeight="false" outlineLevel="0" collapsed="false">
      <c r="A29" s="7" t="n">
        <v>2000</v>
      </c>
      <c r="B29" s="15" t="s">
        <v>140</v>
      </c>
      <c r="C29" s="15" t="s">
        <v>135</v>
      </c>
      <c r="D29" s="15" t="s">
        <v>141</v>
      </c>
      <c r="E29" s="9" t="n">
        <f aca="false">SUMIFS(Data!$L$2:$L$1006,Data!$A$2:$A$1006,$A29,Data!$B$2:$B$1006,$B29)</f>
        <v>710524</v>
      </c>
      <c r="F29" s="10" t="n">
        <f aca="false">SUMIFS(Data!$E$2:$E$1006,Data!$A$2:$A$1006,$A29,Data!$B$2:$B$1006,$B29)</f>
        <v>36.946253</v>
      </c>
      <c r="G29" s="10" t="n">
        <f aca="false">SUMIFS(Data!$F$2:$F$1006,Data!$A$2:$A$1006,$A29,Data!$B$2:$B$1006,$B29)</f>
        <v>27.044289</v>
      </c>
      <c r="H29" s="10" t="n">
        <f aca="false">SUMIFS(Data!$G$2:$G$1006,Data!$A$2:$A$1006,$A29,Data!$B$2:$B$1006,$B29)</f>
        <v>49.263285</v>
      </c>
      <c r="I29" s="10" t="n">
        <f aca="false">SUMIFS(Data!$N$2:$N$1006,Data!$A$2:$A$1006,$A29,Data!$B$2:$B$1006,$B29)</f>
        <v>113.253827</v>
      </c>
      <c r="J29" s="10" t="n">
        <f aca="false">SUMIFS(Data!$H$2:$H$1006,Data!$A$2:$A$1006,$A29,Data!$B$2:$B$1006,$B29)</f>
        <v>73.768481</v>
      </c>
      <c r="K29" s="11" t="n">
        <f aca="false">IFERROR(F29*1000000/$E29,"")</f>
        <v>51.9985996250654</v>
      </c>
      <c r="L29" s="11" t="n">
        <f aca="false">IFERROR(G29*1000000/$E29,"")</f>
        <v>38.0624567220812</v>
      </c>
      <c r="M29" s="11" t="n">
        <f aca="false">IFERROR(H29*1000000/$E29,"")</f>
        <v>69.3337381988504</v>
      </c>
      <c r="N29" s="11" t="n">
        <f aca="false">IFERROR(I29*1000000/$E29,"")</f>
        <v>159.394794545997</v>
      </c>
      <c r="O29" s="11" t="n">
        <f aca="false">IFERROR(J29*1000000/$E29,"")</f>
        <v>103.82264497751</v>
      </c>
      <c r="P29" s="16" t="n">
        <f aca="false">COUNTIFS($A$4:$A$1008,$A29,$N$4:$N$1008,"&gt;"&amp;N29)+1</f>
        <v>34</v>
      </c>
      <c r="Q29" s="16" t="n">
        <f aca="false">COUNTIFS($A$4:$A$1008,$A29,$O$4:$O$1008,"&gt;"&amp;O29)+1</f>
        <v>17</v>
      </c>
    </row>
    <row r="30" customFormat="false" ht="15" hidden="false" customHeight="false" outlineLevel="0" collapsed="false">
      <c r="A30" s="7" t="n">
        <v>2000</v>
      </c>
      <c r="B30" s="15" t="s">
        <v>142</v>
      </c>
      <c r="C30" s="15" t="s">
        <v>135</v>
      </c>
      <c r="D30" s="15" t="s">
        <v>143</v>
      </c>
      <c r="E30" s="9" t="n">
        <f aca="false">SUMIFS(Data!$L$2:$L$1006,Data!$A$2:$A$1006,$A30,Data!$B$2:$B$1006,$B30)</f>
        <v>562200</v>
      </c>
      <c r="F30" s="10" t="n">
        <f aca="false">SUMIFS(Data!$E$2:$E$1006,Data!$A$2:$A$1006,$A30,Data!$B$2:$B$1006,$B30)</f>
        <v>44.086023</v>
      </c>
      <c r="G30" s="10" t="n">
        <f aca="false">SUMIFS(Data!$F$2:$F$1006,Data!$A$2:$A$1006,$A30,Data!$B$2:$B$1006,$B30)</f>
        <v>27.675472</v>
      </c>
      <c r="H30" s="10" t="n">
        <f aca="false">SUMIFS(Data!$G$2:$G$1006,Data!$A$2:$A$1006,$A30,Data!$B$2:$B$1006,$B30)</f>
        <v>34.153312</v>
      </c>
      <c r="I30" s="10" t="n">
        <f aca="false">SUMIFS(Data!$N$2:$N$1006,Data!$A$2:$A$1006,$A30,Data!$B$2:$B$1006,$B30)</f>
        <v>105.914807</v>
      </c>
      <c r="J30" s="10" t="n">
        <f aca="false">SUMIFS(Data!$H$2:$H$1006,Data!$A$2:$A$1006,$A30,Data!$B$2:$B$1006,$B30)</f>
        <v>57.79926</v>
      </c>
      <c r="K30" s="11" t="n">
        <f aca="false">IFERROR(F30*1000000/$E30,"")</f>
        <v>78.4169743863394</v>
      </c>
      <c r="L30" s="11" t="n">
        <f aca="false">IFERROR(G30*1000000/$E30,"")</f>
        <v>49.2270935610103</v>
      </c>
      <c r="M30" s="11" t="n">
        <f aca="false">IFERROR(H30*1000000/$E30,"")</f>
        <v>60.749398790466</v>
      </c>
      <c r="N30" s="11" t="n">
        <f aca="false">IFERROR(I30*1000000/$E30,"")</f>
        <v>188.393466737816</v>
      </c>
      <c r="O30" s="11" t="n">
        <f aca="false">IFERROR(J30*1000000/$E30,"")</f>
        <v>102.809071504803</v>
      </c>
      <c r="P30" s="16" t="n">
        <f aca="false">COUNTIFS($A$4:$A$1008,$A30,$N$4:$N$1008,"&gt;"&amp;N30)+1</f>
        <v>24</v>
      </c>
      <c r="Q30" s="16" t="n">
        <f aca="false">COUNTIFS($A$4:$A$1008,$A30,$O$4:$O$1008,"&gt;"&amp;O30)+1</f>
        <v>19</v>
      </c>
    </row>
    <row r="31" customFormat="false" ht="15" hidden="false" customHeight="false" outlineLevel="0" collapsed="false">
      <c r="A31" s="7" t="n">
        <v>2000</v>
      </c>
      <c r="B31" s="15" t="s">
        <v>144</v>
      </c>
      <c r="C31" s="15" t="s">
        <v>135</v>
      </c>
      <c r="D31" s="15" t="s">
        <v>141</v>
      </c>
      <c r="E31" s="9" t="n">
        <f aca="false">SUMIFS(Data!$L$2:$L$1006,Data!$A$2:$A$1006,$A31,Data!$B$2:$B$1006,$B31)</f>
        <v>436045</v>
      </c>
      <c r="F31" s="10" t="n">
        <f aca="false">SUMIFS(Data!$E$2:$E$1006,Data!$A$2:$A$1006,$A31,Data!$B$2:$B$1006,$B31)</f>
        <v>31.212418</v>
      </c>
      <c r="G31" s="10" t="n">
        <f aca="false">SUMIFS(Data!$F$2:$F$1006,Data!$A$2:$A$1006,$A31,Data!$B$2:$B$1006,$B31)</f>
        <v>23.21739</v>
      </c>
      <c r="H31" s="10" t="n">
        <f aca="false">SUMIFS(Data!$G$2:$G$1006,Data!$A$2:$A$1006,$A31,Data!$B$2:$B$1006,$B31)</f>
        <v>38.944999</v>
      </c>
      <c r="I31" s="10" t="n">
        <f aca="false">SUMIFS(Data!$N$2:$N$1006,Data!$A$2:$A$1006,$A31,Data!$B$2:$B$1006,$B31)</f>
        <v>93.374807</v>
      </c>
      <c r="J31" s="10" t="n">
        <f aca="false">SUMIFS(Data!$H$2:$H$1006,Data!$A$2:$A$1006,$A31,Data!$B$2:$B$1006,$B31)</f>
        <v>41.111423</v>
      </c>
      <c r="K31" s="11" t="n">
        <f aca="false">IFERROR(F31*1000000/$E31,"")</f>
        <v>71.5807267598528</v>
      </c>
      <c r="L31" s="11" t="n">
        <f aca="false">IFERROR(G31*1000000/$E31,"")</f>
        <v>53.2453989840498</v>
      </c>
      <c r="M31" s="11" t="n">
        <f aca="false">IFERROR(H31*1000000/$E31,"")</f>
        <v>89.3141739958032</v>
      </c>
      <c r="N31" s="11" t="n">
        <f aca="false">IFERROR(I31*1000000/$E31,"")</f>
        <v>214.140299739706</v>
      </c>
      <c r="O31" s="11" t="n">
        <f aca="false">IFERROR(J31*1000000/$E31,"")</f>
        <v>94.2825235927485</v>
      </c>
      <c r="P31" s="16" t="n">
        <f aca="false">COUNTIFS($A$4:$A$1008,$A31,$N$4:$N$1008,"&gt;"&amp;N31)+1</f>
        <v>15</v>
      </c>
      <c r="Q31" s="16" t="n">
        <f aca="false">COUNTIFS($A$4:$A$1008,$A31,$O$4:$O$1008,"&gt;"&amp;O31)+1</f>
        <v>24</v>
      </c>
    </row>
    <row r="32" customFormat="false" ht="15" hidden="false" customHeight="false" outlineLevel="0" collapsed="false">
      <c r="A32" s="7" t="n">
        <v>2000</v>
      </c>
      <c r="B32" s="15" t="s">
        <v>145</v>
      </c>
      <c r="C32" s="15" t="s">
        <v>135</v>
      </c>
      <c r="D32" s="15" t="s">
        <v>146</v>
      </c>
      <c r="E32" s="9" t="n">
        <f aca="false">SUMIFS(Data!$L$2:$L$1006,Data!$A$2:$A$1006,$A32,Data!$B$2:$B$1006,$B32)</f>
        <v>513625</v>
      </c>
      <c r="F32" s="10" t="n">
        <f aca="false">SUMIFS(Data!$E$2:$E$1006,Data!$A$2:$A$1006,$A32,Data!$B$2:$B$1006,$B32)</f>
        <v>30.818884</v>
      </c>
      <c r="G32" s="10" t="n">
        <f aca="false">SUMIFS(Data!$F$2:$F$1006,Data!$A$2:$A$1006,$A32,Data!$B$2:$B$1006,$B32)</f>
        <v>52.584963</v>
      </c>
      <c r="H32" s="10" t="n">
        <f aca="false">SUMIFS(Data!$G$2:$G$1006,Data!$A$2:$A$1006,$A32,Data!$B$2:$B$1006,$B32)</f>
        <v>37.033</v>
      </c>
      <c r="I32" s="10" t="n">
        <f aca="false">SUMIFS(Data!$N$2:$N$1006,Data!$A$2:$A$1006,$A32,Data!$B$2:$B$1006,$B32)</f>
        <v>120.436847</v>
      </c>
      <c r="J32" s="10" t="n">
        <f aca="false">SUMIFS(Data!$H$2:$H$1006,Data!$A$2:$A$1006,$A32,Data!$B$2:$B$1006,$B32)</f>
        <v>70.787685</v>
      </c>
      <c r="K32" s="11" t="n">
        <f aca="false">IFERROR(F32*1000000/$E32,"")</f>
        <v>60.0026945728888</v>
      </c>
      <c r="L32" s="11" t="n">
        <f aca="false">IFERROR(G32*1000000/$E32,"")</f>
        <v>102.380069116573</v>
      </c>
      <c r="M32" s="11" t="n">
        <f aca="false">IFERROR(H32*1000000/$E32,"")</f>
        <v>72.1012411779022</v>
      </c>
      <c r="N32" s="11" t="n">
        <f aca="false">IFERROR(I32*1000000/$E32,"")</f>
        <v>234.484004867364</v>
      </c>
      <c r="O32" s="11" t="n">
        <f aca="false">IFERROR(J32*1000000/$E32,"")</f>
        <v>137.819780968606</v>
      </c>
      <c r="P32" s="16" t="n">
        <f aca="false">COUNTIFS($A$4:$A$1008,$A32,$N$4:$N$1008,"&gt;"&amp;N32)+1</f>
        <v>9</v>
      </c>
      <c r="Q32" s="16" t="n">
        <f aca="false">COUNTIFS($A$4:$A$1008,$A32,$O$4:$O$1008,"&gt;"&amp;O32)+1</f>
        <v>4</v>
      </c>
    </row>
    <row r="33" customFormat="false" ht="15" hidden="false" customHeight="false" outlineLevel="0" collapsed="false">
      <c r="A33" s="7" t="n">
        <v>2000</v>
      </c>
      <c r="B33" s="15" t="s">
        <v>147</v>
      </c>
      <c r="C33" s="15" t="s">
        <v>135</v>
      </c>
      <c r="D33" s="15" t="s">
        <v>148</v>
      </c>
      <c r="E33" s="9" t="n">
        <f aca="false">SUMIFS(Data!$L$2:$L$1006,Data!$A$2:$A$1006,$A33,Data!$B$2:$B$1006,$B33)</f>
        <v>126147</v>
      </c>
      <c r="F33" s="10" t="n">
        <f aca="false">SUMIFS(Data!$E$2:$E$1006,Data!$A$2:$A$1006,$A33,Data!$B$2:$B$1006,$B33)</f>
        <v>7.862895</v>
      </c>
      <c r="G33" s="10" t="n">
        <f aca="false">SUMIFS(Data!$F$2:$F$1006,Data!$A$2:$A$1006,$A33,Data!$B$2:$B$1006,$B33)</f>
        <v>10.029951</v>
      </c>
      <c r="H33" s="10" t="n">
        <f aca="false">SUMIFS(Data!$G$2:$G$1006,Data!$A$2:$A$1006,$A33,Data!$B$2:$B$1006,$B33)</f>
        <v>5.489966</v>
      </c>
      <c r="I33" s="10" t="n">
        <f aca="false">SUMIFS(Data!$N$2:$N$1006,Data!$A$2:$A$1006,$A33,Data!$B$2:$B$1006,$B33)</f>
        <v>23.382812</v>
      </c>
      <c r="J33" s="10" t="n">
        <f aca="false">SUMIFS(Data!$H$2:$H$1006,Data!$A$2:$A$1006,$A33,Data!$B$2:$B$1006,$B33)</f>
        <v>10.338071</v>
      </c>
      <c r="K33" s="11" t="n">
        <f aca="false">IFERROR(F33*1000000/$E33,"")</f>
        <v>62.3312088277961</v>
      </c>
      <c r="L33" s="11" t="n">
        <f aca="false">IFERROR(G33*1000000/$E33,"")</f>
        <v>79.5100240195962</v>
      </c>
      <c r="M33" s="11" t="n">
        <f aca="false">IFERROR(H33*1000000/$E33,"")</f>
        <v>43.5203849477197</v>
      </c>
      <c r="N33" s="11" t="n">
        <f aca="false">IFERROR(I33*1000000/$E33,"")</f>
        <v>185.361617795112</v>
      </c>
      <c r="O33" s="11" t="n">
        <f aca="false">IFERROR(J33*1000000/$E33,"")</f>
        <v>81.9525712066082</v>
      </c>
      <c r="P33" s="16" t="n">
        <f aca="false">COUNTIFS($A$4:$A$1008,$A33,$N$4:$N$1008,"&gt;"&amp;N33)+1</f>
        <v>27</v>
      </c>
      <c r="Q33" s="16" t="n">
        <f aca="false">COUNTIFS($A$4:$A$1008,$A33,$O$4:$O$1008,"&gt;"&amp;O33)+1</f>
        <v>29</v>
      </c>
    </row>
    <row r="34" customFormat="false" ht="15" hidden="false" customHeight="false" outlineLevel="0" collapsed="false">
      <c r="A34" s="7" t="n">
        <v>2000</v>
      </c>
      <c r="B34" s="15" t="s">
        <v>149</v>
      </c>
      <c r="C34" s="15" t="s">
        <v>135</v>
      </c>
      <c r="D34" s="15" t="s">
        <v>146</v>
      </c>
      <c r="E34" s="9" t="n">
        <f aca="false">SUMIFS(Data!$L$2:$L$1006,Data!$A$2:$A$1006,$A34,Data!$B$2:$B$1006,$B34)</f>
        <v>665727</v>
      </c>
      <c r="F34" s="10" t="n">
        <f aca="false">SUMIFS(Data!$E$2:$E$1006,Data!$A$2:$A$1006,$A34,Data!$B$2:$B$1006,$B34)</f>
        <v>59.844972</v>
      </c>
      <c r="G34" s="10" t="n">
        <f aca="false">SUMIFS(Data!$F$2:$F$1006,Data!$A$2:$A$1006,$A34,Data!$B$2:$B$1006,$B34)</f>
        <v>58.504041</v>
      </c>
      <c r="H34" s="10" t="n">
        <f aca="false">SUMIFS(Data!$G$2:$G$1006,Data!$A$2:$A$1006,$A34,Data!$B$2:$B$1006,$B34)</f>
        <v>49.221216</v>
      </c>
      <c r="I34" s="10" t="n">
        <f aca="false">SUMIFS(Data!$N$2:$N$1006,Data!$A$2:$A$1006,$A34,Data!$B$2:$B$1006,$B34)</f>
        <v>167.570229</v>
      </c>
      <c r="J34" s="10" t="n">
        <f aca="false">SUMIFS(Data!$H$2:$H$1006,Data!$A$2:$A$1006,$A34,Data!$B$2:$B$1006,$B34)</f>
        <v>69.052292</v>
      </c>
      <c r="K34" s="11" t="n">
        <f aca="false">IFERROR(F34*1000000/$E34,"")</f>
        <v>89.8941638239098</v>
      </c>
      <c r="L34" s="11" t="n">
        <f aca="false">IFERROR(G34*1000000/$E34,"")</f>
        <v>87.8799282588809</v>
      </c>
      <c r="M34" s="11" t="n">
        <f aca="false">IFERROR(H34*1000000/$E34,"")</f>
        <v>73.9360368439315</v>
      </c>
      <c r="N34" s="11" t="n">
        <f aca="false">IFERROR(I34*1000000/$E34,"")</f>
        <v>251.710128926722</v>
      </c>
      <c r="O34" s="11" t="n">
        <f aca="false">IFERROR(J34*1000000/$E34,"")</f>
        <v>103.724637877088</v>
      </c>
      <c r="P34" s="16" t="n">
        <f aca="false">COUNTIFS($A$4:$A$1008,$A34,$N$4:$N$1008,"&gt;"&amp;N34)+1</f>
        <v>7</v>
      </c>
      <c r="Q34" s="16" t="n">
        <f aca="false">COUNTIFS($A$4:$A$1008,$A34,$O$4:$O$1008,"&gt;"&amp;O34)+1</f>
        <v>18</v>
      </c>
    </row>
    <row r="35" customFormat="false" ht="15" hidden="false" customHeight="false" outlineLevel="0" collapsed="false">
      <c r="A35" s="7" t="n">
        <v>2000</v>
      </c>
      <c r="B35" s="15" t="s">
        <v>150</v>
      </c>
      <c r="C35" s="15" t="s">
        <v>135</v>
      </c>
      <c r="D35" s="15" t="s">
        <v>141</v>
      </c>
      <c r="E35" s="9" t="n">
        <f aca="false">SUMIFS(Data!$L$2:$L$1006,Data!$A$2:$A$1006,$A35,Data!$B$2:$B$1006,$B35)</f>
        <v>427444</v>
      </c>
      <c r="F35" s="10" t="n">
        <f aca="false">SUMIFS(Data!$E$2:$E$1006,Data!$A$2:$A$1006,$A35,Data!$B$2:$B$1006,$B35)</f>
        <v>25.492152</v>
      </c>
      <c r="G35" s="10" t="n">
        <f aca="false">SUMIFS(Data!$F$2:$F$1006,Data!$A$2:$A$1006,$A35,Data!$B$2:$B$1006,$B35)</f>
        <v>13.827248</v>
      </c>
      <c r="H35" s="10" t="n">
        <f aca="false">SUMIFS(Data!$G$2:$G$1006,Data!$A$2:$A$1006,$A35,Data!$B$2:$B$1006,$B35)</f>
        <v>40.903947</v>
      </c>
      <c r="I35" s="10" t="n">
        <f aca="false">SUMIFS(Data!$N$2:$N$1006,Data!$A$2:$A$1006,$A35,Data!$B$2:$B$1006,$B35)</f>
        <v>80.223347</v>
      </c>
      <c r="J35" s="10" t="n">
        <f aca="false">SUMIFS(Data!$H$2:$H$1006,Data!$A$2:$A$1006,$A35,Data!$B$2:$B$1006,$B35)</f>
        <v>50.202145</v>
      </c>
      <c r="K35" s="11" t="n">
        <f aca="false">IFERROR(F35*1000000/$E35,"")</f>
        <v>59.6385772171325</v>
      </c>
      <c r="L35" s="11" t="n">
        <f aca="false">IFERROR(G35*1000000/$E35,"")</f>
        <v>32.3486772536285</v>
      </c>
      <c r="M35" s="11" t="n">
        <f aca="false">IFERROR(H35*1000000/$E35,"")</f>
        <v>95.6942827598469</v>
      </c>
      <c r="N35" s="11" t="n">
        <f aca="false">IFERROR(I35*1000000/$E35,"")</f>
        <v>187.681537230608</v>
      </c>
      <c r="O35" s="11" t="n">
        <f aca="false">IFERROR(J35*1000000/$E35,"")</f>
        <v>117.447303038527</v>
      </c>
      <c r="P35" s="16" t="n">
        <f aca="false">COUNTIFS($A$4:$A$1008,$A35,$N$4:$N$1008,"&gt;"&amp;N35)+1</f>
        <v>25</v>
      </c>
      <c r="Q35" s="16" t="n">
        <f aca="false">COUNTIFS($A$4:$A$1008,$A35,$O$4:$O$1008,"&gt;"&amp;O35)+1</f>
        <v>10</v>
      </c>
    </row>
    <row r="36" customFormat="false" ht="15" hidden="false" customHeight="false" outlineLevel="0" collapsed="false">
      <c r="A36" s="7" t="n">
        <v>2000</v>
      </c>
      <c r="B36" s="15" t="s">
        <v>151</v>
      </c>
      <c r="C36" s="15" t="s">
        <v>135</v>
      </c>
      <c r="D36" s="15" t="s">
        <v>136</v>
      </c>
      <c r="E36" s="9" t="n">
        <f aca="false">SUMIFS(Data!$L$2:$L$1006,Data!$A$2:$A$1006,$A36,Data!$B$2:$B$1006,$B36)</f>
        <v>1270285</v>
      </c>
      <c r="F36" s="10" t="n">
        <f aca="false">SUMIFS(Data!$E$2:$E$1006,Data!$A$2:$A$1006,$A36,Data!$B$2:$B$1006,$B36)</f>
        <v>100.589154</v>
      </c>
      <c r="G36" s="10" t="n">
        <f aca="false">SUMIFS(Data!$F$2:$F$1006,Data!$A$2:$A$1006,$A36,Data!$B$2:$B$1006,$B36)</f>
        <v>96.883278</v>
      </c>
      <c r="H36" s="10" t="n">
        <f aca="false">SUMIFS(Data!$G$2:$G$1006,Data!$A$2:$A$1006,$A36,Data!$B$2:$B$1006,$B36)</f>
        <v>60.659666</v>
      </c>
      <c r="I36" s="10" t="n">
        <f aca="false">SUMIFS(Data!$N$2:$N$1006,Data!$A$2:$A$1006,$A36,Data!$B$2:$B$1006,$B36)</f>
        <v>258.132098</v>
      </c>
      <c r="J36" s="10" t="n">
        <f aca="false">SUMIFS(Data!$H$2:$H$1006,Data!$A$2:$A$1006,$A36,Data!$B$2:$B$1006,$B36)</f>
        <v>122.587262</v>
      </c>
      <c r="K36" s="11" t="n">
        <f aca="false">IFERROR(F36*1000000/$E36,"")</f>
        <v>79.1862881164463</v>
      </c>
      <c r="L36" s="11" t="n">
        <f aca="false">IFERROR(G36*1000000/$E36,"")</f>
        <v>76.268930200703</v>
      </c>
      <c r="M36" s="11" t="n">
        <f aca="false">IFERROR(H36*1000000/$E36,"")</f>
        <v>47.7528003558257</v>
      </c>
      <c r="N36" s="11" t="n">
        <f aca="false">IFERROR(I36*1000000/$E36,"")</f>
        <v>203.208018672975</v>
      </c>
      <c r="O36" s="11" t="n">
        <f aca="false">IFERROR(J36*1000000/$E36,"")</f>
        <v>96.5037467969786</v>
      </c>
      <c r="P36" s="16" t="n">
        <f aca="false">COUNTIFS($A$4:$A$1008,$A36,$N$4:$N$1008,"&gt;"&amp;N36)+1</f>
        <v>20</v>
      </c>
      <c r="Q36" s="16" t="n">
        <f aca="false">COUNTIFS($A$4:$A$1008,$A36,$O$4:$O$1008,"&gt;"&amp;O36)+1</f>
        <v>22</v>
      </c>
    </row>
    <row r="37" customFormat="false" ht="15" hidden="false" customHeight="false" outlineLevel="0" collapsed="false">
      <c r="A37" s="7" t="n">
        <v>2000</v>
      </c>
      <c r="B37" s="15" t="s">
        <v>152</v>
      </c>
      <c r="C37" s="15" t="s">
        <v>135</v>
      </c>
      <c r="D37" s="15" t="s">
        <v>148</v>
      </c>
      <c r="E37" s="9" t="n">
        <f aca="false">SUMIFS(Data!$L$2:$L$1006,Data!$A$2:$A$1006,$A37,Data!$B$2:$B$1006,$B37)</f>
        <v>224465</v>
      </c>
      <c r="F37" s="10" t="n">
        <f aca="false">SUMIFS(Data!$E$2:$E$1006,Data!$A$2:$A$1006,$A37,Data!$B$2:$B$1006,$B37)</f>
        <v>20.995437</v>
      </c>
      <c r="G37" s="10" t="n">
        <f aca="false">SUMIFS(Data!$F$2:$F$1006,Data!$A$2:$A$1006,$A37,Data!$B$2:$B$1006,$B37)</f>
        <v>15.537866</v>
      </c>
      <c r="H37" s="10" t="n">
        <f aca="false">SUMIFS(Data!$G$2:$G$1006,Data!$A$2:$A$1006,$A37,Data!$B$2:$B$1006,$B37)</f>
        <v>14.103997</v>
      </c>
      <c r="I37" s="10" t="n">
        <f aca="false">SUMIFS(Data!$N$2:$N$1006,Data!$A$2:$A$1006,$A37,Data!$B$2:$B$1006,$B37)</f>
        <v>50.6373</v>
      </c>
      <c r="J37" s="10" t="n">
        <f aca="false">SUMIFS(Data!$H$2:$H$1006,Data!$A$2:$A$1006,$A37,Data!$B$2:$B$1006,$B37)</f>
        <v>28.581677</v>
      </c>
      <c r="K37" s="11" t="n">
        <f aca="false">IFERROR(F37*1000000/$E37,"")</f>
        <v>93.5354598712494</v>
      </c>
      <c r="L37" s="11" t="n">
        <f aca="false">IFERROR(G37*1000000/$E37,"")</f>
        <v>69.2217762234647</v>
      </c>
      <c r="M37" s="11" t="n">
        <f aca="false">IFERROR(H37*1000000/$E37,"")</f>
        <v>62.8338360100684</v>
      </c>
      <c r="N37" s="11" t="n">
        <f aca="false">IFERROR(I37*1000000/$E37,"")</f>
        <v>225.591072104782</v>
      </c>
      <c r="O37" s="11" t="n">
        <f aca="false">IFERROR(J37*1000000/$E37,"")</f>
        <v>127.332443810839</v>
      </c>
      <c r="P37" s="16" t="n">
        <f aca="false">COUNTIFS($A$4:$A$1008,$A37,$N$4:$N$1008,"&gt;"&amp;N37)+1</f>
        <v>10</v>
      </c>
      <c r="Q37" s="16" t="n">
        <f aca="false">COUNTIFS($A$4:$A$1008,$A37,$O$4:$O$1008,"&gt;"&amp;O37)+1</f>
        <v>7</v>
      </c>
    </row>
    <row r="38" customFormat="false" ht="15" hidden="false" customHeight="false" outlineLevel="0" collapsed="false">
      <c r="A38" s="7" t="n">
        <v>2000</v>
      </c>
      <c r="B38" s="15" t="s">
        <v>153</v>
      </c>
      <c r="C38" s="15" t="s">
        <v>135</v>
      </c>
      <c r="D38" s="15" t="s">
        <v>136</v>
      </c>
      <c r="E38" s="9" t="n">
        <f aca="false">SUMIFS(Data!$L$2:$L$1006,Data!$A$2:$A$1006,$A38,Data!$B$2:$B$1006,$B38)</f>
        <v>126470</v>
      </c>
      <c r="F38" s="10" t="n">
        <f aca="false">SUMIFS(Data!$E$2:$E$1006,Data!$A$2:$A$1006,$A38,Data!$B$2:$B$1006,$B38)</f>
        <v>11.970706</v>
      </c>
      <c r="G38" s="10" t="n">
        <f aca="false">SUMIFS(Data!$F$2:$F$1006,Data!$A$2:$A$1006,$A38,Data!$B$2:$B$1006,$B38)</f>
        <v>12.935284</v>
      </c>
      <c r="H38" s="10" t="n">
        <f aca="false">SUMIFS(Data!$G$2:$G$1006,Data!$A$2:$A$1006,$A38,Data!$B$2:$B$1006,$B38)</f>
        <v>7.13261</v>
      </c>
      <c r="I38" s="10" t="n">
        <f aca="false">SUMIFS(Data!$N$2:$N$1006,Data!$A$2:$A$1006,$A38,Data!$B$2:$B$1006,$B38)</f>
        <v>32.0386</v>
      </c>
      <c r="J38" s="10" t="n">
        <f aca="false">SUMIFS(Data!$H$2:$H$1006,Data!$A$2:$A$1006,$A38,Data!$B$2:$B$1006,$B38)</f>
        <v>11.480056</v>
      </c>
      <c r="K38" s="11" t="n">
        <f aca="false">IFERROR(F38*1000000/$E38,"")</f>
        <v>94.6525341978335</v>
      </c>
      <c r="L38" s="11" t="n">
        <f aca="false">IFERROR(G38*1000000/$E38,"")</f>
        <v>102.279465485886</v>
      </c>
      <c r="M38" s="11" t="n">
        <f aca="false">IFERROR(H38*1000000/$E38,"")</f>
        <v>56.3976437099707</v>
      </c>
      <c r="N38" s="11" t="n">
        <f aca="false">IFERROR(I38*1000000/$E38,"")</f>
        <v>253.32964339369</v>
      </c>
      <c r="O38" s="11" t="n">
        <f aca="false">IFERROR(J38*1000000/$E38,"")</f>
        <v>90.7729580137582</v>
      </c>
      <c r="P38" s="16" t="n">
        <f aca="false">COUNTIFS($A$4:$A$1008,$A38,$N$4:$N$1008,"&gt;"&amp;N38)+1</f>
        <v>6</v>
      </c>
      <c r="Q38" s="16" t="n">
        <f aca="false">COUNTIFS($A$4:$A$1008,$A38,$O$4:$O$1008,"&gt;"&amp;O38)+1</f>
        <v>25</v>
      </c>
    </row>
    <row r="39" customFormat="false" ht="15" hidden="false" customHeight="false" outlineLevel="0" collapsed="false">
      <c r="A39" s="7" t="n">
        <v>2000</v>
      </c>
      <c r="B39" s="15" t="s">
        <v>154</v>
      </c>
      <c r="C39" s="15" t="s">
        <v>135</v>
      </c>
      <c r="D39" s="15" t="s">
        <v>141</v>
      </c>
      <c r="E39" s="9" t="n">
        <f aca="false">SUMIFS(Data!$L$2:$L$1006,Data!$A$2:$A$1006,$A39,Data!$B$2:$B$1006,$B39)</f>
        <v>129144</v>
      </c>
      <c r="F39" s="10" t="n">
        <f aca="false">SUMIFS(Data!$E$2:$E$1006,Data!$A$2:$A$1006,$A39,Data!$B$2:$B$1006,$B39)</f>
        <v>7.176931</v>
      </c>
      <c r="G39" s="10" t="n">
        <f aca="false">SUMIFS(Data!$F$2:$F$1006,Data!$A$2:$A$1006,$A39,Data!$B$2:$B$1006,$B39)</f>
        <v>2.728008</v>
      </c>
      <c r="H39" s="10" t="n">
        <f aca="false">SUMIFS(Data!$G$2:$G$1006,Data!$A$2:$A$1006,$A39,Data!$B$2:$B$1006,$B39)</f>
        <v>8.31612</v>
      </c>
      <c r="I39" s="10" t="n">
        <f aca="false">SUMIFS(Data!$N$2:$N$1006,Data!$A$2:$A$1006,$A39,Data!$B$2:$B$1006,$B39)</f>
        <v>18.221059</v>
      </c>
      <c r="J39" s="10" t="n">
        <f aca="false">SUMIFS(Data!$H$2:$H$1006,Data!$A$2:$A$1006,$A39,Data!$B$2:$B$1006,$B39)</f>
        <v>13.138408</v>
      </c>
      <c r="K39" s="11" t="n">
        <f aca="false">IFERROR(F39*1000000/$E39,"")</f>
        <v>55.573088954965</v>
      </c>
      <c r="L39" s="11" t="n">
        <f aca="false">IFERROR(G39*1000000/$E39,"")</f>
        <v>21.1237688162052</v>
      </c>
      <c r="M39" s="11" t="n">
        <f aca="false">IFERROR(H39*1000000/$E39,"")</f>
        <v>64.3941646534101</v>
      </c>
      <c r="N39" s="11" t="n">
        <f aca="false">IFERROR(I39*1000000/$E39,"")</f>
        <v>141.09102242458</v>
      </c>
      <c r="O39" s="11" t="n">
        <f aca="false">IFERROR(J39*1000000/$E39,"")</f>
        <v>101.734559871152</v>
      </c>
      <c r="P39" s="16" t="n">
        <f aca="false">COUNTIFS($A$4:$A$1008,$A39,$N$4:$N$1008,"&gt;"&amp;N39)+1</f>
        <v>39</v>
      </c>
      <c r="Q39" s="16" t="n">
        <f aca="false">COUNTIFS($A$4:$A$1008,$A39,$O$4:$O$1008,"&gt;"&amp;O39)+1</f>
        <v>20</v>
      </c>
    </row>
    <row r="40" customFormat="false" ht="15" hidden="false" customHeight="false" outlineLevel="0" collapsed="false">
      <c r="A40" s="7" t="n">
        <v>2000</v>
      </c>
      <c r="B40" s="15" t="s">
        <v>155</v>
      </c>
      <c r="C40" s="15" t="s">
        <v>135</v>
      </c>
      <c r="D40" s="15" t="s">
        <v>148</v>
      </c>
      <c r="E40" s="9" t="n">
        <f aca="false">SUMIFS(Data!$L$2:$L$1006,Data!$A$2:$A$1006,$A40,Data!$B$2:$B$1006,$B40)</f>
        <v>1017232</v>
      </c>
      <c r="F40" s="10" t="n">
        <f aca="false">SUMIFS(Data!$E$2:$E$1006,Data!$A$2:$A$1006,$A40,Data!$B$2:$B$1006,$B40)</f>
        <v>71.58933</v>
      </c>
      <c r="G40" s="10" t="n">
        <f aca="false">SUMIFS(Data!$F$2:$F$1006,Data!$A$2:$A$1006,$A40,Data!$B$2:$B$1006,$B40)</f>
        <v>69.492021</v>
      </c>
      <c r="H40" s="10" t="n">
        <f aca="false">SUMIFS(Data!$G$2:$G$1006,Data!$A$2:$A$1006,$A40,Data!$B$2:$B$1006,$B40)</f>
        <v>67.956764</v>
      </c>
      <c r="I40" s="10" t="n">
        <f aca="false">SUMIFS(Data!$N$2:$N$1006,Data!$A$2:$A$1006,$A40,Data!$B$2:$B$1006,$B40)</f>
        <v>209.038115</v>
      </c>
      <c r="J40" s="10" t="n">
        <f aca="false">SUMIFS(Data!$H$2:$H$1006,Data!$A$2:$A$1006,$A40,Data!$B$2:$B$1006,$B40)</f>
        <v>151.430269</v>
      </c>
      <c r="K40" s="11" t="n">
        <f aca="false">IFERROR(F40*1000000/$E40,"")</f>
        <v>70.3766004215361</v>
      </c>
      <c r="L40" s="11" t="n">
        <f aca="false">IFERROR(G40*1000000/$E40,"")</f>
        <v>68.3148200213914</v>
      </c>
      <c r="M40" s="11" t="n">
        <f aca="false">IFERROR(H40*1000000/$E40,"")</f>
        <v>66.8055704106831</v>
      </c>
      <c r="N40" s="11" t="n">
        <f aca="false">IFERROR(I40*1000000/$E40,"")</f>
        <v>205.496990853611</v>
      </c>
      <c r="O40" s="11" t="n">
        <f aca="false">IFERROR(J40*1000000/$E40,"")</f>
        <v>148.865026857197</v>
      </c>
      <c r="P40" s="16" t="n">
        <f aca="false">COUNTIFS($A$4:$A$1008,$A40,$N$4:$N$1008,"&gt;"&amp;N40)+1</f>
        <v>18</v>
      </c>
      <c r="Q40" s="16" t="n">
        <f aca="false">COUNTIFS($A$4:$A$1008,$A40,$O$4:$O$1008,"&gt;"&amp;O40)+1</f>
        <v>2</v>
      </c>
    </row>
    <row r="41" customFormat="false" ht="15" hidden="false" customHeight="false" outlineLevel="0" collapsed="false">
      <c r="A41" s="7" t="n">
        <v>2000</v>
      </c>
      <c r="B41" s="15" t="s">
        <v>156</v>
      </c>
      <c r="C41" s="15" t="s">
        <v>135</v>
      </c>
      <c r="D41" s="15" t="s">
        <v>148</v>
      </c>
      <c r="E41" s="9" t="n">
        <f aca="false">SUMIFS(Data!$L$2:$L$1006,Data!$A$2:$A$1006,$A41,Data!$B$2:$B$1006,$B41)</f>
        <v>402878</v>
      </c>
      <c r="F41" s="10" t="n">
        <f aca="false">SUMIFS(Data!$E$2:$E$1006,Data!$A$2:$A$1006,$A41,Data!$B$2:$B$1006,$B41)</f>
        <v>20.678526</v>
      </c>
      <c r="G41" s="10" t="n">
        <f aca="false">SUMIFS(Data!$F$2:$F$1006,Data!$A$2:$A$1006,$A41,Data!$B$2:$B$1006,$B41)</f>
        <v>26.527228</v>
      </c>
      <c r="H41" s="10" t="n">
        <f aca="false">SUMIFS(Data!$G$2:$G$1006,Data!$A$2:$A$1006,$A41,Data!$B$2:$B$1006,$B41)</f>
        <v>27.32744</v>
      </c>
      <c r="I41" s="10" t="n">
        <f aca="false">SUMIFS(Data!$N$2:$N$1006,Data!$A$2:$A$1006,$A41,Data!$B$2:$B$1006,$B41)</f>
        <v>74.533194</v>
      </c>
      <c r="J41" s="10" t="n">
        <f aca="false">SUMIFS(Data!$H$2:$H$1006,Data!$A$2:$A$1006,$A41,Data!$B$2:$B$1006,$B41)</f>
        <v>56.857542</v>
      </c>
      <c r="K41" s="11" t="n">
        <f aca="false">IFERROR(F41*1000000/$E41,"")</f>
        <v>51.32701711188</v>
      </c>
      <c r="L41" s="11" t="n">
        <f aca="false">IFERROR(G41*1000000/$E41,"")</f>
        <v>65.8443201167599</v>
      </c>
      <c r="M41" s="11" t="n">
        <f aca="false">IFERROR(H41*1000000/$E41,"")</f>
        <v>67.8305591270807</v>
      </c>
      <c r="N41" s="11" t="n">
        <f aca="false">IFERROR(I41*1000000/$E41,"")</f>
        <v>185.001896355721</v>
      </c>
      <c r="O41" s="11" t="n">
        <f aca="false">IFERROR(J41*1000000/$E41,"")</f>
        <v>141.128435903673</v>
      </c>
      <c r="P41" s="16" t="n">
        <f aca="false">COUNTIFS($A$4:$A$1008,$A41,$N$4:$N$1008,"&gt;"&amp;N41)+1</f>
        <v>28</v>
      </c>
      <c r="Q41" s="16" t="n">
        <f aca="false">COUNTIFS($A$4:$A$1008,$A41,$O$4:$O$1008,"&gt;"&amp;O41)+1</f>
        <v>3</v>
      </c>
    </row>
    <row r="42" customFormat="false" ht="15" hidden="false" customHeight="false" outlineLevel="0" collapsed="false">
      <c r="A42" s="7" t="n">
        <v>2000</v>
      </c>
      <c r="B42" s="15" t="s">
        <v>157</v>
      </c>
      <c r="C42" s="15" t="s">
        <v>135</v>
      </c>
      <c r="D42" s="15" t="s">
        <v>148</v>
      </c>
      <c r="E42" s="9" t="n">
        <f aca="false">SUMIFS(Data!$L$2:$L$1006,Data!$A$2:$A$1006,$A42,Data!$B$2:$B$1006,$B42)</f>
        <v>391387</v>
      </c>
      <c r="F42" s="10" t="n">
        <f aca="false">SUMIFS(Data!$E$2:$E$1006,Data!$A$2:$A$1006,$A42,Data!$B$2:$B$1006,$B42)</f>
        <v>36.245288</v>
      </c>
      <c r="G42" s="10" t="n">
        <f aca="false">SUMIFS(Data!$F$2:$F$1006,Data!$A$2:$A$1006,$A42,Data!$B$2:$B$1006,$B42)</f>
        <v>30.361847</v>
      </c>
      <c r="H42" s="10" t="n">
        <f aca="false">SUMIFS(Data!$G$2:$G$1006,Data!$A$2:$A$1006,$A42,Data!$B$2:$B$1006,$B42)</f>
        <v>16.419316</v>
      </c>
      <c r="I42" s="10" t="n">
        <f aca="false">SUMIFS(Data!$N$2:$N$1006,Data!$A$2:$A$1006,$A42,Data!$B$2:$B$1006,$B42)</f>
        <v>83.026451</v>
      </c>
      <c r="J42" s="10" t="n">
        <f aca="false">SUMIFS(Data!$H$2:$H$1006,Data!$A$2:$A$1006,$A42,Data!$B$2:$B$1006,$B42)</f>
        <v>53.899451</v>
      </c>
      <c r="K42" s="11" t="n">
        <f aca="false">IFERROR(F42*1000000/$E42,"")</f>
        <v>92.6072863942849</v>
      </c>
      <c r="L42" s="11" t="n">
        <f aca="false">IFERROR(G42*1000000/$E42,"")</f>
        <v>77.5750012136326</v>
      </c>
      <c r="M42" s="11" t="n">
        <f aca="false">IFERROR(H42*1000000/$E42,"")</f>
        <v>41.9516131092755</v>
      </c>
      <c r="N42" s="11" t="n">
        <f aca="false">IFERROR(I42*1000000/$E42,"")</f>
        <v>212.133900717193</v>
      </c>
      <c r="O42" s="11" t="n">
        <f aca="false">IFERROR(J42*1000000/$E42,"")</f>
        <v>137.713953197219</v>
      </c>
      <c r="P42" s="16" t="n">
        <f aca="false">COUNTIFS($A$4:$A$1008,$A42,$N$4:$N$1008,"&gt;"&amp;N42)+1</f>
        <v>16</v>
      </c>
      <c r="Q42" s="16" t="n">
        <f aca="false">COUNTIFS($A$4:$A$1008,$A42,$O$4:$O$1008,"&gt;"&amp;O42)+1</f>
        <v>5</v>
      </c>
    </row>
    <row r="43" customFormat="false" ht="15" hidden="false" customHeight="false" outlineLevel="0" collapsed="false">
      <c r="A43" s="7" t="n">
        <v>2001</v>
      </c>
      <c r="B43" s="15" t="s">
        <v>101</v>
      </c>
      <c r="C43" s="15" t="s">
        <v>102</v>
      </c>
      <c r="D43" s="15" t="s">
        <v>103</v>
      </c>
      <c r="E43" s="9" t="n">
        <f aca="false">SUMIFS(Data!$L$2:$L$1006,Data!$A$2:$A$1006,$A43,Data!$B$2:$B$1006,$B43)</f>
        <v>746261</v>
      </c>
      <c r="F43" s="10" t="n">
        <f aca="false">SUMIFS(Data!$E$2:$E$1006,Data!$A$2:$A$1006,$A43,Data!$B$2:$B$1006,$B43)</f>
        <v>50.480125</v>
      </c>
      <c r="G43" s="10" t="n">
        <f aca="false">SUMIFS(Data!$F$2:$F$1006,Data!$A$2:$A$1006,$A43,Data!$B$2:$B$1006,$B43)</f>
        <v>22.972715</v>
      </c>
      <c r="H43" s="10" t="n">
        <f aca="false">SUMIFS(Data!$G$2:$G$1006,Data!$A$2:$A$1006,$A43,Data!$B$2:$B$1006,$B43)</f>
        <v>40.252961</v>
      </c>
      <c r="I43" s="10" t="n">
        <f aca="false">SUMIFS(Data!$N$2:$N$1006,Data!$A$2:$A$1006,$A43,Data!$B$2:$B$1006,$B43)</f>
        <v>113.705801</v>
      </c>
      <c r="J43" s="10" t="n">
        <f aca="false">SUMIFS(Data!$H$2:$H$1006,Data!$A$2:$A$1006,$A43,Data!$B$2:$B$1006,$B43)</f>
        <v>31.219281</v>
      </c>
      <c r="K43" s="11" t="n">
        <f aca="false">IFERROR(F43*1000000/$E43,"")</f>
        <v>67.6440615280713</v>
      </c>
      <c r="L43" s="11" t="n">
        <f aca="false">IFERROR(G43*1000000/$E43,"")</f>
        <v>30.7837539413154</v>
      </c>
      <c r="M43" s="11" t="n">
        <f aca="false">IFERROR(H43*1000000/$E43,"")</f>
        <v>53.9395211594871</v>
      </c>
      <c r="N43" s="11" t="n">
        <f aca="false">IFERROR(I43*1000000/$E43,"")</f>
        <v>152.367336628874</v>
      </c>
      <c r="O43" s="11" t="n">
        <f aca="false">IFERROR(J43*1000000/$E43,"")</f>
        <v>41.8342657595667</v>
      </c>
      <c r="P43" s="16" t="n">
        <f aca="false">COUNTIFS($A$4:$A$1008,$A43,$N$4:$N$1008,"&gt;"&amp;N43)+1</f>
        <v>35</v>
      </c>
      <c r="Q43" s="16" t="n">
        <f aca="false">COUNTIFS($A$4:$A$1008,$A43,$O$4:$O$1008,"&gt;"&amp;O43)+1</f>
        <v>37</v>
      </c>
    </row>
    <row r="44" customFormat="false" ht="15" hidden="false" customHeight="false" outlineLevel="0" collapsed="false">
      <c r="A44" s="7" t="n">
        <v>2001</v>
      </c>
      <c r="B44" s="15" t="s">
        <v>104</v>
      </c>
      <c r="C44" s="15" t="s">
        <v>102</v>
      </c>
      <c r="D44" s="15" t="s">
        <v>105</v>
      </c>
      <c r="E44" s="9" t="n">
        <f aca="false">SUMIFS(Data!$L$2:$L$1006,Data!$A$2:$A$1006,$A44,Data!$B$2:$B$1006,$B44)</f>
        <v>1017712</v>
      </c>
      <c r="F44" s="10" t="n">
        <f aca="false">SUMIFS(Data!$E$2:$E$1006,Data!$A$2:$A$1006,$A44,Data!$B$2:$B$1006,$B44)</f>
        <v>108.176771</v>
      </c>
      <c r="G44" s="10" t="n">
        <f aca="false">SUMIFS(Data!$F$2:$F$1006,Data!$A$2:$A$1006,$A44,Data!$B$2:$B$1006,$B44)</f>
        <v>75.218281</v>
      </c>
      <c r="H44" s="10" t="n">
        <f aca="false">SUMIFS(Data!$G$2:$G$1006,Data!$A$2:$A$1006,$A44,Data!$B$2:$B$1006,$B44)</f>
        <v>84.196498</v>
      </c>
      <c r="I44" s="10" t="n">
        <f aca="false">SUMIFS(Data!$N$2:$N$1006,Data!$A$2:$A$1006,$A44,Data!$B$2:$B$1006,$B44)</f>
        <v>267.59155</v>
      </c>
      <c r="J44" s="10" t="n">
        <f aca="false">SUMIFS(Data!$H$2:$H$1006,Data!$A$2:$A$1006,$A44,Data!$B$2:$B$1006,$B44)</f>
        <v>127.163475</v>
      </c>
      <c r="K44" s="11" t="n">
        <f aca="false">IFERROR(F44*1000000/$E44,"")</f>
        <v>106.294090076564</v>
      </c>
      <c r="L44" s="11" t="n">
        <f aca="false">IFERROR(G44*1000000/$E44,"")</f>
        <v>73.9092012278523</v>
      </c>
      <c r="M44" s="11" t="n">
        <f aca="false">IFERROR(H44*1000000/$E44,"")</f>
        <v>82.7311636297892</v>
      </c>
      <c r="N44" s="11" t="n">
        <f aca="false">IFERROR(I44*1000000/$E44,"")</f>
        <v>262.934454934205</v>
      </c>
      <c r="O44" s="11" t="n">
        <f aca="false">IFERROR(J44*1000000/$E44,"")</f>
        <v>124.95035432421</v>
      </c>
      <c r="P44" s="16" t="n">
        <f aca="false">COUNTIFS($A$4:$A$1008,$A44,$N$4:$N$1008,"&gt;"&amp;N44)+1</f>
        <v>3</v>
      </c>
      <c r="Q44" s="16" t="n">
        <f aca="false">COUNTIFS($A$4:$A$1008,$A44,$O$4:$O$1008,"&gt;"&amp;O44)+1</f>
        <v>8</v>
      </c>
    </row>
    <row r="45" customFormat="false" ht="15" hidden="false" customHeight="false" outlineLevel="0" collapsed="false">
      <c r="A45" s="7" t="n">
        <v>2001</v>
      </c>
      <c r="B45" s="15" t="s">
        <v>106</v>
      </c>
      <c r="C45" s="15" t="s">
        <v>102</v>
      </c>
      <c r="D45" s="15" t="s">
        <v>107</v>
      </c>
      <c r="E45" s="9" t="n">
        <f aca="false">SUMIFS(Data!$L$2:$L$1006,Data!$A$2:$A$1006,$A45,Data!$B$2:$B$1006,$B45)</f>
        <v>498988</v>
      </c>
      <c r="F45" s="10" t="n">
        <f aca="false">SUMIFS(Data!$E$2:$E$1006,Data!$A$2:$A$1006,$A45,Data!$B$2:$B$1006,$B45)</f>
        <v>39.462252</v>
      </c>
      <c r="G45" s="10" t="n">
        <f aca="false">SUMIFS(Data!$F$2:$F$1006,Data!$A$2:$A$1006,$A45,Data!$B$2:$B$1006,$B45)</f>
        <v>39.455152</v>
      </c>
      <c r="H45" s="10" t="n">
        <f aca="false">SUMIFS(Data!$G$2:$G$1006,Data!$A$2:$A$1006,$A45,Data!$B$2:$B$1006,$B45)</f>
        <v>28.008562</v>
      </c>
      <c r="I45" s="10" t="n">
        <f aca="false">SUMIFS(Data!$N$2:$N$1006,Data!$A$2:$A$1006,$A45,Data!$B$2:$B$1006,$B45)</f>
        <v>106.925966</v>
      </c>
      <c r="J45" s="10" t="n">
        <f aca="false">SUMIFS(Data!$H$2:$H$1006,Data!$A$2:$A$1006,$A45,Data!$B$2:$B$1006,$B45)</f>
        <v>47.429784</v>
      </c>
      <c r="K45" s="11" t="n">
        <f aca="false">IFERROR(F45*1000000/$E45,"")</f>
        <v>79.0845711720522</v>
      </c>
      <c r="L45" s="11" t="n">
        <f aca="false">IFERROR(G45*1000000/$E45,"")</f>
        <v>79.0703423729629</v>
      </c>
      <c r="M45" s="11" t="n">
        <f aca="false">IFERROR(H45*1000000/$E45,"")</f>
        <v>56.130732602788</v>
      </c>
      <c r="N45" s="11" t="n">
        <f aca="false">IFERROR(I45*1000000/$E45,"")</f>
        <v>214.285646147803</v>
      </c>
      <c r="O45" s="11" t="n">
        <f aca="false">IFERROR(J45*1000000/$E45,"")</f>
        <v>95.051953153182</v>
      </c>
      <c r="P45" s="16" t="n">
        <f aca="false">COUNTIFS($A$4:$A$1008,$A45,$N$4:$N$1008,"&gt;"&amp;N45)+1</f>
        <v>16</v>
      </c>
      <c r="Q45" s="16" t="n">
        <f aca="false">COUNTIFS($A$4:$A$1008,$A45,$O$4:$O$1008,"&gt;"&amp;O45)+1</f>
        <v>17</v>
      </c>
    </row>
    <row r="46" customFormat="false" ht="15" hidden="false" customHeight="false" outlineLevel="0" collapsed="false">
      <c r="A46" s="7" t="n">
        <v>2001</v>
      </c>
      <c r="B46" s="15" t="s">
        <v>108</v>
      </c>
      <c r="C46" s="15" t="s">
        <v>102</v>
      </c>
      <c r="D46" s="15" t="s">
        <v>109</v>
      </c>
      <c r="E46" s="9" t="n">
        <f aca="false">SUMIFS(Data!$L$2:$L$1006,Data!$A$2:$A$1006,$A46,Data!$B$2:$B$1006,$B46)</f>
        <v>389846</v>
      </c>
      <c r="F46" s="10" t="n">
        <f aca="false">SUMIFS(Data!$E$2:$E$1006,Data!$A$2:$A$1006,$A46,Data!$B$2:$B$1006,$B46)</f>
        <v>34.525993</v>
      </c>
      <c r="G46" s="10" t="n">
        <f aca="false">SUMIFS(Data!$F$2:$F$1006,Data!$A$2:$A$1006,$A46,Data!$B$2:$B$1006,$B46)</f>
        <v>17.278048</v>
      </c>
      <c r="H46" s="10" t="n">
        <f aca="false">SUMIFS(Data!$G$2:$G$1006,Data!$A$2:$A$1006,$A46,Data!$B$2:$B$1006,$B46)</f>
        <v>20.822996</v>
      </c>
      <c r="I46" s="10" t="n">
        <f aca="false">SUMIFS(Data!$N$2:$N$1006,Data!$A$2:$A$1006,$A46,Data!$B$2:$B$1006,$B46)</f>
        <v>72.627037</v>
      </c>
      <c r="J46" s="10" t="n">
        <f aca="false">SUMIFS(Data!$H$2:$H$1006,Data!$A$2:$A$1006,$A46,Data!$B$2:$B$1006,$B46)</f>
        <v>36.548398</v>
      </c>
      <c r="K46" s="11" t="n">
        <f aca="false">IFERROR(F46*1000000/$E46,"")</f>
        <v>88.5631582727539</v>
      </c>
      <c r="L46" s="11" t="n">
        <f aca="false">IFERROR(G46*1000000/$E46,"")</f>
        <v>44.3201879716606</v>
      </c>
      <c r="M46" s="11" t="n">
        <f aca="false">IFERROR(H46*1000000/$E46,"")</f>
        <v>53.4133888766333</v>
      </c>
      <c r="N46" s="11" t="n">
        <f aca="false">IFERROR(I46*1000000/$E46,"")</f>
        <v>186.296735121048</v>
      </c>
      <c r="O46" s="11" t="n">
        <f aca="false">IFERROR(J46*1000000/$E46,"")</f>
        <v>93.7508605962354</v>
      </c>
      <c r="P46" s="16" t="n">
        <f aca="false">COUNTIFS($A$4:$A$1008,$A46,$N$4:$N$1008,"&gt;"&amp;N46)+1</f>
        <v>25</v>
      </c>
      <c r="Q46" s="16" t="n">
        <f aca="false">COUNTIFS($A$4:$A$1008,$A46,$O$4:$O$1008,"&gt;"&amp;O46)+1</f>
        <v>20</v>
      </c>
    </row>
    <row r="47" customFormat="false" ht="15" hidden="false" customHeight="false" outlineLevel="0" collapsed="false">
      <c r="A47" s="7" t="n">
        <v>2001</v>
      </c>
      <c r="B47" s="15" t="s">
        <v>110</v>
      </c>
      <c r="C47" s="15" t="s">
        <v>102</v>
      </c>
      <c r="D47" s="15" t="s">
        <v>103</v>
      </c>
      <c r="E47" s="9" t="n">
        <f aca="false">SUMIFS(Data!$L$2:$L$1006,Data!$A$2:$A$1006,$A47,Data!$B$2:$B$1006,$B47)</f>
        <v>1001534</v>
      </c>
      <c r="F47" s="10" t="n">
        <f aca="false">SUMIFS(Data!$E$2:$E$1006,Data!$A$2:$A$1006,$A47,Data!$B$2:$B$1006,$B47)</f>
        <v>59.986585</v>
      </c>
      <c r="G47" s="10" t="n">
        <f aca="false">SUMIFS(Data!$F$2:$F$1006,Data!$A$2:$A$1006,$A47,Data!$B$2:$B$1006,$B47)</f>
        <v>28.516316</v>
      </c>
      <c r="H47" s="10" t="n">
        <f aca="false">SUMIFS(Data!$G$2:$G$1006,Data!$A$2:$A$1006,$A47,Data!$B$2:$B$1006,$B47)</f>
        <v>32.443553</v>
      </c>
      <c r="I47" s="10" t="n">
        <f aca="false">SUMIFS(Data!$N$2:$N$1006,Data!$A$2:$A$1006,$A47,Data!$B$2:$B$1006,$B47)</f>
        <v>120.946454</v>
      </c>
      <c r="J47" s="10" t="n">
        <f aca="false">SUMIFS(Data!$H$2:$H$1006,Data!$A$2:$A$1006,$A47,Data!$B$2:$B$1006,$B47)</f>
        <v>36.984621</v>
      </c>
      <c r="K47" s="11" t="n">
        <f aca="false">IFERROR(F47*1000000/$E47,"")</f>
        <v>59.894706520198</v>
      </c>
      <c r="L47" s="11" t="n">
        <f aca="false">IFERROR(G47*1000000/$E47,"")</f>
        <v>28.4726389718172</v>
      </c>
      <c r="M47" s="11" t="n">
        <f aca="false">IFERROR(H47*1000000/$E47,"")</f>
        <v>32.3938608175059</v>
      </c>
      <c r="N47" s="11" t="n">
        <f aca="false">IFERROR(I47*1000000/$E47,"")</f>
        <v>120.761206309521</v>
      </c>
      <c r="O47" s="11" t="n">
        <f aca="false">IFERROR(J47*1000000/$E47,"")</f>
        <v>36.9279734886684</v>
      </c>
      <c r="P47" s="16" t="n">
        <f aca="false">COUNTIFS($A$4:$A$1008,$A47,$N$4:$N$1008,"&gt;"&amp;N47)+1</f>
        <v>39</v>
      </c>
      <c r="Q47" s="16" t="n">
        <f aca="false">COUNTIFS($A$4:$A$1008,$A47,$O$4:$O$1008,"&gt;"&amp;O47)+1</f>
        <v>38</v>
      </c>
    </row>
    <row r="48" customFormat="false" ht="15" hidden="false" customHeight="false" outlineLevel="0" collapsed="false">
      <c r="A48" s="7" t="n">
        <v>2001</v>
      </c>
      <c r="B48" s="15" t="s">
        <v>111</v>
      </c>
      <c r="C48" s="15" t="s">
        <v>102</v>
      </c>
      <c r="D48" s="15" t="s">
        <v>107</v>
      </c>
      <c r="E48" s="9" t="n">
        <f aca="false">SUMIFS(Data!$L$2:$L$1006,Data!$A$2:$A$1006,$A48,Data!$B$2:$B$1006,$B48)</f>
        <v>580940</v>
      </c>
      <c r="F48" s="10" t="n">
        <f aca="false">SUMIFS(Data!$E$2:$E$1006,Data!$A$2:$A$1006,$A48,Data!$B$2:$B$1006,$B48)</f>
        <v>51.822678</v>
      </c>
      <c r="G48" s="10" t="n">
        <f aca="false">SUMIFS(Data!$F$2:$F$1006,Data!$A$2:$A$1006,$A48,Data!$B$2:$B$1006,$B48)</f>
        <v>49.41901</v>
      </c>
      <c r="H48" s="10" t="n">
        <f aca="false">SUMIFS(Data!$G$2:$G$1006,Data!$A$2:$A$1006,$A48,Data!$B$2:$B$1006,$B48)</f>
        <v>37.65054</v>
      </c>
      <c r="I48" s="10" t="n">
        <f aca="false">SUMIFS(Data!$N$2:$N$1006,Data!$A$2:$A$1006,$A48,Data!$B$2:$B$1006,$B48)</f>
        <v>138.892228</v>
      </c>
      <c r="J48" s="10" t="n">
        <f aca="false">SUMIFS(Data!$H$2:$H$1006,Data!$A$2:$A$1006,$A48,Data!$B$2:$B$1006,$B48)</f>
        <v>51.945458</v>
      </c>
      <c r="K48" s="11" t="n">
        <f aca="false">IFERROR(F48*1000000/$E48,"")</f>
        <v>89.2048714152925</v>
      </c>
      <c r="L48" s="11" t="n">
        <f aca="false">IFERROR(G48*1000000/$E48,"")</f>
        <v>85.0673219265329</v>
      </c>
      <c r="M48" s="11" t="n">
        <f aca="false">IFERROR(H48*1000000/$E48,"")</f>
        <v>64.8096877474438</v>
      </c>
      <c r="N48" s="11" t="n">
        <f aca="false">IFERROR(I48*1000000/$E48,"")</f>
        <v>239.081881089269</v>
      </c>
      <c r="O48" s="11" t="n">
        <f aca="false">IFERROR(J48*1000000/$E48,"")</f>
        <v>89.4162185423624</v>
      </c>
      <c r="P48" s="16" t="n">
        <f aca="false">COUNTIFS($A$4:$A$1008,$A48,$N$4:$N$1008,"&gt;"&amp;N48)+1</f>
        <v>10</v>
      </c>
      <c r="Q48" s="16" t="n">
        <f aca="false">COUNTIFS($A$4:$A$1008,$A48,$O$4:$O$1008,"&gt;"&amp;O48)+1</f>
        <v>23</v>
      </c>
    </row>
    <row r="49" customFormat="false" ht="15" hidden="false" customHeight="false" outlineLevel="0" collapsed="false">
      <c r="A49" s="7" t="n">
        <v>2001</v>
      </c>
      <c r="B49" s="15" t="s">
        <v>112</v>
      </c>
      <c r="C49" s="15" t="s">
        <v>102</v>
      </c>
      <c r="D49" s="15" t="s">
        <v>107</v>
      </c>
      <c r="E49" s="9" t="n">
        <f aca="false">SUMIFS(Data!$L$2:$L$1006,Data!$A$2:$A$1006,$A49,Data!$B$2:$B$1006,$B49)</f>
        <v>151266</v>
      </c>
      <c r="F49" s="10" t="n">
        <f aca="false">SUMIFS(Data!$E$2:$E$1006,Data!$A$2:$A$1006,$A49,Data!$B$2:$B$1006,$B49)</f>
        <v>8.554656</v>
      </c>
      <c r="G49" s="10" t="n">
        <f aca="false">SUMIFS(Data!$F$2:$F$1006,Data!$A$2:$A$1006,$A49,Data!$B$2:$B$1006,$B49)</f>
        <v>6.832228</v>
      </c>
      <c r="H49" s="10" t="n">
        <f aca="false">SUMIFS(Data!$G$2:$G$1006,Data!$A$2:$A$1006,$A49,Data!$B$2:$B$1006,$B49)</f>
        <v>6.568438</v>
      </c>
      <c r="I49" s="10" t="n">
        <f aca="false">SUMIFS(Data!$N$2:$N$1006,Data!$A$2:$A$1006,$A49,Data!$B$2:$B$1006,$B49)</f>
        <v>21.955322</v>
      </c>
      <c r="J49" s="10" t="n">
        <f aca="false">SUMIFS(Data!$H$2:$H$1006,Data!$A$2:$A$1006,$A49,Data!$B$2:$B$1006,$B49)</f>
        <v>11.030107</v>
      </c>
      <c r="K49" s="11" t="n">
        <f aca="false">IFERROR(F49*1000000/$E49,"")</f>
        <v>56.5537265479354</v>
      </c>
      <c r="L49" s="11" t="n">
        <f aca="false">IFERROR(G49*1000000/$E49,"")</f>
        <v>45.1669773775997</v>
      </c>
      <c r="M49" s="11" t="n">
        <f aca="false">IFERROR(H49*1000000/$E49,"")</f>
        <v>43.4230957386326</v>
      </c>
      <c r="N49" s="11" t="n">
        <f aca="false">IFERROR(I49*1000000/$E49,"")</f>
        <v>145.143799664168</v>
      </c>
      <c r="O49" s="11" t="n">
        <f aca="false">IFERROR(J49*1000000/$E49,"")</f>
        <v>72.9186135681515</v>
      </c>
      <c r="P49" s="16" t="n">
        <f aca="false">COUNTIFS($A$4:$A$1008,$A49,$N$4:$N$1008,"&gt;"&amp;N49)+1</f>
        <v>38</v>
      </c>
      <c r="Q49" s="16" t="n">
        <f aca="false">COUNTIFS($A$4:$A$1008,$A49,$O$4:$O$1008,"&gt;"&amp;O49)+1</f>
        <v>30</v>
      </c>
    </row>
    <row r="50" customFormat="false" ht="15" hidden="false" customHeight="false" outlineLevel="0" collapsed="false">
      <c r="A50" s="7" t="n">
        <v>2001</v>
      </c>
      <c r="B50" s="15" t="s">
        <v>113</v>
      </c>
      <c r="C50" s="15" t="s">
        <v>102</v>
      </c>
      <c r="D50" s="15" t="s">
        <v>114</v>
      </c>
      <c r="E50" s="9" t="n">
        <f aca="false">SUMIFS(Data!$L$2:$L$1006,Data!$A$2:$A$1006,$A50,Data!$B$2:$B$1006,$B50)</f>
        <v>411490</v>
      </c>
      <c r="F50" s="10" t="n">
        <f aca="false">SUMIFS(Data!$E$2:$E$1006,Data!$A$2:$A$1006,$A50,Data!$B$2:$B$1006,$B50)</f>
        <v>30.441526</v>
      </c>
      <c r="G50" s="10" t="n">
        <f aca="false">SUMIFS(Data!$F$2:$F$1006,Data!$A$2:$A$1006,$A50,Data!$B$2:$B$1006,$B50)</f>
        <v>15.475389</v>
      </c>
      <c r="H50" s="10" t="n">
        <f aca="false">SUMIFS(Data!$G$2:$G$1006,Data!$A$2:$A$1006,$A50,Data!$B$2:$B$1006,$B50)</f>
        <v>27.217435</v>
      </c>
      <c r="I50" s="10" t="n">
        <f aca="false">SUMIFS(Data!$N$2:$N$1006,Data!$A$2:$A$1006,$A50,Data!$B$2:$B$1006,$B50)</f>
        <v>73.13435</v>
      </c>
      <c r="J50" s="10" t="n">
        <f aca="false">SUMIFS(Data!$H$2:$H$1006,Data!$A$2:$A$1006,$A50,Data!$B$2:$B$1006,$B50)</f>
        <v>44.942602</v>
      </c>
      <c r="K50" s="11" t="n">
        <f aca="false">IFERROR(F50*1000000/$E50,"")</f>
        <v>73.9787746968335</v>
      </c>
      <c r="L50" s="11" t="n">
        <f aca="false">IFERROR(G50*1000000/$E50,"")</f>
        <v>37.6081775984836</v>
      </c>
      <c r="M50" s="11" t="n">
        <f aca="false">IFERROR(H50*1000000/$E50,"")</f>
        <v>66.1436122384505</v>
      </c>
      <c r="N50" s="11" t="n">
        <f aca="false">IFERROR(I50*1000000/$E50,"")</f>
        <v>177.730564533768</v>
      </c>
      <c r="O50" s="11" t="n">
        <f aca="false">IFERROR(J50*1000000/$E50,"")</f>
        <v>109.219183941287</v>
      </c>
      <c r="P50" s="16" t="n">
        <f aca="false">COUNTIFS($A$4:$A$1008,$A50,$N$4:$N$1008,"&gt;"&amp;N50)+1</f>
        <v>28</v>
      </c>
      <c r="Q50" s="16" t="n">
        <f aca="false">COUNTIFS($A$4:$A$1008,$A50,$O$4:$O$1008,"&gt;"&amp;O50)+1</f>
        <v>12</v>
      </c>
    </row>
    <row r="51" customFormat="false" ht="15" hidden="false" customHeight="false" outlineLevel="0" collapsed="false">
      <c r="A51" s="7" t="n">
        <v>2001</v>
      </c>
      <c r="B51" s="15" t="s">
        <v>115</v>
      </c>
      <c r="C51" s="15" t="s">
        <v>102</v>
      </c>
      <c r="D51" s="15" t="s">
        <v>103</v>
      </c>
      <c r="E51" s="9" t="n">
        <f aca="false">SUMIFS(Data!$L$2:$L$1006,Data!$A$2:$A$1006,$A51,Data!$B$2:$B$1006,$B51)</f>
        <v>303624</v>
      </c>
      <c r="F51" s="10" t="n">
        <f aca="false">SUMIFS(Data!$E$2:$E$1006,Data!$A$2:$A$1006,$A51,Data!$B$2:$B$1006,$B51)</f>
        <v>25.363121</v>
      </c>
      <c r="G51" s="10" t="n">
        <f aca="false">SUMIFS(Data!$F$2:$F$1006,Data!$A$2:$A$1006,$A51,Data!$B$2:$B$1006,$B51)</f>
        <v>8.62726</v>
      </c>
      <c r="H51" s="10" t="n">
        <f aca="false">SUMIFS(Data!$G$2:$G$1006,Data!$A$2:$A$1006,$A51,Data!$B$2:$B$1006,$B51)</f>
        <v>18.884691</v>
      </c>
      <c r="I51" s="10" t="n">
        <f aca="false">SUMIFS(Data!$N$2:$N$1006,Data!$A$2:$A$1006,$A51,Data!$B$2:$B$1006,$B51)</f>
        <v>52.875072</v>
      </c>
      <c r="J51" s="10" t="n">
        <f aca="false">SUMIFS(Data!$H$2:$H$1006,Data!$A$2:$A$1006,$A51,Data!$B$2:$B$1006,$B51)</f>
        <v>15.482607</v>
      </c>
      <c r="K51" s="11" t="n">
        <f aca="false">IFERROR(F51*1000000/$E51,"")</f>
        <v>83.5346382367665</v>
      </c>
      <c r="L51" s="11" t="n">
        <f aca="false">IFERROR(G51*1000000/$E51,"")</f>
        <v>28.4142887255289</v>
      </c>
      <c r="M51" s="11" t="n">
        <f aca="false">IFERROR(H51*1000000/$E51,"")</f>
        <v>62.1976227175717</v>
      </c>
      <c r="N51" s="11" t="n">
        <f aca="false">IFERROR(I51*1000000/$E51,"")</f>
        <v>174.146549679867</v>
      </c>
      <c r="O51" s="11" t="n">
        <f aca="false">IFERROR(J51*1000000/$E51,"")</f>
        <v>50.9926982056754</v>
      </c>
      <c r="P51" s="16" t="n">
        <f aca="false">COUNTIFS($A$4:$A$1008,$A51,$N$4:$N$1008,"&gt;"&amp;N51)+1</f>
        <v>29</v>
      </c>
      <c r="Q51" s="16" t="n">
        <f aca="false">COUNTIFS($A$4:$A$1008,$A51,$O$4:$O$1008,"&gt;"&amp;O51)+1</f>
        <v>36</v>
      </c>
    </row>
    <row r="52" customFormat="false" ht="15" hidden="false" customHeight="false" outlineLevel="0" collapsed="false">
      <c r="A52" s="7" t="n">
        <v>2001</v>
      </c>
      <c r="B52" s="15" t="s">
        <v>116</v>
      </c>
      <c r="C52" s="15" t="s">
        <v>102</v>
      </c>
      <c r="D52" s="15" t="s">
        <v>107</v>
      </c>
      <c r="E52" s="9" t="n">
        <f aca="false">SUMIFS(Data!$L$2:$L$1006,Data!$A$2:$A$1006,$A52,Data!$B$2:$B$1006,$B52)</f>
        <v>684431</v>
      </c>
      <c r="F52" s="10" t="n">
        <f aca="false">SUMIFS(Data!$E$2:$E$1006,Data!$A$2:$A$1006,$A52,Data!$B$2:$B$1006,$B52)</f>
        <v>43.915228</v>
      </c>
      <c r="G52" s="10" t="n">
        <f aca="false">SUMIFS(Data!$F$2:$F$1006,Data!$A$2:$A$1006,$A52,Data!$B$2:$B$1006,$B52)</f>
        <v>32.960451</v>
      </c>
      <c r="H52" s="10" t="n">
        <f aca="false">SUMIFS(Data!$G$2:$G$1006,Data!$A$2:$A$1006,$A52,Data!$B$2:$B$1006,$B52)</f>
        <v>31.119557</v>
      </c>
      <c r="I52" s="10" t="n">
        <f aca="false">SUMIFS(Data!$N$2:$N$1006,Data!$A$2:$A$1006,$A52,Data!$B$2:$B$1006,$B52)</f>
        <v>107.995236</v>
      </c>
      <c r="J52" s="10" t="n">
        <f aca="false">SUMIFS(Data!$H$2:$H$1006,Data!$A$2:$A$1006,$A52,Data!$B$2:$B$1006,$B52)</f>
        <v>39.7859</v>
      </c>
      <c r="K52" s="11" t="n">
        <f aca="false">IFERROR(F52*1000000/$E52,"")</f>
        <v>64.1631194378981</v>
      </c>
      <c r="L52" s="11" t="n">
        <f aca="false">IFERROR(G52*1000000/$E52,"")</f>
        <v>48.1574490343073</v>
      </c>
      <c r="M52" s="11" t="n">
        <f aca="false">IFERROR(H52*1000000/$E52,"")</f>
        <v>45.4677783443474</v>
      </c>
      <c r="N52" s="11" t="n">
        <f aca="false">IFERROR(I52*1000000/$E52,"")</f>
        <v>157.788346816553</v>
      </c>
      <c r="O52" s="11" t="n">
        <f aca="false">IFERROR(J52*1000000/$E52,"")</f>
        <v>58.1298918371611</v>
      </c>
      <c r="P52" s="16" t="n">
        <f aca="false">COUNTIFS($A$4:$A$1008,$A52,$N$4:$N$1008,"&gt;"&amp;N52)+1</f>
        <v>33</v>
      </c>
      <c r="Q52" s="16" t="n">
        <f aca="false">COUNTIFS($A$4:$A$1008,$A52,$O$4:$O$1008,"&gt;"&amp;O52)+1</f>
        <v>34</v>
      </c>
    </row>
    <row r="53" customFormat="false" ht="15" hidden="false" customHeight="false" outlineLevel="0" collapsed="false">
      <c r="A53" s="7" t="n">
        <v>2001</v>
      </c>
      <c r="B53" s="15" t="s">
        <v>117</v>
      </c>
      <c r="C53" s="15" t="s">
        <v>118</v>
      </c>
      <c r="D53" s="15" t="s">
        <v>103</v>
      </c>
      <c r="E53" s="9" t="n">
        <f aca="false">SUMIFS(Data!$L$2:$L$1006,Data!$A$2:$A$1006,$A53,Data!$B$2:$B$1006,$B53)</f>
        <v>1370116</v>
      </c>
      <c r="F53" s="10" t="n">
        <f aca="false">SUMIFS(Data!$E$2:$E$1006,Data!$A$2:$A$1006,$A53,Data!$B$2:$B$1006,$B53)</f>
        <v>101.181507</v>
      </c>
      <c r="G53" s="10" t="n">
        <f aca="false">SUMIFS(Data!$F$2:$F$1006,Data!$A$2:$A$1006,$A53,Data!$B$2:$B$1006,$B53)</f>
        <v>85.498352</v>
      </c>
      <c r="H53" s="10" t="n">
        <f aca="false">SUMIFS(Data!$G$2:$G$1006,Data!$A$2:$A$1006,$A53,Data!$B$2:$B$1006,$B53)</f>
        <v>82.625357</v>
      </c>
      <c r="I53" s="10" t="n">
        <f aca="false">SUMIFS(Data!$N$2:$N$1006,Data!$A$2:$A$1006,$A53,Data!$B$2:$B$1006,$B53)</f>
        <v>269.305216</v>
      </c>
      <c r="J53" s="10" t="n">
        <f aca="false">SUMIFS(Data!$H$2:$H$1006,Data!$A$2:$A$1006,$A53,Data!$B$2:$B$1006,$B53)</f>
        <v>133.763007</v>
      </c>
      <c r="K53" s="11" t="n">
        <f aca="false">IFERROR(F53*1000000/$E53,"")</f>
        <v>73.8488617022208</v>
      </c>
      <c r="L53" s="11" t="n">
        <f aca="false">IFERROR(G53*1000000/$E53,"")</f>
        <v>62.4022725083132</v>
      </c>
      <c r="M53" s="11" t="n">
        <f aca="false">IFERROR(H53*1000000/$E53,"")</f>
        <v>60.305373413638</v>
      </c>
      <c r="N53" s="11" t="n">
        <f aca="false">IFERROR(I53*1000000/$E53,"")</f>
        <v>196.556507624172</v>
      </c>
      <c r="O53" s="11" t="n">
        <f aca="false">IFERROR(J53*1000000/$E53,"")</f>
        <v>97.6289649927451</v>
      </c>
      <c r="P53" s="16" t="n">
        <f aca="false">COUNTIFS($A$4:$A$1008,$A53,$N$4:$N$1008,"&gt;"&amp;N53)+1</f>
        <v>23</v>
      </c>
      <c r="Q53" s="16" t="n">
        <f aca="false">COUNTIFS($A$4:$A$1008,$A53,$O$4:$O$1008,"&gt;"&amp;O53)+1</f>
        <v>16</v>
      </c>
    </row>
    <row r="54" customFormat="false" ht="15" hidden="false" customHeight="false" outlineLevel="0" collapsed="false">
      <c r="A54" s="7" t="n">
        <v>2001</v>
      </c>
      <c r="B54" s="15" t="s">
        <v>119</v>
      </c>
      <c r="C54" s="15" t="s">
        <v>118</v>
      </c>
      <c r="D54" s="15" t="s">
        <v>103</v>
      </c>
      <c r="E54" s="9" t="n">
        <f aca="false">SUMIFS(Data!$L$2:$L$1006,Data!$A$2:$A$1006,$A54,Data!$B$2:$B$1006,$B54)</f>
        <v>500502</v>
      </c>
      <c r="F54" s="10" t="n">
        <f aca="false">SUMIFS(Data!$E$2:$E$1006,Data!$A$2:$A$1006,$A54,Data!$B$2:$B$1006,$B54)</f>
        <v>22.184488</v>
      </c>
      <c r="G54" s="10" t="n">
        <f aca="false">SUMIFS(Data!$F$2:$F$1006,Data!$A$2:$A$1006,$A54,Data!$B$2:$B$1006,$B54)</f>
        <v>29.964885</v>
      </c>
      <c r="H54" s="10" t="n">
        <f aca="false">SUMIFS(Data!$G$2:$G$1006,Data!$A$2:$A$1006,$A54,Data!$B$2:$B$1006,$B54)</f>
        <v>31.602066</v>
      </c>
      <c r="I54" s="10" t="n">
        <f aca="false">SUMIFS(Data!$N$2:$N$1006,Data!$A$2:$A$1006,$A54,Data!$B$2:$B$1006,$B54)</f>
        <v>83.751439</v>
      </c>
      <c r="J54" s="10" t="n">
        <f aca="false">SUMIFS(Data!$H$2:$H$1006,Data!$A$2:$A$1006,$A54,Data!$B$2:$B$1006,$B54)</f>
        <v>41.834015</v>
      </c>
      <c r="K54" s="11" t="n">
        <f aca="false">IFERROR(F54*1000000/$E54,"")</f>
        <v>44.3244742278752</v>
      </c>
      <c r="L54" s="11" t="n">
        <f aca="false">IFERROR(G54*1000000/$E54,"")</f>
        <v>59.8696608604961</v>
      </c>
      <c r="M54" s="11" t="n">
        <f aca="false">IFERROR(H54*1000000/$E54,"")</f>
        <v>63.1407386983469</v>
      </c>
      <c r="N54" s="11" t="n">
        <f aca="false">IFERROR(I54*1000000/$E54,"")</f>
        <v>167.334873786718</v>
      </c>
      <c r="O54" s="11" t="n">
        <f aca="false">IFERROR(J54*1000000/$E54,"")</f>
        <v>83.5841115520018</v>
      </c>
      <c r="P54" s="16" t="n">
        <f aca="false">COUNTIFS($A$4:$A$1008,$A54,$N$4:$N$1008,"&gt;"&amp;N54)+1</f>
        <v>30</v>
      </c>
      <c r="Q54" s="16" t="n">
        <f aca="false">COUNTIFS($A$4:$A$1008,$A54,$O$4:$O$1008,"&gt;"&amp;O54)+1</f>
        <v>26</v>
      </c>
    </row>
    <row r="55" customFormat="false" ht="15" hidden="false" customHeight="false" outlineLevel="0" collapsed="false">
      <c r="A55" s="7" t="n">
        <v>2001</v>
      </c>
      <c r="B55" s="15" t="s">
        <v>120</v>
      </c>
      <c r="C55" s="15" t="s">
        <v>118</v>
      </c>
      <c r="D55" s="15" t="s">
        <v>121</v>
      </c>
      <c r="E55" s="9" t="n">
        <f aca="false">SUMIFS(Data!$L$2:$L$1006,Data!$A$2:$A$1006,$A55,Data!$B$2:$B$1006,$B55)</f>
        <v>911957</v>
      </c>
      <c r="F55" s="10" t="n">
        <f aca="false">SUMIFS(Data!$E$2:$E$1006,Data!$A$2:$A$1006,$A55,Data!$B$2:$B$1006,$B55)</f>
        <v>82.84652</v>
      </c>
      <c r="G55" s="10" t="n">
        <f aca="false">SUMIFS(Data!$F$2:$F$1006,Data!$A$2:$A$1006,$A55,Data!$B$2:$B$1006,$B55)</f>
        <v>49.402724</v>
      </c>
      <c r="H55" s="10" t="n">
        <f aca="false">SUMIFS(Data!$G$2:$G$1006,Data!$A$2:$A$1006,$A55,Data!$B$2:$B$1006,$B55)</f>
        <v>60.081884</v>
      </c>
      <c r="I55" s="10" t="n">
        <f aca="false">SUMIFS(Data!$N$2:$N$1006,Data!$A$2:$A$1006,$A55,Data!$B$2:$B$1006,$B55)</f>
        <v>192.331128</v>
      </c>
      <c r="J55" s="10" t="n">
        <f aca="false">SUMIFS(Data!$H$2:$H$1006,Data!$A$2:$A$1006,$A55,Data!$B$2:$B$1006,$B55)</f>
        <v>97.135616</v>
      </c>
      <c r="K55" s="11" t="n">
        <f aca="false">IFERROR(F55*1000000/$E55,"")</f>
        <v>90.8447657071551</v>
      </c>
      <c r="L55" s="11" t="n">
        <f aca="false">IFERROR(G55*1000000/$E55,"")</f>
        <v>54.1722076808446</v>
      </c>
      <c r="M55" s="11" t="n">
        <f aca="false">IFERROR(H55*1000000/$E55,"")</f>
        <v>65.8823650676512</v>
      </c>
      <c r="N55" s="11" t="n">
        <f aca="false">IFERROR(I55*1000000/$E55,"")</f>
        <v>210.899338455651</v>
      </c>
      <c r="O55" s="11" t="n">
        <f aca="false">IFERROR(J55*1000000/$E55,"")</f>
        <v>106.513372889292</v>
      </c>
      <c r="P55" s="16" t="n">
        <f aca="false">COUNTIFS($A$4:$A$1008,$A55,$N$4:$N$1008,"&gt;"&amp;N55)+1</f>
        <v>17</v>
      </c>
      <c r="Q55" s="16" t="n">
        <f aca="false">COUNTIFS($A$4:$A$1008,$A55,$O$4:$O$1008,"&gt;"&amp;O55)+1</f>
        <v>13</v>
      </c>
    </row>
    <row r="56" customFormat="false" ht="15" hidden="false" customHeight="false" outlineLevel="0" collapsed="false">
      <c r="A56" s="7" t="n">
        <v>2001</v>
      </c>
      <c r="B56" s="15" t="s">
        <v>122</v>
      </c>
      <c r="C56" s="15" t="s">
        <v>118</v>
      </c>
      <c r="D56" s="15" t="s">
        <v>105</v>
      </c>
      <c r="E56" s="9" t="n">
        <f aca="false">SUMIFS(Data!$L$2:$L$1006,Data!$A$2:$A$1006,$A56,Data!$B$2:$B$1006,$B56)</f>
        <v>505302</v>
      </c>
      <c r="F56" s="10" t="n">
        <f aca="false">SUMIFS(Data!$E$2:$E$1006,Data!$A$2:$A$1006,$A56,Data!$B$2:$B$1006,$B56)</f>
        <v>41.472334</v>
      </c>
      <c r="G56" s="10" t="n">
        <f aca="false">SUMIFS(Data!$F$2:$F$1006,Data!$A$2:$A$1006,$A56,Data!$B$2:$B$1006,$B56)</f>
        <v>50.99432</v>
      </c>
      <c r="H56" s="10" t="n">
        <f aca="false">SUMIFS(Data!$G$2:$G$1006,Data!$A$2:$A$1006,$A56,Data!$B$2:$B$1006,$B56)</f>
        <v>31.287783</v>
      </c>
      <c r="I56" s="10" t="n">
        <f aca="false">SUMIFS(Data!$N$2:$N$1006,Data!$A$2:$A$1006,$A56,Data!$B$2:$B$1006,$B56)</f>
        <v>123.754437</v>
      </c>
      <c r="J56" s="10" t="n">
        <f aca="false">SUMIFS(Data!$H$2:$H$1006,Data!$A$2:$A$1006,$A56,Data!$B$2:$B$1006,$B56)</f>
        <v>26.37738</v>
      </c>
      <c r="K56" s="11" t="n">
        <f aca="false">IFERROR(F56*1000000/$E56,"")</f>
        <v>82.0743515758893</v>
      </c>
      <c r="L56" s="11" t="n">
        <f aca="false">IFERROR(G56*1000000/$E56,"")</f>
        <v>100.918500223629</v>
      </c>
      <c r="M56" s="11" t="n">
        <f aca="false">IFERROR(H56*1000000/$E56,"")</f>
        <v>61.9189771661304</v>
      </c>
      <c r="N56" s="11" t="n">
        <f aca="false">IFERROR(I56*1000000/$E56,"")</f>
        <v>244.911828965648</v>
      </c>
      <c r="O56" s="11" t="n">
        <f aca="false">IFERROR(J56*1000000/$E56,"")</f>
        <v>52.2012182813446</v>
      </c>
      <c r="P56" s="16" t="n">
        <f aca="false">COUNTIFS($A$4:$A$1008,$A56,$N$4:$N$1008,"&gt;"&amp;N56)+1</f>
        <v>8</v>
      </c>
      <c r="Q56" s="16" t="n">
        <f aca="false">COUNTIFS($A$4:$A$1008,$A56,$O$4:$O$1008,"&gt;"&amp;O56)+1</f>
        <v>35</v>
      </c>
    </row>
    <row r="57" customFormat="false" ht="15" hidden="false" customHeight="false" outlineLevel="0" collapsed="false">
      <c r="A57" s="7" t="n">
        <v>2001</v>
      </c>
      <c r="B57" s="15" t="s">
        <v>123</v>
      </c>
      <c r="C57" s="15" t="s">
        <v>118</v>
      </c>
      <c r="D57" s="15" t="s">
        <v>124</v>
      </c>
      <c r="E57" s="9" t="n">
        <f aca="false">SUMIFS(Data!$L$2:$L$1006,Data!$A$2:$A$1006,$A57,Data!$B$2:$B$1006,$B57)</f>
        <v>1153343</v>
      </c>
      <c r="F57" s="10" t="n">
        <f aca="false">SUMIFS(Data!$E$2:$E$1006,Data!$A$2:$A$1006,$A57,Data!$B$2:$B$1006,$B57)</f>
        <v>88.459584</v>
      </c>
      <c r="G57" s="10" t="n">
        <f aca="false">SUMIFS(Data!$F$2:$F$1006,Data!$A$2:$A$1006,$A57,Data!$B$2:$B$1006,$B57)</f>
        <v>65.491775</v>
      </c>
      <c r="H57" s="10" t="n">
        <f aca="false">SUMIFS(Data!$G$2:$G$1006,Data!$A$2:$A$1006,$A57,Data!$B$2:$B$1006,$B57)</f>
        <v>95.26302</v>
      </c>
      <c r="I57" s="10" t="n">
        <f aca="false">SUMIFS(Data!$N$2:$N$1006,Data!$A$2:$A$1006,$A57,Data!$B$2:$B$1006,$B57)</f>
        <v>249.214379</v>
      </c>
      <c r="J57" s="10" t="n">
        <f aca="false">SUMIFS(Data!$H$2:$H$1006,Data!$A$2:$A$1006,$A57,Data!$B$2:$B$1006,$B57)</f>
        <v>115.697673</v>
      </c>
      <c r="K57" s="11" t="n">
        <f aca="false">IFERROR(F57*1000000/$E57,"")</f>
        <v>76.6984184236606</v>
      </c>
      <c r="L57" s="11" t="n">
        <f aca="false">IFERROR(G57*1000000/$E57,"")</f>
        <v>56.7843000737855</v>
      </c>
      <c r="M57" s="11" t="n">
        <f aca="false">IFERROR(H57*1000000/$E57,"")</f>
        <v>82.5973019301283</v>
      </c>
      <c r="N57" s="11" t="n">
        <f aca="false">IFERROR(I57*1000000/$E57,"")</f>
        <v>216.080020427574</v>
      </c>
      <c r="O57" s="11" t="n">
        <f aca="false">IFERROR(J57*1000000/$E57,"")</f>
        <v>100.315060654116</v>
      </c>
      <c r="P57" s="16" t="n">
        <f aca="false">COUNTIFS($A$4:$A$1008,$A57,$N$4:$N$1008,"&gt;"&amp;N57)+1</f>
        <v>14</v>
      </c>
      <c r="Q57" s="16" t="n">
        <f aca="false">COUNTIFS($A$4:$A$1008,$A57,$O$4:$O$1008,"&gt;"&amp;O57)+1</f>
        <v>15</v>
      </c>
    </row>
    <row r="58" customFormat="false" ht="15" hidden="false" customHeight="false" outlineLevel="0" collapsed="false">
      <c r="A58" s="7" t="n">
        <v>2001</v>
      </c>
      <c r="B58" s="15" t="s">
        <v>125</v>
      </c>
      <c r="C58" s="15" t="s">
        <v>118</v>
      </c>
      <c r="D58" s="15" t="s">
        <v>126</v>
      </c>
      <c r="E58" s="9" t="n">
        <f aca="false">SUMIFS(Data!$L$2:$L$1006,Data!$A$2:$A$1006,$A58,Data!$B$2:$B$1006,$B58)</f>
        <v>476373</v>
      </c>
      <c r="F58" s="10" t="n">
        <f aca="false">SUMIFS(Data!$E$2:$E$1006,Data!$A$2:$A$1006,$A58,Data!$B$2:$B$1006,$B58)</f>
        <v>39.737771</v>
      </c>
      <c r="G58" s="10" t="n">
        <f aca="false">SUMIFS(Data!$F$2:$F$1006,Data!$A$2:$A$1006,$A58,Data!$B$2:$B$1006,$B58)</f>
        <v>51.807983</v>
      </c>
      <c r="H58" s="10" t="n">
        <f aca="false">SUMIFS(Data!$G$2:$G$1006,Data!$A$2:$A$1006,$A58,Data!$B$2:$B$1006,$B58)</f>
        <v>31.65948</v>
      </c>
      <c r="I58" s="10" t="n">
        <f aca="false">SUMIFS(Data!$N$2:$N$1006,Data!$A$2:$A$1006,$A58,Data!$B$2:$B$1006,$B58)</f>
        <v>123.205234</v>
      </c>
      <c r="J58" s="10" t="n">
        <f aca="false">SUMIFS(Data!$H$2:$H$1006,Data!$A$2:$A$1006,$A58,Data!$B$2:$B$1006,$B58)</f>
        <v>30.309474</v>
      </c>
      <c r="K58" s="11" t="n">
        <f aca="false">IFERROR(F58*1000000/$E58,"")</f>
        <v>83.4173452315727</v>
      </c>
      <c r="L58" s="11" t="n">
        <f aca="false">IFERROR(G58*1000000/$E58,"")</f>
        <v>108.755078478419</v>
      </c>
      <c r="M58" s="11" t="n">
        <f aca="false">IFERROR(H58*1000000/$E58,"")</f>
        <v>66.4594340989099</v>
      </c>
      <c r="N58" s="11" t="n">
        <f aca="false">IFERROR(I58*1000000/$E58,"")</f>
        <v>258.631857808902</v>
      </c>
      <c r="O58" s="11" t="n">
        <f aca="false">IFERROR(J58*1000000/$E58,"")</f>
        <v>63.6255077428822</v>
      </c>
      <c r="P58" s="16" t="n">
        <f aca="false">COUNTIFS($A$4:$A$1008,$A58,$N$4:$N$1008,"&gt;"&amp;N58)+1</f>
        <v>5</v>
      </c>
      <c r="Q58" s="16" t="n">
        <f aca="false">COUNTIFS($A$4:$A$1008,$A58,$O$4:$O$1008,"&gt;"&amp;O58)+1</f>
        <v>32</v>
      </c>
    </row>
    <row r="59" customFormat="false" ht="15" hidden="false" customHeight="false" outlineLevel="0" collapsed="false">
      <c r="A59" s="7" t="n">
        <v>2001</v>
      </c>
      <c r="B59" s="15" t="s">
        <v>127</v>
      </c>
      <c r="C59" s="15" t="s">
        <v>118</v>
      </c>
      <c r="D59" s="15" t="s">
        <v>103</v>
      </c>
      <c r="E59" s="9" t="n">
        <f aca="false">SUMIFS(Data!$L$2:$L$1006,Data!$A$2:$A$1006,$A59,Data!$B$2:$B$1006,$B59)</f>
        <v>659127</v>
      </c>
      <c r="F59" s="10" t="n">
        <f aca="false">SUMIFS(Data!$E$2:$E$1006,Data!$A$2:$A$1006,$A59,Data!$B$2:$B$1006,$B59)</f>
        <v>35.71515</v>
      </c>
      <c r="G59" s="10" t="n">
        <f aca="false">SUMIFS(Data!$F$2:$F$1006,Data!$A$2:$A$1006,$A59,Data!$B$2:$B$1006,$B59)</f>
        <v>30.993205</v>
      </c>
      <c r="H59" s="10" t="n">
        <f aca="false">SUMIFS(Data!$G$2:$G$1006,Data!$A$2:$A$1006,$A59,Data!$B$2:$B$1006,$B59)</f>
        <v>31.560448</v>
      </c>
      <c r="I59" s="10" t="n">
        <f aca="false">SUMIFS(Data!$N$2:$N$1006,Data!$A$2:$A$1006,$A59,Data!$B$2:$B$1006,$B59)</f>
        <v>98.268803</v>
      </c>
      <c r="J59" s="10" t="n">
        <f aca="false">SUMIFS(Data!$H$2:$H$1006,Data!$A$2:$A$1006,$A59,Data!$B$2:$B$1006,$B59)</f>
        <v>61.082285</v>
      </c>
      <c r="K59" s="11" t="n">
        <f aca="false">IFERROR(F59*1000000/$E59,"")</f>
        <v>54.1855363230455</v>
      </c>
      <c r="L59" s="11" t="n">
        <f aca="false">IFERROR(G59*1000000/$E59,"")</f>
        <v>47.0215982655846</v>
      </c>
      <c r="M59" s="11" t="n">
        <f aca="false">IFERROR(H59*1000000/$E59,"")</f>
        <v>47.8821956921807</v>
      </c>
      <c r="N59" s="11" t="n">
        <f aca="false">IFERROR(I59*1000000/$E59,"")</f>
        <v>149.089330280811</v>
      </c>
      <c r="O59" s="11" t="n">
        <f aca="false">IFERROR(J59*1000000/$E59,"")</f>
        <v>92.6714957815413</v>
      </c>
      <c r="P59" s="16" t="n">
        <f aca="false">COUNTIFS($A$4:$A$1008,$A59,$N$4:$N$1008,"&gt;"&amp;N59)+1</f>
        <v>36</v>
      </c>
      <c r="Q59" s="16" t="n">
        <f aca="false">COUNTIFS($A$4:$A$1008,$A59,$O$4:$O$1008,"&gt;"&amp;O59)+1</f>
        <v>21</v>
      </c>
    </row>
    <row r="60" customFormat="false" ht="15" hidden="false" customHeight="false" outlineLevel="0" collapsed="false">
      <c r="A60" s="7" t="n">
        <v>2001</v>
      </c>
      <c r="B60" s="15" t="s">
        <v>128</v>
      </c>
      <c r="C60" s="15" t="s">
        <v>118</v>
      </c>
      <c r="D60" s="15" t="s">
        <v>107</v>
      </c>
      <c r="E60" s="9" t="n">
        <f aca="false">SUMIFS(Data!$L$2:$L$1006,Data!$A$2:$A$1006,$A60,Data!$B$2:$B$1006,$B60)</f>
        <v>585667</v>
      </c>
      <c r="F60" s="10" t="n">
        <f aca="false">SUMIFS(Data!$E$2:$E$1006,Data!$A$2:$A$1006,$A60,Data!$B$2:$B$1006,$B60)</f>
        <v>24.374056</v>
      </c>
      <c r="G60" s="10" t="n">
        <f aca="false">SUMIFS(Data!$F$2:$F$1006,Data!$A$2:$A$1006,$A60,Data!$B$2:$B$1006,$B60)</f>
        <v>29.374081</v>
      </c>
      <c r="H60" s="10" t="n">
        <f aca="false">SUMIFS(Data!$G$2:$G$1006,Data!$A$2:$A$1006,$A60,Data!$B$2:$B$1006,$B60)</f>
        <v>31.903749</v>
      </c>
      <c r="I60" s="10" t="n">
        <f aca="false">SUMIFS(Data!$N$2:$N$1006,Data!$A$2:$A$1006,$A60,Data!$B$2:$B$1006,$B60)</f>
        <v>85.651886</v>
      </c>
      <c r="J60" s="10" t="n">
        <f aca="false">SUMIFS(Data!$H$2:$H$1006,Data!$A$2:$A$1006,$A60,Data!$B$2:$B$1006,$B60)</f>
        <v>51.958102</v>
      </c>
      <c r="K60" s="11" t="n">
        <f aca="false">IFERROR(F60*1000000/$E60,"")</f>
        <v>41.6176018112682</v>
      </c>
      <c r="L60" s="11" t="n">
        <f aca="false">IFERROR(G60*1000000/$E60,"")</f>
        <v>50.1549190922487</v>
      </c>
      <c r="M60" s="11" t="n">
        <f aca="false">IFERROR(H60*1000000/$E60,"")</f>
        <v>54.474213162087</v>
      </c>
      <c r="N60" s="11" t="n">
        <f aca="false">IFERROR(I60*1000000/$E60,"")</f>
        <v>146.246734065604</v>
      </c>
      <c r="O60" s="11" t="n">
        <f aca="false">IFERROR(J60*1000000/$E60,"")</f>
        <v>88.7161168377252</v>
      </c>
      <c r="P60" s="16" t="n">
        <f aca="false">COUNTIFS($A$4:$A$1008,$A60,$N$4:$N$1008,"&gt;"&amp;N60)+1</f>
        <v>37</v>
      </c>
      <c r="Q60" s="16" t="n">
        <f aca="false">COUNTIFS($A$4:$A$1008,$A60,$O$4:$O$1008,"&gt;"&amp;O60)+1</f>
        <v>24</v>
      </c>
    </row>
    <row r="61" customFormat="false" ht="15" hidden="false" customHeight="false" outlineLevel="0" collapsed="false">
      <c r="A61" s="7" t="n">
        <v>2001</v>
      </c>
      <c r="B61" s="15" t="s">
        <v>129</v>
      </c>
      <c r="C61" s="15" t="s">
        <v>118</v>
      </c>
      <c r="D61" s="15" t="s">
        <v>107</v>
      </c>
      <c r="E61" s="9" t="n">
        <f aca="false">SUMIFS(Data!$L$2:$L$1006,Data!$A$2:$A$1006,$A61,Data!$B$2:$B$1006,$B61)</f>
        <v>1523075</v>
      </c>
      <c r="F61" s="10" t="n">
        <f aca="false">SUMIFS(Data!$E$2:$E$1006,Data!$A$2:$A$1006,$A61,Data!$B$2:$B$1006,$B61)</f>
        <v>157.771303</v>
      </c>
      <c r="G61" s="10" t="n">
        <f aca="false">SUMIFS(Data!$F$2:$F$1006,Data!$A$2:$A$1006,$A61,Data!$B$2:$B$1006,$B61)</f>
        <v>146.377116</v>
      </c>
      <c r="H61" s="10" t="n">
        <f aca="false">SUMIFS(Data!$G$2:$G$1006,Data!$A$2:$A$1006,$A61,Data!$B$2:$B$1006,$B61)</f>
        <v>70.58817</v>
      </c>
      <c r="I61" s="10" t="n">
        <f aca="false">SUMIFS(Data!$N$2:$N$1006,Data!$A$2:$A$1006,$A61,Data!$B$2:$B$1006,$B61)</f>
        <v>374.736589</v>
      </c>
      <c r="J61" s="10" t="n">
        <f aca="false">SUMIFS(Data!$H$2:$H$1006,Data!$A$2:$A$1006,$A61,Data!$B$2:$B$1006,$B61)</f>
        <v>213.430544</v>
      </c>
      <c r="K61" s="11" t="n">
        <f aca="false">IFERROR(F61*1000000/$E61,"")</f>
        <v>103.587349933523</v>
      </c>
      <c r="L61" s="11" t="n">
        <f aca="false">IFERROR(G61*1000000/$E61,"")</f>
        <v>96.1063086190765</v>
      </c>
      <c r="M61" s="11" t="n">
        <f aca="false">IFERROR(H61*1000000/$E61,"")</f>
        <v>46.3458266992761</v>
      </c>
      <c r="N61" s="11" t="n">
        <f aca="false">IFERROR(I61*1000000/$E61,"")</f>
        <v>246.039485251875</v>
      </c>
      <c r="O61" s="11" t="n">
        <f aca="false">IFERROR(J61*1000000/$E61,"")</f>
        <v>140.131342186038</v>
      </c>
      <c r="P61" s="16" t="n">
        <f aca="false">COUNTIFS($A$4:$A$1008,$A61,$N$4:$N$1008,"&gt;"&amp;N61)+1</f>
        <v>7</v>
      </c>
      <c r="Q61" s="16" t="n">
        <f aca="false">COUNTIFS($A$4:$A$1008,$A61,$O$4:$O$1008,"&gt;"&amp;O61)+1</f>
        <v>4</v>
      </c>
    </row>
    <row r="62" customFormat="false" ht="15" hidden="false" customHeight="false" outlineLevel="0" collapsed="false">
      <c r="A62" s="7" t="n">
        <v>2001</v>
      </c>
      <c r="B62" s="15" t="s">
        <v>130</v>
      </c>
      <c r="C62" s="15" t="s">
        <v>118</v>
      </c>
      <c r="D62" s="15" t="s">
        <v>107</v>
      </c>
      <c r="E62" s="9" t="n">
        <f aca="false">SUMIFS(Data!$L$2:$L$1006,Data!$A$2:$A$1006,$A62,Data!$B$2:$B$1006,$B62)</f>
        <v>1291209</v>
      </c>
      <c r="F62" s="10" t="n">
        <f aca="false">SUMIFS(Data!$E$2:$E$1006,Data!$A$2:$A$1006,$A62,Data!$B$2:$B$1006,$B62)</f>
        <v>101.222537</v>
      </c>
      <c r="G62" s="10" t="n">
        <f aca="false">SUMIFS(Data!$F$2:$F$1006,Data!$A$2:$A$1006,$A62,Data!$B$2:$B$1006,$B62)</f>
        <v>54.564902</v>
      </c>
      <c r="H62" s="10" t="n">
        <f aca="false">SUMIFS(Data!$G$2:$G$1006,Data!$A$2:$A$1006,$A62,Data!$B$2:$B$1006,$B62)</f>
        <v>75.771522</v>
      </c>
      <c r="I62" s="10" t="n">
        <f aca="false">SUMIFS(Data!$N$2:$N$1006,Data!$A$2:$A$1006,$A62,Data!$B$2:$B$1006,$B62)</f>
        <v>231.558961</v>
      </c>
      <c r="J62" s="10" t="n">
        <f aca="false">SUMIFS(Data!$H$2:$H$1006,Data!$A$2:$A$1006,$A62,Data!$B$2:$B$1006,$B62)</f>
        <v>112.681261</v>
      </c>
      <c r="K62" s="11" t="n">
        <f aca="false">IFERROR(F62*1000000/$E62,"")</f>
        <v>78.3936117235862</v>
      </c>
      <c r="L62" s="11" t="n">
        <f aca="false">IFERROR(G62*1000000/$E62,"")</f>
        <v>42.2587683326247</v>
      </c>
      <c r="M62" s="11" t="n">
        <f aca="false">IFERROR(H62*1000000/$E62,"")</f>
        <v>58.6826160598323</v>
      </c>
      <c r="N62" s="11" t="n">
        <f aca="false">IFERROR(I62*1000000/$E62,"")</f>
        <v>179.334996116043</v>
      </c>
      <c r="O62" s="11" t="n">
        <f aca="false">IFERROR(J62*1000000/$E62,"")</f>
        <v>87.268026322617</v>
      </c>
      <c r="P62" s="16" t="n">
        <f aca="false">COUNTIFS($A$4:$A$1008,$A62,$N$4:$N$1008,"&gt;"&amp;N62)+1</f>
        <v>27</v>
      </c>
      <c r="Q62" s="16" t="n">
        <f aca="false">COUNTIFS($A$4:$A$1008,$A62,$O$4:$O$1008,"&gt;"&amp;O62)+1</f>
        <v>25</v>
      </c>
    </row>
    <row r="63" customFormat="false" ht="15" hidden="false" customHeight="false" outlineLevel="0" collapsed="false">
      <c r="A63" s="7" t="n">
        <v>2001</v>
      </c>
      <c r="B63" s="15" t="s">
        <v>131</v>
      </c>
      <c r="C63" s="15" t="s">
        <v>118</v>
      </c>
      <c r="D63" s="15" t="s">
        <v>132</v>
      </c>
      <c r="E63" s="9" t="n">
        <f aca="false">SUMIFS(Data!$L$2:$L$1006,Data!$A$2:$A$1006,$A63,Data!$B$2:$B$1006,$B63)</f>
        <v>710070</v>
      </c>
      <c r="F63" s="10" t="n">
        <f aca="false">SUMIFS(Data!$E$2:$E$1006,Data!$A$2:$A$1006,$A63,Data!$B$2:$B$1006,$B63)</f>
        <v>61.329995</v>
      </c>
      <c r="G63" s="10" t="n">
        <f aca="false">SUMIFS(Data!$F$2:$F$1006,Data!$A$2:$A$1006,$A63,Data!$B$2:$B$1006,$B63)</f>
        <v>51.838626</v>
      </c>
      <c r="H63" s="10" t="n">
        <f aca="false">SUMIFS(Data!$G$2:$G$1006,Data!$A$2:$A$1006,$A63,Data!$B$2:$B$1006,$B63)</f>
        <v>105.75287</v>
      </c>
      <c r="I63" s="10" t="n">
        <f aca="false">SUMIFS(Data!$N$2:$N$1006,Data!$A$2:$A$1006,$A63,Data!$B$2:$B$1006,$B63)</f>
        <v>218.921491</v>
      </c>
      <c r="J63" s="10" t="n">
        <f aca="false">SUMIFS(Data!$H$2:$H$1006,Data!$A$2:$A$1006,$A63,Data!$B$2:$B$1006,$B63)</f>
        <v>146.454331</v>
      </c>
      <c r="K63" s="11" t="n">
        <f aca="false">IFERROR(F63*1000000/$E63,"")</f>
        <v>86.3717591223401</v>
      </c>
      <c r="L63" s="11" t="n">
        <f aca="false">IFERROR(G63*1000000/$E63,"")</f>
        <v>73.0049516244877</v>
      </c>
      <c r="M63" s="11" t="n">
        <f aca="false">IFERROR(H63*1000000/$E63,"")</f>
        <v>148.933020688101</v>
      </c>
      <c r="N63" s="11" t="n">
        <f aca="false">IFERROR(I63*1000000/$E63,"")</f>
        <v>308.309731434929</v>
      </c>
      <c r="O63" s="11" t="n">
        <f aca="false">IFERROR(J63*1000000/$E63,"")</f>
        <v>206.253370794429</v>
      </c>
      <c r="P63" s="16" t="n">
        <f aca="false">COUNTIFS($A$4:$A$1008,$A63,$N$4:$N$1008,"&gt;"&amp;N63)+1</f>
        <v>2</v>
      </c>
      <c r="Q63" s="16" t="n">
        <f aca="false">COUNTIFS($A$4:$A$1008,$A63,$O$4:$O$1008,"&gt;"&amp;O63)+1</f>
        <v>1</v>
      </c>
    </row>
    <row r="64" customFormat="false" ht="15" hidden="false" customHeight="false" outlineLevel="0" collapsed="false">
      <c r="A64" s="7" t="n">
        <v>2001</v>
      </c>
      <c r="B64" s="15" t="s">
        <v>133</v>
      </c>
      <c r="C64" s="15" t="s">
        <v>118</v>
      </c>
      <c r="D64" s="15" t="s">
        <v>105</v>
      </c>
      <c r="E64" s="9" t="n">
        <f aca="false">SUMIFS(Data!$L$2:$L$1006,Data!$A$2:$A$1006,$A64,Data!$B$2:$B$1006,$B64)</f>
        <v>2027772</v>
      </c>
      <c r="F64" s="10" t="n">
        <f aca="false">SUMIFS(Data!$E$2:$E$1006,Data!$A$2:$A$1006,$A64,Data!$B$2:$B$1006,$B64)</f>
        <v>213.4433</v>
      </c>
      <c r="G64" s="10" t="n">
        <f aca="false">SUMIFS(Data!$F$2:$F$1006,Data!$A$2:$A$1006,$A64,Data!$B$2:$B$1006,$B64)</f>
        <v>189.693111</v>
      </c>
      <c r="H64" s="10" t="n">
        <f aca="false">SUMIFS(Data!$G$2:$G$1006,Data!$A$2:$A$1006,$A64,Data!$B$2:$B$1006,$B64)</f>
        <v>12.227077</v>
      </c>
      <c r="I64" s="10" t="n">
        <f aca="false">SUMIFS(Data!$N$2:$N$1006,Data!$A$2:$A$1006,$A64,Data!$B$2:$B$1006,$B64)</f>
        <v>415.363488</v>
      </c>
      <c r="J64" s="10" t="n">
        <f aca="false">SUMIFS(Data!$H$2:$H$1006,Data!$A$2:$A$1006,$A64,Data!$B$2:$B$1006,$B64)</f>
        <v>156.665654</v>
      </c>
      <c r="K64" s="11" t="n">
        <f aca="false">IFERROR(F64*1000000/$E64,"")</f>
        <v>105.260009507972</v>
      </c>
      <c r="L64" s="11" t="n">
        <f aca="false">IFERROR(G64*1000000/$E64,"")</f>
        <v>93.5475541628941</v>
      </c>
      <c r="M64" s="11" t="n">
        <f aca="false">IFERROR(H64*1000000/$E64,"")</f>
        <v>6.02980857808472</v>
      </c>
      <c r="N64" s="11" t="n">
        <f aca="false">IFERROR(I64*1000000/$E64,"")</f>
        <v>204.837372248951</v>
      </c>
      <c r="O64" s="11" t="n">
        <f aca="false">IFERROR(J64*1000000/$E64,"")</f>
        <v>77.2599947134096</v>
      </c>
      <c r="P64" s="16" t="n">
        <f aca="false">COUNTIFS($A$4:$A$1008,$A64,$N$4:$N$1008,"&gt;"&amp;N64)+1</f>
        <v>20</v>
      </c>
      <c r="Q64" s="16" t="n">
        <f aca="false">COUNTIFS($A$4:$A$1008,$A64,$O$4:$O$1008,"&gt;"&amp;O64)+1</f>
        <v>29</v>
      </c>
    </row>
    <row r="65" customFormat="false" ht="15" hidden="false" customHeight="false" outlineLevel="0" collapsed="false">
      <c r="A65" s="7" t="n">
        <v>2001</v>
      </c>
      <c r="B65" s="15" t="s">
        <v>134</v>
      </c>
      <c r="C65" s="15" t="s">
        <v>135</v>
      </c>
      <c r="D65" s="15" t="s">
        <v>136</v>
      </c>
      <c r="E65" s="9" t="n">
        <f aca="false">SUMIFS(Data!$L$2:$L$1006,Data!$A$2:$A$1006,$A65,Data!$B$2:$B$1006,$B65)</f>
        <v>131401</v>
      </c>
      <c r="F65" s="10" t="n">
        <f aca="false">SUMIFS(Data!$E$2:$E$1006,Data!$A$2:$A$1006,$A65,Data!$B$2:$B$1006,$B65)</f>
        <v>15.205226</v>
      </c>
      <c r="G65" s="10" t="n">
        <f aca="false">SUMIFS(Data!$F$2:$F$1006,Data!$A$2:$A$1006,$A65,Data!$B$2:$B$1006,$B65)</f>
        <v>19.045024</v>
      </c>
      <c r="H65" s="10" t="n">
        <f aca="false">SUMIFS(Data!$G$2:$G$1006,Data!$A$2:$A$1006,$A65,Data!$B$2:$B$1006,$B65)</f>
        <v>8.532648</v>
      </c>
      <c r="I65" s="10" t="n">
        <f aca="false">SUMIFS(Data!$N$2:$N$1006,Data!$A$2:$A$1006,$A65,Data!$B$2:$B$1006,$B65)</f>
        <v>42.782898</v>
      </c>
      <c r="J65" s="10" t="n">
        <f aca="false">SUMIFS(Data!$H$2:$H$1006,Data!$A$2:$A$1006,$A65,Data!$B$2:$B$1006,$B65)</f>
        <v>8.006543</v>
      </c>
      <c r="K65" s="11" t="n">
        <f aca="false">IFERROR(F65*1000000/$E65,"")</f>
        <v>115.716212205387</v>
      </c>
      <c r="L65" s="11" t="n">
        <f aca="false">IFERROR(G65*1000000/$E65,"")</f>
        <v>144.938196817376</v>
      </c>
      <c r="M65" s="11" t="n">
        <f aca="false">IFERROR(H65*1000000/$E65,"")</f>
        <v>64.9359441708967</v>
      </c>
      <c r="N65" s="11" t="n">
        <f aca="false">IFERROR(I65*1000000/$E65,"")</f>
        <v>325.590353193659</v>
      </c>
      <c r="O65" s="11" t="n">
        <f aca="false">IFERROR(J65*1000000/$E65,"")</f>
        <v>60.932131414525</v>
      </c>
      <c r="P65" s="16" t="n">
        <f aca="false">COUNTIFS($A$4:$A$1008,$A65,$N$4:$N$1008,"&gt;"&amp;N65)+1</f>
        <v>1</v>
      </c>
      <c r="Q65" s="16" t="n">
        <f aca="false">COUNTIFS($A$4:$A$1008,$A65,$O$4:$O$1008,"&gt;"&amp;O65)+1</f>
        <v>33</v>
      </c>
    </row>
    <row r="66" customFormat="false" ht="15" hidden="false" customHeight="false" outlineLevel="0" collapsed="false">
      <c r="A66" s="7" t="n">
        <v>2001</v>
      </c>
      <c r="B66" s="15" t="s">
        <v>137</v>
      </c>
      <c r="C66" s="15" t="s">
        <v>135</v>
      </c>
      <c r="D66" s="15" t="s">
        <v>138</v>
      </c>
      <c r="E66" s="9" t="n">
        <f aca="false">SUMIFS(Data!$L$2:$L$1006,Data!$A$2:$A$1006,$A66,Data!$B$2:$B$1006,$B66)</f>
        <v>1700014</v>
      </c>
      <c r="F66" s="10" t="n">
        <f aca="false">SUMIFS(Data!$E$2:$E$1006,Data!$A$2:$A$1006,$A66,Data!$B$2:$B$1006,$B66)</f>
        <v>106.011589</v>
      </c>
      <c r="G66" s="10" t="n">
        <f aca="false">SUMIFS(Data!$F$2:$F$1006,Data!$A$2:$A$1006,$A66,Data!$B$2:$B$1006,$B66)</f>
        <v>56.207473</v>
      </c>
      <c r="H66" s="10" t="n">
        <f aca="false">SUMIFS(Data!$G$2:$G$1006,Data!$A$2:$A$1006,$A66,Data!$B$2:$B$1006,$B66)</f>
        <v>100.7598</v>
      </c>
      <c r="I66" s="10" t="n">
        <f aca="false">SUMIFS(Data!$N$2:$N$1006,Data!$A$2:$A$1006,$A66,Data!$B$2:$B$1006,$B66)</f>
        <v>262.978862</v>
      </c>
      <c r="J66" s="10" t="n">
        <f aca="false">SUMIFS(Data!$H$2:$H$1006,Data!$A$2:$A$1006,$A66,Data!$B$2:$B$1006,$B66)</f>
        <v>179.403647</v>
      </c>
      <c r="K66" s="11" t="n">
        <f aca="false">IFERROR(F66*1000000/$E66,"")</f>
        <v>62.3592446885732</v>
      </c>
      <c r="L66" s="11" t="n">
        <f aca="false">IFERROR(G66*1000000/$E66,"")</f>
        <v>33.0629471286707</v>
      </c>
      <c r="M66" s="11" t="n">
        <f aca="false">IFERROR(H66*1000000/$E66,"")</f>
        <v>59.2699824824972</v>
      </c>
      <c r="N66" s="11" t="n">
        <f aca="false">IFERROR(I66*1000000/$E66,"")</f>
        <v>154.692174299741</v>
      </c>
      <c r="O66" s="11" t="n">
        <f aca="false">IFERROR(J66*1000000/$E66,"")</f>
        <v>105.53068798257</v>
      </c>
      <c r="P66" s="16" t="n">
        <f aca="false">COUNTIFS($A$4:$A$1008,$A66,$N$4:$N$1008,"&gt;"&amp;N66)+1</f>
        <v>34</v>
      </c>
      <c r="Q66" s="16" t="n">
        <f aca="false">COUNTIFS($A$4:$A$1008,$A66,$O$4:$O$1008,"&gt;"&amp;O66)+1</f>
        <v>14</v>
      </c>
    </row>
    <row r="67" customFormat="false" ht="15" hidden="false" customHeight="false" outlineLevel="0" collapsed="false">
      <c r="A67" s="7" t="n">
        <v>2001</v>
      </c>
      <c r="B67" s="15" t="s">
        <v>139</v>
      </c>
      <c r="C67" s="15" t="s">
        <v>135</v>
      </c>
      <c r="D67" s="15" t="s">
        <v>138</v>
      </c>
      <c r="E67" s="9" t="n">
        <f aca="false">SUMIFS(Data!$L$2:$L$1006,Data!$A$2:$A$1006,$A67,Data!$B$2:$B$1006,$B67)</f>
        <v>2117948</v>
      </c>
      <c r="F67" s="10" t="n">
        <f aca="false">SUMIFS(Data!$E$2:$E$1006,Data!$A$2:$A$1006,$A67,Data!$B$2:$B$1006,$B67)</f>
        <v>157.70956</v>
      </c>
      <c r="G67" s="10" t="n">
        <f aca="false">SUMIFS(Data!$F$2:$F$1006,Data!$A$2:$A$1006,$A67,Data!$B$2:$B$1006,$B67)</f>
        <v>128.520212</v>
      </c>
      <c r="H67" s="10" t="n">
        <f aca="false">SUMIFS(Data!$G$2:$G$1006,Data!$A$2:$A$1006,$A67,Data!$B$2:$B$1006,$B67)</f>
        <v>178.286224</v>
      </c>
      <c r="I67" s="10" t="n">
        <f aca="false">SUMIFS(Data!$N$2:$N$1006,Data!$A$2:$A$1006,$A67,Data!$B$2:$B$1006,$B67)</f>
        <v>464.515996</v>
      </c>
      <c r="J67" s="10" t="n">
        <f aca="false">SUMIFS(Data!$H$2:$H$1006,Data!$A$2:$A$1006,$A67,Data!$B$2:$B$1006,$B67)</f>
        <v>248.934484</v>
      </c>
      <c r="K67" s="11" t="n">
        <f aca="false">IFERROR(F67*1000000/$E67,"")</f>
        <v>74.4633768156725</v>
      </c>
      <c r="L67" s="11" t="n">
        <f aca="false">IFERROR(G67*1000000/$E67,"")</f>
        <v>60.6814765990478</v>
      </c>
      <c r="M67" s="11" t="n">
        <f aca="false">IFERROR(H67*1000000/$E67,"")</f>
        <v>84.1787541526043</v>
      </c>
      <c r="N67" s="11" t="n">
        <f aca="false">IFERROR(I67*1000000/$E67,"")</f>
        <v>219.323607567325</v>
      </c>
      <c r="O67" s="11" t="n">
        <f aca="false">IFERROR(J67*1000000/$E67,"")</f>
        <v>117.535692094423</v>
      </c>
      <c r="P67" s="16" t="n">
        <f aca="false">COUNTIFS($A$4:$A$1008,$A67,$N$4:$N$1008,"&gt;"&amp;N67)+1</f>
        <v>13</v>
      </c>
      <c r="Q67" s="16" t="n">
        <f aca="false">COUNTIFS($A$4:$A$1008,$A67,$O$4:$O$1008,"&gt;"&amp;O67)+1</f>
        <v>11</v>
      </c>
    </row>
    <row r="68" customFormat="false" ht="15" hidden="false" customHeight="false" outlineLevel="0" collapsed="false">
      <c r="A68" s="7" t="n">
        <v>2001</v>
      </c>
      <c r="B68" s="15" t="s">
        <v>140</v>
      </c>
      <c r="C68" s="15" t="s">
        <v>135</v>
      </c>
      <c r="D68" s="15" t="s">
        <v>141</v>
      </c>
      <c r="E68" s="9" t="n">
        <f aca="false">SUMIFS(Data!$L$2:$L$1006,Data!$A$2:$A$1006,$A68,Data!$B$2:$B$1006,$B68)</f>
        <v>722231</v>
      </c>
      <c r="F68" s="10" t="n">
        <f aca="false">SUMIFS(Data!$E$2:$E$1006,Data!$A$2:$A$1006,$A68,Data!$B$2:$B$1006,$B68)</f>
        <v>38.680196</v>
      </c>
      <c r="G68" s="10" t="n">
        <f aca="false">SUMIFS(Data!$F$2:$F$1006,Data!$A$2:$A$1006,$A68,Data!$B$2:$B$1006,$B68)</f>
        <v>30.123034</v>
      </c>
      <c r="H68" s="10" t="n">
        <f aca="false">SUMIFS(Data!$G$2:$G$1006,Data!$A$2:$A$1006,$A68,Data!$B$2:$B$1006,$B68)</f>
        <v>51.739714</v>
      </c>
      <c r="I68" s="10" t="n">
        <f aca="false">SUMIFS(Data!$N$2:$N$1006,Data!$A$2:$A$1006,$A68,Data!$B$2:$B$1006,$B68)</f>
        <v>120.542944</v>
      </c>
      <c r="J68" s="10" t="n">
        <f aca="false">SUMIFS(Data!$H$2:$H$1006,Data!$A$2:$A$1006,$A68,Data!$B$2:$B$1006,$B68)</f>
        <v>81.025651</v>
      </c>
      <c r="K68" s="11" t="n">
        <f aca="false">IFERROR(F68*1000000/$E68,"")</f>
        <v>53.5565435435477</v>
      </c>
      <c r="L68" s="11" t="n">
        <f aca="false">IFERROR(G68*1000000/$E68,"")</f>
        <v>41.7083093913166</v>
      </c>
      <c r="M68" s="11" t="n">
        <f aca="false">IFERROR(H68*1000000/$E68,"")</f>
        <v>71.6387333138567</v>
      </c>
      <c r="N68" s="11" t="n">
        <f aca="false">IFERROR(I68*1000000/$E68,"")</f>
        <v>166.903586248721</v>
      </c>
      <c r="O68" s="11" t="n">
        <f aca="false">IFERROR(J68*1000000/$E68,"")</f>
        <v>112.187999407392</v>
      </c>
      <c r="P68" s="16" t="n">
        <f aca="false">COUNTIFS($A$4:$A$1008,$A68,$N$4:$N$1008,"&gt;"&amp;N68)+1</f>
        <v>31</v>
      </c>
      <c r="Q68" s="16" t="n">
        <f aca="false">COUNTIFS($A$4:$A$1008,$A68,$O$4:$O$1008,"&gt;"&amp;O68)+1</f>
        <v>11</v>
      </c>
    </row>
    <row r="69" customFormat="false" ht="15" hidden="false" customHeight="false" outlineLevel="0" collapsed="false">
      <c r="A69" s="7" t="n">
        <v>2001</v>
      </c>
      <c r="B69" s="15" t="s">
        <v>142</v>
      </c>
      <c r="C69" s="15" t="s">
        <v>135</v>
      </c>
      <c r="D69" s="15" t="s">
        <v>143</v>
      </c>
      <c r="E69" s="9" t="n">
        <f aca="false">SUMIFS(Data!$L$2:$L$1006,Data!$A$2:$A$1006,$A69,Data!$B$2:$B$1006,$B69)</f>
        <v>565356</v>
      </c>
      <c r="F69" s="10" t="n">
        <f aca="false">SUMIFS(Data!$E$2:$E$1006,Data!$A$2:$A$1006,$A69,Data!$B$2:$B$1006,$B69)</f>
        <v>54.643983</v>
      </c>
      <c r="G69" s="10" t="n">
        <f aca="false">SUMIFS(Data!$F$2:$F$1006,Data!$A$2:$A$1006,$A69,Data!$B$2:$B$1006,$B69)</f>
        <v>27.93618</v>
      </c>
      <c r="H69" s="10" t="n">
        <f aca="false">SUMIFS(Data!$G$2:$G$1006,Data!$A$2:$A$1006,$A69,Data!$B$2:$B$1006,$B69)</f>
        <v>35.864333</v>
      </c>
      <c r="I69" s="10" t="n">
        <f aca="false">SUMIFS(Data!$N$2:$N$1006,Data!$A$2:$A$1006,$A69,Data!$B$2:$B$1006,$B69)</f>
        <v>118.444496</v>
      </c>
      <c r="J69" s="10" t="n">
        <f aca="false">SUMIFS(Data!$H$2:$H$1006,Data!$A$2:$A$1006,$A69,Data!$B$2:$B$1006,$B69)</f>
        <v>50.962802</v>
      </c>
      <c r="K69" s="11" t="n">
        <f aca="false">IFERROR(F69*1000000/$E69,"")</f>
        <v>96.6541135143167</v>
      </c>
      <c r="L69" s="11" t="n">
        <f aca="false">IFERROR(G69*1000000/$E69,"")</f>
        <v>49.4134315369431</v>
      </c>
      <c r="M69" s="11" t="n">
        <f aca="false">IFERROR(H69*1000000/$E69,"")</f>
        <v>63.4367248247122</v>
      </c>
      <c r="N69" s="11" t="n">
        <f aca="false">IFERROR(I69*1000000/$E69,"")</f>
        <v>209.504269875972</v>
      </c>
      <c r="O69" s="11" t="n">
        <f aca="false">IFERROR(J69*1000000/$E69,"")</f>
        <v>90.1428515837808</v>
      </c>
      <c r="P69" s="16" t="n">
        <f aca="false">COUNTIFS($A$4:$A$1008,$A69,$N$4:$N$1008,"&gt;"&amp;N69)+1</f>
        <v>18</v>
      </c>
      <c r="Q69" s="16" t="n">
        <f aca="false">COUNTIFS($A$4:$A$1008,$A69,$O$4:$O$1008,"&gt;"&amp;O69)+1</f>
        <v>22</v>
      </c>
    </row>
    <row r="70" customFormat="false" ht="15" hidden="false" customHeight="false" outlineLevel="0" collapsed="false">
      <c r="A70" s="7" t="n">
        <v>2001</v>
      </c>
      <c r="B70" s="15" t="s">
        <v>144</v>
      </c>
      <c r="C70" s="15" t="s">
        <v>135</v>
      </c>
      <c r="D70" s="15" t="s">
        <v>141</v>
      </c>
      <c r="E70" s="9" t="n">
        <f aca="false">SUMIFS(Data!$L$2:$L$1006,Data!$A$2:$A$1006,$A70,Data!$B$2:$B$1006,$B70)</f>
        <v>441039</v>
      </c>
      <c r="F70" s="10" t="n">
        <f aca="false">SUMIFS(Data!$E$2:$E$1006,Data!$A$2:$A$1006,$A70,Data!$B$2:$B$1006,$B70)</f>
        <v>29.057342</v>
      </c>
      <c r="G70" s="10" t="n">
        <f aca="false">SUMIFS(Data!$F$2:$F$1006,Data!$A$2:$A$1006,$A70,Data!$B$2:$B$1006,$B70)</f>
        <v>22.600291</v>
      </c>
      <c r="H70" s="10" t="n">
        <f aca="false">SUMIFS(Data!$G$2:$G$1006,Data!$A$2:$A$1006,$A70,Data!$B$2:$B$1006,$B70)</f>
        <v>40.230797</v>
      </c>
      <c r="I70" s="10" t="n">
        <f aca="false">SUMIFS(Data!$N$2:$N$1006,Data!$A$2:$A$1006,$A70,Data!$B$2:$B$1006,$B70)</f>
        <v>91.88843</v>
      </c>
      <c r="J70" s="10" t="n">
        <f aca="false">SUMIFS(Data!$H$2:$H$1006,Data!$A$2:$A$1006,$A70,Data!$B$2:$B$1006,$B70)</f>
        <v>15.007288</v>
      </c>
      <c r="K70" s="11" t="n">
        <f aca="false">IFERROR(F70*1000000/$E70,"")</f>
        <v>65.8838379372346</v>
      </c>
      <c r="L70" s="11" t="n">
        <f aca="false">IFERROR(G70*1000000/$E70,"")</f>
        <v>51.2432936769764</v>
      </c>
      <c r="M70" s="11" t="n">
        <f aca="false">IFERROR(H70*1000000/$E70,"")</f>
        <v>91.218230133843</v>
      </c>
      <c r="N70" s="11" t="n">
        <f aca="false">IFERROR(I70*1000000/$E70,"")</f>
        <v>208.345361748054</v>
      </c>
      <c r="O70" s="11" t="n">
        <f aca="false">IFERROR(J70*1000000/$E70,"")</f>
        <v>34.027122317981</v>
      </c>
      <c r="P70" s="16" t="n">
        <f aca="false">COUNTIFS($A$4:$A$1008,$A70,$N$4:$N$1008,"&gt;"&amp;N70)+1</f>
        <v>19</v>
      </c>
      <c r="Q70" s="16" t="n">
        <f aca="false">COUNTIFS($A$4:$A$1008,$A70,$O$4:$O$1008,"&gt;"&amp;O70)+1</f>
        <v>39</v>
      </c>
    </row>
    <row r="71" customFormat="false" ht="15" hidden="false" customHeight="false" outlineLevel="0" collapsed="false">
      <c r="A71" s="7" t="n">
        <v>2001</v>
      </c>
      <c r="B71" s="15" t="s">
        <v>145</v>
      </c>
      <c r="C71" s="15" t="s">
        <v>135</v>
      </c>
      <c r="D71" s="15" t="s">
        <v>146</v>
      </c>
      <c r="E71" s="9" t="n">
        <f aca="false">SUMIFS(Data!$L$2:$L$1006,Data!$A$2:$A$1006,$A71,Data!$B$2:$B$1006,$B71)</f>
        <v>516418</v>
      </c>
      <c r="F71" s="10" t="n">
        <f aca="false">SUMIFS(Data!$E$2:$E$1006,Data!$A$2:$A$1006,$A71,Data!$B$2:$B$1006,$B71)</f>
        <v>34.483074</v>
      </c>
      <c r="G71" s="10" t="n">
        <f aca="false">SUMIFS(Data!$F$2:$F$1006,Data!$A$2:$A$1006,$A71,Data!$B$2:$B$1006,$B71)</f>
        <v>53.610594</v>
      </c>
      <c r="H71" s="10" t="n">
        <f aca="false">SUMIFS(Data!$G$2:$G$1006,Data!$A$2:$A$1006,$A71,Data!$B$2:$B$1006,$B71)</f>
        <v>40.078</v>
      </c>
      <c r="I71" s="10" t="n">
        <f aca="false">SUMIFS(Data!$N$2:$N$1006,Data!$A$2:$A$1006,$A71,Data!$B$2:$B$1006,$B71)</f>
        <v>128.171668</v>
      </c>
      <c r="J71" s="10" t="n">
        <f aca="false">SUMIFS(Data!$H$2:$H$1006,Data!$A$2:$A$1006,$A71,Data!$B$2:$B$1006,$B71)</f>
        <v>69.892761</v>
      </c>
      <c r="K71" s="11" t="n">
        <f aca="false">IFERROR(F71*1000000/$E71,"")</f>
        <v>66.7735710219241</v>
      </c>
      <c r="L71" s="11" t="n">
        <f aca="false">IFERROR(G71*1000000/$E71,"")</f>
        <v>103.812403905363</v>
      </c>
      <c r="M71" s="11" t="n">
        <f aca="false">IFERROR(H71*1000000/$E71,"")</f>
        <v>77.6076744032935</v>
      </c>
      <c r="N71" s="11" t="n">
        <f aca="false">IFERROR(I71*1000000/$E71,"")</f>
        <v>248.193649330581</v>
      </c>
      <c r="O71" s="11" t="n">
        <f aca="false">IFERROR(J71*1000000/$E71,"")</f>
        <v>135.341450143101</v>
      </c>
      <c r="P71" s="16" t="n">
        <f aca="false">COUNTIFS($A$4:$A$1008,$A71,$N$4:$N$1008,"&gt;"&amp;N71)+1</f>
        <v>6</v>
      </c>
      <c r="Q71" s="16" t="n">
        <f aca="false">COUNTIFS($A$4:$A$1008,$A71,$O$4:$O$1008,"&gt;"&amp;O71)+1</f>
        <v>6</v>
      </c>
    </row>
    <row r="72" customFormat="false" ht="15" hidden="false" customHeight="false" outlineLevel="0" collapsed="false">
      <c r="A72" s="7" t="n">
        <v>2001</v>
      </c>
      <c r="B72" s="15" t="s">
        <v>147</v>
      </c>
      <c r="C72" s="15" t="s">
        <v>135</v>
      </c>
      <c r="D72" s="15" t="s">
        <v>148</v>
      </c>
      <c r="E72" s="9" t="n">
        <f aca="false">SUMIFS(Data!$L$2:$L$1006,Data!$A$2:$A$1006,$A72,Data!$B$2:$B$1006,$B72)</f>
        <v>127445</v>
      </c>
      <c r="F72" s="10" t="n">
        <f aca="false">SUMIFS(Data!$E$2:$E$1006,Data!$A$2:$A$1006,$A72,Data!$B$2:$B$1006,$B72)</f>
        <v>9.413533</v>
      </c>
      <c r="G72" s="10" t="n">
        <f aca="false">SUMIFS(Data!$F$2:$F$1006,Data!$A$2:$A$1006,$A72,Data!$B$2:$B$1006,$B72)</f>
        <v>9.583963</v>
      </c>
      <c r="H72" s="10" t="n">
        <f aca="false">SUMIFS(Data!$G$2:$G$1006,Data!$A$2:$A$1006,$A72,Data!$B$2:$B$1006,$B72)</f>
        <v>6.154907</v>
      </c>
      <c r="I72" s="10" t="n">
        <f aca="false">SUMIFS(Data!$N$2:$N$1006,Data!$A$2:$A$1006,$A72,Data!$B$2:$B$1006,$B72)</f>
        <v>25.152403</v>
      </c>
      <c r="J72" s="10" t="n">
        <f aca="false">SUMIFS(Data!$H$2:$H$1006,Data!$A$2:$A$1006,$A72,Data!$B$2:$B$1006,$B72)</f>
        <v>10.11195</v>
      </c>
      <c r="K72" s="11" t="n">
        <f aca="false">IFERROR(F72*1000000/$E72,"")</f>
        <v>73.8634940562596</v>
      </c>
      <c r="L72" s="11" t="n">
        <f aca="false">IFERROR(G72*1000000/$E72,"")</f>
        <v>75.2007768056809</v>
      </c>
      <c r="M72" s="11" t="n">
        <f aca="false">IFERROR(H72*1000000/$E72,"")</f>
        <v>48.294613362627</v>
      </c>
      <c r="N72" s="11" t="n">
        <f aca="false">IFERROR(I72*1000000/$E72,"")</f>
        <v>197.358884224567</v>
      </c>
      <c r="O72" s="11" t="n">
        <f aca="false">IFERROR(J72*1000000/$E72,"")</f>
        <v>79.3436384322649</v>
      </c>
      <c r="P72" s="16" t="n">
        <f aca="false">COUNTIFS($A$4:$A$1008,$A72,$N$4:$N$1008,"&gt;"&amp;N72)+1</f>
        <v>22</v>
      </c>
      <c r="Q72" s="16" t="n">
        <f aca="false">COUNTIFS($A$4:$A$1008,$A72,$O$4:$O$1008,"&gt;"&amp;O72)+1</f>
        <v>27</v>
      </c>
    </row>
    <row r="73" customFormat="false" ht="15" hidden="false" customHeight="false" outlineLevel="0" collapsed="false">
      <c r="A73" s="7" t="n">
        <v>2001</v>
      </c>
      <c r="B73" s="15" t="s">
        <v>149</v>
      </c>
      <c r="C73" s="15" t="s">
        <v>135</v>
      </c>
      <c r="D73" s="15" t="s">
        <v>146</v>
      </c>
      <c r="E73" s="9" t="n">
        <f aca="false">SUMIFS(Data!$L$2:$L$1006,Data!$A$2:$A$1006,$A73,Data!$B$2:$B$1006,$B73)</f>
        <v>669972</v>
      </c>
      <c r="F73" s="10" t="n">
        <f aca="false">SUMIFS(Data!$E$2:$E$1006,Data!$A$2:$A$1006,$A73,Data!$B$2:$B$1006,$B73)</f>
        <v>69.785249</v>
      </c>
      <c r="G73" s="10" t="n">
        <f aca="false">SUMIFS(Data!$F$2:$F$1006,Data!$A$2:$A$1006,$A73,Data!$B$2:$B$1006,$B73)</f>
        <v>60.348371</v>
      </c>
      <c r="H73" s="10" t="n">
        <f aca="false">SUMIFS(Data!$G$2:$G$1006,Data!$A$2:$A$1006,$A73,Data!$B$2:$B$1006,$B73)</f>
        <v>45.081993</v>
      </c>
      <c r="I73" s="10" t="n">
        <f aca="false">SUMIFS(Data!$N$2:$N$1006,Data!$A$2:$A$1006,$A73,Data!$B$2:$B$1006,$B73)</f>
        <v>175.215613</v>
      </c>
      <c r="J73" s="10" t="n">
        <f aca="false">SUMIFS(Data!$H$2:$H$1006,Data!$A$2:$A$1006,$A73,Data!$B$2:$B$1006,$B73)</f>
        <v>95.282104</v>
      </c>
      <c r="K73" s="11" t="n">
        <f aca="false">IFERROR(F73*1000000/$E73,"")</f>
        <v>104.161441075149</v>
      </c>
      <c r="L73" s="11" t="n">
        <f aca="false">IFERROR(G73*1000000/$E73,"")</f>
        <v>90.0759598908611</v>
      </c>
      <c r="M73" s="11" t="n">
        <f aca="false">IFERROR(H73*1000000/$E73,"")</f>
        <v>67.2893688094428</v>
      </c>
      <c r="N73" s="11" t="n">
        <f aca="false">IFERROR(I73*1000000/$E73,"")</f>
        <v>261.526769775453</v>
      </c>
      <c r="O73" s="11" t="n">
        <f aca="false">IFERROR(J73*1000000/$E73,"")</f>
        <v>142.218038962822</v>
      </c>
      <c r="P73" s="16" t="n">
        <f aca="false">COUNTIFS($A$4:$A$1008,$A73,$N$4:$N$1008,"&gt;"&amp;N73)+1</f>
        <v>4</v>
      </c>
      <c r="Q73" s="16" t="n">
        <f aca="false">COUNTIFS($A$4:$A$1008,$A73,$O$4:$O$1008,"&gt;"&amp;O73)+1</f>
        <v>3</v>
      </c>
    </row>
    <row r="74" customFormat="false" ht="15" hidden="false" customHeight="false" outlineLevel="0" collapsed="false">
      <c r="A74" s="7" t="n">
        <v>2001</v>
      </c>
      <c r="B74" s="15" t="s">
        <v>150</v>
      </c>
      <c r="C74" s="15" t="s">
        <v>135</v>
      </c>
      <c r="D74" s="15" t="s">
        <v>141</v>
      </c>
      <c r="E74" s="9" t="n">
        <f aca="false">SUMIFS(Data!$L$2:$L$1006,Data!$A$2:$A$1006,$A74,Data!$B$2:$B$1006,$B74)</f>
        <v>431575</v>
      </c>
      <c r="F74" s="10" t="n">
        <f aca="false">SUMIFS(Data!$E$2:$E$1006,Data!$A$2:$A$1006,$A74,Data!$B$2:$B$1006,$B74)</f>
        <v>24.224222</v>
      </c>
      <c r="G74" s="10" t="n">
        <f aca="false">SUMIFS(Data!$F$2:$F$1006,Data!$A$2:$A$1006,$A74,Data!$B$2:$B$1006,$B74)</f>
        <v>24.883088</v>
      </c>
      <c r="H74" s="10" t="n">
        <f aca="false">SUMIFS(Data!$G$2:$G$1006,Data!$A$2:$A$1006,$A74,Data!$B$2:$B$1006,$B74)</f>
        <v>44.063157</v>
      </c>
      <c r="I74" s="10" t="n">
        <f aca="false">SUMIFS(Data!$N$2:$N$1006,Data!$A$2:$A$1006,$A74,Data!$B$2:$B$1006,$B74)</f>
        <v>93.170467</v>
      </c>
      <c r="J74" s="10" t="n">
        <f aca="false">SUMIFS(Data!$H$2:$H$1006,Data!$A$2:$A$1006,$A74,Data!$B$2:$B$1006,$B74)</f>
        <v>58.617399</v>
      </c>
      <c r="K74" s="11" t="n">
        <f aca="false">IFERROR(F74*1000000/$E74,"")</f>
        <v>56.1298082604414</v>
      </c>
      <c r="L74" s="11" t="n">
        <f aca="false">IFERROR(G74*1000000/$E74,"")</f>
        <v>57.6564629554539</v>
      </c>
      <c r="M74" s="11" t="n">
        <f aca="false">IFERROR(H74*1000000/$E74,"")</f>
        <v>102.098492730116</v>
      </c>
      <c r="N74" s="11" t="n">
        <f aca="false">IFERROR(I74*1000000/$E74,"")</f>
        <v>215.884763946012</v>
      </c>
      <c r="O74" s="11" t="n">
        <f aca="false">IFERROR(J74*1000000/$E74,"")</f>
        <v>135.822044835776</v>
      </c>
      <c r="P74" s="16" t="n">
        <f aca="false">COUNTIFS($A$4:$A$1008,$A74,$N$4:$N$1008,"&gt;"&amp;N74)+1</f>
        <v>15</v>
      </c>
      <c r="Q74" s="16" t="n">
        <f aca="false">COUNTIFS($A$4:$A$1008,$A74,$O$4:$O$1008,"&gt;"&amp;O74)+1</f>
        <v>5</v>
      </c>
    </row>
    <row r="75" customFormat="false" ht="15" hidden="false" customHeight="false" outlineLevel="0" collapsed="false">
      <c r="A75" s="7" t="n">
        <v>2001</v>
      </c>
      <c r="B75" s="15" t="s">
        <v>151</v>
      </c>
      <c r="C75" s="15" t="s">
        <v>135</v>
      </c>
      <c r="D75" s="15" t="s">
        <v>136</v>
      </c>
      <c r="E75" s="9" t="n">
        <f aca="false">SUMIFS(Data!$L$2:$L$1006,Data!$A$2:$A$1006,$A75,Data!$B$2:$B$1006,$B75)</f>
        <v>1288738</v>
      </c>
      <c r="F75" s="10" t="n">
        <f aca="false">SUMIFS(Data!$E$2:$E$1006,Data!$A$2:$A$1006,$A75,Data!$B$2:$B$1006,$B75)</f>
        <v>95.719772</v>
      </c>
      <c r="G75" s="10" t="n">
        <f aca="false">SUMIFS(Data!$F$2:$F$1006,Data!$A$2:$A$1006,$A75,Data!$B$2:$B$1006,$B75)</f>
        <v>76.603231</v>
      </c>
      <c r="H75" s="10" t="n">
        <f aca="false">SUMIFS(Data!$G$2:$G$1006,Data!$A$2:$A$1006,$A75,Data!$B$2:$B$1006,$B75)</f>
        <v>63.485604</v>
      </c>
      <c r="I75" s="10" t="n">
        <f aca="false">SUMIFS(Data!$N$2:$N$1006,Data!$A$2:$A$1006,$A75,Data!$B$2:$B$1006,$B75)</f>
        <v>235.808607</v>
      </c>
      <c r="J75" s="10" t="n">
        <f aca="false">SUMIFS(Data!$H$2:$H$1006,Data!$A$2:$A$1006,$A75,Data!$B$2:$B$1006,$B75)</f>
        <v>120.828626</v>
      </c>
      <c r="K75" s="11" t="n">
        <f aca="false">IFERROR(F75*1000000/$E75,"")</f>
        <v>74.2740355293318</v>
      </c>
      <c r="L75" s="11" t="n">
        <f aca="false">IFERROR(G75*1000000/$E75,"")</f>
        <v>59.4404999309402</v>
      </c>
      <c r="M75" s="11" t="n">
        <f aca="false">IFERROR(H75*1000000/$E75,"")</f>
        <v>49.2618391015086</v>
      </c>
      <c r="N75" s="11" t="n">
        <f aca="false">IFERROR(I75*1000000/$E75,"")</f>
        <v>182.976374561781</v>
      </c>
      <c r="O75" s="11" t="n">
        <f aca="false">IFERROR(J75*1000000/$E75,"")</f>
        <v>93.7573238315313</v>
      </c>
      <c r="P75" s="16" t="n">
        <f aca="false">COUNTIFS($A$4:$A$1008,$A75,$N$4:$N$1008,"&gt;"&amp;N75)+1</f>
        <v>26</v>
      </c>
      <c r="Q75" s="16" t="n">
        <f aca="false">COUNTIFS($A$4:$A$1008,$A75,$O$4:$O$1008,"&gt;"&amp;O75)+1</f>
        <v>19</v>
      </c>
    </row>
    <row r="76" customFormat="false" ht="15" hidden="false" customHeight="false" outlineLevel="0" collapsed="false">
      <c r="A76" s="7" t="n">
        <v>2001</v>
      </c>
      <c r="B76" s="15" t="s">
        <v>152</v>
      </c>
      <c r="C76" s="15" t="s">
        <v>135</v>
      </c>
      <c r="D76" s="15" t="s">
        <v>148</v>
      </c>
      <c r="E76" s="9" t="n">
        <f aca="false">SUMIFS(Data!$L$2:$L$1006,Data!$A$2:$A$1006,$A76,Data!$B$2:$B$1006,$B76)</f>
        <v>227544</v>
      </c>
      <c r="F76" s="10" t="n">
        <f aca="false">SUMIFS(Data!$E$2:$E$1006,Data!$A$2:$A$1006,$A76,Data!$B$2:$B$1006,$B76)</f>
        <v>21.601344</v>
      </c>
      <c r="G76" s="10" t="n">
        <f aca="false">SUMIFS(Data!$F$2:$F$1006,Data!$A$2:$A$1006,$A76,Data!$B$2:$B$1006,$B76)</f>
        <v>15.032043</v>
      </c>
      <c r="H76" s="10" t="n">
        <f aca="false">SUMIFS(Data!$G$2:$G$1006,Data!$A$2:$A$1006,$A76,Data!$B$2:$B$1006,$B76)</f>
        <v>15.546313</v>
      </c>
      <c r="I76" s="10" t="n">
        <f aca="false">SUMIFS(Data!$N$2:$N$1006,Data!$A$2:$A$1006,$A76,Data!$B$2:$B$1006,$B76)</f>
        <v>52.1797</v>
      </c>
      <c r="J76" s="10" t="n">
        <f aca="false">SUMIFS(Data!$H$2:$H$1006,Data!$A$2:$A$1006,$A76,Data!$B$2:$B$1006,$B76)</f>
        <v>21.52949</v>
      </c>
      <c r="K76" s="11" t="n">
        <f aca="false">IFERROR(F76*1000000/$E76,"")</f>
        <v>94.9326020461977</v>
      </c>
      <c r="L76" s="11" t="n">
        <f aca="false">IFERROR(G76*1000000/$E76,"")</f>
        <v>66.0621374327603</v>
      </c>
      <c r="M76" s="11" t="n">
        <f aca="false">IFERROR(H76*1000000/$E76,"")</f>
        <v>68.3222277889112</v>
      </c>
      <c r="N76" s="11" t="n">
        <f aca="false">IFERROR(I76*1000000/$E76,"")</f>
        <v>229.316967267869</v>
      </c>
      <c r="O76" s="11" t="n">
        <f aca="false">IFERROR(J76*1000000/$E76,"")</f>
        <v>94.6168213620223</v>
      </c>
      <c r="P76" s="16" t="n">
        <f aca="false">COUNTIFS($A$4:$A$1008,$A76,$N$4:$N$1008,"&gt;"&amp;N76)+1</f>
        <v>12</v>
      </c>
      <c r="Q76" s="16" t="n">
        <f aca="false">COUNTIFS($A$4:$A$1008,$A76,$O$4:$O$1008,"&gt;"&amp;O76)+1</f>
        <v>18</v>
      </c>
    </row>
    <row r="77" customFormat="false" ht="15" hidden="false" customHeight="false" outlineLevel="0" collapsed="false">
      <c r="A77" s="7" t="n">
        <v>2001</v>
      </c>
      <c r="B77" s="15" t="s">
        <v>153</v>
      </c>
      <c r="C77" s="15" t="s">
        <v>135</v>
      </c>
      <c r="D77" s="15" t="s">
        <v>136</v>
      </c>
      <c r="E77" s="9" t="n">
        <f aca="false">SUMIFS(Data!$L$2:$L$1006,Data!$A$2:$A$1006,$A77,Data!$B$2:$B$1006,$B77)</f>
        <v>126629</v>
      </c>
      <c r="F77" s="10" t="n">
        <f aca="false">SUMIFS(Data!$E$2:$E$1006,Data!$A$2:$A$1006,$A77,Data!$B$2:$B$1006,$B77)</f>
        <v>10.795122</v>
      </c>
      <c r="G77" s="10" t="n">
        <f aca="false">SUMIFS(Data!$F$2:$F$1006,Data!$A$2:$A$1006,$A77,Data!$B$2:$B$1006,$B77)</f>
        <v>12.668819</v>
      </c>
      <c r="H77" s="10" t="n">
        <f aca="false">SUMIFS(Data!$G$2:$G$1006,Data!$A$2:$A$1006,$A77,Data!$B$2:$B$1006,$B77)</f>
        <v>7.449458</v>
      </c>
      <c r="I77" s="10" t="n">
        <f aca="false">SUMIFS(Data!$N$2:$N$1006,Data!$A$2:$A$1006,$A77,Data!$B$2:$B$1006,$B77)</f>
        <v>30.913399</v>
      </c>
      <c r="J77" s="10" t="n">
        <f aca="false">SUMIFS(Data!$H$2:$H$1006,Data!$A$2:$A$1006,$A77,Data!$B$2:$B$1006,$B77)</f>
        <v>8.558796</v>
      </c>
      <c r="K77" s="11" t="n">
        <f aca="false">IFERROR(F77*1000000/$E77,"")</f>
        <v>85.2499980257287</v>
      </c>
      <c r="L77" s="11" t="n">
        <f aca="false">IFERROR(G77*1000000/$E77,"")</f>
        <v>100.046742847215</v>
      </c>
      <c r="M77" s="11" t="n">
        <f aca="false">IFERROR(H77*1000000/$E77,"")</f>
        <v>58.8290044144706</v>
      </c>
      <c r="N77" s="11" t="n">
        <f aca="false">IFERROR(I77*1000000/$E77,"")</f>
        <v>244.125745287414</v>
      </c>
      <c r="O77" s="11" t="n">
        <f aca="false">IFERROR(J77*1000000/$E77,"")</f>
        <v>67.5895411003799</v>
      </c>
      <c r="P77" s="16" t="n">
        <f aca="false">COUNTIFS($A$4:$A$1008,$A77,$N$4:$N$1008,"&gt;"&amp;N77)+1</f>
        <v>9</v>
      </c>
      <c r="Q77" s="16" t="n">
        <f aca="false">COUNTIFS($A$4:$A$1008,$A77,$O$4:$O$1008,"&gt;"&amp;O77)+1</f>
        <v>31</v>
      </c>
    </row>
    <row r="78" customFormat="false" ht="15" hidden="false" customHeight="false" outlineLevel="0" collapsed="false">
      <c r="A78" s="7" t="n">
        <v>2001</v>
      </c>
      <c r="B78" s="15" t="s">
        <v>154</v>
      </c>
      <c r="C78" s="15" t="s">
        <v>135</v>
      </c>
      <c r="D78" s="15" t="s">
        <v>141</v>
      </c>
      <c r="E78" s="9" t="n">
        <f aca="false">SUMIFS(Data!$L$2:$L$1006,Data!$A$2:$A$1006,$A78,Data!$B$2:$B$1006,$B78)</f>
        <v>132659</v>
      </c>
      <c r="F78" s="10" t="n">
        <f aca="false">SUMIFS(Data!$E$2:$E$1006,Data!$A$2:$A$1006,$A78,Data!$B$2:$B$1006,$B78)</f>
        <v>7.858199</v>
      </c>
      <c r="G78" s="10" t="n">
        <f aca="false">SUMIFS(Data!$F$2:$F$1006,Data!$A$2:$A$1006,$A78,Data!$B$2:$B$1006,$B78)</f>
        <v>5.088536</v>
      </c>
      <c r="H78" s="10" t="n">
        <f aca="false">SUMIFS(Data!$G$2:$G$1006,Data!$A$2:$A$1006,$A78,Data!$B$2:$B$1006,$B78)</f>
        <v>8.556217</v>
      </c>
      <c r="I78" s="10" t="n">
        <f aca="false">SUMIFS(Data!$N$2:$N$1006,Data!$A$2:$A$1006,$A78,Data!$B$2:$B$1006,$B78)</f>
        <v>21.502952</v>
      </c>
      <c r="J78" s="10" t="n">
        <f aca="false">SUMIFS(Data!$H$2:$H$1006,Data!$A$2:$A$1006,$A78,Data!$B$2:$B$1006,$B78)</f>
        <v>10.290901</v>
      </c>
      <c r="K78" s="11" t="n">
        <f aca="false">IFERROR(F78*1000000/$E78,"")</f>
        <v>59.2360789693877</v>
      </c>
      <c r="L78" s="11" t="n">
        <f aca="false">IFERROR(G78*1000000/$E78,"")</f>
        <v>38.3580156642218</v>
      </c>
      <c r="M78" s="11" t="n">
        <f aca="false">IFERROR(H78*1000000/$E78,"")</f>
        <v>64.497825251208</v>
      </c>
      <c r="N78" s="11" t="n">
        <f aca="false">IFERROR(I78*1000000/$E78,"")</f>
        <v>162.091919884817</v>
      </c>
      <c r="O78" s="11" t="n">
        <f aca="false">IFERROR(J78*1000000/$E78,"")</f>
        <v>77.5740884523478</v>
      </c>
      <c r="P78" s="16" t="n">
        <f aca="false">COUNTIFS($A$4:$A$1008,$A78,$N$4:$N$1008,"&gt;"&amp;N78)+1</f>
        <v>32</v>
      </c>
      <c r="Q78" s="16" t="n">
        <f aca="false">COUNTIFS($A$4:$A$1008,$A78,$O$4:$O$1008,"&gt;"&amp;O78)+1</f>
        <v>28</v>
      </c>
    </row>
    <row r="79" customFormat="false" ht="15" hidden="false" customHeight="false" outlineLevel="0" collapsed="false">
      <c r="A79" s="7" t="n">
        <v>2001</v>
      </c>
      <c r="B79" s="15" t="s">
        <v>155</v>
      </c>
      <c r="C79" s="15" t="s">
        <v>135</v>
      </c>
      <c r="D79" s="15" t="s">
        <v>148</v>
      </c>
      <c r="E79" s="9" t="n">
        <f aca="false">SUMIFS(Data!$L$2:$L$1006,Data!$A$2:$A$1006,$A79,Data!$B$2:$B$1006,$B79)</f>
        <v>1035127</v>
      </c>
      <c r="F79" s="10" t="n">
        <f aca="false">SUMIFS(Data!$E$2:$E$1006,Data!$A$2:$A$1006,$A79,Data!$B$2:$B$1006,$B79)</f>
        <v>71.683385</v>
      </c>
      <c r="G79" s="10" t="n">
        <f aca="false">SUMIFS(Data!$F$2:$F$1006,Data!$A$2:$A$1006,$A79,Data!$B$2:$B$1006,$B79)</f>
        <v>69.319035</v>
      </c>
      <c r="H79" s="10" t="n">
        <f aca="false">SUMIFS(Data!$G$2:$G$1006,Data!$A$2:$A$1006,$A79,Data!$B$2:$B$1006,$B79)</f>
        <v>70.818111</v>
      </c>
      <c r="I79" s="10" t="n">
        <f aca="false">SUMIFS(Data!$N$2:$N$1006,Data!$A$2:$A$1006,$A79,Data!$B$2:$B$1006,$B79)</f>
        <v>211.820531</v>
      </c>
      <c r="J79" s="10" t="n">
        <f aca="false">SUMIFS(Data!$H$2:$H$1006,Data!$A$2:$A$1006,$A79,Data!$B$2:$B$1006,$B79)</f>
        <v>158.959964</v>
      </c>
      <c r="K79" s="11" t="n">
        <f aca="false">IFERROR(F79*1000000/$E79,"")</f>
        <v>69.2508117361445</v>
      </c>
      <c r="L79" s="11" t="n">
        <f aca="false">IFERROR(G79*1000000/$E79,"")</f>
        <v>66.9666958740329</v>
      </c>
      <c r="M79" s="11" t="n">
        <f aca="false">IFERROR(H79*1000000/$E79,"")</f>
        <v>68.4149007802907</v>
      </c>
      <c r="N79" s="11" t="n">
        <f aca="false">IFERROR(I79*1000000/$E79,"")</f>
        <v>204.632408390468</v>
      </c>
      <c r="O79" s="11" t="n">
        <f aca="false">IFERROR(J79*1000000/$E79,"")</f>
        <v>153.565662957299</v>
      </c>
      <c r="P79" s="16" t="n">
        <f aca="false">COUNTIFS($A$4:$A$1008,$A79,$N$4:$N$1008,"&gt;"&amp;N79)+1</f>
        <v>21</v>
      </c>
      <c r="Q79" s="16" t="n">
        <f aca="false">COUNTIFS($A$4:$A$1008,$A79,$O$4:$O$1008,"&gt;"&amp;O79)+1</f>
        <v>2</v>
      </c>
    </row>
    <row r="80" customFormat="false" ht="15" hidden="false" customHeight="false" outlineLevel="0" collapsed="false">
      <c r="A80" s="7" t="n">
        <v>2001</v>
      </c>
      <c r="B80" s="15" t="s">
        <v>156</v>
      </c>
      <c r="C80" s="15" t="s">
        <v>135</v>
      </c>
      <c r="D80" s="15" t="s">
        <v>148</v>
      </c>
      <c r="E80" s="9" t="n">
        <f aca="false">SUMIFS(Data!$L$2:$L$1006,Data!$A$2:$A$1006,$A80,Data!$B$2:$B$1006,$B80)</f>
        <v>409776</v>
      </c>
      <c r="F80" s="10" t="n">
        <f aca="false">SUMIFS(Data!$E$2:$E$1006,Data!$A$2:$A$1006,$A80,Data!$B$2:$B$1006,$B80)</f>
        <v>21.349013</v>
      </c>
      <c r="G80" s="10" t="n">
        <f aca="false">SUMIFS(Data!$F$2:$F$1006,Data!$A$2:$A$1006,$A80,Data!$B$2:$B$1006,$B80)</f>
        <v>28.84842</v>
      </c>
      <c r="H80" s="10" t="n">
        <f aca="false">SUMIFS(Data!$G$2:$G$1006,Data!$A$2:$A$1006,$A80,Data!$B$2:$B$1006,$B80)</f>
        <v>28.965333</v>
      </c>
      <c r="I80" s="10" t="n">
        <f aca="false">SUMIFS(Data!$N$2:$N$1006,Data!$A$2:$A$1006,$A80,Data!$B$2:$B$1006,$B80)</f>
        <v>79.162766</v>
      </c>
      <c r="J80" s="10" t="n">
        <f aca="false">SUMIFS(Data!$H$2:$H$1006,Data!$A$2:$A$1006,$A80,Data!$B$2:$B$1006,$B80)</f>
        <v>49.411149</v>
      </c>
      <c r="K80" s="11" t="n">
        <f aca="false">IFERROR(F80*1000000/$E80,"")</f>
        <v>52.0992273827652</v>
      </c>
      <c r="L80" s="11" t="n">
        <f aca="false">IFERROR(G80*1000000/$E80,"")</f>
        <v>70.4004626918121</v>
      </c>
      <c r="M80" s="11" t="n">
        <f aca="false">IFERROR(H80*1000000/$E80,"")</f>
        <v>70.6857722267776</v>
      </c>
      <c r="N80" s="11" t="n">
        <f aca="false">IFERROR(I80*1000000/$E80,"")</f>
        <v>193.185462301355</v>
      </c>
      <c r="O80" s="11" t="n">
        <f aca="false">IFERROR(J80*1000000/$E80,"")</f>
        <v>120.580875893171</v>
      </c>
      <c r="P80" s="16" t="n">
        <f aca="false">COUNTIFS($A$4:$A$1008,$A80,$N$4:$N$1008,"&gt;"&amp;N80)+1</f>
        <v>24</v>
      </c>
      <c r="Q80" s="16" t="n">
        <f aca="false">COUNTIFS($A$4:$A$1008,$A80,$O$4:$O$1008,"&gt;"&amp;O80)+1</f>
        <v>9</v>
      </c>
    </row>
    <row r="81" customFormat="false" ht="15" hidden="false" customHeight="false" outlineLevel="0" collapsed="false">
      <c r="A81" s="7" t="n">
        <v>2001</v>
      </c>
      <c r="B81" s="15" t="s">
        <v>157</v>
      </c>
      <c r="C81" s="15" t="s">
        <v>135</v>
      </c>
      <c r="D81" s="15" t="s">
        <v>148</v>
      </c>
      <c r="E81" s="9" t="n">
        <f aca="false">SUMIFS(Data!$L$2:$L$1006,Data!$A$2:$A$1006,$A81,Data!$B$2:$B$1006,$B81)</f>
        <v>397502</v>
      </c>
      <c r="F81" s="10" t="n">
        <f aca="false">SUMIFS(Data!$E$2:$E$1006,Data!$A$2:$A$1006,$A81,Data!$B$2:$B$1006,$B81)</f>
        <v>35.323164</v>
      </c>
      <c r="G81" s="10" t="n">
        <f aca="false">SUMIFS(Data!$F$2:$F$1006,Data!$A$2:$A$1006,$A81,Data!$B$2:$B$1006,$B81)</f>
        <v>37.909279</v>
      </c>
      <c r="H81" s="10" t="n">
        <f aca="false">SUMIFS(Data!$G$2:$G$1006,Data!$A$2:$A$1006,$A81,Data!$B$2:$B$1006,$B81)</f>
        <v>18.379473</v>
      </c>
      <c r="I81" s="10" t="n">
        <f aca="false">SUMIFS(Data!$N$2:$N$1006,Data!$A$2:$A$1006,$A81,Data!$B$2:$B$1006,$B81)</f>
        <v>91.611916</v>
      </c>
      <c r="J81" s="10" t="n">
        <f aca="false">SUMIFS(Data!$H$2:$H$1006,Data!$A$2:$A$1006,$A81,Data!$B$2:$B$1006,$B81)</f>
        <v>52.123351</v>
      </c>
      <c r="K81" s="11" t="n">
        <f aca="false">IFERROR(F81*1000000/$E81,"")</f>
        <v>88.8628585516551</v>
      </c>
      <c r="L81" s="11" t="n">
        <f aca="false">IFERROR(G81*1000000/$E81,"")</f>
        <v>95.3687755030163</v>
      </c>
      <c r="M81" s="11" t="n">
        <f aca="false">IFERROR(H81*1000000/$E81,"")</f>
        <v>46.2374352833445</v>
      </c>
      <c r="N81" s="11" t="n">
        <f aca="false">IFERROR(I81*1000000/$E81,"")</f>
        <v>230.469069338016</v>
      </c>
      <c r="O81" s="11" t="n">
        <f aca="false">IFERROR(J81*1000000/$E81,"")</f>
        <v>131.12726728419</v>
      </c>
      <c r="P81" s="16" t="n">
        <f aca="false">COUNTIFS($A$4:$A$1008,$A81,$N$4:$N$1008,"&gt;"&amp;N81)+1</f>
        <v>11</v>
      </c>
      <c r="Q81" s="16" t="n">
        <f aca="false">COUNTIFS($A$4:$A$1008,$A81,$O$4:$O$1008,"&gt;"&amp;O81)+1</f>
        <v>7</v>
      </c>
    </row>
    <row r="82" customFormat="false" ht="15" hidden="false" customHeight="false" outlineLevel="0" collapsed="false">
      <c r="A82" s="7" t="n">
        <v>2002</v>
      </c>
      <c r="B82" s="15" t="s">
        <v>101</v>
      </c>
      <c r="C82" s="15" t="s">
        <v>102</v>
      </c>
      <c r="D82" s="15" t="s">
        <v>103</v>
      </c>
      <c r="E82" s="9" t="n">
        <f aca="false">SUMIFS(Data!$L$2:$L$1006,Data!$A$2:$A$1006,$A82,Data!$B$2:$B$1006,$B82)</f>
        <v>751430</v>
      </c>
      <c r="F82" s="10" t="n">
        <f aca="false">SUMIFS(Data!$E$2:$E$1006,Data!$A$2:$A$1006,$A82,Data!$B$2:$B$1006,$B82)</f>
        <v>51.587632</v>
      </c>
      <c r="G82" s="10" t="n">
        <f aca="false">SUMIFS(Data!$F$2:$F$1006,Data!$A$2:$A$1006,$A82,Data!$B$2:$B$1006,$B82)</f>
        <v>18.535717</v>
      </c>
      <c r="H82" s="10" t="n">
        <f aca="false">SUMIFS(Data!$G$2:$G$1006,Data!$A$2:$A$1006,$A82,Data!$B$2:$B$1006,$B82)</f>
        <v>41.217447</v>
      </c>
      <c r="I82" s="10" t="n">
        <f aca="false">SUMIFS(Data!$N$2:$N$1006,Data!$A$2:$A$1006,$A82,Data!$B$2:$B$1006,$B82)</f>
        <v>111.340796</v>
      </c>
      <c r="J82" s="10" t="n">
        <f aca="false">SUMIFS(Data!$H$2:$H$1006,Data!$A$2:$A$1006,$A82,Data!$B$2:$B$1006,$B82)</f>
        <v>35.893336</v>
      </c>
      <c r="K82" s="11" t="n">
        <f aca="false">IFERROR(F82*1000000/$E82,"")</f>
        <v>68.65261168705</v>
      </c>
      <c r="L82" s="11" t="n">
        <f aca="false">IFERROR(G82*1000000/$E82,"")</f>
        <v>24.6672570964694</v>
      </c>
      <c r="M82" s="11" t="n">
        <f aca="false">IFERROR(H82*1000000/$E82,"")</f>
        <v>54.852011498077</v>
      </c>
      <c r="N82" s="11" t="n">
        <f aca="false">IFERROR(I82*1000000/$E82,"")</f>
        <v>148.171880281596</v>
      </c>
      <c r="O82" s="11" t="n">
        <f aca="false">IFERROR(J82*1000000/$E82,"")</f>
        <v>47.7667061469465</v>
      </c>
      <c r="P82" s="16" t="n">
        <f aca="false">COUNTIFS($A$4:$A$1008,$A82,$N$4:$N$1008,"&gt;"&amp;N82)+1</f>
        <v>35</v>
      </c>
      <c r="Q82" s="16" t="n">
        <f aca="false">COUNTIFS($A$4:$A$1008,$A82,$O$4:$O$1008,"&gt;"&amp;O82)+1</f>
        <v>36</v>
      </c>
    </row>
    <row r="83" customFormat="false" ht="15" hidden="false" customHeight="false" outlineLevel="0" collapsed="false">
      <c r="A83" s="7" t="n">
        <v>2002</v>
      </c>
      <c r="B83" s="15" t="s">
        <v>104</v>
      </c>
      <c r="C83" s="15" t="s">
        <v>102</v>
      </c>
      <c r="D83" s="15" t="s">
        <v>105</v>
      </c>
      <c r="E83" s="9" t="n">
        <f aca="false">SUMIFS(Data!$L$2:$L$1006,Data!$A$2:$A$1006,$A83,Data!$B$2:$B$1006,$B83)</f>
        <v>1033938</v>
      </c>
      <c r="F83" s="10" t="n">
        <f aca="false">SUMIFS(Data!$E$2:$E$1006,Data!$A$2:$A$1006,$A83,Data!$B$2:$B$1006,$B83)</f>
        <v>91.692371</v>
      </c>
      <c r="G83" s="10" t="n">
        <f aca="false">SUMIFS(Data!$F$2:$F$1006,Data!$A$2:$A$1006,$A83,Data!$B$2:$B$1006,$B83)</f>
        <v>72.891725</v>
      </c>
      <c r="H83" s="10" t="n">
        <f aca="false">SUMIFS(Data!$G$2:$G$1006,Data!$A$2:$A$1006,$A83,Data!$B$2:$B$1006,$B83)</f>
        <v>83.152863</v>
      </c>
      <c r="I83" s="10" t="n">
        <f aca="false">SUMIFS(Data!$N$2:$N$1006,Data!$A$2:$A$1006,$A83,Data!$B$2:$B$1006,$B83)</f>
        <v>247.736959</v>
      </c>
      <c r="J83" s="10" t="n">
        <f aca="false">SUMIFS(Data!$H$2:$H$1006,Data!$A$2:$A$1006,$A83,Data!$B$2:$B$1006,$B83)</f>
        <v>108.672184</v>
      </c>
      <c r="K83" s="11" t="n">
        <f aca="false">IFERROR(F83*1000000/$E83,"")</f>
        <v>88.6826589215214</v>
      </c>
      <c r="L83" s="11" t="n">
        <f aca="false">IFERROR(G83*1000000/$E83,"")</f>
        <v>70.4991256729127</v>
      </c>
      <c r="M83" s="11" t="n">
        <f aca="false">IFERROR(H83*1000000/$E83,"")</f>
        <v>80.4234518897652</v>
      </c>
      <c r="N83" s="11" t="n">
        <f aca="false">IFERROR(I83*1000000/$E83,"")</f>
        <v>239.605236484199</v>
      </c>
      <c r="O83" s="11" t="n">
        <f aca="false">IFERROR(J83*1000000/$E83,"")</f>
        <v>105.105126226137</v>
      </c>
      <c r="P83" s="16" t="n">
        <f aca="false">COUNTIFS($A$4:$A$1008,$A83,$N$4:$N$1008,"&gt;"&amp;N83)+1</f>
        <v>5</v>
      </c>
      <c r="Q83" s="16" t="n">
        <f aca="false">COUNTIFS($A$4:$A$1008,$A83,$O$4:$O$1008,"&gt;"&amp;O83)+1</f>
        <v>15</v>
      </c>
    </row>
    <row r="84" customFormat="false" ht="15" hidden="false" customHeight="false" outlineLevel="0" collapsed="false">
      <c r="A84" s="7" t="n">
        <v>2002</v>
      </c>
      <c r="B84" s="15" t="s">
        <v>106</v>
      </c>
      <c r="C84" s="15" t="s">
        <v>102</v>
      </c>
      <c r="D84" s="15" t="s">
        <v>107</v>
      </c>
      <c r="E84" s="9" t="n">
        <f aca="false">SUMIFS(Data!$L$2:$L$1006,Data!$A$2:$A$1006,$A84,Data!$B$2:$B$1006,$B84)</f>
        <v>506134</v>
      </c>
      <c r="F84" s="10" t="n">
        <f aca="false">SUMIFS(Data!$E$2:$E$1006,Data!$A$2:$A$1006,$A84,Data!$B$2:$B$1006,$B84)</f>
        <v>36.783415</v>
      </c>
      <c r="G84" s="10" t="n">
        <f aca="false">SUMIFS(Data!$F$2:$F$1006,Data!$A$2:$A$1006,$A84,Data!$B$2:$B$1006,$B84)</f>
        <v>30.343009</v>
      </c>
      <c r="H84" s="10" t="n">
        <f aca="false">SUMIFS(Data!$G$2:$G$1006,Data!$A$2:$A$1006,$A84,Data!$B$2:$B$1006,$B84)</f>
        <v>25.386747</v>
      </c>
      <c r="I84" s="10" t="n">
        <f aca="false">SUMIFS(Data!$N$2:$N$1006,Data!$A$2:$A$1006,$A84,Data!$B$2:$B$1006,$B84)</f>
        <v>92.513171</v>
      </c>
      <c r="J84" s="10" t="n">
        <f aca="false">SUMIFS(Data!$H$2:$H$1006,Data!$A$2:$A$1006,$A84,Data!$B$2:$B$1006,$B84)</f>
        <v>34.908563</v>
      </c>
      <c r="K84" s="11" t="n">
        <f aca="false">IFERROR(F84*1000000/$E84,"")</f>
        <v>72.6752500326001</v>
      </c>
      <c r="L84" s="11" t="n">
        <f aca="false">IFERROR(G84*1000000/$E84,"")</f>
        <v>59.9505447174069</v>
      </c>
      <c r="M84" s="11" t="n">
        <f aca="false">IFERROR(H84*1000000/$E84,"")</f>
        <v>50.1581537695551</v>
      </c>
      <c r="N84" s="11" t="n">
        <f aca="false">IFERROR(I84*1000000/$E84,"")</f>
        <v>182.783948519562</v>
      </c>
      <c r="O84" s="11" t="n">
        <f aca="false">IFERROR(J84*1000000/$E84,"")</f>
        <v>68.9709898959564</v>
      </c>
      <c r="P84" s="16" t="n">
        <f aca="false">COUNTIFS($A$4:$A$1008,$A84,$N$4:$N$1008,"&gt;"&amp;N84)+1</f>
        <v>25</v>
      </c>
      <c r="Q84" s="16" t="n">
        <f aca="false">COUNTIFS($A$4:$A$1008,$A84,$O$4:$O$1008,"&gt;"&amp;O84)+1</f>
        <v>31</v>
      </c>
    </row>
    <row r="85" customFormat="false" ht="15" hidden="false" customHeight="false" outlineLevel="0" collapsed="false">
      <c r="A85" s="7" t="n">
        <v>2002</v>
      </c>
      <c r="B85" s="15" t="s">
        <v>108</v>
      </c>
      <c r="C85" s="15" t="s">
        <v>102</v>
      </c>
      <c r="D85" s="15" t="s">
        <v>109</v>
      </c>
      <c r="E85" s="9" t="n">
        <f aca="false">SUMIFS(Data!$L$2:$L$1006,Data!$A$2:$A$1006,$A85,Data!$B$2:$B$1006,$B85)</f>
        <v>393724</v>
      </c>
      <c r="F85" s="10" t="n">
        <f aca="false">SUMIFS(Data!$E$2:$E$1006,Data!$A$2:$A$1006,$A85,Data!$B$2:$B$1006,$B85)</f>
        <v>33.857655</v>
      </c>
      <c r="G85" s="10" t="n">
        <f aca="false">SUMIFS(Data!$F$2:$F$1006,Data!$A$2:$A$1006,$A85,Data!$B$2:$B$1006,$B85)</f>
        <v>15.410839</v>
      </c>
      <c r="H85" s="10" t="n">
        <f aca="false">SUMIFS(Data!$G$2:$G$1006,Data!$A$2:$A$1006,$A85,Data!$B$2:$B$1006,$B85)</f>
        <v>21.586505</v>
      </c>
      <c r="I85" s="10" t="n">
        <f aca="false">SUMIFS(Data!$N$2:$N$1006,Data!$A$2:$A$1006,$A85,Data!$B$2:$B$1006,$B85)</f>
        <v>70.854999</v>
      </c>
      <c r="J85" s="10" t="n">
        <f aca="false">SUMIFS(Data!$H$2:$H$1006,Data!$A$2:$A$1006,$A85,Data!$B$2:$B$1006,$B85)</f>
        <v>35.769778</v>
      </c>
      <c r="K85" s="11" t="n">
        <f aca="false">IFERROR(F85*1000000/$E85,"")</f>
        <v>85.9933735306966</v>
      </c>
      <c r="L85" s="11" t="n">
        <f aca="false">IFERROR(G85*1000000/$E85,"")</f>
        <v>39.1412232934746</v>
      </c>
      <c r="M85" s="11" t="n">
        <f aca="false">IFERROR(H85*1000000/$E85,"")</f>
        <v>54.8264901301419</v>
      </c>
      <c r="N85" s="11" t="n">
        <f aca="false">IFERROR(I85*1000000/$E85,"")</f>
        <v>179.961086954313</v>
      </c>
      <c r="O85" s="11" t="n">
        <f aca="false">IFERROR(J85*1000000/$E85,"")</f>
        <v>90.8498796110981</v>
      </c>
      <c r="P85" s="16" t="n">
        <f aca="false">COUNTIFS($A$4:$A$1008,$A85,$N$4:$N$1008,"&gt;"&amp;N85)+1</f>
        <v>26</v>
      </c>
      <c r="Q85" s="16" t="n">
        <f aca="false">COUNTIFS($A$4:$A$1008,$A85,$O$4:$O$1008,"&gt;"&amp;O85)+1</f>
        <v>20</v>
      </c>
    </row>
    <row r="86" customFormat="false" ht="15" hidden="false" customHeight="false" outlineLevel="0" collapsed="false">
      <c r="A86" s="7" t="n">
        <v>2002</v>
      </c>
      <c r="B86" s="15" t="s">
        <v>110</v>
      </c>
      <c r="C86" s="15" t="s">
        <v>102</v>
      </c>
      <c r="D86" s="15" t="s">
        <v>103</v>
      </c>
      <c r="E86" s="9" t="n">
        <f aca="false">SUMIFS(Data!$L$2:$L$1006,Data!$A$2:$A$1006,$A86,Data!$B$2:$B$1006,$B86)</f>
        <v>1008197</v>
      </c>
      <c r="F86" s="10" t="n">
        <f aca="false">SUMIFS(Data!$E$2:$E$1006,Data!$A$2:$A$1006,$A86,Data!$B$2:$B$1006,$B86)</f>
        <v>68.793589</v>
      </c>
      <c r="G86" s="10" t="n">
        <f aca="false">SUMIFS(Data!$F$2:$F$1006,Data!$A$2:$A$1006,$A86,Data!$B$2:$B$1006,$B86)</f>
        <v>28.432718</v>
      </c>
      <c r="H86" s="10" t="n">
        <f aca="false">SUMIFS(Data!$G$2:$G$1006,Data!$A$2:$A$1006,$A86,Data!$B$2:$B$1006,$B86)</f>
        <v>33.325507</v>
      </c>
      <c r="I86" s="10" t="n">
        <f aca="false">SUMIFS(Data!$N$2:$N$1006,Data!$A$2:$A$1006,$A86,Data!$B$2:$B$1006,$B86)</f>
        <v>130.551814</v>
      </c>
      <c r="J86" s="10" t="n">
        <f aca="false">SUMIFS(Data!$H$2:$H$1006,Data!$A$2:$A$1006,$A86,Data!$B$2:$B$1006,$B86)</f>
        <v>46.759608</v>
      </c>
      <c r="K86" s="11" t="n">
        <f aca="false">IFERROR(F86*1000000/$E86,"")</f>
        <v>68.234272666949</v>
      </c>
      <c r="L86" s="11" t="n">
        <f aca="false">IFERROR(G86*1000000/$E86,"")</f>
        <v>28.2015498955065</v>
      </c>
      <c r="M86" s="11" t="n">
        <f aca="false">IFERROR(H86*1000000/$E86,"")</f>
        <v>33.0545587816667</v>
      </c>
      <c r="N86" s="11" t="n">
        <f aca="false">IFERROR(I86*1000000/$E86,"")</f>
        <v>129.490381344122</v>
      </c>
      <c r="O86" s="11" t="n">
        <f aca="false">IFERROR(J86*1000000/$E86,"")</f>
        <v>46.379435765034</v>
      </c>
      <c r="P86" s="16" t="n">
        <f aca="false">COUNTIFS($A$4:$A$1008,$A86,$N$4:$N$1008,"&gt;"&amp;N86)+1</f>
        <v>38</v>
      </c>
      <c r="Q86" s="16" t="n">
        <f aca="false">COUNTIFS($A$4:$A$1008,$A86,$O$4:$O$1008,"&gt;"&amp;O86)+1</f>
        <v>37</v>
      </c>
    </row>
    <row r="87" customFormat="false" ht="15" hidden="false" customHeight="false" outlineLevel="0" collapsed="false">
      <c r="A87" s="7" t="n">
        <v>2002</v>
      </c>
      <c r="B87" s="15" t="s">
        <v>111</v>
      </c>
      <c r="C87" s="15" t="s">
        <v>102</v>
      </c>
      <c r="D87" s="15" t="s">
        <v>107</v>
      </c>
      <c r="E87" s="9" t="n">
        <f aca="false">SUMIFS(Data!$L$2:$L$1006,Data!$A$2:$A$1006,$A87,Data!$B$2:$B$1006,$B87)</f>
        <v>583462</v>
      </c>
      <c r="F87" s="10" t="n">
        <f aca="false">SUMIFS(Data!$E$2:$E$1006,Data!$A$2:$A$1006,$A87,Data!$B$2:$B$1006,$B87)</f>
        <v>48.900268</v>
      </c>
      <c r="G87" s="10" t="n">
        <f aca="false">SUMIFS(Data!$F$2:$F$1006,Data!$A$2:$A$1006,$A87,Data!$B$2:$B$1006,$B87)</f>
        <v>35.691151</v>
      </c>
      <c r="H87" s="10" t="n">
        <f aca="false">SUMIFS(Data!$G$2:$G$1006,Data!$A$2:$A$1006,$A87,Data!$B$2:$B$1006,$B87)</f>
        <v>34.909007</v>
      </c>
      <c r="I87" s="10" t="n">
        <f aca="false">SUMIFS(Data!$N$2:$N$1006,Data!$A$2:$A$1006,$A87,Data!$B$2:$B$1006,$B87)</f>
        <v>119.500426</v>
      </c>
      <c r="J87" s="10" t="n">
        <f aca="false">SUMIFS(Data!$H$2:$H$1006,Data!$A$2:$A$1006,$A87,Data!$B$2:$B$1006,$B87)</f>
        <v>34.84487</v>
      </c>
      <c r="K87" s="11" t="n">
        <f aca="false">IFERROR(F87*1000000/$E87,"")</f>
        <v>83.810544645581</v>
      </c>
      <c r="L87" s="11" t="n">
        <f aca="false">IFERROR(G87*1000000/$E87,"")</f>
        <v>61.1713376363842</v>
      </c>
      <c r="M87" s="11" t="n">
        <f aca="false">IFERROR(H87*1000000/$E87,"")</f>
        <v>59.8308150316559</v>
      </c>
      <c r="N87" s="11" t="n">
        <f aca="false">IFERROR(I87*1000000/$E87,"")</f>
        <v>204.812697313621</v>
      </c>
      <c r="O87" s="11" t="n">
        <f aca="false">IFERROR(J87*1000000/$E87,"")</f>
        <v>59.7208901350902</v>
      </c>
      <c r="P87" s="16" t="n">
        <f aca="false">COUNTIFS($A$4:$A$1008,$A87,$N$4:$N$1008,"&gt;"&amp;N87)+1</f>
        <v>18</v>
      </c>
      <c r="Q87" s="16" t="n">
        <f aca="false">COUNTIFS($A$4:$A$1008,$A87,$O$4:$O$1008,"&gt;"&amp;O87)+1</f>
        <v>34</v>
      </c>
    </row>
    <row r="88" customFormat="false" ht="15" hidden="false" customHeight="false" outlineLevel="0" collapsed="false">
      <c r="A88" s="7" t="n">
        <v>2002</v>
      </c>
      <c r="B88" s="15" t="s">
        <v>112</v>
      </c>
      <c r="C88" s="15" t="s">
        <v>102</v>
      </c>
      <c r="D88" s="15" t="s">
        <v>107</v>
      </c>
      <c r="E88" s="9" t="n">
        <f aca="false">SUMIFS(Data!$L$2:$L$1006,Data!$A$2:$A$1006,$A88,Data!$B$2:$B$1006,$B88)</f>
        <v>154281</v>
      </c>
      <c r="F88" s="10" t="n">
        <f aca="false">SUMIFS(Data!$E$2:$E$1006,Data!$A$2:$A$1006,$A88,Data!$B$2:$B$1006,$B88)</f>
        <v>9.28718</v>
      </c>
      <c r="G88" s="10" t="n">
        <f aca="false">SUMIFS(Data!$F$2:$F$1006,Data!$A$2:$A$1006,$A88,Data!$B$2:$B$1006,$B88)</f>
        <v>5.175261</v>
      </c>
      <c r="H88" s="10" t="n">
        <f aca="false">SUMIFS(Data!$G$2:$G$1006,Data!$A$2:$A$1006,$A88,Data!$B$2:$B$1006,$B88)</f>
        <v>6.774501</v>
      </c>
      <c r="I88" s="10" t="n">
        <f aca="false">SUMIFS(Data!$N$2:$N$1006,Data!$A$2:$A$1006,$A88,Data!$B$2:$B$1006,$B88)</f>
        <v>21.236942</v>
      </c>
      <c r="J88" s="10" t="n">
        <f aca="false">SUMIFS(Data!$H$2:$H$1006,Data!$A$2:$A$1006,$A88,Data!$B$2:$B$1006,$B88)</f>
        <v>11.934342</v>
      </c>
      <c r="K88" s="11" t="n">
        <f aca="false">IFERROR(F88*1000000/$E88,"")</f>
        <v>60.1965245234345</v>
      </c>
      <c r="L88" s="11" t="n">
        <f aca="false">IFERROR(G88*1000000/$E88,"")</f>
        <v>33.5443833006009</v>
      </c>
      <c r="M88" s="11" t="n">
        <f aca="false">IFERROR(H88*1000000/$E88,"")</f>
        <v>43.9101444766368</v>
      </c>
      <c r="N88" s="11" t="n">
        <f aca="false">IFERROR(I88*1000000/$E88,"")</f>
        <v>137.651052300672</v>
      </c>
      <c r="O88" s="11" t="n">
        <f aca="false">IFERROR(J88*1000000/$E88,"")</f>
        <v>77.3545802788419</v>
      </c>
      <c r="P88" s="16" t="n">
        <f aca="false">COUNTIFS($A$4:$A$1008,$A88,$N$4:$N$1008,"&gt;"&amp;N88)+1</f>
        <v>37</v>
      </c>
      <c r="Q88" s="16" t="n">
        <f aca="false">COUNTIFS($A$4:$A$1008,$A88,$O$4:$O$1008,"&gt;"&amp;O88)+1</f>
        <v>27</v>
      </c>
    </row>
    <row r="89" customFormat="false" ht="15" hidden="false" customHeight="false" outlineLevel="0" collapsed="false">
      <c r="A89" s="7" t="n">
        <v>2002</v>
      </c>
      <c r="B89" s="15" t="s">
        <v>113</v>
      </c>
      <c r="C89" s="15" t="s">
        <v>102</v>
      </c>
      <c r="D89" s="15" t="s">
        <v>114</v>
      </c>
      <c r="E89" s="9" t="n">
        <f aca="false">SUMIFS(Data!$L$2:$L$1006,Data!$A$2:$A$1006,$A89,Data!$B$2:$B$1006,$B89)</f>
        <v>422950</v>
      </c>
      <c r="F89" s="10" t="n">
        <f aca="false">SUMIFS(Data!$E$2:$E$1006,Data!$A$2:$A$1006,$A89,Data!$B$2:$B$1006,$B89)</f>
        <v>33.068248</v>
      </c>
      <c r="G89" s="10" t="n">
        <f aca="false">SUMIFS(Data!$F$2:$F$1006,Data!$A$2:$A$1006,$A89,Data!$B$2:$B$1006,$B89)</f>
        <v>12.314583</v>
      </c>
      <c r="H89" s="10" t="n">
        <f aca="false">SUMIFS(Data!$G$2:$G$1006,Data!$A$2:$A$1006,$A89,Data!$B$2:$B$1006,$B89)</f>
        <v>28.296937</v>
      </c>
      <c r="I89" s="10" t="n">
        <f aca="false">SUMIFS(Data!$N$2:$N$1006,Data!$A$2:$A$1006,$A89,Data!$B$2:$B$1006,$B89)</f>
        <v>73.679768</v>
      </c>
      <c r="J89" s="10" t="n">
        <f aca="false">SUMIFS(Data!$H$2:$H$1006,Data!$A$2:$A$1006,$A89,Data!$B$2:$B$1006,$B89)</f>
        <v>46.825865</v>
      </c>
      <c r="K89" s="11" t="n">
        <f aca="false">IFERROR(F89*1000000/$E89,"")</f>
        <v>78.184768885211</v>
      </c>
      <c r="L89" s="11" t="n">
        <f aca="false">IFERROR(G89*1000000/$E89,"")</f>
        <v>29.1159309611065</v>
      </c>
      <c r="M89" s="11" t="n">
        <f aca="false">IFERROR(H89*1000000/$E89,"")</f>
        <v>66.9037403948457</v>
      </c>
      <c r="N89" s="11" t="n">
        <f aca="false">IFERROR(I89*1000000/$E89,"")</f>
        <v>174.204440241163</v>
      </c>
      <c r="O89" s="11" t="n">
        <f aca="false">IFERROR(J89*1000000/$E89,"")</f>
        <v>110.712531032037</v>
      </c>
      <c r="P89" s="16" t="n">
        <f aca="false">COUNTIFS($A$4:$A$1008,$A89,$N$4:$N$1008,"&gt;"&amp;N89)+1</f>
        <v>29</v>
      </c>
      <c r="Q89" s="16" t="n">
        <f aca="false">COUNTIFS($A$4:$A$1008,$A89,$O$4:$O$1008,"&gt;"&amp;O89)+1</f>
        <v>13</v>
      </c>
    </row>
    <row r="90" customFormat="false" ht="15" hidden="false" customHeight="false" outlineLevel="0" collapsed="false">
      <c r="A90" s="7" t="n">
        <v>2002</v>
      </c>
      <c r="B90" s="15" t="s">
        <v>115</v>
      </c>
      <c r="C90" s="15" t="s">
        <v>102</v>
      </c>
      <c r="D90" s="15" t="s">
        <v>103</v>
      </c>
      <c r="E90" s="9" t="n">
        <f aca="false">SUMIFS(Data!$L$2:$L$1006,Data!$A$2:$A$1006,$A90,Data!$B$2:$B$1006,$B90)</f>
        <v>305860</v>
      </c>
      <c r="F90" s="10" t="n">
        <f aca="false">SUMIFS(Data!$E$2:$E$1006,Data!$A$2:$A$1006,$A90,Data!$B$2:$B$1006,$B90)</f>
        <v>22.590738</v>
      </c>
      <c r="G90" s="10" t="n">
        <f aca="false">SUMIFS(Data!$F$2:$F$1006,Data!$A$2:$A$1006,$A90,Data!$B$2:$B$1006,$B90)</f>
        <v>10.695813</v>
      </c>
      <c r="H90" s="10" t="n">
        <f aca="false">SUMIFS(Data!$G$2:$G$1006,Data!$A$2:$A$1006,$A90,Data!$B$2:$B$1006,$B90)</f>
        <v>19.272221</v>
      </c>
      <c r="I90" s="10" t="n">
        <f aca="false">SUMIFS(Data!$N$2:$N$1006,Data!$A$2:$A$1006,$A90,Data!$B$2:$B$1006,$B90)</f>
        <v>52.558772</v>
      </c>
      <c r="J90" s="10" t="n">
        <f aca="false">SUMIFS(Data!$H$2:$H$1006,Data!$A$2:$A$1006,$A90,Data!$B$2:$B$1006,$B90)</f>
        <v>13.933868</v>
      </c>
      <c r="K90" s="11" t="n">
        <f aca="false">IFERROR(F90*1000000/$E90,"")</f>
        <v>73.8597332112731</v>
      </c>
      <c r="L90" s="11" t="n">
        <f aca="false">IFERROR(G90*1000000/$E90,"")</f>
        <v>34.9696364349703</v>
      </c>
      <c r="M90" s="11" t="n">
        <f aca="false">IFERROR(H90*1000000/$E90,"")</f>
        <v>63.0099424573334</v>
      </c>
      <c r="N90" s="11" t="n">
        <f aca="false">IFERROR(I90*1000000/$E90,"")</f>
        <v>171.839312103577</v>
      </c>
      <c r="O90" s="11" t="n">
        <f aca="false">IFERROR(J90*1000000/$E90,"")</f>
        <v>45.556359118551</v>
      </c>
      <c r="P90" s="16" t="n">
        <f aca="false">COUNTIFS($A$4:$A$1008,$A90,$N$4:$N$1008,"&gt;"&amp;N90)+1</f>
        <v>30</v>
      </c>
      <c r="Q90" s="16" t="n">
        <f aca="false">COUNTIFS($A$4:$A$1008,$A90,$O$4:$O$1008,"&gt;"&amp;O90)+1</f>
        <v>38</v>
      </c>
    </row>
    <row r="91" customFormat="false" ht="15" hidden="false" customHeight="false" outlineLevel="0" collapsed="false">
      <c r="A91" s="7" t="n">
        <v>2002</v>
      </c>
      <c r="B91" s="15" t="s">
        <v>116</v>
      </c>
      <c r="C91" s="15" t="s">
        <v>102</v>
      </c>
      <c r="D91" s="15" t="s">
        <v>107</v>
      </c>
      <c r="E91" s="9" t="n">
        <f aca="false">SUMIFS(Data!$L$2:$L$1006,Data!$A$2:$A$1006,$A91,Data!$B$2:$B$1006,$B91)</f>
        <v>689422</v>
      </c>
      <c r="F91" s="10" t="n">
        <f aca="false">SUMIFS(Data!$E$2:$E$1006,Data!$A$2:$A$1006,$A91,Data!$B$2:$B$1006,$B91)</f>
        <v>48.530543</v>
      </c>
      <c r="G91" s="10" t="n">
        <f aca="false">SUMIFS(Data!$F$2:$F$1006,Data!$A$2:$A$1006,$A91,Data!$B$2:$B$1006,$B91)</f>
        <v>27.048864</v>
      </c>
      <c r="H91" s="10" t="n">
        <f aca="false">SUMIFS(Data!$G$2:$G$1006,Data!$A$2:$A$1006,$A91,Data!$B$2:$B$1006,$B91)</f>
        <v>31.244943</v>
      </c>
      <c r="I91" s="10" t="n">
        <f aca="false">SUMIFS(Data!$N$2:$N$1006,Data!$A$2:$A$1006,$A91,Data!$B$2:$B$1006,$B91)</f>
        <v>106.82435</v>
      </c>
      <c r="J91" s="10" t="n">
        <f aca="false">SUMIFS(Data!$H$2:$H$1006,Data!$A$2:$A$1006,$A91,Data!$B$2:$B$1006,$B91)</f>
        <v>41.325832</v>
      </c>
      <c r="K91" s="11" t="n">
        <f aca="false">IFERROR(F91*1000000/$E91,"")</f>
        <v>70.3930872528002</v>
      </c>
      <c r="L91" s="11" t="n">
        <f aca="false">IFERROR(G91*1000000/$E91,"")</f>
        <v>39.2341178552469</v>
      </c>
      <c r="M91" s="11" t="n">
        <f aca="false">IFERROR(H91*1000000/$E91,"")</f>
        <v>45.3204902077392</v>
      </c>
      <c r="N91" s="11" t="n">
        <f aca="false">IFERROR(I91*1000000/$E91,"")</f>
        <v>154.947695315786</v>
      </c>
      <c r="O91" s="11" t="n">
        <f aca="false">IFERROR(J91*1000000/$E91,"")</f>
        <v>59.942723034658</v>
      </c>
      <c r="P91" s="16" t="n">
        <f aca="false">COUNTIFS($A$4:$A$1008,$A91,$N$4:$N$1008,"&gt;"&amp;N91)+1</f>
        <v>34</v>
      </c>
      <c r="Q91" s="16" t="n">
        <f aca="false">COUNTIFS($A$4:$A$1008,$A91,$O$4:$O$1008,"&gt;"&amp;O91)+1</f>
        <v>33</v>
      </c>
    </row>
    <row r="92" customFormat="false" ht="15" hidden="false" customHeight="false" outlineLevel="0" collapsed="false">
      <c r="A92" s="7" t="n">
        <v>2002</v>
      </c>
      <c r="B92" s="15" t="s">
        <v>117</v>
      </c>
      <c r="C92" s="15" t="s">
        <v>118</v>
      </c>
      <c r="D92" s="15" t="s">
        <v>103</v>
      </c>
      <c r="E92" s="9" t="n">
        <f aca="false">SUMIFS(Data!$L$2:$L$1006,Data!$A$2:$A$1006,$A92,Data!$B$2:$B$1006,$B92)</f>
        <v>1383319</v>
      </c>
      <c r="F92" s="10" t="n">
        <f aca="false">SUMIFS(Data!$E$2:$E$1006,Data!$A$2:$A$1006,$A92,Data!$B$2:$B$1006,$B92)</f>
        <v>100.228964</v>
      </c>
      <c r="G92" s="10" t="n">
        <f aca="false">SUMIFS(Data!$F$2:$F$1006,Data!$A$2:$A$1006,$A92,Data!$B$2:$B$1006,$B92)</f>
        <v>83.462876</v>
      </c>
      <c r="H92" s="10" t="n">
        <f aca="false">SUMIFS(Data!$G$2:$G$1006,Data!$A$2:$A$1006,$A92,Data!$B$2:$B$1006,$B92)</f>
        <v>86.975338</v>
      </c>
      <c r="I92" s="10" t="n">
        <f aca="false">SUMIFS(Data!$N$2:$N$1006,Data!$A$2:$A$1006,$A92,Data!$B$2:$B$1006,$B92)</f>
        <v>270.667178</v>
      </c>
      <c r="J92" s="10" t="n">
        <f aca="false">SUMIFS(Data!$H$2:$H$1006,Data!$A$2:$A$1006,$A92,Data!$B$2:$B$1006,$B92)</f>
        <v>116.494436</v>
      </c>
      <c r="K92" s="11" t="n">
        <f aca="false">IFERROR(F92*1000000/$E92,"")</f>
        <v>72.4554235140268</v>
      </c>
      <c r="L92" s="11" t="n">
        <f aca="false">IFERROR(G92*1000000/$E92,"")</f>
        <v>60.3352343168857</v>
      </c>
      <c r="M92" s="11" t="n">
        <f aca="false">IFERROR(H92*1000000/$E92,"")</f>
        <v>62.8743897828339</v>
      </c>
      <c r="N92" s="11" t="n">
        <f aca="false">IFERROR(I92*1000000/$E92,"")</f>
        <v>195.665047613746</v>
      </c>
      <c r="O92" s="11" t="n">
        <f aca="false">IFERROR(J92*1000000/$E92,"")</f>
        <v>84.2137178770768</v>
      </c>
      <c r="P92" s="16" t="n">
        <f aca="false">COUNTIFS($A$4:$A$1008,$A92,$N$4:$N$1008,"&gt;"&amp;N92)+1</f>
        <v>19</v>
      </c>
      <c r="Q92" s="16" t="n">
        <f aca="false">COUNTIFS($A$4:$A$1008,$A92,$O$4:$O$1008,"&gt;"&amp;O92)+1</f>
        <v>25</v>
      </c>
    </row>
    <row r="93" customFormat="false" ht="15" hidden="false" customHeight="false" outlineLevel="0" collapsed="false">
      <c r="A93" s="7" t="n">
        <v>2002</v>
      </c>
      <c r="B93" s="15" t="s">
        <v>119</v>
      </c>
      <c r="C93" s="15" t="s">
        <v>118</v>
      </c>
      <c r="D93" s="15" t="s">
        <v>103</v>
      </c>
      <c r="E93" s="9" t="n">
        <f aca="false">SUMIFS(Data!$L$2:$L$1006,Data!$A$2:$A$1006,$A93,Data!$B$2:$B$1006,$B93)</f>
        <v>503158</v>
      </c>
      <c r="F93" s="10" t="n">
        <f aca="false">SUMIFS(Data!$E$2:$E$1006,Data!$A$2:$A$1006,$A93,Data!$B$2:$B$1006,$B93)</f>
        <v>19.510397</v>
      </c>
      <c r="G93" s="10" t="n">
        <f aca="false">SUMIFS(Data!$F$2:$F$1006,Data!$A$2:$A$1006,$A93,Data!$B$2:$B$1006,$B93)</f>
        <v>26.531385</v>
      </c>
      <c r="H93" s="10" t="n">
        <f aca="false">SUMIFS(Data!$G$2:$G$1006,Data!$A$2:$A$1006,$A93,Data!$B$2:$B$1006,$B93)</f>
        <v>32.500553</v>
      </c>
      <c r="I93" s="10" t="n">
        <f aca="false">SUMIFS(Data!$N$2:$N$1006,Data!$A$2:$A$1006,$A93,Data!$B$2:$B$1006,$B93)</f>
        <v>78.542335</v>
      </c>
      <c r="J93" s="10" t="n">
        <f aca="false">SUMIFS(Data!$H$2:$H$1006,Data!$A$2:$A$1006,$A93,Data!$B$2:$B$1006,$B93)</f>
        <v>26.759272</v>
      </c>
      <c r="K93" s="11" t="n">
        <f aca="false">IFERROR(F93*1000000/$E93,"")</f>
        <v>38.7758855071369</v>
      </c>
      <c r="L93" s="11" t="n">
        <f aca="false">IFERROR(G93*1000000/$E93,"")</f>
        <v>52.7297290314374</v>
      </c>
      <c r="M93" s="11" t="n">
        <f aca="false">IFERROR(H93*1000000/$E93,"")</f>
        <v>64.5931357545741</v>
      </c>
      <c r="N93" s="11" t="n">
        <f aca="false">IFERROR(I93*1000000/$E93,"")</f>
        <v>156.098750293148</v>
      </c>
      <c r="O93" s="11" t="n">
        <f aca="false">IFERROR(J93*1000000/$E93,"")</f>
        <v>53.1826424304095</v>
      </c>
      <c r="P93" s="16" t="n">
        <f aca="false">COUNTIFS($A$4:$A$1008,$A93,$N$4:$N$1008,"&gt;"&amp;N93)+1</f>
        <v>33</v>
      </c>
      <c r="Q93" s="16" t="n">
        <f aca="false">COUNTIFS($A$4:$A$1008,$A93,$O$4:$O$1008,"&gt;"&amp;O93)+1</f>
        <v>35</v>
      </c>
    </row>
    <row r="94" customFormat="false" ht="15" hidden="false" customHeight="false" outlineLevel="0" collapsed="false">
      <c r="A94" s="7" t="n">
        <v>2002</v>
      </c>
      <c r="B94" s="15" t="s">
        <v>120</v>
      </c>
      <c r="C94" s="15" t="s">
        <v>118</v>
      </c>
      <c r="D94" s="15" t="s">
        <v>121</v>
      </c>
      <c r="E94" s="9" t="n">
        <f aca="false">SUMIFS(Data!$L$2:$L$1006,Data!$A$2:$A$1006,$A94,Data!$B$2:$B$1006,$B94)</f>
        <v>920813</v>
      </c>
      <c r="F94" s="10" t="n">
        <f aca="false">SUMIFS(Data!$E$2:$E$1006,Data!$A$2:$A$1006,$A94,Data!$B$2:$B$1006,$B94)</f>
        <v>81.451702</v>
      </c>
      <c r="G94" s="10" t="n">
        <f aca="false">SUMIFS(Data!$F$2:$F$1006,Data!$A$2:$A$1006,$A94,Data!$B$2:$B$1006,$B94)</f>
        <v>45.739458</v>
      </c>
      <c r="H94" s="10" t="n">
        <f aca="false">SUMIFS(Data!$G$2:$G$1006,Data!$A$2:$A$1006,$A94,Data!$B$2:$B$1006,$B94)</f>
        <v>62.248196</v>
      </c>
      <c r="I94" s="10" t="n">
        <f aca="false">SUMIFS(Data!$N$2:$N$1006,Data!$A$2:$A$1006,$A94,Data!$B$2:$B$1006,$B94)</f>
        <v>189.439356</v>
      </c>
      <c r="J94" s="10" t="n">
        <f aca="false">SUMIFS(Data!$H$2:$H$1006,Data!$A$2:$A$1006,$A94,Data!$B$2:$B$1006,$B94)</f>
        <v>84.574306</v>
      </c>
      <c r="K94" s="11" t="n">
        <f aca="false">IFERROR(F94*1000000/$E94,"")</f>
        <v>88.456290256545</v>
      </c>
      <c r="L94" s="11" t="n">
        <f aca="false">IFERROR(G94*1000000/$E94,"")</f>
        <v>49.672906442459</v>
      </c>
      <c r="M94" s="11" t="n">
        <f aca="false">IFERROR(H94*1000000/$E94,"")</f>
        <v>67.6013435952794</v>
      </c>
      <c r="N94" s="11" t="n">
        <f aca="false">IFERROR(I94*1000000/$E94,"")</f>
        <v>205.730540294283</v>
      </c>
      <c r="O94" s="11" t="n">
        <f aca="false">IFERROR(J94*1000000/$E94,"")</f>
        <v>91.8474283052042</v>
      </c>
      <c r="P94" s="16" t="n">
        <f aca="false">COUNTIFS($A$4:$A$1008,$A94,$N$4:$N$1008,"&gt;"&amp;N94)+1</f>
        <v>17</v>
      </c>
      <c r="Q94" s="16" t="n">
        <f aca="false">COUNTIFS($A$4:$A$1008,$A94,$O$4:$O$1008,"&gt;"&amp;O94)+1</f>
        <v>19</v>
      </c>
    </row>
    <row r="95" customFormat="false" ht="15" hidden="false" customHeight="false" outlineLevel="0" collapsed="false">
      <c r="A95" s="7" t="n">
        <v>2002</v>
      </c>
      <c r="B95" s="15" t="s">
        <v>122</v>
      </c>
      <c r="C95" s="15" t="s">
        <v>118</v>
      </c>
      <c r="D95" s="15" t="s">
        <v>105</v>
      </c>
      <c r="E95" s="9" t="n">
        <f aca="false">SUMIFS(Data!$L$2:$L$1006,Data!$A$2:$A$1006,$A95,Data!$B$2:$B$1006,$B95)</f>
        <v>511926</v>
      </c>
      <c r="F95" s="10" t="n">
        <f aca="false">SUMIFS(Data!$E$2:$E$1006,Data!$A$2:$A$1006,$A95,Data!$B$2:$B$1006,$B95)</f>
        <v>36.334177</v>
      </c>
      <c r="G95" s="10" t="n">
        <f aca="false">SUMIFS(Data!$F$2:$F$1006,Data!$A$2:$A$1006,$A95,Data!$B$2:$B$1006,$B95)</f>
        <v>48.328401</v>
      </c>
      <c r="H95" s="10" t="n">
        <f aca="false">SUMIFS(Data!$G$2:$G$1006,Data!$A$2:$A$1006,$A95,Data!$B$2:$B$1006,$B95)</f>
        <v>33.323833</v>
      </c>
      <c r="I95" s="10" t="n">
        <f aca="false">SUMIFS(Data!$N$2:$N$1006,Data!$A$2:$A$1006,$A95,Data!$B$2:$B$1006,$B95)</f>
        <v>117.986411</v>
      </c>
      <c r="J95" s="10" t="n">
        <f aca="false">SUMIFS(Data!$H$2:$H$1006,Data!$A$2:$A$1006,$A95,Data!$B$2:$B$1006,$B95)</f>
        <v>84.92646</v>
      </c>
      <c r="K95" s="11" t="n">
        <f aca="false">IFERROR(F95*1000000/$E95,"")</f>
        <v>70.9754476232893</v>
      </c>
      <c r="L95" s="11" t="n">
        <f aca="false">IFERROR(G95*1000000/$E95,"")</f>
        <v>94.4050526833957</v>
      </c>
      <c r="M95" s="11" t="n">
        <f aca="false">IFERROR(H95*1000000/$E95,"")</f>
        <v>65.0950195926755</v>
      </c>
      <c r="N95" s="11" t="n">
        <f aca="false">IFERROR(I95*1000000/$E95,"")</f>
        <v>230.47551989936</v>
      </c>
      <c r="O95" s="11" t="n">
        <f aca="false">IFERROR(J95*1000000/$E95,"")</f>
        <v>165.895969339319</v>
      </c>
      <c r="P95" s="16" t="n">
        <f aca="false">COUNTIFS($A$4:$A$1008,$A95,$N$4:$N$1008,"&gt;"&amp;N95)+1</f>
        <v>9</v>
      </c>
      <c r="Q95" s="16" t="n">
        <f aca="false">COUNTIFS($A$4:$A$1008,$A95,$O$4:$O$1008,"&gt;"&amp;O95)+1</f>
        <v>4</v>
      </c>
    </row>
    <row r="96" customFormat="false" ht="15" hidden="false" customHeight="false" outlineLevel="0" collapsed="false">
      <c r="A96" s="7" t="n">
        <v>2002</v>
      </c>
      <c r="B96" s="15" t="s">
        <v>123</v>
      </c>
      <c r="C96" s="15" t="s">
        <v>118</v>
      </c>
      <c r="D96" s="15" t="s">
        <v>124</v>
      </c>
      <c r="E96" s="9" t="n">
        <f aca="false">SUMIFS(Data!$L$2:$L$1006,Data!$A$2:$A$1006,$A96,Data!$B$2:$B$1006,$B96)</f>
        <v>1162033</v>
      </c>
      <c r="F96" s="10" t="n">
        <f aca="false">SUMIFS(Data!$E$2:$E$1006,Data!$A$2:$A$1006,$A96,Data!$B$2:$B$1006,$B96)</f>
        <v>76.157699</v>
      </c>
      <c r="G96" s="10" t="n">
        <f aca="false">SUMIFS(Data!$F$2:$F$1006,Data!$A$2:$A$1006,$A96,Data!$B$2:$B$1006,$B96)</f>
        <v>46.378975</v>
      </c>
      <c r="H96" s="10" t="n">
        <f aca="false">SUMIFS(Data!$G$2:$G$1006,Data!$A$2:$A$1006,$A96,Data!$B$2:$B$1006,$B96)</f>
        <v>97.956878</v>
      </c>
      <c r="I96" s="10" t="n">
        <f aca="false">SUMIFS(Data!$N$2:$N$1006,Data!$A$2:$A$1006,$A96,Data!$B$2:$B$1006,$B96)</f>
        <v>220.493552</v>
      </c>
      <c r="J96" s="10" t="n">
        <f aca="false">SUMIFS(Data!$H$2:$H$1006,Data!$A$2:$A$1006,$A96,Data!$B$2:$B$1006,$B96)</f>
        <v>84.873424</v>
      </c>
      <c r="K96" s="11" t="n">
        <f aca="false">IFERROR(F96*1000000/$E96,"")</f>
        <v>65.5383272247862</v>
      </c>
      <c r="L96" s="11" t="n">
        <f aca="false">IFERROR(G96*1000000/$E96,"")</f>
        <v>39.9119259091609</v>
      </c>
      <c r="M96" s="11" t="n">
        <f aca="false">IFERROR(H96*1000000/$E96,"")</f>
        <v>84.2978452419165</v>
      </c>
      <c r="N96" s="11" t="n">
        <f aca="false">IFERROR(I96*1000000/$E96,"")</f>
        <v>189.748098375864</v>
      </c>
      <c r="O96" s="11" t="n">
        <f aca="false">IFERROR(J96*1000000/$E96,"")</f>
        <v>73.0387381425485</v>
      </c>
      <c r="P96" s="16" t="n">
        <f aca="false">COUNTIFS($A$4:$A$1008,$A96,$N$4:$N$1008,"&gt;"&amp;N96)+1</f>
        <v>22</v>
      </c>
      <c r="Q96" s="16" t="n">
        <f aca="false">COUNTIFS($A$4:$A$1008,$A96,$O$4:$O$1008,"&gt;"&amp;O96)+1</f>
        <v>30</v>
      </c>
    </row>
    <row r="97" customFormat="false" ht="15" hidden="false" customHeight="false" outlineLevel="0" collapsed="false">
      <c r="A97" s="7" t="n">
        <v>2002</v>
      </c>
      <c r="B97" s="15" t="s">
        <v>125</v>
      </c>
      <c r="C97" s="15" t="s">
        <v>118</v>
      </c>
      <c r="D97" s="15" t="s">
        <v>126</v>
      </c>
      <c r="E97" s="9" t="n">
        <f aca="false">SUMIFS(Data!$L$2:$L$1006,Data!$A$2:$A$1006,$A97,Data!$B$2:$B$1006,$B97)</f>
        <v>482698</v>
      </c>
      <c r="F97" s="10" t="n">
        <f aca="false">SUMIFS(Data!$E$2:$E$1006,Data!$A$2:$A$1006,$A97,Data!$B$2:$B$1006,$B97)</f>
        <v>38.038845</v>
      </c>
      <c r="G97" s="10" t="n">
        <f aca="false">SUMIFS(Data!$F$2:$F$1006,Data!$A$2:$A$1006,$A97,Data!$B$2:$B$1006,$B97)</f>
        <v>42.937938</v>
      </c>
      <c r="H97" s="10" t="n">
        <f aca="false">SUMIFS(Data!$G$2:$G$1006,Data!$A$2:$A$1006,$A97,Data!$B$2:$B$1006,$B97)</f>
        <v>33.027301</v>
      </c>
      <c r="I97" s="10" t="n">
        <f aca="false">SUMIFS(Data!$N$2:$N$1006,Data!$A$2:$A$1006,$A97,Data!$B$2:$B$1006,$B97)</f>
        <v>114.004084</v>
      </c>
      <c r="J97" s="10" t="n">
        <f aca="false">SUMIFS(Data!$H$2:$H$1006,Data!$A$2:$A$1006,$A97,Data!$B$2:$B$1006,$B97)</f>
        <v>58.893326</v>
      </c>
      <c r="K97" s="11" t="n">
        <f aca="false">IFERROR(F97*1000000/$E97,"")</f>
        <v>78.8046459691153</v>
      </c>
      <c r="L97" s="11" t="n">
        <f aca="false">IFERROR(G97*1000000/$E97,"")</f>
        <v>88.9540416575167</v>
      </c>
      <c r="M97" s="11" t="n">
        <f aca="false">IFERROR(H97*1000000/$E97,"")</f>
        <v>68.4222868128726</v>
      </c>
      <c r="N97" s="11" t="n">
        <f aca="false">IFERROR(I97*1000000/$E97,"")</f>
        <v>236.180974439505</v>
      </c>
      <c r="O97" s="11" t="n">
        <f aca="false">IFERROR(J97*1000000/$E97,"")</f>
        <v>122.008638941947</v>
      </c>
      <c r="P97" s="16" t="n">
        <f aca="false">COUNTIFS($A$4:$A$1008,$A97,$N$4:$N$1008,"&gt;"&amp;N97)+1</f>
        <v>6</v>
      </c>
      <c r="Q97" s="16" t="n">
        <f aca="false">COUNTIFS($A$4:$A$1008,$A97,$O$4:$O$1008,"&gt;"&amp;O97)+1</f>
        <v>10</v>
      </c>
    </row>
    <row r="98" customFormat="false" ht="15" hidden="false" customHeight="false" outlineLevel="0" collapsed="false">
      <c r="A98" s="7" t="n">
        <v>2002</v>
      </c>
      <c r="B98" s="15" t="s">
        <v>127</v>
      </c>
      <c r="C98" s="15" t="s">
        <v>118</v>
      </c>
      <c r="D98" s="15" t="s">
        <v>103</v>
      </c>
      <c r="E98" s="9" t="n">
        <f aca="false">SUMIFS(Data!$L$2:$L$1006,Data!$A$2:$A$1006,$A98,Data!$B$2:$B$1006,$B98)</f>
        <v>659442</v>
      </c>
      <c r="F98" s="10" t="n">
        <f aca="false">SUMIFS(Data!$E$2:$E$1006,Data!$A$2:$A$1006,$A98,Data!$B$2:$B$1006,$B98)</f>
        <v>33.389151</v>
      </c>
      <c r="G98" s="10" t="n">
        <f aca="false">SUMIFS(Data!$F$2:$F$1006,Data!$A$2:$A$1006,$A98,Data!$B$2:$B$1006,$B98)</f>
        <v>30.430828</v>
      </c>
      <c r="H98" s="10" t="n">
        <f aca="false">SUMIFS(Data!$G$2:$G$1006,Data!$A$2:$A$1006,$A98,Data!$B$2:$B$1006,$B98)</f>
        <v>32.980961</v>
      </c>
      <c r="I98" s="10" t="n">
        <f aca="false">SUMIFS(Data!$N$2:$N$1006,Data!$A$2:$A$1006,$A98,Data!$B$2:$B$1006,$B98)</f>
        <v>96.80094</v>
      </c>
      <c r="J98" s="10" t="n">
        <f aca="false">SUMIFS(Data!$H$2:$H$1006,Data!$A$2:$A$1006,$A98,Data!$B$2:$B$1006,$B98)</f>
        <v>57.705099</v>
      </c>
      <c r="K98" s="11" t="n">
        <f aca="false">IFERROR(F98*1000000/$E98,"")</f>
        <v>50.6324301454866</v>
      </c>
      <c r="L98" s="11" t="n">
        <f aca="false">IFERROR(G98*1000000/$E98,"")</f>
        <v>46.1463297757801</v>
      </c>
      <c r="M98" s="11" t="n">
        <f aca="false">IFERROR(H98*1000000/$E98,"")</f>
        <v>50.0134371180483</v>
      </c>
      <c r="N98" s="11" t="n">
        <f aca="false">IFERROR(I98*1000000/$E98,"")</f>
        <v>146.792197039315</v>
      </c>
      <c r="O98" s="11" t="n">
        <f aca="false">IFERROR(J98*1000000/$E98,"")</f>
        <v>87.5059504854104</v>
      </c>
      <c r="P98" s="16" t="n">
        <f aca="false">COUNTIFS($A$4:$A$1008,$A98,$N$4:$N$1008,"&gt;"&amp;N98)+1</f>
        <v>36</v>
      </c>
      <c r="Q98" s="16" t="n">
        <f aca="false">COUNTIFS($A$4:$A$1008,$A98,$O$4:$O$1008,"&gt;"&amp;O98)+1</f>
        <v>23</v>
      </c>
    </row>
    <row r="99" customFormat="false" ht="15" hidden="false" customHeight="false" outlineLevel="0" collapsed="false">
      <c r="A99" s="7" t="n">
        <v>2002</v>
      </c>
      <c r="B99" s="15" t="s">
        <v>128</v>
      </c>
      <c r="C99" s="15" t="s">
        <v>118</v>
      </c>
      <c r="D99" s="15" t="s">
        <v>107</v>
      </c>
      <c r="E99" s="9" t="n">
        <f aca="false">SUMIFS(Data!$L$2:$L$1006,Data!$A$2:$A$1006,$A99,Data!$B$2:$B$1006,$B99)</f>
        <v>586184</v>
      </c>
      <c r="F99" s="10" t="n">
        <f aca="false">SUMIFS(Data!$E$2:$E$1006,Data!$A$2:$A$1006,$A99,Data!$B$2:$B$1006,$B99)</f>
        <v>27.096318</v>
      </c>
      <c r="G99" s="10" t="n">
        <f aca="false">SUMIFS(Data!$F$2:$F$1006,Data!$A$2:$A$1006,$A99,Data!$B$2:$B$1006,$B99)</f>
        <v>42.225019</v>
      </c>
      <c r="H99" s="10" t="n">
        <f aca="false">SUMIFS(Data!$G$2:$G$1006,Data!$A$2:$A$1006,$A99,Data!$B$2:$B$1006,$B99)</f>
        <v>33.360369</v>
      </c>
      <c r="I99" s="10" t="n">
        <f aca="false">SUMIFS(Data!$N$2:$N$1006,Data!$A$2:$A$1006,$A99,Data!$B$2:$B$1006,$B99)</f>
        <v>102.681706</v>
      </c>
      <c r="J99" s="10" t="n">
        <f aca="false">SUMIFS(Data!$H$2:$H$1006,Data!$A$2:$A$1006,$A99,Data!$B$2:$B$1006,$B99)</f>
        <v>50.720924</v>
      </c>
      <c r="K99" s="11" t="n">
        <f aca="false">IFERROR(F99*1000000/$E99,"")</f>
        <v>46.224936197508</v>
      </c>
      <c r="L99" s="11" t="n">
        <f aca="false">IFERROR(G99*1000000/$E99,"")</f>
        <v>72.0337283173884</v>
      </c>
      <c r="M99" s="11" t="n">
        <f aca="false">IFERROR(H99*1000000/$E99,"")</f>
        <v>56.9110876448351</v>
      </c>
      <c r="N99" s="11" t="n">
        <f aca="false">IFERROR(I99*1000000/$E99,"")</f>
        <v>175.169752159731</v>
      </c>
      <c r="O99" s="11" t="n">
        <f aca="false">IFERROR(J99*1000000/$E99,"")</f>
        <v>86.5273088313567</v>
      </c>
      <c r="P99" s="16" t="n">
        <f aca="false">COUNTIFS($A$4:$A$1008,$A99,$N$4:$N$1008,"&gt;"&amp;N99)+1</f>
        <v>27</v>
      </c>
      <c r="Q99" s="16" t="n">
        <f aca="false">COUNTIFS($A$4:$A$1008,$A99,$O$4:$O$1008,"&gt;"&amp;O99)+1</f>
        <v>24</v>
      </c>
    </row>
    <row r="100" customFormat="false" ht="15" hidden="false" customHeight="false" outlineLevel="0" collapsed="false">
      <c r="A100" s="7" t="n">
        <v>2002</v>
      </c>
      <c r="B100" s="15" t="s">
        <v>129</v>
      </c>
      <c r="C100" s="15" t="s">
        <v>118</v>
      </c>
      <c r="D100" s="15" t="s">
        <v>107</v>
      </c>
      <c r="E100" s="9" t="n">
        <f aca="false">SUMIFS(Data!$L$2:$L$1006,Data!$A$2:$A$1006,$A100,Data!$B$2:$B$1006,$B100)</f>
        <v>1528884</v>
      </c>
      <c r="F100" s="10" t="n">
        <f aca="false">SUMIFS(Data!$E$2:$E$1006,Data!$A$2:$A$1006,$A100,Data!$B$2:$B$1006,$B100)</f>
        <v>150.717201</v>
      </c>
      <c r="G100" s="10" t="n">
        <f aca="false">SUMIFS(Data!$F$2:$F$1006,Data!$A$2:$A$1006,$A100,Data!$B$2:$B$1006,$B100)</f>
        <v>128.713868</v>
      </c>
      <c r="H100" s="10" t="n">
        <f aca="false">SUMIFS(Data!$G$2:$G$1006,Data!$A$2:$A$1006,$A100,Data!$B$2:$B$1006,$B100)</f>
        <v>73.840457</v>
      </c>
      <c r="I100" s="10" t="n">
        <f aca="false">SUMIFS(Data!$N$2:$N$1006,Data!$A$2:$A$1006,$A100,Data!$B$2:$B$1006,$B100)</f>
        <v>353.271526</v>
      </c>
      <c r="J100" s="10" t="n">
        <f aca="false">SUMIFS(Data!$H$2:$H$1006,Data!$A$2:$A$1006,$A100,Data!$B$2:$B$1006,$B100)</f>
        <v>134.313035</v>
      </c>
      <c r="K100" s="11" t="n">
        <f aca="false">IFERROR(F100*1000000/$E100,"")</f>
        <v>98.5798798339181</v>
      </c>
      <c r="L100" s="11" t="n">
        <f aca="false">IFERROR(G100*1000000/$E100,"")</f>
        <v>84.1881189154965</v>
      </c>
      <c r="M100" s="11" t="n">
        <f aca="false">IFERROR(H100*1000000/$E100,"")</f>
        <v>48.2969649757601</v>
      </c>
      <c r="N100" s="11" t="n">
        <f aca="false">IFERROR(I100*1000000/$E100,"")</f>
        <v>231.064963725175</v>
      </c>
      <c r="O100" s="11" t="n">
        <f aca="false">IFERROR(J100*1000000/$E100,"")</f>
        <v>87.850376483762</v>
      </c>
      <c r="P100" s="16" t="n">
        <f aca="false">COUNTIFS($A$4:$A$1008,$A100,$N$4:$N$1008,"&gt;"&amp;N100)+1</f>
        <v>8</v>
      </c>
      <c r="Q100" s="16" t="n">
        <f aca="false">COUNTIFS($A$4:$A$1008,$A100,$O$4:$O$1008,"&gt;"&amp;O100)+1</f>
        <v>22</v>
      </c>
    </row>
    <row r="101" customFormat="false" ht="15" hidden="false" customHeight="false" outlineLevel="0" collapsed="false">
      <c r="A101" s="7" t="n">
        <v>2002</v>
      </c>
      <c r="B101" s="15" t="s">
        <v>130</v>
      </c>
      <c r="C101" s="15" t="s">
        <v>118</v>
      </c>
      <c r="D101" s="15" t="s">
        <v>107</v>
      </c>
      <c r="E101" s="9" t="n">
        <f aca="false">SUMIFS(Data!$L$2:$L$1006,Data!$A$2:$A$1006,$A101,Data!$B$2:$B$1006,$B101)</f>
        <v>1299183</v>
      </c>
      <c r="F101" s="10" t="n">
        <f aca="false">SUMIFS(Data!$E$2:$E$1006,Data!$A$2:$A$1006,$A101,Data!$B$2:$B$1006,$B101)</f>
        <v>117.875976</v>
      </c>
      <c r="G101" s="10" t="n">
        <f aca="false">SUMIFS(Data!$F$2:$F$1006,Data!$A$2:$A$1006,$A101,Data!$B$2:$B$1006,$B101)</f>
        <v>62.553687</v>
      </c>
      <c r="H101" s="10" t="n">
        <f aca="false">SUMIFS(Data!$G$2:$G$1006,Data!$A$2:$A$1006,$A101,Data!$B$2:$B$1006,$B101)</f>
        <v>70.367207</v>
      </c>
      <c r="I101" s="10" t="n">
        <f aca="false">SUMIFS(Data!$N$2:$N$1006,Data!$A$2:$A$1006,$A101,Data!$B$2:$B$1006,$B101)</f>
        <v>250.79687</v>
      </c>
      <c r="J101" s="10" t="n">
        <f aca="false">SUMIFS(Data!$H$2:$H$1006,Data!$A$2:$A$1006,$A101,Data!$B$2:$B$1006,$B101)</f>
        <v>168.624584</v>
      </c>
      <c r="K101" s="11" t="n">
        <f aca="false">IFERROR(F101*1000000/$E101,"")</f>
        <v>90.7308485409677</v>
      </c>
      <c r="L101" s="11" t="n">
        <f aca="false">IFERROR(G101*1000000/$E101,"")</f>
        <v>48.1484802371952</v>
      </c>
      <c r="M101" s="11" t="n">
        <f aca="false">IFERROR(H101*1000000/$E101,"")</f>
        <v>54.1626599178099</v>
      </c>
      <c r="N101" s="11" t="n">
        <f aca="false">IFERROR(I101*1000000/$E101,"")</f>
        <v>193.041988695973</v>
      </c>
      <c r="O101" s="11" t="n">
        <f aca="false">IFERROR(J101*1000000/$E101,"")</f>
        <v>129.792788236915</v>
      </c>
      <c r="P101" s="16" t="n">
        <f aca="false">COUNTIFS($A$4:$A$1008,$A101,$N$4:$N$1008,"&gt;"&amp;N101)+1</f>
        <v>21</v>
      </c>
      <c r="Q101" s="16" t="n">
        <f aca="false">COUNTIFS($A$4:$A$1008,$A101,$O$4:$O$1008,"&gt;"&amp;O101)+1</f>
        <v>8</v>
      </c>
    </row>
    <row r="102" customFormat="false" ht="15" hidden="false" customHeight="false" outlineLevel="0" collapsed="false">
      <c r="A102" s="7" t="n">
        <v>2002</v>
      </c>
      <c r="B102" s="15" t="s">
        <v>131</v>
      </c>
      <c r="C102" s="15" t="s">
        <v>118</v>
      </c>
      <c r="D102" s="15" t="s">
        <v>132</v>
      </c>
      <c r="E102" s="9" t="n">
        <f aca="false">SUMIFS(Data!$L$2:$L$1006,Data!$A$2:$A$1006,$A102,Data!$B$2:$B$1006,$B102)</f>
        <v>717628</v>
      </c>
      <c r="F102" s="10" t="n">
        <f aca="false">SUMIFS(Data!$E$2:$E$1006,Data!$A$2:$A$1006,$A102,Data!$B$2:$B$1006,$B102)</f>
        <v>61.816647</v>
      </c>
      <c r="G102" s="10" t="n">
        <f aca="false">SUMIFS(Data!$F$2:$F$1006,Data!$A$2:$A$1006,$A102,Data!$B$2:$B$1006,$B102)</f>
        <v>53.810726</v>
      </c>
      <c r="H102" s="10" t="n">
        <f aca="false">SUMIFS(Data!$G$2:$G$1006,Data!$A$2:$A$1006,$A102,Data!$B$2:$B$1006,$B102)</f>
        <v>110.859432</v>
      </c>
      <c r="I102" s="10" t="n">
        <f aca="false">SUMIFS(Data!$N$2:$N$1006,Data!$A$2:$A$1006,$A102,Data!$B$2:$B$1006,$B102)</f>
        <v>226.486805</v>
      </c>
      <c r="J102" s="10" t="n">
        <f aca="false">SUMIFS(Data!$H$2:$H$1006,Data!$A$2:$A$1006,$A102,Data!$B$2:$B$1006,$B102)</f>
        <v>162.778322</v>
      </c>
      <c r="K102" s="11" t="n">
        <f aca="false">IFERROR(F102*1000000/$E102,"")</f>
        <v>86.1402383964951</v>
      </c>
      <c r="L102" s="11" t="n">
        <f aca="false">IFERROR(G102*1000000/$E102,"")</f>
        <v>74.9841505626871</v>
      </c>
      <c r="M102" s="11" t="n">
        <f aca="false">IFERROR(H102*1000000/$E102,"")</f>
        <v>154.480360298093</v>
      </c>
      <c r="N102" s="11" t="n">
        <f aca="false">IFERROR(I102*1000000/$E102,"")</f>
        <v>315.604749257275</v>
      </c>
      <c r="O102" s="11" t="n">
        <f aca="false">IFERROR(J102*1000000/$E102,"")</f>
        <v>226.828275931262</v>
      </c>
      <c r="P102" s="16" t="n">
        <f aca="false">COUNTIFS($A$4:$A$1008,$A102,$N$4:$N$1008,"&gt;"&amp;N102)+1</f>
        <v>1</v>
      </c>
      <c r="Q102" s="16" t="n">
        <f aca="false">COUNTIFS($A$4:$A$1008,$A102,$O$4:$O$1008,"&gt;"&amp;O102)+1</f>
        <v>1</v>
      </c>
    </row>
    <row r="103" customFormat="false" ht="15" hidden="false" customHeight="false" outlineLevel="0" collapsed="false">
      <c r="A103" s="7" t="n">
        <v>2002</v>
      </c>
      <c r="B103" s="15" t="s">
        <v>133</v>
      </c>
      <c r="C103" s="15" t="s">
        <v>118</v>
      </c>
      <c r="D103" s="15" t="s">
        <v>105</v>
      </c>
      <c r="E103" s="9" t="n">
        <f aca="false">SUMIFS(Data!$L$2:$L$1006,Data!$A$2:$A$1006,$A103,Data!$B$2:$B$1006,$B103)</f>
        <v>2048139</v>
      </c>
      <c r="F103" s="10" t="n">
        <f aca="false">SUMIFS(Data!$E$2:$E$1006,Data!$A$2:$A$1006,$A103,Data!$B$2:$B$1006,$B103)</f>
        <v>132.636659</v>
      </c>
      <c r="G103" s="10" t="n">
        <f aca="false">SUMIFS(Data!$F$2:$F$1006,Data!$A$2:$A$1006,$A103,Data!$B$2:$B$1006,$B103)</f>
        <v>201.519485</v>
      </c>
      <c r="H103" s="10" t="n">
        <f aca="false">SUMIFS(Data!$G$2:$G$1006,Data!$A$2:$A$1006,$A103,Data!$B$2:$B$1006,$B103)</f>
        <v>-4.164678</v>
      </c>
      <c r="I103" s="10" t="n">
        <f aca="false">SUMIFS(Data!$N$2:$N$1006,Data!$A$2:$A$1006,$A103,Data!$B$2:$B$1006,$B103)</f>
        <v>329.991466</v>
      </c>
      <c r="J103" s="10" t="n">
        <f aca="false">SUMIFS(Data!$H$2:$H$1006,Data!$A$2:$A$1006,$A103,Data!$B$2:$B$1006,$B103)</f>
        <v>190.770481</v>
      </c>
      <c r="K103" s="11" t="n">
        <f aca="false">IFERROR(F103*1000000/$E103,"")</f>
        <v>64.7595983475731</v>
      </c>
      <c r="L103" s="11" t="n">
        <f aca="false">IFERROR(G103*1000000/$E103,"")</f>
        <v>98.3915080958861</v>
      </c>
      <c r="M103" s="11" t="n">
        <f aca="false">IFERROR(H103*1000000/$E103,"")</f>
        <v>-2.03339617086536</v>
      </c>
      <c r="N103" s="11" t="n">
        <f aca="false">IFERROR(I103*1000000/$E103,"")</f>
        <v>161.117710272594</v>
      </c>
      <c r="O103" s="11" t="n">
        <f aca="false">IFERROR(J103*1000000/$E103,"")</f>
        <v>93.1433271862896</v>
      </c>
      <c r="P103" s="16" t="n">
        <f aca="false">COUNTIFS($A$4:$A$1008,$A103,$N$4:$N$1008,"&gt;"&amp;N103)+1</f>
        <v>31</v>
      </c>
      <c r="Q103" s="16" t="n">
        <f aca="false">COUNTIFS($A$4:$A$1008,$A103,$O$4:$O$1008,"&gt;"&amp;O103)+1</f>
        <v>18</v>
      </c>
    </row>
    <row r="104" customFormat="false" ht="15" hidden="false" customHeight="false" outlineLevel="0" collapsed="false">
      <c r="A104" s="7" t="n">
        <v>2002</v>
      </c>
      <c r="B104" s="15" t="s">
        <v>134</v>
      </c>
      <c r="C104" s="15" t="s">
        <v>135</v>
      </c>
      <c r="D104" s="15" t="s">
        <v>136</v>
      </c>
      <c r="E104" s="9" t="n">
        <f aca="false">SUMIFS(Data!$L$2:$L$1006,Data!$A$2:$A$1006,$A104,Data!$B$2:$B$1006,$B104)</f>
        <v>132491</v>
      </c>
      <c r="F104" s="10" t="n">
        <f aca="false">SUMIFS(Data!$E$2:$E$1006,Data!$A$2:$A$1006,$A104,Data!$B$2:$B$1006,$B104)</f>
        <v>14.181512</v>
      </c>
      <c r="G104" s="10" t="n">
        <f aca="false">SUMIFS(Data!$F$2:$F$1006,Data!$A$2:$A$1006,$A104,Data!$B$2:$B$1006,$B104)</f>
        <v>16.441904</v>
      </c>
      <c r="H104" s="10" t="n">
        <f aca="false">SUMIFS(Data!$G$2:$G$1006,Data!$A$2:$A$1006,$A104,Data!$B$2:$B$1006,$B104)</f>
        <v>9.25533</v>
      </c>
      <c r="I104" s="10" t="n">
        <f aca="false">SUMIFS(Data!$N$2:$N$1006,Data!$A$2:$A$1006,$A104,Data!$B$2:$B$1006,$B104)</f>
        <v>39.878746</v>
      </c>
      <c r="J104" s="10" t="n">
        <f aca="false">SUMIFS(Data!$H$2:$H$1006,Data!$A$2:$A$1006,$A104,Data!$B$2:$B$1006,$B104)</f>
        <v>14.861898</v>
      </c>
      <c r="K104" s="11" t="n">
        <f aca="false">IFERROR(F104*1000000/$E104,"")</f>
        <v>107.037549720358</v>
      </c>
      <c r="L104" s="11" t="n">
        <f aca="false">IFERROR(G104*1000000/$E104,"")</f>
        <v>124.098270825943</v>
      </c>
      <c r="M104" s="11" t="n">
        <f aca="false">IFERROR(H104*1000000/$E104,"")</f>
        <v>69.8562921255029</v>
      </c>
      <c r="N104" s="11" t="n">
        <f aca="false">IFERROR(I104*1000000/$E104,"")</f>
        <v>300.992112671804</v>
      </c>
      <c r="O104" s="11" t="n">
        <f aca="false">IFERROR(J104*1000000/$E104,"")</f>
        <v>112.172887214981</v>
      </c>
      <c r="P104" s="16" t="n">
        <f aca="false">COUNTIFS($A$4:$A$1008,$A104,$N$4:$N$1008,"&gt;"&amp;N104)+1</f>
        <v>2</v>
      </c>
      <c r="Q104" s="16" t="n">
        <f aca="false">COUNTIFS($A$4:$A$1008,$A104,$O$4:$O$1008,"&gt;"&amp;O104)+1</f>
        <v>12</v>
      </c>
    </row>
    <row r="105" customFormat="false" ht="15" hidden="false" customHeight="false" outlineLevel="0" collapsed="false">
      <c r="A105" s="7" t="n">
        <v>2002</v>
      </c>
      <c r="B105" s="15" t="s">
        <v>139</v>
      </c>
      <c r="C105" s="15" t="s">
        <v>135</v>
      </c>
      <c r="D105" s="15" t="s">
        <v>138</v>
      </c>
      <c r="E105" s="9" t="n">
        <f aca="false">SUMIFS(Data!$L$2:$L$1006,Data!$A$2:$A$1006,$A105,Data!$B$2:$B$1006,$B105)</f>
        <v>2132404</v>
      </c>
      <c r="F105" s="10" t="n">
        <f aca="false">SUMIFS(Data!$E$2:$E$1006,Data!$A$2:$A$1006,$A105,Data!$B$2:$B$1006,$B105)</f>
        <v>180.204074</v>
      </c>
      <c r="G105" s="10" t="n">
        <f aca="false">SUMIFS(Data!$F$2:$F$1006,Data!$A$2:$A$1006,$A105,Data!$B$2:$B$1006,$B105)</f>
        <v>150.544883</v>
      </c>
      <c r="H105" s="10" t="n">
        <f aca="false">SUMIFS(Data!$G$2:$G$1006,Data!$A$2:$A$1006,$A105,Data!$B$2:$B$1006,$B105)</f>
        <v>185.746338</v>
      </c>
      <c r="I105" s="10" t="n">
        <f aca="false">SUMIFS(Data!$N$2:$N$1006,Data!$A$2:$A$1006,$A105,Data!$B$2:$B$1006,$B105)</f>
        <v>516.495295</v>
      </c>
      <c r="J105" s="10" t="n">
        <f aca="false">SUMIFS(Data!$H$2:$H$1006,Data!$A$2:$A$1006,$A105,Data!$B$2:$B$1006,$B105)</f>
        <v>214.472551</v>
      </c>
      <c r="K105" s="11" t="n">
        <f aca="false">IFERROR(F105*1000000/$E105,"")</f>
        <v>84.5074732555369</v>
      </c>
      <c r="L105" s="11" t="n">
        <f aca="false">IFERROR(G105*1000000/$E105,"")</f>
        <v>70.5986684511941</v>
      </c>
      <c r="M105" s="11" t="n">
        <f aca="false">IFERROR(H105*1000000/$E105,"")</f>
        <v>87.1065417247388</v>
      </c>
      <c r="N105" s="11" t="n">
        <f aca="false">IFERROR(I105*1000000/$E105,"")</f>
        <v>242.21268343147</v>
      </c>
      <c r="O105" s="11" t="n">
        <f aca="false">IFERROR(J105*1000000/$E105,"")</f>
        <v>100.577822495174</v>
      </c>
      <c r="P105" s="16" t="n">
        <f aca="false">COUNTIFS($A$4:$A$1008,$A105,$N$4:$N$1008,"&gt;"&amp;N105)+1</f>
        <v>4</v>
      </c>
      <c r="Q105" s="16" t="n">
        <f aca="false">COUNTIFS($A$4:$A$1008,$A105,$O$4:$O$1008,"&gt;"&amp;O105)+1</f>
        <v>18</v>
      </c>
    </row>
    <row r="106" customFormat="false" ht="15" hidden="false" customHeight="false" outlineLevel="0" collapsed="false">
      <c r="A106" s="7" t="n">
        <v>2002</v>
      </c>
      <c r="B106" s="15" t="s">
        <v>140</v>
      </c>
      <c r="C106" s="15" t="s">
        <v>135</v>
      </c>
      <c r="D106" s="15" t="s">
        <v>141</v>
      </c>
      <c r="E106" s="9" t="n">
        <f aca="false">SUMIFS(Data!$L$2:$L$1006,Data!$A$2:$A$1006,$A106,Data!$B$2:$B$1006,$B106)</f>
        <v>733201</v>
      </c>
      <c r="F106" s="10" t="n">
        <f aca="false">SUMIFS(Data!$E$2:$E$1006,Data!$A$2:$A$1006,$A106,Data!$B$2:$B$1006,$B106)</f>
        <v>37.999473</v>
      </c>
      <c r="G106" s="10" t="n">
        <f aca="false">SUMIFS(Data!$F$2:$F$1006,Data!$A$2:$A$1006,$A106,Data!$B$2:$B$1006,$B106)</f>
        <v>36.69483</v>
      </c>
      <c r="H106" s="10" t="n">
        <f aca="false">SUMIFS(Data!$G$2:$G$1006,Data!$A$2:$A$1006,$A106,Data!$B$2:$B$1006,$B106)</f>
        <v>53.589051</v>
      </c>
      <c r="I106" s="10" t="n">
        <f aca="false">SUMIFS(Data!$N$2:$N$1006,Data!$A$2:$A$1006,$A106,Data!$B$2:$B$1006,$B106)</f>
        <v>128.283354</v>
      </c>
      <c r="J106" s="10" t="n">
        <f aca="false">SUMIFS(Data!$H$2:$H$1006,Data!$A$2:$A$1006,$A106,Data!$B$2:$B$1006,$B106)</f>
        <v>88.222696</v>
      </c>
      <c r="K106" s="11" t="n">
        <f aca="false">IFERROR(F106*1000000/$E106,"")</f>
        <v>51.8268155662636</v>
      </c>
      <c r="L106" s="11" t="n">
        <f aca="false">IFERROR(G106*1000000/$E106,"")</f>
        <v>50.0474358327389</v>
      </c>
      <c r="M106" s="11" t="n">
        <f aca="false">IFERROR(H106*1000000/$E106,"")</f>
        <v>73.0891679089363</v>
      </c>
      <c r="N106" s="11" t="n">
        <f aca="false">IFERROR(I106*1000000/$E106,"")</f>
        <v>174.963419307939</v>
      </c>
      <c r="O106" s="11" t="n">
        <f aca="false">IFERROR(J106*1000000/$E106,"")</f>
        <v>120.325389627128</v>
      </c>
      <c r="P106" s="16" t="n">
        <f aca="false">COUNTIFS($A$4:$A$1008,$A106,$N$4:$N$1008,"&gt;"&amp;N106)+1</f>
        <v>28</v>
      </c>
      <c r="Q106" s="16" t="n">
        <f aca="false">COUNTIFS($A$4:$A$1008,$A106,$O$4:$O$1008,"&gt;"&amp;O106)+1</f>
        <v>11</v>
      </c>
    </row>
    <row r="107" customFormat="false" ht="15" hidden="false" customHeight="false" outlineLevel="0" collapsed="false">
      <c r="A107" s="7" t="n">
        <v>2002</v>
      </c>
      <c r="B107" s="15" t="s">
        <v>142</v>
      </c>
      <c r="C107" s="15" t="s">
        <v>135</v>
      </c>
      <c r="D107" s="15" t="s">
        <v>143</v>
      </c>
      <c r="E107" s="9" t="n">
        <f aca="false">SUMIFS(Data!$L$2:$L$1006,Data!$A$2:$A$1006,$A107,Data!$B$2:$B$1006,$B107)</f>
        <v>568868</v>
      </c>
      <c r="F107" s="10" t="n">
        <f aca="false">SUMIFS(Data!$E$2:$E$1006,Data!$A$2:$A$1006,$A107,Data!$B$2:$B$1006,$B107)</f>
        <v>44.46603</v>
      </c>
      <c r="G107" s="10" t="n">
        <f aca="false">SUMIFS(Data!$F$2:$F$1006,Data!$A$2:$A$1006,$A107,Data!$B$2:$B$1006,$B107)</f>
        <v>22.64607</v>
      </c>
      <c r="H107" s="10" t="n">
        <f aca="false">SUMIFS(Data!$G$2:$G$1006,Data!$A$2:$A$1006,$A107,Data!$B$2:$B$1006,$B107)</f>
        <v>37.022919</v>
      </c>
      <c r="I107" s="10" t="n">
        <f aca="false">SUMIFS(Data!$N$2:$N$1006,Data!$A$2:$A$1006,$A107,Data!$B$2:$B$1006,$B107)</f>
        <v>104.135019</v>
      </c>
      <c r="J107" s="10" t="n">
        <f aca="false">SUMIFS(Data!$H$2:$H$1006,Data!$A$2:$A$1006,$A107,Data!$B$2:$B$1006,$B107)</f>
        <v>42.636728</v>
      </c>
      <c r="K107" s="11" t="n">
        <f aca="false">IFERROR(F107*1000000/$E107,"")</f>
        <v>78.1658135103398</v>
      </c>
      <c r="L107" s="11" t="n">
        <f aca="false">IFERROR(G107*1000000/$E107,"")</f>
        <v>39.8090066588383</v>
      </c>
      <c r="M107" s="11" t="n">
        <f aca="false">IFERROR(H107*1000000/$E107,"")</f>
        <v>65.0817395248107</v>
      </c>
      <c r="N107" s="11" t="n">
        <f aca="false">IFERROR(I107*1000000/$E107,"")</f>
        <v>183.056559693989</v>
      </c>
      <c r="O107" s="11" t="n">
        <f aca="false">IFERROR(J107*1000000/$E107,"")</f>
        <v>74.9501255124212</v>
      </c>
      <c r="P107" s="16" t="n">
        <f aca="false">COUNTIFS($A$4:$A$1008,$A107,$N$4:$N$1008,"&gt;"&amp;N107)+1</f>
        <v>24</v>
      </c>
      <c r="Q107" s="16" t="n">
        <f aca="false">COUNTIFS($A$4:$A$1008,$A107,$O$4:$O$1008,"&gt;"&amp;O107)+1</f>
        <v>29</v>
      </c>
    </row>
    <row r="108" customFormat="false" ht="15" hidden="false" customHeight="false" outlineLevel="0" collapsed="false">
      <c r="A108" s="7" t="n">
        <v>2002</v>
      </c>
      <c r="B108" s="15" t="s">
        <v>144</v>
      </c>
      <c r="C108" s="15" t="s">
        <v>135</v>
      </c>
      <c r="D108" s="15" t="s">
        <v>141</v>
      </c>
      <c r="E108" s="9" t="n">
        <f aca="false">SUMIFS(Data!$L$2:$L$1006,Data!$A$2:$A$1006,$A108,Data!$B$2:$B$1006,$B108)</f>
        <v>446614</v>
      </c>
      <c r="F108" s="10" t="n">
        <f aca="false">SUMIFS(Data!$E$2:$E$1006,Data!$A$2:$A$1006,$A108,Data!$B$2:$B$1006,$B108)</f>
        <v>35.493236</v>
      </c>
      <c r="G108" s="10" t="n">
        <f aca="false">SUMIFS(Data!$F$2:$F$1006,Data!$A$2:$A$1006,$A108,Data!$B$2:$B$1006,$B108)</f>
        <v>18.486947</v>
      </c>
      <c r="H108" s="10" t="n">
        <f aca="false">SUMIFS(Data!$G$2:$G$1006,Data!$A$2:$A$1006,$A108,Data!$B$2:$B$1006,$B108)</f>
        <v>44.402457</v>
      </c>
      <c r="I108" s="10" t="n">
        <f aca="false">SUMIFS(Data!$N$2:$N$1006,Data!$A$2:$A$1006,$A108,Data!$B$2:$B$1006,$B108)</f>
        <v>98.38264</v>
      </c>
      <c r="J108" s="10" t="n">
        <f aca="false">SUMIFS(Data!$H$2:$H$1006,Data!$A$2:$A$1006,$A108,Data!$B$2:$B$1006,$B108)</f>
        <v>92.162159</v>
      </c>
      <c r="K108" s="11" t="n">
        <f aca="false">IFERROR(F108*1000000/$E108,"")</f>
        <v>79.4718392168629</v>
      </c>
      <c r="L108" s="11" t="n">
        <f aca="false">IFERROR(G108*1000000/$E108,"")</f>
        <v>41.3935680475758</v>
      </c>
      <c r="M108" s="11" t="n">
        <f aca="false">IFERROR(H108*1000000/$E108,"")</f>
        <v>99.4202085021965</v>
      </c>
      <c r="N108" s="11" t="n">
        <f aca="false">IFERROR(I108*1000000/$E108,"")</f>
        <v>220.285615766635</v>
      </c>
      <c r="O108" s="11" t="n">
        <f aca="false">IFERROR(J108*1000000/$E108,"")</f>
        <v>206.357523499039</v>
      </c>
      <c r="P108" s="16" t="n">
        <f aca="false">COUNTIFS($A$4:$A$1008,$A108,$N$4:$N$1008,"&gt;"&amp;N108)+1</f>
        <v>12</v>
      </c>
      <c r="Q108" s="16" t="n">
        <f aca="false">COUNTIFS($A$4:$A$1008,$A108,$O$4:$O$1008,"&gt;"&amp;O108)+1</f>
        <v>3</v>
      </c>
    </row>
    <row r="109" customFormat="false" ht="15" hidden="false" customHeight="false" outlineLevel="0" collapsed="false">
      <c r="A109" s="7" t="n">
        <v>2002</v>
      </c>
      <c r="B109" s="15" t="s">
        <v>145</v>
      </c>
      <c r="C109" s="15" t="s">
        <v>135</v>
      </c>
      <c r="D109" s="15" t="s">
        <v>146</v>
      </c>
      <c r="E109" s="9" t="n">
        <f aca="false">SUMIFS(Data!$L$2:$L$1006,Data!$A$2:$A$1006,$A109,Data!$B$2:$B$1006,$B109)</f>
        <v>524221</v>
      </c>
      <c r="F109" s="10" t="n">
        <f aca="false">SUMIFS(Data!$E$2:$E$1006,Data!$A$2:$A$1006,$A109,Data!$B$2:$B$1006,$B109)</f>
        <v>35.60122</v>
      </c>
      <c r="G109" s="10" t="n">
        <f aca="false">SUMIFS(Data!$F$2:$F$1006,Data!$A$2:$A$1006,$A109,Data!$B$2:$B$1006,$B109)</f>
        <v>44.640653</v>
      </c>
      <c r="H109" s="10" t="n">
        <f aca="false">SUMIFS(Data!$G$2:$G$1006,Data!$A$2:$A$1006,$A109,Data!$B$2:$B$1006,$B109)</f>
        <v>38.763084</v>
      </c>
      <c r="I109" s="10" t="n">
        <f aca="false">SUMIFS(Data!$N$2:$N$1006,Data!$A$2:$A$1006,$A109,Data!$B$2:$B$1006,$B109)</f>
        <v>119.004957</v>
      </c>
      <c r="J109" s="10" t="n">
        <f aca="false">SUMIFS(Data!$H$2:$H$1006,Data!$A$2:$A$1006,$A109,Data!$B$2:$B$1006,$B109)</f>
        <v>74.405493</v>
      </c>
      <c r="K109" s="11" t="n">
        <f aca="false">IFERROR(F109*1000000/$E109,"")</f>
        <v>67.9126170069494</v>
      </c>
      <c r="L109" s="11" t="n">
        <f aca="false">IFERROR(G109*1000000/$E109,"")</f>
        <v>85.1561707753028</v>
      </c>
      <c r="M109" s="11" t="n">
        <f aca="false">IFERROR(H109*1000000/$E109,"")</f>
        <v>73.9441647702019</v>
      </c>
      <c r="N109" s="11" t="n">
        <f aca="false">IFERROR(I109*1000000/$E109,"")</f>
        <v>227.012952552454</v>
      </c>
      <c r="O109" s="11" t="n">
        <f aca="false">IFERROR(J109*1000000/$E109,"")</f>
        <v>141.935353600867</v>
      </c>
      <c r="P109" s="16" t="n">
        <f aca="false">COUNTIFS($A$4:$A$1008,$A109,$N$4:$N$1008,"&gt;"&amp;N109)+1</f>
        <v>10</v>
      </c>
      <c r="Q109" s="16" t="n">
        <f aca="false">COUNTIFS($A$4:$A$1008,$A109,$O$4:$O$1008,"&gt;"&amp;O109)+1</f>
        <v>7</v>
      </c>
    </row>
    <row r="110" customFormat="false" ht="15" hidden="false" customHeight="false" outlineLevel="0" collapsed="false">
      <c r="A110" s="7" t="n">
        <v>2002</v>
      </c>
      <c r="B110" s="15" t="s">
        <v>147</v>
      </c>
      <c r="C110" s="15" t="s">
        <v>135</v>
      </c>
      <c r="D110" s="15" t="s">
        <v>148</v>
      </c>
      <c r="E110" s="9" t="n">
        <f aca="false">SUMIFS(Data!$L$2:$L$1006,Data!$A$2:$A$1006,$A110,Data!$B$2:$B$1006,$B110)</f>
        <v>129529</v>
      </c>
      <c r="F110" s="10" t="n">
        <f aca="false">SUMIFS(Data!$E$2:$E$1006,Data!$A$2:$A$1006,$A110,Data!$B$2:$B$1006,$B110)</f>
        <v>8.03168</v>
      </c>
      <c r="G110" s="10" t="n">
        <f aca="false">SUMIFS(Data!$F$2:$F$1006,Data!$A$2:$A$1006,$A110,Data!$B$2:$B$1006,$B110)</f>
        <v>9.275934</v>
      </c>
      <c r="H110" s="10" t="n">
        <f aca="false">SUMIFS(Data!$G$2:$G$1006,Data!$A$2:$A$1006,$A110,Data!$B$2:$B$1006,$B110)</f>
        <v>6.578154</v>
      </c>
      <c r="I110" s="10" t="n">
        <f aca="false">SUMIFS(Data!$N$2:$N$1006,Data!$A$2:$A$1006,$A110,Data!$B$2:$B$1006,$B110)</f>
        <v>23.885768</v>
      </c>
      <c r="J110" s="10" t="n">
        <f aca="false">SUMIFS(Data!$H$2:$H$1006,Data!$A$2:$A$1006,$A110,Data!$B$2:$B$1006,$B110)</f>
        <v>28.655834</v>
      </c>
      <c r="K110" s="11" t="n">
        <f aca="false">IFERROR(F110*1000000/$E110,"")</f>
        <v>62.0068092859514</v>
      </c>
      <c r="L110" s="11" t="n">
        <f aca="false">IFERROR(G110*1000000/$E110,"")</f>
        <v>71.6127971342325</v>
      </c>
      <c r="M110" s="11" t="n">
        <f aca="false">IFERROR(H110*1000000/$E110,"")</f>
        <v>50.7851832408187</v>
      </c>
      <c r="N110" s="11" t="n">
        <f aca="false">IFERROR(I110*1000000/$E110,"")</f>
        <v>184.404789661003</v>
      </c>
      <c r="O110" s="11" t="n">
        <f aca="false">IFERROR(J110*1000000/$E110,"")</f>
        <v>221.23102934478</v>
      </c>
      <c r="P110" s="16" t="n">
        <f aca="false">COUNTIFS($A$4:$A$1008,$A110,$N$4:$N$1008,"&gt;"&amp;N110)+1</f>
        <v>23</v>
      </c>
      <c r="Q110" s="16" t="n">
        <f aca="false">COUNTIFS($A$4:$A$1008,$A110,$O$4:$O$1008,"&gt;"&amp;O110)+1</f>
        <v>2</v>
      </c>
    </row>
    <row r="111" customFormat="false" ht="15" hidden="false" customHeight="false" outlineLevel="0" collapsed="false">
      <c r="A111" s="7" t="n">
        <v>2002</v>
      </c>
      <c r="B111" s="15" t="s">
        <v>149</v>
      </c>
      <c r="C111" s="15" t="s">
        <v>135</v>
      </c>
      <c r="D111" s="15" t="s">
        <v>146</v>
      </c>
      <c r="E111" s="9" t="n">
        <f aca="false">SUMIFS(Data!$L$2:$L$1006,Data!$A$2:$A$1006,$A111,Data!$B$2:$B$1006,$B111)</f>
        <v>676669</v>
      </c>
      <c r="F111" s="10" t="n">
        <f aca="false">SUMIFS(Data!$E$2:$E$1006,Data!$A$2:$A$1006,$A111,Data!$B$2:$B$1006,$B111)</f>
        <v>63.986897</v>
      </c>
      <c r="G111" s="10" t="n">
        <f aca="false">SUMIFS(Data!$F$2:$F$1006,Data!$A$2:$A$1006,$A111,Data!$B$2:$B$1006,$B111)</f>
        <v>45.164602</v>
      </c>
      <c r="H111" s="10" t="n">
        <f aca="false">SUMIFS(Data!$G$2:$G$1006,Data!$A$2:$A$1006,$A111,Data!$B$2:$B$1006,$B111)</f>
        <v>47.475981</v>
      </c>
      <c r="I111" s="10" t="n">
        <f aca="false">SUMIFS(Data!$N$2:$N$1006,Data!$A$2:$A$1006,$A111,Data!$B$2:$B$1006,$B111)</f>
        <v>156.62748</v>
      </c>
      <c r="J111" s="10" t="n">
        <f aca="false">SUMIFS(Data!$H$2:$H$1006,Data!$A$2:$A$1006,$A111,Data!$B$2:$B$1006,$B111)</f>
        <v>87.527555</v>
      </c>
      <c r="K111" s="11" t="n">
        <f aca="false">IFERROR(F111*1000000/$E111,"")</f>
        <v>94.5615906743179</v>
      </c>
      <c r="L111" s="11" t="n">
        <f aca="false">IFERROR(G111*1000000/$E111,"")</f>
        <v>66.7454870845273</v>
      </c>
      <c r="M111" s="11" t="n">
        <f aca="false">IFERROR(H111*1000000/$E111,"")</f>
        <v>70.161306340323</v>
      </c>
      <c r="N111" s="11" t="n">
        <f aca="false">IFERROR(I111*1000000/$E111,"")</f>
        <v>231.468384099168</v>
      </c>
      <c r="O111" s="11" t="n">
        <f aca="false">IFERROR(J111*1000000/$E111,"")</f>
        <v>129.350620465841</v>
      </c>
      <c r="P111" s="16" t="n">
        <f aca="false">COUNTIFS($A$4:$A$1008,$A111,$N$4:$N$1008,"&gt;"&amp;N111)+1</f>
        <v>7</v>
      </c>
      <c r="Q111" s="16" t="n">
        <f aca="false">COUNTIFS($A$4:$A$1008,$A111,$O$4:$O$1008,"&gt;"&amp;O111)+1</f>
        <v>9</v>
      </c>
    </row>
    <row r="112" customFormat="false" ht="15" hidden="false" customHeight="false" outlineLevel="0" collapsed="false">
      <c r="A112" s="7" t="n">
        <v>2002</v>
      </c>
      <c r="B112" s="15" t="s">
        <v>150</v>
      </c>
      <c r="C112" s="15" t="s">
        <v>135</v>
      </c>
      <c r="D112" s="15" t="s">
        <v>141</v>
      </c>
      <c r="E112" s="9" t="n">
        <f aca="false">SUMIFS(Data!$L$2:$L$1006,Data!$A$2:$A$1006,$A112,Data!$B$2:$B$1006,$B112)</f>
        <v>433798</v>
      </c>
      <c r="F112" s="10" t="n">
        <f aca="false">SUMIFS(Data!$E$2:$E$1006,Data!$A$2:$A$1006,$A112,Data!$B$2:$B$1006,$B112)</f>
        <v>25.359613</v>
      </c>
      <c r="G112" s="10" t="n">
        <f aca="false">SUMIFS(Data!$F$2:$F$1006,Data!$A$2:$A$1006,$A112,Data!$B$2:$B$1006,$B112)</f>
        <v>25.379757</v>
      </c>
      <c r="H112" s="10" t="n">
        <f aca="false">SUMIFS(Data!$G$2:$G$1006,Data!$A$2:$A$1006,$A112,Data!$B$2:$B$1006,$B112)</f>
        <v>39.566122</v>
      </c>
      <c r="I112" s="10" t="n">
        <f aca="false">SUMIFS(Data!$N$2:$N$1006,Data!$A$2:$A$1006,$A112,Data!$B$2:$B$1006,$B112)</f>
        <v>90.305492</v>
      </c>
      <c r="J112" s="10" t="n">
        <f aca="false">SUMIFS(Data!$H$2:$H$1006,Data!$A$2:$A$1006,$A112,Data!$B$2:$B$1006,$B112)</f>
        <v>47.288129</v>
      </c>
      <c r="K112" s="11" t="n">
        <f aca="false">IFERROR(F112*1000000/$E112,"")</f>
        <v>58.4594972775347</v>
      </c>
      <c r="L112" s="11" t="n">
        <f aca="false">IFERROR(G112*1000000/$E112,"")</f>
        <v>58.5059336373151</v>
      </c>
      <c r="M112" s="11" t="n">
        <f aca="false">IFERROR(H112*1000000/$E112,"")</f>
        <v>91.2086316672737</v>
      </c>
      <c r="N112" s="11" t="n">
        <f aca="false">IFERROR(I112*1000000/$E112,"")</f>
        <v>208.174062582123</v>
      </c>
      <c r="O112" s="11" t="n">
        <f aca="false">IFERROR(J112*1000000/$E112,"")</f>
        <v>109.009559749008</v>
      </c>
      <c r="P112" s="16" t="n">
        <f aca="false">COUNTIFS($A$4:$A$1008,$A112,$N$4:$N$1008,"&gt;"&amp;N112)+1</f>
        <v>15</v>
      </c>
      <c r="Q112" s="16" t="n">
        <f aca="false">COUNTIFS($A$4:$A$1008,$A112,$O$4:$O$1008,"&gt;"&amp;O112)+1</f>
        <v>14</v>
      </c>
    </row>
    <row r="113" customFormat="false" ht="15" hidden="false" customHeight="false" outlineLevel="0" collapsed="false">
      <c r="A113" s="7" t="n">
        <v>2002</v>
      </c>
      <c r="B113" s="15" t="s">
        <v>151</v>
      </c>
      <c r="C113" s="15" t="s">
        <v>135</v>
      </c>
      <c r="D113" s="15" t="s">
        <v>136</v>
      </c>
      <c r="E113" s="9" t="n">
        <f aca="false">SUMIFS(Data!$L$2:$L$1006,Data!$A$2:$A$1006,$A113,Data!$B$2:$B$1006,$B113)</f>
        <v>1308882</v>
      </c>
      <c r="F113" s="10" t="n">
        <f aca="false">SUMIFS(Data!$E$2:$E$1006,Data!$A$2:$A$1006,$A113,Data!$B$2:$B$1006,$B113)</f>
        <v>81.12359</v>
      </c>
      <c r="G113" s="10" t="n">
        <f aca="false">SUMIFS(Data!$F$2:$F$1006,Data!$A$2:$A$1006,$A113,Data!$B$2:$B$1006,$B113)</f>
        <v>106.66512</v>
      </c>
      <c r="H113" s="10" t="n">
        <f aca="false">SUMIFS(Data!$G$2:$G$1006,Data!$A$2:$A$1006,$A113,Data!$B$2:$B$1006,$B113)</f>
        <v>66.186071</v>
      </c>
      <c r="I113" s="10" t="n">
        <f aca="false">SUMIFS(Data!$N$2:$N$1006,Data!$A$2:$A$1006,$A113,Data!$B$2:$B$1006,$B113)</f>
        <v>253.974781</v>
      </c>
      <c r="J113" s="10" t="n">
        <f aca="false">SUMIFS(Data!$H$2:$H$1006,Data!$A$2:$A$1006,$A113,Data!$B$2:$B$1006,$B113)</f>
        <v>100.44462</v>
      </c>
      <c r="K113" s="11" t="n">
        <f aca="false">IFERROR(F113*1000000/$E113,"")</f>
        <v>61.9792998910521</v>
      </c>
      <c r="L113" s="11" t="n">
        <f aca="false">IFERROR(G113*1000000/$E113,"")</f>
        <v>81.493304973252</v>
      </c>
      <c r="M113" s="11" t="n">
        <f aca="false">IFERROR(H113*1000000/$E113,"")</f>
        <v>50.566873866399</v>
      </c>
      <c r="N113" s="11" t="n">
        <f aca="false">IFERROR(I113*1000000/$E113,"")</f>
        <v>194.039478730703</v>
      </c>
      <c r="O113" s="11" t="n">
        <f aca="false">IFERROR(J113*1000000/$E113,"")</f>
        <v>76.7407757154579</v>
      </c>
      <c r="P113" s="16" t="n">
        <f aca="false">COUNTIFS($A$4:$A$1008,$A113,$N$4:$N$1008,"&gt;"&amp;N113)+1</f>
        <v>20</v>
      </c>
      <c r="Q113" s="16" t="n">
        <f aca="false">COUNTIFS($A$4:$A$1008,$A113,$O$4:$O$1008,"&gt;"&amp;O113)+1</f>
        <v>28</v>
      </c>
    </row>
    <row r="114" customFormat="false" ht="15" hidden="false" customHeight="false" outlineLevel="0" collapsed="false">
      <c r="A114" s="7" t="n">
        <v>2002</v>
      </c>
      <c r="B114" s="15" t="s">
        <v>152</v>
      </c>
      <c r="C114" s="15" t="s">
        <v>135</v>
      </c>
      <c r="D114" s="15" t="s">
        <v>148</v>
      </c>
      <c r="E114" s="9" t="n">
        <f aca="false">SUMIFS(Data!$L$2:$L$1006,Data!$A$2:$A$1006,$A114,Data!$B$2:$B$1006,$B114)</f>
        <v>231648</v>
      </c>
      <c r="F114" s="10" t="n">
        <f aca="false">SUMIFS(Data!$E$2:$E$1006,Data!$A$2:$A$1006,$A114,Data!$B$2:$B$1006,$B114)</f>
        <v>19.965734</v>
      </c>
      <c r="G114" s="10" t="n">
        <f aca="false">SUMIFS(Data!$F$2:$F$1006,Data!$A$2:$A$1006,$A114,Data!$B$2:$B$1006,$B114)</f>
        <v>14.616009</v>
      </c>
      <c r="H114" s="10" t="n">
        <f aca="false">SUMIFS(Data!$G$2:$G$1006,Data!$A$2:$A$1006,$A114,Data!$B$2:$B$1006,$B114)</f>
        <v>16.170434</v>
      </c>
      <c r="I114" s="10" t="n">
        <f aca="false">SUMIFS(Data!$N$2:$N$1006,Data!$A$2:$A$1006,$A114,Data!$B$2:$B$1006,$B114)</f>
        <v>50.752177</v>
      </c>
      <c r="J114" s="10" t="n">
        <f aca="false">SUMIFS(Data!$H$2:$H$1006,Data!$A$2:$A$1006,$A114,Data!$B$2:$B$1006,$B114)</f>
        <v>15.716188</v>
      </c>
      <c r="K114" s="11" t="n">
        <f aca="false">IFERROR(F114*1000000/$E114,"")</f>
        <v>86.1899692637105</v>
      </c>
      <c r="L114" s="11" t="n">
        <f aca="false">IFERROR(G114*1000000/$E114,"")</f>
        <v>63.0957703066722</v>
      </c>
      <c r="M114" s="11" t="n">
        <f aca="false">IFERROR(H114*1000000/$E114,"")</f>
        <v>69.8060591932587</v>
      </c>
      <c r="N114" s="11" t="n">
        <f aca="false">IFERROR(I114*1000000/$E114,"")</f>
        <v>219.091798763641</v>
      </c>
      <c r="O114" s="11" t="n">
        <f aca="false">IFERROR(J114*1000000/$E114,"")</f>
        <v>67.845127089377</v>
      </c>
      <c r="P114" s="16" t="n">
        <f aca="false">COUNTIFS($A$4:$A$1008,$A114,$N$4:$N$1008,"&gt;"&amp;N114)+1</f>
        <v>13</v>
      </c>
      <c r="Q114" s="16" t="n">
        <f aca="false">COUNTIFS($A$4:$A$1008,$A114,$O$4:$O$1008,"&gt;"&amp;O114)+1</f>
        <v>32</v>
      </c>
    </row>
    <row r="115" customFormat="false" ht="15" hidden="false" customHeight="false" outlineLevel="0" collapsed="false">
      <c r="A115" s="7" t="n">
        <v>2002</v>
      </c>
      <c r="B115" s="15" t="s">
        <v>153</v>
      </c>
      <c r="C115" s="15" t="s">
        <v>135</v>
      </c>
      <c r="D115" s="15" t="s">
        <v>136</v>
      </c>
      <c r="E115" s="9" t="n">
        <f aca="false">SUMIFS(Data!$L$2:$L$1006,Data!$A$2:$A$1006,$A115,Data!$B$2:$B$1006,$B115)</f>
        <v>126832</v>
      </c>
      <c r="F115" s="10" t="n">
        <f aca="false">SUMIFS(Data!$E$2:$E$1006,Data!$A$2:$A$1006,$A115,Data!$B$2:$B$1006,$B115)</f>
        <v>8.364057</v>
      </c>
      <c r="G115" s="10" t="n">
        <f aca="false">SUMIFS(Data!$F$2:$F$1006,Data!$A$2:$A$1006,$A115,Data!$B$2:$B$1006,$B115)</f>
        <v>12.48904</v>
      </c>
      <c r="H115" s="10" t="n">
        <f aca="false">SUMIFS(Data!$G$2:$G$1006,Data!$A$2:$A$1006,$A115,Data!$B$2:$B$1006,$B115)</f>
        <v>7.592973</v>
      </c>
      <c r="I115" s="10" t="n">
        <f aca="false">SUMIFS(Data!$N$2:$N$1006,Data!$A$2:$A$1006,$A115,Data!$B$2:$B$1006,$B115)</f>
        <v>28.44607</v>
      </c>
      <c r="J115" s="10" t="n">
        <f aca="false">SUMIFS(Data!$H$2:$H$1006,Data!$A$2:$A$1006,$A115,Data!$B$2:$B$1006,$B115)</f>
        <v>11.339903</v>
      </c>
      <c r="K115" s="11" t="n">
        <f aca="false">IFERROR(F115*1000000/$E115,"")</f>
        <v>65.9459521256465</v>
      </c>
      <c r="L115" s="11" t="n">
        <f aca="false">IFERROR(G115*1000000/$E115,"")</f>
        <v>98.4691560489466</v>
      </c>
      <c r="M115" s="11" t="n">
        <f aca="false">IFERROR(H115*1000000/$E115,"")</f>
        <v>59.8663823009966</v>
      </c>
      <c r="N115" s="11" t="n">
        <f aca="false">IFERROR(I115*1000000/$E115,"")</f>
        <v>224.28149047559</v>
      </c>
      <c r="O115" s="11" t="n">
        <f aca="false">IFERROR(J115*1000000/$E115,"")</f>
        <v>89.4088479248139</v>
      </c>
      <c r="P115" s="16" t="n">
        <f aca="false">COUNTIFS($A$4:$A$1008,$A115,$N$4:$N$1008,"&gt;"&amp;N115)+1</f>
        <v>11</v>
      </c>
      <c r="Q115" s="16" t="n">
        <f aca="false">COUNTIFS($A$4:$A$1008,$A115,$O$4:$O$1008,"&gt;"&amp;O115)+1</f>
        <v>21</v>
      </c>
    </row>
    <row r="116" customFormat="false" ht="15" hidden="false" customHeight="false" outlineLevel="0" collapsed="false">
      <c r="A116" s="7" t="n">
        <v>2002</v>
      </c>
      <c r="B116" s="15" t="s">
        <v>154</v>
      </c>
      <c r="C116" s="15" t="s">
        <v>135</v>
      </c>
      <c r="D116" s="15" t="s">
        <v>141</v>
      </c>
      <c r="E116" s="9" t="n">
        <f aca="false">SUMIFS(Data!$L$2:$L$1006,Data!$A$2:$A$1006,$A116,Data!$B$2:$B$1006,$B116)</f>
        <v>133488</v>
      </c>
      <c r="F116" s="10" t="n">
        <f aca="false">SUMIFS(Data!$E$2:$E$1006,Data!$A$2:$A$1006,$A116,Data!$B$2:$B$1006,$B116)</f>
        <v>7.758286</v>
      </c>
      <c r="G116" s="10" t="n">
        <f aca="false">SUMIFS(Data!$F$2:$F$1006,Data!$A$2:$A$1006,$A116,Data!$B$2:$B$1006,$B116)</f>
        <v>4.322094</v>
      </c>
      <c r="H116" s="10" t="n">
        <f aca="false">SUMIFS(Data!$G$2:$G$1006,Data!$A$2:$A$1006,$A116,Data!$B$2:$B$1006,$B116)</f>
        <v>9.13561</v>
      </c>
      <c r="I116" s="10" t="n">
        <f aca="false">SUMIFS(Data!$N$2:$N$1006,Data!$A$2:$A$1006,$A116,Data!$B$2:$B$1006,$B116)</f>
        <v>21.21599</v>
      </c>
      <c r="J116" s="10" t="n">
        <f aca="false">SUMIFS(Data!$H$2:$H$1006,Data!$A$2:$A$1006,$A116,Data!$B$2:$B$1006,$B116)</f>
        <v>21.943043</v>
      </c>
      <c r="K116" s="11" t="n">
        <f aca="false">IFERROR(F116*1000000/$E116,"")</f>
        <v>58.1197261177035</v>
      </c>
      <c r="L116" s="11" t="n">
        <f aca="false">IFERROR(G116*1000000/$E116,"")</f>
        <v>32.3781463502337</v>
      </c>
      <c r="M116" s="11" t="n">
        <f aca="false">IFERROR(H116*1000000/$E116,"")</f>
        <v>68.437687282752</v>
      </c>
      <c r="N116" s="11" t="n">
        <f aca="false">IFERROR(I116*1000000/$E116,"")</f>
        <v>158.935559750689</v>
      </c>
      <c r="O116" s="11" t="n">
        <f aca="false">IFERROR(J116*1000000/$E116,"")</f>
        <v>164.382139218507</v>
      </c>
      <c r="P116" s="16" t="n">
        <f aca="false">COUNTIFS($A$4:$A$1008,$A116,$N$4:$N$1008,"&gt;"&amp;N116)+1</f>
        <v>32</v>
      </c>
      <c r="Q116" s="16" t="n">
        <f aca="false">COUNTIFS($A$4:$A$1008,$A116,$O$4:$O$1008,"&gt;"&amp;O116)+1</f>
        <v>5</v>
      </c>
    </row>
    <row r="117" customFormat="false" ht="15" hidden="false" customHeight="false" outlineLevel="0" collapsed="false">
      <c r="A117" s="7" t="n">
        <v>2002</v>
      </c>
      <c r="B117" s="15" t="s">
        <v>155</v>
      </c>
      <c r="C117" s="15" t="s">
        <v>135</v>
      </c>
      <c r="D117" s="15" t="s">
        <v>148</v>
      </c>
      <c r="E117" s="9" t="n">
        <f aca="false">SUMIFS(Data!$L$2:$L$1006,Data!$A$2:$A$1006,$A117,Data!$B$2:$B$1006,$B117)</f>
        <v>1050345</v>
      </c>
      <c r="F117" s="10" t="n">
        <f aca="false">SUMIFS(Data!$E$2:$E$1006,Data!$A$2:$A$1006,$A117,Data!$B$2:$B$1006,$B117)</f>
        <v>72.968897</v>
      </c>
      <c r="G117" s="10" t="n">
        <f aca="false">SUMIFS(Data!$F$2:$F$1006,Data!$A$2:$A$1006,$A117,Data!$B$2:$B$1006,$B117)</f>
        <v>75.130968</v>
      </c>
      <c r="H117" s="10" t="n">
        <f aca="false">SUMIFS(Data!$G$2:$G$1006,Data!$A$2:$A$1006,$A117,Data!$B$2:$B$1006,$B117)</f>
        <v>75.326504</v>
      </c>
      <c r="I117" s="10" t="n">
        <f aca="false">SUMIFS(Data!$N$2:$N$1006,Data!$A$2:$A$1006,$A117,Data!$B$2:$B$1006,$B117)</f>
        <v>223.426369</v>
      </c>
      <c r="J117" s="10" t="n">
        <f aca="false">SUMIFS(Data!$H$2:$H$1006,Data!$A$2:$A$1006,$A117,Data!$B$2:$B$1006,$B117)</f>
        <v>157.220617</v>
      </c>
      <c r="K117" s="11" t="n">
        <f aca="false">IFERROR(F117*1000000/$E117,"")</f>
        <v>69.4713613146157</v>
      </c>
      <c r="L117" s="11" t="n">
        <f aca="false">IFERROR(G117*1000000/$E117,"")</f>
        <v>71.5298002085029</v>
      </c>
      <c r="M117" s="11" t="n">
        <f aca="false">IFERROR(H117*1000000/$E117,"")</f>
        <v>71.7159638023697</v>
      </c>
      <c r="N117" s="11" t="n">
        <f aca="false">IFERROR(I117*1000000/$E117,"")</f>
        <v>212.717125325488</v>
      </c>
      <c r="O117" s="11" t="n">
        <f aca="false">IFERROR(J117*1000000/$E117,"")</f>
        <v>149.68473882391</v>
      </c>
      <c r="P117" s="16" t="n">
        <f aca="false">COUNTIFS($A$4:$A$1008,$A117,$N$4:$N$1008,"&gt;"&amp;N117)+1</f>
        <v>14</v>
      </c>
      <c r="Q117" s="16" t="n">
        <f aca="false">COUNTIFS($A$4:$A$1008,$A117,$O$4:$O$1008,"&gt;"&amp;O117)+1</f>
        <v>6</v>
      </c>
    </row>
    <row r="118" customFormat="false" ht="15" hidden="false" customHeight="false" outlineLevel="0" collapsed="false">
      <c r="A118" s="7" t="n">
        <v>2002</v>
      </c>
      <c r="B118" s="15" t="s">
        <v>156</v>
      </c>
      <c r="C118" s="15" t="s">
        <v>135</v>
      </c>
      <c r="D118" s="15" t="s">
        <v>148</v>
      </c>
      <c r="E118" s="9" t="n">
        <f aca="false">SUMIFS(Data!$L$2:$L$1006,Data!$A$2:$A$1006,$A118,Data!$B$2:$B$1006,$B118)</f>
        <v>417714</v>
      </c>
      <c r="F118" s="10" t="n">
        <f aca="false">SUMIFS(Data!$E$2:$E$1006,Data!$A$2:$A$1006,$A118,Data!$B$2:$B$1006,$B118)</f>
        <v>23.068633</v>
      </c>
      <c r="G118" s="10" t="n">
        <f aca="false">SUMIFS(Data!$F$2:$F$1006,Data!$A$2:$A$1006,$A118,Data!$B$2:$B$1006,$B118)</f>
        <v>33.792162</v>
      </c>
      <c r="H118" s="10" t="n">
        <f aca="false">SUMIFS(Data!$G$2:$G$1006,Data!$A$2:$A$1006,$A118,Data!$B$2:$B$1006,$B118)</f>
        <v>30.003179</v>
      </c>
      <c r="I118" s="10" t="n">
        <f aca="false">SUMIFS(Data!$N$2:$N$1006,Data!$A$2:$A$1006,$A118,Data!$B$2:$B$1006,$B118)</f>
        <v>86.863974</v>
      </c>
      <c r="J118" s="10" t="n">
        <f aca="false">SUMIFS(Data!$H$2:$H$1006,Data!$A$2:$A$1006,$A118,Data!$B$2:$B$1006,$B118)</f>
        <v>35.175746</v>
      </c>
      <c r="K118" s="11" t="n">
        <f aca="false">IFERROR(F118*1000000/$E118,"")</f>
        <v>55.225903369291</v>
      </c>
      <c r="L118" s="11" t="n">
        <f aca="false">IFERROR(G118*1000000/$E118,"")</f>
        <v>80.8978439793735</v>
      </c>
      <c r="M118" s="11" t="n">
        <f aca="false">IFERROR(H118*1000000/$E118,"")</f>
        <v>71.8270850390459</v>
      </c>
      <c r="N118" s="11" t="n">
        <f aca="false">IFERROR(I118*1000000/$E118,"")</f>
        <v>207.95083238771</v>
      </c>
      <c r="O118" s="11" t="n">
        <f aca="false">IFERROR(J118*1000000/$E118,"")</f>
        <v>84.2101198427632</v>
      </c>
      <c r="P118" s="16" t="n">
        <f aca="false">COUNTIFS($A$4:$A$1008,$A118,$N$4:$N$1008,"&gt;"&amp;N118)+1</f>
        <v>16</v>
      </c>
      <c r="Q118" s="16" t="n">
        <f aca="false">COUNTIFS($A$4:$A$1008,$A118,$O$4:$O$1008,"&gt;"&amp;O118)+1</f>
        <v>26</v>
      </c>
    </row>
    <row r="119" customFormat="false" ht="15" hidden="false" customHeight="false" outlineLevel="0" collapsed="false">
      <c r="A119" s="7" t="n">
        <v>2002</v>
      </c>
      <c r="B119" s="15" t="s">
        <v>157</v>
      </c>
      <c r="C119" s="15" t="s">
        <v>135</v>
      </c>
      <c r="D119" s="15" t="s">
        <v>148</v>
      </c>
      <c r="E119" s="9" t="n">
        <f aca="false">SUMIFS(Data!$L$2:$L$1006,Data!$A$2:$A$1006,$A119,Data!$B$2:$B$1006,$B119)</f>
        <v>403850</v>
      </c>
      <c r="F119" s="10" t="n">
        <f aca="false">SUMIFS(Data!$E$2:$E$1006,Data!$A$2:$A$1006,$A119,Data!$B$2:$B$1006,$B119)</f>
        <v>38.166273</v>
      </c>
      <c r="G119" s="10" t="n">
        <f aca="false">SUMIFS(Data!$F$2:$F$1006,Data!$A$2:$A$1006,$A119,Data!$B$2:$B$1006,$B119)</f>
        <v>40.2879</v>
      </c>
      <c r="H119" s="10" t="n">
        <f aca="false">SUMIFS(Data!$G$2:$G$1006,Data!$A$2:$A$1006,$A119,Data!$B$2:$B$1006,$B119)</f>
        <v>20.603973</v>
      </c>
      <c r="I119" s="10" t="n">
        <f aca="false">SUMIFS(Data!$N$2:$N$1006,Data!$A$2:$A$1006,$A119,Data!$B$2:$B$1006,$B119)</f>
        <v>99.058146</v>
      </c>
      <c r="J119" s="10" t="n">
        <f aca="false">SUMIFS(Data!$H$2:$H$1006,Data!$A$2:$A$1006,$A119,Data!$B$2:$B$1006,$B119)</f>
        <v>41.842336</v>
      </c>
      <c r="K119" s="11" t="n">
        <f aca="false">IFERROR(F119*1000000/$E119,"")</f>
        <v>94.5060616565557</v>
      </c>
      <c r="L119" s="11" t="n">
        <f aca="false">IFERROR(G119*1000000/$E119,"")</f>
        <v>99.7595641946267</v>
      </c>
      <c r="M119" s="11" t="n">
        <f aca="false">IFERROR(H119*1000000/$E119,"")</f>
        <v>51.0188758202303</v>
      </c>
      <c r="N119" s="11" t="n">
        <f aca="false">IFERROR(I119*1000000/$E119,"")</f>
        <v>245.284501671413</v>
      </c>
      <c r="O119" s="11" t="n">
        <f aca="false">IFERROR(J119*1000000/$E119,"")</f>
        <v>103.608607156122</v>
      </c>
      <c r="P119" s="16" t="n">
        <f aca="false">COUNTIFS($A$4:$A$1008,$A119,$N$4:$N$1008,"&gt;"&amp;N119)+1</f>
        <v>3</v>
      </c>
      <c r="Q119" s="16" t="n">
        <f aca="false">COUNTIFS($A$4:$A$1008,$A119,$O$4:$O$1008,"&gt;"&amp;O119)+1</f>
        <v>16</v>
      </c>
    </row>
    <row r="120" customFormat="false" ht="15" hidden="false" customHeight="false" outlineLevel="0" collapsed="false">
      <c r="A120" s="7" t="n">
        <v>2003</v>
      </c>
      <c r="B120" s="15" t="s">
        <v>101</v>
      </c>
      <c r="C120" s="15" t="s">
        <v>102</v>
      </c>
      <c r="D120" s="15" t="s">
        <v>103</v>
      </c>
      <c r="E120" s="9" t="n">
        <f aca="false">SUMIFS(Data!$L$2:$L$1006,Data!$A$2:$A$1006,$A120,Data!$B$2:$B$1006,$B120)</f>
        <v>752331</v>
      </c>
      <c r="F120" s="10" t="n">
        <f aca="false">SUMIFS(Data!$E$2:$E$1006,Data!$A$2:$A$1006,$A120,Data!$B$2:$B$1006,$B120)</f>
        <v>56.673713</v>
      </c>
      <c r="G120" s="10" t="n">
        <f aca="false">SUMIFS(Data!$F$2:$F$1006,Data!$A$2:$A$1006,$A120,Data!$B$2:$B$1006,$B120)</f>
        <v>26.916272</v>
      </c>
      <c r="H120" s="10" t="n">
        <f aca="false">SUMIFS(Data!$G$2:$G$1006,Data!$A$2:$A$1006,$A120,Data!$B$2:$B$1006,$B120)</f>
        <v>42.665787</v>
      </c>
      <c r="I120" s="10" t="n">
        <f aca="false">SUMIFS(Data!$N$2:$N$1006,Data!$A$2:$A$1006,$A120,Data!$B$2:$B$1006,$B120)</f>
        <v>126.255772</v>
      </c>
      <c r="J120" s="10" t="n">
        <f aca="false">SUMIFS(Data!$H$2:$H$1006,Data!$A$2:$A$1006,$A120,Data!$B$2:$B$1006,$B120)</f>
        <v>57.245981</v>
      </c>
      <c r="K120" s="11" t="n">
        <f aca="false">IFERROR(F120*1000000/$E120,"")</f>
        <v>75.3308224704286</v>
      </c>
      <c r="L120" s="11" t="n">
        <f aca="false">IFERROR(G120*1000000/$E120,"")</f>
        <v>35.777167230913</v>
      </c>
      <c r="M120" s="11" t="n">
        <f aca="false">IFERROR(H120*1000000/$E120,"")</f>
        <v>56.7114567922896</v>
      </c>
      <c r="N120" s="11" t="n">
        <f aca="false">IFERROR(I120*1000000/$E120,"")</f>
        <v>167.819446493631</v>
      </c>
      <c r="O120" s="11" t="n">
        <f aca="false">IFERROR(J120*1000000/$E120,"")</f>
        <v>76.0914823395553</v>
      </c>
      <c r="P120" s="16" t="n">
        <f aca="false">COUNTIFS($A$4:$A$1008,$A120,$N$4:$N$1008,"&gt;"&amp;N120)+1</f>
        <v>32</v>
      </c>
      <c r="Q120" s="16" t="n">
        <f aca="false">COUNTIFS($A$4:$A$1008,$A120,$O$4:$O$1008,"&gt;"&amp;O120)+1</f>
        <v>32</v>
      </c>
    </row>
    <row r="121" customFormat="false" ht="15" hidden="false" customHeight="false" outlineLevel="0" collapsed="false">
      <c r="A121" s="7" t="n">
        <v>2003</v>
      </c>
      <c r="B121" s="15" t="s">
        <v>104</v>
      </c>
      <c r="C121" s="15" t="s">
        <v>102</v>
      </c>
      <c r="D121" s="15" t="s">
        <v>105</v>
      </c>
      <c r="E121" s="9" t="n">
        <f aca="false">SUMIFS(Data!$L$2:$L$1006,Data!$A$2:$A$1006,$A121,Data!$B$2:$B$1006,$B121)</f>
        <v>1045395</v>
      </c>
      <c r="F121" s="10" t="n">
        <f aca="false">SUMIFS(Data!$E$2:$E$1006,Data!$A$2:$A$1006,$A121,Data!$B$2:$B$1006,$B121)</f>
        <v>144.983471</v>
      </c>
      <c r="G121" s="10" t="n">
        <f aca="false">SUMIFS(Data!$F$2:$F$1006,Data!$A$2:$A$1006,$A121,Data!$B$2:$B$1006,$B121)</f>
        <v>88.798045</v>
      </c>
      <c r="H121" s="10" t="n">
        <f aca="false">SUMIFS(Data!$G$2:$G$1006,Data!$A$2:$A$1006,$A121,Data!$B$2:$B$1006,$B121)</f>
        <v>68.756809</v>
      </c>
      <c r="I121" s="10" t="n">
        <f aca="false">SUMIFS(Data!$N$2:$N$1006,Data!$A$2:$A$1006,$A121,Data!$B$2:$B$1006,$B121)</f>
        <v>302.538325</v>
      </c>
      <c r="J121" s="10" t="n">
        <f aca="false">SUMIFS(Data!$H$2:$H$1006,Data!$A$2:$A$1006,$A121,Data!$B$2:$B$1006,$B121)</f>
        <v>86.208935</v>
      </c>
      <c r="K121" s="11" t="n">
        <f aca="false">IFERROR(F121*1000000/$E121,"")</f>
        <v>138.687740997422</v>
      </c>
      <c r="L121" s="11" t="n">
        <f aca="false">IFERROR(G121*1000000/$E121,"")</f>
        <v>84.9420984412591</v>
      </c>
      <c r="M121" s="11" t="n">
        <f aca="false">IFERROR(H121*1000000/$E121,"")</f>
        <v>65.771128616456</v>
      </c>
      <c r="N121" s="11" t="n">
        <f aca="false">IFERROR(I121*1000000/$E121,"")</f>
        <v>289.400968055137</v>
      </c>
      <c r="O121" s="11" t="n">
        <f aca="false">IFERROR(J121*1000000/$E121,"")</f>
        <v>82.4654173781202</v>
      </c>
      <c r="P121" s="16" t="n">
        <f aca="false">COUNTIFS($A$4:$A$1008,$A121,$N$4:$N$1008,"&gt;"&amp;N121)+1</f>
        <v>2</v>
      </c>
      <c r="Q121" s="16" t="n">
        <f aca="false">COUNTIFS($A$4:$A$1008,$A121,$O$4:$O$1008,"&gt;"&amp;O121)+1</f>
        <v>30</v>
      </c>
    </row>
    <row r="122" customFormat="false" ht="15" hidden="false" customHeight="false" outlineLevel="0" collapsed="false">
      <c r="A122" s="7" t="n">
        <v>2003</v>
      </c>
      <c r="B122" s="15" t="s">
        <v>106</v>
      </c>
      <c r="C122" s="15" t="s">
        <v>102</v>
      </c>
      <c r="D122" s="15" t="s">
        <v>107</v>
      </c>
      <c r="E122" s="9" t="n">
        <f aca="false">SUMIFS(Data!$L$2:$L$1006,Data!$A$2:$A$1006,$A122,Data!$B$2:$B$1006,$B122)</f>
        <v>513023</v>
      </c>
      <c r="F122" s="10" t="n">
        <f aca="false">SUMIFS(Data!$E$2:$E$1006,Data!$A$2:$A$1006,$A122,Data!$B$2:$B$1006,$B122)</f>
        <v>48.5669</v>
      </c>
      <c r="G122" s="10" t="n">
        <f aca="false">SUMIFS(Data!$F$2:$F$1006,Data!$A$2:$A$1006,$A122,Data!$B$2:$B$1006,$B122)</f>
        <v>34.914746</v>
      </c>
      <c r="H122" s="10" t="n">
        <f aca="false">SUMIFS(Data!$G$2:$G$1006,Data!$A$2:$A$1006,$A122,Data!$B$2:$B$1006,$B122)</f>
        <v>24.794417</v>
      </c>
      <c r="I122" s="10" t="n">
        <f aca="false">SUMIFS(Data!$N$2:$N$1006,Data!$A$2:$A$1006,$A122,Data!$B$2:$B$1006,$B122)</f>
        <v>108.276063</v>
      </c>
      <c r="J122" s="10" t="n">
        <f aca="false">SUMIFS(Data!$H$2:$H$1006,Data!$A$2:$A$1006,$A122,Data!$B$2:$B$1006,$B122)</f>
        <v>34.240901</v>
      </c>
      <c r="K122" s="11" t="n">
        <f aca="false">IFERROR(F122*1000000/$E122,"")</f>
        <v>94.6680753104637</v>
      </c>
      <c r="L122" s="11" t="n">
        <f aca="false">IFERROR(G122*1000000/$E122,"")</f>
        <v>68.0568824399686</v>
      </c>
      <c r="M122" s="11" t="n">
        <f aca="false">IFERROR(H122*1000000/$E122,"")</f>
        <v>48.3300300376396</v>
      </c>
      <c r="N122" s="11" t="n">
        <f aca="false">IFERROR(I122*1000000/$E122,"")</f>
        <v>211.054987788072</v>
      </c>
      <c r="O122" s="11" t="n">
        <f aca="false">IFERROR(J122*1000000/$E122,"")</f>
        <v>66.7434033172002</v>
      </c>
      <c r="P122" s="16" t="n">
        <f aca="false">COUNTIFS($A$4:$A$1008,$A122,$N$4:$N$1008,"&gt;"&amp;N122)+1</f>
        <v>19</v>
      </c>
      <c r="Q122" s="16" t="n">
        <f aca="false">COUNTIFS($A$4:$A$1008,$A122,$O$4:$O$1008,"&gt;"&amp;O122)+1</f>
        <v>34</v>
      </c>
    </row>
    <row r="123" customFormat="false" ht="15" hidden="false" customHeight="false" outlineLevel="0" collapsed="false">
      <c r="A123" s="7" t="n">
        <v>2003</v>
      </c>
      <c r="B123" s="15" t="s">
        <v>108</v>
      </c>
      <c r="C123" s="15" t="s">
        <v>102</v>
      </c>
      <c r="D123" s="15" t="s">
        <v>109</v>
      </c>
      <c r="E123" s="9" t="n">
        <f aca="false">SUMIFS(Data!$L$2:$L$1006,Data!$A$2:$A$1006,$A123,Data!$B$2:$B$1006,$B123)</f>
        <v>395761</v>
      </c>
      <c r="F123" s="10" t="n">
        <f aca="false">SUMIFS(Data!$E$2:$E$1006,Data!$A$2:$A$1006,$A123,Data!$B$2:$B$1006,$B123)</f>
        <v>37.518821</v>
      </c>
      <c r="G123" s="10" t="n">
        <f aca="false">SUMIFS(Data!$F$2:$F$1006,Data!$A$2:$A$1006,$A123,Data!$B$2:$B$1006,$B123)</f>
        <v>18.966324</v>
      </c>
      <c r="H123" s="10" t="n">
        <f aca="false">SUMIFS(Data!$G$2:$G$1006,Data!$A$2:$A$1006,$A123,Data!$B$2:$B$1006,$B123)</f>
        <v>22.318934</v>
      </c>
      <c r="I123" s="10" t="n">
        <f aca="false">SUMIFS(Data!$N$2:$N$1006,Data!$A$2:$A$1006,$A123,Data!$B$2:$B$1006,$B123)</f>
        <v>78.804079</v>
      </c>
      <c r="J123" s="10" t="n">
        <f aca="false">SUMIFS(Data!$H$2:$H$1006,Data!$A$2:$A$1006,$A123,Data!$B$2:$B$1006,$B123)</f>
        <v>33.176787</v>
      </c>
      <c r="K123" s="11" t="n">
        <f aca="false">IFERROR(F123*1000000/$E123,"")</f>
        <v>94.8017136605173</v>
      </c>
      <c r="L123" s="11" t="n">
        <f aca="false">IFERROR(G123*1000000/$E123,"")</f>
        <v>47.9236812116404</v>
      </c>
      <c r="M123" s="11" t="n">
        <f aca="false">IFERROR(H123*1000000/$E123,"")</f>
        <v>56.3949808091247</v>
      </c>
      <c r="N123" s="11" t="n">
        <f aca="false">IFERROR(I123*1000000/$E123,"")</f>
        <v>199.120375681282</v>
      </c>
      <c r="O123" s="11" t="n">
        <f aca="false">IFERROR(J123*1000000/$E123,"")</f>
        <v>83.8303597373162</v>
      </c>
      <c r="P123" s="16" t="n">
        <f aca="false">COUNTIFS($A$4:$A$1008,$A123,$N$4:$N$1008,"&gt;"&amp;N123)+1</f>
        <v>25</v>
      </c>
      <c r="Q123" s="16" t="n">
        <f aca="false">COUNTIFS($A$4:$A$1008,$A123,$O$4:$O$1008,"&gt;"&amp;O123)+1</f>
        <v>29</v>
      </c>
    </row>
    <row r="124" customFormat="false" ht="15" hidden="false" customHeight="false" outlineLevel="0" collapsed="false">
      <c r="A124" s="7" t="n">
        <v>2003</v>
      </c>
      <c r="B124" s="15" t="s">
        <v>110</v>
      </c>
      <c r="C124" s="15" t="s">
        <v>102</v>
      </c>
      <c r="D124" s="15" t="s">
        <v>103</v>
      </c>
      <c r="E124" s="9" t="n">
        <f aca="false">SUMIFS(Data!$L$2:$L$1006,Data!$A$2:$A$1006,$A124,Data!$B$2:$B$1006,$B124)</f>
        <v>1015524</v>
      </c>
      <c r="F124" s="10" t="n">
        <f aca="false">SUMIFS(Data!$E$2:$E$1006,Data!$A$2:$A$1006,$A124,Data!$B$2:$B$1006,$B124)</f>
        <v>65.774331</v>
      </c>
      <c r="G124" s="10" t="n">
        <f aca="false">SUMIFS(Data!$F$2:$F$1006,Data!$A$2:$A$1006,$A124,Data!$B$2:$B$1006,$B124)</f>
        <v>37.044664</v>
      </c>
      <c r="H124" s="10" t="n">
        <f aca="false">SUMIFS(Data!$G$2:$G$1006,Data!$A$2:$A$1006,$A124,Data!$B$2:$B$1006,$B124)</f>
        <v>32.847726</v>
      </c>
      <c r="I124" s="10" t="n">
        <f aca="false">SUMIFS(Data!$N$2:$N$1006,Data!$A$2:$A$1006,$A124,Data!$B$2:$B$1006,$B124)</f>
        <v>135.666721</v>
      </c>
      <c r="J124" s="10" t="n">
        <f aca="false">SUMIFS(Data!$H$2:$H$1006,Data!$A$2:$A$1006,$A124,Data!$B$2:$B$1006,$B124)</f>
        <v>74.483116</v>
      </c>
      <c r="K124" s="11" t="n">
        <f aca="false">IFERROR(F124*1000000/$E124,"")</f>
        <v>64.768859229324</v>
      </c>
      <c r="L124" s="11" t="n">
        <f aca="false">IFERROR(G124*1000000/$E124,"")</f>
        <v>36.4783737262733</v>
      </c>
      <c r="M124" s="11" t="n">
        <f aca="false">IFERROR(H124*1000000/$E124,"")</f>
        <v>32.3455930140499</v>
      </c>
      <c r="N124" s="11" t="n">
        <f aca="false">IFERROR(I124*1000000/$E124,"")</f>
        <v>133.592825969647</v>
      </c>
      <c r="O124" s="11" t="n">
        <f aca="false">IFERROR(J124*1000000/$E124,"")</f>
        <v>73.3445157376881</v>
      </c>
      <c r="P124" s="16" t="n">
        <f aca="false">COUNTIFS($A$4:$A$1008,$A124,$N$4:$N$1008,"&gt;"&amp;N124)+1</f>
        <v>38</v>
      </c>
      <c r="Q124" s="16" t="n">
        <f aca="false">COUNTIFS($A$4:$A$1008,$A124,$O$4:$O$1008,"&gt;"&amp;O124)+1</f>
        <v>33</v>
      </c>
    </row>
    <row r="125" customFormat="false" ht="15" hidden="false" customHeight="false" outlineLevel="0" collapsed="false">
      <c r="A125" s="7" t="n">
        <v>2003</v>
      </c>
      <c r="B125" s="15" t="s">
        <v>111</v>
      </c>
      <c r="C125" s="15" t="s">
        <v>102</v>
      </c>
      <c r="D125" s="15" t="s">
        <v>107</v>
      </c>
      <c r="E125" s="9" t="n">
        <f aca="false">SUMIFS(Data!$L$2:$L$1006,Data!$A$2:$A$1006,$A125,Data!$B$2:$B$1006,$B125)</f>
        <v>584210</v>
      </c>
      <c r="F125" s="10" t="n">
        <f aca="false">SUMIFS(Data!$E$2:$E$1006,Data!$A$2:$A$1006,$A125,Data!$B$2:$B$1006,$B125)</f>
        <v>62.726865</v>
      </c>
      <c r="G125" s="10" t="n">
        <f aca="false">SUMIFS(Data!$F$2:$F$1006,Data!$A$2:$A$1006,$A125,Data!$B$2:$B$1006,$B125)</f>
        <v>42.747473</v>
      </c>
      <c r="H125" s="10" t="n">
        <f aca="false">SUMIFS(Data!$G$2:$G$1006,Data!$A$2:$A$1006,$A125,Data!$B$2:$B$1006,$B125)</f>
        <v>32.21792</v>
      </c>
      <c r="I125" s="10" t="n">
        <f aca="false">SUMIFS(Data!$N$2:$N$1006,Data!$A$2:$A$1006,$A125,Data!$B$2:$B$1006,$B125)</f>
        <v>137.692258</v>
      </c>
      <c r="J125" s="10" t="n">
        <f aca="false">SUMIFS(Data!$H$2:$H$1006,Data!$A$2:$A$1006,$A125,Data!$B$2:$B$1006,$B125)</f>
        <v>31.491864</v>
      </c>
      <c r="K125" s="11" t="n">
        <f aca="false">IFERROR(F125*1000000/$E125,"")</f>
        <v>107.370406189555</v>
      </c>
      <c r="L125" s="11" t="n">
        <f aca="false">IFERROR(G125*1000000/$E125,"")</f>
        <v>73.1714161003749</v>
      </c>
      <c r="M125" s="11" t="n">
        <f aca="false">IFERROR(H125*1000000/$E125,"")</f>
        <v>55.1478406737303</v>
      </c>
      <c r="N125" s="11" t="n">
        <f aca="false">IFERROR(I125*1000000/$E125,"")</f>
        <v>235.68966296366</v>
      </c>
      <c r="O125" s="11" t="n">
        <f aca="false">IFERROR(J125*1000000/$E125,"")</f>
        <v>53.9050409955324</v>
      </c>
      <c r="P125" s="16" t="n">
        <f aca="false">COUNTIFS($A$4:$A$1008,$A125,$N$4:$N$1008,"&gt;"&amp;N125)+1</f>
        <v>9</v>
      </c>
      <c r="Q125" s="16" t="n">
        <f aca="false">COUNTIFS($A$4:$A$1008,$A125,$O$4:$O$1008,"&gt;"&amp;O125)+1</f>
        <v>37</v>
      </c>
    </row>
    <row r="126" customFormat="false" ht="15" hidden="false" customHeight="false" outlineLevel="0" collapsed="false">
      <c r="A126" s="7" t="n">
        <v>2003</v>
      </c>
      <c r="B126" s="15" t="s">
        <v>112</v>
      </c>
      <c r="C126" s="15" t="s">
        <v>102</v>
      </c>
      <c r="D126" s="15" t="s">
        <v>107</v>
      </c>
      <c r="E126" s="9" t="n">
        <f aca="false">SUMIFS(Data!$L$2:$L$1006,Data!$A$2:$A$1006,$A126,Data!$B$2:$B$1006,$B126)</f>
        <v>155446</v>
      </c>
      <c r="F126" s="10" t="n">
        <f aca="false">SUMIFS(Data!$E$2:$E$1006,Data!$A$2:$A$1006,$A126,Data!$B$2:$B$1006,$B126)</f>
        <v>12.999695</v>
      </c>
      <c r="G126" s="10" t="n">
        <f aca="false">SUMIFS(Data!$F$2:$F$1006,Data!$A$2:$A$1006,$A126,Data!$B$2:$B$1006,$B126)</f>
        <v>13.166787</v>
      </c>
      <c r="H126" s="10" t="n">
        <f aca="false">SUMIFS(Data!$G$2:$G$1006,Data!$A$2:$A$1006,$A126,Data!$B$2:$B$1006,$B126)</f>
        <v>7.046611</v>
      </c>
      <c r="I126" s="10" t="n">
        <f aca="false">SUMIFS(Data!$N$2:$N$1006,Data!$A$2:$A$1006,$A126,Data!$B$2:$B$1006,$B126)</f>
        <v>33.213093</v>
      </c>
      <c r="J126" s="10" t="n">
        <f aca="false">SUMIFS(Data!$H$2:$H$1006,Data!$A$2:$A$1006,$A126,Data!$B$2:$B$1006,$B126)</f>
        <v>15.265575</v>
      </c>
      <c r="K126" s="11" t="n">
        <f aca="false">IFERROR(F126*1000000/$E126,"")</f>
        <v>83.6283661207107</v>
      </c>
      <c r="L126" s="11" t="n">
        <f aca="false">IFERROR(G126*1000000/$E126,"")</f>
        <v>84.7032860285887</v>
      </c>
      <c r="M126" s="11" t="n">
        <f aca="false">IFERROR(H126*1000000/$E126,"")</f>
        <v>45.3315685189712</v>
      </c>
      <c r="N126" s="11" t="n">
        <f aca="false">IFERROR(I126*1000000/$E126,"")</f>
        <v>213.663220668271</v>
      </c>
      <c r="O126" s="11" t="n">
        <f aca="false">IFERROR(J126*1000000/$E126,"")</f>
        <v>98.2050036668682</v>
      </c>
      <c r="P126" s="16" t="n">
        <f aca="false">COUNTIFS($A$4:$A$1008,$A126,$N$4:$N$1008,"&gt;"&amp;N126)+1</f>
        <v>17</v>
      </c>
      <c r="Q126" s="16" t="n">
        <f aca="false">COUNTIFS($A$4:$A$1008,$A126,$O$4:$O$1008,"&gt;"&amp;O126)+1</f>
        <v>16</v>
      </c>
    </row>
    <row r="127" customFormat="false" ht="15" hidden="false" customHeight="false" outlineLevel="0" collapsed="false">
      <c r="A127" s="7" t="n">
        <v>2003</v>
      </c>
      <c r="B127" s="15" t="s">
        <v>113</v>
      </c>
      <c r="C127" s="15" t="s">
        <v>102</v>
      </c>
      <c r="D127" s="15" t="s">
        <v>114</v>
      </c>
      <c r="E127" s="9" t="n">
        <f aca="false">SUMIFS(Data!$L$2:$L$1006,Data!$A$2:$A$1006,$A127,Data!$B$2:$B$1006,$B127)</f>
        <v>432160</v>
      </c>
      <c r="F127" s="10" t="n">
        <f aca="false">SUMIFS(Data!$E$2:$E$1006,Data!$A$2:$A$1006,$A127,Data!$B$2:$B$1006,$B127)</f>
        <v>36.451307</v>
      </c>
      <c r="G127" s="10" t="n">
        <f aca="false">SUMIFS(Data!$F$2:$F$1006,Data!$A$2:$A$1006,$A127,Data!$B$2:$B$1006,$B127)</f>
        <v>13.186859</v>
      </c>
      <c r="H127" s="10" t="n">
        <f aca="false">SUMIFS(Data!$G$2:$G$1006,Data!$A$2:$A$1006,$A127,Data!$B$2:$B$1006,$B127)</f>
        <v>29.26846</v>
      </c>
      <c r="I127" s="10" t="n">
        <f aca="false">SUMIFS(Data!$N$2:$N$1006,Data!$A$2:$A$1006,$A127,Data!$B$2:$B$1006,$B127)</f>
        <v>78.906626</v>
      </c>
      <c r="J127" s="10" t="n">
        <f aca="false">SUMIFS(Data!$H$2:$H$1006,Data!$A$2:$A$1006,$A127,Data!$B$2:$B$1006,$B127)</f>
        <v>41.199246</v>
      </c>
      <c r="K127" s="11" t="n">
        <f aca="false">IFERROR(F127*1000000/$E127,"")</f>
        <v>84.346785912625</v>
      </c>
      <c r="L127" s="11" t="n">
        <f aca="false">IFERROR(G127*1000000/$E127,"")</f>
        <v>30.5138351536468</v>
      </c>
      <c r="M127" s="11" t="n">
        <f aca="false">IFERROR(H127*1000000/$E127,"")</f>
        <v>67.7259811181044</v>
      </c>
      <c r="N127" s="11" t="n">
        <f aca="false">IFERROR(I127*1000000/$E127,"")</f>
        <v>182.586602184376</v>
      </c>
      <c r="O127" s="11" t="n">
        <f aca="false">IFERROR(J127*1000000/$E127,"")</f>
        <v>95.3333163643095</v>
      </c>
      <c r="P127" s="16" t="n">
        <f aca="false">COUNTIFS($A$4:$A$1008,$A127,$N$4:$N$1008,"&gt;"&amp;N127)+1</f>
        <v>30</v>
      </c>
      <c r="Q127" s="16" t="n">
        <f aca="false">COUNTIFS($A$4:$A$1008,$A127,$O$4:$O$1008,"&gt;"&amp;O127)+1</f>
        <v>17</v>
      </c>
    </row>
    <row r="128" customFormat="false" ht="15" hidden="false" customHeight="false" outlineLevel="0" collapsed="false">
      <c r="A128" s="7" t="n">
        <v>2003</v>
      </c>
      <c r="B128" s="15" t="s">
        <v>115</v>
      </c>
      <c r="C128" s="15" t="s">
        <v>102</v>
      </c>
      <c r="D128" s="15" t="s">
        <v>103</v>
      </c>
      <c r="E128" s="9" t="n">
        <f aca="false">SUMIFS(Data!$L$2:$L$1006,Data!$A$2:$A$1006,$A128,Data!$B$2:$B$1006,$B128)</f>
        <v>307198</v>
      </c>
      <c r="F128" s="10" t="n">
        <f aca="false">SUMIFS(Data!$E$2:$E$1006,Data!$A$2:$A$1006,$A128,Data!$B$2:$B$1006,$B128)</f>
        <v>23.536468</v>
      </c>
      <c r="G128" s="10" t="n">
        <f aca="false">SUMIFS(Data!$F$2:$F$1006,Data!$A$2:$A$1006,$A128,Data!$B$2:$B$1006,$B128)</f>
        <v>12.960766</v>
      </c>
      <c r="H128" s="10" t="n">
        <f aca="false">SUMIFS(Data!$G$2:$G$1006,Data!$A$2:$A$1006,$A128,Data!$B$2:$B$1006,$B128)</f>
        <v>20.142102</v>
      </c>
      <c r="I128" s="10" t="n">
        <f aca="false">SUMIFS(Data!$N$2:$N$1006,Data!$A$2:$A$1006,$A128,Data!$B$2:$B$1006,$B128)</f>
        <v>56.639336</v>
      </c>
      <c r="J128" s="10" t="n">
        <f aca="false">SUMIFS(Data!$H$2:$H$1006,Data!$A$2:$A$1006,$A128,Data!$B$2:$B$1006,$B128)</f>
        <v>29.137694</v>
      </c>
      <c r="K128" s="11" t="n">
        <f aca="false">IFERROR(F128*1000000/$E128,"")</f>
        <v>76.6166055768592</v>
      </c>
      <c r="L128" s="11" t="n">
        <f aca="false">IFERROR(G128*1000000/$E128,"")</f>
        <v>42.1902681658084</v>
      </c>
      <c r="M128" s="11" t="n">
        <f aca="false">IFERROR(H128*1000000/$E128,"")</f>
        <v>65.5671651508148</v>
      </c>
      <c r="N128" s="11" t="n">
        <f aca="false">IFERROR(I128*1000000/$E128,"")</f>
        <v>184.374038893482</v>
      </c>
      <c r="O128" s="11" t="n">
        <f aca="false">IFERROR(J128*1000000/$E128,"")</f>
        <v>94.8498818351682</v>
      </c>
      <c r="P128" s="16" t="n">
        <f aca="false">COUNTIFS($A$4:$A$1008,$A128,$N$4:$N$1008,"&gt;"&amp;N128)+1</f>
        <v>28</v>
      </c>
      <c r="Q128" s="16" t="n">
        <f aca="false">COUNTIFS($A$4:$A$1008,$A128,$O$4:$O$1008,"&gt;"&amp;O128)+1</f>
        <v>18</v>
      </c>
    </row>
    <row r="129" customFormat="false" ht="15" hidden="false" customHeight="false" outlineLevel="0" collapsed="false">
      <c r="A129" s="7" t="n">
        <v>2003</v>
      </c>
      <c r="B129" s="15" t="s">
        <v>116</v>
      </c>
      <c r="C129" s="15" t="s">
        <v>102</v>
      </c>
      <c r="D129" s="15" t="s">
        <v>107</v>
      </c>
      <c r="E129" s="9" t="n">
        <f aca="false">SUMIFS(Data!$L$2:$L$1006,Data!$A$2:$A$1006,$A129,Data!$B$2:$B$1006,$B129)</f>
        <v>694412</v>
      </c>
      <c r="F129" s="10" t="n">
        <f aca="false">SUMIFS(Data!$E$2:$E$1006,Data!$A$2:$A$1006,$A129,Data!$B$2:$B$1006,$B129)</f>
        <v>45.138152</v>
      </c>
      <c r="G129" s="10" t="n">
        <f aca="false">SUMIFS(Data!$F$2:$F$1006,Data!$A$2:$A$1006,$A129,Data!$B$2:$B$1006,$B129)</f>
        <v>24.213515</v>
      </c>
      <c r="H129" s="10" t="n">
        <f aca="false">SUMIFS(Data!$G$2:$G$1006,Data!$A$2:$A$1006,$A129,Data!$B$2:$B$1006,$B129)</f>
        <v>31.419942</v>
      </c>
      <c r="I129" s="10" t="n">
        <f aca="false">SUMIFS(Data!$N$2:$N$1006,Data!$A$2:$A$1006,$A129,Data!$B$2:$B$1006,$B129)</f>
        <v>100.771609</v>
      </c>
      <c r="J129" s="10" t="n">
        <f aca="false">SUMIFS(Data!$H$2:$H$1006,Data!$A$2:$A$1006,$A129,Data!$B$2:$B$1006,$B129)</f>
        <v>45.965212</v>
      </c>
      <c r="K129" s="11" t="n">
        <f aca="false">IFERROR(F129*1000000/$E129,"")</f>
        <v>65.0019757723081</v>
      </c>
      <c r="L129" s="11" t="n">
        <f aca="false">IFERROR(G129*1000000/$E129,"")</f>
        <v>34.8690906839168</v>
      </c>
      <c r="M129" s="11" t="n">
        <f aca="false">IFERROR(H129*1000000/$E129,"")</f>
        <v>45.2468304119169</v>
      </c>
      <c r="N129" s="11" t="n">
        <f aca="false">IFERROR(I129*1000000/$E129,"")</f>
        <v>145.117896868142</v>
      </c>
      <c r="O129" s="11" t="n">
        <f aca="false">IFERROR(J129*1000000/$E129,"")</f>
        <v>66.192997816858</v>
      </c>
      <c r="P129" s="16" t="n">
        <f aca="false">COUNTIFS($A$4:$A$1008,$A129,$N$4:$N$1008,"&gt;"&amp;N129)+1</f>
        <v>36</v>
      </c>
      <c r="Q129" s="16" t="n">
        <f aca="false">COUNTIFS($A$4:$A$1008,$A129,$O$4:$O$1008,"&gt;"&amp;O129)+1</f>
        <v>35</v>
      </c>
    </row>
    <row r="130" customFormat="false" ht="15" hidden="false" customHeight="false" outlineLevel="0" collapsed="false">
      <c r="A130" s="7" t="n">
        <v>2003</v>
      </c>
      <c r="B130" s="15" t="s">
        <v>117</v>
      </c>
      <c r="C130" s="15" t="s">
        <v>118</v>
      </c>
      <c r="D130" s="15" t="s">
        <v>103</v>
      </c>
      <c r="E130" s="9" t="n">
        <f aca="false">SUMIFS(Data!$L$2:$L$1006,Data!$A$2:$A$1006,$A130,Data!$B$2:$B$1006,$B130)</f>
        <v>1394407</v>
      </c>
      <c r="F130" s="10" t="n">
        <f aca="false">SUMIFS(Data!$E$2:$E$1006,Data!$A$2:$A$1006,$A130,Data!$B$2:$B$1006,$B130)</f>
        <v>115.757544</v>
      </c>
      <c r="G130" s="10" t="n">
        <f aca="false">SUMIFS(Data!$F$2:$F$1006,Data!$A$2:$A$1006,$A130,Data!$B$2:$B$1006,$B130)</f>
        <v>87.940149</v>
      </c>
      <c r="H130" s="10" t="n">
        <f aca="false">SUMIFS(Data!$G$2:$G$1006,Data!$A$2:$A$1006,$A130,Data!$B$2:$B$1006,$B130)</f>
        <v>89.319661</v>
      </c>
      <c r="I130" s="10" t="n">
        <f aca="false">SUMIFS(Data!$N$2:$N$1006,Data!$A$2:$A$1006,$A130,Data!$B$2:$B$1006,$B130)</f>
        <v>293.017354</v>
      </c>
      <c r="J130" s="10" t="n">
        <f aca="false">SUMIFS(Data!$H$2:$H$1006,Data!$A$2:$A$1006,$A130,Data!$B$2:$B$1006,$B130)</f>
        <v>117.534517</v>
      </c>
      <c r="K130" s="11" t="n">
        <f aca="false">IFERROR(F130*1000000/$E130,"")</f>
        <v>83.0156073513687</v>
      </c>
      <c r="L130" s="11" t="n">
        <f aca="false">IFERROR(G130*1000000/$E130,"")</f>
        <v>63.0663421798657</v>
      </c>
      <c r="M130" s="11" t="n">
        <f aca="false">IFERROR(H130*1000000/$E130,"")</f>
        <v>64.0556602197206</v>
      </c>
      <c r="N130" s="11" t="n">
        <f aca="false">IFERROR(I130*1000000/$E130,"")</f>
        <v>210.137609750955</v>
      </c>
      <c r="O130" s="11" t="n">
        <f aca="false">IFERROR(J130*1000000/$E130,"")</f>
        <v>84.2899648380996</v>
      </c>
      <c r="P130" s="16" t="n">
        <f aca="false">COUNTIFS($A$4:$A$1008,$A130,$N$4:$N$1008,"&gt;"&amp;N130)+1</f>
        <v>21</v>
      </c>
      <c r="Q130" s="16" t="n">
        <f aca="false">COUNTIFS($A$4:$A$1008,$A130,$O$4:$O$1008,"&gt;"&amp;O130)+1</f>
        <v>28</v>
      </c>
    </row>
    <row r="131" customFormat="false" ht="15" hidden="false" customHeight="false" outlineLevel="0" collapsed="false">
      <c r="A131" s="7" t="n">
        <v>2003</v>
      </c>
      <c r="B131" s="15" t="s">
        <v>119</v>
      </c>
      <c r="C131" s="15" t="s">
        <v>118</v>
      </c>
      <c r="D131" s="15" t="s">
        <v>103</v>
      </c>
      <c r="E131" s="9" t="n">
        <f aca="false">SUMIFS(Data!$L$2:$L$1006,Data!$A$2:$A$1006,$A131,Data!$B$2:$B$1006,$B131)</f>
        <v>505326</v>
      </c>
      <c r="F131" s="10" t="n">
        <f aca="false">SUMIFS(Data!$E$2:$E$1006,Data!$A$2:$A$1006,$A131,Data!$B$2:$B$1006,$B131)</f>
        <v>21.494521</v>
      </c>
      <c r="G131" s="10" t="n">
        <f aca="false">SUMIFS(Data!$F$2:$F$1006,Data!$A$2:$A$1006,$A131,Data!$B$2:$B$1006,$B131)</f>
        <v>24.624711</v>
      </c>
      <c r="H131" s="10" t="n">
        <f aca="false">SUMIFS(Data!$G$2:$G$1006,Data!$A$2:$A$1006,$A131,Data!$B$2:$B$1006,$B131)</f>
        <v>32.350031</v>
      </c>
      <c r="I131" s="10" t="n">
        <f aca="false">SUMIFS(Data!$N$2:$N$1006,Data!$A$2:$A$1006,$A131,Data!$B$2:$B$1006,$B131)</f>
        <v>78.469263</v>
      </c>
      <c r="J131" s="10" t="n">
        <f aca="false">SUMIFS(Data!$H$2:$H$1006,Data!$A$2:$A$1006,$A131,Data!$B$2:$B$1006,$B131)</f>
        <v>12.510899</v>
      </c>
      <c r="K131" s="11" t="n">
        <f aca="false">IFERROR(F131*1000000/$E131,"")</f>
        <v>42.535949070501</v>
      </c>
      <c r="L131" s="11" t="n">
        <f aca="false">IFERROR(G131*1000000/$E131,"")</f>
        <v>48.7303463506726</v>
      </c>
      <c r="M131" s="11" t="n">
        <f aca="false">IFERROR(H131*1000000/$E131,"")</f>
        <v>64.0181407645757</v>
      </c>
      <c r="N131" s="11" t="n">
        <f aca="false">IFERROR(I131*1000000/$E131,"")</f>
        <v>155.284436185749</v>
      </c>
      <c r="O131" s="11" t="n">
        <f aca="false">IFERROR(J131*1000000/$E131,"")</f>
        <v>24.758074985257</v>
      </c>
      <c r="P131" s="16" t="n">
        <f aca="false">COUNTIFS($A$4:$A$1008,$A131,$N$4:$N$1008,"&gt;"&amp;N131)+1</f>
        <v>34</v>
      </c>
      <c r="Q131" s="16" t="n">
        <f aca="false">COUNTIFS($A$4:$A$1008,$A131,$O$4:$O$1008,"&gt;"&amp;O131)+1</f>
        <v>38</v>
      </c>
    </row>
    <row r="132" customFormat="false" ht="15" hidden="false" customHeight="false" outlineLevel="0" collapsed="false">
      <c r="A132" s="7" t="n">
        <v>2003</v>
      </c>
      <c r="B132" s="15" t="s">
        <v>120</v>
      </c>
      <c r="C132" s="15" t="s">
        <v>118</v>
      </c>
      <c r="D132" s="15" t="s">
        <v>121</v>
      </c>
      <c r="E132" s="9" t="n">
        <f aca="false">SUMIFS(Data!$L$2:$L$1006,Data!$A$2:$A$1006,$A132,Data!$B$2:$B$1006,$B132)</f>
        <v>925079</v>
      </c>
      <c r="F132" s="10" t="n">
        <f aca="false">SUMIFS(Data!$E$2:$E$1006,Data!$A$2:$A$1006,$A132,Data!$B$2:$B$1006,$B132)</f>
        <v>90.683805</v>
      </c>
      <c r="G132" s="10" t="n">
        <f aca="false">SUMIFS(Data!$F$2:$F$1006,Data!$A$2:$A$1006,$A132,Data!$B$2:$B$1006,$B132)</f>
        <v>45.131146</v>
      </c>
      <c r="H132" s="10" t="n">
        <f aca="false">SUMIFS(Data!$G$2:$G$1006,Data!$A$2:$A$1006,$A132,Data!$B$2:$B$1006,$B132)</f>
        <v>64.361784</v>
      </c>
      <c r="I132" s="10" t="n">
        <f aca="false">SUMIFS(Data!$N$2:$N$1006,Data!$A$2:$A$1006,$A132,Data!$B$2:$B$1006,$B132)</f>
        <v>200.176735</v>
      </c>
      <c r="J132" s="10" t="n">
        <f aca="false">SUMIFS(Data!$H$2:$H$1006,Data!$A$2:$A$1006,$A132,Data!$B$2:$B$1006,$B132)</f>
        <v>79.997026</v>
      </c>
      <c r="K132" s="11" t="n">
        <f aca="false">IFERROR(F132*1000000/$E132,"")</f>
        <v>98.0281738100206</v>
      </c>
      <c r="L132" s="11" t="n">
        <f aca="false">IFERROR(G132*1000000/$E132,"")</f>
        <v>48.7862614976667</v>
      </c>
      <c r="M132" s="11" t="n">
        <f aca="false">IFERROR(H132*1000000/$E132,"")</f>
        <v>69.5743650001784</v>
      </c>
      <c r="N132" s="11" t="n">
        <f aca="false">IFERROR(I132*1000000/$E132,"")</f>
        <v>216.388800307866</v>
      </c>
      <c r="O132" s="11" t="n">
        <f aca="false">IFERROR(J132*1000000/$E132,"")</f>
        <v>86.4758858432631</v>
      </c>
      <c r="P132" s="16" t="n">
        <f aca="false">COUNTIFS($A$4:$A$1008,$A132,$N$4:$N$1008,"&gt;"&amp;N132)+1</f>
        <v>16</v>
      </c>
      <c r="Q132" s="16" t="n">
        <f aca="false">COUNTIFS($A$4:$A$1008,$A132,$O$4:$O$1008,"&gt;"&amp;O132)+1</f>
        <v>26</v>
      </c>
    </row>
    <row r="133" customFormat="false" ht="15" hidden="false" customHeight="false" outlineLevel="0" collapsed="false">
      <c r="A133" s="7" t="n">
        <v>2003</v>
      </c>
      <c r="B133" s="15" t="s">
        <v>122</v>
      </c>
      <c r="C133" s="15" t="s">
        <v>118</v>
      </c>
      <c r="D133" s="15" t="s">
        <v>105</v>
      </c>
      <c r="E133" s="9" t="n">
        <f aca="false">SUMIFS(Data!$L$2:$L$1006,Data!$A$2:$A$1006,$A133,Data!$B$2:$B$1006,$B133)</f>
        <v>518011</v>
      </c>
      <c r="F133" s="10" t="n">
        <f aca="false">SUMIFS(Data!$E$2:$E$1006,Data!$A$2:$A$1006,$A133,Data!$B$2:$B$1006,$B133)</f>
        <v>37.55859</v>
      </c>
      <c r="G133" s="10" t="n">
        <f aca="false">SUMIFS(Data!$F$2:$F$1006,Data!$A$2:$A$1006,$A133,Data!$B$2:$B$1006,$B133)</f>
        <v>44.172059</v>
      </c>
      <c r="H133" s="10" t="n">
        <f aca="false">SUMIFS(Data!$G$2:$G$1006,Data!$A$2:$A$1006,$A133,Data!$B$2:$B$1006,$B133)</f>
        <v>35.780895</v>
      </c>
      <c r="I133" s="10" t="n">
        <f aca="false">SUMIFS(Data!$N$2:$N$1006,Data!$A$2:$A$1006,$A133,Data!$B$2:$B$1006,$B133)</f>
        <v>117.511544</v>
      </c>
      <c r="J133" s="10" t="n">
        <f aca="false">SUMIFS(Data!$H$2:$H$1006,Data!$A$2:$A$1006,$A133,Data!$B$2:$B$1006,$B133)</f>
        <v>53.327973</v>
      </c>
      <c r="K133" s="11" t="n">
        <f aca="false">IFERROR(F133*1000000/$E133,"")</f>
        <v>72.5053908121642</v>
      </c>
      <c r="L133" s="11" t="n">
        <f aca="false">IFERROR(G133*1000000/$E133,"")</f>
        <v>85.2724343691543</v>
      </c>
      <c r="M133" s="11" t="n">
        <f aca="false">IFERROR(H133*1000000/$E133,"")</f>
        <v>69.0736200582613</v>
      </c>
      <c r="N133" s="11" t="n">
        <f aca="false">IFERROR(I133*1000000/$E133,"")</f>
        <v>226.85144523958</v>
      </c>
      <c r="O133" s="11" t="n">
        <f aca="false">IFERROR(J133*1000000/$E133,"")</f>
        <v>102.947568680974</v>
      </c>
      <c r="P133" s="16" t="n">
        <f aca="false">COUNTIFS($A$4:$A$1008,$A133,$N$4:$N$1008,"&gt;"&amp;N133)+1</f>
        <v>12</v>
      </c>
      <c r="Q133" s="16" t="n">
        <f aca="false">COUNTIFS($A$4:$A$1008,$A133,$O$4:$O$1008,"&gt;"&amp;O133)+1</f>
        <v>14</v>
      </c>
    </row>
    <row r="134" customFormat="false" ht="15" hidden="false" customHeight="false" outlineLevel="0" collapsed="false">
      <c r="A134" s="7" t="n">
        <v>2003</v>
      </c>
      <c r="B134" s="15" t="s">
        <v>123</v>
      </c>
      <c r="C134" s="15" t="s">
        <v>118</v>
      </c>
      <c r="D134" s="15" t="s">
        <v>124</v>
      </c>
      <c r="E134" s="9" t="n">
        <f aca="false">SUMIFS(Data!$L$2:$L$1006,Data!$A$2:$A$1006,$A134,Data!$B$2:$B$1006,$B134)</f>
        <v>1174278</v>
      </c>
      <c r="F134" s="10" t="n">
        <f aca="false">SUMIFS(Data!$E$2:$E$1006,Data!$A$2:$A$1006,$A134,Data!$B$2:$B$1006,$B134)</f>
        <v>116.122128</v>
      </c>
      <c r="G134" s="10" t="n">
        <f aca="false">SUMIFS(Data!$F$2:$F$1006,Data!$A$2:$A$1006,$A134,Data!$B$2:$B$1006,$B134)</f>
        <v>32.217712</v>
      </c>
      <c r="H134" s="10" t="n">
        <f aca="false">SUMIFS(Data!$G$2:$G$1006,Data!$A$2:$A$1006,$A134,Data!$B$2:$B$1006,$B134)</f>
        <v>101.565648</v>
      </c>
      <c r="I134" s="10" t="n">
        <f aca="false">SUMIFS(Data!$N$2:$N$1006,Data!$A$2:$A$1006,$A134,Data!$B$2:$B$1006,$B134)</f>
        <v>249.905488</v>
      </c>
      <c r="J134" s="10" t="n">
        <f aca="false">SUMIFS(Data!$H$2:$H$1006,Data!$A$2:$A$1006,$A134,Data!$B$2:$B$1006,$B134)</f>
        <v>164.407151</v>
      </c>
      <c r="K134" s="11" t="n">
        <f aca="false">IFERROR(F134*1000000/$E134,"")</f>
        <v>98.8881065642037</v>
      </c>
      <c r="L134" s="11" t="n">
        <f aca="false">IFERROR(G134*1000000/$E134,"")</f>
        <v>27.4361880236196</v>
      </c>
      <c r="M134" s="11" t="n">
        <f aca="false">IFERROR(H134*1000000/$E134,"")</f>
        <v>86.49199593282</v>
      </c>
      <c r="N134" s="11" t="n">
        <f aca="false">IFERROR(I134*1000000/$E134,"")</f>
        <v>212.816290520643</v>
      </c>
      <c r="O134" s="11" t="n">
        <f aca="false">IFERROR(J134*1000000/$E134,"")</f>
        <v>140.007009413444</v>
      </c>
      <c r="P134" s="16" t="n">
        <f aca="false">COUNTIFS($A$4:$A$1008,$A134,$N$4:$N$1008,"&gt;"&amp;N134)+1</f>
        <v>18</v>
      </c>
      <c r="Q134" s="16" t="n">
        <f aca="false">COUNTIFS($A$4:$A$1008,$A134,$O$4:$O$1008,"&gt;"&amp;O134)+1</f>
        <v>7</v>
      </c>
    </row>
    <row r="135" customFormat="false" ht="15" hidden="false" customHeight="false" outlineLevel="0" collapsed="false">
      <c r="A135" s="7" t="n">
        <v>2003</v>
      </c>
      <c r="B135" s="15" t="s">
        <v>125</v>
      </c>
      <c r="C135" s="15" t="s">
        <v>118</v>
      </c>
      <c r="D135" s="15" t="s">
        <v>126</v>
      </c>
      <c r="E135" s="9" t="n">
        <f aca="false">SUMIFS(Data!$L$2:$L$1006,Data!$A$2:$A$1006,$A135,Data!$B$2:$B$1006,$B135)</f>
        <v>488901</v>
      </c>
      <c r="F135" s="10" t="n">
        <f aca="false">SUMIFS(Data!$E$2:$E$1006,Data!$A$2:$A$1006,$A135,Data!$B$2:$B$1006,$B135)</f>
        <v>46.117506</v>
      </c>
      <c r="G135" s="10" t="n">
        <f aca="false">SUMIFS(Data!$F$2:$F$1006,Data!$A$2:$A$1006,$A135,Data!$B$2:$B$1006,$B135)</f>
        <v>44.065263</v>
      </c>
      <c r="H135" s="10" t="n">
        <f aca="false">SUMIFS(Data!$G$2:$G$1006,Data!$A$2:$A$1006,$A135,Data!$B$2:$B$1006,$B135)</f>
        <v>34.747073</v>
      </c>
      <c r="I135" s="10" t="n">
        <f aca="false">SUMIFS(Data!$N$2:$N$1006,Data!$A$2:$A$1006,$A135,Data!$B$2:$B$1006,$B135)</f>
        <v>124.929842</v>
      </c>
      <c r="J135" s="10" t="n">
        <f aca="false">SUMIFS(Data!$H$2:$H$1006,Data!$A$2:$A$1006,$A135,Data!$B$2:$B$1006,$B135)</f>
        <v>63.675203</v>
      </c>
      <c r="K135" s="11" t="n">
        <f aca="false">IFERROR(F135*1000000/$E135,"")</f>
        <v>94.3289254879822</v>
      </c>
      <c r="L135" s="11" t="n">
        <f aca="false">IFERROR(G135*1000000/$E135,"")</f>
        <v>90.1312597028846</v>
      </c>
      <c r="M135" s="11" t="n">
        <f aca="false">IFERROR(H135*1000000/$E135,"")</f>
        <v>71.0717977668281</v>
      </c>
      <c r="N135" s="11" t="n">
        <f aca="false">IFERROR(I135*1000000/$E135,"")</f>
        <v>255.531982957695</v>
      </c>
      <c r="O135" s="11" t="n">
        <f aca="false">IFERROR(J135*1000000/$E135,"")</f>
        <v>130.241506971759</v>
      </c>
      <c r="P135" s="16" t="n">
        <f aca="false">COUNTIFS($A$4:$A$1008,$A135,$N$4:$N$1008,"&gt;"&amp;N135)+1</f>
        <v>6</v>
      </c>
      <c r="Q135" s="16" t="n">
        <f aca="false">COUNTIFS($A$4:$A$1008,$A135,$O$4:$O$1008,"&gt;"&amp;O135)+1</f>
        <v>8</v>
      </c>
    </row>
    <row r="136" customFormat="false" ht="15" hidden="false" customHeight="false" outlineLevel="0" collapsed="false">
      <c r="A136" s="7" t="n">
        <v>2003</v>
      </c>
      <c r="B136" s="15" t="s">
        <v>127</v>
      </c>
      <c r="C136" s="15" t="s">
        <v>118</v>
      </c>
      <c r="D136" s="15" t="s">
        <v>103</v>
      </c>
      <c r="E136" s="9" t="n">
        <f aca="false">SUMIFS(Data!$L$2:$L$1006,Data!$A$2:$A$1006,$A136,Data!$B$2:$B$1006,$B136)</f>
        <v>664815</v>
      </c>
      <c r="F136" s="10" t="n">
        <f aca="false">SUMIFS(Data!$E$2:$E$1006,Data!$A$2:$A$1006,$A136,Data!$B$2:$B$1006,$B136)</f>
        <v>34.495679</v>
      </c>
      <c r="G136" s="10" t="n">
        <f aca="false">SUMIFS(Data!$F$2:$F$1006,Data!$A$2:$A$1006,$A136,Data!$B$2:$B$1006,$B136)</f>
        <v>33.441531</v>
      </c>
      <c r="H136" s="10" t="n">
        <f aca="false">SUMIFS(Data!$G$2:$G$1006,Data!$A$2:$A$1006,$A136,Data!$B$2:$B$1006,$B136)</f>
        <v>34.550244</v>
      </c>
      <c r="I136" s="10" t="n">
        <f aca="false">SUMIFS(Data!$N$2:$N$1006,Data!$A$2:$A$1006,$A136,Data!$B$2:$B$1006,$B136)</f>
        <v>102.487454</v>
      </c>
      <c r="J136" s="10" t="n">
        <f aca="false">SUMIFS(Data!$H$2:$H$1006,Data!$A$2:$A$1006,$A136,Data!$B$2:$B$1006,$B136)</f>
        <v>59.802833</v>
      </c>
      <c r="K136" s="11" t="n">
        <f aca="false">IFERROR(F136*1000000/$E136,"")</f>
        <v>51.8876364101291</v>
      </c>
      <c r="L136" s="11" t="n">
        <f aca="false">IFERROR(G136*1000000/$E136,"")</f>
        <v>50.3020103337019</v>
      </c>
      <c r="M136" s="11" t="n">
        <f aca="false">IFERROR(H136*1000000/$E136,"")</f>
        <v>51.9697118747321</v>
      </c>
      <c r="N136" s="11" t="n">
        <f aca="false">IFERROR(I136*1000000/$E136,"")</f>
        <v>154.159358618563</v>
      </c>
      <c r="O136" s="11" t="n">
        <f aca="false">IFERROR(J136*1000000/$E136,"")</f>
        <v>89.9540970044298</v>
      </c>
      <c r="P136" s="16" t="n">
        <f aca="false">COUNTIFS($A$4:$A$1008,$A136,$N$4:$N$1008,"&gt;"&amp;N136)+1</f>
        <v>35</v>
      </c>
      <c r="Q136" s="16" t="n">
        <f aca="false">COUNTIFS($A$4:$A$1008,$A136,$O$4:$O$1008,"&gt;"&amp;O136)+1</f>
        <v>22</v>
      </c>
    </row>
    <row r="137" customFormat="false" ht="15" hidden="false" customHeight="false" outlineLevel="0" collapsed="false">
      <c r="A137" s="7" t="n">
        <v>2003</v>
      </c>
      <c r="B137" s="15" t="s">
        <v>128</v>
      </c>
      <c r="C137" s="15" t="s">
        <v>118</v>
      </c>
      <c r="D137" s="15" t="s">
        <v>107</v>
      </c>
      <c r="E137" s="9" t="n">
        <f aca="false">SUMIFS(Data!$L$2:$L$1006,Data!$A$2:$A$1006,$A137,Data!$B$2:$B$1006,$B137)</f>
        <v>587202</v>
      </c>
      <c r="F137" s="10" t="n">
        <f aca="false">SUMIFS(Data!$E$2:$E$1006,Data!$A$2:$A$1006,$A137,Data!$B$2:$B$1006,$B137)</f>
        <v>28.622845</v>
      </c>
      <c r="G137" s="10" t="n">
        <f aca="false">SUMIFS(Data!$F$2:$F$1006,Data!$A$2:$A$1006,$A137,Data!$B$2:$B$1006,$B137)</f>
        <v>28.033582</v>
      </c>
      <c r="H137" s="10" t="n">
        <f aca="false">SUMIFS(Data!$G$2:$G$1006,Data!$A$2:$A$1006,$A137,Data!$B$2:$B$1006,$B137)</f>
        <v>39.396089</v>
      </c>
      <c r="I137" s="10" t="n">
        <f aca="false">SUMIFS(Data!$N$2:$N$1006,Data!$A$2:$A$1006,$A137,Data!$B$2:$B$1006,$B137)</f>
        <v>96.052516</v>
      </c>
      <c r="J137" s="10" t="n">
        <f aca="false">SUMIFS(Data!$H$2:$H$1006,Data!$A$2:$A$1006,$A137,Data!$B$2:$B$1006,$B137)</f>
        <v>53.632167</v>
      </c>
      <c r="K137" s="11" t="n">
        <f aca="false">IFERROR(F137*1000000/$E137,"")</f>
        <v>48.7444610202281</v>
      </c>
      <c r="L137" s="11" t="n">
        <f aca="false">IFERROR(G137*1000000/$E137,"")</f>
        <v>47.7409511547985</v>
      </c>
      <c r="M137" s="11" t="n">
        <f aca="false">IFERROR(H137*1000000/$E137,"")</f>
        <v>67.0912037084342</v>
      </c>
      <c r="N137" s="11" t="n">
        <f aca="false">IFERROR(I137*1000000/$E137,"")</f>
        <v>163.576615883461</v>
      </c>
      <c r="O137" s="11" t="n">
        <f aca="false">IFERROR(J137*1000000/$E137,"")</f>
        <v>91.3351231773734</v>
      </c>
      <c r="P137" s="16" t="n">
        <f aca="false">COUNTIFS($A$4:$A$1008,$A137,$N$4:$N$1008,"&gt;"&amp;N137)+1</f>
        <v>33</v>
      </c>
      <c r="Q137" s="16" t="n">
        <f aca="false">COUNTIFS($A$4:$A$1008,$A137,$O$4:$O$1008,"&gt;"&amp;O137)+1</f>
        <v>21</v>
      </c>
    </row>
    <row r="138" customFormat="false" ht="15" hidden="false" customHeight="false" outlineLevel="0" collapsed="false">
      <c r="A138" s="7" t="n">
        <v>2003</v>
      </c>
      <c r="B138" s="15" t="s">
        <v>129</v>
      </c>
      <c r="C138" s="15" t="s">
        <v>118</v>
      </c>
      <c r="D138" s="15" t="s">
        <v>107</v>
      </c>
      <c r="E138" s="9" t="n">
        <f aca="false">SUMIFS(Data!$L$2:$L$1006,Data!$A$2:$A$1006,$A138,Data!$B$2:$B$1006,$B138)</f>
        <v>1530715</v>
      </c>
      <c r="F138" s="10" t="n">
        <f aca="false">SUMIFS(Data!$E$2:$E$1006,Data!$A$2:$A$1006,$A138,Data!$B$2:$B$1006,$B138)</f>
        <v>158.397047</v>
      </c>
      <c r="G138" s="10" t="n">
        <f aca="false">SUMIFS(Data!$F$2:$F$1006,Data!$A$2:$A$1006,$A138,Data!$B$2:$B$1006,$B138)</f>
        <v>125.468934</v>
      </c>
      <c r="H138" s="10" t="n">
        <f aca="false">SUMIFS(Data!$G$2:$G$1006,Data!$A$2:$A$1006,$A138,Data!$B$2:$B$1006,$B138)</f>
        <v>74.455805</v>
      </c>
      <c r="I138" s="10" t="n">
        <f aca="false">SUMIFS(Data!$N$2:$N$1006,Data!$A$2:$A$1006,$A138,Data!$B$2:$B$1006,$B138)</f>
        <v>358.321786</v>
      </c>
      <c r="J138" s="10" t="n">
        <f aca="false">SUMIFS(Data!$H$2:$H$1006,Data!$A$2:$A$1006,$A138,Data!$B$2:$B$1006,$B138)</f>
        <v>133.697076</v>
      </c>
      <c r="K138" s="11" t="n">
        <f aca="false">IFERROR(F138*1000000/$E138,"")</f>
        <v>103.479123808155</v>
      </c>
      <c r="L138" s="11" t="n">
        <f aca="false">IFERROR(G138*1000000/$E138,"")</f>
        <v>81.967534126209</v>
      </c>
      <c r="M138" s="11" t="n">
        <f aca="false">IFERROR(H138*1000000/$E138,"")</f>
        <v>48.6411938211881</v>
      </c>
      <c r="N138" s="11" t="n">
        <f aca="false">IFERROR(I138*1000000/$E138,"")</f>
        <v>234.087851755552</v>
      </c>
      <c r="O138" s="11" t="n">
        <f aca="false">IFERROR(J138*1000000/$E138,"")</f>
        <v>87.3428927004701</v>
      </c>
      <c r="P138" s="16" t="n">
        <f aca="false">COUNTIFS($A$4:$A$1008,$A138,$N$4:$N$1008,"&gt;"&amp;N138)+1</f>
        <v>10</v>
      </c>
      <c r="Q138" s="16" t="n">
        <f aca="false">COUNTIFS($A$4:$A$1008,$A138,$O$4:$O$1008,"&gt;"&amp;O138)+1</f>
        <v>25</v>
      </c>
    </row>
    <row r="139" customFormat="false" ht="15" hidden="false" customHeight="false" outlineLevel="0" collapsed="false">
      <c r="A139" s="7" t="n">
        <v>2003</v>
      </c>
      <c r="B139" s="15" t="s">
        <v>130</v>
      </c>
      <c r="C139" s="15" t="s">
        <v>118</v>
      </c>
      <c r="D139" s="15" t="s">
        <v>107</v>
      </c>
      <c r="E139" s="9" t="n">
        <f aca="false">SUMIFS(Data!$L$2:$L$1006,Data!$A$2:$A$1006,$A139,Data!$B$2:$B$1006,$B139)</f>
        <v>1317327</v>
      </c>
      <c r="F139" s="10" t="n">
        <f aca="false">SUMIFS(Data!$E$2:$E$1006,Data!$A$2:$A$1006,$A139,Data!$B$2:$B$1006,$B139)</f>
        <v>122.9535</v>
      </c>
      <c r="G139" s="10" t="n">
        <f aca="false">SUMIFS(Data!$F$2:$F$1006,Data!$A$2:$A$1006,$A139,Data!$B$2:$B$1006,$B139)</f>
        <v>66.0862</v>
      </c>
      <c r="H139" s="10" t="n">
        <f aca="false">SUMIFS(Data!$G$2:$G$1006,Data!$A$2:$A$1006,$A139,Data!$B$2:$B$1006,$B139)</f>
        <v>73.574671</v>
      </c>
      <c r="I139" s="10" t="n">
        <f aca="false">SUMIFS(Data!$N$2:$N$1006,Data!$A$2:$A$1006,$A139,Data!$B$2:$B$1006,$B139)</f>
        <v>262.614371</v>
      </c>
      <c r="J139" s="10" t="n">
        <f aca="false">SUMIFS(Data!$H$2:$H$1006,Data!$A$2:$A$1006,$A139,Data!$B$2:$B$1006,$B139)</f>
        <v>187.18689</v>
      </c>
      <c r="K139" s="11" t="n">
        <f aca="false">IFERROR(F139*1000000/$E139,"")</f>
        <v>93.3355954899581</v>
      </c>
      <c r="L139" s="11" t="n">
        <f aca="false">IFERROR(G139*1000000/$E139,"")</f>
        <v>50.1668909845467</v>
      </c>
      <c r="M139" s="11" t="n">
        <f aca="false">IFERROR(H139*1000000/$E139,"")</f>
        <v>55.8514863811339</v>
      </c>
      <c r="N139" s="11" t="n">
        <f aca="false">IFERROR(I139*1000000/$E139,"")</f>
        <v>199.353972855639</v>
      </c>
      <c r="O139" s="11" t="n">
        <f aca="false">IFERROR(J139*1000000/$E139,"")</f>
        <v>142.095994388637</v>
      </c>
      <c r="P139" s="16" t="n">
        <f aca="false">COUNTIFS($A$4:$A$1008,$A139,$N$4:$N$1008,"&gt;"&amp;N139)+1</f>
        <v>24</v>
      </c>
      <c r="Q139" s="16" t="n">
        <f aca="false">COUNTIFS($A$4:$A$1008,$A139,$O$4:$O$1008,"&gt;"&amp;O139)+1</f>
        <v>6</v>
      </c>
    </row>
    <row r="140" customFormat="false" ht="15" hidden="false" customHeight="false" outlineLevel="0" collapsed="false">
      <c r="A140" s="7" t="n">
        <v>2003</v>
      </c>
      <c r="B140" s="15" t="s">
        <v>131</v>
      </c>
      <c r="C140" s="15" t="s">
        <v>118</v>
      </c>
      <c r="D140" s="15" t="s">
        <v>132</v>
      </c>
      <c r="E140" s="9" t="n">
        <f aca="false">SUMIFS(Data!$L$2:$L$1006,Data!$A$2:$A$1006,$A140,Data!$B$2:$B$1006,$B140)</f>
        <v>723517</v>
      </c>
      <c r="F140" s="10" t="n">
        <f aca="false">SUMIFS(Data!$E$2:$E$1006,Data!$A$2:$A$1006,$A140,Data!$B$2:$B$1006,$B140)</f>
        <v>65.126761</v>
      </c>
      <c r="G140" s="10" t="n">
        <f aca="false">SUMIFS(Data!$F$2:$F$1006,Data!$A$2:$A$1006,$A140,Data!$B$2:$B$1006,$B140)</f>
        <v>51.842405</v>
      </c>
      <c r="H140" s="10" t="n">
        <f aca="false">SUMIFS(Data!$G$2:$G$1006,Data!$A$2:$A$1006,$A140,Data!$B$2:$B$1006,$B140)</f>
        <v>116.437611</v>
      </c>
      <c r="I140" s="10" t="n">
        <f aca="false">SUMIFS(Data!$N$2:$N$1006,Data!$A$2:$A$1006,$A140,Data!$B$2:$B$1006,$B140)</f>
        <v>233.406777</v>
      </c>
      <c r="J140" s="10" t="n">
        <f aca="false">SUMIFS(Data!$H$2:$H$1006,Data!$A$2:$A$1006,$A140,Data!$B$2:$B$1006,$B140)</f>
        <v>182.735859</v>
      </c>
      <c r="K140" s="11" t="n">
        <f aca="false">IFERROR(F140*1000000/$E140,"")</f>
        <v>90.0141406490794</v>
      </c>
      <c r="L140" s="11" t="n">
        <f aca="false">IFERROR(G140*1000000/$E140,"")</f>
        <v>71.6533336466178</v>
      </c>
      <c r="M140" s="11" t="n">
        <f aca="false">IFERROR(H140*1000000/$E140,"")</f>
        <v>160.932792180419</v>
      </c>
      <c r="N140" s="11" t="n">
        <f aca="false">IFERROR(I140*1000000/$E140,"")</f>
        <v>322.600266476116</v>
      </c>
      <c r="O140" s="11" t="n">
        <f aca="false">IFERROR(J140*1000000/$E140,"")</f>
        <v>252.56608897925</v>
      </c>
      <c r="P140" s="16" t="n">
        <f aca="false">COUNTIFS($A$4:$A$1008,$A140,$N$4:$N$1008,"&gt;"&amp;N140)+1</f>
        <v>1</v>
      </c>
      <c r="Q140" s="16" t="n">
        <f aca="false">COUNTIFS($A$4:$A$1008,$A140,$O$4:$O$1008,"&gt;"&amp;O140)+1</f>
        <v>1</v>
      </c>
    </row>
    <row r="141" customFormat="false" ht="15" hidden="false" customHeight="false" outlineLevel="0" collapsed="false">
      <c r="A141" s="7" t="n">
        <v>2003</v>
      </c>
      <c r="B141" s="15" t="s">
        <v>133</v>
      </c>
      <c r="C141" s="15" t="s">
        <v>118</v>
      </c>
      <c r="D141" s="15" t="s">
        <v>105</v>
      </c>
      <c r="E141" s="9" t="n">
        <f aca="false">SUMIFS(Data!$L$2:$L$1006,Data!$A$2:$A$1006,$A141,Data!$B$2:$B$1006,$B141)</f>
        <v>2061994</v>
      </c>
      <c r="F141" s="10" t="n">
        <f aca="false">SUMIFS(Data!$E$2:$E$1006,Data!$A$2:$A$1006,$A141,Data!$B$2:$B$1006,$B141)</f>
        <v>149.857118</v>
      </c>
      <c r="G141" s="10" t="n">
        <f aca="false">SUMIFS(Data!$F$2:$F$1006,Data!$A$2:$A$1006,$A141,Data!$B$2:$B$1006,$B141)</f>
        <v>186.702557</v>
      </c>
      <c r="H141" s="10" t="n">
        <f aca="false">SUMIFS(Data!$G$2:$G$1006,Data!$A$2:$A$1006,$A141,Data!$B$2:$B$1006,$B141)</f>
        <v>-40.75262</v>
      </c>
      <c r="I141" s="10" t="n">
        <f aca="false">SUMIFS(Data!$N$2:$N$1006,Data!$A$2:$A$1006,$A141,Data!$B$2:$B$1006,$B141)</f>
        <v>295.807055</v>
      </c>
      <c r="J141" s="10" t="n">
        <f aca="false">SUMIFS(Data!$H$2:$H$1006,Data!$A$2:$A$1006,$A141,Data!$B$2:$B$1006,$B141)</f>
        <v>182.83376</v>
      </c>
      <c r="K141" s="11" t="n">
        <f aca="false">IFERROR(F141*1000000/$E141,"")</f>
        <v>72.6758264088062</v>
      </c>
      <c r="L141" s="11" t="n">
        <f aca="false">IFERROR(G141*1000000/$E141,"")</f>
        <v>90.5446655033914</v>
      </c>
      <c r="M141" s="11" t="n">
        <f aca="false">IFERROR(H141*1000000/$E141,"")</f>
        <v>-19.763694753719</v>
      </c>
      <c r="N141" s="11" t="n">
        <f aca="false">IFERROR(I141*1000000/$E141,"")</f>
        <v>143.456797158479</v>
      </c>
      <c r="O141" s="11" t="n">
        <f aca="false">IFERROR(J141*1000000/$E141,"")</f>
        <v>88.6684248353778</v>
      </c>
      <c r="P141" s="16" t="n">
        <f aca="false">COUNTIFS($A$4:$A$1008,$A141,$N$4:$N$1008,"&gt;"&amp;N141)+1</f>
        <v>37</v>
      </c>
      <c r="Q141" s="16" t="n">
        <f aca="false">COUNTIFS($A$4:$A$1008,$A141,$O$4:$O$1008,"&gt;"&amp;O141)+1</f>
        <v>24</v>
      </c>
    </row>
    <row r="142" customFormat="false" ht="15" hidden="false" customHeight="false" outlineLevel="0" collapsed="false">
      <c r="A142" s="7" t="n">
        <v>2003</v>
      </c>
      <c r="B142" s="15" t="s">
        <v>134</v>
      </c>
      <c r="C142" s="15" t="s">
        <v>135</v>
      </c>
      <c r="D142" s="15" t="s">
        <v>136</v>
      </c>
      <c r="E142" s="9" t="n">
        <f aca="false">SUMIFS(Data!$L$2:$L$1006,Data!$A$2:$A$1006,$A142,Data!$B$2:$B$1006,$B142)</f>
        <v>133738</v>
      </c>
      <c r="F142" s="10" t="n">
        <f aca="false">SUMIFS(Data!$E$2:$E$1006,Data!$A$2:$A$1006,$A142,Data!$B$2:$B$1006,$B142)</f>
        <v>14.469781</v>
      </c>
      <c r="G142" s="10" t="n">
        <f aca="false">SUMIFS(Data!$F$2:$F$1006,Data!$A$2:$A$1006,$A142,Data!$B$2:$B$1006,$B142)</f>
        <v>14.200482</v>
      </c>
      <c r="H142" s="10" t="n">
        <f aca="false">SUMIFS(Data!$G$2:$G$1006,Data!$A$2:$A$1006,$A142,Data!$B$2:$B$1006,$B142)</f>
        <v>8.801837</v>
      </c>
      <c r="I142" s="10" t="n">
        <f aca="false">SUMIFS(Data!$N$2:$N$1006,Data!$A$2:$A$1006,$A142,Data!$B$2:$B$1006,$B142)</f>
        <v>37.4721</v>
      </c>
      <c r="J142" s="10" t="n">
        <f aca="false">SUMIFS(Data!$H$2:$H$1006,Data!$A$2:$A$1006,$A142,Data!$B$2:$B$1006,$B142)</f>
        <v>17.192017</v>
      </c>
      <c r="K142" s="11" t="n">
        <f aca="false">IFERROR(F142*1000000/$E142,"")</f>
        <v>108.194985718345</v>
      </c>
      <c r="L142" s="11" t="n">
        <f aca="false">IFERROR(G142*1000000/$E142,"")</f>
        <v>106.181354588823</v>
      </c>
      <c r="M142" s="11" t="n">
        <f aca="false">IFERROR(H142*1000000/$E142,"")</f>
        <v>65.8140319131436</v>
      </c>
      <c r="N142" s="11" t="n">
        <f aca="false">IFERROR(I142*1000000/$E142,"")</f>
        <v>280.190372220311</v>
      </c>
      <c r="O142" s="11" t="n">
        <f aca="false">IFERROR(J142*1000000/$E142,"")</f>
        <v>128.549978315812</v>
      </c>
      <c r="P142" s="16" t="n">
        <f aca="false">COUNTIFS($A$4:$A$1008,$A142,$N$4:$N$1008,"&gt;"&amp;N142)+1</f>
        <v>3</v>
      </c>
      <c r="Q142" s="16" t="n">
        <f aca="false">COUNTIFS($A$4:$A$1008,$A142,$O$4:$O$1008,"&gt;"&amp;O142)+1</f>
        <v>9</v>
      </c>
    </row>
    <row r="143" customFormat="false" ht="15" hidden="false" customHeight="false" outlineLevel="0" collapsed="false">
      <c r="A143" s="7" t="n">
        <v>2003</v>
      </c>
      <c r="B143" s="15" t="s">
        <v>139</v>
      </c>
      <c r="C143" s="15" t="s">
        <v>135</v>
      </c>
      <c r="D143" s="15" t="s">
        <v>138</v>
      </c>
      <c r="E143" s="9" t="n">
        <f aca="false">SUMIFS(Data!$L$2:$L$1006,Data!$A$2:$A$1006,$A143,Data!$B$2:$B$1006,$B143)</f>
        <v>2136357</v>
      </c>
      <c r="F143" s="10" t="n">
        <f aca="false">SUMIFS(Data!$E$2:$E$1006,Data!$A$2:$A$1006,$A143,Data!$B$2:$B$1006,$B143)</f>
        <v>203.550403</v>
      </c>
      <c r="G143" s="10" t="n">
        <f aca="false">SUMIFS(Data!$F$2:$F$1006,Data!$A$2:$A$1006,$A143,Data!$B$2:$B$1006,$B143)</f>
        <v>160.291429</v>
      </c>
      <c r="H143" s="10" t="n">
        <f aca="false">SUMIFS(Data!$G$2:$G$1006,Data!$A$2:$A$1006,$A143,Data!$B$2:$B$1006,$B143)</f>
        <v>190.839483</v>
      </c>
      <c r="I143" s="10" t="n">
        <f aca="false">SUMIFS(Data!$N$2:$N$1006,Data!$A$2:$A$1006,$A143,Data!$B$2:$B$1006,$B143)</f>
        <v>554.681315</v>
      </c>
      <c r="J143" s="10" t="n">
        <f aca="false">SUMIFS(Data!$H$2:$H$1006,Data!$A$2:$A$1006,$A143,Data!$B$2:$B$1006,$B143)</f>
        <v>232.107538</v>
      </c>
      <c r="K143" s="11" t="n">
        <f aca="false">IFERROR(F143*1000000/$E143,"")</f>
        <v>95.2792080162632</v>
      </c>
      <c r="L143" s="11" t="n">
        <f aca="false">IFERROR(G143*1000000/$E143,"")</f>
        <v>75.0302636684786</v>
      </c>
      <c r="M143" s="11" t="n">
        <f aca="false">IFERROR(H143*1000000/$E143,"")</f>
        <v>89.3293971934466</v>
      </c>
      <c r="N143" s="11" t="n">
        <f aca="false">IFERROR(I143*1000000/$E143,"")</f>
        <v>259.638868878188</v>
      </c>
      <c r="O143" s="11" t="n">
        <f aca="false">IFERROR(J143*1000000/$E143,"")</f>
        <v>108.646419114408</v>
      </c>
      <c r="P143" s="16" t="n">
        <f aca="false">COUNTIFS($A$4:$A$1008,$A143,$N$4:$N$1008,"&gt;"&amp;N143)+1</f>
        <v>5</v>
      </c>
      <c r="Q143" s="16" t="n">
        <f aca="false">COUNTIFS($A$4:$A$1008,$A143,$O$4:$O$1008,"&gt;"&amp;O143)+1</f>
        <v>13</v>
      </c>
    </row>
    <row r="144" customFormat="false" ht="15" hidden="false" customHeight="false" outlineLevel="0" collapsed="false">
      <c r="A144" s="7" t="n">
        <v>2003</v>
      </c>
      <c r="B144" s="15" t="s">
        <v>140</v>
      </c>
      <c r="C144" s="15" t="s">
        <v>135</v>
      </c>
      <c r="D144" s="15" t="s">
        <v>141</v>
      </c>
      <c r="E144" s="9" t="n">
        <f aca="false">SUMIFS(Data!$L$2:$L$1006,Data!$A$2:$A$1006,$A144,Data!$B$2:$B$1006,$B144)</f>
        <v>742436</v>
      </c>
      <c r="F144" s="10" t="n">
        <f aca="false">SUMIFS(Data!$E$2:$E$1006,Data!$A$2:$A$1006,$A144,Data!$B$2:$B$1006,$B144)</f>
        <v>43.345216</v>
      </c>
      <c r="G144" s="10" t="n">
        <f aca="false">SUMIFS(Data!$F$2:$F$1006,Data!$A$2:$A$1006,$A144,Data!$B$2:$B$1006,$B144)</f>
        <v>36.493313</v>
      </c>
      <c r="H144" s="10" t="n">
        <f aca="false">SUMIFS(Data!$G$2:$G$1006,Data!$A$2:$A$1006,$A144,Data!$B$2:$B$1006,$B144)</f>
        <v>56.009684</v>
      </c>
      <c r="I144" s="10" t="n">
        <f aca="false">SUMIFS(Data!$N$2:$N$1006,Data!$A$2:$A$1006,$A144,Data!$B$2:$B$1006,$B144)</f>
        <v>135.848213</v>
      </c>
      <c r="J144" s="10" t="n">
        <f aca="false">SUMIFS(Data!$H$2:$H$1006,Data!$A$2:$A$1006,$A144,Data!$B$2:$B$1006,$B144)</f>
        <v>62.716601</v>
      </c>
      <c r="K144" s="11" t="n">
        <f aca="false">IFERROR(F144*1000000/$E144,"")</f>
        <v>58.382427576249</v>
      </c>
      <c r="L144" s="11" t="n">
        <f aca="false">IFERROR(G144*1000000/$E144,"")</f>
        <v>49.1534798959102</v>
      </c>
      <c r="M144" s="11" t="n">
        <f aca="false">IFERROR(H144*1000000/$E144,"")</f>
        <v>75.4404204537496</v>
      </c>
      <c r="N144" s="11" t="n">
        <f aca="false">IFERROR(I144*1000000/$E144,"")</f>
        <v>182.976327925909</v>
      </c>
      <c r="O144" s="11" t="n">
        <f aca="false">IFERROR(J144*1000000/$E144,"")</f>
        <v>84.4740839614458</v>
      </c>
      <c r="P144" s="16" t="n">
        <f aca="false">COUNTIFS($A$4:$A$1008,$A144,$N$4:$N$1008,"&gt;"&amp;N144)+1</f>
        <v>29</v>
      </c>
      <c r="Q144" s="16" t="n">
        <f aca="false">COUNTIFS($A$4:$A$1008,$A144,$O$4:$O$1008,"&gt;"&amp;O144)+1</f>
        <v>27</v>
      </c>
    </row>
    <row r="145" customFormat="false" ht="15" hidden="false" customHeight="false" outlineLevel="0" collapsed="false">
      <c r="A145" s="7" t="n">
        <v>2003</v>
      </c>
      <c r="B145" s="15" t="s">
        <v>142</v>
      </c>
      <c r="C145" s="15" t="s">
        <v>135</v>
      </c>
      <c r="D145" s="15" t="s">
        <v>143</v>
      </c>
      <c r="E145" s="9" t="n">
        <f aca="false">SUMIFS(Data!$L$2:$L$1006,Data!$A$2:$A$1006,$A145,Data!$B$2:$B$1006,$B145)</f>
        <v>572661</v>
      </c>
      <c r="F145" s="10" t="n">
        <f aca="false">SUMIFS(Data!$E$2:$E$1006,Data!$A$2:$A$1006,$A145,Data!$B$2:$B$1006,$B145)</f>
        <v>45.664056</v>
      </c>
      <c r="G145" s="10" t="n">
        <f aca="false">SUMIFS(Data!$F$2:$F$1006,Data!$A$2:$A$1006,$A145,Data!$B$2:$B$1006,$B145)</f>
        <v>21.71132</v>
      </c>
      <c r="H145" s="10" t="n">
        <f aca="false">SUMIFS(Data!$G$2:$G$1006,Data!$A$2:$A$1006,$A145,Data!$B$2:$B$1006,$B145)</f>
        <v>38.252552</v>
      </c>
      <c r="I145" s="10" t="n">
        <f aca="false">SUMIFS(Data!$N$2:$N$1006,Data!$A$2:$A$1006,$A145,Data!$B$2:$B$1006,$B145)</f>
        <v>105.627928</v>
      </c>
      <c r="J145" s="10" t="n">
        <f aca="false">SUMIFS(Data!$H$2:$H$1006,Data!$A$2:$A$1006,$A145,Data!$B$2:$B$1006,$B145)</f>
        <v>50.796471</v>
      </c>
      <c r="K145" s="11" t="n">
        <f aca="false">IFERROR(F145*1000000/$E145,"")</f>
        <v>79.7401184994264</v>
      </c>
      <c r="L145" s="11" t="n">
        <f aca="false">IFERROR(G145*1000000/$E145,"")</f>
        <v>37.9130410487182</v>
      </c>
      <c r="M145" s="11" t="n">
        <f aca="false">IFERROR(H145*1000000/$E145,"")</f>
        <v>66.7978996299731</v>
      </c>
      <c r="N145" s="11" t="n">
        <f aca="false">IFERROR(I145*1000000/$E145,"")</f>
        <v>184.451059178118</v>
      </c>
      <c r="O145" s="11" t="n">
        <f aca="false">IFERROR(J145*1000000/$E145,"")</f>
        <v>88.7025151005569</v>
      </c>
      <c r="P145" s="16" t="n">
        <f aca="false">COUNTIFS($A$4:$A$1008,$A145,$N$4:$N$1008,"&gt;"&amp;N145)+1</f>
        <v>27</v>
      </c>
      <c r="Q145" s="16" t="n">
        <f aca="false">COUNTIFS($A$4:$A$1008,$A145,$O$4:$O$1008,"&gt;"&amp;O145)+1</f>
        <v>23</v>
      </c>
    </row>
    <row r="146" customFormat="false" ht="15" hidden="false" customHeight="false" outlineLevel="0" collapsed="false">
      <c r="A146" s="7" t="n">
        <v>2003</v>
      </c>
      <c r="B146" s="15" t="s">
        <v>144</v>
      </c>
      <c r="C146" s="15" t="s">
        <v>135</v>
      </c>
      <c r="D146" s="15" t="s">
        <v>141</v>
      </c>
      <c r="E146" s="9" t="n">
        <f aca="false">SUMIFS(Data!$L$2:$L$1006,Data!$A$2:$A$1006,$A146,Data!$B$2:$B$1006,$B146)</f>
        <v>452340</v>
      </c>
      <c r="F146" s="10" t="n">
        <f aca="false">SUMIFS(Data!$E$2:$E$1006,Data!$A$2:$A$1006,$A146,Data!$B$2:$B$1006,$B146)</f>
        <v>39.018506</v>
      </c>
      <c r="G146" s="10" t="n">
        <f aca="false">SUMIFS(Data!$F$2:$F$1006,Data!$A$2:$A$1006,$A146,Data!$B$2:$B$1006,$B146)</f>
        <v>18.994897</v>
      </c>
      <c r="H146" s="10" t="n">
        <f aca="false">SUMIFS(Data!$G$2:$G$1006,Data!$A$2:$A$1006,$A146,Data!$B$2:$B$1006,$B146)</f>
        <v>45.526497</v>
      </c>
      <c r="I146" s="10" t="n">
        <f aca="false">SUMIFS(Data!$N$2:$N$1006,Data!$A$2:$A$1006,$A146,Data!$B$2:$B$1006,$B146)</f>
        <v>103.5399</v>
      </c>
      <c r="J146" s="10" t="n">
        <f aca="false">SUMIFS(Data!$H$2:$H$1006,Data!$A$2:$A$1006,$A146,Data!$B$2:$B$1006,$B146)</f>
        <v>29.270349</v>
      </c>
      <c r="K146" s="11" t="n">
        <f aca="false">IFERROR(F146*1000000/$E146,"")</f>
        <v>86.2592430472653</v>
      </c>
      <c r="L146" s="11" t="n">
        <f aca="false">IFERROR(G146*1000000/$E146,"")</f>
        <v>41.9925211124375</v>
      </c>
      <c r="M146" s="11" t="n">
        <f aca="false">IFERROR(H146*1000000/$E146,"")</f>
        <v>100.646630852898</v>
      </c>
      <c r="N146" s="11" t="n">
        <f aca="false">IFERROR(I146*1000000/$E146,"")</f>
        <v>228.898395012601</v>
      </c>
      <c r="O146" s="11" t="n">
        <f aca="false">IFERROR(J146*1000000/$E146,"")</f>
        <v>64.7087345801831</v>
      </c>
      <c r="P146" s="16" t="n">
        <f aca="false">COUNTIFS($A$4:$A$1008,$A146,$N$4:$N$1008,"&gt;"&amp;N146)+1</f>
        <v>11</v>
      </c>
      <c r="Q146" s="16" t="n">
        <f aca="false">COUNTIFS($A$4:$A$1008,$A146,$O$4:$O$1008,"&gt;"&amp;O146)+1</f>
        <v>36</v>
      </c>
    </row>
    <row r="147" customFormat="false" ht="15" hidden="false" customHeight="false" outlineLevel="0" collapsed="false">
      <c r="A147" s="7" t="n">
        <v>2003</v>
      </c>
      <c r="B147" s="15" t="s">
        <v>145</v>
      </c>
      <c r="C147" s="15" t="s">
        <v>135</v>
      </c>
      <c r="D147" s="15" t="s">
        <v>146</v>
      </c>
      <c r="E147" s="9" t="n">
        <f aca="false">SUMIFS(Data!$L$2:$L$1006,Data!$A$2:$A$1006,$A147,Data!$B$2:$B$1006,$B147)</f>
        <v>527151</v>
      </c>
      <c r="F147" s="10" t="n">
        <f aca="false">SUMIFS(Data!$E$2:$E$1006,Data!$A$2:$A$1006,$A147,Data!$B$2:$B$1006,$B147)</f>
        <v>30.351056</v>
      </c>
      <c r="G147" s="10" t="n">
        <f aca="false">SUMIFS(Data!$F$2:$F$1006,Data!$A$2:$A$1006,$A147,Data!$B$2:$B$1006,$B147)</f>
        <v>43.18222</v>
      </c>
      <c r="H147" s="10" t="n">
        <f aca="false">SUMIFS(Data!$G$2:$G$1006,Data!$A$2:$A$1006,$A147,Data!$B$2:$B$1006,$B147)</f>
        <v>41.705131</v>
      </c>
      <c r="I147" s="10" t="n">
        <f aca="false">SUMIFS(Data!$N$2:$N$1006,Data!$A$2:$A$1006,$A147,Data!$B$2:$B$1006,$B147)</f>
        <v>115.238407</v>
      </c>
      <c r="J147" s="10" t="n">
        <f aca="false">SUMIFS(Data!$H$2:$H$1006,Data!$A$2:$A$1006,$A147,Data!$B$2:$B$1006,$B147)</f>
        <v>129.276174</v>
      </c>
      <c r="K147" s="11" t="n">
        <f aca="false">IFERROR(F147*1000000/$E147,"")</f>
        <v>57.575639617491</v>
      </c>
      <c r="L147" s="11" t="n">
        <f aca="false">IFERROR(G147*1000000/$E147,"")</f>
        <v>81.9162251423217</v>
      </c>
      <c r="M147" s="11" t="n">
        <f aca="false">IFERROR(H147*1000000/$E147,"")</f>
        <v>79.1142025719386</v>
      </c>
      <c r="N147" s="11" t="n">
        <f aca="false">IFERROR(I147*1000000/$E147,"")</f>
        <v>218.606067331751</v>
      </c>
      <c r="O147" s="11" t="n">
        <f aca="false">IFERROR(J147*1000000/$E147,"")</f>
        <v>245.23556627987</v>
      </c>
      <c r="P147" s="16" t="n">
        <f aca="false">COUNTIFS($A$4:$A$1008,$A147,$N$4:$N$1008,"&gt;"&amp;N147)+1</f>
        <v>15</v>
      </c>
      <c r="Q147" s="16" t="n">
        <f aca="false">COUNTIFS($A$4:$A$1008,$A147,$O$4:$O$1008,"&gt;"&amp;O147)+1</f>
        <v>2</v>
      </c>
    </row>
    <row r="148" customFormat="false" ht="15" hidden="false" customHeight="false" outlineLevel="0" collapsed="false">
      <c r="A148" s="7" t="n">
        <v>2003</v>
      </c>
      <c r="B148" s="15" t="s">
        <v>147</v>
      </c>
      <c r="C148" s="15" t="s">
        <v>135</v>
      </c>
      <c r="D148" s="15" t="s">
        <v>148</v>
      </c>
      <c r="E148" s="9" t="n">
        <f aca="false">SUMIFS(Data!$L$2:$L$1006,Data!$A$2:$A$1006,$A148,Data!$B$2:$B$1006,$B148)</f>
        <v>132246</v>
      </c>
      <c r="F148" s="10" t="n">
        <f aca="false">SUMIFS(Data!$E$2:$E$1006,Data!$A$2:$A$1006,$A148,Data!$B$2:$B$1006,$B148)</f>
        <v>10.929516</v>
      </c>
      <c r="G148" s="10" t="n">
        <f aca="false">SUMIFS(Data!$F$2:$F$1006,Data!$A$2:$A$1006,$A148,Data!$B$2:$B$1006,$B148)</f>
        <v>9.022504</v>
      </c>
      <c r="H148" s="10" t="n">
        <f aca="false">SUMIFS(Data!$G$2:$G$1006,Data!$A$2:$A$1006,$A148,Data!$B$2:$B$1006,$B148)</f>
        <v>7.516184</v>
      </c>
      <c r="I148" s="10" t="n">
        <f aca="false">SUMIFS(Data!$N$2:$N$1006,Data!$A$2:$A$1006,$A148,Data!$B$2:$B$1006,$B148)</f>
        <v>27.468204</v>
      </c>
      <c r="J148" s="10" t="n">
        <f aca="false">SUMIFS(Data!$H$2:$H$1006,Data!$A$2:$A$1006,$A148,Data!$B$2:$B$1006,$B148)</f>
        <v>24.238312</v>
      </c>
      <c r="K148" s="11" t="n">
        <f aca="false">IFERROR(F148*1000000/$E148,"")</f>
        <v>82.6453427702917</v>
      </c>
      <c r="L148" s="11" t="n">
        <f aca="false">IFERROR(G148*1000000/$E148,"")</f>
        <v>68.2251561483901</v>
      </c>
      <c r="M148" s="11" t="n">
        <f aca="false">IFERROR(H148*1000000/$E148,"")</f>
        <v>56.8348683514057</v>
      </c>
      <c r="N148" s="11" t="n">
        <f aca="false">IFERROR(I148*1000000/$E148,"")</f>
        <v>207.705367270088</v>
      </c>
      <c r="O148" s="11" t="n">
        <f aca="false">IFERROR(J148*1000000/$E148,"")</f>
        <v>183.282004748726</v>
      </c>
      <c r="P148" s="16" t="n">
        <f aca="false">COUNTIFS($A$4:$A$1008,$A148,$N$4:$N$1008,"&gt;"&amp;N148)+1</f>
        <v>22</v>
      </c>
      <c r="Q148" s="16" t="n">
        <f aca="false">COUNTIFS($A$4:$A$1008,$A148,$O$4:$O$1008,"&gt;"&amp;O148)+1</f>
        <v>4</v>
      </c>
    </row>
    <row r="149" customFormat="false" ht="15" hidden="false" customHeight="false" outlineLevel="0" collapsed="false">
      <c r="A149" s="7" t="n">
        <v>2003</v>
      </c>
      <c r="B149" s="15" t="s">
        <v>149</v>
      </c>
      <c r="C149" s="15" t="s">
        <v>135</v>
      </c>
      <c r="D149" s="15" t="s">
        <v>146</v>
      </c>
      <c r="E149" s="9" t="n">
        <f aca="false">SUMIFS(Data!$L$2:$L$1006,Data!$A$2:$A$1006,$A149,Data!$B$2:$B$1006,$B149)</f>
        <v>684048</v>
      </c>
      <c r="F149" s="10" t="n">
        <f aca="false">SUMIFS(Data!$E$2:$E$1006,Data!$A$2:$A$1006,$A149,Data!$B$2:$B$1006,$B149)</f>
        <v>67.609379</v>
      </c>
      <c r="G149" s="10" t="n">
        <f aca="false">SUMIFS(Data!$F$2:$F$1006,Data!$A$2:$A$1006,$A149,Data!$B$2:$B$1006,$B149)</f>
        <v>45.234368</v>
      </c>
      <c r="H149" s="10" t="n">
        <f aca="false">SUMIFS(Data!$G$2:$G$1006,Data!$A$2:$A$1006,$A149,Data!$B$2:$B$1006,$B149)</f>
        <v>49.288486</v>
      </c>
      <c r="I149" s="10" t="n">
        <f aca="false">SUMIFS(Data!$N$2:$N$1006,Data!$A$2:$A$1006,$A149,Data!$B$2:$B$1006,$B149)</f>
        <v>162.132233</v>
      </c>
      <c r="J149" s="10" t="n">
        <f aca="false">SUMIFS(Data!$H$2:$H$1006,Data!$A$2:$A$1006,$A149,Data!$B$2:$B$1006,$B149)</f>
        <v>75.867459</v>
      </c>
      <c r="K149" s="11" t="n">
        <f aca="false">IFERROR(F149*1000000/$E149,"")</f>
        <v>98.837185402194</v>
      </c>
      <c r="L149" s="11" t="n">
        <f aca="false">IFERROR(G149*1000000/$E149,"")</f>
        <v>66.1274764344023</v>
      </c>
      <c r="M149" s="11" t="n">
        <f aca="false">IFERROR(H149*1000000/$E149,"")</f>
        <v>72.0541336280495</v>
      </c>
      <c r="N149" s="11" t="n">
        <f aca="false">IFERROR(I149*1000000/$E149,"")</f>
        <v>237.018795464646</v>
      </c>
      <c r="O149" s="11" t="n">
        <f aca="false">IFERROR(J149*1000000/$E149,"")</f>
        <v>110.90955459266</v>
      </c>
      <c r="P149" s="16" t="n">
        <f aca="false">COUNTIFS($A$4:$A$1008,$A149,$N$4:$N$1008,"&gt;"&amp;N149)+1</f>
        <v>8</v>
      </c>
      <c r="Q149" s="16" t="n">
        <f aca="false">COUNTIFS($A$4:$A$1008,$A149,$O$4:$O$1008,"&gt;"&amp;O149)+1</f>
        <v>12</v>
      </c>
    </row>
    <row r="150" customFormat="false" ht="15" hidden="false" customHeight="false" outlineLevel="0" collapsed="false">
      <c r="A150" s="7" t="n">
        <v>2003</v>
      </c>
      <c r="B150" s="15" t="s">
        <v>150</v>
      </c>
      <c r="C150" s="15" t="s">
        <v>135</v>
      </c>
      <c r="D150" s="15" t="s">
        <v>141</v>
      </c>
      <c r="E150" s="9" t="n">
        <f aca="false">SUMIFS(Data!$L$2:$L$1006,Data!$A$2:$A$1006,$A150,Data!$B$2:$B$1006,$B150)</f>
        <v>437905</v>
      </c>
      <c r="F150" s="10" t="n">
        <f aca="false">SUMIFS(Data!$E$2:$E$1006,Data!$A$2:$A$1006,$A150,Data!$B$2:$B$1006,$B150)</f>
        <v>24.37943</v>
      </c>
      <c r="G150" s="10" t="n">
        <f aca="false">SUMIFS(Data!$F$2:$F$1006,Data!$A$2:$A$1006,$A150,Data!$B$2:$B$1006,$B150)</f>
        <v>18.861737</v>
      </c>
      <c r="H150" s="10" t="n">
        <f aca="false">SUMIFS(Data!$G$2:$G$1006,Data!$A$2:$A$1006,$A150,Data!$B$2:$B$1006,$B150)</f>
        <v>40.856936</v>
      </c>
      <c r="I150" s="10" t="n">
        <f aca="false">SUMIFS(Data!$N$2:$N$1006,Data!$A$2:$A$1006,$A150,Data!$B$2:$B$1006,$B150)</f>
        <v>84.098103</v>
      </c>
      <c r="J150" s="10" t="n">
        <f aca="false">SUMIFS(Data!$H$2:$H$1006,Data!$A$2:$A$1006,$A150,Data!$B$2:$B$1006,$B150)</f>
        <v>40.416108</v>
      </c>
      <c r="K150" s="11" t="n">
        <f aca="false">IFERROR(F150*1000000/$E150,"")</f>
        <v>55.6728742535481</v>
      </c>
      <c r="L150" s="11" t="n">
        <f aca="false">IFERROR(G150*1000000/$E150,"")</f>
        <v>43.072668729519</v>
      </c>
      <c r="M150" s="11" t="n">
        <f aca="false">IFERROR(H150*1000000/$E150,"")</f>
        <v>93.3009122983296</v>
      </c>
      <c r="N150" s="11" t="n">
        <f aca="false">IFERROR(I150*1000000/$E150,"")</f>
        <v>192.046455281397</v>
      </c>
      <c r="O150" s="11" t="n">
        <f aca="false">IFERROR(J150*1000000/$E150,"")</f>
        <v>92.2942373345817</v>
      </c>
      <c r="P150" s="16" t="n">
        <f aca="false">COUNTIFS($A$4:$A$1008,$A150,$N$4:$N$1008,"&gt;"&amp;N150)+1</f>
        <v>26</v>
      </c>
      <c r="Q150" s="16" t="n">
        <f aca="false">COUNTIFS($A$4:$A$1008,$A150,$O$4:$O$1008,"&gt;"&amp;O150)+1</f>
        <v>20</v>
      </c>
    </row>
    <row r="151" customFormat="false" ht="15" hidden="false" customHeight="false" outlineLevel="0" collapsed="false">
      <c r="A151" s="7" t="n">
        <v>2003</v>
      </c>
      <c r="B151" s="15" t="s">
        <v>151</v>
      </c>
      <c r="C151" s="15" t="s">
        <v>135</v>
      </c>
      <c r="D151" s="15" t="s">
        <v>136</v>
      </c>
      <c r="E151" s="9" t="n">
        <f aca="false">SUMIFS(Data!$L$2:$L$1006,Data!$A$2:$A$1006,$A151,Data!$B$2:$B$1006,$B151)</f>
        <v>1322813</v>
      </c>
      <c r="F151" s="10" t="n">
        <f aca="false">SUMIFS(Data!$E$2:$E$1006,Data!$A$2:$A$1006,$A151,Data!$B$2:$B$1006,$B151)</f>
        <v>91.179683</v>
      </c>
      <c r="G151" s="10" t="n">
        <f aca="false">SUMIFS(Data!$F$2:$F$1006,Data!$A$2:$A$1006,$A151,Data!$B$2:$B$1006,$B151)</f>
        <v>108.414056</v>
      </c>
      <c r="H151" s="10" t="n">
        <f aca="false">SUMIFS(Data!$G$2:$G$1006,Data!$A$2:$A$1006,$A151,Data!$B$2:$B$1006,$B151)</f>
        <v>70.910894</v>
      </c>
      <c r="I151" s="10" t="n">
        <f aca="false">SUMIFS(Data!$N$2:$N$1006,Data!$A$2:$A$1006,$A151,Data!$B$2:$B$1006,$B151)</f>
        <v>270.504633</v>
      </c>
      <c r="J151" s="10" t="n">
        <f aca="false">SUMIFS(Data!$H$2:$H$1006,Data!$A$2:$A$1006,$A151,Data!$B$2:$B$1006,$B151)</f>
        <v>122.431949</v>
      </c>
      <c r="K151" s="11" t="n">
        <f aca="false">IFERROR(F151*1000000/$E151,"")</f>
        <v>68.9286263440108</v>
      </c>
      <c r="L151" s="11" t="n">
        <f aca="false">IFERROR(G151*1000000/$E151,"")</f>
        <v>81.9572048354529</v>
      </c>
      <c r="M151" s="11" t="n">
        <f aca="false">IFERROR(H151*1000000/$E151,"")</f>
        <v>53.6061363170758</v>
      </c>
      <c r="N151" s="11" t="n">
        <f aca="false">IFERROR(I151*1000000/$E151,"")</f>
        <v>204.49196749654</v>
      </c>
      <c r="O151" s="11" t="n">
        <f aca="false">IFERROR(J151*1000000/$E151,"")</f>
        <v>92.5542378249987</v>
      </c>
      <c r="P151" s="16" t="n">
        <f aca="false">COUNTIFS($A$4:$A$1008,$A151,$N$4:$N$1008,"&gt;"&amp;N151)+1</f>
        <v>23</v>
      </c>
      <c r="Q151" s="16" t="n">
        <f aca="false">COUNTIFS($A$4:$A$1008,$A151,$O$4:$O$1008,"&gt;"&amp;O151)+1</f>
        <v>19</v>
      </c>
    </row>
    <row r="152" customFormat="false" ht="15" hidden="false" customHeight="false" outlineLevel="0" collapsed="false">
      <c r="A152" s="7" t="n">
        <v>2003</v>
      </c>
      <c r="B152" s="15" t="s">
        <v>152</v>
      </c>
      <c r="C152" s="15" t="s">
        <v>135</v>
      </c>
      <c r="D152" s="15" t="s">
        <v>148</v>
      </c>
      <c r="E152" s="9" t="n">
        <f aca="false">SUMIFS(Data!$L$2:$L$1006,Data!$A$2:$A$1006,$A152,Data!$B$2:$B$1006,$B152)</f>
        <v>233917</v>
      </c>
      <c r="F152" s="10" t="n">
        <f aca="false">SUMIFS(Data!$E$2:$E$1006,Data!$A$2:$A$1006,$A152,Data!$B$2:$B$1006,$B152)</f>
        <v>16.867097</v>
      </c>
      <c r="G152" s="10" t="n">
        <f aca="false">SUMIFS(Data!$F$2:$F$1006,Data!$A$2:$A$1006,$A152,Data!$B$2:$B$1006,$B152)</f>
        <v>18.182569</v>
      </c>
      <c r="H152" s="10" t="n">
        <f aca="false">SUMIFS(Data!$G$2:$G$1006,Data!$A$2:$A$1006,$A152,Data!$B$2:$B$1006,$B152)</f>
        <v>16.748021</v>
      </c>
      <c r="I152" s="10" t="n">
        <f aca="false">SUMIFS(Data!$N$2:$N$1006,Data!$A$2:$A$1006,$A152,Data!$B$2:$B$1006,$B152)</f>
        <v>51.797687</v>
      </c>
      <c r="J152" s="10" t="n">
        <f aca="false">SUMIFS(Data!$H$2:$H$1006,Data!$A$2:$A$1006,$A152,Data!$B$2:$B$1006,$B152)</f>
        <v>23.772271</v>
      </c>
      <c r="K152" s="11" t="n">
        <f aca="false">IFERROR(F152*1000000/$E152,"")</f>
        <v>72.1071875921801</v>
      </c>
      <c r="L152" s="11" t="n">
        <f aca="false">IFERROR(G152*1000000/$E152,"")</f>
        <v>77.7308575263876</v>
      </c>
      <c r="M152" s="11" t="n">
        <f aca="false">IFERROR(H152*1000000/$E152,"")</f>
        <v>71.5981352360025</v>
      </c>
      <c r="N152" s="11" t="n">
        <f aca="false">IFERROR(I152*1000000/$E152,"")</f>
        <v>221.43618035457</v>
      </c>
      <c r="O152" s="11" t="n">
        <f aca="false">IFERROR(J152*1000000/$E152,"")</f>
        <v>101.626948875028</v>
      </c>
      <c r="P152" s="16" t="n">
        <f aca="false">COUNTIFS($A$4:$A$1008,$A152,$N$4:$N$1008,"&gt;"&amp;N152)+1</f>
        <v>14</v>
      </c>
      <c r="Q152" s="16" t="n">
        <f aca="false">COUNTIFS($A$4:$A$1008,$A152,$O$4:$O$1008,"&gt;"&amp;O152)+1</f>
        <v>15</v>
      </c>
    </row>
    <row r="153" customFormat="false" ht="15" hidden="false" customHeight="false" outlineLevel="0" collapsed="false">
      <c r="A153" s="7" t="n">
        <v>2003</v>
      </c>
      <c r="B153" s="15" t="s">
        <v>153</v>
      </c>
      <c r="C153" s="15" t="s">
        <v>135</v>
      </c>
      <c r="D153" s="15" t="s">
        <v>136</v>
      </c>
      <c r="E153" s="9" t="n">
        <f aca="false">SUMIFS(Data!$L$2:$L$1006,Data!$A$2:$A$1006,$A153,Data!$B$2:$B$1006,$B153)</f>
        <v>127295</v>
      </c>
      <c r="F153" s="10" t="n">
        <f aca="false">SUMIFS(Data!$E$2:$E$1006,Data!$A$2:$A$1006,$A153,Data!$B$2:$B$1006,$B153)</f>
        <v>10.009428</v>
      </c>
      <c r="G153" s="10" t="n">
        <f aca="false">SUMIFS(Data!$F$2:$F$1006,Data!$A$2:$A$1006,$A153,Data!$B$2:$B$1006,$B153)</f>
        <v>12.705448</v>
      </c>
      <c r="H153" s="10" t="n">
        <f aca="false">SUMIFS(Data!$G$2:$G$1006,Data!$A$2:$A$1006,$A153,Data!$B$2:$B$1006,$B153)</f>
        <v>7.895518</v>
      </c>
      <c r="I153" s="10" t="n">
        <f aca="false">SUMIFS(Data!$N$2:$N$1006,Data!$A$2:$A$1006,$A153,Data!$B$2:$B$1006,$B153)</f>
        <v>30.610394</v>
      </c>
      <c r="J153" s="10" t="n">
        <f aca="false">SUMIFS(Data!$H$2:$H$1006,Data!$A$2:$A$1006,$A153,Data!$B$2:$B$1006,$B153)</f>
        <v>9.693251</v>
      </c>
      <c r="K153" s="11" t="n">
        <f aca="false">IFERROR(F153*1000000/$E153,"")</f>
        <v>78.6317451588829</v>
      </c>
      <c r="L153" s="11" t="n">
        <f aca="false">IFERROR(G153*1000000/$E153,"")</f>
        <v>99.8110530657135</v>
      </c>
      <c r="M153" s="11" t="n">
        <f aca="false">IFERROR(H153*1000000/$E153,"")</f>
        <v>62.0253584194195</v>
      </c>
      <c r="N153" s="11" t="n">
        <f aca="false">IFERROR(I153*1000000/$E153,"")</f>
        <v>240.468156644016</v>
      </c>
      <c r="O153" s="11" t="n">
        <f aca="false">IFERROR(J153*1000000/$E153,"")</f>
        <v>76.1479319690483</v>
      </c>
      <c r="P153" s="16" t="n">
        <f aca="false">COUNTIFS($A$4:$A$1008,$A153,$N$4:$N$1008,"&gt;"&amp;N153)+1</f>
        <v>7</v>
      </c>
      <c r="Q153" s="16" t="n">
        <f aca="false">COUNTIFS($A$4:$A$1008,$A153,$O$4:$O$1008,"&gt;"&amp;O153)+1</f>
        <v>31</v>
      </c>
    </row>
    <row r="154" customFormat="false" ht="15" hidden="false" customHeight="false" outlineLevel="0" collapsed="false">
      <c r="A154" s="7" t="n">
        <v>2003</v>
      </c>
      <c r="B154" s="15" t="s">
        <v>154</v>
      </c>
      <c r="C154" s="15" t="s">
        <v>135</v>
      </c>
      <c r="D154" s="15" t="s">
        <v>141</v>
      </c>
      <c r="E154" s="9" t="n">
        <f aca="false">SUMIFS(Data!$L$2:$L$1006,Data!$A$2:$A$1006,$A154,Data!$B$2:$B$1006,$B154)</f>
        <v>134247</v>
      </c>
      <c r="F154" s="10" t="n">
        <f aca="false">SUMIFS(Data!$E$2:$E$1006,Data!$A$2:$A$1006,$A154,Data!$B$2:$B$1006,$B154)</f>
        <v>9.13296</v>
      </c>
      <c r="G154" s="10" t="n">
        <f aca="false">SUMIFS(Data!$F$2:$F$1006,Data!$A$2:$A$1006,$A154,Data!$B$2:$B$1006,$B154)</f>
        <v>4.288734</v>
      </c>
      <c r="H154" s="10" t="n">
        <f aca="false">SUMIFS(Data!$G$2:$G$1006,Data!$A$2:$A$1006,$A154,Data!$B$2:$B$1006,$B154)</f>
        <v>9.730335</v>
      </c>
      <c r="I154" s="10" t="n">
        <f aca="false">SUMIFS(Data!$N$2:$N$1006,Data!$A$2:$A$1006,$A154,Data!$B$2:$B$1006,$B154)</f>
        <v>23.152029</v>
      </c>
      <c r="J154" s="10" t="n">
        <f aca="false">SUMIFS(Data!$H$2:$H$1006,Data!$A$2:$A$1006,$A154,Data!$B$2:$B$1006,$B154)</f>
        <v>15.135928</v>
      </c>
      <c r="K154" s="11" t="n">
        <f aca="false">IFERROR(F154*1000000/$E154,"")</f>
        <v>68.031017452904</v>
      </c>
      <c r="L154" s="11" t="n">
        <f aca="false">IFERROR(G154*1000000/$E154,"")</f>
        <v>31.9465909852734</v>
      </c>
      <c r="M154" s="11" t="n">
        <f aca="false">IFERROR(H154*1000000/$E154,"")</f>
        <v>72.4808375606159</v>
      </c>
      <c r="N154" s="11" t="n">
        <f aca="false">IFERROR(I154*1000000/$E154,"")</f>
        <v>172.458445998793</v>
      </c>
      <c r="O154" s="11" t="n">
        <f aca="false">IFERROR(J154*1000000/$E154,"")</f>
        <v>112.746862127273</v>
      </c>
      <c r="P154" s="16" t="n">
        <f aca="false">COUNTIFS($A$4:$A$1008,$A154,$N$4:$N$1008,"&gt;"&amp;N154)+1</f>
        <v>31</v>
      </c>
      <c r="Q154" s="16" t="n">
        <f aca="false">COUNTIFS($A$4:$A$1008,$A154,$O$4:$O$1008,"&gt;"&amp;O154)+1</f>
        <v>11</v>
      </c>
    </row>
    <row r="155" customFormat="false" ht="15" hidden="false" customHeight="false" outlineLevel="0" collapsed="false">
      <c r="A155" s="7" t="n">
        <v>2003</v>
      </c>
      <c r="B155" s="15" t="s">
        <v>155</v>
      </c>
      <c r="C155" s="15" t="s">
        <v>135</v>
      </c>
      <c r="D155" s="15" t="s">
        <v>148</v>
      </c>
      <c r="E155" s="9" t="n">
        <f aca="false">SUMIFS(Data!$L$2:$L$1006,Data!$A$2:$A$1006,$A155,Data!$B$2:$B$1006,$B155)</f>
        <v>1060679</v>
      </c>
      <c r="F155" s="10" t="n">
        <f aca="false">SUMIFS(Data!$E$2:$E$1006,Data!$A$2:$A$1006,$A155,Data!$B$2:$B$1006,$B155)</f>
        <v>72.423717</v>
      </c>
      <c r="G155" s="10" t="n">
        <f aca="false">SUMIFS(Data!$F$2:$F$1006,Data!$A$2:$A$1006,$A155,Data!$B$2:$B$1006,$B155)</f>
        <v>70.823183</v>
      </c>
      <c r="H155" s="10" t="n">
        <f aca="false">SUMIFS(Data!$G$2:$G$1006,Data!$A$2:$A$1006,$A155,Data!$B$2:$B$1006,$B155)</f>
        <v>79.874314</v>
      </c>
      <c r="I155" s="10" t="n">
        <f aca="false">SUMIFS(Data!$N$2:$N$1006,Data!$A$2:$A$1006,$A155,Data!$B$2:$B$1006,$B155)</f>
        <v>223.121214</v>
      </c>
      <c r="J155" s="10" t="n">
        <f aca="false">SUMIFS(Data!$H$2:$H$1006,Data!$A$2:$A$1006,$A155,Data!$B$2:$B$1006,$B155)</f>
        <v>176.693647</v>
      </c>
      <c r="K155" s="11" t="n">
        <f aca="false">IFERROR(F155*1000000/$E155,"")</f>
        <v>68.2805231365946</v>
      </c>
      <c r="L155" s="11" t="n">
        <f aca="false">IFERROR(G155*1000000/$E155,"")</f>
        <v>66.7715519964098</v>
      </c>
      <c r="M155" s="11" t="n">
        <f aca="false">IFERROR(H155*1000000/$E155,"")</f>
        <v>75.3048886609427</v>
      </c>
      <c r="N155" s="11" t="n">
        <f aca="false">IFERROR(I155*1000000/$E155,"")</f>
        <v>210.356963793947</v>
      </c>
      <c r="O155" s="11" t="n">
        <f aca="false">IFERROR(J155*1000000/$E155,"")</f>
        <v>166.585410854745</v>
      </c>
      <c r="P155" s="16" t="n">
        <f aca="false">COUNTIFS($A$4:$A$1008,$A155,$N$4:$N$1008,"&gt;"&amp;N155)+1</f>
        <v>20</v>
      </c>
      <c r="Q155" s="16" t="n">
        <f aca="false">COUNTIFS($A$4:$A$1008,$A155,$O$4:$O$1008,"&gt;"&amp;O155)+1</f>
        <v>5</v>
      </c>
    </row>
    <row r="156" customFormat="false" ht="15" hidden="false" customHeight="false" outlineLevel="0" collapsed="false">
      <c r="A156" s="7" t="n">
        <v>2003</v>
      </c>
      <c r="B156" s="15" t="s">
        <v>156</v>
      </c>
      <c r="C156" s="15" t="s">
        <v>135</v>
      </c>
      <c r="D156" s="15" t="s">
        <v>148</v>
      </c>
      <c r="E156" s="9" t="n">
        <f aca="false">SUMIFS(Data!$L$2:$L$1006,Data!$A$2:$A$1006,$A156,Data!$B$2:$B$1006,$B156)</f>
        <v>424438</v>
      </c>
      <c r="F156" s="10" t="n">
        <f aca="false">SUMIFS(Data!$E$2:$E$1006,Data!$A$2:$A$1006,$A156,Data!$B$2:$B$1006,$B156)</f>
        <v>26.331707</v>
      </c>
      <c r="G156" s="10" t="n">
        <f aca="false">SUMIFS(Data!$F$2:$F$1006,Data!$A$2:$A$1006,$A156,Data!$B$2:$B$1006,$B156)</f>
        <v>52.376304</v>
      </c>
      <c r="H156" s="10" t="n">
        <f aca="false">SUMIFS(Data!$G$2:$G$1006,Data!$A$2:$A$1006,$A156,Data!$B$2:$B$1006,$B156)</f>
        <v>31.798305</v>
      </c>
      <c r="I156" s="10" t="n">
        <f aca="false">SUMIFS(Data!$N$2:$N$1006,Data!$A$2:$A$1006,$A156,Data!$B$2:$B$1006,$B156)</f>
        <v>110.506316</v>
      </c>
      <c r="J156" s="10" t="n">
        <f aca="false">SUMIFS(Data!$H$2:$H$1006,Data!$A$2:$A$1006,$A156,Data!$B$2:$B$1006,$B156)</f>
        <v>91.035575</v>
      </c>
      <c r="K156" s="11" t="n">
        <f aca="false">IFERROR(F156*1000000/$E156,"")</f>
        <v>62.0389950946899</v>
      </c>
      <c r="L156" s="11" t="n">
        <f aca="false">IFERROR(G156*1000000/$E156,"")</f>
        <v>123.401542745937</v>
      </c>
      <c r="M156" s="11" t="n">
        <f aca="false">IFERROR(H156*1000000/$E156,"")</f>
        <v>74.9186100207804</v>
      </c>
      <c r="N156" s="11" t="n">
        <f aca="false">IFERROR(I156*1000000/$E156,"")</f>
        <v>260.359147861407</v>
      </c>
      <c r="O156" s="11" t="n">
        <f aca="false">IFERROR(J156*1000000/$E156,"")</f>
        <v>214.484977782385</v>
      </c>
      <c r="P156" s="16" t="n">
        <f aca="false">COUNTIFS($A$4:$A$1008,$A156,$N$4:$N$1008,"&gt;"&amp;N156)+1</f>
        <v>4</v>
      </c>
      <c r="Q156" s="16" t="n">
        <f aca="false">COUNTIFS($A$4:$A$1008,$A156,$O$4:$O$1008,"&gt;"&amp;O156)+1</f>
        <v>3</v>
      </c>
    </row>
    <row r="157" customFormat="false" ht="15" hidden="false" customHeight="false" outlineLevel="0" collapsed="false">
      <c r="A157" s="7" t="n">
        <v>2003</v>
      </c>
      <c r="B157" s="15" t="s">
        <v>157</v>
      </c>
      <c r="C157" s="15" t="s">
        <v>135</v>
      </c>
      <c r="D157" s="15" t="s">
        <v>148</v>
      </c>
      <c r="E157" s="9" t="n">
        <f aca="false">SUMIFS(Data!$L$2:$L$1006,Data!$A$2:$A$1006,$A157,Data!$B$2:$B$1006,$B157)</f>
        <v>410629</v>
      </c>
      <c r="F157" s="10" t="n">
        <f aca="false">SUMIFS(Data!$E$2:$E$1006,Data!$A$2:$A$1006,$A157,Data!$B$2:$B$1006,$B157)</f>
        <v>36.574873</v>
      </c>
      <c r="G157" s="10" t="n">
        <f aca="false">SUMIFS(Data!$F$2:$F$1006,Data!$A$2:$A$1006,$A157,Data!$B$2:$B$1006,$B157)</f>
        <v>33.49812</v>
      </c>
      <c r="H157" s="10" t="n">
        <f aca="false">SUMIFS(Data!$G$2:$G$1006,Data!$A$2:$A$1006,$A157,Data!$B$2:$B$1006,$B157)</f>
        <v>21.912784</v>
      </c>
      <c r="I157" s="10" t="n">
        <f aca="false">SUMIFS(Data!$N$2:$N$1006,Data!$A$2:$A$1006,$A157,Data!$B$2:$B$1006,$B157)</f>
        <v>91.985777</v>
      </c>
      <c r="J157" s="10" t="n">
        <f aca="false">SUMIFS(Data!$H$2:$H$1006,Data!$A$2:$A$1006,$A157,Data!$B$2:$B$1006,$B157)</f>
        <v>49.642474</v>
      </c>
      <c r="K157" s="11" t="n">
        <f aca="false">IFERROR(F157*1000000/$E157,"")</f>
        <v>89.07036034961</v>
      </c>
      <c r="L157" s="11" t="n">
        <f aca="false">IFERROR(G157*1000000/$E157,"")</f>
        <v>81.5775797617801</v>
      </c>
      <c r="M157" s="11" t="n">
        <f aca="false">IFERROR(H157*1000000/$E157,"")</f>
        <v>53.3639465308101</v>
      </c>
      <c r="N157" s="11" t="n">
        <f aca="false">IFERROR(I157*1000000/$E157,"")</f>
        <v>224.0118866422</v>
      </c>
      <c r="O157" s="11" t="n">
        <f aca="false">IFERROR(J157*1000000/$E157,"")</f>
        <v>120.893736194959</v>
      </c>
      <c r="P157" s="16" t="n">
        <f aca="false">COUNTIFS($A$4:$A$1008,$A157,$N$4:$N$1008,"&gt;"&amp;N157)+1</f>
        <v>13</v>
      </c>
      <c r="Q157" s="16" t="n">
        <f aca="false">COUNTIFS($A$4:$A$1008,$A157,$O$4:$O$1008,"&gt;"&amp;O157)+1</f>
        <v>11</v>
      </c>
    </row>
    <row r="158" customFormat="false" ht="15" hidden="false" customHeight="false" outlineLevel="0" collapsed="false">
      <c r="A158" s="7" t="n">
        <v>2004</v>
      </c>
      <c r="B158" s="15" t="s">
        <v>101</v>
      </c>
      <c r="C158" s="15" t="s">
        <v>102</v>
      </c>
      <c r="D158" s="15" t="s">
        <v>103</v>
      </c>
      <c r="E158" s="9" t="n">
        <f aca="false">SUMIFS(Data!$L$2:$L$1006,Data!$A$2:$A$1006,$A158,Data!$B$2:$B$1006,$B158)</f>
        <v>753315</v>
      </c>
      <c r="F158" s="10" t="n">
        <f aca="false">SUMIFS(Data!$E$2:$E$1006,Data!$A$2:$A$1006,$A158,Data!$B$2:$B$1006,$B158)</f>
        <v>41.35222</v>
      </c>
      <c r="G158" s="10" t="n">
        <f aca="false">SUMIFS(Data!$F$2:$F$1006,Data!$A$2:$A$1006,$A158,Data!$B$2:$B$1006,$B158)</f>
        <v>27.202062</v>
      </c>
      <c r="H158" s="10" t="n">
        <f aca="false">SUMIFS(Data!$G$2:$G$1006,Data!$A$2:$A$1006,$A158,Data!$B$2:$B$1006,$B158)</f>
        <v>44.137398</v>
      </c>
      <c r="I158" s="10" t="n">
        <f aca="false">SUMIFS(Data!$N$2:$N$1006,Data!$A$2:$A$1006,$A158,Data!$B$2:$B$1006,$B158)</f>
        <v>112.69168</v>
      </c>
      <c r="J158" s="10" t="n">
        <f aca="false">SUMIFS(Data!$H$2:$H$1006,Data!$A$2:$A$1006,$A158,Data!$B$2:$B$1006,$B158)</f>
        <v>54.075849</v>
      </c>
      <c r="K158" s="11" t="n">
        <f aca="false">IFERROR(F158*1000000/$E158,"")</f>
        <v>54.8936633413645</v>
      </c>
      <c r="L158" s="11" t="n">
        <f aca="false">IFERROR(G158*1000000/$E158,"")</f>
        <v>36.1098106369845</v>
      </c>
      <c r="M158" s="11" t="n">
        <f aca="false">IFERROR(H158*1000000/$E158,"")</f>
        <v>58.5908922562275</v>
      </c>
      <c r="N158" s="11" t="n">
        <f aca="false">IFERROR(I158*1000000/$E158,"")</f>
        <v>149.594366234576</v>
      </c>
      <c r="O158" s="11" t="n">
        <f aca="false">IFERROR(J158*1000000/$E158,"")</f>
        <v>71.7838473945162</v>
      </c>
      <c r="P158" s="16" t="n">
        <f aca="false">COUNTIFS($A$4:$A$1008,$A158,$N$4:$N$1008,"&gt;"&amp;N158)+1</f>
        <v>36</v>
      </c>
      <c r="Q158" s="16" t="n">
        <f aca="false">COUNTIFS($A$4:$A$1008,$A158,$O$4:$O$1008,"&gt;"&amp;O158)+1</f>
        <v>35</v>
      </c>
    </row>
    <row r="159" customFormat="false" ht="15" hidden="false" customHeight="false" outlineLevel="0" collapsed="false">
      <c r="A159" s="7" t="n">
        <v>2004</v>
      </c>
      <c r="B159" s="15" t="s">
        <v>104</v>
      </c>
      <c r="C159" s="15" t="s">
        <v>102</v>
      </c>
      <c r="D159" s="15" t="s">
        <v>105</v>
      </c>
      <c r="E159" s="9" t="n">
        <f aca="false">SUMIFS(Data!$L$2:$L$1006,Data!$A$2:$A$1006,$A159,Data!$B$2:$B$1006,$B159)</f>
        <v>1054959</v>
      </c>
      <c r="F159" s="10" t="n">
        <f aca="false">SUMIFS(Data!$E$2:$E$1006,Data!$A$2:$A$1006,$A159,Data!$B$2:$B$1006,$B159)</f>
        <v>114.992616</v>
      </c>
      <c r="G159" s="10" t="n">
        <f aca="false">SUMIFS(Data!$F$2:$F$1006,Data!$A$2:$A$1006,$A159,Data!$B$2:$B$1006,$B159)</f>
        <v>114.635347</v>
      </c>
      <c r="H159" s="10" t="n">
        <f aca="false">SUMIFS(Data!$G$2:$G$1006,Data!$A$2:$A$1006,$A159,Data!$B$2:$B$1006,$B159)</f>
        <v>48.829156</v>
      </c>
      <c r="I159" s="10" t="n">
        <f aca="false">SUMIFS(Data!$N$2:$N$1006,Data!$A$2:$A$1006,$A159,Data!$B$2:$B$1006,$B159)</f>
        <v>278.457119</v>
      </c>
      <c r="J159" s="10" t="n">
        <f aca="false">SUMIFS(Data!$H$2:$H$1006,Data!$A$2:$A$1006,$A159,Data!$B$2:$B$1006,$B159)</f>
        <v>116.516179</v>
      </c>
      <c r="K159" s="11" t="n">
        <f aca="false">IFERROR(F159*1000000/$E159,"")</f>
        <v>109.001976380125</v>
      </c>
      <c r="L159" s="11" t="n">
        <f aca="false">IFERROR(G159*1000000/$E159,"")</f>
        <v>108.66331961716</v>
      </c>
      <c r="M159" s="11" t="n">
        <f aca="false">IFERROR(H159*1000000/$E159,"")</f>
        <v>46.285358957078</v>
      </c>
      <c r="N159" s="11" t="n">
        <f aca="false">IFERROR(I159*1000000/$E159,"")</f>
        <v>263.950654954363</v>
      </c>
      <c r="O159" s="11" t="n">
        <f aca="false">IFERROR(J159*1000000/$E159,"")</f>
        <v>110.446168050133</v>
      </c>
      <c r="P159" s="16" t="n">
        <f aca="false">COUNTIFS($A$4:$A$1008,$A159,$N$4:$N$1008,"&gt;"&amp;N159)+1</f>
        <v>3</v>
      </c>
      <c r="Q159" s="16" t="n">
        <f aca="false">COUNTIFS($A$4:$A$1008,$A159,$O$4:$O$1008,"&gt;"&amp;O159)+1</f>
        <v>17</v>
      </c>
    </row>
    <row r="160" customFormat="false" ht="15" hidden="false" customHeight="false" outlineLevel="0" collapsed="false">
      <c r="A160" s="7" t="n">
        <v>2004</v>
      </c>
      <c r="B160" s="15" t="s">
        <v>106</v>
      </c>
      <c r="C160" s="15" t="s">
        <v>102</v>
      </c>
      <c r="D160" s="15" t="s">
        <v>107</v>
      </c>
      <c r="E160" s="9" t="n">
        <f aca="false">SUMIFS(Data!$L$2:$L$1006,Data!$A$2:$A$1006,$A160,Data!$B$2:$B$1006,$B160)</f>
        <v>520687</v>
      </c>
      <c r="F160" s="10" t="n">
        <f aca="false">SUMIFS(Data!$E$2:$E$1006,Data!$A$2:$A$1006,$A160,Data!$B$2:$B$1006,$B160)</f>
        <v>41.245477</v>
      </c>
      <c r="G160" s="10" t="n">
        <f aca="false">SUMIFS(Data!$F$2:$F$1006,Data!$A$2:$A$1006,$A160,Data!$B$2:$B$1006,$B160)</f>
        <v>26.697829</v>
      </c>
      <c r="H160" s="10" t="n">
        <f aca="false">SUMIFS(Data!$G$2:$G$1006,Data!$A$2:$A$1006,$A160,Data!$B$2:$B$1006,$B160)</f>
        <v>25.148946</v>
      </c>
      <c r="I160" s="10" t="n">
        <f aca="false">SUMIFS(Data!$N$2:$N$1006,Data!$A$2:$A$1006,$A160,Data!$B$2:$B$1006,$B160)</f>
        <v>93.092252</v>
      </c>
      <c r="J160" s="10" t="n">
        <f aca="false">SUMIFS(Data!$H$2:$H$1006,Data!$A$2:$A$1006,$A160,Data!$B$2:$B$1006,$B160)</f>
        <v>48.168135</v>
      </c>
      <c r="K160" s="11" t="n">
        <f aca="false">IFERROR(F160*1000000/$E160,"")</f>
        <v>79.2135716851007</v>
      </c>
      <c r="L160" s="11" t="n">
        <f aca="false">IFERROR(G160*1000000/$E160,"")</f>
        <v>51.2742376898213</v>
      </c>
      <c r="M160" s="11" t="n">
        <f aca="false">IFERROR(H160*1000000/$E160,"")</f>
        <v>48.2995465606017</v>
      </c>
      <c r="N160" s="11" t="n">
        <f aca="false">IFERROR(I160*1000000/$E160,"")</f>
        <v>178.787355935524</v>
      </c>
      <c r="O160" s="11" t="n">
        <f aca="false">IFERROR(J160*1000000/$E160,"")</f>
        <v>92.5088104753912</v>
      </c>
      <c r="P160" s="16" t="n">
        <f aca="false">COUNTIFS($A$4:$A$1008,$A160,$N$4:$N$1008,"&gt;"&amp;N160)+1</f>
        <v>29</v>
      </c>
      <c r="Q160" s="16" t="n">
        <f aca="false">COUNTIFS($A$4:$A$1008,$A160,$O$4:$O$1008,"&gt;"&amp;O160)+1</f>
        <v>27</v>
      </c>
    </row>
    <row r="161" customFormat="false" ht="15" hidden="false" customHeight="false" outlineLevel="0" collapsed="false">
      <c r="A161" s="7" t="n">
        <v>2004</v>
      </c>
      <c r="B161" s="15" t="s">
        <v>108</v>
      </c>
      <c r="C161" s="15" t="s">
        <v>102</v>
      </c>
      <c r="D161" s="15" t="s">
        <v>109</v>
      </c>
      <c r="E161" s="9" t="n">
        <f aca="false">SUMIFS(Data!$L$2:$L$1006,Data!$A$2:$A$1006,$A161,Data!$B$2:$B$1006,$B161)</f>
        <v>397679</v>
      </c>
      <c r="F161" s="10" t="n">
        <f aca="false">SUMIFS(Data!$E$2:$E$1006,Data!$A$2:$A$1006,$A161,Data!$B$2:$B$1006,$B161)</f>
        <v>36.706485</v>
      </c>
      <c r="G161" s="10" t="n">
        <f aca="false">SUMIFS(Data!$F$2:$F$1006,Data!$A$2:$A$1006,$A161,Data!$B$2:$B$1006,$B161)</f>
        <v>11.143442</v>
      </c>
      <c r="H161" s="10" t="n">
        <f aca="false">SUMIFS(Data!$G$2:$G$1006,Data!$A$2:$A$1006,$A161,Data!$B$2:$B$1006,$B161)</f>
        <v>23.20201</v>
      </c>
      <c r="I161" s="10" t="n">
        <f aca="false">SUMIFS(Data!$N$2:$N$1006,Data!$A$2:$A$1006,$A161,Data!$B$2:$B$1006,$B161)</f>
        <v>71.051937</v>
      </c>
      <c r="J161" s="10" t="n">
        <f aca="false">SUMIFS(Data!$H$2:$H$1006,Data!$A$2:$A$1006,$A161,Data!$B$2:$B$1006,$B161)</f>
        <v>39.156748</v>
      </c>
      <c r="K161" s="11" t="n">
        <f aca="false">IFERROR(F161*1000000/$E161,"")</f>
        <v>92.3017936576988</v>
      </c>
      <c r="L161" s="11" t="n">
        <f aca="false">IFERROR(G161*1000000/$E161,"")</f>
        <v>28.0211980014031</v>
      </c>
      <c r="M161" s="11" t="n">
        <f aca="false">IFERROR(H161*1000000/$E161,"")</f>
        <v>58.3435635273676</v>
      </c>
      <c r="N161" s="11" t="n">
        <f aca="false">IFERROR(I161*1000000/$E161,"")</f>
        <v>178.66655518647</v>
      </c>
      <c r="O161" s="11" t="n">
        <f aca="false">IFERROR(J161*1000000/$E161,"")</f>
        <v>98.4632027338632</v>
      </c>
      <c r="P161" s="16" t="n">
        <f aca="false">COUNTIFS($A$4:$A$1008,$A161,$N$4:$N$1008,"&gt;"&amp;N161)+1</f>
        <v>30</v>
      </c>
      <c r="Q161" s="16" t="n">
        <f aca="false">COUNTIFS($A$4:$A$1008,$A161,$O$4:$O$1008,"&gt;"&amp;O161)+1</f>
        <v>22</v>
      </c>
    </row>
    <row r="162" customFormat="false" ht="15" hidden="false" customHeight="false" outlineLevel="0" collapsed="false">
      <c r="A162" s="7" t="n">
        <v>2004</v>
      </c>
      <c r="B162" s="15" t="s">
        <v>110</v>
      </c>
      <c r="C162" s="15" t="s">
        <v>102</v>
      </c>
      <c r="D162" s="15" t="s">
        <v>103</v>
      </c>
      <c r="E162" s="9" t="n">
        <f aca="false">SUMIFS(Data!$L$2:$L$1006,Data!$A$2:$A$1006,$A162,Data!$B$2:$B$1006,$B162)</f>
        <v>1023509</v>
      </c>
      <c r="F162" s="10" t="n">
        <f aca="false">SUMIFS(Data!$E$2:$E$1006,Data!$A$2:$A$1006,$A162,Data!$B$2:$B$1006,$B162)</f>
        <v>56.634001</v>
      </c>
      <c r="G162" s="10" t="n">
        <f aca="false">SUMIFS(Data!$F$2:$F$1006,Data!$A$2:$A$1006,$A162,Data!$B$2:$B$1006,$B162)</f>
        <v>28.940185</v>
      </c>
      <c r="H162" s="10" t="n">
        <f aca="false">SUMIFS(Data!$G$2:$G$1006,Data!$A$2:$A$1006,$A162,Data!$B$2:$B$1006,$B162)</f>
        <v>35.823833</v>
      </c>
      <c r="I162" s="10" t="n">
        <f aca="false">SUMIFS(Data!$N$2:$N$1006,Data!$A$2:$A$1006,$A162,Data!$B$2:$B$1006,$B162)</f>
        <v>121.398019</v>
      </c>
      <c r="J162" s="10" t="n">
        <f aca="false">SUMIFS(Data!$H$2:$H$1006,Data!$A$2:$A$1006,$A162,Data!$B$2:$B$1006,$B162)</f>
        <v>57.346892</v>
      </c>
      <c r="K162" s="11" t="n">
        <f aca="false">IFERROR(F162*1000000/$E162,"")</f>
        <v>55.3331734259298</v>
      </c>
      <c r="L162" s="11" t="n">
        <f aca="false">IFERROR(G162*1000000/$E162,"")</f>
        <v>28.2754572749238</v>
      </c>
      <c r="M162" s="11" t="n">
        <f aca="false">IFERROR(H162*1000000/$E162,"")</f>
        <v>35.0009946175363</v>
      </c>
      <c r="N162" s="11" t="n">
        <f aca="false">IFERROR(I162*1000000/$E162,"")</f>
        <v>118.60962531839</v>
      </c>
      <c r="O162" s="11" t="n">
        <f aca="false">IFERROR(J162*1000000/$E162,"")</f>
        <v>56.0296900173814</v>
      </c>
      <c r="P162" s="16" t="n">
        <f aca="false">COUNTIFS($A$4:$A$1008,$A162,$N$4:$N$1008,"&gt;"&amp;N162)+1</f>
        <v>38</v>
      </c>
      <c r="Q162" s="16" t="n">
        <f aca="false">COUNTIFS($A$4:$A$1008,$A162,$O$4:$O$1008,"&gt;"&amp;O162)+1</f>
        <v>38</v>
      </c>
    </row>
    <row r="163" customFormat="false" ht="15" hidden="false" customHeight="false" outlineLevel="0" collapsed="false">
      <c r="A163" s="7" t="n">
        <v>2004</v>
      </c>
      <c r="B163" s="15" t="s">
        <v>111</v>
      </c>
      <c r="C163" s="15" t="s">
        <v>102</v>
      </c>
      <c r="D163" s="15" t="s">
        <v>107</v>
      </c>
      <c r="E163" s="9" t="n">
        <f aca="false">SUMIFS(Data!$L$2:$L$1006,Data!$A$2:$A$1006,$A163,Data!$B$2:$B$1006,$B163)</f>
        <v>585658</v>
      </c>
      <c r="F163" s="10" t="n">
        <f aca="false">SUMIFS(Data!$E$2:$E$1006,Data!$A$2:$A$1006,$A163,Data!$B$2:$B$1006,$B163)</f>
        <v>50.656719</v>
      </c>
      <c r="G163" s="10" t="n">
        <f aca="false">SUMIFS(Data!$F$2:$F$1006,Data!$A$2:$A$1006,$A163,Data!$B$2:$B$1006,$B163)</f>
        <v>31.955049</v>
      </c>
      <c r="H163" s="10" t="n">
        <f aca="false">SUMIFS(Data!$G$2:$G$1006,Data!$A$2:$A$1006,$A163,Data!$B$2:$B$1006,$B163)</f>
        <v>34.131462</v>
      </c>
      <c r="I163" s="10" t="n">
        <f aca="false">SUMIFS(Data!$N$2:$N$1006,Data!$A$2:$A$1006,$A163,Data!$B$2:$B$1006,$B163)</f>
        <v>116.74323</v>
      </c>
      <c r="J163" s="10" t="n">
        <f aca="false">SUMIFS(Data!$H$2:$H$1006,Data!$A$2:$A$1006,$A163,Data!$B$2:$B$1006,$B163)</f>
        <v>50.41922</v>
      </c>
      <c r="K163" s="11" t="n">
        <f aca="false">IFERROR(F163*1000000/$E163,"")</f>
        <v>86.4953932158359</v>
      </c>
      <c r="L163" s="11" t="n">
        <f aca="false">IFERROR(G163*1000000/$E163,"")</f>
        <v>54.5626440687227</v>
      </c>
      <c r="M163" s="11" t="n">
        <f aca="false">IFERROR(H163*1000000/$E163,"")</f>
        <v>58.2788282581302</v>
      </c>
      <c r="N163" s="11" t="n">
        <f aca="false">IFERROR(I163*1000000/$E163,"")</f>
        <v>199.336865542689</v>
      </c>
      <c r="O163" s="11" t="n">
        <f aca="false">IFERROR(J163*1000000/$E163,"")</f>
        <v>86.089868148305</v>
      </c>
      <c r="P163" s="16" t="n">
        <f aca="false">COUNTIFS($A$4:$A$1008,$A163,$N$4:$N$1008,"&gt;"&amp;N163)+1</f>
        <v>23</v>
      </c>
      <c r="Q163" s="16" t="n">
        <f aca="false">COUNTIFS($A$4:$A$1008,$A163,$O$4:$O$1008,"&gt;"&amp;O163)+1</f>
        <v>31</v>
      </c>
    </row>
    <row r="164" customFormat="false" ht="15" hidden="false" customHeight="false" outlineLevel="0" collapsed="false">
      <c r="A164" s="7" t="n">
        <v>2004</v>
      </c>
      <c r="B164" s="15" t="s">
        <v>112</v>
      </c>
      <c r="C164" s="15" t="s">
        <v>102</v>
      </c>
      <c r="D164" s="15" t="s">
        <v>107</v>
      </c>
      <c r="E164" s="9" t="n">
        <f aca="false">SUMIFS(Data!$L$2:$L$1006,Data!$A$2:$A$1006,$A164,Data!$B$2:$B$1006,$B164)</f>
        <v>156499</v>
      </c>
      <c r="F164" s="10" t="n">
        <f aca="false">SUMIFS(Data!$E$2:$E$1006,Data!$A$2:$A$1006,$A164,Data!$B$2:$B$1006,$B164)</f>
        <v>8.729951</v>
      </c>
      <c r="G164" s="10" t="n">
        <f aca="false">SUMIFS(Data!$F$2:$F$1006,Data!$A$2:$A$1006,$A164,Data!$B$2:$B$1006,$B164)</f>
        <v>6.437959</v>
      </c>
      <c r="H164" s="10" t="n">
        <f aca="false">SUMIFS(Data!$G$2:$G$1006,Data!$A$2:$A$1006,$A164,Data!$B$2:$B$1006,$B164)</f>
        <v>7.342615</v>
      </c>
      <c r="I164" s="10" t="n">
        <f aca="false">SUMIFS(Data!$N$2:$N$1006,Data!$A$2:$A$1006,$A164,Data!$B$2:$B$1006,$B164)</f>
        <v>22.510525</v>
      </c>
      <c r="J164" s="10" t="n">
        <f aca="false">SUMIFS(Data!$H$2:$H$1006,Data!$A$2:$A$1006,$A164,Data!$B$2:$B$1006,$B164)</f>
        <v>15.134883</v>
      </c>
      <c r="K164" s="11" t="n">
        <f aca="false">IFERROR(F164*1000000/$E164,"")</f>
        <v>55.7827909443511</v>
      </c>
      <c r="L164" s="11" t="n">
        <f aca="false">IFERROR(G164*1000000/$E164,"")</f>
        <v>41.1373810695276</v>
      </c>
      <c r="M164" s="11" t="n">
        <f aca="false">IFERROR(H164*1000000/$E164,"")</f>
        <v>46.9179675269491</v>
      </c>
      <c r="N164" s="11" t="n">
        <f aca="false">IFERROR(I164*1000000/$E164,"")</f>
        <v>143.838139540828</v>
      </c>
      <c r="O164" s="11" t="n">
        <f aca="false">IFERROR(J164*1000000/$E164,"")</f>
        <v>96.7091355216327</v>
      </c>
      <c r="P164" s="16" t="n">
        <f aca="false">COUNTIFS($A$4:$A$1008,$A164,$N$4:$N$1008,"&gt;"&amp;N164)+1</f>
        <v>37</v>
      </c>
      <c r="Q164" s="16" t="n">
        <f aca="false">COUNTIFS($A$4:$A$1008,$A164,$O$4:$O$1008,"&gt;"&amp;O164)+1</f>
        <v>25</v>
      </c>
    </row>
    <row r="165" customFormat="false" ht="15" hidden="false" customHeight="false" outlineLevel="0" collapsed="false">
      <c r="A165" s="7" t="n">
        <v>2004</v>
      </c>
      <c r="B165" s="15" t="s">
        <v>113</v>
      </c>
      <c r="C165" s="15" t="s">
        <v>102</v>
      </c>
      <c r="D165" s="15" t="s">
        <v>114</v>
      </c>
      <c r="E165" s="9" t="n">
        <f aca="false">SUMIFS(Data!$L$2:$L$1006,Data!$A$2:$A$1006,$A165,Data!$B$2:$B$1006,$B165)</f>
        <v>441700</v>
      </c>
      <c r="F165" s="10" t="n">
        <f aca="false">SUMIFS(Data!$E$2:$E$1006,Data!$A$2:$A$1006,$A165,Data!$B$2:$B$1006,$B165)</f>
        <v>32.129062</v>
      </c>
      <c r="G165" s="10" t="n">
        <f aca="false">SUMIFS(Data!$F$2:$F$1006,Data!$A$2:$A$1006,$A165,Data!$B$2:$B$1006,$B165)</f>
        <v>13.12591</v>
      </c>
      <c r="H165" s="10" t="n">
        <f aca="false">SUMIFS(Data!$G$2:$G$1006,Data!$A$2:$A$1006,$A165,Data!$B$2:$B$1006,$B165)</f>
        <v>30.656425</v>
      </c>
      <c r="I165" s="10" t="n">
        <f aca="false">SUMIFS(Data!$N$2:$N$1006,Data!$A$2:$A$1006,$A165,Data!$B$2:$B$1006,$B165)</f>
        <v>75.911397</v>
      </c>
      <c r="J165" s="10" t="n">
        <f aca="false">SUMIFS(Data!$H$2:$H$1006,Data!$A$2:$A$1006,$A165,Data!$B$2:$B$1006,$B165)</f>
        <v>64.869434</v>
      </c>
      <c r="K165" s="11" t="n">
        <f aca="false">IFERROR(F165*1000000/$E165,"")</f>
        <v>72.7395562599049</v>
      </c>
      <c r="L165" s="11" t="n">
        <f aca="false">IFERROR(G165*1000000/$E165,"")</f>
        <v>29.7167987321712</v>
      </c>
      <c r="M165" s="11" t="n">
        <f aca="false">IFERROR(H165*1000000/$E165,"")</f>
        <v>69.4055354312882</v>
      </c>
      <c r="N165" s="11" t="n">
        <f aca="false">IFERROR(I165*1000000/$E165,"")</f>
        <v>171.861890423364</v>
      </c>
      <c r="O165" s="11" t="n">
        <f aca="false">IFERROR(J165*1000000/$E165,"")</f>
        <v>146.863106180666</v>
      </c>
      <c r="P165" s="16" t="n">
        <f aca="false">COUNTIFS($A$4:$A$1008,$A165,$N$4:$N$1008,"&gt;"&amp;N165)+1</f>
        <v>31</v>
      </c>
      <c r="Q165" s="16" t="n">
        <f aca="false">COUNTIFS($A$4:$A$1008,$A165,$O$4:$O$1008,"&gt;"&amp;O165)+1</f>
        <v>7</v>
      </c>
    </row>
    <row r="166" customFormat="false" ht="15" hidden="false" customHeight="false" outlineLevel="0" collapsed="false">
      <c r="A166" s="7" t="n">
        <v>2004</v>
      </c>
      <c r="B166" s="15" t="s">
        <v>115</v>
      </c>
      <c r="C166" s="15" t="s">
        <v>102</v>
      </c>
      <c r="D166" s="15" t="s">
        <v>103</v>
      </c>
      <c r="E166" s="9" t="n">
        <f aca="false">SUMIFS(Data!$L$2:$L$1006,Data!$A$2:$A$1006,$A166,Data!$B$2:$B$1006,$B166)</f>
        <v>309225</v>
      </c>
      <c r="F166" s="10" t="n">
        <f aca="false">SUMIFS(Data!$E$2:$E$1006,Data!$A$2:$A$1006,$A166,Data!$B$2:$B$1006,$B166)</f>
        <v>21.066373</v>
      </c>
      <c r="G166" s="10" t="n">
        <f aca="false">SUMIFS(Data!$F$2:$F$1006,Data!$A$2:$A$1006,$A166,Data!$B$2:$B$1006,$B166)</f>
        <v>15.593741</v>
      </c>
      <c r="H166" s="10" t="n">
        <f aca="false">SUMIFS(Data!$G$2:$G$1006,Data!$A$2:$A$1006,$A166,Data!$B$2:$B$1006,$B166)</f>
        <v>20.798964</v>
      </c>
      <c r="I166" s="10" t="n">
        <f aca="false">SUMIFS(Data!$N$2:$N$1006,Data!$A$2:$A$1006,$A166,Data!$B$2:$B$1006,$B166)</f>
        <v>57.459078</v>
      </c>
      <c r="J166" s="10" t="n">
        <f aca="false">SUMIFS(Data!$H$2:$H$1006,Data!$A$2:$A$1006,$A166,Data!$B$2:$B$1006,$B166)</f>
        <v>23.707428</v>
      </c>
      <c r="K166" s="11" t="n">
        <f aca="false">IFERROR(F166*1000000/$E166,"")</f>
        <v>68.126357830059</v>
      </c>
      <c r="L166" s="11" t="n">
        <f aca="false">IFERROR(G166*1000000/$E166,"")</f>
        <v>50.4284614762713</v>
      </c>
      <c r="M166" s="11" t="n">
        <f aca="false">IFERROR(H166*1000000/$E166,"")</f>
        <v>67.2615862236236</v>
      </c>
      <c r="N166" s="11" t="n">
        <f aca="false">IFERROR(I166*1000000/$E166,"")</f>
        <v>185.816405529954</v>
      </c>
      <c r="O166" s="11" t="n">
        <f aca="false">IFERROR(J166*1000000/$E166,"")</f>
        <v>76.6672422992966</v>
      </c>
      <c r="P166" s="16" t="n">
        <f aca="false">COUNTIFS($A$4:$A$1008,$A166,$N$4:$N$1008,"&gt;"&amp;N166)+1</f>
        <v>27</v>
      </c>
      <c r="Q166" s="16" t="n">
        <f aca="false">COUNTIFS($A$4:$A$1008,$A166,$O$4:$O$1008,"&gt;"&amp;O166)+1</f>
        <v>34</v>
      </c>
    </row>
    <row r="167" customFormat="false" ht="15" hidden="false" customHeight="false" outlineLevel="0" collapsed="false">
      <c r="A167" s="7" t="n">
        <v>2004</v>
      </c>
      <c r="B167" s="15" t="s">
        <v>116</v>
      </c>
      <c r="C167" s="15" t="s">
        <v>102</v>
      </c>
      <c r="D167" s="15" t="s">
        <v>107</v>
      </c>
      <c r="E167" s="9" t="n">
        <f aca="false">SUMIFS(Data!$L$2:$L$1006,Data!$A$2:$A$1006,$A167,Data!$B$2:$B$1006,$B167)</f>
        <v>698079</v>
      </c>
      <c r="F167" s="10" t="n">
        <f aca="false">SUMIFS(Data!$E$2:$E$1006,Data!$A$2:$A$1006,$A167,Data!$B$2:$B$1006,$B167)</f>
        <v>43.866918</v>
      </c>
      <c r="G167" s="10" t="n">
        <f aca="false">SUMIFS(Data!$F$2:$F$1006,Data!$A$2:$A$1006,$A167,Data!$B$2:$B$1006,$B167)</f>
        <v>28.855254</v>
      </c>
      <c r="H167" s="10" t="n">
        <f aca="false">SUMIFS(Data!$G$2:$G$1006,Data!$A$2:$A$1006,$A167,Data!$B$2:$B$1006,$B167)</f>
        <v>31.826475</v>
      </c>
      <c r="I167" s="10" t="n">
        <f aca="false">SUMIFS(Data!$N$2:$N$1006,Data!$A$2:$A$1006,$A167,Data!$B$2:$B$1006,$B167)</f>
        <v>104.548647</v>
      </c>
      <c r="J167" s="10" t="n">
        <f aca="false">SUMIFS(Data!$H$2:$H$1006,Data!$A$2:$A$1006,$A167,Data!$B$2:$B$1006,$B167)</f>
        <v>48.389627</v>
      </c>
      <c r="K167" s="11" t="n">
        <f aca="false">IFERROR(F167*1000000/$E167,"")</f>
        <v>62.8394751883383</v>
      </c>
      <c r="L167" s="11" t="n">
        <f aca="false">IFERROR(G167*1000000/$E167,"")</f>
        <v>41.3352271018037</v>
      </c>
      <c r="M167" s="11" t="n">
        <f aca="false">IFERROR(H167*1000000/$E167,"")</f>
        <v>45.5915089839402</v>
      </c>
      <c r="N167" s="11" t="n">
        <f aca="false">IFERROR(I167*1000000/$E167,"")</f>
        <v>149.766211274082</v>
      </c>
      <c r="O167" s="11" t="n">
        <f aca="false">IFERROR(J167*1000000/$E167,"")</f>
        <v>69.3182677032256</v>
      </c>
      <c r="P167" s="16" t="n">
        <f aca="false">COUNTIFS($A$4:$A$1008,$A167,$N$4:$N$1008,"&gt;"&amp;N167)+1</f>
        <v>35</v>
      </c>
      <c r="Q167" s="16" t="n">
        <f aca="false">COUNTIFS($A$4:$A$1008,$A167,$O$4:$O$1008,"&gt;"&amp;O167)+1</f>
        <v>36</v>
      </c>
    </row>
    <row r="168" customFormat="false" ht="15" hidden="false" customHeight="false" outlineLevel="0" collapsed="false">
      <c r="A168" s="7" t="n">
        <v>2004</v>
      </c>
      <c r="B168" s="15" t="s">
        <v>117</v>
      </c>
      <c r="C168" s="15" t="s">
        <v>118</v>
      </c>
      <c r="D168" s="15" t="s">
        <v>103</v>
      </c>
      <c r="E168" s="9" t="n">
        <f aca="false">SUMIFS(Data!$L$2:$L$1006,Data!$A$2:$A$1006,$A168,Data!$B$2:$B$1006,$B168)</f>
        <v>1410135</v>
      </c>
      <c r="F168" s="10" t="n">
        <f aca="false">SUMIFS(Data!$E$2:$E$1006,Data!$A$2:$A$1006,$A168,Data!$B$2:$B$1006,$B168)</f>
        <v>141.914051</v>
      </c>
      <c r="G168" s="10" t="n">
        <f aca="false">SUMIFS(Data!$F$2:$F$1006,Data!$A$2:$A$1006,$A168,Data!$B$2:$B$1006,$B168)</f>
        <v>96.147976</v>
      </c>
      <c r="H168" s="10" t="n">
        <f aca="false">SUMIFS(Data!$G$2:$G$1006,Data!$A$2:$A$1006,$A168,Data!$B$2:$B$1006,$B168)</f>
        <v>92.67209</v>
      </c>
      <c r="I168" s="10" t="n">
        <f aca="false">SUMIFS(Data!$N$2:$N$1006,Data!$A$2:$A$1006,$A168,Data!$B$2:$B$1006,$B168)</f>
        <v>330.734117</v>
      </c>
      <c r="J168" s="10" t="n">
        <f aca="false">SUMIFS(Data!$H$2:$H$1006,Data!$A$2:$A$1006,$A168,Data!$B$2:$B$1006,$B168)</f>
        <v>129.389811</v>
      </c>
      <c r="K168" s="11" t="n">
        <f aca="false">IFERROR(F168*1000000/$E168,"")</f>
        <v>100.638627507295</v>
      </c>
      <c r="L168" s="11" t="n">
        <f aca="false">IFERROR(G168*1000000/$E168,"")</f>
        <v>68.1835256908027</v>
      </c>
      <c r="M168" s="11" t="n">
        <f aca="false">IFERROR(H168*1000000/$E168,"")</f>
        <v>65.7185943189837</v>
      </c>
      <c r="N168" s="11" t="n">
        <f aca="false">IFERROR(I168*1000000/$E168,"")</f>
        <v>234.540747517082</v>
      </c>
      <c r="O168" s="11" t="n">
        <f aca="false">IFERROR(J168*1000000/$E168,"")</f>
        <v>91.7570381559213</v>
      </c>
      <c r="P168" s="16" t="n">
        <f aca="false">COUNTIFS($A$4:$A$1008,$A168,$N$4:$N$1008,"&gt;"&amp;N168)+1</f>
        <v>8</v>
      </c>
      <c r="Q168" s="16" t="n">
        <f aca="false">COUNTIFS($A$4:$A$1008,$A168,$O$4:$O$1008,"&gt;"&amp;O168)+1</f>
        <v>28</v>
      </c>
    </row>
    <row r="169" customFormat="false" ht="15" hidden="false" customHeight="false" outlineLevel="0" collapsed="false">
      <c r="A169" s="7" t="n">
        <v>2004</v>
      </c>
      <c r="B169" s="15" t="s">
        <v>119</v>
      </c>
      <c r="C169" s="15" t="s">
        <v>118</v>
      </c>
      <c r="D169" s="15" t="s">
        <v>103</v>
      </c>
      <c r="E169" s="9" t="n">
        <f aca="false">SUMIFS(Data!$L$2:$L$1006,Data!$A$2:$A$1006,$A169,Data!$B$2:$B$1006,$B169)</f>
        <v>507757</v>
      </c>
      <c r="F169" s="10" t="n">
        <f aca="false">SUMIFS(Data!$E$2:$E$1006,Data!$A$2:$A$1006,$A169,Data!$B$2:$B$1006,$B169)</f>
        <v>22.413126</v>
      </c>
      <c r="G169" s="10" t="n">
        <f aca="false">SUMIFS(Data!$F$2:$F$1006,Data!$A$2:$A$1006,$A169,Data!$B$2:$B$1006,$B169)</f>
        <v>25.684846</v>
      </c>
      <c r="H169" s="10" t="n">
        <f aca="false">SUMIFS(Data!$G$2:$G$1006,Data!$A$2:$A$1006,$A169,Data!$B$2:$B$1006,$B169)</f>
        <v>32.81611</v>
      </c>
      <c r="I169" s="10" t="n">
        <f aca="false">SUMIFS(Data!$N$2:$N$1006,Data!$A$2:$A$1006,$A169,Data!$B$2:$B$1006,$B169)</f>
        <v>80.914082</v>
      </c>
      <c r="J169" s="10" t="n">
        <f aca="false">SUMIFS(Data!$H$2:$H$1006,Data!$A$2:$A$1006,$A169,Data!$B$2:$B$1006,$B169)</f>
        <v>41.412608</v>
      </c>
      <c r="K169" s="11" t="n">
        <f aca="false">IFERROR(F169*1000000/$E169,"")</f>
        <v>44.1414416738716</v>
      </c>
      <c r="L169" s="11" t="n">
        <f aca="false">IFERROR(G169*1000000/$E169,"")</f>
        <v>50.5849175885315</v>
      </c>
      <c r="M169" s="11" t="n">
        <f aca="false">IFERROR(H169*1000000/$E169,"")</f>
        <v>64.6295570518969</v>
      </c>
      <c r="N169" s="11" t="n">
        <f aca="false">IFERROR(I169*1000000/$E169,"")</f>
        <v>159.3559163143</v>
      </c>
      <c r="O169" s="11" t="n">
        <f aca="false">IFERROR(J169*1000000/$E169,"")</f>
        <v>81.5598957769169</v>
      </c>
      <c r="P169" s="16" t="n">
        <f aca="false">COUNTIFS($A$4:$A$1008,$A169,$N$4:$N$1008,"&gt;"&amp;N169)+1</f>
        <v>34</v>
      </c>
      <c r="Q169" s="16" t="n">
        <f aca="false">COUNTIFS($A$4:$A$1008,$A169,$O$4:$O$1008,"&gt;"&amp;O169)+1</f>
        <v>32</v>
      </c>
    </row>
    <row r="170" customFormat="false" ht="15" hidden="false" customHeight="false" outlineLevel="0" collapsed="false">
      <c r="A170" s="7" t="n">
        <v>2004</v>
      </c>
      <c r="B170" s="15" t="s">
        <v>120</v>
      </c>
      <c r="C170" s="15" t="s">
        <v>118</v>
      </c>
      <c r="D170" s="15" t="s">
        <v>121</v>
      </c>
      <c r="E170" s="9" t="n">
        <f aca="false">SUMIFS(Data!$L$2:$L$1006,Data!$A$2:$A$1006,$A170,Data!$B$2:$B$1006,$B170)</f>
        <v>930609</v>
      </c>
      <c r="F170" s="10" t="n">
        <f aca="false">SUMIFS(Data!$E$2:$E$1006,Data!$A$2:$A$1006,$A170,Data!$B$2:$B$1006,$B170)</f>
        <v>93.941718</v>
      </c>
      <c r="G170" s="10" t="n">
        <f aca="false">SUMIFS(Data!$F$2:$F$1006,Data!$A$2:$A$1006,$A170,Data!$B$2:$B$1006,$B170)</f>
        <v>47.589438</v>
      </c>
      <c r="H170" s="10" t="n">
        <f aca="false">SUMIFS(Data!$G$2:$G$1006,Data!$A$2:$A$1006,$A170,Data!$B$2:$B$1006,$B170)</f>
        <v>66.219052</v>
      </c>
      <c r="I170" s="10" t="n">
        <f aca="false">SUMIFS(Data!$N$2:$N$1006,Data!$A$2:$A$1006,$A170,Data!$B$2:$B$1006,$B170)</f>
        <v>207.750208</v>
      </c>
      <c r="J170" s="10" t="n">
        <f aca="false">SUMIFS(Data!$H$2:$H$1006,Data!$A$2:$A$1006,$A170,Data!$B$2:$B$1006,$B170)</f>
        <v>93.605445</v>
      </c>
      <c r="K170" s="11" t="n">
        <f aca="false">IFERROR(F170*1000000/$E170,"")</f>
        <v>100.946496326599</v>
      </c>
      <c r="L170" s="11" t="n">
        <f aca="false">IFERROR(G170*1000000/$E170,"")</f>
        <v>51.1379515994365</v>
      </c>
      <c r="M170" s="11" t="n">
        <f aca="false">IFERROR(H170*1000000/$E170,"")</f>
        <v>71.1566855682677</v>
      </c>
      <c r="N170" s="11" t="n">
        <f aca="false">IFERROR(I170*1000000/$E170,"")</f>
        <v>223.241133494303</v>
      </c>
      <c r="O170" s="11" t="n">
        <f aca="false">IFERROR(J170*1000000/$E170,"")</f>
        <v>100.585149079796</v>
      </c>
      <c r="P170" s="16" t="n">
        <f aca="false">COUNTIFS($A$4:$A$1008,$A170,$N$4:$N$1008,"&gt;"&amp;N170)+1</f>
        <v>12</v>
      </c>
      <c r="Q170" s="16" t="n">
        <f aca="false">COUNTIFS($A$4:$A$1008,$A170,$O$4:$O$1008,"&gt;"&amp;O170)+1</f>
        <v>19</v>
      </c>
    </row>
    <row r="171" customFormat="false" ht="15" hidden="false" customHeight="false" outlineLevel="0" collapsed="false">
      <c r="A171" s="7" t="n">
        <v>2004</v>
      </c>
      <c r="B171" s="15" t="s">
        <v>122</v>
      </c>
      <c r="C171" s="15" t="s">
        <v>118</v>
      </c>
      <c r="D171" s="15" t="s">
        <v>105</v>
      </c>
      <c r="E171" s="9" t="n">
        <f aca="false">SUMIFS(Data!$L$2:$L$1006,Data!$A$2:$A$1006,$A171,Data!$B$2:$B$1006,$B171)</f>
        <v>520850</v>
      </c>
      <c r="F171" s="10" t="n">
        <f aca="false">SUMIFS(Data!$E$2:$E$1006,Data!$A$2:$A$1006,$A171,Data!$B$2:$B$1006,$B171)</f>
        <v>34.577927</v>
      </c>
      <c r="G171" s="10" t="n">
        <f aca="false">SUMIFS(Data!$F$2:$F$1006,Data!$A$2:$A$1006,$A171,Data!$B$2:$B$1006,$B171)</f>
        <v>44.733269</v>
      </c>
      <c r="H171" s="10" t="n">
        <f aca="false">SUMIFS(Data!$G$2:$G$1006,Data!$A$2:$A$1006,$A171,Data!$B$2:$B$1006,$B171)</f>
        <v>37.24222</v>
      </c>
      <c r="I171" s="10" t="n">
        <f aca="false">SUMIFS(Data!$N$2:$N$1006,Data!$A$2:$A$1006,$A171,Data!$B$2:$B$1006,$B171)</f>
        <v>116.553416</v>
      </c>
      <c r="J171" s="10" t="n">
        <f aca="false">SUMIFS(Data!$H$2:$H$1006,Data!$A$2:$A$1006,$A171,Data!$B$2:$B$1006,$B171)</f>
        <v>77.773357</v>
      </c>
      <c r="K171" s="11" t="n">
        <f aca="false">IFERROR(F171*1000000/$E171,"")</f>
        <v>66.3874954401459</v>
      </c>
      <c r="L171" s="11" t="n">
        <f aca="false">IFERROR(G171*1000000/$E171,"")</f>
        <v>85.885128155899</v>
      </c>
      <c r="M171" s="11" t="n">
        <f aca="false">IFERROR(H171*1000000/$E171,"")</f>
        <v>71.502774311222</v>
      </c>
      <c r="N171" s="11" t="n">
        <f aca="false">IFERROR(I171*1000000/$E171,"")</f>
        <v>223.775397907267</v>
      </c>
      <c r="O171" s="11" t="n">
        <f aca="false">IFERROR(J171*1000000/$E171,"")</f>
        <v>149.32006719785</v>
      </c>
      <c r="P171" s="16" t="n">
        <f aca="false">COUNTIFS($A$4:$A$1008,$A171,$N$4:$N$1008,"&gt;"&amp;N171)+1</f>
        <v>11</v>
      </c>
      <c r="Q171" s="16" t="n">
        <f aca="false">COUNTIFS($A$4:$A$1008,$A171,$O$4:$O$1008,"&gt;"&amp;O171)+1</f>
        <v>6</v>
      </c>
    </row>
    <row r="172" customFormat="false" ht="15" hidden="false" customHeight="false" outlineLevel="0" collapsed="false">
      <c r="A172" s="7" t="n">
        <v>2004</v>
      </c>
      <c r="B172" s="15" t="s">
        <v>123</v>
      </c>
      <c r="C172" s="15" t="s">
        <v>118</v>
      </c>
      <c r="D172" s="15" t="s">
        <v>124</v>
      </c>
      <c r="E172" s="9" t="n">
        <f aca="false">SUMIFS(Data!$L$2:$L$1006,Data!$A$2:$A$1006,$A172,Data!$B$2:$B$1006,$B172)</f>
        <v>1186350</v>
      </c>
      <c r="F172" s="10" t="n">
        <f aca="false">SUMIFS(Data!$E$2:$E$1006,Data!$A$2:$A$1006,$A172,Data!$B$2:$B$1006,$B172)</f>
        <v>93.995958</v>
      </c>
      <c r="G172" s="10" t="n">
        <f aca="false">SUMIFS(Data!$F$2:$F$1006,Data!$A$2:$A$1006,$A172,Data!$B$2:$B$1006,$B172)</f>
        <v>40.691472</v>
      </c>
      <c r="H172" s="10" t="n">
        <f aca="false">SUMIFS(Data!$G$2:$G$1006,Data!$A$2:$A$1006,$A172,Data!$B$2:$B$1006,$B172)</f>
        <v>104.246738</v>
      </c>
      <c r="I172" s="10" t="n">
        <f aca="false">SUMIFS(Data!$N$2:$N$1006,Data!$A$2:$A$1006,$A172,Data!$B$2:$B$1006,$B172)</f>
        <v>238.934168</v>
      </c>
      <c r="J172" s="10" t="n">
        <f aca="false">SUMIFS(Data!$H$2:$H$1006,Data!$A$2:$A$1006,$A172,Data!$B$2:$B$1006,$B172)</f>
        <v>157.839166</v>
      </c>
      <c r="K172" s="11" t="n">
        <f aca="false">IFERROR(F172*1000000/$E172,"")</f>
        <v>79.231220128967</v>
      </c>
      <c r="L172" s="11" t="n">
        <f aca="false">IFERROR(G172*1000000/$E172,"")</f>
        <v>34.2997193071185</v>
      </c>
      <c r="M172" s="11" t="n">
        <f aca="false">IFERROR(H172*1000000/$E172,"")</f>
        <v>87.8718236608084</v>
      </c>
      <c r="N172" s="11" t="n">
        <f aca="false">IFERROR(I172*1000000/$E172,"")</f>
        <v>201.402763096894</v>
      </c>
      <c r="O172" s="11" t="n">
        <f aca="false">IFERROR(J172*1000000/$E172,"")</f>
        <v>133.046037004257</v>
      </c>
      <c r="P172" s="16" t="n">
        <f aca="false">COUNTIFS($A$4:$A$1008,$A172,$N$4:$N$1008,"&gt;"&amp;N172)+1</f>
        <v>21</v>
      </c>
      <c r="Q172" s="16" t="n">
        <f aca="false">COUNTIFS($A$4:$A$1008,$A172,$O$4:$O$1008,"&gt;"&amp;O172)+1</f>
        <v>9</v>
      </c>
    </row>
    <row r="173" customFormat="false" ht="15" hidden="false" customHeight="false" outlineLevel="0" collapsed="false">
      <c r="A173" s="7" t="n">
        <v>2004</v>
      </c>
      <c r="B173" s="15" t="s">
        <v>125</v>
      </c>
      <c r="C173" s="15" t="s">
        <v>118</v>
      </c>
      <c r="D173" s="15" t="s">
        <v>126</v>
      </c>
      <c r="E173" s="9" t="n">
        <f aca="false">SUMIFS(Data!$L$2:$L$1006,Data!$A$2:$A$1006,$A173,Data!$B$2:$B$1006,$B173)</f>
        <v>497416</v>
      </c>
      <c r="F173" s="10" t="n">
        <f aca="false">SUMIFS(Data!$E$2:$E$1006,Data!$A$2:$A$1006,$A173,Data!$B$2:$B$1006,$B173)</f>
        <v>39.35244</v>
      </c>
      <c r="G173" s="10" t="n">
        <f aca="false">SUMIFS(Data!$F$2:$F$1006,Data!$A$2:$A$1006,$A173,Data!$B$2:$B$1006,$B173)</f>
        <v>34.796479</v>
      </c>
      <c r="H173" s="10" t="n">
        <f aca="false">SUMIFS(Data!$G$2:$G$1006,Data!$A$2:$A$1006,$A173,Data!$B$2:$B$1006,$B173)</f>
        <v>36.634474</v>
      </c>
      <c r="I173" s="10" t="n">
        <f aca="false">SUMIFS(Data!$N$2:$N$1006,Data!$A$2:$A$1006,$A173,Data!$B$2:$B$1006,$B173)</f>
        <v>110.783393</v>
      </c>
      <c r="J173" s="10" t="n">
        <f aca="false">SUMIFS(Data!$H$2:$H$1006,Data!$A$2:$A$1006,$A173,Data!$B$2:$B$1006,$B173)</f>
        <v>65.891097</v>
      </c>
      <c r="K173" s="11" t="n">
        <f aca="false">IFERROR(F173*1000000/$E173,"")</f>
        <v>79.1137398073243</v>
      </c>
      <c r="L173" s="11" t="n">
        <f aca="false">IFERROR(G173*1000000/$E173,"")</f>
        <v>69.9544827669396</v>
      </c>
      <c r="M173" s="11" t="n">
        <f aca="false">IFERROR(H173*1000000/$E173,"")</f>
        <v>73.6495689724496</v>
      </c>
      <c r="N173" s="11" t="n">
        <f aca="false">IFERROR(I173*1000000/$E173,"")</f>
        <v>222.717791546713</v>
      </c>
      <c r="O173" s="11" t="n">
        <f aca="false">IFERROR(J173*1000000/$E173,"")</f>
        <v>132.466782331087</v>
      </c>
      <c r="P173" s="16" t="n">
        <f aca="false">COUNTIFS($A$4:$A$1008,$A173,$N$4:$N$1008,"&gt;"&amp;N173)+1</f>
        <v>13</v>
      </c>
      <c r="Q173" s="16" t="n">
        <f aca="false">COUNTIFS($A$4:$A$1008,$A173,$O$4:$O$1008,"&gt;"&amp;O173)+1</f>
        <v>10</v>
      </c>
    </row>
    <row r="174" customFormat="false" ht="15" hidden="false" customHeight="false" outlineLevel="0" collapsed="false">
      <c r="A174" s="7" t="n">
        <v>2004</v>
      </c>
      <c r="B174" s="15" t="s">
        <v>127</v>
      </c>
      <c r="C174" s="15" t="s">
        <v>118</v>
      </c>
      <c r="D174" s="15" t="s">
        <v>103</v>
      </c>
      <c r="E174" s="9" t="n">
        <f aca="false">SUMIFS(Data!$L$2:$L$1006,Data!$A$2:$A$1006,$A174,Data!$B$2:$B$1006,$B174)</f>
        <v>671381</v>
      </c>
      <c r="F174" s="10" t="n">
        <f aca="false">SUMIFS(Data!$E$2:$E$1006,Data!$A$2:$A$1006,$A174,Data!$B$2:$B$1006,$B174)</f>
        <v>39.700793</v>
      </c>
      <c r="G174" s="10" t="n">
        <f aca="false">SUMIFS(Data!$F$2:$F$1006,Data!$A$2:$A$1006,$A174,Data!$B$2:$B$1006,$B174)</f>
        <v>35.832507</v>
      </c>
      <c r="H174" s="10" t="n">
        <f aca="false">SUMIFS(Data!$G$2:$G$1006,Data!$A$2:$A$1006,$A174,Data!$B$2:$B$1006,$B174)</f>
        <v>35.840828</v>
      </c>
      <c r="I174" s="10" t="n">
        <f aca="false">SUMIFS(Data!$N$2:$N$1006,Data!$A$2:$A$1006,$A174,Data!$B$2:$B$1006,$B174)</f>
        <v>111.374128</v>
      </c>
      <c r="J174" s="10" t="n">
        <f aca="false">SUMIFS(Data!$H$2:$H$1006,Data!$A$2:$A$1006,$A174,Data!$B$2:$B$1006,$B174)</f>
        <v>76.94043</v>
      </c>
      <c r="K174" s="11" t="n">
        <f aca="false">IFERROR(F174*1000000/$E174,"")</f>
        <v>59.1330302764004</v>
      </c>
      <c r="L174" s="11" t="n">
        <f aca="false">IFERROR(G174*1000000/$E174,"")</f>
        <v>53.3713450335949</v>
      </c>
      <c r="M174" s="11" t="n">
        <f aca="false">IFERROR(H174*1000000/$E174,"")</f>
        <v>53.3837388904363</v>
      </c>
      <c r="N174" s="11" t="n">
        <f aca="false">IFERROR(I174*1000000/$E174,"")</f>
        <v>165.888114200432</v>
      </c>
      <c r="O174" s="11" t="n">
        <f aca="false">IFERROR(J174*1000000/$E174,"")</f>
        <v>114.600249336815</v>
      </c>
      <c r="P174" s="16" t="n">
        <f aca="false">COUNTIFS($A$4:$A$1008,$A174,$N$4:$N$1008,"&gt;"&amp;N174)+1</f>
        <v>32</v>
      </c>
      <c r="Q174" s="16" t="n">
        <f aca="false">COUNTIFS($A$4:$A$1008,$A174,$O$4:$O$1008,"&gt;"&amp;O174)+1</f>
        <v>15</v>
      </c>
    </row>
    <row r="175" customFormat="false" ht="15" hidden="false" customHeight="false" outlineLevel="0" collapsed="false">
      <c r="A175" s="7" t="n">
        <v>2004</v>
      </c>
      <c r="B175" s="15" t="s">
        <v>128</v>
      </c>
      <c r="C175" s="15" t="s">
        <v>118</v>
      </c>
      <c r="D175" s="15" t="s">
        <v>107</v>
      </c>
      <c r="E175" s="9" t="n">
        <f aca="false">SUMIFS(Data!$L$2:$L$1006,Data!$A$2:$A$1006,$A175,Data!$B$2:$B$1006,$B175)</f>
        <v>586772</v>
      </c>
      <c r="F175" s="10" t="n">
        <f aca="false">SUMIFS(Data!$E$2:$E$1006,Data!$A$2:$A$1006,$A175,Data!$B$2:$B$1006,$B175)</f>
        <v>27.614486</v>
      </c>
      <c r="G175" s="10" t="n">
        <f aca="false">SUMIFS(Data!$F$2:$F$1006,Data!$A$2:$A$1006,$A175,Data!$B$2:$B$1006,$B175)</f>
        <v>28.556941</v>
      </c>
      <c r="H175" s="10" t="n">
        <f aca="false">SUMIFS(Data!$G$2:$G$1006,Data!$A$2:$A$1006,$A175,Data!$B$2:$B$1006,$B175)</f>
        <v>39.016724</v>
      </c>
      <c r="I175" s="10" t="n">
        <f aca="false">SUMIFS(Data!$N$2:$N$1006,Data!$A$2:$A$1006,$A175,Data!$B$2:$B$1006,$B175)</f>
        <v>95.188151</v>
      </c>
      <c r="J175" s="10" t="n">
        <f aca="false">SUMIFS(Data!$H$2:$H$1006,Data!$A$2:$A$1006,$A175,Data!$B$2:$B$1006,$B175)</f>
        <v>62.15366</v>
      </c>
      <c r="K175" s="11" t="n">
        <f aca="false">IFERROR(F175*1000000/$E175,"")</f>
        <v>47.0616968771516</v>
      </c>
      <c r="L175" s="11" t="n">
        <f aca="false">IFERROR(G175*1000000/$E175,"")</f>
        <v>48.667865883171</v>
      </c>
      <c r="M175" s="11" t="n">
        <f aca="false">IFERROR(H175*1000000/$E175,"")</f>
        <v>66.4938408785695</v>
      </c>
      <c r="N175" s="11" t="n">
        <f aca="false">IFERROR(I175*1000000/$E175,"")</f>
        <v>162.223403638892</v>
      </c>
      <c r="O175" s="11" t="n">
        <f aca="false">IFERROR(J175*1000000/$E175,"")</f>
        <v>105.924720334304</v>
      </c>
      <c r="P175" s="16" t="n">
        <f aca="false">COUNTIFS($A$4:$A$1008,$A175,$N$4:$N$1008,"&gt;"&amp;N175)+1</f>
        <v>33</v>
      </c>
      <c r="Q175" s="16" t="n">
        <f aca="false">COUNTIFS($A$4:$A$1008,$A175,$O$4:$O$1008,"&gt;"&amp;O175)+1</f>
        <v>18</v>
      </c>
    </row>
    <row r="176" customFormat="false" ht="15" hidden="false" customHeight="false" outlineLevel="0" collapsed="false">
      <c r="A176" s="7" t="n">
        <v>2004</v>
      </c>
      <c r="B176" s="15" t="s">
        <v>129</v>
      </c>
      <c r="C176" s="15" t="s">
        <v>118</v>
      </c>
      <c r="D176" s="15" t="s">
        <v>107</v>
      </c>
      <c r="E176" s="9" t="n">
        <f aca="false">SUMIFS(Data!$L$2:$L$1006,Data!$A$2:$A$1006,$A176,Data!$B$2:$B$1006,$B176)</f>
        <v>1536985</v>
      </c>
      <c r="F176" s="10" t="n">
        <f aca="false">SUMIFS(Data!$E$2:$E$1006,Data!$A$2:$A$1006,$A176,Data!$B$2:$B$1006,$B176)</f>
        <v>131.505399</v>
      </c>
      <c r="G176" s="10" t="n">
        <f aca="false">SUMIFS(Data!$F$2:$F$1006,Data!$A$2:$A$1006,$A176,Data!$B$2:$B$1006,$B176)</f>
        <v>119.71254</v>
      </c>
      <c r="H176" s="10" t="n">
        <f aca="false">SUMIFS(Data!$G$2:$G$1006,Data!$A$2:$A$1006,$A176,Data!$B$2:$B$1006,$B176)</f>
        <v>74.422897</v>
      </c>
      <c r="I176" s="10" t="n">
        <f aca="false">SUMIFS(Data!$N$2:$N$1006,Data!$A$2:$A$1006,$A176,Data!$B$2:$B$1006,$B176)</f>
        <v>325.640836</v>
      </c>
      <c r="J176" s="10" t="n">
        <f aca="false">SUMIFS(Data!$H$2:$H$1006,Data!$A$2:$A$1006,$A176,Data!$B$2:$B$1006,$B176)</f>
        <v>135.798208</v>
      </c>
      <c r="K176" s="11" t="n">
        <f aca="false">IFERROR(F176*1000000/$E176,"")</f>
        <v>85.560626160958</v>
      </c>
      <c r="L176" s="11" t="n">
        <f aca="false">IFERROR(G176*1000000/$E176,"")</f>
        <v>77.8879039157832</v>
      </c>
      <c r="M176" s="11" t="n">
        <f aca="false">IFERROR(H176*1000000/$E176,"")</f>
        <v>48.4213554458892</v>
      </c>
      <c r="N176" s="11" t="n">
        <f aca="false">IFERROR(I176*1000000/$E176,"")</f>
        <v>211.86988552263</v>
      </c>
      <c r="O176" s="11" t="n">
        <f aca="false">IFERROR(J176*1000000/$E176,"")</f>
        <v>88.3536325988868</v>
      </c>
      <c r="P176" s="16" t="n">
        <f aca="false">COUNTIFS($A$4:$A$1008,$A176,$N$4:$N$1008,"&gt;"&amp;N176)+1</f>
        <v>16</v>
      </c>
      <c r="Q176" s="16" t="n">
        <f aca="false">COUNTIFS($A$4:$A$1008,$A176,$O$4:$O$1008,"&gt;"&amp;O176)+1</f>
        <v>30</v>
      </c>
    </row>
    <row r="177" customFormat="false" ht="15" hidden="false" customHeight="false" outlineLevel="0" collapsed="false">
      <c r="A177" s="7" t="n">
        <v>2004</v>
      </c>
      <c r="B177" s="15" t="s">
        <v>130</v>
      </c>
      <c r="C177" s="15" t="s">
        <v>118</v>
      </c>
      <c r="D177" s="15" t="s">
        <v>107</v>
      </c>
      <c r="E177" s="9" t="n">
        <f aca="false">SUMIFS(Data!$L$2:$L$1006,Data!$A$2:$A$1006,$A177,Data!$B$2:$B$1006,$B177)</f>
        <v>1344373</v>
      </c>
      <c r="F177" s="10" t="n">
        <f aca="false">SUMIFS(Data!$E$2:$E$1006,Data!$A$2:$A$1006,$A177,Data!$B$2:$B$1006,$B177)</f>
        <v>124.537112</v>
      </c>
      <c r="G177" s="10" t="n">
        <f aca="false">SUMIFS(Data!$F$2:$F$1006,Data!$A$2:$A$1006,$A177,Data!$B$2:$B$1006,$B177)</f>
        <v>62.525557</v>
      </c>
      <c r="H177" s="10" t="n">
        <f aca="false">SUMIFS(Data!$G$2:$G$1006,Data!$A$2:$A$1006,$A177,Data!$B$2:$B$1006,$B177)</f>
        <v>78.405784</v>
      </c>
      <c r="I177" s="10" t="n">
        <f aca="false">SUMIFS(Data!$N$2:$N$1006,Data!$A$2:$A$1006,$A177,Data!$B$2:$B$1006,$B177)</f>
        <v>265.468453</v>
      </c>
      <c r="J177" s="10" t="n">
        <f aca="false">SUMIFS(Data!$H$2:$H$1006,Data!$A$2:$A$1006,$A177,Data!$B$2:$B$1006,$B177)</f>
        <v>133.765313</v>
      </c>
      <c r="K177" s="11" t="n">
        <f aca="false">IFERROR(F177*1000000/$E177,"")</f>
        <v>92.6358324661385</v>
      </c>
      <c r="L177" s="11" t="n">
        <f aca="false">IFERROR(G177*1000000/$E177,"")</f>
        <v>46.5090841604227</v>
      </c>
      <c r="M177" s="11" t="n">
        <f aca="false">IFERROR(H177*1000000/$E177,"")</f>
        <v>58.3214509663613</v>
      </c>
      <c r="N177" s="11" t="n">
        <f aca="false">IFERROR(I177*1000000/$E177,"")</f>
        <v>197.466367592923</v>
      </c>
      <c r="O177" s="11" t="n">
        <f aca="false">IFERROR(J177*1000000/$E177,"")</f>
        <v>99.5001483963156</v>
      </c>
      <c r="P177" s="16" t="n">
        <f aca="false">COUNTIFS($A$4:$A$1008,$A177,$N$4:$N$1008,"&gt;"&amp;N177)+1</f>
        <v>24</v>
      </c>
      <c r="Q177" s="16" t="n">
        <f aca="false">COUNTIFS($A$4:$A$1008,$A177,$O$4:$O$1008,"&gt;"&amp;O177)+1</f>
        <v>20</v>
      </c>
    </row>
    <row r="178" customFormat="false" ht="15" hidden="false" customHeight="false" outlineLevel="0" collapsed="false">
      <c r="A178" s="7" t="n">
        <v>2004</v>
      </c>
      <c r="B178" s="15" t="s">
        <v>131</v>
      </c>
      <c r="C178" s="15" t="s">
        <v>118</v>
      </c>
      <c r="D178" s="15" t="s">
        <v>132</v>
      </c>
      <c r="E178" s="9" t="n">
        <f aca="false">SUMIFS(Data!$L$2:$L$1006,Data!$A$2:$A$1006,$A178,Data!$B$2:$B$1006,$B178)</f>
        <v>732345</v>
      </c>
      <c r="F178" s="10" t="n">
        <f aca="false">SUMIFS(Data!$E$2:$E$1006,Data!$A$2:$A$1006,$A178,Data!$B$2:$B$1006,$B178)</f>
        <v>76.882456</v>
      </c>
      <c r="G178" s="10" t="n">
        <f aca="false">SUMIFS(Data!$F$2:$F$1006,Data!$A$2:$A$1006,$A178,Data!$B$2:$B$1006,$B178)</f>
        <v>55.841464</v>
      </c>
      <c r="H178" s="10" t="n">
        <f aca="false">SUMIFS(Data!$G$2:$G$1006,Data!$A$2:$A$1006,$A178,Data!$B$2:$B$1006,$B178)</f>
        <v>119.470836</v>
      </c>
      <c r="I178" s="10" t="n">
        <f aca="false">SUMIFS(Data!$N$2:$N$1006,Data!$A$2:$A$1006,$A178,Data!$B$2:$B$1006,$B178)</f>
        <v>252.194756</v>
      </c>
      <c r="J178" s="10" t="n">
        <f aca="false">SUMIFS(Data!$H$2:$H$1006,Data!$A$2:$A$1006,$A178,Data!$B$2:$B$1006,$B178)</f>
        <v>47.213768</v>
      </c>
      <c r="K178" s="11" t="n">
        <f aca="false">IFERROR(F178*1000000/$E178,"")</f>
        <v>104.981198751954</v>
      </c>
      <c r="L178" s="11" t="n">
        <f aca="false">IFERROR(G178*1000000/$E178,"")</f>
        <v>76.2502154039421</v>
      </c>
      <c r="M178" s="11" t="n">
        <f aca="false">IFERROR(H178*1000000/$E178,"")</f>
        <v>163.134637363538</v>
      </c>
      <c r="N178" s="11" t="n">
        <f aca="false">IFERROR(I178*1000000/$E178,"")</f>
        <v>344.366051519434</v>
      </c>
      <c r="O178" s="11" t="n">
        <f aca="false">IFERROR(J178*1000000/$E178,"")</f>
        <v>64.4692979401785</v>
      </c>
      <c r="P178" s="16" t="n">
        <f aca="false">COUNTIFS($A$4:$A$1008,$A178,$N$4:$N$1008,"&gt;"&amp;N178)+1</f>
        <v>1</v>
      </c>
      <c r="Q178" s="16" t="n">
        <f aca="false">COUNTIFS($A$4:$A$1008,$A178,$O$4:$O$1008,"&gt;"&amp;O178)+1</f>
        <v>37</v>
      </c>
    </row>
    <row r="179" customFormat="false" ht="15" hidden="false" customHeight="false" outlineLevel="0" collapsed="false">
      <c r="A179" s="7" t="n">
        <v>2004</v>
      </c>
      <c r="B179" s="15" t="s">
        <v>133</v>
      </c>
      <c r="C179" s="15" t="s">
        <v>118</v>
      </c>
      <c r="D179" s="15" t="s">
        <v>105</v>
      </c>
      <c r="E179" s="9" t="n">
        <f aca="false">SUMIFS(Data!$L$2:$L$1006,Data!$A$2:$A$1006,$A179,Data!$B$2:$B$1006,$B179)</f>
        <v>2082450</v>
      </c>
      <c r="F179" s="10" t="n">
        <f aca="false">SUMIFS(Data!$E$2:$E$1006,Data!$A$2:$A$1006,$A179,Data!$B$2:$B$1006,$B179)</f>
        <v>141.037524</v>
      </c>
      <c r="G179" s="10" t="n">
        <f aca="false">SUMIFS(Data!$F$2:$F$1006,Data!$A$2:$A$1006,$A179,Data!$B$2:$B$1006,$B179)</f>
        <v>183.280598</v>
      </c>
      <c r="H179" s="10" t="n">
        <f aca="false">SUMIFS(Data!$G$2:$G$1006,Data!$A$2:$A$1006,$A179,Data!$B$2:$B$1006,$B179)</f>
        <v>110.787831</v>
      </c>
      <c r="I179" s="10" t="n">
        <f aca="false">SUMIFS(Data!$N$2:$N$1006,Data!$A$2:$A$1006,$A179,Data!$B$2:$B$1006,$B179)</f>
        <v>435.105953</v>
      </c>
      <c r="J179" s="10" t="n">
        <f aca="false">SUMIFS(Data!$H$2:$H$1006,Data!$A$2:$A$1006,$A179,Data!$B$2:$B$1006,$B179)</f>
        <v>190.268683</v>
      </c>
      <c r="K179" s="11" t="n">
        <f aca="false">IFERROR(F179*1000000/$E179,"")</f>
        <v>67.7267276525247</v>
      </c>
      <c r="L179" s="11" t="n">
        <f aca="false">IFERROR(G179*1000000/$E179,"")</f>
        <v>88.012004129751</v>
      </c>
      <c r="M179" s="11" t="n">
        <f aca="false">IFERROR(H179*1000000/$E179,"")</f>
        <v>53.200715983577</v>
      </c>
      <c r="N179" s="11" t="n">
        <f aca="false">IFERROR(I179*1000000/$E179,"")</f>
        <v>208.939447765853</v>
      </c>
      <c r="O179" s="11" t="n">
        <f aca="false">IFERROR(J179*1000000/$E179,"")</f>
        <v>91.3677077480852</v>
      </c>
      <c r="P179" s="16" t="n">
        <f aca="false">COUNTIFS($A$4:$A$1008,$A179,$N$4:$N$1008,"&gt;"&amp;N179)+1</f>
        <v>17</v>
      </c>
      <c r="Q179" s="16" t="n">
        <f aca="false">COUNTIFS($A$4:$A$1008,$A179,$O$4:$O$1008,"&gt;"&amp;O179)+1</f>
        <v>29</v>
      </c>
    </row>
    <row r="180" customFormat="false" ht="15" hidden="false" customHeight="false" outlineLevel="0" collapsed="false">
      <c r="A180" s="7" t="n">
        <v>2004</v>
      </c>
      <c r="B180" s="15" t="s">
        <v>134</v>
      </c>
      <c r="C180" s="15" t="s">
        <v>135</v>
      </c>
      <c r="D180" s="15" t="s">
        <v>136</v>
      </c>
      <c r="E180" s="9" t="n">
        <f aca="false">SUMIFS(Data!$L$2:$L$1006,Data!$A$2:$A$1006,$A180,Data!$B$2:$B$1006,$B180)</f>
        <v>135648</v>
      </c>
      <c r="F180" s="10" t="n">
        <f aca="false">SUMIFS(Data!$E$2:$E$1006,Data!$A$2:$A$1006,$A180,Data!$B$2:$B$1006,$B180)</f>
        <v>16.463042</v>
      </c>
      <c r="G180" s="10" t="n">
        <f aca="false">SUMIFS(Data!$F$2:$F$1006,Data!$A$2:$A$1006,$A180,Data!$B$2:$B$1006,$B180)</f>
        <v>16.52519</v>
      </c>
      <c r="H180" s="10" t="n">
        <f aca="false">SUMIFS(Data!$G$2:$G$1006,Data!$A$2:$A$1006,$A180,Data!$B$2:$B$1006,$B180)</f>
        <v>9.219432</v>
      </c>
      <c r="I180" s="10" t="n">
        <f aca="false">SUMIFS(Data!$N$2:$N$1006,Data!$A$2:$A$1006,$A180,Data!$B$2:$B$1006,$B180)</f>
        <v>42.207664</v>
      </c>
      <c r="J180" s="10" t="n">
        <f aca="false">SUMIFS(Data!$H$2:$H$1006,Data!$A$2:$A$1006,$A180,Data!$B$2:$B$1006,$B180)</f>
        <v>13.454309</v>
      </c>
      <c r="K180" s="11" t="n">
        <f aca="false">IFERROR(F180*1000000/$E180,"")</f>
        <v>121.365902925218</v>
      </c>
      <c r="L180" s="11" t="n">
        <f aca="false">IFERROR(G180*1000000/$E180,"")</f>
        <v>121.824059330031</v>
      </c>
      <c r="M180" s="11" t="n">
        <f aca="false">IFERROR(H180*1000000/$E180,"")</f>
        <v>67.9658527954706</v>
      </c>
      <c r="N180" s="11" t="n">
        <f aca="false">IFERROR(I180*1000000/$E180,"")</f>
        <v>311.155815050719</v>
      </c>
      <c r="O180" s="11" t="n">
        <f aca="false">IFERROR(J180*1000000/$E180,"")</f>
        <v>99.1854579499882</v>
      </c>
      <c r="P180" s="16" t="n">
        <f aca="false">COUNTIFS($A$4:$A$1008,$A180,$N$4:$N$1008,"&gt;"&amp;N180)+1</f>
        <v>2</v>
      </c>
      <c r="Q180" s="16" t="n">
        <f aca="false">COUNTIFS($A$4:$A$1008,$A180,$O$4:$O$1008,"&gt;"&amp;O180)+1</f>
        <v>21</v>
      </c>
    </row>
    <row r="181" customFormat="false" ht="15" hidden="false" customHeight="false" outlineLevel="0" collapsed="false">
      <c r="A181" s="7" t="n">
        <v>2004</v>
      </c>
      <c r="B181" s="15" t="s">
        <v>139</v>
      </c>
      <c r="C181" s="15" t="s">
        <v>135</v>
      </c>
      <c r="D181" s="15" t="s">
        <v>138</v>
      </c>
      <c r="E181" s="9" t="n">
        <f aca="false">SUMIFS(Data!$L$2:$L$1006,Data!$A$2:$A$1006,$A181,Data!$B$2:$B$1006,$B181)</f>
        <v>2146636</v>
      </c>
      <c r="F181" s="10" t="n">
        <f aca="false">SUMIFS(Data!$E$2:$E$1006,Data!$A$2:$A$1006,$A181,Data!$B$2:$B$1006,$B181)</f>
        <v>186.689701</v>
      </c>
      <c r="G181" s="10" t="n">
        <f aca="false">SUMIFS(Data!$F$2:$F$1006,Data!$A$2:$A$1006,$A181,Data!$B$2:$B$1006,$B181)</f>
        <v>167.807693</v>
      </c>
      <c r="H181" s="10" t="n">
        <f aca="false">SUMIFS(Data!$G$2:$G$1006,Data!$A$2:$A$1006,$A181,Data!$B$2:$B$1006,$B181)</f>
        <v>198.634207</v>
      </c>
      <c r="I181" s="10" t="n">
        <f aca="false">SUMIFS(Data!$N$2:$N$1006,Data!$A$2:$A$1006,$A181,Data!$B$2:$B$1006,$B181)</f>
        <v>553.131601</v>
      </c>
      <c r="J181" s="10" t="n">
        <f aca="false">SUMIFS(Data!$H$2:$H$1006,Data!$A$2:$A$1006,$A181,Data!$B$2:$B$1006,$B181)</f>
        <v>267.038847</v>
      </c>
      <c r="K181" s="11" t="n">
        <f aca="false">IFERROR(F181*1000000/$E181,"")</f>
        <v>86.9684944256968</v>
      </c>
      <c r="L181" s="11" t="n">
        <f aca="false">IFERROR(G181*1000000/$E181,"")</f>
        <v>78.1724023076106</v>
      </c>
      <c r="M181" s="11" t="n">
        <f aca="false">IFERROR(H181*1000000/$E181,"")</f>
        <v>92.5327847851243</v>
      </c>
      <c r="N181" s="11" t="n">
        <f aca="false">IFERROR(I181*1000000/$E181,"")</f>
        <v>257.673681518432</v>
      </c>
      <c r="O181" s="11" t="n">
        <f aca="false">IFERROR(J181*1000000/$E181,"")</f>
        <v>124.398755541228</v>
      </c>
      <c r="P181" s="16" t="n">
        <f aca="false">COUNTIFS($A$4:$A$1008,$A181,$N$4:$N$1008,"&gt;"&amp;N181)+1</f>
        <v>4</v>
      </c>
      <c r="Q181" s="16" t="n">
        <f aca="false">COUNTIFS($A$4:$A$1008,$A181,$O$4:$O$1008,"&gt;"&amp;O181)+1</f>
        <v>12</v>
      </c>
    </row>
    <row r="182" customFormat="false" ht="15" hidden="false" customHeight="false" outlineLevel="0" collapsed="false">
      <c r="A182" s="7" t="n">
        <v>2004</v>
      </c>
      <c r="B182" s="15" t="s">
        <v>140</v>
      </c>
      <c r="C182" s="15" t="s">
        <v>135</v>
      </c>
      <c r="D182" s="15" t="s">
        <v>141</v>
      </c>
      <c r="E182" s="9" t="n">
        <f aca="false">SUMIFS(Data!$L$2:$L$1006,Data!$A$2:$A$1006,$A182,Data!$B$2:$B$1006,$B182)</f>
        <v>747696</v>
      </c>
      <c r="F182" s="10" t="n">
        <f aca="false">SUMIFS(Data!$E$2:$E$1006,Data!$A$2:$A$1006,$A182,Data!$B$2:$B$1006,$B182)</f>
        <v>42.591565</v>
      </c>
      <c r="G182" s="10" t="n">
        <f aca="false">SUMIFS(Data!$F$2:$F$1006,Data!$A$2:$A$1006,$A182,Data!$B$2:$B$1006,$B182)</f>
        <v>35.421264</v>
      </c>
      <c r="H182" s="10" t="n">
        <f aca="false">SUMIFS(Data!$G$2:$G$1006,Data!$A$2:$A$1006,$A182,Data!$B$2:$B$1006,$B182)</f>
        <v>62.478202</v>
      </c>
      <c r="I182" s="10" t="n">
        <f aca="false">SUMIFS(Data!$N$2:$N$1006,Data!$A$2:$A$1006,$A182,Data!$B$2:$B$1006,$B182)</f>
        <v>140.491031</v>
      </c>
      <c r="J182" s="10" t="n">
        <f aca="false">SUMIFS(Data!$H$2:$H$1006,Data!$A$2:$A$1006,$A182,Data!$B$2:$B$1006,$B182)</f>
        <v>95.577693</v>
      </c>
      <c r="K182" s="11" t="n">
        <f aca="false">IFERROR(F182*1000000/$E182,"")</f>
        <v>56.9637459609253</v>
      </c>
      <c r="L182" s="11" t="n">
        <f aca="false">IFERROR(G182*1000000/$E182,"")</f>
        <v>47.3738845734095</v>
      </c>
      <c r="M182" s="11" t="n">
        <f aca="false">IFERROR(H182*1000000/$E182,"")</f>
        <v>83.5609686289615</v>
      </c>
      <c r="N182" s="11" t="n">
        <f aca="false">IFERROR(I182*1000000/$E182,"")</f>
        <v>187.898599163296</v>
      </c>
      <c r="O182" s="11" t="n">
        <f aca="false">IFERROR(J182*1000000/$E182,"")</f>
        <v>127.82961658214</v>
      </c>
      <c r="P182" s="16" t="n">
        <f aca="false">COUNTIFS($A$4:$A$1008,$A182,$N$4:$N$1008,"&gt;"&amp;N182)+1</f>
        <v>26</v>
      </c>
      <c r="Q182" s="16" t="n">
        <f aca="false">COUNTIFS($A$4:$A$1008,$A182,$O$4:$O$1008,"&gt;"&amp;O182)+1</f>
        <v>11</v>
      </c>
    </row>
    <row r="183" customFormat="false" ht="15" hidden="false" customHeight="false" outlineLevel="0" collapsed="false">
      <c r="A183" s="7" t="n">
        <v>2004</v>
      </c>
      <c r="B183" s="15" t="s">
        <v>142</v>
      </c>
      <c r="C183" s="15" t="s">
        <v>135</v>
      </c>
      <c r="D183" s="15" t="s">
        <v>143</v>
      </c>
      <c r="E183" s="9" t="n">
        <f aca="false">SUMIFS(Data!$L$2:$L$1006,Data!$A$2:$A$1006,$A183,Data!$B$2:$B$1006,$B183)</f>
        <v>576632</v>
      </c>
      <c r="F183" s="10" t="n">
        <f aca="false">SUMIFS(Data!$E$2:$E$1006,Data!$A$2:$A$1006,$A183,Data!$B$2:$B$1006,$B183)</f>
        <v>52.383972</v>
      </c>
      <c r="G183" s="10" t="n">
        <f aca="false">SUMIFS(Data!$F$2:$F$1006,Data!$A$2:$A$1006,$A183,Data!$B$2:$B$1006,$B183)</f>
        <v>25.606353</v>
      </c>
      <c r="H183" s="10" t="n">
        <f aca="false">SUMIFS(Data!$G$2:$G$1006,Data!$A$2:$A$1006,$A183,Data!$B$2:$B$1006,$B183)</f>
        <v>39.683293</v>
      </c>
      <c r="I183" s="10" t="n">
        <f aca="false">SUMIFS(Data!$N$2:$N$1006,Data!$A$2:$A$1006,$A183,Data!$B$2:$B$1006,$B183)</f>
        <v>117.673618</v>
      </c>
      <c r="J183" s="10" t="n">
        <f aca="false">SUMIFS(Data!$H$2:$H$1006,Data!$A$2:$A$1006,$A183,Data!$B$2:$B$1006,$B183)</f>
        <v>44.224961</v>
      </c>
      <c r="K183" s="11" t="n">
        <f aca="false">IFERROR(F183*1000000/$E183,"")</f>
        <v>90.8447189888872</v>
      </c>
      <c r="L183" s="11" t="n">
        <f aca="false">IFERROR(G183*1000000/$E183,"")</f>
        <v>44.4067498855423</v>
      </c>
      <c r="M183" s="11" t="n">
        <f aca="false">IFERROR(H183*1000000/$E183,"")</f>
        <v>68.8190960612661</v>
      </c>
      <c r="N183" s="11" t="n">
        <f aca="false">IFERROR(I183*1000000/$E183,"")</f>
        <v>204.070564935696</v>
      </c>
      <c r="O183" s="11" t="n">
        <f aca="false">IFERROR(J183*1000000/$E183,"")</f>
        <v>76.6952943992009</v>
      </c>
      <c r="P183" s="16" t="n">
        <f aca="false">COUNTIFS($A$4:$A$1008,$A183,$N$4:$N$1008,"&gt;"&amp;N183)+1</f>
        <v>19</v>
      </c>
      <c r="Q183" s="16" t="n">
        <f aca="false">COUNTIFS($A$4:$A$1008,$A183,$O$4:$O$1008,"&gt;"&amp;O183)+1</f>
        <v>33</v>
      </c>
    </row>
    <row r="184" customFormat="false" ht="15" hidden="false" customHeight="false" outlineLevel="0" collapsed="false">
      <c r="A184" s="7" t="n">
        <v>2004</v>
      </c>
      <c r="B184" s="15" t="s">
        <v>144</v>
      </c>
      <c r="C184" s="15" t="s">
        <v>135</v>
      </c>
      <c r="D184" s="15" t="s">
        <v>141</v>
      </c>
      <c r="E184" s="9" t="n">
        <f aca="false">SUMIFS(Data!$L$2:$L$1006,Data!$A$2:$A$1006,$A184,Data!$B$2:$B$1006,$B184)</f>
        <v>458796</v>
      </c>
      <c r="F184" s="10" t="n">
        <f aca="false">SUMIFS(Data!$E$2:$E$1006,Data!$A$2:$A$1006,$A184,Data!$B$2:$B$1006,$B184)</f>
        <v>33.249167</v>
      </c>
      <c r="G184" s="10" t="n">
        <f aca="false">SUMIFS(Data!$F$2:$F$1006,Data!$A$2:$A$1006,$A184,Data!$B$2:$B$1006,$B184)</f>
        <v>20.455741</v>
      </c>
      <c r="H184" s="10" t="n">
        <f aca="false">SUMIFS(Data!$G$2:$G$1006,Data!$A$2:$A$1006,$A184,Data!$B$2:$B$1006,$B184)</f>
        <v>46.904492</v>
      </c>
      <c r="I184" s="10" t="n">
        <f aca="false">SUMIFS(Data!$N$2:$N$1006,Data!$A$2:$A$1006,$A184,Data!$B$2:$B$1006,$B184)</f>
        <v>100.6094</v>
      </c>
      <c r="J184" s="10" t="n">
        <f aca="false">SUMIFS(Data!$H$2:$H$1006,Data!$A$2:$A$1006,$A184,Data!$B$2:$B$1006,$B184)</f>
        <v>43.848678</v>
      </c>
      <c r="K184" s="11" t="n">
        <f aca="false">IFERROR(F184*1000000/$E184,"")</f>
        <v>72.4704814340143</v>
      </c>
      <c r="L184" s="11" t="n">
        <f aca="false">IFERROR(G184*1000000/$E184,"")</f>
        <v>44.5857003984342</v>
      </c>
      <c r="M184" s="11" t="n">
        <f aca="false">IFERROR(H184*1000000/$E184,"")</f>
        <v>102.233873006739</v>
      </c>
      <c r="N184" s="11" t="n">
        <f aca="false">IFERROR(I184*1000000/$E184,"")</f>
        <v>219.290054839188</v>
      </c>
      <c r="O184" s="11" t="n">
        <f aca="false">IFERROR(J184*1000000/$E184,"")</f>
        <v>95.573365940418</v>
      </c>
      <c r="P184" s="16" t="n">
        <f aca="false">COUNTIFS($A$4:$A$1008,$A184,$N$4:$N$1008,"&gt;"&amp;N184)+1</f>
        <v>14</v>
      </c>
      <c r="Q184" s="16" t="n">
        <f aca="false">COUNTIFS($A$4:$A$1008,$A184,$O$4:$O$1008,"&gt;"&amp;O184)+1</f>
        <v>26</v>
      </c>
    </row>
    <row r="185" customFormat="false" ht="15" hidden="false" customHeight="false" outlineLevel="0" collapsed="false">
      <c r="A185" s="7" t="n">
        <v>2004</v>
      </c>
      <c r="B185" s="15" t="s">
        <v>145</v>
      </c>
      <c r="C185" s="15" t="s">
        <v>135</v>
      </c>
      <c r="D185" s="15" t="s">
        <v>146</v>
      </c>
      <c r="E185" s="9" t="n">
        <f aca="false">SUMIFS(Data!$L$2:$L$1006,Data!$A$2:$A$1006,$A185,Data!$B$2:$B$1006,$B185)</f>
        <v>530060</v>
      </c>
      <c r="F185" s="10" t="n">
        <f aca="false">SUMIFS(Data!$E$2:$E$1006,Data!$A$2:$A$1006,$A185,Data!$B$2:$B$1006,$B185)</f>
        <v>26.999283</v>
      </c>
      <c r="G185" s="10" t="n">
        <f aca="false">SUMIFS(Data!$F$2:$F$1006,Data!$A$2:$A$1006,$A185,Data!$B$2:$B$1006,$B185)</f>
        <v>42.786184</v>
      </c>
      <c r="H185" s="10" t="n">
        <f aca="false">SUMIFS(Data!$G$2:$G$1006,Data!$A$2:$A$1006,$A185,Data!$B$2:$B$1006,$B185)</f>
        <v>44.647395</v>
      </c>
      <c r="I185" s="10" t="n">
        <f aca="false">SUMIFS(Data!$N$2:$N$1006,Data!$A$2:$A$1006,$A185,Data!$B$2:$B$1006,$B185)</f>
        <v>114.432862</v>
      </c>
      <c r="J185" s="10" t="n">
        <f aca="false">SUMIFS(Data!$H$2:$H$1006,Data!$A$2:$A$1006,$A185,Data!$B$2:$B$1006,$B185)</f>
        <v>100.776518</v>
      </c>
      <c r="K185" s="11" t="n">
        <f aca="false">IFERROR(F185*1000000/$E185,"")</f>
        <v>50.9362770252424</v>
      </c>
      <c r="L185" s="11" t="n">
        <f aca="false">IFERROR(G185*1000000/$E185,"")</f>
        <v>80.7195109987549</v>
      </c>
      <c r="M185" s="11" t="n">
        <f aca="false">IFERROR(H185*1000000/$E185,"")</f>
        <v>84.2308323586009</v>
      </c>
      <c r="N185" s="11" t="n">
        <f aca="false">IFERROR(I185*1000000/$E185,"")</f>
        <v>215.886620382598</v>
      </c>
      <c r="O185" s="11" t="n">
        <f aca="false">IFERROR(J185*1000000/$E185,"")</f>
        <v>190.122850243369</v>
      </c>
      <c r="P185" s="16" t="n">
        <f aca="false">COUNTIFS($A$4:$A$1008,$A185,$N$4:$N$1008,"&gt;"&amp;N185)+1</f>
        <v>15</v>
      </c>
      <c r="Q185" s="16" t="n">
        <f aca="false">COUNTIFS($A$4:$A$1008,$A185,$O$4:$O$1008,"&gt;"&amp;O185)+1</f>
        <v>3</v>
      </c>
    </row>
    <row r="186" customFormat="false" ht="15" hidden="false" customHeight="false" outlineLevel="0" collapsed="false">
      <c r="A186" s="7" t="n">
        <v>2004</v>
      </c>
      <c r="B186" s="15" t="s">
        <v>147</v>
      </c>
      <c r="C186" s="15" t="s">
        <v>135</v>
      </c>
      <c r="D186" s="15" t="s">
        <v>148</v>
      </c>
      <c r="E186" s="9" t="n">
        <f aca="false">SUMIFS(Data!$L$2:$L$1006,Data!$A$2:$A$1006,$A186,Data!$B$2:$B$1006,$B186)</f>
        <v>133690</v>
      </c>
      <c r="F186" s="10" t="n">
        <f aca="false">SUMIFS(Data!$E$2:$E$1006,Data!$A$2:$A$1006,$A186,Data!$B$2:$B$1006,$B186)</f>
        <v>10.846094</v>
      </c>
      <c r="G186" s="10" t="n">
        <f aca="false">SUMIFS(Data!$F$2:$F$1006,Data!$A$2:$A$1006,$A186,Data!$B$2:$B$1006,$B186)</f>
        <v>8.574618</v>
      </c>
      <c r="H186" s="10" t="n">
        <f aca="false">SUMIFS(Data!$G$2:$G$1006,Data!$A$2:$A$1006,$A186,Data!$B$2:$B$1006,$B186)</f>
        <v>8.27354</v>
      </c>
      <c r="I186" s="10" t="n">
        <f aca="false">SUMIFS(Data!$N$2:$N$1006,Data!$A$2:$A$1006,$A186,Data!$B$2:$B$1006,$B186)</f>
        <v>27.694252</v>
      </c>
      <c r="J186" s="10" t="n">
        <f aca="false">SUMIFS(Data!$H$2:$H$1006,Data!$A$2:$A$1006,$A186,Data!$B$2:$B$1006,$B186)</f>
        <v>26.528729</v>
      </c>
      <c r="K186" s="11" t="n">
        <f aca="false">IFERROR(F186*1000000/$E186,"")</f>
        <v>81.1286857655771</v>
      </c>
      <c r="L186" s="11" t="n">
        <f aca="false">IFERROR(G186*1000000/$E186,"")</f>
        <v>64.1380656743212</v>
      </c>
      <c r="M186" s="11" t="n">
        <f aca="false">IFERROR(H186*1000000/$E186,"")</f>
        <v>61.8860049367941</v>
      </c>
      <c r="N186" s="11" t="n">
        <f aca="false">IFERROR(I186*1000000/$E186,"")</f>
        <v>207.152756376692</v>
      </c>
      <c r="O186" s="11" t="n">
        <f aca="false">IFERROR(J186*1000000/$E186,"")</f>
        <v>198.434654798414</v>
      </c>
      <c r="P186" s="16" t="n">
        <f aca="false">COUNTIFS($A$4:$A$1008,$A186,$N$4:$N$1008,"&gt;"&amp;N186)+1</f>
        <v>18</v>
      </c>
      <c r="Q186" s="16" t="n">
        <f aca="false">COUNTIFS($A$4:$A$1008,$A186,$O$4:$O$1008,"&gt;"&amp;O186)+1</f>
        <v>2</v>
      </c>
    </row>
    <row r="187" customFormat="false" ht="15" hidden="false" customHeight="false" outlineLevel="0" collapsed="false">
      <c r="A187" s="7" t="n">
        <v>2004</v>
      </c>
      <c r="B187" s="15" t="s">
        <v>149</v>
      </c>
      <c r="C187" s="15" t="s">
        <v>135</v>
      </c>
      <c r="D187" s="15" t="s">
        <v>146</v>
      </c>
      <c r="E187" s="9" t="n">
        <f aca="false">SUMIFS(Data!$L$2:$L$1006,Data!$A$2:$A$1006,$A187,Data!$B$2:$B$1006,$B187)</f>
        <v>691916</v>
      </c>
      <c r="F187" s="10" t="n">
        <f aca="false">SUMIFS(Data!$E$2:$E$1006,Data!$A$2:$A$1006,$A187,Data!$B$2:$B$1006,$B187)</f>
        <v>74.116741</v>
      </c>
      <c r="G187" s="10" t="n">
        <f aca="false">SUMIFS(Data!$F$2:$F$1006,Data!$A$2:$A$1006,$A187,Data!$B$2:$B$1006,$B187)</f>
        <v>48.582789</v>
      </c>
      <c r="H187" s="10" t="n">
        <f aca="false">SUMIFS(Data!$G$2:$G$1006,Data!$A$2:$A$1006,$A187,Data!$B$2:$B$1006,$B187)</f>
        <v>51.683654</v>
      </c>
      <c r="I187" s="10" t="n">
        <f aca="false">SUMIFS(Data!$N$2:$N$1006,Data!$A$2:$A$1006,$A187,Data!$B$2:$B$1006,$B187)</f>
        <v>174.383184</v>
      </c>
      <c r="J187" s="10" t="n">
        <f aca="false">SUMIFS(Data!$H$2:$H$1006,Data!$A$2:$A$1006,$A187,Data!$B$2:$B$1006,$B187)</f>
        <v>106.130234</v>
      </c>
      <c r="K187" s="11" t="n">
        <f aca="false">IFERROR(F187*1000000/$E187,"")</f>
        <v>107.118119829575</v>
      </c>
      <c r="L187" s="11" t="n">
        <f aca="false">IFERROR(G187*1000000/$E187,"")</f>
        <v>70.2148656773366</v>
      </c>
      <c r="M187" s="11" t="n">
        <f aca="false">IFERROR(H187*1000000/$E187,"")</f>
        <v>74.6964284681956</v>
      </c>
      <c r="N187" s="11" t="n">
        <f aca="false">IFERROR(I187*1000000/$E187,"")</f>
        <v>252.029413975107</v>
      </c>
      <c r="O187" s="11" t="n">
        <f aca="false">IFERROR(J187*1000000/$E187,"")</f>
        <v>153.386009284364</v>
      </c>
      <c r="P187" s="16" t="n">
        <f aca="false">COUNTIFS($A$4:$A$1008,$A187,$N$4:$N$1008,"&gt;"&amp;N187)+1</f>
        <v>5</v>
      </c>
      <c r="Q187" s="16" t="n">
        <f aca="false">COUNTIFS($A$4:$A$1008,$A187,$O$4:$O$1008,"&gt;"&amp;O187)+1</f>
        <v>5</v>
      </c>
    </row>
    <row r="188" customFormat="false" ht="15" hidden="false" customHeight="false" outlineLevel="0" collapsed="false">
      <c r="A188" s="7" t="n">
        <v>2004</v>
      </c>
      <c r="B188" s="15" t="s">
        <v>150</v>
      </c>
      <c r="C188" s="15" t="s">
        <v>135</v>
      </c>
      <c r="D188" s="15" t="s">
        <v>141</v>
      </c>
      <c r="E188" s="9" t="n">
        <f aca="false">SUMIFS(Data!$L$2:$L$1006,Data!$A$2:$A$1006,$A188,Data!$B$2:$B$1006,$B188)</f>
        <v>442554</v>
      </c>
      <c r="F188" s="10" t="n">
        <f aca="false">SUMIFS(Data!$E$2:$E$1006,Data!$A$2:$A$1006,$A188,Data!$B$2:$B$1006,$B188)</f>
        <v>28.663097</v>
      </c>
      <c r="G188" s="10" t="n">
        <f aca="false">SUMIFS(Data!$F$2:$F$1006,Data!$A$2:$A$1006,$A188,Data!$B$2:$B$1006,$B188)</f>
        <v>18.34026</v>
      </c>
      <c r="H188" s="10" t="n">
        <f aca="false">SUMIFS(Data!$G$2:$G$1006,Data!$A$2:$A$1006,$A188,Data!$B$2:$B$1006,$B188)</f>
        <v>42.068707</v>
      </c>
      <c r="I188" s="10" t="n">
        <f aca="false">SUMIFS(Data!$N$2:$N$1006,Data!$A$2:$A$1006,$A188,Data!$B$2:$B$1006,$B188)</f>
        <v>89.072064</v>
      </c>
      <c r="J188" s="10" t="n">
        <f aca="false">SUMIFS(Data!$H$2:$H$1006,Data!$A$2:$A$1006,$A188,Data!$B$2:$B$1006,$B188)</f>
        <v>43.274063</v>
      </c>
      <c r="K188" s="11" t="n">
        <f aca="false">IFERROR(F188*1000000/$E188,"")</f>
        <v>64.7674566267619</v>
      </c>
      <c r="L188" s="11" t="n">
        <f aca="false">IFERROR(G188*1000000/$E188,"")</f>
        <v>41.4418579427595</v>
      </c>
      <c r="M188" s="11" t="n">
        <f aca="false">IFERROR(H188*1000000/$E188,"")</f>
        <v>95.0589238827352</v>
      </c>
      <c r="N188" s="11" t="n">
        <f aca="false">IFERROR(I188*1000000/$E188,"")</f>
        <v>201.268238452257</v>
      </c>
      <c r="O188" s="11" t="n">
        <f aca="false">IFERROR(J188*1000000/$E188,"")</f>
        <v>97.7825598684002</v>
      </c>
      <c r="P188" s="16" t="n">
        <f aca="false">COUNTIFS($A$4:$A$1008,$A188,$N$4:$N$1008,"&gt;"&amp;N188)+1</f>
        <v>22</v>
      </c>
      <c r="Q188" s="16" t="n">
        <f aca="false">COUNTIFS($A$4:$A$1008,$A188,$O$4:$O$1008,"&gt;"&amp;O188)+1</f>
        <v>23</v>
      </c>
    </row>
    <row r="189" customFormat="false" ht="15" hidden="false" customHeight="false" outlineLevel="0" collapsed="false">
      <c r="A189" s="7" t="n">
        <v>2004</v>
      </c>
      <c r="B189" s="15" t="s">
        <v>151</v>
      </c>
      <c r="C189" s="15" t="s">
        <v>135</v>
      </c>
      <c r="D189" s="15" t="s">
        <v>136</v>
      </c>
      <c r="E189" s="9" t="n">
        <f aca="false">SUMIFS(Data!$L$2:$L$1006,Data!$A$2:$A$1006,$A189,Data!$B$2:$B$1006,$B189)</f>
        <v>1342231</v>
      </c>
      <c r="F189" s="10" t="n">
        <f aca="false">SUMIFS(Data!$E$2:$E$1006,Data!$A$2:$A$1006,$A189,Data!$B$2:$B$1006,$B189)</f>
        <v>91.789767</v>
      </c>
      <c r="G189" s="10" t="n">
        <f aca="false">SUMIFS(Data!$F$2:$F$1006,Data!$A$2:$A$1006,$A189,Data!$B$2:$B$1006,$B189)</f>
        <v>105.200409</v>
      </c>
      <c r="H189" s="10" t="n">
        <f aca="false">SUMIFS(Data!$G$2:$G$1006,Data!$A$2:$A$1006,$A189,Data!$B$2:$B$1006,$B189)</f>
        <v>74.949118</v>
      </c>
      <c r="I189" s="10" t="n">
        <f aca="false">SUMIFS(Data!$N$2:$N$1006,Data!$A$2:$A$1006,$A189,Data!$B$2:$B$1006,$B189)</f>
        <v>271.939294</v>
      </c>
      <c r="J189" s="10" t="n">
        <f aca="false">SUMIFS(Data!$H$2:$H$1006,Data!$A$2:$A$1006,$A189,Data!$B$2:$B$1006,$B189)</f>
        <v>131.001816</v>
      </c>
      <c r="K189" s="11" t="n">
        <f aca="false">IFERROR(F189*1000000/$E189,"")</f>
        <v>68.3859685851392</v>
      </c>
      <c r="L189" s="11" t="n">
        <f aca="false">IFERROR(G189*1000000/$E189,"")</f>
        <v>78.3772755956315</v>
      </c>
      <c r="M189" s="11" t="n">
        <f aca="false">IFERROR(H189*1000000/$E189,"")</f>
        <v>55.8392094952359</v>
      </c>
      <c r="N189" s="11" t="n">
        <f aca="false">IFERROR(I189*1000000/$E189,"")</f>
        <v>202.602453676007</v>
      </c>
      <c r="O189" s="11" t="n">
        <f aca="false">IFERROR(J189*1000000/$E189,"")</f>
        <v>97.6000524499881</v>
      </c>
      <c r="P189" s="16" t="n">
        <f aca="false">COUNTIFS($A$4:$A$1008,$A189,$N$4:$N$1008,"&gt;"&amp;N189)+1</f>
        <v>20</v>
      </c>
      <c r="Q189" s="16" t="n">
        <f aca="false">COUNTIFS($A$4:$A$1008,$A189,$O$4:$O$1008,"&gt;"&amp;O189)+1</f>
        <v>24</v>
      </c>
    </row>
    <row r="190" customFormat="false" ht="15" hidden="false" customHeight="false" outlineLevel="0" collapsed="false">
      <c r="A190" s="7" t="n">
        <v>2004</v>
      </c>
      <c r="B190" s="15" t="s">
        <v>152</v>
      </c>
      <c r="C190" s="15" t="s">
        <v>135</v>
      </c>
      <c r="D190" s="15" t="s">
        <v>148</v>
      </c>
      <c r="E190" s="9" t="n">
        <f aca="false">SUMIFS(Data!$L$2:$L$1006,Data!$A$2:$A$1006,$A190,Data!$B$2:$B$1006,$B190)</f>
        <v>238065</v>
      </c>
      <c r="F190" s="10" t="n">
        <f aca="false">SUMIFS(Data!$E$2:$E$1006,Data!$A$2:$A$1006,$A190,Data!$B$2:$B$1006,$B190)</f>
        <v>19.068671</v>
      </c>
      <c r="G190" s="10" t="n">
        <f aca="false">SUMIFS(Data!$F$2:$F$1006,Data!$A$2:$A$1006,$A190,Data!$B$2:$B$1006,$B190)</f>
        <v>17.635325</v>
      </c>
      <c r="H190" s="10" t="n">
        <f aca="false">SUMIFS(Data!$G$2:$G$1006,Data!$A$2:$A$1006,$A190,Data!$B$2:$B$1006,$B190)</f>
        <v>17.600906</v>
      </c>
      <c r="I190" s="10" t="n">
        <f aca="false">SUMIFS(Data!$N$2:$N$1006,Data!$A$2:$A$1006,$A190,Data!$B$2:$B$1006,$B190)</f>
        <v>54.304902</v>
      </c>
      <c r="J190" s="10" t="n">
        <f aca="false">SUMIFS(Data!$H$2:$H$1006,Data!$A$2:$A$1006,$A190,Data!$B$2:$B$1006,$B190)</f>
        <v>26.800702</v>
      </c>
      <c r="K190" s="11" t="n">
        <f aca="false">IFERROR(F190*1000000/$E190,"")</f>
        <v>80.0985907210216</v>
      </c>
      <c r="L190" s="11" t="n">
        <f aca="false">IFERROR(G190*1000000/$E190,"")</f>
        <v>74.0777728771554</v>
      </c>
      <c r="M190" s="11" t="n">
        <f aca="false">IFERROR(H190*1000000/$E190,"")</f>
        <v>73.9331947157289</v>
      </c>
      <c r="N190" s="11" t="n">
        <f aca="false">IFERROR(I190*1000000/$E190,"")</f>
        <v>228.109558313906</v>
      </c>
      <c r="O190" s="11" t="n">
        <f aca="false">IFERROR(J190*1000000/$E190,"")</f>
        <v>112.577245710205</v>
      </c>
      <c r="P190" s="16" t="n">
        <f aca="false">COUNTIFS($A$4:$A$1008,$A190,$N$4:$N$1008,"&gt;"&amp;N190)+1</f>
        <v>10</v>
      </c>
      <c r="Q190" s="16" t="n">
        <f aca="false">COUNTIFS($A$4:$A$1008,$A190,$O$4:$O$1008,"&gt;"&amp;O190)+1</f>
        <v>16</v>
      </c>
    </row>
    <row r="191" customFormat="false" ht="15" hidden="false" customHeight="false" outlineLevel="0" collapsed="false">
      <c r="A191" s="7" t="n">
        <v>2004</v>
      </c>
      <c r="B191" s="15" t="s">
        <v>153</v>
      </c>
      <c r="C191" s="15" t="s">
        <v>135</v>
      </c>
      <c r="D191" s="15" t="s">
        <v>136</v>
      </c>
      <c r="E191" s="9" t="n">
        <f aca="false">SUMIFS(Data!$L$2:$L$1006,Data!$A$2:$A$1006,$A191,Data!$B$2:$B$1006,$B191)</f>
        <v>127824</v>
      </c>
      <c r="F191" s="10" t="n">
        <f aca="false">SUMIFS(Data!$E$2:$E$1006,Data!$A$2:$A$1006,$A191,Data!$B$2:$B$1006,$B191)</f>
        <v>10.753775</v>
      </c>
      <c r="G191" s="10" t="n">
        <f aca="false">SUMIFS(Data!$F$2:$F$1006,Data!$A$2:$A$1006,$A191,Data!$B$2:$B$1006,$B191)</f>
        <v>13.486687</v>
      </c>
      <c r="H191" s="10" t="n">
        <f aca="false">SUMIFS(Data!$G$2:$G$1006,Data!$A$2:$A$1006,$A191,Data!$B$2:$B$1006,$B191)</f>
        <v>7.6631</v>
      </c>
      <c r="I191" s="10" t="n">
        <f aca="false">SUMIFS(Data!$N$2:$N$1006,Data!$A$2:$A$1006,$A191,Data!$B$2:$B$1006,$B191)</f>
        <v>31.903562</v>
      </c>
      <c r="J191" s="10" t="n">
        <f aca="false">SUMIFS(Data!$H$2:$H$1006,Data!$A$2:$A$1006,$A191,Data!$B$2:$B$1006,$B191)</f>
        <v>14.896683</v>
      </c>
      <c r="K191" s="11" t="n">
        <f aca="false">IFERROR(F191*1000000/$E191,"")</f>
        <v>84.1295453123044</v>
      </c>
      <c r="L191" s="11" t="n">
        <f aca="false">IFERROR(G191*1000000/$E191,"")</f>
        <v>105.509818187508</v>
      </c>
      <c r="M191" s="11" t="n">
        <f aca="false">IFERROR(H191*1000000/$E191,"")</f>
        <v>59.9504005507573</v>
      </c>
      <c r="N191" s="11" t="n">
        <f aca="false">IFERROR(I191*1000000/$E191,"")</f>
        <v>249.58976405057</v>
      </c>
      <c r="O191" s="11" t="n">
        <f aca="false">IFERROR(J191*1000000/$E191,"")</f>
        <v>116.540579233947</v>
      </c>
      <c r="P191" s="16" t="n">
        <f aca="false">COUNTIFS($A$4:$A$1008,$A191,$N$4:$N$1008,"&gt;"&amp;N191)+1</f>
        <v>6</v>
      </c>
      <c r="Q191" s="16" t="n">
        <f aca="false">COUNTIFS($A$4:$A$1008,$A191,$O$4:$O$1008,"&gt;"&amp;O191)+1</f>
        <v>14</v>
      </c>
    </row>
    <row r="192" customFormat="false" ht="15" hidden="false" customHeight="false" outlineLevel="0" collapsed="false">
      <c r="A192" s="7" t="n">
        <v>2004</v>
      </c>
      <c r="B192" s="15" t="s">
        <v>154</v>
      </c>
      <c r="C192" s="15" t="s">
        <v>135</v>
      </c>
      <c r="D192" s="15" t="s">
        <v>141</v>
      </c>
      <c r="E192" s="9" t="n">
        <f aca="false">SUMIFS(Data!$L$2:$L$1006,Data!$A$2:$A$1006,$A192,Data!$B$2:$B$1006,$B192)</f>
        <v>135449</v>
      </c>
      <c r="F192" s="10" t="n">
        <f aca="false">SUMIFS(Data!$E$2:$E$1006,Data!$A$2:$A$1006,$A192,Data!$B$2:$B$1006,$B192)</f>
        <v>8.896149</v>
      </c>
      <c r="G192" s="10" t="n">
        <f aca="false">SUMIFS(Data!$F$2:$F$1006,Data!$A$2:$A$1006,$A192,Data!$B$2:$B$1006,$B192)</f>
        <v>5.711235</v>
      </c>
      <c r="H192" s="10" t="n">
        <f aca="false">SUMIFS(Data!$G$2:$G$1006,Data!$A$2:$A$1006,$A192,Data!$B$2:$B$1006,$B192)</f>
        <v>10.139892</v>
      </c>
      <c r="I192" s="10" t="n">
        <f aca="false">SUMIFS(Data!$N$2:$N$1006,Data!$A$2:$A$1006,$A192,Data!$B$2:$B$1006,$B192)</f>
        <v>24.747276</v>
      </c>
      <c r="J192" s="10" t="n">
        <f aca="false">SUMIFS(Data!$H$2:$H$1006,Data!$A$2:$A$1006,$A192,Data!$B$2:$B$1006,$B192)</f>
        <v>16.528484</v>
      </c>
      <c r="K192" s="11" t="n">
        <f aca="false">IFERROR(F192*1000000/$E192,"")</f>
        <v>65.6789566552725</v>
      </c>
      <c r="L192" s="11" t="n">
        <f aca="false">IFERROR(G192*1000000/$E192,"")</f>
        <v>42.16520609233</v>
      </c>
      <c r="M192" s="11" t="n">
        <f aca="false">IFERROR(H192*1000000/$E192,"")</f>
        <v>74.8613278798662</v>
      </c>
      <c r="N192" s="11" t="n">
        <f aca="false">IFERROR(I192*1000000/$E192,"")</f>
        <v>182.705490627469</v>
      </c>
      <c r="O192" s="11" t="n">
        <f aca="false">IFERROR(J192*1000000/$E192,"")</f>
        <v>122.027360851686</v>
      </c>
      <c r="P192" s="16" t="n">
        <f aca="false">COUNTIFS($A$4:$A$1008,$A192,$N$4:$N$1008,"&gt;"&amp;N192)+1</f>
        <v>28</v>
      </c>
      <c r="Q192" s="16" t="n">
        <f aca="false">COUNTIFS($A$4:$A$1008,$A192,$O$4:$O$1008,"&gt;"&amp;O192)+1</f>
        <v>13</v>
      </c>
    </row>
    <row r="193" customFormat="false" ht="15" hidden="false" customHeight="false" outlineLevel="0" collapsed="false">
      <c r="A193" s="7" t="n">
        <v>2004</v>
      </c>
      <c r="B193" s="15" t="s">
        <v>155</v>
      </c>
      <c r="C193" s="15" t="s">
        <v>135</v>
      </c>
      <c r="D193" s="15" t="s">
        <v>148</v>
      </c>
      <c r="E193" s="9" t="n">
        <f aca="false">SUMIFS(Data!$L$2:$L$1006,Data!$A$2:$A$1006,$A193,Data!$B$2:$B$1006,$B193)</f>
        <v>1074129</v>
      </c>
      <c r="F193" s="10" t="n">
        <f aca="false">SUMIFS(Data!$E$2:$E$1006,Data!$A$2:$A$1006,$A193,Data!$B$2:$B$1006,$B193)</f>
        <v>65.222303</v>
      </c>
      <c r="G193" s="10" t="n">
        <f aca="false">SUMIFS(Data!$F$2:$F$1006,Data!$A$2:$A$1006,$A193,Data!$B$2:$B$1006,$B193)</f>
        <v>61.497391</v>
      </c>
      <c r="H193" s="10" t="n">
        <f aca="false">SUMIFS(Data!$G$2:$G$1006,Data!$A$2:$A$1006,$A193,Data!$B$2:$B$1006,$B193)</f>
        <v>84.600169</v>
      </c>
      <c r="I193" s="10" t="n">
        <f aca="false">SUMIFS(Data!$N$2:$N$1006,Data!$A$2:$A$1006,$A193,Data!$B$2:$B$1006,$B193)</f>
        <v>211.319863</v>
      </c>
      <c r="J193" s="10" t="n">
        <f aca="false">SUMIFS(Data!$H$2:$H$1006,Data!$A$2:$A$1006,$A193,Data!$B$2:$B$1006,$B193)</f>
        <v>155.071499</v>
      </c>
      <c r="K193" s="11" t="n">
        <f aca="false">IFERROR(F193*1000000/$E193,"")</f>
        <v>60.7211079860985</v>
      </c>
      <c r="L193" s="11" t="n">
        <f aca="false">IFERROR(G193*1000000/$E193,"")</f>
        <v>57.2532638072336</v>
      </c>
      <c r="M193" s="11" t="n">
        <f aca="false">IFERROR(H193*1000000/$E193,"")</f>
        <v>78.7616468785407</v>
      </c>
      <c r="N193" s="11" t="n">
        <f aca="false">IFERROR(I193*1000000/$E193,"")</f>
        <v>196.736018671873</v>
      </c>
      <c r="O193" s="11" t="n">
        <f aca="false">IFERROR(J193*1000000/$E193,"")</f>
        <v>144.369530102995</v>
      </c>
      <c r="P193" s="16" t="n">
        <f aca="false">COUNTIFS($A$4:$A$1008,$A193,$N$4:$N$1008,"&gt;"&amp;N193)+1</f>
        <v>25</v>
      </c>
      <c r="Q193" s="16" t="n">
        <f aca="false">COUNTIFS($A$4:$A$1008,$A193,$O$4:$O$1008,"&gt;"&amp;O193)+1</f>
        <v>8</v>
      </c>
    </row>
    <row r="194" customFormat="false" ht="15" hidden="false" customHeight="false" outlineLevel="0" collapsed="false">
      <c r="A194" s="7" t="n">
        <v>2004</v>
      </c>
      <c r="B194" s="15" t="s">
        <v>156</v>
      </c>
      <c r="C194" s="15" t="s">
        <v>135</v>
      </c>
      <c r="D194" s="15" t="s">
        <v>148</v>
      </c>
      <c r="E194" s="9" t="n">
        <f aca="false">SUMIFS(Data!$L$2:$L$1006,Data!$A$2:$A$1006,$A194,Data!$B$2:$B$1006,$B194)</f>
        <v>431669</v>
      </c>
      <c r="F194" s="10" t="n">
        <f aca="false">SUMIFS(Data!$E$2:$E$1006,Data!$A$2:$A$1006,$A194,Data!$B$2:$B$1006,$B194)</f>
        <v>25.248446</v>
      </c>
      <c r="G194" s="10" t="n">
        <f aca="false">SUMIFS(Data!$F$2:$F$1006,Data!$A$2:$A$1006,$A194,Data!$B$2:$B$1006,$B194)</f>
        <v>41.781984</v>
      </c>
      <c r="H194" s="10" t="n">
        <f aca="false">SUMIFS(Data!$G$2:$G$1006,Data!$A$2:$A$1006,$A194,Data!$B$2:$B$1006,$B194)</f>
        <v>34.781554</v>
      </c>
      <c r="I194" s="10" t="n">
        <f aca="false">SUMIFS(Data!$N$2:$N$1006,Data!$A$2:$A$1006,$A194,Data!$B$2:$B$1006,$B194)</f>
        <v>101.811984</v>
      </c>
      <c r="J194" s="10" t="n">
        <f aca="false">SUMIFS(Data!$H$2:$H$1006,Data!$A$2:$A$1006,$A194,Data!$B$2:$B$1006,$B194)</f>
        <v>101.579881</v>
      </c>
      <c r="K194" s="11" t="n">
        <f aca="false">IFERROR(F194*1000000/$E194,"")</f>
        <v>58.4902923304662</v>
      </c>
      <c r="L194" s="11" t="n">
        <f aca="false">IFERROR(G194*1000000/$E194,"")</f>
        <v>96.7917177281667</v>
      </c>
      <c r="M194" s="11" t="n">
        <f aca="false">IFERROR(H194*1000000/$E194,"")</f>
        <v>80.5745930330879</v>
      </c>
      <c r="N194" s="11" t="n">
        <f aca="false">IFERROR(I194*1000000/$E194,"")</f>
        <v>235.856603091721</v>
      </c>
      <c r="O194" s="11" t="n">
        <f aca="false">IFERROR(J194*1000000/$E194,"")</f>
        <v>235.318915650649</v>
      </c>
      <c r="P194" s="16" t="n">
        <f aca="false">COUNTIFS($A$4:$A$1008,$A194,$N$4:$N$1008,"&gt;"&amp;N194)+1</f>
        <v>7</v>
      </c>
      <c r="Q194" s="16" t="n">
        <f aca="false">COUNTIFS($A$4:$A$1008,$A194,$O$4:$O$1008,"&gt;"&amp;O194)+1</f>
        <v>1</v>
      </c>
    </row>
    <row r="195" customFormat="false" ht="15" hidden="false" customHeight="false" outlineLevel="0" collapsed="false">
      <c r="A195" s="7" t="n">
        <v>2004</v>
      </c>
      <c r="B195" s="15" t="s">
        <v>157</v>
      </c>
      <c r="C195" s="15" t="s">
        <v>135</v>
      </c>
      <c r="D195" s="15" t="s">
        <v>148</v>
      </c>
      <c r="E195" s="9" t="n">
        <f aca="false">SUMIFS(Data!$L$2:$L$1006,Data!$A$2:$A$1006,$A195,Data!$B$2:$B$1006,$B195)</f>
        <v>417226</v>
      </c>
      <c r="F195" s="10" t="n">
        <f aca="false">SUMIFS(Data!$E$2:$E$1006,Data!$A$2:$A$1006,$A195,Data!$B$2:$B$1006,$B195)</f>
        <v>39.393288</v>
      </c>
      <c r="G195" s="10" t="n">
        <f aca="false">SUMIFS(Data!$F$2:$F$1006,Data!$A$2:$A$1006,$A195,Data!$B$2:$B$1006,$B195)</f>
        <v>34.8184</v>
      </c>
      <c r="H195" s="10" t="n">
        <f aca="false">SUMIFS(Data!$G$2:$G$1006,Data!$A$2:$A$1006,$A195,Data!$B$2:$B$1006,$B195)</f>
        <v>22.674674</v>
      </c>
      <c r="I195" s="10" t="n">
        <f aca="false">SUMIFS(Data!$N$2:$N$1006,Data!$A$2:$A$1006,$A195,Data!$B$2:$B$1006,$B195)</f>
        <v>96.886362</v>
      </c>
      <c r="J195" s="10" t="n">
        <f aca="false">SUMIFS(Data!$H$2:$H$1006,Data!$A$2:$A$1006,$A195,Data!$B$2:$B$1006,$B195)</f>
        <v>69.352618</v>
      </c>
      <c r="K195" s="11" t="n">
        <f aca="false">IFERROR(F195*1000000/$E195,"")</f>
        <v>94.4171456237147</v>
      </c>
      <c r="L195" s="11" t="n">
        <f aca="false">IFERROR(G195*1000000/$E195,"")</f>
        <v>83.4521338555124</v>
      </c>
      <c r="M195" s="11" t="n">
        <f aca="false">IFERROR(H195*1000000/$E195,"")</f>
        <v>54.3462631763121</v>
      </c>
      <c r="N195" s="11" t="n">
        <f aca="false">IFERROR(I195*1000000/$E195,"")</f>
        <v>232.215542655539</v>
      </c>
      <c r="O195" s="11" t="n">
        <f aca="false">IFERROR(J195*1000000/$E195,"")</f>
        <v>166.223145249817</v>
      </c>
      <c r="P195" s="16" t="n">
        <f aca="false">COUNTIFS($A$4:$A$1008,$A195,$N$4:$N$1008,"&gt;"&amp;N195)+1</f>
        <v>9</v>
      </c>
      <c r="Q195" s="16" t="n">
        <f aca="false">COUNTIFS($A$4:$A$1008,$A195,$O$4:$O$1008,"&gt;"&amp;O195)+1</f>
        <v>4</v>
      </c>
    </row>
    <row r="196" customFormat="false" ht="15" hidden="false" customHeight="false" outlineLevel="0" collapsed="false">
      <c r="A196" s="7" t="n">
        <v>2005</v>
      </c>
      <c r="B196" s="15" t="s">
        <v>101</v>
      </c>
      <c r="C196" s="15" t="s">
        <v>102</v>
      </c>
      <c r="D196" s="15" t="s">
        <v>103</v>
      </c>
      <c r="E196" s="9" t="n">
        <f aca="false">SUMIFS(Data!$L$2:$L$1006,Data!$A$2:$A$1006,$A196,Data!$B$2:$B$1006,$B196)</f>
        <v>761559</v>
      </c>
      <c r="F196" s="10" t="n">
        <f aca="false">SUMIFS(Data!$E$2:$E$1006,Data!$A$2:$A$1006,$A196,Data!$B$2:$B$1006,$B196)</f>
        <v>51.431396</v>
      </c>
      <c r="G196" s="10" t="n">
        <f aca="false">SUMIFS(Data!$F$2:$F$1006,Data!$A$2:$A$1006,$A196,Data!$B$2:$B$1006,$B196)</f>
        <v>29.955962</v>
      </c>
      <c r="H196" s="10" t="n">
        <f aca="false">SUMIFS(Data!$G$2:$G$1006,Data!$A$2:$A$1006,$A196,Data!$B$2:$B$1006,$B196)</f>
        <v>46.074046</v>
      </c>
      <c r="I196" s="10" t="n">
        <f aca="false">SUMIFS(Data!$N$2:$N$1006,Data!$A$2:$A$1006,$A196,Data!$B$2:$B$1006,$B196)</f>
        <v>127.461404</v>
      </c>
      <c r="J196" s="10" t="n">
        <f aca="false">SUMIFS(Data!$H$2:$H$1006,Data!$A$2:$A$1006,$A196,Data!$B$2:$B$1006,$B196)</f>
        <v>77.57642</v>
      </c>
      <c r="K196" s="11" t="n">
        <f aca="false">IFERROR(F196*1000000/$E196,"")</f>
        <v>67.5343551845622</v>
      </c>
      <c r="L196" s="11" t="n">
        <f aca="false">IFERROR(G196*1000000/$E196,"")</f>
        <v>39.3350508627697</v>
      </c>
      <c r="M196" s="11" t="n">
        <f aca="false">IFERROR(H196*1000000/$E196,"")</f>
        <v>60.4996408682715</v>
      </c>
      <c r="N196" s="11" t="n">
        <f aca="false">IFERROR(I196*1000000/$E196,"")</f>
        <v>167.369046915603</v>
      </c>
      <c r="O196" s="11" t="n">
        <f aca="false">IFERROR(J196*1000000/$E196,"")</f>
        <v>101.86527898692</v>
      </c>
      <c r="P196" s="16" t="n">
        <f aca="false">COUNTIFS($A$4:$A$1008,$A196,$N$4:$N$1008,"&gt;"&amp;N196)+1</f>
        <v>35</v>
      </c>
      <c r="Q196" s="16" t="n">
        <f aca="false">COUNTIFS($A$4:$A$1008,$A196,$O$4:$O$1008,"&gt;"&amp;O196)+1</f>
        <v>25</v>
      </c>
    </row>
    <row r="197" customFormat="false" ht="15" hidden="false" customHeight="false" outlineLevel="0" collapsed="false">
      <c r="A197" s="7" t="n">
        <v>2005</v>
      </c>
      <c r="B197" s="15" t="s">
        <v>104</v>
      </c>
      <c r="C197" s="15" t="s">
        <v>102</v>
      </c>
      <c r="D197" s="15" t="s">
        <v>105</v>
      </c>
      <c r="E197" s="9" t="n">
        <f aca="false">SUMIFS(Data!$L$2:$L$1006,Data!$A$2:$A$1006,$A197,Data!$B$2:$B$1006,$B197)</f>
        <v>1067246</v>
      </c>
      <c r="F197" s="10" t="n">
        <f aca="false">SUMIFS(Data!$E$2:$E$1006,Data!$A$2:$A$1006,$A197,Data!$B$2:$B$1006,$B197)</f>
        <v>118.096604</v>
      </c>
      <c r="G197" s="10" t="n">
        <f aca="false">SUMIFS(Data!$F$2:$F$1006,Data!$A$2:$A$1006,$A197,Data!$B$2:$B$1006,$B197)</f>
        <v>124.250735</v>
      </c>
      <c r="H197" s="10" t="n">
        <f aca="false">SUMIFS(Data!$G$2:$G$1006,Data!$A$2:$A$1006,$A197,Data!$B$2:$B$1006,$B197)</f>
        <v>51.276744</v>
      </c>
      <c r="I197" s="10" t="n">
        <f aca="false">SUMIFS(Data!$N$2:$N$1006,Data!$A$2:$A$1006,$A197,Data!$B$2:$B$1006,$B197)</f>
        <v>293.624083</v>
      </c>
      <c r="J197" s="10" t="n">
        <f aca="false">SUMIFS(Data!$H$2:$H$1006,Data!$A$2:$A$1006,$A197,Data!$B$2:$B$1006,$B197)</f>
        <v>148.924425</v>
      </c>
      <c r="K197" s="11" t="n">
        <f aca="false">IFERROR(F197*1000000/$E197,"")</f>
        <v>110.655466499757</v>
      </c>
      <c r="L197" s="11" t="n">
        <f aca="false">IFERROR(G197*1000000/$E197,"")</f>
        <v>116.421832454748</v>
      </c>
      <c r="M197" s="11" t="n">
        <f aca="false">IFERROR(H197*1000000/$E197,"")</f>
        <v>48.0458525963086</v>
      </c>
      <c r="N197" s="11" t="n">
        <f aca="false">IFERROR(I197*1000000/$E197,"")</f>
        <v>275.123151550814</v>
      </c>
      <c r="O197" s="11" t="n">
        <f aca="false">IFERROR(J197*1000000/$E197,"")</f>
        <v>139.540860307745</v>
      </c>
      <c r="P197" s="16" t="n">
        <f aca="false">COUNTIFS($A$4:$A$1008,$A197,$N$4:$N$1008,"&gt;"&amp;N197)+1</f>
        <v>3</v>
      </c>
      <c r="Q197" s="16" t="n">
        <f aca="false">COUNTIFS($A$4:$A$1008,$A197,$O$4:$O$1008,"&gt;"&amp;O197)+1</f>
        <v>13</v>
      </c>
    </row>
    <row r="198" customFormat="false" ht="15" hidden="false" customHeight="false" outlineLevel="0" collapsed="false">
      <c r="A198" s="7" t="n">
        <v>2005</v>
      </c>
      <c r="B198" s="15" t="s">
        <v>106</v>
      </c>
      <c r="C198" s="15" t="s">
        <v>102</v>
      </c>
      <c r="D198" s="15" t="s">
        <v>107</v>
      </c>
      <c r="E198" s="9" t="n">
        <f aca="false">SUMIFS(Data!$L$2:$L$1006,Data!$A$2:$A$1006,$A198,Data!$B$2:$B$1006,$B198)</f>
        <v>530011</v>
      </c>
      <c r="F198" s="10" t="n">
        <f aca="false">SUMIFS(Data!$E$2:$E$1006,Data!$A$2:$A$1006,$A198,Data!$B$2:$B$1006,$B198)</f>
        <v>36.860847</v>
      </c>
      <c r="G198" s="10" t="n">
        <f aca="false">SUMIFS(Data!$F$2:$F$1006,Data!$A$2:$A$1006,$A198,Data!$B$2:$B$1006,$B198)</f>
        <v>33.427865</v>
      </c>
      <c r="H198" s="10" t="n">
        <f aca="false">SUMIFS(Data!$G$2:$G$1006,Data!$A$2:$A$1006,$A198,Data!$B$2:$B$1006,$B198)</f>
        <v>25.568029</v>
      </c>
      <c r="I198" s="10" t="n">
        <f aca="false">SUMIFS(Data!$N$2:$N$1006,Data!$A$2:$A$1006,$A198,Data!$B$2:$B$1006,$B198)</f>
        <v>95.856741</v>
      </c>
      <c r="J198" s="10" t="n">
        <f aca="false">SUMIFS(Data!$H$2:$H$1006,Data!$A$2:$A$1006,$A198,Data!$B$2:$B$1006,$B198)</f>
        <v>75.085664</v>
      </c>
      <c r="K198" s="11" t="n">
        <f aca="false">IFERROR(F198*1000000/$E198,"")</f>
        <v>69.5473244894917</v>
      </c>
      <c r="L198" s="11" t="n">
        <f aca="false">IFERROR(G198*1000000/$E198,"")</f>
        <v>63.0701343934371</v>
      </c>
      <c r="M198" s="11" t="n">
        <f aca="false">IFERROR(H198*1000000/$E198,"")</f>
        <v>48.2405629317127</v>
      </c>
      <c r="N198" s="11" t="n">
        <f aca="false">IFERROR(I198*1000000/$E198,"")</f>
        <v>180.858021814642</v>
      </c>
      <c r="O198" s="11" t="n">
        <f aca="false">IFERROR(J198*1000000/$E198,"")</f>
        <v>141.668123869127</v>
      </c>
      <c r="P198" s="16" t="n">
        <f aca="false">COUNTIFS($A$4:$A$1008,$A198,$N$4:$N$1008,"&gt;"&amp;N198)+1</f>
        <v>28</v>
      </c>
      <c r="Q198" s="16" t="n">
        <f aca="false">COUNTIFS($A$4:$A$1008,$A198,$O$4:$O$1008,"&gt;"&amp;O198)+1</f>
        <v>12</v>
      </c>
    </row>
    <row r="199" customFormat="false" ht="15" hidden="false" customHeight="false" outlineLevel="0" collapsed="false">
      <c r="A199" s="7" t="n">
        <v>2005</v>
      </c>
      <c r="B199" s="15" t="s">
        <v>108</v>
      </c>
      <c r="C199" s="15" t="s">
        <v>102</v>
      </c>
      <c r="D199" s="15" t="s">
        <v>109</v>
      </c>
      <c r="E199" s="9" t="n">
        <f aca="false">SUMIFS(Data!$L$2:$L$1006,Data!$A$2:$A$1006,$A199,Data!$B$2:$B$1006,$B199)</f>
        <v>400554</v>
      </c>
      <c r="F199" s="10" t="n">
        <f aca="false">SUMIFS(Data!$E$2:$E$1006,Data!$A$2:$A$1006,$A199,Data!$B$2:$B$1006,$B199)</f>
        <v>41.870748</v>
      </c>
      <c r="G199" s="10" t="n">
        <f aca="false">SUMIFS(Data!$F$2:$F$1006,Data!$A$2:$A$1006,$A199,Data!$B$2:$B$1006,$B199)</f>
        <v>12.457215</v>
      </c>
      <c r="H199" s="10" t="n">
        <f aca="false">SUMIFS(Data!$G$2:$G$1006,Data!$A$2:$A$1006,$A199,Data!$B$2:$B$1006,$B199)</f>
        <v>23.90309</v>
      </c>
      <c r="I199" s="10" t="n">
        <f aca="false">SUMIFS(Data!$N$2:$N$1006,Data!$A$2:$A$1006,$A199,Data!$B$2:$B$1006,$B199)</f>
        <v>78.231053</v>
      </c>
      <c r="J199" s="10" t="n">
        <f aca="false">SUMIFS(Data!$H$2:$H$1006,Data!$A$2:$A$1006,$A199,Data!$B$2:$B$1006,$B199)</f>
        <v>43.855421</v>
      </c>
      <c r="K199" s="11" t="n">
        <f aca="false">IFERROR(F199*1000000/$E199,"")</f>
        <v>104.532093051124</v>
      </c>
      <c r="L199" s="11" t="n">
        <f aca="false">IFERROR(G199*1000000/$E199,"")</f>
        <v>31.099964049791</v>
      </c>
      <c r="M199" s="11" t="n">
        <f aca="false">IFERROR(H199*1000000/$E199,"")</f>
        <v>59.6750750210958</v>
      </c>
      <c r="N199" s="11" t="n">
        <f aca="false">IFERROR(I199*1000000/$E199,"")</f>
        <v>195.307132122011</v>
      </c>
      <c r="O199" s="11" t="n">
        <f aca="false">IFERROR(J199*1000000/$E199,"")</f>
        <v>109.486913125321</v>
      </c>
      <c r="P199" s="16" t="n">
        <f aca="false">COUNTIFS($A$4:$A$1008,$A199,$N$4:$N$1008,"&gt;"&amp;N199)+1</f>
        <v>27</v>
      </c>
      <c r="Q199" s="16" t="n">
        <f aca="false">COUNTIFS($A$4:$A$1008,$A199,$O$4:$O$1008,"&gt;"&amp;O199)+1</f>
        <v>21</v>
      </c>
    </row>
    <row r="200" customFormat="false" ht="15" hidden="false" customHeight="false" outlineLevel="0" collapsed="false">
      <c r="A200" s="7" t="n">
        <v>2005</v>
      </c>
      <c r="B200" s="15" t="s">
        <v>110</v>
      </c>
      <c r="C200" s="15" t="s">
        <v>102</v>
      </c>
      <c r="D200" s="15" t="s">
        <v>103</v>
      </c>
      <c r="E200" s="9" t="n">
        <f aca="false">SUMIFS(Data!$L$2:$L$1006,Data!$A$2:$A$1006,$A200,Data!$B$2:$B$1006,$B200)</f>
        <v>1034352</v>
      </c>
      <c r="F200" s="10" t="n">
        <f aca="false">SUMIFS(Data!$E$2:$E$1006,Data!$A$2:$A$1006,$A200,Data!$B$2:$B$1006,$B200)</f>
        <v>67.644179</v>
      </c>
      <c r="G200" s="10" t="n">
        <f aca="false">SUMIFS(Data!$F$2:$F$1006,Data!$A$2:$A$1006,$A200,Data!$B$2:$B$1006,$B200)</f>
        <v>43.619135</v>
      </c>
      <c r="H200" s="10" t="n">
        <f aca="false">SUMIFS(Data!$G$2:$G$1006,Data!$A$2:$A$1006,$A200,Data!$B$2:$B$1006,$B200)</f>
        <v>37.642242</v>
      </c>
      <c r="I200" s="10" t="n">
        <f aca="false">SUMIFS(Data!$N$2:$N$1006,Data!$A$2:$A$1006,$A200,Data!$B$2:$B$1006,$B200)</f>
        <v>148.905556</v>
      </c>
      <c r="J200" s="10" t="n">
        <f aca="false">SUMIFS(Data!$H$2:$H$1006,Data!$A$2:$A$1006,$A200,Data!$B$2:$B$1006,$B200)</f>
        <v>85.767533</v>
      </c>
      <c r="K200" s="11" t="n">
        <f aca="false">IFERROR(F200*1000000/$E200,"")</f>
        <v>65.3976392949402</v>
      </c>
      <c r="L200" s="11" t="n">
        <f aca="false">IFERROR(G200*1000000/$E200,"")</f>
        <v>42.1704941837982</v>
      </c>
      <c r="M200" s="11" t="n">
        <f aca="false">IFERROR(H200*1000000/$E200,"")</f>
        <v>36.392100561511</v>
      </c>
      <c r="N200" s="11" t="n">
        <f aca="false">IFERROR(I200*1000000/$E200,"")</f>
        <v>143.960234040249</v>
      </c>
      <c r="O200" s="11" t="n">
        <f aca="false">IFERROR(J200*1000000/$E200,"")</f>
        <v>82.9190962070939</v>
      </c>
      <c r="P200" s="16" t="n">
        <f aca="false">COUNTIFS($A$4:$A$1008,$A200,$N$4:$N$1008,"&gt;"&amp;N200)+1</f>
        <v>39</v>
      </c>
      <c r="Q200" s="16" t="n">
        <f aca="false">COUNTIFS($A$4:$A$1008,$A200,$O$4:$O$1008,"&gt;"&amp;O200)+1</f>
        <v>35</v>
      </c>
    </row>
    <row r="201" customFormat="false" ht="15" hidden="false" customHeight="false" outlineLevel="0" collapsed="false">
      <c r="A201" s="7" t="n">
        <v>2005</v>
      </c>
      <c r="B201" s="15" t="s">
        <v>111</v>
      </c>
      <c r="C201" s="15" t="s">
        <v>102</v>
      </c>
      <c r="D201" s="15" t="s">
        <v>107</v>
      </c>
      <c r="E201" s="9" t="n">
        <f aca="false">SUMIFS(Data!$L$2:$L$1006,Data!$A$2:$A$1006,$A201,Data!$B$2:$B$1006,$B201)</f>
        <v>587533</v>
      </c>
      <c r="F201" s="10" t="n">
        <f aca="false">SUMIFS(Data!$E$2:$E$1006,Data!$A$2:$A$1006,$A201,Data!$B$2:$B$1006,$B201)</f>
        <v>45.542067</v>
      </c>
      <c r="G201" s="10" t="n">
        <f aca="false">SUMIFS(Data!$F$2:$F$1006,Data!$A$2:$A$1006,$A201,Data!$B$2:$B$1006,$B201)</f>
        <v>38.463967</v>
      </c>
      <c r="H201" s="10" t="n">
        <f aca="false">SUMIFS(Data!$G$2:$G$1006,Data!$A$2:$A$1006,$A201,Data!$B$2:$B$1006,$B201)</f>
        <v>36.087676</v>
      </c>
      <c r="I201" s="10" t="n">
        <f aca="false">SUMIFS(Data!$N$2:$N$1006,Data!$A$2:$A$1006,$A201,Data!$B$2:$B$1006,$B201)</f>
        <v>120.09371</v>
      </c>
      <c r="J201" s="10" t="n">
        <f aca="false">SUMIFS(Data!$H$2:$H$1006,Data!$A$2:$A$1006,$A201,Data!$B$2:$B$1006,$B201)</f>
        <v>86.454622</v>
      </c>
      <c r="K201" s="11" t="n">
        <f aca="false">IFERROR(F201*1000000/$E201,"")</f>
        <v>77.5140579337671</v>
      </c>
      <c r="L201" s="11" t="n">
        <f aca="false">IFERROR(G201*1000000/$E201,"")</f>
        <v>65.4669048376857</v>
      </c>
      <c r="M201" s="11" t="n">
        <f aca="false">IFERROR(H201*1000000/$E201,"")</f>
        <v>61.4223813811309</v>
      </c>
      <c r="N201" s="11" t="n">
        <f aca="false">IFERROR(I201*1000000/$E201,"")</f>
        <v>204.403344152584</v>
      </c>
      <c r="O201" s="11" t="n">
        <f aca="false">IFERROR(J201*1000000/$E201,"")</f>
        <v>147.148538039565</v>
      </c>
      <c r="P201" s="16" t="n">
        <f aca="false">COUNTIFS($A$4:$A$1008,$A201,$N$4:$N$1008,"&gt;"&amp;N201)+1</f>
        <v>24</v>
      </c>
      <c r="Q201" s="16" t="n">
        <f aca="false">COUNTIFS($A$4:$A$1008,$A201,$O$4:$O$1008,"&gt;"&amp;O201)+1</f>
        <v>9</v>
      </c>
    </row>
    <row r="202" customFormat="false" ht="15" hidden="false" customHeight="false" outlineLevel="0" collapsed="false">
      <c r="A202" s="7" t="n">
        <v>2005</v>
      </c>
      <c r="B202" s="15" t="s">
        <v>112</v>
      </c>
      <c r="C202" s="15" t="s">
        <v>102</v>
      </c>
      <c r="D202" s="15" t="s">
        <v>107</v>
      </c>
      <c r="E202" s="9" t="n">
        <f aca="false">SUMIFS(Data!$L$2:$L$1006,Data!$A$2:$A$1006,$A202,Data!$B$2:$B$1006,$B202)</f>
        <v>157660</v>
      </c>
      <c r="F202" s="10" t="n">
        <f aca="false">SUMIFS(Data!$E$2:$E$1006,Data!$A$2:$A$1006,$A202,Data!$B$2:$B$1006,$B202)</f>
        <v>9.901775</v>
      </c>
      <c r="G202" s="10" t="n">
        <f aca="false">SUMIFS(Data!$F$2:$F$1006,Data!$A$2:$A$1006,$A202,Data!$B$2:$B$1006,$B202)</f>
        <v>9.229207</v>
      </c>
      <c r="H202" s="10" t="n">
        <f aca="false">SUMIFS(Data!$G$2:$G$1006,Data!$A$2:$A$1006,$A202,Data!$B$2:$B$1006,$B202)</f>
        <v>7.787741</v>
      </c>
      <c r="I202" s="10" t="n">
        <f aca="false">SUMIFS(Data!$N$2:$N$1006,Data!$A$2:$A$1006,$A202,Data!$B$2:$B$1006,$B202)</f>
        <v>26.918723</v>
      </c>
      <c r="J202" s="10" t="n">
        <f aca="false">SUMIFS(Data!$H$2:$H$1006,Data!$A$2:$A$1006,$A202,Data!$B$2:$B$1006,$B202)</f>
        <v>23.287318</v>
      </c>
      <c r="K202" s="11" t="n">
        <f aca="false">IFERROR(F202*1000000/$E202,"")</f>
        <v>62.8046111886338</v>
      </c>
      <c r="L202" s="11" t="n">
        <f aca="false">IFERROR(G202*1000000/$E202,"")</f>
        <v>58.5386718254472</v>
      </c>
      <c r="M202" s="11" t="n">
        <f aca="false">IFERROR(H202*1000000/$E202,"")</f>
        <v>49.3957947481923</v>
      </c>
      <c r="N202" s="11" t="n">
        <f aca="false">IFERROR(I202*1000000/$E202,"")</f>
        <v>170.739077762273</v>
      </c>
      <c r="O202" s="11" t="n">
        <f aca="false">IFERROR(J202*1000000/$E202,"")</f>
        <v>147.705936826081</v>
      </c>
      <c r="P202" s="16" t="n">
        <f aca="false">COUNTIFS($A$4:$A$1008,$A202,$N$4:$N$1008,"&gt;"&amp;N202)+1</f>
        <v>34</v>
      </c>
      <c r="Q202" s="16" t="n">
        <f aca="false">COUNTIFS($A$4:$A$1008,$A202,$O$4:$O$1008,"&gt;"&amp;O202)+1</f>
        <v>8</v>
      </c>
    </row>
    <row r="203" customFormat="false" ht="15" hidden="false" customHeight="false" outlineLevel="0" collapsed="false">
      <c r="A203" s="7" t="n">
        <v>2005</v>
      </c>
      <c r="B203" s="15" t="s">
        <v>113</v>
      </c>
      <c r="C203" s="15" t="s">
        <v>102</v>
      </c>
      <c r="D203" s="15" t="s">
        <v>114</v>
      </c>
      <c r="E203" s="9" t="n">
        <f aca="false">SUMIFS(Data!$L$2:$L$1006,Data!$A$2:$A$1006,$A203,Data!$B$2:$B$1006,$B203)</f>
        <v>454381</v>
      </c>
      <c r="F203" s="10" t="n">
        <f aca="false">SUMIFS(Data!$E$2:$E$1006,Data!$A$2:$A$1006,$A203,Data!$B$2:$B$1006,$B203)</f>
        <v>35.375165</v>
      </c>
      <c r="G203" s="10" t="n">
        <f aca="false">SUMIFS(Data!$F$2:$F$1006,Data!$A$2:$A$1006,$A203,Data!$B$2:$B$1006,$B203)</f>
        <v>11.866744</v>
      </c>
      <c r="H203" s="10" t="n">
        <f aca="false">SUMIFS(Data!$G$2:$G$1006,Data!$A$2:$A$1006,$A203,Data!$B$2:$B$1006,$B203)</f>
        <v>32.033727</v>
      </c>
      <c r="I203" s="10" t="n">
        <f aca="false">SUMIFS(Data!$N$2:$N$1006,Data!$A$2:$A$1006,$A203,Data!$B$2:$B$1006,$B203)</f>
        <v>79.275636</v>
      </c>
      <c r="J203" s="10" t="n">
        <f aca="false">SUMIFS(Data!$H$2:$H$1006,Data!$A$2:$A$1006,$A203,Data!$B$2:$B$1006,$B203)</f>
        <v>59.197215</v>
      </c>
      <c r="K203" s="11" t="n">
        <f aca="false">IFERROR(F203*1000000/$E203,"")</f>
        <v>77.8535304073014</v>
      </c>
      <c r="L203" s="11" t="n">
        <f aca="false">IFERROR(G203*1000000/$E203,"")</f>
        <v>26.1162856721562</v>
      </c>
      <c r="M203" s="11" t="n">
        <f aca="false">IFERROR(H203*1000000/$E203,"")</f>
        <v>70.4997061937009</v>
      </c>
      <c r="N203" s="11" t="n">
        <f aca="false">IFERROR(I203*1000000/$E203,"")</f>
        <v>174.469522273158</v>
      </c>
      <c r="O203" s="11" t="n">
        <f aca="false">IFERROR(J203*1000000/$E203,"")</f>
        <v>130.281008668936</v>
      </c>
      <c r="P203" s="16" t="n">
        <f aca="false">COUNTIFS($A$4:$A$1008,$A203,$N$4:$N$1008,"&gt;"&amp;N203)+1</f>
        <v>33</v>
      </c>
      <c r="Q203" s="16" t="n">
        <f aca="false">COUNTIFS($A$4:$A$1008,$A203,$O$4:$O$1008,"&gt;"&amp;O203)+1</f>
        <v>15</v>
      </c>
    </row>
    <row r="204" customFormat="false" ht="15" hidden="false" customHeight="false" outlineLevel="0" collapsed="false">
      <c r="A204" s="7" t="n">
        <v>2005</v>
      </c>
      <c r="B204" s="15" t="s">
        <v>115</v>
      </c>
      <c r="C204" s="15" t="s">
        <v>102</v>
      </c>
      <c r="D204" s="15" t="s">
        <v>103</v>
      </c>
      <c r="E204" s="9" t="n">
        <f aca="false">SUMIFS(Data!$L$2:$L$1006,Data!$A$2:$A$1006,$A204,Data!$B$2:$B$1006,$B204)</f>
        <v>312698</v>
      </c>
      <c r="F204" s="10" t="n">
        <f aca="false">SUMIFS(Data!$E$2:$E$1006,Data!$A$2:$A$1006,$A204,Data!$B$2:$B$1006,$B204)</f>
        <v>17.721356</v>
      </c>
      <c r="G204" s="10" t="n">
        <f aca="false">SUMIFS(Data!$F$2:$F$1006,Data!$A$2:$A$1006,$A204,Data!$B$2:$B$1006,$B204)</f>
        <v>15.591593</v>
      </c>
      <c r="H204" s="10" t="n">
        <f aca="false">SUMIFS(Data!$G$2:$G$1006,Data!$A$2:$A$1006,$A204,Data!$B$2:$B$1006,$B204)</f>
        <v>21.673411</v>
      </c>
      <c r="I204" s="10" t="n">
        <f aca="false">SUMIFS(Data!$N$2:$N$1006,Data!$A$2:$A$1006,$A204,Data!$B$2:$B$1006,$B204)</f>
        <v>54.98636</v>
      </c>
      <c r="J204" s="10" t="n">
        <f aca="false">SUMIFS(Data!$H$2:$H$1006,Data!$A$2:$A$1006,$A204,Data!$B$2:$B$1006,$B204)</f>
        <v>31.330096</v>
      </c>
      <c r="K204" s="11" t="n">
        <f aca="false">IFERROR(F204*1000000/$E204,"")</f>
        <v>56.6724315473716</v>
      </c>
      <c r="L204" s="11" t="n">
        <f aca="false">IFERROR(G204*1000000/$E204,"")</f>
        <v>49.8615053502101</v>
      </c>
      <c r="M204" s="11" t="n">
        <f aca="false">IFERROR(H204*1000000/$E204,"")</f>
        <v>69.310999750558</v>
      </c>
      <c r="N204" s="11" t="n">
        <f aca="false">IFERROR(I204*1000000/$E204,"")</f>
        <v>175.84493664814</v>
      </c>
      <c r="O204" s="11" t="n">
        <f aca="false">IFERROR(J204*1000000/$E204,"")</f>
        <v>100.192825026063</v>
      </c>
      <c r="P204" s="16" t="n">
        <f aca="false">COUNTIFS($A$4:$A$1008,$A204,$N$4:$N$1008,"&gt;"&amp;N204)+1</f>
        <v>32</v>
      </c>
      <c r="Q204" s="16" t="n">
        <f aca="false">COUNTIFS($A$4:$A$1008,$A204,$O$4:$O$1008,"&gt;"&amp;O204)+1</f>
        <v>28</v>
      </c>
    </row>
    <row r="205" customFormat="false" ht="15" hidden="false" customHeight="false" outlineLevel="0" collapsed="false">
      <c r="A205" s="7" t="n">
        <v>2005</v>
      </c>
      <c r="B205" s="15" t="s">
        <v>116</v>
      </c>
      <c r="C205" s="15" t="s">
        <v>102</v>
      </c>
      <c r="D205" s="15" t="s">
        <v>107</v>
      </c>
      <c r="E205" s="9" t="n">
        <f aca="false">SUMIFS(Data!$L$2:$L$1006,Data!$A$2:$A$1006,$A205,Data!$B$2:$B$1006,$B205)</f>
        <v>702792</v>
      </c>
      <c r="F205" s="10" t="n">
        <f aca="false">SUMIFS(Data!$E$2:$E$1006,Data!$A$2:$A$1006,$A205,Data!$B$2:$B$1006,$B205)</f>
        <v>47.221178</v>
      </c>
      <c r="G205" s="10" t="n">
        <f aca="false">SUMIFS(Data!$F$2:$F$1006,Data!$A$2:$A$1006,$A205,Data!$B$2:$B$1006,$B205)</f>
        <v>27.546869</v>
      </c>
      <c r="H205" s="10" t="n">
        <f aca="false">SUMIFS(Data!$G$2:$G$1006,Data!$A$2:$A$1006,$A205,Data!$B$2:$B$1006,$B205)</f>
        <v>33.607629</v>
      </c>
      <c r="I205" s="10" t="n">
        <f aca="false">SUMIFS(Data!$N$2:$N$1006,Data!$A$2:$A$1006,$A205,Data!$B$2:$B$1006,$B205)</f>
        <v>108.375676</v>
      </c>
      <c r="J205" s="10" t="n">
        <f aca="false">SUMIFS(Data!$H$2:$H$1006,Data!$A$2:$A$1006,$A205,Data!$B$2:$B$1006,$B205)</f>
        <v>49.352499</v>
      </c>
      <c r="K205" s="11" t="n">
        <f aca="false">IFERROR(F205*1000000/$E205,"")</f>
        <v>67.1908302883357</v>
      </c>
      <c r="L205" s="11" t="n">
        <f aca="false">IFERROR(G205*1000000/$E205,"")</f>
        <v>39.1963326275769</v>
      </c>
      <c r="M205" s="11" t="n">
        <f aca="false">IFERROR(H205*1000000/$E205,"")</f>
        <v>47.820164429874</v>
      </c>
      <c r="N205" s="11" t="n">
        <f aca="false">IFERROR(I205*1000000/$E205,"")</f>
        <v>154.207327345787</v>
      </c>
      <c r="O205" s="11" t="n">
        <f aca="false">IFERROR(J205*1000000/$E205,"")</f>
        <v>70.2234786394837</v>
      </c>
      <c r="P205" s="16" t="n">
        <f aca="false">COUNTIFS($A$4:$A$1008,$A205,$N$4:$N$1008,"&gt;"&amp;N205)+1</f>
        <v>38</v>
      </c>
      <c r="Q205" s="16" t="n">
        <f aca="false">COUNTIFS($A$4:$A$1008,$A205,$O$4:$O$1008,"&gt;"&amp;O205)+1</f>
        <v>38</v>
      </c>
    </row>
    <row r="206" customFormat="false" ht="15" hidden="false" customHeight="false" outlineLevel="0" collapsed="false">
      <c r="A206" s="7" t="n">
        <v>2005</v>
      </c>
      <c r="B206" s="15" t="s">
        <v>117</v>
      </c>
      <c r="C206" s="15" t="s">
        <v>118</v>
      </c>
      <c r="D206" s="15" t="s">
        <v>103</v>
      </c>
      <c r="E206" s="9" t="n">
        <f aca="false">SUMIFS(Data!$L$2:$L$1006,Data!$A$2:$A$1006,$A206,Data!$B$2:$B$1006,$B206)</f>
        <v>1418128</v>
      </c>
      <c r="F206" s="10" t="n">
        <f aca="false">SUMIFS(Data!$E$2:$E$1006,Data!$A$2:$A$1006,$A206,Data!$B$2:$B$1006,$B206)</f>
        <v>139.96691</v>
      </c>
      <c r="G206" s="10" t="n">
        <f aca="false">SUMIFS(Data!$F$2:$F$1006,Data!$A$2:$A$1006,$A206,Data!$B$2:$B$1006,$B206)</f>
        <v>93.40766</v>
      </c>
      <c r="H206" s="10" t="n">
        <f aca="false">SUMIFS(Data!$G$2:$G$1006,Data!$A$2:$A$1006,$A206,Data!$B$2:$B$1006,$B206)</f>
        <v>95.987474</v>
      </c>
      <c r="I206" s="10" t="n">
        <f aca="false">SUMIFS(Data!$N$2:$N$1006,Data!$A$2:$A$1006,$A206,Data!$B$2:$B$1006,$B206)</f>
        <v>329.362044</v>
      </c>
      <c r="J206" s="10" t="n">
        <f aca="false">SUMIFS(Data!$H$2:$H$1006,Data!$A$2:$A$1006,$A206,Data!$B$2:$B$1006,$B206)</f>
        <v>134.440739</v>
      </c>
      <c r="K206" s="11" t="n">
        <f aca="false">IFERROR(F206*1000000/$E206,"")</f>
        <v>98.6983615019237</v>
      </c>
      <c r="L206" s="11" t="n">
        <f aca="false">IFERROR(G206*1000000/$E206,"")</f>
        <v>65.866875204495</v>
      </c>
      <c r="M206" s="11" t="n">
        <f aca="false">IFERROR(H206*1000000/$E206,"")</f>
        <v>67.6860438549976</v>
      </c>
      <c r="N206" s="11" t="n">
        <f aca="false">IFERROR(I206*1000000/$E206,"")</f>
        <v>232.251280561416</v>
      </c>
      <c r="O206" s="11" t="n">
        <f aca="false">IFERROR(J206*1000000/$E206,"")</f>
        <v>94.8015545846355</v>
      </c>
      <c r="P206" s="16" t="n">
        <f aca="false">COUNTIFS($A$4:$A$1008,$A206,$N$4:$N$1008,"&gt;"&amp;N206)+1</f>
        <v>10</v>
      </c>
      <c r="Q206" s="16" t="n">
        <f aca="false">COUNTIFS($A$4:$A$1008,$A206,$O$4:$O$1008,"&gt;"&amp;O206)+1</f>
        <v>31</v>
      </c>
    </row>
    <row r="207" customFormat="false" ht="15" hidden="false" customHeight="false" outlineLevel="0" collapsed="false">
      <c r="A207" s="7" t="n">
        <v>2005</v>
      </c>
      <c r="B207" s="15" t="s">
        <v>119</v>
      </c>
      <c r="C207" s="15" t="s">
        <v>118</v>
      </c>
      <c r="D207" s="15" t="s">
        <v>103</v>
      </c>
      <c r="E207" s="9" t="n">
        <f aca="false">SUMIFS(Data!$L$2:$L$1006,Data!$A$2:$A$1006,$A207,Data!$B$2:$B$1006,$B207)</f>
        <v>511595</v>
      </c>
      <c r="F207" s="10" t="n">
        <f aca="false">SUMIFS(Data!$E$2:$E$1006,Data!$A$2:$A$1006,$A207,Data!$B$2:$B$1006,$B207)</f>
        <v>25.03519</v>
      </c>
      <c r="G207" s="10" t="n">
        <f aca="false">SUMIFS(Data!$F$2:$F$1006,Data!$A$2:$A$1006,$A207,Data!$B$2:$B$1006,$B207)</f>
        <v>22.986685</v>
      </c>
      <c r="H207" s="10" t="n">
        <f aca="false">SUMIFS(Data!$G$2:$G$1006,Data!$A$2:$A$1006,$A207,Data!$B$2:$B$1006,$B207)</f>
        <v>32.690639</v>
      </c>
      <c r="I207" s="10" t="n">
        <f aca="false">SUMIFS(Data!$N$2:$N$1006,Data!$A$2:$A$1006,$A207,Data!$B$2:$B$1006,$B207)</f>
        <v>80.712514</v>
      </c>
      <c r="J207" s="10" t="n">
        <f aca="false">SUMIFS(Data!$H$2:$H$1006,Data!$A$2:$A$1006,$A207,Data!$B$2:$B$1006,$B207)</f>
        <v>43.215651</v>
      </c>
      <c r="K207" s="11" t="n">
        <f aca="false">IFERROR(F207*1000000/$E207,"")</f>
        <v>48.9355642647016</v>
      </c>
      <c r="L207" s="11" t="n">
        <f aca="false">IFERROR(G207*1000000/$E207,"")</f>
        <v>44.9314105884538</v>
      </c>
      <c r="M207" s="11" t="n">
        <f aca="false">IFERROR(H207*1000000/$E207,"")</f>
        <v>63.8994497600641</v>
      </c>
      <c r="N207" s="11" t="n">
        <f aca="false">IFERROR(I207*1000000/$E207,"")</f>
        <v>157.766424613219</v>
      </c>
      <c r="O207" s="11" t="n">
        <f aca="false">IFERROR(J207*1000000/$E207,"")</f>
        <v>84.4723873376401</v>
      </c>
      <c r="P207" s="16" t="n">
        <f aca="false">COUNTIFS($A$4:$A$1008,$A207,$N$4:$N$1008,"&gt;"&amp;N207)+1</f>
        <v>37</v>
      </c>
      <c r="Q207" s="16" t="n">
        <f aca="false">COUNTIFS($A$4:$A$1008,$A207,$O$4:$O$1008,"&gt;"&amp;O207)+1</f>
        <v>34</v>
      </c>
    </row>
    <row r="208" customFormat="false" ht="15" hidden="false" customHeight="false" outlineLevel="0" collapsed="false">
      <c r="A208" s="7" t="n">
        <v>2005</v>
      </c>
      <c r="B208" s="15" t="s">
        <v>120</v>
      </c>
      <c r="C208" s="15" t="s">
        <v>118</v>
      </c>
      <c r="D208" s="15" t="s">
        <v>121</v>
      </c>
      <c r="E208" s="9" t="n">
        <f aca="false">SUMIFS(Data!$L$2:$L$1006,Data!$A$2:$A$1006,$A208,Data!$B$2:$B$1006,$B208)</f>
        <v>938029</v>
      </c>
      <c r="F208" s="10" t="n">
        <f aca="false">SUMIFS(Data!$E$2:$E$1006,Data!$A$2:$A$1006,$A208,Data!$B$2:$B$1006,$B208)</f>
        <v>95.804957</v>
      </c>
      <c r="G208" s="10" t="n">
        <f aca="false">SUMIFS(Data!$F$2:$F$1006,Data!$A$2:$A$1006,$A208,Data!$B$2:$B$1006,$B208)</f>
        <v>46.896584</v>
      </c>
      <c r="H208" s="10" t="n">
        <f aca="false">SUMIFS(Data!$G$2:$G$1006,Data!$A$2:$A$1006,$A208,Data!$B$2:$B$1006,$B208)</f>
        <v>67.83134</v>
      </c>
      <c r="I208" s="10" t="n">
        <f aca="false">SUMIFS(Data!$N$2:$N$1006,Data!$A$2:$A$1006,$A208,Data!$B$2:$B$1006,$B208)</f>
        <v>210.532881</v>
      </c>
      <c r="J208" s="10" t="n">
        <f aca="false">SUMIFS(Data!$H$2:$H$1006,Data!$A$2:$A$1006,$A208,Data!$B$2:$B$1006,$B208)</f>
        <v>116.440136</v>
      </c>
      <c r="K208" s="11" t="n">
        <f aca="false">IFERROR(F208*1000000/$E208,"")</f>
        <v>102.134323139263</v>
      </c>
      <c r="L208" s="11" t="n">
        <f aca="false">IFERROR(G208*1000000/$E208,"")</f>
        <v>49.994812527118</v>
      </c>
      <c r="M208" s="11" t="n">
        <f aca="false">IFERROR(H208*1000000/$E208,"")</f>
        <v>72.3126257290553</v>
      </c>
      <c r="N208" s="11" t="n">
        <f aca="false">IFERROR(I208*1000000/$E208,"")</f>
        <v>224.441761395437</v>
      </c>
      <c r="O208" s="11" t="n">
        <f aca="false">IFERROR(J208*1000000/$E208,"")</f>
        <v>124.132767750251</v>
      </c>
      <c r="P208" s="16" t="n">
        <f aca="false">COUNTIFS($A$4:$A$1008,$A208,$N$4:$N$1008,"&gt;"&amp;N208)+1</f>
        <v>12</v>
      </c>
      <c r="Q208" s="16" t="n">
        <f aca="false">COUNTIFS($A$4:$A$1008,$A208,$O$4:$O$1008,"&gt;"&amp;O208)+1</f>
        <v>16</v>
      </c>
    </row>
    <row r="209" customFormat="false" ht="15" hidden="false" customHeight="false" outlineLevel="0" collapsed="false">
      <c r="A209" s="7" t="n">
        <v>2005</v>
      </c>
      <c r="B209" s="15" t="s">
        <v>122</v>
      </c>
      <c r="C209" s="15" t="s">
        <v>118</v>
      </c>
      <c r="D209" s="15" t="s">
        <v>105</v>
      </c>
      <c r="E209" s="9" t="n">
        <f aca="false">SUMIFS(Data!$L$2:$L$1006,Data!$A$2:$A$1006,$A209,Data!$B$2:$B$1006,$B209)</f>
        <v>528271</v>
      </c>
      <c r="F209" s="10" t="n">
        <f aca="false">SUMIFS(Data!$E$2:$E$1006,Data!$A$2:$A$1006,$A209,Data!$B$2:$B$1006,$B209)</f>
        <v>33.788731</v>
      </c>
      <c r="G209" s="10" t="n">
        <f aca="false">SUMIFS(Data!$F$2:$F$1006,Data!$A$2:$A$1006,$A209,Data!$B$2:$B$1006,$B209)</f>
        <v>43.0024</v>
      </c>
      <c r="H209" s="10" t="n">
        <f aca="false">SUMIFS(Data!$G$2:$G$1006,Data!$A$2:$A$1006,$A209,Data!$B$2:$B$1006,$B209)</f>
        <v>34.621102</v>
      </c>
      <c r="I209" s="10" t="n">
        <f aca="false">SUMIFS(Data!$N$2:$N$1006,Data!$A$2:$A$1006,$A209,Data!$B$2:$B$1006,$B209)</f>
        <v>111.412233</v>
      </c>
      <c r="J209" s="10" t="n">
        <f aca="false">SUMIFS(Data!$H$2:$H$1006,Data!$A$2:$A$1006,$A209,Data!$B$2:$B$1006,$B209)</f>
        <v>57.13173</v>
      </c>
      <c r="K209" s="11" t="n">
        <f aca="false">IFERROR(F209*1000000/$E209,"")</f>
        <v>63.9609802544527</v>
      </c>
      <c r="L209" s="11" t="n">
        <f aca="false">IFERROR(G209*1000000/$E209,"")</f>
        <v>81.4021591190885</v>
      </c>
      <c r="M209" s="11" t="n">
        <f aca="false">IFERROR(H209*1000000/$E209,"")</f>
        <v>65.5366317666501</v>
      </c>
      <c r="N209" s="11" t="n">
        <f aca="false">IFERROR(I209*1000000/$E209,"")</f>
        <v>210.899771140191</v>
      </c>
      <c r="O209" s="11" t="n">
        <f aca="false">IFERROR(J209*1000000/$E209,"")</f>
        <v>108.148526040612</v>
      </c>
      <c r="P209" s="16" t="n">
        <f aca="false">COUNTIFS($A$4:$A$1008,$A209,$N$4:$N$1008,"&gt;"&amp;N209)+1</f>
        <v>21</v>
      </c>
      <c r="Q209" s="16" t="n">
        <f aca="false">COUNTIFS($A$4:$A$1008,$A209,$O$4:$O$1008,"&gt;"&amp;O209)+1</f>
        <v>22</v>
      </c>
    </row>
    <row r="210" customFormat="false" ht="15" hidden="false" customHeight="false" outlineLevel="0" collapsed="false">
      <c r="A210" s="7" t="n">
        <v>2005</v>
      </c>
      <c r="B210" s="15" t="s">
        <v>123</v>
      </c>
      <c r="C210" s="15" t="s">
        <v>118</v>
      </c>
      <c r="D210" s="15" t="s">
        <v>124</v>
      </c>
      <c r="E210" s="9" t="n">
        <f aca="false">SUMIFS(Data!$L$2:$L$1006,Data!$A$2:$A$1006,$A210,Data!$B$2:$B$1006,$B210)</f>
        <v>1198259</v>
      </c>
      <c r="F210" s="10" t="n">
        <f aca="false">SUMIFS(Data!$E$2:$E$1006,Data!$A$2:$A$1006,$A210,Data!$B$2:$B$1006,$B210)</f>
        <v>103.750059</v>
      </c>
      <c r="G210" s="10" t="n">
        <f aca="false">SUMIFS(Data!$F$2:$F$1006,Data!$A$2:$A$1006,$A210,Data!$B$2:$B$1006,$B210)</f>
        <v>44.084881</v>
      </c>
      <c r="H210" s="10" t="n">
        <f aca="false">SUMIFS(Data!$G$2:$G$1006,Data!$A$2:$A$1006,$A210,Data!$B$2:$B$1006,$B210)</f>
        <v>108.847224</v>
      </c>
      <c r="I210" s="10" t="n">
        <f aca="false">SUMIFS(Data!$N$2:$N$1006,Data!$A$2:$A$1006,$A210,Data!$B$2:$B$1006,$B210)</f>
        <v>256.682164</v>
      </c>
      <c r="J210" s="10" t="n">
        <f aca="false">SUMIFS(Data!$H$2:$H$1006,Data!$A$2:$A$1006,$A210,Data!$B$2:$B$1006,$B210)</f>
        <v>171.636824</v>
      </c>
      <c r="K210" s="11" t="n">
        <f aca="false">IFERROR(F210*1000000/$E210,"")</f>
        <v>86.584001455445</v>
      </c>
      <c r="L210" s="11" t="n">
        <f aca="false">IFERROR(G210*1000000/$E210,"")</f>
        <v>36.79077812059</v>
      </c>
      <c r="M210" s="11" t="n">
        <f aca="false">IFERROR(H210*1000000/$E210,"")</f>
        <v>90.8378105234344</v>
      </c>
      <c r="N210" s="11" t="n">
        <f aca="false">IFERROR(I210*1000000/$E210,"")</f>
        <v>214.212590099469</v>
      </c>
      <c r="O210" s="11" t="n">
        <f aca="false">IFERROR(J210*1000000/$E210,"")</f>
        <v>143.238501859782</v>
      </c>
      <c r="P210" s="16" t="n">
        <f aca="false">COUNTIFS($A$4:$A$1008,$A210,$N$4:$N$1008,"&gt;"&amp;N210)+1</f>
        <v>16</v>
      </c>
      <c r="Q210" s="16" t="n">
        <f aca="false">COUNTIFS($A$4:$A$1008,$A210,$O$4:$O$1008,"&gt;"&amp;O210)+1</f>
        <v>11</v>
      </c>
    </row>
    <row r="211" customFormat="false" ht="15" hidden="false" customHeight="false" outlineLevel="0" collapsed="false">
      <c r="A211" s="7" t="n">
        <v>2005</v>
      </c>
      <c r="B211" s="15" t="s">
        <v>125</v>
      </c>
      <c r="C211" s="15" t="s">
        <v>118</v>
      </c>
      <c r="D211" s="15" t="s">
        <v>126</v>
      </c>
      <c r="E211" s="9" t="n">
        <f aca="false">SUMIFS(Data!$L$2:$L$1006,Data!$A$2:$A$1006,$A211,Data!$B$2:$B$1006,$B211)</f>
        <v>505820</v>
      </c>
      <c r="F211" s="10" t="n">
        <f aca="false">SUMIFS(Data!$E$2:$E$1006,Data!$A$2:$A$1006,$A211,Data!$B$2:$B$1006,$B211)</f>
        <v>32.621788</v>
      </c>
      <c r="G211" s="10" t="n">
        <f aca="false">SUMIFS(Data!$F$2:$F$1006,Data!$A$2:$A$1006,$A211,Data!$B$2:$B$1006,$B211)</f>
        <v>37.790393</v>
      </c>
      <c r="H211" s="10" t="n">
        <f aca="false">SUMIFS(Data!$G$2:$G$1006,Data!$A$2:$A$1006,$A211,Data!$B$2:$B$1006,$B211)</f>
        <v>38.63251</v>
      </c>
      <c r="I211" s="10" t="n">
        <f aca="false">SUMIFS(Data!$N$2:$N$1006,Data!$A$2:$A$1006,$A211,Data!$B$2:$B$1006,$B211)</f>
        <v>109.044691</v>
      </c>
      <c r="J211" s="10" t="n">
        <f aca="false">SUMIFS(Data!$H$2:$H$1006,Data!$A$2:$A$1006,$A211,Data!$B$2:$B$1006,$B211)</f>
        <v>67.728496</v>
      </c>
      <c r="K211" s="11" t="n">
        <f aca="false">IFERROR(F211*1000000/$E211,"")</f>
        <v>64.4928788897236</v>
      </c>
      <c r="L211" s="11" t="n">
        <f aca="false">IFERROR(G211*1000000/$E211,"")</f>
        <v>74.7111482345498</v>
      </c>
      <c r="M211" s="11" t="n">
        <f aca="false">IFERROR(H211*1000000/$E211,"")</f>
        <v>76.3760033213396</v>
      </c>
      <c r="N211" s="11" t="n">
        <f aca="false">IFERROR(I211*1000000/$E211,"")</f>
        <v>215.580030445613</v>
      </c>
      <c r="O211" s="11" t="n">
        <f aca="false">IFERROR(J211*1000000/$E211,"")</f>
        <v>133.898414455735</v>
      </c>
      <c r="P211" s="16" t="n">
        <f aca="false">COUNTIFS($A$4:$A$1008,$A211,$N$4:$N$1008,"&gt;"&amp;N211)+1</f>
        <v>14</v>
      </c>
      <c r="Q211" s="16" t="n">
        <f aca="false">COUNTIFS($A$4:$A$1008,$A211,$O$4:$O$1008,"&gt;"&amp;O211)+1</f>
        <v>14</v>
      </c>
    </row>
    <row r="212" customFormat="false" ht="15" hidden="false" customHeight="false" outlineLevel="0" collapsed="false">
      <c r="A212" s="7" t="n">
        <v>2005</v>
      </c>
      <c r="B212" s="15" t="s">
        <v>127</v>
      </c>
      <c r="C212" s="15" t="s">
        <v>118</v>
      </c>
      <c r="D212" s="15" t="s">
        <v>103</v>
      </c>
      <c r="E212" s="9" t="n">
        <f aca="false">SUMIFS(Data!$L$2:$L$1006,Data!$A$2:$A$1006,$A212,Data!$B$2:$B$1006,$B212)</f>
        <v>677662</v>
      </c>
      <c r="F212" s="10" t="n">
        <f aca="false">SUMIFS(Data!$E$2:$E$1006,Data!$A$2:$A$1006,$A212,Data!$B$2:$B$1006,$B212)</f>
        <v>36.516975</v>
      </c>
      <c r="G212" s="10" t="n">
        <f aca="false">SUMIFS(Data!$F$2:$F$1006,Data!$A$2:$A$1006,$A212,Data!$B$2:$B$1006,$B212)</f>
        <v>47.855797</v>
      </c>
      <c r="H212" s="10" t="n">
        <f aca="false">SUMIFS(Data!$G$2:$G$1006,Data!$A$2:$A$1006,$A212,Data!$B$2:$B$1006,$B212)</f>
        <v>37.174303</v>
      </c>
      <c r="I212" s="10" t="n">
        <f aca="false">SUMIFS(Data!$N$2:$N$1006,Data!$A$2:$A$1006,$A212,Data!$B$2:$B$1006,$B212)</f>
        <v>121.547075</v>
      </c>
      <c r="J212" s="10" t="n">
        <f aca="false">SUMIFS(Data!$H$2:$H$1006,Data!$A$2:$A$1006,$A212,Data!$B$2:$B$1006,$B212)</f>
        <v>59.084933</v>
      </c>
      <c r="K212" s="11" t="n">
        <f aca="false">IFERROR(F212*1000000/$E212,"")</f>
        <v>53.8867090083257</v>
      </c>
      <c r="L212" s="11" t="n">
        <f aca="false">IFERROR(G212*1000000/$E212,"")</f>
        <v>70.6189767170064</v>
      </c>
      <c r="M212" s="11" t="n">
        <f aca="false">IFERROR(H212*1000000/$E212,"")</f>
        <v>54.8567028990854</v>
      </c>
      <c r="N212" s="11" t="n">
        <f aca="false">IFERROR(I212*1000000/$E212,"")</f>
        <v>179.362388624418</v>
      </c>
      <c r="O212" s="11" t="n">
        <f aca="false">IFERROR(J212*1000000/$E212,"")</f>
        <v>87.1893849736299</v>
      </c>
      <c r="P212" s="16" t="n">
        <f aca="false">COUNTIFS($A$4:$A$1008,$A212,$N$4:$N$1008,"&gt;"&amp;N212)+1</f>
        <v>30</v>
      </c>
      <c r="Q212" s="16" t="n">
        <f aca="false">COUNTIFS($A$4:$A$1008,$A212,$O$4:$O$1008,"&gt;"&amp;O212)+1</f>
        <v>33</v>
      </c>
    </row>
    <row r="213" customFormat="false" ht="15" hidden="false" customHeight="false" outlineLevel="0" collapsed="false">
      <c r="A213" s="7" t="n">
        <v>2005</v>
      </c>
      <c r="B213" s="15" t="s">
        <v>128</v>
      </c>
      <c r="C213" s="15" t="s">
        <v>118</v>
      </c>
      <c r="D213" s="15" t="s">
        <v>107</v>
      </c>
      <c r="E213" s="9" t="n">
        <f aca="false">SUMIFS(Data!$L$2:$L$1006,Data!$A$2:$A$1006,$A213,Data!$B$2:$B$1006,$B213)</f>
        <v>586050</v>
      </c>
      <c r="F213" s="10" t="n">
        <f aca="false">SUMIFS(Data!$E$2:$E$1006,Data!$A$2:$A$1006,$A213,Data!$B$2:$B$1006,$B213)</f>
        <v>30.410493</v>
      </c>
      <c r="G213" s="10" t="n">
        <f aca="false">SUMIFS(Data!$F$2:$F$1006,Data!$A$2:$A$1006,$A213,Data!$B$2:$B$1006,$B213)</f>
        <v>33.535273</v>
      </c>
      <c r="H213" s="10" t="n">
        <f aca="false">SUMIFS(Data!$G$2:$G$1006,Data!$A$2:$A$1006,$A213,Data!$B$2:$B$1006,$B213)</f>
        <v>39.948761</v>
      </c>
      <c r="I213" s="10" t="n">
        <f aca="false">SUMIFS(Data!$N$2:$N$1006,Data!$A$2:$A$1006,$A213,Data!$B$2:$B$1006,$B213)</f>
        <v>103.894527</v>
      </c>
      <c r="J213" s="10" t="n">
        <f aca="false">SUMIFS(Data!$H$2:$H$1006,Data!$A$2:$A$1006,$A213,Data!$B$2:$B$1006,$B213)</f>
        <v>130.700853</v>
      </c>
      <c r="K213" s="11" t="n">
        <f aca="false">IFERROR(F213*1000000/$E213,"")</f>
        <v>51.8906117225493</v>
      </c>
      <c r="L213" s="11" t="n">
        <f aca="false">IFERROR(G213*1000000/$E213,"")</f>
        <v>57.222545857862</v>
      </c>
      <c r="M213" s="11" t="n">
        <f aca="false">IFERROR(H213*1000000/$E213,"")</f>
        <v>68.1661308762051</v>
      </c>
      <c r="N213" s="11" t="n">
        <f aca="false">IFERROR(I213*1000000/$E213,"")</f>
        <v>177.279288456616</v>
      </c>
      <c r="O213" s="11" t="n">
        <f aca="false">IFERROR(J213*1000000/$E213,"")</f>
        <v>223.019969285897</v>
      </c>
      <c r="P213" s="16" t="n">
        <f aca="false">COUNTIFS($A$4:$A$1008,$A213,$N$4:$N$1008,"&gt;"&amp;N213)+1</f>
        <v>31</v>
      </c>
      <c r="Q213" s="16" t="n">
        <f aca="false">COUNTIFS($A$4:$A$1008,$A213,$O$4:$O$1008,"&gt;"&amp;O213)+1</f>
        <v>3</v>
      </c>
    </row>
    <row r="214" customFormat="false" ht="15" hidden="false" customHeight="false" outlineLevel="0" collapsed="false">
      <c r="A214" s="7" t="n">
        <v>2005</v>
      </c>
      <c r="B214" s="15" t="s">
        <v>129</v>
      </c>
      <c r="C214" s="15" t="s">
        <v>118</v>
      </c>
      <c r="D214" s="15" t="s">
        <v>107</v>
      </c>
      <c r="E214" s="9" t="n">
        <f aca="false">SUMIFS(Data!$L$2:$L$1006,Data!$A$2:$A$1006,$A214,Data!$B$2:$B$1006,$B214)</f>
        <v>1543543</v>
      </c>
      <c r="F214" s="10" t="n">
        <f aca="false">SUMIFS(Data!$E$2:$E$1006,Data!$A$2:$A$1006,$A214,Data!$B$2:$B$1006,$B214)</f>
        <v>129.796103</v>
      </c>
      <c r="G214" s="10" t="n">
        <f aca="false">SUMIFS(Data!$F$2:$F$1006,Data!$A$2:$A$1006,$A214,Data!$B$2:$B$1006,$B214)</f>
        <v>122.89005</v>
      </c>
      <c r="H214" s="10" t="n">
        <f aca="false">SUMIFS(Data!$G$2:$G$1006,Data!$A$2:$A$1006,$A214,Data!$B$2:$B$1006,$B214)</f>
        <v>75.792813</v>
      </c>
      <c r="I214" s="10" t="n">
        <f aca="false">SUMIFS(Data!$N$2:$N$1006,Data!$A$2:$A$1006,$A214,Data!$B$2:$B$1006,$B214)</f>
        <v>328.478966</v>
      </c>
      <c r="J214" s="10" t="n">
        <f aca="false">SUMIFS(Data!$H$2:$H$1006,Data!$A$2:$A$1006,$A214,Data!$B$2:$B$1006,$B214)</f>
        <v>147.158056</v>
      </c>
      <c r="K214" s="11" t="n">
        <f aca="false">IFERROR(F214*1000000/$E214,"")</f>
        <v>84.0897228000775</v>
      </c>
      <c r="L214" s="11" t="n">
        <f aca="false">IFERROR(G214*1000000/$E214,"")</f>
        <v>79.6155662654037</v>
      </c>
      <c r="M214" s="11" t="n">
        <f aca="false">IFERROR(H214*1000000/$E214,"")</f>
        <v>49.1031432230913</v>
      </c>
      <c r="N214" s="11" t="n">
        <f aca="false">IFERROR(I214*1000000/$E214,"")</f>
        <v>212.808432288572</v>
      </c>
      <c r="O214" s="11" t="n">
        <f aca="false">IFERROR(J214*1000000/$E214,"")</f>
        <v>95.3378402804457</v>
      </c>
      <c r="P214" s="16" t="n">
        <f aca="false">COUNTIFS($A$4:$A$1008,$A214,$N$4:$N$1008,"&gt;"&amp;N214)+1</f>
        <v>20</v>
      </c>
      <c r="Q214" s="16" t="n">
        <f aca="false">COUNTIFS($A$4:$A$1008,$A214,$O$4:$O$1008,"&gt;"&amp;O214)+1</f>
        <v>30</v>
      </c>
    </row>
    <row r="215" customFormat="false" ht="15" hidden="false" customHeight="false" outlineLevel="0" collapsed="false">
      <c r="A215" s="7" t="n">
        <v>2005</v>
      </c>
      <c r="B215" s="15" t="s">
        <v>130</v>
      </c>
      <c r="C215" s="15" t="s">
        <v>118</v>
      </c>
      <c r="D215" s="15" t="s">
        <v>107</v>
      </c>
      <c r="E215" s="9" t="n">
        <f aca="false">SUMIFS(Data!$L$2:$L$1006,Data!$A$2:$A$1006,$A215,Data!$B$2:$B$1006,$B215)</f>
        <v>1361407</v>
      </c>
      <c r="F215" s="10" t="n">
        <f aca="false">SUMIFS(Data!$E$2:$E$1006,Data!$A$2:$A$1006,$A215,Data!$B$2:$B$1006,$B215)</f>
        <v>126.359453</v>
      </c>
      <c r="G215" s="10" t="n">
        <f aca="false">SUMIFS(Data!$F$2:$F$1006,Data!$A$2:$A$1006,$A215,Data!$B$2:$B$1006,$B215)</f>
        <v>60.916004</v>
      </c>
      <c r="H215" s="10" t="n">
        <f aca="false">SUMIFS(Data!$G$2:$G$1006,Data!$A$2:$A$1006,$A215,Data!$B$2:$B$1006,$B215)</f>
        <v>81.40615</v>
      </c>
      <c r="I215" s="10" t="n">
        <f aca="false">SUMIFS(Data!$N$2:$N$1006,Data!$A$2:$A$1006,$A215,Data!$B$2:$B$1006,$B215)</f>
        <v>268.681607</v>
      </c>
      <c r="J215" s="10" t="n">
        <f aca="false">SUMIFS(Data!$H$2:$H$1006,Data!$A$2:$A$1006,$A215,Data!$B$2:$B$1006,$B215)</f>
        <v>129.976016</v>
      </c>
      <c r="K215" s="11" t="n">
        <f aca="false">IFERROR(F215*1000000/$E215,"")</f>
        <v>92.8153395714874</v>
      </c>
      <c r="L215" s="11" t="n">
        <f aca="false">IFERROR(G215*1000000/$E215,"")</f>
        <v>44.7448881928769</v>
      </c>
      <c r="M215" s="11" t="n">
        <f aca="false">IFERROR(H215*1000000/$E215,"")</f>
        <v>59.795601168497</v>
      </c>
      <c r="N215" s="11" t="n">
        <f aca="false">IFERROR(I215*1000000/$E215,"")</f>
        <v>197.355828932861</v>
      </c>
      <c r="O215" s="11" t="n">
        <f aca="false">IFERROR(J215*1000000/$E215,"")</f>
        <v>95.4718287771401</v>
      </c>
      <c r="P215" s="16" t="n">
        <f aca="false">COUNTIFS($A$4:$A$1008,$A215,$N$4:$N$1008,"&gt;"&amp;N215)+1</f>
        <v>26</v>
      </c>
      <c r="Q215" s="16" t="n">
        <f aca="false">COUNTIFS($A$4:$A$1008,$A215,$O$4:$O$1008,"&gt;"&amp;O215)+1</f>
        <v>29</v>
      </c>
    </row>
    <row r="216" customFormat="false" ht="15" hidden="false" customHeight="false" outlineLevel="0" collapsed="false">
      <c r="A216" s="7" t="n">
        <v>2005</v>
      </c>
      <c r="B216" s="15" t="s">
        <v>131</v>
      </c>
      <c r="C216" s="15" t="s">
        <v>118</v>
      </c>
      <c r="D216" s="15" t="s">
        <v>132</v>
      </c>
      <c r="E216" s="9" t="n">
        <f aca="false">SUMIFS(Data!$L$2:$L$1006,Data!$A$2:$A$1006,$A216,Data!$B$2:$B$1006,$B216)</f>
        <v>741453</v>
      </c>
      <c r="F216" s="10" t="n">
        <f aca="false">SUMIFS(Data!$E$2:$E$1006,Data!$A$2:$A$1006,$A216,Data!$B$2:$B$1006,$B216)</f>
        <v>74.954531</v>
      </c>
      <c r="G216" s="10" t="n">
        <f aca="false">SUMIFS(Data!$F$2:$F$1006,Data!$A$2:$A$1006,$A216,Data!$B$2:$B$1006,$B216)</f>
        <v>48.66581</v>
      </c>
      <c r="H216" s="10" t="n">
        <f aca="false">SUMIFS(Data!$G$2:$G$1006,Data!$A$2:$A$1006,$A216,Data!$B$2:$B$1006,$B216)</f>
        <v>122.757379</v>
      </c>
      <c r="I216" s="10" t="n">
        <f aca="false">SUMIFS(Data!$N$2:$N$1006,Data!$A$2:$A$1006,$A216,Data!$B$2:$B$1006,$B216)</f>
        <v>246.37772</v>
      </c>
      <c r="J216" s="10" t="n">
        <f aca="false">SUMIFS(Data!$H$2:$H$1006,Data!$A$2:$A$1006,$A216,Data!$B$2:$B$1006,$B216)</f>
        <v>184.411444</v>
      </c>
      <c r="K216" s="11" t="n">
        <f aca="false">IFERROR(F216*1000000/$E216,"")</f>
        <v>101.091412402404</v>
      </c>
      <c r="L216" s="11" t="n">
        <f aca="false">IFERROR(G216*1000000/$E216,"")</f>
        <v>65.6357314624123</v>
      </c>
      <c r="M216" s="11" t="n">
        <f aca="false">IFERROR(H216*1000000/$E216,"")</f>
        <v>165.563264293219</v>
      </c>
      <c r="N216" s="11" t="n">
        <f aca="false">IFERROR(I216*1000000/$E216,"")</f>
        <v>332.290408158036</v>
      </c>
      <c r="O216" s="11" t="n">
        <f aca="false">IFERROR(J216*1000000/$E216,"")</f>
        <v>248.716296245345</v>
      </c>
      <c r="P216" s="16" t="n">
        <f aca="false">COUNTIFS($A$4:$A$1008,$A216,$N$4:$N$1008,"&gt;"&amp;N216)+1</f>
        <v>1</v>
      </c>
      <c r="Q216" s="16" t="n">
        <f aca="false">COUNTIFS($A$4:$A$1008,$A216,$O$4:$O$1008,"&gt;"&amp;O216)+1</f>
        <v>1</v>
      </c>
    </row>
    <row r="217" customFormat="false" ht="15" hidden="false" customHeight="false" outlineLevel="0" collapsed="false">
      <c r="A217" s="7" t="n">
        <v>2005</v>
      </c>
      <c r="B217" s="15" t="s">
        <v>133</v>
      </c>
      <c r="C217" s="15" t="s">
        <v>118</v>
      </c>
      <c r="D217" s="15" t="s">
        <v>105</v>
      </c>
      <c r="E217" s="9" t="n">
        <f aca="false">SUMIFS(Data!$L$2:$L$1006,Data!$A$2:$A$1006,$A217,Data!$B$2:$B$1006,$B217)</f>
        <v>2094997</v>
      </c>
      <c r="F217" s="10" t="n">
        <f aca="false">SUMIFS(Data!$E$2:$E$1006,Data!$A$2:$A$1006,$A217,Data!$B$2:$B$1006,$B217)</f>
        <v>144.413231</v>
      </c>
      <c r="G217" s="10" t="n">
        <f aca="false">SUMIFS(Data!$F$2:$F$1006,Data!$A$2:$A$1006,$A217,Data!$B$2:$B$1006,$B217)</f>
        <v>190.480781</v>
      </c>
      <c r="H217" s="10" t="n">
        <f aca="false">SUMIFS(Data!$G$2:$G$1006,Data!$A$2:$A$1006,$A217,Data!$B$2:$B$1006,$B217)</f>
        <v>115.466611</v>
      </c>
      <c r="I217" s="10" t="n">
        <f aca="false">SUMIFS(Data!$N$2:$N$1006,Data!$A$2:$A$1006,$A217,Data!$B$2:$B$1006,$B217)</f>
        <v>450.360623</v>
      </c>
      <c r="J217" s="10" t="n">
        <f aca="false">SUMIFS(Data!$H$2:$H$1006,Data!$A$2:$A$1006,$A217,Data!$B$2:$B$1006,$B217)</f>
        <v>186.095241</v>
      </c>
      <c r="K217" s="11" t="n">
        <f aca="false">IFERROR(F217*1000000/$E217,"")</f>
        <v>68.9324285428571</v>
      </c>
      <c r="L217" s="11" t="n">
        <f aca="false">IFERROR(G217*1000000/$E217,"")</f>
        <v>90.9217440406836</v>
      </c>
      <c r="M217" s="11" t="n">
        <f aca="false">IFERROR(H217*1000000/$E217,"")</f>
        <v>55.1154063705103</v>
      </c>
      <c r="N217" s="11" t="n">
        <f aca="false">IFERROR(I217*1000000/$E217,"")</f>
        <v>214.969578954051</v>
      </c>
      <c r="O217" s="11" t="n">
        <f aca="false">IFERROR(J217*1000000/$E217,"")</f>
        <v>88.8284045275482</v>
      </c>
      <c r="P217" s="16" t="n">
        <f aca="false">COUNTIFS($A$4:$A$1008,$A217,$N$4:$N$1008,"&gt;"&amp;N217)+1</f>
        <v>15</v>
      </c>
      <c r="Q217" s="16" t="n">
        <f aca="false">COUNTIFS($A$4:$A$1008,$A217,$O$4:$O$1008,"&gt;"&amp;O217)+1</f>
        <v>32</v>
      </c>
    </row>
    <row r="218" customFormat="false" ht="15" hidden="false" customHeight="false" outlineLevel="0" collapsed="false">
      <c r="A218" s="7" t="n">
        <v>2005</v>
      </c>
      <c r="B218" s="15" t="s">
        <v>134</v>
      </c>
      <c r="C218" s="15" t="s">
        <v>135</v>
      </c>
      <c r="D218" s="15" t="s">
        <v>136</v>
      </c>
      <c r="E218" s="9" t="n">
        <f aca="false">SUMIFS(Data!$L$2:$L$1006,Data!$A$2:$A$1006,$A218,Data!$B$2:$B$1006,$B218)</f>
        <v>137295</v>
      </c>
      <c r="F218" s="10" t="n">
        <f aca="false">SUMIFS(Data!$E$2:$E$1006,Data!$A$2:$A$1006,$A218,Data!$B$2:$B$1006,$B218)</f>
        <v>18.482497</v>
      </c>
      <c r="G218" s="10" t="n">
        <f aca="false">SUMIFS(Data!$F$2:$F$1006,Data!$A$2:$A$1006,$A218,Data!$B$2:$B$1006,$B218)</f>
        <v>16.453905</v>
      </c>
      <c r="H218" s="10" t="n">
        <f aca="false">SUMIFS(Data!$G$2:$G$1006,Data!$A$2:$A$1006,$A218,Data!$B$2:$B$1006,$B218)</f>
        <v>9.583227</v>
      </c>
      <c r="I218" s="10" t="n">
        <f aca="false">SUMIFS(Data!$N$2:$N$1006,Data!$A$2:$A$1006,$A218,Data!$B$2:$B$1006,$B218)</f>
        <v>44.519629</v>
      </c>
      <c r="J218" s="10" t="n">
        <f aca="false">SUMIFS(Data!$H$2:$H$1006,Data!$A$2:$A$1006,$A218,Data!$B$2:$B$1006,$B218)</f>
        <v>14.075326</v>
      </c>
      <c r="K218" s="11" t="n">
        <f aca="false">IFERROR(F218*1000000/$E218,"")</f>
        <v>134.618864488874</v>
      </c>
      <c r="L218" s="11" t="n">
        <f aca="false">IFERROR(G218*1000000/$E218,"")</f>
        <v>119.843439309516</v>
      </c>
      <c r="M218" s="11" t="n">
        <f aca="false">IFERROR(H218*1000000/$E218,"")</f>
        <v>69.8002622091118</v>
      </c>
      <c r="N218" s="11" t="n">
        <f aca="false">IFERROR(I218*1000000/$E218,"")</f>
        <v>324.262566007502</v>
      </c>
      <c r="O218" s="11" t="n">
        <f aca="false">IFERROR(J218*1000000/$E218,"")</f>
        <v>102.518853563495</v>
      </c>
      <c r="P218" s="16" t="n">
        <f aca="false">COUNTIFS($A$4:$A$1008,$A218,$N$4:$N$1008,"&gt;"&amp;N218)+1</f>
        <v>2</v>
      </c>
      <c r="Q218" s="16" t="n">
        <f aca="false">COUNTIFS($A$4:$A$1008,$A218,$O$4:$O$1008,"&gt;"&amp;O218)+1</f>
        <v>24</v>
      </c>
    </row>
    <row r="219" customFormat="false" ht="15" hidden="false" customHeight="false" outlineLevel="0" collapsed="false">
      <c r="A219" s="7" t="n">
        <v>2005</v>
      </c>
      <c r="B219" s="15" t="s">
        <v>137</v>
      </c>
      <c r="C219" s="15" t="s">
        <v>135</v>
      </c>
      <c r="D219" s="15" t="s">
        <v>138</v>
      </c>
      <c r="E219" s="9" t="n">
        <f aca="false">SUMIFS(Data!$L$2:$L$1006,Data!$A$2:$A$1006,$A219,Data!$B$2:$B$1006,$B219)</f>
        <v>1779184</v>
      </c>
      <c r="F219" s="10" t="n">
        <f aca="false">SUMIFS(Data!$E$2:$E$1006,Data!$A$2:$A$1006,$A219,Data!$B$2:$B$1006,$B219)</f>
        <v>134.014347</v>
      </c>
      <c r="G219" s="10" t="n">
        <f aca="false">SUMIFS(Data!$F$2:$F$1006,Data!$A$2:$A$1006,$A219,Data!$B$2:$B$1006,$B219)</f>
        <v>56.407762</v>
      </c>
      <c r="H219" s="10" t="n">
        <f aca="false">SUMIFS(Data!$G$2:$G$1006,Data!$A$2:$A$1006,$A219,Data!$B$2:$B$1006,$B219)</f>
        <v>106.5865</v>
      </c>
      <c r="I219" s="10" t="n">
        <f aca="false">SUMIFS(Data!$N$2:$N$1006,Data!$A$2:$A$1006,$A219,Data!$B$2:$B$1006,$B219)</f>
        <v>297.008609</v>
      </c>
      <c r="J219" s="10" t="n">
        <f aca="false">SUMIFS(Data!$H$2:$H$1006,Data!$A$2:$A$1006,$A219,Data!$B$2:$B$1006,$B219)</f>
        <v>180.254359</v>
      </c>
      <c r="K219" s="11" t="n">
        <f aca="false">IFERROR(F219*1000000/$E219,"")</f>
        <v>75.3234893074578</v>
      </c>
      <c r="L219" s="11" t="n">
        <f aca="false">IFERROR(G219*1000000/$E219,"")</f>
        <v>31.7042880331658</v>
      </c>
      <c r="M219" s="11" t="n">
        <f aca="false">IFERROR(H219*1000000/$E219,"")</f>
        <v>59.9075194021529</v>
      </c>
      <c r="N219" s="11" t="n">
        <f aca="false">IFERROR(I219*1000000/$E219,"")</f>
        <v>166.935296742776</v>
      </c>
      <c r="O219" s="11" t="n">
        <f aca="false">IFERROR(J219*1000000/$E219,"")</f>
        <v>101.312938403223</v>
      </c>
      <c r="P219" s="16" t="n">
        <f aca="false">COUNTIFS($A$4:$A$1008,$A219,$N$4:$N$1008,"&gt;"&amp;N219)+1</f>
        <v>36</v>
      </c>
      <c r="Q219" s="16" t="n">
        <f aca="false">COUNTIFS($A$4:$A$1008,$A219,$O$4:$O$1008,"&gt;"&amp;O219)+1</f>
        <v>26</v>
      </c>
    </row>
    <row r="220" customFormat="false" ht="15" hidden="false" customHeight="false" outlineLevel="0" collapsed="false">
      <c r="A220" s="7" t="n">
        <v>2005</v>
      </c>
      <c r="B220" s="15" t="s">
        <v>139</v>
      </c>
      <c r="C220" s="15" t="s">
        <v>135</v>
      </c>
      <c r="D220" s="15" t="s">
        <v>138</v>
      </c>
      <c r="E220" s="9" t="n">
        <f aca="false">SUMIFS(Data!$L$2:$L$1006,Data!$A$2:$A$1006,$A220,Data!$B$2:$B$1006,$B220)</f>
        <v>2158201</v>
      </c>
      <c r="F220" s="10" t="n">
        <f aca="false">SUMIFS(Data!$E$2:$E$1006,Data!$A$2:$A$1006,$A220,Data!$B$2:$B$1006,$B220)</f>
        <v>213.229892</v>
      </c>
      <c r="G220" s="10" t="n">
        <f aca="false">SUMIFS(Data!$F$2:$F$1006,Data!$A$2:$A$1006,$A220,Data!$B$2:$B$1006,$B220)</f>
        <v>161.141814</v>
      </c>
      <c r="H220" s="10" t="n">
        <f aca="false">SUMIFS(Data!$G$2:$G$1006,Data!$A$2:$A$1006,$A220,Data!$B$2:$B$1006,$B220)</f>
        <v>197.525925</v>
      </c>
      <c r="I220" s="10" t="n">
        <f aca="false">SUMIFS(Data!$N$2:$N$1006,Data!$A$2:$A$1006,$A220,Data!$B$2:$B$1006,$B220)</f>
        <v>571.897631</v>
      </c>
      <c r="J220" s="10" t="n">
        <f aca="false">SUMIFS(Data!$H$2:$H$1006,Data!$A$2:$A$1006,$A220,Data!$B$2:$B$1006,$B220)</f>
        <v>76.410805</v>
      </c>
      <c r="K220" s="11" t="n">
        <f aca="false">IFERROR(F220*1000000/$E220,"")</f>
        <v>98.7998300436336</v>
      </c>
      <c r="L220" s="11" t="n">
        <f aca="false">IFERROR(G220*1000000/$E220,"")</f>
        <v>74.6648778311195</v>
      </c>
      <c r="M220" s="11" t="n">
        <f aca="false">IFERROR(H220*1000000/$E220,"")</f>
        <v>91.523414640249</v>
      </c>
      <c r="N220" s="11" t="n">
        <f aca="false">IFERROR(I220*1000000/$E220,"")</f>
        <v>264.988122515002</v>
      </c>
      <c r="O220" s="11" t="n">
        <f aca="false">IFERROR(J220*1000000/$E220,"")</f>
        <v>35.4048603443331</v>
      </c>
      <c r="P220" s="16" t="n">
        <f aca="false">COUNTIFS($A$4:$A$1008,$A220,$N$4:$N$1008,"&gt;"&amp;N220)+1</f>
        <v>5</v>
      </c>
      <c r="Q220" s="16" t="n">
        <f aca="false">COUNTIFS($A$4:$A$1008,$A220,$O$4:$O$1008,"&gt;"&amp;O220)+1</f>
        <v>39</v>
      </c>
    </row>
    <row r="221" customFormat="false" ht="15" hidden="false" customHeight="false" outlineLevel="0" collapsed="false">
      <c r="A221" s="7" t="n">
        <v>2005</v>
      </c>
      <c r="B221" s="15" t="s">
        <v>140</v>
      </c>
      <c r="C221" s="15" t="s">
        <v>135</v>
      </c>
      <c r="D221" s="15" t="s">
        <v>141</v>
      </c>
      <c r="E221" s="9" t="n">
        <f aca="false">SUMIFS(Data!$L$2:$L$1006,Data!$A$2:$A$1006,$A221,Data!$B$2:$B$1006,$B221)</f>
        <v>758912</v>
      </c>
      <c r="F221" s="10" t="n">
        <f aca="false">SUMIFS(Data!$E$2:$E$1006,Data!$A$2:$A$1006,$A221,Data!$B$2:$B$1006,$B221)</f>
        <v>45.745644</v>
      </c>
      <c r="G221" s="10" t="n">
        <f aca="false">SUMIFS(Data!$F$2:$F$1006,Data!$A$2:$A$1006,$A221,Data!$B$2:$B$1006,$B221)</f>
        <v>40.478996</v>
      </c>
      <c r="H221" s="10" t="n">
        <f aca="false">SUMIFS(Data!$G$2:$G$1006,Data!$A$2:$A$1006,$A221,Data!$B$2:$B$1006,$B221)</f>
        <v>68.103374</v>
      </c>
      <c r="I221" s="10" t="n">
        <f aca="false">SUMIFS(Data!$N$2:$N$1006,Data!$A$2:$A$1006,$A221,Data!$B$2:$B$1006,$B221)</f>
        <v>154.328014</v>
      </c>
      <c r="J221" s="10" t="n">
        <f aca="false">SUMIFS(Data!$H$2:$H$1006,Data!$A$2:$A$1006,$A221,Data!$B$2:$B$1006,$B221)</f>
        <v>86.475436</v>
      </c>
      <c r="K221" s="11" t="n">
        <f aca="false">IFERROR(F221*1000000/$E221,"")</f>
        <v>60.2779294569067</v>
      </c>
      <c r="L221" s="11" t="n">
        <f aca="false">IFERROR(G221*1000000/$E221,"")</f>
        <v>53.3381946786979</v>
      </c>
      <c r="M221" s="11" t="n">
        <f aca="false">IFERROR(H221*1000000/$E221,"")</f>
        <v>89.7381699063923</v>
      </c>
      <c r="N221" s="11" t="n">
        <f aca="false">IFERROR(I221*1000000/$E221,"")</f>
        <v>203.354294041997</v>
      </c>
      <c r="O221" s="11" t="n">
        <f aca="false">IFERROR(J221*1000000/$E221,"")</f>
        <v>113.946591963232</v>
      </c>
      <c r="P221" s="16" t="n">
        <f aca="false">COUNTIFS($A$4:$A$1008,$A221,$N$4:$N$1008,"&gt;"&amp;N221)+1</f>
        <v>25</v>
      </c>
      <c r="Q221" s="16" t="n">
        <f aca="false">COUNTIFS($A$4:$A$1008,$A221,$O$4:$O$1008,"&gt;"&amp;O221)+1</f>
        <v>18</v>
      </c>
    </row>
    <row r="222" customFormat="false" ht="15" hidden="false" customHeight="false" outlineLevel="0" collapsed="false">
      <c r="A222" s="7" t="n">
        <v>2005</v>
      </c>
      <c r="B222" s="15" t="s">
        <v>142</v>
      </c>
      <c r="C222" s="15" t="s">
        <v>135</v>
      </c>
      <c r="D222" s="15" t="s">
        <v>143</v>
      </c>
      <c r="E222" s="9" t="n">
        <f aca="false">SUMIFS(Data!$L$2:$L$1006,Data!$A$2:$A$1006,$A222,Data!$B$2:$B$1006,$B222)</f>
        <v>579376</v>
      </c>
      <c r="F222" s="10" t="n">
        <f aca="false">SUMIFS(Data!$E$2:$E$1006,Data!$A$2:$A$1006,$A222,Data!$B$2:$B$1006,$B222)</f>
        <v>71.369835</v>
      </c>
      <c r="G222" s="10" t="n">
        <f aca="false">SUMIFS(Data!$F$2:$F$1006,Data!$A$2:$A$1006,$A222,Data!$B$2:$B$1006,$B222)</f>
        <v>25.566393</v>
      </c>
      <c r="H222" s="10" t="n">
        <f aca="false">SUMIFS(Data!$G$2:$G$1006,Data!$A$2:$A$1006,$A222,Data!$B$2:$B$1006,$B222)</f>
        <v>41.294528</v>
      </c>
      <c r="I222" s="10" t="n">
        <f aca="false">SUMIFS(Data!$N$2:$N$1006,Data!$A$2:$A$1006,$A222,Data!$B$2:$B$1006,$B222)</f>
        <v>138.230756</v>
      </c>
      <c r="J222" s="10" t="n">
        <f aca="false">SUMIFS(Data!$H$2:$H$1006,Data!$A$2:$A$1006,$A222,Data!$B$2:$B$1006,$B222)</f>
        <v>59.611895</v>
      </c>
      <c r="K222" s="11" t="n">
        <f aca="false">IFERROR(F222*1000000/$E222,"")</f>
        <v>123.183968614509</v>
      </c>
      <c r="L222" s="11" t="n">
        <f aca="false">IFERROR(G222*1000000/$E222,"")</f>
        <v>44.1274629946701</v>
      </c>
      <c r="M222" s="11" t="n">
        <f aca="false">IFERROR(H222*1000000/$E222,"")</f>
        <v>71.2741432161498</v>
      </c>
      <c r="N222" s="11" t="n">
        <f aca="false">IFERROR(I222*1000000/$E222,"")</f>
        <v>238.585574825329</v>
      </c>
      <c r="O222" s="11" t="n">
        <f aca="false">IFERROR(J222*1000000/$E222,"")</f>
        <v>102.889824569882</v>
      </c>
      <c r="P222" s="16" t="n">
        <f aca="false">COUNTIFS($A$4:$A$1008,$A222,$N$4:$N$1008,"&gt;"&amp;N222)+1</f>
        <v>8</v>
      </c>
      <c r="Q222" s="16" t="n">
        <f aca="false">COUNTIFS($A$4:$A$1008,$A222,$O$4:$O$1008,"&gt;"&amp;O222)+1</f>
        <v>23</v>
      </c>
    </row>
    <row r="223" customFormat="false" ht="15" hidden="false" customHeight="false" outlineLevel="0" collapsed="false">
      <c r="A223" s="7" t="n">
        <v>2005</v>
      </c>
      <c r="B223" s="15" t="s">
        <v>144</v>
      </c>
      <c r="C223" s="15" t="s">
        <v>135</v>
      </c>
      <c r="D223" s="15" t="s">
        <v>141</v>
      </c>
      <c r="E223" s="9" t="n">
        <f aca="false">SUMIFS(Data!$L$2:$L$1006,Data!$A$2:$A$1006,$A223,Data!$B$2:$B$1006,$B223)</f>
        <v>462837</v>
      </c>
      <c r="F223" s="10" t="n">
        <f aca="false">SUMIFS(Data!$E$2:$E$1006,Data!$A$2:$A$1006,$A223,Data!$B$2:$B$1006,$B223)</f>
        <v>35.5917</v>
      </c>
      <c r="G223" s="10" t="n">
        <f aca="false">SUMIFS(Data!$F$2:$F$1006,Data!$A$2:$A$1006,$A223,Data!$B$2:$B$1006,$B223)</f>
        <v>19.869043</v>
      </c>
      <c r="H223" s="10" t="n">
        <f aca="false">SUMIFS(Data!$G$2:$G$1006,Data!$A$2:$A$1006,$A223,Data!$B$2:$B$1006,$B223)</f>
        <v>48.76901</v>
      </c>
      <c r="I223" s="10" t="n">
        <f aca="false">SUMIFS(Data!$N$2:$N$1006,Data!$A$2:$A$1006,$A223,Data!$B$2:$B$1006,$B223)</f>
        <v>104.229753</v>
      </c>
      <c r="J223" s="10" t="n">
        <f aca="false">SUMIFS(Data!$H$2:$H$1006,Data!$A$2:$A$1006,$A223,Data!$B$2:$B$1006,$B223)</f>
        <v>33.689072</v>
      </c>
      <c r="K223" s="11" t="n">
        <f aca="false">IFERROR(F223*1000000/$E223,"")</f>
        <v>76.8989946784721</v>
      </c>
      <c r="L223" s="11" t="n">
        <f aca="false">IFERROR(G223*1000000/$E223,"")</f>
        <v>42.9288129514278</v>
      </c>
      <c r="M223" s="11" t="n">
        <f aca="false">IFERROR(H223*1000000/$E223,"")</f>
        <v>105.369730596301</v>
      </c>
      <c r="N223" s="11" t="n">
        <f aca="false">IFERROR(I223*1000000/$E223,"")</f>
        <v>225.197538226201</v>
      </c>
      <c r="O223" s="11" t="n">
        <f aca="false">IFERROR(J223*1000000/$E223,"")</f>
        <v>72.7881997333835</v>
      </c>
      <c r="P223" s="16" t="n">
        <f aca="false">COUNTIFS($A$4:$A$1008,$A223,$N$4:$N$1008,"&gt;"&amp;N223)+1</f>
        <v>11</v>
      </c>
      <c r="Q223" s="16" t="n">
        <f aca="false">COUNTIFS($A$4:$A$1008,$A223,$O$4:$O$1008,"&gt;"&amp;O223)+1</f>
        <v>37</v>
      </c>
    </row>
    <row r="224" customFormat="false" ht="15" hidden="false" customHeight="false" outlineLevel="0" collapsed="false">
      <c r="A224" s="7" t="n">
        <v>2005</v>
      </c>
      <c r="B224" s="15" t="s">
        <v>145</v>
      </c>
      <c r="C224" s="15" t="s">
        <v>135</v>
      </c>
      <c r="D224" s="15" t="s">
        <v>146</v>
      </c>
      <c r="E224" s="9" t="n">
        <f aca="false">SUMIFS(Data!$L$2:$L$1006,Data!$A$2:$A$1006,$A224,Data!$B$2:$B$1006,$B224)</f>
        <v>535714</v>
      </c>
      <c r="F224" s="10" t="n">
        <f aca="false">SUMIFS(Data!$E$2:$E$1006,Data!$A$2:$A$1006,$A224,Data!$B$2:$B$1006,$B224)</f>
        <v>24.831815</v>
      </c>
      <c r="G224" s="10" t="n">
        <f aca="false">SUMIFS(Data!$F$2:$F$1006,Data!$A$2:$A$1006,$A224,Data!$B$2:$B$1006,$B224)</f>
        <v>47.51762</v>
      </c>
      <c r="H224" s="10" t="n">
        <f aca="false">SUMIFS(Data!$G$2:$G$1006,Data!$A$2:$A$1006,$A224,Data!$B$2:$B$1006,$B224)</f>
        <v>46.737695</v>
      </c>
      <c r="I224" s="10" t="n">
        <f aca="false">SUMIFS(Data!$N$2:$N$1006,Data!$A$2:$A$1006,$A224,Data!$B$2:$B$1006,$B224)</f>
        <v>119.08713</v>
      </c>
      <c r="J224" s="10" t="n">
        <f aca="false">SUMIFS(Data!$H$2:$H$1006,Data!$A$2:$A$1006,$A224,Data!$B$2:$B$1006,$B224)</f>
        <v>96.043313</v>
      </c>
      <c r="K224" s="11" t="n">
        <f aca="false">IFERROR(F224*1000000/$E224,"")</f>
        <v>46.3527460547979</v>
      </c>
      <c r="L224" s="11" t="n">
        <f aca="false">IFERROR(G224*1000000/$E224,"")</f>
        <v>88.6996046397891</v>
      </c>
      <c r="M224" s="11" t="n">
        <f aca="false">IFERROR(H224*1000000/$E224,"")</f>
        <v>87.2437438633301</v>
      </c>
      <c r="N224" s="11" t="n">
        <f aca="false">IFERROR(I224*1000000/$E224,"")</f>
        <v>222.296094557917</v>
      </c>
      <c r="O224" s="11" t="n">
        <f aca="false">IFERROR(J224*1000000/$E224,"")</f>
        <v>179.280946549838</v>
      </c>
      <c r="P224" s="16" t="n">
        <f aca="false">COUNTIFS($A$4:$A$1008,$A224,$N$4:$N$1008,"&gt;"&amp;N224)+1</f>
        <v>13</v>
      </c>
      <c r="Q224" s="16" t="n">
        <f aca="false">COUNTIFS($A$4:$A$1008,$A224,$O$4:$O$1008,"&gt;"&amp;O224)+1</f>
        <v>5</v>
      </c>
    </row>
    <row r="225" customFormat="false" ht="15" hidden="false" customHeight="false" outlineLevel="0" collapsed="false">
      <c r="A225" s="7" t="n">
        <v>2005</v>
      </c>
      <c r="B225" s="15" t="s">
        <v>147</v>
      </c>
      <c r="C225" s="15" t="s">
        <v>135</v>
      </c>
      <c r="D225" s="15" t="s">
        <v>148</v>
      </c>
      <c r="E225" s="9" t="n">
        <f aca="false">SUMIFS(Data!$L$2:$L$1006,Data!$A$2:$A$1006,$A225,Data!$B$2:$B$1006,$B225)</f>
        <v>135100</v>
      </c>
      <c r="F225" s="10" t="n">
        <f aca="false">SUMIFS(Data!$E$2:$E$1006,Data!$A$2:$A$1006,$A225,Data!$B$2:$B$1006,$B225)</f>
        <v>9.761996</v>
      </c>
      <c r="G225" s="10" t="n">
        <f aca="false">SUMIFS(Data!$F$2:$F$1006,Data!$A$2:$A$1006,$A225,Data!$B$2:$B$1006,$B225)</f>
        <v>10.224601</v>
      </c>
      <c r="H225" s="10" t="n">
        <f aca="false">SUMIFS(Data!$G$2:$G$1006,Data!$A$2:$A$1006,$A225,Data!$B$2:$B$1006,$B225)</f>
        <v>8.951833</v>
      </c>
      <c r="I225" s="10" t="n">
        <f aca="false">SUMIFS(Data!$N$2:$N$1006,Data!$A$2:$A$1006,$A225,Data!$B$2:$B$1006,$B225)</f>
        <v>28.93843</v>
      </c>
      <c r="J225" s="10" t="n">
        <f aca="false">SUMIFS(Data!$H$2:$H$1006,Data!$A$2:$A$1006,$A225,Data!$B$2:$B$1006,$B225)</f>
        <v>26.476994</v>
      </c>
      <c r="K225" s="11" t="n">
        <f aca="false">IFERROR(F225*1000000/$E225,"")</f>
        <v>72.2575573649149</v>
      </c>
      <c r="L225" s="11" t="n">
        <f aca="false">IFERROR(G225*1000000/$E225,"")</f>
        <v>75.6817246484086</v>
      </c>
      <c r="M225" s="11" t="n">
        <f aca="false">IFERROR(H225*1000000/$E225,"")</f>
        <v>66.2607920059215</v>
      </c>
      <c r="N225" s="11" t="n">
        <f aca="false">IFERROR(I225*1000000/$E225,"")</f>
        <v>214.200074019245</v>
      </c>
      <c r="O225" s="11" t="n">
        <f aca="false">IFERROR(J225*1000000/$E225,"")</f>
        <v>195.980710584752</v>
      </c>
      <c r="P225" s="16" t="n">
        <f aca="false">COUNTIFS($A$4:$A$1008,$A225,$N$4:$N$1008,"&gt;"&amp;N225)+1</f>
        <v>17</v>
      </c>
      <c r="Q225" s="16" t="n">
        <f aca="false">COUNTIFS($A$4:$A$1008,$A225,$O$4:$O$1008,"&gt;"&amp;O225)+1</f>
        <v>4</v>
      </c>
    </row>
    <row r="226" customFormat="false" ht="15" hidden="false" customHeight="false" outlineLevel="0" collapsed="false">
      <c r="A226" s="7" t="n">
        <v>2005</v>
      </c>
      <c r="B226" s="15" t="s">
        <v>149</v>
      </c>
      <c r="C226" s="15" t="s">
        <v>135</v>
      </c>
      <c r="D226" s="15" t="s">
        <v>146</v>
      </c>
      <c r="E226" s="9" t="n">
        <f aca="false">SUMIFS(Data!$L$2:$L$1006,Data!$A$2:$A$1006,$A226,Data!$B$2:$B$1006,$B226)</f>
        <v>701054</v>
      </c>
      <c r="F226" s="10" t="n">
        <f aca="false">SUMIFS(Data!$E$2:$E$1006,Data!$A$2:$A$1006,$A226,Data!$B$2:$B$1006,$B226)</f>
        <v>81.253431</v>
      </c>
      <c r="G226" s="10" t="n">
        <f aca="false">SUMIFS(Data!$F$2:$F$1006,Data!$A$2:$A$1006,$A226,Data!$B$2:$B$1006,$B226)</f>
        <v>56.196106</v>
      </c>
      <c r="H226" s="10" t="n">
        <f aca="false">SUMIFS(Data!$G$2:$G$1006,Data!$A$2:$A$1006,$A226,Data!$B$2:$B$1006,$B226)</f>
        <v>54.57659</v>
      </c>
      <c r="I226" s="10" t="n">
        <f aca="false">SUMIFS(Data!$N$2:$N$1006,Data!$A$2:$A$1006,$A226,Data!$B$2:$B$1006,$B226)</f>
        <v>192.026127</v>
      </c>
      <c r="J226" s="10" t="n">
        <f aca="false">SUMIFS(Data!$H$2:$H$1006,Data!$A$2:$A$1006,$A226,Data!$B$2:$B$1006,$B226)</f>
        <v>114.467065</v>
      </c>
      <c r="K226" s="11" t="n">
        <f aca="false">IFERROR(F226*1000000/$E226,"")</f>
        <v>115.901814981442</v>
      </c>
      <c r="L226" s="11" t="n">
        <f aca="false">IFERROR(G226*1000000/$E226,"")</f>
        <v>80.1594541932576</v>
      </c>
      <c r="M226" s="11" t="n">
        <f aca="false">IFERROR(H226*1000000/$E226,"")</f>
        <v>77.8493382820724</v>
      </c>
      <c r="N226" s="11" t="n">
        <f aca="false">IFERROR(I226*1000000/$E226,"")</f>
        <v>273.910607456772</v>
      </c>
      <c r="O226" s="11" t="n">
        <f aca="false">IFERROR(J226*1000000/$E226,"")</f>
        <v>163.278527759631</v>
      </c>
      <c r="P226" s="16" t="n">
        <f aca="false">COUNTIFS($A$4:$A$1008,$A226,$N$4:$N$1008,"&gt;"&amp;N226)+1</f>
        <v>4</v>
      </c>
      <c r="Q226" s="16" t="n">
        <f aca="false">COUNTIFS($A$4:$A$1008,$A226,$O$4:$O$1008,"&gt;"&amp;O226)+1</f>
        <v>6</v>
      </c>
    </row>
    <row r="227" customFormat="false" ht="15" hidden="false" customHeight="false" outlineLevel="0" collapsed="false">
      <c r="A227" s="7" t="n">
        <v>2005</v>
      </c>
      <c r="B227" s="15" t="s">
        <v>150</v>
      </c>
      <c r="C227" s="15" t="s">
        <v>135</v>
      </c>
      <c r="D227" s="15" t="s">
        <v>141</v>
      </c>
      <c r="E227" s="9" t="n">
        <f aca="false">SUMIFS(Data!$L$2:$L$1006,Data!$A$2:$A$1006,$A227,Data!$B$2:$B$1006,$B227)</f>
        <v>447345</v>
      </c>
      <c r="F227" s="10" t="n">
        <f aca="false">SUMIFS(Data!$E$2:$E$1006,Data!$A$2:$A$1006,$A227,Data!$B$2:$B$1006,$B227)</f>
        <v>29.52552</v>
      </c>
      <c r="G227" s="10" t="n">
        <f aca="false">SUMIFS(Data!$F$2:$F$1006,Data!$A$2:$A$1006,$A227,Data!$B$2:$B$1006,$B227)</f>
        <v>22.121227</v>
      </c>
      <c r="H227" s="10" t="n">
        <f aca="false">SUMIFS(Data!$G$2:$G$1006,Data!$A$2:$A$1006,$A227,Data!$B$2:$B$1006,$B227)</f>
        <v>43.557271</v>
      </c>
      <c r="I227" s="10" t="n">
        <f aca="false">SUMIFS(Data!$N$2:$N$1006,Data!$A$2:$A$1006,$A227,Data!$B$2:$B$1006,$B227)</f>
        <v>95.204018</v>
      </c>
      <c r="J227" s="10" t="n">
        <f aca="false">SUMIFS(Data!$H$2:$H$1006,Data!$A$2:$A$1006,$A227,Data!$B$2:$B$1006,$B227)</f>
        <v>51.178986</v>
      </c>
      <c r="K227" s="11" t="n">
        <f aca="false">IFERROR(F227*1000000/$E227,"")</f>
        <v>66.001676558361</v>
      </c>
      <c r="L227" s="11" t="n">
        <f aca="false">IFERROR(G227*1000000/$E227,"")</f>
        <v>49.4500374431367</v>
      </c>
      <c r="M227" s="11" t="n">
        <f aca="false">IFERROR(H227*1000000/$E227,"")</f>
        <v>97.3684091696565</v>
      </c>
      <c r="N227" s="11" t="n">
        <f aca="false">IFERROR(I227*1000000/$E227,"")</f>
        <v>212.820123171154</v>
      </c>
      <c r="O227" s="11" t="n">
        <f aca="false">IFERROR(J227*1000000/$E227,"")</f>
        <v>114.4060758475</v>
      </c>
      <c r="P227" s="16" t="n">
        <f aca="false">COUNTIFS($A$4:$A$1008,$A227,$N$4:$N$1008,"&gt;"&amp;N227)+1</f>
        <v>19</v>
      </c>
      <c r="Q227" s="16" t="n">
        <f aca="false">COUNTIFS($A$4:$A$1008,$A227,$O$4:$O$1008,"&gt;"&amp;O227)+1</f>
        <v>17</v>
      </c>
    </row>
    <row r="228" customFormat="false" ht="15" hidden="false" customHeight="false" outlineLevel="0" collapsed="false">
      <c r="A228" s="7" t="n">
        <v>2005</v>
      </c>
      <c r="B228" s="15" t="s">
        <v>151</v>
      </c>
      <c r="C228" s="15" t="s">
        <v>135</v>
      </c>
      <c r="D228" s="15" t="s">
        <v>136</v>
      </c>
      <c r="E228" s="9" t="n">
        <f aca="false">SUMIFS(Data!$L$2:$L$1006,Data!$A$2:$A$1006,$A228,Data!$B$2:$B$1006,$B228)</f>
        <v>1389984</v>
      </c>
      <c r="F228" s="10" t="n">
        <f aca="false">SUMIFS(Data!$E$2:$E$1006,Data!$A$2:$A$1006,$A228,Data!$B$2:$B$1006,$B228)</f>
        <v>91.162568</v>
      </c>
      <c r="G228" s="10" t="n">
        <f aca="false">SUMIFS(Data!$F$2:$F$1006,Data!$A$2:$A$1006,$A228,Data!$B$2:$B$1006,$B228)</f>
        <v>116.102057</v>
      </c>
      <c r="H228" s="10" t="n">
        <f aca="false">SUMIFS(Data!$G$2:$G$1006,Data!$A$2:$A$1006,$A228,Data!$B$2:$B$1006,$B228)</f>
        <v>78.144381</v>
      </c>
      <c r="I228" s="10" t="n">
        <f aca="false">SUMIFS(Data!$N$2:$N$1006,Data!$A$2:$A$1006,$A228,Data!$B$2:$B$1006,$B228)</f>
        <v>285.409006</v>
      </c>
      <c r="J228" s="10" t="n">
        <f aca="false">SUMIFS(Data!$H$2:$H$1006,Data!$A$2:$A$1006,$A228,Data!$B$2:$B$1006,$B228)</f>
        <v>106.169972</v>
      </c>
      <c r="K228" s="11" t="n">
        <f aca="false">IFERROR(F228*1000000/$E228,"")</f>
        <v>65.5853362340861</v>
      </c>
      <c r="L228" s="11" t="n">
        <f aca="false">IFERROR(G228*1000000/$E228,"")</f>
        <v>83.527621181251</v>
      </c>
      <c r="M228" s="11" t="n">
        <f aca="false">IFERROR(H228*1000000/$E228,"")</f>
        <v>56.2196262690794</v>
      </c>
      <c r="N228" s="11" t="n">
        <f aca="false">IFERROR(I228*1000000/$E228,"")</f>
        <v>205.332583684417</v>
      </c>
      <c r="O228" s="11" t="n">
        <f aca="false">IFERROR(J228*1000000/$E228,"")</f>
        <v>76.3821540391832</v>
      </c>
      <c r="P228" s="16" t="n">
        <f aca="false">COUNTIFS($A$4:$A$1008,$A228,$N$4:$N$1008,"&gt;"&amp;N228)+1</f>
        <v>23</v>
      </c>
      <c r="Q228" s="16" t="n">
        <f aca="false">COUNTIFS($A$4:$A$1008,$A228,$O$4:$O$1008,"&gt;"&amp;O228)+1</f>
        <v>36</v>
      </c>
    </row>
    <row r="229" customFormat="false" ht="15" hidden="false" customHeight="false" outlineLevel="0" collapsed="false">
      <c r="A229" s="7" t="n">
        <v>2005</v>
      </c>
      <c r="B229" s="15" t="s">
        <v>152</v>
      </c>
      <c r="C229" s="15" t="s">
        <v>135</v>
      </c>
      <c r="D229" s="15" t="s">
        <v>148</v>
      </c>
      <c r="E229" s="9" t="n">
        <f aca="false">SUMIFS(Data!$L$2:$L$1006,Data!$A$2:$A$1006,$A229,Data!$B$2:$B$1006,$B229)</f>
        <v>249846</v>
      </c>
      <c r="F229" s="10" t="n">
        <f aca="false">SUMIFS(Data!$E$2:$E$1006,Data!$A$2:$A$1006,$A229,Data!$B$2:$B$1006,$B229)</f>
        <v>18.723959</v>
      </c>
      <c r="G229" s="10" t="n">
        <f aca="false">SUMIFS(Data!$F$2:$F$1006,Data!$A$2:$A$1006,$A229,Data!$B$2:$B$1006,$B229)</f>
        <v>16.569128</v>
      </c>
      <c r="H229" s="10" t="n">
        <f aca="false">SUMIFS(Data!$G$2:$G$1006,Data!$A$2:$A$1006,$A229,Data!$B$2:$B$1006,$B229)</f>
        <v>17.912355</v>
      </c>
      <c r="I229" s="10" t="n">
        <f aca="false">SUMIFS(Data!$N$2:$N$1006,Data!$A$2:$A$1006,$A229,Data!$B$2:$B$1006,$B229)</f>
        <v>53.205442</v>
      </c>
      <c r="J229" s="10" t="n">
        <f aca="false">SUMIFS(Data!$H$2:$H$1006,Data!$A$2:$A$1006,$A229,Data!$B$2:$B$1006,$B229)</f>
        <v>24.126188</v>
      </c>
      <c r="K229" s="11" t="n">
        <f aca="false">IFERROR(F229*1000000/$E229,"")</f>
        <v>74.9420002721677</v>
      </c>
      <c r="L229" s="11" t="n">
        <f aca="false">IFERROR(G229*1000000/$E229,"")</f>
        <v>66.3173634959135</v>
      </c>
      <c r="M229" s="11" t="n">
        <f aca="false">IFERROR(H229*1000000/$E229,"")</f>
        <v>71.6935832472803</v>
      </c>
      <c r="N229" s="11" t="n">
        <f aca="false">IFERROR(I229*1000000/$E229,"")</f>
        <v>212.952947015362</v>
      </c>
      <c r="O229" s="11" t="n">
        <f aca="false">IFERROR(J229*1000000/$E229,"")</f>
        <v>96.5642355691106</v>
      </c>
      <c r="P229" s="16" t="n">
        <f aca="false">COUNTIFS($A$4:$A$1008,$A229,$N$4:$N$1008,"&gt;"&amp;N229)+1</f>
        <v>18</v>
      </c>
      <c r="Q229" s="16" t="n">
        <f aca="false">COUNTIFS($A$4:$A$1008,$A229,$O$4:$O$1008,"&gt;"&amp;O229)+1</f>
        <v>28</v>
      </c>
    </row>
    <row r="230" customFormat="false" ht="15" hidden="false" customHeight="false" outlineLevel="0" collapsed="false">
      <c r="A230" s="7" t="n">
        <v>2005</v>
      </c>
      <c r="B230" s="15" t="s">
        <v>153</v>
      </c>
      <c r="C230" s="15" t="s">
        <v>135</v>
      </c>
      <c r="D230" s="15" t="s">
        <v>136</v>
      </c>
      <c r="E230" s="9" t="n">
        <f aca="false">SUMIFS(Data!$L$2:$L$1006,Data!$A$2:$A$1006,$A230,Data!$B$2:$B$1006,$B230)</f>
        <v>128289</v>
      </c>
      <c r="F230" s="10" t="n">
        <f aca="false">SUMIFS(Data!$E$2:$E$1006,Data!$A$2:$A$1006,$A230,Data!$B$2:$B$1006,$B230)</f>
        <v>11.911636</v>
      </c>
      <c r="G230" s="10" t="n">
        <f aca="false">SUMIFS(Data!$F$2:$F$1006,Data!$A$2:$A$1006,$A230,Data!$B$2:$B$1006,$B230)</f>
        <v>13.76779</v>
      </c>
      <c r="H230" s="10" t="n">
        <f aca="false">SUMIFS(Data!$G$2:$G$1006,Data!$A$2:$A$1006,$A230,Data!$B$2:$B$1006,$B230)</f>
        <v>8.112038</v>
      </c>
      <c r="I230" s="10" t="n">
        <f aca="false">SUMIFS(Data!$N$2:$N$1006,Data!$A$2:$A$1006,$A230,Data!$B$2:$B$1006,$B230)</f>
        <v>33.791464</v>
      </c>
      <c r="J230" s="10" t="n">
        <f aca="false">SUMIFS(Data!$H$2:$H$1006,Data!$A$2:$A$1006,$A230,Data!$B$2:$B$1006,$B230)</f>
        <v>14.607704</v>
      </c>
      <c r="K230" s="11" t="n">
        <f aca="false">IFERROR(F230*1000000/$E230,"")</f>
        <v>92.8500183180164</v>
      </c>
      <c r="L230" s="11" t="n">
        <f aca="false">IFERROR(G230*1000000/$E230,"")</f>
        <v>107.318554201841</v>
      </c>
      <c r="M230" s="11" t="n">
        <f aca="false">IFERROR(H230*1000000/$E230,"")</f>
        <v>63.2325296790839</v>
      </c>
      <c r="N230" s="11" t="n">
        <f aca="false">IFERROR(I230*1000000/$E230,"")</f>
        <v>263.401102198941</v>
      </c>
      <c r="O230" s="11" t="n">
        <f aca="false">IFERROR(J230*1000000/$E230,"")</f>
        <v>113.865600324268</v>
      </c>
      <c r="P230" s="16" t="n">
        <f aca="false">COUNTIFS($A$4:$A$1008,$A230,$N$4:$N$1008,"&gt;"&amp;N230)+1</f>
        <v>6</v>
      </c>
      <c r="Q230" s="16" t="n">
        <f aca="false">COUNTIFS($A$4:$A$1008,$A230,$O$4:$O$1008,"&gt;"&amp;O230)+1</f>
        <v>19</v>
      </c>
    </row>
    <row r="231" customFormat="false" ht="15" hidden="false" customHeight="false" outlineLevel="0" collapsed="false">
      <c r="A231" s="7" t="n">
        <v>2005</v>
      </c>
      <c r="B231" s="15" t="s">
        <v>154</v>
      </c>
      <c r="C231" s="15" t="s">
        <v>135</v>
      </c>
      <c r="D231" s="15" t="s">
        <v>141</v>
      </c>
      <c r="E231" s="9" t="n">
        <f aca="false">SUMIFS(Data!$L$2:$L$1006,Data!$A$2:$A$1006,$A231,Data!$B$2:$B$1006,$B231)</f>
        <v>144632</v>
      </c>
      <c r="F231" s="10" t="n">
        <f aca="false">SUMIFS(Data!$E$2:$E$1006,Data!$A$2:$A$1006,$A231,Data!$B$2:$B$1006,$B231)</f>
        <v>8.676268</v>
      </c>
      <c r="G231" s="10" t="n">
        <f aca="false">SUMIFS(Data!$F$2:$F$1006,Data!$A$2:$A$1006,$A231,Data!$B$2:$B$1006,$B231)</f>
        <v>6.703534</v>
      </c>
      <c r="H231" s="10" t="n">
        <f aca="false">SUMIFS(Data!$G$2:$G$1006,Data!$A$2:$A$1006,$A231,Data!$B$2:$B$1006,$B231)</f>
        <v>10.676819</v>
      </c>
      <c r="I231" s="10" t="n">
        <f aca="false">SUMIFS(Data!$N$2:$N$1006,Data!$A$2:$A$1006,$A231,Data!$B$2:$B$1006,$B231)</f>
        <v>26.056621</v>
      </c>
      <c r="J231" s="10" t="n">
        <f aca="false">SUMIFS(Data!$H$2:$H$1006,Data!$A$2:$A$1006,$A231,Data!$B$2:$B$1006,$B231)</f>
        <v>20.877674</v>
      </c>
      <c r="K231" s="11" t="n">
        <f aca="false">IFERROR(F231*1000000/$E231,"")</f>
        <v>59.9885779080701</v>
      </c>
      <c r="L231" s="11" t="n">
        <f aca="false">IFERROR(G231*1000000/$E231,"")</f>
        <v>46.3488992754024</v>
      </c>
      <c r="M231" s="11" t="n">
        <f aca="false">IFERROR(H231*1000000/$E231,"")</f>
        <v>73.8205860390508</v>
      </c>
      <c r="N231" s="11" t="n">
        <f aca="false">IFERROR(I231*1000000/$E231,"")</f>
        <v>180.158063222523</v>
      </c>
      <c r="O231" s="11" t="n">
        <f aca="false">IFERROR(J231*1000000/$E231,"")</f>
        <v>144.350309751646</v>
      </c>
      <c r="P231" s="16" t="n">
        <f aca="false">COUNTIFS($A$4:$A$1008,$A231,$N$4:$N$1008,"&gt;"&amp;N231)+1</f>
        <v>29</v>
      </c>
      <c r="Q231" s="16" t="n">
        <f aca="false">COUNTIFS($A$4:$A$1008,$A231,$O$4:$O$1008,"&gt;"&amp;O231)+1</f>
        <v>10</v>
      </c>
    </row>
    <row r="232" customFormat="false" ht="15" hidden="false" customHeight="false" outlineLevel="0" collapsed="false">
      <c r="A232" s="7" t="n">
        <v>2005</v>
      </c>
      <c r="B232" s="15" t="s">
        <v>155</v>
      </c>
      <c r="C232" s="15" t="s">
        <v>135</v>
      </c>
      <c r="D232" s="15" t="s">
        <v>148</v>
      </c>
      <c r="E232" s="9" t="n">
        <f aca="false">SUMIFS(Data!$L$2:$L$1006,Data!$A$2:$A$1006,$A232,Data!$B$2:$B$1006,$B232)</f>
        <v>1086855</v>
      </c>
      <c r="F232" s="10" t="n">
        <f aca="false">SUMIFS(Data!$E$2:$E$1006,Data!$A$2:$A$1006,$A232,Data!$B$2:$B$1006,$B232)</f>
        <v>67.158161</v>
      </c>
      <c r="G232" s="10" t="n">
        <f aca="false">SUMIFS(Data!$F$2:$F$1006,Data!$A$2:$A$1006,$A232,Data!$B$2:$B$1006,$B232)</f>
        <v>71.985715</v>
      </c>
      <c r="H232" s="10" t="n">
        <f aca="false">SUMIFS(Data!$G$2:$G$1006,Data!$A$2:$A$1006,$A232,Data!$B$2:$B$1006,$B232)</f>
        <v>88.169205</v>
      </c>
      <c r="I232" s="10" t="n">
        <f aca="false">SUMIFS(Data!$N$2:$N$1006,Data!$A$2:$A$1006,$A232,Data!$B$2:$B$1006,$B232)</f>
        <v>227.313081</v>
      </c>
      <c r="J232" s="10" t="n">
        <f aca="false">SUMIFS(Data!$H$2:$H$1006,Data!$A$2:$A$1006,$A232,Data!$B$2:$B$1006,$B232)</f>
        <v>162.93994</v>
      </c>
      <c r="K232" s="11" t="n">
        <f aca="false">IFERROR(F232*1000000/$E232,"")</f>
        <v>61.7912794254983</v>
      </c>
      <c r="L232" s="11" t="n">
        <f aca="false">IFERROR(G232*1000000/$E232,"")</f>
        <v>66.2330439663065</v>
      </c>
      <c r="M232" s="11" t="n">
        <f aca="false">IFERROR(H232*1000000/$E232,"")</f>
        <v>81.1232455111307</v>
      </c>
      <c r="N232" s="11" t="n">
        <f aca="false">IFERROR(I232*1000000/$E232,"")</f>
        <v>209.147568902936</v>
      </c>
      <c r="O232" s="11" t="n">
        <f aca="false">IFERROR(J232*1000000/$E232,"")</f>
        <v>149.91874721099</v>
      </c>
      <c r="P232" s="16" t="n">
        <f aca="false">COUNTIFS($A$4:$A$1008,$A232,$N$4:$N$1008,"&gt;"&amp;N232)+1</f>
        <v>22</v>
      </c>
      <c r="Q232" s="16" t="n">
        <f aca="false">COUNTIFS($A$4:$A$1008,$A232,$O$4:$O$1008,"&gt;"&amp;O232)+1</f>
        <v>7</v>
      </c>
    </row>
    <row r="233" customFormat="false" ht="15" hidden="false" customHeight="false" outlineLevel="0" collapsed="false">
      <c r="A233" s="7" t="n">
        <v>2005</v>
      </c>
      <c r="B233" s="15" t="s">
        <v>156</v>
      </c>
      <c r="C233" s="15" t="s">
        <v>135</v>
      </c>
      <c r="D233" s="15" t="s">
        <v>148</v>
      </c>
      <c r="E233" s="9" t="n">
        <f aca="false">SUMIFS(Data!$L$2:$L$1006,Data!$A$2:$A$1006,$A233,Data!$B$2:$B$1006,$B233)</f>
        <v>439565</v>
      </c>
      <c r="F233" s="10" t="n">
        <f aca="false">SUMIFS(Data!$E$2:$E$1006,Data!$A$2:$A$1006,$A233,Data!$B$2:$B$1006,$B233)</f>
        <v>24.160431</v>
      </c>
      <c r="G233" s="10" t="n">
        <f aca="false">SUMIFS(Data!$F$2:$F$1006,Data!$A$2:$A$1006,$A233,Data!$B$2:$B$1006,$B233)</f>
        <v>41.648438</v>
      </c>
      <c r="H233" s="10" t="n">
        <f aca="false">SUMIFS(Data!$G$2:$G$1006,Data!$A$2:$A$1006,$A233,Data!$B$2:$B$1006,$B233)</f>
        <v>37.668662</v>
      </c>
      <c r="I233" s="10" t="n">
        <f aca="false">SUMIFS(Data!$N$2:$N$1006,Data!$A$2:$A$1006,$A233,Data!$B$2:$B$1006,$B233)</f>
        <v>103.477531</v>
      </c>
      <c r="J233" s="10" t="n">
        <f aca="false">SUMIFS(Data!$H$2:$H$1006,Data!$A$2:$A$1006,$A233,Data!$B$2:$B$1006,$B233)</f>
        <v>101.77714</v>
      </c>
      <c r="K233" s="11" t="n">
        <f aca="false">IFERROR(F233*1000000/$E233,"")</f>
        <v>54.9644102692435</v>
      </c>
      <c r="L233" s="11" t="n">
        <f aca="false">IFERROR(G233*1000000/$E233,"")</f>
        <v>94.7492134269107</v>
      </c>
      <c r="M233" s="11" t="n">
        <f aca="false">IFERROR(H233*1000000/$E233,"")</f>
        <v>85.6953169610865</v>
      </c>
      <c r="N233" s="11" t="n">
        <f aca="false">IFERROR(I233*1000000/$E233,"")</f>
        <v>235.408940657241</v>
      </c>
      <c r="O233" s="11" t="n">
        <f aca="false">IFERROR(J233*1000000/$E233,"")</f>
        <v>231.540591266366</v>
      </c>
      <c r="P233" s="16" t="n">
        <f aca="false">COUNTIFS($A$4:$A$1008,$A233,$N$4:$N$1008,"&gt;"&amp;N233)+1</f>
        <v>9</v>
      </c>
      <c r="Q233" s="16" t="n">
        <f aca="false">COUNTIFS($A$4:$A$1008,$A233,$O$4:$O$1008,"&gt;"&amp;O233)+1</f>
        <v>2</v>
      </c>
    </row>
    <row r="234" customFormat="false" ht="15" hidden="false" customHeight="false" outlineLevel="0" collapsed="false">
      <c r="A234" s="7" t="n">
        <v>2005</v>
      </c>
      <c r="B234" s="15" t="s">
        <v>157</v>
      </c>
      <c r="C234" s="15" t="s">
        <v>135</v>
      </c>
      <c r="D234" s="15" t="s">
        <v>148</v>
      </c>
      <c r="E234" s="9" t="n">
        <f aca="false">SUMIFS(Data!$L$2:$L$1006,Data!$A$2:$A$1006,$A234,Data!$B$2:$B$1006,$B234)</f>
        <v>422165</v>
      </c>
      <c r="F234" s="10" t="n">
        <f aca="false">SUMIFS(Data!$E$2:$E$1006,Data!$A$2:$A$1006,$A234,Data!$B$2:$B$1006,$B234)</f>
        <v>42.250113</v>
      </c>
      <c r="G234" s="10" t="n">
        <f aca="false">SUMIFS(Data!$F$2:$F$1006,Data!$A$2:$A$1006,$A234,Data!$B$2:$B$1006,$B234)</f>
        <v>35.286302</v>
      </c>
      <c r="H234" s="10" t="n">
        <f aca="false">SUMIFS(Data!$G$2:$G$1006,Data!$A$2:$A$1006,$A234,Data!$B$2:$B$1006,$B234)</f>
        <v>23.828327</v>
      </c>
      <c r="I234" s="10" t="n">
        <f aca="false">SUMIFS(Data!$N$2:$N$1006,Data!$A$2:$A$1006,$A234,Data!$B$2:$B$1006,$B234)</f>
        <v>101.364742</v>
      </c>
      <c r="J234" s="10" t="n">
        <f aca="false">SUMIFS(Data!$H$2:$H$1006,Data!$A$2:$A$1006,$A234,Data!$B$2:$B$1006,$B234)</f>
        <v>46.154237</v>
      </c>
      <c r="K234" s="11" t="n">
        <f aca="false">IFERROR(F234*1000000/$E234,"")</f>
        <v>100.079620527519</v>
      </c>
      <c r="L234" s="11" t="n">
        <f aca="false">IFERROR(G234*1000000/$E234,"")</f>
        <v>83.5841483780039</v>
      </c>
      <c r="M234" s="11" t="n">
        <f aca="false">IFERROR(H234*1000000/$E234,"")</f>
        <v>56.4431608494309</v>
      </c>
      <c r="N234" s="11" t="n">
        <f aca="false">IFERROR(I234*1000000/$E234,"")</f>
        <v>240.106929754954</v>
      </c>
      <c r="O234" s="11" t="n">
        <f aca="false">IFERROR(J234*1000000/$E234,"")</f>
        <v>109.327483329978</v>
      </c>
      <c r="P234" s="16" t="n">
        <f aca="false">COUNTIFS($A$4:$A$1008,$A234,$N$4:$N$1008,"&gt;"&amp;N234)+1</f>
        <v>7</v>
      </c>
      <c r="Q234" s="16" t="n">
        <f aca="false">COUNTIFS($A$4:$A$1008,$A234,$O$4:$O$1008,"&gt;"&amp;O234)+1</f>
        <v>21</v>
      </c>
    </row>
    <row r="235" customFormat="false" ht="15" hidden="false" customHeight="false" outlineLevel="0" collapsed="false">
      <c r="A235" s="7" t="n">
        <v>2006</v>
      </c>
      <c r="B235" s="15" t="s">
        <v>101</v>
      </c>
      <c r="C235" s="15" t="s">
        <v>102</v>
      </c>
      <c r="D235" s="15" t="s">
        <v>103</v>
      </c>
      <c r="E235" s="9" t="n">
        <f aca="false">SUMIFS(Data!$L$2:$L$1006,Data!$A$2:$A$1006,$A235,Data!$B$2:$B$1006,$B235)</f>
        <v>761997</v>
      </c>
      <c r="F235" s="10" t="n">
        <f aca="false">SUMIFS(Data!$E$2:$E$1006,Data!$A$2:$A$1006,$A235,Data!$B$2:$B$1006,$B235)</f>
        <v>51.339538</v>
      </c>
      <c r="G235" s="10" t="n">
        <f aca="false">SUMIFS(Data!$F$2:$F$1006,Data!$A$2:$A$1006,$A235,Data!$B$2:$B$1006,$B235)</f>
        <v>32.10322</v>
      </c>
      <c r="H235" s="10" t="n">
        <f aca="false">SUMIFS(Data!$G$2:$G$1006,Data!$A$2:$A$1006,$A235,Data!$B$2:$B$1006,$B235)</f>
        <v>50.581681</v>
      </c>
      <c r="I235" s="10" t="n">
        <f aca="false">SUMIFS(Data!$N$2:$N$1006,Data!$A$2:$A$1006,$A235,Data!$B$2:$B$1006,$B235)</f>
        <v>134.024439</v>
      </c>
      <c r="J235" s="10" t="n">
        <f aca="false">SUMIFS(Data!$H$2:$H$1006,Data!$A$2:$A$1006,$A235,Data!$B$2:$B$1006,$B235)</f>
        <v>74.851378</v>
      </c>
      <c r="K235" s="11" t="n">
        <f aca="false">IFERROR(F235*1000000/$E235,"")</f>
        <v>67.3749870406314</v>
      </c>
      <c r="L235" s="11" t="n">
        <f aca="false">IFERROR(G235*1000000/$E235,"")</f>
        <v>42.1303758413747</v>
      </c>
      <c r="M235" s="11" t="n">
        <f aca="false">IFERROR(H235*1000000/$E235,"")</f>
        <v>66.3804201328877</v>
      </c>
      <c r="N235" s="11" t="n">
        <f aca="false">IFERROR(I235*1000000/$E235,"")</f>
        <v>175.885783014894</v>
      </c>
      <c r="O235" s="11" t="n">
        <f aca="false">IFERROR(J235*1000000/$E235,"")</f>
        <v>98.2305415900588</v>
      </c>
      <c r="P235" s="16" t="n">
        <f aca="false">COUNTIFS($A$4:$A$1008,$A235,$N$4:$N$1008,"&gt;"&amp;N235)+1</f>
        <v>36</v>
      </c>
      <c r="Q235" s="16" t="n">
        <f aca="false">COUNTIFS($A$4:$A$1008,$A235,$O$4:$O$1008,"&gt;"&amp;O235)+1</f>
        <v>31</v>
      </c>
    </row>
    <row r="236" customFormat="false" ht="15" hidden="false" customHeight="false" outlineLevel="0" collapsed="false">
      <c r="A236" s="7" t="n">
        <v>2006</v>
      </c>
      <c r="B236" s="15" t="s">
        <v>104</v>
      </c>
      <c r="C236" s="15" t="s">
        <v>102</v>
      </c>
      <c r="D236" s="15" t="s">
        <v>105</v>
      </c>
      <c r="E236" s="9" t="n">
        <f aca="false">SUMIFS(Data!$L$2:$L$1006,Data!$A$2:$A$1006,$A236,Data!$B$2:$B$1006,$B236)</f>
        <v>1077948</v>
      </c>
      <c r="F236" s="10" t="n">
        <f aca="false">SUMIFS(Data!$E$2:$E$1006,Data!$A$2:$A$1006,$A236,Data!$B$2:$B$1006,$B236)</f>
        <v>102.821227</v>
      </c>
      <c r="G236" s="10" t="n">
        <f aca="false">SUMIFS(Data!$F$2:$F$1006,Data!$A$2:$A$1006,$A236,Data!$B$2:$B$1006,$B236)</f>
        <v>121.84644</v>
      </c>
      <c r="H236" s="10" t="n">
        <f aca="false">SUMIFS(Data!$G$2:$G$1006,Data!$A$2:$A$1006,$A236,Data!$B$2:$B$1006,$B236)</f>
        <v>56.322603</v>
      </c>
      <c r="I236" s="10" t="n">
        <f aca="false">SUMIFS(Data!$N$2:$N$1006,Data!$A$2:$A$1006,$A236,Data!$B$2:$B$1006,$B236)</f>
        <v>280.99027</v>
      </c>
      <c r="J236" s="10" t="n">
        <f aca="false">SUMIFS(Data!$H$2:$H$1006,Data!$A$2:$A$1006,$A236,Data!$B$2:$B$1006,$B236)</f>
        <v>144.411676</v>
      </c>
      <c r="K236" s="11" t="n">
        <f aca="false">IFERROR(F236*1000000/$E236,"")</f>
        <v>95.3860733541878</v>
      </c>
      <c r="L236" s="11" t="n">
        <f aca="false">IFERROR(G236*1000000/$E236,"")</f>
        <v>113.035545313874</v>
      </c>
      <c r="M236" s="11" t="n">
        <f aca="false">IFERROR(H236*1000000/$E236,"")</f>
        <v>52.2498330160639</v>
      </c>
      <c r="N236" s="11" t="n">
        <f aca="false">IFERROR(I236*1000000/$E236,"")</f>
        <v>260.671451684126</v>
      </c>
      <c r="O236" s="11" t="n">
        <f aca="false">IFERROR(J236*1000000/$E236,"")</f>
        <v>133.969056021255</v>
      </c>
      <c r="P236" s="16" t="n">
        <f aca="false">COUNTIFS($A$4:$A$1008,$A236,$N$4:$N$1008,"&gt;"&amp;N236)+1</f>
        <v>7</v>
      </c>
      <c r="Q236" s="16" t="n">
        <f aca="false">COUNTIFS($A$4:$A$1008,$A236,$O$4:$O$1008,"&gt;"&amp;O236)+1</f>
        <v>16</v>
      </c>
    </row>
    <row r="237" customFormat="false" ht="15" hidden="false" customHeight="false" outlineLevel="0" collapsed="false">
      <c r="A237" s="7" t="n">
        <v>2006</v>
      </c>
      <c r="B237" s="15" t="s">
        <v>106</v>
      </c>
      <c r="C237" s="15" t="s">
        <v>102</v>
      </c>
      <c r="D237" s="15" t="s">
        <v>107</v>
      </c>
      <c r="E237" s="9" t="n">
        <f aca="false">SUMIFS(Data!$L$2:$L$1006,Data!$A$2:$A$1006,$A237,Data!$B$2:$B$1006,$B237)</f>
        <v>538150</v>
      </c>
      <c r="F237" s="10" t="n">
        <f aca="false">SUMIFS(Data!$E$2:$E$1006,Data!$A$2:$A$1006,$A237,Data!$B$2:$B$1006,$B237)</f>
        <v>41.163652</v>
      </c>
      <c r="G237" s="10" t="n">
        <f aca="false">SUMIFS(Data!$F$2:$F$1006,Data!$A$2:$A$1006,$A237,Data!$B$2:$B$1006,$B237)</f>
        <v>32.78154</v>
      </c>
      <c r="H237" s="10" t="n">
        <f aca="false">SUMIFS(Data!$G$2:$G$1006,Data!$A$2:$A$1006,$A237,Data!$B$2:$B$1006,$B237)</f>
        <v>26.73162</v>
      </c>
      <c r="I237" s="10" t="n">
        <f aca="false">SUMIFS(Data!$N$2:$N$1006,Data!$A$2:$A$1006,$A237,Data!$B$2:$B$1006,$B237)</f>
        <v>100.676812</v>
      </c>
      <c r="J237" s="10" t="n">
        <f aca="false">SUMIFS(Data!$H$2:$H$1006,Data!$A$2:$A$1006,$A237,Data!$B$2:$B$1006,$B237)</f>
        <v>65.904204</v>
      </c>
      <c r="K237" s="11" t="n">
        <f aca="false">IFERROR(F237*1000000/$E237,"")</f>
        <v>76.4910378147357</v>
      </c>
      <c r="L237" s="11" t="n">
        <f aca="false">IFERROR(G237*1000000/$E237,"")</f>
        <v>60.9152466784354</v>
      </c>
      <c r="M237" s="11" t="n">
        <f aca="false">IFERROR(H237*1000000/$E237,"")</f>
        <v>49.673176623618</v>
      </c>
      <c r="N237" s="11" t="n">
        <f aca="false">IFERROR(I237*1000000/$E237,"")</f>
        <v>187.079461116789</v>
      </c>
      <c r="O237" s="11" t="n">
        <f aca="false">IFERROR(J237*1000000/$E237,"")</f>
        <v>122.464376103317</v>
      </c>
      <c r="P237" s="16" t="n">
        <f aca="false">COUNTIFS($A$4:$A$1008,$A237,$N$4:$N$1008,"&gt;"&amp;N237)+1</f>
        <v>31</v>
      </c>
      <c r="Q237" s="16" t="n">
        <f aca="false">COUNTIFS($A$4:$A$1008,$A237,$O$4:$O$1008,"&gt;"&amp;O237)+1</f>
        <v>20</v>
      </c>
    </row>
    <row r="238" customFormat="false" ht="15" hidden="false" customHeight="false" outlineLevel="0" collapsed="false">
      <c r="A238" s="7" t="n">
        <v>2006</v>
      </c>
      <c r="B238" s="15" t="s">
        <v>108</v>
      </c>
      <c r="C238" s="15" t="s">
        <v>102</v>
      </c>
      <c r="D238" s="15" t="s">
        <v>109</v>
      </c>
      <c r="E238" s="9" t="n">
        <f aca="false">SUMIFS(Data!$L$2:$L$1006,Data!$A$2:$A$1006,$A238,Data!$B$2:$B$1006,$B238)</f>
        <v>375017</v>
      </c>
      <c r="F238" s="10" t="n">
        <f aca="false">SUMIFS(Data!$E$2:$E$1006,Data!$A$2:$A$1006,$A238,Data!$B$2:$B$1006,$B238)</f>
        <v>34.708845</v>
      </c>
      <c r="G238" s="10" t="n">
        <f aca="false">SUMIFS(Data!$F$2:$F$1006,Data!$A$2:$A$1006,$A238,Data!$B$2:$B$1006,$B238)</f>
        <v>11.839697</v>
      </c>
      <c r="H238" s="10" t="n">
        <f aca="false">SUMIFS(Data!$G$2:$G$1006,Data!$A$2:$A$1006,$A238,Data!$B$2:$B$1006,$B238)</f>
        <v>23.506377</v>
      </c>
      <c r="I238" s="10" t="n">
        <f aca="false">SUMIFS(Data!$N$2:$N$1006,Data!$A$2:$A$1006,$A238,Data!$B$2:$B$1006,$B238)</f>
        <v>70.054919</v>
      </c>
      <c r="J238" s="10" t="n">
        <f aca="false">SUMIFS(Data!$H$2:$H$1006,Data!$A$2:$A$1006,$A238,Data!$B$2:$B$1006,$B238)</f>
        <v>42.259139</v>
      </c>
      <c r="K238" s="11" t="n">
        <f aca="false">IFERROR(F238*1000000/$E238,"")</f>
        <v>92.5527242764995</v>
      </c>
      <c r="L238" s="11" t="n">
        <f aca="false">IFERROR(G238*1000000/$E238,"")</f>
        <v>31.5710941104003</v>
      </c>
      <c r="M238" s="11" t="n">
        <f aca="false">IFERROR(H238*1000000/$E238,"")</f>
        <v>62.6808304690187</v>
      </c>
      <c r="N238" s="11" t="n">
        <f aca="false">IFERROR(I238*1000000/$E238,"")</f>
        <v>186.804648855919</v>
      </c>
      <c r="O238" s="11" t="n">
        <f aca="false">IFERROR(J238*1000000/$E238,"")</f>
        <v>112.685928904556</v>
      </c>
      <c r="P238" s="16" t="n">
        <f aca="false">COUNTIFS($A$4:$A$1008,$A238,$N$4:$N$1008,"&gt;"&amp;N238)+1</f>
        <v>32</v>
      </c>
      <c r="Q238" s="16" t="n">
        <f aca="false">COUNTIFS($A$4:$A$1008,$A238,$O$4:$O$1008,"&gt;"&amp;O238)+1</f>
        <v>22</v>
      </c>
    </row>
    <row r="239" customFormat="false" ht="15" hidden="false" customHeight="false" outlineLevel="0" collapsed="false">
      <c r="A239" s="7" t="n">
        <v>2006</v>
      </c>
      <c r="B239" s="15" t="s">
        <v>110</v>
      </c>
      <c r="C239" s="15" t="s">
        <v>102</v>
      </c>
      <c r="D239" s="15" t="s">
        <v>103</v>
      </c>
      <c r="E239" s="9" t="n">
        <f aca="false">SUMIFS(Data!$L$2:$L$1006,Data!$A$2:$A$1006,$A239,Data!$B$2:$B$1006,$B239)</f>
        <v>1040151</v>
      </c>
      <c r="F239" s="10" t="n">
        <f aca="false">SUMIFS(Data!$E$2:$E$1006,Data!$A$2:$A$1006,$A239,Data!$B$2:$B$1006,$B239)</f>
        <v>69.919579</v>
      </c>
      <c r="G239" s="10" t="n">
        <f aca="false">SUMIFS(Data!$F$2:$F$1006,Data!$A$2:$A$1006,$A239,Data!$B$2:$B$1006,$B239)</f>
        <v>50.663099</v>
      </c>
      <c r="H239" s="10" t="n">
        <f aca="false">SUMIFS(Data!$G$2:$G$1006,Data!$A$2:$A$1006,$A239,Data!$B$2:$B$1006,$B239)</f>
        <v>47.360543</v>
      </c>
      <c r="I239" s="10" t="n">
        <f aca="false">SUMIFS(Data!$N$2:$N$1006,Data!$A$2:$A$1006,$A239,Data!$B$2:$B$1006,$B239)</f>
        <v>167.943221</v>
      </c>
      <c r="J239" s="10" t="n">
        <f aca="false">SUMIFS(Data!$H$2:$H$1006,Data!$A$2:$A$1006,$A239,Data!$B$2:$B$1006,$B239)</f>
        <v>87.009231</v>
      </c>
      <c r="K239" s="11" t="n">
        <f aca="false">IFERROR(F239*1000000/$E239,"")</f>
        <v>67.2206045083839</v>
      </c>
      <c r="L239" s="11" t="n">
        <f aca="false">IFERROR(G239*1000000/$E239,"")</f>
        <v>48.7074463226974</v>
      </c>
      <c r="M239" s="11" t="n">
        <f aca="false">IFERROR(H239*1000000/$E239,"")</f>
        <v>45.5323727035786</v>
      </c>
      <c r="N239" s="11" t="n">
        <f aca="false">IFERROR(I239*1000000/$E239,"")</f>
        <v>161.46042353466</v>
      </c>
      <c r="O239" s="11" t="n">
        <f aca="false">IFERROR(J239*1000000/$E239,"")</f>
        <v>83.6505766951145</v>
      </c>
      <c r="P239" s="16" t="n">
        <f aca="false">COUNTIFS($A$4:$A$1008,$A239,$N$4:$N$1008,"&gt;"&amp;N239)+1</f>
        <v>38</v>
      </c>
      <c r="Q239" s="16" t="n">
        <f aca="false">COUNTIFS($A$4:$A$1008,$A239,$O$4:$O$1008,"&gt;"&amp;O239)+1</f>
        <v>35</v>
      </c>
    </row>
    <row r="240" customFormat="false" ht="15" hidden="false" customHeight="false" outlineLevel="0" collapsed="false">
      <c r="A240" s="7" t="n">
        <v>2006</v>
      </c>
      <c r="B240" s="15" t="s">
        <v>111</v>
      </c>
      <c r="C240" s="15" t="s">
        <v>102</v>
      </c>
      <c r="D240" s="15" t="s">
        <v>107</v>
      </c>
      <c r="E240" s="9" t="n">
        <f aca="false">SUMIFS(Data!$L$2:$L$1006,Data!$A$2:$A$1006,$A240,Data!$B$2:$B$1006,$B240)</f>
        <v>588437</v>
      </c>
      <c r="F240" s="10" t="n">
        <f aca="false">SUMIFS(Data!$E$2:$E$1006,Data!$A$2:$A$1006,$A240,Data!$B$2:$B$1006,$B240)</f>
        <v>47.392626</v>
      </c>
      <c r="G240" s="10" t="n">
        <f aca="false">SUMIFS(Data!$F$2:$F$1006,Data!$A$2:$A$1006,$A240,Data!$B$2:$B$1006,$B240)</f>
        <v>35.108852</v>
      </c>
      <c r="H240" s="10" t="n">
        <f aca="false">SUMIFS(Data!$G$2:$G$1006,Data!$A$2:$A$1006,$A240,Data!$B$2:$B$1006,$B240)</f>
        <v>35.86157</v>
      </c>
      <c r="I240" s="10" t="n">
        <f aca="false">SUMIFS(Data!$N$2:$N$1006,Data!$A$2:$A$1006,$A240,Data!$B$2:$B$1006,$B240)</f>
        <v>118.363048</v>
      </c>
      <c r="J240" s="10" t="n">
        <f aca="false">SUMIFS(Data!$H$2:$H$1006,Data!$A$2:$A$1006,$A240,Data!$B$2:$B$1006,$B240)</f>
        <v>95.374444</v>
      </c>
      <c r="K240" s="11" t="n">
        <f aca="false">IFERROR(F240*1000000/$E240,"")</f>
        <v>80.5398470864341</v>
      </c>
      <c r="L240" s="11" t="n">
        <f aca="false">IFERROR(G240*1000000/$E240,"")</f>
        <v>59.6645894122905</v>
      </c>
      <c r="M240" s="11" t="n">
        <f aca="false">IFERROR(H240*1000000/$E240,"")</f>
        <v>60.9437713807935</v>
      </c>
      <c r="N240" s="11" t="n">
        <f aca="false">IFERROR(I240*1000000/$E240,"")</f>
        <v>201.148207879518</v>
      </c>
      <c r="O240" s="11" t="n">
        <f aca="false">IFERROR(J240*1000000/$E240,"")</f>
        <v>162.080977232907</v>
      </c>
      <c r="P240" s="16" t="n">
        <f aca="false">COUNTIFS($A$4:$A$1008,$A240,$N$4:$N$1008,"&gt;"&amp;N240)+1</f>
        <v>28</v>
      </c>
      <c r="Q240" s="16" t="n">
        <f aca="false">COUNTIFS($A$4:$A$1008,$A240,$O$4:$O$1008,"&gt;"&amp;O240)+1</f>
        <v>10</v>
      </c>
    </row>
    <row r="241" customFormat="false" ht="15" hidden="false" customHeight="false" outlineLevel="0" collapsed="false">
      <c r="A241" s="7" t="n">
        <v>2006</v>
      </c>
      <c r="B241" s="15" t="s">
        <v>112</v>
      </c>
      <c r="C241" s="15" t="s">
        <v>102</v>
      </c>
      <c r="D241" s="15" t="s">
        <v>107</v>
      </c>
      <c r="E241" s="9" t="n">
        <f aca="false">SUMIFS(Data!$L$2:$L$1006,Data!$A$2:$A$1006,$A241,Data!$B$2:$B$1006,$B241)</f>
        <v>158369</v>
      </c>
      <c r="F241" s="10" t="n">
        <f aca="false">SUMIFS(Data!$E$2:$E$1006,Data!$A$2:$A$1006,$A241,Data!$B$2:$B$1006,$B241)</f>
        <v>11.821837</v>
      </c>
      <c r="G241" s="10" t="n">
        <f aca="false">SUMIFS(Data!$F$2:$F$1006,Data!$A$2:$A$1006,$A241,Data!$B$2:$B$1006,$B241)</f>
        <v>8.822817</v>
      </c>
      <c r="H241" s="10" t="n">
        <f aca="false">SUMIFS(Data!$G$2:$G$1006,Data!$A$2:$A$1006,$A241,Data!$B$2:$B$1006,$B241)</f>
        <v>8.370952</v>
      </c>
      <c r="I241" s="10" t="n">
        <f aca="false">SUMIFS(Data!$N$2:$N$1006,Data!$A$2:$A$1006,$A241,Data!$B$2:$B$1006,$B241)</f>
        <v>29.015606</v>
      </c>
      <c r="J241" s="10" t="n">
        <f aca="false">SUMIFS(Data!$H$2:$H$1006,Data!$A$2:$A$1006,$A241,Data!$B$2:$B$1006,$B241)</f>
        <v>16.085515</v>
      </c>
      <c r="K241" s="11" t="n">
        <f aca="false">IFERROR(F241*1000000/$E241,"")</f>
        <v>74.6474183710196</v>
      </c>
      <c r="L241" s="11" t="n">
        <f aca="false">IFERROR(G241*1000000/$E241,"")</f>
        <v>55.71050521251</v>
      </c>
      <c r="M241" s="11" t="n">
        <f aca="false">IFERROR(H241*1000000/$E241,"")</f>
        <v>52.8572637321698</v>
      </c>
      <c r="N241" s="11" t="n">
        <f aca="false">IFERROR(I241*1000000/$E241,"")</f>
        <v>183.215187315699</v>
      </c>
      <c r="O241" s="11" t="n">
        <f aca="false">IFERROR(J241*1000000/$E241,"")</f>
        <v>101.569846371449</v>
      </c>
      <c r="P241" s="16" t="n">
        <f aca="false">COUNTIFS($A$4:$A$1008,$A241,$N$4:$N$1008,"&gt;"&amp;N241)+1</f>
        <v>33</v>
      </c>
      <c r="Q241" s="16" t="n">
        <f aca="false">COUNTIFS($A$4:$A$1008,$A241,$O$4:$O$1008,"&gt;"&amp;O241)+1</f>
        <v>28</v>
      </c>
    </row>
    <row r="242" customFormat="false" ht="15" hidden="false" customHeight="false" outlineLevel="0" collapsed="false">
      <c r="A242" s="7" t="n">
        <v>2006</v>
      </c>
      <c r="B242" s="15" t="s">
        <v>113</v>
      </c>
      <c r="C242" s="15" t="s">
        <v>102</v>
      </c>
      <c r="D242" s="15" t="s">
        <v>114</v>
      </c>
      <c r="E242" s="9" t="n">
        <f aca="false">SUMIFS(Data!$L$2:$L$1006,Data!$A$2:$A$1006,$A242,Data!$B$2:$B$1006,$B242)</f>
        <v>466605</v>
      </c>
      <c r="F242" s="10" t="n">
        <f aca="false">SUMIFS(Data!$E$2:$E$1006,Data!$A$2:$A$1006,$A242,Data!$B$2:$B$1006,$B242)</f>
        <v>37.388557</v>
      </c>
      <c r="G242" s="10" t="n">
        <f aca="false">SUMIFS(Data!$F$2:$F$1006,Data!$A$2:$A$1006,$A242,Data!$B$2:$B$1006,$B242)</f>
        <v>12.263049</v>
      </c>
      <c r="H242" s="10" t="n">
        <f aca="false">SUMIFS(Data!$G$2:$G$1006,Data!$A$2:$A$1006,$A242,Data!$B$2:$B$1006,$B242)</f>
        <v>33.585566</v>
      </c>
      <c r="I242" s="10" t="n">
        <f aca="false">SUMIFS(Data!$N$2:$N$1006,Data!$A$2:$A$1006,$A242,Data!$B$2:$B$1006,$B242)</f>
        <v>83.237172</v>
      </c>
      <c r="J242" s="10" t="n">
        <f aca="false">SUMIFS(Data!$H$2:$H$1006,Data!$A$2:$A$1006,$A242,Data!$B$2:$B$1006,$B242)</f>
        <v>71.694416</v>
      </c>
      <c r="K242" s="11" t="n">
        <f aca="false">IFERROR(F242*1000000/$E242,"")</f>
        <v>80.1289248936467</v>
      </c>
      <c r="L242" s="11" t="n">
        <f aca="false">IFERROR(G242*1000000/$E242,"")</f>
        <v>26.281435046774</v>
      </c>
      <c r="M242" s="11" t="n">
        <f aca="false">IFERROR(H242*1000000/$E242,"")</f>
        <v>71.9785814554066</v>
      </c>
      <c r="N242" s="11" t="n">
        <f aca="false">IFERROR(I242*1000000/$E242,"")</f>
        <v>178.388941395827</v>
      </c>
      <c r="O242" s="11" t="n">
        <f aca="false">IFERROR(J242*1000000/$E242,"")</f>
        <v>153.651195336527</v>
      </c>
      <c r="P242" s="16" t="n">
        <f aca="false">COUNTIFS($A$4:$A$1008,$A242,$N$4:$N$1008,"&gt;"&amp;N242)+1</f>
        <v>34</v>
      </c>
      <c r="Q242" s="16" t="n">
        <f aca="false">COUNTIFS($A$4:$A$1008,$A242,$O$4:$O$1008,"&gt;"&amp;O242)+1</f>
        <v>14</v>
      </c>
    </row>
    <row r="243" customFormat="false" ht="15" hidden="false" customHeight="false" outlineLevel="0" collapsed="false">
      <c r="A243" s="7" t="n">
        <v>2006</v>
      </c>
      <c r="B243" s="15" t="s">
        <v>115</v>
      </c>
      <c r="C243" s="15" t="s">
        <v>102</v>
      </c>
      <c r="D243" s="15" t="s">
        <v>103</v>
      </c>
      <c r="E243" s="9" t="n">
        <f aca="false">SUMIFS(Data!$L$2:$L$1006,Data!$A$2:$A$1006,$A243,Data!$B$2:$B$1006,$B243)</f>
        <v>313960</v>
      </c>
      <c r="F243" s="10" t="n">
        <f aca="false">SUMIFS(Data!$E$2:$E$1006,Data!$A$2:$A$1006,$A243,Data!$B$2:$B$1006,$B243)</f>
        <v>23.400381</v>
      </c>
      <c r="G243" s="10" t="n">
        <f aca="false">SUMIFS(Data!$F$2:$F$1006,Data!$A$2:$A$1006,$A243,Data!$B$2:$B$1006,$B243)</f>
        <v>18.369897</v>
      </c>
      <c r="H243" s="10" t="n">
        <f aca="false">SUMIFS(Data!$G$2:$G$1006,Data!$A$2:$A$1006,$A243,Data!$B$2:$B$1006,$B243)</f>
        <v>22.89244</v>
      </c>
      <c r="I243" s="10" t="n">
        <f aca="false">SUMIFS(Data!$N$2:$N$1006,Data!$A$2:$A$1006,$A243,Data!$B$2:$B$1006,$B243)</f>
        <v>64.662718</v>
      </c>
      <c r="J243" s="10" t="n">
        <f aca="false">SUMIFS(Data!$H$2:$H$1006,Data!$A$2:$A$1006,$A243,Data!$B$2:$B$1006,$B243)</f>
        <v>28.276928</v>
      </c>
      <c r="K243" s="11" t="n">
        <f aca="false">IFERROR(F243*1000000/$E243,"")</f>
        <v>74.5330010192381</v>
      </c>
      <c r="L243" s="11" t="n">
        <f aca="false">IFERROR(G243*1000000/$E243,"")</f>
        <v>58.5103102306026</v>
      </c>
      <c r="M243" s="11" t="n">
        <f aca="false">IFERROR(H243*1000000/$E243,"")</f>
        <v>72.9151484265512</v>
      </c>
      <c r="N243" s="11" t="n">
        <f aca="false">IFERROR(I243*1000000/$E243,"")</f>
        <v>205.958459676392</v>
      </c>
      <c r="O243" s="11" t="n">
        <f aca="false">IFERROR(J243*1000000/$E243,"")</f>
        <v>90.0653841253663</v>
      </c>
      <c r="P243" s="16" t="n">
        <f aca="false">COUNTIFS($A$4:$A$1008,$A243,$N$4:$N$1008,"&gt;"&amp;N243)+1</f>
        <v>26</v>
      </c>
      <c r="Q243" s="16" t="n">
        <f aca="false">COUNTIFS($A$4:$A$1008,$A243,$O$4:$O$1008,"&gt;"&amp;O243)+1</f>
        <v>33</v>
      </c>
    </row>
    <row r="244" customFormat="false" ht="15" hidden="false" customHeight="false" outlineLevel="0" collapsed="false">
      <c r="A244" s="7" t="n">
        <v>2006</v>
      </c>
      <c r="B244" s="15" t="s">
        <v>116</v>
      </c>
      <c r="C244" s="15" t="s">
        <v>102</v>
      </c>
      <c r="D244" s="15" t="s">
        <v>107</v>
      </c>
      <c r="E244" s="9" t="n">
        <f aca="false">SUMIFS(Data!$L$2:$L$1006,Data!$A$2:$A$1006,$A244,Data!$B$2:$B$1006,$B244)</f>
        <v>707058</v>
      </c>
      <c r="F244" s="10" t="n">
        <f aca="false">SUMIFS(Data!$E$2:$E$1006,Data!$A$2:$A$1006,$A244,Data!$B$2:$B$1006,$B244)</f>
        <v>47.929916</v>
      </c>
      <c r="G244" s="10" t="n">
        <f aca="false">SUMIFS(Data!$F$2:$F$1006,Data!$A$2:$A$1006,$A244,Data!$B$2:$B$1006,$B244)</f>
        <v>27.653727</v>
      </c>
      <c r="H244" s="10" t="n">
        <f aca="false">SUMIFS(Data!$G$2:$G$1006,Data!$A$2:$A$1006,$A244,Data!$B$2:$B$1006,$B244)</f>
        <v>33.488342</v>
      </c>
      <c r="I244" s="10" t="n">
        <f aca="false">SUMIFS(Data!$N$2:$N$1006,Data!$A$2:$A$1006,$A244,Data!$B$2:$B$1006,$B244)</f>
        <v>109.071985</v>
      </c>
      <c r="J244" s="10" t="n">
        <f aca="false">SUMIFS(Data!$H$2:$H$1006,Data!$A$2:$A$1006,$A244,Data!$B$2:$B$1006,$B244)</f>
        <v>52.146952</v>
      </c>
      <c r="K244" s="11" t="n">
        <f aca="false">IFERROR(F244*1000000/$E244,"")</f>
        <v>67.7878137295667</v>
      </c>
      <c r="L244" s="11" t="n">
        <f aca="false">IFERROR(G244*1000000/$E244,"")</f>
        <v>39.1109739229314</v>
      </c>
      <c r="M244" s="11" t="n">
        <f aca="false">IFERROR(H244*1000000/$E244,"")</f>
        <v>47.3629348653152</v>
      </c>
      <c r="N244" s="11" t="n">
        <f aca="false">IFERROR(I244*1000000/$E244,"")</f>
        <v>154.261722517813</v>
      </c>
      <c r="O244" s="11" t="n">
        <f aca="false">IFERROR(J244*1000000/$E244,"")</f>
        <v>73.7520146862068</v>
      </c>
      <c r="P244" s="16" t="n">
        <f aca="false">COUNTIFS($A$4:$A$1008,$A244,$N$4:$N$1008,"&gt;"&amp;N244)+1</f>
        <v>39</v>
      </c>
      <c r="Q244" s="16" t="n">
        <f aca="false">COUNTIFS($A$4:$A$1008,$A244,$O$4:$O$1008,"&gt;"&amp;O244)+1</f>
        <v>37</v>
      </c>
    </row>
    <row r="245" customFormat="false" ht="15" hidden="false" customHeight="false" outlineLevel="0" collapsed="false">
      <c r="A245" s="7" t="n">
        <v>2006</v>
      </c>
      <c r="B245" s="15" t="s">
        <v>117</v>
      </c>
      <c r="C245" s="15" t="s">
        <v>118</v>
      </c>
      <c r="D245" s="15" t="s">
        <v>103</v>
      </c>
      <c r="E245" s="9" t="n">
        <f aca="false">SUMIFS(Data!$L$2:$L$1006,Data!$A$2:$A$1006,$A245,Data!$B$2:$B$1006,$B245)</f>
        <v>1450161</v>
      </c>
      <c r="F245" s="10" t="n">
        <f aca="false">SUMIFS(Data!$E$2:$E$1006,Data!$A$2:$A$1006,$A245,Data!$B$2:$B$1006,$B245)</f>
        <v>113.73831</v>
      </c>
      <c r="G245" s="10" t="n">
        <f aca="false">SUMIFS(Data!$F$2:$F$1006,Data!$A$2:$A$1006,$A245,Data!$B$2:$B$1006,$B245)</f>
        <v>95.901185</v>
      </c>
      <c r="H245" s="10" t="n">
        <f aca="false">SUMIFS(Data!$G$2:$G$1006,Data!$A$2:$A$1006,$A245,Data!$B$2:$B$1006,$B245)</f>
        <v>102.185367</v>
      </c>
      <c r="I245" s="10" t="n">
        <f aca="false">SUMIFS(Data!$N$2:$N$1006,Data!$A$2:$A$1006,$A245,Data!$B$2:$B$1006,$B245)</f>
        <v>311.824862</v>
      </c>
      <c r="J245" s="10" t="n">
        <f aca="false">SUMIFS(Data!$H$2:$H$1006,Data!$A$2:$A$1006,$A245,Data!$B$2:$B$1006,$B245)</f>
        <v>250.291918</v>
      </c>
      <c r="K245" s="11" t="n">
        <f aca="false">IFERROR(F245*1000000/$E245,"")</f>
        <v>78.4315051914925</v>
      </c>
      <c r="L245" s="11" t="n">
        <f aca="false">IFERROR(G245*1000000/$E245,"")</f>
        <v>66.1314054094683</v>
      </c>
      <c r="M245" s="11" t="n">
        <f aca="false">IFERROR(H245*1000000/$E245,"")</f>
        <v>70.4648428691711</v>
      </c>
      <c r="N245" s="11" t="n">
        <f aca="false">IFERROR(I245*1000000/$E245,"")</f>
        <v>215.027753470132</v>
      </c>
      <c r="O245" s="11" t="n">
        <f aca="false">IFERROR(J245*1000000/$E245,"")</f>
        <v>172.595951759839</v>
      </c>
      <c r="P245" s="16" t="n">
        <f aca="false">COUNTIFS($A$4:$A$1008,$A245,$N$4:$N$1008,"&gt;"&amp;N245)+1</f>
        <v>20</v>
      </c>
      <c r="Q245" s="16" t="n">
        <f aca="false">COUNTIFS($A$4:$A$1008,$A245,$O$4:$O$1008,"&gt;"&amp;O245)+1</f>
        <v>9</v>
      </c>
    </row>
    <row r="246" customFormat="false" ht="15" hidden="false" customHeight="false" outlineLevel="0" collapsed="false">
      <c r="A246" s="7" t="n">
        <v>2006</v>
      </c>
      <c r="B246" s="15" t="s">
        <v>119</v>
      </c>
      <c r="C246" s="15" t="s">
        <v>118</v>
      </c>
      <c r="D246" s="15" t="s">
        <v>103</v>
      </c>
      <c r="E246" s="9" t="n">
        <f aca="false">SUMIFS(Data!$L$2:$L$1006,Data!$A$2:$A$1006,$A246,Data!$B$2:$B$1006,$B246)</f>
        <v>513925</v>
      </c>
      <c r="F246" s="10" t="n">
        <f aca="false">SUMIFS(Data!$E$2:$E$1006,Data!$A$2:$A$1006,$A246,Data!$B$2:$B$1006,$B246)</f>
        <v>28.102864</v>
      </c>
      <c r="G246" s="10" t="n">
        <f aca="false">SUMIFS(Data!$F$2:$F$1006,Data!$A$2:$A$1006,$A246,Data!$B$2:$B$1006,$B246)</f>
        <v>31.238514</v>
      </c>
      <c r="H246" s="10" t="n">
        <f aca="false">SUMIFS(Data!$G$2:$G$1006,Data!$A$2:$A$1006,$A246,Data!$B$2:$B$1006,$B246)</f>
        <v>39.705411</v>
      </c>
      <c r="I246" s="10" t="n">
        <f aca="false">SUMIFS(Data!$N$2:$N$1006,Data!$A$2:$A$1006,$A246,Data!$B$2:$B$1006,$B246)</f>
        <v>99.046789</v>
      </c>
      <c r="J246" s="10" t="n">
        <f aca="false">SUMIFS(Data!$H$2:$H$1006,Data!$A$2:$A$1006,$A246,Data!$B$2:$B$1006,$B246)</f>
        <v>93.791626</v>
      </c>
      <c r="K246" s="11" t="n">
        <f aca="false">IFERROR(F246*1000000/$E246,"")</f>
        <v>54.6828116943134</v>
      </c>
      <c r="L246" s="11" t="n">
        <f aca="false">IFERROR(G246*1000000/$E246,"")</f>
        <v>60.7841883543319</v>
      </c>
      <c r="M246" s="11" t="n">
        <f aca="false">IFERROR(H246*1000000/$E246,"")</f>
        <v>77.2591545458968</v>
      </c>
      <c r="N246" s="11" t="n">
        <f aca="false">IFERROR(I246*1000000/$E246,"")</f>
        <v>192.726154594542</v>
      </c>
      <c r="O246" s="11" t="n">
        <f aca="false">IFERROR(J246*1000000/$E246,"")</f>
        <v>182.500610011188</v>
      </c>
      <c r="P246" s="16" t="n">
        <f aca="false">COUNTIFS($A$4:$A$1008,$A246,$N$4:$N$1008,"&gt;"&amp;N246)+1</f>
        <v>30</v>
      </c>
      <c r="Q246" s="16" t="n">
        <f aca="false">COUNTIFS($A$4:$A$1008,$A246,$O$4:$O$1008,"&gt;"&amp;O246)+1</f>
        <v>6</v>
      </c>
    </row>
    <row r="247" customFormat="false" ht="15" hidden="false" customHeight="false" outlineLevel="0" collapsed="false">
      <c r="A247" s="7" t="n">
        <v>2006</v>
      </c>
      <c r="B247" s="15" t="s">
        <v>120</v>
      </c>
      <c r="C247" s="15" t="s">
        <v>118</v>
      </c>
      <c r="D247" s="15" t="s">
        <v>121</v>
      </c>
      <c r="E247" s="9" t="n">
        <f aca="false">SUMIFS(Data!$L$2:$L$1006,Data!$A$2:$A$1006,$A247,Data!$B$2:$B$1006,$B247)</f>
        <v>945080</v>
      </c>
      <c r="F247" s="10" t="n">
        <f aca="false">SUMIFS(Data!$E$2:$E$1006,Data!$A$2:$A$1006,$A247,Data!$B$2:$B$1006,$B247)</f>
        <v>98.203298</v>
      </c>
      <c r="G247" s="10" t="n">
        <f aca="false">SUMIFS(Data!$F$2:$F$1006,Data!$A$2:$A$1006,$A247,Data!$B$2:$B$1006,$B247)</f>
        <v>46.475838</v>
      </c>
      <c r="H247" s="10" t="n">
        <f aca="false">SUMIFS(Data!$G$2:$G$1006,Data!$A$2:$A$1006,$A247,Data!$B$2:$B$1006,$B247)</f>
        <v>71.642647</v>
      </c>
      <c r="I247" s="10" t="n">
        <f aca="false">SUMIFS(Data!$N$2:$N$1006,Data!$A$2:$A$1006,$A247,Data!$B$2:$B$1006,$B247)</f>
        <v>216.321783</v>
      </c>
      <c r="J247" s="10" t="n">
        <f aca="false">SUMIFS(Data!$H$2:$H$1006,Data!$A$2:$A$1006,$A247,Data!$B$2:$B$1006,$B247)</f>
        <v>188.806778</v>
      </c>
      <c r="K247" s="11" t="n">
        <f aca="false">IFERROR(F247*1000000/$E247,"")</f>
        <v>103.910037245524</v>
      </c>
      <c r="L247" s="11" t="n">
        <f aca="false">IFERROR(G247*1000000/$E247,"")</f>
        <v>49.1766178524569</v>
      </c>
      <c r="M247" s="11" t="n">
        <f aca="false">IFERROR(H247*1000000/$E247,"")</f>
        <v>75.8059074364075</v>
      </c>
      <c r="N247" s="11" t="n">
        <f aca="false">IFERROR(I247*1000000/$E247,"")</f>
        <v>228.892562534389</v>
      </c>
      <c r="O247" s="11" t="n">
        <f aca="false">IFERROR(J247*1000000/$E247,"")</f>
        <v>199.778619799382</v>
      </c>
      <c r="P247" s="16" t="n">
        <f aca="false">COUNTIFS($A$4:$A$1008,$A247,$N$4:$N$1008,"&gt;"&amp;N247)+1</f>
        <v>12</v>
      </c>
      <c r="Q247" s="16" t="n">
        <f aca="false">COUNTIFS($A$4:$A$1008,$A247,$O$4:$O$1008,"&gt;"&amp;O247)+1</f>
        <v>4</v>
      </c>
    </row>
    <row r="248" customFormat="false" ht="15" hidden="false" customHeight="false" outlineLevel="0" collapsed="false">
      <c r="A248" s="7" t="n">
        <v>2006</v>
      </c>
      <c r="B248" s="15" t="s">
        <v>122</v>
      </c>
      <c r="C248" s="15" t="s">
        <v>118</v>
      </c>
      <c r="D248" s="15" t="s">
        <v>105</v>
      </c>
      <c r="E248" s="9" t="n">
        <f aca="false">SUMIFS(Data!$L$2:$L$1006,Data!$A$2:$A$1006,$A248,Data!$B$2:$B$1006,$B248)</f>
        <v>536415</v>
      </c>
      <c r="F248" s="10" t="n">
        <f aca="false">SUMIFS(Data!$E$2:$E$1006,Data!$A$2:$A$1006,$A248,Data!$B$2:$B$1006,$B248)</f>
        <v>32.600896</v>
      </c>
      <c r="G248" s="10" t="n">
        <f aca="false">SUMIFS(Data!$F$2:$F$1006,Data!$A$2:$A$1006,$A248,Data!$B$2:$B$1006,$B248)</f>
        <v>46.290224</v>
      </c>
      <c r="H248" s="10" t="n">
        <f aca="false">SUMIFS(Data!$G$2:$G$1006,Data!$A$2:$A$1006,$A248,Data!$B$2:$B$1006,$B248)</f>
        <v>30.507953</v>
      </c>
      <c r="I248" s="10" t="n">
        <f aca="false">SUMIFS(Data!$N$2:$N$1006,Data!$A$2:$A$1006,$A248,Data!$B$2:$B$1006,$B248)</f>
        <v>109.399073</v>
      </c>
      <c r="J248" s="10" t="n">
        <f aca="false">SUMIFS(Data!$H$2:$H$1006,Data!$A$2:$A$1006,$A248,Data!$B$2:$B$1006,$B248)</f>
        <v>59.564617</v>
      </c>
      <c r="K248" s="11" t="n">
        <f aca="false">IFERROR(F248*1000000/$E248,"")</f>
        <v>60.7755114976278</v>
      </c>
      <c r="L248" s="11" t="n">
        <f aca="false">IFERROR(G248*1000000/$E248,"")</f>
        <v>86.2955435623538</v>
      </c>
      <c r="M248" s="11" t="n">
        <f aca="false">IFERROR(H248*1000000/$E248,"")</f>
        <v>56.873788018605</v>
      </c>
      <c r="N248" s="11" t="n">
        <f aca="false">IFERROR(I248*1000000/$E248,"")</f>
        <v>203.944843078587</v>
      </c>
      <c r="O248" s="11" t="n">
        <f aca="false">IFERROR(J248*1000000/$E248,"")</f>
        <v>111.042042075632</v>
      </c>
      <c r="P248" s="16" t="n">
        <f aca="false">COUNTIFS($A$4:$A$1008,$A248,$N$4:$N$1008,"&gt;"&amp;N248)+1</f>
        <v>27</v>
      </c>
      <c r="Q248" s="16" t="n">
        <f aca="false">COUNTIFS($A$4:$A$1008,$A248,$O$4:$O$1008,"&gt;"&amp;O248)+1</f>
        <v>25</v>
      </c>
    </row>
    <row r="249" customFormat="false" ht="15" hidden="false" customHeight="false" outlineLevel="0" collapsed="false">
      <c r="A249" s="7" t="n">
        <v>2006</v>
      </c>
      <c r="B249" s="15" t="s">
        <v>123</v>
      </c>
      <c r="C249" s="15" t="s">
        <v>118</v>
      </c>
      <c r="D249" s="15" t="s">
        <v>124</v>
      </c>
      <c r="E249" s="9" t="n">
        <f aca="false">SUMIFS(Data!$L$2:$L$1006,Data!$A$2:$A$1006,$A249,Data!$B$2:$B$1006,$B249)</f>
        <v>1209559</v>
      </c>
      <c r="F249" s="10" t="n">
        <f aca="false">SUMIFS(Data!$E$2:$E$1006,Data!$A$2:$A$1006,$A249,Data!$B$2:$B$1006,$B249)</f>
        <v>111.737693</v>
      </c>
      <c r="G249" s="10" t="n">
        <f aca="false">SUMIFS(Data!$F$2:$F$1006,Data!$A$2:$A$1006,$A249,Data!$B$2:$B$1006,$B249)</f>
        <v>46.872145</v>
      </c>
      <c r="H249" s="10" t="n">
        <f aca="false">SUMIFS(Data!$G$2:$G$1006,Data!$A$2:$A$1006,$A249,Data!$B$2:$B$1006,$B249)</f>
        <v>114.046553</v>
      </c>
      <c r="I249" s="10" t="n">
        <f aca="false">SUMIFS(Data!$N$2:$N$1006,Data!$A$2:$A$1006,$A249,Data!$B$2:$B$1006,$B249)</f>
        <v>272.656391</v>
      </c>
      <c r="J249" s="10" t="n">
        <f aca="false">SUMIFS(Data!$H$2:$H$1006,Data!$A$2:$A$1006,$A249,Data!$B$2:$B$1006,$B249)</f>
        <v>191.462196</v>
      </c>
      <c r="K249" s="11" t="n">
        <f aca="false">IFERROR(F249*1000000/$E249,"")</f>
        <v>92.3788694887972</v>
      </c>
      <c r="L249" s="11" t="n">
        <f aca="false">IFERROR(G249*1000000/$E249,"")</f>
        <v>38.7514333736511</v>
      </c>
      <c r="M249" s="11" t="n">
        <f aca="false">IFERROR(H249*1000000/$E249,"")</f>
        <v>94.2877139519445</v>
      </c>
      <c r="N249" s="11" t="n">
        <f aca="false">IFERROR(I249*1000000/$E249,"")</f>
        <v>225.418016814393</v>
      </c>
      <c r="O249" s="11" t="n">
        <f aca="false">IFERROR(J249*1000000/$E249,"")</f>
        <v>158.290910984913</v>
      </c>
      <c r="P249" s="16" t="n">
        <f aca="false">COUNTIFS($A$4:$A$1008,$A249,$N$4:$N$1008,"&gt;"&amp;N249)+1</f>
        <v>15</v>
      </c>
      <c r="Q249" s="16" t="n">
        <f aca="false">COUNTIFS($A$4:$A$1008,$A249,$O$4:$O$1008,"&gt;"&amp;O249)+1</f>
        <v>12</v>
      </c>
    </row>
    <row r="250" customFormat="false" ht="15" hidden="false" customHeight="false" outlineLevel="0" collapsed="false">
      <c r="A250" s="7" t="n">
        <v>2006</v>
      </c>
      <c r="B250" s="15" t="s">
        <v>125</v>
      </c>
      <c r="C250" s="15" t="s">
        <v>118</v>
      </c>
      <c r="D250" s="15" t="s">
        <v>126</v>
      </c>
      <c r="E250" s="9" t="n">
        <f aca="false">SUMIFS(Data!$L$2:$L$1006,Data!$A$2:$A$1006,$A250,Data!$B$2:$B$1006,$B250)</f>
        <v>512673</v>
      </c>
      <c r="F250" s="10" t="n">
        <f aca="false">SUMIFS(Data!$E$2:$E$1006,Data!$A$2:$A$1006,$A250,Data!$B$2:$B$1006,$B250)</f>
        <v>35.523678</v>
      </c>
      <c r="G250" s="10" t="n">
        <f aca="false">SUMIFS(Data!$F$2:$F$1006,Data!$A$2:$A$1006,$A250,Data!$B$2:$B$1006,$B250)</f>
        <v>36.113499</v>
      </c>
      <c r="H250" s="10" t="n">
        <f aca="false">SUMIFS(Data!$G$2:$G$1006,Data!$A$2:$A$1006,$A250,Data!$B$2:$B$1006,$B250)</f>
        <v>37.51537</v>
      </c>
      <c r="I250" s="10" t="n">
        <f aca="false">SUMIFS(Data!$N$2:$N$1006,Data!$A$2:$A$1006,$A250,Data!$B$2:$B$1006,$B250)</f>
        <v>109.152547</v>
      </c>
      <c r="J250" s="10" t="n">
        <f aca="false">SUMIFS(Data!$H$2:$H$1006,Data!$A$2:$A$1006,$A250,Data!$B$2:$B$1006,$B250)</f>
        <v>57.763414</v>
      </c>
      <c r="K250" s="11" t="n">
        <f aca="false">IFERROR(F250*1000000/$E250,"")</f>
        <v>69.2911036859753</v>
      </c>
      <c r="L250" s="11" t="n">
        <f aca="false">IFERROR(G250*1000000/$E250,"")</f>
        <v>70.4415855720898</v>
      </c>
      <c r="M250" s="11" t="n">
        <f aca="false">IFERROR(H250*1000000/$E250,"")</f>
        <v>73.1760205823205</v>
      </c>
      <c r="N250" s="11" t="n">
        <f aca="false">IFERROR(I250*1000000/$E250,"")</f>
        <v>212.908709840386</v>
      </c>
      <c r="O250" s="11" t="n">
        <f aca="false">IFERROR(J250*1000000/$E250,"")</f>
        <v>112.671067132461</v>
      </c>
      <c r="P250" s="16" t="n">
        <f aca="false">COUNTIFS($A$4:$A$1008,$A250,$N$4:$N$1008,"&gt;"&amp;N250)+1</f>
        <v>22</v>
      </c>
      <c r="Q250" s="16" t="n">
        <f aca="false">COUNTIFS($A$4:$A$1008,$A250,$O$4:$O$1008,"&gt;"&amp;O250)+1</f>
        <v>23</v>
      </c>
    </row>
    <row r="251" customFormat="false" ht="15" hidden="false" customHeight="false" outlineLevel="0" collapsed="false">
      <c r="A251" s="7" t="n">
        <v>2006</v>
      </c>
      <c r="B251" s="15" t="s">
        <v>127</v>
      </c>
      <c r="C251" s="15" t="s">
        <v>118</v>
      </c>
      <c r="D251" s="15" t="s">
        <v>103</v>
      </c>
      <c r="E251" s="9" t="n">
        <f aca="false">SUMIFS(Data!$L$2:$L$1006,Data!$A$2:$A$1006,$A251,Data!$B$2:$B$1006,$B251)</f>
        <v>682853</v>
      </c>
      <c r="F251" s="10" t="n">
        <f aca="false">SUMIFS(Data!$E$2:$E$1006,Data!$A$2:$A$1006,$A251,Data!$B$2:$B$1006,$B251)</f>
        <v>35.007478</v>
      </c>
      <c r="G251" s="10" t="n">
        <f aca="false">SUMIFS(Data!$F$2:$F$1006,Data!$A$2:$A$1006,$A251,Data!$B$2:$B$1006,$B251)</f>
        <v>47.409204</v>
      </c>
      <c r="H251" s="10" t="n">
        <f aca="false">SUMIFS(Data!$G$2:$G$1006,Data!$A$2:$A$1006,$A251,Data!$B$2:$B$1006,$B251)</f>
        <v>37.935981</v>
      </c>
      <c r="I251" s="10" t="n">
        <f aca="false">SUMIFS(Data!$N$2:$N$1006,Data!$A$2:$A$1006,$A251,Data!$B$2:$B$1006,$B251)</f>
        <v>120.352663</v>
      </c>
      <c r="J251" s="10" t="n">
        <f aca="false">SUMIFS(Data!$H$2:$H$1006,Data!$A$2:$A$1006,$A251,Data!$B$2:$B$1006,$B251)</f>
        <v>50.545755</v>
      </c>
      <c r="K251" s="11" t="n">
        <f aca="false">IFERROR(F251*1000000/$E251,"")</f>
        <v>51.2664922025678</v>
      </c>
      <c r="L251" s="11" t="n">
        <f aca="false">IFERROR(G251*1000000/$E251,"")</f>
        <v>69.4281258191734</v>
      </c>
      <c r="M251" s="11" t="n">
        <f aca="false">IFERROR(H251*1000000/$E251,"")</f>
        <v>55.5551209411103</v>
      </c>
      <c r="N251" s="11" t="n">
        <f aca="false">IFERROR(I251*1000000/$E251,"")</f>
        <v>176.249738962851</v>
      </c>
      <c r="O251" s="11" t="n">
        <f aca="false">IFERROR(J251*1000000/$E251,"")</f>
        <v>74.0214292095078</v>
      </c>
      <c r="P251" s="16" t="n">
        <f aca="false">COUNTIFS($A$4:$A$1008,$A251,$N$4:$N$1008,"&gt;"&amp;N251)+1</f>
        <v>35</v>
      </c>
      <c r="Q251" s="16" t="n">
        <f aca="false">COUNTIFS($A$4:$A$1008,$A251,$O$4:$O$1008,"&gt;"&amp;O251)+1</f>
        <v>36</v>
      </c>
    </row>
    <row r="252" customFormat="false" ht="15" hidden="false" customHeight="false" outlineLevel="0" collapsed="false">
      <c r="A252" s="7" t="n">
        <v>2006</v>
      </c>
      <c r="B252" s="15" t="s">
        <v>128</v>
      </c>
      <c r="C252" s="15" t="s">
        <v>118</v>
      </c>
      <c r="D252" s="15" t="s">
        <v>107</v>
      </c>
      <c r="E252" s="9" t="n">
        <f aca="false">SUMIFS(Data!$L$2:$L$1006,Data!$A$2:$A$1006,$A252,Data!$B$2:$B$1006,$B252)</f>
        <v>585678</v>
      </c>
      <c r="F252" s="10" t="n">
        <f aca="false">SUMIFS(Data!$E$2:$E$1006,Data!$A$2:$A$1006,$A252,Data!$B$2:$B$1006,$B252)</f>
        <v>28.995899</v>
      </c>
      <c r="G252" s="10" t="n">
        <f aca="false">SUMIFS(Data!$F$2:$F$1006,Data!$A$2:$A$1006,$A252,Data!$B$2:$B$1006,$B252)</f>
        <v>31.365762</v>
      </c>
      <c r="H252" s="10" t="n">
        <f aca="false">SUMIFS(Data!$G$2:$G$1006,Data!$A$2:$A$1006,$A252,Data!$B$2:$B$1006,$B252)</f>
        <v>41.950003</v>
      </c>
      <c r="I252" s="10" t="n">
        <f aca="false">SUMIFS(Data!$N$2:$N$1006,Data!$A$2:$A$1006,$A252,Data!$B$2:$B$1006,$B252)</f>
        <v>102.311664</v>
      </c>
      <c r="J252" s="10" t="n">
        <f aca="false">SUMIFS(Data!$H$2:$H$1006,Data!$A$2:$A$1006,$A252,Data!$B$2:$B$1006,$B252)</f>
        <v>105.432993</v>
      </c>
      <c r="K252" s="11" t="n">
        <f aca="false">IFERROR(F252*1000000/$E252,"")</f>
        <v>49.5082605117488</v>
      </c>
      <c r="L252" s="11" t="n">
        <f aca="false">IFERROR(G252*1000000/$E252,"")</f>
        <v>53.5546187495518</v>
      </c>
      <c r="M252" s="11" t="n">
        <f aca="false">IFERROR(H252*1000000/$E252,"")</f>
        <v>71.6263936839014</v>
      </c>
      <c r="N252" s="11" t="n">
        <f aca="false">IFERROR(I252*1000000/$E252,"")</f>
        <v>174.689272945202</v>
      </c>
      <c r="O252" s="11" t="n">
        <f aca="false">IFERROR(J252*1000000/$E252,"")</f>
        <v>180.018701402477</v>
      </c>
      <c r="P252" s="16" t="n">
        <f aca="false">COUNTIFS($A$4:$A$1008,$A252,$N$4:$N$1008,"&gt;"&amp;N252)+1</f>
        <v>37</v>
      </c>
      <c r="Q252" s="16" t="n">
        <f aca="false">COUNTIFS($A$4:$A$1008,$A252,$O$4:$O$1008,"&gt;"&amp;O252)+1</f>
        <v>7</v>
      </c>
    </row>
    <row r="253" customFormat="false" ht="15" hidden="false" customHeight="false" outlineLevel="0" collapsed="false">
      <c r="A253" s="7" t="n">
        <v>2006</v>
      </c>
      <c r="B253" s="15" t="s">
        <v>129</v>
      </c>
      <c r="C253" s="15" t="s">
        <v>118</v>
      </c>
      <c r="D253" s="15" t="s">
        <v>107</v>
      </c>
      <c r="E253" s="9" t="n">
        <f aca="false">SUMIFS(Data!$L$2:$L$1006,Data!$A$2:$A$1006,$A253,Data!$B$2:$B$1006,$B253)</f>
        <v>1551632</v>
      </c>
      <c r="F253" s="10" t="n">
        <f aca="false">SUMIFS(Data!$E$2:$E$1006,Data!$A$2:$A$1006,$A253,Data!$B$2:$B$1006,$B253)</f>
        <v>186.339705</v>
      </c>
      <c r="G253" s="10" t="n">
        <f aca="false">SUMIFS(Data!$F$2:$F$1006,Data!$A$2:$A$1006,$A253,Data!$B$2:$B$1006,$B253)</f>
        <v>141.586124</v>
      </c>
      <c r="H253" s="10" t="n">
        <f aca="false">SUMIFS(Data!$G$2:$G$1006,Data!$A$2:$A$1006,$A253,Data!$B$2:$B$1006,$B253)</f>
        <v>76.629478</v>
      </c>
      <c r="I253" s="10" t="n">
        <f aca="false">SUMIFS(Data!$N$2:$N$1006,Data!$A$2:$A$1006,$A253,Data!$B$2:$B$1006,$B253)</f>
        <v>404.555307</v>
      </c>
      <c r="J253" s="10" t="n">
        <f aca="false">SUMIFS(Data!$H$2:$H$1006,Data!$A$2:$A$1006,$A253,Data!$B$2:$B$1006,$B253)</f>
        <v>191.168007</v>
      </c>
      <c r="K253" s="11" t="n">
        <f aca="false">IFERROR(F253*1000000/$E253,"")</f>
        <v>120.092718505419</v>
      </c>
      <c r="L253" s="11" t="n">
        <f aca="false">IFERROR(G253*1000000/$E253,"")</f>
        <v>91.2498092331171</v>
      </c>
      <c r="M253" s="11" t="n">
        <f aca="false">IFERROR(H253*1000000/$E253,"")</f>
        <v>49.3863738309084</v>
      </c>
      <c r="N253" s="11" t="n">
        <f aca="false">IFERROR(I253*1000000/$E253,"")</f>
        <v>260.728901569444</v>
      </c>
      <c r="O253" s="11" t="n">
        <f aca="false">IFERROR(J253*1000000/$E253,"")</f>
        <v>123.204475674645</v>
      </c>
      <c r="P253" s="16" t="n">
        <f aca="false">COUNTIFS($A$4:$A$1008,$A253,$N$4:$N$1008,"&gt;"&amp;N253)+1</f>
        <v>6</v>
      </c>
      <c r="Q253" s="16" t="n">
        <f aca="false">COUNTIFS($A$4:$A$1008,$A253,$O$4:$O$1008,"&gt;"&amp;O253)+1</f>
        <v>19</v>
      </c>
    </row>
    <row r="254" customFormat="false" ht="15" hidden="false" customHeight="false" outlineLevel="0" collapsed="false">
      <c r="A254" s="7" t="n">
        <v>2006</v>
      </c>
      <c r="B254" s="15" t="s">
        <v>130</v>
      </c>
      <c r="C254" s="15" t="s">
        <v>118</v>
      </c>
      <c r="D254" s="15" t="s">
        <v>107</v>
      </c>
      <c r="E254" s="9" t="n">
        <f aca="false">SUMIFS(Data!$L$2:$L$1006,Data!$A$2:$A$1006,$A254,Data!$B$2:$B$1006,$B254)</f>
        <v>1374143</v>
      </c>
      <c r="F254" s="10" t="n">
        <f aca="false">SUMIFS(Data!$E$2:$E$1006,Data!$A$2:$A$1006,$A254,Data!$B$2:$B$1006,$B254)</f>
        <v>141.934559</v>
      </c>
      <c r="G254" s="10" t="n">
        <f aca="false">SUMIFS(Data!$F$2:$F$1006,Data!$A$2:$A$1006,$A254,Data!$B$2:$B$1006,$B254)</f>
        <v>65.085134</v>
      </c>
      <c r="H254" s="10" t="n">
        <f aca="false">SUMIFS(Data!$G$2:$G$1006,Data!$A$2:$A$1006,$A254,Data!$B$2:$B$1006,$B254)</f>
        <v>84.208877</v>
      </c>
      <c r="I254" s="10" t="n">
        <f aca="false">SUMIFS(Data!$N$2:$N$1006,Data!$A$2:$A$1006,$A254,Data!$B$2:$B$1006,$B254)</f>
        <v>291.22857</v>
      </c>
      <c r="J254" s="10" t="n">
        <f aca="false">SUMIFS(Data!$H$2:$H$1006,Data!$A$2:$A$1006,$A254,Data!$B$2:$B$1006,$B254)</f>
        <v>144.409705</v>
      </c>
      <c r="K254" s="11" t="n">
        <f aca="false">IFERROR(F254*1000000/$E254,"")</f>
        <v>103.289511353622</v>
      </c>
      <c r="L254" s="11" t="n">
        <f aca="false">IFERROR(G254*1000000/$E254,"")</f>
        <v>47.3641637005756</v>
      </c>
      <c r="M254" s="11" t="n">
        <f aca="false">IFERROR(H254*1000000/$E254,"")</f>
        <v>61.2810144213521</v>
      </c>
      <c r="N254" s="11" t="n">
        <f aca="false">IFERROR(I254*1000000/$E254,"")</f>
        <v>211.934689475549</v>
      </c>
      <c r="O254" s="11" t="n">
        <f aca="false">IFERROR(J254*1000000/$E254,"")</f>
        <v>105.090740192251</v>
      </c>
      <c r="P254" s="16" t="n">
        <f aca="false">COUNTIFS($A$4:$A$1008,$A254,$N$4:$N$1008,"&gt;"&amp;N254)+1</f>
        <v>23</v>
      </c>
      <c r="Q254" s="16" t="n">
        <f aca="false">COUNTIFS($A$4:$A$1008,$A254,$O$4:$O$1008,"&gt;"&amp;O254)+1</f>
        <v>26</v>
      </c>
    </row>
    <row r="255" customFormat="false" ht="15" hidden="false" customHeight="false" outlineLevel="0" collapsed="false">
      <c r="A255" s="7" t="n">
        <v>2006</v>
      </c>
      <c r="B255" s="15" t="s">
        <v>131</v>
      </c>
      <c r="C255" s="15" t="s">
        <v>118</v>
      </c>
      <c r="D255" s="15" t="s">
        <v>132</v>
      </c>
      <c r="E255" s="9" t="n">
        <f aca="false">SUMIFS(Data!$L$2:$L$1006,Data!$A$2:$A$1006,$A255,Data!$B$2:$B$1006,$B255)</f>
        <v>750260</v>
      </c>
      <c r="F255" s="10" t="n">
        <f aca="false">SUMIFS(Data!$E$2:$E$1006,Data!$A$2:$A$1006,$A255,Data!$B$2:$B$1006,$B255)</f>
        <v>77.513601</v>
      </c>
      <c r="G255" s="10" t="n">
        <f aca="false">SUMIFS(Data!$F$2:$F$1006,Data!$A$2:$A$1006,$A255,Data!$B$2:$B$1006,$B255)</f>
        <v>60.045379</v>
      </c>
      <c r="H255" s="10" t="n">
        <f aca="false">SUMIFS(Data!$G$2:$G$1006,Data!$A$2:$A$1006,$A255,Data!$B$2:$B$1006,$B255)</f>
        <v>128.374102</v>
      </c>
      <c r="I255" s="10" t="n">
        <f aca="false">SUMIFS(Data!$N$2:$N$1006,Data!$A$2:$A$1006,$A255,Data!$B$2:$B$1006,$B255)</f>
        <v>265.933082</v>
      </c>
      <c r="J255" s="10" t="n">
        <f aca="false">SUMIFS(Data!$H$2:$H$1006,Data!$A$2:$A$1006,$A255,Data!$B$2:$B$1006,$B255)</f>
        <v>178.399231</v>
      </c>
      <c r="K255" s="11" t="n">
        <f aca="false">IFERROR(F255*1000000/$E255,"")</f>
        <v>103.315651907339</v>
      </c>
      <c r="L255" s="11" t="n">
        <f aca="false">IFERROR(G255*1000000/$E255,"")</f>
        <v>80.0327606429771</v>
      </c>
      <c r="M255" s="11" t="n">
        <f aca="false">IFERROR(H255*1000000/$E255,"")</f>
        <v>171.106152533788</v>
      </c>
      <c r="N255" s="11" t="n">
        <f aca="false">IFERROR(I255*1000000/$E255,"")</f>
        <v>354.454565084104</v>
      </c>
      <c r="O255" s="11" t="n">
        <f aca="false">IFERROR(J255*1000000/$E255,"")</f>
        <v>237.783209820596</v>
      </c>
      <c r="P255" s="16" t="n">
        <f aca="false">COUNTIFS($A$4:$A$1008,$A255,$N$4:$N$1008,"&gt;"&amp;N255)+1</f>
        <v>1</v>
      </c>
      <c r="Q255" s="16" t="n">
        <f aca="false">COUNTIFS($A$4:$A$1008,$A255,$O$4:$O$1008,"&gt;"&amp;O255)+1</f>
        <v>2</v>
      </c>
    </row>
    <row r="256" customFormat="false" ht="15" hidden="false" customHeight="false" outlineLevel="0" collapsed="false">
      <c r="A256" s="7" t="n">
        <v>2006</v>
      </c>
      <c r="B256" s="15" t="s">
        <v>133</v>
      </c>
      <c r="C256" s="15" t="s">
        <v>118</v>
      </c>
      <c r="D256" s="15" t="s">
        <v>105</v>
      </c>
      <c r="E256" s="9" t="n">
        <f aca="false">SUMIFS(Data!$L$2:$L$1006,Data!$A$2:$A$1006,$A256,Data!$B$2:$B$1006,$B256)</f>
        <v>2082778</v>
      </c>
      <c r="F256" s="10" t="n">
        <f aca="false">SUMIFS(Data!$E$2:$E$1006,Data!$A$2:$A$1006,$A256,Data!$B$2:$B$1006,$B256)</f>
        <v>161.52874</v>
      </c>
      <c r="G256" s="10" t="n">
        <f aca="false">SUMIFS(Data!$F$2:$F$1006,Data!$A$2:$A$1006,$A256,Data!$B$2:$B$1006,$B256)</f>
        <v>192.366341</v>
      </c>
      <c r="H256" s="10" t="n">
        <f aca="false">SUMIFS(Data!$G$2:$G$1006,Data!$A$2:$A$1006,$A256,Data!$B$2:$B$1006,$B256)</f>
        <v>120.105162</v>
      </c>
      <c r="I256" s="10" t="n">
        <f aca="false">SUMIFS(Data!$N$2:$N$1006,Data!$A$2:$A$1006,$A256,Data!$B$2:$B$1006,$B256)</f>
        <v>474.000243</v>
      </c>
      <c r="J256" s="10" t="n">
        <f aca="false">SUMIFS(Data!$H$2:$H$1006,Data!$A$2:$A$1006,$A256,Data!$B$2:$B$1006,$B256)</f>
        <v>209.880317</v>
      </c>
      <c r="K256" s="11" t="n">
        <f aca="false">IFERROR(F256*1000000/$E256,"")</f>
        <v>77.5544681190218</v>
      </c>
      <c r="L256" s="11" t="n">
        <f aca="false">IFERROR(G256*1000000/$E256,"")</f>
        <v>92.3604632850933</v>
      </c>
      <c r="M256" s="11" t="n">
        <f aca="false">IFERROR(H256*1000000/$E256,"")</f>
        <v>57.6658491687544</v>
      </c>
      <c r="N256" s="11" t="n">
        <f aca="false">IFERROR(I256*1000000/$E256,"")</f>
        <v>227.58078057287</v>
      </c>
      <c r="O256" s="11" t="n">
        <f aca="false">IFERROR(J256*1000000/$E256,"")</f>
        <v>100.769413254797</v>
      </c>
      <c r="P256" s="16" t="n">
        <f aca="false">COUNTIFS($A$4:$A$1008,$A256,$N$4:$N$1008,"&gt;"&amp;N256)+1</f>
        <v>13</v>
      </c>
      <c r="Q256" s="16" t="n">
        <f aca="false">COUNTIFS($A$4:$A$1008,$A256,$O$4:$O$1008,"&gt;"&amp;O256)+1</f>
        <v>30</v>
      </c>
    </row>
    <row r="257" customFormat="false" ht="15" hidden="false" customHeight="false" outlineLevel="0" collapsed="false">
      <c r="A257" s="7" t="n">
        <v>2006</v>
      </c>
      <c r="B257" s="15" t="s">
        <v>134</v>
      </c>
      <c r="C257" s="15" t="s">
        <v>135</v>
      </c>
      <c r="D257" s="15" t="s">
        <v>136</v>
      </c>
      <c r="E257" s="9" t="n">
        <f aca="false">SUMIFS(Data!$L$2:$L$1006,Data!$A$2:$A$1006,$A257,Data!$B$2:$B$1006,$B257)</f>
        <v>139212</v>
      </c>
      <c r="F257" s="10" t="n">
        <f aca="false">SUMIFS(Data!$E$2:$E$1006,Data!$A$2:$A$1006,$A257,Data!$B$2:$B$1006,$B257)</f>
        <v>19.190627</v>
      </c>
      <c r="G257" s="10" t="n">
        <f aca="false">SUMIFS(Data!$F$2:$F$1006,Data!$A$2:$A$1006,$A257,Data!$B$2:$B$1006,$B257)</f>
        <v>15.079149</v>
      </c>
      <c r="H257" s="10" t="n">
        <f aca="false">SUMIFS(Data!$G$2:$G$1006,Data!$A$2:$A$1006,$A257,Data!$B$2:$B$1006,$B257)</f>
        <v>9.927563</v>
      </c>
      <c r="I257" s="10" t="n">
        <f aca="false">SUMIFS(Data!$N$2:$N$1006,Data!$A$2:$A$1006,$A257,Data!$B$2:$B$1006,$B257)</f>
        <v>44.197339</v>
      </c>
      <c r="J257" s="10" t="n">
        <f aca="false">SUMIFS(Data!$H$2:$H$1006,Data!$A$2:$A$1006,$A257,Data!$B$2:$B$1006,$B257)</f>
        <v>14.52428</v>
      </c>
      <c r="K257" s="11" t="n">
        <f aca="false">IFERROR(F257*1000000/$E257,"")</f>
        <v>137.851815935408</v>
      </c>
      <c r="L257" s="11" t="n">
        <f aca="false">IFERROR(G257*1000000/$E257,"")</f>
        <v>108.317882079131</v>
      </c>
      <c r="M257" s="11" t="n">
        <f aca="false">IFERROR(H257*1000000/$E257,"")</f>
        <v>71.3125520788438</v>
      </c>
      <c r="N257" s="11" t="n">
        <f aca="false">IFERROR(I257*1000000/$E257,"")</f>
        <v>317.482250093383</v>
      </c>
      <c r="O257" s="11" t="n">
        <f aca="false">IFERROR(J257*1000000/$E257,"")</f>
        <v>104.33209780766</v>
      </c>
      <c r="P257" s="16" t="n">
        <f aca="false">COUNTIFS($A$4:$A$1008,$A257,$N$4:$N$1008,"&gt;"&amp;N257)+1</f>
        <v>2</v>
      </c>
      <c r="Q257" s="16" t="n">
        <f aca="false">COUNTIFS($A$4:$A$1008,$A257,$O$4:$O$1008,"&gt;"&amp;O257)+1</f>
        <v>27</v>
      </c>
    </row>
    <row r="258" customFormat="false" ht="15" hidden="false" customHeight="false" outlineLevel="0" collapsed="false">
      <c r="A258" s="7" t="n">
        <v>2006</v>
      </c>
      <c r="B258" s="15" t="s">
        <v>137</v>
      </c>
      <c r="C258" s="15" t="s">
        <v>135</v>
      </c>
      <c r="D258" s="15" t="s">
        <v>138</v>
      </c>
      <c r="E258" s="9" t="n">
        <f aca="false">SUMIFS(Data!$L$2:$L$1006,Data!$A$2:$A$1006,$A258,Data!$B$2:$B$1006,$B258)</f>
        <v>1792470</v>
      </c>
      <c r="F258" s="10" t="n">
        <f aca="false">SUMIFS(Data!$E$2:$E$1006,Data!$A$2:$A$1006,$A258,Data!$B$2:$B$1006,$B258)</f>
        <v>174.651425</v>
      </c>
      <c r="G258" s="10" t="n">
        <f aca="false">SUMIFS(Data!$F$2:$F$1006,Data!$A$2:$A$1006,$A258,Data!$B$2:$B$1006,$B258)</f>
        <v>85.412316</v>
      </c>
      <c r="H258" s="10" t="n">
        <f aca="false">SUMIFS(Data!$G$2:$G$1006,Data!$A$2:$A$1006,$A258,Data!$B$2:$B$1006,$B258)</f>
        <v>126.287644</v>
      </c>
      <c r="I258" s="10" t="n">
        <f aca="false">SUMIFS(Data!$N$2:$N$1006,Data!$A$2:$A$1006,$A258,Data!$B$2:$B$1006,$B258)</f>
        <v>386.351385</v>
      </c>
      <c r="J258" s="10" t="n">
        <f aca="false">SUMIFS(Data!$H$2:$H$1006,Data!$A$2:$A$1006,$A258,Data!$B$2:$B$1006,$B258)</f>
        <v>226.204251</v>
      </c>
      <c r="K258" s="11" t="n">
        <f aca="false">IFERROR(F258*1000000/$E258,"")</f>
        <v>97.4361774534581</v>
      </c>
      <c r="L258" s="11" t="n">
        <f aca="false">IFERROR(G258*1000000/$E258,"")</f>
        <v>47.6506251150647</v>
      </c>
      <c r="M258" s="11" t="n">
        <f aca="false">IFERROR(H258*1000000/$E258,"")</f>
        <v>70.4545370354874</v>
      </c>
      <c r="N258" s="11" t="n">
        <f aca="false">IFERROR(I258*1000000/$E258,"")</f>
        <v>215.54133960401</v>
      </c>
      <c r="O258" s="11" t="n">
        <f aca="false">IFERROR(J258*1000000/$E258,"")</f>
        <v>126.196952250247</v>
      </c>
      <c r="P258" s="16" t="n">
        <f aca="false">COUNTIFS($A$4:$A$1008,$A258,$N$4:$N$1008,"&gt;"&amp;N258)+1</f>
        <v>19</v>
      </c>
      <c r="Q258" s="16" t="n">
        <f aca="false">COUNTIFS($A$4:$A$1008,$A258,$O$4:$O$1008,"&gt;"&amp;O258)+1</f>
        <v>17</v>
      </c>
    </row>
    <row r="259" customFormat="false" ht="15" hidden="false" customHeight="false" outlineLevel="0" collapsed="false">
      <c r="A259" s="7" t="n">
        <v>2006</v>
      </c>
      <c r="B259" s="15" t="s">
        <v>139</v>
      </c>
      <c r="C259" s="15" t="s">
        <v>135</v>
      </c>
      <c r="D259" s="15" t="s">
        <v>138</v>
      </c>
      <c r="E259" s="9" t="n">
        <f aca="false">SUMIFS(Data!$L$2:$L$1006,Data!$A$2:$A$1006,$A259,Data!$B$2:$B$1006,$B259)</f>
        <v>2168454</v>
      </c>
      <c r="F259" s="10" t="n">
        <f aca="false">SUMIFS(Data!$E$2:$E$1006,Data!$A$2:$A$1006,$A259,Data!$B$2:$B$1006,$B259)</f>
        <v>212.646666</v>
      </c>
      <c r="G259" s="10" t="n">
        <f aca="false">SUMIFS(Data!$F$2:$F$1006,Data!$A$2:$A$1006,$A259,Data!$B$2:$B$1006,$B259)</f>
        <v>170.313496</v>
      </c>
      <c r="H259" s="10" t="n">
        <f aca="false">SUMIFS(Data!$G$2:$G$1006,Data!$A$2:$A$1006,$A259,Data!$B$2:$B$1006,$B259)</f>
        <v>204.147235</v>
      </c>
      <c r="I259" s="10" t="n">
        <f aca="false">SUMIFS(Data!$N$2:$N$1006,Data!$A$2:$A$1006,$A259,Data!$B$2:$B$1006,$B259)</f>
        <v>587.107397</v>
      </c>
      <c r="J259" s="10" t="n">
        <f aca="false">SUMIFS(Data!$H$2:$H$1006,Data!$A$2:$A$1006,$A259,Data!$B$2:$B$1006,$B259)</f>
        <v>218.527573</v>
      </c>
      <c r="K259" s="11" t="n">
        <f aca="false">IFERROR(F259*1000000/$E259,"")</f>
        <v>98.0637200512439</v>
      </c>
      <c r="L259" s="11" t="n">
        <f aca="false">IFERROR(G259*1000000/$E259,"")</f>
        <v>78.5414382781465</v>
      </c>
      <c r="M259" s="11" t="n">
        <f aca="false">IFERROR(H259*1000000/$E259,"")</f>
        <v>94.1441390963332</v>
      </c>
      <c r="N259" s="11" t="n">
        <f aca="false">IFERROR(I259*1000000/$E259,"")</f>
        <v>270.749297425724</v>
      </c>
      <c r="O259" s="11" t="n">
        <f aca="false">IFERROR(J259*1000000/$E259,"")</f>
        <v>100.775747606359</v>
      </c>
      <c r="P259" s="16" t="n">
        <f aca="false">COUNTIFS($A$4:$A$1008,$A259,$N$4:$N$1008,"&gt;"&amp;N259)+1</f>
        <v>5</v>
      </c>
      <c r="Q259" s="16" t="n">
        <f aca="false">COUNTIFS($A$4:$A$1008,$A259,$O$4:$O$1008,"&gt;"&amp;O259)+1</f>
        <v>29</v>
      </c>
    </row>
    <row r="260" customFormat="false" ht="15" hidden="false" customHeight="false" outlineLevel="0" collapsed="false">
      <c r="A260" s="7" t="n">
        <v>2006</v>
      </c>
      <c r="B260" s="15" t="s">
        <v>140</v>
      </c>
      <c r="C260" s="15" t="s">
        <v>135</v>
      </c>
      <c r="D260" s="15" t="s">
        <v>141</v>
      </c>
      <c r="E260" s="9" t="n">
        <f aca="false">SUMIFS(Data!$L$2:$L$1006,Data!$A$2:$A$1006,$A260,Data!$B$2:$B$1006,$B260)</f>
        <v>766165</v>
      </c>
      <c r="F260" s="10" t="n">
        <f aca="false">SUMIFS(Data!$E$2:$E$1006,Data!$A$2:$A$1006,$A260,Data!$B$2:$B$1006,$B260)</f>
        <v>45.635225</v>
      </c>
      <c r="G260" s="10" t="n">
        <f aca="false">SUMIFS(Data!$F$2:$F$1006,Data!$A$2:$A$1006,$A260,Data!$B$2:$B$1006,$B260)</f>
        <v>48.967787</v>
      </c>
      <c r="H260" s="10" t="n">
        <f aca="false">SUMIFS(Data!$G$2:$G$1006,Data!$A$2:$A$1006,$A260,Data!$B$2:$B$1006,$B260)</f>
        <v>70.810825</v>
      </c>
      <c r="I260" s="10" t="n">
        <f aca="false">SUMIFS(Data!$N$2:$N$1006,Data!$A$2:$A$1006,$A260,Data!$B$2:$B$1006,$B260)</f>
        <v>165.413837</v>
      </c>
      <c r="J260" s="10" t="n">
        <f aca="false">SUMIFS(Data!$H$2:$H$1006,Data!$A$2:$A$1006,$A260,Data!$B$2:$B$1006,$B260)</f>
        <v>64.841519</v>
      </c>
      <c r="K260" s="11" t="n">
        <f aca="false">IFERROR(F260*1000000/$E260,"")</f>
        <v>59.5631815601078</v>
      </c>
      <c r="L260" s="11" t="n">
        <f aca="false">IFERROR(G260*1000000/$E260,"")</f>
        <v>63.9128477547265</v>
      </c>
      <c r="M260" s="11" t="n">
        <f aca="false">IFERROR(H260*1000000/$E260,"")</f>
        <v>92.4224220631326</v>
      </c>
      <c r="N260" s="11" t="n">
        <f aca="false">IFERROR(I260*1000000/$E260,"")</f>
        <v>215.898451377967</v>
      </c>
      <c r="O260" s="11" t="n">
        <f aca="false">IFERROR(J260*1000000/$E260,"")</f>
        <v>84.6312726370952</v>
      </c>
      <c r="P260" s="16" t="n">
        <f aca="false">COUNTIFS($A$4:$A$1008,$A260,$N$4:$N$1008,"&gt;"&amp;N260)+1</f>
        <v>18</v>
      </c>
      <c r="Q260" s="16" t="n">
        <f aca="false">COUNTIFS($A$4:$A$1008,$A260,$O$4:$O$1008,"&gt;"&amp;O260)+1</f>
        <v>34</v>
      </c>
    </row>
    <row r="261" customFormat="false" ht="15" hidden="false" customHeight="false" outlineLevel="0" collapsed="false">
      <c r="A261" s="7" t="n">
        <v>2006</v>
      </c>
      <c r="B261" s="15" t="s">
        <v>142</v>
      </c>
      <c r="C261" s="15" t="s">
        <v>135</v>
      </c>
      <c r="D261" s="15" t="s">
        <v>143</v>
      </c>
      <c r="E261" s="9" t="n">
        <f aca="false">SUMIFS(Data!$L$2:$L$1006,Data!$A$2:$A$1006,$A261,Data!$B$2:$B$1006,$B261)</f>
        <v>580891</v>
      </c>
      <c r="F261" s="10" t="n">
        <f aca="false">SUMIFS(Data!$E$2:$E$1006,Data!$A$2:$A$1006,$A261,Data!$B$2:$B$1006,$B261)</f>
        <v>59.59943</v>
      </c>
      <c r="G261" s="10" t="n">
        <f aca="false">SUMIFS(Data!$F$2:$F$1006,Data!$A$2:$A$1006,$A261,Data!$B$2:$B$1006,$B261)</f>
        <v>24.363268</v>
      </c>
      <c r="H261" s="10" t="n">
        <f aca="false">SUMIFS(Data!$G$2:$G$1006,Data!$A$2:$A$1006,$A261,Data!$B$2:$B$1006,$B261)</f>
        <v>43.65431</v>
      </c>
      <c r="I261" s="10" t="n">
        <f aca="false">SUMIFS(Data!$N$2:$N$1006,Data!$A$2:$A$1006,$A261,Data!$B$2:$B$1006,$B261)</f>
        <v>127.617008</v>
      </c>
      <c r="J261" s="10" t="n">
        <f aca="false">SUMIFS(Data!$H$2:$H$1006,Data!$A$2:$A$1006,$A261,Data!$B$2:$B$1006,$B261)</f>
        <v>91.890675</v>
      </c>
      <c r="K261" s="11" t="n">
        <f aca="false">IFERROR(F261*1000000/$E261,"")</f>
        <v>102.600023068011</v>
      </c>
      <c r="L261" s="11" t="n">
        <f aca="false">IFERROR(G261*1000000/$E261,"")</f>
        <v>41.9412041157463</v>
      </c>
      <c r="M261" s="11" t="n">
        <f aca="false">IFERROR(H261*1000000/$E261,"")</f>
        <v>75.1506048466924</v>
      </c>
      <c r="N261" s="11" t="n">
        <f aca="false">IFERROR(I261*1000000/$E261,"")</f>
        <v>219.69183203045</v>
      </c>
      <c r="O261" s="11" t="n">
        <f aca="false">IFERROR(J261*1000000/$E261,"")</f>
        <v>158.189186955901</v>
      </c>
      <c r="P261" s="16" t="n">
        <f aca="false">COUNTIFS($A$4:$A$1008,$A261,$N$4:$N$1008,"&gt;"&amp;N261)+1</f>
        <v>17</v>
      </c>
      <c r="Q261" s="16" t="n">
        <f aca="false">COUNTIFS($A$4:$A$1008,$A261,$O$4:$O$1008,"&gt;"&amp;O261)+1</f>
        <v>13</v>
      </c>
    </row>
    <row r="262" customFormat="false" ht="15" hidden="false" customHeight="false" outlineLevel="0" collapsed="false">
      <c r="A262" s="7" t="n">
        <v>2006</v>
      </c>
      <c r="B262" s="15" t="s">
        <v>144</v>
      </c>
      <c r="C262" s="15" t="s">
        <v>135</v>
      </c>
      <c r="D262" s="15" t="s">
        <v>141</v>
      </c>
      <c r="E262" s="9" t="n">
        <f aca="false">SUMIFS(Data!$L$2:$L$1006,Data!$A$2:$A$1006,$A262,Data!$B$2:$B$1006,$B262)</f>
        <v>466833</v>
      </c>
      <c r="F262" s="10" t="n">
        <f aca="false">SUMIFS(Data!$E$2:$E$1006,Data!$A$2:$A$1006,$A262,Data!$B$2:$B$1006,$B262)</f>
        <v>35.391356</v>
      </c>
      <c r="G262" s="10" t="n">
        <f aca="false">SUMIFS(Data!$F$2:$F$1006,Data!$A$2:$A$1006,$A262,Data!$B$2:$B$1006,$B262)</f>
        <v>20.361932</v>
      </c>
      <c r="H262" s="10" t="n">
        <f aca="false">SUMIFS(Data!$G$2:$G$1006,Data!$A$2:$A$1006,$A262,Data!$B$2:$B$1006,$B262)</f>
        <v>49.976971</v>
      </c>
      <c r="I262" s="10" t="n">
        <f aca="false">SUMIFS(Data!$N$2:$N$1006,Data!$A$2:$A$1006,$A262,Data!$B$2:$B$1006,$B262)</f>
        <v>105.730259</v>
      </c>
      <c r="J262" s="10" t="n">
        <f aca="false">SUMIFS(Data!$H$2:$H$1006,Data!$A$2:$A$1006,$A262,Data!$B$2:$B$1006,$B262)</f>
        <v>34.070218</v>
      </c>
      <c r="K262" s="11" t="n">
        <f aca="false">IFERROR(F262*1000000/$E262,"")</f>
        <v>75.8115985802203</v>
      </c>
      <c r="L262" s="11" t="n">
        <f aca="false">IFERROR(G262*1000000/$E262,"")</f>
        <v>43.6171650247519</v>
      </c>
      <c r="M262" s="11" t="n">
        <f aca="false">IFERROR(H262*1000000/$E262,"")</f>
        <v>107.055351699644</v>
      </c>
      <c r="N262" s="11" t="n">
        <f aca="false">IFERROR(I262*1000000/$E262,"")</f>
        <v>226.484115304616</v>
      </c>
      <c r="O262" s="11" t="n">
        <f aca="false">IFERROR(J262*1000000/$E262,"")</f>
        <v>72.9815972735432</v>
      </c>
      <c r="P262" s="16" t="n">
        <f aca="false">COUNTIFS($A$4:$A$1008,$A262,$N$4:$N$1008,"&gt;"&amp;N262)+1</f>
        <v>14</v>
      </c>
      <c r="Q262" s="16" t="n">
        <f aca="false">COUNTIFS($A$4:$A$1008,$A262,$O$4:$O$1008,"&gt;"&amp;O262)+1</f>
        <v>38</v>
      </c>
    </row>
    <row r="263" customFormat="false" ht="15" hidden="false" customHeight="false" outlineLevel="0" collapsed="false">
      <c r="A263" s="7" t="n">
        <v>2006</v>
      </c>
      <c r="B263" s="15" t="s">
        <v>145</v>
      </c>
      <c r="C263" s="15" t="s">
        <v>135</v>
      </c>
      <c r="D263" s="15" t="s">
        <v>146</v>
      </c>
      <c r="E263" s="9" t="n">
        <f aca="false">SUMIFS(Data!$L$2:$L$1006,Data!$A$2:$A$1006,$A263,Data!$B$2:$B$1006,$B263)</f>
        <v>538258</v>
      </c>
      <c r="F263" s="10" t="n">
        <f aca="false">SUMIFS(Data!$E$2:$E$1006,Data!$A$2:$A$1006,$A263,Data!$B$2:$B$1006,$B263)</f>
        <v>22.020338</v>
      </c>
      <c r="G263" s="10" t="n">
        <f aca="false">SUMIFS(Data!$F$2:$F$1006,Data!$A$2:$A$1006,$A263,Data!$B$2:$B$1006,$B263)</f>
        <v>52.564646</v>
      </c>
      <c r="H263" s="10" t="n">
        <f aca="false">SUMIFS(Data!$G$2:$G$1006,Data!$A$2:$A$1006,$A263,Data!$B$2:$B$1006,$B263)</f>
        <v>38.930746</v>
      </c>
      <c r="I263" s="10" t="n">
        <f aca="false">SUMIFS(Data!$N$2:$N$1006,Data!$A$2:$A$1006,$A263,Data!$B$2:$B$1006,$B263)</f>
        <v>113.51573</v>
      </c>
      <c r="J263" s="10" t="n">
        <f aca="false">SUMIFS(Data!$H$2:$H$1006,Data!$A$2:$A$1006,$A263,Data!$B$2:$B$1006,$B263)</f>
        <v>94.305757</v>
      </c>
      <c r="K263" s="11" t="n">
        <f aca="false">IFERROR(F263*1000000/$E263,"")</f>
        <v>40.9103775512858</v>
      </c>
      <c r="L263" s="11" t="n">
        <f aca="false">IFERROR(G263*1000000/$E263,"")</f>
        <v>97.6569711922535</v>
      </c>
      <c r="M263" s="11" t="n">
        <f aca="false">IFERROR(H263*1000000/$E263,"")</f>
        <v>72.3272965752483</v>
      </c>
      <c r="N263" s="11" t="n">
        <f aca="false">IFERROR(I263*1000000/$E263,"")</f>
        <v>210.894645318788</v>
      </c>
      <c r="O263" s="11" t="n">
        <f aca="false">IFERROR(J263*1000000/$E263,"")</f>
        <v>175.205490675475</v>
      </c>
      <c r="P263" s="16" t="n">
        <f aca="false">COUNTIFS($A$4:$A$1008,$A263,$N$4:$N$1008,"&gt;"&amp;N263)+1</f>
        <v>25</v>
      </c>
      <c r="Q263" s="16" t="n">
        <f aca="false">COUNTIFS($A$4:$A$1008,$A263,$O$4:$O$1008,"&gt;"&amp;O263)+1</f>
        <v>8</v>
      </c>
    </row>
    <row r="264" customFormat="false" ht="15" hidden="false" customHeight="false" outlineLevel="0" collapsed="false">
      <c r="A264" s="7" t="n">
        <v>2006</v>
      </c>
      <c r="B264" s="15" t="s">
        <v>147</v>
      </c>
      <c r="C264" s="15" t="s">
        <v>135</v>
      </c>
      <c r="D264" s="15" t="s">
        <v>148</v>
      </c>
      <c r="E264" s="9" t="n">
        <f aca="false">SUMIFS(Data!$L$2:$L$1006,Data!$A$2:$A$1006,$A264,Data!$B$2:$B$1006,$B264)</f>
        <v>136657</v>
      </c>
      <c r="F264" s="10" t="n">
        <f aca="false">SUMIFS(Data!$E$2:$E$1006,Data!$A$2:$A$1006,$A264,Data!$B$2:$B$1006,$B264)</f>
        <v>11.273293</v>
      </c>
      <c r="G264" s="10" t="n">
        <f aca="false">SUMIFS(Data!$F$2:$F$1006,Data!$A$2:$A$1006,$A264,Data!$B$2:$B$1006,$B264)</f>
        <v>10.845623</v>
      </c>
      <c r="H264" s="10" t="n">
        <f aca="false">SUMIFS(Data!$G$2:$G$1006,Data!$A$2:$A$1006,$A264,Data!$B$2:$B$1006,$B264)</f>
        <v>9.472274</v>
      </c>
      <c r="I264" s="10" t="n">
        <f aca="false">SUMIFS(Data!$N$2:$N$1006,Data!$A$2:$A$1006,$A264,Data!$B$2:$B$1006,$B264)</f>
        <v>31.59119</v>
      </c>
      <c r="J264" s="10" t="n">
        <f aca="false">SUMIFS(Data!$H$2:$H$1006,Data!$A$2:$A$1006,$A264,Data!$B$2:$B$1006,$B264)</f>
        <v>27.869673</v>
      </c>
      <c r="K264" s="11" t="n">
        <f aca="false">IFERROR(F264*1000000/$E264,"")</f>
        <v>82.493344651207</v>
      </c>
      <c r="L264" s="11" t="n">
        <f aca="false">IFERROR(G264*1000000/$E264,"")</f>
        <v>79.3638306124092</v>
      </c>
      <c r="M264" s="11" t="n">
        <f aca="false">IFERROR(H264*1000000/$E264,"")</f>
        <v>69.3142246646714</v>
      </c>
      <c r="N264" s="11" t="n">
        <f aca="false">IFERROR(I264*1000000/$E264,"")</f>
        <v>231.171399928288</v>
      </c>
      <c r="O264" s="11" t="n">
        <f aca="false">IFERROR(J264*1000000/$E264,"")</f>
        <v>203.93886152923</v>
      </c>
      <c r="P264" s="16" t="n">
        <f aca="false">COUNTIFS($A$4:$A$1008,$A264,$N$4:$N$1008,"&gt;"&amp;N264)+1</f>
        <v>10</v>
      </c>
      <c r="Q264" s="16" t="n">
        <f aca="false">COUNTIFS($A$4:$A$1008,$A264,$O$4:$O$1008,"&gt;"&amp;O264)+1</f>
        <v>3</v>
      </c>
    </row>
    <row r="265" customFormat="false" ht="15" hidden="false" customHeight="false" outlineLevel="0" collapsed="false">
      <c r="A265" s="7" t="n">
        <v>2006</v>
      </c>
      <c r="B265" s="15" t="s">
        <v>149</v>
      </c>
      <c r="C265" s="15" t="s">
        <v>135</v>
      </c>
      <c r="D265" s="15" t="s">
        <v>146</v>
      </c>
      <c r="E265" s="9" t="n">
        <f aca="false">SUMIFS(Data!$L$2:$L$1006,Data!$A$2:$A$1006,$A265,Data!$B$2:$B$1006,$B265)</f>
        <v>709861</v>
      </c>
      <c r="F265" s="10" t="n">
        <f aca="false">SUMIFS(Data!$E$2:$E$1006,Data!$A$2:$A$1006,$A265,Data!$B$2:$B$1006,$B265)</f>
        <v>83.559122</v>
      </c>
      <c r="G265" s="10" t="n">
        <f aca="false">SUMIFS(Data!$F$2:$F$1006,Data!$A$2:$A$1006,$A265,Data!$B$2:$B$1006,$B265)</f>
        <v>62.114098</v>
      </c>
      <c r="H265" s="10" t="n">
        <f aca="false">SUMIFS(Data!$G$2:$G$1006,Data!$A$2:$A$1006,$A265,Data!$B$2:$B$1006,$B265)</f>
        <v>56.485099</v>
      </c>
      <c r="I265" s="10" t="n">
        <f aca="false">SUMIFS(Data!$N$2:$N$1006,Data!$A$2:$A$1006,$A265,Data!$B$2:$B$1006,$B265)</f>
        <v>202.158319</v>
      </c>
      <c r="J265" s="10" t="n">
        <f aca="false">SUMIFS(Data!$H$2:$H$1006,Data!$A$2:$A$1006,$A265,Data!$B$2:$B$1006,$B265)</f>
        <v>100.884303</v>
      </c>
      <c r="K265" s="11" t="n">
        <f aca="false">IFERROR(F265*1000000/$E265,"")</f>
        <v>117.711949240767</v>
      </c>
      <c r="L265" s="11" t="n">
        <f aca="false">IFERROR(G265*1000000/$E265,"")</f>
        <v>87.5017756997497</v>
      </c>
      <c r="M265" s="11" t="n">
        <f aca="false">IFERROR(H265*1000000/$E265,"")</f>
        <v>79.5720556559665</v>
      </c>
      <c r="N265" s="11" t="n">
        <f aca="false">IFERROR(I265*1000000/$E265,"")</f>
        <v>284.785780596483</v>
      </c>
      <c r="O265" s="11" t="n">
        <f aca="false">IFERROR(J265*1000000/$E265,"")</f>
        <v>142.118390783548</v>
      </c>
      <c r="P265" s="16" t="n">
        <f aca="false">COUNTIFS($A$4:$A$1008,$A265,$N$4:$N$1008,"&gt;"&amp;N265)+1</f>
        <v>3</v>
      </c>
      <c r="Q265" s="16" t="n">
        <f aca="false">COUNTIFS($A$4:$A$1008,$A265,$O$4:$O$1008,"&gt;"&amp;O265)+1</f>
        <v>15</v>
      </c>
    </row>
    <row r="266" customFormat="false" ht="15" hidden="false" customHeight="false" outlineLevel="0" collapsed="false">
      <c r="A266" s="7" t="n">
        <v>2006</v>
      </c>
      <c r="B266" s="15" t="s">
        <v>150</v>
      </c>
      <c r="C266" s="15" t="s">
        <v>135</v>
      </c>
      <c r="D266" s="15" t="s">
        <v>141</v>
      </c>
      <c r="E266" s="9" t="n">
        <f aca="false">SUMIFS(Data!$L$2:$L$1006,Data!$A$2:$A$1006,$A266,Data!$B$2:$B$1006,$B266)</f>
        <v>450819</v>
      </c>
      <c r="F266" s="10" t="n">
        <f aca="false">SUMIFS(Data!$E$2:$E$1006,Data!$A$2:$A$1006,$A266,Data!$B$2:$B$1006,$B266)</f>
        <v>29.909245</v>
      </c>
      <c r="G266" s="10" t="n">
        <f aca="false">SUMIFS(Data!$F$2:$F$1006,Data!$A$2:$A$1006,$A266,Data!$B$2:$B$1006,$B266)</f>
        <v>19.8785</v>
      </c>
      <c r="H266" s="10" t="n">
        <f aca="false">SUMIFS(Data!$G$2:$G$1006,Data!$A$2:$A$1006,$A266,Data!$B$2:$B$1006,$B266)</f>
        <v>45.536294</v>
      </c>
      <c r="I266" s="10" t="n">
        <f aca="false">SUMIFS(Data!$N$2:$N$1006,Data!$A$2:$A$1006,$A266,Data!$B$2:$B$1006,$B266)</f>
        <v>95.324039</v>
      </c>
      <c r="J266" s="10" t="n">
        <f aca="false">SUMIFS(Data!$H$2:$H$1006,Data!$A$2:$A$1006,$A266,Data!$B$2:$B$1006,$B266)</f>
        <v>55.845209</v>
      </c>
      <c r="K266" s="11" t="n">
        <f aca="false">IFERROR(F266*1000000/$E266,"")</f>
        <v>66.3442423677795</v>
      </c>
      <c r="L266" s="11" t="n">
        <f aca="false">IFERROR(G266*1000000/$E266,"")</f>
        <v>44.0941930131605</v>
      </c>
      <c r="M266" s="11" t="n">
        <f aca="false">IFERROR(H266*1000000/$E266,"")</f>
        <v>101.007930011823</v>
      </c>
      <c r="N266" s="11" t="n">
        <f aca="false">IFERROR(I266*1000000/$E266,"")</f>
        <v>211.446365392763</v>
      </c>
      <c r="O266" s="11" t="n">
        <f aca="false">IFERROR(J266*1000000/$E266,"")</f>
        <v>123.875011922745</v>
      </c>
      <c r="P266" s="16" t="n">
        <f aca="false">COUNTIFS($A$4:$A$1008,$A266,$N$4:$N$1008,"&gt;"&amp;N266)+1</f>
        <v>24</v>
      </c>
      <c r="Q266" s="16" t="n">
        <f aca="false">COUNTIFS($A$4:$A$1008,$A266,$O$4:$O$1008,"&gt;"&amp;O266)+1</f>
        <v>18</v>
      </c>
    </row>
    <row r="267" customFormat="false" ht="15" hidden="false" customHeight="false" outlineLevel="0" collapsed="false">
      <c r="A267" s="7" t="n">
        <v>2006</v>
      </c>
      <c r="B267" s="15" t="s">
        <v>151</v>
      </c>
      <c r="C267" s="15" t="s">
        <v>135</v>
      </c>
      <c r="D267" s="15" t="s">
        <v>136</v>
      </c>
      <c r="E267" s="9" t="n">
        <f aca="false">SUMIFS(Data!$L$2:$L$1006,Data!$A$2:$A$1006,$A267,Data!$B$2:$B$1006,$B267)</f>
        <v>1303517</v>
      </c>
      <c r="F267" s="10" t="n">
        <f aca="false">SUMIFS(Data!$E$2:$E$1006,Data!$A$2:$A$1006,$A267,Data!$B$2:$B$1006,$B267)</f>
        <v>99.303543</v>
      </c>
      <c r="G267" s="10" t="n">
        <f aca="false">SUMIFS(Data!$F$2:$F$1006,Data!$A$2:$A$1006,$A267,Data!$B$2:$B$1006,$B267)</f>
        <v>120.611459</v>
      </c>
      <c r="H267" s="10" t="n">
        <f aca="false">SUMIFS(Data!$G$2:$G$1006,Data!$A$2:$A$1006,$A267,Data!$B$2:$B$1006,$B267)</f>
        <v>80.85823</v>
      </c>
      <c r="I267" s="10" t="n">
        <f aca="false">SUMIFS(Data!$N$2:$N$1006,Data!$A$2:$A$1006,$A267,Data!$B$2:$B$1006,$B267)</f>
        <v>300.773232</v>
      </c>
      <c r="J267" s="10" t="n">
        <f aca="false">SUMIFS(Data!$H$2:$H$1006,Data!$A$2:$A$1006,$A267,Data!$B$2:$B$1006,$B267)</f>
        <v>126.329984</v>
      </c>
      <c r="K267" s="11" t="n">
        <f aca="false">IFERROR(F267*1000000/$E267,"")</f>
        <v>76.1812412112769</v>
      </c>
      <c r="L267" s="11" t="n">
        <f aca="false">IFERROR(G267*1000000/$E267,"")</f>
        <v>92.5277223081862</v>
      </c>
      <c r="M267" s="11" t="n">
        <f aca="false">IFERROR(H267*1000000/$E267,"")</f>
        <v>62.0308212320975</v>
      </c>
      <c r="N267" s="11" t="n">
        <f aca="false">IFERROR(I267*1000000/$E267,"")</f>
        <v>230.739784751561</v>
      </c>
      <c r="O267" s="11" t="n">
        <f aca="false">IFERROR(J267*1000000/$E267,"")</f>
        <v>96.9147191789597</v>
      </c>
      <c r="P267" s="16" t="n">
        <f aca="false">COUNTIFS($A$4:$A$1008,$A267,$N$4:$N$1008,"&gt;"&amp;N267)+1</f>
        <v>11</v>
      </c>
      <c r="Q267" s="16" t="n">
        <f aca="false">COUNTIFS($A$4:$A$1008,$A267,$O$4:$O$1008,"&gt;"&amp;O267)+1</f>
        <v>32</v>
      </c>
    </row>
    <row r="268" customFormat="false" ht="15" hidden="false" customHeight="false" outlineLevel="0" collapsed="false">
      <c r="A268" s="7" t="n">
        <v>2006</v>
      </c>
      <c r="B268" s="15" t="s">
        <v>152</v>
      </c>
      <c r="C268" s="15" t="s">
        <v>135</v>
      </c>
      <c r="D268" s="15" t="s">
        <v>148</v>
      </c>
      <c r="E268" s="9" t="n">
        <f aca="false">SUMIFS(Data!$L$2:$L$1006,Data!$A$2:$A$1006,$A268,Data!$B$2:$B$1006,$B268)</f>
        <v>255125</v>
      </c>
      <c r="F268" s="10" t="n">
        <f aca="false">SUMIFS(Data!$E$2:$E$1006,Data!$A$2:$A$1006,$A268,Data!$B$2:$B$1006,$B268)</f>
        <v>19.436068</v>
      </c>
      <c r="G268" s="10" t="n">
        <f aca="false">SUMIFS(Data!$F$2:$F$1006,Data!$A$2:$A$1006,$A268,Data!$B$2:$B$1006,$B268)</f>
        <v>19.914569</v>
      </c>
      <c r="H268" s="10" t="n">
        <f aca="false">SUMIFS(Data!$G$2:$G$1006,Data!$A$2:$A$1006,$A268,Data!$B$2:$B$1006,$B268)</f>
        <v>18.155969</v>
      </c>
      <c r="I268" s="10" t="n">
        <f aca="false">SUMIFS(Data!$N$2:$N$1006,Data!$A$2:$A$1006,$A268,Data!$B$2:$B$1006,$B268)</f>
        <v>57.506606</v>
      </c>
      <c r="J268" s="10" t="n">
        <f aca="false">SUMIFS(Data!$H$2:$H$1006,Data!$A$2:$A$1006,$A268,Data!$B$2:$B$1006,$B268)</f>
        <v>10.5558</v>
      </c>
      <c r="K268" s="11" t="n">
        <f aca="false">IFERROR(F268*1000000/$E268,"")</f>
        <v>76.1825301322881</v>
      </c>
      <c r="L268" s="11" t="n">
        <f aca="false">IFERROR(G268*1000000/$E268,"")</f>
        <v>78.0580852523273</v>
      </c>
      <c r="M268" s="11" t="n">
        <f aca="false">IFERROR(H268*1000000/$E268,"")</f>
        <v>71.1649936305733</v>
      </c>
      <c r="N268" s="11" t="n">
        <f aca="false">IFERROR(I268*1000000/$E268,"")</f>
        <v>225.405609015189</v>
      </c>
      <c r="O268" s="11" t="n">
        <f aca="false">IFERROR(J268*1000000/$E268,"")</f>
        <v>41.3750122488976</v>
      </c>
      <c r="P268" s="16" t="n">
        <f aca="false">COUNTIFS($A$4:$A$1008,$A268,$N$4:$N$1008,"&gt;"&amp;N268)+1</f>
        <v>16</v>
      </c>
      <c r="Q268" s="16" t="n">
        <f aca="false">COUNTIFS($A$4:$A$1008,$A268,$O$4:$O$1008,"&gt;"&amp;O268)+1</f>
        <v>39</v>
      </c>
    </row>
    <row r="269" customFormat="false" ht="15" hidden="false" customHeight="false" outlineLevel="0" collapsed="false">
      <c r="A269" s="7" t="n">
        <v>2006</v>
      </c>
      <c r="B269" s="15" t="s">
        <v>153</v>
      </c>
      <c r="C269" s="15" t="s">
        <v>135</v>
      </c>
      <c r="D269" s="15" t="s">
        <v>136</v>
      </c>
      <c r="E269" s="9" t="n">
        <f aca="false">SUMIFS(Data!$L$2:$L$1006,Data!$A$2:$A$1006,$A269,Data!$B$2:$B$1006,$B269)</f>
        <v>128726</v>
      </c>
      <c r="F269" s="10" t="n">
        <f aca="false">SUMIFS(Data!$E$2:$E$1006,Data!$A$2:$A$1006,$A269,Data!$B$2:$B$1006,$B269)</f>
        <v>12.987222</v>
      </c>
      <c r="G269" s="10" t="n">
        <f aca="false">SUMIFS(Data!$F$2:$F$1006,Data!$A$2:$A$1006,$A269,Data!$B$2:$B$1006,$B269)</f>
        <v>14.784031</v>
      </c>
      <c r="H269" s="10" t="n">
        <f aca="false">SUMIFS(Data!$G$2:$G$1006,Data!$A$2:$A$1006,$A269,Data!$B$2:$B$1006,$B269)</f>
        <v>8.467199</v>
      </c>
      <c r="I269" s="10" t="n">
        <f aca="false">SUMIFS(Data!$N$2:$N$1006,Data!$A$2:$A$1006,$A269,Data!$B$2:$B$1006,$B269)</f>
        <v>36.238452</v>
      </c>
      <c r="J269" s="10" t="n">
        <f aca="false">SUMIFS(Data!$H$2:$H$1006,Data!$A$2:$A$1006,$A269,Data!$B$2:$B$1006,$B269)</f>
        <v>14.459656</v>
      </c>
      <c r="K269" s="11" t="n">
        <f aca="false">IFERROR(F269*1000000/$E269,"")</f>
        <v>100.890433944968</v>
      </c>
      <c r="L269" s="11" t="n">
        <f aca="false">IFERROR(G269*1000000/$E269,"")</f>
        <v>114.848833957398</v>
      </c>
      <c r="M269" s="11" t="n">
        <f aca="false">IFERROR(H269*1000000/$E269,"")</f>
        <v>65.776913754797</v>
      </c>
      <c r="N269" s="11" t="n">
        <f aca="false">IFERROR(I269*1000000/$E269,"")</f>
        <v>281.516181657163</v>
      </c>
      <c r="O269" s="11" t="n">
        <f aca="false">IFERROR(J269*1000000/$E269,"")</f>
        <v>112.328946755123</v>
      </c>
      <c r="P269" s="16" t="n">
        <f aca="false">COUNTIFS($A$4:$A$1008,$A269,$N$4:$N$1008,"&gt;"&amp;N269)+1</f>
        <v>4</v>
      </c>
      <c r="Q269" s="16" t="n">
        <f aca="false">COUNTIFS($A$4:$A$1008,$A269,$O$4:$O$1008,"&gt;"&amp;O269)+1</f>
        <v>24</v>
      </c>
    </row>
    <row r="270" customFormat="false" ht="15" hidden="false" customHeight="false" outlineLevel="0" collapsed="false">
      <c r="A270" s="7" t="n">
        <v>2006</v>
      </c>
      <c r="B270" s="15" t="s">
        <v>154</v>
      </c>
      <c r="C270" s="15" t="s">
        <v>135</v>
      </c>
      <c r="D270" s="15" t="s">
        <v>141</v>
      </c>
      <c r="E270" s="9" t="n">
        <f aca="false">SUMIFS(Data!$L$2:$L$1006,Data!$A$2:$A$1006,$A270,Data!$B$2:$B$1006,$B270)</f>
        <v>145726</v>
      </c>
      <c r="F270" s="10" t="n">
        <f aca="false">SUMIFS(Data!$E$2:$E$1006,Data!$A$2:$A$1006,$A270,Data!$B$2:$B$1006,$B270)</f>
        <v>9.725133</v>
      </c>
      <c r="G270" s="10" t="n">
        <f aca="false">SUMIFS(Data!$F$2:$F$1006,Data!$A$2:$A$1006,$A270,Data!$B$2:$B$1006,$B270)</f>
        <v>6.721403</v>
      </c>
      <c r="H270" s="10" t="n">
        <f aca="false">SUMIFS(Data!$G$2:$G$1006,Data!$A$2:$A$1006,$A270,Data!$B$2:$B$1006,$B270)</f>
        <v>11.78878</v>
      </c>
      <c r="I270" s="10" t="n">
        <f aca="false">SUMIFS(Data!$N$2:$N$1006,Data!$A$2:$A$1006,$A270,Data!$B$2:$B$1006,$B270)</f>
        <v>28.235316</v>
      </c>
      <c r="J270" s="10" t="n">
        <f aca="false">SUMIFS(Data!$H$2:$H$1006,Data!$A$2:$A$1006,$A270,Data!$B$2:$B$1006,$B270)</f>
        <v>35.83854</v>
      </c>
      <c r="K270" s="11" t="n">
        <f aca="false">IFERROR(F270*1000000/$E270,"")</f>
        <v>66.735743793146</v>
      </c>
      <c r="L270" s="11" t="n">
        <f aca="false">IFERROR(G270*1000000/$E270,"")</f>
        <v>46.1235675171212</v>
      </c>
      <c r="M270" s="11" t="n">
        <f aca="false">IFERROR(H270*1000000/$E270,"")</f>
        <v>80.8968886814982</v>
      </c>
      <c r="N270" s="11" t="n">
        <f aca="false">IFERROR(I270*1000000/$E270,"")</f>
        <v>193.756199991765</v>
      </c>
      <c r="O270" s="11" t="n">
        <f aca="false">IFERROR(J270*1000000/$E270,"")</f>
        <v>245.930993782853</v>
      </c>
      <c r="P270" s="16" t="n">
        <f aca="false">COUNTIFS($A$4:$A$1008,$A270,$N$4:$N$1008,"&gt;"&amp;N270)+1</f>
        <v>29</v>
      </c>
      <c r="Q270" s="16" t="n">
        <f aca="false">COUNTIFS($A$4:$A$1008,$A270,$O$4:$O$1008,"&gt;"&amp;O270)+1</f>
        <v>1</v>
      </c>
    </row>
    <row r="271" customFormat="false" ht="15" hidden="false" customHeight="false" outlineLevel="0" collapsed="false">
      <c r="A271" s="7" t="n">
        <v>2006</v>
      </c>
      <c r="B271" s="15" t="s">
        <v>155</v>
      </c>
      <c r="C271" s="15" t="s">
        <v>135</v>
      </c>
      <c r="D271" s="15" t="s">
        <v>148</v>
      </c>
      <c r="E271" s="9" t="n">
        <f aca="false">SUMIFS(Data!$L$2:$L$1006,Data!$A$2:$A$1006,$A271,Data!$B$2:$B$1006,$B271)</f>
        <v>1097510</v>
      </c>
      <c r="F271" s="10" t="n">
        <f aca="false">SUMIFS(Data!$E$2:$E$1006,Data!$A$2:$A$1006,$A271,Data!$B$2:$B$1006,$B271)</f>
        <v>70.100467</v>
      </c>
      <c r="G271" s="10" t="n">
        <f aca="false">SUMIFS(Data!$F$2:$F$1006,Data!$A$2:$A$1006,$A271,Data!$B$2:$B$1006,$B271)</f>
        <v>78.493068</v>
      </c>
      <c r="H271" s="10" t="n">
        <f aca="false">SUMIFS(Data!$G$2:$G$1006,Data!$A$2:$A$1006,$A271,Data!$B$2:$B$1006,$B271)</f>
        <v>86.412181</v>
      </c>
      <c r="I271" s="10" t="n">
        <f aca="false">SUMIFS(Data!$N$2:$N$1006,Data!$A$2:$A$1006,$A271,Data!$B$2:$B$1006,$B271)</f>
        <v>235.005716</v>
      </c>
      <c r="J271" s="10" t="n">
        <f aca="false">SUMIFS(Data!$H$2:$H$1006,Data!$A$2:$A$1006,$A271,Data!$B$2:$B$1006,$B271)</f>
        <v>176.198152</v>
      </c>
      <c r="K271" s="11" t="n">
        <f aca="false">IFERROR(F271*1000000/$E271,"")</f>
        <v>63.8722808903791</v>
      </c>
      <c r="L271" s="11" t="n">
        <f aca="false">IFERROR(G271*1000000/$E271,"")</f>
        <v>71.5192280708149</v>
      </c>
      <c r="M271" s="11" t="n">
        <f aca="false">IFERROR(H271*1000000/$E271,"")</f>
        <v>78.7347550364006</v>
      </c>
      <c r="N271" s="11" t="n">
        <f aca="false">IFERROR(I271*1000000/$E271,"")</f>
        <v>214.126263997595</v>
      </c>
      <c r="O271" s="11" t="n">
        <f aca="false">IFERROR(J271*1000000/$E271,"")</f>
        <v>160.543550400452</v>
      </c>
      <c r="P271" s="16" t="n">
        <f aca="false">COUNTIFS($A$4:$A$1008,$A271,$N$4:$N$1008,"&gt;"&amp;N271)+1</f>
        <v>21</v>
      </c>
      <c r="Q271" s="16" t="n">
        <f aca="false">COUNTIFS($A$4:$A$1008,$A271,$O$4:$O$1008,"&gt;"&amp;O271)+1</f>
        <v>11</v>
      </c>
    </row>
    <row r="272" customFormat="false" ht="15" hidden="false" customHeight="false" outlineLevel="0" collapsed="false">
      <c r="A272" s="7" t="n">
        <v>2006</v>
      </c>
      <c r="B272" s="15" t="s">
        <v>156</v>
      </c>
      <c r="C272" s="15" t="s">
        <v>135</v>
      </c>
      <c r="D272" s="15" t="s">
        <v>148</v>
      </c>
      <c r="E272" s="9" t="n">
        <f aca="false">SUMIFS(Data!$L$2:$L$1006,Data!$A$2:$A$1006,$A272,Data!$B$2:$B$1006,$B272)</f>
        <v>445600</v>
      </c>
      <c r="F272" s="10" t="n">
        <f aca="false">SUMIFS(Data!$E$2:$E$1006,Data!$A$2:$A$1006,$A272,Data!$B$2:$B$1006,$B272)</f>
        <v>26.212058</v>
      </c>
      <c r="G272" s="10" t="n">
        <f aca="false">SUMIFS(Data!$F$2:$F$1006,Data!$A$2:$A$1006,$A272,Data!$B$2:$B$1006,$B272)</f>
        <v>42.144029</v>
      </c>
      <c r="H272" s="10" t="n">
        <f aca="false">SUMIFS(Data!$G$2:$G$1006,Data!$A$2:$A$1006,$A272,Data!$B$2:$B$1006,$B272)</f>
        <v>40.864808</v>
      </c>
      <c r="I272" s="10" t="n">
        <f aca="false">SUMIFS(Data!$N$2:$N$1006,Data!$A$2:$A$1006,$A272,Data!$B$2:$B$1006,$B272)</f>
        <v>109.220895</v>
      </c>
      <c r="J272" s="10" t="n">
        <f aca="false">SUMIFS(Data!$H$2:$H$1006,Data!$A$2:$A$1006,$A272,Data!$B$2:$B$1006,$B272)</f>
        <v>82.297616</v>
      </c>
      <c r="K272" s="11" t="n">
        <f aca="false">IFERROR(F272*1000000/$E272,"")</f>
        <v>58.8241876122083</v>
      </c>
      <c r="L272" s="11" t="n">
        <f aca="false">IFERROR(G272*1000000/$E272,"")</f>
        <v>94.5781620287253</v>
      </c>
      <c r="M272" s="11" t="n">
        <f aca="false">IFERROR(H272*1000000/$E272,"")</f>
        <v>91.7073788150808</v>
      </c>
      <c r="N272" s="11" t="n">
        <f aca="false">IFERROR(I272*1000000/$E272,"")</f>
        <v>245.109728456014</v>
      </c>
      <c r="O272" s="11" t="n">
        <f aca="false">IFERROR(J272*1000000/$E272,"")</f>
        <v>184.689443447038</v>
      </c>
      <c r="P272" s="16" t="n">
        <f aca="false">COUNTIFS($A$4:$A$1008,$A272,$N$4:$N$1008,"&gt;"&amp;N272)+1</f>
        <v>9</v>
      </c>
      <c r="Q272" s="16" t="n">
        <f aca="false">COUNTIFS($A$4:$A$1008,$A272,$O$4:$O$1008,"&gt;"&amp;O272)+1</f>
        <v>5</v>
      </c>
    </row>
    <row r="273" customFormat="false" ht="15" hidden="false" customHeight="false" outlineLevel="0" collapsed="false">
      <c r="A273" s="7" t="n">
        <v>2006</v>
      </c>
      <c r="B273" s="15" t="s">
        <v>157</v>
      </c>
      <c r="C273" s="15" t="s">
        <v>135</v>
      </c>
      <c r="D273" s="15" t="s">
        <v>148</v>
      </c>
      <c r="E273" s="9" t="n">
        <f aca="false">SUMIFS(Data!$L$2:$L$1006,Data!$A$2:$A$1006,$A273,Data!$B$2:$B$1006,$B273)</f>
        <v>425928</v>
      </c>
      <c r="F273" s="10" t="n">
        <f aca="false">SUMIFS(Data!$E$2:$E$1006,Data!$A$2:$A$1006,$A273,Data!$B$2:$B$1006,$B273)</f>
        <v>42.900899</v>
      </c>
      <c r="G273" s="10" t="n">
        <f aca="false">SUMIFS(Data!$F$2:$F$1006,Data!$A$2:$A$1006,$A273,Data!$B$2:$B$1006,$B273)</f>
        <v>38.247662</v>
      </c>
      <c r="H273" s="10" t="n">
        <f aca="false">SUMIFS(Data!$G$2:$G$1006,Data!$A$2:$A$1006,$A273,Data!$B$2:$B$1006,$B273)</f>
        <v>26.065406</v>
      </c>
      <c r="I273" s="10" t="n">
        <f aca="false">SUMIFS(Data!$N$2:$N$1006,Data!$A$2:$A$1006,$A273,Data!$B$2:$B$1006,$B273)</f>
        <v>107.213967</v>
      </c>
      <c r="J273" s="10" t="n">
        <f aca="false">SUMIFS(Data!$H$2:$H$1006,Data!$A$2:$A$1006,$A273,Data!$B$2:$B$1006,$B273)</f>
        <v>48.749129</v>
      </c>
      <c r="K273" s="11" t="n">
        <f aca="false">IFERROR(F273*1000000/$E273,"")</f>
        <v>100.72335934712</v>
      </c>
      <c r="L273" s="11" t="n">
        <f aca="false">IFERROR(G273*1000000/$E273,"")</f>
        <v>89.7984213294266</v>
      </c>
      <c r="M273" s="11" t="n">
        <f aca="false">IFERROR(H273*1000000/$E273,"")</f>
        <v>61.1967421723859</v>
      </c>
      <c r="N273" s="11" t="n">
        <f aca="false">IFERROR(I273*1000000/$E273,"")</f>
        <v>251.718522848932</v>
      </c>
      <c r="O273" s="11" t="n">
        <f aca="false">IFERROR(J273*1000000/$E273,"")</f>
        <v>114.453919441784</v>
      </c>
      <c r="P273" s="16" t="n">
        <f aca="false">COUNTIFS($A$4:$A$1008,$A273,$N$4:$N$1008,"&gt;"&amp;N273)+1</f>
        <v>8</v>
      </c>
      <c r="Q273" s="16" t="n">
        <f aca="false">COUNTIFS($A$4:$A$1008,$A273,$O$4:$O$1008,"&gt;"&amp;O273)+1</f>
        <v>21</v>
      </c>
    </row>
    <row r="274" customFormat="false" ht="15" hidden="false" customHeight="false" outlineLevel="0" collapsed="false">
      <c r="A274" s="7" t="n">
        <v>2007</v>
      </c>
      <c r="B274" s="15" t="s">
        <v>101</v>
      </c>
      <c r="C274" s="15" t="s">
        <v>102</v>
      </c>
      <c r="D274" s="15" t="s">
        <v>103</v>
      </c>
      <c r="E274" s="9" t="n">
        <f aca="false">SUMIFS(Data!$L$2:$L$1006,Data!$A$2:$A$1006,$A274,Data!$B$2:$B$1006,$B274)</f>
        <v>758319</v>
      </c>
      <c r="F274" s="10" t="n">
        <f aca="false">SUMIFS(Data!$E$2:$E$1006,Data!$A$2:$A$1006,$A274,Data!$B$2:$B$1006,$B274)</f>
        <v>52.79573</v>
      </c>
      <c r="G274" s="10" t="n">
        <f aca="false">SUMIFS(Data!$F$2:$F$1006,Data!$A$2:$A$1006,$A274,Data!$B$2:$B$1006,$B274)</f>
        <v>35.715981</v>
      </c>
      <c r="H274" s="10" t="n">
        <f aca="false">SUMIFS(Data!$G$2:$G$1006,Data!$A$2:$A$1006,$A274,Data!$B$2:$B$1006,$B274)</f>
        <v>51.127455</v>
      </c>
      <c r="I274" s="10" t="n">
        <f aca="false">SUMIFS(Data!$N$2:$N$1006,Data!$A$2:$A$1006,$A274,Data!$B$2:$B$1006,$B274)</f>
        <v>139.639166</v>
      </c>
      <c r="J274" s="10" t="n">
        <f aca="false">SUMIFS(Data!$H$2:$H$1006,Data!$A$2:$A$1006,$A274,Data!$B$2:$B$1006,$B274)</f>
        <v>110.733087</v>
      </c>
      <c r="K274" s="11" t="n">
        <f aca="false">IFERROR(F274*1000000/$E274,"")</f>
        <v>69.6220587905618</v>
      </c>
      <c r="L274" s="11" t="n">
        <f aca="false">IFERROR(G274*1000000/$E274,"")</f>
        <v>47.098887143801</v>
      </c>
      <c r="M274" s="11" t="n">
        <f aca="false">IFERROR(H274*1000000/$E274,"")</f>
        <v>67.4220941318891</v>
      </c>
      <c r="N274" s="11" t="n">
        <f aca="false">IFERROR(I274*1000000/$E274,"")</f>
        <v>184.143040066252</v>
      </c>
      <c r="O274" s="11" t="n">
        <f aca="false">IFERROR(J274*1000000/$E274,"")</f>
        <v>146.024413208689</v>
      </c>
      <c r="P274" s="16" t="n">
        <f aca="false">COUNTIFS($A$4:$A$1008,$A274,$N$4:$N$1008,"&gt;"&amp;N274)+1</f>
        <v>35</v>
      </c>
      <c r="Q274" s="16" t="n">
        <f aca="false">COUNTIFS($A$4:$A$1008,$A274,$O$4:$O$1008,"&gt;"&amp;O274)+1</f>
        <v>15</v>
      </c>
    </row>
    <row r="275" customFormat="false" ht="15" hidden="false" customHeight="false" outlineLevel="0" collapsed="false">
      <c r="A275" s="7" t="n">
        <v>2007</v>
      </c>
      <c r="B275" s="15" t="s">
        <v>104</v>
      </c>
      <c r="C275" s="15" t="s">
        <v>102</v>
      </c>
      <c r="D275" s="15" t="s">
        <v>105</v>
      </c>
      <c r="E275" s="9" t="n">
        <f aca="false">SUMIFS(Data!$L$2:$L$1006,Data!$A$2:$A$1006,$A275,Data!$B$2:$B$1006,$B275)</f>
        <v>1085244</v>
      </c>
      <c r="F275" s="10" t="n">
        <f aca="false">SUMIFS(Data!$E$2:$E$1006,Data!$A$2:$A$1006,$A275,Data!$B$2:$B$1006,$B275)</f>
        <v>115.500526</v>
      </c>
      <c r="G275" s="10" t="n">
        <f aca="false">SUMIFS(Data!$F$2:$F$1006,Data!$A$2:$A$1006,$A275,Data!$B$2:$B$1006,$B275)</f>
        <v>122.440101</v>
      </c>
      <c r="H275" s="10" t="n">
        <f aca="false">SUMIFS(Data!$G$2:$G$1006,Data!$A$2:$A$1006,$A275,Data!$B$2:$B$1006,$B275)</f>
        <v>57.477109</v>
      </c>
      <c r="I275" s="10" t="n">
        <f aca="false">SUMIFS(Data!$N$2:$N$1006,Data!$A$2:$A$1006,$A275,Data!$B$2:$B$1006,$B275)</f>
        <v>295.417736</v>
      </c>
      <c r="J275" s="10" t="n">
        <f aca="false">SUMIFS(Data!$H$2:$H$1006,Data!$A$2:$A$1006,$A275,Data!$B$2:$B$1006,$B275)</f>
        <v>117.041355</v>
      </c>
      <c r="K275" s="11" t="n">
        <f aca="false">IFERROR(F275*1000000/$E275,"")</f>
        <v>106.428163620347</v>
      </c>
      <c r="L275" s="11" t="n">
        <f aca="false">IFERROR(G275*1000000/$E275,"")</f>
        <v>112.822647257207</v>
      </c>
      <c r="M275" s="11" t="n">
        <f aca="false">IFERROR(H275*1000000/$E275,"")</f>
        <v>52.9623835745694</v>
      </c>
      <c r="N275" s="11" t="n">
        <f aca="false">IFERROR(I275*1000000/$E275,"")</f>
        <v>272.213194452123</v>
      </c>
      <c r="O275" s="11" t="n">
        <f aca="false">IFERROR(J275*1000000/$E275,"")</f>
        <v>107.847963223017</v>
      </c>
      <c r="P275" s="16" t="n">
        <f aca="false">COUNTIFS($A$4:$A$1008,$A275,$N$4:$N$1008,"&gt;"&amp;N275)+1</f>
        <v>7</v>
      </c>
      <c r="Q275" s="16" t="n">
        <f aca="false">COUNTIFS($A$4:$A$1008,$A275,$O$4:$O$1008,"&gt;"&amp;O275)+1</f>
        <v>28</v>
      </c>
    </row>
    <row r="276" customFormat="false" ht="15" hidden="false" customHeight="false" outlineLevel="0" collapsed="false">
      <c r="A276" s="7" t="n">
        <v>2007</v>
      </c>
      <c r="B276" s="15" t="s">
        <v>106</v>
      </c>
      <c r="C276" s="15" t="s">
        <v>102</v>
      </c>
      <c r="D276" s="15" t="s">
        <v>107</v>
      </c>
      <c r="E276" s="9" t="n">
        <f aca="false">SUMIFS(Data!$L$2:$L$1006,Data!$A$2:$A$1006,$A276,Data!$B$2:$B$1006,$B276)</f>
        <v>543811</v>
      </c>
      <c r="F276" s="10" t="n">
        <f aca="false">SUMIFS(Data!$E$2:$E$1006,Data!$A$2:$A$1006,$A276,Data!$B$2:$B$1006,$B276)</f>
        <v>50.335894</v>
      </c>
      <c r="G276" s="10" t="n">
        <f aca="false">SUMIFS(Data!$F$2:$F$1006,Data!$A$2:$A$1006,$A276,Data!$B$2:$B$1006,$B276)</f>
        <v>40.951743</v>
      </c>
      <c r="H276" s="10" t="n">
        <f aca="false">SUMIFS(Data!$G$2:$G$1006,Data!$A$2:$A$1006,$A276,Data!$B$2:$B$1006,$B276)</f>
        <v>28.034456</v>
      </c>
      <c r="I276" s="10" t="n">
        <f aca="false">SUMIFS(Data!$N$2:$N$1006,Data!$A$2:$A$1006,$A276,Data!$B$2:$B$1006,$B276)</f>
        <v>119.322093</v>
      </c>
      <c r="J276" s="10" t="n">
        <f aca="false">SUMIFS(Data!$H$2:$H$1006,Data!$A$2:$A$1006,$A276,Data!$B$2:$B$1006,$B276)</f>
        <v>78.743978</v>
      </c>
      <c r="K276" s="11" t="n">
        <f aca="false">IFERROR(F276*1000000/$E276,"")</f>
        <v>92.5613751836576</v>
      </c>
      <c r="L276" s="11" t="n">
        <f aca="false">IFERROR(G276*1000000/$E276,"")</f>
        <v>75.3051023241531</v>
      </c>
      <c r="M276" s="11" t="n">
        <f aca="false">IFERROR(H276*1000000/$E276,"")</f>
        <v>51.5518369433498</v>
      </c>
      <c r="N276" s="11" t="n">
        <f aca="false">IFERROR(I276*1000000/$E276,"")</f>
        <v>219.41831445116</v>
      </c>
      <c r="O276" s="11" t="n">
        <f aca="false">IFERROR(J276*1000000/$E276,"")</f>
        <v>144.800267004529</v>
      </c>
      <c r="P276" s="16" t="n">
        <f aca="false">COUNTIFS($A$4:$A$1008,$A276,$N$4:$N$1008,"&gt;"&amp;N276)+1</f>
        <v>25</v>
      </c>
      <c r="Q276" s="16" t="n">
        <f aca="false">COUNTIFS($A$4:$A$1008,$A276,$O$4:$O$1008,"&gt;"&amp;O276)+1</f>
        <v>16</v>
      </c>
    </row>
    <row r="277" customFormat="false" ht="15" hidden="false" customHeight="false" outlineLevel="0" collapsed="false">
      <c r="A277" s="7" t="n">
        <v>2007</v>
      </c>
      <c r="B277" s="15" t="s">
        <v>108</v>
      </c>
      <c r="C277" s="15" t="s">
        <v>102</v>
      </c>
      <c r="D277" s="15" t="s">
        <v>109</v>
      </c>
      <c r="E277" s="9" t="n">
        <f aca="false">SUMIFS(Data!$L$2:$L$1006,Data!$A$2:$A$1006,$A277,Data!$B$2:$B$1006,$B277)</f>
        <v>378558</v>
      </c>
      <c r="F277" s="10" t="n">
        <f aca="false">SUMIFS(Data!$E$2:$E$1006,Data!$A$2:$A$1006,$A277,Data!$B$2:$B$1006,$B277)</f>
        <v>32.082473</v>
      </c>
      <c r="G277" s="10" t="n">
        <f aca="false">SUMIFS(Data!$F$2:$F$1006,Data!$A$2:$A$1006,$A277,Data!$B$2:$B$1006,$B277)</f>
        <v>12.089468</v>
      </c>
      <c r="H277" s="10" t="n">
        <f aca="false">SUMIFS(Data!$G$2:$G$1006,Data!$A$2:$A$1006,$A277,Data!$B$2:$B$1006,$B277)</f>
        <v>24.715442</v>
      </c>
      <c r="I277" s="10" t="n">
        <f aca="false">SUMIFS(Data!$N$2:$N$1006,Data!$A$2:$A$1006,$A277,Data!$B$2:$B$1006,$B277)</f>
        <v>68.887383</v>
      </c>
      <c r="J277" s="10" t="n">
        <f aca="false">SUMIFS(Data!$H$2:$H$1006,Data!$A$2:$A$1006,$A277,Data!$B$2:$B$1006,$B277)</f>
        <v>43.147362</v>
      </c>
      <c r="K277" s="11" t="n">
        <f aca="false">IFERROR(F277*1000000/$E277,"")</f>
        <v>84.7491612910043</v>
      </c>
      <c r="L277" s="11" t="n">
        <f aca="false">IFERROR(G277*1000000/$E277,"")</f>
        <v>31.9355765827165</v>
      </c>
      <c r="M277" s="11" t="n">
        <f aca="false">IFERROR(H277*1000000/$E277,"")</f>
        <v>65.2883890975755</v>
      </c>
      <c r="N277" s="11" t="n">
        <f aca="false">IFERROR(I277*1000000/$E277,"")</f>
        <v>181.973126971296</v>
      </c>
      <c r="O277" s="11" t="n">
        <f aca="false">IFERROR(J277*1000000/$E277,"")</f>
        <v>113.978206774127</v>
      </c>
      <c r="P277" s="16" t="n">
        <f aca="false">COUNTIFS($A$4:$A$1008,$A277,$N$4:$N$1008,"&gt;"&amp;N277)+1</f>
        <v>36</v>
      </c>
      <c r="Q277" s="16" t="n">
        <f aca="false">COUNTIFS($A$4:$A$1008,$A277,$O$4:$O$1008,"&gt;"&amp;O277)+1</f>
        <v>25</v>
      </c>
    </row>
    <row r="278" customFormat="false" ht="15" hidden="false" customHeight="false" outlineLevel="0" collapsed="false">
      <c r="A278" s="7" t="n">
        <v>2007</v>
      </c>
      <c r="B278" s="15" t="s">
        <v>110</v>
      </c>
      <c r="C278" s="15" t="s">
        <v>102</v>
      </c>
      <c r="D278" s="15" t="s">
        <v>103</v>
      </c>
      <c r="E278" s="9" t="n">
        <f aca="false">SUMIFS(Data!$L$2:$L$1006,Data!$A$2:$A$1006,$A278,Data!$B$2:$B$1006,$B278)</f>
        <v>1040662</v>
      </c>
      <c r="F278" s="10" t="n">
        <f aca="false">SUMIFS(Data!$E$2:$E$1006,Data!$A$2:$A$1006,$A278,Data!$B$2:$B$1006,$B278)</f>
        <v>79.267378</v>
      </c>
      <c r="G278" s="10" t="n">
        <f aca="false">SUMIFS(Data!$F$2:$F$1006,Data!$A$2:$A$1006,$A278,Data!$B$2:$B$1006,$B278)</f>
        <v>53.294791</v>
      </c>
      <c r="H278" s="10" t="n">
        <f aca="false">SUMIFS(Data!$G$2:$G$1006,Data!$A$2:$A$1006,$A278,Data!$B$2:$B$1006,$B278)</f>
        <v>49.126002</v>
      </c>
      <c r="I278" s="10" t="n">
        <f aca="false">SUMIFS(Data!$N$2:$N$1006,Data!$A$2:$A$1006,$A278,Data!$B$2:$B$1006,$B278)</f>
        <v>181.688171</v>
      </c>
      <c r="J278" s="10" t="n">
        <f aca="false">SUMIFS(Data!$H$2:$H$1006,Data!$A$2:$A$1006,$A278,Data!$B$2:$B$1006,$B278)</f>
        <v>81.799272</v>
      </c>
      <c r="K278" s="11" t="n">
        <f aca="false">IFERROR(F278*1000000/$E278,"")</f>
        <v>76.1701474638259</v>
      </c>
      <c r="L278" s="11" t="n">
        <f aca="false">IFERROR(G278*1000000/$E278,"")</f>
        <v>51.2123926885002</v>
      </c>
      <c r="M278" s="11" t="n">
        <f aca="false">IFERROR(H278*1000000/$E278,"")</f>
        <v>47.2064916370541</v>
      </c>
      <c r="N278" s="11" t="n">
        <f aca="false">IFERROR(I278*1000000/$E278,"")</f>
        <v>174.58903178938</v>
      </c>
      <c r="O278" s="11" t="n">
        <f aca="false">IFERROR(J278*1000000/$E278,"")</f>
        <v>78.6031122497026</v>
      </c>
      <c r="P278" s="16" t="n">
        <f aca="false">COUNTIFS($A$4:$A$1008,$A278,$N$4:$N$1008,"&gt;"&amp;N278)+1</f>
        <v>38</v>
      </c>
      <c r="Q278" s="16" t="n">
        <f aca="false">COUNTIFS($A$4:$A$1008,$A278,$O$4:$O$1008,"&gt;"&amp;O278)+1</f>
        <v>38</v>
      </c>
    </row>
    <row r="279" customFormat="false" ht="15" hidden="false" customHeight="false" outlineLevel="0" collapsed="false">
      <c r="A279" s="7" t="n">
        <v>2007</v>
      </c>
      <c r="B279" s="15" t="s">
        <v>111</v>
      </c>
      <c r="C279" s="15" t="s">
        <v>102</v>
      </c>
      <c r="D279" s="15" t="s">
        <v>107</v>
      </c>
      <c r="E279" s="9" t="n">
        <f aca="false">SUMIFS(Data!$L$2:$L$1006,Data!$A$2:$A$1006,$A279,Data!$B$2:$B$1006,$B279)</f>
        <v>588871</v>
      </c>
      <c r="F279" s="10" t="n">
        <f aca="false">SUMIFS(Data!$E$2:$E$1006,Data!$A$2:$A$1006,$A279,Data!$B$2:$B$1006,$B279)</f>
        <v>56.238848</v>
      </c>
      <c r="G279" s="10" t="n">
        <f aca="false">SUMIFS(Data!$F$2:$F$1006,Data!$A$2:$A$1006,$A279,Data!$B$2:$B$1006,$B279)</f>
        <v>44.636909</v>
      </c>
      <c r="H279" s="10" t="n">
        <f aca="false">SUMIFS(Data!$G$2:$G$1006,Data!$A$2:$A$1006,$A279,Data!$B$2:$B$1006,$B279)</f>
        <v>37.507732</v>
      </c>
      <c r="I279" s="10" t="n">
        <f aca="false">SUMIFS(Data!$N$2:$N$1006,Data!$A$2:$A$1006,$A279,Data!$B$2:$B$1006,$B279)</f>
        <v>138.383489</v>
      </c>
      <c r="J279" s="10" t="n">
        <f aca="false">SUMIFS(Data!$H$2:$H$1006,Data!$A$2:$A$1006,$A279,Data!$B$2:$B$1006,$B279)</f>
        <v>66.634233</v>
      </c>
      <c r="K279" s="11" t="n">
        <f aca="false">IFERROR(F279*1000000/$E279,"")</f>
        <v>95.5028316897928</v>
      </c>
      <c r="L279" s="11" t="n">
        <f aca="false">IFERROR(G279*1000000/$E279,"")</f>
        <v>75.8008273458873</v>
      </c>
      <c r="M279" s="11" t="n">
        <f aca="false">IFERROR(H279*1000000/$E279,"")</f>
        <v>63.6943099592271</v>
      </c>
      <c r="N279" s="11" t="n">
        <f aca="false">IFERROR(I279*1000000/$E279,"")</f>
        <v>234.997968994907</v>
      </c>
      <c r="O279" s="11" t="n">
        <f aca="false">IFERROR(J279*1000000/$E279,"")</f>
        <v>113.155908509674</v>
      </c>
      <c r="P279" s="16" t="n">
        <f aca="false">COUNTIFS($A$4:$A$1008,$A279,$N$4:$N$1008,"&gt;"&amp;N279)+1</f>
        <v>16</v>
      </c>
      <c r="Q279" s="16" t="n">
        <f aca="false">COUNTIFS($A$4:$A$1008,$A279,$O$4:$O$1008,"&gt;"&amp;O279)+1</f>
        <v>26</v>
      </c>
    </row>
    <row r="280" customFormat="false" ht="15" hidden="false" customHeight="false" outlineLevel="0" collapsed="false">
      <c r="A280" s="7" t="n">
        <v>2007</v>
      </c>
      <c r="B280" s="15" t="s">
        <v>112</v>
      </c>
      <c r="C280" s="15" t="s">
        <v>102</v>
      </c>
      <c r="D280" s="15" t="s">
        <v>107</v>
      </c>
      <c r="E280" s="9" t="n">
        <f aca="false">SUMIFS(Data!$L$2:$L$1006,Data!$A$2:$A$1006,$A280,Data!$B$2:$B$1006,$B280)</f>
        <v>158987</v>
      </c>
      <c r="F280" s="10" t="n">
        <f aca="false">SUMIFS(Data!$E$2:$E$1006,Data!$A$2:$A$1006,$A280,Data!$B$2:$B$1006,$B280)</f>
        <v>14.401114</v>
      </c>
      <c r="G280" s="10" t="n">
        <f aca="false">SUMIFS(Data!$F$2:$F$1006,Data!$A$2:$A$1006,$A280,Data!$B$2:$B$1006,$B280)</f>
        <v>9.510333</v>
      </c>
      <c r="H280" s="10" t="n">
        <f aca="false">SUMIFS(Data!$G$2:$G$1006,Data!$A$2:$A$1006,$A280,Data!$B$2:$B$1006,$B280)</f>
        <v>6.947685</v>
      </c>
      <c r="I280" s="10" t="n">
        <f aca="false">SUMIFS(Data!$N$2:$N$1006,Data!$A$2:$A$1006,$A280,Data!$B$2:$B$1006,$B280)</f>
        <v>30.859132</v>
      </c>
      <c r="J280" s="10" t="n">
        <f aca="false">SUMIFS(Data!$H$2:$H$1006,Data!$A$2:$A$1006,$A280,Data!$B$2:$B$1006,$B280)</f>
        <v>20.31776</v>
      </c>
      <c r="K280" s="11" t="n">
        <f aca="false">IFERROR(F280*1000000/$E280,"")</f>
        <v>90.5804499738972</v>
      </c>
      <c r="L280" s="11" t="n">
        <f aca="false">IFERROR(G280*1000000/$E280,"")</f>
        <v>59.8183058992245</v>
      </c>
      <c r="M280" s="11" t="n">
        <f aca="false">IFERROR(H280*1000000/$E280,"")</f>
        <v>43.6997050073276</v>
      </c>
      <c r="N280" s="11" t="n">
        <f aca="false">IFERROR(I280*1000000/$E280,"")</f>
        <v>194.098460880449</v>
      </c>
      <c r="O280" s="11" t="n">
        <f aca="false">IFERROR(J280*1000000/$E280,"")</f>
        <v>127.79510274425</v>
      </c>
      <c r="P280" s="16" t="n">
        <f aca="false">COUNTIFS($A$4:$A$1008,$A280,$N$4:$N$1008,"&gt;"&amp;N280)+1</f>
        <v>33</v>
      </c>
      <c r="Q280" s="16" t="n">
        <f aca="false">COUNTIFS($A$4:$A$1008,$A280,$O$4:$O$1008,"&gt;"&amp;O280)+1</f>
        <v>23</v>
      </c>
    </row>
    <row r="281" customFormat="false" ht="15" hidden="false" customHeight="false" outlineLevel="0" collapsed="false">
      <c r="A281" s="7" t="n">
        <v>2007</v>
      </c>
      <c r="B281" s="15" t="s">
        <v>113</v>
      </c>
      <c r="C281" s="15" t="s">
        <v>102</v>
      </c>
      <c r="D281" s="15" t="s">
        <v>114</v>
      </c>
      <c r="E281" s="9" t="n">
        <f aca="false">SUMIFS(Data!$L$2:$L$1006,Data!$A$2:$A$1006,$A281,Data!$B$2:$B$1006,$B281)</f>
        <v>475026</v>
      </c>
      <c r="F281" s="10" t="n">
        <f aca="false">SUMIFS(Data!$E$2:$E$1006,Data!$A$2:$A$1006,$A281,Data!$B$2:$B$1006,$B281)</f>
        <v>35.974596</v>
      </c>
      <c r="G281" s="10" t="n">
        <f aca="false">SUMIFS(Data!$F$2:$F$1006,Data!$A$2:$A$1006,$A281,Data!$B$2:$B$1006,$B281)</f>
        <v>13.271674</v>
      </c>
      <c r="H281" s="10" t="n">
        <f aca="false">SUMIFS(Data!$G$2:$G$1006,Data!$A$2:$A$1006,$A281,Data!$B$2:$B$1006,$B281)</f>
        <v>36.839057</v>
      </c>
      <c r="I281" s="10" t="n">
        <f aca="false">SUMIFS(Data!$N$2:$N$1006,Data!$A$2:$A$1006,$A281,Data!$B$2:$B$1006,$B281)</f>
        <v>86.085327</v>
      </c>
      <c r="J281" s="10" t="n">
        <f aca="false">SUMIFS(Data!$H$2:$H$1006,Data!$A$2:$A$1006,$A281,Data!$B$2:$B$1006,$B281)</f>
        <v>71.666761</v>
      </c>
      <c r="K281" s="11" t="n">
        <f aca="false">IFERROR(F281*1000000/$E281,"")</f>
        <v>75.7318462568365</v>
      </c>
      <c r="L281" s="11" t="n">
        <f aca="false">IFERROR(G281*1000000/$E281,"")</f>
        <v>27.9388370320782</v>
      </c>
      <c r="M281" s="11" t="n">
        <f aca="false">IFERROR(H281*1000000/$E281,"")</f>
        <v>77.5516645404673</v>
      </c>
      <c r="N281" s="11" t="n">
        <f aca="false">IFERROR(I281*1000000/$E281,"")</f>
        <v>181.222347829382</v>
      </c>
      <c r="O281" s="11" t="n">
        <f aca="false">IFERROR(J281*1000000/$E281,"")</f>
        <v>150.86913347901</v>
      </c>
      <c r="P281" s="16" t="n">
        <f aca="false">COUNTIFS($A$4:$A$1008,$A281,$N$4:$N$1008,"&gt;"&amp;N281)+1</f>
        <v>37</v>
      </c>
      <c r="Q281" s="16" t="n">
        <f aca="false">COUNTIFS($A$4:$A$1008,$A281,$O$4:$O$1008,"&gt;"&amp;O281)+1</f>
        <v>12</v>
      </c>
    </row>
    <row r="282" customFormat="false" ht="15" hidden="false" customHeight="false" outlineLevel="0" collapsed="false">
      <c r="A282" s="7" t="n">
        <v>2007</v>
      </c>
      <c r="B282" s="15" t="s">
        <v>115</v>
      </c>
      <c r="C282" s="15" t="s">
        <v>102</v>
      </c>
      <c r="D282" s="15" t="s">
        <v>103</v>
      </c>
      <c r="E282" s="9" t="n">
        <f aca="false">SUMIFS(Data!$L$2:$L$1006,Data!$A$2:$A$1006,$A282,Data!$B$2:$B$1006,$B282)</f>
        <v>313413</v>
      </c>
      <c r="F282" s="10" t="n">
        <f aca="false">SUMIFS(Data!$E$2:$E$1006,Data!$A$2:$A$1006,$A282,Data!$B$2:$B$1006,$B282)</f>
        <v>25.560149</v>
      </c>
      <c r="G282" s="10" t="n">
        <f aca="false">SUMIFS(Data!$F$2:$F$1006,Data!$A$2:$A$1006,$A282,Data!$B$2:$B$1006,$B282)</f>
        <v>18.675624</v>
      </c>
      <c r="H282" s="10" t="n">
        <f aca="false">SUMIFS(Data!$G$2:$G$1006,Data!$A$2:$A$1006,$A282,Data!$B$2:$B$1006,$B282)</f>
        <v>23.75527</v>
      </c>
      <c r="I282" s="10" t="n">
        <f aca="false">SUMIFS(Data!$N$2:$N$1006,Data!$A$2:$A$1006,$A282,Data!$B$2:$B$1006,$B282)</f>
        <v>67.991043</v>
      </c>
      <c r="J282" s="10" t="n">
        <f aca="false">SUMIFS(Data!$H$2:$H$1006,Data!$A$2:$A$1006,$A282,Data!$B$2:$B$1006,$B282)</f>
        <v>31.397687</v>
      </c>
      <c r="K282" s="11" t="n">
        <f aca="false">IFERROR(F282*1000000/$E282,"")</f>
        <v>81.5542080258317</v>
      </c>
      <c r="L282" s="11" t="n">
        <f aca="false">IFERROR(G282*1000000/$E282,"")</f>
        <v>59.5879047774023</v>
      </c>
      <c r="M282" s="11" t="n">
        <f aca="false">IFERROR(H282*1000000/$E282,"")</f>
        <v>75.795420100634</v>
      </c>
      <c r="N282" s="11" t="n">
        <f aca="false">IFERROR(I282*1000000/$E282,"")</f>
        <v>216.937532903868</v>
      </c>
      <c r="O282" s="11" t="n">
        <f aca="false">IFERROR(J282*1000000/$E282,"")</f>
        <v>100.17991276686</v>
      </c>
      <c r="P282" s="16" t="n">
        <f aca="false">COUNTIFS($A$4:$A$1008,$A282,$N$4:$N$1008,"&gt;"&amp;N282)+1</f>
        <v>27</v>
      </c>
      <c r="Q282" s="16" t="n">
        <f aca="false">COUNTIFS($A$4:$A$1008,$A282,$O$4:$O$1008,"&gt;"&amp;O282)+1</f>
        <v>34</v>
      </c>
    </row>
    <row r="283" customFormat="false" ht="15" hidden="false" customHeight="false" outlineLevel="0" collapsed="false">
      <c r="A283" s="7" t="n">
        <v>2007</v>
      </c>
      <c r="B283" s="15" t="s">
        <v>116</v>
      </c>
      <c r="C283" s="15" t="s">
        <v>102</v>
      </c>
      <c r="D283" s="15" t="s">
        <v>107</v>
      </c>
      <c r="E283" s="9" t="n">
        <f aca="false">SUMIFS(Data!$L$2:$L$1006,Data!$A$2:$A$1006,$A283,Data!$B$2:$B$1006,$B283)</f>
        <v>711050</v>
      </c>
      <c r="F283" s="10" t="n">
        <f aca="false">SUMIFS(Data!$E$2:$E$1006,Data!$A$2:$A$1006,$A283,Data!$B$2:$B$1006,$B283)</f>
        <v>44.631001</v>
      </c>
      <c r="G283" s="10" t="n">
        <f aca="false">SUMIFS(Data!$F$2:$F$1006,Data!$A$2:$A$1006,$A283,Data!$B$2:$B$1006,$B283)</f>
        <v>28.879055</v>
      </c>
      <c r="H283" s="10" t="n">
        <f aca="false">SUMIFS(Data!$G$2:$G$1006,Data!$A$2:$A$1006,$A283,Data!$B$2:$B$1006,$B283)</f>
        <v>35.572374</v>
      </c>
      <c r="I283" s="10" t="n">
        <f aca="false">SUMIFS(Data!$N$2:$N$1006,Data!$A$2:$A$1006,$A283,Data!$B$2:$B$1006,$B283)</f>
        <v>109.08243</v>
      </c>
      <c r="J283" s="10" t="n">
        <f aca="false">SUMIFS(Data!$H$2:$H$1006,Data!$A$2:$A$1006,$A283,Data!$B$2:$B$1006,$B283)</f>
        <v>63.012918</v>
      </c>
      <c r="K283" s="11" t="n">
        <f aca="false">IFERROR(F283*1000000/$E283,"")</f>
        <v>62.7677392588426</v>
      </c>
      <c r="L283" s="11" t="n">
        <f aca="false">IFERROR(G283*1000000/$E283,"")</f>
        <v>40.6146614162155</v>
      </c>
      <c r="M283" s="11" t="n">
        <f aca="false">IFERROR(H283*1000000/$E283,"")</f>
        <v>50.0279502144716</v>
      </c>
      <c r="N283" s="11" t="n">
        <f aca="false">IFERROR(I283*1000000/$E283,"")</f>
        <v>153.41035088953</v>
      </c>
      <c r="O283" s="11" t="n">
        <f aca="false">IFERROR(J283*1000000/$E283,"")</f>
        <v>88.6195316785036</v>
      </c>
      <c r="P283" s="16" t="n">
        <f aca="false">COUNTIFS($A$4:$A$1008,$A283,$N$4:$N$1008,"&gt;"&amp;N283)+1</f>
        <v>39</v>
      </c>
      <c r="Q283" s="16" t="n">
        <f aca="false">COUNTIFS($A$4:$A$1008,$A283,$O$4:$O$1008,"&gt;"&amp;O283)+1</f>
        <v>36</v>
      </c>
    </row>
    <row r="284" customFormat="false" ht="15" hidden="false" customHeight="false" outlineLevel="0" collapsed="false">
      <c r="A284" s="7" t="n">
        <v>2007</v>
      </c>
      <c r="B284" s="15" t="s">
        <v>117</v>
      </c>
      <c r="C284" s="15" t="s">
        <v>118</v>
      </c>
      <c r="D284" s="15" t="s">
        <v>103</v>
      </c>
      <c r="E284" s="9" t="n">
        <f aca="false">SUMIFS(Data!$L$2:$L$1006,Data!$A$2:$A$1006,$A284,Data!$B$2:$B$1006,$B284)</f>
        <v>1456539</v>
      </c>
      <c r="F284" s="10" t="n">
        <f aca="false">SUMIFS(Data!$E$2:$E$1006,Data!$A$2:$A$1006,$A284,Data!$B$2:$B$1006,$B284)</f>
        <v>128.857366</v>
      </c>
      <c r="G284" s="10" t="n">
        <f aca="false">SUMIFS(Data!$F$2:$F$1006,Data!$A$2:$A$1006,$A284,Data!$B$2:$B$1006,$B284)</f>
        <v>94.402228</v>
      </c>
      <c r="H284" s="10" t="n">
        <f aca="false">SUMIFS(Data!$G$2:$G$1006,Data!$A$2:$A$1006,$A284,Data!$B$2:$B$1006,$B284)</f>
        <v>108.221271</v>
      </c>
      <c r="I284" s="10" t="n">
        <f aca="false">SUMIFS(Data!$N$2:$N$1006,Data!$A$2:$A$1006,$A284,Data!$B$2:$B$1006,$B284)</f>
        <v>331.480865</v>
      </c>
      <c r="J284" s="10" t="n">
        <f aca="false">SUMIFS(Data!$H$2:$H$1006,Data!$A$2:$A$1006,$A284,Data!$B$2:$B$1006,$B284)</f>
        <v>198.161195</v>
      </c>
      <c r="K284" s="11" t="n">
        <f aca="false">IFERROR(F284*1000000/$E284,"")</f>
        <v>88.4681879441608</v>
      </c>
      <c r="L284" s="11" t="n">
        <f aca="false">IFERROR(G284*1000000/$E284,"")</f>
        <v>64.8127018912642</v>
      </c>
      <c r="M284" s="11" t="n">
        <f aca="false">IFERROR(H284*1000000/$E284,"")</f>
        <v>74.3002906204365</v>
      </c>
      <c r="N284" s="11" t="n">
        <f aca="false">IFERROR(I284*1000000/$E284,"")</f>
        <v>227.581180455861</v>
      </c>
      <c r="O284" s="11" t="n">
        <f aca="false">IFERROR(J284*1000000/$E284,"")</f>
        <v>136.049357415078</v>
      </c>
      <c r="P284" s="16" t="n">
        <f aca="false">COUNTIFS($A$4:$A$1008,$A284,$N$4:$N$1008,"&gt;"&amp;N284)+1</f>
        <v>19</v>
      </c>
      <c r="Q284" s="16" t="n">
        <f aca="false">COUNTIFS($A$4:$A$1008,$A284,$O$4:$O$1008,"&gt;"&amp;O284)+1</f>
        <v>20</v>
      </c>
    </row>
    <row r="285" customFormat="false" ht="15" hidden="false" customHeight="false" outlineLevel="0" collapsed="false">
      <c r="A285" s="7" t="n">
        <v>2007</v>
      </c>
      <c r="B285" s="15" t="s">
        <v>119</v>
      </c>
      <c r="C285" s="15" t="s">
        <v>118</v>
      </c>
      <c r="D285" s="15" t="s">
        <v>103</v>
      </c>
      <c r="E285" s="9" t="n">
        <f aca="false">SUMIFS(Data!$L$2:$L$1006,Data!$A$2:$A$1006,$A285,Data!$B$2:$B$1006,$B285)</f>
        <v>514405</v>
      </c>
      <c r="F285" s="10" t="n">
        <f aca="false">SUMIFS(Data!$E$2:$E$1006,Data!$A$2:$A$1006,$A285,Data!$B$2:$B$1006,$B285)</f>
        <v>29.176565</v>
      </c>
      <c r="G285" s="10" t="n">
        <f aca="false">SUMIFS(Data!$F$2:$F$1006,Data!$A$2:$A$1006,$A285,Data!$B$2:$B$1006,$B285)</f>
        <v>31.148792</v>
      </c>
      <c r="H285" s="10" t="n">
        <f aca="false">SUMIFS(Data!$G$2:$G$1006,Data!$A$2:$A$1006,$A285,Data!$B$2:$B$1006,$B285)</f>
        <v>40.130134</v>
      </c>
      <c r="I285" s="10" t="n">
        <f aca="false">SUMIFS(Data!$N$2:$N$1006,Data!$A$2:$A$1006,$A285,Data!$B$2:$B$1006,$B285)</f>
        <v>100.455491</v>
      </c>
      <c r="J285" s="10" t="n">
        <f aca="false">SUMIFS(Data!$H$2:$H$1006,Data!$A$2:$A$1006,$A285,Data!$B$2:$B$1006,$B285)</f>
        <v>73.858838</v>
      </c>
      <c r="K285" s="11" t="n">
        <f aca="false">IFERROR(F285*1000000/$E285,"")</f>
        <v>56.7190540527405</v>
      </c>
      <c r="L285" s="11" t="n">
        <f aca="false">IFERROR(G285*1000000/$E285,"")</f>
        <v>60.553050611872</v>
      </c>
      <c r="M285" s="11" t="n">
        <f aca="false">IFERROR(H285*1000000/$E285,"")</f>
        <v>78.0127214937646</v>
      </c>
      <c r="N285" s="11" t="n">
        <f aca="false">IFERROR(I285*1000000/$E285,"")</f>
        <v>195.284826158377</v>
      </c>
      <c r="O285" s="11" t="n">
        <f aca="false">IFERROR(J285*1000000/$E285,"")</f>
        <v>143.581104382733</v>
      </c>
      <c r="P285" s="16" t="n">
        <f aca="false">COUNTIFS($A$4:$A$1008,$A285,$N$4:$N$1008,"&gt;"&amp;N285)+1</f>
        <v>32</v>
      </c>
      <c r="Q285" s="16" t="n">
        <f aca="false">COUNTIFS($A$4:$A$1008,$A285,$O$4:$O$1008,"&gt;"&amp;O285)+1</f>
        <v>17</v>
      </c>
    </row>
    <row r="286" customFormat="false" ht="15" hidden="false" customHeight="false" outlineLevel="0" collapsed="false">
      <c r="A286" s="7" t="n">
        <v>2007</v>
      </c>
      <c r="B286" s="15" t="s">
        <v>120</v>
      </c>
      <c r="C286" s="15" t="s">
        <v>118</v>
      </c>
      <c r="D286" s="15" t="s">
        <v>121</v>
      </c>
      <c r="E286" s="9" t="n">
        <f aca="false">SUMIFS(Data!$L$2:$L$1006,Data!$A$2:$A$1006,$A286,Data!$B$2:$B$1006,$B286)</f>
        <v>951693</v>
      </c>
      <c r="F286" s="10" t="n">
        <f aca="false">SUMIFS(Data!$E$2:$E$1006,Data!$A$2:$A$1006,$A286,Data!$B$2:$B$1006,$B286)</f>
        <v>96.712036</v>
      </c>
      <c r="G286" s="10" t="n">
        <f aca="false">SUMIFS(Data!$F$2:$F$1006,Data!$A$2:$A$1006,$A286,Data!$B$2:$B$1006,$B286)</f>
        <v>52.073221</v>
      </c>
      <c r="H286" s="10" t="n">
        <f aca="false">SUMIFS(Data!$G$2:$G$1006,Data!$A$2:$A$1006,$A286,Data!$B$2:$B$1006,$B286)</f>
        <v>72.354846</v>
      </c>
      <c r="I286" s="10" t="n">
        <f aca="false">SUMIFS(Data!$N$2:$N$1006,Data!$A$2:$A$1006,$A286,Data!$B$2:$B$1006,$B286)</f>
        <v>221.140103</v>
      </c>
      <c r="J286" s="10" t="n">
        <f aca="false">SUMIFS(Data!$H$2:$H$1006,Data!$A$2:$A$1006,$A286,Data!$B$2:$B$1006,$B286)</f>
        <v>176.976552</v>
      </c>
      <c r="K286" s="11" t="n">
        <f aca="false">IFERROR(F286*1000000/$E286,"")</f>
        <v>101.621043760961</v>
      </c>
      <c r="L286" s="11" t="n">
        <f aca="false">IFERROR(G286*1000000/$E286,"")</f>
        <v>54.7164064461964</v>
      </c>
      <c r="M286" s="11" t="n">
        <f aca="false">IFERROR(H286*1000000/$E286,"")</f>
        <v>76.027506769515</v>
      </c>
      <c r="N286" s="11" t="n">
        <f aca="false">IFERROR(I286*1000000/$E286,"")</f>
        <v>232.364956976672</v>
      </c>
      <c r="O286" s="11" t="n">
        <f aca="false">IFERROR(J286*1000000/$E286,"")</f>
        <v>185.959707594781</v>
      </c>
      <c r="P286" s="16" t="n">
        <f aca="false">COUNTIFS($A$4:$A$1008,$A286,$N$4:$N$1008,"&gt;"&amp;N286)+1</f>
        <v>18</v>
      </c>
      <c r="Q286" s="16" t="n">
        <f aca="false">COUNTIFS($A$4:$A$1008,$A286,$O$4:$O$1008,"&gt;"&amp;O286)+1</f>
        <v>6</v>
      </c>
    </row>
    <row r="287" customFormat="false" ht="15" hidden="false" customHeight="false" outlineLevel="0" collapsed="false">
      <c r="A287" s="7" t="n">
        <v>2007</v>
      </c>
      <c r="B287" s="15" t="s">
        <v>122</v>
      </c>
      <c r="C287" s="15" t="s">
        <v>118</v>
      </c>
      <c r="D287" s="15" t="s">
        <v>105</v>
      </c>
      <c r="E287" s="9" t="n">
        <f aca="false">SUMIFS(Data!$L$2:$L$1006,Data!$A$2:$A$1006,$A287,Data!$B$2:$B$1006,$B287)</f>
        <v>542126</v>
      </c>
      <c r="F287" s="10" t="n">
        <f aca="false">SUMIFS(Data!$E$2:$E$1006,Data!$A$2:$A$1006,$A287,Data!$B$2:$B$1006,$B287)</f>
        <v>36.032133</v>
      </c>
      <c r="G287" s="10" t="n">
        <f aca="false">SUMIFS(Data!$F$2:$F$1006,Data!$A$2:$A$1006,$A287,Data!$B$2:$B$1006,$B287)</f>
        <v>61.552704</v>
      </c>
      <c r="H287" s="10" t="n">
        <f aca="false">SUMIFS(Data!$G$2:$G$1006,Data!$A$2:$A$1006,$A287,Data!$B$2:$B$1006,$B287)</f>
        <v>33.071641</v>
      </c>
      <c r="I287" s="10" t="n">
        <f aca="false">SUMIFS(Data!$N$2:$N$1006,Data!$A$2:$A$1006,$A287,Data!$B$2:$B$1006,$B287)</f>
        <v>130.656478</v>
      </c>
      <c r="J287" s="10" t="n">
        <f aca="false">SUMIFS(Data!$H$2:$H$1006,Data!$A$2:$A$1006,$A287,Data!$B$2:$B$1006,$B287)</f>
        <v>63.395039</v>
      </c>
      <c r="K287" s="11" t="n">
        <f aca="false">IFERROR(F287*1000000/$E287,"")</f>
        <v>66.4644990279013</v>
      </c>
      <c r="L287" s="11" t="n">
        <f aca="false">IFERROR(G287*1000000/$E287,"")</f>
        <v>113.53947975194</v>
      </c>
      <c r="M287" s="11" t="n">
        <f aca="false">IFERROR(H287*1000000/$E287,"")</f>
        <v>61.0036061727348</v>
      </c>
      <c r="N287" s="11" t="n">
        <f aca="false">IFERROR(I287*1000000/$E287,"")</f>
        <v>241.007584952576</v>
      </c>
      <c r="O287" s="11" t="n">
        <f aca="false">IFERROR(J287*1000000/$E287,"")</f>
        <v>116.93783179556</v>
      </c>
      <c r="P287" s="16" t="n">
        <f aca="false">COUNTIFS($A$4:$A$1008,$A287,$N$4:$N$1008,"&gt;"&amp;N287)+1</f>
        <v>14</v>
      </c>
      <c r="Q287" s="16" t="n">
        <f aca="false">COUNTIFS($A$4:$A$1008,$A287,$O$4:$O$1008,"&gt;"&amp;O287)+1</f>
        <v>25</v>
      </c>
    </row>
    <row r="288" customFormat="false" ht="15" hidden="false" customHeight="false" outlineLevel="0" collapsed="false">
      <c r="A288" s="7" t="n">
        <v>2007</v>
      </c>
      <c r="B288" s="15" t="s">
        <v>123</v>
      </c>
      <c r="C288" s="15" t="s">
        <v>118</v>
      </c>
      <c r="D288" s="15" t="s">
        <v>124</v>
      </c>
      <c r="E288" s="9" t="n">
        <f aca="false">SUMIFS(Data!$L$2:$L$1006,Data!$A$2:$A$1006,$A288,Data!$B$2:$B$1006,$B288)</f>
        <v>1221284</v>
      </c>
      <c r="F288" s="10" t="n">
        <f aca="false">SUMIFS(Data!$E$2:$E$1006,Data!$A$2:$A$1006,$A288,Data!$B$2:$B$1006,$B288)</f>
        <v>124.29505</v>
      </c>
      <c r="G288" s="10" t="n">
        <f aca="false">SUMIFS(Data!$F$2:$F$1006,Data!$A$2:$A$1006,$A288,Data!$B$2:$B$1006,$B288)</f>
        <v>58.807165</v>
      </c>
      <c r="H288" s="10" t="n">
        <f aca="false">SUMIFS(Data!$G$2:$G$1006,Data!$A$2:$A$1006,$A288,Data!$B$2:$B$1006,$B288)</f>
        <v>120.078305</v>
      </c>
      <c r="I288" s="10" t="n">
        <f aca="false">SUMIFS(Data!$N$2:$N$1006,Data!$A$2:$A$1006,$A288,Data!$B$2:$B$1006,$B288)</f>
        <v>303.18052</v>
      </c>
      <c r="J288" s="10" t="n">
        <f aca="false">SUMIFS(Data!$H$2:$H$1006,Data!$A$2:$A$1006,$A288,Data!$B$2:$B$1006,$B288)</f>
        <v>203.749927</v>
      </c>
      <c r="K288" s="11" t="n">
        <f aca="false">IFERROR(F288*1000000/$E288,"")</f>
        <v>101.774075481215</v>
      </c>
      <c r="L288" s="11" t="n">
        <f aca="false">IFERROR(G288*1000000/$E288,"")</f>
        <v>48.1519163437824</v>
      </c>
      <c r="M288" s="11" t="n">
        <f aca="false">IFERROR(H288*1000000/$E288,"")</f>
        <v>98.3213609610869</v>
      </c>
      <c r="N288" s="11" t="n">
        <f aca="false">IFERROR(I288*1000000/$E288,"")</f>
        <v>248.247352786084</v>
      </c>
      <c r="O288" s="11" t="n">
        <f aca="false">IFERROR(J288*1000000/$E288,"")</f>
        <v>166.83255246118</v>
      </c>
      <c r="P288" s="16" t="n">
        <f aca="false">COUNTIFS($A$4:$A$1008,$A288,$N$4:$N$1008,"&gt;"&amp;N288)+1</f>
        <v>12</v>
      </c>
      <c r="Q288" s="16" t="n">
        <f aca="false">COUNTIFS($A$4:$A$1008,$A288,$O$4:$O$1008,"&gt;"&amp;O288)+1</f>
        <v>9</v>
      </c>
    </row>
    <row r="289" customFormat="false" ht="15" hidden="false" customHeight="false" outlineLevel="0" collapsed="false">
      <c r="A289" s="7" t="n">
        <v>2007</v>
      </c>
      <c r="B289" s="15" t="s">
        <v>125</v>
      </c>
      <c r="C289" s="15" t="s">
        <v>118</v>
      </c>
      <c r="D289" s="15" t="s">
        <v>126</v>
      </c>
      <c r="E289" s="9" t="n">
        <f aca="false">SUMIFS(Data!$L$2:$L$1006,Data!$A$2:$A$1006,$A289,Data!$B$2:$B$1006,$B289)</f>
        <v>516058</v>
      </c>
      <c r="F289" s="10" t="n">
        <f aca="false">SUMIFS(Data!$E$2:$E$1006,Data!$A$2:$A$1006,$A289,Data!$B$2:$B$1006,$B289)</f>
        <v>40.573526</v>
      </c>
      <c r="G289" s="10" t="n">
        <f aca="false">SUMIFS(Data!$F$2:$F$1006,Data!$A$2:$A$1006,$A289,Data!$B$2:$B$1006,$B289)</f>
        <v>52.063359</v>
      </c>
      <c r="H289" s="10" t="n">
        <f aca="false">SUMIFS(Data!$G$2:$G$1006,Data!$A$2:$A$1006,$A289,Data!$B$2:$B$1006,$B289)</f>
        <v>37.240347</v>
      </c>
      <c r="I289" s="10" t="n">
        <f aca="false">SUMIFS(Data!$N$2:$N$1006,Data!$A$2:$A$1006,$A289,Data!$B$2:$B$1006,$B289)</f>
        <v>129.877232</v>
      </c>
      <c r="J289" s="10" t="n">
        <f aca="false">SUMIFS(Data!$H$2:$H$1006,Data!$A$2:$A$1006,$A289,Data!$B$2:$B$1006,$B289)</f>
        <v>73.890907</v>
      </c>
      <c r="K289" s="11" t="n">
        <f aca="false">IFERROR(F289*1000000/$E289,"")</f>
        <v>78.6220269814633</v>
      </c>
      <c r="L289" s="11" t="n">
        <f aca="false">IFERROR(G289*1000000/$E289,"")</f>
        <v>100.886642586686</v>
      </c>
      <c r="M289" s="11" t="n">
        <f aca="false">IFERROR(H289*1000000/$E289,"")</f>
        <v>72.1631037596549</v>
      </c>
      <c r="N289" s="11" t="n">
        <f aca="false">IFERROR(I289*1000000/$E289,"")</f>
        <v>251.671773327804</v>
      </c>
      <c r="O289" s="11" t="n">
        <f aca="false">IFERROR(J289*1000000/$E289,"")</f>
        <v>143.183337919381</v>
      </c>
      <c r="P289" s="16" t="n">
        <f aca="false">COUNTIFS($A$4:$A$1008,$A289,$N$4:$N$1008,"&gt;"&amp;N289)+1</f>
        <v>11</v>
      </c>
      <c r="Q289" s="16" t="n">
        <f aca="false">COUNTIFS($A$4:$A$1008,$A289,$O$4:$O$1008,"&gt;"&amp;O289)+1</f>
        <v>19</v>
      </c>
    </row>
    <row r="290" customFormat="false" ht="15" hidden="false" customHeight="false" outlineLevel="0" collapsed="false">
      <c r="A290" s="7" t="n">
        <v>2007</v>
      </c>
      <c r="B290" s="15" t="s">
        <v>127</v>
      </c>
      <c r="C290" s="15" t="s">
        <v>118</v>
      </c>
      <c r="D290" s="15" t="s">
        <v>103</v>
      </c>
      <c r="E290" s="9" t="n">
        <f aca="false">SUMIFS(Data!$L$2:$L$1006,Data!$A$2:$A$1006,$A290,Data!$B$2:$B$1006,$B290)</f>
        <v>686578</v>
      </c>
      <c r="F290" s="10" t="n">
        <f aca="false">SUMIFS(Data!$E$2:$E$1006,Data!$A$2:$A$1006,$A290,Data!$B$2:$B$1006,$B290)</f>
        <v>49.379271</v>
      </c>
      <c r="G290" s="10" t="n">
        <f aca="false">SUMIFS(Data!$F$2:$F$1006,Data!$A$2:$A$1006,$A290,Data!$B$2:$B$1006,$B290)</f>
        <v>49.381001</v>
      </c>
      <c r="H290" s="10" t="n">
        <f aca="false">SUMIFS(Data!$G$2:$G$1006,Data!$A$2:$A$1006,$A290,Data!$B$2:$B$1006,$B290)</f>
        <v>39.075946</v>
      </c>
      <c r="I290" s="10" t="n">
        <f aca="false">SUMIFS(Data!$N$2:$N$1006,Data!$A$2:$A$1006,$A290,Data!$B$2:$B$1006,$B290)</f>
        <v>137.836218</v>
      </c>
      <c r="J290" s="10" t="n">
        <f aca="false">SUMIFS(Data!$H$2:$H$1006,Data!$A$2:$A$1006,$A290,Data!$B$2:$B$1006,$B290)</f>
        <v>105.802913</v>
      </c>
      <c r="K290" s="11" t="n">
        <f aca="false">IFERROR(F290*1000000/$E290,"")</f>
        <v>71.9208465753345</v>
      </c>
      <c r="L290" s="11" t="n">
        <f aca="false">IFERROR(G290*1000000/$E290,"")</f>
        <v>71.9233663181751</v>
      </c>
      <c r="M290" s="11" t="n">
        <f aca="false">IFERROR(H290*1000000/$E290,"")</f>
        <v>56.9140665736449</v>
      </c>
      <c r="N290" s="11" t="n">
        <f aca="false">IFERROR(I290*1000000/$E290,"")</f>
        <v>200.758279467155</v>
      </c>
      <c r="O290" s="11" t="n">
        <f aca="false">IFERROR(J290*1000000/$E290,"")</f>
        <v>154.101810719248</v>
      </c>
      <c r="P290" s="16" t="n">
        <f aca="false">COUNTIFS($A$4:$A$1008,$A290,$N$4:$N$1008,"&gt;"&amp;N290)+1</f>
        <v>30</v>
      </c>
      <c r="Q290" s="16" t="n">
        <f aca="false">COUNTIFS($A$4:$A$1008,$A290,$O$4:$O$1008,"&gt;"&amp;O290)+1</f>
        <v>10</v>
      </c>
    </row>
    <row r="291" customFormat="false" ht="15" hidden="false" customHeight="false" outlineLevel="0" collapsed="false">
      <c r="A291" s="7" t="n">
        <v>2007</v>
      </c>
      <c r="B291" s="15" t="s">
        <v>128</v>
      </c>
      <c r="C291" s="15" t="s">
        <v>118</v>
      </c>
      <c r="D291" s="15" t="s">
        <v>107</v>
      </c>
      <c r="E291" s="9" t="n">
        <f aca="false">SUMIFS(Data!$L$2:$L$1006,Data!$A$2:$A$1006,$A291,Data!$B$2:$B$1006,$B291)</f>
        <v>585944</v>
      </c>
      <c r="F291" s="10" t="n">
        <f aca="false">SUMIFS(Data!$E$2:$E$1006,Data!$A$2:$A$1006,$A291,Data!$B$2:$B$1006,$B291)</f>
        <v>27.17608</v>
      </c>
      <c r="G291" s="10" t="n">
        <f aca="false">SUMIFS(Data!$F$2:$F$1006,Data!$A$2:$A$1006,$A291,Data!$B$2:$B$1006,$B291)</f>
        <v>36.281543</v>
      </c>
      <c r="H291" s="10" t="n">
        <f aca="false">SUMIFS(Data!$G$2:$G$1006,Data!$A$2:$A$1006,$A291,Data!$B$2:$B$1006,$B291)</f>
        <v>46.442542</v>
      </c>
      <c r="I291" s="10" t="n">
        <f aca="false">SUMIFS(Data!$N$2:$N$1006,Data!$A$2:$A$1006,$A291,Data!$B$2:$B$1006,$B291)</f>
        <v>109.900165</v>
      </c>
      <c r="J291" s="10" t="n">
        <f aca="false">SUMIFS(Data!$H$2:$H$1006,Data!$A$2:$A$1006,$A291,Data!$B$2:$B$1006,$B291)</f>
        <v>59.094616</v>
      </c>
      <c r="K291" s="11" t="n">
        <f aca="false">IFERROR(F291*1000000/$E291,"")</f>
        <v>46.3799953579182</v>
      </c>
      <c r="L291" s="11" t="n">
        <f aca="false">IFERROR(G291*1000000/$E291,"")</f>
        <v>61.9198131562061</v>
      </c>
      <c r="M291" s="11" t="n">
        <f aca="false">IFERROR(H291*1000000/$E291,"")</f>
        <v>79.261059077318</v>
      </c>
      <c r="N291" s="11" t="n">
        <f aca="false">IFERROR(I291*1000000/$E291,"")</f>
        <v>187.560867591442</v>
      </c>
      <c r="O291" s="11" t="n">
        <f aca="false">IFERROR(J291*1000000/$E291,"")</f>
        <v>100.853692503038</v>
      </c>
      <c r="P291" s="16" t="n">
        <f aca="false">COUNTIFS($A$4:$A$1008,$A291,$N$4:$N$1008,"&gt;"&amp;N291)+1</f>
        <v>34</v>
      </c>
      <c r="Q291" s="16" t="n">
        <f aca="false">COUNTIFS($A$4:$A$1008,$A291,$O$4:$O$1008,"&gt;"&amp;O291)+1</f>
        <v>33</v>
      </c>
    </row>
    <row r="292" customFormat="false" ht="15" hidden="false" customHeight="false" outlineLevel="0" collapsed="false">
      <c r="A292" s="7" t="n">
        <v>2007</v>
      </c>
      <c r="B292" s="15" t="s">
        <v>129</v>
      </c>
      <c r="C292" s="15" t="s">
        <v>118</v>
      </c>
      <c r="D292" s="15" t="s">
        <v>107</v>
      </c>
      <c r="E292" s="9" t="n">
        <f aca="false">SUMIFS(Data!$L$2:$L$1006,Data!$A$2:$A$1006,$A292,Data!$B$2:$B$1006,$B292)</f>
        <v>1555342</v>
      </c>
      <c r="F292" s="10" t="n">
        <f aca="false">SUMIFS(Data!$E$2:$E$1006,Data!$A$2:$A$1006,$A292,Data!$B$2:$B$1006,$B292)</f>
        <v>158.529536</v>
      </c>
      <c r="G292" s="10" t="n">
        <f aca="false">SUMIFS(Data!$F$2:$F$1006,Data!$A$2:$A$1006,$A292,Data!$B$2:$B$1006,$B292)</f>
        <v>164.273815</v>
      </c>
      <c r="H292" s="10" t="n">
        <f aca="false">SUMIFS(Data!$G$2:$G$1006,Data!$A$2:$A$1006,$A292,Data!$B$2:$B$1006,$B292)</f>
        <v>80.284973</v>
      </c>
      <c r="I292" s="10" t="n">
        <f aca="false">SUMIFS(Data!$N$2:$N$1006,Data!$A$2:$A$1006,$A292,Data!$B$2:$B$1006,$B292)</f>
        <v>403.088324</v>
      </c>
      <c r="J292" s="10" t="n">
        <f aca="false">SUMIFS(Data!$H$2:$H$1006,Data!$A$2:$A$1006,$A292,Data!$B$2:$B$1006,$B292)</f>
        <v>211.056888</v>
      </c>
      <c r="K292" s="11" t="n">
        <f aca="false">IFERROR(F292*1000000/$E292,"")</f>
        <v>101.925837532838</v>
      </c>
      <c r="L292" s="11" t="n">
        <f aca="false">IFERROR(G292*1000000/$E292,"")</f>
        <v>105.61909535009</v>
      </c>
      <c r="M292" s="11" t="n">
        <f aca="false">IFERROR(H292*1000000/$E292,"")</f>
        <v>51.6188548885068</v>
      </c>
      <c r="N292" s="11" t="n">
        <f aca="false">IFERROR(I292*1000000/$E292,"")</f>
        <v>259.163787771435</v>
      </c>
      <c r="O292" s="11" t="n">
        <f aca="false">IFERROR(J292*1000000/$E292,"")</f>
        <v>135.698057404738</v>
      </c>
      <c r="P292" s="16" t="n">
        <f aca="false">COUNTIFS($A$4:$A$1008,$A292,$N$4:$N$1008,"&gt;"&amp;N292)+1</f>
        <v>10</v>
      </c>
      <c r="Q292" s="16" t="n">
        <f aca="false">COUNTIFS($A$4:$A$1008,$A292,$O$4:$O$1008,"&gt;"&amp;O292)+1</f>
        <v>21</v>
      </c>
    </row>
    <row r="293" customFormat="false" ht="15" hidden="false" customHeight="false" outlineLevel="0" collapsed="false">
      <c r="A293" s="7" t="n">
        <v>2007</v>
      </c>
      <c r="B293" s="15" t="s">
        <v>130</v>
      </c>
      <c r="C293" s="15" t="s">
        <v>118</v>
      </c>
      <c r="D293" s="15" t="s">
        <v>107</v>
      </c>
      <c r="E293" s="9" t="n">
        <f aca="false">SUMIFS(Data!$L$2:$L$1006,Data!$A$2:$A$1006,$A293,Data!$B$2:$B$1006,$B293)</f>
        <v>1385081</v>
      </c>
      <c r="F293" s="10" t="n">
        <f aca="false">SUMIFS(Data!$E$2:$E$1006,Data!$A$2:$A$1006,$A293,Data!$B$2:$B$1006,$B293)</f>
        <v>148.145878</v>
      </c>
      <c r="G293" s="10" t="n">
        <f aca="false">SUMIFS(Data!$F$2:$F$1006,Data!$A$2:$A$1006,$A293,Data!$B$2:$B$1006,$B293)</f>
        <v>71.933615</v>
      </c>
      <c r="H293" s="10" t="n">
        <f aca="false">SUMIFS(Data!$G$2:$G$1006,Data!$A$2:$A$1006,$A293,Data!$B$2:$B$1006,$B293)</f>
        <v>88.261024</v>
      </c>
      <c r="I293" s="10" t="n">
        <f aca="false">SUMIFS(Data!$N$2:$N$1006,Data!$A$2:$A$1006,$A293,Data!$B$2:$B$1006,$B293)</f>
        <v>308.340517</v>
      </c>
      <c r="J293" s="10" t="n">
        <f aca="false">SUMIFS(Data!$H$2:$H$1006,Data!$A$2:$A$1006,$A293,Data!$B$2:$B$1006,$B293)</f>
        <v>141.163104</v>
      </c>
      <c r="K293" s="11" t="n">
        <f aca="false">IFERROR(F293*1000000/$E293,"")</f>
        <v>106.958277530339</v>
      </c>
      <c r="L293" s="11" t="n">
        <f aca="false">IFERROR(G293*1000000/$E293,"")</f>
        <v>51.934590828984</v>
      </c>
      <c r="M293" s="11" t="n">
        <f aca="false">IFERROR(H293*1000000/$E293,"")</f>
        <v>63.7226443796428</v>
      </c>
      <c r="N293" s="11" t="n">
        <f aca="false">IFERROR(I293*1000000/$E293,"")</f>
        <v>222.615512738966</v>
      </c>
      <c r="O293" s="11" t="n">
        <f aca="false">IFERROR(J293*1000000/$E293,"")</f>
        <v>101.916858292042</v>
      </c>
      <c r="P293" s="16" t="n">
        <f aca="false">COUNTIFS($A$4:$A$1008,$A293,$N$4:$N$1008,"&gt;"&amp;N293)+1</f>
        <v>23</v>
      </c>
      <c r="Q293" s="16" t="n">
        <f aca="false">COUNTIFS($A$4:$A$1008,$A293,$O$4:$O$1008,"&gt;"&amp;O293)+1</f>
        <v>32</v>
      </c>
    </row>
    <row r="294" customFormat="false" ht="15" hidden="false" customHeight="false" outlineLevel="0" collapsed="false">
      <c r="A294" s="7" t="n">
        <v>2007</v>
      </c>
      <c r="B294" s="15" t="s">
        <v>131</v>
      </c>
      <c r="C294" s="15" t="s">
        <v>118</v>
      </c>
      <c r="D294" s="15" t="s">
        <v>132</v>
      </c>
      <c r="E294" s="9" t="n">
        <f aca="false">SUMIFS(Data!$L$2:$L$1006,Data!$A$2:$A$1006,$A294,Data!$B$2:$B$1006,$B294)</f>
        <v>756711</v>
      </c>
      <c r="F294" s="10" t="n">
        <f aca="false">SUMIFS(Data!$E$2:$E$1006,Data!$A$2:$A$1006,$A294,Data!$B$2:$B$1006,$B294)</f>
        <v>94.165137</v>
      </c>
      <c r="G294" s="10" t="n">
        <f aca="false">SUMIFS(Data!$F$2:$F$1006,Data!$A$2:$A$1006,$A294,Data!$B$2:$B$1006,$B294)</f>
        <v>66.186825</v>
      </c>
      <c r="H294" s="10" t="n">
        <f aca="false">SUMIFS(Data!$G$2:$G$1006,Data!$A$2:$A$1006,$A294,Data!$B$2:$B$1006,$B294)</f>
        <v>112.430732</v>
      </c>
      <c r="I294" s="10" t="n">
        <f aca="false">SUMIFS(Data!$N$2:$N$1006,Data!$A$2:$A$1006,$A294,Data!$B$2:$B$1006,$B294)</f>
        <v>272.782694</v>
      </c>
      <c r="J294" s="10" t="n">
        <f aca="false">SUMIFS(Data!$H$2:$H$1006,Data!$A$2:$A$1006,$A294,Data!$B$2:$B$1006,$B294)</f>
        <v>112.10554</v>
      </c>
      <c r="K294" s="11" t="n">
        <f aca="false">IFERROR(F294*1000000/$E294,"")</f>
        <v>124.440026641611</v>
      </c>
      <c r="L294" s="11" t="n">
        <f aca="false">IFERROR(G294*1000000/$E294,"")</f>
        <v>87.4664502035784</v>
      </c>
      <c r="M294" s="11" t="n">
        <f aca="false">IFERROR(H294*1000000/$E294,"")</f>
        <v>148.578165244063</v>
      </c>
      <c r="N294" s="11" t="n">
        <f aca="false">IFERROR(I294*1000000/$E294,"")</f>
        <v>360.484642089252</v>
      </c>
      <c r="O294" s="11" t="n">
        <f aca="false">IFERROR(J294*1000000/$E294,"")</f>
        <v>148.1484212599</v>
      </c>
      <c r="P294" s="16" t="n">
        <f aca="false">COUNTIFS($A$4:$A$1008,$A294,$N$4:$N$1008,"&gt;"&amp;N294)+1</f>
        <v>1</v>
      </c>
      <c r="Q294" s="16" t="n">
        <f aca="false">COUNTIFS($A$4:$A$1008,$A294,$O$4:$O$1008,"&gt;"&amp;O294)+1</f>
        <v>13</v>
      </c>
    </row>
    <row r="295" customFormat="false" ht="15" hidden="false" customHeight="false" outlineLevel="0" collapsed="false">
      <c r="A295" s="7" t="n">
        <v>2007</v>
      </c>
      <c r="B295" s="15" t="s">
        <v>133</v>
      </c>
      <c r="C295" s="15" t="s">
        <v>118</v>
      </c>
      <c r="D295" s="15" t="s">
        <v>105</v>
      </c>
      <c r="E295" s="9" t="n">
        <f aca="false">SUMIFS(Data!$L$2:$L$1006,Data!$A$2:$A$1006,$A295,Data!$B$2:$B$1006,$B295)</f>
        <v>2099626</v>
      </c>
      <c r="F295" s="10" t="n">
        <f aca="false">SUMIFS(Data!$E$2:$E$1006,Data!$A$2:$A$1006,$A295,Data!$B$2:$B$1006,$B295)</f>
        <v>158.629646</v>
      </c>
      <c r="G295" s="10" t="n">
        <f aca="false">SUMIFS(Data!$F$2:$F$1006,Data!$A$2:$A$1006,$A295,Data!$B$2:$B$1006,$B295)</f>
        <v>293.597218</v>
      </c>
      <c r="H295" s="10" t="n">
        <f aca="false">SUMIFS(Data!$G$2:$G$1006,Data!$A$2:$A$1006,$A295,Data!$B$2:$B$1006,$B295)</f>
        <v>125.93664</v>
      </c>
      <c r="I295" s="10" t="n">
        <f aca="false">SUMIFS(Data!$N$2:$N$1006,Data!$A$2:$A$1006,$A295,Data!$B$2:$B$1006,$B295)</f>
        <v>578.163504</v>
      </c>
      <c r="J295" s="10" t="n">
        <f aca="false">SUMIFS(Data!$H$2:$H$1006,Data!$A$2:$A$1006,$A295,Data!$B$2:$B$1006,$B295)</f>
        <v>223.188313</v>
      </c>
      <c r="K295" s="11" t="n">
        <f aca="false">IFERROR(F295*1000000/$E295,"")</f>
        <v>75.5513820080338</v>
      </c>
      <c r="L295" s="11" t="n">
        <f aca="false">IFERROR(G295*1000000/$E295,"")</f>
        <v>139.83310265733</v>
      </c>
      <c r="M295" s="11" t="n">
        <f aca="false">IFERROR(H295*1000000/$E295,"")</f>
        <v>59.9805108147832</v>
      </c>
      <c r="N295" s="11" t="n">
        <f aca="false">IFERROR(I295*1000000/$E295,"")</f>
        <v>275.364995480147</v>
      </c>
      <c r="O295" s="11" t="n">
        <f aca="false">IFERROR(J295*1000000/$E295,"")</f>
        <v>106.299080407654</v>
      </c>
      <c r="P295" s="16" t="n">
        <f aca="false">COUNTIFS($A$4:$A$1008,$A295,$N$4:$N$1008,"&gt;"&amp;N295)+1</f>
        <v>6</v>
      </c>
      <c r="Q295" s="16" t="n">
        <f aca="false">COUNTIFS($A$4:$A$1008,$A295,$O$4:$O$1008,"&gt;"&amp;O295)+1</f>
        <v>29</v>
      </c>
    </row>
    <row r="296" customFormat="false" ht="15" hidden="false" customHeight="false" outlineLevel="0" collapsed="false">
      <c r="A296" s="7" t="n">
        <v>2007</v>
      </c>
      <c r="B296" s="15" t="s">
        <v>134</v>
      </c>
      <c r="C296" s="15" t="s">
        <v>135</v>
      </c>
      <c r="D296" s="15" t="s">
        <v>136</v>
      </c>
      <c r="E296" s="9" t="n">
        <f aca="false">SUMIFS(Data!$L$2:$L$1006,Data!$A$2:$A$1006,$A296,Data!$B$2:$B$1006,$B296)</f>
        <v>140724</v>
      </c>
      <c r="F296" s="10" t="n">
        <f aca="false">SUMIFS(Data!$E$2:$E$1006,Data!$A$2:$A$1006,$A296,Data!$B$2:$B$1006,$B296)</f>
        <v>21.813788</v>
      </c>
      <c r="G296" s="10" t="n">
        <f aca="false">SUMIFS(Data!$F$2:$F$1006,Data!$A$2:$A$1006,$A296,Data!$B$2:$B$1006,$B296)</f>
        <v>13.45082</v>
      </c>
      <c r="H296" s="10" t="n">
        <f aca="false">SUMIFS(Data!$G$2:$G$1006,Data!$A$2:$A$1006,$A296,Data!$B$2:$B$1006,$B296)</f>
        <v>10.428522</v>
      </c>
      <c r="I296" s="10" t="n">
        <f aca="false">SUMIFS(Data!$N$2:$N$1006,Data!$A$2:$A$1006,$A296,Data!$B$2:$B$1006,$B296)</f>
        <v>45.69313</v>
      </c>
      <c r="J296" s="10" t="n">
        <f aca="false">SUMIFS(Data!$H$2:$H$1006,Data!$A$2:$A$1006,$A296,Data!$B$2:$B$1006,$B296)</f>
        <v>33.499223</v>
      </c>
      <c r="K296" s="11" t="n">
        <f aca="false">IFERROR(F296*1000000/$E296,"")</f>
        <v>155.011142377988</v>
      </c>
      <c r="L296" s="11" t="n">
        <f aca="false">IFERROR(G296*1000000/$E296,"")</f>
        <v>95.5829851340212</v>
      </c>
      <c r="M296" s="11" t="n">
        <f aca="false">IFERROR(H296*1000000/$E296,"")</f>
        <v>74.1062078963077</v>
      </c>
      <c r="N296" s="11" t="n">
        <f aca="false">IFERROR(I296*1000000/$E296,"")</f>
        <v>324.700335408317</v>
      </c>
      <c r="O296" s="11" t="n">
        <f aca="false">IFERROR(J296*1000000/$E296,"")</f>
        <v>238.049110315227</v>
      </c>
      <c r="P296" s="16" t="n">
        <f aca="false">COUNTIFS($A$4:$A$1008,$A296,$N$4:$N$1008,"&gt;"&amp;N296)+1</f>
        <v>2</v>
      </c>
      <c r="Q296" s="16" t="n">
        <f aca="false">COUNTIFS($A$4:$A$1008,$A296,$O$4:$O$1008,"&gt;"&amp;O296)+1</f>
        <v>1</v>
      </c>
    </row>
    <row r="297" customFormat="false" ht="15" hidden="false" customHeight="false" outlineLevel="0" collapsed="false">
      <c r="A297" s="7" t="n">
        <v>2007</v>
      </c>
      <c r="B297" s="15" t="s">
        <v>137</v>
      </c>
      <c r="C297" s="15" t="s">
        <v>135</v>
      </c>
      <c r="D297" s="15" t="s">
        <v>138</v>
      </c>
      <c r="E297" s="9" t="n">
        <f aca="false">SUMIFS(Data!$L$2:$L$1006,Data!$A$2:$A$1006,$A297,Data!$B$2:$B$1006,$B297)</f>
        <v>1797387</v>
      </c>
      <c r="F297" s="10" t="n">
        <f aca="false">SUMIFS(Data!$E$2:$E$1006,Data!$A$2:$A$1006,$A297,Data!$B$2:$B$1006,$B297)</f>
        <v>150.721106</v>
      </c>
      <c r="G297" s="10" t="n">
        <f aca="false">SUMIFS(Data!$F$2:$F$1006,Data!$A$2:$A$1006,$A297,Data!$B$2:$B$1006,$B297)</f>
        <v>86.850415</v>
      </c>
      <c r="H297" s="10" t="n">
        <f aca="false">SUMIFS(Data!$G$2:$G$1006,Data!$A$2:$A$1006,$A297,Data!$B$2:$B$1006,$B297)</f>
        <v>131.624604</v>
      </c>
      <c r="I297" s="10" t="n">
        <f aca="false">SUMIFS(Data!$N$2:$N$1006,Data!$A$2:$A$1006,$A297,Data!$B$2:$B$1006,$B297)</f>
        <v>369.196125</v>
      </c>
      <c r="J297" s="10" t="n">
        <f aca="false">SUMIFS(Data!$H$2:$H$1006,Data!$A$2:$A$1006,$A297,Data!$B$2:$B$1006,$B297)</f>
        <v>199.732239</v>
      </c>
      <c r="K297" s="11" t="n">
        <f aca="false">IFERROR(F297*1000000/$E297,"")</f>
        <v>83.8556782707341</v>
      </c>
      <c r="L297" s="11" t="n">
        <f aca="false">IFERROR(G297*1000000/$E297,"")</f>
        <v>48.3203756341845</v>
      </c>
      <c r="M297" s="11" t="n">
        <f aca="false">IFERROR(H297*1000000/$E297,"")</f>
        <v>73.2310871281477</v>
      </c>
      <c r="N297" s="11" t="n">
        <f aca="false">IFERROR(I297*1000000/$E297,"")</f>
        <v>205.407141033066</v>
      </c>
      <c r="O297" s="11" t="n">
        <f aca="false">IFERROR(J297*1000000/$E297,"")</f>
        <v>111.12366952693</v>
      </c>
      <c r="P297" s="16" t="n">
        <f aca="false">COUNTIFS($A$4:$A$1008,$A297,$N$4:$N$1008,"&gt;"&amp;N297)+1</f>
        <v>29</v>
      </c>
      <c r="Q297" s="16" t="n">
        <f aca="false">COUNTIFS($A$4:$A$1008,$A297,$O$4:$O$1008,"&gt;"&amp;O297)+1</f>
        <v>27</v>
      </c>
    </row>
    <row r="298" customFormat="false" ht="15" hidden="false" customHeight="false" outlineLevel="0" collapsed="false">
      <c r="A298" s="7" t="n">
        <v>2007</v>
      </c>
      <c r="B298" s="15" t="s">
        <v>139</v>
      </c>
      <c r="C298" s="15" t="s">
        <v>135</v>
      </c>
      <c r="D298" s="15" t="s">
        <v>138</v>
      </c>
      <c r="E298" s="9" t="n">
        <f aca="false">SUMIFS(Data!$L$2:$L$1006,Data!$A$2:$A$1006,$A298,Data!$B$2:$B$1006,$B298)</f>
        <v>2163360</v>
      </c>
      <c r="F298" s="10" t="n">
        <f aca="false">SUMIFS(Data!$E$2:$E$1006,Data!$A$2:$A$1006,$A298,Data!$B$2:$B$1006,$B298)</f>
        <v>255.312484</v>
      </c>
      <c r="G298" s="10" t="n">
        <f aca="false">SUMIFS(Data!$F$2:$F$1006,Data!$A$2:$A$1006,$A298,Data!$B$2:$B$1006,$B298)</f>
        <v>197.350324</v>
      </c>
      <c r="H298" s="10" t="n">
        <f aca="false">SUMIFS(Data!$G$2:$G$1006,Data!$A$2:$A$1006,$A298,Data!$B$2:$B$1006,$B298)</f>
        <v>210.667895</v>
      </c>
      <c r="I298" s="10" t="n">
        <f aca="false">SUMIFS(Data!$N$2:$N$1006,Data!$A$2:$A$1006,$A298,Data!$B$2:$B$1006,$B298)</f>
        <v>663.330703</v>
      </c>
      <c r="J298" s="10" t="n">
        <f aca="false">SUMIFS(Data!$H$2:$H$1006,Data!$A$2:$A$1006,$A298,Data!$B$2:$B$1006,$B298)</f>
        <v>127.479087</v>
      </c>
      <c r="K298" s="11" t="n">
        <f aca="false">IFERROR(F298*1000000/$E298,"")</f>
        <v>118.016642629983</v>
      </c>
      <c r="L298" s="11" t="n">
        <f aca="false">IFERROR(G298*1000000/$E298,"")</f>
        <v>91.2239867613342</v>
      </c>
      <c r="M298" s="11" t="n">
        <f aca="false">IFERROR(H298*1000000/$E298,"")</f>
        <v>97.3799529435693</v>
      </c>
      <c r="N298" s="11" t="n">
        <f aca="false">IFERROR(I298*1000000/$E298,"")</f>
        <v>306.620582334887</v>
      </c>
      <c r="O298" s="11" t="n">
        <f aca="false">IFERROR(J298*1000000/$E298,"")</f>
        <v>58.9264324938984</v>
      </c>
      <c r="P298" s="16" t="n">
        <f aca="false">COUNTIFS($A$4:$A$1008,$A298,$N$4:$N$1008,"&gt;"&amp;N298)+1</f>
        <v>4</v>
      </c>
      <c r="Q298" s="16" t="n">
        <f aca="false">COUNTIFS($A$4:$A$1008,$A298,$O$4:$O$1008,"&gt;"&amp;O298)+1</f>
        <v>39</v>
      </c>
    </row>
    <row r="299" customFormat="false" ht="15" hidden="false" customHeight="false" outlineLevel="0" collapsed="false">
      <c r="A299" s="7" t="n">
        <v>2007</v>
      </c>
      <c r="B299" s="15" t="s">
        <v>140</v>
      </c>
      <c r="C299" s="15" t="s">
        <v>135</v>
      </c>
      <c r="D299" s="15" t="s">
        <v>141</v>
      </c>
      <c r="E299" s="9" t="n">
        <f aca="false">SUMIFS(Data!$L$2:$L$1006,Data!$A$2:$A$1006,$A299,Data!$B$2:$B$1006,$B299)</f>
        <v>773954</v>
      </c>
      <c r="F299" s="10" t="n">
        <f aca="false">SUMIFS(Data!$E$2:$E$1006,Data!$A$2:$A$1006,$A299,Data!$B$2:$B$1006,$B299)</f>
        <v>45.701434</v>
      </c>
      <c r="G299" s="10" t="n">
        <f aca="false">SUMIFS(Data!$F$2:$F$1006,Data!$A$2:$A$1006,$A299,Data!$B$2:$B$1006,$B299)</f>
        <v>51.343491</v>
      </c>
      <c r="H299" s="10" t="n">
        <f aca="false">SUMIFS(Data!$G$2:$G$1006,Data!$A$2:$A$1006,$A299,Data!$B$2:$B$1006,$B299)</f>
        <v>74.22039</v>
      </c>
      <c r="I299" s="10" t="n">
        <f aca="false">SUMIFS(Data!$N$2:$N$1006,Data!$A$2:$A$1006,$A299,Data!$B$2:$B$1006,$B299)</f>
        <v>171.265315</v>
      </c>
      <c r="J299" s="10" t="n">
        <f aca="false">SUMIFS(Data!$H$2:$H$1006,Data!$A$2:$A$1006,$A299,Data!$B$2:$B$1006,$B299)</f>
        <v>130.486726</v>
      </c>
      <c r="K299" s="11" t="n">
        <f aca="false">IFERROR(F299*1000000/$E299,"")</f>
        <v>59.0492897510705</v>
      </c>
      <c r="L299" s="11" t="n">
        <f aca="false">IFERROR(G299*1000000/$E299,"")</f>
        <v>66.3392023298542</v>
      </c>
      <c r="M299" s="11" t="n">
        <f aca="false">IFERROR(H299*1000000/$E299,"")</f>
        <v>95.8976760892766</v>
      </c>
      <c r="N299" s="11" t="n">
        <f aca="false">IFERROR(I299*1000000/$E299,"")</f>
        <v>221.286168170201</v>
      </c>
      <c r="O299" s="11" t="n">
        <f aca="false">IFERROR(J299*1000000/$E299,"")</f>
        <v>168.597521299715</v>
      </c>
      <c r="P299" s="16" t="n">
        <f aca="false">COUNTIFS($A$4:$A$1008,$A299,$N$4:$N$1008,"&gt;"&amp;N299)+1</f>
        <v>24</v>
      </c>
      <c r="Q299" s="16" t="n">
        <f aca="false">COUNTIFS($A$4:$A$1008,$A299,$O$4:$O$1008,"&gt;"&amp;O299)+1</f>
        <v>8</v>
      </c>
    </row>
    <row r="300" customFormat="false" ht="15" hidden="false" customHeight="false" outlineLevel="0" collapsed="false">
      <c r="A300" s="7" t="n">
        <v>2007</v>
      </c>
      <c r="B300" s="15" t="s">
        <v>142</v>
      </c>
      <c r="C300" s="15" t="s">
        <v>135</v>
      </c>
      <c r="D300" s="15" t="s">
        <v>143</v>
      </c>
      <c r="E300" s="9" t="n">
        <f aca="false">SUMIFS(Data!$L$2:$L$1006,Data!$A$2:$A$1006,$A300,Data!$B$2:$B$1006,$B300)</f>
        <v>581882</v>
      </c>
      <c r="F300" s="10" t="n">
        <f aca="false">SUMIFS(Data!$E$2:$E$1006,Data!$A$2:$A$1006,$A300,Data!$B$2:$B$1006,$B300)</f>
        <v>60.5483</v>
      </c>
      <c r="G300" s="10" t="n">
        <f aca="false">SUMIFS(Data!$F$2:$F$1006,Data!$A$2:$A$1006,$A300,Data!$B$2:$B$1006,$B300)</f>
        <v>25.105188</v>
      </c>
      <c r="H300" s="10" t="n">
        <f aca="false">SUMIFS(Data!$G$2:$G$1006,Data!$A$2:$A$1006,$A300,Data!$B$2:$B$1006,$B300)</f>
        <v>37.722997</v>
      </c>
      <c r="I300" s="10" t="n">
        <f aca="false">SUMIFS(Data!$N$2:$N$1006,Data!$A$2:$A$1006,$A300,Data!$B$2:$B$1006,$B300)</f>
        <v>123.376485</v>
      </c>
      <c r="J300" s="10" t="n">
        <f aca="false">SUMIFS(Data!$H$2:$H$1006,Data!$A$2:$A$1006,$A300,Data!$B$2:$B$1006,$B300)</f>
        <v>119.053744</v>
      </c>
      <c r="K300" s="11" t="n">
        <f aca="false">IFERROR(F300*1000000/$E300,"")</f>
        <v>104.055976985024</v>
      </c>
      <c r="L300" s="11" t="n">
        <f aca="false">IFERROR(G300*1000000/$E300,"")</f>
        <v>43.1448094287158</v>
      </c>
      <c r="M300" s="11" t="n">
        <f aca="false">IFERROR(H300*1000000/$E300,"")</f>
        <v>64.8292901309888</v>
      </c>
      <c r="N300" s="11" t="n">
        <f aca="false">IFERROR(I300*1000000/$E300,"")</f>
        <v>212.030076544729</v>
      </c>
      <c r="O300" s="11" t="n">
        <f aca="false">IFERROR(J300*1000000/$E300,"")</f>
        <v>204.601180308035</v>
      </c>
      <c r="P300" s="16" t="n">
        <f aca="false">COUNTIFS($A$4:$A$1008,$A300,$N$4:$N$1008,"&gt;"&amp;N300)+1</f>
        <v>28</v>
      </c>
      <c r="Q300" s="16" t="n">
        <f aca="false">COUNTIFS($A$4:$A$1008,$A300,$O$4:$O$1008,"&gt;"&amp;O300)+1</f>
        <v>4</v>
      </c>
    </row>
    <row r="301" customFormat="false" ht="15" hidden="false" customHeight="false" outlineLevel="0" collapsed="false">
      <c r="A301" s="7" t="n">
        <v>2007</v>
      </c>
      <c r="B301" s="15" t="s">
        <v>144</v>
      </c>
      <c r="C301" s="15" t="s">
        <v>135</v>
      </c>
      <c r="D301" s="15" t="s">
        <v>141</v>
      </c>
      <c r="E301" s="9" t="n">
        <f aca="false">SUMIFS(Data!$L$2:$L$1006,Data!$A$2:$A$1006,$A301,Data!$B$2:$B$1006,$B301)</f>
        <v>468666</v>
      </c>
      <c r="F301" s="10" t="n">
        <f aca="false">SUMIFS(Data!$E$2:$E$1006,Data!$A$2:$A$1006,$A301,Data!$B$2:$B$1006,$B301)</f>
        <v>31.630965</v>
      </c>
      <c r="G301" s="10" t="n">
        <f aca="false">SUMIFS(Data!$F$2:$F$1006,Data!$A$2:$A$1006,$A301,Data!$B$2:$B$1006,$B301)</f>
        <v>20.218335</v>
      </c>
      <c r="H301" s="10" t="n">
        <f aca="false">SUMIFS(Data!$G$2:$G$1006,Data!$A$2:$A$1006,$A301,Data!$B$2:$B$1006,$B301)</f>
        <v>54.146078</v>
      </c>
      <c r="I301" s="10" t="n">
        <f aca="false">SUMIFS(Data!$N$2:$N$1006,Data!$A$2:$A$1006,$A301,Data!$B$2:$B$1006,$B301)</f>
        <v>105.995378</v>
      </c>
      <c r="J301" s="10" t="n">
        <f aca="false">SUMIFS(Data!$H$2:$H$1006,Data!$A$2:$A$1006,$A301,Data!$B$2:$B$1006,$B301)</f>
        <v>49.690802</v>
      </c>
      <c r="K301" s="11" t="n">
        <f aca="false">IFERROR(F301*1000000/$E301,"")</f>
        <v>67.4914864743762</v>
      </c>
      <c r="L301" s="11" t="n">
        <f aca="false">IFERROR(G301*1000000/$E301,"")</f>
        <v>43.1401787200266</v>
      </c>
      <c r="M301" s="11" t="n">
        <f aca="false">IFERROR(H301*1000000/$E301,"")</f>
        <v>115.532336461361</v>
      </c>
      <c r="N301" s="11" t="n">
        <f aca="false">IFERROR(I301*1000000/$E301,"")</f>
        <v>226.164001655763</v>
      </c>
      <c r="O301" s="11" t="n">
        <f aca="false">IFERROR(J301*1000000/$E301,"")</f>
        <v>106.026044133775</v>
      </c>
      <c r="P301" s="16" t="n">
        <f aca="false">COUNTIFS($A$4:$A$1008,$A301,$N$4:$N$1008,"&gt;"&amp;N301)+1</f>
        <v>21</v>
      </c>
      <c r="Q301" s="16" t="n">
        <f aca="false">COUNTIFS($A$4:$A$1008,$A301,$O$4:$O$1008,"&gt;"&amp;O301)+1</f>
        <v>31</v>
      </c>
    </row>
    <row r="302" customFormat="false" ht="15" hidden="false" customHeight="false" outlineLevel="0" collapsed="false">
      <c r="A302" s="7" t="n">
        <v>2007</v>
      </c>
      <c r="B302" s="15" t="s">
        <v>145</v>
      </c>
      <c r="C302" s="15" t="s">
        <v>135</v>
      </c>
      <c r="D302" s="15" t="s">
        <v>146</v>
      </c>
      <c r="E302" s="9" t="n">
        <f aca="false">SUMIFS(Data!$L$2:$L$1006,Data!$A$2:$A$1006,$A302,Data!$B$2:$B$1006,$B302)</f>
        <v>528093</v>
      </c>
      <c r="F302" s="10" t="n">
        <f aca="false">SUMIFS(Data!$E$2:$E$1006,Data!$A$2:$A$1006,$A302,Data!$B$2:$B$1006,$B302)</f>
        <v>31.597012</v>
      </c>
      <c r="G302" s="10" t="n">
        <f aca="false">SUMIFS(Data!$F$2:$F$1006,Data!$A$2:$A$1006,$A302,Data!$B$2:$B$1006,$B302)</f>
        <v>49.993173</v>
      </c>
      <c r="H302" s="10" t="n">
        <f aca="false">SUMIFS(Data!$G$2:$G$1006,Data!$A$2:$A$1006,$A302,Data!$B$2:$B$1006,$B302)</f>
        <v>41.914587</v>
      </c>
      <c r="I302" s="10" t="n">
        <f aca="false">SUMIFS(Data!$N$2:$N$1006,Data!$A$2:$A$1006,$A302,Data!$B$2:$B$1006,$B302)</f>
        <v>123.504772</v>
      </c>
      <c r="J302" s="10" t="n">
        <f aca="false">SUMIFS(Data!$H$2:$H$1006,Data!$A$2:$A$1006,$A302,Data!$B$2:$B$1006,$B302)</f>
        <v>103.733014</v>
      </c>
      <c r="K302" s="11" t="n">
        <f aca="false">IFERROR(F302*1000000/$E302,"")</f>
        <v>59.8322871160951</v>
      </c>
      <c r="L302" s="11" t="n">
        <f aca="false">IFERROR(G302*1000000/$E302,"")</f>
        <v>94.6673654072294</v>
      </c>
      <c r="M302" s="11" t="n">
        <f aca="false">IFERROR(H302*1000000/$E302,"")</f>
        <v>79.369707608319</v>
      </c>
      <c r="N302" s="11" t="n">
        <f aca="false">IFERROR(I302*1000000/$E302,"")</f>
        <v>233.869360131643</v>
      </c>
      <c r="O302" s="11" t="n">
        <f aca="false">IFERROR(J302*1000000/$E302,"")</f>
        <v>196.429443298813</v>
      </c>
      <c r="P302" s="16" t="n">
        <f aca="false">COUNTIFS($A$4:$A$1008,$A302,$N$4:$N$1008,"&gt;"&amp;N302)+1</f>
        <v>17</v>
      </c>
      <c r="Q302" s="16" t="n">
        <f aca="false">COUNTIFS($A$4:$A$1008,$A302,$O$4:$O$1008,"&gt;"&amp;O302)+1</f>
        <v>5</v>
      </c>
    </row>
    <row r="303" customFormat="false" ht="15" hidden="false" customHeight="false" outlineLevel="0" collapsed="false">
      <c r="A303" s="7" t="n">
        <v>2007</v>
      </c>
      <c r="B303" s="15" t="s">
        <v>147</v>
      </c>
      <c r="C303" s="15" t="s">
        <v>135</v>
      </c>
      <c r="D303" s="15" t="s">
        <v>148</v>
      </c>
      <c r="E303" s="9" t="n">
        <f aca="false">SUMIFS(Data!$L$2:$L$1006,Data!$A$2:$A$1006,$A303,Data!$B$2:$B$1006,$B303)</f>
        <v>137561</v>
      </c>
      <c r="F303" s="10" t="n">
        <f aca="false">SUMIFS(Data!$E$2:$E$1006,Data!$A$2:$A$1006,$A303,Data!$B$2:$B$1006,$B303)</f>
        <v>12.313681</v>
      </c>
      <c r="G303" s="10" t="n">
        <f aca="false">SUMIFS(Data!$F$2:$F$1006,Data!$A$2:$A$1006,$A303,Data!$B$2:$B$1006,$B303)</f>
        <v>11.029601</v>
      </c>
      <c r="H303" s="10" t="n">
        <f aca="false">SUMIFS(Data!$G$2:$G$1006,Data!$A$2:$A$1006,$A303,Data!$B$2:$B$1006,$B303)</f>
        <v>10.369346</v>
      </c>
      <c r="I303" s="10" t="n">
        <f aca="false">SUMIFS(Data!$N$2:$N$1006,Data!$A$2:$A$1006,$A303,Data!$B$2:$B$1006,$B303)</f>
        <v>33.712628</v>
      </c>
      <c r="J303" s="10" t="n">
        <f aca="false">SUMIFS(Data!$H$2:$H$1006,Data!$A$2:$A$1006,$A303,Data!$B$2:$B$1006,$B303)</f>
        <v>20.160092</v>
      </c>
      <c r="K303" s="11" t="n">
        <f aca="false">IFERROR(F303*1000000/$E303,"")</f>
        <v>89.5143318237</v>
      </c>
      <c r="L303" s="11" t="n">
        <f aca="false">IFERROR(G303*1000000/$E303,"")</f>
        <v>80.1797093652998</v>
      </c>
      <c r="M303" s="11" t="n">
        <f aca="false">IFERROR(H303*1000000/$E303,"")</f>
        <v>75.3799841524851</v>
      </c>
      <c r="N303" s="11" t="n">
        <f aca="false">IFERROR(I303*1000000/$E303,"")</f>
        <v>245.074025341485</v>
      </c>
      <c r="O303" s="11" t="n">
        <f aca="false">IFERROR(J303*1000000/$E303,"")</f>
        <v>146.553834298966</v>
      </c>
      <c r="P303" s="16" t="n">
        <f aca="false">COUNTIFS($A$4:$A$1008,$A303,$N$4:$N$1008,"&gt;"&amp;N303)+1</f>
        <v>13</v>
      </c>
      <c r="Q303" s="16" t="n">
        <f aca="false">COUNTIFS($A$4:$A$1008,$A303,$O$4:$O$1008,"&gt;"&amp;O303)+1</f>
        <v>14</v>
      </c>
    </row>
    <row r="304" customFormat="false" ht="15" hidden="false" customHeight="false" outlineLevel="0" collapsed="false">
      <c r="A304" s="7" t="n">
        <v>2007</v>
      </c>
      <c r="B304" s="15" t="s">
        <v>149</v>
      </c>
      <c r="C304" s="15" t="s">
        <v>135</v>
      </c>
      <c r="D304" s="15" t="s">
        <v>146</v>
      </c>
      <c r="E304" s="9" t="n">
        <f aca="false">SUMIFS(Data!$L$2:$L$1006,Data!$A$2:$A$1006,$A304,Data!$B$2:$B$1006,$B304)</f>
        <v>716315</v>
      </c>
      <c r="F304" s="10" t="n">
        <f aca="false">SUMIFS(Data!$E$2:$E$1006,Data!$A$2:$A$1006,$A304,Data!$B$2:$B$1006,$B304)</f>
        <v>106.797941</v>
      </c>
      <c r="G304" s="10" t="n">
        <f aca="false">SUMIFS(Data!$F$2:$F$1006,Data!$A$2:$A$1006,$A304,Data!$B$2:$B$1006,$B304)</f>
        <v>63.938025</v>
      </c>
      <c r="H304" s="10" t="n">
        <f aca="false">SUMIFS(Data!$G$2:$G$1006,Data!$A$2:$A$1006,$A304,Data!$B$2:$B$1006,$B304)</f>
        <v>52.973269</v>
      </c>
      <c r="I304" s="10" t="n">
        <f aca="false">SUMIFS(Data!$N$2:$N$1006,Data!$A$2:$A$1006,$A304,Data!$B$2:$B$1006,$B304)</f>
        <v>223.709235</v>
      </c>
      <c r="J304" s="10" t="n">
        <f aca="false">SUMIFS(Data!$H$2:$H$1006,Data!$A$2:$A$1006,$A304,Data!$B$2:$B$1006,$B304)</f>
        <v>151.42702</v>
      </c>
      <c r="K304" s="11" t="n">
        <f aca="false">IFERROR(F304*1000000/$E304,"")</f>
        <v>149.093542645345</v>
      </c>
      <c r="L304" s="11" t="n">
        <f aca="false">IFERROR(G304*1000000/$E304,"")</f>
        <v>89.2596483390687</v>
      </c>
      <c r="M304" s="11" t="n">
        <f aca="false">IFERROR(H304*1000000/$E304,"")</f>
        <v>73.9524776111068</v>
      </c>
      <c r="N304" s="11" t="n">
        <f aca="false">IFERROR(I304*1000000/$E304,"")</f>
        <v>312.30566859552</v>
      </c>
      <c r="O304" s="11" t="n">
        <f aca="false">IFERROR(J304*1000000/$E304,"")</f>
        <v>211.397248417247</v>
      </c>
      <c r="P304" s="16" t="n">
        <f aca="false">COUNTIFS($A$4:$A$1008,$A304,$N$4:$N$1008,"&gt;"&amp;N304)+1</f>
        <v>3</v>
      </c>
      <c r="Q304" s="16" t="n">
        <f aca="false">COUNTIFS($A$4:$A$1008,$A304,$O$4:$O$1008,"&gt;"&amp;O304)+1</f>
        <v>3</v>
      </c>
    </row>
    <row r="305" customFormat="false" ht="15" hidden="false" customHeight="false" outlineLevel="0" collapsed="false">
      <c r="A305" s="7" t="n">
        <v>2007</v>
      </c>
      <c r="B305" s="15" t="s">
        <v>150</v>
      </c>
      <c r="C305" s="15" t="s">
        <v>135</v>
      </c>
      <c r="D305" s="15" t="s">
        <v>141</v>
      </c>
      <c r="E305" s="9" t="n">
        <f aca="false">SUMIFS(Data!$L$2:$L$1006,Data!$A$2:$A$1006,$A305,Data!$B$2:$B$1006,$B305)</f>
        <v>454471</v>
      </c>
      <c r="F305" s="10" t="n">
        <f aca="false">SUMIFS(Data!$E$2:$E$1006,Data!$A$2:$A$1006,$A305,Data!$B$2:$B$1006,$B305)</f>
        <v>38.624848</v>
      </c>
      <c r="G305" s="10" t="n">
        <f aca="false">SUMIFS(Data!$F$2:$F$1006,Data!$A$2:$A$1006,$A305,Data!$B$2:$B$1006,$B305)</f>
        <v>16.054216</v>
      </c>
      <c r="H305" s="10" t="n">
        <f aca="false">SUMIFS(Data!$G$2:$G$1006,Data!$A$2:$A$1006,$A305,Data!$B$2:$B$1006,$B305)</f>
        <v>47.32861</v>
      </c>
      <c r="I305" s="10" t="n">
        <f aca="false">SUMIFS(Data!$N$2:$N$1006,Data!$A$2:$A$1006,$A305,Data!$B$2:$B$1006,$B305)</f>
        <v>102.007674</v>
      </c>
      <c r="J305" s="10" t="n">
        <f aca="false">SUMIFS(Data!$H$2:$H$1006,Data!$A$2:$A$1006,$A305,Data!$B$2:$B$1006,$B305)</f>
        <v>65.199503</v>
      </c>
      <c r="K305" s="11" t="n">
        <f aca="false">IFERROR(F305*1000000/$E305,"")</f>
        <v>84.9885867305065</v>
      </c>
      <c r="L305" s="11" t="n">
        <f aca="false">IFERROR(G305*1000000/$E305,"")</f>
        <v>35.3250614450647</v>
      </c>
      <c r="M305" s="11" t="n">
        <f aca="false">IFERROR(H305*1000000/$E305,"")</f>
        <v>104.140000132022</v>
      </c>
      <c r="N305" s="11" t="n">
        <f aca="false">IFERROR(I305*1000000/$E305,"")</f>
        <v>224.453648307593</v>
      </c>
      <c r="O305" s="11" t="n">
        <f aca="false">IFERROR(J305*1000000/$E305,"")</f>
        <v>143.462405742061</v>
      </c>
      <c r="P305" s="16" t="n">
        <f aca="false">COUNTIFS($A$4:$A$1008,$A305,$N$4:$N$1008,"&gt;"&amp;N305)+1</f>
        <v>22</v>
      </c>
      <c r="Q305" s="16" t="n">
        <f aca="false">COUNTIFS($A$4:$A$1008,$A305,$O$4:$O$1008,"&gt;"&amp;O305)+1</f>
        <v>18</v>
      </c>
    </row>
    <row r="306" customFormat="false" ht="15" hidden="false" customHeight="false" outlineLevel="0" collapsed="false">
      <c r="A306" s="7" t="n">
        <v>2007</v>
      </c>
      <c r="B306" s="15" t="s">
        <v>151</v>
      </c>
      <c r="C306" s="15" t="s">
        <v>135</v>
      </c>
      <c r="D306" s="15" t="s">
        <v>136</v>
      </c>
      <c r="E306" s="9" t="n">
        <f aca="false">SUMIFS(Data!$L$2:$L$1006,Data!$A$2:$A$1006,$A306,Data!$B$2:$B$1006,$B306)</f>
        <v>1327035</v>
      </c>
      <c r="F306" s="10" t="n">
        <f aca="false">SUMIFS(Data!$E$2:$E$1006,Data!$A$2:$A$1006,$A306,Data!$B$2:$B$1006,$B306)</f>
        <v>100.502703</v>
      </c>
      <c r="G306" s="10" t="n">
        <f aca="false">SUMIFS(Data!$F$2:$F$1006,Data!$A$2:$A$1006,$A306,Data!$B$2:$B$1006,$B306)</f>
        <v>131.980222</v>
      </c>
      <c r="H306" s="10" t="n">
        <f aca="false">SUMIFS(Data!$G$2:$G$1006,Data!$A$2:$A$1006,$A306,Data!$B$2:$B$1006,$B306)</f>
        <v>81.450816</v>
      </c>
      <c r="I306" s="10" t="n">
        <f aca="false">SUMIFS(Data!$N$2:$N$1006,Data!$A$2:$A$1006,$A306,Data!$B$2:$B$1006,$B306)</f>
        <v>313.933741</v>
      </c>
      <c r="J306" s="10" t="n">
        <f aca="false">SUMIFS(Data!$H$2:$H$1006,Data!$A$2:$A$1006,$A306,Data!$B$2:$B$1006,$B306)</f>
        <v>119.647091</v>
      </c>
      <c r="K306" s="11" t="n">
        <f aca="false">IFERROR(F306*1000000/$E306,"")</f>
        <v>75.7347794142581</v>
      </c>
      <c r="L306" s="11" t="n">
        <f aca="false">IFERROR(G306*1000000/$E306,"")</f>
        <v>99.4549668998934</v>
      </c>
      <c r="M306" s="11" t="n">
        <f aca="false">IFERROR(H306*1000000/$E306,"")</f>
        <v>61.3780465473782</v>
      </c>
      <c r="N306" s="11" t="n">
        <f aca="false">IFERROR(I306*1000000/$E306,"")</f>
        <v>236.56779286153</v>
      </c>
      <c r="O306" s="11" t="n">
        <f aca="false">IFERROR(J306*1000000/$E306,"")</f>
        <v>90.1612173002219</v>
      </c>
      <c r="P306" s="16" t="n">
        <f aca="false">COUNTIFS($A$4:$A$1008,$A306,$N$4:$N$1008,"&gt;"&amp;N306)+1</f>
        <v>15</v>
      </c>
      <c r="Q306" s="16" t="n">
        <f aca="false">COUNTIFS($A$4:$A$1008,$A306,$O$4:$O$1008,"&gt;"&amp;O306)+1</f>
        <v>35</v>
      </c>
    </row>
    <row r="307" customFormat="false" ht="15" hidden="false" customHeight="false" outlineLevel="0" collapsed="false">
      <c r="A307" s="7" t="n">
        <v>2007</v>
      </c>
      <c r="B307" s="15" t="s">
        <v>152</v>
      </c>
      <c r="C307" s="15" t="s">
        <v>135</v>
      </c>
      <c r="D307" s="15" t="s">
        <v>148</v>
      </c>
      <c r="E307" s="9" t="n">
        <f aca="false">SUMIFS(Data!$L$2:$L$1006,Data!$A$2:$A$1006,$A307,Data!$B$2:$B$1006,$B307)</f>
        <v>255876</v>
      </c>
      <c r="F307" s="10" t="n">
        <f aca="false">SUMIFS(Data!$E$2:$E$1006,Data!$A$2:$A$1006,$A307,Data!$B$2:$B$1006,$B307)</f>
        <v>20.750545</v>
      </c>
      <c r="G307" s="10" t="n">
        <f aca="false">SUMIFS(Data!$F$2:$F$1006,Data!$A$2:$A$1006,$A307,Data!$B$2:$B$1006,$B307)</f>
        <v>18.457928</v>
      </c>
      <c r="H307" s="10" t="n">
        <f aca="false">SUMIFS(Data!$G$2:$G$1006,Data!$A$2:$A$1006,$A307,Data!$B$2:$B$1006,$B307)</f>
        <v>18.778629</v>
      </c>
      <c r="I307" s="10" t="n">
        <f aca="false">SUMIFS(Data!$N$2:$N$1006,Data!$A$2:$A$1006,$A307,Data!$B$2:$B$1006,$B307)</f>
        <v>57.987102</v>
      </c>
      <c r="J307" s="10" t="n">
        <f aca="false">SUMIFS(Data!$H$2:$H$1006,Data!$A$2:$A$1006,$A307,Data!$B$2:$B$1006,$B307)</f>
        <v>26.720651</v>
      </c>
      <c r="K307" s="11" t="n">
        <f aca="false">IFERROR(F307*1000000/$E307,"")</f>
        <v>81.0960973283934</v>
      </c>
      <c r="L307" s="11" t="n">
        <f aca="false">IFERROR(G307*1000000/$E307,"")</f>
        <v>72.1362222326439</v>
      </c>
      <c r="M307" s="11" t="n">
        <f aca="false">IFERROR(H307*1000000/$E307,"")</f>
        <v>73.3895676030577</v>
      </c>
      <c r="N307" s="11" t="n">
        <f aca="false">IFERROR(I307*1000000/$E307,"")</f>
        <v>226.621887164095</v>
      </c>
      <c r="O307" s="11" t="n">
        <f aca="false">IFERROR(J307*1000000/$E307,"")</f>
        <v>104.428125341963</v>
      </c>
      <c r="P307" s="16" t="n">
        <f aca="false">COUNTIFS($A$4:$A$1008,$A307,$N$4:$N$1008,"&gt;"&amp;N307)+1</f>
        <v>20</v>
      </c>
      <c r="Q307" s="16" t="n">
        <f aca="false">COUNTIFS($A$4:$A$1008,$A307,$O$4:$O$1008,"&gt;"&amp;O307)+1</f>
        <v>31</v>
      </c>
    </row>
    <row r="308" customFormat="false" ht="15" hidden="false" customHeight="false" outlineLevel="0" collapsed="false">
      <c r="A308" s="7" t="n">
        <v>2007</v>
      </c>
      <c r="B308" s="15" t="s">
        <v>153</v>
      </c>
      <c r="C308" s="15" t="s">
        <v>135</v>
      </c>
      <c r="D308" s="15" t="s">
        <v>136</v>
      </c>
      <c r="E308" s="9" t="n">
        <f aca="false">SUMIFS(Data!$L$2:$L$1006,Data!$A$2:$A$1006,$A308,Data!$B$2:$B$1006,$B308)</f>
        <v>129175</v>
      </c>
      <c r="F308" s="10" t="n">
        <f aca="false">SUMIFS(Data!$E$2:$E$1006,Data!$A$2:$A$1006,$A308,Data!$B$2:$B$1006,$B308)</f>
        <v>14.686349</v>
      </c>
      <c r="G308" s="10" t="n">
        <f aca="false">SUMIFS(Data!$F$2:$F$1006,Data!$A$2:$A$1006,$A308,Data!$B$2:$B$1006,$B308)</f>
        <v>15.748959</v>
      </c>
      <c r="H308" s="10" t="n">
        <f aca="false">SUMIFS(Data!$G$2:$G$1006,Data!$A$2:$A$1006,$A308,Data!$B$2:$B$1006,$B308)</f>
        <v>8.775975</v>
      </c>
      <c r="I308" s="10" t="n">
        <f aca="false">SUMIFS(Data!$N$2:$N$1006,Data!$A$2:$A$1006,$A308,Data!$B$2:$B$1006,$B308)</f>
        <v>39.211283</v>
      </c>
      <c r="J308" s="10" t="n">
        <f aca="false">SUMIFS(Data!$H$2:$H$1006,Data!$A$2:$A$1006,$A308,Data!$B$2:$B$1006,$B308)</f>
        <v>17.492091</v>
      </c>
      <c r="K308" s="11" t="n">
        <f aca="false">IFERROR(F308*1000000/$E308,"")</f>
        <v>113.693431391523</v>
      </c>
      <c r="L308" s="11" t="n">
        <f aca="false">IFERROR(G308*1000000/$E308,"")</f>
        <v>121.919558738146</v>
      </c>
      <c r="M308" s="11" t="n">
        <f aca="false">IFERROR(H308*1000000/$E308,"")</f>
        <v>67.9386491194117</v>
      </c>
      <c r="N308" s="11" t="n">
        <f aca="false">IFERROR(I308*1000000/$E308,"")</f>
        <v>303.551639249081</v>
      </c>
      <c r="O308" s="11" t="n">
        <f aca="false">IFERROR(J308*1000000/$E308,"")</f>
        <v>135.413903619121</v>
      </c>
      <c r="P308" s="16" t="n">
        <f aca="false">COUNTIFS($A$4:$A$1008,$A308,$N$4:$N$1008,"&gt;"&amp;N308)+1</f>
        <v>5</v>
      </c>
      <c r="Q308" s="16" t="n">
        <f aca="false">COUNTIFS($A$4:$A$1008,$A308,$O$4:$O$1008,"&gt;"&amp;O308)+1</f>
        <v>22</v>
      </c>
    </row>
    <row r="309" customFormat="false" ht="15" hidden="false" customHeight="false" outlineLevel="0" collapsed="false">
      <c r="A309" s="7" t="n">
        <v>2007</v>
      </c>
      <c r="B309" s="15" t="s">
        <v>154</v>
      </c>
      <c r="C309" s="15" t="s">
        <v>135</v>
      </c>
      <c r="D309" s="15" t="s">
        <v>141</v>
      </c>
      <c r="E309" s="9" t="n">
        <f aca="false">SUMIFS(Data!$L$2:$L$1006,Data!$A$2:$A$1006,$A309,Data!$B$2:$B$1006,$B309)</f>
        <v>146473</v>
      </c>
      <c r="F309" s="10" t="n">
        <f aca="false">SUMIFS(Data!$E$2:$E$1006,Data!$A$2:$A$1006,$A309,Data!$B$2:$B$1006,$B309)</f>
        <v>9.584084</v>
      </c>
      <c r="G309" s="10" t="n">
        <f aca="false">SUMIFS(Data!$F$2:$F$1006,Data!$A$2:$A$1006,$A309,Data!$B$2:$B$1006,$B309)</f>
        <v>6.978753</v>
      </c>
      <c r="H309" s="10" t="n">
        <f aca="false">SUMIFS(Data!$G$2:$G$1006,Data!$A$2:$A$1006,$A309,Data!$B$2:$B$1006,$B309)</f>
        <v>12.252209</v>
      </c>
      <c r="I309" s="10" t="n">
        <f aca="false">SUMIFS(Data!$N$2:$N$1006,Data!$A$2:$A$1006,$A309,Data!$B$2:$B$1006,$B309)</f>
        <v>28.815046</v>
      </c>
      <c r="J309" s="10" t="n">
        <f aca="false">SUMIFS(Data!$H$2:$H$1006,Data!$A$2:$A$1006,$A309,Data!$B$2:$B$1006,$B309)</f>
        <v>24.934755</v>
      </c>
      <c r="K309" s="11" t="n">
        <f aca="false">IFERROR(F309*1000000/$E309,"")</f>
        <v>65.4324278194616</v>
      </c>
      <c r="L309" s="11" t="n">
        <f aca="false">IFERROR(G309*1000000/$E309,"")</f>
        <v>47.6453202979389</v>
      </c>
      <c r="M309" s="11" t="n">
        <f aca="false">IFERROR(H309*1000000/$E309,"")</f>
        <v>83.6482423381784</v>
      </c>
      <c r="N309" s="11" t="n">
        <f aca="false">IFERROR(I309*1000000/$E309,"")</f>
        <v>196.725990455579</v>
      </c>
      <c r="O309" s="11" t="n">
        <f aca="false">IFERROR(J309*1000000/$E309,"")</f>
        <v>170.234480074826</v>
      </c>
      <c r="P309" s="16" t="n">
        <f aca="false">COUNTIFS($A$4:$A$1008,$A309,$N$4:$N$1008,"&gt;"&amp;N309)+1</f>
        <v>31</v>
      </c>
      <c r="Q309" s="16" t="n">
        <f aca="false">COUNTIFS($A$4:$A$1008,$A309,$O$4:$O$1008,"&gt;"&amp;O309)+1</f>
        <v>7</v>
      </c>
    </row>
    <row r="310" customFormat="false" ht="15" hidden="false" customHeight="false" outlineLevel="0" collapsed="false">
      <c r="A310" s="7" t="n">
        <v>2007</v>
      </c>
      <c r="B310" s="15" t="s">
        <v>155</v>
      </c>
      <c r="C310" s="15" t="s">
        <v>135</v>
      </c>
      <c r="D310" s="15" t="s">
        <v>148</v>
      </c>
      <c r="E310" s="9" t="n">
        <f aca="false">SUMIFS(Data!$L$2:$L$1006,Data!$A$2:$A$1006,$A310,Data!$B$2:$B$1006,$B310)</f>
        <v>1105477</v>
      </c>
      <c r="F310" s="10" t="n">
        <f aca="false">SUMIFS(Data!$E$2:$E$1006,Data!$A$2:$A$1006,$A310,Data!$B$2:$B$1006,$B310)</f>
        <v>73.13665</v>
      </c>
      <c r="G310" s="10" t="n">
        <f aca="false">SUMIFS(Data!$F$2:$F$1006,Data!$A$2:$A$1006,$A310,Data!$B$2:$B$1006,$B310)</f>
        <v>78.756553</v>
      </c>
      <c r="H310" s="10" t="n">
        <f aca="false">SUMIFS(Data!$G$2:$G$1006,Data!$A$2:$A$1006,$A310,Data!$B$2:$B$1006,$B310)</f>
        <v>90.619748</v>
      </c>
      <c r="I310" s="10" t="n">
        <f aca="false">SUMIFS(Data!$N$2:$N$1006,Data!$A$2:$A$1006,$A310,Data!$B$2:$B$1006,$B310)</f>
        <v>242.512951</v>
      </c>
      <c r="J310" s="10" t="n">
        <f aca="false">SUMIFS(Data!$H$2:$H$1006,Data!$A$2:$A$1006,$A310,Data!$B$2:$B$1006,$B310)</f>
        <v>168.79718</v>
      </c>
      <c r="K310" s="11" t="n">
        <f aca="false">IFERROR(F310*1000000/$E310,"")</f>
        <v>66.1584546761262</v>
      </c>
      <c r="L310" s="11" t="n">
        <f aca="false">IFERROR(G310*1000000/$E310,"")</f>
        <v>71.2421452458984</v>
      </c>
      <c r="M310" s="11" t="n">
        <f aca="false">IFERROR(H310*1000000/$E310,"")</f>
        <v>81.9734359014254</v>
      </c>
      <c r="N310" s="11" t="n">
        <f aca="false">IFERROR(I310*1000000/$E310,"")</f>
        <v>219.37403582345</v>
      </c>
      <c r="O310" s="11" t="n">
        <f aca="false">IFERROR(J310*1000000/$E310,"")</f>
        <v>152.691715883732</v>
      </c>
      <c r="P310" s="16" t="n">
        <f aca="false">COUNTIFS($A$4:$A$1008,$A310,$N$4:$N$1008,"&gt;"&amp;N310)+1</f>
        <v>26</v>
      </c>
      <c r="Q310" s="16" t="n">
        <f aca="false">COUNTIFS($A$4:$A$1008,$A310,$O$4:$O$1008,"&gt;"&amp;O310)+1</f>
        <v>11</v>
      </c>
    </row>
    <row r="311" customFormat="false" ht="15" hidden="false" customHeight="false" outlineLevel="0" collapsed="false">
      <c r="A311" s="7" t="n">
        <v>2007</v>
      </c>
      <c r="B311" s="15" t="s">
        <v>156</v>
      </c>
      <c r="C311" s="15" t="s">
        <v>135</v>
      </c>
      <c r="D311" s="15" t="s">
        <v>148</v>
      </c>
      <c r="E311" s="9" t="n">
        <f aca="false">SUMIFS(Data!$L$2:$L$1006,Data!$A$2:$A$1006,$A311,Data!$B$2:$B$1006,$B311)</f>
        <v>450393</v>
      </c>
      <c r="F311" s="10" t="n">
        <f aca="false">SUMIFS(Data!$E$2:$E$1006,Data!$A$2:$A$1006,$A311,Data!$B$2:$B$1006,$B311)</f>
        <v>25.543023</v>
      </c>
      <c r="G311" s="10" t="n">
        <f aca="false">SUMIFS(Data!$F$2:$F$1006,Data!$A$2:$A$1006,$A311,Data!$B$2:$B$1006,$B311)</f>
        <v>48.458264</v>
      </c>
      <c r="H311" s="10" t="n">
        <f aca="false">SUMIFS(Data!$G$2:$G$1006,Data!$A$2:$A$1006,$A311,Data!$B$2:$B$1006,$B311)</f>
        <v>43.02305</v>
      </c>
      <c r="I311" s="10" t="n">
        <f aca="false">SUMIFS(Data!$N$2:$N$1006,Data!$A$2:$A$1006,$A311,Data!$B$2:$B$1006,$B311)</f>
        <v>117.024337</v>
      </c>
      <c r="J311" s="10" t="n">
        <f aca="false">SUMIFS(Data!$H$2:$H$1006,Data!$A$2:$A$1006,$A311,Data!$B$2:$B$1006,$B311)</f>
        <v>99.134447</v>
      </c>
      <c r="K311" s="11" t="n">
        <f aca="false">IFERROR(F311*1000000/$E311,"")</f>
        <v>56.7127442033957</v>
      </c>
      <c r="L311" s="11" t="n">
        <f aca="false">IFERROR(G311*1000000/$E311,"")</f>
        <v>107.591068244844</v>
      </c>
      <c r="M311" s="11" t="n">
        <f aca="false">IFERROR(H311*1000000/$E311,"")</f>
        <v>95.5233540485754</v>
      </c>
      <c r="N311" s="11" t="n">
        <f aca="false">IFERROR(I311*1000000/$E311,"")</f>
        <v>259.827166496815</v>
      </c>
      <c r="O311" s="11" t="n">
        <f aca="false">IFERROR(J311*1000000/$E311,"")</f>
        <v>220.106544728715</v>
      </c>
      <c r="P311" s="16" t="n">
        <f aca="false">COUNTIFS($A$4:$A$1008,$A311,$N$4:$N$1008,"&gt;"&amp;N311)+1</f>
        <v>8</v>
      </c>
      <c r="Q311" s="16" t="n">
        <f aca="false">COUNTIFS($A$4:$A$1008,$A311,$O$4:$O$1008,"&gt;"&amp;O311)+1</f>
        <v>2</v>
      </c>
    </row>
    <row r="312" customFormat="false" ht="15" hidden="false" customHeight="false" outlineLevel="0" collapsed="false">
      <c r="A312" s="7" t="n">
        <v>2007</v>
      </c>
      <c r="B312" s="15" t="s">
        <v>157</v>
      </c>
      <c r="C312" s="15" t="s">
        <v>135</v>
      </c>
      <c r="D312" s="15" t="s">
        <v>148</v>
      </c>
      <c r="E312" s="9" t="n">
        <f aca="false">SUMIFS(Data!$L$2:$L$1006,Data!$A$2:$A$1006,$A312,Data!$B$2:$B$1006,$B312)</f>
        <v>430278</v>
      </c>
      <c r="F312" s="10" t="n">
        <f aca="false">SUMIFS(Data!$E$2:$E$1006,Data!$A$2:$A$1006,$A312,Data!$B$2:$B$1006,$B312)</f>
        <v>44.840486</v>
      </c>
      <c r="G312" s="10" t="n">
        <f aca="false">SUMIFS(Data!$F$2:$F$1006,Data!$A$2:$A$1006,$A312,Data!$B$2:$B$1006,$B312)</f>
        <v>39.851746</v>
      </c>
      <c r="H312" s="10" t="n">
        <f aca="false">SUMIFS(Data!$G$2:$G$1006,Data!$A$2:$A$1006,$A312,Data!$B$2:$B$1006,$B312)</f>
        <v>26.970303</v>
      </c>
      <c r="I312" s="10" t="n">
        <f aca="false">SUMIFS(Data!$N$2:$N$1006,Data!$A$2:$A$1006,$A312,Data!$B$2:$B$1006,$B312)</f>
        <v>111.662535</v>
      </c>
      <c r="J312" s="10" t="n">
        <f aca="false">SUMIFS(Data!$H$2:$H$1006,Data!$A$2:$A$1006,$A312,Data!$B$2:$B$1006,$B312)</f>
        <v>37.318483</v>
      </c>
      <c r="K312" s="11" t="n">
        <f aca="false">IFERROR(F312*1000000/$E312,"")</f>
        <v>104.212825196733</v>
      </c>
      <c r="L312" s="11" t="n">
        <f aca="false">IFERROR(G312*1000000/$E312,"")</f>
        <v>92.6186000678631</v>
      </c>
      <c r="M312" s="11" t="n">
        <f aca="false">IFERROR(H312*1000000/$E312,"")</f>
        <v>62.6811108167278</v>
      </c>
      <c r="N312" s="11" t="n">
        <f aca="false">IFERROR(I312*1000000/$E312,"")</f>
        <v>259.512536081324</v>
      </c>
      <c r="O312" s="11" t="n">
        <f aca="false">IFERROR(J312*1000000/$E312,"")</f>
        <v>86.7310971046626</v>
      </c>
      <c r="P312" s="16" t="n">
        <f aca="false">COUNTIFS($A$4:$A$1008,$A312,$N$4:$N$1008,"&gt;"&amp;N312)+1</f>
        <v>9</v>
      </c>
      <c r="Q312" s="16" t="n">
        <f aca="false">COUNTIFS($A$4:$A$1008,$A312,$O$4:$O$1008,"&gt;"&amp;O312)+1</f>
        <v>37</v>
      </c>
    </row>
    <row r="313" customFormat="false" ht="15" hidden="false" customHeight="false" outlineLevel="0" collapsed="false">
      <c r="A313" s="7" t="n">
        <v>2008</v>
      </c>
      <c r="B313" s="15" t="s">
        <v>101</v>
      </c>
      <c r="C313" s="15" t="s">
        <v>102</v>
      </c>
      <c r="D313" s="15" t="s">
        <v>103</v>
      </c>
      <c r="E313" s="9" t="n">
        <f aca="false">SUMIFS(Data!$L$2:$L$1006,Data!$A$2:$A$1006,$A313,Data!$B$2:$B$1006,$B313)</f>
        <v>755807</v>
      </c>
      <c r="F313" s="10" t="n">
        <f aca="false">SUMIFS(Data!$E$2:$E$1006,Data!$A$2:$A$1006,$A313,Data!$B$2:$B$1006,$B313)</f>
        <v>62.06567</v>
      </c>
      <c r="G313" s="10" t="n">
        <f aca="false">SUMIFS(Data!$F$2:$F$1006,Data!$A$2:$A$1006,$A313,Data!$B$2:$B$1006,$B313)</f>
        <v>31.318751</v>
      </c>
      <c r="H313" s="10" t="n">
        <f aca="false">SUMIFS(Data!$G$2:$G$1006,Data!$A$2:$A$1006,$A313,Data!$B$2:$B$1006,$B313)</f>
        <v>54.358327</v>
      </c>
      <c r="I313" s="10" t="n">
        <f aca="false">SUMIFS(Data!$N$2:$N$1006,Data!$A$2:$A$1006,$A313,Data!$B$2:$B$1006,$B313)</f>
        <v>147.742748</v>
      </c>
      <c r="J313" s="10" t="n">
        <f aca="false">SUMIFS(Data!$H$2:$H$1006,Data!$A$2:$A$1006,$A313,Data!$B$2:$B$1006,$B313)</f>
        <v>107.67591</v>
      </c>
      <c r="K313" s="11" t="n">
        <f aca="false">IFERROR(F313*1000000/$E313,"")</f>
        <v>82.1184111816906</v>
      </c>
      <c r="L313" s="11" t="n">
        <f aca="false">IFERROR(G313*1000000/$E313,"")</f>
        <v>41.4374979326733</v>
      </c>
      <c r="M313" s="11" t="n">
        <f aca="false">IFERROR(H313*1000000/$E313,"")</f>
        <v>71.9209097031385</v>
      </c>
      <c r="N313" s="11" t="n">
        <f aca="false">IFERROR(I313*1000000/$E313,"")</f>
        <v>195.476818817502</v>
      </c>
      <c r="O313" s="11" t="n">
        <f aca="false">IFERROR(J313*1000000/$E313,"")</f>
        <v>142.464822368673</v>
      </c>
      <c r="P313" s="16" t="n">
        <f aca="false">COUNTIFS($A$4:$A$1008,$A313,$N$4:$N$1008,"&gt;"&amp;N313)+1</f>
        <v>35</v>
      </c>
      <c r="Q313" s="16" t="n">
        <f aca="false">COUNTIFS($A$4:$A$1008,$A313,$O$4:$O$1008,"&gt;"&amp;O313)+1</f>
        <v>19</v>
      </c>
    </row>
    <row r="314" customFormat="false" ht="15" hidden="false" customHeight="false" outlineLevel="0" collapsed="false">
      <c r="A314" s="7" t="n">
        <v>2008</v>
      </c>
      <c r="B314" s="15" t="s">
        <v>104</v>
      </c>
      <c r="C314" s="15" t="s">
        <v>102</v>
      </c>
      <c r="D314" s="15" t="s">
        <v>105</v>
      </c>
      <c r="E314" s="9" t="n">
        <f aca="false">SUMIFS(Data!$L$2:$L$1006,Data!$A$2:$A$1006,$A314,Data!$B$2:$B$1006,$B314)</f>
        <v>1089980</v>
      </c>
      <c r="F314" s="10" t="n">
        <f aca="false">SUMIFS(Data!$E$2:$E$1006,Data!$A$2:$A$1006,$A314,Data!$B$2:$B$1006,$B314)</f>
        <v>113.114858</v>
      </c>
      <c r="G314" s="10" t="n">
        <f aca="false">SUMIFS(Data!$F$2:$F$1006,Data!$A$2:$A$1006,$A314,Data!$B$2:$B$1006,$B314)</f>
        <v>136.873441</v>
      </c>
      <c r="H314" s="10" t="n">
        <f aca="false">SUMIFS(Data!$G$2:$G$1006,Data!$A$2:$A$1006,$A314,Data!$B$2:$B$1006,$B314)</f>
        <v>62.833947</v>
      </c>
      <c r="I314" s="10" t="n">
        <f aca="false">SUMIFS(Data!$N$2:$N$1006,Data!$A$2:$A$1006,$A314,Data!$B$2:$B$1006,$B314)</f>
        <v>312.822246</v>
      </c>
      <c r="J314" s="10" t="n">
        <f aca="false">SUMIFS(Data!$H$2:$H$1006,Data!$A$2:$A$1006,$A314,Data!$B$2:$B$1006,$B314)</f>
        <v>135.738928</v>
      </c>
      <c r="K314" s="11" t="n">
        <f aca="false">IFERROR(F314*1000000/$E314,"")</f>
        <v>103.777003247766</v>
      </c>
      <c r="L314" s="11" t="n">
        <f aca="false">IFERROR(G314*1000000/$E314,"")</f>
        <v>125.574268335199</v>
      </c>
      <c r="M314" s="11" t="n">
        <f aca="false">IFERROR(H314*1000000/$E314,"")</f>
        <v>57.6468806767097</v>
      </c>
      <c r="N314" s="11" t="n">
        <f aca="false">IFERROR(I314*1000000/$E314,"")</f>
        <v>286.998152259675</v>
      </c>
      <c r="O314" s="11" t="n">
        <f aca="false">IFERROR(J314*1000000/$E314,"")</f>
        <v>124.533411622232</v>
      </c>
      <c r="P314" s="16" t="n">
        <f aca="false">COUNTIFS($A$4:$A$1008,$A314,$N$4:$N$1008,"&gt;"&amp;N314)+1</f>
        <v>10</v>
      </c>
      <c r="Q314" s="16" t="n">
        <f aca="false">COUNTIFS($A$4:$A$1008,$A314,$O$4:$O$1008,"&gt;"&amp;O314)+1</f>
        <v>29</v>
      </c>
    </row>
    <row r="315" customFormat="false" ht="15" hidden="false" customHeight="false" outlineLevel="0" collapsed="false">
      <c r="A315" s="7" t="n">
        <v>2008</v>
      </c>
      <c r="B315" s="15" t="s">
        <v>106</v>
      </c>
      <c r="C315" s="15" t="s">
        <v>102</v>
      </c>
      <c r="D315" s="15" t="s">
        <v>107</v>
      </c>
      <c r="E315" s="9" t="n">
        <f aca="false">SUMIFS(Data!$L$2:$L$1006,Data!$A$2:$A$1006,$A315,Data!$B$2:$B$1006,$B315)</f>
        <v>547557</v>
      </c>
      <c r="F315" s="10" t="n">
        <f aca="false">SUMIFS(Data!$E$2:$E$1006,Data!$A$2:$A$1006,$A315,Data!$B$2:$B$1006,$B315)</f>
        <v>44.378985</v>
      </c>
      <c r="G315" s="10" t="n">
        <f aca="false">SUMIFS(Data!$F$2:$F$1006,Data!$A$2:$A$1006,$A315,Data!$B$2:$B$1006,$B315)</f>
        <v>47.939829</v>
      </c>
      <c r="H315" s="10" t="n">
        <f aca="false">SUMIFS(Data!$G$2:$G$1006,Data!$A$2:$A$1006,$A315,Data!$B$2:$B$1006,$B315)</f>
        <v>29.732254</v>
      </c>
      <c r="I315" s="10" t="n">
        <f aca="false">SUMIFS(Data!$N$2:$N$1006,Data!$A$2:$A$1006,$A315,Data!$B$2:$B$1006,$B315)</f>
        <v>122.051068</v>
      </c>
      <c r="J315" s="10" t="n">
        <f aca="false">SUMIFS(Data!$H$2:$H$1006,Data!$A$2:$A$1006,$A315,Data!$B$2:$B$1006,$B315)</f>
        <v>77.724798</v>
      </c>
      <c r="K315" s="11" t="n">
        <f aca="false">IFERROR(F315*1000000/$E315,"")</f>
        <v>81.0490688640635</v>
      </c>
      <c r="L315" s="11" t="n">
        <f aca="false">IFERROR(G315*1000000/$E315,"")</f>
        <v>87.5522164815718</v>
      </c>
      <c r="M315" s="11" t="n">
        <f aca="false">IFERROR(H315*1000000/$E315,"")</f>
        <v>54.2998336246272</v>
      </c>
      <c r="N315" s="11" t="n">
        <f aca="false">IFERROR(I315*1000000/$E315,"")</f>
        <v>222.901118970262</v>
      </c>
      <c r="O315" s="11" t="n">
        <f aca="false">IFERROR(J315*1000000/$E315,"")</f>
        <v>141.948323188271</v>
      </c>
      <c r="P315" s="16" t="n">
        <f aca="false">COUNTIFS($A$4:$A$1008,$A315,$N$4:$N$1008,"&gt;"&amp;N315)+1</f>
        <v>29</v>
      </c>
      <c r="Q315" s="16" t="n">
        <f aca="false">COUNTIFS($A$4:$A$1008,$A315,$O$4:$O$1008,"&gt;"&amp;O315)+1</f>
        <v>20</v>
      </c>
    </row>
    <row r="316" customFormat="false" ht="15" hidden="false" customHeight="false" outlineLevel="0" collapsed="false">
      <c r="A316" s="7" t="n">
        <v>2008</v>
      </c>
      <c r="B316" s="15" t="s">
        <v>108</v>
      </c>
      <c r="C316" s="15" t="s">
        <v>102</v>
      </c>
      <c r="D316" s="15" t="s">
        <v>109</v>
      </c>
      <c r="E316" s="9" t="n">
        <f aca="false">SUMIFS(Data!$L$2:$L$1006,Data!$A$2:$A$1006,$A316,Data!$B$2:$B$1006,$B316)</f>
        <v>381193</v>
      </c>
      <c r="F316" s="10" t="n">
        <f aca="false">SUMIFS(Data!$E$2:$E$1006,Data!$A$2:$A$1006,$A316,Data!$B$2:$B$1006,$B316)</f>
        <v>38.926662</v>
      </c>
      <c r="G316" s="10" t="n">
        <f aca="false">SUMIFS(Data!$F$2:$F$1006,Data!$A$2:$A$1006,$A316,Data!$B$2:$B$1006,$B316)</f>
        <v>12.405926</v>
      </c>
      <c r="H316" s="10" t="n">
        <f aca="false">SUMIFS(Data!$G$2:$G$1006,Data!$A$2:$A$1006,$A316,Data!$B$2:$B$1006,$B316)</f>
        <v>26.007636</v>
      </c>
      <c r="I316" s="10" t="n">
        <f aca="false">SUMIFS(Data!$N$2:$N$1006,Data!$A$2:$A$1006,$A316,Data!$B$2:$B$1006,$B316)</f>
        <v>77.340224</v>
      </c>
      <c r="J316" s="10" t="n">
        <f aca="false">SUMIFS(Data!$H$2:$H$1006,Data!$A$2:$A$1006,$A316,Data!$B$2:$B$1006,$B316)</f>
        <v>51.599979</v>
      </c>
      <c r="K316" s="11" t="n">
        <f aca="false">IFERROR(F316*1000000/$E316,"")</f>
        <v>102.11798747616</v>
      </c>
      <c r="L316" s="11" t="n">
        <f aca="false">IFERROR(G316*1000000/$E316,"")</f>
        <v>32.5449995146815</v>
      </c>
      <c r="M316" s="11" t="n">
        <f aca="false">IFERROR(H316*1000000/$E316,"")</f>
        <v>68.2269506522943</v>
      </c>
      <c r="N316" s="11" t="n">
        <f aca="false">IFERROR(I316*1000000/$E316,"")</f>
        <v>202.889937643136</v>
      </c>
      <c r="O316" s="11" t="n">
        <f aca="false">IFERROR(J316*1000000/$E316,"")</f>
        <v>135.364445307233</v>
      </c>
      <c r="P316" s="16" t="n">
        <f aca="false">COUNTIFS($A$4:$A$1008,$A316,$N$4:$N$1008,"&gt;"&amp;N316)+1</f>
        <v>33</v>
      </c>
      <c r="Q316" s="16" t="n">
        <f aca="false">COUNTIFS($A$4:$A$1008,$A316,$O$4:$O$1008,"&gt;"&amp;O316)+1</f>
        <v>24</v>
      </c>
    </row>
    <row r="317" customFormat="false" ht="15" hidden="false" customHeight="false" outlineLevel="0" collapsed="false">
      <c r="A317" s="7" t="n">
        <v>2008</v>
      </c>
      <c r="B317" s="15" t="s">
        <v>110</v>
      </c>
      <c r="C317" s="15" t="s">
        <v>102</v>
      </c>
      <c r="D317" s="15" t="s">
        <v>103</v>
      </c>
      <c r="E317" s="9" t="n">
        <f aca="false">SUMIFS(Data!$L$2:$L$1006,Data!$A$2:$A$1006,$A317,Data!$B$2:$B$1006,$B317)</f>
        <v>1040518</v>
      </c>
      <c r="F317" s="10" t="n">
        <f aca="false">SUMIFS(Data!$E$2:$E$1006,Data!$A$2:$A$1006,$A317,Data!$B$2:$B$1006,$B317)</f>
        <v>85.367149</v>
      </c>
      <c r="G317" s="10" t="n">
        <f aca="false">SUMIFS(Data!$F$2:$F$1006,Data!$A$2:$A$1006,$A317,Data!$B$2:$B$1006,$B317)</f>
        <v>44.50551</v>
      </c>
      <c r="H317" s="10" t="n">
        <f aca="false">SUMIFS(Data!$G$2:$G$1006,Data!$A$2:$A$1006,$A317,Data!$B$2:$B$1006,$B317)</f>
        <v>51.374363</v>
      </c>
      <c r="I317" s="10" t="n">
        <f aca="false">SUMIFS(Data!$N$2:$N$1006,Data!$A$2:$A$1006,$A317,Data!$B$2:$B$1006,$B317)</f>
        <v>181.247022</v>
      </c>
      <c r="J317" s="10" t="n">
        <f aca="false">SUMIFS(Data!$H$2:$H$1006,Data!$A$2:$A$1006,$A317,Data!$B$2:$B$1006,$B317)</f>
        <v>102.766791</v>
      </c>
      <c r="K317" s="11" t="n">
        <f aca="false">IFERROR(F317*1000000/$E317,"")</f>
        <v>82.0429334235448</v>
      </c>
      <c r="L317" s="11" t="n">
        <f aca="false">IFERROR(G317*1000000/$E317,"")</f>
        <v>42.7724556422859</v>
      </c>
      <c r="M317" s="11" t="n">
        <f aca="false">IFERROR(H317*1000000/$E317,"")</f>
        <v>49.3738339942221</v>
      </c>
      <c r="N317" s="11" t="n">
        <f aca="false">IFERROR(I317*1000000/$E317,"")</f>
        <v>174.189223060053</v>
      </c>
      <c r="O317" s="11" t="n">
        <f aca="false">IFERROR(J317*1000000/$E317,"")</f>
        <v>98.765029533367</v>
      </c>
      <c r="P317" s="16" t="n">
        <f aca="false">COUNTIFS($A$4:$A$1008,$A317,$N$4:$N$1008,"&gt;"&amp;N317)+1</f>
        <v>37</v>
      </c>
      <c r="Q317" s="16" t="n">
        <f aca="false">COUNTIFS($A$4:$A$1008,$A317,$O$4:$O$1008,"&gt;"&amp;O317)+1</f>
        <v>34</v>
      </c>
    </row>
    <row r="318" customFormat="false" ht="15" hidden="false" customHeight="false" outlineLevel="0" collapsed="false">
      <c r="A318" s="7" t="n">
        <v>2008</v>
      </c>
      <c r="B318" s="15" t="s">
        <v>111</v>
      </c>
      <c r="C318" s="15" t="s">
        <v>102</v>
      </c>
      <c r="D318" s="15" t="s">
        <v>107</v>
      </c>
      <c r="E318" s="9" t="n">
        <f aca="false">SUMIFS(Data!$L$2:$L$1006,Data!$A$2:$A$1006,$A318,Data!$B$2:$B$1006,$B318)</f>
        <v>589017</v>
      </c>
      <c r="F318" s="10" t="n">
        <f aca="false">SUMIFS(Data!$E$2:$E$1006,Data!$A$2:$A$1006,$A318,Data!$B$2:$B$1006,$B318)</f>
        <v>52.213199</v>
      </c>
      <c r="G318" s="10" t="n">
        <f aca="false">SUMIFS(Data!$F$2:$F$1006,Data!$A$2:$A$1006,$A318,Data!$B$2:$B$1006,$B318)</f>
        <v>51.775525</v>
      </c>
      <c r="H318" s="10" t="n">
        <f aca="false">SUMIFS(Data!$G$2:$G$1006,Data!$A$2:$A$1006,$A318,Data!$B$2:$B$1006,$B318)</f>
        <v>38.895563</v>
      </c>
      <c r="I318" s="10" t="n">
        <f aca="false">SUMIFS(Data!$N$2:$N$1006,Data!$A$2:$A$1006,$A318,Data!$B$2:$B$1006,$B318)</f>
        <v>142.884287</v>
      </c>
      <c r="J318" s="10" t="n">
        <f aca="false">SUMIFS(Data!$H$2:$H$1006,Data!$A$2:$A$1006,$A318,Data!$B$2:$B$1006,$B318)</f>
        <v>103.210171</v>
      </c>
      <c r="K318" s="11" t="n">
        <f aca="false">IFERROR(F318*1000000/$E318,"")</f>
        <v>88.6446384399771</v>
      </c>
      <c r="L318" s="11" t="n">
        <f aca="false">IFERROR(G318*1000000/$E318,"")</f>
        <v>87.9015800902181</v>
      </c>
      <c r="M318" s="11" t="n">
        <f aca="false">IFERROR(H318*1000000/$E318,"")</f>
        <v>66.0347035824093</v>
      </c>
      <c r="N318" s="11" t="n">
        <f aca="false">IFERROR(I318*1000000/$E318,"")</f>
        <v>242.580922112605</v>
      </c>
      <c r="O318" s="11" t="n">
        <f aca="false">IFERROR(J318*1000000/$E318,"")</f>
        <v>175.224434948397</v>
      </c>
      <c r="P318" s="16" t="n">
        <f aca="false">COUNTIFS($A$4:$A$1008,$A318,$N$4:$N$1008,"&gt;"&amp;N318)+1</f>
        <v>21</v>
      </c>
      <c r="Q318" s="16" t="n">
        <f aca="false">COUNTIFS($A$4:$A$1008,$A318,$O$4:$O$1008,"&gt;"&amp;O318)+1</f>
        <v>12</v>
      </c>
    </row>
    <row r="319" customFormat="false" ht="15" hidden="false" customHeight="false" outlineLevel="0" collapsed="false">
      <c r="A319" s="7" t="n">
        <v>2008</v>
      </c>
      <c r="B319" s="15" t="s">
        <v>112</v>
      </c>
      <c r="C319" s="15" t="s">
        <v>102</v>
      </c>
      <c r="D319" s="15" t="s">
        <v>107</v>
      </c>
      <c r="E319" s="9" t="n">
        <f aca="false">SUMIFS(Data!$L$2:$L$1006,Data!$A$2:$A$1006,$A319,Data!$B$2:$B$1006,$B319)</f>
        <v>159346</v>
      </c>
      <c r="F319" s="10" t="n">
        <f aca="false">SUMIFS(Data!$E$2:$E$1006,Data!$A$2:$A$1006,$A319,Data!$B$2:$B$1006,$B319)</f>
        <v>17.614376</v>
      </c>
      <c r="G319" s="10" t="n">
        <f aca="false">SUMIFS(Data!$F$2:$F$1006,Data!$A$2:$A$1006,$A319,Data!$B$2:$B$1006,$B319)</f>
        <v>14.083897</v>
      </c>
      <c r="H319" s="10" t="n">
        <f aca="false">SUMIFS(Data!$G$2:$G$1006,Data!$A$2:$A$1006,$A319,Data!$B$2:$B$1006,$B319)</f>
        <v>7.035039</v>
      </c>
      <c r="I319" s="10" t="n">
        <f aca="false">SUMIFS(Data!$N$2:$N$1006,Data!$A$2:$A$1006,$A319,Data!$B$2:$B$1006,$B319)</f>
        <v>38.733312</v>
      </c>
      <c r="J319" s="10" t="n">
        <f aca="false">SUMIFS(Data!$H$2:$H$1006,Data!$A$2:$A$1006,$A319,Data!$B$2:$B$1006,$B319)</f>
        <v>30.590305</v>
      </c>
      <c r="K319" s="11" t="n">
        <f aca="false">IFERROR(F319*1000000/$E319,"")</f>
        <v>110.541689154419</v>
      </c>
      <c r="L319" s="11" t="n">
        <f aca="false">IFERROR(G319*1000000/$E319,"")</f>
        <v>88.3856325229375</v>
      </c>
      <c r="M319" s="11" t="n">
        <f aca="false">IFERROR(H319*1000000/$E319,"")</f>
        <v>44.149454645865</v>
      </c>
      <c r="N319" s="11" t="n">
        <f aca="false">IFERROR(I319*1000000/$E319,"")</f>
        <v>243.076776323221</v>
      </c>
      <c r="O319" s="11" t="n">
        <f aca="false">IFERROR(J319*1000000/$E319,"")</f>
        <v>191.974100385325</v>
      </c>
      <c r="P319" s="16" t="n">
        <f aca="false">COUNTIFS($A$4:$A$1008,$A319,$N$4:$N$1008,"&gt;"&amp;N319)+1</f>
        <v>20</v>
      </c>
      <c r="Q319" s="16" t="n">
        <f aca="false">COUNTIFS($A$4:$A$1008,$A319,$O$4:$O$1008,"&gt;"&amp;O319)+1</f>
        <v>7</v>
      </c>
    </row>
    <row r="320" customFormat="false" ht="15" hidden="false" customHeight="false" outlineLevel="0" collapsed="false">
      <c r="A320" s="7" t="n">
        <v>2008</v>
      </c>
      <c r="B320" s="15" t="s">
        <v>113</v>
      </c>
      <c r="C320" s="15" t="s">
        <v>102</v>
      </c>
      <c r="D320" s="15" t="s">
        <v>114</v>
      </c>
      <c r="E320" s="9" t="n">
        <f aca="false">SUMIFS(Data!$L$2:$L$1006,Data!$A$2:$A$1006,$A320,Data!$B$2:$B$1006,$B320)</f>
        <v>480214</v>
      </c>
      <c r="F320" s="10" t="n">
        <f aca="false">SUMIFS(Data!$E$2:$E$1006,Data!$A$2:$A$1006,$A320,Data!$B$2:$B$1006,$B320)</f>
        <v>36.737699</v>
      </c>
      <c r="G320" s="10" t="n">
        <f aca="false">SUMIFS(Data!$F$2:$F$1006,Data!$A$2:$A$1006,$A320,Data!$B$2:$B$1006,$B320)</f>
        <v>15.249407</v>
      </c>
      <c r="H320" s="10" t="n">
        <f aca="false">SUMIFS(Data!$G$2:$G$1006,Data!$A$2:$A$1006,$A320,Data!$B$2:$B$1006,$B320)</f>
        <v>39.973694</v>
      </c>
      <c r="I320" s="10" t="n">
        <f aca="false">SUMIFS(Data!$N$2:$N$1006,Data!$A$2:$A$1006,$A320,Data!$B$2:$B$1006,$B320)</f>
        <v>91.9608</v>
      </c>
      <c r="J320" s="10" t="n">
        <f aca="false">SUMIFS(Data!$H$2:$H$1006,Data!$A$2:$A$1006,$A320,Data!$B$2:$B$1006,$B320)</f>
        <v>90.214215</v>
      </c>
      <c r="K320" s="11" t="n">
        <f aca="false">IFERROR(F320*1000000/$E320,"")</f>
        <v>76.5027654337441</v>
      </c>
      <c r="L320" s="11" t="n">
        <f aca="false">IFERROR(G320*1000000/$E320,"")</f>
        <v>31.7554402828739</v>
      </c>
      <c r="M320" s="11" t="n">
        <f aca="false">IFERROR(H320*1000000/$E320,"")</f>
        <v>83.2414173680901</v>
      </c>
      <c r="N320" s="11" t="n">
        <f aca="false">IFERROR(I320*1000000/$E320,"")</f>
        <v>191.499623084708</v>
      </c>
      <c r="O320" s="11" t="n">
        <f aca="false">IFERROR(J320*1000000/$E320,"")</f>
        <v>187.862525873881</v>
      </c>
      <c r="P320" s="16" t="n">
        <f aca="false">COUNTIFS($A$4:$A$1008,$A320,$N$4:$N$1008,"&gt;"&amp;N320)+1</f>
        <v>36</v>
      </c>
      <c r="Q320" s="16" t="n">
        <f aca="false">COUNTIFS($A$4:$A$1008,$A320,$O$4:$O$1008,"&gt;"&amp;O320)+1</f>
        <v>8</v>
      </c>
    </row>
    <row r="321" customFormat="false" ht="15" hidden="false" customHeight="false" outlineLevel="0" collapsed="false">
      <c r="A321" s="7" t="n">
        <v>2008</v>
      </c>
      <c r="B321" s="15" t="s">
        <v>115</v>
      </c>
      <c r="C321" s="15" t="s">
        <v>102</v>
      </c>
      <c r="D321" s="15" t="s">
        <v>103</v>
      </c>
      <c r="E321" s="9" t="n">
        <f aca="false">SUMIFS(Data!$L$2:$L$1006,Data!$A$2:$A$1006,$A321,Data!$B$2:$B$1006,$B321)</f>
        <v>312642</v>
      </c>
      <c r="F321" s="10" t="n">
        <f aca="false">SUMIFS(Data!$E$2:$E$1006,Data!$A$2:$A$1006,$A321,Data!$B$2:$B$1006,$B321)</f>
        <v>25.316833</v>
      </c>
      <c r="G321" s="10" t="n">
        <f aca="false">SUMIFS(Data!$F$2:$F$1006,Data!$A$2:$A$1006,$A321,Data!$B$2:$B$1006,$B321)</f>
        <v>16.85959</v>
      </c>
      <c r="H321" s="10" t="n">
        <f aca="false">SUMIFS(Data!$G$2:$G$1006,Data!$A$2:$A$1006,$A321,Data!$B$2:$B$1006,$B321)</f>
        <v>24.679553</v>
      </c>
      <c r="I321" s="10" t="n">
        <f aca="false">SUMIFS(Data!$N$2:$N$1006,Data!$A$2:$A$1006,$A321,Data!$B$2:$B$1006,$B321)</f>
        <v>66.855976</v>
      </c>
      <c r="J321" s="10" t="n">
        <f aca="false">SUMIFS(Data!$H$2:$H$1006,Data!$A$2:$A$1006,$A321,Data!$B$2:$B$1006,$B321)</f>
        <v>44.940036</v>
      </c>
      <c r="K321" s="11" t="n">
        <f aca="false">IFERROR(F321*1000000/$E321,"")</f>
        <v>80.9770696195649</v>
      </c>
      <c r="L321" s="11" t="n">
        <f aca="false">IFERROR(G321*1000000/$E321,"")</f>
        <v>53.9261839420168</v>
      </c>
      <c r="M321" s="11" t="n">
        <f aca="false">IFERROR(H321*1000000/$E321,"")</f>
        <v>78.938699854786</v>
      </c>
      <c r="N321" s="11" t="n">
        <f aca="false">IFERROR(I321*1000000/$E321,"")</f>
        <v>213.841953416368</v>
      </c>
      <c r="O321" s="11" t="n">
        <f aca="false">IFERROR(J321*1000000/$E321,"")</f>
        <v>143.742798472374</v>
      </c>
      <c r="P321" s="16" t="n">
        <f aca="false">COUNTIFS($A$4:$A$1008,$A321,$N$4:$N$1008,"&gt;"&amp;N321)+1</f>
        <v>32</v>
      </c>
      <c r="Q321" s="16" t="n">
        <f aca="false">COUNTIFS($A$4:$A$1008,$A321,$O$4:$O$1008,"&gt;"&amp;O321)+1</f>
        <v>18</v>
      </c>
    </row>
    <row r="322" customFormat="false" ht="15" hidden="false" customHeight="false" outlineLevel="0" collapsed="false">
      <c r="A322" s="7" t="n">
        <v>2008</v>
      </c>
      <c r="B322" s="15" t="s">
        <v>116</v>
      </c>
      <c r="C322" s="15" t="s">
        <v>102</v>
      </c>
      <c r="D322" s="15" t="s">
        <v>107</v>
      </c>
      <c r="E322" s="9" t="n">
        <f aca="false">SUMIFS(Data!$L$2:$L$1006,Data!$A$2:$A$1006,$A322,Data!$B$2:$B$1006,$B322)</f>
        <v>713401</v>
      </c>
      <c r="F322" s="10" t="n">
        <f aca="false">SUMIFS(Data!$E$2:$E$1006,Data!$A$2:$A$1006,$A322,Data!$B$2:$B$1006,$B322)</f>
        <v>45.555001</v>
      </c>
      <c r="G322" s="10" t="n">
        <f aca="false">SUMIFS(Data!$F$2:$F$1006,Data!$A$2:$A$1006,$A322,Data!$B$2:$B$1006,$B322)</f>
        <v>29.11083</v>
      </c>
      <c r="H322" s="10" t="n">
        <f aca="false">SUMIFS(Data!$G$2:$G$1006,Data!$A$2:$A$1006,$A322,Data!$B$2:$B$1006,$B322)</f>
        <v>37.353565</v>
      </c>
      <c r="I322" s="10" t="n">
        <f aca="false">SUMIFS(Data!$N$2:$N$1006,Data!$A$2:$A$1006,$A322,Data!$B$2:$B$1006,$B322)</f>
        <v>112.019396</v>
      </c>
      <c r="J322" s="10" t="n">
        <f aca="false">SUMIFS(Data!$H$2:$H$1006,Data!$A$2:$A$1006,$A322,Data!$B$2:$B$1006,$B322)</f>
        <v>59.608776</v>
      </c>
      <c r="K322" s="11" t="n">
        <f aca="false">IFERROR(F322*1000000/$E322,"")</f>
        <v>63.8560935574803</v>
      </c>
      <c r="L322" s="11" t="n">
        <f aca="false">IFERROR(G322*1000000/$E322,"")</f>
        <v>40.8057039449062</v>
      </c>
      <c r="M322" s="11" t="n">
        <f aca="false">IFERROR(H322*1000000/$E322,"")</f>
        <v>52.3598439026578</v>
      </c>
      <c r="N322" s="11" t="n">
        <f aca="false">IFERROR(I322*1000000/$E322,"")</f>
        <v>157.021641405044</v>
      </c>
      <c r="O322" s="11" t="n">
        <f aca="false">IFERROR(J322*1000000/$E322,"")</f>
        <v>83.5557785873583</v>
      </c>
      <c r="P322" s="16" t="n">
        <f aca="false">COUNTIFS($A$4:$A$1008,$A322,$N$4:$N$1008,"&gt;"&amp;N322)+1</f>
        <v>39</v>
      </c>
      <c r="Q322" s="16" t="n">
        <f aca="false">COUNTIFS($A$4:$A$1008,$A322,$O$4:$O$1008,"&gt;"&amp;O322)+1</f>
        <v>38</v>
      </c>
    </row>
    <row r="323" customFormat="false" ht="15" hidden="false" customHeight="false" outlineLevel="0" collapsed="false">
      <c r="A323" s="7" t="n">
        <v>2008</v>
      </c>
      <c r="B323" s="15" t="s">
        <v>117</v>
      </c>
      <c r="C323" s="15" t="s">
        <v>118</v>
      </c>
      <c r="D323" s="15" t="s">
        <v>103</v>
      </c>
      <c r="E323" s="9" t="n">
        <f aca="false">SUMIFS(Data!$L$2:$L$1006,Data!$A$2:$A$1006,$A323,Data!$B$2:$B$1006,$B323)</f>
        <v>1458546</v>
      </c>
      <c r="F323" s="10" t="n">
        <f aca="false">SUMIFS(Data!$E$2:$E$1006,Data!$A$2:$A$1006,$A323,Data!$B$2:$B$1006,$B323)</f>
        <v>131.914826</v>
      </c>
      <c r="G323" s="10" t="n">
        <f aca="false">SUMIFS(Data!$F$2:$F$1006,Data!$A$2:$A$1006,$A323,Data!$B$2:$B$1006,$B323)</f>
        <v>119.408004</v>
      </c>
      <c r="H323" s="10" t="n">
        <f aca="false">SUMIFS(Data!$G$2:$G$1006,Data!$A$2:$A$1006,$A323,Data!$B$2:$B$1006,$B323)</f>
        <v>112.204358</v>
      </c>
      <c r="I323" s="10" t="n">
        <f aca="false">SUMIFS(Data!$N$2:$N$1006,Data!$A$2:$A$1006,$A323,Data!$B$2:$B$1006,$B323)</f>
        <v>363.527188</v>
      </c>
      <c r="J323" s="10" t="n">
        <f aca="false">SUMIFS(Data!$H$2:$H$1006,Data!$A$2:$A$1006,$A323,Data!$B$2:$B$1006,$B323)</f>
        <v>201.187267</v>
      </c>
      <c r="K323" s="11" t="n">
        <f aca="false">IFERROR(F323*1000000/$E323,"")</f>
        <v>90.4426915572084</v>
      </c>
      <c r="L323" s="11" t="n">
        <f aca="false">IFERROR(G323*1000000/$E323,"")</f>
        <v>81.8678355019314</v>
      </c>
      <c r="M323" s="11" t="n">
        <f aca="false">IFERROR(H323*1000000/$E323,"")</f>
        <v>76.9289127665497</v>
      </c>
      <c r="N323" s="11" t="n">
        <f aca="false">IFERROR(I323*1000000/$E323,"")</f>
        <v>249.239439825689</v>
      </c>
      <c r="O323" s="11" t="n">
        <f aca="false">IFERROR(J323*1000000/$E323,"")</f>
        <v>137.936867949314</v>
      </c>
      <c r="P323" s="16" t="n">
        <f aca="false">COUNTIFS($A$4:$A$1008,$A323,$N$4:$N$1008,"&gt;"&amp;N323)+1</f>
        <v>16</v>
      </c>
      <c r="Q323" s="16" t="n">
        <f aca="false">COUNTIFS($A$4:$A$1008,$A323,$O$4:$O$1008,"&gt;"&amp;O323)+1</f>
        <v>23</v>
      </c>
    </row>
    <row r="324" customFormat="false" ht="15" hidden="false" customHeight="false" outlineLevel="0" collapsed="false">
      <c r="A324" s="7" t="n">
        <v>2008</v>
      </c>
      <c r="B324" s="15" t="s">
        <v>119</v>
      </c>
      <c r="C324" s="15" t="s">
        <v>118</v>
      </c>
      <c r="D324" s="15" t="s">
        <v>103</v>
      </c>
      <c r="E324" s="9" t="n">
        <f aca="false">SUMIFS(Data!$L$2:$L$1006,Data!$A$2:$A$1006,$A324,Data!$B$2:$B$1006,$B324)</f>
        <v>514882</v>
      </c>
      <c r="F324" s="10" t="n">
        <f aca="false">SUMIFS(Data!$E$2:$E$1006,Data!$A$2:$A$1006,$A324,Data!$B$2:$B$1006,$B324)</f>
        <v>29.957086</v>
      </c>
      <c r="G324" s="10" t="n">
        <f aca="false">SUMIFS(Data!$F$2:$F$1006,Data!$A$2:$A$1006,$A324,Data!$B$2:$B$1006,$B324)</f>
        <v>29.85048</v>
      </c>
      <c r="H324" s="10" t="n">
        <f aca="false">SUMIFS(Data!$G$2:$G$1006,Data!$A$2:$A$1006,$A324,Data!$B$2:$B$1006,$B324)</f>
        <v>41.989571</v>
      </c>
      <c r="I324" s="10" t="n">
        <f aca="false">SUMIFS(Data!$N$2:$N$1006,Data!$A$2:$A$1006,$A324,Data!$B$2:$B$1006,$B324)</f>
        <v>101.797137</v>
      </c>
      <c r="J324" s="10" t="n">
        <f aca="false">SUMIFS(Data!$H$2:$H$1006,Data!$A$2:$A$1006,$A324,Data!$B$2:$B$1006,$B324)</f>
        <v>42.411533</v>
      </c>
      <c r="K324" s="11" t="n">
        <f aca="false">IFERROR(F324*1000000/$E324,"")</f>
        <v>58.1824301490439</v>
      </c>
      <c r="L324" s="11" t="n">
        <f aca="false">IFERROR(G324*1000000/$E324,"")</f>
        <v>57.9753807668553</v>
      </c>
      <c r="M324" s="11" t="n">
        <f aca="false">IFERROR(H324*1000000/$E324,"")</f>
        <v>81.5518332355763</v>
      </c>
      <c r="N324" s="11" t="n">
        <f aca="false">IFERROR(I324*1000000/$E324,"")</f>
        <v>197.709644151475</v>
      </c>
      <c r="O324" s="11" t="n">
        <f aca="false">IFERROR(J324*1000000/$E324,"")</f>
        <v>82.3713647010383</v>
      </c>
      <c r="P324" s="16" t="n">
        <f aca="false">COUNTIFS($A$4:$A$1008,$A324,$N$4:$N$1008,"&gt;"&amp;N324)+1</f>
        <v>34</v>
      </c>
      <c r="Q324" s="16" t="n">
        <f aca="false">COUNTIFS($A$4:$A$1008,$A324,$O$4:$O$1008,"&gt;"&amp;O324)+1</f>
        <v>39</v>
      </c>
    </row>
    <row r="325" customFormat="false" ht="15" hidden="false" customHeight="false" outlineLevel="0" collapsed="false">
      <c r="A325" s="7" t="n">
        <v>2008</v>
      </c>
      <c r="B325" s="15" t="s">
        <v>120</v>
      </c>
      <c r="C325" s="15" t="s">
        <v>118</v>
      </c>
      <c r="D325" s="15" t="s">
        <v>121</v>
      </c>
      <c r="E325" s="9" t="n">
        <f aca="false">SUMIFS(Data!$L$2:$L$1006,Data!$A$2:$A$1006,$A325,Data!$B$2:$B$1006,$B325)</f>
        <v>957875</v>
      </c>
      <c r="F325" s="10" t="n">
        <f aca="false">SUMIFS(Data!$E$2:$E$1006,Data!$A$2:$A$1006,$A325,Data!$B$2:$B$1006,$B325)</f>
        <v>117.537838</v>
      </c>
      <c r="G325" s="10" t="n">
        <f aca="false">SUMIFS(Data!$F$2:$F$1006,Data!$A$2:$A$1006,$A325,Data!$B$2:$B$1006,$B325)</f>
        <v>47.918143</v>
      </c>
      <c r="H325" s="10" t="n">
        <f aca="false">SUMIFS(Data!$G$2:$G$1006,Data!$A$2:$A$1006,$A325,Data!$B$2:$B$1006,$B325)</f>
        <v>77.12774</v>
      </c>
      <c r="I325" s="10" t="n">
        <f aca="false">SUMIFS(Data!$N$2:$N$1006,Data!$A$2:$A$1006,$A325,Data!$B$2:$B$1006,$B325)</f>
        <v>242.583721</v>
      </c>
      <c r="J325" s="10" t="n">
        <f aca="false">SUMIFS(Data!$H$2:$H$1006,Data!$A$2:$A$1006,$A325,Data!$B$2:$B$1006,$B325)</f>
        <v>168.892625</v>
      </c>
      <c r="K325" s="11" t="n">
        <f aca="false">IFERROR(F325*1000000/$E325,"")</f>
        <v>122.70686467441</v>
      </c>
      <c r="L325" s="11" t="n">
        <f aca="false">IFERROR(G325*1000000/$E325,"")</f>
        <v>50.0254657444865</v>
      </c>
      <c r="M325" s="11" t="n">
        <f aca="false">IFERROR(H325*1000000/$E325,"")</f>
        <v>80.5196293879682</v>
      </c>
      <c r="N325" s="11" t="n">
        <f aca="false">IFERROR(I325*1000000/$E325,"")</f>
        <v>253.251959806864</v>
      </c>
      <c r="O325" s="11" t="n">
        <f aca="false">IFERROR(J325*1000000/$E325,"")</f>
        <v>176.320109617643</v>
      </c>
      <c r="P325" s="16" t="n">
        <f aca="false">COUNTIFS($A$4:$A$1008,$A325,$N$4:$N$1008,"&gt;"&amp;N325)+1</f>
        <v>14</v>
      </c>
      <c r="Q325" s="16" t="n">
        <f aca="false">COUNTIFS($A$4:$A$1008,$A325,$O$4:$O$1008,"&gt;"&amp;O325)+1</f>
        <v>11</v>
      </c>
    </row>
    <row r="326" customFormat="false" ht="15" hidden="false" customHeight="false" outlineLevel="0" collapsed="false">
      <c r="A326" s="7" t="n">
        <v>2008</v>
      </c>
      <c r="B326" s="15" t="s">
        <v>122</v>
      </c>
      <c r="C326" s="15" t="s">
        <v>118</v>
      </c>
      <c r="D326" s="15" t="s">
        <v>105</v>
      </c>
      <c r="E326" s="9" t="n">
        <f aca="false">SUMIFS(Data!$L$2:$L$1006,Data!$A$2:$A$1006,$A326,Data!$B$2:$B$1006,$B326)</f>
        <v>545011</v>
      </c>
      <c r="F326" s="10" t="n">
        <f aca="false">SUMIFS(Data!$E$2:$E$1006,Data!$A$2:$A$1006,$A326,Data!$B$2:$B$1006,$B326)</f>
        <v>39.308678</v>
      </c>
      <c r="G326" s="10" t="n">
        <f aca="false">SUMIFS(Data!$F$2:$F$1006,Data!$A$2:$A$1006,$A326,Data!$B$2:$B$1006,$B326)</f>
        <v>71.857007</v>
      </c>
      <c r="H326" s="10" t="n">
        <f aca="false">SUMIFS(Data!$G$2:$G$1006,Data!$A$2:$A$1006,$A326,Data!$B$2:$B$1006,$B326)</f>
        <v>20.01903</v>
      </c>
      <c r="I326" s="10" t="n">
        <f aca="false">SUMIFS(Data!$N$2:$N$1006,Data!$A$2:$A$1006,$A326,Data!$B$2:$B$1006,$B326)</f>
        <v>131.184715</v>
      </c>
      <c r="J326" s="10" t="n">
        <f aca="false">SUMIFS(Data!$H$2:$H$1006,Data!$A$2:$A$1006,$A326,Data!$B$2:$B$1006,$B326)</f>
        <v>84.225203</v>
      </c>
      <c r="K326" s="11" t="n">
        <f aca="false">IFERROR(F326*1000000/$E326,"")</f>
        <v>72.124558953856</v>
      </c>
      <c r="L326" s="11" t="n">
        <f aca="false">IFERROR(G326*1000000/$E326,"")</f>
        <v>131.845058173138</v>
      </c>
      <c r="M326" s="11" t="n">
        <f aca="false">IFERROR(H326*1000000/$E326,"")</f>
        <v>36.7314237694285</v>
      </c>
      <c r="N326" s="11" t="n">
        <f aca="false">IFERROR(I326*1000000/$E326,"")</f>
        <v>240.701040896422</v>
      </c>
      <c r="O326" s="11" t="n">
        <f aca="false">IFERROR(J326*1000000/$E326,"")</f>
        <v>154.538537754284</v>
      </c>
      <c r="P326" s="16" t="n">
        <f aca="false">COUNTIFS($A$4:$A$1008,$A326,$N$4:$N$1008,"&gt;"&amp;N326)+1</f>
        <v>22</v>
      </c>
      <c r="Q326" s="16" t="n">
        <f aca="false">COUNTIFS($A$4:$A$1008,$A326,$O$4:$O$1008,"&gt;"&amp;O326)+1</f>
        <v>17</v>
      </c>
    </row>
    <row r="327" customFormat="false" ht="15" hidden="false" customHeight="false" outlineLevel="0" collapsed="false">
      <c r="A327" s="7" t="n">
        <v>2008</v>
      </c>
      <c r="B327" s="15" t="s">
        <v>123</v>
      </c>
      <c r="C327" s="15" t="s">
        <v>118</v>
      </c>
      <c r="D327" s="15" t="s">
        <v>124</v>
      </c>
      <c r="E327" s="9" t="n">
        <f aca="false">SUMIFS(Data!$L$2:$L$1006,Data!$A$2:$A$1006,$A327,Data!$B$2:$B$1006,$B327)</f>
        <v>1229181</v>
      </c>
      <c r="F327" s="10" t="n">
        <f aca="false">SUMIFS(Data!$E$2:$E$1006,Data!$A$2:$A$1006,$A327,Data!$B$2:$B$1006,$B327)</f>
        <v>133.042191</v>
      </c>
      <c r="G327" s="10" t="n">
        <f aca="false">SUMIFS(Data!$F$2:$F$1006,Data!$A$2:$A$1006,$A327,Data!$B$2:$B$1006,$B327)</f>
        <v>75.837149</v>
      </c>
      <c r="H327" s="10" t="n">
        <f aca="false">SUMIFS(Data!$G$2:$G$1006,Data!$A$2:$A$1006,$A327,Data!$B$2:$B$1006,$B327)</f>
        <v>112.955118</v>
      </c>
      <c r="I327" s="10" t="n">
        <f aca="false">SUMIFS(Data!$N$2:$N$1006,Data!$A$2:$A$1006,$A327,Data!$B$2:$B$1006,$B327)</f>
        <v>321.834458</v>
      </c>
      <c r="J327" s="10" t="n">
        <f aca="false">SUMIFS(Data!$H$2:$H$1006,Data!$A$2:$A$1006,$A327,Data!$B$2:$B$1006,$B327)</f>
        <v>221.507912</v>
      </c>
      <c r="K327" s="11" t="n">
        <f aca="false">IFERROR(F327*1000000/$E327,"")</f>
        <v>108.236452564757</v>
      </c>
      <c r="L327" s="11" t="n">
        <f aca="false">IFERROR(G327*1000000/$E327,"")</f>
        <v>61.6973000721619</v>
      </c>
      <c r="M327" s="11" t="n">
        <f aca="false">IFERROR(H327*1000000/$E327,"")</f>
        <v>91.8946176356452</v>
      </c>
      <c r="N327" s="11" t="n">
        <f aca="false">IFERROR(I327*1000000/$E327,"")</f>
        <v>261.828370272564</v>
      </c>
      <c r="O327" s="11" t="n">
        <f aca="false">IFERROR(J327*1000000/$E327,"")</f>
        <v>180.207725306525</v>
      </c>
      <c r="P327" s="16" t="n">
        <f aca="false">COUNTIFS($A$4:$A$1008,$A327,$N$4:$N$1008,"&gt;"&amp;N327)+1</f>
        <v>13</v>
      </c>
      <c r="Q327" s="16" t="n">
        <f aca="false">COUNTIFS($A$4:$A$1008,$A327,$O$4:$O$1008,"&gt;"&amp;O327)+1</f>
        <v>10</v>
      </c>
    </row>
    <row r="328" customFormat="false" ht="15" hidden="false" customHeight="false" outlineLevel="0" collapsed="false">
      <c r="A328" s="7" t="n">
        <v>2008</v>
      </c>
      <c r="B328" s="15" t="s">
        <v>125</v>
      </c>
      <c r="C328" s="15" t="s">
        <v>118</v>
      </c>
      <c r="D328" s="15" t="s">
        <v>126</v>
      </c>
      <c r="E328" s="9" t="n">
        <f aca="false">SUMIFS(Data!$L$2:$L$1006,Data!$A$2:$A$1006,$A328,Data!$B$2:$B$1006,$B328)</f>
        <v>496682</v>
      </c>
      <c r="F328" s="10" t="n">
        <f aca="false">SUMIFS(Data!$E$2:$E$1006,Data!$A$2:$A$1006,$A328,Data!$B$2:$B$1006,$B328)</f>
        <v>42.908802</v>
      </c>
      <c r="G328" s="10" t="n">
        <f aca="false">SUMIFS(Data!$F$2:$F$1006,Data!$A$2:$A$1006,$A328,Data!$B$2:$B$1006,$B328)</f>
        <v>55.755664</v>
      </c>
      <c r="H328" s="10" t="n">
        <f aca="false">SUMIFS(Data!$G$2:$G$1006,Data!$A$2:$A$1006,$A328,Data!$B$2:$B$1006,$B328)</f>
        <v>36.130199</v>
      </c>
      <c r="I328" s="10" t="n">
        <f aca="false">SUMIFS(Data!$N$2:$N$1006,Data!$A$2:$A$1006,$A328,Data!$B$2:$B$1006,$B328)</f>
        <v>134.794665</v>
      </c>
      <c r="J328" s="10" t="n">
        <f aca="false">SUMIFS(Data!$H$2:$H$1006,Data!$A$2:$A$1006,$A328,Data!$B$2:$B$1006,$B328)</f>
        <v>91.164289</v>
      </c>
      <c r="K328" s="11" t="n">
        <f aca="false">IFERROR(F328*1000000/$E328,"")</f>
        <v>86.3908939724009</v>
      </c>
      <c r="L328" s="11" t="n">
        <f aca="false">IFERROR(G328*1000000/$E328,"")</f>
        <v>112.256260544976</v>
      </c>
      <c r="M328" s="11" t="n">
        <f aca="false">IFERROR(H328*1000000/$E328,"")</f>
        <v>72.7431213533005</v>
      </c>
      <c r="N328" s="11" t="n">
        <f aca="false">IFERROR(I328*1000000/$E328,"")</f>
        <v>271.390275870678</v>
      </c>
      <c r="O328" s="11" t="n">
        <f aca="false">IFERROR(J328*1000000/$E328,"")</f>
        <v>183.546593192425</v>
      </c>
      <c r="P328" s="16" t="n">
        <f aca="false">COUNTIFS($A$4:$A$1008,$A328,$N$4:$N$1008,"&gt;"&amp;N328)+1</f>
        <v>11</v>
      </c>
      <c r="Q328" s="16" t="n">
        <f aca="false">COUNTIFS($A$4:$A$1008,$A328,$O$4:$O$1008,"&gt;"&amp;O328)+1</f>
        <v>9</v>
      </c>
    </row>
    <row r="329" customFormat="false" ht="15" hidden="false" customHeight="false" outlineLevel="0" collapsed="false">
      <c r="A329" s="7" t="n">
        <v>2008</v>
      </c>
      <c r="B329" s="15" t="s">
        <v>127</v>
      </c>
      <c r="C329" s="15" t="s">
        <v>118</v>
      </c>
      <c r="D329" s="15" t="s">
        <v>103</v>
      </c>
      <c r="E329" s="9" t="n">
        <f aca="false">SUMIFS(Data!$L$2:$L$1006,Data!$A$2:$A$1006,$A329,Data!$B$2:$B$1006,$B329)</f>
        <v>687930</v>
      </c>
      <c r="F329" s="10" t="n">
        <f aca="false">SUMIFS(Data!$E$2:$E$1006,Data!$A$2:$A$1006,$A329,Data!$B$2:$B$1006,$B329)</f>
        <v>53.627205</v>
      </c>
      <c r="G329" s="10" t="n">
        <f aca="false">SUMIFS(Data!$F$2:$F$1006,Data!$A$2:$A$1006,$A329,Data!$B$2:$B$1006,$B329)</f>
        <v>61.359893</v>
      </c>
      <c r="H329" s="10" t="n">
        <f aca="false">SUMIFS(Data!$G$2:$G$1006,Data!$A$2:$A$1006,$A329,Data!$B$2:$B$1006,$B329)</f>
        <v>39.757554</v>
      </c>
      <c r="I329" s="10" t="n">
        <f aca="false">SUMIFS(Data!$N$2:$N$1006,Data!$A$2:$A$1006,$A329,Data!$B$2:$B$1006,$B329)</f>
        <v>154.744652</v>
      </c>
      <c r="J329" s="10" t="n">
        <f aca="false">SUMIFS(Data!$H$2:$H$1006,Data!$A$2:$A$1006,$A329,Data!$B$2:$B$1006,$B329)</f>
        <v>75.705765</v>
      </c>
      <c r="K329" s="11" t="n">
        <f aca="false">IFERROR(F329*1000000/$E329,"")</f>
        <v>77.9544503074441</v>
      </c>
      <c r="L329" s="11" t="n">
        <f aca="false">IFERROR(G329*1000000/$E329,"")</f>
        <v>89.1949660575931</v>
      </c>
      <c r="M329" s="11" t="n">
        <f aca="false">IFERROR(H329*1000000/$E329,"")</f>
        <v>57.7930225458986</v>
      </c>
      <c r="N329" s="11" t="n">
        <f aca="false">IFERROR(I329*1000000/$E329,"")</f>
        <v>224.942438910936</v>
      </c>
      <c r="O329" s="11" t="n">
        <f aca="false">IFERROR(J329*1000000/$E329,"")</f>
        <v>110.048645937813</v>
      </c>
      <c r="P329" s="16" t="n">
        <f aca="false">COUNTIFS($A$4:$A$1008,$A329,$N$4:$N$1008,"&gt;"&amp;N329)+1</f>
        <v>28</v>
      </c>
      <c r="Q329" s="16" t="n">
        <f aca="false">COUNTIFS($A$4:$A$1008,$A329,$O$4:$O$1008,"&gt;"&amp;O329)+1</f>
        <v>33</v>
      </c>
    </row>
    <row r="330" customFormat="false" ht="15" hidden="false" customHeight="false" outlineLevel="0" collapsed="false">
      <c r="A330" s="7" t="n">
        <v>2008</v>
      </c>
      <c r="B330" s="15" t="s">
        <v>128</v>
      </c>
      <c r="C330" s="15" t="s">
        <v>118</v>
      </c>
      <c r="D330" s="15" t="s">
        <v>107</v>
      </c>
      <c r="E330" s="9" t="n">
        <f aca="false">SUMIFS(Data!$L$2:$L$1006,Data!$A$2:$A$1006,$A330,Data!$B$2:$B$1006,$B330)</f>
        <v>586996</v>
      </c>
      <c r="F330" s="10" t="n">
        <f aca="false">SUMIFS(Data!$E$2:$E$1006,Data!$A$2:$A$1006,$A330,Data!$B$2:$B$1006,$B330)</f>
        <v>28.418547</v>
      </c>
      <c r="G330" s="10" t="n">
        <f aca="false">SUMIFS(Data!$F$2:$F$1006,Data!$A$2:$A$1006,$A330,Data!$B$2:$B$1006,$B330)</f>
        <v>22.00157</v>
      </c>
      <c r="H330" s="10" t="n">
        <f aca="false">SUMIFS(Data!$G$2:$G$1006,Data!$A$2:$A$1006,$A330,Data!$B$2:$B$1006,$B330)</f>
        <v>48.524931</v>
      </c>
      <c r="I330" s="10" t="n">
        <f aca="false">SUMIFS(Data!$N$2:$N$1006,Data!$A$2:$A$1006,$A330,Data!$B$2:$B$1006,$B330)</f>
        <v>98.945048</v>
      </c>
      <c r="J330" s="10" t="n">
        <f aca="false">SUMIFS(Data!$H$2:$H$1006,Data!$A$2:$A$1006,$A330,Data!$B$2:$B$1006,$B330)</f>
        <v>74.241312</v>
      </c>
      <c r="K330" s="11" t="n">
        <f aca="false">IFERROR(F330*1000000/$E330,"")</f>
        <v>48.4135275197787</v>
      </c>
      <c r="L330" s="11" t="n">
        <f aca="false">IFERROR(G330*1000000/$E330,"")</f>
        <v>37.4816353092696</v>
      </c>
      <c r="M330" s="11" t="n">
        <f aca="false">IFERROR(H330*1000000/$E330,"")</f>
        <v>82.666544576113</v>
      </c>
      <c r="N330" s="11" t="n">
        <f aca="false">IFERROR(I330*1000000/$E330,"")</f>
        <v>168.561707405161</v>
      </c>
      <c r="O330" s="11" t="n">
        <f aca="false">IFERROR(J330*1000000/$E330,"")</f>
        <v>126.476691493639</v>
      </c>
      <c r="P330" s="16" t="n">
        <f aca="false">COUNTIFS($A$4:$A$1008,$A330,$N$4:$N$1008,"&gt;"&amp;N330)+1</f>
        <v>38</v>
      </c>
      <c r="Q330" s="16" t="n">
        <f aca="false">COUNTIFS($A$4:$A$1008,$A330,$O$4:$O$1008,"&gt;"&amp;O330)+1</f>
        <v>27</v>
      </c>
    </row>
    <row r="331" customFormat="false" ht="15" hidden="false" customHeight="false" outlineLevel="0" collapsed="false">
      <c r="A331" s="7" t="n">
        <v>2008</v>
      </c>
      <c r="B331" s="15" t="s">
        <v>129</v>
      </c>
      <c r="C331" s="15" t="s">
        <v>118</v>
      </c>
      <c r="D331" s="15" t="s">
        <v>107</v>
      </c>
      <c r="E331" s="9" t="n">
        <f aca="false">SUMIFS(Data!$L$2:$L$1006,Data!$A$2:$A$1006,$A331,Data!$B$2:$B$1006,$B331)</f>
        <v>1567250</v>
      </c>
      <c r="F331" s="10" t="n">
        <f aca="false">SUMIFS(Data!$E$2:$E$1006,Data!$A$2:$A$1006,$A331,Data!$B$2:$B$1006,$B331)</f>
        <v>168.495904</v>
      </c>
      <c r="G331" s="10" t="n">
        <f aca="false">SUMIFS(Data!$F$2:$F$1006,Data!$A$2:$A$1006,$A331,Data!$B$2:$B$1006,$B331)</f>
        <v>248.961437</v>
      </c>
      <c r="H331" s="10" t="n">
        <f aca="false">SUMIFS(Data!$G$2:$G$1006,Data!$A$2:$A$1006,$A331,Data!$B$2:$B$1006,$B331)</f>
        <v>84.896217</v>
      </c>
      <c r="I331" s="10" t="n">
        <f aca="false">SUMIFS(Data!$N$2:$N$1006,Data!$A$2:$A$1006,$A331,Data!$B$2:$B$1006,$B331)</f>
        <v>502.353558</v>
      </c>
      <c r="J331" s="10" t="n">
        <f aca="false">SUMIFS(Data!$H$2:$H$1006,Data!$A$2:$A$1006,$A331,Data!$B$2:$B$1006,$B331)</f>
        <v>221.69787</v>
      </c>
      <c r="K331" s="11" t="n">
        <f aca="false">IFERROR(F331*1000000/$E331,"")</f>
        <v>107.510546498644</v>
      </c>
      <c r="L331" s="11" t="n">
        <f aca="false">IFERROR(G331*1000000/$E331,"")</f>
        <v>158.85240835859</v>
      </c>
      <c r="M331" s="11" t="n">
        <f aca="false">IFERROR(H331*1000000/$E331,"")</f>
        <v>54.168905407561</v>
      </c>
      <c r="N331" s="11" t="n">
        <f aca="false">IFERROR(I331*1000000/$E331,"")</f>
        <v>320.531860264795</v>
      </c>
      <c r="O331" s="11" t="n">
        <f aca="false">IFERROR(J331*1000000/$E331,"")</f>
        <v>141.456608709523</v>
      </c>
      <c r="P331" s="16" t="n">
        <f aca="false">COUNTIFS($A$4:$A$1008,$A331,$N$4:$N$1008,"&gt;"&amp;N331)+1</f>
        <v>4</v>
      </c>
      <c r="Q331" s="16" t="n">
        <f aca="false">COUNTIFS($A$4:$A$1008,$A331,$O$4:$O$1008,"&gt;"&amp;O331)+1</f>
        <v>21</v>
      </c>
    </row>
    <row r="332" customFormat="false" ht="15" hidden="false" customHeight="false" outlineLevel="0" collapsed="false">
      <c r="A332" s="7" t="n">
        <v>2008</v>
      </c>
      <c r="B332" s="15" t="s">
        <v>130</v>
      </c>
      <c r="C332" s="15" t="s">
        <v>118</v>
      </c>
      <c r="D332" s="15" t="s">
        <v>107</v>
      </c>
      <c r="E332" s="9" t="n">
        <f aca="false">SUMIFS(Data!$L$2:$L$1006,Data!$A$2:$A$1006,$A332,Data!$B$2:$B$1006,$B332)</f>
        <v>1392441</v>
      </c>
      <c r="F332" s="10" t="n">
        <f aca="false">SUMIFS(Data!$E$2:$E$1006,Data!$A$2:$A$1006,$A332,Data!$B$2:$B$1006,$B332)</f>
        <v>147.16041</v>
      </c>
      <c r="G332" s="10" t="n">
        <f aca="false">SUMIFS(Data!$F$2:$F$1006,Data!$A$2:$A$1006,$A332,Data!$B$2:$B$1006,$B332)</f>
        <v>81.454825</v>
      </c>
      <c r="H332" s="10" t="n">
        <f aca="false">SUMIFS(Data!$G$2:$G$1006,Data!$A$2:$A$1006,$A332,Data!$B$2:$B$1006,$B332)</f>
        <v>89.724206</v>
      </c>
      <c r="I332" s="10" t="n">
        <f aca="false">SUMIFS(Data!$N$2:$N$1006,Data!$A$2:$A$1006,$A332,Data!$B$2:$B$1006,$B332)</f>
        <v>318.339441</v>
      </c>
      <c r="J332" s="10" t="n">
        <f aca="false">SUMIFS(Data!$H$2:$H$1006,Data!$A$2:$A$1006,$A332,Data!$B$2:$B$1006,$B332)</f>
        <v>159.97897</v>
      </c>
      <c r="K332" s="11" t="n">
        <f aca="false">IFERROR(F332*1000000/$E332,"")</f>
        <v>105.685203179165</v>
      </c>
      <c r="L332" s="11" t="n">
        <f aca="false">IFERROR(G332*1000000/$E332,"")</f>
        <v>58.4978645414779</v>
      </c>
      <c r="M332" s="11" t="n">
        <f aca="false">IFERROR(H332*1000000/$E332,"")</f>
        <v>64.4366303491494</v>
      </c>
      <c r="N332" s="11" t="n">
        <f aca="false">IFERROR(I332*1000000/$E332,"")</f>
        <v>228.619698069793</v>
      </c>
      <c r="O332" s="11" t="n">
        <f aca="false">IFERROR(J332*1000000/$E332,"")</f>
        <v>114.891022312615</v>
      </c>
      <c r="P332" s="16" t="n">
        <f aca="false">COUNTIFS($A$4:$A$1008,$A332,$N$4:$N$1008,"&gt;"&amp;N332)+1</f>
        <v>27</v>
      </c>
      <c r="Q332" s="16" t="n">
        <f aca="false">COUNTIFS($A$4:$A$1008,$A332,$O$4:$O$1008,"&gt;"&amp;O332)+1</f>
        <v>31</v>
      </c>
    </row>
    <row r="333" customFormat="false" ht="15" hidden="false" customHeight="false" outlineLevel="0" collapsed="false">
      <c r="A333" s="7" t="n">
        <v>2008</v>
      </c>
      <c r="B333" s="15" t="s">
        <v>131</v>
      </c>
      <c r="C333" s="15" t="s">
        <v>118</v>
      </c>
      <c r="D333" s="15" t="s">
        <v>132</v>
      </c>
      <c r="E333" s="9" t="n">
        <f aca="false">SUMIFS(Data!$L$2:$L$1006,Data!$A$2:$A$1006,$A333,Data!$B$2:$B$1006,$B333)</f>
        <v>762093</v>
      </c>
      <c r="F333" s="10" t="n">
        <f aca="false">SUMIFS(Data!$E$2:$E$1006,Data!$A$2:$A$1006,$A333,Data!$B$2:$B$1006,$B333)</f>
        <v>87.935155</v>
      </c>
      <c r="G333" s="10" t="n">
        <f aca="false">SUMIFS(Data!$F$2:$F$1006,Data!$A$2:$A$1006,$A333,Data!$B$2:$B$1006,$B333)</f>
        <v>71.71125</v>
      </c>
      <c r="H333" s="10" t="n">
        <f aca="false">SUMIFS(Data!$G$2:$G$1006,Data!$A$2:$A$1006,$A333,Data!$B$2:$B$1006,$B333)</f>
        <v>101.936561</v>
      </c>
      <c r="I333" s="10" t="n">
        <f aca="false">SUMIFS(Data!$N$2:$N$1006,Data!$A$2:$A$1006,$A333,Data!$B$2:$B$1006,$B333)</f>
        <v>261.582966</v>
      </c>
      <c r="J333" s="10" t="n">
        <f aca="false">SUMIFS(Data!$H$2:$H$1006,Data!$A$2:$A$1006,$A333,Data!$B$2:$B$1006,$B333)</f>
        <v>302.904188</v>
      </c>
      <c r="K333" s="11" t="n">
        <f aca="false">IFERROR(F333*1000000/$E333,"")</f>
        <v>115.386383289179</v>
      </c>
      <c r="L333" s="11" t="n">
        <f aca="false">IFERROR(G333*1000000/$E333,"")</f>
        <v>94.0977675952935</v>
      </c>
      <c r="M333" s="11" t="n">
        <f aca="false">IFERROR(H333*1000000/$E333,"")</f>
        <v>133.758689556262</v>
      </c>
      <c r="N333" s="11" t="n">
        <f aca="false">IFERROR(I333*1000000/$E333,"")</f>
        <v>343.242840440734</v>
      </c>
      <c r="O333" s="11" t="n">
        <f aca="false">IFERROR(J333*1000000/$E333,"")</f>
        <v>397.46354841207</v>
      </c>
      <c r="P333" s="16" t="n">
        <f aca="false">COUNTIFS($A$4:$A$1008,$A333,$N$4:$N$1008,"&gt;"&amp;N333)+1</f>
        <v>2</v>
      </c>
      <c r="Q333" s="16" t="n">
        <f aca="false">COUNTIFS($A$4:$A$1008,$A333,$O$4:$O$1008,"&gt;"&amp;O333)+1</f>
        <v>1</v>
      </c>
    </row>
    <row r="334" customFormat="false" ht="15" hidden="false" customHeight="false" outlineLevel="0" collapsed="false">
      <c r="A334" s="7" t="n">
        <v>2008</v>
      </c>
      <c r="B334" s="15" t="s">
        <v>133</v>
      </c>
      <c r="C334" s="15" t="s">
        <v>118</v>
      </c>
      <c r="D334" s="15" t="s">
        <v>105</v>
      </c>
      <c r="E334" s="9" t="n">
        <f aca="false">SUMIFS(Data!$L$2:$L$1006,Data!$A$2:$A$1006,$A334,Data!$B$2:$B$1006,$B334)</f>
        <v>2110003</v>
      </c>
      <c r="F334" s="10" t="n">
        <f aca="false">SUMIFS(Data!$E$2:$E$1006,Data!$A$2:$A$1006,$A334,Data!$B$2:$B$1006,$B334)</f>
        <v>163.697101</v>
      </c>
      <c r="G334" s="10" t="n">
        <f aca="false">SUMIFS(Data!$F$2:$F$1006,Data!$A$2:$A$1006,$A334,Data!$B$2:$B$1006,$B334)</f>
        <v>332.142236</v>
      </c>
      <c r="H334" s="10" t="n">
        <f aca="false">SUMIFS(Data!$G$2:$G$1006,Data!$A$2:$A$1006,$A334,Data!$B$2:$B$1006,$B334)</f>
        <v>131.702577</v>
      </c>
      <c r="I334" s="10" t="n">
        <f aca="false">SUMIFS(Data!$N$2:$N$1006,Data!$A$2:$A$1006,$A334,Data!$B$2:$B$1006,$B334)</f>
        <v>627.541914</v>
      </c>
      <c r="J334" s="10" t="n">
        <f aca="false">SUMIFS(Data!$H$2:$H$1006,Data!$A$2:$A$1006,$A334,Data!$B$2:$B$1006,$B334)</f>
        <v>263.937915</v>
      </c>
      <c r="K334" s="11" t="n">
        <f aca="false">IFERROR(F334*1000000/$E334,"")</f>
        <v>77.5814541495913</v>
      </c>
      <c r="L334" s="11" t="n">
        <f aca="false">IFERROR(G334*1000000/$E334,"")</f>
        <v>157.413158180344</v>
      </c>
      <c r="M334" s="11" t="n">
        <f aca="false">IFERROR(H334*1000000/$E334,"")</f>
        <v>62.418194192141</v>
      </c>
      <c r="N334" s="11" t="n">
        <f aca="false">IFERROR(I334*1000000/$E334,"")</f>
        <v>297.412806522076</v>
      </c>
      <c r="O334" s="11" t="n">
        <f aca="false">IFERROR(J334*1000000/$E334,"")</f>
        <v>125.088881390216</v>
      </c>
      <c r="P334" s="16" t="n">
        <f aca="false">COUNTIFS($A$4:$A$1008,$A334,$N$4:$N$1008,"&gt;"&amp;N334)+1</f>
        <v>8</v>
      </c>
      <c r="Q334" s="16" t="n">
        <f aca="false">COUNTIFS($A$4:$A$1008,$A334,$O$4:$O$1008,"&gt;"&amp;O334)+1</f>
        <v>28</v>
      </c>
    </row>
    <row r="335" customFormat="false" ht="15" hidden="false" customHeight="false" outlineLevel="0" collapsed="false">
      <c r="A335" s="7" t="n">
        <v>2008</v>
      </c>
      <c r="B335" s="15" t="s">
        <v>134</v>
      </c>
      <c r="C335" s="15" t="s">
        <v>135</v>
      </c>
      <c r="D335" s="15" t="s">
        <v>136</v>
      </c>
      <c r="E335" s="9" t="n">
        <f aca="false">SUMIFS(Data!$L$2:$L$1006,Data!$A$2:$A$1006,$A335,Data!$B$2:$B$1006,$B335)</f>
        <v>141530</v>
      </c>
      <c r="F335" s="10" t="n">
        <f aca="false">SUMIFS(Data!$E$2:$E$1006,Data!$A$2:$A$1006,$A335,Data!$B$2:$B$1006,$B335)</f>
        <v>21.018608</v>
      </c>
      <c r="G335" s="10" t="n">
        <f aca="false">SUMIFS(Data!$F$2:$F$1006,Data!$A$2:$A$1006,$A335,Data!$B$2:$B$1006,$B335)</f>
        <v>15.158954</v>
      </c>
      <c r="H335" s="10" t="n">
        <f aca="false">SUMIFS(Data!$G$2:$G$1006,Data!$A$2:$A$1006,$A335,Data!$B$2:$B$1006,$B335)</f>
        <v>13.995745</v>
      </c>
      <c r="I335" s="10" t="n">
        <f aca="false">SUMIFS(Data!$N$2:$N$1006,Data!$A$2:$A$1006,$A335,Data!$B$2:$B$1006,$B335)</f>
        <v>50.173307</v>
      </c>
      <c r="J335" s="10" t="n">
        <f aca="false">SUMIFS(Data!$H$2:$H$1006,Data!$A$2:$A$1006,$A335,Data!$B$2:$B$1006,$B335)</f>
        <v>22.647093</v>
      </c>
      <c r="K335" s="11" t="n">
        <f aca="false">IFERROR(F335*1000000/$E335,"")</f>
        <v>148.509913092631</v>
      </c>
      <c r="L335" s="11" t="n">
        <f aca="false">IFERROR(G335*1000000/$E335,"")</f>
        <v>107.107708613015</v>
      </c>
      <c r="M335" s="11" t="n">
        <f aca="false">IFERROR(H335*1000000/$E335,"")</f>
        <v>98.8888928142443</v>
      </c>
      <c r="N335" s="11" t="n">
        <f aca="false">IFERROR(I335*1000000/$E335,"")</f>
        <v>354.50651451989</v>
      </c>
      <c r="O335" s="11" t="n">
        <f aca="false">IFERROR(J335*1000000/$E335,"")</f>
        <v>160.016201512047</v>
      </c>
      <c r="P335" s="16" t="n">
        <f aca="false">COUNTIFS($A$4:$A$1008,$A335,$N$4:$N$1008,"&gt;"&amp;N335)+1</f>
        <v>1</v>
      </c>
      <c r="Q335" s="16" t="n">
        <f aca="false">COUNTIFS($A$4:$A$1008,$A335,$O$4:$O$1008,"&gt;"&amp;O335)+1</f>
        <v>16</v>
      </c>
    </row>
    <row r="336" customFormat="false" ht="15" hidden="false" customHeight="false" outlineLevel="0" collapsed="false">
      <c r="A336" s="7" t="n">
        <v>2008</v>
      </c>
      <c r="B336" s="15" t="s">
        <v>137</v>
      </c>
      <c r="C336" s="15" t="s">
        <v>135</v>
      </c>
      <c r="D336" s="15" t="s">
        <v>138</v>
      </c>
      <c r="E336" s="9" t="n">
        <f aca="false">SUMIFS(Data!$L$2:$L$1006,Data!$A$2:$A$1006,$A336,Data!$B$2:$B$1006,$B336)</f>
        <v>1804232</v>
      </c>
      <c r="F336" s="10" t="n">
        <f aca="false">SUMIFS(Data!$E$2:$E$1006,Data!$A$2:$A$1006,$A336,Data!$B$2:$B$1006,$B336)</f>
        <v>154.121011</v>
      </c>
      <c r="G336" s="10" t="n">
        <f aca="false">SUMIFS(Data!$F$2:$F$1006,Data!$A$2:$A$1006,$A336,Data!$B$2:$B$1006,$B336)</f>
        <v>96.745094</v>
      </c>
      <c r="H336" s="10" t="n">
        <f aca="false">SUMIFS(Data!$G$2:$G$1006,Data!$A$2:$A$1006,$A336,Data!$B$2:$B$1006,$B336)</f>
        <v>138.092966</v>
      </c>
      <c r="I336" s="10" t="n">
        <f aca="false">SUMIFS(Data!$N$2:$N$1006,Data!$A$2:$A$1006,$A336,Data!$B$2:$B$1006,$B336)</f>
        <v>388.959071</v>
      </c>
      <c r="J336" s="10" t="n">
        <f aca="false">SUMIFS(Data!$H$2:$H$1006,Data!$A$2:$A$1006,$A336,Data!$B$2:$B$1006,$B336)</f>
        <v>289.617222</v>
      </c>
      <c r="K336" s="11" t="n">
        <f aca="false">IFERROR(F336*1000000/$E336,"")</f>
        <v>85.4219473992258</v>
      </c>
      <c r="L336" s="11" t="n">
        <f aca="false">IFERROR(G336*1000000/$E336,"")</f>
        <v>53.621205033499</v>
      </c>
      <c r="M336" s="11" t="n">
        <f aca="false">IFERROR(H336*1000000/$E336,"")</f>
        <v>76.5383642458398</v>
      </c>
      <c r="N336" s="11" t="n">
        <f aca="false">IFERROR(I336*1000000/$E336,"")</f>
        <v>215.581516678565</v>
      </c>
      <c r="O336" s="11" t="n">
        <f aca="false">IFERROR(J336*1000000/$E336,"")</f>
        <v>160.521053833432</v>
      </c>
      <c r="P336" s="16" t="n">
        <f aca="false">COUNTIFS($A$4:$A$1008,$A336,$N$4:$N$1008,"&gt;"&amp;N336)+1</f>
        <v>30</v>
      </c>
      <c r="Q336" s="16" t="n">
        <f aca="false">COUNTIFS($A$4:$A$1008,$A336,$O$4:$O$1008,"&gt;"&amp;O336)+1</f>
        <v>15</v>
      </c>
    </row>
    <row r="337" customFormat="false" ht="15" hidden="false" customHeight="false" outlineLevel="0" collapsed="false">
      <c r="A337" s="7" t="n">
        <v>2008</v>
      </c>
      <c r="B337" s="15" t="s">
        <v>139</v>
      </c>
      <c r="C337" s="15" t="s">
        <v>135</v>
      </c>
      <c r="D337" s="15" t="s">
        <v>138</v>
      </c>
      <c r="E337" s="9" t="n">
        <f aca="false">SUMIFS(Data!$L$2:$L$1006,Data!$A$2:$A$1006,$A337,Data!$B$2:$B$1006,$B337)</f>
        <v>2150421</v>
      </c>
      <c r="F337" s="10" t="n">
        <f aca="false">SUMIFS(Data!$E$2:$E$1006,Data!$A$2:$A$1006,$A337,Data!$B$2:$B$1006,$B337)</f>
        <v>243.484077</v>
      </c>
      <c r="G337" s="10" t="n">
        <f aca="false">SUMIFS(Data!$F$2:$F$1006,Data!$A$2:$A$1006,$A337,Data!$B$2:$B$1006,$B337)</f>
        <v>224.505607</v>
      </c>
      <c r="H337" s="10" t="n">
        <f aca="false">SUMIFS(Data!$G$2:$G$1006,Data!$A$2:$A$1006,$A337,Data!$B$2:$B$1006,$B337)</f>
        <v>212.457674</v>
      </c>
      <c r="I337" s="10" t="n">
        <f aca="false">SUMIFS(Data!$N$2:$N$1006,Data!$A$2:$A$1006,$A337,Data!$B$2:$B$1006,$B337)</f>
        <v>680.447358</v>
      </c>
      <c r="J337" s="10" t="n">
        <f aca="false">SUMIFS(Data!$H$2:$H$1006,Data!$A$2:$A$1006,$A337,Data!$B$2:$B$1006,$B337)</f>
        <v>370.790509</v>
      </c>
      <c r="K337" s="11" t="n">
        <f aca="false">IFERROR(F337*1000000/$E337,"")</f>
        <v>113.226236629944</v>
      </c>
      <c r="L337" s="11" t="n">
        <f aca="false">IFERROR(G337*1000000/$E337,"")</f>
        <v>104.40076943073</v>
      </c>
      <c r="M337" s="11" t="n">
        <f aca="false">IFERROR(H337*1000000/$E337,"")</f>
        <v>98.7981767291149</v>
      </c>
      <c r="N337" s="11" t="n">
        <f aca="false">IFERROR(I337*1000000/$E337,"")</f>
        <v>316.425182789789</v>
      </c>
      <c r="O337" s="11" t="n">
        <f aca="false">IFERROR(J337*1000000/$E337,"")</f>
        <v>172.426938259997</v>
      </c>
      <c r="P337" s="16" t="n">
        <f aca="false">COUNTIFS($A$4:$A$1008,$A337,$N$4:$N$1008,"&gt;"&amp;N337)+1</f>
        <v>5</v>
      </c>
      <c r="Q337" s="16" t="n">
        <f aca="false">COUNTIFS($A$4:$A$1008,$A337,$O$4:$O$1008,"&gt;"&amp;O337)+1</f>
        <v>13</v>
      </c>
    </row>
    <row r="338" customFormat="false" ht="15" hidden="false" customHeight="false" outlineLevel="0" collapsed="false">
      <c r="A338" s="7" t="n">
        <v>2008</v>
      </c>
      <c r="B338" s="15" t="s">
        <v>140</v>
      </c>
      <c r="C338" s="15" t="s">
        <v>135</v>
      </c>
      <c r="D338" s="15" t="s">
        <v>141</v>
      </c>
      <c r="E338" s="9" t="n">
        <f aca="false">SUMIFS(Data!$L$2:$L$1006,Data!$A$2:$A$1006,$A338,Data!$B$2:$B$1006,$B338)</f>
        <v>776647</v>
      </c>
      <c r="F338" s="10" t="n">
        <f aca="false">SUMIFS(Data!$E$2:$E$1006,Data!$A$2:$A$1006,$A338,Data!$B$2:$B$1006,$B338)</f>
        <v>85.237846</v>
      </c>
      <c r="G338" s="10" t="n">
        <f aca="false">SUMIFS(Data!$F$2:$F$1006,Data!$A$2:$A$1006,$A338,Data!$B$2:$B$1006,$B338)</f>
        <v>48.079513</v>
      </c>
      <c r="H338" s="10" t="n">
        <f aca="false">SUMIFS(Data!$G$2:$G$1006,Data!$A$2:$A$1006,$A338,Data!$B$2:$B$1006,$B338)</f>
        <v>76.543961</v>
      </c>
      <c r="I338" s="10" t="n">
        <f aca="false">SUMIFS(Data!$N$2:$N$1006,Data!$A$2:$A$1006,$A338,Data!$B$2:$B$1006,$B338)</f>
        <v>209.86132</v>
      </c>
      <c r="J338" s="10" t="n">
        <f aca="false">SUMIFS(Data!$H$2:$H$1006,Data!$A$2:$A$1006,$A338,Data!$B$2:$B$1006,$B338)</f>
        <v>92.612888</v>
      </c>
      <c r="K338" s="11" t="n">
        <f aca="false">IFERROR(F338*1000000/$E338,"")</f>
        <v>109.751078675383</v>
      </c>
      <c r="L338" s="11" t="n">
        <f aca="false">IFERROR(G338*1000000/$E338,"")</f>
        <v>61.9065199505052</v>
      </c>
      <c r="M338" s="11" t="n">
        <f aca="false">IFERROR(H338*1000000/$E338,"")</f>
        <v>98.5569518713135</v>
      </c>
      <c r="N338" s="11" t="n">
        <f aca="false">IFERROR(I338*1000000/$E338,"")</f>
        <v>270.214550497201</v>
      </c>
      <c r="O338" s="11" t="n">
        <f aca="false">IFERROR(J338*1000000/$E338,"")</f>
        <v>119.247081363863</v>
      </c>
      <c r="P338" s="16" t="n">
        <f aca="false">COUNTIFS($A$4:$A$1008,$A338,$N$4:$N$1008,"&gt;"&amp;N338)+1</f>
        <v>12</v>
      </c>
      <c r="Q338" s="16" t="n">
        <f aca="false">COUNTIFS($A$4:$A$1008,$A338,$O$4:$O$1008,"&gt;"&amp;O338)+1</f>
        <v>30</v>
      </c>
    </row>
    <row r="339" customFormat="false" ht="15" hidden="false" customHeight="false" outlineLevel="0" collapsed="false">
      <c r="A339" s="7" t="n">
        <v>2008</v>
      </c>
      <c r="B339" s="15" t="s">
        <v>142</v>
      </c>
      <c r="C339" s="15" t="s">
        <v>135</v>
      </c>
      <c r="D339" s="15" t="s">
        <v>143</v>
      </c>
      <c r="E339" s="9" t="n">
        <f aca="false">SUMIFS(Data!$L$2:$L$1006,Data!$A$2:$A$1006,$A339,Data!$B$2:$B$1006,$B339)</f>
        <v>582769</v>
      </c>
      <c r="F339" s="10" t="n">
        <f aca="false">SUMIFS(Data!$E$2:$E$1006,Data!$A$2:$A$1006,$A339,Data!$B$2:$B$1006,$B339)</f>
        <v>70.804747</v>
      </c>
      <c r="G339" s="10" t="n">
        <f aca="false">SUMIFS(Data!$F$2:$F$1006,Data!$A$2:$A$1006,$A339,Data!$B$2:$B$1006,$B339)</f>
        <v>24.519531</v>
      </c>
      <c r="H339" s="10" t="n">
        <f aca="false">SUMIFS(Data!$G$2:$G$1006,Data!$A$2:$A$1006,$A339,Data!$B$2:$B$1006,$B339)</f>
        <v>30.236396</v>
      </c>
      <c r="I339" s="10" t="n">
        <f aca="false">SUMIFS(Data!$N$2:$N$1006,Data!$A$2:$A$1006,$A339,Data!$B$2:$B$1006,$B339)</f>
        <v>125.560674</v>
      </c>
      <c r="J339" s="10" t="n">
        <f aca="false">SUMIFS(Data!$H$2:$H$1006,Data!$A$2:$A$1006,$A339,Data!$B$2:$B$1006,$B339)</f>
        <v>124.235062</v>
      </c>
      <c r="K339" s="11" t="n">
        <f aca="false">IFERROR(F339*1000000/$E339,"")</f>
        <v>121.49710605746</v>
      </c>
      <c r="L339" s="11" t="n">
        <f aca="false">IFERROR(G339*1000000/$E339,"")</f>
        <v>42.074185483442</v>
      </c>
      <c r="M339" s="11" t="n">
        <f aca="false">IFERROR(H339*1000000/$E339,"")</f>
        <v>51.8840157935649</v>
      </c>
      <c r="N339" s="11" t="n">
        <f aca="false">IFERROR(I339*1000000/$E339,"")</f>
        <v>215.455307334467</v>
      </c>
      <c r="O339" s="11" t="n">
        <f aca="false">IFERROR(J339*1000000/$E339,"")</f>
        <v>213.1806290314</v>
      </c>
      <c r="P339" s="16" t="n">
        <f aca="false">COUNTIFS($A$4:$A$1008,$A339,$N$4:$N$1008,"&gt;"&amp;N339)+1</f>
        <v>31</v>
      </c>
      <c r="Q339" s="16" t="n">
        <f aca="false">COUNTIFS($A$4:$A$1008,$A339,$O$4:$O$1008,"&gt;"&amp;O339)+1</f>
        <v>5</v>
      </c>
    </row>
    <row r="340" customFormat="false" ht="15" hidden="false" customHeight="false" outlineLevel="0" collapsed="false">
      <c r="A340" s="7" t="n">
        <v>2008</v>
      </c>
      <c r="B340" s="15" t="s">
        <v>144</v>
      </c>
      <c r="C340" s="15" t="s">
        <v>135</v>
      </c>
      <c r="D340" s="15" t="s">
        <v>141</v>
      </c>
      <c r="E340" s="9" t="n">
        <f aca="false">SUMIFS(Data!$L$2:$L$1006,Data!$A$2:$A$1006,$A340,Data!$B$2:$B$1006,$B340)</f>
        <v>468203</v>
      </c>
      <c r="F340" s="10" t="n">
        <f aca="false">SUMIFS(Data!$E$2:$E$1006,Data!$A$2:$A$1006,$A340,Data!$B$2:$B$1006,$B340)</f>
        <v>39.571808</v>
      </c>
      <c r="G340" s="10" t="n">
        <f aca="false">SUMIFS(Data!$F$2:$F$1006,Data!$A$2:$A$1006,$A340,Data!$B$2:$B$1006,$B340)</f>
        <v>20.990156</v>
      </c>
      <c r="H340" s="10" t="n">
        <f aca="false">SUMIFS(Data!$G$2:$G$1006,Data!$A$2:$A$1006,$A340,Data!$B$2:$B$1006,$B340)</f>
        <v>56.742432</v>
      </c>
      <c r="I340" s="10" t="n">
        <f aca="false">SUMIFS(Data!$N$2:$N$1006,Data!$A$2:$A$1006,$A340,Data!$B$2:$B$1006,$B340)</f>
        <v>117.304396</v>
      </c>
      <c r="J340" s="10" t="n">
        <f aca="false">SUMIFS(Data!$H$2:$H$1006,Data!$A$2:$A$1006,$A340,Data!$B$2:$B$1006,$B340)</f>
        <v>44.791245</v>
      </c>
      <c r="K340" s="11" t="n">
        <f aca="false">IFERROR(F340*1000000/$E340,"")</f>
        <v>84.5184845035166</v>
      </c>
      <c r="L340" s="11" t="n">
        <f aca="false">IFERROR(G340*1000000/$E340,"")</f>
        <v>44.8313146220763</v>
      </c>
      <c r="M340" s="11" t="n">
        <f aca="false">IFERROR(H340*1000000/$E340,"")</f>
        <v>121.191944519792</v>
      </c>
      <c r="N340" s="11" t="n">
        <f aca="false">IFERROR(I340*1000000/$E340,"")</f>
        <v>250.541743645385</v>
      </c>
      <c r="O340" s="11" t="n">
        <f aca="false">IFERROR(J340*1000000/$E340,"")</f>
        <v>95.6662921852274</v>
      </c>
      <c r="P340" s="16" t="n">
        <f aca="false">COUNTIFS($A$4:$A$1008,$A340,$N$4:$N$1008,"&gt;"&amp;N340)+1</f>
        <v>15</v>
      </c>
      <c r="Q340" s="16" t="n">
        <f aca="false">COUNTIFS($A$4:$A$1008,$A340,$O$4:$O$1008,"&gt;"&amp;O340)+1</f>
        <v>35</v>
      </c>
    </row>
    <row r="341" customFormat="false" ht="15" hidden="false" customHeight="false" outlineLevel="0" collapsed="false">
      <c r="A341" s="7" t="n">
        <v>2008</v>
      </c>
      <c r="B341" s="15" t="s">
        <v>145</v>
      </c>
      <c r="C341" s="15" t="s">
        <v>135</v>
      </c>
      <c r="D341" s="15" t="s">
        <v>146</v>
      </c>
      <c r="E341" s="9" t="n">
        <f aca="false">SUMIFS(Data!$L$2:$L$1006,Data!$A$2:$A$1006,$A341,Data!$B$2:$B$1006,$B341)</f>
        <v>526600</v>
      </c>
      <c r="F341" s="10" t="n">
        <f aca="false">SUMIFS(Data!$E$2:$E$1006,Data!$A$2:$A$1006,$A341,Data!$B$2:$B$1006,$B341)</f>
        <v>27.689844</v>
      </c>
      <c r="G341" s="10" t="n">
        <f aca="false">SUMIFS(Data!$F$2:$F$1006,Data!$A$2:$A$1006,$A341,Data!$B$2:$B$1006,$B341)</f>
        <v>52.193094</v>
      </c>
      <c r="H341" s="10" t="n">
        <f aca="false">SUMIFS(Data!$G$2:$G$1006,Data!$A$2:$A$1006,$A341,Data!$B$2:$B$1006,$B341)</f>
        <v>45.688346</v>
      </c>
      <c r="I341" s="10" t="n">
        <f aca="false">SUMIFS(Data!$N$2:$N$1006,Data!$A$2:$A$1006,$A341,Data!$B$2:$B$1006,$B341)</f>
        <v>125.571284</v>
      </c>
      <c r="J341" s="10" t="n">
        <f aca="false">SUMIFS(Data!$H$2:$H$1006,Data!$A$2:$A$1006,$A341,Data!$B$2:$B$1006,$B341)</f>
        <v>114.729825</v>
      </c>
      <c r="K341" s="11" t="n">
        <f aca="false">IFERROR(F341*1000000/$E341,"")</f>
        <v>52.5823091530574</v>
      </c>
      <c r="L341" s="11" t="n">
        <f aca="false">IFERROR(G341*1000000/$E341,"")</f>
        <v>99.113357387011</v>
      </c>
      <c r="M341" s="11" t="n">
        <f aca="false">IFERROR(H341*1000000/$E341,"")</f>
        <v>86.7610064565135</v>
      </c>
      <c r="N341" s="11" t="n">
        <f aca="false">IFERROR(I341*1000000/$E341,"")</f>
        <v>238.456672996582</v>
      </c>
      <c r="O341" s="11" t="n">
        <f aca="false">IFERROR(J341*1000000/$E341,"")</f>
        <v>217.869018230156</v>
      </c>
      <c r="P341" s="16" t="n">
        <f aca="false">COUNTIFS($A$4:$A$1008,$A341,$N$4:$N$1008,"&gt;"&amp;N341)+1</f>
        <v>24</v>
      </c>
      <c r="Q341" s="16" t="n">
        <f aca="false">COUNTIFS($A$4:$A$1008,$A341,$O$4:$O$1008,"&gt;"&amp;O341)+1</f>
        <v>4</v>
      </c>
    </row>
    <row r="342" customFormat="false" ht="15" hidden="false" customHeight="false" outlineLevel="0" collapsed="false">
      <c r="A342" s="7" t="n">
        <v>2008</v>
      </c>
      <c r="B342" s="15" t="s">
        <v>147</v>
      </c>
      <c r="C342" s="15" t="s">
        <v>135</v>
      </c>
      <c r="D342" s="15" t="s">
        <v>148</v>
      </c>
      <c r="E342" s="9" t="n">
        <f aca="false">SUMIFS(Data!$L$2:$L$1006,Data!$A$2:$A$1006,$A342,Data!$B$2:$B$1006,$B342)</f>
        <v>139449</v>
      </c>
      <c r="F342" s="10" t="n">
        <f aca="false">SUMIFS(Data!$E$2:$E$1006,Data!$A$2:$A$1006,$A342,Data!$B$2:$B$1006,$B342)</f>
        <v>13.013741</v>
      </c>
      <c r="G342" s="10" t="n">
        <f aca="false">SUMIFS(Data!$F$2:$F$1006,Data!$A$2:$A$1006,$A342,Data!$B$2:$B$1006,$B342)</f>
        <v>15.961159</v>
      </c>
      <c r="H342" s="10" t="n">
        <f aca="false">SUMIFS(Data!$G$2:$G$1006,Data!$A$2:$A$1006,$A342,Data!$B$2:$B$1006,$B342)</f>
        <v>11.36576</v>
      </c>
      <c r="I342" s="10" t="n">
        <f aca="false">SUMIFS(Data!$N$2:$N$1006,Data!$A$2:$A$1006,$A342,Data!$B$2:$B$1006,$B342)</f>
        <v>40.34066</v>
      </c>
      <c r="J342" s="10" t="n">
        <f aca="false">SUMIFS(Data!$H$2:$H$1006,Data!$A$2:$A$1006,$A342,Data!$B$2:$B$1006,$B342)</f>
        <v>18.449639</v>
      </c>
      <c r="K342" s="11" t="n">
        <f aca="false">IFERROR(F342*1000000/$E342,"")</f>
        <v>93.3225838837138</v>
      </c>
      <c r="L342" s="11" t="n">
        <f aca="false">IFERROR(G342*1000000/$E342,"")</f>
        <v>114.458755530696</v>
      </c>
      <c r="M342" s="11" t="n">
        <f aca="false">IFERROR(H342*1000000/$E342,"")</f>
        <v>81.5047795251311</v>
      </c>
      <c r="N342" s="11" t="n">
        <f aca="false">IFERROR(I342*1000000/$E342,"")</f>
        <v>289.286118939541</v>
      </c>
      <c r="O342" s="11" t="n">
        <f aca="false">IFERROR(J342*1000000/$E342,"")</f>
        <v>132.303845850454</v>
      </c>
      <c r="P342" s="16" t="n">
        <f aca="false">COUNTIFS($A$4:$A$1008,$A342,$N$4:$N$1008,"&gt;"&amp;N342)+1</f>
        <v>9</v>
      </c>
      <c r="Q342" s="16" t="n">
        <f aca="false">COUNTIFS($A$4:$A$1008,$A342,$O$4:$O$1008,"&gt;"&amp;O342)+1</f>
        <v>26</v>
      </c>
    </row>
    <row r="343" customFormat="false" ht="15" hidden="false" customHeight="false" outlineLevel="0" collapsed="false">
      <c r="A343" s="7" t="n">
        <v>2008</v>
      </c>
      <c r="B343" s="15" t="s">
        <v>149</v>
      </c>
      <c r="C343" s="15" t="s">
        <v>135</v>
      </c>
      <c r="D343" s="15" t="s">
        <v>146</v>
      </c>
      <c r="E343" s="9" t="n">
        <f aca="false">SUMIFS(Data!$L$2:$L$1006,Data!$A$2:$A$1006,$A343,Data!$B$2:$B$1006,$B343)</f>
        <v>720661</v>
      </c>
      <c r="F343" s="10" t="n">
        <f aca="false">SUMIFS(Data!$E$2:$E$1006,Data!$A$2:$A$1006,$A343,Data!$B$2:$B$1006,$B343)</f>
        <v>111.862749</v>
      </c>
      <c r="G343" s="10" t="n">
        <f aca="false">SUMIFS(Data!$F$2:$F$1006,Data!$A$2:$A$1006,$A343,Data!$B$2:$B$1006,$B343)</f>
        <v>64.600955</v>
      </c>
      <c r="H343" s="10" t="n">
        <f aca="false">SUMIFS(Data!$G$2:$G$1006,Data!$A$2:$A$1006,$A343,Data!$B$2:$B$1006,$B343)</f>
        <v>56.682451</v>
      </c>
      <c r="I343" s="10" t="n">
        <f aca="false">SUMIFS(Data!$N$2:$N$1006,Data!$A$2:$A$1006,$A343,Data!$B$2:$B$1006,$B343)</f>
        <v>233.146155</v>
      </c>
      <c r="J343" s="10" t="n">
        <f aca="false">SUMIFS(Data!$H$2:$H$1006,Data!$A$2:$A$1006,$A343,Data!$B$2:$B$1006,$B343)</f>
        <v>151.103492</v>
      </c>
      <c r="K343" s="11" t="n">
        <f aca="false">IFERROR(F343*1000000/$E343,"")</f>
        <v>155.222426355804</v>
      </c>
      <c r="L343" s="11" t="n">
        <f aca="false">IFERROR(G343*1000000/$E343,"")</f>
        <v>89.6412529608235</v>
      </c>
      <c r="M343" s="11" t="n">
        <f aca="false">IFERROR(H343*1000000/$E343,"")</f>
        <v>78.6534181813641</v>
      </c>
      <c r="N343" s="11" t="n">
        <f aca="false">IFERROR(I343*1000000/$E343,"")</f>
        <v>323.517097497992</v>
      </c>
      <c r="O343" s="11" t="n">
        <f aca="false">IFERROR(J343*1000000/$E343,"")</f>
        <v>209.673469217843</v>
      </c>
      <c r="P343" s="16" t="n">
        <f aca="false">COUNTIFS($A$4:$A$1008,$A343,$N$4:$N$1008,"&gt;"&amp;N343)+1</f>
        <v>3</v>
      </c>
      <c r="Q343" s="16" t="n">
        <f aca="false">COUNTIFS($A$4:$A$1008,$A343,$O$4:$O$1008,"&gt;"&amp;O343)+1</f>
        <v>6</v>
      </c>
    </row>
    <row r="344" customFormat="false" ht="15" hidden="false" customHeight="false" outlineLevel="0" collapsed="false">
      <c r="A344" s="7" t="n">
        <v>2008</v>
      </c>
      <c r="B344" s="15" t="s">
        <v>150</v>
      </c>
      <c r="C344" s="15" t="s">
        <v>135</v>
      </c>
      <c r="D344" s="15" t="s">
        <v>141</v>
      </c>
      <c r="E344" s="9" t="n">
        <f aca="false">SUMIFS(Data!$L$2:$L$1006,Data!$A$2:$A$1006,$A344,Data!$B$2:$B$1006,$B344)</f>
        <v>456302</v>
      </c>
      <c r="F344" s="10" t="n">
        <f aca="false">SUMIFS(Data!$E$2:$E$1006,Data!$A$2:$A$1006,$A344,Data!$B$2:$B$1006,$B344)</f>
        <v>41.246476</v>
      </c>
      <c r="G344" s="10" t="n">
        <f aca="false">SUMIFS(Data!$F$2:$F$1006,Data!$A$2:$A$1006,$A344,Data!$B$2:$B$1006,$B344)</f>
        <v>18.913223</v>
      </c>
      <c r="H344" s="10" t="n">
        <f aca="false">SUMIFS(Data!$G$2:$G$1006,Data!$A$2:$A$1006,$A344,Data!$B$2:$B$1006,$B344)</f>
        <v>52.81408</v>
      </c>
      <c r="I344" s="10" t="n">
        <f aca="false">SUMIFS(Data!$N$2:$N$1006,Data!$A$2:$A$1006,$A344,Data!$B$2:$B$1006,$B344)</f>
        <v>112.973779</v>
      </c>
      <c r="J344" s="10" t="n">
        <f aca="false">SUMIFS(Data!$H$2:$H$1006,Data!$A$2:$A$1006,$A344,Data!$B$2:$B$1006,$B344)</f>
        <v>61.146549</v>
      </c>
      <c r="K344" s="11" t="n">
        <f aca="false">IFERROR(F344*1000000/$E344,"")</f>
        <v>90.3929327506783</v>
      </c>
      <c r="L344" s="11" t="n">
        <f aca="false">IFERROR(G344*1000000/$E344,"")</f>
        <v>41.4489154112846</v>
      </c>
      <c r="M344" s="11" t="n">
        <f aca="false">IFERROR(H344*1000000/$E344,"")</f>
        <v>115.743696060942</v>
      </c>
      <c r="N344" s="11" t="n">
        <f aca="false">IFERROR(I344*1000000/$E344,"")</f>
        <v>247.585544222905</v>
      </c>
      <c r="O344" s="11" t="n">
        <f aca="false">IFERROR(J344*1000000/$E344,"")</f>
        <v>134.00456057611</v>
      </c>
      <c r="P344" s="16" t="n">
        <f aca="false">COUNTIFS($A$4:$A$1008,$A344,$N$4:$N$1008,"&gt;"&amp;N344)+1</f>
        <v>19</v>
      </c>
      <c r="Q344" s="16" t="n">
        <f aca="false">COUNTIFS($A$4:$A$1008,$A344,$O$4:$O$1008,"&gt;"&amp;O344)+1</f>
        <v>25</v>
      </c>
    </row>
    <row r="345" customFormat="false" ht="15" hidden="false" customHeight="false" outlineLevel="0" collapsed="false">
      <c r="A345" s="7" t="n">
        <v>2008</v>
      </c>
      <c r="B345" s="15" t="s">
        <v>151</v>
      </c>
      <c r="C345" s="15" t="s">
        <v>135</v>
      </c>
      <c r="D345" s="15" t="s">
        <v>136</v>
      </c>
      <c r="E345" s="9" t="n">
        <f aca="false">SUMIFS(Data!$L$2:$L$1006,Data!$A$2:$A$1006,$A345,Data!$B$2:$B$1006,$B345)</f>
        <v>1344989</v>
      </c>
      <c r="F345" s="10" t="n">
        <f aca="false">SUMIFS(Data!$E$2:$E$1006,Data!$A$2:$A$1006,$A345,Data!$B$2:$B$1006,$B345)</f>
        <v>102.93547</v>
      </c>
      <c r="G345" s="10" t="n">
        <f aca="false">SUMIFS(Data!$F$2:$F$1006,Data!$A$2:$A$1006,$A345,Data!$B$2:$B$1006,$B345)</f>
        <v>125.616153</v>
      </c>
      <c r="H345" s="10" t="n">
        <f aca="false">SUMIFS(Data!$G$2:$G$1006,Data!$A$2:$A$1006,$A345,Data!$B$2:$B$1006,$B345)</f>
        <v>86.46601</v>
      </c>
      <c r="I345" s="10" t="n">
        <f aca="false">SUMIFS(Data!$N$2:$N$1006,Data!$A$2:$A$1006,$A345,Data!$B$2:$B$1006,$B345)</f>
        <v>315.017633</v>
      </c>
      <c r="J345" s="10" t="n">
        <f aca="false">SUMIFS(Data!$H$2:$H$1006,Data!$A$2:$A$1006,$A345,Data!$B$2:$B$1006,$B345)</f>
        <v>122.366199</v>
      </c>
      <c r="K345" s="11" t="n">
        <f aca="false">IFERROR(F345*1000000/$E345,"")</f>
        <v>76.5325738723514</v>
      </c>
      <c r="L345" s="11" t="n">
        <f aca="false">IFERROR(G345*1000000/$E345,"")</f>
        <v>93.3956731244642</v>
      </c>
      <c r="M345" s="11" t="n">
        <f aca="false">IFERROR(H345*1000000/$E345,"")</f>
        <v>64.2875220540837</v>
      </c>
      <c r="N345" s="11" t="n">
        <f aca="false">IFERROR(I345*1000000/$E345,"")</f>
        <v>234.215769050899</v>
      </c>
      <c r="O345" s="11" t="n">
        <f aca="false">IFERROR(J345*1000000/$E345,"")</f>
        <v>90.9793306859759</v>
      </c>
      <c r="P345" s="16" t="n">
        <f aca="false">COUNTIFS($A$4:$A$1008,$A345,$N$4:$N$1008,"&gt;"&amp;N345)+1</f>
        <v>25</v>
      </c>
      <c r="Q345" s="16" t="n">
        <f aca="false">COUNTIFS($A$4:$A$1008,$A345,$O$4:$O$1008,"&gt;"&amp;O345)+1</f>
        <v>37</v>
      </c>
    </row>
    <row r="346" customFormat="false" ht="15" hidden="false" customHeight="false" outlineLevel="0" collapsed="false">
      <c r="A346" s="7" t="n">
        <v>2008</v>
      </c>
      <c r="B346" s="15" t="s">
        <v>152</v>
      </c>
      <c r="C346" s="15" t="s">
        <v>135</v>
      </c>
      <c r="D346" s="15" t="s">
        <v>148</v>
      </c>
      <c r="E346" s="9" t="n">
        <f aca="false">SUMIFS(Data!$L$2:$L$1006,Data!$A$2:$A$1006,$A346,Data!$B$2:$B$1006,$B346)</f>
        <v>259571</v>
      </c>
      <c r="F346" s="10" t="n">
        <f aca="false">SUMIFS(Data!$E$2:$E$1006,Data!$A$2:$A$1006,$A346,Data!$B$2:$B$1006,$B346)</f>
        <v>19.805087</v>
      </c>
      <c r="G346" s="10" t="n">
        <f aca="false">SUMIFS(Data!$F$2:$F$1006,Data!$A$2:$A$1006,$A346,Data!$B$2:$B$1006,$B346)</f>
        <v>19.957747</v>
      </c>
      <c r="H346" s="10" t="n">
        <f aca="false">SUMIFS(Data!$G$2:$G$1006,Data!$A$2:$A$1006,$A346,Data!$B$2:$B$1006,$B346)</f>
        <v>19.740846</v>
      </c>
      <c r="I346" s="10" t="n">
        <f aca="false">SUMIFS(Data!$N$2:$N$1006,Data!$A$2:$A$1006,$A346,Data!$B$2:$B$1006,$B346)</f>
        <v>59.50368</v>
      </c>
      <c r="J346" s="10" t="n">
        <f aca="false">SUMIFS(Data!$H$2:$H$1006,Data!$A$2:$A$1006,$A346,Data!$B$2:$B$1006,$B346)</f>
        <v>27.124695</v>
      </c>
      <c r="K346" s="11" t="n">
        <f aca="false">IFERROR(F346*1000000/$E346,"")</f>
        <v>76.2993053923589</v>
      </c>
      <c r="L346" s="11" t="n">
        <f aca="false">IFERROR(G346*1000000/$E346,"")</f>
        <v>76.8874296435272</v>
      </c>
      <c r="M346" s="11" t="n">
        <f aca="false">IFERROR(H346*1000000/$E346,"")</f>
        <v>76.0518162660698</v>
      </c>
      <c r="N346" s="11" t="n">
        <f aca="false">IFERROR(I346*1000000/$E346,"")</f>
        <v>229.238551301956</v>
      </c>
      <c r="O346" s="11" t="n">
        <f aca="false">IFERROR(J346*1000000/$E346,"")</f>
        <v>104.498171983773</v>
      </c>
      <c r="P346" s="16" t="n">
        <f aca="false">COUNTIFS($A$4:$A$1008,$A346,$N$4:$N$1008,"&gt;"&amp;N346)+1</f>
        <v>26</v>
      </c>
      <c r="Q346" s="16" t="n">
        <f aca="false">COUNTIFS($A$4:$A$1008,$A346,$O$4:$O$1008,"&gt;"&amp;O346)+1</f>
        <v>33</v>
      </c>
    </row>
    <row r="347" customFormat="false" ht="15" hidden="false" customHeight="false" outlineLevel="0" collapsed="false">
      <c r="A347" s="7" t="n">
        <v>2008</v>
      </c>
      <c r="B347" s="15" t="s">
        <v>153</v>
      </c>
      <c r="C347" s="15" t="s">
        <v>135</v>
      </c>
      <c r="D347" s="15" t="s">
        <v>136</v>
      </c>
      <c r="E347" s="9" t="n">
        <f aca="false">SUMIFS(Data!$L$2:$L$1006,Data!$A$2:$A$1006,$A347,Data!$B$2:$B$1006,$B347)</f>
        <v>129281</v>
      </c>
      <c r="F347" s="10" t="n">
        <f aca="false">SUMIFS(Data!$E$2:$E$1006,Data!$A$2:$A$1006,$A347,Data!$B$2:$B$1006,$B347)</f>
        <v>14.781081</v>
      </c>
      <c r="G347" s="10" t="n">
        <f aca="false">SUMIFS(Data!$F$2:$F$1006,Data!$A$2:$A$1006,$A347,Data!$B$2:$B$1006,$B347)</f>
        <v>16.418869</v>
      </c>
      <c r="H347" s="10" t="n">
        <f aca="false">SUMIFS(Data!$G$2:$G$1006,Data!$A$2:$A$1006,$A347,Data!$B$2:$B$1006,$B347)</f>
        <v>9.224741</v>
      </c>
      <c r="I347" s="10" t="n">
        <f aca="false">SUMIFS(Data!$N$2:$N$1006,Data!$A$2:$A$1006,$A347,Data!$B$2:$B$1006,$B347)</f>
        <v>40.424691</v>
      </c>
      <c r="J347" s="10" t="n">
        <f aca="false">SUMIFS(Data!$H$2:$H$1006,Data!$A$2:$A$1006,$A347,Data!$B$2:$B$1006,$B347)</f>
        <v>21.967182</v>
      </c>
      <c r="K347" s="11" t="n">
        <f aca="false">IFERROR(F347*1000000/$E347,"")</f>
        <v>114.332972362528</v>
      </c>
      <c r="L347" s="11" t="n">
        <f aca="false">IFERROR(G347*1000000/$E347,"")</f>
        <v>127.00140778614</v>
      </c>
      <c r="M347" s="11" t="n">
        <f aca="false">IFERROR(H347*1000000/$E347,"")</f>
        <v>71.354189710785</v>
      </c>
      <c r="N347" s="11" t="n">
        <f aca="false">IFERROR(I347*1000000/$E347,"")</f>
        <v>312.688569859453</v>
      </c>
      <c r="O347" s="11" t="n">
        <f aca="false">IFERROR(J347*1000000/$E347,"")</f>
        <v>169.918100881027</v>
      </c>
      <c r="P347" s="16" t="n">
        <f aca="false">COUNTIFS($A$4:$A$1008,$A347,$N$4:$N$1008,"&gt;"&amp;N347)+1</f>
        <v>6</v>
      </c>
      <c r="Q347" s="16" t="n">
        <f aca="false">COUNTIFS($A$4:$A$1008,$A347,$O$4:$O$1008,"&gt;"&amp;O347)+1</f>
        <v>14</v>
      </c>
    </row>
    <row r="348" customFormat="false" ht="15" hidden="false" customHeight="false" outlineLevel="0" collapsed="false">
      <c r="A348" s="7" t="n">
        <v>2008</v>
      </c>
      <c r="B348" s="15" t="s">
        <v>154</v>
      </c>
      <c r="C348" s="15" t="s">
        <v>135</v>
      </c>
      <c r="D348" s="15" t="s">
        <v>141</v>
      </c>
      <c r="E348" s="9" t="n">
        <f aca="false">SUMIFS(Data!$L$2:$L$1006,Data!$A$2:$A$1006,$A348,Data!$B$2:$B$1006,$B348)</f>
        <v>146339</v>
      </c>
      <c r="F348" s="10" t="n">
        <f aca="false">SUMIFS(Data!$E$2:$E$1006,Data!$A$2:$A$1006,$A348,Data!$B$2:$B$1006,$B348)</f>
        <v>15.835333</v>
      </c>
      <c r="G348" s="10" t="n">
        <f aca="false">SUMIFS(Data!$F$2:$F$1006,Data!$A$2:$A$1006,$A348,Data!$B$2:$B$1006,$B348)</f>
        <v>7.238338</v>
      </c>
      <c r="H348" s="10" t="n">
        <f aca="false">SUMIFS(Data!$G$2:$G$1006,Data!$A$2:$A$1006,$A348,Data!$B$2:$B$1006,$B348)</f>
        <v>12.073168</v>
      </c>
      <c r="I348" s="10" t="n">
        <f aca="false">SUMIFS(Data!$N$2:$N$1006,Data!$A$2:$A$1006,$A348,Data!$B$2:$B$1006,$B348)</f>
        <v>35.146839</v>
      </c>
      <c r="J348" s="10" t="n">
        <f aca="false">SUMIFS(Data!$H$2:$H$1006,Data!$A$2:$A$1006,$A348,Data!$B$2:$B$1006,$B348)</f>
        <v>34.373955</v>
      </c>
      <c r="K348" s="11" t="n">
        <f aca="false">IFERROR(F348*1000000/$E348,"")</f>
        <v>108.209930367161</v>
      </c>
      <c r="L348" s="11" t="n">
        <f aca="false">IFERROR(G348*1000000/$E348,"")</f>
        <v>49.4628089572841</v>
      </c>
      <c r="M348" s="11" t="n">
        <f aca="false">IFERROR(H348*1000000/$E348,"")</f>
        <v>82.5013701063968</v>
      </c>
      <c r="N348" s="11" t="n">
        <f aca="false">IFERROR(I348*1000000/$E348,"")</f>
        <v>240.174109430842</v>
      </c>
      <c r="O348" s="11" t="n">
        <f aca="false">IFERROR(J348*1000000/$E348,"")</f>
        <v>234.892646526217</v>
      </c>
      <c r="P348" s="16" t="n">
        <f aca="false">COUNTIFS($A$4:$A$1008,$A348,$N$4:$N$1008,"&gt;"&amp;N348)+1</f>
        <v>23</v>
      </c>
      <c r="Q348" s="16" t="n">
        <f aca="false">COUNTIFS($A$4:$A$1008,$A348,$O$4:$O$1008,"&gt;"&amp;O348)+1</f>
        <v>3</v>
      </c>
    </row>
    <row r="349" customFormat="false" ht="15" hidden="false" customHeight="false" outlineLevel="0" collapsed="false">
      <c r="A349" s="7" t="n">
        <v>2008</v>
      </c>
      <c r="B349" s="15" t="s">
        <v>155</v>
      </c>
      <c r="C349" s="15" t="s">
        <v>135</v>
      </c>
      <c r="D349" s="15" t="s">
        <v>148</v>
      </c>
      <c r="E349" s="9" t="n">
        <f aca="false">SUMIFS(Data!$L$2:$L$1006,Data!$A$2:$A$1006,$A349,Data!$B$2:$B$1006,$B349)</f>
        <v>1111797</v>
      </c>
      <c r="F349" s="10" t="n">
        <f aca="false">SUMIFS(Data!$E$2:$E$1006,Data!$A$2:$A$1006,$A349,Data!$B$2:$B$1006,$B349)</f>
        <v>91.488259</v>
      </c>
      <c r="G349" s="10" t="n">
        <f aca="false">SUMIFS(Data!$F$2:$F$1006,Data!$A$2:$A$1006,$A349,Data!$B$2:$B$1006,$B349)</f>
        <v>145.801732</v>
      </c>
      <c r="H349" s="10" t="n">
        <f aca="false">SUMIFS(Data!$G$2:$G$1006,Data!$A$2:$A$1006,$A349,Data!$B$2:$B$1006,$B349)</f>
        <v>94.236597</v>
      </c>
      <c r="I349" s="10" t="n">
        <f aca="false">SUMIFS(Data!$N$2:$N$1006,Data!$A$2:$A$1006,$A349,Data!$B$2:$B$1006,$B349)</f>
        <v>331.526588</v>
      </c>
      <c r="J349" s="10" t="n">
        <f aca="false">SUMIFS(Data!$H$2:$H$1006,Data!$A$2:$A$1006,$A349,Data!$B$2:$B$1006,$B349)</f>
        <v>157.0996</v>
      </c>
      <c r="K349" s="11" t="n">
        <f aca="false">IFERROR(F349*1000000/$E349,"")</f>
        <v>82.2886363247967</v>
      </c>
      <c r="L349" s="11" t="n">
        <f aca="false">IFERROR(G349*1000000/$E349,"")</f>
        <v>131.140605704099</v>
      </c>
      <c r="M349" s="11" t="n">
        <f aca="false">IFERROR(H349*1000000/$E349,"")</f>
        <v>84.7606145726243</v>
      </c>
      <c r="N349" s="11" t="n">
        <f aca="false">IFERROR(I349*1000000/$E349,"")</f>
        <v>298.18985660152</v>
      </c>
      <c r="O349" s="11" t="n">
        <f aca="false">IFERROR(J349*1000000/$E349,"")</f>
        <v>141.302414019826</v>
      </c>
      <c r="P349" s="16" t="n">
        <f aca="false">COUNTIFS($A$4:$A$1008,$A349,$N$4:$N$1008,"&gt;"&amp;N349)+1</f>
        <v>7</v>
      </c>
      <c r="Q349" s="16" t="n">
        <f aca="false">COUNTIFS($A$4:$A$1008,$A349,$O$4:$O$1008,"&gt;"&amp;O349)+1</f>
        <v>22</v>
      </c>
    </row>
    <row r="350" customFormat="false" ht="15" hidden="false" customHeight="false" outlineLevel="0" collapsed="false">
      <c r="A350" s="7" t="n">
        <v>2008</v>
      </c>
      <c r="B350" s="15" t="s">
        <v>156</v>
      </c>
      <c r="C350" s="15" t="s">
        <v>135</v>
      </c>
      <c r="D350" s="15" t="s">
        <v>148</v>
      </c>
      <c r="E350" s="9" t="n">
        <f aca="false">SUMIFS(Data!$L$2:$L$1006,Data!$A$2:$A$1006,$A350,Data!$B$2:$B$1006,$B350)</f>
        <v>453880</v>
      </c>
      <c r="F350" s="10" t="n">
        <f aca="false">SUMIFS(Data!$E$2:$E$1006,Data!$A$2:$A$1006,$A350,Data!$B$2:$B$1006,$B350)</f>
        <v>22.134597</v>
      </c>
      <c r="G350" s="10" t="n">
        <f aca="false">SUMIFS(Data!$F$2:$F$1006,Data!$A$2:$A$1006,$A350,Data!$B$2:$B$1006,$B350)</f>
        <v>48.871993</v>
      </c>
      <c r="H350" s="10" t="n">
        <f aca="false">SUMIFS(Data!$G$2:$G$1006,Data!$A$2:$A$1006,$A350,Data!$B$2:$B$1006,$B350)</f>
        <v>41.964791</v>
      </c>
      <c r="I350" s="10" t="n">
        <f aca="false">SUMIFS(Data!$N$2:$N$1006,Data!$A$2:$A$1006,$A350,Data!$B$2:$B$1006,$B350)</f>
        <v>112.971381</v>
      </c>
      <c r="J350" s="10" t="n">
        <f aca="false">SUMIFS(Data!$H$2:$H$1006,Data!$A$2:$A$1006,$A350,Data!$B$2:$B$1006,$B350)</f>
        <v>111.796521</v>
      </c>
      <c r="K350" s="11" t="n">
        <f aca="false">IFERROR(F350*1000000/$E350,"")</f>
        <v>48.7675090332246</v>
      </c>
      <c r="L350" s="11" t="n">
        <f aca="false">IFERROR(G350*1000000/$E350,"")</f>
        <v>107.676022296642</v>
      </c>
      <c r="M350" s="11" t="n">
        <f aca="false">IFERROR(H350*1000000/$E350,"")</f>
        <v>92.457898563497</v>
      </c>
      <c r="N350" s="11" t="n">
        <f aca="false">IFERROR(I350*1000000/$E350,"")</f>
        <v>248.901429893364</v>
      </c>
      <c r="O350" s="11" t="n">
        <f aca="false">IFERROR(J350*1000000/$E350,"")</f>
        <v>246.312948356394</v>
      </c>
      <c r="P350" s="16" t="n">
        <f aca="false">COUNTIFS($A$4:$A$1008,$A350,$N$4:$N$1008,"&gt;"&amp;N350)+1</f>
        <v>17</v>
      </c>
      <c r="Q350" s="16" t="n">
        <f aca="false">COUNTIFS($A$4:$A$1008,$A350,$O$4:$O$1008,"&gt;"&amp;O350)+1</f>
        <v>2</v>
      </c>
    </row>
    <row r="351" customFormat="false" ht="15" hidden="false" customHeight="false" outlineLevel="0" collapsed="false">
      <c r="A351" s="7" t="n">
        <v>2008</v>
      </c>
      <c r="B351" s="15" t="s">
        <v>157</v>
      </c>
      <c r="C351" s="15" t="s">
        <v>135</v>
      </c>
      <c r="D351" s="15" t="s">
        <v>148</v>
      </c>
      <c r="E351" s="9" t="n">
        <f aca="false">SUMIFS(Data!$L$2:$L$1006,Data!$A$2:$A$1006,$A351,Data!$B$2:$B$1006,$B351)</f>
        <v>433574</v>
      </c>
      <c r="F351" s="10" t="n">
        <f aca="false">SUMIFS(Data!$E$2:$E$1006,Data!$A$2:$A$1006,$A351,Data!$B$2:$B$1006,$B351)</f>
        <v>43.363465</v>
      </c>
      <c r="G351" s="10" t="n">
        <f aca="false">SUMIFS(Data!$F$2:$F$1006,Data!$A$2:$A$1006,$A351,Data!$B$2:$B$1006,$B351)</f>
        <v>36.265317</v>
      </c>
      <c r="H351" s="10" t="n">
        <f aca="false">SUMIFS(Data!$G$2:$G$1006,Data!$A$2:$A$1006,$A351,Data!$B$2:$B$1006,$B351)</f>
        <v>27.789753</v>
      </c>
      <c r="I351" s="10" t="n">
        <f aca="false">SUMIFS(Data!$N$2:$N$1006,Data!$A$2:$A$1006,$A351,Data!$B$2:$B$1006,$B351)</f>
        <v>107.418535</v>
      </c>
      <c r="J351" s="10" t="n">
        <f aca="false">SUMIFS(Data!$H$2:$H$1006,Data!$A$2:$A$1006,$A351,Data!$B$2:$B$1006,$B351)</f>
        <v>40.618597</v>
      </c>
      <c r="K351" s="11" t="n">
        <f aca="false">IFERROR(F351*1000000/$E351,"")</f>
        <v>100.013988384912</v>
      </c>
      <c r="L351" s="11" t="n">
        <f aca="false">IFERROR(G351*1000000/$E351,"")</f>
        <v>83.6427391863903</v>
      </c>
      <c r="M351" s="11" t="n">
        <f aca="false">IFERROR(H351*1000000/$E351,"")</f>
        <v>64.0946020748477</v>
      </c>
      <c r="N351" s="11" t="n">
        <f aca="false">IFERROR(I351*1000000/$E351,"")</f>
        <v>247.75132964615</v>
      </c>
      <c r="O351" s="11" t="n">
        <f aca="false">IFERROR(J351*1000000/$E351,"")</f>
        <v>93.6831936416852</v>
      </c>
      <c r="P351" s="16" t="n">
        <f aca="false">COUNTIFS($A$4:$A$1008,$A351,$N$4:$N$1008,"&gt;"&amp;N351)+1</f>
        <v>18</v>
      </c>
      <c r="Q351" s="16" t="n">
        <f aca="false">COUNTIFS($A$4:$A$1008,$A351,$O$4:$O$1008,"&gt;"&amp;O351)+1</f>
        <v>36</v>
      </c>
    </row>
    <row r="352" customFormat="false" ht="15" hidden="false" customHeight="false" outlineLevel="0" collapsed="false">
      <c r="A352" s="7" t="n">
        <v>2009</v>
      </c>
      <c r="B352" s="15" t="s">
        <v>101</v>
      </c>
      <c r="C352" s="15" t="s">
        <v>102</v>
      </c>
      <c r="D352" s="15" t="s">
        <v>103</v>
      </c>
      <c r="E352" s="9" t="n">
        <f aca="false">SUMIFS(Data!$L$2:$L$1006,Data!$A$2:$A$1006,$A352,Data!$B$2:$B$1006,$B352)</f>
        <v>753865</v>
      </c>
      <c r="F352" s="10" t="n">
        <f aca="false">SUMIFS(Data!$E$2:$E$1006,Data!$A$2:$A$1006,$A352,Data!$B$2:$B$1006,$B352)</f>
        <v>38.396299</v>
      </c>
      <c r="G352" s="10" t="n">
        <f aca="false">SUMIFS(Data!$F$2:$F$1006,Data!$A$2:$A$1006,$A352,Data!$B$2:$B$1006,$B352)</f>
        <v>28.678265</v>
      </c>
      <c r="H352" s="10" t="n">
        <f aca="false">SUMIFS(Data!$G$2:$G$1006,Data!$A$2:$A$1006,$A352,Data!$B$2:$B$1006,$B352)</f>
        <v>54.620738</v>
      </c>
      <c r="I352" s="10" t="n">
        <f aca="false">SUMIFS(Data!$N$2:$N$1006,Data!$A$2:$A$1006,$A352,Data!$B$2:$B$1006,$B352)</f>
        <v>121.695302</v>
      </c>
      <c r="J352" s="10" t="n">
        <f aca="false">SUMIFS(Data!$H$2:$H$1006,Data!$A$2:$A$1006,$A352,Data!$B$2:$B$1006,$B352)</f>
        <v>87.02553</v>
      </c>
      <c r="K352" s="11" t="n">
        <f aca="false">IFERROR(F352*1000000/$E352,"")</f>
        <v>50.9325927055905</v>
      </c>
      <c r="L352" s="11" t="n">
        <f aca="false">IFERROR(G352*1000000/$E352,"")</f>
        <v>38.0416453874367</v>
      </c>
      <c r="M352" s="11" t="n">
        <f aca="false">IFERROR(H352*1000000/$E352,"")</f>
        <v>72.4542696636666</v>
      </c>
      <c r="N352" s="11" t="n">
        <f aca="false">IFERROR(I352*1000000/$E352,"")</f>
        <v>161.428507756694</v>
      </c>
      <c r="O352" s="11" t="n">
        <f aca="false">IFERROR(J352*1000000/$E352,"")</f>
        <v>115.439143613246</v>
      </c>
      <c r="P352" s="16" t="n">
        <f aca="false">COUNTIFS($A$4:$A$1008,$A352,$N$4:$N$1008,"&gt;"&amp;N352)+1</f>
        <v>37</v>
      </c>
      <c r="Q352" s="16" t="n">
        <f aca="false">COUNTIFS($A$4:$A$1008,$A352,$O$4:$O$1008,"&gt;"&amp;O352)+1</f>
        <v>30</v>
      </c>
    </row>
    <row r="353" customFormat="false" ht="15" hidden="false" customHeight="false" outlineLevel="0" collapsed="false">
      <c r="A353" s="7" t="n">
        <v>2009</v>
      </c>
      <c r="B353" s="15" t="s">
        <v>104</v>
      </c>
      <c r="C353" s="15" t="s">
        <v>102</v>
      </c>
      <c r="D353" s="15" t="s">
        <v>105</v>
      </c>
      <c r="E353" s="9" t="n">
        <f aca="false">SUMIFS(Data!$L$2:$L$1006,Data!$A$2:$A$1006,$A353,Data!$B$2:$B$1006,$B353)</f>
        <v>1093885</v>
      </c>
      <c r="F353" s="10" t="n">
        <f aca="false">SUMIFS(Data!$E$2:$E$1006,Data!$A$2:$A$1006,$A353,Data!$B$2:$B$1006,$B353)</f>
        <v>75.945317</v>
      </c>
      <c r="G353" s="10" t="n">
        <f aca="false">SUMIFS(Data!$F$2:$F$1006,Data!$A$2:$A$1006,$A353,Data!$B$2:$B$1006,$B353)</f>
        <v>137.832032</v>
      </c>
      <c r="H353" s="10" t="n">
        <f aca="false">SUMIFS(Data!$G$2:$G$1006,Data!$A$2:$A$1006,$A353,Data!$B$2:$B$1006,$B353)</f>
        <v>65.01907</v>
      </c>
      <c r="I353" s="10" t="n">
        <f aca="false">SUMIFS(Data!$N$2:$N$1006,Data!$A$2:$A$1006,$A353,Data!$B$2:$B$1006,$B353)</f>
        <v>278.796419</v>
      </c>
      <c r="J353" s="10" t="n">
        <f aca="false">SUMIFS(Data!$H$2:$H$1006,Data!$A$2:$A$1006,$A353,Data!$B$2:$B$1006,$B353)</f>
        <v>143.563819</v>
      </c>
      <c r="K353" s="11" t="n">
        <f aca="false">IFERROR(F353*1000000/$E353,"")</f>
        <v>69.4271491061675</v>
      </c>
      <c r="L353" s="11" t="n">
        <f aca="false">IFERROR(G353*1000000/$E353,"")</f>
        <v>126.002305544001</v>
      </c>
      <c r="M353" s="11" t="n">
        <f aca="false">IFERROR(H353*1000000/$E353,"")</f>
        <v>59.4386704269644</v>
      </c>
      <c r="N353" s="11" t="n">
        <f aca="false">IFERROR(I353*1000000/$E353,"")</f>
        <v>254.868125077133</v>
      </c>
      <c r="O353" s="11" t="n">
        <f aca="false">IFERROR(J353*1000000/$E353,"")</f>
        <v>131.242149768943</v>
      </c>
      <c r="P353" s="16" t="n">
        <f aca="false">COUNTIFS($A$4:$A$1008,$A353,$N$4:$N$1008,"&gt;"&amp;N353)+1</f>
        <v>15</v>
      </c>
      <c r="Q353" s="16" t="n">
        <f aca="false">COUNTIFS($A$4:$A$1008,$A353,$O$4:$O$1008,"&gt;"&amp;O353)+1</f>
        <v>26</v>
      </c>
    </row>
    <row r="354" customFormat="false" ht="15" hidden="false" customHeight="false" outlineLevel="0" collapsed="false">
      <c r="A354" s="7" t="n">
        <v>2009</v>
      </c>
      <c r="B354" s="15" t="s">
        <v>106</v>
      </c>
      <c r="C354" s="15" t="s">
        <v>102</v>
      </c>
      <c r="D354" s="15" t="s">
        <v>107</v>
      </c>
      <c r="E354" s="9" t="n">
        <f aca="false">SUMIFS(Data!$L$2:$L$1006,Data!$A$2:$A$1006,$A354,Data!$B$2:$B$1006,$B354)</f>
        <v>549818</v>
      </c>
      <c r="F354" s="10" t="n">
        <f aca="false">SUMIFS(Data!$E$2:$E$1006,Data!$A$2:$A$1006,$A354,Data!$B$2:$B$1006,$B354)</f>
        <v>33.373649</v>
      </c>
      <c r="G354" s="10" t="n">
        <f aca="false">SUMIFS(Data!$F$2:$F$1006,Data!$A$2:$A$1006,$A354,Data!$B$2:$B$1006,$B354)</f>
        <v>49.683748</v>
      </c>
      <c r="H354" s="10" t="n">
        <f aca="false">SUMIFS(Data!$G$2:$G$1006,Data!$A$2:$A$1006,$A354,Data!$B$2:$B$1006,$B354)</f>
        <v>31.651436</v>
      </c>
      <c r="I354" s="10" t="n">
        <f aca="false">SUMIFS(Data!$N$2:$N$1006,Data!$A$2:$A$1006,$A354,Data!$B$2:$B$1006,$B354)</f>
        <v>114.708833</v>
      </c>
      <c r="J354" s="10" t="n">
        <f aca="false">SUMIFS(Data!$H$2:$H$1006,Data!$A$2:$A$1006,$A354,Data!$B$2:$B$1006,$B354)</f>
        <v>93.683433</v>
      </c>
      <c r="K354" s="11" t="n">
        <f aca="false">IFERROR(F354*1000000/$E354,"")</f>
        <v>60.6994478172777</v>
      </c>
      <c r="L354" s="11" t="n">
        <f aca="false">IFERROR(G354*1000000/$E354,"")</f>
        <v>90.3639895383563</v>
      </c>
      <c r="M354" s="11" t="n">
        <f aca="false">IFERROR(H354*1000000/$E354,"")</f>
        <v>57.5671149362153</v>
      </c>
      <c r="N354" s="11" t="n">
        <f aca="false">IFERROR(I354*1000000/$E354,"")</f>
        <v>208.630552291849</v>
      </c>
      <c r="O354" s="11" t="n">
        <f aca="false">IFERROR(J354*1000000/$E354,"")</f>
        <v>170.389898111739</v>
      </c>
      <c r="P354" s="16" t="n">
        <f aca="false">COUNTIFS($A$4:$A$1008,$A354,$N$4:$N$1008,"&gt;"&amp;N354)+1</f>
        <v>33</v>
      </c>
      <c r="Q354" s="16" t="n">
        <f aca="false">COUNTIFS($A$4:$A$1008,$A354,$O$4:$O$1008,"&gt;"&amp;O354)+1</f>
        <v>12</v>
      </c>
    </row>
    <row r="355" customFormat="false" ht="15" hidden="false" customHeight="false" outlineLevel="0" collapsed="false">
      <c r="A355" s="7" t="n">
        <v>2009</v>
      </c>
      <c r="B355" s="15" t="s">
        <v>108</v>
      </c>
      <c r="C355" s="15" t="s">
        <v>102</v>
      </c>
      <c r="D355" s="15" t="s">
        <v>109</v>
      </c>
      <c r="E355" s="9" t="n">
        <f aca="false">SUMIFS(Data!$L$2:$L$1006,Data!$A$2:$A$1006,$A355,Data!$B$2:$B$1006,$B355)</f>
        <v>383621</v>
      </c>
      <c r="F355" s="10" t="n">
        <f aca="false">SUMIFS(Data!$E$2:$E$1006,Data!$A$2:$A$1006,$A355,Data!$B$2:$B$1006,$B355)</f>
        <v>46.802719</v>
      </c>
      <c r="G355" s="10" t="n">
        <f aca="false">SUMIFS(Data!$F$2:$F$1006,Data!$A$2:$A$1006,$A355,Data!$B$2:$B$1006,$B355)</f>
        <v>13.526001</v>
      </c>
      <c r="H355" s="10" t="n">
        <f aca="false">SUMIFS(Data!$G$2:$G$1006,Data!$A$2:$A$1006,$A355,Data!$B$2:$B$1006,$B355)</f>
        <v>27.44778</v>
      </c>
      <c r="I355" s="10" t="n">
        <f aca="false">SUMIFS(Data!$N$2:$N$1006,Data!$A$2:$A$1006,$A355,Data!$B$2:$B$1006,$B355)</f>
        <v>87.7765</v>
      </c>
      <c r="J355" s="10" t="n">
        <f aca="false">SUMIFS(Data!$H$2:$H$1006,Data!$A$2:$A$1006,$A355,Data!$B$2:$B$1006,$B355)</f>
        <v>66.716743</v>
      </c>
      <c r="K355" s="11" t="n">
        <f aca="false">IFERROR(F355*1000000/$E355,"")</f>
        <v>122.002494649667</v>
      </c>
      <c r="L355" s="11" t="n">
        <f aca="false">IFERROR(G355*1000000/$E355,"")</f>
        <v>35.2587605996543</v>
      </c>
      <c r="M355" s="11" t="n">
        <f aca="false">IFERROR(H355*1000000/$E355,"")</f>
        <v>71.5492113309751</v>
      </c>
      <c r="N355" s="11" t="n">
        <f aca="false">IFERROR(I355*1000000/$E355,"")</f>
        <v>228.810466580297</v>
      </c>
      <c r="O355" s="11" t="n">
        <f aca="false">IFERROR(J355*1000000/$E355,"")</f>
        <v>173.913166901708</v>
      </c>
      <c r="P355" s="16" t="n">
        <f aca="false">COUNTIFS($A$4:$A$1008,$A355,$N$4:$N$1008,"&gt;"&amp;N355)+1</f>
        <v>26</v>
      </c>
      <c r="Q355" s="16" t="n">
        <f aca="false">COUNTIFS($A$4:$A$1008,$A355,$O$4:$O$1008,"&gt;"&amp;O355)+1</f>
        <v>10</v>
      </c>
    </row>
    <row r="356" customFormat="false" ht="15" hidden="false" customHeight="false" outlineLevel="0" collapsed="false">
      <c r="A356" s="7" t="n">
        <v>2009</v>
      </c>
      <c r="B356" s="15" t="s">
        <v>110</v>
      </c>
      <c r="C356" s="15" t="s">
        <v>102</v>
      </c>
      <c r="D356" s="15" t="s">
        <v>103</v>
      </c>
      <c r="E356" s="9" t="n">
        <f aca="false">SUMIFS(Data!$L$2:$L$1006,Data!$A$2:$A$1006,$A356,Data!$B$2:$B$1006,$B356)</f>
        <v>1037998</v>
      </c>
      <c r="F356" s="10" t="n">
        <f aca="false">SUMIFS(Data!$E$2:$E$1006,Data!$A$2:$A$1006,$A356,Data!$B$2:$B$1006,$B356)</f>
        <v>61.648408</v>
      </c>
      <c r="G356" s="10" t="n">
        <f aca="false">SUMIFS(Data!$F$2:$F$1006,Data!$A$2:$A$1006,$A356,Data!$B$2:$B$1006,$B356)</f>
        <v>42.287213</v>
      </c>
      <c r="H356" s="10" t="n">
        <f aca="false">SUMIFS(Data!$G$2:$G$1006,Data!$A$2:$A$1006,$A356,Data!$B$2:$B$1006,$B356)</f>
        <v>54.384744</v>
      </c>
      <c r="I356" s="10" t="n">
        <f aca="false">SUMIFS(Data!$N$2:$N$1006,Data!$A$2:$A$1006,$A356,Data!$B$2:$B$1006,$B356)</f>
        <v>158.320365</v>
      </c>
      <c r="J356" s="10" t="n">
        <f aca="false">SUMIFS(Data!$H$2:$H$1006,Data!$A$2:$A$1006,$A356,Data!$B$2:$B$1006,$B356)</f>
        <v>102.777865</v>
      </c>
      <c r="K356" s="11" t="n">
        <f aca="false">IFERROR(F356*1000000/$E356,"")</f>
        <v>59.3916442998927</v>
      </c>
      <c r="L356" s="11" t="n">
        <f aca="false">IFERROR(G356*1000000/$E356,"")</f>
        <v>40.7392046998164</v>
      </c>
      <c r="M356" s="11" t="n">
        <f aca="false">IFERROR(H356*1000000/$E356,"")</f>
        <v>52.3938812984225</v>
      </c>
      <c r="N356" s="11" t="n">
        <f aca="false">IFERROR(I356*1000000/$E356,"")</f>
        <v>152.524730298132</v>
      </c>
      <c r="O356" s="11" t="n">
        <f aca="false">IFERROR(J356*1000000/$E356,"")</f>
        <v>99.0154749816474</v>
      </c>
      <c r="P356" s="16" t="n">
        <f aca="false">COUNTIFS($A$4:$A$1008,$A356,$N$4:$N$1008,"&gt;"&amp;N356)+1</f>
        <v>39</v>
      </c>
      <c r="Q356" s="16" t="n">
        <f aca="false">COUNTIFS($A$4:$A$1008,$A356,$O$4:$O$1008,"&gt;"&amp;O356)+1</f>
        <v>34</v>
      </c>
    </row>
    <row r="357" customFormat="false" ht="15" hidden="false" customHeight="false" outlineLevel="0" collapsed="false">
      <c r="A357" s="7" t="n">
        <v>2009</v>
      </c>
      <c r="B357" s="15" t="s">
        <v>111</v>
      </c>
      <c r="C357" s="15" t="s">
        <v>102</v>
      </c>
      <c r="D357" s="15" t="s">
        <v>107</v>
      </c>
      <c r="E357" s="9" t="n">
        <f aca="false">SUMIFS(Data!$L$2:$L$1006,Data!$A$2:$A$1006,$A357,Data!$B$2:$B$1006,$B357)</f>
        <v>589201</v>
      </c>
      <c r="F357" s="10" t="n">
        <f aca="false">SUMIFS(Data!$E$2:$E$1006,Data!$A$2:$A$1006,$A357,Data!$B$2:$B$1006,$B357)</f>
        <v>41.267212</v>
      </c>
      <c r="G357" s="10" t="n">
        <f aca="false">SUMIFS(Data!$F$2:$F$1006,Data!$A$2:$A$1006,$A357,Data!$B$2:$B$1006,$B357)</f>
        <v>53.499046</v>
      </c>
      <c r="H357" s="10" t="n">
        <f aca="false">SUMIFS(Data!$G$2:$G$1006,Data!$A$2:$A$1006,$A357,Data!$B$2:$B$1006,$B357)</f>
        <v>39.829016</v>
      </c>
      <c r="I357" s="10" t="n">
        <f aca="false">SUMIFS(Data!$N$2:$N$1006,Data!$A$2:$A$1006,$A357,Data!$B$2:$B$1006,$B357)</f>
        <v>134.595274</v>
      </c>
      <c r="J357" s="10" t="n">
        <f aca="false">SUMIFS(Data!$H$2:$H$1006,Data!$A$2:$A$1006,$A357,Data!$B$2:$B$1006,$B357)</f>
        <v>101.044759</v>
      </c>
      <c r="K357" s="11" t="n">
        <f aca="false">IFERROR(F357*1000000/$E357,"")</f>
        <v>70.0392769190819</v>
      </c>
      <c r="L357" s="11" t="n">
        <f aca="false">IFERROR(G357*1000000/$E357,"")</f>
        <v>90.7993129679006</v>
      </c>
      <c r="M357" s="11" t="n">
        <f aca="false">IFERROR(H357*1000000/$E357,"")</f>
        <v>67.5983509871843</v>
      </c>
      <c r="N357" s="11" t="n">
        <f aca="false">IFERROR(I357*1000000/$E357,"")</f>
        <v>228.436940874167</v>
      </c>
      <c r="O357" s="11" t="n">
        <f aca="false">IFERROR(J357*1000000/$E357,"")</f>
        <v>171.494547701039</v>
      </c>
      <c r="P357" s="16" t="n">
        <f aca="false">COUNTIFS($A$4:$A$1008,$A357,$N$4:$N$1008,"&gt;"&amp;N357)+1</f>
        <v>27</v>
      </c>
      <c r="Q357" s="16" t="n">
        <f aca="false">COUNTIFS($A$4:$A$1008,$A357,$O$4:$O$1008,"&gt;"&amp;O357)+1</f>
        <v>11</v>
      </c>
    </row>
    <row r="358" customFormat="false" ht="15" hidden="false" customHeight="false" outlineLevel="0" collapsed="false">
      <c r="A358" s="7" t="n">
        <v>2009</v>
      </c>
      <c r="B358" s="15" t="s">
        <v>112</v>
      </c>
      <c r="C358" s="15" t="s">
        <v>102</v>
      </c>
      <c r="D358" s="15" t="s">
        <v>107</v>
      </c>
      <c r="E358" s="9" t="n">
        <f aca="false">SUMIFS(Data!$L$2:$L$1006,Data!$A$2:$A$1006,$A358,Data!$B$2:$B$1006,$B358)</f>
        <v>159558</v>
      </c>
      <c r="F358" s="10" t="n">
        <f aca="false">SUMIFS(Data!$E$2:$E$1006,Data!$A$2:$A$1006,$A358,Data!$B$2:$B$1006,$B358)</f>
        <v>8.393165</v>
      </c>
      <c r="G358" s="10" t="n">
        <f aca="false">SUMIFS(Data!$F$2:$F$1006,Data!$A$2:$A$1006,$A358,Data!$B$2:$B$1006,$B358)</f>
        <v>17.672757</v>
      </c>
      <c r="H358" s="10" t="n">
        <f aca="false">SUMIFS(Data!$G$2:$G$1006,Data!$A$2:$A$1006,$A358,Data!$B$2:$B$1006,$B358)</f>
        <v>8.216305</v>
      </c>
      <c r="I358" s="10" t="n">
        <f aca="false">SUMIFS(Data!$N$2:$N$1006,Data!$A$2:$A$1006,$A358,Data!$B$2:$B$1006,$B358)</f>
        <v>34.282227</v>
      </c>
      <c r="J358" s="10" t="n">
        <f aca="false">SUMIFS(Data!$H$2:$H$1006,Data!$A$2:$A$1006,$A358,Data!$B$2:$B$1006,$B358)</f>
        <v>25.437635</v>
      </c>
      <c r="K358" s="11" t="n">
        <f aca="false">IFERROR(F358*1000000/$E358,"")</f>
        <v>52.6025959212324</v>
      </c>
      <c r="L358" s="11" t="n">
        <f aca="false">IFERROR(G358*1000000/$E358,"")</f>
        <v>110.760707705035</v>
      </c>
      <c r="M358" s="11" t="n">
        <f aca="false">IFERROR(H358*1000000/$E358,"")</f>
        <v>51.4941588638614</v>
      </c>
      <c r="N358" s="11" t="n">
        <f aca="false">IFERROR(I358*1000000/$E358,"")</f>
        <v>214.857462490129</v>
      </c>
      <c r="O358" s="11" t="n">
        <f aca="false">IFERROR(J358*1000000/$E358,"")</f>
        <v>159.425632058562</v>
      </c>
      <c r="P358" s="16" t="n">
        <f aca="false">COUNTIFS($A$4:$A$1008,$A358,$N$4:$N$1008,"&gt;"&amp;N358)+1</f>
        <v>30</v>
      </c>
      <c r="Q358" s="16" t="n">
        <f aca="false">COUNTIFS($A$4:$A$1008,$A358,$O$4:$O$1008,"&gt;"&amp;O358)+1</f>
        <v>14</v>
      </c>
    </row>
    <row r="359" customFormat="false" ht="15" hidden="false" customHeight="false" outlineLevel="0" collapsed="false">
      <c r="A359" s="7" t="n">
        <v>2009</v>
      </c>
      <c r="B359" s="15" t="s">
        <v>113</v>
      </c>
      <c r="C359" s="15" t="s">
        <v>102</v>
      </c>
      <c r="D359" s="15" t="s">
        <v>114</v>
      </c>
      <c r="E359" s="9" t="n">
        <f aca="false">SUMIFS(Data!$L$2:$L$1006,Data!$A$2:$A$1006,$A359,Data!$B$2:$B$1006,$B359)</f>
        <v>483411</v>
      </c>
      <c r="F359" s="10" t="n">
        <f aca="false">SUMIFS(Data!$E$2:$E$1006,Data!$A$2:$A$1006,$A359,Data!$B$2:$B$1006,$B359)</f>
        <v>34.514618</v>
      </c>
      <c r="G359" s="10" t="n">
        <f aca="false">SUMIFS(Data!$F$2:$F$1006,Data!$A$2:$A$1006,$A359,Data!$B$2:$B$1006,$B359)</f>
        <v>20.047335</v>
      </c>
      <c r="H359" s="10" t="n">
        <f aca="false">SUMIFS(Data!$G$2:$G$1006,Data!$A$2:$A$1006,$A359,Data!$B$2:$B$1006,$B359)</f>
        <v>42.074315</v>
      </c>
      <c r="I359" s="10" t="n">
        <f aca="false">SUMIFS(Data!$N$2:$N$1006,Data!$A$2:$A$1006,$A359,Data!$B$2:$B$1006,$B359)</f>
        <v>96.636268</v>
      </c>
      <c r="J359" s="10" t="n">
        <f aca="false">SUMIFS(Data!$H$2:$H$1006,Data!$A$2:$A$1006,$A359,Data!$B$2:$B$1006,$B359)</f>
        <v>59.782938</v>
      </c>
      <c r="K359" s="11" t="n">
        <f aca="false">IFERROR(F359*1000000/$E359,"")</f>
        <v>71.3980815496544</v>
      </c>
      <c r="L359" s="11" t="n">
        <f aca="false">IFERROR(G359*1000000/$E359,"")</f>
        <v>41.4705809342361</v>
      </c>
      <c r="M359" s="11" t="n">
        <f aca="false">IFERROR(H359*1000000/$E359,"")</f>
        <v>87.0363210601331</v>
      </c>
      <c r="N359" s="11" t="n">
        <f aca="false">IFERROR(I359*1000000/$E359,"")</f>
        <v>199.904983544024</v>
      </c>
      <c r="O359" s="11" t="n">
        <f aca="false">IFERROR(J359*1000000/$E359,"")</f>
        <v>123.668964918051</v>
      </c>
      <c r="P359" s="16" t="n">
        <f aca="false">COUNTIFS($A$4:$A$1008,$A359,$N$4:$N$1008,"&gt;"&amp;N359)+1</f>
        <v>34</v>
      </c>
      <c r="Q359" s="16" t="n">
        <f aca="false">COUNTIFS($A$4:$A$1008,$A359,$O$4:$O$1008,"&gt;"&amp;O359)+1</f>
        <v>27</v>
      </c>
    </row>
    <row r="360" customFormat="false" ht="15" hidden="false" customHeight="false" outlineLevel="0" collapsed="false">
      <c r="A360" s="7" t="n">
        <v>2009</v>
      </c>
      <c r="B360" s="15" t="s">
        <v>115</v>
      </c>
      <c r="C360" s="15" t="s">
        <v>102</v>
      </c>
      <c r="D360" s="15" t="s">
        <v>103</v>
      </c>
      <c r="E360" s="9" t="n">
        <f aca="false">SUMIFS(Data!$L$2:$L$1006,Data!$A$2:$A$1006,$A360,Data!$B$2:$B$1006,$B360)</f>
        <v>310725</v>
      </c>
      <c r="F360" s="10" t="n">
        <f aca="false">SUMIFS(Data!$E$2:$E$1006,Data!$A$2:$A$1006,$A360,Data!$B$2:$B$1006,$B360)</f>
        <v>20.205512</v>
      </c>
      <c r="G360" s="10" t="n">
        <f aca="false">SUMIFS(Data!$F$2:$F$1006,Data!$A$2:$A$1006,$A360,Data!$B$2:$B$1006,$B360)</f>
        <v>16.871235</v>
      </c>
      <c r="H360" s="10" t="n">
        <f aca="false">SUMIFS(Data!$G$2:$G$1006,Data!$A$2:$A$1006,$A360,Data!$B$2:$B$1006,$B360)</f>
        <v>23.652127</v>
      </c>
      <c r="I360" s="10" t="n">
        <f aca="false">SUMIFS(Data!$N$2:$N$1006,Data!$A$2:$A$1006,$A360,Data!$B$2:$B$1006,$B360)</f>
        <v>60.728874</v>
      </c>
      <c r="J360" s="10" t="n">
        <f aca="false">SUMIFS(Data!$H$2:$H$1006,Data!$A$2:$A$1006,$A360,Data!$B$2:$B$1006,$B360)</f>
        <v>42.024028</v>
      </c>
      <c r="K360" s="11" t="n">
        <f aca="false">IFERROR(F360*1000000/$E360,"")</f>
        <v>65.0269917129294</v>
      </c>
      <c r="L360" s="11" t="n">
        <f aca="false">IFERROR(G360*1000000/$E360,"")</f>
        <v>54.2963552980932</v>
      </c>
      <c r="M360" s="11" t="n">
        <f aca="false">IFERROR(H360*1000000/$E360,"")</f>
        <v>76.1191632472443</v>
      </c>
      <c r="N360" s="11" t="n">
        <f aca="false">IFERROR(I360*1000000/$E360,"")</f>
        <v>195.442510258267</v>
      </c>
      <c r="O360" s="11" t="n">
        <f aca="false">IFERROR(J360*1000000/$E360,"")</f>
        <v>135.245081663851</v>
      </c>
      <c r="P360" s="16" t="n">
        <f aca="false">COUNTIFS($A$4:$A$1008,$A360,$N$4:$N$1008,"&gt;"&amp;N360)+1</f>
        <v>35</v>
      </c>
      <c r="Q360" s="16" t="n">
        <f aca="false">COUNTIFS($A$4:$A$1008,$A360,$O$4:$O$1008,"&gt;"&amp;O360)+1</f>
        <v>22</v>
      </c>
    </row>
    <row r="361" customFormat="false" ht="15" hidden="false" customHeight="false" outlineLevel="0" collapsed="false">
      <c r="A361" s="7" t="n">
        <v>2009</v>
      </c>
      <c r="B361" s="15" t="s">
        <v>116</v>
      </c>
      <c r="C361" s="15" t="s">
        <v>102</v>
      </c>
      <c r="D361" s="15" t="s">
        <v>107</v>
      </c>
      <c r="E361" s="9" t="n">
        <f aca="false">SUMIFS(Data!$L$2:$L$1006,Data!$A$2:$A$1006,$A361,Data!$B$2:$B$1006,$B361)</f>
        <v>714966</v>
      </c>
      <c r="F361" s="10" t="n">
        <f aca="false">SUMIFS(Data!$E$2:$E$1006,Data!$A$2:$A$1006,$A361,Data!$B$2:$B$1006,$B361)</f>
        <v>40.755371</v>
      </c>
      <c r="G361" s="10" t="n">
        <f aca="false">SUMIFS(Data!$F$2:$F$1006,Data!$A$2:$A$1006,$A361,Data!$B$2:$B$1006,$B361)</f>
        <v>30.488263</v>
      </c>
      <c r="H361" s="10" t="n">
        <f aca="false">SUMIFS(Data!$G$2:$G$1006,Data!$A$2:$A$1006,$A361,Data!$B$2:$B$1006,$B361)</f>
        <v>40.089639</v>
      </c>
      <c r="I361" s="10" t="n">
        <f aca="false">SUMIFS(Data!$N$2:$N$1006,Data!$A$2:$A$1006,$A361,Data!$B$2:$B$1006,$B361)</f>
        <v>111.333273</v>
      </c>
      <c r="J361" s="10" t="n">
        <f aca="false">SUMIFS(Data!$H$2:$H$1006,Data!$A$2:$A$1006,$A361,Data!$B$2:$B$1006,$B361)</f>
        <v>59.611164</v>
      </c>
      <c r="K361" s="11" t="n">
        <f aca="false">IFERROR(F361*1000000/$E361,"")</f>
        <v>57.0032295242012</v>
      </c>
      <c r="L361" s="11" t="n">
        <f aca="false">IFERROR(G361*1000000/$E361,"")</f>
        <v>42.6429550496108</v>
      </c>
      <c r="M361" s="11" t="n">
        <f aca="false">IFERROR(H361*1000000/$E361,"")</f>
        <v>56.0720915400173</v>
      </c>
      <c r="N361" s="11" t="n">
        <f aca="false">IFERROR(I361*1000000/$E361,"")</f>
        <v>155.718276113829</v>
      </c>
      <c r="O361" s="11" t="n">
        <f aca="false">IFERROR(J361*1000000/$E361,"")</f>
        <v>83.3762220860852</v>
      </c>
      <c r="P361" s="16" t="n">
        <f aca="false">COUNTIFS($A$4:$A$1008,$A361,$N$4:$N$1008,"&gt;"&amp;N361)+1</f>
        <v>38</v>
      </c>
      <c r="Q361" s="16" t="n">
        <f aca="false">COUNTIFS($A$4:$A$1008,$A361,$O$4:$O$1008,"&gt;"&amp;O361)+1</f>
        <v>37</v>
      </c>
    </row>
    <row r="362" customFormat="false" ht="15" hidden="false" customHeight="false" outlineLevel="0" collapsed="false">
      <c r="A362" s="7" t="n">
        <v>2009</v>
      </c>
      <c r="B362" s="15" t="s">
        <v>117</v>
      </c>
      <c r="C362" s="15" t="s">
        <v>118</v>
      </c>
      <c r="D362" s="15" t="s">
        <v>103</v>
      </c>
      <c r="E362" s="9" t="n">
        <f aca="false">SUMIFS(Data!$L$2:$L$1006,Data!$A$2:$A$1006,$A362,Data!$B$2:$B$1006,$B362)</f>
        <v>1459353</v>
      </c>
      <c r="F362" s="10" t="n">
        <f aca="false">SUMIFS(Data!$E$2:$E$1006,Data!$A$2:$A$1006,$A362,Data!$B$2:$B$1006,$B362)</f>
        <v>153.805118</v>
      </c>
      <c r="G362" s="10" t="n">
        <f aca="false">SUMIFS(Data!$F$2:$F$1006,Data!$A$2:$A$1006,$A362,Data!$B$2:$B$1006,$B362)</f>
        <v>102.722086</v>
      </c>
      <c r="H362" s="10" t="n">
        <f aca="false">SUMIFS(Data!$G$2:$G$1006,Data!$A$2:$A$1006,$A362,Data!$B$2:$B$1006,$B362)</f>
        <v>119.629866</v>
      </c>
      <c r="I362" s="10" t="n">
        <f aca="false">SUMIFS(Data!$N$2:$N$1006,Data!$A$2:$A$1006,$A362,Data!$B$2:$B$1006,$B362)</f>
        <v>376.15707</v>
      </c>
      <c r="J362" s="10" t="n">
        <f aca="false">SUMIFS(Data!$H$2:$H$1006,Data!$A$2:$A$1006,$A362,Data!$B$2:$B$1006,$B362)</f>
        <v>269.128448</v>
      </c>
      <c r="K362" s="11" t="n">
        <f aca="false">IFERROR(F362*1000000/$E362,"")</f>
        <v>105.392676069464</v>
      </c>
      <c r="L362" s="11" t="n">
        <f aca="false">IFERROR(G362*1000000/$E362,"")</f>
        <v>70.3887859894076</v>
      </c>
      <c r="M362" s="11" t="n">
        <f aca="false">IFERROR(H362*1000000/$E362,"")</f>
        <v>81.974591479923</v>
      </c>
      <c r="N362" s="11" t="n">
        <f aca="false">IFERROR(I362*1000000/$E362,"")</f>
        <v>257.756053538794</v>
      </c>
      <c r="O362" s="11" t="n">
        <f aca="false">IFERROR(J362*1000000/$E362,"")</f>
        <v>184.416277624399</v>
      </c>
      <c r="P362" s="16" t="n">
        <f aca="false">COUNTIFS($A$4:$A$1008,$A362,$N$4:$N$1008,"&gt;"&amp;N362)+1</f>
        <v>13</v>
      </c>
      <c r="Q362" s="16" t="n">
        <f aca="false">COUNTIFS($A$4:$A$1008,$A362,$O$4:$O$1008,"&gt;"&amp;O362)+1</f>
        <v>6</v>
      </c>
    </row>
    <row r="363" customFormat="false" ht="15" hidden="false" customHeight="false" outlineLevel="0" collapsed="false">
      <c r="A363" s="7" t="n">
        <v>2009</v>
      </c>
      <c r="B363" s="15" t="s">
        <v>119</v>
      </c>
      <c r="C363" s="15" t="s">
        <v>118</v>
      </c>
      <c r="D363" s="15" t="s">
        <v>103</v>
      </c>
      <c r="E363" s="9" t="n">
        <f aca="false">SUMIFS(Data!$L$2:$L$1006,Data!$A$2:$A$1006,$A363,Data!$B$2:$B$1006,$B363)</f>
        <v>514570</v>
      </c>
      <c r="F363" s="10" t="n">
        <f aca="false">SUMIFS(Data!$E$2:$E$1006,Data!$A$2:$A$1006,$A363,Data!$B$2:$B$1006,$B363)</f>
        <v>30.542437</v>
      </c>
      <c r="G363" s="10" t="n">
        <f aca="false">SUMIFS(Data!$F$2:$F$1006,Data!$A$2:$A$1006,$A363,Data!$B$2:$B$1006,$B363)</f>
        <v>45.395446</v>
      </c>
      <c r="H363" s="10" t="n">
        <f aca="false">SUMIFS(Data!$G$2:$G$1006,Data!$A$2:$A$1006,$A363,Data!$B$2:$B$1006,$B363)</f>
        <v>44.485047</v>
      </c>
      <c r="I363" s="10" t="n">
        <f aca="false">SUMIFS(Data!$N$2:$N$1006,Data!$A$2:$A$1006,$A363,Data!$B$2:$B$1006,$B363)</f>
        <v>120.42293</v>
      </c>
      <c r="J363" s="10" t="n">
        <f aca="false">SUMIFS(Data!$H$2:$H$1006,Data!$A$2:$A$1006,$A363,Data!$B$2:$B$1006,$B363)</f>
        <v>67.944851</v>
      </c>
      <c r="K363" s="11" t="n">
        <f aca="false">IFERROR(F363*1000000/$E363,"")</f>
        <v>59.3552616747964</v>
      </c>
      <c r="L363" s="11" t="n">
        <f aca="false">IFERROR(G363*1000000/$E363,"")</f>
        <v>88.2201566356375</v>
      </c>
      <c r="M363" s="11" t="n">
        <f aca="false">IFERROR(H363*1000000/$E363,"")</f>
        <v>86.4509143556756</v>
      </c>
      <c r="N363" s="11" t="n">
        <f aca="false">IFERROR(I363*1000000/$E363,"")</f>
        <v>234.02633266611</v>
      </c>
      <c r="O363" s="11" t="n">
        <f aca="false">IFERROR(J363*1000000/$E363,"")</f>
        <v>132.041998173232</v>
      </c>
      <c r="P363" s="16" t="n">
        <f aca="false">COUNTIFS($A$4:$A$1008,$A363,$N$4:$N$1008,"&gt;"&amp;N363)+1</f>
        <v>23</v>
      </c>
      <c r="Q363" s="16" t="n">
        <f aca="false">COUNTIFS($A$4:$A$1008,$A363,$O$4:$O$1008,"&gt;"&amp;O363)+1</f>
        <v>24</v>
      </c>
    </row>
    <row r="364" customFormat="false" ht="15" hidden="false" customHeight="false" outlineLevel="0" collapsed="false">
      <c r="A364" s="7" t="n">
        <v>2009</v>
      </c>
      <c r="B364" s="15" t="s">
        <v>120</v>
      </c>
      <c r="C364" s="15" t="s">
        <v>118</v>
      </c>
      <c r="D364" s="15" t="s">
        <v>121</v>
      </c>
      <c r="E364" s="9" t="n">
        <f aca="false">SUMIFS(Data!$L$2:$L$1006,Data!$A$2:$A$1006,$A364,Data!$B$2:$B$1006,$B364)</f>
        <v>959814</v>
      </c>
      <c r="F364" s="10" t="n">
        <f aca="false">SUMIFS(Data!$E$2:$E$1006,Data!$A$2:$A$1006,$A364,Data!$B$2:$B$1006,$B364)</f>
        <v>156.770294</v>
      </c>
      <c r="G364" s="10" t="n">
        <f aca="false">SUMIFS(Data!$F$2:$F$1006,Data!$A$2:$A$1006,$A364,Data!$B$2:$B$1006,$B364)</f>
        <v>43.272877</v>
      </c>
      <c r="H364" s="10" t="n">
        <f aca="false">SUMIFS(Data!$G$2:$G$1006,Data!$A$2:$A$1006,$A364,Data!$B$2:$B$1006,$B364)</f>
        <v>84.578421</v>
      </c>
      <c r="I364" s="10" t="n">
        <f aca="false">SUMIFS(Data!$N$2:$N$1006,Data!$A$2:$A$1006,$A364,Data!$B$2:$B$1006,$B364)</f>
        <v>284.621592</v>
      </c>
      <c r="J364" s="10" t="n">
        <f aca="false">SUMIFS(Data!$H$2:$H$1006,Data!$A$2:$A$1006,$A364,Data!$B$2:$B$1006,$B364)</f>
        <v>172.83787</v>
      </c>
      <c r="K364" s="11" t="n">
        <f aca="false">IFERROR(F364*1000000/$E364,"")</f>
        <v>163.334035552722</v>
      </c>
      <c r="L364" s="11" t="n">
        <f aca="false">IFERROR(G364*1000000/$E364,"")</f>
        <v>45.0846486923508</v>
      </c>
      <c r="M364" s="11" t="n">
        <f aca="false">IFERROR(H364*1000000/$E364,"")</f>
        <v>88.1195950465403</v>
      </c>
      <c r="N364" s="11" t="n">
        <f aca="false">IFERROR(I364*1000000/$E364,"")</f>
        <v>296.538279291613</v>
      </c>
      <c r="O364" s="11" t="n">
        <f aca="false">IFERROR(J364*1000000/$E364,"")</f>
        <v>180.074337319522</v>
      </c>
      <c r="P364" s="16" t="n">
        <f aca="false">COUNTIFS($A$4:$A$1008,$A364,$N$4:$N$1008,"&gt;"&amp;N364)+1</f>
        <v>7</v>
      </c>
      <c r="Q364" s="16" t="n">
        <f aca="false">COUNTIFS($A$4:$A$1008,$A364,$O$4:$O$1008,"&gt;"&amp;O364)+1</f>
        <v>7</v>
      </c>
    </row>
    <row r="365" customFormat="false" ht="15" hidden="false" customHeight="false" outlineLevel="0" collapsed="false">
      <c r="A365" s="7" t="n">
        <v>2009</v>
      </c>
      <c r="B365" s="15" t="s">
        <v>122</v>
      </c>
      <c r="C365" s="15" t="s">
        <v>118</v>
      </c>
      <c r="D365" s="15" t="s">
        <v>105</v>
      </c>
      <c r="E365" s="9" t="n">
        <f aca="false">SUMIFS(Data!$L$2:$L$1006,Data!$A$2:$A$1006,$A365,Data!$B$2:$B$1006,$B365)</f>
        <v>546236</v>
      </c>
      <c r="F365" s="10" t="n">
        <f aca="false">SUMIFS(Data!$E$2:$E$1006,Data!$A$2:$A$1006,$A365,Data!$B$2:$B$1006,$B365)</f>
        <v>41.515007</v>
      </c>
      <c r="G365" s="10" t="n">
        <f aca="false">SUMIFS(Data!$F$2:$F$1006,Data!$A$2:$A$1006,$A365,Data!$B$2:$B$1006,$B365)</f>
        <v>74.966167</v>
      </c>
      <c r="H365" s="10" t="n">
        <f aca="false">SUMIFS(Data!$G$2:$G$1006,Data!$A$2:$A$1006,$A365,Data!$B$2:$B$1006,$B365)</f>
        <v>22.593974</v>
      </c>
      <c r="I365" s="10" t="n">
        <f aca="false">SUMIFS(Data!$N$2:$N$1006,Data!$A$2:$A$1006,$A365,Data!$B$2:$B$1006,$B365)</f>
        <v>139.075148</v>
      </c>
      <c r="J365" s="10" t="n">
        <f aca="false">SUMIFS(Data!$H$2:$H$1006,Data!$A$2:$A$1006,$A365,Data!$B$2:$B$1006,$B365)</f>
        <v>76.346122</v>
      </c>
      <c r="K365" s="11" t="n">
        <f aca="false">IFERROR(F365*1000000/$E365,"")</f>
        <v>76.0019606909834</v>
      </c>
      <c r="L365" s="11" t="n">
        <f aca="false">IFERROR(G365*1000000/$E365,"")</f>
        <v>137.241351723431</v>
      </c>
      <c r="M365" s="11" t="n">
        <f aca="false">IFERROR(H365*1000000/$E365,"")</f>
        <v>41.3630262377434</v>
      </c>
      <c r="N365" s="11" t="n">
        <f aca="false">IFERROR(I365*1000000/$E365,"")</f>
        <v>254.606338652158</v>
      </c>
      <c r="O365" s="11" t="n">
        <f aca="false">IFERROR(J365*1000000/$E365,"")</f>
        <v>139.767649880272</v>
      </c>
      <c r="P365" s="16" t="n">
        <f aca="false">COUNTIFS($A$4:$A$1008,$A365,$N$4:$N$1008,"&gt;"&amp;N365)+1</f>
        <v>16</v>
      </c>
      <c r="Q365" s="16" t="n">
        <f aca="false">COUNTIFS($A$4:$A$1008,$A365,$O$4:$O$1008,"&gt;"&amp;O365)+1</f>
        <v>19</v>
      </c>
    </row>
    <row r="366" customFormat="false" ht="15" hidden="false" customHeight="false" outlineLevel="0" collapsed="false">
      <c r="A366" s="7" t="n">
        <v>2009</v>
      </c>
      <c r="B366" s="15" t="s">
        <v>123</v>
      </c>
      <c r="C366" s="15" t="s">
        <v>118</v>
      </c>
      <c r="D366" s="15" t="s">
        <v>124</v>
      </c>
      <c r="E366" s="9" t="n">
        <f aca="false">SUMIFS(Data!$L$2:$L$1006,Data!$A$2:$A$1006,$A366,Data!$B$2:$B$1006,$B366)</f>
        <v>1234644</v>
      </c>
      <c r="F366" s="10" t="n">
        <f aca="false">SUMIFS(Data!$E$2:$E$1006,Data!$A$2:$A$1006,$A366,Data!$B$2:$B$1006,$B366)</f>
        <v>130.272738</v>
      </c>
      <c r="G366" s="10" t="n">
        <f aca="false">SUMIFS(Data!$F$2:$F$1006,Data!$A$2:$A$1006,$A366,Data!$B$2:$B$1006,$B366)</f>
        <v>78.879212</v>
      </c>
      <c r="H366" s="10" t="n">
        <f aca="false">SUMIFS(Data!$G$2:$G$1006,Data!$A$2:$A$1006,$A366,Data!$B$2:$B$1006,$B366)</f>
        <v>107.87303</v>
      </c>
      <c r="I366" s="10" t="n">
        <f aca="false">SUMIFS(Data!$N$2:$N$1006,Data!$A$2:$A$1006,$A366,Data!$B$2:$B$1006,$B366)</f>
        <v>317.02498</v>
      </c>
      <c r="J366" s="10" t="n">
        <f aca="false">SUMIFS(Data!$H$2:$H$1006,Data!$A$2:$A$1006,$A366,Data!$B$2:$B$1006,$B366)</f>
        <v>186.971054</v>
      </c>
      <c r="K366" s="11" t="n">
        <f aca="false">IFERROR(F366*1000000/$E366,"")</f>
        <v>105.514413871529</v>
      </c>
      <c r="L366" s="11" t="n">
        <f aca="false">IFERROR(G366*1000000/$E366,"")</f>
        <v>63.8882236498942</v>
      </c>
      <c r="M366" s="11" t="n">
        <f aca="false">IFERROR(H366*1000000/$E366,"")</f>
        <v>87.3717687041771</v>
      </c>
      <c r="N366" s="11" t="n">
        <f aca="false">IFERROR(I366*1000000/$E366,"")</f>
        <v>256.7744062256</v>
      </c>
      <c r="O366" s="11" t="n">
        <f aca="false">IFERROR(J366*1000000/$E366,"")</f>
        <v>151.437219149812</v>
      </c>
      <c r="P366" s="16" t="n">
        <f aca="false">COUNTIFS($A$4:$A$1008,$A366,$N$4:$N$1008,"&gt;"&amp;N366)+1</f>
        <v>14</v>
      </c>
      <c r="Q366" s="16" t="n">
        <f aca="false">COUNTIFS($A$4:$A$1008,$A366,$O$4:$O$1008,"&gt;"&amp;O366)+1</f>
        <v>16</v>
      </c>
    </row>
    <row r="367" customFormat="false" ht="15" hidden="false" customHeight="false" outlineLevel="0" collapsed="false">
      <c r="A367" s="7" t="n">
        <v>2009</v>
      </c>
      <c r="B367" s="15" t="s">
        <v>125</v>
      </c>
      <c r="C367" s="15" t="s">
        <v>118</v>
      </c>
      <c r="D367" s="15" t="s">
        <v>126</v>
      </c>
      <c r="E367" s="9" t="n">
        <f aca="false">SUMIFS(Data!$L$2:$L$1006,Data!$A$2:$A$1006,$A367,Data!$B$2:$B$1006,$B367)</f>
        <v>498046</v>
      </c>
      <c r="F367" s="10" t="n">
        <f aca="false">SUMIFS(Data!$E$2:$E$1006,Data!$A$2:$A$1006,$A367,Data!$B$2:$B$1006,$B367)</f>
        <v>49.277498</v>
      </c>
      <c r="G367" s="10" t="n">
        <f aca="false">SUMIFS(Data!$F$2:$F$1006,Data!$A$2:$A$1006,$A367,Data!$B$2:$B$1006,$B367)</f>
        <v>55.151615</v>
      </c>
      <c r="H367" s="10" t="n">
        <f aca="false">SUMIFS(Data!$G$2:$G$1006,Data!$A$2:$A$1006,$A367,Data!$B$2:$B$1006,$B367)</f>
        <v>37.901042</v>
      </c>
      <c r="I367" s="10" t="n">
        <f aca="false">SUMIFS(Data!$N$2:$N$1006,Data!$A$2:$A$1006,$A367,Data!$B$2:$B$1006,$B367)</f>
        <v>142.330155</v>
      </c>
      <c r="J367" s="10" t="n">
        <f aca="false">SUMIFS(Data!$H$2:$H$1006,Data!$A$2:$A$1006,$A367,Data!$B$2:$B$1006,$B367)</f>
        <v>89.273656</v>
      </c>
      <c r="K367" s="11" t="n">
        <f aca="false">IFERROR(F367*1000000/$E367,"")</f>
        <v>98.9416600073086</v>
      </c>
      <c r="L367" s="11" t="n">
        <f aca="false">IFERROR(G367*1000000/$E367,"")</f>
        <v>110.735986234203</v>
      </c>
      <c r="M367" s="11" t="n">
        <f aca="false">IFERROR(H367*1000000/$E367,"")</f>
        <v>76.0994807708525</v>
      </c>
      <c r="N367" s="11" t="n">
        <f aca="false">IFERROR(I367*1000000/$E367,"")</f>
        <v>285.777127012364</v>
      </c>
      <c r="O367" s="11" t="n">
        <f aca="false">IFERROR(J367*1000000/$E367,"")</f>
        <v>179.247812451059</v>
      </c>
      <c r="P367" s="16" t="n">
        <f aca="false">COUNTIFS($A$4:$A$1008,$A367,$N$4:$N$1008,"&gt;"&amp;N367)+1</f>
        <v>8</v>
      </c>
      <c r="Q367" s="16" t="n">
        <f aca="false">COUNTIFS($A$4:$A$1008,$A367,$O$4:$O$1008,"&gt;"&amp;O367)+1</f>
        <v>8</v>
      </c>
    </row>
    <row r="368" customFormat="false" ht="15" hidden="false" customHeight="false" outlineLevel="0" collapsed="false">
      <c r="A368" s="7" t="n">
        <v>2009</v>
      </c>
      <c r="B368" s="15" t="s">
        <v>127</v>
      </c>
      <c r="C368" s="15" t="s">
        <v>118</v>
      </c>
      <c r="D368" s="15" t="s">
        <v>103</v>
      </c>
      <c r="E368" s="9" t="n">
        <f aca="false">SUMIFS(Data!$L$2:$L$1006,Data!$A$2:$A$1006,$A368,Data!$B$2:$B$1006,$B368)</f>
        <v>683606</v>
      </c>
      <c r="F368" s="10" t="n">
        <f aca="false">SUMIFS(Data!$E$2:$E$1006,Data!$A$2:$A$1006,$A368,Data!$B$2:$B$1006,$B368)</f>
        <v>57.405551</v>
      </c>
      <c r="G368" s="10" t="n">
        <f aca="false">SUMIFS(Data!$F$2:$F$1006,Data!$A$2:$A$1006,$A368,Data!$B$2:$B$1006,$B368)</f>
        <v>46.916198</v>
      </c>
      <c r="H368" s="10" t="n">
        <f aca="false">SUMIFS(Data!$G$2:$G$1006,Data!$A$2:$A$1006,$A368,Data!$B$2:$B$1006,$B368)</f>
        <v>41.528564</v>
      </c>
      <c r="I368" s="10" t="n">
        <f aca="false">SUMIFS(Data!$N$2:$N$1006,Data!$A$2:$A$1006,$A368,Data!$B$2:$B$1006,$B368)</f>
        <v>145.850313</v>
      </c>
      <c r="J368" s="10" t="n">
        <f aca="false">SUMIFS(Data!$H$2:$H$1006,Data!$A$2:$A$1006,$A368,Data!$B$2:$B$1006,$B368)</f>
        <v>93.882867</v>
      </c>
      <c r="K368" s="11" t="n">
        <f aca="false">IFERROR(F368*1000000/$E368,"")</f>
        <v>83.9746154948903</v>
      </c>
      <c r="L368" s="11" t="n">
        <f aca="false">IFERROR(G368*1000000/$E368,"")</f>
        <v>68.6304655020582</v>
      </c>
      <c r="M368" s="11" t="n">
        <f aca="false">IFERROR(H368*1000000/$E368,"")</f>
        <v>60.7492678531201</v>
      </c>
      <c r="N368" s="11" t="n">
        <f aca="false">IFERROR(I368*1000000/$E368,"")</f>
        <v>213.354348850069</v>
      </c>
      <c r="O368" s="11" t="n">
        <f aca="false">IFERROR(J368*1000000/$E368,"")</f>
        <v>137.33476154393</v>
      </c>
      <c r="P368" s="16" t="n">
        <f aca="false">COUNTIFS($A$4:$A$1008,$A368,$N$4:$N$1008,"&gt;"&amp;N368)+1</f>
        <v>31</v>
      </c>
      <c r="Q368" s="16" t="n">
        <f aca="false">COUNTIFS($A$4:$A$1008,$A368,$O$4:$O$1008,"&gt;"&amp;O368)+1</f>
        <v>20</v>
      </c>
    </row>
    <row r="369" customFormat="false" ht="15" hidden="false" customHeight="false" outlineLevel="0" collapsed="false">
      <c r="A369" s="7" t="n">
        <v>2009</v>
      </c>
      <c r="B369" s="15" t="s">
        <v>128</v>
      </c>
      <c r="C369" s="15" t="s">
        <v>118</v>
      </c>
      <c r="D369" s="15" t="s">
        <v>107</v>
      </c>
      <c r="E369" s="9" t="n">
        <f aca="false">SUMIFS(Data!$L$2:$L$1006,Data!$A$2:$A$1006,$A369,Data!$B$2:$B$1006,$B369)</f>
        <v>586835</v>
      </c>
      <c r="F369" s="10" t="n">
        <f aca="false">SUMIFS(Data!$E$2:$E$1006,Data!$A$2:$A$1006,$A369,Data!$B$2:$B$1006,$B369)</f>
        <v>28.136345</v>
      </c>
      <c r="G369" s="10" t="n">
        <f aca="false">SUMIFS(Data!$F$2:$F$1006,Data!$A$2:$A$1006,$A369,Data!$B$2:$B$1006,$B369)</f>
        <v>27.07624</v>
      </c>
      <c r="H369" s="10" t="n">
        <f aca="false">SUMIFS(Data!$G$2:$G$1006,Data!$A$2:$A$1006,$A369,Data!$B$2:$B$1006,$B369)</f>
        <v>50.14049</v>
      </c>
      <c r="I369" s="10" t="n">
        <f aca="false">SUMIFS(Data!$N$2:$N$1006,Data!$A$2:$A$1006,$A369,Data!$B$2:$B$1006,$B369)</f>
        <v>105.353075</v>
      </c>
      <c r="J369" s="10" t="n">
        <f aca="false">SUMIFS(Data!$H$2:$H$1006,Data!$A$2:$A$1006,$A369,Data!$B$2:$B$1006,$B369)</f>
        <v>103.893675</v>
      </c>
      <c r="K369" s="11" t="n">
        <f aca="false">IFERROR(F369*1000000/$E369,"")</f>
        <v>47.9459217667658</v>
      </c>
      <c r="L369" s="11" t="n">
        <f aca="false">IFERROR(G369*1000000/$E369,"")</f>
        <v>46.139442943928</v>
      </c>
      <c r="M369" s="11" t="n">
        <f aca="false">IFERROR(H369*1000000/$E369,"")</f>
        <v>85.4422282242879</v>
      </c>
      <c r="N369" s="11" t="n">
        <f aca="false">IFERROR(I369*1000000/$E369,"")</f>
        <v>179.527592934982</v>
      </c>
      <c r="O369" s="11" t="n">
        <f aca="false">IFERROR(J369*1000000/$E369,"")</f>
        <v>177.040692869376</v>
      </c>
      <c r="P369" s="16" t="n">
        <f aca="false">COUNTIFS($A$4:$A$1008,$A369,$N$4:$N$1008,"&gt;"&amp;N369)+1</f>
        <v>36</v>
      </c>
      <c r="Q369" s="16" t="n">
        <f aca="false">COUNTIFS($A$4:$A$1008,$A369,$O$4:$O$1008,"&gt;"&amp;O369)+1</f>
        <v>9</v>
      </c>
    </row>
    <row r="370" customFormat="false" ht="15" hidden="false" customHeight="false" outlineLevel="0" collapsed="false">
      <c r="A370" s="7" t="n">
        <v>2009</v>
      </c>
      <c r="B370" s="15" t="s">
        <v>129</v>
      </c>
      <c r="C370" s="15" t="s">
        <v>118</v>
      </c>
      <c r="D370" s="15" t="s">
        <v>107</v>
      </c>
      <c r="E370" s="9" t="n">
        <f aca="false">SUMIFS(Data!$L$2:$L$1006,Data!$A$2:$A$1006,$A370,Data!$B$2:$B$1006,$B370)</f>
        <v>1564433</v>
      </c>
      <c r="F370" s="10" t="n">
        <f aca="false">SUMIFS(Data!$E$2:$E$1006,Data!$A$2:$A$1006,$A370,Data!$B$2:$B$1006,$B370)</f>
        <v>171.033598</v>
      </c>
      <c r="G370" s="10" t="n">
        <f aca="false">SUMIFS(Data!$F$2:$F$1006,Data!$A$2:$A$1006,$A370,Data!$B$2:$B$1006,$B370)</f>
        <v>167.689102</v>
      </c>
      <c r="H370" s="10" t="n">
        <f aca="false">SUMIFS(Data!$G$2:$G$1006,Data!$A$2:$A$1006,$A370,Data!$B$2:$B$1006,$B370)</f>
        <v>88.373386</v>
      </c>
      <c r="I370" s="10" t="n">
        <f aca="false">SUMIFS(Data!$N$2:$N$1006,Data!$A$2:$A$1006,$A370,Data!$B$2:$B$1006,$B370)</f>
        <v>427.096086</v>
      </c>
      <c r="J370" s="10" t="n">
        <f aca="false">SUMIFS(Data!$H$2:$H$1006,Data!$A$2:$A$1006,$A370,Data!$B$2:$B$1006,$B370)</f>
        <v>190.057833</v>
      </c>
      <c r="K370" s="11" t="n">
        <f aca="false">IFERROR(F370*1000000/$E370,"")</f>
        <v>109.326253025857</v>
      </c>
      <c r="L370" s="11" t="n">
        <f aca="false">IFERROR(G370*1000000/$E370,"")</f>
        <v>107.188420341427</v>
      </c>
      <c r="M370" s="11" t="n">
        <f aca="false">IFERROR(H370*1000000/$E370,"")</f>
        <v>56.4890832653108</v>
      </c>
      <c r="N370" s="11" t="n">
        <f aca="false">IFERROR(I370*1000000/$E370,"")</f>
        <v>273.003756632595</v>
      </c>
      <c r="O370" s="11" t="n">
        <f aca="false">IFERROR(J370*1000000/$E370,"")</f>
        <v>121.48671946961</v>
      </c>
      <c r="P370" s="16" t="n">
        <f aca="false">COUNTIFS($A$4:$A$1008,$A370,$N$4:$N$1008,"&gt;"&amp;N370)+1</f>
        <v>11</v>
      </c>
      <c r="Q370" s="16" t="n">
        <f aca="false">COUNTIFS($A$4:$A$1008,$A370,$O$4:$O$1008,"&gt;"&amp;O370)+1</f>
        <v>29</v>
      </c>
    </row>
    <row r="371" customFormat="false" ht="15" hidden="false" customHeight="false" outlineLevel="0" collapsed="false">
      <c r="A371" s="7" t="n">
        <v>2009</v>
      </c>
      <c r="B371" s="15" t="s">
        <v>130</v>
      </c>
      <c r="C371" s="15" t="s">
        <v>118</v>
      </c>
      <c r="D371" s="15" t="s">
        <v>107</v>
      </c>
      <c r="E371" s="9" t="n">
        <f aca="false">SUMIFS(Data!$L$2:$L$1006,Data!$A$2:$A$1006,$A371,Data!$B$2:$B$1006,$B371)</f>
        <v>1397730</v>
      </c>
      <c r="F371" s="10" t="n">
        <f aca="false">SUMIFS(Data!$E$2:$E$1006,Data!$A$2:$A$1006,$A371,Data!$B$2:$B$1006,$B371)</f>
        <v>126.151294</v>
      </c>
      <c r="G371" s="10" t="n">
        <f aca="false">SUMIFS(Data!$F$2:$F$1006,Data!$A$2:$A$1006,$A371,Data!$B$2:$B$1006,$B371)</f>
        <v>89.705587</v>
      </c>
      <c r="H371" s="10" t="n">
        <f aca="false">SUMIFS(Data!$G$2:$G$1006,Data!$A$2:$A$1006,$A371,Data!$B$2:$B$1006,$B371)</f>
        <v>87.089871</v>
      </c>
      <c r="I371" s="10" t="n">
        <f aca="false">SUMIFS(Data!$N$2:$N$1006,Data!$A$2:$A$1006,$A371,Data!$B$2:$B$1006,$B371)</f>
        <v>302.946752</v>
      </c>
      <c r="J371" s="10" t="n">
        <f aca="false">SUMIFS(Data!$H$2:$H$1006,Data!$A$2:$A$1006,$A371,Data!$B$2:$B$1006,$B371)</f>
        <v>147.671452</v>
      </c>
      <c r="K371" s="11" t="n">
        <f aca="false">IFERROR(F371*1000000/$E371,"")</f>
        <v>90.2544082190409</v>
      </c>
      <c r="L371" s="11" t="n">
        <f aca="false">IFERROR(G371*1000000/$E371,"")</f>
        <v>64.1794817310926</v>
      </c>
      <c r="M371" s="11" t="n">
        <f aca="false">IFERROR(H371*1000000/$E371,"")</f>
        <v>62.3080788135048</v>
      </c>
      <c r="N371" s="11" t="n">
        <f aca="false">IFERROR(I371*1000000/$E371,"")</f>
        <v>216.741968763638</v>
      </c>
      <c r="O371" s="11" t="n">
        <f aca="false">IFERROR(J371*1000000/$E371,"")</f>
        <v>105.650913981956</v>
      </c>
      <c r="P371" s="16" t="n">
        <f aca="false">COUNTIFS($A$4:$A$1008,$A371,$N$4:$N$1008,"&gt;"&amp;N371)+1</f>
        <v>29</v>
      </c>
      <c r="Q371" s="16" t="n">
        <f aca="false">COUNTIFS($A$4:$A$1008,$A371,$O$4:$O$1008,"&gt;"&amp;O371)+1</f>
        <v>33</v>
      </c>
    </row>
    <row r="372" customFormat="false" ht="15" hidden="false" customHeight="false" outlineLevel="0" collapsed="false">
      <c r="A372" s="7" t="n">
        <v>2009</v>
      </c>
      <c r="B372" s="15" t="s">
        <v>131</v>
      </c>
      <c r="C372" s="15" t="s">
        <v>118</v>
      </c>
      <c r="D372" s="15" t="s">
        <v>132</v>
      </c>
      <c r="E372" s="9" t="n">
        <f aca="false">SUMIFS(Data!$L$2:$L$1006,Data!$A$2:$A$1006,$A372,Data!$B$2:$B$1006,$B372)</f>
        <v>769966</v>
      </c>
      <c r="F372" s="10" t="n">
        <f aca="false">SUMIFS(Data!$E$2:$E$1006,Data!$A$2:$A$1006,$A372,Data!$B$2:$B$1006,$B372)</f>
        <v>93.848087</v>
      </c>
      <c r="G372" s="10" t="n">
        <f aca="false">SUMIFS(Data!$F$2:$F$1006,Data!$A$2:$A$1006,$A372,Data!$B$2:$B$1006,$B372)</f>
        <v>76.247122</v>
      </c>
      <c r="H372" s="10" t="n">
        <f aca="false">SUMIFS(Data!$G$2:$G$1006,Data!$A$2:$A$1006,$A372,Data!$B$2:$B$1006,$B372)</f>
        <v>107.246873</v>
      </c>
      <c r="I372" s="10" t="n">
        <f aca="false">SUMIFS(Data!$N$2:$N$1006,Data!$A$2:$A$1006,$A372,Data!$B$2:$B$1006,$B372)</f>
        <v>277.342082</v>
      </c>
      <c r="J372" s="10" t="n">
        <f aca="false">SUMIFS(Data!$H$2:$H$1006,Data!$A$2:$A$1006,$A372,Data!$B$2:$B$1006,$B372)</f>
        <v>199.36539</v>
      </c>
      <c r="K372" s="11" t="n">
        <f aca="false">IFERROR(F372*1000000/$E372,"")</f>
        <v>121.886014447391</v>
      </c>
      <c r="L372" s="11" t="n">
        <f aca="false">IFERROR(G372*1000000/$E372,"")</f>
        <v>99.0266089671492</v>
      </c>
      <c r="M372" s="11" t="n">
        <f aca="false">IFERROR(H372*1000000/$E372,"")</f>
        <v>139.287803617303</v>
      </c>
      <c r="N372" s="11" t="n">
        <f aca="false">IFERROR(I372*1000000/$E372,"")</f>
        <v>360.200427031843</v>
      </c>
      <c r="O372" s="11" t="n">
        <f aca="false">IFERROR(J372*1000000/$E372,"")</f>
        <v>258.927524072492</v>
      </c>
      <c r="P372" s="16" t="n">
        <f aca="false">COUNTIFS($A$4:$A$1008,$A372,$N$4:$N$1008,"&gt;"&amp;N372)+1</f>
        <v>2</v>
      </c>
      <c r="Q372" s="16" t="n">
        <f aca="false">COUNTIFS($A$4:$A$1008,$A372,$O$4:$O$1008,"&gt;"&amp;O372)+1</f>
        <v>3</v>
      </c>
    </row>
    <row r="373" customFormat="false" ht="15" hidden="false" customHeight="false" outlineLevel="0" collapsed="false">
      <c r="A373" s="7" t="n">
        <v>2009</v>
      </c>
      <c r="B373" s="15" t="s">
        <v>133</v>
      </c>
      <c r="C373" s="15" t="s">
        <v>118</v>
      </c>
      <c r="D373" s="15" t="s">
        <v>105</v>
      </c>
      <c r="E373" s="9" t="n">
        <f aca="false">SUMIFS(Data!$L$2:$L$1006,Data!$A$2:$A$1006,$A373,Data!$B$2:$B$1006,$B373)</f>
        <v>2132180</v>
      </c>
      <c r="F373" s="10" t="n">
        <f aca="false">SUMIFS(Data!$E$2:$E$1006,Data!$A$2:$A$1006,$A373,Data!$B$2:$B$1006,$B373)</f>
        <v>161.065497</v>
      </c>
      <c r="G373" s="10" t="n">
        <f aca="false">SUMIFS(Data!$F$2:$F$1006,Data!$A$2:$A$1006,$A373,Data!$B$2:$B$1006,$B373)</f>
        <v>391.543879</v>
      </c>
      <c r="H373" s="10" t="n">
        <f aca="false">SUMIFS(Data!$G$2:$G$1006,Data!$A$2:$A$1006,$A373,Data!$B$2:$B$1006,$B373)</f>
        <v>134.09771</v>
      </c>
      <c r="I373" s="10" t="n">
        <f aca="false">SUMIFS(Data!$N$2:$N$1006,Data!$A$2:$A$1006,$A373,Data!$B$2:$B$1006,$B373)</f>
        <v>686.707086</v>
      </c>
      <c r="J373" s="10" t="n">
        <f aca="false">SUMIFS(Data!$H$2:$H$1006,Data!$A$2:$A$1006,$A373,Data!$B$2:$B$1006,$B373)</f>
        <v>307.226505</v>
      </c>
      <c r="K373" s="11" t="n">
        <f aca="false">IFERROR(F373*1000000/$E373,"")</f>
        <v>75.5402906884034</v>
      </c>
      <c r="L373" s="11" t="n">
        <f aca="false">IFERROR(G373*1000000/$E373,"")</f>
        <v>183.635471207872</v>
      </c>
      <c r="M373" s="11" t="n">
        <f aca="false">IFERROR(H373*1000000/$E373,"")</f>
        <v>62.8923027136546</v>
      </c>
      <c r="N373" s="11" t="n">
        <f aca="false">IFERROR(I373*1000000/$E373,"")</f>
        <v>322.06806460993</v>
      </c>
      <c r="O373" s="11" t="n">
        <f aca="false">IFERROR(J373*1000000/$E373,"")</f>
        <v>144.090323049649</v>
      </c>
      <c r="P373" s="16" t="n">
        <f aca="false">COUNTIFS($A$4:$A$1008,$A373,$N$4:$N$1008,"&gt;"&amp;N373)+1</f>
        <v>3</v>
      </c>
      <c r="Q373" s="16" t="n">
        <f aca="false">COUNTIFS($A$4:$A$1008,$A373,$O$4:$O$1008,"&gt;"&amp;O373)+1</f>
        <v>17</v>
      </c>
    </row>
    <row r="374" customFormat="false" ht="15" hidden="false" customHeight="false" outlineLevel="0" collapsed="false">
      <c r="A374" s="7" t="n">
        <v>2009</v>
      </c>
      <c r="B374" s="15" t="s">
        <v>134</v>
      </c>
      <c r="C374" s="15" t="s">
        <v>135</v>
      </c>
      <c r="D374" s="15" t="s">
        <v>136</v>
      </c>
      <c r="E374" s="9" t="n">
        <f aca="false">SUMIFS(Data!$L$2:$L$1006,Data!$A$2:$A$1006,$A374,Data!$B$2:$B$1006,$B374)</f>
        <v>143813</v>
      </c>
      <c r="F374" s="10" t="n">
        <f aca="false">SUMIFS(Data!$E$2:$E$1006,Data!$A$2:$A$1006,$A374,Data!$B$2:$B$1006,$B374)</f>
        <v>20.894304</v>
      </c>
      <c r="G374" s="10" t="n">
        <f aca="false">SUMIFS(Data!$F$2:$F$1006,Data!$A$2:$A$1006,$A374,Data!$B$2:$B$1006,$B374)</f>
        <v>16.638731</v>
      </c>
      <c r="H374" s="10" t="n">
        <f aca="false">SUMIFS(Data!$G$2:$G$1006,Data!$A$2:$A$1006,$A374,Data!$B$2:$B$1006,$B374)</f>
        <v>14.537838</v>
      </c>
      <c r="I374" s="10" t="n">
        <f aca="false">SUMIFS(Data!$N$2:$N$1006,Data!$A$2:$A$1006,$A374,Data!$B$2:$B$1006,$B374)</f>
        <v>52.070873</v>
      </c>
      <c r="J374" s="10" t="n">
        <f aca="false">SUMIFS(Data!$H$2:$H$1006,Data!$A$2:$A$1006,$A374,Data!$B$2:$B$1006,$B374)</f>
        <v>12.554701</v>
      </c>
      <c r="K374" s="11" t="n">
        <f aca="false">IFERROR(F374*1000000/$E374,"")</f>
        <v>145.288005952174</v>
      </c>
      <c r="L374" s="11" t="n">
        <f aca="false">IFERROR(G374*1000000/$E374,"")</f>
        <v>115.696988450279</v>
      </c>
      <c r="M374" s="11" t="n">
        <f aca="false">IFERROR(H374*1000000/$E374,"")</f>
        <v>101.088482960511</v>
      </c>
      <c r="N374" s="11" t="n">
        <f aca="false">IFERROR(I374*1000000/$E374,"")</f>
        <v>362.073477362964</v>
      </c>
      <c r="O374" s="11" t="n">
        <f aca="false">IFERROR(J374*1000000/$E374,"")</f>
        <v>87.2987907908186</v>
      </c>
      <c r="P374" s="16" t="n">
        <f aca="false">COUNTIFS($A$4:$A$1008,$A374,$N$4:$N$1008,"&gt;"&amp;N374)+1</f>
        <v>1</v>
      </c>
      <c r="Q374" s="16" t="n">
        <f aca="false">COUNTIFS($A$4:$A$1008,$A374,$O$4:$O$1008,"&gt;"&amp;O374)+1</f>
        <v>35</v>
      </c>
    </row>
    <row r="375" customFormat="false" ht="15" hidden="false" customHeight="false" outlineLevel="0" collapsed="false">
      <c r="A375" s="7" t="n">
        <v>2009</v>
      </c>
      <c r="B375" s="15" t="s">
        <v>137</v>
      </c>
      <c r="C375" s="15" t="s">
        <v>135</v>
      </c>
      <c r="D375" s="15" t="s">
        <v>138</v>
      </c>
      <c r="E375" s="9" t="n">
        <f aca="false">SUMIFS(Data!$L$2:$L$1006,Data!$A$2:$A$1006,$A375,Data!$B$2:$B$1006,$B375)</f>
        <v>1787254</v>
      </c>
      <c r="F375" s="10" t="n">
        <f aca="false">SUMIFS(Data!$E$2:$E$1006,Data!$A$2:$A$1006,$A375,Data!$B$2:$B$1006,$B375)</f>
        <v>142.488291</v>
      </c>
      <c r="G375" s="10" t="n">
        <f aca="false">SUMIFS(Data!$F$2:$F$1006,Data!$A$2:$A$1006,$A375,Data!$B$2:$B$1006,$B375)</f>
        <v>113.874866</v>
      </c>
      <c r="H375" s="10" t="n">
        <f aca="false">SUMIFS(Data!$G$2:$G$1006,Data!$A$2:$A$1006,$A375,Data!$B$2:$B$1006,$B375)</f>
        <v>145.171951</v>
      </c>
      <c r="I375" s="10" t="n">
        <f aca="false">SUMIFS(Data!$N$2:$N$1006,Data!$A$2:$A$1006,$A375,Data!$B$2:$B$1006,$B375)</f>
        <v>401.535108</v>
      </c>
      <c r="J375" s="10" t="n">
        <f aca="false">SUMIFS(Data!$H$2:$H$1006,Data!$A$2:$A$1006,$A375,Data!$B$2:$B$1006,$B375)</f>
        <v>253.121171</v>
      </c>
      <c r="K375" s="11" t="n">
        <f aca="false">IFERROR(F375*1000000/$E375,"")</f>
        <v>79.7247011336945</v>
      </c>
      <c r="L375" s="11" t="n">
        <f aca="false">IFERROR(G375*1000000/$E375,"")</f>
        <v>63.7149873493079</v>
      </c>
      <c r="M375" s="11" t="n">
        <f aca="false">IFERROR(H375*1000000/$E375,"")</f>
        <v>81.2262560329981</v>
      </c>
      <c r="N375" s="11" t="n">
        <f aca="false">IFERROR(I375*1000000/$E375,"")</f>
        <v>224.665944516001</v>
      </c>
      <c r="O375" s="11" t="n">
        <f aca="false">IFERROR(J375*1000000/$E375,"")</f>
        <v>141.625740381613</v>
      </c>
      <c r="P375" s="16" t="n">
        <f aca="false">COUNTIFS($A$4:$A$1008,$A375,$N$4:$N$1008,"&gt;"&amp;N375)+1</f>
        <v>28</v>
      </c>
      <c r="Q375" s="16" t="n">
        <f aca="false">COUNTIFS($A$4:$A$1008,$A375,$O$4:$O$1008,"&gt;"&amp;O375)+1</f>
        <v>18</v>
      </c>
    </row>
    <row r="376" customFormat="false" ht="15" hidden="false" customHeight="false" outlineLevel="0" collapsed="false">
      <c r="A376" s="7" t="n">
        <v>2009</v>
      </c>
      <c r="B376" s="15" t="s">
        <v>139</v>
      </c>
      <c r="C376" s="15" t="s">
        <v>135</v>
      </c>
      <c r="D376" s="15" t="s">
        <v>138</v>
      </c>
      <c r="E376" s="9" t="n">
        <f aca="false">SUMIFS(Data!$L$2:$L$1006,Data!$A$2:$A$1006,$A376,Data!$B$2:$B$1006,$B376)</f>
        <v>2133001</v>
      </c>
      <c r="F376" s="10" t="n">
        <f aca="false">SUMIFS(Data!$E$2:$E$1006,Data!$A$2:$A$1006,$A376,Data!$B$2:$B$1006,$B376)</f>
        <v>220.035305</v>
      </c>
      <c r="G376" s="10" t="n">
        <f aca="false">SUMIFS(Data!$F$2:$F$1006,Data!$A$2:$A$1006,$A376,Data!$B$2:$B$1006,$B376)</f>
        <v>227.53471</v>
      </c>
      <c r="H376" s="10" t="n">
        <f aca="false">SUMIFS(Data!$G$2:$G$1006,Data!$A$2:$A$1006,$A376,Data!$B$2:$B$1006,$B376)</f>
        <v>221.933045</v>
      </c>
      <c r="I376" s="10" t="n">
        <f aca="false">SUMIFS(Data!$N$2:$N$1006,Data!$A$2:$A$1006,$A376,Data!$B$2:$B$1006,$B376)</f>
        <v>669.50306</v>
      </c>
      <c r="J376" s="10" t="n">
        <f aca="false">SUMIFS(Data!$H$2:$H$1006,Data!$A$2:$A$1006,$A376,Data!$B$2:$B$1006,$B376)</f>
        <v>324.093806</v>
      </c>
      <c r="K376" s="11" t="n">
        <f aca="false">IFERROR(F376*1000000/$E376,"")</f>
        <v>103.157619241622</v>
      </c>
      <c r="L376" s="11" t="n">
        <f aca="false">IFERROR(G376*1000000/$E376,"")</f>
        <v>106.673513045704</v>
      </c>
      <c r="M376" s="11" t="n">
        <f aca="false">IFERROR(H376*1000000/$E376,"")</f>
        <v>104.047323465859</v>
      </c>
      <c r="N376" s="11" t="n">
        <f aca="false">IFERROR(I376*1000000/$E376,"")</f>
        <v>313.878455753185</v>
      </c>
      <c r="O376" s="11" t="n">
        <f aca="false">IFERROR(J376*1000000/$E376,"")</f>
        <v>151.942641377102</v>
      </c>
      <c r="P376" s="16" t="n">
        <f aca="false">COUNTIFS($A$4:$A$1008,$A376,$N$4:$N$1008,"&gt;"&amp;N376)+1</f>
        <v>4</v>
      </c>
      <c r="Q376" s="16" t="n">
        <f aca="false">COUNTIFS($A$4:$A$1008,$A376,$O$4:$O$1008,"&gt;"&amp;O376)+1</f>
        <v>15</v>
      </c>
    </row>
    <row r="377" customFormat="false" ht="15" hidden="false" customHeight="false" outlineLevel="0" collapsed="false">
      <c r="A377" s="7" t="n">
        <v>2009</v>
      </c>
      <c r="B377" s="15" t="s">
        <v>140</v>
      </c>
      <c r="C377" s="15" t="s">
        <v>135</v>
      </c>
      <c r="D377" s="15" t="s">
        <v>141</v>
      </c>
      <c r="E377" s="9" t="n">
        <f aca="false">SUMIFS(Data!$L$2:$L$1006,Data!$A$2:$A$1006,$A377,Data!$B$2:$B$1006,$B377)</f>
        <v>776145</v>
      </c>
      <c r="F377" s="10" t="n">
        <f aca="false">SUMIFS(Data!$E$2:$E$1006,Data!$A$2:$A$1006,$A377,Data!$B$2:$B$1006,$B377)</f>
        <v>89.029404</v>
      </c>
      <c r="G377" s="10" t="n">
        <f aca="false">SUMIFS(Data!$F$2:$F$1006,Data!$A$2:$A$1006,$A377,Data!$B$2:$B$1006,$B377)</f>
        <v>49.4899</v>
      </c>
      <c r="H377" s="10" t="n">
        <f aca="false">SUMIFS(Data!$G$2:$G$1006,Data!$A$2:$A$1006,$A377,Data!$B$2:$B$1006,$B377)</f>
        <v>76.757408</v>
      </c>
      <c r="I377" s="10" t="n">
        <f aca="false">SUMIFS(Data!$N$2:$N$1006,Data!$A$2:$A$1006,$A377,Data!$B$2:$B$1006,$B377)</f>
        <v>215.276712</v>
      </c>
      <c r="J377" s="10" t="n">
        <f aca="false">SUMIFS(Data!$H$2:$H$1006,Data!$A$2:$A$1006,$A377,Data!$B$2:$B$1006,$B377)</f>
        <v>105.133435</v>
      </c>
      <c r="K377" s="11" t="n">
        <f aca="false">IFERROR(F377*1000000/$E377,"")</f>
        <v>114.707179715131</v>
      </c>
      <c r="L377" s="11" t="n">
        <f aca="false">IFERROR(G377*1000000/$E377,"")</f>
        <v>63.7637297154527</v>
      </c>
      <c r="M377" s="11" t="n">
        <f aca="false">IFERROR(H377*1000000/$E377,"")</f>
        <v>98.8957063435312</v>
      </c>
      <c r="N377" s="11" t="n">
        <f aca="false">IFERROR(I377*1000000/$E377,"")</f>
        <v>277.366615774114</v>
      </c>
      <c r="O377" s="11" t="n">
        <f aca="false">IFERROR(J377*1000000/$E377,"")</f>
        <v>135.455919963409</v>
      </c>
      <c r="P377" s="16" t="n">
        <f aca="false">COUNTIFS($A$4:$A$1008,$A377,$N$4:$N$1008,"&gt;"&amp;N377)+1</f>
        <v>9</v>
      </c>
      <c r="Q377" s="16" t="n">
        <f aca="false">COUNTIFS($A$4:$A$1008,$A377,$O$4:$O$1008,"&gt;"&amp;O377)+1</f>
        <v>21</v>
      </c>
    </row>
    <row r="378" customFormat="false" ht="15" hidden="false" customHeight="false" outlineLevel="0" collapsed="false">
      <c r="A378" s="7" t="n">
        <v>2009</v>
      </c>
      <c r="B378" s="15" t="s">
        <v>142</v>
      </c>
      <c r="C378" s="15" t="s">
        <v>135</v>
      </c>
      <c r="D378" s="15" t="s">
        <v>143</v>
      </c>
      <c r="E378" s="9" t="n">
        <f aca="false">SUMIFS(Data!$L$2:$L$1006,Data!$A$2:$A$1006,$A378,Data!$B$2:$B$1006,$B378)</f>
        <v>582214</v>
      </c>
      <c r="F378" s="10" t="n">
        <f aca="false">SUMIFS(Data!$E$2:$E$1006,Data!$A$2:$A$1006,$A378,Data!$B$2:$B$1006,$B378)</f>
        <v>66.872997</v>
      </c>
      <c r="G378" s="10" t="n">
        <f aca="false">SUMIFS(Data!$F$2:$F$1006,Data!$A$2:$A$1006,$A378,Data!$B$2:$B$1006,$B378)</f>
        <v>24.421549</v>
      </c>
      <c r="H378" s="10" t="n">
        <f aca="false">SUMIFS(Data!$G$2:$G$1006,Data!$A$2:$A$1006,$A378,Data!$B$2:$B$1006,$B378)</f>
        <v>32.840053</v>
      </c>
      <c r="I378" s="10" t="n">
        <f aca="false">SUMIFS(Data!$N$2:$N$1006,Data!$A$2:$A$1006,$A378,Data!$B$2:$B$1006,$B378)</f>
        <v>124.134599</v>
      </c>
      <c r="J378" s="10" t="n">
        <f aca="false">SUMIFS(Data!$H$2:$H$1006,Data!$A$2:$A$1006,$A378,Data!$B$2:$B$1006,$B378)</f>
        <v>95.249837</v>
      </c>
      <c r="K378" s="11" t="n">
        <f aca="false">IFERROR(F378*1000000/$E378,"")</f>
        <v>114.859823020401</v>
      </c>
      <c r="L378" s="11" t="n">
        <f aca="false">IFERROR(G378*1000000/$E378,"")</f>
        <v>41.9460009549753</v>
      </c>
      <c r="M378" s="11" t="n">
        <f aca="false">IFERROR(H378*1000000/$E378,"")</f>
        <v>56.405467748972</v>
      </c>
      <c r="N378" s="11" t="n">
        <f aca="false">IFERROR(I378*1000000/$E378,"")</f>
        <v>213.211291724349</v>
      </c>
      <c r="O378" s="11" t="n">
        <f aca="false">IFERROR(J378*1000000/$E378,"")</f>
        <v>163.599358655065</v>
      </c>
      <c r="P378" s="16" t="n">
        <f aca="false">COUNTIFS($A$4:$A$1008,$A378,$N$4:$N$1008,"&gt;"&amp;N378)+1</f>
        <v>32</v>
      </c>
      <c r="Q378" s="16" t="n">
        <f aca="false">COUNTIFS($A$4:$A$1008,$A378,$O$4:$O$1008,"&gt;"&amp;O378)+1</f>
        <v>13</v>
      </c>
    </row>
    <row r="379" customFormat="false" ht="15" hidden="false" customHeight="false" outlineLevel="0" collapsed="false">
      <c r="A379" s="7" t="n">
        <v>2009</v>
      </c>
      <c r="B379" s="15" t="s">
        <v>144</v>
      </c>
      <c r="C379" s="15" t="s">
        <v>135</v>
      </c>
      <c r="D379" s="15" t="s">
        <v>141</v>
      </c>
      <c r="E379" s="9" t="n">
        <f aca="false">SUMIFS(Data!$L$2:$L$1006,Data!$A$2:$A$1006,$A379,Data!$B$2:$B$1006,$B379)</f>
        <v>467683</v>
      </c>
      <c r="F379" s="10" t="n">
        <f aca="false">SUMIFS(Data!$E$2:$E$1006,Data!$A$2:$A$1006,$A379,Data!$B$2:$B$1006,$B379)</f>
        <v>35.468656</v>
      </c>
      <c r="G379" s="10" t="n">
        <f aca="false">SUMIFS(Data!$F$2:$F$1006,Data!$A$2:$A$1006,$A379,Data!$B$2:$B$1006,$B379)</f>
        <v>20.663303</v>
      </c>
      <c r="H379" s="10" t="n">
        <f aca="false">SUMIFS(Data!$G$2:$G$1006,Data!$A$2:$A$1006,$A379,Data!$B$2:$B$1006,$B379)</f>
        <v>58.659564</v>
      </c>
      <c r="I379" s="10" t="n">
        <f aca="false">SUMIFS(Data!$N$2:$N$1006,Data!$A$2:$A$1006,$A379,Data!$B$2:$B$1006,$B379)</f>
        <v>114.791523</v>
      </c>
      <c r="J379" s="10" t="n">
        <f aca="false">SUMIFS(Data!$H$2:$H$1006,Data!$A$2:$A$1006,$A379,Data!$B$2:$B$1006,$B379)</f>
        <v>36.30377</v>
      </c>
      <c r="K379" s="11" t="n">
        <f aca="false">IFERROR(F379*1000000/$E379,"")</f>
        <v>75.8390961399067</v>
      </c>
      <c r="L379" s="11" t="n">
        <f aca="false">IFERROR(G379*1000000/$E379,"")</f>
        <v>44.1822837263702</v>
      </c>
      <c r="M379" s="11" t="n">
        <f aca="false">IFERROR(H379*1000000/$E379,"")</f>
        <v>125.425906008985</v>
      </c>
      <c r="N379" s="11" t="n">
        <f aca="false">IFERROR(I379*1000000/$E379,"")</f>
        <v>245.447285875262</v>
      </c>
      <c r="O379" s="11" t="n">
        <f aca="false">IFERROR(J379*1000000/$E379,"")</f>
        <v>77.62473726862</v>
      </c>
      <c r="P379" s="16" t="n">
        <f aca="false">COUNTIFS($A$4:$A$1008,$A379,$N$4:$N$1008,"&gt;"&amp;N379)+1</f>
        <v>19</v>
      </c>
      <c r="Q379" s="16" t="n">
        <f aca="false">COUNTIFS($A$4:$A$1008,$A379,$O$4:$O$1008,"&gt;"&amp;O379)+1</f>
        <v>38</v>
      </c>
    </row>
    <row r="380" customFormat="false" ht="15" hidden="false" customHeight="false" outlineLevel="0" collapsed="false">
      <c r="A380" s="7" t="n">
        <v>2009</v>
      </c>
      <c r="B380" s="15" t="s">
        <v>145</v>
      </c>
      <c r="C380" s="15" t="s">
        <v>135</v>
      </c>
      <c r="D380" s="15" t="s">
        <v>146</v>
      </c>
      <c r="E380" s="9" t="n">
        <f aca="false">SUMIFS(Data!$L$2:$L$1006,Data!$A$2:$A$1006,$A380,Data!$B$2:$B$1006,$B380)</f>
        <v>526023</v>
      </c>
      <c r="F380" s="10" t="n">
        <f aca="false">SUMIFS(Data!$E$2:$E$1006,Data!$A$2:$A$1006,$A380,Data!$B$2:$B$1006,$B380)</f>
        <v>23.1003</v>
      </c>
      <c r="G380" s="10" t="n">
        <f aca="false">SUMIFS(Data!$F$2:$F$1006,Data!$A$2:$A$1006,$A380,Data!$B$2:$B$1006,$B380)</f>
        <v>56.517403</v>
      </c>
      <c r="H380" s="10" t="n">
        <f aca="false">SUMIFS(Data!$G$2:$G$1006,Data!$A$2:$A$1006,$A380,Data!$B$2:$B$1006,$B380)</f>
        <v>47.157103</v>
      </c>
      <c r="I380" s="10" t="n">
        <f aca="false">SUMIFS(Data!$N$2:$N$1006,Data!$A$2:$A$1006,$A380,Data!$B$2:$B$1006,$B380)</f>
        <v>126.774806</v>
      </c>
      <c r="J380" s="10" t="n">
        <f aca="false">SUMIFS(Data!$H$2:$H$1006,Data!$A$2:$A$1006,$A380,Data!$B$2:$B$1006,$B380)</f>
        <v>112.145267</v>
      </c>
      <c r="K380" s="11" t="n">
        <f aca="false">IFERROR(F380*1000000/$E380,"")</f>
        <v>43.9149999144524</v>
      </c>
      <c r="L380" s="11" t="n">
        <f aca="false">IFERROR(G380*1000000/$E380,"")</f>
        <v>107.44283614975</v>
      </c>
      <c r="M380" s="11" t="n">
        <f aca="false">IFERROR(H380*1000000/$E380,"")</f>
        <v>89.6483670866103</v>
      </c>
      <c r="N380" s="11" t="n">
        <f aca="false">IFERROR(I380*1000000/$E380,"")</f>
        <v>241.006203150813</v>
      </c>
      <c r="O380" s="11" t="n">
        <f aca="false">IFERROR(J380*1000000/$E380,"")</f>
        <v>213.19460746013</v>
      </c>
      <c r="P380" s="16" t="n">
        <f aca="false">COUNTIFS($A$4:$A$1008,$A380,$N$4:$N$1008,"&gt;"&amp;N380)+1</f>
        <v>20</v>
      </c>
      <c r="Q380" s="16" t="n">
        <f aca="false">COUNTIFS($A$4:$A$1008,$A380,$O$4:$O$1008,"&gt;"&amp;O380)+1</f>
        <v>5</v>
      </c>
    </row>
    <row r="381" customFormat="false" ht="15" hidden="false" customHeight="false" outlineLevel="0" collapsed="false">
      <c r="A381" s="7" t="n">
        <v>2009</v>
      </c>
      <c r="B381" s="15" t="s">
        <v>147</v>
      </c>
      <c r="C381" s="15" t="s">
        <v>135</v>
      </c>
      <c r="D381" s="15" t="s">
        <v>148</v>
      </c>
      <c r="E381" s="9" t="n">
        <f aca="false">SUMIFS(Data!$L$2:$L$1006,Data!$A$2:$A$1006,$A381,Data!$B$2:$B$1006,$B381)</f>
        <v>140054</v>
      </c>
      <c r="F381" s="10" t="n">
        <f aca="false">SUMIFS(Data!$E$2:$E$1006,Data!$A$2:$A$1006,$A381,Data!$B$2:$B$1006,$B381)</f>
        <v>11.425606</v>
      </c>
      <c r="G381" s="10" t="n">
        <f aca="false">SUMIFS(Data!$F$2:$F$1006,Data!$A$2:$A$1006,$A381,Data!$B$2:$B$1006,$B381)</f>
        <v>15.271774</v>
      </c>
      <c r="H381" s="10" t="n">
        <f aca="false">SUMIFS(Data!$G$2:$G$1006,Data!$A$2:$A$1006,$A381,Data!$B$2:$B$1006,$B381)</f>
        <v>12.132775</v>
      </c>
      <c r="I381" s="10" t="n">
        <f aca="false">SUMIFS(Data!$N$2:$N$1006,Data!$A$2:$A$1006,$A381,Data!$B$2:$B$1006,$B381)</f>
        <v>38.830155</v>
      </c>
      <c r="J381" s="10" t="n">
        <f aca="false">SUMIFS(Data!$H$2:$H$1006,Data!$A$2:$A$1006,$A381,Data!$B$2:$B$1006,$B381)</f>
        <v>34.538224</v>
      </c>
      <c r="K381" s="11" t="n">
        <f aca="false">IFERROR(F381*1000000/$E381,"")</f>
        <v>81.5800048552701</v>
      </c>
      <c r="L381" s="11" t="n">
        <f aca="false">IFERROR(G381*1000000/$E381,"")</f>
        <v>109.042040927071</v>
      </c>
      <c r="M381" s="11" t="n">
        <f aca="false">IFERROR(H381*1000000/$E381,"")</f>
        <v>86.6292644265783</v>
      </c>
      <c r="N381" s="11" t="n">
        <f aca="false">IFERROR(I381*1000000/$E381,"")</f>
        <v>277.251310208919</v>
      </c>
      <c r="O381" s="11" t="n">
        <f aca="false">IFERROR(J381*1000000/$E381,"")</f>
        <v>246.606480357576</v>
      </c>
      <c r="P381" s="16" t="n">
        <f aca="false">COUNTIFS($A$4:$A$1008,$A381,$N$4:$N$1008,"&gt;"&amp;N381)+1</f>
        <v>10</v>
      </c>
      <c r="Q381" s="16" t="n">
        <f aca="false">COUNTIFS($A$4:$A$1008,$A381,$O$4:$O$1008,"&gt;"&amp;O381)+1</f>
        <v>4</v>
      </c>
    </row>
    <row r="382" customFormat="false" ht="15" hidden="false" customHeight="false" outlineLevel="0" collapsed="false">
      <c r="A382" s="7" t="n">
        <v>2009</v>
      </c>
      <c r="B382" s="15" t="s">
        <v>149</v>
      </c>
      <c r="C382" s="15" t="s">
        <v>135</v>
      </c>
      <c r="D382" s="15" t="s">
        <v>146</v>
      </c>
      <c r="E382" s="9" t="n">
        <f aca="false">SUMIFS(Data!$L$2:$L$1006,Data!$A$2:$A$1006,$A382,Data!$B$2:$B$1006,$B382)</f>
        <v>723271</v>
      </c>
      <c r="F382" s="10" t="n">
        <f aca="false">SUMIFS(Data!$E$2:$E$1006,Data!$A$2:$A$1006,$A382,Data!$B$2:$B$1006,$B382)</f>
        <v>88.142321</v>
      </c>
      <c r="G382" s="10" t="n">
        <f aca="false">SUMIFS(Data!$F$2:$F$1006,Data!$A$2:$A$1006,$A382,Data!$B$2:$B$1006,$B382)</f>
        <v>69.528939</v>
      </c>
      <c r="H382" s="10" t="n">
        <f aca="false">SUMIFS(Data!$G$2:$G$1006,Data!$A$2:$A$1006,$A382,Data!$B$2:$B$1006,$B382)</f>
        <v>60.005282</v>
      </c>
      <c r="I382" s="10" t="n">
        <f aca="false">SUMIFS(Data!$N$2:$N$1006,Data!$A$2:$A$1006,$A382,Data!$B$2:$B$1006,$B382)</f>
        <v>217.676542</v>
      </c>
      <c r="J382" s="10" t="n">
        <f aca="false">SUMIFS(Data!$H$2:$H$1006,Data!$A$2:$A$1006,$A382,Data!$B$2:$B$1006,$B382)</f>
        <v>97.073663</v>
      </c>
      <c r="K382" s="11" t="n">
        <f aca="false">IFERROR(F382*1000000/$E382,"")</f>
        <v>121.866245155689</v>
      </c>
      <c r="L382" s="11" t="n">
        <f aca="false">IFERROR(G382*1000000/$E382,"")</f>
        <v>96.1312412636481</v>
      </c>
      <c r="M382" s="11" t="n">
        <f aca="false">IFERROR(H382*1000000/$E382,"")</f>
        <v>82.9637604715245</v>
      </c>
      <c r="N382" s="11" t="n">
        <f aca="false">IFERROR(I382*1000000/$E382,"")</f>
        <v>300.961246890861</v>
      </c>
      <c r="O382" s="11" t="n">
        <f aca="false">IFERROR(J382*1000000/$E382,"")</f>
        <v>134.214786712035</v>
      </c>
      <c r="P382" s="16" t="n">
        <f aca="false">COUNTIFS($A$4:$A$1008,$A382,$N$4:$N$1008,"&gt;"&amp;N382)+1</f>
        <v>6</v>
      </c>
      <c r="Q382" s="16" t="n">
        <f aca="false">COUNTIFS($A$4:$A$1008,$A382,$O$4:$O$1008,"&gt;"&amp;O382)+1</f>
        <v>23</v>
      </c>
    </row>
    <row r="383" customFormat="false" ht="15" hidden="false" customHeight="false" outlineLevel="0" collapsed="false">
      <c r="A383" s="7" t="n">
        <v>2009</v>
      </c>
      <c r="B383" s="15" t="s">
        <v>150</v>
      </c>
      <c r="C383" s="15" t="s">
        <v>135</v>
      </c>
      <c r="D383" s="15" t="s">
        <v>141</v>
      </c>
      <c r="E383" s="9" t="n">
        <f aca="false">SUMIFS(Data!$L$2:$L$1006,Data!$A$2:$A$1006,$A383,Data!$B$2:$B$1006,$B383)</f>
        <v>455645</v>
      </c>
      <c r="F383" s="10" t="n">
        <f aca="false">SUMIFS(Data!$E$2:$E$1006,Data!$A$2:$A$1006,$A383,Data!$B$2:$B$1006,$B383)</f>
        <v>35.198198</v>
      </c>
      <c r="G383" s="10" t="n">
        <f aca="false">SUMIFS(Data!$F$2:$F$1006,Data!$A$2:$A$1006,$A383,Data!$B$2:$B$1006,$B383)</f>
        <v>19.395931</v>
      </c>
      <c r="H383" s="10" t="n">
        <f aca="false">SUMIFS(Data!$G$2:$G$1006,Data!$A$2:$A$1006,$A383,Data!$B$2:$B$1006,$B383)</f>
        <v>54.590544</v>
      </c>
      <c r="I383" s="10" t="n">
        <f aca="false">SUMIFS(Data!$N$2:$N$1006,Data!$A$2:$A$1006,$A383,Data!$B$2:$B$1006,$B383)</f>
        <v>109.184673</v>
      </c>
      <c r="J383" s="10" t="n">
        <f aca="false">SUMIFS(Data!$H$2:$H$1006,Data!$A$2:$A$1006,$A383,Data!$B$2:$B$1006,$B383)</f>
        <v>48.453521</v>
      </c>
      <c r="K383" s="11" t="n">
        <f aca="false">IFERROR(F383*1000000/$E383,"")</f>
        <v>77.2491698581132</v>
      </c>
      <c r="L383" s="11" t="n">
        <f aca="false">IFERROR(G383*1000000/$E383,"")</f>
        <v>42.5680760240977</v>
      </c>
      <c r="M383" s="11" t="n">
        <f aca="false">IFERROR(H383*1000000/$E383,"")</f>
        <v>119.809377914824</v>
      </c>
      <c r="N383" s="11" t="n">
        <f aca="false">IFERROR(I383*1000000/$E383,"")</f>
        <v>239.626623797035</v>
      </c>
      <c r="O383" s="11" t="n">
        <f aca="false">IFERROR(J383*1000000/$E383,"")</f>
        <v>106.340508509915</v>
      </c>
      <c r="P383" s="16" t="n">
        <f aca="false">COUNTIFS($A$4:$A$1008,$A383,$N$4:$N$1008,"&gt;"&amp;N383)+1</f>
        <v>21</v>
      </c>
      <c r="Q383" s="16" t="n">
        <f aca="false">COUNTIFS($A$4:$A$1008,$A383,$O$4:$O$1008,"&gt;"&amp;O383)+1</f>
        <v>31</v>
      </c>
    </row>
    <row r="384" customFormat="false" ht="15" hidden="false" customHeight="false" outlineLevel="0" collapsed="false">
      <c r="A384" s="7" t="n">
        <v>2009</v>
      </c>
      <c r="B384" s="15" t="s">
        <v>151</v>
      </c>
      <c r="C384" s="15" t="s">
        <v>135</v>
      </c>
      <c r="D384" s="15" t="s">
        <v>136</v>
      </c>
      <c r="E384" s="9" t="n">
        <f aca="false">SUMIFS(Data!$L$2:$L$1006,Data!$A$2:$A$1006,$A384,Data!$B$2:$B$1006,$B384)</f>
        <v>1367070</v>
      </c>
      <c r="F384" s="10" t="n">
        <f aca="false">SUMIFS(Data!$E$2:$E$1006,Data!$A$2:$A$1006,$A384,Data!$B$2:$B$1006,$B384)</f>
        <v>102.52969</v>
      </c>
      <c r="G384" s="10" t="n">
        <f aca="false">SUMIFS(Data!$F$2:$F$1006,Data!$A$2:$A$1006,$A384,Data!$B$2:$B$1006,$B384)</f>
        <v>122.572729</v>
      </c>
      <c r="H384" s="10" t="n">
        <f aca="false">SUMIFS(Data!$G$2:$G$1006,Data!$A$2:$A$1006,$A384,Data!$B$2:$B$1006,$B384)</f>
        <v>87.809292</v>
      </c>
      <c r="I384" s="10" t="n">
        <f aca="false">SUMIFS(Data!$N$2:$N$1006,Data!$A$2:$A$1006,$A384,Data!$B$2:$B$1006,$B384)</f>
        <v>312.911711</v>
      </c>
      <c r="J384" s="10" t="n">
        <f aca="false">SUMIFS(Data!$H$2:$H$1006,Data!$A$2:$A$1006,$A384,Data!$B$2:$B$1006,$B384)</f>
        <v>115.667636</v>
      </c>
      <c r="K384" s="11" t="n">
        <f aca="false">IFERROR(F384*1000000/$E384,"")</f>
        <v>74.9995903647948</v>
      </c>
      <c r="L384" s="11" t="n">
        <f aca="false">IFERROR(G384*1000000/$E384,"")</f>
        <v>89.6609017826446</v>
      </c>
      <c r="M384" s="11" t="n">
        <f aca="false">IFERROR(H384*1000000/$E384,"")</f>
        <v>64.2317452654217</v>
      </c>
      <c r="N384" s="11" t="n">
        <f aca="false">IFERROR(I384*1000000/$E384,"")</f>
        <v>228.892237412861</v>
      </c>
      <c r="O384" s="11" t="n">
        <f aca="false">IFERROR(J384*1000000/$E384,"")</f>
        <v>84.6098853752917</v>
      </c>
      <c r="P384" s="16" t="n">
        <f aca="false">COUNTIFS($A$4:$A$1008,$A384,$N$4:$N$1008,"&gt;"&amp;N384)+1</f>
        <v>25</v>
      </c>
      <c r="Q384" s="16" t="n">
        <f aca="false">COUNTIFS($A$4:$A$1008,$A384,$O$4:$O$1008,"&gt;"&amp;O384)+1</f>
        <v>36</v>
      </c>
    </row>
    <row r="385" customFormat="false" ht="15" hidden="false" customHeight="false" outlineLevel="0" collapsed="false">
      <c r="A385" s="7" t="n">
        <v>2009</v>
      </c>
      <c r="B385" s="15" t="s">
        <v>152</v>
      </c>
      <c r="C385" s="15" t="s">
        <v>135</v>
      </c>
      <c r="D385" s="15" t="s">
        <v>148</v>
      </c>
      <c r="E385" s="9" t="n">
        <f aca="false">SUMIFS(Data!$L$2:$L$1006,Data!$A$2:$A$1006,$A385,Data!$B$2:$B$1006,$B385)</f>
        <v>261029</v>
      </c>
      <c r="F385" s="10" t="n">
        <f aca="false">SUMIFS(Data!$E$2:$E$1006,Data!$A$2:$A$1006,$A385,Data!$B$2:$B$1006,$B385)</f>
        <v>19.40793</v>
      </c>
      <c r="G385" s="10" t="n">
        <f aca="false">SUMIFS(Data!$F$2:$F$1006,Data!$A$2:$A$1006,$A385,Data!$B$2:$B$1006,$B385)</f>
        <v>20.78169</v>
      </c>
      <c r="H385" s="10" t="n">
        <f aca="false">SUMIFS(Data!$G$2:$G$1006,Data!$A$2:$A$1006,$A385,Data!$B$2:$B$1006,$B385)</f>
        <v>20.750212</v>
      </c>
      <c r="I385" s="10" t="n">
        <f aca="false">SUMIFS(Data!$N$2:$N$1006,Data!$A$2:$A$1006,$A385,Data!$B$2:$B$1006,$B385)</f>
        <v>60.939832</v>
      </c>
      <c r="J385" s="10" t="n">
        <f aca="false">SUMIFS(Data!$H$2:$H$1006,Data!$A$2:$A$1006,$A385,Data!$B$2:$B$1006,$B385)</f>
        <v>26.184492</v>
      </c>
      <c r="K385" s="11" t="n">
        <f aca="false">IFERROR(F385*1000000/$E385,"")</f>
        <v>74.3516237659417</v>
      </c>
      <c r="L385" s="11" t="n">
        <f aca="false">IFERROR(G385*1000000/$E385,"")</f>
        <v>79.6144872791912</v>
      </c>
      <c r="M385" s="11" t="n">
        <f aca="false">IFERROR(H385*1000000/$E385,"")</f>
        <v>79.4938953143137</v>
      </c>
      <c r="N385" s="11" t="n">
        <f aca="false">IFERROR(I385*1000000/$E385,"")</f>
        <v>233.460006359447</v>
      </c>
      <c r="O385" s="11" t="n">
        <f aca="false">IFERROR(J385*1000000/$E385,"")</f>
        <v>100.312578295898</v>
      </c>
      <c r="P385" s="16" t="n">
        <f aca="false">COUNTIFS($A$4:$A$1008,$A385,$N$4:$N$1008,"&gt;"&amp;N385)+1</f>
        <v>24</v>
      </c>
      <c r="Q385" s="16" t="n">
        <f aca="false">COUNTIFS($A$4:$A$1008,$A385,$O$4:$O$1008,"&gt;"&amp;O385)+1</f>
        <v>33</v>
      </c>
    </row>
    <row r="386" customFormat="false" ht="15" hidden="false" customHeight="false" outlineLevel="0" collapsed="false">
      <c r="A386" s="7" t="n">
        <v>2009</v>
      </c>
      <c r="B386" s="15" t="s">
        <v>153</v>
      </c>
      <c r="C386" s="15" t="s">
        <v>135</v>
      </c>
      <c r="D386" s="15" t="s">
        <v>136</v>
      </c>
      <c r="E386" s="9" t="n">
        <f aca="false">SUMIFS(Data!$L$2:$L$1006,Data!$A$2:$A$1006,$A386,Data!$B$2:$B$1006,$B386)</f>
        <v>129267</v>
      </c>
      <c r="F386" s="10" t="n">
        <f aca="false">SUMIFS(Data!$E$2:$E$1006,Data!$A$2:$A$1006,$A386,Data!$B$2:$B$1006,$B386)</f>
        <v>14.334018</v>
      </c>
      <c r="G386" s="10" t="n">
        <f aca="false">SUMIFS(Data!$F$2:$F$1006,Data!$A$2:$A$1006,$A386,Data!$B$2:$B$1006,$B386)</f>
        <v>16.348406</v>
      </c>
      <c r="H386" s="10" t="n">
        <f aca="false">SUMIFS(Data!$G$2:$G$1006,Data!$A$2:$A$1006,$A386,Data!$B$2:$B$1006,$B386)</f>
        <v>9.463184</v>
      </c>
      <c r="I386" s="10" t="n">
        <f aca="false">SUMIFS(Data!$N$2:$N$1006,Data!$A$2:$A$1006,$A386,Data!$B$2:$B$1006,$B386)</f>
        <v>40.145608</v>
      </c>
      <c r="J386" s="10" t="n">
        <f aca="false">SUMIFS(Data!$H$2:$H$1006,Data!$A$2:$A$1006,$A386,Data!$B$2:$B$1006,$B386)</f>
        <v>15.864063</v>
      </c>
      <c r="K386" s="11" t="n">
        <f aca="false">IFERROR(F386*1000000/$E386,"")</f>
        <v>110.886908491726</v>
      </c>
      <c r="L386" s="11" t="n">
        <f aca="false">IFERROR(G386*1000000/$E386,"")</f>
        <v>126.470065832734</v>
      </c>
      <c r="M386" s="11" t="n">
        <f aca="false">IFERROR(H386*1000000/$E386,"")</f>
        <v>73.2064950838188</v>
      </c>
      <c r="N386" s="11" t="n">
        <f aca="false">IFERROR(I386*1000000/$E386,"")</f>
        <v>310.563469408279</v>
      </c>
      <c r="O386" s="11" t="n">
        <f aca="false">IFERROR(J386*1000000/$E386,"")</f>
        <v>122.723224024693</v>
      </c>
      <c r="P386" s="16" t="n">
        <f aca="false">COUNTIFS($A$4:$A$1008,$A386,$N$4:$N$1008,"&gt;"&amp;N386)+1</f>
        <v>5</v>
      </c>
      <c r="Q386" s="16" t="n">
        <f aca="false">COUNTIFS($A$4:$A$1008,$A386,$O$4:$O$1008,"&gt;"&amp;O386)+1</f>
        <v>28</v>
      </c>
    </row>
    <row r="387" customFormat="false" ht="15" hidden="false" customHeight="false" outlineLevel="0" collapsed="false">
      <c r="A387" s="7" t="n">
        <v>2009</v>
      </c>
      <c r="B387" s="15" t="s">
        <v>154</v>
      </c>
      <c r="C387" s="15" t="s">
        <v>135</v>
      </c>
      <c r="D387" s="15" t="s">
        <v>141</v>
      </c>
      <c r="E387" s="9" t="n">
        <f aca="false">SUMIFS(Data!$L$2:$L$1006,Data!$A$2:$A$1006,$A387,Data!$B$2:$B$1006,$B387)</f>
        <v>145945</v>
      </c>
      <c r="F387" s="10" t="n">
        <f aca="false">SUMIFS(Data!$E$2:$E$1006,Data!$A$2:$A$1006,$A387,Data!$B$2:$B$1006,$B387)</f>
        <v>16.35913</v>
      </c>
      <c r="G387" s="10" t="n">
        <f aca="false">SUMIFS(Data!$F$2:$F$1006,Data!$A$2:$A$1006,$A387,Data!$B$2:$B$1006,$B387)</f>
        <v>8.122629</v>
      </c>
      <c r="H387" s="10" t="n">
        <f aca="false">SUMIFS(Data!$G$2:$G$1006,Data!$A$2:$A$1006,$A387,Data!$B$2:$B$1006,$B387)</f>
        <v>13.706596</v>
      </c>
      <c r="I387" s="10" t="n">
        <f aca="false">SUMIFS(Data!$N$2:$N$1006,Data!$A$2:$A$1006,$A387,Data!$B$2:$B$1006,$B387)</f>
        <v>38.188355</v>
      </c>
      <c r="J387" s="10" t="n">
        <f aca="false">SUMIFS(Data!$H$2:$H$1006,Data!$A$2:$A$1006,$A387,Data!$B$2:$B$1006,$B387)</f>
        <v>56.631744</v>
      </c>
      <c r="K387" s="11" t="n">
        <f aca="false">IFERROR(F387*1000000/$E387,"")</f>
        <v>112.091061701326</v>
      </c>
      <c r="L387" s="11" t="n">
        <f aca="false">IFERROR(G387*1000000/$E387,"")</f>
        <v>55.6554112850731</v>
      </c>
      <c r="M387" s="11" t="n">
        <f aca="false">IFERROR(H387*1000000/$E387,"")</f>
        <v>93.9161739011271</v>
      </c>
      <c r="N387" s="11" t="n">
        <f aca="false">IFERROR(I387*1000000/$E387,"")</f>
        <v>261.662646887526</v>
      </c>
      <c r="O387" s="11" t="n">
        <f aca="false">IFERROR(J387*1000000/$E387,"")</f>
        <v>388.034835040598</v>
      </c>
      <c r="P387" s="16" t="n">
        <f aca="false">COUNTIFS($A$4:$A$1008,$A387,$N$4:$N$1008,"&gt;"&amp;N387)+1</f>
        <v>12</v>
      </c>
      <c r="Q387" s="16" t="n">
        <f aca="false">COUNTIFS($A$4:$A$1008,$A387,$O$4:$O$1008,"&gt;"&amp;O387)+1</f>
        <v>1</v>
      </c>
    </row>
    <row r="388" customFormat="false" ht="15" hidden="false" customHeight="false" outlineLevel="0" collapsed="false">
      <c r="A388" s="7" t="n">
        <v>2009</v>
      </c>
      <c r="B388" s="15" t="s">
        <v>155</v>
      </c>
      <c r="C388" s="15" t="s">
        <v>135</v>
      </c>
      <c r="D388" s="15" t="s">
        <v>148</v>
      </c>
      <c r="E388" s="9" t="n">
        <f aca="false">SUMIFS(Data!$L$2:$L$1006,Data!$A$2:$A$1006,$A388,Data!$B$2:$B$1006,$B388)</f>
        <v>1115500</v>
      </c>
      <c r="F388" s="10" t="n">
        <f aca="false">SUMIFS(Data!$E$2:$E$1006,Data!$A$2:$A$1006,$A388,Data!$B$2:$B$1006,$B388)</f>
        <v>81.73798</v>
      </c>
      <c r="G388" s="10" t="n">
        <f aca="false">SUMIFS(Data!$F$2:$F$1006,Data!$A$2:$A$1006,$A388,Data!$B$2:$B$1006,$B388)</f>
        <v>101.918098</v>
      </c>
      <c r="H388" s="10" t="n">
        <f aca="false">SUMIFS(Data!$G$2:$G$1006,Data!$A$2:$A$1006,$A388,Data!$B$2:$B$1006,$B388)</f>
        <v>97.488403</v>
      </c>
      <c r="I388" s="10" t="n">
        <f aca="false">SUMIFS(Data!$N$2:$N$1006,Data!$A$2:$A$1006,$A388,Data!$B$2:$B$1006,$B388)</f>
        <v>281.144481</v>
      </c>
      <c r="J388" s="10" t="n">
        <f aca="false">SUMIFS(Data!$H$2:$H$1006,Data!$A$2:$A$1006,$A388,Data!$B$2:$B$1006,$B388)</f>
        <v>146.773266</v>
      </c>
      <c r="K388" s="11" t="n">
        <f aca="false">IFERROR(F388*1000000/$E388,"")</f>
        <v>73.2747467503362</v>
      </c>
      <c r="L388" s="11" t="n">
        <f aca="false">IFERROR(G388*1000000/$E388,"")</f>
        <v>91.3653948901838</v>
      </c>
      <c r="M388" s="11" t="n">
        <f aca="false">IFERROR(H388*1000000/$E388,"")</f>
        <v>87.3943549977589</v>
      </c>
      <c r="N388" s="11" t="n">
        <f aca="false">IFERROR(I388*1000000/$E388,"")</f>
        <v>252.034496638279</v>
      </c>
      <c r="O388" s="11" t="n">
        <f aca="false">IFERROR(J388*1000000/$E388,"")</f>
        <v>131.576213357239</v>
      </c>
      <c r="P388" s="16" t="n">
        <f aca="false">COUNTIFS($A$4:$A$1008,$A388,$N$4:$N$1008,"&gt;"&amp;N388)+1</f>
        <v>17</v>
      </c>
      <c r="Q388" s="16" t="n">
        <f aca="false">COUNTIFS($A$4:$A$1008,$A388,$O$4:$O$1008,"&gt;"&amp;O388)+1</f>
        <v>25</v>
      </c>
    </row>
    <row r="389" customFormat="false" ht="15" hidden="false" customHeight="false" outlineLevel="0" collapsed="false">
      <c r="A389" s="7" t="n">
        <v>2009</v>
      </c>
      <c r="B389" s="15" t="s">
        <v>156</v>
      </c>
      <c r="C389" s="15" t="s">
        <v>135</v>
      </c>
      <c r="D389" s="15" t="s">
        <v>148</v>
      </c>
      <c r="E389" s="9" t="n">
        <f aca="false">SUMIFS(Data!$L$2:$L$1006,Data!$A$2:$A$1006,$A389,Data!$B$2:$B$1006,$B389)</f>
        <v>455794</v>
      </c>
      <c r="F389" s="10" t="n">
        <f aca="false">SUMIFS(Data!$E$2:$E$1006,Data!$A$2:$A$1006,$A389,Data!$B$2:$B$1006,$B389)</f>
        <v>19.413395</v>
      </c>
      <c r="G389" s="10" t="n">
        <f aca="false">SUMIFS(Data!$F$2:$F$1006,Data!$A$2:$A$1006,$A389,Data!$B$2:$B$1006,$B389)</f>
        <v>45.387728</v>
      </c>
      <c r="H389" s="10" t="n">
        <f aca="false">SUMIFS(Data!$G$2:$G$1006,Data!$A$2:$A$1006,$A389,Data!$B$2:$B$1006,$B389)</f>
        <v>43.887393</v>
      </c>
      <c r="I389" s="10" t="n">
        <f aca="false">SUMIFS(Data!$N$2:$N$1006,Data!$A$2:$A$1006,$A389,Data!$B$2:$B$1006,$B389)</f>
        <v>108.688516</v>
      </c>
      <c r="J389" s="10" t="n">
        <f aca="false">SUMIFS(Data!$H$2:$H$1006,Data!$A$2:$A$1006,$A389,Data!$B$2:$B$1006,$B389)</f>
        <v>153.047337</v>
      </c>
      <c r="K389" s="11" t="n">
        <f aca="false">IFERROR(F389*1000000/$E389,"")</f>
        <v>42.592475986959</v>
      </c>
      <c r="L389" s="11" t="n">
        <f aca="false">IFERROR(G389*1000000/$E389,"")</f>
        <v>99.5794766934185</v>
      </c>
      <c r="M389" s="11" t="n">
        <f aca="false">IFERROR(H389*1000000/$E389,"")</f>
        <v>96.287781322264</v>
      </c>
      <c r="N389" s="11" t="n">
        <f aca="false">IFERROR(I389*1000000/$E389,"")</f>
        <v>238.459734002642</v>
      </c>
      <c r="O389" s="11" t="n">
        <f aca="false">IFERROR(J389*1000000/$E389,"")</f>
        <v>335.781815908064</v>
      </c>
      <c r="P389" s="16" t="n">
        <f aca="false">COUNTIFS($A$4:$A$1008,$A389,$N$4:$N$1008,"&gt;"&amp;N389)+1</f>
        <v>22</v>
      </c>
      <c r="Q389" s="16" t="n">
        <f aca="false">COUNTIFS($A$4:$A$1008,$A389,$O$4:$O$1008,"&gt;"&amp;O389)+1</f>
        <v>2</v>
      </c>
    </row>
    <row r="390" customFormat="false" ht="15" hidden="false" customHeight="false" outlineLevel="0" collapsed="false">
      <c r="A390" s="7" t="n">
        <v>2009</v>
      </c>
      <c r="B390" s="15" t="s">
        <v>157</v>
      </c>
      <c r="C390" s="15" t="s">
        <v>135</v>
      </c>
      <c r="D390" s="15" t="s">
        <v>148</v>
      </c>
      <c r="E390" s="9" t="n">
        <f aca="false">SUMIFS(Data!$L$2:$L$1006,Data!$A$2:$A$1006,$A390,Data!$B$2:$B$1006,$B390)</f>
        <v>435630</v>
      </c>
      <c r="F390" s="10" t="n">
        <f aca="false">SUMIFS(Data!$E$2:$E$1006,Data!$A$2:$A$1006,$A390,Data!$B$2:$B$1006,$B390)</f>
        <v>42.743813</v>
      </c>
      <c r="G390" s="10" t="n">
        <f aca="false">SUMIFS(Data!$F$2:$F$1006,Data!$A$2:$A$1006,$A390,Data!$B$2:$B$1006,$B390)</f>
        <v>36.183424</v>
      </c>
      <c r="H390" s="10" t="n">
        <f aca="false">SUMIFS(Data!$G$2:$G$1006,Data!$A$2:$A$1006,$A390,Data!$B$2:$B$1006,$B390)</f>
        <v>28.644604</v>
      </c>
      <c r="I390" s="10" t="n">
        <f aca="false">SUMIFS(Data!$N$2:$N$1006,Data!$A$2:$A$1006,$A390,Data!$B$2:$B$1006,$B390)</f>
        <v>107.571841</v>
      </c>
      <c r="J390" s="10" t="n">
        <f aca="false">SUMIFS(Data!$H$2:$H$1006,Data!$A$2:$A$1006,$A390,Data!$B$2:$B$1006,$B390)</f>
        <v>25.940954</v>
      </c>
      <c r="K390" s="11" t="n">
        <f aca="false">IFERROR(F390*1000000/$E390,"")</f>
        <v>98.1195349264284</v>
      </c>
      <c r="L390" s="11" t="n">
        <f aca="false">IFERROR(G390*1000000/$E390,"")</f>
        <v>83.0599912770011</v>
      </c>
      <c r="M390" s="11" t="n">
        <f aca="false">IFERROR(H390*1000000/$E390,"")</f>
        <v>65.7544338085072</v>
      </c>
      <c r="N390" s="11" t="n">
        <f aca="false">IFERROR(I390*1000000/$E390,"")</f>
        <v>246.933960011937</v>
      </c>
      <c r="O390" s="11" t="n">
        <f aca="false">IFERROR(J390*1000000/$E390,"")</f>
        <v>59.5481348851089</v>
      </c>
      <c r="P390" s="16" t="n">
        <f aca="false">COUNTIFS($A$4:$A$1008,$A390,$N$4:$N$1008,"&gt;"&amp;N390)+1</f>
        <v>18</v>
      </c>
      <c r="Q390" s="16" t="n">
        <f aca="false">COUNTIFS($A$4:$A$1008,$A390,$O$4:$O$1008,"&gt;"&amp;O390)+1</f>
        <v>39</v>
      </c>
    </row>
    <row r="391" customFormat="false" ht="15" hidden="false" customHeight="false" outlineLevel="0" collapsed="false">
      <c r="A391" s="7" t="n">
        <v>2010</v>
      </c>
      <c r="B391" s="15" t="s">
        <v>101</v>
      </c>
      <c r="C391" s="15" t="s">
        <v>102</v>
      </c>
      <c r="D391" s="15" t="s">
        <v>103</v>
      </c>
      <c r="E391" s="9" t="n">
        <f aca="false">SUMIFS(Data!$L$2:$L$1006,Data!$A$2:$A$1006,$A391,Data!$B$2:$B$1006,$B391)</f>
        <v>752207</v>
      </c>
      <c r="F391" s="10" t="n">
        <f aca="false">SUMIFS(Data!$E$2:$E$1006,Data!$A$2:$A$1006,$A391,Data!$B$2:$B$1006,$B391)</f>
        <v>42.838939</v>
      </c>
      <c r="G391" s="10" t="n">
        <f aca="false">SUMIFS(Data!$F$2:$F$1006,Data!$A$2:$A$1006,$A391,Data!$B$2:$B$1006,$B391)</f>
        <v>29.946873</v>
      </c>
      <c r="H391" s="10" t="n">
        <f aca="false">SUMIFS(Data!$G$2:$G$1006,Data!$A$2:$A$1006,$A391,Data!$B$2:$B$1006,$B391)</f>
        <v>55.919917</v>
      </c>
      <c r="I391" s="10" t="n">
        <f aca="false">SUMIFS(Data!$N$2:$N$1006,Data!$A$2:$A$1006,$A391,Data!$B$2:$B$1006,$B391)</f>
        <v>128.705729</v>
      </c>
      <c r="J391" s="10" t="n">
        <f aca="false">SUMIFS(Data!$H$2:$H$1006,Data!$A$2:$A$1006,$A391,Data!$B$2:$B$1006,$B391)</f>
        <v>91.107647</v>
      </c>
      <c r="K391" s="11" t="n">
        <f aca="false">IFERROR(F391*1000000/$E391,"")</f>
        <v>56.9509975312647</v>
      </c>
      <c r="L391" s="11" t="n">
        <f aca="false">IFERROR(G391*1000000/$E391,"")</f>
        <v>39.8120105236989</v>
      </c>
      <c r="M391" s="11" t="n">
        <f aca="false">IFERROR(H391*1000000/$E391,"")</f>
        <v>74.3411281734948</v>
      </c>
      <c r="N391" s="11" t="n">
        <f aca="false">IFERROR(I391*1000000/$E391,"")</f>
        <v>171.104136228458</v>
      </c>
      <c r="O391" s="11" t="n">
        <f aca="false">IFERROR(J391*1000000/$E391,"")</f>
        <v>121.120445568839</v>
      </c>
      <c r="P391" s="16" t="n">
        <f aca="false">COUNTIFS($A$4:$A$1008,$A391,$N$4:$N$1008,"&gt;"&amp;N391)+1</f>
        <v>38</v>
      </c>
      <c r="Q391" s="16" t="n">
        <f aca="false">COUNTIFS($A$4:$A$1008,$A391,$O$4:$O$1008,"&gt;"&amp;O391)+1</f>
        <v>26</v>
      </c>
    </row>
    <row r="392" customFormat="false" ht="15" hidden="false" customHeight="false" outlineLevel="0" collapsed="false">
      <c r="A392" s="7" t="n">
        <v>2010</v>
      </c>
      <c r="B392" s="15" t="s">
        <v>104</v>
      </c>
      <c r="C392" s="15" t="s">
        <v>102</v>
      </c>
      <c r="D392" s="15" t="s">
        <v>105</v>
      </c>
      <c r="E392" s="9" t="n">
        <f aca="false">SUMIFS(Data!$L$2:$L$1006,Data!$A$2:$A$1006,$A392,Data!$B$2:$B$1006,$B392)</f>
        <v>1097078</v>
      </c>
      <c r="F392" s="10" t="n">
        <f aca="false">SUMIFS(Data!$E$2:$E$1006,Data!$A$2:$A$1006,$A392,Data!$B$2:$B$1006,$B392)</f>
        <v>89.786661</v>
      </c>
      <c r="G392" s="10" t="n">
        <f aca="false">SUMIFS(Data!$F$2:$F$1006,Data!$A$2:$A$1006,$A392,Data!$B$2:$B$1006,$B392)</f>
        <v>140.000942</v>
      </c>
      <c r="H392" s="10" t="n">
        <f aca="false">SUMIFS(Data!$G$2:$G$1006,Data!$A$2:$A$1006,$A392,Data!$B$2:$B$1006,$B392)</f>
        <v>70.168072</v>
      </c>
      <c r="I392" s="10" t="n">
        <f aca="false">SUMIFS(Data!$N$2:$N$1006,Data!$A$2:$A$1006,$A392,Data!$B$2:$B$1006,$B392)</f>
        <v>299.955675</v>
      </c>
      <c r="J392" s="10" t="n">
        <f aca="false">SUMIFS(Data!$H$2:$H$1006,Data!$A$2:$A$1006,$A392,Data!$B$2:$B$1006,$B392)</f>
        <v>144.670355</v>
      </c>
      <c r="K392" s="11" t="n">
        <f aca="false">IFERROR(F392*1000000/$E392,"")</f>
        <v>81.8416384249798</v>
      </c>
      <c r="L392" s="11" t="n">
        <f aca="false">IFERROR(G392*1000000/$E392,"")</f>
        <v>127.612569024263</v>
      </c>
      <c r="M392" s="11" t="n">
        <f aca="false">IFERROR(H392*1000000/$E392,"")</f>
        <v>63.9590548712124</v>
      </c>
      <c r="N392" s="11" t="n">
        <f aca="false">IFERROR(I392*1000000/$E392,"")</f>
        <v>273.413262320455</v>
      </c>
      <c r="O392" s="11" t="n">
        <f aca="false">IFERROR(J392*1000000/$E392,"")</f>
        <v>131.868796019973</v>
      </c>
      <c r="P392" s="16" t="n">
        <f aca="false">COUNTIFS($A$4:$A$1008,$A392,$N$4:$N$1008,"&gt;"&amp;N392)+1</f>
        <v>15</v>
      </c>
      <c r="Q392" s="16" t="n">
        <f aca="false">COUNTIFS($A$4:$A$1008,$A392,$O$4:$O$1008,"&gt;"&amp;O392)+1</f>
        <v>21</v>
      </c>
    </row>
    <row r="393" customFormat="false" ht="15" hidden="false" customHeight="false" outlineLevel="0" collapsed="false">
      <c r="A393" s="7" t="n">
        <v>2010</v>
      </c>
      <c r="B393" s="15" t="s">
        <v>106</v>
      </c>
      <c r="C393" s="15" t="s">
        <v>102</v>
      </c>
      <c r="D393" s="15" t="s">
        <v>107</v>
      </c>
      <c r="E393" s="9" t="n">
        <f aca="false">SUMIFS(Data!$L$2:$L$1006,Data!$A$2:$A$1006,$A393,Data!$B$2:$B$1006,$B393)</f>
        <v>551776</v>
      </c>
      <c r="F393" s="10" t="n">
        <f aca="false">SUMIFS(Data!$E$2:$E$1006,Data!$A$2:$A$1006,$A393,Data!$B$2:$B$1006,$B393)</f>
        <v>37.612011</v>
      </c>
      <c r="G393" s="10" t="n">
        <f aca="false">SUMIFS(Data!$F$2:$F$1006,Data!$A$2:$A$1006,$A393,Data!$B$2:$B$1006,$B393)</f>
        <v>57.619894</v>
      </c>
      <c r="H393" s="10" t="n">
        <f aca="false">SUMIFS(Data!$G$2:$G$1006,Data!$A$2:$A$1006,$A393,Data!$B$2:$B$1006,$B393)</f>
        <v>33.718037</v>
      </c>
      <c r="I393" s="10" t="n">
        <f aca="false">SUMIFS(Data!$N$2:$N$1006,Data!$A$2:$A$1006,$A393,Data!$B$2:$B$1006,$B393)</f>
        <v>128.949942</v>
      </c>
      <c r="J393" s="10" t="n">
        <f aca="false">SUMIFS(Data!$H$2:$H$1006,Data!$A$2:$A$1006,$A393,Data!$B$2:$B$1006,$B393)</f>
        <v>79.37353</v>
      </c>
      <c r="K393" s="11" t="n">
        <f aca="false">IFERROR(F393*1000000/$E393,"")</f>
        <v>68.165362393435</v>
      </c>
      <c r="L393" s="11" t="n">
        <f aca="false">IFERROR(G393*1000000/$E393,"")</f>
        <v>104.42624180827</v>
      </c>
      <c r="M393" s="11" t="n">
        <f aca="false">IFERROR(H393*1000000/$E393,"")</f>
        <v>61.1081978918982</v>
      </c>
      <c r="N393" s="11" t="n">
        <f aca="false">IFERROR(I393*1000000/$E393,"")</f>
        <v>233.699802093603</v>
      </c>
      <c r="O393" s="11" t="n">
        <f aca="false">IFERROR(J393*1000000/$E393,"")</f>
        <v>143.851001130894</v>
      </c>
      <c r="P393" s="16" t="n">
        <f aca="false">COUNTIFS($A$4:$A$1008,$A393,$N$4:$N$1008,"&gt;"&amp;N393)+1</f>
        <v>30</v>
      </c>
      <c r="Q393" s="16" t="n">
        <f aca="false">COUNTIFS($A$4:$A$1008,$A393,$O$4:$O$1008,"&gt;"&amp;O393)+1</f>
        <v>13</v>
      </c>
    </row>
    <row r="394" customFormat="false" ht="15" hidden="false" customHeight="false" outlineLevel="0" collapsed="false">
      <c r="A394" s="7" t="n">
        <v>2010</v>
      </c>
      <c r="B394" s="15" t="s">
        <v>108</v>
      </c>
      <c r="C394" s="15" t="s">
        <v>102</v>
      </c>
      <c r="D394" s="15" t="s">
        <v>109</v>
      </c>
      <c r="E394" s="9" t="n">
        <f aca="false">SUMIFS(Data!$L$2:$L$1006,Data!$A$2:$A$1006,$A394,Data!$B$2:$B$1006,$B394)</f>
        <v>385504</v>
      </c>
      <c r="F394" s="10" t="n">
        <f aca="false">SUMIFS(Data!$E$2:$E$1006,Data!$A$2:$A$1006,$A394,Data!$B$2:$B$1006,$B394)</f>
        <v>33.482406</v>
      </c>
      <c r="G394" s="10" t="n">
        <f aca="false">SUMIFS(Data!$F$2:$F$1006,Data!$A$2:$A$1006,$A394,Data!$B$2:$B$1006,$B394)</f>
        <v>15.048501</v>
      </c>
      <c r="H394" s="10" t="n">
        <f aca="false">SUMIFS(Data!$G$2:$G$1006,Data!$A$2:$A$1006,$A394,Data!$B$2:$B$1006,$B394)</f>
        <v>29.029225</v>
      </c>
      <c r="I394" s="10" t="n">
        <f aca="false">SUMIFS(Data!$N$2:$N$1006,Data!$A$2:$A$1006,$A394,Data!$B$2:$B$1006,$B394)</f>
        <v>77.560132</v>
      </c>
      <c r="J394" s="10" t="n">
        <f aca="false">SUMIFS(Data!$H$2:$H$1006,Data!$A$2:$A$1006,$A394,Data!$B$2:$B$1006,$B394)</f>
        <v>55.421482</v>
      </c>
      <c r="K394" s="11" t="n">
        <f aca="false">IFERROR(F394*1000000/$E394,"")</f>
        <v>86.8535890678177</v>
      </c>
      <c r="L394" s="11" t="n">
        <f aca="false">IFERROR(G394*1000000/$E394,"")</f>
        <v>39.0359140242384</v>
      </c>
      <c r="M394" s="11" t="n">
        <f aca="false">IFERROR(H394*1000000/$E394,"")</f>
        <v>75.302007242467</v>
      </c>
      <c r="N394" s="11" t="n">
        <f aca="false">IFERROR(I394*1000000/$E394,"")</f>
        <v>201.191510334523</v>
      </c>
      <c r="O394" s="11" t="n">
        <f aca="false">IFERROR(J394*1000000/$E394,"")</f>
        <v>143.763701543953</v>
      </c>
      <c r="P394" s="16" t="n">
        <f aca="false">COUNTIFS($A$4:$A$1008,$A394,$N$4:$N$1008,"&gt;"&amp;N394)+1</f>
        <v>34</v>
      </c>
      <c r="Q394" s="16" t="n">
        <f aca="false">COUNTIFS($A$4:$A$1008,$A394,$O$4:$O$1008,"&gt;"&amp;O394)+1</f>
        <v>14</v>
      </c>
    </row>
    <row r="395" customFormat="false" ht="15" hidden="false" customHeight="false" outlineLevel="0" collapsed="false">
      <c r="A395" s="7" t="n">
        <v>2010</v>
      </c>
      <c r="B395" s="15" t="s">
        <v>110</v>
      </c>
      <c r="C395" s="15" t="s">
        <v>102</v>
      </c>
      <c r="D395" s="15" t="s">
        <v>103</v>
      </c>
      <c r="E395" s="9" t="n">
        <f aca="false">SUMIFS(Data!$L$2:$L$1006,Data!$A$2:$A$1006,$A395,Data!$B$2:$B$1006,$B395)</f>
        <v>1036981</v>
      </c>
      <c r="F395" s="10" t="n">
        <f aca="false">SUMIFS(Data!$E$2:$E$1006,Data!$A$2:$A$1006,$A395,Data!$B$2:$B$1006,$B395)</f>
        <v>48.693719</v>
      </c>
      <c r="G395" s="10" t="n">
        <f aca="false">SUMIFS(Data!$F$2:$F$1006,Data!$A$2:$A$1006,$A395,Data!$B$2:$B$1006,$B395)</f>
        <v>30.493184</v>
      </c>
      <c r="H395" s="10" t="n">
        <f aca="false">SUMIFS(Data!$G$2:$G$1006,Data!$A$2:$A$1006,$A395,Data!$B$2:$B$1006,$B395)</f>
        <v>57.091095</v>
      </c>
      <c r="I395" s="10" t="n">
        <f aca="false">SUMIFS(Data!$N$2:$N$1006,Data!$A$2:$A$1006,$A395,Data!$B$2:$B$1006,$B395)</f>
        <v>136.277998</v>
      </c>
      <c r="J395" s="10" t="n">
        <f aca="false">SUMIFS(Data!$H$2:$H$1006,Data!$A$2:$A$1006,$A395,Data!$B$2:$B$1006,$B395)</f>
        <v>104.397349</v>
      </c>
      <c r="K395" s="11" t="n">
        <f aca="false">IFERROR(F395*1000000/$E395,"")</f>
        <v>46.9571949727141</v>
      </c>
      <c r="L395" s="11" t="n">
        <f aca="false">IFERROR(G395*1000000/$E395,"")</f>
        <v>29.4057306739468</v>
      </c>
      <c r="M395" s="11" t="n">
        <f aca="false">IFERROR(H395*1000000/$E395,"")</f>
        <v>55.0551022632044</v>
      </c>
      <c r="N395" s="11" t="n">
        <f aca="false">IFERROR(I395*1000000/$E395,"")</f>
        <v>131.418027909865</v>
      </c>
      <c r="O395" s="11" t="n">
        <f aca="false">IFERROR(J395*1000000/$E395,"")</f>
        <v>100.674312258373</v>
      </c>
      <c r="P395" s="16" t="n">
        <f aca="false">COUNTIFS($A$4:$A$1008,$A395,$N$4:$N$1008,"&gt;"&amp;N395)+1</f>
        <v>39</v>
      </c>
      <c r="Q395" s="16" t="n">
        <f aca="false">COUNTIFS($A$4:$A$1008,$A395,$O$4:$O$1008,"&gt;"&amp;O395)+1</f>
        <v>35</v>
      </c>
    </row>
    <row r="396" customFormat="false" ht="15" hidden="false" customHeight="false" outlineLevel="0" collapsed="false">
      <c r="A396" s="7" t="n">
        <v>2010</v>
      </c>
      <c r="B396" s="15" t="s">
        <v>111</v>
      </c>
      <c r="C396" s="15" t="s">
        <v>102</v>
      </c>
      <c r="D396" s="15" t="s">
        <v>107</v>
      </c>
      <c r="E396" s="9" t="n">
        <f aca="false">SUMIFS(Data!$L$2:$L$1006,Data!$A$2:$A$1006,$A396,Data!$B$2:$B$1006,$B396)</f>
        <v>589852</v>
      </c>
      <c r="F396" s="10" t="n">
        <f aca="false">SUMIFS(Data!$E$2:$E$1006,Data!$A$2:$A$1006,$A396,Data!$B$2:$B$1006,$B396)</f>
        <v>32.959775</v>
      </c>
      <c r="G396" s="10" t="n">
        <f aca="false">SUMIFS(Data!$F$2:$F$1006,Data!$A$2:$A$1006,$A396,Data!$B$2:$B$1006,$B396)</f>
        <v>57.830661</v>
      </c>
      <c r="H396" s="10" t="n">
        <f aca="false">SUMIFS(Data!$G$2:$G$1006,Data!$A$2:$A$1006,$A396,Data!$B$2:$B$1006,$B396)</f>
        <v>42.467892</v>
      </c>
      <c r="I396" s="10" t="n">
        <f aca="false">SUMIFS(Data!$N$2:$N$1006,Data!$A$2:$A$1006,$A396,Data!$B$2:$B$1006,$B396)</f>
        <v>133.258328</v>
      </c>
      <c r="J396" s="10" t="n">
        <f aca="false">SUMIFS(Data!$H$2:$H$1006,Data!$A$2:$A$1006,$A396,Data!$B$2:$B$1006,$B396)</f>
        <v>98.107228</v>
      </c>
      <c r="K396" s="11" t="n">
        <f aca="false">IFERROR(F396*1000000/$E396,"")</f>
        <v>55.8780422885741</v>
      </c>
      <c r="L396" s="11" t="n">
        <f aca="false">IFERROR(G396*1000000/$E396,"")</f>
        <v>98.0426632443393</v>
      </c>
      <c r="M396" s="11" t="n">
        <f aca="false">IFERROR(H396*1000000/$E396,"")</f>
        <v>71.9975383655561</v>
      </c>
      <c r="N396" s="11" t="n">
        <f aca="false">IFERROR(I396*1000000/$E396,"")</f>
        <v>225.918243898469</v>
      </c>
      <c r="O396" s="11" t="n">
        <f aca="false">IFERROR(J396*1000000/$E396,"")</f>
        <v>166.325159531544</v>
      </c>
      <c r="P396" s="16" t="n">
        <f aca="false">COUNTIFS($A$4:$A$1008,$A396,$N$4:$N$1008,"&gt;"&amp;N396)+1</f>
        <v>32</v>
      </c>
      <c r="Q396" s="16" t="n">
        <f aca="false">COUNTIFS($A$4:$A$1008,$A396,$O$4:$O$1008,"&gt;"&amp;O396)+1</f>
        <v>11</v>
      </c>
    </row>
    <row r="397" customFormat="false" ht="15" hidden="false" customHeight="false" outlineLevel="0" collapsed="false">
      <c r="A397" s="7" t="n">
        <v>2010</v>
      </c>
      <c r="B397" s="15" t="s">
        <v>112</v>
      </c>
      <c r="C397" s="15" t="s">
        <v>102</v>
      </c>
      <c r="D397" s="15" t="s">
        <v>107</v>
      </c>
      <c r="E397" s="9" t="n">
        <f aca="false">SUMIFS(Data!$L$2:$L$1006,Data!$A$2:$A$1006,$A397,Data!$B$2:$B$1006,$B397)</f>
        <v>159886</v>
      </c>
      <c r="F397" s="10" t="n">
        <f aca="false">SUMIFS(Data!$E$2:$E$1006,Data!$A$2:$A$1006,$A397,Data!$B$2:$B$1006,$B397)</f>
        <v>8.076725</v>
      </c>
      <c r="G397" s="10" t="n">
        <f aca="false">SUMIFS(Data!$F$2:$F$1006,Data!$A$2:$A$1006,$A397,Data!$B$2:$B$1006,$B397)</f>
        <v>19.705197</v>
      </c>
      <c r="H397" s="10" t="n">
        <f aca="false">SUMIFS(Data!$G$2:$G$1006,Data!$A$2:$A$1006,$A397,Data!$B$2:$B$1006,$B397)</f>
        <v>8.310658</v>
      </c>
      <c r="I397" s="10" t="n">
        <f aca="false">SUMIFS(Data!$N$2:$N$1006,Data!$A$2:$A$1006,$A397,Data!$B$2:$B$1006,$B397)</f>
        <v>36.09258</v>
      </c>
      <c r="J397" s="10" t="n">
        <f aca="false">SUMIFS(Data!$H$2:$H$1006,Data!$A$2:$A$1006,$A397,Data!$B$2:$B$1006,$B397)</f>
        <v>22.297959</v>
      </c>
      <c r="K397" s="11" t="n">
        <f aca="false">IFERROR(F397*1000000/$E397,"")</f>
        <v>50.5155235605369</v>
      </c>
      <c r="L397" s="11" t="n">
        <f aca="false">IFERROR(G397*1000000/$E397,"")</f>
        <v>123.245293521634</v>
      </c>
      <c r="M397" s="11" t="n">
        <f aca="false">IFERROR(H397*1000000/$E397,"")</f>
        <v>51.9786472861914</v>
      </c>
      <c r="N397" s="11" t="n">
        <f aca="false">IFERROR(I397*1000000/$E397,"")</f>
        <v>225.739464368362</v>
      </c>
      <c r="O397" s="11" t="n">
        <f aca="false">IFERROR(J397*1000000/$E397,"")</f>
        <v>139.46161014723</v>
      </c>
      <c r="P397" s="16" t="n">
        <f aca="false">COUNTIFS($A$4:$A$1008,$A397,$N$4:$N$1008,"&gt;"&amp;N397)+1</f>
        <v>33</v>
      </c>
      <c r="Q397" s="16" t="n">
        <f aca="false">COUNTIFS($A$4:$A$1008,$A397,$O$4:$O$1008,"&gt;"&amp;O397)+1</f>
        <v>17</v>
      </c>
    </row>
    <row r="398" customFormat="false" ht="15" hidden="false" customHeight="false" outlineLevel="0" collapsed="false">
      <c r="A398" s="7" t="n">
        <v>2010</v>
      </c>
      <c r="B398" s="15" t="s">
        <v>113</v>
      </c>
      <c r="C398" s="15" t="s">
        <v>102</v>
      </c>
      <c r="D398" s="15" t="s">
        <v>114</v>
      </c>
      <c r="E398" s="9" t="n">
        <f aca="false">SUMIFS(Data!$L$2:$L$1006,Data!$A$2:$A$1006,$A398,Data!$B$2:$B$1006,$B398)</f>
        <v>481919</v>
      </c>
      <c r="F398" s="10" t="n">
        <f aca="false">SUMIFS(Data!$E$2:$E$1006,Data!$A$2:$A$1006,$A398,Data!$B$2:$B$1006,$B398)</f>
        <v>30.571502</v>
      </c>
      <c r="G398" s="10" t="n">
        <f aca="false">SUMIFS(Data!$F$2:$F$1006,Data!$A$2:$A$1006,$A398,Data!$B$2:$B$1006,$B398)</f>
        <v>20.404822</v>
      </c>
      <c r="H398" s="10" t="n">
        <f aca="false">SUMIFS(Data!$G$2:$G$1006,Data!$A$2:$A$1006,$A398,Data!$B$2:$B$1006,$B398)</f>
        <v>37.406217</v>
      </c>
      <c r="I398" s="10" t="n">
        <f aca="false">SUMIFS(Data!$N$2:$N$1006,Data!$A$2:$A$1006,$A398,Data!$B$2:$B$1006,$B398)</f>
        <v>88.382541</v>
      </c>
      <c r="J398" s="10" t="n">
        <f aca="false">SUMIFS(Data!$H$2:$H$1006,Data!$A$2:$A$1006,$A398,Data!$B$2:$B$1006,$B398)</f>
        <v>65.520189</v>
      </c>
      <c r="K398" s="11" t="n">
        <f aca="false">IFERROR(F398*1000000/$E398,"")</f>
        <v>63.4370132740149</v>
      </c>
      <c r="L398" s="11" t="n">
        <f aca="false">IFERROR(G398*1000000/$E398,"")</f>
        <v>42.3407709594351</v>
      </c>
      <c r="M398" s="11" t="n">
        <f aca="false">IFERROR(H398*1000000/$E398,"")</f>
        <v>77.6193032439061</v>
      </c>
      <c r="N398" s="11" t="n">
        <f aca="false">IFERROR(I398*1000000/$E398,"")</f>
        <v>183.397087477356</v>
      </c>
      <c r="O398" s="11" t="n">
        <f aca="false">IFERROR(J398*1000000/$E398,"")</f>
        <v>135.956849595056</v>
      </c>
      <c r="P398" s="16" t="n">
        <f aca="false">COUNTIFS($A$4:$A$1008,$A398,$N$4:$N$1008,"&gt;"&amp;N398)+1</f>
        <v>36</v>
      </c>
      <c r="Q398" s="16" t="n">
        <f aca="false">COUNTIFS($A$4:$A$1008,$A398,$O$4:$O$1008,"&gt;"&amp;O398)+1</f>
        <v>19</v>
      </c>
    </row>
    <row r="399" customFormat="false" ht="15" hidden="false" customHeight="false" outlineLevel="0" collapsed="false">
      <c r="A399" s="7" t="n">
        <v>2010</v>
      </c>
      <c r="B399" s="15" t="s">
        <v>115</v>
      </c>
      <c r="C399" s="15" t="s">
        <v>102</v>
      </c>
      <c r="D399" s="15" t="s">
        <v>103</v>
      </c>
      <c r="E399" s="9" t="n">
        <f aca="false">SUMIFS(Data!$L$2:$L$1006,Data!$A$2:$A$1006,$A399,Data!$B$2:$B$1006,$B399)</f>
        <v>309900</v>
      </c>
      <c r="F399" s="10" t="n">
        <f aca="false">SUMIFS(Data!$E$2:$E$1006,Data!$A$2:$A$1006,$A399,Data!$B$2:$B$1006,$B399)</f>
        <v>17.254541</v>
      </c>
      <c r="G399" s="10" t="n">
        <f aca="false">SUMIFS(Data!$F$2:$F$1006,Data!$A$2:$A$1006,$A399,Data!$B$2:$B$1006,$B399)</f>
        <v>11.438692</v>
      </c>
      <c r="H399" s="10" t="n">
        <f aca="false">SUMIFS(Data!$G$2:$G$1006,Data!$A$2:$A$1006,$A399,Data!$B$2:$B$1006,$B399)</f>
        <v>24.716423</v>
      </c>
      <c r="I399" s="10" t="n">
        <f aca="false">SUMIFS(Data!$N$2:$N$1006,Data!$A$2:$A$1006,$A399,Data!$B$2:$B$1006,$B399)</f>
        <v>53.409656</v>
      </c>
      <c r="J399" s="10" t="n">
        <f aca="false">SUMIFS(Data!$H$2:$H$1006,Data!$A$2:$A$1006,$A399,Data!$B$2:$B$1006,$B399)</f>
        <v>34.518966</v>
      </c>
      <c r="K399" s="11" t="n">
        <f aca="false">IFERROR(F399*1000000/$E399,"")</f>
        <v>55.6777702484673</v>
      </c>
      <c r="L399" s="11" t="n">
        <f aca="false">IFERROR(G399*1000000/$E399,"")</f>
        <v>36.9109131978057</v>
      </c>
      <c r="M399" s="11" t="n">
        <f aca="false">IFERROR(H399*1000000/$E399,"")</f>
        <v>79.7561245563085</v>
      </c>
      <c r="N399" s="11" t="n">
        <f aca="false">IFERROR(I399*1000000/$E399,"")</f>
        <v>172.344808002582</v>
      </c>
      <c r="O399" s="11" t="n">
        <f aca="false">IFERROR(J399*1000000/$E399,"")</f>
        <v>111.387434656341</v>
      </c>
      <c r="P399" s="16" t="n">
        <f aca="false">COUNTIFS($A$4:$A$1008,$A399,$N$4:$N$1008,"&gt;"&amp;N399)+1</f>
        <v>37</v>
      </c>
      <c r="Q399" s="16" t="n">
        <f aca="false">COUNTIFS($A$4:$A$1008,$A399,$O$4:$O$1008,"&gt;"&amp;O399)+1</f>
        <v>30</v>
      </c>
    </row>
    <row r="400" customFormat="false" ht="15" hidden="false" customHeight="false" outlineLevel="0" collapsed="false">
      <c r="A400" s="7" t="n">
        <v>2010</v>
      </c>
      <c r="B400" s="15" t="s">
        <v>116</v>
      </c>
      <c r="C400" s="15" t="s">
        <v>102</v>
      </c>
      <c r="D400" s="15" t="s">
        <v>107</v>
      </c>
      <c r="E400" s="9" t="n">
        <f aca="false">SUMIFS(Data!$L$2:$L$1006,Data!$A$2:$A$1006,$A400,Data!$B$2:$B$1006,$B400)</f>
        <v>716108</v>
      </c>
      <c r="F400" s="10" t="n">
        <f aca="false">SUMIFS(Data!$E$2:$E$1006,Data!$A$2:$A$1006,$A400,Data!$B$2:$B$1006,$B400)</f>
        <v>56.826596</v>
      </c>
      <c r="G400" s="10" t="n">
        <f aca="false">SUMIFS(Data!$F$2:$F$1006,Data!$A$2:$A$1006,$A400,Data!$B$2:$B$1006,$B400)</f>
        <v>38.346427</v>
      </c>
      <c r="H400" s="10" t="n">
        <f aca="false">SUMIFS(Data!$G$2:$G$1006,Data!$A$2:$A$1006,$A400,Data!$B$2:$B$1006,$B400)</f>
        <v>38.222757</v>
      </c>
      <c r="I400" s="10" t="n">
        <f aca="false">SUMIFS(Data!$N$2:$N$1006,Data!$A$2:$A$1006,$A400,Data!$B$2:$B$1006,$B400)</f>
        <v>133.39578</v>
      </c>
      <c r="J400" s="10" t="n">
        <f aca="false">SUMIFS(Data!$H$2:$H$1006,Data!$A$2:$A$1006,$A400,Data!$B$2:$B$1006,$B400)</f>
        <v>57.234368</v>
      </c>
      <c r="K400" s="11" t="n">
        <f aca="false">IFERROR(F400*1000000/$E400,"")</f>
        <v>79.3547844738503</v>
      </c>
      <c r="L400" s="11" t="n">
        <f aca="false">IFERROR(G400*1000000/$E400,"")</f>
        <v>53.5483851597804</v>
      </c>
      <c r="M400" s="11" t="n">
        <f aca="false">IFERROR(H400*1000000/$E400,"")</f>
        <v>53.3756877454239</v>
      </c>
      <c r="N400" s="11" t="n">
        <f aca="false">IFERROR(I400*1000000/$E400,"")</f>
        <v>186.278857379055</v>
      </c>
      <c r="O400" s="11" t="n">
        <f aca="false">IFERROR(J400*1000000/$E400,"")</f>
        <v>79.9242125489451</v>
      </c>
      <c r="P400" s="16" t="n">
        <f aca="false">COUNTIFS($A$4:$A$1008,$A400,$N$4:$N$1008,"&gt;"&amp;N400)+1</f>
        <v>35</v>
      </c>
      <c r="Q400" s="16" t="n">
        <f aca="false">COUNTIFS($A$4:$A$1008,$A400,$O$4:$O$1008,"&gt;"&amp;O400)+1</f>
        <v>38</v>
      </c>
    </row>
    <row r="401" customFormat="false" ht="15" hidden="false" customHeight="false" outlineLevel="0" collapsed="false">
      <c r="A401" s="7" t="n">
        <v>2010</v>
      </c>
      <c r="B401" s="15" t="s">
        <v>117</v>
      </c>
      <c r="C401" s="15" t="s">
        <v>118</v>
      </c>
      <c r="D401" s="15" t="s">
        <v>103</v>
      </c>
      <c r="E401" s="9" t="n">
        <f aca="false">SUMIFS(Data!$L$2:$L$1006,Data!$A$2:$A$1006,$A401,Data!$B$2:$B$1006,$B401)</f>
        <v>1458547</v>
      </c>
      <c r="F401" s="10" t="n">
        <f aca="false">SUMIFS(Data!$E$2:$E$1006,Data!$A$2:$A$1006,$A401,Data!$B$2:$B$1006,$B401)</f>
        <v>178.627286</v>
      </c>
      <c r="G401" s="10" t="n">
        <f aca="false">SUMIFS(Data!$F$2:$F$1006,Data!$A$2:$A$1006,$A401,Data!$B$2:$B$1006,$B401)</f>
        <v>179.15741</v>
      </c>
      <c r="H401" s="10" t="n">
        <f aca="false">SUMIFS(Data!$G$2:$G$1006,Data!$A$2:$A$1006,$A401,Data!$B$2:$B$1006,$B401)</f>
        <v>124.038506</v>
      </c>
      <c r="I401" s="10" t="n">
        <f aca="false">SUMIFS(Data!$N$2:$N$1006,Data!$A$2:$A$1006,$A401,Data!$B$2:$B$1006,$B401)</f>
        <v>481.823202</v>
      </c>
      <c r="J401" s="10" t="n">
        <f aca="false">SUMIFS(Data!$H$2:$H$1006,Data!$A$2:$A$1006,$A401,Data!$B$2:$B$1006,$B401)</f>
        <v>160.331328</v>
      </c>
      <c r="K401" s="11" t="n">
        <f aca="false">IFERROR(F401*1000000/$E401,"")</f>
        <v>122.469338320945</v>
      </c>
      <c r="L401" s="11" t="n">
        <f aca="false">IFERROR(G401*1000000/$E401,"")</f>
        <v>122.832798668812</v>
      </c>
      <c r="M401" s="11" t="n">
        <f aca="false">IFERROR(H401*1000000/$E401,"")</f>
        <v>85.0425155994288</v>
      </c>
      <c r="N401" s="11" t="n">
        <f aca="false">IFERROR(I401*1000000/$E401,"")</f>
        <v>330.344652589186</v>
      </c>
      <c r="O401" s="11" t="n">
        <f aca="false">IFERROR(J401*1000000/$E401,"")</f>
        <v>109.925376419135</v>
      </c>
      <c r="P401" s="16" t="n">
        <f aca="false">COUNTIFS($A$4:$A$1008,$A401,$N$4:$N$1008,"&gt;"&amp;N401)+1</f>
        <v>5</v>
      </c>
      <c r="Q401" s="16" t="n">
        <f aca="false">COUNTIFS($A$4:$A$1008,$A401,$O$4:$O$1008,"&gt;"&amp;O401)+1</f>
        <v>32</v>
      </c>
    </row>
    <row r="402" customFormat="false" ht="15" hidden="false" customHeight="false" outlineLevel="0" collapsed="false">
      <c r="A402" s="7" t="n">
        <v>2010</v>
      </c>
      <c r="B402" s="15" t="s">
        <v>119</v>
      </c>
      <c r="C402" s="15" t="s">
        <v>118</v>
      </c>
      <c r="D402" s="15" t="s">
        <v>103</v>
      </c>
      <c r="E402" s="9" t="n">
        <f aca="false">SUMIFS(Data!$L$2:$L$1006,Data!$A$2:$A$1006,$A402,Data!$B$2:$B$1006,$B402)</f>
        <v>514246</v>
      </c>
      <c r="F402" s="10" t="n">
        <f aca="false">SUMIFS(Data!$E$2:$E$1006,Data!$A$2:$A$1006,$A402,Data!$B$2:$B$1006,$B402)</f>
        <v>32.391892</v>
      </c>
      <c r="G402" s="10" t="n">
        <f aca="false">SUMIFS(Data!$F$2:$F$1006,Data!$A$2:$A$1006,$A402,Data!$B$2:$B$1006,$B402)</f>
        <v>54.024849</v>
      </c>
      <c r="H402" s="10" t="n">
        <f aca="false">SUMIFS(Data!$G$2:$G$1006,Data!$A$2:$A$1006,$A402,Data!$B$2:$B$1006,$B402)</f>
        <v>43.151268</v>
      </c>
      <c r="I402" s="10" t="n">
        <f aca="false">SUMIFS(Data!$N$2:$N$1006,Data!$A$2:$A$1006,$A402,Data!$B$2:$B$1006,$B402)</f>
        <v>129.568009</v>
      </c>
      <c r="J402" s="10" t="n">
        <f aca="false">SUMIFS(Data!$H$2:$H$1006,Data!$A$2:$A$1006,$A402,Data!$B$2:$B$1006,$B402)</f>
        <v>60.276702</v>
      </c>
      <c r="K402" s="11" t="n">
        <f aca="false">IFERROR(F402*1000000/$E402,"")</f>
        <v>62.9890986026143</v>
      </c>
      <c r="L402" s="11" t="n">
        <f aca="false">IFERROR(G402*1000000/$E402,"")</f>
        <v>105.056430190998</v>
      </c>
      <c r="M402" s="11" t="n">
        <f aca="false">IFERROR(H402*1000000/$E402,"")</f>
        <v>83.911723183068</v>
      </c>
      <c r="N402" s="11" t="n">
        <f aca="false">IFERROR(I402*1000000/$E402,"")</f>
        <v>251.95725197668</v>
      </c>
      <c r="O402" s="11" t="n">
        <f aca="false">IFERROR(J402*1000000/$E402,"")</f>
        <v>117.213749839571</v>
      </c>
      <c r="P402" s="16" t="n">
        <f aca="false">COUNTIFS($A$4:$A$1008,$A402,$N$4:$N$1008,"&gt;"&amp;N402)+1</f>
        <v>21</v>
      </c>
      <c r="Q402" s="16" t="n">
        <f aca="false">COUNTIFS($A$4:$A$1008,$A402,$O$4:$O$1008,"&gt;"&amp;O402)+1</f>
        <v>29</v>
      </c>
    </row>
    <row r="403" customFormat="false" ht="15" hidden="false" customHeight="false" outlineLevel="0" collapsed="false">
      <c r="A403" s="7" t="n">
        <v>2010</v>
      </c>
      <c r="B403" s="15" t="s">
        <v>120</v>
      </c>
      <c r="C403" s="15" t="s">
        <v>118</v>
      </c>
      <c r="D403" s="15" t="s">
        <v>121</v>
      </c>
      <c r="E403" s="9" t="n">
        <f aca="false">SUMIFS(Data!$L$2:$L$1006,Data!$A$2:$A$1006,$A403,Data!$B$2:$B$1006,$B403)</f>
        <v>961229</v>
      </c>
      <c r="F403" s="10" t="n">
        <f aca="false">SUMIFS(Data!$E$2:$E$1006,Data!$A$2:$A$1006,$A403,Data!$B$2:$B$1006,$B403)</f>
        <v>109.730607</v>
      </c>
      <c r="G403" s="10" t="n">
        <f aca="false">SUMIFS(Data!$F$2:$F$1006,Data!$A$2:$A$1006,$A403,Data!$B$2:$B$1006,$B403)</f>
        <v>43.508135</v>
      </c>
      <c r="H403" s="10" t="n">
        <f aca="false">SUMIFS(Data!$G$2:$G$1006,Data!$A$2:$A$1006,$A403,Data!$B$2:$B$1006,$B403)</f>
        <v>88.729108</v>
      </c>
      <c r="I403" s="10" t="n">
        <f aca="false">SUMIFS(Data!$N$2:$N$1006,Data!$A$2:$A$1006,$A403,Data!$B$2:$B$1006,$B403)</f>
        <v>241.96785</v>
      </c>
      <c r="J403" s="10" t="n">
        <f aca="false">SUMIFS(Data!$H$2:$H$1006,Data!$A$2:$A$1006,$A403,Data!$B$2:$B$1006,$B403)</f>
        <v>125.193661</v>
      </c>
      <c r="K403" s="11" t="n">
        <f aca="false">IFERROR(F403*1000000/$E403,"")</f>
        <v>114.156571430949</v>
      </c>
      <c r="L403" s="11" t="n">
        <f aca="false">IFERROR(G403*1000000/$E403,"")</f>
        <v>45.2630278528842</v>
      </c>
      <c r="M403" s="11" t="n">
        <f aca="false">IFERROR(H403*1000000/$E403,"")</f>
        <v>92.3079807205151</v>
      </c>
      <c r="N403" s="11" t="n">
        <f aca="false">IFERROR(I403*1000000/$E403,"")</f>
        <v>251.727580004349</v>
      </c>
      <c r="O403" s="11" t="n">
        <f aca="false">IFERROR(J403*1000000/$E403,"")</f>
        <v>130.243324951702</v>
      </c>
      <c r="P403" s="16" t="n">
        <f aca="false">COUNTIFS($A$4:$A$1008,$A403,$N$4:$N$1008,"&gt;"&amp;N403)+1</f>
        <v>22</v>
      </c>
      <c r="Q403" s="16" t="n">
        <f aca="false">COUNTIFS($A$4:$A$1008,$A403,$O$4:$O$1008,"&gt;"&amp;O403)+1</f>
        <v>23</v>
      </c>
    </row>
    <row r="404" customFormat="false" ht="15" hidden="false" customHeight="false" outlineLevel="0" collapsed="false">
      <c r="A404" s="7" t="n">
        <v>2010</v>
      </c>
      <c r="B404" s="15" t="s">
        <v>122</v>
      </c>
      <c r="C404" s="15" t="s">
        <v>118</v>
      </c>
      <c r="D404" s="15" t="s">
        <v>105</v>
      </c>
      <c r="E404" s="9" t="n">
        <f aca="false">SUMIFS(Data!$L$2:$L$1006,Data!$A$2:$A$1006,$A404,Data!$B$2:$B$1006,$B404)</f>
        <v>547400</v>
      </c>
      <c r="F404" s="10" t="n">
        <f aca="false">SUMIFS(Data!$E$2:$E$1006,Data!$A$2:$A$1006,$A404,Data!$B$2:$B$1006,$B404)</f>
        <v>49.447143</v>
      </c>
      <c r="G404" s="10" t="n">
        <f aca="false">SUMIFS(Data!$F$2:$F$1006,Data!$A$2:$A$1006,$A404,Data!$B$2:$B$1006,$B404)</f>
        <v>81.219049</v>
      </c>
      <c r="H404" s="10" t="n">
        <f aca="false">SUMIFS(Data!$G$2:$G$1006,Data!$A$2:$A$1006,$A404,Data!$B$2:$B$1006,$B404)</f>
        <v>24.499962</v>
      </c>
      <c r="I404" s="10" t="n">
        <f aca="false">SUMIFS(Data!$N$2:$N$1006,Data!$A$2:$A$1006,$A404,Data!$B$2:$B$1006,$B404)</f>
        <v>155.166154</v>
      </c>
      <c r="J404" s="10" t="n">
        <f aca="false">SUMIFS(Data!$H$2:$H$1006,Data!$A$2:$A$1006,$A404,Data!$B$2:$B$1006,$B404)</f>
        <v>109.173154</v>
      </c>
      <c r="K404" s="11" t="n">
        <f aca="false">IFERROR(F404*1000000/$E404,"")</f>
        <v>90.3309152356595</v>
      </c>
      <c r="L404" s="11" t="n">
        <f aca="false">IFERROR(G404*1000000/$E404,"")</f>
        <v>148.372394957983</v>
      </c>
      <c r="M404" s="11" t="n">
        <f aca="false">IFERROR(H404*1000000/$E404,"")</f>
        <v>44.7569638290099</v>
      </c>
      <c r="N404" s="11" t="n">
        <f aca="false">IFERROR(I404*1000000/$E404,"")</f>
        <v>283.460274022653</v>
      </c>
      <c r="O404" s="11" t="n">
        <f aca="false">IFERROR(J404*1000000/$E404,"")</f>
        <v>199.43944830106</v>
      </c>
      <c r="P404" s="16" t="n">
        <f aca="false">COUNTIFS($A$4:$A$1008,$A404,$N$4:$N$1008,"&gt;"&amp;N404)+1</f>
        <v>11</v>
      </c>
      <c r="Q404" s="16" t="n">
        <f aca="false">COUNTIFS($A$4:$A$1008,$A404,$O$4:$O$1008,"&gt;"&amp;O404)+1</f>
        <v>7</v>
      </c>
    </row>
    <row r="405" customFormat="false" ht="15" hidden="false" customHeight="false" outlineLevel="0" collapsed="false">
      <c r="A405" s="7" t="n">
        <v>2010</v>
      </c>
      <c r="B405" s="15" t="s">
        <v>123</v>
      </c>
      <c r="C405" s="15" t="s">
        <v>118</v>
      </c>
      <c r="D405" s="15" t="s">
        <v>124</v>
      </c>
      <c r="E405" s="9" t="n">
        <f aca="false">SUMIFS(Data!$L$2:$L$1006,Data!$A$2:$A$1006,$A405,Data!$B$2:$B$1006,$B405)</f>
        <v>1236939</v>
      </c>
      <c r="F405" s="10" t="n">
        <f aca="false">SUMIFS(Data!$E$2:$E$1006,Data!$A$2:$A$1006,$A405,Data!$B$2:$B$1006,$B405)</f>
        <v>170.183921</v>
      </c>
      <c r="G405" s="10" t="n">
        <f aca="false">SUMIFS(Data!$F$2:$F$1006,Data!$A$2:$A$1006,$A405,Data!$B$2:$B$1006,$B405)</f>
        <v>77.07123</v>
      </c>
      <c r="H405" s="10" t="n">
        <f aca="false">SUMIFS(Data!$G$2:$G$1006,Data!$A$2:$A$1006,$A405,Data!$B$2:$B$1006,$B405)</f>
        <v>116.669813</v>
      </c>
      <c r="I405" s="10" t="n">
        <f aca="false">SUMIFS(Data!$N$2:$N$1006,Data!$A$2:$A$1006,$A405,Data!$B$2:$B$1006,$B405)</f>
        <v>363.924964</v>
      </c>
      <c r="J405" s="10" t="n">
        <f aca="false">SUMIFS(Data!$H$2:$H$1006,Data!$A$2:$A$1006,$A405,Data!$B$2:$B$1006,$B405)</f>
        <v>243.647376</v>
      </c>
      <c r="K405" s="11" t="n">
        <f aca="false">IFERROR(F405*1000000/$E405,"")</f>
        <v>137.584732149281</v>
      </c>
      <c r="L405" s="11" t="n">
        <f aca="false">IFERROR(G405*1000000/$E405,"")</f>
        <v>62.3080281242648</v>
      </c>
      <c r="M405" s="11" t="n">
        <f aca="false">IFERROR(H405*1000000/$E405,"")</f>
        <v>94.3213958004396</v>
      </c>
      <c r="N405" s="11" t="n">
        <f aca="false">IFERROR(I405*1000000/$E405,"")</f>
        <v>294.214156073986</v>
      </c>
      <c r="O405" s="11" t="n">
        <f aca="false">IFERROR(J405*1000000/$E405,"")</f>
        <v>196.976064300665</v>
      </c>
      <c r="P405" s="16" t="n">
        <f aca="false">COUNTIFS($A$4:$A$1008,$A405,$N$4:$N$1008,"&gt;"&amp;N405)+1</f>
        <v>10</v>
      </c>
      <c r="Q405" s="16" t="n">
        <f aca="false">COUNTIFS($A$4:$A$1008,$A405,$O$4:$O$1008,"&gt;"&amp;O405)+1</f>
        <v>8</v>
      </c>
    </row>
    <row r="406" customFormat="false" ht="15" hidden="false" customHeight="false" outlineLevel="0" collapsed="false">
      <c r="A406" s="7" t="n">
        <v>2010</v>
      </c>
      <c r="B406" s="15" t="s">
        <v>125</v>
      </c>
      <c r="C406" s="15" t="s">
        <v>118</v>
      </c>
      <c r="D406" s="15" t="s">
        <v>126</v>
      </c>
      <c r="E406" s="9" t="n">
        <f aca="false">SUMIFS(Data!$L$2:$L$1006,Data!$A$2:$A$1006,$A406,Data!$B$2:$B$1006,$B406)</f>
        <v>499689</v>
      </c>
      <c r="F406" s="10" t="n">
        <f aca="false">SUMIFS(Data!$E$2:$E$1006,Data!$A$2:$A$1006,$A406,Data!$B$2:$B$1006,$B406)</f>
        <v>56.125233</v>
      </c>
      <c r="G406" s="10" t="n">
        <f aca="false">SUMIFS(Data!$F$2:$F$1006,Data!$A$2:$A$1006,$A406,Data!$B$2:$B$1006,$B406)</f>
        <v>54.831145</v>
      </c>
      <c r="H406" s="10" t="n">
        <f aca="false">SUMIFS(Data!$G$2:$G$1006,Data!$A$2:$A$1006,$A406,Data!$B$2:$B$1006,$B406)</f>
        <v>39.714603</v>
      </c>
      <c r="I406" s="10" t="n">
        <f aca="false">SUMIFS(Data!$N$2:$N$1006,Data!$A$2:$A$1006,$A406,Data!$B$2:$B$1006,$B406)</f>
        <v>150.670981</v>
      </c>
      <c r="J406" s="10" t="n">
        <f aca="false">SUMIFS(Data!$H$2:$H$1006,Data!$A$2:$A$1006,$A406,Data!$B$2:$B$1006,$B406)</f>
        <v>122.47186</v>
      </c>
      <c r="K406" s="11" t="n">
        <f aca="false">IFERROR(F406*1000000/$E406,"")</f>
        <v>112.32032924479</v>
      </c>
      <c r="L406" s="11" t="n">
        <f aca="false">IFERROR(G406*1000000/$E406,"")</f>
        <v>109.730542397371</v>
      </c>
      <c r="M406" s="11" t="n">
        <f aca="false">IFERROR(H406*1000000/$E406,"")</f>
        <v>79.4786417151468</v>
      </c>
      <c r="N406" s="11" t="n">
        <f aca="false">IFERROR(I406*1000000/$E406,"")</f>
        <v>301.529513357308</v>
      </c>
      <c r="O406" s="11" t="n">
        <f aca="false">IFERROR(J406*1000000/$E406,"")</f>
        <v>245.096169817627</v>
      </c>
      <c r="P406" s="16" t="n">
        <f aca="false">COUNTIFS($A$4:$A$1008,$A406,$N$4:$N$1008,"&gt;"&amp;N406)+1</f>
        <v>9</v>
      </c>
      <c r="Q406" s="16" t="n">
        <f aca="false">COUNTIFS($A$4:$A$1008,$A406,$O$4:$O$1008,"&gt;"&amp;O406)+1</f>
        <v>3</v>
      </c>
    </row>
    <row r="407" customFormat="false" ht="15" hidden="false" customHeight="false" outlineLevel="0" collapsed="false">
      <c r="A407" s="7" t="n">
        <v>2010</v>
      </c>
      <c r="B407" s="15" t="s">
        <v>127</v>
      </c>
      <c r="C407" s="15" t="s">
        <v>118</v>
      </c>
      <c r="D407" s="15" t="s">
        <v>103</v>
      </c>
      <c r="E407" s="9" t="n">
        <f aca="false">SUMIFS(Data!$L$2:$L$1006,Data!$A$2:$A$1006,$A407,Data!$B$2:$B$1006,$B407)</f>
        <v>684529</v>
      </c>
      <c r="F407" s="10" t="n">
        <f aca="false">SUMIFS(Data!$E$2:$E$1006,Data!$A$2:$A$1006,$A407,Data!$B$2:$B$1006,$B407)</f>
        <v>65.674991</v>
      </c>
      <c r="G407" s="10" t="n">
        <f aca="false">SUMIFS(Data!$F$2:$F$1006,Data!$A$2:$A$1006,$A407,Data!$B$2:$B$1006,$B407)</f>
        <v>59.506928</v>
      </c>
      <c r="H407" s="10" t="n">
        <f aca="false">SUMIFS(Data!$G$2:$G$1006,Data!$A$2:$A$1006,$A407,Data!$B$2:$B$1006,$B407)</f>
        <v>42.678072</v>
      </c>
      <c r="I407" s="10" t="n">
        <f aca="false">SUMIFS(Data!$N$2:$N$1006,Data!$A$2:$A$1006,$A407,Data!$B$2:$B$1006,$B407)</f>
        <v>167.859991</v>
      </c>
      <c r="J407" s="10" t="n">
        <f aca="false">SUMIFS(Data!$H$2:$H$1006,Data!$A$2:$A$1006,$A407,Data!$B$2:$B$1006,$B407)</f>
        <v>93.289187</v>
      </c>
      <c r="K407" s="11" t="n">
        <f aca="false">IFERROR(F407*1000000/$E407,"")</f>
        <v>95.9418680581831</v>
      </c>
      <c r="L407" s="11" t="n">
        <f aca="false">IFERROR(G407*1000000/$E407,"")</f>
        <v>86.931200869503</v>
      </c>
      <c r="M407" s="11" t="n">
        <f aca="false">IFERROR(H407*1000000/$E407,"")</f>
        <v>62.3466237369052</v>
      </c>
      <c r="N407" s="11" t="n">
        <f aca="false">IFERROR(I407*1000000/$E407,"")</f>
        <v>245.219692664591</v>
      </c>
      <c r="O407" s="11" t="n">
        <f aca="false">IFERROR(J407*1000000/$E407,"")</f>
        <v>136.282300676816</v>
      </c>
      <c r="P407" s="16" t="n">
        <f aca="false">COUNTIFS($A$4:$A$1008,$A407,$N$4:$N$1008,"&gt;"&amp;N407)+1</f>
        <v>28</v>
      </c>
      <c r="Q407" s="16" t="n">
        <f aca="false">COUNTIFS($A$4:$A$1008,$A407,$O$4:$O$1008,"&gt;"&amp;O407)+1</f>
        <v>18</v>
      </c>
    </row>
    <row r="408" customFormat="false" ht="15" hidden="false" customHeight="false" outlineLevel="0" collapsed="false">
      <c r="A408" s="7" t="n">
        <v>2010</v>
      </c>
      <c r="B408" s="15" t="s">
        <v>128</v>
      </c>
      <c r="C408" s="15" t="s">
        <v>118</v>
      </c>
      <c r="D408" s="15" t="s">
        <v>107</v>
      </c>
      <c r="E408" s="9" t="n">
        <f aca="false">SUMIFS(Data!$L$2:$L$1006,Data!$A$2:$A$1006,$A408,Data!$B$2:$B$1006,$B408)</f>
        <v>587094</v>
      </c>
      <c r="F408" s="10" t="n">
        <f aca="false">SUMIFS(Data!$E$2:$E$1006,Data!$A$2:$A$1006,$A408,Data!$B$2:$B$1006,$B408)</f>
        <v>39.585689</v>
      </c>
      <c r="G408" s="10" t="n">
        <f aca="false">SUMIFS(Data!$F$2:$F$1006,Data!$A$2:$A$1006,$A408,Data!$B$2:$B$1006,$B408)</f>
        <v>54.596928</v>
      </c>
      <c r="H408" s="10" t="n">
        <f aca="false">SUMIFS(Data!$G$2:$G$1006,Data!$A$2:$A$1006,$A408,Data!$B$2:$B$1006,$B408)</f>
        <v>52.888029</v>
      </c>
      <c r="I408" s="10" t="n">
        <f aca="false">SUMIFS(Data!$N$2:$N$1006,Data!$A$2:$A$1006,$A408,Data!$B$2:$B$1006,$B408)</f>
        <v>147.070646</v>
      </c>
      <c r="J408" s="10" t="n">
        <f aca="false">SUMIFS(Data!$H$2:$H$1006,Data!$A$2:$A$1006,$A408,Data!$B$2:$B$1006,$B408)</f>
        <v>157.428075</v>
      </c>
      <c r="K408" s="11" t="n">
        <f aca="false">IFERROR(F408*1000000/$E408,"")</f>
        <v>67.4264921801279</v>
      </c>
      <c r="L408" s="11" t="n">
        <f aca="false">IFERROR(G408*1000000/$E408,"")</f>
        <v>92.9952069004282</v>
      </c>
      <c r="M408" s="11" t="n">
        <f aca="false">IFERROR(H408*1000000/$E408,"")</f>
        <v>90.0844311132459</v>
      </c>
      <c r="N408" s="11" t="n">
        <f aca="false">IFERROR(I408*1000000/$E408,"")</f>
        <v>250.506130193802</v>
      </c>
      <c r="O408" s="11" t="n">
        <f aca="false">IFERROR(J408*1000000/$E408,"")</f>
        <v>268.147988226758</v>
      </c>
      <c r="P408" s="16" t="n">
        <f aca="false">COUNTIFS($A$4:$A$1008,$A408,$N$4:$N$1008,"&gt;"&amp;N408)+1</f>
        <v>23</v>
      </c>
      <c r="Q408" s="16" t="n">
        <f aca="false">COUNTIFS($A$4:$A$1008,$A408,$O$4:$O$1008,"&gt;"&amp;O408)+1</f>
        <v>1</v>
      </c>
    </row>
    <row r="409" customFormat="false" ht="15" hidden="false" customHeight="false" outlineLevel="0" collapsed="false">
      <c r="A409" s="7" t="n">
        <v>2010</v>
      </c>
      <c r="B409" s="15" t="s">
        <v>129</v>
      </c>
      <c r="C409" s="15" t="s">
        <v>118</v>
      </c>
      <c r="D409" s="15" t="s">
        <v>107</v>
      </c>
      <c r="E409" s="9" t="n">
        <f aca="false">SUMIFS(Data!$L$2:$L$1006,Data!$A$2:$A$1006,$A409,Data!$B$2:$B$1006,$B409)</f>
        <v>1566872</v>
      </c>
      <c r="F409" s="10" t="n">
        <f aca="false">SUMIFS(Data!$E$2:$E$1006,Data!$A$2:$A$1006,$A409,Data!$B$2:$B$1006,$B409)</f>
        <v>204.150806</v>
      </c>
      <c r="G409" s="10" t="n">
        <f aca="false">SUMIFS(Data!$F$2:$F$1006,Data!$A$2:$A$1006,$A409,Data!$B$2:$B$1006,$B409)</f>
        <v>219.810024</v>
      </c>
      <c r="H409" s="10" t="n">
        <f aca="false">SUMIFS(Data!$G$2:$G$1006,Data!$A$2:$A$1006,$A409,Data!$B$2:$B$1006,$B409)</f>
        <v>90.585025</v>
      </c>
      <c r="I409" s="10" t="n">
        <f aca="false">SUMIFS(Data!$N$2:$N$1006,Data!$A$2:$A$1006,$A409,Data!$B$2:$B$1006,$B409)</f>
        <v>514.545855</v>
      </c>
      <c r="J409" s="10" t="n">
        <f aca="false">SUMIFS(Data!$H$2:$H$1006,Data!$A$2:$A$1006,$A409,Data!$B$2:$B$1006,$B409)</f>
        <v>186.647512</v>
      </c>
      <c r="K409" s="11" t="n">
        <f aca="false">IFERROR(F409*1000000/$E409,"")</f>
        <v>130.291948544616</v>
      </c>
      <c r="L409" s="11" t="n">
        <f aca="false">IFERROR(G409*1000000/$E409,"")</f>
        <v>140.285884233045</v>
      </c>
      <c r="M409" s="11" t="n">
        <f aca="false">IFERROR(H409*1000000/$E409,"")</f>
        <v>57.8126515758786</v>
      </c>
      <c r="N409" s="11" t="n">
        <f aca="false">IFERROR(I409*1000000/$E409,"")</f>
        <v>328.39048435354</v>
      </c>
      <c r="O409" s="11" t="n">
        <f aca="false">IFERROR(J409*1000000/$E409,"")</f>
        <v>119.121097320011</v>
      </c>
      <c r="P409" s="16" t="n">
        <f aca="false">COUNTIFS($A$4:$A$1008,$A409,$N$4:$N$1008,"&gt;"&amp;N409)+1</f>
        <v>6</v>
      </c>
      <c r="Q409" s="16" t="n">
        <f aca="false">COUNTIFS($A$4:$A$1008,$A409,$O$4:$O$1008,"&gt;"&amp;O409)+1</f>
        <v>28</v>
      </c>
    </row>
    <row r="410" customFormat="false" ht="15" hidden="false" customHeight="false" outlineLevel="0" collapsed="false">
      <c r="A410" s="7" t="n">
        <v>2010</v>
      </c>
      <c r="B410" s="15" t="s">
        <v>130</v>
      </c>
      <c r="C410" s="15" t="s">
        <v>118</v>
      </c>
      <c r="D410" s="15" t="s">
        <v>107</v>
      </c>
      <c r="E410" s="9" t="n">
        <f aca="false">SUMIFS(Data!$L$2:$L$1006,Data!$A$2:$A$1006,$A410,Data!$B$2:$B$1006,$B410)</f>
        <v>1401657</v>
      </c>
      <c r="F410" s="10" t="n">
        <f aca="false">SUMIFS(Data!$E$2:$E$1006,Data!$A$2:$A$1006,$A410,Data!$B$2:$B$1006,$B410)</f>
        <v>142.377661</v>
      </c>
      <c r="G410" s="10" t="n">
        <f aca="false">SUMIFS(Data!$F$2:$F$1006,Data!$A$2:$A$1006,$A410,Data!$B$2:$B$1006,$B410)</f>
        <v>154.577971</v>
      </c>
      <c r="H410" s="10" t="n">
        <f aca="false">SUMIFS(Data!$G$2:$G$1006,Data!$A$2:$A$1006,$A410,Data!$B$2:$B$1006,$B410)</f>
        <v>90.964177</v>
      </c>
      <c r="I410" s="10" t="n">
        <f aca="false">SUMIFS(Data!$N$2:$N$1006,Data!$A$2:$A$1006,$A410,Data!$B$2:$B$1006,$B410)</f>
        <v>387.919809</v>
      </c>
      <c r="J410" s="10" t="n">
        <f aca="false">SUMIFS(Data!$H$2:$H$1006,Data!$A$2:$A$1006,$A410,Data!$B$2:$B$1006,$B410)</f>
        <v>195.761274</v>
      </c>
      <c r="K410" s="11" t="n">
        <f aca="false">IFERROR(F410*1000000/$E410,"")</f>
        <v>101.578104343645</v>
      </c>
      <c r="L410" s="11" t="n">
        <f aca="false">IFERROR(G410*1000000/$E410,"")</f>
        <v>110.282309438044</v>
      </c>
      <c r="M410" s="11" t="n">
        <f aca="false">IFERROR(H410*1000000/$E410,"")</f>
        <v>64.8976011962984</v>
      </c>
      <c r="N410" s="11" t="n">
        <f aca="false">IFERROR(I410*1000000/$E410,"")</f>
        <v>276.758014977987</v>
      </c>
      <c r="O410" s="11" t="n">
        <f aca="false">IFERROR(J410*1000000/$E410,"")</f>
        <v>139.664178896834</v>
      </c>
      <c r="P410" s="16" t="n">
        <f aca="false">COUNTIFS($A$4:$A$1008,$A410,$N$4:$N$1008,"&gt;"&amp;N410)+1</f>
        <v>13</v>
      </c>
      <c r="Q410" s="16" t="n">
        <f aca="false">COUNTIFS($A$4:$A$1008,$A410,$O$4:$O$1008,"&gt;"&amp;O410)+1</f>
        <v>16</v>
      </c>
    </row>
    <row r="411" customFormat="false" ht="15" hidden="false" customHeight="false" outlineLevel="0" collapsed="false">
      <c r="A411" s="7" t="n">
        <v>2010</v>
      </c>
      <c r="B411" s="15" t="s">
        <v>131</v>
      </c>
      <c r="C411" s="15" t="s">
        <v>118</v>
      </c>
      <c r="D411" s="15" t="s">
        <v>132</v>
      </c>
      <c r="E411" s="9" t="n">
        <f aca="false">SUMIFS(Data!$L$2:$L$1006,Data!$A$2:$A$1006,$A411,Data!$B$2:$B$1006,$B411)</f>
        <v>783069</v>
      </c>
      <c r="F411" s="10" t="n">
        <f aca="false">SUMIFS(Data!$E$2:$E$1006,Data!$A$2:$A$1006,$A411,Data!$B$2:$B$1006,$B411)</f>
        <v>121.606654</v>
      </c>
      <c r="G411" s="10" t="n">
        <f aca="false">SUMIFS(Data!$F$2:$F$1006,Data!$A$2:$A$1006,$A411,Data!$B$2:$B$1006,$B411)</f>
        <v>84.938128</v>
      </c>
      <c r="H411" s="10" t="n">
        <f aca="false">SUMIFS(Data!$G$2:$G$1006,Data!$A$2:$A$1006,$A411,Data!$B$2:$B$1006,$B411)</f>
        <v>111.980637</v>
      </c>
      <c r="I411" s="10" t="n">
        <f aca="false">SUMIFS(Data!$N$2:$N$1006,Data!$A$2:$A$1006,$A411,Data!$B$2:$B$1006,$B411)</f>
        <v>318.525419</v>
      </c>
      <c r="J411" s="10" t="n">
        <f aca="false">SUMIFS(Data!$H$2:$H$1006,Data!$A$2:$A$1006,$A411,Data!$B$2:$B$1006,$B411)</f>
        <v>169.65416</v>
      </c>
      <c r="K411" s="11" t="n">
        <f aca="false">IFERROR(F411*1000000/$E411,"")</f>
        <v>155.294940803429</v>
      </c>
      <c r="L411" s="11" t="n">
        <f aca="false">IFERROR(G411*1000000/$E411,"")</f>
        <v>108.468255032443</v>
      </c>
      <c r="M411" s="11" t="n">
        <f aca="false">IFERROR(H411*1000000/$E411,"")</f>
        <v>143.002260337212</v>
      </c>
      <c r="N411" s="11" t="n">
        <f aca="false">IFERROR(I411*1000000/$E411,"")</f>
        <v>406.765456173083</v>
      </c>
      <c r="O411" s="11" t="n">
        <f aca="false">IFERROR(J411*1000000/$E411,"")</f>
        <v>216.652887548862</v>
      </c>
      <c r="P411" s="16" t="n">
        <f aca="false">COUNTIFS($A$4:$A$1008,$A411,$N$4:$N$1008,"&gt;"&amp;N411)+1</f>
        <v>1</v>
      </c>
      <c r="Q411" s="16" t="n">
        <f aca="false">COUNTIFS($A$4:$A$1008,$A411,$O$4:$O$1008,"&gt;"&amp;O411)+1</f>
        <v>5</v>
      </c>
    </row>
    <row r="412" customFormat="false" ht="15" hidden="false" customHeight="false" outlineLevel="0" collapsed="false">
      <c r="A412" s="7" t="n">
        <v>2010</v>
      </c>
      <c r="B412" s="15" t="s">
        <v>133</v>
      </c>
      <c r="C412" s="15" t="s">
        <v>118</v>
      </c>
      <c r="D412" s="15" t="s">
        <v>105</v>
      </c>
      <c r="E412" s="9" t="n">
        <f aca="false">SUMIFS(Data!$L$2:$L$1006,Data!$A$2:$A$1006,$A412,Data!$B$2:$B$1006,$B412)</f>
        <v>2154826</v>
      </c>
      <c r="F412" s="10" t="n">
        <f aca="false">SUMIFS(Data!$E$2:$E$1006,Data!$A$2:$A$1006,$A412,Data!$B$2:$B$1006,$B412)</f>
        <v>147.024564</v>
      </c>
      <c r="G412" s="10" t="n">
        <f aca="false">SUMIFS(Data!$F$2:$F$1006,Data!$A$2:$A$1006,$A412,Data!$B$2:$B$1006,$B412)</f>
        <v>405.018583</v>
      </c>
      <c r="H412" s="10" t="n">
        <f aca="false">SUMIFS(Data!$G$2:$G$1006,Data!$A$2:$A$1006,$A412,Data!$B$2:$B$1006,$B412)</f>
        <v>146.82711</v>
      </c>
      <c r="I412" s="10" t="n">
        <f aca="false">SUMIFS(Data!$N$2:$N$1006,Data!$A$2:$A$1006,$A412,Data!$B$2:$B$1006,$B412)</f>
        <v>698.870257</v>
      </c>
      <c r="J412" s="10" t="n">
        <f aca="false">SUMIFS(Data!$H$2:$H$1006,Data!$A$2:$A$1006,$A412,Data!$B$2:$B$1006,$B412)</f>
        <v>444.209842</v>
      </c>
      <c r="K412" s="11" t="n">
        <f aca="false">IFERROR(F412*1000000/$E412,"")</f>
        <v>68.230364771912</v>
      </c>
      <c r="L412" s="11" t="n">
        <f aca="false">IFERROR(G412*1000000/$E412,"")</f>
        <v>187.958834263184</v>
      </c>
      <c r="M412" s="11" t="n">
        <f aca="false">IFERROR(H412*1000000/$E412,"")</f>
        <v>68.1387313871283</v>
      </c>
      <c r="N412" s="11" t="n">
        <f aca="false">IFERROR(I412*1000000/$E412,"")</f>
        <v>324.327930422224</v>
      </c>
      <c r="O412" s="11" t="n">
        <f aca="false">IFERROR(J412*1000000/$E412,"")</f>
        <v>206.146501852122</v>
      </c>
      <c r="P412" s="16" t="n">
        <f aca="false">COUNTIFS($A$4:$A$1008,$A412,$N$4:$N$1008,"&gt;"&amp;N412)+1</f>
        <v>8</v>
      </c>
      <c r="Q412" s="16" t="n">
        <f aca="false">COUNTIFS($A$4:$A$1008,$A412,$O$4:$O$1008,"&gt;"&amp;O412)+1</f>
        <v>6</v>
      </c>
    </row>
    <row r="413" customFormat="false" ht="15" hidden="false" customHeight="false" outlineLevel="0" collapsed="false">
      <c r="A413" s="7" t="n">
        <v>2010</v>
      </c>
      <c r="B413" s="15" t="s">
        <v>134</v>
      </c>
      <c r="C413" s="15" t="s">
        <v>135</v>
      </c>
      <c r="D413" s="15" t="s">
        <v>136</v>
      </c>
      <c r="E413" s="9" t="n">
        <f aca="false">SUMIFS(Data!$L$2:$L$1006,Data!$A$2:$A$1006,$A413,Data!$B$2:$B$1006,$B413)</f>
        <v>145632</v>
      </c>
      <c r="F413" s="10" t="n">
        <f aca="false">SUMIFS(Data!$E$2:$E$1006,Data!$A$2:$A$1006,$A413,Data!$B$2:$B$1006,$B413)</f>
        <v>22.528184</v>
      </c>
      <c r="G413" s="10" t="n">
        <f aca="false">SUMIFS(Data!$F$2:$F$1006,Data!$A$2:$A$1006,$A413,Data!$B$2:$B$1006,$B413)</f>
        <v>17.596698</v>
      </c>
      <c r="H413" s="10" t="n">
        <f aca="false">SUMIFS(Data!$G$2:$G$1006,Data!$A$2:$A$1006,$A413,Data!$B$2:$B$1006,$B413)</f>
        <v>14.938823</v>
      </c>
      <c r="I413" s="10" t="n">
        <f aca="false">SUMIFS(Data!$N$2:$N$1006,Data!$A$2:$A$1006,$A413,Data!$B$2:$B$1006,$B413)</f>
        <v>55.063705</v>
      </c>
      <c r="J413" s="10" t="n">
        <f aca="false">SUMIFS(Data!$H$2:$H$1006,Data!$A$2:$A$1006,$A413,Data!$B$2:$B$1006,$B413)</f>
        <v>13.96435</v>
      </c>
      <c r="K413" s="11" t="n">
        <f aca="false">IFERROR(F413*1000000/$E413,"")</f>
        <v>154.692540101077</v>
      </c>
      <c r="L413" s="11" t="n">
        <f aca="false">IFERROR(G413*1000000/$E413,"")</f>
        <v>120.829886288728</v>
      </c>
      <c r="M413" s="11" t="n">
        <f aca="false">IFERROR(H413*1000000/$E413,"")</f>
        <v>102.57926142606</v>
      </c>
      <c r="N413" s="11" t="n">
        <f aca="false">IFERROR(I413*1000000/$E413,"")</f>
        <v>378.101687815865</v>
      </c>
      <c r="O413" s="11" t="n">
        <f aca="false">IFERROR(J413*1000000/$E413,"")</f>
        <v>95.8879229839596</v>
      </c>
      <c r="P413" s="16" t="n">
        <f aca="false">COUNTIFS($A$4:$A$1008,$A413,$N$4:$N$1008,"&gt;"&amp;N413)+1</f>
        <v>2</v>
      </c>
      <c r="Q413" s="16" t="n">
        <f aca="false">COUNTIFS($A$4:$A$1008,$A413,$O$4:$O$1008,"&gt;"&amp;O413)+1</f>
        <v>36</v>
      </c>
    </row>
    <row r="414" customFormat="false" ht="15" hidden="false" customHeight="false" outlineLevel="0" collapsed="false">
      <c r="A414" s="7" t="n">
        <v>2010</v>
      </c>
      <c r="B414" s="15" t="s">
        <v>137</v>
      </c>
      <c r="C414" s="15" t="s">
        <v>135</v>
      </c>
      <c r="D414" s="15" t="s">
        <v>138</v>
      </c>
      <c r="E414" s="9" t="n">
        <f aca="false">SUMIFS(Data!$L$2:$L$1006,Data!$A$2:$A$1006,$A414,Data!$B$2:$B$1006,$B414)</f>
        <v>1788635</v>
      </c>
      <c r="F414" s="10" t="n">
        <f aca="false">SUMIFS(Data!$E$2:$E$1006,Data!$A$2:$A$1006,$A414,Data!$B$2:$B$1006,$B414)</f>
        <v>133.282635</v>
      </c>
      <c r="G414" s="10" t="n">
        <f aca="false">SUMIFS(Data!$F$2:$F$1006,Data!$A$2:$A$1006,$A414,Data!$B$2:$B$1006,$B414)</f>
        <v>133.803475</v>
      </c>
      <c r="H414" s="10" t="n">
        <f aca="false">SUMIFS(Data!$G$2:$G$1006,Data!$A$2:$A$1006,$A414,Data!$B$2:$B$1006,$B414)</f>
        <v>152.407461</v>
      </c>
      <c r="I414" s="10" t="n">
        <f aca="false">SUMIFS(Data!$N$2:$N$1006,Data!$A$2:$A$1006,$A414,Data!$B$2:$B$1006,$B414)</f>
        <v>419.493571</v>
      </c>
      <c r="J414" s="10" t="n">
        <f aca="false">SUMIFS(Data!$H$2:$H$1006,Data!$A$2:$A$1006,$A414,Data!$B$2:$B$1006,$B414)</f>
        <v>289.344407</v>
      </c>
      <c r="K414" s="11" t="n">
        <f aca="false">IFERROR(F414*1000000/$E414,"")</f>
        <v>74.5163965817509</v>
      </c>
      <c r="L414" s="11" t="n">
        <f aca="false">IFERROR(G414*1000000/$E414,"")</f>
        <v>74.8075907046435</v>
      </c>
      <c r="M414" s="11" t="n">
        <f aca="false">IFERROR(H414*1000000/$E414,"")</f>
        <v>85.2088106293347</v>
      </c>
      <c r="N414" s="11" t="n">
        <f aca="false">IFERROR(I414*1000000/$E414,"")</f>
        <v>234.532797915729</v>
      </c>
      <c r="O414" s="11" t="n">
        <f aca="false">IFERROR(J414*1000000/$E414,"")</f>
        <v>161.768279721687</v>
      </c>
      <c r="P414" s="16" t="n">
        <f aca="false">COUNTIFS($A$4:$A$1008,$A414,$N$4:$N$1008,"&gt;"&amp;N414)+1</f>
        <v>29</v>
      </c>
      <c r="Q414" s="16" t="n">
        <f aca="false">COUNTIFS($A$4:$A$1008,$A414,$O$4:$O$1008,"&gt;"&amp;O414)+1</f>
        <v>12</v>
      </c>
    </row>
    <row r="415" customFormat="false" ht="15" hidden="false" customHeight="false" outlineLevel="0" collapsed="false">
      <c r="A415" s="7" t="n">
        <v>2010</v>
      </c>
      <c r="B415" s="15" t="s">
        <v>139</v>
      </c>
      <c r="C415" s="15" t="s">
        <v>135</v>
      </c>
      <c r="D415" s="15" t="s">
        <v>138</v>
      </c>
      <c r="E415" s="9" t="n">
        <f aca="false">SUMIFS(Data!$L$2:$L$1006,Data!$A$2:$A$1006,$A415,Data!$B$2:$B$1006,$B415)</f>
        <v>2119747</v>
      </c>
      <c r="F415" s="10" t="n">
        <f aca="false">SUMIFS(Data!$E$2:$E$1006,Data!$A$2:$A$1006,$A415,Data!$B$2:$B$1006,$B415)</f>
        <v>256.031229</v>
      </c>
      <c r="G415" s="10" t="n">
        <f aca="false">SUMIFS(Data!$F$2:$F$1006,Data!$A$2:$A$1006,$A415,Data!$B$2:$B$1006,$B415)</f>
        <v>222.577751</v>
      </c>
      <c r="H415" s="10" t="n">
        <f aca="false">SUMIFS(Data!$G$2:$G$1006,Data!$A$2:$A$1006,$A415,Data!$B$2:$B$1006,$B415)</f>
        <v>233.167839</v>
      </c>
      <c r="I415" s="10" t="n">
        <f aca="false">SUMIFS(Data!$N$2:$N$1006,Data!$A$2:$A$1006,$A415,Data!$B$2:$B$1006,$B415)</f>
        <v>711.776819</v>
      </c>
      <c r="J415" s="10" t="n">
        <f aca="false">SUMIFS(Data!$H$2:$H$1006,Data!$A$2:$A$1006,$A415,Data!$B$2:$B$1006,$B415)</f>
        <v>301.288871</v>
      </c>
      <c r="K415" s="11" t="n">
        <f aca="false">IFERROR(F415*1000000/$E415,"")</f>
        <v>120.783861942015</v>
      </c>
      <c r="L415" s="11" t="n">
        <f aca="false">IFERROR(G415*1000000/$E415,"")</f>
        <v>105.002036092043</v>
      </c>
      <c r="M415" s="11" t="n">
        <f aca="false">IFERROR(H415*1000000/$E415,"")</f>
        <v>109.997956831641</v>
      </c>
      <c r="N415" s="11" t="n">
        <f aca="false">IFERROR(I415*1000000/$E415,"")</f>
        <v>335.783854865699</v>
      </c>
      <c r="O415" s="11" t="n">
        <f aca="false">IFERROR(J415*1000000/$E415,"")</f>
        <v>142.134354241332</v>
      </c>
      <c r="P415" s="16" t="n">
        <f aca="false">COUNTIFS($A$4:$A$1008,$A415,$N$4:$N$1008,"&gt;"&amp;N415)+1</f>
        <v>4</v>
      </c>
      <c r="Q415" s="16" t="n">
        <f aca="false">COUNTIFS($A$4:$A$1008,$A415,$O$4:$O$1008,"&gt;"&amp;O415)+1</f>
        <v>15</v>
      </c>
    </row>
    <row r="416" customFormat="false" ht="15" hidden="false" customHeight="false" outlineLevel="0" collapsed="false">
      <c r="A416" s="7" t="n">
        <v>2010</v>
      </c>
      <c r="B416" s="15" t="s">
        <v>140</v>
      </c>
      <c r="C416" s="15" t="s">
        <v>135</v>
      </c>
      <c r="D416" s="15" t="s">
        <v>141</v>
      </c>
      <c r="E416" s="9" t="n">
        <f aca="false">SUMIFS(Data!$L$2:$L$1006,Data!$A$2:$A$1006,$A416,Data!$B$2:$B$1006,$B416)</f>
        <v>781819</v>
      </c>
      <c r="F416" s="10" t="n">
        <f aca="false">SUMIFS(Data!$E$2:$E$1006,Data!$A$2:$A$1006,$A416,Data!$B$2:$B$1006,$B416)</f>
        <v>59.029004</v>
      </c>
      <c r="G416" s="10" t="n">
        <f aca="false">SUMIFS(Data!$F$2:$F$1006,Data!$A$2:$A$1006,$A416,Data!$B$2:$B$1006,$B416)</f>
        <v>59.176213</v>
      </c>
      <c r="H416" s="10" t="n">
        <f aca="false">SUMIFS(Data!$G$2:$G$1006,Data!$A$2:$A$1006,$A416,Data!$B$2:$B$1006,$B416)</f>
        <v>81.918119</v>
      </c>
      <c r="I416" s="10" t="n">
        <f aca="false">SUMIFS(Data!$N$2:$N$1006,Data!$A$2:$A$1006,$A416,Data!$B$2:$B$1006,$B416)</f>
        <v>200.123336</v>
      </c>
      <c r="J416" s="10" t="n">
        <f aca="false">SUMIFS(Data!$H$2:$H$1006,Data!$A$2:$A$1006,$A416,Data!$B$2:$B$1006,$B416)</f>
        <v>93.611485</v>
      </c>
      <c r="K416" s="11" t="n">
        <f aca="false">IFERROR(F416*1000000/$E416,"")</f>
        <v>75.502135404742</v>
      </c>
      <c r="L416" s="11" t="n">
        <f aca="false">IFERROR(G416*1000000/$E416,"")</f>
        <v>75.6904257890893</v>
      </c>
      <c r="M416" s="11" t="n">
        <f aca="false">IFERROR(H416*1000000/$E416,"")</f>
        <v>104.778879766289</v>
      </c>
      <c r="N416" s="11" t="n">
        <f aca="false">IFERROR(I416*1000000/$E416,"")</f>
        <v>255.97144096012</v>
      </c>
      <c r="O416" s="11" t="n">
        <f aca="false">IFERROR(J416*1000000/$E416,"")</f>
        <v>119.735495044249</v>
      </c>
      <c r="P416" s="16" t="n">
        <f aca="false">COUNTIFS($A$4:$A$1008,$A416,$N$4:$N$1008,"&gt;"&amp;N416)+1</f>
        <v>19</v>
      </c>
      <c r="Q416" s="16" t="n">
        <f aca="false">COUNTIFS($A$4:$A$1008,$A416,$O$4:$O$1008,"&gt;"&amp;O416)+1</f>
        <v>27</v>
      </c>
    </row>
    <row r="417" customFormat="false" ht="15" hidden="false" customHeight="false" outlineLevel="0" collapsed="false">
      <c r="A417" s="7" t="n">
        <v>2010</v>
      </c>
      <c r="B417" s="15" t="s">
        <v>142</v>
      </c>
      <c r="C417" s="15" t="s">
        <v>135</v>
      </c>
      <c r="D417" s="15" t="s">
        <v>143</v>
      </c>
      <c r="E417" s="9" t="n">
        <f aca="false">SUMIFS(Data!$L$2:$L$1006,Data!$A$2:$A$1006,$A417,Data!$B$2:$B$1006,$B417)</f>
        <v>582706</v>
      </c>
      <c r="F417" s="10" t="n">
        <f aca="false">SUMIFS(Data!$E$2:$E$1006,Data!$A$2:$A$1006,$A417,Data!$B$2:$B$1006,$B417)</f>
        <v>71.312157</v>
      </c>
      <c r="G417" s="10" t="n">
        <f aca="false">SUMIFS(Data!$F$2:$F$1006,Data!$A$2:$A$1006,$A417,Data!$B$2:$B$1006,$B417)</f>
        <v>27.627705</v>
      </c>
      <c r="H417" s="10" t="n">
        <f aca="false">SUMIFS(Data!$G$2:$G$1006,Data!$A$2:$A$1006,$A417,Data!$B$2:$B$1006,$B417)</f>
        <v>34.400039</v>
      </c>
      <c r="I417" s="10" t="n">
        <f aca="false">SUMIFS(Data!$N$2:$N$1006,Data!$A$2:$A$1006,$A417,Data!$B$2:$B$1006,$B417)</f>
        <v>133.339901</v>
      </c>
      <c r="J417" s="10" t="n">
        <f aca="false">SUMIFS(Data!$H$2:$H$1006,Data!$A$2:$A$1006,$A417,Data!$B$2:$B$1006,$B417)</f>
        <v>64.271968</v>
      </c>
      <c r="K417" s="11" t="n">
        <f aca="false">IFERROR(F417*1000000/$E417,"")</f>
        <v>122.381024049864</v>
      </c>
      <c r="L417" s="11" t="n">
        <f aca="false">IFERROR(G417*1000000/$E417,"")</f>
        <v>47.4127690464831</v>
      </c>
      <c r="M417" s="11" t="n">
        <f aca="false">IFERROR(H417*1000000/$E417,"")</f>
        <v>59.0349833363652</v>
      </c>
      <c r="N417" s="11" t="n">
        <f aca="false">IFERROR(I417*1000000/$E417,"")</f>
        <v>228.828776432712</v>
      </c>
      <c r="O417" s="11" t="n">
        <f aca="false">IFERROR(J417*1000000/$E417,"")</f>
        <v>110.299135413056</v>
      </c>
      <c r="P417" s="16" t="n">
        <f aca="false">COUNTIFS($A$4:$A$1008,$A417,$N$4:$N$1008,"&gt;"&amp;N417)+1</f>
        <v>31</v>
      </c>
      <c r="Q417" s="16" t="n">
        <f aca="false">COUNTIFS($A$4:$A$1008,$A417,$O$4:$O$1008,"&gt;"&amp;O417)+1</f>
        <v>31</v>
      </c>
    </row>
    <row r="418" customFormat="false" ht="15" hidden="false" customHeight="false" outlineLevel="0" collapsed="false">
      <c r="A418" s="7" t="n">
        <v>2010</v>
      </c>
      <c r="B418" s="15" t="s">
        <v>144</v>
      </c>
      <c r="C418" s="15" t="s">
        <v>135</v>
      </c>
      <c r="D418" s="15" t="s">
        <v>141</v>
      </c>
      <c r="E418" s="9" t="n">
        <f aca="false">SUMIFS(Data!$L$2:$L$1006,Data!$A$2:$A$1006,$A418,Data!$B$2:$B$1006,$B418)</f>
        <v>468161</v>
      </c>
      <c r="F418" s="10" t="n">
        <f aca="false">SUMIFS(Data!$E$2:$E$1006,Data!$A$2:$A$1006,$A418,Data!$B$2:$B$1006,$B418)</f>
        <v>35.618362</v>
      </c>
      <c r="G418" s="10" t="n">
        <f aca="false">SUMIFS(Data!$F$2:$F$1006,Data!$A$2:$A$1006,$A418,Data!$B$2:$B$1006,$B418)</f>
        <v>21.540692</v>
      </c>
      <c r="H418" s="10" t="n">
        <f aca="false">SUMIFS(Data!$G$2:$G$1006,Data!$A$2:$A$1006,$A418,Data!$B$2:$B$1006,$B418)</f>
        <v>59.987064</v>
      </c>
      <c r="I418" s="10" t="n">
        <f aca="false">SUMIFS(Data!$N$2:$N$1006,Data!$A$2:$A$1006,$A418,Data!$B$2:$B$1006,$B418)</f>
        <v>117.146118</v>
      </c>
      <c r="J418" s="10" t="n">
        <f aca="false">SUMIFS(Data!$H$2:$H$1006,Data!$A$2:$A$1006,$A418,Data!$B$2:$B$1006,$B418)</f>
        <v>49.446436</v>
      </c>
      <c r="K418" s="11" t="n">
        <f aca="false">IFERROR(F418*1000000/$E418,"")</f>
        <v>76.0814377959719</v>
      </c>
      <c r="L418" s="11" t="n">
        <f aca="false">IFERROR(G418*1000000/$E418,"")</f>
        <v>46.0112909875022</v>
      </c>
      <c r="M418" s="11" t="n">
        <f aca="false">IFERROR(H418*1000000/$E418,"")</f>
        <v>128.133407097131</v>
      </c>
      <c r="N418" s="11" t="n">
        <f aca="false">IFERROR(I418*1000000/$E418,"")</f>
        <v>250.226135880605</v>
      </c>
      <c r="O418" s="11" t="n">
        <f aca="false">IFERROR(J418*1000000/$E418,"")</f>
        <v>105.618443227864</v>
      </c>
      <c r="P418" s="16" t="n">
        <f aca="false">COUNTIFS($A$4:$A$1008,$A418,$N$4:$N$1008,"&gt;"&amp;N418)+1</f>
        <v>24</v>
      </c>
      <c r="Q418" s="16" t="n">
        <f aca="false">COUNTIFS($A$4:$A$1008,$A418,$O$4:$O$1008,"&gt;"&amp;O418)+1</f>
        <v>33</v>
      </c>
    </row>
    <row r="419" customFormat="false" ht="15" hidden="false" customHeight="false" outlineLevel="0" collapsed="false">
      <c r="A419" s="7" t="n">
        <v>2010</v>
      </c>
      <c r="B419" s="15" t="s">
        <v>145</v>
      </c>
      <c r="C419" s="15" t="s">
        <v>135</v>
      </c>
      <c r="D419" s="15" t="s">
        <v>146</v>
      </c>
      <c r="E419" s="9" t="n">
        <f aca="false">SUMIFS(Data!$L$2:$L$1006,Data!$A$2:$A$1006,$A419,Data!$B$2:$B$1006,$B419)</f>
        <v>526414</v>
      </c>
      <c r="F419" s="10" t="n">
        <f aca="false">SUMIFS(Data!$E$2:$E$1006,Data!$A$2:$A$1006,$A419,Data!$B$2:$B$1006,$B419)</f>
        <v>25.781994</v>
      </c>
      <c r="G419" s="10" t="n">
        <f aca="false">SUMIFS(Data!$F$2:$F$1006,Data!$A$2:$A$1006,$A419,Data!$B$2:$B$1006,$B419)</f>
        <v>63.541197</v>
      </c>
      <c r="H419" s="10" t="n">
        <f aca="false">SUMIFS(Data!$G$2:$G$1006,Data!$A$2:$A$1006,$A419,Data!$B$2:$B$1006,$B419)</f>
        <v>49.955196</v>
      </c>
      <c r="I419" s="10" t="n">
        <f aca="false">SUMIFS(Data!$N$2:$N$1006,Data!$A$2:$A$1006,$A419,Data!$B$2:$B$1006,$B419)</f>
        <v>139.278387</v>
      </c>
      <c r="J419" s="10" t="n">
        <f aca="false">SUMIFS(Data!$H$2:$H$1006,Data!$A$2:$A$1006,$A419,Data!$B$2:$B$1006,$B419)</f>
        <v>128.761238</v>
      </c>
      <c r="K419" s="11" t="n">
        <f aca="false">IFERROR(F419*1000000/$E419,"")</f>
        <v>48.9766495571926</v>
      </c>
      <c r="L419" s="11" t="n">
        <f aca="false">IFERROR(G419*1000000/$E419,"")</f>
        <v>120.705750606937</v>
      </c>
      <c r="M419" s="11" t="n">
        <f aca="false">IFERROR(H419*1000000/$E419,"")</f>
        <v>94.8971645890877</v>
      </c>
      <c r="N419" s="11" t="n">
        <f aca="false">IFERROR(I419*1000000/$E419,"")</f>
        <v>264.579564753217</v>
      </c>
      <c r="O419" s="11" t="n">
        <f aca="false">IFERROR(J419*1000000/$E419,"")</f>
        <v>244.600709707569</v>
      </c>
      <c r="P419" s="16" t="n">
        <f aca="false">COUNTIFS($A$4:$A$1008,$A419,$N$4:$N$1008,"&gt;"&amp;N419)+1</f>
        <v>17</v>
      </c>
      <c r="Q419" s="16" t="n">
        <f aca="false">COUNTIFS($A$4:$A$1008,$A419,$O$4:$O$1008,"&gt;"&amp;O419)+1</f>
        <v>4</v>
      </c>
    </row>
    <row r="420" customFormat="false" ht="15" hidden="false" customHeight="false" outlineLevel="0" collapsed="false">
      <c r="A420" s="7" t="n">
        <v>2010</v>
      </c>
      <c r="B420" s="15" t="s">
        <v>147</v>
      </c>
      <c r="C420" s="15" t="s">
        <v>135</v>
      </c>
      <c r="D420" s="15" t="s">
        <v>148</v>
      </c>
      <c r="E420" s="9" t="n">
        <f aca="false">SUMIFS(Data!$L$2:$L$1006,Data!$A$2:$A$1006,$A420,Data!$B$2:$B$1006,$B420)</f>
        <v>140700</v>
      </c>
      <c r="F420" s="10" t="n">
        <f aca="false">SUMIFS(Data!$E$2:$E$1006,Data!$A$2:$A$1006,$A420,Data!$B$2:$B$1006,$B420)</f>
        <v>12.79945</v>
      </c>
      <c r="G420" s="10" t="n">
        <f aca="false">SUMIFS(Data!$F$2:$F$1006,Data!$A$2:$A$1006,$A420,Data!$B$2:$B$1006,$B420)</f>
        <v>15.537403</v>
      </c>
      <c r="H420" s="10" t="n">
        <f aca="false">SUMIFS(Data!$G$2:$G$1006,Data!$A$2:$A$1006,$A420,Data!$B$2:$B$1006,$B420)</f>
        <v>10.068751</v>
      </c>
      <c r="I420" s="10" t="n">
        <f aca="false">SUMIFS(Data!$N$2:$N$1006,Data!$A$2:$A$1006,$A420,Data!$B$2:$B$1006,$B420)</f>
        <v>38.405604</v>
      </c>
      <c r="J420" s="10" t="n">
        <f aca="false">SUMIFS(Data!$H$2:$H$1006,Data!$A$2:$A$1006,$A420,Data!$B$2:$B$1006,$B420)</f>
        <v>26.948624</v>
      </c>
      <c r="K420" s="11" t="n">
        <f aca="false">IFERROR(F420*1000000/$E420,"")</f>
        <v>90.9697938877043</v>
      </c>
      <c r="L420" s="11" t="n">
        <f aca="false">IFERROR(G420*1000000/$E420,"")</f>
        <v>110.429303482587</v>
      </c>
      <c r="M420" s="11" t="n">
        <f aca="false">IFERROR(H420*1000000/$E420,"")</f>
        <v>71.5618407960199</v>
      </c>
      <c r="N420" s="11" t="n">
        <f aca="false">IFERROR(I420*1000000/$E420,"")</f>
        <v>272.960938166311</v>
      </c>
      <c r="O420" s="11" t="n">
        <f aca="false">IFERROR(J420*1000000/$E420,"")</f>
        <v>191.532508884151</v>
      </c>
      <c r="P420" s="16" t="n">
        <f aca="false">COUNTIFS($A$4:$A$1008,$A420,$N$4:$N$1008,"&gt;"&amp;N420)+1</f>
        <v>16</v>
      </c>
      <c r="Q420" s="16" t="n">
        <f aca="false">COUNTIFS($A$4:$A$1008,$A420,$O$4:$O$1008,"&gt;"&amp;O420)+1</f>
        <v>9</v>
      </c>
    </row>
    <row r="421" customFormat="false" ht="15" hidden="false" customHeight="false" outlineLevel="0" collapsed="false">
      <c r="A421" s="7" t="n">
        <v>2010</v>
      </c>
      <c r="B421" s="15" t="s">
        <v>149</v>
      </c>
      <c r="C421" s="15" t="s">
        <v>135</v>
      </c>
      <c r="D421" s="15" t="s">
        <v>146</v>
      </c>
      <c r="E421" s="9" t="n">
        <f aca="false">SUMIFS(Data!$L$2:$L$1006,Data!$A$2:$A$1006,$A421,Data!$B$2:$B$1006,$B421)</f>
        <v>726714</v>
      </c>
      <c r="F421" s="10" t="n">
        <f aca="false">SUMIFS(Data!$E$2:$E$1006,Data!$A$2:$A$1006,$A421,Data!$B$2:$B$1006,$B421)</f>
        <v>102.6114</v>
      </c>
      <c r="G421" s="10" t="n">
        <f aca="false">SUMIFS(Data!$F$2:$F$1006,Data!$A$2:$A$1006,$A421,Data!$B$2:$B$1006,$B421)</f>
        <v>75.064965</v>
      </c>
      <c r="H421" s="10" t="n">
        <f aca="false">SUMIFS(Data!$G$2:$G$1006,Data!$A$2:$A$1006,$A421,Data!$B$2:$B$1006,$B421)</f>
        <v>60.358928</v>
      </c>
      <c r="I421" s="10" t="n">
        <f aca="false">SUMIFS(Data!$N$2:$N$1006,Data!$A$2:$A$1006,$A421,Data!$B$2:$B$1006,$B421)</f>
        <v>238.035293</v>
      </c>
      <c r="J421" s="10" t="n">
        <f aca="false">SUMIFS(Data!$H$2:$H$1006,Data!$A$2:$A$1006,$A421,Data!$B$2:$B$1006,$B421)</f>
        <v>122.157327</v>
      </c>
      <c r="K421" s="11" t="n">
        <f aca="false">IFERROR(F421*1000000/$E421,"")</f>
        <v>141.199151247946</v>
      </c>
      <c r="L421" s="11" t="n">
        <f aca="false">IFERROR(G421*1000000/$E421,"")</f>
        <v>103.293682246386</v>
      </c>
      <c r="M421" s="11" t="n">
        <f aca="false">IFERROR(H421*1000000/$E421,"")</f>
        <v>83.0573347974582</v>
      </c>
      <c r="N421" s="11" t="n">
        <f aca="false">IFERROR(I421*1000000/$E421,"")</f>
        <v>327.55016829179</v>
      </c>
      <c r="O421" s="11" t="n">
        <f aca="false">IFERROR(J421*1000000/$E421,"")</f>
        <v>168.095463965191</v>
      </c>
      <c r="P421" s="16" t="n">
        <f aca="false">COUNTIFS($A$4:$A$1008,$A421,$N$4:$N$1008,"&gt;"&amp;N421)+1</f>
        <v>7</v>
      </c>
      <c r="Q421" s="16" t="n">
        <f aca="false">COUNTIFS($A$4:$A$1008,$A421,$O$4:$O$1008,"&gt;"&amp;O421)+1</f>
        <v>10</v>
      </c>
    </row>
    <row r="422" customFormat="false" ht="15" hidden="false" customHeight="false" outlineLevel="0" collapsed="false">
      <c r="A422" s="7" t="n">
        <v>2010</v>
      </c>
      <c r="B422" s="15" t="s">
        <v>150</v>
      </c>
      <c r="C422" s="15" t="s">
        <v>135</v>
      </c>
      <c r="D422" s="15" t="s">
        <v>141</v>
      </c>
      <c r="E422" s="9" t="n">
        <f aca="false">SUMIFS(Data!$L$2:$L$1006,Data!$A$2:$A$1006,$A422,Data!$B$2:$B$1006,$B422)</f>
        <v>456826</v>
      </c>
      <c r="F422" s="10" t="n">
        <f aca="false">SUMIFS(Data!$E$2:$E$1006,Data!$A$2:$A$1006,$A422,Data!$B$2:$B$1006,$B422)</f>
        <v>41.703518</v>
      </c>
      <c r="G422" s="10" t="n">
        <f aca="false">SUMIFS(Data!$F$2:$F$1006,Data!$A$2:$A$1006,$A422,Data!$B$2:$B$1006,$B422)</f>
        <v>17.826631</v>
      </c>
      <c r="H422" s="10" t="n">
        <f aca="false">SUMIFS(Data!$G$2:$G$1006,Data!$A$2:$A$1006,$A422,Data!$B$2:$B$1006,$B422)</f>
        <v>55.742236</v>
      </c>
      <c r="I422" s="10" t="n">
        <f aca="false">SUMIFS(Data!$N$2:$N$1006,Data!$A$2:$A$1006,$A422,Data!$B$2:$B$1006,$B422)</f>
        <v>115.272385</v>
      </c>
      <c r="J422" s="10" t="n">
        <f aca="false">SUMIFS(Data!$H$2:$H$1006,Data!$A$2:$A$1006,$A422,Data!$B$2:$B$1006,$B422)</f>
        <v>48.093257</v>
      </c>
      <c r="K422" s="11" t="n">
        <f aca="false">IFERROR(F422*1000000/$E422,"")</f>
        <v>91.2897208127383</v>
      </c>
      <c r="L422" s="11" t="n">
        <f aca="false">IFERROR(G422*1000000/$E422,"")</f>
        <v>39.0228029928244</v>
      </c>
      <c r="M422" s="11" t="n">
        <f aca="false">IFERROR(H422*1000000/$E422,"")</f>
        <v>122.020716859373</v>
      </c>
      <c r="N422" s="11" t="n">
        <f aca="false">IFERROR(I422*1000000/$E422,"")</f>
        <v>252.333240664936</v>
      </c>
      <c r="O422" s="11" t="n">
        <f aca="false">IFERROR(J422*1000000/$E422,"")</f>
        <v>105.276969787184</v>
      </c>
      <c r="P422" s="16" t="n">
        <f aca="false">COUNTIFS($A$4:$A$1008,$A422,$N$4:$N$1008,"&gt;"&amp;N422)+1</f>
        <v>20</v>
      </c>
      <c r="Q422" s="16" t="n">
        <f aca="false">COUNTIFS($A$4:$A$1008,$A422,$O$4:$O$1008,"&gt;"&amp;O422)+1</f>
        <v>34</v>
      </c>
    </row>
    <row r="423" customFormat="false" ht="15" hidden="false" customHeight="false" outlineLevel="0" collapsed="false">
      <c r="A423" s="7" t="n">
        <v>2010</v>
      </c>
      <c r="B423" s="15" t="s">
        <v>151</v>
      </c>
      <c r="C423" s="15" t="s">
        <v>135</v>
      </c>
      <c r="D423" s="15" t="s">
        <v>136</v>
      </c>
      <c r="E423" s="9" t="n">
        <f aca="false">SUMIFS(Data!$L$2:$L$1006,Data!$A$2:$A$1006,$A423,Data!$B$2:$B$1006,$B423)</f>
        <v>1363421</v>
      </c>
      <c r="F423" s="10" t="n">
        <f aca="false">SUMIFS(Data!$E$2:$E$1006,Data!$A$2:$A$1006,$A423,Data!$B$2:$B$1006,$B423)</f>
        <v>109.895709</v>
      </c>
      <c r="G423" s="10" t="n">
        <f aca="false">SUMIFS(Data!$F$2:$F$1006,Data!$A$2:$A$1006,$A423,Data!$B$2:$B$1006,$B423)</f>
        <v>139.097046</v>
      </c>
      <c r="H423" s="10" t="n">
        <f aca="false">SUMIFS(Data!$G$2:$G$1006,Data!$A$2:$A$1006,$A423,Data!$B$2:$B$1006,$B423)</f>
        <v>92.060297</v>
      </c>
      <c r="I423" s="10" t="n">
        <f aca="false">SUMIFS(Data!$N$2:$N$1006,Data!$A$2:$A$1006,$A423,Data!$B$2:$B$1006,$B423)</f>
        <v>341.053052</v>
      </c>
      <c r="J423" s="10" t="n">
        <f aca="false">SUMIFS(Data!$H$2:$H$1006,Data!$A$2:$A$1006,$A423,Data!$B$2:$B$1006,$B423)</f>
        <v>119.994214</v>
      </c>
      <c r="K423" s="11" t="n">
        <f aca="false">IFERROR(F423*1000000/$E423,"")</f>
        <v>80.6029164872772</v>
      </c>
      <c r="L423" s="11" t="n">
        <f aca="false">IFERROR(G423*1000000/$E423,"")</f>
        <v>102.020612855457</v>
      </c>
      <c r="M423" s="11" t="n">
        <f aca="false">IFERROR(H423*1000000/$E423,"")</f>
        <v>67.5215483698726</v>
      </c>
      <c r="N423" s="11" t="n">
        <f aca="false">IFERROR(I423*1000000/$E423,"")</f>
        <v>250.145077712607</v>
      </c>
      <c r="O423" s="11" t="n">
        <f aca="false">IFERROR(J423*1000000/$E423,"")</f>
        <v>88.0096565917644</v>
      </c>
      <c r="P423" s="16" t="n">
        <f aca="false">COUNTIFS($A$4:$A$1008,$A423,$N$4:$N$1008,"&gt;"&amp;N423)+1</f>
        <v>25</v>
      </c>
      <c r="Q423" s="16" t="n">
        <f aca="false">COUNTIFS($A$4:$A$1008,$A423,$O$4:$O$1008,"&gt;"&amp;O423)+1</f>
        <v>37</v>
      </c>
    </row>
    <row r="424" customFormat="false" ht="15" hidden="false" customHeight="false" outlineLevel="0" collapsed="false">
      <c r="A424" s="7" t="n">
        <v>2010</v>
      </c>
      <c r="B424" s="15" t="s">
        <v>152</v>
      </c>
      <c r="C424" s="15" t="s">
        <v>135</v>
      </c>
      <c r="D424" s="15" t="s">
        <v>148</v>
      </c>
      <c r="E424" s="9" t="n">
        <f aca="false">SUMIFS(Data!$L$2:$L$1006,Data!$A$2:$A$1006,$A424,Data!$B$2:$B$1006,$B424)</f>
        <v>260448</v>
      </c>
      <c r="F424" s="10" t="n">
        <f aca="false">SUMIFS(Data!$E$2:$E$1006,Data!$A$2:$A$1006,$A424,Data!$B$2:$B$1006,$B424)</f>
        <v>21.26231</v>
      </c>
      <c r="G424" s="10" t="n">
        <f aca="false">SUMIFS(Data!$F$2:$F$1006,Data!$A$2:$A$1006,$A424,Data!$B$2:$B$1006,$B424)</f>
        <v>21.160244</v>
      </c>
      <c r="H424" s="10" t="n">
        <f aca="false">SUMIFS(Data!$G$2:$G$1006,Data!$A$2:$A$1006,$A424,Data!$B$2:$B$1006,$B424)</f>
        <v>21.834183</v>
      </c>
      <c r="I424" s="10" t="n">
        <f aca="false">SUMIFS(Data!$N$2:$N$1006,Data!$A$2:$A$1006,$A424,Data!$B$2:$B$1006,$B424)</f>
        <v>64.256737</v>
      </c>
      <c r="J424" s="10" t="n">
        <f aca="false">SUMIFS(Data!$H$2:$H$1006,Data!$A$2:$A$1006,$A424,Data!$B$2:$B$1006,$B424)</f>
        <v>33.093093</v>
      </c>
      <c r="K424" s="11" t="n">
        <f aca="false">IFERROR(F424*1000000/$E424,"")</f>
        <v>81.6374477822828</v>
      </c>
      <c r="L424" s="11" t="n">
        <f aca="false">IFERROR(G424*1000000/$E424,"")</f>
        <v>81.245561494041</v>
      </c>
      <c r="M424" s="11" t="n">
        <f aca="false">IFERROR(H424*1000000/$E424,"")</f>
        <v>83.8331759122742</v>
      </c>
      <c r="N424" s="11" t="n">
        <f aca="false">IFERROR(I424*1000000/$E424,"")</f>
        <v>246.716185188598</v>
      </c>
      <c r="O424" s="11" t="n">
        <f aca="false">IFERROR(J424*1000000/$E424,"")</f>
        <v>127.06218899742</v>
      </c>
      <c r="P424" s="16" t="n">
        <f aca="false">COUNTIFS($A$4:$A$1008,$A424,$N$4:$N$1008,"&gt;"&amp;N424)+1</f>
        <v>26</v>
      </c>
      <c r="Q424" s="16" t="n">
        <f aca="false">COUNTIFS($A$4:$A$1008,$A424,$O$4:$O$1008,"&gt;"&amp;O424)+1</f>
        <v>24</v>
      </c>
    </row>
    <row r="425" customFormat="false" ht="15" hidden="false" customHeight="false" outlineLevel="0" collapsed="false">
      <c r="A425" s="7" t="n">
        <v>2010</v>
      </c>
      <c r="B425" s="15" t="s">
        <v>153</v>
      </c>
      <c r="C425" s="15" t="s">
        <v>135</v>
      </c>
      <c r="D425" s="15" t="s">
        <v>136</v>
      </c>
      <c r="E425" s="9" t="n">
        <f aca="false">SUMIFS(Data!$L$2:$L$1006,Data!$A$2:$A$1006,$A425,Data!$B$2:$B$1006,$B425)</f>
        <v>129240</v>
      </c>
      <c r="F425" s="10" t="n">
        <f aca="false">SUMIFS(Data!$E$2:$E$1006,Data!$A$2:$A$1006,$A425,Data!$B$2:$B$1006,$B425)</f>
        <v>15.688219</v>
      </c>
      <c r="G425" s="10" t="n">
        <f aca="false">SUMIFS(Data!$F$2:$F$1006,Data!$A$2:$A$1006,$A425,Data!$B$2:$B$1006,$B425)</f>
        <v>18.80738</v>
      </c>
      <c r="H425" s="10" t="n">
        <f aca="false">SUMIFS(Data!$G$2:$G$1006,Data!$A$2:$A$1006,$A425,Data!$B$2:$B$1006,$B425)</f>
        <v>9.795258</v>
      </c>
      <c r="I425" s="10" t="n">
        <f aca="false">SUMIFS(Data!$N$2:$N$1006,Data!$A$2:$A$1006,$A425,Data!$B$2:$B$1006,$B425)</f>
        <v>44.290857</v>
      </c>
      <c r="J425" s="10" t="n">
        <f aca="false">SUMIFS(Data!$H$2:$H$1006,Data!$A$2:$A$1006,$A425,Data!$B$2:$B$1006,$B425)</f>
        <v>16.934338</v>
      </c>
      <c r="K425" s="11" t="n">
        <f aca="false">IFERROR(F425*1000000/$E425,"")</f>
        <v>121.388262147942</v>
      </c>
      <c r="L425" s="11" t="n">
        <f aca="false">IFERROR(G425*1000000/$E425,"")</f>
        <v>145.522903125967</v>
      </c>
      <c r="M425" s="11" t="n">
        <f aca="false">IFERROR(H425*1000000/$E425,"")</f>
        <v>75.791225626741</v>
      </c>
      <c r="N425" s="11" t="n">
        <f aca="false">IFERROR(I425*1000000/$E425,"")</f>
        <v>342.70239090065</v>
      </c>
      <c r="O425" s="11" t="n">
        <f aca="false">IFERROR(J425*1000000/$E425,"")</f>
        <v>131.030160940885</v>
      </c>
      <c r="P425" s="16" t="n">
        <f aca="false">COUNTIFS($A$4:$A$1008,$A425,$N$4:$N$1008,"&gt;"&amp;N425)+1</f>
        <v>3</v>
      </c>
      <c r="Q425" s="16" t="n">
        <f aca="false">COUNTIFS($A$4:$A$1008,$A425,$O$4:$O$1008,"&gt;"&amp;O425)+1</f>
        <v>22</v>
      </c>
    </row>
    <row r="426" customFormat="false" ht="15" hidden="false" customHeight="false" outlineLevel="0" collapsed="false">
      <c r="A426" s="7" t="n">
        <v>2010</v>
      </c>
      <c r="B426" s="15" t="s">
        <v>154</v>
      </c>
      <c r="C426" s="15" t="s">
        <v>135</v>
      </c>
      <c r="D426" s="15" t="s">
        <v>141</v>
      </c>
      <c r="E426" s="9" t="n">
        <f aca="false">SUMIFS(Data!$L$2:$L$1006,Data!$A$2:$A$1006,$A426,Data!$B$2:$B$1006,$B426)</f>
        <v>146240</v>
      </c>
      <c r="F426" s="10" t="n">
        <f aca="false">SUMIFS(Data!$E$2:$E$1006,Data!$A$2:$A$1006,$A426,Data!$B$2:$B$1006,$B426)</f>
        <v>15.69921</v>
      </c>
      <c r="G426" s="10" t="n">
        <f aca="false">SUMIFS(Data!$F$2:$F$1006,Data!$A$2:$A$1006,$A426,Data!$B$2:$B$1006,$B426)</f>
        <v>7.996869</v>
      </c>
      <c r="H426" s="10" t="n">
        <f aca="false">SUMIFS(Data!$G$2:$G$1006,Data!$A$2:$A$1006,$A426,Data!$B$2:$B$1006,$B426)</f>
        <v>14.69252</v>
      </c>
      <c r="I426" s="10" t="n">
        <f aca="false">SUMIFS(Data!$N$2:$N$1006,Data!$A$2:$A$1006,$A426,Data!$B$2:$B$1006,$B426)</f>
        <v>38.388599</v>
      </c>
      <c r="J426" s="10" t="n">
        <f aca="false">SUMIFS(Data!$H$2:$H$1006,Data!$A$2:$A$1006,$A426,Data!$B$2:$B$1006,$B426)</f>
        <v>19.767533</v>
      </c>
      <c r="K426" s="11" t="n">
        <f aca="false">IFERROR(F426*1000000/$E426,"")</f>
        <v>107.352365973742</v>
      </c>
      <c r="L426" s="11" t="n">
        <f aca="false">IFERROR(G426*1000000/$E426,"")</f>
        <v>54.6831851750547</v>
      </c>
      <c r="M426" s="11" t="n">
        <f aca="false">IFERROR(H426*1000000/$E426,"")</f>
        <v>100.468544857768</v>
      </c>
      <c r="N426" s="11" t="n">
        <f aca="false">IFERROR(I426*1000000/$E426,"")</f>
        <v>262.504096006565</v>
      </c>
      <c r="O426" s="11" t="n">
        <f aca="false">IFERROR(J426*1000000/$E426,"")</f>
        <v>135.171861323851</v>
      </c>
      <c r="P426" s="16" t="n">
        <f aca="false">COUNTIFS($A$4:$A$1008,$A426,$N$4:$N$1008,"&gt;"&amp;N426)+1</f>
        <v>18</v>
      </c>
      <c r="Q426" s="16" t="n">
        <f aca="false">COUNTIFS($A$4:$A$1008,$A426,$O$4:$O$1008,"&gt;"&amp;O426)+1</f>
        <v>20</v>
      </c>
    </row>
    <row r="427" customFormat="false" ht="15" hidden="false" customHeight="false" outlineLevel="0" collapsed="false">
      <c r="A427" s="7" t="n">
        <v>2010</v>
      </c>
      <c r="B427" s="15" t="s">
        <v>155</v>
      </c>
      <c r="C427" s="15" t="s">
        <v>135</v>
      </c>
      <c r="D427" s="15" t="s">
        <v>148</v>
      </c>
      <c r="E427" s="9" t="n">
        <f aca="false">SUMIFS(Data!$L$2:$L$1006,Data!$A$2:$A$1006,$A427,Data!$B$2:$B$1006,$B427)</f>
        <v>1118695</v>
      </c>
      <c r="F427" s="10" t="n">
        <f aca="false">SUMIFS(Data!$E$2:$E$1006,Data!$A$2:$A$1006,$A427,Data!$B$2:$B$1006,$B427)</f>
        <v>89.884165</v>
      </c>
      <c r="G427" s="10" t="n">
        <f aca="false">SUMIFS(Data!$F$2:$F$1006,Data!$A$2:$A$1006,$A427,Data!$B$2:$B$1006,$B427)</f>
        <v>133.071879</v>
      </c>
      <c r="H427" s="10" t="n">
        <f aca="false">SUMIFS(Data!$G$2:$G$1006,Data!$A$2:$A$1006,$A427,Data!$B$2:$B$1006,$B427)</f>
        <v>88.01492</v>
      </c>
      <c r="I427" s="10" t="n">
        <f aca="false">SUMIFS(Data!$N$2:$N$1006,Data!$A$2:$A$1006,$A427,Data!$B$2:$B$1006,$B427)</f>
        <v>310.970964</v>
      </c>
      <c r="J427" s="10" t="n">
        <f aca="false">SUMIFS(Data!$H$2:$H$1006,Data!$A$2:$A$1006,$A427,Data!$B$2:$B$1006,$B427)</f>
        <v>136.456767</v>
      </c>
      <c r="K427" s="11" t="n">
        <f aca="false">IFERROR(F427*1000000/$E427,"")</f>
        <v>80.3473377462132</v>
      </c>
      <c r="L427" s="11" t="n">
        <f aca="false">IFERROR(G427*1000000/$E427,"")</f>
        <v>118.952778907566</v>
      </c>
      <c r="M427" s="11" t="n">
        <f aca="false">IFERROR(H427*1000000/$E427,"")</f>
        <v>78.6764220810856</v>
      </c>
      <c r="N427" s="11" t="n">
        <f aca="false">IFERROR(I427*1000000/$E427,"")</f>
        <v>277.976538734865</v>
      </c>
      <c r="O427" s="11" t="n">
        <f aca="false">IFERROR(J427*1000000/$E427,"")</f>
        <v>121.978525871663</v>
      </c>
      <c r="P427" s="16" t="n">
        <f aca="false">COUNTIFS($A$4:$A$1008,$A427,$N$4:$N$1008,"&gt;"&amp;N427)+1</f>
        <v>12</v>
      </c>
      <c r="Q427" s="16" t="n">
        <f aca="false">COUNTIFS($A$4:$A$1008,$A427,$O$4:$O$1008,"&gt;"&amp;O427)+1</f>
        <v>25</v>
      </c>
    </row>
    <row r="428" customFormat="false" ht="15" hidden="false" customHeight="false" outlineLevel="0" collapsed="false">
      <c r="A428" s="7" t="n">
        <v>2010</v>
      </c>
      <c r="B428" s="15" t="s">
        <v>156</v>
      </c>
      <c r="C428" s="15" t="s">
        <v>135</v>
      </c>
      <c r="D428" s="15" t="s">
        <v>148</v>
      </c>
      <c r="E428" s="9" t="n">
        <f aca="false">SUMIFS(Data!$L$2:$L$1006,Data!$A$2:$A$1006,$A428,Data!$B$2:$B$1006,$B428)</f>
        <v>456421</v>
      </c>
      <c r="F428" s="10" t="n">
        <f aca="false">SUMIFS(Data!$E$2:$E$1006,Data!$A$2:$A$1006,$A428,Data!$B$2:$B$1006,$B428)</f>
        <v>25.712284</v>
      </c>
      <c r="G428" s="10" t="n">
        <f aca="false">SUMIFS(Data!$F$2:$F$1006,Data!$A$2:$A$1006,$A428,Data!$B$2:$B$1006,$B428)</f>
        <v>46.85738</v>
      </c>
      <c r="H428" s="10" t="n">
        <f aca="false">SUMIFS(Data!$G$2:$G$1006,Data!$A$2:$A$1006,$A428,Data!$B$2:$B$1006,$B428)</f>
        <v>40.005178</v>
      </c>
      <c r="I428" s="10" t="n">
        <f aca="false">SUMIFS(Data!$N$2:$N$1006,Data!$A$2:$A$1006,$A428,Data!$B$2:$B$1006,$B428)</f>
        <v>112.574842</v>
      </c>
      <c r="J428" s="10" t="n">
        <f aca="false">SUMIFS(Data!$H$2:$H$1006,Data!$A$2:$A$1006,$A428,Data!$B$2:$B$1006,$B428)</f>
        <v>116.799338</v>
      </c>
      <c r="K428" s="11" t="n">
        <f aca="false">IFERROR(F428*1000000/$E428,"")</f>
        <v>56.3345770681016</v>
      </c>
      <c r="L428" s="11" t="n">
        <f aca="false">IFERROR(G428*1000000/$E428,"")</f>
        <v>102.662629458329</v>
      </c>
      <c r="M428" s="11" t="n">
        <f aca="false">IFERROR(H428*1000000/$E428,"")</f>
        <v>87.6497312787974</v>
      </c>
      <c r="N428" s="11" t="n">
        <f aca="false">IFERROR(I428*1000000/$E428,"")</f>
        <v>246.646937805228</v>
      </c>
      <c r="O428" s="11" t="n">
        <f aca="false">IFERROR(J428*1000000/$E428,"")</f>
        <v>255.902638134529</v>
      </c>
      <c r="P428" s="16" t="n">
        <f aca="false">COUNTIFS($A$4:$A$1008,$A428,$N$4:$N$1008,"&gt;"&amp;N428)+1</f>
        <v>27</v>
      </c>
      <c r="Q428" s="16" t="n">
        <f aca="false">COUNTIFS($A$4:$A$1008,$A428,$O$4:$O$1008,"&gt;"&amp;O428)+1</f>
        <v>2</v>
      </c>
    </row>
    <row r="429" customFormat="false" ht="15" hidden="false" customHeight="false" outlineLevel="0" collapsed="false">
      <c r="A429" s="7" t="n">
        <v>2010</v>
      </c>
      <c r="B429" s="15" t="s">
        <v>157</v>
      </c>
      <c r="C429" s="15" t="s">
        <v>135</v>
      </c>
      <c r="D429" s="15" t="s">
        <v>148</v>
      </c>
      <c r="E429" s="9" t="n">
        <f aca="false">SUMIFS(Data!$L$2:$L$1006,Data!$A$2:$A$1006,$A429,Data!$B$2:$B$1006,$B429)</f>
        <v>437757</v>
      </c>
      <c r="F429" s="10" t="n">
        <f aca="false">SUMIFS(Data!$E$2:$E$1006,Data!$A$2:$A$1006,$A429,Data!$B$2:$B$1006,$B429)</f>
        <v>44.928173</v>
      </c>
      <c r="G429" s="10" t="n">
        <f aca="false">SUMIFS(Data!$F$2:$F$1006,Data!$A$2:$A$1006,$A429,Data!$B$2:$B$1006,$B429)</f>
        <v>46.358656</v>
      </c>
      <c r="H429" s="10" t="n">
        <f aca="false">SUMIFS(Data!$G$2:$G$1006,Data!$A$2:$A$1006,$A429,Data!$B$2:$B$1006,$B429)</f>
        <v>29.192346</v>
      </c>
      <c r="I429" s="10" t="n">
        <f aca="false">SUMIFS(Data!$N$2:$N$1006,Data!$A$2:$A$1006,$A429,Data!$B$2:$B$1006,$B429)</f>
        <v>120.479175</v>
      </c>
      <c r="J429" s="10" t="n">
        <f aca="false">SUMIFS(Data!$H$2:$H$1006,Data!$A$2:$A$1006,$A429,Data!$B$2:$B$1006,$B429)</f>
        <v>25.038212</v>
      </c>
      <c r="K429" s="11" t="n">
        <f aca="false">IFERROR(F429*1000000/$E429,"")</f>
        <v>102.632677490023</v>
      </c>
      <c r="L429" s="11" t="n">
        <f aca="false">IFERROR(G429*1000000/$E429,"")</f>
        <v>105.900433345441</v>
      </c>
      <c r="M429" s="11" t="n">
        <f aca="false">IFERROR(H429*1000000/$E429,"")</f>
        <v>66.6861889130271</v>
      </c>
      <c r="N429" s="11" t="n">
        <f aca="false">IFERROR(I429*1000000/$E429,"")</f>
        <v>275.219299748491</v>
      </c>
      <c r="O429" s="11" t="n">
        <f aca="false">IFERROR(J429*1000000/$E429,"")</f>
        <v>57.1965999401495</v>
      </c>
      <c r="P429" s="16" t="n">
        <f aca="false">COUNTIFS($A$4:$A$1008,$A429,$N$4:$N$1008,"&gt;"&amp;N429)+1</f>
        <v>14</v>
      </c>
      <c r="Q429" s="16" t="n">
        <f aca="false">COUNTIFS($A$4:$A$1008,$A429,$O$4:$O$1008,"&gt;"&amp;O429)+1</f>
        <v>39</v>
      </c>
    </row>
    <row r="430" customFormat="false" ht="15" hidden="false" customHeight="false" outlineLevel="0" collapsed="false">
      <c r="A430" s="7" t="n">
        <v>2011</v>
      </c>
      <c r="B430" s="15" t="s">
        <v>101</v>
      </c>
      <c r="C430" s="15" t="s">
        <v>102</v>
      </c>
      <c r="D430" s="15" t="s">
        <v>103</v>
      </c>
      <c r="E430" s="9" t="n">
        <f aca="false">SUMIFS(Data!$L$2:$L$1006,Data!$A$2:$A$1006,$A430,Data!$B$2:$B$1006,$B430)</f>
        <v>748935</v>
      </c>
      <c r="F430" s="10" t="n">
        <f aca="false">SUMIFS(Data!$E$2:$E$1006,Data!$A$2:$A$1006,$A430,Data!$B$2:$B$1006,$B430)</f>
        <v>39.997748</v>
      </c>
      <c r="G430" s="10" t="n">
        <f aca="false">SUMIFS(Data!$F$2:$F$1006,Data!$A$2:$A$1006,$A430,Data!$B$2:$B$1006,$B430)</f>
        <v>29.591602</v>
      </c>
      <c r="H430" s="10" t="n">
        <f aca="false">SUMIFS(Data!$G$2:$G$1006,Data!$A$2:$A$1006,$A430,Data!$B$2:$B$1006,$B430)</f>
        <v>59.790164</v>
      </c>
      <c r="I430" s="10" t="n">
        <f aca="false">SUMIFS(Data!$N$2:$N$1006,Data!$A$2:$A$1006,$A430,Data!$B$2:$B$1006,$B430)</f>
        <v>129.379514</v>
      </c>
      <c r="J430" s="10" t="n">
        <f aca="false">SUMIFS(Data!$H$2:$H$1006,Data!$A$2:$A$1006,$A430,Data!$B$2:$B$1006,$B430)</f>
        <v>88.096472</v>
      </c>
      <c r="K430" s="11" t="n">
        <f aca="false">IFERROR(F430*1000000/$E430,"")</f>
        <v>53.4061674244093</v>
      </c>
      <c r="L430" s="11" t="n">
        <f aca="false">IFERROR(G430*1000000/$E430,"")</f>
        <v>39.5115757709281</v>
      </c>
      <c r="M430" s="11" t="n">
        <f aca="false">IFERROR(H430*1000000/$E430,"")</f>
        <v>79.8335823536088</v>
      </c>
      <c r="N430" s="11" t="n">
        <f aca="false">IFERROR(I430*1000000/$E430,"")</f>
        <v>172.751325548946</v>
      </c>
      <c r="O430" s="11" t="n">
        <f aca="false">IFERROR(J430*1000000/$E430,"")</f>
        <v>117.628995840761</v>
      </c>
      <c r="P430" s="16" t="n">
        <f aca="false">COUNTIFS($A$4:$A$1008,$A430,$N$4:$N$1008,"&gt;"&amp;N430)+1</f>
        <v>38</v>
      </c>
      <c r="Q430" s="16" t="n">
        <f aca="false">COUNTIFS($A$4:$A$1008,$A430,$O$4:$O$1008,"&gt;"&amp;O430)+1</f>
        <v>30</v>
      </c>
    </row>
    <row r="431" customFormat="false" ht="15" hidden="false" customHeight="false" outlineLevel="0" collapsed="false">
      <c r="A431" s="7" t="n">
        <v>2011</v>
      </c>
      <c r="B431" s="15" t="s">
        <v>104</v>
      </c>
      <c r="C431" s="15" t="s">
        <v>102</v>
      </c>
      <c r="D431" s="15" t="s">
        <v>105</v>
      </c>
      <c r="E431" s="9" t="n">
        <f aca="false">SUMIFS(Data!$L$2:$L$1006,Data!$A$2:$A$1006,$A431,Data!$B$2:$B$1006,$B431)</f>
        <v>1099194</v>
      </c>
      <c r="F431" s="10" t="n">
        <f aca="false">SUMIFS(Data!$E$2:$E$1006,Data!$A$2:$A$1006,$A431,Data!$B$2:$B$1006,$B431)</f>
        <v>143.935863</v>
      </c>
      <c r="G431" s="10" t="n">
        <f aca="false">SUMIFS(Data!$F$2:$F$1006,Data!$A$2:$A$1006,$A431,Data!$B$2:$B$1006,$B431)</f>
        <v>155.584305</v>
      </c>
      <c r="H431" s="10" t="n">
        <f aca="false">SUMIFS(Data!$G$2:$G$1006,Data!$A$2:$A$1006,$A431,Data!$B$2:$B$1006,$B431)</f>
        <v>104.827422</v>
      </c>
      <c r="I431" s="10" t="n">
        <f aca="false">SUMIFS(Data!$N$2:$N$1006,Data!$A$2:$A$1006,$A431,Data!$B$2:$B$1006,$B431)</f>
        <v>404.34759</v>
      </c>
      <c r="J431" s="10" t="n">
        <f aca="false">SUMIFS(Data!$H$2:$H$1006,Data!$A$2:$A$1006,$A431,Data!$B$2:$B$1006,$B431)</f>
        <v>96.485478</v>
      </c>
      <c r="K431" s="11" t="n">
        <f aca="false">IFERROR(F431*1000000/$E431,"")</f>
        <v>130.946732787843</v>
      </c>
      <c r="L431" s="11" t="n">
        <f aca="false">IFERROR(G431*1000000/$E431,"")</f>
        <v>141.543990414795</v>
      </c>
      <c r="M431" s="11" t="n">
        <f aca="false">IFERROR(H431*1000000/$E431,"")</f>
        <v>95.3675347572858</v>
      </c>
      <c r="N431" s="11" t="n">
        <f aca="false">IFERROR(I431*1000000/$E431,"")</f>
        <v>367.858257959923</v>
      </c>
      <c r="O431" s="11" t="n">
        <f aca="false">IFERROR(J431*1000000/$E431,"")</f>
        <v>87.7783885283217</v>
      </c>
      <c r="P431" s="16" t="n">
        <f aca="false">COUNTIFS($A$4:$A$1008,$A431,$N$4:$N$1008,"&gt;"&amp;N431)+1</f>
        <v>3</v>
      </c>
      <c r="Q431" s="16" t="n">
        <f aca="false">COUNTIFS($A$4:$A$1008,$A431,$O$4:$O$1008,"&gt;"&amp;O431)+1</f>
        <v>38</v>
      </c>
    </row>
    <row r="432" customFormat="false" ht="15" hidden="false" customHeight="false" outlineLevel="0" collapsed="false">
      <c r="A432" s="7" t="n">
        <v>2011</v>
      </c>
      <c r="B432" s="15" t="s">
        <v>106</v>
      </c>
      <c r="C432" s="15" t="s">
        <v>102</v>
      </c>
      <c r="D432" s="15" t="s">
        <v>107</v>
      </c>
      <c r="E432" s="9" t="n">
        <f aca="false">SUMIFS(Data!$L$2:$L$1006,Data!$A$2:$A$1006,$A432,Data!$B$2:$B$1006,$B432)</f>
        <v>552631</v>
      </c>
      <c r="F432" s="10" t="n">
        <f aca="false">SUMIFS(Data!$E$2:$E$1006,Data!$A$2:$A$1006,$A432,Data!$B$2:$B$1006,$B432)</f>
        <v>48.484714</v>
      </c>
      <c r="G432" s="10" t="n">
        <f aca="false">SUMIFS(Data!$F$2:$F$1006,Data!$A$2:$A$1006,$A432,Data!$B$2:$B$1006,$B432)</f>
        <v>74.4068</v>
      </c>
      <c r="H432" s="10" t="n">
        <f aca="false">SUMIFS(Data!$G$2:$G$1006,Data!$A$2:$A$1006,$A432,Data!$B$2:$B$1006,$B432)</f>
        <v>47.65817</v>
      </c>
      <c r="I432" s="10" t="n">
        <f aca="false">SUMIFS(Data!$N$2:$N$1006,Data!$A$2:$A$1006,$A432,Data!$B$2:$B$1006,$B432)</f>
        <v>170.549684</v>
      </c>
      <c r="J432" s="10" t="n">
        <f aca="false">SUMIFS(Data!$H$2:$H$1006,Data!$A$2:$A$1006,$A432,Data!$B$2:$B$1006,$B432)</f>
        <v>78.13427</v>
      </c>
      <c r="K432" s="11" t="n">
        <f aca="false">IFERROR(F432*1000000/$E432,"")</f>
        <v>87.7343362931142</v>
      </c>
      <c r="L432" s="11" t="n">
        <f aca="false">IFERROR(G432*1000000/$E432,"")</f>
        <v>134.64101724297</v>
      </c>
      <c r="M432" s="11" t="n">
        <f aca="false">IFERROR(H432*1000000/$E432,"")</f>
        <v>86.238683678621</v>
      </c>
      <c r="N432" s="11" t="n">
        <f aca="false">IFERROR(I432*1000000/$E432,"")</f>
        <v>308.614037214706</v>
      </c>
      <c r="O432" s="11" t="n">
        <f aca="false">IFERROR(J432*1000000/$E432,"")</f>
        <v>141.385970023397</v>
      </c>
      <c r="P432" s="16" t="n">
        <f aca="false">COUNTIFS($A$4:$A$1008,$A432,$N$4:$N$1008,"&gt;"&amp;N432)+1</f>
        <v>15</v>
      </c>
      <c r="Q432" s="16" t="n">
        <f aca="false">COUNTIFS($A$4:$A$1008,$A432,$O$4:$O$1008,"&gt;"&amp;O432)+1</f>
        <v>22</v>
      </c>
    </row>
    <row r="433" customFormat="false" ht="15" hidden="false" customHeight="false" outlineLevel="0" collapsed="false">
      <c r="A433" s="7" t="n">
        <v>2011</v>
      </c>
      <c r="B433" s="15" t="s">
        <v>108</v>
      </c>
      <c r="C433" s="15" t="s">
        <v>102</v>
      </c>
      <c r="D433" s="15" t="s">
        <v>109</v>
      </c>
      <c r="E433" s="9" t="n">
        <f aca="false">SUMIFS(Data!$L$2:$L$1006,Data!$A$2:$A$1006,$A433,Data!$B$2:$B$1006,$B433)</f>
        <v>386819</v>
      </c>
      <c r="F433" s="10" t="n">
        <f aca="false">SUMIFS(Data!$E$2:$E$1006,Data!$A$2:$A$1006,$A433,Data!$B$2:$B$1006,$B433)</f>
        <v>31.191505</v>
      </c>
      <c r="G433" s="10" t="n">
        <f aca="false">SUMIFS(Data!$F$2:$F$1006,Data!$A$2:$A$1006,$A433,Data!$B$2:$B$1006,$B433)</f>
        <v>13.466318</v>
      </c>
      <c r="H433" s="10" t="n">
        <f aca="false">SUMIFS(Data!$G$2:$G$1006,Data!$A$2:$A$1006,$A433,Data!$B$2:$B$1006,$B433)</f>
        <v>30.094058</v>
      </c>
      <c r="I433" s="10" t="n">
        <f aca="false">SUMIFS(Data!$N$2:$N$1006,Data!$A$2:$A$1006,$A433,Data!$B$2:$B$1006,$B433)</f>
        <v>74.751881</v>
      </c>
      <c r="J433" s="10" t="n">
        <f aca="false">SUMIFS(Data!$H$2:$H$1006,Data!$A$2:$A$1006,$A433,Data!$B$2:$B$1006,$B433)</f>
        <v>65.290304</v>
      </c>
      <c r="K433" s="11" t="n">
        <f aca="false">IFERROR(F433*1000000/$E433,"")</f>
        <v>80.6359175738524</v>
      </c>
      <c r="L433" s="11" t="n">
        <f aca="false">IFERROR(G433*1000000/$E433,"")</f>
        <v>34.8129693732728</v>
      </c>
      <c r="M433" s="11" t="n">
        <f aca="false">IFERROR(H433*1000000/$E433,"")</f>
        <v>77.7988102962885</v>
      </c>
      <c r="N433" s="11" t="n">
        <f aca="false">IFERROR(I433*1000000/$E433,"")</f>
        <v>193.247697243414</v>
      </c>
      <c r="O433" s="11" t="n">
        <f aca="false">IFERROR(J433*1000000/$E433,"")</f>
        <v>168.787737934279</v>
      </c>
      <c r="P433" s="16" t="n">
        <f aca="false">COUNTIFS($A$4:$A$1008,$A433,$N$4:$N$1008,"&gt;"&amp;N433)+1</f>
        <v>36</v>
      </c>
      <c r="Q433" s="16" t="n">
        <f aca="false">COUNTIFS($A$4:$A$1008,$A433,$O$4:$O$1008,"&gt;"&amp;O433)+1</f>
        <v>12</v>
      </c>
    </row>
    <row r="434" customFormat="false" ht="15" hidden="false" customHeight="false" outlineLevel="0" collapsed="false">
      <c r="A434" s="7" t="n">
        <v>2011</v>
      </c>
      <c r="B434" s="15" t="s">
        <v>110</v>
      </c>
      <c r="C434" s="15" t="s">
        <v>102</v>
      </c>
      <c r="D434" s="15" t="s">
        <v>103</v>
      </c>
      <c r="E434" s="9" t="n">
        <f aca="false">SUMIFS(Data!$L$2:$L$1006,Data!$A$2:$A$1006,$A434,Data!$B$2:$B$1006,$B434)</f>
        <v>1034534</v>
      </c>
      <c r="F434" s="10" t="n">
        <f aca="false">SUMIFS(Data!$E$2:$E$1006,Data!$A$2:$A$1006,$A434,Data!$B$2:$B$1006,$B434)</f>
        <v>49.901851</v>
      </c>
      <c r="G434" s="10" t="n">
        <f aca="false">SUMIFS(Data!$F$2:$F$1006,Data!$A$2:$A$1006,$A434,Data!$B$2:$B$1006,$B434)</f>
        <v>51.227553</v>
      </c>
      <c r="H434" s="10" t="n">
        <f aca="false">SUMIFS(Data!$G$2:$G$1006,Data!$A$2:$A$1006,$A434,Data!$B$2:$B$1006,$B434)</f>
        <v>61.088546</v>
      </c>
      <c r="I434" s="10" t="n">
        <f aca="false">SUMIFS(Data!$N$2:$N$1006,Data!$A$2:$A$1006,$A434,Data!$B$2:$B$1006,$B434)</f>
        <v>162.21795</v>
      </c>
      <c r="J434" s="10" t="n">
        <f aca="false">SUMIFS(Data!$H$2:$H$1006,Data!$A$2:$A$1006,$A434,Data!$B$2:$B$1006,$B434)</f>
        <v>94.088052</v>
      </c>
      <c r="K434" s="11" t="n">
        <f aca="false">IFERROR(F434*1000000/$E434,"")</f>
        <v>48.2360666734974</v>
      </c>
      <c r="L434" s="11" t="n">
        <f aca="false">IFERROR(G434*1000000/$E434,"")</f>
        <v>49.5175151324171</v>
      </c>
      <c r="M434" s="11" t="n">
        <f aca="false">IFERROR(H434*1000000/$E434,"")</f>
        <v>59.0493362228791</v>
      </c>
      <c r="N434" s="11" t="n">
        <f aca="false">IFERROR(I434*1000000/$E434,"")</f>
        <v>156.802918028794</v>
      </c>
      <c r="O434" s="11" t="n">
        <f aca="false">IFERROR(J434*1000000/$E434,"")</f>
        <v>90.9472786781295</v>
      </c>
      <c r="P434" s="16" t="n">
        <f aca="false">COUNTIFS($A$4:$A$1008,$A434,$N$4:$N$1008,"&gt;"&amp;N434)+1</f>
        <v>39</v>
      </c>
      <c r="Q434" s="16" t="n">
        <f aca="false">COUNTIFS($A$4:$A$1008,$A434,$O$4:$O$1008,"&gt;"&amp;O434)+1</f>
        <v>37</v>
      </c>
    </row>
    <row r="435" customFormat="false" ht="15" hidden="false" customHeight="false" outlineLevel="0" collapsed="false">
      <c r="A435" s="7" t="n">
        <v>2011</v>
      </c>
      <c r="B435" s="15" t="s">
        <v>111</v>
      </c>
      <c r="C435" s="15" t="s">
        <v>102</v>
      </c>
      <c r="D435" s="15" t="s">
        <v>107</v>
      </c>
      <c r="E435" s="9" t="n">
        <f aca="false">SUMIFS(Data!$L$2:$L$1006,Data!$A$2:$A$1006,$A435,Data!$B$2:$B$1006,$B435)</f>
        <v>589651</v>
      </c>
      <c r="F435" s="10" t="n">
        <f aca="false">SUMIFS(Data!$E$2:$E$1006,Data!$A$2:$A$1006,$A435,Data!$B$2:$B$1006,$B435)</f>
        <v>35.953693</v>
      </c>
      <c r="G435" s="10" t="n">
        <f aca="false">SUMIFS(Data!$F$2:$F$1006,Data!$A$2:$A$1006,$A435,Data!$B$2:$B$1006,$B435)</f>
        <v>72.623239</v>
      </c>
      <c r="H435" s="10" t="n">
        <f aca="false">SUMIFS(Data!$G$2:$G$1006,Data!$A$2:$A$1006,$A435,Data!$B$2:$B$1006,$B435)</f>
        <v>50.444309</v>
      </c>
      <c r="I435" s="10" t="n">
        <f aca="false">SUMIFS(Data!$N$2:$N$1006,Data!$A$2:$A$1006,$A435,Data!$B$2:$B$1006,$B435)</f>
        <v>159.021241</v>
      </c>
      <c r="J435" s="10" t="n">
        <f aca="false">SUMIFS(Data!$H$2:$H$1006,Data!$A$2:$A$1006,$A435,Data!$B$2:$B$1006,$B435)</f>
        <v>78.314762</v>
      </c>
      <c r="K435" s="11" t="n">
        <f aca="false">IFERROR(F435*1000000/$E435,"")</f>
        <v>60.9745306969716</v>
      </c>
      <c r="L435" s="11" t="n">
        <f aca="false">IFERROR(G435*1000000/$E435,"")</f>
        <v>123.163089692038</v>
      </c>
      <c r="M435" s="11" t="n">
        <f aca="false">IFERROR(H435*1000000/$E435,"")</f>
        <v>85.5494334784474</v>
      </c>
      <c r="N435" s="11" t="n">
        <f aca="false">IFERROR(I435*1000000/$E435,"")</f>
        <v>269.687053867457</v>
      </c>
      <c r="O435" s="11" t="n">
        <f aca="false">IFERROR(J435*1000000/$E435,"")</f>
        <v>132.815448460191</v>
      </c>
      <c r="P435" s="16" t="n">
        <f aca="false">COUNTIFS($A$4:$A$1008,$A435,$N$4:$N$1008,"&gt;"&amp;N435)+1</f>
        <v>20</v>
      </c>
      <c r="Q435" s="16" t="n">
        <f aca="false">COUNTIFS($A$4:$A$1008,$A435,$O$4:$O$1008,"&gt;"&amp;O435)+1</f>
        <v>26</v>
      </c>
    </row>
    <row r="436" customFormat="false" ht="15" hidden="false" customHeight="false" outlineLevel="0" collapsed="false">
      <c r="A436" s="7" t="n">
        <v>2011</v>
      </c>
      <c r="B436" s="15" t="s">
        <v>112</v>
      </c>
      <c r="C436" s="15" t="s">
        <v>102</v>
      </c>
      <c r="D436" s="15" t="s">
        <v>107</v>
      </c>
      <c r="E436" s="9" t="n">
        <f aca="false">SUMIFS(Data!$L$2:$L$1006,Data!$A$2:$A$1006,$A436,Data!$B$2:$B$1006,$B436)</f>
        <v>160250</v>
      </c>
      <c r="F436" s="10" t="n">
        <f aca="false">SUMIFS(Data!$E$2:$E$1006,Data!$A$2:$A$1006,$A436,Data!$B$2:$B$1006,$B436)</f>
        <v>7.916894</v>
      </c>
      <c r="G436" s="10" t="n">
        <f aca="false">SUMIFS(Data!$F$2:$F$1006,Data!$A$2:$A$1006,$A436,Data!$B$2:$B$1006,$B436)</f>
        <v>23.243362</v>
      </c>
      <c r="H436" s="10" t="n">
        <f aca="false">SUMIFS(Data!$G$2:$G$1006,Data!$A$2:$A$1006,$A436,Data!$B$2:$B$1006,$B436)</f>
        <v>9.553776</v>
      </c>
      <c r="I436" s="10" t="n">
        <f aca="false">SUMIFS(Data!$N$2:$N$1006,Data!$A$2:$A$1006,$A436,Data!$B$2:$B$1006,$B436)</f>
        <v>40.714032</v>
      </c>
      <c r="J436" s="10" t="n">
        <f aca="false">SUMIFS(Data!$H$2:$H$1006,Data!$A$2:$A$1006,$A436,Data!$B$2:$B$1006,$B436)</f>
        <v>19.711283</v>
      </c>
      <c r="K436" s="11" t="n">
        <f aca="false">IFERROR(F436*1000000/$E436,"")</f>
        <v>49.4033946957878</v>
      </c>
      <c r="L436" s="11" t="n">
        <f aca="false">IFERROR(G436*1000000/$E436,"")</f>
        <v>145.044380655226</v>
      </c>
      <c r="M436" s="11" t="n">
        <f aca="false">IFERROR(H436*1000000/$E436,"")</f>
        <v>59.6179469578783</v>
      </c>
      <c r="N436" s="11" t="n">
        <f aca="false">IFERROR(I436*1000000/$E436,"")</f>
        <v>254.065722308892</v>
      </c>
      <c r="O436" s="11" t="n">
        <f aca="false">IFERROR(J436*1000000/$E436,"")</f>
        <v>123.003326053042</v>
      </c>
      <c r="P436" s="16" t="n">
        <f aca="false">COUNTIFS($A$4:$A$1008,$A436,$N$4:$N$1008,"&gt;"&amp;N436)+1</f>
        <v>28</v>
      </c>
      <c r="Q436" s="16" t="n">
        <f aca="false">COUNTIFS($A$4:$A$1008,$A436,$O$4:$O$1008,"&gt;"&amp;O436)+1</f>
        <v>29</v>
      </c>
    </row>
    <row r="437" customFormat="false" ht="15" hidden="false" customHeight="false" outlineLevel="0" collapsed="false">
      <c r="A437" s="7" t="n">
        <v>2011</v>
      </c>
      <c r="B437" s="15" t="s">
        <v>113</v>
      </c>
      <c r="C437" s="15" t="s">
        <v>102</v>
      </c>
      <c r="D437" s="15" t="s">
        <v>114</v>
      </c>
      <c r="E437" s="9" t="n">
        <f aca="false">SUMIFS(Data!$L$2:$L$1006,Data!$A$2:$A$1006,$A437,Data!$B$2:$B$1006,$B437)</f>
        <v>388814</v>
      </c>
      <c r="F437" s="10" t="n">
        <f aca="false">SUMIFS(Data!$E$2:$E$1006,Data!$A$2:$A$1006,$A437,Data!$B$2:$B$1006,$B437)</f>
        <v>25.214835</v>
      </c>
      <c r="G437" s="10" t="n">
        <f aca="false">SUMIFS(Data!$F$2:$F$1006,Data!$A$2:$A$1006,$A437,Data!$B$2:$B$1006,$B437)</f>
        <v>23.008038</v>
      </c>
      <c r="H437" s="10" t="n">
        <f aca="false">SUMIFS(Data!$G$2:$G$1006,Data!$A$2:$A$1006,$A437,Data!$B$2:$B$1006,$B437)</f>
        <v>34.691196</v>
      </c>
      <c r="I437" s="10" t="n">
        <f aca="false">SUMIFS(Data!$N$2:$N$1006,Data!$A$2:$A$1006,$A437,Data!$B$2:$B$1006,$B437)</f>
        <v>82.914069</v>
      </c>
      <c r="J437" s="10" t="n">
        <f aca="false">SUMIFS(Data!$H$2:$H$1006,Data!$A$2:$A$1006,$A437,Data!$B$2:$B$1006,$B437)</f>
        <v>56.809243</v>
      </c>
      <c r="K437" s="11" t="n">
        <f aca="false">IFERROR(F437*1000000/$E437,"")</f>
        <v>64.8506355223835</v>
      </c>
      <c r="L437" s="11" t="n">
        <f aca="false">IFERROR(G437*1000000/$E437,"")</f>
        <v>59.1749216849188</v>
      </c>
      <c r="M437" s="11" t="n">
        <f aca="false">IFERROR(H437*1000000/$E437,"")</f>
        <v>89.223114394029</v>
      </c>
      <c r="N437" s="11" t="n">
        <f aca="false">IFERROR(I437*1000000/$E437,"")</f>
        <v>213.248671601331</v>
      </c>
      <c r="O437" s="11" t="n">
        <f aca="false">IFERROR(J437*1000000/$E437,"")</f>
        <v>146.109046999336</v>
      </c>
      <c r="P437" s="16" t="n">
        <f aca="false">COUNTIFS($A$4:$A$1008,$A437,$N$4:$N$1008,"&gt;"&amp;N437)+1</f>
        <v>33</v>
      </c>
      <c r="Q437" s="16" t="n">
        <f aca="false">COUNTIFS($A$4:$A$1008,$A437,$O$4:$O$1008,"&gt;"&amp;O437)+1</f>
        <v>20</v>
      </c>
    </row>
    <row r="438" customFormat="false" ht="15" hidden="false" customHeight="false" outlineLevel="0" collapsed="false">
      <c r="A438" s="7" t="n">
        <v>2011</v>
      </c>
      <c r="B438" s="15" t="s">
        <v>115</v>
      </c>
      <c r="C438" s="15" t="s">
        <v>102</v>
      </c>
      <c r="D438" s="15" t="s">
        <v>103</v>
      </c>
      <c r="E438" s="9" t="n">
        <f aca="false">SUMIFS(Data!$L$2:$L$1006,Data!$A$2:$A$1006,$A438,Data!$B$2:$B$1006,$B438)</f>
        <v>309020</v>
      </c>
      <c r="F438" s="10" t="n">
        <f aca="false">SUMIFS(Data!$E$2:$E$1006,Data!$A$2:$A$1006,$A438,Data!$B$2:$B$1006,$B438)</f>
        <v>21.840519</v>
      </c>
      <c r="G438" s="10" t="n">
        <f aca="false">SUMIFS(Data!$F$2:$F$1006,Data!$A$2:$A$1006,$A438,Data!$B$2:$B$1006,$B438)</f>
        <v>12.716259</v>
      </c>
      <c r="H438" s="10" t="n">
        <f aca="false">SUMIFS(Data!$G$2:$G$1006,Data!$A$2:$A$1006,$A438,Data!$B$2:$B$1006,$B438)</f>
        <v>25.991987</v>
      </c>
      <c r="I438" s="10" t="n">
        <f aca="false">SUMIFS(Data!$N$2:$N$1006,Data!$A$2:$A$1006,$A438,Data!$B$2:$B$1006,$B438)</f>
        <v>60.548765</v>
      </c>
      <c r="J438" s="10" t="n">
        <f aca="false">SUMIFS(Data!$H$2:$H$1006,Data!$A$2:$A$1006,$A438,Data!$B$2:$B$1006,$B438)</f>
        <v>35.303794</v>
      </c>
      <c r="K438" s="11" t="n">
        <f aca="false">IFERROR(F438*1000000/$E438,"")</f>
        <v>70.6767167173646</v>
      </c>
      <c r="L438" s="11" t="n">
        <f aca="false">IFERROR(G438*1000000/$E438,"")</f>
        <v>41.1502782991392</v>
      </c>
      <c r="M438" s="11" t="n">
        <f aca="false">IFERROR(H438*1000000/$E438,"")</f>
        <v>84.111018704291</v>
      </c>
      <c r="N438" s="11" t="n">
        <f aca="false">IFERROR(I438*1000000/$E438,"")</f>
        <v>195.938013720795</v>
      </c>
      <c r="O438" s="11" t="n">
        <f aca="false">IFERROR(J438*1000000/$E438,"")</f>
        <v>114.244366060449</v>
      </c>
      <c r="P438" s="16" t="n">
        <f aca="false">COUNTIFS($A$4:$A$1008,$A438,$N$4:$N$1008,"&gt;"&amp;N438)+1</f>
        <v>35</v>
      </c>
      <c r="Q438" s="16" t="n">
        <f aca="false">COUNTIFS($A$4:$A$1008,$A438,$O$4:$O$1008,"&gt;"&amp;O438)+1</f>
        <v>32</v>
      </c>
    </row>
    <row r="439" customFormat="false" ht="15" hidden="false" customHeight="false" outlineLevel="0" collapsed="false">
      <c r="A439" s="7" t="n">
        <v>2011</v>
      </c>
      <c r="B439" s="15" t="s">
        <v>116</v>
      </c>
      <c r="C439" s="15" t="s">
        <v>102</v>
      </c>
      <c r="D439" s="15" t="s">
        <v>107</v>
      </c>
      <c r="E439" s="9" t="n">
        <f aca="false">SUMIFS(Data!$L$2:$L$1006,Data!$A$2:$A$1006,$A439,Data!$B$2:$B$1006,$B439)</f>
        <v>717269</v>
      </c>
      <c r="F439" s="10" t="n">
        <f aca="false">SUMIFS(Data!$E$2:$E$1006,Data!$A$2:$A$1006,$A439,Data!$B$2:$B$1006,$B439)</f>
        <v>38.585348</v>
      </c>
      <c r="G439" s="10" t="n">
        <f aca="false">SUMIFS(Data!$F$2:$F$1006,Data!$A$2:$A$1006,$A439,Data!$B$2:$B$1006,$B439)</f>
        <v>53.377539</v>
      </c>
      <c r="H439" s="10" t="n">
        <f aca="false">SUMIFS(Data!$G$2:$G$1006,Data!$A$2:$A$1006,$A439,Data!$B$2:$B$1006,$B439)</f>
        <v>39.452393</v>
      </c>
      <c r="I439" s="10" t="n">
        <f aca="false">SUMIFS(Data!$N$2:$N$1006,Data!$A$2:$A$1006,$A439,Data!$B$2:$B$1006,$B439)</f>
        <v>131.41528</v>
      </c>
      <c r="J439" s="10" t="n">
        <f aca="false">SUMIFS(Data!$H$2:$H$1006,Data!$A$2:$A$1006,$A439,Data!$B$2:$B$1006,$B439)</f>
        <v>88.267523</v>
      </c>
      <c r="K439" s="11" t="n">
        <f aca="false">IFERROR(F439*1000000/$E439,"")</f>
        <v>53.7948078057186</v>
      </c>
      <c r="L439" s="11" t="n">
        <f aca="false">IFERROR(G439*1000000/$E439,"")</f>
        <v>74.4177414610139</v>
      </c>
      <c r="M439" s="11" t="n">
        <f aca="false">IFERROR(H439*1000000/$E439,"")</f>
        <v>55.0036220720539</v>
      </c>
      <c r="N439" s="11" t="n">
        <f aca="false">IFERROR(I439*1000000/$E439,"")</f>
        <v>183.216171338786</v>
      </c>
      <c r="O439" s="11" t="n">
        <f aca="false">IFERROR(J439*1000000/$E439,"")</f>
        <v>123.060557475647</v>
      </c>
      <c r="P439" s="16" t="n">
        <f aca="false">COUNTIFS($A$4:$A$1008,$A439,$N$4:$N$1008,"&gt;"&amp;N439)+1</f>
        <v>37</v>
      </c>
      <c r="Q439" s="16" t="n">
        <f aca="false">COUNTIFS($A$4:$A$1008,$A439,$O$4:$O$1008,"&gt;"&amp;O439)+1</f>
        <v>28</v>
      </c>
    </row>
    <row r="440" customFormat="false" ht="15" hidden="false" customHeight="false" outlineLevel="0" collapsed="false">
      <c r="A440" s="7" t="n">
        <v>2011</v>
      </c>
      <c r="B440" s="15" t="s">
        <v>117</v>
      </c>
      <c r="C440" s="15" t="s">
        <v>118</v>
      </c>
      <c r="D440" s="15" t="s">
        <v>103</v>
      </c>
      <c r="E440" s="9" t="n">
        <f aca="false">SUMIFS(Data!$L$2:$L$1006,Data!$A$2:$A$1006,$A440,Data!$B$2:$B$1006,$B440)</f>
        <v>1459875</v>
      </c>
      <c r="F440" s="10" t="n">
        <f aca="false">SUMIFS(Data!$E$2:$E$1006,Data!$A$2:$A$1006,$A440,Data!$B$2:$B$1006,$B440)</f>
        <v>141.745304</v>
      </c>
      <c r="G440" s="10" t="n">
        <f aca="false">SUMIFS(Data!$F$2:$F$1006,Data!$A$2:$A$1006,$A440,Data!$B$2:$B$1006,$B440)</f>
        <v>236.187195</v>
      </c>
      <c r="H440" s="10" t="n">
        <f aca="false">SUMIFS(Data!$G$2:$G$1006,Data!$A$2:$A$1006,$A440,Data!$B$2:$B$1006,$B440)</f>
        <v>126.973126</v>
      </c>
      <c r="I440" s="10" t="n">
        <f aca="false">SUMIFS(Data!$N$2:$N$1006,Data!$A$2:$A$1006,$A440,Data!$B$2:$B$1006,$B440)</f>
        <v>504.905625</v>
      </c>
      <c r="J440" s="10" t="n">
        <f aca="false">SUMIFS(Data!$H$2:$H$1006,Data!$A$2:$A$1006,$A440,Data!$B$2:$B$1006,$B440)</f>
        <v>163.892825</v>
      </c>
      <c r="K440" s="11" t="n">
        <f aca="false">IFERROR(F440*1000000/$E440,"")</f>
        <v>97.0941375117733</v>
      </c>
      <c r="L440" s="11" t="n">
        <f aca="false">IFERROR(G440*1000000/$E440,"")</f>
        <v>161.785902902646</v>
      </c>
      <c r="M440" s="11" t="n">
        <f aca="false">IFERROR(H440*1000000/$E440,"")</f>
        <v>86.9753410394726</v>
      </c>
      <c r="N440" s="11" t="n">
        <f aca="false">IFERROR(I440*1000000/$E440,"")</f>
        <v>345.855381453892</v>
      </c>
      <c r="O440" s="11" t="n">
        <f aca="false">IFERROR(J440*1000000/$E440,"")</f>
        <v>112.264971316037</v>
      </c>
      <c r="P440" s="16" t="n">
        <f aca="false">COUNTIFS($A$4:$A$1008,$A440,$N$4:$N$1008,"&gt;"&amp;N440)+1</f>
        <v>7</v>
      </c>
      <c r="Q440" s="16" t="n">
        <f aca="false">COUNTIFS($A$4:$A$1008,$A440,$O$4:$O$1008,"&gt;"&amp;O440)+1</f>
        <v>33</v>
      </c>
    </row>
    <row r="441" customFormat="false" ht="15" hidden="false" customHeight="false" outlineLevel="0" collapsed="false">
      <c r="A441" s="7" t="n">
        <v>2011</v>
      </c>
      <c r="B441" s="15" t="s">
        <v>119</v>
      </c>
      <c r="C441" s="15" t="s">
        <v>118</v>
      </c>
      <c r="D441" s="15" t="s">
        <v>103</v>
      </c>
      <c r="E441" s="9" t="n">
        <f aca="false">SUMIFS(Data!$L$2:$L$1006,Data!$A$2:$A$1006,$A441,Data!$B$2:$B$1006,$B441)</f>
        <v>513539</v>
      </c>
      <c r="F441" s="10" t="n">
        <f aca="false">SUMIFS(Data!$E$2:$E$1006,Data!$A$2:$A$1006,$A441,Data!$B$2:$B$1006,$B441)</f>
        <v>41.415438</v>
      </c>
      <c r="G441" s="10" t="n">
        <f aca="false">SUMIFS(Data!$F$2:$F$1006,Data!$A$2:$A$1006,$A441,Data!$B$2:$B$1006,$B441)</f>
        <v>67.758437</v>
      </c>
      <c r="H441" s="10" t="n">
        <f aca="false">SUMIFS(Data!$G$2:$G$1006,Data!$A$2:$A$1006,$A441,Data!$B$2:$B$1006,$B441)</f>
        <v>46.888092</v>
      </c>
      <c r="I441" s="10" t="n">
        <f aca="false">SUMIFS(Data!$N$2:$N$1006,Data!$A$2:$A$1006,$A441,Data!$B$2:$B$1006,$B441)</f>
        <v>156.061967</v>
      </c>
      <c r="J441" s="10" t="n">
        <f aca="false">SUMIFS(Data!$H$2:$H$1006,Data!$A$2:$A$1006,$A441,Data!$B$2:$B$1006,$B441)</f>
        <v>125.669098</v>
      </c>
      <c r="K441" s="11" t="n">
        <f aca="false">IFERROR(F441*1000000/$E441,"")</f>
        <v>80.6471134616845</v>
      </c>
      <c r="L441" s="11" t="n">
        <f aca="false">IFERROR(G441*1000000/$E441,"")</f>
        <v>131.944091880071</v>
      </c>
      <c r="M441" s="11" t="n">
        <f aca="false">IFERROR(H441*1000000/$E441,"")</f>
        <v>91.3038581295676</v>
      </c>
      <c r="N441" s="11" t="n">
        <f aca="false">IFERROR(I441*1000000/$E441,"")</f>
        <v>303.895063471324</v>
      </c>
      <c r="O441" s="11" t="n">
        <f aca="false">IFERROR(J441*1000000/$E441,"")</f>
        <v>244.711887510004</v>
      </c>
      <c r="P441" s="16" t="n">
        <f aca="false">COUNTIFS($A$4:$A$1008,$A441,$N$4:$N$1008,"&gt;"&amp;N441)+1</f>
        <v>16</v>
      </c>
      <c r="Q441" s="16" t="n">
        <f aca="false">COUNTIFS($A$4:$A$1008,$A441,$O$4:$O$1008,"&gt;"&amp;O441)+1</f>
        <v>4</v>
      </c>
    </row>
    <row r="442" customFormat="false" ht="15" hidden="false" customHeight="false" outlineLevel="0" collapsed="false">
      <c r="A442" s="7" t="n">
        <v>2011</v>
      </c>
      <c r="B442" s="15" t="s">
        <v>120</v>
      </c>
      <c r="C442" s="15" t="s">
        <v>118</v>
      </c>
      <c r="D442" s="15" t="s">
        <v>121</v>
      </c>
      <c r="E442" s="9" t="n">
        <f aca="false">SUMIFS(Data!$L$2:$L$1006,Data!$A$2:$A$1006,$A442,Data!$B$2:$B$1006,$B442)</f>
        <v>961129</v>
      </c>
      <c r="F442" s="10" t="n">
        <f aca="false">SUMIFS(Data!$E$2:$E$1006,Data!$A$2:$A$1006,$A442,Data!$B$2:$B$1006,$B442)</f>
        <v>90.355092</v>
      </c>
      <c r="G442" s="10" t="n">
        <f aca="false">SUMIFS(Data!$F$2:$F$1006,Data!$A$2:$A$1006,$A442,Data!$B$2:$B$1006,$B442)</f>
        <v>44.143309</v>
      </c>
      <c r="H442" s="10" t="n">
        <f aca="false">SUMIFS(Data!$G$2:$G$1006,Data!$A$2:$A$1006,$A442,Data!$B$2:$B$1006,$B442)</f>
        <v>89.436509</v>
      </c>
      <c r="I442" s="10" t="n">
        <f aca="false">SUMIFS(Data!$N$2:$N$1006,Data!$A$2:$A$1006,$A442,Data!$B$2:$B$1006,$B442)</f>
        <v>223.93491</v>
      </c>
      <c r="J442" s="10" t="n">
        <f aca="false">SUMIFS(Data!$H$2:$H$1006,Data!$A$2:$A$1006,$A442,Data!$B$2:$B$1006,$B442)</f>
        <v>130.112573</v>
      </c>
      <c r="K442" s="11" t="n">
        <f aca="false">IFERROR(F442*1000000/$E442,"")</f>
        <v>94.0093286124964</v>
      </c>
      <c r="L442" s="11" t="n">
        <f aca="false">IFERROR(G442*1000000/$E442,"")</f>
        <v>45.9285995948515</v>
      </c>
      <c r="M442" s="11" t="n">
        <f aca="false">IFERROR(H442*1000000/$E442,"")</f>
        <v>93.0535953030238</v>
      </c>
      <c r="N442" s="11" t="n">
        <f aca="false">IFERROR(I442*1000000/$E442,"")</f>
        <v>232.991523510372</v>
      </c>
      <c r="O442" s="11" t="n">
        <f aca="false">IFERROR(J442*1000000/$E442,"")</f>
        <v>135.374723892422</v>
      </c>
      <c r="P442" s="16" t="n">
        <f aca="false">COUNTIFS($A$4:$A$1008,$A442,$N$4:$N$1008,"&gt;"&amp;N442)+1</f>
        <v>31</v>
      </c>
      <c r="Q442" s="16" t="n">
        <f aca="false">COUNTIFS($A$4:$A$1008,$A442,$O$4:$O$1008,"&gt;"&amp;O442)+1</f>
        <v>25</v>
      </c>
    </row>
    <row r="443" customFormat="false" ht="15" hidden="false" customHeight="false" outlineLevel="0" collapsed="false">
      <c r="A443" s="7" t="n">
        <v>2011</v>
      </c>
      <c r="B443" s="15" t="s">
        <v>122</v>
      </c>
      <c r="C443" s="15" t="s">
        <v>118</v>
      </c>
      <c r="D443" s="15" t="s">
        <v>105</v>
      </c>
      <c r="E443" s="9" t="n">
        <f aca="false">SUMIFS(Data!$L$2:$L$1006,Data!$A$2:$A$1006,$A443,Data!$B$2:$B$1006,$B443)</f>
        <v>547762</v>
      </c>
      <c r="F443" s="10" t="n">
        <f aca="false">SUMIFS(Data!$E$2:$E$1006,Data!$A$2:$A$1006,$A443,Data!$B$2:$B$1006,$B443)</f>
        <v>58.740977</v>
      </c>
      <c r="G443" s="10" t="n">
        <f aca="false">SUMIFS(Data!$F$2:$F$1006,Data!$A$2:$A$1006,$A443,Data!$B$2:$B$1006,$B443)</f>
        <v>90.186502</v>
      </c>
      <c r="H443" s="10" t="n">
        <f aca="false">SUMIFS(Data!$G$2:$G$1006,Data!$A$2:$A$1006,$A443,Data!$B$2:$B$1006,$B443)</f>
        <v>26.905576</v>
      </c>
      <c r="I443" s="10" t="n">
        <f aca="false">SUMIFS(Data!$N$2:$N$1006,Data!$A$2:$A$1006,$A443,Data!$B$2:$B$1006,$B443)</f>
        <v>175.833055</v>
      </c>
      <c r="J443" s="10" t="n">
        <f aca="false">SUMIFS(Data!$H$2:$H$1006,Data!$A$2:$A$1006,$A443,Data!$B$2:$B$1006,$B443)</f>
        <v>91.218697</v>
      </c>
      <c r="K443" s="11" t="n">
        <f aca="false">IFERROR(F443*1000000/$E443,"")</f>
        <v>107.238138096473</v>
      </c>
      <c r="L443" s="11" t="n">
        <f aca="false">IFERROR(G443*1000000/$E443,"")</f>
        <v>164.64541534462</v>
      </c>
      <c r="M443" s="11" t="n">
        <f aca="false">IFERROR(H443*1000000/$E443,"")</f>
        <v>49.1190991708078</v>
      </c>
      <c r="N443" s="11" t="n">
        <f aca="false">IFERROR(I443*1000000/$E443,"")</f>
        <v>321.002652611901</v>
      </c>
      <c r="O443" s="11" t="n">
        <f aca="false">IFERROR(J443*1000000/$E443,"")</f>
        <v>166.529801264053</v>
      </c>
      <c r="P443" s="16" t="n">
        <f aca="false">COUNTIFS($A$4:$A$1008,$A443,$N$4:$N$1008,"&gt;"&amp;N443)+1</f>
        <v>11</v>
      </c>
      <c r="Q443" s="16" t="n">
        <f aca="false">COUNTIFS($A$4:$A$1008,$A443,$O$4:$O$1008,"&gt;"&amp;O443)+1</f>
        <v>13</v>
      </c>
    </row>
    <row r="444" customFormat="false" ht="15" hidden="false" customHeight="false" outlineLevel="0" collapsed="false">
      <c r="A444" s="7" t="n">
        <v>2011</v>
      </c>
      <c r="B444" s="15" t="s">
        <v>123</v>
      </c>
      <c r="C444" s="15" t="s">
        <v>118</v>
      </c>
      <c r="D444" s="15" t="s">
        <v>124</v>
      </c>
      <c r="E444" s="9" t="n">
        <f aca="false">SUMIFS(Data!$L$2:$L$1006,Data!$A$2:$A$1006,$A444,Data!$B$2:$B$1006,$B444)</f>
        <v>1240291</v>
      </c>
      <c r="F444" s="10" t="n">
        <f aca="false">SUMIFS(Data!$E$2:$E$1006,Data!$A$2:$A$1006,$A444,Data!$B$2:$B$1006,$B444)</f>
        <v>205.584349</v>
      </c>
      <c r="G444" s="10" t="n">
        <f aca="false">SUMIFS(Data!$F$2:$F$1006,Data!$A$2:$A$1006,$A444,Data!$B$2:$B$1006,$B444)</f>
        <v>81.079843</v>
      </c>
      <c r="H444" s="10" t="n">
        <f aca="false">SUMIFS(Data!$G$2:$G$1006,Data!$A$2:$A$1006,$A444,Data!$B$2:$B$1006,$B444)</f>
        <v>125.441886</v>
      </c>
      <c r="I444" s="10" t="n">
        <f aca="false">SUMIFS(Data!$N$2:$N$1006,Data!$A$2:$A$1006,$A444,Data!$B$2:$B$1006,$B444)</f>
        <v>412.106078</v>
      </c>
      <c r="J444" s="10" t="n">
        <f aca="false">SUMIFS(Data!$H$2:$H$1006,Data!$A$2:$A$1006,$A444,Data!$B$2:$B$1006,$B444)</f>
        <v>257.170683</v>
      </c>
      <c r="K444" s="11" t="n">
        <f aca="false">IFERROR(F444*1000000/$E444,"")</f>
        <v>165.754930899281</v>
      </c>
      <c r="L444" s="11" t="n">
        <f aca="false">IFERROR(G444*1000000/$E444,"")</f>
        <v>65.3716289161173</v>
      </c>
      <c r="M444" s="11" t="n">
        <f aca="false">IFERROR(H444*1000000/$E444,"")</f>
        <v>101.139076232916</v>
      </c>
      <c r="N444" s="11" t="n">
        <f aca="false">IFERROR(I444*1000000/$E444,"")</f>
        <v>332.265636048315</v>
      </c>
      <c r="O444" s="11" t="n">
        <f aca="false">IFERROR(J444*1000000/$E444,"")</f>
        <v>207.3470524256</v>
      </c>
      <c r="P444" s="16" t="n">
        <f aca="false">COUNTIFS($A$4:$A$1008,$A444,$N$4:$N$1008,"&gt;"&amp;N444)+1</f>
        <v>8</v>
      </c>
      <c r="Q444" s="16" t="n">
        <f aca="false">COUNTIFS($A$4:$A$1008,$A444,$O$4:$O$1008,"&gt;"&amp;O444)+1</f>
        <v>6</v>
      </c>
    </row>
    <row r="445" customFormat="false" ht="15" hidden="false" customHeight="false" outlineLevel="0" collapsed="false">
      <c r="A445" s="7" t="n">
        <v>2011</v>
      </c>
      <c r="B445" s="15" t="s">
        <v>125</v>
      </c>
      <c r="C445" s="15" t="s">
        <v>118</v>
      </c>
      <c r="D445" s="15" t="s">
        <v>126</v>
      </c>
      <c r="E445" s="9" t="n">
        <f aca="false">SUMIFS(Data!$L$2:$L$1006,Data!$A$2:$A$1006,$A445,Data!$B$2:$B$1006,$B445)</f>
        <v>500998</v>
      </c>
      <c r="F445" s="10" t="n">
        <f aca="false">SUMIFS(Data!$E$2:$E$1006,Data!$A$2:$A$1006,$A445,Data!$B$2:$B$1006,$B445)</f>
        <v>66.564492</v>
      </c>
      <c r="G445" s="10" t="n">
        <f aca="false">SUMIFS(Data!$F$2:$F$1006,Data!$A$2:$A$1006,$A445,Data!$B$2:$B$1006,$B445)</f>
        <v>55.119727</v>
      </c>
      <c r="H445" s="10" t="n">
        <f aca="false">SUMIFS(Data!$G$2:$G$1006,Data!$A$2:$A$1006,$A445,Data!$B$2:$B$1006,$B445)</f>
        <v>41.659282</v>
      </c>
      <c r="I445" s="10" t="n">
        <f aca="false">SUMIFS(Data!$N$2:$N$1006,Data!$A$2:$A$1006,$A445,Data!$B$2:$B$1006,$B445)</f>
        <v>163.343501</v>
      </c>
      <c r="J445" s="10" t="n">
        <f aca="false">SUMIFS(Data!$H$2:$H$1006,Data!$A$2:$A$1006,$A445,Data!$B$2:$B$1006,$B445)</f>
        <v>84.658689</v>
      </c>
      <c r="K445" s="11" t="n">
        <f aca="false">IFERROR(F445*1000000/$E445,"")</f>
        <v>132.863787879393</v>
      </c>
      <c r="L445" s="11" t="n">
        <f aca="false">IFERROR(G445*1000000/$E445,"")</f>
        <v>110.019854370676</v>
      </c>
      <c r="M445" s="11" t="n">
        <f aca="false">IFERROR(H445*1000000/$E445,"")</f>
        <v>83.1525914275107</v>
      </c>
      <c r="N445" s="11" t="n">
        <f aca="false">IFERROR(I445*1000000/$E445,"")</f>
        <v>326.03623367758</v>
      </c>
      <c r="O445" s="11" t="n">
        <f aca="false">IFERROR(J445*1000000/$E445,"")</f>
        <v>168.980093732909</v>
      </c>
      <c r="P445" s="16" t="n">
        <f aca="false">COUNTIFS($A$4:$A$1008,$A445,$N$4:$N$1008,"&gt;"&amp;N445)+1</f>
        <v>10</v>
      </c>
      <c r="Q445" s="16" t="n">
        <f aca="false">COUNTIFS($A$4:$A$1008,$A445,$O$4:$O$1008,"&gt;"&amp;O445)+1</f>
        <v>11</v>
      </c>
    </row>
    <row r="446" customFormat="false" ht="15" hidden="false" customHeight="false" outlineLevel="0" collapsed="false">
      <c r="A446" s="7" t="n">
        <v>2011</v>
      </c>
      <c r="B446" s="15" t="s">
        <v>127</v>
      </c>
      <c r="C446" s="15" t="s">
        <v>118</v>
      </c>
      <c r="D446" s="15" t="s">
        <v>103</v>
      </c>
      <c r="E446" s="9" t="n">
        <f aca="false">SUMIFS(Data!$L$2:$L$1006,Data!$A$2:$A$1006,$A446,Data!$B$2:$B$1006,$B446)</f>
        <v>685859</v>
      </c>
      <c r="F446" s="10" t="n">
        <f aca="false">SUMIFS(Data!$E$2:$E$1006,Data!$A$2:$A$1006,$A446,Data!$B$2:$B$1006,$B446)</f>
        <v>60.235598</v>
      </c>
      <c r="G446" s="10" t="n">
        <f aca="false">SUMIFS(Data!$F$2:$F$1006,Data!$A$2:$A$1006,$A446,Data!$B$2:$B$1006,$B446)</f>
        <v>50.300185</v>
      </c>
      <c r="H446" s="10" t="n">
        <f aca="false">SUMIFS(Data!$G$2:$G$1006,Data!$A$2:$A$1006,$A446,Data!$B$2:$B$1006,$B446)</f>
        <v>44.577513</v>
      </c>
      <c r="I446" s="10" t="n">
        <f aca="false">SUMIFS(Data!$N$2:$N$1006,Data!$A$2:$A$1006,$A446,Data!$B$2:$B$1006,$B446)</f>
        <v>155.113296</v>
      </c>
      <c r="J446" s="10" t="n">
        <f aca="false">SUMIFS(Data!$H$2:$H$1006,Data!$A$2:$A$1006,$A446,Data!$B$2:$B$1006,$B446)</f>
        <v>108.519322</v>
      </c>
      <c r="K446" s="11" t="n">
        <f aca="false">IFERROR(F446*1000000/$E446,"")</f>
        <v>87.8250456726528</v>
      </c>
      <c r="L446" s="11" t="n">
        <f aca="false">IFERROR(G446*1000000/$E446,"")</f>
        <v>73.3389588822192</v>
      </c>
      <c r="M446" s="11" t="n">
        <f aca="false">IFERROR(H446*1000000/$E446,"")</f>
        <v>64.9951564388599</v>
      </c>
      <c r="N446" s="11" t="n">
        <f aca="false">IFERROR(I446*1000000/$E446,"")</f>
        <v>226.159160993732</v>
      </c>
      <c r="O446" s="11" t="n">
        <f aca="false">IFERROR(J446*1000000/$E446,"")</f>
        <v>158.223952736641</v>
      </c>
      <c r="P446" s="16" t="n">
        <f aca="false">COUNTIFS($A$4:$A$1008,$A446,$N$4:$N$1008,"&gt;"&amp;N446)+1</f>
        <v>32</v>
      </c>
      <c r="Q446" s="16" t="n">
        <f aca="false">COUNTIFS($A$4:$A$1008,$A446,$O$4:$O$1008,"&gt;"&amp;O446)+1</f>
        <v>16</v>
      </c>
    </row>
    <row r="447" customFormat="false" ht="15" hidden="false" customHeight="false" outlineLevel="0" collapsed="false">
      <c r="A447" s="7" t="n">
        <v>2011</v>
      </c>
      <c r="B447" s="15" t="s">
        <v>128</v>
      </c>
      <c r="C447" s="15" t="s">
        <v>118</v>
      </c>
      <c r="D447" s="15" t="s">
        <v>107</v>
      </c>
      <c r="E447" s="9" t="n">
        <f aca="false">SUMIFS(Data!$L$2:$L$1006,Data!$A$2:$A$1006,$A447,Data!$B$2:$B$1006,$B447)</f>
        <v>587610</v>
      </c>
      <c r="F447" s="10" t="n">
        <f aca="false">SUMIFS(Data!$E$2:$E$1006,Data!$A$2:$A$1006,$A447,Data!$B$2:$B$1006,$B447)</f>
        <v>33.497765</v>
      </c>
      <c r="G447" s="10" t="n">
        <f aca="false">SUMIFS(Data!$F$2:$F$1006,Data!$A$2:$A$1006,$A447,Data!$B$2:$B$1006,$B447)</f>
        <v>47.903454</v>
      </c>
      <c r="H447" s="10" t="n">
        <f aca="false">SUMIFS(Data!$G$2:$G$1006,Data!$A$2:$A$1006,$A447,Data!$B$2:$B$1006,$B447)</f>
        <v>63.258696</v>
      </c>
      <c r="I447" s="10" t="n">
        <f aca="false">SUMIFS(Data!$N$2:$N$1006,Data!$A$2:$A$1006,$A447,Data!$B$2:$B$1006,$B447)</f>
        <v>144.659915</v>
      </c>
      <c r="J447" s="10" t="n">
        <f aca="false">SUMIFS(Data!$H$2:$H$1006,Data!$A$2:$A$1006,$A447,Data!$B$2:$B$1006,$B447)</f>
        <v>106.786145</v>
      </c>
      <c r="K447" s="11" t="n">
        <f aca="false">IFERROR(F447*1000000/$E447,"")</f>
        <v>57.0067987270469</v>
      </c>
      <c r="L447" s="11" t="n">
        <f aca="false">IFERROR(G447*1000000/$E447,"")</f>
        <v>81.5225302496554</v>
      </c>
      <c r="M447" s="11" t="n">
        <f aca="false">IFERROR(H447*1000000/$E447,"")</f>
        <v>107.654219635473</v>
      </c>
      <c r="N447" s="11" t="n">
        <f aca="false">IFERROR(I447*1000000/$E447,"")</f>
        <v>246.183548612175</v>
      </c>
      <c r="O447" s="11" t="n">
        <f aca="false">IFERROR(J447*1000000/$E447,"")</f>
        <v>181.729625091472</v>
      </c>
      <c r="P447" s="16" t="n">
        <f aca="false">COUNTIFS($A$4:$A$1008,$A447,$N$4:$N$1008,"&gt;"&amp;N447)+1</f>
        <v>30</v>
      </c>
      <c r="Q447" s="16" t="n">
        <f aca="false">COUNTIFS($A$4:$A$1008,$A447,$O$4:$O$1008,"&gt;"&amp;O447)+1</f>
        <v>7</v>
      </c>
    </row>
    <row r="448" customFormat="false" ht="15" hidden="false" customHeight="false" outlineLevel="0" collapsed="false">
      <c r="A448" s="7" t="n">
        <v>2011</v>
      </c>
      <c r="B448" s="15" t="s">
        <v>129</v>
      </c>
      <c r="C448" s="15" t="s">
        <v>118</v>
      </c>
      <c r="D448" s="15" t="s">
        <v>107</v>
      </c>
      <c r="E448" s="9" t="n">
        <f aca="false">SUMIFS(Data!$L$2:$L$1006,Data!$A$2:$A$1006,$A448,Data!$B$2:$B$1006,$B448)</f>
        <v>1573976</v>
      </c>
      <c r="F448" s="10" t="n">
        <f aca="false">SUMIFS(Data!$E$2:$E$1006,Data!$A$2:$A$1006,$A448,Data!$B$2:$B$1006,$B448)</f>
        <v>222.327446</v>
      </c>
      <c r="G448" s="10" t="n">
        <f aca="false">SUMIFS(Data!$F$2:$F$1006,Data!$A$2:$A$1006,$A448,Data!$B$2:$B$1006,$B448)</f>
        <v>230.350431</v>
      </c>
      <c r="H448" s="10" t="n">
        <f aca="false">SUMIFS(Data!$G$2:$G$1006,Data!$A$2:$A$1006,$A448,Data!$B$2:$B$1006,$B448)</f>
        <v>102.044977</v>
      </c>
      <c r="I448" s="10" t="n">
        <f aca="false">SUMIFS(Data!$N$2:$N$1006,Data!$A$2:$A$1006,$A448,Data!$B$2:$B$1006,$B448)</f>
        <v>554.722854</v>
      </c>
      <c r="J448" s="10" t="n">
        <f aca="false">SUMIFS(Data!$H$2:$H$1006,Data!$A$2:$A$1006,$A448,Data!$B$2:$B$1006,$B448)</f>
        <v>255.265877</v>
      </c>
      <c r="K448" s="11" t="n">
        <f aca="false">IFERROR(F448*1000000/$E448,"")</f>
        <v>141.252119473232</v>
      </c>
      <c r="L448" s="11" t="n">
        <f aca="false">IFERROR(G448*1000000/$E448,"")</f>
        <v>146.34939223978</v>
      </c>
      <c r="M448" s="11" t="n">
        <f aca="false">IFERROR(H448*1000000/$E448,"")</f>
        <v>64.8326130766924</v>
      </c>
      <c r="N448" s="11" t="n">
        <f aca="false">IFERROR(I448*1000000/$E448,"")</f>
        <v>352.434124789705</v>
      </c>
      <c r="O448" s="11" t="n">
        <f aca="false">IFERROR(J448*1000000/$E448,"")</f>
        <v>162.179014800734</v>
      </c>
      <c r="P448" s="16" t="n">
        <f aca="false">COUNTIFS($A$4:$A$1008,$A448,$N$4:$N$1008,"&gt;"&amp;N448)+1</f>
        <v>4</v>
      </c>
      <c r="Q448" s="16" t="n">
        <f aca="false">COUNTIFS($A$4:$A$1008,$A448,$O$4:$O$1008,"&gt;"&amp;O448)+1</f>
        <v>14</v>
      </c>
    </row>
    <row r="449" customFormat="false" ht="15" hidden="false" customHeight="false" outlineLevel="0" collapsed="false">
      <c r="A449" s="7" t="n">
        <v>2011</v>
      </c>
      <c r="B449" s="15" t="s">
        <v>130</v>
      </c>
      <c r="C449" s="15" t="s">
        <v>118</v>
      </c>
      <c r="D449" s="15" t="s">
        <v>107</v>
      </c>
      <c r="E449" s="9" t="n">
        <f aca="false">SUMIFS(Data!$L$2:$L$1006,Data!$A$2:$A$1006,$A449,Data!$B$2:$B$1006,$B449)</f>
        <v>1403889</v>
      </c>
      <c r="F449" s="10" t="n">
        <f aca="false">SUMIFS(Data!$E$2:$E$1006,Data!$A$2:$A$1006,$A449,Data!$B$2:$B$1006,$B449)</f>
        <v>152.304415</v>
      </c>
      <c r="G449" s="10" t="n">
        <f aca="false">SUMIFS(Data!$F$2:$F$1006,Data!$A$2:$A$1006,$A449,Data!$B$2:$B$1006,$B449)</f>
        <v>187.679686</v>
      </c>
      <c r="H449" s="10" t="n">
        <f aca="false">SUMIFS(Data!$G$2:$G$1006,Data!$A$2:$A$1006,$A449,Data!$B$2:$B$1006,$B449)</f>
        <v>94.680054</v>
      </c>
      <c r="I449" s="10" t="n">
        <f aca="false">SUMIFS(Data!$N$2:$N$1006,Data!$A$2:$A$1006,$A449,Data!$B$2:$B$1006,$B449)</f>
        <v>434.664155</v>
      </c>
      <c r="J449" s="10" t="n">
        <f aca="false">SUMIFS(Data!$H$2:$H$1006,Data!$A$2:$A$1006,$A449,Data!$B$2:$B$1006,$B449)</f>
        <v>243.940328</v>
      </c>
      <c r="K449" s="11" t="n">
        <f aca="false">IFERROR(F449*1000000/$E449,"")</f>
        <v>108.487505066284</v>
      </c>
      <c r="L449" s="11" t="n">
        <f aca="false">IFERROR(G449*1000000/$E449,"")</f>
        <v>133.685559185947</v>
      </c>
      <c r="M449" s="11" t="n">
        <f aca="false">IFERROR(H449*1000000/$E449,"")</f>
        <v>67.4412677925392</v>
      </c>
      <c r="N449" s="11" t="n">
        <f aca="false">IFERROR(I449*1000000/$E449,"")</f>
        <v>309.61433204477</v>
      </c>
      <c r="O449" s="11" t="n">
        <f aca="false">IFERROR(J449*1000000/$E449,"")</f>
        <v>173.760409832971</v>
      </c>
      <c r="P449" s="16" t="n">
        <f aca="false">COUNTIFS($A$4:$A$1008,$A449,$N$4:$N$1008,"&gt;"&amp;N449)+1</f>
        <v>14</v>
      </c>
      <c r="Q449" s="16" t="n">
        <f aca="false">COUNTIFS($A$4:$A$1008,$A449,$O$4:$O$1008,"&gt;"&amp;O449)+1</f>
        <v>8</v>
      </c>
    </row>
    <row r="450" customFormat="false" ht="15" hidden="false" customHeight="false" outlineLevel="0" collapsed="false">
      <c r="A450" s="7" t="n">
        <v>2011</v>
      </c>
      <c r="B450" s="15" t="s">
        <v>131</v>
      </c>
      <c r="C450" s="15" t="s">
        <v>118</v>
      </c>
      <c r="D450" s="15" t="s">
        <v>132</v>
      </c>
      <c r="E450" s="9" t="n">
        <f aca="false">SUMIFS(Data!$L$2:$L$1006,Data!$A$2:$A$1006,$A450,Data!$B$2:$B$1006,$B450)</f>
        <v>787137</v>
      </c>
      <c r="F450" s="10" t="n">
        <f aca="false">SUMIFS(Data!$E$2:$E$1006,Data!$A$2:$A$1006,$A450,Data!$B$2:$B$1006,$B450)</f>
        <v>148.028374</v>
      </c>
      <c r="G450" s="10" t="n">
        <f aca="false">SUMIFS(Data!$F$2:$F$1006,Data!$A$2:$A$1006,$A450,Data!$B$2:$B$1006,$B450)</f>
        <v>91.312902</v>
      </c>
      <c r="H450" s="10" t="n">
        <f aca="false">SUMIFS(Data!$G$2:$G$1006,Data!$A$2:$A$1006,$A450,Data!$B$2:$B$1006,$B450)</f>
        <v>116.056598</v>
      </c>
      <c r="I450" s="10" t="n">
        <f aca="false">SUMIFS(Data!$N$2:$N$1006,Data!$A$2:$A$1006,$A450,Data!$B$2:$B$1006,$B450)</f>
        <v>355.397874</v>
      </c>
      <c r="J450" s="10" t="n">
        <f aca="false">SUMIFS(Data!$H$2:$H$1006,Data!$A$2:$A$1006,$A450,Data!$B$2:$B$1006,$B450)</f>
        <v>201.805971</v>
      </c>
      <c r="K450" s="11" t="n">
        <f aca="false">IFERROR(F450*1000000/$E450,"")</f>
        <v>188.059224760112</v>
      </c>
      <c r="L450" s="11" t="n">
        <f aca="false">IFERROR(G450*1000000/$E450,"")</f>
        <v>116.006364838649</v>
      </c>
      <c r="M450" s="11" t="n">
        <f aca="false">IFERROR(H450*1000000/$E450,"")</f>
        <v>147.441421251955</v>
      </c>
      <c r="N450" s="11" t="n">
        <f aca="false">IFERROR(I450*1000000/$E450,"")</f>
        <v>451.507010850716</v>
      </c>
      <c r="O450" s="11" t="n">
        <f aca="false">IFERROR(J450*1000000/$E450,"")</f>
        <v>256.37972932285</v>
      </c>
      <c r="P450" s="16" t="n">
        <f aca="false">COUNTIFS($A$4:$A$1008,$A450,$N$4:$N$1008,"&gt;"&amp;N450)+1</f>
        <v>1</v>
      </c>
      <c r="Q450" s="16" t="n">
        <f aca="false">COUNTIFS($A$4:$A$1008,$A450,$O$4:$O$1008,"&gt;"&amp;O450)+1</f>
        <v>3</v>
      </c>
    </row>
    <row r="451" customFormat="false" ht="15" hidden="false" customHeight="false" outlineLevel="0" collapsed="false">
      <c r="A451" s="7" t="n">
        <v>2011</v>
      </c>
      <c r="B451" s="15" t="s">
        <v>133</v>
      </c>
      <c r="C451" s="15" t="s">
        <v>118</v>
      </c>
      <c r="D451" s="15" t="s">
        <v>105</v>
      </c>
      <c r="E451" s="9" t="n">
        <f aca="false">SUMIFS(Data!$L$2:$L$1006,Data!$A$2:$A$1006,$A451,Data!$B$2:$B$1006,$B451)</f>
        <v>2157075</v>
      </c>
      <c r="F451" s="10" t="n">
        <f aca="false">SUMIFS(Data!$E$2:$E$1006,Data!$A$2:$A$1006,$A451,Data!$B$2:$B$1006,$B451)</f>
        <v>148.115188</v>
      </c>
      <c r="G451" s="10" t="n">
        <f aca="false">SUMIFS(Data!$F$2:$F$1006,Data!$A$2:$A$1006,$A451,Data!$B$2:$B$1006,$B451)</f>
        <v>386.812301</v>
      </c>
      <c r="H451" s="10" t="n">
        <f aca="false">SUMIFS(Data!$G$2:$G$1006,Data!$A$2:$A$1006,$A451,Data!$B$2:$B$1006,$B451)</f>
        <v>156.678801</v>
      </c>
      <c r="I451" s="10" t="n">
        <f aca="false">SUMIFS(Data!$N$2:$N$1006,Data!$A$2:$A$1006,$A451,Data!$B$2:$B$1006,$B451)</f>
        <v>691.60629</v>
      </c>
      <c r="J451" s="10" t="n">
        <f aca="false">SUMIFS(Data!$H$2:$H$1006,Data!$A$2:$A$1006,$A451,Data!$B$2:$B$1006,$B451)</f>
        <v>339.01426</v>
      </c>
      <c r="K451" s="11" t="n">
        <f aca="false">IFERROR(F451*1000000/$E451,"")</f>
        <v>68.6648299201465</v>
      </c>
      <c r="L451" s="11" t="n">
        <f aca="false">IFERROR(G451*1000000/$E451,"")</f>
        <v>179.322601671245</v>
      </c>
      <c r="M451" s="11" t="n">
        <f aca="false">IFERROR(H451*1000000/$E451,"")</f>
        <v>72.6348416258127</v>
      </c>
      <c r="N451" s="11" t="n">
        <f aca="false">IFERROR(I451*1000000/$E451,"")</f>
        <v>320.622273217204</v>
      </c>
      <c r="O451" s="11" t="n">
        <f aca="false">IFERROR(J451*1000000/$E451,"")</f>
        <v>157.163872373469</v>
      </c>
      <c r="P451" s="16" t="n">
        <f aca="false">COUNTIFS($A$4:$A$1008,$A451,$N$4:$N$1008,"&gt;"&amp;N451)+1</f>
        <v>12</v>
      </c>
      <c r="Q451" s="16" t="n">
        <f aca="false">COUNTIFS($A$4:$A$1008,$A451,$O$4:$O$1008,"&gt;"&amp;O451)+1</f>
        <v>17</v>
      </c>
    </row>
    <row r="452" customFormat="false" ht="15" hidden="false" customHeight="false" outlineLevel="0" collapsed="false">
      <c r="A452" s="7" t="n">
        <v>2011</v>
      </c>
      <c r="B452" s="15" t="s">
        <v>134</v>
      </c>
      <c r="C452" s="15" t="s">
        <v>135</v>
      </c>
      <c r="D452" s="15" t="s">
        <v>136</v>
      </c>
      <c r="E452" s="9" t="n">
        <f aca="false">SUMIFS(Data!$L$2:$L$1006,Data!$A$2:$A$1006,$A452,Data!$B$2:$B$1006,$B452)</f>
        <v>143688</v>
      </c>
      <c r="F452" s="10" t="n">
        <f aca="false">SUMIFS(Data!$E$2:$E$1006,Data!$A$2:$A$1006,$A452,Data!$B$2:$B$1006,$B452)</f>
        <v>23.736704</v>
      </c>
      <c r="G452" s="10" t="n">
        <f aca="false">SUMIFS(Data!$F$2:$F$1006,Data!$A$2:$A$1006,$A452,Data!$B$2:$B$1006,$B452)</f>
        <v>19.967247</v>
      </c>
      <c r="H452" s="10" t="n">
        <f aca="false">SUMIFS(Data!$G$2:$G$1006,Data!$A$2:$A$1006,$A452,Data!$B$2:$B$1006,$B452)</f>
        <v>15.330086</v>
      </c>
      <c r="I452" s="10" t="n">
        <f aca="false">SUMIFS(Data!$N$2:$N$1006,Data!$A$2:$A$1006,$A452,Data!$B$2:$B$1006,$B452)</f>
        <v>59.034037</v>
      </c>
      <c r="J452" s="10" t="n">
        <f aca="false">SUMIFS(Data!$H$2:$H$1006,Data!$A$2:$A$1006,$A452,Data!$B$2:$B$1006,$B452)</f>
        <v>22.578578</v>
      </c>
      <c r="K452" s="11" t="n">
        <f aca="false">IFERROR(F452*1000000/$E452,"")</f>
        <v>165.196147207839</v>
      </c>
      <c r="L452" s="11" t="n">
        <f aca="false">IFERROR(G452*1000000/$E452,"")</f>
        <v>138.962522966427</v>
      </c>
      <c r="M452" s="11" t="n">
        <f aca="false">IFERROR(H452*1000000/$E452,"")</f>
        <v>106.690092422471</v>
      </c>
      <c r="N452" s="11" t="n">
        <f aca="false">IFERROR(I452*1000000/$E452,"")</f>
        <v>410.848762596737</v>
      </c>
      <c r="O452" s="11" t="n">
        <f aca="false">IFERROR(J452*1000000/$E452,"")</f>
        <v>157.136142196982</v>
      </c>
      <c r="P452" s="16" t="n">
        <f aca="false">COUNTIFS($A$4:$A$1008,$A452,$N$4:$N$1008,"&gt;"&amp;N452)+1</f>
        <v>2</v>
      </c>
      <c r="Q452" s="16" t="n">
        <f aca="false">COUNTIFS($A$4:$A$1008,$A452,$O$4:$O$1008,"&gt;"&amp;O452)+1</f>
        <v>18</v>
      </c>
    </row>
    <row r="453" customFormat="false" ht="15" hidden="false" customHeight="false" outlineLevel="0" collapsed="false">
      <c r="A453" s="7" t="n">
        <v>2011</v>
      </c>
      <c r="B453" s="15" t="s">
        <v>137</v>
      </c>
      <c r="C453" s="15" t="s">
        <v>135</v>
      </c>
      <c r="D453" s="15" t="s">
        <v>138</v>
      </c>
      <c r="E453" s="9" t="n">
        <f aca="false">SUMIFS(Data!$L$2:$L$1006,Data!$A$2:$A$1006,$A453,Data!$B$2:$B$1006,$B453)</f>
        <v>1788799</v>
      </c>
      <c r="F453" s="10" t="n">
        <f aca="false">SUMIFS(Data!$E$2:$E$1006,Data!$A$2:$A$1006,$A453,Data!$B$2:$B$1006,$B453)</f>
        <v>175.98648</v>
      </c>
      <c r="G453" s="10" t="n">
        <f aca="false">SUMIFS(Data!$F$2:$F$1006,Data!$A$2:$A$1006,$A453,Data!$B$2:$B$1006,$B453)</f>
        <v>162.939629</v>
      </c>
      <c r="H453" s="10" t="n">
        <f aca="false">SUMIFS(Data!$G$2:$G$1006,Data!$A$2:$A$1006,$A453,Data!$B$2:$B$1006,$B453)</f>
        <v>160.734636</v>
      </c>
      <c r="I453" s="10" t="n">
        <f aca="false">SUMIFS(Data!$N$2:$N$1006,Data!$A$2:$A$1006,$A453,Data!$B$2:$B$1006,$B453)</f>
        <v>499.660745</v>
      </c>
      <c r="J453" s="10" t="n">
        <f aca="false">SUMIFS(Data!$H$2:$H$1006,Data!$A$2:$A$1006,$A453,Data!$B$2:$B$1006,$B453)</f>
        <v>307.115281</v>
      </c>
      <c r="K453" s="11" t="n">
        <f aca="false">IFERROR(F453*1000000/$E453,"")</f>
        <v>98.3824789705272</v>
      </c>
      <c r="L453" s="11" t="n">
        <f aca="false">IFERROR(G453*1000000/$E453,"")</f>
        <v>91.0888417312398</v>
      </c>
      <c r="M453" s="11" t="n">
        <f aca="false">IFERROR(H453*1000000/$E453,"")</f>
        <v>89.8561750090424</v>
      </c>
      <c r="N453" s="11" t="n">
        <f aca="false">IFERROR(I453*1000000/$E453,"")</f>
        <v>279.327495710809</v>
      </c>
      <c r="O453" s="11" t="n">
        <f aca="false">IFERROR(J453*1000000/$E453,"")</f>
        <v>171.687976681561</v>
      </c>
      <c r="P453" s="16" t="n">
        <f aca="false">COUNTIFS($A$4:$A$1008,$A453,$N$4:$N$1008,"&gt;"&amp;N453)+1</f>
        <v>18</v>
      </c>
      <c r="Q453" s="16" t="n">
        <f aca="false">COUNTIFS($A$4:$A$1008,$A453,$O$4:$O$1008,"&gt;"&amp;O453)+1</f>
        <v>9</v>
      </c>
    </row>
    <row r="454" customFormat="false" ht="15" hidden="false" customHeight="false" outlineLevel="0" collapsed="false">
      <c r="A454" s="7" t="n">
        <v>2011</v>
      </c>
      <c r="B454" s="15" t="s">
        <v>139</v>
      </c>
      <c r="C454" s="15" t="s">
        <v>135</v>
      </c>
      <c r="D454" s="15" t="s">
        <v>138</v>
      </c>
      <c r="E454" s="9" t="n">
        <f aca="false">SUMIFS(Data!$L$2:$L$1006,Data!$A$2:$A$1006,$A454,Data!$B$2:$B$1006,$B454)</f>
        <v>2120262</v>
      </c>
      <c r="F454" s="10" t="n">
        <f aca="false">SUMIFS(Data!$E$2:$E$1006,Data!$A$2:$A$1006,$A454,Data!$B$2:$B$1006,$B454)</f>
        <v>293.444402</v>
      </c>
      <c r="G454" s="10" t="n">
        <f aca="false">SUMIFS(Data!$F$2:$F$1006,Data!$A$2:$A$1006,$A454,Data!$B$2:$B$1006,$B454)</f>
        <v>208.840042</v>
      </c>
      <c r="H454" s="10" t="n">
        <f aca="false">SUMIFS(Data!$G$2:$G$1006,Data!$A$2:$A$1006,$A454,Data!$B$2:$B$1006,$B454)</f>
        <v>239.84774</v>
      </c>
      <c r="I454" s="10" t="n">
        <f aca="false">SUMIFS(Data!$N$2:$N$1006,Data!$A$2:$A$1006,$A454,Data!$B$2:$B$1006,$B454)</f>
        <v>742.132184</v>
      </c>
      <c r="J454" s="10" t="n">
        <f aca="false">SUMIFS(Data!$H$2:$H$1006,Data!$A$2:$A$1006,$A454,Data!$B$2:$B$1006,$B454)</f>
        <v>265.827451</v>
      </c>
      <c r="K454" s="11" t="n">
        <f aca="false">IFERROR(F454*1000000/$E454,"")</f>
        <v>138.400066595543</v>
      </c>
      <c r="L454" s="11" t="n">
        <f aca="false">IFERROR(G454*1000000/$E454,"")</f>
        <v>98.4972809964052</v>
      </c>
      <c r="M454" s="11" t="n">
        <f aca="false">IFERROR(H454*1000000/$E454,"")</f>
        <v>113.121746274753</v>
      </c>
      <c r="N454" s="11" t="n">
        <f aca="false">IFERROR(I454*1000000/$E454,"")</f>
        <v>350.019093866701</v>
      </c>
      <c r="O454" s="11" t="n">
        <f aca="false">IFERROR(J454*1000000/$E454,"")</f>
        <v>125.374812641079</v>
      </c>
      <c r="P454" s="16" t="n">
        <f aca="false">COUNTIFS($A$4:$A$1008,$A454,$N$4:$N$1008,"&gt;"&amp;N454)+1</f>
        <v>5</v>
      </c>
      <c r="Q454" s="16" t="n">
        <f aca="false">COUNTIFS($A$4:$A$1008,$A454,$O$4:$O$1008,"&gt;"&amp;O454)+1</f>
        <v>27</v>
      </c>
    </row>
    <row r="455" customFormat="false" ht="15" hidden="false" customHeight="false" outlineLevel="0" collapsed="false">
      <c r="A455" s="7" t="n">
        <v>2011</v>
      </c>
      <c r="B455" s="15" t="s">
        <v>140</v>
      </c>
      <c r="C455" s="15" t="s">
        <v>135</v>
      </c>
      <c r="D455" s="15" t="s">
        <v>141</v>
      </c>
      <c r="E455" s="9" t="n">
        <f aca="false">SUMIFS(Data!$L$2:$L$1006,Data!$A$2:$A$1006,$A455,Data!$B$2:$B$1006,$B455)</f>
        <v>782879</v>
      </c>
      <c r="F455" s="10" t="n">
        <f aca="false">SUMIFS(Data!$E$2:$E$1006,Data!$A$2:$A$1006,$A455,Data!$B$2:$B$1006,$B455)</f>
        <v>106.99118</v>
      </c>
      <c r="G455" s="10" t="n">
        <f aca="false">SUMIFS(Data!$F$2:$F$1006,Data!$A$2:$A$1006,$A455,Data!$B$2:$B$1006,$B455)</f>
        <v>65.541841</v>
      </c>
      <c r="H455" s="10" t="n">
        <f aca="false">SUMIFS(Data!$G$2:$G$1006,Data!$A$2:$A$1006,$A455,Data!$B$2:$B$1006,$B455)</f>
        <v>84.436824</v>
      </c>
      <c r="I455" s="10" t="n">
        <f aca="false">SUMIFS(Data!$N$2:$N$1006,Data!$A$2:$A$1006,$A455,Data!$B$2:$B$1006,$B455)</f>
        <v>256.969845</v>
      </c>
      <c r="J455" s="10" t="n">
        <f aca="false">SUMIFS(Data!$H$2:$H$1006,Data!$A$2:$A$1006,$A455,Data!$B$2:$B$1006,$B455)</f>
        <v>86.608348</v>
      </c>
      <c r="K455" s="11" t="n">
        <f aca="false">IFERROR(F455*1000000/$E455,"")</f>
        <v>136.66375008143</v>
      </c>
      <c r="L455" s="11" t="n">
        <f aca="false">IFERROR(G455*1000000/$E455,"")</f>
        <v>83.7189923347031</v>
      </c>
      <c r="M455" s="11" t="n">
        <f aca="false">IFERROR(H455*1000000/$E455,"")</f>
        <v>107.854245675258</v>
      </c>
      <c r="N455" s="11" t="n">
        <f aca="false">IFERROR(I455*1000000/$E455,"")</f>
        <v>328.236988091391</v>
      </c>
      <c r="O455" s="11" t="n">
        <f aca="false">IFERROR(J455*1000000/$E455,"")</f>
        <v>110.628012758038</v>
      </c>
      <c r="P455" s="16" t="n">
        <f aca="false">COUNTIFS($A$4:$A$1008,$A455,$N$4:$N$1008,"&gt;"&amp;N455)+1</f>
        <v>9</v>
      </c>
      <c r="Q455" s="16" t="n">
        <f aca="false">COUNTIFS($A$4:$A$1008,$A455,$O$4:$O$1008,"&gt;"&amp;O455)+1</f>
        <v>34</v>
      </c>
    </row>
    <row r="456" customFormat="false" ht="15" hidden="false" customHeight="false" outlineLevel="0" collapsed="false">
      <c r="A456" s="7" t="n">
        <v>2011</v>
      </c>
      <c r="B456" s="15" t="s">
        <v>142</v>
      </c>
      <c r="C456" s="15" t="s">
        <v>135</v>
      </c>
      <c r="D456" s="15" t="s">
        <v>143</v>
      </c>
      <c r="E456" s="9" t="n">
        <f aca="false">SUMIFS(Data!$L$2:$L$1006,Data!$A$2:$A$1006,$A456,Data!$B$2:$B$1006,$B456)</f>
        <v>582822</v>
      </c>
      <c r="F456" s="10" t="n">
        <f aca="false">SUMIFS(Data!$E$2:$E$1006,Data!$A$2:$A$1006,$A456,Data!$B$2:$B$1006,$B456)</f>
        <v>50.231575</v>
      </c>
      <c r="G456" s="10" t="n">
        <f aca="false">SUMIFS(Data!$F$2:$F$1006,Data!$A$2:$A$1006,$A456,Data!$B$2:$B$1006,$B456)</f>
        <v>36.451472</v>
      </c>
      <c r="H456" s="10" t="n">
        <f aca="false">SUMIFS(Data!$G$2:$G$1006,Data!$A$2:$A$1006,$A456,Data!$B$2:$B$1006,$B456)</f>
        <v>35.87837</v>
      </c>
      <c r="I456" s="10" t="n">
        <f aca="false">SUMIFS(Data!$N$2:$N$1006,Data!$A$2:$A$1006,$A456,Data!$B$2:$B$1006,$B456)</f>
        <v>122.561417</v>
      </c>
      <c r="J456" s="10" t="n">
        <f aca="false">SUMIFS(Data!$H$2:$H$1006,Data!$A$2:$A$1006,$A456,Data!$B$2:$B$1006,$B456)</f>
        <v>83.641899</v>
      </c>
      <c r="K456" s="11" t="n">
        <f aca="false">IFERROR(F456*1000000/$E456,"")</f>
        <v>86.1868203327946</v>
      </c>
      <c r="L456" s="11" t="n">
        <f aca="false">IFERROR(G456*1000000/$E456,"")</f>
        <v>62.5430611747669</v>
      </c>
      <c r="M456" s="11" t="n">
        <f aca="false">IFERROR(H456*1000000/$E456,"")</f>
        <v>61.5597386509089</v>
      </c>
      <c r="N456" s="11" t="n">
        <f aca="false">IFERROR(I456*1000000/$E456,"")</f>
        <v>210.28962015847</v>
      </c>
      <c r="O456" s="11" t="n">
        <f aca="false">IFERROR(J456*1000000/$E456,"")</f>
        <v>143.511911012282</v>
      </c>
      <c r="P456" s="16" t="n">
        <f aca="false">COUNTIFS($A$4:$A$1008,$A456,$N$4:$N$1008,"&gt;"&amp;N456)+1</f>
        <v>34</v>
      </c>
      <c r="Q456" s="16" t="n">
        <f aca="false">COUNTIFS($A$4:$A$1008,$A456,$O$4:$O$1008,"&gt;"&amp;O456)+1</f>
        <v>21</v>
      </c>
    </row>
    <row r="457" customFormat="false" ht="15" hidden="false" customHeight="false" outlineLevel="0" collapsed="false">
      <c r="A457" s="7" t="n">
        <v>2011</v>
      </c>
      <c r="B457" s="15" t="s">
        <v>144</v>
      </c>
      <c r="C457" s="15" t="s">
        <v>135</v>
      </c>
      <c r="D457" s="15" t="s">
        <v>141</v>
      </c>
      <c r="E457" s="9" t="n">
        <f aca="false">SUMIFS(Data!$L$2:$L$1006,Data!$A$2:$A$1006,$A457,Data!$B$2:$B$1006,$B457)</f>
        <v>468195</v>
      </c>
      <c r="F457" s="10" t="n">
        <f aca="false">SUMIFS(Data!$E$2:$E$1006,Data!$A$2:$A$1006,$A457,Data!$B$2:$B$1006,$B457)</f>
        <v>35.397842</v>
      </c>
      <c r="G457" s="10" t="n">
        <f aca="false">SUMIFS(Data!$F$2:$F$1006,Data!$A$2:$A$1006,$A457,Data!$B$2:$B$1006,$B457)</f>
        <v>21.7148</v>
      </c>
      <c r="H457" s="10" t="n">
        <f aca="false">SUMIFS(Data!$G$2:$G$1006,Data!$A$2:$A$1006,$A457,Data!$B$2:$B$1006,$B457)</f>
        <v>61.239758</v>
      </c>
      <c r="I457" s="10" t="n">
        <f aca="false">SUMIFS(Data!$N$2:$N$1006,Data!$A$2:$A$1006,$A457,Data!$B$2:$B$1006,$B457)</f>
        <v>118.3524</v>
      </c>
      <c r="J457" s="10" t="n">
        <f aca="false">SUMIFS(Data!$H$2:$H$1006,Data!$A$2:$A$1006,$A457,Data!$B$2:$B$1006,$B457)</f>
        <v>43.902302</v>
      </c>
      <c r="K457" s="11" t="n">
        <f aca="false">IFERROR(F457*1000000/$E457,"")</f>
        <v>75.6049124830466</v>
      </c>
      <c r="L457" s="11" t="n">
        <f aca="false">IFERROR(G457*1000000/$E457,"")</f>
        <v>46.3798203739895</v>
      </c>
      <c r="M457" s="11" t="n">
        <f aca="false">IFERROR(H457*1000000/$E457,"")</f>
        <v>130.799683892395</v>
      </c>
      <c r="N457" s="11" t="n">
        <f aca="false">IFERROR(I457*1000000/$E457,"")</f>
        <v>252.784416749431</v>
      </c>
      <c r="O457" s="11" t="n">
        <f aca="false">IFERROR(J457*1000000/$E457,"")</f>
        <v>93.7692670788881</v>
      </c>
      <c r="P457" s="16" t="n">
        <f aca="false">COUNTIFS($A$4:$A$1008,$A457,$N$4:$N$1008,"&gt;"&amp;N457)+1</f>
        <v>29</v>
      </c>
      <c r="Q457" s="16" t="n">
        <f aca="false">COUNTIFS($A$4:$A$1008,$A457,$O$4:$O$1008,"&gt;"&amp;O457)+1</f>
        <v>36</v>
      </c>
    </row>
    <row r="458" customFormat="false" ht="15" hidden="false" customHeight="false" outlineLevel="0" collapsed="false">
      <c r="A458" s="7" t="n">
        <v>2011</v>
      </c>
      <c r="B458" s="15" t="s">
        <v>145</v>
      </c>
      <c r="C458" s="15" t="s">
        <v>135</v>
      </c>
      <c r="D458" s="15" t="s">
        <v>146</v>
      </c>
      <c r="E458" s="9" t="n">
        <f aca="false">SUMIFS(Data!$L$2:$L$1006,Data!$A$2:$A$1006,$A458,Data!$B$2:$B$1006,$B458)</f>
        <v>526732</v>
      </c>
      <c r="F458" s="10" t="n">
        <f aca="false">SUMIFS(Data!$E$2:$E$1006,Data!$A$2:$A$1006,$A458,Data!$B$2:$B$1006,$B458)</f>
        <v>24.408029</v>
      </c>
      <c r="G458" s="10" t="n">
        <f aca="false">SUMIFS(Data!$F$2:$F$1006,Data!$A$2:$A$1006,$A458,Data!$B$2:$B$1006,$B458)</f>
        <v>61.526169</v>
      </c>
      <c r="H458" s="10" t="n">
        <f aca="false">SUMIFS(Data!$G$2:$G$1006,Data!$A$2:$A$1006,$A458,Data!$B$2:$B$1006,$B458)</f>
        <v>48.302653</v>
      </c>
      <c r="I458" s="10" t="n">
        <f aca="false">SUMIFS(Data!$N$2:$N$1006,Data!$A$2:$A$1006,$A458,Data!$B$2:$B$1006,$B458)</f>
        <v>134.236851</v>
      </c>
      <c r="J458" s="10" t="n">
        <f aca="false">SUMIFS(Data!$H$2:$H$1006,Data!$A$2:$A$1006,$A458,Data!$B$2:$B$1006,$B458)</f>
        <v>137.326799</v>
      </c>
      <c r="K458" s="11" t="n">
        <f aca="false">IFERROR(F458*1000000/$E458,"")</f>
        <v>46.3386105267954</v>
      </c>
      <c r="L458" s="11" t="n">
        <f aca="false">IFERROR(G458*1000000/$E458,"")</f>
        <v>116.80734984774</v>
      </c>
      <c r="M458" s="11" t="n">
        <f aca="false">IFERROR(H458*1000000/$E458,"")</f>
        <v>91.7025223453293</v>
      </c>
      <c r="N458" s="11" t="n">
        <f aca="false">IFERROR(I458*1000000/$E458,"")</f>
        <v>254.848482719865</v>
      </c>
      <c r="O458" s="11" t="n">
        <f aca="false">IFERROR(J458*1000000/$E458,"")</f>
        <v>260.714744879749</v>
      </c>
      <c r="P458" s="16" t="n">
        <f aca="false">COUNTIFS($A$4:$A$1008,$A458,$N$4:$N$1008,"&gt;"&amp;N458)+1</f>
        <v>27</v>
      </c>
      <c r="Q458" s="16" t="n">
        <f aca="false">COUNTIFS($A$4:$A$1008,$A458,$O$4:$O$1008,"&gt;"&amp;O458)+1</f>
        <v>2</v>
      </c>
    </row>
    <row r="459" customFormat="false" ht="15" hidden="false" customHeight="false" outlineLevel="0" collapsed="false">
      <c r="A459" s="7" t="n">
        <v>2011</v>
      </c>
      <c r="B459" s="15" t="s">
        <v>147</v>
      </c>
      <c r="C459" s="15" t="s">
        <v>135</v>
      </c>
      <c r="D459" s="15" t="s">
        <v>148</v>
      </c>
      <c r="E459" s="9" t="n">
        <f aca="false">SUMIFS(Data!$L$2:$L$1006,Data!$A$2:$A$1006,$A459,Data!$B$2:$B$1006,$B459)</f>
        <v>141414</v>
      </c>
      <c r="F459" s="10" t="n">
        <f aca="false">SUMIFS(Data!$E$2:$E$1006,Data!$A$2:$A$1006,$A459,Data!$B$2:$B$1006,$B459)</f>
        <v>13.54048</v>
      </c>
      <c r="G459" s="10" t="n">
        <f aca="false">SUMIFS(Data!$F$2:$F$1006,Data!$A$2:$A$1006,$A459,Data!$B$2:$B$1006,$B459)</f>
        <v>15.151342</v>
      </c>
      <c r="H459" s="10" t="n">
        <f aca="false">SUMIFS(Data!$G$2:$G$1006,Data!$A$2:$A$1006,$A459,Data!$B$2:$B$1006,$B459)</f>
        <v>10.731302</v>
      </c>
      <c r="I459" s="10" t="n">
        <f aca="false">SUMIFS(Data!$N$2:$N$1006,Data!$A$2:$A$1006,$A459,Data!$B$2:$B$1006,$B459)</f>
        <v>39.423124</v>
      </c>
      <c r="J459" s="10" t="n">
        <f aca="false">SUMIFS(Data!$H$2:$H$1006,Data!$A$2:$A$1006,$A459,Data!$B$2:$B$1006,$B459)</f>
        <v>40.348408</v>
      </c>
      <c r="K459" s="11" t="n">
        <f aca="false">IFERROR(F459*1000000/$E459,"")</f>
        <v>95.75063289349</v>
      </c>
      <c r="L459" s="11" t="n">
        <f aca="false">IFERROR(G459*1000000/$E459,"")</f>
        <v>107.141739856026</v>
      </c>
      <c r="M459" s="11" t="n">
        <f aca="false">IFERROR(H459*1000000/$E459,"")</f>
        <v>75.88571145714</v>
      </c>
      <c r="N459" s="11" t="n">
        <f aca="false">IFERROR(I459*1000000/$E459,"")</f>
        <v>278.778084206656</v>
      </c>
      <c r="O459" s="11" t="n">
        <f aca="false">IFERROR(J459*1000000/$E459,"")</f>
        <v>285.321170464028</v>
      </c>
      <c r="P459" s="16" t="n">
        <f aca="false">COUNTIFS($A$4:$A$1008,$A459,$N$4:$N$1008,"&gt;"&amp;N459)+1</f>
        <v>19</v>
      </c>
      <c r="Q459" s="16" t="n">
        <f aca="false">COUNTIFS($A$4:$A$1008,$A459,$O$4:$O$1008,"&gt;"&amp;O459)+1</f>
        <v>1</v>
      </c>
    </row>
    <row r="460" customFormat="false" ht="15" hidden="false" customHeight="false" outlineLevel="0" collapsed="false">
      <c r="A460" s="7" t="n">
        <v>2011</v>
      </c>
      <c r="B460" s="15" t="s">
        <v>149</v>
      </c>
      <c r="C460" s="15" t="s">
        <v>135</v>
      </c>
      <c r="D460" s="15" t="s">
        <v>146</v>
      </c>
      <c r="E460" s="9" t="n">
        <f aca="false">SUMIFS(Data!$L$2:$L$1006,Data!$A$2:$A$1006,$A460,Data!$B$2:$B$1006,$B460)</f>
        <v>729844</v>
      </c>
      <c r="F460" s="10" t="n">
        <f aca="false">SUMIFS(Data!$E$2:$E$1006,Data!$A$2:$A$1006,$A460,Data!$B$2:$B$1006,$B460)</f>
        <v>99.566279</v>
      </c>
      <c r="G460" s="10" t="n">
        <f aca="false">SUMIFS(Data!$F$2:$F$1006,Data!$A$2:$A$1006,$A460,Data!$B$2:$B$1006,$B460)</f>
        <v>72.765985</v>
      </c>
      <c r="H460" s="10" t="n">
        <f aca="false">SUMIFS(Data!$G$2:$G$1006,Data!$A$2:$A$1006,$A460,Data!$B$2:$B$1006,$B460)</f>
        <v>60.642247</v>
      </c>
      <c r="I460" s="10" t="n">
        <f aca="false">SUMIFS(Data!$N$2:$N$1006,Data!$A$2:$A$1006,$A460,Data!$B$2:$B$1006,$B460)</f>
        <v>232.974511</v>
      </c>
      <c r="J460" s="10" t="n">
        <f aca="false">SUMIFS(Data!$H$2:$H$1006,Data!$A$2:$A$1006,$A460,Data!$B$2:$B$1006,$B460)</f>
        <v>99.314365</v>
      </c>
      <c r="K460" s="11" t="n">
        <f aca="false">IFERROR(F460*1000000/$E460,"")</f>
        <v>136.421316062063</v>
      </c>
      <c r="L460" s="11" t="n">
        <f aca="false">IFERROR(G460*1000000/$E460,"")</f>
        <v>99.7007374178592</v>
      </c>
      <c r="M460" s="11" t="n">
        <f aca="false">IFERROR(H460*1000000/$E460,"")</f>
        <v>83.0893273083015</v>
      </c>
      <c r="N460" s="11" t="n">
        <f aca="false">IFERROR(I460*1000000/$E460,"")</f>
        <v>319.211380788223</v>
      </c>
      <c r="O460" s="11" t="n">
        <f aca="false">IFERROR(J460*1000000/$E460,"")</f>
        <v>136.076154630305</v>
      </c>
      <c r="P460" s="16" t="n">
        <f aca="false">COUNTIFS($A$4:$A$1008,$A460,$N$4:$N$1008,"&gt;"&amp;N460)+1</f>
        <v>13</v>
      </c>
      <c r="Q460" s="16" t="n">
        <f aca="false">COUNTIFS($A$4:$A$1008,$A460,$O$4:$O$1008,"&gt;"&amp;O460)+1</f>
        <v>24</v>
      </c>
    </row>
    <row r="461" customFormat="false" ht="15" hidden="false" customHeight="false" outlineLevel="0" collapsed="false">
      <c r="A461" s="7" t="n">
        <v>2011</v>
      </c>
      <c r="B461" s="15" t="s">
        <v>150</v>
      </c>
      <c r="C461" s="15" t="s">
        <v>135</v>
      </c>
      <c r="D461" s="15" t="s">
        <v>141</v>
      </c>
      <c r="E461" s="9" t="n">
        <f aca="false">SUMIFS(Data!$L$2:$L$1006,Data!$A$2:$A$1006,$A461,Data!$B$2:$B$1006,$B461)</f>
        <v>456937</v>
      </c>
      <c r="F461" s="10" t="n">
        <f aca="false">SUMIFS(Data!$E$2:$E$1006,Data!$A$2:$A$1006,$A461,Data!$B$2:$B$1006,$B461)</f>
        <v>43.908566</v>
      </c>
      <c r="G461" s="10" t="n">
        <f aca="false">SUMIFS(Data!$F$2:$F$1006,Data!$A$2:$A$1006,$A461,Data!$B$2:$B$1006,$B461)</f>
        <v>18.343648</v>
      </c>
      <c r="H461" s="10" t="n">
        <f aca="false">SUMIFS(Data!$G$2:$G$1006,Data!$A$2:$A$1006,$A461,Data!$B$2:$B$1006,$B461)</f>
        <v>57.078625</v>
      </c>
      <c r="I461" s="10" t="n">
        <f aca="false">SUMIFS(Data!$N$2:$N$1006,Data!$A$2:$A$1006,$A461,Data!$B$2:$B$1006,$B461)</f>
        <v>119.330839</v>
      </c>
      <c r="J461" s="10" t="n">
        <f aca="false">SUMIFS(Data!$H$2:$H$1006,Data!$A$2:$A$1006,$A461,Data!$B$2:$B$1006,$B461)</f>
        <v>43.818906</v>
      </c>
      <c r="K461" s="11" t="n">
        <f aca="false">IFERROR(F461*1000000/$E461,"")</f>
        <v>96.0932601211983</v>
      </c>
      <c r="L461" s="11" t="n">
        <f aca="false">IFERROR(G461*1000000/$E461,"")</f>
        <v>40.1448077087213</v>
      </c>
      <c r="M461" s="11" t="n">
        <f aca="false">IFERROR(H461*1000000/$E461,"")</f>
        <v>124.915743308158</v>
      </c>
      <c r="N461" s="11" t="n">
        <f aca="false">IFERROR(I461*1000000/$E461,"")</f>
        <v>261.153811138078</v>
      </c>
      <c r="O461" s="11" t="n">
        <f aca="false">IFERROR(J461*1000000/$E461,"")</f>
        <v>95.8970405110551</v>
      </c>
      <c r="P461" s="16" t="n">
        <f aca="false">COUNTIFS($A$4:$A$1008,$A461,$N$4:$N$1008,"&gt;"&amp;N461)+1</f>
        <v>25</v>
      </c>
      <c r="Q461" s="16" t="n">
        <f aca="false">COUNTIFS($A$4:$A$1008,$A461,$O$4:$O$1008,"&gt;"&amp;O461)+1</f>
        <v>35</v>
      </c>
    </row>
    <row r="462" customFormat="false" ht="15" hidden="false" customHeight="false" outlineLevel="0" collapsed="false">
      <c r="A462" s="7" t="n">
        <v>2011</v>
      </c>
      <c r="B462" s="15" t="s">
        <v>151</v>
      </c>
      <c r="C462" s="15" t="s">
        <v>135</v>
      </c>
      <c r="D462" s="15" t="s">
        <v>136</v>
      </c>
      <c r="E462" s="9" t="n">
        <f aca="false">SUMIFS(Data!$L$2:$L$1006,Data!$A$2:$A$1006,$A462,Data!$B$2:$B$1006,$B462)</f>
        <v>1399830</v>
      </c>
      <c r="F462" s="10" t="n">
        <f aca="false">SUMIFS(Data!$E$2:$E$1006,Data!$A$2:$A$1006,$A462,Data!$B$2:$B$1006,$B462)</f>
        <v>112.98736</v>
      </c>
      <c r="G462" s="10" t="n">
        <f aca="false">SUMIFS(Data!$F$2:$F$1006,Data!$A$2:$A$1006,$A462,Data!$B$2:$B$1006,$B462)</f>
        <v>175.569754</v>
      </c>
      <c r="H462" s="10" t="n">
        <f aca="false">SUMIFS(Data!$G$2:$G$1006,Data!$A$2:$A$1006,$A462,Data!$B$2:$B$1006,$B462)</f>
        <v>72.613713</v>
      </c>
      <c r="I462" s="10" t="n">
        <f aca="false">SUMIFS(Data!$N$2:$N$1006,Data!$A$2:$A$1006,$A462,Data!$B$2:$B$1006,$B462)</f>
        <v>361.170827</v>
      </c>
      <c r="J462" s="10" t="n">
        <f aca="false">SUMIFS(Data!$H$2:$H$1006,Data!$A$2:$A$1006,$A462,Data!$B$2:$B$1006,$B462)</f>
        <v>160.661461</v>
      </c>
      <c r="K462" s="11" t="n">
        <f aca="false">IFERROR(F462*1000000/$E462,"")</f>
        <v>80.7150582570741</v>
      </c>
      <c r="L462" s="11" t="n">
        <f aca="false">IFERROR(G462*1000000/$E462,"")</f>
        <v>125.422196981062</v>
      </c>
      <c r="M462" s="11" t="n">
        <f aca="false">IFERROR(H462*1000000/$E462,"")</f>
        <v>51.8732367501768</v>
      </c>
      <c r="N462" s="11" t="n">
        <f aca="false">IFERROR(I462*1000000/$E462,"")</f>
        <v>258.010491988313</v>
      </c>
      <c r="O462" s="11" t="n">
        <f aca="false">IFERROR(J462*1000000/$E462,"")</f>
        <v>114.772123043512</v>
      </c>
      <c r="P462" s="16" t="n">
        <f aca="false">COUNTIFS($A$4:$A$1008,$A462,$N$4:$N$1008,"&gt;"&amp;N462)+1</f>
        <v>26</v>
      </c>
      <c r="Q462" s="16" t="n">
        <f aca="false">COUNTIFS($A$4:$A$1008,$A462,$O$4:$O$1008,"&gt;"&amp;O462)+1</f>
        <v>32</v>
      </c>
    </row>
    <row r="463" customFormat="false" ht="15" hidden="false" customHeight="false" outlineLevel="0" collapsed="false">
      <c r="A463" s="7" t="n">
        <v>2011</v>
      </c>
      <c r="B463" s="15" t="s">
        <v>152</v>
      </c>
      <c r="C463" s="15" t="s">
        <v>135</v>
      </c>
      <c r="D463" s="15" t="s">
        <v>148</v>
      </c>
      <c r="E463" s="9" t="n">
        <f aca="false">SUMIFS(Data!$L$2:$L$1006,Data!$A$2:$A$1006,$A463,Data!$B$2:$B$1006,$B463)</f>
        <v>250123</v>
      </c>
      <c r="F463" s="10" t="n">
        <f aca="false">SUMIFS(Data!$E$2:$E$1006,Data!$A$2:$A$1006,$A463,Data!$B$2:$B$1006,$B463)</f>
        <v>24.021194</v>
      </c>
      <c r="G463" s="10" t="n">
        <f aca="false">SUMIFS(Data!$F$2:$F$1006,Data!$A$2:$A$1006,$A463,Data!$B$2:$B$1006,$B463)</f>
        <v>20.244998</v>
      </c>
      <c r="H463" s="10" t="n">
        <f aca="false">SUMIFS(Data!$G$2:$G$1006,Data!$A$2:$A$1006,$A463,Data!$B$2:$B$1006,$B463)</f>
        <v>22.960936</v>
      </c>
      <c r="I463" s="10" t="n">
        <f aca="false">SUMIFS(Data!$N$2:$N$1006,Data!$A$2:$A$1006,$A463,Data!$B$2:$B$1006,$B463)</f>
        <v>67.227128</v>
      </c>
      <c r="J463" s="10" t="n">
        <f aca="false">SUMIFS(Data!$H$2:$H$1006,Data!$A$2:$A$1006,$A463,Data!$B$2:$B$1006,$B463)</f>
        <v>39.203377</v>
      </c>
      <c r="K463" s="11" t="n">
        <f aca="false">IFERROR(F463*1000000/$E463,"")</f>
        <v>96.0375255374356</v>
      </c>
      <c r="L463" s="11" t="n">
        <f aca="false">IFERROR(G463*1000000/$E463,"")</f>
        <v>80.9401694366372</v>
      </c>
      <c r="M463" s="11" t="n">
        <f aca="false">IFERROR(H463*1000000/$E463,"")</f>
        <v>91.7985790990833</v>
      </c>
      <c r="N463" s="11" t="n">
        <f aca="false">IFERROR(I463*1000000/$E463,"")</f>
        <v>268.776274073156</v>
      </c>
      <c r="O463" s="11" t="n">
        <f aca="false">IFERROR(J463*1000000/$E463,"")</f>
        <v>156.736393694302</v>
      </c>
      <c r="P463" s="16" t="n">
        <f aca="false">COUNTIFS($A$4:$A$1008,$A463,$N$4:$N$1008,"&gt;"&amp;N463)+1</f>
        <v>22</v>
      </c>
      <c r="Q463" s="16" t="n">
        <f aca="false">COUNTIFS($A$4:$A$1008,$A463,$O$4:$O$1008,"&gt;"&amp;O463)+1</f>
        <v>19</v>
      </c>
    </row>
    <row r="464" customFormat="false" ht="15" hidden="false" customHeight="false" outlineLevel="0" collapsed="false">
      <c r="A464" s="7" t="n">
        <v>2011</v>
      </c>
      <c r="B464" s="15" t="s">
        <v>153</v>
      </c>
      <c r="C464" s="15" t="s">
        <v>135</v>
      </c>
      <c r="D464" s="15" t="s">
        <v>136</v>
      </c>
      <c r="E464" s="9" t="n">
        <f aca="false">SUMIFS(Data!$L$2:$L$1006,Data!$A$2:$A$1006,$A464,Data!$B$2:$B$1006,$B464)</f>
        <v>129250</v>
      </c>
      <c r="F464" s="10" t="n">
        <f aca="false">SUMIFS(Data!$E$2:$E$1006,Data!$A$2:$A$1006,$A464,Data!$B$2:$B$1006,$B464)</f>
        <v>15.086326</v>
      </c>
      <c r="G464" s="10" t="n">
        <f aca="false">SUMIFS(Data!$F$2:$F$1006,Data!$A$2:$A$1006,$A464,Data!$B$2:$B$1006,$B464)</f>
        <v>19.806028</v>
      </c>
      <c r="H464" s="10" t="n">
        <f aca="false">SUMIFS(Data!$G$2:$G$1006,Data!$A$2:$A$1006,$A464,Data!$B$2:$B$1006,$B464)</f>
        <v>10.204736</v>
      </c>
      <c r="I464" s="10" t="n">
        <f aca="false">SUMIFS(Data!$N$2:$N$1006,Data!$A$2:$A$1006,$A464,Data!$B$2:$B$1006,$B464)</f>
        <v>45.09709</v>
      </c>
      <c r="J464" s="10" t="n">
        <f aca="false">SUMIFS(Data!$H$2:$H$1006,Data!$A$2:$A$1006,$A464,Data!$B$2:$B$1006,$B464)</f>
        <v>20.642461</v>
      </c>
      <c r="K464" s="11" t="n">
        <f aca="false">IFERROR(F464*1000000/$E464,"")</f>
        <v>116.722058027079</v>
      </c>
      <c r="L464" s="11" t="n">
        <f aca="false">IFERROR(G464*1000000/$E464,"")</f>
        <v>153.238127659574</v>
      </c>
      <c r="M464" s="11" t="n">
        <f aca="false">IFERROR(H464*1000000/$E464,"")</f>
        <v>78.9534700193424</v>
      </c>
      <c r="N464" s="11" t="n">
        <f aca="false">IFERROR(I464*1000000/$E464,"")</f>
        <v>348.913655705996</v>
      </c>
      <c r="O464" s="11" t="n">
        <f aca="false">IFERROR(J464*1000000/$E464,"")</f>
        <v>159.709562862669</v>
      </c>
      <c r="P464" s="16" t="n">
        <f aca="false">COUNTIFS($A$4:$A$1008,$A464,$N$4:$N$1008,"&gt;"&amp;N464)+1</f>
        <v>6</v>
      </c>
      <c r="Q464" s="16" t="n">
        <f aca="false">COUNTIFS($A$4:$A$1008,$A464,$O$4:$O$1008,"&gt;"&amp;O464)+1</f>
        <v>15</v>
      </c>
    </row>
    <row r="465" customFormat="false" ht="15" hidden="false" customHeight="false" outlineLevel="0" collapsed="false">
      <c r="A465" s="7" t="n">
        <v>2011</v>
      </c>
      <c r="B465" s="15" t="s">
        <v>154</v>
      </c>
      <c r="C465" s="15" t="s">
        <v>135</v>
      </c>
      <c r="D465" s="15" t="s">
        <v>141</v>
      </c>
      <c r="E465" s="9" t="n">
        <f aca="false">SUMIFS(Data!$L$2:$L$1006,Data!$A$2:$A$1006,$A465,Data!$B$2:$B$1006,$B465)</f>
        <v>146136</v>
      </c>
      <c r="F465" s="10" t="n">
        <f aca="false">SUMIFS(Data!$E$2:$E$1006,Data!$A$2:$A$1006,$A465,Data!$B$2:$B$1006,$B465)</f>
        <v>16.208824</v>
      </c>
      <c r="G465" s="10" t="n">
        <f aca="false">SUMIFS(Data!$F$2:$F$1006,Data!$A$2:$A$1006,$A465,Data!$B$2:$B$1006,$B465)</f>
        <v>7.887525</v>
      </c>
      <c r="H465" s="10" t="n">
        <f aca="false">SUMIFS(Data!$G$2:$G$1006,Data!$A$2:$A$1006,$A465,Data!$B$2:$B$1006,$B465)</f>
        <v>15.283797</v>
      </c>
      <c r="I465" s="10" t="n">
        <f aca="false">SUMIFS(Data!$N$2:$N$1006,Data!$A$2:$A$1006,$A465,Data!$B$2:$B$1006,$B465)</f>
        <v>39.380146</v>
      </c>
      <c r="J465" s="10" t="n">
        <f aca="false">SUMIFS(Data!$H$2:$H$1006,Data!$A$2:$A$1006,$A465,Data!$B$2:$B$1006,$B465)</f>
        <v>25.049487</v>
      </c>
      <c r="K465" s="11" t="n">
        <f aca="false">IFERROR(F465*1000000/$E465,"")</f>
        <v>110.916023430229</v>
      </c>
      <c r="L465" s="11" t="n">
        <f aca="false">IFERROR(G465*1000000/$E465,"")</f>
        <v>53.9738668089998</v>
      </c>
      <c r="M465" s="11" t="n">
        <f aca="false">IFERROR(H465*1000000/$E465,"")</f>
        <v>104.586118410248</v>
      </c>
      <c r="N465" s="11" t="n">
        <f aca="false">IFERROR(I465*1000000/$E465,"")</f>
        <v>269.476008649477</v>
      </c>
      <c r="O465" s="11" t="n">
        <f aca="false">IFERROR(J465*1000000/$E465,"")</f>
        <v>171.412157168665</v>
      </c>
      <c r="P465" s="16" t="n">
        <f aca="false">COUNTIFS($A$4:$A$1008,$A465,$N$4:$N$1008,"&gt;"&amp;N465)+1</f>
        <v>21</v>
      </c>
      <c r="Q465" s="16" t="n">
        <f aca="false">COUNTIFS($A$4:$A$1008,$A465,$O$4:$O$1008,"&gt;"&amp;O465)+1</f>
        <v>10</v>
      </c>
    </row>
    <row r="466" customFormat="false" ht="15" hidden="false" customHeight="false" outlineLevel="0" collapsed="false">
      <c r="A466" s="7" t="n">
        <v>2011</v>
      </c>
      <c r="B466" s="15" t="s">
        <v>155</v>
      </c>
      <c r="C466" s="15" t="s">
        <v>135</v>
      </c>
      <c r="D466" s="15" t="s">
        <v>148</v>
      </c>
      <c r="E466" s="9" t="n">
        <f aca="false">SUMIFS(Data!$L$2:$L$1006,Data!$A$2:$A$1006,$A466,Data!$B$2:$B$1006,$B466)</f>
        <v>1120964</v>
      </c>
      <c r="F466" s="10" t="n">
        <f aca="false">SUMIFS(Data!$E$2:$E$1006,Data!$A$2:$A$1006,$A466,Data!$B$2:$B$1006,$B466)</f>
        <v>94.070178</v>
      </c>
      <c r="G466" s="10" t="n">
        <f aca="false">SUMIFS(Data!$F$2:$F$1006,Data!$A$2:$A$1006,$A466,Data!$B$2:$B$1006,$B466)</f>
        <v>132.4947</v>
      </c>
      <c r="H466" s="10" t="n">
        <f aca="false">SUMIFS(Data!$G$2:$G$1006,Data!$A$2:$A$1006,$A466,Data!$B$2:$B$1006,$B466)</f>
        <v>90.838057</v>
      </c>
      <c r="I466" s="10" t="n">
        <f aca="false">SUMIFS(Data!$N$2:$N$1006,Data!$A$2:$A$1006,$A466,Data!$B$2:$B$1006,$B466)</f>
        <v>317.402935</v>
      </c>
      <c r="J466" s="10" t="n">
        <f aca="false">SUMIFS(Data!$H$2:$H$1006,Data!$A$2:$A$1006,$A466,Data!$B$2:$B$1006,$B466)</f>
        <v>157.155139</v>
      </c>
      <c r="K466" s="11" t="n">
        <f aca="false">IFERROR(F466*1000000/$E466,"")</f>
        <v>83.9190000749355</v>
      </c>
      <c r="L466" s="11" t="n">
        <f aca="false">IFERROR(G466*1000000/$E466,"")</f>
        <v>118.197105348611</v>
      </c>
      <c r="M466" s="11" t="n">
        <f aca="false">IFERROR(H466*1000000/$E466,"")</f>
        <v>81.0356594859425</v>
      </c>
      <c r="N466" s="11" t="n">
        <f aca="false">IFERROR(I466*1000000/$E466,"")</f>
        <v>283.151764909489</v>
      </c>
      <c r="O466" s="11" t="n">
        <f aca="false">IFERROR(J466*1000000/$E466,"")</f>
        <v>140.196419331932</v>
      </c>
      <c r="P466" s="16" t="n">
        <f aca="false">COUNTIFS($A$4:$A$1008,$A466,$N$4:$N$1008,"&gt;"&amp;N466)+1</f>
        <v>17</v>
      </c>
      <c r="Q466" s="16" t="n">
        <f aca="false">COUNTIFS($A$4:$A$1008,$A466,$O$4:$O$1008,"&gt;"&amp;O466)+1</f>
        <v>23</v>
      </c>
    </row>
    <row r="467" customFormat="false" ht="15" hidden="false" customHeight="false" outlineLevel="0" collapsed="false">
      <c r="A467" s="7" t="n">
        <v>2011</v>
      </c>
      <c r="B467" s="15" t="s">
        <v>156</v>
      </c>
      <c r="C467" s="15" t="s">
        <v>135</v>
      </c>
      <c r="D467" s="15" t="s">
        <v>148</v>
      </c>
      <c r="E467" s="9" t="n">
        <f aca="false">SUMIFS(Data!$L$2:$L$1006,Data!$A$2:$A$1006,$A467,Data!$B$2:$B$1006,$B467)</f>
        <v>458041</v>
      </c>
      <c r="F467" s="10" t="n">
        <f aca="false">SUMIFS(Data!$E$2:$E$1006,Data!$A$2:$A$1006,$A467,Data!$B$2:$B$1006,$B467)</f>
        <v>23.980501</v>
      </c>
      <c r="G467" s="10" t="n">
        <f aca="false">SUMIFS(Data!$F$2:$F$1006,Data!$A$2:$A$1006,$A467,Data!$B$2:$B$1006,$B467)</f>
        <v>49.15279</v>
      </c>
      <c r="H467" s="10" t="n">
        <f aca="false">SUMIFS(Data!$G$2:$G$1006,Data!$A$2:$A$1006,$A467,Data!$B$2:$B$1006,$B467)</f>
        <v>48.027533</v>
      </c>
      <c r="I467" s="10" t="n">
        <f aca="false">SUMIFS(Data!$N$2:$N$1006,Data!$A$2:$A$1006,$A467,Data!$B$2:$B$1006,$B467)</f>
        <v>121.160824</v>
      </c>
      <c r="J467" s="10" t="n">
        <f aca="false">SUMIFS(Data!$H$2:$H$1006,Data!$A$2:$A$1006,$A467,Data!$B$2:$B$1006,$B467)</f>
        <v>103.241845</v>
      </c>
      <c r="K467" s="11" t="n">
        <f aca="false">IFERROR(F467*1000000/$E467,"")</f>
        <v>52.3544857338099</v>
      </c>
      <c r="L467" s="11" t="n">
        <f aca="false">IFERROR(G467*1000000/$E467,"")</f>
        <v>107.310895749507</v>
      </c>
      <c r="M467" s="11" t="n">
        <f aca="false">IFERROR(H467*1000000/$E467,"")</f>
        <v>104.854222656924</v>
      </c>
      <c r="N467" s="11" t="n">
        <f aca="false">IFERROR(I467*1000000/$E467,"")</f>
        <v>264.519604140241</v>
      </c>
      <c r="O467" s="11" t="n">
        <f aca="false">IFERROR(J467*1000000/$E467,"")</f>
        <v>225.398697933154</v>
      </c>
      <c r="P467" s="16" t="n">
        <f aca="false">COUNTIFS($A$4:$A$1008,$A467,$N$4:$N$1008,"&gt;"&amp;N467)+1</f>
        <v>23</v>
      </c>
      <c r="Q467" s="16" t="n">
        <f aca="false">COUNTIFS($A$4:$A$1008,$A467,$O$4:$O$1008,"&gt;"&amp;O467)+1</f>
        <v>5</v>
      </c>
    </row>
    <row r="468" customFormat="false" ht="15" hidden="false" customHeight="false" outlineLevel="0" collapsed="false">
      <c r="A468" s="7" t="n">
        <v>2011</v>
      </c>
      <c r="B468" s="15" t="s">
        <v>157</v>
      </c>
      <c r="C468" s="15" t="s">
        <v>135</v>
      </c>
      <c r="D468" s="15" t="s">
        <v>148</v>
      </c>
      <c r="E468" s="9" t="n">
        <f aca="false">SUMIFS(Data!$L$2:$L$1006,Data!$A$2:$A$1006,$A468,Data!$B$2:$B$1006,$B468)</f>
        <v>439481</v>
      </c>
      <c r="F468" s="10" t="n">
        <f aca="false">SUMIFS(Data!$E$2:$E$1006,Data!$A$2:$A$1006,$A468,Data!$B$2:$B$1006,$B468)</f>
        <v>45.022993</v>
      </c>
      <c r="G468" s="10" t="n">
        <f aca="false">SUMIFS(Data!$F$2:$F$1006,Data!$A$2:$A$1006,$A468,Data!$B$2:$B$1006,$B468)</f>
        <v>50.842169</v>
      </c>
      <c r="H468" s="10" t="n">
        <f aca="false">SUMIFS(Data!$G$2:$G$1006,Data!$A$2:$A$1006,$A468,Data!$B$2:$B$1006,$B468)</f>
        <v>20.34476</v>
      </c>
      <c r="I468" s="10" t="n">
        <f aca="false">SUMIFS(Data!$N$2:$N$1006,Data!$A$2:$A$1006,$A468,Data!$B$2:$B$1006,$B468)</f>
        <v>116.209922</v>
      </c>
      <c r="J468" s="10" t="n">
        <f aca="false">SUMIFS(Data!$H$2:$H$1006,Data!$A$2:$A$1006,$A468,Data!$B$2:$B$1006,$B468)</f>
        <v>25.989977</v>
      </c>
      <c r="K468" s="11" t="n">
        <f aca="false">IFERROR(F468*1000000/$E468,"")</f>
        <v>102.445823596469</v>
      </c>
      <c r="L468" s="11" t="n">
        <f aca="false">IFERROR(G468*1000000/$E468,"")</f>
        <v>115.686841979517</v>
      </c>
      <c r="M468" s="11" t="n">
        <f aca="false">IFERROR(H468*1000000/$E468,"")</f>
        <v>46.2926952473486</v>
      </c>
      <c r="N468" s="11" t="n">
        <f aca="false">IFERROR(I468*1000000/$E468,"")</f>
        <v>264.425360823335</v>
      </c>
      <c r="O468" s="11" t="n">
        <f aca="false">IFERROR(J468*1000000/$E468,"")</f>
        <v>59.1378853693334</v>
      </c>
      <c r="P468" s="16" t="n">
        <f aca="false">COUNTIFS($A$4:$A$1008,$A468,$N$4:$N$1008,"&gt;"&amp;N468)+1</f>
        <v>24</v>
      </c>
      <c r="Q468" s="16" t="n">
        <f aca="false">COUNTIFS($A$4:$A$1008,$A468,$O$4:$O$1008,"&gt;"&amp;O468)+1</f>
        <v>39</v>
      </c>
    </row>
    <row r="469" customFormat="false" ht="15" hidden="false" customHeight="false" outlineLevel="0" collapsed="false">
      <c r="A469" s="7" t="n">
        <v>2012</v>
      </c>
      <c r="B469" s="15" t="s">
        <v>101</v>
      </c>
      <c r="C469" s="15" t="s">
        <v>102</v>
      </c>
      <c r="D469" s="15" t="s">
        <v>103</v>
      </c>
      <c r="E469" s="9" t="n">
        <f aca="false">SUMIFS(Data!$L$2:$L$1006,Data!$A$2:$A$1006,$A469,Data!$B$2:$B$1006,$B469)</f>
        <v>745328</v>
      </c>
      <c r="F469" s="10" t="n">
        <f aca="false">SUMIFS(Data!$E$2:$E$1006,Data!$A$2:$A$1006,$A469,Data!$B$2:$B$1006,$B469)</f>
        <v>48.791592</v>
      </c>
      <c r="G469" s="10" t="n">
        <f aca="false">SUMIFS(Data!$F$2:$F$1006,Data!$A$2:$A$1006,$A469,Data!$B$2:$B$1006,$B469)</f>
        <v>46.834057</v>
      </c>
      <c r="H469" s="10" t="n">
        <f aca="false">SUMIFS(Data!$G$2:$G$1006,Data!$A$2:$A$1006,$A469,Data!$B$2:$B$1006,$B469)</f>
        <v>62.826979</v>
      </c>
      <c r="I469" s="10" t="n">
        <f aca="false">SUMIFS(Data!$N$2:$N$1006,Data!$A$2:$A$1006,$A469,Data!$B$2:$B$1006,$B469)</f>
        <v>158.452628</v>
      </c>
      <c r="J469" s="10" t="n">
        <f aca="false">SUMIFS(Data!$H$2:$H$1006,Data!$A$2:$A$1006,$A469,Data!$B$2:$B$1006,$B469)</f>
        <v>139.991763</v>
      </c>
      <c r="K469" s="11" t="n">
        <f aca="false">IFERROR(F469*1000000/$E469,"")</f>
        <v>65.4632483953374</v>
      </c>
      <c r="L469" s="11" t="n">
        <f aca="false">IFERROR(G469*1000000/$E469,"")</f>
        <v>62.8368409612949</v>
      </c>
      <c r="M469" s="11" t="n">
        <f aca="false">IFERROR(H469*1000000/$E469,"")</f>
        <v>84.2944032694331</v>
      </c>
      <c r="N469" s="11" t="n">
        <f aca="false">IFERROR(I469*1000000/$E469,"")</f>
        <v>212.594492626065</v>
      </c>
      <c r="O469" s="11" t="n">
        <f aca="false">IFERROR(J469*1000000/$E469,"")</f>
        <v>187.82571297469</v>
      </c>
      <c r="P469" s="16" t="n">
        <f aca="false">COUNTIFS($A$4:$A$1008,$A469,$N$4:$N$1008,"&gt;"&amp;N469)+1</f>
        <v>34</v>
      </c>
      <c r="Q469" s="16" t="n">
        <f aca="false">COUNTIFS($A$4:$A$1008,$A469,$O$4:$O$1008,"&gt;"&amp;O469)+1</f>
        <v>17</v>
      </c>
    </row>
    <row r="470" customFormat="false" ht="15" hidden="false" customHeight="false" outlineLevel="0" collapsed="false">
      <c r="A470" s="7" t="n">
        <v>2012</v>
      </c>
      <c r="B470" s="15" t="s">
        <v>104</v>
      </c>
      <c r="C470" s="15" t="s">
        <v>102</v>
      </c>
      <c r="D470" s="15" t="s">
        <v>105</v>
      </c>
      <c r="E470" s="9" t="n">
        <f aca="false">SUMIFS(Data!$L$2:$L$1006,Data!$A$2:$A$1006,$A470,Data!$B$2:$B$1006,$B470)</f>
        <v>1100165</v>
      </c>
      <c r="F470" s="10" t="n">
        <f aca="false">SUMIFS(Data!$E$2:$E$1006,Data!$A$2:$A$1006,$A470,Data!$B$2:$B$1006,$B470)</f>
        <v>195.370179</v>
      </c>
      <c r="G470" s="10" t="n">
        <f aca="false">SUMIFS(Data!$F$2:$F$1006,Data!$A$2:$A$1006,$A470,Data!$B$2:$B$1006,$B470)</f>
        <v>168.573411</v>
      </c>
      <c r="H470" s="10" t="n">
        <f aca="false">SUMIFS(Data!$G$2:$G$1006,Data!$A$2:$A$1006,$A470,Data!$B$2:$B$1006,$B470)</f>
        <v>245.749478</v>
      </c>
      <c r="I470" s="10" t="n">
        <f aca="false">SUMIFS(Data!$N$2:$N$1006,Data!$A$2:$A$1006,$A470,Data!$B$2:$B$1006,$B470)</f>
        <v>609.693068</v>
      </c>
      <c r="J470" s="10" t="n">
        <f aca="false">SUMIFS(Data!$H$2:$H$1006,Data!$A$2:$A$1006,$A470,Data!$B$2:$B$1006,$B470)</f>
        <v>583.957235</v>
      </c>
      <c r="K470" s="11" t="n">
        <f aca="false">IFERROR(F470*1000000/$E470,"")</f>
        <v>177.582616243927</v>
      </c>
      <c r="L470" s="11" t="n">
        <f aca="false">IFERROR(G470*1000000/$E470,"")</f>
        <v>153.225571618803</v>
      </c>
      <c r="M470" s="11" t="n">
        <f aca="false">IFERROR(H470*1000000/$E470,"")</f>
        <v>223.375110097122</v>
      </c>
      <c r="N470" s="11" t="n">
        <f aca="false">IFERROR(I470*1000000/$E470,"")</f>
        <v>554.183297959852</v>
      </c>
      <c r="O470" s="11" t="n">
        <f aca="false">IFERROR(J470*1000000/$E470,"")</f>
        <v>530.790595047107</v>
      </c>
      <c r="P470" s="16" t="n">
        <f aca="false">COUNTIFS($A$4:$A$1008,$A470,$N$4:$N$1008,"&gt;"&amp;N470)+1</f>
        <v>1</v>
      </c>
      <c r="Q470" s="16" t="n">
        <f aca="false">COUNTIFS($A$4:$A$1008,$A470,$O$4:$O$1008,"&gt;"&amp;O470)+1</f>
        <v>1</v>
      </c>
    </row>
    <row r="471" customFormat="false" ht="15" hidden="false" customHeight="false" outlineLevel="0" collapsed="false">
      <c r="A471" s="7" t="n">
        <v>2012</v>
      </c>
      <c r="B471" s="15" t="s">
        <v>106</v>
      </c>
      <c r="C471" s="15" t="s">
        <v>102</v>
      </c>
      <c r="D471" s="15" t="s">
        <v>107</v>
      </c>
      <c r="E471" s="9" t="n">
        <f aca="false">SUMIFS(Data!$L$2:$L$1006,Data!$A$2:$A$1006,$A471,Data!$B$2:$B$1006,$B471)</f>
        <v>553405</v>
      </c>
      <c r="F471" s="10" t="n">
        <f aca="false">SUMIFS(Data!$E$2:$E$1006,Data!$A$2:$A$1006,$A471,Data!$B$2:$B$1006,$B471)</f>
        <v>49.313186</v>
      </c>
      <c r="G471" s="10" t="n">
        <f aca="false">SUMIFS(Data!$F$2:$F$1006,Data!$A$2:$A$1006,$A471,Data!$B$2:$B$1006,$B471)</f>
        <v>75.539323</v>
      </c>
      <c r="H471" s="10" t="n">
        <f aca="false">SUMIFS(Data!$G$2:$G$1006,Data!$A$2:$A$1006,$A471,Data!$B$2:$B$1006,$B471)</f>
        <v>57.631061</v>
      </c>
      <c r="I471" s="10" t="n">
        <f aca="false">SUMIFS(Data!$N$2:$N$1006,Data!$A$2:$A$1006,$A471,Data!$B$2:$B$1006,$B471)</f>
        <v>182.48357</v>
      </c>
      <c r="J471" s="10" t="n">
        <f aca="false">SUMIFS(Data!$H$2:$H$1006,Data!$A$2:$A$1006,$A471,Data!$B$2:$B$1006,$B471)</f>
        <v>126.964148</v>
      </c>
      <c r="K471" s="11" t="n">
        <f aca="false">IFERROR(F471*1000000/$E471,"")</f>
        <v>89.1086744789079</v>
      </c>
      <c r="L471" s="11" t="n">
        <f aca="false">IFERROR(G471*1000000/$E471,"")</f>
        <v>136.499169685854</v>
      </c>
      <c r="M471" s="11" t="n">
        <f aca="false">IFERROR(H471*1000000/$E471,"")</f>
        <v>104.139031992844</v>
      </c>
      <c r="N471" s="11" t="n">
        <f aca="false">IFERROR(I471*1000000/$E471,"")</f>
        <v>329.746876157606</v>
      </c>
      <c r="O471" s="11" t="n">
        <f aca="false">IFERROR(J471*1000000/$E471,"")</f>
        <v>229.423565020193</v>
      </c>
      <c r="P471" s="16" t="n">
        <f aca="false">COUNTIFS($A$4:$A$1008,$A471,$N$4:$N$1008,"&gt;"&amp;N471)+1</f>
        <v>12</v>
      </c>
      <c r="Q471" s="16" t="n">
        <f aca="false">COUNTIFS($A$4:$A$1008,$A471,$O$4:$O$1008,"&gt;"&amp;O471)+1</f>
        <v>8</v>
      </c>
    </row>
    <row r="472" customFormat="false" ht="15" hidden="false" customHeight="false" outlineLevel="0" collapsed="false">
      <c r="A472" s="7" t="n">
        <v>2012</v>
      </c>
      <c r="B472" s="15" t="s">
        <v>108</v>
      </c>
      <c r="C472" s="15" t="s">
        <v>102</v>
      </c>
      <c r="D472" s="15" t="s">
        <v>109</v>
      </c>
      <c r="E472" s="9" t="n">
        <f aca="false">SUMIFS(Data!$L$2:$L$1006,Data!$A$2:$A$1006,$A472,Data!$B$2:$B$1006,$B472)</f>
        <v>386908</v>
      </c>
      <c r="F472" s="10" t="n">
        <f aca="false">SUMIFS(Data!$E$2:$E$1006,Data!$A$2:$A$1006,$A472,Data!$B$2:$B$1006,$B472)</f>
        <v>57.294248</v>
      </c>
      <c r="G472" s="10" t="n">
        <f aca="false">SUMIFS(Data!$F$2:$F$1006,Data!$A$2:$A$1006,$A472,Data!$B$2:$B$1006,$B472)</f>
        <v>15.532182</v>
      </c>
      <c r="H472" s="10" t="n">
        <f aca="false">SUMIFS(Data!$G$2:$G$1006,Data!$A$2:$A$1006,$A472,Data!$B$2:$B$1006,$B472)</f>
        <v>32.078144</v>
      </c>
      <c r="I472" s="10" t="n">
        <f aca="false">SUMIFS(Data!$N$2:$N$1006,Data!$A$2:$A$1006,$A472,Data!$B$2:$B$1006,$B472)</f>
        <v>104.904574</v>
      </c>
      <c r="J472" s="10" t="n">
        <f aca="false">SUMIFS(Data!$H$2:$H$1006,Data!$A$2:$A$1006,$A472,Data!$B$2:$B$1006,$B472)</f>
        <v>153.563198</v>
      </c>
      <c r="K472" s="11" t="n">
        <f aca="false">IFERROR(F472*1000000/$E472,"")</f>
        <v>148.082355495363</v>
      </c>
      <c r="L472" s="11" t="n">
        <f aca="false">IFERROR(G472*1000000/$E472,"")</f>
        <v>40.144380576261</v>
      </c>
      <c r="M472" s="11" t="n">
        <f aca="false">IFERROR(H472*1000000/$E472,"")</f>
        <v>82.9089706079998</v>
      </c>
      <c r="N472" s="11" t="n">
        <f aca="false">IFERROR(I472*1000000/$E472,"")</f>
        <v>271.135706679624</v>
      </c>
      <c r="O472" s="11" t="n">
        <f aca="false">IFERROR(J472*1000000/$E472,"")</f>
        <v>396.898482326548</v>
      </c>
      <c r="P472" s="16" t="n">
        <f aca="false">COUNTIFS($A$4:$A$1008,$A472,$N$4:$N$1008,"&gt;"&amp;N472)+1</f>
        <v>24</v>
      </c>
      <c r="Q472" s="16" t="n">
        <f aca="false">COUNTIFS($A$4:$A$1008,$A472,$O$4:$O$1008,"&gt;"&amp;O472)+1</f>
        <v>3</v>
      </c>
    </row>
    <row r="473" customFormat="false" ht="15" hidden="false" customHeight="false" outlineLevel="0" collapsed="false">
      <c r="A473" s="7" t="n">
        <v>2012</v>
      </c>
      <c r="B473" s="15" t="s">
        <v>110</v>
      </c>
      <c r="C473" s="15" t="s">
        <v>102</v>
      </c>
      <c r="D473" s="15" t="s">
        <v>103</v>
      </c>
      <c r="E473" s="9" t="n">
        <f aca="false">SUMIFS(Data!$L$2:$L$1006,Data!$A$2:$A$1006,$A473,Data!$B$2:$B$1006,$B473)</f>
        <v>1031761</v>
      </c>
      <c r="F473" s="10" t="n">
        <f aca="false">SUMIFS(Data!$E$2:$E$1006,Data!$A$2:$A$1006,$A473,Data!$B$2:$B$1006,$B473)</f>
        <v>62.272178</v>
      </c>
      <c r="G473" s="10" t="n">
        <f aca="false">SUMIFS(Data!$F$2:$F$1006,Data!$A$2:$A$1006,$A473,Data!$B$2:$B$1006,$B473)</f>
        <v>50.774782</v>
      </c>
      <c r="H473" s="10" t="n">
        <f aca="false">SUMIFS(Data!$G$2:$G$1006,Data!$A$2:$A$1006,$A473,Data!$B$2:$B$1006,$B473)</f>
        <v>64.220297</v>
      </c>
      <c r="I473" s="10" t="n">
        <f aca="false">SUMIFS(Data!$N$2:$N$1006,Data!$A$2:$A$1006,$A473,Data!$B$2:$B$1006,$B473)</f>
        <v>177.267257</v>
      </c>
      <c r="J473" s="10" t="n">
        <f aca="false">SUMIFS(Data!$H$2:$H$1006,Data!$A$2:$A$1006,$A473,Data!$B$2:$B$1006,$B473)</f>
        <v>172.218553</v>
      </c>
      <c r="K473" s="11" t="n">
        <f aca="false">IFERROR(F473*1000000/$E473,"")</f>
        <v>60.3552353694315</v>
      </c>
      <c r="L473" s="11" t="n">
        <f aca="false">IFERROR(G473*1000000/$E473,"")</f>
        <v>49.2117670662101</v>
      </c>
      <c r="M473" s="11" t="n">
        <f aca="false">IFERROR(H473*1000000/$E473,"")</f>
        <v>62.2433848536628</v>
      </c>
      <c r="N473" s="11" t="n">
        <f aca="false">IFERROR(I473*1000000/$E473,"")</f>
        <v>171.810387289304</v>
      </c>
      <c r="O473" s="11" t="n">
        <f aca="false">IFERROR(J473*1000000/$E473,"")</f>
        <v>166.917099018087</v>
      </c>
      <c r="P473" s="16" t="n">
        <f aca="false">COUNTIFS($A$4:$A$1008,$A473,$N$4:$N$1008,"&gt;"&amp;N473)+1</f>
        <v>37</v>
      </c>
      <c r="Q473" s="16" t="n">
        <f aca="false">COUNTIFS($A$4:$A$1008,$A473,$O$4:$O$1008,"&gt;"&amp;O473)+1</f>
        <v>23</v>
      </c>
    </row>
    <row r="474" customFormat="false" ht="15" hidden="false" customHeight="false" outlineLevel="0" collapsed="false">
      <c r="A474" s="7" t="n">
        <v>2012</v>
      </c>
      <c r="B474" s="15" t="s">
        <v>111</v>
      </c>
      <c r="C474" s="15" t="s">
        <v>102</v>
      </c>
      <c r="D474" s="15" t="s">
        <v>107</v>
      </c>
      <c r="E474" s="9" t="n">
        <f aca="false">SUMIFS(Data!$L$2:$L$1006,Data!$A$2:$A$1006,$A474,Data!$B$2:$B$1006,$B474)</f>
        <v>589505</v>
      </c>
      <c r="F474" s="10" t="n">
        <f aca="false">SUMIFS(Data!$E$2:$E$1006,Data!$A$2:$A$1006,$A474,Data!$B$2:$B$1006,$B474)</f>
        <v>51.867448</v>
      </c>
      <c r="G474" s="10" t="n">
        <f aca="false">SUMIFS(Data!$F$2:$F$1006,Data!$A$2:$A$1006,$A474,Data!$B$2:$B$1006,$B474)</f>
        <v>73.485887</v>
      </c>
      <c r="H474" s="10" t="n">
        <f aca="false">SUMIFS(Data!$G$2:$G$1006,Data!$A$2:$A$1006,$A474,Data!$B$2:$B$1006,$B474)</f>
        <v>57.0946</v>
      </c>
      <c r="I474" s="10" t="n">
        <f aca="false">SUMIFS(Data!$N$2:$N$1006,Data!$A$2:$A$1006,$A474,Data!$B$2:$B$1006,$B474)</f>
        <v>182.447935</v>
      </c>
      <c r="J474" s="10" t="n">
        <f aca="false">SUMIFS(Data!$H$2:$H$1006,Data!$A$2:$A$1006,$A474,Data!$B$2:$B$1006,$B474)</f>
        <v>120.818359</v>
      </c>
      <c r="K474" s="11" t="n">
        <f aca="false">IFERROR(F474*1000000/$E474,"")</f>
        <v>87.9847465246266</v>
      </c>
      <c r="L474" s="11" t="n">
        <f aca="false">IFERROR(G474*1000000/$E474,"")</f>
        <v>124.656935903852</v>
      </c>
      <c r="M474" s="11" t="n">
        <f aca="false">IFERROR(H474*1000000/$E474,"")</f>
        <v>96.8517654642454</v>
      </c>
      <c r="N474" s="11" t="n">
        <f aca="false">IFERROR(I474*1000000/$E474,"")</f>
        <v>309.493447892724</v>
      </c>
      <c r="O474" s="11" t="n">
        <f aca="false">IFERROR(J474*1000000/$E474,"")</f>
        <v>204.948828254213</v>
      </c>
      <c r="P474" s="16" t="n">
        <f aca="false">COUNTIFS($A$4:$A$1008,$A474,$N$4:$N$1008,"&gt;"&amp;N474)+1</f>
        <v>16</v>
      </c>
      <c r="Q474" s="16" t="n">
        <f aca="false">COUNTIFS($A$4:$A$1008,$A474,$O$4:$O$1008,"&gt;"&amp;O474)+1</f>
        <v>13</v>
      </c>
    </row>
    <row r="475" customFormat="false" ht="15" hidden="false" customHeight="false" outlineLevel="0" collapsed="false">
      <c r="A475" s="7" t="n">
        <v>2012</v>
      </c>
      <c r="B475" s="15" t="s">
        <v>112</v>
      </c>
      <c r="C475" s="15" t="s">
        <v>102</v>
      </c>
      <c r="D475" s="15" t="s">
        <v>107</v>
      </c>
      <c r="E475" s="9" t="n">
        <f aca="false">SUMIFS(Data!$L$2:$L$1006,Data!$A$2:$A$1006,$A475,Data!$B$2:$B$1006,$B475)</f>
        <v>160725</v>
      </c>
      <c r="F475" s="10" t="n">
        <f aca="false">SUMIFS(Data!$E$2:$E$1006,Data!$A$2:$A$1006,$A475,Data!$B$2:$B$1006,$B475)</f>
        <v>11.926235</v>
      </c>
      <c r="G475" s="10" t="n">
        <f aca="false">SUMIFS(Data!$F$2:$F$1006,Data!$A$2:$A$1006,$A475,Data!$B$2:$B$1006,$B475)</f>
        <v>22.474686</v>
      </c>
      <c r="H475" s="10" t="n">
        <f aca="false">SUMIFS(Data!$G$2:$G$1006,Data!$A$2:$A$1006,$A475,Data!$B$2:$B$1006,$B475)</f>
        <v>10.435015</v>
      </c>
      <c r="I475" s="10" t="n">
        <f aca="false">SUMIFS(Data!$N$2:$N$1006,Data!$A$2:$A$1006,$A475,Data!$B$2:$B$1006,$B475)</f>
        <v>44.835936</v>
      </c>
      <c r="J475" s="10" t="n">
        <f aca="false">SUMIFS(Data!$H$2:$H$1006,Data!$A$2:$A$1006,$A475,Data!$B$2:$B$1006,$B475)</f>
        <v>30.195916</v>
      </c>
      <c r="K475" s="11" t="n">
        <f aca="false">IFERROR(F475*1000000/$E475,"")</f>
        <v>74.2027375952714</v>
      </c>
      <c r="L475" s="11" t="n">
        <f aca="false">IFERROR(G475*1000000/$E475,"")</f>
        <v>139.833168455436</v>
      </c>
      <c r="M475" s="11" t="n">
        <f aca="false">IFERROR(H475*1000000/$E475,"")</f>
        <v>64.9246539119614</v>
      </c>
      <c r="N475" s="11" t="n">
        <f aca="false">IFERROR(I475*1000000/$E475,"")</f>
        <v>278.960559962669</v>
      </c>
      <c r="O475" s="11" t="n">
        <f aca="false">IFERROR(J475*1000000/$E475,"")</f>
        <v>187.873174677244</v>
      </c>
      <c r="P475" s="16" t="n">
        <f aca="false">COUNTIFS($A$4:$A$1008,$A475,$N$4:$N$1008,"&gt;"&amp;N475)+1</f>
        <v>20</v>
      </c>
      <c r="Q475" s="16" t="n">
        <f aca="false">COUNTIFS($A$4:$A$1008,$A475,$O$4:$O$1008,"&gt;"&amp;O475)+1</f>
        <v>16</v>
      </c>
    </row>
    <row r="476" customFormat="false" ht="15" hidden="false" customHeight="false" outlineLevel="0" collapsed="false">
      <c r="A476" s="7" t="n">
        <v>2012</v>
      </c>
      <c r="B476" s="15" t="s">
        <v>113</v>
      </c>
      <c r="C476" s="15" t="s">
        <v>102</v>
      </c>
      <c r="D476" s="15" t="s">
        <v>114</v>
      </c>
      <c r="E476" s="9" t="n">
        <f aca="false">SUMIFS(Data!$L$2:$L$1006,Data!$A$2:$A$1006,$A476,Data!$B$2:$B$1006,$B476)</f>
        <v>389184</v>
      </c>
      <c r="F476" s="10" t="n">
        <f aca="false">SUMIFS(Data!$E$2:$E$1006,Data!$A$2:$A$1006,$A476,Data!$B$2:$B$1006,$B476)</f>
        <v>22.143937</v>
      </c>
      <c r="G476" s="10" t="n">
        <f aca="false">SUMIFS(Data!$F$2:$F$1006,Data!$A$2:$A$1006,$A476,Data!$B$2:$B$1006,$B476)</f>
        <v>19.419613</v>
      </c>
      <c r="H476" s="10" t="n">
        <f aca="false">SUMIFS(Data!$G$2:$G$1006,Data!$A$2:$A$1006,$A476,Data!$B$2:$B$1006,$B476)</f>
        <v>36.321631</v>
      </c>
      <c r="I476" s="10" t="n">
        <f aca="false">SUMIFS(Data!$N$2:$N$1006,Data!$A$2:$A$1006,$A476,Data!$B$2:$B$1006,$B476)</f>
        <v>77.885181</v>
      </c>
      <c r="J476" s="10" t="n">
        <f aca="false">SUMIFS(Data!$H$2:$H$1006,Data!$A$2:$A$1006,$A476,Data!$B$2:$B$1006,$B476)</f>
        <v>89.48112</v>
      </c>
      <c r="K476" s="11" t="n">
        <f aca="false">IFERROR(F476*1000000/$E476,"")</f>
        <v>56.8983745477717</v>
      </c>
      <c r="L476" s="11" t="n">
        <f aca="false">IFERROR(G476*1000000/$E476,"")</f>
        <v>49.8982820465384</v>
      </c>
      <c r="M476" s="11" t="n">
        <f aca="false">IFERROR(H476*1000000/$E476,"")</f>
        <v>93.3276573548758</v>
      </c>
      <c r="N476" s="11" t="n">
        <f aca="false">IFERROR(I476*1000000/$E476,"")</f>
        <v>200.124313949186</v>
      </c>
      <c r="O476" s="11" t="n">
        <f aca="false">IFERROR(J476*1000000/$E476,"")</f>
        <v>229.91983226443</v>
      </c>
      <c r="P476" s="16" t="n">
        <f aca="false">COUNTIFS($A$4:$A$1008,$A476,$N$4:$N$1008,"&gt;"&amp;N476)+1</f>
        <v>36</v>
      </c>
      <c r="Q476" s="16" t="n">
        <f aca="false">COUNTIFS($A$4:$A$1008,$A476,$O$4:$O$1008,"&gt;"&amp;O476)+1</f>
        <v>7</v>
      </c>
    </row>
    <row r="477" customFormat="false" ht="15" hidden="false" customHeight="false" outlineLevel="0" collapsed="false">
      <c r="A477" s="7" t="n">
        <v>2012</v>
      </c>
      <c r="B477" s="15" t="s">
        <v>115</v>
      </c>
      <c r="C477" s="15" t="s">
        <v>102</v>
      </c>
      <c r="D477" s="15" t="s">
        <v>103</v>
      </c>
      <c r="E477" s="9" t="n">
        <f aca="false">SUMIFS(Data!$L$2:$L$1006,Data!$A$2:$A$1006,$A477,Data!$B$2:$B$1006,$B477)</f>
        <v>308147</v>
      </c>
      <c r="F477" s="10" t="n">
        <f aca="false">SUMIFS(Data!$E$2:$E$1006,Data!$A$2:$A$1006,$A477,Data!$B$2:$B$1006,$B477)</f>
        <v>16.800549</v>
      </c>
      <c r="G477" s="10" t="n">
        <f aca="false">SUMIFS(Data!$F$2:$F$1006,Data!$A$2:$A$1006,$A477,Data!$B$2:$B$1006,$B477)</f>
        <v>19.080995</v>
      </c>
      <c r="H477" s="10" t="n">
        <f aca="false">SUMIFS(Data!$G$2:$G$1006,Data!$A$2:$A$1006,$A477,Data!$B$2:$B$1006,$B477)</f>
        <v>27.084884</v>
      </c>
      <c r="I477" s="10" t="n">
        <f aca="false">SUMIFS(Data!$N$2:$N$1006,Data!$A$2:$A$1006,$A477,Data!$B$2:$B$1006,$B477)</f>
        <v>62.966428</v>
      </c>
      <c r="J477" s="10" t="n">
        <f aca="false">SUMIFS(Data!$H$2:$H$1006,Data!$A$2:$A$1006,$A477,Data!$B$2:$B$1006,$B477)</f>
        <v>57.42279</v>
      </c>
      <c r="K477" s="11" t="n">
        <f aca="false">IFERROR(F477*1000000/$E477,"")</f>
        <v>54.5212155237598</v>
      </c>
      <c r="L477" s="11" t="n">
        <f aca="false">IFERROR(G477*1000000/$E477,"")</f>
        <v>61.9217289150957</v>
      </c>
      <c r="M477" s="11" t="n">
        <f aca="false">IFERROR(H477*1000000/$E477,"")</f>
        <v>87.8959847085969</v>
      </c>
      <c r="N477" s="11" t="n">
        <f aca="false">IFERROR(I477*1000000/$E477,"")</f>
        <v>204.338929147452</v>
      </c>
      <c r="O477" s="11" t="n">
        <f aca="false">IFERROR(J477*1000000/$E477,"")</f>
        <v>186.348690722285</v>
      </c>
      <c r="P477" s="16" t="n">
        <f aca="false">COUNTIFS($A$4:$A$1008,$A477,$N$4:$N$1008,"&gt;"&amp;N477)+1</f>
        <v>35</v>
      </c>
      <c r="Q477" s="16" t="n">
        <f aca="false">COUNTIFS($A$4:$A$1008,$A477,$O$4:$O$1008,"&gt;"&amp;O477)+1</f>
        <v>18</v>
      </c>
    </row>
    <row r="478" customFormat="false" ht="15" hidden="false" customHeight="false" outlineLevel="0" collapsed="false">
      <c r="A478" s="7" t="n">
        <v>2012</v>
      </c>
      <c r="B478" s="15" t="s">
        <v>116</v>
      </c>
      <c r="C478" s="15" t="s">
        <v>102</v>
      </c>
      <c r="D478" s="15" t="s">
        <v>107</v>
      </c>
      <c r="E478" s="9" t="n">
        <f aca="false">SUMIFS(Data!$L$2:$L$1006,Data!$A$2:$A$1006,$A478,Data!$B$2:$B$1006,$B478)</f>
        <v>716955</v>
      </c>
      <c r="F478" s="10" t="n">
        <f aca="false">SUMIFS(Data!$E$2:$E$1006,Data!$A$2:$A$1006,$A478,Data!$B$2:$B$1006,$B478)</f>
        <v>18.850978</v>
      </c>
      <c r="G478" s="10" t="n">
        <f aca="false">SUMIFS(Data!$F$2:$F$1006,Data!$A$2:$A$1006,$A478,Data!$B$2:$B$1006,$B478)</f>
        <v>49.578325</v>
      </c>
      <c r="H478" s="10" t="n">
        <f aca="false">SUMIFS(Data!$G$2:$G$1006,Data!$A$2:$A$1006,$A478,Data!$B$2:$B$1006,$B478)</f>
        <v>30.499823</v>
      </c>
      <c r="I478" s="10" t="n">
        <f aca="false">SUMIFS(Data!$N$2:$N$1006,Data!$A$2:$A$1006,$A478,Data!$B$2:$B$1006,$B478)</f>
        <v>98.929126</v>
      </c>
      <c r="J478" s="10" t="n">
        <f aca="false">SUMIFS(Data!$H$2:$H$1006,Data!$A$2:$A$1006,$A478,Data!$B$2:$B$1006,$B478)</f>
        <v>109.22608</v>
      </c>
      <c r="K478" s="11" t="n">
        <f aca="false">IFERROR(F478*1000000/$E478,"")</f>
        <v>26.29311184105</v>
      </c>
      <c r="L478" s="11" t="n">
        <f aca="false">IFERROR(G478*1000000/$E478,"")</f>
        <v>69.1512368279739</v>
      </c>
      <c r="M478" s="11" t="n">
        <f aca="false">IFERROR(H478*1000000/$E478,"")</f>
        <v>42.5407773151732</v>
      </c>
      <c r="N478" s="11" t="n">
        <f aca="false">IFERROR(I478*1000000/$E478,"")</f>
        <v>137.985125984197</v>
      </c>
      <c r="O478" s="11" t="n">
        <f aca="false">IFERROR(J478*1000000/$E478,"")</f>
        <v>152.347190548919</v>
      </c>
      <c r="P478" s="16" t="n">
        <f aca="false">COUNTIFS($A$4:$A$1008,$A478,$N$4:$N$1008,"&gt;"&amp;N478)+1</f>
        <v>39</v>
      </c>
      <c r="Q478" s="16" t="n">
        <f aca="false">COUNTIFS($A$4:$A$1008,$A478,$O$4:$O$1008,"&gt;"&amp;O478)+1</f>
        <v>29</v>
      </c>
    </row>
    <row r="479" customFormat="false" ht="15" hidden="false" customHeight="false" outlineLevel="0" collapsed="false">
      <c r="A479" s="7" t="n">
        <v>2012</v>
      </c>
      <c r="B479" s="15" t="s">
        <v>117</v>
      </c>
      <c r="C479" s="15" t="s">
        <v>118</v>
      </c>
      <c r="D479" s="15" t="s">
        <v>103</v>
      </c>
      <c r="E479" s="9" t="n">
        <f aca="false">SUMIFS(Data!$L$2:$L$1006,Data!$A$2:$A$1006,$A479,Data!$B$2:$B$1006,$B479)</f>
        <v>1460393</v>
      </c>
      <c r="F479" s="10" t="n">
        <f aca="false">SUMIFS(Data!$E$2:$E$1006,Data!$A$2:$A$1006,$A479,Data!$B$2:$B$1006,$B479)</f>
        <v>155.564708</v>
      </c>
      <c r="G479" s="10" t="n">
        <f aca="false">SUMIFS(Data!$F$2:$F$1006,Data!$A$2:$A$1006,$A479,Data!$B$2:$B$1006,$B479)</f>
        <v>237.86413</v>
      </c>
      <c r="H479" s="10" t="n">
        <f aca="false">SUMIFS(Data!$G$2:$G$1006,Data!$A$2:$A$1006,$A479,Data!$B$2:$B$1006,$B479)</f>
        <v>94.896667</v>
      </c>
      <c r="I479" s="10" t="n">
        <f aca="false">SUMIFS(Data!$N$2:$N$1006,Data!$A$2:$A$1006,$A479,Data!$B$2:$B$1006,$B479)</f>
        <v>488.325505</v>
      </c>
      <c r="J479" s="10" t="n">
        <f aca="false">SUMIFS(Data!$H$2:$H$1006,Data!$A$2:$A$1006,$A479,Data!$B$2:$B$1006,$B479)</f>
        <v>230.563222</v>
      </c>
      <c r="K479" s="11" t="n">
        <f aca="false">IFERROR(F479*1000000/$E479,"")</f>
        <v>106.522496341738</v>
      </c>
      <c r="L479" s="11" t="n">
        <f aca="false">IFERROR(G479*1000000/$E479,"")</f>
        <v>162.876794123226</v>
      </c>
      <c r="M479" s="11" t="n">
        <f aca="false">IFERROR(H479*1000000/$E479,"")</f>
        <v>64.9802258707074</v>
      </c>
      <c r="N479" s="11" t="n">
        <f aca="false">IFERROR(I479*1000000/$E479,"")</f>
        <v>334.379516335671</v>
      </c>
      <c r="O479" s="11" t="n">
        <f aca="false">IFERROR(J479*1000000/$E479,"")</f>
        <v>157.877517901003</v>
      </c>
      <c r="P479" s="16" t="n">
        <f aca="false">COUNTIFS($A$4:$A$1008,$A479,$N$4:$N$1008,"&gt;"&amp;N479)+1</f>
        <v>10</v>
      </c>
      <c r="Q479" s="16" t="n">
        <f aca="false">COUNTIFS($A$4:$A$1008,$A479,$O$4:$O$1008,"&gt;"&amp;O479)+1</f>
        <v>27</v>
      </c>
    </row>
    <row r="480" customFormat="false" ht="15" hidden="false" customHeight="false" outlineLevel="0" collapsed="false">
      <c r="A480" s="7" t="n">
        <v>2012</v>
      </c>
      <c r="B480" s="15" t="s">
        <v>119</v>
      </c>
      <c r="C480" s="15" t="s">
        <v>118</v>
      </c>
      <c r="D480" s="15" t="s">
        <v>103</v>
      </c>
      <c r="E480" s="9" t="n">
        <f aca="false">SUMIFS(Data!$L$2:$L$1006,Data!$A$2:$A$1006,$A480,Data!$B$2:$B$1006,$B480)</f>
        <v>513074</v>
      </c>
      <c r="F480" s="10" t="n">
        <f aca="false">SUMIFS(Data!$E$2:$E$1006,Data!$A$2:$A$1006,$A480,Data!$B$2:$B$1006,$B480)</f>
        <v>30.487006</v>
      </c>
      <c r="G480" s="10" t="n">
        <f aca="false">SUMIFS(Data!$F$2:$F$1006,Data!$A$2:$A$1006,$A480,Data!$B$2:$B$1006,$B480)</f>
        <v>95.846716</v>
      </c>
      <c r="H480" s="10" t="n">
        <f aca="false">SUMIFS(Data!$G$2:$G$1006,Data!$A$2:$A$1006,$A480,Data!$B$2:$B$1006,$B480)</f>
        <v>50.590534</v>
      </c>
      <c r="I480" s="10" t="n">
        <f aca="false">SUMIFS(Data!$N$2:$N$1006,Data!$A$2:$A$1006,$A480,Data!$B$2:$B$1006,$B480)</f>
        <v>176.924256</v>
      </c>
      <c r="J480" s="10" t="n">
        <f aca="false">SUMIFS(Data!$H$2:$H$1006,Data!$A$2:$A$1006,$A480,Data!$B$2:$B$1006,$B480)</f>
        <v>118.753266</v>
      </c>
      <c r="K480" s="11" t="n">
        <f aca="false">IFERROR(F480*1000000/$E480,"")</f>
        <v>59.4202902505292</v>
      </c>
      <c r="L480" s="11" t="n">
        <f aca="false">IFERROR(G480*1000000/$E480,"")</f>
        <v>186.808756631597</v>
      </c>
      <c r="M480" s="11" t="n">
        <f aca="false">IFERROR(H480*1000000/$E480,"")</f>
        <v>98.6028019350035</v>
      </c>
      <c r="N480" s="11" t="n">
        <f aca="false">IFERROR(I480*1000000/$E480,"")</f>
        <v>344.83184881713</v>
      </c>
      <c r="O480" s="11" t="n">
        <f aca="false">IFERROR(J480*1000000/$E480,"")</f>
        <v>231.454460760046</v>
      </c>
      <c r="P480" s="16" t="n">
        <f aca="false">COUNTIFS($A$4:$A$1008,$A480,$N$4:$N$1008,"&gt;"&amp;N480)+1</f>
        <v>9</v>
      </c>
      <c r="Q480" s="16" t="n">
        <f aca="false">COUNTIFS($A$4:$A$1008,$A480,$O$4:$O$1008,"&gt;"&amp;O480)+1</f>
        <v>6</v>
      </c>
    </row>
    <row r="481" customFormat="false" ht="15" hidden="false" customHeight="false" outlineLevel="0" collapsed="false">
      <c r="A481" s="7" t="n">
        <v>2012</v>
      </c>
      <c r="B481" s="15" t="s">
        <v>120</v>
      </c>
      <c r="C481" s="15" t="s">
        <v>118</v>
      </c>
      <c r="D481" s="15" t="s">
        <v>121</v>
      </c>
      <c r="E481" s="9" t="n">
        <f aca="false">SUMIFS(Data!$L$2:$L$1006,Data!$A$2:$A$1006,$A481,Data!$B$2:$B$1006,$B481)</f>
        <v>960176</v>
      </c>
      <c r="F481" s="10" t="n">
        <f aca="false">SUMIFS(Data!$E$2:$E$1006,Data!$A$2:$A$1006,$A481,Data!$B$2:$B$1006,$B481)</f>
        <v>115.706381</v>
      </c>
      <c r="G481" s="10" t="n">
        <f aca="false">SUMIFS(Data!$F$2:$F$1006,Data!$A$2:$A$1006,$A481,Data!$B$2:$B$1006,$B481)</f>
        <v>53.414598</v>
      </c>
      <c r="H481" s="10" t="n">
        <f aca="false">SUMIFS(Data!$G$2:$G$1006,Data!$A$2:$A$1006,$A481,Data!$B$2:$B$1006,$B481)</f>
        <v>101.779757</v>
      </c>
      <c r="I481" s="10" t="n">
        <f aca="false">SUMIFS(Data!$N$2:$N$1006,Data!$A$2:$A$1006,$A481,Data!$B$2:$B$1006,$B481)</f>
        <v>270.900736</v>
      </c>
      <c r="J481" s="10" t="n">
        <f aca="false">SUMIFS(Data!$H$2:$H$1006,Data!$A$2:$A$1006,$A481,Data!$B$2:$B$1006,$B481)</f>
        <v>176.423453</v>
      </c>
      <c r="K481" s="11" t="n">
        <f aca="false">IFERROR(F481*1000000/$E481,"")</f>
        <v>120.505387553948</v>
      </c>
      <c r="L481" s="11" t="n">
        <f aca="false">IFERROR(G481*1000000/$E481,"")</f>
        <v>55.6300074153072</v>
      </c>
      <c r="M481" s="11" t="n">
        <f aca="false">IFERROR(H481*1000000/$E481,"")</f>
        <v>106.001146664778</v>
      </c>
      <c r="N481" s="11" t="n">
        <f aca="false">IFERROR(I481*1000000/$E481,"")</f>
        <v>282.136541634034</v>
      </c>
      <c r="O481" s="11" t="n">
        <f aca="false">IFERROR(J481*1000000/$E481,"")</f>
        <v>183.740744405192</v>
      </c>
      <c r="P481" s="16" t="n">
        <f aca="false">COUNTIFS($A$4:$A$1008,$A481,$N$4:$N$1008,"&gt;"&amp;N481)+1</f>
        <v>19</v>
      </c>
      <c r="Q481" s="16" t="n">
        <f aca="false">COUNTIFS($A$4:$A$1008,$A481,$O$4:$O$1008,"&gt;"&amp;O481)+1</f>
        <v>20</v>
      </c>
    </row>
    <row r="482" customFormat="false" ht="15" hidden="false" customHeight="false" outlineLevel="0" collapsed="false">
      <c r="A482" s="7" t="n">
        <v>2012</v>
      </c>
      <c r="B482" s="15" t="s">
        <v>122</v>
      </c>
      <c r="C482" s="15" t="s">
        <v>118</v>
      </c>
      <c r="D482" s="15" t="s">
        <v>105</v>
      </c>
      <c r="E482" s="9" t="n">
        <f aca="false">SUMIFS(Data!$L$2:$L$1006,Data!$A$2:$A$1006,$A482,Data!$B$2:$B$1006,$B482)</f>
        <v>546795</v>
      </c>
      <c r="F482" s="10" t="n">
        <f aca="false">SUMIFS(Data!$E$2:$E$1006,Data!$A$2:$A$1006,$A482,Data!$B$2:$B$1006,$B482)</f>
        <v>51.609498</v>
      </c>
      <c r="G482" s="10" t="n">
        <f aca="false">SUMIFS(Data!$F$2:$F$1006,Data!$A$2:$A$1006,$A482,Data!$B$2:$B$1006,$B482)</f>
        <v>95.699859</v>
      </c>
      <c r="H482" s="10" t="n">
        <f aca="false">SUMIFS(Data!$G$2:$G$1006,Data!$A$2:$A$1006,$A482,Data!$B$2:$B$1006,$B482)</f>
        <v>30.018562</v>
      </c>
      <c r="I482" s="10" t="n">
        <f aca="false">SUMIFS(Data!$N$2:$N$1006,Data!$A$2:$A$1006,$A482,Data!$B$2:$B$1006,$B482)</f>
        <v>177.327919</v>
      </c>
      <c r="J482" s="10" t="n">
        <f aca="false">SUMIFS(Data!$H$2:$H$1006,Data!$A$2:$A$1006,$A482,Data!$B$2:$B$1006,$B482)</f>
        <v>127.364372</v>
      </c>
      <c r="K482" s="11" t="n">
        <f aca="false">IFERROR(F482*1000000/$E482,"")</f>
        <v>94.3854607302554</v>
      </c>
      <c r="L482" s="11" t="n">
        <f aca="false">IFERROR(G482*1000000/$E482,"")</f>
        <v>175.019630757414</v>
      </c>
      <c r="M482" s="11" t="n">
        <f aca="false">IFERROR(H482*1000000/$E482,"")</f>
        <v>54.8991157563621</v>
      </c>
      <c r="N482" s="11" t="n">
        <f aca="false">IFERROR(I482*1000000/$E482,"")</f>
        <v>324.304207244031</v>
      </c>
      <c r="O482" s="11" t="n">
        <f aca="false">IFERROR(J482*1000000/$E482,"")</f>
        <v>232.928925831436</v>
      </c>
      <c r="P482" s="16" t="n">
        <f aca="false">COUNTIFS($A$4:$A$1008,$A482,$N$4:$N$1008,"&gt;"&amp;N482)+1</f>
        <v>14</v>
      </c>
      <c r="Q482" s="16" t="n">
        <f aca="false">COUNTIFS($A$4:$A$1008,$A482,$O$4:$O$1008,"&gt;"&amp;O482)+1</f>
        <v>5</v>
      </c>
    </row>
    <row r="483" customFormat="false" ht="15" hidden="false" customHeight="false" outlineLevel="0" collapsed="false">
      <c r="A483" s="7" t="n">
        <v>2012</v>
      </c>
      <c r="B483" s="15" t="s">
        <v>123</v>
      </c>
      <c r="C483" s="15" t="s">
        <v>118</v>
      </c>
      <c r="D483" s="15" t="s">
        <v>124</v>
      </c>
      <c r="E483" s="9" t="n">
        <f aca="false">SUMIFS(Data!$L$2:$L$1006,Data!$A$2:$A$1006,$A483,Data!$B$2:$B$1006,$B483)</f>
        <v>1240986</v>
      </c>
      <c r="F483" s="10" t="n">
        <f aca="false">SUMIFS(Data!$E$2:$E$1006,Data!$A$2:$A$1006,$A483,Data!$B$2:$B$1006,$B483)</f>
        <v>218.785273</v>
      </c>
      <c r="G483" s="10" t="n">
        <f aca="false">SUMIFS(Data!$F$2:$F$1006,Data!$A$2:$A$1006,$A483,Data!$B$2:$B$1006,$B483)</f>
        <v>88.022116</v>
      </c>
      <c r="H483" s="10" t="n">
        <f aca="false">SUMIFS(Data!$G$2:$G$1006,Data!$A$2:$A$1006,$A483,Data!$B$2:$B$1006,$B483)</f>
        <v>132.560314</v>
      </c>
      <c r="I483" s="10" t="n">
        <f aca="false">SUMIFS(Data!$N$2:$N$1006,Data!$A$2:$A$1006,$A483,Data!$B$2:$B$1006,$B483)</f>
        <v>439.367703</v>
      </c>
      <c r="J483" s="10" t="n">
        <f aca="false">SUMIFS(Data!$H$2:$H$1006,Data!$A$2:$A$1006,$A483,Data!$B$2:$B$1006,$B483)</f>
        <v>275.977197</v>
      </c>
      <c r="K483" s="11" t="n">
        <f aca="false">IFERROR(F483*1000000/$E483,"")</f>
        <v>176.29954971289</v>
      </c>
      <c r="L483" s="11" t="n">
        <f aca="false">IFERROR(G483*1000000/$E483,"")</f>
        <v>70.9291772832248</v>
      </c>
      <c r="M483" s="11" t="n">
        <f aca="false">IFERROR(H483*1000000/$E483,"")</f>
        <v>106.818541063316</v>
      </c>
      <c r="N483" s="11" t="n">
        <f aca="false">IFERROR(I483*1000000/$E483,"")</f>
        <v>354.04726805943</v>
      </c>
      <c r="O483" s="11" t="n">
        <f aca="false">IFERROR(J483*1000000/$E483,"")</f>
        <v>222.385423364969</v>
      </c>
      <c r="P483" s="16" t="n">
        <f aca="false">COUNTIFS($A$4:$A$1008,$A483,$N$4:$N$1008,"&gt;"&amp;N483)+1</f>
        <v>6</v>
      </c>
      <c r="Q483" s="16" t="n">
        <f aca="false">COUNTIFS($A$4:$A$1008,$A483,$O$4:$O$1008,"&gt;"&amp;O483)+1</f>
        <v>9</v>
      </c>
    </row>
    <row r="484" customFormat="false" ht="15" hidden="false" customHeight="false" outlineLevel="0" collapsed="false">
      <c r="A484" s="7" t="n">
        <v>2012</v>
      </c>
      <c r="B484" s="15" t="s">
        <v>125</v>
      </c>
      <c r="C484" s="15" t="s">
        <v>118</v>
      </c>
      <c r="D484" s="15" t="s">
        <v>126</v>
      </c>
      <c r="E484" s="9" t="n">
        <f aca="false">SUMIFS(Data!$L$2:$L$1006,Data!$A$2:$A$1006,$A484,Data!$B$2:$B$1006,$B484)</f>
        <v>501965</v>
      </c>
      <c r="F484" s="10" t="n">
        <f aca="false">SUMIFS(Data!$E$2:$E$1006,Data!$A$2:$A$1006,$A484,Data!$B$2:$B$1006,$B484)</f>
        <v>65.09948</v>
      </c>
      <c r="G484" s="10" t="n">
        <f aca="false">SUMIFS(Data!$F$2:$F$1006,Data!$A$2:$A$1006,$A484,Data!$B$2:$B$1006,$B484)</f>
        <v>59.847366</v>
      </c>
      <c r="H484" s="10" t="n">
        <f aca="false">SUMIFS(Data!$G$2:$G$1006,Data!$A$2:$A$1006,$A484,Data!$B$2:$B$1006,$B484)</f>
        <v>41.616889</v>
      </c>
      <c r="I484" s="10" t="n">
        <f aca="false">SUMIFS(Data!$N$2:$N$1006,Data!$A$2:$A$1006,$A484,Data!$B$2:$B$1006,$B484)</f>
        <v>166.563735</v>
      </c>
      <c r="J484" s="10" t="n">
        <f aca="false">SUMIFS(Data!$H$2:$H$1006,Data!$A$2:$A$1006,$A484,Data!$B$2:$B$1006,$B484)</f>
        <v>97.160796</v>
      </c>
      <c r="K484" s="11" t="n">
        <f aca="false">IFERROR(F484*1000000/$E484,"")</f>
        <v>129.689281125178</v>
      </c>
      <c r="L484" s="11" t="n">
        <f aca="false">IFERROR(G484*1000000/$E484,"")</f>
        <v>119.226173139562</v>
      </c>
      <c r="M484" s="11" t="n">
        <f aca="false">IFERROR(H484*1000000/$E484,"")</f>
        <v>82.9079497574532</v>
      </c>
      <c r="N484" s="11" t="n">
        <f aca="false">IFERROR(I484*1000000/$E484,"")</f>
        <v>331.823404022193</v>
      </c>
      <c r="O484" s="11" t="n">
        <f aca="false">IFERROR(J484*1000000/$E484,"")</f>
        <v>193.560897672148</v>
      </c>
      <c r="P484" s="16" t="n">
        <f aca="false">COUNTIFS($A$4:$A$1008,$A484,$N$4:$N$1008,"&gt;"&amp;N484)+1</f>
        <v>11</v>
      </c>
      <c r="Q484" s="16" t="n">
        <f aca="false">COUNTIFS($A$4:$A$1008,$A484,$O$4:$O$1008,"&gt;"&amp;O484)+1</f>
        <v>14</v>
      </c>
    </row>
    <row r="485" customFormat="false" ht="15" hidden="false" customHeight="false" outlineLevel="0" collapsed="false">
      <c r="A485" s="7" t="n">
        <v>2012</v>
      </c>
      <c r="B485" s="15" t="s">
        <v>127</v>
      </c>
      <c r="C485" s="15" t="s">
        <v>118</v>
      </c>
      <c r="D485" s="15" t="s">
        <v>103</v>
      </c>
      <c r="E485" s="9" t="n">
        <f aca="false">SUMIFS(Data!$L$2:$L$1006,Data!$A$2:$A$1006,$A485,Data!$B$2:$B$1006,$B485)</f>
        <v>689044</v>
      </c>
      <c r="F485" s="10" t="n">
        <f aca="false">SUMIFS(Data!$E$2:$E$1006,Data!$A$2:$A$1006,$A485,Data!$B$2:$B$1006,$B485)</f>
        <v>68.01384</v>
      </c>
      <c r="G485" s="10" t="n">
        <f aca="false">SUMIFS(Data!$F$2:$F$1006,Data!$A$2:$A$1006,$A485,Data!$B$2:$B$1006,$B485)</f>
        <v>35.823271</v>
      </c>
      <c r="H485" s="10" t="n">
        <f aca="false">SUMIFS(Data!$G$2:$G$1006,Data!$A$2:$A$1006,$A485,Data!$B$2:$B$1006,$B485)</f>
        <v>47.291815</v>
      </c>
      <c r="I485" s="10" t="n">
        <f aca="false">SUMIFS(Data!$N$2:$N$1006,Data!$A$2:$A$1006,$A485,Data!$B$2:$B$1006,$B485)</f>
        <v>151.128926</v>
      </c>
      <c r="J485" s="10" t="n">
        <f aca="false">SUMIFS(Data!$H$2:$H$1006,Data!$A$2:$A$1006,$A485,Data!$B$2:$B$1006,$B485)</f>
        <v>141.800282</v>
      </c>
      <c r="K485" s="11" t="n">
        <f aca="false">IFERROR(F485*1000000/$E485,"")</f>
        <v>98.7075426242736</v>
      </c>
      <c r="L485" s="11" t="n">
        <f aca="false">IFERROR(G485*1000000/$E485,"")</f>
        <v>51.9898163252274</v>
      </c>
      <c r="M485" s="11" t="n">
        <f aca="false">IFERROR(H485*1000000/$E485,"")</f>
        <v>68.6339551610637</v>
      </c>
      <c r="N485" s="11" t="n">
        <f aca="false">IFERROR(I485*1000000/$E485,"")</f>
        <v>219.331314110565</v>
      </c>
      <c r="O485" s="11" t="n">
        <f aca="false">IFERROR(J485*1000000/$E485,"")</f>
        <v>205.792782463819</v>
      </c>
      <c r="P485" s="16" t="n">
        <f aca="false">COUNTIFS($A$4:$A$1008,$A485,$N$4:$N$1008,"&gt;"&amp;N485)+1</f>
        <v>33</v>
      </c>
      <c r="Q485" s="16" t="n">
        <f aca="false">COUNTIFS($A$4:$A$1008,$A485,$O$4:$O$1008,"&gt;"&amp;O485)+1</f>
        <v>12</v>
      </c>
    </row>
    <row r="486" customFormat="false" ht="15" hidden="false" customHeight="false" outlineLevel="0" collapsed="false">
      <c r="A486" s="7" t="n">
        <v>2012</v>
      </c>
      <c r="B486" s="15" t="s">
        <v>128</v>
      </c>
      <c r="C486" s="15" t="s">
        <v>118</v>
      </c>
      <c r="D486" s="15" t="s">
        <v>107</v>
      </c>
      <c r="E486" s="9" t="n">
        <f aca="false">SUMIFS(Data!$L$2:$L$1006,Data!$A$2:$A$1006,$A486,Data!$B$2:$B$1006,$B486)</f>
        <v>588676</v>
      </c>
      <c r="F486" s="10" t="n">
        <f aca="false">SUMIFS(Data!$E$2:$E$1006,Data!$A$2:$A$1006,$A486,Data!$B$2:$B$1006,$B486)</f>
        <v>34.887692</v>
      </c>
      <c r="G486" s="10" t="n">
        <f aca="false">SUMIFS(Data!$F$2:$F$1006,Data!$A$2:$A$1006,$A486,Data!$B$2:$B$1006,$B486)</f>
        <v>46.526644</v>
      </c>
      <c r="H486" s="10" t="n">
        <f aca="false">SUMIFS(Data!$G$2:$G$1006,Data!$A$2:$A$1006,$A486,Data!$B$2:$B$1006,$B486)</f>
        <v>66.002103</v>
      </c>
      <c r="I486" s="10" t="n">
        <f aca="false">SUMIFS(Data!$N$2:$N$1006,Data!$A$2:$A$1006,$A486,Data!$B$2:$B$1006,$B486)</f>
        <v>147.416439</v>
      </c>
      <c r="J486" s="10" t="n">
        <f aca="false">SUMIFS(Data!$H$2:$H$1006,Data!$A$2:$A$1006,$A486,Data!$B$2:$B$1006,$B486)</f>
        <v>122.522913</v>
      </c>
      <c r="K486" s="11" t="n">
        <f aca="false">IFERROR(F486*1000000/$E486,"")</f>
        <v>59.2646753052613</v>
      </c>
      <c r="L486" s="11" t="n">
        <f aca="false">IFERROR(G486*1000000/$E486,"")</f>
        <v>79.0360809681387</v>
      </c>
      <c r="M486" s="11" t="n">
        <f aca="false">IFERROR(H486*1000000/$E486,"")</f>
        <v>112.119575114324</v>
      </c>
      <c r="N486" s="11" t="n">
        <f aca="false">IFERROR(I486*1000000/$E486,"")</f>
        <v>250.420331387724</v>
      </c>
      <c r="O486" s="11" t="n">
        <f aca="false">IFERROR(J486*1000000/$E486,"")</f>
        <v>208.133018842283</v>
      </c>
      <c r="P486" s="16" t="n">
        <f aca="false">COUNTIFS($A$4:$A$1008,$A486,$N$4:$N$1008,"&gt;"&amp;N486)+1</f>
        <v>28</v>
      </c>
      <c r="Q486" s="16" t="n">
        <f aca="false">COUNTIFS($A$4:$A$1008,$A486,$O$4:$O$1008,"&gt;"&amp;O486)+1</f>
        <v>10</v>
      </c>
    </row>
    <row r="487" customFormat="false" ht="15" hidden="false" customHeight="false" outlineLevel="0" collapsed="false">
      <c r="A487" s="7" t="n">
        <v>2012</v>
      </c>
      <c r="B487" s="15" t="s">
        <v>129</v>
      </c>
      <c r="C487" s="15" t="s">
        <v>118</v>
      </c>
      <c r="D487" s="15" t="s">
        <v>107</v>
      </c>
      <c r="E487" s="9" t="n">
        <f aca="false">SUMIFS(Data!$L$2:$L$1006,Data!$A$2:$A$1006,$A487,Data!$B$2:$B$1006,$B487)</f>
        <v>1578200</v>
      </c>
      <c r="F487" s="10" t="n">
        <f aca="false">SUMIFS(Data!$E$2:$E$1006,Data!$A$2:$A$1006,$A487,Data!$B$2:$B$1006,$B487)</f>
        <v>233.081966</v>
      </c>
      <c r="G487" s="10" t="n">
        <f aca="false">SUMIFS(Data!$F$2:$F$1006,Data!$A$2:$A$1006,$A487,Data!$B$2:$B$1006,$B487)</f>
        <v>229.963684</v>
      </c>
      <c r="H487" s="10" t="n">
        <f aca="false">SUMIFS(Data!$G$2:$G$1006,Data!$A$2:$A$1006,$A487,Data!$B$2:$B$1006,$B487)</f>
        <v>105.306292</v>
      </c>
      <c r="I487" s="10" t="n">
        <f aca="false">SUMIFS(Data!$N$2:$N$1006,Data!$A$2:$A$1006,$A487,Data!$B$2:$B$1006,$B487)</f>
        <v>568.351942</v>
      </c>
      <c r="J487" s="10" t="n">
        <f aca="false">SUMIFS(Data!$H$2:$H$1006,Data!$A$2:$A$1006,$A487,Data!$B$2:$B$1006,$B487)</f>
        <v>223.782857</v>
      </c>
      <c r="K487" s="11" t="n">
        <f aca="false">IFERROR(F487*1000000/$E487,"")</f>
        <v>147.688484349259</v>
      </c>
      <c r="L487" s="11" t="n">
        <f aca="false">IFERROR(G487*1000000/$E487,"")</f>
        <v>145.712637181599</v>
      </c>
      <c r="M487" s="11" t="n">
        <f aca="false">IFERROR(H487*1000000/$E487,"")</f>
        <v>66.725568369028</v>
      </c>
      <c r="N487" s="11" t="n">
        <f aca="false">IFERROR(I487*1000000/$E487,"")</f>
        <v>360.126689899886</v>
      </c>
      <c r="O487" s="11" t="n">
        <f aca="false">IFERROR(J487*1000000/$E487,"")</f>
        <v>141.796259662907</v>
      </c>
      <c r="P487" s="16" t="n">
        <f aca="false">COUNTIFS($A$4:$A$1008,$A487,$N$4:$N$1008,"&gt;"&amp;N487)+1</f>
        <v>5</v>
      </c>
      <c r="Q487" s="16" t="n">
        <f aca="false">COUNTIFS($A$4:$A$1008,$A487,$O$4:$O$1008,"&gt;"&amp;O487)+1</f>
        <v>32</v>
      </c>
    </row>
    <row r="488" customFormat="false" ht="15" hidden="false" customHeight="false" outlineLevel="0" collapsed="false">
      <c r="A488" s="7" t="n">
        <v>2012</v>
      </c>
      <c r="B488" s="15" t="s">
        <v>130</v>
      </c>
      <c r="C488" s="15" t="s">
        <v>118</v>
      </c>
      <c r="D488" s="15" t="s">
        <v>107</v>
      </c>
      <c r="E488" s="9" t="n">
        <f aca="false">SUMIFS(Data!$L$2:$L$1006,Data!$A$2:$A$1006,$A488,Data!$B$2:$B$1006,$B488)</f>
        <v>1407031</v>
      </c>
      <c r="F488" s="10" t="n">
        <f aca="false">SUMIFS(Data!$E$2:$E$1006,Data!$A$2:$A$1006,$A488,Data!$B$2:$B$1006,$B488)</f>
        <v>157.299767</v>
      </c>
      <c r="G488" s="10" t="n">
        <f aca="false">SUMIFS(Data!$F$2:$F$1006,Data!$A$2:$A$1006,$A488,Data!$B$2:$B$1006,$B488)</f>
        <v>183.008198</v>
      </c>
      <c r="H488" s="10" t="n">
        <f aca="false">SUMIFS(Data!$G$2:$G$1006,Data!$A$2:$A$1006,$A488,Data!$B$2:$B$1006,$B488)</f>
        <v>100.791828</v>
      </c>
      <c r="I488" s="10" t="n">
        <f aca="false">SUMIFS(Data!$N$2:$N$1006,Data!$A$2:$A$1006,$A488,Data!$B$2:$B$1006,$B488)</f>
        <v>441.099793</v>
      </c>
      <c r="J488" s="10" t="n">
        <f aca="false">SUMIFS(Data!$H$2:$H$1006,Data!$A$2:$A$1006,$A488,Data!$B$2:$B$1006,$B488)</f>
        <v>215.230174</v>
      </c>
      <c r="K488" s="11" t="n">
        <f aca="false">IFERROR(F488*1000000/$E488,"")</f>
        <v>111.795523339571</v>
      </c>
      <c r="L488" s="11" t="n">
        <f aca="false">IFERROR(G488*1000000/$E488,"")</f>
        <v>130.066926741486</v>
      </c>
      <c r="M488" s="11" t="n">
        <f aca="false">IFERROR(H488*1000000/$E488,"")</f>
        <v>71.6344046435366</v>
      </c>
      <c r="N488" s="11" t="n">
        <f aca="false">IFERROR(I488*1000000/$E488,"")</f>
        <v>313.496854724594</v>
      </c>
      <c r="O488" s="11" t="n">
        <f aca="false">IFERROR(J488*1000000/$E488,"")</f>
        <v>152.967613364595</v>
      </c>
      <c r="P488" s="16" t="n">
        <f aca="false">COUNTIFS($A$4:$A$1008,$A488,$N$4:$N$1008,"&gt;"&amp;N488)+1</f>
        <v>15</v>
      </c>
      <c r="Q488" s="16" t="n">
        <f aca="false">COUNTIFS($A$4:$A$1008,$A488,$O$4:$O$1008,"&gt;"&amp;O488)+1</f>
        <v>28</v>
      </c>
    </row>
    <row r="489" customFormat="false" ht="15" hidden="false" customHeight="false" outlineLevel="0" collapsed="false">
      <c r="A489" s="7" t="n">
        <v>2012</v>
      </c>
      <c r="B489" s="15" t="s">
        <v>131</v>
      </c>
      <c r="C489" s="15" t="s">
        <v>118</v>
      </c>
      <c r="D489" s="15" t="s">
        <v>132</v>
      </c>
      <c r="E489" s="9" t="n">
        <f aca="false">SUMIFS(Data!$L$2:$L$1006,Data!$A$2:$A$1006,$A489,Data!$B$2:$B$1006,$B489)</f>
        <v>791715</v>
      </c>
      <c r="F489" s="10" t="n">
        <f aca="false">SUMIFS(Data!$E$2:$E$1006,Data!$A$2:$A$1006,$A489,Data!$B$2:$B$1006,$B489)</f>
        <v>123.307805</v>
      </c>
      <c r="G489" s="10" t="n">
        <f aca="false">SUMIFS(Data!$F$2:$F$1006,Data!$A$2:$A$1006,$A489,Data!$B$2:$B$1006,$B489)</f>
        <v>87.223277</v>
      </c>
      <c r="H489" s="10" t="n">
        <f aca="false">SUMIFS(Data!$G$2:$G$1006,Data!$A$2:$A$1006,$A489,Data!$B$2:$B$1006,$B489)</f>
        <v>113.373134</v>
      </c>
      <c r="I489" s="10" t="n">
        <f aca="false">SUMIFS(Data!$N$2:$N$1006,Data!$A$2:$A$1006,$A489,Data!$B$2:$B$1006,$B489)</f>
        <v>323.904216</v>
      </c>
      <c r="J489" s="10" t="n">
        <f aca="false">SUMIFS(Data!$H$2:$H$1006,Data!$A$2:$A$1006,$A489,Data!$B$2:$B$1006,$B489)</f>
        <v>395.240437</v>
      </c>
      <c r="K489" s="11" t="n">
        <f aca="false">IFERROR(F489*1000000/$E489,"")</f>
        <v>155.747718560341</v>
      </c>
      <c r="L489" s="11" t="n">
        <f aca="false">IFERROR(G489*1000000/$E489,"")</f>
        <v>110.170044776214</v>
      </c>
      <c r="M489" s="11" t="n">
        <f aca="false">IFERROR(H489*1000000/$E489,"")</f>
        <v>143.199426561326</v>
      </c>
      <c r="N489" s="11" t="n">
        <f aca="false">IFERROR(I489*1000000/$E489,"")</f>
        <v>409.11718989788</v>
      </c>
      <c r="O489" s="11" t="n">
        <f aca="false">IFERROR(J489*1000000/$E489,"")</f>
        <v>499.220599584446</v>
      </c>
      <c r="P489" s="16" t="n">
        <f aca="false">COUNTIFS($A$4:$A$1008,$A489,$N$4:$N$1008,"&gt;"&amp;N489)+1</f>
        <v>2</v>
      </c>
      <c r="Q489" s="16" t="n">
        <f aca="false">COUNTIFS($A$4:$A$1008,$A489,$O$4:$O$1008,"&gt;"&amp;O489)+1</f>
        <v>2</v>
      </c>
    </row>
    <row r="490" customFormat="false" ht="15" hidden="false" customHeight="false" outlineLevel="0" collapsed="false">
      <c r="A490" s="7" t="n">
        <v>2012</v>
      </c>
      <c r="B490" s="15" t="s">
        <v>133</v>
      </c>
      <c r="C490" s="15" t="s">
        <v>118</v>
      </c>
      <c r="D490" s="15" t="s">
        <v>105</v>
      </c>
      <c r="E490" s="9" t="n">
        <f aca="false">SUMIFS(Data!$L$2:$L$1006,Data!$A$2:$A$1006,$A490,Data!$B$2:$B$1006,$B490)</f>
        <v>2164583</v>
      </c>
      <c r="F490" s="10" t="n">
        <f aca="false">SUMIFS(Data!$E$2:$E$1006,Data!$A$2:$A$1006,$A490,Data!$B$2:$B$1006,$B490)</f>
        <v>172.15904</v>
      </c>
      <c r="G490" s="10" t="n">
        <f aca="false">SUMIFS(Data!$F$2:$F$1006,Data!$A$2:$A$1006,$A490,Data!$B$2:$B$1006,$B490)</f>
        <v>427.848848</v>
      </c>
      <c r="H490" s="10" t="n">
        <f aca="false">SUMIFS(Data!$G$2:$G$1006,Data!$A$2:$A$1006,$A490,Data!$B$2:$B$1006,$B490)</f>
        <v>158.803706</v>
      </c>
      <c r="I490" s="10" t="n">
        <f aca="false">SUMIFS(Data!$N$2:$N$1006,Data!$A$2:$A$1006,$A490,Data!$B$2:$B$1006,$B490)</f>
        <v>758.811594</v>
      </c>
      <c r="J490" s="10" t="n">
        <f aca="false">SUMIFS(Data!$H$2:$H$1006,Data!$A$2:$A$1006,$A490,Data!$B$2:$B$1006,$B490)</f>
        <v>325.15345</v>
      </c>
      <c r="K490" s="11" t="n">
        <f aca="false">IFERROR(F490*1000000/$E490,"")</f>
        <v>79.5345061843321</v>
      </c>
      <c r="L490" s="11" t="n">
        <f aca="false">IFERROR(G490*1000000/$E490,"")</f>
        <v>197.658786010978</v>
      </c>
      <c r="M490" s="11" t="n">
        <f aca="false">IFERROR(H490*1000000/$E490,"")</f>
        <v>73.3645722986829</v>
      </c>
      <c r="N490" s="11" t="n">
        <f aca="false">IFERROR(I490*1000000/$E490,"")</f>
        <v>350.557864493993</v>
      </c>
      <c r="O490" s="11" t="n">
        <f aca="false">IFERROR(J490*1000000/$E490,"")</f>
        <v>150.215283960005</v>
      </c>
      <c r="P490" s="16" t="n">
        <f aca="false">COUNTIFS($A$4:$A$1008,$A490,$N$4:$N$1008,"&gt;"&amp;N490)+1</f>
        <v>7</v>
      </c>
      <c r="Q490" s="16" t="n">
        <f aca="false">COUNTIFS($A$4:$A$1008,$A490,$O$4:$O$1008,"&gt;"&amp;O490)+1</f>
        <v>31</v>
      </c>
    </row>
    <row r="491" customFormat="false" ht="15" hidden="false" customHeight="false" outlineLevel="0" collapsed="false">
      <c r="A491" s="7" t="n">
        <v>2012</v>
      </c>
      <c r="B491" s="15" t="s">
        <v>134</v>
      </c>
      <c r="C491" s="15" t="s">
        <v>135</v>
      </c>
      <c r="D491" s="15" t="s">
        <v>136</v>
      </c>
      <c r="E491" s="9" t="n">
        <f aca="false">SUMIFS(Data!$L$2:$L$1006,Data!$A$2:$A$1006,$A491,Data!$B$2:$B$1006,$B491)</f>
        <v>143130</v>
      </c>
      <c r="F491" s="10" t="n">
        <f aca="false">SUMIFS(Data!$E$2:$E$1006,Data!$A$2:$A$1006,$A491,Data!$B$2:$B$1006,$B491)</f>
        <v>24.787841</v>
      </c>
      <c r="G491" s="10" t="n">
        <f aca="false">SUMIFS(Data!$F$2:$F$1006,Data!$A$2:$A$1006,$A491,Data!$B$2:$B$1006,$B491)</f>
        <v>16.443866</v>
      </c>
      <c r="H491" s="10" t="n">
        <f aca="false">SUMIFS(Data!$G$2:$G$1006,Data!$A$2:$A$1006,$A491,Data!$B$2:$B$1006,$B491)</f>
        <v>15.904644</v>
      </c>
      <c r="I491" s="10" t="n">
        <f aca="false">SUMIFS(Data!$N$2:$N$1006,Data!$A$2:$A$1006,$A491,Data!$B$2:$B$1006,$B491)</f>
        <v>57.136351</v>
      </c>
      <c r="J491" s="10" t="n">
        <f aca="false">SUMIFS(Data!$H$2:$H$1006,Data!$A$2:$A$1006,$A491,Data!$B$2:$B$1006,$B491)</f>
        <v>19.160152</v>
      </c>
      <c r="K491" s="11" t="n">
        <f aca="false">IFERROR(F491*1000000/$E491,"")</f>
        <v>173.184105358765</v>
      </c>
      <c r="L491" s="11" t="n">
        <f aca="false">IFERROR(G491*1000000/$E491,"")</f>
        <v>114.887626633131</v>
      </c>
      <c r="M491" s="11" t="n">
        <f aca="false">IFERROR(H491*1000000/$E491,"")</f>
        <v>111.120268287571</v>
      </c>
      <c r="N491" s="11" t="n">
        <f aca="false">IFERROR(I491*1000000/$E491,"")</f>
        <v>399.192000279466</v>
      </c>
      <c r="O491" s="11" t="n">
        <f aca="false">IFERROR(J491*1000000/$E491,"")</f>
        <v>133.865381122057</v>
      </c>
      <c r="P491" s="16" t="n">
        <f aca="false">COUNTIFS($A$4:$A$1008,$A491,$N$4:$N$1008,"&gt;"&amp;N491)+1</f>
        <v>3</v>
      </c>
      <c r="Q491" s="16" t="n">
        <f aca="false">COUNTIFS($A$4:$A$1008,$A491,$O$4:$O$1008,"&gt;"&amp;O491)+1</f>
        <v>34</v>
      </c>
    </row>
    <row r="492" customFormat="false" ht="15" hidden="false" customHeight="false" outlineLevel="0" collapsed="false">
      <c r="A492" s="7" t="n">
        <v>2012</v>
      </c>
      <c r="B492" s="15" t="s">
        <v>137</v>
      </c>
      <c r="C492" s="15" t="s">
        <v>135</v>
      </c>
      <c r="D492" s="15" t="s">
        <v>138</v>
      </c>
      <c r="E492" s="9" t="n">
        <f aca="false">SUMIFS(Data!$L$2:$L$1006,Data!$A$2:$A$1006,$A492,Data!$B$2:$B$1006,$B492)</f>
        <v>1788525</v>
      </c>
      <c r="F492" s="10" t="n">
        <f aca="false">SUMIFS(Data!$E$2:$E$1006,Data!$A$2:$A$1006,$A492,Data!$B$2:$B$1006,$B492)</f>
        <v>179.351783</v>
      </c>
      <c r="G492" s="10" t="n">
        <f aca="false">SUMIFS(Data!$F$2:$F$1006,Data!$A$2:$A$1006,$A492,Data!$B$2:$B$1006,$B492)</f>
        <v>161.31916</v>
      </c>
      <c r="H492" s="10" t="n">
        <f aca="false">SUMIFS(Data!$G$2:$G$1006,Data!$A$2:$A$1006,$A492,Data!$B$2:$B$1006,$B492)</f>
        <v>169.656395</v>
      </c>
      <c r="I492" s="10" t="n">
        <f aca="false">SUMIFS(Data!$N$2:$N$1006,Data!$A$2:$A$1006,$A492,Data!$B$2:$B$1006,$B492)</f>
        <v>510.327338</v>
      </c>
      <c r="J492" s="10" t="n">
        <f aca="false">SUMIFS(Data!$H$2:$H$1006,Data!$A$2:$A$1006,$A492,Data!$B$2:$B$1006,$B492)</f>
        <v>325.300216</v>
      </c>
      <c r="K492" s="11" t="n">
        <f aca="false">IFERROR(F492*1000000/$E492,"")</f>
        <v>100.279159083602</v>
      </c>
      <c r="L492" s="11" t="n">
        <f aca="false">IFERROR(G492*1000000/$E492,"")</f>
        <v>90.1967598999175</v>
      </c>
      <c r="M492" s="11" t="n">
        <f aca="false">IFERROR(H492*1000000/$E492,"")</f>
        <v>94.8582742762891</v>
      </c>
      <c r="N492" s="11" t="n">
        <f aca="false">IFERROR(I492*1000000/$E492,"")</f>
        <v>285.334193259809</v>
      </c>
      <c r="O492" s="11" t="n">
        <f aca="false">IFERROR(J492*1000000/$E492,"")</f>
        <v>181.8818389455</v>
      </c>
      <c r="P492" s="16" t="n">
        <f aca="false">COUNTIFS($A$4:$A$1008,$A492,$N$4:$N$1008,"&gt;"&amp;N492)+1</f>
        <v>18</v>
      </c>
      <c r="Q492" s="16" t="n">
        <f aca="false">COUNTIFS($A$4:$A$1008,$A492,$O$4:$O$1008,"&gt;"&amp;O492)+1</f>
        <v>21</v>
      </c>
    </row>
    <row r="493" customFormat="false" ht="15" hidden="false" customHeight="false" outlineLevel="0" collapsed="false">
      <c r="A493" s="7" t="n">
        <v>2012</v>
      </c>
      <c r="B493" s="15" t="s">
        <v>139</v>
      </c>
      <c r="C493" s="15" t="s">
        <v>135</v>
      </c>
      <c r="D493" s="15" t="s">
        <v>138</v>
      </c>
      <c r="E493" s="9" t="n">
        <f aca="false">SUMIFS(Data!$L$2:$L$1006,Data!$A$2:$A$1006,$A493,Data!$B$2:$B$1006,$B493)</f>
        <v>2124244</v>
      </c>
      <c r="F493" s="10" t="n">
        <f aca="false">SUMIFS(Data!$E$2:$E$1006,Data!$A$2:$A$1006,$A493,Data!$B$2:$B$1006,$B493)</f>
        <v>276.530608</v>
      </c>
      <c r="G493" s="10" t="n">
        <f aca="false">SUMIFS(Data!$F$2:$F$1006,Data!$A$2:$A$1006,$A493,Data!$B$2:$B$1006,$B493)</f>
        <v>219.682761</v>
      </c>
      <c r="H493" s="10" t="n">
        <f aca="false">SUMIFS(Data!$G$2:$G$1006,Data!$A$2:$A$1006,$A493,Data!$B$2:$B$1006,$B493)</f>
        <v>246.657767</v>
      </c>
      <c r="I493" s="10" t="n">
        <f aca="false">SUMIFS(Data!$N$2:$N$1006,Data!$A$2:$A$1006,$A493,Data!$B$2:$B$1006,$B493)</f>
        <v>742.871136</v>
      </c>
      <c r="J493" s="10" t="n">
        <f aca="false">SUMIFS(Data!$H$2:$H$1006,Data!$A$2:$A$1006,$A493,Data!$B$2:$B$1006,$B493)</f>
        <v>336.843031</v>
      </c>
      <c r="K493" s="11" t="n">
        <f aca="false">IFERROR(F493*1000000/$E493,"")</f>
        <v>130.1783636908</v>
      </c>
      <c r="L493" s="11" t="n">
        <f aca="false">IFERROR(G493*1000000/$E493,"")</f>
        <v>103.416914911846</v>
      </c>
      <c r="M493" s="11" t="n">
        <f aca="false">IFERROR(H493*1000000/$E493,"")</f>
        <v>116.115553109718</v>
      </c>
      <c r="N493" s="11" t="n">
        <f aca="false">IFERROR(I493*1000000/$E493,"")</f>
        <v>349.710831712365</v>
      </c>
      <c r="O493" s="11" t="n">
        <f aca="false">IFERROR(J493*1000000/$E493,"")</f>
        <v>158.570781416824</v>
      </c>
      <c r="P493" s="16" t="n">
        <f aca="false">COUNTIFS($A$4:$A$1008,$A493,$N$4:$N$1008,"&gt;"&amp;N493)+1</f>
        <v>8</v>
      </c>
      <c r="Q493" s="16" t="n">
        <f aca="false">COUNTIFS($A$4:$A$1008,$A493,$O$4:$O$1008,"&gt;"&amp;O493)+1</f>
        <v>26</v>
      </c>
    </row>
    <row r="494" customFormat="false" ht="15" hidden="false" customHeight="false" outlineLevel="0" collapsed="false">
      <c r="A494" s="7" t="n">
        <v>2012</v>
      </c>
      <c r="B494" s="15" t="s">
        <v>140</v>
      </c>
      <c r="C494" s="15" t="s">
        <v>135</v>
      </c>
      <c r="D494" s="15" t="s">
        <v>141</v>
      </c>
      <c r="E494" s="9" t="n">
        <f aca="false">SUMIFS(Data!$L$2:$L$1006,Data!$A$2:$A$1006,$A494,Data!$B$2:$B$1006,$B494)</f>
        <v>787622</v>
      </c>
      <c r="F494" s="10" t="n">
        <f aca="false">SUMIFS(Data!$E$2:$E$1006,Data!$A$2:$A$1006,$A494,Data!$B$2:$B$1006,$B494)</f>
        <v>72.663686</v>
      </c>
      <c r="G494" s="10" t="n">
        <f aca="false">SUMIFS(Data!$F$2:$F$1006,Data!$A$2:$A$1006,$A494,Data!$B$2:$B$1006,$B494)</f>
        <v>58.200239</v>
      </c>
      <c r="H494" s="10" t="n">
        <f aca="false">SUMIFS(Data!$G$2:$G$1006,Data!$A$2:$A$1006,$A494,Data!$B$2:$B$1006,$B494)</f>
        <v>88.365831</v>
      </c>
      <c r="I494" s="10" t="n">
        <f aca="false">SUMIFS(Data!$N$2:$N$1006,Data!$A$2:$A$1006,$A494,Data!$B$2:$B$1006,$B494)</f>
        <v>219.229756</v>
      </c>
      <c r="J494" s="10" t="n">
        <f aca="false">SUMIFS(Data!$H$2:$H$1006,Data!$A$2:$A$1006,$A494,Data!$B$2:$B$1006,$B494)</f>
        <v>119.014685</v>
      </c>
      <c r="K494" s="11" t="n">
        <f aca="false">IFERROR(F494*1000000/$E494,"")</f>
        <v>92.2570547800849</v>
      </c>
      <c r="L494" s="11" t="n">
        <f aca="false">IFERROR(G494*1000000/$E494,"")</f>
        <v>73.8936177506469</v>
      </c>
      <c r="M494" s="11" t="n">
        <f aca="false">IFERROR(H494*1000000/$E494,"")</f>
        <v>112.19319800615</v>
      </c>
      <c r="N494" s="11" t="n">
        <f aca="false">IFERROR(I494*1000000/$E494,"")</f>
        <v>278.343870536882</v>
      </c>
      <c r="O494" s="11" t="n">
        <f aca="false">IFERROR(J494*1000000/$E494,"")</f>
        <v>151.106349238594</v>
      </c>
      <c r="P494" s="16" t="n">
        <f aca="false">COUNTIFS($A$4:$A$1008,$A494,$N$4:$N$1008,"&gt;"&amp;N494)+1</f>
        <v>21</v>
      </c>
      <c r="Q494" s="16" t="n">
        <f aca="false">COUNTIFS($A$4:$A$1008,$A494,$O$4:$O$1008,"&gt;"&amp;O494)+1</f>
        <v>30</v>
      </c>
    </row>
    <row r="495" customFormat="false" ht="15" hidden="false" customHeight="false" outlineLevel="0" collapsed="false">
      <c r="A495" s="7" t="n">
        <v>2012</v>
      </c>
      <c r="B495" s="15" t="s">
        <v>142</v>
      </c>
      <c r="C495" s="15" t="s">
        <v>135</v>
      </c>
      <c r="D495" s="15" t="s">
        <v>143</v>
      </c>
      <c r="E495" s="9" t="n">
        <f aca="false">SUMIFS(Data!$L$2:$L$1006,Data!$A$2:$A$1006,$A495,Data!$B$2:$B$1006,$B495)</f>
        <v>583336</v>
      </c>
      <c r="F495" s="10" t="n">
        <f aca="false">SUMIFS(Data!$E$2:$E$1006,Data!$A$2:$A$1006,$A495,Data!$B$2:$B$1006,$B495)</f>
        <v>54.052769</v>
      </c>
      <c r="G495" s="10" t="n">
        <f aca="false">SUMIFS(Data!$F$2:$F$1006,Data!$A$2:$A$1006,$A495,Data!$B$2:$B$1006,$B495)</f>
        <v>39.131213</v>
      </c>
      <c r="H495" s="10" t="n">
        <f aca="false">SUMIFS(Data!$G$2:$G$1006,Data!$A$2:$A$1006,$A495,Data!$B$2:$B$1006,$B495)</f>
        <v>38.889909</v>
      </c>
      <c r="I495" s="10" t="n">
        <f aca="false">SUMIFS(Data!$N$2:$N$1006,Data!$A$2:$A$1006,$A495,Data!$B$2:$B$1006,$B495)</f>
        <v>132.073891</v>
      </c>
      <c r="J495" s="10" t="n">
        <f aca="false">SUMIFS(Data!$H$2:$H$1006,Data!$A$2:$A$1006,$A495,Data!$B$2:$B$1006,$B495)</f>
        <v>101.31314</v>
      </c>
      <c r="K495" s="11" t="n">
        <f aca="false">IFERROR(F495*1000000/$E495,"")</f>
        <v>92.661466119012</v>
      </c>
      <c r="L495" s="11" t="n">
        <f aca="false">IFERROR(G495*1000000/$E495,"")</f>
        <v>67.0817727690388</v>
      </c>
      <c r="M495" s="11" t="n">
        <f aca="false">IFERROR(H495*1000000/$E495,"")</f>
        <v>66.6681106600656</v>
      </c>
      <c r="N495" s="11" t="n">
        <f aca="false">IFERROR(I495*1000000/$E495,"")</f>
        <v>226.411349548116</v>
      </c>
      <c r="O495" s="11" t="n">
        <f aca="false">IFERROR(J495*1000000/$E495,"")</f>
        <v>173.678874610859</v>
      </c>
      <c r="P495" s="16" t="n">
        <f aca="false">COUNTIFS($A$4:$A$1008,$A495,$N$4:$N$1008,"&gt;"&amp;N495)+1</f>
        <v>32</v>
      </c>
      <c r="Q495" s="16" t="n">
        <f aca="false">COUNTIFS($A$4:$A$1008,$A495,$O$4:$O$1008,"&gt;"&amp;O495)+1</f>
        <v>22</v>
      </c>
    </row>
    <row r="496" customFormat="false" ht="15" hidden="false" customHeight="false" outlineLevel="0" collapsed="false">
      <c r="A496" s="7" t="n">
        <v>2012</v>
      </c>
      <c r="B496" s="15" t="s">
        <v>144</v>
      </c>
      <c r="C496" s="15" t="s">
        <v>135</v>
      </c>
      <c r="D496" s="15" t="s">
        <v>141</v>
      </c>
      <c r="E496" s="9" t="n">
        <f aca="false">SUMIFS(Data!$L$2:$L$1006,Data!$A$2:$A$1006,$A496,Data!$B$2:$B$1006,$B496)</f>
        <v>470961</v>
      </c>
      <c r="F496" s="10" t="n">
        <f aca="false">SUMIFS(Data!$E$2:$E$1006,Data!$A$2:$A$1006,$A496,Data!$B$2:$B$1006,$B496)</f>
        <v>38.285321</v>
      </c>
      <c r="G496" s="10" t="n">
        <f aca="false">SUMIFS(Data!$F$2:$F$1006,Data!$A$2:$A$1006,$A496,Data!$B$2:$B$1006,$B496)</f>
        <v>21.585786</v>
      </c>
      <c r="H496" s="10" t="n">
        <f aca="false">SUMIFS(Data!$G$2:$G$1006,Data!$A$2:$A$1006,$A496,Data!$B$2:$B$1006,$B496)</f>
        <v>62.85718</v>
      </c>
      <c r="I496" s="10" t="n">
        <f aca="false">SUMIFS(Data!$N$2:$N$1006,Data!$A$2:$A$1006,$A496,Data!$B$2:$B$1006,$B496)</f>
        <v>122.728287</v>
      </c>
      <c r="J496" s="10" t="n">
        <f aca="false">SUMIFS(Data!$H$2:$H$1006,Data!$A$2:$A$1006,$A496,Data!$B$2:$B$1006,$B496)</f>
        <v>49.740466</v>
      </c>
      <c r="K496" s="11" t="n">
        <f aca="false">IFERROR(F496*1000000/$E496,"")</f>
        <v>81.2919137678067</v>
      </c>
      <c r="L496" s="11" t="n">
        <f aca="false">IFERROR(G496*1000000/$E496,"")</f>
        <v>45.8334893972112</v>
      </c>
      <c r="M496" s="11" t="n">
        <f aca="false">IFERROR(H496*1000000/$E496,"")</f>
        <v>133.465785914333</v>
      </c>
      <c r="N496" s="11" t="n">
        <f aca="false">IFERROR(I496*1000000/$E496,"")</f>
        <v>260.591189079351</v>
      </c>
      <c r="O496" s="11" t="n">
        <f aca="false">IFERROR(J496*1000000/$E496,"")</f>
        <v>105.614830102705</v>
      </c>
      <c r="P496" s="16" t="n">
        <f aca="false">COUNTIFS($A$4:$A$1008,$A496,$N$4:$N$1008,"&gt;"&amp;N496)+1</f>
        <v>27</v>
      </c>
      <c r="Q496" s="16" t="n">
        <f aca="false">COUNTIFS($A$4:$A$1008,$A496,$O$4:$O$1008,"&gt;"&amp;O496)+1</f>
        <v>37</v>
      </c>
    </row>
    <row r="497" customFormat="false" ht="15" hidden="false" customHeight="false" outlineLevel="0" collapsed="false">
      <c r="A497" s="7" t="n">
        <v>2012</v>
      </c>
      <c r="B497" s="15" t="s">
        <v>145</v>
      </c>
      <c r="C497" s="15" t="s">
        <v>135</v>
      </c>
      <c r="D497" s="15" t="s">
        <v>146</v>
      </c>
      <c r="E497" s="9" t="n">
        <f aca="false">SUMIFS(Data!$L$2:$L$1006,Data!$A$2:$A$1006,$A497,Data!$B$2:$B$1006,$B497)</f>
        <v>527348</v>
      </c>
      <c r="F497" s="10" t="n">
        <f aca="false">SUMIFS(Data!$E$2:$E$1006,Data!$A$2:$A$1006,$A497,Data!$B$2:$B$1006,$B497)</f>
        <v>27.432685</v>
      </c>
      <c r="G497" s="10" t="n">
        <f aca="false">SUMIFS(Data!$F$2:$F$1006,Data!$A$2:$A$1006,$A497,Data!$B$2:$B$1006,$B497)</f>
        <v>64.924757</v>
      </c>
      <c r="H497" s="10" t="n">
        <f aca="false">SUMIFS(Data!$G$2:$G$1006,Data!$A$2:$A$1006,$A497,Data!$B$2:$B$1006,$B497)</f>
        <v>51.666519</v>
      </c>
      <c r="I497" s="10" t="n">
        <f aca="false">SUMIFS(Data!$N$2:$N$1006,Data!$A$2:$A$1006,$A497,Data!$B$2:$B$1006,$B497)</f>
        <v>144.023961</v>
      </c>
      <c r="J497" s="10" t="n">
        <f aca="false">SUMIFS(Data!$H$2:$H$1006,Data!$A$2:$A$1006,$A497,Data!$B$2:$B$1006,$B497)</f>
        <v>148.103825</v>
      </c>
      <c r="K497" s="11" t="n">
        <f aca="false">IFERROR(F497*1000000/$E497,"")</f>
        <v>52.0200797196538</v>
      </c>
      <c r="L497" s="11" t="n">
        <f aca="false">IFERROR(G497*1000000/$E497,"")</f>
        <v>123.115584016627</v>
      </c>
      <c r="M497" s="11" t="n">
        <f aca="false">IFERROR(H497*1000000/$E497,"")</f>
        <v>97.9742390224292</v>
      </c>
      <c r="N497" s="11" t="n">
        <f aca="false">IFERROR(I497*1000000/$E497,"")</f>
        <v>273.10990275871</v>
      </c>
      <c r="O497" s="11" t="n">
        <f aca="false">IFERROR(J497*1000000/$E497,"")</f>
        <v>280.84647140029</v>
      </c>
      <c r="P497" s="16" t="n">
        <f aca="false">COUNTIFS($A$4:$A$1008,$A497,$N$4:$N$1008,"&gt;"&amp;N497)+1</f>
        <v>22</v>
      </c>
      <c r="Q497" s="16" t="n">
        <f aca="false">COUNTIFS($A$4:$A$1008,$A497,$O$4:$O$1008,"&gt;"&amp;O497)+1</f>
        <v>4</v>
      </c>
    </row>
    <row r="498" customFormat="false" ht="15" hidden="false" customHeight="false" outlineLevel="0" collapsed="false">
      <c r="A498" s="7" t="n">
        <v>2012</v>
      </c>
      <c r="B498" s="15" t="s">
        <v>147</v>
      </c>
      <c r="C498" s="15" t="s">
        <v>135</v>
      </c>
      <c r="D498" s="15" t="s">
        <v>148</v>
      </c>
      <c r="E498" s="9" t="n">
        <f aca="false">SUMIFS(Data!$L$2:$L$1006,Data!$A$2:$A$1006,$A498,Data!$B$2:$B$1006,$B498)</f>
        <v>142342</v>
      </c>
      <c r="F498" s="10" t="n">
        <f aca="false">SUMIFS(Data!$E$2:$E$1006,Data!$A$2:$A$1006,$A498,Data!$B$2:$B$1006,$B498)</f>
        <v>13.732901</v>
      </c>
      <c r="G498" s="10" t="n">
        <f aca="false">SUMIFS(Data!$F$2:$F$1006,Data!$A$2:$A$1006,$A498,Data!$B$2:$B$1006,$B498)</f>
        <v>16.157768</v>
      </c>
      <c r="H498" s="10" t="n">
        <f aca="false">SUMIFS(Data!$G$2:$G$1006,Data!$A$2:$A$1006,$A498,Data!$B$2:$B$1006,$B498)</f>
        <v>11.389552</v>
      </c>
      <c r="I498" s="10" t="n">
        <f aca="false">SUMIFS(Data!$N$2:$N$1006,Data!$A$2:$A$1006,$A498,Data!$B$2:$B$1006,$B498)</f>
        <v>41.280221</v>
      </c>
      <c r="J498" s="10" t="n">
        <f aca="false">SUMIFS(Data!$H$2:$H$1006,Data!$A$2:$A$1006,$A498,Data!$B$2:$B$1006,$B498)</f>
        <v>27.155673</v>
      </c>
      <c r="K498" s="11" t="n">
        <f aca="false">IFERROR(F498*1000000/$E498,"")</f>
        <v>96.4782074159419</v>
      </c>
      <c r="L498" s="11" t="n">
        <f aca="false">IFERROR(G498*1000000/$E498,"")</f>
        <v>113.51370642537</v>
      </c>
      <c r="M498" s="11" t="n">
        <f aca="false">IFERROR(H498*1000000/$E498,"")</f>
        <v>80.0153995307077</v>
      </c>
      <c r="N498" s="11" t="n">
        <f aca="false">IFERROR(I498*1000000/$E498,"")</f>
        <v>290.00731337202</v>
      </c>
      <c r="O498" s="11" t="n">
        <f aca="false">IFERROR(J498*1000000/$E498,"")</f>
        <v>190.77765522474</v>
      </c>
      <c r="P498" s="16" t="n">
        <f aca="false">COUNTIFS($A$4:$A$1008,$A498,$N$4:$N$1008,"&gt;"&amp;N498)+1</f>
        <v>17</v>
      </c>
      <c r="Q498" s="16" t="n">
        <f aca="false">COUNTIFS($A$4:$A$1008,$A498,$O$4:$O$1008,"&gt;"&amp;O498)+1</f>
        <v>15</v>
      </c>
    </row>
    <row r="499" customFormat="false" ht="15" hidden="false" customHeight="false" outlineLevel="0" collapsed="false">
      <c r="A499" s="7" t="n">
        <v>2012</v>
      </c>
      <c r="B499" s="15" t="s">
        <v>149</v>
      </c>
      <c r="C499" s="15" t="s">
        <v>135</v>
      </c>
      <c r="D499" s="15" t="s">
        <v>146</v>
      </c>
      <c r="E499" s="9" t="n">
        <f aca="false">SUMIFS(Data!$L$2:$L$1006,Data!$A$2:$A$1006,$A499,Data!$B$2:$B$1006,$B499)</f>
        <v>733988</v>
      </c>
      <c r="F499" s="10" t="n">
        <f aca="false">SUMIFS(Data!$E$2:$E$1006,Data!$A$2:$A$1006,$A499,Data!$B$2:$B$1006,$B499)</f>
        <v>98.174938</v>
      </c>
      <c r="G499" s="10" t="n">
        <f aca="false">SUMIFS(Data!$F$2:$F$1006,Data!$A$2:$A$1006,$A499,Data!$B$2:$B$1006,$B499)</f>
        <v>80.664321</v>
      </c>
      <c r="H499" s="10" t="n">
        <f aca="false">SUMIFS(Data!$G$2:$G$1006,Data!$A$2:$A$1006,$A499,Data!$B$2:$B$1006,$B499)</f>
        <v>59.608252</v>
      </c>
      <c r="I499" s="10" t="n">
        <f aca="false">SUMIFS(Data!$N$2:$N$1006,Data!$A$2:$A$1006,$A499,Data!$B$2:$B$1006,$B499)</f>
        <v>238.447511</v>
      </c>
      <c r="J499" s="10" t="n">
        <f aca="false">SUMIFS(Data!$H$2:$H$1006,Data!$A$2:$A$1006,$A499,Data!$B$2:$B$1006,$B499)</f>
        <v>93.792967</v>
      </c>
      <c r="K499" s="11" t="n">
        <f aca="false">IFERROR(F499*1000000/$E499,"")</f>
        <v>133.75550826444</v>
      </c>
      <c r="L499" s="11" t="n">
        <f aca="false">IFERROR(G499*1000000/$E499,"")</f>
        <v>109.898691804226</v>
      </c>
      <c r="M499" s="11" t="n">
        <f aca="false">IFERROR(H499*1000000/$E499,"")</f>
        <v>81.2114802966806</v>
      </c>
      <c r="N499" s="11" t="n">
        <f aca="false">IFERROR(I499*1000000/$E499,"")</f>
        <v>324.865680365347</v>
      </c>
      <c r="O499" s="11" t="n">
        <f aca="false">IFERROR(J499*1000000/$E499,"")</f>
        <v>127.785422922446</v>
      </c>
      <c r="P499" s="16" t="n">
        <f aca="false">COUNTIFS($A$4:$A$1008,$A499,$N$4:$N$1008,"&gt;"&amp;N499)+1</f>
        <v>13</v>
      </c>
      <c r="Q499" s="16" t="n">
        <f aca="false">COUNTIFS($A$4:$A$1008,$A499,$O$4:$O$1008,"&gt;"&amp;O499)+1</f>
        <v>36</v>
      </c>
    </row>
    <row r="500" customFormat="false" ht="15" hidden="false" customHeight="false" outlineLevel="0" collapsed="false">
      <c r="A500" s="7" t="n">
        <v>2012</v>
      </c>
      <c r="B500" s="15" t="s">
        <v>150</v>
      </c>
      <c r="C500" s="15" t="s">
        <v>135</v>
      </c>
      <c r="D500" s="15" t="s">
        <v>141</v>
      </c>
      <c r="E500" s="9" t="n">
        <f aca="false">SUMIFS(Data!$L$2:$L$1006,Data!$A$2:$A$1006,$A500,Data!$B$2:$B$1006,$B500)</f>
        <v>457486</v>
      </c>
      <c r="F500" s="10" t="n">
        <f aca="false">SUMIFS(Data!$E$2:$E$1006,Data!$A$2:$A$1006,$A500,Data!$B$2:$B$1006,$B500)</f>
        <v>47.67768</v>
      </c>
      <c r="G500" s="10" t="n">
        <f aca="false">SUMIFS(Data!$F$2:$F$1006,Data!$A$2:$A$1006,$A500,Data!$B$2:$B$1006,$B500)</f>
        <v>20.300378</v>
      </c>
      <c r="H500" s="10" t="n">
        <f aca="false">SUMIFS(Data!$G$2:$G$1006,Data!$A$2:$A$1006,$A500,Data!$B$2:$B$1006,$B500)</f>
        <v>40.712102</v>
      </c>
      <c r="I500" s="10" t="n">
        <f aca="false">SUMIFS(Data!$N$2:$N$1006,Data!$A$2:$A$1006,$A500,Data!$B$2:$B$1006,$B500)</f>
        <v>108.69016</v>
      </c>
      <c r="J500" s="10" t="n">
        <f aca="false">SUMIFS(Data!$H$2:$H$1006,Data!$A$2:$A$1006,$A500,Data!$B$2:$B$1006,$B500)</f>
        <v>60.000519</v>
      </c>
      <c r="K500" s="11" t="n">
        <f aca="false">IFERROR(F500*1000000/$E500,"")</f>
        <v>104.216697341558</v>
      </c>
      <c r="L500" s="11" t="n">
        <f aca="false">IFERROR(G500*1000000/$E500,"")</f>
        <v>44.3737688147834</v>
      </c>
      <c r="M500" s="11" t="n">
        <f aca="false">IFERROR(H500*1000000/$E500,"")</f>
        <v>88.990924312438</v>
      </c>
      <c r="N500" s="11" t="n">
        <f aca="false">IFERROR(I500*1000000/$E500,"")</f>
        <v>237.581390468779</v>
      </c>
      <c r="O500" s="11" t="n">
        <f aca="false">IFERROR(J500*1000000/$E500,"")</f>
        <v>131.15268882545</v>
      </c>
      <c r="P500" s="16" t="n">
        <f aca="false">COUNTIFS($A$4:$A$1008,$A500,$N$4:$N$1008,"&gt;"&amp;N500)+1</f>
        <v>30</v>
      </c>
      <c r="Q500" s="16" t="n">
        <f aca="false">COUNTIFS($A$4:$A$1008,$A500,$O$4:$O$1008,"&gt;"&amp;O500)+1</f>
        <v>35</v>
      </c>
    </row>
    <row r="501" customFormat="false" ht="15" hidden="false" customHeight="false" outlineLevel="0" collapsed="false">
      <c r="A501" s="7" t="n">
        <v>2012</v>
      </c>
      <c r="B501" s="15" t="s">
        <v>151</v>
      </c>
      <c r="C501" s="15" t="s">
        <v>135</v>
      </c>
      <c r="D501" s="15" t="s">
        <v>136</v>
      </c>
      <c r="E501" s="9" t="n">
        <f aca="false">SUMIFS(Data!$L$2:$L$1006,Data!$A$2:$A$1006,$A501,Data!$B$2:$B$1006,$B501)</f>
        <v>1407496</v>
      </c>
      <c r="F501" s="10" t="n">
        <f aca="false">SUMIFS(Data!$E$2:$E$1006,Data!$A$2:$A$1006,$A501,Data!$B$2:$B$1006,$B501)</f>
        <v>111.134724</v>
      </c>
      <c r="G501" s="10" t="n">
        <f aca="false">SUMIFS(Data!$F$2:$F$1006,Data!$A$2:$A$1006,$A501,Data!$B$2:$B$1006,$B501)</f>
        <v>158.155858</v>
      </c>
      <c r="H501" s="10" t="n">
        <f aca="false">SUMIFS(Data!$G$2:$G$1006,Data!$A$2:$A$1006,$A501,Data!$B$2:$B$1006,$B501)</f>
        <v>72.643403</v>
      </c>
      <c r="I501" s="10" t="n">
        <f aca="false">SUMIFS(Data!$N$2:$N$1006,Data!$A$2:$A$1006,$A501,Data!$B$2:$B$1006,$B501)</f>
        <v>341.933985</v>
      </c>
      <c r="J501" s="10" t="n">
        <f aca="false">SUMIFS(Data!$H$2:$H$1006,Data!$A$2:$A$1006,$A501,Data!$B$2:$B$1006,$B501)</f>
        <v>125.564587</v>
      </c>
      <c r="K501" s="11" t="n">
        <f aca="false">IFERROR(F501*1000000/$E501,"")</f>
        <v>78.9591757276752</v>
      </c>
      <c r="L501" s="11" t="n">
        <f aca="false">IFERROR(G501*1000000/$E501,"")</f>
        <v>112.366825909274</v>
      </c>
      <c r="M501" s="11" t="n">
        <f aca="false">IFERROR(H501*1000000/$E501,"")</f>
        <v>51.6118006729682</v>
      </c>
      <c r="N501" s="11" t="n">
        <f aca="false">IFERROR(I501*1000000/$E501,"")</f>
        <v>242.937802309918</v>
      </c>
      <c r="O501" s="11" t="n">
        <f aca="false">IFERROR(J501*1000000/$E501,"")</f>
        <v>89.21132777642</v>
      </c>
      <c r="P501" s="16" t="n">
        <f aca="false">COUNTIFS($A$4:$A$1008,$A501,$N$4:$N$1008,"&gt;"&amp;N501)+1</f>
        <v>29</v>
      </c>
      <c r="Q501" s="16" t="n">
        <f aca="false">COUNTIFS($A$4:$A$1008,$A501,$O$4:$O$1008,"&gt;"&amp;O501)+1</f>
        <v>38</v>
      </c>
    </row>
    <row r="502" customFormat="false" ht="15" hidden="false" customHeight="false" outlineLevel="0" collapsed="false">
      <c r="A502" s="7" t="n">
        <v>2012</v>
      </c>
      <c r="B502" s="15" t="s">
        <v>152</v>
      </c>
      <c r="C502" s="15" t="s">
        <v>135</v>
      </c>
      <c r="D502" s="15" t="s">
        <v>148</v>
      </c>
      <c r="E502" s="9" t="n">
        <f aca="false">SUMIFS(Data!$L$2:$L$1006,Data!$A$2:$A$1006,$A502,Data!$B$2:$B$1006,$B502)</f>
        <v>250838</v>
      </c>
      <c r="F502" s="10" t="n">
        <f aca="false">SUMIFS(Data!$E$2:$E$1006,Data!$A$2:$A$1006,$A502,Data!$B$2:$B$1006,$B502)</f>
        <v>22.188323</v>
      </c>
      <c r="G502" s="10" t="n">
        <f aca="false">SUMIFS(Data!$F$2:$F$1006,Data!$A$2:$A$1006,$A502,Data!$B$2:$B$1006,$B502)</f>
        <v>21.677929</v>
      </c>
      <c r="H502" s="10" t="n">
        <f aca="false">SUMIFS(Data!$G$2:$G$1006,Data!$A$2:$A$1006,$A502,Data!$B$2:$B$1006,$B502)</f>
        <v>24.20506</v>
      </c>
      <c r="I502" s="10" t="n">
        <f aca="false">SUMIFS(Data!$N$2:$N$1006,Data!$A$2:$A$1006,$A502,Data!$B$2:$B$1006,$B502)</f>
        <v>68.071312</v>
      </c>
      <c r="J502" s="10" t="n">
        <f aca="false">SUMIFS(Data!$H$2:$H$1006,Data!$A$2:$A$1006,$A502,Data!$B$2:$B$1006,$B502)</f>
        <v>39.996011</v>
      </c>
      <c r="K502" s="11" t="n">
        <f aca="false">IFERROR(F502*1000000/$E502,"")</f>
        <v>88.4567848571588</v>
      </c>
      <c r="L502" s="11" t="n">
        <f aca="false">IFERROR(G502*1000000/$E502,"")</f>
        <v>86.4220293575934</v>
      </c>
      <c r="M502" s="11" t="n">
        <f aca="false">IFERROR(H502*1000000/$E502,"")</f>
        <v>96.4967827841077</v>
      </c>
      <c r="N502" s="11" t="n">
        <f aca="false">IFERROR(I502*1000000/$E502,"")</f>
        <v>271.37559699886</v>
      </c>
      <c r="O502" s="11" t="n">
        <f aca="false">IFERROR(J502*1000000/$E502,"")</f>
        <v>159.449569044563</v>
      </c>
      <c r="P502" s="16" t="n">
        <f aca="false">COUNTIFS($A$4:$A$1008,$A502,$N$4:$N$1008,"&gt;"&amp;N502)+1</f>
        <v>23</v>
      </c>
      <c r="Q502" s="16" t="n">
        <f aca="false">COUNTIFS($A$4:$A$1008,$A502,$O$4:$O$1008,"&gt;"&amp;O502)+1</f>
        <v>25</v>
      </c>
    </row>
    <row r="503" customFormat="false" ht="15" hidden="false" customHeight="false" outlineLevel="0" collapsed="false">
      <c r="A503" s="7" t="n">
        <v>2012</v>
      </c>
      <c r="B503" s="15" t="s">
        <v>153</v>
      </c>
      <c r="C503" s="15" t="s">
        <v>135</v>
      </c>
      <c r="D503" s="15" t="s">
        <v>136</v>
      </c>
      <c r="E503" s="9" t="n">
        <f aca="false">SUMIFS(Data!$L$2:$L$1006,Data!$A$2:$A$1006,$A503,Data!$B$2:$B$1006,$B503)</f>
        <v>129523</v>
      </c>
      <c r="F503" s="10" t="n">
        <f aca="false">SUMIFS(Data!$E$2:$E$1006,Data!$A$2:$A$1006,$A503,Data!$B$2:$B$1006,$B503)</f>
        <v>15.868156</v>
      </c>
      <c r="G503" s="10" t="n">
        <f aca="false">SUMIFS(Data!$F$2:$F$1006,Data!$A$2:$A$1006,$A503,Data!$B$2:$B$1006,$B503)</f>
        <v>20.320287</v>
      </c>
      <c r="H503" s="10" t="n">
        <f aca="false">SUMIFS(Data!$G$2:$G$1006,Data!$A$2:$A$1006,$A503,Data!$B$2:$B$1006,$B503)</f>
        <v>10.631154</v>
      </c>
      <c r="I503" s="10" t="n">
        <f aca="false">SUMIFS(Data!$N$2:$N$1006,Data!$A$2:$A$1006,$A503,Data!$B$2:$B$1006,$B503)</f>
        <v>46.819597</v>
      </c>
      <c r="J503" s="10" t="n">
        <f aca="false">SUMIFS(Data!$H$2:$H$1006,Data!$A$2:$A$1006,$A503,Data!$B$2:$B$1006,$B503)</f>
        <v>17.788927</v>
      </c>
      <c r="K503" s="11" t="n">
        <f aca="false">IFERROR(F503*1000000/$E503,"")</f>
        <v>122.512264231063</v>
      </c>
      <c r="L503" s="11" t="n">
        <f aca="false">IFERROR(G503*1000000/$E503,"")</f>
        <v>156.885549284683</v>
      </c>
      <c r="M503" s="11" t="n">
        <f aca="false">IFERROR(H503*1000000/$E503,"")</f>
        <v>82.0792754954719</v>
      </c>
      <c r="N503" s="11" t="n">
        <f aca="false">IFERROR(I503*1000000/$E503,"")</f>
        <v>361.477089011218</v>
      </c>
      <c r="O503" s="11" t="n">
        <f aca="false">IFERROR(J503*1000000/$E503,"")</f>
        <v>137.341838901199</v>
      </c>
      <c r="P503" s="16" t="n">
        <f aca="false">COUNTIFS($A$4:$A$1008,$A503,$N$4:$N$1008,"&gt;"&amp;N503)+1</f>
        <v>4</v>
      </c>
      <c r="Q503" s="16" t="n">
        <f aca="false">COUNTIFS($A$4:$A$1008,$A503,$O$4:$O$1008,"&gt;"&amp;O503)+1</f>
        <v>33</v>
      </c>
    </row>
    <row r="504" customFormat="false" ht="15" hidden="false" customHeight="false" outlineLevel="0" collapsed="false">
      <c r="A504" s="7" t="n">
        <v>2012</v>
      </c>
      <c r="B504" s="15" t="s">
        <v>154</v>
      </c>
      <c r="C504" s="15" t="s">
        <v>135</v>
      </c>
      <c r="D504" s="15" t="s">
        <v>141</v>
      </c>
      <c r="E504" s="9" t="n">
        <f aca="false">SUMIFS(Data!$L$2:$L$1006,Data!$A$2:$A$1006,$A504,Data!$B$2:$B$1006,$B504)</f>
        <v>146320</v>
      </c>
      <c r="F504" s="10" t="n">
        <f aca="false">SUMIFS(Data!$E$2:$E$1006,Data!$A$2:$A$1006,$A504,Data!$B$2:$B$1006,$B504)</f>
        <v>15.860228</v>
      </c>
      <c r="G504" s="10" t="n">
        <f aca="false">SUMIFS(Data!$F$2:$F$1006,Data!$A$2:$A$1006,$A504,Data!$B$2:$B$1006,$B504)</f>
        <v>7.187684</v>
      </c>
      <c r="H504" s="10" t="n">
        <f aca="false">SUMIFS(Data!$G$2:$G$1006,Data!$A$2:$A$1006,$A504,Data!$B$2:$B$1006,$B504)</f>
        <v>16.199215</v>
      </c>
      <c r="I504" s="10" t="n">
        <f aca="false">SUMIFS(Data!$N$2:$N$1006,Data!$A$2:$A$1006,$A504,Data!$B$2:$B$1006,$B504)</f>
        <v>39.247127</v>
      </c>
      <c r="J504" s="10" t="n">
        <f aca="false">SUMIFS(Data!$H$2:$H$1006,Data!$A$2:$A$1006,$A504,Data!$B$2:$B$1006,$B504)</f>
        <v>30.247663</v>
      </c>
      <c r="K504" s="11" t="n">
        <f aca="false">IFERROR(F504*1000000/$E504,"")</f>
        <v>108.394122471296</v>
      </c>
      <c r="L504" s="11" t="n">
        <f aca="false">IFERROR(G504*1000000/$E504,"")</f>
        <v>49.1230453799891</v>
      </c>
      <c r="M504" s="11" t="n">
        <f aca="false">IFERROR(H504*1000000/$E504,"")</f>
        <v>110.710873428103</v>
      </c>
      <c r="N504" s="11" t="n">
        <f aca="false">IFERROR(I504*1000000/$E504,"")</f>
        <v>268.228041279388</v>
      </c>
      <c r="O504" s="11" t="n">
        <f aca="false">IFERROR(J504*1000000/$E504,"")</f>
        <v>206.722683160197</v>
      </c>
      <c r="P504" s="16" t="n">
        <f aca="false">COUNTIFS($A$4:$A$1008,$A504,$N$4:$N$1008,"&gt;"&amp;N504)+1</f>
        <v>26</v>
      </c>
      <c r="Q504" s="16" t="n">
        <f aca="false">COUNTIFS($A$4:$A$1008,$A504,$O$4:$O$1008,"&gt;"&amp;O504)+1</f>
        <v>11</v>
      </c>
    </row>
    <row r="505" customFormat="false" ht="15" hidden="false" customHeight="false" outlineLevel="0" collapsed="false">
      <c r="A505" s="7" t="n">
        <v>2012</v>
      </c>
      <c r="B505" s="15" t="s">
        <v>155</v>
      </c>
      <c r="C505" s="15" t="s">
        <v>135</v>
      </c>
      <c r="D505" s="15" t="s">
        <v>148</v>
      </c>
      <c r="E505" s="9" t="n">
        <f aca="false">SUMIFS(Data!$L$2:$L$1006,Data!$A$2:$A$1006,$A505,Data!$B$2:$B$1006,$B505)</f>
        <v>1123784</v>
      </c>
      <c r="F505" s="10" t="n">
        <f aca="false">SUMIFS(Data!$E$2:$E$1006,Data!$A$2:$A$1006,$A505,Data!$B$2:$B$1006,$B505)</f>
        <v>91.142009</v>
      </c>
      <c r="G505" s="10" t="n">
        <f aca="false">SUMIFS(Data!$F$2:$F$1006,Data!$A$2:$A$1006,$A505,Data!$B$2:$B$1006,$B505)</f>
        <v>7.146178</v>
      </c>
      <c r="H505" s="10" t="n">
        <f aca="false">SUMIFS(Data!$G$2:$G$1006,Data!$A$2:$A$1006,$A505,Data!$B$2:$B$1006,$B505)</f>
        <v>94.355596</v>
      </c>
      <c r="I505" s="10" t="n">
        <f aca="false">SUMIFS(Data!$N$2:$N$1006,Data!$A$2:$A$1006,$A505,Data!$B$2:$B$1006,$B505)</f>
        <v>192.643783</v>
      </c>
      <c r="J505" s="10" t="n">
        <f aca="false">SUMIFS(Data!$H$2:$H$1006,Data!$A$2:$A$1006,$A505,Data!$B$2:$B$1006,$B505)</f>
        <v>180.454378</v>
      </c>
      <c r="K505" s="11" t="n">
        <f aca="false">IFERROR(F505*1000000/$E505,"")</f>
        <v>81.1027822072569</v>
      </c>
      <c r="L505" s="11" t="n">
        <f aca="false">IFERROR(G505*1000000/$E505,"")</f>
        <v>6.35903162885394</v>
      </c>
      <c r="M505" s="11" t="n">
        <f aca="false">IFERROR(H505*1000000/$E505,"")</f>
        <v>83.9623949086301</v>
      </c>
      <c r="N505" s="11" t="n">
        <f aca="false">IFERROR(I505*1000000/$E505,"")</f>
        <v>171.424208744741</v>
      </c>
      <c r="O505" s="11" t="n">
        <f aca="false">IFERROR(J505*1000000/$E505,"")</f>
        <v>160.577457945655</v>
      </c>
      <c r="P505" s="16" t="n">
        <f aca="false">COUNTIFS($A$4:$A$1008,$A505,$N$4:$N$1008,"&gt;"&amp;N505)+1</f>
        <v>38</v>
      </c>
      <c r="Q505" s="16" t="n">
        <f aca="false">COUNTIFS($A$4:$A$1008,$A505,$O$4:$O$1008,"&gt;"&amp;O505)+1</f>
        <v>24</v>
      </c>
    </row>
    <row r="506" customFormat="false" ht="15" hidden="false" customHeight="false" outlineLevel="0" collapsed="false">
      <c r="A506" s="7" t="n">
        <v>2012</v>
      </c>
      <c r="B506" s="15" t="s">
        <v>156</v>
      </c>
      <c r="C506" s="15" t="s">
        <v>135</v>
      </c>
      <c r="D506" s="15" t="s">
        <v>148</v>
      </c>
      <c r="E506" s="9" t="n">
        <f aca="false">SUMIFS(Data!$L$2:$L$1006,Data!$A$2:$A$1006,$A506,Data!$B$2:$B$1006,$B506)</f>
        <v>459614</v>
      </c>
      <c r="F506" s="10" t="n">
        <f aca="false">SUMIFS(Data!$E$2:$E$1006,Data!$A$2:$A$1006,$A506,Data!$B$2:$B$1006,$B506)</f>
        <v>26.41721</v>
      </c>
      <c r="G506" s="10" t="n">
        <f aca="false">SUMIFS(Data!$F$2:$F$1006,Data!$A$2:$A$1006,$A506,Data!$B$2:$B$1006,$B506)</f>
        <v>48.243431</v>
      </c>
      <c r="H506" s="10" t="n">
        <f aca="false">SUMIFS(Data!$G$2:$G$1006,Data!$A$2:$A$1006,$A506,Data!$B$2:$B$1006,$B506)</f>
        <v>49.81425</v>
      </c>
      <c r="I506" s="10" t="n">
        <f aca="false">SUMIFS(Data!$N$2:$N$1006,Data!$A$2:$A$1006,$A506,Data!$B$2:$B$1006,$B506)</f>
        <v>124.474891</v>
      </c>
      <c r="J506" s="10" t="n">
        <f aca="false">SUMIFS(Data!$H$2:$H$1006,Data!$A$2:$A$1006,$A506,Data!$B$2:$B$1006,$B506)</f>
        <v>84.748339</v>
      </c>
      <c r="K506" s="11" t="n">
        <f aca="false">IFERROR(F506*1000000/$E506,"")</f>
        <v>57.4769480477096</v>
      </c>
      <c r="L506" s="11" t="n">
        <f aca="false">IFERROR(G506*1000000/$E506,"")</f>
        <v>104.965103325834</v>
      </c>
      <c r="M506" s="11" t="n">
        <f aca="false">IFERROR(H506*1000000/$E506,"")</f>
        <v>108.382795128086</v>
      </c>
      <c r="N506" s="11" t="n">
        <f aca="false">IFERROR(I506*1000000/$E506,"")</f>
        <v>270.82484650163</v>
      </c>
      <c r="O506" s="11" t="n">
        <f aca="false">IFERROR(J506*1000000/$E506,"")</f>
        <v>184.39024703338</v>
      </c>
      <c r="P506" s="16" t="n">
        <f aca="false">COUNTIFS($A$4:$A$1008,$A506,$N$4:$N$1008,"&gt;"&amp;N506)+1</f>
        <v>25</v>
      </c>
      <c r="Q506" s="16" t="n">
        <f aca="false">COUNTIFS($A$4:$A$1008,$A506,$O$4:$O$1008,"&gt;"&amp;O506)+1</f>
        <v>19</v>
      </c>
    </row>
    <row r="507" customFormat="false" ht="15" hidden="false" customHeight="false" outlineLevel="0" collapsed="false">
      <c r="A507" s="7" t="n">
        <v>2012</v>
      </c>
      <c r="B507" s="15" t="s">
        <v>157</v>
      </c>
      <c r="C507" s="15" t="s">
        <v>135</v>
      </c>
      <c r="D507" s="15" t="s">
        <v>148</v>
      </c>
      <c r="E507" s="9" t="n">
        <f aca="false">SUMIFS(Data!$L$2:$L$1006,Data!$A$2:$A$1006,$A507,Data!$B$2:$B$1006,$B507)</f>
        <v>441571</v>
      </c>
      <c r="F507" s="10" t="n">
        <f aca="false">SUMIFS(Data!$E$2:$E$1006,Data!$A$2:$A$1006,$A507,Data!$B$2:$B$1006,$B507)</f>
        <v>44.021629</v>
      </c>
      <c r="G507" s="10" t="n">
        <f aca="false">SUMIFS(Data!$F$2:$F$1006,Data!$A$2:$A$1006,$A507,Data!$B$2:$B$1006,$B507)</f>
        <v>37.938639</v>
      </c>
      <c r="H507" s="10" t="n">
        <f aca="false">SUMIFS(Data!$G$2:$G$1006,Data!$A$2:$A$1006,$A507,Data!$B$2:$B$1006,$B507)</f>
        <v>20.790383</v>
      </c>
      <c r="I507" s="10" t="n">
        <f aca="false">SUMIFS(Data!$N$2:$N$1006,Data!$A$2:$A$1006,$A507,Data!$B$2:$B$1006,$B507)</f>
        <v>102.750651</v>
      </c>
      <c r="J507" s="10" t="n">
        <f aca="false">SUMIFS(Data!$H$2:$H$1006,Data!$A$2:$A$1006,$A507,Data!$B$2:$B$1006,$B507)</f>
        <v>30.499667</v>
      </c>
      <c r="K507" s="11" t="n">
        <f aca="false">IFERROR(F507*1000000/$E507,"")</f>
        <v>99.6932067549726</v>
      </c>
      <c r="L507" s="11" t="n">
        <f aca="false">IFERROR(G507*1000000/$E507,"")</f>
        <v>85.9174153193937</v>
      </c>
      <c r="M507" s="11" t="n">
        <f aca="false">IFERROR(H507*1000000/$E507,"")</f>
        <v>47.0827635872827</v>
      </c>
      <c r="N507" s="11" t="n">
        <f aca="false">IFERROR(I507*1000000/$E507,"")</f>
        <v>232.693385661649</v>
      </c>
      <c r="O507" s="11" t="n">
        <f aca="false">IFERROR(J507*1000000/$E507,"")</f>
        <v>69.0708108095867</v>
      </c>
      <c r="P507" s="16" t="n">
        <f aca="false">COUNTIFS($A$4:$A$1008,$A507,$N$4:$N$1008,"&gt;"&amp;N507)+1</f>
        <v>31</v>
      </c>
      <c r="Q507" s="16" t="n">
        <f aca="false">COUNTIFS($A$4:$A$1008,$A507,$O$4:$O$1008,"&gt;"&amp;O507)+1</f>
        <v>39</v>
      </c>
    </row>
    <row r="508" customFormat="false" ht="15" hidden="false" customHeight="false" outlineLevel="0" collapsed="false">
      <c r="A508" s="7" t="n">
        <v>2013</v>
      </c>
      <c r="B508" s="15" t="s">
        <v>101</v>
      </c>
      <c r="C508" s="15" t="s">
        <v>102</v>
      </c>
      <c r="D508" s="15" t="s">
        <v>103</v>
      </c>
      <c r="E508" s="9" t="n">
        <f aca="false">SUMIFS(Data!$L$2:$L$1006,Data!$A$2:$A$1006,$A508,Data!$B$2:$B$1006,$B508)</f>
        <v>744879</v>
      </c>
      <c r="F508" s="10" t="n">
        <f aca="false">SUMIFS(Data!$E$2:$E$1006,Data!$A$2:$A$1006,$A508,Data!$B$2:$B$1006,$B508)</f>
        <v>35.045613</v>
      </c>
      <c r="G508" s="10" t="n">
        <f aca="false">SUMIFS(Data!$F$2:$F$1006,Data!$A$2:$A$1006,$A508,Data!$B$2:$B$1006,$B508)</f>
        <v>36.081876</v>
      </c>
      <c r="H508" s="10" t="n">
        <f aca="false">SUMIFS(Data!$G$2:$G$1006,Data!$A$2:$A$1006,$A508,Data!$B$2:$B$1006,$B508)</f>
        <v>66.956024</v>
      </c>
      <c r="I508" s="10" t="n">
        <f aca="false">SUMIFS(Data!$N$2:$N$1006,Data!$A$2:$A$1006,$A508,Data!$B$2:$B$1006,$B508)</f>
        <v>138.083513</v>
      </c>
      <c r="J508" s="10" t="n">
        <f aca="false">SUMIFS(Data!$H$2:$H$1006,Data!$A$2:$A$1006,$A508,Data!$B$2:$B$1006,$B508)</f>
        <v>87.701456</v>
      </c>
      <c r="K508" s="11" t="n">
        <f aca="false">IFERROR(F508*1000000/$E508,"")</f>
        <v>47.0487327471979</v>
      </c>
      <c r="L508" s="11" t="n">
        <f aca="false">IFERROR(G508*1000000/$E508,"")</f>
        <v>48.4399157447049</v>
      </c>
      <c r="M508" s="11" t="n">
        <f aca="false">IFERROR(H508*1000000/$E508,"")</f>
        <v>89.8884570514137</v>
      </c>
      <c r="N508" s="11" t="n">
        <f aca="false">IFERROR(I508*1000000/$E508,"")</f>
        <v>185.377105543316</v>
      </c>
      <c r="O508" s="11" t="n">
        <f aca="false">IFERROR(J508*1000000/$E508,"")</f>
        <v>117.739197909996</v>
      </c>
      <c r="P508" s="16" t="n">
        <f aca="false">COUNTIFS($A$4:$A$1008,$A508,$N$4:$N$1008,"&gt;"&amp;N508)+1</f>
        <v>37</v>
      </c>
      <c r="Q508" s="16" t="n">
        <f aca="false">COUNTIFS($A$4:$A$1008,$A508,$O$4:$O$1008,"&gt;"&amp;O508)+1</f>
        <v>35</v>
      </c>
    </row>
    <row r="509" customFormat="false" ht="15" hidden="false" customHeight="false" outlineLevel="0" collapsed="false">
      <c r="A509" s="7" t="n">
        <v>2013</v>
      </c>
      <c r="B509" s="15" t="s">
        <v>104</v>
      </c>
      <c r="C509" s="15" t="s">
        <v>102</v>
      </c>
      <c r="D509" s="15" t="s">
        <v>105</v>
      </c>
      <c r="E509" s="9" t="n">
        <f aca="false">SUMIFS(Data!$L$2:$L$1006,Data!$A$2:$A$1006,$A509,Data!$B$2:$B$1006,$B509)</f>
        <v>1096950</v>
      </c>
      <c r="F509" s="10" t="n">
        <f aca="false">SUMIFS(Data!$E$2:$E$1006,Data!$A$2:$A$1006,$A509,Data!$B$2:$B$1006,$B509)</f>
        <v>102.373863</v>
      </c>
      <c r="G509" s="10" t="n">
        <f aca="false">SUMIFS(Data!$F$2:$F$1006,Data!$A$2:$A$1006,$A509,Data!$B$2:$B$1006,$B509)</f>
        <v>168.755088</v>
      </c>
      <c r="H509" s="10" t="n">
        <f aca="false">SUMIFS(Data!$G$2:$G$1006,Data!$A$2:$A$1006,$A509,Data!$B$2:$B$1006,$B509)</f>
        <v>69.05379</v>
      </c>
      <c r="I509" s="10" t="n">
        <f aca="false">SUMIFS(Data!$N$2:$N$1006,Data!$A$2:$A$1006,$A509,Data!$B$2:$B$1006,$B509)</f>
        <v>340.182741</v>
      </c>
      <c r="J509" s="10" t="n">
        <f aca="false">SUMIFS(Data!$H$2:$H$1006,Data!$A$2:$A$1006,$A509,Data!$B$2:$B$1006,$B509)</f>
        <v>151.694872</v>
      </c>
      <c r="K509" s="11" t="n">
        <f aca="false">IFERROR(F509*1000000/$E509,"")</f>
        <v>93.3259154929578</v>
      </c>
      <c r="L509" s="11" t="n">
        <f aca="false">IFERROR(G509*1000000/$E509,"")</f>
        <v>153.840273485574</v>
      </c>
      <c r="M509" s="11" t="n">
        <f aca="false">IFERROR(H509*1000000/$E509,"")</f>
        <v>62.9507178996308</v>
      </c>
      <c r="N509" s="11" t="n">
        <f aca="false">IFERROR(I509*1000000/$E509,"")</f>
        <v>310.116906878162</v>
      </c>
      <c r="O509" s="11" t="n">
        <f aca="false">IFERROR(J509*1000000/$E509,"")</f>
        <v>138.287863621861</v>
      </c>
      <c r="P509" s="16" t="n">
        <f aca="false">COUNTIFS($A$4:$A$1008,$A509,$N$4:$N$1008,"&gt;"&amp;N509)+1</f>
        <v>13</v>
      </c>
      <c r="Q509" s="16" t="n">
        <f aca="false">COUNTIFS($A$4:$A$1008,$A509,$O$4:$O$1008,"&gt;"&amp;O509)+1</f>
        <v>32</v>
      </c>
    </row>
    <row r="510" customFormat="false" ht="15" hidden="false" customHeight="false" outlineLevel="0" collapsed="false">
      <c r="A510" s="7" t="n">
        <v>2013</v>
      </c>
      <c r="B510" s="15" t="s">
        <v>106</v>
      </c>
      <c r="C510" s="15" t="s">
        <v>102</v>
      </c>
      <c r="D510" s="15" t="s">
        <v>107</v>
      </c>
      <c r="E510" s="9" t="n">
        <f aca="false">SUMIFS(Data!$L$2:$L$1006,Data!$A$2:$A$1006,$A510,Data!$B$2:$B$1006,$B510)</f>
        <v>554596</v>
      </c>
      <c r="F510" s="10" t="n">
        <f aca="false">SUMIFS(Data!$E$2:$E$1006,Data!$A$2:$A$1006,$A510,Data!$B$2:$B$1006,$B510)</f>
        <v>36.656893</v>
      </c>
      <c r="G510" s="10" t="n">
        <f aca="false">SUMIFS(Data!$F$2:$F$1006,Data!$A$2:$A$1006,$A510,Data!$B$2:$B$1006,$B510)</f>
        <v>66.865156</v>
      </c>
      <c r="H510" s="10" t="n">
        <f aca="false">SUMIFS(Data!$G$2:$G$1006,Data!$A$2:$A$1006,$A510,Data!$B$2:$B$1006,$B510)</f>
        <v>39.487072</v>
      </c>
      <c r="I510" s="10" t="n">
        <f aca="false">SUMIFS(Data!$N$2:$N$1006,Data!$A$2:$A$1006,$A510,Data!$B$2:$B$1006,$B510)</f>
        <v>143.009121</v>
      </c>
      <c r="J510" s="10" t="n">
        <f aca="false">SUMIFS(Data!$H$2:$H$1006,Data!$A$2:$A$1006,$A510,Data!$B$2:$B$1006,$B510)</f>
        <v>67.415091</v>
      </c>
      <c r="K510" s="11" t="n">
        <f aca="false">IFERROR(F510*1000000/$E510,"")</f>
        <v>66.0965693946585</v>
      </c>
      <c r="L510" s="11" t="n">
        <f aca="false">IFERROR(G510*1000000/$E510,"")</f>
        <v>120.565521568854</v>
      </c>
      <c r="M510" s="11" t="n">
        <f aca="false">IFERROR(H510*1000000/$E510,"")</f>
        <v>71.1997057317399</v>
      </c>
      <c r="N510" s="11" t="n">
        <f aca="false">IFERROR(I510*1000000/$E510,"")</f>
        <v>257.861796695252</v>
      </c>
      <c r="O510" s="11" t="n">
        <f aca="false">IFERROR(J510*1000000/$E510,"")</f>
        <v>121.557117252919</v>
      </c>
      <c r="P510" s="16" t="n">
        <f aca="false">COUNTIFS($A$4:$A$1008,$A510,$N$4:$N$1008,"&gt;"&amp;N510)+1</f>
        <v>25</v>
      </c>
      <c r="Q510" s="16" t="n">
        <f aca="false">COUNTIFS($A$4:$A$1008,$A510,$O$4:$O$1008,"&gt;"&amp;O510)+1</f>
        <v>33</v>
      </c>
    </row>
    <row r="511" customFormat="false" ht="15" hidden="false" customHeight="false" outlineLevel="0" collapsed="false">
      <c r="A511" s="7" t="n">
        <v>2013</v>
      </c>
      <c r="B511" s="15" t="s">
        <v>108</v>
      </c>
      <c r="C511" s="15" t="s">
        <v>102</v>
      </c>
      <c r="D511" s="15" t="s">
        <v>109</v>
      </c>
      <c r="E511" s="9" t="n">
        <f aca="false">SUMIFS(Data!$L$2:$L$1006,Data!$A$2:$A$1006,$A511,Data!$B$2:$B$1006,$B511)</f>
        <v>386898</v>
      </c>
      <c r="F511" s="10" t="n">
        <f aca="false">SUMIFS(Data!$E$2:$E$1006,Data!$A$2:$A$1006,$A511,Data!$B$2:$B$1006,$B511)</f>
        <v>34.23289</v>
      </c>
      <c r="G511" s="10" t="n">
        <f aca="false">SUMIFS(Data!$F$2:$F$1006,Data!$A$2:$A$1006,$A511,Data!$B$2:$B$1006,$B511)</f>
        <v>18.619513</v>
      </c>
      <c r="H511" s="10" t="n">
        <f aca="false">SUMIFS(Data!$G$2:$G$1006,Data!$A$2:$A$1006,$A511,Data!$B$2:$B$1006,$B511)</f>
        <v>34.593871</v>
      </c>
      <c r="I511" s="10" t="n">
        <f aca="false">SUMIFS(Data!$N$2:$N$1006,Data!$A$2:$A$1006,$A511,Data!$B$2:$B$1006,$B511)</f>
        <v>87.446274</v>
      </c>
      <c r="J511" s="10" t="n">
        <f aca="false">SUMIFS(Data!$H$2:$H$1006,Data!$A$2:$A$1006,$A511,Data!$B$2:$B$1006,$B511)</f>
        <v>75.90708</v>
      </c>
      <c r="K511" s="11" t="n">
        <f aca="false">IFERROR(F511*1000000/$E511,"")</f>
        <v>88.4804005189998</v>
      </c>
      <c r="L511" s="11" t="n">
        <f aca="false">IFERROR(G511*1000000/$E511,"")</f>
        <v>48.125120832881</v>
      </c>
      <c r="M511" s="11" t="n">
        <f aca="false">IFERROR(H511*1000000/$E511,"")</f>
        <v>89.4134138713563</v>
      </c>
      <c r="N511" s="11" t="n">
        <f aca="false">IFERROR(I511*1000000/$E511,"")</f>
        <v>226.018935223237</v>
      </c>
      <c r="O511" s="11" t="n">
        <f aca="false">IFERROR(J511*1000000/$E511,"")</f>
        <v>196.1940356373</v>
      </c>
      <c r="P511" s="16" t="n">
        <f aca="false">COUNTIFS($A$4:$A$1008,$A511,$N$4:$N$1008,"&gt;"&amp;N511)+1</f>
        <v>34</v>
      </c>
      <c r="Q511" s="16" t="n">
        <f aca="false">COUNTIFS($A$4:$A$1008,$A511,$O$4:$O$1008,"&gt;"&amp;O511)+1</f>
        <v>10</v>
      </c>
    </row>
    <row r="512" customFormat="false" ht="15" hidden="false" customHeight="false" outlineLevel="0" collapsed="false">
      <c r="A512" s="7" t="n">
        <v>2013</v>
      </c>
      <c r="B512" s="15" t="s">
        <v>110</v>
      </c>
      <c r="C512" s="15" t="s">
        <v>102</v>
      </c>
      <c r="D512" s="15" t="s">
        <v>103</v>
      </c>
      <c r="E512" s="9" t="n">
        <f aca="false">SUMIFS(Data!$L$2:$L$1006,Data!$A$2:$A$1006,$A512,Data!$B$2:$B$1006,$B512)</f>
        <v>1032776</v>
      </c>
      <c r="F512" s="10" t="n">
        <f aca="false">SUMIFS(Data!$E$2:$E$1006,Data!$A$2:$A$1006,$A512,Data!$B$2:$B$1006,$B512)</f>
        <v>58.467777</v>
      </c>
      <c r="G512" s="10" t="n">
        <f aca="false">SUMIFS(Data!$F$2:$F$1006,Data!$A$2:$A$1006,$A512,Data!$B$2:$B$1006,$B512)</f>
        <v>50.356295</v>
      </c>
      <c r="H512" s="10" t="n">
        <f aca="false">SUMIFS(Data!$G$2:$G$1006,Data!$A$2:$A$1006,$A512,Data!$B$2:$B$1006,$B512)</f>
        <v>65.266397</v>
      </c>
      <c r="I512" s="10" t="n">
        <f aca="false">SUMIFS(Data!$N$2:$N$1006,Data!$A$2:$A$1006,$A512,Data!$B$2:$B$1006,$B512)</f>
        <v>174.090469</v>
      </c>
      <c r="J512" s="10" t="n">
        <f aca="false">SUMIFS(Data!$H$2:$H$1006,Data!$A$2:$A$1006,$A512,Data!$B$2:$B$1006,$B512)</f>
        <v>114.167961</v>
      </c>
      <c r="K512" s="11" t="n">
        <f aca="false">IFERROR(F512*1000000/$E512,"")</f>
        <v>56.6122537704207</v>
      </c>
      <c r="L512" s="11" t="n">
        <f aca="false">IFERROR(G512*1000000/$E512,"")</f>
        <v>48.7581963562283</v>
      </c>
      <c r="M512" s="11" t="n">
        <f aca="false">IFERROR(H512*1000000/$E512,"")</f>
        <v>63.1951139453279</v>
      </c>
      <c r="N512" s="11" t="n">
        <f aca="false">IFERROR(I512*1000000/$E512,"")</f>
        <v>168.565564071977</v>
      </c>
      <c r="O512" s="11" t="n">
        <f aca="false">IFERROR(J512*1000000/$E512,"")</f>
        <v>110.544746392248</v>
      </c>
      <c r="P512" s="16" t="n">
        <f aca="false">COUNTIFS($A$4:$A$1008,$A512,$N$4:$N$1008,"&gt;"&amp;N512)+1</f>
        <v>38</v>
      </c>
      <c r="Q512" s="16" t="n">
        <f aca="false">COUNTIFS($A$4:$A$1008,$A512,$O$4:$O$1008,"&gt;"&amp;O512)+1</f>
        <v>36</v>
      </c>
    </row>
    <row r="513" customFormat="false" ht="15" hidden="false" customHeight="false" outlineLevel="0" collapsed="false">
      <c r="A513" s="7" t="n">
        <v>2013</v>
      </c>
      <c r="B513" s="15" t="s">
        <v>111</v>
      </c>
      <c r="C513" s="15" t="s">
        <v>102</v>
      </c>
      <c r="D513" s="15" t="s">
        <v>107</v>
      </c>
      <c r="E513" s="9" t="n">
        <f aca="false">SUMIFS(Data!$L$2:$L$1006,Data!$A$2:$A$1006,$A513,Data!$B$2:$B$1006,$B513)</f>
        <v>589402</v>
      </c>
      <c r="F513" s="10" t="n">
        <f aca="false">SUMIFS(Data!$E$2:$E$1006,Data!$A$2:$A$1006,$A513,Data!$B$2:$B$1006,$B513)</f>
        <v>41.874317</v>
      </c>
      <c r="G513" s="10" t="n">
        <f aca="false">SUMIFS(Data!$F$2:$F$1006,Data!$A$2:$A$1006,$A513,Data!$B$2:$B$1006,$B513)</f>
        <v>67.723762</v>
      </c>
      <c r="H513" s="10" t="n">
        <f aca="false">SUMIFS(Data!$G$2:$G$1006,Data!$A$2:$A$1006,$A513,Data!$B$2:$B$1006,$B513)</f>
        <v>51.11979</v>
      </c>
      <c r="I513" s="10" t="n">
        <f aca="false">SUMIFS(Data!$N$2:$N$1006,Data!$A$2:$A$1006,$A513,Data!$B$2:$B$1006,$B513)</f>
        <v>160.717869</v>
      </c>
      <c r="J513" s="10" t="n">
        <f aca="false">SUMIFS(Data!$H$2:$H$1006,Data!$A$2:$A$1006,$A513,Data!$B$2:$B$1006,$B513)</f>
        <v>95.005858</v>
      </c>
      <c r="K513" s="11" t="n">
        <f aca="false">IFERROR(F513*1000000/$E513,"")</f>
        <v>71.0454273992962</v>
      </c>
      <c r="L513" s="11" t="n">
        <f aca="false">IFERROR(G513*1000000/$E513,"")</f>
        <v>114.902497785891</v>
      </c>
      <c r="M513" s="11" t="n">
        <f aca="false">IFERROR(H513*1000000/$E513,"")</f>
        <v>86.7316195058721</v>
      </c>
      <c r="N513" s="11" t="n">
        <f aca="false">IFERROR(I513*1000000/$E513,"")</f>
        <v>272.67954469106</v>
      </c>
      <c r="O513" s="11" t="n">
        <f aca="false">IFERROR(J513*1000000/$E513,"")</f>
        <v>161.190253850513</v>
      </c>
      <c r="P513" s="16" t="n">
        <f aca="false">COUNTIFS($A$4:$A$1008,$A513,$N$4:$N$1008,"&gt;"&amp;N513)+1</f>
        <v>20</v>
      </c>
      <c r="Q513" s="16" t="n">
        <f aca="false">COUNTIFS($A$4:$A$1008,$A513,$O$4:$O$1008,"&gt;"&amp;O513)+1</f>
        <v>19</v>
      </c>
    </row>
    <row r="514" customFormat="false" ht="15" hidden="false" customHeight="false" outlineLevel="0" collapsed="false">
      <c r="A514" s="7" t="n">
        <v>2013</v>
      </c>
      <c r="B514" s="15" t="s">
        <v>112</v>
      </c>
      <c r="C514" s="15" t="s">
        <v>102</v>
      </c>
      <c r="D514" s="15" t="s">
        <v>107</v>
      </c>
      <c r="E514" s="9" t="n">
        <f aca="false">SUMIFS(Data!$L$2:$L$1006,Data!$A$2:$A$1006,$A514,Data!$B$2:$B$1006,$B514)</f>
        <v>161415</v>
      </c>
      <c r="F514" s="10" t="n">
        <f aca="false">SUMIFS(Data!$E$2:$E$1006,Data!$A$2:$A$1006,$A514,Data!$B$2:$B$1006,$B514)</f>
        <v>13.245162</v>
      </c>
      <c r="G514" s="10" t="n">
        <f aca="false">SUMIFS(Data!$F$2:$F$1006,Data!$A$2:$A$1006,$A514,Data!$B$2:$B$1006,$B514)</f>
        <v>16.924061</v>
      </c>
      <c r="H514" s="10" t="n">
        <f aca="false">SUMIFS(Data!$G$2:$G$1006,Data!$A$2:$A$1006,$A514,Data!$B$2:$B$1006,$B514)</f>
        <v>10.724648</v>
      </c>
      <c r="I514" s="10" t="n">
        <f aca="false">SUMIFS(Data!$N$2:$N$1006,Data!$A$2:$A$1006,$A514,Data!$B$2:$B$1006,$B514)</f>
        <v>40.893871</v>
      </c>
      <c r="J514" s="10" t="n">
        <f aca="false">SUMIFS(Data!$H$2:$H$1006,Data!$A$2:$A$1006,$A514,Data!$B$2:$B$1006,$B514)</f>
        <v>22.620302</v>
      </c>
      <c r="K514" s="11" t="n">
        <f aca="false">IFERROR(F514*1000000/$E514,"")</f>
        <v>82.0565746677818</v>
      </c>
      <c r="L514" s="11" t="n">
        <f aca="false">IFERROR(G514*1000000/$E514,"")</f>
        <v>104.84813059505</v>
      </c>
      <c r="M514" s="11" t="n">
        <f aca="false">IFERROR(H514*1000000/$E514,"")</f>
        <v>66.4414583526934</v>
      </c>
      <c r="N514" s="11" t="n">
        <f aca="false">IFERROR(I514*1000000/$E514,"")</f>
        <v>253.346163615525</v>
      </c>
      <c r="O514" s="11" t="n">
        <f aca="false">IFERROR(J514*1000000/$E514,"")</f>
        <v>140.137546076883</v>
      </c>
      <c r="P514" s="16" t="n">
        <f aca="false">COUNTIFS($A$4:$A$1008,$A514,$N$4:$N$1008,"&gt;"&amp;N514)+1</f>
        <v>27</v>
      </c>
      <c r="Q514" s="16" t="n">
        <f aca="false">COUNTIFS($A$4:$A$1008,$A514,$O$4:$O$1008,"&gt;"&amp;O514)+1</f>
        <v>31</v>
      </c>
    </row>
    <row r="515" customFormat="false" ht="15" hidden="false" customHeight="false" outlineLevel="0" collapsed="false">
      <c r="A515" s="7" t="n">
        <v>2013</v>
      </c>
      <c r="B515" s="15" t="s">
        <v>113</v>
      </c>
      <c r="C515" s="15" t="s">
        <v>102</v>
      </c>
      <c r="D515" s="15" t="s">
        <v>114</v>
      </c>
      <c r="E515" s="9" t="n">
        <f aca="false">SUMIFS(Data!$L$2:$L$1006,Data!$A$2:$A$1006,$A515,Data!$B$2:$B$1006,$B515)</f>
        <v>391473</v>
      </c>
      <c r="F515" s="10" t="n">
        <f aca="false">SUMIFS(Data!$E$2:$E$1006,Data!$A$2:$A$1006,$A515,Data!$B$2:$B$1006,$B515)</f>
        <v>26.134618</v>
      </c>
      <c r="G515" s="10" t="n">
        <f aca="false">SUMIFS(Data!$F$2:$F$1006,Data!$A$2:$A$1006,$A515,Data!$B$2:$B$1006,$B515)</f>
        <v>27.711798</v>
      </c>
      <c r="H515" s="10" t="n">
        <f aca="false">SUMIFS(Data!$G$2:$G$1006,Data!$A$2:$A$1006,$A515,Data!$B$2:$B$1006,$B515)</f>
        <v>38.352672</v>
      </c>
      <c r="I515" s="10" t="n">
        <f aca="false">SUMIFS(Data!$N$2:$N$1006,Data!$A$2:$A$1006,$A515,Data!$B$2:$B$1006,$B515)</f>
        <v>92.199088</v>
      </c>
      <c r="J515" s="10" t="n">
        <f aca="false">SUMIFS(Data!$H$2:$H$1006,Data!$A$2:$A$1006,$A515,Data!$B$2:$B$1006,$B515)</f>
        <v>71.187053</v>
      </c>
      <c r="K515" s="11" t="n">
        <f aca="false">IFERROR(F515*1000000/$E515,"")</f>
        <v>66.7596947937661</v>
      </c>
      <c r="L515" s="11" t="n">
        <f aca="false">IFERROR(G515*1000000/$E515,"")</f>
        <v>70.7885294771287</v>
      </c>
      <c r="M515" s="11" t="n">
        <f aca="false">IFERROR(H515*1000000/$E515,"")</f>
        <v>97.9701588615307</v>
      </c>
      <c r="N515" s="11" t="n">
        <f aca="false">IFERROR(I515*1000000/$E515,"")</f>
        <v>235.518383132425</v>
      </c>
      <c r="O515" s="11" t="n">
        <f aca="false">IFERROR(J515*1000000/$E515,"")</f>
        <v>181.844093973275</v>
      </c>
      <c r="P515" s="16" t="n">
        <f aca="false">COUNTIFS($A$4:$A$1008,$A515,$N$4:$N$1008,"&gt;"&amp;N515)+1</f>
        <v>32</v>
      </c>
      <c r="Q515" s="16" t="n">
        <f aca="false">COUNTIFS($A$4:$A$1008,$A515,$O$4:$O$1008,"&gt;"&amp;O515)+1</f>
        <v>14</v>
      </c>
    </row>
    <row r="516" customFormat="false" ht="15" hidden="false" customHeight="false" outlineLevel="0" collapsed="false">
      <c r="A516" s="7" t="n">
        <v>2013</v>
      </c>
      <c r="B516" s="15" t="s">
        <v>115</v>
      </c>
      <c r="C516" s="15" t="s">
        <v>102</v>
      </c>
      <c r="D516" s="15" t="s">
        <v>103</v>
      </c>
      <c r="E516" s="9" t="n">
        <f aca="false">SUMIFS(Data!$L$2:$L$1006,Data!$A$2:$A$1006,$A516,Data!$B$2:$B$1006,$B516)</f>
        <v>307863</v>
      </c>
      <c r="F516" s="10" t="n">
        <f aca="false">SUMIFS(Data!$E$2:$E$1006,Data!$A$2:$A$1006,$A516,Data!$B$2:$B$1006,$B516)</f>
        <v>17.264184</v>
      </c>
      <c r="G516" s="10" t="n">
        <f aca="false">SUMIFS(Data!$F$2:$F$1006,Data!$A$2:$A$1006,$A516,Data!$B$2:$B$1006,$B516)</f>
        <v>18.623166</v>
      </c>
      <c r="H516" s="10" t="n">
        <f aca="false">SUMIFS(Data!$G$2:$G$1006,Data!$A$2:$A$1006,$A516,Data!$B$2:$B$1006,$B516)</f>
        <v>28.170326</v>
      </c>
      <c r="I516" s="10" t="n">
        <f aca="false">SUMIFS(Data!$N$2:$N$1006,Data!$A$2:$A$1006,$A516,Data!$B$2:$B$1006,$B516)</f>
        <v>64.057676</v>
      </c>
      <c r="J516" s="10" t="n">
        <f aca="false">SUMIFS(Data!$H$2:$H$1006,Data!$A$2:$A$1006,$A516,Data!$B$2:$B$1006,$B516)</f>
        <v>26.852633</v>
      </c>
      <c r="K516" s="11" t="n">
        <f aca="false">IFERROR(F516*1000000/$E516,"")</f>
        <v>56.0774890129701</v>
      </c>
      <c r="L516" s="11" t="n">
        <f aca="false">IFERROR(G516*1000000/$E516,"")</f>
        <v>60.4917317118329</v>
      </c>
      <c r="M516" s="11" t="n">
        <f aca="false">IFERROR(H516*1000000/$E516,"")</f>
        <v>91.5027983226305</v>
      </c>
      <c r="N516" s="11" t="n">
        <f aca="false">IFERROR(I516*1000000/$E516,"")</f>
        <v>208.072019047433</v>
      </c>
      <c r="O516" s="11" t="n">
        <f aca="false">IFERROR(J516*1000000/$E516,"")</f>
        <v>87.2226704735548</v>
      </c>
      <c r="P516" s="16" t="n">
        <f aca="false">COUNTIFS($A$4:$A$1008,$A516,$N$4:$N$1008,"&gt;"&amp;N516)+1</f>
        <v>35</v>
      </c>
      <c r="Q516" s="16" t="n">
        <f aca="false">COUNTIFS($A$4:$A$1008,$A516,$O$4:$O$1008,"&gt;"&amp;O516)+1</f>
        <v>38</v>
      </c>
    </row>
    <row r="517" customFormat="false" ht="15" hidden="false" customHeight="false" outlineLevel="0" collapsed="false">
      <c r="A517" s="7" t="n">
        <v>2013</v>
      </c>
      <c r="B517" s="15" t="s">
        <v>116</v>
      </c>
      <c r="C517" s="15" t="s">
        <v>102</v>
      </c>
      <c r="D517" s="15" t="s">
        <v>107</v>
      </c>
      <c r="E517" s="9" t="n">
        <f aca="false">SUMIFS(Data!$L$2:$L$1006,Data!$A$2:$A$1006,$A517,Data!$B$2:$B$1006,$B517)</f>
        <v>717894</v>
      </c>
      <c r="F517" s="10" t="n">
        <f aca="false">SUMIFS(Data!$E$2:$E$1006,Data!$A$2:$A$1006,$A517,Data!$B$2:$B$1006,$B517)</f>
        <v>37.858731</v>
      </c>
      <c r="G517" s="10" t="n">
        <f aca="false">SUMIFS(Data!$F$2:$F$1006,Data!$A$2:$A$1006,$A517,Data!$B$2:$B$1006,$B517)</f>
        <v>48.408174</v>
      </c>
      <c r="H517" s="10" t="n">
        <f aca="false">SUMIFS(Data!$G$2:$G$1006,Data!$A$2:$A$1006,$A517,Data!$B$2:$B$1006,$B517)</f>
        <v>32.824395</v>
      </c>
      <c r="I517" s="10" t="n">
        <f aca="false">SUMIFS(Data!$N$2:$N$1006,Data!$A$2:$A$1006,$A517,Data!$B$2:$B$1006,$B517)</f>
        <v>119.0913</v>
      </c>
      <c r="J517" s="10" t="n">
        <f aca="false">SUMIFS(Data!$H$2:$H$1006,Data!$A$2:$A$1006,$A517,Data!$B$2:$B$1006,$B517)</f>
        <v>110.210393</v>
      </c>
      <c r="K517" s="11" t="n">
        <f aca="false">IFERROR(F517*1000000/$E517,"")</f>
        <v>52.7358231159475</v>
      </c>
      <c r="L517" s="11" t="n">
        <f aca="false">IFERROR(G517*1000000/$E517,"")</f>
        <v>67.4308101195998</v>
      </c>
      <c r="M517" s="11" t="n">
        <f aca="false">IFERROR(H517*1000000/$E517,"")</f>
        <v>45.7231777950505</v>
      </c>
      <c r="N517" s="11" t="n">
        <f aca="false">IFERROR(I517*1000000/$E517,"")</f>
        <v>165.889811030598</v>
      </c>
      <c r="O517" s="11" t="n">
        <f aca="false">IFERROR(J517*1000000/$E517,"")</f>
        <v>153.519033450621</v>
      </c>
      <c r="P517" s="16" t="n">
        <f aca="false">COUNTIFS($A$4:$A$1008,$A517,$N$4:$N$1008,"&gt;"&amp;N517)+1</f>
        <v>39</v>
      </c>
      <c r="Q517" s="16" t="n">
        <f aca="false">COUNTIFS($A$4:$A$1008,$A517,$O$4:$O$1008,"&gt;"&amp;O517)+1</f>
        <v>22</v>
      </c>
    </row>
    <row r="518" customFormat="false" ht="15" hidden="false" customHeight="false" outlineLevel="0" collapsed="false">
      <c r="A518" s="7" t="n">
        <v>2013</v>
      </c>
      <c r="B518" s="15" t="s">
        <v>117</v>
      </c>
      <c r="C518" s="15" t="s">
        <v>118</v>
      </c>
      <c r="D518" s="15" t="s">
        <v>103</v>
      </c>
      <c r="E518" s="9" t="n">
        <f aca="false">SUMIFS(Data!$L$2:$L$1006,Data!$A$2:$A$1006,$A518,Data!$B$2:$B$1006,$B518)</f>
        <v>1460980</v>
      </c>
      <c r="F518" s="10" t="n">
        <f aca="false">SUMIFS(Data!$E$2:$E$1006,Data!$A$2:$A$1006,$A518,Data!$B$2:$B$1006,$B518)</f>
        <v>136.595522</v>
      </c>
      <c r="G518" s="10" t="n">
        <f aca="false">SUMIFS(Data!$F$2:$F$1006,Data!$A$2:$A$1006,$A518,Data!$B$2:$B$1006,$B518)</f>
        <v>327.017069</v>
      </c>
      <c r="H518" s="10" t="n">
        <f aca="false">SUMIFS(Data!$G$2:$G$1006,Data!$A$2:$A$1006,$A518,Data!$B$2:$B$1006,$B518)</f>
        <v>102.265955</v>
      </c>
      <c r="I518" s="10" t="n">
        <f aca="false">SUMIFS(Data!$N$2:$N$1006,Data!$A$2:$A$1006,$A518,Data!$B$2:$B$1006,$B518)</f>
        <v>565.878546</v>
      </c>
      <c r="J518" s="10" t="n">
        <f aca="false">SUMIFS(Data!$H$2:$H$1006,Data!$A$2:$A$1006,$A518,Data!$B$2:$B$1006,$B518)</f>
        <v>210.569966</v>
      </c>
      <c r="K518" s="11" t="n">
        <f aca="false">IFERROR(F518*1000000/$E518,"")</f>
        <v>93.4958192446166</v>
      </c>
      <c r="L518" s="11" t="n">
        <f aca="false">IFERROR(G518*1000000/$E518,"")</f>
        <v>223.834049062958</v>
      </c>
      <c r="M518" s="11" t="n">
        <f aca="false">IFERROR(H518*1000000/$E518,"")</f>
        <v>69.9981895713836</v>
      </c>
      <c r="N518" s="11" t="n">
        <f aca="false">IFERROR(I518*1000000/$E518,"")</f>
        <v>387.328057878958</v>
      </c>
      <c r="O518" s="11" t="n">
        <f aca="false">IFERROR(J518*1000000/$E518,"")</f>
        <v>144.129259811907</v>
      </c>
      <c r="P518" s="16" t="n">
        <f aca="false">COUNTIFS($A$4:$A$1008,$A518,$N$4:$N$1008,"&gt;"&amp;N518)+1</f>
        <v>3</v>
      </c>
      <c r="Q518" s="16" t="n">
        <f aca="false">COUNTIFS($A$4:$A$1008,$A518,$O$4:$O$1008,"&gt;"&amp;O518)+1</f>
        <v>30</v>
      </c>
    </row>
    <row r="519" customFormat="false" ht="15" hidden="false" customHeight="false" outlineLevel="0" collapsed="false">
      <c r="A519" s="7" t="n">
        <v>2013</v>
      </c>
      <c r="B519" s="15" t="s">
        <v>119</v>
      </c>
      <c r="C519" s="15" t="s">
        <v>118</v>
      </c>
      <c r="D519" s="15" t="s">
        <v>103</v>
      </c>
      <c r="E519" s="9" t="n">
        <f aca="false">SUMIFS(Data!$L$2:$L$1006,Data!$A$2:$A$1006,$A519,Data!$B$2:$B$1006,$B519)</f>
        <v>513769</v>
      </c>
      <c r="F519" s="10" t="n">
        <f aca="false">SUMIFS(Data!$E$2:$E$1006,Data!$A$2:$A$1006,$A519,Data!$B$2:$B$1006,$B519)</f>
        <v>33.217977</v>
      </c>
      <c r="G519" s="10" t="n">
        <f aca="false">SUMIFS(Data!$F$2:$F$1006,Data!$A$2:$A$1006,$A519,Data!$B$2:$B$1006,$B519)</f>
        <v>92.116025</v>
      </c>
      <c r="H519" s="10" t="n">
        <f aca="false">SUMIFS(Data!$G$2:$G$1006,Data!$A$2:$A$1006,$A519,Data!$B$2:$B$1006,$B519)</f>
        <v>54.066554</v>
      </c>
      <c r="I519" s="10" t="n">
        <f aca="false">SUMIFS(Data!$N$2:$N$1006,Data!$A$2:$A$1006,$A519,Data!$B$2:$B$1006,$B519)</f>
        <v>179.400556</v>
      </c>
      <c r="J519" s="10" t="n">
        <f aca="false">SUMIFS(Data!$H$2:$H$1006,Data!$A$2:$A$1006,$A519,Data!$B$2:$B$1006,$B519)</f>
        <v>76.614466</v>
      </c>
      <c r="K519" s="11" t="n">
        <f aca="false">IFERROR(F519*1000000/$E519,"")</f>
        <v>64.6554716224607</v>
      </c>
      <c r="L519" s="11" t="n">
        <f aca="false">IFERROR(G519*1000000/$E519,"")</f>
        <v>179.294634359021</v>
      </c>
      <c r="M519" s="11" t="n">
        <f aca="false">IFERROR(H519*1000000/$E519,"")</f>
        <v>105.235142641927</v>
      </c>
      <c r="N519" s="11" t="n">
        <f aca="false">IFERROR(I519*1000000/$E519,"")</f>
        <v>349.185248623409</v>
      </c>
      <c r="O519" s="11" t="n">
        <f aca="false">IFERROR(J519*1000000/$E519,"")</f>
        <v>149.122399366252</v>
      </c>
      <c r="P519" s="16" t="n">
        <f aca="false">COUNTIFS($A$4:$A$1008,$A519,$N$4:$N$1008,"&gt;"&amp;N519)+1</f>
        <v>7</v>
      </c>
      <c r="Q519" s="16" t="n">
        <f aca="false">COUNTIFS($A$4:$A$1008,$A519,$O$4:$O$1008,"&gt;"&amp;O519)+1</f>
        <v>25</v>
      </c>
    </row>
    <row r="520" customFormat="false" ht="15" hidden="false" customHeight="false" outlineLevel="0" collapsed="false">
      <c r="A520" s="7" t="n">
        <v>2013</v>
      </c>
      <c r="B520" s="15" t="s">
        <v>120</v>
      </c>
      <c r="C520" s="15" t="s">
        <v>118</v>
      </c>
      <c r="D520" s="15" t="s">
        <v>121</v>
      </c>
      <c r="E520" s="9" t="n">
        <f aca="false">SUMIFS(Data!$L$2:$L$1006,Data!$A$2:$A$1006,$A520,Data!$B$2:$B$1006,$B520)</f>
        <v>959302</v>
      </c>
      <c r="F520" s="10" t="n">
        <f aca="false">SUMIFS(Data!$E$2:$E$1006,Data!$A$2:$A$1006,$A520,Data!$B$2:$B$1006,$B520)</f>
        <v>168.578963</v>
      </c>
      <c r="G520" s="10" t="n">
        <f aca="false">SUMIFS(Data!$F$2:$F$1006,Data!$A$2:$A$1006,$A520,Data!$B$2:$B$1006,$B520)</f>
        <v>42.533589</v>
      </c>
      <c r="H520" s="10" t="n">
        <f aca="false">SUMIFS(Data!$G$2:$G$1006,Data!$A$2:$A$1006,$A520,Data!$B$2:$B$1006,$B520)</f>
        <v>107.596422</v>
      </c>
      <c r="I520" s="10" t="n">
        <f aca="false">SUMIFS(Data!$N$2:$N$1006,Data!$A$2:$A$1006,$A520,Data!$B$2:$B$1006,$B520)</f>
        <v>318.708974</v>
      </c>
      <c r="J520" s="10" t="n">
        <f aca="false">SUMIFS(Data!$H$2:$H$1006,Data!$A$2:$A$1006,$A520,Data!$B$2:$B$1006,$B520)</f>
        <v>185.627864</v>
      </c>
      <c r="K520" s="11" t="n">
        <f aca="false">IFERROR(F520*1000000/$E520,"")</f>
        <v>175.730857435927</v>
      </c>
      <c r="L520" s="11" t="n">
        <f aca="false">IFERROR(G520*1000000/$E520,"")</f>
        <v>44.3380593389777</v>
      </c>
      <c r="M520" s="11" t="n">
        <f aca="false">IFERROR(H520*1000000/$E520,"")</f>
        <v>112.161156757726</v>
      </c>
      <c r="N520" s="11" t="n">
        <f aca="false">IFERROR(I520*1000000/$E520,"")</f>
        <v>332.230073532631</v>
      </c>
      <c r="O520" s="11" t="n">
        <f aca="false">IFERROR(J520*1000000/$E520,"")</f>
        <v>193.503051176793</v>
      </c>
      <c r="P520" s="16" t="n">
        <f aca="false">COUNTIFS($A$4:$A$1008,$A520,$N$4:$N$1008,"&gt;"&amp;N520)+1</f>
        <v>10</v>
      </c>
      <c r="Q520" s="16" t="n">
        <f aca="false">COUNTIFS($A$4:$A$1008,$A520,$O$4:$O$1008,"&gt;"&amp;O520)+1</f>
        <v>13</v>
      </c>
    </row>
    <row r="521" customFormat="false" ht="15" hidden="false" customHeight="false" outlineLevel="0" collapsed="false">
      <c r="A521" s="7" t="n">
        <v>2013</v>
      </c>
      <c r="B521" s="15" t="s">
        <v>122</v>
      </c>
      <c r="C521" s="15" t="s">
        <v>118</v>
      </c>
      <c r="D521" s="15" t="s">
        <v>105</v>
      </c>
      <c r="E521" s="9" t="n">
        <f aca="false">SUMIFS(Data!$L$2:$L$1006,Data!$A$2:$A$1006,$A521,Data!$B$2:$B$1006,$B521)</f>
        <v>543918</v>
      </c>
      <c r="F521" s="10" t="n">
        <f aca="false">SUMIFS(Data!$E$2:$E$1006,Data!$A$2:$A$1006,$A521,Data!$B$2:$B$1006,$B521)</f>
        <v>59.421373</v>
      </c>
      <c r="G521" s="10" t="n">
        <f aca="false">SUMIFS(Data!$F$2:$F$1006,Data!$A$2:$A$1006,$A521,Data!$B$2:$B$1006,$B521)</f>
        <v>91.387334</v>
      </c>
      <c r="H521" s="10" t="n">
        <f aca="false">SUMIFS(Data!$G$2:$G$1006,Data!$A$2:$A$1006,$A521,Data!$B$2:$B$1006,$B521)</f>
        <v>35.228694</v>
      </c>
      <c r="I521" s="10" t="n">
        <f aca="false">SUMIFS(Data!$N$2:$N$1006,Data!$A$2:$A$1006,$A521,Data!$B$2:$B$1006,$B521)</f>
        <v>186.037401</v>
      </c>
      <c r="J521" s="10" t="n">
        <f aca="false">SUMIFS(Data!$H$2:$H$1006,Data!$A$2:$A$1006,$A521,Data!$B$2:$B$1006,$B521)</f>
        <v>130.11391</v>
      </c>
      <c r="K521" s="11" t="n">
        <f aca="false">IFERROR(F521*1000000/$E521,"")</f>
        <v>109.246932442023</v>
      </c>
      <c r="L521" s="11" t="n">
        <f aca="false">IFERROR(G521*1000000/$E521,"")</f>
        <v>168.016748848172</v>
      </c>
      <c r="M521" s="11" t="n">
        <f aca="false">IFERROR(H521*1000000/$E521,"")</f>
        <v>64.7683915590218</v>
      </c>
      <c r="N521" s="11" t="n">
        <f aca="false">IFERROR(I521*1000000/$E521,"")</f>
        <v>342.032072849216</v>
      </c>
      <c r="O521" s="11" t="n">
        <f aca="false">IFERROR(J521*1000000/$E521,"")</f>
        <v>239.216039917782</v>
      </c>
      <c r="P521" s="16" t="n">
        <f aca="false">COUNTIFS($A$4:$A$1008,$A521,$N$4:$N$1008,"&gt;"&amp;N521)+1</f>
        <v>8</v>
      </c>
      <c r="Q521" s="16" t="n">
        <f aca="false">COUNTIFS($A$4:$A$1008,$A521,$O$4:$O$1008,"&gt;"&amp;O521)+1</f>
        <v>5</v>
      </c>
    </row>
    <row r="522" customFormat="false" ht="15" hidden="false" customHeight="false" outlineLevel="0" collapsed="false">
      <c r="A522" s="7" t="n">
        <v>2013</v>
      </c>
      <c r="B522" s="15" t="s">
        <v>123</v>
      </c>
      <c r="C522" s="15" t="s">
        <v>118</v>
      </c>
      <c r="D522" s="15" t="s">
        <v>124</v>
      </c>
      <c r="E522" s="9" t="n">
        <f aca="false">SUMIFS(Data!$L$2:$L$1006,Data!$A$2:$A$1006,$A522,Data!$B$2:$B$1006,$B522)</f>
        <v>1243697</v>
      </c>
      <c r="F522" s="10" t="n">
        <f aca="false">SUMIFS(Data!$E$2:$E$1006,Data!$A$2:$A$1006,$A522,Data!$B$2:$B$1006,$B522)</f>
        <v>173.988748</v>
      </c>
      <c r="G522" s="10" t="n">
        <f aca="false">SUMIFS(Data!$F$2:$F$1006,Data!$A$2:$A$1006,$A522,Data!$B$2:$B$1006,$B522)</f>
        <v>80.873218</v>
      </c>
      <c r="H522" s="10" t="n">
        <f aca="false">SUMIFS(Data!$G$2:$G$1006,Data!$A$2:$A$1006,$A522,Data!$B$2:$B$1006,$B522)</f>
        <v>142.097478</v>
      </c>
      <c r="I522" s="10" t="n">
        <f aca="false">SUMIFS(Data!$N$2:$N$1006,Data!$A$2:$A$1006,$A522,Data!$B$2:$B$1006,$B522)</f>
        <v>396.959444</v>
      </c>
      <c r="J522" s="10" t="n">
        <f aca="false">SUMIFS(Data!$H$2:$H$1006,Data!$A$2:$A$1006,$A522,Data!$B$2:$B$1006,$B522)</f>
        <v>361.673001</v>
      </c>
      <c r="K522" s="11" t="n">
        <f aca="false">IFERROR(F522*1000000/$E522,"")</f>
        <v>139.896412068213</v>
      </c>
      <c r="L522" s="11" t="n">
        <f aca="false">IFERROR(G522*1000000/$E522,"")</f>
        <v>65.0264638412732</v>
      </c>
      <c r="M522" s="11" t="n">
        <f aca="false">IFERROR(H522*1000000/$E522,"")</f>
        <v>114.254097260024</v>
      </c>
      <c r="N522" s="11" t="n">
        <f aca="false">IFERROR(I522*1000000/$E522,"")</f>
        <v>319.17697316951</v>
      </c>
      <c r="O522" s="11" t="n">
        <f aca="false">IFERROR(J522*1000000/$E522,"")</f>
        <v>290.804754695074</v>
      </c>
      <c r="P522" s="16" t="n">
        <f aca="false">COUNTIFS($A$4:$A$1008,$A522,$N$4:$N$1008,"&gt;"&amp;N522)+1</f>
        <v>11</v>
      </c>
      <c r="Q522" s="16" t="n">
        <f aca="false">COUNTIFS($A$4:$A$1008,$A522,$O$4:$O$1008,"&gt;"&amp;O522)+1</f>
        <v>3</v>
      </c>
    </row>
    <row r="523" customFormat="false" ht="15" hidden="false" customHeight="false" outlineLevel="0" collapsed="false">
      <c r="A523" s="7" t="n">
        <v>2013</v>
      </c>
      <c r="B523" s="15" t="s">
        <v>125</v>
      </c>
      <c r="C523" s="15" t="s">
        <v>118</v>
      </c>
      <c r="D523" s="15" t="s">
        <v>126</v>
      </c>
      <c r="E523" s="9" t="n">
        <f aca="false">SUMIFS(Data!$L$2:$L$1006,Data!$A$2:$A$1006,$A523,Data!$B$2:$B$1006,$B523)</f>
        <v>504496</v>
      </c>
      <c r="F523" s="10" t="n">
        <f aca="false">SUMIFS(Data!$E$2:$E$1006,Data!$A$2:$A$1006,$A523,Data!$B$2:$B$1006,$B523)</f>
        <v>56.785317</v>
      </c>
      <c r="G523" s="10" t="n">
        <f aca="false">SUMIFS(Data!$F$2:$F$1006,Data!$A$2:$A$1006,$A523,Data!$B$2:$B$1006,$B523)</f>
        <v>56.488379</v>
      </c>
      <c r="H523" s="10" t="n">
        <f aca="false">SUMIFS(Data!$G$2:$G$1006,Data!$A$2:$A$1006,$A523,Data!$B$2:$B$1006,$B523)</f>
        <v>41.724303</v>
      </c>
      <c r="I523" s="10" t="n">
        <f aca="false">SUMIFS(Data!$N$2:$N$1006,Data!$A$2:$A$1006,$A523,Data!$B$2:$B$1006,$B523)</f>
        <v>154.997999</v>
      </c>
      <c r="J523" s="10" t="n">
        <f aca="false">SUMIFS(Data!$H$2:$H$1006,Data!$A$2:$A$1006,$A523,Data!$B$2:$B$1006,$B523)</f>
        <v>165.494331</v>
      </c>
      <c r="K523" s="11" t="n">
        <f aca="false">IFERROR(F523*1000000/$E523,"")</f>
        <v>112.55850789699</v>
      </c>
      <c r="L523" s="11" t="n">
        <f aca="false">IFERROR(G523*1000000/$E523,"")</f>
        <v>111.969924439441</v>
      </c>
      <c r="M523" s="11" t="n">
        <f aca="false">IFERROR(H523*1000000/$E523,"")</f>
        <v>82.7049233294219</v>
      </c>
      <c r="N523" s="11" t="n">
        <f aca="false">IFERROR(I523*1000000/$E523,"")</f>
        <v>307.233355665853</v>
      </c>
      <c r="O523" s="11" t="n">
        <f aca="false">IFERROR(J523*1000000/$E523,"")</f>
        <v>328.038935888491</v>
      </c>
      <c r="P523" s="16" t="n">
        <f aca="false">COUNTIFS($A$4:$A$1008,$A523,$N$4:$N$1008,"&gt;"&amp;N523)+1</f>
        <v>14</v>
      </c>
      <c r="Q523" s="16" t="n">
        <f aca="false">COUNTIFS($A$4:$A$1008,$A523,$O$4:$O$1008,"&gt;"&amp;O523)+1</f>
        <v>2</v>
      </c>
    </row>
    <row r="524" customFormat="false" ht="15" hidden="false" customHeight="false" outlineLevel="0" collapsed="false">
      <c r="A524" s="7" t="n">
        <v>2013</v>
      </c>
      <c r="B524" s="15" t="s">
        <v>127</v>
      </c>
      <c r="C524" s="15" t="s">
        <v>118</v>
      </c>
      <c r="D524" s="15" t="s">
        <v>103</v>
      </c>
      <c r="E524" s="9" t="n">
        <f aca="false">SUMIFS(Data!$L$2:$L$1006,Data!$A$2:$A$1006,$A524,Data!$B$2:$B$1006,$B524)</f>
        <v>691985</v>
      </c>
      <c r="F524" s="10" t="n">
        <f aca="false">SUMIFS(Data!$E$2:$E$1006,Data!$A$2:$A$1006,$A524,Data!$B$2:$B$1006,$B524)</f>
        <v>57.544402</v>
      </c>
      <c r="G524" s="10" t="n">
        <f aca="false">SUMIFS(Data!$F$2:$F$1006,Data!$A$2:$A$1006,$A524,Data!$B$2:$B$1006,$B524)</f>
        <v>37.272243</v>
      </c>
      <c r="H524" s="10" t="n">
        <f aca="false">SUMIFS(Data!$G$2:$G$1006,Data!$A$2:$A$1006,$A524,Data!$B$2:$B$1006,$B524)</f>
        <v>48.280412</v>
      </c>
      <c r="I524" s="10" t="n">
        <f aca="false">SUMIFS(Data!$N$2:$N$1006,Data!$A$2:$A$1006,$A524,Data!$B$2:$B$1006,$B524)</f>
        <v>143.097057</v>
      </c>
      <c r="J524" s="10" t="n">
        <f aca="false">SUMIFS(Data!$H$2:$H$1006,Data!$A$2:$A$1006,$A524,Data!$B$2:$B$1006,$B524)</f>
        <v>113.700274</v>
      </c>
      <c r="K524" s="11" t="n">
        <f aca="false">IFERROR(F524*1000000/$E524,"")</f>
        <v>83.1584528566371</v>
      </c>
      <c r="L524" s="11" t="n">
        <f aca="false">IFERROR(G524*1000000/$E524,"")</f>
        <v>53.8627903784042</v>
      </c>
      <c r="M524" s="11" t="n">
        <f aca="false">IFERROR(H524*1000000/$E524,"")</f>
        <v>69.7708938777575</v>
      </c>
      <c r="N524" s="11" t="n">
        <f aca="false">IFERROR(I524*1000000/$E524,"")</f>
        <v>206.792137112799</v>
      </c>
      <c r="O524" s="11" t="n">
        <f aca="false">IFERROR(J524*1000000/$E524,"")</f>
        <v>164.310315975057</v>
      </c>
      <c r="P524" s="16" t="n">
        <f aca="false">COUNTIFS($A$4:$A$1008,$A524,$N$4:$N$1008,"&gt;"&amp;N524)+1</f>
        <v>36</v>
      </c>
      <c r="Q524" s="16" t="n">
        <f aca="false">COUNTIFS($A$4:$A$1008,$A524,$O$4:$O$1008,"&gt;"&amp;O524)+1</f>
        <v>18</v>
      </c>
    </row>
    <row r="525" customFormat="false" ht="15" hidden="false" customHeight="false" outlineLevel="0" collapsed="false">
      <c r="A525" s="7" t="n">
        <v>2013</v>
      </c>
      <c r="B525" s="15" t="s">
        <v>128</v>
      </c>
      <c r="C525" s="15" t="s">
        <v>118</v>
      </c>
      <c r="D525" s="15" t="s">
        <v>107</v>
      </c>
      <c r="E525" s="9" t="n">
        <f aca="false">SUMIFS(Data!$L$2:$L$1006,Data!$A$2:$A$1006,$A525,Data!$B$2:$B$1006,$B525)</f>
        <v>590346</v>
      </c>
      <c r="F525" s="10" t="n">
        <f aca="false">SUMIFS(Data!$E$2:$E$1006,Data!$A$2:$A$1006,$A525,Data!$B$2:$B$1006,$B525)</f>
        <v>39.294365</v>
      </c>
      <c r="G525" s="10" t="n">
        <f aca="false">SUMIFS(Data!$F$2:$F$1006,Data!$A$2:$A$1006,$A525,Data!$B$2:$B$1006,$B525)</f>
        <v>49.3458</v>
      </c>
      <c r="H525" s="10" t="n">
        <f aca="false">SUMIFS(Data!$G$2:$G$1006,Data!$A$2:$A$1006,$A525,Data!$B$2:$B$1006,$B525)</f>
        <v>67.919951</v>
      </c>
      <c r="I525" s="10" t="n">
        <f aca="false">SUMIFS(Data!$N$2:$N$1006,Data!$A$2:$A$1006,$A525,Data!$B$2:$B$1006,$B525)</f>
        <v>156.560116</v>
      </c>
      <c r="J525" s="10" t="n">
        <f aca="false">SUMIFS(Data!$H$2:$H$1006,Data!$A$2:$A$1006,$A525,Data!$B$2:$B$1006,$B525)</f>
        <v>118.855848</v>
      </c>
      <c r="K525" s="11" t="n">
        <f aca="false">IFERROR(F525*1000000/$E525,"")</f>
        <v>66.5615842234893</v>
      </c>
      <c r="L525" s="11" t="n">
        <f aca="false">IFERROR(G525*1000000/$E525,"")</f>
        <v>83.5879297903264</v>
      </c>
      <c r="M525" s="11" t="n">
        <f aca="false">IFERROR(H525*1000000/$E525,"")</f>
        <v>115.051090377507</v>
      </c>
      <c r="N525" s="11" t="n">
        <f aca="false">IFERROR(I525*1000000/$E525,"")</f>
        <v>265.200604391323</v>
      </c>
      <c r="O525" s="11" t="n">
        <f aca="false">IFERROR(J525*1000000/$E525,"")</f>
        <v>201.332520250836</v>
      </c>
      <c r="P525" s="16" t="n">
        <f aca="false">COUNTIFS($A$4:$A$1008,$A525,$N$4:$N$1008,"&gt;"&amp;N525)+1</f>
        <v>22</v>
      </c>
      <c r="Q525" s="16" t="n">
        <f aca="false">COUNTIFS($A$4:$A$1008,$A525,$O$4:$O$1008,"&gt;"&amp;O525)+1</f>
        <v>8</v>
      </c>
    </row>
    <row r="526" customFormat="false" ht="15" hidden="false" customHeight="false" outlineLevel="0" collapsed="false">
      <c r="A526" s="7" t="n">
        <v>2013</v>
      </c>
      <c r="B526" s="15" t="s">
        <v>129</v>
      </c>
      <c r="C526" s="15" t="s">
        <v>118</v>
      </c>
      <c r="D526" s="15" t="s">
        <v>107</v>
      </c>
      <c r="E526" s="9" t="n">
        <f aca="false">SUMIFS(Data!$L$2:$L$1006,Data!$A$2:$A$1006,$A526,Data!$B$2:$B$1006,$B526)</f>
        <v>1582153</v>
      </c>
      <c r="F526" s="10" t="n">
        <f aca="false">SUMIFS(Data!$E$2:$E$1006,Data!$A$2:$A$1006,$A526,Data!$B$2:$B$1006,$B526)</f>
        <v>200.354146</v>
      </c>
      <c r="G526" s="10" t="n">
        <f aca="false">SUMIFS(Data!$F$2:$F$1006,Data!$A$2:$A$1006,$A526,Data!$B$2:$B$1006,$B526)</f>
        <v>214.637444</v>
      </c>
      <c r="H526" s="10" t="n">
        <f aca="false">SUMIFS(Data!$G$2:$G$1006,Data!$A$2:$A$1006,$A526,Data!$B$2:$B$1006,$B526)</f>
        <v>112.3633</v>
      </c>
      <c r="I526" s="10" t="n">
        <f aca="false">SUMIFS(Data!$N$2:$N$1006,Data!$A$2:$A$1006,$A526,Data!$B$2:$B$1006,$B526)</f>
        <v>527.35489</v>
      </c>
      <c r="J526" s="10" t="n">
        <f aca="false">SUMIFS(Data!$H$2:$H$1006,Data!$A$2:$A$1006,$A526,Data!$B$2:$B$1006,$B526)</f>
        <v>306.219588</v>
      </c>
      <c r="K526" s="11" t="n">
        <f aca="false">IFERROR(F526*1000000/$E526,"")</f>
        <v>126.633862843859</v>
      </c>
      <c r="L526" s="11" t="n">
        <f aca="false">IFERROR(G526*1000000/$E526,"")</f>
        <v>135.66162311736</v>
      </c>
      <c r="M526" s="11" t="n">
        <f aca="false">IFERROR(H526*1000000/$E526,"")</f>
        <v>71.0192377096273</v>
      </c>
      <c r="N526" s="11" t="n">
        <f aca="false">IFERROR(I526*1000000/$E526,"")</f>
        <v>333.314723670846</v>
      </c>
      <c r="O526" s="11" t="n">
        <f aca="false">IFERROR(J526*1000000/$E526,"")</f>
        <v>193.546128598182</v>
      </c>
      <c r="P526" s="16" t="n">
        <f aca="false">COUNTIFS($A$4:$A$1008,$A526,$N$4:$N$1008,"&gt;"&amp;N526)+1</f>
        <v>9</v>
      </c>
      <c r="Q526" s="16" t="n">
        <f aca="false">COUNTIFS($A$4:$A$1008,$A526,$O$4:$O$1008,"&gt;"&amp;O526)+1</f>
        <v>12</v>
      </c>
    </row>
    <row r="527" customFormat="false" ht="15" hidden="false" customHeight="false" outlineLevel="0" collapsed="false">
      <c r="A527" s="7" t="n">
        <v>2013</v>
      </c>
      <c r="B527" s="15" t="s">
        <v>130</v>
      </c>
      <c r="C527" s="15" t="s">
        <v>118</v>
      </c>
      <c r="D527" s="15" t="s">
        <v>107</v>
      </c>
      <c r="E527" s="9" t="n">
        <f aca="false">SUMIFS(Data!$L$2:$L$1006,Data!$A$2:$A$1006,$A527,Data!$B$2:$B$1006,$B527)</f>
        <v>1410556</v>
      </c>
      <c r="F527" s="10" t="n">
        <f aca="false">SUMIFS(Data!$E$2:$E$1006,Data!$A$2:$A$1006,$A527,Data!$B$2:$B$1006,$B527)</f>
        <v>166.293992</v>
      </c>
      <c r="G527" s="10" t="n">
        <f aca="false">SUMIFS(Data!$F$2:$F$1006,Data!$A$2:$A$1006,$A527,Data!$B$2:$B$1006,$B527)</f>
        <v>156.484841</v>
      </c>
      <c r="H527" s="10" t="n">
        <f aca="false">SUMIFS(Data!$G$2:$G$1006,Data!$A$2:$A$1006,$A527,Data!$B$2:$B$1006,$B527)</f>
        <v>108.551327</v>
      </c>
      <c r="I527" s="10" t="n">
        <f aca="false">SUMIFS(Data!$N$2:$N$1006,Data!$A$2:$A$1006,$A527,Data!$B$2:$B$1006,$B527)</f>
        <v>431.33016</v>
      </c>
      <c r="J527" s="10" t="n">
        <f aca="false">SUMIFS(Data!$H$2:$H$1006,Data!$A$2:$A$1006,$A527,Data!$B$2:$B$1006,$B527)</f>
        <v>279.496248</v>
      </c>
      <c r="K527" s="11" t="n">
        <f aca="false">IFERROR(F527*1000000/$E527,"")</f>
        <v>117.89251330681</v>
      </c>
      <c r="L527" s="11" t="n">
        <f aca="false">IFERROR(G527*1000000/$E527,"")</f>
        <v>110.938410811056</v>
      </c>
      <c r="M527" s="11" t="n">
        <f aca="false">IFERROR(H527*1000000/$E527,"")</f>
        <v>76.9564108053846</v>
      </c>
      <c r="N527" s="11" t="n">
        <f aca="false">IFERROR(I527*1000000/$E527,"")</f>
        <v>305.78733492325</v>
      </c>
      <c r="O527" s="11" t="n">
        <f aca="false">IFERROR(J527*1000000/$E527,"")</f>
        <v>198.146155133153</v>
      </c>
      <c r="P527" s="16" t="n">
        <f aca="false">COUNTIFS($A$4:$A$1008,$A527,$N$4:$N$1008,"&gt;"&amp;N527)+1</f>
        <v>16</v>
      </c>
      <c r="Q527" s="16" t="n">
        <f aca="false">COUNTIFS($A$4:$A$1008,$A527,$O$4:$O$1008,"&gt;"&amp;O527)+1</f>
        <v>9</v>
      </c>
    </row>
    <row r="528" customFormat="false" ht="15" hidden="false" customHeight="false" outlineLevel="0" collapsed="false">
      <c r="A528" s="7" t="n">
        <v>2013</v>
      </c>
      <c r="B528" s="15" t="s">
        <v>131</v>
      </c>
      <c r="C528" s="15" t="s">
        <v>118</v>
      </c>
      <c r="D528" s="15" t="s">
        <v>132</v>
      </c>
      <c r="E528" s="9" t="n">
        <f aca="false">SUMIFS(Data!$L$2:$L$1006,Data!$A$2:$A$1006,$A528,Data!$B$2:$B$1006,$B528)</f>
        <v>795251</v>
      </c>
      <c r="F528" s="10" t="n">
        <f aca="false">SUMIFS(Data!$E$2:$E$1006,Data!$A$2:$A$1006,$A528,Data!$B$2:$B$1006,$B528)</f>
        <v>124.163835</v>
      </c>
      <c r="G528" s="10" t="n">
        <f aca="false">SUMIFS(Data!$F$2:$F$1006,Data!$A$2:$A$1006,$A528,Data!$B$2:$B$1006,$B528)</f>
        <v>84.752762</v>
      </c>
      <c r="H528" s="10" t="n">
        <f aca="false">SUMIFS(Data!$G$2:$G$1006,Data!$A$2:$A$1006,$A528,Data!$B$2:$B$1006,$B528)</f>
        <v>108.888033</v>
      </c>
      <c r="I528" s="10" t="n">
        <f aca="false">SUMIFS(Data!$N$2:$N$1006,Data!$A$2:$A$1006,$A528,Data!$B$2:$B$1006,$B528)</f>
        <v>317.80463</v>
      </c>
      <c r="J528" s="10" t="n">
        <f aca="false">SUMIFS(Data!$H$2:$H$1006,Data!$A$2:$A$1006,$A528,Data!$B$2:$B$1006,$B528)</f>
        <v>385.984966</v>
      </c>
      <c r="K528" s="11" t="n">
        <f aca="false">IFERROR(F528*1000000/$E528,"")</f>
        <v>156.131630139415</v>
      </c>
      <c r="L528" s="11" t="n">
        <f aca="false">IFERROR(G528*1000000/$E528,"")</f>
        <v>106.573600033197</v>
      </c>
      <c r="M528" s="11" t="n">
        <f aca="false">IFERROR(H528*1000000/$E528,"")</f>
        <v>136.922849515436</v>
      </c>
      <c r="N528" s="11" t="n">
        <f aca="false">IFERROR(I528*1000000/$E528,"")</f>
        <v>399.628079688048</v>
      </c>
      <c r="O528" s="11" t="n">
        <f aca="false">IFERROR(J528*1000000/$E528,"")</f>
        <v>485.362440286149</v>
      </c>
      <c r="P528" s="16" t="n">
        <f aca="false">COUNTIFS($A$4:$A$1008,$A528,$N$4:$N$1008,"&gt;"&amp;N528)+1</f>
        <v>2</v>
      </c>
      <c r="Q528" s="16" t="n">
        <f aca="false">COUNTIFS($A$4:$A$1008,$A528,$O$4:$O$1008,"&gt;"&amp;O528)+1</f>
        <v>1</v>
      </c>
    </row>
    <row r="529" customFormat="false" ht="15" hidden="false" customHeight="false" outlineLevel="0" collapsed="false">
      <c r="A529" s="7" t="n">
        <v>2013</v>
      </c>
      <c r="B529" s="15" t="s">
        <v>133</v>
      </c>
      <c r="C529" s="15" t="s">
        <v>118</v>
      </c>
      <c r="D529" s="15" t="s">
        <v>105</v>
      </c>
      <c r="E529" s="9" t="n">
        <f aca="false">SUMIFS(Data!$L$2:$L$1006,Data!$A$2:$A$1006,$A529,Data!$B$2:$B$1006,$B529)</f>
        <v>2194066</v>
      </c>
      <c r="F529" s="10" t="n">
        <f aca="false">SUMIFS(Data!$E$2:$E$1006,Data!$A$2:$A$1006,$A529,Data!$B$2:$B$1006,$B529)</f>
        <v>161.707275</v>
      </c>
      <c r="G529" s="10" t="n">
        <f aca="false">SUMIFS(Data!$F$2:$F$1006,Data!$A$2:$A$1006,$A529,Data!$B$2:$B$1006,$B529)</f>
        <v>510.747312</v>
      </c>
      <c r="H529" s="10" t="n">
        <f aca="false">SUMIFS(Data!$G$2:$G$1006,Data!$A$2:$A$1006,$A529,Data!$B$2:$B$1006,$B529)</f>
        <v>168.085332</v>
      </c>
      <c r="I529" s="10" t="n">
        <f aca="false">SUMIFS(Data!$N$2:$N$1006,Data!$A$2:$A$1006,$A529,Data!$B$2:$B$1006,$B529)</f>
        <v>840.539919</v>
      </c>
      <c r="J529" s="10" t="n">
        <f aca="false">SUMIFS(Data!$H$2:$H$1006,Data!$A$2:$A$1006,$A529,Data!$B$2:$B$1006,$B529)</f>
        <v>367.724915</v>
      </c>
      <c r="K529" s="11" t="n">
        <f aca="false">IFERROR(F529*1000000/$E529,"")</f>
        <v>73.702101486464</v>
      </c>
      <c r="L529" s="11" t="n">
        <f aca="false">IFERROR(G529*1000000/$E529,"")</f>
        <v>232.785755761221</v>
      </c>
      <c r="M529" s="11" t="n">
        <f aca="false">IFERROR(H529*1000000/$E529,"")</f>
        <v>76.6090591623042</v>
      </c>
      <c r="N529" s="11" t="n">
        <f aca="false">IFERROR(I529*1000000/$E529,"")</f>
        <v>383.09691640999</v>
      </c>
      <c r="O529" s="11" t="n">
        <f aca="false">IFERROR(J529*1000000/$E529,"")</f>
        <v>167.599750873492</v>
      </c>
      <c r="P529" s="16" t="n">
        <f aca="false">COUNTIFS($A$4:$A$1008,$A529,$N$4:$N$1008,"&gt;"&amp;N529)+1</f>
        <v>4</v>
      </c>
      <c r="Q529" s="16" t="n">
        <f aca="false">COUNTIFS($A$4:$A$1008,$A529,$O$4:$O$1008,"&gt;"&amp;O529)+1</f>
        <v>16</v>
      </c>
    </row>
    <row r="530" customFormat="false" ht="15" hidden="false" customHeight="false" outlineLevel="0" collapsed="false">
      <c r="A530" s="7" t="n">
        <v>2013</v>
      </c>
      <c r="B530" s="15" t="s">
        <v>134</v>
      </c>
      <c r="C530" s="15" t="s">
        <v>135</v>
      </c>
      <c r="D530" s="15" t="s">
        <v>136</v>
      </c>
      <c r="E530" s="9" t="n">
        <f aca="false">SUMIFS(Data!$L$2:$L$1006,Data!$A$2:$A$1006,$A530,Data!$B$2:$B$1006,$B530)</f>
        <v>144573</v>
      </c>
      <c r="F530" s="10" t="n">
        <f aca="false">SUMIFS(Data!$E$2:$E$1006,Data!$A$2:$A$1006,$A530,Data!$B$2:$B$1006,$B530)</f>
        <v>22.180505</v>
      </c>
      <c r="G530" s="10" t="n">
        <f aca="false">SUMIFS(Data!$F$2:$F$1006,Data!$A$2:$A$1006,$A530,Data!$B$2:$B$1006,$B530)</f>
        <v>19.283112</v>
      </c>
      <c r="H530" s="10" t="n">
        <f aca="false">SUMIFS(Data!$G$2:$G$1006,Data!$A$2:$A$1006,$A530,Data!$B$2:$B$1006,$B530)</f>
        <v>16.518108</v>
      </c>
      <c r="I530" s="10" t="n">
        <f aca="false">SUMIFS(Data!$N$2:$N$1006,Data!$A$2:$A$1006,$A530,Data!$B$2:$B$1006,$B530)</f>
        <v>57.981725</v>
      </c>
      <c r="J530" s="10" t="n">
        <f aca="false">SUMIFS(Data!$H$2:$H$1006,Data!$A$2:$A$1006,$A530,Data!$B$2:$B$1006,$B530)</f>
        <v>21.044532</v>
      </c>
      <c r="K530" s="11" t="n">
        <f aca="false">IFERROR(F530*1000000/$E530,"")</f>
        <v>153.420797797652</v>
      </c>
      <c r="L530" s="11" t="n">
        <f aca="false">IFERROR(G530*1000000/$E530,"")</f>
        <v>133.379759706169</v>
      </c>
      <c r="M530" s="11" t="n">
        <f aca="false">IFERROR(H530*1000000/$E530,"")</f>
        <v>114.254445850885</v>
      </c>
      <c r="N530" s="11" t="n">
        <f aca="false">IFERROR(I530*1000000/$E530,"")</f>
        <v>401.055003354707</v>
      </c>
      <c r="O530" s="11" t="n">
        <f aca="false">IFERROR(J530*1000000/$E530,"")</f>
        <v>145.56336245357</v>
      </c>
      <c r="P530" s="16" t="n">
        <f aca="false">COUNTIFS($A$4:$A$1008,$A530,$N$4:$N$1008,"&gt;"&amp;N530)+1</f>
        <v>1</v>
      </c>
      <c r="Q530" s="16" t="n">
        <f aca="false">COUNTIFS($A$4:$A$1008,$A530,$O$4:$O$1008,"&gt;"&amp;O530)+1</f>
        <v>27</v>
      </c>
    </row>
    <row r="531" customFormat="false" ht="15" hidden="false" customHeight="false" outlineLevel="0" collapsed="false">
      <c r="A531" s="7" t="n">
        <v>2013</v>
      </c>
      <c r="B531" s="15" t="s">
        <v>137</v>
      </c>
      <c r="C531" s="15" t="s">
        <v>135</v>
      </c>
      <c r="D531" s="15" t="s">
        <v>138</v>
      </c>
      <c r="E531" s="9" t="n">
        <f aca="false">SUMIFS(Data!$L$2:$L$1006,Data!$A$2:$A$1006,$A531,Data!$B$2:$B$1006,$B531)</f>
        <v>1790148</v>
      </c>
      <c r="F531" s="10" t="n">
        <f aca="false">SUMIFS(Data!$E$2:$E$1006,Data!$A$2:$A$1006,$A531,Data!$B$2:$B$1006,$B531)</f>
        <v>203.882247</v>
      </c>
      <c r="G531" s="10" t="n">
        <f aca="false">SUMIFS(Data!$F$2:$F$1006,Data!$A$2:$A$1006,$A531,Data!$B$2:$B$1006,$B531)</f>
        <v>165.646433</v>
      </c>
      <c r="H531" s="10" t="n">
        <f aca="false">SUMIFS(Data!$G$2:$G$1006,Data!$A$2:$A$1006,$A531,Data!$B$2:$B$1006,$B531)</f>
        <v>179.403454</v>
      </c>
      <c r="I531" s="10" t="n">
        <f aca="false">SUMIFS(Data!$N$2:$N$1006,Data!$A$2:$A$1006,$A531,Data!$B$2:$B$1006,$B531)</f>
        <v>548.932134</v>
      </c>
      <c r="J531" s="10" t="n">
        <f aca="false">SUMIFS(Data!$H$2:$H$1006,Data!$A$2:$A$1006,$A531,Data!$B$2:$B$1006,$B531)</f>
        <v>350.005473</v>
      </c>
      <c r="K531" s="11" t="n">
        <f aca="false">IFERROR(F531*1000000/$E531,"")</f>
        <v>113.891279938865</v>
      </c>
      <c r="L531" s="11" t="n">
        <f aca="false">IFERROR(G531*1000000/$E531,"")</f>
        <v>92.532255992242</v>
      </c>
      <c r="M531" s="11" t="n">
        <f aca="false">IFERROR(H531*1000000/$E531,"")</f>
        <v>100.217107188903</v>
      </c>
      <c r="N531" s="11" t="n">
        <f aca="false">IFERROR(I531*1000000/$E531,"")</f>
        <v>306.64064312001</v>
      </c>
      <c r="O531" s="11" t="n">
        <f aca="false">IFERROR(J531*1000000/$E531,"")</f>
        <v>195.517618096381</v>
      </c>
      <c r="P531" s="16" t="n">
        <f aca="false">COUNTIFS($A$4:$A$1008,$A531,$N$4:$N$1008,"&gt;"&amp;N531)+1</f>
        <v>15</v>
      </c>
      <c r="Q531" s="16" t="n">
        <f aca="false">COUNTIFS($A$4:$A$1008,$A531,$O$4:$O$1008,"&gt;"&amp;O531)+1</f>
        <v>11</v>
      </c>
    </row>
    <row r="532" customFormat="false" ht="15" hidden="false" customHeight="false" outlineLevel="0" collapsed="false">
      <c r="A532" s="7" t="n">
        <v>2013</v>
      </c>
      <c r="B532" s="15" t="s">
        <v>139</v>
      </c>
      <c r="C532" s="15" t="s">
        <v>135</v>
      </c>
      <c r="D532" s="15" t="s">
        <v>138</v>
      </c>
      <c r="E532" s="9" t="n">
        <f aca="false">SUMIFS(Data!$L$2:$L$1006,Data!$A$2:$A$1006,$A532,Data!$B$2:$B$1006,$B532)</f>
        <v>2134161</v>
      </c>
      <c r="F532" s="10" t="n">
        <f aca="false">SUMIFS(Data!$E$2:$E$1006,Data!$A$2:$A$1006,$A532,Data!$B$2:$B$1006,$B532)</f>
        <v>308.569267</v>
      </c>
      <c r="G532" s="10" t="n">
        <f aca="false">SUMIFS(Data!$F$2:$F$1006,Data!$A$2:$A$1006,$A532,Data!$B$2:$B$1006,$B532)</f>
        <v>226.991593</v>
      </c>
      <c r="H532" s="10" t="n">
        <f aca="false">SUMIFS(Data!$G$2:$G$1006,Data!$A$2:$A$1006,$A532,Data!$B$2:$B$1006,$B532)</f>
        <v>256.560178</v>
      </c>
      <c r="I532" s="10" t="n">
        <f aca="false">SUMIFS(Data!$N$2:$N$1006,Data!$A$2:$A$1006,$A532,Data!$B$2:$B$1006,$B532)</f>
        <v>792.121038</v>
      </c>
      <c r="J532" s="10" t="n">
        <f aca="false">SUMIFS(Data!$H$2:$H$1006,Data!$A$2:$A$1006,$A532,Data!$B$2:$B$1006,$B532)</f>
        <v>314.418484</v>
      </c>
      <c r="K532" s="11" t="n">
        <f aca="false">IFERROR(F532*1000000/$E532,"")</f>
        <v>144.585749153883</v>
      </c>
      <c r="L532" s="11" t="n">
        <f aca="false">IFERROR(G532*1000000/$E532,"")</f>
        <v>106.361044457283</v>
      </c>
      <c r="M532" s="11" t="n">
        <f aca="false">IFERROR(H532*1000000/$E532,"")</f>
        <v>120.215943408206</v>
      </c>
      <c r="N532" s="11" t="n">
        <f aca="false">IFERROR(I532*1000000/$E532,"")</f>
        <v>371.162737019372</v>
      </c>
      <c r="O532" s="11" t="n">
        <f aca="false">IFERROR(J532*1000000/$E532,"")</f>
        <v>147.326506294511</v>
      </c>
      <c r="P532" s="16" t="n">
        <f aca="false">COUNTIFS($A$4:$A$1008,$A532,$N$4:$N$1008,"&gt;"&amp;N532)+1</f>
        <v>6</v>
      </c>
      <c r="Q532" s="16" t="n">
        <f aca="false">COUNTIFS($A$4:$A$1008,$A532,$O$4:$O$1008,"&gt;"&amp;O532)+1</f>
        <v>26</v>
      </c>
    </row>
    <row r="533" customFormat="false" ht="15" hidden="false" customHeight="false" outlineLevel="0" collapsed="false">
      <c r="A533" s="7" t="n">
        <v>2013</v>
      </c>
      <c r="B533" s="15" t="s">
        <v>140</v>
      </c>
      <c r="C533" s="15" t="s">
        <v>135</v>
      </c>
      <c r="D533" s="15" t="s">
        <v>141</v>
      </c>
      <c r="E533" s="9" t="n">
        <f aca="false">SUMIFS(Data!$L$2:$L$1006,Data!$A$2:$A$1006,$A533,Data!$B$2:$B$1006,$B533)</f>
        <v>792756</v>
      </c>
      <c r="F533" s="10" t="n">
        <f aca="false">SUMIFS(Data!$E$2:$E$1006,Data!$A$2:$A$1006,$A533,Data!$B$2:$B$1006,$B533)</f>
        <v>78.964778</v>
      </c>
      <c r="G533" s="10" t="n">
        <f aca="false">SUMIFS(Data!$F$2:$F$1006,Data!$A$2:$A$1006,$A533,Data!$B$2:$B$1006,$B533)</f>
        <v>50.389504</v>
      </c>
      <c r="H533" s="10" t="n">
        <f aca="false">SUMIFS(Data!$G$2:$G$1006,Data!$A$2:$A$1006,$A533,Data!$B$2:$B$1006,$B533)</f>
        <v>72.016507</v>
      </c>
      <c r="I533" s="10" t="n">
        <f aca="false">SUMIFS(Data!$N$2:$N$1006,Data!$A$2:$A$1006,$A533,Data!$B$2:$B$1006,$B533)</f>
        <v>201.370789</v>
      </c>
      <c r="J533" s="10" t="n">
        <f aca="false">SUMIFS(Data!$H$2:$H$1006,Data!$A$2:$A$1006,$A533,Data!$B$2:$B$1006,$B533)</f>
        <v>114.686513</v>
      </c>
      <c r="K533" s="11" t="n">
        <f aca="false">IFERROR(F533*1000000/$E533,"")</f>
        <v>99.6079222358456</v>
      </c>
      <c r="L533" s="11" t="n">
        <f aca="false">IFERROR(G533*1000000/$E533,"")</f>
        <v>63.5624378749577</v>
      </c>
      <c r="M533" s="11" t="n">
        <f aca="false">IFERROR(H533*1000000/$E533,"")</f>
        <v>90.8432190989409</v>
      </c>
      <c r="N533" s="11" t="n">
        <f aca="false">IFERROR(I533*1000000/$E533,"")</f>
        <v>254.013579209744</v>
      </c>
      <c r="O533" s="11" t="n">
        <f aca="false">IFERROR(J533*1000000/$E533,"")</f>
        <v>144.66811099506</v>
      </c>
      <c r="P533" s="16" t="n">
        <f aca="false">COUNTIFS($A$4:$A$1008,$A533,$N$4:$N$1008,"&gt;"&amp;N533)+1</f>
        <v>26</v>
      </c>
      <c r="Q533" s="16" t="n">
        <f aca="false">COUNTIFS($A$4:$A$1008,$A533,$O$4:$O$1008,"&gt;"&amp;O533)+1</f>
        <v>29</v>
      </c>
    </row>
    <row r="534" customFormat="false" ht="15" hidden="false" customHeight="false" outlineLevel="0" collapsed="false">
      <c r="A534" s="7" t="n">
        <v>2013</v>
      </c>
      <c r="B534" s="15" t="s">
        <v>142</v>
      </c>
      <c r="C534" s="15" t="s">
        <v>135</v>
      </c>
      <c r="D534" s="15" t="s">
        <v>143</v>
      </c>
      <c r="E534" s="9" t="n">
        <f aca="false">SUMIFS(Data!$L$2:$L$1006,Data!$A$2:$A$1006,$A534,Data!$B$2:$B$1006,$B534)</f>
        <v>585386</v>
      </c>
      <c r="F534" s="10" t="n">
        <f aca="false">SUMIFS(Data!$E$2:$E$1006,Data!$A$2:$A$1006,$A534,Data!$B$2:$B$1006,$B534)</f>
        <v>55.466714</v>
      </c>
      <c r="G534" s="10" t="n">
        <f aca="false">SUMIFS(Data!$F$2:$F$1006,Data!$A$2:$A$1006,$A534,Data!$B$2:$B$1006,$B534)</f>
        <v>46.927112</v>
      </c>
      <c r="H534" s="10" t="n">
        <f aca="false">SUMIFS(Data!$G$2:$G$1006,Data!$A$2:$A$1006,$A534,Data!$B$2:$B$1006,$B534)</f>
        <v>45.237596</v>
      </c>
      <c r="I534" s="10" t="n">
        <f aca="false">SUMIFS(Data!$N$2:$N$1006,Data!$A$2:$A$1006,$A534,Data!$B$2:$B$1006,$B534)</f>
        <v>147.631422</v>
      </c>
      <c r="J534" s="10" t="n">
        <f aca="false">SUMIFS(Data!$H$2:$H$1006,Data!$A$2:$A$1006,$A534,Data!$B$2:$B$1006,$B534)</f>
        <v>91.757723</v>
      </c>
      <c r="K534" s="11" t="n">
        <f aca="false">IFERROR(F534*1000000/$E534,"")</f>
        <v>94.7523753557482</v>
      </c>
      <c r="L534" s="11" t="n">
        <f aca="false">IFERROR(G534*1000000/$E534,"")</f>
        <v>80.1643906755542</v>
      </c>
      <c r="M534" s="11" t="n">
        <f aca="false">IFERROR(H534*1000000/$E534,"")</f>
        <v>77.2782335074635</v>
      </c>
      <c r="N534" s="11" t="n">
        <f aca="false">IFERROR(I534*1000000/$E534,"")</f>
        <v>252.194999538766</v>
      </c>
      <c r="O534" s="11" t="n">
        <f aca="false">IFERROR(J534*1000000/$E534,"")</f>
        <v>156.747382069267</v>
      </c>
      <c r="P534" s="16" t="n">
        <f aca="false">COUNTIFS($A$4:$A$1008,$A534,$N$4:$N$1008,"&gt;"&amp;N534)+1</f>
        <v>28</v>
      </c>
      <c r="Q534" s="16" t="n">
        <f aca="false">COUNTIFS($A$4:$A$1008,$A534,$O$4:$O$1008,"&gt;"&amp;O534)+1</f>
        <v>20</v>
      </c>
    </row>
    <row r="535" customFormat="false" ht="15" hidden="false" customHeight="false" outlineLevel="0" collapsed="false">
      <c r="A535" s="7" t="n">
        <v>2013</v>
      </c>
      <c r="B535" s="15" t="s">
        <v>144</v>
      </c>
      <c r="C535" s="15" t="s">
        <v>135</v>
      </c>
      <c r="D535" s="15" t="s">
        <v>141</v>
      </c>
      <c r="E535" s="9" t="n">
        <f aca="false">SUMIFS(Data!$L$2:$L$1006,Data!$A$2:$A$1006,$A535,Data!$B$2:$B$1006,$B535)</f>
        <v>474121</v>
      </c>
      <c r="F535" s="10" t="n">
        <f aca="false">SUMIFS(Data!$E$2:$E$1006,Data!$A$2:$A$1006,$A535,Data!$B$2:$B$1006,$B535)</f>
        <v>36.906693</v>
      </c>
      <c r="G535" s="10" t="n">
        <f aca="false">SUMIFS(Data!$F$2:$F$1006,Data!$A$2:$A$1006,$A535,Data!$B$2:$B$1006,$B535)</f>
        <v>22.326185</v>
      </c>
      <c r="H535" s="10" t="n">
        <f aca="false">SUMIFS(Data!$G$2:$G$1006,Data!$A$2:$A$1006,$A535,Data!$B$2:$B$1006,$B535)</f>
        <v>64.506423</v>
      </c>
      <c r="I535" s="10" t="n">
        <f aca="false">SUMIFS(Data!$N$2:$N$1006,Data!$A$2:$A$1006,$A535,Data!$B$2:$B$1006,$B535)</f>
        <v>123.739301</v>
      </c>
      <c r="J535" s="10" t="n">
        <f aca="false">SUMIFS(Data!$H$2:$H$1006,Data!$A$2:$A$1006,$A535,Data!$B$2:$B$1006,$B535)</f>
        <v>42.49018</v>
      </c>
      <c r="K535" s="11" t="n">
        <f aca="false">IFERROR(F535*1000000/$E535,"")</f>
        <v>77.8423503704751</v>
      </c>
      <c r="L535" s="11" t="n">
        <f aca="false">IFERROR(G535*1000000/$E535,"")</f>
        <v>47.0896353462513</v>
      </c>
      <c r="M535" s="11" t="n">
        <f aca="false">IFERROR(H535*1000000/$E535,"")</f>
        <v>136.054768719378</v>
      </c>
      <c r="N535" s="11" t="n">
        <f aca="false">IFERROR(I535*1000000/$E535,"")</f>
        <v>260.986754436104</v>
      </c>
      <c r="O535" s="11" t="n">
        <f aca="false">IFERROR(J535*1000000/$E535,"")</f>
        <v>89.61885257139</v>
      </c>
      <c r="P535" s="16" t="n">
        <f aca="false">COUNTIFS($A$4:$A$1008,$A535,$N$4:$N$1008,"&gt;"&amp;N535)+1</f>
        <v>24</v>
      </c>
      <c r="Q535" s="16" t="n">
        <f aca="false">COUNTIFS($A$4:$A$1008,$A535,$O$4:$O$1008,"&gt;"&amp;O535)+1</f>
        <v>37</v>
      </c>
    </row>
    <row r="536" customFormat="false" ht="15" hidden="false" customHeight="false" outlineLevel="0" collapsed="false">
      <c r="A536" s="7" t="n">
        <v>2013</v>
      </c>
      <c r="B536" s="15" t="s">
        <v>145</v>
      </c>
      <c r="C536" s="15" t="s">
        <v>135</v>
      </c>
      <c r="D536" s="15" t="s">
        <v>146</v>
      </c>
      <c r="E536" s="9" t="n">
        <f aca="false">SUMIFS(Data!$L$2:$L$1006,Data!$A$2:$A$1006,$A536,Data!$B$2:$B$1006,$B536)</f>
        <v>528847</v>
      </c>
      <c r="F536" s="10" t="n">
        <f aca="false">SUMIFS(Data!$E$2:$E$1006,Data!$A$2:$A$1006,$A536,Data!$B$2:$B$1006,$B536)</f>
        <v>32.277331</v>
      </c>
      <c r="G536" s="10" t="n">
        <f aca="false">SUMIFS(Data!$F$2:$F$1006,Data!$A$2:$A$1006,$A536,Data!$B$2:$B$1006,$B536)</f>
        <v>61.510517</v>
      </c>
      <c r="H536" s="10" t="n">
        <f aca="false">SUMIFS(Data!$G$2:$G$1006,Data!$A$2:$A$1006,$A536,Data!$B$2:$B$1006,$B536)</f>
        <v>54.432175</v>
      </c>
      <c r="I536" s="10" t="n">
        <f aca="false">SUMIFS(Data!$N$2:$N$1006,Data!$A$2:$A$1006,$A536,Data!$B$2:$B$1006,$B536)</f>
        <v>148.220023</v>
      </c>
      <c r="J536" s="10" t="n">
        <f aca="false">SUMIFS(Data!$H$2:$H$1006,Data!$A$2:$A$1006,$A536,Data!$B$2:$B$1006,$B536)</f>
        <v>126.319995</v>
      </c>
      <c r="K536" s="11" t="n">
        <f aca="false">IFERROR(F536*1000000/$E536,"")</f>
        <v>61.0334009647403</v>
      </c>
      <c r="L536" s="11" t="n">
        <f aca="false">IFERROR(G536*1000000/$E536,"")</f>
        <v>116.310609684843</v>
      </c>
      <c r="M536" s="11" t="n">
        <f aca="false">IFERROR(H536*1000000/$E536,"")</f>
        <v>102.926129863647</v>
      </c>
      <c r="N536" s="11" t="n">
        <f aca="false">IFERROR(I536*1000000/$E536,"")</f>
        <v>280.27014051323</v>
      </c>
      <c r="O536" s="11" t="n">
        <f aca="false">IFERROR(J536*1000000/$E536,"")</f>
        <v>238.859244734299</v>
      </c>
      <c r="P536" s="16" t="n">
        <f aca="false">COUNTIFS($A$4:$A$1008,$A536,$N$4:$N$1008,"&gt;"&amp;N536)+1</f>
        <v>19</v>
      </c>
      <c r="Q536" s="16" t="n">
        <f aca="false">COUNTIFS($A$4:$A$1008,$A536,$O$4:$O$1008,"&gt;"&amp;O536)+1</f>
        <v>6</v>
      </c>
    </row>
    <row r="537" customFormat="false" ht="15" hidden="false" customHeight="false" outlineLevel="0" collapsed="false">
      <c r="A537" s="7" t="n">
        <v>2013</v>
      </c>
      <c r="B537" s="15" t="s">
        <v>147</v>
      </c>
      <c r="C537" s="15" t="s">
        <v>135</v>
      </c>
      <c r="D537" s="15" t="s">
        <v>148</v>
      </c>
      <c r="E537" s="9" t="n">
        <f aca="false">SUMIFS(Data!$L$2:$L$1006,Data!$A$2:$A$1006,$A537,Data!$B$2:$B$1006,$B537)</f>
        <v>143360</v>
      </c>
      <c r="F537" s="10" t="n">
        <f aca="false">SUMIFS(Data!$E$2:$E$1006,Data!$A$2:$A$1006,$A537,Data!$B$2:$B$1006,$B537)</f>
        <v>14.756237</v>
      </c>
      <c r="G537" s="10" t="n">
        <f aca="false">SUMIFS(Data!$F$2:$F$1006,Data!$A$2:$A$1006,$A537,Data!$B$2:$B$1006,$B537)</f>
        <v>15.509132</v>
      </c>
      <c r="H537" s="10" t="n">
        <f aca="false">SUMIFS(Data!$G$2:$G$1006,Data!$A$2:$A$1006,$A537,Data!$B$2:$B$1006,$B537)</f>
        <v>11.893896</v>
      </c>
      <c r="I537" s="10" t="n">
        <f aca="false">SUMIFS(Data!$N$2:$N$1006,Data!$A$2:$A$1006,$A537,Data!$B$2:$B$1006,$B537)</f>
        <v>42.159265</v>
      </c>
      <c r="J537" s="10" t="n">
        <f aca="false">SUMIFS(Data!$H$2:$H$1006,Data!$A$2:$A$1006,$A537,Data!$B$2:$B$1006,$B537)</f>
        <v>41.568887</v>
      </c>
      <c r="K537" s="11" t="n">
        <f aca="false">IFERROR(F537*1000000/$E537,"")</f>
        <v>102.931340680804</v>
      </c>
      <c r="L537" s="11" t="n">
        <f aca="false">IFERROR(G537*1000000/$E537,"")</f>
        <v>108.183119419643</v>
      </c>
      <c r="M537" s="11" t="n">
        <f aca="false">IFERROR(H537*1000000/$E537,"")</f>
        <v>82.965234375</v>
      </c>
      <c r="N537" s="11" t="n">
        <f aca="false">IFERROR(I537*1000000/$E537,"")</f>
        <v>294.079694475446</v>
      </c>
      <c r="O537" s="11" t="n">
        <f aca="false">IFERROR(J537*1000000/$E537,"")</f>
        <v>289.961544363839</v>
      </c>
      <c r="P537" s="16" t="n">
        <f aca="false">COUNTIFS($A$4:$A$1008,$A537,$N$4:$N$1008,"&gt;"&amp;N537)+1</f>
        <v>17</v>
      </c>
      <c r="Q537" s="16" t="n">
        <f aca="false">COUNTIFS($A$4:$A$1008,$A537,$O$4:$O$1008,"&gt;"&amp;O537)+1</f>
        <v>4</v>
      </c>
    </row>
    <row r="538" customFormat="false" ht="15" hidden="false" customHeight="false" outlineLevel="0" collapsed="false">
      <c r="A538" s="7" t="n">
        <v>2013</v>
      </c>
      <c r="B538" s="15" t="s">
        <v>149</v>
      </c>
      <c r="C538" s="15" t="s">
        <v>135</v>
      </c>
      <c r="D538" s="15" t="s">
        <v>146</v>
      </c>
      <c r="E538" s="9" t="n">
        <f aca="false">SUMIFS(Data!$L$2:$L$1006,Data!$A$2:$A$1006,$A538,Data!$B$2:$B$1006,$B538)</f>
        <v>739377</v>
      </c>
      <c r="F538" s="10" t="n">
        <f aca="false">SUMIFS(Data!$E$2:$E$1006,Data!$A$2:$A$1006,$A538,Data!$B$2:$B$1006,$B538)</f>
        <v>92.11616</v>
      </c>
      <c r="G538" s="10" t="n">
        <f aca="false">SUMIFS(Data!$F$2:$F$1006,Data!$A$2:$A$1006,$A538,Data!$B$2:$B$1006,$B538)</f>
        <v>83.685145</v>
      </c>
      <c r="H538" s="10" t="n">
        <f aca="false">SUMIFS(Data!$G$2:$G$1006,Data!$A$2:$A$1006,$A538,Data!$B$2:$B$1006,$B538)</f>
        <v>58.178006</v>
      </c>
      <c r="I538" s="10" t="n">
        <f aca="false">SUMIFS(Data!$N$2:$N$1006,Data!$A$2:$A$1006,$A538,Data!$B$2:$B$1006,$B538)</f>
        <v>233.979311</v>
      </c>
      <c r="J538" s="10" t="n">
        <f aca="false">SUMIFS(Data!$H$2:$H$1006,Data!$A$2:$A$1006,$A538,Data!$B$2:$B$1006,$B538)</f>
        <v>122.562541</v>
      </c>
      <c r="K538" s="11" t="n">
        <f aca="false">IFERROR(F538*1000000/$E538,"")</f>
        <v>124.586185396624</v>
      </c>
      <c r="L538" s="11" t="n">
        <f aca="false">IFERROR(G538*1000000/$E538,"")</f>
        <v>113.183321904793</v>
      </c>
      <c r="M538" s="11" t="n">
        <f aca="false">IFERROR(H538*1000000/$E538,"")</f>
        <v>78.6851714348702</v>
      </c>
      <c r="N538" s="11" t="n">
        <f aca="false">IFERROR(I538*1000000/$E538,"")</f>
        <v>316.454678736287</v>
      </c>
      <c r="O538" s="11" t="n">
        <f aca="false">IFERROR(J538*1000000/$E538,"")</f>
        <v>165.764611287611</v>
      </c>
      <c r="P538" s="16" t="n">
        <f aca="false">COUNTIFS($A$4:$A$1008,$A538,$N$4:$N$1008,"&gt;"&amp;N538)+1</f>
        <v>12</v>
      </c>
      <c r="Q538" s="16" t="n">
        <f aca="false">COUNTIFS($A$4:$A$1008,$A538,$O$4:$O$1008,"&gt;"&amp;O538)+1</f>
        <v>17</v>
      </c>
    </row>
    <row r="539" customFormat="false" ht="15" hidden="false" customHeight="false" outlineLevel="0" collapsed="false">
      <c r="A539" s="7" t="n">
        <v>2013</v>
      </c>
      <c r="B539" s="15" t="s">
        <v>150</v>
      </c>
      <c r="C539" s="15" t="s">
        <v>135</v>
      </c>
      <c r="D539" s="15" t="s">
        <v>141</v>
      </c>
      <c r="E539" s="9" t="n">
        <f aca="false">SUMIFS(Data!$L$2:$L$1006,Data!$A$2:$A$1006,$A539,Data!$B$2:$B$1006,$B539)</f>
        <v>458743</v>
      </c>
      <c r="F539" s="10" t="n">
        <f aca="false">SUMIFS(Data!$E$2:$E$1006,Data!$A$2:$A$1006,$A539,Data!$B$2:$B$1006,$B539)</f>
        <v>48.247343</v>
      </c>
      <c r="G539" s="10" t="n">
        <f aca="false">SUMIFS(Data!$F$2:$F$1006,Data!$A$2:$A$1006,$A539,Data!$B$2:$B$1006,$B539)</f>
        <v>21.69317</v>
      </c>
      <c r="H539" s="10" t="n">
        <f aca="false">SUMIFS(Data!$G$2:$G$1006,Data!$A$2:$A$1006,$A539,Data!$B$2:$B$1006,$B539)</f>
        <v>42.249368</v>
      </c>
      <c r="I539" s="10" t="n">
        <f aca="false">SUMIFS(Data!$N$2:$N$1006,Data!$A$2:$A$1006,$A539,Data!$B$2:$B$1006,$B539)</f>
        <v>112.189881</v>
      </c>
      <c r="J539" s="10" t="n">
        <f aca="false">SUMIFS(Data!$H$2:$H$1006,Data!$A$2:$A$1006,$A539,Data!$B$2:$B$1006,$B539)</f>
        <v>71.714578</v>
      </c>
      <c r="K539" s="11" t="n">
        <f aca="false">IFERROR(F539*1000000/$E539,"")</f>
        <v>105.172924709478</v>
      </c>
      <c r="L539" s="11" t="n">
        <f aca="false">IFERROR(G539*1000000/$E539,"")</f>
        <v>47.2882855978184</v>
      </c>
      <c r="M539" s="11" t="n">
        <f aca="false">IFERROR(H539*1000000/$E539,"")</f>
        <v>92.0981202982934</v>
      </c>
      <c r="N539" s="11" t="n">
        <f aca="false">IFERROR(I539*1000000/$E539,"")</f>
        <v>244.55933060559</v>
      </c>
      <c r="O539" s="11" t="n">
        <f aca="false">IFERROR(J539*1000000/$E539,"")</f>
        <v>156.328440978936</v>
      </c>
      <c r="P539" s="16" t="n">
        <f aca="false">COUNTIFS($A$4:$A$1008,$A539,$N$4:$N$1008,"&gt;"&amp;N539)+1</f>
        <v>31</v>
      </c>
      <c r="Q539" s="16" t="n">
        <f aca="false">COUNTIFS($A$4:$A$1008,$A539,$O$4:$O$1008,"&gt;"&amp;O539)+1</f>
        <v>21</v>
      </c>
    </row>
    <row r="540" customFormat="false" ht="15" hidden="false" customHeight="false" outlineLevel="0" collapsed="false">
      <c r="A540" s="7" t="n">
        <v>2013</v>
      </c>
      <c r="B540" s="15" t="s">
        <v>151</v>
      </c>
      <c r="C540" s="15" t="s">
        <v>135</v>
      </c>
      <c r="D540" s="15" t="s">
        <v>136</v>
      </c>
      <c r="E540" s="9" t="n">
        <f aca="false">SUMIFS(Data!$L$2:$L$1006,Data!$A$2:$A$1006,$A540,Data!$B$2:$B$1006,$B540)</f>
        <v>1417543</v>
      </c>
      <c r="F540" s="10" t="n">
        <f aca="false">SUMIFS(Data!$E$2:$E$1006,Data!$A$2:$A$1006,$A540,Data!$B$2:$B$1006,$B540)</f>
        <v>121.107048</v>
      </c>
      <c r="G540" s="10" t="n">
        <f aca="false">SUMIFS(Data!$F$2:$F$1006,Data!$A$2:$A$1006,$A540,Data!$B$2:$B$1006,$B540)</f>
        <v>139.916594</v>
      </c>
      <c r="H540" s="10" t="n">
        <f aca="false">SUMIFS(Data!$G$2:$G$1006,Data!$A$2:$A$1006,$A540,Data!$B$2:$B$1006,$B540)</f>
        <v>93.93125</v>
      </c>
      <c r="I540" s="10" t="n">
        <f aca="false">SUMIFS(Data!$N$2:$N$1006,Data!$A$2:$A$1006,$A540,Data!$B$2:$B$1006,$B540)</f>
        <v>354.954892</v>
      </c>
      <c r="J540" s="10" t="n">
        <f aca="false">SUMIFS(Data!$H$2:$H$1006,Data!$A$2:$A$1006,$A540,Data!$B$2:$B$1006,$B540)</f>
        <v>171.685577</v>
      </c>
      <c r="K540" s="11" t="n">
        <f aca="false">IFERROR(F540*1000000/$E540,"")</f>
        <v>85.434479236256</v>
      </c>
      <c r="L540" s="11" t="n">
        <f aca="false">IFERROR(G540*1000000/$E540,"")</f>
        <v>98.7035977039145</v>
      </c>
      <c r="M540" s="11" t="n">
        <f aca="false">IFERROR(H540*1000000/$E540,"")</f>
        <v>66.2634219914317</v>
      </c>
      <c r="N540" s="11" t="n">
        <f aca="false">IFERROR(I540*1000000/$E540,"")</f>
        <v>250.401498931602</v>
      </c>
      <c r="O540" s="11" t="n">
        <f aca="false">IFERROR(J540*1000000/$E540,"")</f>
        <v>121.114898807303</v>
      </c>
      <c r="P540" s="16" t="n">
        <f aca="false">COUNTIFS($A$4:$A$1008,$A540,$N$4:$N$1008,"&gt;"&amp;N540)+1</f>
        <v>29</v>
      </c>
      <c r="Q540" s="16" t="n">
        <f aca="false">COUNTIFS($A$4:$A$1008,$A540,$O$4:$O$1008,"&gt;"&amp;O540)+1</f>
        <v>34</v>
      </c>
    </row>
    <row r="541" customFormat="false" ht="15" hidden="false" customHeight="false" outlineLevel="0" collapsed="false">
      <c r="A541" s="7" t="n">
        <v>2013</v>
      </c>
      <c r="B541" s="15" t="s">
        <v>152</v>
      </c>
      <c r="C541" s="15" t="s">
        <v>135</v>
      </c>
      <c r="D541" s="15" t="s">
        <v>148</v>
      </c>
      <c r="E541" s="9" t="n">
        <f aca="false">SUMIFS(Data!$L$2:$L$1006,Data!$A$2:$A$1006,$A541,Data!$B$2:$B$1006,$B541)</f>
        <v>253021</v>
      </c>
      <c r="F541" s="10" t="n">
        <f aca="false">SUMIFS(Data!$E$2:$E$1006,Data!$A$2:$A$1006,$A541,Data!$B$2:$B$1006,$B541)</f>
        <v>25.725435</v>
      </c>
      <c r="G541" s="10" t="n">
        <f aca="false">SUMIFS(Data!$F$2:$F$1006,Data!$A$2:$A$1006,$A541,Data!$B$2:$B$1006,$B541)</f>
        <v>20.585896</v>
      </c>
      <c r="H541" s="10" t="n">
        <f aca="false">SUMIFS(Data!$G$2:$G$1006,Data!$A$2:$A$1006,$A541,Data!$B$2:$B$1006,$B541)</f>
        <v>25.411269</v>
      </c>
      <c r="I541" s="10" t="n">
        <f aca="false">SUMIFS(Data!$N$2:$N$1006,Data!$A$2:$A$1006,$A541,Data!$B$2:$B$1006,$B541)</f>
        <v>71.7226</v>
      </c>
      <c r="J541" s="10" t="n">
        <f aca="false">SUMIFS(Data!$H$2:$H$1006,Data!$A$2:$A$1006,$A541,Data!$B$2:$B$1006,$B541)</f>
        <v>37.741146</v>
      </c>
      <c r="K541" s="11" t="n">
        <f aca="false">IFERROR(F541*1000000/$E541,"")</f>
        <v>101.673121993827</v>
      </c>
      <c r="L541" s="11" t="n">
        <f aca="false">IFERROR(G541*1000000/$E541,"")</f>
        <v>81.3604246287858</v>
      </c>
      <c r="M541" s="11" t="n">
        <f aca="false">IFERROR(H541*1000000/$E541,"")</f>
        <v>100.431462210647</v>
      </c>
      <c r="N541" s="11" t="n">
        <f aca="false">IFERROR(I541*1000000/$E541,"")</f>
        <v>283.465008833259</v>
      </c>
      <c r="O541" s="11" t="n">
        <f aca="false">IFERROR(J541*1000000/$E541,"")</f>
        <v>149.16210907395</v>
      </c>
      <c r="P541" s="16" t="n">
        <f aca="false">COUNTIFS($A$4:$A$1008,$A541,$N$4:$N$1008,"&gt;"&amp;N541)+1</f>
        <v>18</v>
      </c>
      <c r="Q541" s="16" t="n">
        <f aca="false">COUNTIFS($A$4:$A$1008,$A541,$O$4:$O$1008,"&gt;"&amp;O541)+1</f>
        <v>24</v>
      </c>
    </row>
    <row r="542" customFormat="false" ht="15" hidden="false" customHeight="false" outlineLevel="0" collapsed="false">
      <c r="A542" s="7" t="n">
        <v>2013</v>
      </c>
      <c r="B542" s="15" t="s">
        <v>153</v>
      </c>
      <c r="C542" s="15" t="s">
        <v>135</v>
      </c>
      <c r="D542" s="15" t="s">
        <v>136</v>
      </c>
      <c r="E542" s="9" t="n">
        <f aca="false">SUMIFS(Data!$L$2:$L$1006,Data!$A$2:$A$1006,$A542,Data!$B$2:$B$1006,$B542)</f>
        <v>129988</v>
      </c>
      <c r="F542" s="10" t="n">
        <f aca="false">SUMIFS(Data!$E$2:$E$1006,Data!$A$2:$A$1006,$A542,Data!$B$2:$B$1006,$B542)</f>
        <v>16.698686</v>
      </c>
      <c r="G542" s="10" t="n">
        <f aca="false">SUMIFS(Data!$F$2:$F$1006,Data!$A$2:$A$1006,$A542,Data!$B$2:$B$1006,$B542)</f>
        <v>21.554055</v>
      </c>
      <c r="H542" s="10" t="n">
        <f aca="false">SUMIFS(Data!$G$2:$G$1006,Data!$A$2:$A$1006,$A542,Data!$B$2:$B$1006,$B542)</f>
        <v>10.942847</v>
      </c>
      <c r="I542" s="10" t="n">
        <f aca="false">SUMIFS(Data!$N$2:$N$1006,Data!$A$2:$A$1006,$A542,Data!$B$2:$B$1006,$B542)</f>
        <v>49.195588</v>
      </c>
      <c r="J542" s="10" t="n">
        <f aca="false">SUMIFS(Data!$H$2:$H$1006,Data!$A$2:$A$1006,$A542,Data!$B$2:$B$1006,$B542)</f>
        <v>18.909867</v>
      </c>
      <c r="K542" s="11" t="n">
        <f aca="false">IFERROR(F542*1000000/$E542,"")</f>
        <v>128.463288918977</v>
      </c>
      <c r="L542" s="11" t="n">
        <f aca="false">IFERROR(G542*1000000/$E542,"")</f>
        <v>165.815729144229</v>
      </c>
      <c r="M542" s="11" t="n">
        <f aca="false">IFERROR(H542*1000000/$E542,"")</f>
        <v>84.1835169400252</v>
      </c>
      <c r="N542" s="11" t="n">
        <f aca="false">IFERROR(I542*1000000/$E542,"")</f>
        <v>378.462535003231</v>
      </c>
      <c r="O542" s="11" t="n">
        <f aca="false">IFERROR(J542*1000000/$E542,"")</f>
        <v>145.473943748654</v>
      </c>
      <c r="P542" s="16" t="n">
        <f aca="false">COUNTIFS($A$4:$A$1008,$A542,$N$4:$N$1008,"&gt;"&amp;N542)+1</f>
        <v>5</v>
      </c>
      <c r="Q542" s="16" t="n">
        <f aca="false">COUNTIFS($A$4:$A$1008,$A542,$O$4:$O$1008,"&gt;"&amp;O542)+1</f>
        <v>28</v>
      </c>
    </row>
    <row r="543" customFormat="false" ht="15" hidden="false" customHeight="false" outlineLevel="0" collapsed="false">
      <c r="A543" s="7" t="n">
        <v>2013</v>
      </c>
      <c r="B543" s="15" t="s">
        <v>154</v>
      </c>
      <c r="C543" s="15" t="s">
        <v>135</v>
      </c>
      <c r="D543" s="15" t="s">
        <v>141</v>
      </c>
      <c r="E543" s="9" t="n">
        <f aca="false">SUMIFS(Data!$L$2:$L$1006,Data!$A$2:$A$1006,$A543,Data!$B$2:$B$1006,$B543)</f>
        <v>146713</v>
      </c>
      <c r="F543" s="10" t="n">
        <f aca="false">SUMIFS(Data!$E$2:$E$1006,Data!$A$2:$A$1006,$A543,Data!$B$2:$B$1006,$B543)</f>
        <v>15.196421</v>
      </c>
      <c r="G543" s="10" t="n">
        <f aca="false">SUMIFS(Data!$F$2:$F$1006,Data!$A$2:$A$1006,$A543,Data!$B$2:$B$1006,$B543)</f>
        <v>7.045966</v>
      </c>
      <c r="H543" s="10" t="n">
        <f aca="false">SUMIFS(Data!$G$2:$G$1006,Data!$A$2:$A$1006,$A543,Data!$B$2:$B$1006,$B543)</f>
        <v>16.887799</v>
      </c>
      <c r="I543" s="10" t="n">
        <f aca="false">SUMIFS(Data!$N$2:$N$1006,Data!$A$2:$A$1006,$A543,Data!$B$2:$B$1006,$B543)</f>
        <v>39.130186</v>
      </c>
      <c r="J543" s="10" t="n">
        <f aca="false">SUMIFS(Data!$H$2:$H$1006,Data!$A$2:$A$1006,$A543,Data!$B$2:$B$1006,$B543)</f>
        <v>22.237849</v>
      </c>
      <c r="K543" s="11" t="n">
        <f aca="false">IFERROR(F543*1000000/$E543,"")</f>
        <v>103.579239740173</v>
      </c>
      <c r="L543" s="11" t="n">
        <f aca="false">IFERROR(G543*1000000/$E543,"")</f>
        <v>48.0255055789194</v>
      </c>
      <c r="M543" s="11" t="n">
        <f aca="false">IFERROR(H543*1000000/$E543,"")</f>
        <v>115.107720515564</v>
      </c>
      <c r="N543" s="11" t="n">
        <f aca="false">IFERROR(I543*1000000/$E543,"")</f>
        <v>266.712465834657</v>
      </c>
      <c r="O543" s="11" t="n">
        <f aca="false">IFERROR(J543*1000000/$E543,"")</f>
        <v>151.573814181429</v>
      </c>
      <c r="P543" s="16" t="n">
        <f aca="false">COUNTIFS($A$4:$A$1008,$A543,$N$4:$N$1008,"&gt;"&amp;N543)+1</f>
        <v>21</v>
      </c>
      <c r="Q543" s="16" t="n">
        <f aca="false">COUNTIFS($A$4:$A$1008,$A543,$O$4:$O$1008,"&gt;"&amp;O543)+1</f>
        <v>23</v>
      </c>
    </row>
    <row r="544" customFormat="false" ht="15" hidden="false" customHeight="false" outlineLevel="0" collapsed="false">
      <c r="A544" s="7" t="n">
        <v>2013</v>
      </c>
      <c r="B544" s="15" t="s">
        <v>155</v>
      </c>
      <c r="C544" s="15" t="s">
        <v>135</v>
      </c>
      <c r="D544" s="15" t="s">
        <v>148</v>
      </c>
      <c r="E544" s="9" t="n">
        <f aca="false">SUMIFS(Data!$L$2:$L$1006,Data!$A$2:$A$1006,$A544,Data!$B$2:$B$1006,$B544)</f>
        <v>1126869</v>
      </c>
      <c r="F544" s="10" t="n">
        <f aca="false">SUMIFS(Data!$E$2:$E$1006,Data!$A$2:$A$1006,$A544,Data!$B$2:$B$1006,$B544)</f>
        <v>92.451789</v>
      </c>
      <c r="G544" s="10" t="n">
        <f aca="false">SUMIFS(Data!$F$2:$F$1006,Data!$A$2:$A$1006,$A544,Data!$B$2:$B$1006,$B544)</f>
        <v>105.702636</v>
      </c>
      <c r="H544" s="10" t="n">
        <f aca="false">SUMIFS(Data!$G$2:$G$1006,Data!$A$2:$A$1006,$A544,Data!$B$2:$B$1006,$B544)</f>
        <v>98.000086</v>
      </c>
      <c r="I544" s="10" t="n">
        <f aca="false">SUMIFS(Data!$N$2:$N$1006,Data!$A$2:$A$1006,$A544,Data!$B$2:$B$1006,$B544)</f>
        <v>296.154511</v>
      </c>
      <c r="J544" s="10" t="n">
        <f aca="false">SUMIFS(Data!$H$2:$H$1006,Data!$A$2:$A$1006,$A544,Data!$B$2:$B$1006,$B544)</f>
        <v>190.113047</v>
      </c>
      <c r="K544" s="11" t="n">
        <f aca="false">IFERROR(F544*1000000/$E544,"")</f>
        <v>82.0430671178282</v>
      </c>
      <c r="L544" s="11" t="n">
        <f aca="false">IFERROR(G544*1000000/$E544,"")</f>
        <v>93.8020621740415</v>
      </c>
      <c r="M544" s="11" t="n">
        <f aca="false">IFERROR(H544*1000000/$E544,"")</f>
        <v>86.9667068665479</v>
      </c>
      <c r="N544" s="11" t="n">
        <f aca="false">IFERROR(I544*1000000/$E544,"")</f>
        <v>262.811836158418</v>
      </c>
      <c r="O544" s="11" t="n">
        <f aca="false">IFERROR(J544*1000000/$E544,"")</f>
        <v>168.709093071156</v>
      </c>
      <c r="P544" s="16" t="n">
        <f aca="false">COUNTIFS($A$4:$A$1008,$A544,$N$4:$N$1008,"&gt;"&amp;N544)+1</f>
        <v>23</v>
      </c>
      <c r="Q544" s="16" t="n">
        <f aca="false">COUNTIFS($A$4:$A$1008,$A544,$O$4:$O$1008,"&gt;"&amp;O544)+1</f>
        <v>15</v>
      </c>
    </row>
    <row r="545" customFormat="false" ht="15" hidden="false" customHeight="false" outlineLevel="0" collapsed="false">
      <c r="A545" s="7" t="n">
        <v>2013</v>
      </c>
      <c r="B545" s="15" t="s">
        <v>156</v>
      </c>
      <c r="C545" s="15" t="s">
        <v>135</v>
      </c>
      <c r="D545" s="15" t="s">
        <v>148</v>
      </c>
      <c r="E545" s="9" t="n">
        <f aca="false">SUMIFS(Data!$L$2:$L$1006,Data!$A$2:$A$1006,$A545,Data!$B$2:$B$1006,$B545)</f>
        <v>461836</v>
      </c>
      <c r="F545" s="10" t="n">
        <f aca="false">SUMIFS(Data!$E$2:$E$1006,Data!$A$2:$A$1006,$A545,Data!$B$2:$B$1006,$B545)</f>
        <v>26.106242</v>
      </c>
      <c r="G545" s="10" t="n">
        <f aca="false">SUMIFS(Data!$F$2:$F$1006,Data!$A$2:$A$1006,$A545,Data!$B$2:$B$1006,$B545)</f>
        <v>30.777653</v>
      </c>
      <c r="H545" s="10" t="n">
        <f aca="false">SUMIFS(Data!$G$2:$G$1006,Data!$A$2:$A$1006,$A545,Data!$B$2:$B$1006,$B545)</f>
        <v>48.14335</v>
      </c>
      <c r="I545" s="10" t="n">
        <f aca="false">SUMIFS(Data!$N$2:$N$1006,Data!$A$2:$A$1006,$A545,Data!$B$2:$B$1006,$B545)</f>
        <v>105.027245</v>
      </c>
      <c r="J545" s="10" t="n">
        <f aca="false">SUMIFS(Data!$H$2:$H$1006,Data!$A$2:$A$1006,$A545,Data!$B$2:$B$1006,$B545)</f>
        <v>105.645239</v>
      </c>
      <c r="K545" s="11" t="n">
        <f aca="false">IFERROR(F545*1000000/$E545,"")</f>
        <v>56.5270832070259</v>
      </c>
      <c r="L545" s="11" t="n">
        <f aca="false">IFERROR(G545*1000000/$E545,"")</f>
        <v>66.6419529876406</v>
      </c>
      <c r="M545" s="11" t="n">
        <f aca="false">IFERROR(H545*1000000/$E545,"")</f>
        <v>104.243389428282</v>
      </c>
      <c r="N545" s="11" t="n">
        <f aca="false">IFERROR(I545*1000000/$E545,"")</f>
        <v>227.412425622948</v>
      </c>
      <c r="O545" s="11" t="n">
        <f aca="false">IFERROR(J545*1000000/$E545,"")</f>
        <v>228.75054997878</v>
      </c>
      <c r="P545" s="16" t="n">
        <f aca="false">COUNTIFS($A$4:$A$1008,$A545,$N$4:$N$1008,"&gt;"&amp;N545)+1</f>
        <v>33</v>
      </c>
      <c r="Q545" s="16" t="n">
        <f aca="false">COUNTIFS($A$4:$A$1008,$A545,$O$4:$O$1008,"&gt;"&amp;O545)+1</f>
        <v>7</v>
      </c>
    </row>
    <row r="546" customFormat="false" ht="15" hidden="false" customHeight="false" outlineLevel="0" collapsed="false">
      <c r="A546" s="7" t="n">
        <v>2013</v>
      </c>
      <c r="B546" s="15" t="s">
        <v>157</v>
      </c>
      <c r="C546" s="15" t="s">
        <v>135</v>
      </c>
      <c r="D546" s="15" t="s">
        <v>148</v>
      </c>
      <c r="E546" s="9" t="n">
        <f aca="false">SUMIFS(Data!$L$2:$L$1006,Data!$A$2:$A$1006,$A546,Data!$B$2:$B$1006,$B546)</f>
        <v>443744</v>
      </c>
      <c r="F546" s="10" t="n">
        <f aca="false">SUMIFS(Data!$E$2:$E$1006,Data!$A$2:$A$1006,$A546,Data!$B$2:$B$1006,$B546)</f>
        <v>46.235827</v>
      </c>
      <c r="G546" s="10" t="n">
        <f aca="false">SUMIFS(Data!$F$2:$F$1006,Data!$A$2:$A$1006,$A546,Data!$B$2:$B$1006,$B546)</f>
        <v>40.991688</v>
      </c>
      <c r="H546" s="10" t="n">
        <f aca="false">SUMIFS(Data!$G$2:$G$1006,Data!$A$2:$A$1006,$A546,Data!$B$2:$B$1006,$B546)</f>
        <v>21.316236</v>
      </c>
      <c r="I546" s="10" t="n">
        <f aca="false">SUMIFS(Data!$N$2:$N$1006,Data!$A$2:$A$1006,$A546,Data!$B$2:$B$1006,$B546)</f>
        <v>108.543751</v>
      </c>
      <c r="J546" s="10" t="n">
        <f aca="false">SUMIFS(Data!$H$2:$H$1006,Data!$A$2:$A$1006,$A546,Data!$B$2:$B$1006,$B546)</f>
        <v>37.797935</v>
      </c>
      <c r="K546" s="11" t="n">
        <f aca="false">IFERROR(F546*1000000/$E546,"")</f>
        <v>104.19482178914</v>
      </c>
      <c r="L546" s="11" t="n">
        <f aca="false">IFERROR(G546*1000000/$E546,"")</f>
        <v>92.3768839691354</v>
      </c>
      <c r="M546" s="11" t="n">
        <f aca="false">IFERROR(H546*1000000/$E546,"")</f>
        <v>48.0372376865941</v>
      </c>
      <c r="N546" s="11" t="n">
        <f aca="false">IFERROR(I546*1000000/$E546,"")</f>
        <v>244.608943444869</v>
      </c>
      <c r="O546" s="11" t="n">
        <f aca="false">IFERROR(J546*1000000/$E546,"")</f>
        <v>85.1795967945482</v>
      </c>
      <c r="P546" s="16" t="n">
        <f aca="false">COUNTIFS($A$4:$A$1008,$A546,$N$4:$N$1008,"&gt;"&amp;N546)+1</f>
        <v>30</v>
      </c>
      <c r="Q546" s="16" t="n">
        <f aca="false">COUNTIFS($A$4:$A$1008,$A546,$O$4:$O$1008,"&gt;"&amp;O546)+1</f>
        <v>39</v>
      </c>
    </row>
    <row r="547" customFormat="false" ht="15" hidden="false" customHeight="false" outlineLevel="0" collapsed="false">
      <c r="A547" s="7" t="n">
        <v>2014</v>
      </c>
      <c r="B547" s="15" t="s">
        <v>101</v>
      </c>
      <c r="C547" s="15" t="s">
        <v>102</v>
      </c>
      <c r="D547" s="15" t="s">
        <v>103</v>
      </c>
      <c r="E547" s="9" t="n">
        <f aca="false">SUMIFS(Data!$L$2:$L$1006,Data!$A$2:$A$1006,$A547,Data!$B$2:$B$1006,$B547)</f>
        <v>744410</v>
      </c>
      <c r="F547" s="10" t="n">
        <f aca="false">SUMIFS(Data!$E$2:$E$1006,Data!$A$2:$A$1006,$A547,Data!$B$2:$B$1006,$B547)</f>
        <v>36.239159</v>
      </c>
      <c r="G547" s="10" t="n">
        <f aca="false">SUMIFS(Data!$F$2:$F$1006,Data!$A$2:$A$1006,$A547,Data!$B$2:$B$1006,$B547)</f>
        <v>34.912735</v>
      </c>
      <c r="H547" s="10" t="n">
        <f aca="false">SUMIFS(Data!$G$2:$G$1006,Data!$A$2:$A$1006,$A547,Data!$B$2:$B$1006,$B547)</f>
        <v>69.557361</v>
      </c>
      <c r="I547" s="10" t="n">
        <f aca="false">SUMIFS(Data!$N$2:$N$1006,Data!$A$2:$A$1006,$A547,Data!$B$2:$B$1006,$B547)</f>
        <v>140.709255</v>
      </c>
      <c r="J547" s="10" t="n">
        <f aca="false">SUMIFS(Data!$H$2:$H$1006,Data!$A$2:$A$1006,$A547,Data!$B$2:$B$1006,$B547)</f>
        <v>86.646972</v>
      </c>
      <c r="K547" s="11" t="n">
        <f aca="false">IFERROR(F547*1000000/$E547,"")</f>
        <v>48.6817197512124</v>
      </c>
      <c r="L547" s="11" t="n">
        <f aca="false">IFERROR(G547*1000000/$E547,"")</f>
        <v>46.8998737255007</v>
      </c>
      <c r="M547" s="11" t="n">
        <f aca="false">IFERROR(H547*1000000/$E547,"")</f>
        <v>93.439584368829</v>
      </c>
      <c r="N547" s="11" t="n">
        <f aca="false">IFERROR(I547*1000000/$E547,"")</f>
        <v>189.021177845542</v>
      </c>
      <c r="O547" s="11" t="n">
        <f aca="false">IFERROR(J547*1000000/$E547,"")</f>
        <v>116.396840450827</v>
      </c>
      <c r="P547" s="16" t="n">
        <f aca="false">COUNTIFS($A$4:$A$1008,$A547,$N$4:$N$1008,"&gt;"&amp;N547)+1</f>
        <v>37</v>
      </c>
      <c r="Q547" s="16" t="n">
        <f aca="false">COUNTIFS($A$4:$A$1008,$A547,$O$4:$O$1008,"&gt;"&amp;O547)+1</f>
        <v>35</v>
      </c>
    </row>
    <row r="548" customFormat="false" ht="15" hidden="false" customHeight="false" outlineLevel="0" collapsed="false">
      <c r="A548" s="7" t="n">
        <v>2014</v>
      </c>
      <c r="B548" s="15" t="s">
        <v>104</v>
      </c>
      <c r="C548" s="15" t="s">
        <v>102</v>
      </c>
      <c r="D548" s="15" t="s">
        <v>105</v>
      </c>
      <c r="E548" s="9" t="n">
        <f aca="false">SUMIFS(Data!$L$2:$L$1006,Data!$A$2:$A$1006,$A548,Data!$B$2:$B$1006,$B548)</f>
        <v>1100630</v>
      </c>
      <c r="F548" s="10" t="n">
        <f aca="false">SUMIFS(Data!$E$2:$E$1006,Data!$A$2:$A$1006,$A548,Data!$B$2:$B$1006,$B548)</f>
        <v>87.114711</v>
      </c>
      <c r="G548" s="10" t="n">
        <f aca="false">SUMIFS(Data!$F$2:$F$1006,Data!$A$2:$A$1006,$A548,Data!$B$2:$B$1006,$B548)</f>
        <v>168.115493</v>
      </c>
      <c r="H548" s="10" t="n">
        <f aca="false">SUMIFS(Data!$G$2:$G$1006,Data!$A$2:$A$1006,$A548,Data!$B$2:$B$1006,$B548)</f>
        <v>110.338121</v>
      </c>
      <c r="I548" s="10" t="n">
        <f aca="false">SUMIFS(Data!$N$2:$N$1006,Data!$A$2:$A$1006,$A548,Data!$B$2:$B$1006,$B548)</f>
        <v>365.568325</v>
      </c>
      <c r="J548" s="10" t="n">
        <f aca="false">SUMIFS(Data!$H$2:$H$1006,Data!$A$2:$A$1006,$A548,Data!$B$2:$B$1006,$B548)</f>
        <v>173.742061</v>
      </c>
      <c r="K548" s="11" t="n">
        <f aca="false">IFERROR(F548*1000000/$E548,"")</f>
        <v>79.1498605344212</v>
      </c>
      <c r="L548" s="11" t="n">
        <f aca="false">IFERROR(G548*1000000/$E548,"")</f>
        <v>152.744785259351</v>
      </c>
      <c r="M548" s="11" t="n">
        <f aca="false">IFERROR(H548*1000000/$E548,"")</f>
        <v>100.249966837175</v>
      </c>
      <c r="N548" s="11" t="n">
        <f aca="false">IFERROR(I548*1000000/$E548,"")</f>
        <v>332.144612630948</v>
      </c>
      <c r="O548" s="11" t="n">
        <f aca="false">IFERROR(J548*1000000/$E548,"")</f>
        <v>157.856919218993</v>
      </c>
      <c r="P548" s="16" t="n">
        <f aca="false">COUNTIFS($A$4:$A$1008,$A548,$N$4:$N$1008,"&gt;"&amp;N548)+1</f>
        <v>13</v>
      </c>
      <c r="Q548" s="16" t="n">
        <f aca="false">COUNTIFS($A$4:$A$1008,$A548,$O$4:$O$1008,"&gt;"&amp;O548)+1</f>
        <v>24</v>
      </c>
    </row>
    <row r="549" customFormat="false" ht="15" hidden="false" customHeight="false" outlineLevel="0" collapsed="false">
      <c r="A549" s="7" t="n">
        <v>2014</v>
      </c>
      <c r="B549" s="15" t="s">
        <v>106</v>
      </c>
      <c r="C549" s="15" t="s">
        <v>102</v>
      </c>
      <c r="D549" s="15" t="s">
        <v>107</v>
      </c>
      <c r="E549" s="9" t="n">
        <f aca="false">SUMIFS(Data!$L$2:$L$1006,Data!$A$2:$A$1006,$A549,Data!$B$2:$B$1006,$B549)</f>
        <v>556577</v>
      </c>
      <c r="F549" s="10" t="n">
        <f aca="false">SUMIFS(Data!$E$2:$E$1006,Data!$A$2:$A$1006,$A549,Data!$B$2:$B$1006,$B549)</f>
        <v>51.433143</v>
      </c>
      <c r="G549" s="10" t="n">
        <f aca="false">SUMIFS(Data!$F$2:$F$1006,Data!$A$2:$A$1006,$A549,Data!$B$2:$B$1006,$B549)</f>
        <v>61.66403</v>
      </c>
      <c r="H549" s="10" t="n">
        <f aca="false">SUMIFS(Data!$G$2:$G$1006,Data!$A$2:$A$1006,$A549,Data!$B$2:$B$1006,$B549)</f>
        <v>52.054637</v>
      </c>
      <c r="I549" s="10" t="n">
        <f aca="false">SUMIFS(Data!$N$2:$N$1006,Data!$A$2:$A$1006,$A549,Data!$B$2:$B$1006,$B549)</f>
        <v>165.15181</v>
      </c>
      <c r="J549" s="10" t="n">
        <f aca="false">SUMIFS(Data!$H$2:$H$1006,Data!$A$2:$A$1006,$A549,Data!$B$2:$B$1006,$B549)</f>
        <v>101.674373</v>
      </c>
      <c r="K549" s="11" t="n">
        <f aca="false">IFERROR(F549*1000000/$E549,"")</f>
        <v>92.4097528284496</v>
      </c>
      <c r="L549" s="11" t="n">
        <f aca="false">IFERROR(G549*1000000/$E549,"")</f>
        <v>110.791552651295</v>
      </c>
      <c r="M549" s="11" t="n">
        <f aca="false">IFERROR(H549*1000000/$E549,"")</f>
        <v>93.5263889812191</v>
      </c>
      <c r="N549" s="11" t="n">
        <f aca="false">IFERROR(I549*1000000/$E549,"")</f>
        <v>296.727694460964</v>
      </c>
      <c r="O549" s="11" t="n">
        <f aca="false">IFERROR(J549*1000000/$E549,"")</f>
        <v>182.677999629881</v>
      </c>
      <c r="P549" s="16" t="n">
        <f aca="false">COUNTIFS($A$4:$A$1008,$A549,$N$4:$N$1008,"&gt;"&amp;N549)+1</f>
        <v>19</v>
      </c>
      <c r="Q549" s="16" t="n">
        <f aca="false">COUNTIFS($A$4:$A$1008,$A549,$O$4:$O$1008,"&gt;"&amp;O549)+1</f>
        <v>19</v>
      </c>
    </row>
    <row r="550" customFormat="false" ht="15" hidden="false" customHeight="false" outlineLevel="0" collapsed="false">
      <c r="A550" s="7" t="n">
        <v>2014</v>
      </c>
      <c r="B550" s="15" t="s">
        <v>108</v>
      </c>
      <c r="C550" s="15" t="s">
        <v>102</v>
      </c>
      <c r="D550" s="15" t="s">
        <v>109</v>
      </c>
      <c r="E550" s="9" t="n">
        <f aca="false">SUMIFS(Data!$L$2:$L$1006,Data!$A$2:$A$1006,$A550,Data!$B$2:$B$1006,$B550)</f>
        <v>388542</v>
      </c>
      <c r="F550" s="10" t="n">
        <f aca="false">SUMIFS(Data!$E$2:$E$1006,Data!$A$2:$A$1006,$A550,Data!$B$2:$B$1006,$B550)</f>
        <v>60.902631</v>
      </c>
      <c r="G550" s="10" t="n">
        <f aca="false">SUMIFS(Data!$F$2:$F$1006,Data!$A$2:$A$1006,$A550,Data!$B$2:$B$1006,$B550)</f>
        <v>19.104714</v>
      </c>
      <c r="H550" s="10" t="n">
        <f aca="false">SUMIFS(Data!$G$2:$G$1006,Data!$A$2:$A$1006,$A550,Data!$B$2:$B$1006,$B550)</f>
        <v>36.000242</v>
      </c>
      <c r="I550" s="10" t="n">
        <f aca="false">SUMIFS(Data!$N$2:$N$1006,Data!$A$2:$A$1006,$A550,Data!$B$2:$B$1006,$B550)</f>
        <v>116.007587</v>
      </c>
      <c r="J550" s="10" t="n">
        <f aca="false">SUMIFS(Data!$H$2:$H$1006,Data!$A$2:$A$1006,$A550,Data!$B$2:$B$1006,$B550)</f>
        <v>79.073522</v>
      </c>
      <c r="K550" s="11" t="n">
        <f aca="false">IFERROR(F550*1000000/$E550,"")</f>
        <v>156.746583380947</v>
      </c>
      <c r="L550" s="11" t="n">
        <f aca="false">IFERROR(G550*1000000/$E550,"")</f>
        <v>49.1702673070093</v>
      </c>
      <c r="M550" s="11" t="n">
        <f aca="false">IFERROR(H550*1000000/$E550,"")</f>
        <v>92.6546988485157</v>
      </c>
      <c r="N550" s="11" t="n">
        <f aca="false">IFERROR(I550*1000000/$E550,"")</f>
        <v>298.571549536472</v>
      </c>
      <c r="O550" s="11" t="n">
        <f aca="false">IFERROR(J550*1000000/$E550,"")</f>
        <v>203.513447709643</v>
      </c>
      <c r="P550" s="16" t="n">
        <f aca="false">COUNTIFS($A$4:$A$1008,$A550,$N$4:$N$1008,"&gt;"&amp;N550)+1</f>
        <v>17</v>
      </c>
      <c r="Q550" s="16" t="n">
        <f aca="false">COUNTIFS($A$4:$A$1008,$A550,$O$4:$O$1008,"&gt;"&amp;O550)+1</f>
        <v>11</v>
      </c>
    </row>
    <row r="551" customFormat="false" ht="15" hidden="false" customHeight="false" outlineLevel="0" collapsed="false">
      <c r="A551" s="7" t="n">
        <v>2014</v>
      </c>
      <c r="B551" s="15" t="s">
        <v>110</v>
      </c>
      <c r="C551" s="15" t="s">
        <v>102</v>
      </c>
      <c r="D551" s="15" t="s">
        <v>103</v>
      </c>
      <c r="E551" s="9" t="n">
        <f aca="false">SUMIFS(Data!$L$2:$L$1006,Data!$A$2:$A$1006,$A551,Data!$B$2:$B$1006,$B551)</f>
        <v>1035096</v>
      </c>
      <c r="F551" s="10" t="n">
        <f aca="false">SUMIFS(Data!$E$2:$E$1006,Data!$A$2:$A$1006,$A551,Data!$B$2:$B$1006,$B551)</f>
        <v>54.947002</v>
      </c>
      <c r="G551" s="10" t="n">
        <f aca="false">SUMIFS(Data!$F$2:$F$1006,Data!$A$2:$A$1006,$A551,Data!$B$2:$B$1006,$B551)</f>
        <v>49.083762</v>
      </c>
      <c r="H551" s="10" t="n">
        <f aca="false">SUMIFS(Data!$G$2:$G$1006,Data!$A$2:$A$1006,$A551,Data!$B$2:$B$1006,$B551)</f>
        <v>69.820283</v>
      </c>
      <c r="I551" s="10" t="n">
        <f aca="false">SUMIFS(Data!$N$2:$N$1006,Data!$A$2:$A$1006,$A551,Data!$B$2:$B$1006,$B551)</f>
        <v>173.851047</v>
      </c>
      <c r="J551" s="10" t="n">
        <f aca="false">SUMIFS(Data!$H$2:$H$1006,Data!$A$2:$A$1006,$A551,Data!$B$2:$B$1006,$B551)</f>
        <v>121.863747</v>
      </c>
      <c r="K551" s="11" t="n">
        <f aca="false">IFERROR(F551*1000000/$E551,"")</f>
        <v>53.0839670909751</v>
      </c>
      <c r="L551" s="11" t="n">
        <f aca="false">IFERROR(G551*1000000/$E551,"")</f>
        <v>47.4195263048065</v>
      </c>
      <c r="M551" s="11" t="n">
        <f aca="false">IFERROR(H551*1000000/$E551,"")</f>
        <v>67.4529541221297</v>
      </c>
      <c r="N551" s="11" t="n">
        <f aca="false">IFERROR(I551*1000000/$E551,"")</f>
        <v>167.956447517911</v>
      </c>
      <c r="O551" s="11" t="n">
        <f aca="false">IFERROR(J551*1000000/$E551,"")</f>
        <v>117.731830670778</v>
      </c>
      <c r="P551" s="16" t="n">
        <f aca="false">COUNTIFS($A$4:$A$1008,$A551,$N$4:$N$1008,"&gt;"&amp;N551)+1</f>
        <v>39</v>
      </c>
      <c r="Q551" s="16" t="n">
        <f aca="false">COUNTIFS($A$4:$A$1008,$A551,$O$4:$O$1008,"&gt;"&amp;O551)+1</f>
        <v>34</v>
      </c>
    </row>
    <row r="552" customFormat="false" ht="15" hidden="false" customHeight="false" outlineLevel="0" collapsed="false">
      <c r="A552" s="7" t="n">
        <v>2014</v>
      </c>
      <c r="B552" s="15" t="s">
        <v>111</v>
      </c>
      <c r="C552" s="15" t="s">
        <v>102</v>
      </c>
      <c r="D552" s="15" t="s">
        <v>107</v>
      </c>
      <c r="E552" s="9" t="n">
        <f aca="false">SUMIFS(Data!$L$2:$L$1006,Data!$A$2:$A$1006,$A552,Data!$B$2:$B$1006,$B552)</f>
        <v>588587</v>
      </c>
      <c r="F552" s="10" t="n">
        <f aca="false">SUMIFS(Data!$E$2:$E$1006,Data!$A$2:$A$1006,$A552,Data!$B$2:$B$1006,$B552)</f>
        <v>42.235556</v>
      </c>
      <c r="G552" s="10" t="n">
        <f aca="false">SUMIFS(Data!$F$2:$F$1006,Data!$A$2:$A$1006,$A552,Data!$B$2:$B$1006,$B552)</f>
        <v>59.736321</v>
      </c>
      <c r="H552" s="10" t="n">
        <f aca="false">SUMIFS(Data!$G$2:$G$1006,Data!$A$2:$A$1006,$A552,Data!$B$2:$B$1006,$B552)</f>
        <v>65.479731</v>
      </c>
      <c r="I552" s="10" t="n">
        <f aca="false">SUMIFS(Data!$N$2:$N$1006,Data!$A$2:$A$1006,$A552,Data!$B$2:$B$1006,$B552)</f>
        <v>167.451608</v>
      </c>
      <c r="J552" s="10" t="n">
        <f aca="false">SUMIFS(Data!$H$2:$H$1006,Data!$A$2:$A$1006,$A552,Data!$B$2:$B$1006,$B552)</f>
        <v>103.507752</v>
      </c>
      <c r="K552" s="11" t="n">
        <f aca="false">IFERROR(F552*1000000/$E552,"")</f>
        <v>71.7575413660173</v>
      </c>
      <c r="L552" s="11" t="n">
        <f aca="false">IFERROR(G552*1000000/$E552,"")</f>
        <v>101.491064192719</v>
      </c>
      <c r="M552" s="11" t="n">
        <f aca="false">IFERROR(H552*1000000/$E552,"")</f>
        <v>111.249026906812</v>
      </c>
      <c r="N552" s="11" t="n">
        <f aca="false">IFERROR(I552*1000000/$E552,"")</f>
        <v>284.497632465549</v>
      </c>
      <c r="O552" s="11" t="n">
        <f aca="false">IFERROR(J552*1000000/$E552,"")</f>
        <v>175.85803288214</v>
      </c>
      <c r="P552" s="16" t="n">
        <f aca="false">COUNTIFS($A$4:$A$1008,$A552,$N$4:$N$1008,"&gt;"&amp;N552)+1</f>
        <v>22</v>
      </c>
      <c r="Q552" s="16" t="n">
        <f aca="false">COUNTIFS($A$4:$A$1008,$A552,$O$4:$O$1008,"&gt;"&amp;O552)+1</f>
        <v>21</v>
      </c>
    </row>
    <row r="553" customFormat="false" ht="15" hidden="false" customHeight="false" outlineLevel="0" collapsed="false">
      <c r="A553" s="7" t="n">
        <v>2014</v>
      </c>
      <c r="B553" s="15" t="s">
        <v>112</v>
      </c>
      <c r="C553" s="15" t="s">
        <v>102</v>
      </c>
      <c r="D553" s="15" t="s">
        <v>107</v>
      </c>
      <c r="E553" s="9" t="n">
        <f aca="false">SUMIFS(Data!$L$2:$L$1006,Data!$A$2:$A$1006,$A553,Data!$B$2:$B$1006,$B553)</f>
        <v>162163</v>
      </c>
      <c r="F553" s="10" t="n">
        <f aca="false">SUMIFS(Data!$E$2:$E$1006,Data!$A$2:$A$1006,$A553,Data!$B$2:$B$1006,$B553)</f>
        <v>12.063012</v>
      </c>
      <c r="G553" s="10" t="n">
        <f aca="false">SUMIFS(Data!$F$2:$F$1006,Data!$A$2:$A$1006,$A553,Data!$B$2:$B$1006,$B553)</f>
        <v>15.52638</v>
      </c>
      <c r="H553" s="10" t="n">
        <f aca="false">SUMIFS(Data!$G$2:$G$1006,Data!$A$2:$A$1006,$A553,Data!$B$2:$B$1006,$B553)</f>
        <v>14.19975</v>
      </c>
      <c r="I553" s="10" t="n">
        <f aca="false">SUMIFS(Data!$N$2:$N$1006,Data!$A$2:$A$1006,$A553,Data!$B$2:$B$1006,$B553)</f>
        <v>41.789142</v>
      </c>
      <c r="J553" s="10" t="n">
        <f aca="false">SUMIFS(Data!$H$2:$H$1006,Data!$A$2:$A$1006,$A553,Data!$B$2:$B$1006,$B553)</f>
        <v>35.005174</v>
      </c>
      <c r="K553" s="11" t="n">
        <f aca="false">IFERROR(F553*1000000/$E553,"")</f>
        <v>74.3881896610201</v>
      </c>
      <c r="L553" s="11" t="n">
        <f aca="false">IFERROR(G553*1000000/$E553,"")</f>
        <v>95.7455153148375</v>
      </c>
      <c r="M553" s="11" t="n">
        <f aca="false">IFERROR(H553*1000000/$E553,"")</f>
        <v>87.564672582525</v>
      </c>
      <c r="N553" s="11" t="n">
        <f aca="false">IFERROR(I553*1000000/$E553,"")</f>
        <v>257.698377558383</v>
      </c>
      <c r="O553" s="11" t="n">
        <f aca="false">IFERROR(J553*1000000/$E553,"")</f>
        <v>215.864124368691</v>
      </c>
      <c r="P553" s="16" t="n">
        <f aca="false">COUNTIFS($A$4:$A$1008,$A553,$N$4:$N$1008,"&gt;"&amp;N553)+1</f>
        <v>29</v>
      </c>
      <c r="Q553" s="16" t="n">
        <f aca="false">COUNTIFS($A$4:$A$1008,$A553,$O$4:$O$1008,"&gt;"&amp;O553)+1</f>
        <v>7</v>
      </c>
    </row>
    <row r="554" customFormat="false" ht="15" hidden="false" customHeight="false" outlineLevel="0" collapsed="false">
      <c r="A554" s="7" t="n">
        <v>2014</v>
      </c>
      <c r="B554" s="15" t="s">
        <v>113</v>
      </c>
      <c r="C554" s="15" t="s">
        <v>102</v>
      </c>
      <c r="D554" s="15" t="s">
        <v>114</v>
      </c>
      <c r="E554" s="9" t="n">
        <f aca="false">SUMIFS(Data!$L$2:$L$1006,Data!$A$2:$A$1006,$A554,Data!$B$2:$B$1006,$B554)</f>
        <v>394680</v>
      </c>
      <c r="F554" s="10" t="n">
        <f aca="false">SUMIFS(Data!$E$2:$E$1006,Data!$A$2:$A$1006,$A554,Data!$B$2:$B$1006,$B554)</f>
        <v>42.663589</v>
      </c>
      <c r="G554" s="10" t="n">
        <f aca="false">SUMIFS(Data!$F$2:$F$1006,Data!$A$2:$A$1006,$A554,Data!$B$2:$B$1006,$B554)</f>
        <v>35.685258</v>
      </c>
      <c r="H554" s="10" t="n">
        <f aca="false">SUMIFS(Data!$G$2:$G$1006,Data!$A$2:$A$1006,$A554,Data!$B$2:$B$1006,$B554)</f>
        <v>39.922511</v>
      </c>
      <c r="I554" s="10" t="n">
        <f aca="false">SUMIFS(Data!$N$2:$N$1006,Data!$A$2:$A$1006,$A554,Data!$B$2:$B$1006,$B554)</f>
        <v>118.271358</v>
      </c>
      <c r="J554" s="10" t="n">
        <f aca="false">SUMIFS(Data!$H$2:$H$1006,Data!$A$2:$A$1006,$A554,Data!$B$2:$B$1006,$B554)</f>
        <v>60.676191</v>
      </c>
      <c r="K554" s="11" t="n">
        <f aca="false">IFERROR(F554*1000000/$E554,"")</f>
        <v>108.096658052093</v>
      </c>
      <c r="L554" s="11" t="n">
        <f aca="false">IFERROR(G554*1000000/$E554,"")</f>
        <v>90.4156734569778</v>
      </c>
      <c r="M554" s="11" t="n">
        <f aca="false">IFERROR(H554*1000000/$E554,"")</f>
        <v>101.151593696159</v>
      </c>
      <c r="N554" s="11" t="n">
        <f aca="false">IFERROR(I554*1000000/$E554,"")</f>
        <v>299.66392520523</v>
      </c>
      <c r="O554" s="11" t="n">
        <f aca="false">IFERROR(J554*1000000/$E554,"")</f>
        <v>153.735155062329</v>
      </c>
      <c r="P554" s="16" t="n">
        <f aca="false">COUNTIFS($A$4:$A$1008,$A554,$N$4:$N$1008,"&gt;"&amp;N554)+1</f>
        <v>16</v>
      </c>
      <c r="Q554" s="16" t="n">
        <f aca="false">COUNTIFS($A$4:$A$1008,$A554,$O$4:$O$1008,"&gt;"&amp;O554)+1</f>
        <v>28</v>
      </c>
    </row>
    <row r="555" customFormat="false" ht="15" hidden="false" customHeight="false" outlineLevel="0" collapsed="false">
      <c r="A555" s="7" t="n">
        <v>2014</v>
      </c>
      <c r="B555" s="15" t="s">
        <v>115</v>
      </c>
      <c r="C555" s="15" t="s">
        <v>102</v>
      </c>
      <c r="D555" s="15" t="s">
        <v>103</v>
      </c>
      <c r="E555" s="9" t="n">
        <f aca="false">SUMIFS(Data!$L$2:$L$1006,Data!$A$2:$A$1006,$A555,Data!$B$2:$B$1006,$B555)</f>
        <v>307853</v>
      </c>
      <c r="F555" s="10" t="n">
        <f aca="false">SUMIFS(Data!$E$2:$E$1006,Data!$A$2:$A$1006,$A555,Data!$B$2:$B$1006,$B555)</f>
        <v>16.371548</v>
      </c>
      <c r="G555" s="10" t="n">
        <f aca="false">SUMIFS(Data!$F$2:$F$1006,Data!$A$2:$A$1006,$A555,Data!$B$2:$B$1006,$B555)</f>
        <v>18.453663</v>
      </c>
      <c r="H555" s="10" t="n">
        <f aca="false">SUMIFS(Data!$G$2:$G$1006,Data!$A$2:$A$1006,$A555,Data!$B$2:$B$1006,$B555)</f>
        <v>28.828489</v>
      </c>
      <c r="I555" s="10" t="n">
        <f aca="false">SUMIFS(Data!$N$2:$N$1006,Data!$A$2:$A$1006,$A555,Data!$B$2:$B$1006,$B555)</f>
        <v>63.6537</v>
      </c>
      <c r="J555" s="10" t="n">
        <f aca="false">SUMIFS(Data!$H$2:$H$1006,Data!$A$2:$A$1006,$A555,Data!$B$2:$B$1006,$B555)</f>
        <v>38.990636</v>
      </c>
      <c r="K555" s="11" t="n">
        <f aca="false">IFERROR(F555*1000000/$E555,"")</f>
        <v>53.1797578714516</v>
      </c>
      <c r="L555" s="11" t="n">
        <f aca="false">IFERROR(G555*1000000/$E555,"")</f>
        <v>59.9430994663037</v>
      </c>
      <c r="M555" s="11" t="n">
        <f aca="false">IFERROR(H555*1000000/$E555,"")</f>
        <v>93.6436838361166</v>
      </c>
      <c r="N555" s="11" t="n">
        <f aca="false">IFERROR(I555*1000000/$E555,"")</f>
        <v>206.766541173872</v>
      </c>
      <c r="O555" s="11" t="n">
        <f aca="false">IFERROR(J555*1000000/$E555,"")</f>
        <v>126.65342225023</v>
      </c>
      <c r="P555" s="16" t="n">
        <f aca="false">COUNTIFS($A$4:$A$1008,$A555,$N$4:$N$1008,"&gt;"&amp;N555)+1</f>
        <v>35</v>
      </c>
      <c r="Q555" s="16" t="n">
        <f aca="false">COUNTIFS($A$4:$A$1008,$A555,$O$4:$O$1008,"&gt;"&amp;O555)+1</f>
        <v>32</v>
      </c>
    </row>
    <row r="556" customFormat="false" ht="15" hidden="false" customHeight="false" outlineLevel="0" collapsed="false">
      <c r="A556" s="7" t="n">
        <v>2014</v>
      </c>
      <c r="B556" s="15" t="s">
        <v>116</v>
      </c>
      <c r="C556" s="15" t="s">
        <v>102</v>
      </c>
      <c r="D556" s="15" t="s">
        <v>107</v>
      </c>
      <c r="E556" s="9" t="n">
        <f aca="false">SUMIFS(Data!$L$2:$L$1006,Data!$A$2:$A$1006,$A556,Data!$B$2:$B$1006,$B556)</f>
        <v>719944</v>
      </c>
      <c r="F556" s="10" t="n">
        <f aca="false">SUMIFS(Data!$E$2:$E$1006,Data!$A$2:$A$1006,$A556,Data!$B$2:$B$1006,$B556)</f>
        <v>38.563911</v>
      </c>
      <c r="G556" s="10" t="n">
        <f aca="false">SUMIFS(Data!$F$2:$F$1006,Data!$A$2:$A$1006,$A556,Data!$B$2:$B$1006,$B556)</f>
        <v>49.107172</v>
      </c>
      <c r="H556" s="10" t="n">
        <f aca="false">SUMIFS(Data!$G$2:$G$1006,Data!$A$2:$A$1006,$A556,Data!$B$2:$B$1006,$B556)</f>
        <v>35.267498</v>
      </c>
      <c r="I556" s="10" t="n">
        <f aca="false">SUMIFS(Data!$N$2:$N$1006,Data!$A$2:$A$1006,$A556,Data!$B$2:$B$1006,$B556)</f>
        <v>122.938581</v>
      </c>
      <c r="J556" s="10" t="n">
        <f aca="false">SUMIFS(Data!$H$2:$H$1006,Data!$A$2:$A$1006,$A556,Data!$B$2:$B$1006,$B556)</f>
        <v>81.147968</v>
      </c>
      <c r="K556" s="11" t="n">
        <f aca="false">IFERROR(F556*1000000/$E556,"")</f>
        <v>53.5651536786194</v>
      </c>
      <c r="L556" s="11" t="n">
        <f aca="false">IFERROR(G556*1000000/$E556,"")</f>
        <v>68.209710755281</v>
      </c>
      <c r="M556" s="11" t="n">
        <f aca="false">IFERROR(H556*1000000/$E556,"")</f>
        <v>48.9864461680353</v>
      </c>
      <c r="N556" s="11" t="n">
        <f aca="false">IFERROR(I556*1000000/$E556,"")</f>
        <v>170.761310601936</v>
      </c>
      <c r="O556" s="11" t="n">
        <f aca="false">IFERROR(J556*1000000/$E556,"")</f>
        <v>112.71427777716</v>
      </c>
      <c r="P556" s="16" t="n">
        <f aca="false">COUNTIFS($A$4:$A$1008,$A556,$N$4:$N$1008,"&gt;"&amp;N556)+1</f>
        <v>38</v>
      </c>
      <c r="Q556" s="16" t="n">
        <f aca="false">COUNTIFS($A$4:$A$1008,$A556,$O$4:$O$1008,"&gt;"&amp;O556)+1</f>
        <v>38</v>
      </c>
    </row>
    <row r="557" customFormat="false" ht="15" hidden="false" customHeight="false" outlineLevel="0" collapsed="false">
      <c r="A557" s="7" t="n">
        <v>2014</v>
      </c>
      <c r="B557" s="15" t="s">
        <v>117</v>
      </c>
      <c r="C557" s="15" t="s">
        <v>118</v>
      </c>
      <c r="D557" s="15" t="s">
        <v>103</v>
      </c>
      <c r="E557" s="9" t="n">
        <f aca="false">SUMIFS(Data!$L$2:$L$1006,Data!$A$2:$A$1006,$A557,Data!$B$2:$B$1006,$B557)</f>
        <v>1463881</v>
      </c>
      <c r="F557" s="10" t="n">
        <f aca="false">SUMIFS(Data!$E$2:$E$1006,Data!$A$2:$A$1006,$A557,Data!$B$2:$B$1006,$B557)</f>
        <v>187.98058</v>
      </c>
      <c r="G557" s="10" t="n">
        <f aca="false">SUMIFS(Data!$F$2:$F$1006,Data!$A$2:$A$1006,$A557,Data!$B$2:$B$1006,$B557)</f>
        <v>320.620625</v>
      </c>
      <c r="H557" s="10" t="n">
        <f aca="false">SUMIFS(Data!$G$2:$G$1006,Data!$A$2:$A$1006,$A557,Data!$B$2:$B$1006,$B557)</f>
        <v>118.870055</v>
      </c>
      <c r="I557" s="10" t="n">
        <f aca="false">SUMIFS(Data!$N$2:$N$1006,Data!$A$2:$A$1006,$A557,Data!$B$2:$B$1006,$B557)</f>
        <v>627.47126</v>
      </c>
      <c r="J557" s="10" t="n">
        <f aca="false">SUMIFS(Data!$H$2:$H$1006,Data!$A$2:$A$1006,$A557,Data!$B$2:$B$1006,$B557)</f>
        <v>255.519611</v>
      </c>
      <c r="K557" s="11" t="n">
        <f aca="false">IFERROR(F557*1000000/$E557,"")</f>
        <v>128.412473418263</v>
      </c>
      <c r="L557" s="11" t="n">
        <f aca="false">IFERROR(G557*1000000/$E557,"")</f>
        <v>219.020962086399</v>
      </c>
      <c r="M557" s="11" t="n">
        <f aca="false">IFERROR(H557*1000000/$E557,"")</f>
        <v>81.201993194802</v>
      </c>
      <c r="N557" s="11" t="n">
        <f aca="false">IFERROR(I557*1000000/$E557,"")</f>
        <v>428.635428699464</v>
      </c>
      <c r="O557" s="11" t="n">
        <f aca="false">IFERROR(J557*1000000/$E557,"")</f>
        <v>174.549441518812</v>
      </c>
      <c r="P557" s="16" t="n">
        <f aca="false">COUNTIFS($A$4:$A$1008,$A557,$N$4:$N$1008,"&gt;"&amp;N557)+1</f>
        <v>1</v>
      </c>
      <c r="Q557" s="16" t="n">
        <f aca="false">COUNTIFS($A$4:$A$1008,$A557,$O$4:$O$1008,"&gt;"&amp;O557)+1</f>
        <v>22</v>
      </c>
    </row>
    <row r="558" customFormat="false" ht="15" hidden="false" customHeight="false" outlineLevel="0" collapsed="false">
      <c r="A558" s="7" t="n">
        <v>2014</v>
      </c>
      <c r="B558" s="15" t="s">
        <v>119</v>
      </c>
      <c r="C558" s="15" t="s">
        <v>118</v>
      </c>
      <c r="D558" s="15" t="s">
        <v>103</v>
      </c>
      <c r="E558" s="9" t="n">
        <f aca="false">SUMIFS(Data!$L$2:$L$1006,Data!$A$2:$A$1006,$A558,Data!$B$2:$B$1006,$B558)</f>
        <v>514952</v>
      </c>
      <c r="F558" s="10" t="n">
        <f aca="false">SUMIFS(Data!$E$2:$E$1006,Data!$A$2:$A$1006,$A558,Data!$B$2:$B$1006,$B558)</f>
        <v>37.766676</v>
      </c>
      <c r="G558" s="10" t="n">
        <f aca="false">SUMIFS(Data!$F$2:$F$1006,Data!$A$2:$A$1006,$A558,Data!$B$2:$B$1006,$B558)</f>
        <v>87.090231</v>
      </c>
      <c r="H558" s="10" t="n">
        <f aca="false">SUMIFS(Data!$G$2:$G$1006,Data!$A$2:$A$1006,$A558,Data!$B$2:$B$1006,$B558)</f>
        <v>54.788403</v>
      </c>
      <c r="I558" s="10" t="n">
        <f aca="false">SUMIFS(Data!$N$2:$N$1006,Data!$A$2:$A$1006,$A558,Data!$B$2:$B$1006,$B558)</f>
        <v>179.64531</v>
      </c>
      <c r="J558" s="10" t="n">
        <f aca="false">SUMIFS(Data!$H$2:$H$1006,Data!$A$2:$A$1006,$A558,Data!$B$2:$B$1006,$B558)</f>
        <v>47.364487</v>
      </c>
      <c r="K558" s="11" t="n">
        <f aca="false">IFERROR(F558*1000000/$E558,"")</f>
        <v>73.3401870465597</v>
      </c>
      <c r="L558" s="11" t="n">
        <f aca="false">IFERROR(G558*1000000/$E558,"")</f>
        <v>169.123007581289</v>
      </c>
      <c r="M558" s="11" t="n">
        <f aca="false">IFERROR(H558*1000000/$E558,"")</f>
        <v>106.395164986251</v>
      </c>
      <c r="N558" s="11" t="n">
        <f aca="false">IFERROR(I558*1000000/$E558,"")</f>
        <v>348.8583596141</v>
      </c>
      <c r="O558" s="11" t="n">
        <f aca="false">IFERROR(J558*1000000/$E558,"")</f>
        <v>91.9784504186798</v>
      </c>
      <c r="P558" s="16" t="n">
        <f aca="false">COUNTIFS($A$4:$A$1008,$A558,$N$4:$N$1008,"&gt;"&amp;N558)+1</f>
        <v>11</v>
      </c>
      <c r="Q558" s="16" t="n">
        <f aca="false">COUNTIFS($A$4:$A$1008,$A558,$O$4:$O$1008,"&gt;"&amp;O558)+1</f>
        <v>39</v>
      </c>
    </row>
    <row r="559" customFormat="false" ht="15" hidden="false" customHeight="false" outlineLevel="0" collapsed="false">
      <c r="A559" s="7" t="n">
        <v>2014</v>
      </c>
      <c r="B559" s="15" t="s">
        <v>120</v>
      </c>
      <c r="C559" s="15" t="s">
        <v>118</v>
      </c>
      <c r="D559" s="15" t="s">
        <v>121</v>
      </c>
      <c r="E559" s="9" t="n">
        <f aca="false">SUMIFS(Data!$L$2:$L$1006,Data!$A$2:$A$1006,$A559,Data!$B$2:$B$1006,$B559)</f>
        <v>958029</v>
      </c>
      <c r="F559" s="10" t="n">
        <f aca="false">SUMIFS(Data!$E$2:$E$1006,Data!$A$2:$A$1006,$A559,Data!$B$2:$B$1006,$B559)</f>
        <v>123.922789</v>
      </c>
      <c r="G559" s="10" t="n">
        <f aca="false">SUMIFS(Data!$F$2:$F$1006,Data!$A$2:$A$1006,$A559,Data!$B$2:$B$1006,$B559)</f>
        <v>49.606707</v>
      </c>
      <c r="H559" s="10" t="n">
        <f aca="false">SUMIFS(Data!$G$2:$G$1006,Data!$A$2:$A$1006,$A559,Data!$B$2:$B$1006,$B559)</f>
        <v>111.56981</v>
      </c>
      <c r="I559" s="10" t="n">
        <f aca="false">SUMIFS(Data!$N$2:$N$1006,Data!$A$2:$A$1006,$A559,Data!$B$2:$B$1006,$B559)</f>
        <v>285.099306</v>
      </c>
      <c r="J559" s="10" t="n">
        <f aca="false">SUMIFS(Data!$H$2:$H$1006,Data!$A$2:$A$1006,$A559,Data!$B$2:$B$1006,$B559)</f>
        <v>147.799652</v>
      </c>
      <c r="K559" s="11" t="n">
        <f aca="false">IFERROR(F559*1000000/$E559,"")</f>
        <v>129.351813984754</v>
      </c>
      <c r="L559" s="11" t="n">
        <f aca="false">IFERROR(G559*1000000/$E559,"")</f>
        <v>51.7799638633069</v>
      </c>
      <c r="M559" s="11" t="n">
        <f aca="false">IFERROR(H559*1000000/$E559,"")</f>
        <v>116.457654204622</v>
      </c>
      <c r="N559" s="11" t="n">
        <f aca="false">IFERROR(I559*1000000/$E559,"")</f>
        <v>297.589432052683</v>
      </c>
      <c r="O559" s="11" t="n">
        <f aca="false">IFERROR(J559*1000000/$E559,"")</f>
        <v>154.274716109846</v>
      </c>
      <c r="P559" s="16" t="n">
        <f aca="false">COUNTIFS($A$4:$A$1008,$A559,$N$4:$N$1008,"&gt;"&amp;N559)+1</f>
        <v>18</v>
      </c>
      <c r="Q559" s="16" t="n">
        <f aca="false">COUNTIFS($A$4:$A$1008,$A559,$O$4:$O$1008,"&gt;"&amp;O559)+1</f>
        <v>26</v>
      </c>
    </row>
    <row r="560" customFormat="false" ht="15" hidden="false" customHeight="false" outlineLevel="0" collapsed="false">
      <c r="A560" s="7" t="n">
        <v>2014</v>
      </c>
      <c r="B560" s="15" t="s">
        <v>122</v>
      </c>
      <c r="C560" s="15" t="s">
        <v>118</v>
      </c>
      <c r="D560" s="15" t="s">
        <v>105</v>
      </c>
      <c r="E560" s="9" t="n">
        <f aca="false">SUMIFS(Data!$L$2:$L$1006,Data!$A$2:$A$1006,$A560,Data!$B$2:$B$1006,$B560)</f>
        <v>545281</v>
      </c>
      <c r="F560" s="10" t="n">
        <f aca="false">SUMIFS(Data!$E$2:$E$1006,Data!$A$2:$A$1006,$A560,Data!$B$2:$B$1006,$B560)</f>
        <v>66.772164</v>
      </c>
      <c r="G560" s="10" t="n">
        <f aca="false">SUMIFS(Data!$F$2:$F$1006,Data!$A$2:$A$1006,$A560,Data!$B$2:$B$1006,$B560)</f>
        <v>95.196152</v>
      </c>
      <c r="H560" s="10" t="n">
        <f aca="false">SUMIFS(Data!$G$2:$G$1006,Data!$A$2:$A$1006,$A560,Data!$B$2:$B$1006,$B560)</f>
        <v>45.676416</v>
      </c>
      <c r="I560" s="10" t="n">
        <f aca="false">SUMIFS(Data!$N$2:$N$1006,Data!$A$2:$A$1006,$A560,Data!$B$2:$B$1006,$B560)</f>
        <v>207.644732</v>
      </c>
      <c r="J560" s="10" t="n">
        <f aca="false">SUMIFS(Data!$H$2:$H$1006,Data!$A$2:$A$1006,$A560,Data!$B$2:$B$1006,$B560)</f>
        <v>123.263658</v>
      </c>
      <c r="K560" s="11" t="n">
        <f aca="false">IFERROR(F560*1000000/$E560,"")</f>
        <v>122.4545949703</v>
      </c>
      <c r="L560" s="11" t="n">
        <f aca="false">IFERROR(G560*1000000/$E560,"")</f>
        <v>174.581824783919</v>
      </c>
      <c r="M560" s="11" t="n">
        <f aca="false">IFERROR(H560*1000000/$E560,"")</f>
        <v>83.7667477869209</v>
      </c>
      <c r="N560" s="11" t="n">
        <f aca="false">IFERROR(I560*1000000/$E560,"")</f>
        <v>380.803167541139</v>
      </c>
      <c r="O560" s="11" t="n">
        <f aca="false">IFERROR(J560*1000000/$E560,"")</f>
        <v>226.055296260093</v>
      </c>
      <c r="P560" s="16" t="n">
        <f aca="false">COUNTIFS($A$4:$A$1008,$A560,$N$4:$N$1008,"&gt;"&amp;N560)+1</f>
        <v>6</v>
      </c>
      <c r="Q560" s="16" t="n">
        <f aca="false">COUNTIFS($A$4:$A$1008,$A560,$O$4:$O$1008,"&gt;"&amp;O560)+1</f>
        <v>6</v>
      </c>
    </row>
    <row r="561" customFormat="false" ht="15" hidden="false" customHeight="false" outlineLevel="0" collapsed="false">
      <c r="A561" s="7" t="n">
        <v>2014</v>
      </c>
      <c r="B561" s="15" t="s">
        <v>123</v>
      </c>
      <c r="C561" s="15" t="s">
        <v>118</v>
      </c>
      <c r="D561" s="15" t="s">
        <v>124</v>
      </c>
      <c r="E561" s="9" t="n">
        <f aca="false">SUMIFS(Data!$L$2:$L$1006,Data!$A$2:$A$1006,$A561,Data!$B$2:$B$1006,$B561)</f>
        <v>1248747</v>
      </c>
      <c r="F561" s="10" t="n">
        <f aca="false">SUMIFS(Data!$E$2:$E$1006,Data!$A$2:$A$1006,$A561,Data!$B$2:$B$1006,$B561)</f>
        <v>208.530136</v>
      </c>
      <c r="G561" s="10" t="n">
        <f aca="false">SUMIFS(Data!$F$2:$F$1006,Data!$A$2:$A$1006,$A561,Data!$B$2:$B$1006,$B561)</f>
        <v>91.913329</v>
      </c>
      <c r="H561" s="10" t="n">
        <f aca="false">SUMIFS(Data!$G$2:$G$1006,Data!$A$2:$A$1006,$A561,Data!$B$2:$B$1006,$B561)</f>
        <v>153.052038</v>
      </c>
      <c r="I561" s="10" t="n">
        <f aca="false">SUMIFS(Data!$N$2:$N$1006,Data!$A$2:$A$1006,$A561,Data!$B$2:$B$1006,$B561)</f>
        <v>453.495503</v>
      </c>
      <c r="J561" s="10" t="n">
        <f aca="false">SUMIFS(Data!$H$2:$H$1006,Data!$A$2:$A$1006,$A561,Data!$B$2:$B$1006,$B561)</f>
        <v>238.478452</v>
      </c>
      <c r="K561" s="11" t="n">
        <f aca="false">IFERROR(F561*1000000/$E561,"")</f>
        <v>166.991501080683</v>
      </c>
      <c r="L561" s="11" t="n">
        <f aca="false">IFERROR(G561*1000000/$E561,"")</f>
        <v>73.6044442949613</v>
      </c>
      <c r="M561" s="11" t="n">
        <f aca="false">IFERROR(H561*1000000/$E561,"")</f>
        <v>122.564489043818</v>
      </c>
      <c r="N561" s="11" t="n">
        <f aca="false">IFERROR(I561*1000000/$E561,"")</f>
        <v>363.160434419462</v>
      </c>
      <c r="O561" s="11" t="n">
        <f aca="false">IFERROR(J561*1000000/$E561,"")</f>
        <v>190.974194132198</v>
      </c>
      <c r="P561" s="16" t="n">
        <f aca="false">COUNTIFS($A$4:$A$1008,$A561,$N$4:$N$1008,"&gt;"&amp;N561)+1</f>
        <v>9</v>
      </c>
      <c r="Q561" s="16" t="n">
        <f aca="false">COUNTIFS($A$4:$A$1008,$A561,$O$4:$O$1008,"&gt;"&amp;O561)+1</f>
        <v>15</v>
      </c>
    </row>
    <row r="562" customFormat="false" ht="15" hidden="false" customHeight="false" outlineLevel="0" collapsed="false">
      <c r="A562" s="7" t="n">
        <v>2014</v>
      </c>
      <c r="B562" s="15" t="s">
        <v>125</v>
      </c>
      <c r="C562" s="15" t="s">
        <v>118</v>
      </c>
      <c r="D562" s="15" t="s">
        <v>126</v>
      </c>
      <c r="E562" s="9" t="n">
        <f aca="false">SUMIFS(Data!$L$2:$L$1006,Data!$A$2:$A$1006,$A562,Data!$B$2:$B$1006,$B562)</f>
        <v>507922</v>
      </c>
      <c r="F562" s="10" t="n">
        <f aca="false">SUMIFS(Data!$E$2:$E$1006,Data!$A$2:$A$1006,$A562,Data!$B$2:$B$1006,$B562)</f>
        <v>72.681307</v>
      </c>
      <c r="G562" s="10" t="n">
        <f aca="false">SUMIFS(Data!$F$2:$F$1006,Data!$A$2:$A$1006,$A562,Data!$B$2:$B$1006,$B562)</f>
        <v>62.376017</v>
      </c>
      <c r="H562" s="10" t="n">
        <f aca="false">SUMIFS(Data!$G$2:$G$1006,Data!$A$2:$A$1006,$A562,Data!$B$2:$B$1006,$B562)</f>
        <v>45.082536</v>
      </c>
      <c r="I562" s="10" t="n">
        <f aca="false">SUMIFS(Data!$N$2:$N$1006,Data!$A$2:$A$1006,$A562,Data!$B$2:$B$1006,$B562)</f>
        <v>180.13986</v>
      </c>
      <c r="J562" s="10" t="n">
        <f aca="false">SUMIFS(Data!$H$2:$H$1006,Data!$A$2:$A$1006,$A562,Data!$B$2:$B$1006,$B562)</f>
        <v>160.97999</v>
      </c>
      <c r="K562" s="11" t="n">
        <f aca="false">IFERROR(F562*1000000/$E562,"")</f>
        <v>143.095410318907</v>
      </c>
      <c r="L562" s="11" t="n">
        <f aca="false">IFERROR(G562*1000000/$E562,"")</f>
        <v>122.80629112344</v>
      </c>
      <c r="M562" s="11" t="n">
        <f aca="false">IFERROR(H562*1000000/$E562,"")</f>
        <v>88.7587779225944</v>
      </c>
      <c r="N562" s="11" t="n">
        <f aca="false">IFERROR(I562*1000000/$E562,"")</f>
        <v>354.660479364942</v>
      </c>
      <c r="O562" s="11" t="n">
        <f aca="false">IFERROR(J562*1000000/$E562,"")</f>
        <v>316.938407865775</v>
      </c>
      <c r="P562" s="16" t="n">
        <f aca="false">COUNTIFS($A$4:$A$1008,$A562,$N$4:$N$1008,"&gt;"&amp;N562)+1</f>
        <v>10</v>
      </c>
      <c r="Q562" s="16" t="n">
        <f aca="false">COUNTIFS($A$4:$A$1008,$A562,$O$4:$O$1008,"&gt;"&amp;O562)+1</f>
        <v>3</v>
      </c>
    </row>
    <row r="563" customFormat="false" ht="15" hidden="false" customHeight="false" outlineLevel="0" collapsed="false">
      <c r="A563" s="7" t="n">
        <v>2014</v>
      </c>
      <c r="B563" s="15" t="s">
        <v>127</v>
      </c>
      <c r="C563" s="15" t="s">
        <v>118</v>
      </c>
      <c r="D563" s="15" t="s">
        <v>103</v>
      </c>
      <c r="E563" s="9" t="n">
        <f aca="false">SUMIFS(Data!$L$2:$L$1006,Data!$A$2:$A$1006,$A563,Data!$B$2:$B$1006,$B563)</f>
        <v>696157</v>
      </c>
      <c r="F563" s="10" t="n">
        <f aca="false">SUMIFS(Data!$E$2:$E$1006,Data!$A$2:$A$1006,$A563,Data!$B$2:$B$1006,$B563)</f>
        <v>62.767833</v>
      </c>
      <c r="G563" s="10" t="n">
        <f aca="false">SUMIFS(Data!$F$2:$F$1006,Data!$A$2:$A$1006,$A563,Data!$B$2:$B$1006,$B563)</f>
        <v>31.599269</v>
      </c>
      <c r="H563" s="10" t="n">
        <f aca="false">SUMIFS(Data!$G$2:$G$1006,Data!$A$2:$A$1006,$A563,Data!$B$2:$B$1006,$B563)</f>
        <v>41.37206</v>
      </c>
      <c r="I563" s="10" t="n">
        <f aca="false">SUMIFS(Data!$N$2:$N$1006,Data!$A$2:$A$1006,$A563,Data!$B$2:$B$1006,$B563)</f>
        <v>135.739162</v>
      </c>
      <c r="J563" s="10" t="n">
        <f aca="false">SUMIFS(Data!$H$2:$H$1006,Data!$A$2:$A$1006,$A563,Data!$B$2:$B$1006,$B563)</f>
        <v>80.946353</v>
      </c>
      <c r="K563" s="11" t="n">
        <f aca="false">IFERROR(F563*1000000/$E563,"")</f>
        <v>90.1633295362971</v>
      </c>
      <c r="L563" s="11" t="n">
        <f aca="false">IFERROR(G563*1000000/$E563,"")</f>
        <v>45.391009499294</v>
      </c>
      <c r="M563" s="11" t="n">
        <f aca="false">IFERROR(H563*1000000/$E563,"")</f>
        <v>59.4292092157373</v>
      </c>
      <c r="N563" s="11" t="n">
        <f aca="false">IFERROR(I563*1000000/$E563,"")</f>
        <v>194.983548251328</v>
      </c>
      <c r="O563" s="11" t="n">
        <f aca="false">IFERROR(J563*1000000/$E563,"")</f>
        <v>116.276002396011</v>
      </c>
      <c r="P563" s="16" t="n">
        <f aca="false">COUNTIFS($A$4:$A$1008,$A563,$N$4:$N$1008,"&gt;"&amp;N563)+1</f>
        <v>36</v>
      </c>
      <c r="Q563" s="16" t="n">
        <f aca="false">COUNTIFS($A$4:$A$1008,$A563,$O$4:$O$1008,"&gt;"&amp;O563)+1</f>
        <v>36</v>
      </c>
    </row>
    <row r="564" customFormat="false" ht="15" hidden="false" customHeight="false" outlineLevel="0" collapsed="false">
      <c r="A564" s="7" t="n">
        <v>2014</v>
      </c>
      <c r="B564" s="15" t="s">
        <v>128</v>
      </c>
      <c r="C564" s="15" t="s">
        <v>118</v>
      </c>
      <c r="D564" s="15" t="s">
        <v>107</v>
      </c>
      <c r="E564" s="9" t="n">
        <f aca="false">SUMIFS(Data!$L$2:$L$1006,Data!$A$2:$A$1006,$A564,Data!$B$2:$B$1006,$B564)</f>
        <v>591422</v>
      </c>
      <c r="F564" s="10" t="n">
        <f aca="false">SUMIFS(Data!$E$2:$E$1006,Data!$A$2:$A$1006,$A564,Data!$B$2:$B$1006,$B564)</f>
        <v>42.058934</v>
      </c>
      <c r="G564" s="10" t="n">
        <f aca="false">SUMIFS(Data!$F$2:$F$1006,Data!$A$2:$A$1006,$A564,Data!$B$2:$B$1006,$B564)</f>
        <v>49.845097</v>
      </c>
      <c r="H564" s="10" t="n">
        <f aca="false">SUMIFS(Data!$G$2:$G$1006,Data!$A$2:$A$1006,$A564,Data!$B$2:$B$1006,$B564)</f>
        <v>68.934209</v>
      </c>
      <c r="I564" s="10" t="n">
        <f aca="false">SUMIFS(Data!$N$2:$N$1006,Data!$A$2:$A$1006,$A564,Data!$B$2:$B$1006,$B564)</f>
        <v>160.83824</v>
      </c>
      <c r="J564" s="10" t="n">
        <f aca="false">SUMIFS(Data!$H$2:$H$1006,Data!$A$2:$A$1006,$A564,Data!$B$2:$B$1006,$B564)</f>
        <v>120.190463</v>
      </c>
      <c r="K564" s="11" t="n">
        <f aca="false">IFERROR(F564*1000000/$E564,"")</f>
        <v>71.114929779413</v>
      </c>
      <c r="L564" s="11" t="n">
        <f aca="false">IFERROR(G564*1000000/$E564,"")</f>
        <v>84.2800859623078</v>
      </c>
      <c r="M564" s="11" t="n">
        <f aca="false">IFERROR(H564*1000000/$E564,"")</f>
        <v>116.556720920088</v>
      </c>
      <c r="N564" s="11" t="n">
        <f aca="false">IFERROR(I564*1000000/$E564,"")</f>
        <v>271.951736661808</v>
      </c>
      <c r="O564" s="11" t="n">
        <f aca="false">IFERROR(J564*1000000/$E564,"")</f>
        <v>203.222847645167</v>
      </c>
      <c r="P564" s="16" t="n">
        <f aca="false">COUNTIFS($A$4:$A$1008,$A564,$N$4:$N$1008,"&gt;"&amp;N564)+1</f>
        <v>26</v>
      </c>
      <c r="Q564" s="16" t="n">
        <f aca="false">COUNTIFS($A$4:$A$1008,$A564,$O$4:$O$1008,"&gt;"&amp;O564)+1</f>
        <v>12</v>
      </c>
    </row>
    <row r="565" customFormat="false" ht="15" hidden="false" customHeight="false" outlineLevel="0" collapsed="false">
      <c r="A565" s="7" t="n">
        <v>2014</v>
      </c>
      <c r="B565" s="15" t="s">
        <v>129</v>
      </c>
      <c r="C565" s="15" t="s">
        <v>118</v>
      </c>
      <c r="D565" s="15" t="s">
        <v>107</v>
      </c>
      <c r="E565" s="9" t="n">
        <f aca="false">SUMIFS(Data!$L$2:$L$1006,Data!$A$2:$A$1006,$A565,Data!$B$2:$B$1006,$B565)</f>
        <v>1590478</v>
      </c>
      <c r="F565" s="10" t="n">
        <f aca="false">SUMIFS(Data!$E$2:$E$1006,Data!$A$2:$A$1006,$A565,Data!$B$2:$B$1006,$B565)</f>
        <v>315.412482</v>
      </c>
      <c r="G565" s="10" t="n">
        <f aca="false">SUMIFS(Data!$F$2:$F$1006,Data!$A$2:$A$1006,$A565,Data!$B$2:$B$1006,$B565)</f>
        <v>213.239882</v>
      </c>
      <c r="H565" s="10" t="n">
        <f aca="false">SUMIFS(Data!$G$2:$G$1006,Data!$A$2:$A$1006,$A565,Data!$B$2:$B$1006,$B565)</f>
        <v>119.303039</v>
      </c>
      <c r="I565" s="10" t="n">
        <f aca="false">SUMIFS(Data!$N$2:$N$1006,Data!$A$2:$A$1006,$A565,Data!$B$2:$B$1006,$B565)</f>
        <v>647.955403</v>
      </c>
      <c r="J565" s="10" t="n">
        <f aca="false">SUMIFS(Data!$H$2:$H$1006,Data!$A$2:$A$1006,$A565,Data!$B$2:$B$1006,$B565)</f>
        <v>329.378974</v>
      </c>
      <c r="K565" s="11" t="n">
        <f aca="false">IFERROR(F565*1000000/$E565,"")</f>
        <v>198.313011560047</v>
      </c>
      <c r="L565" s="11" t="n">
        <f aca="false">IFERROR(G565*1000000/$E565,"")</f>
        <v>134.072827162652</v>
      </c>
      <c r="M565" s="11" t="n">
        <f aca="false">IFERROR(H565*1000000/$E565,"")</f>
        <v>75.0108074427939</v>
      </c>
      <c r="N565" s="11" t="n">
        <f aca="false">IFERROR(I565*1000000/$E565,"")</f>
        <v>407.396646165492</v>
      </c>
      <c r="O565" s="11" t="n">
        <f aca="false">IFERROR(J565*1000000/$E565,"")</f>
        <v>207.094328874716</v>
      </c>
      <c r="P565" s="16" t="n">
        <f aca="false">COUNTIFS($A$4:$A$1008,$A565,$N$4:$N$1008,"&gt;"&amp;N565)+1</f>
        <v>4</v>
      </c>
      <c r="Q565" s="16" t="n">
        <f aca="false">COUNTIFS($A$4:$A$1008,$A565,$O$4:$O$1008,"&gt;"&amp;O565)+1</f>
        <v>10</v>
      </c>
    </row>
    <row r="566" customFormat="false" ht="15" hidden="false" customHeight="false" outlineLevel="0" collapsed="false">
      <c r="A566" s="7" t="n">
        <v>2014</v>
      </c>
      <c r="B566" s="15" t="s">
        <v>130</v>
      </c>
      <c r="C566" s="15" t="s">
        <v>118</v>
      </c>
      <c r="D566" s="15" t="s">
        <v>107</v>
      </c>
      <c r="E566" s="9" t="n">
        <f aca="false">SUMIFS(Data!$L$2:$L$1006,Data!$A$2:$A$1006,$A566,Data!$B$2:$B$1006,$B566)</f>
        <v>1414297</v>
      </c>
      <c r="F566" s="10" t="n">
        <f aca="false">SUMIFS(Data!$E$2:$E$1006,Data!$A$2:$A$1006,$A566,Data!$B$2:$B$1006,$B566)</f>
        <v>176.100791</v>
      </c>
      <c r="G566" s="10" t="n">
        <f aca="false">SUMIFS(Data!$F$2:$F$1006,Data!$A$2:$A$1006,$A566,Data!$B$2:$B$1006,$B566)</f>
        <v>170.263029</v>
      </c>
      <c r="H566" s="10" t="n">
        <f aca="false">SUMIFS(Data!$G$2:$G$1006,Data!$A$2:$A$1006,$A566,Data!$B$2:$B$1006,$B566)</f>
        <v>108.314318</v>
      </c>
      <c r="I566" s="10" t="n">
        <f aca="false">SUMIFS(Data!$N$2:$N$1006,Data!$A$2:$A$1006,$A566,Data!$B$2:$B$1006,$B566)</f>
        <v>454.678138</v>
      </c>
      <c r="J566" s="10" t="n">
        <f aca="false">SUMIFS(Data!$H$2:$H$1006,Data!$A$2:$A$1006,$A566,Data!$B$2:$B$1006,$B566)</f>
        <v>259.358214</v>
      </c>
      <c r="K566" s="11" t="n">
        <f aca="false">IFERROR(F566*1000000/$E566,"")</f>
        <v>124.514717205792</v>
      </c>
      <c r="L566" s="11" t="n">
        <f aca="false">IFERROR(G566*1000000/$E566,"")</f>
        <v>120.387039638775</v>
      </c>
      <c r="M566" s="11" t="n">
        <f aca="false">IFERROR(H566*1000000/$E566,"")</f>
        <v>76.5852702791564</v>
      </c>
      <c r="N566" s="11" t="n">
        <f aca="false">IFERROR(I566*1000000/$E566,"")</f>
        <v>321.487027123723</v>
      </c>
      <c r="O566" s="11" t="n">
        <f aca="false">IFERROR(J566*1000000/$E566,"")</f>
        <v>183.383132397226</v>
      </c>
      <c r="P566" s="16" t="n">
        <f aca="false">COUNTIFS($A$4:$A$1008,$A566,$N$4:$N$1008,"&gt;"&amp;N566)+1</f>
        <v>14</v>
      </c>
      <c r="Q566" s="16" t="n">
        <f aca="false">COUNTIFS($A$4:$A$1008,$A566,$O$4:$O$1008,"&gt;"&amp;O566)+1</f>
        <v>18</v>
      </c>
    </row>
    <row r="567" customFormat="false" ht="15" hidden="false" customHeight="false" outlineLevel="0" collapsed="false">
      <c r="A567" s="7" t="n">
        <v>2014</v>
      </c>
      <c r="B567" s="15" t="s">
        <v>131</v>
      </c>
      <c r="C567" s="15" t="s">
        <v>118</v>
      </c>
      <c r="D567" s="15" t="s">
        <v>132</v>
      </c>
      <c r="E567" s="9" t="n">
        <f aca="false">SUMIFS(Data!$L$2:$L$1006,Data!$A$2:$A$1006,$A567,Data!$B$2:$B$1006,$B567)</f>
        <v>804892</v>
      </c>
      <c r="F567" s="10" t="n">
        <f aca="false">SUMIFS(Data!$E$2:$E$1006,Data!$A$2:$A$1006,$A567,Data!$B$2:$B$1006,$B567)</f>
        <v>121.59625</v>
      </c>
      <c r="G567" s="10" t="n">
        <f aca="false">SUMIFS(Data!$F$2:$F$1006,Data!$A$2:$A$1006,$A567,Data!$B$2:$B$1006,$B567)</f>
        <v>93.844619</v>
      </c>
      <c r="H567" s="10" t="n">
        <f aca="false">SUMIFS(Data!$G$2:$G$1006,Data!$A$2:$A$1006,$A567,Data!$B$2:$B$1006,$B567)</f>
        <v>116.967784</v>
      </c>
      <c r="I567" s="10" t="n">
        <f aca="false">SUMIFS(Data!$N$2:$N$1006,Data!$A$2:$A$1006,$A567,Data!$B$2:$B$1006,$B567)</f>
        <v>332.408653</v>
      </c>
      <c r="J567" s="10" t="n">
        <f aca="false">SUMIFS(Data!$H$2:$H$1006,Data!$A$2:$A$1006,$A567,Data!$B$2:$B$1006,$B567)</f>
        <v>406.470755</v>
      </c>
      <c r="K567" s="11" t="n">
        <f aca="false">IFERROR(F567*1000000/$E567,"")</f>
        <v>151.071510215035</v>
      </c>
      <c r="L567" s="11" t="n">
        <f aca="false">IFERROR(G567*1000000/$E567,"")</f>
        <v>116.592808724649</v>
      </c>
      <c r="M567" s="11" t="n">
        <f aca="false">IFERROR(H567*1000000/$E567,"")</f>
        <v>145.321091525323</v>
      </c>
      <c r="N567" s="11" t="n">
        <f aca="false">IFERROR(I567*1000000/$E567,"")</f>
        <v>412.985410465006</v>
      </c>
      <c r="O567" s="11" t="n">
        <f aca="false">IFERROR(J567*1000000/$E567,"")</f>
        <v>505.000366508799</v>
      </c>
      <c r="P567" s="16" t="n">
        <f aca="false">COUNTIFS($A$4:$A$1008,$A567,$N$4:$N$1008,"&gt;"&amp;N567)+1</f>
        <v>2</v>
      </c>
      <c r="Q567" s="16" t="n">
        <f aca="false">COUNTIFS($A$4:$A$1008,$A567,$O$4:$O$1008,"&gt;"&amp;O567)+1</f>
        <v>1</v>
      </c>
    </row>
    <row r="568" customFormat="false" ht="15" hidden="false" customHeight="false" outlineLevel="0" collapsed="false">
      <c r="A568" s="7" t="n">
        <v>2014</v>
      </c>
      <c r="B568" s="15" t="s">
        <v>133</v>
      </c>
      <c r="C568" s="15" t="s">
        <v>118</v>
      </c>
      <c r="D568" s="15" t="s">
        <v>105</v>
      </c>
      <c r="E568" s="9" t="n">
        <f aca="false">SUMIFS(Data!$L$2:$L$1006,Data!$A$2:$A$1006,$A568,Data!$B$2:$B$1006,$B568)</f>
        <v>2201077</v>
      </c>
      <c r="F568" s="10" t="n">
        <f aca="false">SUMIFS(Data!$E$2:$E$1006,Data!$A$2:$A$1006,$A568,Data!$B$2:$B$1006,$B568)</f>
        <v>169.243218</v>
      </c>
      <c r="G568" s="10" t="n">
        <f aca="false">SUMIFS(Data!$F$2:$F$1006,Data!$A$2:$A$1006,$A568,Data!$B$2:$B$1006,$B568)</f>
        <v>507.422154</v>
      </c>
      <c r="H568" s="10" t="n">
        <f aca="false">SUMIFS(Data!$G$2:$G$1006,Data!$A$2:$A$1006,$A568,Data!$B$2:$B$1006,$B568)</f>
        <v>176.262648</v>
      </c>
      <c r="I568" s="10" t="n">
        <f aca="false">SUMIFS(Data!$N$2:$N$1006,Data!$A$2:$A$1006,$A568,Data!$B$2:$B$1006,$B568)</f>
        <v>852.92802</v>
      </c>
      <c r="J568" s="10" t="n">
        <f aca="false">SUMIFS(Data!$H$2:$H$1006,Data!$A$2:$A$1006,$A568,Data!$B$2:$B$1006,$B568)</f>
        <v>215.302794</v>
      </c>
      <c r="K568" s="11" t="n">
        <f aca="false">IFERROR(F568*1000000/$E568,"")</f>
        <v>76.8910937690958</v>
      </c>
      <c r="L568" s="11" t="n">
        <f aca="false">IFERROR(G568*1000000/$E568,"")</f>
        <v>230.533576971637</v>
      </c>
      <c r="M568" s="11" t="n">
        <f aca="false">IFERROR(H568*1000000/$E568,"")</f>
        <v>80.0801825651715</v>
      </c>
      <c r="N568" s="11" t="n">
        <f aca="false">IFERROR(I568*1000000/$E568,"")</f>
        <v>387.504853305904</v>
      </c>
      <c r="O568" s="11" t="n">
        <f aca="false">IFERROR(J568*1000000/$E568,"")</f>
        <v>97.8170204858803</v>
      </c>
      <c r="P568" s="16" t="n">
        <f aca="false">COUNTIFS($A$4:$A$1008,$A568,$N$4:$N$1008,"&gt;"&amp;N568)+1</f>
        <v>5</v>
      </c>
      <c r="Q568" s="16" t="n">
        <f aca="false">COUNTIFS($A$4:$A$1008,$A568,$O$4:$O$1008,"&gt;"&amp;O568)+1</f>
        <v>38</v>
      </c>
    </row>
    <row r="569" customFormat="false" ht="15" hidden="false" customHeight="false" outlineLevel="0" collapsed="false">
      <c r="A569" s="7" t="n">
        <v>2014</v>
      </c>
      <c r="B569" s="15" t="s">
        <v>134</v>
      </c>
      <c r="C569" s="15" t="s">
        <v>135</v>
      </c>
      <c r="D569" s="15" t="s">
        <v>136</v>
      </c>
      <c r="E569" s="9" t="n">
        <f aca="false">SUMIFS(Data!$L$2:$L$1006,Data!$A$2:$A$1006,$A569,Data!$B$2:$B$1006,$B569)</f>
        <v>145033</v>
      </c>
      <c r="F569" s="10" t="n">
        <f aca="false">SUMIFS(Data!$E$2:$E$1006,Data!$A$2:$A$1006,$A569,Data!$B$2:$B$1006,$B569)</f>
        <v>24.611732</v>
      </c>
      <c r="G569" s="10" t="n">
        <f aca="false">SUMIFS(Data!$F$2:$F$1006,Data!$A$2:$A$1006,$A569,Data!$B$2:$B$1006,$B569)</f>
        <v>17.371226</v>
      </c>
      <c r="H569" s="10" t="n">
        <f aca="false">SUMIFS(Data!$G$2:$G$1006,Data!$A$2:$A$1006,$A569,Data!$B$2:$B$1006,$B569)</f>
        <v>17.129159</v>
      </c>
      <c r="I569" s="10" t="n">
        <f aca="false">SUMIFS(Data!$N$2:$N$1006,Data!$A$2:$A$1006,$A569,Data!$B$2:$B$1006,$B569)</f>
        <v>59.112117</v>
      </c>
      <c r="J569" s="10" t="n">
        <f aca="false">SUMIFS(Data!$H$2:$H$1006,Data!$A$2:$A$1006,$A569,Data!$B$2:$B$1006,$B569)</f>
        <v>23.412306</v>
      </c>
      <c r="K569" s="11" t="n">
        <f aca="false">IFERROR(F569*1000000/$E569,"")</f>
        <v>169.697461956934</v>
      </c>
      <c r="L569" s="11" t="n">
        <f aca="false">IFERROR(G569*1000000/$E569,"")</f>
        <v>119.77429964215</v>
      </c>
      <c r="M569" s="11" t="n">
        <f aca="false">IFERROR(H569*1000000/$E569,"")</f>
        <v>118.105251908186</v>
      </c>
      <c r="N569" s="11" t="n">
        <f aca="false">IFERROR(I569*1000000/$E569,"")</f>
        <v>407.577013507271</v>
      </c>
      <c r="O569" s="11" t="n">
        <f aca="false">IFERROR(J569*1000000/$E569,"")</f>
        <v>161.427440651438</v>
      </c>
      <c r="P569" s="16" t="n">
        <f aca="false">COUNTIFS($A$4:$A$1008,$A569,$N$4:$N$1008,"&gt;"&amp;N569)+1</f>
        <v>3</v>
      </c>
      <c r="Q569" s="16" t="n">
        <f aca="false">COUNTIFS($A$4:$A$1008,$A569,$O$4:$O$1008,"&gt;"&amp;O569)+1</f>
        <v>23</v>
      </c>
    </row>
    <row r="570" customFormat="false" ht="15" hidden="false" customHeight="false" outlineLevel="0" collapsed="false">
      <c r="A570" s="7" t="n">
        <v>2014</v>
      </c>
      <c r="B570" s="15" t="s">
        <v>137</v>
      </c>
      <c r="C570" s="15" t="s">
        <v>135</v>
      </c>
      <c r="D570" s="15" t="s">
        <v>138</v>
      </c>
      <c r="E570" s="9" t="n">
        <f aca="false">SUMIFS(Data!$L$2:$L$1006,Data!$A$2:$A$1006,$A570,Data!$B$2:$B$1006,$B570)</f>
        <v>1791366</v>
      </c>
      <c r="F570" s="10" t="n">
        <f aca="false">SUMIFS(Data!$E$2:$E$1006,Data!$A$2:$A$1006,$A570,Data!$B$2:$B$1006,$B570)</f>
        <v>183.777883</v>
      </c>
      <c r="G570" s="10" t="n">
        <f aca="false">SUMIFS(Data!$F$2:$F$1006,Data!$A$2:$A$1006,$A570,Data!$B$2:$B$1006,$B570)</f>
        <v>189.483903</v>
      </c>
      <c r="H570" s="10" t="n">
        <f aca="false">SUMIFS(Data!$G$2:$G$1006,Data!$A$2:$A$1006,$A570,Data!$B$2:$B$1006,$B570)</f>
        <v>189.898072</v>
      </c>
      <c r="I570" s="10" t="n">
        <f aca="false">SUMIFS(Data!$N$2:$N$1006,Data!$A$2:$A$1006,$A570,Data!$B$2:$B$1006,$B570)</f>
        <v>563.159858</v>
      </c>
      <c r="J570" s="10" t="n">
        <f aca="false">SUMIFS(Data!$H$2:$H$1006,Data!$A$2:$A$1006,$A570,Data!$B$2:$B$1006,$B570)</f>
        <v>382.395741</v>
      </c>
      <c r="K570" s="11" t="n">
        <f aca="false">IFERROR(F570*1000000/$E570,"")</f>
        <v>102.590918327131</v>
      </c>
      <c r="L570" s="11" t="n">
        <f aca="false">IFERROR(G570*1000000/$E570,"")</f>
        <v>105.776208212057</v>
      </c>
      <c r="M570" s="11" t="n">
        <f aca="false">IFERROR(H570*1000000/$E570,"")</f>
        <v>106.007411104152</v>
      </c>
      <c r="N570" s="11" t="n">
        <f aca="false">IFERROR(I570*1000000/$E570,"")</f>
        <v>314.37453764334</v>
      </c>
      <c r="O570" s="11" t="n">
        <f aca="false">IFERROR(J570*1000000/$E570,"")</f>
        <v>213.466003597255</v>
      </c>
      <c r="P570" s="16" t="n">
        <f aca="false">COUNTIFS($A$4:$A$1008,$A570,$N$4:$N$1008,"&gt;"&amp;N570)+1</f>
        <v>15</v>
      </c>
      <c r="Q570" s="16" t="n">
        <f aca="false">COUNTIFS($A$4:$A$1008,$A570,$O$4:$O$1008,"&gt;"&amp;O570)+1</f>
        <v>8</v>
      </c>
    </row>
    <row r="571" customFormat="false" ht="15" hidden="false" customHeight="false" outlineLevel="0" collapsed="false">
      <c r="A571" s="7" t="n">
        <v>2014</v>
      </c>
      <c r="B571" s="15" t="s">
        <v>139</v>
      </c>
      <c r="C571" s="15" t="s">
        <v>135</v>
      </c>
      <c r="D571" s="15" t="s">
        <v>138</v>
      </c>
      <c r="E571" s="9" t="n">
        <f aca="false">SUMIFS(Data!$L$2:$L$1006,Data!$A$2:$A$1006,$A571,Data!$B$2:$B$1006,$B571)</f>
        <v>2143851</v>
      </c>
      <c r="F571" s="10" t="n">
        <f aca="false">SUMIFS(Data!$E$2:$E$1006,Data!$A$2:$A$1006,$A571,Data!$B$2:$B$1006,$B571)</f>
        <v>292.153134</v>
      </c>
      <c r="G571" s="10" t="n">
        <f aca="false">SUMIFS(Data!$F$2:$F$1006,Data!$A$2:$A$1006,$A571,Data!$B$2:$B$1006,$B571)</f>
        <v>245.589474</v>
      </c>
      <c r="H571" s="10" t="n">
        <f aca="false">SUMIFS(Data!$G$2:$G$1006,Data!$A$2:$A$1006,$A571,Data!$B$2:$B$1006,$B571)</f>
        <v>269.369239</v>
      </c>
      <c r="I571" s="10" t="n">
        <f aca="false">SUMIFS(Data!$N$2:$N$1006,Data!$A$2:$A$1006,$A571,Data!$B$2:$B$1006,$B571)</f>
        <v>807.111847</v>
      </c>
      <c r="J571" s="10" t="n">
        <f aca="false">SUMIFS(Data!$H$2:$H$1006,Data!$A$2:$A$1006,$A571,Data!$B$2:$B$1006,$B571)</f>
        <v>449.126777</v>
      </c>
      <c r="K571" s="11" t="n">
        <f aca="false">IFERROR(F571*1000000/$E571,"")</f>
        <v>136.274924889836</v>
      </c>
      <c r="L571" s="11" t="n">
        <f aca="false">IFERROR(G571*1000000/$E571,"")</f>
        <v>114.555290456286</v>
      </c>
      <c r="M571" s="11" t="n">
        <f aca="false">IFERROR(H571*1000000/$E571,"")</f>
        <v>125.647369616638</v>
      </c>
      <c r="N571" s="11" t="n">
        <f aca="false">IFERROR(I571*1000000/$E571,"")</f>
        <v>376.477584962761</v>
      </c>
      <c r="O571" s="11" t="n">
        <f aca="false">IFERROR(J571*1000000/$E571,"")</f>
        <v>209.495331998353</v>
      </c>
      <c r="P571" s="16" t="n">
        <f aca="false">COUNTIFS($A$4:$A$1008,$A571,$N$4:$N$1008,"&gt;"&amp;N571)+1</f>
        <v>7</v>
      </c>
      <c r="Q571" s="16" t="n">
        <f aca="false">COUNTIFS($A$4:$A$1008,$A571,$O$4:$O$1008,"&gt;"&amp;O571)+1</f>
        <v>9</v>
      </c>
    </row>
    <row r="572" customFormat="false" ht="15" hidden="false" customHeight="false" outlineLevel="0" collapsed="false">
      <c r="A572" s="7" t="n">
        <v>2014</v>
      </c>
      <c r="B572" s="15" t="s">
        <v>140</v>
      </c>
      <c r="C572" s="15" t="s">
        <v>135</v>
      </c>
      <c r="D572" s="15" t="s">
        <v>141</v>
      </c>
      <c r="E572" s="9" t="n">
        <f aca="false">SUMIFS(Data!$L$2:$L$1006,Data!$A$2:$A$1006,$A572,Data!$B$2:$B$1006,$B572)</f>
        <v>797580</v>
      </c>
      <c r="F572" s="10" t="n">
        <f aca="false">SUMIFS(Data!$E$2:$E$1006,Data!$A$2:$A$1006,$A572,Data!$B$2:$B$1006,$B572)</f>
        <v>82.12087</v>
      </c>
      <c r="G572" s="10" t="n">
        <f aca="false">SUMIFS(Data!$F$2:$F$1006,Data!$A$2:$A$1006,$A572,Data!$B$2:$B$1006,$B572)</f>
        <v>47.138464</v>
      </c>
      <c r="H572" s="10" t="n">
        <f aca="false">SUMIFS(Data!$G$2:$G$1006,Data!$A$2:$A$1006,$A572,Data!$B$2:$B$1006,$B572)</f>
        <v>75.118257</v>
      </c>
      <c r="I572" s="10" t="n">
        <f aca="false">SUMIFS(Data!$N$2:$N$1006,Data!$A$2:$A$1006,$A572,Data!$B$2:$B$1006,$B572)</f>
        <v>204.377591</v>
      </c>
      <c r="J572" s="10" t="n">
        <f aca="false">SUMIFS(Data!$H$2:$H$1006,Data!$A$2:$A$1006,$A572,Data!$B$2:$B$1006,$B572)</f>
        <v>123.445402</v>
      </c>
      <c r="K572" s="11" t="n">
        <f aca="false">IFERROR(F572*1000000/$E572,"")</f>
        <v>102.962549211364</v>
      </c>
      <c r="L572" s="11" t="n">
        <f aca="false">IFERROR(G572*1000000/$E572,"")</f>
        <v>59.1018631359864</v>
      </c>
      <c r="M572" s="11" t="n">
        <f aca="false">IFERROR(H572*1000000/$E572,"")</f>
        <v>94.18272399007</v>
      </c>
      <c r="N572" s="11" t="n">
        <f aca="false">IFERROR(I572*1000000/$E572,"")</f>
        <v>256.247136337421</v>
      </c>
      <c r="O572" s="11" t="n">
        <f aca="false">IFERROR(J572*1000000/$E572,"")</f>
        <v>154.774946713809</v>
      </c>
      <c r="P572" s="16" t="n">
        <f aca="false">COUNTIFS($A$4:$A$1008,$A572,$N$4:$N$1008,"&gt;"&amp;N572)+1</f>
        <v>30</v>
      </c>
      <c r="Q572" s="16" t="n">
        <f aca="false">COUNTIFS($A$4:$A$1008,$A572,$O$4:$O$1008,"&gt;"&amp;O572)+1</f>
        <v>25</v>
      </c>
    </row>
    <row r="573" customFormat="false" ht="15" hidden="false" customHeight="false" outlineLevel="0" collapsed="false">
      <c r="A573" s="7" t="n">
        <v>2014</v>
      </c>
      <c r="B573" s="15" t="s">
        <v>142</v>
      </c>
      <c r="C573" s="15" t="s">
        <v>135</v>
      </c>
      <c r="D573" s="15" t="s">
        <v>143</v>
      </c>
      <c r="E573" s="9" t="n">
        <f aca="false">SUMIFS(Data!$L$2:$L$1006,Data!$A$2:$A$1006,$A573,Data!$B$2:$B$1006,$B573)</f>
        <v>585877</v>
      </c>
      <c r="F573" s="10" t="n">
        <f aca="false">SUMIFS(Data!$E$2:$E$1006,Data!$A$2:$A$1006,$A573,Data!$B$2:$B$1006,$B573)</f>
        <v>64.522349</v>
      </c>
      <c r="G573" s="10" t="n">
        <f aca="false">SUMIFS(Data!$F$2:$F$1006,Data!$A$2:$A$1006,$A573,Data!$B$2:$B$1006,$B573)</f>
        <v>30.37108</v>
      </c>
      <c r="H573" s="10" t="n">
        <f aca="false">SUMIFS(Data!$G$2:$G$1006,Data!$A$2:$A$1006,$A573,Data!$B$2:$B$1006,$B573)</f>
        <v>47.851538</v>
      </c>
      <c r="I573" s="10" t="n">
        <f aca="false">SUMIFS(Data!$N$2:$N$1006,Data!$A$2:$A$1006,$A573,Data!$B$2:$B$1006,$B573)</f>
        <v>142.744967</v>
      </c>
      <c r="J573" s="10" t="n">
        <f aca="false">SUMIFS(Data!$H$2:$H$1006,Data!$A$2:$A$1006,$A573,Data!$B$2:$B$1006,$B573)</f>
        <v>87.507026</v>
      </c>
      <c r="K573" s="11" t="n">
        <f aca="false">IFERROR(F573*1000000/$E573,"")</f>
        <v>110.129513532704</v>
      </c>
      <c r="L573" s="11" t="n">
        <f aca="false">IFERROR(G573*1000000/$E573,"")</f>
        <v>51.8386623813531</v>
      </c>
      <c r="M573" s="11" t="n">
        <f aca="false">IFERROR(H573*1000000/$E573,"")</f>
        <v>81.6750580753298</v>
      </c>
      <c r="N573" s="11" t="n">
        <f aca="false">IFERROR(I573*1000000/$E573,"")</f>
        <v>243.643233989387</v>
      </c>
      <c r="O573" s="11" t="n">
        <f aca="false">IFERROR(J573*1000000/$E573,"")</f>
        <v>149.360746368265</v>
      </c>
      <c r="P573" s="16" t="n">
        <f aca="false">COUNTIFS($A$4:$A$1008,$A573,$N$4:$N$1008,"&gt;"&amp;N573)+1</f>
        <v>33</v>
      </c>
      <c r="Q573" s="16" t="n">
        <f aca="false">COUNTIFS($A$4:$A$1008,$A573,$O$4:$O$1008,"&gt;"&amp;O573)+1</f>
        <v>29</v>
      </c>
    </row>
    <row r="574" customFormat="false" ht="15" hidden="false" customHeight="false" outlineLevel="0" collapsed="false">
      <c r="A574" s="7" t="n">
        <v>2014</v>
      </c>
      <c r="B574" s="15" t="s">
        <v>144</v>
      </c>
      <c r="C574" s="15" t="s">
        <v>135</v>
      </c>
      <c r="D574" s="15" t="s">
        <v>141</v>
      </c>
      <c r="E574" s="9" t="n">
        <f aca="false">SUMIFS(Data!$L$2:$L$1006,Data!$A$2:$A$1006,$A574,Data!$B$2:$B$1006,$B574)</f>
        <v>477921</v>
      </c>
      <c r="F574" s="10" t="n">
        <f aca="false">SUMIFS(Data!$E$2:$E$1006,Data!$A$2:$A$1006,$A574,Data!$B$2:$B$1006,$B574)</f>
        <v>37.732716</v>
      </c>
      <c r="G574" s="10" t="n">
        <f aca="false">SUMIFS(Data!$F$2:$F$1006,Data!$A$2:$A$1006,$A574,Data!$B$2:$B$1006,$B574)</f>
        <v>23.362306</v>
      </c>
      <c r="H574" s="10" t="n">
        <f aca="false">SUMIFS(Data!$G$2:$G$1006,Data!$A$2:$A$1006,$A574,Data!$B$2:$B$1006,$B574)</f>
        <v>66.396953</v>
      </c>
      <c r="I574" s="10" t="n">
        <f aca="false">SUMIFS(Data!$N$2:$N$1006,Data!$A$2:$A$1006,$A574,Data!$B$2:$B$1006,$B574)</f>
        <v>127.491975</v>
      </c>
      <c r="J574" s="10" t="n">
        <f aca="false">SUMIFS(Data!$H$2:$H$1006,Data!$A$2:$A$1006,$A574,Data!$B$2:$B$1006,$B574)</f>
        <v>58.730008</v>
      </c>
      <c r="K574" s="11" t="n">
        <f aca="false">IFERROR(F574*1000000/$E574,"")</f>
        <v>78.951784918428</v>
      </c>
      <c r="L574" s="11" t="n">
        <f aca="false">IFERROR(G574*1000000/$E574,"")</f>
        <v>48.883196176774</v>
      </c>
      <c r="M574" s="11" t="n">
        <f aca="false">IFERROR(H574*1000000/$E574,"")</f>
        <v>138.92872043706</v>
      </c>
      <c r="N574" s="11" t="n">
        <f aca="false">IFERROR(I574*1000000/$E574,"")</f>
        <v>266.763701532262</v>
      </c>
      <c r="O574" s="11" t="n">
        <f aca="false">IFERROR(J574*1000000/$E574,"")</f>
        <v>122.886435205819</v>
      </c>
      <c r="P574" s="16" t="n">
        <f aca="false">COUNTIFS($A$4:$A$1008,$A574,$N$4:$N$1008,"&gt;"&amp;N574)+1</f>
        <v>28</v>
      </c>
      <c r="Q574" s="16" t="n">
        <f aca="false">COUNTIFS($A$4:$A$1008,$A574,$O$4:$O$1008,"&gt;"&amp;O574)+1</f>
        <v>33</v>
      </c>
    </row>
    <row r="575" customFormat="false" ht="15" hidden="false" customHeight="false" outlineLevel="0" collapsed="false">
      <c r="A575" s="7" t="n">
        <v>2014</v>
      </c>
      <c r="B575" s="15" t="s">
        <v>145</v>
      </c>
      <c r="C575" s="15" t="s">
        <v>135</v>
      </c>
      <c r="D575" s="15" t="s">
        <v>146</v>
      </c>
      <c r="E575" s="9" t="n">
        <f aca="false">SUMIFS(Data!$L$2:$L$1006,Data!$A$2:$A$1006,$A575,Data!$B$2:$B$1006,$B575)</f>
        <v>529418</v>
      </c>
      <c r="F575" s="10" t="n">
        <f aca="false">SUMIFS(Data!$E$2:$E$1006,Data!$A$2:$A$1006,$A575,Data!$B$2:$B$1006,$B575)</f>
        <v>33.406898</v>
      </c>
      <c r="G575" s="10" t="n">
        <f aca="false">SUMIFS(Data!$F$2:$F$1006,Data!$A$2:$A$1006,$A575,Data!$B$2:$B$1006,$B575)</f>
        <v>65.220141</v>
      </c>
      <c r="H575" s="10" t="n">
        <f aca="false">SUMIFS(Data!$G$2:$G$1006,Data!$A$2:$A$1006,$A575,Data!$B$2:$B$1006,$B575)</f>
        <v>57.74664</v>
      </c>
      <c r="I575" s="10" t="n">
        <f aca="false">SUMIFS(Data!$N$2:$N$1006,Data!$A$2:$A$1006,$A575,Data!$B$2:$B$1006,$B575)</f>
        <v>156.373679</v>
      </c>
      <c r="J575" s="10" t="n">
        <f aca="false">SUMIFS(Data!$H$2:$H$1006,Data!$A$2:$A$1006,$A575,Data!$B$2:$B$1006,$B575)</f>
        <v>182.040773</v>
      </c>
      <c r="K575" s="11" t="n">
        <f aca="false">IFERROR(F575*1000000/$E575,"")</f>
        <v>63.1011752528248</v>
      </c>
      <c r="L575" s="11" t="n">
        <f aca="false">IFERROR(G575*1000000/$E575,"")</f>
        <v>123.192148736915</v>
      </c>
      <c r="M575" s="11" t="n">
        <f aca="false">IFERROR(H575*1000000/$E575,"")</f>
        <v>109.075701997288</v>
      </c>
      <c r="N575" s="11" t="n">
        <f aca="false">IFERROR(I575*1000000/$E575,"")</f>
        <v>295.369025987027</v>
      </c>
      <c r="O575" s="11" t="n">
        <f aca="false">IFERROR(J575*1000000/$E575,"")</f>
        <v>343.850743646797</v>
      </c>
      <c r="P575" s="16" t="n">
        <f aca="false">COUNTIFS($A$4:$A$1008,$A575,$N$4:$N$1008,"&gt;"&amp;N575)+1</f>
        <v>20</v>
      </c>
      <c r="Q575" s="16" t="n">
        <f aca="false">COUNTIFS($A$4:$A$1008,$A575,$O$4:$O$1008,"&gt;"&amp;O575)+1</f>
        <v>2</v>
      </c>
    </row>
    <row r="576" customFormat="false" ht="15" hidden="false" customHeight="false" outlineLevel="0" collapsed="false">
      <c r="A576" s="7" t="n">
        <v>2014</v>
      </c>
      <c r="B576" s="15" t="s">
        <v>147</v>
      </c>
      <c r="C576" s="15" t="s">
        <v>135</v>
      </c>
      <c r="D576" s="15" t="s">
        <v>148</v>
      </c>
      <c r="E576" s="9" t="n">
        <f aca="false">SUMIFS(Data!$L$2:$L$1006,Data!$A$2:$A$1006,$A576,Data!$B$2:$B$1006,$B576)</f>
        <v>144646</v>
      </c>
      <c r="F576" s="10" t="n">
        <f aca="false">SUMIFS(Data!$E$2:$E$1006,Data!$A$2:$A$1006,$A576,Data!$B$2:$B$1006,$B576)</f>
        <v>14.098925</v>
      </c>
      <c r="G576" s="10" t="n">
        <f aca="false">SUMIFS(Data!$F$2:$F$1006,Data!$A$2:$A$1006,$A576,Data!$B$2:$B$1006,$B576)</f>
        <v>14.539198</v>
      </c>
      <c r="H576" s="10" t="n">
        <f aca="false">SUMIFS(Data!$G$2:$G$1006,Data!$A$2:$A$1006,$A576,Data!$B$2:$B$1006,$B576)</f>
        <v>12.865445</v>
      </c>
      <c r="I576" s="10" t="n">
        <f aca="false">SUMIFS(Data!$N$2:$N$1006,Data!$A$2:$A$1006,$A576,Data!$B$2:$B$1006,$B576)</f>
        <v>41.503568</v>
      </c>
      <c r="J576" s="10" t="n">
        <f aca="false">SUMIFS(Data!$H$2:$H$1006,Data!$A$2:$A$1006,$A576,Data!$B$2:$B$1006,$B576)</f>
        <v>35.040181</v>
      </c>
      <c r="K576" s="11" t="n">
        <f aca="false">IFERROR(F576*1000000/$E576,"")</f>
        <v>97.4719314740816</v>
      </c>
      <c r="L576" s="11" t="n">
        <f aca="false">IFERROR(G576*1000000/$E576,"")</f>
        <v>100.515728053316</v>
      </c>
      <c r="M576" s="11" t="n">
        <f aca="false">IFERROR(H576*1000000/$E576,"")</f>
        <v>88.9443538016952</v>
      </c>
      <c r="N576" s="11" t="n">
        <f aca="false">IFERROR(I576*1000000/$E576,"")</f>
        <v>286.932013329093</v>
      </c>
      <c r="O576" s="11" t="n">
        <f aca="false">IFERROR(J576*1000000/$E576,"")</f>
        <v>242.247839553116</v>
      </c>
      <c r="P576" s="16" t="n">
        <f aca="false">COUNTIFS($A$4:$A$1008,$A576,$N$4:$N$1008,"&gt;"&amp;N576)+1</f>
        <v>21</v>
      </c>
      <c r="Q576" s="16" t="n">
        <f aca="false">COUNTIFS($A$4:$A$1008,$A576,$O$4:$O$1008,"&gt;"&amp;O576)+1</f>
        <v>4</v>
      </c>
    </row>
    <row r="577" customFormat="false" ht="15" hidden="false" customHeight="false" outlineLevel="0" collapsed="false">
      <c r="A577" s="7" t="n">
        <v>2014</v>
      </c>
      <c r="B577" s="15" t="s">
        <v>149</v>
      </c>
      <c r="C577" s="15" t="s">
        <v>135</v>
      </c>
      <c r="D577" s="15" t="s">
        <v>146</v>
      </c>
      <c r="E577" s="9" t="n">
        <f aca="false">SUMIFS(Data!$L$2:$L$1006,Data!$A$2:$A$1006,$A577,Data!$B$2:$B$1006,$B577)</f>
        <v>745568</v>
      </c>
      <c r="F577" s="10" t="n">
        <f aca="false">SUMIFS(Data!$E$2:$E$1006,Data!$A$2:$A$1006,$A577,Data!$B$2:$B$1006,$B577)</f>
        <v>92.165068</v>
      </c>
      <c r="G577" s="10" t="n">
        <f aca="false">SUMIFS(Data!$F$2:$F$1006,Data!$A$2:$A$1006,$A577,Data!$B$2:$B$1006,$B577)</f>
        <v>106.103493</v>
      </c>
      <c r="H577" s="10" t="n">
        <f aca="false">SUMIFS(Data!$G$2:$G$1006,Data!$A$2:$A$1006,$A577,Data!$B$2:$B$1006,$B577)</f>
        <v>61.024339</v>
      </c>
      <c r="I577" s="10" t="n">
        <f aca="false">SUMIFS(Data!$N$2:$N$1006,Data!$A$2:$A$1006,$A577,Data!$B$2:$B$1006,$B577)</f>
        <v>259.2929</v>
      </c>
      <c r="J577" s="10" t="n">
        <f aca="false">SUMIFS(Data!$H$2:$H$1006,Data!$A$2:$A$1006,$A577,Data!$B$2:$B$1006,$B577)</f>
        <v>148.207999</v>
      </c>
      <c r="K577" s="11" t="n">
        <f aca="false">IFERROR(F577*1000000/$E577,"")</f>
        <v>123.61725288639</v>
      </c>
      <c r="L577" s="11" t="n">
        <f aca="false">IFERROR(G577*1000000/$E577,"")</f>
        <v>142.31229478733</v>
      </c>
      <c r="M577" s="11" t="n">
        <f aca="false">IFERROR(H577*1000000/$E577,"")</f>
        <v>81.8494610820207</v>
      </c>
      <c r="N577" s="11" t="n">
        <f aca="false">IFERROR(I577*1000000/$E577,"")</f>
        <v>347.779008755741</v>
      </c>
      <c r="O577" s="11" t="n">
        <f aca="false">IFERROR(J577*1000000/$E577,"")</f>
        <v>198.785354253401</v>
      </c>
      <c r="P577" s="16" t="n">
        <f aca="false">COUNTIFS($A$4:$A$1008,$A577,$N$4:$N$1008,"&gt;"&amp;N577)+1</f>
        <v>12</v>
      </c>
      <c r="Q577" s="16" t="n">
        <f aca="false">COUNTIFS($A$4:$A$1008,$A577,$O$4:$O$1008,"&gt;"&amp;O577)+1</f>
        <v>13</v>
      </c>
    </row>
    <row r="578" customFormat="false" ht="15" hidden="false" customHeight="false" outlineLevel="0" collapsed="false">
      <c r="A578" s="7" t="n">
        <v>2014</v>
      </c>
      <c r="B578" s="15" t="s">
        <v>150</v>
      </c>
      <c r="C578" s="15" t="s">
        <v>135</v>
      </c>
      <c r="D578" s="15" t="s">
        <v>141</v>
      </c>
      <c r="E578" s="9" t="n">
        <f aca="false">SUMIFS(Data!$L$2:$L$1006,Data!$A$2:$A$1006,$A578,Data!$B$2:$B$1006,$B578)</f>
        <v>459863</v>
      </c>
      <c r="F578" s="10" t="n">
        <f aca="false">SUMIFS(Data!$E$2:$E$1006,Data!$A$2:$A$1006,$A578,Data!$B$2:$B$1006,$B578)</f>
        <v>43.587581</v>
      </c>
      <c r="G578" s="10" t="n">
        <f aca="false">SUMIFS(Data!$F$2:$F$1006,Data!$A$2:$A$1006,$A578,Data!$B$2:$B$1006,$B578)</f>
        <v>20.8502</v>
      </c>
      <c r="H578" s="10" t="n">
        <f aca="false">SUMIFS(Data!$G$2:$G$1006,Data!$A$2:$A$1006,$A578,Data!$B$2:$B$1006,$B578)</f>
        <v>43.817808</v>
      </c>
      <c r="I578" s="10" t="n">
        <f aca="false">SUMIFS(Data!$N$2:$N$1006,Data!$A$2:$A$1006,$A578,Data!$B$2:$B$1006,$B578)</f>
        <v>108.255589</v>
      </c>
      <c r="J578" s="10" t="n">
        <f aca="false">SUMIFS(Data!$H$2:$H$1006,Data!$A$2:$A$1006,$A578,Data!$B$2:$B$1006,$B578)</f>
        <v>83.456659</v>
      </c>
      <c r="K578" s="11" t="n">
        <f aca="false">IFERROR(F578*1000000/$E578,"")</f>
        <v>94.7838399697301</v>
      </c>
      <c r="L578" s="11" t="n">
        <f aca="false">IFERROR(G578*1000000/$E578,"")</f>
        <v>45.3400251814127</v>
      </c>
      <c r="M578" s="11" t="n">
        <f aca="false">IFERROR(H578*1000000/$E578,"")</f>
        <v>95.2844825524123</v>
      </c>
      <c r="N578" s="11" t="n">
        <f aca="false">IFERROR(I578*1000000/$E578,"")</f>
        <v>235.408347703555</v>
      </c>
      <c r="O578" s="11" t="n">
        <f aca="false">IFERROR(J578*1000000/$E578,"")</f>
        <v>181.48156951092</v>
      </c>
      <c r="P578" s="16" t="n">
        <f aca="false">COUNTIFS($A$4:$A$1008,$A578,$N$4:$N$1008,"&gt;"&amp;N578)+1</f>
        <v>34</v>
      </c>
      <c r="Q578" s="16" t="n">
        <f aca="false">COUNTIFS($A$4:$A$1008,$A578,$O$4:$O$1008,"&gt;"&amp;O578)+1</f>
        <v>20</v>
      </c>
    </row>
    <row r="579" customFormat="false" ht="15" hidden="false" customHeight="false" outlineLevel="0" collapsed="false">
      <c r="A579" s="7" t="n">
        <v>2014</v>
      </c>
      <c r="B579" s="15" t="s">
        <v>151</v>
      </c>
      <c r="C579" s="15" t="s">
        <v>135</v>
      </c>
      <c r="D579" s="15" t="s">
        <v>136</v>
      </c>
      <c r="E579" s="9" t="n">
        <f aca="false">SUMIFS(Data!$L$2:$L$1006,Data!$A$2:$A$1006,$A579,Data!$B$2:$B$1006,$B579)</f>
        <v>1429379</v>
      </c>
      <c r="F579" s="10" t="n">
        <f aca="false">SUMIFS(Data!$E$2:$E$1006,Data!$A$2:$A$1006,$A579,Data!$B$2:$B$1006,$B579)</f>
        <v>117.777814</v>
      </c>
      <c r="G579" s="10" t="n">
        <f aca="false">SUMIFS(Data!$F$2:$F$1006,Data!$A$2:$A$1006,$A579,Data!$B$2:$B$1006,$B579)</f>
        <v>182.127147</v>
      </c>
      <c r="H579" s="10" t="n">
        <f aca="false">SUMIFS(Data!$G$2:$G$1006,Data!$A$2:$A$1006,$A579,Data!$B$2:$B$1006,$B579)</f>
        <v>98.010454</v>
      </c>
      <c r="I579" s="10" t="n">
        <f aca="false">SUMIFS(Data!$N$2:$N$1006,Data!$A$2:$A$1006,$A579,Data!$B$2:$B$1006,$B579)</f>
        <v>397.915415</v>
      </c>
      <c r="J579" s="10" t="n">
        <f aca="false">SUMIFS(Data!$H$2:$H$1006,Data!$A$2:$A$1006,$A579,Data!$B$2:$B$1006,$B579)</f>
        <v>188.374822</v>
      </c>
      <c r="K579" s="11" t="n">
        <f aca="false">IFERROR(F579*1000000/$E579,"")</f>
        <v>82.3978902726289</v>
      </c>
      <c r="L579" s="11" t="n">
        <f aca="false">IFERROR(G579*1000000/$E579,"")</f>
        <v>127.41697408455</v>
      </c>
      <c r="M579" s="11" t="n">
        <f aca="false">IFERROR(H579*1000000/$E579,"")</f>
        <v>68.5685559952959</v>
      </c>
      <c r="N579" s="11" t="n">
        <f aca="false">IFERROR(I579*1000000/$E579,"")</f>
        <v>278.383420352475</v>
      </c>
      <c r="O579" s="11" t="n">
        <f aca="false">IFERROR(J579*1000000/$E579,"")</f>
        <v>131.787875713859</v>
      </c>
      <c r="P579" s="16" t="n">
        <f aca="false">COUNTIFS($A$4:$A$1008,$A579,$N$4:$N$1008,"&gt;"&amp;N579)+1</f>
        <v>25</v>
      </c>
      <c r="Q579" s="16" t="n">
        <f aca="false">COUNTIFS($A$4:$A$1008,$A579,$O$4:$O$1008,"&gt;"&amp;O579)+1</f>
        <v>31</v>
      </c>
    </row>
    <row r="580" customFormat="false" ht="15" hidden="false" customHeight="false" outlineLevel="0" collapsed="false">
      <c r="A580" s="7" t="n">
        <v>2014</v>
      </c>
      <c r="B580" s="15" t="s">
        <v>152</v>
      </c>
      <c r="C580" s="15" t="s">
        <v>135</v>
      </c>
      <c r="D580" s="15" t="s">
        <v>148</v>
      </c>
      <c r="E580" s="9" t="n">
        <f aca="false">SUMIFS(Data!$L$2:$L$1006,Data!$A$2:$A$1006,$A580,Data!$B$2:$B$1006,$B580)</f>
        <v>254118</v>
      </c>
      <c r="F580" s="10" t="n">
        <f aca="false">SUMIFS(Data!$E$2:$E$1006,Data!$A$2:$A$1006,$A580,Data!$B$2:$B$1006,$B580)</f>
        <v>24.835995</v>
      </c>
      <c r="G580" s="10" t="n">
        <f aca="false">SUMIFS(Data!$F$2:$F$1006,Data!$A$2:$A$1006,$A580,Data!$B$2:$B$1006,$B580)</f>
        <v>21.518682</v>
      </c>
      <c r="H580" s="10" t="n">
        <f aca="false">SUMIFS(Data!$G$2:$G$1006,Data!$A$2:$A$1006,$A580,Data!$B$2:$B$1006,$B580)</f>
        <v>25.675121</v>
      </c>
      <c r="I580" s="10" t="n">
        <f aca="false">SUMIFS(Data!$N$2:$N$1006,Data!$A$2:$A$1006,$A580,Data!$B$2:$B$1006,$B580)</f>
        <v>72.029798</v>
      </c>
      <c r="J580" s="10" t="n">
        <f aca="false">SUMIFS(Data!$H$2:$H$1006,Data!$A$2:$A$1006,$A580,Data!$B$2:$B$1006,$B580)</f>
        <v>47.92956</v>
      </c>
      <c r="K580" s="11" t="n">
        <f aca="false">IFERROR(F580*1000000/$E580,"")</f>
        <v>97.7341038415224</v>
      </c>
      <c r="L580" s="11" t="n">
        <f aca="false">IFERROR(G580*1000000/$E580,"")</f>
        <v>84.6798810001653</v>
      </c>
      <c r="M580" s="11" t="n">
        <f aca="false">IFERROR(H580*1000000/$E580,"")</f>
        <v>101.03621545896</v>
      </c>
      <c r="N580" s="11" t="n">
        <f aca="false">IFERROR(I580*1000000/$E580,"")</f>
        <v>283.450200300648</v>
      </c>
      <c r="O580" s="11" t="n">
        <f aca="false">IFERROR(J580*1000000/$E580,"")</f>
        <v>188.611432484122</v>
      </c>
      <c r="P580" s="16" t="n">
        <f aca="false">COUNTIFS($A$4:$A$1008,$A580,$N$4:$N$1008,"&gt;"&amp;N580)+1</f>
        <v>23</v>
      </c>
      <c r="Q580" s="16" t="n">
        <f aca="false">COUNTIFS($A$4:$A$1008,$A580,$O$4:$O$1008,"&gt;"&amp;O580)+1</f>
        <v>16</v>
      </c>
    </row>
    <row r="581" customFormat="false" ht="15" hidden="false" customHeight="false" outlineLevel="0" collapsed="false">
      <c r="A581" s="7" t="n">
        <v>2014</v>
      </c>
      <c r="B581" s="15" t="s">
        <v>153</v>
      </c>
      <c r="C581" s="15" t="s">
        <v>135</v>
      </c>
      <c r="D581" s="15" t="s">
        <v>136</v>
      </c>
      <c r="E581" s="9" t="n">
        <f aca="false">SUMIFS(Data!$L$2:$L$1006,Data!$A$2:$A$1006,$A581,Data!$B$2:$B$1006,$B581)</f>
        <v>130340</v>
      </c>
      <c r="F581" s="10" t="n">
        <f aca="false">SUMIFS(Data!$E$2:$E$1006,Data!$A$2:$A$1006,$A581,Data!$B$2:$B$1006,$B581)</f>
        <v>16.511225</v>
      </c>
      <c r="G581" s="10" t="n">
        <f aca="false">SUMIFS(Data!$F$2:$F$1006,Data!$A$2:$A$1006,$A581,Data!$B$2:$B$1006,$B581)</f>
        <v>21.387153</v>
      </c>
      <c r="H581" s="10" t="n">
        <f aca="false">SUMIFS(Data!$G$2:$G$1006,Data!$A$2:$A$1006,$A581,Data!$B$2:$B$1006,$B581)</f>
        <v>10.437274</v>
      </c>
      <c r="I581" s="10" t="n">
        <f aca="false">SUMIFS(Data!$N$2:$N$1006,Data!$A$2:$A$1006,$A581,Data!$B$2:$B$1006,$B581)</f>
        <v>48.335652</v>
      </c>
      <c r="J581" s="10" t="n">
        <f aca="false">SUMIFS(Data!$H$2:$H$1006,Data!$A$2:$A$1006,$A581,Data!$B$2:$B$1006,$B581)</f>
        <v>20.041382</v>
      </c>
      <c r="K581" s="11" t="n">
        <f aca="false">IFERROR(F581*1000000/$E581,"")</f>
        <v>126.678111094062</v>
      </c>
      <c r="L581" s="11" t="n">
        <f aca="false">IFERROR(G581*1000000/$E581,"")</f>
        <v>164.087409851159</v>
      </c>
      <c r="M581" s="11" t="n">
        <f aca="false">IFERROR(H581*1000000/$E581,"")</f>
        <v>80.077290164186</v>
      </c>
      <c r="N581" s="11" t="n">
        <f aca="false">IFERROR(I581*1000000/$E581,"")</f>
        <v>370.842811109406</v>
      </c>
      <c r="O581" s="11" t="n">
        <f aca="false">IFERROR(J581*1000000/$E581,"")</f>
        <v>153.762329292619</v>
      </c>
      <c r="P581" s="16" t="n">
        <f aca="false">COUNTIFS($A$4:$A$1008,$A581,$N$4:$N$1008,"&gt;"&amp;N581)+1</f>
        <v>8</v>
      </c>
      <c r="Q581" s="16" t="n">
        <f aca="false">COUNTIFS($A$4:$A$1008,$A581,$O$4:$O$1008,"&gt;"&amp;O581)+1</f>
        <v>27</v>
      </c>
    </row>
    <row r="582" customFormat="false" ht="15" hidden="false" customHeight="false" outlineLevel="0" collapsed="false">
      <c r="A582" s="7" t="n">
        <v>2014</v>
      </c>
      <c r="B582" s="15" t="s">
        <v>154</v>
      </c>
      <c r="C582" s="15" t="s">
        <v>135</v>
      </c>
      <c r="D582" s="15" t="s">
        <v>141</v>
      </c>
      <c r="E582" s="9" t="n">
        <f aca="false">SUMIFS(Data!$L$2:$L$1006,Data!$A$2:$A$1006,$A582,Data!$B$2:$B$1006,$B582)</f>
        <v>147171</v>
      </c>
      <c r="F582" s="10" t="n">
        <f aca="false">SUMIFS(Data!$E$2:$E$1006,Data!$A$2:$A$1006,$A582,Data!$B$2:$B$1006,$B582)</f>
        <v>15.880729</v>
      </c>
      <c r="G582" s="10" t="n">
        <f aca="false">SUMIFS(Data!$F$2:$F$1006,Data!$A$2:$A$1006,$A582,Data!$B$2:$B$1006,$B582)</f>
        <v>6.472015</v>
      </c>
      <c r="H582" s="10" t="n">
        <f aca="false">SUMIFS(Data!$G$2:$G$1006,Data!$A$2:$A$1006,$A582,Data!$B$2:$B$1006,$B582)</f>
        <v>17.569106</v>
      </c>
      <c r="I582" s="10" t="n">
        <f aca="false">SUMIFS(Data!$N$2:$N$1006,Data!$A$2:$A$1006,$A582,Data!$B$2:$B$1006,$B582)</f>
        <v>39.92185</v>
      </c>
      <c r="J582" s="10" t="n">
        <f aca="false">SUMIFS(Data!$H$2:$H$1006,Data!$A$2:$A$1006,$A582,Data!$B$2:$B$1006,$B582)</f>
        <v>27.089677</v>
      </c>
      <c r="K582" s="11" t="n">
        <f aca="false">IFERROR(F582*1000000/$E582,"")</f>
        <v>107.906646010423</v>
      </c>
      <c r="L582" s="11" t="n">
        <f aca="false">IFERROR(G582*1000000/$E582,"")</f>
        <v>43.97615698745</v>
      </c>
      <c r="M582" s="11" t="n">
        <f aca="false">IFERROR(H582*1000000/$E582,"")</f>
        <v>119.378858606655</v>
      </c>
      <c r="N582" s="11" t="n">
        <f aca="false">IFERROR(I582*1000000/$E582,"")</f>
        <v>271.261661604528</v>
      </c>
      <c r="O582" s="11" t="n">
        <f aca="false">IFERROR(J582*1000000/$E582,"")</f>
        <v>184.069395465139</v>
      </c>
      <c r="P582" s="16" t="n">
        <f aca="false">COUNTIFS($A$4:$A$1008,$A582,$N$4:$N$1008,"&gt;"&amp;N582)+1</f>
        <v>27</v>
      </c>
      <c r="Q582" s="16" t="n">
        <f aca="false">COUNTIFS($A$4:$A$1008,$A582,$O$4:$O$1008,"&gt;"&amp;O582)+1</f>
        <v>17</v>
      </c>
    </row>
    <row r="583" customFormat="false" ht="15" hidden="false" customHeight="false" outlineLevel="0" collapsed="false">
      <c r="A583" s="7" t="n">
        <v>2014</v>
      </c>
      <c r="B583" s="15" t="s">
        <v>155</v>
      </c>
      <c r="C583" s="15" t="s">
        <v>135</v>
      </c>
      <c r="D583" s="15" t="s">
        <v>148</v>
      </c>
      <c r="E583" s="9" t="n">
        <f aca="false">SUMIFS(Data!$L$2:$L$1006,Data!$A$2:$A$1006,$A583,Data!$B$2:$B$1006,$B583)</f>
        <v>1130631</v>
      </c>
      <c r="F583" s="10" t="n">
        <f aca="false">SUMIFS(Data!$E$2:$E$1006,Data!$A$2:$A$1006,$A583,Data!$B$2:$B$1006,$B583)</f>
        <v>80.130744</v>
      </c>
      <c r="G583" s="10" t="n">
        <f aca="false">SUMIFS(Data!$F$2:$F$1006,Data!$A$2:$A$1006,$A583,Data!$B$2:$B$1006,$B583)</f>
        <v>103.648228</v>
      </c>
      <c r="H583" s="10" t="n">
        <f aca="false">SUMIFS(Data!$G$2:$G$1006,Data!$A$2:$A$1006,$A583,Data!$B$2:$B$1006,$B583)</f>
        <v>102.234096</v>
      </c>
      <c r="I583" s="10" t="n">
        <f aca="false">SUMIFS(Data!$N$2:$N$1006,Data!$A$2:$A$1006,$A583,Data!$B$2:$B$1006,$B583)</f>
        <v>286.013068</v>
      </c>
      <c r="J583" s="10" t="n">
        <f aca="false">SUMIFS(Data!$H$2:$H$1006,Data!$A$2:$A$1006,$A583,Data!$B$2:$B$1006,$B583)</f>
        <v>216.010361</v>
      </c>
      <c r="K583" s="11" t="n">
        <f aca="false">IFERROR(F583*1000000/$E583,"")</f>
        <v>70.8725870774815</v>
      </c>
      <c r="L583" s="11" t="n">
        <f aca="false">IFERROR(G583*1000000/$E583,"")</f>
        <v>91.6729047761825</v>
      </c>
      <c r="M583" s="11" t="n">
        <f aca="false">IFERROR(H583*1000000/$E583,"")</f>
        <v>90.422158953717</v>
      </c>
      <c r="N583" s="11" t="n">
        <f aca="false">IFERROR(I583*1000000/$E583,"")</f>
        <v>252.967650807381</v>
      </c>
      <c r="O583" s="11" t="n">
        <f aca="false">IFERROR(J583*1000000/$E583,"")</f>
        <v>191.052926197849</v>
      </c>
      <c r="P583" s="16" t="n">
        <f aca="false">COUNTIFS($A$4:$A$1008,$A583,$N$4:$N$1008,"&gt;"&amp;N583)+1</f>
        <v>32</v>
      </c>
      <c r="Q583" s="16" t="n">
        <f aca="false">COUNTIFS($A$4:$A$1008,$A583,$O$4:$O$1008,"&gt;"&amp;O583)+1</f>
        <v>14</v>
      </c>
    </row>
    <row r="584" customFormat="false" ht="15" hidden="false" customHeight="false" outlineLevel="0" collapsed="false">
      <c r="A584" s="7" t="n">
        <v>2014</v>
      </c>
      <c r="B584" s="15" t="s">
        <v>156</v>
      </c>
      <c r="C584" s="15" t="s">
        <v>135</v>
      </c>
      <c r="D584" s="15" t="s">
        <v>148</v>
      </c>
      <c r="E584" s="9" t="n">
        <f aca="false">SUMIFS(Data!$L$2:$L$1006,Data!$A$2:$A$1006,$A584,Data!$B$2:$B$1006,$B584)</f>
        <v>464047</v>
      </c>
      <c r="F584" s="10" t="n">
        <f aca="false">SUMIFS(Data!$E$2:$E$1006,Data!$A$2:$A$1006,$A584,Data!$B$2:$B$1006,$B584)</f>
        <v>26.389465</v>
      </c>
      <c r="G584" s="10" t="n">
        <f aca="false">SUMIFS(Data!$F$2:$F$1006,Data!$A$2:$A$1006,$A584,Data!$B$2:$B$1006,$B584)</f>
        <v>54.042377</v>
      </c>
      <c r="H584" s="10" t="n">
        <f aca="false">SUMIFS(Data!$G$2:$G$1006,Data!$A$2:$A$1006,$A584,Data!$B$2:$B$1006,$B584)</f>
        <v>50.712948</v>
      </c>
      <c r="I584" s="10" t="n">
        <f aca="false">SUMIFS(Data!$N$2:$N$1006,Data!$A$2:$A$1006,$A584,Data!$B$2:$B$1006,$B584)</f>
        <v>131.14479</v>
      </c>
      <c r="J584" s="10" t="n">
        <f aca="false">SUMIFS(Data!$H$2:$H$1006,Data!$A$2:$A$1006,$A584,Data!$B$2:$B$1006,$B584)</f>
        <v>109.817324</v>
      </c>
      <c r="K584" s="11" t="n">
        <f aca="false">IFERROR(F584*1000000/$E584,"")</f>
        <v>56.8680866377759</v>
      </c>
      <c r="L584" s="11" t="n">
        <f aca="false">IFERROR(G584*1000000/$E584,"")</f>
        <v>116.458843608514</v>
      </c>
      <c r="M584" s="11" t="n">
        <f aca="false">IFERROR(H584*1000000/$E584,"")</f>
        <v>109.284076828425</v>
      </c>
      <c r="N584" s="11" t="n">
        <f aca="false">IFERROR(I584*1000000/$E584,"")</f>
        <v>282.611007074714</v>
      </c>
      <c r="O584" s="11" t="n">
        <f aca="false">IFERROR(J584*1000000/$E584,"")</f>
        <v>236.651296097163</v>
      </c>
      <c r="P584" s="16" t="n">
        <f aca="false">COUNTIFS($A$4:$A$1008,$A584,$N$4:$N$1008,"&gt;"&amp;N584)+1</f>
        <v>24</v>
      </c>
      <c r="Q584" s="16" t="n">
        <f aca="false">COUNTIFS($A$4:$A$1008,$A584,$O$4:$O$1008,"&gt;"&amp;O584)+1</f>
        <v>5</v>
      </c>
    </row>
    <row r="585" customFormat="false" ht="15" hidden="false" customHeight="false" outlineLevel="0" collapsed="false">
      <c r="A585" s="7" t="n">
        <v>2014</v>
      </c>
      <c r="B585" s="15" t="s">
        <v>157</v>
      </c>
      <c r="C585" s="15" t="s">
        <v>135</v>
      </c>
      <c r="D585" s="15" t="s">
        <v>148</v>
      </c>
      <c r="E585" s="9" t="n">
        <f aca="false">SUMIFS(Data!$L$2:$L$1006,Data!$A$2:$A$1006,$A585,Data!$B$2:$B$1006,$B585)</f>
        <v>445682</v>
      </c>
      <c r="F585" s="10" t="n">
        <f aca="false">SUMIFS(Data!$E$2:$E$1006,Data!$A$2:$A$1006,$A585,Data!$B$2:$B$1006,$B585)</f>
        <v>51.622136</v>
      </c>
      <c r="G585" s="10" t="n">
        <f aca="false">SUMIFS(Data!$F$2:$F$1006,Data!$A$2:$A$1006,$A585,Data!$B$2:$B$1006,$B585)</f>
        <v>40.453055</v>
      </c>
      <c r="H585" s="10" t="n">
        <f aca="false">SUMIFS(Data!$G$2:$G$1006,Data!$A$2:$A$1006,$A585,Data!$B$2:$B$1006,$B585)</f>
        <v>21.884603</v>
      </c>
      <c r="I585" s="10" t="n">
        <f aca="false">SUMIFS(Data!$N$2:$N$1006,Data!$A$2:$A$1006,$A585,Data!$B$2:$B$1006,$B585)</f>
        <v>113.959794</v>
      </c>
      <c r="J585" s="10" t="n">
        <f aca="false">SUMIFS(Data!$H$2:$H$1006,Data!$A$2:$A$1006,$A585,Data!$B$2:$B$1006,$B585)</f>
        <v>62.709968</v>
      </c>
      <c r="K585" s="11" t="n">
        <f aca="false">IFERROR(F585*1000000/$E585,"")</f>
        <v>115.827284925126</v>
      </c>
      <c r="L585" s="11" t="n">
        <f aca="false">IFERROR(G585*1000000/$E585,"")</f>
        <v>90.766634057467</v>
      </c>
      <c r="M585" s="11" t="n">
        <f aca="false">IFERROR(H585*1000000/$E585,"")</f>
        <v>49.103627698673</v>
      </c>
      <c r="N585" s="11" t="n">
        <f aca="false">IFERROR(I585*1000000/$E585,"")</f>
        <v>255.697546681266</v>
      </c>
      <c r="O585" s="11" t="n">
        <f aca="false">IFERROR(J585*1000000/$E585,"")</f>
        <v>140.705633164454</v>
      </c>
      <c r="P585" s="16" t="n">
        <f aca="false">COUNTIFS($A$4:$A$1008,$A585,$N$4:$N$1008,"&gt;"&amp;N585)+1</f>
        <v>31</v>
      </c>
      <c r="Q585" s="16" t="n">
        <f aca="false">COUNTIFS($A$4:$A$1008,$A585,$O$4:$O$1008,"&gt;"&amp;O585)+1</f>
        <v>30</v>
      </c>
    </row>
    <row r="586" customFormat="false" ht="15" hidden="false" customHeight="false" outlineLevel="0" collapsed="false">
      <c r="A586" s="7" t="n">
        <v>2015</v>
      </c>
      <c r="B586" s="15" t="s">
        <v>101</v>
      </c>
      <c r="C586" s="15" t="s">
        <v>102</v>
      </c>
      <c r="D586" s="15" t="s">
        <v>103</v>
      </c>
      <c r="E586" s="9" t="n">
        <f aca="false">SUMIFS(Data!$L$2:$L$1006,Data!$A$2:$A$1006,$A586,Data!$B$2:$B$1006,$B586)</f>
        <v>745641</v>
      </c>
      <c r="F586" s="10" t="n">
        <f aca="false">SUMIFS(Data!$E$2:$E$1006,Data!$A$2:$A$1006,$A586,Data!$B$2:$B$1006,$B586)</f>
        <v>42.853807</v>
      </c>
      <c r="G586" s="10" t="n">
        <f aca="false">SUMIFS(Data!$F$2:$F$1006,Data!$A$2:$A$1006,$A586,Data!$B$2:$B$1006,$B586)</f>
        <v>37.17818</v>
      </c>
      <c r="H586" s="10" t="n">
        <f aca="false">SUMIFS(Data!$G$2:$G$1006,Data!$A$2:$A$1006,$A586,Data!$B$2:$B$1006,$B586)</f>
        <v>71.961102</v>
      </c>
      <c r="I586" s="10" t="n">
        <f aca="false">SUMIFS(Data!$N$2:$N$1006,Data!$A$2:$A$1006,$A586,Data!$B$2:$B$1006,$B586)</f>
        <v>151.993089</v>
      </c>
      <c r="J586" s="10" t="n">
        <f aca="false">SUMIFS(Data!$H$2:$H$1006,Data!$A$2:$A$1006,$A586,Data!$B$2:$B$1006,$B586)</f>
        <v>83.331273</v>
      </c>
      <c r="K586" s="11" t="n">
        <f aca="false">IFERROR(F586*1000000/$E586,"")</f>
        <v>57.4724391496712</v>
      </c>
      <c r="L586" s="11" t="n">
        <f aca="false">IFERROR(G586*1000000/$E586,"")</f>
        <v>49.8606970378507</v>
      </c>
      <c r="M586" s="11" t="n">
        <f aca="false">IFERROR(H586*1000000/$E586,"")</f>
        <v>96.5090465787155</v>
      </c>
      <c r="N586" s="11" t="n">
        <f aca="false">IFERROR(I586*1000000/$E586,"")</f>
        <v>203.842182766237</v>
      </c>
      <c r="O586" s="11" t="n">
        <f aca="false">IFERROR(J586*1000000/$E586,"")</f>
        <v>111.757900920148</v>
      </c>
      <c r="P586" s="16" t="n">
        <f aca="false">COUNTIFS($A$4:$A$1008,$A586,$N$4:$N$1008,"&gt;"&amp;N586)+1</f>
        <v>38</v>
      </c>
      <c r="Q586" s="16" t="n">
        <f aca="false">COUNTIFS($A$4:$A$1008,$A586,$O$4:$O$1008,"&gt;"&amp;O586)+1</f>
        <v>37</v>
      </c>
    </row>
    <row r="587" customFormat="false" ht="15" hidden="false" customHeight="false" outlineLevel="0" collapsed="false">
      <c r="A587" s="7" t="n">
        <v>2015</v>
      </c>
      <c r="B587" s="15" t="s">
        <v>104</v>
      </c>
      <c r="C587" s="15" t="s">
        <v>102</v>
      </c>
      <c r="D587" s="15" t="s">
        <v>105</v>
      </c>
      <c r="E587" s="9" t="n">
        <f aca="false">SUMIFS(Data!$L$2:$L$1006,Data!$A$2:$A$1006,$A587,Data!$B$2:$B$1006,$B587)</f>
        <v>1106242</v>
      </c>
      <c r="F587" s="10" t="n">
        <f aca="false">SUMIFS(Data!$E$2:$E$1006,Data!$A$2:$A$1006,$A587,Data!$B$2:$B$1006,$B587)</f>
        <v>106.069097</v>
      </c>
      <c r="G587" s="10" t="n">
        <f aca="false">SUMIFS(Data!$F$2:$F$1006,Data!$A$2:$A$1006,$A587,Data!$B$2:$B$1006,$B587)</f>
        <v>179.943596</v>
      </c>
      <c r="H587" s="10" t="n">
        <f aca="false">SUMIFS(Data!$G$2:$G$1006,Data!$A$2:$A$1006,$A587,Data!$B$2:$B$1006,$B587)</f>
        <v>107.430717</v>
      </c>
      <c r="I587" s="10" t="n">
        <f aca="false">SUMIFS(Data!$N$2:$N$1006,Data!$A$2:$A$1006,$A587,Data!$B$2:$B$1006,$B587)</f>
        <v>393.44341</v>
      </c>
      <c r="J587" s="10" t="n">
        <f aca="false">SUMIFS(Data!$H$2:$H$1006,Data!$A$2:$A$1006,$A587,Data!$B$2:$B$1006,$B587)</f>
        <v>206.135722</v>
      </c>
      <c r="K587" s="11" t="n">
        <f aca="false">IFERROR(F587*1000000/$E587,"")</f>
        <v>95.8823629910996</v>
      </c>
      <c r="L587" s="11" t="n">
        <f aca="false">IFERROR(G587*1000000/$E587,"")</f>
        <v>162.662054053272</v>
      </c>
      <c r="M587" s="11" t="n">
        <f aca="false">IFERROR(H587*1000000/$E587,"")</f>
        <v>97.1132148300282</v>
      </c>
      <c r="N587" s="11" t="n">
        <f aca="false">IFERROR(I587*1000000/$E587,"")</f>
        <v>355.6576318744</v>
      </c>
      <c r="O587" s="11" t="n">
        <f aca="false">IFERROR(J587*1000000/$E587,"")</f>
        <v>186.33872335348</v>
      </c>
      <c r="P587" s="16" t="n">
        <f aca="false">COUNTIFS($A$4:$A$1008,$A587,$N$4:$N$1008,"&gt;"&amp;N587)+1</f>
        <v>9</v>
      </c>
      <c r="Q587" s="16" t="n">
        <f aca="false">COUNTIFS($A$4:$A$1008,$A587,$O$4:$O$1008,"&gt;"&amp;O587)+1</f>
        <v>17</v>
      </c>
    </row>
    <row r="588" customFormat="false" ht="15" hidden="false" customHeight="false" outlineLevel="0" collapsed="false">
      <c r="A588" s="7" t="n">
        <v>2015</v>
      </c>
      <c r="B588" s="15" t="s">
        <v>106</v>
      </c>
      <c r="C588" s="15" t="s">
        <v>102</v>
      </c>
      <c r="D588" s="15" t="s">
        <v>107</v>
      </c>
      <c r="E588" s="9" t="n">
        <f aca="false">SUMIFS(Data!$L$2:$L$1006,Data!$A$2:$A$1006,$A588,Data!$B$2:$B$1006,$B588)</f>
        <v>559325</v>
      </c>
      <c r="F588" s="10" t="n">
        <f aca="false">SUMIFS(Data!$E$2:$E$1006,Data!$A$2:$A$1006,$A588,Data!$B$2:$B$1006,$B588)</f>
        <v>39.664665</v>
      </c>
      <c r="G588" s="10" t="n">
        <f aca="false">SUMIFS(Data!$F$2:$F$1006,Data!$A$2:$A$1006,$A588,Data!$B$2:$B$1006,$B588)</f>
        <v>64.916562</v>
      </c>
      <c r="H588" s="10" t="n">
        <f aca="false">SUMIFS(Data!$G$2:$G$1006,Data!$A$2:$A$1006,$A588,Data!$B$2:$B$1006,$B588)</f>
        <v>48.974056</v>
      </c>
      <c r="I588" s="10" t="n">
        <f aca="false">SUMIFS(Data!$N$2:$N$1006,Data!$A$2:$A$1006,$A588,Data!$B$2:$B$1006,$B588)</f>
        <v>153.555283</v>
      </c>
      <c r="J588" s="10" t="n">
        <f aca="false">SUMIFS(Data!$H$2:$H$1006,Data!$A$2:$A$1006,$A588,Data!$B$2:$B$1006,$B588)</f>
        <v>88.63308</v>
      </c>
      <c r="K588" s="11" t="n">
        <f aca="false">IFERROR(F588*1000000/$E588,"")</f>
        <v>70.9152371161668</v>
      </c>
      <c r="L588" s="11" t="n">
        <f aca="false">IFERROR(G588*1000000/$E588,"")</f>
        <v>116.062328699772</v>
      </c>
      <c r="M588" s="11" t="n">
        <f aca="false">IFERROR(H588*1000000/$E588,"")</f>
        <v>87.5592115496357</v>
      </c>
      <c r="N588" s="11" t="n">
        <f aca="false">IFERROR(I588*1000000/$E588,"")</f>
        <v>274.536777365575</v>
      </c>
      <c r="O588" s="11" t="n">
        <f aca="false">IFERROR(J588*1000000/$E588,"")</f>
        <v>158.464363295043</v>
      </c>
      <c r="P588" s="16" t="n">
        <f aca="false">COUNTIFS($A$4:$A$1008,$A588,$N$4:$N$1008,"&gt;"&amp;N588)+1</f>
        <v>23</v>
      </c>
      <c r="Q588" s="16" t="n">
        <f aca="false">COUNTIFS($A$4:$A$1008,$A588,$O$4:$O$1008,"&gt;"&amp;O588)+1</f>
        <v>28</v>
      </c>
    </row>
    <row r="589" customFormat="false" ht="15" hidden="false" customHeight="false" outlineLevel="0" collapsed="false">
      <c r="A589" s="7" t="n">
        <v>2015</v>
      </c>
      <c r="B589" s="15" t="s">
        <v>108</v>
      </c>
      <c r="C589" s="15" t="s">
        <v>102</v>
      </c>
      <c r="D589" s="15" t="s">
        <v>109</v>
      </c>
      <c r="E589" s="9" t="n">
        <f aca="false">SUMIFS(Data!$L$2:$L$1006,Data!$A$2:$A$1006,$A589,Data!$B$2:$B$1006,$B589)</f>
        <v>389370</v>
      </c>
      <c r="F589" s="10" t="n">
        <f aca="false">SUMIFS(Data!$E$2:$E$1006,Data!$A$2:$A$1006,$A589,Data!$B$2:$B$1006,$B589)</f>
        <v>67.26089</v>
      </c>
      <c r="G589" s="10" t="n">
        <f aca="false">SUMIFS(Data!$F$2:$F$1006,Data!$A$2:$A$1006,$A589,Data!$B$2:$B$1006,$B589)</f>
        <v>25.107482</v>
      </c>
      <c r="H589" s="10" t="n">
        <f aca="false">SUMIFS(Data!$G$2:$G$1006,Data!$A$2:$A$1006,$A589,Data!$B$2:$B$1006,$B589)</f>
        <v>38.069077</v>
      </c>
      <c r="I589" s="10" t="n">
        <f aca="false">SUMIFS(Data!$N$2:$N$1006,Data!$A$2:$A$1006,$A589,Data!$B$2:$B$1006,$B589)</f>
        <v>130.437449</v>
      </c>
      <c r="J589" s="10" t="n">
        <f aca="false">SUMIFS(Data!$H$2:$H$1006,Data!$A$2:$A$1006,$A589,Data!$B$2:$B$1006,$B589)</f>
        <v>87.371996</v>
      </c>
      <c r="K589" s="11" t="n">
        <f aca="false">IFERROR(F589*1000000/$E589,"")</f>
        <v>172.742866682076</v>
      </c>
      <c r="L589" s="11" t="n">
        <f aca="false">IFERROR(G589*1000000/$E589,"")</f>
        <v>64.4823227264556</v>
      </c>
      <c r="M589" s="11" t="n">
        <f aca="false">IFERROR(H589*1000000/$E589,"")</f>
        <v>97.7709556463004</v>
      </c>
      <c r="N589" s="11" t="n">
        <f aca="false">IFERROR(I589*1000000/$E589,"")</f>
        <v>334.996145054832</v>
      </c>
      <c r="O589" s="11" t="n">
        <f aca="false">IFERROR(J589*1000000/$E589,"")</f>
        <v>224.393240362637</v>
      </c>
      <c r="P589" s="16" t="n">
        <f aca="false">COUNTIFS($A$4:$A$1008,$A589,$N$4:$N$1008,"&gt;"&amp;N589)+1</f>
        <v>13</v>
      </c>
      <c r="Q589" s="16" t="n">
        <f aca="false">COUNTIFS($A$4:$A$1008,$A589,$O$4:$O$1008,"&gt;"&amp;O589)+1</f>
        <v>6</v>
      </c>
    </row>
    <row r="590" customFormat="false" ht="15" hidden="false" customHeight="false" outlineLevel="0" collapsed="false">
      <c r="A590" s="7" t="n">
        <v>2015</v>
      </c>
      <c r="B590" s="15" t="s">
        <v>110</v>
      </c>
      <c r="C590" s="15" t="s">
        <v>102</v>
      </c>
      <c r="D590" s="15" t="s">
        <v>103</v>
      </c>
      <c r="E590" s="9" t="n">
        <f aca="false">SUMIFS(Data!$L$2:$L$1006,Data!$A$2:$A$1006,$A590,Data!$B$2:$B$1006,$B590)</f>
        <v>1037216</v>
      </c>
      <c r="F590" s="10" t="n">
        <f aca="false">SUMIFS(Data!$E$2:$E$1006,Data!$A$2:$A$1006,$A590,Data!$B$2:$B$1006,$B590)</f>
        <v>56.757678</v>
      </c>
      <c r="G590" s="10" t="n">
        <f aca="false">SUMIFS(Data!$F$2:$F$1006,Data!$A$2:$A$1006,$A590,Data!$B$2:$B$1006,$B590)</f>
        <v>49.433048</v>
      </c>
      <c r="H590" s="10" t="n">
        <f aca="false">SUMIFS(Data!$G$2:$G$1006,Data!$A$2:$A$1006,$A590,Data!$B$2:$B$1006,$B590)</f>
        <v>72.890291</v>
      </c>
      <c r="I590" s="10" t="n">
        <f aca="false">SUMIFS(Data!$N$2:$N$1006,Data!$A$2:$A$1006,$A590,Data!$B$2:$B$1006,$B590)</f>
        <v>179.081017</v>
      </c>
      <c r="J590" s="10" t="n">
        <f aca="false">SUMIFS(Data!$H$2:$H$1006,Data!$A$2:$A$1006,$A590,Data!$B$2:$B$1006,$B590)</f>
        <v>114.984029</v>
      </c>
      <c r="K590" s="11" t="n">
        <f aca="false">IFERROR(F590*1000000/$E590,"")</f>
        <v>54.7211747601271</v>
      </c>
      <c r="L590" s="11" t="n">
        <f aca="false">IFERROR(G590*1000000/$E590,"")</f>
        <v>47.6593573566162</v>
      </c>
      <c r="M590" s="11" t="n">
        <f aca="false">IFERROR(H590*1000000/$E590,"")</f>
        <v>70.2749388748342</v>
      </c>
      <c r="N590" s="11" t="n">
        <f aca="false">IFERROR(I590*1000000/$E590,"")</f>
        <v>172.655470991577</v>
      </c>
      <c r="O590" s="11" t="n">
        <f aca="false">IFERROR(J590*1000000/$E590,"")</f>
        <v>110.858325556104</v>
      </c>
      <c r="P590" s="16" t="n">
        <f aca="false">COUNTIFS($A$4:$A$1008,$A590,$N$4:$N$1008,"&gt;"&amp;N590)+1</f>
        <v>39</v>
      </c>
      <c r="Q590" s="16" t="n">
        <f aca="false">COUNTIFS($A$4:$A$1008,$A590,$O$4:$O$1008,"&gt;"&amp;O590)+1</f>
        <v>38</v>
      </c>
    </row>
    <row r="591" customFormat="false" ht="15" hidden="false" customHeight="false" outlineLevel="0" collapsed="false">
      <c r="A591" s="7" t="n">
        <v>2015</v>
      </c>
      <c r="B591" s="15" t="s">
        <v>111</v>
      </c>
      <c r="C591" s="15" t="s">
        <v>102</v>
      </c>
      <c r="D591" s="15" t="s">
        <v>107</v>
      </c>
      <c r="E591" s="9" t="n">
        <f aca="false">SUMIFS(Data!$L$2:$L$1006,Data!$A$2:$A$1006,$A591,Data!$B$2:$B$1006,$B591)</f>
        <v>587614</v>
      </c>
      <c r="F591" s="10" t="n">
        <f aca="false">SUMIFS(Data!$E$2:$E$1006,Data!$A$2:$A$1006,$A591,Data!$B$2:$B$1006,$B591)</f>
        <v>43.419706</v>
      </c>
      <c r="G591" s="10" t="n">
        <f aca="false">SUMIFS(Data!$F$2:$F$1006,Data!$A$2:$A$1006,$A591,Data!$B$2:$B$1006,$B591)</f>
        <v>64.654438</v>
      </c>
      <c r="H591" s="10" t="n">
        <f aca="false">SUMIFS(Data!$G$2:$G$1006,Data!$A$2:$A$1006,$A591,Data!$B$2:$B$1006,$B591)</f>
        <v>57.327433</v>
      </c>
      <c r="I591" s="10" t="n">
        <f aca="false">SUMIFS(Data!$N$2:$N$1006,Data!$A$2:$A$1006,$A591,Data!$B$2:$B$1006,$B591)</f>
        <v>165.401577</v>
      </c>
      <c r="J591" s="10" t="n">
        <f aca="false">SUMIFS(Data!$H$2:$H$1006,Data!$A$2:$A$1006,$A591,Data!$B$2:$B$1006,$B591)</f>
        <v>92.701046</v>
      </c>
      <c r="K591" s="11" t="n">
        <f aca="false">IFERROR(F591*1000000/$E591,"")</f>
        <v>73.8915444492473</v>
      </c>
      <c r="L591" s="11" t="n">
        <f aca="false">IFERROR(G591*1000000/$E591,"")</f>
        <v>110.028756973115</v>
      </c>
      <c r="M591" s="11" t="n">
        <f aca="false">IFERROR(H591*1000000/$E591,"")</f>
        <v>97.5596786325717</v>
      </c>
      <c r="N591" s="11" t="n">
        <f aca="false">IFERROR(I591*1000000/$E591,"")</f>
        <v>281.479980054934</v>
      </c>
      <c r="O591" s="11" t="n">
        <f aca="false">IFERROR(J591*1000000/$E591,"")</f>
        <v>157.758402624852</v>
      </c>
      <c r="P591" s="16" t="n">
        <f aca="false">COUNTIFS($A$4:$A$1008,$A591,$N$4:$N$1008,"&gt;"&amp;N591)+1</f>
        <v>21</v>
      </c>
      <c r="Q591" s="16" t="n">
        <f aca="false">COUNTIFS($A$4:$A$1008,$A591,$O$4:$O$1008,"&gt;"&amp;O591)+1</f>
        <v>29</v>
      </c>
    </row>
    <row r="592" customFormat="false" ht="15" hidden="false" customHeight="false" outlineLevel="0" collapsed="false">
      <c r="A592" s="7" t="n">
        <v>2015</v>
      </c>
      <c r="B592" s="15" t="s">
        <v>112</v>
      </c>
      <c r="C592" s="15" t="s">
        <v>102</v>
      </c>
      <c r="D592" s="15" t="s">
        <v>107</v>
      </c>
      <c r="E592" s="9" t="n">
        <f aca="false">SUMIFS(Data!$L$2:$L$1006,Data!$A$2:$A$1006,$A592,Data!$B$2:$B$1006,$B592)</f>
        <v>163171</v>
      </c>
      <c r="F592" s="10" t="n">
        <f aca="false">SUMIFS(Data!$E$2:$E$1006,Data!$A$2:$A$1006,$A592,Data!$B$2:$B$1006,$B592)</f>
        <v>12.443251</v>
      </c>
      <c r="G592" s="10" t="n">
        <f aca="false">SUMIFS(Data!$F$2:$F$1006,Data!$A$2:$A$1006,$A592,Data!$B$2:$B$1006,$B592)</f>
        <v>16.195487</v>
      </c>
      <c r="H592" s="10" t="n">
        <f aca="false">SUMIFS(Data!$G$2:$G$1006,Data!$A$2:$A$1006,$A592,Data!$B$2:$B$1006,$B592)</f>
        <v>15.726622</v>
      </c>
      <c r="I592" s="10" t="n">
        <f aca="false">SUMIFS(Data!$N$2:$N$1006,Data!$A$2:$A$1006,$A592,Data!$B$2:$B$1006,$B592)</f>
        <v>44.36536</v>
      </c>
      <c r="J592" s="10" t="n">
        <f aca="false">SUMIFS(Data!$H$2:$H$1006,Data!$A$2:$A$1006,$A592,Data!$B$2:$B$1006,$B592)</f>
        <v>53.075755</v>
      </c>
      <c r="K592" s="11" t="n">
        <f aca="false">IFERROR(F592*1000000/$E592,"")</f>
        <v>76.258961457612</v>
      </c>
      <c r="L592" s="11" t="n">
        <f aca="false">IFERROR(G592*1000000/$E592,"")</f>
        <v>99.2546898652334</v>
      </c>
      <c r="M592" s="11" t="n">
        <f aca="false">IFERROR(H592*1000000/$E592,"")</f>
        <v>96.3812319591104</v>
      </c>
      <c r="N592" s="11" t="n">
        <f aca="false">IFERROR(I592*1000000/$E592,"")</f>
        <v>271.894883281956</v>
      </c>
      <c r="O592" s="11" t="n">
        <f aca="false">IFERROR(J592*1000000/$E592,"")</f>
        <v>325.276887437106</v>
      </c>
      <c r="P592" s="16" t="n">
        <f aca="false">COUNTIFS($A$4:$A$1008,$A592,$N$4:$N$1008,"&gt;"&amp;N592)+1</f>
        <v>25</v>
      </c>
      <c r="Q592" s="16" t="n">
        <f aca="false">COUNTIFS($A$4:$A$1008,$A592,$O$4:$O$1008,"&gt;"&amp;O592)+1</f>
        <v>3</v>
      </c>
    </row>
    <row r="593" customFormat="false" ht="15" hidden="false" customHeight="false" outlineLevel="0" collapsed="false">
      <c r="A593" s="7" t="n">
        <v>2015</v>
      </c>
      <c r="B593" s="15" t="s">
        <v>113</v>
      </c>
      <c r="C593" s="15" t="s">
        <v>102</v>
      </c>
      <c r="D593" s="15" t="s">
        <v>114</v>
      </c>
      <c r="E593" s="9" t="n">
        <f aca="false">SUMIFS(Data!$L$2:$L$1006,Data!$A$2:$A$1006,$A593,Data!$B$2:$B$1006,$B593)</f>
        <v>398597</v>
      </c>
      <c r="F593" s="10" t="n">
        <f aca="false">SUMIFS(Data!$E$2:$E$1006,Data!$A$2:$A$1006,$A593,Data!$B$2:$B$1006,$B593)</f>
        <v>33.403407</v>
      </c>
      <c r="G593" s="10" t="n">
        <f aca="false">SUMIFS(Data!$F$2:$F$1006,Data!$A$2:$A$1006,$A593,Data!$B$2:$B$1006,$B593)</f>
        <v>29.404187</v>
      </c>
      <c r="H593" s="10" t="n">
        <f aca="false">SUMIFS(Data!$G$2:$G$1006,Data!$A$2:$A$1006,$A593,Data!$B$2:$B$1006,$B593)</f>
        <v>41.592223</v>
      </c>
      <c r="I593" s="10" t="n">
        <f aca="false">SUMIFS(Data!$N$2:$N$1006,Data!$A$2:$A$1006,$A593,Data!$B$2:$B$1006,$B593)</f>
        <v>104.399817</v>
      </c>
      <c r="J593" s="10" t="n">
        <f aca="false">SUMIFS(Data!$H$2:$H$1006,Data!$A$2:$A$1006,$A593,Data!$B$2:$B$1006,$B593)</f>
        <v>60.896705</v>
      </c>
      <c r="K593" s="11" t="n">
        <f aca="false">IFERROR(F593*1000000/$E593,"")</f>
        <v>83.802454609543</v>
      </c>
      <c r="L593" s="11" t="n">
        <f aca="false">IFERROR(G593*1000000/$E593,"")</f>
        <v>73.7692130146489</v>
      </c>
      <c r="M593" s="11" t="n">
        <f aca="false">IFERROR(H593*1000000/$E593,"")</f>
        <v>104.346553034769</v>
      </c>
      <c r="N593" s="11" t="n">
        <f aca="false">IFERROR(I593*1000000/$E593,"")</f>
        <v>261.918220658961</v>
      </c>
      <c r="O593" s="11" t="n">
        <f aca="false">IFERROR(J593*1000000/$E593,"")</f>
        <v>152.777630037356</v>
      </c>
      <c r="P593" s="16" t="n">
        <f aca="false">COUNTIFS($A$4:$A$1008,$A593,$N$4:$N$1008,"&gt;"&amp;N593)+1</f>
        <v>29</v>
      </c>
      <c r="Q593" s="16" t="n">
        <f aca="false">COUNTIFS($A$4:$A$1008,$A593,$O$4:$O$1008,"&gt;"&amp;O593)+1</f>
        <v>30</v>
      </c>
    </row>
    <row r="594" customFormat="false" ht="15" hidden="false" customHeight="false" outlineLevel="0" collapsed="false">
      <c r="A594" s="7" t="n">
        <v>2015</v>
      </c>
      <c r="B594" s="15" t="s">
        <v>115</v>
      </c>
      <c r="C594" s="15" t="s">
        <v>102</v>
      </c>
      <c r="D594" s="15" t="s">
        <v>103</v>
      </c>
      <c r="E594" s="9" t="n">
        <f aca="false">SUMIFS(Data!$L$2:$L$1006,Data!$A$2:$A$1006,$A594,Data!$B$2:$B$1006,$B594)</f>
        <v>308151</v>
      </c>
      <c r="F594" s="10" t="n">
        <f aca="false">SUMIFS(Data!$E$2:$E$1006,Data!$A$2:$A$1006,$A594,Data!$B$2:$B$1006,$B594)</f>
        <v>19.736383</v>
      </c>
      <c r="G594" s="10" t="n">
        <f aca="false">SUMIFS(Data!$F$2:$F$1006,Data!$A$2:$A$1006,$A594,Data!$B$2:$B$1006,$B594)</f>
        <v>21.644136</v>
      </c>
      <c r="H594" s="10" t="n">
        <f aca="false">SUMIFS(Data!$G$2:$G$1006,Data!$A$2:$A$1006,$A594,Data!$B$2:$B$1006,$B594)</f>
        <v>29.876274</v>
      </c>
      <c r="I594" s="10" t="n">
        <f aca="false">SUMIFS(Data!$N$2:$N$1006,Data!$A$2:$A$1006,$A594,Data!$B$2:$B$1006,$B594)</f>
        <v>71.256793</v>
      </c>
      <c r="J594" s="10" t="n">
        <f aca="false">SUMIFS(Data!$H$2:$H$1006,Data!$A$2:$A$1006,$A594,Data!$B$2:$B$1006,$B594)</f>
        <v>33.332307</v>
      </c>
      <c r="K594" s="11" t="n">
        <f aca="false">IFERROR(F594*1000000/$E594,"")</f>
        <v>64.047765543516</v>
      </c>
      <c r="L594" s="11" t="n">
        <f aca="false">IFERROR(G594*1000000/$E594,"")</f>
        <v>70.2387336078741</v>
      </c>
      <c r="M594" s="11" t="n">
        <f aca="false">IFERROR(H594*1000000/$E594,"")</f>
        <v>96.9533572826309</v>
      </c>
      <c r="N594" s="11" t="n">
        <f aca="false">IFERROR(I594*1000000/$E594,"")</f>
        <v>231.239856434021</v>
      </c>
      <c r="O594" s="11" t="n">
        <f aca="false">IFERROR(J594*1000000/$E594,"")</f>
        <v>108.168745193103</v>
      </c>
      <c r="P594" s="16" t="n">
        <f aca="false">COUNTIFS($A$4:$A$1008,$A594,$N$4:$N$1008,"&gt;"&amp;N594)+1</f>
        <v>34</v>
      </c>
      <c r="Q594" s="16" t="n">
        <f aca="false">COUNTIFS($A$4:$A$1008,$A594,$O$4:$O$1008,"&gt;"&amp;O594)+1</f>
        <v>39</v>
      </c>
    </row>
    <row r="595" customFormat="false" ht="15" hidden="false" customHeight="false" outlineLevel="0" collapsed="false">
      <c r="A595" s="7" t="n">
        <v>2015</v>
      </c>
      <c r="B595" s="15" t="s">
        <v>116</v>
      </c>
      <c r="C595" s="15" t="s">
        <v>102</v>
      </c>
      <c r="D595" s="15" t="s">
        <v>107</v>
      </c>
      <c r="E595" s="9" t="n">
        <f aca="false">SUMIFS(Data!$L$2:$L$1006,Data!$A$2:$A$1006,$A595,Data!$B$2:$B$1006,$B595)</f>
        <v>721791</v>
      </c>
      <c r="F595" s="10" t="n">
        <f aca="false">SUMIFS(Data!$E$2:$E$1006,Data!$A$2:$A$1006,$A595,Data!$B$2:$B$1006,$B595)</f>
        <v>54.854455</v>
      </c>
      <c r="G595" s="10" t="n">
        <f aca="false">SUMIFS(Data!$F$2:$F$1006,Data!$A$2:$A$1006,$A595,Data!$B$2:$B$1006,$B595)</f>
        <v>56.810796</v>
      </c>
      <c r="H595" s="10" t="n">
        <f aca="false">SUMIFS(Data!$G$2:$G$1006,Data!$A$2:$A$1006,$A595,Data!$B$2:$B$1006,$B595)</f>
        <v>45.998809</v>
      </c>
      <c r="I595" s="10" t="n">
        <f aca="false">SUMIFS(Data!$N$2:$N$1006,Data!$A$2:$A$1006,$A595,Data!$B$2:$B$1006,$B595)</f>
        <v>157.66406</v>
      </c>
      <c r="J595" s="10" t="n">
        <f aca="false">SUMIFS(Data!$H$2:$H$1006,Data!$A$2:$A$1006,$A595,Data!$B$2:$B$1006,$B595)</f>
        <v>94.484855</v>
      </c>
      <c r="K595" s="11" t="n">
        <f aca="false">IFERROR(F595*1000000/$E595,"")</f>
        <v>75.9976987798407</v>
      </c>
      <c r="L595" s="11" t="n">
        <f aca="false">IFERROR(G595*1000000/$E595,"")</f>
        <v>78.7080969421896</v>
      </c>
      <c r="M595" s="11" t="n">
        <f aca="false">IFERROR(H595*1000000/$E595,"")</f>
        <v>63.7287095571987</v>
      </c>
      <c r="N595" s="11" t="n">
        <f aca="false">IFERROR(I595*1000000/$E595,"")</f>
        <v>218.434505279229</v>
      </c>
      <c r="O595" s="11" t="n">
        <f aca="false">IFERROR(J595*1000000/$E595,"")</f>
        <v>130.903343211539</v>
      </c>
      <c r="P595" s="16" t="n">
        <f aca="false">COUNTIFS($A$4:$A$1008,$A595,$N$4:$N$1008,"&gt;"&amp;N595)+1</f>
        <v>36</v>
      </c>
      <c r="Q595" s="16" t="n">
        <f aca="false">COUNTIFS($A$4:$A$1008,$A595,$O$4:$O$1008,"&gt;"&amp;O595)+1</f>
        <v>34</v>
      </c>
    </row>
    <row r="596" customFormat="false" ht="15" hidden="false" customHeight="false" outlineLevel="0" collapsed="false">
      <c r="A596" s="7" t="n">
        <v>2015</v>
      </c>
      <c r="B596" s="15" t="s">
        <v>117</v>
      </c>
      <c r="C596" s="15" t="s">
        <v>118</v>
      </c>
      <c r="D596" s="15" t="s">
        <v>103</v>
      </c>
      <c r="E596" s="9" t="n">
        <f aca="false">SUMIFS(Data!$L$2:$L$1006,Data!$A$2:$A$1006,$A596,Data!$B$2:$B$1006,$B596)</f>
        <v>1464068</v>
      </c>
      <c r="F596" s="10" t="n">
        <f aca="false">SUMIFS(Data!$E$2:$E$1006,Data!$A$2:$A$1006,$A596,Data!$B$2:$B$1006,$B596)</f>
        <v>189.705305</v>
      </c>
      <c r="G596" s="10" t="n">
        <f aca="false">SUMIFS(Data!$F$2:$F$1006,Data!$A$2:$A$1006,$A596,Data!$B$2:$B$1006,$B596)</f>
        <v>293.193701</v>
      </c>
      <c r="H596" s="10" t="n">
        <f aca="false">SUMIFS(Data!$G$2:$G$1006,Data!$A$2:$A$1006,$A596,Data!$B$2:$B$1006,$B596)</f>
        <v>109.935954</v>
      </c>
      <c r="I596" s="10" t="n">
        <f aca="false">SUMIFS(Data!$N$2:$N$1006,Data!$A$2:$A$1006,$A596,Data!$B$2:$B$1006,$B596)</f>
        <v>592.83496</v>
      </c>
      <c r="J596" s="10" t="n">
        <f aca="false">SUMIFS(Data!$H$2:$H$1006,Data!$A$2:$A$1006,$A596,Data!$B$2:$B$1006,$B596)</f>
        <v>271.496682</v>
      </c>
      <c r="K596" s="11" t="n">
        <f aca="false">IFERROR(F596*1000000/$E596,"")</f>
        <v>129.574107896628</v>
      </c>
      <c r="L596" s="11" t="n">
        <f aca="false">IFERROR(G596*1000000/$E596,"")</f>
        <v>200.259619771759</v>
      </c>
      <c r="M596" s="11" t="n">
        <f aca="false">IFERROR(H596*1000000/$E596,"")</f>
        <v>75.0893769961505</v>
      </c>
      <c r="N596" s="11" t="n">
        <f aca="false">IFERROR(I596*1000000/$E596,"")</f>
        <v>404.923104664537</v>
      </c>
      <c r="O596" s="11" t="n">
        <f aca="false">IFERROR(J596*1000000/$E596,"")</f>
        <v>185.439939948144</v>
      </c>
      <c r="P596" s="16" t="n">
        <f aca="false">COUNTIFS($A$4:$A$1008,$A596,$N$4:$N$1008,"&gt;"&amp;N596)+1</f>
        <v>3</v>
      </c>
      <c r="Q596" s="16" t="n">
        <f aca="false">COUNTIFS($A$4:$A$1008,$A596,$O$4:$O$1008,"&gt;"&amp;O596)+1</f>
        <v>19</v>
      </c>
    </row>
    <row r="597" customFormat="false" ht="15" hidden="false" customHeight="false" outlineLevel="0" collapsed="false">
      <c r="A597" s="7" t="n">
        <v>2015</v>
      </c>
      <c r="B597" s="15" t="s">
        <v>119</v>
      </c>
      <c r="C597" s="15" t="s">
        <v>118</v>
      </c>
      <c r="D597" s="15" t="s">
        <v>103</v>
      </c>
      <c r="E597" s="9" t="n">
        <f aca="false">SUMIFS(Data!$L$2:$L$1006,Data!$A$2:$A$1006,$A597,Data!$B$2:$B$1006,$B597)</f>
        <v>515822</v>
      </c>
      <c r="F597" s="10" t="n">
        <f aca="false">SUMIFS(Data!$E$2:$E$1006,Data!$A$2:$A$1006,$A597,Data!$B$2:$B$1006,$B597)</f>
        <v>53.049383</v>
      </c>
      <c r="G597" s="10" t="n">
        <f aca="false">SUMIFS(Data!$F$2:$F$1006,Data!$A$2:$A$1006,$A597,Data!$B$2:$B$1006,$B597)</f>
        <v>72.891159</v>
      </c>
      <c r="H597" s="10" t="n">
        <f aca="false">SUMIFS(Data!$G$2:$G$1006,Data!$A$2:$A$1006,$A597,Data!$B$2:$B$1006,$B597)</f>
        <v>53.981325</v>
      </c>
      <c r="I597" s="10" t="n">
        <f aca="false">SUMIFS(Data!$N$2:$N$1006,Data!$A$2:$A$1006,$A597,Data!$B$2:$B$1006,$B597)</f>
        <v>179.921867</v>
      </c>
      <c r="J597" s="10" t="n">
        <f aca="false">SUMIFS(Data!$H$2:$H$1006,Data!$A$2:$A$1006,$A597,Data!$B$2:$B$1006,$B597)</f>
        <v>84.045772</v>
      </c>
      <c r="K597" s="11" t="n">
        <f aca="false">IFERROR(F597*1000000/$E597,"")</f>
        <v>102.84435910062</v>
      </c>
      <c r="L597" s="11" t="n">
        <f aca="false">IFERROR(G597*1000000/$E597,"")</f>
        <v>141.310682754904</v>
      </c>
      <c r="M597" s="11" t="n">
        <f aca="false">IFERROR(H597*1000000/$E597,"")</f>
        <v>104.651071493655</v>
      </c>
      <c r="N597" s="11" t="n">
        <f aca="false">IFERROR(I597*1000000/$E597,"")</f>
        <v>348.806113349179</v>
      </c>
      <c r="O597" s="11" t="n">
        <f aca="false">IFERROR(J597*1000000/$E597,"")</f>
        <v>162.935609570743</v>
      </c>
      <c r="P597" s="16" t="n">
        <f aca="false">COUNTIFS($A$4:$A$1008,$A597,$N$4:$N$1008,"&gt;"&amp;N597)+1</f>
        <v>11</v>
      </c>
      <c r="Q597" s="16" t="n">
        <f aca="false">COUNTIFS($A$4:$A$1008,$A597,$O$4:$O$1008,"&gt;"&amp;O597)+1</f>
        <v>27</v>
      </c>
    </row>
    <row r="598" customFormat="false" ht="15" hidden="false" customHeight="false" outlineLevel="0" collapsed="false">
      <c r="A598" s="7" t="n">
        <v>2015</v>
      </c>
      <c r="B598" s="15" t="s">
        <v>120</v>
      </c>
      <c r="C598" s="15" t="s">
        <v>118</v>
      </c>
      <c r="D598" s="15" t="s">
        <v>121</v>
      </c>
      <c r="E598" s="9" t="n">
        <f aca="false">SUMIFS(Data!$L$2:$L$1006,Data!$A$2:$A$1006,$A598,Data!$B$2:$B$1006,$B598)</f>
        <v>956606</v>
      </c>
      <c r="F598" s="10" t="n">
        <f aca="false">SUMIFS(Data!$E$2:$E$1006,Data!$A$2:$A$1006,$A598,Data!$B$2:$B$1006,$B598)</f>
        <v>139.749367</v>
      </c>
      <c r="G598" s="10" t="n">
        <f aca="false">SUMIFS(Data!$F$2:$F$1006,Data!$A$2:$A$1006,$A598,Data!$B$2:$B$1006,$B598)</f>
        <v>48.815819</v>
      </c>
      <c r="H598" s="10" t="n">
        <f aca="false">SUMIFS(Data!$G$2:$G$1006,Data!$A$2:$A$1006,$A598,Data!$B$2:$B$1006,$B598)</f>
        <v>121.892441</v>
      </c>
      <c r="I598" s="10" t="n">
        <f aca="false">SUMIFS(Data!$N$2:$N$1006,Data!$A$2:$A$1006,$A598,Data!$B$2:$B$1006,$B598)</f>
        <v>310.457627</v>
      </c>
      <c r="J598" s="10" t="n">
        <f aca="false">SUMIFS(Data!$H$2:$H$1006,Data!$A$2:$A$1006,$A598,Data!$B$2:$B$1006,$B598)</f>
        <v>175.404254</v>
      </c>
      <c r="K598" s="11" t="n">
        <f aca="false">IFERROR(F598*1000000/$E598,"")</f>
        <v>146.088741864467</v>
      </c>
      <c r="L598" s="11" t="n">
        <f aca="false">IFERROR(G598*1000000/$E598,"")</f>
        <v>51.0302245647633</v>
      </c>
      <c r="M598" s="11" t="n">
        <f aca="false">IFERROR(H598*1000000/$E598,"")</f>
        <v>127.421781799403</v>
      </c>
      <c r="N598" s="11" t="n">
        <f aca="false">IFERROR(I598*1000000/$E598,"")</f>
        <v>324.540748228633</v>
      </c>
      <c r="O598" s="11" t="n">
        <f aca="false">IFERROR(J598*1000000/$E598,"")</f>
        <v>183.361022197226</v>
      </c>
      <c r="P598" s="16" t="n">
        <f aca="false">COUNTIFS($A$4:$A$1008,$A598,$N$4:$N$1008,"&gt;"&amp;N598)+1</f>
        <v>15</v>
      </c>
      <c r="Q598" s="16" t="n">
        <f aca="false">COUNTIFS($A$4:$A$1008,$A598,$O$4:$O$1008,"&gt;"&amp;O598)+1</f>
        <v>20</v>
      </c>
    </row>
    <row r="599" customFormat="false" ht="15" hidden="false" customHeight="false" outlineLevel="0" collapsed="false">
      <c r="A599" s="7" t="n">
        <v>2015</v>
      </c>
      <c r="B599" s="15" t="s">
        <v>122</v>
      </c>
      <c r="C599" s="15" t="s">
        <v>118</v>
      </c>
      <c r="D599" s="15" t="s">
        <v>105</v>
      </c>
      <c r="E599" s="9" t="n">
        <f aca="false">SUMIFS(Data!$L$2:$L$1006,Data!$A$2:$A$1006,$A599,Data!$B$2:$B$1006,$B599)</f>
        <v>545783</v>
      </c>
      <c r="F599" s="10" t="n">
        <f aca="false">SUMIFS(Data!$E$2:$E$1006,Data!$A$2:$A$1006,$A599,Data!$B$2:$B$1006,$B599)</f>
        <v>72.952725</v>
      </c>
      <c r="G599" s="10" t="n">
        <f aca="false">SUMIFS(Data!$F$2:$F$1006,Data!$A$2:$A$1006,$A599,Data!$B$2:$B$1006,$B599)</f>
        <v>116.34189</v>
      </c>
      <c r="H599" s="10" t="n">
        <f aca="false">SUMIFS(Data!$G$2:$G$1006,Data!$A$2:$A$1006,$A599,Data!$B$2:$B$1006,$B599)</f>
        <v>47.731621</v>
      </c>
      <c r="I599" s="10" t="n">
        <f aca="false">SUMIFS(Data!$N$2:$N$1006,Data!$A$2:$A$1006,$A599,Data!$B$2:$B$1006,$B599)</f>
        <v>237.026236</v>
      </c>
      <c r="J599" s="10" t="n">
        <f aca="false">SUMIFS(Data!$H$2:$H$1006,Data!$A$2:$A$1006,$A599,Data!$B$2:$B$1006,$B599)</f>
        <v>90.122996</v>
      </c>
      <c r="K599" s="11" t="n">
        <f aca="false">IFERROR(F599*1000000/$E599,"")</f>
        <v>133.666173186046</v>
      </c>
      <c r="L599" s="11" t="n">
        <f aca="false">IFERROR(G599*1000000/$E599,"")</f>
        <v>213.165104079827</v>
      </c>
      <c r="M599" s="11" t="n">
        <f aca="false">IFERROR(H599*1000000/$E599,"")</f>
        <v>87.4553091613334</v>
      </c>
      <c r="N599" s="11" t="n">
        <f aca="false">IFERROR(I599*1000000/$E599,"")</f>
        <v>434.286586427206</v>
      </c>
      <c r="O599" s="11" t="n">
        <f aca="false">IFERROR(J599*1000000/$E599,"")</f>
        <v>165.126059257983</v>
      </c>
      <c r="P599" s="16" t="n">
        <f aca="false">COUNTIFS($A$4:$A$1008,$A599,$N$4:$N$1008,"&gt;"&amp;N599)+1</f>
        <v>2</v>
      </c>
      <c r="Q599" s="16" t="n">
        <f aca="false">COUNTIFS($A$4:$A$1008,$A599,$O$4:$O$1008,"&gt;"&amp;O599)+1</f>
        <v>26</v>
      </c>
    </row>
    <row r="600" customFormat="false" ht="15" hidden="false" customHeight="false" outlineLevel="0" collapsed="false">
      <c r="A600" s="7" t="n">
        <v>2015</v>
      </c>
      <c r="B600" s="15" t="s">
        <v>123</v>
      </c>
      <c r="C600" s="15" t="s">
        <v>118</v>
      </c>
      <c r="D600" s="15" t="s">
        <v>124</v>
      </c>
      <c r="E600" s="9" t="n">
        <f aca="false">SUMIFS(Data!$L$2:$L$1006,Data!$A$2:$A$1006,$A600,Data!$B$2:$B$1006,$B600)</f>
        <v>1257765</v>
      </c>
      <c r="F600" s="10" t="n">
        <f aca="false">SUMIFS(Data!$E$2:$E$1006,Data!$A$2:$A$1006,$A600,Data!$B$2:$B$1006,$B600)</f>
        <v>187.276453</v>
      </c>
      <c r="G600" s="10" t="n">
        <f aca="false">SUMIFS(Data!$F$2:$F$1006,Data!$A$2:$A$1006,$A600,Data!$B$2:$B$1006,$B600)</f>
        <v>61.018301</v>
      </c>
      <c r="H600" s="10" t="n">
        <f aca="false">SUMIFS(Data!$G$2:$G$1006,Data!$A$2:$A$1006,$A600,Data!$B$2:$B$1006,$B600)</f>
        <v>133.693889</v>
      </c>
      <c r="I600" s="10" t="n">
        <f aca="false">SUMIFS(Data!$N$2:$N$1006,Data!$A$2:$A$1006,$A600,Data!$B$2:$B$1006,$B600)</f>
        <v>381.988643</v>
      </c>
      <c r="J600" s="10" t="n">
        <f aca="false">SUMIFS(Data!$H$2:$H$1006,Data!$A$2:$A$1006,$A600,Data!$B$2:$B$1006,$B600)</f>
        <v>245.153345</v>
      </c>
      <c r="K600" s="11" t="n">
        <f aca="false">IFERROR(F600*1000000/$E600,"")</f>
        <v>148.896219087031</v>
      </c>
      <c r="L600" s="11" t="n">
        <f aca="false">IFERROR(G600*1000000/$E600,"")</f>
        <v>48.5132763274539</v>
      </c>
      <c r="M600" s="11" t="n">
        <f aca="false">IFERROR(H600*1000000/$E600,"")</f>
        <v>106.294807853613</v>
      </c>
      <c r="N600" s="11" t="n">
        <f aca="false">IFERROR(I600*1000000/$E600,"")</f>
        <v>303.704303268099</v>
      </c>
      <c r="O600" s="11" t="n">
        <f aca="false">IFERROR(J600*1000000/$E600,"")</f>
        <v>194.911883380441</v>
      </c>
      <c r="P600" s="16" t="n">
        <f aca="false">COUNTIFS($A$4:$A$1008,$A600,$N$4:$N$1008,"&gt;"&amp;N600)+1</f>
        <v>19</v>
      </c>
      <c r="Q600" s="16" t="n">
        <f aca="false">COUNTIFS($A$4:$A$1008,$A600,$O$4:$O$1008,"&gt;"&amp;O600)+1</f>
        <v>15</v>
      </c>
    </row>
    <row r="601" customFormat="false" ht="15" hidden="false" customHeight="false" outlineLevel="0" collapsed="false">
      <c r="A601" s="7" t="n">
        <v>2015</v>
      </c>
      <c r="B601" s="15" t="s">
        <v>125</v>
      </c>
      <c r="C601" s="15" t="s">
        <v>118</v>
      </c>
      <c r="D601" s="15" t="s">
        <v>126</v>
      </c>
      <c r="E601" s="9" t="n">
        <f aca="false">SUMIFS(Data!$L$2:$L$1006,Data!$A$2:$A$1006,$A601,Data!$B$2:$B$1006,$B601)</f>
        <v>511765</v>
      </c>
      <c r="F601" s="10" t="n">
        <f aca="false">SUMIFS(Data!$E$2:$E$1006,Data!$A$2:$A$1006,$A601,Data!$B$2:$B$1006,$B601)</f>
        <v>75.338422</v>
      </c>
      <c r="G601" s="10" t="n">
        <f aca="false">SUMIFS(Data!$F$2:$F$1006,Data!$A$2:$A$1006,$A601,Data!$B$2:$B$1006,$B601)</f>
        <v>79.480109</v>
      </c>
      <c r="H601" s="10" t="n">
        <f aca="false">SUMIFS(Data!$G$2:$G$1006,Data!$A$2:$A$1006,$A601,Data!$B$2:$B$1006,$B601)</f>
        <v>47.869133</v>
      </c>
      <c r="I601" s="10" t="n">
        <f aca="false">SUMIFS(Data!$N$2:$N$1006,Data!$A$2:$A$1006,$A601,Data!$B$2:$B$1006,$B601)</f>
        <v>202.687664</v>
      </c>
      <c r="J601" s="10" t="n">
        <f aca="false">SUMIFS(Data!$H$2:$H$1006,Data!$A$2:$A$1006,$A601,Data!$B$2:$B$1006,$B601)</f>
        <v>134.679991</v>
      </c>
      <c r="K601" s="11" t="n">
        <f aca="false">IFERROR(F601*1000000/$E601,"")</f>
        <v>147.212923900618</v>
      </c>
      <c r="L601" s="11" t="n">
        <f aca="false">IFERROR(G601*1000000/$E601,"")</f>
        <v>155.305870858695</v>
      </c>
      <c r="M601" s="11" t="n">
        <f aca="false">IFERROR(H601*1000000/$E601,"")</f>
        <v>93.5373325647514</v>
      </c>
      <c r="N601" s="11" t="n">
        <f aca="false">IFERROR(I601*1000000/$E601,"")</f>
        <v>396.056127324065</v>
      </c>
      <c r="O601" s="11" t="n">
        <f aca="false">IFERROR(J601*1000000/$E601,"")</f>
        <v>263.167647259973</v>
      </c>
      <c r="P601" s="16" t="n">
        <f aca="false">COUNTIFS($A$4:$A$1008,$A601,$N$4:$N$1008,"&gt;"&amp;N601)+1</f>
        <v>4</v>
      </c>
      <c r="Q601" s="16" t="n">
        <f aca="false">COUNTIFS($A$4:$A$1008,$A601,$O$4:$O$1008,"&gt;"&amp;O601)+1</f>
        <v>4</v>
      </c>
    </row>
    <row r="602" customFormat="false" ht="15" hidden="false" customHeight="false" outlineLevel="0" collapsed="false">
      <c r="A602" s="7" t="n">
        <v>2015</v>
      </c>
      <c r="B602" s="15" t="s">
        <v>127</v>
      </c>
      <c r="C602" s="15" t="s">
        <v>118</v>
      </c>
      <c r="D602" s="15" t="s">
        <v>103</v>
      </c>
      <c r="E602" s="9" t="n">
        <f aca="false">SUMIFS(Data!$L$2:$L$1006,Data!$A$2:$A$1006,$A602,Data!$B$2:$B$1006,$B602)</f>
        <v>701129</v>
      </c>
      <c r="F602" s="10" t="n">
        <f aca="false">SUMIFS(Data!$E$2:$E$1006,Data!$A$2:$A$1006,$A602,Data!$B$2:$B$1006,$B602)</f>
        <v>68.230608</v>
      </c>
      <c r="G602" s="10" t="n">
        <f aca="false">SUMIFS(Data!$F$2:$F$1006,Data!$A$2:$A$1006,$A602,Data!$B$2:$B$1006,$B602)</f>
        <v>32.878737</v>
      </c>
      <c r="H602" s="10" t="n">
        <f aca="false">SUMIFS(Data!$G$2:$G$1006,Data!$A$2:$A$1006,$A602,Data!$B$2:$B$1006,$B602)</f>
        <v>44.914225</v>
      </c>
      <c r="I602" s="10" t="n">
        <f aca="false">SUMIFS(Data!$N$2:$N$1006,Data!$A$2:$A$1006,$A602,Data!$B$2:$B$1006,$B602)</f>
        <v>146.02357</v>
      </c>
      <c r="J602" s="10" t="n">
        <f aca="false">SUMIFS(Data!$H$2:$H$1006,Data!$A$2:$A$1006,$A602,Data!$B$2:$B$1006,$B602)</f>
        <v>105.919659</v>
      </c>
      <c r="K602" s="11" t="n">
        <f aca="false">IFERROR(F602*1000000/$E602,"")</f>
        <v>97.3153413993716</v>
      </c>
      <c r="L602" s="11" t="n">
        <f aca="false">IFERROR(G602*1000000/$E602,"")</f>
        <v>46.8939909774093</v>
      </c>
      <c r="M602" s="11" t="n">
        <f aca="false">IFERROR(H602*1000000/$E602,"")</f>
        <v>64.0598591699958</v>
      </c>
      <c r="N602" s="11" t="n">
        <f aca="false">IFERROR(I602*1000000/$E602,"")</f>
        <v>208.269191546777</v>
      </c>
      <c r="O602" s="11" t="n">
        <f aca="false">IFERROR(J602*1000000/$E602,"")</f>
        <v>151.070144010589</v>
      </c>
      <c r="P602" s="16" t="n">
        <f aca="false">COUNTIFS($A$4:$A$1008,$A602,$N$4:$N$1008,"&gt;"&amp;N602)+1</f>
        <v>37</v>
      </c>
      <c r="Q602" s="16" t="n">
        <f aca="false">COUNTIFS($A$4:$A$1008,$A602,$O$4:$O$1008,"&gt;"&amp;O602)+1</f>
        <v>31</v>
      </c>
    </row>
    <row r="603" customFormat="false" ht="15" hidden="false" customHeight="false" outlineLevel="0" collapsed="false">
      <c r="A603" s="7" t="n">
        <v>2015</v>
      </c>
      <c r="B603" s="15" t="s">
        <v>128</v>
      </c>
      <c r="C603" s="15" t="s">
        <v>118</v>
      </c>
      <c r="D603" s="15" t="s">
        <v>107</v>
      </c>
      <c r="E603" s="9" t="n">
        <f aca="false">SUMIFS(Data!$L$2:$L$1006,Data!$A$2:$A$1006,$A603,Data!$B$2:$B$1006,$B603)</f>
        <v>587359</v>
      </c>
      <c r="F603" s="10" t="n">
        <f aca="false">SUMIFS(Data!$E$2:$E$1006,Data!$A$2:$A$1006,$A603,Data!$B$2:$B$1006,$B603)</f>
        <v>43.206368</v>
      </c>
      <c r="G603" s="10" t="n">
        <f aca="false">SUMIFS(Data!$F$2:$F$1006,Data!$A$2:$A$1006,$A603,Data!$B$2:$B$1006,$B603)</f>
        <v>73.262154</v>
      </c>
      <c r="H603" s="10" t="n">
        <f aca="false">SUMIFS(Data!$G$2:$G$1006,Data!$A$2:$A$1006,$A603,Data!$B$2:$B$1006,$B603)</f>
        <v>69.207353</v>
      </c>
      <c r="I603" s="10" t="n">
        <f aca="false">SUMIFS(Data!$N$2:$N$1006,Data!$A$2:$A$1006,$A603,Data!$B$2:$B$1006,$B603)</f>
        <v>185.675875</v>
      </c>
      <c r="J603" s="10" t="n">
        <f aca="false">SUMIFS(Data!$H$2:$H$1006,Data!$A$2:$A$1006,$A603,Data!$B$2:$B$1006,$B603)</f>
        <v>122.883044</v>
      </c>
      <c r="K603" s="11" t="n">
        <f aca="false">IFERROR(F603*1000000/$E603,"")</f>
        <v>73.5604085406029</v>
      </c>
      <c r="L603" s="11" t="n">
        <f aca="false">IFERROR(G603*1000000/$E603,"")</f>
        <v>124.731474277231</v>
      </c>
      <c r="M603" s="11" t="n">
        <f aca="false">IFERROR(H603*1000000/$E603,"")</f>
        <v>117.828028514077</v>
      </c>
      <c r="N603" s="11" t="n">
        <f aca="false">IFERROR(I603*1000000/$E603,"")</f>
        <v>316.119911331911</v>
      </c>
      <c r="O603" s="11" t="n">
        <f aca="false">IFERROR(J603*1000000/$E603,"")</f>
        <v>209.212839166506</v>
      </c>
      <c r="P603" s="16" t="n">
        <f aca="false">COUNTIFS($A$4:$A$1008,$A603,$N$4:$N$1008,"&gt;"&amp;N603)+1</f>
        <v>16</v>
      </c>
      <c r="Q603" s="16" t="n">
        <f aca="false">COUNTIFS($A$4:$A$1008,$A603,$O$4:$O$1008,"&gt;"&amp;O603)+1</f>
        <v>11</v>
      </c>
    </row>
    <row r="604" customFormat="false" ht="15" hidden="false" customHeight="false" outlineLevel="0" collapsed="false">
      <c r="A604" s="7" t="n">
        <v>2015</v>
      </c>
      <c r="B604" s="15" t="s">
        <v>129</v>
      </c>
      <c r="C604" s="15" t="s">
        <v>118</v>
      </c>
      <c r="D604" s="15" t="s">
        <v>107</v>
      </c>
      <c r="E604" s="9" t="n">
        <f aca="false">SUMIFS(Data!$L$2:$L$1006,Data!$A$2:$A$1006,$A604,Data!$B$2:$B$1006,$B604)</f>
        <v>1601219</v>
      </c>
      <c r="F604" s="10" t="n">
        <f aca="false">SUMIFS(Data!$E$2:$E$1006,Data!$A$2:$A$1006,$A604,Data!$B$2:$B$1006,$B604)</f>
        <v>248.455524</v>
      </c>
      <c r="G604" s="10" t="n">
        <f aca="false">SUMIFS(Data!$F$2:$F$1006,Data!$A$2:$A$1006,$A604,Data!$B$2:$B$1006,$B604)</f>
        <v>191.171257</v>
      </c>
      <c r="H604" s="10" t="n">
        <f aca="false">SUMIFS(Data!$G$2:$G$1006,Data!$A$2:$A$1006,$A604,Data!$B$2:$B$1006,$B604)</f>
        <v>124.27537</v>
      </c>
      <c r="I604" s="10" t="n">
        <f aca="false">SUMIFS(Data!$N$2:$N$1006,Data!$A$2:$A$1006,$A604,Data!$B$2:$B$1006,$B604)</f>
        <v>563.902151</v>
      </c>
      <c r="J604" s="10" t="n">
        <f aca="false">SUMIFS(Data!$H$2:$H$1006,Data!$A$2:$A$1006,$A604,Data!$B$2:$B$1006,$B604)</f>
        <v>272.950714</v>
      </c>
      <c r="K604" s="11" t="n">
        <f aca="false">IFERROR(F604*1000000/$E604,"")</f>
        <v>155.166485034215</v>
      </c>
      <c r="L604" s="11" t="n">
        <f aca="false">IFERROR(G604*1000000/$E604,"")</f>
        <v>119.391074550077</v>
      </c>
      <c r="M604" s="11" t="n">
        <f aca="false">IFERROR(H604*1000000/$E604,"")</f>
        <v>77.6129748647749</v>
      </c>
      <c r="N604" s="11" t="n">
        <f aca="false">IFERROR(I604*1000000/$E604,"")</f>
        <v>352.170534449067</v>
      </c>
      <c r="O604" s="11" t="n">
        <f aca="false">IFERROR(J604*1000000/$E604,"")</f>
        <v>170.464323743348</v>
      </c>
      <c r="P604" s="16" t="n">
        <f aca="false">COUNTIFS($A$4:$A$1008,$A604,$N$4:$N$1008,"&gt;"&amp;N604)+1</f>
        <v>10</v>
      </c>
      <c r="Q604" s="16" t="n">
        <f aca="false">COUNTIFS($A$4:$A$1008,$A604,$O$4:$O$1008,"&gt;"&amp;O604)+1</f>
        <v>24</v>
      </c>
    </row>
    <row r="605" customFormat="false" ht="15" hidden="false" customHeight="false" outlineLevel="0" collapsed="false">
      <c r="A605" s="7" t="n">
        <v>2015</v>
      </c>
      <c r="B605" s="15" t="s">
        <v>130</v>
      </c>
      <c r="C605" s="15" t="s">
        <v>118</v>
      </c>
      <c r="D605" s="15" t="s">
        <v>107</v>
      </c>
      <c r="E605" s="9" t="n">
        <f aca="false">SUMIFS(Data!$L$2:$L$1006,Data!$A$2:$A$1006,$A605,Data!$B$2:$B$1006,$B605)</f>
        <v>1418528</v>
      </c>
      <c r="F605" s="10" t="n">
        <f aca="false">SUMIFS(Data!$E$2:$E$1006,Data!$A$2:$A$1006,$A605,Data!$B$2:$B$1006,$B605)</f>
        <v>157.934642</v>
      </c>
      <c r="G605" s="10" t="n">
        <f aca="false">SUMIFS(Data!$F$2:$F$1006,Data!$A$2:$A$1006,$A605,Data!$B$2:$B$1006,$B605)</f>
        <v>192.50032</v>
      </c>
      <c r="H605" s="10" t="n">
        <f aca="false">SUMIFS(Data!$G$2:$G$1006,Data!$A$2:$A$1006,$A605,Data!$B$2:$B$1006,$B605)</f>
        <v>116.443538</v>
      </c>
      <c r="I605" s="10" t="n">
        <f aca="false">SUMIFS(Data!$N$2:$N$1006,Data!$A$2:$A$1006,$A605,Data!$B$2:$B$1006,$B605)</f>
        <v>466.8785</v>
      </c>
      <c r="J605" s="10" t="n">
        <f aca="false">SUMIFS(Data!$H$2:$H$1006,Data!$A$2:$A$1006,$A605,Data!$B$2:$B$1006,$B605)</f>
        <v>266.973187</v>
      </c>
      <c r="K605" s="11" t="n">
        <f aca="false">IFERROR(F605*1000000/$E605,"")</f>
        <v>111.336992995556</v>
      </c>
      <c r="L605" s="11" t="n">
        <f aca="false">IFERROR(G605*1000000/$E605,"")</f>
        <v>135.704279365652</v>
      </c>
      <c r="M605" s="11" t="n">
        <f aca="false">IFERROR(H605*1000000/$E605,"")</f>
        <v>82.0875851586997</v>
      </c>
      <c r="N605" s="11" t="n">
        <f aca="false">IFERROR(I605*1000000/$E605,"")</f>
        <v>329.128857519908</v>
      </c>
      <c r="O605" s="11" t="n">
        <f aca="false">IFERROR(J605*1000000/$E605,"")</f>
        <v>188.204382994202</v>
      </c>
      <c r="P605" s="16" t="n">
        <f aca="false">COUNTIFS($A$4:$A$1008,$A605,$N$4:$N$1008,"&gt;"&amp;N605)+1</f>
        <v>14</v>
      </c>
      <c r="Q605" s="16" t="n">
        <f aca="false">COUNTIFS($A$4:$A$1008,$A605,$O$4:$O$1008,"&gt;"&amp;O605)+1</f>
        <v>16</v>
      </c>
    </row>
    <row r="606" customFormat="false" ht="15" hidden="false" customHeight="false" outlineLevel="0" collapsed="false">
      <c r="A606" s="7" t="n">
        <v>2015</v>
      </c>
      <c r="B606" s="15" t="s">
        <v>131</v>
      </c>
      <c r="C606" s="15" t="s">
        <v>118</v>
      </c>
      <c r="D606" s="15" t="s">
        <v>132</v>
      </c>
      <c r="E606" s="9" t="n">
        <f aca="false">SUMIFS(Data!$L$2:$L$1006,Data!$A$2:$A$1006,$A606,Data!$B$2:$B$1006,$B606)</f>
        <v>817447</v>
      </c>
      <c r="F606" s="10" t="n">
        <f aca="false">SUMIFS(Data!$E$2:$E$1006,Data!$A$2:$A$1006,$A606,Data!$B$2:$B$1006,$B606)</f>
        <v>134.875889</v>
      </c>
      <c r="G606" s="10" t="n">
        <f aca="false">SUMIFS(Data!$F$2:$F$1006,Data!$A$2:$A$1006,$A606,Data!$B$2:$B$1006,$B606)</f>
        <v>119.577483</v>
      </c>
      <c r="H606" s="10" t="n">
        <f aca="false">SUMIFS(Data!$G$2:$G$1006,Data!$A$2:$A$1006,$A606,Data!$B$2:$B$1006,$B606)</f>
        <v>124.897187</v>
      </c>
      <c r="I606" s="10" t="n">
        <f aca="false">SUMIFS(Data!$N$2:$N$1006,Data!$A$2:$A$1006,$A606,Data!$B$2:$B$1006,$B606)</f>
        <v>379.350559</v>
      </c>
      <c r="J606" s="10" t="n">
        <f aca="false">SUMIFS(Data!$H$2:$H$1006,Data!$A$2:$A$1006,$A606,Data!$B$2:$B$1006,$B606)</f>
        <v>353.222777</v>
      </c>
      <c r="K606" s="11" t="n">
        <f aca="false">IFERROR(F606*1000000/$E606,"")</f>
        <v>164.9964939623</v>
      </c>
      <c r="L606" s="11" t="n">
        <f aca="false">IFERROR(G606*1000000/$E606,"")</f>
        <v>146.281634160991</v>
      </c>
      <c r="M606" s="11" t="n">
        <f aca="false">IFERROR(H606*1000000/$E606,"")</f>
        <v>152.789339247682</v>
      </c>
      <c r="N606" s="11" t="n">
        <f aca="false">IFERROR(I606*1000000/$E606,"")</f>
        <v>464.067467370973</v>
      </c>
      <c r="O606" s="11" t="n">
        <f aca="false">IFERROR(J606*1000000/$E606,"")</f>
        <v>432.104805571493</v>
      </c>
      <c r="P606" s="16" t="n">
        <f aca="false">COUNTIFS($A$4:$A$1008,$A606,$N$4:$N$1008,"&gt;"&amp;N606)+1</f>
        <v>1</v>
      </c>
      <c r="Q606" s="16" t="n">
        <f aca="false">COUNTIFS($A$4:$A$1008,$A606,$O$4:$O$1008,"&gt;"&amp;O606)+1</f>
        <v>1</v>
      </c>
    </row>
    <row r="607" customFormat="false" ht="15" hidden="false" customHeight="false" outlineLevel="0" collapsed="false">
      <c r="A607" s="7" t="n">
        <v>2015</v>
      </c>
      <c r="B607" s="15" t="s">
        <v>133</v>
      </c>
      <c r="C607" s="15" t="s">
        <v>118</v>
      </c>
      <c r="D607" s="15" t="s">
        <v>105</v>
      </c>
      <c r="E607" s="9" t="n">
        <f aca="false">SUMIFS(Data!$L$2:$L$1006,Data!$A$2:$A$1006,$A607,Data!$B$2:$B$1006,$B607)</f>
        <v>2216274</v>
      </c>
      <c r="F607" s="10" t="n">
        <f aca="false">SUMIFS(Data!$E$2:$E$1006,Data!$A$2:$A$1006,$A607,Data!$B$2:$B$1006,$B607)</f>
        <v>169.001131</v>
      </c>
      <c r="G607" s="10" t="n">
        <f aca="false">SUMIFS(Data!$F$2:$F$1006,Data!$A$2:$A$1006,$A607,Data!$B$2:$B$1006,$B607)</f>
        <v>464.959888</v>
      </c>
      <c r="H607" s="10" t="n">
        <f aca="false">SUMIFS(Data!$G$2:$G$1006,Data!$A$2:$A$1006,$A607,Data!$B$2:$B$1006,$B607)</f>
        <v>184.87607</v>
      </c>
      <c r="I607" s="10" t="n">
        <f aca="false">SUMIFS(Data!$N$2:$N$1006,Data!$A$2:$A$1006,$A607,Data!$B$2:$B$1006,$B607)</f>
        <v>818.837089</v>
      </c>
      <c r="J607" s="10" t="n">
        <f aca="false">SUMIFS(Data!$H$2:$H$1006,Data!$A$2:$A$1006,$A607,Data!$B$2:$B$1006,$B607)</f>
        <v>374.844759</v>
      </c>
      <c r="K607" s="11" t="n">
        <f aca="false">IFERROR(F607*1000000/$E607,"")</f>
        <v>76.2546196905256</v>
      </c>
      <c r="L607" s="11" t="n">
        <f aca="false">IFERROR(G607*1000000/$E607,"")</f>
        <v>209.793503871814</v>
      </c>
      <c r="M607" s="11" t="n">
        <f aca="false">IFERROR(H607*1000000/$E607,"")</f>
        <v>83.4175151628364</v>
      </c>
      <c r="N607" s="11" t="n">
        <f aca="false">IFERROR(I607*1000000/$E607,"")</f>
        <v>369.465638725176</v>
      </c>
      <c r="O607" s="11" t="n">
        <f aca="false">IFERROR(J607*1000000/$E607,"")</f>
        <v>169.132859474957</v>
      </c>
      <c r="P607" s="16" t="n">
        <f aca="false">COUNTIFS($A$4:$A$1008,$A607,$N$4:$N$1008,"&gt;"&amp;N607)+1</f>
        <v>7</v>
      </c>
      <c r="Q607" s="16" t="n">
        <f aca="false">COUNTIFS($A$4:$A$1008,$A607,$O$4:$O$1008,"&gt;"&amp;O607)+1</f>
        <v>25</v>
      </c>
    </row>
    <row r="608" customFormat="false" ht="15" hidden="false" customHeight="false" outlineLevel="0" collapsed="false">
      <c r="A608" s="7" t="n">
        <v>2015</v>
      </c>
      <c r="B608" s="15" t="s">
        <v>134</v>
      </c>
      <c r="C608" s="15" t="s">
        <v>135</v>
      </c>
      <c r="D608" s="15" t="s">
        <v>136</v>
      </c>
      <c r="E608" s="9" t="n">
        <f aca="false">SUMIFS(Data!$L$2:$L$1006,Data!$A$2:$A$1006,$A608,Data!$B$2:$B$1006,$B608)</f>
        <v>145033</v>
      </c>
      <c r="F608" s="10" t="n">
        <f aca="false">SUMIFS(Data!$E$2:$E$1006,Data!$A$2:$A$1006,$A608,Data!$B$2:$B$1006,$B608)</f>
        <v>24.186895</v>
      </c>
      <c r="G608" s="10" t="n">
        <f aca="false">SUMIFS(Data!$F$2:$F$1006,Data!$A$2:$A$1006,$A608,Data!$B$2:$B$1006,$B608)</f>
        <v>13.874656</v>
      </c>
      <c r="H608" s="10" t="n">
        <f aca="false">SUMIFS(Data!$G$2:$G$1006,Data!$A$2:$A$1006,$A608,Data!$B$2:$B$1006,$B608)</f>
        <v>17.571222</v>
      </c>
      <c r="I608" s="10" t="n">
        <f aca="false">SUMIFS(Data!$N$2:$N$1006,Data!$A$2:$A$1006,$A608,Data!$B$2:$B$1006,$B608)</f>
        <v>55.632773</v>
      </c>
      <c r="J608" s="10" t="n">
        <f aca="false">SUMIFS(Data!$H$2:$H$1006,Data!$A$2:$A$1006,$A608,Data!$B$2:$B$1006,$B608)</f>
        <v>20.732561</v>
      </c>
      <c r="K608" s="11" t="n">
        <f aca="false">IFERROR(F608*1000000/$E608,"")</f>
        <v>166.768218267567</v>
      </c>
      <c r="L608" s="11" t="n">
        <f aca="false">IFERROR(G608*1000000/$E608,"")</f>
        <v>95.6655106079306</v>
      </c>
      <c r="M608" s="11" t="n">
        <f aca="false">IFERROR(H608*1000000/$E608,"")</f>
        <v>121.153268566464</v>
      </c>
      <c r="N608" s="11" t="n">
        <f aca="false">IFERROR(I608*1000000/$E608,"")</f>
        <v>383.586997441962</v>
      </c>
      <c r="O608" s="11" t="n">
        <f aca="false">IFERROR(J608*1000000/$E608,"")</f>
        <v>142.950645715113</v>
      </c>
      <c r="P608" s="16" t="n">
        <f aca="false">COUNTIFS($A$4:$A$1008,$A608,$N$4:$N$1008,"&gt;"&amp;N608)+1</f>
        <v>5</v>
      </c>
      <c r="Q608" s="16" t="n">
        <f aca="false">COUNTIFS($A$4:$A$1008,$A608,$O$4:$O$1008,"&gt;"&amp;O608)+1</f>
        <v>32</v>
      </c>
    </row>
    <row r="609" customFormat="false" ht="15" hidden="false" customHeight="false" outlineLevel="0" collapsed="false">
      <c r="A609" s="7" t="n">
        <v>2015</v>
      </c>
      <c r="B609" s="15" t="s">
        <v>137</v>
      </c>
      <c r="C609" s="15" t="s">
        <v>135</v>
      </c>
      <c r="D609" s="15" t="s">
        <v>138</v>
      </c>
      <c r="E609" s="9" t="n">
        <f aca="false">SUMIFS(Data!$L$2:$L$1006,Data!$A$2:$A$1006,$A609,Data!$B$2:$B$1006,$B609)</f>
        <v>1795336</v>
      </c>
      <c r="F609" s="10" t="n">
        <f aca="false">SUMIFS(Data!$E$2:$E$1006,Data!$A$2:$A$1006,$A609,Data!$B$2:$B$1006,$B609)</f>
        <v>171.489078</v>
      </c>
      <c r="G609" s="10" t="n">
        <f aca="false">SUMIFS(Data!$F$2:$F$1006,Data!$A$2:$A$1006,$A609,Data!$B$2:$B$1006,$B609)</f>
        <v>181.480594</v>
      </c>
      <c r="H609" s="10" t="n">
        <f aca="false">SUMIFS(Data!$G$2:$G$1006,Data!$A$2:$A$1006,$A609,Data!$B$2:$B$1006,$B609)</f>
        <v>200.243969</v>
      </c>
      <c r="I609" s="10" t="n">
        <f aca="false">SUMIFS(Data!$N$2:$N$1006,Data!$A$2:$A$1006,$A609,Data!$B$2:$B$1006,$B609)</f>
        <v>553.213641</v>
      </c>
      <c r="J609" s="10" t="n">
        <f aca="false">SUMIFS(Data!$H$2:$H$1006,Data!$A$2:$A$1006,$A609,Data!$B$2:$B$1006,$B609)</f>
        <v>413.481663</v>
      </c>
      <c r="K609" s="11" t="n">
        <f aca="false">IFERROR(F609*1000000/$E609,"")</f>
        <v>95.5192108886582</v>
      </c>
      <c r="L609" s="11" t="n">
        <f aca="false">IFERROR(G609*1000000/$E609,"")</f>
        <v>101.084473324213</v>
      </c>
      <c r="M609" s="11" t="n">
        <f aca="false">IFERROR(H609*1000000/$E609,"")</f>
        <v>111.53565070828</v>
      </c>
      <c r="N609" s="11" t="n">
        <f aca="false">IFERROR(I609*1000000/$E609,"")</f>
        <v>308.139334921151</v>
      </c>
      <c r="O609" s="11" t="n">
        <f aca="false">IFERROR(J609*1000000/$E609,"")</f>
        <v>230.308790666482</v>
      </c>
      <c r="P609" s="16" t="n">
        <f aca="false">COUNTIFS($A$4:$A$1008,$A609,$N$4:$N$1008,"&gt;"&amp;N609)+1</f>
        <v>18</v>
      </c>
      <c r="Q609" s="16" t="n">
        <f aca="false">COUNTIFS($A$4:$A$1008,$A609,$O$4:$O$1008,"&gt;"&amp;O609)+1</f>
        <v>5</v>
      </c>
    </row>
    <row r="610" customFormat="false" ht="15" hidden="false" customHeight="false" outlineLevel="0" collapsed="false">
      <c r="A610" s="7" t="n">
        <v>2015</v>
      </c>
      <c r="B610" s="15" t="s">
        <v>139</v>
      </c>
      <c r="C610" s="15" t="s">
        <v>135</v>
      </c>
      <c r="D610" s="15" t="s">
        <v>138</v>
      </c>
      <c r="E610" s="9" t="n">
        <f aca="false">SUMIFS(Data!$L$2:$L$1006,Data!$A$2:$A$1006,$A610,Data!$B$2:$B$1006,$B610)</f>
        <v>2154874</v>
      </c>
      <c r="F610" s="10" t="n">
        <f aca="false">SUMIFS(Data!$E$2:$E$1006,Data!$A$2:$A$1006,$A610,Data!$B$2:$B$1006,$B610)</f>
        <v>267.184121</v>
      </c>
      <c r="G610" s="10" t="n">
        <f aca="false">SUMIFS(Data!$F$2:$F$1006,Data!$A$2:$A$1006,$A610,Data!$B$2:$B$1006,$B610)</f>
        <v>250.523895</v>
      </c>
      <c r="H610" s="10" t="n">
        <f aca="false">SUMIFS(Data!$G$2:$G$1006,Data!$A$2:$A$1006,$A610,Data!$B$2:$B$1006,$B610)</f>
        <v>284.528817</v>
      </c>
      <c r="I610" s="10" t="n">
        <f aca="false">SUMIFS(Data!$N$2:$N$1006,Data!$A$2:$A$1006,$A610,Data!$B$2:$B$1006,$B610)</f>
        <v>802.236833</v>
      </c>
      <c r="J610" s="10" t="n">
        <f aca="false">SUMIFS(Data!$H$2:$H$1006,Data!$A$2:$A$1006,$A610,Data!$B$2:$B$1006,$B610)</f>
        <v>443.163626</v>
      </c>
      <c r="K610" s="11" t="n">
        <f aca="false">IFERROR(F610*1000000/$E610,"")</f>
        <v>123.990600378491</v>
      </c>
      <c r="L610" s="11" t="n">
        <f aca="false">IFERROR(G610*1000000/$E610,"")</f>
        <v>116.259184991791</v>
      </c>
      <c r="M610" s="11" t="n">
        <f aca="false">IFERROR(H610*1000000/$E610,"")</f>
        <v>132.039653826627</v>
      </c>
      <c r="N610" s="11" t="n">
        <f aca="false">IFERROR(I610*1000000/$E610,"")</f>
        <v>372.289439196909</v>
      </c>
      <c r="O610" s="11" t="n">
        <f aca="false">IFERROR(J610*1000000/$E610,"")</f>
        <v>205.656398471558</v>
      </c>
      <c r="P610" s="16" t="n">
        <f aca="false">COUNTIFS($A$4:$A$1008,$A610,$N$4:$N$1008,"&gt;"&amp;N610)+1</f>
        <v>6</v>
      </c>
      <c r="Q610" s="16" t="n">
        <f aca="false">COUNTIFS($A$4:$A$1008,$A610,$O$4:$O$1008,"&gt;"&amp;O610)+1</f>
        <v>14</v>
      </c>
    </row>
    <row r="611" customFormat="false" ht="15" hidden="false" customHeight="false" outlineLevel="0" collapsed="false">
      <c r="A611" s="7" t="n">
        <v>2015</v>
      </c>
      <c r="B611" s="15" t="s">
        <v>140</v>
      </c>
      <c r="C611" s="15" t="s">
        <v>135</v>
      </c>
      <c r="D611" s="15" t="s">
        <v>141</v>
      </c>
      <c r="E611" s="9" t="n">
        <f aca="false">SUMIFS(Data!$L$2:$L$1006,Data!$A$2:$A$1006,$A611,Data!$B$2:$B$1006,$B611)</f>
        <v>804322</v>
      </c>
      <c r="F611" s="10" t="n">
        <f aca="false">SUMIFS(Data!$E$2:$E$1006,Data!$A$2:$A$1006,$A611,Data!$B$2:$B$1006,$B611)</f>
        <v>91.194033</v>
      </c>
      <c r="G611" s="10" t="n">
        <f aca="false">SUMIFS(Data!$F$2:$F$1006,Data!$A$2:$A$1006,$A611,Data!$B$2:$B$1006,$B611)</f>
        <v>46.66451</v>
      </c>
      <c r="H611" s="10" t="n">
        <f aca="false">SUMIFS(Data!$G$2:$G$1006,Data!$A$2:$A$1006,$A611,Data!$B$2:$B$1006,$B611)</f>
        <v>79.322377</v>
      </c>
      <c r="I611" s="10" t="n">
        <f aca="false">SUMIFS(Data!$N$2:$N$1006,Data!$A$2:$A$1006,$A611,Data!$B$2:$B$1006,$B611)</f>
        <v>217.18092</v>
      </c>
      <c r="J611" s="10" t="n">
        <f aca="false">SUMIFS(Data!$H$2:$H$1006,Data!$A$2:$A$1006,$A611,Data!$B$2:$B$1006,$B611)</f>
        <v>167.360308</v>
      </c>
      <c r="K611" s="11" t="n">
        <f aca="false">IFERROR(F611*1000000/$E611,"")</f>
        <v>113.380005768834</v>
      </c>
      <c r="L611" s="11" t="n">
        <f aca="false">IFERROR(G611*1000000/$E611,"")</f>
        <v>58.017199579273</v>
      </c>
      <c r="M611" s="11" t="n">
        <f aca="false">IFERROR(H611*1000000/$E611,"")</f>
        <v>98.6201757505079</v>
      </c>
      <c r="N611" s="11" t="n">
        <f aca="false">IFERROR(I611*1000000/$E611,"")</f>
        <v>270.017381098615</v>
      </c>
      <c r="O611" s="11" t="n">
        <f aca="false">IFERROR(J611*1000000/$E611,"")</f>
        <v>208.076253042936</v>
      </c>
      <c r="P611" s="16" t="n">
        <f aca="false">COUNTIFS($A$4:$A$1008,$A611,$N$4:$N$1008,"&gt;"&amp;N611)+1</f>
        <v>27</v>
      </c>
      <c r="Q611" s="16" t="n">
        <f aca="false">COUNTIFS($A$4:$A$1008,$A611,$O$4:$O$1008,"&gt;"&amp;O611)+1</f>
        <v>12</v>
      </c>
    </row>
    <row r="612" customFormat="false" ht="15" hidden="false" customHeight="false" outlineLevel="0" collapsed="false">
      <c r="A612" s="7" t="n">
        <v>2015</v>
      </c>
      <c r="B612" s="15" t="s">
        <v>142</v>
      </c>
      <c r="C612" s="15" t="s">
        <v>135</v>
      </c>
      <c r="D612" s="15" t="s">
        <v>143</v>
      </c>
      <c r="E612" s="9" t="n">
        <f aca="false">SUMIFS(Data!$L$2:$L$1006,Data!$A$2:$A$1006,$A612,Data!$B$2:$B$1006,$B612)</f>
        <v>587252</v>
      </c>
      <c r="F612" s="10" t="n">
        <f aca="false">SUMIFS(Data!$E$2:$E$1006,Data!$A$2:$A$1006,$A612,Data!$B$2:$B$1006,$B612)</f>
        <v>56.683332</v>
      </c>
      <c r="G612" s="10" t="n">
        <f aca="false">SUMIFS(Data!$F$2:$F$1006,Data!$A$2:$A$1006,$A612,Data!$B$2:$B$1006,$B612)</f>
        <v>35.201955</v>
      </c>
      <c r="H612" s="10" t="n">
        <f aca="false">SUMIFS(Data!$G$2:$G$1006,Data!$A$2:$A$1006,$A612,Data!$B$2:$B$1006,$B612)</f>
        <v>49.944527</v>
      </c>
      <c r="I612" s="10" t="n">
        <f aca="false">SUMIFS(Data!$N$2:$N$1006,Data!$A$2:$A$1006,$A612,Data!$B$2:$B$1006,$B612)</f>
        <v>141.829814</v>
      </c>
      <c r="J612" s="10" t="n">
        <f aca="false">SUMIFS(Data!$H$2:$H$1006,Data!$A$2:$A$1006,$A612,Data!$B$2:$B$1006,$B612)</f>
        <v>106.775865</v>
      </c>
      <c r="K612" s="11" t="n">
        <f aca="false">IFERROR(F612*1000000/$E612,"")</f>
        <v>96.523012267306</v>
      </c>
      <c r="L612" s="11" t="n">
        <f aca="false">IFERROR(G612*1000000/$E612,"")</f>
        <v>59.9435250965514</v>
      </c>
      <c r="M612" s="11" t="n">
        <f aca="false">IFERROR(H612*1000000/$E612,"")</f>
        <v>85.047861905962</v>
      </c>
      <c r="N612" s="11" t="n">
        <f aca="false">IFERROR(I612*1000000/$E612,"")</f>
        <v>241.514399269819</v>
      </c>
      <c r="O612" s="11" t="n">
        <f aca="false">IFERROR(J612*1000000/$E612,"")</f>
        <v>181.822905669117</v>
      </c>
      <c r="P612" s="16" t="n">
        <f aca="false">COUNTIFS($A$4:$A$1008,$A612,$N$4:$N$1008,"&gt;"&amp;N612)+1</f>
        <v>31</v>
      </c>
      <c r="Q612" s="16" t="n">
        <f aca="false">COUNTIFS($A$4:$A$1008,$A612,$O$4:$O$1008,"&gt;"&amp;O612)+1</f>
        <v>21</v>
      </c>
    </row>
    <row r="613" customFormat="false" ht="15" hidden="false" customHeight="false" outlineLevel="0" collapsed="false">
      <c r="A613" s="7" t="n">
        <v>2015</v>
      </c>
      <c r="B613" s="15" t="s">
        <v>144</v>
      </c>
      <c r="C613" s="15" t="s">
        <v>135</v>
      </c>
      <c r="D613" s="15" t="s">
        <v>141</v>
      </c>
      <c r="E613" s="9" t="n">
        <f aca="false">SUMIFS(Data!$L$2:$L$1006,Data!$A$2:$A$1006,$A613,Data!$B$2:$B$1006,$B613)</f>
        <v>482365</v>
      </c>
      <c r="F613" s="10" t="n">
        <f aca="false">SUMIFS(Data!$E$2:$E$1006,Data!$A$2:$A$1006,$A613,Data!$B$2:$B$1006,$B613)</f>
        <v>39.364252</v>
      </c>
      <c r="G613" s="10" t="n">
        <f aca="false">SUMIFS(Data!$F$2:$F$1006,Data!$A$2:$A$1006,$A613,Data!$B$2:$B$1006,$B613)</f>
        <v>22.950273</v>
      </c>
      <c r="H613" s="10" t="n">
        <f aca="false">SUMIFS(Data!$G$2:$G$1006,Data!$A$2:$A$1006,$A613,Data!$B$2:$B$1006,$B613)</f>
        <v>68.693354</v>
      </c>
      <c r="I613" s="10" t="n">
        <f aca="false">SUMIFS(Data!$N$2:$N$1006,Data!$A$2:$A$1006,$A613,Data!$B$2:$B$1006,$B613)</f>
        <v>131.007879</v>
      </c>
      <c r="J613" s="10" t="n">
        <f aca="false">SUMIFS(Data!$H$2:$H$1006,Data!$A$2:$A$1006,$A613,Data!$B$2:$B$1006,$B613)</f>
        <v>63.909974</v>
      </c>
      <c r="K613" s="11" t="n">
        <f aca="false">IFERROR(F613*1000000/$E613,"")</f>
        <v>81.6067749525774</v>
      </c>
      <c r="L613" s="11" t="n">
        <f aca="false">IFERROR(G613*1000000/$E613,"")</f>
        <v>47.5786448021726</v>
      </c>
      <c r="M613" s="11" t="n">
        <f aca="false">IFERROR(H613*1000000/$E613,"")</f>
        <v>142.409490738341</v>
      </c>
      <c r="N613" s="11" t="n">
        <f aca="false">IFERROR(I613*1000000/$E613,"")</f>
        <v>271.594910493091</v>
      </c>
      <c r="O613" s="11" t="n">
        <f aca="false">IFERROR(J613*1000000/$E613,"")</f>
        <v>132.492975236595</v>
      </c>
      <c r="P613" s="16" t="n">
        <f aca="false">COUNTIFS($A$4:$A$1008,$A613,$N$4:$N$1008,"&gt;"&amp;N613)+1</f>
        <v>26</v>
      </c>
      <c r="Q613" s="16" t="n">
        <f aca="false">COUNTIFS($A$4:$A$1008,$A613,$O$4:$O$1008,"&gt;"&amp;O613)+1</f>
        <v>33</v>
      </c>
    </row>
    <row r="614" customFormat="false" ht="15" hidden="false" customHeight="false" outlineLevel="0" collapsed="false">
      <c r="A614" s="7" t="n">
        <v>2015</v>
      </c>
      <c r="B614" s="15" t="s">
        <v>145</v>
      </c>
      <c r="C614" s="15" t="s">
        <v>135</v>
      </c>
      <c r="D614" s="15" t="s">
        <v>146</v>
      </c>
      <c r="E614" s="9" t="n">
        <f aca="false">SUMIFS(Data!$L$2:$L$1006,Data!$A$2:$A$1006,$A614,Data!$B$2:$B$1006,$B614)</f>
        <v>513227</v>
      </c>
      <c r="F614" s="10" t="n">
        <f aca="false">SUMIFS(Data!$E$2:$E$1006,Data!$A$2:$A$1006,$A614,Data!$B$2:$B$1006,$B614)</f>
        <v>34.04316</v>
      </c>
      <c r="G614" s="10" t="n">
        <f aca="false">SUMIFS(Data!$F$2:$F$1006,Data!$A$2:$A$1006,$A614,Data!$B$2:$B$1006,$B614)</f>
        <v>66.597038</v>
      </c>
      <c r="H614" s="10" t="n">
        <f aca="false">SUMIFS(Data!$G$2:$G$1006,Data!$A$2:$A$1006,$A614,Data!$B$2:$B$1006,$B614)</f>
        <v>59.0446</v>
      </c>
      <c r="I614" s="10" t="n">
        <f aca="false">SUMIFS(Data!$N$2:$N$1006,Data!$A$2:$A$1006,$A614,Data!$B$2:$B$1006,$B614)</f>
        <v>159.684798</v>
      </c>
      <c r="J614" s="10" t="n">
        <f aca="false">SUMIFS(Data!$H$2:$H$1006,Data!$A$2:$A$1006,$A614,Data!$B$2:$B$1006,$B614)</f>
        <v>171.109951</v>
      </c>
      <c r="K614" s="11" t="n">
        <f aca="false">IFERROR(F614*1000000/$E614,"")</f>
        <v>66.3315842697286</v>
      </c>
      <c r="L614" s="11" t="n">
        <f aca="false">IFERROR(G614*1000000/$E614,"")</f>
        <v>129.761368751059</v>
      </c>
      <c r="M614" s="11" t="n">
        <f aca="false">IFERROR(H614*1000000/$E614,"")</f>
        <v>115.045778963305</v>
      </c>
      <c r="N614" s="11" t="n">
        <f aca="false">IFERROR(I614*1000000/$E614,"")</f>
        <v>311.138731984093</v>
      </c>
      <c r="O614" s="11" t="n">
        <f aca="false">IFERROR(J614*1000000/$E614,"")</f>
        <v>333.400134833125</v>
      </c>
      <c r="P614" s="16" t="n">
        <f aca="false">COUNTIFS($A$4:$A$1008,$A614,$N$4:$N$1008,"&gt;"&amp;N614)+1</f>
        <v>17</v>
      </c>
      <c r="Q614" s="16" t="n">
        <f aca="false">COUNTIFS($A$4:$A$1008,$A614,$O$4:$O$1008,"&gt;"&amp;O614)+1</f>
        <v>2</v>
      </c>
    </row>
    <row r="615" customFormat="false" ht="15" hidden="false" customHeight="false" outlineLevel="0" collapsed="false">
      <c r="A615" s="7" t="n">
        <v>2015</v>
      </c>
      <c r="B615" s="15" t="s">
        <v>147</v>
      </c>
      <c r="C615" s="15" t="s">
        <v>135</v>
      </c>
      <c r="D615" s="15" t="s">
        <v>148</v>
      </c>
      <c r="E615" s="9" t="n">
        <f aca="false">SUMIFS(Data!$L$2:$L$1006,Data!$A$2:$A$1006,$A615,Data!$B$2:$B$1006,$B615)</f>
        <v>147726</v>
      </c>
      <c r="F615" s="10" t="n">
        <f aca="false">SUMIFS(Data!$E$2:$E$1006,Data!$A$2:$A$1006,$A615,Data!$B$2:$B$1006,$B615)</f>
        <v>14.140666</v>
      </c>
      <c r="G615" s="10" t="n">
        <f aca="false">SUMIFS(Data!$F$2:$F$1006,Data!$A$2:$A$1006,$A615,Data!$B$2:$B$1006,$B615)</f>
        <v>13.526793</v>
      </c>
      <c r="H615" s="10" t="n">
        <f aca="false">SUMIFS(Data!$G$2:$G$1006,Data!$A$2:$A$1006,$A615,Data!$B$2:$B$1006,$B615)</f>
        <v>13.370329</v>
      </c>
      <c r="I615" s="10" t="n">
        <f aca="false">SUMIFS(Data!$N$2:$N$1006,Data!$A$2:$A$1006,$A615,Data!$B$2:$B$1006,$B615)</f>
        <v>41.037788</v>
      </c>
      <c r="J615" s="10" t="n">
        <f aca="false">SUMIFS(Data!$H$2:$H$1006,Data!$A$2:$A$1006,$A615,Data!$B$2:$B$1006,$B615)</f>
        <v>27.493186</v>
      </c>
      <c r="K615" s="11" t="n">
        <f aca="false">IFERROR(F615*1000000/$E615,"")</f>
        <v>95.7222560686677</v>
      </c>
      <c r="L615" s="11" t="n">
        <f aca="false">IFERROR(G615*1000000/$E615,"")</f>
        <v>91.5667722675765</v>
      </c>
      <c r="M615" s="11" t="n">
        <f aca="false">IFERROR(H615*1000000/$E615,"")</f>
        <v>90.5076222195145</v>
      </c>
      <c r="N615" s="11" t="n">
        <f aca="false">IFERROR(I615*1000000/$E615,"")</f>
        <v>277.796650555759</v>
      </c>
      <c r="O615" s="11" t="n">
        <f aca="false">IFERROR(J615*1000000/$E615,"")</f>
        <v>186.109324018792</v>
      </c>
      <c r="P615" s="16" t="n">
        <f aca="false">COUNTIFS($A$4:$A$1008,$A615,$N$4:$N$1008,"&gt;"&amp;N615)+1</f>
        <v>22</v>
      </c>
      <c r="Q615" s="16" t="n">
        <f aca="false">COUNTIFS($A$4:$A$1008,$A615,$O$4:$O$1008,"&gt;"&amp;O615)+1</f>
        <v>18</v>
      </c>
    </row>
    <row r="616" customFormat="false" ht="15" hidden="false" customHeight="false" outlineLevel="0" collapsed="false">
      <c r="A616" s="7" t="n">
        <v>2015</v>
      </c>
      <c r="B616" s="15" t="s">
        <v>149</v>
      </c>
      <c r="C616" s="15" t="s">
        <v>135</v>
      </c>
      <c r="D616" s="15" t="s">
        <v>146</v>
      </c>
      <c r="E616" s="9" t="n">
        <f aca="false">SUMIFS(Data!$L$2:$L$1006,Data!$A$2:$A$1006,$A616,Data!$B$2:$B$1006,$B616)</f>
        <v>752771</v>
      </c>
      <c r="F616" s="10" t="n">
        <f aca="false">SUMIFS(Data!$E$2:$E$1006,Data!$A$2:$A$1006,$A616,Data!$B$2:$B$1006,$B616)</f>
        <v>82.795516</v>
      </c>
      <c r="G616" s="10" t="n">
        <f aca="false">SUMIFS(Data!$F$2:$F$1006,Data!$A$2:$A$1006,$A616,Data!$B$2:$B$1006,$B616)</f>
        <v>107.681019</v>
      </c>
      <c r="H616" s="10" t="n">
        <f aca="false">SUMIFS(Data!$G$2:$G$1006,Data!$A$2:$A$1006,$A616,Data!$B$2:$B$1006,$B616)</f>
        <v>64.400186</v>
      </c>
      <c r="I616" s="10" t="n">
        <f aca="false">SUMIFS(Data!$N$2:$N$1006,Data!$A$2:$A$1006,$A616,Data!$B$2:$B$1006,$B616)</f>
        <v>254.876721</v>
      </c>
      <c r="J616" s="10" t="n">
        <f aca="false">SUMIFS(Data!$H$2:$H$1006,Data!$A$2:$A$1006,$A616,Data!$B$2:$B$1006,$B616)</f>
        <v>133.031959</v>
      </c>
      <c r="K616" s="11" t="n">
        <f aca="false">IFERROR(F616*1000000/$E616,"")</f>
        <v>109.987653615774</v>
      </c>
      <c r="L616" s="11" t="n">
        <f aca="false">IFERROR(G616*1000000/$E616,"")</f>
        <v>143.046184032063</v>
      </c>
      <c r="M616" s="11" t="n">
        <f aca="false">IFERROR(H616*1000000/$E616,"")</f>
        <v>85.5508328562073</v>
      </c>
      <c r="N616" s="11" t="n">
        <f aca="false">IFERROR(I616*1000000/$E616,"")</f>
        <v>338.584670504044</v>
      </c>
      <c r="O616" s="11" t="n">
        <f aca="false">IFERROR(J616*1000000/$E616,"")</f>
        <v>176.723012709044</v>
      </c>
      <c r="P616" s="16" t="n">
        <f aca="false">COUNTIFS($A$4:$A$1008,$A616,$N$4:$N$1008,"&gt;"&amp;N616)+1</f>
        <v>12</v>
      </c>
      <c r="Q616" s="16" t="n">
        <f aca="false">COUNTIFS($A$4:$A$1008,$A616,$O$4:$O$1008,"&gt;"&amp;O616)+1</f>
        <v>23</v>
      </c>
    </row>
    <row r="617" customFormat="false" ht="15" hidden="false" customHeight="false" outlineLevel="0" collapsed="false">
      <c r="A617" s="7" t="n">
        <v>2015</v>
      </c>
      <c r="B617" s="15" t="s">
        <v>150</v>
      </c>
      <c r="C617" s="15" t="s">
        <v>135</v>
      </c>
      <c r="D617" s="15" t="s">
        <v>141</v>
      </c>
      <c r="E617" s="9" t="n">
        <f aca="false">SUMIFS(Data!$L$2:$L$1006,Data!$A$2:$A$1006,$A617,Data!$B$2:$B$1006,$B617)</f>
        <v>461443</v>
      </c>
      <c r="F617" s="10" t="n">
        <f aca="false">SUMIFS(Data!$E$2:$E$1006,Data!$A$2:$A$1006,$A617,Data!$B$2:$B$1006,$B617)</f>
        <v>41.331114</v>
      </c>
      <c r="G617" s="10" t="n">
        <f aca="false">SUMIFS(Data!$F$2:$F$1006,Data!$A$2:$A$1006,$A617,Data!$B$2:$B$1006,$B617)</f>
        <v>19.510725</v>
      </c>
      <c r="H617" s="10" t="n">
        <f aca="false">SUMIFS(Data!$G$2:$G$1006,Data!$A$2:$A$1006,$A617,Data!$B$2:$B$1006,$B617)</f>
        <v>45.920951</v>
      </c>
      <c r="I617" s="10" t="n">
        <f aca="false">SUMIFS(Data!$N$2:$N$1006,Data!$A$2:$A$1006,$A617,Data!$B$2:$B$1006,$B617)</f>
        <v>106.76279</v>
      </c>
      <c r="J617" s="10" t="n">
        <f aca="false">SUMIFS(Data!$H$2:$H$1006,Data!$A$2:$A$1006,$A617,Data!$B$2:$B$1006,$B617)</f>
        <v>99.515737</v>
      </c>
      <c r="K617" s="11" t="n">
        <f aca="false">IFERROR(F617*1000000/$E617,"")</f>
        <v>89.5692729112805</v>
      </c>
      <c r="L617" s="11" t="n">
        <f aca="false">IFERROR(G617*1000000/$E617,"")</f>
        <v>42.2819828234473</v>
      </c>
      <c r="M617" s="11" t="n">
        <f aca="false">IFERROR(H617*1000000/$E617,"")</f>
        <v>99.5159770545875</v>
      </c>
      <c r="N617" s="11" t="n">
        <f aca="false">IFERROR(I617*1000000/$E617,"")</f>
        <v>231.367232789315</v>
      </c>
      <c r="O617" s="11" t="n">
        <f aca="false">IFERROR(J617*1000000/$E617,"")</f>
        <v>215.662036264501</v>
      </c>
      <c r="P617" s="16" t="n">
        <f aca="false">COUNTIFS($A$4:$A$1008,$A617,$N$4:$N$1008,"&gt;"&amp;N617)+1</f>
        <v>33</v>
      </c>
      <c r="Q617" s="16" t="n">
        <f aca="false">COUNTIFS($A$4:$A$1008,$A617,$O$4:$O$1008,"&gt;"&amp;O617)+1</f>
        <v>8</v>
      </c>
    </row>
    <row r="618" customFormat="false" ht="15" hidden="false" customHeight="false" outlineLevel="0" collapsed="false">
      <c r="A618" s="7" t="n">
        <v>2015</v>
      </c>
      <c r="B618" s="15" t="s">
        <v>151</v>
      </c>
      <c r="C618" s="15" t="s">
        <v>135</v>
      </c>
      <c r="D618" s="15" t="s">
        <v>136</v>
      </c>
      <c r="E618" s="9" t="n">
        <f aca="false">SUMIFS(Data!$L$2:$L$1006,Data!$A$2:$A$1006,$A618,Data!$B$2:$B$1006,$B618)</f>
        <v>1441799</v>
      </c>
      <c r="F618" s="10" t="n">
        <f aca="false">SUMIFS(Data!$E$2:$E$1006,Data!$A$2:$A$1006,$A618,Data!$B$2:$B$1006,$B618)</f>
        <v>106.451562</v>
      </c>
      <c r="G618" s="10" t="n">
        <f aca="false">SUMIFS(Data!$F$2:$F$1006,Data!$A$2:$A$1006,$A618,Data!$B$2:$B$1006,$B618)</f>
        <v>124.803681</v>
      </c>
      <c r="H618" s="10" t="n">
        <f aca="false">SUMIFS(Data!$G$2:$G$1006,Data!$A$2:$A$1006,$A618,Data!$B$2:$B$1006,$B618)</f>
        <v>103.303123</v>
      </c>
      <c r="I618" s="10" t="n">
        <f aca="false">SUMIFS(Data!$N$2:$N$1006,Data!$A$2:$A$1006,$A618,Data!$B$2:$B$1006,$B618)</f>
        <v>334.558366</v>
      </c>
      <c r="J618" s="10" t="n">
        <f aca="false">SUMIFS(Data!$H$2:$H$1006,Data!$A$2:$A$1006,$A618,Data!$B$2:$B$1006,$B618)</f>
        <v>166.34041</v>
      </c>
      <c r="K618" s="11" t="n">
        <f aca="false">IFERROR(F618*1000000/$E618,"")</f>
        <v>73.8324565352036</v>
      </c>
      <c r="L618" s="11" t="n">
        <f aca="false">IFERROR(G618*1000000/$E618,"")</f>
        <v>86.5610816764334</v>
      </c>
      <c r="M618" s="11" t="n">
        <f aca="false">IFERROR(H618*1000000/$E618,"")</f>
        <v>71.64876865638</v>
      </c>
      <c r="N618" s="11" t="n">
        <f aca="false">IFERROR(I618*1000000/$E618,"")</f>
        <v>232.042306868017</v>
      </c>
      <c r="O618" s="11" t="n">
        <f aca="false">IFERROR(J618*1000000/$E618,"")</f>
        <v>115.370041177723</v>
      </c>
      <c r="P618" s="16" t="n">
        <f aca="false">COUNTIFS($A$4:$A$1008,$A618,$N$4:$N$1008,"&gt;"&amp;N618)+1</f>
        <v>32</v>
      </c>
      <c r="Q618" s="16" t="n">
        <f aca="false">COUNTIFS($A$4:$A$1008,$A618,$O$4:$O$1008,"&gt;"&amp;O618)+1</f>
        <v>36</v>
      </c>
    </row>
    <row r="619" customFormat="false" ht="15" hidden="false" customHeight="false" outlineLevel="0" collapsed="false">
      <c r="A619" s="7" t="n">
        <v>2015</v>
      </c>
      <c r="B619" s="15" t="s">
        <v>152</v>
      </c>
      <c r="C619" s="15" t="s">
        <v>135</v>
      </c>
      <c r="D619" s="15" t="s">
        <v>148</v>
      </c>
      <c r="E619" s="9" t="n">
        <f aca="false">SUMIFS(Data!$L$2:$L$1006,Data!$A$2:$A$1006,$A619,Data!$B$2:$B$1006,$B619)</f>
        <v>255036</v>
      </c>
      <c r="F619" s="10" t="n">
        <f aca="false">SUMIFS(Data!$E$2:$E$1006,Data!$A$2:$A$1006,$A619,Data!$B$2:$B$1006,$B619)</f>
        <v>24.951094</v>
      </c>
      <c r="G619" s="10" t="n">
        <f aca="false">SUMIFS(Data!$F$2:$F$1006,Data!$A$2:$A$1006,$A619,Data!$B$2:$B$1006,$B619)</f>
        <v>20.993462</v>
      </c>
      <c r="H619" s="10" t="n">
        <f aca="false">SUMIFS(Data!$G$2:$G$1006,Data!$A$2:$A$1006,$A619,Data!$B$2:$B$1006,$B619)</f>
        <v>26.959499</v>
      </c>
      <c r="I619" s="10" t="n">
        <f aca="false">SUMIFS(Data!$N$2:$N$1006,Data!$A$2:$A$1006,$A619,Data!$B$2:$B$1006,$B619)</f>
        <v>72.904055</v>
      </c>
      <c r="J619" s="10" t="n">
        <f aca="false">SUMIFS(Data!$H$2:$H$1006,Data!$A$2:$A$1006,$A619,Data!$B$2:$B$1006,$B619)</f>
        <v>46.18022</v>
      </c>
      <c r="K619" s="11" t="n">
        <f aca="false">IFERROR(F619*1000000/$E619,"")</f>
        <v>97.8336156464186</v>
      </c>
      <c r="L619" s="11" t="n">
        <f aca="false">IFERROR(G619*1000000/$E619,"")</f>
        <v>82.3156809234775</v>
      </c>
      <c r="M619" s="11" t="n">
        <f aca="false">IFERROR(H619*1000000/$E619,"")</f>
        <v>105.708601922866</v>
      </c>
      <c r="N619" s="11" t="n">
        <f aca="false">IFERROR(I619*1000000/$E619,"")</f>
        <v>285.857898492762</v>
      </c>
      <c r="O619" s="11" t="n">
        <f aca="false">IFERROR(J619*1000000/$E619,"")</f>
        <v>181.073338665914</v>
      </c>
      <c r="P619" s="16" t="n">
        <f aca="false">COUNTIFS($A$4:$A$1008,$A619,$N$4:$N$1008,"&gt;"&amp;N619)+1</f>
        <v>20</v>
      </c>
      <c r="Q619" s="16" t="n">
        <f aca="false">COUNTIFS($A$4:$A$1008,$A619,$O$4:$O$1008,"&gt;"&amp;O619)+1</f>
        <v>22</v>
      </c>
    </row>
    <row r="620" customFormat="false" ht="15" hidden="false" customHeight="false" outlineLevel="0" collapsed="false">
      <c r="A620" s="7" t="n">
        <v>2015</v>
      </c>
      <c r="B620" s="15" t="s">
        <v>153</v>
      </c>
      <c r="C620" s="15" t="s">
        <v>135</v>
      </c>
      <c r="D620" s="15" t="s">
        <v>136</v>
      </c>
      <c r="E620" s="9" t="n">
        <f aca="false">SUMIFS(Data!$L$2:$L$1006,Data!$A$2:$A$1006,$A620,Data!$B$2:$B$1006,$B620)</f>
        <v>130822</v>
      </c>
      <c r="F620" s="10" t="n">
        <f aca="false">SUMIFS(Data!$E$2:$E$1006,Data!$A$2:$A$1006,$A620,Data!$B$2:$B$1006,$B620)</f>
        <v>15.514298</v>
      </c>
      <c r="G620" s="10" t="n">
        <f aca="false">SUMIFS(Data!$F$2:$F$1006,Data!$A$2:$A$1006,$A620,Data!$B$2:$B$1006,$B620)</f>
        <v>21.65547</v>
      </c>
      <c r="H620" s="10" t="n">
        <f aca="false">SUMIFS(Data!$G$2:$G$1006,Data!$A$2:$A$1006,$A620,Data!$B$2:$B$1006,$B620)</f>
        <v>10.779201</v>
      </c>
      <c r="I620" s="10" t="n">
        <f aca="false">SUMIFS(Data!$N$2:$N$1006,Data!$A$2:$A$1006,$A620,Data!$B$2:$B$1006,$B620)</f>
        <v>47.948969</v>
      </c>
      <c r="J620" s="10" t="n">
        <f aca="false">SUMIFS(Data!$H$2:$H$1006,Data!$A$2:$A$1006,$A620,Data!$B$2:$B$1006,$B620)</f>
        <v>16.797259</v>
      </c>
      <c r="K620" s="11" t="n">
        <f aca="false">IFERROR(F620*1000000/$E620,"")</f>
        <v>118.590894497867</v>
      </c>
      <c r="L620" s="11" t="n">
        <f aca="false">IFERROR(G620*1000000/$E620,"")</f>
        <v>165.533855161976</v>
      </c>
      <c r="M620" s="11" t="n">
        <f aca="false">IFERROR(H620*1000000/$E620,"")</f>
        <v>82.3959349344911</v>
      </c>
      <c r="N620" s="11" t="n">
        <f aca="false">IFERROR(I620*1000000/$E620,"")</f>
        <v>366.520684594334</v>
      </c>
      <c r="O620" s="11" t="n">
        <f aca="false">IFERROR(J620*1000000/$E620,"")</f>
        <v>128.397815352158</v>
      </c>
      <c r="P620" s="16" t="n">
        <f aca="false">COUNTIFS($A$4:$A$1008,$A620,$N$4:$N$1008,"&gt;"&amp;N620)+1</f>
        <v>8</v>
      </c>
      <c r="Q620" s="16" t="n">
        <f aca="false">COUNTIFS($A$4:$A$1008,$A620,$O$4:$O$1008,"&gt;"&amp;O620)+1</f>
        <v>35</v>
      </c>
    </row>
    <row r="621" customFormat="false" ht="15" hidden="false" customHeight="false" outlineLevel="0" collapsed="false">
      <c r="A621" s="7" t="n">
        <v>2015</v>
      </c>
      <c r="B621" s="15" t="s">
        <v>154</v>
      </c>
      <c r="C621" s="15" t="s">
        <v>135</v>
      </c>
      <c r="D621" s="15" t="s">
        <v>141</v>
      </c>
      <c r="E621" s="9" t="n">
        <f aca="false">SUMIFS(Data!$L$2:$L$1006,Data!$A$2:$A$1006,$A621,Data!$B$2:$B$1006,$B621)</f>
        <v>147771</v>
      </c>
      <c r="F621" s="10" t="n">
        <f aca="false">SUMIFS(Data!$E$2:$E$1006,Data!$A$2:$A$1006,$A621,Data!$B$2:$B$1006,$B621)</f>
        <v>15.461276</v>
      </c>
      <c r="G621" s="10" t="n">
        <f aca="false">SUMIFS(Data!$F$2:$F$1006,Data!$A$2:$A$1006,$A621,Data!$B$2:$B$1006,$B621)</f>
        <v>6.51151</v>
      </c>
      <c r="H621" s="10" t="n">
        <f aca="false">SUMIFS(Data!$G$2:$G$1006,Data!$A$2:$A$1006,$A621,Data!$B$2:$B$1006,$B621)</f>
        <v>18.332795</v>
      </c>
      <c r="I621" s="10" t="n">
        <f aca="false">SUMIFS(Data!$N$2:$N$1006,Data!$A$2:$A$1006,$A621,Data!$B$2:$B$1006,$B621)</f>
        <v>40.305581</v>
      </c>
      <c r="J621" s="10" t="n">
        <f aca="false">SUMIFS(Data!$H$2:$H$1006,Data!$A$2:$A$1006,$A621,Data!$B$2:$B$1006,$B621)</f>
        <v>31.882907</v>
      </c>
      <c r="K621" s="11" t="n">
        <f aca="false">IFERROR(F621*1000000/$E621,"")</f>
        <v>104.629974758241</v>
      </c>
      <c r="L621" s="11" t="n">
        <f aca="false">IFERROR(G621*1000000/$E621,"")</f>
        <v>44.0648706444431</v>
      </c>
      <c r="M621" s="11" t="n">
        <f aca="false">IFERROR(H621*1000000/$E621,"")</f>
        <v>124.062197589514</v>
      </c>
      <c r="N621" s="11" t="n">
        <f aca="false">IFERROR(I621*1000000/$E621,"")</f>
        <v>272.757042992197</v>
      </c>
      <c r="O621" s="11" t="n">
        <f aca="false">IFERROR(J621*1000000/$E621,"")</f>
        <v>215.758890445351</v>
      </c>
      <c r="P621" s="16" t="n">
        <f aca="false">COUNTIFS($A$4:$A$1008,$A621,$N$4:$N$1008,"&gt;"&amp;N621)+1</f>
        <v>24</v>
      </c>
      <c r="Q621" s="16" t="n">
        <f aca="false">COUNTIFS($A$4:$A$1008,$A621,$O$4:$O$1008,"&gt;"&amp;O621)+1</f>
        <v>7</v>
      </c>
    </row>
    <row r="622" customFormat="false" ht="15" hidden="false" customHeight="false" outlineLevel="0" collapsed="false">
      <c r="A622" s="7" t="n">
        <v>2015</v>
      </c>
      <c r="B622" s="15" t="s">
        <v>155</v>
      </c>
      <c r="C622" s="15" t="s">
        <v>135</v>
      </c>
      <c r="D622" s="15" t="s">
        <v>148</v>
      </c>
      <c r="E622" s="9" t="n">
        <f aca="false">SUMIFS(Data!$L$2:$L$1006,Data!$A$2:$A$1006,$A622,Data!$B$2:$B$1006,$B622)</f>
        <v>1136446</v>
      </c>
      <c r="F622" s="10" t="n">
        <f aca="false">SUMIFS(Data!$E$2:$E$1006,Data!$A$2:$A$1006,$A622,Data!$B$2:$B$1006,$B622)</f>
        <v>80.602343</v>
      </c>
      <c r="G622" s="10" t="n">
        <f aca="false">SUMIFS(Data!$F$2:$F$1006,Data!$A$2:$A$1006,$A622,Data!$B$2:$B$1006,$B622)</f>
        <v>119.892426</v>
      </c>
      <c r="H622" s="10" t="n">
        <f aca="false">SUMIFS(Data!$G$2:$G$1006,Data!$A$2:$A$1006,$A622,Data!$B$2:$B$1006,$B622)</f>
        <v>104.675698</v>
      </c>
      <c r="I622" s="10" t="n">
        <f aca="false">SUMIFS(Data!$N$2:$N$1006,Data!$A$2:$A$1006,$A622,Data!$B$2:$B$1006,$B622)</f>
        <v>305.170467</v>
      </c>
      <c r="J622" s="10" t="n">
        <f aca="false">SUMIFS(Data!$H$2:$H$1006,Data!$A$2:$A$1006,$A622,Data!$B$2:$B$1006,$B622)</f>
        <v>238.644336</v>
      </c>
      <c r="K622" s="11" t="n">
        <f aca="false">IFERROR(F622*1000000/$E622,"")</f>
        <v>70.9249212017113</v>
      </c>
      <c r="L622" s="11" t="n">
        <f aca="false">IFERROR(G622*1000000/$E622,"")</f>
        <v>105.497688407544</v>
      </c>
      <c r="M622" s="11" t="n">
        <f aca="false">IFERROR(H622*1000000/$E622,"")</f>
        <v>92.1079382566352</v>
      </c>
      <c r="N622" s="11" t="n">
        <f aca="false">IFERROR(I622*1000000/$E622,"")</f>
        <v>268.530547865891</v>
      </c>
      <c r="O622" s="11" t="n">
        <f aca="false">IFERROR(J622*1000000/$E622,"")</f>
        <v>209.991795474664</v>
      </c>
      <c r="P622" s="16" t="n">
        <f aca="false">COUNTIFS($A$4:$A$1008,$A622,$N$4:$N$1008,"&gt;"&amp;N622)+1</f>
        <v>28</v>
      </c>
      <c r="Q622" s="16" t="n">
        <f aca="false">COUNTIFS($A$4:$A$1008,$A622,$O$4:$O$1008,"&gt;"&amp;O622)+1</f>
        <v>10</v>
      </c>
    </row>
    <row r="623" customFormat="false" ht="15" hidden="false" customHeight="false" outlineLevel="0" collapsed="false">
      <c r="A623" s="7" t="n">
        <v>2015</v>
      </c>
      <c r="B623" s="15" t="s">
        <v>156</v>
      </c>
      <c r="C623" s="15" t="s">
        <v>135</v>
      </c>
      <c r="D623" s="15" t="s">
        <v>148</v>
      </c>
      <c r="E623" s="9" t="n">
        <f aca="false">SUMIFS(Data!$L$2:$L$1006,Data!$A$2:$A$1006,$A623,Data!$B$2:$B$1006,$B623)</f>
        <v>465746</v>
      </c>
      <c r="F623" s="10" t="n">
        <f aca="false">SUMIFS(Data!$E$2:$E$1006,Data!$A$2:$A$1006,$A623,Data!$B$2:$B$1006,$B623)</f>
        <v>28.778281</v>
      </c>
      <c r="G623" s="10" t="n">
        <f aca="false">SUMIFS(Data!$F$2:$F$1006,Data!$A$2:$A$1006,$A623,Data!$B$2:$B$1006,$B623)</f>
        <v>19.8227</v>
      </c>
      <c r="H623" s="10" t="n">
        <f aca="false">SUMIFS(Data!$G$2:$G$1006,Data!$A$2:$A$1006,$A623,Data!$B$2:$B$1006,$B623)</f>
        <v>53.282292</v>
      </c>
      <c r="I623" s="10" t="n">
        <f aca="false">SUMIFS(Data!$N$2:$N$1006,Data!$A$2:$A$1006,$A623,Data!$B$2:$B$1006,$B623)</f>
        <v>101.883273</v>
      </c>
      <c r="J623" s="10" t="n">
        <f aca="false">SUMIFS(Data!$H$2:$H$1006,Data!$A$2:$A$1006,$A623,Data!$B$2:$B$1006,$B623)</f>
        <v>96.376025</v>
      </c>
      <c r="K623" s="11" t="n">
        <f aca="false">IFERROR(F623*1000000/$E623,"")</f>
        <v>61.789647146728</v>
      </c>
      <c r="L623" s="11" t="n">
        <f aca="false">IFERROR(G623*1000000/$E623,"")</f>
        <v>42.5611814164802</v>
      </c>
      <c r="M623" s="11" t="n">
        <f aca="false">IFERROR(H623*1000000/$E623,"")</f>
        <v>114.402038879561</v>
      </c>
      <c r="N623" s="11" t="n">
        <f aca="false">IFERROR(I623*1000000/$E623,"")</f>
        <v>218.752867442769</v>
      </c>
      <c r="O623" s="11" t="n">
        <f aca="false">IFERROR(J623*1000000/$E623,"")</f>
        <v>206.928293533385</v>
      </c>
      <c r="P623" s="16" t="n">
        <f aca="false">COUNTIFS($A$4:$A$1008,$A623,$N$4:$N$1008,"&gt;"&amp;N623)+1</f>
        <v>35</v>
      </c>
      <c r="Q623" s="16" t="n">
        <f aca="false">COUNTIFS($A$4:$A$1008,$A623,$O$4:$O$1008,"&gt;"&amp;O623)+1</f>
        <v>13</v>
      </c>
    </row>
    <row r="624" customFormat="false" ht="15" hidden="false" customHeight="false" outlineLevel="0" collapsed="false">
      <c r="A624" s="7" t="n">
        <v>2015</v>
      </c>
      <c r="B624" s="15" t="s">
        <v>157</v>
      </c>
      <c r="C624" s="15" t="s">
        <v>135</v>
      </c>
      <c r="D624" s="15" t="s">
        <v>148</v>
      </c>
      <c r="E624" s="9" t="n">
        <f aca="false">SUMIFS(Data!$L$2:$L$1006,Data!$A$2:$A$1006,$A624,Data!$B$2:$B$1006,$B624)</f>
        <v>447732</v>
      </c>
      <c r="F624" s="10" t="n">
        <f aca="false">SUMIFS(Data!$E$2:$E$1006,Data!$A$2:$A$1006,$A624,Data!$B$2:$B$1006,$B624)</f>
        <v>52.051598</v>
      </c>
      <c r="G624" s="10" t="n">
        <f aca="false">SUMIFS(Data!$F$2:$F$1006,Data!$A$2:$A$1006,$A624,Data!$B$2:$B$1006,$B624)</f>
        <v>41.41589</v>
      </c>
      <c r="H624" s="10" t="n">
        <f aca="false">SUMIFS(Data!$G$2:$G$1006,Data!$A$2:$A$1006,$A624,Data!$B$2:$B$1006,$B624)</f>
        <v>23.362721</v>
      </c>
      <c r="I624" s="10" t="n">
        <f aca="false">SUMIFS(Data!$N$2:$N$1006,Data!$A$2:$A$1006,$A624,Data!$B$2:$B$1006,$B624)</f>
        <v>116.830209</v>
      </c>
      <c r="J624" s="10" t="n">
        <f aca="false">SUMIFS(Data!$H$2:$H$1006,Data!$A$2:$A$1006,$A624,Data!$B$2:$B$1006,$B624)</f>
        <v>94.857082</v>
      </c>
      <c r="K624" s="11" t="n">
        <f aca="false">IFERROR(F624*1000000/$E624,"")</f>
        <v>116.256148767566</v>
      </c>
      <c r="L624" s="11" t="n">
        <f aca="false">IFERROR(G624*1000000/$E624,"")</f>
        <v>92.5015187656902</v>
      </c>
      <c r="M624" s="11" t="n">
        <f aca="false">IFERROR(H624*1000000/$E624,"")</f>
        <v>52.1801457121671</v>
      </c>
      <c r="N624" s="11" t="n">
        <f aca="false">IFERROR(I624*1000000/$E624,"")</f>
        <v>260.937813245424</v>
      </c>
      <c r="O624" s="11" t="n">
        <f aca="false">IFERROR(J624*1000000/$E624,"")</f>
        <v>211.861296489865</v>
      </c>
      <c r="P624" s="16" t="n">
        <f aca="false">COUNTIFS($A$4:$A$1008,$A624,$N$4:$N$1008,"&gt;"&amp;N624)+1</f>
        <v>30</v>
      </c>
      <c r="Q624" s="16" t="n">
        <f aca="false">COUNTIFS($A$4:$A$1008,$A624,$O$4:$O$1008,"&gt;"&amp;O624)+1</f>
        <v>9</v>
      </c>
    </row>
    <row r="625" customFormat="false" ht="15" hidden="false" customHeight="false" outlineLevel="0" collapsed="false">
      <c r="A625" s="7" t="n">
        <v>2016</v>
      </c>
      <c r="B625" s="15" t="s">
        <v>101</v>
      </c>
      <c r="C625" s="15" t="s">
        <v>102</v>
      </c>
      <c r="D625" s="15" t="s">
        <v>103</v>
      </c>
      <c r="E625" s="9" t="n">
        <f aca="false">SUMIFS(Data!$L$2:$L$1006,Data!$A$2:$A$1006,$A625,Data!$B$2:$B$1006,$B625)</f>
        <v>747748</v>
      </c>
      <c r="F625" s="10" t="n">
        <f aca="false">SUMIFS(Data!$E$2:$E$1006,Data!$A$2:$A$1006,$A625,Data!$B$2:$B$1006,$B625)</f>
        <v>47.82676</v>
      </c>
      <c r="G625" s="10" t="n">
        <f aca="false">SUMIFS(Data!$F$2:$F$1006,Data!$A$2:$A$1006,$A625,Data!$B$2:$B$1006,$B625)</f>
        <v>31.933321</v>
      </c>
      <c r="H625" s="10" t="n">
        <f aca="false">SUMIFS(Data!$G$2:$G$1006,Data!$A$2:$A$1006,$A625,Data!$B$2:$B$1006,$B625)</f>
        <v>71.404435</v>
      </c>
      <c r="I625" s="10" t="n">
        <f aca="false">SUMIFS(Data!$N$2:$N$1006,Data!$A$2:$A$1006,$A625,Data!$B$2:$B$1006,$B625)</f>
        <v>151.164516</v>
      </c>
      <c r="J625" s="10" t="n">
        <f aca="false">SUMIFS(Data!$H$2:$H$1006,Data!$A$2:$A$1006,$A625,Data!$B$2:$B$1006,$B625)</f>
        <v>105.433793</v>
      </c>
      <c r="K625" s="11" t="n">
        <f aca="false">IFERROR(F625*1000000/$E625,"")</f>
        <v>63.9610670974713</v>
      </c>
      <c r="L625" s="11" t="n">
        <f aca="false">IFERROR(G625*1000000/$E625,"")</f>
        <v>42.7059931955686</v>
      </c>
      <c r="M625" s="11" t="n">
        <f aca="false">IFERROR(H625*1000000/$E625,"")</f>
        <v>95.4926459181436</v>
      </c>
      <c r="N625" s="11" t="n">
        <f aca="false">IFERROR(I625*1000000/$E625,"")</f>
        <v>202.159706211183</v>
      </c>
      <c r="O625" s="11" t="n">
        <f aca="false">IFERROR(J625*1000000/$E625,"")</f>
        <v>141.001771987354</v>
      </c>
      <c r="P625" s="16" t="n">
        <f aca="false">COUNTIFS($A$4:$A$1008,$A625,$N$4:$N$1008,"&gt;"&amp;N625)+1</f>
        <v>37</v>
      </c>
      <c r="Q625" s="16" t="n">
        <f aca="false">COUNTIFS($A$4:$A$1008,$A625,$O$4:$O$1008,"&gt;"&amp;O625)+1</f>
        <v>36</v>
      </c>
    </row>
    <row r="626" customFormat="false" ht="15" hidden="false" customHeight="false" outlineLevel="0" collapsed="false">
      <c r="A626" s="7" t="n">
        <v>2016</v>
      </c>
      <c r="B626" s="15" t="s">
        <v>104</v>
      </c>
      <c r="C626" s="15" t="s">
        <v>102</v>
      </c>
      <c r="D626" s="15" t="s">
        <v>105</v>
      </c>
      <c r="E626" s="9" t="n">
        <f aca="false">SUMIFS(Data!$L$2:$L$1006,Data!$A$2:$A$1006,$A626,Data!$B$2:$B$1006,$B626)</f>
        <v>1113459</v>
      </c>
      <c r="F626" s="10" t="n">
        <f aca="false">SUMIFS(Data!$E$2:$E$1006,Data!$A$2:$A$1006,$A626,Data!$B$2:$B$1006,$B626)</f>
        <v>95.301444</v>
      </c>
      <c r="G626" s="10" t="n">
        <f aca="false">SUMIFS(Data!$F$2:$F$1006,Data!$A$2:$A$1006,$A626,Data!$B$2:$B$1006,$B626)</f>
        <v>178.346924</v>
      </c>
      <c r="H626" s="10" t="n">
        <f aca="false">SUMIFS(Data!$G$2:$G$1006,Data!$A$2:$A$1006,$A626,Data!$B$2:$B$1006,$B626)</f>
        <v>97.455125</v>
      </c>
      <c r="I626" s="10" t="n">
        <f aca="false">SUMIFS(Data!$N$2:$N$1006,Data!$A$2:$A$1006,$A626,Data!$B$2:$B$1006,$B626)</f>
        <v>371.103493</v>
      </c>
      <c r="J626" s="10" t="n">
        <f aca="false">SUMIFS(Data!$H$2:$H$1006,Data!$A$2:$A$1006,$A626,Data!$B$2:$B$1006,$B626)</f>
        <v>204.647988</v>
      </c>
      <c r="K626" s="11" t="n">
        <f aca="false">IFERROR(F626*1000000/$E626,"")</f>
        <v>85.5904384445229</v>
      </c>
      <c r="L626" s="11" t="n">
        <f aca="false">IFERROR(G626*1000000/$E626,"")</f>
        <v>160.173768409973</v>
      </c>
      <c r="M626" s="11" t="n">
        <f aca="false">IFERROR(H626*1000000/$E626,"")</f>
        <v>87.5246641322222</v>
      </c>
      <c r="N626" s="11" t="n">
        <f aca="false">IFERROR(I626*1000000/$E626,"")</f>
        <v>333.288870986718</v>
      </c>
      <c r="O626" s="11" t="n">
        <f aca="false">IFERROR(J626*1000000/$E626,"")</f>
        <v>183.794812381956</v>
      </c>
      <c r="P626" s="16" t="n">
        <f aca="false">COUNTIFS($A$4:$A$1008,$A626,$N$4:$N$1008,"&gt;"&amp;N626)+1</f>
        <v>13</v>
      </c>
      <c r="Q626" s="16" t="n">
        <f aca="false">COUNTIFS($A$4:$A$1008,$A626,$O$4:$O$1008,"&gt;"&amp;O626)+1</f>
        <v>24</v>
      </c>
    </row>
    <row r="627" customFormat="false" ht="15" hidden="false" customHeight="false" outlineLevel="0" collapsed="false">
      <c r="A627" s="7" t="n">
        <v>2016</v>
      </c>
      <c r="B627" s="15" t="s">
        <v>106</v>
      </c>
      <c r="C627" s="15" t="s">
        <v>102</v>
      </c>
      <c r="D627" s="15" t="s">
        <v>107</v>
      </c>
      <c r="E627" s="9" t="n">
        <f aca="false">SUMIFS(Data!$L$2:$L$1006,Data!$A$2:$A$1006,$A627,Data!$B$2:$B$1006,$B627)</f>
        <v>562850</v>
      </c>
      <c r="F627" s="10" t="n">
        <f aca="false">SUMIFS(Data!$E$2:$E$1006,Data!$A$2:$A$1006,$A627,Data!$B$2:$B$1006,$B627)</f>
        <v>45.4635</v>
      </c>
      <c r="G627" s="10" t="n">
        <f aca="false">SUMIFS(Data!$F$2:$F$1006,Data!$A$2:$A$1006,$A627,Data!$B$2:$B$1006,$B627)</f>
        <v>60.559641</v>
      </c>
      <c r="H627" s="10" t="n">
        <f aca="false">SUMIFS(Data!$G$2:$G$1006,Data!$A$2:$A$1006,$A627,Data!$B$2:$B$1006,$B627)</f>
        <v>48.359673</v>
      </c>
      <c r="I627" s="10" t="n">
        <f aca="false">SUMIFS(Data!$N$2:$N$1006,Data!$A$2:$A$1006,$A627,Data!$B$2:$B$1006,$B627)</f>
        <v>154.382814</v>
      </c>
      <c r="J627" s="10" t="n">
        <f aca="false">SUMIFS(Data!$H$2:$H$1006,Data!$A$2:$A$1006,$A627,Data!$B$2:$B$1006,$B627)</f>
        <v>100.463112</v>
      </c>
      <c r="K627" s="11" t="n">
        <f aca="false">IFERROR(F627*1000000/$E627,"")</f>
        <v>80.7737407835125</v>
      </c>
      <c r="L627" s="11" t="n">
        <f aca="false">IFERROR(G627*1000000/$E627,"")</f>
        <v>107.594636226348</v>
      </c>
      <c r="M627" s="11" t="n">
        <f aca="false">IFERROR(H627*1000000/$E627,"")</f>
        <v>85.9192911077552</v>
      </c>
      <c r="N627" s="11" t="n">
        <f aca="false">IFERROR(I627*1000000/$E627,"")</f>
        <v>274.287668117616</v>
      </c>
      <c r="O627" s="11" t="n">
        <f aca="false">IFERROR(J627*1000000/$E627,"")</f>
        <v>178.490027538421</v>
      </c>
      <c r="P627" s="16" t="n">
        <f aca="false">COUNTIFS($A$4:$A$1008,$A627,$N$4:$N$1008,"&gt;"&amp;N627)+1</f>
        <v>23</v>
      </c>
      <c r="Q627" s="16" t="n">
        <f aca="false">COUNTIFS($A$4:$A$1008,$A627,$O$4:$O$1008,"&gt;"&amp;O627)+1</f>
        <v>28</v>
      </c>
    </row>
    <row r="628" customFormat="false" ht="15" hidden="false" customHeight="false" outlineLevel="0" collapsed="false">
      <c r="A628" s="7" t="n">
        <v>2016</v>
      </c>
      <c r="B628" s="15" t="s">
        <v>108</v>
      </c>
      <c r="C628" s="15" t="s">
        <v>102</v>
      </c>
      <c r="D628" s="15" t="s">
        <v>109</v>
      </c>
      <c r="E628" s="9" t="n">
        <f aca="false">SUMIFS(Data!$L$2:$L$1006,Data!$A$2:$A$1006,$A628,Data!$B$2:$B$1006,$B628)</f>
        <v>389759</v>
      </c>
      <c r="F628" s="10" t="n">
        <f aca="false">SUMIFS(Data!$E$2:$E$1006,Data!$A$2:$A$1006,$A628,Data!$B$2:$B$1006,$B628)</f>
        <v>65.326168</v>
      </c>
      <c r="G628" s="10" t="n">
        <f aca="false">SUMIFS(Data!$F$2:$F$1006,Data!$A$2:$A$1006,$A628,Data!$B$2:$B$1006,$B628)</f>
        <v>20.228348</v>
      </c>
      <c r="H628" s="10" t="n">
        <f aca="false">SUMIFS(Data!$G$2:$G$1006,Data!$A$2:$A$1006,$A628,Data!$B$2:$B$1006,$B628)</f>
        <v>39.69048</v>
      </c>
      <c r="I628" s="10" t="n">
        <f aca="false">SUMIFS(Data!$N$2:$N$1006,Data!$A$2:$A$1006,$A628,Data!$B$2:$B$1006,$B628)</f>
        <v>125.244996</v>
      </c>
      <c r="J628" s="10" t="n">
        <f aca="false">SUMIFS(Data!$H$2:$H$1006,Data!$A$2:$A$1006,$A628,Data!$B$2:$B$1006,$B628)</f>
        <v>82.242446</v>
      </c>
      <c r="K628" s="11" t="n">
        <f aca="false">IFERROR(F628*1000000/$E628,"")</f>
        <v>167.606567135076</v>
      </c>
      <c r="L628" s="11" t="n">
        <f aca="false">IFERROR(G628*1000000/$E628,"")</f>
        <v>51.8996302843552</v>
      </c>
      <c r="M628" s="11" t="n">
        <f aca="false">IFERROR(H628*1000000/$E628,"")</f>
        <v>101.833389350855</v>
      </c>
      <c r="N628" s="11" t="n">
        <f aca="false">IFERROR(I628*1000000/$E628,"")</f>
        <v>321.339586770286</v>
      </c>
      <c r="O628" s="11" t="n">
        <f aca="false">IFERROR(J628*1000000/$E628,"")</f>
        <v>211.008459073427</v>
      </c>
      <c r="P628" s="16" t="n">
        <f aca="false">COUNTIFS($A$4:$A$1008,$A628,$N$4:$N$1008,"&gt;"&amp;N628)+1</f>
        <v>17</v>
      </c>
      <c r="Q628" s="16" t="n">
        <f aca="false">COUNTIFS($A$4:$A$1008,$A628,$O$4:$O$1008,"&gt;"&amp;O628)+1</f>
        <v>20</v>
      </c>
    </row>
    <row r="629" customFormat="false" ht="15" hidden="false" customHeight="false" outlineLevel="0" collapsed="false">
      <c r="A629" s="7" t="n">
        <v>2016</v>
      </c>
      <c r="B629" s="15" t="s">
        <v>110</v>
      </c>
      <c r="C629" s="15" t="s">
        <v>102</v>
      </c>
      <c r="D629" s="15" t="s">
        <v>103</v>
      </c>
      <c r="E629" s="9" t="n">
        <f aca="false">SUMIFS(Data!$L$2:$L$1006,Data!$A$2:$A$1006,$A629,Data!$B$2:$B$1006,$B629)</f>
        <v>1041123</v>
      </c>
      <c r="F629" s="10" t="n">
        <f aca="false">SUMIFS(Data!$E$2:$E$1006,Data!$A$2:$A$1006,$A629,Data!$B$2:$B$1006,$B629)</f>
        <v>54.428064</v>
      </c>
      <c r="G629" s="10" t="n">
        <f aca="false">SUMIFS(Data!$F$2:$F$1006,Data!$A$2:$A$1006,$A629,Data!$B$2:$B$1006,$B629)</f>
        <v>43.604271</v>
      </c>
      <c r="H629" s="10" t="n">
        <f aca="false">SUMIFS(Data!$G$2:$G$1006,Data!$A$2:$A$1006,$A629,Data!$B$2:$B$1006,$B629)</f>
        <v>76.005655</v>
      </c>
      <c r="I629" s="10" t="n">
        <f aca="false">SUMIFS(Data!$N$2:$N$1006,Data!$A$2:$A$1006,$A629,Data!$B$2:$B$1006,$B629)</f>
        <v>174.03799</v>
      </c>
      <c r="J629" s="10" t="n">
        <f aca="false">SUMIFS(Data!$H$2:$H$1006,Data!$A$2:$A$1006,$A629,Data!$B$2:$B$1006,$B629)</f>
        <v>109.993698</v>
      </c>
      <c r="K629" s="11" t="n">
        <f aca="false">IFERROR(F629*1000000/$E629,"")</f>
        <v>52.2782264919707</v>
      </c>
      <c r="L629" s="11" t="n">
        <f aca="false">IFERROR(G629*1000000/$E629,"")</f>
        <v>41.8819591921416</v>
      </c>
      <c r="M629" s="11" t="n">
        <f aca="false">IFERROR(H629*1000000/$E629,"")</f>
        <v>73.0035308027966</v>
      </c>
      <c r="N629" s="11" t="n">
        <f aca="false">IFERROR(I629*1000000/$E629,"")</f>
        <v>167.163716486909</v>
      </c>
      <c r="O629" s="11" t="n">
        <f aca="false">IFERROR(J629*1000000/$E629,"")</f>
        <v>105.649090453289</v>
      </c>
      <c r="P629" s="16" t="n">
        <f aca="false">COUNTIFS($A$4:$A$1008,$A629,$N$4:$N$1008,"&gt;"&amp;N629)+1</f>
        <v>39</v>
      </c>
      <c r="Q629" s="16" t="n">
        <f aca="false">COUNTIFS($A$4:$A$1008,$A629,$O$4:$O$1008,"&gt;"&amp;O629)+1</f>
        <v>39</v>
      </c>
    </row>
    <row r="630" customFormat="false" ht="15" hidden="false" customHeight="false" outlineLevel="0" collapsed="false">
      <c r="A630" s="7" t="n">
        <v>2016</v>
      </c>
      <c r="B630" s="15" t="s">
        <v>111</v>
      </c>
      <c r="C630" s="15" t="s">
        <v>102</v>
      </c>
      <c r="D630" s="15" t="s">
        <v>107</v>
      </c>
      <c r="E630" s="9" t="n">
        <f aca="false">SUMIFS(Data!$L$2:$L$1006,Data!$A$2:$A$1006,$A630,Data!$B$2:$B$1006,$B630)</f>
        <v>587251</v>
      </c>
      <c r="F630" s="10" t="n">
        <f aca="false">SUMIFS(Data!$E$2:$E$1006,Data!$A$2:$A$1006,$A630,Data!$B$2:$B$1006,$B630)</f>
        <v>44.599674</v>
      </c>
      <c r="G630" s="10" t="n">
        <f aca="false">SUMIFS(Data!$F$2:$F$1006,Data!$A$2:$A$1006,$A630,Data!$B$2:$B$1006,$B630)</f>
        <v>63.784123</v>
      </c>
      <c r="H630" s="10" t="n">
        <f aca="false">SUMIFS(Data!$G$2:$G$1006,Data!$A$2:$A$1006,$A630,Data!$B$2:$B$1006,$B630)</f>
        <v>50.556967</v>
      </c>
      <c r="I630" s="10" t="n">
        <f aca="false">SUMIFS(Data!$N$2:$N$1006,Data!$A$2:$A$1006,$A630,Data!$B$2:$B$1006,$B630)</f>
        <v>158.940764</v>
      </c>
      <c r="J630" s="10" t="n">
        <f aca="false">SUMIFS(Data!$H$2:$H$1006,Data!$A$2:$A$1006,$A630,Data!$B$2:$B$1006,$B630)</f>
        <v>137.435262</v>
      </c>
      <c r="K630" s="11" t="n">
        <f aca="false">IFERROR(F630*1000000/$E630,"")</f>
        <v>75.9465271238363</v>
      </c>
      <c r="L630" s="11" t="n">
        <f aca="false">IFERROR(G630*1000000/$E630,"")</f>
        <v>108.61475416815</v>
      </c>
      <c r="M630" s="11" t="n">
        <f aca="false">IFERROR(H630*1000000/$E630,"")</f>
        <v>86.0908998026398</v>
      </c>
      <c r="N630" s="11" t="n">
        <f aca="false">IFERROR(I630*1000000/$E630,"")</f>
        <v>270.652181094626</v>
      </c>
      <c r="O630" s="11" t="n">
        <f aca="false">IFERROR(J630*1000000/$E630,"")</f>
        <v>234.031550393273</v>
      </c>
      <c r="P630" s="16" t="n">
        <f aca="false">COUNTIFS($A$4:$A$1008,$A630,$N$4:$N$1008,"&gt;"&amp;N630)+1</f>
        <v>25</v>
      </c>
      <c r="Q630" s="16" t="n">
        <f aca="false">COUNTIFS($A$4:$A$1008,$A630,$O$4:$O$1008,"&gt;"&amp;O630)+1</f>
        <v>10</v>
      </c>
    </row>
    <row r="631" customFormat="false" ht="15" hidden="false" customHeight="false" outlineLevel="0" collapsed="false">
      <c r="A631" s="7" t="n">
        <v>2016</v>
      </c>
      <c r="B631" s="15" t="s">
        <v>112</v>
      </c>
      <c r="C631" s="15" t="s">
        <v>102</v>
      </c>
      <c r="D631" s="15" t="s">
        <v>107</v>
      </c>
      <c r="E631" s="9" t="n">
        <f aca="false">SUMIFS(Data!$L$2:$L$1006,Data!$A$2:$A$1006,$A631,Data!$B$2:$B$1006,$B631)</f>
        <v>164285</v>
      </c>
      <c r="F631" s="10" t="n">
        <f aca="false">SUMIFS(Data!$E$2:$E$1006,Data!$A$2:$A$1006,$A631,Data!$B$2:$B$1006,$B631)</f>
        <v>12.05272</v>
      </c>
      <c r="G631" s="10" t="n">
        <f aca="false">SUMIFS(Data!$F$2:$F$1006,Data!$A$2:$A$1006,$A631,Data!$B$2:$B$1006,$B631)</f>
        <v>16.427935</v>
      </c>
      <c r="H631" s="10" t="n">
        <f aca="false">SUMIFS(Data!$G$2:$G$1006,Data!$A$2:$A$1006,$A631,Data!$B$2:$B$1006,$B631)</f>
        <v>13.175359</v>
      </c>
      <c r="I631" s="10" t="n">
        <f aca="false">SUMIFS(Data!$N$2:$N$1006,Data!$A$2:$A$1006,$A631,Data!$B$2:$B$1006,$B631)</f>
        <v>41.656014</v>
      </c>
      <c r="J631" s="10" t="n">
        <f aca="false">SUMIFS(Data!$H$2:$H$1006,Data!$A$2:$A$1006,$A631,Data!$B$2:$B$1006,$B631)</f>
        <v>48.083371</v>
      </c>
      <c r="K631" s="11" t="n">
        <f aca="false">IFERROR(F631*1000000/$E631,"")</f>
        <v>73.3647015856591</v>
      </c>
      <c r="L631" s="11" t="n">
        <f aca="false">IFERROR(G631*1000000/$E631,"")</f>
        <v>99.9965608546124</v>
      </c>
      <c r="M631" s="11" t="n">
        <f aca="false">IFERROR(H631*1000000/$E631,"")</f>
        <v>80.1981860790699</v>
      </c>
      <c r="N631" s="11" t="n">
        <f aca="false">IFERROR(I631*1000000/$E631,"")</f>
        <v>253.559448519341</v>
      </c>
      <c r="O631" s="11" t="n">
        <f aca="false">IFERROR(J631*1000000/$E631,"")</f>
        <v>292.682661228962</v>
      </c>
      <c r="P631" s="16" t="n">
        <f aca="false">COUNTIFS($A$4:$A$1008,$A631,$N$4:$N$1008,"&gt;"&amp;N631)+1</f>
        <v>29</v>
      </c>
      <c r="Q631" s="16" t="n">
        <f aca="false">COUNTIFS($A$4:$A$1008,$A631,$O$4:$O$1008,"&gt;"&amp;O631)+1</f>
        <v>3</v>
      </c>
    </row>
    <row r="632" customFormat="false" ht="15" hidden="false" customHeight="false" outlineLevel="0" collapsed="false">
      <c r="A632" s="7" t="n">
        <v>2016</v>
      </c>
      <c r="B632" s="15" t="s">
        <v>113</v>
      </c>
      <c r="C632" s="15" t="s">
        <v>102</v>
      </c>
      <c r="D632" s="15" t="s">
        <v>114</v>
      </c>
      <c r="E632" s="9" t="n">
        <f aca="false">SUMIFS(Data!$L$2:$L$1006,Data!$A$2:$A$1006,$A632,Data!$B$2:$B$1006,$B632)</f>
        <v>402327</v>
      </c>
      <c r="F632" s="10" t="n">
        <f aca="false">SUMIFS(Data!$E$2:$E$1006,Data!$A$2:$A$1006,$A632,Data!$B$2:$B$1006,$B632)</f>
        <v>32.612502</v>
      </c>
      <c r="G632" s="10" t="n">
        <f aca="false">SUMIFS(Data!$F$2:$F$1006,Data!$A$2:$A$1006,$A632,Data!$B$2:$B$1006,$B632)</f>
        <v>33.59822</v>
      </c>
      <c r="H632" s="10" t="n">
        <f aca="false">SUMIFS(Data!$G$2:$G$1006,Data!$A$2:$A$1006,$A632,Data!$B$2:$B$1006,$B632)</f>
        <v>42.973313</v>
      </c>
      <c r="I632" s="10" t="n">
        <f aca="false">SUMIFS(Data!$N$2:$N$1006,Data!$A$2:$A$1006,$A632,Data!$B$2:$B$1006,$B632)</f>
        <v>109.184035</v>
      </c>
      <c r="J632" s="10" t="n">
        <f aca="false">SUMIFS(Data!$H$2:$H$1006,Data!$A$2:$A$1006,$A632,Data!$B$2:$B$1006,$B632)</f>
        <v>73.656503</v>
      </c>
      <c r="K632" s="11" t="n">
        <f aca="false">IFERROR(F632*1000000/$E632,"")</f>
        <v>81.0596902519592</v>
      </c>
      <c r="L632" s="11" t="n">
        <f aca="false">IFERROR(G632*1000000/$E632,"")</f>
        <v>83.5097321333144</v>
      </c>
      <c r="M632" s="11" t="n">
        <f aca="false">IFERROR(H632*1000000/$E632,"")</f>
        <v>106.811904247043</v>
      </c>
      <c r="N632" s="11" t="n">
        <f aca="false">IFERROR(I632*1000000/$E632,"")</f>
        <v>271.381326632317</v>
      </c>
      <c r="O632" s="11" t="n">
        <f aca="false">IFERROR(J632*1000000/$E632,"")</f>
        <v>183.076211638791</v>
      </c>
      <c r="P632" s="16" t="n">
        <f aca="false">COUNTIFS($A$4:$A$1008,$A632,$N$4:$N$1008,"&gt;"&amp;N632)+1</f>
        <v>24</v>
      </c>
      <c r="Q632" s="16" t="n">
        <f aca="false">COUNTIFS($A$4:$A$1008,$A632,$O$4:$O$1008,"&gt;"&amp;O632)+1</f>
        <v>25</v>
      </c>
    </row>
    <row r="633" customFormat="false" ht="15" hidden="false" customHeight="false" outlineLevel="0" collapsed="false">
      <c r="A633" s="7" t="n">
        <v>2016</v>
      </c>
      <c r="B633" s="15" t="s">
        <v>115</v>
      </c>
      <c r="C633" s="15" t="s">
        <v>102</v>
      </c>
      <c r="D633" s="15" t="s">
        <v>103</v>
      </c>
      <c r="E633" s="9" t="n">
        <f aca="false">SUMIFS(Data!$L$2:$L$1006,Data!$A$2:$A$1006,$A633,Data!$B$2:$B$1006,$B633)</f>
        <v>309060</v>
      </c>
      <c r="F633" s="10" t="n">
        <f aca="false">SUMIFS(Data!$E$2:$E$1006,Data!$A$2:$A$1006,$A633,Data!$B$2:$B$1006,$B633)</f>
        <v>17.330656</v>
      </c>
      <c r="G633" s="10" t="n">
        <f aca="false">SUMIFS(Data!$F$2:$F$1006,Data!$A$2:$A$1006,$A633,Data!$B$2:$B$1006,$B633)</f>
        <v>16.216616</v>
      </c>
      <c r="H633" s="10" t="n">
        <f aca="false">SUMIFS(Data!$G$2:$G$1006,Data!$A$2:$A$1006,$A633,Data!$B$2:$B$1006,$B633)</f>
        <v>30.702401</v>
      </c>
      <c r="I633" s="10" t="n">
        <f aca="false">SUMIFS(Data!$N$2:$N$1006,Data!$A$2:$A$1006,$A633,Data!$B$2:$B$1006,$B633)</f>
        <v>64.249673</v>
      </c>
      <c r="J633" s="10" t="n">
        <f aca="false">SUMIFS(Data!$H$2:$H$1006,Data!$A$2:$A$1006,$A633,Data!$B$2:$B$1006,$B633)</f>
        <v>36.645053</v>
      </c>
      <c r="K633" s="11" t="n">
        <f aca="false">IFERROR(F633*1000000/$E633,"")</f>
        <v>56.0753769494597</v>
      </c>
      <c r="L633" s="11" t="n">
        <f aca="false">IFERROR(G633*1000000/$E633,"")</f>
        <v>52.4707694298842</v>
      </c>
      <c r="M633" s="11" t="n">
        <f aca="false">IFERROR(H633*1000000/$E633,"")</f>
        <v>99.3412314760888</v>
      </c>
      <c r="N633" s="11" t="n">
        <f aca="false">IFERROR(I633*1000000/$E633,"")</f>
        <v>207.887377855433</v>
      </c>
      <c r="O633" s="11" t="n">
        <f aca="false">IFERROR(J633*1000000/$E633,"")</f>
        <v>118.5693813499</v>
      </c>
      <c r="P633" s="16" t="n">
        <f aca="false">COUNTIFS($A$4:$A$1008,$A633,$N$4:$N$1008,"&gt;"&amp;N633)+1</f>
        <v>36</v>
      </c>
      <c r="Q633" s="16" t="n">
        <f aca="false">COUNTIFS($A$4:$A$1008,$A633,$O$4:$O$1008,"&gt;"&amp;O633)+1</f>
        <v>38</v>
      </c>
    </row>
    <row r="634" customFormat="false" ht="15" hidden="false" customHeight="false" outlineLevel="0" collapsed="false">
      <c r="A634" s="7" t="n">
        <v>2016</v>
      </c>
      <c r="B634" s="15" t="s">
        <v>116</v>
      </c>
      <c r="C634" s="15" t="s">
        <v>102</v>
      </c>
      <c r="D634" s="15" t="s">
        <v>107</v>
      </c>
      <c r="E634" s="9" t="n">
        <f aca="false">SUMIFS(Data!$L$2:$L$1006,Data!$A$2:$A$1006,$A634,Data!$B$2:$B$1006,$B634)</f>
        <v>723352</v>
      </c>
      <c r="F634" s="10" t="n">
        <f aca="false">SUMIFS(Data!$E$2:$E$1006,Data!$A$2:$A$1006,$A634,Data!$B$2:$B$1006,$B634)</f>
        <v>48.705748</v>
      </c>
      <c r="G634" s="10" t="n">
        <f aca="false">SUMIFS(Data!$F$2:$F$1006,Data!$A$2:$A$1006,$A634,Data!$B$2:$B$1006,$B634)</f>
        <v>68.095505</v>
      </c>
      <c r="H634" s="10" t="n">
        <f aca="false">SUMIFS(Data!$G$2:$G$1006,Data!$A$2:$A$1006,$A634,Data!$B$2:$B$1006,$B634)</f>
        <v>48.148637</v>
      </c>
      <c r="I634" s="10" t="n">
        <f aca="false">SUMIFS(Data!$N$2:$N$1006,Data!$A$2:$A$1006,$A634,Data!$B$2:$B$1006,$B634)</f>
        <v>164.94989</v>
      </c>
      <c r="J634" s="10" t="n">
        <f aca="false">SUMIFS(Data!$H$2:$H$1006,Data!$A$2:$A$1006,$A634,Data!$B$2:$B$1006,$B634)</f>
        <v>130.11317</v>
      </c>
      <c r="K634" s="11" t="n">
        <f aca="false">IFERROR(F634*1000000/$E634,"")</f>
        <v>67.3333978477975</v>
      </c>
      <c r="L634" s="11" t="n">
        <f aca="false">IFERROR(G634*1000000/$E634,"")</f>
        <v>94.138821763125</v>
      </c>
      <c r="M634" s="11" t="n">
        <f aca="false">IFERROR(H634*1000000/$E634,"")</f>
        <v>66.5632181842312</v>
      </c>
      <c r="N634" s="11" t="n">
        <f aca="false">IFERROR(I634*1000000/$E634,"")</f>
        <v>228.035437795154</v>
      </c>
      <c r="O634" s="11" t="n">
        <f aca="false">IFERROR(J634*1000000/$E634,"")</f>
        <v>179.875316581692</v>
      </c>
      <c r="P634" s="16" t="n">
        <f aca="false">COUNTIFS($A$4:$A$1008,$A634,$N$4:$N$1008,"&gt;"&amp;N634)+1</f>
        <v>32</v>
      </c>
      <c r="Q634" s="16" t="n">
        <f aca="false">COUNTIFS($A$4:$A$1008,$A634,$O$4:$O$1008,"&gt;"&amp;O634)+1</f>
        <v>27</v>
      </c>
    </row>
    <row r="635" customFormat="false" ht="15" hidden="false" customHeight="false" outlineLevel="0" collapsed="false">
      <c r="A635" s="7" t="n">
        <v>2016</v>
      </c>
      <c r="B635" s="15" t="s">
        <v>117</v>
      </c>
      <c r="C635" s="15" t="s">
        <v>118</v>
      </c>
      <c r="D635" s="15" t="s">
        <v>103</v>
      </c>
      <c r="E635" s="9" t="n">
        <f aca="false">SUMIFS(Data!$L$2:$L$1006,Data!$A$2:$A$1006,$A635,Data!$B$2:$B$1006,$B635)</f>
        <v>1467725</v>
      </c>
      <c r="F635" s="10" t="n">
        <f aca="false">SUMIFS(Data!$E$2:$E$1006,Data!$A$2:$A$1006,$A635,Data!$B$2:$B$1006,$B635)</f>
        <v>192.51348</v>
      </c>
      <c r="G635" s="10" t="n">
        <f aca="false">SUMIFS(Data!$F$2:$F$1006,Data!$A$2:$A$1006,$A635,Data!$B$2:$B$1006,$B635)</f>
        <v>313.450651</v>
      </c>
      <c r="H635" s="10" t="n">
        <f aca="false">SUMIFS(Data!$G$2:$G$1006,Data!$A$2:$A$1006,$A635,Data!$B$2:$B$1006,$B635)</f>
        <v>127.553063</v>
      </c>
      <c r="I635" s="10" t="n">
        <f aca="false">SUMIFS(Data!$N$2:$N$1006,Data!$A$2:$A$1006,$A635,Data!$B$2:$B$1006,$B635)</f>
        <v>633.517194</v>
      </c>
      <c r="J635" s="10" t="n">
        <f aca="false">SUMIFS(Data!$H$2:$H$1006,Data!$A$2:$A$1006,$A635,Data!$B$2:$B$1006,$B635)</f>
        <v>229.540882</v>
      </c>
      <c r="K635" s="11" t="n">
        <f aca="false">IFERROR(F635*1000000/$E635,"")</f>
        <v>131.164543766714</v>
      </c>
      <c r="L635" s="11" t="n">
        <f aca="false">IFERROR(G635*1000000/$E635,"")</f>
        <v>213.562248377591</v>
      </c>
      <c r="M635" s="11" t="n">
        <f aca="false">IFERROR(H635*1000000/$E635,"")</f>
        <v>86.9052874346352</v>
      </c>
      <c r="N635" s="11" t="n">
        <f aca="false">IFERROR(I635*1000000/$E635,"")</f>
        <v>431.63207957894</v>
      </c>
      <c r="O635" s="11" t="n">
        <f aca="false">IFERROR(J635*1000000/$E635,"")</f>
        <v>156.392295559454</v>
      </c>
      <c r="P635" s="16" t="n">
        <f aca="false">COUNTIFS($A$4:$A$1008,$A635,$N$4:$N$1008,"&gt;"&amp;N635)+1</f>
        <v>3</v>
      </c>
      <c r="Q635" s="16" t="n">
        <f aca="false">COUNTIFS($A$4:$A$1008,$A635,$O$4:$O$1008,"&gt;"&amp;O635)+1</f>
        <v>32</v>
      </c>
    </row>
    <row r="636" customFormat="false" ht="15" hidden="false" customHeight="false" outlineLevel="0" collapsed="false">
      <c r="A636" s="7" t="n">
        <v>2016</v>
      </c>
      <c r="B636" s="15" t="s">
        <v>119</v>
      </c>
      <c r="C636" s="15" t="s">
        <v>118</v>
      </c>
      <c r="D636" s="15" t="s">
        <v>103</v>
      </c>
      <c r="E636" s="9" t="n">
        <f aca="false">SUMIFS(Data!$L$2:$L$1006,Data!$A$2:$A$1006,$A636,Data!$B$2:$B$1006,$B636)</f>
        <v>517570</v>
      </c>
      <c r="F636" s="10" t="n">
        <f aca="false">SUMIFS(Data!$E$2:$E$1006,Data!$A$2:$A$1006,$A636,Data!$B$2:$B$1006,$B636)</f>
        <v>36.2512</v>
      </c>
      <c r="G636" s="10" t="n">
        <f aca="false">SUMIFS(Data!$F$2:$F$1006,Data!$A$2:$A$1006,$A636,Data!$B$2:$B$1006,$B636)</f>
        <v>93.025295</v>
      </c>
      <c r="H636" s="10" t="n">
        <f aca="false">SUMIFS(Data!$G$2:$G$1006,Data!$A$2:$A$1006,$A636,Data!$B$2:$B$1006,$B636)</f>
        <v>53.604591</v>
      </c>
      <c r="I636" s="10" t="n">
        <f aca="false">SUMIFS(Data!$N$2:$N$1006,Data!$A$2:$A$1006,$A636,Data!$B$2:$B$1006,$B636)</f>
        <v>182.881086</v>
      </c>
      <c r="J636" s="10" t="n">
        <f aca="false">SUMIFS(Data!$H$2:$H$1006,Data!$A$2:$A$1006,$A636,Data!$B$2:$B$1006,$B636)</f>
        <v>85.476014</v>
      </c>
      <c r="K636" s="11" t="n">
        <f aca="false">IFERROR(F636*1000000/$E636,"")</f>
        <v>70.041153853585</v>
      </c>
      <c r="L636" s="11" t="n">
        <f aca="false">IFERROR(G636*1000000/$E636,"")</f>
        <v>179.734712212841</v>
      </c>
      <c r="M636" s="11" t="n">
        <f aca="false">IFERROR(H636*1000000/$E636,"")</f>
        <v>103.569741291033</v>
      </c>
      <c r="N636" s="11" t="n">
        <f aca="false">IFERROR(I636*1000000/$E636,"")</f>
        <v>353.345607357459</v>
      </c>
      <c r="O636" s="11" t="n">
        <f aca="false">IFERROR(J636*1000000/$E636,"")</f>
        <v>165.148702590954</v>
      </c>
      <c r="P636" s="16" t="n">
        <f aca="false">COUNTIFS($A$4:$A$1008,$A636,$N$4:$N$1008,"&gt;"&amp;N636)+1</f>
        <v>9</v>
      </c>
      <c r="Q636" s="16" t="n">
        <f aca="false">COUNTIFS($A$4:$A$1008,$A636,$O$4:$O$1008,"&gt;"&amp;O636)+1</f>
        <v>30</v>
      </c>
    </row>
    <row r="637" customFormat="false" ht="15" hidden="false" customHeight="false" outlineLevel="0" collapsed="false">
      <c r="A637" s="7" t="n">
        <v>2016</v>
      </c>
      <c r="B637" s="15" t="s">
        <v>120</v>
      </c>
      <c r="C637" s="15" t="s">
        <v>118</v>
      </c>
      <c r="D637" s="15" t="s">
        <v>121</v>
      </c>
      <c r="E637" s="9" t="n">
        <f aca="false">SUMIFS(Data!$L$2:$L$1006,Data!$A$2:$A$1006,$A637,Data!$B$2:$B$1006,$B637)</f>
        <v>956718</v>
      </c>
      <c r="F637" s="10" t="n">
        <f aca="false">SUMIFS(Data!$E$2:$E$1006,Data!$A$2:$A$1006,$A637,Data!$B$2:$B$1006,$B637)</f>
        <v>158.709477</v>
      </c>
      <c r="G637" s="10" t="n">
        <f aca="false">SUMIFS(Data!$F$2:$F$1006,Data!$A$2:$A$1006,$A637,Data!$B$2:$B$1006,$B637)</f>
        <v>54.266921</v>
      </c>
      <c r="H637" s="10" t="n">
        <f aca="false">SUMIFS(Data!$G$2:$G$1006,Data!$A$2:$A$1006,$A637,Data!$B$2:$B$1006,$B637)</f>
        <v>131.046174</v>
      </c>
      <c r="I637" s="10" t="n">
        <f aca="false">SUMIFS(Data!$N$2:$N$1006,Data!$A$2:$A$1006,$A637,Data!$B$2:$B$1006,$B637)</f>
        <v>344.022572</v>
      </c>
      <c r="J637" s="10" t="n">
        <f aca="false">SUMIFS(Data!$H$2:$H$1006,Data!$A$2:$A$1006,$A637,Data!$B$2:$B$1006,$B637)</f>
        <v>202.717992</v>
      </c>
      <c r="K637" s="11" t="n">
        <f aca="false">IFERROR(F637*1000000/$E637,"")</f>
        <v>165.889506625777</v>
      </c>
      <c r="L637" s="11" t="n">
        <f aca="false">IFERROR(G637*1000000/$E637,"")</f>
        <v>56.7219609122019</v>
      </c>
      <c r="M637" s="11" t="n">
        <f aca="false">IFERROR(H637*1000000/$E637,"")</f>
        <v>136.974713551956</v>
      </c>
      <c r="N637" s="11" t="n">
        <f aca="false">IFERROR(I637*1000000/$E637,"")</f>
        <v>359.586181089935</v>
      </c>
      <c r="O637" s="11" t="n">
        <f aca="false">IFERROR(J637*1000000/$E637,"")</f>
        <v>211.888970417615</v>
      </c>
      <c r="P637" s="16" t="n">
        <f aca="false">COUNTIFS($A$4:$A$1008,$A637,$N$4:$N$1008,"&gt;"&amp;N637)+1</f>
        <v>8</v>
      </c>
      <c r="Q637" s="16" t="n">
        <f aca="false">COUNTIFS($A$4:$A$1008,$A637,$O$4:$O$1008,"&gt;"&amp;O637)+1</f>
        <v>19</v>
      </c>
    </row>
    <row r="638" customFormat="false" ht="15" hidden="false" customHeight="false" outlineLevel="0" collapsed="false">
      <c r="A638" s="7" t="n">
        <v>2016</v>
      </c>
      <c r="B638" s="15" t="s">
        <v>122</v>
      </c>
      <c r="C638" s="15" t="s">
        <v>118</v>
      </c>
      <c r="D638" s="15" t="s">
        <v>105</v>
      </c>
      <c r="E638" s="9" t="n">
        <f aca="false">SUMIFS(Data!$L$2:$L$1006,Data!$A$2:$A$1006,$A638,Data!$B$2:$B$1006,$B638)</f>
        <v>548442</v>
      </c>
      <c r="F638" s="10" t="n">
        <f aca="false">SUMIFS(Data!$E$2:$E$1006,Data!$A$2:$A$1006,$A638,Data!$B$2:$B$1006,$B638)</f>
        <v>87.419284</v>
      </c>
      <c r="G638" s="10" t="n">
        <f aca="false">SUMIFS(Data!$F$2:$F$1006,Data!$A$2:$A$1006,$A638,Data!$B$2:$B$1006,$B638)</f>
        <v>126.062251</v>
      </c>
      <c r="H638" s="10" t="n">
        <f aca="false">SUMIFS(Data!$G$2:$G$1006,Data!$A$2:$A$1006,$A638,Data!$B$2:$B$1006,$B638)</f>
        <v>49.66273</v>
      </c>
      <c r="I638" s="10" t="n">
        <f aca="false">SUMIFS(Data!$N$2:$N$1006,Data!$A$2:$A$1006,$A638,Data!$B$2:$B$1006,$B638)</f>
        <v>263.144265</v>
      </c>
      <c r="J638" s="10" t="n">
        <f aca="false">SUMIFS(Data!$H$2:$H$1006,Data!$A$2:$A$1006,$A638,Data!$B$2:$B$1006,$B638)</f>
        <v>84.929513</v>
      </c>
      <c r="K638" s="11" t="n">
        <f aca="false">IFERROR(F638*1000000/$E638,"")</f>
        <v>159.395677209258</v>
      </c>
      <c r="L638" s="11" t="n">
        <f aca="false">IFERROR(G638*1000000/$E638,"")</f>
        <v>229.85520984899</v>
      </c>
      <c r="M638" s="11" t="n">
        <f aca="false">IFERROR(H638*1000000/$E638,"")</f>
        <v>90.5523829320147</v>
      </c>
      <c r="N638" s="11" t="n">
        <f aca="false">IFERROR(I638*1000000/$E638,"")</f>
        <v>479.803269990263</v>
      </c>
      <c r="O638" s="11" t="n">
        <f aca="false">IFERROR(J638*1000000/$E638,"")</f>
        <v>154.855961067898</v>
      </c>
      <c r="P638" s="16" t="n">
        <f aca="false">COUNTIFS($A$4:$A$1008,$A638,$N$4:$N$1008,"&gt;"&amp;N638)+1</f>
        <v>2</v>
      </c>
      <c r="Q638" s="16" t="n">
        <f aca="false">COUNTIFS($A$4:$A$1008,$A638,$O$4:$O$1008,"&gt;"&amp;O638)+1</f>
        <v>33</v>
      </c>
    </row>
    <row r="639" customFormat="false" ht="15" hidden="false" customHeight="false" outlineLevel="0" collapsed="false">
      <c r="A639" s="7" t="n">
        <v>2016</v>
      </c>
      <c r="B639" s="15" t="s">
        <v>123</v>
      </c>
      <c r="C639" s="15" t="s">
        <v>118</v>
      </c>
      <c r="D639" s="15" t="s">
        <v>124</v>
      </c>
      <c r="E639" s="9" t="n">
        <f aca="false">SUMIFS(Data!$L$2:$L$1006,Data!$A$2:$A$1006,$A639,Data!$B$2:$B$1006,$B639)</f>
        <v>1268995</v>
      </c>
      <c r="F639" s="10" t="n">
        <f aca="false">SUMIFS(Data!$E$2:$E$1006,Data!$A$2:$A$1006,$A639,Data!$B$2:$B$1006,$B639)</f>
        <v>235.526684</v>
      </c>
      <c r="G639" s="10" t="n">
        <f aca="false">SUMIFS(Data!$F$2:$F$1006,Data!$A$2:$A$1006,$A639,Data!$B$2:$B$1006,$B639)</f>
        <v>42.554351</v>
      </c>
      <c r="H639" s="10" t="n">
        <f aca="false">SUMIFS(Data!$G$2:$G$1006,Data!$A$2:$A$1006,$A639,Data!$B$2:$B$1006,$B639)</f>
        <v>136.505375</v>
      </c>
      <c r="I639" s="10" t="n">
        <f aca="false">SUMIFS(Data!$N$2:$N$1006,Data!$A$2:$A$1006,$A639,Data!$B$2:$B$1006,$B639)</f>
        <v>414.58641</v>
      </c>
      <c r="J639" s="10" t="n">
        <f aca="false">SUMIFS(Data!$H$2:$H$1006,Data!$A$2:$A$1006,$A639,Data!$B$2:$B$1006,$B639)</f>
        <v>233.268623</v>
      </c>
      <c r="K639" s="11" t="n">
        <f aca="false">IFERROR(F639*1000000/$E639,"")</f>
        <v>185.600955086505</v>
      </c>
      <c r="L639" s="11" t="n">
        <f aca="false">IFERROR(G639*1000000/$E639,"")</f>
        <v>33.5338996607552</v>
      </c>
      <c r="M639" s="11" t="n">
        <f aca="false">IFERROR(H639*1000000/$E639,"")</f>
        <v>107.569671275301</v>
      </c>
      <c r="N639" s="11" t="n">
        <f aca="false">IFERROR(I639*1000000/$E639,"")</f>
        <v>326.704526022561</v>
      </c>
      <c r="O639" s="11" t="n">
        <f aca="false">IFERROR(J639*1000000/$E639,"")</f>
        <v>183.821546184185</v>
      </c>
      <c r="P639" s="16" t="n">
        <f aca="false">COUNTIFS($A$4:$A$1008,$A639,$N$4:$N$1008,"&gt;"&amp;N639)+1</f>
        <v>16</v>
      </c>
      <c r="Q639" s="16" t="n">
        <f aca="false">COUNTIFS($A$4:$A$1008,$A639,$O$4:$O$1008,"&gt;"&amp;O639)+1</f>
        <v>23</v>
      </c>
    </row>
    <row r="640" customFormat="false" ht="15" hidden="false" customHeight="false" outlineLevel="0" collapsed="false">
      <c r="A640" s="7" t="n">
        <v>2016</v>
      </c>
      <c r="B640" s="15" t="s">
        <v>125</v>
      </c>
      <c r="C640" s="15" t="s">
        <v>118</v>
      </c>
      <c r="D640" s="15" t="s">
        <v>126</v>
      </c>
      <c r="E640" s="9" t="n">
        <f aca="false">SUMIFS(Data!$L$2:$L$1006,Data!$A$2:$A$1006,$A640,Data!$B$2:$B$1006,$B640)</f>
        <v>516709</v>
      </c>
      <c r="F640" s="10" t="n">
        <f aca="false">SUMIFS(Data!$E$2:$E$1006,Data!$A$2:$A$1006,$A640,Data!$B$2:$B$1006,$B640)</f>
        <v>83.795657</v>
      </c>
      <c r="G640" s="10" t="n">
        <f aca="false">SUMIFS(Data!$F$2:$F$1006,Data!$A$2:$A$1006,$A640,Data!$B$2:$B$1006,$B640)</f>
        <v>78.866043</v>
      </c>
      <c r="H640" s="10" t="n">
        <f aca="false">SUMIFS(Data!$G$2:$G$1006,Data!$A$2:$A$1006,$A640,Data!$B$2:$B$1006,$B640)</f>
        <v>50.307788</v>
      </c>
      <c r="I640" s="10" t="n">
        <f aca="false">SUMIFS(Data!$N$2:$N$1006,Data!$A$2:$A$1006,$A640,Data!$B$2:$B$1006,$B640)</f>
        <v>212.969488</v>
      </c>
      <c r="J640" s="10" t="n">
        <f aca="false">SUMIFS(Data!$H$2:$H$1006,Data!$A$2:$A$1006,$A640,Data!$B$2:$B$1006,$B640)</f>
        <v>119.135208</v>
      </c>
      <c r="K640" s="11" t="n">
        <f aca="false">IFERROR(F640*1000000/$E640,"")</f>
        <v>162.171854951239</v>
      </c>
      <c r="L640" s="11" t="n">
        <f aca="false">IFERROR(G640*1000000/$E640,"")</f>
        <v>152.631448261981</v>
      </c>
      <c r="M640" s="11" t="n">
        <f aca="false">IFERROR(H640*1000000/$E640,"")</f>
        <v>97.3619348608211</v>
      </c>
      <c r="N640" s="11" t="n">
        <f aca="false">IFERROR(I640*1000000/$E640,"")</f>
        <v>412.165238074042</v>
      </c>
      <c r="O640" s="11" t="n">
        <f aca="false">IFERROR(J640*1000000/$E640,"")</f>
        <v>230.565382062244</v>
      </c>
      <c r="P640" s="16" t="n">
        <f aca="false">COUNTIFS($A$4:$A$1008,$A640,$N$4:$N$1008,"&gt;"&amp;N640)+1</f>
        <v>4</v>
      </c>
      <c r="Q640" s="16" t="n">
        <f aca="false">COUNTIFS($A$4:$A$1008,$A640,$O$4:$O$1008,"&gt;"&amp;O640)+1</f>
        <v>12</v>
      </c>
    </row>
    <row r="641" customFormat="false" ht="15" hidden="false" customHeight="false" outlineLevel="0" collapsed="false">
      <c r="A641" s="7" t="n">
        <v>2016</v>
      </c>
      <c r="B641" s="15" t="s">
        <v>127</v>
      </c>
      <c r="C641" s="15" t="s">
        <v>118</v>
      </c>
      <c r="D641" s="15" t="s">
        <v>103</v>
      </c>
      <c r="E641" s="9" t="n">
        <f aca="false">SUMIFS(Data!$L$2:$L$1006,Data!$A$2:$A$1006,$A641,Data!$B$2:$B$1006,$B641)</f>
        <v>706793</v>
      </c>
      <c r="F641" s="10" t="n">
        <f aca="false">SUMIFS(Data!$E$2:$E$1006,Data!$A$2:$A$1006,$A641,Data!$B$2:$B$1006,$B641)</f>
        <v>82.036444</v>
      </c>
      <c r="G641" s="10" t="n">
        <f aca="false">SUMIFS(Data!$F$2:$F$1006,Data!$A$2:$A$1006,$A641,Data!$B$2:$B$1006,$B641)</f>
        <v>26.72548</v>
      </c>
      <c r="H641" s="10" t="n">
        <f aca="false">SUMIFS(Data!$G$2:$G$1006,Data!$A$2:$A$1006,$A641,Data!$B$2:$B$1006,$B641)</f>
        <v>45.839525</v>
      </c>
      <c r="I641" s="10" t="n">
        <f aca="false">SUMIFS(Data!$N$2:$N$1006,Data!$A$2:$A$1006,$A641,Data!$B$2:$B$1006,$B641)</f>
        <v>154.601449</v>
      </c>
      <c r="J641" s="10" t="n">
        <f aca="false">SUMIFS(Data!$H$2:$H$1006,Data!$A$2:$A$1006,$A641,Data!$B$2:$B$1006,$B641)</f>
        <v>180.887611</v>
      </c>
      <c r="K641" s="11" t="n">
        <f aca="false">IFERROR(F641*1000000/$E641,"")</f>
        <v>116.068557555041</v>
      </c>
      <c r="L641" s="11" t="n">
        <f aca="false">IFERROR(G641*1000000/$E641,"")</f>
        <v>37.8123156284796</v>
      </c>
      <c r="M641" s="11" t="n">
        <f aca="false">IFERROR(H641*1000000/$E641,"")</f>
        <v>64.8556578800299</v>
      </c>
      <c r="N641" s="11" t="n">
        <f aca="false">IFERROR(I641*1000000/$E641,"")</f>
        <v>218.73653106355</v>
      </c>
      <c r="O641" s="11" t="n">
        <f aca="false">IFERROR(J641*1000000/$E641,"")</f>
        <v>255.927281396392</v>
      </c>
      <c r="P641" s="16" t="n">
        <f aca="false">COUNTIFS($A$4:$A$1008,$A641,$N$4:$N$1008,"&gt;"&amp;N641)+1</f>
        <v>34</v>
      </c>
      <c r="Q641" s="16" t="n">
        <f aca="false">COUNTIFS($A$4:$A$1008,$A641,$O$4:$O$1008,"&gt;"&amp;O641)+1</f>
        <v>7</v>
      </c>
    </row>
    <row r="642" customFormat="false" ht="15" hidden="false" customHeight="false" outlineLevel="0" collapsed="false">
      <c r="A642" s="7" t="n">
        <v>2016</v>
      </c>
      <c r="B642" s="15" t="s">
        <v>128</v>
      </c>
      <c r="C642" s="15" t="s">
        <v>118</v>
      </c>
      <c r="D642" s="15" t="s">
        <v>107</v>
      </c>
      <c r="E642" s="9" t="n">
        <f aca="false">SUMIFS(Data!$L$2:$L$1006,Data!$A$2:$A$1006,$A642,Data!$B$2:$B$1006,$B642)</f>
        <v>587954</v>
      </c>
      <c r="F642" s="10" t="n">
        <f aca="false">SUMIFS(Data!$E$2:$E$1006,Data!$A$2:$A$1006,$A642,Data!$B$2:$B$1006,$B642)</f>
        <v>47.866544</v>
      </c>
      <c r="G642" s="10" t="n">
        <f aca="false">SUMIFS(Data!$F$2:$F$1006,Data!$A$2:$A$1006,$A642,Data!$B$2:$B$1006,$B642)</f>
        <v>63.095147</v>
      </c>
      <c r="H642" s="10" t="n">
        <f aca="false">SUMIFS(Data!$G$2:$G$1006,Data!$A$2:$A$1006,$A642,Data!$B$2:$B$1006,$B642)</f>
        <v>70.423689</v>
      </c>
      <c r="I642" s="10" t="n">
        <f aca="false">SUMIFS(Data!$N$2:$N$1006,Data!$A$2:$A$1006,$A642,Data!$B$2:$B$1006,$B642)</f>
        <v>181.38538</v>
      </c>
      <c r="J642" s="10" t="n">
        <f aca="false">SUMIFS(Data!$H$2:$H$1006,Data!$A$2:$A$1006,$A642,Data!$B$2:$B$1006,$B642)</f>
        <v>125.143241</v>
      </c>
      <c r="K642" s="11" t="n">
        <f aca="false">IFERROR(F642*1000000/$E642,"")</f>
        <v>81.4120560452008</v>
      </c>
      <c r="L642" s="11" t="n">
        <f aca="false">IFERROR(G642*1000000/$E642,"")</f>
        <v>107.313067008644</v>
      </c>
      <c r="M642" s="11" t="n">
        <f aca="false">IFERROR(H642*1000000/$E642,"")</f>
        <v>119.777548923895</v>
      </c>
      <c r="N642" s="11" t="n">
        <f aca="false">IFERROR(I642*1000000/$E642,"")</f>
        <v>308.50267197774</v>
      </c>
      <c r="O642" s="11" t="n">
        <f aca="false">IFERROR(J642*1000000/$E642,"")</f>
        <v>212.845292318787</v>
      </c>
      <c r="P642" s="16" t="n">
        <f aca="false">COUNTIFS($A$4:$A$1008,$A642,$N$4:$N$1008,"&gt;"&amp;N642)+1</f>
        <v>18</v>
      </c>
      <c r="Q642" s="16" t="n">
        <f aca="false">COUNTIFS($A$4:$A$1008,$A642,$O$4:$O$1008,"&gt;"&amp;O642)+1</f>
        <v>18</v>
      </c>
    </row>
    <row r="643" customFormat="false" ht="15" hidden="false" customHeight="false" outlineLevel="0" collapsed="false">
      <c r="A643" s="7" t="n">
        <v>2016</v>
      </c>
      <c r="B643" s="15" t="s">
        <v>129</v>
      </c>
      <c r="C643" s="15" t="s">
        <v>118</v>
      </c>
      <c r="D643" s="15" t="s">
        <v>107</v>
      </c>
      <c r="E643" s="9" t="n">
        <f aca="false">SUMIFS(Data!$L$2:$L$1006,Data!$A$2:$A$1006,$A643,Data!$B$2:$B$1006,$B643)</f>
        <v>1613041</v>
      </c>
      <c r="F643" s="10" t="n">
        <f aca="false">SUMIFS(Data!$E$2:$E$1006,Data!$A$2:$A$1006,$A643,Data!$B$2:$B$1006,$B643)</f>
        <v>261.731016</v>
      </c>
      <c r="G643" s="10" t="n">
        <f aca="false">SUMIFS(Data!$F$2:$F$1006,Data!$A$2:$A$1006,$A643,Data!$B$2:$B$1006,$B643)</f>
        <v>181.480259</v>
      </c>
      <c r="H643" s="10" t="n">
        <f aca="false">SUMIFS(Data!$G$2:$G$1006,Data!$A$2:$A$1006,$A643,Data!$B$2:$B$1006,$B643)</f>
        <v>123.11499</v>
      </c>
      <c r="I643" s="10" t="n">
        <f aca="false">SUMIFS(Data!$N$2:$N$1006,Data!$A$2:$A$1006,$A643,Data!$B$2:$B$1006,$B643)</f>
        <v>566.326265</v>
      </c>
      <c r="J643" s="10" t="n">
        <f aca="false">SUMIFS(Data!$H$2:$H$1006,Data!$A$2:$A$1006,$A643,Data!$B$2:$B$1006,$B643)</f>
        <v>261.060508</v>
      </c>
      <c r="K643" s="11" t="n">
        <f aca="false">IFERROR(F643*1000000/$E643,"")</f>
        <v>162.259369724638</v>
      </c>
      <c r="L643" s="11" t="n">
        <f aca="false">IFERROR(G643*1000000/$E643,"")</f>
        <v>112.508150133816</v>
      </c>
      <c r="M643" s="11" t="n">
        <f aca="false">IFERROR(H643*1000000/$E643,"")</f>
        <v>76.3247741377932</v>
      </c>
      <c r="N643" s="11" t="n">
        <f aca="false">IFERROR(I643*1000000/$E643,"")</f>
        <v>351.092293996247</v>
      </c>
      <c r="O643" s="11" t="n">
        <f aca="false">IFERROR(J643*1000000/$E643,"")</f>
        <v>161.843690271977</v>
      </c>
      <c r="P643" s="16" t="n">
        <f aca="false">COUNTIFS($A$4:$A$1008,$A643,$N$4:$N$1008,"&gt;"&amp;N643)+1</f>
        <v>10</v>
      </c>
      <c r="Q643" s="16" t="n">
        <f aca="false">COUNTIFS($A$4:$A$1008,$A643,$O$4:$O$1008,"&gt;"&amp;O643)+1</f>
        <v>31</v>
      </c>
    </row>
    <row r="644" customFormat="false" ht="15" hidden="false" customHeight="false" outlineLevel="0" collapsed="false">
      <c r="A644" s="7" t="n">
        <v>2016</v>
      </c>
      <c r="B644" s="15" t="s">
        <v>130</v>
      </c>
      <c r="C644" s="15" t="s">
        <v>118</v>
      </c>
      <c r="D644" s="15" t="s">
        <v>107</v>
      </c>
      <c r="E644" s="9" t="n">
        <f aca="false">SUMIFS(Data!$L$2:$L$1006,Data!$A$2:$A$1006,$A644,Data!$B$2:$B$1006,$B644)</f>
        <v>1426676</v>
      </c>
      <c r="F644" s="10" t="n">
        <f aca="false">SUMIFS(Data!$E$2:$E$1006,Data!$A$2:$A$1006,$A644,Data!$B$2:$B$1006,$B644)</f>
        <v>166.677161</v>
      </c>
      <c r="G644" s="10" t="n">
        <f aca="false">SUMIFS(Data!$F$2:$F$1006,Data!$A$2:$A$1006,$A644,Data!$B$2:$B$1006,$B644)</f>
        <v>177.006866</v>
      </c>
      <c r="H644" s="10" t="n">
        <f aca="false">SUMIFS(Data!$G$2:$G$1006,Data!$A$2:$A$1006,$A644,Data!$B$2:$B$1006,$B644)</f>
        <v>126.822374</v>
      </c>
      <c r="I644" s="10" t="n">
        <f aca="false">SUMIFS(Data!$N$2:$N$1006,Data!$A$2:$A$1006,$A644,Data!$B$2:$B$1006,$B644)</f>
        <v>470.506401</v>
      </c>
      <c r="J644" s="10" t="n">
        <f aca="false">SUMIFS(Data!$H$2:$H$1006,Data!$A$2:$A$1006,$A644,Data!$B$2:$B$1006,$B644)</f>
        <v>317.766448</v>
      </c>
      <c r="K644" s="11" t="n">
        <f aca="false">IFERROR(F644*1000000/$E644,"")</f>
        <v>116.829021445654</v>
      </c>
      <c r="L644" s="11" t="n">
        <f aca="false">IFERROR(G644*1000000/$E644,"")</f>
        <v>124.069421508457</v>
      </c>
      <c r="M644" s="11" t="n">
        <f aca="false">IFERROR(H644*1000000/$E644,"")</f>
        <v>88.8936058362235</v>
      </c>
      <c r="N644" s="11" t="n">
        <f aca="false">IFERROR(I644*1000000/$E644,"")</f>
        <v>329.792048790335</v>
      </c>
      <c r="O644" s="11" t="n">
        <f aca="false">IFERROR(J644*1000000/$E644,"")</f>
        <v>222.732034463326</v>
      </c>
      <c r="P644" s="16" t="n">
        <f aca="false">COUNTIFS($A$4:$A$1008,$A644,$N$4:$N$1008,"&gt;"&amp;N644)+1</f>
        <v>15</v>
      </c>
      <c r="Q644" s="16" t="n">
        <f aca="false">COUNTIFS($A$4:$A$1008,$A644,$O$4:$O$1008,"&gt;"&amp;O644)+1</f>
        <v>13</v>
      </c>
    </row>
    <row r="645" customFormat="false" ht="15" hidden="false" customHeight="false" outlineLevel="0" collapsed="false">
      <c r="A645" s="7" t="n">
        <v>2016</v>
      </c>
      <c r="B645" s="15" t="s">
        <v>131</v>
      </c>
      <c r="C645" s="15" t="s">
        <v>118</v>
      </c>
      <c r="D645" s="15" t="s">
        <v>132</v>
      </c>
      <c r="E645" s="9" t="n">
        <f aca="false">SUMIFS(Data!$L$2:$L$1006,Data!$A$2:$A$1006,$A645,Data!$B$2:$B$1006,$B645)</f>
        <v>848171</v>
      </c>
      <c r="F645" s="10" t="n">
        <f aca="false">SUMIFS(Data!$E$2:$E$1006,Data!$A$2:$A$1006,$A645,Data!$B$2:$B$1006,$B645)</f>
        <v>158.377809</v>
      </c>
      <c r="G645" s="10" t="n">
        <f aca="false">SUMIFS(Data!$F$2:$F$1006,Data!$A$2:$A$1006,$A645,Data!$B$2:$B$1006,$B645)</f>
        <v>118.842586</v>
      </c>
      <c r="H645" s="10" t="n">
        <f aca="false">SUMIFS(Data!$G$2:$G$1006,Data!$A$2:$A$1006,$A645,Data!$B$2:$B$1006,$B645)</f>
        <v>133.633363</v>
      </c>
      <c r="I645" s="10" t="n">
        <f aca="false">SUMIFS(Data!$N$2:$N$1006,Data!$A$2:$A$1006,$A645,Data!$B$2:$B$1006,$B645)</f>
        <v>410.853758</v>
      </c>
      <c r="J645" s="10" t="n">
        <f aca="false">SUMIFS(Data!$H$2:$H$1006,Data!$A$2:$A$1006,$A645,Data!$B$2:$B$1006,$B645)</f>
        <v>276.138956</v>
      </c>
      <c r="K645" s="11" t="n">
        <f aca="false">IFERROR(F645*1000000/$E645,"")</f>
        <v>186.728630193676</v>
      </c>
      <c r="L645" s="11" t="n">
        <f aca="false">IFERROR(G645*1000000/$E645,"")</f>
        <v>140.116304377301</v>
      </c>
      <c r="M645" s="11" t="n">
        <f aca="false">IFERROR(H645*1000000/$E645,"")</f>
        <v>157.554741909356</v>
      </c>
      <c r="N645" s="11" t="n">
        <f aca="false">IFERROR(I645*1000000/$E645,"")</f>
        <v>484.399676480332</v>
      </c>
      <c r="O645" s="11" t="n">
        <f aca="false">IFERROR(J645*1000000/$E645,"")</f>
        <v>325.569909841294</v>
      </c>
      <c r="P645" s="16" t="n">
        <f aca="false">COUNTIFS($A$4:$A$1008,$A645,$N$4:$N$1008,"&gt;"&amp;N645)+1</f>
        <v>1</v>
      </c>
      <c r="Q645" s="16" t="n">
        <f aca="false">COUNTIFS($A$4:$A$1008,$A645,$O$4:$O$1008,"&gt;"&amp;O645)+1</f>
        <v>2</v>
      </c>
    </row>
    <row r="646" customFormat="false" ht="15" hidden="false" customHeight="false" outlineLevel="0" collapsed="false">
      <c r="A646" s="7" t="n">
        <v>2016</v>
      </c>
      <c r="B646" s="15" t="s">
        <v>133</v>
      </c>
      <c r="C646" s="15" t="s">
        <v>118</v>
      </c>
      <c r="D646" s="15" t="s">
        <v>105</v>
      </c>
      <c r="E646" s="9" t="n">
        <f aca="false">SUMIFS(Data!$L$2:$L$1006,Data!$A$2:$A$1006,$A646,Data!$B$2:$B$1006,$B646)</f>
        <v>2227065</v>
      </c>
      <c r="F646" s="10" t="n">
        <f aca="false">SUMIFS(Data!$E$2:$E$1006,Data!$A$2:$A$1006,$A646,Data!$B$2:$B$1006,$B646)</f>
        <v>176.53177</v>
      </c>
      <c r="G646" s="10" t="n">
        <f aca="false">SUMIFS(Data!$F$2:$F$1006,Data!$A$2:$A$1006,$A646,Data!$B$2:$B$1006,$B646)</f>
        <v>393.734328</v>
      </c>
      <c r="H646" s="10" t="n">
        <f aca="false">SUMIFS(Data!$G$2:$G$1006,Data!$A$2:$A$1006,$A646,Data!$B$2:$B$1006,$B646)</f>
        <v>194.420229</v>
      </c>
      <c r="I646" s="10" t="n">
        <f aca="false">SUMIFS(Data!$N$2:$N$1006,Data!$A$2:$A$1006,$A646,Data!$B$2:$B$1006,$B646)</f>
        <v>764.686327</v>
      </c>
      <c r="J646" s="10" t="n">
        <f aca="false">SUMIFS(Data!$H$2:$H$1006,Data!$A$2:$A$1006,$A646,Data!$B$2:$B$1006,$B646)</f>
        <v>486.743227</v>
      </c>
      <c r="K646" s="11" t="n">
        <f aca="false">IFERROR(F646*1000000/$E646,"")</f>
        <v>79.2665548603207</v>
      </c>
      <c r="L646" s="11" t="n">
        <f aca="false">IFERROR(G646*1000000/$E646,"")</f>
        <v>176.795166732897</v>
      </c>
      <c r="M646" s="11" t="n">
        <f aca="false">IFERROR(H646*1000000/$E646,"")</f>
        <v>87.2988570158482</v>
      </c>
      <c r="N646" s="11" t="n">
        <f aca="false">IFERROR(I646*1000000/$E646,"")</f>
        <v>343.360578609066</v>
      </c>
      <c r="O646" s="11" t="n">
        <f aca="false">IFERROR(J646*1000000/$E646,"")</f>
        <v>218.558159281386</v>
      </c>
      <c r="P646" s="16" t="n">
        <f aca="false">COUNTIFS($A$4:$A$1008,$A646,$N$4:$N$1008,"&gt;"&amp;N646)+1</f>
        <v>11</v>
      </c>
      <c r="Q646" s="16" t="n">
        <f aca="false">COUNTIFS($A$4:$A$1008,$A646,$O$4:$O$1008,"&gt;"&amp;O646)+1</f>
        <v>15</v>
      </c>
    </row>
    <row r="647" customFormat="false" ht="15" hidden="false" customHeight="false" outlineLevel="0" collapsed="false">
      <c r="A647" s="7" t="n">
        <v>2016</v>
      </c>
      <c r="B647" s="15" t="s">
        <v>134</v>
      </c>
      <c r="C647" s="15" t="s">
        <v>135</v>
      </c>
      <c r="D647" s="15" t="s">
        <v>136</v>
      </c>
      <c r="E647" s="9" t="n">
        <f aca="false">SUMIFS(Data!$L$2:$L$1006,Data!$A$2:$A$1006,$A647,Data!$B$2:$B$1006,$B647)</f>
        <v>145622</v>
      </c>
      <c r="F647" s="10" t="n">
        <f aca="false">SUMIFS(Data!$E$2:$E$1006,Data!$A$2:$A$1006,$A647,Data!$B$2:$B$1006,$B647)</f>
        <v>27.422576</v>
      </c>
      <c r="G647" s="10" t="n">
        <f aca="false">SUMIFS(Data!$F$2:$F$1006,Data!$A$2:$A$1006,$A647,Data!$B$2:$B$1006,$B647)</f>
        <v>9.81987</v>
      </c>
      <c r="H647" s="10" t="n">
        <f aca="false">SUMIFS(Data!$G$2:$G$1006,Data!$A$2:$A$1006,$A647,Data!$B$2:$B$1006,$B647)</f>
        <v>18.589172</v>
      </c>
      <c r="I647" s="10" t="n">
        <f aca="false">SUMIFS(Data!$N$2:$N$1006,Data!$A$2:$A$1006,$A647,Data!$B$2:$B$1006,$B647)</f>
        <v>55.831618</v>
      </c>
      <c r="J647" s="10" t="n">
        <f aca="false">SUMIFS(Data!$H$2:$H$1006,Data!$A$2:$A$1006,$A647,Data!$B$2:$B$1006,$B647)</f>
        <v>37.083572</v>
      </c>
      <c r="K647" s="11" t="n">
        <f aca="false">IFERROR(F647*1000000/$E647,"")</f>
        <v>188.313414181923</v>
      </c>
      <c r="L647" s="11" t="n">
        <f aca="false">IFERROR(G647*1000000/$E647,"")</f>
        <v>67.4339728887119</v>
      </c>
      <c r="M647" s="11" t="n">
        <f aca="false">IFERROR(H647*1000000/$E647,"")</f>
        <v>127.653596297263</v>
      </c>
      <c r="N647" s="11" t="n">
        <f aca="false">IFERROR(I647*1000000/$E647,"")</f>
        <v>383.400983367898</v>
      </c>
      <c r="O647" s="11" t="n">
        <f aca="false">IFERROR(J647*1000000/$E647,"")</f>
        <v>254.656384337531</v>
      </c>
      <c r="P647" s="16" t="n">
        <f aca="false">COUNTIFS($A$4:$A$1008,$A647,$N$4:$N$1008,"&gt;"&amp;N647)+1</f>
        <v>6</v>
      </c>
      <c r="Q647" s="16" t="n">
        <f aca="false">COUNTIFS($A$4:$A$1008,$A647,$O$4:$O$1008,"&gt;"&amp;O647)+1</f>
        <v>8</v>
      </c>
    </row>
    <row r="648" customFormat="false" ht="15" hidden="false" customHeight="false" outlineLevel="0" collapsed="false">
      <c r="A648" s="7" t="n">
        <v>2016</v>
      </c>
      <c r="B648" s="15" t="s">
        <v>137</v>
      </c>
      <c r="C648" s="15" t="s">
        <v>135</v>
      </c>
      <c r="D648" s="15" t="s">
        <v>138</v>
      </c>
      <c r="E648" s="9" t="n">
        <f aca="false">SUMIFS(Data!$L$2:$L$1006,Data!$A$2:$A$1006,$A648,Data!$B$2:$B$1006,$B648)</f>
        <v>1804630</v>
      </c>
      <c r="F648" s="10" t="n">
        <f aca="false">SUMIFS(Data!$E$2:$E$1006,Data!$A$2:$A$1006,$A648,Data!$B$2:$B$1006,$B648)</f>
        <v>167.78923</v>
      </c>
      <c r="G648" s="10" t="n">
        <f aca="false">SUMIFS(Data!$F$2:$F$1006,Data!$A$2:$A$1006,$A648,Data!$B$2:$B$1006,$B648)</f>
        <v>176.273055</v>
      </c>
      <c r="H648" s="10" t="n">
        <f aca="false">SUMIFS(Data!$G$2:$G$1006,Data!$A$2:$A$1006,$A648,Data!$B$2:$B$1006,$B648)</f>
        <v>205.340298</v>
      </c>
      <c r="I648" s="10" t="n">
        <f aca="false">SUMIFS(Data!$N$2:$N$1006,Data!$A$2:$A$1006,$A648,Data!$B$2:$B$1006,$B648)</f>
        <v>549.402583</v>
      </c>
      <c r="J648" s="10" t="n">
        <f aca="false">SUMIFS(Data!$H$2:$H$1006,Data!$A$2:$A$1006,$A648,Data!$B$2:$B$1006,$B648)</f>
        <v>486.493912</v>
      </c>
      <c r="K648" s="11" t="n">
        <f aca="false">IFERROR(F648*1000000/$E648,"")</f>
        <v>92.9770811745344</v>
      </c>
      <c r="L648" s="11" t="n">
        <f aca="false">IFERROR(G648*1000000/$E648,"")</f>
        <v>97.6782248992868</v>
      </c>
      <c r="M648" s="11" t="n">
        <f aca="false">IFERROR(H648*1000000/$E648,"")</f>
        <v>113.785262352948</v>
      </c>
      <c r="N648" s="11" t="n">
        <f aca="false">IFERROR(I648*1000000/$E648,"")</f>
        <v>304.440568426769</v>
      </c>
      <c r="O648" s="11" t="n">
        <f aca="false">IFERROR(J648*1000000/$E648,"")</f>
        <v>269.580973385126</v>
      </c>
      <c r="P648" s="16" t="n">
        <f aca="false">COUNTIFS($A$4:$A$1008,$A648,$N$4:$N$1008,"&gt;"&amp;N648)+1</f>
        <v>19</v>
      </c>
      <c r="Q648" s="16" t="n">
        <f aca="false">COUNTIFS($A$4:$A$1008,$A648,$O$4:$O$1008,"&gt;"&amp;O648)+1</f>
        <v>5</v>
      </c>
    </row>
    <row r="649" customFormat="false" ht="15" hidden="false" customHeight="false" outlineLevel="0" collapsed="false">
      <c r="A649" s="7" t="n">
        <v>2016</v>
      </c>
      <c r="B649" s="15" t="s">
        <v>139</v>
      </c>
      <c r="C649" s="15" t="s">
        <v>135</v>
      </c>
      <c r="D649" s="15" t="s">
        <v>138</v>
      </c>
      <c r="E649" s="9" t="n">
        <f aca="false">SUMIFS(Data!$L$2:$L$1006,Data!$A$2:$A$1006,$A649,Data!$B$2:$B$1006,$B649)</f>
        <v>2169416</v>
      </c>
      <c r="F649" s="10" t="n">
        <f aca="false">SUMIFS(Data!$E$2:$E$1006,Data!$A$2:$A$1006,$A649,Data!$B$2:$B$1006,$B649)</f>
        <v>283.326868</v>
      </c>
      <c r="G649" s="10" t="n">
        <f aca="false">SUMIFS(Data!$F$2:$F$1006,Data!$A$2:$A$1006,$A649,Data!$B$2:$B$1006,$B649)</f>
        <v>243.278874</v>
      </c>
      <c r="H649" s="10" t="n">
        <f aca="false">SUMIFS(Data!$G$2:$G$1006,Data!$A$2:$A$1006,$A649,Data!$B$2:$B$1006,$B649)</f>
        <v>298.598562</v>
      </c>
      <c r="I649" s="10" t="n">
        <f aca="false">SUMIFS(Data!$N$2:$N$1006,Data!$A$2:$A$1006,$A649,Data!$B$2:$B$1006,$B649)</f>
        <v>825.204304</v>
      </c>
      <c r="J649" s="10" t="n">
        <f aca="false">SUMIFS(Data!$H$2:$H$1006,Data!$A$2:$A$1006,$A649,Data!$B$2:$B$1006,$B649)</f>
        <v>441.562091</v>
      </c>
      <c r="K649" s="11" t="n">
        <f aca="false">IFERROR(F649*1000000/$E649,"")</f>
        <v>130.600524749518</v>
      </c>
      <c r="L649" s="11" t="n">
        <f aca="false">IFERROR(G649*1000000/$E649,"")</f>
        <v>112.140259867172</v>
      </c>
      <c r="M649" s="11" t="n">
        <f aca="false">IFERROR(H649*1000000/$E649,"")</f>
        <v>137.640066266682</v>
      </c>
      <c r="N649" s="11" t="n">
        <f aca="false">IFERROR(I649*1000000/$E649,"")</f>
        <v>380.380850883371</v>
      </c>
      <c r="O649" s="11" t="n">
        <f aca="false">IFERROR(J649*1000000/$E649,"")</f>
        <v>203.539612043057</v>
      </c>
      <c r="P649" s="16" t="n">
        <f aca="false">COUNTIFS($A$4:$A$1008,$A649,$N$4:$N$1008,"&gt;"&amp;N649)+1</f>
        <v>7</v>
      </c>
      <c r="Q649" s="16" t="n">
        <f aca="false">COUNTIFS($A$4:$A$1008,$A649,$O$4:$O$1008,"&gt;"&amp;O649)+1</f>
        <v>22</v>
      </c>
    </row>
    <row r="650" customFormat="false" ht="15" hidden="false" customHeight="false" outlineLevel="0" collapsed="false">
      <c r="A650" s="7" t="n">
        <v>2016</v>
      </c>
      <c r="B650" s="15" t="s">
        <v>140</v>
      </c>
      <c r="C650" s="15" t="s">
        <v>135</v>
      </c>
      <c r="D650" s="15" t="s">
        <v>141</v>
      </c>
      <c r="E650" s="9" t="n">
        <f aca="false">SUMIFS(Data!$L$2:$L$1006,Data!$A$2:$A$1006,$A650,Data!$B$2:$B$1006,$B650)</f>
        <v>812986</v>
      </c>
      <c r="F650" s="10" t="n">
        <f aca="false">SUMIFS(Data!$E$2:$E$1006,Data!$A$2:$A$1006,$A650,Data!$B$2:$B$1006,$B650)</f>
        <v>99.679927</v>
      </c>
      <c r="G650" s="10" t="n">
        <f aca="false">SUMIFS(Data!$F$2:$F$1006,Data!$A$2:$A$1006,$A650,Data!$B$2:$B$1006,$B650)</f>
        <v>32.577403</v>
      </c>
      <c r="H650" s="10" t="n">
        <f aca="false">SUMIFS(Data!$G$2:$G$1006,Data!$A$2:$A$1006,$A650,Data!$B$2:$B$1006,$B650)</f>
        <v>81.69369</v>
      </c>
      <c r="I650" s="10" t="n">
        <f aca="false">SUMIFS(Data!$N$2:$N$1006,Data!$A$2:$A$1006,$A650,Data!$B$2:$B$1006,$B650)</f>
        <v>213.95102</v>
      </c>
      <c r="J650" s="10" t="n">
        <f aca="false">SUMIFS(Data!$H$2:$H$1006,Data!$A$2:$A$1006,$A650,Data!$B$2:$B$1006,$B650)</f>
        <v>173.159831</v>
      </c>
      <c r="K650" s="11" t="n">
        <f aca="false">IFERROR(F650*1000000/$E650,"")</f>
        <v>122.609647644609</v>
      </c>
      <c r="L650" s="11" t="n">
        <f aca="false">IFERROR(G650*1000000/$E650,"")</f>
        <v>40.0712964306888</v>
      </c>
      <c r="M650" s="11" t="n">
        <f aca="false">IFERROR(H650*1000000/$E650,"")</f>
        <v>100.48597392821</v>
      </c>
      <c r="N650" s="11" t="n">
        <f aca="false">IFERROR(I650*1000000/$E650,"")</f>
        <v>263.166918003508</v>
      </c>
      <c r="O650" s="11" t="n">
        <f aca="false">IFERROR(J650*1000000/$E650,"")</f>
        <v>212.99238978285</v>
      </c>
      <c r="P650" s="16" t="n">
        <f aca="false">COUNTIFS($A$4:$A$1008,$A650,$N$4:$N$1008,"&gt;"&amp;N650)+1</f>
        <v>28</v>
      </c>
      <c r="Q650" s="16" t="n">
        <f aca="false">COUNTIFS($A$4:$A$1008,$A650,$O$4:$O$1008,"&gt;"&amp;O650)+1</f>
        <v>17</v>
      </c>
    </row>
    <row r="651" customFormat="false" ht="15" hidden="false" customHeight="false" outlineLevel="0" collapsed="false">
      <c r="A651" s="7" t="n">
        <v>2016</v>
      </c>
      <c r="B651" s="15" t="s">
        <v>142</v>
      </c>
      <c r="C651" s="15" t="s">
        <v>135</v>
      </c>
      <c r="D651" s="15" t="s">
        <v>143</v>
      </c>
      <c r="E651" s="9" t="n">
        <f aca="false">SUMIFS(Data!$L$2:$L$1006,Data!$A$2:$A$1006,$A651,Data!$B$2:$B$1006,$B651)</f>
        <v>589041</v>
      </c>
      <c r="F651" s="10" t="n">
        <f aca="false">SUMIFS(Data!$E$2:$E$1006,Data!$A$2:$A$1006,$A651,Data!$B$2:$B$1006,$B651)</f>
        <v>67.670861</v>
      </c>
      <c r="G651" s="10" t="n">
        <f aca="false">SUMIFS(Data!$F$2:$F$1006,Data!$A$2:$A$1006,$A651,Data!$B$2:$B$1006,$B651)</f>
        <v>37.328227</v>
      </c>
      <c r="H651" s="10" t="n">
        <f aca="false">SUMIFS(Data!$G$2:$G$1006,Data!$A$2:$A$1006,$A651,Data!$B$2:$B$1006,$B651)</f>
        <v>52.594046</v>
      </c>
      <c r="I651" s="10" t="n">
        <f aca="false">SUMIFS(Data!$N$2:$N$1006,Data!$A$2:$A$1006,$A651,Data!$B$2:$B$1006,$B651)</f>
        <v>157.593134</v>
      </c>
      <c r="J651" s="10" t="n">
        <f aca="false">SUMIFS(Data!$H$2:$H$1006,Data!$A$2:$A$1006,$A651,Data!$B$2:$B$1006,$B651)</f>
        <v>120.61661</v>
      </c>
      <c r="K651" s="11" t="n">
        <f aca="false">IFERROR(F651*1000000/$E651,"")</f>
        <v>114.883108306553</v>
      </c>
      <c r="L651" s="11" t="n">
        <f aca="false">IFERROR(G651*1000000/$E651,"")</f>
        <v>63.3711863860071</v>
      </c>
      <c r="M651" s="11" t="n">
        <f aca="false">IFERROR(H651*1000000/$E651,"")</f>
        <v>89.2875810003039</v>
      </c>
      <c r="N651" s="11" t="n">
        <f aca="false">IFERROR(I651*1000000/$E651,"")</f>
        <v>267.541875692863</v>
      </c>
      <c r="O651" s="11" t="n">
        <f aca="false">IFERROR(J651*1000000/$E651,"")</f>
        <v>204.767766590102</v>
      </c>
      <c r="P651" s="16" t="n">
        <f aca="false">COUNTIFS($A$4:$A$1008,$A651,$N$4:$N$1008,"&gt;"&amp;N651)+1</f>
        <v>26</v>
      </c>
      <c r="Q651" s="16" t="n">
        <f aca="false">COUNTIFS($A$4:$A$1008,$A651,$O$4:$O$1008,"&gt;"&amp;O651)+1</f>
        <v>21</v>
      </c>
    </row>
    <row r="652" customFormat="false" ht="15" hidden="false" customHeight="false" outlineLevel="0" collapsed="false">
      <c r="A652" s="7" t="n">
        <v>2016</v>
      </c>
      <c r="B652" s="15" t="s">
        <v>144</v>
      </c>
      <c r="C652" s="15" t="s">
        <v>135</v>
      </c>
      <c r="D652" s="15" t="s">
        <v>141</v>
      </c>
      <c r="E652" s="9" t="n">
        <f aca="false">SUMIFS(Data!$L$2:$L$1006,Data!$A$2:$A$1006,$A652,Data!$B$2:$B$1006,$B652)</f>
        <v>486827</v>
      </c>
      <c r="F652" s="10" t="n">
        <f aca="false">SUMIFS(Data!$E$2:$E$1006,Data!$A$2:$A$1006,$A652,Data!$B$2:$B$1006,$B652)</f>
        <v>41.073876</v>
      </c>
      <c r="G652" s="10" t="n">
        <f aca="false">SUMIFS(Data!$F$2:$F$1006,Data!$A$2:$A$1006,$A652,Data!$B$2:$B$1006,$B652)</f>
        <v>22.434338</v>
      </c>
      <c r="H652" s="10" t="n">
        <f aca="false">SUMIFS(Data!$G$2:$G$1006,Data!$A$2:$A$1006,$A652,Data!$B$2:$B$1006,$B652)</f>
        <v>39.826536</v>
      </c>
      <c r="I652" s="10" t="n">
        <f aca="false">SUMIFS(Data!$N$2:$N$1006,Data!$A$2:$A$1006,$A652,Data!$B$2:$B$1006,$B652)</f>
        <v>103.33475</v>
      </c>
      <c r="J652" s="10" t="n">
        <f aca="false">SUMIFS(Data!$H$2:$H$1006,Data!$A$2:$A$1006,$A652,Data!$B$2:$B$1006,$B652)</f>
        <v>69.591171</v>
      </c>
      <c r="K652" s="11" t="n">
        <f aca="false">IFERROR(F652*1000000/$E652,"")</f>
        <v>84.3705792817572</v>
      </c>
      <c r="L652" s="11" t="n">
        <f aca="false">IFERROR(G652*1000000/$E652,"")</f>
        <v>46.0827727303539</v>
      </c>
      <c r="M652" s="11" t="n">
        <f aca="false">IFERROR(H652*1000000/$E652,"")</f>
        <v>81.8083960010435</v>
      </c>
      <c r="N652" s="11" t="n">
        <f aca="false">IFERROR(I652*1000000/$E652,"")</f>
        <v>212.261748013155</v>
      </c>
      <c r="O652" s="11" t="n">
        <f aca="false">IFERROR(J652*1000000/$E652,"")</f>
        <v>142.948462184719</v>
      </c>
      <c r="P652" s="16" t="n">
        <f aca="false">COUNTIFS($A$4:$A$1008,$A652,$N$4:$N$1008,"&gt;"&amp;N652)+1</f>
        <v>35</v>
      </c>
      <c r="Q652" s="16" t="n">
        <f aca="false">COUNTIFS($A$4:$A$1008,$A652,$O$4:$O$1008,"&gt;"&amp;O652)+1</f>
        <v>34</v>
      </c>
    </row>
    <row r="653" customFormat="false" ht="15" hidden="false" customHeight="false" outlineLevel="0" collapsed="false">
      <c r="A653" s="7" t="n">
        <v>2016</v>
      </c>
      <c r="B653" s="15" t="s">
        <v>145</v>
      </c>
      <c r="C653" s="15" t="s">
        <v>135</v>
      </c>
      <c r="D653" s="15" t="s">
        <v>146</v>
      </c>
      <c r="E653" s="9" t="n">
        <f aca="false">SUMIFS(Data!$L$2:$L$1006,Data!$A$2:$A$1006,$A653,Data!$B$2:$B$1006,$B653)</f>
        <v>488259</v>
      </c>
      <c r="F653" s="10" t="n">
        <f aca="false">SUMIFS(Data!$E$2:$E$1006,Data!$A$2:$A$1006,$A653,Data!$B$2:$B$1006,$B653)</f>
        <v>29.928096</v>
      </c>
      <c r="G653" s="10" t="n">
        <f aca="false">SUMIFS(Data!$F$2:$F$1006,Data!$A$2:$A$1006,$A653,Data!$B$2:$B$1006,$B653)</f>
        <v>72.597082</v>
      </c>
      <c r="H653" s="10" t="n">
        <f aca="false">SUMIFS(Data!$G$2:$G$1006,Data!$A$2:$A$1006,$A653,Data!$B$2:$B$1006,$B653)</f>
        <v>59.912274</v>
      </c>
      <c r="I653" s="10" t="n">
        <f aca="false">SUMIFS(Data!$N$2:$N$1006,Data!$A$2:$A$1006,$A653,Data!$B$2:$B$1006,$B653)</f>
        <v>162.437452</v>
      </c>
      <c r="J653" s="10" t="n">
        <f aca="false">SUMIFS(Data!$H$2:$H$1006,Data!$A$2:$A$1006,$A653,Data!$B$2:$B$1006,$B653)</f>
        <v>173.458767</v>
      </c>
      <c r="K653" s="11" t="n">
        <f aca="false">IFERROR(F653*1000000/$E653,"")</f>
        <v>61.2955337228807</v>
      </c>
      <c r="L653" s="11" t="n">
        <f aca="false">IFERROR(G653*1000000/$E653,"")</f>
        <v>148.685599241386</v>
      </c>
      <c r="M653" s="11" t="n">
        <f aca="false">IFERROR(H653*1000000/$E653,"")</f>
        <v>122.705928615755</v>
      </c>
      <c r="N653" s="11" t="n">
        <f aca="false">IFERROR(I653*1000000/$E653,"")</f>
        <v>332.687061580022</v>
      </c>
      <c r="O653" s="11" t="n">
        <f aca="false">IFERROR(J653*1000000/$E653,"")</f>
        <v>355.259743291982</v>
      </c>
      <c r="P653" s="16" t="n">
        <f aca="false">COUNTIFS($A$4:$A$1008,$A653,$N$4:$N$1008,"&gt;"&amp;N653)+1</f>
        <v>14</v>
      </c>
      <c r="Q653" s="16" t="n">
        <f aca="false">COUNTIFS($A$4:$A$1008,$A653,$O$4:$O$1008,"&gt;"&amp;O653)+1</f>
        <v>1</v>
      </c>
    </row>
    <row r="654" customFormat="false" ht="15" hidden="false" customHeight="false" outlineLevel="0" collapsed="false">
      <c r="A654" s="7" t="n">
        <v>2016</v>
      </c>
      <c r="B654" s="15" t="s">
        <v>147</v>
      </c>
      <c r="C654" s="15" t="s">
        <v>135</v>
      </c>
      <c r="D654" s="15" t="s">
        <v>148</v>
      </c>
      <c r="E654" s="9" t="n">
        <f aca="false">SUMIFS(Data!$L$2:$L$1006,Data!$A$2:$A$1006,$A654,Data!$B$2:$B$1006,$B654)</f>
        <v>150491</v>
      </c>
      <c r="F654" s="10" t="n">
        <f aca="false">SUMIFS(Data!$E$2:$E$1006,Data!$A$2:$A$1006,$A654,Data!$B$2:$B$1006,$B654)</f>
        <v>14.644057</v>
      </c>
      <c r="G654" s="10" t="n">
        <f aca="false">SUMIFS(Data!$F$2:$F$1006,Data!$A$2:$A$1006,$A654,Data!$B$2:$B$1006,$B654)</f>
        <v>14.4867</v>
      </c>
      <c r="H654" s="10" t="n">
        <f aca="false">SUMIFS(Data!$G$2:$G$1006,Data!$A$2:$A$1006,$A654,Data!$B$2:$B$1006,$B654)</f>
        <v>13.389516</v>
      </c>
      <c r="I654" s="10" t="n">
        <f aca="false">SUMIFS(Data!$N$2:$N$1006,Data!$A$2:$A$1006,$A654,Data!$B$2:$B$1006,$B654)</f>
        <v>42.520273</v>
      </c>
      <c r="J654" s="10" t="n">
        <f aca="false">SUMIFS(Data!$H$2:$H$1006,Data!$A$2:$A$1006,$A654,Data!$B$2:$B$1006,$B654)</f>
        <v>35.044235</v>
      </c>
      <c r="K654" s="11" t="n">
        <f aca="false">IFERROR(F654*1000000/$E654,"")</f>
        <v>97.308523433295</v>
      </c>
      <c r="L654" s="11" t="n">
        <f aca="false">IFERROR(G654*1000000/$E654,"")</f>
        <v>96.2628994424916</v>
      </c>
      <c r="M654" s="11" t="n">
        <f aca="false">IFERROR(H654*1000000/$E654,"")</f>
        <v>88.9722043178662</v>
      </c>
      <c r="N654" s="11" t="n">
        <f aca="false">IFERROR(I654*1000000/$E654,"")</f>
        <v>282.543627193653</v>
      </c>
      <c r="O654" s="11" t="n">
        <f aca="false">IFERROR(J654*1000000/$E654,"")</f>
        <v>232.865985341316</v>
      </c>
      <c r="P654" s="16" t="n">
        <f aca="false">COUNTIFS($A$4:$A$1008,$A654,$N$4:$N$1008,"&gt;"&amp;N654)+1</f>
        <v>21</v>
      </c>
      <c r="Q654" s="16" t="n">
        <f aca="false">COUNTIFS($A$4:$A$1008,$A654,$O$4:$O$1008,"&gt;"&amp;O654)+1</f>
        <v>11</v>
      </c>
    </row>
    <row r="655" customFormat="false" ht="15" hidden="false" customHeight="false" outlineLevel="0" collapsed="false">
      <c r="A655" s="7" t="n">
        <v>2016</v>
      </c>
      <c r="B655" s="15" t="s">
        <v>149</v>
      </c>
      <c r="C655" s="15" t="s">
        <v>135</v>
      </c>
      <c r="D655" s="15" t="s">
        <v>146</v>
      </c>
      <c r="E655" s="9" t="n">
        <f aca="false">SUMIFS(Data!$L$2:$L$1006,Data!$A$2:$A$1006,$A655,Data!$B$2:$B$1006,$B655)</f>
        <v>760580</v>
      </c>
      <c r="F655" s="10" t="n">
        <f aca="false">SUMIFS(Data!$E$2:$E$1006,Data!$A$2:$A$1006,$A655,Data!$B$2:$B$1006,$B655)</f>
        <v>79.335853</v>
      </c>
      <c r="G655" s="10" t="n">
        <f aca="false">SUMIFS(Data!$F$2:$F$1006,Data!$A$2:$A$1006,$A655,Data!$B$2:$B$1006,$B655)</f>
        <v>112.771832</v>
      </c>
      <c r="H655" s="10" t="n">
        <f aca="false">SUMIFS(Data!$G$2:$G$1006,Data!$A$2:$A$1006,$A655,Data!$B$2:$B$1006,$B655)</f>
        <v>67.381604</v>
      </c>
      <c r="I655" s="10" t="n">
        <f aca="false">SUMIFS(Data!$N$2:$N$1006,Data!$A$2:$A$1006,$A655,Data!$B$2:$B$1006,$B655)</f>
        <v>259.489289</v>
      </c>
      <c r="J655" s="10" t="n">
        <f aca="false">SUMIFS(Data!$H$2:$H$1006,Data!$A$2:$A$1006,$A655,Data!$B$2:$B$1006,$B655)</f>
        <v>138.076311</v>
      </c>
      <c r="K655" s="11" t="n">
        <f aca="false">IFERROR(F655*1000000/$E655,"")</f>
        <v>104.309675510794</v>
      </c>
      <c r="L655" s="11" t="n">
        <f aca="false">IFERROR(G655*1000000/$E655,"")</f>
        <v>148.270835415078</v>
      </c>
      <c r="M655" s="11" t="n">
        <f aca="false">IFERROR(H655*1000000/$E655,"")</f>
        <v>88.5923952772884</v>
      </c>
      <c r="N655" s="11" t="n">
        <f aca="false">IFERROR(I655*1000000/$E655,"")</f>
        <v>341.172906203161</v>
      </c>
      <c r="O655" s="11" t="n">
        <f aca="false">IFERROR(J655*1000000/$E655,"")</f>
        <v>181.540812274843</v>
      </c>
      <c r="P655" s="16" t="n">
        <f aca="false">COUNTIFS($A$4:$A$1008,$A655,$N$4:$N$1008,"&gt;"&amp;N655)+1</f>
        <v>12</v>
      </c>
      <c r="Q655" s="16" t="n">
        <f aca="false">COUNTIFS($A$4:$A$1008,$A655,$O$4:$O$1008,"&gt;"&amp;O655)+1</f>
        <v>26</v>
      </c>
    </row>
    <row r="656" customFormat="false" ht="15" hidden="false" customHeight="false" outlineLevel="0" collapsed="false">
      <c r="A656" s="7" t="n">
        <v>2016</v>
      </c>
      <c r="B656" s="15" t="s">
        <v>150</v>
      </c>
      <c r="C656" s="15" t="s">
        <v>135</v>
      </c>
      <c r="D656" s="15" t="s">
        <v>141</v>
      </c>
      <c r="E656" s="9" t="n">
        <f aca="false">SUMIFS(Data!$L$2:$L$1006,Data!$A$2:$A$1006,$A656,Data!$B$2:$B$1006,$B656)</f>
        <v>464146</v>
      </c>
      <c r="F656" s="10" t="n">
        <f aca="false">SUMIFS(Data!$E$2:$E$1006,Data!$A$2:$A$1006,$A656,Data!$B$2:$B$1006,$B656)</f>
        <v>43.823756</v>
      </c>
      <c r="G656" s="10" t="n">
        <f aca="false">SUMIFS(Data!$F$2:$F$1006,Data!$A$2:$A$1006,$A656,Data!$B$2:$B$1006,$B656)</f>
        <v>17.790868</v>
      </c>
      <c r="H656" s="10" t="n">
        <f aca="false">SUMIFS(Data!$G$2:$G$1006,Data!$A$2:$A$1006,$A656,Data!$B$2:$B$1006,$B656)</f>
        <v>44.993441</v>
      </c>
      <c r="I656" s="10" t="n">
        <f aca="false">SUMIFS(Data!$N$2:$N$1006,Data!$A$2:$A$1006,$A656,Data!$B$2:$B$1006,$B656)</f>
        <v>106.608065</v>
      </c>
      <c r="J656" s="10" t="n">
        <f aca="false">SUMIFS(Data!$H$2:$H$1006,Data!$A$2:$A$1006,$A656,Data!$B$2:$B$1006,$B656)</f>
        <v>128.134826</v>
      </c>
      <c r="K656" s="11" t="n">
        <f aca="false">IFERROR(F656*1000000/$E656,"")</f>
        <v>94.4180408750695</v>
      </c>
      <c r="L656" s="11" t="n">
        <f aca="false">IFERROR(G656*1000000/$E656,"")</f>
        <v>38.3303270953536</v>
      </c>
      <c r="M656" s="11" t="n">
        <f aca="false">IFERROR(H656*1000000/$E656,"")</f>
        <v>96.9381207637252</v>
      </c>
      <c r="N656" s="11" t="n">
        <f aca="false">IFERROR(I656*1000000/$E656,"")</f>
        <v>229.686488734148</v>
      </c>
      <c r="O656" s="11" t="n">
        <f aca="false">IFERROR(J656*1000000/$E656,"")</f>
        <v>276.065776716809</v>
      </c>
      <c r="P656" s="16" t="n">
        <f aca="false">COUNTIFS($A$4:$A$1008,$A656,$N$4:$N$1008,"&gt;"&amp;N656)+1</f>
        <v>31</v>
      </c>
      <c r="Q656" s="16" t="n">
        <f aca="false">COUNTIFS($A$4:$A$1008,$A656,$O$4:$O$1008,"&gt;"&amp;O656)+1</f>
        <v>4</v>
      </c>
    </row>
    <row r="657" customFormat="false" ht="15" hidden="false" customHeight="false" outlineLevel="0" collapsed="false">
      <c r="A657" s="7" t="n">
        <v>2016</v>
      </c>
      <c r="B657" s="15" t="s">
        <v>151</v>
      </c>
      <c r="C657" s="15" t="s">
        <v>135</v>
      </c>
      <c r="D657" s="15" t="s">
        <v>136</v>
      </c>
      <c r="E657" s="9" t="n">
        <f aca="false">SUMIFS(Data!$L$2:$L$1006,Data!$A$2:$A$1006,$A657,Data!$B$2:$B$1006,$B657)</f>
        <v>1454285</v>
      </c>
      <c r="F657" s="10" t="n">
        <f aca="false">SUMIFS(Data!$E$2:$E$1006,Data!$A$2:$A$1006,$A657,Data!$B$2:$B$1006,$B657)</f>
        <v>110.969206</v>
      </c>
      <c r="G657" s="10" t="n">
        <f aca="false">SUMIFS(Data!$F$2:$F$1006,Data!$A$2:$A$1006,$A657,Data!$B$2:$B$1006,$B657)</f>
        <v>145.931747</v>
      </c>
      <c r="H657" s="10" t="n">
        <f aca="false">SUMIFS(Data!$G$2:$G$1006,Data!$A$2:$A$1006,$A657,Data!$B$2:$B$1006,$B657)</f>
        <v>107.257645</v>
      </c>
      <c r="I657" s="10" t="n">
        <f aca="false">SUMIFS(Data!$N$2:$N$1006,Data!$A$2:$A$1006,$A657,Data!$B$2:$B$1006,$B657)</f>
        <v>364.158598</v>
      </c>
      <c r="J657" s="10" t="n">
        <f aca="false">SUMIFS(Data!$H$2:$H$1006,Data!$A$2:$A$1006,$A657,Data!$B$2:$B$1006,$B657)</f>
        <v>206.459993</v>
      </c>
      <c r="K657" s="11" t="n">
        <f aca="false">IFERROR(F657*1000000/$E657,"")</f>
        <v>76.3049924877173</v>
      </c>
      <c r="L657" s="11" t="n">
        <f aca="false">IFERROR(G657*1000000/$E657,"")</f>
        <v>100.346044276053</v>
      </c>
      <c r="M657" s="11" t="n">
        <f aca="false">IFERROR(H657*1000000/$E657,"")</f>
        <v>73.7528373049299</v>
      </c>
      <c r="N657" s="11" t="n">
        <f aca="false">IFERROR(I657*1000000/$E657,"")</f>
        <v>250.4038740687</v>
      </c>
      <c r="O657" s="11" t="n">
        <f aca="false">IFERROR(J657*1000000/$E657,"")</f>
        <v>141.966666093647</v>
      </c>
      <c r="P657" s="16" t="n">
        <f aca="false">COUNTIFS($A$4:$A$1008,$A657,$N$4:$N$1008,"&gt;"&amp;N657)+1</f>
        <v>30</v>
      </c>
      <c r="Q657" s="16" t="n">
        <f aca="false">COUNTIFS($A$4:$A$1008,$A657,$O$4:$O$1008,"&gt;"&amp;O657)+1</f>
        <v>35</v>
      </c>
    </row>
    <row r="658" customFormat="false" ht="15" hidden="false" customHeight="false" outlineLevel="0" collapsed="false">
      <c r="A658" s="7" t="n">
        <v>2016</v>
      </c>
      <c r="B658" s="15" t="s">
        <v>152</v>
      </c>
      <c r="C658" s="15" t="s">
        <v>135</v>
      </c>
      <c r="D658" s="15" t="s">
        <v>148</v>
      </c>
      <c r="E658" s="9" t="n">
        <f aca="false">SUMIFS(Data!$L$2:$L$1006,Data!$A$2:$A$1006,$A658,Data!$B$2:$B$1006,$B658)</f>
        <v>256540</v>
      </c>
      <c r="F658" s="10" t="n">
        <f aca="false">SUMIFS(Data!$E$2:$E$1006,Data!$A$2:$A$1006,$A658,Data!$B$2:$B$1006,$B658)</f>
        <v>25.09604</v>
      </c>
      <c r="G658" s="10" t="n">
        <f aca="false">SUMIFS(Data!$F$2:$F$1006,Data!$A$2:$A$1006,$A658,Data!$B$2:$B$1006,$B658)</f>
        <v>21.653971</v>
      </c>
      <c r="H658" s="10" t="n">
        <f aca="false">SUMIFS(Data!$G$2:$G$1006,Data!$A$2:$A$1006,$A658,Data!$B$2:$B$1006,$B658)</f>
        <v>28.549473</v>
      </c>
      <c r="I658" s="10" t="n">
        <f aca="false">SUMIFS(Data!$N$2:$N$1006,Data!$A$2:$A$1006,$A658,Data!$B$2:$B$1006,$B658)</f>
        <v>75.299484</v>
      </c>
      <c r="J658" s="10" t="n">
        <f aca="false">SUMIFS(Data!$H$2:$H$1006,Data!$A$2:$A$1006,$A658,Data!$B$2:$B$1006,$B658)</f>
        <v>45.147789</v>
      </c>
      <c r="K658" s="11" t="n">
        <f aca="false">IFERROR(F658*1000000/$E658,"")</f>
        <v>97.8250565214002</v>
      </c>
      <c r="L658" s="11" t="n">
        <f aca="false">IFERROR(G658*1000000/$E658,"")</f>
        <v>84.4077765650581</v>
      </c>
      <c r="M658" s="11" t="n">
        <f aca="false">IFERROR(H658*1000000/$E658,"")</f>
        <v>111.286633663366</v>
      </c>
      <c r="N658" s="11" t="n">
        <f aca="false">IFERROR(I658*1000000/$E658,"")</f>
        <v>293.519466749825</v>
      </c>
      <c r="O658" s="11" t="n">
        <f aca="false">IFERROR(J658*1000000/$E658,"")</f>
        <v>175.987327512279</v>
      </c>
      <c r="P658" s="16" t="n">
        <f aca="false">COUNTIFS($A$4:$A$1008,$A658,$N$4:$N$1008,"&gt;"&amp;N658)+1</f>
        <v>20</v>
      </c>
      <c r="Q658" s="16" t="n">
        <f aca="false">COUNTIFS($A$4:$A$1008,$A658,$O$4:$O$1008,"&gt;"&amp;O658)+1</f>
        <v>29</v>
      </c>
    </row>
    <row r="659" customFormat="false" ht="15" hidden="false" customHeight="false" outlineLevel="0" collapsed="false">
      <c r="A659" s="7" t="n">
        <v>2016</v>
      </c>
      <c r="B659" s="15" t="s">
        <v>153</v>
      </c>
      <c r="C659" s="15" t="s">
        <v>135</v>
      </c>
      <c r="D659" s="15" t="s">
        <v>136</v>
      </c>
      <c r="E659" s="9" t="n">
        <f aca="false">SUMIFS(Data!$L$2:$L$1006,Data!$A$2:$A$1006,$A659,Data!$B$2:$B$1006,$B659)</f>
        <v>131354</v>
      </c>
      <c r="F659" s="10" t="n">
        <f aca="false">SUMIFS(Data!$E$2:$E$1006,Data!$A$2:$A$1006,$A659,Data!$B$2:$B$1006,$B659)</f>
        <v>16.790847</v>
      </c>
      <c r="G659" s="10" t="n">
        <f aca="false">SUMIFS(Data!$F$2:$F$1006,Data!$A$2:$A$1006,$A659,Data!$B$2:$B$1006,$B659)</f>
        <v>23.256887</v>
      </c>
      <c r="H659" s="10" t="n">
        <f aca="false">SUMIFS(Data!$G$2:$G$1006,Data!$A$2:$A$1006,$A659,Data!$B$2:$B$1006,$B659)</f>
        <v>11.027172</v>
      </c>
      <c r="I659" s="10" t="n">
        <f aca="false">SUMIFS(Data!$N$2:$N$1006,Data!$A$2:$A$1006,$A659,Data!$B$2:$B$1006,$B659)</f>
        <v>51.074906</v>
      </c>
      <c r="J659" s="10" t="n">
        <f aca="false">SUMIFS(Data!$H$2:$H$1006,Data!$A$2:$A$1006,$A659,Data!$B$2:$B$1006,$B659)</f>
        <v>17.137189</v>
      </c>
      <c r="K659" s="11" t="n">
        <f aca="false">IFERROR(F659*1000000/$E659,"")</f>
        <v>127.828973613289</v>
      </c>
      <c r="L659" s="11" t="n">
        <f aca="false">IFERROR(G659*1000000/$E659,"")</f>
        <v>177.055034486959</v>
      </c>
      <c r="M659" s="11" t="n">
        <f aca="false">IFERROR(H659*1000000/$E659,"")</f>
        <v>83.9500281681563</v>
      </c>
      <c r="N659" s="11" t="n">
        <f aca="false">IFERROR(I659*1000000/$E659,"")</f>
        <v>388.834036268405</v>
      </c>
      <c r="O659" s="11" t="n">
        <f aca="false">IFERROR(J659*1000000/$E659,"")</f>
        <v>130.46568052743</v>
      </c>
      <c r="P659" s="16" t="n">
        <f aca="false">COUNTIFS($A$4:$A$1008,$A659,$N$4:$N$1008,"&gt;"&amp;N659)+1</f>
        <v>5</v>
      </c>
      <c r="Q659" s="16" t="n">
        <f aca="false">COUNTIFS($A$4:$A$1008,$A659,$O$4:$O$1008,"&gt;"&amp;O659)+1</f>
        <v>37</v>
      </c>
    </row>
    <row r="660" customFormat="false" ht="15" hidden="false" customHeight="false" outlineLevel="0" collapsed="false">
      <c r="A660" s="7" t="n">
        <v>2016</v>
      </c>
      <c r="B660" s="15" t="s">
        <v>154</v>
      </c>
      <c r="C660" s="15" t="s">
        <v>135</v>
      </c>
      <c r="D660" s="15" t="s">
        <v>141</v>
      </c>
      <c r="E660" s="9" t="n">
        <f aca="false">SUMIFS(Data!$L$2:$L$1006,Data!$A$2:$A$1006,$A660,Data!$B$2:$B$1006,$B660)</f>
        <v>148429</v>
      </c>
      <c r="F660" s="10" t="n">
        <f aca="false">SUMIFS(Data!$E$2:$E$1006,Data!$A$2:$A$1006,$A660,Data!$B$2:$B$1006,$B660)</f>
        <v>15.350234</v>
      </c>
      <c r="G660" s="10" t="n">
        <f aca="false">SUMIFS(Data!$F$2:$F$1006,Data!$A$2:$A$1006,$A660,Data!$B$2:$B$1006,$B660)</f>
        <v>6.524443</v>
      </c>
      <c r="H660" s="10" t="n">
        <f aca="false">SUMIFS(Data!$G$2:$G$1006,Data!$A$2:$A$1006,$A660,Data!$B$2:$B$1006,$B660)</f>
        <v>19.144054</v>
      </c>
      <c r="I660" s="10" t="n">
        <f aca="false">SUMIFS(Data!$N$2:$N$1006,Data!$A$2:$A$1006,$A660,Data!$B$2:$B$1006,$B660)</f>
        <v>41.018731</v>
      </c>
      <c r="J660" s="10" t="n">
        <f aca="false">SUMIFS(Data!$H$2:$H$1006,Data!$A$2:$A$1006,$A660,Data!$B$2:$B$1006,$B660)</f>
        <v>31.886171</v>
      </c>
      <c r="K660" s="11" t="n">
        <f aca="false">IFERROR(F660*1000000/$E660,"")</f>
        <v>103.418024779524</v>
      </c>
      <c r="L660" s="11" t="n">
        <f aca="false">IFERROR(G660*1000000/$E660,"")</f>
        <v>43.956659412918</v>
      </c>
      <c r="M660" s="11" t="n">
        <f aca="false">IFERROR(H660*1000000/$E660,"")</f>
        <v>128.977854731892</v>
      </c>
      <c r="N660" s="11" t="n">
        <f aca="false">IFERROR(I660*1000000/$E660,"")</f>
        <v>276.352538924334</v>
      </c>
      <c r="O660" s="11" t="n">
        <f aca="false">IFERROR(J660*1000000/$E660,"")</f>
        <v>214.824400892009</v>
      </c>
      <c r="P660" s="16" t="n">
        <f aca="false">COUNTIFS($A$4:$A$1008,$A660,$N$4:$N$1008,"&gt;"&amp;N660)+1</f>
        <v>22</v>
      </c>
      <c r="Q660" s="16" t="n">
        <f aca="false">COUNTIFS($A$4:$A$1008,$A660,$O$4:$O$1008,"&gt;"&amp;O660)+1</f>
        <v>16</v>
      </c>
    </row>
    <row r="661" customFormat="false" ht="15" hidden="false" customHeight="false" outlineLevel="0" collapsed="false">
      <c r="A661" s="7" t="n">
        <v>2016</v>
      </c>
      <c r="B661" s="15" t="s">
        <v>155</v>
      </c>
      <c r="C661" s="15" t="s">
        <v>135</v>
      </c>
      <c r="D661" s="15" t="s">
        <v>148</v>
      </c>
      <c r="E661" s="9" t="n">
        <f aca="false">SUMIFS(Data!$L$2:$L$1006,Data!$A$2:$A$1006,$A661,Data!$B$2:$B$1006,$B661)</f>
        <v>1142983</v>
      </c>
      <c r="F661" s="10" t="n">
        <f aca="false">SUMIFS(Data!$E$2:$E$1006,Data!$A$2:$A$1006,$A661,Data!$B$2:$B$1006,$B661)</f>
        <v>92.874207</v>
      </c>
      <c r="G661" s="10" t="n">
        <f aca="false">SUMIFS(Data!$F$2:$F$1006,Data!$A$2:$A$1006,$A661,Data!$B$2:$B$1006,$B661)</f>
        <v>100.418856</v>
      </c>
      <c r="H661" s="10" t="n">
        <f aca="false">SUMIFS(Data!$G$2:$G$1006,Data!$A$2:$A$1006,$A661,Data!$B$2:$B$1006,$B661)</f>
        <v>110.497249</v>
      </c>
      <c r="I661" s="10" t="n">
        <f aca="false">SUMIFS(Data!$N$2:$N$1006,Data!$A$2:$A$1006,$A661,Data!$B$2:$B$1006,$B661)</f>
        <v>303.790312</v>
      </c>
      <c r="J661" s="10" t="n">
        <f aca="false">SUMIFS(Data!$H$2:$H$1006,Data!$A$2:$A$1006,$A661,Data!$B$2:$B$1006,$B661)</f>
        <v>252.001758</v>
      </c>
      <c r="K661" s="11" t="n">
        <f aca="false">IFERROR(F661*1000000/$E661,"")</f>
        <v>81.2559828098931</v>
      </c>
      <c r="L661" s="11" t="n">
        <f aca="false">IFERROR(G661*1000000/$E661,"")</f>
        <v>87.8568237672826</v>
      </c>
      <c r="M661" s="11" t="n">
        <f aca="false">IFERROR(H661*1000000/$E661,"")</f>
        <v>96.674446601568</v>
      </c>
      <c r="N661" s="11" t="n">
        <f aca="false">IFERROR(I661*1000000/$E661,"")</f>
        <v>265.787253178744</v>
      </c>
      <c r="O661" s="11" t="n">
        <f aca="false">IFERROR(J661*1000000/$E661,"")</f>
        <v>220.477258191942</v>
      </c>
      <c r="P661" s="16" t="n">
        <f aca="false">COUNTIFS($A$4:$A$1008,$A661,$N$4:$N$1008,"&gt;"&amp;N661)+1</f>
        <v>27</v>
      </c>
      <c r="Q661" s="16" t="n">
        <f aca="false">COUNTIFS($A$4:$A$1008,$A661,$O$4:$O$1008,"&gt;"&amp;O661)+1</f>
        <v>14</v>
      </c>
    </row>
    <row r="662" customFormat="false" ht="15" hidden="false" customHeight="false" outlineLevel="0" collapsed="false">
      <c r="A662" s="7" t="n">
        <v>2016</v>
      </c>
      <c r="B662" s="15" t="s">
        <v>156</v>
      </c>
      <c r="C662" s="15" t="s">
        <v>135</v>
      </c>
      <c r="D662" s="15" t="s">
        <v>148</v>
      </c>
      <c r="E662" s="9" t="n">
        <f aca="false">SUMIFS(Data!$L$2:$L$1006,Data!$A$2:$A$1006,$A662,Data!$B$2:$B$1006,$B662)</f>
        <v>466052</v>
      </c>
      <c r="F662" s="10" t="n">
        <f aca="false">SUMIFS(Data!$E$2:$E$1006,Data!$A$2:$A$1006,$A662,Data!$B$2:$B$1006,$B662)</f>
        <v>26.421125</v>
      </c>
      <c r="G662" s="10" t="n">
        <f aca="false">SUMIFS(Data!$F$2:$F$1006,Data!$A$2:$A$1006,$A662,Data!$B$2:$B$1006,$B662)</f>
        <v>3.824419</v>
      </c>
      <c r="H662" s="10" t="n">
        <f aca="false">SUMIFS(Data!$G$2:$G$1006,Data!$A$2:$A$1006,$A662,Data!$B$2:$B$1006,$B662)</f>
        <v>54.863954</v>
      </c>
      <c r="I662" s="10" t="n">
        <f aca="false">SUMIFS(Data!$N$2:$N$1006,Data!$A$2:$A$1006,$A662,Data!$B$2:$B$1006,$B662)</f>
        <v>85.109498</v>
      </c>
      <c r="J662" s="10" t="n">
        <f aca="false">SUMIFS(Data!$H$2:$H$1006,Data!$A$2:$A$1006,$A662,Data!$B$2:$B$1006,$B662)</f>
        <v>124.142884</v>
      </c>
      <c r="K662" s="11" t="n">
        <f aca="false">IFERROR(F662*1000000/$E662,"")</f>
        <v>56.6913670577532</v>
      </c>
      <c r="L662" s="11" t="n">
        <f aca="false">IFERROR(G662*1000000/$E662,"")</f>
        <v>8.20599203522354</v>
      </c>
      <c r="M662" s="11" t="n">
        <f aca="false">IFERROR(H662*1000000/$E662,"")</f>
        <v>117.720670654777</v>
      </c>
      <c r="N662" s="11" t="n">
        <f aca="false">IFERROR(I662*1000000/$E662,"")</f>
        <v>182.618029747753</v>
      </c>
      <c r="O662" s="11" t="n">
        <f aca="false">IFERROR(J662*1000000/$E662,"")</f>
        <v>266.371314788908</v>
      </c>
      <c r="P662" s="16" t="n">
        <f aca="false">COUNTIFS($A$4:$A$1008,$A662,$N$4:$N$1008,"&gt;"&amp;N662)+1</f>
        <v>38</v>
      </c>
      <c r="Q662" s="16" t="n">
        <f aca="false">COUNTIFS($A$4:$A$1008,$A662,$O$4:$O$1008,"&gt;"&amp;O662)+1</f>
        <v>6</v>
      </c>
    </row>
    <row r="663" customFormat="false" ht="15" hidden="false" customHeight="false" outlineLevel="0" collapsed="false">
      <c r="A663" s="7" t="n">
        <v>2016</v>
      </c>
      <c r="B663" s="15" t="s">
        <v>157</v>
      </c>
      <c r="C663" s="15" t="s">
        <v>135</v>
      </c>
      <c r="D663" s="15" t="s">
        <v>148</v>
      </c>
      <c r="E663" s="9" t="n">
        <f aca="false">SUMIFS(Data!$L$2:$L$1006,Data!$A$2:$A$1006,$A663,Data!$B$2:$B$1006,$B663)</f>
        <v>449877</v>
      </c>
      <c r="F663" s="10" t="n">
        <f aca="false">SUMIFS(Data!$E$2:$E$1006,Data!$A$2:$A$1006,$A663,Data!$B$2:$B$1006,$B663)</f>
        <v>37.347829</v>
      </c>
      <c r="G663" s="10" t="n">
        <f aca="false">SUMIFS(Data!$F$2:$F$1006,Data!$A$2:$A$1006,$A663,Data!$B$2:$B$1006,$B663)</f>
        <v>37.157954</v>
      </c>
      <c r="H663" s="10" t="n">
        <f aca="false">SUMIFS(Data!$G$2:$G$1006,Data!$A$2:$A$1006,$A663,Data!$B$2:$B$1006,$B663)</f>
        <v>25.276958</v>
      </c>
      <c r="I663" s="10" t="n">
        <f aca="false">SUMIFS(Data!$N$2:$N$1006,Data!$A$2:$A$1006,$A663,Data!$B$2:$B$1006,$B663)</f>
        <v>99.782741</v>
      </c>
      <c r="J663" s="10" t="n">
        <f aca="false">SUMIFS(Data!$H$2:$H$1006,Data!$A$2:$A$1006,$A663,Data!$B$2:$B$1006,$B663)</f>
        <v>112.113833</v>
      </c>
      <c r="K663" s="11" t="n">
        <f aca="false">IFERROR(F663*1000000/$E663,"")</f>
        <v>83.0178671058978</v>
      </c>
      <c r="L663" s="11" t="n">
        <f aca="false">IFERROR(G663*1000000/$E663,"")</f>
        <v>82.5958072984394</v>
      </c>
      <c r="M663" s="11" t="n">
        <f aca="false">IFERROR(H663*1000000/$E663,"")</f>
        <v>56.1863753870502</v>
      </c>
      <c r="N663" s="11" t="n">
        <f aca="false">IFERROR(I663*1000000/$E663,"")</f>
        <v>221.800049791387</v>
      </c>
      <c r="O663" s="11" t="n">
        <f aca="false">IFERROR(J663*1000000/$E663,"")</f>
        <v>249.209968502502</v>
      </c>
      <c r="P663" s="16" t="n">
        <f aca="false">COUNTIFS($A$4:$A$1008,$A663,$N$4:$N$1008,"&gt;"&amp;N663)+1</f>
        <v>33</v>
      </c>
      <c r="Q663" s="16" t="n">
        <f aca="false">COUNTIFS($A$4:$A$1008,$A663,$O$4:$O$1008,"&gt;"&amp;O663)+1</f>
        <v>9</v>
      </c>
    </row>
    <row r="664" customFormat="false" ht="15" hidden="false" customHeight="false" outlineLevel="0" collapsed="false">
      <c r="A664" s="7" t="n">
        <v>2017</v>
      </c>
      <c r="B664" s="15" t="s">
        <v>101</v>
      </c>
      <c r="C664" s="15" t="s">
        <v>102</v>
      </c>
      <c r="D664" s="15" t="s">
        <v>103</v>
      </c>
      <c r="E664" s="9" t="n">
        <f aca="false">SUMIFS(Data!$L$2:$L$1006,Data!$A$2:$A$1006,$A664,Data!$B$2:$B$1006,$B664)</f>
        <v>750660</v>
      </c>
      <c r="F664" s="10" t="n">
        <f aca="false">SUMIFS(Data!$E$2:$E$1006,Data!$A$2:$A$1006,$A664,Data!$B$2:$B$1006,$B664)</f>
        <v>53.812973</v>
      </c>
      <c r="G664" s="10" t="n">
        <f aca="false">SUMIFS(Data!$F$2:$F$1006,Data!$A$2:$A$1006,$A664,Data!$B$2:$B$1006,$B664)</f>
        <v>41.758714</v>
      </c>
      <c r="H664" s="10" t="n">
        <f aca="false">SUMIFS(Data!$G$2:$G$1006,Data!$A$2:$A$1006,$A664,Data!$B$2:$B$1006,$B664)</f>
        <v>77.259218</v>
      </c>
      <c r="I664" s="10" t="n">
        <f aca="false">SUMIFS(Data!$N$2:$N$1006,Data!$A$2:$A$1006,$A664,Data!$B$2:$B$1006,$B664)</f>
        <v>172.830905</v>
      </c>
      <c r="J664" s="10" t="n">
        <f aca="false">SUMIFS(Data!$H$2:$H$1006,Data!$A$2:$A$1006,$A664,Data!$B$2:$B$1006,$B664)</f>
        <v>96.725141</v>
      </c>
      <c r="K664" s="11" t="n">
        <f aca="false">IFERROR(F664*1000000/$E664,"")</f>
        <v>71.6875456265153</v>
      </c>
      <c r="L664" s="11" t="n">
        <f aca="false">IFERROR(G664*1000000/$E664,"")</f>
        <v>55.6293315215943</v>
      </c>
      <c r="M664" s="11" t="n">
        <f aca="false">IFERROR(H664*1000000/$E664,"")</f>
        <v>102.92171955346</v>
      </c>
      <c r="N664" s="11" t="n">
        <f aca="false">IFERROR(I664*1000000/$E664,"")</f>
        <v>230.238596701569</v>
      </c>
      <c r="O664" s="11" t="n">
        <f aca="false">IFERROR(J664*1000000/$E664,"")</f>
        <v>128.853463618682</v>
      </c>
      <c r="P664" s="16" t="n">
        <f aca="false">COUNTIFS($A$4:$A$1008,$A664,$N$4:$N$1008,"&gt;"&amp;N664)+1</f>
        <v>36</v>
      </c>
      <c r="Q664" s="16" t="n">
        <f aca="false">COUNTIFS($A$4:$A$1008,$A664,$O$4:$O$1008,"&gt;"&amp;O664)+1</f>
        <v>36</v>
      </c>
    </row>
    <row r="665" customFormat="false" ht="15" hidden="false" customHeight="false" outlineLevel="0" collapsed="false">
      <c r="A665" s="7" t="n">
        <v>2017</v>
      </c>
      <c r="B665" s="15" t="s">
        <v>104</v>
      </c>
      <c r="C665" s="15" t="s">
        <v>102</v>
      </c>
      <c r="D665" s="15" t="s">
        <v>105</v>
      </c>
      <c r="E665" s="9" t="n">
        <f aca="false">SUMIFS(Data!$L$2:$L$1006,Data!$A$2:$A$1006,$A665,Data!$B$2:$B$1006,$B665)</f>
        <v>1122087</v>
      </c>
      <c r="F665" s="10" t="n">
        <f aca="false">SUMIFS(Data!$E$2:$E$1006,Data!$A$2:$A$1006,$A665,Data!$B$2:$B$1006,$B665)</f>
        <v>93.749712</v>
      </c>
      <c r="G665" s="10" t="n">
        <f aca="false">SUMIFS(Data!$F$2:$F$1006,Data!$A$2:$A$1006,$A665,Data!$B$2:$B$1006,$B665)</f>
        <v>164.738351</v>
      </c>
      <c r="H665" s="10" t="n">
        <f aca="false">SUMIFS(Data!$G$2:$G$1006,Data!$A$2:$A$1006,$A665,Data!$B$2:$B$1006,$B665)</f>
        <v>103.108772</v>
      </c>
      <c r="I665" s="10" t="n">
        <f aca="false">SUMIFS(Data!$N$2:$N$1006,Data!$A$2:$A$1006,$A665,Data!$B$2:$B$1006,$B665)</f>
        <v>361.596835</v>
      </c>
      <c r="J665" s="10" t="n">
        <f aca="false">SUMIFS(Data!$H$2:$H$1006,Data!$A$2:$A$1006,$A665,Data!$B$2:$B$1006,$B665)</f>
        <v>154.814412</v>
      </c>
      <c r="K665" s="11" t="n">
        <f aca="false">IFERROR(F665*1000000/$E665,"")</f>
        <v>83.5494146175831</v>
      </c>
      <c r="L665" s="11" t="n">
        <f aca="false">IFERROR(G665*1000000/$E665,"")</f>
        <v>146.814240785251</v>
      </c>
      <c r="M665" s="11" t="n">
        <f aca="false">IFERROR(H665*1000000/$E665,"")</f>
        <v>91.8901760736913</v>
      </c>
      <c r="N665" s="11" t="n">
        <f aca="false">IFERROR(I665*1000000/$E665,"")</f>
        <v>322.253831476525</v>
      </c>
      <c r="O665" s="11" t="n">
        <f aca="false">IFERROR(J665*1000000/$E665,"")</f>
        <v>137.970061144991</v>
      </c>
      <c r="P665" s="16" t="n">
        <f aca="false">COUNTIFS($A$4:$A$1008,$A665,$N$4:$N$1008,"&gt;"&amp;N665)+1</f>
        <v>15</v>
      </c>
      <c r="Q665" s="16" t="n">
        <f aca="false">COUNTIFS($A$4:$A$1008,$A665,$O$4:$O$1008,"&gt;"&amp;O665)+1</f>
        <v>33</v>
      </c>
    </row>
    <row r="666" customFormat="false" ht="15" hidden="false" customHeight="false" outlineLevel="0" collapsed="false">
      <c r="A666" s="7" t="n">
        <v>2017</v>
      </c>
      <c r="B666" s="15" t="s">
        <v>106</v>
      </c>
      <c r="C666" s="15" t="s">
        <v>102</v>
      </c>
      <c r="D666" s="15" t="s">
        <v>107</v>
      </c>
      <c r="E666" s="9" t="n">
        <f aca="false">SUMIFS(Data!$L$2:$L$1006,Data!$A$2:$A$1006,$A666,Data!$B$2:$B$1006,$B666)</f>
        <v>566695</v>
      </c>
      <c r="F666" s="10" t="n">
        <f aca="false">SUMIFS(Data!$E$2:$E$1006,Data!$A$2:$A$1006,$A666,Data!$B$2:$B$1006,$B666)</f>
        <v>51.441795</v>
      </c>
      <c r="G666" s="10" t="n">
        <f aca="false">SUMIFS(Data!$F$2:$F$1006,Data!$A$2:$A$1006,$A666,Data!$B$2:$B$1006,$B666)</f>
        <v>59.126708</v>
      </c>
      <c r="H666" s="10" t="n">
        <f aca="false">SUMIFS(Data!$G$2:$G$1006,Data!$A$2:$A$1006,$A666,Data!$B$2:$B$1006,$B666)</f>
        <v>49.755968</v>
      </c>
      <c r="I666" s="10" t="n">
        <f aca="false">SUMIFS(Data!$N$2:$N$1006,Data!$A$2:$A$1006,$A666,Data!$B$2:$B$1006,$B666)</f>
        <v>160.324471</v>
      </c>
      <c r="J666" s="10" t="n">
        <f aca="false">SUMIFS(Data!$H$2:$H$1006,Data!$A$2:$A$1006,$A666,Data!$B$2:$B$1006,$B666)</f>
        <v>112.504289</v>
      </c>
      <c r="K666" s="11" t="n">
        <f aca="false">IFERROR(F666*1000000/$E666,"")</f>
        <v>90.7750994803201</v>
      </c>
      <c r="L666" s="11" t="n">
        <f aca="false">IFERROR(G666*1000000/$E666,"")</f>
        <v>104.336032610134</v>
      </c>
      <c r="M666" s="11" t="n">
        <f aca="false">IFERROR(H666*1000000/$E666,"")</f>
        <v>87.8002593987948</v>
      </c>
      <c r="N666" s="11" t="n">
        <f aca="false">IFERROR(I666*1000000/$E666,"")</f>
        <v>282.911391489249</v>
      </c>
      <c r="O666" s="11" t="n">
        <f aca="false">IFERROR(J666*1000000/$E666,"")</f>
        <v>198.527054235524</v>
      </c>
      <c r="P666" s="16" t="n">
        <f aca="false">COUNTIFS($A$4:$A$1008,$A666,$N$4:$N$1008,"&gt;"&amp;N666)+1</f>
        <v>25</v>
      </c>
      <c r="Q666" s="16" t="n">
        <f aca="false">COUNTIFS($A$4:$A$1008,$A666,$O$4:$O$1008,"&gt;"&amp;O666)+1</f>
        <v>24</v>
      </c>
    </row>
    <row r="667" customFormat="false" ht="15" hidden="false" customHeight="false" outlineLevel="0" collapsed="false">
      <c r="A667" s="7" t="n">
        <v>2017</v>
      </c>
      <c r="B667" s="15" t="s">
        <v>108</v>
      </c>
      <c r="C667" s="15" t="s">
        <v>102</v>
      </c>
      <c r="D667" s="15" t="s">
        <v>109</v>
      </c>
      <c r="E667" s="9" t="n">
        <f aca="false">SUMIFS(Data!$L$2:$L$1006,Data!$A$2:$A$1006,$A667,Data!$B$2:$B$1006,$B667)</f>
        <v>390806</v>
      </c>
      <c r="F667" s="10" t="n">
        <f aca="false">SUMIFS(Data!$E$2:$E$1006,Data!$A$2:$A$1006,$A667,Data!$B$2:$B$1006,$B667)</f>
        <v>65.980244</v>
      </c>
      <c r="G667" s="10" t="n">
        <f aca="false">SUMIFS(Data!$F$2:$F$1006,Data!$A$2:$A$1006,$A667,Data!$B$2:$B$1006,$B667)</f>
        <v>23.0577</v>
      </c>
      <c r="H667" s="10" t="n">
        <f aca="false">SUMIFS(Data!$G$2:$G$1006,Data!$A$2:$A$1006,$A667,Data!$B$2:$B$1006,$B667)</f>
        <v>41.436274</v>
      </c>
      <c r="I667" s="10" t="n">
        <f aca="false">SUMIFS(Data!$N$2:$N$1006,Data!$A$2:$A$1006,$A667,Data!$B$2:$B$1006,$B667)</f>
        <v>130.474218</v>
      </c>
      <c r="J667" s="10" t="n">
        <f aca="false">SUMIFS(Data!$H$2:$H$1006,Data!$A$2:$A$1006,$A667,Data!$B$2:$B$1006,$B667)</f>
        <v>95.802632</v>
      </c>
      <c r="K667" s="11" t="n">
        <f aca="false">IFERROR(F667*1000000/$E667,"")</f>
        <v>168.831195017477</v>
      </c>
      <c r="L667" s="11" t="n">
        <f aca="false">IFERROR(G667*1000000/$E667,"")</f>
        <v>59.0003735868948</v>
      </c>
      <c r="M667" s="11" t="n">
        <f aca="false">IFERROR(H667*1000000/$E667,"")</f>
        <v>106.027732429901</v>
      </c>
      <c r="N667" s="11" t="n">
        <f aca="false">IFERROR(I667*1000000/$E667,"")</f>
        <v>333.859301034273</v>
      </c>
      <c r="O667" s="11" t="n">
        <f aca="false">IFERROR(J667*1000000/$E667,"")</f>
        <v>245.141149317052</v>
      </c>
      <c r="P667" s="16" t="n">
        <f aca="false">COUNTIFS($A$4:$A$1008,$A667,$N$4:$N$1008,"&gt;"&amp;N667)+1</f>
        <v>11</v>
      </c>
      <c r="Q667" s="16" t="n">
        <f aca="false">COUNTIFS($A$4:$A$1008,$A667,$O$4:$O$1008,"&gt;"&amp;O667)+1</f>
        <v>20</v>
      </c>
    </row>
    <row r="668" customFormat="false" ht="15" hidden="false" customHeight="false" outlineLevel="0" collapsed="false">
      <c r="A668" s="7" t="n">
        <v>2017</v>
      </c>
      <c r="B668" s="15" t="s">
        <v>110</v>
      </c>
      <c r="C668" s="15" t="s">
        <v>102</v>
      </c>
      <c r="D668" s="15" t="s">
        <v>103</v>
      </c>
      <c r="E668" s="9" t="n">
        <f aca="false">SUMIFS(Data!$L$2:$L$1006,Data!$A$2:$A$1006,$A668,Data!$B$2:$B$1006,$B668)</f>
        <v>1046760</v>
      </c>
      <c r="F668" s="10" t="n">
        <f aca="false">SUMIFS(Data!$E$2:$E$1006,Data!$A$2:$A$1006,$A668,Data!$B$2:$B$1006,$B668)</f>
        <v>74.84612</v>
      </c>
      <c r="G668" s="10" t="n">
        <f aca="false">SUMIFS(Data!$F$2:$F$1006,Data!$A$2:$A$1006,$A668,Data!$B$2:$B$1006,$B668)</f>
        <v>56.277427</v>
      </c>
      <c r="H668" s="10" t="n">
        <f aca="false">SUMIFS(Data!$G$2:$G$1006,Data!$A$2:$A$1006,$A668,Data!$B$2:$B$1006,$B668)</f>
        <v>78.070572</v>
      </c>
      <c r="I668" s="10" t="n">
        <f aca="false">SUMIFS(Data!$N$2:$N$1006,Data!$A$2:$A$1006,$A668,Data!$B$2:$B$1006,$B668)</f>
        <v>209.194119</v>
      </c>
      <c r="J668" s="10" t="n">
        <f aca="false">SUMIFS(Data!$H$2:$H$1006,Data!$A$2:$A$1006,$A668,Data!$B$2:$B$1006,$B668)</f>
        <v>98.189328</v>
      </c>
      <c r="K668" s="11" t="n">
        <f aca="false">IFERROR(F668*1000000/$E668,"")</f>
        <v>71.5026558141312</v>
      </c>
      <c r="L668" s="11" t="n">
        <f aca="false">IFERROR(G668*1000000/$E668,"")</f>
        <v>53.763448163858</v>
      </c>
      <c r="M668" s="11" t="n">
        <f aca="false">IFERROR(H668*1000000/$E668,"")</f>
        <v>74.5830677519202</v>
      </c>
      <c r="N668" s="11" t="n">
        <f aca="false">IFERROR(I668*1000000/$E668,"")</f>
        <v>199.849171729909</v>
      </c>
      <c r="O668" s="11" t="n">
        <f aca="false">IFERROR(J668*1000000/$E668,"")</f>
        <v>93.8030952653904</v>
      </c>
      <c r="P668" s="16" t="n">
        <f aca="false">COUNTIFS($A$4:$A$1008,$A668,$N$4:$N$1008,"&gt;"&amp;N668)+1</f>
        <v>38</v>
      </c>
      <c r="Q668" s="16" t="n">
        <f aca="false">COUNTIFS($A$4:$A$1008,$A668,$O$4:$O$1008,"&gt;"&amp;O668)+1</f>
        <v>38</v>
      </c>
    </row>
    <row r="669" customFormat="false" ht="15" hidden="false" customHeight="false" outlineLevel="0" collapsed="false">
      <c r="A669" s="7" t="n">
        <v>2017</v>
      </c>
      <c r="B669" s="15" t="s">
        <v>111</v>
      </c>
      <c r="C669" s="15" t="s">
        <v>102</v>
      </c>
      <c r="D669" s="15" t="s">
        <v>107</v>
      </c>
      <c r="E669" s="9" t="n">
        <f aca="false">SUMIFS(Data!$L$2:$L$1006,Data!$A$2:$A$1006,$A669,Data!$B$2:$B$1006,$B669)</f>
        <v>586984</v>
      </c>
      <c r="F669" s="10" t="n">
        <f aca="false">SUMIFS(Data!$E$2:$E$1006,Data!$A$2:$A$1006,$A669,Data!$B$2:$B$1006,$B669)</f>
        <v>65.17477</v>
      </c>
      <c r="G669" s="10" t="n">
        <f aca="false">SUMIFS(Data!$F$2:$F$1006,Data!$A$2:$A$1006,$A669,Data!$B$2:$B$1006,$B669)</f>
        <v>61.680743</v>
      </c>
      <c r="H669" s="10" t="n">
        <f aca="false">SUMIFS(Data!$G$2:$G$1006,Data!$A$2:$A$1006,$A669,Data!$B$2:$B$1006,$B669)</f>
        <v>58.98012</v>
      </c>
      <c r="I669" s="10" t="n">
        <f aca="false">SUMIFS(Data!$N$2:$N$1006,Data!$A$2:$A$1006,$A669,Data!$B$2:$B$1006,$B669)</f>
        <v>185.835633</v>
      </c>
      <c r="J669" s="10" t="n">
        <f aca="false">SUMIFS(Data!$H$2:$H$1006,Data!$A$2:$A$1006,$A669,Data!$B$2:$B$1006,$B669)</f>
        <v>124.713569</v>
      </c>
      <c r="K669" s="11" t="n">
        <f aca="false">IFERROR(F669*1000000/$E669,"")</f>
        <v>111.033299033704</v>
      </c>
      <c r="L669" s="11" t="n">
        <f aca="false">IFERROR(G669*1000000/$E669,"")</f>
        <v>105.080790958527</v>
      </c>
      <c r="M669" s="11" t="n">
        <f aca="false">IFERROR(H669*1000000/$E669,"")</f>
        <v>100.479944938874</v>
      </c>
      <c r="N669" s="11" t="n">
        <f aca="false">IFERROR(I669*1000000/$E669,"")</f>
        <v>316.594034931105</v>
      </c>
      <c r="O669" s="11" t="n">
        <f aca="false">IFERROR(J669*1000000/$E669,"")</f>
        <v>212.465022896706</v>
      </c>
      <c r="P669" s="16" t="n">
        <f aca="false">COUNTIFS($A$4:$A$1008,$A669,$N$4:$N$1008,"&gt;"&amp;N669)+1</f>
        <v>16</v>
      </c>
      <c r="Q669" s="16" t="n">
        <f aca="false">COUNTIFS($A$4:$A$1008,$A669,$O$4:$O$1008,"&gt;"&amp;O669)+1</f>
        <v>22</v>
      </c>
    </row>
    <row r="670" customFormat="false" ht="15" hidden="false" customHeight="false" outlineLevel="0" collapsed="false">
      <c r="A670" s="7" t="n">
        <v>2017</v>
      </c>
      <c r="B670" s="15" t="s">
        <v>112</v>
      </c>
      <c r="C670" s="15" t="s">
        <v>102</v>
      </c>
      <c r="D670" s="15" t="s">
        <v>107</v>
      </c>
      <c r="E670" s="9" t="n">
        <f aca="false">SUMIFS(Data!$L$2:$L$1006,Data!$A$2:$A$1006,$A670,Data!$B$2:$B$1006,$B670)</f>
        <v>165130</v>
      </c>
      <c r="F670" s="10" t="n">
        <f aca="false">SUMIFS(Data!$E$2:$E$1006,Data!$A$2:$A$1006,$A670,Data!$B$2:$B$1006,$B670)</f>
        <v>16.137267</v>
      </c>
      <c r="G670" s="10" t="n">
        <f aca="false">SUMIFS(Data!$F$2:$F$1006,Data!$A$2:$A$1006,$A670,Data!$B$2:$B$1006,$B670)</f>
        <v>16.417886</v>
      </c>
      <c r="H670" s="10" t="n">
        <f aca="false">SUMIFS(Data!$G$2:$G$1006,Data!$A$2:$A$1006,$A670,Data!$B$2:$B$1006,$B670)</f>
        <v>15.517285</v>
      </c>
      <c r="I670" s="10" t="n">
        <f aca="false">SUMIFS(Data!$N$2:$N$1006,Data!$A$2:$A$1006,$A670,Data!$B$2:$B$1006,$B670)</f>
        <v>48.072438</v>
      </c>
      <c r="J670" s="10" t="n">
        <f aca="false">SUMIFS(Data!$H$2:$H$1006,Data!$A$2:$A$1006,$A670,Data!$B$2:$B$1006,$B670)</f>
        <v>49.940418</v>
      </c>
      <c r="K670" s="11" t="n">
        <f aca="false">IFERROR(F670*1000000/$E670,"")</f>
        <v>97.7246230242839</v>
      </c>
      <c r="L670" s="11" t="n">
        <f aca="false">IFERROR(G670*1000000/$E670,"")</f>
        <v>99.4240053291346</v>
      </c>
      <c r="M670" s="11" t="n">
        <f aca="false">IFERROR(H670*1000000/$E670,"")</f>
        <v>93.9701144552777</v>
      </c>
      <c r="N670" s="11" t="n">
        <f aca="false">IFERROR(I670*1000000/$E670,"")</f>
        <v>291.118742808696</v>
      </c>
      <c r="O670" s="11" t="n">
        <f aca="false">IFERROR(J670*1000000/$E670,"")</f>
        <v>302.430921092473</v>
      </c>
      <c r="P670" s="16" t="n">
        <f aca="false">COUNTIFS($A$4:$A$1008,$A670,$N$4:$N$1008,"&gt;"&amp;N670)+1</f>
        <v>22</v>
      </c>
      <c r="Q670" s="16" t="n">
        <f aca="false">COUNTIFS($A$4:$A$1008,$A670,$O$4:$O$1008,"&gt;"&amp;O670)+1</f>
        <v>9</v>
      </c>
    </row>
    <row r="671" customFormat="false" ht="15" hidden="false" customHeight="false" outlineLevel="0" collapsed="false">
      <c r="A671" s="7" t="n">
        <v>2017</v>
      </c>
      <c r="B671" s="15" t="s">
        <v>113</v>
      </c>
      <c r="C671" s="15" t="s">
        <v>102</v>
      </c>
      <c r="D671" s="15" t="s">
        <v>114</v>
      </c>
      <c r="E671" s="9" t="n">
        <f aca="false">SUMIFS(Data!$L$2:$L$1006,Data!$A$2:$A$1006,$A671,Data!$B$2:$B$1006,$B671)</f>
        <v>407172</v>
      </c>
      <c r="F671" s="10" t="n">
        <f aca="false">SUMIFS(Data!$E$2:$E$1006,Data!$A$2:$A$1006,$A671,Data!$B$2:$B$1006,$B671)</f>
        <v>31.397091</v>
      </c>
      <c r="G671" s="10" t="n">
        <f aca="false">SUMIFS(Data!$F$2:$F$1006,Data!$A$2:$A$1006,$A671,Data!$B$2:$B$1006,$B671)</f>
        <v>26.069088</v>
      </c>
      <c r="H671" s="10" t="n">
        <f aca="false">SUMIFS(Data!$G$2:$G$1006,Data!$A$2:$A$1006,$A671,Data!$B$2:$B$1006,$B671)</f>
        <v>44.882654</v>
      </c>
      <c r="I671" s="10" t="n">
        <f aca="false">SUMIFS(Data!$N$2:$N$1006,Data!$A$2:$A$1006,$A671,Data!$B$2:$B$1006,$B671)</f>
        <v>102.348833</v>
      </c>
      <c r="J671" s="10" t="n">
        <f aca="false">SUMIFS(Data!$H$2:$H$1006,Data!$A$2:$A$1006,$A671,Data!$B$2:$B$1006,$B671)</f>
        <v>72.714141</v>
      </c>
      <c r="K671" s="11" t="n">
        <f aca="false">IFERROR(F671*1000000/$E671,"")</f>
        <v>77.1101426424214</v>
      </c>
      <c r="L671" s="11" t="n">
        <f aca="false">IFERROR(G671*1000000/$E671,"")</f>
        <v>64.0247561227196</v>
      </c>
      <c r="M671" s="11" t="n">
        <f aca="false">IFERROR(H671*1000000/$E671,"")</f>
        <v>110.230207381647</v>
      </c>
      <c r="N671" s="11" t="n">
        <f aca="false">IFERROR(I671*1000000/$E671,"")</f>
        <v>251.365106146788</v>
      </c>
      <c r="O671" s="11" t="n">
        <f aca="false">IFERROR(J671*1000000/$E671,"")</f>
        <v>178.58335298105</v>
      </c>
      <c r="P671" s="16" t="n">
        <f aca="false">COUNTIFS($A$4:$A$1008,$A671,$N$4:$N$1008,"&gt;"&amp;N671)+1</f>
        <v>32</v>
      </c>
      <c r="Q671" s="16" t="n">
        <f aca="false">COUNTIFS($A$4:$A$1008,$A671,$O$4:$O$1008,"&gt;"&amp;O671)+1</f>
        <v>27</v>
      </c>
    </row>
    <row r="672" customFormat="false" ht="15" hidden="false" customHeight="false" outlineLevel="0" collapsed="false">
      <c r="A672" s="7" t="n">
        <v>2017</v>
      </c>
      <c r="B672" s="15" t="s">
        <v>115</v>
      </c>
      <c r="C672" s="15" t="s">
        <v>102</v>
      </c>
      <c r="D672" s="15" t="s">
        <v>103</v>
      </c>
      <c r="E672" s="9" t="n">
        <f aca="false">SUMIFS(Data!$L$2:$L$1006,Data!$A$2:$A$1006,$A672,Data!$B$2:$B$1006,$B672)</f>
        <v>310305</v>
      </c>
      <c r="F672" s="10" t="n">
        <f aca="false">SUMIFS(Data!$E$2:$E$1006,Data!$A$2:$A$1006,$A672,Data!$B$2:$B$1006,$B672)</f>
        <v>19.935786</v>
      </c>
      <c r="G672" s="10" t="n">
        <f aca="false">SUMIFS(Data!$F$2:$F$1006,Data!$A$2:$A$1006,$A672,Data!$B$2:$B$1006,$B672)</f>
        <v>20.534903</v>
      </c>
      <c r="H672" s="10" t="n">
        <f aca="false">SUMIFS(Data!$G$2:$G$1006,Data!$A$2:$A$1006,$A672,Data!$B$2:$B$1006,$B672)</f>
        <v>31.497855</v>
      </c>
      <c r="I672" s="10" t="n">
        <f aca="false">SUMIFS(Data!$N$2:$N$1006,Data!$A$2:$A$1006,$A672,Data!$B$2:$B$1006,$B672)</f>
        <v>71.968544</v>
      </c>
      <c r="J672" s="10" t="n">
        <f aca="false">SUMIFS(Data!$H$2:$H$1006,Data!$A$2:$A$1006,$A672,Data!$B$2:$B$1006,$B672)</f>
        <v>27.191317</v>
      </c>
      <c r="K672" s="11" t="n">
        <f aca="false">IFERROR(F672*1000000/$E672,"")</f>
        <v>64.2457775414512</v>
      </c>
      <c r="L672" s="11" t="n">
        <f aca="false">IFERROR(G672*1000000/$E672,"")</f>
        <v>66.1765134303347</v>
      </c>
      <c r="M672" s="11" t="n">
        <f aca="false">IFERROR(H672*1000000/$E672,"")</f>
        <v>101.506114951419</v>
      </c>
      <c r="N672" s="11" t="n">
        <f aca="false">IFERROR(I672*1000000/$E672,"")</f>
        <v>231.928405923205</v>
      </c>
      <c r="O672" s="11" t="n">
        <f aca="false">IFERROR(J672*1000000/$E672,"")</f>
        <v>87.627711445191</v>
      </c>
      <c r="P672" s="16" t="n">
        <f aca="false">COUNTIFS($A$4:$A$1008,$A672,$N$4:$N$1008,"&gt;"&amp;N672)+1</f>
        <v>35</v>
      </c>
      <c r="Q672" s="16" t="n">
        <f aca="false">COUNTIFS($A$4:$A$1008,$A672,$O$4:$O$1008,"&gt;"&amp;O672)+1</f>
        <v>39</v>
      </c>
    </row>
    <row r="673" customFormat="false" ht="15" hidden="false" customHeight="false" outlineLevel="0" collapsed="false">
      <c r="A673" s="7" t="n">
        <v>2017</v>
      </c>
      <c r="B673" s="15" t="s">
        <v>116</v>
      </c>
      <c r="C673" s="15" t="s">
        <v>102</v>
      </c>
      <c r="D673" s="15" t="s">
        <v>107</v>
      </c>
      <c r="E673" s="9" t="n">
        <f aca="false">SUMIFS(Data!$L$2:$L$1006,Data!$A$2:$A$1006,$A673,Data!$B$2:$B$1006,$B673)</f>
        <v>724589</v>
      </c>
      <c r="F673" s="10" t="n">
        <f aca="false">SUMIFS(Data!$E$2:$E$1006,Data!$A$2:$A$1006,$A673,Data!$B$2:$B$1006,$B673)</f>
        <v>67.502107</v>
      </c>
      <c r="G673" s="10" t="n">
        <f aca="false">SUMIFS(Data!$F$2:$F$1006,Data!$A$2:$A$1006,$A673,Data!$B$2:$B$1006,$B673)</f>
        <v>72.900611</v>
      </c>
      <c r="H673" s="10" t="n">
        <f aca="false">SUMIFS(Data!$G$2:$G$1006,Data!$A$2:$A$1006,$A673,Data!$B$2:$B$1006,$B673)</f>
        <v>40.349505</v>
      </c>
      <c r="I673" s="10" t="n">
        <f aca="false">SUMIFS(Data!$N$2:$N$1006,Data!$A$2:$A$1006,$A673,Data!$B$2:$B$1006,$B673)</f>
        <v>180.752223</v>
      </c>
      <c r="J673" s="10" t="n">
        <f aca="false">SUMIFS(Data!$H$2:$H$1006,Data!$A$2:$A$1006,$A673,Data!$B$2:$B$1006,$B673)</f>
        <v>137.615175</v>
      </c>
      <c r="K673" s="11" t="n">
        <f aca="false">IFERROR(F673*1000000/$E673,"")</f>
        <v>93.1591660927781</v>
      </c>
      <c r="L673" s="11" t="n">
        <f aca="false">IFERROR(G673*1000000/$E673,"")</f>
        <v>100.609602133071</v>
      </c>
      <c r="M673" s="11" t="n">
        <f aca="false">IFERROR(H673*1000000/$E673,"")</f>
        <v>55.686057889369</v>
      </c>
      <c r="N673" s="11" t="n">
        <f aca="false">IFERROR(I673*1000000/$E673,"")</f>
        <v>249.454826115218</v>
      </c>
      <c r="O673" s="11" t="n">
        <f aca="false">IFERROR(J673*1000000/$E673,"")</f>
        <v>189.921700439836</v>
      </c>
      <c r="P673" s="16" t="n">
        <f aca="false">COUNTIFS($A$4:$A$1008,$A673,$N$4:$N$1008,"&gt;"&amp;N673)+1</f>
        <v>33</v>
      </c>
      <c r="Q673" s="16" t="n">
        <f aca="false">COUNTIFS($A$4:$A$1008,$A673,$O$4:$O$1008,"&gt;"&amp;O673)+1</f>
        <v>26</v>
      </c>
    </row>
    <row r="674" customFormat="false" ht="15" hidden="false" customHeight="false" outlineLevel="0" collapsed="false">
      <c r="A674" s="7" t="n">
        <v>2017</v>
      </c>
      <c r="B674" s="15" t="s">
        <v>117</v>
      </c>
      <c r="C674" s="15" t="s">
        <v>118</v>
      </c>
      <c r="D674" s="15" t="s">
        <v>103</v>
      </c>
      <c r="E674" s="9" t="n">
        <f aca="false">SUMIFS(Data!$L$2:$L$1006,Data!$A$2:$A$1006,$A674,Data!$B$2:$B$1006,$B674)</f>
        <v>1472768</v>
      </c>
      <c r="F674" s="10" t="n">
        <f aca="false">SUMIFS(Data!$E$2:$E$1006,Data!$A$2:$A$1006,$A674,Data!$B$2:$B$1006,$B674)</f>
        <v>177.92899</v>
      </c>
      <c r="G674" s="10" t="n">
        <f aca="false">SUMIFS(Data!$F$2:$F$1006,Data!$A$2:$A$1006,$A674,Data!$B$2:$B$1006,$B674)</f>
        <v>123.96677</v>
      </c>
      <c r="H674" s="10" t="n">
        <f aca="false">SUMIFS(Data!$G$2:$G$1006,Data!$A$2:$A$1006,$A674,Data!$B$2:$B$1006,$B674)</f>
        <v>119.759386</v>
      </c>
      <c r="I674" s="10" t="n">
        <f aca="false">SUMIFS(Data!$N$2:$N$1006,Data!$A$2:$A$1006,$A674,Data!$B$2:$B$1006,$B674)</f>
        <v>421.655146</v>
      </c>
      <c r="J674" s="10" t="n">
        <f aca="false">SUMIFS(Data!$H$2:$H$1006,Data!$A$2:$A$1006,$A674,Data!$B$2:$B$1006,$B674)</f>
        <v>224.80352</v>
      </c>
      <c r="K674" s="11" t="n">
        <f aca="false">IFERROR(F674*1000000/$E674,"")</f>
        <v>120.812639872675</v>
      </c>
      <c r="L674" s="11" t="n">
        <f aca="false">IFERROR(G674*1000000/$E674,"")</f>
        <v>84.1726395467582</v>
      </c>
      <c r="M674" s="11" t="n">
        <f aca="false">IFERROR(H674*1000000/$E674,"")</f>
        <v>81.3158528702416</v>
      </c>
      <c r="N674" s="11" t="n">
        <f aca="false">IFERROR(I674*1000000/$E674,"")</f>
        <v>286.301132289675</v>
      </c>
      <c r="O674" s="11" t="n">
        <f aca="false">IFERROR(J674*1000000/$E674,"")</f>
        <v>152.640144272553</v>
      </c>
      <c r="P674" s="16" t="n">
        <f aca="false">COUNTIFS($A$4:$A$1008,$A674,$N$4:$N$1008,"&gt;"&amp;N674)+1</f>
        <v>24</v>
      </c>
      <c r="Q674" s="16" t="n">
        <f aca="false">COUNTIFS($A$4:$A$1008,$A674,$O$4:$O$1008,"&gt;"&amp;O674)+1</f>
        <v>31</v>
      </c>
    </row>
    <row r="675" customFormat="false" ht="15" hidden="false" customHeight="false" outlineLevel="0" collapsed="false">
      <c r="A675" s="7" t="n">
        <v>2017</v>
      </c>
      <c r="B675" s="15" t="s">
        <v>119</v>
      </c>
      <c r="C675" s="15" t="s">
        <v>118</v>
      </c>
      <c r="D675" s="15" t="s">
        <v>103</v>
      </c>
      <c r="E675" s="9" t="n">
        <f aca="false">SUMIFS(Data!$L$2:$L$1006,Data!$A$2:$A$1006,$A675,Data!$B$2:$B$1006,$B675)</f>
        <v>520023</v>
      </c>
      <c r="F675" s="10" t="n">
        <f aca="false">SUMIFS(Data!$E$2:$E$1006,Data!$A$2:$A$1006,$A675,Data!$B$2:$B$1006,$B675)</f>
        <v>34.572914</v>
      </c>
      <c r="G675" s="10" t="n">
        <f aca="false">SUMIFS(Data!$F$2:$F$1006,Data!$A$2:$A$1006,$A675,Data!$B$2:$B$1006,$B675)</f>
        <v>57.709544</v>
      </c>
      <c r="H675" s="10" t="n">
        <f aca="false">SUMIFS(Data!$G$2:$G$1006,Data!$A$2:$A$1006,$A675,Data!$B$2:$B$1006,$B675)</f>
        <v>58.811021</v>
      </c>
      <c r="I675" s="10" t="n">
        <f aca="false">SUMIFS(Data!$N$2:$N$1006,Data!$A$2:$A$1006,$A675,Data!$B$2:$B$1006,$B675)</f>
        <v>151.093479</v>
      </c>
      <c r="J675" s="10" t="n">
        <f aca="false">SUMIFS(Data!$H$2:$H$1006,Data!$A$2:$A$1006,$A675,Data!$B$2:$B$1006,$B675)</f>
        <v>69.271131</v>
      </c>
      <c r="K675" s="11" t="n">
        <f aca="false">IFERROR(F675*1000000/$E675,"")</f>
        <v>66.4834324635641</v>
      </c>
      <c r="L675" s="11" t="n">
        <f aca="false">IFERROR(G675*1000000/$E675,"")</f>
        <v>110.974983798794</v>
      </c>
      <c r="M675" s="11" t="n">
        <f aca="false">IFERROR(H675*1000000/$E675,"")</f>
        <v>113.093115112216</v>
      </c>
      <c r="N675" s="11" t="n">
        <f aca="false">IFERROR(I675*1000000/$E675,"")</f>
        <v>290.551531374574</v>
      </c>
      <c r="O675" s="11" t="n">
        <f aca="false">IFERROR(J675*1000000/$E675,"")</f>
        <v>133.207821577123</v>
      </c>
      <c r="P675" s="16" t="n">
        <f aca="false">COUNTIFS($A$4:$A$1008,$A675,$N$4:$N$1008,"&gt;"&amp;N675)+1</f>
        <v>23</v>
      </c>
      <c r="Q675" s="16" t="n">
        <f aca="false">COUNTIFS($A$4:$A$1008,$A675,$O$4:$O$1008,"&gt;"&amp;O675)+1</f>
        <v>35</v>
      </c>
    </row>
    <row r="676" customFormat="false" ht="15" hidden="false" customHeight="false" outlineLevel="0" collapsed="false">
      <c r="A676" s="7" t="n">
        <v>2017</v>
      </c>
      <c r="B676" s="15" t="s">
        <v>120</v>
      </c>
      <c r="C676" s="15" t="s">
        <v>118</v>
      </c>
      <c r="D676" s="15" t="s">
        <v>121</v>
      </c>
      <c r="E676" s="9" t="n">
        <f aca="false">SUMIFS(Data!$L$2:$L$1006,Data!$A$2:$A$1006,$A676,Data!$B$2:$B$1006,$B676)</f>
        <v>955861</v>
      </c>
      <c r="F676" s="10" t="n">
        <f aca="false">SUMIFS(Data!$E$2:$E$1006,Data!$A$2:$A$1006,$A676,Data!$B$2:$B$1006,$B676)</f>
        <v>148.297623</v>
      </c>
      <c r="G676" s="10" t="n">
        <f aca="false">SUMIFS(Data!$F$2:$F$1006,Data!$A$2:$A$1006,$A676,Data!$B$2:$B$1006,$B676)</f>
        <v>57.726434</v>
      </c>
      <c r="H676" s="10" t="n">
        <f aca="false">SUMIFS(Data!$G$2:$G$1006,Data!$A$2:$A$1006,$A676,Data!$B$2:$B$1006,$B676)</f>
        <v>136.176533</v>
      </c>
      <c r="I676" s="10" t="n">
        <f aca="false">SUMIFS(Data!$N$2:$N$1006,Data!$A$2:$A$1006,$A676,Data!$B$2:$B$1006,$B676)</f>
        <v>342.20059</v>
      </c>
      <c r="J676" s="10" t="n">
        <f aca="false">SUMIFS(Data!$H$2:$H$1006,Data!$A$2:$A$1006,$A676,Data!$B$2:$B$1006,$B676)</f>
        <v>238.726925</v>
      </c>
      <c r="K676" s="11" t="n">
        <f aca="false">IFERROR(F676*1000000/$E676,"")</f>
        <v>155.145594390816</v>
      </c>
      <c r="L676" s="11" t="n">
        <f aca="false">IFERROR(G676*1000000/$E676,"")</f>
        <v>60.3920800200029</v>
      </c>
      <c r="M676" s="11" t="n">
        <f aca="false">IFERROR(H676*1000000/$E676,"")</f>
        <v>142.464786197993</v>
      </c>
      <c r="N676" s="11" t="n">
        <f aca="false">IFERROR(I676*1000000/$E676,"")</f>
        <v>358.002460608812</v>
      </c>
      <c r="O676" s="11" t="n">
        <f aca="false">IFERROR(J676*1000000/$E676,"")</f>
        <v>249.750669814963</v>
      </c>
      <c r="P676" s="16" t="n">
        <f aca="false">COUNTIFS($A$4:$A$1008,$A676,$N$4:$N$1008,"&gt;"&amp;N676)+1</f>
        <v>8</v>
      </c>
      <c r="Q676" s="16" t="n">
        <f aca="false">COUNTIFS($A$4:$A$1008,$A676,$O$4:$O$1008,"&gt;"&amp;O676)+1</f>
        <v>16</v>
      </c>
    </row>
    <row r="677" customFormat="false" ht="15" hidden="false" customHeight="false" outlineLevel="0" collapsed="false">
      <c r="A677" s="7" t="n">
        <v>2017</v>
      </c>
      <c r="B677" s="15" t="s">
        <v>122</v>
      </c>
      <c r="C677" s="15" t="s">
        <v>118</v>
      </c>
      <c r="D677" s="15" t="s">
        <v>105</v>
      </c>
      <c r="E677" s="9" t="n">
        <f aca="false">SUMIFS(Data!$L$2:$L$1006,Data!$A$2:$A$1006,$A677,Data!$B$2:$B$1006,$B677)</f>
        <v>551332</v>
      </c>
      <c r="F677" s="10" t="n">
        <f aca="false">SUMIFS(Data!$E$2:$E$1006,Data!$A$2:$A$1006,$A677,Data!$B$2:$B$1006,$B677)</f>
        <v>91.244974</v>
      </c>
      <c r="G677" s="10" t="n">
        <f aca="false">SUMIFS(Data!$F$2:$F$1006,Data!$A$2:$A$1006,$A677,Data!$B$2:$B$1006,$B677)</f>
        <v>100.967056</v>
      </c>
      <c r="H677" s="10" t="n">
        <f aca="false">SUMIFS(Data!$G$2:$G$1006,Data!$A$2:$A$1006,$A677,Data!$B$2:$B$1006,$B677)</f>
        <v>52.210549</v>
      </c>
      <c r="I677" s="10" t="n">
        <f aca="false">SUMIFS(Data!$N$2:$N$1006,Data!$A$2:$A$1006,$A677,Data!$B$2:$B$1006,$B677)</f>
        <v>244.422579</v>
      </c>
      <c r="J677" s="10" t="n">
        <f aca="false">SUMIFS(Data!$H$2:$H$1006,Data!$A$2:$A$1006,$A677,Data!$B$2:$B$1006,$B677)</f>
        <v>129.933047</v>
      </c>
      <c r="K677" s="11" t="n">
        <f aca="false">IFERROR(F677*1000000/$E677,"")</f>
        <v>165.499143891521</v>
      </c>
      <c r="L677" s="11" t="n">
        <f aca="false">IFERROR(G677*1000000/$E677,"")</f>
        <v>183.132950744742</v>
      </c>
      <c r="M677" s="11" t="n">
        <f aca="false">IFERROR(H677*1000000/$E677,"")</f>
        <v>94.6989273250963</v>
      </c>
      <c r="N677" s="11" t="n">
        <f aca="false">IFERROR(I677*1000000/$E677,"")</f>
        <v>443.331021961359</v>
      </c>
      <c r="O677" s="11" t="n">
        <f aca="false">IFERROR(J677*1000000/$E677,"")</f>
        <v>235.671150958043</v>
      </c>
      <c r="P677" s="16" t="n">
        <f aca="false">COUNTIFS($A$4:$A$1008,$A677,$N$4:$N$1008,"&gt;"&amp;N677)+1</f>
        <v>2</v>
      </c>
      <c r="Q677" s="16" t="n">
        <f aca="false">COUNTIFS($A$4:$A$1008,$A677,$O$4:$O$1008,"&gt;"&amp;O677)+1</f>
        <v>21</v>
      </c>
    </row>
    <row r="678" customFormat="false" ht="15" hidden="false" customHeight="false" outlineLevel="0" collapsed="false">
      <c r="A678" s="7" t="n">
        <v>2017</v>
      </c>
      <c r="B678" s="15" t="s">
        <v>123</v>
      </c>
      <c r="C678" s="15" t="s">
        <v>118</v>
      </c>
      <c r="D678" s="15" t="s">
        <v>124</v>
      </c>
      <c r="E678" s="9" t="n">
        <f aca="false">SUMIFS(Data!$L$2:$L$1006,Data!$A$2:$A$1006,$A678,Data!$B$2:$B$1006,$B678)</f>
        <v>1281044</v>
      </c>
      <c r="F678" s="10" t="n">
        <f aca="false">SUMIFS(Data!$E$2:$E$1006,Data!$A$2:$A$1006,$A678,Data!$B$2:$B$1006,$B678)</f>
        <v>199.723129</v>
      </c>
      <c r="G678" s="10" t="n">
        <f aca="false">SUMIFS(Data!$F$2:$F$1006,Data!$A$2:$A$1006,$A678,Data!$B$2:$B$1006,$B678)</f>
        <v>57.425955</v>
      </c>
      <c r="H678" s="10" t="n">
        <f aca="false">SUMIFS(Data!$G$2:$G$1006,Data!$A$2:$A$1006,$A678,Data!$B$2:$B$1006,$B678)</f>
        <v>139.174758</v>
      </c>
      <c r="I678" s="10" t="n">
        <f aca="false">SUMIFS(Data!$N$2:$N$1006,Data!$A$2:$A$1006,$A678,Data!$B$2:$B$1006,$B678)</f>
        <v>396.323842</v>
      </c>
      <c r="J678" s="10" t="n">
        <f aca="false">SUMIFS(Data!$H$2:$H$1006,Data!$A$2:$A$1006,$A678,Data!$B$2:$B$1006,$B678)</f>
        <v>196.634868</v>
      </c>
      <c r="K678" s="11" t="n">
        <f aca="false">IFERROR(F678*1000000/$E678,"")</f>
        <v>155.906533265056</v>
      </c>
      <c r="L678" s="11" t="n">
        <f aca="false">IFERROR(G678*1000000/$E678,"")</f>
        <v>44.8274649426562</v>
      </c>
      <c r="M678" s="11" t="n">
        <f aca="false">IFERROR(H678*1000000/$E678,"")</f>
        <v>108.641668826364</v>
      </c>
      <c r="N678" s="11" t="n">
        <f aca="false">IFERROR(I678*1000000/$E678,"")</f>
        <v>309.375667034075</v>
      </c>
      <c r="O678" s="11" t="n">
        <f aca="false">IFERROR(J678*1000000/$E678,"")</f>
        <v>153.4957956167</v>
      </c>
      <c r="P678" s="16" t="n">
        <f aca="false">COUNTIFS($A$4:$A$1008,$A678,$N$4:$N$1008,"&gt;"&amp;N678)+1</f>
        <v>17</v>
      </c>
      <c r="Q678" s="16" t="n">
        <f aca="false">COUNTIFS($A$4:$A$1008,$A678,$O$4:$O$1008,"&gt;"&amp;O678)+1</f>
        <v>30</v>
      </c>
    </row>
    <row r="679" customFormat="false" ht="15" hidden="false" customHeight="false" outlineLevel="0" collapsed="false">
      <c r="A679" s="7" t="n">
        <v>2017</v>
      </c>
      <c r="B679" s="15" t="s">
        <v>125</v>
      </c>
      <c r="C679" s="15" t="s">
        <v>118</v>
      </c>
      <c r="D679" s="15" t="s">
        <v>126</v>
      </c>
      <c r="E679" s="9" t="n">
        <f aca="false">SUMIFS(Data!$L$2:$L$1006,Data!$A$2:$A$1006,$A679,Data!$B$2:$B$1006,$B679)</f>
        <v>520657</v>
      </c>
      <c r="F679" s="10" t="n">
        <f aca="false">SUMIFS(Data!$E$2:$E$1006,Data!$A$2:$A$1006,$A679,Data!$B$2:$B$1006,$B679)</f>
        <v>84.76521</v>
      </c>
      <c r="G679" s="10" t="n">
        <f aca="false">SUMIFS(Data!$F$2:$F$1006,Data!$A$2:$A$1006,$A679,Data!$B$2:$B$1006,$B679)</f>
        <v>62.560053</v>
      </c>
      <c r="H679" s="10" t="n">
        <f aca="false">SUMIFS(Data!$G$2:$G$1006,Data!$A$2:$A$1006,$A679,Data!$B$2:$B$1006,$B679)</f>
        <v>62.765482</v>
      </c>
      <c r="I679" s="10" t="n">
        <f aca="false">SUMIFS(Data!$N$2:$N$1006,Data!$A$2:$A$1006,$A679,Data!$B$2:$B$1006,$B679)</f>
        <v>210.090745</v>
      </c>
      <c r="J679" s="10" t="n">
        <f aca="false">SUMIFS(Data!$H$2:$H$1006,Data!$A$2:$A$1006,$A679,Data!$B$2:$B$1006,$B679)</f>
        <v>142.450288</v>
      </c>
      <c r="K679" s="11" t="n">
        <f aca="false">IFERROR(F679*1000000/$E679,"")</f>
        <v>162.804322231335</v>
      </c>
      <c r="L679" s="11" t="n">
        <f aca="false">IFERROR(G679*1000000/$E679,"")</f>
        <v>120.155981769188</v>
      </c>
      <c r="M679" s="11" t="n">
        <f aca="false">IFERROR(H679*1000000/$E679,"")</f>
        <v>120.550539030494</v>
      </c>
      <c r="N679" s="11" t="n">
        <f aca="false">IFERROR(I679*1000000/$E679,"")</f>
        <v>403.510843031017</v>
      </c>
      <c r="O679" s="11" t="n">
        <f aca="false">IFERROR(J679*1000000/$E679,"")</f>
        <v>273.597182021945</v>
      </c>
      <c r="P679" s="16" t="n">
        <f aca="false">COUNTIFS($A$4:$A$1008,$A679,$N$4:$N$1008,"&gt;"&amp;N679)+1</f>
        <v>5</v>
      </c>
      <c r="Q679" s="16" t="n">
        <f aca="false">COUNTIFS($A$4:$A$1008,$A679,$O$4:$O$1008,"&gt;"&amp;O679)+1</f>
        <v>13</v>
      </c>
    </row>
    <row r="680" customFormat="false" ht="15" hidden="false" customHeight="false" outlineLevel="0" collapsed="false">
      <c r="A680" s="7" t="n">
        <v>2017</v>
      </c>
      <c r="B680" s="15" t="s">
        <v>127</v>
      </c>
      <c r="C680" s="15" t="s">
        <v>118</v>
      </c>
      <c r="D680" s="15" t="s">
        <v>103</v>
      </c>
      <c r="E680" s="9" t="n">
        <f aca="false">SUMIFS(Data!$L$2:$L$1006,Data!$A$2:$A$1006,$A680,Data!$B$2:$B$1006,$B680)</f>
        <v>712328</v>
      </c>
      <c r="F680" s="10" t="n">
        <f aca="false">SUMIFS(Data!$E$2:$E$1006,Data!$A$2:$A$1006,$A680,Data!$B$2:$B$1006,$B680)</f>
        <v>94.32997</v>
      </c>
      <c r="G680" s="10" t="n">
        <f aca="false">SUMIFS(Data!$F$2:$F$1006,Data!$A$2:$A$1006,$A680,Data!$B$2:$B$1006,$B680)</f>
        <v>25.057455</v>
      </c>
      <c r="H680" s="10" t="n">
        <f aca="false">SUMIFS(Data!$G$2:$G$1006,Data!$A$2:$A$1006,$A680,Data!$B$2:$B$1006,$B680)</f>
        <v>67.499844</v>
      </c>
      <c r="I680" s="10" t="n">
        <f aca="false">SUMIFS(Data!$N$2:$N$1006,Data!$A$2:$A$1006,$A680,Data!$B$2:$B$1006,$B680)</f>
        <v>186.887269</v>
      </c>
      <c r="J680" s="10" t="n">
        <f aca="false">SUMIFS(Data!$H$2:$H$1006,Data!$A$2:$A$1006,$A680,Data!$B$2:$B$1006,$B680)</f>
        <v>205.811462</v>
      </c>
      <c r="K680" s="11" t="n">
        <f aca="false">IFERROR(F680*1000000/$E680,"")</f>
        <v>132.424908188363</v>
      </c>
      <c r="L680" s="11" t="n">
        <f aca="false">IFERROR(G680*1000000/$E680,"")</f>
        <v>35.1768497096843</v>
      </c>
      <c r="M680" s="11" t="n">
        <f aca="false">IFERROR(H680*1000000/$E680,"")</f>
        <v>94.759498433306</v>
      </c>
      <c r="N680" s="11" t="n">
        <f aca="false">IFERROR(I680*1000000/$E680,"")</f>
        <v>262.361256331353</v>
      </c>
      <c r="O680" s="11" t="n">
        <f aca="false">IFERROR(J680*1000000/$E680,"")</f>
        <v>288.927940499321</v>
      </c>
      <c r="P680" s="16" t="n">
        <f aca="false">COUNTIFS($A$4:$A$1008,$A680,$N$4:$N$1008,"&gt;"&amp;N680)+1</f>
        <v>28</v>
      </c>
      <c r="Q680" s="16" t="n">
        <f aca="false">COUNTIFS($A$4:$A$1008,$A680,$O$4:$O$1008,"&gt;"&amp;O680)+1</f>
        <v>11</v>
      </c>
    </row>
    <row r="681" customFormat="false" ht="15" hidden="false" customHeight="false" outlineLevel="0" collapsed="false">
      <c r="A681" s="7" t="n">
        <v>2017</v>
      </c>
      <c r="B681" s="15" t="s">
        <v>128</v>
      </c>
      <c r="C681" s="15" t="s">
        <v>118</v>
      </c>
      <c r="D681" s="15" t="s">
        <v>107</v>
      </c>
      <c r="E681" s="9" t="n">
        <f aca="false">SUMIFS(Data!$L$2:$L$1006,Data!$A$2:$A$1006,$A681,Data!$B$2:$B$1006,$B681)</f>
        <v>594106</v>
      </c>
      <c r="F681" s="10" t="n">
        <f aca="false">SUMIFS(Data!$E$2:$E$1006,Data!$A$2:$A$1006,$A681,Data!$B$2:$B$1006,$B681)</f>
        <v>41.523391</v>
      </c>
      <c r="G681" s="10" t="n">
        <f aca="false">SUMIFS(Data!$F$2:$F$1006,Data!$A$2:$A$1006,$A681,Data!$B$2:$B$1006,$B681)</f>
        <v>63.374153</v>
      </c>
      <c r="H681" s="10" t="n">
        <f aca="false">SUMIFS(Data!$G$2:$G$1006,Data!$A$2:$A$1006,$A681,Data!$B$2:$B$1006,$B681)</f>
        <v>70.699694</v>
      </c>
      <c r="I681" s="10" t="n">
        <f aca="false">SUMIFS(Data!$N$2:$N$1006,Data!$A$2:$A$1006,$A681,Data!$B$2:$B$1006,$B681)</f>
        <v>175.597238</v>
      </c>
      <c r="J681" s="10" t="n">
        <f aca="false">SUMIFS(Data!$H$2:$H$1006,Data!$A$2:$A$1006,$A681,Data!$B$2:$B$1006,$B681)</f>
        <v>166.433779</v>
      </c>
      <c r="K681" s="11" t="n">
        <f aca="false">IFERROR(F681*1000000/$E681,"")</f>
        <v>69.8922263030503</v>
      </c>
      <c r="L681" s="11" t="n">
        <f aca="false">IFERROR(G681*1000000/$E681,"")</f>
        <v>106.671457618674</v>
      </c>
      <c r="M681" s="11" t="n">
        <f aca="false">IFERROR(H681*1000000/$E681,"")</f>
        <v>119.001817857419</v>
      </c>
      <c r="N681" s="11" t="n">
        <f aca="false">IFERROR(I681*1000000/$E681,"")</f>
        <v>295.565501779144</v>
      </c>
      <c r="O681" s="11" t="n">
        <f aca="false">IFERROR(J681*1000000/$E681,"")</f>
        <v>280.141555547327</v>
      </c>
      <c r="P681" s="16" t="n">
        <f aca="false">COUNTIFS($A$4:$A$1008,$A681,$N$4:$N$1008,"&gt;"&amp;N681)+1</f>
        <v>20</v>
      </c>
      <c r="Q681" s="16" t="n">
        <f aca="false">COUNTIFS($A$4:$A$1008,$A681,$O$4:$O$1008,"&gt;"&amp;O681)+1</f>
        <v>12</v>
      </c>
    </row>
    <row r="682" customFormat="false" ht="15" hidden="false" customHeight="false" outlineLevel="0" collapsed="false">
      <c r="A682" s="7" t="n">
        <v>2017</v>
      </c>
      <c r="B682" s="15" t="s">
        <v>129</v>
      </c>
      <c r="C682" s="15" t="s">
        <v>118</v>
      </c>
      <c r="D682" s="15" t="s">
        <v>107</v>
      </c>
      <c r="E682" s="9" t="n">
        <f aca="false">SUMIFS(Data!$L$2:$L$1006,Data!$A$2:$A$1006,$A682,Data!$B$2:$B$1006,$B682)</f>
        <v>1626898</v>
      </c>
      <c r="F682" s="10" t="n">
        <f aca="false">SUMIFS(Data!$E$2:$E$1006,Data!$A$2:$A$1006,$A682,Data!$B$2:$B$1006,$B682)</f>
        <v>262.334828</v>
      </c>
      <c r="G682" s="10" t="n">
        <f aca="false">SUMIFS(Data!$F$2:$F$1006,Data!$A$2:$A$1006,$A682,Data!$B$2:$B$1006,$B682)</f>
        <v>166.316921</v>
      </c>
      <c r="H682" s="10" t="n">
        <f aca="false">SUMIFS(Data!$G$2:$G$1006,Data!$A$2:$A$1006,$A682,Data!$B$2:$B$1006,$B682)</f>
        <v>127.346289</v>
      </c>
      <c r="I682" s="10" t="n">
        <f aca="false">SUMIFS(Data!$N$2:$N$1006,Data!$A$2:$A$1006,$A682,Data!$B$2:$B$1006,$B682)</f>
        <v>555.998038</v>
      </c>
      <c r="J682" s="10" t="n">
        <f aca="false">SUMIFS(Data!$H$2:$H$1006,Data!$A$2:$A$1006,$A682,Data!$B$2:$B$1006,$B682)</f>
        <v>281.031703</v>
      </c>
      <c r="K682" s="11" t="n">
        <f aca="false">IFERROR(F682*1000000/$E682,"")</f>
        <v>161.248479007289</v>
      </c>
      <c r="L682" s="11" t="n">
        <f aca="false">IFERROR(G682*1000000/$E682,"")</f>
        <v>102.229470440064</v>
      </c>
      <c r="M682" s="11" t="n">
        <f aca="false">IFERROR(H682*1000000/$E682,"")</f>
        <v>78.275521268082</v>
      </c>
      <c r="N682" s="11" t="n">
        <f aca="false">IFERROR(I682*1000000/$E682,"")</f>
        <v>341.753470715435</v>
      </c>
      <c r="O682" s="11" t="n">
        <f aca="false">IFERROR(J682*1000000/$E682,"")</f>
        <v>172.740825177731</v>
      </c>
      <c r="P682" s="16" t="n">
        <f aca="false">COUNTIFS($A$4:$A$1008,$A682,$N$4:$N$1008,"&gt;"&amp;N682)+1</f>
        <v>9</v>
      </c>
      <c r="Q682" s="16" t="n">
        <f aca="false">COUNTIFS($A$4:$A$1008,$A682,$O$4:$O$1008,"&gt;"&amp;O682)+1</f>
        <v>29</v>
      </c>
    </row>
    <row r="683" customFormat="false" ht="15" hidden="false" customHeight="false" outlineLevel="0" collapsed="false">
      <c r="A683" s="7" t="n">
        <v>2017</v>
      </c>
      <c r="B683" s="15" t="s">
        <v>130</v>
      </c>
      <c r="C683" s="15" t="s">
        <v>118</v>
      </c>
      <c r="D683" s="15" t="s">
        <v>107</v>
      </c>
      <c r="E683" s="9" t="n">
        <f aca="false">SUMIFS(Data!$L$2:$L$1006,Data!$A$2:$A$1006,$A683,Data!$B$2:$B$1006,$B683)</f>
        <v>1429090</v>
      </c>
      <c r="F683" s="10" t="n">
        <f aca="false">SUMIFS(Data!$E$2:$E$1006,Data!$A$2:$A$1006,$A683,Data!$B$2:$B$1006,$B683)</f>
        <v>156.584694</v>
      </c>
      <c r="G683" s="10" t="n">
        <f aca="false">SUMIFS(Data!$F$2:$F$1006,Data!$A$2:$A$1006,$A683,Data!$B$2:$B$1006,$B683)</f>
        <v>168.959078</v>
      </c>
      <c r="H683" s="10" t="n">
        <f aca="false">SUMIFS(Data!$G$2:$G$1006,Data!$A$2:$A$1006,$A683,Data!$B$2:$B$1006,$B683)</f>
        <v>141.217251</v>
      </c>
      <c r="I683" s="10" t="n">
        <f aca="false">SUMIFS(Data!$N$2:$N$1006,Data!$A$2:$A$1006,$A683,Data!$B$2:$B$1006,$B683)</f>
        <v>466.761023</v>
      </c>
      <c r="J683" s="10" t="n">
        <f aca="false">SUMIFS(Data!$H$2:$H$1006,Data!$A$2:$A$1006,$A683,Data!$B$2:$B$1006,$B683)</f>
        <v>426.951014</v>
      </c>
      <c r="K683" s="11" t="n">
        <f aca="false">IFERROR(F683*1000000/$E683,"")</f>
        <v>109.56951206712</v>
      </c>
      <c r="L683" s="11" t="n">
        <f aca="false">IFERROR(G683*1000000/$E683,"")</f>
        <v>118.228437677123</v>
      </c>
      <c r="M683" s="11" t="n">
        <f aca="false">IFERROR(H683*1000000/$E683,"")</f>
        <v>98.8162054174335</v>
      </c>
      <c r="N683" s="11" t="n">
        <f aca="false">IFERROR(I683*1000000/$E683,"")</f>
        <v>326.614155161676</v>
      </c>
      <c r="O683" s="11" t="n">
        <f aca="false">IFERROR(J683*1000000/$E683,"")</f>
        <v>298.757260914288</v>
      </c>
      <c r="P683" s="16" t="n">
        <f aca="false">COUNTIFS($A$4:$A$1008,$A683,$N$4:$N$1008,"&gt;"&amp;N683)+1</f>
        <v>13</v>
      </c>
      <c r="Q683" s="16" t="n">
        <f aca="false">COUNTIFS($A$4:$A$1008,$A683,$O$4:$O$1008,"&gt;"&amp;O683)+1</f>
        <v>10</v>
      </c>
    </row>
    <row r="684" customFormat="false" ht="15" hidden="false" customHeight="false" outlineLevel="0" collapsed="false">
      <c r="A684" s="7" t="n">
        <v>2017</v>
      </c>
      <c r="B684" s="15" t="s">
        <v>131</v>
      </c>
      <c r="C684" s="15" t="s">
        <v>118</v>
      </c>
      <c r="D684" s="15" t="s">
        <v>132</v>
      </c>
      <c r="E684" s="9" t="n">
        <f aca="false">SUMIFS(Data!$L$2:$L$1006,Data!$A$2:$A$1006,$A684,Data!$B$2:$B$1006,$B684)</f>
        <v>862921</v>
      </c>
      <c r="F684" s="10" t="n">
        <f aca="false">SUMIFS(Data!$E$2:$E$1006,Data!$A$2:$A$1006,$A684,Data!$B$2:$B$1006,$B684)</f>
        <v>155.656644</v>
      </c>
      <c r="G684" s="10" t="n">
        <f aca="false">SUMIFS(Data!$F$2:$F$1006,Data!$A$2:$A$1006,$A684,Data!$B$2:$B$1006,$B684)</f>
        <v>98.707501</v>
      </c>
      <c r="H684" s="10" t="n">
        <f aca="false">SUMIFS(Data!$G$2:$G$1006,Data!$A$2:$A$1006,$A684,Data!$B$2:$B$1006,$B684)</f>
        <v>160.439203</v>
      </c>
      <c r="I684" s="10" t="n">
        <f aca="false">SUMIFS(Data!$N$2:$N$1006,Data!$A$2:$A$1006,$A684,Data!$B$2:$B$1006,$B684)</f>
        <v>414.803348</v>
      </c>
      <c r="J684" s="10" t="n">
        <f aca="false">SUMIFS(Data!$H$2:$H$1006,Data!$A$2:$A$1006,$A684,Data!$B$2:$B$1006,$B684)</f>
        <v>434.471263</v>
      </c>
      <c r="K684" s="11" t="n">
        <f aca="false">IFERROR(F684*1000000/$E684,"")</f>
        <v>180.383423279767</v>
      </c>
      <c r="L684" s="11" t="n">
        <f aca="false">IFERROR(G684*1000000/$E684,"")</f>
        <v>114.3876449872</v>
      </c>
      <c r="M684" s="11" t="n">
        <f aca="false">IFERROR(H684*1000000/$E684,"")</f>
        <v>185.925713941369</v>
      </c>
      <c r="N684" s="11" t="n">
        <f aca="false">IFERROR(I684*1000000/$E684,"")</f>
        <v>480.696782208337</v>
      </c>
      <c r="O684" s="11" t="n">
        <f aca="false">IFERROR(J684*1000000/$E684,"")</f>
        <v>503.489036655731</v>
      </c>
      <c r="P684" s="16" t="n">
        <f aca="false">COUNTIFS($A$4:$A$1008,$A684,$N$4:$N$1008,"&gt;"&amp;N684)+1</f>
        <v>1</v>
      </c>
      <c r="Q684" s="16" t="n">
        <f aca="false">COUNTIFS($A$4:$A$1008,$A684,$O$4:$O$1008,"&gt;"&amp;O684)+1</f>
        <v>2</v>
      </c>
    </row>
    <row r="685" customFormat="false" ht="15" hidden="false" customHeight="false" outlineLevel="0" collapsed="false">
      <c r="A685" s="7" t="n">
        <v>2017</v>
      </c>
      <c r="B685" s="15" t="s">
        <v>133</v>
      </c>
      <c r="C685" s="15" t="s">
        <v>118</v>
      </c>
      <c r="D685" s="15" t="s">
        <v>105</v>
      </c>
      <c r="E685" s="9" t="n">
        <f aca="false">SUMIFS(Data!$L$2:$L$1006,Data!$A$2:$A$1006,$A685,Data!$B$2:$B$1006,$B685)</f>
        <v>2243761</v>
      </c>
      <c r="F685" s="10" t="n">
        <f aca="false">SUMIFS(Data!$E$2:$E$1006,Data!$A$2:$A$1006,$A685,Data!$B$2:$B$1006,$B685)</f>
        <v>169.334213</v>
      </c>
      <c r="G685" s="10" t="n">
        <f aca="false">SUMIFS(Data!$F$2:$F$1006,Data!$A$2:$A$1006,$A685,Data!$B$2:$B$1006,$B685)</f>
        <v>362.677648</v>
      </c>
      <c r="H685" s="10" t="n">
        <f aca="false">SUMIFS(Data!$G$2:$G$1006,Data!$A$2:$A$1006,$A685,Data!$B$2:$B$1006,$B685)</f>
        <v>205.881323</v>
      </c>
      <c r="I685" s="10" t="n">
        <f aca="false">SUMIFS(Data!$N$2:$N$1006,Data!$A$2:$A$1006,$A685,Data!$B$2:$B$1006,$B685)</f>
        <v>737.893184</v>
      </c>
      <c r="J685" s="10" t="n">
        <f aca="false">SUMIFS(Data!$H$2:$H$1006,Data!$A$2:$A$1006,$A685,Data!$B$2:$B$1006,$B685)</f>
        <v>558.015867</v>
      </c>
      <c r="K685" s="11" t="n">
        <f aca="false">IFERROR(F685*1000000/$E685,"")</f>
        <v>75.4689171440274</v>
      </c>
      <c r="L685" s="11" t="n">
        <f aca="false">IFERROR(G685*1000000/$E685,"")</f>
        <v>161.63827074274</v>
      </c>
      <c r="M685" s="11" t="n">
        <f aca="false">IFERROR(H685*1000000/$E685,"")</f>
        <v>91.7572428614278</v>
      </c>
      <c r="N685" s="11" t="n">
        <f aca="false">IFERROR(I685*1000000/$E685,"")</f>
        <v>328.864430748195</v>
      </c>
      <c r="O685" s="11" t="n">
        <f aca="false">IFERROR(J685*1000000/$E685,"")</f>
        <v>248.696660205788</v>
      </c>
      <c r="P685" s="16" t="n">
        <f aca="false">COUNTIFS($A$4:$A$1008,$A685,$N$4:$N$1008,"&gt;"&amp;N685)+1</f>
        <v>12</v>
      </c>
      <c r="Q685" s="16" t="n">
        <f aca="false">COUNTIFS($A$4:$A$1008,$A685,$O$4:$O$1008,"&gt;"&amp;O685)+1</f>
        <v>17</v>
      </c>
    </row>
    <row r="686" customFormat="false" ht="15" hidden="false" customHeight="false" outlineLevel="0" collapsed="false">
      <c r="A686" s="7" t="n">
        <v>2017</v>
      </c>
      <c r="B686" s="15" t="s">
        <v>134</v>
      </c>
      <c r="C686" s="15" t="s">
        <v>135</v>
      </c>
      <c r="D686" s="15" t="s">
        <v>136</v>
      </c>
      <c r="E686" s="9" t="n">
        <f aca="false">SUMIFS(Data!$L$2:$L$1006,Data!$A$2:$A$1006,$A686,Data!$B$2:$B$1006,$B686)</f>
        <v>146353</v>
      </c>
      <c r="F686" s="10" t="n">
        <f aca="false">SUMIFS(Data!$E$2:$E$1006,Data!$A$2:$A$1006,$A686,Data!$B$2:$B$1006,$B686)</f>
        <v>25.592864</v>
      </c>
      <c r="G686" s="10" t="n">
        <f aca="false">SUMIFS(Data!$F$2:$F$1006,Data!$A$2:$A$1006,$A686,Data!$B$2:$B$1006,$B686)</f>
        <v>18.239201</v>
      </c>
      <c r="H686" s="10" t="n">
        <f aca="false">SUMIFS(Data!$G$2:$G$1006,Data!$A$2:$A$1006,$A686,Data!$B$2:$B$1006,$B686)</f>
        <v>19.34813</v>
      </c>
      <c r="I686" s="10" t="n">
        <f aca="false">SUMIFS(Data!$N$2:$N$1006,Data!$A$2:$A$1006,$A686,Data!$B$2:$B$1006,$B686)</f>
        <v>63.180195</v>
      </c>
      <c r="J686" s="10" t="n">
        <f aca="false">SUMIFS(Data!$H$2:$H$1006,Data!$A$2:$A$1006,$A686,Data!$B$2:$B$1006,$B686)</f>
        <v>27.827536</v>
      </c>
      <c r="K686" s="11" t="n">
        <f aca="false">IFERROR(F686*1000000/$E686,"")</f>
        <v>174.870785019781</v>
      </c>
      <c r="L686" s="11" t="n">
        <f aca="false">IFERROR(G686*1000000/$E686,"")</f>
        <v>124.624715584921</v>
      </c>
      <c r="M686" s="11" t="n">
        <f aca="false">IFERROR(H686*1000000/$E686,"")</f>
        <v>132.201799758119</v>
      </c>
      <c r="N686" s="11" t="n">
        <f aca="false">IFERROR(I686*1000000/$E686,"")</f>
        <v>431.697300362821</v>
      </c>
      <c r="O686" s="11" t="n">
        <f aca="false">IFERROR(J686*1000000/$E686,"")</f>
        <v>190.139839975949</v>
      </c>
      <c r="P686" s="16" t="n">
        <f aca="false">COUNTIFS($A$4:$A$1008,$A686,$N$4:$N$1008,"&gt;"&amp;N686)+1</f>
        <v>3</v>
      </c>
      <c r="Q686" s="16" t="n">
        <f aca="false">COUNTIFS($A$4:$A$1008,$A686,$O$4:$O$1008,"&gt;"&amp;O686)+1</f>
        <v>25</v>
      </c>
    </row>
    <row r="687" customFormat="false" ht="15" hidden="false" customHeight="false" outlineLevel="0" collapsed="false">
      <c r="A687" s="7" t="n">
        <v>2017</v>
      </c>
      <c r="B687" s="15" t="s">
        <v>137</v>
      </c>
      <c r="C687" s="15" t="s">
        <v>135</v>
      </c>
      <c r="D687" s="15" t="s">
        <v>138</v>
      </c>
      <c r="E687" s="9" t="n">
        <f aca="false">SUMIFS(Data!$L$2:$L$1006,Data!$A$2:$A$1006,$A687,Data!$B$2:$B$1006,$B687)</f>
        <v>1816438</v>
      </c>
      <c r="F687" s="10" t="n">
        <f aca="false">SUMIFS(Data!$E$2:$E$1006,Data!$A$2:$A$1006,$A687,Data!$B$2:$B$1006,$B687)</f>
        <v>185.796567</v>
      </c>
      <c r="G687" s="10" t="n">
        <f aca="false">SUMIFS(Data!$F$2:$F$1006,Data!$A$2:$A$1006,$A687,Data!$B$2:$B$1006,$B687)</f>
        <v>184.828282</v>
      </c>
      <c r="H687" s="10" t="n">
        <f aca="false">SUMIFS(Data!$G$2:$G$1006,Data!$A$2:$A$1006,$A687,Data!$B$2:$B$1006,$B687)</f>
        <v>220.711753</v>
      </c>
      <c r="I687" s="10" t="n">
        <f aca="false">SUMIFS(Data!$N$2:$N$1006,Data!$A$2:$A$1006,$A687,Data!$B$2:$B$1006,$B687)</f>
        <v>591.336602</v>
      </c>
      <c r="J687" s="10" t="n">
        <f aca="false">SUMIFS(Data!$H$2:$H$1006,Data!$A$2:$A$1006,$A687,Data!$B$2:$B$1006,$B687)</f>
        <v>551.042448</v>
      </c>
      <c r="K687" s="11" t="n">
        <f aca="false">IFERROR(F687*1000000/$E687,"")</f>
        <v>102.286214558383</v>
      </c>
      <c r="L687" s="11" t="n">
        <f aca="false">IFERROR(G687*1000000/$E687,"")</f>
        <v>101.753146542849</v>
      </c>
      <c r="M687" s="11" t="n">
        <f aca="false">IFERROR(H687*1000000/$E687,"")</f>
        <v>121.508002475174</v>
      </c>
      <c r="N687" s="11" t="n">
        <f aca="false">IFERROR(I687*1000000/$E687,"")</f>
        <v>325.547363576406</v>
      </c>
      <c r="O687" s="11" t="n">
        <f aca="false">IFERROR(J687*1000000/$E687,"")</f>
        <v>303.364303103106</v>
      </c>
      <c r="P687" s="16" t="n">
        <f aca="false">COUNTIFS($A$4:$A$1008,$A687,$N$4:$N$1008,"&gt;"&amp;N687)+1</f>
        <v>14</v>
      </c>
      <c r="Q687" s="16" t="n">
        <f aca="false">COUNTIFS($A$4:$A$1008,$A687,$O$4:$O$1008,"&gt;"&amp;O687)+1</f>
        <v>8</v>
      </c>
    </row>
    <row r="688" customFormat="false" ht="15" hidden="false" customHeight="false" outlineLevel="0" collapsed="false">
      <c r="A688" s="7" t="n">
        <v>2017</v>
      </c>
      <c r="B688" s="15" t="s">
        <v>139</v>
      </c>
      <c r="C688" s="15" t="s">
        <v>135</v>
      </c>
      <c r="D688" s="15" t="s">
        <v>138</v>
      </c>
      <c r="E688" s="9" t="n">
        <f aca="false">SUMIFS(Data!$L$2:$L$1006,Data!$A$2:$A$1006,$A688,Data!$B$2:$B$1006,$B688)</f>
        <v>2181941</v>
      </c>
      <c r="F688" s="10" t="n">
        <f aca="false">SUMIFS(Data!$E$2:$E$1006,Data!$A$2:$A$1006,$A688,Data!$B$2:$B$1006,$B688)</f>
        <v>304.549811</v>
      </c>
      <c r="G688" s="10" t="n">
        <f aca="false">SUMIFS(Data!$F$2:$F$1006,Data!$A$2:$A$1006,$A688,Data!$B$2:$B$1006,$B688)</f>
        <v>260.969434</v>
      </c>
      <c r="H688" s="10" t="n">
        <f aca="false">SUMIFS(Data!$G$2:$G$1006,Data!$A$2:$A$1006,$A688,Data!$B$2:$B$1006,$B688)</f>
        <v>315.234058</v>
      </c>
      <c r="I688" s="10" t="n">
        <f aca="false">SUMIFS(Data!$N$2:$N$1006,Data!$A$2:$A$1006,$A688,Data!$B$2:$B$1006,$B688)</f>
        <v>880.753303</v>
      </c>
      <c r="J688" s="10" t="n">
        <f aca="false">SUMIFS(Data!$H$2:$H$1006,Data!$A$2:$A$1006,$A688,Data!$B$2:$B$1006,$B688)</f>
        <v>539.491651</v>
      </c>
      <c r="K688" s="11" t="n">
        <f aca="false">IFERROR(F688*1000000/$E688,"")</f>
        <v>139.577472993083</v>
      </c>
      <c r="L688" s="11" t="n">
        <f aca="false">IFERROR(G688*1000000/$E688,"")</f>
        <v>119.604257860318</v>
      </c>
      <c r="M688" s="11" t="n">
        <f aca="false">IFERROR(H688*1000000/$E688,"")</f>
        <v>144.474143892983</v>
      </c>
      <c r="N688" s="11" t="n">
        <f aca="false">IFERROR(I688*1000000/$E688,"")</f>
        <v>403.655874746384</v>
      </c>
      <c r="O688" s="11" t="n">
        <f aca="false">IFERROR(J688*1000000/$E688,"")</f>
        <v>247.253088419898</v>
      </c>
      <c r="P688" s="16" t="n">
        <f aca="false">COUNTIFS($A$4:$A$1008,$A688,$N$4:$N$1008,"&gt;"&amp;N688)+1</f>
        <v>4</v>
      </c>
      <c r="Q688" s="16" t="n">
        <f aca="false">COUNTIFS($A$4:$A$1008,$A688,$O$4:$O$1008,"&gt;"&amp;O688)+1</f>
        <v>19</v>
      </c>
    </row>
    <row r="689" customFormat="false" ht="15" hidden="false" customHeight="false" outlineLevel="0" collapsed="false">
      <c r="A689" s="7" t="n">
        <v>2017</v>
      </c>
      <c r="B689" s="15" t="s">
        <v>140</v>
      </c>
      <c r="C689" s="15" t="s">
        <v>135</v>
      </c>
      <c r="D689" s="15" t="s">
        <v>141</v>
      </c>
      <c r="E689" s="9" t="n">
        <f aca="false">SUMIFS(Data!$L$2:$L$1006,Data!$A$2:$A$1006,$A689,Data!$B$2:$B$1006,$B689)</f>
        <v>819569</v>
      </c>
      <c r="F689" s="10" t="n">
        <f aca="false">SUMIFS(Data!$E$2:$E$1006,Data!$A$2:$A$1006,$A689,Data!$B$2:$B$1006,$B689)</f>
        <v>99.540734</v>
      </c>
      <c r="G689" s="10" t="n">
        <f aca="false">SUMIFS(Data!$F$2:$F$1006,Data!$A$2:$A$1006,$A689,Data!$B$2:$B$1006,$B689)</f>
        <v>33.901888</v>
      </c>
      <c r="H689" s="10" t="n">
        <f aca="false">SUMIFS(Data!$G$2:$G$1006,Data!$A$2:$A$1006,$A689,Data!$B$2:$B$1006,$B689)</f>
        <v>85.994206</v>
      </c>
      <c r="I689" s="10" t="n">
        <f aca="false">SUMIFS(Data!$N$2:$N$1006,Data!$A$2:$A$1006,$A689,Data!$B$2:$B$1006,$B689)</f>
        <v>219.436828</v>
      </c>
      <c r="J689" s="10" t="n">
        <f aca="false">SUMIFS(Data!$H$2:$H$1006,Data!$A$2:$A$1006,$A689,Data!$B$2:$B$1006,$B689)</f>
        <v>272.419829</v>
      </c>
      <c r="K689" s="11" t="n">
        <f aca="false">IFERROR(F689*1000000/$E689,"")</f>
        <v>121.454976945199</v>
      </c>
      <c r="L689" s="11" t="n">
        <f aca="false">IFERROR(G689*1000000/$E689,"")</f>
        <v>41.3655079682126</v>
      </c>
      <c r="M689" s="11" t="n">
        <f aca="false">IFERROR(H689*1000000/$E689,"")</f>
        <v>104.92613312607</v>
      </c>
      <c r="N689" s="11" t="n">
        <f aca="false">IFERROR(I689*1000000/$E689,"")</f>
        <v>267.746618039482</v>
      </c>
      <c r="O689" s="11" t="n">
        <f aca="false">IFERROR(J689*1000000/$E689,"")</f>
        <v>332.39401319474</v>
      </c>
      <c r="P689" s="16" t="n">
        <f aca="false">COUNTIFS($A$4:$A$1008,$A689,$N$4:$N$1008,"&gt;"&amp;N689)+1</f>
        <v>27</v>
      </c>
      <c r="Q689" s="16" t="n">
        <f aca="false">COUNTIFS($A$4:$A$1008,$A689,$O$4:$O$1008,"&gt;"&amp;O689)+1</f>
        <v>5</v>
      </c>
    </row>
    <row r="690" customFormat="false" ht="15" hidden="false" customHeight="false" outlineLevel="0" collapsed="false">
      <c r="A690" s="7" t="n">
        <v>2017</v>
      </c>
      <c r="B690" s="15" t="s">
        <v>142</v>
      </c>
      <c r="C690" s="15" t="s">
        <v>135</v>
      </c>
      <c r="D690" s="15" t="s">
        <v>143</v>
      </c>
      <c r="E690" s="9" t="n">
        <f aca="false">SUMIFS(Data!$L$2:$L$1006,Data!$A$2:$A$1006,$A690,Data!$B$2:$B$1006,$B690)</f>
        <v>591984</v>
      </c>
      <c r="F690" s="10" t="n">
        <f aca="false">SUMIFS(Data!$E$2:$E$1006,Data!$A$2:$A$1006,$A690,Data!$B$2:$B$1006,$B690)</f>
        <v>67.239411</v>
      </c>
      <c r="G690" s="10" t="n">
        <f aca="false">SUMIFS(Data!$F$2:$F$1006,Data!$A$2:$A$1006,$A690,Data!$B$2:$B$1006,$B690)</f>
        <v>40.408248</v>
      </c>
      <c r="H690" s="10" t="n">
        <f aca="false">SUMIFS(Data!$G$2:$G$1006,Data!$A$2:$A$1006,$A690,Data!$B$2:$B$1006,$B690)</f>
        <v>55.630522</v>
      </c>
      <c r="I690" s="10" t="n">
        <f aca="false">SUMIFS(Data!$N$2:$N$1006,Data!$A$2:$A$1006,$A690,Data!$B$2:$B$1006,$B690)</f>
        <v>163.278181</v>
      </c>
      <c r="J690" s="10" t="n">
        <f aca="false">SUMIFS(Data!$H$2:$H$1006,Data!$A$2:$A$1006,$A690,Data!$B$2:$B$1006,$B690)</f>
        <v>187.563496</v>
      </c>
      <c r="K690" s="11" t="n">
        <f aca="false">IFERROR(F690*1000000/$E690,"")</f>
        <v>113.583155963675</v>
      </c>
      <c r="L690" s="11" t="n">
        <f aca="false">IFERROR(G690*1000000/$E690,"")</f>
        <v>68.2590205140679</v>
      </c>
      <c r="M690" s="11" t="n">
        <f aca="false">IFERROR(H690*1000000/$E690,"")</f>
        <v>93.973016162599</v>
      </c>
      <c r="N690" s="11" t="n">
        <f aca="false">IFERROR(I690*1000000/$E690,"")</f>
        <v>275.815192640342</v>
      </c>
      <c r="O690" s="11" t="n">
        <f aca="false">IFERROR(J690*1000000/$E690,"")</f>
        <v>316.83879294035</v>
      </c>
      <c r="P690" s="16" t="n">
        <f aca="false">COUNTIFS($A$4:$A$1008,$A690,$N$4:$N$1008,"&gt;"&amp;N690)+1</f>
        <v>26</v>
      </c>
      <c r="Q690" s="16" t="n">
        <f aca="false">COUNTIFS($A$4:$A$1008,$A690,$O$4:$O$1008,"&gt;"&amp;O690)+1</f>
        <v>7</v>
      </c>
    </row>
    <row r="691" customFormat="false" ht="15" hidden="false" customHeight="false" outlineLevel="0" collapsed="false">
      <c r="A691" s="7" t="n">
        <v>2017</v>
      </c>
      <c r="B691" s="15" t="s">
        <v>144</v>
      </c>
      <c r="C691" s="15" t="s">
        <v>135</v>
      </c>
      <c r="D691" s="15" t="s">
        <v>141</v>
      </c>
      <c r="E691" s="9" t="n">
        <f aca="false">SUMIFS(Data!$L$2:$L$1006,Data!$A$2:$A$1006,$A691,Data!$B$2:$B$1006,$B691)</f>
        <v>491347</v>
      </c>
      <c r="F691" s="10" t="n">
        <f aca="false">SUMIFS(Data!$E$2:$E$1006,Data!$A$2:$A$1006,$A691,Data!$B$2:$B$1006,$B691)</f>
        <v>43.242605</v>
      </c>
      <c r="G691" s="10" t="n">
        <f aca="false">SUMIFS(Data!$F$2:$F$1006,Data!$A$2:$A$1006,$A691,Data!$B$2:$B$1006,$B691)</f>
        <v>23.793807</v>
      </c>
      <c r="H691" s="10" t="n">
        <f aca="false">SUMIFS(Data!$G$2:$G$1006,Data!$A$2:$A$1006,$A691,Data!$B$2:$B$1006,$B691)</f>
        <v>31.113583</v>
      </c>
      <c r="I691" s="10" t="n">
        <f aca="false">SUMIFS(Data!$N$2:$N$1006,Data!$A$2:$A$1006,$A691,Data!$B$2:$B$1006,$B691)</f>
        <v>98.149995</v>
      </c>
      <c r="J691" s="10" t="n">
        <f aca="false">SUMIFS(Data!$H$2:$H$1006,Data!$A$2:$A$1006,$A691,Data!$B$2:$B$1006,$B691)</f>
        <v>67.746303</v>
      </c>
      <c r="K691" s="11" t="n">
        <f aca="false">IFERROR(F691*1000000/$E691,"")</f>
        <v>88.0082813164627</v>
      </c>
      <c r="L691" s="11" t="n">
        <f aca="false">IFERROR(G691*1000000/$E691,"")</f>
        <v>48.4256686211578</v>
      </c>
      <c r="M691" s="11" t="n">
        <f aca="false">IFERROR(H691*1000000/$E691,"")</f>
        <v>63.3230344339133</v>
      </c>
      <c r="N691" s="11" t="n">
        <f aca="false">IFERROR(I691*1000000/$E691,"")</f>
        <v>199.756984371534</v>
      </c>
      <c r="O691" s="11" t="n">
        <f aca="false">IFERROR(J691*1000000/$E691,"")</f>
        <v>137.878735394741</v>
      </c>
      <c r="P691" s="16" t="n">
        <f aca="false">COUNTIFS($A$4:$A$1008,$A691,$N$4:$N$1008,"&gt;"&amp;N691)+1</f>
        <v>39</v>
      </c>
      <c r="Q691" s="16" t="n">
        <f aca="false">COUNTIFS($A$4:$A$1008,$A691,$O$4:$O$1008,"&gt;"&amp;O691)+1</f>
        <v>34</v>
      </c>
    </row>
    <row r="692" customFormat="false" ht="15" hidden="false" customHeight="false" outlineLevel="0" collapsed="false">
      <c r="A692" s="7" t="n">
        <v>2017</v>
      </c>
      <c r="B692" s="15" t="s">
        <v>145</v>
      </c>
      <c r="C692" s="15" t="s">
        <v>135</v>
      </c>
      <c r="D692" s="15" t="s">
        <v>146</v>
      </c>
      <c r="E692" s="9" t="n">
        <f aca="false">SUMIFS(Data!$L$2:$L$1006,Data!$A$2:$A$1006,$A692,Data!$B$2:$B$1006,$B692)</f>
        <v>489605</v>
      </c>
      <c r="F692" s="10" t="n">
        <f aca="false">SUMIFS(Data!$E$2:$E$1006,Data!$A$2:$A$1006,$A692,Data!$B$2:$B$1006,$B692)</f>
        <v>34.378741</v>
      </c>
      <c r="G692" s="10" t="n">
        <f aca="false">SUMIFS(Data!$F$2:$F$1006,Data!$A$2:$A$1006,$A692,Data!$B$2:$B$1006,$B692)</f>
        <v>67.29634</v>
      </c>
      <c r="H692" s="10" t="n">
        <f aca="false">SUMIFS(Data!$G$2:$G$1006,Data!$A$2:$A$1006,$A692,Data!$B$2:$B$1006,$B692)</f>
        <v>64.294431</v>
      </c>
      <c r="I692" s="10" t="n">
        <f aca="false">SUMIFS(Data!$N$2:$N$1006,Data!$A$2:$A$1006,$A692,Data!$B$2:$B$1006,$B692)</f>
        <v>165.969512</v>
      </c>
      <c r="J692" s="10" t="n">
        <f aca="false">SUMIFS(Data!$H$2:$H$1006,Data!$A$2:$A$1006,$A692,Data!$B$2:$B$1006,$B692)</f>
        <v>259.309161</v>
      </c>
      <c r="K692" s="11" t="n">
        <f aca="false">IFERROR(F692*1000000/$E692,"")</f>
        <v>70.21729965993</v>
      </c>
      <c r="L692" s="11" t="n">
        <f aca="false">IFERROR(G692*1000000/$E692,"")</f>
        <v>137.450271136937</v>
      </c>
      <c r="M692" s="11" t="n">
        <f aca="false">IFERROR(H692*1000000/$E692,"")</f>
        <v>131.31898367051</v>
      </c>
      <c r="N692" s="11" t="n">
        <f aca="false">IFERROR(I692*1000000/$E692,"")</f>
        <v>338.986554467377</v>
      </c>
      <c r="O692" s="11" t="n">
        <f aca="false">IFERROR(J692*1000000/$E692,"")</f>
        <v>529.629315468592</v>
      </c>
      <c r="P692" s="16" t="n">
        <f aca="false">COUNTIFS($A$4:$A$1008,$A692,$N$4:$N$1008,"&gt;"&amp;N692)+1</f>
        <v>10</v>
      </c>
      <c r="Q692" s="16" t="n">
        <f aca="false">COUNTIFS($A$4:$A$1008,$A692,$O$4:$O$1008,"&gt;"&amp;O692)+1</f>
        <v>1</v>
      </c>
    </row>
    <row r="693" customFormat="false" ht="15" hidden="false" customHeight="false" outlineLevel="0" collapsed="false">
      <c r="A693" s="7" t="n">
        <v>2017</v>
      </c>
      <c r="B693" s="15" t="s">
        <v>147</v>
      </c>
      <c r="C693" s="15" t="s">
        <v>135</v>
      </c>
      <c r="D693" s="15" t="s">
        <v>148</v>
      </c>
      <c r="E693" s="9" t="n">
        <f aca="false">SUMIFS(Data!$L$2:$L$1006,Data!$A$2:$A$1006,$A693,Data!$B$2:$B$1006,$B693)</f>
        <v>152601</v>
      </c>
      <c r="F693" s="10" t="n">
        <f aca="false">SUMIFS(Data!$E$2:$E$1006,Data!$A$2:$A$1006,$A693,Data!$B$2:$B$1006,$B693)</f>
        <v>14.295255</v>
      </c>
      <c r="G693" s="10" t="n">
        <f aca="false">SUMIFS(Data!$F$2:$F$1006,Data!$A$2:$A$1006,$A693,Data!$B$2:$B$1006,$B693)</f>
        <v>16.524949</v>
      </c>
      <c r="H693" s="10" t="n">
        <f aca="false">SUMIFS(Data!$G$2:$G$1006,Data!$A$2:$A$1006,$A693,Data!$B$2:$B$1006,$B693)</f>
        <v>13.968499</v>
      </c>
      <c r="I693" s="10" t="n">
        <f aca="false">SUMIFS(Data!$N$2:$N$1006,Data!$A$2:$A$1006,$A693,Data!$B$2:$B$1006,$B693)</f>
        <v>44.788703</v>
      </c>
      <c r="J693" s="10" t="n">
        <f aca="false">SUMIFS(Data!$H$2:$H$1006,Data!$A$2:$A$1006,$A693,Data!$B$2:$B$1006,$B693)</f>
        <v>37.799701</v>
      </c>
      <c r="K693" s="11" t="n">
        <f aca="false">IFERROR(F693*1000000/$E693,"")</f>
        <v>93.6773350109108</v>
      </c>
      <c r="L693" s="11" t="n">
        <f aca="false">IFERROR(G693*1000000/$E693,"")</f>
        <v>108.288602302737</v>
      </c>
      <c r="M693" s="11" t="n">
        <f aca="false">IFERROR(H693*1000000/$E693,"")</f>
        <v>91.536090851305</v>
      </c>
      <c r="N693" s="11" t="n">
        <f aca="false">IFERROR(I693*1000000/$E693,"")</f>
        <v>293.502028164953</v>
      </c>
      <c r="O693" s="11" t="n">
        <f aca="false">IFERROR(J693*1000000/$E693,"")</f>
        <v>247.702839430934</v>
      </c>
      <c r="P693" s="16" t="n">
        <f aca="false">COUNTIFS($A$4:$A$1008,$A693,$N$4:$N$1008,"&gt;"&amp;N693)+1</f>
        <v>21</v>
      </c>
      <c r="Q693" s="16" t="n">
        <f aca="false">COUNTIFS($A$4:$A$1008,$A693,$O$4:$O$1008,"&gt;"&amp;O693)+1</f>
        <v>18</v>
      </c>
    </row>
    <row r="694" customFormat="false" ht="15" hidden="false" customHeight="false" outlineLevel="0" collapsed="false">
      <c r="A694" s="7" t="n">
        <v>2017</v>
      </c>
      <c r="B694" s="15" t="s">
        <v>149</v>
      </c>
      <c r="C694" s="15" t="s">
        <v>135</v>
      </c>
      <c r="D694" s="15" t="s">
        <v>146</v>
      </c>
      <c r="E694" s="9" t="n">
        <f aca="false">SUMIFS(Data!$L$2:$L$1006,Data!$A$2:$A$1006,$A694,Data!$B$2:$B$1006,$B694)</f>
        <v>770330</v>
      </c>
      <c r="F694" s="10" t="n">
        <f aca="false">SUMIFS(Data!$E$2:$E$1006,Data!$A$2:$A$1006,$A694,Data!$B$2:$B$1006,$B694)</f>
        <v>88.642552</v>
      </c>
      <c r="G694" s="10" t="n">
        <f aca="false">SUMIFS(Data!$F$2:$F$1006,Data!$A$2:$A$1006,$A694,Data!$B$2:$B$1006,$B694)</f>
        <v>135.423798</v>
      </c>
      <c r="H694" s="10" t="n">
        <f aca="false">SUMIFS(Data!$G$2:$G$1006,Data!$A$2:$A$1006,$A694,Data!$B$2:$B$1006,$B694)</f>
        <v>68.850868</v>
      </c>
      <c r="I694" s="10" t="n">
        <f aca="false">SUMIFS(Data!$N$2:$N$1006,Data!$A$2:$A$1006,$A694,Data!$B$2:$B$1006,$B694)</f>
        <v>292.917218</v>
      </c>
      <c r="J694" s="10" t="n">
        <f aca="false">SUMIFS(Data!$H$2:$H$1006,Data!$A$2:$A$1006,$A694,Data!$B$2:$B$1006,$B694)</f>
        <v>161.635118</v>
      </c>
      <c r="K694" s="11" t="n">
        <f aca="false">IFERROR(F694*1000000/$E694,"")</f>
        <v>115.070881310607</v>
      </c>
      <c r="L694" s="11" t="n">
        <f aca="false">IFERROR(G694*1000000/$E694,"")</f>
        <v>175.799719600691</v>
      </c>
      <c r="M694" s="11" t="n">
        <f aca="false">IFERROR(H694*1000000/$E694,"")</f>
        <v>89.3784066568873</v>
      </c>
      <c r="N694" s="11" t="n">
        <f aca="false">IFERROR(I694*1000000/$E694,"")</f>
        <v>380.249007568185</v>
      </c>
      <c r="O694" s="11" t="n">
        <f aca="false">IFERROR(J694*1000000/$E694,"")</f>
        <v>209.825812314203</v>
      </c>
      <c r="P694" s="16" t="n">
        <f aca="false">COUNTIFS($A$4:$A$1008,$A694,$N$4:$N$1008,"&gt;"&amp;N694)+1</f>
        <v>7</v>
      </c>
      <c r="Q694" s="16" t="n">
        <f aca="false">COUNTIFS($A$4:$A$1008,$A694,$O$4:$O$1008,"&gt;"&amp;O694)+1</f>
        <v>23</v>
      </c>
    </row>
    <row r="695" customFormat="false" ht="15" hidden="false" customHeight="false" outlineLevel="0" collapsed="false">
      <c r="A695" s="7" t="n">
        <v>2017</v>
      </c>
      <c r="B695" s="15" t="s">
        <v>150</v>
      </c>
      <c r="C695" s="15" t="s">
        <v>135</v>
      </c>
      <c r="D695" s="15" t="s">
        <v>141</v>
      </c>
      <c r="E695" s="9" t="n">
        <f aca="false">SUMIFS(Data!$L$2:$L$1006,Data!$A$2:$A$1006,$A695,Data!$B$2:$B$1006,$B695)</f>
        <v>466688</v>
      </c>
      <c r="F695" s="10" t="n">
        <f aca="false">SUMIFS(Data!$E$2:$E$1006,Data!$A$2:$A$1006,$A695,Data!$B$2:$B$1006,$B695)</f>
        <v>49.601516</v>
      </c>
      <c r="G695" s="10" t="n">
        <f aca="false">SUMIFS(Data!$F$2:$F$1006,Data!$A$2:$A$1006,$A695,Data!$B$2:$B$1006,$B695)</f>
        <v>16.160551</v>
      </c>
      <c r="H695" s="10" t="n">
        <f aca="false">SUMIFS(Data!$G$2:$G$1006,Data!$A$2:$A$1006,$A695,Data!$B$2:$B$1006,$B695)</f>
        <v>48.047525</v>
      </c>
      <c r="I695" s="10" t="n">
        <f aca="false">SUMIFS(Data!$N$2:$N$1006,Data!$A$2:$A$1006,$A695,Data!$B$2:$B$1006,$B695)</f>
        <v>113.809592</v>
      </c>
      <c r="J695" s="10" t="n">
        <f aca="false">SUMIFS(Data!$H$2:$H$1006,Data!$A$2:$A$1006,$A695,Data!$B$2:$B$1006,$B695)</f>
        <v>126.816646</v>
      </c>
      <c r="K695" s="11" t="n">
        <f aca="false">IFERROR(F695*1000000/$E695,"")</f>
        <v>106.284104155239</v>
      </c>
      <c r="L695" s="11" t="n">
        <f aca="false">IFERROR(G695*1000000/$E695,"")</f>
        <v>34.6281691408393</v>
      </c>
      <c r="M695" s="11" t="n">
        <f aca="false">IFERROR(H695*1000000/$E695,"")</f>
        <v>102.954275661684</v>
      </c>
      <c r="N695" s="11" t="n">
        <f aca="false">IFERROR(I695*1000000/$E695,"")</f>
        <v>243.866548957762</v>
      </c>
      <c r="O695" s="11" t="n">
        <f aca="false">IFERROR(J695*1000000/$E695,"")</f>
        <v>271.737533427043</v>
      </c>
      <c r="P695" s="16" t="n">
        <f aca="false">COUNTIFS($A$4:$A$1008,$A695,$N$4:$N$1008,"&gt;"&amp;N695)+1</f>
        <v>34</v>
      </c>
      <c r="Q695" s="16" t="n">
        <f aca="false">COUNTIFS($A$4:$A$1008,$A695,$O$4:$O$1008,"&gt;"&amp;O695)+1</f>
        <v>14</v>
      </c>
    </row>
    <row r="696" customFormat="false" ht="15" hidden="false" customHeight="false" outlineLevel="0" collapsed="false">
      <c r="A696" s="7" t="n">
        <v>2017</v>
      </c>
      <c r="B696" s="15" t="s">
        <v>151</v>
      </c>
      <c r="C696" s="15" t="s">
        <v>135</v>
      </c>
      <c r="D696" s="15" t="s">
        <v>136</v>
      </c>
      <c r="E696" s="9" t="n">
        <f aca="false">SUMIFS(Data!$L$2:$L$1006,Data!$A$2:$A$1006,$A696,Data!$B$2:$B$1006,$B696)</f>
        <v>1466398</v>
      </c>
      <c r="F696" s="10" t="n">
        <f aca="false">SUMIFS(Data!$E$2:$E$1006,Data!$A$2:$A$1006,$A696,Data!$B$2:$B$1006,$B696)</f>
        <v>111.165601</v>
      </c>
      <c r="G696" s="10" t="n">
        <f aca="false">SUMIFS(Data!$F$2:$F$1006,Data!$A$2:$A$1006,$A696,Data!$B$2:$B$1006,$B696)</f>
        <v>162.077342</v>
      </c>
      <c r="H696" s="10" t="n">
        <f aca="false">SUMIFS(Data!$G$2:$G$1006,Data!$A$2:$A$1006,$A696,Data!$B$2:$B$1006,$B696)</f>
        <v>106.084656</v>
      </c>
      <c r="I696" s="10" t="n">
        <f aca="false">SUMIFS(Data!$N$2:$N$1006,Data!$A$2:$A$1006,$A696,Data!$B$2:$B$1006,$B696)</f>
        <v>379.327599</v>
      </c>
      <c r="J696" s="10" t="n">
        <f aca="false">SUMIFS(Data!$H$2:$H$1006,Data!$A$2:$A$1006,$A696,Data!$B$2:$B$1006,$B696)</f>
        <v>172.86087</v>
      </c>
      <c r="K696" s="11" t="n">
        <f aca="false">IFERROR(F696*1000000/$E696,"")</f>
        <v>75.8086147144227</v>
      </c>
      <c r="L696" s="11" t="n">
        <f aca="false">IFERROR(G696*1000000/$E696,"")</f>
        <v>110.527525269402</v>
      </c>
      <c r="M696" s="11" t="n">
        <f aca="false">IFERROR(H696*1000000/$E696,"")</f>
        <v>72.3436993231033</v>
      </c>
      <c r="N696" s="11" t="n">
        <f aca="false">IFERROR(I696*1000000/$E696,"")</f>
        <v>258.679839306928</v>
      </c>
      <c r="O696" s="11" t="n">
        <f aca="false">IFERROR(J696*1000000/$E696,"")</f>
        <v>117.881277797706</v>
      </c>
      <c r="P696" s="16" t="n">
        <f aca="false">COUNTIFS($A$4:$A$1008,$A696,$N$4:$N$1008,"&gt;"&amp;N696)+1</f>
        <v>30</v>
      </c>
      <c r="Q696" s="16" t="n">
        <f aca="false">COUNTIFS($A$4:$A$1008,$A696,$O$4:$O$1008,"&gt;"&amp;O696)+1</f>
        <v>37</v>
      </c>
    </row>
    <row r="697" customFormat="false" ht="15" hidden="false" customHeight="false" outlineLevel="0" collapsed="false">
      <c r="A697" s="7" t="n">
        <v>2017</v>
      </c>
      <c r="B697" s="15" t="s">
        <v>152</v>
      </c>
      <c r="C697" s="15" t="s">
        <v>135</v>
      </c>
      <c r="D697" s="15" t="s">
        <v>148</v>
      </c>
      <c r="E697" s="9" t="n">
        <f aca="false">SUMIFS(Data!$L$2:$L$1006,Data!$A$2:$A$1006,$A697,Data!$B$2:$B$1006,$B697)</f>
        <v>257668</v>
      </c>
      <c r="F697" s="10" t="n">
        <f aca="false">SUMIFS(Data!$E$2:$E$1006,Data!$A$2:$A$1006,$A697,Data!$B$2:$B$1006,$B697)</f>
        <v>26.245787</v>
      </c>
      <c r="G697" s="10" t="n">
        <f aca="false">SUMIFS(Data!$F$2:$F$1006,Data!$A$2:$A$1006,$A697,Data!$B$2:$B$1006,$B697)</f>
        <v>21.915406</v>
      </c>
      <c r="H697" s="10" t="n">
        <f aca="false">SUMIFS(Data!$G$2:$G$1006,Data!$A$2:$A$1006,$A697,Data!$B$2:$B$1006,$B697)</f>
        <v>30.203772</v>
      </c>
      <c r="I697" s="10" t="n">
        <f aca="false">SUMIFS(Data!$N$2:$N$1006,Data!$A$2:$A$1006,$A697,Data!$B$2:$B$1006,$B697)</f>
        <v>78.364965</v>
      </c>
      <c r="J697" s="10" t="n">
        <f aca="false">SUMIFS(Data!$H$2:$H$1006,Data!$A$2:$A$1006,$A697,Data!$B$2:$B$1006,$B697)</f>
        <v>45.576187</v>
      </c>
      <c r="K697" s="11" t="n">
        <f aca="false">IFERROR(F697*1000000/$E697,"")</f>
        <v>101.858930872285</v>
      </c>
      <c r="L697" s="11" t="n">
        <f aca="false">IFERROR(G697*1000000/$E697,"")</f>
        <v>85.0528820031979</v>
      </c>
      <c r="M697" s="11" t="n">
        <f aca="false">IFERROR(H697*1000000/$E697,"")</f>
        <v>117.219724606858</v>
      </c>
      <c r="N697" s="11" t="n">
        <f aca="false">IFERROR(I697*1000000/$E697,"")</f>
        <v>304.131537482342</v>
      </c>
      <c r="O697" s="11" t="n">
        <f aca="false">IFERROR(J697*1000000/$E697,"")</f>
        <v>176.879499976714</v>
      </c>
      <c r="P697" s="16" t="n">
        <f aca="false">COUNTIFS($A$4:$A$1008,$A697,$N$4:$N$1008,"&gt;"&amp;N697)+1</f>
        <v>18</v>
      </c>
      <c r="Q697" s="16" t="n">
        <f aca="false">COUNTIFS($A$4:$A$1008,$A697,$O$4:$O$1008,"&gt;"&amp;O697)+1</f>
        <v>28</v>
      </c>
    </row>
    <row r="698" customFormat="false" ht="15" hidden="false" customHeight="false" outlineLevel="0" collapsed="false">
      <c r="A698" s="7" t="n">
        <v>2017</v>
      </c>
      <c r="B698" s="15" t="s">
        <v>153</v>
      </c>
      <c r="C698" s="15" t="s">
        <v>135</v>
      </c>
      <c r="D698" s="15" t="s">
        <v>136</v>
      </c>
      <c r="E698" s="9" t="n">
        <f aca="false">SUMIFS(Data!$L$2:$L$1006,Data!$A$2:$A$1006,$A698,Data!$B$2:$B$1006,$B698)</f>
        <v>131852</v>
      </c>
      <c r="F698" s="10" t="n">
        <f aca="false">SUMIFS(Data!$E$2:$E$1006,Data!$A$2:$A$1006,$A698,Data!$B$2:$B$1006,$B698)</f>
        <v>17.761845</v>
      </c>
      <c r="G698" s="10" t="n">
        <f aca="false">SUMIFS(Data!$F$2:$F$1006,Data!$A$2:$A$1006,$A698,Data!$B$2:$B$1006,$B698)</f>
        <v>22.270154</v>
      </c>
      <c r="H698" s="10" t="n">
        <f aca="false">SUMIFS(Data!$G$2:$G$1006,Data!$A$2:$A$1006,$A698,Data!$B$2:$B$1006,$B698)</f>
        <v>11.275012</v>
      </c>
      <c r="I698" s="10" t="n">
        <f aca="false">SUMIFS(Data!$N$2:$N$1006,Data!$A$2:$A$1006,$A698,Data!$B$2:$B$1006,$B698)</f>
        <v>51.307011</v>
      </c>
      <c r="J698" s="10" t="n">
        <f aca="false">SUMIFS(Data!$H$2:$H$1006,Data!$A$2:$A$1006,$A698,Data!$B$2:$B$1006,$B698)</f>
        <v>19.432612</v>
      </c>
      <c r="K698" s="11" t="n">
        <f aca="false">IFERROR(F698*1000000/$E698,"")</f>
        <v>134.710470830932</v>
      </c>
      <c r="L698" s="11" t="n">
        <f aca="false">IFERROR(G698*1000000/$E698,"")</f>
        <v>168.902663592513</v>
      </c>
      <c r="M698" s="11" t="n">
        <f aca="false">IFERROR(H698*1000000/$E698,"")</f>
        <v>85.5126353790614</v>
      </c>
      <c r="N698" s="11" t="n">
        <f aca="false">IFERROR(I698*1000000/$E698,"")</f>
        <v>389.125769802506</v>
      </c>
      <c r="O698" s="11" t="n">
        <f aca="false">IFERROR(J698*1000000/$E698,"")</f>
        <v>147.382004065164</v>
      </c>
      <c r="P698" s="16" t="n">
        <f aca="false">COUNTIFS($A$4:$A$1008,$A698,$N$4:$N$1008,"&gt;"&amp;N698)+1</f>
        <v>6</v>
      </c>
      <c r="Q698" s="16" t="n">
        <f aca="false">COUNTIFS($A$4:$A$1008,$A698,$O$4:$O$1008,"&gt;"&amp;O698)+1</f>
        <v>32</v>
      </c>
    </row>
    <row r="699" customFormat="false" ht="15" hidden="false" customHeight="false" outlineLevel="0" collapsed="false">
      <c r="A699" s="7" t="n">
        <v>2017</v>
      </c>
      <c r="B699" s="15" t="s">
        <v>154</v>
      </c>
      <c r="C699" s="15" t="s">
        <v>135</v>
      </c>
      <c r="D699" s="15" t="s">
        <v>141</v>
      </c>
      <c r="E699" s="9" t="n">
        <f aca="false">SUMIFS(Data!$L$2:$L$1006,Data!$A$2:$A$1006,$A699,Data!$B$2:$B$1006,$B699)</f>
        <v>145277</v>
      </c>
      <c r="F699" s="10" t="n">
        <f aca="false">SUMIFS(Data!$E$2:$E$1006,Data!$A$2:$A$1006,$A699,Data!$B$2:$B$1006,$B699)</f>
        <v>16.054551</v>
      </c>
      <c r="G699" s="10" t="n">
        <f aca="false">SUMIFS(Data!$F$2:$F$1006,Data!$A$2:$A$1006,$A699,Data!$B$2:$B$1006,$B699)</f>
        <v>6.954544</v>
      </c>
      <c r="H699" s="10" t="n">
        <f aca="false">SUMIFS(Data!$G$2:$G$1006,Data!$A$2:$A$1006,$A699,Data!$B$2:$B$1006,$B699)</f>
        <v>19.981904</v>
      </c>
      <c r="I699" s="10" t="n">
        <f aca="false">SUMIFS(Data!$N$2:$N$1006,Data!$A$2:$A$1006,$A699,Data!$B$2:$B$1006,$B699)</f>
        <v>42.990999</v>
      </c>
      <c r="J699" s="10" t="n">
        <f aca="false">SUMIFS(Data!$H$2:$H$1006,Data!$A$2:$A$1006,$A699,Data!$B$2:$B$1006,$B699)</f>
        <v>46.974908</v>
      </c>
      <c r="K699" s="11" t="n">
        <f aca="false">IFERROR(F699*1000000/$E699,"")</f>
        <v>110.509929307461</v>
      </c>
      <c r="L699" s="11" t="n">
        <f aca="false">IFERROR(G699*1000000/$E699,"")</f>
        <v>47.8709224447091</v>
      </c>
      <c r="M699" s="11" t="n">
        <f aca="false">IFERROR(H699*1000000/$E699,"")</f>
        <v>137.543479009065</v>
      </c>
      <c r="N699" s="11" t="n">
        <f aca="false">IFERROR(I699*1000000/$E699,"")</f>
        <v>295.924330761235</v>
      </c>
      <c r="O699" s="11" t="n">
        <f aca="false">IFERROR(J699*1000000/$E699,"")</f>
        <v>323.347178149329</v>
      </c>
      <c r="P699" s="16" t="n">
        <f aca="false">COUNTIFS($A$4:$A$1008,$A699,$N$4:$N$1008,"&gt;"&amp;N699)+1</f>
        <v>19</v>
      </c>
      <c r="Q699" s="16" t="n">
        <f aca="false">COUNTIFS($A$4:$A$1008,$A699,$O$4:$O$1008,"&gt;"&amp;O699)+1</f>
        <v>6</v>
      </c>
    </row>
    <row r="700" customFormat="false" ht="15" hidden="false" customHeight="false" outlineLevel="0" collapsed="false">
      <c r="A700" s="7" t="n">
        <v>2017</v>
      </c>
      <c r="B700" s="15" t="s">
        <v>155</v>
      </c>
      <c r="C700" s="15" t="s">
        <v>135</v>
      </c>
      <c r="D700" s="15" t="s">
        <v>148</v>
      </c>
      <c r="E700" s="9" t="n">
        <f aca="false">SUMIFS(Data!$L$2:$L$1006,Data!$A$2:$A$1006,$A700,Data!$B$2:$B$1006,$B700)</f>
        <v>1122771</v>
      </c>
      <c r="F700" s="10" t="n">
        <f aca="false">SUMIFS(Data!$E$2:$E$1006,Data!$A$2:$A$1006,$A700,Data!$B$2:$B$1006,$B700)</f>
        <v>78.375895</v>
      </c>
      <c r="G700" s="10" t="n">
        <f aca="false">SUMIFS(Data!$F$2:$F$1006,Data!$A$2:$A$1006,$A700,Data!$B$2:$B$1006,$B700)</f>
        <v>98.498734</v>
      </c>
      <c r="H700" s="10" t="n">
        <f aca="false">SUMIFS(Data!$G$2:$G$1006,Data!$A$2:$A$1006,$A700,Data!$B$2:$B$1006,$B700)</f>
        <v>113.271011</v>
      </c>
      <c r="I700" s="10" t="n">
        <f aca="false">SUMIFS(Data!$N$2:$N$1006,Data!$A$2:$A$1006,$A700,Data!$B$2:$B$1006,$B700)</f>
        <v>290.14564</v>
      </c>
      <c r="J700" s="10" t="n">
        <f aca="false">SUMIFS(Data!$H$2:$H$1006,Data!$A$2:$A$1006,$A700,Data!$B$2:$B$1006,$B700)</f>
        <v>287.16356</v>
      </c>
      <c r="K700" s="11" t="n">
        <f aca="false">IFERROR(F700*1000000/$E700,"")</f>
        <v>69.805770722614</v>
      </c>
      <c r="L700" s="11" t="n">
        <f aca="false">IFERROR(G700*1000000/$E700,"")</f>
        <v>87.7282491264915</v>
      </c>
      <c r="M700" s="11" t="n">
        <f aca="false">IFERROR(H700*1000000/$E700,"")</f>
        <v>100.885230380906</v>
      </c>
      <c r="N700" s="11" t="n">
        <f aca="false">IFERROR(I700*1000000/$E700,"")</f>
        <v>258.419250230011</v>
      </c>
      <c r="O700" s="11" t="n">
        <f aca="false">IFERROR(J700*1000000/$E700,"")</f>
        <v>255.763250030505</v>
      </c>
      <c r="P700" s="16" t="n">
        <f aca="false">COUNTIFS($A$4:$A$1008,$A700,$N$4:$N$1008,"&gt;"&amp;N700)+1</f>
        <v>31</v>
      </c>
      <c r="Q700" s="16" t="n">
        <f aca="false">COUNTIFS($A$4:$A$1008,$A700,$O$4:$O$1008,"&gt;"&amp;O700)+1</f>
        <v>15</v>
      </c>
    </row>
    <row r="701" customFormat="false" ht="15" hidden="false" customHeight="false" outlineLevel="0" collapsed="false">
      <c r="A701" s="7" t="n">
        <v>2017</v>
      </c>
      <c r="B701" s="15" t="s">
        <v>156</v>
      </c>
      <c r="C701" s="15" t="s">
        <v>135</v>
      </c>
      <c r="D701" s="15" t="s">
        <v>148</v>
      </c>
      <c r="E701" s="9" t="n">
        <f aca="false">SUMIFS(Data!$L$2:$L$1006,Data!$A$2:$A$1006,$A701,Data!$B$2:$B$1006,$B701)</f>
        <v>469631</v>
      </c>
      <c r="F701" s="10" t="n">
        <f aca="false">SUMIFS(Data!$E$2:$E$1006,Data!$A$2:$A$1006,$A701,Data!$B$2:$B$1006,$B701)</f>
        <v>28.540488</v>
      </c>
      <c r="G701" s="10" t="n">
        <f aca="false">SUMIFS(Data!$F$2:$F$1006,Data!$A$2:$A$1006,$A701,Data!$B$2:$B$1006,$B701)</f>
        <v>35.136553</v>
      </c>
      <c r="H701" s="10" t="n">
        <f aca="false">SUMIFS(Data!$G$2:$G$1006,Data!$A$2:$A$1006,$A701,Data!$B$2:$B$1006,$B701)</f>
        <v>58.354146</v>
      </c>
      <c r="I701" s="10" t="n">
        <f aca="false">SUMIFS(Data!$N$2:$N$1006,Data!$A$2:$A$1006,$A701,Data!$B$2:$B$1006,$B701)</f>
        <v>122.031187</v>
      </c>
      <c r="J701" s="10" t="n">
        <f aca="false">SUMIFS(Data!$H$2:$H$1006,Data!$A$2:$A$1006,$A701,Data!$B$2:$B$1006,$B701)</f>
        <v>178.661065</v>
      </c>
      <c r="K701" s="11" t="n">
        <f aca="false">IFERROR(F701*1000000/$E701,"")</f>
        <v>60.7721551601151</v>
      </c>
      <c r="L701" s="11" t="n">
        <f aca="false">IFERROR(G701*1000000/$E701,"")</f>
        <v>74.8173629934992</v>
      </c>
      <c r="M701" s="11" t="n">
        <f aca="false">IFERROR(H701*1000000/$E701,"")</f>
        <v>124.25531108466</v>
      </c>
      <c r="N701" s="11" t="n">
        <f aca="false">IFERROR(I701*1000000/$E701,"")</f>
        <v>259.844829238274</v>
      </c>
      <c r="O701" s="11" t="n">
        <f aca="false">IFERROR(J701*1000000/$E701,"")</f>
        <v>380.428602455971</v>
      </c>
      <c r="P701" s="16" t="n">
        <f aca="false">COUNTIFS($A$4:$A$1008,$A701,$N$4:$N$1008,"&gt;"&amp;N701)+1</f>
        <v>29</v>
      </c>
      <c r="Q701" s="16" t="n">
        <f aca="false">COUNTIFS($A$4:$A$1008,$A701,$O$4:$O$1008,"&gt;"&amp;O701)+1</f>
        <v>3</v>
      </c>
    </row>
    <row r="702" customFormat="false" ht="15" hidden="false" customHeight="false" outlineLevel="0" collapsed="false">
      <c r="A702" s="7" t="n">
        <v>2017</v>
      </c>
      <c r="B702" s="15" t="s">
        <v>157</v>
      </c>
      <c r="C702" s="15" t="s">
        <v>135</v>
      </c>
      <c r="D702" s="15" t="s">
        <v>148</v>
      </c>
      <c r="E702" s="9" t="n">
        <f aca="false">SUMIFS(Data!$L$2:$L$1006,Data!$A$2:$A$1006,$A702,Data!$B$2:$B$1006,$B702)</f>
        <v>442246</v>
      </c>
      <c r="F702" s="10" t="n">
        <f aca="false">SUMIFS(Data!$E$2:$E$1006,Data!$A$2:$A$1006,$A702,Data!$B$2:$B$1006,$B702)</f>
        <v>32.802783</v>
      </c>
      <c r="G702" s="10" t="n">
        <f aca="false">SUMIFS(Data!$F$2:$F$1006,Data!$A$2:$A$1006,$A702,Data!$B$2:$B$1006,$B702)</f>
        <v>35.813843</v>
      </c>
      <c r="H702" s="10" t="n">
        <f aca="false">SUMIFS(Data!$G$2:$G$1006,Data!$A$2:$A$1006,$A702,Data!$B$2:$B$1006,$B702)</f>
        <v>27.012593</v>
      </c>
      <c r="I702" s="10" t="n">
        <f aca="false">SUMIFS(Data!$N$2:$N$1006,Data!$A$2:$A$1006,$A702,Data!$B$2:$B$1006,$B702)</f>
        <v>95.629219</v>
      </c>
      <c r="J702" s="10" t="n">
        <f aca="false">SUMIFS(Data!$H$2:$H$1006,Data!$A$2:$A$1006,$A702,Data!$B$2:$B$1006,$B702)</f>
        <v>148.710708</v>
      </c>
      <c r="K702" s="11" t="n">
        <f aca="false">IFERROR(F702*1000000/$E702,"")</f>
        <v>74.1731592823903</v>
      </c>
      <c r="L702" s="11" t="n">
        <f aca="false">IFERROR(G702*1000000/$E702,"")</f>
        <v>80.9817228420381</v>
      </c>
      <c r="M702" s="11" t="n">
        <f aca="false">IFERROR(H702*1000000/$E702,"")</f>
        <v>61.0804687888641</v>
      </c>
      <c r="N702" s="11" t="n">
        <f aca="false">IFERROR(I702*1000000/$E702,"")</f>
        <v>216.235350913293</v>
      </c>
      <c r="O702" s="11" t="n">
        <f aca="false">IFERROR(J702*1000000/$E702,"")</f>
        <v>336.262415035975</v>
      </c>
      <c r="P702" s="16" t="n">
        <f aca="false">COUNTIFS($A$4:$A$1008,$A702,$N$4:$N$1008,"&gt;"&amp;N702)+1</f>
        <v>37</v>
      </c>
      <c r="Q702" s="16" t="n">
        <f aca="false">COUNTIFS($A$4:$A$1008,$A702,$O$4:$O$1008,"&gt;"&amp;O702)+1</f>
        <v>4</v>
      </c>
    </row>
    <row r="703" customFormat="false" ht="15" hidden="false" customHeight="false" outlineLevel="0" collapsed="false">
      <c r="A703" s="7" t="n">
        <v>2018</v>
      </c>
      <c r="B703" s="15" t="s">
        <v>101</v>
      </c>
      <c r="C703" s="15" t="s">
        <v>102</v>
      </c>
      <c r="D703" s="15" t="s">
        <v>103</v>
      </c>
      <c r="E703" s="9" t="n">
        <f aca="false">SUMIFS(Data!$L$2:$L$1006,Data!$A$2:$A$1006,$A703,Data!$B$2:$B$1006,$B703)</f>
        <v>751980</v>
      </c>
      <c r="F703" s="10" t="n">
        <f aca="false">SUMIFS(Data!$E$2:$E$1006,Data!$A$2:$A$1006,$A703,Data!$B$2:$B$1006,$B703)</f>
        <v>54.829994</v>
      </c>
      <c r="G703" s="10" t="n">
        <f aca="false">SUMIFS(Data!$F$2:$F$1006,Data!$A$2:$A$1006,$A703,Data!$B$2:$B$1006,$B703)</f>
        <v>47.998566</v>
      </c>
      <c r="H703" s="10" t="n">
        <f aca="false">SUMIFS(Data!$G$2:$G$1006,Data!$A$2:$A$1006,$A703,Data!$B$2:$B$1006,$B703)</f>
        <v>79.919381</v>
      </c>
      <c r="I703" s="10" t="n">
        <f aca="false">SUMIFS(Data!$N$2:$N$1006,Data!$A$2:$A$1006,$A703,Data!$B$2:$B$1006,$B703)</f>
        <v>182.747941</v>
      </c>
      <c r="J703" s="10" t="n">
        <f aca="false">SUMIFS(Data!$H$2:$H$1006,Data!$A$2:$A$1006,$A703,Data!$B$2:$B$1006,$B703)</f>
        <v>115.826064</v>
      </c>
      <c r="K703" s="11" t="n">
        <f aca="false">IFERROR(F703*1000000/$E703,"")</f>
        <v>72.9141652703529</v>
      </c>
      <c r="L703" s="11" t="n">
        <f aca="false">IFERROR(G703*1000000/$E703,"")</f>
        <v>63.8295779143062</v>
      </c>
      <c r="M703" s="11" t="n">
        <f aca="false">IFERROR(H703*1000000/$E703,"")</f>
        <v>106.278599164871</v>
      </c>
      <c r="N703" s="11" t="n">
        <f aca="false">IFERROR(I703*1000000/$E703,"")</f>
        <v>243.022342349531</v>
      </c>
      <c r="O703" s="11" t="n">
        <f aca="false">IFERROR(J703*1000000/$E703,"")</f>
        <v>154.02811776909</v>
      </c>
      <c r="P703" s="16" t="n">
        <f aca="false">COUNTIFS($A$4:$A$1008,$A703,$N$4:$N$1008,"&gt;"&amp;N703)+1</f>
        <v>34</v>
      </c>
      <c r="Q703" s="16" t="n">
        <f aca="false">COUNTIFS($A$4:$A$1008,$A703,$O$4:$O$1008,"&gt;"&amp;O703)+1</f>
        <v>34</v>
      </c>
    </row>
    <row r="704" customFormat="false" ht="15" hidden="false" customHeight="false" outlineLevel="0" collapsed="false">
      <c r="A704" s="7" t="n">
        <v>2018</v>
      </c>
      <c r="B704" s="15" t="s">
        <v>104</v>
      </c>
      <c r="C704" s="15" t="s">
        <v>102</v>
      </c>
      <c r="D704" s="15" t="s">
        <v>105</v>
      </c>
      <c r="E704" s="9" t="n">
        <f aca="false">SUMIFS(Data!$L$2:$L$1006,Data!$A$2:$A$1006,$A704,Data!$B$2:$B$1006,$B704)</f>
        <v>1131190</v>
      </c>
      <c r="F704" s="10" t="n">
        <f aca="false">SUMIFS(Data!$E$2:$E$1006,Data!$A$2:$A$1006,$A704,Data!$B$2:$B$1006,$B704)</f>
        <v>251.047768</v>
      </c>
      <c r="G704" s="10" t="n">
        <f aca="false">SUMIFS(Data!$F$2:$F$1006,Data!$A$2:$A$1006,$A704,Data!$B$2:$B$1006,$B704)</f>
        <v>159.250381</v>
      </c>
      <c r="H704" s="10" t="n">
        <f aca="false">SUMIFS(Data!$G$2:$G$1006,Data!$A$2:$A$1006,$A704,Data!$B$2:$B$1006,$B704)</f>
        <v>133.206862</v>
      </c>
      <c r="I704" s="10" t="n">
        <f aca="false">SUMIFS(Data!$N$2:$N$1006,Data!$A$2:$A$1006,$A704,Data!$B$2:$B$1006,$B704)</f>
        <v>543.505011</v>
      </c>
      <c r="J704" s="10" t="n">
        <f aca="false">SUMIFS(Data!$H$2:$H$1006,Data!$A$2:$A$1006,$A704,Data!$B$2:$B$1006,$B704)</f>
        <v>240.663314</v>
      </c>
      <c r="K704" s="11" t="n">
        <f aca="false">IFERROR(F704*1000000/$E704,"")</f>
        <v>221.932449897895</v>
      </c>
      <c r="L704" s="11" t="n">
        <f aca="false">IFERROR(G704*1000000/$E704,"")</f>
        <v>140.781284311212</v>
      </c>
      <c r="M704" s="11" t="n">
        <f aca="false">IFERROR(H704*1000000/$E704,"")</f>
        <v>117.758167947029</v>
      </c>
      <c r="N704" s="11" t="n">
        <f aca="false">IFERROR(I704*1000000/$E704,"")</f>
        <v>480.471902156137</v>
      </c>
      <c r="O704" s="11" t="n">
        <f aca="false">IFERROR(J704*1000000/$E704,"")</f>
        <v>212.752335151478</v>
      </c>
      <c r="P704" s="16" t="n">
        <f aca="false">COUNTIFS($A$4:$A$1008,$A704,$N$4:$N$1008,"&gt;"&amp;N704)+1</f>
        <v>2</v>
      </c>
      <c r="Q704" s="16" t="n">
        <f aca="false">COUNTIFS($A$4:$A$1008,$A704,$O$4:$O$1008,"&gt;"&amp;O704)+1</f>
        <v>31</v>
      </c>
    </row>
    <row r="705" customFormat="false" ht="15" hidden="false" customHeight="false" outlineLevel="0" collapsed="false">
      <c r="A705" s="7" t="n">
        <v>2018</v>
      </c>
      <c r="B705" s="15" t="s">
        <v>106</v>
      </c>
      <c r="C705" s="15" t="s">
        <v>102</v>
      </c>
      <c r="D705" s="15" t="s">
        <v>107</v>
      </c>
      <c r="E705" s="9" t="n">
        <f aca="false">SUMIFS(Data!$L$2:$L$1006,Data!$A$2:$A$1006,$A705,Data!$B$2:$B$1006,$B705)</f>
        <v>569982</v>
      </c>
      <c r="F705" s="10" t="n">
        <f aca="false">SUMIFS(Data!$E$2:$E$1006,Data!$A$2:$A$1006,$A705,Data!$B$2:$B$1006,$B705)</f>
        <v>113.131535</v>
      </c>
      <c r="G705" s="10" t="n">
        <f aca="false">SUMIFS(Data!$F$2:$F$1006,Data!$A$2:$A$1006,$A705,Data!$B$2:$B$1006,$B705)</f>
        <v>60.642023</v>
      </c>
      <c r="H705" s="10" t="n">
        <f aca="false">SUMIFS(Data!$G$2:$G$1006,Data!$A$2:$A$1006,$A705,Data!$B$2:$B$1006,$B705)</f>
        <v>56.374179</v>
      </c>
      <c r="I705" s="10" t="n">
        <f aca="false">SUMIFS(Data!$N$2:$N$1006,Data!$A$2:$A$1006,$A705,Data!$B$2:$B$1006,$B705)</f>
        <v>230.147737</v>
      </c>
      <c r="J705" s="10" t="n">
        <f aca="false">SUMIFS(Data!$H$2:$H$1006,Data!$A$2:$A$1006,$A705,Data!$B$2:$B$1006,$B705)</f>
        <v>161.741359</v>
      </c>
      <c r="K705" s="11" t="n">
        <f aca="false">IFERROR(F705*1000000/$E705,"")</f>
        <v>198.482645065985</v>
      </c>
      <c r="L705" s="11" t="n">
        <f aca="false">IFERROR(G705*1000000/$E705,"")</f>
        <v>106.39287381005</v>
      </c>
      <c r="M705" s="11" t="n">
        <f aca="false">IFERROR(H705*1000000/$E705,"")</f>
        <v>98.9051917428971</v>
      </c>
      <c r="N705" s="11" t="n">
        <f aca="false">IFERROR(I705*1000000/$E705,"")</f>
        <v>403.780710618932</v>
      </c>
      <c r="O705" s="11" t="n">
        <f aca="false">IFERROR(J705*1000000/$E705,"")</f>
        <v>283.765731198529</v>
      </c>
      <c r="P705" s="16" t="n">
        <f aca="false">COUNTIFS($A$4:$A$1008,$A705,$N$4:$N$1008,"&gt;"&amp;N705)+1</f>
        <v>8</v>
      </c>
      <c r="Q705" s="16" t="n">
        <f aca="false">COUNTIFS($A$4:$A$1008,$A705,$O$4:$O$1008,"&gt;"&amp;O705)+1</f>
        <v>14</v>
      </c>
    </row>
    <row r="706" customFormat="false" ht="15" hidden="false" customHeight="false" outlineLevel="0" collapsed="false">
      <c r="A706" s="7" t="n">
        <v>2018</v>
      </c>
      <c r="B706" s="15" t="s">
        <v>108</v>
      </c>
      <c r="C706" s="15" t="s">
        <v>102</v>
      </c>
      <c r="D706" s="15" t="s">
        <v>109</v>
      </c>
      <c r="E706" s="9" t="n">
        <f aca="false">SUMIFS(Data!$L$2:$L$1006,Data!$A$2:$A$1006,$A706,Data!$B$2:$B$1006,$B706)</f>
        <v>391872</v>
      </c>
      <c r="F706" s="10" t="n">
        <f aca="false">SUMIFS(Data!$E$2:$E$1006,Data!$A$2:$A$1006,$A706,Data!$B$2:$B$1006,$B706)</f>
        <v>66.042321</v>
      </c>
      <c r="G706" s="10" t="n">
        <f aca="false">SUMIFS(Data!$F$2:$F$1006,Data!$A$2:$A$1006,$A706,Data!$B$2:$B$1006,$B706)</f>
        <v>23.228071</v>
      </c>
      <c r="H706" s="10" t="n">
        <f aca="false">SUMIFS(Data!$G$2:$G$1006,Data!$A$2:$A$1006,$A706,Data!$B$2:$B$1006,$B706)</f>
        <v>43.292759</v>
      </c>
      <c r="I706" s="10" t="n">
        <f aca="false">SUMIFS(Data!$N$2:$N$1006,Data!$A$2:$A$1006,$A706,Data!$B$2:$B$1006,$B706)</f>
        <v>132.563151</v>
      </c>
      <c r="J706" s="10" t="n">
        <f aca="false">SUMIFS(Data!$H$2:$H$1006,Data!$A$2:$A$1006,$A706,Data!$B$2:$B$1006,$B706)</f>
        <v>114.120016</v>
      </c>
      <c r="K706" s="11" t="n">
        <f aca="false">IFERROR(F706*1000000/$E706,"")</f>
        <v>168.530338988241</v>
      </c>
      <c r="L706" s="11" t="n">
        <f aca="false">IFERROR(G706*1000000/$E706,"")</f>
        <v>59.2746381471501</v>
      </c>
      <c r="M706" s="11" t="n">
        <f aca="false">IFERROR(H706*1000000/$E706,"")</f>
        <v>110.476785787196</v>
      </c>
      <c r="N706" s="11" t="n">
        <f aca="false">IFERROR(I706*1000000/$E706,"")</f>
        <v>338.281762922587</v>
      </c>
      <c r="O706" s="11" t="n">
        <f aca="false">IFERROR(J706*1000000/$E706,"")</f>
        <v>291.217581251021</v>
      </c>
      <c r="P706" s="16" t="n">
        <f aca="false">COUNTIFS($A$4:$A$1008,$A706,$N$4:$N$1008,"&gt;"&amp;N706)+1</f>
        <v>19</v>
      </c>
      <c r="Q706" s="16" t="n">
        <f aca="false">COUNTIFS($A$4:$A$1008,$A706,$O$4:$O$1008,"&gt;"&amp;O706)+1</f>
        <v>11</v>
      </c>
    </row>
    <row r="707" customFormat="false" ht="15" hidden="false" customHeight="false" outlineLevel="0" collapsed="false">
      <c r="A707" s="7" t="n">
        <v>2018</v>
      </c>
      <c r="B707" s="15" t="s">
        <v>110</v>
      </c>
      <c r="C707" s="15" t="s">
        <v>102</v>
      </c>
      <c r="D707" s="15" t="s">
        <v>103</v>
      </c>
      <c r="E707" s="9" t="n">
        <f aca="false">SUMIFS(Data!$L$2:$L$1006,Data!$A$2:$A$1006,$A707,Data!$B$2:$B$1006,$B707)</f>
        <v>1050129</v>
      </c>
      <c r="F707" s="10" t="n">
        <f aca="false">SUMIFS(Data!$E$2:$E$1006,Data!$A$2:$A$1006,$A707,Data!$B$2:$B$1006,$B707)</f>
        <v>72.467203</v>
      </c>
      <c r="G707" s="10" t="n">
        <f aca="false">SUMIFS(Data!$F$2:$F$1006,Data!$A$2:$A$1006,$A707,Data!$B$2:$B$1006,$B707)</f>
        <v>60.096678</v>
      </c>
      <c r="H707" s="10" t="n">
        <f aca="false">SUMIFS(Data!$G$2:$G$1006,Data!$A$2:$A$1006,$A707,Data!$B$2:$B$1006,$B707)</f>
        <v>80.502757</v>
      </c>
      <c r="I707" s="10" t="n">
        <f aca="false">SUMIFS(Data!$N$2:$N$1006,Data!$A$2:$A$1006,$A707,Data!$B$2:$B$1006,$B707)</f>
        <v>213.066638</v>
      </c>
      <c r="J707" s="10" t="n">
        <f aca="false">SUMIFS(Data!$H$2:$H$1006,Data!$A$2:$A$1006,$A707,Data!$B$2:$B$1006,$B707)</f>
        <v>117.959251</v>
      </c>
      <c r="K707" s="11" t="n">
        <f aca="false">IFERROR(F707*1000000/$E707,"")</f>
        <v>69.0079056953955</v>
      </c>
      <c r="L707" s="11" t="n">
        <f aca="false">IFERROR(G707*1000000/$E707,"")</f>
        <v>57.2279005722154</v>
      </c>
      <c r="M707" s="11" t="n">
        <f aca="false">IFERROR(H707*1000000/$E707,"")</f>
        <v>76.6598741678403</v>
      </c>
      <c r="N707" s="11" t="n">
        <f aca="false">IFERROR(I707*1000000/$E707,"")</f>
        <v>202.895680435451</v>
      </c>
      <c r="O707" s="11" t="n">
        <f aca="false">IFERROR(J707*1000000/$E707,"")</f>
        <v>112.328343470183</v>
      </c>
      <c r="P707" s="16" t="n">
        <f aca="false">COUNTIFS($A$4:$A$1008,$A707,$N$4:$N$1008,"&gt;"&amp;N707)+1</f>
        <v>38</v>
      </c>
      <c r="Q707" s="16" t="n">
        <f aca="false">COUNTIFS($A$4:$A$1008,$A707,$O$4:$O$1008,"&gt;"&amp;O707)+1</f>
        <v>38</v>
      </c>
    </row>
    <row r="708" customFormat="false" ht="15" hidden="false" customHeight="false" outlineLevel="0" collapsed="false">
      <c r="A708" s="7" t="n">
        <v>2018</v>
      </c>
      <c r="B708" s="15" t="s">
        <v>111</v>
      </c>
      <c r="C708" s="15" t="s">
        <v>102</v>
      </c>
      <c r="D708" s="15" t="s">
        <v>107</v>
      </c>
      <c r="E708" s="9" t="n">
        <f aca="false">SUMIFS(Data!$L$2:$L$1006,Data!$A$2:$A$1006,$A708,Data!$B$2:$B$1006,$B708)</f>
        <v>586891</v>
      </c>
      <c r="F708" s="10" t="n">
        <f aca="false">SUMIFS(Data!$E$2:$E$1006,Data!$A$2:$A$1006,$A708,Data!$B$2:$B$1006,$B708)</f>
        <v>85.013346</v>
      </c>
      <c r="G708" s="10" t="n">
        <f aca="false">SUMIFS(Data!$F$2:$F$1006,Data!$A$2:$A$1006,$A708,Data!$B$2:$B$1006,$B708)</f>
        <v>65.785144</v>
      </c>
      <c r="H708" s="10" t="n">
        <f aca="false">SUMIFS(Data!$G$2:$G$1006,Data!$A$2:$A$1006,$A708,Data!$B$2:$B$1006,$B708)</f>
        <v>63.262328</v>
      </c>
      <c r="I708" s="10" t="n">
        <f aca="false">SUMIFS(Data!$N$2:$N$1006,Data!$A$2:$A$1006,$A708,Data!$B$2:$B$1006,$B708)</f>
        <v>214.060818</v>
      </c>
      <c r="J708" s="10" t="n">
        <f aca="false">SUMIFS(Data!$H$2:$H$1006,Data!$A$2:$A$1006,$A708,Data!$B$2:$B$1006,$B708)</f>
        <v>160.386913</v>
      </c>
      <c r="K708" s="11" t="n">
        <f aca="false">IFERROR(F708*1000000/$E708,"")</f>
        <v>144.853722411828</v>
      </c>
      <c r="L708" s="11" t="n">
        <f aca="false">IFERROR(G708*1000000/$E708,"")</f>
        <v>112.09090614782</v>
      </c>
      <c r="M708" s="11" t="n">
        <f aca="false">IFERROR(H708*1000000/$E708,"")</f>
        <v>107.792295332523</v>
      </c>
      <c r="N708" s="11" t="n">
        <f aca="false">IFERROR(I708*1000000/$E708,"")</f>
        <v>364.736923892171</v>
      </c>
      <c r="O708" s="11" t="n">
        <f aca="false">IFERROR(J708*1000000/$E708,"")</f>
        <v>273.282284103863</v>
      </c>
      <c r="P708" s="16" t="n">
        <f aca="false">COUNTIFS($A$4:$A$1008,$A708,$N$4:$N$1008,"&gt;"&amp;N708)+1</f>
        <v>12</v>
      </c>
      <c r="Q708" s="16" t="n">
        <f aca="false">COUNTIFS($A$4:$A$1008,$A708,$O$4:$O$1008,"&gt;"&amp;O708)+1</f>
        <v>21</v>
      </c>
    </row>
    <row r="709" customFormat="false" ht="15" hidden="false" customHeight="false" outlineLevel="0" collapsed="false">
      <c r="A709" s="7" t="n">
        <v>2018</v>
      </c>
      <c r="B709" s="15" t="s">
        <v>112</v>
      </c>
      <c r="C709" s="15" t="s">
        <v>102</v>
      </c>
      <c r="D709" s="15" t="s">
        <v>107</v>
      </c>
      <c r="E709" s="9" t="n">
        <f aca="false">SUMIFS(Data!$L$2:$L$1006,Data!$A$2:$A$1006,$A709,Data!$B$2:$B$1006,$B709)</f>
        <v>166182</v>
      </c>
      <c r="F709" s="10" t="n">
        <f aca="false">SUMIFS(Data!$E$2:$E$1006,Data!$A$2:$A$1006,$A709,Data!$B$2:$B$1006,$B709)</f>
        <v>20.721782</v>
      </c>
      <c r="G709" s="10" t="n">
        <f aca="false">SUMIFS(Data!$F$2:$F$1006,Data!$A$2:$A$1006,$A709,Data!$B$2:$B$1006,$B709)</f>
        <v>17.732017</v>
      </c>
      <c r="H709" s="10" t="n">
        <f aca="false">SUMIFS(Data!$G$2:$G$1006,Data!$A$2:$A$1006,$A709,Data!$B$2:$B$1006,$B709)</f>
        <v>17.561649</v>
      </c>
      <c r="I709" s="10" t="n">
        <f aca="false">SUMIFS(Data!$N$2:$N$1006,Data!$A$2:$A$1006,$A709,Data!$B$2:$B$1006,$B709)</f>
        <v>56.015448</v>
      </c>
      <c r="J709" s="10" t="n">
        <f aca="false">SUMIFS(Data!$H$2:$H$1006,Data!$A$2:$A$1006,$A709,Data!$B$2:$B$1006,$B709)</f>
        <v>42.195086</v>
      </c>
      <c r="K709" s="11" t="n">
        <f aca="false">IFERROR(F709*1000000/$E709,"")</f>
        <v>124.693300116739</v>
      </c>
      <c r="L709" s="11" t="n">
        <f aca="false">IFERROR(G709*1000000/$E709,"")</f>
        <v>106.702392557557</v>
      </c>
      <c r="M709" s="11" t="n">
        <f aca="false">IFERROR(H709*1000000/$E709,"")</f>
        <v>105.677203307217</v>
      </c>
      <c r="N709" s="11" t="n">
        <f aca="false">IFERROR(I709*1000000/$E709,"")</f>
        <v>337.072895981514</v>
      </c>
      <c r="O709" s="11" t="n">
        <f aca="false">IFERROR(J709*1000000/$E709,"")</f>
        <v>253.908883031857</v>
      </c>
      <c r="P709" s="16" t="n">
        <f aca="false">COUNTIFS($A$4:$A$1008,$A709,$N$4:$N$1008,"&gt;"&amp;N709)+1</f>
        <v>20</v>
      </c>
      <c r="Q709" s="16" t="n">
        <f aca="false">COUNTIFS($A$4:$A$1008,$A709,$O$4:$O$1008,"&gt;"&amp;O709)+1</f>
        <v>25</v>
      </c>
    </row>
    <row r="710" customFormat="false" ht="15" hidden="false" customHeight="false" outlineLevel="0" collapsed="false">
      <c r="A710" s="7" t="n">
        <v>2018</v>
      </c>
      <c r="B710" s="15" t="s">
        <v>113</v>
      </c>
      <c r="C710" s="15" t="s">
        <v>102</v>
      </c>
      <c r="D710" s="15" t="s">
        <v>114</v>
      </c>
      <c r="E710" s="9" t="n">
        <f aca="false">SUMIFS(Data!$L$2:$L$1006,Data!$A$2:$A$1006,$A710,Data!$B$2:$B$1006,$B710)</f>
        <v>411623</v>
      </c>
      <c r="F710" s="10" t="n">
        <f aca="false">SUMIFS(Data!$E$2:$E$1006,Data!$A$2:$A$1006,$A710,Data!$B$2:$B$1006,$B710)</f>
        <v>36.973813</v>
      </c>
      <c r="G710" s="10" t="n">
        <f aca="false">SUMIFS(Data!$F$2:$F$1006,Data!$A$2:$A$1006,$A710,Data!$B$2:$B$1006,$B710)</f>
        <v>30.982234</v>
      </c>
      <c r="H710" s="10" t="n">
        <f aca="false">SUMIFS(Data!$G$2:$G$1006,Data!$A$2:$A$1006,$A710,Data!$B$2:$B$1006,$B710)</f>
        <v>46.823169</v>
      </c>
      <c r="I710" s="10" t="n">
        <f aca="false">SUMIFS(Data!$N$2:$N$1006,Data!$A$2:$A$1006,$A710,Data!$B$2:$B$1006,$B710)</f>
        <v>114.779216</v>
      </c>
      <c r="J710" s="10" t="n">
        <f aca="false">SUMIFS(Data!$H$2:$H$1006,Data!$A$2:$A$1006,$A710,Data!$B$2:$B$1006,$B710)</f>
        <v>99.400747</v>
      </c>
      <c r="K710" s="11" t="n">
        <f aca="false">IFERROR(F710*1000000/$E710,"")</f>
        <v>89.8244583028645</v>
      </c>
      <c r="L710" s="11" t="n">
        <f aca="false">IFERROR(G710*1000000/$E710,"")</f>
        <v>75.2684713925121</v>
      </c>
      <c r="M710" s="11" t="n">
        <f aca="false">IFERROR(H710*1000000/$E710,"")</f>
        <v>113.752557558737</v>
      </c>
      <c r="N710" s="11" t="n">
        <f aca="false">IFERROR(I710*1000000/$E710,"")</f>
        <v>278.845487254114</v>
      </c>
      <c r="O710" s="11" t="n">
        <f aca="false">IFERROR(J710*1000000/$E710,"")</f>
        <v>241.484919452995</v>
      </c>
      <c r="P710" s="16" t="n">
        <f aca="false">COUNTIFS($A$4:$A$1008,$A710,$N$4:$N$1008,"&gt;"&amp;N710)+1</f>
        <v>28</v>
      </c>
      <c r="Q710" s="16" t="n">
        <f aca="false">COUNTIFS($A$4:$A$1008,$A710,$O$4:$O$1008,"&gt;"&amp;O710)+1</f>
        <v>29</v>
      </c>
    </row>
    <row r="711" customFormat="false" ht="15" hidden="false" customHeight="false" outlineLevel="0" collapsed="false">
      <c r="A711" s="7" t="n">
        <v>2018</v>
      </c>
      <c r="B711" s="15" t="s">
        <v>115</v>
      </c>
      <c r="C711" s="15" t="s">
        <v>102</v>
      </c>
      <c r="D711" s="15" t="s">
        <v>103</v>
      </c>
      <c r="E711" s="9" t="n">
        <f aca="false">SUMIFS(Data!$L$2:$L$1006,Data!$A$2:$A$1006,$A711,Data!$B$2:$B$1006,$B711)</f>
        <v>310979</v>
      </c>
      <c r="F711" s="10" t="n">
        <f aca="false">SUMIFS(Data!$E$2:$E$1006,Data!$A$2:$A$1006,$A711,Data!$B$2:$B$1006,$B711)</f>
        <v>20.109846</v>
      </c>
      <c r="G711" s="10" t="n">
        <f aca="false">SUMIFS(Data!$F$2:$F$1006,Data!$A$2:$A$1006,$A711,Data!$B$2:$B$1006,$B711)</f>
        <v>22.758918</v>
      </c>
      <c r="H711" s="10" t="n">
        <f aca="false">SUMIFS(Data!$G$2:$G$1006,Data!$A$2:$A$1006,$A711,Data!$B$2:$B$1006,$B711)</f>
        <v>32.192074</v>
      </c>
      <c r="I711" s="10" t="n">
        <f aca="false">SUMIFS(Data!$N$2:$N$1006,Data!$A$2:$A$1006,$A711,Data!$B$2:$B$1006,$B711)</f>
        <v>75.060838</v>
      </c>
      <c r="J711" s="10" t="n">
        <f aca="false">SUMIFS(Data!$H$2:$H$1006,Data!$A$2:$A$1006,$A711,Data!$B$2:$B$1006,$B711)</f>
        <v>31.595818</v>
      </c>
      <c r="K711" s="11" t="n">
        <f aca="false">IFERROR(F711*1000000/$E711,"")</f>
        <v>64.6662507757759</v>
      </c>
      <c r="L711" s="11" t="n">
        <f aca="false">IFERROR(G711*1000000/$E711,"")</f>
        <v>73.1847423781027</v>
      </c>
      <c r="M711" s="11" t="n">
        <f aca="false">IFERROR(H711*1000000/$E711,"")</f>
        <v>103.518481955373</v>
      </c>
      <c r="N711" s="11" t="n">
        <f aca="false">IFERROR(I711*1000000/$E711,"")</f>
        <v>241.369475109252</v>
      </c>
      <c r="O711" s="11" t="n">
        <f aca="false">IFERROR(J711*1000000/$E711,"")</f>
        <v>101.601130622968</v>
      </c>
      <c r="P711" s="16" t="n">
        <f aca="false">COUNTIFS($A$4:$A$1008,$A711,$N$4:$N$1008,"&gt;"&amp;N711)+1</f>
        <v>35</v>
      </c>
      <c r="Q711" s="16" t="n">
        <f aca="false">COUNTIFS($A$4:$A$1008,$A711,$O$4:$O$1008,"&gt;"&amp;O711)+1</f>
        <v>39</v>
      </c>
    </row>
    <row r="712" customFormat="false" ht="15" hidden="false" customHeight="false" outlineLevel="0" collapsed="false">
      <c r="A712" s="7" t="n">
        <v>2018</v>
      </c>
      <c r="B712" s="15" t="s">
        <v>116</v>
      </c>
      <c r="C712" s="15" t="s">
        <v>102</v>
      </c>
      <c r="D712" s="15" t="s">
        <v>107</v>
      </c>
      <c r="E712" s="9" t="n">
        <f aca="false">SUMIFS(Data!$L$2:$L$1006,Data!$A$2:$A$1006,$A712,Data!$B$2:$B$1006,$B712)</f>
        <v>726159</v>
      </c>
      <c r="F712" s="10" t="n">
        <f aca="false">SUMIFS(Data!$E$2:$E$1006,Data!$A$2:$A$1006,$A712,Data!$B$2:$B$1006,$B712)</f>
        <v>83.936216</v>
      </c>
      <c r="G712" s="10" t="n">
        <f aca="false">SUMIFS(Data!$F$2:$F$1006,Data!$A$2:$A$1006,$A712,Data!$B$2:$B$1006,$B712)</f>
        <v>68.507176</v>
      </c>
      <c r="H712" s="10" t="n">
        <f aca="false">SUMIFS(Data!$G$2:$G$1006,Data!$A$2:$A$1006,$A712,Data!$B$2:$B$1006,$B712)</f>
        <v>51.726588</v>
      </c>
      <c r="I712" s="10" t="n">
        <f aca="false">SUMIFS(Data!$N$2:$N$1006,Data!$A$2:$A$1006,$A712,Data!$B$2:$B$1006,$B712)</f>
        <v>204.16998</v>
      </c>
      <c r="J712" s="10" t="n">
        <f aca="false">SUMIFS(Data!$H$2:$H$1006,Data!$A$2:$A$1006,$A712,Data!$B$2:$B$1006,$B712)</f>
        <v>203.511574</v>
      </c>
      <c r="K712" s="11" t="n">
        <f aca="false">IFERROR(F712*1000000/$E712,"")</f>
        <v>115.589307575889</v>
      </c>
      <c r="L712" s="11" t="n">
        <f aca="false">IFERROR(G712*1000000/$E712,"")</f>
        <v>94.3418397348239</v>
      </c>
      <c r="M712" s="11" t="n">
        <f aca="false">IFERROR(H712*1000000/$E712,"")</f>
        <v>71.2331431545984</v>
      </c>
      <c r="N712" s="11" t="n">
        <f aca="false">IFERROR(I712*1000000/$E712,"")</f>
        <v>281.164290465311</v>
      </c>
      <c r="O712" s="11" t="n">
        <f aca="false">IFERROR(J712*1000000/$E712,"")</f>
        <v>280.257593722587</v>
      </c>
      <c r="P712" s="16" t="n">
        <f aca="false">COUNTIFS($A$4:$A$1008,$A712,$N$4:$N$1008,"&gt;"&amp;N712)+1</f>
        <v>27</v>
      </c>
      <c r="Q712" s="16" t="n">
        <f aca="false">COUNTIFS($A$4:$A$1008,$A712,$O$4:$O$1008,"&gt;"&amp;O712)+1</f>
        <v>17</v>
      </c>
    </row>
    <row r="713" customFormat="false" ht="15" hidden="false" customHeight="false" outlineLevel="0" collapsed="false">
      <c r="A713" s="7" t="n">
        <v>2018</v>
      </c>
      <c r="B713" s="15" t="s">
        <v>117</v>
      </c>
      <c r="C713" s="15" t="s">
        <v>118</v>
      </c>
      <c r="D713" s="15" t="s">
        <v>103</v>
      </c>
      <c r="E713" s="9" t="n">
        <f aca="false">SUMIFS(Data!$L$2:$L$1006,Data!$A$2:$A$1006,$A713,Data!$B$2:$B$1006,$B713)</f>
        <v>1484322</v>
      </c>
      <c r="F713" s="10" t="n">
        <f aca="false">SUMIFS(Data!$E$2:$E$1006,Data!$A$2:$A$1006,$A713,Data!$B$2:$B$1006,$B713)</f>
        <v>194.083311</v>
      </c>
      <c r="G713" s="10" t="n">
        <f aca="false">SUMIFS(Data!$F$2:$F$1006,Data!$A$2:$A$1006,$A713,Data!$B$2:$B$1006,$B713)</f>
        <v>200.629287</v>
      </c>
      <c r="H713" s="10" t="n">
        <f aca="false">SUMIFS(Data!$G$2:$G$1006,Data!$A$2:$A$1006,$A713,Data!$B$2:$B$1006,$B713)</f>
        <v>143.04313</v>
      </c>
      <c r="I713" s="10" t="n">
        <f aca="false">SUMIFS(Data!$N$2:$N$1006,Data!$A$2:$A$1006,$A713,Data!$B$2:$B$1006,$B713)</f>
        <v>537.755728</v>
      </c>
      <c r="J713" s="10" t="n">
        <f aca="false">SUMIFS(Data!$H$2:$H$1006,Data!$A$2:$A$1006,$A713,Data!$B$2:$B$1006,$B713)</f>
        <v>407.686236</v>
      </c>
      <c r="K713" s="11" t="n">
        <f aca="false">IFERROR(F713*1000000/$E713,"")</f>
        <v>130.755530808005</v>
      </c>
      <c r="L713" s="11" t="n">
        <f aca="false">IFERROR(G713*1000000/$E713,"")</f>
        <v>135.16560894469</v>
      </c>
      <c r="M713" s="11" t="n">
        <f aca="false">IFERROR(H713*1000000/$E713,"")</f>
        <v>96.3693389978724</v>
      </c>
      <c r="N713" s="11" t="n">
        <f aca="false">IFERROR(I713*1000000/$E713,"")</f>
        <v>362.290478750568</v>
      </c>
      <c r="O713" s="11" t="n">
        <f aca="false">IFERROR(J713*1000000/$E713,"")</f>
        <v>274.661586906345</v>
      </c>
      <c r="P713" s="16" t="n">
        <f aca="false">COUNTIFS($A$4:$A$1008,$A713,$N$4:$N$1008,"&gt;"&amp;N713)+1</f>
        <v>14</v>
      </c>
      <c r="Q713" s="16" t="n">
        <f aca="false">COUNTIFS($A$4:$A$1008,$A713,$O$4:$O$1008,"&gt;"&amp;O713)+1</f>
        <v>20</v>
      </c>
    </row>
    <row r="714" customFormat="false" ht="15" hidden="false" customHeight="false" outlineLevel="0" collapsed="false">
      <c r="A714" s="7" t="n">
        <v>2018</v>
      </c>
      <c r="B714" s="15" t="s">
        <v>119</v>
      </c>
      <c r="C714" s="15" t="s">
        <v>118</v>
      </c>
      <c r="D714" s="15" t="s">
        <v>103</v>
      </c>
      <c r="E714" s="9" t="n">
        <f aca="false">SUMIFS(Data!$L$2:$L$1006,Data!$A$2:$A$1006,$A714,Data!$B$2:$B$1006,$B714)</f>
        <v>523492</v>
      </c>
      <c r="F714" s="10" t="n">
        <f aca="false">SUMIFS(Data!$E$2:$E$1006,Data!$A$2:$A$1006,$A714,Data!$B$2:$B$1006,$B714)</f>
        <v>38.848651</v>
      </c>
      <c r="G714" s="10" t="n">
        <f aca="false">SUMIFS(Data!$F$2:$F$1006,Data!$A$2:$A$1006,$A714,Data!$B$2:$B$1006,$B714)</f>
        <v>14.914992</v>
      </c>
      <c r="H714" s="10" t="n">
        <f aca="false">SUMIFS(Data!$G$2:$G$1006,Data!$A$2:$A$1006,$A714,Data!$B$2:$B$1006,$B714)</f>
        <v>57.897428</v>
      </c>
      <c r="I714" s="10" t="n">
        <f aca="false">SUMIFS(Data!$N$2:$N$1006,Data!$A$2:$A$1006,$A714,Data!$B$2:$B$1006,$B714)</f>
        <v>111.661071</v>
      </c>
      <c r="J714" s="10" t="n">
        <f aca="false">SUMIFS(Data!$H$2:$H$1006,Data!$A$2:$A$1006,$A714,Data!$B$2:$B$1006,$B714)</f>
        <v>62.449089</v>
      </c>
      <c r="K714" s="11" t="n">
        <f aca="false">IFERROR(F714*1000000/$E714,"")</f>
        <v>74.2105915658692</v>
      </c>
      <c r="L714" s="11" t="n">
        <f aca="false">IFERROR(G714*1000000/$E714,"")</f>
        <v>28.4913465726315</v>
      </c>
      <c r="M714" s="11" t="n">
        <f aca="false">IFERROR(H714*1000000/$E714,"")</f>
        <v>110.598496252092</v>
      </c>
      <c r="N714" s="11" t="n">
        <f aca="false">IFERROR(I714*1000000/$E714,"")</f>
        <v>213.300434390592</v>
      </c>
      <c r="O714" s="11" t="n">
        <f aca="false">IFERROR(J714*1000000/$E714,"")</f>
        <v>119.293301521322</v>
      </c>
      <c r="P714" s="16" t="n">
        <f aca="false">COUNTIFS($A$4:$A$1008,$A714,$N$4:$N$1008,"&gt;"&amp;N714)+1</f>
        <v>36</v>
      </c>
      <c r="Q714" s="16" t="n">
        <f aca="false">COUNTIFS($A$4:$A$1008,$A714,$O$4:$O$1008,"&gt;"&amp;O714)+1</f>
        <v>37</v>
      </c>
    </row>
    <row r="715" customFormat="false" ht="15" hidden="false" customHeight="false" outlineLevel="0" collapsed="false">
      <c r="A715" s="7" t="n">
        <v>2018</v>
      </c>
      <c r="B715" s="15" t="s">
        <v>120</v>
      </c>
      <c r="C715" s="15" t="s">
        <v>118</v>
      </c>
      <c r="D715" s="15" t="s">
        <v>121</v>
      </c>
      <c r="E715" s="9" t="n">
        <f aca="false">SUMIFS(Data!$L$2:$L$1006,Data!$A$2:$A$1006,$A715,Data!$B$2:$B$1006,$B715)</f>
        <v>955578</v>
      </c>
      <c r="F715" s="10" t="n">
        <f aca="false">SUMIFS(Data!$E$2:$E$1006,Data!$A$2:$A$1006,$A715,Data!$B$2:$B$1006,$B715)</f>
        <v>202.680331</v>
      </c>
      <c r="G715" s="10" t="n">
        <f aca="false">SUMIFS(Data!$F$2:$F$1006,Data!$A$2:$A$1006,$A715,Data!$B$2:$B$1006,$B715)</f>
        <v>59.765001</v>
      </c>
      <c r="H715" s="10" t="n">
        <f aca="false">SUMIFS(Data!$G$2:$G$1006,Data!$A$2:$A$1006,$A715,Data!$B$2:$B$1006,$B715)</f>
        <v>143.254449</v>
      </c>
      <c r="I715" s="10" t="n">
        <f aca="false">SUMIFS(Data!$N$2:$N$1006,Data!$A$2:$A$1006,$A715,Data!$B$2:$B$1006,$B715)</f>
        <v>405.699781</v>
      </c>
      <c r="J715" s="10" t="n">
        <f aca="false">SUMIFS(Data!$H$2:$H$1006,Data!$A$2:$A$1006,$A715,Data!$B$2:$B$1006,$B715)</f>
        <v>267.0419</v>
      </c>
      <c r="K715" s="11" t="n">
        <f aca="false">IFERROR(F715*1000000/$E715,"")</f>
        <v>212.102341200823</v>
      </c>
      <c r="L715" s="11" t="n">
        <f aca="false">IFERROR(G715*1000000/$E715,"")</f>
        <v>62.5432994480827</v>
      </c>
      <c r="M715" s="11" t="n">
        <f aca="false">IFERROR(H715*1000000/$E715,"")</f>
        <v>149.913925393845</v>
      </c>
      <c r="N715" s="11" t="n">
        <f aca="false">IFERROR(I715*1000000/$E715,"")</f>
        <v>424.559566042751</v>
      </c>
      <c r="O715" s="11" t="n">
        <f aca="false">IFERROR(J715*1000000/$E715,"")</f>
        <v>279.455889524455</v>
      </c>
      <c r="P715" s="16" t="n">
        <f aca="false">COUNTIFS($A$4:$A$1008,$A715,$N$4:$N$1008,"&gt;"&amp;N715)+1</f>
        <v>5</v>
      </c>
      <c r="Q715" s="16" t="n">
        <f aca="false">COUNTIFS($A$4:$A$1008,$A715,$O$4:$O$1008,"&gt;"&amp;O715)+1</f>
        <v>18</v>
      </c>
    </row>
    <row r="716" customFormat="false" ht="15" hidden="false" customHeight="false" outlineLevel="0" collapsed="false">
      <c r="A716" s="7" t="n">
        <v>2018</v>
      </c>
      <c r="B716" s="15" t="s">
        <v>122</v>
      </c>
      <c r="C716" s="15" t="s">
        <v>118</v>
      </c>
      <c r="D716" s="15" t="s">
        <v>105</v>
      </c>
      <c r="E716" s="9" t="n">
        <f aca="false">SUMIFS(Data!$L$2:$L$1006,Data!$A$2:$A$1006,$A716,Data!$B$2:$B$1006,$B716)</f>
        <v>554881</v>
      </c>
      <c r="F716" s="10" t="n">
        <f aca="false">SUMIFS(Data!$E$2:$E$1006,Data!$A$2:$A$1006,$A716,Data!$B$2:$B$1006,$B716)</f>
        <v>99.099054</v>
      </c>
      <c r="G716" s="10" t="n">
        <f aca="false">SUMIFS(Data!$F$2:$F$1006,Data!$A$2:$A$1006,$A716,Data!$B$2:$B$1006,$B716)</f>
        <v>105.122147</v>
      </c>
      <c r="H716" s="10" t="n">
        <f aca="false">SUMIFS(Data!$G$2:$G$1006,Data!$A$2:$A$1006,$A716,Data!$B$2:$B$1006,$B716)</f>
        <v>55.35075</v>
      </c>
      <c r="I716" s="10" t="n">
        <f aca="false">SUMIFS(Data!$N$2:$N$1006,Data!$A$2:$A$1006,$A716,Data!$B$2:$B$1006,$B716)</f>
        <v>259.571951</v>
      </c>
      <c r="J716" s="10" t="n">
        <f aca="false">SUMIFS(Data!$H$2:$H$1006,Data!$A$2:$A$1006,$A716,Data!$B$2:$B$1006,$B716)</f>
        <v>158.350185</v>
      </c>
      <c r="K716" s="11" t="n">
        <f aca="false">IFERROR(F716*1000000/$E716,"")</f>
        <v>178.595147428007</v>
      </c>
      <c r="L716" s="11" t="n">
        <f aca="false">IFERROR(G716*1000000/$E716,"")</f>
        <v>189.449894662099</v>
      </c>
      <c r="M716" s="11" t="n">
        <f aca="false">IFERROR(H716*1000000/$E716,"")</f>
        <v>99.7524694484043</v>
      </c>
      <c r="N716" s="11" t="n">
        <f aca="false">IFERROR(I716*1000000/$E716,"")</f>
        <v>467.79751153851</v>
      </c>
      <c r="O716" s="11" t="n">
        <f aca="false">IFERROR(J716*1000000/$E716,"")</f>
        <v>285.376837556161</v>
      </c>
      <c r="P716" s="16" t="n">
        <f aca="false">COUNTIFS($A$4:$A$1008,$A716,$N$4:$N$1008,"&gt;"&amp;N716)+1</f>
        <v>3</v>
      </c>
      <c r="Q716" s="16" t="n">
        <f aca="false">COUNTIFS($A$4:$A$1008,$A716,$O$4:$O$1008,"&gt;"&amp;O716)+1</f>
        <v>13</v>
      </c>
    </row>
    <row r="717" customFormat="false" ht="15" hidden="false" customHeight="false" outlineLevel="0" collapsed="false">
      <c r="A717" s="7" t="n">
        <v>2018</v>
      </c>
      <c r="B717" s="15" t="s">
        <v>123</v>
      </c>
      <c r="C717" s="15" t="s">
        <v>118</v>
      </c>
      <c r="D717" s="15" t="s">
        <v>124</v>
      </c>
      <c r="E717" s="9" t="n">
        <f aca="false">SUMIFS(Data!$L$2:$L$1006,Data!$A$2:$A$1006,$A717,Data!$B$2:$B$1006,$B717)</f>
        <v>1282599</v>
      </c>
      <c r="F717" s="10" t="n">
        <f aca="false">SUMIFS(Data!$E$2:$E$1006,Data!$A$2:$A$1006,$A717,Data!$B$2:$B$1006,$B717)</f>
        <v>235.303888</v>
      </c>
      <c r="G717" s="10" t="n">
        <f aca="false">SUMIFS(Data!$F$2:$F$1006,Data!$A$2:$A$1006,$A717,Data!$B$2:$B$1006,$B717)</f>
        <v>55.248128</v>
      </c>
      <c r="H717" s="10" t="n">
        <f aca="false">SUMIFS(Data!$G$2:$G$1006,Data!$A$2:$A$1006,$A717,Data!$B$2:$B$1006,$B717)</f>
        <v>145.207065</v>
      </c>
      <c r="I717" s="10" t="n">
        <f aca="false">SUMIFS(Data!$N$2:$N$1006,Data!$A$2:$A$1006,$A717,Data!$B$2:$B$1006,$B717)</f>
        <v>435.759081</v>
      </c>
      <c r="J717" s="10" t="n">
        <f aca="false">SUMIFS(Data!$H$2:$H$1006,Data!$A$2:$A$1006,$A717,Data!$B$2:$B$1006,$B717)</f>
        <v>288.304495</v>
      </c>
      <c r="K717" s="11" t="n">
        <f aca="false">IFERROR(F717*1000000/$E717,"")</f>
        <v>183.458655433226</v>
      </c>
      <c r="L717" s="11" t="n">
        <f aca="false">IFERROR(G717*1000000/$E717,"")</f>
        <v>43.0751372798513</v>
      </c>
      <c r="M717" s="11" t="n">
        <f aca="false">IFERROR(H717*1000000/$E717,"")</f>
        <v>113.213143780714</v>
      </c>
      <c r="N717" s="11" t="n">
        <f aca="false">IFERROR(I717*1000000/$E717,"")</f>
        <v>339.746936493791</v>
      </c>
      <c r="O717" s="11" t="n">
        <f aca="false">IFERROR(J717*1000000/$E717,"")</f>
        <v>224.781474958268</v>
      </c>
      <c r="P717" s="16" t="n">
        <f aca="false">COUNTIFS($A$4:$A$1008,$A717,$N$4:$N$1008,"&gt;"&amp;N717)+1</f>
        <v>18</v>
      </c>
      <c r="Q717" s="16" t="n">
        <f aca="false">COUNTIFS($A$4:$A$1008,$A717,$O$4:$O$1008,"&gt;"&amp;O717)+1</f>
        <v>30</v>
      </c>
    </row>
    <row r="718" customFormat="false" ht="15" hidden="false" customHeight="false" outlineLevel="0" collapsed="false">
      <c r="A718" s="7" t="n">
        <v>2018</v>
      </c>
      <c r="B718" s="15" t="s">
        <v>125</v>
      </c>
      <c r="C718" s="15" t="s">
        <v>118</v>
      </c>
      <c r="D718" s="15" t="s">
        <v>126</v>
      </c>
      <c r="E718" s="9" t="n">
        <f aca="false">SUMIFS(Data!$L$2:$L$1006,Data!$A$2:$A$1006,$A718,Data!$B$2:$B$1006,$B718)</f>
        <v>525355</v>
      </c>
      <c r="F718" s="10" t="n">
        <f aca="false">SUMIFS(Data!$E$2:$E$1006,Data!$A$2:$A$1006,$A718,Data!$B$2:$B$1006,$B718)</f>
        <v>80.736882</v>
      </c>
      <c r="G718" s="10" t="n">
        <f aca="false">SUMIFS(Data!$F$2:$F$1006,Data!$A$2:$A$1006,$A718,Data!$B$2:$B$1006,$B718)</f>
        <v>60.873172</v>
      </c>
      <c r="H718" s="10" t="n">
        <f aca="false">SUMIFS(Data!$G$2:$G$1006,Data!$A$2:$A$1006,$A718,Data!$B$2:$B$1006,$B718)</f>
        <v>66.955696</v>
      </c>
      <c r="I718" s="10" t="n">
        <f aca="false">SUMIFS(Data!$N$2:$N$1006,Data!$A$2:$A$1006,$A718,Data!$B$2:$B$1006,$B718)</f>
        <v>208.56575</v>
      </c>
      <c r="J718" s="10" t="n">
        <f aca="false">SUMIFS(Data!$H$2:$H$1006,Data!$A$2:$A$1006,$A718,Data!$B$2:$B$1006,$B718)</f>
        <v>138.777257</v>
      </c>
      <c r="K718" s="11" t="n">
        <f aca="false">IFERROR(F718*1000000/$E718,"")</f>
        <v>153.680619771393</v>
      </c>
      <c r="L718" s="11" t="n">
        <f aca="false">IFERROR(G718*1000000/$E718,"")</f>
        <v>115.870548486262</v>
      </c>
      <c r="M718" s="11" t="n">
        <f aca="false">IFERROR(H718*1000000/$E718,"")</f>
        <v>127.448479599509</v>
      </c>
      <c r="N718" s="11" t="n">
        <f aca="false">IFERROR(I718*1000000/$E718,"")</f>
        <v>396.999647857163</v>
      </c>
      <c r="O718" s="11" t="n">
        <f aca="false">IFERROR(J718*1000000/$E718,"")</f>
        <v>264.159010573803</v>
      </c>
      <c r="P718" s="16" t="n">
        <f aca="false">COUNTIFS($A$4:$A$1008,$A718,$N$4:$N$1008,"&gt;"&amp;N718)+1</f>
        <v>9</v>
      </c>
      <c r="Q718" s="16" t="n">
        <f aca="false">COUNTIFS($A$4:$A$1008,$A718,$O$4:$O$1008,"&gt;"&amp;O718)+1</f>
        <v>23</v>
      </c>
    </row>
    <row r="719" customFormat="false" ht="15" hidden="false" customHeight="false" outlineLevel="0" collapsed="false">
      <c r="A719" s="7" t="n">
        <v>2018</v>
      </c>
      <c r="B719" s="15" t="s">
        <v>127</v>
      </c>
      <c r="C719" s="15" t="s">
        <v>118</v>
      </c>
      <c r="D719" s="15" t="s">
        <v>103</v>
      </c>
      <c r="E719" s="9" t="n">
        <f aca="false">SUMIFS(Data!$L$2:$L$1006,Data!$A$2:$A$1006,$A719,Data!$B$2:$B$1006,$B719)</f>
        <v>718099</v>
      </c>
      <c r="F719" s="10" t="n">
        <f aca="false">SUMIFS(Data!$E$2:$E$1006,Data!$A$2:$A$1006,$A719,Data!$B$2:$B$1006,$B719)</f>
        <v>79.573593</v>
      </c>
      <c r="G719" s="10" t="n">
        <f aca="false">SUMIFS(Data!$F$2:$F$1006,Data!$A$2:$A$1006,$A719,Data!$B$2:$B$1006,$B719)</f>
        <v>25.07161</v>
      </c>
      <c r="H719" s="10" t="n">
        <f aca="false">SUMIFS(Data!$G$2:$G$1006,Data!$A$2:$A$1006,$A719,Data!$B$2:$B$1006,$B719)</f>
        <v>76.127965</v>
      </c>
      <c r="I719" s="10" t="n">
        <f aca="false">SUMIFS(Data!$N$2:$N$1006,Data!$A$2:$A$1006,$A719,Data!$B$2:$B$1006,$B719)</f>
        <v>180.773168</v>
      </c>
      <c r="J719" s="10" t="n">
        <f aca="false">SUMIFS(Data!$H$2:$H$1006,Data!$A$2:$A$1006,$A719,Data!$B$2:$B$1006,$B719)</f>
        <v>207.51757</v>
      </c>
      <c r="K719" s="11" t="n">
        <f aca="false">IFERROR(F719*1000000/$E719,"")</f>
        <v>110.811452181384</v>
      </c>
      <c r="L719" s="11" t="n">
        <f aca="false">IFERROR(G719*1000000/$E719,"")</f>
        <v>34.9138628517795</v>
      </c>
      <c r="M719" s="11" t="n">
        <f aca="false">IFERROR(H719*1000000/$E719,"")</f>
        <v>106.013188989262</v>
      </c>
      <c r="N719" s="11" t="n">
        <f aca="false">IFERROR(I719*1000000/$E719,"")</f>
        <v>251.738504022426</v>
      </c>
      <c r="O719" s="11" t="n">
        <f aca="false">IFERROR(J719*1000000/$E719,"")</f>
        <v>288.981839551371</v>
      </c>
      <c r="P719" s="16" t="n">
        <f aca="false">COUNTIFS($A$4:$A$1008,$A719,$N$4:$N$1008,"&gt;"&amp;N719)+1</f>
        <v>32</v>
      </c>
      <c r="Q719" s="16" t="n">
        <f aca="false">COUNTIFS($A$4:$A$1008,$A719,$O$4:$O$1008,"&gt;"&amp;O719)+1</f>
        <v>12</v>
      </c>
    </row>
    <row r="720" customFormat="false" ht="15" hidden="false" customHeight="false" outlineLevel="0" collapsed="false">
      <c r="A720" s="7" t="n">
        <v>2018</v>
      </c>
      <c r="B720" s="15" t="s">
        <v>128</v>
      </c>
      <c r="C720" s="15" t="s">
        <v>118</v>
      </c>
      <c r="D720" s="15" t="s">
        <v>107</v>
      </c>
      <c r="E720" s="9" t="n">
        <f aca="false">SUMIFS(Data!$L$2:$L$1006,Data!$A$2:$A$1006,$A720,Data!$B$2:$B$1006,$B720)</f>
        <v>597498</v>
      </c>
      <c r="F720" s="10" t="n">
        <f aca="false">SUMIFS(Data!$E$2:$E$1006,Data!$A$2:$A$1006,$A720,Data!$B$2:$B$1006,$B720)</f>
        <v>44.504233</v>
      </c>
      <c r="G720" s="10" t="n">
        <f aca="false">SUMIFS(Data!$F$2:$F$1006,Data!$A$2:$A$1006,$A720,Data!$B$2:$B$1006,$B720)</f>
        <v>66.847004</v>
      </c>
      <c r="H720" s="10" t="n">
        <f aca="false">SUMIFS(Data!$G$2:$G$1006,Data!$A$2:$A$1006,$A720,Data!$B$2:$B$1006,$B720)</f>
        <v>73.978886</v>
      </c>
      <c r="I720" s="10" t="n">
        <f aca="false">SUMIFS(Data!$N$2:$N$1006,Data!$A$2:$A$1006,$A720,Data!$B$2:$B$1006,$B720)</f>
        <v>185.330123</v>
      </c>
      <c r="J720" s="10" t="n">
        <f aca="false">SUMIFS(Data!$H$2:$H$1006,Data!$A$2:$A$1006,$A720,Data!$B$2:$B$1006,$B720)</f>
        <v>216.864049</v>
      </c>
      <c r="K720" s="11" t="n">
        <f aca="false">IFERROR(F720*1000000/$E720,"")</f>
        <v>74.4843212864311</v>
      </c>
      <c r="L720" s="11" t="n">
        <f aca="false">IFERROR(G720*1000000/$E720,"")</f>
        <v>111.87820545006</v>
      </c>
      <c r="M720" s="11" t="n">
        <f aca="false">IFERROR(H720*1000000/$E720,"")</f>
        <v>123.814449588116</v>
      </c>
      <c r="N720" s="11" t="n">
        <f aca="false">IFERROR(I720*1000000/$E720,"")</f>
        <v>310.176976324607</v>
      </c>
      <c r="O720" s="11" t="n">
        <f aca="false">IFERROR(J720*1000000/$E720,"")</f>
        <v>362.95359817104</v>
      </c>
      <c r="P720" s="16" t="n">
        <f aca="false">COUNTIFS($A$4:$A$1008,$A720,$N$4:$N$1008,"&gt;"&amp;N720)+1</f>
        <v>23</v>
      </c>
      <c r="Q720" s="16" t="n">
        <f aca="false">COUNTIFS($A$4:$A$1008,$A720,$O$4:$O$1008,"&gt;"&amp;O720)+1</f>
        <v>4</v>
      </c>
    </row>
    <row r="721" customFormat="false" ht="15" hidden="false" customHeight="false" outlineLevel="0" collapsed="false">
      <c r="A721" s="7" t="n">
        <v>2018</v>
      </c>
      <c r="B721" s="15" t="s">
        <v>129</v>
      </c>
      <c r="C721" s="15" t="s">
        <v>118</v>
      </c>
      <c r="D721" s="15" t="s">
        <v>107</v>
      </c>
      <c r="E721" s="9" t="n">
        <f aca="false">SUMIFS(Data!$L$2:$L$1006,Data!$A$2:$A$1006,$A721,Data!$B$2:$B$1006,$B721)</f>
        <v>1640278</v>
      </c>
      <c r="F721" s="10" t="n">
        <f aca="false">SUMIFS(Data!$E$2:$E$1006,Data!$A$2:$A$1006,$A721,Data!$B$2:$B$1006,$B721)</f>
        <v>334.461898</v>
      </c>
      <c r="G721" s="10" t="n">
        <f aca="false">SUMIFS(Data!$F$2:$F$1006,Data!$A$2:$A$1006,$A721,Data!$B$2:$B$1006,$B721)</f>
        <v>180.027846</v>
      </c>
      <c r="H721" s="10" t="n">
        <f aca="false">SUMIFS(Data!$G$2:$G$1006,Data!$A$2:$A$1006,$A721,Data!$B$2:$B$1006,$B721)</f>
        <v>133.974454</v>
      </c>
      <c r="I721" s="10" t="n">
        <f aca="false">SUMIFS(Data!$N$2:$N$1006,Data!$A$2:$A$1006,$A721,Data!$B$2:$B$1006,$B721)</f>
        <v>648.464198</v>
      </c>
      <c r="J721" s="10" t="n">
        <f aca="false">SUMIFS(Data!$H$2:$H$1006,Data!$A$2:$A$1006,$A721,Data!$B$2:$B$1006,$B721)</f>
        <v>340.861545</v>
      </c>
      <c r="K721" s="11" t="n">
        <f aca="false">IFERROR(F721*1000000/$E721,"")</f>
        <v>203.905617218545</v>
      </c>
      <c r="L721" s="11" t="n">
        <f aca="false">IFERROR(G721*1000000/$E721,"")</f>
        <v>109.754472107777</v>
      </c>
      <c r="M721" s="11" t="n">
        <f aca="false">IFERROR(H721*1000000/$E721,"")</f>
        <v>81.6778948446544</v>
      </c>
      <c r="N721" s="11" t="n">
        <f aca="false">IFERROR(I721*1000000/$E721,"")</f>
        <v>395.337984170976</v>
      </c>
      <c r="O721" s="11" t="n">
        <f aca="false">IFERROR(J721*1000000/$E721,"")</f>
        <v>207.807179636623</v>
      </c>
      <c r="P721" s="16" t="n">
        <f aca="false">COUNTIFS($A$4:$A$1008,$A721,$N$4:$N$1008,"&gt;"&amp;N721)+1</f>
        <v>10</v>
      </c>
      <c r="Q721" s="16" t="n">
        <f aca="false">COUNTIFS($A$4:$A$1008,$A721,$O$4:$O$1008,"&gt;"&amp;O721)+1</f>
        <v>32</v>
      </c>
    </row>
    <row r="722" customFormat="false" ht="15" hidden="false" customHeight="false" outlineLevel="0" collapsed="false">
      <c r="A722" s="7" t="n">
        <v>2018</v>
      </c>
      <c r="B722" s="15" t="s">
        <v>130</v>
      </c>
      <c r="C722" s="15" t="s">
        <v>118</v>
      </c>
      <c r="D722" s="15" t="s">
        <v>107</v>
      </c>
      <c r="E722" s="9" t="n">
        <f aca="false">SUMIFS(Data!$L$2:$L$1006,Data!$A$2:$A$1006,$A722,Data!$B$2:$B$1006,$B722)</f>
        <v>1440560</v>
      </c>
      <c r="F722" s="10" t="n">
        <f aca="false">SUMIFS(Data!$E$2:$E$1006,Data!$A$2:$A$1006,$A722,Data!$B$2:$B$1006,$B722)</f>
        <v>188.325829</v>
      </c>
      <c r="G722" s="10" t="n">
        <f aca="false">SUMIFS(Data!$F$2:$F$1006,Data!$A$2:$A$1006,$A722,Data!$B$2:$B$1006,$B722)</f>
        <v>176.029241</v>
      </c>
      <c r="H722" s="10" t="n">
        <f aca="false">SUMIFS(Data!$G$2:$G$1006,Data!$A$2:$A$1006,$A722,Data!$B$2:$B$1006,$B722)</f>
        <v>150.043715</v>
      </c>
      <c r="I722" s="10" t="n">
        <f aca="false">SUMIFS(Data!$N$2:$N$1006,Data!$A$2:$A$1006,$A722,Data!$B$2:$B$1006,$B722)</f>
        <v>514.398785</v>
      </c>
      <c r="J722" s="10" t="n">
        <f aca="false">SUMIFS(Data!$H$2:$H$1006,Data!$A$2:$A$1006,$A722,Data!$B$2:$B$1006,$B722)</f>
        <v>397.025957</v>
      </c>
      <c r="K722" s="11" t="n">
        <f aca="false">IFERROR(F722*1000000/$E722,"")</f>
        <v>130.730985866607</v>
      </c>
      <c r="L722" s="11" t="n">
        <f aca="false">IFERROR(G722*1000000/$E722,"")</f>
        <v>122.195008191259</v>
      </c>
      <c r="M722" s="11" t="n">
        <f aca="false">IFERROR(H722*1000000/$E722,"")</f>
        <v>104.156518992614</v>
      </c>
      <c r="N722" s="11" t="n">
        <f aca="false">IFERROR(I722*1000000/$E722,"")</f>
        <v>357.08251305048</v>
      </c>
      <c r="O722" s="11" t="n">
        <f aca="false">IFERROR(J722*1000000/$E722,"")</f>
        <v>275.605290303771</v>
      </c>
      <c r="P722" s="16" t="n">
        <f aca="false">COUNTIFS($A$4:$A$1008,$A722,$N$4:$N$1008,"&gt;"&amp;N722)+1</f>
        <v>16</v>
      </c>
      <c r="Q722" s="16" t="n">
        <f aca="false">COUNTIFS($A$4:$A$1008,$A722,$O$4:$O$1008,"&gt;"&amp;O722)+1</f>
        <v>19</v>
      </c>
    </row>
    <row r="723" customFormat="false" ht="15" hidden="false" customHeight="false" outlineLevel="0" collapsed="false">
      <c r="A723" s="7" t="n">
        <v>2018</v>
      </c>
      <c r="B723" s="15" t="s">
        <v>131</v>
      </c>
      <c r="C723" s="15" t="s">
        <v>118</v>
      </c>
      <c r="D723" s="15" t="s">
        <v>132</v>
      </c>
      <c r="E723" s="9" t="n">
        <f aca="false">SUMIFS(Data!$L$2:$L$1006,Data!$A$2:$A$1006,$A723,Data!$B$2:$B$1006,$B723)</f>
        <v>875876</v>
      </c>
      <c r="F723" s="10" t="n">
        <f aca="false">SUMIFS(Data!$E$2:$E$1006,Data!$A$2:$A$1006,$A723,Data!$B$2:$B$1006,$B723)</f>
        <v>176.805232</v>
      </c>
      <c r="G723" s="10" t="n">
        <f aca="false">SUMIFS(Data!$F$2:$F$1006,Data!$A$2:$A$1006,$A723,Data!$B$2:$B$1006,$B723)</f>
        <v>99.572399</v>
      </c>
      <c r="H723" s="10" t="n">
        <f aca="false">SUMIFS(Data!$G$2:$G$1006,Data!$A$2:$A$1006,$A723,Data!$B$2:$B$1006,$B723)</f>
        <v>171.258735</v>
      </c>
      <c r="I723" s="10" t="n">
        <f aca="false">SUMIFS(Data!$N$2:$N$1006,Data!$A$2:$A$1006,$A723,Data!$B$2:$B$1006,$B723)</f>
        <v>447.636366</v>
      </c>
      <c r="J723" s="10" t="n">
        <f aca="false">SUMIFS(Data!$H$2:$H$1006,Data!$A$2:$A$1006,$A723,Data!$B$2:$B$1006,$B723)</f>
        <v>548.419647</v>
      </c>
      <c r="K723" s="11" t="n">
        <f aca="false">IFERROR(F723*1000000/$E723,"")</f>
        <v>201.861030556837</v>
      </c>
      <c r="L723" s="11" t="n">
        <f aca="false">IFERROR(G723*1000000/$E723,"")</f>
        <v>113.683214290607</v>
      </c>
      <c r="M723" s="11" t="n">
        <f aca="false">IFERROR(H723*1000000/$E723,"")</f>
        <v>195.528516593673</v>
      </c>
      <c r="N723" s="11" t="n">
        <f aca="false">IFERROR(I723*1000000/$E723,"")</f>
        <v>511.072761441117</v>
      </c>
      <c r="O723" s="11" t="n">
        <f aca="false">IFERROR(J723*1000000/$E723,"")</f>
        <v>626.138456813522</v>
      </c>
      <c r="P723" s="16" t="n">
        <f aca="false">COUNTIFS($A$4:$A$1008,$A723,$N$4:$N$1008,"&gt;"&amp;N723)+1</f>
        <v>1</v>
      </c>
      <c r="Q723" s="16" t="n">
        <f aca="false">COUNTIFS($A$4:$A$1008,$A723,$O$4:$O$1008,"&gt;"&amp;O723)+1</f>
        <v>1</v>
      </c>
    </row>
    <row r="724" customFormat="false" ht="15" hidden="false" customHeight="false" outlineLevel="0" collapsed="false">
      <c r="A724" s="7" t="n">
        <v>2018</v>
      </c>
      <c r="B724" s="15" t="s">
        <v>133</v>
      </c>
      <c r="C724" s="15" t="s">
        <v>118</v>
      </c>
      <c r="D724" s="15" t="s">
        <v>105</v>
      </c>
      <c r="E724" s="9" t="n">
        <f aca="false">SUMIFS(Data!$L$2:$L$1006,Data!$A$2:$A$1006,$A724,Data!$B$2:$B$1006,$B724)</f>
        <v>2266833</v>
      </c>
      <c r="F724" s="10" t="n">
        <f aca="false">SUMIFS(Data!$E$2:$E$1006,Data!$A$2:$A$1006,$A724,Data!$B$2:$B$1006,$B724)</f>
        <v>197.808296</v>
      </c>
      <c r="G724" s="10" t="n">
        <f aca="false">SUMIFS(Data!$F$2:$F$1006,Data!$A$2:$A$1006,$A724,Data!$B$2:$B$1006,$B724)</f>
        <v>387.472788</v>
      </c>
      <c r="H724" s="10" t="n">
        <f aca="false">SUMIFS(Data!$G$2:$G$1006,Data!$A$2:$A$1006,$A724,Data!$B$2:$B$1006,$B724)</f>
        <v>217.918872</v>
      </c>
      <c r="I724" s="10" t="n">
        <f aca="false">SUMIFS(Data!$N$2:$N$1006,Data!$A$2:$A$1006,$A724,Data!$B$2:$B$1006,$B724)</f>
        <v>803.199956</v>
      </c>
      <c r="J724" s="10" t="n">
        <f aca="false">SUMIFS(Data!$H$2:$H$1006,Data!$A$2:$A$1006,$A724,Data!$B$2:$B$1006,$B724)</f>
        <v>636.450939</v>
      </c>
      <c r="K724" s="11" t="n">
        <f aca="false">IFERROR(F724*1000000/$E724,"")</f>
        <v>87.2619623942302</v>
      </c>
      <c r="L724" s="11" t="n">
        <f aca="false">IFERROR(G724*1000000/$E724,"")</f>
        <v>170.931333715364</v>
      </c>
      <c r="M724" s="11" t="n">
        <f aca="false">IFERROR(H724*1000000/$E724,"")</f>
        <v>96.1336243119806</v>
      </c>
      <c r="N724" s="11" t="n">
        <f aca="false">IFERROR(I724*1000000/$E724,"")</f>
        <v>354.326920421575</v>
      </c>
      <c r="O724" s="11" t="n">
        <f aca="false">IFERROR(J724*1000000/$E724,"")</f>
        <v>280.766575658639</v>
      </c>
      <c r="P724" s="16" t="n">
        <f aca="false">COUNTIFS($A$4:$A$1008,$A724,$N$4:$N$1008,"&gt;"&amp;N724)+1</f>
        <v>17</v>
      </c>
      <c r="Q724" s="16" t="n">
        <f aca="false">COUNTIFS($A$4:$A$1008,$A724,$O$4:$O$1008,"&gt;"&amp;O724)+1</f>
        <v>16</v>
      </c>
    </row>
    <row r="725" customFormat="false" ht="15" hidden="false" customHeight="false" outlineLevel="0" collapsed="false">
      <c r="A725" s="7" t="n">
        <v>2018</v>
      </c>
      <c r="B725" s="15" t="s">
        <v>134</v>
      </c>
      <c r="C725" s="15" t="s">
        <v>135</v>
      </c>
      <c r="D725" s="15" t="s">
        <v>136</v>
      </c>
      <c r="E725" s="9" t="n">
        <f aca="false">SUMIFS(Data!$L$2:$L$1006,Data!$A$2:$A$1006,$A725,Data!$B$2:$B$1006,$B725)</f>
        <v>146741</v>
      </c>
      <c r="F725" s="10" t="n">
        <f aca="false">SUMIFS(Data!$E$2:$E$1006,Data!$A$2:$A$1006,$A725,Data!$B$2:$B$1006,$B725)</f>
        <v>20.214797</v>
      </c>
      <c r="G725" s="10" t="n">
        <f aca="false">SUMIFS(Data!$F$2:$F$1006,Data!$A$2:$A$1006,$A725,Data!$B$2:$B$1006,$B725)</f>
        <v>21.204503</v>
      </c>
      <c r="H725" s="10" t="n">
        <f aca="false">SUMIFS(Data!$G$2:$G$1006,Data!$A$2:$A$1006,$A725,Data!$B$2:$B$1006,$B725)</f>
        <v>21.901897</v>
      </c>
      <c r="I725" s="10" t="n">
        <f aca="false">SUMIFS(Data!$N$2:$N$1006,Data!$A$2:$A$1006,$A725,Data!$B$2:$B$1006,$B725)</f>
        <v>63.321197</v>
      </c>
      <c r="J725" s="10" t="n">
        <f aca="false">SUMIFS(Data!$H$2:$H$1006,Data!$A$2:$A$1006,$A725,Data!$B$2:$B$1006,$B725)</f>
        <v>35.639758</v>
      </c>
      <c r="K725" s="11" t="n">
        <f aca="false">IFERROR(F725*1000000/$E725,"")</f>
        <v>137.758342930742</v>
      </c>
      <c r="L725" s="11" t="n">
        <f aca="false">IFERROR(G725*1000000/$E725,"")</f>
        <v>144.502920110944</v>
      </c>
      <c r="M725" s="11" t="n">
        <f aca="false">IFERROR(H725*1000000/$E725,"")</f>
        <v>149.255470522894</v>
      </c>
      <c r="N725" s="11" t="n">
        <f aca="false">IFERROR(I725*1000000/$E725,"")</f>
        <v>431.51673356458</v>
      </c>
      <c r="O725" s="11" t="n">
        <f aca="false">IFERROR(J725*1000000/$E725,"")</f>
        <v>242.875256404141</v>
      </c>
      <c r="P725" s="16" t="n">
        <f aca="false">COUNTIFS($A$4:$A$1008,$A725,$N$4:$N$1008,"&gt;"&amp;N725)+1</f>
        <v>4</v>
      </c>
      <c r="Q725" s="16" t="n">
        <f aca="false">COUNTIFS($A$4:$A$1008,$A725,$O$4:$O$1008,"&gt;"&amp;O725)+1</f>
        <v>28</v>
      </c>
    </row>
    <row r="726" customFormat="false" ht="15" hidden="false" customHeight="false" outlineLevel="0" collapsed="false">
      <c r="A726" s="7" t="n">
        <v>2018</v>
      </c>
      <c r="B726" s="15" t="s">
        <v>137</v>
      </c>
      <c r="C726" s="15" t="s">
        <v>135</v>
      </c>
      <c r="D726" s="15" t="s">
        <v>138</v>
      </c>
      <c r="E726" s="9" t="n">
        <f aca="false">SUMIFS(Data!$L$2:$L$1006,Data!$A$2:$A$1006,$A726,Data!$B$2:$B$1006,$B726)</f>
        <v>1826166</v>
      </c>
      <c r="F726" s="10" t="n">
        <f aca="false">SUMIFS(Data!$E$2:$E$1006,Data!$A$2:$A$1006,$A726,Data!$B$2:$B$1006,$B726)</f>
        <v>202.638697</v>
      </c>
      <c r="G726" s="10" t="n">
        <f aca="false">SUMIFS(Data!$F$2:$F$1006,Data!$A$2:$A$1006,$A726,Data!$B$2:$B$1006,$B726)</f>
        <v>224.371821</v>
      </c>
      <c r="H726" s="10" t="n">
        <f aca="false">SUMIFS(Data!$G$2:$G$1006,Data!$A$2:$A$1006,$A726,Data!$B$2:$B$1006,$B726)</f>
        <v>234.991278</v>
      </c>
      <c r="I726" s="10" t="n">
        <f aca="false">SUMIFS(Data!$N$2:$N$1006,Data!$A$2:$A$1006,$A726,Data!$B$2:$B$1006,$B726)</f>
        <v>662.001796</v>
      </c>
      <c r="J726" s="10" t="n">
        <f aca="false">SUMIFS(Data!$H$2:$H$1006,Data!$A$2:$A$1006,$A726,Data!$B$2:$B$1006,$B726)</f>
        <v>489.148974</v>
      </c>
      <c r="K726" s="11" t="n">
        <f aca="false">IFERROR(F726*1000000/$E726,"")</f>
        <v>110.964007105597</v>
      </c>
      <c r="L726" s="11" t="n">
        <f aca="false">IFERROR(G726*1000000/$E726,"")</f>
        <v>122.864964630817</v>
      </c>
      <c r="M726" s="11" t="n">
        <f aca="false">IFERROR(H726*1000000/$E726,"")</f>
        <v>128.680129845808</v>
      </c>
      <c r="N726" s="11" t="n">
        <f aca="false">IFERROR(I726*1000000/$E726,"")</f>
        <v>362.509101582222</v>
      </c>
      <c r="O726" s="11" t="n">
        <f aca="false">IFERROR(J726*1000000/$E726,"")</f>
        <v>267.855700960373</v>
      </c>
      <c r="P726" s="16" t="n">
        <f aca="false">COUNTIFS($A$4:$A$1008,$A726,$N$4:$N$1008,"&gt;"&amp;N726)+1</f>
        <v>13</v>
      </c>
      <c r="Q726" s="16" t="n">
        <f aca="false">COUNTIFS($A$4:$A$1008,$A726,$O$4:$O$1008,"&gt;"&amp;O726)+1</f>
        <v>22</v>
      </c>
    </row>
    <row r="727" customFormat="false" ht="15" hidden="false" customHeight="false" outlineLevel="0" collapsed="false">
      <c r="A727" s="7" t="n">
        <v>2018</v>
      </c>
      <c r="B727" s="15" t="s">
        <v>139</v>
      </c>
      <c r="C727" s="15" t="s">
        <v>135</v>
      </c>
      <c r="D727" s="15" t="s">
        <v>138</v>
      </c>
      <c r="E727" s="9" t="n">
        <f aca="false">SUMIFS(Data!$L$2:$L$1006,Data!$A$2:$A$1006,$A727,Data!$B$2:$B$1006,$B727)</f>
        <v>2196473</v>
      </c>
      <c r="F727" s="10" t="n">
        <f aca="false">SUMIFS(Data!$E$2:$E$1006,Data!$A$2:$A$1006,$A727,Data!$B$2:$B$1006,$B727)</f>
        <v>287.085963</v>
      </c>
      <c r="G727" s="10" t="n">
        <f aca="false">SUMIFS(Data!$F$2:$F$1006,Data!$A$2:$A$1006,$A727,Data!$B$2:$B$1006,$B727)</f>
        <v>302.033752</v>
      </c>
      <c r="H727" s="10" t="n">
        <f aca="false">SUMIFS(Data!$G$2:$G$1006,Data!$A$2:$A$1006,$A727,Data!$B$2:$B$1006,$B727)</f>
        <v>334.059848</v>
      </c>
      <c r="I727" s="10" t="n">
        <f aca="false">SUMIFS(Data!$N$2:$N$1006,Data!$A$2:$A$1006,$A727,Data!$B$2:$B$1006,$B727)</f>
        <v>923.179563</v>
      </c>
      <c r="J727" s="10" t="n">
        <f aca="false">SUMIFS(Data!$H$2:$H$1006,Data!$A$2:$A$1006,$A727,Data!$B$2:$B$1006,$B727)</f>
        <v>683.0839</v>
      </c>
      <c r="K727" s="11" t="n">
        <f aca="false">IFERROR(F727*1000000/$E727,"")</f>
        <v>130.703160475908</v>
      </c>
      <c r="L727" s="11" t="n">
        <f aca="false">IFERROR(G727*1000000/$E727,"")</f>
        <v>137.50852025042</v>
      </c>
      <c r="M727" s="11" t="n">
        <f aca="false">IFERROR(H727*1000000/$E727,"")</f>
        <v>152.089212114148</v>
      </c>
      <c r="N727" s="11" t="n">
        <f aca="false">IFERROR(I727*1000000/$E727,"")</f>
        <v>420.300892840477</v>
      </c>
      <c r="O727" s="11" t="n">
        <f aca="false">IFERROR(J727*1000000/$E727,"")</f>
        <v>310.991257347575</v>
      </c>
      <c r="P727" s="16" t="n">
        <f aca="false">COUNTIFS($A$4:$A$1008,$A727,$N$4:$N$1008,"&gt;"&amp;N727)+1</f>
        <v>6</v>
      </c>
      <c r="Q727" s="16" t="n">
        <f aca="false">COUNTIFS($A$4:$A$1008,$A727,$O$4:$O$1008,"&gt;"&amp;O727)+1</f>
        <v>10</v>
      </c>
    </row>
    <row r="728" customFormat="false" ht="15" hidden="false" customHeight="false" outlineLevel="0" collapsed="false">
      <c r="A728" s="7" t="n">
        <v>2018</v>
      </c>
      <c r="B728" s="15" t="s">
        <v>140</v>
      </c>
      <c r="C728" s="15" t="s">
        <v>135</v>
      </c>
      <c r="D728" s="15" t="s">
        <v>141</v>
      </c>
      <c r="E728" s="9" t="n">
        <f aca="false">SUMIFS(Data!$L$2:$L$1006,Data!$A$2:$A$1006,$A728,Data!$B$2:$B$1006,$B728)</f>
        <v>830270</v>
      </c>
      <c r="F728" s="10" t="n">
        <f aca="false">SUMIFS(Data!$E$2:$E$1006,Data!$A$2:$A$1006,$A728,Data!$B$2:$B$1006,$B728)</f>
        <v>116.507529</v>
      </c>
      <c r="G728" s="10" t="n">
        <f aca="false">SUMIFS(Data!$F$2:$F$1006,Data!$A$2:$A$1006,$A728,Data!$B$2:$B$1006,$B728)</f>
        <v>34.633517</v>
      </c>
      <c r="H728" s="10" t="n">
        <f aca="false">SUMIFS(Data!$G$2:$G$1006,Data!$A$2:$A$1006,$A728,Data!$B$2:$B$1006,$B728)</f>
        <v>94.421669</v>
      </c>
      <c r="I728" s="10" t="n">
        <f aca="false">SUMIFS(Data!$N$2:$N$1006,Data!$A$2:$A$1006,$A728,Data!$B$2:$B$1006,$B728)</f>
        <v>245.562715</v>
      </c>
      <c r="J728" s="10" t="n">
        <f aca="false">SUMIFS(Data!$H$2:$H$1006,Data!$A$2:$A$1006,$A728,Data!$B$2:$B$1006,$B728)</f>
        <v>296.719745</v>
      </c>
      <c r="K728" s="11" t="n">
        <f aca="false">IFERROR(F728*1000000/$E728,"")</f>
        <v>140.324869018512</v>
      </c>
      <c r="L728" s="11" t="n">
        <f aca="false">IFERROR(G728*1000000/$E728,"")</f>
        <v>41.7135594445181</v>
      </c>
      <c r="M728" s="11" t="n">
        <f aca="false">IFERROR(H728*1000000/$E728,"")</f>
        <v>113.724052416684</v>
      </c>
      <c r="N728" s="11" t="n">
        <f aca="false">IFERROR(I728*1000000/$E728,"")</f>
        <v>295.762480879714</v>
      </c>
      <c r="O728" s="11" t="n">
        <f aca="false">IFERROR(J728*1000000/$E728,"")</f>
        <v>357.377413371554</v>
      </c>
      <c r="P728" s="16" t="n">
        <f aca="false">COUNTIFS($A$4:$A$1008,$A728,$N$4:$N$1008,"&gt;"&amp;N728)+1</f>
        <v>25</v>
      </c>
      <c r="Q728" s="16" t="n">
        <f aca="false">COUNTIFS($A$4:$A$1008,$A728,$O$4:$O$1008,"&gt;"&amp;O728)+1</f>
        <v>6</v>
      </c>
    </row>
    <row r="729" customFormat="false" ht="15" hidden="false" customHeight="false" outlineLevel="0" collapsed="false">
      <c r="A729" s="7" t="n">
        <v>2018</v>
      </c>
      <c r="B729" s="15" t="s">
        <v>142</v>
      </c>
      <c r="C729" s="15" t="s">
        <v>135</v>
      </c>
      <c r="D729" s="15" t="s">
        <v>143</v>
      </c>
      <c r="E729" s="9" t="n">
        <f aca="false">SUMIFS(Data!$L$2:$L$1006,Data!$A$2:$A$1006,$A729,Data!$B$2:$B$1006,$B729)</f>
        <v>595192</v>
      </c>
      <c r="F729" s="10" t="n">
        <f aca="false">SUMIFS(Data!$E$2:$E$1006,Data!$A$2:$A$1006,$A729,Data!$B$2:$B$1006,$B729)</f>
        <v>81.400529</v>
      </c>
      <c r="G729" s="10" t="n">
        <f aca="false">SUMIFS(Data!$F$2:$F$1006,Data!$A$2:$A$1006,$A729,Data!$B$2:$B$1006,$B729)</f>
        <v>43.213159</v>
      </c>
      <c r="H729" s="10" t="n">
        <f aca="false">SUMIFS(Data!$G$2:$G$1006,Data!$A$2:$A$1006,$A729,Data!$B$2:$B$1006,$B729)</f>
        <v>69.753588</v>
      </c>
      <c r="I729" s="10" t="n">
        <f aca="false">SUMIFS(Data!$N$2:$N$1006,Data!$A$2:$A$1006,$A729,Data!$B$2:$B$1006,$B729)</f>
        <v>194.367276</v>
      </c>
      <c r="J729" s="10" t="n">
        <f aca="false">SUMIFS(Data!$H$2:$H$1006,Data!$A$2:$A$1006,$A729,Data!$B$2:$B$1006,$B729)</f>
        <v>210.730161</v>
      </c>
      <c r="K729" s="11" t="n">
        <f aca="false">IFERROR(F729*1000000/$E729,"")</f>
        <v>136.763479683867</v>
      </c>
      <c r="L729" s="11" t="n">
        <f aca="false">IFERROR(G729*1000000/$E729,"")</f>
        <v>72.6037295528166</v>
      </c>
      <c r="M729" s="11" t="n">
        <f aca="false">IFERROR(H729*1000000/$E729,"")</f>
        <v>117.19510342881</v>
      </c>
      <c r="N729" s="11" t="n">
        <f aca="false">IFERROR(I729*1000000/$E729,"")</f>
        <v>326.562312665493</v>
      </c>
      <c r="O729" s="11" t="n">
        <f aca="false">IFERROR(J729*1000000/$E729,"")</f>
        <v>354.054088428608</v>
      </c>
      <c r="P729" s="16" t="n">
        <f aca="false">COUNTIFS($A$4:$A$1008,$A729,$N$4:$N$1008,"&gt;"&amp;N729)+1</f>
        <v>21</v>
      </c>
      <c r="Q729" s="16" t="n">
        <f aca="false">COUNTIFS($A$4:$A$1008,$A729,$O$4:$O$1008,"&gt;"&amp;O729)+1</f>
        <v>7</v>
      </c>
    </row>
    <row r="730" customFormat="false" ht="15" hidden="false" customHeight="false" outlineLevel="0" collapsed="false">
      <c r="A730" s="7" t="n">
        <v>2018</v>
      </c>
      <c r="B730" s="15" t="s">
        <v>144</v>
      </c>
      <c r="C730" s="15" t="s">
        <v>135</v>
      </c>
      <c r="D730" s="15" t="s">
        <v>141</v>
      </c>
      <c r="E730" s="9" t="n">
        <f aca="false">SUMIFS(Data!$L$2:$L$1006,Data!$A$2:$A$1006,$A730,Data!$B$2:$B$1006,$B730)</f>
        <v>498193</v>
      </c>
      <c r="F730" s="10" t="n">
        <f aca="false">SUMIFS(Data!$E$2:$E$1006,Data!$A$2:$A$1006,$A730,Data!$B$2:$B$1006,$B730)</f>
        <v>43.730047</v>
      </c>
      <c r="G730" s="10" t="n">
        <f aca="false">SUMIFS(Data!$F$2:$F$1006,Data!$A$2:$A$1006,$A730,Data!$B$2:$B$1006,$B730)</f>
        <v>22.488156</v>
      </c>
      <c r="H730" s="10" t="n">
        <f aca="false">SUMIFS(Data!$G$2:$G$1006,Data!$A$2:$A$1006,$A730,Data!$B$2:$B$1006,$B730)</f>
        <v>32.767489</v>
      </c>
      <c r="I730" s="10" t="n">
        <f aca="false">SUMIFS(Data!$N$2:$N$1006,Data!$A$2:$A$1006,$A730,Data!$B$2:$B$1006,$B730)</f>
        <v>98.985692</v>
      </c>
      <c r="J730" s="10" t="n">
        <f aca="false">SUMIFS(Data!$H$2:$H$1006,Data!$A$2:$A$1006,$A730,Data!$B$2:$B$1006,$B730)</f>
        <v>60.472716</v>
      </c>
      <c r="K730" s="11" t="n">
        <f aca="false">IFERROR(F730*1000000/$E730,"")</f>
        <v>87.7773212389576</v>
      </c>
      <c r="L730" s="11" t="n">
        <f aca="false">IFERROR(G730*1000000/$E730,"")</f>
        <v>45.1394459576911</v>
      </c>
      <c r="M730" s="11" t="n">
        <f aca="false">IFERROR(H730*1000000/$E730,"")</f>
        <v>65.7726804672085</v>
      </c>
      <c r="N730" s="11" t="n">
        <f aca="false">IFERROR(I730*1000000/$E730,"")</f>
        <v>198.689447663857</v>
      </c>
      <c r="O730" s="11" t="n">
        <f aca="false">IFERROR(J730*1000000/$E730,"")</f>
        <v>121.384114188678</v>
      </c>
      <c r="P730" s="16" t="n">
        <f aca="false">COUNTIFS($A$4:$A$1008,$A730,$N$4:$N$1008,"&gt;"&amp;N730)+1</f>
        <v>39</v>
      </c>
      <c r="Q730" s="16" t="n">
        <f aca="false">COUNTIFS($A$4:$A$1008,$A730,$O$4:$O$1008,"&gt;"&amp;O730)+1</f>
        <v>36</v>
      </c>
    </row>
    <row r="731" customFormat="false" ht="15" hidden="false" customHeight="false" outlineLevel="0" collapsed="false">
      <c r="A731" s="7" t="n">
        <v>2018</v>
      </c>
      <c r="B731" s="15" t="s">
        <v>145</v>
      </c>
      <c r="C731" s="15" t="s">
        <v>135</v>
      </c>
      <c r="D731" s="15" t="s">
        <v>146</v>
      </c>
      <c r="E731" s="9" t="n">
        <f aca="false">SUMIFS(Data!$L$2:$L$1006,Data!$A$2:$A$1006,$A731,Data!$B$2:$B$1006,$B731)</f>
        <v>490245</v>
      </c>
      <c r="F731" s="10" t="n">
        <f aca="false">SUMIFS(Data!$E$2:$E$1006,Data!$A$2:$A$1006,$A731,Data!$B$2:$B$1006,$B731)</f>
        <v>33.813371</v>
      </c>
      <c r="G731" s="10" t="n">
        <f aca="false">SUMIFS(Data!$F$2:$F$1006,Data!$A$2:$A$1006,$A731,Data!$B$2:$B$1006,$B731)</f>
        <v>63.840991</v>
      </c>
      <c r="H731" s="10" t="n">
        <f aca="false">SUMIFS(Data!$G$2:$G$1006,Data!$A$2:$A$1006,$A731,Data!$B$2:$B$1006,$B731)</f>
        <v>79.617377</v>
      </c>
      <c r="I731" s="10" t="n">
        <f aca="false">SUMIFS(Data!$N$2:$N$1006,Data!$A$2:$A$1006,$A731,Data!$B$2:$B$1006,$B731)</f>
        <v>177.271739</v>
      </c>
      <c r="J731" s="10" t="n">
        <f aca="false">SUMIFS(Data!$H$2:$H$1006,Data!$A$2:$A$1006,$A731,Data!$B$2:$B$1006,$B731)</f>
        <v>260.772175</v>
      </c>
      <c r="K731" s="11" t="n">
        <f aca="false">IFERROR(F731*1000000/$E731,"")</f>
        <v>68.9723933951392</v>
      </c>
      <c r="L731" s="11" t="n">
        <f aca="false">IFERROR(G731*1000000/$E731,"")</f>
        <v>130.222625421983</v>
      </c>
      <c r="M731" s="11" t="n">
        <f aca="false">IFERROR(H731*1000000/$E731,"")</f>
        <v>162.403241236525</v>
      </c>
      <c r="N731" s="11" t="n">
        <f aca="false">IFERROR(I731*1000000/$E731,"")</f>
        <v>361.598260053647</v>
      </c>
      <c r="O731" s="11" t="n">
        <f aca="false">IFERROR(J731*1000000/$E731,"")</f>
        <v>531.922151169313</v>
      </c>
      <c r="P731" s="16" t="n">
        <f aca="false">COUNTIFS($A$4:$A$1008,$A731,$N$4:$N$1008,"&gt;"&amp;N731)+1</f>
        <v>15</v>
      </c>
      <c r="Q731" s="16" t="n">
        <f aca="false">COUNTIFS($A$4:$A$1008,$A731,$O$4:$O$1008,"&gt;"&amp;O731)+1</f>
        <v>2</v>
      </c>
    </row>
    <row r="732" customFormat="false" ht="15" hidden="false" customHeight="false" outlineLevel="0" collapsed="false">
      <c r="A732" s="7" t="n">
        <v>2018</v>
      </c>
      <c r="B732" s="15" t="s">
        <v>147</v>
      </c>
      <c r="C732" s="15" t="s">
        <v>135</v>
      </c>
      <c r="D732" s="15" t="s">
        <v>148</v>
      </c>
      <c r="E732" s="9" t="n">
        <f aca="false">SUMIFS(Data!$L$2:$L$1006,Data!$A$2:$A$1006,$A732,Data!$B$2:$B$1006,$B732)</f>
        <v>154488</v>
      </c>
      <c r="F732" s="10" t="n">
        <f aca="false">SUMIFS(Data!$E$2:$E$1006,Data!$A$2:$A$1006,$A732,Data!$B$2:$B$1006,$B732)</f>
        <v>14.676962</v>
      </c>
      <c r="G732" s="10" t="n">
        <f aca="false">SUMIFS(Data!$F$2:$F$1006,Data!$A$2:$A$1006,$A732,Data!$B$2:$B$1006,$B732)</f>
        <v>15.819373</v>
      </c>
      <c r="H732" s="10" t="n">
        <f aca="false">SUMIFS(Data!$G$2:$G$1006,Data!$A$2:$A$1006,$A732,Data!$B$2:$B$1006,$B732)</f>
        <v>14.270334</v>
      </c>
      <c r="I732" s="10" t="n">
        <f aca="false">SUMIFS(Data!$N$2:$N$1006,Data!$A$2:$A$1006,$A732,Data!$B$2:$B$1006,$B732)</f>
        <v>44.766669</v>
      </c>
      <c r="J732" s="10" t="n">
        <f aca="false">SUMIFS(Data!$H$2:$H$1006,Data!$A$2:$A$1006,$A732,Data!$B$2:$B$1006,$B732)</f>
        <v>38.833199</v>
      </c>
      <c r="K732" s="11" t="n">
        <f aca="false">IFERROR(F732*1000000/$E732,"")</f>
        <v>95.0038967427891</v>
      </c>
      <c r="L732" s="11" t="n">
        <f aca="false">IFERROR(G732*1000000/$E732,"")</f>
        <v>102.398717052457</v>
      </c>
      <c r="M732" s="11" t="n">
        <f aca="false">IFERROR(H732*1000000/$E732,"")</f>
        <v>92.3717958676402</v>
      </c>
      <c r="N732" s="11" t="n">
        <f aca="false">IFERROR(I732*1000000/$E732,"")</f>
        <v>289.774409662886</v>
      </c>
      <c r="O732" s="11" t="n">
        <f aca="false">IFERROR(J732*1000000/$E732,"")</f>
        <v>251.367090000518</v>
      </c>
      <c r="P732" s="16" t="n">
        <f aca="false">COUNTIFS($A$4:$A$1008,$A732,$N$4:$N$1008,"&gt;"&amp;N732)+1</f>
        <v>26</v>
      </c>
      <c r="Q732" s="16" t="n">
        <f aca="false">COUNTIFS($A$4:$A$1008,$A732,$O$4:$O$1008,"&gt;"&amp;O732)+1</f>
        <v>26</v>
      </c>
    </row>
    <row r="733" customFormat="false" ht="15" hidden="false" customHeight="false" outlineLevel="0" collapsed="false">
      <c r="A733" s="7" t="n">
        <v>2018</v>
      </c>
      <c r="B733" s="15" t="s">
        <v>149</v>
      </c>
      <c r="C733" s="15" t="s">
        <v>135</v>
      </c>
      <c r="D733" s="15" t="s">
        <v>146</v>
      </c>
      <c r="E733" s="9" t="n">
        <f aca="false">SUMIFS(Data!$L$2:$L$1006,Data!$A$2:$A$1006,$A733,Data!$B$2:$B$1006,$B733)</f>
        <v>779803</v>
      </c>
      <c r="F733" s="10" t="n">
        <f aca="false">SUMIFS(Data!$E$2:$E$1006,Data!$A$2:$A$1006,$A733,Data!$B$2:$B$1006,$B733)</f>
        <v>80.743361</v>
      </c>
      <c r="G733" s="10" t="n">
        <f aca="false">SUMIFS(Data!$F$2:$F$1006,Data!$A$2:$A$1006,$A733,Data!$B$2:$B$1006,$B733)</f>
        <v>145.227666</v>
      </c>
      <c r="H733" s="10" t="n">
        <f aca="false">SUMIFS(Data!$G$2:$G$1006,Data!$A$2:$A$1006,$A733,Data!$B$2:$B$1006,$B733)</f>
        <v>72.77871</v>
      </c>
      <c r="I733" s="10" t="n">
        <f aca="false">SUMIFS(Data!$N$2:$N$1006,Data!$A$2:$A$1006,$A733,Data!$B$2:$B$1006,$B733)</f>
        <v>298.749737</v>
      </c>
      <c r="J733" s="10" t="n">
        <f aca="false">SUMIFS(Data!$H$2:$H$1006,Data!$A$2:$A$1006,$A733,Data!$B$2:$B$1006,$B733)</f>
        <v>221.209962</v>
      </c>
      <c r="K733" s="11" t="n">
        <f aca="false">IFERROR(F733*1000000/$E733,"")</f>
        <v>103.543280802972</v>
      </c>
      <c r="L733" s="11" t="n">
        <f aca="false">IFERROR(G733*1000000/$E733,"")</f>
        <v>186.236352001724</v>
      </c>
      <c r="M733" s="11" t="n">
        <f aca="false">IFERROR(H733*1000000/$E733,"")</f>
        <v>93.3296101707739</v>
      </c>
      <c r="N733" s="11" t="n">
        <f aca="false">IFERROR(I733*1000000/$E733,"")</f>
        <v>383.109242975469</v>
      </c>
      <c r="O733" s="11" t="n">
        <f aca="false">IFERROR(J733*1000000/$E733,"")</f>
        <v>283.674161294583</v>
      </c>
      <c r="P733" s="16" t="n">
        <f aca="false">COUNTIFS($A$4:$A$1008,$A733,$N$4:$N$1008,"&gt;"&amp;N733)+1</f>
        <v>11</v>
      </c>
      <c r="Q733" s="16" t="n">
        <f aca="false">COUNTIFS($A$4:$A$1008,$A733,$O$4:$O$1008,"&gt;"&amp;O733)+1</f>
        <v>15</v>
      </c>
    </row>
    <row r="734" customFormat="false" ht="15" hidden="false" customHeight="false" outlineLevel="0" collapsed="false">
      <c r="A734" s="7" t="n">
        <v>2018</v>
      </c>
      <c r="B734" s="15" t="s">
        <v>150</v>
      </c>
      <c r="C734" s="15" t="s">
        <v>135</v>
      </c>
      <c r="D734" s="15" t="s">
        <v>141</v>
      </c>
      <c r="E734" s="9" t="n">
        <f aca="false">SUMIFS(Data!$L$2:$L$1006,Data!$A$2:$A$1006,$A734,Data!$B$2:$B$1006,$B734)</f>
        <v>469914</v>
      </c>
      <c r="F734" s="10" t="n">
        <f aca="false">SUMIFS(Data!$E$2:$E$1006,Data!$A$2:$A$1006,$A734,Data!$B$2:$B$1006,$B734)</f>
        <v>55.385035</v>
      </c>
      <c r="G734" s="10" t="n">
        <f aca="false">SUMIFS(Data!$F$2:$F$1006,Data!$A$2:$A$1006,$A734,Data!$B$2:$B$1006,$B734)</f>
        <v>16.366558</v>
      </c>
      <c r="H734" s="10" t="n">
        <f aca="false">SUMIFS(Data!$G$2:$G$1006,Data!$A$2:$A$1006,$A734,Data!$B$2:$B$1006,$B734)</f>
        <v>52.076899</v>
      </c>
      <c r="I734" s="10" t="n">
        <f aca="false">SUMIFS(Data!$N$2:$N$1006,Data!$A$2:$A$1006,$A734,Data!$B$2:$B$1006,$B734)</f>
        <v>123.828492</v>
      </c>
      <c r="J734" s="10" t="n">
        <f aca="false">SUMIFS(Data!$H$2:$H$1006,Data!$A$2:$A$1006,$A734,Data!$B$2:$B$1006,$B734)</f>
        <v>152.706755</v>
      </c>
      <c r="K734" s="11" t="n">
        <f aca="false">IFERROR(F734*1000000/$E734,"")</f>
        <v>117.86206625042</v>
      </c>
      <c r="L734" s="11" t="n">
        <f aca="false">IFERROR(G734*1000000/$E734,"")</f>
        <v>34.8288367658763</v>
      </c>
      <c r="M734" s="11" t="n">
        <f aca="false">IFERROR(H734*1000000/$E734,"")</f>
        <v>110.822190868968</v>
      </c>
      <c r="N734" s="11" t="n">
        <f aca="false">IFERROR(I734*1000000/$E734,"")</f>
        <v>263.513093885264</v>
      </c>
      <c r="O734" s="11" t="n">
        <f aca="false">IFERROR(J734*1000000/$E734,"")</f>
        <v>324.967451491124</v>
      </c>
      <c r="P734" s="16" t="n">
        <f aca="false">COUNTIFS($A$4:$A$1008,$A734,$N$4:$N$1008,"&gt;"&amp;N734)+1</f>
        <v>31</v>
      </c>
      <c r="Q734" s="16" t="n">
        <f aca="false">COUNTIFS($A$4:$A$1008,$A734,$O$4:$O$1008,"&gt;"&amp;O734)+1</f>
        <v>8</v>
      </c>
    </row>
    <row r="735" customFormat="false" ht="15" hidden="false" customHeight="false" outlineLevel="0" collapsed="false">
      <c r="A735" s="7" t="n">
        <v>2018</v>
      </c>
      <c r="B735" s="15" t="s">
        <v>151</v>
      </c>
      <c r="C735" s="15" t="s">
        <v>135</v>
      </c>
      <c r="D735" s="15" t="s">
        <v>136</v>
      </c>
      <c r="E735" s="9" t="n">
        <f aca="false">SUMIFS(Data!$L$2:$L$1006,Data!$A$2:$A$1006,$A735,Data!$B$2:$B$1006,$B735)</f>
        <v>1478542</v>
      </c>
      <c r="F735" s="10" t="n">
        <f aca="false">SUMIFS(Data!$E$2:$E$1006,Data!$A$2:$A$1006,$A735,Data!$B$2:$B$1006,$B735)</f>
        <v>122.695865</v>
      </c>
      <c r="G735" s="10" t="n">
        <f aca="false">SUMIFS(Data!$F$2:$F$1006,Data!$A$2:$A$1006,$A735,Data!$B$2:$B$1006,$B735)</f>
        <v>159.053789</v>
      </c>
      <c r="H735" s="10" t="n">
        <f aca="false">SUMIFS(Data!$G$2:$G$1006,Data!$A$2:$A$1006,$A735,Data!$B$2:$B$1006,$B735)</f>
        <v>112.565938</v>
      </c>
      <c r="I735" s="10" t="n">
        <f aca="false">SUMIFS(Data!$N$2:$N$1006,Data!$A$2:$A$1006,$A735,Data!$B$2:$B$1006,$B735)</f>
        <v>394.315592</v>
      </c>
      <c r="J735" s="10" t="n">
        <f aca="false">SUMIFS(Data!$H$2:$H$1006,Data!$A$2:$A$1006,$A735,Data!$B$2:$B$1006,$B735)</f>
        <v>195.037751</v>
      </c>
      <c r="K735" s="11" t="n">
        <f aca="false">IFERROR(F735*1000000/$E735,"")</f>
        <v>82.9843622974525</v>
      </c>
      <c r="L735" s="11" t="n">
        <f aca="false">IFERROR(G735*1000000/$E735,"")</f>
        <v>107.574752019219</v>
      </c>
      <c r="M735" s="11" t="n">
        <f aca="false">IFERROR(H735*1000000/$E735,"")</f>
        <v>76.133067576031</v>
      </c>
      <c r="N735" s="11" t="n">
        <f aca="false">IFERROR(I735*1000000/$E735,"")</f>
        <v>266.692181892702</v>
      </c>
      <c r="O735" s="11" t="n">
        <f aca="false">IFERROR(J735*1000000/$E735,"")</f>
        <v>131.912215547479</v>
      </c>
      <c r="P735" s="16" t="n">
        <f aca="false">COUNTIFS($A$4:$A$1008,$A735,$N$4:$N$1008,"&gt;"&amp;N735)+1</f>
        <v>30</v>
      </c>
      <c r="Q735" s="16" t="n">
        <f aca="false">COUNTIFS($A$4:$A$1008,$A735,$O$4:$O$1008,"&gt;"&amp;O735)+1</f>
        <v>35</v>
      </c>
    </row>
    <row r="736" customFormat="false" ht="15" hidden="false" customHeight="false" outlineLevel="0" collapsed="false">
      <c r="A736" s="7" t="n">
        <v>2018</v>
      </c>
      <c r="B736" s="15" t="s">
        <v>152</v>
      </c>
      <c r="C736" s="15" t="s">
        <v>135</v>
      </c>
      <c r="D736" s="15" t="s">
        <v>148</v>
      </c>
      <c r="E736" s="9" t="n">
        <f aca="false">SUMIFS(Data!$L$2:$L$1006,Data!$A$2:$A$1006,$A736,Data!$B$2:$B$1006,$B736)</f>
        <v>259379</v>
      </c>
      <c r="F736" s="10" t="n">
        <f aca="false">SUMIFS(Data!$E$2:$E$1006,Data!$A$2:$A$1006,$A736,Data!$B$2:$B$1006,$B736)</f>
        <v>30.057036</v>
      </c>
      <c r="G736" s="10" t="n">
        <f aca="false">SUMIFS(Data!$F$2:$F$1006,Data!$A$2:$A$1006,$A736,Data!$B$2:$B$1006,$B736)</f>
        <v>21.180564</v>
      </c>
      <c r="H736" s="10" t="n">
        <f aca="false">SUMIFS(Data!$G$2:$G$1006,Data!$A$2:$A$1006,$A736,Data!$B$2:$B$1006,$B736)</f>
        <v>31.882144</v>
      </c>
      <c r="I736" s="10" t="n">
        <f aca="false">SUMIFS(Data!$N$2:$N$1006,Data!$A$2:$A$1006,$A736,Data!$B$2:$B$1006,$B736)</f>
        <v>83.119744</v>
      </c>
      <c r="J736" s="10" t="n">
        <f aca="false">SUMIFS(Data!$H$2:$H$1006,Data!$A$2:$A$1006,$A736,Data!$B$2:$B$1006,$B736)</f>
        <v>64.829072</v>
      </c>
      <c r="K736" s="11" t="n">
        <f aca="false">IFERROR(F736*1000000/$E736,"")</f>
        <v>115.880761356933</v>
      </c>
      <c r="L736" s="11" t="n">
        <f aca="false">IFERROR(G736*1000000/$E736,"")</f>
        <v>81.6587464675244</v>
      </c>
      <c r="M736" s="11" t="n">
        <f aca="false">IFERROR(H736*1000000/$E736,"")</f>
        <v>122.917213806823</v>
      </c>
      <c r="N736" s="11" t="n">
        <f aca="false">IFERROR(I736*1000000/$E736,"")</f>
        <v>320.456721631281</v>
      </c>
      <c r="O736" s="11" t="n">
        <f aca="false">IFERROR(J736*1000000/$E736,"")</f>
        <v>249.939555630949</v>
      </c>
      <c r="P736" s="16" t="n">
        <f aca="false">COUNTIFS($A$4:$A$1008,$A736,$N$4:$N$1008,"&gt;"&amp;N736)+1</f>
        <v>22</v>
      </c>
      <c r="Q736" s="16" t="n">
        <f aca="false">COUNTIFS($A$4:$A$1008,$A736,$O$4:$O$1008,"&gt;"&amp;O736)+1</f>
        <v>27</v>
      </c>
    </row>
    <row r="737" customFormat="false" ht="15" hidden="false" customHeight="false" outlineLevel="0" collapsed="false">
      <c r="A737" s="7" t="n">
        <v>2018</v>
      </c>
      <c r="B737" s="15" t="s">
        <v>153</v>
      </c>
      <c r="C737" s="15" t="s">
        <v>135</v>
      </c>
      <c r="D737" s="15" t="s">
        <v>136</v>
      </c>
      <c r="E737" s="9" t="n">
        <f aca="false">SUMIFS(Data!$L$2:$L$1006,Data!$A$2:$A$1006,$A737,Data!$B$2:$B$1006,$B737)</f>
        <v>132150</v>
      </c>
      <c r="F737" s="10" t="n">
        <f aca="false">SUMIFS(Data!$E$2:$E$1006,Data!$A$2:$A$1006,$A737,Data!$B$2:$B$1006,$B737)</f>
        <v>18.267828</v>
      </c>
      <c r="G737" s="10" t="n">
        <f aca="false">SUMIFS(Data!$F$2:$F$1006,Data!$A$2:$A$1006,$A737,Data!$B$2:$B$1006,$B737)</f>
        <v>24.624185</v>
      </c>
      <c r="H737" s="10" t="n">
        <f aca="false">SUMIFS(Data!$G$2:$G$1006,Data!$A$2:$A$1006,$A737,Data!$B$2:$B$1006,$B737)</f>
        <v>11.511131</v>
      </c>
      <c r="I737" s="10" t="n">
        <f aca="false">SUMIFS(Data!$N$2:$N$1006,Data!$A$2:$A$1006,$A737,Data!$B$2:$B$1006,$B737)</f>
        <v>54.403144</v>
      </c>
      <c r="J737" s="10" t="n">
        <f aca="false">SUMIFS(Data!$H$2:$H$1006,Data!$A$2:$A$1006,$A737,Data!$B$2:$B$1006,$B737)</f>
        <v>24.284636</v>
      </c>
      <c r="K737" s="11" t="n">
        <f aca="false">IFERROR(F737*1000000/$E737,"")</f>
        <v>138.235550510783</v>
      </c>
      <c r="L737" s="11" t="n">
        <f aca="false">IFERROR(G737*1000000/$E737,"")</f>
        <v>186.335111615588</v>
      </c>
      <c r="M737" s="11" t="n">
        <f aca="false">IFERROR(H737*1000000/$E737,"")</f>
        <v>87.1065531592887</v>
      </c>
      <c r="N737" s="11" t="n">
        <f aca="false">IFERROR(I737*1000000/$E737,"")</f>
        <v>411.67721528566</v>
      </c>
      <c r="O737" s="11" t="n">
        <f aca="false">IFERROR(J737*1000000/$E737,"")</f>
        <v>183.765690503216</v>
      </c>
      <c r="P737" s="16" t="n">
        <f aca="false">COUNTIFS($A$4:$A$1008,$A737,$N$4:$N$1008,"&gt;"&amp;N737)+1</f>
        <v>7</v>
      </c>
      <c r="Q737" s="16" t="n">
        <f aca="false">COUNTIFS($A$4:$A$1008,$A737,$O$4:$O$1008,"&gt;"&amp;O737)+1</f>
        <v>33</v>
      </c>
    </row>
    <row r="738" customFormat="false" ht="15" hidden="false" customHeight="false" outlineLevel="0" collapsed="false">
      <c r="A738" s="7" t="n">
        <v>2018</v>
      </c>
      <c r="B738" s="15" t="s">
        <v>154</v>
      </c>
      <c r="C738" s="15" t="s">
        <v>135</v>
      </c>
      <c r="D738" s="15" t="s">
        <v>141</v>
      </c>
      <c r="E738" s="9" t="n">
        <f aca="false">SUMIFS(Data!$L$2:$L$1006,Data!$A$2:$A$1006,$A738,Data!$B$2:$B$1006,$B738)</f>
        <v>146305</v>
      </c>
      <c r="F738" s="10" t="n">
        <f aca="false">SUMIFS(Data!$E$2:$E$1006,Data!$A$2:$A$1006,$A738,Data!$B$2:$B$1006,$B738)</f>
        <v>17.091477</v>
      </c>
      <c r="G738" s="10" t="n">
        <f aca="false">SUMIFS(Data!$F$2:$F$1006,Data!$A$2:$A$1006,$A738,Data!$B$2:$B$1006,$B738)</f>
        <v>6.509251</v>
      </c>
      <c r="H738" s="10" t="n">
        <f aca="false">SUMIFS(Data!$G$2:$G$1006,Data!$A$2:$A$1006,$A738,Data!$B$2:$B$1006,$B738)</f>
        <v>20.344949</v>
      </c>
      <c r="I738" s="10" t="n">
        <f aca="false">SUMIFS(Data!$N$2:$N$1006,Data!$A$2:$A$1006,$A738,Data!$B$2:$B$1006,$B738)</f>
        <v>43.945677</v>
      </c>
      <c r="J738" s="10" t="n">
        <f aca="false">SUMIFS(Data!$H$2:$H$1006,Data!$A$2:$A$1006,$A738,Data!$B$2:$B$1006,$B738)</f>
        <v>67.001214</v>
      </c>
      <c r="K738" s="11" t="n">
        <f aca="false">IFERROR(F738*1000000/$E738,"")</f>
        <v>116.820867366119</v>
      </c>
      <c r="L738" s="11" t="n">
        <f aca="false">IFERROR(G738*1000000/$E738,"")</f>
        <v>44.4909674994019</v>
      </c>
      <c r="M738" s="11" t="n">
        <f aca="false">IFERROR(H738*1000000/$E738,"")</f>
        <v>139.058466901336</v>
      </c>
      <c r="N738" s="11" t="n">
        <f aca="false">IFERROR(I738*1000000/$E738,"")</f>
        <v>300.370301766857</v>
      </c>
      <c r="O738" s="11" t="n">
        <f aca="false">IFERROR(J738*1000000/$E738,"")</f>
        <v>457.955736304296</v>
      </c>
      <c r="P738" s="16" t="n">
        <f aca="false">COUNTIFS($A$4:$A$1008,$A738,$N$4:$N$1008,"&gt;"&amp;N738)+1</f>
        <v>24</v>
      </c>
      <c r="Q738" s="16" t="n">
        <f aca="false">COUNTIFS($A$4:$A$1008,$A738,$O$4:$O$1008,"&gt;"&amp;O738)+1</f>
        <v>3</v>
      </c>
    </row>
    <row r="739" customFormat="false" ht="15" hidden="false" customHeight="false" outlineLevel="0" collapsed="false">
      <c r="A739" s="7" t="n">
        <v>2018</v>
      </c>
      <c r="B739" s="15" t="s">
        <v>155</v>
      </c>
      <c r="C739" s="15" t="s">
        <v>135</v>
      </c>
      <c r="D739" s="15" t="s">
        <v>148</v>
      </c>
      <c r="E739" s="9" t="n">
        <f aca="false">SUMIFS(Data!$L$2:$L$1006,Data!$A$2:$A$1006,$A739,Data!$B$2:$B$1006,$B739)</f>
        <v>1130435</v>
      </c>
      <c r="F739" s="10" t="n">
        <f aca="false">SUMIFS(Data!$E$2:$E$1006,Data!$A$2:$A$1006,$A739,Data!$B$2:$B$1006,$B739)</f>
        <v>79.197247</v>
      </c>
      <c r="G739" s="10" t="n">
        <f aca="false">SUMIFS(Data!$F$2:$F$1006,Data!$A$2:$A$1006,$A739,Data!$B$2:$B$1006,$B739)</f>
        <v>114.874678</v>
      </c>
      <c r="H739" s="10" t="n">
        <f aca="false">SUMIFS(Data!$G$2:$G$1006,Data!$A$2:$A$1006,$A739,Data!$B$2:$B$1006,$B739)</f>
        <v>119.779517</v>
      </c>
      <c r="I739" s="10" t="n">
        <f aca="false">SUMIFS(Data!$N$2:$N$1006,Data!$A$2:$A$1006,$A739,Data!$B$2:$B$1006,$B739)</f>
        <v>313.851442</v>
      </c>
      <c r="J739" s="10" t="n">
        <f aca="false">SUMIFS(Data!$H$2:$H$1006,Data!$A$2:$A$1006,$A739,Data!$B$2:$B$1006,$B739)</f>
        <v>288.385377</v>
      </c>
      <c r="K739" s="11" t="n">
        <f aca="false">IFERROR(F739*1000000/$E739,"")</f>
        <v>70.0590896424828</v>
      </c>
      <c r="L739" s="11" t="n">
        <f aca="false">IFERROR(G739*1000000/$E739,"")</f>
        <v>101.619887919252</v>
      </c>
      <c r="M739" s="11" t="n">
        <f aca="false">IFERROR(H739*1000000/$E739,"")</f>
        <v>105.958783123311</v>
      </c>
      <c r="N739" s="11" t="n">
        <f aca="false">IFERROR(I739*1000000/$E739,"")</f>
        <v>277.637760685046</v>
      </c>
      <c r="O739" s="11" t="n">
        <f aca="false">IFERROR(J739*1000000/$E739,"")</f>
        <v>255.110092132675</v>
      </c>
      <c r="P739" s="16" t="n">
        <f aca="false">COUNTIFS($A$4:$A$1008,$A739,$N$4:$N$1008,"&gt;"&amp;N739)+1</f>
        <v>29</v>
      </c>
      <c r="Q739" s="16" t="n">
        <f aca="false">COUNTIFS($A$4:$A$1008,$A739,$O$4:$O$1008,"&gt;"&amp;O739)+1</f>
        <v>24</v>
      </c>
    </row>
    <row r="740" customFormat="false" ht="15" hidden="false" customHeight="false" outlineLevel="0" collapsed="false">
      <c r="A740" s="7" t="n">
        <v>2018</v>
      </c>
      <c r="B740" s="15" t="s">
        <v>156</v>
      </c>
      <c r="C740" s="15" t="s">
        <v>135</v>
      </c>
      <c r="D740" s="15" t="s">
        <v>148</v>
      </c>
      <c r="E740" s="9" t="n">
        <f aca="false">SUMIFS(Data!$L$2:$L$1006,Data!$A$2:$A$1006,$A740,Data!$B$2:$B$1006,$B740)</f>
        <v>473646</v>
      </c>
      <c r="F740" s="10" t="n">
        <f aca="false">SUMIFS(Data!$E$2:$E$1006,Data!$A$2:$A$1006,$A740,Data!$B$2:$B$1006,$B740)</f>
        <v>29.448515</v>
      </c>
      <c r="G740" s="10" t="n">
        <f aca="false">SUMIFS(Data!$F$2:$F$1006,Data!$A$2:$A$1006,$A740,Data!$B$2:$B$1006,$B740)</f>
        <v>26.289496</v>
      </c>
      <c r="H740" s="10" t="n">
        <f aca="false">SUMIFS(Data!$G$2:$G$1006,Data!$A$2:$A$1006,$A740,Data!$B$2:$B$1006,$B740)</f>
        <v>61.201258</v>
      </c>
      <c r="I740" s="10" t="n">
        <f aca="false">SUMIFS(Data!$N$2:$N$1006,Data!$A$2:$A$1006,$A740,Data!$B$2:$B$1006,$B740)</f>
        <v>116.939269</v>
      </c>
      <c r="J740" s="10" t="n">
        <f aca="false">SUMIFS(Data!$H$2:$H$1006,Data!$A$2:$A$1006,$A740,Data!$B$2:$B$1006,$B740)</f>
        <v>152.212149</v>
      </c>
      <c r="K740" s="11" t="n">
        <f aca="false">IFERROR(F740*1000000/$E740,"")</f>
        <v>62.1741025998319</v>
      </c>
      <c r="L740" s="11" t="n">
        <f aca="false">IFERROR(G740*1000000/$E740,"")</f>
        <v>55.5045244760855</v>
      </c>
      <c r="M740" s="11" t="n">
        <f aca="false">IFERROR(H740*1000000/$E740,"")</f>
        <v>129.213078966148</v>
      </c>
      <c r="N740" s="11" t="n">
        <f aca="false">IFERROR(I740*1000000/$E740,"")</f>
        <v>246.891706042065</v>
      </c>
      <c r="O740" s="11" t="n">
        <f aca="false">IFERROR(J740*1000000/$E740,"")</f>
        <v>321.362682256369</v>
      </c>
      <c r="P740" s="16" t="n">
        <f aca="false">COUNTIFS($A$4:$A$1008,$A740,$N$4:$N$1008,"&gt;"&amp;N740)+1</f>
        <v>33</v>
      </c>
      <c r="Q740" s="16" t="n">
        <f aca="false">COUNTIFS($A$4:$A$1008,$A740,$O$4:$O$1008,"&gt;"&amp;O740)+1</f>
        <v>9</v>
      </c>
    </row>
    <row r="741" customFormat="false" ht="15" hidden="false" customHeight="false" outlineLevel="0" collapsed="false">
      <c r="A741" s="7" t="n">
        <v>2018</v>
      </c>
      <c r="B741" s="15" t="s">
        <v>157</v>
      </c>
      <c r="C741" s="15" t="s">
        <v>135</v>
      </c>
      <c r="D741" s="15" t="s">
        <v>148</v>
      </c>
      <c r="E741" s="9" t="n">
        <f aca="false">SUMIFS(Data!$L$2:$L$1006,Data!$A$2:$A$1006,$A741,Data!$B$2:$B$1006,$B741)</f>
        <v>444647</v>
      </c>
      <c r="F741" s="10" t="n">
        <f aca="false">SUMIFS(Data!$E$2:$E$1006,Data!$A$2:$A$1006,$A741,Data!$B$2:$B$1006,$B741)</f>
        <v>29.632337</v>
      </c>
      <c r="G741" s="10" t="n">
        <f aca="false">SUMIFS(Data!$F$2:$F$1006,Data!$A$2:$A$1006,$A741,Data!$B$2:$B$1006,$B741)</f>
        <v>33.339929</v>
      </c>
      <c r="H741" s="10" t="n">
        <f aca="false">SUMIFS(Data!$G$2:$G$1006,Data!$A$2:$A$1006,$A741,Data!$B$2:$B$1006,$B741)</f>
        <v>29.093394</v>
      </c>
      <c r="I741" s="10" t="n">
        <f aca="false">SUMIFS(Data!$N$2:$N$1006,Data!$A$2:$A$1006,$A741,Data!$B$2:$B$1006,$B741)</f>
        <v>92.06566</v>
      </c>
      <c r="J741" s="10" t="n">
        <f aca="false">SUMIFS(Data!$H$2:$H$1006,Data!$A$2:$A$1006,$A741,Data!$B$2:$B$1006,$B741)</f>
        <v>160.448171</v>
      </c>
      <c r="K741" s="11" t="n">
        <f aca="false">IFERROR(F741*1000000/$E741,"")</f>
        <v>66.6423859825884</v>
      </c>
      <c r="L741" s="11" t="n">
        <f aca="false">IFERROR(G741*1000000/$E741,"")</f>
        <v>74.9806678106453</v>
      </c>
      <c r="M741" s="11" t="n">
        <f aca="false">IFERROR(H741*1000000/$E741,"")</f>
        <v>65.4303166331944</v>
      </c>
      <c r="N741" s="11" t="n">
        <f aca="false">IFERROR(I741*1000000/$E741,"")</f>
        <v>207.053370426428</v>
      </c>
      <c r="O741" s="11" t="n">
        <f aca="false">IFERROR(J741*1000000/$E741,"")</f>
        <v>360.843930128844</v>
      </c>
      <c r="P741" s="16" t="n">
        <f aca="false">COUNTIFS($A$4:$A$1008,$A741,$N$4:$N$1008,"&gt;"&amp;N741)+1</f>
        <v>37</v>
      </c>
      <c r="Q741" s="16" t="n">
        <f aca="false">COUNTIFS($A$4:$A$1008,$A741,$O$4:$O$1008,"&gt;"&amp;O741)+1</f>
        <v>5</v>
      </c>
    </row>
    <row r="742" customFormat="false" ht="15" hidden="false" customHeight="false" outlineLevel="0" collapsed="false">
      <c r="A742" s="7" t="n">
        <v>2019</v>
      </c>
      <c r="B742" s="15" t="s">
        <v>101</v>
      </c>
      <c r="C742" s="15" t="s">
        <v>102</v>
      </c>
      <c r="D742" s="15" t="s">
        <v>103</v>
      </c>
      <c r="E742" s="9" t="n">
        <f aca="false">SUMIFS(Data!$L$2:$L$1006,Data!$A$2:$A$1006,$A742,Data!$B$2:$B$1006,$B742)</f>
        <v>752471</v>
      </c>
      <c r="F742" s="10" t="n">
        <f aca="false">SUMIFS(Data!$E$2:$E$1006,Data!$A$2:$A$1006,$A742,Data!$B$2:$B$1006,$B742)</f>
        <v>63.50708</v>
      </c>
      <c r="G742" s="10" t="n">
        <f aca="false">SUMIFS(Data!$F$2:$F$1006,Data!$A$2:$A$1006,$A742,Data!$B$2:$B$1006,$B742)</f>
        <v>46.113447</v>
      </c>
      <c r="H742" s="10" t="n">
        <f aca="false">SUMIFS(Data!$G$2:$G$1006,Data!$A$2:$A$1006,$A742,Data!$B$2:$B$1006,$B742)</f>
        <v>82.990372</v>
      </c>
      <c r="I742" s="10" t="n">
        <f aca="false">SUMIFS(Data!$N$2:$N$1006,Data!$A$2:$A$1006,$A742,Data!$B$2:$B$1006,$B742)</f>
        <v>192.610899</v>
      </c>
      <c r="J742" s="10" t="n">
        <f aca="false">SUMIFS(Data!$H$2:$H$1006,Data!$A$2:$A$1006,$A742,Data!$B$2:$B$1006,$B742)</f>
        <v>103.639216</v>
      </c>
      <c r="K742" s="11" t="n">
        <f aca="false">IFERROR(F742*1000000/$E742,"")</f>
        <v>84.3980432468494</v>
      </c>
      <c r="L742" s="11" t="n">
        <f aca="false">IFERROR(G742*1000000/$E742,"")</f>
        <v>61.2826899641315</v>
      </c>
      <c r="M742" s="11" t="n">
        <f aca="false">IFERROR(H742*1000000/$E742,"")</f>
        <v>110.290459034302</v>
      </c>
      <c r="N742" s="11" t="n">
        <f aca="false">IFERROR(I742*1000000/$E742,"")</f>
        <v>255.971192245283</v>
      </c>
      <c r="O742" s="11" t="n">
        <f aca="false">IFERROR(J742*1000000/$E742,"")</f>
        <v>137.731840828417</v>
      </c>
      <c r="P742" s="16" t="n">
        <f aca="false">COUNTIFS($A$4:$A$1008,$A742,$N$4:$N$1008,"&gt;"&amp;N742)+1</f>
        <v>34</v>
      </c>
      <c r="Q742" s="16" t="n">
        <f aca="false">COUNTIFS($A$4:$A$1008,$A742,$O$4:$O$1008,"&gt;"&amp;O742)+1</f>
        <v>37</v>
      </c>
    </row>
    <row r="743" customFormat="false" ht="15" hidden="false" customHeight="false" outlineLevel="0" collapsed="false">
      <c r="A743" s="7" t="n">
        <v>2019</v>
      </c>
      <c r="B743" s="15" t="s">
        <v>104</v>
      </c>
      <c r="C743" s="15" t="s">
        <v>102</v>
      </c>
      <c r="D743" s="15" t="s">
        <v>105</v>
      </c>
      <c r="E743" s="9" t="n">
        <f aca="false">SUMIFS(Data!$L$2:$L$1006,Data!$A$2:$A$1006,$A743,Data!$B$2:$B$1006,$B743)</f>
        <v>1138696</v>
      </c>
      <c r="F743" s="10" t="n">
        <f aca="false">SUMIFS(Data!$E$2:$E$1006,Data!$A$2:$A$1006,$A743,Data!$B$2:$B$1006,$B743)</f>
        <v>173.59456</v>
      </c>
      <c r="G743" s="10" t="n">
        <f aca="false">SUMIFS(Data!$F$2:$F$1006,Data!$A$2:$A$1006,$A743,Data!$B$2:$B$1006,$B743)</f>
        <v>153.435958</v>
      </c>
      <c r="H743" s="10" t="n">
        <f aca="false">SUMIFS(Data!$G$2:$G$1006,Data!$A$2:$A$1006,$A743,Data!$B$2:$B$1006,$B743)</f>
        <v>123.490439</v>
      </c>
      <c r="I743" s="10" t="n">
        <f aca="false">SUMIFS(Data!$N$2:$N$1006,Data!$A$2:$A$1006,$A743,Data!$B$2:$B$1006,$B743)</f>
        <v>450.520957</v>
      </c>
      <c r="J743" s="10" t="n">
        <f aca="false">SUMIFS(Data!$H$2:$H$1006,Data!$A$2:$A$1006,$A743,Data!$B$2:$B$1006,$B743)</f>
        <v>319.297328</v>
      </c>
      <c r="K743" s="11" t="n">
        <f aca="false">IFERROR(F743*1000000/$E743,"")</f>
        <v>152.450311584479</v>
      </c>
      <c r="L743" s="11" t="n">
        <f aca="false">IFERROR(G743*1000000/$E743,"")</f>
        <v>134.747077358663</v>
      </c>
      <c r="M743" s="11" t="n">
        <f aca="false">IFERROR(H743*1000000/$E743,"")</f>
        <v>108.448996922796</v>
      </c>
      <c r="N743" s="11" t="n">
        <f aca="false">IFERROR(I743*1000000/$E743,"")</f>
        <v>395.646385865938</v>
      </c>
      <c r="O743" s="11" t="n">
        <f aca="false">IFERROR(J743*1000000/$E743,"")</f>
        <v>280.406120685416</v>
      </c>
      <c r="P743" s="16" t="n">
        <f aca="false">COUNTIFS($A$4:$A$1008,$A743,$N$4:$N$1008,"&gt;"&amp;N743)+1</f>
        <v>7</v>
      </c>
      <c r="Q743" s="16" t="n">
        <f aca="false">COUNTIFS($A$4:$A$1008,$A743,$O$4:$O$1008,"&gt;"&amp;O743)+1</f>
        <v>16</v>
      </c>
    </row>
    <row r="744" customFormat="false" ht="15" hidden="false" customHeight="false" outlineLevel="0" collapsed="false">
      <c r="A744" s="7" t="n">
        <v>2019</v>
      </c>
      <c r="B744" s="15" t="s">
        <v>106</v>
      </c>
      <c r="C744" s="15" t="s">
        <v>102</v>
      </c>
      <c r="D744" s="15" t="s">
        <v>107</v>
      </c>
      <c r="E744" s="9" t="n">
        <f aca="false">SUMIFS(Data!$L$2:$L$1006,Data!$A$2:$A$1006,$A744,Data!$B$2:$B$1006,$B744)</f>
        <v>572912</v>
      </c>
      <c r="F744" s="10" t="n">
        <f aca="false">SUMIFS(Data!$E$2:$E$1006,Data!$A$2:$A$1006,$A744,Data!$B$2:$B$1006,$B744)</f>
        <v>72.953628</v>
      </c>
      <c r="G744" s="10" t="n">
        <f aca="false">SUMIFS(Data!$F$2:$F$1006,Data!$A$2:$A$1006,$A744,Data!$B$2:$B$1006,$B744)</f>
        <v>57.375661</v>
      </c>
      <c r="H744" s="10" t="n">
        <f aca="false">SUMIFS(Data!$G$2:$G$1006,Data!$A$2:$A$1006,$A744,Data!$B$2:$B$1006,$B744)</f>
        <v>60.334357</v>
      </c>
      <c r="I744" s="10" t="n">
        <f aca="false">SUMIFS(Data!$N$2:$N$1006,Data!$A$2:$A$1006,$A744,Data!$B$2:$B$1006,$B744)</f>
        <v>190.663646</v>
      </c>
      <c r="J744" s="10" t="n">
        <f aca="false">SUMIFS(Data!$H$2:$H$1006,Data!$A$2:$A$1006,$A744,Data!$B$2:$B$1006,$B744)</f>
        <v>154.577413</v>
      </c>
      <c r="K744" s="11" t="n">
        <f aca="false">IFERROR(F744*1000000/$E744,"")</f>
        <v>127.338278828162</v>
      </c>
      <c r="L744" s="11" t="n">
        <f aca="false">IFERROR(G744*1000000/$E744,"")</f>
        <v>100.147424037199</v>
      </c>
      <c r="M744" s="11" t="n">
        <f aca="false">IFERROR(H744*1000000/$E744,"")</f>
        <v>105.311735484682</v>
      </c>
      <c r="N744" s="11" t="n">
        <f aca="false">IFERROR(I744*1000000/$E744,"")</f>
        <v>332.797438350043</v>
      </c>
      <c r="O744" s="11" t="n">
        <f aca="false">IFERROR(J744*1000000/$E744,"")</f>
        <v>269.810045870919</v>
      </c>
      <c r="P744" s="16" t="n">
        <f aca="false">COUNTIFS($A$4:$A$1008,$A744,$N$4:$N$1008,"&gt;"&amp;N744)+1</f>
        <v>18</v>
      </c>
      <c r="Q744" s="16" t="n">
        <f aca="false">COUNTIFS($A$4:$A$1008,$A744,$O$4:$O$1008,"&gt;"&amp;O744)+1</f>
        <v>18</v>
      </c>
    </row>
    <row r="745" customFormat="false" ht="15" hidden="false" customHeight="false" outlineLevel="0" collapsed="false">
      <c r="A745" s="7" t="n">
        <v>2019</v>
      </c>
      <c r="B745" s="15" t="s">
        <v>108</v>
      </c>
      <c r="C745" s="15" t="s">
        <v>102</v>
      </c>
      <c r="D745" s="15" t="s">
        <v>109</v>
      </c>
      <c r="E745" s="9" t="n">
        <f aca="false">SUMIFS(Data!$L$2:$L$1006,Data!$A$2:$A$1006,$A745,Data!$B$2:$B$1006,$B745)</f>
        <v>391968</v>
      </c>
      <c r="F745" s="10" t="n">
        <f aca="false">SUMIFS(Data!$E$2:$E$1006,Data!$A$2:$A$1006,$A745,Data!$B$2:$B$1006,$B745)</f>
        <v>69.773617</v>
      </c>
      <c r="G745" s="10" t="n">
        <f aca="false">SUMIFS(Data!$F$2:$F$1006,Data!$A$2:$A$1006,$A745,Data!$B$2:$B$1006,$B745)</f>
        <v>25.324377</v>
      </c>
      <c r="H745" s="10" t="n">
        <f aca="false">SUMIFS(Data!$G$2:$G$1006,Data!$A$2:$A$1006,$A745,Data!$B$2:$B$1006,$B745)</f>
        <v>45.349434</v>
      </c>
      <c r="I745" s="10" t="n">
        <f aca="false">SUMIFS(Data!$N$2:$N$1006,Data!$A$2:$A$1006,$A745,Data!$B$2:$B$1006,$B745)</f>
        <v>140.447428</v>
      </c>
      <c r="J745" s="10" t="n">
        <f aca="false">SUMIFS(Data!$H$2:$H$1006,Data!$A$2:$A$1006,$A745,Data!$B$2:$B$1006,$B745)</f>
        <v>99.716008</v>
      </c>
      <c r="K745" s="11" t="n">
        <f aca="false">IFERROR(F745*1000000/$E745,"")</f>
        <v>178.008452220589</v>
      </c>
      <c r="L745" s="11" t="n">
        <f aca="false">IFERROR(G745*1000000/$E745,"")</f>
        <v>64.6082766960568</v>
      </c>
      <c r="M745" s="11" t="n">
        <f aca="false">IFERROR(H745*1000000/$E745,"")</f>
        <v>115.69677626745</v>
      </c>
      <c r="N745" s="11" t="n">
        <f aca="false">IFERROR(I745*1000000/$E745,"")</f>
        <v>358.313505184097</v>
      </c>
      <c r="O745" s="11" t="n">
        <f aca="false">IFERROR(J745*1000000/$E745,"")</f>
        <v>254.398338639889</v>
      </c>
      <c r="P745" s="16" t="n">
        <f aca="false">COUNTIFS($A$4:$A$1008,$A745,$N$4:$N$1008,"&gt;"&amp;N745)+1</f>
        <v>13</v>
      </c>
      <c r="Q745" s="16" t="n">
        <f aca="false">COUNTIFS($A$4:$A$1008,$A745,$O$4:$O$1008,"&gt;"&amp;O745)+1</f>
        <v>22</v>
      </c>
    </row>
    <row r="746" customFormat="false" ht="15" hidden="false" customHeight="false" outlineLevel="0" collapsed="false">
      <c r="A746" s="7" t="n">
        <v>2019</v>
      </c>
      <c r="B746" s="15" t="s">
        <v>110</v>
      </c>
      <c r="C746" s="15" t="s">
        <v>102</v>
      </c>
      <c r="D746" s="15" t="s">
        <v>103</v>
      </c>
      <c r="E746" s="9" t="n">
        <f aca="false">SUMIFS(Data!$L$2:$L$1006,Data!$A$2:$A$1006,$A746,Data!$B$2:$B$1006,$B746)</f>
        <v>1052921</v>
      </c>
      <c r="F746" s="10" t="n">
        <f aca="false">SUMIFS(Data!$E$2:$E$1006,Data!$A$2:$A$1006,$A746,Data!$B$2:$B$1006,$B746)</f>
        <v>79.015272</v>
      </c>
      <c r="G746" s="10" t="n">
        <f aca="false">SUMIFS(Data!$F$2:$F$1006,Data!$A$2:$A$1006,$A746,Data!$B$2:$B$1006,$B746)</f>
        <v>59.606225</v>
      </c>
      <c r="H746" s="10" t="n">
        <f aca="false">SUMIFS(Data!$G$2:$G$1006,Data!$A$2:$A$1006,$A746,Data!$B$2:$B$1006,$B746)</f>
        <v>83.469452</v>
      </c>
      <c r="I746" s="10" t="n">
        <f aca="false">SUMIFS(Data!$N$2:$N$1006,Data!$A$2:$A$1006,$A746,Data!$B$2:$B$1006,$B746)</f>
        <v>222.090949</v>
      </c>
      <c r="J746" s="10" t="n">
        <f aca="false">SUMIFS(Data!$H$2:$H$1006,Data!$A$2:$A$1006,$A746,Data!$B$2:$B$1006,$B746)</f>
        <v>135.55538</v>
      </c>
      <c r="K746" s="11" t="n">
        <f aca="false">IFERROR(F746*1000000/$E746,"")</f>
        <v>75.043875086545</v>
      </c>
      <c r="L746" s="11" t="n">
        <f aca="false">IFERROR(G746*1000000/$E746,"")</f>
        <v>56.6103487346154</v>
      </c>
      <c r="M746" s="11" t="n">
        <f aca="false">IFERROR(H746*1000000/$E746,"")</f>
        <v>79.2741829633942</v>
      </c>
      <c r="N746" s="11" t="n">
        <f aca="false">IFERROR(I746*1000000/$E746,"")</f>
        <v>210.928406784555</v>
      </c>
      <c r="O746" s="11" t="n">
        <f aca="false">IFERROR(J746*1000000/$E746,"")</f>
        <v>128.742213328445</v>
      </c>
      <c r="P746" s="16" t="n">
        <f aca="false">COUNTIFS($A$4:$A$1008,$A746,$N$4:$N$1008,"&gt;"&amp;N746)+1</f>
        <v>39</v>
      </c>
      <c r="Q746" s="16" t="n">
        <f aca="false">COUNTIFS($A$4:$A$1008,$A746,$O$4:$O$1008,"&gt;"&amp;O746)+1</f>
        <v>39</v>
      </c>
    </row>
    <row r="747" customFormat="false" ht="15" hidden="false" customHeight="false" outlineLevel="0" collapsed="false">
      <c r="A747" s="7" t="n">
        <v>2019</v>
      </c>
      <c r="B747" s="15" t="s">
        <v>111</v>
      </c>
      <c r="C747" s="15" t="s">
        <v>102</v>
      </c>
      <c r="D747" s="15" t="s">
        <v>107</v>
      </c>
      <c r="E747" s="9" t="n">
        <f aca="false">SUMIFS(Data!$L$2:$L$1006,Data!$A$2:$A$1006,$A747,Data!$B$2:$B$1006,$B747)</f>
        <v>586517</v>
      </c>
      <c r="F747" s="10" t="n">
        <f aca="false">SUMIFS(Data!$E$2:$E$1006,Data!$A$2:$A$1006,$A747,Data!$B$2:$B$1006,$B747)</f>
        <v>67.490569</v>
      </c>
      <c r="G747" s="10" t="n">
        <f aca="false">SUMIFS(Data!$F$2:$F$1006,Data!$A$2:$A$1006,$A747,Data!$B$2:$B$1006,$B747)</f>
        <v>62.246498</v>
      </c>
      <c r="H747" s="10" t="n">
        <f aca="false">SUMIFS(Data!$G$2:$G$1006,Data!$A$2:$A$1006,$A747,Data!$B$2:$B$1006,$B747)</f>
        <v>65.470022</v>
      </c>
      <c r="I747" s="10" t="n">
        <f aca="false">SUMIFS(Data!$N$2:$N$1006,Data!$A$2:$A$1006,$A747,Data!$B$2:$B$1006,$B747)</f>
        <v>195.207089</v>
      </c>
      <c r="J747" s="10" t="n">
        <f aca="false">SUMIFS(Data!$H$2:$H$1006,Data!$A$2:$A$1006,$A747,Data!$B$2:$B$1006,$B747)</f>
        <v>130.366525</v>
      </c>
      <c r="K747" s="11" t="n">
        <f aca="false">IFERROR(F747*1000000/$E747,"")</f>
        <v>115.070098564918</v>
      </c>
      <c r="L747" s="11" t="n">
        <f aca="false">IFERROR(G747*1000000/$E747,"")</f>
        <v>106.129060197744</v>
      </c>
      <c r="M747" s="11" t="n">
        <f aca="false">IFERROR(H747*1000000/$E747,"")</f>
        <v>111.625105495663</v>
      </c>
      <c r="N747" s="11" t="n">
        <f aca="false">IFERROR(I747*1000000/$E747,"")</f>
        <v>332.824264258325</v>
      </c>
      <c r="O747" s="11" t="n">
        <f aca="false">IFERROR(J747*1000000/$E747,"")</f>
        <v>222.272372326804</v>
      </c>
      <c r="P747" s="16" t="n">
        <f aca="false">COUNTIFS($A$4:$A$1008,$A747,$N$4:$N$1008,"&gt;"&amp;N747)+1</f>
        <v>17</v>
      </c>
      <c r="Q747" s="16" t="n">
        <f aca="false">COUNTIFS($A$4:$A$1008,$A747,$O$4:$O$1008,"&gt;"&amp;O747)+1</f>
        <v>28</v>
      </c>
    </row>
    <row r="748" customFormat="false" ht="15" hidden="false" customHeight="false" outlineLevel="0" collapsed="false">
      <c r="A748" s="7" t="n">
        <v>2019</v>
      </c>
      <c r="B748" s="15" t="s">
        <v>112</v>
      </c>
      <c r="C748" s="15" t="s">
        <v>102</v>
      </c>
      <c r="D748" s="15" t="s">
        <v>107</v>
      </c>
      <c r="E748" s="9" t="n">
        <f aca="false">SUMIFS(Data!$L$2:$L$1006,Data!$A$2:$A$1006,$A748,Data!$B$2:$B$1006,$B748)</f>
        <v>167058</v>
      </c>
      <c r="F748" s="10" t="n">
        <f aca="false">SUMIFS(Data!$E$2:$E$1006,Data!$A$2:$A$1006,$A748,Data!$B$2:$B$1006,$B748)</f>
        <v>18.105381</v>
      </c>
      <c r="G748" s="10" t="n">
        <f aca="false">SUMIFS(Data!$F$2:$F$1006,Data!$A$2:$A$1006,$A748,Data!$B$2:$B$1006,$B748)</f>
        <v>17.737749</v>
      </c>
      <c r="H748" s="10" t="n">
        <f aca="false">SUMIFS(Data!$G$2:$G$1006,Data!$A$2:$A$1006,$A748,Data!$B$2:$B$1006,$B748)</f>
        <v>18.137494</v>
      </c>
      <c r="I748" s="10" t="n">
        <f aca="false">SUMIFS(Data!$N$2:$N$1006,Data!$A$2:$A$1006,$A748,Data!$B$2:$B$1006,$B748)</f>
        <v>53.980624</v>
      </c>
      <c r="J748" s="10" t="n">
        <f aca="false">SUMIFS(Data!$H$2:$H$1006,Data!$A$2:$A$1006,$A748,Data!$B$2:$B$1006,$B748)</f>
        <v>44.395405</v>
      </c>
      <c r="K748" s="11" t="n">
        <f aca="false">IFERROR(F748*1000000/$E748,"")</f>
        <v>108.377814890637</v>
      </c>
      <c r="L748" s="11" t="n">
        <f aca="false">IFERROR(G748*1000000/$E748,"")</f>
        <v>106.177189957979</v>
      </c>
      <c r="M748" s="11" t="n">
        <f aca="false">IFERROR(H748*1000000/$E748,"")</f>
        <v>108.570041542458</v>
      </c>
      <c r="N748" s="11" t="n">
        <f aca="false">IFERROR(I748*1000000/$E748,"")</f>
        <v>323.125046391074</v>
      </c>
      <c r="O748" s="11" t="n">
        <f aca="false">IFERROR(J748*1000000/$E748,"")</f>
        <v>265.748452633217</v>
      </c>
      <c r="P748" s="16" t="n">
        <f aca="false">COUNTIFS($A$4:$A$1008,$A748,$N$4:$N$1008,"&gt;"&amp;N748)+1</f>
        <v>21</v>
      </c>
      <c r="Q748" s="16" t="n">
        <f aca="false">COUNTIFS($A$4:$A$1008,$A748,$O$4:$O$1008,"&gt;"&amp;O748)+1</f>
        <v>20</v>
      </c>
    </row>
    <row r="749" customFormat="false" ht="15" hidden="false" customHeight="false" outlineLevel="0" collapsed="false">
      <c r="A749" s="7" t="n">
        <v>2019</v>
      </c>
      <c r="B749" s="15" t="s">
        <v>113</v>
      </c>
      <c r="C749" s="15" t="s">
        <v>102</v>
      </c>
      <c r="D749" s="15" t="s">
        <v>114</v>
      </c>
      <c r="E749" s="9" t="n">
        <f aca="false">SUMIFS(Data!$L$2:$L$1006,Data!$A$2:$A$1006,$A749,Data!$B$2:$B$1006,$B749)</f>
        <v>416587</v>
      </c>
      <c r="F749" s="10" t="n">
        <f aca="false">SUMIFS(Data!$E$2:$E$1006,Data!$A$2:$A$1006,$A749,Data!$B$2:$B$1006,$B749)</f>
        <v>47.357588</v>
      </c>
      <c r="G749" s="10" t="n">
        <f aca="false">SUMIFS(Data!$F$2:$F$1006,Data!$A$2:$A$1006,$A749,Data!$B$2:$B$1006,$B749)</f>
        <v>36.882334</v>
      </c>
      <c r="H749" s="10" t="n">
        <f aca="false">SUMIFS(Data!$G$2:$G$1006,Data!$A$2:$A$1006,$A749,Data!$B$2:$B$1006,$B749)</f>
        <v>45.553753</v>
      </c>
      <c r="I749" s="10" t="n">
        <f aca="false">SUMIFS(Data!$N$2:$N$1006,Data!$A$2:$A$1006,$A749,Data!$B$2:$B$1006,$B749)</f>
        <v>129.793675</v>
      </c>
      <c r="J749" s="10" t="n">
        <f aca="false">SUMIFS(Data!$H$2:$H$1006,Data!$A$2:$A$1006,$A749,Data!$B$2:$B$1006,$B749)</f>
        <v>93.836837</v>
      </c>
      <c r="K749" s="11" t="n">
        <f aca="false">IFERROR(F749*1000000/$E749,"")</f>
        <v>113.679946805829</v>
      </c>
      <c r="L749" s="11" t="n">
        <f aca="false">IFERROR(G749*1000000/$E749,"")</f>
        <v>88.5345294020217</v>
      </c>
      <c r="M749" s="11" t="n">
        <f aca="false">IFERROR(H749*1000000/$E749,"")</f>
        <v>109.34991490373</v>
      </c>
      <c r="N749" s="11" t="n">
        <f aca="false">IFERROR(I749*1000000/$E749,"")</f>
        <v>311.564391111581</v>
      </c>
      <c r="O749" s="11" t="n">
        <f aca="false">IFERROR(J749*1000000/$E749,"")</f>
        <v>225.25147688238</v>
      </c>
      <c r="P749" s="16" t="n">
        <f aca="false">COUNTIFS($A$4:$A$1008,$A749,$N$4:$N$1008,"&gt;"&amp;N749)+1</f>
        <v>23</v>
      </c>
      <c r="Q749" s="16" t="n">
        <f aca="false">COUNTIFS($A$4:$A$1008,$A749,$O$4:$O$1008,"&gt;"&amp;O749)+1</f>
        <v>27</v>
      </c>
    </row>
    <row r="750" customFormat="false" ht="15" hidden="false" customHeight="false" outlineLevel="0" collapsed="false">
      <c r="A750" s="7" t="n">
        <v>2019</v>
      </c>
      <c r="B750" s="15" t="s">
        <v>115</v>
      </c>
      <c r="C750" s="15" t="s">
        <v>102</v>
      </c>
      <c r="D750" s="15" t="s">
        <v>103</v>
      </c>
      <c r="E750" s="9" t="n">
        <f aca="false">SUMIFS(Data!$L$2:$L$1006,Data!$A$2:$A$1006,$A750,Data!$B$2:$B$1006,$B750)</f>
        <v>311844</v>
      </c>
      <c r="F750" s="10" t="n">
        <f aca="false">SUMIFS(Data!$E$2:$E$1006,Data!$A$2:$A$1006,$A750,Data!$B$2:$B$1006,$B750)</f>
        <v>23.713896</v>
      </c>
      <c r="G750" s="10" t="n">
        <f aca="false">SUMIFS(Data!$F$2:$F$1006,Data!$A$2:$A$1006,$A750,Data!$B$2:$B$1006,$B750)</f>
        <v>20.60564</v>
      </c>
      <c r="H750" s="10" t="n">
        <f aca="false">SUMIFS(Data!$G$2:$G$1006,Data!$A$2:$A$1006,$A750,Data!$B$2:$B$1006,$B750)</f>
        <v>33.126476</v>
      </c>
      <c r="I750" s="10" t="n">
        <f aca="false">SUMIFS(Data!$N$2:$N$1006,Data!$A$2:$A$1006,$A750,Data!$B$2:$B$1006,$B750)</f>
        <v>77.446012</v>
      </c>
      <c r="J750" s="10" t="n">
        <f aca="false">SUMIFS(Data!$H$2:$H$1006,Data!$A$2:$A$1006,$A750,Data!$B$2:$B$1006,$B750)</f>
        <v>42.360879</v>
      </c>
      <c r="K750" s="11" t="n">
        <f aca="false">IFERROR(F750*1000000/$E750,"")</f>
        <v>76.0440989725632</v>
      </c>
      <c r="L750" s="11" t="n">
        <f aca="false">IFERROR(G750*1000000/$E750,"")</f>
        <v>66.0767563268814</v>
      </c>
      <c r="M750" s="11" t="n">
        <f aca="false">IFERROR(H750*1000000/$E750,"")</f>
        <v>106.227716422314</v>
      </c>
      <c r="N750" s="11" t="n">
        <f aca="false">IFERROR(I750*1000000/$E750,"")</f>
        <v>248.348571721758</v>
      </c>
      <c r="O750" s="11" t="n">
        <f aca="false">IFERROR(J750*1000000/$E750,"")</f>
        <v>135.839968060954</v>
      </c>
      <c r="P750" s="16" t="n">
        <f aca="false">COUNTIFS($A$4:$A$1008,$A750,$N$4:$N$1008,"&gt;"&amp;N750)+1</f>
        <v>36</v>
      </c>
      <c r="Q750" s="16" t="n">
        <f aca="false">COUNTIFS($A$4:$A$1008,$A750,$O$4:$O$1008,"&gt;"&amp;O750)+1</f>
        <v>38</v>
      </c>
    </row>
    <row r="751" customFormat="false" ht="15" hidden="false" customHeight="false" outlineLevel="0" collapsed="false">
      <c r="A751" s="7" t="n">
        <v>2019</v>
      </c>
      <c r="B751" s="15" t="s">
        <v>116</v>
      </c>
      <c r="C751" s="15" t="s">
        <v>102</v>
      </c>
      <c r="D751" s="15" t="s">
        <v>107</v>
      </c>
      <c r="E751" s="9" t="n">
        <f aca="false">SUMIFS(Data!$L$2:$L$1006,Data!$A$2:$A$1006,$A751,Data!$B$2:$B$1006,$B751)</f>
        <v>727552</v>
      </c>
      <c r="F751" s="10" t="n">
        <f aca="false">SUMIFS(Data!$E$2:$E$1006,Data!$A$2:$A$1006,$A751,Data!$B$2:$B$1006,$B751)</f>
        <v>85.052881</v>
      </c>
      <c r="G751" s="10" t="n">
        <f aca="false">SUMIFS(Data!$F$2:$F$1006,Data!$A$2:$A$1006,$A751,Data!$B$2:$B$1006,$B751)</f>
        <v>63.755037</v>
      </c>
      <c r="H751" s="10" t="n">
        <f aca="false">SUMIFS(Data!$G$2:$G$1006,Data!$A$2:$A$1006,$A751,Data!$B$2:$B$1006,$B751)</f>
        <v>56.553964</v>
      </c>
      <c r="I751" s="10" t="n">
        <f aca="false">SUMIFS(Data!$N$2:$N$1006,Data!$A$2:$A$1006,$A751,Data!$B$2:$B$1006,$B751)</f>
        <v>205.361882</v>
      </c>
      <c r="J751" s="10" t="n">
        <f aca="false">SUMIFS(Data!$H$2:$H$1006,Data!$A$2:$A$1006,$A751,Data!$B$2:$B$1006,$B751)</f>
        <v>190.335536</v>
      </c>
      <c r="K751" s="11" t="n">
        <f aca="false">IFERROR(F751*1000000/$E751,"")</f>
        <v>116.902820691854</v>
      </c>
      <c r="L751" s="11" t="n">
        <f aca="false">IFERROR(G751*1000000/$E751,"")</f>
        <v>87.6295261369634</v>
      </c>
      <c r="M751" s="11" t="n">
        <f aca="false">IFERROR(H751*1000000/$E751,"")</f>
        <v>77.7318514690359</v>
      </c>
      <c r="N751" s="11" t="n">
        <f aca="false">IFERROR(I751*1000000/$E751,"")</f>
        <v>282.264198297854</v>
      </c>
      <c r="O751" s="11" t="n">
        <f aca="false">IFERROR(J751*1000000/$E751,"")</f>
        <v>261.610903413089</v>
      </c>
      <c r="P751" s="16" t="n">
        <f aca="false">COUNTIFS($A$4:$A$1008,$A751,$N$4:$N$1008,"&gt;"&amp;N751)+1</f>
        <v>29</v>
      </c>
      <c r="Q751" s="16" t="n">
        <f aca="false">COUNTIFS($A$4:$A$1008,$A751,$O$4:$O$1008,"&gt;"&amp;O751)+1</f>
        <v>21</v>
      </c>
    </row>
    <row r="752" customFormat="false" ht="15" hidden="false" customHeight="false" outlineLevel="0" collapsed="false">
      <c r="A752" s="7" t="n">
        <v>2019</v>
      </c>
      <c r="B752" s="15" t="s">
        <v>117</v>
      </c>
      <c r="C752" s="15" t="s">
        <v>118</v>
      </c>
      <c r="D752" s="15" t="s">
        <v>103</v>
      </c>
      <c r="E752" s="9" t="n">
        <f aca="false">SUMIFS(Data!$L$2:$L$1006,Data!$A$2:$A$1006,$A752,Data!$B$2:$B$1006,$B752)</f>
        <v>1490120</v>
      </c>
      <c r="F752" s="10" t="n">
        <f aca="false">SUMIFS(Data!$E$2:$E$1006,Data!$A$2:$A$1006,$A752,Data!$B$2:$B$1006,$B752)</f>
        <v>179.542678</v>
      </c>
      <c r="G752" s="10" t="n">
        <f aca="false">SUMIFS(Data!$F$2:$F$1006,Data!$A$2:$A$1006,$A752,Data!$B$2:$B$1006,$B752)</f>
        <v>210.875099</v>
      </c>
      <c r="H752" s="10" t="n">
        <f aca="false">SUMIFS(Data!$G$2:$G$1006,Data!$A$2:$A$1006,$A752,Data!$B$2:$B$1006,$B752)</f>
        <v>137.859619</v>
      </c>
      <c r="I752" s="10" t="n">
        <f aca="false">SUMIFS(Data!$N$2:$N$1006,Data!$A$2:$A$1006,$A752,Data!$B$2:$B$1006,$B752)</f>
        <v>528.277396</v>
      </c>
      <c r="J752" s="10" t="n">
        <f aca="false">SUMIFS(Data!$H$2:$H$1006,Data!$A$2:$A$1006,$A752,Data!$B$2:$B$1006,$B752)</f>
        <v>475.966231</v>
      </c>
      <c r="K752" s="11" t="n">
        <f aca="false">IFERROR(F752*1000000/$E752,"")</f>
        <v>120.488737819773</v>
      </c>
      <c r="L752" s="11" t="n">
        <f aca="false">IFERROR(G752*1000000/$E752,"")</f>
        <v>141.515514857864</v>
      </c>
      <c r="M752" s="11" t="n">
        <f aca="false">IFERROR(H752*1000000/$E752,"")</f>
        <v>92.5157832926207</v>
      </c>
      <c r="N752" s="11" t="n">
        <f aca="false">IFERROR(I752*1000000/$E752,"")</f>
        <v>354.520035970257</v>
      </c>
      <c r="O752" s="11" t="n">
        <f aca="false">IFERROR(J752*1000000/$E752,"")</f>
        <v>319.414698816203</v>
      </c>
      <c r="P752" s="16" t="n">
        <f aca="false">COUNTIFS($A$4:$A$1008,$A752,$N$4:$N$1008,"&gt;"&amp;N752)+1</f>
        <v>16</v>
      </c>
      <c r="Q752" s="16" t="n">
        <f aca="false">COUNTIFS($A$4:$A$1008,$A752,$O$4:$O$1008,"&gt;"&amp;O752)+1</f>
        <v>11</v>
      </c>
    </row>
    <row r="753" customFormat="false" ht="15" hidden="false" customHeight="false" outlineLevel="0" collapsed="false">
      <c r="A753" s="7" t="n">
        <v>2019</v>
      </c>
      <c r="B753" s="15" t="s">
        <v>119</v>
      </c>
      <c r="C753" s="15" t="s">
        <v>118</v>
      </c>
      <c r="D753" s="15" t="s">
        <v>103</v>
      </c>
      <c r="E753" s="9" t="n">
        <f aca="false">SUMIFS(Data!$L$2:$L$1006,Data!$A$2:$A$1006,$A753,Data!$B$2:$B$1006,$B753)</f>
        <v>525077</v>
      </c>
      <c r="F753" s="10" t="n">
        <f aca="false">SUMIFS(Data!$E$2:$E$1006,Data!$A$2:$A$1006,$A753,Data!$B$2:$B$1006,$B753)</f>
        <v>49.572557</v>
      </c>
      <c r="G753" s="10" t="n">
        <f aca="false">SUMIFS(Data!$F$2:$F$1006,Data!$A$2:$A$1006,$A753,Data!$B$2:$B$1006,$B753)</f>
        <v>56.029417</v>
      </c>
      <c r="H753" s="10" t="n">
        <f aca="false">SUMIFS(Data!$G$2:$G$1006,Data!$A$2:$A$1006,$A753,Data!$B$2:$B$1006,$B753)</f>
        <v>55.61213</v>
      </c>
      <c r="I753" s="10" t="n">
        <f aca="false">SUMIFS(Data!$N$2:$N$1006,Data!$A$2:$A$1006,$A753,Data!$B$2:$B$1006,$B753)</f>
        <v>161.214104</v>
      </c>
      <c r="J753" s="10" t="n">
        <f aca="false">SUMIFS(Data!$H$2:$H$1006,Data!$A$2:$A$1006,$A753,Data!$B$2:$B$1006,$B753)</f>
        <v>80.764401</v>
      </c>
      <c r="K753" s="11" t="n">
        <f aca="false">IFERROR(F753*1000000/$E753,"")</f>
        <v>94.410071284783</v>
      </c>
      <c r="L753" s="11" t="n">
        <f aca="false">IFERROR(G753*1000000/$E753,"")</f>
        <v>106.707048680479</v>
      </c>
      <c r="M753" s="11" t="n">
        <f aca="false">IFERROR(H753*1000000/$E753,"")</f>
        <v>105.912332857848</v>
      </c>
      <c r="N753" s="11" t="n">
        <f aca="false">IFERROR(I753*1000000/$E753,"")</f>
        <v>307.02945282311</v>
      </c>
      <c r="O753" s="11" t="n">
        <f aca="false">IFERROR(J753*1000000/$E753,"")</f>
        <v>153.814394841138</v>
      </c>
      <c r="P753" s="16" t="n">
        <f aca="false">COUNTIFS($A$4:$A$1008,$A753,$N$4:$N$1008,"&gt;"&amp;N753)+1</f>
        <v>25</v>
      </c>
      <c r="Q753" s="16" t="n">
        <f aca="false">COUNTIFS($A$4:$A$1008,$A753,$O$4:$O$1008,"&gt;"&amp;O753)+1</f>
        <v>34</v>
      </c>
    </row>
    <row r="754" customFormat="false" ht="15" hidden="false" customHeight="false" outlineLevel="0" collapsed="false">
      <c r="A754" s="7" t="n">
        <v>2019</v>
      </c>
      <c r="B754" s="15" t="s">
        <v>120</v>
      </c>
      <c r="C754" s="15" t="s">
        <v>118</v>
      </c>
      <c r="D754" s="15" t="s">
        <v>121</v>
      </c>
      <c r="E754" s="9" t="n">
        <f aca="false">SUMIFS(Data!$L$2:$L$1006,Data!$A$2:$A$1006,$A754,Data!$B$2:$B$1006,$B754)</f>
        <v>954688</v>
      </c>
      <c r="F754" s="10" t="n">
        <f aca="false">SUMIFS(Data!$E$2:$E$1006,Data!$A$2:$A$1006,$A754,Data!$B$2:$B$1006,$B754)</f>
        <v>148.746971</v>
      </c>
      <c r="G754" s="10" t="n">
        <f aca="false">SUMIFS(Data!$F$2:$F$1006,Data!$A$2:$A$1006,$A754,Data!$B$2:$B$1006,$B754)</f>
        <v>58.664017</v>
      </c>
      <c r="H754" s="10" t="n">
        <f aca="false">SUMIFS(Data!$G$2:$G$1006,Data!$A$2:$A$1006,$A754,Data!$B$2:$B$1006,$B754)</f>
        <v>154.429316</v>
      </c>
      <c r="I754" s="10" t="n">
        <f aca="false">SUMIFS(Data!$N$2:$N$1006,Data!$A$2:$A$1006,$A754,Data!$B$2:$B$1006,$B754)</f>
        <v>361.840304</v>
      </c>
      <c r="J754" s="10" t="n">
        <f aca="false">SUMIFS(Data!$H$2:$H$1006,Data!$A$2:$A$1006,$A754,Data!$B$2:$B$1006,$B754)</f>
        <v>277.21864</v>
      </c>
      <c r="K754" s="11" t="n">
        <f aca="false">IFERROR(F754*1000000/$E754,"")</f>
        <v>155.80689293256</v>
      </c>
      <c r="L754" s="11" t="n">
        <f aca="false">IFERROR(G754*1000000/$E754,"")</f>
        <v>61.448365329825</v>
      </c>
      <c r="M754" s="11" t="n">
        <f aca="false">IFERROR(H754*1000000/$E754,"")</f>
        <v>161.75893695113</v>
      </c>
      <c r="N754" s="11" t="n">
        <f aca="false">IFERROR(I754*1000000/$E754,"")</f>
        <v>379.014195213515</v>
      </c>
      <c r="O754" s="11" t="n">
        <f aca="false">IFERROR(J754*1000000/$E754,"")</f>
        <v>290.376164778441</v>
      </c>
      <c r="P754" s="16" t="n">
        <f aca="false">COUNTIFS($A$4:$A$1008,$A754,$N$4:$N$1008,"&gt;"&amp;N754)+1</f>
        <v>11</v>
      </c>
      <c r="Q754" s="16" t="n">
        <f aca="false">COUNTIFS($A$4:$A$1008,$A754,$O$4:$O$1008,"&gt;"&amp;O754)+1</f>
        <v>15</v>
      </c>
    </row>
    <row r="755" customFormat="false" ht="15" hidden="false" customHeight="false" outlineLevel="0" collapsed="false">
      <c r="A755" s="7" t="n">
        <v>2019</v>
      </c>
      <c r="B755" s="15" t="s">
        <v>122</v>
      </c>
      <c r="C755" s="15" t="s">
        <v>118</v>
      </c>
      <c r="D755" s="15" t="s">
        <v>105</v>
      </c>
      <c r="E755" s="9" t="n">
        <f aca="false">SUMIFS(Data!$L$2:$L$1006,Data!$A$2:$A$1006,$A755,Data!$B$2:$B$1006,$B755)</f>
        <v>558559</v>
      </c>
      <c r="F755" s="10" t="n">
        <f aca="false">SUMIFS(Data!$E$2:$E$1006,Data!$A$2:$A$1006,$A755,Data!$B$2:$B$1006,$B755)</f>
        <v>106.456413</v>
      </c>
      <c r="G755" s="10" t="n">
        <f aca="false">SUMIFS(Data!$F$2:$F$1006,Data!$A$2:$A$1006,$A755,Data!$B$2:$B$1006,$B755)</f>
        <v>93.852983</v>
      </c>
      <c r="H755" s="10" t="n">
        <f aca="false">SUMIFS(Data!$G$2:$G$1006,Data!$A$2:$A$1006,$A755,Data!$B$2:$B$1006,$B755)</f>
        <v>73.077281</v>
      </c>
      <c r="I755" s="10" t="n">
        <f aca="false">SUMIFS(Data!$N$2:$N$1006,Data!$A$2:$A$1006,$A755,Data!$B$2:$B$1006,$B755)</f>
        <v>273.386677</v>
      </c>
      <c r="J755" s="10" t="n">
        <f aca="false">SUMIFS(Data!$H$2:$H$1006,Data!$A$2:$A$1006,$A755,Data!$B$2:$B$1006,$B755)</f>
        <v>136.47445</v>
      </c>
      <c r="K755" s="11" t="n">
        <f aca="false">IFERROR(F755*1000000/$E755,"")</f>
        <v>190.591169419882</v>
      </c>
      <c r="L755" s="11" t="n">
        <f aca="false">IFERROR(G755*1000000/$E755,"")</f>
        <v>168.026981930288</v>
      </c>
      <c r="M755" s="11" t="n">
        <f aca="false">IFERROR(H755*1000000/$E755,"")</f>
        <v>130.831802907124</v>
      </c>
      <c r="N755" s="11" t="n">
        <f aca="false">IFERROR(I755*1000000/$E755,"")</f>
        <v>489.449954257294</v>
      </c>
      <c r="O755" s="11" t="n">
        <f aca="false">IFERROR(J755*1000000/$E755,"")</f>
        <v>244.333096414166</v>
      </c>
      <c r="P755" s="16" t="n">
        <f aca="false">COUNTIFS($A$4:$A$1008,$A755,$N$4:$N$1008,"&gt;"&amp;N755)+1</f>
        <v>2</v>
      </c>
      <c r="Q755" s="16" t="n">
        <f aca="false">COUNTIFS($A$4:$A$1008,$A755,$O$4:$O$1008,"&gt;"&amp;O755)+1</f>
        <v>24</v>
      </c>
    </row>
    <row r="756" customFormat="false" ht="15" hidden="false" customHeight="false" outlineLevel="0" collapsed="false">
      <c r="A756" s="7" t="n">
        <v>2019</v>
      </c>
      <c r="B756" s="15" t="s">
        <v>123</v>
      </c>
      <c r="C756" s="15" t="s">
        <v>118</v>
      </c>
      <c r="D756" s="15" t="s">
        <v>124</v>
      </c>
      <c r="E756" s="9" t="n">
        <f aca="false">SUMIFS(Data!$L$2:$L$1006,Data!$A$2:$A$1006,$A756,Data!$B$2:$B$1006,$B756)</f>
        <v>1299421</v>
      </c>
      <c r="F756" s="10" t="n">
        <f aca="false">SUMIFS(Data!$E$2:$E$1006,Data!$A$2:$A$1006,$A756,Data!$B$2:$B$1006,$B756)</f>
        <v>211.799927</v>
      </c>
      <c r="G756" s="10" t="n">
        <f aca="false">SUMIFS(Data!$F$2:$F$1006,Data!$A$2:$A$1006,$A756,Data!$B$2:$B$1006,$B756)</f>
        <v>57.551629</v>
      </c>
      <c r="H756" s="10" t="n">
        <f aca="false">SUMIFS(Data!$G$2:$G$1006,Data!$A$2:$A$1006,$A756,Data!$B$2:$B$1006,$B756)</f>
        <v>147.789244</v>
      </c>
      <c r="I756" s="10" t="n">
        <f aca="false">SUMIFS(Data!$N$2:$N$1006,Data!$A$2:$A$1006,$A756,Data!$B$2:$B$1006,$B756)</f>
        <v>417.1408</v>
      </c>
      <c r="J756" s="10" t="n">
        <f aca="false">SUMIFS(Data!$H$2:$H$1006,Data!$A$2:$A$1006,$A756,Data!$B$2:$B$1006,$B756)</f>
        <v>269.038761</v>
      </c>
      <c r="K756" s="11" t="n">
        <f aca="false">IFERROR(F756*1000000/$E756,"")</f>
        <v>162.995616509199</v>
      </c>
      <c r="L756" s="11" t="n">
        <f aca="false">IFERROR(G756*1000000/$E756,"")</f>
        <v>44.2902100243108</v>
      </c>
      <c r="M756" s="11" t="n">
        <f aca="false">IFERROR(H756*1000000/$E756,"")</f>
        <v>113.734689527105</v>
      </c>
      <c r="N756" s="11" t="n">
        <f aca="false">IFERROR(I756*1000000/$E756,"")</f>
        <v>321.020516060615</v>
      </c>
      <c r="O756" s="11" t="n">
        <f aca="false">IFERROR(J756*1000000/$E756,"")</f>
        <v>207.04510778262</v>
      </c>
      <c r="P756" s="16" t="n">
        <f aca="false">COUNTIFS($A$4:$A$1008,$A756,$N$4:$N$1008,"&gt;"&amp;N756)+1</f>
        <v>22</v>
      </c>
      <c r="Q756" s="16" t="n">
        <f aca="false">COUNTIFS($A$4:$A$1008,$A756,$O$4:$O$1008,"&gt;"&amp;O756)+1</f>
        <v>30</v>
      </c>
    </row>
    <row r="757" customFormat="false" ht="15" hidden="false" customHeight="false" outlineLevel="0" collapsed="false">
      <c r="A757" s="7" t="n">
        <v>2019</v>
      </c>
      <c r="B757" s="15" t="s">
        <v>125</v>
      </c>
      <c r="C757" s="15" t="s">
        <v>118</v>
      </c>
      <c r="D757" s="15" t="s">
        <v>126</v>
      </c>
      <c r="E757" s="9" t="n">
        <f aca="false">SUMIFS(Data!$L$2:$L$1006,Data!$A$2:$A$1006,$A757,Data!$B$2:$B$1006,$B757)</f>
        <v>529284</v>
      </c>
      <c r="F757" s="10" t="n">
        <f aca="false">SUMIFS(Data!$E$2:$E$1006,Data!$A$2:$A$1006,$A757,Data!$B$2:$B$1006,$B757)</f>
        <v>86.862307</v>
      </c>
      <c r="G757" s="10" t="n">
        <f aca="false">SUMIFS(Data!$F$2:$F$1006,Data!$A$2:$A$1006,$A757,Data!$B$2:$B$1006,$B757)</f>
        <v>56.26712</v>
      </c>
      <c r="H757" s="10" t="n">
        <f aca="false">SUMIFS(Data!$G$2:$G$1006,Data!$A$2:$A$1006,$A757,Data!$B$2:$B$1006,$B757)</f>
        <v>69.785468</v>
      </c>
      <c r="I757" s="10" t="n">
        <f aca="false">SUMIFS(Data!$N$2:$N$1006,Data!$A$2:$A$1006,$A757,Data!$B$2:$B$1006,$B757)</f>
        <v>212.914895</v>
      </c>
      <c r="J757" s="10" t="n">
        <f aca="false">SUMIFS(Data!$H$2:$H$1006,Data!$A$2:$A$1006,$A757,Data!$B$2:$B$1006,$B757)</f>
        <v>121.827339</v>
      </c>
      <c r="K757" s="11" t="n">
        <f aca="false">IFERROR(F757*1000000/$E757,"")</f>
        <v>164.112852457282</v>
      </c>
      <c r="L757" s="11" t="n">
        <f aca="false">IFERROR(G757*1000000/$E757,"")</f>
        <v>106.307993440195</v>
      </c>
      <c r="M757" s="11" t="n">
        <f aca="false">IFERROR(H757*1000000/$E757,"")</f>
        <v>131.848814625041</v>
      </c>
      <c r="N757" s="11" t="n">
        <f aca="false">IFERROR(I757*1000000/$E757,"")</f>
        <v>402.269660522517</v>
      </c>
      <c r="O757" s="11" t="n">
        <f aca="false">IFERROR(J757*1000000/$E757,"")</f>
        <v>230.173855623824</v>
      </c>
      <c r="P757" s="16" t="n">
        <f aca="false">COUNTIFS($A$4:$A$1008,$A757,$N$4:$N$1008,"&gt;"&amp;N757)+1</f>
        <v>6</v>
      </c>
      <c r="Q757" s="16" t="n">
        <f aca="false">COUNTIFS($A$4:$A$1008,$A757,$O$4:$O$1008,"&gt;"&amp;O757)+1</f>
        <v>26</v>
      </c>
    </row>
    <row r="758" customFormat="false" ht="15" hidden="false" customHeight="false" outlineLevel="0" collapsed="false">
      <c r="A758" s="7" t="n">
        <v>2019</v>
      </c>
      <c r="B758" s="15" t="s">
        <v>127</v>
      </c>
      <c r="C758" s="15" t="s">
        <v>118</v>
      </c>
      <c r="D758" s="15" t="s">
        <v>103</v>
      </c>
      <c r="E758" s="9" t="n">
        <f aca="false">SUMIFS(Data!$L$2:$L$1006,Data!$A$2:$A$1006,$A758,Data!$B$2:$B$1006,$B758)</f>
        <v>722911</v>
      </c>
      <c r="F758" s="10" t="n">
        <f aca="false">SUMIFS(Data!$E$2:$E$1006,Data!$A$2:$A$1006,$A758,Data!$B$2:$B$1006,$B758)</f>
        <v>83.15528</v>
      </c>
      <c r="G758" s="10" t="n">
        <f aca="false">SUMIFS(Data!$F$2:$F$1006,Data!$A$2:$A$1006,$A758,Data!$B$2:$B$1006,$B758)</f>
        <v>27.044714</v>
      </c>
      <c r="H758" s="10" t="n">
        <f aca="false">SUMIFS(Data!$G$2:$G$1006,Data!$A$2:$A$1006,$A758,Data!$B$2:$B$1006,$B758)</f>
        <v>70.969014</v>
      </c>
      <c r="I758" s="10" t="n">
        <f aca="false">SUMIFS(Data!$N$2:$N$1006,Data!$A$2:$A$1006,$A758,Data!$B$2:$B$1006,$B758)</f>
        <v>181.169008</v>
      </c>
      <c r="J758" s="10" t="n">
        <f aca="false">SUMIFS(Data!$H$2:$H$1006,Data!$A$2:$A$1006,$A758,Data!$B$2:$B$1006,$B758)</f>
        <v>278.443824</v>
      </c>
      <c r="K758" s="11" t="n">
        <f aca="false">IFERROR(F758*1000000/$E758,"")</f>
        <v>115.028378320429</v>
      </c>
      <c r="L758" s="11" t="n">
        <f aca="false">IFERROR(G758*1000000/$E758,"")</f>
        <v>37.4108486383524</v>
      </c>
      <c r="M758" s="11" t="n">
        <f aca="false">IFERROR(H758*1000000/$E758,"")</f>
        <v>98.1711635318871</v>
      </c>
      <c r="N758" s="11" t="n">
        <f aca="false">IFERROR(I758*1000000/$E758,"")</f>
        <v>250.610390490669</v>
      </c>
      <c r="O758" s="11" t="n">
        <f aca="false">IFERROR(J758*1000000/$E758,"")</f>
        <v>385.170268539281</v>
      </c>
      <c r="P758" s="16" t="n">
        <f aca="false">COUNTIFS($A$4:$A$1008,$A758,$N$4:$N$1008,"&gt;"&amp;N758)+1</f>
        <v>35</v>
      </c>
      <c r="Q758" s="16" t="n">
        <f aca="false">COUNTIFS($A$4:$A$1008,$A758,$O$4:$O$1008,"&gt;"&amp;O758)+1</f>
        <v>8</v>
      </c>
    </row>
    <row r="759" customFormat="false" ht="15" hidden="false" customHeight="false" outlineLevel="0" collapsed="false">
      <c r="A759" s="7" t="n">
        <v>2019</v>
      </c>
      <c r="B759" s="15" t="s">
        <v>128</v>
      </c>
      <c r="C759" s="15" t="s">
        <v>118</v>
      </c>
      <c r="D759" s="15" t="s">
        <v>107</v>
      </c>
      <c r="E759" s="9" t="n">
        <f aca="false">SUMIFS(Data!$L$2:$L$1006,Data!$A$2:$A$1006,$A759,Data!$B$2:$B$1006,$B759)</f>
        <v>600804</v>
      </c>
      <c r="F759" s="10" t="n">
        <f aca="false">SUMIFS(Data!$E$2:$E$1006,Data!$A$2:$A$1006,$A759,Data!$B$2:$B$1006,$B759)</f>
        <v>48.889798</v>
      </c>
      <c r="G759" s="10" t="n">
        <f aca="false">SUMIFS(Data!$F$2:$F$1006,Data!$A$2:$A$1006,$A759,Data!$B$2:$B$1006,$B759)</f>
        <v>45.7427</v>
      </c>
      <c r="H759" s="10" t="n">
        <f aca="false">SUMIFS(Data!$G$2:$G$1006,Data!$A$2:$A$1006,$A759,Data!$B$2:$B$1006,$B759)</f>
        <v>78.074262</v>
      </c>
      <c r="I759" s="10" t="n">
        <f aca="false">SUMIFS(Data!$N$2:$N$1006,Data!$A$2:$A$1006,$A759,Data!$B$2:$B$1006,$B759)</f>
        <v>172.70676</v>
      </c>
      <c r="J759" s="10" t="n">
        <f aca="false">SUMIFS(Data!$H$2:$H$1006,Data!$A$2:$A$1006,$A759,Data!$B$2:$B$1006,$B759)</f>
        <v>181.399257</v>
      </c>
      <c r="K759" s="11" t="n">
        <f aca="false">IFERROR(F759*1000000/$E759,"")</f>
        <v>81.373955566208</v>
      </c>
      <c r="L759" s="11" t="n">
        <f aca="false">IFERROR(G759*1000000/$E759,"")</f>
        <v>76.1358113461295</v>
      </c>
      <c r="M759" s="11" t="n">
        <f aca="false">IFERROR(H759*1000000/$E759,"")</f>
        <v>129.949637485769</v>
      </c>
      <c r="N759" s="11" t="n">
        <f aca="false">IFERROR(I759*1000000/$E759,"")</f>
        <v>287.459404398107</v>
      </c>
      <c r="O759" s="11" t="n">
        <f aca="false">IFERROR(J759*1000000/$E759,"")</f>
        <v>301.927512133741</v>
      </c>
      <c r="P759" s="16" t="n">
        <f aca="false">COUNTIFS($A$4:$A$1008,$A759,$N$4:$N$1008,"&gt;"&amp;N759)+1</f>
        <v>28</v>
      </c>
      <c r="Q759" s="16" t="n">
        <f aca="false">COUNTIFS($A$4:$A$1008,$A759,$O$4:$O$1008,"&gt;"&amp;O759)+1</f>
        <v>14</v>
      </c>
    </row>
    <row r="760" customFormat="false" ht="15" hidden="false" customHeight="false" outlineLevel="0" collapsed="false">
      <c r="A760" s="7" t="n">
        <v>2019</v>
      </c>
      <c r="B760" s="15" t="s">
        <v>129</v>
      </c>
      <c r="C760" s="15" t="s">
        <v>118</v>
      </c>
      <c r="D760" s="15" t="s">
        <v>107</v>
      </c>
      <c r="E760" s="9" t="n">
        <f aca="false">SUMIFS(Data!$L$2:$L$1006,Data!$A$2:$A$1006,$A760,Data!$B$2:$B$1006,$B760)</f>
        <v>1654006</v>
      </c>
      <c r="F760" s="10" t="n">
        <f aca="false">SUMIFS(Data!$E$2:$E$1006,Data!$A$2:$A$1006,$A760,Data!$B$2:$B$1006,$B760)</f>
        <v>315.741932</v>
      </c>
      <c r="G760" s="10" t="n">
        <f aca="false">SUMIFS(Data!$F$2:$F$1006,Data!$A$2:$A$1006,$A760,Data!$B$2:$B$1006,$B760)</f>
        <v>189.091378</v>
      </c>
      <c r="H760" s="10" t="n">
        <f aca="false">SUMIFS(Data!$G$2:$G$1006,Data!$A$2:$A$1006,$A760,Data!$B$2:$B$1006,$B760)</f>
        <v>143.296367</v>
      </c>
      <c r="I760" s="10" t="n">
        <f aca="false">SUMIFS(Data!$N$2:$N$1006,Data!$A$2:$A$1006,$A760,Data!$B$2:$B$1006,$B760)</f>
        <v>648.129677</v>
      </c>
      <c r="J760" s="10" t="n">
        <f aca="false">SUMIFS(Data!$H$2:$H$1006,Data!$A$2:$A$1006,$A760,Data!$B$2:$B$1006,$B760)</f>
        <v>518.700227</v>
      </c>
      <c r="K760" s="11" t="n">
        <f aca="false">IFERROR(F760*1000000/$E760,"")</f>
        <v>190.895276075178</v>
      </c>
      <c r="L760" s="11" t="n">
        <f aca="false">IFERROR(G760*1000000/$E760,"")</f>
        <v>114.323272104212</v>
      </c>
      <c r="M760" s="11" t="n">
        <f aca="false">IFERROR(H760*1000000/$E760,"")</f>
        <v>86.6359414657504</v>
      </c>
      <c r="N760" s="11" t="n">
        <f aca="false">IFERROR(I760*1000000/$E760,"")</f>
        <v>391.85448964514</v>
      </c>
      <c r="O760" s="11" t="n">
        <f aca="false">IFERROR(J760*1000000/$E760,"")</f>
        <v>313.60238536015</v>
      </c>
      <c r="P760" s="16" t="n">
        <f aca="false">COUNTIFS($A$4:$A$1008,$A760,$N$4:$N$1008,"&gt;"&amp;N760)+1</f>
        <v>8</v>
      </c>
      <c r="Q760" s="16" t="n">
        <f aca="false">COUNTIFS($A$4:$A$1008,$A760,$O$4:$O$1008,"&gt;"&amp;O760)+1</f>
        <v>12</v>
      </c>
    </row>
    <row r="761" customFormat="false" ht="15" hidden="false" customHeight="false" outlineLevel="0" collapsed="false">
      <c r="A761" s="7" t="n">
        <v>2019</v>
      </c>
      <c r="B761" s="15" t="s">
        <v>130</v>
      </c>
      <c r="C761" s="15" t="s">
        <v>118</v>
      </c>
      <c r="D761" s="15" t="s">
        <v>107</v>
      </c>
      <c r="E761" s="9" t="n">
        <f aca="false">SUMIFS(Data!$L$2:$L$1006,Data!$A$2:$A$1006,$A761,Data!$B$2:$B$1006,$B761)</f>
        <v>1450006</v>
      </c>
      <c r="F761" s="10" t="n">
        <f aca="false">SUMIFS(Data!$E$2:$E$1006,Data!$A$2:$A$1006,$A761,Data!$B$2:$B$1006,$B761)</f>
        <v>185.498705</v>
      </c>
      <c r="G761" s="10" t="n">
        <f aca="false">SUMIFS(Data!$F$2:$F$1006,Data!$A$2:$A$1006,$A761,Data!$B$2:$B$1006,$B761)</f>
        <v>172.405438</v>
      </c>
      <c r="H761" s="10" t="n">
        <f aca="false">SUMIFS(Data!$G$2:$G$1006,Data!$A$2:$A$1006,$A761,Data!$B$2:$B$1006,$B761)</f>
        <v>157.157221</v>
      </c>
      <c r="I761" s="10" t="n">
        <f aca="false">SUMIFS(Data!$N$2:$N$1006,Data!$A$2:$A$1006,$A761,Data!$B$2:$B$1006,$B761)</f>
        <v>515.061364</v>
      </c>
      <c r="J761" s="10" t="n">
        <f aca="false">SUMIFS(Data!$H$2:$H$1006,Data!$A$2:$A$1006,$A761,Data!$B$2:$B$1006,$B761)</f>
        <v>283.894969</v>
      </c>
      <c r="K761" s="11" t="n">
        <f aca="false">IFERROR(F761*1000000/$E761,"")</f>
        <v>127.929612015399</v>
      </c>
      <c r="L761" s="11" t="n">
        <f aca="false">IFERROR(G761*1000000/$E761,"")</f>
        <v>118.899810069751</v>
      </c>
      <c r="M761" s="11" t="n">
        <f aca="false">IFERROR(H761*1000000/$E761,"")</f>
        <v>108.383841859965</v>
      </c>
      <c r="N761" s="11" t="n">
        <f aca="false">IFERROR(I761*1000000/$E761,"")</f>
        <v>355.213263945115</v>
      </c>
      <c r="O761" s="11" t="n">
        <f aca="false">IFERROR(J761*1000000/$E761,"")</f>
        <v>195.788823632454</v>
      </c>
      <c r="P761" s="16" t="n">
        <f aca="false">COUNTIFS($A$4:$A$1008,$A761,$N$4:$N$1008,"&gt;"&amp;N761)+1</f>
        <v>15</v>
      </c>
      <c r="Q761" s="16" t="n">
        <f aca="false">COUNTIFS($A$4:$A$1008,$A761,$O$4:$O$1008,"&gt;"&amp;O761)+1</f>
        <v>31</v>
      </c>
    </row>
    <row r="762" customFormat="false" ht="15" hidden="false" customHeight="false" outlineLevel="0" collapsed="false">
      <c r="A762" s="7" t="n">
        <v>2019</v>
      </c>
      <c r="B762" s="15" t="s">
        <v>131</v>
      </c>
      <c r="C762" s="15" t="s">
        <v>118</v>
      </c>
      <c r="D762" s="15" t="s">
        <v>132</v>
      </c>
      <c r="E762" s="9" t="n">
        <f aca="false">SUMIFS(Data!$L$2:$L$1006,Data!$A$2:$A$1006,$A762,Data!$B$2:$B$1006,$B762)</f>
        <v>889380</v>
      </c>
      <c r="F762" s="10" t="n">
        <f aca="false">SUMIFS(Data!$E$2:$E$1006,Data!$A$2:$A$1006,$A762,Data!$B$2:$B$1006,$B762)</f>
        <v>198.17356</v>
      </c>
      <c r="G762" s="10" t="n">
        <f aca="false">SUMIFS(Data!$F$2:$F$1006,Data!$A$2:$A$1006,$A762,Data!$B$2:$B$1006,$B762)</f>
        <v>92.724389</v>
      </c>
      <c r="H762" s="10" t="n">
        <f aca="false">SUMIFS(Data!$G$2:$G$1006,Data!$A$2:$A$1006,$A762,Data!$B$2:$B$1006,$B762)</f>
        <v>180.715926</v>
      </c>
      <c r="I762" s="10" t="n">
        <f aca="false">SUMIFS(Data!$N$2:$N$1006,Data!$A$2:$A$1006,$A762,Data!$B$2:$B$1006,$B762)</f>
        <v>471.613875</v>
      </c>
      <c r="J762" s="10" t="n">
        <f aca="false">SUMIFS(Data!$H$2:$H$1006,Data!$A$2:$A$1006,$A762,Data!$B$2:$B$1006,$B762)</f>
        <v>365.636905</v>
      </c>
      <c r="K762" s="11" t="n">
        <f aca="false">IFERROR(F762*1000000/$E762,"")</f>
        <v>222.822145764465</v>
      </c>
      <c r="L762" s="11" t="n">
        <f aca="false">IFERROR(G762*1000000/$E762,"")</f>
        <v>104.257335447165</v>
      </c>
      <c r="M762" s="11" t="n">
        <f aca="false">IFERROR(H762*1000000/$E762,"")</f>
        <v>203.193152533225</v>
      </c>
      <c r="N762" s="11" t="n">
        <f aca="false">IFERROR(I762*1000000/$E762,"")</f>
        <v>530.272633744856</v>
      </c>
      <c r="O762" s="11" t="n">
        <f aca="false">IFERROR(J762*1000000/$E762,"")</f>
        <v>411.114377431469</v>
      </c>
      <c r="P762" s="16" t="n">
        <f aca="false">COUNTIFS($A$4:$A$1008,$A762,$N$4:$N$1008,"&gt;"&amp;N762)+1</f>
        <v>1</v>
      </c>
      <c r="Q762" s="16" t="n">
        <f aca="false">COUNTIFS($A$4:$A$1008,$A762,$O$4:$O$1008,"&gt;"&amp;O762)+1</f>
        <v>6</v>
      </c>
    </row>
    <row r="763" customFormat="false" ht="15" hidden="false" customHeight="false" outlineLevel="0" collapsed="false">
      <c r="A763" s="7" t="n">
        <v>2019</v>
      </c>
      <c r="B763" s="15" t="s">
        <v>133</v>
      </c>
      <c r="C763" s="15" t="s">
        <v>118</v>
      </c>
      <c r="D763" s="15" t="s">
        <v>105</v>
      </c>
      <c r="E763" s="9" t="n">
        <f aca="false">SUMIFS(Data!$L$2:$L$1006,Data!$A$2:$A$1006,$A763,Data!$B$2:$B$1006,$B763)</f>
        <v>2285737</v>
      </c>
      <c r="F763" s="10" t="n">
        <f aca="false">SUMIFS(Data!$E$2:$E$1006,Data!$A$2:$A$1006,$A763,Data!$B$2:$B$1006,$B763)</f>
        <v>172.783365</v>
      </c>
      <c r="G763" s="10" t="n">
        <f aca="false">SUMIFS(Data!$F$2:$F$1006,Data!$A$2:$A$1006,$A763,Data!$B$2:$B$1006,$B763)</f>
        <v>429.666384</v>
      </c>
      <c r="H763" s="10" t="n">
        <f aca="false">SUMIFS(Data!$G$2:$G$1006,Data!$A$2:$A$1006,$A763,Data!$B$2:$B$1006,$B763)</f>
        <v>229.027684</v>
      </c>
      <c r="I763" s="10" t="n">
        <f aca="false">SUMIFS(Data!$N$2:$N$1006,Data!$A$2:$A$1006,$A763,Data!$B$2:$B$1006,$B763)</f>
        <v>831.477433</v>
      </c>
      <c r="J763" s="10" t="n">
        <f aca="false">SUMIFS(Data!$H$2:$H$1006,Data!$A$2:$A$1006,$A763,Data!$B$2:$B$1006,$B763)</f>
        <v>364.048875</v>
      </c>
      <c r="K763" s="11" t="n">
        <f aca="false">IFERROR(F763*1000000/$E763,"")</f>
        <v>75.5919709922883</v>
      </c>
      <c r="L763" s="11" t="n">
        <f aca="false">IFERROR(G763*1000000/$E763,"")</f>
        <v>187.977174976824</v>
      </c>
      <c r="M763" s="11" t="n">
        <f aca="false">IFERROR(H763*1000000/$E763,"")</f>
        <v>100.198616026253</v>
      </c>
      <c r="N763" s="11" t="n">
        <f aca="false">IFERROR(I763*1000000/$E763,"")</f>
        <v>363.767761995365</v>
      </c>
      <c r="O763" s="11" t="n">
        <f aca="false">IFERROR(J763*1000000/$E763,"")</f>
        <v>159.269800068862</v>
      </c>
      <c r="P763" s="16" t="n">
        <f aca="false">COUNTIFS($A$4:$A$1008,$A763,$N$4:$N$1008,"&gt;"&amp;N763)+1</f>
        <v>12</v>
      </c>
      <c r="Q763" s="16" t="n">
        <f aca="false">COUNTIFS($A$4:$A$1008,$A763,$O$4:$O$1008,"&gt;"&amp;O763)+1</f>
        <v>33</v>
      </c>
    </row>
    <row r="764" customFormat="false" ht="15" hidden="false" customHeight="false" outlineLevel="0" collapsed="false">
      <c r="A764" s="7" t="n">
        <v>2019</v>
      </c>
      <c r="B764" s="15" t="s">
        <v>134</v>
      </c>
      <c r="C764" s="15" t="s">
        <v>135</v>
      </c>
      <c r="D764" s="15" t="s">
        <v>136</v>
      </c>
      <c r="E764" s="9" t="n">
        <f aca="false">SUMIFS(Data!$L$2:$L$1006,Data!$A$2:$A$1006,$A764,Data!$B$2:$B$1006,$B764)</f>
        <v>147340</v>
      </c>
      <c r="F764" s="10" t="n">
        <f aca="false">SUMIFS(Data!$E$2:$E$1006,Data!$A$2:$A$1006,$A764,Data!$B$2:$B$1006,$B764)</f>
        <v>20.23861</v>
      </c>
      <c r="G764" s="10" t="n">
        <f aca="false">SUMIFS(Data!$F$2:$F$1006,Data!$A$2:$A$1006,$A764,Data!$B$2:$B$1006,$B764)</f>
        <v>18.902213</v>
      </c>
      <c r="H764" s="10" t="n">
        <f aca="false">SUMIFS(Data!$G$2:$G$1006,Data!$A$2:$A$1006,$A764,Data!$B$2:$B$1006,$B764)</f>
        <v>21.796131</v>
      </c>
      <c r="I764" s="10" t="n">
        <f aca="false">SUMIFS(Data!$N$2:$N$1006,Data!$A$2:$A$1006,$A764,Data!$B$2:$B$1006,$B764)</f>
        <v>60.936954</v>
      </c>
      <c r="J764" s="10" t="n">
        <f aca="false">SUMIFS(Data!$H$2:$H$1006,Data!$A$2:$A$1006,$A764,Data!$B$2:$B$1006,$B764)</f>
        <v>23.850128</v>
      </c>
      <c r="K764" s="11" t="n">
        <f aca="false">IFERROR(F764*1000000/$E764,"")</f>
        <v>137.359915840912</v>
      </c>
      <c r="L764" s="11" t="n">
        <f aca="false">IFERROR(G764*1000000/$E764,"")</f>
        <v>128.289758381974</v>
      </c>
      <c r="M764" s="11" t="n">
        <f aca="false">IFERROR(H764*1000000/$E764,"")</f>
        <v>147.930847020497</v>
      </c>
      <c r="N764" s="11" t="n">
        <f aca="false">IFERROR(I764*1000000/$E764,"")</f>
        <v>413.580521243383</v>
      </c>
      <c r="O764" s="11" t="n">
        <f aca="false">IFERROR(J764*1000000/$E764,"")</f>
        <v>161.871372336093</v>
      </c>
      <c r="P764" s="16" t="n">
        <f aca="false">COUNTIFS($A$4:$A$1008,$A764,$N$4:$N$1008,"&gt;"&amp;N764)+1</f>
        <v>5</v>
      </c>
      <c r="Q764" s="16" t="n">
        <f aca="false">COUNTIFS($A$4:$A$1008,$A764,$O$4:$O$1008,"&gt;"&amp;O764)+1</f>
        <v>32</v>
      </c>
    </row>
    <row r="765" customFormat="false" ht="15" hidden="false" customHeight="false" outlineLevel="0" collapsed="false">
      <c r="A765" s="7" t="n">
        <v>2019</v>
      </c>
      <c r="B765" s="15" t="s">
        <v>137</v>
      </c>
      <c r="C765" s="15" t="s">
        <v>135</v>
      </c>
      <c r="D765" s="15" t="s">
        <v>138</v>
      </c>
      <c r="E765" s="9" t="n">
        <f aca="false">SUMIFS(Data!$L$2:$L$1006,Data!$A$2:$A$1006,$A765,Data!$B$2:$B$1006,$B765)</f>
        <v>1836668</v>
      </c>
      <c r="F765" s="10" t="n">
        <f aca="false">SUMIFS(Data!$E$2:$E$1006,Data!$A$2:$A$1006,$A765,Data!$B$2:$B$1006,$B765)</f>
        <v>237.644538</v>
      </c>
      <c r="G765" s="10" t="n">
        <f aca="false">SUMIFS(Data!$F$2:$F$1006,Data!$A$2:$A$1006,$A765,Data!$B$2:$B$1006,$B765)</f>
        <v>228.099779</v>
      </c>
      <c r="H765" s="10" t="n">
        <f aca="false">SUMIFS(Data!$G$2:$G$1006,Data!$A$2:$A$1006,$A765,Data!$B$2:$B$1006,$B765)</f>
        <v>248.968062</v>
      </c>
      <c r="I765" s="10" t="n">
        <f aca="false">SUMIFS(Data!$N$2:$N$1006,Data!$A$2:$A$1006,$A765,Data!$B$2:$B$1006,$B765)</f>
        <v>714.712379</v>
      </c>
      <c r="J765" s="10" t="n">
        <f aca="false">SUMIFS(Data!$H$2:$H$1006,Data!$A$2:$A$1006,$A765,Data!$B$2:$B$1006,$B765)</f>
        <v>621.082901</v>
      </c>
      <c r="K765" s="11" t="n">
        <f aca="false">IFERROR(F765*1000000/$E765,"")</f>
        <v>129.388946723088</v>
      </c>
      <c r="L765" s="11" t="n">
        <f aca="false">IFERROR(G765*1000000/$E765,"")</f>
        <v>124.192167011131</v>
      </c>
      <c r="M765" s="11" t="n">
        <f aca="false">IFERROR(H765*1000000/$E765,"")</f>
        <v>135.55420032363</v>
      </c>
      <c r="N765" s="11" t="n">
        <f aca="false">IFERROR(I765*1000000/$E765,"")</f>
        <v>389.135314057848</v>
      </c>
      <c r="O765" s="11" t="n">
        <f aca="false">IFERROR(J765*1000000/$E765,"")</f>
        <v>338.157413860317</v>
      </c>
      <c r="P765" s="16" t="n">
        <f aca="false">COUNTIFS($A$4:$A$1008,$A765,$N$4:$N$1008,"&gt;"&amp;N765)+1</f>
        <v>9</v>
      </c>
      <c r="Q765" s="16" t="n">
        <f aca="false">COUNTIFS($A$4:$A$1008,$A765,$O$4:$O$1008,"&gt;"&amp;O765)+1</f>
        <v>10</v>
      </c>
    </row>
    <row r="766" customFormat="false" ht="15" hidden="false" customHeight="false" outlineLevel="0" collapsed="false">
      <c r="A766" s="7" t="n">
        <v>2019</v>
      </c>
      <c r="B766" s="15" t="s">
        <v>139</v>
      </c>
      <c r="C766" s="15" t="s">
        <v>135</v>
      </c>
      <c r="D766" s="15" t="s">
        <v>138</v>
      </c>
      <c r="E766" s="9" t="n">
        <f aca="false">SUMIFS(Data!$L$2:$L$1006,Data!$A$2:$A$1006,$A766,Data!$B$2:$B$1006,$B766)</f>
        <v>2208925</v>
      </c>
      <c r="F766" s="10" t="n">
        <f aca="false">SUMIFS(Data!$E$2:$E$1006,Data!$A$2:$A$1006,$A766,Data!$B$2:$B$1006,$B766)</f>
        <v>302.949185</v>
      </c>
      <c r="G766" s="10" t="n">
        <f aca="false">SUMIFS(Data!$F$2:$F$1006,Data!$A$2:$A$1006,$A766,Data!$B$2:$B$1006,$B766)</f>
        <v>283.594927</v>
      </c>
      <c r="H766" s="10" t="n">
        <f aca="false">SUMIFS(Data!$G$2:$G$1006,Data!$A$2:$A$1006,$A766,Data!$B$2:$B$1006,$B766)</f>
        <v>367.975481</v>
      </c>
      <c r="I766" s="10" t="n">
        <f aca="false">SUMIFS(Data!$N$2:$N$1006,Data!$A$2:$A$1006,$A766,Data!$B$2:$B$1006,$B766)</f>
        <v>954.519593</v>
      </c>
      <c r="J766" s="10" t="n">
        <f aca="false">SUMIFS(Data!$H$2:$H$1006,Data!$A$2:$A$1006,$A766,Data!$B$2:$B$1006,$B766)</f>
        <v>692.457829</v>
      </c>
      <c r="K766" s="11" t="n">
        <f aca="false">IFERROR(F766*1000000/$E766,"")</f>
        <v>137.147791346469</v>
      </c>
      <c r="L766" s="11" t="n">
        <f aca="false">IFERROR(G766*1000000/$E766,"")</f>
        <v>128.385946557715</v>
      </c>
      <c r="M766" s="11" t="n">
        <f aca="false">IFERROR(H766*1000000/$E766,"")</f>
        <v>166.585774075625</v>
      </c>
      <c r="N766" s="11" t="n">
        <f aca="false">IFERROR(I766*1000000/$E766,"")</f>
        <v>432.119511979809</v>
      </c>
      <c r="O766" s="11" t="n">
        <f aca="false">IFERROR(J766*1000000/$E766,"")</f>
        <v>313.481819889765</v>
      </c>
      <c r="P766" s="16" t="n">
        <f aca="false">COUNTIFS($A$4:$A$1008,$A766,$N$4:$N$1008,"&gt;"&amp;N766)+1</f>
        <v>3</v>
      </c>
      <c r="Q766" s="16" t="n">
        <f aca="false">COUNTIFS($A$4:$A$1008,$A766,$O$4:$O$1008,"&gt;"&amp;O766)+1</f>
        <v>13</v>
      </c>
    </row>
    <row r="767" customFormat="false" ht="15" hidden="false" customHeight="false" outlineLevel="0" collapsed="false">
      <c r="A767" s="7" t="n">
        <v>2019</v>
      </c>
      <c r="B767" s="15" t="s">
        <v>140</v>
      </c>
      <c r="C767" s="15" t="s">
        <v>135</v>
      </c>
      <c r="D767" s="15" t="s">
        <v>141</v>
      </c>
      <c r="E767" s="9" t="n">
        <f aca="false">SUMIFS(Data!$L$2:$L$1006,Data!$A$2:$A$1006,$A767,Data!$B$2:$B$1006,$B767)</f>
        <v>840116</v>
      </c>
      <c r="F767" s="10" t="n">
        <f aca="false">SUMIFS(Data!$E$2:$E$1006,Data!$A$2:$A$1006,$A767,Data!$B$2:$B$1006,$B767)</f>
        <v>118.208161</v>
      </c>
      <c r="G767" s="10" t="n">
        <f aca="false">SUMIFS(Data!$F$2:$F$1006,Data!$A$2:$A$1006,$A767,Data!$B$2:$B$1006,$B767)</f>
        <v>30.501151</v>
      </c>
      <c r="H767" s="10" t="n">
        <f aca="false">SUMIFS(Data!$G$2:$G$1006,Data!$A$2:$A$1006,$A767,Data!$B$2:$B$1006,$B767)</f>
        <v>94.986016</v>
      </c>
      <c r="I767" s="10" t="n">
        <f aca="false">SUMIFS(Data!$N$2:$N$1006,Data!$A$2:$A$1006,$A767,Data!$B$2:$B$1006,$B767)</f>
        <v>243.695328</v>
      </c>
      <c r="J767" s="10" t="n">
        <f aca="false">SUMIFS(Data!$H$2:$H$1006,Data!$A$2:$A$1006,$A767,Data!$B$2:$B$1006,$B767)</f>
        <v>405.844984</v>
      </c>
      <c r="K767" s="11" t="n">
        <f aca="false">IFERROR(F767*1000000/$E767,"")</f>
        <v>140.704570559304</v>
      </c>
      <c r="L767" s="11" t="n">
        <f aca="false">IFERROR(G767*1000000/$E767,"")</f>
        <v>36.3058803784239</v>
      </c>
      <c r="M767" s="11" t="n">
        <f aca="false">IFERROR(H767*1000000/$E767,"")</f>
        <v>113.062977017459</v>
      </c>
      <c r="N767" s="11" t="n">
        <f aca="false">IFERROR(I767*1000000/$E767,"")</f>
        <v>290.073427955187</v>
      </c>
      <c r="O767" s="11" t="n">
        <f aca="false">IFERROR(J767*1000000/$E767,"")</f>
        <v>483.082079141452</v>
      </c>
      <c r="P767" s="16" t="n">
        <f aca="false">COUNTIFS($A$4:$A$1008,$A767,$N$4:$N$1008,"&gt;"&amp;N767)+1</f>
        <v>27</v>
      </c>
      <c r="Q767" s="16" t="n">
        <f aca="false">COUNTIFS($A$4:$A$1008,$A767,$O$4:$O$1008,"&gt;"&amp;O767)+1</f>
        <v>3</v>
      </c>
    </row>
    <row r="768" customFormat="false" ht="15" hidden="false" customHeight="false" outlineLevel="0" collapsed="false">
      <c r="A768" s="7" t="n">
        <v>2019</v>
      </c>
      <c r="B768" s="15" t="s">
        <v>142</v>
      </c>
      <c r="C768" s="15" t="s">
        <v>135</v>
      </c>
      <c r="D768" s="15" t="s">
        <v>143</v>
      </c>
      <c r="E768" s="9" t="n">
        <f aca="false">SUMIFS(Data!$L$2:$L$1006,Data!$A$2:$A$1006,$A768,Data!$B$2:$B$1006,$B768)</f>
        <v>596731</v>
      </c>
      <c r="F768" s="10" t="n">
        <f aca="false">SUMIFS(Data!$E$2:$E$1006,Data!$A$2:$A$1006,$A768,Data!$B$2:$B$1006,$B768)</f>
        <v>81.866438</v>
      </c>
      <c r="G768" s="10" t="n">
        <f aca="false">SUMIFS(Data!$F$2:$F$1006,Data!$A$2:$A$1006,$A768,Data!$B$2:$B$1006,$B768)</f>
        <v>49.130921</v>
      </c>
      <c r="H768" s="10" t="n">
        <f aca="false">SUMIFS(Data!$G$2:$G$1006,Data!$A$2:$A$1006,$A768,Data!$B$2:$B$1006,$B768)</f>
        <v>82.678416</v>
      </c>
      <c r="I768" s="10" t="n">
        <f aca="false">SUMIFS(Data!$N$2:$N$1006,Data!$A$2:$A$1006,$A768,Data!$B$2:$B$1006,$B768)</f>
        <v>213.675775</v>
      </c>
      <c r="J768" s="10" t="n">
        <f aca="false">SUMIFS(Data!$H$2:$H$1006,Data!$A$2:$A$1006,$A768,Data!$B$2:$B$1006,$B768)</f>
        <v>216.141552</v>
      </c>
      <c r="K768" s="11" t="n">
        <f aca="false">IFERROR(F768*1000000/$E768,"")</f>
        <v>137.191528511172</v>
      </c>
      <c r="L768" s="11" t="n">
        <f aca="false">IFERROR(G768*1000000/$E768,"")</f>
        <v>82.3334484047251</v>
      </c>
      <c r="M768" s="11" t="n">
        <f aca="false">IFERROR(H768*1000000/$E768,"")</f>
        <v>138.552238780958</v>
      </c>
      <c r="N768" s="11" t="n">
        <f aca="false">IFERROR(I768*1000000/$E768,"")</f>
        <v>358.077215696855</v>
      </c>
      <c r="O768" s="11" t="n">
        <f aca="false">IFERROR(J768*1000000/$E768,"")</f>
        <v>362.209357315105</v>
      </c>
      <c r="P768" s="16" t="n">
        <f aca="false">COUNTIFS($A$4:$A$1008,$A768,$N$4:$N$1008,"&gt;"&amp;N768)+1</f>
        <v>14</v>
      </c>
      <c r="Q768" s="16" t="n">
        <f aca="false">COUNTIFS($A$4:$A$1008,$A768,$O$4:$O$1008,"&gt;"&amp;O768)+1</f>
        <v>9</v>
      </c>
    </row>
    <row r="769" customFormat="false" ht="15" hidden="false" customHeight="false" outlineLevel="0" collapsed="false">
      <c r="A769" s="7" t="n">
        <v>2019</v>
      </c>
      <c r="B769" s="15" t="s">
        <v>144</v>
      </c>
      <c r="C769" s="15" t="s">
        <v>135</v>
      </c>
      <c r="D769" s="15" t="s">
        <v>141</v>
      </c>
      <c r="E769" s="9" t="n">
        <f aca="false">SUMIFS(Data!$L$2:$L$1006,Data!$A$2:$A$1006,$A769,Data!$B$2:$B$1006,$B769)</f>
        <v>507576</v>
      </c>
      <c r="F769" s="10" t="n">
        <f aca="false">SUMIFS(Data!$E$2:$E$1006,Data!$A$2:$A$1006,$A769,Data!$B$2:$B$1006,$B769)</f>
        <v>63.24097</v>
      </c>
      <c r="G769" s="10" t="n">
        <f aca="false">SUMIFS(Data!$F$2:$F$1006,Data!$A$2:$A$1006,$A769,Data!$B$2:$B$1006,$B769)</f>
        <v>23.867516</v>
      </c>
      <c r="H769" s="10" t="n">
        <f aca="false">SUMIFS(Data!$G$2:$G$1006,Data!$A$2:$A$1006,$A769,Data!$B$2:$B$1006,$B769)</f>
        <v>34.738494</v>
      </c>
      <c r="I769" s="10" t="n">
        <f aca="false">SUMIFS(Data!$N$2:$N$1006,Data!$A$2:$A$1006,$A769,Data!$B$2:$B$1006,$B769)</f>
        <v>121.84698</v>
      </c>
      <c r="J769" s="10" t="n">
        <f aca="false">SUMIFS(Data!$H$2:$H$1006,Data!$A$2:$A$1006,$A769,Data!$B$2:$B$1006,$B769)</f>
        <v>71.915771</v>
      </c>
      <c r="K769" s="11" t="n">
        <f aca="false">IFERROR(F769*1000000/$E769,"")</f>
        <v>124.594090343121</v>
      </c>
      <c r="L769" s="11" t="n">
        <f aca="false">IFERROR(G769*1000000/$E769,"")</f>
        <v>47.0225463772913</v>
      </c>
      <c r="M769" s="11" t="n">
        <f aca="false">IFERROR(H769*1000000/$E769,"")</f>
        <v>68.4399853420966</v>
      </c>
      <c r="N769" s="11" t="n">
        <f aca="false">IFERROR(I769*1000000/$E769,"")</f>
        <v>240.056622062509</v>
      </c>
      <c r="O769" s="11" t="n">
        <f aca="false">IFERROR(J769*1000000/$E769,"")</f>
        <v>141.684734896843</v>
      </c>
      <c r="P769" s="16" t="n">
        <f aca="false">COUNTIFS($A$4:$A$1008,$A769,$N$4:$N$1008,"&gt;"&amp;N769)+1</f>
        <v>38</v>
      </c>
      <c r="Q769" s="16" t="n">
        <f aca="false">COUNTIFS($A$4:$A$1008,$A769,$O$4:$O$1008,"&gt;"&amp;O769)+1</f>
        <v>36</v>
      </c>
    </row>
    <row r="770" customFormat="false" ht="15" hidden="false" customHeight="false" outlineLevel="0" collapsed="false">
      <c r="A770" s="7" t="n">
        <v>2019</v>
      </c>
      <c r="B770" s="15" t="s">
        <v>145</v>
      </c>
      <c r="C770" s="15" t="s">
        <v>135</v>
      </c>
      <c r="D770" s="15" t="s">
        <v>146</v>
      </c>
      <c r="E770" s="9" t="n">
        <f aca="false">SUMIFS(Data!$L$2:$L$1006,Data!$A$2:$A$1006,$A770,Data!$B$2:$B$1006,$B770)</f>
        <v>491762</v>
      </c>
      <c r="F770" s="10" t="n">
        <f aca="false">SUMIFS(Data!$E$2:$E$1006,Data!$A$2:$A$1006,$A770,Data!$B$2:$B$1006,$B770)</f>
        <v>32.760098</v>
      </c>
      <c r="G770" s="10" t="n">
        <f aca="false">SUMIFS(Data!$F$2:$F$1006,Data!$A$2:$A$1006,$A770,Data!$B$2:$B$1006,$B770)</f>
        <v>68.259267</v>
      </c>
      <c r="H770" s="10" t="n">
        <f aca="false">SUMIFS(Data!$G$2:$G$1006,Data!$A$2:$A$1006,$A770,Data!$B$2:$B$1006,$B770)</f>
        <v>88.066156</v>
      </c>
      <c r="I770" s="10" t="n">
        <f aca="false">SUMIFS(Data!$N$2:$N$1006,Data!$A$2:$A$1006,$A770,Data!$B$2:$B$1006,$B770)</f>
        <v>189.085521</v>
      </c>
      <c r="J770" s="10" t="n">
        <f aca="false">SUMIFS(Data!$H$2:$H$1006,Data!$A$2:$A$1006,$A770,Data!$B$2:$B$1006,$B770)</f>
        <v>224.341207</v>
      </c>
      <c r="K770" s="11" t="n">
        <f aca="false">IFERROR(F770*1000000/$E770,"")</f>
        <v>66.6177907199011</v>
      </c>
      <c r="L770" s="11" t="n">
        <f aca="false">IFERROR(G770*1000000/$E770,"")</f>
        <v>138.805493307738</v>
      </c>
      <c r="M770" s="11" t="n">
        <f aca="false">IFERROR(H770*1000000/$E770,"")</f>
        <v>179.082881556525</v>
      </c>
      <c r="N770" s="11" t="n">
        <f aca="false">IFERROR(I770*1000000/$E770,"")</f>
        <v>384.506165584165</v>
      </c>
      <c r="O770" s="11" t="n">
        <f aca="false">IFERROR(J770*1000000/$E770,"")</f>
        <v>456.198744514623</v>
      </c>
      <c r="P770" s="16" t="n">
        <f aca="false">COUNTIFS($A$4:$A$1008,$A770,$N$4:$N$1008,"&gt;"&amp;N770)+1</f>
        <v>10</v>
      </c>
      <c r="Q770" s="16" t="n">
        <f aca="false">COUNTIFS($A$4:$A$1008,$A770,$O$4:$O$1008,"&gt;"&amp;O770)+1</f>
        <v>5</v>
      </c>
    </row>
    <row r="771" customFormat="false" ht="15" hidden="false" customHeight="false" outlineLevel="0" collapsed="false">
      <c r="A771" s="7" t="n">
        <v>2019</v>
      </c>
      <c r="B771" s="15" t="s">
        <v>147</v>
      </c>
      <c r="C771" s="15" t="s">
        <v>135</v>
      </c>
      <c r="D771" s="15" t="s">
        <v>148</v>
      </c>
      <c r="E771" s="9" t="n">
        <f aca="false">SUMIFS(Data!$L$2:$L$1006,Data!$A$2:$A$1006,$A771,Data!$B$2:$B$1006,$B771)</f>
        <v>156833</v>
      </c>
      <c r="F771" s="10" t="n">
        <f aca="false">SUMIFS(Data!$E$2:$E$1006,Data!$A$2:$A$1006,$A771,Data!$B$2:$B$1006,$B771)</f>
        <v>16.181091</v>
      </c>
      <c r="G771" s="10" t="n">
        <f aca="false">SUMIFS(Data!$F$2:$F$1006,Data!$A$2:$A$1006,$A771,Data!$B$2:$B$1006,$B771)</f>
        <v>17.132122</v>
      </c>
      <c r="H771" s="10" t="n">
        <f aca="false">SUMIFS(Data!$G$2:$G$1006,Data!$A$2:$A$1006,$A771,Data!$B$2:$B$1006,$B771)</f>
        <v>15.035522</v>
      </c>
      <c r="I771" s="10" t="n">
        <f aca="false">SUMIFS(Data!$N$2:$N$1006,Data!$A$2:$A$1006,$A771,Data!$B$2:$B$1006,$B771)</f>
        <v>48.348735</v>
      </c>
      <c r="J771" s="10" t="n">
        <f aca="false">SUMIFS(Data!$H$2:$H$1006,Data!$A$2:$A$1006,$A771,Data!$B$2:$B$1006,$B771)</f>
        <v>42.368903</v>
      </c>
      <c r="K771" s="11" t="n">
        <f aca="false">IFERROR(F771*1000000/$E771,"")</f>
        <v>103.174019498447</v>
      </c>
      <c r="L771" s="11" t="n">
        <f aca="false">IFERROR(G771*1000000/$E771,"")</f>
        <v>109.237992004234</v>
      </c>
      <c r="M771" s="11" t="n">
        <f aca="false">IFERROR(H771*1000000/$E771,"")</f>
        <v>95.8696320289735</v>
      </c>
      <c r="N771" s="11" t="n">
        <f aca="false">IFERROR(I771*1000000/$E771,"")</f>
        <v>308.281643531655</v>
      </c>
      <c r="O771" s="11" t="n">
        <f aca="false">IFERROR(J771*1000000/$E771,"")</f>
        <v>270.152984384664</v>
      </c>
      <c r="P771" s="16" t="n">
        <f aca="false">COUNTIFS($A$4:$A$1008,$A771,$N$4:$N$1008,"&gt;"&amp;N771)+1</f>
        <v>24</v>
      </c>
      <c r="Q771" s="16" t="n">
        <f aca="false">COUNTIFS($A$4:$A$1008,$A771,$O$4:$O$1008,"&gt;"&amp;O771)+1</f>
        <v>17</v>
      </c>
    </row>
    <row r="772" customFormat="false" ht="15" hidden="false" customHeight="false" outlineLevel="0" collapsed="false">
      <c r="A772" s="7" t="n">
        <v>2019</v>
      </c>
      <c r="B772" s="15" t="s">
        <v>149</v>
      </c>
      <c r="C772" s="15" t="s">
        <v>135</v>
      </c>
      <c r="D772" s="15" t="s">
        <v>146</v>
      </c>
      <c r="E772" s="9" t="n">
        <f aca="false">SUMIFS(Data!$L$2:$L$1006,Data!$A$2:$A$1006,$A772,Data!$B$2:$B$1006,$B772)</f>
        <v>786600</v>
      </c>
      <c r="F772" s="10" t="n">
        <f aca="false">SUMIFS(Data!$E$2:$E$1006,Data!$A$2:$A$1006,$A772,Data!$B$2:$B$1006,$B772)</f>
        <v>85.298216</v>
      </c>
      <c r="G772" s="10" t="n">
        <f aca="false">SUMIFS(Data!$F$2:$F$1006,Data!$A$2:$A$1006,$A772,Data!$B$2:$B$1006,$B772)</f>
        <v>98.434015</v>
      </c>
      <c r="H772" s="10" t="n">
        <f aca="false">SUMIFS(Data!$G$2:$G$1006,Data!$A$2:$A$1006,$A772,Data!$B$2:$B$1006,$B772)</f>
        <v>77.919834</v>
      </c>
      <c r="I772" s="10" t="n">
        <f aca="false">SUMIFS(Data!$N$2:$N$1006,Data!$A$2:$A$1006,$A772,Data!$B$2:$B$1006,$B772)</f>
        <v>261.652065</v>
      </c>
      <c r="J772" s="10" t="n">
        <f aca="false">SUMIFS(Data!$H$2:$H$1006,Data!$A$2:$A$1006,$A772,Data!$B$2:$B$1006,$B772)</f>
        <v>209.434617</v>
      </c>
      <c r="K772" s="11" t="n">
        <f aca="false">IFERROR(F772*1000000/$E772,"")</f>
        <v>108.439125349606</v>
      </c>
      <c r="L772" s="11" t="n">
        <f aca="false">IFERROR(G772*1000000/$E772,"")</f>
        <v>125.138590134757</v>
      </c>
      <c r="M772" s="11" t="n">
        <f aca="false">IFERROR(H772*1000000/$E772,"")</f>
        <v>99.0590312738368</v>
      </c>
      <c r="N772" s="11" t="n">
        <f aca="false">IFERROR(I772*1000000/$E772,"")</f>
        <v>332.6367467582</v>
      </c>
      <c r="O772" s="11" t="n">
        <f aca="false">IFERROR(J772*1000000/$E772,"")</f>
        <v>266.253009153318</v>
      </c>
      <c r="P772" s="16" t="n">
        <f aca="false">COUNTIFS($A$4:$A$1008,$A772,$N$4:$N$1008,"&gt;"&amp;N772)+1</f>
        <v>19</v>
      </c>
      <c r="Q772" s="16" t="n">
        <f aca="false">COUNTIFS($A$4:$A$1008,$A772,$O$4:$O$1008,"&gt;"&amp;O772)+1</f>
        <v>19</v>
      </c>
    </row>
    <row r="773" customFormat="false" ht="15" hidden="false" customHeight="false" outlineLevel="0" collapsed="false">
      <c r="A773" s="7" t="n">
        <v>2019</v>
      </c>
      <c r="B773" s="15" t="s">
        <v>150</v>
      </c>
      <c r="C773" s="15" t="s">
        <v>135</v>
      </c>
      <c r="D773" s="15" t="s">
        <v>141</v>
      </c>
      <c r="E773" s="9" t="n">
        <f aca="false">SUMIFS(Data!$L$2:$L$1006,Data!$A$2:$A$1006,$A773,Data!$B$2:$B$1006,$B773)</f>
        <v>473221</v>
      </c>
      <c r="F773" s="10" t="n">
        <f aca="false">SUMIFS(Data!$E$2:$E$1006,Data!$A$2:$A$1006,$A773,Data!$B$2:$B$1006,$B773)</f>
        <v>58.811486</v>
      </c>
      <c r="G773" s="10" t="n">
        <f aca="false">SUMIFS(Data!$F$2:$F$1006,Data!$A$2:$A$1006,$A773,Data!$B$2:$B$1006,$B773)</f>
        <v>17.200819</v>
      </c>
      <c r="H773" s="10" t="n">
        <f aca="false">SUMIFS(Data!$G$2:$G$1006,Data!$A$2:$A$1006,$A773,Data!$B$2:$B$1006,$B773)</f>
        <v>55.377933</v>
      </c>
      <c r="I773" s="10" t="n">
        <f aca="false">SUMIFS(Data!$N$2:$N$1006,Data!$A$2:$A$1006,$A773,Data!$B$2:$B$1006,$B773)</f>
        <v>131.390238</v>
      </c>
      <c r="J773" s="10" t="n">
        <f aca="false">SUMIFS(Data!$H$2:$H$1006,Data!$A$2:$A$1006,$A773,Data!$B$2:$B$1006,$B773)</f>
        <v>228.342718</v>
      </c>
      <c r="K773" s="11" t="n">
        <f aca="false">IFERROR(F773*1000000/$E773,"")</f>
        <v>124.279112719004</v>
      </c>
      <c r="L773" s="11" t="n">
        <f aca="false">IFERROR(G773*1000000/$E773,"")</f>
        <v>36.348384792729</v>
      </c>
      <c r="M773" s="11" t="n">
        <f aca="false">IFERROR(H773*1000000/$E773,"")</f>
        <v>117.023405554699</v>
      </c>
      <c r="N773" s="11" t="n">
        <f aca="false">IFERROR(I773*1000000/$E773,"")</f>
        <v>277.650903066432</v>
      </c>
      <c r="O773" s="11" t="n">
        <f aca="false">IFERROR(J773*1000000/$E773,"")</f>
        <v>482.528708573795</v>
      </c>
      <c r="P773" s="16" t="n">
        <f aca="false">COUNTIFS($A$4:$A$1008,$A773,$N$4:$N$1008,"&gt;"&amp;N773)+1</f>
        <v>30</v>
      </c>
      <c r="Q773" s="16" t="n">
        <f aca="false">COUNTIFS($A$4:$A$1008,$A773,$O$4:$O$1008,"&gt;"&amp;O773)+1</f>
        <v>4</v>
      </c>
    </row>
    <row r="774" customFormat="false" ht="15" hidden="false" customHeight="false" outlineLevel="0" collapsed="false">
      <c r="A774" s="7" t="n">
        <v>2019</v>
      </c>
      <c r="B774" s="15" t="s">
        <v>151</v>
      </c>
      <c r="C774" s="15" t="s">
        <v>135</v>
      </c>
      <c r="D774" s="15" t="s">
        <v>136</v>
      </c>
      <c r="E774" s="9" t="n">
        <f aca="false">SUMIFS(Data!$L$2:$L$1006,Data!$A$2:$A$1006,$A774,Data!$B$2:$B$1006,$B774)</f>
        <v>1491047</v>
      </c>
      <c r="F774" s="10" t="n">
        <f aca="false">SUMIFS(Data!$E$2:$E$1006,Data!$A$2:$A$1006,$A774,Data!$B$2:$B$1006,$B774)</f>
        <v>121.335093</v>
      </c>
      <c r="G774" s="10" t="n">
        <f aca="false">SUMIFS(Data!$F$2:$F$1006,Data!$A$2:$A$1006,$A774,Data!$B$2:$B$1006,$B774)</f>
        <v>168.701257</v>
      </c>
      <c r="H774" s="10" t="n">
        <f aca="false">SUMIFS(Data!$G$2:$G$1006,Data!$A$2:$A$1006,$A774,Data!$B$2:$B$1006,$B774)</f>
        <v>116.716217</v>
      </c>
      <c r="I774" s="10" t="n">
        <f aca="false">SUMIFS(Data!$N$2:$N$1006,Data!$A$2:$A$1006,$A774,Data!$B$2:$B$1006,$B774)</f>
        <v>406.752567</v>
      </c>
      <c r="J774" s="10" t="n">
        <f aca="false">SUMIFS(Data!$H$2:$H$1006,Data!$A$2:$A$1006,$A774,Data!$B$2:$B$1006,$B774)</f>
        <v>218.751354</v>
      </c>
      <c r="K774" s="11" t="n">
        <f aca="false">IFERROR(F774*1000000/$E774,"")</f>
        <v>81.3757668269344</v>
      </c>
      <c r="L774" s="11" t="n">
        <f aca="false">IFERROR(G774*1000000/$E774,"")</f>
        <v>113.142816423627</v>
      </c>
      <c r="M774" s="11" t="n">
        <f aca="false">IFERROR(H774*1000000/$E774,"")</f>
        <v>78.2780267825226</v>
      </c>
      <c r="N774" s="11" t="n">
        <f aca="false">IFERROR(I774*1000000/$E774,"")</f>
        <v>272.796610033084</v>
      </c>
      <c r="O774" s="11" t="n">
        <f aca="false">IFERROR(J774*1000000/$E774,"")</f>
        <v>146.709898480732</v>
      </c>
      <c r="P774" s="16" t="n">
        <f aca="false">COUNTIFS($A$4:$A$1008,$A774,$N$4:$N$1008,"&gt;"&amp;N774)+1</f>
        <v>33</v>
      </c>
      <c r="Q774" s="16" t="n">
        <f aca="false">COUNTIFS($A$4:$A$1008,$A774,$O$4:$O$1008,"&gt;"&amp;O774)+1</f>
        <v>35</v>
      </c>
    </row>
    <row r="775" customFormat="false" ht="15" hidden="false" customHeight="false" outlineLevel="0" collapsed="false">
      <c r="A775" s="7" t="n">
        <v>2019</v>
      </c>
      <c r="B775" s="15" t="s">
        <v>152</v>
      </c>
      <c r="C775" s="15" t="s">
        <v>135</v>
      </c>
      <c r="D775" s="15" t="s">
        <v>148</v>
      </c>
      <c r="E775" s="9" t="n">
        <f aca="false">SUMIFS(Data!$L$2:$L$1006,Data!$A$2:$A$1006,$A775,Data!$B$2:$B$1006,$B775)</f>
        <v>261093</v>
      </c>
      <c r="F775" s="10" t="n">
        <f aca="false">SUMIFS(Data!$E$2:$E$1006,Data!$A$2:$A$1006,$A775,Data!$B$2:$B$1006,$B775)</f>
        <v>28.213051</v>
      </c>
      <c r="G775" s="10" t="n">
        <f aca="false">SUMIFS(Data!$F$2:$F$1006,Data!$A$2:$A$1006,$A775,Data!$B$2:$B$1006,$B775)</f>
        <v>22.435221</v>
      </c>
      <c r="H775" s="10" t="n">
        <f aca="false">SUMIFS(Data!$G$2:$G$1006,Data!$A$2:$A$1006,$A775,Data!$B$2:$B$1006,$B775)</f>
        <v>34.111571</v>
      </c>
      <c r="I775" s="10" t="n">
        <f aca="false">SUMIFS(Data!$N$2:$N$1006,Data!$A$2:$A$1006,$A775,Data!$B$2:$B$1006,$B775)</f>
        <v>84.759843</v>
      </c>
      <c r="J775" s="10" t="n">
        <f aca="false">SUMIFS(Data!$H$2:$H$1006,Data!$A$2:$A$1006,$A775,Data!$B$2:$B$1006,$B775)</f>
        <v>61.768032</v>
      </c>
      <c r="K775" s="11" t="n">
        <f aca="false">IFERROR(F775*1000000/$E775,"")</f>
        <v>108.057477603766</v>
      </c>
      <c r="L775" s="11" t="n">
        <f aca="false">IFERROR(G775*1000000/$E775,"")</f>
        <v>85.9280830968276</v>
      </c>
      <c r="M775" s="11" t="n">
        <f aca="false">IFERROR(H775*1000000/$E775,"")</f>
        <v>130.649121194364</v>
      </c>
      <c r="N775" s="11" t="n">
        <f aca="false">IFERROR(I775*1000000/$E775,"")</f>
        <v>324.634681894957</v>
      </c>
      <c r="O775" s="11" t="n">
        <f aca="false">IFERROR(J775*1000000/$E775,"")</f>
        <v>236.574829658398</v>
      </c>
      <c r="P775" s="16" t="n">
        <f aca="false">COUNTIFS($A$4:$A$1008,$A775,$N$4:$N$1008,"&gt;"&amp;N775)+1</f>
        <v>20</v>
      </c>
      <c r="Q775" s="16" t="n">
        <f aca="false">COUNTIFS($A$4:$A$1008,$A775,$O$4:$O$1008,"&gt;"&amp;O775)+1</f>
        <v>25</v>
      </c>
    </row>
    <row r="776" customFormat="false" ht="15" hidden="false" customHeight="false" outlineLevel="0" collapsed="false">
      <c r="A776" s="7" t="n">
        <v>2019</v>
      </c>
      <c r="B776" s="15" t="s">
        <v>153</v>
      </c>
      <c r="C776" s="15" t="s">
        <v>135</v>
      </c>
      <c r="D776" s="15" t="s">
        <v>136</v>
      </c>
      <c r="E776" s="9" t="n">
        <f aca="false">SUMIFS(Data!$L$2:$L$1006,Data!$A$2:$A$1006,$A776,Data!$B$2:$B$1006,$B776)</f>
        <v>132583</v>
      </c>
      <c r="F776" s="10" t="n">
        <f aca="false">SUMIFS(Data!$E$2:$E$1006,Data!$A$2:$A$1006,$A776,Data!$B$2:$B$1006,$B776)</f>
        <v>18.329595</v>
      </c>
      <c r="G776" s="10" t="n">
        <f aca="false">SUMIFS(Data!$F$2:$F$1006,Data!$A$2:$A$1006,$A776,Data!$B$2:$B$1006,$B776)</f>
        <v>25.167979</v>
      </c>
      <c r="H776" s="10" t="n">
        <f aca="false">SUMIFS(Data!$G$2:$G$1006,Data!$A$2:$A$1006,$A776,Data!$B$2:$B$1006,$B776)</f>
        <v>11.984078</v>
      </c>
      <c r="I776" s="10" t="n">
        <f aca="false">SUMIFS(Data!$N$2:$N$1006,Data!$A$2:$A$1006,$A776,Data!$B$2:$B$1006,$B776)</f>
        <v>55.481652</v>
      </c>
      <c r="J776" s="10" t="n">
        <f aca="false">SUMIFS(Data!$H$2:$H$1006,Data!$A$2:$A$1006,$A776,Data!$B$2:$B$1006,$B776)</f>
        <v>27.826373</v>
      </c>
      <c r="K776" s="11" t="n">
        <f aca="false">IFERROR(F776*1000000/$E776,"")</f>
        <v>138.249964173386</v>
      </c>
      <c r="L776" s="11" t="n">
        <f aca="false">IFERROR(G776*1000000/$E776,"")</f>
        <v>189.828100133501</v>
      </c>
      <c r="M776" s="11" t="n">
        <f aca="false">IFERROR(H776*1000000/$E776,"")</f>
        <v>90.3892505072294</v>
      </c>
      <c r="N776" s="11" t="n">
        <f aca="false">IFERROR(I776*1000000/$E776,"")</f>
        <v>418.467314814116</v>
      </c>
      <c r="O776" s="11" t="n">
        <f aca="false">IFERROR(J776*1000000/$E776,"")</f>
        <v>209.878890958871</v>
      </c>
      <c r="P776" s="16" t="n">
        <f aca="false">COUNTIFS($A$4:$A$1008,$A776,$N$4:$N$1008,"&gt;"&amp;N776)+1</f>
        <v>4</v>
      </c>
      <c r="Q776" s="16" t="n">
        <f aca="false">COUNTIFS($A$4:$A$1008,$A776,$O$4:$O$1008,"&gt;"&amp;O776)+1</f>
        <v>29</v>
      </c>
    </row>
    <row r="777" customFormat="false" ht="15" hidden="false" customHeight="false" outlineLevel="0" collapsed="false">
      <c r="A777" s="7" t="n">
        <v>2019</v>
      </c>
      <c r="B777" s="15" t="s">
        <v>154</v>
      </c>
      <c r="C777" s="15" t="s">
        <v>135</v>
      </c>
      <c r="D777" s="15" t="s">
        <v>141</v>
      </c>
      <c r="E777" s="9" t="n">
        <f aca="false">SUMIFS(Data!$L$2:$L$1006,Data!$A$2:$A$1006,$A777,Data!$B$2:$B$1006,$B777)</f>
        <v>147287</v>
      </c>
      <c r="F777" s="10" t="n">
        <f aca="false">SUMIFS(Data!$E$2:$E$1006,Data!$A$2:$A$1006,$A777,Data!$B$2:$B$1006,$B777)</f>
        <v>17.552837</v>
      </c>
      <c r="G777" s="10" t="n">
        <f aca="false">SUMIFS(Data!$F$2:$F$1006,Data!$A$2:$A$1006,$A777,Data!$B$2:$B$1006,$B777)</f>
        <v>5.37082</v>
      </c>
      <c r="H777" s="10" t="n">
        <f aca="false">SUMIFS(Data!$G$2:$G$1006,Data!$A$2:$A$1006,$A777,Data!$B$2:$B$1006,$B777)</f>
        <v>21.835392</v>
      </c>
      <c r="I777" s="10" t="n">
        <f aca="false">SUMIFS(Data!$N$2:$N$1006,Data!$A$2:$A$1006,$A777,Data!$B$2:$B$1006,$B777)</f>
        <v>44.759049</v>
      </c>
      <c r="J777" s="10" t="n">
        <f aca="false">SUMIFS(Data!$H$2:$H$1006,Data!$A$2:$A$1006,$A777,Data!$B$2:$B$1006,$B777)</f>
        <v>89.11206</v>
      </c>
      <c r="K777" s="11" t="n">
        <f aca="false">IFERROR(F777*1000000/$E777,"")</f>
        <v>119.174380631013</v>
      </c>
      <c r="L777" s="11" t="n">
        <f aca="false">IFERROR(G777*1000000/$E777,"")</f>
        <v>36.4649969107932</v>
      </c>
      <c r="M777" s="11" t="n">
        <f aca="false">IFERROR(H777*1000000/$E777,"")</f>
        <v>148.25063990712</v>
      </c>
      <c r="N777" s="11" t="n">
        <f aca="false">IFERROR(I777*1000000/$E777,"")</f>
        <v>303.890017448926</v>
      </c>
      <c r="O777" s="11" t="n">
        <f aca="false">IFERROR(J777*1000000/$E777,"")</f>
        <v>605.023253919219</v>
      </c>
      <c r="P777" s="16" t="n">
        <f aca="false">COUNTIFS($A$4:$A$1008,$A777,$N$4:$N$1008,"&gt;"&amp;N777)+1</f>
        <v>26</v>
      </c>
      <c r="Q777" s="16" t="n">
        <f aca="false">COUNTIFS($A$4:$A$1008,$A777,$O$4:$O$1008,"&gt;"&amp;O777)+1</f>
        <v>2</v>
      </c>
    </row>
    <row r="778" customFormat="false" ht="15" hidden="false" customHeight="false" outlineLevel="0" collapsed="false">
      <c r="A778" s="7" t="n">
        <v>2019</v>
      </c>
      <c r="B778" s="15" t="s">
        <v>155</v>
      </c>
      <c r="C778" s="15" t="s">
        <v>135</v>
      </c>
      <c r="D778" s="15" t="s">
        <v>148</v>
      </c>
      <c r="E778" s="9" t="n">
        <f aca="false">SUMIFS(Data!$L$2:$L$1006,Data!$A$2:$A$1006,$A778,Data!$B$2:$B$1006,$B778)</f>
        <v>1138054</v>
      </c>
      <c r="F778" s="10" t="n">
        <f aca="false">SUMIFS(Data!$E$2:$E$1006,Data!$A$2:$A$1006,$A778,Data!$B$2:$B$1006,$B778)</f>
        <v>79.6709</v>
      </c>
      <c r="G778" s="10" t="n">
        <f aca="false">SUMIFS(Data!$F$2:$F$1006,Data!$A$2:$A$1006,$A778,Data!$B$2:$B$1006,$B778)</f>
        <v>108.47317</v>
      </c>
      <c r="H778" s="10" t="n">
        <f aca="false">SUMIFS(Data!$G$2:$G$1006,Data!$A$2:$A$1006,$A778,Data!$B$2:$B$1006,$B778)</f>
        <v>126.586809</v>
      </c>
      <c r="I778" s="10" t="n">
        <f aca="false">SUMIFS(Data!$N$2:$N$1006,Data!$A$2:$A$1006,$A778,Data!$B$2:$B$1006,$B778)</f>
        <v>314.730879</v>
      </c>
      <c r="J778" s="10" t="n">
        <f aca="false">SUMIFS(Data!$H$2:$H$1006,Data!$A$2:$A$1006,$A778,Data!$B$2:$B$1006,$B778)</f>
        <v>285.465741</v>
      </c>
      <c r="K778" s="11" t="n">
        <f aca="false">IFERROR(F778*1000000/$E778,"")</f>
        <v>70.0062562936381</v>
      </c>
      <c r="L778" s="11" t="n">
        <f aca="false">IFERROR(G778*1000000/$E778,"")</f>
        <v>95.3146072154748</v>
      </c>
      <c r="M778" s="11" t="n">
        <f aca="false">IFERROR(H778*1000000/$E778,"")</f>
        <v>111.23093368153</v>
      </c>
      <c r="N778" s="11" t="n">
        <f aca="false">IFERROR(I778*1000000/$E778,"")</f>
        <v>276.551797190643</v>
      </c>
      <c r="O778" s="11" t="n">
        <f aca="false">IFERROR(J778*1000000/$E778,"")</f>
        <v>250.836727431212</v>
      </c>
      <c r="P778" s="16" t="n">
        <f aca="false">COUNTIFS($A$4:$A$1008,$A778,$N$4:$N$1008,"&gt;"&amp;N778)+1</f>
        <v>31</v>
      </c>
      <c r="Q778" s="16" t="n">
        <f aca="false">COUNTIFS($A$4:$A$1008,$A778,$O$4:$O$1008,"&gt;"&amp;O778)+1</f>
        <v>23</v>
      </c>
    </row>
    <row r="779" customFormat="false" ht="15" hidden="false" customHeight="false" outlineLevel="0" collapsed="false">
      <c r="A779" s="7" t="n">
        <v>2019</v>
      </c>
      <c r="B779" s="15" t="s">
        <v>156</v>
      </c>
      <c r="C779" s="15" t="s">
        <v>135</v>
      </c>
      <c r="D779" s="15" t="s">
        <v>148</v>
      </c>
      <c r="E779" s="9" t="n">
        <f aca="false">SUMIFS(Data!$L$2:$L$1006,Data!$A$2:$A$1006,$A779,Data!$B$2:$B$1006,$B779)</f>
        <v>476494</v>
      </c>
      <c r="F779" s="10" t="n">
        <f aca="false">SUMIFS(Data!$E$2:$E$1006,Data!$A$2:$A$1006,$A779,Data!$B$2:$B$1006,$B779)</f>
        <v>29.839988</v>
      </c>
      <c r="G779" s="10" t="n">
        <f aca="false">SUMIFS(Data!$F$2:$F$1006,Data!$A$2:$A$1006,$A779,Data!$B$2:$B$1006,$B779)</f>
        <v>37.261567</v>
      </c>
      <c r="H779" s="10" t="n">
        <f aca="false">SUMIFS(Data!$G$2:$G$1006,Data!$A$2:$A$1006,$A779,Data!$B$2:$B$1006,$B779)</f>
        <v>63.98327</v>
      </c>
      <c r="I779" s="10" t="n">
        <f aca="false">SUMIFS(Data!$N$2:$N$1006,Data!$A$2:$A$1006,$A779,Data!$B$2:$B$1006,$B779)</f>
        <v>131.084825</v>
      </c>
      <c r="J779" s="10" t="n">
        <f aca="false">SUMIFS(Data!$H$2:$H$1006,Data!$A$2:$A$1006,$A779,Data!$B$2:$B$1006,$B779)</f>
        <v>190.397179</v>
      </c>
      <c r="K779" s="11" t="n">
        <f aca="false">IFERROR(F779*1000000/$E779,"")</f>
        <v>62.6240582252872</v>
      </c>
      <c r="L779" s="11" t="n">
        <f aca="false">IFERROR(G779*1000000/$E779,"")</f>
        <v>78.1994463728819</v>
      </c>
      <c r="M779" s="11" t="n">
        <f aca="false">IFERROR(H779*1000000/$E779,"")</f>
        <v>134.279277388593</v>
      </c>
      <c r="N779" s="11" t="n">
        <f aca="false">IFERROR(I779*1000000/$E779,"")</f>
        <v>275.102781986762</v>
      </c>
      <c r="O779" s="11" t="n">
        <f aca="false">IFERROR(J779*1000000/$E779,"")</f>
        <v>399.579384000638</v>
      </c>
      <c r="P779" s="16" t="n">
        <f aca="false">COUNTIFS($A$4:$A$1008,$A779,$N$4:$N$1008,"&gt;"&amp;N779)+1</f>
        <v>32</v>
      </c>
      <c r="Q779" s="16" t="n">
        <f aca="false">COUNTIFS($A$4:$A$1008,$A779,$O$4:$O$1008,"&gt;"&amp;O779)+1</f>
        <v>7</v>
      </c>
    </row>
    <row r="780" customFormat="false" ht="15" hidden="false" customHeight="false" outlineLevel="0" collapsed="false">
      <c r="A780" s="7" t="n">
        <v>2019</v>
      </c>
      <c r="B780" s="15" t="s">
        <v>157</v>
      </c>
      <c r="C780" s="15" t="s">
        <v>135</v>
      </c>
      <c r="D780" s="15" t="s">
        <v>148</v>
      </c>
      <c r="E780" s="9" t="n">
        <f aca="false">SUMIFS(Data!$L$2:$L$1006,Data!$A$2:$A$1006,$A780,Data!$B$2:$B$1006,$B780)</f>
        <v>447493</v>
      </c>
      <c r="F780" s="10" t="n">
        <f aca="false">SUMIFS(Data!$E$2:$E$1006,Data!$A$2:$A$1006,$A780,Data!$B$2:$B$1006,$B780)</f>
        <v>41.250865</v>
      </c>
      <c r="G780" s="10" t="n">
        <f aca="false">SUMIFS(Data!$F$2:$F$1006,Data!$A$2:$A$1006,$A780,Data!$B$2:$B$1006,$B780)</f>
        <v>32.849427</v>
      </c>
      <c r="H780" s="10" t="n">
        <f aca="false">SUMIFS(Data!$G$2:$G$1006,Data!$A$2:$A$1006,$A780,Data!$B$2:$B$1006,$B780)</f>
        <v>33.37977</v>
      </c>
      <c r="I780" s="10" t="n">
        <f aca="false">SUMIFS(Data!$N$2:$N$1006,Data!$A$2:$A$1006,$A780,Data!$B$2:$B$1006,$B780)</f>
        <v>107.480062</v>
      </c>
      <c r="J780" s="10" t="n">
        <f aca="false">SUMIFS(Data!$H$2:$H$1006,Data!$A$2:$A$1006,$A780,Data!$B$2:$B$1006,$B780)</f>
        <v>272.509749</v>
      </c>
      <c r="K780" s="11" t="n">
        <f aca="false">IFERROR(F780*1000000/$E780,"")</f>
        <v>92.1821458659689</v>
      </c>
      <c r="L780" s="11" t="n">
        <f aca="false">IFERROR(G780*1000000/$E780,"")</f>
        <v>73.4076890588233</v>
      </c>
      <c r="M780" s="11" t="n">
        <f aca="false">IFERROR(H780*1000000/$E780,"")</f>
        <v>74.5928316197125</v>
      </c>
      <c r="N780" s="11" t="n">
        <f aca="false">IFERROR(I780*1000000/$E780,"")</f>
        <v>240.182666544505</v>
      </c>
      <c r="O780" s="11" t="n">
        <f aca="false">IFERROR(J780*1000000/$E780,"")</f>
        <v>608.969858746394</v>
      </c>
      <c r="P780" s="16" t="n">
        <f aca="false">COUNTIFS($A$4:$A$1008,$A780,$N$4:$N$1008,"&gt;"&amp;N780)+1</f>
        <v>37</v>
      </c>
      <c r="Q780" s="16" t="n">
        <f aca="false">COUNTIFS($A$4:$A$1008,$A780,$O$4:$O$1008,"&gt;"&amp;O780)+1</f>
        <v>1</v>
      </c>
    </row>
    <row r="781" customFormat="false" ht="15" hidden="false" customHeight="false" outlineLevel="0" collapsed="false">
      <c r="A781" s="7" t="n">
        <v>2020</v>
      </c>
      <c r="B781" s="15" t="s">
        <v>101</v>
      </c>
      <c r="C781" s="15" t="s">
        <v>102</v>
      </c>
      <c r="D781" s="15" t="s">
        <v>103</v>
      </c>
      <c r="E781" s="9" t="n">
        <f aca="false">SUMIFS(Data!$L$2:$L$1006,Data!$A$2:$A$1006,$A781,Data!$B$2:$B$1006,$B781)</f>
        <v>754024</v>
      </c>
      <c r="F781" s="10" t="n">
        <f aca="false">SUMIFS(Data!$E$2:$E$1006,Data!$A$2:$A$1006,$A781,Data!$B$2:$B$1006,$B781)</f>
        <v>72.657684</v>
      </c>
      <c r="G781" s="10" t="n">
        <f aca="false">SUMIFS(Data!$F$2:$F$1006,Data!$A$2:$A$1006,$A781,Data!$B$2:$B$1006,$B781)</f>
        <v>56.568772</v>
      </c>
      <c r="H781" s="10" t="n">
        <f aca="false">SUMIFS(Data!$G$2:$G$1006,Data!$A$2:$A$1006,$A781,Data!$B$2:$B$1006,$B781)</f>
        <v>86.32569</v>
      </c>
      <c r="I781" s="10" t="n">
        <f aca="false">SUMIFS(Data!$N$2:$N$1006,Data!$A$2:$A$1006,$A781,Data!$B$2:$B$1006,$B781)</f>
        <v>215.552146</v>
      </c>
      <c r="J781" s="10" t="n">
        <f aca="false">SUMIFS(Data!$H$2:$H$1006,Data!$A$2:$A$1006,$A781,Data!$B$2:$B$1006,$B781)</f>
        <v>129.635206</v>
      </c>
      <c r="K781" s="11" t="n">
        <f aca="false">IFERROR(F781*1000000/$E781,"")</f>
        <v>96.3599089684148</v>
      </c>
      <c r="L781" s="11" t="n">
        <f aca="false">IFERROR(G781*1000000/$E781,"")</f>
        <v>75.0225085673666</v>
      </c>
      <c r="M781" s="11" t="n">
        <f aca="false">IFERROR(H781*1000000/$E781,"")</f>
        <v>114.48666090204</v>
      </c>
      <c r="N781" s="11" t="n">
        <f aca="false">IFERROR(I781*1000000/$E781,"")</f>
        <v>285.869078437822</v>
      </c>
      <c r="O781" s="11" t="n">
        <f aca="false">IFERROR(J781*1000000/$E781,"")</f>
        <v>171.924509034195</v>
      </c>
      <c r="P781" s="16" t="n">
        <f aca="false">COUNTIFS($A$4:$A$1008,$A781,$N$4:$N$1008,"&gt;"&amp;N781)+1</f>
        <v>29</v>
      </c>
      <c r="Q781" s="16" t="n">
        <f aca="false">COUNTIFS($A$4:$A$1008,$A781,$O$4:$O$1008,"&gt;"&amp;O781)+1</f>
        <v>35</v>
      </c>
    </row>
    <row r="782" customFormat="false" ht="15" hidden="false" customHeight="false" outlineLevel="0" collapsed="false">
      <c r="A782" s="7" t="n">
        <v>2020</v>
      </c>
      <c r="B782" s="15" t="s">
        <v>104</v>
      </c>
      <c r="C782" s="15" t="s">
        <v>102</v>
      </c>
      <c r="D782" s="15" t="s">
        <v>105</v>
      </c>
      <c r="E782" s="9" t="n">
        <f aca="false">SUMIFS(Data!$L$2:$L$1006,Data!$A$2:$A$1006,$A782,Data!$B$2:$B$1006,$B782)</f>
        <v>1145080</v>
      </c>
      <c r="F782" s="10" t="n">
        <f aca="false">SUMIFS(Data!$E$2:$E$1006,Data!$A$2:$A$1006,$A782,Data!$B$2:$B$1006,$B782)</f>
        <v>293.399172</v>
      </c>
      <c r="G782" s="10" t="n">
        <f aca="false">SUMIFS(Data!$F$2:$F$1006,Data!$A$2:$A$1006,$A782,Data!$B$2:$B$1006,$B782)</f>
        <v>167.114948</v>
      </c>
      <c r="H782" s="10" t="n">
        <f aca="false">SUMIFS(Data!$G$2:$G$1006,Data!$A$2:$A$1006,$A782,Data!$B$2:$B$1006,$B782)</f>
        <v>135.551464</v>
      </c>
      <c r="I782" s="10" t="n">
        <f aca="false">SUMIFS(Data!$N$2:$N$1006,Data!$A$2:$A$1006,$A782,Data!$B$2:$B$1006,$B782)</f>
        <v>596.065584</v>
      </c>
      <c r="J782" s="10" t="n">
        <f aca="false">SUMIFS(Data!$H$2:$H$1006,Data!$A$2:$A$1006,$A782,Data!$B$2:$B$1006,$B782)</f>
        <v>277.222282</v>
      </c>
      <c r="K782" s="11" t="n">
        <f aca="false">IFERROR(F782*1000000/$E782,"")</f>
        <v>256.225916093199</v>
      </c>
      <c r="L782" s="11" t="n">
        <f aca="false">IFERROR(G782*1000000/$E782,"")</f>
        <v>145.941722849059</v>
      </c>
      <c r="M782" s="11" t="n">
        <f aca="false">IFERROR(H782*1000000/$E782,"")</f>
        <v>118.377287176442</v>
      </c>
      <c r="N782" s="11" t="n">
        <f aca="false">IFERROR(I782*1000000/$E782,"")</f>
        <v>520.544926118699</v>
      </c>
      <c r="O782" s="11" t="n">
        <f aca="false">IFERROR(J782*1000000/$E782,"")</f>
        <v>242.098614943934</v>
      </c>
      <c r="P782" s="16" t="n">
        <f aca="false">COUNTIFS($A$4:$A$1008,$A782,$N$4:$N$1008,"&gt;"&amp;N782)+1</f>
        <v>3</v>
      </c>
      <c r="Q782" s="16" t="n">
        <f aca="false">COUNTIFS($A$4:$A$1008,$A782,$O$4:$O$1008,"&gt;"&amp;O782)+1</f>
        <v>24</v>
      </c>
    </row>
    <row r="783" customFormat="false" ht="15" hidden="false" customHeight="false" outlineLevel="0" collapsed="false">
      <c r="A783" s="7" t="n">
        <v>2020</v>
      </c>
      <c r="B783" s="15" t="s">
        <v>106</v>
      </c>
      <c r="C783" s="15" t="s">
        <v>102</v>
      </c>
      <c r="D783" s="15" t="s">
        <v>107</v>
      </c>
      <c r="E783" s="9" t="n">
        <f aca="false">SUMIFS(Data!$L$2:$L$1006,Data!$A$2:$A$1006,$A783,Data!$B$2:$B$1006,$B783)</f>
        <v>577500</v>
      </c>
      <c r="F783" s="10" t="n">
        <f aca="false">SUMIFS(Data!$E$2:$E$1006,Data!$A$2:$A$1006,$A783,Data!$B$2:$B$1006,$B783)</f>
        <v>80.018384</v>
      </c>
      <c r="G783" s="10" t="n">
        <f aca="false">SUMIFS(Data!$F$2:$F$1006,Data!$A$2:$A$1006,$A783,Data!$B$2:$B$1006,$B783)</f>
        <v>63.175356</v>
      </c>
      <c r="H783" s="10" t="n">
        <f aca="false">SUMIFS(Data!$G$2:$G$1006,Data!$A$2:$A$1006,$A783,Data!$B$2:$B$1006,$B783)</f>
        <v>63.481886</v>
      </c>
      <c r="I783" s="10" t="n">
        <f aca="false">SUMIFS(Data!$N$2:$N$1006,Data!$A$2:$A$1006,$A783,Data!$B$2:$B$1006,$B783)</f>
        <v>206.675626</v>
      </c>
      <c r="J783" s="10" t="n">
        <f aca="false">SUMIFS(Data!$H$2:$H$1006,Data!$A$2:$A$1006,$A783,Data!$B$2:$B$1006,$B783)</f>
        <v>133.568945</v>
      </c>
      <c r="K783" s="11" t="n">
        <f aca="false">IFERROR(F783*1000000/$E783,"")</f>
        <v>138.559972294372</v>
      </c>
      <c r="L783" s="11" t="n">
        <f aca="false">IFERROR(G783*1000000/$E783,"")</f>
        <v>109.394555844156</v>
      </c>
      <c r="M783" s="11" t="n">
        <f aca="false">IFERROR(H783*1000000/$E783,"")</f>
        <v>109.925343722944</v>
      </c>
      <c r="N783" s="11" t="n">
        <f aca="false">IFERROR(I783*1000000/$E783,"")</f>
        <v>357.879871861472</v>
      </c>
      <c r="O783" s="11" t="n">
        <f aca="false">IFERROR(J783*1000000/$E783,"")</f>
        <v>231.288216450216</v>
      </c>
      <c r="P783" s="16" t="n">
        <f aca="false">COUNTIFS($A$4:$A$1008,$A783,$N$4:$N$1008,"&gt;"&amp;N783)+1</f>
        <v>15</v>
      </c>
      <c r="Q783" s="16" t="n">
        <f aca="false">COUNTIFS($A$4:$A$1008,$A783,$O$4:$O$1008,"&gt;"&amp;O783)+1</f>
        <v>25</v>
      </c>
    </row>
    <row r="784" customFormat="false" ht="15" hidden="false" customHeight="false" outlineLevel="0" collapsed="false">
      <c r="A784" s="7" t="n">
        <v>2020</v>
      </c>
      <c r="B784" s="15" t="s">
        <v>108</v>
      </c>
      <c r="C784" s="15" t="s">
        <v>102</v>
      </c>
      <c r="D784" s="15" t="s">
        <v>109</v>
      </c>
      <c r="E784" s="9" t="n">
        <f aca="false">SUMIFS(Data!$L$2:$L$1006,Data!$A$2:$A$1006,$A784,Data!$B$2:$B$1006,$B784)</f>
        <v>393758</v>
      </c>
      <c r="F784" s="10" t="n">
        <f aca="false">SUMIFS(Data!$E$2:$E$1006,Data!$A$2:$A$1006,$A784,Data!$B$2:$B$1006,$B784)</f>
        <v>66.747696</v>
      </c>
      <c r="G784" s="10" t="n">
        <f aca="false">SUMIFS(Data!$F$2:$F$1006,Data!$A$2:$A$1006,$A784,Data!$B$2:$B$1006,$B784)</f>
        <v>32.370774</v>
      </c>
      <c r="H784" s="10" t="n">
        <f aca="false">SUMIFS(Data!$G$2:$G$1006,Data!$A$2:$A$1006,$A784,Data!$B$2:$B$1006,$B784)</f>
        <v>47.390754</v>
      </c>
      <c r="I784" s="10" t="n">
        <f aca="false">SUMIFS(Data!$N$2:$N$1006,Data!$A$2:$A$1006,$A784,Data!$B$2:$B$1006,$B784)</f>
        <v>146.509224</v>
      </c>
      <c r="J784" s="10" t="n">
        <f aca="false">SUMIFS(Data!$H$2:$H$1006,Data!$A$2:$A$1006,$A784,Data!$B$2:$B$1006,$B784)</f>
        <v>98.344238</v>
      </c>
      <c r="K784" s="11" t="n">
        <f aca="false">IFERROR(F784*1000000/$E784,"")</f>
        <v>169.514513990827</v>
      </c>
      <c r="L784" s="11" t="n">
        <f aca="false">IFERROR(G784*1000000/$E784,"")</f>
        <v>82.2098192290696</v>
      </c>
      <c r="M784" s="11" t="n">
        <f aca="false">IFERROR(H784*1000000/$E784,"")</f>
        <v>120.355025167743</v>
      </c>
      <c r="N784" s="11" t="n">
        <f aca="false">IFERROR(I784*1000000/$E784,"")</f>
        <v>372.079358387639</v>
      </c>
      <c r="O784" s="11" t="n">
        <f aca="false">IFERROR(J784*1000000/$E784,"")</f>
        <v>249.758069677315</v>
      </c>
      <c r="P784" s="16" t="n">
        <f aca="false">COUNTIFS($A$4:$A$1008,$A784,$N$4:$N$1008,"&gt;"&amp;N784)+1</f>
        <v>13</v>
      </c>
      <c r="Q784" s="16" t="n">
        <f aca="false">COUNTIFS($A$4:$A$1008,$A784,$O$4:$O$1008,"&gt;"&amp;O784)+1</f>
        <v>23</v>
      </c>
    </row>
    <row r="785" customFormat="false" ht="15" hidden="false" customHeight="false" outlineLevel="0" collapsed="false">
      <c r="A785" s="7" t="n">
        <v>2020</v>
      </c>
      <c r="B785" s="15" t="s">
        <v>110</v>
      </c>
      <c r="C785" s="15" t="s">
        <v>102</v>
      </c>
      <c r="D785" s="15" t="s">
        <v>103</v>
      </c>
      <c r="E785" s="9" t="n">
        <f aca="false">SUMIFS(Data!$L$2:$L$1006,Data!$A$2:$A$1006,$A785,Data!$B$2:$B$1006,$B785)</f>
        <v>1058301</v>
      </c>
      <c r="F785" s="10" t="n">
        <f aca="false">SUMIFS(Data!$E$2:$E$1006,Data!$A$2:$A$1006,$A785,Data!$B$2:$B$1006,$B785)</f>
        <v>106.10564</v>
      </c>
      <c r="G785" s="10" t="n">
        <f aca="false">SUMIFS(Data!$F$2:$F$1006,Data!$A$2:$A$1006,$A785,Data!$B$2:$B$1006,$B785)</f>
        <v>73.000099</v>
      </c>
      <c r="H785" s="10" t="n">
        <f aca="false">SUMIFS(Data!$G$2:$G$1006,Data!$A$2:$A$1006,$A785,Data!$B$2:$B$1006,$B785)</f>
        <v>87.162034</v>
      </c>
      <c r="I785" s="10" t="n">
        <f aca="false">SUMIFS(Data!$N$2:$N$1006,Data!$A$2:$A$1006,$A785,Data!$B$2:$B$1006,$B785)</f>
        <v>266.267773</v>
      </c>
      <c r="J785" s="10" t="n">
        <f aca="false">SUMIFS(Data!$H$2:$H$1006,Data!$A$2:$A$1006,$A785,Data!$B$2:$B$1006,$B785)</f>
        <v>163.287938</v>
      </c>
      <c r="K785" s="11" t="n">
        <f aca="false">IFERROR(F785*1000000/$E785,"")</f>
        <v>100.260360710233</v>
      </c>
      <c r="L785" s="11" t="n">
        <f aca="false">IFERROR(G785*1000000/$E785,"")</f>
        <v>68.9785788731183</v>
      </c>
      <c r="M785" s="11" t="n">
        <f aca="false">IFERROR(H785*1000000/$E785,"")</f>
        <v>82.360343607348</v>
      </c>
      <c r="N785" s="11" t="n">
        <f aca="false">IFERROR(I785*1000000/$E785,"")</f>
        <v>251.599283190699</v>
      </c>
      <c r="O785" s="11" t="n">
        <f aca="false">IFERROR(J785*1000000/$E785,"")</f>
        <v>154.292529252075</v>
      </c>
      <c r="P785" s="16" t="n">
        <f aca="false">COUNTIFS($A$4:$A$1008,$A785,$N$4:$N$1008,"&gt;"&amp;N785)+1</f>
        <v>35</v>
      </c>
      <c r="Q785" s="16" t="n">
        <f aca="false">COUNTIFS($A$4:$A$1008,$A785,$O$4:$O$1008,"&gt;"&amp;O785)+1</f>
        <v>39</v>
      </c>
    </row>
    <row r="786" customFormat="false" ht="15" hidden="false" customHeight="false" outlineLevel="0" collapsed="false">
      <c r="A786" s="7" t="n">
        <v>2020</v>
      </c>
      <c r="B786" s="15" t="s">
        <v>111</v>
      </c>
      <c r="C786" s="15" t="s">
        <v>102</v>
      </c>
      <c r="D786" s="15" t="s">
        <v>107</v>
      </c>
      <c r="E786" s="9" t="n">
        <f aca="false">SUMIFS(Data!$L$2:$L$1006,Data!$A$2:$A$1006,$A786,Data!$B$2:$B$1006,$B786)</f>
        <v>587567</v>
      </c>
      <c r="F786" s="10" t="n">
        <f aca="false">SUMIFS(Data!$E$2:$E$1006,Data!$A$2:$A$1006,$A786,Data!$B$2:$B$1006,$B786)</f>
        <v>71.440623</v>
      </c>
      <c r="G786" s="10" t="n">
        <f aca="false">SUMIFS(Data!$F$2:$F$1006,Data!$A$2:$A$1006,$A786,Data!$B$2:$B$1006,$B786)</f>
        <v>66.588302</v>
      </c>
      <c r="H786" s="10" t="n">
        <f aca="false">SUMIFS(Data!$G$2:$G$1006,Data!$A$2:$A$1006,$A786,Data!$B$2:$B$1006,$B786)</f>
        <v>66.634795</v>
      </c>
      <c r="I786" s="10" t="n">
        <f aca="false">SUMIFS(Data!$N$2:$N$1006,Data!$A$2:$A$1006,$A786,Data!$B$2:$B$1006,$B786)</f>
        <v>204.66372</v>
      </c>
      <c r="J786" s="10" t="n">
        <f aca="false">SUMIFS(Data!$H$2:$H$1006,Data!$A$2:$A$1006,$A786,Data!$B$2:$B$1006,$B786)</f>
        <v>149.786732</v>
      </c>
      <c r="K786" s="11" t="n">
        <f aca="false">IFERROR(F786*1000000/$E786,"")</f>
        <v>121.587194311457</v>
      </c>
      <c r="L786" s="11" t="n">
        <f aca="false">IFERROR(G786*1000000/$E786,"")</f>
        <v>113.328866325032</v>
      </c>
      <c r="M786" s="11" t="n">
        <f aca="false">IFERROR(H786*1000000/$E786,"")</f>
        <v>113.40799432235</v>
      </c>
      <c r="N786" s="11" t="n">
        <f aca="false">IFERROR(I786*1000000/$E786,"")</f>
        <v>348.324054958839</v>
      </c>
      <c r="O786" s="11" t="n">
        <f aca="false">IFERROR(J786*1000000/$E786,"")</f>
        <v>254.927067040865</v>
      </c>
      <c r="P786" s="16" t="n">
        <f aca="false">COUNTIFS($A$4:$A$1008,$A786,$N$4:$N$1008,"&gt;"&amp;N786)+1</f>
        <v>18</v>
      </c>
      <c r="Q786" s="16" t="n">
        <f aca="false">COUNTIFS($A$4:$A$1008,$A786,$O$4:$O$1008,"&gt;"&amp;O786)+1</f>
        <v>21</v>
      </c>
    </row>
    <row r="787" customFormat="false" ht="15" hidden="false" customHeight="false" outlineLevel="0" collapsed="false">
      <c r="A787" s="7" t="n">
        <v>2020</v>
      </c>
      <c r="B787" s="15" t="s">
        <v>112</v>
      </c>
      <c r="C787" s="15" t="s">
        <v>102</v>
      </c>
      <c r="D787" s="15" t="s">
        <v>107</v>
      </c>
      <c r="E787" s="9" t="n">
        <f aca="false">SUMIFS(Data!$L$2:$L$1006,Data!$A$2:$A$1006,$A787,Data!$B$2:$B$1006,$B787)</f>
        <v>168117</v>
      </c>
      <c r="F787" s="10" t="n">
        <f aca="false">SUMIFS(Data!$E$2:$E$1006,Data!$A$2:$A$1006,$A787,Data!$B$2:$B$1006,$B787)</f>
        <v>20.009234</v>
      </c>
      <c r="G787" s="10" t="n">
        <f aca="false">SUMIFS(Data!$F$2:$F$1006,Data!$A$2:$A$1006,$A787,Data!$B$2:$B$1006,$B787)</f>
        <v>18.759017</v>
      </c>
      <c r="H787" s="10" t="n">
        <f aca="false">SUMIFS(Data!$G$2:$G$1006,Data!$A$2:$A$1006,$A787,Data!$B$2:$B$1006,$B787)</f>
        <v>19.960257</v>
      </c>
      <c r="I787" s="10" t="n">
        <f aca="false">SUMIFS(Data!$N$2:$N$1006,Data!$A$2:$A$1006,$A787,Data!$B$2:$B$1006,$B787)</f>
        <v>58.728508</v>
      </c>
      <c r="J787" s="10" t="n">
        <f aca="false">SUMIFS(Data!$H$2:$H$1006,Data!$A$2:$A$1006,$A787,Data!$B$2:$B$1006,$B787)</f>
        <v>38.802763</v>
      </c>
      <c r="K787" s="11" t="n">
        <f aca="false">IFERROR(F787*1000000/$E787,"")</f>
        <v>119.019694617439</v>
      </c>
      <c r="L787" s="11" t="n">
        <f aca="false">IFERROR(G787*1000000/$E787,"")</f>
        <v>111.583105813213</v>
      </c>
      <c r="M787" s="11" t="n">
        <f aca="false">IFERROR(H787*1000000/$E787,"")</f>
        <v>118.728367743893</v>
      </c>
      <c r="N787" s="11" t="n">
        <f aca="false">IFERROR(I787*1000000/$E787,"")</f>
        <v>349.331168174545</v>
      </c>
      <c r="O787" s="11" t="n">
        <f aca="false">IFERROR(J787*1000000/$E787,"")</f>
        <v>230.808086035321</v>
      </c>
      <c r="P787" s="16" t="n">
        <f aca="false">COUNTIFS($A$4:$A$1008,$A787,$N$4:$N$1008,"&gt;"&amp;N787)+1</f>
        <v>17</v>
      </c>
      <c r="Q787" s="16" t="n">
        <f aca="false">COUNTIFS($A$4:$A$1008,$A787,$O$4:$O$1008,"&gt;"&amp;O787)+1</f>
        <v>26</v>
      </c>
    </row>
    <row r="788" customFormat="false" ht="15" hidden="false" customHeight="false" outlineLevel="0" collapsed="false">
      <c r="A788" s="7" t="n">
        <v>2020</v>
      </c>
      <c r="B788" s="15" t="s">
        <v>113</v>
      </c>
      <c r="C788" s="15" t="s">
        <v>102</v>
      </c>
      <c r="D788" s="15" t="s">
        <v>114</v>
      </c>
      <c r="E788" s="9" t="n">
        <f aca="false">SUMIFS(Data!$L$2:$L$1006,Data!$A$2:$A$1006,$A788,Data!$B$2:$B$1006,$B788)</f>
        <v>423085</v>
      </c>
      <c r="F788" s="10" t="n">
        <f aca="false">SUMIFS(Data!$E$2:$E$1006,Data!$A$2:$A$1006,$A788,Data!$B$2:$B$1006,$B788)</f>
        <v>42.607975</v>
      </c>
      <c r="G788" s="10" t="n">
        <f aca="false">SUMIFS(Data!$F$2:$F$1006,Data!$A$2:$A$1006,$A788,Data!$B$2:$B$1006,$B788)</f>
        <v>42.417089</v>
      </c>
      <c r="H788" s="10" t="n">
        <f aca="false">SUMIFS(Data!$G$2:$G$1006,Data!$A$2:$A$1006,$A788,Data!$B$2:$B$1006,$B788)</f>
        <v>46.729865</v>
      </c>
      <c r="I788" s="10" t="n">
        <f aca="false">SUMIFS(Data!$N$2:$N$1006,Data!$A$2:$A$1006,$A788,Data!$B$2:$B$1006,$B788)</f>
        <v>131.754929</v>
      </c>
      <c r="J788" s="10" t="n">
        <f aca="false">SUMIFS(Data!$H$2:$H$1006,Data!$A$2:$A$1006,$A788,Data!$B$2:$B$1006,$B788)</f>
        <v>93.905625</v>
      </c>
      <c r="K788" s="11" t="n">
        <f aca="false">IFERROR(F788*1000000/$E788,"")</f>
        <v>100.707836486758</v>
      </c>
      <c r="L788" s="11" t="n">
        <f aca="false">IFERROR(G788*1000000/$E788,"")</f>
        <v>100.256660009218</v>
      </c>
      <c r="M788" s="11" t="n">
        <f aca="false">IFERROR(H788*1000000/$E788,"")</f>
        <v>110.45029958519</v>
      </c>
      <c r="N788" s="11" t="n">
        <f aca="false">IFERROR(I788*1000000/$E788,"")</f>
        <v>311.414796081166</v>
      </c>
      <c r="O788" s="11" t="n">
        <f aca="false">IFERROR(J788*1000000/$E788,"")</f>
        <v>221.954512686576</v>
      </c>
      <c r="P788" s="16" t="n">
        <f aca="false">COUNTIFS($A$4:$A$1008,$A788,$N$4:$N$1008,"&gt;"&amp;N788)+1</f>
        <v>24</v>
      </c>
      <c r="Q788" s="16" t="n">
        <f aca="false">COUNTIFS($A$4:$A$1008,$A788,$O$4:$O$1008,"&gt;"&amp;O788)+1</f>
        <v>27</v>
      </c>
    </row>
    <row r="789" customFormat="false" ht="15" hidden="false" customHeight="false" outlineLevel="0" collapsed="false">
      <c r="A789" s="7" t="n">
        <v>2020</v>
      </c>
      <c r="B789" s="15" t="s">
        <v>115</v>
      </c>
      <c r="C789" s="15" t="s">
        <v>102</v>
      </c>
      <c r="D789" s="15" t="s">
        <v>103</v>
      </c>
      <c r="E789" s="9" t="n">
        <f aca="false">SUMIFS(Data!$L$2:$L$1006,Data!$A$2:$A$1006,$A789,Data!$B$2:$B$1006,$B789)</f>
        <v>313654</v>
      </c>
      <c r="F789" s="10" t="n">
        <f aca="false">SUMIFS(Data!$E$2:$E$1006,Data!$A$2:$A$1006,$A789,Data!$B$2:$B$1006,$B789)</f>
        <v>24.153452</v>
      </c>
      <c r="G789" s="10" t="n">
        <f aca="false">SUMIFS(Data!$F$2:$F$1006,Data!$A$2:$A$1006,$A789,Data!$B$2:$B$1006,$B789)</f>
        <v>26.56126</v>
      </c>
      <c r="H789" s="10" t="n">
        <f aca="false">SUMIFS(Data!$G$2:$G$1006,Data!$A$2:$A$1006,$A789,Data!$B$2:$B$1006,$B789)</f>
        <v>34.363851</v>
      </c>
      <c r="I789" s="10" t="n">
        <f aca="false">SUMIFS(Data!$N$2:$N$1006,Data!$A$2:$A$1006,$A789,Data!$B$2:$B$1006,$B789)</f>
        <v>85.078563</v>
      </c>
      <c r="J789" s="10" t="n">
        <f aca="false">SUMIFS(Data!$H$2:$H$1006,Data!$A$2:$A$1006,$A789,Data!$B$2:$B$1006,$B789)</f>
        <v>51.482767</v>
      </c>
      <c r="K789" s="11" t="n">
        <f aca="false">IFERROR(F789*1000000/$E789,"")</f>
        <v>77.0066761463268</v>
      </c>
      <c r="L789" s="11" t="n">
        <f aca="false">IFERROR(G789*1000000/$E789,"")</f>
        <v>84.6833134600547</v>
      </c>
      <c r="M789" s="11" t="n">
        <f aca="false">IFERROR(H789*1000000/$E789,"")</f>
        <v>109.559740988478</v>
      </c>
      <c r="N789" s="11" t="n">
        <f aca="false">IFERROR(I789*1000000/$E789,"")</f>
        <v>271.249730594859</v>
      </c>
      <c r="O789" s="11" t="n">
        <f aca="false">IFERROR(J789*1000000/$E789,"")</f>
        <v>164.138722923986</v>
      </c>
      <c r="P789" s="16" t="n">
        <f aca="false">COUNTIFS($A$4:$A$1008,$A789,$N$4:$N$1008,"&gt;"&amp;N789)+1</f>
        <v>32</v>
      </c>
      <c r="Q789" s="16" t="n">
        <f aca="false">COUNTIFS($A$4:$A$1008,$A789,$O$4:$O$1008,"&gt;"&amp;O789)+1</f>
        <v>38</v>
      </c>
    </row>
    <row r="790" customFormat="false" ht="15" hidden="false" customHeight="false" outlineLevel="0" collapsed="false">
      <c r="A790" s="7" t="n">
        <v>2020</v>
      </c>
      <c r="B790" s="15" t="s">
        <v>116</v>
      </c>
      <c r="C790" s="15" t="s">
        <v>102</v>
      </c>
      <c r="D790" s="15" t="s">
        <v>107</v>
      </c>
      <c r="E790" s="9" t="n">
        <f aca="false">SUMIFS(Data!$L$2:$L$1006,Data!$A$2:$A$1006,$A790,Data!$B$2:$B$1006,$B790)</f>
        <v>730526</v>
      </c>
      <c r="F790" s="10" t="n">
        <f aca="false">SUMIFS(Data!$E$2:$E$1006,Data!$A$2:$A$1006,$A790,Data!$B$2:$B$1006,$B790)</f>
        <v>75.302753</v>
      </c>
      <c r="G790" s="10" t="n">
        <f aca="false">SUMIFS(Data!$F$2:$F$1006,Data!$A$2:$A$1006,$A790,Data!$B$2:$B$1006,$B790)</f>
        <v>66.076012</v>
      </c>
      <c r="H790" s="10" t="n">
        <f aca="false">SUMIFS(Data!$G$2:$G$1006,Data!$A$2:$A$1006,$A790,Data!$B$2:$B$1006,$B790)</f>
        <v>61.541539</v>
      </c>
      <c r="I790" s="10" t="n">
        <f aca="false">SUMIFS(Data!$N$2:$N$1006,Data!$A$2:$A$1006,$A790,Data!$B$2:$B$1006,$B790)</f>
        <v>202.920304</v>
      </c>
      <c r="J790" s="10" t="n">
        <f aca="false">SUMIFS(Data!$H$2:$H$1006,Data!$A$2:$A$1006,$A790,Data!$B$2:$B$1006,$B790)</f>
        <v>125.859916</v>
      </c>
      <c r="K790" s="11" t="n">
        <f aca="false">IFERROR(F790*1000000/$E790,"")</f>
        <v>103.080181951087</v>
      </c>
      <c r="L790" s="11" t="n">
        <f aca="false">IFERROR(G790*1000000/$E790,"")</f>
        <v>90.4499114336793</v>
      </c>
      <c r="M790" s="11" t="n">
        <f aca="false">IFERROR(H790*1000000/$E790,"")</f>
        <v>84.242777122238</v>
      </c>
      <c r="N790" s="11" t="n">
        <f aca="false">IFERROR(I790*1000000/$E790,"")</f>
        <v>277.772870507005</v>
      </c>
      <c r="O790" s="11" t="n">
        <f aca="false">IFERROR(J790*1000000/$E790,"")</f>
        <v>172.286703005779</v>
      </c>
      <c r="P790" s="16" t="n">
        <f aca="false">COUNTIFS($A$4:$A$1008,$A790,$N$4:$N$1008,"&gt;"&amp;N790)+1</f>
        <v>31</v>
      </c>
      <c r="Q790" s="16" t="n">
        <f aca="false">COUNTIFS($A$4:$A$1008,$A790,$O$4:$O$1008,"&gt;"&amp;O790)+1</f>
        <v>34</v>
      </c>
    </row>
    <row r="791" customFormat="false" ht="15" hidden="false" customHeight="false" outlineLevel="0" collapsed="false">
      <c r="A791" s="7" t="n">
        <v>2020</v>
      </c>
      <c r="B791" s="15" t="s">
        <v>117</v>
      </c>
      <c r="C791" s="15" t="s">
        <v>118</v>
      </c>
      <c r="D791" s="15" t="s">
        <v>103</v>
      </c>
      <c r="E791" s="9" t="n">
        <f aca="false">SUMIFS(Data!$L$2:$L$1006,Data!$A$2:$A$1006,$A791,Data!$B$2:$B$1006,$B791)</f>
        <v>1501568</v>
      </c>
      <c r="F791" s="10" t="n">
        <f aca="false">SUMIFS(Data!$E$2:$E$1006,Data!$A$2:$A$1006,$A791,Data!$B$2:$B$1006,$B791)</f>
        <v>172.757354</v>
      </c>
      <c r="G791" s="10" t="n">
        <f aca="false">SUMIFS(Data!$F$2:$F$1006,Data!$A$2:$A$1006,$A791,Data!$B$2:$B$1006,$B791)</f>
        <v>222.986653</v>
      </c>
      <c r="H791" s="10" t="n">
        <f aca="false">SUMIFS(Data!$G$2:$G$1006,Data!$A$2:$A$1006,$A791,Data!$B$2:$B$1006,$B791)</f>
        <v>171.933838</v>
      </c>
      <c r="I791" s="10" t="n">
        <f aca="false">SUMIFS(Data!$N$2:$N$1006,Data!$A$2:$A$1006,$A791,Data!$B$2:$B$1006,$B791)</f>
        <v>567.677845</v>
      </c>
      <c r="J791" s="10" t="n">
        <f aca="false">SUMIFS(Data!$H$2:$H$1006,Data!$A$2:$A$1006,$A791,Data!$B$2:$B$1006,$B791)</f>
        <v>447.014415</v>
      </c>
      <c r="K791" s="11" t="n">
        <f aca="false">IFERROR(F791*1000000/$E791,"")</f>
        <v>115.051302371921</v>
      </c>
      <c r="L791" s="11" t="n">
        <f aca="false">IFERROR(G791*1000000/$E791,"")</f>
        <v>148.502534017773</v>
      </c>
      <c r="M791" s="11" t="n">
        <f aca="false">IFERROR(H791*1000000/$E791,"")</f>
        <v>114.502865005115</v>
      </c>
      <c r="N791" s="11" t="n">
        <f aca="false">IFERROR(I791*1000000/$E791,"")</f>
        <v>378.056701394809</v>
      </c>
      <c r="O791" s="11" t="n">
        <f aca="false">IFERROR(J791*1000000/$E791,"")</f>
        <v>297.698415922556</v>
      </c>
      <c r="P791" s="16" t="n">
        <f aca="false">COUNTIFS($A$4:$A$1008,$A791,$N$4:$N$1008,"&gt;"&amp;N791)+1</f>
        <v>11</v>
      </c>
      <c r="Q791" s="16" t="n">
        <f aca="false">COUNTIFS($A$4:$A$1008,$A791,$O$4:$O$1008,"&gt;"&amp;O791)+1</f>
        <v>16</v>
      </c>
    </row>
    <row r="792" customFormat="false" ht="15" hidden="false" customHeight="false" outlineLevel="0" collapsed="false">
      <c r="A792" s="7" t="n">
        <v>2020</v>
      </c>
      <c r="B792" s="15" t="s">
        <v>119</v>
      </c>
      <c r="C792" s="15" t="s">
        <v>118</v>
      </c>
      <c r="D792" s="15" t="s">
        <v>103</v>
      </c>
      <c r="E792" s="9" t="n">
        <f aca="false">SUMIFS(Data!$L$2:$L$1006,Data!$A$2:$A$1006,$A792,Data!$B$2:$B$1006,$B792)</f>
        <v>528541</v>
      </c>
      <c r="F792" s="10" t="n">
        <f aca="false">SUMIFS(Data!$E$2:$E$1006,Data!$A$2:$A$1006,$A792,Data!$B$2:$B$1006,$B792)</f>
        <v>50.381368</v>
      </c>
      <c r="G792" s="10" t="n">
        <f aca="false">SUMIFS(Data!$F$2:$F$1006,Data!$A$2:$A$1006,$A792,Data!$B$2:$B$1006,$B792)</f>
        <v>49.639576</v>
      </c>
      <c r="H792" s="10" t="n">
        <f aca="false">SUMIFS(Data!$G$2:$G$1006,Data!$A$2:$A$1006,$A792,Data!$B$2:$B$1006,$B792)</f>
        <v>58.725359</v>
      </c>
      <c r="I792" s="10" t="n">
        <f aca="false">SUMIFS(Data!$N$2:$N$1006,Data!$A$2:$A$1006,$A792,Data!$B$2:$B$1006,$B792)</f>
        <v>158.746303</v>
      </c>
      <c r="J792" s="10" t="n">
        <f aca="false">SUMIFS(Data!$H$2:$H$1006,Data!$A$2:$A$1006,$A792,Data!$B$2:$B$1006,$B792)</f>
        <v>101.290728</v>
      </c>
      <c r="K792" s="11" t="n">
        <f aca="false">IFERROR(F792*1000000/$E792,"")</f>
        <v>95.3215890536401</v>
      </c>
      <c r="L792" s="11" t="n">
        <f aca="false">IFERROR(G792*1000000/$E792,"")</f>
        <v>93.9181179889545</v>
      </c>
      <c r="M792" s="11" t="n">
        <f aca="false">IFERROR(H792*1000000/$E792,"")</f>
        <v>111.108426782407</v>
      </c>
      <c r="N792" s="11" t="n">
        <f aca="false">IFERROR(I792*1000000/$E792,"")</f>
        <v>300.348133825001</v>
      </c>
      <c r="O792" s="11" t="n">
        <f aca="false">IFERROR(J792*1000000/$E792,"")</f>
        <v>191.642139398836</v>
      </c>
      <c r="P792" s="16" t="n">
        <f aca="false">COUNTIFS($A$4:$A$1008,$A792,$N$4:$N$1008,"&gt;"&amp;N792)+1</f>
        <v>28</v>
      </c>
      <c r="Q792" s="16" t="n">
        <f aca="false">COUNTIFS($A$4:$A$1008,$A792,$O$4:$O$1008,"&gt;"&amp;O792)+1</f>
        <v>30</v>
      </c>
    </row>
    <row r="793" customFormat="false" ht="15" hidden="false" customHeight="false" outlineLevel="0" collapsed="false">
      <c r="A793" s="7" t="n">
        <v>2020</v>
      </c>
      <c r="B793" s="15" t="s">
        <v>120</v>
      </c>
      <c r="C793" s="15" t="s">
        <v>118</v>
      </c>
      <c r="D793" s="15" t="s">
        <v>121</v>
      </c>
      <c r="E793" s="9" t="n">
        <f aca="false">SUMIFS(Data!$L$2:$L$1006,Data!$A$2:$A$1006,$A793,Data!$B$2:$B$1006,$B793)</f>
        <v>960162</v>
      </c>
      <c r="F793" s="10" t="n">
        <f aca="false">SUMIFS(Data!$E$2:$E$1006,Data!$A$2:$A$1006,$A793,Data!$B$2:$B$1006,$B793)</f>
        <v>138.571504</v>
      </c>
      <c r="G793" s="10" t="n">
        <f aca="false">SUMIFS(Data!$F$2:$F$1006,Data!$A$2:$A$1006,$A793,Data!$B$2:$B$1006,$B793)</f>
        <v>47.856758</v>
      </c>
      <c r="H793" s="10" t="n">
        <f aca="false">SUMIFS(Data!$G$2:$G$1006,Data!$A$2:$A$1006,$A793,Data!$B$2:$B$1006,$B793)</f>
        <v>179.230089</v>
      </c>
      <c r="I793" s="10" t="n">
        <f aca="false">SUMIFS(Data!$N$2:$N$1006,Data!$A$2:$A$1006,$A793,Data!$B$2:$B$1006,$B793)</f>
        <v>365.658351</v>
      </c>
      <c r="J793" s="10" t="n">
        <f aca="false">SUMIFS(Data!$H$2:$H$1006,Data!$A$2:$A$1006,$A793,Data!$B$2:$B$1006,$B793)</f>
        <v>316.622875</v>
      </c>
      <c r="K793" s="11" t="n">
        <f aca="false">IFERROR(F793*1000000/$E793,"")</f>
        <v>144.320962504244</v>
      </c>
      <c r="L793" s="11" t="n">
        <f aca="false">IFERROR(G793*1000000/$E793,"")</f>
        <v>49.8423786819308</v>
      </c>
      <c r="M793" s="11" t="n">
        <f aca="false">IFERROR(H793*1000000/$E793,"")</f>
        <v>186.666509401539</v>
      </c>
      <c r="N793" s="11" t="n">
        <f aca="false">IFERROR(I793*1000000/$E793,"")</f>
        <v>380.829850587713</v>
      </c>
      <c r="O793" s="11" t="n">
        <f aca="false">IFERROR(J793*1000000/$E793,"")</f>
        <v>329.759847817347</v>
      </c>
      <c r="P793" s="16" t="n">
        <f aca="false">COUNTIFS($A$4:$A$1008,$A793,$N$4:$N$1008,"&gt;"&amp;N793)+1</f>
        <v>10</v>
      </c>
      <c r="Q793" s="16" t="n">
        <f aca="false">COUNTIFS($A$4:$A$1008,$A793,$O$4:$O$1008,"&gt;"&amp;O793)+1</f>
        <v>10</v>
      </c>
    </row>
    <row r="794" customFormat="false" ht="15" hidden="false" customHeight="false" outlineLevel="0" collapsed="false">
      <c r="A794" s="7" t="n">
        <v>2020</v>
      </c>
      <c r="B794" s="15" t="s">
        <v>122</v>
      </c>
      <c r="C794" s="15" t="s">
        <v>118</v>
      </c>
      <c r="D794" s="15" t="s">
        <v>105</v>
      </c>
      <c r="E794" s="9" t="n">
        <f aca="false">SUMIFS(Data!$L$2:$L$1006,Data!$A$2:$A$1006,$A794,Data!$B$2:$B$1006,$B794)</f>
        <v>562054</v>
      </c>
      <c r="F794" s="10" t="n">
        <f aca="false">SUMIFS(Data!$E$2:$E$1006,Data!$A$2:$A$1006,$A794,Data!$B$2:$B$1006,$B794)</f>
        <v>109.477363</v>
      </c>
      <c r="G794" s="10" t="n">
        <f aca="false">SUMIFS(Data!$F$2:$F$1006,Data!$A$2:$A$1006,$A794,Data!$B$2:$B$1006,$B794)</f>
        <v>115.961362</v>
      </c>
      <c r="H794" s="10" t="n">
        <f aca="false">SUMIFS(Data!$G$2:$G$1006,Data!$A$2:$A$1006,$A794,Data!$B$2:$B$1006,$B794)</f>
        <v>82.088333</v>
      </c>
      <c r="I794" s="10" t="n">
        <f aca="false">SUMIFS(Data!$N$2:$N$1006,Data!$A$2:$A$1006,$A794,Data!$B$2:$B$1006,$B794)</f>
        <v>307.527058</v>
      </c>
      <c r="J794" s="10" t="n">
        <f aca="false">SUMIFS(Data!$H$2:$H$1006,Data!$A$2:$A$1006,$A794,Data!$B$2:$B$1006,$B794)</f>
        <v>178.797616</v>
      </c>
      <c r="K794" s="11" t="n">
        <f aca="false">IFERROR(F794*1000000/$E794,"")</f>
        <v>194.780862692909</v>
      </c>
      <c r="L794" s="11" t="n">
        <f aca="false">IFERROR(G794*1000000/$E794,"")</f>
        <v>206.317118995684</v>
      </c>
      <c r="M794" s="11" t="n">
        <f aca="false">IFERROR(H794*1000000/$E794,"")</f>
        <v>146.050616132969</v>
      </c>
      <c r="N794" s="11" t="n">
        <f aca="false">IFERROR(I794*1000000/$E794,"")</f>
        <v>547.148597821562</v>
      </c>
      <c r="O794" s="11" t="n">
        <f aca="false">IFERROR(J794*1000000/$E794,"")</f>
        <v>318.114658022183</v>
      </c>
      <c r="P794" s="16" t="n">
        <f aca="false">COUNTIFS($A$4:$A$1008,$A794,$N$4:$N$1008,"&gt;"&amp;N794)+1</f>
        <v>1</v>
      </c>
      <c r="Q794" s="16" t="n">
        <f aca="false">COUNTIFS($A$4:$A$1008,$A794,$O$4:$O$1008,"&gt;"&amp;O794)+1</f>
        <v>11</v>
      </c>
    </row>
    <row r="795" customFormat="false" ht="15" hidden="false" customHeight="false" outlineLevel="0" collapsed="false">
      <c r="A795" s="7" t="n">
        <v>2020</v>
      </c>
      <c r="B795" s="15" t="s">
        <v>123</v>
      </c>
      <c r="C795" s="15" t="s">
        <v>118</v>
      </c>
      <c r="D795" s="15" t="s">
        <v>124</v>
      </c>
      <c r="E795" s="9" t="n">
        <f aca="false">SUMIFS(Data!$L$2:$L$1006,Data!$A$2:$A$1006,$A795,Data!$B$2:$B$1006,$B795)</f>
        <v>1312219</v>
      </c>
      <c r="F795" s="10" t="n">
        <f aca="false">SUMIFS(Data!$E$2:$E$1006,Data!$A$2:$A$1006,$A795,Data!$B$2:$B$1006,$B795)</f>
        <v>209.250183</v>
      </c>
      <c r="G795" s="10" t="n">
        <f aca="false">SUMIFS(Data!$F$2:$F$1006,Data!$A$2:$A$1006,$A795,Data!$B$2:$B$1006,$B795)</f>
        <v>60.374745</v>
      </c>
      <c r="H795" s="10" t="n">
        <f aca="false">SUMIFS(Data!$G$2:$G$1006,Data!$A$2:$A$1006,$A795,Data!$B$2:$B$1006,$B795)</f>
        <v>158.513951</v>
      </c>
      <c r="I795" s="10" t="n">
        <f aca="false">SUMIFS(Data!$N$2:$N$1006,Data!$A$2:$A$1006,$A795,Data!$B$2:$B$1006,$B795)</f>
        <v>428.138879</v>
      </c>
      <c r="J795" s="10" t="n">
        <f aca="false">SUMIFS(Data!$H$2:$H$1006,Data!$A$2:$A$1006,$A795,Data!$B$2:$B$1006,$B795)</f>
        <v>333.452292</v>
      </c>
      <c r="K795" s="11" t="n">
        <f aca="false">IFERROR(F795*1000000/$E795,"")</f>
        <v>159.462851094215</v>
      </c>
      <c r="L795" s="11" t="n">
        <f aca="false">IFERROR(G795*1000000/$E795,"")</f>
        <v>46.0096561625765</v>
      </c>
      <c r="M795" s="11" t="n">
        <f aca="false">IFERROR(H795*1000000/$E795,"")</f>
        <v>120.798396456689</v>
      </c>
      <c r="N795" s="11" t="n">
        <f aca="false">IFERROR(I795*1000000/$E795,"")</f>
        <v>326.270903713481</v>
      </c>
      <c r="O795" s="11" t="n">
        <f aca="false">IFERROR(J795*1000000/$E795,"")</f>
        <v>254.113293588951</v>
      </c>
      <c r="P795" s="16" t="n">
        <f aca="false">COUNTIFS($A$4:$A$1008,$A795,$N$4:$N$1008,"&gt;"&amp;N795)+1</f>
        <v>20</v>
      </c>
      <c r="Q795" s="16" t="n">
        <f aca="false">COUNTIFS($A$4:$A$1008,$A795,$O$4:$O$1008,"&gt;"&amp;O795)+1</f>
        <v>22</v>
      </c>
    </row>
    <row r="796" customFormat="false" ht="15" hidden="false" customHeight="false" outlineLevel="0" collapsed="false">
      <c r="A796" s="7" t="n">
        <v>2020</v>
      </c>
      <c r="B796" s="15" t="s">
        <v>125</v>
      </c>
      <c r="C796" s="15" t="s">
        <v>118</v>
      </c>
      <c r="D796" s="15" t="s">
        <v>126</v>
      </c>
      <c r="E796" s="9" t="n">
        <f aca="false">SUMIFS(Data!$L$2:$L$1006,Data!$A$2:$A$1006,$A796,Data!$B$2:$B$1006,$B796)</f>
        <v>534749</v>
      </c>
      <c r="F796" s="10" t="n">
        <f aca="false">SUMIFS(Data!$E$2:$E$1006,Data!$A$2:$A$1006,$A796,Data!$B$2:$B$1006,$B796)</f>
        <v>106.365708</v>
      </c>
      <c r="G796" s="10" t="n">
        <f aca="false">SUMIFS(Data!$F$2:$F$1006,Data!$A$2:$A$1006,$A796,Data!$B$2:$B$1006,$B796)</f>
        <v>68.079756</v>
      </c>
      <c r="H796" s="10" t="n">
        <f aca="false">SUMIFS(Data!$G$2:$G$1006,Data!$A$2:$A$1006,$A796,Data!$B$2:$B$1006,$B796)</f>
        <v>72.138121</v>
      </c>
      <c r="I796" s="10" t="n">
        <f aca="false">SUMIFS(Data!$N$2:$N$1006,Data!$A$2:$A$1006,$A796,Data!$B$2:$B$1006,$B796)</f>
        <v>246.583585</v>
      </c>
      <c r="J796" s="10" t="n">
        <f aca="false">SUMIFS(Data!$H$2:$H$1006,Data!$A$2:$A$1006,$A796,Data!$B$2:$B$1006,$B796)</f>
        <v>143.443679</v>
      </c>
      <c r="K796" s="11" t="n">
        <f aca="false">IFERROR(F796*1000000/$E796,"")</f>
        <v>198.907726802668</v>
      </c>
      <c r="L796" s="11" t="n">
        <f aca="false">IFERROR(G796*1000000/$E796,"")</f>
        <v>127.311609745881</v>
      </c>
      <c r="M796" s="11" t="n">
        <f aca="false">IFERROR(H796*1000000/$E796,"")</f>
        <v>134.900899300419</v>
      </c>
      <c r="N796" s="11" t="n">
        <f aca="false">IFERROR(I796*1000000/$E796,"")</f>
        <v>461.120235848968</v>
      </c>
      <c r="O796" s="11" t="n">
        <f aca="false">IFERROR(J796*1000000/$E796,"")</f>
        <v>268.244875633241</v>
      </c>
      <c r="P796" s="16" t="n">
        <f aca="false">COUNTIFS($A$4:$A$1008,$A796,$N$4:$N$1008,"&gt;"&amp;N796)+1</f>
        <v>4</v>
      </c>
      <c r="Q796" s="16" t="n">
        <f aca="false">COUNTIFS($A$4:$A$1008,$A796,$O$4:$O$1008,"&gt;"&amp;O796)+1</f>
        <v>19</v>
      </c>
    </row>
    <row r="797" customFormat="false" ht="15" hidden="false" customHeight="false" outlineLevel="0" collapsed="false">
      <c r="A797" s="7" t="n">
        <v>2020</v>
      </c>
      <c r="B797" s="15" t="s">
        <v>127</v>
      </c>
      <c r="C797" s="15" t="s">
        <v>118</v>
      </c>
      <c r="D797" s="15" t="s">
        <v>103</v>
      </c>
      <c r="E797" s="9" t="n">
        <f aca="false">SUMIFS(Data!$L$2:$L$1006,Data!$A$2:$A$1006,$A797,Data!$B$2:$B$1006,$B797)</f>
        <v>731414</v>
      </c>
      <c r="F797" s="10" t="n">
        <f aca="false">SUMIFS(Data!$E$2:$E$1006,Data!$A$2:$A$1006,$A797,Data!$B$2:$B$1006,$B797)</f>
        <v>78.105299</v>
      </c>
      <c r="G797" s="10" t="n">
        <f aca="false">SUMIFS(Data!$F$2:$F$1006,Data!$A$2:$A$1006,$A797,Data!$B$2:$B$1006,$B797)</f>
        <v>13.723892</v>
      </c>
      <c r="H797" s="10" t="n">
        <f aca="false">SUMIFS(Data!$G$2:$G$1006,Data!$A$2:$A$1006,$A797,Data!$B$2:$B$1006,$B797)</f>
        <v>77.809161</v>
      </c>
      <c r="I797" s="10" t="n">
        <f aca="false">SUMIFS(Data!$N$2:$N$1006,Data!$A$2:$A$1006,$A797,Data!$B$2:$B$1006,$B797)</f>
        <v>169.638352</v>
      </c>
      <c r="J797" s="10" t="n">
        <f aca="false">SUMIFS(Data!$H$2:$H$1006,Data!$A$2:$A$1006,$A797,Data!$B$2:$B$1006,$B797)</f>
        <v>221.132657</v>
      </c>
      <c r="K797" s="11" t="n">
        <f aca="false">IFERROR(F797*1000000/$E797,"")</f>
        <v>106.786715868168</v>
      </c>
      <c r="L797" s="11" t="n">
        <f aca="false">IFERROR(G797*1000000/$E797,"")</f>
        <v>18.7635073979989</v>
      </c>
      <c r="M797" s="11" t="n">
        <f aca="false">IFERROR(H797*1000000/$E797,"")</f>
        <v>106.38183163024</v>
      </c>
      <c r="N797" s="11" t="n">
        <f aca="false">IFERROR(I797*1000000/$E797,"")</f>
        <v>231.932054896406</v>
      </c>
      <c r="O797" s="11" t="n">
        <f aca="false">IFERROR(J797*1000000/$E797,"")</f>
        <v>302.335827588753</v>
      </c>
      <c r="P797" s="16" t="n">
        <f aca="false">COUNTIFS($A$4:$A$1008,$A797,$N$4:$N$1008,"&gt;"&amp;N797)+1</f>
        <v>38</v>
      </c>
      <c r="Q797" s="16" t="n">
        <f aca="false">COUNTIFS($A$4:$A$1008,$A797,$O$4:$O$1008,"&gt;"&amp;O797)+1</f>
        <v>15</v>
      </c>
    </row>
    <row r="798" customFormat="false" ht="15" hidden="false" customHeight="false" outlineLevel="0" collapsed="false">
      <c r="A798" s="7" t="n">
        <v>2020</v>
      </c>
      <c r="B798" s="15" t="s">
        <v>128</v>
      </c>
      <c r="C798" s="15" t="s">
        <v>118</v>
      </c>
      <c r="D798" s="15" t="s">
        <v>107</v>
      </c>
      <c r="E798" s="9" t="n">
        <f aca="false">SUMIFS(Data!$L$2:$L$1006,Data!$A$2:$A$1006,$A798,Data!$B$2:$B$1006,$B798)</f>
        <v>603791</v>
      </c>
      <c r="F798" s="10" t="n">
        <f aca="false">SUMIFS(Data!$E$2:$E$1006,Data!$A$2:$A$1006,$A798,Data!$B$2:$B$1006,$B798)</f>
        <v>56.186138</v>
      </c>
      <c r="G798" s="10" t="n">
        <f aca="false">SUMIFS(Data!$F$2:$F$1006,Data!$A$2:$A$1006,$A798,Data!$B$2:$B$1006,$B798)</f>
        <v>54.603277</v>
      </c>
      <c r="H798" s="10" t="n">
        <f aca="false">SUMIFS(Data!$G$2:$G$1006,Data!$A$2:$A$1006,$A798,Data!$B$2:$B$1006,$B798)</f>
        <v>87.051094</v>
      </c>
      <c r="I798" s="10" t="n">
        <f aca="false">SUMIFS(Data!$N$2:$N$1006,Data!$A$2:$A$1006,$A798,Data!$B$2:$B$1006,$B798)</f>
        <v>197.840509</v>
      </c>
      <c r="J798" s="10" t="n">
        <f aca="false">SUMIFS(Data!$H$2:$H$1006,Data!$A$2:$A$1006,$A798,Data!$B$2:$B$1006,$B798)</f>
        <v>179.394955</v>
      </c>
      <c r="K798" s="11" t="n">
        <f aca="false">IFERROR(F798*1000000/$E798,"")</f>
        <v>93.0556069898359</v>
      </c>
      <c r="L798" s="11" t="n">
        <f aca="false">IFERROR(G798*1000000/$E798,"")</f>
        <v>90.4340690735702</v>
      </c>
      <c r="M798" s="11" t="n">
        <f aca="false">IFERROR(H798*1000000/$E798,"")</f>
        <v>144.17421591246</v>
      </c>
      <c r="N798" s="11" t="n">
        <f aca="false">IFERROR(I798*1000000/$E798,"")</f>
        <v>327.663891975866</v>
      </c>
      <c r="O798" s="11" t="n">
        <f aca="false">IFERROR(J798*1000000/$E798,"")</f>
        <v>297.114324327458</v>
      </c>
      <c r="P798" s="16" t="n">
        <f aca="false">COUNTIFS($A$4:$A$1008,$A798,$N$4:$N$1008,"&gt;"&amp;N798)+1</f>
        <v>19</v>
      </c>
      <c r="Q798" s="16" t="n">
        <f aca="false">COUNTIFS($A$4:$A$1008,$A798,$O$4:$O$1008,"&gt;"&amp;O798)+1</f>
        <v>17</v>
      </c>
    </row>
    <row r="799" customFormat="false" ht="15" hidden="false" customHeight="false" outlineLevel="0" collapsed="false">
      <c r="A799" s="7" t="n">
        <v>2020</v>
      </c>
      <c r="B799" s="15" t="s">
        <v>129</v>
      </c>
      <c r="C799" s="15" t="s">
        <v>118</v>
      </c>
      <c r="D799" s="15" t="s">
        <v>107</v>
      </c>
      <c r="E799" s="9" t="n">
        <f aca="false">SUMIFS(Data!$L$2:$L$1006,Data!$A$2:$A$1006,$A799,Data!$B$2:$B$1006,$B799)</f>
        <v>1668979</v>
      </c>
      <c r="F799" s="10" t="n">
        <f aca="false">SUMIFS(Data!$E$2:$E$1006,Data!$A$2:$A$1006,$A799,Data!$B$2:$B$1006,$B799)</f>
        <v>411.616941</v>
      </c>
      <c r="G799" s="10" t="n">
        <f aca="false">SUMIFS(Data!$F$2:$F$1006,Data!$A$2:$A$1006,$A799,Data!$B$2:$B$1006,$B799)</f>
        <v>182.7798</v>
      </c>
      <c r="H799" s="10" t="n">
        <f aca="false">SUMIFS(Data!$G$2:$G$1006,Data!$A$2:$A$1006,$A799,Data!$B$2:$B$1006,$B799)</f>
        <v>150.085204</v>
      </c>
      <c r="I799" s="10" t="n">
        <f aca="false">SUMIFS(Data!$N$2:$N$1006,Data!$A$2:$A$1006,$A799,Data!$B$2:$B$1006,$B799)</f>
        <v>744.481945</v>
      </c>
      <c r="J799" s="10" t="n">
        <f aca="false">SUMIFS(Data!$H$2:$H$1006,Data!$A$2:$A$1006,$A799,Data!$B$2:$B$1006,$B799)</f>
        <v>492.752793</v>
      </c>
      <c r="K799" s="11" t="n">
        <f aca="false">IFERROR(F799*1000000/$E799,"")</f>
        <v>246.627992922619</v>
      </c>
      <c r="L799" s="11" t="n">
        <f aca="false">IFERROR(G799*1000000/$E799,"")</f>
        <v>109.51593758819</v>
      </c>
      <c r="M799" s="11" t="n">
        <f aca="false">IFERROR(H799*1000000/$E799,"")</f>
        <v>89.9263585701198</v>
      </c>
      <c r="N799" s="11" t="n">
        <f aca="false">IFERROR(I799*1000000/$E799,"")</f>
        <v>446.070289080929</v>
      </c>
      <c r="O799" s="11" t="n">
        <f aca="false">IFERROR(J799*1000000/$E799,"")</f>
        <v>295.24205697016</v>
      </c>
      <c r="P799" s="16" t="n">
        <f aca="false">COUNTIFS($A$4:$A$1008,$A799,$N$4:$N$1008,"&gt;"&amp;N799)+1</f>
        <v>6</v>
      </c>
      <c r="Q799" s="16" t="n">
        <f aca="false">COUNTIFS($A$4:$A$1008,$A799,$O$4:$O$1008,"&gt;"&amp;O799)+1</f>
        <v>18</v>
      </c>
    </row>
    <row r="800" customFormat="false" ht="15" hidden="false" customHeight="false" outlineLevel="0" collapsed="false">
      <c r="A800" s="7" t="n">
        <v>2020</v>
      </c>
      <c r="B800" s="15" t="s">
        <v>130</v>
      </c>
      <c r="C800" s="15" t="s">
        <v>118</v>
      </c>
      <c r="D800" s="15" t="s">
        <v>107</v>
      </c>
      <c r="E800" s="9" t="n">
        <f aca="false">SUMIFS(Data!$L$2:$L$1006,Data!$A$2:$A$1006,$A800,Data!$B$2:$B$1006,$B800)</f>
        <v>1457376</v>
      </c>
      <c r="F800" s="10" t="n">
        <f aca="false">SUMIFS(Data!$E$2:$E$1006,Data!$A$2:$A$1006,$A800,Data!$B$2:$B$1006,$B800)</f>
        <v>160.931451</v>
      </c>
      <c r="G800" s="10" t="n">
        <f aca="false">SUMIFS(Data!$F$2:$F$1006,Data!$A$2:$A$1006,$A800,Data!$B$2:$B$1006,$B800)</f>
        <v>134.639465</v>
      </c>
      <c r="H800" s="10" t="n">
        <f aca="false">SUMIFS(Data!$G$2:$G$1006,Data!$A$2:$A$1006,$A800,Data!$B$2:$B$1006,$B800)</f>
        <v>150.651489</v>
      </c>
      <c r="I800" s="10" t="n">
        <f aca="false">SUMIFS(Data!$N$2:$N$1006,Data!$A$2:$A$1006,$A800,Data!$B$2:$B$1006,$B800)</f>
        <v>446.222405</v>
      </c>
      <c r="J800" s="10" t="n">
        <f aca="false">SUMIFS(Data!$H$2:$H$1006,Data!$A$2:$A$1006,$A800,Data!$B$2:$B$1006,$B800)</f>
        <v>260.689698</v>
      </c>
      <c r="K800" s="11" t="n">
        <f aca="false">IFERROR(F800*1000000/$E800,"")</f>
        <v>110.425484569528</v>
      </c>
      <c r="L800" s="11" t="n">
        <f aca="false">IFERROR(G800*1000000/$E800,"")</f>
        <v>92.3848512669346</v>
      </c>
      <c r="M800" s="11" t="n">
        <f aca="false">IFERROR(H800*1000000/$E800,"")</f>
        <v>103.37173728674</v>
      </c>
      <c r="N800" s="11" t="n">
        <f aca="false">IFERROR(I800*1000000/$E800,"")</f>
        <v>306.182073123202</v>
      </c>
      <c r="O800" s="11" t="n">
        <f aca="false">IFERROR(J800*1000000/$E800,"")</f>
        <v>178.876074533957</v>
      </c>
      <c r="P800" s="16" t="n">
        <f aca="false">COUNTIFS($A$4:$A$1008,$A800,$N$4:$N$1008,"&gt;"&amp;N800)+1</f>
        <v>26</v>
      </c>
      <c r="Q800" s="16" t="n">
        <f aca="false">COUNTIFS($A$4:$A$1008,$A800,$O$4:$O$1008,"&gt;"&amp;O800)+1</f>
        <v>33</v>
      </c>
    </row>
    <row r="801" customFormat="false" ht="15" hidden="false" customHeight="false" outlineLevel="0" collapsed="false">
      <c r="A801" s="7" t="n">
        <v>2020</v>
      </c>
      <c r="B801" s="15" t="s">
        <v>131</v>
      </c>
      <c r="C801" s="15" t="s">
        <v>118</v>
      </c>
      <c r="D801" s="15" t="s">
        <v>132</v>
      </c>
      <c r="E801" s="9" t="n">
        <f aca="false">SUMIFS(Data!$L$2:$L$1006,Data!$A$2:$A$1006,$A801,Data!$B$2:$B$1006,$B801)</f>
        <v>901712</v>
      </c>
      <c r="F801" s="10" t="n">
        <f aca="false">SUMIFS(Data!$E$2:$E$1006,Data!$A$2:$A$1006,$A801,Data!$B$2:$B$1006,$B801)</f>
        <v>176.861528</v>
      </c>
      <c r="G801" s="10" t="n">
        <f aca="false">SUMIFS(Data!$F$2:$F$1006,Data!$A$2:$A$1006,$A801,Data!$B$2:$B$1006,$B801)</f>
        <v>109.892329</v>
      </c>
      <c r="H801" s="10" t="n">
        <f aca="false">SUMIFS(Data!$G$2:$G$1006,Data!$A$2:$A$1006,$A801,Data!$B$2:$B$1006,$B801)</f>
        <v>190.133251</v>
      </c>
      <c r="I801" s="10" t="n">
        <f aca="false">SUMIFS(Data!$N$2:$N$1006,Data!$A$2:$A$1006,$A801,Data!$B$2:$B$1006,$B801)</f>
        <v>476.887108</v>
      </c>
      <c r="J801" s="10" t="n">
        <f aca="false">SUMIFS(Data!$H$2:$H$1006,Data!$A$2:$A$1006,$A801,Data!$B$2:$B$1006,$B801)</f>
        <v>444.698881</v>
      </c>
      <c r="K801" s="11" t="n">
        <f aca="false">IFERROR(F801*1000000/$E801,"")</f>
        <v>196.139707578473</v>
      </c>
      <c r="L801" s="11" t="n">
        <f aca="false">IFERROR(G801*1000000/$E801,"")</f>
        <v>121.870762505101</v>
      </c>
      <c r="M801" s="11" t="n">
        <f aca="false">IFERROR(H801*1000000/$E801,"")</f>
        <v>210.858068873432</v>
      </c>
      <c r="N801" s="11" t="n">
        <f aca="false">IFERROR(I801*1000000/$E801,"")</f>
        <v>528.868538957006</v>
      </c>
      <c r="O801" s="11" t="n">
        <f aca="false">IFERROR(J801*1000000/$E801,"")</f>
        <v>493.17174552407</v>
      </c>
      <c r="P801" s="16" t="n">
        <f aca="false">COUNTIFS($A$4:$A$1008,$A801,$N$4:$N$1008,"&gt;"&amp;N801)+1</f>
        <v>2</v>
      </c>
      <c r="Q801" s="16" t="n">
        <f aca="false">COUNTIFS($A$4:$A$1008,$A801,$O$4:$O$1008,"&gt;"&amp;O801)+1</f>
        <v>3</v>
      </c>
    </row>
    <row r="802" customFormat="false" ht="15" hidden="false" customHeight="false" outlineLevel="0" collapsed="false">
      <c r="A802" s="7" t="n">
        <v>2020</v>
      </c>
      <c r="B802" s="15" t="s">
        <v>133</v>
      </c>
      <c r="C802" s="15" t="s">
        <v>118</v>
      </c>
      <c r="D802" s="15" t="s">
        <v>105</v>
      </c>
      <c r="E802" s="9" t="n">
        <f aca="false">SUMIFS(Data!$L$2:$L$1006,Data!$A$2:$A$1006,$A802,Data!$B$2:$B$1006,$B802)</f>
        <v>2299414</v>
      </c>
      <c r="F802" s="10" t="n">
        <f aca="false">SUMIFS(Data!$E$2:$E$1006,Data!$A$2:$A$1006,$A802,Data!$B$2:$B$1006,$B802)</f>
        <v>189.467643</v>
      </c>
      <c r="G802" s="10" t="n">
        <f aca="false">SUMIFS(Data!$F$2:$F$1006,Data!$A$2:$A$1006,$A802,Data!$B$2:$B$1006,$B802)</f>
        <v>429.288408</v>
      </c>
      <c r="H802" s="10" t="n">
        <f aca="false">SUMIFS(Data!$G$2:$G$1006,Data!$A$2:$A$1006,$A802,Data!$B$2:$B$1006,$B802)</f>
        <v>237.11525</v>
      </c>
      <c r="I802" s="10" t="n">
        <f aca="false">SUMIFS(Data!$N$2:$N$1006,Data!$A$2:$A$1006,$A802,Data!$B$2:$B$1006,$B802)</f>
        <v>855.871301</v>
      </c>
      <c r="J802" s="10" t="n">
        <f aca="false">SUMIFS(Data!$H$2:$H$1006,Data!$A$2:$A$1006,$A802,Data!$B$2:$B$1006,$B802)</f>
        <v>423.540716</v>
      </c>
      <c r="K802" s="11" t="n">
        <f aca="false">IFERROR(F802*1000000/$E802,"")</f>
        <v>82.3982297228772</v>
      </c>
      <c r="L802" s="11" t="n">
        <f aca="false">IFERROR(G802*1000000/$E802,"")</f>
        <v>186.69470047586</v>
      </c>
      <c r="M802" s="11" t="n">
        <f aca="false">IFERROR(H802*1000000/$E802,"")</f>
        <v>103.119860103487</v>
      </c>
      <c r="N802" s="11" t="n">
        <f aca="false">IFERROR(I802*1000000/$E802,"")</f>
        <v>372.212790302225</v>
      </c>
      <c r="O802" s="11" t="n">
        <f aca="false">IFERROR(J802*1000000/$E802,"")</f>
        <v>184.195067091007</v>
      </c>
      <c r="P802" s="16" t="n">
        <f aca="false">COUNTIFS($A$4:$A$1008,$A802,$N$4:$N$1008,"&gt;"&amp;N802)+1</f>
        <v>12</v>
      </c>
      <c r="Q802" s="16" t="n">
        <f aca="false">COUNTIFS($A$4:$A$1008,$A802,$O$4:$O$1008,"&gt;"&amp;O802)+1</f>
        <v>32</v>
      </c>
    </row>
    <row r="803" customFormat="false" ht="15" hidden="false" customHeight="false" outlineLevel="0" collapsed="false">
      <c r="A803" s="7" t="n">
        <v>2020</v>
      </c>
      <c r="B803" s="15" t="s">
        <v>134</v>
      </c>
      <c r="C803" s="15" t="s">
        <v>135</v>
      </c>
      <c r="D803" s="15" t="s">
        <v>136</v>
      </c>
      <c r="E803" s="9" t="n">
        <f aca="false">SUMIFS(Data!$L$2:$L$1006,Data!$A$2:$A$1006,$A803,Data!$B$2:$B$1006,$B803)</f>
        <v>148332</v>
      </c>
      <c r="F803" s="10" t="n">
        <f aca="false">SUMIFS(Data!$E$2:$E$1006,Data!$A$2:$A$1006,$A803,Data!$B$2:$B$1006,$B803)</f>
        <v>20.234759</v>
      </c>
      <c r="G803" s="10" t="n">
        <f aca="false">SUMIFS(Data!$F$2:$F$1006,Data!$A$2:$A$1006,$A803,Data!$B$2:$B$1006,$B803)</f>
        <v>12.617272</v>
      </c>
      <c r="H803" s="10" t="n">
        <f aca="false">SUMIFS(Data!$G$2:$G$1006,Data!$A$2:$A$1006,$A803,Data!$B$2:$B$1006,$B803)</f>
        <v>22.239504</v>
      </c>
      <c r="I803" s="10" t="n">
        <f aca="false">SUMIFS(Data!$N$2:$N$1006,Data!$A$2:$A$1006,$A803,Data!$B$2:$B$1006,$B803)</f>
        <v>55.091535</v>
      </c>
      <c r="J803" s="10" t="n">
        <f aca="false">SUMIFS(Data!$H$2:$H$1006,Data!$A$2:$A$1006,$A803,Data!$B$2:$B$1006,$B803)</f>
        <v>24.593779</v>
      </c>
      <c r="K803" s="11" t="n">
        <f aca="false">IFERROR(F803*1000000/$E803,"")</f>
        <v>136.415331823207</v>
      </c>
      <c r="L803" s="11" t="n">
        <f aca="false">IFERROR(G803*1000000/$E803,"")</f>
        <v>85.0610252676429</v>
      </c>
      <c r="M803" s="11" t="n">
        <f aca="false">IFERROR(H803*1000000/$E803,"")</f>
        <v>149.930588140118</v>
      </c>
      <c r="N803" s="11" t="n">
        <f aca="false">IFERROR(I803*1000000/$E803,"")</f>
        <v>371.406945230968</v>
      </c>
      <c r="O803" s="11" t="n">
        <f aca="false">IFERROR(J803*1000000/$E803,"")</f>
        <v>165.802247660653</v>
      </c>
      <c r="P803" s="16" t="n">
        <f aca="false">COUNTIFS($A$4:$A$1008,$A803,$N$4:$N$1008,"&gt;"&amp;N803)+1</f>
        <v>14</v>
      </c>
      <c r="Q803" s="16" t="n">
        <f aca="false">COUNTIFS($A$4:$A$1008,$A803,$O$4:$O$1008,"&gt;"&amp;O803)+1</f>
        <v>37</v>
      </c>
    </row>
    <row r="804" customFormat="false" ht="15" hidden="false" customHeight="false" outlineLevel="0" collapsed="false">
      <c r="A804" s="7" t="n">
        <v>2020</v>
      </c>
      <c r="B804" s="15" t="s">
        <v>137</v>
      </c>
      <c r="C804" s="15" t="s">
        <v>135</v>
      </c>
      <c r="D804" s="15" t="s">
        <v>138</v>
      </c>
      <c r="E804" s="9" t="n">
        <f aca="false">SUMIFS(Data!$L$2:$L$1006,Data!$A$2:$A$1006,$A804,Data!$B$2:$B$1006,$B804)</f>
        <v>1855672</v>
      </c>
      <c r="F804" s="10" t="n">
        <f aca="false">SUMIFS(Data!$E$2:$E$1006,Data!$A$2:$A$1006,$A804,Data!$B$2:$B$1006,$B804)</f>
        <v>215.658159</v>
      </c>
      <c r="G804" s="10" t="n">
        <f aca="false">SUMIFS(Data!$F$2:$F$1006,Data!$A$2:$A$1006,$A804,Data!$B$2:$B$1006,$B804)</f>
        <v>247.180745</v>
      </c>
      <c r="H804" s="10" t="n">
        <f aca="false">SUMIFS(Data!$G$2:$G$1006,Data!$A$2:$A$1006,$A804,Data!$B$2:$B$1006,$B804)</f>
        <v>264.804375</v>
      </c>
      <c r="I804" s="10" t="n">
        <f aca="false">SUMIFS(Data!$N$2:$N$1006,Data!$A$2:$A$1006,$A804,Data!$B$2:$B$1006,$B804)</f>
        <v>727.643279</v>
      </c>
      <c r="J804" s="10" t="n">
        <f aca="false">SUMIFS(Data!$H$2:$H$1006,Data!$A$2:$A$1006,$A804,Data!$B$2:$B$1006,$B804)</f>
        <v>590.199508</v>
      </c>
      <c r="K804" s="11" t="n">
        <f aca="false">IFERROR(F804*1000000/$E804,"")</f>
        <v>116.215666885096</v>
      </c>
      <c r="L804" s="11" t="n">
        <f aca="false">IFERROR(G804*1000000/$E804,"")</f>
        <v>133.202820864894</v>
      </c>
      <c r="M804" s="11" t="n">
        <f aca="false">IFERROR(H804*1000000/$E804,"")</f>
        <v>142.699989545566</v>
      </c>
      <c r="N804" s="11" t="n">
        <f aca="false">IFERROR(I804*1000000/$E804,"")</f>
        <v>392.118477295557</v>
      </c>
      <c r="O804" s="11" t="n">
        <f aca="false">IFERROR(J804*1000000/$E804,"")</f>
        <v>318.051631969443</v>
      </c>
      <c r="P804" s="16" t="n">
        <f aca="false">COUNTIFS($A$4:$A$1008,$A804,$N$4:$N$1008,"&gt;"&amp;N804)+1</f>
        <v>9</v>
      </c>
      <c r="Q804" s="16" t="n">
        <f aca="false">COUNTIFS($A$4:$A$1008,$A804,$O$4:$O$1008,"&gt;"&amp;O804)+1</f>
        <v>12</v>
      </c>
    </row>
    <row r="805" customFormat="false" ht="15" hidden="false" customHeight="false" outlineLevel="0" collapsed="false">
      <c r="A805" s="7" t="n">
        <v>2020</v>
      </c>
      <c r="B805" s="15" t="s">
        <v>139</v>
      </c>
      <c r="C805" s="15" t="s">
        <v>135</v>
      </c>
      <c r="D805" s="15" t="s">
        <v>138</v>
      </c>
      <c r="E805" s="9" t="n">
        <f aca="false">SUMIFS(Data!$L$2:$L$1006,Data!$A$2:$A$1006,$A805,Data!$B$2:$B$1006,$B805)</f>
        <v>2226501</v>
      </c>
      <c r="F805" s="10" t="n">
        <f aca="false">SUMIFS(Data!$E$2:$E$1006,Data!$A$2:$A$1006,$A805,Data!$B$2:$B$1006,$B805)</f>
        <v>305.837708</v>
      </c>
      <c r="G805" s="10" t="n">
        <f aca="false">SUMIFS(Data!$F$2:$F$1006,Data!$A$2:$A$1006,$A805,Data!$B$2:$B$1006,$B805)</f>
        <v>301.324015</v>
      </c>
      <c r="H805" s="10" t="n">
        <f aca="false">SUMIFS(Data!$G$2:$G$1006,Data!$A$2:$A$1006,$A805,Data!$B$2:$B$1006,$B805)</f>
        <v>395.562954</v>
      </c>
      <c r="I805" s="10" t="n">
        <f aca="false">SUMIFS(Data!$N$2:$N$1006,Data!$A$2:$A$1006,$A805,Data!$B$2:$B$1006,$B805)</f>
        <v>1002.724677</v>
      </c>
      <c r="J805" s="10" t="n">
        <f aca="false">SUMIFS(Data!$H$2:$H$1006,Data!$A$2:$A$1006,$A805,Data!$B$2:$B$1006,$B805)</f>
        <v>825.708012</v>
      </c>
      <c r="K805" s="11" t="n">
        <f aca="false">IFERROR(F805*1000000/$E805,"")</f>
        <v>137.362484005172</v>
      </c>
      <c r="L805" s="11" t="n">
        <f aca="false">IFERROR(G805*1000000/$E805,"")</f>
        <v>135.335225539984</v>
      </c>
      <c r="M805" s="11" t="n">
        <f aca="false">IFERROR(H805*1000000/$E805,"")</f>
        <v>177.661251443408</v>
      </c>
      <c r="N805" s="11" t="n">
        <f aca="false">IFERROR(I805*1000000/$E805,"")</f>
        <v>450.358960988565</v>
      </c>
      <c r="O805" s="11" t="n">
        <f aca="false">IFERROR(J805*1000000/$E805,"")</f>
        <v>370.854543519181</v>
      </c>
      <c r="P805" s="16" t="n">
        <f aca="false">COUNTIFS($A$4:$A$1008,$A805,$N$4:$N$1008,"&gt;"&amp;N805)+1</f>
        <v>5</v>
      </c>
      <c r="Q805" s="16" t="n">
        <f aca="false">COUNTIFS($A$4:$A$1008,$A805,$O$4:$O$1008,"&gt;"&amp;O805)+1</f>
        <v>7</v>
      </c>
    </row>
    <row r="806" customFormat="false" ht="15" hidden="false" customHeight="false" outlineLevel="0" collapsed="false">
      <c r="A806" s="7" t="n">
        <v>2020</v>
      </c>
      <c r="B806" s="15" t="s">
        <v>140</v>
      </c>
      <c r="C806" s="15" t="s">
        <v>135</v>
      </c>
      <c r="D806" s="15" t="s">
        <v>141</v>
      </c>
      <c r="E806" s="9" t="n">
        <f aca="false">SUMIFS(Data!$L$2:$L$1006,Data!$A$2:$A$1006,$A806,Data!$B$2:$B$1006,$B806)</f>
        <v>852004</v>
      </c>
      <c r="F806" s="10" t="n">
        <f aca="false">SUMIFS(Data!$E$2:$E$1006,Data!$A$2:$A$1006,$A806,Data!$B$2:$B$1006,$B806)</f>
        <v>111.436845</v>
      </c>
      <c r="G806" s="10" t="n">
        <f aca="false">SUMIFS(Data!$F$2:$F$1006,Data!$A$2:$A$1006,$A806,Data!$B$2:$B$1006,$B806)</f>
        <v>22.752201</v>
      </c>
      <c r="H806" s="10" t="n">
        <f aca="false">SUMIFS(Data!$G$2:$G$1006,Data!$A$2:$A$1006,$A806,Data!$B$2:$B$1006,$B806)</f>
        <v>92.81533</v>
      </c>
      <c r="I806" s="10" t="n">
        <f aca="false">SUMIFS(Data!$N$2:$N$1006,Data!$A$2:$A$1006,$A806,Data!$B$2:$B$1006,$B806)</f>
        <v>227.004376</v>
      </c>
      <c r="J806" s="10" t="n">
        <f aca="false">SUMIFS(Data!$H$2:$H$1006,Data!$A$2:$A$1006,$A806,Data!$B$2:$B$1006,$B806)</f>
        <v>363.039162</v>
      </c>
      <c r="K806" s="11" t="n">
        <f aca="false">IFERROR(F806*1000000/$E806,"")</f>
        <v>130.793804958662</v>
      </c>
      <c r="L806" s="11" t="n">
        <f aca="false">IFERROR(G806*1000000/$E806,"")</f>
        <v>26.7043358951366</v>
      </c>
      <c r="M806" s="11" t="n">
        <f aca="false">IFERROR(H806*1000000/$E806,"")</f>
        <v>108.937669306717</v>
      </c>
      <c r="N806" s="11" t="n">
        <f aca="false">IFERROR(I806*1000000/$E806,"")</f>
        <v>266.435810160516</v>
      </c>
      <c r="O806" s="11" t="n">
        <f aca="false">IFERROR(J806*1000000/$E806,"")</f>
        <v>426.100302345998</v>
      </c>
      <c r="P806" s="16" t="n">
        <f aca="false">COUNTIFS($A$4:$A$1008,$A806,$N$4:$N$1008,"&gt;"&amp;N806)+1</f>
        <v>33</v>
      </c>
      <c r="Q806" s="16" t="n">
        <f aca="false">COUNTIFS($A$4:$A$1008,$A806,$O$4:$O$1008,"&gt;"&amp;O806)+1</f>
        <v>5</v>
      </c>
    </row>
    <row r="807" customFormat="false" ht="15" hidden="false" customHeight="false" outlineLevel="0" collapsed="false">
      <c r="A807" s="7" t="n">
        <v>2020</v>
      </c>
      <c r="B807" s="15" t="s">
        <v>142</v>
      </c>
      <c r="C807" s="15" t="s">
        <v>135</v>
      </c>
      <c r="D807" s="15" t="s">
        <v>143</v>
      </c>
      <c r="E807" s="9" t="n">
        <f aca="false">SUMIFS(Data!$L$2:$L$1006,Data!$A$2:$A$1006,$A807,Data!$B$2:$B$1006,$B807)</f>
        <v>600946</v>
      </c>
      <c r="F807" s="10" t="n">
        <f aca="false">SUMIFS(Data!$E$2:$E$1006,Data!$A$2:$A$1006,$A807,Data!$B$2:$B$1006,$B807)</f>
        <v>74.701395</v>
      </c>
      <c r="G807" s="10" t="n">
        <f aca="false">SUMIFS(Data!$F$2:$F$1006,Data!$A$2:$A$1006,$A807,Data!$B$2:$B$1006,$B807)</f>
        <v>51.675954</v>
      </c>
      <c r="H807" s="10" t="n">
        <f aca="false">SUMIFS(Data!$G$2:$G$1006,Data!$A$2:$A$1006,$A807,Data!$B$2:$B$1006,$B807)</f>
        <v>88.319976</v>
      </c>
      <c r="I807" s="10" t="n">
        <f aca="false">SUMIFS(Data!$N$2:$N$1006,Data!$A$2:$A$1006,$A807,Data!$B$2:$B$1006,$B807)</f>
        <v>214.697325</v>
      </c>
      <c r="J807" s="10" t="n">
        <f aca="false">SUMIFS(Data!$H$2:$H$1006,Data!$A$2:$A$1006,$A807,Data!$B$2:$B$1006,$B807)</f>
        <v>189.67675</v>
      </c>
      <c r="K807" s="11" t="n">
        <f aca="false">IFERROR(F807*1000000/$E807,"")</f>
        <v>124.306335344607</v>
      </c>
      <c r="L807" s="11" t="n">
        <f aca="false">IFERROR(G807*1000000/$E807,"")</f>
        <v>85.9910108395763</v>
      </c>
      <c r="M807" s="11" t="n">
        <f aca="false">IFERROR(H807*1000000/$E807,"")</f>
        <v>146.968240074815</v>
      </c>
      <c r="N807" s="11" t="n">
        <f aca="false">IFERROR(I807*1000000/$E807,"")</f>
        <v>357.265586258998</v>
      </c>
      <c r="O807" s="11" t="n">
        <f aca="false">IFERROR(J807*1000000/$E807,"")</f>
        <v>315.630272936337</v>
      </c>
      <c r="P807" s="16" t="n">
        <f aca="false">COUNTIFS($A$4:$A$1008,$A807,$N$4:$N$1008,"&gt;"&amp;N807)+1</f>
        <v>16</v>
      </c>
      <c r="Q807" s="16" t="n">
        <f aca="false">COUNTIFS($A$4:$A$1008,$A807,$O$4:$O$1008,"&gt;"&amp;O807)+1</f>
        <v>13</v>
      </c>
    </row>
    <row r="808" customFormat="false" ht="15" hidden="false" customHeight="false" outlineLevel="0" collapsed="false">
      <c r="A808" s="7" t="n">
        <v>2020</v>
      </c>
      <c r="B808" s="15" t="s">
        <v>144</v>
      </c>
      <c r="C808" s="15" t="s">
        <v>135</v>
      </c>
      <c r="D808" s="15" t="s">
        <v>141</v>
      </c>
      <c r="E808" s="9" t="n">
        <f aca="false">SUMIFS(Data!$L$2:$L$1006,Data!$A$2:$A$1006,$A808,Data!$B$2:$B$1006,$B808)</f>
        <v>511501</v>
      </c>
      <c r="F808" s="10" t="n">
        <f aca="false">SUMIFS(Data!$E$2:$E$1006,Data!$A$2:$A$1006,$A808,Data!$B$2:$B$1006,$B808)</f>
        <v>65.709784</v>
      </c>
      <c r="G808" s="10" t="n">
        <f aca="false">SUMIFS(Data!$F$2:$F$1006,Data!$A$2:$A$1006,$A808,Data!$B$2:$B$1006,$B808)</f>
        <v>20.647018</v>
      </c>
      <c r="H808" s="10" t="n">
        <f aca="false">SUMIFS(Data!$G$2:$G$1006,Data!$A$2:$A$1006,$A808,Data!$B$2:$B$1006,$B808)</f>
        <v>38.221896</v>
      </c>
      <c r="I808" s="10" t="n">
        <f aca="false">SUMIFS(Data!$N$2:$N$1006,Data!$A$2:$A$1006,$A808,Data!$B$2:$B$1006,$B808)</f>
        <v>124.578698</v>
      </c>
      <c r="J808" s="10" t="n">
        <f aca="false">SUMIFS(Data!$H$2:$H$1006,Data!$A$2:$A$1006,$A808,Data!$B$2:$B$1006,$B808)</f>
        <v>97.145336</v>
      </c>
      <c r="K808" s="11" t="n">
        <f aca="false">IFERROR(F808*1000000/$E808,"")</f>
        <v>128.464624702591</v>
      </c>
      <c r="L808" s="11" t="n">
        <f aca="false">IFERROR(G808*1000000/$E808,"")</f>
        <v>40.3655476724386</v>
      </c>
      <c r="M808" s="11" t="n">
        <f aca="false">IFERROR(H808*1000000/$E808,"")</f>
        <v>74.7249682796319</v>
      </c>
      <c r="N808" s="11" t="n">
        <f aca="false">IFERROR(I808*1000000/$E808,"")</f>
        <v>243.555140654661</v>
      </c>
      <c r="O808" s="11" t="n">
        <f aca="false">IFERROR(J808*1000000/$E808,"")</f>
        <v>189.922084218799</v>
      </c>
      <c r="P808" s="16" t="n">
        <f aca="false">COUNTIFS($A$4:$A$1008,$A808,$N$4:$N$1008,"&gt;"&amp;N808)+1</f>
        <v>36</v>
      </c>
      <c r="Q808" s="16" t="n">
        <f aca="false">COUNTIFS($A$4:$A$1008,$A808,$O$4:$O$1008,"&gt;"&amp;O808)+1</f>
        <v>31</v>
      </c>
    </row>
    <row r="809" customFormat="false" ht="15" hidden="false" customHeight="false" outlineLevel="0" collapsed="false">
      <c r="A809" s="7" t="n">
        <v>2020</v>
      </c>
      <c r="B809" s="15" t="s">
        <v>145</v>
      </c>
      <c r="C809" s="15" t="s">
        <v>135</v>
      </c>
      <c r="D809" s="15" t="s">
        <v>146</v>
      </c>
      <c r="E809" s="9" t="n">
        <f aca="false">SUMIFS(Data!$L$2:$L$1006,Data!$A$2:$A$1006,$A809,Data!$B$2:$B$1006,$B809)</f>
        <v>494770</v>
      </c>
      <c r="F809" s="10" t="n">
        <f aca="false">SUMIFS(Data!$E$2:$E$1006,Data!$A$2:$A$1006,$A809,Data!$B$2:$B$1006,$B809)</f>
        <v>29.194938</v>
      </c>
      <c r="G809" s="10" t="n">
        <f aca="false">SUMIFS(Data!$F$2:$F$1006,Data!$A$2:$A$1006,$A809,Data!$B$2:$B$1006,$B809)</f>
        <v>79.157973</v>
      </c>
      <c r="H809" s="10" t="n">
        <f aca="false">SUMIFS(Data!$G$2:$G$1006,Data!$A$2:$A$1006,$A809,Data!$B$2:$B$1006,$B809)</f>
        <v>92.891508</v>
      </c>
      <c r="I809" s="10" t="n">
        <f aca="false">SUMIFS(Data!$N$2:$N$1006,Data!$A$2:$A$1006,$A809,Data!$B$2:$B$1006,$B809)</f>
        <v>201.244419</v>
      </c>
      <c r="J809" s="10" t="n">
        <f aca="false">SUMIFS(Data!$H$2:$H$1006,Data!$A$2:$A$1006,$A809,Data!$B$2:$B$1006,$B809)</f>
        <v>337.35711</v>
      </c>
      <c r="K809" s="11" t="n">
        <f aca="false">IFERROR(F809*1000000/$E809,"")</f>
        <v>59.0070901631061</v>
      </c>
      <c r="L809" s="11" t="n">
        <f aca="false">IFERROR(G809*1000000/$E809,"")</f>
        <v>159.989435495281</v>
      </c>
      <c r="M809" s="11" t="n">
        <f aca="false">IFERROR(H809*1000000/$E809,"")</f>
        <v>187.746848030398</v>
      </c>
      <c r="N809" s="11" t="n">
        <f aca="false">IFERROR(I809*1000000/$E809,"")</f>
        <v>406.743373688785</v>
      </c>
      <c r="O809" s="11" t="n">
        <f aca="false">IFERROR(J809*1000000/$E809,"")</f>
        <v>681.846332639408</v>
      </c>
      <c r="P809" s="16" t="n">
        <f aca="false">COUNTIFS($A$4:$A$1008,$A809,$N$4:$N$1008,"&gt;"&amp;N809)+1</f>
        <v>8</v>
      </c>
      <c r="Q809" s="16" t="n">
        <f aca="false">COUNTIFS($A$4:$A$1008,$A809,$O$4:$O$1008,"&gt;"&amp;O809)+1</f>
        <v>1</v>
      </c>
    </row>
    <row r="810" customFormat="false" ht="15" hidden="false" customHeight="false" outlineLevel="0" collapsed="false">
      <c r="A810" s="7" t="n">
        <v>2020</v>
      </c>
      <c r="B810" s="15" t="s">
        <v>147</v>
      </c>
      <c r="C810" s="15" t="s">
        <v>135</v>
      </c>
      <c r="D810" s="15" t="s">
        <v>148</v>
      </c>
      <c r="E810" s="9" t="n">
        <f aca="false">SUMIFS(Data!$L$2:$L$1006,Data!$A$2:$A$1006,$A810,Data!$B$2:$B$1006,$B810)</f>
        <v>159249</v>
      </c>
      <c r="F810" s="10" t="n">
        <f aca="false">SUMIFS(Data!$E$2:$E$1006,Data!$A$2:$A$1006,$A810,Data!$B$2:$B$1006,$B810)</f>
        <v>16.075222</v>
      </c>
      <c r="G810" s="10" t="n">
        <f aca="false">SUMIFS(Data!$F$2:$F$1006,Data!$A$2:$A$1006,$A810,Data!$B$2:$B$1006,$B810)</f>
        <v>16.711395</v>
      </c>
      <c r="H810" s="10" t="n">
        <f aca="false">SUMIFS(Data!$G$2:$G$1006,Data!$A$2:$A$1006,$A810,Data!$B$2:$B$1006,$B810)</f>
        <v>15.720039</v>
      </c>
      <c r="I810" s="10" t="n">
        <f aca="false">SUMIFS(Data!$N$2:$N$1006,Data!$A$2:$A$1006,$A810,Data!$B$2:$B$1006,$B810)</f>
        <v>48.506656</v>
      </c>
      <c r="J810" s="10" t="n">
        <f aca="false">SUMIFS(Data!$H$2:$H$1006,Data!$A$2:$A$1006,$A810,Data!$B$2:$B$1006,$B810)</f>
        <v>34.074689</v>
      </c>
      <c r="K810" s="11" t="n">
        <f aca="false">IFERROR(F810*1000000/$E810,"")</f>
        <v>100.943943133081</v>
      </c>
      <c r="L810" s="11" t="n">
        <f aca="false">IFERROR(G810*1000000/$E810,"")</f>
        <v>104.938775125746</v>
      </c>
      <c r="M810" s="11" t="n">
        <f aca="false">IFERROR(H810*1000000/$E810,"")</f>
        <v>98.7135806190306</v>
      </c>
      <c r="N810" s="11" t="n">
        <f aca="false">IFERROR(I810*1000000/$E810,"")</f>
        <v>304.596298877858</v>
      </c>
      <c r="O810" s="11" t="n">
        <f aca="false">IFERROR(J810*1000000/$E810,"")</f>
        <v>213.971133256724</v>
      </c>
      <c r="P810" s="16" t="n">
        <f aca="false">COUNTIFS($A$4:$A$1008,$A810,$N$4:$N$1008,"&gt;"&amp;N810)+1</f>
        <v>27</v>
      </c>
      <c r="Q810" s="16" t="n">
        <f aca="false">COUNTIFS($A$4:$A$1008,$A810,$O$4:$O$1008,"&gt;"&amp;O810)+1</f>
        <v>28</v>
      </c>
    </row>
    <row r="811" customFormat="false" ht="15" hidden="false" customHeight="false" outlineLevel="0" collapsed="false">
      <c r="A811" s="7" t="n">
        <v>2020</v>
      </c>
      <c r="B811" s="15" t="s">
        <v>149</v>
      </c>
      <c r="C811" s="15" t="s">
        <v>135</v>
      </c>
      <c r="D811" s="15" t="s">
        <v>146</v>
      </c>
      <c r="E811" s="9" t="n">
        <f aca="false">SUMIFS(Data!$L$2:$L$1006,Data!$A$2:$A$1006,$A811,Data!$B$2:$B$1006,$B811)</f>
        <v>795352</v>
      </c>
      <c r="F811" s="10" t="n">
        <f aca="false">SUMIFS(Data!$E$2:$E$1006,Data!$A$2:$A$1006,$A811,Data!$B$2:$B$1006,$B811)</f>
        <v>90.606296</v>
      </c>
      <c r="G811" s="10" t="n">
        <f aca="false">SUMIFS(Data!$F$2:$F$1006,Data!$A$2:$A$1006,$A811,Data!$B$2:$B$1006,$B811)</f>
        <v>74.206521</v>
      </c>
      <c r="H811" s="10" t="n">
        <f aca="false">SUMIFS(Data!$G$2:$G$1006,Data!$A$2:$A$1006,$A811,Data!$B$2:$B$1006,$B811)</f>
        <v>83.529829</v>
      </c>
      <c r="I811" s="10" t="n">
        <f aca="false">SUMIFS(Data!$N$2:$N$1006,Data!$A$2:$A$1006,$A811,Data!$B$2:$B$1006,$B811)</f>
        <v>248.342646</v>
      </c>
      <c r="J811" s="10" t="n">
        <f aca="false">SUMIFS(Data!$H$2:$H$1006,Data!$A$2:$A$1006,$A811,Data!$B$2:$B$1006,$B811)</f>
        <v>241.997497</v>
      </c>
      <c r="K811" s="11" t="n">
        <f aca="false">IFERROR(F811*1000000/$E811,"")</f>
        <v>113.919743710961</v>
      </c>
      <c r="L811" s="11" t="n">
        <f aca="false">IFERROR(G811*1000000/$E811,"")</f>
        <v>93.3002255605066</v>
      </c>
      <c r="M811" s="11" t="n">
        <f aca="false">IFERROR(H811*1000000/$E811,"")</f>
        <v>105.022466782003</v>
      </c>
      <c r="N811" s="11" t="n">
        <f aca="false">IFERROR(I811*1000000/$E811,"")</f>
        <v>312.242436053471</v>
      </c>
      <c r="O811" s="11" t="n">
        <f aca="false">IFERROR(J811*1000000/$E811,"")</f>
        <v>304.264648859876</v>
      </c>
      <c r="P811" s="16" t="n">
        <f aca="false">COUNTIFS($A$4:$A$1008,$A811,$N$4:$N$1008,"&gt;"&amp;N811)+1</f>
        <v>23</v>
      </c>
      <c r="Q811" s="16" t="n">
        <f aca="false">COUNTIFS($A$4:$A$1008,$A811,$O$4:$O$1008,"&gt;"&amp;O811)+1</f>
        <v>14</v>
      </c>
    </row>
    <row r="812" customFormat="false" ht="15" hidden="false" customHeight="false" outlineLevel="0" collapsed="false">
      <c r="A812" s="7" t="n">
        <v>2020</v>
      </c>
      <c r="B812" s="15" t="s">
        <v>150</v>
      </c>
      <c r="C812" s="15" t="s">
        <v>135</v>
      </c>
      <c r="D812" s="15" t="s">
        <v>141</v>
      </c>
      <c r="E812" s="9" t="n">
        <f aca="false">SUMIFS(Data!$L$2:$L$1006,Data!$A$2:$A$1006,$A812,Data!$B$2:$B$1006,$B812)</f>
        <v>477469</v>
      </c>
      <c r="F812" s="10" t="n">
        <f aca="false">SUMIFS(Data!$E$2:$E$1006,Data!$A$2:$A$1006,$A812,Data!$B$2:$B$1006,$B812)</f>
        <v>63.472141</v>
      </c>
      <c r="G812" s="10" t="n">
        <f aca="false">SUMIFS(Data!$F$2:$F$1006,Data!$A$2:$A$1006,$A812,Data!$B$2:$B$1006,$B812)</f>
        <v>15.209439</v>
      </c>
      <c r="H812" s="10" t="n">
        <f aca="false">SUMIFS(Data!$G$2:$G$1006,Data!$A$2:$A$1006,$A812,Data!$B$2:$B$1006,$B812)</f>
        <v>74.028055</v>
      </c>
      <c r="I812" s="10" t="n">
        <f aca="false">SUMIFS(Data!$N$2:$N$1006,Data!$A$2:$A$1006,$A812,Data!$B$2:$B$1006,$B812)</f>
        <v>152.709635</v>
      </c>
      <c r="J812" s="10" t="n">
        <f aca="false">SUMIFS(Data!$H$2:$H$1006,Data!$A$2:$A$1006,$A812,Data!$B$2:$B$1006,$B812)</f>
        <v>164.89108</v>
      </c>
      <c r="K812" s="11" t="n">
        <f aca="false">IFERROR(F812*1000000/$E812,"")</f>
        <v>132.934580046034</v>
      </c>
      <c r="L812" s="11" t="n">
        <f aca="false">IFERROR(G812*1000000/$E812,"")</f>
        <v>31.8542962998645</v>
      </c>
      <c r="M812" s="11" t="n">
        <f aca="false">IFERROR(H812*1000000/$E812,"")</f>
        <v>155.042641511805</v>
      </c>
      <c r="N812" s="11" t="n">
        <f aca="false">IFERROR(I812*1000000/$E812,"")</f>
        <v>319.831517857704</v>
      </c>
      <c r="O812" s="11" t="n">
        <f aca="false">IFERROR(J812*1000000/$E812,"")</f>
        <v>345.344053750086</v>
      </c>
      <c r="P812" s="16" t="n">
        <f aca="false">COUNTIFS($A$4:$A$1008,$A812,$N$4:$N$1008,"&gt;"&amp;N812)+1</f>
        <v>22</v>
      </c>
      <c r="Q812" s="16" t="n">
        <f aca="false">COUNTIFS($A$4:$A$1008,$A812,$O$4:$O$1008,"&gt;"&amp;O812)+1</f>
        <v>8</v>
      </c>
    </row>
    <row r="813" customFormat="false" ht="15" hidden="false" customHeight="false" outlineLevel="0" collapsed="false">
      <c r="A813" s="7" t="n">
        <v>2020</v>
      </c>
      <c r="B813" s="15" t="s">
        <v>151</v>
      </c>
      <c r="C813" s="15" t="s">
        <v>135</v>
      </c>
      <c r="D813" s="15" t="s">
        <v>136</v>
      </c>
      <c r="E813" s="9" t="n">
        <f aca="false">SUMIFS(Data!$L$2:$L$1006,Data!$A$2:$A$1006,$A813,Data!$B$2:$B$1006,$B813)</f>
        <v>1504894</v>
      </c>
      <c r="F813" s="10" t="n">
        <f aca="false">SUMIFS(Data!$E$2:$E$1006,Data!$A$2:$A$1006,$A813,Data!$B$2:$B$1006,$B813)</f>
        <v>102.836727</v>
      </c>
      <c r="G813" s="10" t="n">
        <f aca="false">SUMIFS(Data!$F$2:$F$1006,Data!$A$2:$A$1006,$A813,Data!$B$2:$B$1006,$B813)</f>
        <v>193.391438</v>
      </c>
      <c r="H813" s="10" t="n">
        <f aca="false">SUMIFS(Data!$G$2:$G$1006,Data!$A$2:$A$1006,$A813,Data!$B$2:$B$1006,$B813)</f>
        <v>122.002867</v>
      </c>
      <c r="I813" s="10" t="n">
        <f aca="false">SUMIFS(Data!$N$2:$N$1006,Data!$A$2:$A$1006,$A813,Data!$B$2:$B$1006,$B813)</f>
        <v>418.231032</v>
      </c>
      <c r="J813" s="10" t="n">
        <f aca="false">SUMIFS(Data!$H$2:$H$1006,Data!$A$2:$A$1006,$A813,Data!$B$2:$B$1006,$B813)</f>
        <v>291.692656</v>
      </c>
      <c r="K813" s="11" t="n">
        <f aca="false">IFERROR(F813*1000000/$E813,"")</f>
        <v>68.3348641166753</v>
      </c>
      <c r="L813" s="11" t="n">
        <f aca="false">IFERROR(G813*1000000/$E813,"")</f>
        <v>128.508345438283</v>
      </c>
      <c r="M813" s="11" t="n">
        <f aca="false">IFERROR(H813*1000000/$E813,"")</f>
        <v>81.0707378725678</v>
      </c>
      <c r="N813" s="11" t="n">
        <f aca="false">IFERROR(I813*1000000/$E813,"")</f>
        <v>277.913947427526</v>
      </c>
      <c r="O813" s="11" t="n">
        <f aca="false">IFERROR(J813*1000000/$E813,"")</f>
        <v>193.82937004201</v>
      </c>
      <c r="P813" s="16" t="n">
        <f aca="false">COUNTIFS($A$4:$A$1008,$A813,$N$4:$N$1008,"&gt;"&amp;N813)+1</f>
        <v>30</v>
      </c>
      <c r="Q813" s="16" t="n">
        <f aca="false">COUNTIFS($A$4:$A$1008,$A813,$O$4:$O$1008,"&gt;"&amp;O813)+1</f>
        <v>29</v>
      </c>
    </row>
    <row r="814" customFormat="false" ht="15" hidden="false" customHeight="false" outlineLevel="0" collapsed="false">
      <c r="A814" s="7" t="n">
        <v>2020</v>
      </c>
      <c r="B814" s="15" t="s">
        <v>152</v>
      </c>
      <c r="C814" s="15" t="s">
        <v>135</v>
      </c>
      <c r="D814" s="15" t="s">
        <v>148</v>
      </c>
      <c r="E814" s="9" t="n">
        <f aca="false">SUMIFS(Data!$L$2:$L$1006,Data!$A$2:$A$1006,$A814,Data!$B$2:$B$1006,$B814)</f>
        <v>263133</v>
      </c>
      <c r="F814" s="10" t="n">
        <f aca="false">SUMIFS(Data!$E$2:$E$1006,Data!$A$2:$A$1006,$A814,Data!$B$2:$B$1006,$B814)</f>
        <v>22.662341</v>
      </c>
      <c r="G814" s="10" t="n">
        <f aca="false">SUMIFS(Data!$F$2:$F$1006,Data!$A$2:$A$1006,$A814,Data!$B$2:$B$1006,$B814)</f>
        <v>22.018149</v>
      </c>
      <c r="H814" s="10" t="n">
        <f aca="false">SUMIFS(Data!$G$2:$G$1006,Data!$A$2:$A$1006,$A814,Data!$B$2:$B$1006,$B814)</f>
        <v>36.627136</v>
      </c>
      <c r="I814" s="10" t="n">
        <f aca="false">SUMIFS(Data!$N$2:$N$1006,Data!$A$2:$A$1006,$A814,Data!$B$2:$B$1006,$B814)</f>
        <v>81.307626</v>
      </c>
      <c r="J814" s="10" t="n">
        <f aca="false">SUMIFS(Data!$H$2:$H$1006,Data!$A$2:$A$1006,$A814,Data!$B$2:$B$1006,$B814)</f>
        <v>87.773304</v>
      </c>
      <c r="K814" s="11" t="n">
        <f aca="false">IFERROR(F814*1000000/$E814,"")</f>
        <v>86.1250432290895</v>
      </c>
      <c r="L814" s="11" t="n">
        <f aca="false">IFERROR(G814*1000000/$E814,"")</f>
        <v>83.6768820330403</v>
      </c>
      <c r="M814" s="11" t="n">
        <f aca="false">IFERROR(H814*1000000/$E814,"")</f>
        <v>139.196284768539</v>
      </c>
      <c r="N814" s="11" t="n">
        <f aca="false">IFERROR(I814*1000000/$E814,"")</f>
        <v>308.998210030669</v>
      </c>
      <c r="O814" s="11" t="n">
        <f aca="false">IFERROR(J814*1000000/$E814,"")</f>
        <v>333.570110932494</v>
      </c>
      <c r="P814" s="16" t="n">
        <f aca="false">COUNTIFS($A$4:$A$1008,$A814,$N$4:$N$1008,"&gt;"&amp;N814)+1</f>
        <v>25</v>
      </c>
      <c r="Q814" s="16" t="n">
        <f aca="false">COUNTIFS($A$4:$A$1008,$A814,$O$4:$O$1008,"&gt;"&amp;O814)+1</f>
        <v>9</v>
      </c>
    </row>
    <row r="815" customFormat="false" ht="15" hidden="false" customHeight="false" outlineLevel="0" collapsed="false">
      <c r="A815" s="7" t="n">
        <v>2020</v>
      </c>
      <c r="B815" s="15" t="s">
        <v>153</v>
      </c>
      <c r="C815" s="15" t="s">
        <v>135</v>
      </c>
      <c r="D815" s="15" t="s">
        <v>136</v>
      </c>
      <c r="E815" s="9" t="n">
        <f aca="false">SUMIFS(Data!$L$2:$L$1006,Data!$A$2:$A$1006,$A815,Data!$B$2:$B$1006,$B815)</f>
        <v>132806</v>
      </c>
      <c r="F815" s="10" t="n">
        <f aca="false">SUMIFS(Data!$E$2:$E$1006,Data!$A$2:$A$1006,$A815,Data!$B$2:$B$1006,$B815)</f>
        <v>17.070455</v>
      </c>
      <c r="G815" s="10" t="n">
        <f aca="false">SUMIFS(Data!$F$2:$F$1006,Data!$A$2:$A$1006,$A815,Data!$B$2:$B$1006,$B815)</f>
        <v>27.540322</v>
      </c>
      <c r="H815" s="10" t="n">
        <f aca="false">SUMIFS(Data!$G$2:$G$1006,Data!$A$2:$A$1006,$A815,Data!$B$2:$B$1006,$B815)</f>
        <v>12.364103</v>
      </c>
      <c r="I815" s="10" t="n">
        <f aca="false">SUMIFS(Data!$N$2:$N$1006,Data!$A$2:$A$1006,$A815,Data!$B$2:$B$1006,$B815)</f>
        <v>56.97488</v>
      </c>
      <c r="J815" s="10" t="n">
        <f aca="false">SUMIFS(Data!$H$2:$H$1006,Data!$A$2:$A$1006,$A815,Data!$B$2:$B$1006,$B815)</f>
        <v>22.177273</v>
      </c>
      <c r="K815" s="11" t="n">
        <f aca="false">IFERROR(F815*1000000/$E815,"")</f>
        <v>128.536775446892</v>
      </c>
      <c r="L815" s="11" t="n">
        <f aca="false">IFERROR(G815*1000000/$E815,"")</f>
        <v>207.372573528304</v>
      </c>
      <c r="M815" s="11" t="n">
        <f aca="false">IFERROR(H815*1000000/$E815,"")</f>
        <v>93.0989789617939</v>
      </c>
      <c r="N815" s="11" t="n">
        <f aca="false">IFERROR(I815*1000000/$E815,"")</f>
        <v>429.008327936991</v>
      </c>
      <c r="O815" s="11" t="n">
        <f aca="false">IFERROR(J815*1000000/$E815,"")</f>
        <v>166.989992922007</v>
      </c>
      <c r="P815" s="16" t="n">
        <f aca="false">COUNTIFS($A$4:$A$1008,$A815,$N$4:$N$1008,"&gt;"&amp;N815)+1</f>
        <v>7</v>
      </c>
      <c r="Q815" s="16" t="n">
        <f aca="false">COUNTIFS($A$4:$A$1008,$A815,$O$4:$O$1008,"&gt;"&amp;O815)+1</f>
        <v>36</v>
      </c>
    </row>
    <row r="816" customFormat="false" ht="15" hidden="false" customHeight="false" outlineLevel="0" collapsed="false">
      <c r="A816" s="7" t="n">
        <v>2020</v>
      </c>
      <c r="B816" s="15" t="s">
        <v>154</v>
      </c>
      <c r="C816" s="15" t="s">
        <v>135</v>
      </c>
      <c r="D816" s="15" t="s">
        <v>141</v>
      </c>
      <c r="E816" s="9" t="n">
        <f aca="false">SUMIFS(Data!$L$2:$L$1006,Data!$A$2:$A$1006,$A816,Data!$B$2:$B$1006,$B816)</f>
        <v>148706</v>
      </c>
      <c r="F816" s="10" t="n">
        <f aca="false">SUMIFS(Data!$E$2:$E$1006,Data!$A$2:$A$1006,$A816,Data!$B$2:$B$1006,$B816)</f>
        <v>19.729444</v>
      </c>
      <c r="G816" s="10" t="n">
        <f aca="false">SUMIFS(Data!$F$2:$F$1006,Data!$A$2:$A$1006,$A816,Data!$B$2:$B$1006,$B816)</f>
        <v>4.614816</v>
      </c>
      <c r="H816" s="10" t="n">
        <f aca="false">SUMIFS(Data!$G$2:$G$1006,Data!$A$2:$A$1006,$A816,Data!$B$2:$B$1006,$B816)</f>
        <v>24.075059</v>
      </c>
      <c r="I816" s="10" t="n">
        <f aca="false">SUMIFS(Data!$N$2:$N$1006,Data!$A$2:$A$1006,$A816,Data!$B$2:$B$1006,$B816)</f>
        <v>48.419319</v>
      </c>
      <c r="J816" s="10" t="n">
        <f aca="false">SUMIFS(Data!$H$2:$H$1006,Data!$A$2:$A$1006,$A816,Data!$B$2:$B$1006,$B816)</f>
        <v>78.62293</v>
      </c>
      <c r="K816" s="11" t="n">
        <f aca="false">IFERROR(F816*1000000/$E816,"")</f>
        <v>132.674162441327</v>
      </c>
      <c r="L816" s="11" t="n">
        <f aca="false">IFERROR(G816*1000000/$E816,"")</f>
        <v>31.033152663645</v>
      </c>
      <c r="M816" s="11" t="n">
        <f aca="false">IFERROR(H816*1000000/$E816,"")</f>
        <v>161.897025002354</v>
      </c>
      <c r="N816" s="11" t="n">
        <f aca="false">IFERROR(I816*1000000/$E816,"")</f>
        <v>325.604340107326</v>
      </c>
      <c r="O816" s="11" t="n">
        <f aca="false">IFERROR(J816*1000000/$E816,"")</f>
        <v>528.713905289632</v>
      </c>
      <c r="P816" s="16" t="n">
        <f aca="false">COUNTIFS($A$4:$A$1008,$A816,$N$4:$N$1008,"&gt;"&amp;N816)+1</f>
        <v>21</v>
      </c>
      <c r="Q816" s="16" t="n">
        <f aca="false">COUNTIFS($A$4:$A$1008,$A816,$O$4:$O$1008,"&gt;"&amp;O816)+1</f>
        <v>2</v>
      </c>
    </row>
    <row r="817" customFormat="false" ht="15" hidden="false" customHeight="false" outlineLevel="0" collapsed="false">
      <c r="A817" s="7" t="n">
        <v>2020</v>
      </c>
      <c r="B817" s="15" t="s">
        <v>155</v>
      </c>
      <c r="C817" s="15" t="s">
        <v>135</v>
      </c>
      <c r="D817" s="15" t="s">
        <v>148</v>
      </c>
      <c r="E817" s="9" t="n">
        <f aca="false">SUMIFS(Data!$L$2:$L$1006,Data!$A$2:$A$1006,$A817,Data!$B$2:$B$1006,$B817)</f>
        <v>1144981</v>
      </c>
      <c r="F817" s="10" t="n">
        <f aca="false">SUMIFS(Data!$E$2:$E$1006,Data!$A$2:$A$1006,$A817,Data!$B$2:$B$1006,$B817)</f>
        <v>65.80055</v>
      </c>
      <c r="G817" s="10" t="n">
        <f aca="false">SUMIFS(Data!$F$2:$F$1006,Data!$A$2:$A$1006,$A817,Data!$B$2:$B$1006,$B817)</f>
        <v>78.41957</v>
      </c>
      <c r="H817" s="10" t="n">
        <f aca="false">SUMIFS(Data!$G$2:$G$1006,Data!$A$2:$A$1006,$A817,Data!$B$2:$B$1006,$B817)</f>
        <v>134.327963</v>
      </c>
      <c r="I817" s="10" t="n">
        <f aca="false">SUMIFS(Data!$N$2:$N$1006,Data!$A$2:$A$1006,$A817,Data!$B$2:$B$1006,$B817)</f>
        <v>278.548083</v>
      </c>
      <c r="J817" s="10" t="n">
        <f aca="false">SUMIFS(Data!$H$2:$H$1006,Data!$A$2:$A$1006,$A817,Data!$B$2:$B$1006,$B817)</f>
        <v>297.758313</v>
      </c>
      <c r="K817" s="11" t="n">
        <f aca="false">IFERROR(F817*1000000/$E817,"")</f>
        <v>57.4686828864409</v>
      </c>
      <c r="L817" s="11" t="n">
        <f aca="false">IFERROR(G817*1000000/$E817,"")</f>
        <v>68.4898439362749</v>
      </c>
      <c r="M817" s="11" t="n">
        <f aca="false">IFERROR(H817*1000000/$E817,"")</f>
        <v>117.318945030529</v>
      </c>
      <c r="N817" s="11" t="n">
        <f aca="false">IFERROR(I817*1000000/$E817,"")</f>
        <v>243.277471853245</v>
      </c>
      <c r="O817" s="11" t="n">
        <f aca="false">IFERROR(J817*1000000/$E817,"")</f>
        <v>260.055243711468</v>
      </c>
      <c r="P817" s="16" t="n">
        <f aca="false">COUNTIFS($A$4:$A$1008,$A817,$N$4:$N$1008,"&gt;"&amp;N817)+1</f>
        <v>37</v>
      </c>
      <c r="Q817" s="16" t="n">
        <f aca="false">COUNTIFS($A$4:$A$1008,$A817,$O$4:$O$1008,"&gt;"&amp;O817)+1</f>
        <v>20</v>
      </c>
    </row>
    <row r="818" customFormat="false" ht="15" hidden="false" customHeight="false" outlineLevel="0" collapsed="false">
      <c r="A818" s="7" t="n">
        <v>2020</v>
      </c>
      <c r="B818" s="15" t="s">
        <v>156</v>
      </c>
      <c r="C818" s="15" t="s">
        <v>135</v>
      </c>
      <c r="D818" s="15" t="s">
        <v>148</v>
      </c>
      <c r="E818" s="9" t="n">
        <f aca="false">SUMIFS(Data!$L$2:$L$1006,Data!$A$2:$A$1006,$A818,Data!$B$2:$B$1006,$B818)</f>
        <v>480772</v>
      </c>
      <c r="F818" s="10" t="n">
        <f aca="false">SUMIFS(Data!$E$2:$E$1006,Data!$A$2:$A$1006,$A818,Data!$B$2:$B$1006,$B818)</f>
        <v>21.332355</v>
      </c>
      <c r="G818" s="10" t="n">
        <f aca="false">SUMIFS(Data!$F$2:$F$1006,Data!$A$2:$A$1006,$A818,Data!$B$2:$B$1006,$B818)</f>
        <v>32.79666</v>
      </c>
      <c r="H818" s="10" t="n">
        <f aca="false">SUMIFS(Data!$G$2:$G$1006,Data!$A$2:$A$1006,$A818,Data!$B$2:$B$1006,$B818)</f>
        <v>68.299186</v>
      </c>
      <c r="I818" s="10" t="n">
        <f aca="false">SUMIFS(Data!$N$2:$N$1006,Data!$A$2:$A$1006,$A818,Data!$B$2:$B$1006,$B818)</f>
        <v>122.428201</v>
      </c>
      <c r="J818" s="10" t="n">
        <f aca="false">SUMIFS(Data!$H$2:$H$1006,Data!$A$2:$A$1006,$A818,Data!$B$2:$B$1006,$B818)</f>
        <v>189.358138</v>
      </c>
      <c r="K818" s="11" t="n">
        <f aca="false">IFERROR(F818*1000000/$E818,"")</f>
        <v>44.3710428227933</v>
      </c>
      <c r="L818" s="11" t="n">
        <f aca="false">IFERROR(G818*1000000/$E818,"")</f>
        <v>68.2166598720391</v>
      </c>
      <c r="M818" s="11" t="n">
        <f aca="false">IFERROR(H818*1000000/$E818,"")</f>
        <v>142.061488605826</v>
      </c>
      <c r="N818" s="11" t="n">
        <f aca="false">IFERROR(I818*1000000/$E818,"")</f>
        <v>254.649191300658</v>
      </c>
      <c r="O818" s="11" t="n">
        <f aca="false">IFERROR(J818*1000000/$E818,"")</f>
        <v>393.862658391088</v>
      </c>
      <c r="P818" s="16" t="n">
        <f aca="false">COUNTIFS($A$4:$A$1008,$A818,$N$4:$N$1008,"&gt;"&amp;N818)+1</f>
        <v>34</v>
      </c>
      <c r="Q818" s="16" t="n">
        <f aca="false">COUNTIFS($A$4:$A$1008,$A818,$O$4:$O$1008,"&gt;"&amp;O818)+1</f>
        <v>6</v>
      </c>
    </row>
    <row r="819" customFormat="false" ht="15" hidden="false" customHeight="false" outlineLevel="0" collapsed="false">
      <c r="A819" s="7" t="n">
        <v>2020</v>
      </c>
      <c r="B819" s="15" t="s">
        <v>157</v>
      </c>
      <c r="C819" s="15" t="s">
        <v>135</v>
      </c>
      <c r="D819" s="15" t="s">
        <v>148</v>
      </c>
      <c r="E819" s="9" t="n">
        <f aca="false">SUMIFS(Data!$L$2:$L$1006,Data!$A$2:$A$1006,$A819,Data!$B$2:$B$1006,$B819)</f>
        <v>451063</v>
      </c>
      <c r="F819" s="10" t="n">
        <f aca="false">SUMIFS(Data!$E$2:$E$1006,Data!$A$2:$A$1006,$A819,Data!$B$2:$B$1006,$B819)</f>
        <v>24.564716</v>
      </c>
      <c r="G819" s="10" t="n">
        <f aca="false">SUMIFS(Data!$F$2:$F$1006,Data!$A$2:$A$1006,$A819,Data!$B$2:$B$1006,$B819)</f>
        <v>21.062939</v>
      </c>
      <c r="H819" s="10" t="n">
        <f aca="false">SUMIFS(Data!$G$2:$G$1006,Data!$A$2:$A$1006,$A819,Data!$B$2:$B$1006,$B819)</f>
        <v>37.745174</v>
      </c>
      <c r="I819" s="10" t="n">
        <f aca="false">SUMIFS(Data!$N$2:$N$1006,Data!$A$2:$A$1006,$A819,Data!$B$2:$B$1006,$B819)</f>
        <v>83.372829</v>
      </c>
      <c r="J819" s="10" t="n">
        <f aca="false">SUMIFS(Data!$H$2:$H$1006,Data!$A$2:$A$1006,$A819,Data!$B$2:$B$1006,$B819)</f>
        <v>203.328763</v>
      </c>
      <c r="K819" s="11" t="n">
        <f aca="false">IFERROR(F819*1000000/$E819,"")</f>
        <v>54.4596120719279</v>
      </c>
      <c r="L819" s="11" t="n">
        <f aca="false">IFERROR(G819*1000000/$E819,"")</f>
        <v>46.696224252488</v>
      </c>
      <c r="M819" s="11" t="n">
        <f aca="false">IFERROR(H819*1000000/$E819,"")</f>
        <v>83.6804925254344</v>
      </c>
      <c r="N819" s="11" t="n">
        <f aca="false">IFERROR(I819*1000000/$E819,"")</f>
        <v>184.83632884985</v>
      </c>
      <c r="O819" s="11" t="n">
        <f aca="false">IFERROR(J819*1000000/$E819,"")</f>
        <v>450.776860438564</v>
      </c>
      <c r="P819" s="16" t="n">
        <f aca="false">COUNTIFS($A$4:$A$1008,$A819,$N$4:$N$1008,"&gt;"&amp;N819)+1</f>
        <v>39</v>
      </c>
      <c r="Q819" s="16" t="n">
        <f aca="false">COUNTIFS($A$4:$A$1008,$A819,$O$4:$O$1008,"&gt;"&amp;O819)+1</f>
        <v>4</v>
      </c>
    </row>
    <row r="820" customFormat="false" ht="15" hidden="false" customHeight="false" outlineLevel="0" collapsed="false">
      <c r="A820" s="7" t="n">
        <v>2021</v>
      </c>
      <c r="B820" s="15" t="s">
        <v>101</v>
      </c>
      <c r="C820" s="15" t="s">
        <v>102</v>
      </c>
      <c r="D820" s="15" t="s">
        <v>103</v>
      </c>
      <c r="E820" s="9" t="n">
        <f aca="false">SUMIFS(Data!$L$2:$L$1006,Data!$A$2:$A$1006,$A820,Data!$B$2:$B$1006,$B820)</f>
        <v>755210</v>
      </c>
      <c r="F820" s="10" t="n">
        <f aca="false">SUMIFS(Data!$E$2:$E$1006,Data!$A$2:$A$1006,$A820,Data!$B$2:$B$1006,$B820)</f>
        <v>76.516364</v>
      </c>
      <c r="G820" s="10" t="n">
        <f aca="false">SUMIFS(Data!$F$2:$F$1006,Data!$A$2:$A$1006,$A820,Data!$B$2:$B$1006,$B820)</f>
        <v>30.12492</v>
      </c>
      <c r="H820" s="10" t="n">
        <f aca="false">SUMIFS(Data!$G$2:$G$1006,Data!$A$2:$A$1006,$A820,Data!$B$2:$B$1006,$B820)</f>
        <v>91.424832</v>
      </c>
      <c r="I820" s="10" t="n">
        <f aca="false">SUMIFS(Data!$N$2:$N$1006,Data!$A$2:$A$1006,$A820,Data!$B$2:$B$1006,$B820)</f>
        <v>198.066116</v>
      </c>
      <c r="J820" s="10" t="n">
        <f aca="false">SUMIFS(Data!$H$2:$H$1006,Data!$A$2:$A$1006,$A820,Data!$B$2:$B$1006,$B820)</f>
        <v>182.381689</v>
      </c>
      <c r="K820" s="11" t="n">
        <f aca="false">IFERROR(F820*1000000/$E820,"")</f>
        <v>101.317996318905</v>
      </c>
      <c r="L820" s="11" t="n">
        <f aca="false">IFERROR(G820*1000000/$E820,"")</f>
        <v>39.8894612094649</v>
      </c>
      <c r="M820" s="11" t="n">
        <f aca="false">IFERROR(H820*1000000/$E820,"")</f>
        <v>121.058820725361</v>
      </c>
      <c r="N820" s="11" t="n">
        <f aca="false">IFERROR(I820*1000000/$E820,"")</f>
        <v>262.266278253731</v>
      </c>
      <c r="O820" s="11" t="n">
        <f aca="false">IFERROR(J820*1000000/$E820,"")</f>
        <v>241.497979369977</v>
      </c>
      <c r="P820" s="16" t="n">
        <f aca="false">COUNTIFS($A$4:$A$1008,$A820,$N$4:$N$1008,"&gt;"&amp;N820)+1</f>
        <v>33</v>
      </c>
      <c r="Q820" s="16" t="n">
        <f aca="false">COUNTIFS($A$4:$A$1008,$A820,$O$4:$O$1008,"&gt;"&amp;O820)+1</f>
        <v>28</v>
      </c>
    </row>
    <row r="821" customFormat="false" ht="15" hidden="false" customHeight="false" outlineLevel="0" collapsed="false">
      <c r="A821" s="7" t="n">
        <v>2021</v>
      </c>
      <c r="B821" s="15" t="s">
        <v>104</v>
      </c>
      <c r="C821" s="15" t="s">
        <v>102</v>
      </c>
      <c r="D821" s="15" t="s">
        <v>105</v>
      </c>
      <c r="E821" s="9" t="n">
        <f aca="false">SUMIFS(Data!$L$2:$L$1006,Data!$A$2:$A$1006,$A821,Data!$B$2:$B$1006,$B821)</f>
        <v>1150247</v>
      </c>
      <c r="F821" s="10" t="n">
        <f aca="false">SUMIFS(Data!$E$2:$E$1006,Data!$A$2:$A$1006,$A821,Data!$B$2:$B$1006,$B821)</f>
        <v>161.57326</v>
      </c>
      <c r="G821" s="10" t="n">
        <f aca="false">SUMIFS(Data!$F$2:$F$1006,Data!$A$2:$A$1006,$A821,Data!$B$2:$B$1006,$B821)</f>
        <v>155.078466</v>
      </c>
      <c r="H821" s="10" t="n">
        <f aca="false">SUMIFS(Data!$G$2:$G$1006,Data!$A$2:$A$1006,$A821,Data!$B$2:$B$1006,$B821)</f>
        <v>127.954874</v>
      </c>
      <c r="I821" s="10" t="n">
        <f aca="false">SUMIFS(Data!$N$2:$N$1006,Data!$A$2:$A$1006,$A821,Data!$B$2:$B$1006,$B821)</f>
        <v>444.6066</v>
      </c>
      <c r="J821" s="10" t="n">
        <f aca="false">SUMIFS(Data!$H$2:$H$1006,Data!$A$2:$A$1006,$A821,Data!$B$2:$B$1006,$B821)</f>
        <v>195.710313</v>
      </c>
      <c r="K821" s="11" t="n">
        <f aca="false">IFERROR(F821*1000000/$E821,"")</f>
        <v>140.468316804999</v>
      </c>
      <c r="L821" s="11" t="n">
        <f aca="false">IFERROR(G821*1000000/$E821,"")</f>
        <v>134.821882604345</v>
      </c>
      <c r="M821" s="11" t="n">
        <f aca="false">IFERROR(H821*1000000/$E821,"")</f>
        <v>111.241215147703</v>
      </c>
      <c r="N821" s="11" t="n">
        <f aca="false">IFERROR(I821*1000000/$E821,"")</f>
        <v>386.531414557047</v>
      </c>
      <c r="O821" s="11" t="n">
        <f aca="false">IFERROR(J821*1000000/$E821,"")</f>
        <v>170.146336395574</v>
      </c>
      <c r="P821" s="16" t="n">
        <f aca="false">COUNTIFS($A$4:$A$1008,$A821,$N$4:$N$1008,"&gt;"&amp;N821)+1</f>
        <v>11</v>
      </c>
      <c r="Q821" s="16" t="n">
        <f aca="false">COUNTIFS($A$4:$A$1008,$A821,$O$4:$O$1008,"&gt;"&amp;O821)+1</f>
        <v>37</v>
      </c>
    </row>
    <row r="822" customFormat="false" ht="15" hidden="false" customHeight="false" outlineLevel="0" collapsed="false">
      <c r="A822" s="7" t="n">
        <v>2021</v>
      </c>
      <c r="B822" s="15" t="s">
        <v>106</v>
      </c>
      <c r="C822" s="15" t="s">
        <v>102</v>
      </c>
      <c r="D822" s="15" t="s">
        <v>107</v>
      </c>
      <c r="E822" s="9" t="n">
        <f aca="false">SUMIFS(Data!$L$2:$L$1006,Data!$A$2:$A$1006,$A822,Data!$B$2:$B$1006,$B822)</f>
        <v>581453</v>
      </c>
      <c r="F822" s="10" t="n">
        <f aca="false">SUMIFS(Data!$E$2:$E$1006,Data!$A$2:$A$1006,$A822,Data!$B$2:$B$1006,$B822)</f>
        <v>78.035041</v>
      </c>
      <c r="G822" s="10" t="n">
        <f aca="false">SUMIFS(Data!$F$2:$F$1006,Data!$A$2:$A$1006,$A822,Data!$B$2:$B$1006,$B822)</f>
        <v>55.551781</v>
      </c>
      <c r="H822" s="10" t="n">
        <f aca="false">SUMIFS(Data!$G$2:$G$1006,Data!$A$2:$A$1006,$A822,Data!$B$2:$B$1006,$B822)</f>
        <v>64.756624</v>
      </c>
      <c r="I822" s="10" t="n">
        <f aca="false">SUMIFS(Data!$N$2:$N$1006,Data!$A$2:$A$1006,$A822,Data!$B$2:$B$1006,$B822)</f>
        <v>198.343446</v>
      </c>
      <c r="J822" s="10" t="n">
        <f aca="false">SUMIFS(Data!$H$2:$H$1006,Data!$A$2:$A$1006,$A822,Data!$B$2:$B$1006,$B822)</f>
        <v>139.049497</v>
      </c>
      <c r="K822" s="11" t="n">
        <f aca="false">IFERROR(F822*1000000/$E822,"")</f>
        <v>134.206962557593</v>
      </c>
      <c r="L822" s="11" t="n">
        <f aca="false">IFERROR(G822*1000000/$E822,"")</f>
        <v>95.5395896142939</v>
      </c>
      <c r="M822" s="11" t="n">
        <f aca="false">IFERROR(H822*1000000/$E822,"")</f>
        <v>111.370349796114</v>
      </c>
      <c r="N822" s="11" t="n">
        <f aca="false">IFERROR(I822*1000000/$E822,"")</f>
        <v>341.116901968001</v>
      </c>
      <c r="O822" s="11" t="n">
        <f aca="false">IFERROR(J822*1000000/$E822,"")</f>
        <v>239.141421576636</v>
      </c>
      <c r="P822" s="16" t="n">
        <f aca="false">COUNTIFS($A$4:$A$1008,$A822,$N$4:$N$1008,"&gt;"&amp;N822)+1</f>
        <v>15</v>
      </c>
      <c r="Q822" s="16" t="n">
        <f aca="false">COUNTIFS($A$4:$A$1008,$A822,$O$4:$O$1008,"&gt;"&amp;O822)+1</f>
        <v>30</v>
      </c>
    </row>
    <row r="823" customFormat="false" ht="15" hidden="false" customHeight="false" outlineLevel="0" collapsed="false">
      <c r="A823" s="7" t="n">
        <v>2021</v>
      </c>
      <c r="B823" s="15" t="s">
        <v>108</v>
      </c>
      <c r="C823" s="15" t="s">
        <v>102</v>
      </c>
      <c r="D823" s="15" t="s">
        <v>109</v>
      </c>
      <c r="E823" s="9" t="n">
        <f aca="false">SUMIFS(Data!$L$2:$L$1006,Data!$A$2:$A$1006,$A823,Data!$B$2:$B$1006,$B823)</f>
        <v>395031</v>
      </c>
      <c r="F823" s="10" t="n">
        <f aca="false">SUMIFS(Data!$E$2:$E$1006,Data!$A$2:$A$1006,$A823,Data!$B$2:$B$1006,$B823)</f>
        <v>66.120903</v>
      </c>
      <c r="G823" s="10" t="n">
        <f aca="false">SUMIFS(Data!$F$2:$F$1006,Data!$A$2:$A$1006,$A823,Data!$B$2:$B$1006,$B823)</f>
        <v>19.979757</v>
      </c>
      <c r="H823" s="10" t="n">
        <f aca="false">SUMIFS(Data!$G$2:$G$1006,Data!$A$2:$A$1006,$A823,Data!$B$2:$B$1006,$B823)</f>
        <v>49.541424</v>
      </c>
      <c r="I823" s="10" t="n">
        <f aca="false">SUMIFS(Data!$N$2:$N$1006,Data!$A$2:$A$1006,$A823,Data!$B$2:$B$1006,$B823)</f>
        <v>135.642084</v>
      </c>
      <c r="J823" s="10" t="n">
        <f aca="false">SUMIFS(Data!$H$2:$H$1006,Data!$A$2:$A$1006,$A823,Data!$B$2:$B$1006,$B823)</f>
        <v>104.091219</v>
      </c>
      <c r="K823" s="11" t="n">
        <f aca="false">IFERROR(F823*1000000/$E823,"")</f>
        <v>167.381554865314</v>
      </c>
      <c r="L823" s="11" t="n">
        <f aca="false">IFERROR(G823*1000000/$E823,"")</f>
        <v>50.5776939025039</v>
      </c>
      <c r="M823" s="11" t="n">
        <f aca="false">IFERROR(H823*1000000/$E823,"")</f>
        <v>125.411484162002</v>
      </c>
      <c r="N823" s="11" t="n">
        <f aca="false">IFERROR(I823*1000000/$E823,"")</f>
        <v>343.370732929821</v>
      </c>
      <c r="O823" s="11" t="n">
        <f aca="false">IFERROR(J823*1000000/$E823,"")</f>
        <v>263.501393561518</v>
      </c>
      <c r="P823" s="16" t="n">
        <f aca="false">COUNTIFS($A$4:$A$1008,$A823,$N$4:$N$1008,"&gt;"&amp;N823)+1</f>
        <v>14</v>
      </c>
      <c r="Q823" s="16" t="n">
        <f aca="false">COUNTIFS($A$4:$A$1008,$A823,$O$4:$O$1008,"&gt;"&amp;O823)+1</f>
        <v>20</v>
      </c>
    </row>
    <row r="824" customFormat="false" ht="15" hidden="false" customHeight="false" outlineLevel="0" collapsed="false">
      <c r="A824" s="7" t="n">
        <v>2021</v>
      </c>
      <c r="B824" s="15" t="s">
        <v>110</v>
      </c>
      <c r="C824" s="15" t="s">
        <v>102</v>
      </c>
      <c r="D824" s="15" t="s">
        <v>103</v>
      </c>
      <c r="E824" s="9" t="n">
        <f aca="false">SUMIFS(Data!$L$2:$L$1006,Data!$A$2:$A$1006,$A824,Data!$B$2:$B$1006,$B824)</f>
        <v>1062269</v>
      </c>
      <c r="F824" s="10" t="n">
        <f aca="false">SUMIFS(Data!$E$2:$E$1006,Data!$A$2:$A$1006,$A824,Data!$B$2:$B$1006,$B824)</f>
        <v>88.249028</v>
      </c>
      <c r="G824" s="10" t="n">
        <f aca="false">SUMIFS(Data!$F$2:$F$1006,Data!$A$2:$A$1006,$A824,Data!$B$2:$B$1006,$B824)</f>
        <v>46.525328</v>
      </c>
      <c r="H824" s="10" t="n">
        <f aca="false">SUMIFS(Data!$G$2:$G$1006,Data!$A$2:$A$1006,$A824,Data!$B$2:$B$1006,$B824)</f>
        <v>92.897741</v>
      </c>
      <c r="I824" s="10" t="n">
        <f aca="false">SUMIFS(Data!$N$2:$N$1006,Data!$A$2:$A$1006,$A824,Data!$B$2:$B$1006,$B824)</f>
        <v>227.672097</v>
      </c>
      <c r="J824" s="10" t="n">
        <f aca="false">SUMIFS(Data!$H$2:$H$1006,Data!$A$2:$A$1006,$A824,Data!$B$2:$B$1006,$B824)</f>
        <v>205.259409</v>
      </c>
      <c r="K824" s="11" t="n">
        <f aca="false">IFERROR(F824*1000000/$E824,"")</f>
        <v>83.0759703992115</v>
      </c>
      <c r="L824" s="11" t="n">
        <f aca="false">IFERROR(G824*1000000/$E824,"")</f>
        <v>43.7980662148665</v>
      </c>
      <c r="M824" s="11" t="n">
        <f aca="false">IFERROR(H824*1000000/$E824,"")</f>
        <v>87.4521811330275</v>
      </c>
      <c r="N824" s="11" t="n">
        <f aca="false">IFERROR(I824*1000000/$E824,"")</f>
        <v>214.326217747106</v>
      </c>
      <c r="O824" s="11" t="n">
        <f aca="false">IFERROR(J824*1000000/$E824,"")</f>
        <v>193.227336013759</v>
      </c>
      <c r="P824" s="16" t="n">
        <f aca="false">COUNTIFS($A$4:$A$1008,$A824,$N$4:$N$1008,"&gt;"&amp;N824)+1</f>
        <v>38</v>
      </c>
      <c r="Q824" s="16" t="n">
        <f aca="false">COUNTIFS($A$4:$A$1008,$A824,$O$4:$O$1008,"&gt;"&amp;O824)+1</f>
        <v>33</v>
      </c>
    </row>
    <row r="825" customFormat="false" ht="15" hidden="false" customHeight="false" outlineLevel="0" collapsed="false">
      <c r="A825" s="7" t="n">
        <v>2021</v>
      </c>
      <c r="B825" s="15" t="s">
        <v>111</v>
      </c>
      <c r="C825" s="15" t="s">
        <v>102</v>
      </c>
      <c r="D825" s="15" t="s">
        <v>107</v>
      </c>
      <c r="E825" s="9" t="n">
        <f aca="false">SUMIFS(Data!$L$2:$L$1006,Data!$A$2:$A$1006,$A825,Data!$B$2:$B$1006,$B825)</f>
        <v>588261</v>
      </c>
      <c r="F825" s="10" t="n">
        <f aca="false">SUMIFS(Data!$E$2:$E$1006,Data!$A$2:$A$1006,$A825,Data!$B$2:$B$1006,$B825)</f>
        <v>67.566861</v>
      </c>
      <c r="G825" s="10" t="n">
        <f aca="false">SUMIFS(Data!$F$2:$F$1006,Data!$A$2:$A$1006,$A825,Data!$B$2:$B$1006,$B825)</f>
        <v>59.820283</v>
      </c>
      <c r="H825" s="10" t="n">
        <f aca="false">SUMIFS(Data!$G$2:$G$1006,Data!$A$2:$A$1006,$A825,Data!$B$2:$B$1006,$B825)</f>
        <v>65.002292</v>
      </c>
      <c r="I825" s="10" t="n">
        <f aca="false">SUMIFS(Data!$N$2:$N$1006,Data!$A$2:$A$1006,$A825,Data!$B$2:$B$1006,$B825)</f>
        <v>192.389436</v>
      </c>
      <c r="J825" s="10" t="n">
        <f aca="false">SUMIFS(Data!$H$2:$H$1006,Data!$A$2:$A$1006,$A825,Data!$B$2:$B$1006,$B825)</f>
        <v>141.851187</v>
      </c>
      <c r="K825" s="11" t="n">
        <f aca="false">IFERROR(F825*1000000/$E825,"")</f>
        <v>114.858644377241</v>
      </c>
      <c r="L825" s="11" t="n">
        <f aca="false">IFERROR(G825*1000000/$E825,"")</f>
        <v>101.690037245372</v>
      </c>
      <c r="M825" s="11" t="n">
        <f aca="false">IFERROR(H825*1000000/$E825,"")</f>
        <v>110.499067590746</v>
      </c>
      <c r="N825" s="11" t="n">
        <f aca="false">IFERROR(I825*1000000/$E825,"")</f>
        <v>327.047749213359</v>
      </c>
      <c r="O825" s="11" t="n">
        <f aca="false">IFERROR(J825*1000000/$E825,"")</f>
        <v>241.136480235814</v>
      </c>
      <c r="P825" s="16" t="n">
        <f aca="false">COUNTIFS($A$4:$A$1008,$A825,$N$4:$N$1008,"&gt;"&amp;N825)+1</f>
        <v>19</v>
      </c>
      <c r="Q825" s="16" t="n">
        <f aca="false">COUNTIFS($A$4:$A$1008,$A825,$O$4:$O$1008,"&gt;"&amp;O825)+1</f>
        <v>29</v>
      </c>
    </row>
    <row r="826" customFormat="false" ht="15" hidden="false" customHeight="false" outlineLevel="0" collapsed="false">
      <c r="A826" s="7" t="n">
        <v>2021</v>
      </c>
      <c r="B826" s="15" t="s">
        <v>112</v>
      </c>
      <c r="C826" s="15" t="s">
        <v>102</v>
      </c>
      <c r="D826" s="15" t="s">
        <v>107</v>
      </c>
      <c r="E826" s="9" t="n">
        <f aca="false">SUMIFS(Data!$L$2:$L$1006,Data!$A$2:$A$1006,$A826,Data!$B$2:$B$1006,$B826)</f>
        <v>169371</v>
      </c>
      <c r="F826" s="10" t="n">
        <f aca="false">SUMIFS(Data!$E$2:$E$1006,Data!$A$2:$A$1006,$A826,Data!$B$2:$B$1006,$B826)</f>
        <v>18.214679</v>
      </c>
      <c r="G826" s="10" t="n">
        <f aca="false">SUMIFS(Data!$F$2:$F$1006,Data!$A$2:$A$1006,$A826,Data!$B$2:$B$1006,$B826)</f>
        <v>16.925656</v>
      </c>
      <c r="H826" s="10" t="n">
        <f aca="false">SUMIFS(Data!$G$2:$G$1006,Data!$A$2:$A$1006,$A826,Data!$B$2:$B$1006,$B826)</f>
        <v>21.453556</v>
      </c>
      <c r="I826" s="10" t="n">
        <f aca="false">SUMIFS(Data!$N$2:$N$1006,Data!$A$2:$A$1006,$A826,Data!$B$2:$B$1006,$B826)</f>
        <v>56.593891</v>
      </c>
      <c r="J826" s="10" t="n">
        <f aca="false">SUMIFS(Data!$H$2:$H$1006,Data!$A$2:$A$1006,$A826,Data!$B$2:$B$1006,$B826)</f>
        <v>42.832543</v>
      </c>
      <c r="K826" s="11" t="n">
        <f aca="false">IFERROR(F826*1000000/$E826,"")</f>
        <v>107.543079984177</v>
      </c>
      <c r="L826" s="11" t="n">
        <f aca="false">IFERROR(G826*1000000/$E826,"")</f>
        <v>99.932432352646</v>
      </c>
      <c r="M826" s="11" t="n">
        <f aca="false">IFERROR(H826*1000000/$E826,"")</f>
        <v>126.666052630025</v>
      </c>
      <c r="N826" s="11" t="n">
        <f aca="false">IFERROR(I826*1000000/$E826,"")</f>
        <v>334.141564966848</v>
      </c>
      <c r="O826" s="11" t="n">
        <f aca="false">IFERROR(J826*1000000/$E826,"")</f>
        <v>252.891835083928</v>
      </c>
      <c r="P826" s="16" t="n">
        <f aca="false">COUNTIFS($A$4:$A$1008,$A826,$N$4:$N$1008,"&gt;"&amp;N826)+1</f>
        <v>17</v>
      </c>
      <c r="Q826" s="16" t="n">
        <f aca="false">COUNTIFS($A$4:$A$1008,$A826,$O$4:$O$1008,"&gt;"&amp;O826)+1</f>
        <v>23</v>
      </c>
    </row>
    <row r="827" customFormat="false" ht="15" hidden="false" customHeight="false" outlineLevel="0" collapsed="false">
      <c r="A827" s="7" t="n">
        <v>2021</v>
      </c>
      <c r="B827" s="15" t="s">
        <v>113</v>
      </c>
      <c r="C827" s="15" t="s">
        <v>102</v>
      </c>
      <c r="D827" s="15" t="s">
        <v>114</v>
      </c>
      <c r="E827" s="9" t="n">
        <f aca="false">SUMIFS(Data!$L$2:$L$1006,Data!$A$2:$A$1006,$A827,Data!$B$2:$B$1006,$B827)</f>
        <v>429677</v>
      </c>
      <c r="F827" s="10" t="n">
        <f aca="false">SUMIFS(Data!$E$2:$E$1006,Data!$A$2:$A$1006,$A827,Data!$B$2:$B$1006,$B827)</f>
        <v>45.939112</v>
      </c>
      <c r="G827" s="10" t="n">
        <f aca="false">SUMIFS(Data!$F$2:$F$1006,Data!$A$2:$A$1006,$A827,Data!$B$2:$B$1006,$B827)</f>
        <v>14.536081</v>
      </c>
      <c r="H827" s="10" t="n">
        <f aca="false">SUMIFS(Data!$G$2:$G$1006,Data!$A$2:$A$1006,$A827,Data!$B$2:$B$1006,$B827)</f>
        <v>47.475342</v>
      </c>
      <c r="I827" s="10" t="n">
        <f aca="false">SUMIFS(Data!$N$2:$N$1006,Data!$A$2:$A$1006,$A827,Data!$B$2:$B$1006,$B827)</f>
        <v>107.950535</v>
      </c>
      <c r="J827" s="10" t="n">
        <f aca="false">SUMIFS(Data!$H$2:$H$1006,Data!$A$2:$A$1006,$A827,Data!$B$2:$B$1006,$B827)</f>
        <v>97.971718</v>
      </c>
      <c r="K827" s="11" t="n">
        <f aca="false">IFERROR(F827*1000000/$E827,"")</f>
        <v>106.915455097666</v>
      </c>
      <c r="L827" s="11" t="n">
        <f aca="false">IFERROR(G827*1000000/$E827,"")</f>
        <v>33.8302515610563</v>
      </c>
      <c r="M827" s="11" t="n">
        <f aca="false">IFERROR(H827*1000000/$E827,"")</f>
        <v>110.490768647147</v>
      </c>
      <c r="N827" s="11" t="n">
        <f aca="false">IFERROR(I827*1000000/$E827,"")</f>
        <v>251.236475305869</v>
      </c>
      <c r="O827" s="11" t="n">
        <f aca="false">IFERROR(J827*1000000/$E827,"")</f>
        <v>228.012479141308</v>
      </c>
      <c r="P827" s="16" t="n">
        <f aca="false">COUNTIFS($A$4:$A$1008,$A827,$N$4:$N$1008,"&gt;"&amp;N827)+1</f>
        <v>35</v>
      </c>
      <c r="Q827" s="16" t="n">
        <f aca="false">COUNTIFS($A$4:$A$1008,$A827,$O$4:$O$1008,"&gt;"&amp;O827)+1</f>
        <v>31</v>
      </c>
    </row>
    <row r="828" customFormat="false" ht="15" hidden="false" customHeight="false" outlineLevel="0" collapsed="false">
      <c r="A828" s="7" t="n">
        <v>2021</v>
      </c>
      <c r="B828" s="15" t="s">
        <v>115</v>
      </c>
      <c r="C828" s="15" t="s">
        <v>102</v>
      </c>
      <c r="D828" s="15" t="s">
        <v>103</v>
      </c>
      <c r="E828" s="9" t="n">
        <f aca="false">SUMIFS(Data!$L$2:$L$1006,Data!$A$2:$A$1006,$A828,Data!$B$2:$B$1006,$B828)</f>
        <v>314440</v>
      </c>
      <c r="F828" s="10" t="n">
        <f aca="false">SUMIFS(Data!$E$2:$E$1006,Data!$A$2:$A$1006,$A828,Data!$B$2:$B$1006,$B828)</f>
        <v>24.524833</v>
      </c>
      <c r="G828" s="10" t="n">
        <f aca="false">SUMIFS(Data!$F$2:$F$1006,Data!$A$2:$A$1006,$A828,Data!$B$2:$B$1006,$B828)</f>
        <v>16.750422</v>
      </c>
      <c r="H828" s="10" t="n">
        <f aca="false">SUMIFS(Data!$G$2:$G$1006,Data!$A$2:$A$1006,$A828,Data!$B$2:$B$1006,$B828)</f>
        <v>36.583227</v>
      </c>
      <c r="I828" s="10" t="n">
        <f aca="false">SUMIFS(Data!$N$2:$N$1006,Data!$A$2:$A$1006,$A828,Data!$B$2:$B$1006,$B828)</f>
        <v>77.858482</v>
      </c>
      <c r="J828" s="10" t="n">
        <f aca="false">SUMIFS(Data!$H$2:$H$1006,Data!$A$2:$A$1006,$A828,Data!$B$2:$B$1006,$B828)</f>
        <v>63.472288</v>
      </c>
      <c r="K828" s="11" t="n">
        <f aca="false">IFERROR(F828*1000000/$E828,"")</f>
        <v>77.9952709578934</v>
      </c>
      <c r="L828" s="11" t="n">
        <f aca="false">IFERROR(G828*1000000/$E828,"")</f>
        <v>53.2706462282152</v>
      </c>
      <c r="M828" s="11" t="n">
        <f aca="false">IFERROR(H828*1000000/$E828,"")</f>
        <v>116.344062460247</v>
      </c>
      <c r="N828" s="11" t="n">
        <f aca="false">IFERROR(I828*1000000/$E828,"")</f>
        <v>247.609979646355</v>
      </c>
      <c r="O828" s="11" t="n">
        <f aca="false">IFERROR(J828*1000000/$E828,"")</f>
        <v>201.858185981427</v>
      </c>
      <c r="P828" s="16" t="n">
        <f aca="false">COUNTIFS($A$4:$A$1008,$A828,$N$4:$N$1008,"&gt;"&amp;N828)+1</f>
        <v>36</v>
      </c>
      <c r="Q828" s="16" t="n">
        <f aca="false">COUNTIFS($A$4:$A$1008,$A828,$O$4:$O$1008,"&gt;"&amp;O828)+1</f>
        <v>32</v>
      </c>
    </row>
    <row r="829" customFormat="false" ht="15" hidden="false" customHeight="false" outlineLevel="0" collapsed="false">
      <c r="A829" s="7" t="n">
        <v>2021</v>
      </c>
      <c r="B829" s="15" t="s">
        <v>116</v>
      </c>
      <c r="C829" s="15" t="s">
        <v>102</v>
      </c>
      <c r="D829" s="15" t="s">
        <v>107</v>
      </c>
      <c r="E829" s="9" t="n">
        <f aca="false">SUMIFS(Data!$L$2:$L$1006,Data!$A$2:$A$1006,$A829,Data!$B$2:$B$1006,$B829)</f>
        <v>733761</v>
      </c>
      <c r="F829" s="10" t="n">
        <f aca="false">SUMIFS(Data!$E$2:$E$1006,Data!$A$2:$A$1006,$A829,Data!$B$2:$B$1006,$B829)</f>
        <v>78.243131</v>
      </c>
      <c r="G829" s="10" t="n">
        <f aca="false">SUMIFS(Data!$F$2:$F$1006,Data!$A$2:$A$1006,$A829,Data!$B$2:$B$1006,$B829)</f>
        <v>58.060562</v>
      </c>
      <c r="H829" s="10" t="n">
        <f aca="false">SUMIFS(Data!$G$2:$G$1006,Data!$A$2:$A$1006,$A829,Data!$B$2:$B$1006,$B829)</f>
        <v>66.219129</v>
      </c>
      <c r="I829" s="10" t="n">
        <f aca="false">SUMIFS(Data!$N$2:$N$1006,Data!$A$2:$A$1006,$A829,Data!$B$2:$B$1006,$B829)</f>
        <v>202.522822</v>
      </c>
      <c r="J829" s="10" t="n">
        <f aca="false">SUMIFS(Data!$H$2:$H$1006,Data!$A$2:$A$1006,$A829,Data!$B$2:$B$1006,$B829)</f>
        <v>134.983206</v>
      </c>
      <c r="K829" s="11" t="n">
        <f aca="false">IFERROR(F829*1000000/$E829,"")</f>
        <v>106.632992214086</v>
      </c>
      <c r="L829" s="11" t="n">
        <f aca="false">IFERROR(G829*1000000/$E829,"")</f>
        <v>79.1273480056858</v>
      </c>
      <c r="M829" s="11" t="n">
        <f aca="false">IFERROR(H829*1000000/$E829,"")</f>
        <v>90.2461823400262</v>
      </c>
      <c r="N829" s="11" t="n">
        <f aca="false">IFERROR(I829*1000000/$E829,"")</f>
        <v>276.006522559798</v>
      </c>
      <c r="O829" s="11" t="n">
        <f aca="false">IFERROR(J829*1000000/$E829,"")</f>
        <v>183.96072563137</v>
      </c>
      <c r="P829" s="16" t="n">
        <f aca="false">COUNTIFS($A$4:$A$1008,$A829,$N$4:$N$1008,"&gt;"&amp;N829)+1</f>
        <v>29</v>
      </c>
      <c r="Q829" s="16" t="n">
        <f aca="false">COUNTIFS($A$4:$A$1008,$A829,$O$4:$O$1008,"&gt;"&amp;O829)+1</f>
        <v>35</v>
      </c>
    </row>
    <row r="830" customFormat="false" ht="15" hidden="false" customHeight="false" outlineLevel="0" collapsed="false">
      <c r="A830" s="7" t="n">
        <v>2021</v>
      </c>
      <c r="B830" s="15" t="s">
        <v>117</v>
      </c>
      <c r="C830" s="15" t="s">
        <v>118</v>
      </c>
      <c r="D830" s="15" t="s">
        <v>103</v>
      </c>
      <c r="E830" s="9" t="n">
        <f aca="false">SUMIFS(Data!$L$2:$L$1006,Data!$A$2:$A$1006,$A830,Data!$B$2:$B$1006,$B830)</f>
        <v>1511444</v>
      </c>
      <c r="F830" s="10" t="n">
        <f aca="false">SUMIFS(Data!$E$2:$E$1006,Data!$A$2:$A$1006,$A830,Data!$B$2:$B$1006,$B830)</f>
        <v>187.848983</v>
      </c>
      <c r="G830" s="10" t="n">
        <f aca="false">SUMIFS(Data!$F$2:$F$1006,Data!$A$2:$A$1006,$A830,Data!$B$2:$B$1006,$B830)</f>
        <v>116.844983</v>
      </c>
      <c r="H830" s="10" t="n">
        <f aca="false">SUMIFS(Data!$G$2:$G$1006,Data!$A$2:$A$1006,$A830,Data!$B$2:$B$1006,$B830)</f>
        <v>179.242741</v>
      </c>
      <c r="I830" s="10" t="n">
        <f aca="false">SUMIFS(Data!$N$2:$N$1006,Data!$A$2:$A$1006,$A830,Data!$B$2:$B$1006,$B830)</f>
        <v>483.936707</v>
      </c>
      <c r="J830" s="10" t="n">
        <f aca="false">SUMIFS(Data!$H$2:$H$1006,Data!$A$2:$A$1006,$A830,Data!$B$2:$B$1006,$B830)</f>
        <v>434.32266</v>
      </c>
      <c r="K830" s="11" t="n">
        <f aca="false">IFERROR(F830*1000000/$E830,"")</f>
        <v>124.284447852517</v>
      </c>
      <c r="L830" s="11" t="n">
        <f aca="false">IFERROR(G830*1000000/$E830,"")</f>
        <v>77.3068555632892</v>
      </c>
      <c r="M830" s="11" t="n">
        <f aca="false">IFERROR(H830*1000000/$E830,"")</f>
        <v>118.590395012981</v>
      </c>
      <c r="N830" s="11" t="n">
        <f aca="false">IFERROR(I830*1000000/$E830,"")</f>
        <v>320.181698428787</v>
      </c>
      <c r="O830" s="11" t="n">
        <f aca="false">IFERROR(J830*1000000/$E830,"")</f>
        <v>287.356104493451</v>
      </c>
      <c r="P830" s="16" t="n">
        <f aca="false">COUNTIFS($A$4:$A$1008,$A830,$N$4:$N$1008,"&gt;"&amp;N830)+1</f>
        <v>24</v>
      </c>
      <c r="Q830" s="16" t="n">
        <f aca="false">COUNTIFS($A$4:$A$1008,$A830,$O$4:$O$1008,"&gt;"&amp;O830)+1</f>
        <v>15</v>
      </c>
    </row>
    <row r="831" customFormat="false" ht="15" hidden="false" customHeight="false" outlineLevel="0" collapsed="false">
      <c r="A831" s="7" t="n">
        <v>2021</v>
      </c>
      <c r="B831" s="15" t="s">
        <v>119</v>
      </c>
      <c r="C831" s="15" t="s">
        <v>118</v>
      </c>
      <c r="D831" s="15" t="s">
        <v>103</v>
      </c>
      <c r="E831" s="9" t="n">
        <f aca="false">SUMIFS(Data!$L$2:$L$1006,Data!$A$2:$A$1006,$A831,Data!$B$2:$B$1006,$B831)</f>
        <v>534192</v>
      </c>
      <c r="F831" s="10" t="n">
        <f aca="false">SUMIFS(Data!$E$2:$E$1006,Data!$A$2:$A$1006,$A831,Data!$B$2:$B$1006,$B831)</f>
        <v>46.869013</v>
      </c>
      <c r="G831" s="10" t="n">
        <f aca="false">SUMIFS(Data!$F$2:$F$1006,Data!$A$2:$A$1006,$A831,Data!$B$2:$B$1006,$B831)</f>
        <v>26.364185</v>
      </c>
      <c r="H831" s="10" t="n">
        <f aca="false">SUMIFS(Data!$G$2:$G$1006,Data!$A$2:$A$1006,$A831,Data!$B$2:$B$1006,$B831)</f>
        <v>61.012545</v>
      </c>
      <c r="I831" s="10" t="n">
        <f aca="false">SUMIFS(Data!$N$2:$N$1006,Data!$A$2:$A$1006,$A831,Data!$B$2:$B$1006,$B831)</f>
        <v>134.245743</v>
      </c>
      <c r="J831" s="10" t="n">
        <f aca="false">SUMIFS(Data!$H$2:$H$1006,Data!$A$2:$A$1006,$A831,Data!$B$2:$B$1006,$B831)</f>
        <v>94.640231</v>
      </c>
      <c r="K831" s="11" t="n">
        <f aca="false">IFERROR(F831*1000000/$E831,"")</f>
        <v>87.7381409680415</v>
      </c>
      <c r="L831" s="11" t="n">
        <f aca="false">IFERROR(G831*1000000/$E831,"")</f>
        <v>49.3533879204481</v>
      </c>
      <c r="M831" s="11" t="n">
        <f aca="false">IFERROR(H831*1000000/$E831,"")</f>
        <v>114.21463631054</v>
      </c>
      <c r="N831" s="11" t="n">
        <f aca="false">IFERROR(I831*1000000/$E831,"")</f>
        <v>251.30616519903</v>
      </c>
      <c r="O831" s="11" t="n">
        <f aca="false">IFERROR(J831*1000000/$E831,"")</f>
        <v>177.165197157576</v>
      </c>
      <c r="P831" s="16" t="n">
        <f aca="false">COUNTIFS($A$4:$A$1008,$A831,$N$4:$N$1008,"&gt;"&amp;N831)+1</f>
        <v>34</v>
      </c>
      <c r="Q831" s="16" t="n">
        <f aca="false">COUNTIFS($A$4:$A$1008,$A831,$O$4:$O$1008,"&gt;"&amp;O831)+1</f>
        <v>36</v>
      </c>
    </row>
    <row r="832" customFormat="false" ht="15" hidden="false" customHeight="false" outlineLevel="0" collapsed="false">
      <c r="A832" s="7" t="n">
        <v>2021</v>
      </c>
      <c r="B832" s="15" t="s">
        <v>120</v>
      </c>
      <c r="C832" s="15" t="s">
        <v>118</v>
      </c>
      <c r="D832" s="15" t="s">
        <v>121</v>
      </c>
      <c r="E832" s="9" t="n">
        <f aca="false">SUMIFS(Data!$L$2:$L$1006,Data!$A$2:$A$1006,$A832,Data!$B$2:$B$1006,$B832)</f>
        <v>964442</v>
      </c>
      <c r="F832" s="10" t="n">
        <f aca="false">SUMIFS(Data!$E$2:$E$1006,Data!$A$2:$A$1006,$A832,Data!$B$2:$B$1006,$B832)</f>
        <v>161.769073</v>
      </c>
      <c r="G832" s="10" t="n">
        <f aca="false">SUMIFS(Data!$F$2:$F$1006,Data!$A$2:$A$1006,$A832,Data!$B$2:$B$1006,$B832)</f>
        <v>50.25959</v>
      </c>
      <c r="H832" s="10" t="n">
        <f aca="false">SUMIFS(Data!$G$2:$G$1006,Data!$A$2:$A$1006,$A832,Data!$B$2:$B$1006,$B832)</f>
        <v>162.137505</v>
      </c>
      <c r="I832" s="10" t="n">
        <f aca="false">SUMIFS(Data!$N$2:$N$1006,Data!$A$2:$A$1006,$A832,Data!$B$2:$B$1006,$B832)</f>
        <v>374.166168</v>
      </c>
      <c r="J832" s="10" t="n">
        <f aca="false">SUMIFS(Data!$H$2:$H$1006,Data!$A$2:$A$1006,$A832,Data!$B$2:$B$1006,$B832)</f>
        <v>272.142613</v>
      </c>
      <c r="K832" s="11" t="n">
        <f aca="false">IFERROR(F832*1000000/$E832,"")</f>
        <v>167.733334923199</v>
      </c>
      <c r="L832" s="11" t="n">
        <f aca="false">IFERROR(G832*1000000/$E832,"")</f>
        <v>52.1126101932516</v>
      </c>
      <c r="M832" s="11" t="n">
        <f aca="false">IFERROR(H832*1000000/$E832,"")</f>
        <v>168.115350637986</v>
      </c>
      <c r="N832" s="11" t="n">
        <f aca="false">IFERROR(I832*1000000/$E832,"")</f>
        <v>387.961295754436</v>
      </c>
      <c r="O832" s="11" t="n">
        <f aca="false">IFERROR(J832*1000000/$E832,"")</f>
        <v>282.176235584929</v>
      </c>
      <c r="P832" s="16" t="n">
        <f aca="false">COUNTIFS($A$4:$A$1008,$A832,$N$4:$N$1008,"&gt;"&amp;N832)+1</f>
        <v>10</v>
      </c>
      <c r="Q832" s="16" t="n">
        <f aca="false">COUNTIFS($A$4:$A$1008,$A832,$O$4:$O$1008,"&gt;"&amp;O832)+1</f>
        <v>16</v>
      </c>
    </row>
    <row r="833" customFormat="false" ht="15" hidden="false" customHeight="false" outlineLevel="0" collapsed="false">
      <c r="A833" s="7" t="n">
        <v>2021</v>
      </c>
      <c r="B833" s="15" t="s">
        <v>122</v>
      </c>
      <c r="C833" s="15" t="s">
        <v>118</v>
      </c>
      <c r="D833" s="15" t="s">
        <v>105</v>
      </c>
      <c r="E833" s="9" t="n">
        <f aca="false">SUMIFS(Data!$L$2:$L$1006,Data!$A$2:$A$1006,$A833,Data!$B$2:$B$1006,$B833)</f>
        <v>564929</v>
      </c>
      <c r="F833" s="10" t="n">
        <f aca="false">SUMIFS(Data!$E$2:$E$1006,Data!$A$2:$A$1006,$A833,Data!$B$2:$B$1006,$B833)</f>
        <v>102.317965</v>
      </c>
      <c r="G833" s="10" t="n">
        <f aca="false">SUMIFS(Data!$F$2:$F$1006,Data!$A$2:$A$1006,$A833,Data!$B$2:$B$1006,$B833)</f>
        <v>107.266083</v>
      </c>
      <c r="H833" s="10" t="n">
        <f aca="false">SUMIFS(Data!$G$2:$G$1006,Data!$A$2:$A$1006,$A833,Data!$B$2:$B$1006,$B833)</f>
        <v>86.975746</v>
      </c>
      <c r="I833" s="10" t="n">
        <f aca="false">SUMIFS(Data!$N$2:$N$1006,Data!$A$2:$A$1006,$A833,Data!$B$2:$B$1006,$B833)</f>
        <v>296.559794</v>
      </c>
      <c r="J833" s="10" t="n">
        <f aca="false">SUMIFS(Data!$H$2:$H$1006,Data!$A$2:$A$1006,$A833,Data!$B$2:$B$1006,$B833)</f>
        <v>166.637258</v>
      </c>
      <c r="K833" s="11" t="n">
        <f aca="false">IFERROR(F833*1000000/$E833,"")</f>
        <v>181.116503135792</v>
      </c>
      <c r="L833" s="11" t="n">
        <f aca="false">IFERROR(G833*1000000/$E833,"")</f>
        <v>189.875334776583</v>
      </c>
      <c r="M833" s="11" t="n">
        <f aca="false">IFERROR(H833*1000000/$E833,"")</f>
        <v>153.958720476378</v>
      </c>
      <c r="N833" s="11" t="n">
        <f aca="false">IFERROR(I833*1000000/$E833,"")</f>
        <v>524.950558388753</v>
      </c>
      <c r="O833" s="11" t="n">
        <f aca="false">IFERROR(J833*1000000/$E833,"")</f>
        <v>294.970267060108</v>
      </c>
      <c r="P833" s="16" t="n">
        <f aca="false">COUNTIFS($A$4:$A$1008,$A833,$N$4:$N$1008,"&gt;"&amp;N833)+1</f>
        <v>2</v>
      </c>
      <c r="Q833" s="16" t="n">
        <f aca="false">COUNTIFS($A$4:$A$1008,$A833,$O$4:$O$1008,"&gt;"&amp;O833)+1</f>
        <v>14</v>
      </c>
    </row>
    <row r="834" customFormat="false" ht="15" hidden="false" customHeight="false" outlineLevel="0" collapsed="false">
      <c r="A834" s="7" t="n">
        <v>2021</v>
      </c>
      <c r="B834" s="15" t="s">
        <v>123</v>
      </c>
      <c r="C834" s="15" t="s">
        <v>118</v>
      </c>
      <c r="D834" s="15" t="s">
        <v>124</v>
      </c>
      <c r="E834" s="9" t="n">
        <f aca="false">SUMIFS(Data!$L$2:$L$1006,Data!$A$2:$A$1006,$A834,Data!$B$2:$B$1006,$B834)</f>
        <v>1320806</v>
      </c>
      <c r="F834" s="10" t="n">
        <f aca="false">SUMIFS(Data!$E$2:$E$1006,Data!$A$2:$A$1006,$A834,Data!$B$2:$B$1006,$B834)</f>
        <v>232.971354</v>
      </c>
      <c r="G834" s="10" t="n">
        <f aca="false">SUMIFS(Data!$F$2:$F$1006,Data!$A$2:$A$1006,$A834,Data!$B$2:$B$1006,$B834)</f>
        <v>58.409083</v>
      </c>
      <c r="H834" s="10" t="n">
        <f aca="false">SUMIFS(Data!$G$2:$G$1006,Data!$A$2:$A$1006,$A834,Data!$B$2:$B$1006,$B834)</f>
        <v>166.78289</v>
      </c>
      <c r="I834" s="10" t="n">
        <f aca="false">SUMIFS(Data!$N$2:$N$1006,Data!$A$2:$A$1006,$A834,Data!$B$2:$B$1006,$B834)</f>
        <v>458.163327</v>
      </c>
      <c r="J834" s="10" t="n">
        <f aca="false">SUMIFS(Data!$H$2:$H$1006,Data!$A$2:$A$1006,$A834,Data!$B$2:$B$1006,$B834)</f>
        <v>331.140122</v>
      </c>
      <c r="K834" s="11" t="n">
        <f aca="false">IFERROR(F834*1000000/$E834,"")</f>
        <v>176.385747793393</v>
      </c>
      <c r="L834" s="11" t="n">
        <f aca="false">IFERROR(G834*1000000/$E834,"")</f>
        <v>44.2223028968675</v>
      </c>
      <c r="M834" s="11" t="n">
        <f aca="false">IFERROR(H834*1000000/$E834,"")</f>
        <v>126.273570834778</v>
      </c>
      <c r="N834" s="11" t="n">
        <f aca="false">IFERROR(I834*1000000/$E834,"")</f>
        <v>346.881621525039</v>
      </c>
      <c r="O834" s="11" t="n">
        <f aca="false">IFERROR(J834*1000000/$E834,"")</f>
        <v>250.710643349591</v>
      </c>
      <c r="P834" s="16" t="n">
        <f aca="false">COUNTIFS($A$4:$A$1008,$A834,$N$4:$N$1008,"&gt;"&amp;N834)+1</f>
        <v>12</v>
      </c>
      <c r="Q834" s="16" t="n">
        <f aca="false">COUNTIFS($A$4:$A$1008,$A834,$O$4:$O$1008,"&gt;"&amp;O834)+1</f>
        <v>24</v>
      </c>
    </row>
    <row r="835" customFormat="false" ht="15" hidden="false" customHeight="false" outlineLevel="0" collapsed="false">
      <c r="A835" s="7" t="n">
        <v>2021</v>
      </c>
      <c r="B835" s="15" t="s">
        <v>125</v>
      </c>
      <c r="C835" s="15" t="s">
        <v>118</v>
      </c>
      <c r="D835" s="15" t="s">
        <v>126</v>
      </c>
      <c r="E835" s="9" t="n">
        <f aca="false">SUMIFS(Data!$L$2:$L$1006,Data!$A$2:$A$1006,$A835,Data!$B$2:$B$1006,$B835)</f>
        <v>539708</v>
      </c>
      <c r="F835" s="10" t="n">
        <f aca="false">SUMIFS(Data!$E$2:$E$1006,Data!$A$2:$A$1006,$A835,Data!$B$2:$B$1006,$B835)</f>
        <v>95.264267</v>
      </c>
      <c r="G835" s="10" t="n">
        <f aca="false">SUMIFS(Data!$F$2:$F$1006,Data!$A$2:$A$1006,$A835,Data!$B$2:$B$1006,$B835)</f>
        <v>61.915364</v>
      </c>
      <c r="H835" s="10" t="n">
        <f aca="false">SUMIFS(Data!$G$2:$G$1006,Data!$A$2:$A$1006,$A835,Data!$B$2:$B$1006,$B835)</f>
        <v>75.062381</v>
      </c>
      <c r="I835" s="10" t="n">
        <f aca="false">SUMIFS(Data!$N$2:$N$1006,Data!$A$2:$A$1006,$A835,Data!$B$2:$B$1006,$B835)</f>
        <v>232.242012</v>
      </c>
      <c r="J835" s="10" t="n">
        <f aca="false">SUMIFS(Data!$H$2:$H$1006,Data!$A$2:$A$1006,$A835,Data!$B$2:$B$1006,$B835)</f>
        <v>149.856617</v>
      </c>
      <c r="K835" s="11" t="n">
        <f aca="false">IFERROR(F835*1000000/$E835,"")</f>
        <v>176.510755816108</v>
      </c>
      <c r="L835" s="11" t="n">
        <f aca="false">IFERROR(G835*1000000/$E835,"")</f>
        <v>114.720115321618</v>
      </c>
      <c r="M835" s="11" t="n">
        <f aca="false">IFERROR(H835*1000000/$E835,"")</f>
        <v>139.079615273444</v>
      </c>
      <c r="N835" s="11" t="n">
        <f aca="false">IFERROR(I835*1000000/$E835,"")</f>
        <v>430.310486411171</v>
      </c>
      <c r="O835" s="11" t="n">
        <f aca="false">IFERROR(J835*1000000/$E835,"")</f>
        <v>277.662397073973</v>
      </c>
      <c r="P835" s="16" t="n">
        <f aca="false">COUNTIFS($A$4:$A$1008,$A835,$N$4:$N$1008,"&gt;"&amp;N835)+1</f>
        <v>5</v>
      </c>
      <c r="Q835" s="16" t="n">
        <f aca="false">COUNTIFS($A$4:$A$1008,$A835,$O$4:$O$1008,"&gt;"&amp;O835)+1</f>
        <v>18</v>
      </c>
    </row>
    <row r="836" customFormat="false" ht="15" hidden="false" customHeight="false" outlineLevel="0" collapsed="false">
      <c r="A836" s="7" t="n">
        <v>2021</v>
      </c>
      <c r="B836" s="15" t="s">
        <v>127</v>
      </c>
      <c r="C836" s="15" t="s">
        <v>118</v>
      </c>
      <c r="D836" s="15" t="s">
        <v>103</v>
      </c>
      <c r="E836" s="9" t="n">
        <f aca="false">SUMIFS(Data!$L$2:$L$1006,Data!$A$2:$A$1006,$A836,Data!$B$2:$B$1006,$B836)</f>
        <v>735922</v>
      </c>
      <c r="F836" s="10" t="n">
        <f aca="false">SUMIFS(Data!$E$2:$E$1006,Data!$A$2:$A$1006,$A836,Data!$B$2:$B$1006,$B836)</f>
        <v>66.752532</v>
      </c>
      <c r="G836" s="10" t="n">
        <f aca="false">SUMIFS(Data!$F$2:$F$1006,Data!$A$2:$A$1006,$A836,Data!$B$2:$B$1006,$B836)</f>
        <v>23.144178</v>
      </c>
      <c r="H836" s="10" t="n">
        <f aca="false">SUMIFS(Data!$G$2:$G$1006,Data!$A$2:$A$1006,$A836,Data!$B$2:$B$1006,$B836)</f>
        <v>82.922</v>
      </c>
      <c r="I836" s="10" t="n">
        <f aca="false">SUMIFS(Data!$N$2:$N$1006,Data!$A$2:$A$1006,$A836,Data!$B$2:$B$1006,$B836)</f>
        <v>172.81871</v>
      </c>
      <c r="J836" s="10" t="n">
        <f aca="false">SUMIFS(Data!$H$2:$H$1006,Data!$A$2:$A$1006,$A836,Data!$B$2:$B$1006,$B836)</f>
        <v>203.229123</v>
      </c>
      <c r="K836" s="11" t="n">
        <f aca="false">IFERROR(F836*1000000/$E836,"")</f>
        <v>90.7059878628442</v>
      </c>
      <c r="L836" s="11" t="n">
        <f aca="false">IFERROR(G836*1000000/$E836,"")</f>
        <v>31.4492269561176</v>
      </c>
      <c r="M836" s="11" t="n">
        <f aca="false">IFERROR(H836*1000000/$E836,"")</f>
        <v>112.677702256489</v>
      </c>
      <c r="N836" s="11" t="n">
        <f aca="false">IFERROR(I836*1000000/$E836,"")</f>
        <v>234.832917075451</v>
      </c>
      <c r="O836" s="11" t="n">
        <f aca="false">IFERROR(J836*1000000/$E836,"")</f>
        <v>276.155792325817</v>
      </c>
      <c r="P836" s="16" t="n">
        <f aca="false">COUNTIFS($A$4:$A$1008,$A836,$N$4:$N$1008,"&gt;"&amp;N836)+1</f>
        <v>37</v>
      </c>
      <c r="Q836" s="16" t="n">
        <f aca="false">COUNTIFS($A$4:$A$1008,$A836,$O$4:$O$1008,"&gt;"&amp;O836)+1</f>
        <v>19</v>
      </c>
    </row>
    <row r="837" customFormat="false" ht="15" hidden="false" customHeight="false" outlineLevel="0" collapsed="false">
      <c r="A837" s="7" t="n">
        <v>2021</v>
      </c>
      <c r="B837" s="15" t="s">
        <v>128</v>
      </c>
      <c r="C837" s="15" t="s">
        <v>118</v>
      </c>
      <c r="D837" s="15" t="s">
        <v>107</v>
      </c>
      <c r="E837" s="9" t="n">
        <f aca="false">SUMIFS(Data!$L$2:$L$1006,Data!$A$2:$A$1006,$A837,Data!$B$2:$B$1006,$B837)</f>
        <v>606085</v>
      </c>
      <c r="F837" s="10" t="n">
        <f aca="false">SUMIFS(Data!$E$2:$E$1006,Data!$A$2:$A$1006,$A837,Data!$B$2:$B$1006,$B837)</f>
        <v>55.502606</v>
      </c>
      <c r="G837" s="10" t="n">
        <f aca="false">SUMIFS(Data!$F$2:$F$1006,Data!$A$2:$A$1006,$A837,Data!$B$2:$B$1006,$B837)</f>
        <v>45.473553</v>
      </c>
      <c r="H837" s="10" t="n">
        <f aca="false">SUMIFS(Data!$G$2:$G$1006,Data!$A$2:$A$1006,$A837,Data!$B$2:$B$1006,$B837)</f>
        <v>94.066495</v>
      </c>
      <c r="I837" s="10" t="n">
        <f aca="false">SUMIFS(Data!$N$2:$N$1006,Data!$A$2:$A$1006,$A837,Data!$B$2:$B$1006,$B837)</f>
        <v>195.042654</v>
      </c>
      <c r="J837" s="10" t="n">
        <f aca="false">SUMIFS(Data!$H$2:$H$1006,Data!$A$2:$A$1006,$A837,Data!$B$2:$B$1006,$B837)</f>
        <v>211.898417</v>
      </c>
      <c r="K837" s="11" t="n">
        <f aca="false">IFERROR(F837*1000000/$E837,"")</f>
        <v>91.5756139815372</v>
      </c>
      <c r="L837" s="11" t="n">
        <f aca="false">IFERROR(G837*1000000/$E837,"")</f>
        <v>75.028342559212</v>
      </c>
      <c r="M837" s="11" t="n">
        <f aca="false">IFERROR(H837*1000000/$E837,"")</f>
        <v>155.20346981034</v>
      </c>
      <c r="N837" s="11" t="n">
        <f aca="false">IFERROR(I837*1000000/$E837,"")</f>
        <v>321.807426351089</v>
      </c>
      <c r="O837" s="11" t="n">
        <f aca="false">IFERROR(J837*1000000/$E837,"")</f>
        <v>349.618315912785</v>
      </c>
      <c r="P837" s="16" t="n">
        <f aca="false">COUNTIFS($A$4:$A$1008,$A837,$N$4:$N$1008,"&gt;"&amp;N837)+1</f>
        <v>23</v>
      </c>
      <c r="Q837" s="16" t="n">
        <f aca="false">COUNTIFS($A$4:$A$1008,$A837,$O$4:$O$1008,"&gt;"&amp;O837)+1</f>
        <v>12</v>
      </c>
    </row>
    <row r="838" customFormat="false" ht="15" hidden="false" customHeight="false" outlineLevel="0" collapsed="false">
      <c r="A838" s="7" t="n">
        <v>2021</v>
      </c>
      <c r="B838" s="15" t="s">
        <v>129</v>
      </c>
      <c r="C838" s="15" t="s">
        <v>118</v>
      </c>
      <c r="D838" s="15" t="s">
        <v>107</v>
      </c>
      <c r="E838" s="9" t="n">
        <f aca="false">SUMIFS(Data!$L$2:$L$1006,Data!$A$2:$A$1006,$A838,Data!$B$2:$B$1006,$B838)</f>
        <v>1681439</v>
      </c>
      <c r="F838" s="10" t="n">
        <f aca="false">SUMIFS(Data!$E$2:$E$1006,Data!$A$2:$A$1006,$A838,Data!$B$2:$B$1006,$B838)</f>
        <v>358.282399</v>
      </c>
      <c r="G838" s="10" t="n">
        <f aca="false">SUMIFS(Data!$F$2:$F$1006,Data!$A$2:$A$1006,$A838,Data!$B$2:$B$1006,$B838)</f>
        <v>190.245794</v>
      </c>
      <c r="H838" s="10" t="n">
        <f aca="false">SUMIFS(Data!$G$2:$G$1006,Data!$A$2:$A$1006,$A838,Data!$B$2:$B$1006,$B838)</f>
        <v>158.588363</v>
      </c>
      <c r="I838" s="10" t="n">
        <f aca="false">SUMIFS(Data!$N$2:$N$1006,Data!$A$2:$A$1006,$A838,Data!$B$2:$B$1006,$B838)</f>
        <v>707.116556</v>
      </c>
      <c r="J838" s="10" t="n">
        <f aca="false">SUMIFS(Data!$H$2:$H$1006,Data!$A$2:$A$1006,$A838,Data!$B$2:$B$1006,$B838)</f>
        <v>592.154304</v>
      </c>
      <c r="K838" s="11" t="n">
        <f aca="false">IFERROR(F838*1000000/$E838,"")</f>
        <v>213.080818870027</v>
      </c>
      <c r="L838" s="11" t="n">
        <f aca="false">IFERROR(G838*1000000/$E838,"")</f>
        <v>113.144630283941</v>
      </c>
      <c r="M838" s="11" t="n">
        <f aca="false">IFERROR(H838*1000000/$E838,"")</f>
        <v>94.3170480760825</v>
      </c>
      <c r="N838" s="11" t="n">
        <f aca="false">IFERROR(I838*1000000/$E838,"")</f>
        <v>420.542497230051</v>
      </c>
      <c r="O838" s="11" t="n">
        <f aca="false">IFERROR(J838*1000000/$E838,"")</f>
        <v>352.171148641134</v>
      </c>
      <c r="P838" s="16" t="n">
        <f aca="false">COUNTIFS($A$4:$A$1008,$A838,$N$4:$N$1008,"&gt;"&amp;N838)+1</f>
        <v>6</v>
      </c>
      <c r="Q838" s="16" t="n">
        <f aca="false">COUNTIFS($A$4:$A$1008,$A838,$O$4:$O$1008,"&gt;"&amp;O838)+1</f>
        <v>11</v>
      </c>
    </row>
    <row r="839" customFormat="false" ht="15" hidden="false" customHeight="false" outlineLevel="0" collapsed="false">
      <c r="A839" s="7" t="n">
        <v>2021</v>
      </c>
      <c r="B839" s="15" t="s">
        <v>130</v>
      </c>
      <c r="C839" s="15" t="s">
        <v>118</v>
      </c>
      <c r="D839" s="15" t="s">
        <v>107</v>
      </c>
      <c r="E839" s="9" t="n">
        <f aca="false">SUMIFS(Data!$L$2:$L$1006,Data!$A$2:$A$1006,$A839,Data!$B$2:$B$1006,$B839)</f>
        <v>1466253</v>
      </c>
      <c r="F839" s="10" t="n">
        <f aca="false">SUMIFS(Data!$E$2:$E$1006,Data!$A$2:$A$1006,$A839,Data!$B$2:$B$1006,$B839)</f>
        <v>192.709488</v>
      </c>
      <c r="G839" s="10" t="n">
        <f aca="false">SUMIFS(Data!$F$2:$F$1006,Data!$A$2:$A$1006,$A839,Data!$B$2:$B$1006,$B839)</f>
        <v>141.796702</v>
      </c>
      <c r="H839" s="10" t="n">
        <f aca="false">SUMIFS(Data!$G$2:$G$1006,Data!$A$2:$A$1006,$A839,Data!$B$2:$B$1006,$B839)</f>
        <v>157.763596</v>
      </c>
      <c r="I839" s="10" t="n">
        <f aca="false">SUMIFS(Data!$N$2:$N$1006,Data!$A$2:$A$1006,$A839,Data!$B$2:$B$1006,$B839)</f>
        <v>492.269786</v>
      </c>
      <c r="J839" s="10" t="n">
        <f aca="false">SUMIFS(Data!$H$2:$H$1006,Data!$A$2:$A$1006,$A839,Data!$B$2:$B$1006,$B839)</f>
        <v>270.209836</v>
      </c>
      <c r="K839" s="11" t="n">
        <f aca="false">IFERROR(F839*1000000/$E839,"")</f>
        <v>131.429901933704</v>
      </c>
      <c r="L839" s="11" t="n">
        <f aca="false">IFERROR(G839*1000000/$E839,"")</f>
        <v>96.7068452715868</v>
      </c>
      <c r="M839" s="11" t="n">
        <f aca="false">IFERROR(H839*1000000/$E839,"")</f>
        <v>107.596435267311</v>
      </c>
      <c r="N839" s="11" t="n">
        <f aca="false">IFERROR(I839*1000000/$E839,"")</f>
        <v>335.733182472602</v>
      </c>
      <c r="O839" s="11" t="n">
        <f aca="false">IFERROR(J839*1000000/$E839,"")</f>
        <v>184.285956107166</v>
      </c>
      <c r="P839" s="16" t="n">
        <f aca="false">COUNTIFS($A$4:$A$1008,$A839,$N$4:$N$1008,"&gt;"&amp;N839)+1</f>
        <v>16</v>
      </c>
      <c r="Q839" s="16" t="n">
        <f aca="false">COUNTIFS($A$4:$A$1008,$A839,$O$4:$O$1008,"&gt;"&amp;O839)+1</f>
        <v>34</v>
      </c>
    </row>
    <row r="840" customFormat="false" ht="15" hidden="false" customHeight="false" outlineLevel="0" collapsed="false">
      <c r="A840" s="7" t="n">
        <v>2021</v>
      </c>
      <c r="B840" s="15" t="s">
        <v>131</v>
      </c>
      <c r="C840" s="15" t="s">
        <v>118</v>
      </c>
      <c r="D840" s="15" t="s">
        <v>132</v>
      </c>
      <c r="E840" s="9" t="n">
        <f aca="false">SUMIFS(Data!$L$2:$L$1006,Data!$A$2:$A$1006,$A840,Data!$B$2:$B$1006,$B840)</f>
        <v>914279</v>
      </c>
      <c r="F840" s="10" t="n">
        <f aca="false">SUMIFS(Data!$E$2:$E$1006,Data!$A$2:$A$1006,$A840,Data!$B$2:$B$1006,$B840)</f>
        <v>185.472122</v>
      </c>
      <c r="G840" s="10" t="n">
        <f aca="false">SUMIFS(Data!$F$2:$F$1006,Data!$A$2:$A$1006,$A840,Data!$B$2:$B$1006,$B840)</f>
        <v>103.326933</v>
      </c>
      <c r="H840" s="10" t="n">
        <f aca="false">SUMIFS(Data!$G$2:$G$1006,Data!$A$2:$A$1006,$A840,Data!$B$2:$B$1006,$B840)</f>
        <v>200.172948</v>
      </c>
      <c r="I840" s="10" t="n">
        <f aca="false">SUMIFS(Data!$N$2:$N$1006,Data!$A$2:$A$1006,$A840,Data!$B$2:$B$1006,$B840)</f>
        <v>488.972003</v>
      </c>
      <c r="J840" s="10" t="n">
        <f aca="false">SUMIFS(Data!$H$2:$H$1006,Data!$A$2:$A$1006,$A840,Data!$B$2:$B$1006,$B840)</f>
        <v>434.482369</v>
      </c>
      <c r="K840" s="11" t="n">
        <f aca="false">IFERROR(F840*1000000/$E840,"")</f>
        <v>202.861623202545</v>
      </c>
      <c r="L840" s="11" t="n">
        <f aca="false">IFERROR(G840*1000000/$E840,"")</f>
        <v>113.014662920181</v>
      </c>
      <c r="M840" s="11" t="n">
        <f aca="false">IFERROR(H840*1000000/$E840,"")</f>
        <v>218.940769721278</v>
      </c>
      <c r="N840" s="11" t="n">
        <f aca="false">IFERROR(I840*1000000/$E840,"")</f>
        <v>534.817055844004</v>
      </c>
      <c r="O840" s="11" t="n">
        <f aca="false">IFERROR(J840*1000000/$E840,"")</f>
        <v>475.218580980204</v>
      </c>
      <c r="P840" s="16" t="n">
        <f aca="false">COUNTIFS($A$4:$A$1008,$A840,$N$4:$N$1008,"&gt;"&amp;N840)+1</f>
        <v>1</v>
      </c>
      <c r="Q840" s="16" t="n">
        <f aca="false">COUNTIFS($A$4:$A$1008,$A840,$O$4:$O$1008,"&gt;"&amp;O840)+1</f>
        <v>1</v>
      </c>
    </row>
    <row r="841" customFormat="false" ht="15" hidden="false" customHeight="false" outlineLevel="0" collapsed="false">
      <c r="A841" s="7" t="n">
        <v>2021</v>
      </c>
      <c r="B841" s="15" t="s">
        <v>133</v>
      </c>
      <c r="C841" s="15" t="s">
        <v>118</v>
      </c>
      <c r="D841" s="15" t="s">
        <v>105</v>
      </c>
      <c r="E841" s="9" t="n">
        <f aca="false">SUMIFS(Data!$L$2:$L$1006,Data!$A$2:$A$1006,$A841,Data!$B$2:$B$1006,$B841)</f>
        <v>2323747</v>
      </c>
      <c r="F841" s="10" t="n">
        <f aca="false">SUMIFS(Data!$E$2:$E$1006,Data!$A$2:$A$1006,$A841,Data!$B$2:$B$1006,$B841)</f>
        <v>178.36226</v>
      </c>
      <c r="G841" s="10" t="n">
        <f aca="false">SUMIFS(Data!$F$2:$F$1006,Data!$A$2:$A$1006,$A841,Data!$B$2:$B$1006,$B841)</f>
        <v>478.167396</v>
      </c>
      <c r="H841" s="10" t="n">
        <f aca="false">SUMIFS(Data!$G$2:$G$1006,Data!$A$2:$A$1006,$A841,Data!$B$2:$B$1006,$B841)</f>
        <v>247.985586</v>
      </c>
      <c r="I841" s="10" t="n">
        <f aca="false">SUMIFS(Data!$N$2:$N$1006,Data!$A$2:$A$1006,$A841,Data!$B$2:$B$1006,$B841)</f>
        <v>904.515242</v>
      </c>
      <c r="J841" s="10" t="n">
        <f aca="false">SUMIFS(Data!$H$2:$H$1006,Data!$A$2:$A$1006,$A841,Data!$B$2:$B$1006,$B841)</f>
        <v>646.217011</v>
      </c>
      <c r="K841" s="11" t="n">
        <f aca="false">IFERROR(F841*1000000/$E841,"")</f>
        <v>76.7563164148249</v>
      </c>
      <c r="L841" s="11" t="n">
        <f aca="false">IFERROR(G841*1000000/$E841,"")</f>
        <v>205.774292984563</v>
      </c>
      <c r="M841" s="11" t="n">
        <f aca="false">IFERROR(H841*1000000/$E841,"")</f>
        <v>106.717980055488</v>
      </c>
      <c r="N841" s="11" t="n">
        <f aca="false">IFERROR(I841*1000000/$E841,"")</f>
        <v>389.248589454876</v>
      </c>
      <c r="O841" s="11" t="n">
        <f aca="false">IFERROR(J841*1000000/$E841,"")</f>
        <v>278.092671448312</v>
      </c>
      <c r="P841" s="16" t="n">
        <f aca="false">COUNTIFS($A$4:$A$1008,$A841,$N$4:$N$1008,"&gt;"&amp;N841)+1</f>
        <v>9</v>
      </c>
      <c r="Q841" s="16" t="n">
        <f aca="false">COUNTIFS($A$4:$A$1008,$A841,$O$4:$O$1008,"&gt;"&amp;O841)+1</f>
        <v>17</v>
      </c>
    </row>
    <row r="842" customFormat="false" ht="15" hidden="false" customHeight="false" outlineLevel="0" collapsed="false">
      <c r="A842" s="7" t="n">
        <v>2021</v>
      </c>
      <c r="B842" s="15" t="s">
        <v>134</v>
      </c>
      <c r="C842" s="15" t="s">
        <v>135</v>
      </c>
      <c r="D842" s="15" t="s">
        <v>136</v>
      </c>
      <c r="E842" s="9" t="n">
        <f aca="false">SUMIFS(Data!$L$2:$L$1006,Data!$A$2:$A$1006,$A842,Data!$B$2:$B$1006,$B842)</f>
        <v>149660</v>
      </c>
      <c r="F842" s="10" t="n">
        <f aca="false">SUMIFS(Data!$E$2:$E$1006,Data!$A$2:$A$1006,$A842,Data!$B$2:$B$1006,$B842)</f>
        <v>25.182467</v>
      </c>
      <c r="G842" s="10" t="n">
        <f aca="false">SUMIFS(Data!$F$2:$F$1006,Data!$A$2:$A$1006,$A842,Data!$B$2:$B$1006,$B842)</f>
        <v>12.677408</v>
      </c>
      <c r="H842" s="10" t="n">
        <f aca="false">SUMIFS(Data!$G$2:$G$1006,Data!$A$2:$A$1006,$A842,Data!$B$2:$B$1006,$B842)</f>
        <v>22.194751</v>
      </c>
      <c r="I842" s="10" t="n">
        <f aca="false">SUMIFS(Data!$N$2:$N$1006,Data!$A$2:$A$1006,$A842,Data!$B$2:$B$1006,$B842)</f>
        <v>60.054626</v>
      </c>
      <c r="J842" s="10" t="n">
        <f aca="false">SUMIFS(Data!$H$2:$H$1006,Data!$A$2:$A$1006,$A842,Data!$B$2:$B$1006,$B842)</f>
        <v>24.998301</v>
      </c>
      <c r="K842" s="11" t="n">
        <f aca="false">IFERROR(F842*1000000/$E842,"")</f>
        <v>168.264512895897</v>
      </c>
      <c r="L842" s="11" t="n">
        <f aca="false">IFERROR(G842*1000000/$E842,"")</f>
        <v>84.7080582654016</v>
      </c>
      <c r="M842" s="11" t="n">
        <f aca="false">IFERROR(H842*1000000/$E842,"")</f>
        <v>148.301155953495</v>
      </c>
      <c r="N842" s="11" t="n">
        <f aca="false">IFERROR(I842*1000000/$E842,"")</f>
        <v>401.273727114794</v>
      </c>
      <c r="O842" s="11" t="n">
        <f aca="false">IFERROR(J842*1000000/$E842,"")</f>
        <v>167.033950287318</v>
      </c>
      <c r="P842" s="16" t="n">
        <f aca="false">COUNTIFS($A$4:$A$1008,$A842,$N$4:$N$1008,"&gt;"&amp;N842)+1</f>
        <v>8</v>
      </c>
      <c r="Q842" s="16" t="n">
        <f aca="false">COUNTIFS($A$4:$A$1008,$A842,$O$4:$O$1008,"&gt;"&amp;O842)+1</f>
        <v>39</v>
      </c>
    </row>
    <row r="843" customFormat="false" ht="15" hidden="false" customHeight="false" outlineLevel="0" collapsed="false">
      <c r="A843" s="7" t="n">
        <v>2021</v>
      </c>
      <c r="B843" s="15" t="s">
        <v>137</v>
      </c>
      <c r="C843" s="15" t="s">
        <v>135</v>
      </c>
      <c r="D843" s="15" t="s">
        <v>138</v>
      </c>
      <c r="E843" s="9" t="n">
        <f aca="false">SUMIFS(Data!$L$2:$L$1006,Data!$A$2:$A$1006,$A843,Data!$B$2:$B$1006,$B843)</f>
        <v>1870123</v>
      </c>
      <c r="F843" s="10" t="n">
        <f aca="false">SUMIFS(Data!$E$2:$E$1006,Data!$A$2:$A$1006,$A843,Data!$B$2:$B$1006,$B843)</f>
        <v>347.022701</v>
      </c>
      <c r="G843" s="10" t="n">
        <f aca="false">SUMIFS(Data!$F$2:$F$1006,Data!$A$2:$A$1006,$A843,Data!$B$2:$B$1006,$B843)</f>
        <v>287.908401</v>
      </c>
      <c r="H843" s="10" t="n">
        <f aca="false">SUMIFS(Data!$G$2:$G$1006,Data!$A$2:$A$1006,$A843,Data!$B$2:$B$1006,$B843)</f>
        <v>287.238757</v>
      </c>
      <c r="I843" s="10" t="n">
        <f aca="false">SUMIFS(Data!$N$2:$N$1006,Data!$A$2:$A$1006,$A843,Data!$B$2:$B$1006,$B843)</f>
        <v>922.169859</v>
      </c>
      <c r="J843" s="10" t="n">
        <f aca="false">SUMIFS(Data!$H$2:$H$1006,Data!$A$2:$A$1006,$A843,Data!$B$2:$B$1006,$B843)</f>
        <v>734.039559</v>
      </c>
      <c r="K843" s="11" t="n">
        <f aca="false">IFERROR(F843*1000000/$E843,"")</f>
        <v>185.561431520814</v>
      </c>
      <c r="L843" s="11" t="n">
        <f aca="false">IFERROR(G843*1000000/$E843,"")</f>
        <v>153.951585537422</v>
      </c>
      <c r="M843" s="11" t="n">
        <f aca="false">IFERROR(H843*1000000/$E843,"")</f>
        <v>153.593510694216</v>
      </c>
      <c r="N843" s="11" t="n">
        <f aca="false">IFERROR(I843*1000000/$E843,"")</f>
        <v>493.106527752453</v>
      </c>
      <c r="O843" s="11" t="n">
        <f aca="false">IFERROR(J843*1000000/$E843,"")</f>
        <v>392.508706111844</v>
      </c>
      <c r="P843" s="16" t="n">
        <f aca="false">COUNTIFS($A$4:$A$1008,$A843,$N$4:$N$1008,"&gt;"&amp;N843)+1</f>
        <v>3</v>
      </c>
      <c r="Q843" s="16" t="n">
        <f aca="false">COUNTIFS($A$4:$A$1008,$A843,$O$4:$O$1008,"&gt;"&amp;O843)+1</f>
        <v>6</v>
      </c>
    </row>
    <row r="844" customFormat="false" ht="15" hidden="false" customHeight="false" outlineLevel="0" collapsed="false">
      <c r="A844" s="7" t="n">
        <v>2021</v>
      </c>
      <c r="B844" s="15" t="s">
        <v>139</v>
      </c>
      <c r="C844" s="15" t="s">
        <v>135</v>
      </c>
      <c r="D844" s="15" t="s">
        <v>138</v>
      </c>
      <c r="E844" s="9" t="n">
        <f aca="false">SUMIFS(Data!$L$2:$L$1006,Data!$A$2:$A$1006,$A844,Data!$B$2:$B$1006,$B844)</f>
        <v>2244945</v>
      </c>
      <c r="F844" s="10" t="n">
        <f aca="false">SUMIFS(Data!$E$2:$E$1006,Data!$A$2:$A$1006,$A844,Data!$B$2:$B$1006,$B844)</f>
        <v>338.360905</v>
      </c>
      <c r="G844" s="10" t="n">
        <f aca="false">SUMIFS(Data!$F$2:$F$1006,Data!$A$2:$A$1006,$A844,Data!$B$2:$B$1006,$B844)</f>
        <v>320.2607</v>
      </c>
      <c r="H844" s="10" t="n">
        <f aca="false">SUMIFS(Data!$G$2:$G$1006,Data!$A$2:$A$1006,$A844,Data!$B$2:$B$1006,$B844)</f>
        <v>425.366531</v>
      </c>
      <c r="I844" s="10" t="n">
        <f aca="false">SUMIFS(Data!$N$2:$N$1006,Data!$A$2:$A$1006,$A844,Data!$B$2:$B$1006,$B844)</f>
        <v>1083.988136</v>
      </c>
      <c r="J844" s="10" t="n">
        <f aca="false">SUMIFS(Data!$H$2:$H$1006,Data!$A$2:$A$1006,$A844,Data!$B$2:$B$1006,$B844)</f>
        <v>1058.814349</v>
      </c>
      <c r="K844" s="11" t="n">
        <f aca="false">IFERROR(F844*1000000/$E844,"")</f>
        <v>150.721244841188</v>
      </c>
      <c r="L844" s="11" t="n">
        <f aca="false">IFERROR(G844*1000000/$E844,"")</f>
        <v>142.658595199437</v>
      </c>
      <c r="M844" s="11" t="n">
        <f aca="false">IFERROR(H844*1000000/$E844,"")</f>
        <v>189.477484303624</v>
      </c>
      <c r="N844" s="11" t="n">
        <f aca="false">IFERROR(I844*1000000/$E844,"")</f>
        <v>482.857324344249</v>
      </c>
      <c r="O844" s="11" t="n">
        <f aca="false">IFERROR(J844*1000000/$E844,"")</f>
        <v>471.643781473488</v>
      </c>
      <c r="P844" s="16" t="n">
        <f aca="false">COUNTIFS($A$4:$A$1008,$A844,$N$4:$N$1008,"&gt;"&amp;N844)+1</f>
        <v>4</v>
      </c>
      <c r="Q844" s="16" t="n">
        <f aca="false">COUNTIFS($A$4:$A$1008,$A844,$O$4:$O$1008,"&gt;"&amp;O844)+1</f>
        <v>2</v>
      </c>
    </row>
    <row r="845" customFormat="false" ht="15" hidden="false" customHeight="false" outlineLevel="0" collapsed="false">
      <c r="A845" s="7" t="n">
        <v>2021</v>
      </c>
      <c r="B845" s="15" t="s">
        <v>140</v>
      </c>
      <c r="C845" s="15" t="s">
        <v>135</v>
      </c>
      <c r="D845" s="15" t="s">
        <v>141</v>
      </c>
      <c r="E845" s="9" t="n">
        <f aca="false">SUMIFS(Data!$L$2:$L$1006,Data!$A$2:$A$1006,$A845,Data!$B$2:$B$1006,$B845)</f>
        <v>860972</v>
      </c>
      <c r="F845" s="10" t="n">
        <f aca="false">SUMIFS(Data!$E$2:$E$1006,Data!$A$2:$A$1006,$A845,Data!$B$2:$B$1006,$B845)</f>
        <v>120.624679</v>
      </c>
      <c r="G845" s="10" t="n">
        <f aca="false">SUMIFS(Data!$F$2:$F$1006,Data!$A$2:$A$1006,$A845,Data!$B$2:$B$1006,$B845)</f>
        <v>23.991125</v>
      </c>
      <c r="H845" s="10" t="n">
        <f aca="false">SUMIFS(Data!$G$2:$G$1006,Data!$A$2:$A$1006,$A845,Data!$B$2:$B$1006,$B845)</f>
        <v>88.806066</v>
      </c>
      <c r="I845" s="10" t="n">
        <f aca="false">SUMIFS(Data!$N$2:$N$1006,Data!$A$2:$A$1006,$A845,Data!$B$2:$B$1006,$B845)</f>
        <v>233.42187</v>
      </c>
      <c r="J845" s="10" t="n">
        <f aca="false">SUMIFS(Data!$H$2:$H$1006,Data!$A$2:$A$1006,$A845,Data!$B$2:$B$1006,$B845)</f>
        <v>342.254319</v>
      </c>
      <c r="K845" s="11" t="n">
        <f aca="false">IFERROR(F845*1000000/$E845,"")</f>
        <v>140.102905785554</v>
      </c>
      <c r="L845" s="11" t="n">
        <f aca="false">IFERROR(G845*1000000/$E845,"")</f>
        <v>27.8651628624392</v>
      </c>
      <c r="M845" s="11" t="n">
        <f aca="false">IFERROR(H845*1000000/$E845,"")</f>
        <v>103.146288148744</v>
      </c>
      <c r="N845" s="11" t="n">
        <f aca="false">IFERROR(I845*1000000/$E845,"")</f>
        <v>271.114356796737</v>
      </c>
      <c r="O845" s="11" t="n">
        <f aca="false">IFERROR(J845*1000000/$E845,"")</f>
        <v>397.520847367859</v>
      </c>
      <c r="P845" s="16" t="n">
        <f aca="false">COUNTIFS($A$4:$A$1008,$A845,$N$4:$N$1008,"&gt;"&amp;N845)+1</f>
        <v>31</v>
      </c>
      <c r="Q845" s="16" t="n">
        <f aca="false">COUNTIFS($A$4:$A$1008,$A845,$O$4:$O$1008,"&gt;"&amp;O845)+1</f>
        <v>5</v>
      </c>
    </row>
    <row r="846" customFormat="false" ht="15" hidden="false" customHeight="false" outlineLevel="0" collapsed="false">
      <c r="A846" s="7" t="n">
        <v>2021</v>
      </c>
      <c r="B846" s="15" t="s">
        <v>142</v>
      </c>
      <c r="C846" s="15" t="s">
        <v>135</v>
      </c>
      <c r="D846" s="15" t="s">
        <v>143</v>
      </c>
      <c r="E846" s="9" t="n">
        <f aca="false">SUMIFS(Data!$L$2:$L$1006,Data!$A$2:$A$1006,$A846,Data!$B$2:$B$1006,$B846)</f>
        <v>604549</v>
      </c>
      <c r="F846" s="10" t="n">
        <f aca="false">SUMIFS(Data!$E$2:$E$1006,Data!$A$2:$A$1006,$A846,Data!$B$2:$B$1006,$B846)</f>
        <v>76.665237</v>
      </c>
      <c r="G846" s="10" t="n">
        <f aca="false">SUMIFS(Data!$F$2:$F$1006,Data!$A$2:$A$1006,$A846,Data!$B$2:$B$1006,$B846)</f>
        <v>23.54416</v>
      </c>
      <c r="H846" s="10" t="n">
        <f aca="false">SUMIFS(Data!$G$2:$G$1006,Data!$A$2:$A$1006,$A846,Data!$B$2:$B$1006,$B846)</f>
        <v>94.767352</v>
      </c>
      <c r="I846" s="10" t="n">
        <f aca="false">SUMIFS(Data!$N$2:$N$1006,Data!$A$2:$A$1006,$A846,Data!$B$2:$B$1006,$B846)</f>
        <v>194.976749</v>
      </c>
      <c r="J846" s="10" t="n">
        <f aca="false">SUMIFS(Data!$H$2:$H$1006,Data!$A$2:$A$1006,$A846,Data!$B$2:$B$1006,$B846)</f>
        <v>235.112545</v>
      </c>
      <c r="K846" s="11" t="n">
        <f aca="false">IFERROR(F846*1000000/$E846,"")</f>
        <v>126.813934023545</v>
      </c>
      <c r="L846" s="11" t="n">
        <f aca="false">IFERROR(G846*1000000/$E846,"")</f>
        <v>38.9449986684289</v>
      </c>
      <c r="M846" s="11" t="n">
        <f aca="false">IFERROR(H846*1000000/$E846,"")</f>
        <v>156.75710653727</v>
      </c>
      <c r="N846" s="11" t="n">
        <f aca="false">IFERROR(I846*1000000/$E846,"")</f>
        <v>322.516039229244</v>
      </c>
      <c r="O846" s="11" t="n">
        <f aca="false">IFERROR(J846*1000000/$E846,"")</f>
        <v>388.905688372655</v>
      </c>
      <c r="P846" s="16" t="n">
        <f aca="false">COUNTIFS($A$4:$A$1008,$A846,$N$4:$N$1008,"&gt;"&amp;N846)+1</f>
        <v>22</v>
      </c>
      <c r="Q846" s="16" t="n">
        <f aca="false">COUNTIFS($A$4:$A$1008,$A846,$O$4:$O$1008,"&gt;"&amp;O846)+1</f>
        <v>7</v>
      </c>
    </row>
    <row r="847" customFormat="false" ht="15" hidden="false" customHeight="false" outlineLevel="0" collapsed="false">
      <c r="A847" s="7" t="n">
        <v>2021</v>
      </c>
      <c r="B847" s="15" t="s">
        <v>144</v>
      </c>
      <c r="C847" s="15" t="s">
        <v>135</v>
      </c>
      <c r="D847" s="15" t="s">
        <v>141</v>
      </c>
      <c r="E847" s="9" t="n">
        <f aca="false">SUMIFS(Data!$L$2:$L$1006,Data!$A$2:$A$1006,$A847,Data!$B$2:$B$1006,$B847)</f>
        <v>516323</v>
      </c>
      <c r="F847" s="10" t="n">
        <f aca="false">SUMIFS(Data!$E$2:$E$1006,Data!$A$2:$A$1006,$A847,Data!$B$2:$B$1006,$B847)</f>
        <v>75.812438</v>
      </c>
      <c r="G847" s="10" t="n">
        <f aca="false">SUMIFS(Data!$F$2:$F$1006,Data!$A$2:$A$1006,$A847,Data!$B$2:$B$1006,$B847)</f>
        <v>21.106332</v>
      </c>
      <c r="H847" s="10" t="n">
        <f aca="false">SUMIFS(Data!$G$2:$G$1006,Data!$A$2:$A$1006,$A847,Data!$B$2:$B$1006,$B847)</f>
        <v>45.653939</v>
      </c>
      <c r="I847" s="10" t="n">
        <f aca="false">SUMIFS(Data!$N$2:$N$1006,Data!$A$2:$A$1006,$A847,Data!$B$2:$B$1006,$B847)</f>
        <v>142.572709</v>
      </c>
      <c r="J847" s="10" t="n">
        <f aca="false">SUMIFS(Data!$H$2:$H$1006,Data!$A$2:$A$1006,$A847,Data!$B$2:$B$1006,$B847)</f>
        <v>187.55047</v>
      </c>
      <c r="K847" s="11" t="n">
        <f aca="false">IFERROR(F847*1000000/$E847,"")</f>
        <v>146.831417542895</v>
      </c>
      <c r="L847" s="11" t="n">
        <f aca="false">IFERROR(G847*1000000/$E847,"")</f>
        <v>40.8781557281004</v>
      </c>
      <c r="M847" s="11" t="n">
        <f aca="false">IFERROR(H847*1000000/$E847,"")</f>
        <v>88.4212769913407</v>
      </c>
      <c r="N847" s="11" t="n">
        <f aca="false">IFERROR(I847*1000000/$E847,"")</f>
        <v>276.130850262336</v>
      </c>
      <c r="O847" s="11" t="n">
        <f aca="false">IFERROR(J847*1000000/$E847,"")</f>
        <v>363.242524543745</v>
      </c>
      <c r="P847" s="16" t="n">
        <f aca="false">COUNTIFS($A$4:$A$1008,$A847,$N$4:$N$1008,"&gt;"&amp;N847)+1</f>
        <v>28</v>
      </c>
      <c r="Q847" s="16" t="n">
        <f aca="false">COUNTIFS($A$4:$A$1008,$A847,$O$4:$O$1008,"&gt;"&amp;O847)+1</f>
        <v>9</v>
      </c>
    </row>
    <row r="848" customFormat="false" ht="15" hidden="false" customHeight="false" outlineLevel="0" collapsed="false">
      <c r="A848" s="7" t="n">
        <v>2021</v>
      </c>
      <c r="B848" s="15" t="s">
        <v>145</v>
      </c>
      <c r="C848" s="15" t="s">
        <v>135</v>
      </c>
      <c r="D848" s="15" t="s">
        <v>146</v>
      </c>
      <c r="E848" s="9" t="n">
        <f aca="false">SUMIFS(Data!$L$2:$L$1006,Data!$A$2:$A$1006,$A848,Data!$B$2:$B$1006,$B848)</f>
        <v>496003</v>
      </c>
      <c r="F848" s="10" t="n">
        <f aca="false">SUMIFS(Data!$E$2:$E$1006,Data!$A$2:$A$1006,$A848,Data!$B$2:$B$1006,$B848)</f>
        <v>34.373076</v>
      </c>
      <c r="G848" s="10" t="n">
        <f aca="false">SUMIFS(Data!$F$2:$F$1006,Data!$A$2:$A$1006,$A848,Data!$B$2:$B$1006,$B848)</f>
        <v>40.179746</v>
      </c>
      <c r="H848" s="10" t="n">
        <f aca="false">SUMIFS(Data!$G$2:$G$1006,Data!$A$2:$A$1006,$A848,Data!$B$2:$B$1006,$B848)</f>
        <v>97.420862</v>
      </c>
      <c r="I848" s="10" t="n">
        <f aca="false">SUMIFS(Data!$N$2:$N$1006,Data!$A$2:$A$1006,$A848,Data!$B$2:$B$1006,$B848)</f>
        <v>171.973684</v>
      </c>
      <c r="J848" s="10" t="n">
        <f aca="false">SUMIFS(Data!$H$2:$H$1006,Data!$A$2:$A$1006,$A848,Data!$B$2:$B$1006,$B848)</f>
        <v>211.536362</v>
      </c>
      <c r="K848" s="11" t="n">
        <f aca="false">IFERROR(F848*1000000/$E848,"")</f>
        <v>69.3001372975567</v>
      </c>
      <c r="L848" s="11" t="n">
        <f aca="false">IFERROR(G848*1000000/$E848,"")</f>
        <v>81.0070624572835</v>
      </c>
      <c r="M848" s="11" t="n">
        <f aca="false">IFERROR(H848*1000000/$E848,"")</f>
        <v>196.411840250966</v>
      </c>
      <c r="N848" s="11" t="n">
        <f aca="false">IFERROR(I848*1000000/$E848,"")</f>
        <v>346.719040005806</v>
      </c>
      <c r="O848" s="11" t="n">
        <f aca="false">IFERROR(J848*1000000/$E848,"")</f>
        <v>426.482021278097</v>
      </c>
      <c r="P848" s="16" t="n">
        <f aca="false">COUNTIFS($A$4:$A$1008,$A848,$N$4:$N$1008,"&gt;"&amp;N848)+1</f>
        <v>13</v>
      </c>
      <c r="Q848" s="16" t="n">
        <f aca="false">COUNTIFS($A$4:$A$1008,$A848,$O$4:$O$1008,"&gt;"&amp;O848)+1</f>
        <v>4</v>
      </c>
    </row>
    <row r="849" customFormat="false" ht="15" hidden="false" customHeight="false" outlineLevel="0" collapsed="false">
      <c r="A849" s="7" t="n">
        <v>2021</v>
      </c>
      <c r="B849" s="15" t="s">
        <v>147</v>
      </c>
      <c r="C849" s="15" t="s">
        <v>135</v>
      </c>
      <c r="D849" s="15" t="s">
        <v>148</v>
      </c>
      <c r="E849" s="9" t="n">
        <f aca="false">SUMIFS(Data!$L$2:$L$1006,Data!$A$2:$A$1006,$A849,Data!$B$2:$B$1006,$B849)</f>
        <v>160976</v>
      </c>
      <c r="F849" s="10" t="n">
        <f aca="false">SUMIFS(Data!$E$2:$E$1006,Data!$A$2:$A$1006,$A849,Data!$B$2:$B$1006,$B849)</f>
        <v>15.028218</v>
      </c>
      <c r="G849" s="10" t="n">
        <f aca="false">SUMIFS(Data!$F$2:$F$1006,Data!$A$2:$A$1006,$A849,Data!$B$2:$B$1006,$B849)</f>
        <v>18.406111</v>
      </c>
      <c r="H849" s="10" t="n">
        <f aca="false">SUMIFS(Data!$G$2:$G$1006,Data!$A$2:$A$1006,$A849,Data!$B$2:$B$1006,$B849)</f>
        <v>16.467031</v>
      </c>
      <c r="I849" s="10" t="n">
        <f aca="false">SUMIFS(Data!$N$2:$N$1006,Data!$A$2:$A$1006,$A849,Data!$B$2:$B$1006,$B849)</f>
        <v>49.90136</v>
      </c>
      <c r="J849" s="10" t="n">
        <f aca="false">SUMIFS(Data!$H$2:$H$1006,Data!$A$2:$A$1006,$A849,Data!$B$2:$B$1006,$B849)</f>
        <v>40.16379</v>
      </c>
      <c r="K849" s="11" t="n">
        <f aca="false">IFERROR(F849*1000000/$E849,"")</f>
        <v>93.3568854984594</v>
      </c>
      <c r="L849" s="11" t="n">
        <f aca="false">IFERROR(G849*1000000/$E849,"")</f>
        <v>114.340715386145</v>
      </c>
      <c r="M849" s="11" t="n">
        <f aca="false">IFERROR(H849*1000000/$E849,"")</f>
        <v>102.294944588013</v>
      </c>
      <c r="N849" s="11" t="n">
        <f aca="false">IFERROR(I849*1000000/$E849,"")</f>
        <v>309.992545472617</v>
      </c>
      <c r="O849" s="11" t="n">
        <f aca="false">IFERROR(J849*1000000/$E849,"")</f>
        <v>249.50172696551</v>
      </c>
      <c r="P849" s="16" t="n">
        <f aca="false">COUNTIFS($A$4:$A$1008,$A849,$N$4:$N$1008,"&gt;"&amp;N849)+1</f>
        <v>25</v>
      </c>
      <c r="Q849" s="16" t="n">
        <f aca="false">COUNTIFS($A$4:$A$1008,$A849,$O$4:$O$1008,"&gt;"&amp;O849)+1</f>
        <v>25</v>
      </c>
    </row>
    <row r="850" customFormat="false" ht="15" hidden="false" customHeight="false" outlineLevel="0" collapsed="false">
      <c r="A850" s="7" t="n">
        <v>2021</v>
      </c>
      <c r="B850" s="15" t="s">
        <v>149</v>
      </c>
      <c r="C850" s="15" t="s">
        <v>135</v>
      </c>
      <c r="D850" s="15" t="s">
        <v>146</v>
      </c>
      <c r="E850" s="9" t="n">
        <f aca="false">SUMIFS(Data!$L$2:$L$1006,Data!$A$2:$A$1006,$A850,Data!$B$2:$B$1006,$B850)</f>
        <v>804312</v>
      </c>
      <c r="F850" s="10" t="n">
        <f aca="false">SUMIFS(Data!$E$2:$E$1006,Data!$A$2:$A$1006,$A850,Data!$B$2:$B$1006,$B850)</f>
        <v>79.817057</v>
      </c>
      <c r="G850" s="10" t="n">
        <f aca="false">SUMIFS(Data!$F$2:$F$1006,Data!$A$2:$A$1006,$A850,Data!$B$2:$B$1006,$B850)</f>
        <v>77.456798</v>
      </c>
      <c r="H850" s="10" t="n">
        <f aca="false">SUMIFS(Data!$G$2:$G$1006,Data!$A$2:$A$1006,$A850,Data!$B$2:$B$1006,$B850)</f>
        <v>88.989566</v>
      </c>
      <c r="I850" s="10" t="n">
        <f aca="false">SUMIFS(Data!$N$2:$N$1006,Data!$A$2:$A$1006,$A850,Data!$B$2:$B$1006,$B850)</f>
        <v>246.263421</v>
      </c>
      <c r="J850" s="10" t="n">
        <f aca="false">SUMIFS(Data!$H$2:$H$1006,Data!$A$2:$A$1006,$A850,Data!$B$2:$B$1006,$B850)</f>
        <v>197.56697</v>
      </c>
      <c r="K850" s="11" t="n">
        <f aca="false">IFERROR(F850*1000000/$E850,"")</f>
        <v>99.2364368553497</v>
      </c>
      <c r="L850" s="11" t="n">
        <f aca="false">IFERROR(G850*1000000/$E850,"")</f>
        <v>96.3019300967784</v>
      </c>
      <c r="M850" s="11" t="n">
        <f aca="false">IFERROR(H850*1000000/$E850,"")</f>
        <v>110.640604640985</v>
      </c>
      <c r="N850" s="11" t="n">
        <f aca="false">IFERROR(I850*1000000/$E850,"")</f>
        <v>306.178971593113</v>
      </c>
      <c r="O850" s="11" t="n">
        <f aca="false">IFERROR(J850*1000000/$E850,"")</f>
        <v>245.634741244691</v>
      </c>
      <c r="P850" s="16" t="n">
        <f aca="false">COUNTIFS($A$4:$A$1008,$A850,$N$4:$N$1008,"&gt;"&amp;N850)+1</f>
        <v>26</v>
      </c>
      <c r="Q850" s="16" t="n">
        <f aca="false">COUNTIFS($A$4:$A$1008,$A850,$O$4:$O$1008,"&gt;"&amp;O850)+1</f>
        <v>26</v>
      </c>
    </row>
    <row r="851" customFormat="false" ht="15" hidden="false" customHeight="false" outlineLevel="0" collapsed="false">
      <c r="A851" s="7" t="n">
        <v>2021</v>
      </c>
      <c r="B851" s="15" t="s">
        <v>150</v>
      </c>
      <c r="C851" s="15" t="s">
        <v>135</v>
      </c>
      <c r="D851" s="15" t="s">
        <v>141</v>
      </c>
      <c r="E851" s="9" t="n">
        <f aca="false">SUMIFS(Data!$L$2:$L$1006,Data!$A$2:$A$1006,$A851,Data!$B$2:$B$1006,$B851)</f>
        <v>481132</v>
      </c>
      <c r="F851" s="10" t="n">
        <f aca="false">SUMIFS(Data!$E$2:$E$1006,Data!$A$2:$A$1006,$A851,Data!$B$2:$B$1006,$B851)</f>
        <v>62.799399</v>
      </c>
      <c r="G851" s="10" t="n">
        <f aca="false">SUMIFS(Data!$F$2:$F$1006,Data!$A$2:$A$1006,$A851,Data!$B$2:$B$1006,$B851)</f>
        <v>16.485043</v>
      </c>
      <c r="H851" s="10" t="n">
        <f aca="false">SUMIFS(Data!$G$2:$G$1006,Data!$A$2:$A$1006,$A851,Data!$B$2:$B$1006,$B851)</f>
        <v>79.237036</v>
      </c>
      <c r="I851" s="10" t="n">
        <f aca="false">SUMIFS(Data!$N$2:$N$1006,Data!$A$2:$A$1006,$A851,Data!$B$2:$B$1006,$B851)</f>
        <v>158.521478</v>
      </c>
      <c r="J851" s="10" t="n">
        <f aca="false">SUMIFS(Data!$H$2:$H$1006,Data!$A$2:$A$1006,$A851,Data!$B$2:$B$1006,$B851)</f>
        <v>216.690874</v>
      </c>
      <c r="K851" s="11" t="n">
        <f aca="false">IFERROR(F851*1000000/$E851,"")</f>
        <v>130.524261533218</v>
      </c>
      <c r="L851" s="11" t="n">
        <f aca="false">IFERROR(G851*1000000/$E851,"")</f>
        <v>34.2630359236135</v>
      </c>
      <c r="M851" s="11" t="n">
        <f aca="false">IFERROR(H851*1000000/$E851,"")</f>
        <v>164.688767323728</v>
      </c>
      <c r="N851" s="11" t="n">
        <f aca="false">IFERROR(I851*1000000/$E851,"")</f>
        <v>329.476064780559</v>
      </c>
      <c r="O851" s="11" t="n">
        <f aca="false">IFERROR(J851*1000000/$E851,"")</f>
        <v>450.377181314068</v>
      </c>
      <c r="P851" s="16" t="n">
        <f aca="false">COUNTIFS($A$4:$A$1008,$A851,$N$4:$N$1008,"&gt;"&amp;N851)+1</f>
        <v>18</v>
      </c>
      <c r="Q851" s="16" t="n">
        <f aca="false">COUNTIFS($A$4:$A$1008,$A851,$O$4:$O$1008,"&gt;"&amp;O851)+1</f>
        <v>3</v>
      </c>
    </row>
    <row r="852" customFormat="false" ht="15" hidden="false" customHeight="false" outlineLevel="0" collapsed="false">
      <c r="A852" s="7" t="n">
        <v>2021</v>
      </c>
      <c r="B852" s="15" t="s">
        <v>151</v>
      </c>
      <c r="C852" s="15" t="s">
        <v>135</v>
      </c>
      <c r="D852" s="15" t="s">
        <v>136</v>
      </c>
      <c r="E852" s="9" t="n">
        <f aca="false">SUMIFS(Data!$L$2:$L$1006,Data!$A$2:$A$1006,$A852,Data!$B$2:$B$1006,$B852)</f>
        <v>1522746</v>
      </c>
      <c r="F852" s="10" t="n">
        <f aca="false">SUMIFS(Data!$E$2:$E$1006,Data!$A$2:$A$1006,$A852,Data!$B$2:$B$1006,$B852)</f>
        <v>115.243272</v>
      </c>
      <c r="G852" s="10" t="n">
        <f aca="false">SUMIFS(Data!$F$2:$F$1006,Data!$A$2:$A$1006,$A852,Data!$B$2:$B$1006,$B852)</f>
        <v>199.170057</v>
      </c>
      <c r="H852" s="10" t="n">
        <f aca="false">SUMIFS(Data!$G$2:$G$1006,Data!$A$2:$A$1006,$A852,Data!$B$2:$B$1006,$B852)</f>
        <v>130.351881</v>
      </c>
      <c r="I852" s="10" t="n">
        <f aca="false">SUMIFS(Data!$N$2:$N$1006,Data!$A$2:$A$1006,$A852,Data!$B$2:$B$1006,$B852)</f>
        <v>444.76521</v>
      </c>
      <c r="J852" s="10" t="n">
        <f aca="false">SUMIFS(Data!$H$2:$H$1006,Data!$A$2:$A$1006,$A852,Data!$B$2:$B$1006,$B852)</f>
        <v>257.531705</v>
      </c>
      <c r="K852" s="11" t="n">
        <f aca="false">IFERROR(F852*1000000/$E852,"")</f>
        <v>75.6812180100949</v>
      </c>
      <c r="L852" s="11" t="n">
        <f aca="false">IFERROR(G852*1000000/$E852,"")</f>
        <v>130.796637784634</v>
      </c>
      <c r="M852" s="11" t="n">
        <f aca="false">IFERROR(H852*1000000/$E852,"")</f>
        <v>85.6031675670138</v>
      </c>
      <c r="N852" s="11" t="n">
        <f aca="false">IFERROR(I852*1000000/$E852,"")</f>
        <v>292.081023361743</v>
      </c>
      <c r="O852" s="11" t="n">
        <f aca="false">IFERROR(J852*1000000/$E852,"")</f>
        <v>169.123218842801</v>
      </c>
      <c r="P852" s="16" t="n">
        <f aca="false">COUNTIFS($A$4:$A$1008,$A852,$N$4:$N$1008,"&gt;"&amp;N852)+1</f>
        <v>27</v>
      </c>
      <c r="Q852" s="16" t="n">
        <f aca="false">COUNTIFS($A$4:$A$1008,$A852,$O$4:$O$1008,"&gt;"&amp;O852)+1</f>
        <v>38</v>
      </c>
    </row>
    <row r="853" customFormat="false" ht="15" hidden="false" customHeight="false" outlineLevel="0" collapsed="false">
      <c r="A853" s="7" t="n">
        <v>2021</v>
      </c>
      <c r="B853" s="15" t="s">
        <v>152</v>
      </c>
      <c r="C853" s="15" t="s">
        <v>135</v>
      </c>
      <c r="D853" s="15" t="s">
        <v>148</v>
      </c>
      <c r="E853" s="9" t="n">
        <f aca="false">SUMIFS(Data!$L$2:$L$1006,Data!$A$2:$A$1006,$A853,Data!$B$2:$B$1006,$B853)</f>
        <v>265235</v>
      </c>
      <c r="F853" s="10" t="n">
        <f aca="false">SUMIFS(Data!$E$2:$E$1006,Data!$A$2:$A$1006,$A853,Data!$B$2:$B$1006,$B853)</f>
        <v>25.343633</v>
      </c>
      <c r="G853" s="10" t="n">
        <f aca="false">SUMIFS(Data!$F$2:$F$1006,Data!$A$2:$A$1006,$A853,Data!$B$2:$B$1006,$B853)</f>
        <v>21.961899</v>
      </c>
      <c r="H853" s="10" t="n">
        <f aca="false">SUMIFS(Data!$G$2:$G$1006,Data!$A$2:$A$1006,$A853,Data!$B$2:$B$1006,$B853)</f>
        <v>39.216788</v>
      </c>
      <c r="I853" s="10" t="n">
        <f aca="false">SUMIFS(Data!$N$2:$N$1006,Data!$A$2:$A$1006,$A853,Data!$B$2:$B$1006,$B853)</f>
        <v>86.52232</v>
      </c>
      <c r="J853" s="10" t="n">
        <f aca="false">SUMIFS(Data!$H$2:$H$1006,Data!$A$2:$A$1006,$A853,Data!$B$2:$B$1006,$B853)</f>
        <v>68.935103</v>
      </c>
      <c r="K853" s="11" t="n">
        <f aca="false">IFERROR(F853*1000000/$E853,"")</f>
        <v>95.5516164910363</v>
      </c>
      <c r="L853" s="11" t="n">
        <f aca="false">IFERROR(G853*1000000/$E853,"")</f>
        <v>82.8016626764944</v>
      </c>
      <c r="M853" s="11" t="n">
        <f aca="false">IFERROR(H853*1000000/$E853,"")</f>
        <v>147.856760985541</v>
      </c>
      <c r="N853" s="11" t="n">
        <f aca="false">IFERROR(I853*1000000/$E853,"")</f>
        <v>326.210040153072</v>
      </c>
      <c r="O853" s="11" t="n">
        <f aca="false">IFERROR(J853*1000000/$E853,"")</f>
        <v>259.901985032141</v>
      </c>
      <c r="P853" s="16" t="n">
        <f aca="false">COUNTIFS($A$4:$A$1008,$A853,$N$4:$N$1008,"&gt;"&amp;N853)+1</f>
        <v>20</v>
      </c>
      <c r="Q853" s="16" t="n">
        <f aca="false">COUNTIFS($A$4:$A$1008,$A853,$O$4:$O$1008,"&gt;"&amp;O853)+1</f>
        <v>21</v>
      </c>
    </row>
    <row r="854" customFormat="false" ht="15" hidden="false" customHeight="false" outlineLevel="0" collapsed="false">
      <c r="A854" s="7" t="n">
        <v>2021</v>
      </c>
      <c r="B854" s="15" t="s">
        <v>153</v>
      </c>
      <c r="C854" s="15" t="s">
        <v>135</v>
      </c>
      <c r="D854" s="15" t="s">
        <v>136</v>
      </c>
      <c r="E854" s="9" t="n">
        <f aca="false">SUMIFS(Data!$L$2:$L$1006,Data!$A$2:$A$1006,$A854,Data!$B$2:$B$1006,$B854)</f>
        <v>134424</v>
      </c>
      <c r="F854" s="10" t="n">
        <f aca="false">SUMIFS(Data!$E$2:$E$1006,Data!$A$2:$A$1006,$A854,Data!$B$2:$B$1006,$B854)</f>
        <v>17.123074</v>
      </c>
      <c r="G854" s="10" t="n">
        <f aca="false">SUMIFS(Data!$F$2:$F$1006,Data!$A$2:$A$1006,$A854,Data!$B$2:$B$1006,$B854)</f>
        <v>25.071903</v>
      </c>
      <c r="H854" s="10" t="n">
        <f aca="false">SUMIFS(Data!$G$2:$G$1006,Data!$A$2:$A$1006,$A854,Data!$B$2:$B$1006,$B854)</f>
        <v>12.97104</v>
      </c>
      <c r="I854" s="10" t="n">
        <f aca="false">SUMIFS(Data!$N$2:$N$1006,Data!$A$2:$A$1006,$A854,Data!$B$2:$B$1006,$B854)</f>
        <v>55.166017</v>
      </c>
      <c r="J854" s="10" t="n">
        <f aca="false">SUMIFS(Data!$H$2:$H$1006,Data!$A$2:$A$1006,$A854,Data!$B$2:$B$1006,$B854)</f>
        <v>32.797403</v>
      </c>
      <c r="K854" s="11" t="n">
        <f aca="false">IFERROR(F854*1000000/$E854,"")</f>
        <v>127.381077783729</v>
      </c>
      <c r="L854" s="11" t="n">
        <f aca="false">IFERROR(G854*1000000/$E854,"")</f>
        <v>186.513591322978</v>
      </c>
      <c r="M854" s="11" t="n">
        <f aca="false">IFERROR(H854*1000000/$E854,"")</f>
        <v>96.4934833065524</v>
      </c>
      <c r="N854" s="11" t="n">
        <f aca="false">IFERROR(I854*1000000/$E854,"")</f>
        <v>410.38815241326</v>
      </c>
      <c r="O854" s="11" t="n">
        <f aca="false">IFERROR(J854*1000000/$E854,"")</f>
        <v>243.984727429626</v>
      </c>
      <c r="P854" s="16" t="n">
        <f aca="false">COUNTIFS($A$4:$A$1008,$A854,$N$4:$N$1008,"&gt;"&amp;N854)+1</f>
        <v>7</v>
      </c>
      <c r="Q854" s="16" t="n">
        <f aca="false">COUNTIFS($A$4:$A$1008,$A854,$O$4:$O$1008,"&gt;"&amp;O854)+1</f>
        <v>27</v>
      </c>
    </row>
    <row r="855" customFormat="false" ht="15" hidden="false" customHeight="false" outlineLevel="0" collapsed="false">
      <c r="A855" s="7" t="n">
        <v>2021</v>
      </c>
      <c r="B855" s="15" t="s">
        <v>154</v>
      </c>
      <c r="C855" s="15" t="s">
        <v>135</v>
      </c>
      <c r="D855" s="15" t="s">
        <v>141</v>
      </c>
      <c r="E855" s="9" t="n">
        <f aca="false">SUMIFS(Data!$L$2:$L$1006,Data!$A$2:$A$1006,$A855,Data!$B$2:$B$1006,$B855)</f>
        <v>153433</v>
      </c>
      <c r="F855" s="10" t="n">
        <f aca="false">SUMIFS(Data!$E$2:$E$1006,Data!$A$2:$A$1006,$A855,Data!$B$2:$B$1006,$B855)</f>
        <v>19.275324</v>
      </c>
      <c r="G855" s="10" t="n">
        <f aca="false">SUMIFS(Data!$F$2:$F$1006,Data!$A$2:$A$1006,$A855,Data!$B$2:$B$1006,$B855)</f>
        <v>3.669069</v>
      </c>
      <c r="H855" s="10" t="n">
        <f aca="false">SUMIFS(Data!$G$2:$G$1006,Data!$A$2:$A$1006,$A855,Data!$B$2:$B$1006,$B855)</f>
        <v>26.692821</v>
      </c>
      <c r="I855" s="10" t="n">
        <f aca="false">SUMIFS(Data!$N$2:$N$1006,Data!$A$2:$A$1006,$A855,Data!$B$2:$B$1006,$B855)</f>
        <v>49.637214</v>
      </c>
      <c r="J855" s="10" t="n">
        <f aca="false">SUMIFS(Data!$H$2:$H$1006,Data!$A$2:$A$1006,$A855,Data!$B$2:$B$1006,$B855)</f>
        <v>54.381226</v>
      </c>
      <c r="K855" s="11" t="n">
        <f aca="false">IFERROR(F855*1000000/$E855,"")</f>
        <v>125.626977247398</v>
      </c>
      <c r="L855" s="11" t="n">
        <f aca="false">IFERROR(G855*1000000/$E855,"")</f>
        <v>23.9131673108132</v>
      </c>
      <c r="M855" s="11" t="n">
        <f aca="false">IFERROR(H855*1000000/$E855,"")</f>
        <v>173.970534370051</v>
      </c>
      <c r="N855" s="11" t="n">
        <f aca="false">IFERROR(I855*1000000/$E855,"")</f>
        <v>323.510678928262</v>
      </c>
      <c r="O855" s="11" t="n">
        <f aca="false">IFERROR(J855*1000000/$E855,"")</f>
        <v>354.429790201586</v>
      </c>
      <c r="P855" s="16" t="n">
        <f aca="false">COUNTIFS($A$4:$A$1008,$A855,$N$4:$N$1008,"&gt;"&amp;N855)+1</f>
        <v>21</v>
      </c>
      <c r="Q855" s="16" t="n">
        <f aca="false">COUNTIFS($A$4:$A$1008,$A855,$O$4:$O$1008,"&gt;"&amp;O855)+1</f>
        <v>10</v>
      </c>
    </row>
    <row r="856" customFormat="false" ht="15" hidden="false" customHeight="false" outlineLevel="0" collapsed="false">
      <c r="A856" s="7" t="n">
        <v>2021</v>
      </c>
      <c r="B856" s="15" t="s">
        <v>155</v>
      </c>
      <c r="C856" s="15" t="s">
        <v>135</v>
      </c>
      <c r="D856" s="15" t="s">
        <v>148</v>
      </c>
      <c r="E856" s="9" t="n">
        <f aca="false">SUMIFS(Data!$L$2:$L$1006,Data!$A$2:$A$1006,$A856,Data!$B$2:$B$1006,$B856)</f>
        <v>1144822</v>
      </c>
      <c r="F856" s="10" t="n">
        <f aca="false">SUMIFS(Data!$E$2:$E$1006,Data!$A$2:$A$1006,$A856,Data!$B$2:$B$1006,$B856)</f>
        <v>80.781324</v>
      </c>
      <c r="G856" s="10" t="n">
        <f aca="false">SUMIFS(Data!$F$2:$F$1006,Data!$A$2:$A$1006,$A856,Data!$B$2:$B$1006,$B856)</f>
        <v>83.073596</v>
      </c>
      <c r="H856" s="10" t="n">
        <f aca="false">SUMIFS(Data!$G$2:$G$1006,Data!$A$2:$A$1006,$A856,Data!$B$2:$B$1006,$B856)</f>
        <v>139.872775</v>
      </c>
      <c r="I856" s="10" t="n">
        <f aca="false">SUMIFS(Data!$N$2:$N$1006,Data!$A$2:$A$1006,$A856,Data!$B$2:$B$1006,$B856)</f>
        <v>303.727695</v>
      </c>
      <c r="J856" s="10" t="n">
        <f aca="false">SUMIFS(Data!$H$2:$H$1006,Data!$A$2:$A$1006,$A856,Data!$B$2:$B$1006,$B856)</f>
        <v>291.949771</v>
      </c>
      <c r="K856" s="11" t="n">
        <f aca="false">IFERROR(F856*1000000/$E856,"")</f>
        <v>70.5623441897518</v>
      </c>
      <c r="L856" s="11" t="n">
        <f aca="false">IFERROR(G856*1000000/$E856,"")</f>
        <v>72.5646397431216</v>
      </c>
      <c r="M856" s="11" t="n">
        <f aca="false">IFERROR(H856*1000000/$E856,"")</f>
        <v>122.178622528218</v>
      </c>
      <c r="N856" s="11" t="n">
        <f aca="false">IFERROR(I856*1000000/$E856,"")</f>
        <v>265.305606461092</v>
      </c>
      <c r="O856" s="11" t="n">
        <f aca="false">IFERROR(J856*1000000/$E856,"")</f>
        <v>255.017610597979</v>
      </c>
      <c r="P856" s="16" t="n">
        <f aca="false">COUNTIFS($A$4:$A$1008,$A856,$N$4:$N$1008,"&gt;"&amp;N856)+1</f>
        <v>32</v>
      </c>
      <c r="Q856" s="16" t="n">
        <f aca="false">COUNTIFS($A$4:$A$1008,$A856,$O$4:$O$1008,"&gt;"&amp;O856)+1</f>
        <v>22</v>
      </c>
    </row>
    <row r="857" customFormat="false" ht="15" hidden="false" customHeight="false" outlineLevel="0" collapsed="false">
      <c r="A857" s="7" t="n">
        <v>2021</v>
      </c>
      <c r="B857" s="15" t="s">
        <v>156</v>
      </c>
      <c r="C857" s="15" t="s">
        <v>135</v>
      </c>
      <c r="D857" s="15" t="s">
        <v>148</v>
      </c>
      <c r="E857" s="9" t="n">
        <f aca="false">SUMIFS(Data!$L$2:$L$1006,Data!$A$2:$A$1006,$A857,Data!$B$2:$B$1006,$B857)</f>
        <v>485194</v>
      </c>
      <c r="F857" s="10" t="n">
        <f aca="false">SUMIFS(Data!$E$2:$E$1006,Data!$A$2:$A$1006,$A857,Data!$B$2:$B$1006,$B857)</f>
        <v>27.679166</v>
      </c>
      <c r="G857" s="10" t="n">
        <f aca="false">SUMIFS(Data!$F$2:$F$1006,Data!$A$2:$A$1006,$A857,Data!$B$2:$B$1006,$B857)</f>
        <v>33.189798</v>
      </c>
      <c r="H857" s="10" t="n">
        <f aca="false">SUMIFS(Data!$G$2:$G$1006,Data!$A$2:$A$1006,$A857,Data!$B$2:$B$1006,$B857)</f>
        <v>71.814403</v>
      </c>
      <c r="I857" s="10" t="n">
        <f aca="false">SUMIFS(Data!$N$2:$N$1006,Data!$A$2:$A$1006,$A857,Data!$B$2:$B$1006,$B857)</f>
        <v>132.683367</v>
      </c>
      <c r="J857" s="10" t="n">
        <f aca="false">SUMIFS(Data!$H$2:$H$1006,Data!$A$2:$A$1006,$A857,Data!$B$2:$B$1006,$B857)</f>
        <v>164.113356</v>
      </c>
      <c r="K857" s="11" t="n">
        <f aca="false">IFERROR(F857*1000000/$E857,"")</f>
        <v>57.0476263103006</v>
      </c>
      <c r="L857" s="11" t="n">
        <f aca="false">IFERROR(G857*1000000/$E857,"")</f>
        <v>68.4052111114317</v>
      </c>
      <c r="M857" s="11" t="n">
        <f aca="false">IFERROR(H857*1000000/$E857,"")</f>
        <v>148.011729328887</v>
      </c>
      <c r="N857" s="11" t="n">
        <f aca="false">IFERROR(I857*1000000/$E857,"")</f>
        <v>273.464566750619</v>
      </c>
      <c r="O857" s="11" t="n">
        <f aca="false">IFERROR(J857*1000000/$E857,"")</f>
        <v>338.242756505645</v>
      </c>
      <c r="P857" s="16" t="n">
        <f aca="false">COUNTIFS($A$4:$A$1008,$A857,$N$4:$N$1008,"&gt;"&amp;N857)+1</f>
        <v>30</v>
      </c>
      <c r="Q857" s="16" t="n">
        <f aca="false">COUNTIFS($A$4:$A$1008,$A857,$O$4:$O$1008,"&gt;"&amp;O857)+1</f>
        <v>13</v>
      </c>
    </row>
    <row r="858" customFormat="false" ht="15" hidden="false" customHeight="false" outlineLevel="0" collapsed="false">
      <c r="A858" s="7" t="n">
        <v>2021</v>
      </c>
      <c r="B858" s="15" t="s">
        <v>157</v>
      </c>
      <c r="C858" s="15" t="s">
        <v>135</v>
      </c>
      <c r="D858" s="15" t="s">
        <v>148</v>
      </c>
      <c r="E858" s="9" t="n">
        <f aca="false">SUMIFS(Data!$L$2:$L$1006,Data!$A$2:$A$1006,$A858,Data!$B$2:$B$1006,$B858)</f>
        <v>454892</v>
      </c>
      <c r="F858" s="10" t="n">
        <f aca="false">SUMIFS(Data!$E$2:$E$1006,Data!$A$2:$A$1006,$A858,Data!$B$2:$B$1006,$B858)</f>
        <v>31.570154</v>
      </c>
      <c r="G858" s="10" t="n">
        <f aca="false">SUMIFS(Data!$F$2:$F$1006,Data!$A$2:$A$1006,$A858,Data!$B$2:$B$1006,$B858)</f>
        <v>22.720597</v>
      </c>
      <c r="H858" s="10" t="n">
        <f aca="false">SUMIFS(Data!$G$2:$G$1006,Data!$A$2:$A$1006,$A858,Data!$B$2:$B$1006,$B858)</f>
        <v>40.491889</v>
      </c>
      <c r="I858" s="10" t="n">
        <f aca="false">SUMIFS(Data!$N$2:$N$1006,Data!$A$2:$A$1006,$A858,Data!$B$2:$B$1006,$B858)</f>
        <v>94.78264</v>
      </c>
      <c r="J858" s="10" t="n">
        <f aca="false">SUMIFS(Data!$H$2:$H$1006,Data!$A$2:$A$1006,$A858,Data!$B$2:$B$1006,$B858)</f>
        <v>174.730202</v>
      </c>
      <c r="K858" s="11" t="n">
        <f aca="false">IFERROR(F858*1000000/$E858,"")</f>
        <v>69.4014271519394</v>
      </c>
      <c r="L858" s="11" t="n">
        <f aca="false">IFERROR(G858*1000000/$E858,"")</f>
        <v>49.9472336290812</v>
      </c>
      <c r="M858" s="11" t="n">
        <f aca="false">IFERROR(H858*1000000/$E858,"")</f>
        <v>89.0142913043096</v>
      </c>
      <c r="N858" s="11" t="n">
        <f aca="false">IFERROR(I858*1000000/$E858,"")</f>
        <v>208.36295208533</v>
      </c>
      <c r="O858" s="11" t="n">
        <f aca="false">IFERROR(J858*1000000/$E858,"")</f>
        <v>384.113596194262</v>
      </c>
      <c r="P858" s="16" t="n">
        <f aca="false">COUNTIFS($A$4:$A$1008,$A858,$N$4:$N$1008,"&gt;"&amp;N858)+1</f>
        <v>39</v>
      </c>
      <c r="Q858" s="16" t="n">
        <f aca="false">COUNTIFS($A$4:$A$1008,$A858,$O$4:$O$1008,"&gt;"&amp;O858)+1</f>
        <v>8</v>
      </c>
    </row>
    <row r="859" customFormat="false" ht="15" hidden="false" customHeight="false" outlineLevel="0" collapsed="false">
      <c r="A859" s="7" t="n">
        <v>2022</v>
      </c>
      <c r="B859" s="15" t="s">
        <v>101</v>
      </c>
      <c r="C859" s="15" t="s">
        <v>102</v>
      </c>
      <c r="D859" s="15" t="s">
        <v>103</v>
      </c>
      <c r="E859" s="9" t="n">
        <f aca="false">SUMIFS(Data!$L$2:$L$1006,Data!$A$2:$A$1006,$A859,Data!$B$2:$B$1006,$B859)</f>
        <v>755417</v>
      </c>
      <c r="F859" s="10" t="n">
        <f aca="false">SUMIFS(Data!$E$2:$E$1006,Data!$A$2:$A$1006,$A859,Data!$B$2:$B$1006,$B859)</f>
        <v>77.380584</v>
      </c>
      <c r="G859" s="10" t="n">
        <f aca="false">SUMIFS(Data!$F$2:$F$1006,Data!$A$2:$A$1006,$A859,Data!$B$2:$B$1006,$B859)</f>
        <v>39.188008</v>
      </c>
      <c r="H859" s="10" t="n">
        <f aca="false">SUMIFS(Data!$G$2:$G$1006,Data!$A$2:$A$1006,$A859,Data!$B$2:$B$1006,$B859)</f>
        <v>96.264713</v>
      </c>
      <c r="I859" s="10" t="n">
        <f aca="false">SUMIFS(Data!$N$2:$N$1006,Data!$A$2:$A$1006,$A859,Data!$B$2:$B$1006,$B859)</f>
        <v>212.833305</v>
      </c>
      <c r="J859" s="10" t="n">
        <f aca="false">SUMIFS(Data!$H$2:$H$1006,Data!$A$2:$A$1006,$A859,Data!$B$2:$B$1006,$B859)</f>
        <v>142.144379</v>
      </c>
      <c r="K859" s="11" t="n">
        <f aca="false">IFERROR(F859*1000000/$E859,"")</f>
        <v>102.434263459784</v>
      </c>
      <c r="L859" s="11" t="n">
        <f aca="false">IFERROR(G859*1000000/$E859,"")</f>
        <v>51.8759943183699</v>
      </c>
      <c r="M859" s="11" t="n">
        <f aca="false">IFERROR(H859*1000000/$E859,"")</f>
        <v>127.432547851054</v>
      </c>
      <c r="N859" s="11" t="n">
        <f aca="false">IFERROR(I859*1000000/$E859,"")</f>
        <v>281.742805629209</v>
      </c>
      <c r="O859" s="11" t="n">
        <f aca="false">IFERROR(J859*1000000/$E859,"")</f>
        <v>188.166772789069</v>
      </c>
      <c r="P859" s="16" t="n">
        <f aca="false">COUNTIFS($A$4:$A$1008,$A859,$N$4:$N$1008,"&gt;"&amp;N859)+1</f>
        <v>34</v>
      </c>
      <c r="Q859" s="16" t="n">
        <f aca="false">COUNTIFS($A$4:$A$1008,$A859,$O$4:$O$1008,"&gt;"&amp;O859)+1</f>
        <v>33</v>
      </c>
    </row>
    <row r="860" customFormat="false" ht="15" hidden="false" customHeight="false" outlineLevel="0" collapsed="false">
      <c r="A860" s="7" t="n">
        <v>2022</v>
      </c>
      <c r="B860" s="15" t="s">
        <v>104</v>
      </c>
      <c r="C860" s="15" t="s">
        <v>102</v>
      </c>
      <c r="D860" s="15" t="s">
        <v>105</v>
      </c>
      <c r="E860" s="9" t="n">
        <f aca="false">SUMIFS(Data!$L$2:$L$1006,Data!$A$2:$A$1006,$A860,Data!$B$2:$B$1006,$B860)</f>
        <v>1155415</v>
      </c>
      <c r="F860" s="10" t="n">
        <f aca="false">SUMIFS(Data!$E$2:$E$1006,Data!$A$2:$A$1006,$A860,Data!$B$2:$B$1006,$B860)</f>
        <v>160.171465</v>
      </c>
      <c r="G860" s="10" t="n">
        <f aca="false">SUMIFS(Data!$F$2:$F$1006,Data!$A$2:$A$1006,$A860,Data!$B$2:$B$1006,$B860)</f>
        <v>189.797661</v>
      </c>
      <c r="H860" s="10" t="n">
        <f aca="false">SUMIFS(Data!$G$2:$G$1006,Data!$A$2:$A$1006,$A860,Data!$B$2:$B$1006,$B860)</f>
        <v>151.675711</v>
      </c>
      <c r="I860" s="10" t="n">
        <f aca="false">SUMIFS(Data!$N$2:$N$1006,Data!$A$2:$A$1006,$A860,Data!$B$2:$B$1006,$B860)</f>
        <v>501.644837</v>
      </c>
      <c r="J860" s="10" t="n">
        <f aca="false">SUMIFS(Data!$H$2:$H$1006,Data!$A$2:$A$1006,$A860,Data!$B$2:$B$1006,$B860)</f>
        <v>206.619237</v>
      </c>
      <c r="K860" s="11" t="n">
        <f aca="false">IFERROR(F860*1000000/$E860,"")</f>
        <v>138.626783450102</v>
      </c>
      <c r="L860" s="11" t="n">
        <f aca="false">IFERROR(G860*1000000/$E860,"")</f>
        <v>164.267956535098</v>
      </c>
      <c r="M860" s="11" t="n">
        <f aca="false">IFERROR(H860*1000000/$E860,"")</f>
        <v>131.273794264399</v>
      </c>
      <c r="N860" s="11" t="n">
        <f aca="false">IFERROR(I860*1000000/$E860,"")</f>
        <v>434.168534249599</v>
      </c>
      <c r="O860" s="11" t="n">
        <f aca="false">IFERROR(J860*1000000/$E860,"")</f>
        <v>178.826860478702</v>
      </c>
      <c r="P860" s="16" t="n">
        <f aca="false">COUNTIFS($A$4:$A$1008,$A860,$N$4:$N$1008,"&gt;"&amp;N860)+1</f>
        <v>9</v>
      </c>
      <c r="Q860" s="16" t="n">
        <f aca="false">COUNTIFS($A$4:$A$1008,$A860,$O$4:$O$1008,"&gt;"&amp;O860)+1</f>
        <v>36</v>
      </c>
    </row>
    <row r="861" customFormat="false" ht="15" hidden="false" customHeight="false" outlineLevel="0" collapsed="false">
      <c r="A861" s="7" t="n">
        <v>2022</v>
      </c>
      <c r="B861" s="15" t="s">
        <v>106</v>
      </c>
      <c r="C861" s="15" t="s">
        <v>102</v>
      </c>
      <c r="D861" s="15" t="s">
        <v>107</v>
      </c>
      <c r="E861" s="9" t="n">
        <f aca="false">SUMIFS(Data!$L$2:$L$1006,Data!$A$2:$A$1006,$A861,Data!$B$2:$B$1006,$B861)</f>
        <v>585024</v>
      </c>
      <c r="F861" s="10" t="n">
        <f aca="false">SUMIFS(Data!$E$2:$E$1006,Data!$A$2:$A$1006,$A861,Data!$B$2:$B$1006,$B861)</f>
        <v>91.127717</v>
      </c>
      <c r="G861" s="10" t="n">
        <f aca="false">SUMIFS(Data!$F$2:$F$1006,Data!$A$2:$A$1006,$A861,Data!$B$2:$B$1006,$B861)</f>
        <v>71.284021</v>
      </c>
      <c r="H861" s="10" t="n">
        <f aca="false">SUMIFS(Data!$G$2:$G$1006,Data!$A$2:$A$1006,$A861,Data!$B$2:$B$1006,$B861)</f>
        <v>69.326922</v>
      </c>
      <c r="I861" s="10" t="n">
        <f aca="false">SUMIFS(Data!$N$2:$N$1006,Data!$A$2:$A$1006,$A861,Data!$B$2:$B$1006,$B861)</f>
        <v>231.73866</v>
      </c>
      <c r="J861" s="10" t="n">
        <f aca="false">SUMIFS(Data!$H$2:$H$1006,Data!$A$2:$A$1006,$A861,Data!$B$2:$B$1006,$B861)</f>
        <v>114.4994</v>
      </c>
      <c r="K861" s="11" t="n">
        <f aca="false">IFERROR(F861*1000000/$E861,"")</f>
        <v>155.767484752762</v>
      </c>
      <c r="L861" s="11" t="n">
        <f aca="false">IFERROR(G861*1000000/$E861,"")</f>
        <v>121.848028456952</v>
      </c>
      <c r="M861" s="11" t="n">
        <f aca="false">IFERROR(H861*1000000/$E861,"")</f>
        <v>118.502697325238</v>
      </c>
      <c r="N861" s="11" t="n">
        <f aca="false">IFERROR(I861*1000000/$E861,"")</f>
        <v>396.118210534952</v>
      </c>
      <c r="O861" s="11" t="n">
        <f aca="false">IFERROR(J861*1000000/$E861,"")</f>
        <v>195.717440652007</v>
      </c>
      <c r="P861" s="16" t="n">
        <f aca="false">COUNTIFS($A$4:$A$1008,$A861,$N$4:$N$1008,"&gt;"&amp;N861)+1</f>
        <v>14</v>
      </c>
      <c r="Q861" s="16" t="n">
        <f aca="false">COUNTIFS($A$4:$A$1008,$A861,$O$4:$O$1008,"&gt;"&amp;O861)+1</f>
        <v>31</v>
      </c>
    </row>
    <row r="862" customFormat="false" ht="15" hidden="false" customHeight="false" outlineLevel="0" collapsed="false">
      <c r="A862" s="7" t="n">
        <v>2022</v>
      </c>
      <c r="B862" s="15" t="s">
        <v>108</v>
      </c>
      <c r="C862" s="15" t="s">
        <v>102</v>
      </c>
      <c r="D862" s="15" t="s">
        <v>109</v>
      </c>
      <c r="E862" s="9" t="n">
        <f aca="false">SUMIFS(Data!$L$2:$L$1006,Data!$A$2:$A$1006,$A862,Data!$B$2:$B$1006,$B862)</f>
        <v>395813</v>
      </c>
      <c r="F862" s="10" t="n">
        <f aca="false">SUMIFS(Data!$E$2:$E$1006,Data!$A$2:$A$1006,$A862,Data!$B$2:$B$1006,$B862)</f>
        <v>81.982971</v>
      </c>
      <c r="G862" s="10" t="n">
        <f aca="false">SUMIFS(Data!$F$2:$F$1006,Data!$A$2:$A$1006,$A862,Data!$B$2:$B$1006,$B862)</f>
        <v>18.539895</v>
      </c>
      <c r="H862" s="10" t="n">
        <f aca="false">SUMIFS(Data!$G$2:$G$1006,Data!$A$2:$A$1006,$A862,Data!$B$2:$B$1006,$B862)</f>
        <v>51.603993</v>
      </c>
      <c r="I862" s="10" t="n">
        <f aca="false">SUMIFS(Data!$N$2:$N$1006,Data!$A$2:$A$1006,$A862,Data!$B$2:$B$1006,$B862)</f>
        <v>152.126859</v>
      </c>
      <c r="J862" s="10" t="n">
        <f aca="false">SUMIFS(Data!$H$2:$H$1006,Data!$A$2:$A$1006,$A862,Data!$B$2:$B$1006,$B862)</f>
        <v>74.271949</v>
      </c>
      <c r="K862" s="11" t="n">
        <f aca="false">IFERROR(F862*1000000/$E862,"")</f>
        <v>207.125513815868</v>
      </c>
      <c r="L862" s="11" t="n">
        <f aca="false">IFERROR(G862*1000000/$E862,"")</f>
        <v>46.8400355723536</v>
      </c>
      <c r="M862" s="11" t="n">
        <f aca="false">IFERROR(H862*1000000/$E862,"")</f>
        <v>130.374679457218</v>
      </c>
      <c r="N862" s="11" t="n">
        <f aca="false">IFERROR(I862*1000000/$E862,"")</f>
        <v>384.34022884544</v>
      </c>
      <c r="O862" s="11" t="n">
        <f aca="false">IFERROR(J862*1000000/$E862,"")</f>
        <v>187.644036451557</v>
      </c>
      <c r="P862" s="16" t="n">
        <f aca="false">COUNTIFS($A$4:$A$1008,$A862,$N$4:$N$1008,"&gt;"&amp;N862)+1</f>
        <v>15</v>
      </c>
      <c r="Q862" s="16" t="n">
        <f aca="false">COUNTIFS($A$4:$A$1008,$A862,$O$4:$O$1008,"&gt;"&amp;O862)+1</f>
        <v>34</v>
      </c>
    </row>
    <row r="863" customFormat="false" ht="15" hidden="false" customHeight="false" outlineLevel="0" collapsed="false">
      <c r="A863" s="7" t="n">
        <v>2022</v>
      </c>
      <c r="B863" s="15" t="s">
        <v>110</v>
      </c>
      <c r="C863" s="15" t="s">
        <v>102</v>
      </c>
      <c r="D863" s="15" t="s">
        <v>103</v>
      </c>
      <c r="E863" s="9" t="n">
        <f aca="false">SUMIFS(Data!$L$2:$L$1006,Data!$A$2:$A$1006,$A863,Data!$B$2:$B$1006,$B863)</f>
        <v>1065866</v>
      </c>
      <c r="F863" s="10" t="n">
        <f aca="false">SUMIFS(Data!$E$2:$E$1006,Data!$A$2:$A$1006,$A863,Data!$B$2:$B$1006,$B863)</f>
        <v>111.756034</v>
      </c>
      <c r="G863" s="10" t="n">
        <f aca="false">SUMIFS(Data!$F$2:$F$1006,Data!$A$2:$A$1006,$A863,Data!$B$2:$B$1006,$B863)</f>
        <v>38.169317</v>
      </c>
      <c r="H863" s="10" t="n">
        <f aca="false">SUMIFS(Data!$G$2:$G$1006,Data!$A$2:$A$1006,$A863,Data!$B$2:$B$1006,$B863)</f>
        <v>98.577191</v>
      </c>
      <c r="I863" s="10" t="n">
        <f aca="false">SUMIFS(Data!$N$2:$N$1006,Data!$A$2:$A$1006,$A863,Data!$B$2:$B$1006,$B863)</f>
        <v>248.502542</v>
      </c>
      <c r="J863" s="10" t="n">
        <f aca="false">SUMIFS(Data!$H$2:$H$1006,Data!$A$2:$A$1006,$A863,Data!$B$2:$B$1006,$B863)</f>
        <v>198.092842</v>
      </c>
      <c r="K863" s="11" t="n">
        <f aca="false">IFERROR(F863*1000000/$E863,"")</f>
        <v>104.849984894912</v>
      </c>
      <c r="L863" s="11" t="n">
        <f aca="false">IFERROR(G863*1000000/$E863,"")</f>
        <v>35.8106150304072</v>
      </c>
      <c r="M863" s="11" t="n">
        <f aca="false">IFERROR(H863*1000000/$E863,"")</f>
        <v>92.4855385198515</v>
      </c>
      <c r="N863" s="11" t="n">
        <f aca="false">IFERROR(I863*1000000/$E863,"")</f>
        <v>233.14613844517</v>
      </c>
      <c r="O863" s="11" t="n">
        <f aca="false">IFERROR(J863*1000000/$E863,"")</f>
        <v>185.851544190358</v>
      </c>
      <c r="P863" s="16" t="n">
        <f aca="false">COUNTIFS($A$4:$A$1008,$A863,$N$4:$N$1008,"&gt;"&amp;N863)+1</f>
        <v>38</v>
      </c>
      <c r="Q863" s="16" t="n">
        <f aca="false">COUNTIFS($A$4:$A$1008,$A863,$O$4:$O$1008,"&gt;"&amp;O863)+1</f>
        <v>35</v>
      </c>
    </row>
    <row r="864" customFormat="false" ht="15" hidden="false" customHeight="false" outlineLevel="0" collapsed="false">
      <c r="A864" s="7" t="n">
        <v>2022</v>
      </c>
      <c r="B864" s="15" t="s">
        <v>111</v>
      </c>
      <c r="C864" s="15" t="s">
        <v>102</v>
      </c>
      <c r="D864" s="15" t="s">
        <v>107</v>
      </c>
      <c r="E864" s="9" t="n">
        <f aca="false">SUMIFS(Data!$L$2:$L$1006,Data!$A$2:$A$1006,$A864,Data!$B$2:$B$1006,$B864)</f>
        <v>588187</v>
      </c>
      <c r="F864" s="10" t="n">
        <f aca="false">SUMIFS(Data!$E$2:$E$1006,Data!$A$2:$A$1006,$A864,Data!$B$2:$B$1006,$B864)</f>
        <v>103.515153</v>
      </c>
      <c r="G864" s="10" t="n">
        <f aca="false">SUMIFS(Data!$F$2:$F$1006,Data!$A$2:$A$1006,$A864,Data!$B$2:$B$1006,$B864)</f>
        <v>74.315168</v>
      </c>
      <c r="H864" s="10" t="n">
        <f aca="false">SUMIFS(Data!$G$2:$G$1006,Data!$A$2:$A$1006,$A864,Data!$B$2:$B$1006,$B864)</f>
        <v>69.919177</v>
      </c>
      <c r="I864" s="10" t="n">
        <f aca="false">SUMIFS(Data!$N$2:$N$1006,Data!$A$2:$A$1006,$A864,Data!$B$2:$B$1006,$B864)</f>
        <v>247.749498</v>
      </c>
      <c r="J864" s="10" t="n">
        <f aca="false">SUMIFS(Data!$H$2:$H$1006,Data!$A$2:$A$1006,$A864,Data!$B$2:$B$1006,$B864)</f>
        <v>125.448527</v>
      </c>
      <c r="K864" s="11" t="n">
        <f aca="false">IFERROR(F864*1000000/$E864,"")</f>
        <v>175.99020889615</v>
      </c>
      <c r="L864" s="11" t="n">
        <f aca="false">IFERROR(G864*1000000/$E864,"")</f>
        <v>126.346158619623</v>
      </c>
      <c r="M864" s="11" t="n">
        <f aca="false">IFERROR(H864*1000000/$E864,"")</f>
        <v>118.872360320782</v>
      </c>
      <c r="N864" s="11" t="n">
        <f aca="false">IFERROR(I864*1000000/$E864,"")</f>
        <v>421.208727836555</v>
      </c>
      <c r="O864" s="11" t="n">
        <f aca="false">IFERROR(J864*1000000/$E864,"")</f>
        <v>213.280006188508</v>
      </c>
      <c r="P864" s="16" t="n">
        <f aca="false">COUNTIFS($A$4:$A$1008,$A864,$N$4:$N$1008,"&gt;"&amp;N864)+1</f>
        <v>11</v>
      </c>
      <c r="Q864" s="16" t="n">
        <f aca="false">COUNTIFS($A$4:$A$1008,$A864,$O$4:$O$1008,"&gt;"&amp;O864)+1</f>
        <v>30</v>
      </c>
    </row>
    <row r="865" customFormat="false" ht="15" hidden="false" customHeight="false" outlineLevel="0" collapsed="false">
      <c r="A865" s="7" t="n">
        <v>2022</v>
      </c>
      <c r="B865" s="15" t="s">
        <v>112</v>
      </c>
      <c r="C865" s="15" t="s">
        <v>102</v>
      </c>
      <c r="D865" s="15" t="s">
        <v>107</v>
      </c>
      <c r="E865" s="9" t="n">
        <f aca="false">SUMIFS(Data!$L$2:$L$1006,Data!$A$2:$A$1006,$A865,Data!$B$2:$B$1006,$B865)</f>
        <v>170274</v>
      </c>
      <c r="F865" s="10" t="n">
        <f aca="false">SUMIFS(Data!$E$2:$E$1006,Data!$A$2:$A$1006,$A865,Data!$B$2:$B$1006,$B865)</f>
        <v>29.547644</v>
      </c>
      <c r="G865" s="10" t="n">
        <f aca="false">SUMIFS(Data!$F$2:$F$1006,Data!$A$2:$A$1006,$A865,Data!$B$2:$B$1006,$B865)</f>
        <v>22.078376</v>
      </c>
      <c r="H865" s="10" t="n">
        <f aca="false">SUMIFS(Data!$G$2:$G$1006,Data!$A$2:$A$1006,$A865,Data!$B$2:$B$1006,$B865)</f>
        <v>22.977471</v>
      </c>
      <c r="I865" s="10" t="n">
        <f aca="false">SUMIFS(Data!$N$2:$N$1006,Data!$A$2:$A$1006,$A865,Data!$B$2:$B$1006,$B865)</f>
        <v>74.603491</v>
      </c>
      <c r="J865" s="10" t="n">
        <f aca="false">SUMIFS(Data!$H$2:$H$1006,Data!$A$2:$A$1006,$A865,Data!$B$2:$B$1006,$B865)</f>
        <v>32.118362</v>
      </c>
      <c r="K865" s="11" t="n">
        <f aca="false">IFERROR(F865*1000000/$E865,"")</f>
        <v>173.529981089303</v>
      </c>
      <c r="L865" s="11" t="n">
        <f aca="false">IFERROR(G865*1000000/$E865,"")</f>
        <v>129.663812443473</v>
      </c>
      <c r="M865" s="11" t="n">
        <f aca="false">IFERROR(H865*1000000/$E865,"")</f>
        <v>134.944095986469</v>
      </c>
      <c r="N865" s="11" t="n">
        <f aca="false">IFERROR(I865*1000000/$E865,"")</f>
        <v>438.137889519245</v>
      </c>
      <c r="O865" s="11" t="n">
        <f aca="false">IFERROR(J865*1000000/$E865,"")</f>
        <v>188.627518000399</v>
      </c>
      <c r="P865" s="16" t="n">
        <f aca="false">COUNTIFS($A$4:$A$1008,$A865,$N$4:$N$1008,"&gt;"&amp;N865)+1</f>
        <v>8</v>
      </c>
      <c r="Q865" s="16" t="n">
        <f aca="false">COUNTIFS($A$4:$A$1008,$A865,$O$4:$O$1008,"&gt;"&amp;O865)+1</f>
        <v>32</v>
      </c>
    </row>
    <row r="866" customFormat="false" ht="15" hidden="false" customHeight="false" outlineLevel="0" collapsed="false">
      <c r="A866" s="7" t="n">
        <v>2022</v>
      </c>
      <c r="B866" s="15" t="s">
        <v>113</v>
      </c>
      <c r="C866" s="15" t="s">
        <v>102</v>
      </c>
      <c r="D866" s="15" t="s">
        <v>114</v>
      </c>
      <c r="E866" s="9" t="n">
        <f aca="false">SUMIFS(Data!$L$2:$L$1006,Data!$A$2:$A$1006,$A866,Data!$B$2:$B$1006,$B866)</f>
        <v>436089</v>
      </c>
      <c r="F866" s="10" t="n">
        <f aca="false">SUMIFS(Data!$E$2:$E$1006,Data!$A$2:$A$1006,$A866,Data!$B$2:$B$1006,$B866)</f>
        <v>60.529063</v>
      </c>
      <c r="G866" s="10" t="n">
        <f aca="false">SUMIFS(Data!$F$2:$F$1006,Data!$A$2:$A$1006,$A866,Data!$B$2:$B$1006,$B866)</f>
        <v>21.5794</v>
      </c>
      <c r="H866" s="10" t="n">
        <f aca="false">SUMIFS(Data!$G$2:$G$1006,Data!$A$2:$A$1006,$A866,Data!$B$2:$B$1006,$B866)</f>
        <v>42.27731</v>
      </c>
      <c r="I866" s="10" t="n">
        <f aca="false">SUMIFS(Data!$N$2:$N$1006,Data!$A$2:$A$1006,$A866,Data!$B$2:$B$1006,$B866)</f>
        <v>124.385773</v>
      </c>
      <c r="J866" s="10" t="n">
        <f aca="false">SUMIFS(Data!$H$2:$H$1006,Data!$A$2:$A$1006,$A866,Data!$B$2:$B$1006,$B866)</f>
        <v>93.037711</v>
      </c>
      <c r="K866" s="11" t="n">
        <f aca="false">IFERROR(F866*1000000/$E866,"")</f>
        <v>138.799793161488</v>
      </c>
      <c r="L866" s="11" t="n">
        <f aca="false">IFERROR(G866*1000000/$E866,"")</f>
        <v>49.4839356186467</v>
      </c>
      <c r="M866" s="11" t="n">
        <f aca="false">IFERROR(H866*1000000/$E866,"")</f>
        <v>96.9465177979724</v>
      </c>
      <c r="N866" s="11" t="n">
        <f aca="false">IFERROR(I866*1000000/$E866,"")</f>
        <v>285.230246578107</v>
      </c>
      <c r="O866" s="11" t="n">
        <f aca="false">IFERROR(J866*1000000/$E866,"")</f>
        <v>213.345695488765</v>
      </c>
      <c r="P866" s="16" t="n">
        <f aca="false">COUNTIFS($A$4:$A$1008,$A866,$N$4:$N$1008,"&gt;"&amp;N866)+1</f>
        <v>33</v>
      </c>
      <c r="Q866" s="16" t="n">
        <f aca="false">COUNTIFS($A$4:$A$1008,$A866,$O$4:$O$1008,"&gt;"&amp;O866)+1</f>
        <v>29</v>
      </c>
    </row>
    <row r="867" customFormat="false" ht="15" hidden="false" customHeight="false" outlineLevel="0" collapsed="false">
      <c r="A867" s="7" t="n">
        <v>2022</v>
      </c>
      <c r="B867" s="15" t="s">
        <v>115</v>
      </c>
      <c r="C867" s="15" t="s">
        <v>102</v>
      </c>
      <c r="D867" s="15" t="s">
        <v>103</v>
      </c>
      <c r="E867" s="9" t="n">
        <f aca="false">SUMIFS(Data!$L$2:$L$1006,Data!$A$2:$A$1006,$A867,Data!$B$2:$B$1006,$B867)</f>
        <v>314502</v>
      </c>
      <c r="F867" s="10" t="n">
        <f aca="false">SUMIFS(Data!$E$2:$E$1006,Data!$A$2:$A$1006,$A867,Data!$B$2:$B$1006,$B867)</f>
        <v>27.467518</v>
      </c>
      <c r="G867" s="10" t="n">
        <f aca="false">SUMIFS(Data!$F$2:$F$1006,Data!$A$2:$A$1006,$A867,Data!$B$2:$B$1006,$B867)</f>
        <v>10.746533</v>
      </c>
      <c r="H867" s="10" t="n">
        <f aca="false">SUMIFS(Data!$G$2:$G$1006,Data!$A$2:$A$1006,$A867,Data!$B$2:$B$1006,$B867)</f>
        <v>37.816222</v>
      </c>
      <c r="I867" s="10" t="n">
        <f aca="false">SUMIFS(Data!$N$2:$N$1006,Data!$A$2:$A$1006,$A867,Data!$B$2:$B$1006,$B867)</f>
        <v>76.030273</v>
      </c>
      <c r="J867" s="10" t="n">
        <f aca="false">SUMIFS(Data!$H$2:$H$1006,Data!$A$2:$A$1006,$A867,Data!$B$2:$B$1006,$B867)</f>
        <v>46.362483</v>
      </c>
      <c r="K867" s="11" t="n">
        <f aca="false">IFERROR(F867*1000000/$E867,"")</f>
        <v>87.3365447596518</v>
      </c>
      <c r="L867" s="11" t="n">
        <f aca="false">IFERROR(G867*1000000/$E867,"")</f>
        <v>34.1699989189258</v>
      </c>
      <c r="M867" s="11" t="n">
        <f aca="false">IFERROR(H867*1000000/$E867,"")</f>
        <v>120.241594648047</v>
      </c>
      <c r="N867" s="11" t="n">
        <f aca="false">IFERROR(I867*1000000/$E867,"")</f>
        <v>241.748138326624</v>
      </c>
      <c r="O867" s="11" t="n">
        <f aca="false">IFERROR(J867*1000000/$E867,"")</f>
        <v>147.415542667455</v>
      </c>
      <c r="P867" s="16" t="n">
        <f aca="false">COUNTIFS($A$4:$A$1008,$A867,$N$4:$N$1008,"&gt;"&amp;N867)+1</f>
        <v>37</v>
      </c>
      <c r="Q867" s="16" t="n">
        <f aca="false">COUNTIFS($A$4:$A$1008,$A867,$O$4:$O$1008,"&gt;"&amp;O867)+1</f>
        <v>39</v>
      </c>
    </row>
    <row r="868" customFormat="false" ht="15" hidden="false" customHeight="false" outlineLevel="0" collapsed="false">
      <c r="A868" s="7" t="n">
        <v>2022</v>
      </c>
      <c r="B868" s="15" t="s">
        <v>116</v>
      </c>
      <c r="C868" s="15" t="s">
        <v>102</v>
      </c>
      <c r="D868" s="15" t="s">
        <v>107</v>
      </c>
      <c r="E868" s="9" t="n">
        <f aca="false">SUMIFS(Data!$L$2:$L$1006,Data!$A$2:$A$1006,$A868,Data!$B$2:$B$1006,$B868)</f>
        <v>735509</v>
      </c>
      <c r="F868" s="10" t="n">
        <f aca="false">SUMIFS(Data!$E$2:$E$1006,Data!$A$2:$A$1006,$A868,Data!$B$2:$B$1006,$B868)</f>
        <v>112.917189</v>
      </c>
      <c r="G868" s="10" t="n">
        <f aca="false">SUMIFS(Data!$F$2:$F$1006,Data!$A$2:$A$1006,$A868,Data!$B$2:$B$1006,$B868)</f>
        <v>72.571335</v>
      </c>
      <c r="H868" s="10" t="n">
        <f aca="false">SUMIFS(Data!$G$2:$G$1006,Data!$A$2:$A$1006,$A868,Data!$B$2:$B$1006,$B868)</f>
        <v>70.946636</v>
      </c>
      <c r="I868" s="10" t="n">
        <f aca="false">SUMIFS(Data!$N$2:$N$1006,Data!$A$2:$A$1006,$A868,Data!$B$2:$B$1006,$B868)</f>
        <v>256.43516</v>
      </c>
      <c r="J868" s="10" t="n">
        <f aca="false">SUMIFS(Data!$H$2:$H$1006,Data!$A$2:$A$1006,$A868,Data!$B$2:$B$1006,$B868)</f>
        <v>111.213119</v>
      </c>
      <c r="K868" s="11" t="n">
        <f aca="false">IFERROR(F868*1000000/$E868,"")</f>
        <v>153.522511621204</v>
      </c>
      <c r="L868" s="11" t="n">
        <f aca="false">IFERROR(G868*1000000/$E868,"")</f>
        <v>98.6681808108398</v>
      </c>
      <c r="M868" s="11" t="n">
        <f aca="false">IFERROR(H868*1000000/$E868,"")</f>
        <v>96.4592357129553</v>
      </c>
      <c r="N868" s="11" t="n">
        <f aca="false">IFERROR(I868*1000000/$E868,"")</f>
        <v>348.649928144999</v>
      </c>
      <c r="O868" s="11" t="n">
        <f aca="false">IFERROR(J868*1000000/$E868,"")</f>
        <v>151.205653499821</v>
      </c>
      <c r="P868" s="16" t="n">
        <f aca="false">COUNTIFS($A$4:$A$1008,$A868,$N$4:$N$1008,"&gt;"&amp;N868)+1</f>
        <v>19</v>
      </c>
      <c r="Q868" s="16" t="n">
        <f aca="false">COUNTIFS($A$4:$A$1008,$A868,$O$4:$O$1008,"&gt;"&amp;O868)+1</f>
        <v>38</v>
      </c>
    </row>
    <row r="869" customFormat="false" ht="15" hidden="false" customHeight="false" outlineLevel="0" collapsed="false">
      <c r="A869" s="7" t="n">
        <v>2022</v>
      </c>
      <c r="B869" s="15" t="s">
        <v>117</v>
      </c>
      <c r="C869" s="15" t="s">
        <v>118</v>
      </c>
      <c r="D869" s="15" t="s">
        <v>103</v>
      </c>
      <c r="E869" s="9" t="n">
        <f aca="false">SUMIFS(Data!$L$2:$L$1006,Data!$A$2:$A$1006,$A869,Data!$B$2:$B$1006,$B869)</f>
        <v>1519057</v>
      </c>
      <c r="F869" s="10" t="n">
        <f aca="false">SUMIFS(Data!$E$2:$E$1006,Data!$A$2:$A$1006,$A869,Data!$B$2:$B$1006,$B869)</f>
        <v>214.65905</v>
      </c>
      <c r="G869" s="10" t="n">
        <f aca="false">SUMIFS(Data!$F$2:$F$1006,Data!$A$2:$A$1006,$A869,Data!$B$2:$B$1006,$B869)</f>
        <v>129.922896</v>
      </c>
      <c r="H869" s="10" t="n">
        <f aca="false">SUMIFS(Data!$G$2:$G$1006,Data!$A$2:$A$1006,$A869,Data!$B$2:$B$1006,$B869)</f>
        <v>164.726559</v>
      </c>
      <c r="I869" s="10" t="n">
        <f aca="false">SUMIFS(Data!$N$2:$N$1006,Data!$A$2:$A$1006,$A869,Data!$B$2:$B$1006,$B869)</f>
        <v>509.308505</v>
      </c>
      <c r="J869" s="10" t="n">
        <f aca="false">SUMIFS(Data!$H$2:$H$1006,Data!$A$2:$A$1006,$A869,Data!$B$2:$B$1006,$B869)</f>
        <v>455.761279</v>
      </c>
      <c r="K869" s="11" t="n">
        <f aca="false">IFERROR(F869*1000000/$E869,"")</f>
        <v>141.310727642215</v>
      </c>
      <c r="L869" s="11" t="n">
        <f aca="false">IFERROR(G869*1000000/$E869,"")</f>
        <v>85.528650998613</v>
      </c>
      <c r="M869" s="11" t="n">
        <f aca="false">IFERROR(H869*1000000/$E869,"")</f>
        <v>108.440011796792</v>
      </c>
      <c r="N869" s="11" t="n">
        <f aca="false">IFERROR(I869*1000000/$E869,"")</f>
        <v>335.27939043762</v>
      </c>
      <c r="O869" s="11" t="n">
        <f aca="false">IFERROR(J869*1000000/$E869,"")</f>
        <v>300.029083174627</v>
      </c>
      <c r="P869" s="16" t="n">
        <f aca="false">COUNTIFS($A$4:$A$1008,$A869,$N$4:$N$1008,"&gt;"&amp;N869)+1</f>
        <v>23</v>
      </c>
      <c r="Q869" s="16" t="n">
        <f aca="false">COUNTIFS($A$4:$A$1008,$A869,$O$4:$O$1008,"&gt;"&amp;O869)+1</f>
        <v>17</v>
      </c>
    </row>
    <row r="870" customFormat="false" ht="15" hidden="false" customHeight="false" outlineLevel="0" collapsed="false">
      <c r="A870" s="7" t="n">
        <v>2022</v>
      </c>
      <c r="B870" s="15" t="s">
        <v>119</v>
      </c>
      <c r="C870" s="15" t="s">
        <v>118</v>
      </c>
      <c r="D870" s="15" t="s">
        <v>103</v>
      </c>
      <c r="E870" s="9" t="n">
        <f aca="false">SUMIFS(Data!$L$2:$L$1006,Data!$A$2:$A$1006,$A870,Data!$B$2:$B$1006,$B870)</f>
        <v>536317</v>
      </c>
      <c r="F870" s="10" t="n">
        <f aca="false">SUMIFS(Data!$E$2:$E$1006,Data!$A$2:$A$1006,$A870,Data!$B$2:$B$1006,$B870)</f>
        <v>54.605824</v>
      </c>
      <c r="G870" s="10" t="n">
        <f aca="false">SUMIFS(Data!$F$2:$F$1006,Data!$A$2:$A$1006,$A870,Data!$B$2:$B$1006,$B870)</f>
        <v>37.891139</v>
      </c>
      <c r="H870" s="10" t="n">
        <f aca="false">SUMIFS(Data!$G$2:$G$1006,Data!$A$2:$A$1006,$A870,Data!$B$2:$B$1006,$B870)</f>
        <v>64.683274</v>
      </c>
      <c r="I870" s="10" t="n">
        <f aca="false">SUMIFS(Data!$N$2:$N$1006,Data!$A$2:$A$1006,$A870,Data!$B$2:$B$1006,$B870)</f>
        <v>157.180237</v>
      </c>
      <c r="J870" s="10" t="n">
        <f aca="false">SUMIFS(Data!$H$2:$H$1006,Data!$A$2:$A$1006,$A870,Data!$B$2:$B$1006,$B870)</f>
        <v>133.320887</v>
      </c>
      <c r="K870" s="11" t="n">
        <f aca="false">IFERROR(F870*1000000/$E870,"")</f>
        <v>101.81632131743</v>
      </c>
      <c r="L870" s="11" t="n">
        <f aca="false">IFERROR(G870*1000000/$E870,"")</f>
        <v>70.6506394539051</v>
      </c>
      <c r="M870" s="11" t="n">
        <f aca="false">IFERROR(H870*1000000/$E870,"")</f>
        <v>120.606421202386</v>
      </c>
      <c r="N870" s="11" t="n">
        <f aca="false">IFERROR(I870*1000000/$E870,"")</f>
        <v>293.073381973721</v>
      </c>
      <c r="O870" s="11" t="n">
        <f aca="false">IFERROR(J870*1000000/$E870,"")</f>
        <v>248.585979933509</v>
      </c>
      <c r="P870" s="16" t="n">
        <f aca="false">COUNTIFS($A$4:$A$1008,$A870,$N$4:$N$1008,"&gt;"&amp;N870)+1</f>
        <v>30</v>
      </c>
      <c r="Q870" s="16" t="n">
        <f aca="false">COUNTIFS($A$4:$A$1008,$A870,$O$4:$O$1008,"&gt;"&amp;O870)+1</f>
        <v>27</v>
      </c>
    </row>
    <row r="871" customFormat="false" ht="15" hidden="false" customHeight="false" outlineLevel="0" collapsed="false">
      <c r="A871" s="7" t="n">
        <v>2022</v>
      </c>
      <c r="B871" s="15" t="s">
        <v>120</v>
      </c>
      <c r="C871" s="15" t="s">
        <v>118</v>
      </c>
      <c r="D871" s="15" t="s">
        <v>121</v>
      </c>
      <c r="E871" s="9" t="n">
        <f aca="false">SUMIFS(Data!$L$2:$L$1006,Data!$A$2:$A$1006,$A871,Data!$B$2:$B$1006,$B871)</f>
        <v>963755</v>
      </c>
      <c r="F871" s="10" t="n">
        <f aca="false">SUMIFS(Data!$E$2:$E$1006,Data!$A$2:$A$1006,$A871,Data!$B$2:$B$1006,$B871)</f>
        <v>191.330439</v>
      </c>
      <c r="G871" s="10" t="n">
        <f aca="false">SUMIFS(Data!$F$2:$F$1006,Data!$A$2:$A$1006,$A871,Data!$B$2:$B$1006,$B871)</f>
        <v>57.535653</v>
      </c>
      <c r="H871" s="10" t="n">
        <f aca="false">SUMIFS(Data!$G$2:$G$1006,Data!$A$2:$A$1006,$A871,Data!$B$2:$B$1006,$B871)</f>
        <v>179.053317</v>
      </c>
      <c r="I871" s="10" t="n">
        <f aca="false">SUMIFS(Data!$N$2:$N$1006,Data!$A$2:$A$1006,$A871,Data!$B$2:$B$1006,$B871)</f>
        <v>427.919409</v>
      </c>
      <c r="J871" s="10" t="n">
        <f aca="false">SUMIFS(Data!$H$2:$H$1006,Data!$A$2:$A$1006,$A871,Data!$B$2:$B$1006,$B871)</f>
        <v>309.059253</v>
      </c>
      <c r="K871" s="11" t="n">
        <f aca="false">IFERROR(F871*1000000/$E871,"")</f>
        <v>198.526014391624</v>
      </c>
      <c r="L871" s="11" t="n">
        <f aca="false">IFERROR(G871*1000000/$E871,"")</f>
        <v>59.6994599249809</v>
      </c>
      <c r="M871" s="11" t="n">
        <f aca="false">IFERROR(H871*1000000/$E871,"")</f>
        <v>185.787173088596</v>
      </c>
      <c r="N871" s="11" t="n">
        <f aca="false">IFERROR(I871*1000000/$E871,"")</f>
        <v>444.012647405202</v>
      </c>
      <c r="O871" s="11" t="n">
        <f aca="false">IFERROR(J871*1000000/$E871,"")</f>
        <v>320.6823860836</v>
      </c>
      <c r="P871" s="16" t="n">
        <f aca="false">COUNTIFS($A$4:$A$1008,$A871,$N$4:$N$1008,"&gt;"&amp;N871)+1</f>
        <v>7</v>
      </c>
      <c r="Q871" s="16" t="n">
        <f aca="false">COUNTIFS($A$4:$A$1008,$A871,$O$4:$O$1008,"&gt;"&amp;O871)+1</f>
        <v>14</v>
      </c>
    </row>
    <row r="872" customFormat="false" ht="15" hidden="false" customHeight="false" outlineLevel="0" collapsed="false">
      <c r="A872" s="7" t="n">
        <v>2022</v>
      </c>
      <c r="B872" s="15" t="s">
        <v>122</v>
      </c>
      <c r="C872" s="15" t="s">
        <v>118</v>
      </c>
      <c r="D872" s="15" t="s">
        <v>105</v>
      </c>
      <c r="E872" s="9" t="n">
        <f aca="false">SUMIFS(Data!$L$2:$L$1006,Data!$A$2:$A$1006,$A872,Data!$B$2:$B$1006,$B872)</f>
        <v>567212</v>
      </c>
      <c r="F872" s="10" t="n">
        <f aca="false">SUMIFS(Data!$E$2:$E$1006,Data!$A$2:$A$1006,$A872,Data!$B$2:$B$1006,$B872)</f>
        <v>106.512937</v>
      </c>
      <c r="G872" s="10" t="n">
        <f aca="false">SUMIFS(Data!$F$2:$F$1006,Data!$A$2:$A$1006,$A872,Data!$B$2:$B$1006,$B872)</f>
        <v>110.683687</v>
      </c>
      <c r="H872" s="10" t="n">
        <f aca="false">SUMIFS(Data!$G$2:$G$1006,Data!$A$2:$A$1006,$A872,Data!$B$2:$B$1006,$B872)</f>
        <v>92.379675</v>
      </c>
      <c r="I872" s="10" t="n">
        <f aca="false">SUMIFS(Data!$N$2:$N$1006,Data!$A$2:$A$1006,$A872,Data!$B$2:$B$1006,$B872)</f>
        <v>309.576299</v>
      </c>
      <c r="J872" s="10" t="n">
        <f aca="false">SUMIFS(Data!$H$2:$H$1006,Data!$A$2:$A$1006,$A872,Data!$B$2:$B$1006,$B872)</f>
        <v>164.418306</v>
      </c>
      <c r="K872" s="11" t="n">
        <f aca="false">IFERROR(F872*1000000/$E872,"")</f>
        <v>187.783292666587</v>
      </c>
      <c r="L872" s="11" t="n">
        <f aca="false">IFERROR(G872*1000000/$E872,"")</f>
        <v>195.13636347609</v>
      </c>
      <c r="M872" s="11" t="n">
        <f aca="false">IFERROR(H872*1000000/$E872,"")</f>
        <v>162.866221095463</v>
      </c>
      <c r="N872" s="11" t="n">
        <f aca="false">IFERROR(I872*1000000/$E872,"")</f>
        <v>545.78587723814</v>
      </c>
      <c r="O872" s="11" t="n">
        <f aca="false">IFERROR(J872*1000000/$E872,"")</f>
        <v>289.87099356149</v>
      </c>
      <c r="P872" s="16" t="n">
        <f aca="false">COUNTIFS($A$4:$A$1008,$A872,$N$4:$N$1008,"&gt;"&amp;N872)+1</f>
        <v>2</v>
      </c>
      <c r="Q872" s="16" t="n">
        <f aca="false">COUNTIFS($A$4:$A$1008,$A872,$O$4:$O$1008,"&gt;"&amp;O872)+1</f>
        <v>19</v>
      </c>
    </row>
    <row r="873" customFormat="false" ht="15" hidden="false" customHeight="false" outlineLevel="0" collapsed="false">
      <c r="A873" s="7" t="n">
        <v>2022</v>
      </c>
      <c r="B873" s="15" t="s">
        <v>123</v>
      </c>
      <c r="C873" s="15" t="s">
        <v>118</v>
      </c>
      <c r="D873" s="15" t="s">
        <v>124</v>
      </c>
      <c r="E873" s="9" t="n">
        <f aca="false">SUMIFS(Data!$L$2:$L$1006,Data!$A$2:$A$1006,$A873,Data!$B$2:$B$1006,$B873)</f>
        <v>1329040</v>
      </c>
      <c r="F873" s="10" t="n">
        <f aca="false">SUMIFS(Data!$E$2:$E$1006,Data!$A$2:$A$1006,$A873,Data!$B$2:$B$1006,$B873)</f>
        <v>240.972681</v>
      </c>
      <c r="G873" s="10" t="n">
        <f aca="false">SUMIFS(Data!$F$2:$F$1006,Data!$A$2:$A$1006,$A873,Data!$B$2:$B$1006,$B873)</f>
        <v>67.909425</v>
      </c>
      <c r="H873" s="10" t="n">
        <f aca="false">SUMIFS(Data!$G$2:$G$1006,Data!$A$2:$A$1006,$A873,Data!$B$2:$B$1006,$B873)</f>
        <v>174.703487</v>
      </c>
      <c r="I873" s="10" t="n">
        <f aca="false">SUMIFS(Data!$N$2:$N$1006,Data!$A$2:$A$1006,$A873,Data!$B$2:$B$1006,$B873)</f>
        <v>483.585593</v>
      </c>
      <c r="J873" s="10" t="n">
        <f aca="false">SUMIFS(Data!$H$2:$H$1006,Data!$A$2:$A$1006,$A873,Data!$B$2:$B$1006,$B873)</f>
        <v>373.783335</v>
      </c>
      <c r="K873" s="11" t="n">
        <f aca="false">IFERROR(F873*1000000/$E873,"")</f>
        <v>181.313339703846</v>
      </c>
      <c r="L873" s="11" t="n">
        <f aca="false">IFERROR(G873*1000000/$E873,"")</f>
        <v>51.0965998013604</v>
      </c>
      <c r="M873" s="11" t="n">
        <f aca="false">IFERROR(H873*1000000/$E873,"")</f>
        <v>131.450887106483</v>
      </c>
      <c r="N873" s="11" t="n">
        <f aca="false">IFERROR(I873*1000000/$E873,"")</f>
        <v>363.86082661169</v>
      </c>
      <c r="O873" s="11" t="n">
        <f aca="false">IFERROR(J873*1000000/$E873,"")</f>
        <v>281.243104045025</v>
      </c>
      <c r="P873" s="16" t="n">
        <f aca="false">COUNTIFS($A$4:$A$1008,$A873,$N$4:$N$1008,"&gt;"&amp;N873)+1</f>
        <v>17</v>
      </c>
      <c r="Q873" s="16" t="n">
        <f aca="false">COUNTIFS($A$4:$A$1008,$A873,$O$4:$O$1008,"&gt;"&amp;O873)+1</f>
        <v>22</v>
      </c>
    </row>
    <row r="874" customFormat="false" ht="15" hidden="false" customHeight="false" outlineLevel="0" collapsed="false">
      <c r="A874" s="7" t="n">
        <v>2022</v>
      </c>
      <c r="B874" s="15" t="s">
        <v>125</v>
      </c>
      <c r="C874" s="15" t="s">
        <v>118</v>
      </c>
      <c r="D874" s="15" t="s">
        <v>126</v>
      </c>
      <c r="E874" s="9" t="n">
        <f aca="false">SUMIFS(Data!$L$2:$L$1006,Data!$A$2:$A$1006,$A874,Data!$B$2:$B$1006,$B874)</f>
        <v>544897</v>
      </c>
      <c r="F874" s="10" t="n">
        <f aca="false">SUMIFS(Data!$E$2:$E$1006,Data!$A$2:$A$1006,$A874,Data!$B$2:$B$1006,$B874)</f>
        <v>93.010742</v>
      </c>
      <c r="G874" s="10" t="n">
        <f aca="false">SUMIFS(Data!$F$2:$F$1006,Data!$A$2:$A$1006,$A874,Data!$B$2:$B$1006,$B874)</f>
        <v>67.439766</v>
      </c>
      <c r="H874" s="10" t="n">
        <f aca="false">SUMIFS(Data!$G$2:$G$1006,Data!$A$2:$A$1006,$A874,Data!$B$2:$B$1006,$B874)</f>
        <v>84.91141</v>
      </c>
      <c r="I874" s="10" t="n">
        <f aca="false">SUMIFS(Data!$N$2:$N$1006,Data!$A$2:$A$1006,$A874,Data!$B$2:$B$1006,$B874)</f>
        <v>245.361918</v>
      </c>
      <c r="J874" s="10" t="n">
        <f aca="false">SUMIFS(Data!$H$2:$H$1006,Data!$A$2:$A$1006,$A874,Data!$B$2:$B$1006,$B874)</f>
        <v>162.247793</v>
      </c>
      <c r="K874" s="11" t="n">
        <f aca="false">IFERROR(F874*1000000/$E874,"")</f>
        <v>170.694171559029</v>
      </c>
      <c r="L874" s="11" t="n">
        <f aca="false">IFERROR(G874*1000000/$E874,"")</f>
        <v>123.766080562014</v>
      </c>
      <c r="M874" s="11" t="n">
        <f aca="false">IFERROR(H874*1000000/$E874,"")</f>
        <v>155.830202772267</v>
      </c>
      <c r="N874" s="11" t="n">
        <f aca="false">IFERROR(I874*1000000/$E874,"")</f>
        <v>450.29045489331</v>
      </c>
      <c r="O874" s="11" t="n">
        <f aca="false">IFERROR(J874*1000000/$E874,"")</f>
        <v>297.758646129452</v>
      </c>
      <c r="P874" s="16" t="n">
        <f aca="false">COUNTIFS($A$4:$A$1008,$A874,$N$4:$N$1008,"&gt;"&amp;N874)+1</f>
        <v>6</v>
      </c>
      <c r="Q874" s="16" t="n">
        <f aca="false">COUNTIFS($A$4:$A$1008,$A874,$O$4:$O$1008,"&gt;"&amp;O874)+1</f>
        <v>18</v>
      </c>
    </row>
    <row r="875" customFormat="false" ht="15" hidden="false" customHeight="false" outlineLevel="0" collapsed="false">
      <c r="A875" s="7" t="n">
        <v>2022</v>
      </c>
      <c r="B875" s="15" t="s">
        <v>127</v>
      </c>
      <c r="C875" s="15" t="s">
        <v>118</v>
      </c>
      <c r="D875" s="15" t="s">
        <v>103</v>
      </c>
      <c r="E875" s="9" t="n">
        <f aca="false">SUMIFS(Data!$L$2:$L$1006,Data!$A$2:$A$1006,$A875,Data!$B$2:$B$1006,$B875)</f>
        <v>746993</v>
      </c>
      <c r="F875" s="10" t="n">
        <f aca="false">SUMIFS(Data!$E$2:$E$1006,Data!$A$2:$A$1006,$A875,Data!$B$2:$B$1006,$B875)</f>
        <v>71.337425</v>
      </c>
      <c r="G875" s="10" t="n">
        <f aca="false">SUMIFS(Data!$F$2:$F$1006,Data!$A$2:$A$1006,$A875,Data!$B$2:$B$1006,$B875)</f>
        <v>23.006343</v>
      </c>
      <c r="H875" s="10" t="n">
        <f aca="false">SUMIFS(Data!$G$2:$G$1006,Data!$A$2:$A$1006,$A875,Data!$B$2:$B$1006,$B875)</f>
        <v>71.443141</v>
      </c>
      <c r="I875" s="10" t="n">
        <f aca="false">SUMIFS(Data!$N$2:$N$1006,Data!$A$2:$A$1006,$A875,Data!$B$2:$B$1006,$B875)</f>
        <v>165.786909</v>
      </c>
      <c r="J875" s="10" t="n">
        <f aca="false">SUMIFS(Data!$H$2:$H$1006,Data!$A$2:$A$1006,$A875,Data!$B$2:$B$1006,$B875)</f>
        <v>196.638804</v>
      </c>
      <c r="K875" s="11" t="n">
        <f aca="false">IFERROR(F875*1000000/$E875,"")</f>
        <v>95.4994558181937</v>
      </c>
      <c r="L875" s="11" t="n">
        <f aca="false">IFERROR(G875*1000000/$E875,"")</f>
        <v>30.7986058771635</v>
      </c>
      <c r="M875" s="11" t="n">
        <f aca="false">IFERROR(H875*1000000/$E875,"")</f>
        <v>95.6409778940365</v>
      </c>
      <c r="N875" s="11" t="n">
        <f aca="false">IFERROR(I875*1000000/$E875,"")</f>
        <v>221.939039589394</v>
      </c>
      <c r="O875" s="11" t="n">
        <f aca="false">IFERROR(J875*1000000/$E875,"")</f>
        <v>263.240490874747</v>
      </c>
      <c r="P875" s="16" t="n">
        <f aca="false">COUNTIFS($A$4:$A$1008,$A875,$N$4:$N$1008,"&gt;"&amp;N875)+1</f>
        <v>39</v>
      </c>
      <c r="Q875" s="16" t="n">
        <f aca="false">COUNTIFS($A$4:$A$1008,$A875,$O$4:$O$1008,"&gt;"&amp;O875)+1</f>
        <v>25</v>
      </c>
    </row>
    <row r="876" customFormat="false" ht="15" hidden="false" customHeight="false" outlineLevel="0" collapsed="false">
      <c r="A876" s="7" t="n">
        <v>2022</v>
      </c>
      <c r="B876" s="15" t="s">
        <v>128</v>
      </c>
      <c r="C876" s="15" t="s">
        <v>118</v>
      </c>
      <c r="D876" s="15" t="s">
        <v>107</v>
      </c>
      <c r="E876" s="9" t="n">
        <f aca="false">SUMIFS(Data!$L$2:$L$1006,Data!$A$2:$A$1006,$A876,Data!$B$2:$B$1006,$B876)</f>
        <v>609008</v>
      </c>
      <c r="F876" s="10" t="n">
        <f aca="false">SUMIFS(Data!$E$2:$E$1006,Data!$A$2:$A$1006,$A876,Data!$B$2:$B$1006,$B876)</f>
        <v>58.57108</v>
      </c>
      <c r="G876" s="10" t="n">
        <f aca="false">SUMIFS(Data!$F$2:$F$1006,Data!$A$2:$A$1006,$A876,Data!$B$2:$B$1006,$B876)</f>
        <v>46.671062</v>
      </c>
      <c r="H876" s="10" t="n">
        <f aca="false">SUMIFS(Data!$G$2:$G$1006,Data!$A$2:$A$1006,$A876,Data!$B$2:$B$1006,$B876)</f>
        <v>98.242688</v>
      </c>
      <c r="I876" s="10" t="n">
        <f aca="false">SUMIFS(Data!$N$2:$N$1006,Data!$A$2:$A$1006,$A876,Data!$B$2:$B$1006,$B876)</f>
        <v>203.48483</v>
      </c>
      <c r="J876" s="10" t="n">
        <f aca="false">SUMIFS(Data!$H$2:$H$1006,Data!$A$2:$A$1006,$A876,Data!$B$2:$B$1006,$B876)</f>
        <v>187.408302</v>
      </c>
      <c r="K876" s="11" t="n">
        <f aca="false">IFERROR(F876*1000000/$E876,"")</f>
        <v>96.1745658513517</v>
      </c>
      <c r="L876" s="11" t="n">
        <f aca="false">IFERROR(G876*1000000/$E876,"")</f>
        <v>76.6345630927673</v>
      </c>
      <c r="M876" s="11" t="n">
        <f aca="false">IFERROR(H876*1000000/$E876,"")</f>
        <v>161.315923600347</v>
      </c>
      <c r="N876" s="11" t="n">
        <f aca="false">IFERROR(I876*1000000/$E876,"")</f>
        <v>334.125052544466</v>
      </c>
      <c r="O876" s="11" t="n">
        <f aca="false">IFERROR(J876*1000000/$E876,"")</f>
        <v>307.727159577543</v>
      </c>
      <c r="P876" s="16" t="n">
        <f aca="false">COUNTIFS($A$4:$A$1008,$A876,$N$4:$N$1008,"&gt;"&amp;N876)+1</f>
        <v>24</v>
      </c>
      <c r="Q876" s="16" t="n">
        <f aca="false">COUNTIFS($A$4:$A$1008,$A876,$O$4:$O$1008,"&gt;"&amp;O876)+1</f>
        <v>16</v>
      </c>
    </row>
    <row r="877" customFormat="false" ht="15" hidden="false" customHeight="false" outlineLevel="0" collapsed="false">
      <c r="A877" s="7" t="n">
        <v>2022</v>
      </c>
      <c r="B877" s="15" t="s">
        <v>129</v>
      </c>
      <c r="C877" s="15" t="s">
        <v>118</v>
      </c>
      <c r="D877" s="15" t="s">
        <v>107</v>
      </c>
      <c r="E877" s="9" t="n">
        <f aca="false">SUMIFS(Data!$L$2:$L$1006,Data!$A$2:$A$1006,$A877,Data!$B$2:$B$1006,$B877)</f>
        <v>1690627</v>
      </c>
      <c r="F877" s="10" t="n">
        <f aca="false">SUMIFS(Data!$E$2:$E$1006,Data!$A$2:$A$1006,$A877,Data!$B$2:$B$1006,$B877)</f>
        <v>349.747819</v>
      </c>
      <c r="G877" s="10" t="n">
        <f aca="false">SUMIFS(Data!$F$2:$F$1006,Data!$A$2:$A$1006,$A877,Data!$B$2:$B$1006,$B877)</f>
        <v>210.526964</v>
      </c>
      <c r="H877" s="10" t="n">
        <f aca="false">SUMIFS(Data!$G$2:$G$1006,Data!$A$2:$A$1006,$A877,Data!$B$2:$B$1006,$B877)</f>
        <v>168.769889</v>
      </c>
      <c r="I877" s="10" t="n">
        <f aca="false">SUMIFS(Data!$N$2:$N$1006,Data!$A$2:$A$1006,$A877,Data!$B$2:$B$1006,$B877)</f>
        <v>729.044672</v>
      </c>
      <c r="J877" s="10" t="n">
        <f aca="false">SUMIFS(Data!$H$2:$H$1006,Data!$A$2:$A$1006,$A877,Data!$B$2:$B$1006,$B877)</f>
        <v>625.152923</v>
      </c>
      <c r="K877" s="11" t="n">
        <f aca="false">IFERROR(F877*1000000/$E877,"")</f>
        <v>206.87462048104</v>
      </c>
      <c r="L877" s="11" t="n">
        <f aca="false">IFERROR(G877*1000000/$E877,"")</f>
        <v>124.525968176304</v>
      </c>
      <c r="M877" s="11" t="n">
        <f aca="false">IFERROR(H877*1000000/$E877,"")</f>
        <v>99.8268033102512</v>
      </c>
      <c r="N877" s="11" t="n">
        <f aca="false">IFERROR(I877*1000000/$E877,"")</f>
        <v>431.227391967595</v>
      </c>
      <c r="O877" s="11" t="n">
        <f aca="false">IFERROR(J877*1000000/$E877,"")</f>
        <v>369.775783185765</v>
      </c>
      <c r="P877" s="16" t="n">
        <f aca="false">COUNTIFS($A$4:$A$1008,$A877,$N$4:$N$1008,"&gt;"&amp;N877)+1</f>
        <v>10</v>
      </c>
      <c r="Q877" s="16" t="n">
        <f aca="false">COUNTIFS($A$4:$A$1008,$A877,$O$4:$O$1008,"&gt;"&amp;O877)+1</f>
        <v>10</v>
      </c>
    </row>
    <row r="878" customFormat="false" ht="15" hidden="false" customHeight="false" outlineLevel="0" collapsed="false">
      <c r="A878" s="7" t="n">
        <v>2022</v>
      </c>
      <c r="B878" s="15" t="s">
        <v>130</v>
      </c>
      <c r="C878" s="15" t="s">
        <v>118</v>
      </c>
      <c r="D878" s="15" t="s">
        <v>107</v>
      </c>
      <c r="E878" s="9" t="n">
        <f aca="false">SUMIFS(Data!$L$2:$L$1006,Data!$A$2:$A$1006,$A878,Data!$B$2:$B$1006,$B878)</f>
        <v>1472759</v>
      </c>
      <c r="F878" s="10" t="n">
        <f aca="false">SUMIFS(Data!$E$2:$E$1006,Data!$A$2:$A$1006,$A878,Data!$B$2:$B$1006,$B878)</f>
        <v>188.704484</v>
      </c>
      <c r="G878" s="10" t="n">
        <f aca="false">SUMIFS(Data!$F$2:$F$1006,Data!$A$2:$A$1006,$A878,Data!$B$2:$B$1006,$B878)</f>
        <v>165.949934</v>
      </c>
      <c r="H878" s="10" t="n">
        <f aca="false">SUMIFS(Data!$G$2:$G$1006,Data!$A$2:$A$1006,$A878,Data!$B$2:$B$1006,$B878)</f>
        <v>160.811545</v>
      </c>
      <c r="I878" s="10" t="n">
        <f aca="false">SUMIFS(Data!$N$2:$N$1006,Data!$A$2:$A$1006,$A878,Data!$B$2:$B$1006,$B878)</f>
        <v>515.465963</v>
      </c>
      <c r="J878" s="10" t="n">
        <f aca="false">SUMIFS(Data!$H$2:$H$1006,Data!$A$2:$A$1006,$A878,Data!$B$2:$B$1006,$B878)</f>
        <v>259.38727</v>
      </c>
      <c r="K878" s="11" t="n">
        <f aca="false">IFERROR(F878*1000000/$E878,"")</f>
        <v>128.129913991359</v>
      </c>
      <c r="L878" s="11" t="n">
        <f aca="false">IFERROR(G878*1000000/$E878,"")</f>
        <v>112.679626469775</v>
      </c>
      <c r="M878" s="11" t="n">
        <f aca="false">IFERROR(H878*1000000/$E878,"")</f>
        <v>109.190672065151</v>
      </c>
      <c r="N878" s="11" t="n">
        <f aca="false">IFERROR(I878*1000000/$E878,"")</f>
        <v>350.000212526286</v>
      </c>
      <c r="O878" s="11" t="n">
        <f aca="false">IFERROR(J878*1000000/$E878,"")</f>
        <v>176.123364379372</v>
      </c>
      <c r="P878" s="16" t="n">
        <f aca="false">COUNTIFS($A$4:$A$1008,$A878,$N$4:$N$1008,"&gt;"&amp;N878)+1</f>
        <v>18</v>
      </c>
      <c r="Q878" s="16" t="n">
        <f aca="false">COUNTIFS($A$4:$A$1008,$A878,$O$4:$O$1008,"&gt;"&amp;O878)+1</f>
        <v>37</v>
      </c>
    </row>
    <row r="879" customFormat="false" ht="15" hidden="false" customHeight="false" outlineLevel="0" collapsed="false">
      <c r="A879" s="7" t="n">
        <v>2022</v>
      </c>
      <c r="B879" s="15" t="s">
        <v>131</v>
      </c>
      <c r="C879" s="15" t="s">
        <v>118</v>
      </c>
      <c r="D879" s="15" t="s">
        <v>132</v>
      </c>
      <c r="E879" s="9" t="n">
        <f aca="false">SUMIFS(Data!$L$2:$L$1006,Data!$A$2:$A$1006,$A879,Data!$B$2:$B$1006,$B879)</f>
        <v>927425</v>
      </c>
      <c r="F879" s="10" t="n">
        <f aca="false">SUMIFS(Data!$E$2:$E$1006,Data!$A$2:$A$1006,$A879,Data!$B$2:$B$1006,$B879)</f>
        <v>198.041264</v>
      </c>
      <c r="G879" s="10" t="n">
        <f aca="false">SUMIFS(Data!$F$2:$F$1006,Data!$A$2:$A$1006,$A879,Data!$B$2:$B$1006,$B879)</f>
        <v>128.933191</v>
      </c>
      <c r="H879" s="10" t="n">
        <f aca="false">SUMIFS(Data!$G$2:$G$1006,Data!$A$2:$A$1006,$A879,Data!$B$2:$B$1006,$B879)</f>
        <v>211.213663</v>
      </c>
      <c r="I879" s="10" t="n">
        <f aca="false">SUMIFS(Data!$N$2:$N$1006,Data!$A$2:$A$1006,$A879,Data!$B$2:$B$1006,$B879)</f>
        <v>538.188118</v>
      </c>
      <c r="J879" s="10" t="n">
        <f aca="false">SUMIFS(Data!$H$2:$H$1006,Data!$A$2:$A$1006,$A879,Data!$B$2:$B$1006,$B879)</f>
        <v>395.92428</v>
      </c>
      <c r="K879" s="11" t="n">
        <f aca="false">IFERROR(F879*1000000/$E879,"")</f>
        <v>213.538845728765</v>
      </c>
      <c r="L879" s="11" t="n">
        <f aca="false">IFERROR(G879*1000000/$E879,"")</f>
        <v>139.022768417931</v>
      </c>
      <c r="M879" s="11" t="n">
        <f aca="false">IFERROR(H879*1000000/$E879,"")</f>
        <v>227.742041674529</v>
      </c>
      <c r="N879" s="11" t="n">
        <f aca="false">IFERROR(I879*1000000/$E879,"")</f>
        <v>580.303655821225</v>
      </c>
      <c r="O879" s="11" t="n">
        <f aca="false">IFERROR(J879*1000000/$E879,"")</f>
        <v>426.90705987007</v>
      </c>
      <c r="P879" s="16" t="n">
        <f aca="false">COUNTIFS($A$4:$A$1008,$A879,$N$4:$N$1008,"&gt;"&amp;N879)+1</f>
        <v>1</v>
      </c>
      <c r="Q879" s="16" t="n">
        <f aca="false">COUNTIFS($A$4:$A$1008,$A879,$O$4:$O$1008,"&gt;"&amp;O879)+1</f>
        <v>8</v>
      </c>
    </row>
    <row r="880" customFormat="false" ht="15" hidden="false" customHeight="false" outlineLevel="0" collapsed="false">
      <c r="A880" s="7" t="n">
        <v>2022</v>
      </c>
      <c r="B880" s="15" t="s">
        <v>133</v>
      </c>
      <c r="C880" s="15" t="s">
        <v>118</v>
      </c>
      <c r="D880" s="15" t="s">
        <v>105</v>
      </c>
      <c r="E880" s="9" t="n">
        <f aca="false">SUMIFS(Data!$L$2:$L$1006,Data!$A$2:$A$1006,$A880,Data!$B$2:$B$1006,$B880)</f>
        <v>2346606</v>
      </c>
      <c r="F880" s="10" t="n">
        <f aca="false">SUMIFS(Data!$E$2:$E$1006,Data!$A$2:$A$1006,$A880,Data!$B$2:$B$1006,$B880)</f>
        <v>178.009259</v>
      </c>
      <c r="G880" s="10" t="n">
        <f aca="false">SUMIFS(Data!$F$2:$F$1006,Data!$A$2:$A$1006,$A880,Data!$B$2:$B$1006,$B880)</f>
        <v>548.924291</v>
      </c>
      <c r="H880" s="10" t="n">
        <f aca="false">SUMIFS(Data!$G$2:$G$1006,Data!$A$2:$A$1006,$A880,Data!$B$2:$B$1006,$B880)</f>
        <v>257.769144</v>
      </c>
      <c r="I880" s="10" t="n">
        <f aca="false">SUMIFS(Data!$N$2:$N$1006,Data!$A$2:$A$1006,$A880,Data!$B$2:$B$1006,$B880)</f>
        <v>984.702694</v>
      </c>
      <c r="J880" s="10" t="n">
        <f aca="false">SUMIFS(Data!$H$2:$H$1006,Data!$A$2:$A$1006,$A880,Data!$B$2:$B$1006,$B880)</f>
        <v>653.15202</v>
      </c>
      <c r="K880" s="11" t="n">
        <f aca="false">IFERROR(F880*1000000/$E880,"")</f>
        <v>75.8581794302069</v>
      </c>
      <c r="L880" s="11" t="n">
        <f aca="false">IFERROR(G880*1000000/$E880,"")</f>
        <v>233.922648710521</v>
      </c>
      <c r="M880" s="11" t="n">
        <f aca="false">IFERROR(H880*1000000/$E880,"")</f>
        <v>109.847645493108</v>
      </c>
      <c r="N880" s="11" t="n">
        <f aca="false">IFERROR(I880*1000000/$E880,"")</f>
        <v>419.628473633835</v>
      </c>
      <c r="O880" s="11" t="n">
        <f aca="false">IFERROR(J880*1000000/$E880,"")</f>
        <v>278.339022400863</v>
      </c>
      <c r="P880" s="16" t="n">
        <f aca="false">COUNTIFS($A$4:$A$1008,$A880,$N$4:$N$1008,"&gt;"&amp;N880)+1</f>
        <v>12</v>
      </c>
      <c r="Q880" s="16" t="n">
        <f aca="false">COUNTIFS($A$4:$A$1008,$A880,$O$4:$O$1008,"&gt;"&amp;O880)+1</f>
        <v>23</v>
      </c>
    </row>
    <row r="881" customFormat="false" ht="15" hidden="false" customHeight="false" outlineLevel="0" collapsed="false">
      <c r="A881" s="7" t="n">
        <v>2022</v>
      </c>
      <c r="B881" s="15" t="s">
        <v>134</v>
      </c>
      <c r="C881" s="15" t="s">
        <v>135</v>
      </c>
      <c r="D881" s="15" t="s">
        <v>136</v>
      </c>
      <c r="E881" s="9" t="n">
        <f aca="false">SUMIFS(Data!$L$2:$L$1006,Data!$A$2:$A$1006,$A881,Data!$B$2:$B$1006,$B881)</f>
        <v>150464</v>
      </c>
      <c r="F881" s="10" t="n">
        <f aca="false">SUMIFS(Data!$E$2:$E$1006,Data!$A$2:$A$1006,$A881,Data!$B$2:$B$1006,$B881)</f>
        <v>30.857737</v>
      </c>
      <c r="G881" s="10" t="n">
        <f aca="false">SUMIFS(Data!$F$2:$F$1006,Data!$A$2:$A$1006,$A881,Data!$B$2:$B$1006,$B881)</f>
        <v>19.727223</v>
      </c>
      <c r="H881" s="10" t="n">
        <f aca="false">SUMIFS(Data!$G$2:$G$1006,Data!$A$2:$A$1006,$A881,Data!$B$2:$B$1006,$B881)</f>
        <v>23.215901</v>
      </c>
      <c r="I881" s="10" t="n">
        <f aca="false">SUMIFS(Data!$N$2:$N$1006,Data!$A$2:$A$1006,$A881,Data!$B$2:$B$1006,$B881)</f>
        <v>73.800861</v>
      </c>
      <c r="J881" s="10" t="n">
        <f aca="false">SUMIFS(Data!$H$2:$H$1006,Data!$A$2:$A$1006,$A881,Data!$B$2:$B$1006,$B881)</f>
        <v>43.002952</v>
      </c>
      <c r="K881" s="11" t="n">
        <f aca="false">IFERROR(F881*1000000/$E881,"")</f>
        <v>205.08385394513</v>
      </c>
      <c r="L881" s="11" t="n">
        <f aca="false">IFERROR(G881*1000000/$E881,"")</f>
        <v>131.109255370055</v>
      </c>
      <c r="M881" s="11" t="n">
        <f aca="false">IFERROR(H881*1000000/$E881,"")</f>
        <v>154.295386271799</v>
      </c>
      <c r="N881" s="11" t="n">
        <f aca="false">IFERROR(I881*1000000/$E881,"")</f>
        <v>490.488495586984</v>
      </c>
      <c r="O881" s="11" t="n">
        <f aca="false">IFERROR(J881*1000000/$E881,"")</f>
        <v>285.80226499362</v>
      </c>
      <c r="P881" s="16" t="n">
        <f aca="false">COUNTIFS($A$4:$A$1008,$A881,$N$4:$N$1008,"&gt;"&amp;N881)+1</f>
        <v>5</v>
      </c>
      <c r="Q881" s="16" t="n">
        <f aca="false">COUNTIFS($A$4:$A$1008,$A881,$O$4:$O$1008,"&gt;"&amp;O881)+1</f>
        <v>20</v>
      </c>
    </row>
    <row r="882" customFormat="false" ht="15" hidden="false" customHeight="false" outlineLevel="0" collapsed="false">
      <c r="A882" s="7" t="n">
        <v>2022</v>
      </c>
      <c r="B882" s="15" t="s">
        <v>137</v>
      </c>
      <c r="C882" s="15" t="s">
        <v>135</v>
      </c>
      <c r="D882" s="15" t="s">
        <v>138</v>
      </c>
      <c r="E882" s="9" t="n">
        <f aca="false">SUMIFS(Data!$L$2:$L$1006,Data!$A$2:$A$1006,$A882,Data!$B$2:$B$1006,$B882)</f>
        <v>1875019</v>
      </c>
      <c r="F882" s="10" t="n">
        <f aca="false">SUMIFS(Data!$E$2:$E$1006,Data!$A$2:$A$1006,$A882,Data!$B$2:$B$1006,$B882)</f>
        <v>327.462535</v>
      </c>
      <c r="G882" s="10" t="n">
        <f aca="false">SUMIFS(Data!$F$2:$F$1006,Data!$A$2:$A$1006,$A882,Data!$B$2:$B$1006,$B882)</f>
        <v>327.507902</v>
      </c>
      <c r="H882" s="10" t="n">
        <f aca="false">SUMIFS(Data!$G$2:$G$1006,Data!$A$2:$A$1006,$A882,Data!$B$2:$B$1006,$B882)</f>
        <v>298.443514</v>
      </c>
      <c r="I882" s="10" t="n">
        <f aca="false">SUMIFS(Data!$N$2:$N$1006,Data!$A$2:$A$1006,$A882,Data!$B$2:$B$1006,$B882)</f>
        <v>953.413951</v>
      </c>
      <c r="J882" s="10" t="n">
        <f aca="false">SUMIFS(Data!$H$2:$H$1006,Data!$A$2:$A$1006,$A882,Data!$B$2:$B$1006,$B882)</f>
        <v>805.292013</v>
      </c>
      <c r="K882" s="11" t="n">
        <f aca="false">IFERROR(F882*1000000/$E882,"")</f>
        <v>174.644915598189</v>
      </c>
      <c r="L882" s="11" t="n">
        <f aca="false">IFERROR(G882*1000000/$E882,"")</f>
        <v>174.669111086341</v>
      </c>
      <c r="M882" s="11" t="n">
        <f aca="false">IFERROR(H882*1000000/$E882,"")</f>
        <v>159.168261228286</v>
      </c>
      <c r="N882" s="11" t="n">
        <f aca="false">IFERROR(I882*1000000/$E882,"")</f>
        <v>508.482287912816</v>
      </c>
      <c r="O882" s="11" t="n">
        <f aca="false">IFERROR(J882*1000000/$E882,"")</f>
        <v>429.484721488156</v>
      </c>
      <c r="P882" s="16" t="n">
        <f aca="false">COUNTIFS($A$4:$A$1008,$A882,$N$4:$N$1008,"&gt;"&amp;N882)+1</f>
        <v>4</v>
      </c>
      <c r="Q882" s="16" t="n">
        <f aca="false">COUNTIFS($A$4:$A$1008,$A882,$O$4:$O$1008,"&gt;"&amp;O882)+1</f>
        <v>7</v>
      </c>
    </row>
    <row r="883" customFormat="false" ht="15" hidden="false" customHeight="false" outlineLevel="0" collapsed="false">
      <c r="A883" s="7" t="n">
        <v>2022</v>
      </c>
      <c r="B883" s="15" t="s">
        <v>139</v>
      </c>
      <c r="C883" s="15" t="s">
        <v>135</v>
      </c>
      <c r="D883" s="15" t="s">
        <v>138</v>
      </c>
      <c r="E883" s="9" t="n">
        <f aca="false">SUMIFS(Data!$L$2:$L$1006,Data!$A$2:$A$1006,$A883,Data!$B$2:$B$1006,$B883)</f>
        <v>2257415</v>
      </c>
      <c r="F883" s="10" t="n">
        <f aca="false">SUMIFS(Data!$E$2:$E$1006,Data!$A$2:$A$1006,$A883,Data!$B$2:$B$1006,$B883)</f>
        <v>345.413168</v>
      </c>
      <c r="G883" s="10" t="n">
        <f aca="false">SUMIFS(Data!$F$2:$F$1006,Data!$A$2:$A$1006,$A883,Data!$B$2:$B$1006,$B883)</f>
        <v>352.149153</v>
      </c>
      <c r="H883" s="10" t="n">
        <f aca="false">SUMIFS(Data!$G$2:$G$1006,Data!$A$2:$A$1006,$A883,Data!$B$2:$B$1006,$B883)</f>
        <v>462.074623</v>
      </c>
      <c r="I883" s="10" t="n">
        <f aca="false">SUMIFS(Data!$N$2:$N$1006,Data!$A$2:$A$1006,$A883,Data!$B$2:$B$1006,$B883)</f>
        <v>1159.636944</v>
      </c>
      <c r="J883" s="10" t="n">
        <f aca="false">SUMIFS(Data!$H$2:$H$1006,Data!$A$2:$A$1006,$A883,Data!$B$2:$B$1006,$B883)</f>
        <v>948.677779</v>
      </c>
      <c r="K883" s="11" t="n">
        <f aca="false">IFERROR(F883*1000000/$E883,"")</f>
        <v>153.012701696409</v>
      </c>
      <c r="L883" s="11" t="n">
        <f aca="false">IFERROR(G883*1000000/$E883,"")</f>
        <v>155.996639076111</v>
      </c>
      <c r="M883" s="11" t="n">
        <f aca="false">IFERROR(H883*1000000/$E883,"")</f>
        <v>204.691925498856</v>
      </c>
      <c r="N883" s="11" t="n">
        <f aca="false">IFERROR(I883*1000000/$E883,"")</f>
        <v>513.701266271377</v>
      </c>
      <c r="O883" s="11" t="n">
        <f aca="false">IFERROR(J883*1000000/$E883,"")</f>
        <v>420.249612499252</v>
      </c>
      <c r="P883" s="16" t="n">
        <f aca="false">COUNTIFS($A$4:$A$1008,$A883,$N$4:$N$1008,"&gt;"&amp;N883)+1</f>
        <v>3</v>
      </c>
      <c r="Q883" s="16" t="n">
        <f aca="false">COUNTIFS($A$4:$A$1008,$A883,$O$4:$O$1008,"&gt;"&amp;O883)+1</f>
        <v>9</v>
      </c>
    </row>
    <row r="884" customFormat="false" ht="15" hidden="false" customHeight="false" outlineLevel="0" collapsed="false">
      <c r="A884" s="7" t="n">
        <v>2022</v>
      </c>
      <c r="B884" s="15" t="s">
        <v>140</v>
      </c>
      <c r="C884" s="15" t="s">
        <v>135</v>
      </c>
      <c r="D884" s="15" t="s">
        <v>141</v>
      </c>
      <c r="E884" s="9" t="n">
        <f aca="false">SUMIFS(Data!$L$2:$L$1006,Data!$A$2:$A$1006,$A884,Data!$B$2:$B$1006,$B884)</f>
        <v>881328</v>
      </c>
      <c r="F884" s="10" t="n">
        <f aca="false">SUMIFS(Data!$E$2:$E$1006,Data!$A$2:$A$1006,$A884,Data!$B$2:$B$1006,$B884)</f>
        <v>122.09781</v>
      </c>
      <c r="G884" s="10" t="n">
        <f aca="false">SUMIFS(Data!$F$2:$F$1006,Data!$A$2:$A$1006,$A884,Data!$B$2:$B$1006,$B884)</f>
        <v>23.743151</v>
      </c>
      <c r="H884" s="10" t="n">
        <f aca="false">SUMIFS(Data!$G$2:$G$1006,Data!$A$2:$A$1006,$A884,Data!$B$2:$B$1006,$B884)</f>
        <v>96.20628</v>
      </c>
      <c r="I884" s="10" t="n">
        <f aca="false">SUMIFS(Data!$N$2:$N$1006,Data!$A$2:$A$1006,$A884,Data!$B$2:$B$1006,$B884)</f>
        <v>242.047241</v>
      </c>
      <c r="J884" s="10" t="n">
        <f aca="false">SUMIFS(Data!$H$2:$H$1006,Data!$A$2:$A$1006,$A884,Data!$B$2:$B$1006,$B884)</f>
        <v>386.872637</v>
      </c>
      <c r="K884" s="11" t="n">
        <f aca="false">IFERROR(F884*1000000/$E884,"")</f>
        <v>138.538444256849</v>
      </c>
      <c r="L884" s="11" t="n">
        <f aca="false">IFERROR(G884*1000000/$E884,"")</f>
        <v>26.9401982008968</v>
      </c>
      <c r="M884" s="11" t="n">
        <f aca="false">IFERROR(H884*1000000/$E884,"")</f>
        <v>109.160584935461</v>
      </c>
      <c r="N884" s="11" t="n">
        <f aca="false">IFERROR(I884*1000000/$E884,"")</f>
        <v>274.639227393207</v>
      </c>
      <c r="O884" s="11" t="n">
        <f aca="false">IFERROR(J884*1000000/$E884,"")</f>
        <v>438.965557658443</v>
      </c>
      <c r="P884" s="16" t="n">
        <f aca="false">COUNTIFS($A$4:$A$1008,$A884,$N$4:$N$1008,"&gt;"&amp;N884)+1</f>
        <v>35</v>
      </c>
      <c r="Q884" s="16" t="n">
        <f aca="false">COUNTIFS($A$4:$A$1008,$A884,$O$4:$O$1008,"&gt;"&amp;O884)+1</f>
        <v>6</v>
      </c>
    </row>
    <row r="885" customFormat="false" ht="15" hidden="false" customHeight="false" outlineLevel="0" collapsed="false">
      <c r="A885" s="7" t="n">
        <v>2022</v>
      </c>
      <c r="B885" s="15" t="s">
        <v>142</v>
      </c>
      <c r="C885" s="15" t="s">
        <v>135</v>
      </c>
      <c r="D885" s="15" t="s">
        <v>143</v>
      </c>
      <c r="E885" s="9" t="n">
        <f aca="false">SUMIFS(Data!$L$2:$L$1006,Data!$A$2:$A$1006,$A885,Data!$B$2:$B$1006,$B885)</f>
        <v>607734</v>
      </c>
      <c r="F885" s="10" t="n">
        <f aca="false">SUMIFS(Data!$E$2:$E$1006,Data!$A$2:$A$1006,$A885,Data!$B$2:$B$1006,$B885)</f>
        <v>85.296835</v>
      </c>
      <c r="G885" s="10" t="n">
        <f aca="false">SUMIFS(Data!$F$2:$F$1006,Data!$A$2:$A$1006,$A885,Data!$B$2:$B$1006,$B885)</f>
        <v>23.388234</v>
      </c>
      <c r="H885" s="10" t="n">
        <f aca="false">SUMIFS(Data!$G$2:$G$1006,Data!$A$2:$A$1006,$A885,Data!$B$2:$B$1006,$B885)</f>
        <v>92.062621</v>
      </c>
      <c r="I885" s="10" t="n">
        <f aca="false">SUMIFS(Data!$N$2:$N$1006,Data!$A$2:$A$1006,$A885,Data!$B$2:$B$1006,$B885)</f>
        <v>200.74769</v>
      </c>
      <c r="J885" s="10" t="n">
        <f aca="false">SUMIFS(Data!$H$2:$H$1006,Data!$A$2:$A$1006,$A885,Data!$B$2:$B$1006,$B885)</f>
        <v>274.495508</v>
      </c>
      <c r="K885" s="11" t="n">
        <f aca="false">IFERROR(F885*1000000/$E885,"")</f>
        <v>140.352251149352</v>
      </c>
      <c r="L885" s="11" t="n">
        <f aca="false">IFERROR(G885*1000000/$E885,"")</f>
        <v>38.4843270246522</v>
      </c>
      <c r="M885" s="11" t="n">
        <f aca="false">IFERROR(H885*1000000/$E885,"")</f>
        <v>151.485059252897</v>
      </c>
      <c r="N885" s="11" t="n">
        <f aca="false">IFERROR(I885*1000000/$E885,"")</f>
        <v>330.321637426901</v>
      </c>
      <c r="O885" s="11" t="n">
        <f aca="false">IFERROR(J885*1000000/$E885,"")</f>
        <v>451.670480835366</v>
      </c>
      <c r="P885" s="16" t="n">
        <f aca="false">COUNTIFS($A$4:$A$1008,$A885,$N$4:$N$1008,"&gt;"&amp;N885)+1</f>
        <v>26</v>
      </c>
      <c r="Q885" s="16" t="n">
        <f aca="false">COUNTIFS($A$4:$A$1008,$A885,$O$4:$O$1008,"&gt;"&amp;O885)+1</f>
        <v>5</v>
      </c>
    </row>
    <row r="886" customFormat="false" ht="15" hidden="false" customHeight="false" outlineLevel="0" collapsed="false">
      <c r="A886" s="7" t="n">
        <v>2022</v>
      </c>
      <c r="B886" s="15" t="s">
        <v>144</v>
      </c>
      <c r="C886" s="15" t="s">
        <v>135</v>
      </c>
      <c r="D886" s="15" t="s">
        <v>141</v>
      </c>
      <c r="E886" s="9" t="n">
        <f aca="false">SUMIFS(Data!$L$2:$L$1006,Data!$A$2:$A$1006,$A886,Data!$B$2:$B$1006,$B886)</f>
        <v>519319</v>
      </c>
      <c r="F886" s="10" t="n">
        <f aca="false">SUMIFS(Data!$E$2:$E$1006,Data!$A$2:$A$1006,$A886,Data!$B$2:$B$1006,$B886)</f>
        <v>93.054174</v>
      </c>
      <c r="G886" s="10" t="n">
        <f aca="false">SUMIFS(Data!$F$2:$F$1006,Data!$A$2:$A$1006,$A886,Data!$B$2:$B$1006,$B886)</f>
        <v>26.804302</v>
      </c>
      <c r="H886" s="10" t="n">
        <f aca="false">SUMIFS(Data!$G$2:$G$1006,Data!$A$2:$A$1006,$A886,Data!$B$2:$B$1006,$B886)</f>
        <v>53.124211</v>
      </c>
      <c r="I886" s="10" t="n">
        <f aca="false">SUMIFS(Data!$N$2:$N$1006,Data!$A$2:$A$1006,$A886,Data!$B$2:$B$1006,$B886)</f>
        <v>172.982687</v>
      </c>
      <c r="J886" s="10" t="n">
        <f aca="false">SUMIFS(Data!$H$2:$H$1006,Data!$A$2:$A$1006,$A886,Data!$B$2:$B$1006,$B886)</f>
        <v>238.153895</v>
      </c>
      <c r="K886" s="11" t="n">
        <f aca="false">IFERROR(F886*1000000/$E886,"")</f>
        <v>179.184998045517</v>
      </c>
      <c r="L886" s="11" t="n">
        <f aca="false">IFERROR(G886*1000000/$E886,"")</f>
        <v>51.6143295354108</v>
      </c>
      <c r="M886" s="11" t="n">
        <f aca="false">IFERROR(H886*1000000/$E886,"")</f>
        <v>102.295912531604</v>
      </c>
      <c r="N886" s="11" t="n">
        <f aca="false">IFERROR(I886*1000000/$E886,"")</f>
        <v>333.095240112532</v>
      </c>
      <c r="O886" s="11" t="n">
        <f aca="false">IFERROR(J886*1000000/$E886,"")</f>
        <v>458.588834608401</v>
      </c>
      <c r="P886" s="16" t="n">
        <f aca="false">COUNTIFS($A$4:$A$1008,$A886,$N$4:$N$1008,"&gt;"&amp;N886)+1</f>
        <v>25</v>
      </c>
      <c r="Q886" s="16" t="n">
        <f aca="false">COUNTIFS($A$4:$A$1008,$A886,$O$4:$O$1008,"&gt;"&amp;O886)+1</f>
        <v>4</v>
      </c>
    </row>
    <row r="887" customFormat="false" ht="15" hidden="false" customHeight="false" outlineLevel="0" collapsed="false">
      <c r="A887" s="7" t="n">
        <v>2022</v>
      </c>
      <c r="B887" s="15" t="s">
        <v>145</v>
      </c>
      <c r="C887" s="15" t="s">
        <v>135</v>
      </c>
      <c r="D887" s="15" t="s">
        <v>146</v>
      </c>
      <c r="E887" s="9" t="n">
        <f aca="false">SUMIFS(Data!$L$2:$L$1006,Data!$A$2:$A$1006,$A887,Data!$B$2:$B$1006,$B887)</f>
        <v>498042</v>
      </c>
      <c r="F887" s="10" t="n">
        <f aca="false">SUMIFS(Data!$E$2:$E$1006,Data!$A$2:$A$1006,$A887,Data!$B$2:$B$1006,$B887)</f>
        <v>40.310007</v>
      </c>
      <c r="G887" s="10" t="n">
        <f aca="false">SUMIFS(Data!$F$2:$F$1006,Data!$A$2:$A$1006,$A887,Data!$B$2:$B$1006,$B887)</f>
        <v>39.644203</v>
      </c>
      <c r="H887" s="10" t="n">
        <f aca="false">SUMIFS(Data!$G$2:$G$1006,Data!$A$2:$A$1006,$A887,Data!$B$2:$B$1006,$B887)</f>
        <v>101.581837</v>
      </c>
      <c r="I887" s="10" t="n">
        <f aca="false">SUMIFS(Data!$N$2:$N$1006,Data!$A$2:$A$1006,$A887,Data!$B$2:$B$1006,$B887)</f>
        <v>181.536047</v>
      </c>
      <c r="J887" s="10" t="n">
        <f aca="false">SUMIFS(Data!$H$2:$H$1006,Data!$A$2:$A$1006,$A887,Data!$B$2:$B$1006,$B887)</f>
        <v>248.421693</v>
      </c>
      <c r="K887" s="11" t="n">
        <f aca="false">IFERROR(F887*1000000/$E887,"")</f>
        <v>80.9369631476863</v>
      </c>
      <c r="L887" s="11" t="n">
        <f aca="false">IFERROR(G887*1000000/$E887,"")</f>
        <v>79.6001200701949</v>
      </c>
      <c r="M887" s="11" t="n">
        <f aca="false">IFERROR(H887*1000000/$E887,"")</f>
        <v>203.962390722068</v>
      </c>
      <c r="N887" s="11" t="n">
        <f aca="false">IFERROR(I887*1000000/$E887,"")</f>
        <v>364.499473939949</v>
      </c>
      <c r="O887" s="11" t="n">
        <f aca="false">IFERROR(J887*1000000/$E887,"")</f>
        <v>498.796673774501</v>
      </c>
      <c r="P887" s="16" t="n">
        <f aca="false">COUNTIFS($A$4:$A$1008,$A887,$N$4:$N$1008,"&gt;"&amp;N887)+1</f>
        <v>16</v>
      </c>
      <c r="Q887" s="16" t="n">
        <f aca="false">COUNTIFS($A$4:$A$1008,$A887,$O$4:$O$1008,"&gt;"&amp;O887)+1</f>
        <v>2</v>
      </c>
    </row>
    <row r="888" customFormat="false" ht="15" hidden="false" customHeight="false" outlineLevel="0" collapsed="false">
      <c r="A888" s="7" t="n">
        <v>2022</v>
      </c>
      <c r="B888" s="15" t="s">
        <v>147</v>
      </c>
      <c r="C888" s="15" t="s">
        <v>135</v>
      </c>
      <c r="D888" s="15" t="s">
        <v>148</v>
      </c>
      <c r="E888" s="9" t="n">
        <f aca="false">SUMIFS(Data!$L$2:$L$1006,Data!$A$2:$A$1006,$A888,Data!$B$2:$B$1006,$B888)</f>
        <v>162616</v>
      </c>
      <c r="F888" s="10" t="n">
        <f aca="false">SUMIFS(Data!$E$2:$E$1006,Data!$A$2:$A$1006,$A888,Data!$B$2:$B$1006,$B888)</f>
        <v>15.671953</v>
      </c>
      <c r="G888" s="10" t="n">
        <f aca="false">SUMIFS(Data!$F$2:$F$1006,Data!$A$2:$A$1006,$A888,Data!$B$2:$B$1006,$B888)</f>
        <v>19.370415</v>
      </c>
      <c r="H888" s="10" t="n">
        <f aca="false">SUMIFS(Data!$G$2:$G$1006,Data!$A$2:$A$1006,$A888,Data!$B$2:$B$1006,$B888)</f>
        <v>17.19472</v>
      </c>
      <c r="I888" s="10" t="n">
        <f aca="false">SUMIFS(Data!$N$2:$N$1006,Data!$A$2:$A$1006,$A888,Data!$B$2:$B$1006,$B888)</f>
        <v>52.237088</v>
      </c>
      <c r="J888" s="10" t="n">
        <f aca="false">SUMIFS(Data!$H$2:$H$1006,Data!$A$2:$A$1006,$A888,Data!$B$2:$B$1006,$B888)</f>
        <v>39.466244</v>
      </c>
      <c r="K888" s="11" t="n">
        <f aca="false">IFERROR(F888*1000000/$E888,"")</f>
        <v>96.3739914891524</v>
      </c>
      <c r="L888" s="11" t="n">
        <f aca="false">IFERROR(G888*1000000/$E888,"")</f>
        <v>119.117522261032</v>
      </c>
      <c r="M888" s="11" t="n">
        <f aca="false">IFERROR(H888*1000000/$E888,"")</f>
        <v>105.738180744822</v>
      </c>
      <c r="N888" s="11" t="n">
        <f aca="false">IFERROR(I888*1000000/$E888,"")</f>
        <v>321.229694495007</v>
      </c>
      <c r="O888" s="11" t="n">
        <f aca="false">IFERROR(J888*1000000/$E888,"")</f>
        <v>242.695946278349</v>
      </c>
      <c r="P888" s="16" t="n">
        <f aca="false">COUNTIFS($A$4:$A$1008,$A888,$N$4:$N$1008,"&gt;"&amp;N888)+1</f>
        <v>27</v>
      </c>
      <c r="Q888" s="16" t="n">
        <f aca="false">COUNTIFS($A$4:$A$1008,$A888,$O$4:$O$1008,"&gt;"&amp;O888)+1</f>
        <v>28</v>
      </c>
    </row>
    <row r="889" customFormat="false" ht="15" hidden="false" customHeight="false" outlineLevel="0" collapsed="false">
      <c r="A889" s="7" t="n">
        <v>2022</v>
      </c>
      <c r="B889" s="15" t="s">
        <v>149</v>
      </c>
      <c r="C889" s="15" t="s">
        <v>135</v>
      </c>
      <c r="D889" s="15" t="s">
        <v>146</v>
      </c>
      <c r="E889" s="9" t="n">
        <f aca="false">SUMIFS(Data!$L$2:$L$1006,Data!$A$2:$A$1006,$A889,Data!$B$2:$B$1006,$B889)</f>
        <v>813017</v>
      </c>
      <c r="F889" s="10" t="n">
        <f aca="false">SUMIFS(Data!$E$2:$E$1006,Data!$A$2:$A$1006,$A889,Data!$B$2:$B$1006,$B889)</f>
        <v>96.476463</v>
      </c>
      <c r="G889" s="10" t="n">
        <f aca="false">SUMIFS(Data!$F$2:$F$1006,Data!$A$2:$A$1006,$A889,Data!$B$2:$B$1006,$B889)</f>
        <v>69.397224</v>
      </c>
      <c r="H889" s="10" t="n">
        <f aca="false">SUMIFS(Data!$G$2:$G$1006,Data!$A$2:$A$1006,$A889,Data!$B$2:$B$1006,$B889)</f>
        <v>89.991555</v>
      </c>
      <c r="I889" s="10" t="n">
        <f aca="false">SUMIFS(Data!$N$2:$N$1006,Data!$A$2:$A$1006,$A889,Data!$B$2:$B$1006,$B889)</f>
        <v>255.865242</v>
      </c>
      <c r="J889" s="10" t="n">
        <f aca="false">SUMIFS(Data!$H$2:$H$1006,Data!$A$2:$A$1006,$A889,Data!$B$2:$B$1006,$B889)</f>
        <v>229.446223</v>
      </c>
      <c r="K889" s="11" t="n">
        <f aca="false">IFERROR(F889*1000000/$E889,"")</f>
        <v>118.664754857525</v>
      </c>
      <c r="L889" s="11" t="n">
        <f aca="false">IFERROR(G889*1000000/$E889,"")</f>
        <v>85.3576542679919</v>
      </c>
      <c r="M889" s="11" t="n">
        <f aca="false">IFERROR(H889*1000000/$E889,"")</f>
        <v>110.688405039501</v>
      </c>
      <c r="N889" s="11" t="n">
        <f aca="false">IFERROR(I889*1000000/$E889,"")</f>
        <v>314.710814165017</v>
      </c>
      <c r="O889" s="11" t="n">
        <f aca="false">IFERROR(J889*1000000/$E889,"")</f>
        <v>282.215775315891</v>
      </c>
      <c r="P889" s="16" t="n">
        <f aca="false">COUNTIFS($A$4:$A$1008,$A889,$N$4:$N$1008,"&gt;"&amp;N889)+1</f>
        <v>28</v>
      </c>
      <c r="Q889" s="16" t="n">
        <f aca="false">COUNTIFS($A$4:$A$1008,$A889,$O$4:$O$1008,"&gt;"&amp;O889)+1</f>
        <v>21</v>
      </c>
    </row>
    <row r="890" customFormat="false" ht="15" hidden="false" customHeight="false" outlineLevel="0" collapsed="false">
      <c r="A890" s="7" t="n">
        <v>2022</v>
      </c>
      <c r="B890" s="15" t="s">
        <v>150</v>
      </c>
      <c r="C890" s="15" t="s">
        <v>135</v>
      </c>
      <c r="D890" s="15" t="s">
        <v>141</v>
      </c>
      <c r="E890" s="9" t="n">
        <f aca="false">SUMIFS(Data!$L$2:$L$1006,Data!$A$2:$A$1006,$A890,Data!$B$2:$B$1006,$B890)</f>
        <v>484586</v>
      </c>
      <c r="F890" s="10" t="n">
        <f aca="false">SUMIFS(Data!$E$2:$E$1006,Data!$A$2:$A$1006,$A890,Data!$B$2:$B$1006,$B890)</f>
        <v>65.439226</v>
      </c>
      <c r="G890" s="10" t="n">
        <f aca="false">SUMIFS(Data!$F$2:$F$1006,Data!$A$2:$A$1006,$A890,Data!$B$2:$B$1006,$B890)</f>
        <v>18.127961</v>
      </c>
      <c r="H890" s="10" t="n">
        <f aca="false">SUMIFS(Data!$G$2:$G$1006,Data!$A$2:$A$1006,$A890,Data!$B$2:$B$1006,$B890)</f>
        <v>82.535517</v>
      </c>
      <c r="I890" s="10" t="n">
        <f aca="false">SUMIFS(Data!$N$2:$N$1006,Data!$A$2:$A$1006,$A890,Data!$B$2:$B$1006,$B890)</f>
        <v>166.102704</v>
      </c>
      <c r="J890" s="10" t="n">
        <f aca="false">SUMIFS(Data!$H$2:$H$1006,Data!$A$2:$A$1006,$A890,Data!$B$2:$B$1006,$B890)</f>
        <v>228.918817</v>
      </c>
      <c r="K890" s="11" t="n">
        <f aca="false">IFERROR(F890*1000000/$E890,"")</f>
        <v>135.041511723409</v>
      </c>
      <c r="L890" s="11" t="n">
        <f aca="false">IFERROR(G890*1000000/$E890,"")</f>
        <v>37.409171952966</v>
      </c>
      <c r="M890" s="11" t="n">
        <f aca="false">IFERROR(H890*1000000/$E890,"")</f>
        <v>170.321711729187</v>
      </c>
      <c r="N890" s="11" t="n">
        <f aca="false">IFERROR(I890*1000000/$E890,"")</f>
        <v>342.772395405563</v>
      </c>
      <c r="O890" s="11" t="n">
        <f aca="false">IFERROR(J890*1000000/$E890,"")</f>
        <v>472.400806048875</v>
      </c>
      <c r="P890" s="16" t="n">
        <f aca="false">COUNTIFS($A$4:$A$1008,$A890,$N$4:$N$1008,"&gt;"&amp;N890)+1</f>
        <v>22</v>
      </c>
      <c r="Q890" s="16" t="n">
        <f aca="false">COUNTIFS($A$4:$A$1008,$A890,$O$4:$O$1008,"&gt;"&amp;O890)+1</f>
        <v>3</v>
      </c>
    </row>
    <row r="891" customFormat="false" ht="15" hidden="false" customHeight="false" outlineLevel="0" collapsed="false">
      <c r="A891" s="7" t="n">
        <v>2022</v>
      </c>
      <c r="B891" s="15" t="s">
        <v>151</v>
      </c>
      <c r="C891" s="15" t="s">
        <v>135</v>
      </c>
      <c r="D891" s="15" t="s">
        <v>136</v>
      </c>
      <c r="E891" s="9" t="n">
        <f aca="false">SUMIFS(Data!$L$2:$L$1006,Data!$A$2:$A$1006,$A891,Data!$B$2:$B$1006,$B891)</f>
        <v>1538707</v>
      </c>
      <c r="F891" s="10" t="n">
        <f aca="false">SUMIFS(Data!$E$2:$E$1006,Data!$A$2:$A$1006,$A891,Data!$B$2:$B$1006,$B891)</f>
        <v>114.48265</v>
      </c>
      <c r="G891" s="10" t="n">
        <f aca="false">SUMIFS(Data!$F$2:$F$1006,Data!$A$2:$A$1006,$A891,Data!$B$2:$B$1006,$B891)</f>
        <v>203.815916</v>
      </c>
      <c r="H891" s="10" t="n">
        <f aca="false">SUMIFS(Data!$G$2:$G$1006,Data!$A$2:$A$1006,$A891,Data!$B$2:$B$1006,$B891)</f>
        <v>140.040844</v>
      </c>
      <c r="I891" s="10" t="n">
        <f aca="false">SUMIFS(Data!$N$2:$N$1006,Data!$A$2:$A$1006,$A891,Data!$B$2:$B$1006,$B891)</f>
        <v>458.33941</v>
      </c>
      <c r="J891" s="10" t="n">
        <f aca="false">SUMIFS(Data!$H$2:$H$1006,Data!$A$2:$A$1006,$A891,Data!$B$2:$B$1006,$B891)</f>
        <v>418.23802</v>
      </c>
      <c r="K891" s="11" t="n">
        <f aca="false">IFERROR(F891*1000000/$E891,"")</f>
        <v>74.4018516845637</v>
      </c>
      <c r="L891" s="11" t="n">
        <f aca="false">IFERROR(G891*1000000/$E891,"")</f>
        <v>132.4592115328</v>
      </c>
      <c r="M891" s="11" t="n">
        <f aca="false">IFERROR(H891*1000000/$E891,"")</f>
        <v>91.0120276309915</v>
      </c>
      <c r="N891" s="11" t="n">
        <f aca="false">IFERROR(I891*1000000/$E891,"")</f>
        <v>297.873090848355</v>
      </c>
      <c r="O891" s="11" t="n">
        <f aca="false">IFERROR(J891*1000000/$E891,"")</f>
        <v>271.811345499826</v>
      </c>
      <c r="P891" s="16" t="n">
        <f aca="false">COUNTIFS($A$4:$A$1008,$A891,$N$4:$N$1008,"&gt;"&amp;N891)+1</f>
        <v>29</v>
      </c>
      <c r="Q891" s="16" t="n">
        <f aca="false">COUNTIFS($A$4:$A$1008,$A891,$O$4:$O$1008,"&gt;"&amp;O891)+1</f>
        <v>24</v>
      </c>
    </row>
    <row r="892" customFormat="false" ht="15" hidden="false" customHeight="false" outlineLevel="0" collapsed="false">
      <c r="A892" s="7" t="n">
        <v>2022</v>
      </c>
      <c r="B892" s="15" t="s">
        <v>152</v>
      </c>
      <c r="C892" s="15" t="s">
        <v>135</v>
      </c>
      <c r="D892" s="15" t="s">
        <v>148</v>
      </c>
      <c r="E892" s="9" t="n">
        <f aca="false">SUMIFS(Data!$L$2:$L$1006,Data!$A$2:$A$1006,$A892,Data!$B$2:$B$1006,$B892)</f>
        <v>266952</v>
      </c>
      <c r="F892" s="10" t="n">
        <f aca="false">SUMIFS(Data!$E$2:$E$1006,Data!$A$2:$A$1006,$A892,Data!$B$2:$B$1006,$B892)</f>
        <v>29.251678</v>
      </c>
      <c r="G892" s="10" t="n">
        <f aca="false">SUMIFS(Data!$F$2:$F$1006,Data!$A$2:$A$1006,$A892,Data!$B$2:$B$1006,$B892)</f>
        <v>24.955249</v>
      </c>
      <c r="H892" s="10" t="n">
        <f aca="false">SUMIFS(Data!$G$2:$G$1006,Data!$A$2:$A$1006,$A892,Data!$B$2:$B$1006,$B892)</f>
        <v>38.469419</v>
      </c>
      <c r="I892" s="10" t="n">
        <f aca="false">SUMIFS(Data!$N$2:$N$1006,Data!$A$2:$A$1006,$A892,Data!$B$2:$B$1006,$B892)</f>
        <v>92.676346</v>
      </c>
      <c r="J892" s="10" t="n">
        <f aca="false">SUMIFS(Data!$H$2:$H$1006,Data!$A$2:$A$1006,$A892,Data!$B$2:$B$1006,$B892)</f>
        <v>89.078384</v>
      </c>
      <c r="K892" s="11" t="n">
        <f aca="false">IFERROR(F892*1000000/$E892,"")</f>
        <v>109.576545596212</v>
      </c>
      <c r="L892" s="11" t="n">
        <f aca="false">IFERROR(G892*1000000/$E892,"")</f>
        <v>93.48215784111</v>
      </c>
      <c r="M892" s="11" t="n">
        <f aca="false">IFERROR(H892*1000000/$E892,"")</f>
        <v>144.106127693368</v>
      </c>
      <c r="N892" s="11" t="n">
        <f aca="false">IFERROR(I892*1000000/$E892,"")</f>
        <v>347.16483113069</v>
      </c>
      <c r="O892" s="11" t="n">
        <f aca="false">IFERROR(J892*1000000/$E892,"")</f>
        <v>333.686895022326</v>
      </c>
      <c r="P892" s="16" t="n">
        <f aca="false">COUNTIFS($A$4:$A$1008,$A892,$N$4:$N$1008,"&gt;"&amp;N892)+1</f>
        <v>20</v>
      </c>
      <c r="Q892" s="16" t="n">
        <f aca="false">COUNTIFS($A$4:$A$1008,$A892,$O$4:$O$1008,"&gt;"&amp;O892)+1</f>
        <v>12</v>
      </c>
    </row>
    <row r="893" customFormat="false" ht="15" hidden="false" customHeight="false" outlineLevel="0" collapsed="false">
      <c r="A893" s="7" t="n">
        <v>2022</v>
      </c>
      <c r="B893" s="15" t="s">
        <v>153</v>
      </c>
      <c r="C893" s="15" t="s">
        <v>135</v>
      </c>
      <c r="D893" s="15" t="s">
        <v>136</v>
      </c>
      <c r="E893" s="9" t="n">
        <f aca="false">SUMIFS(Data!$L$2:$L$1006,Data!$A$2:$A$1006,$A893,Data!$B$2:$B$1006,$B893)</f>
        <v>134701</v>
      </c>
      <c r="F893" s="10" t="n">
        <f aca="false">SUMIFS(Data!$E$2:$E$1006,Data!$A$2:$A$1006,$A893,Data!$B$2:$B$1006,$B893)</f>
        <v>17.303697</v>
      </c>
      <c r="G893" s="10" t="n">
        <f aca="false">SUMIFS(Data!$F$2:$F$1006,Data!$A$2:$A$1006,$A893,Data!$B$2:$B$1006,$B893)</f>
        <v>24.892147</v>
      </c>
      <c r="H893" s="10" t="n">
        <f aca="false">SUMIFS(Data!$G$2:$G$1006,Data!$A$2:$A$1006,$A893,Data!$B$2:$B$1006,$B893)</f>
        <v>13.81423</v>
      </c>
      <c r="I893" s="10" t="n">
        <f aca="false">SUMIFS(Data!$N$2:$N$1006,Data!$A$2:$A$1006,$A893,Data!$B$2:$B$1006,$B893)</f>
        <v>56.010074</v>
      </c>
      <c r="J893" s="10" t="n">
        <f aca="false">SUMIFS(Data!$H$2:$H$1006,Data!$A$2:$A$1006,$A893,Data!$B$2:$B$1006,$B893)</f>
        <v>43.770622</v>
      </c>
      <c r="K893" s="11" t="n">
        <f aca="false">IFERROR(F893*1000000/$E893,"")</f>
        <v>128.460048551978</v>
      </c>
      <c r="L893" s="11" t="n">
        <f aca="false">IFERROR(G893*1000000/$E893,"")</f>
        <v>184.795562022554</v>
      </c>
      <c r="M893" s="11" t="n">
        <f aca="false">IFERROR(H893*1000000/$E893,"")</f>
        <v>102.554769452343</v>
      </c>
      <c r="N893" s="11" t="n">
        <f aca="false">IFERROR(I893*1000000/$E893,"")</f>
        <v>415.810380026874</v>
      </c>
      <c r="O893" s="11" t="n">
        <f aca="false">IFERROR(J893*1000000/$E893,"")</f>
        <v>324.946526009458</v>
      </c>
      <c r="P893" s="16" t="n">
        <f aca="false">COUNTIFS($A$4:$A$1008,$A893,$N$4:$N$1008,"&gt;"&amp;N893)+1</f>
        <v>13</v>
      </c>
      <c r="Q893" s="16" t="n">
        <f aca="false">COUNTIFS($A$4:$A$1008,$A893,$O$4:$O$1008,"&gt;"&amp;O893)+1</f>
        <v>13</v>
      </c>
    </row>
    <row r="894" customFormat="false" ht="15" hidden="false" customHeight="false" outlineLevel="0" collapsed="false">
      <c r="A894" s="7" t="n">
        <v>2022</v>
      </c>
      <c r="B894" s="15" t="s">
        <v>154</v>
      </c>
      <c r="C894" s="15" t="s">
        <v>135</v>
      </c>
      <c r="D894" s="15" t="s">
        <v>141</v>
      </c>
      <c r="E894" s="9" t="n">
        <f aca="false">SUMIFS(Data!$L$2:$L$1006,Data!$A$2:$A$1006,$A894,Data!$B$2:$B$1006,$B894)</f>
        <v>154505</v>
      </c>
      <c r="F894" s="10" t="n">
        <f aca="false">SUMIFS(Data!$E$2:$E$1006,Data!$A$2:$A$1006,$A894,Data!$B$2:$B$1006,$B894)</f>
        <v>21.355155</v>
      </c>
      <c r="G894" s="10" t="n">
        <f aca="false">SUMIFS(Data!$F$2:$F$1006,Data!$A$2:$A$1006,$A894,Data!$B$2:$B$1006,$B894)</f>
        <v>4.111256</v>
      </c>
      <c r="H894" s="10" t="n">
        <f aca="false">SUMIFS(Data!$G$2:$G$1006,Data!$A$2:$A$1006,$A894,Data!$B$2:$B$1006,$B894)</f>
        <v>28.036509</v>
      </c>
      <c r="I894" s="10" t="n">
        <f aca="false">SUMIFS(Data!$N$2:$N$1006,Data!$A$2:$A$1006,$A894,Data!$B$2:$B$1006,$B894)</f>
        <v>53.50292</v>
      </c>
      <c r="J894" s="10" t="n">
        <f aca="false">SUMIFS(Data!$H$2:$H$1006,Data!$A$2:$A$1006,$A894,Data!$B$2:$B$1006,$B894)</f>
        <v>94.258358</v>
      </c>
      <c r="K894" s="11" t="n">
        <f aca="false">IFERROR(F894*1000000/$E894,"")</f>
        <v>138.216594932203</v>
      </c>
      <c r="L894" s="11" t="n">
        <f aca="false">IFERROR(G894*1000000/$E894,"")</f>
        <v>26.6092100579269</v>
      </c>
      <c r="M894" s="11" t="n">
        <f aca="false">IFERROR(H894*1000000/$E894,"")</f>
        <v>181.460205171354</v>
      </c>
      <c r="N894" s="11" t="n">
        <f aca="false">IFERROR(I894*1000000/$E894,"")</f>
        <v>346.286010161483</v>
      </c>
      <c r="O894" s="11" t="n">
        <f aca="false">IFERROR(J894*1000000/$E894,"")</f>
        <v>610.066716287499</v>
      </c>
      <c r="P894" s="16" t="n">
        <f aca="false">COUNTIFS($A$4:$A$1008,$A894,$N$4:$N$1008,"&gt;"&amp;N894)+1</f>
        <v>21</v>
      </c>
      <c r="Q894" s="16" t="n">
        <f aca="false">COUNTIFS($A$4:$A$1008,$A894,$O$4:$O$1008,"&gt;"&amp;O894)+1</f>
        <v>1</v>
      </c>
    </row>
    <row r="895" customFormat="false" ht="15" hidden="false" customHeight="false" outlineLevel="0" collapsed="false">
      <c r="A895" s="7" t="n">
        <v>2022</v>
      </c>
      <c r="B895" s="15" t="s">
        <v>155</v>
      </c>
      <c r="C895" s="15" t="s">
        <v>135</v>
      </c>
      <c r="D895" s="15" t="s">
        <v>148</v>
      </c>
      <c r="E895" s="9" t="n">
        <f aca="false">SUMIFS(Data!$L$2:$L$1006,Data!$A$2:$A$1006,$A895,Data!$B$2:$B$1006,$B895)</f>
        <v>1148141</v>
      </c>
      <c r="F895" s="10" t="n">
        <f aca="false">SUMIFS(Data!$E$2:$E$1006,Data!$A$2:$A$1006,$A895,Data!$B$2:$B$1006,$B895)</f>
        <v>94.440853</v>
      </c>
      <c r="G895" s="10" t="n">
        <f aca="false">SUMIFS(Data!$F$2:$F$1006,Data!$A$2:$A$1006,$A895,Data!$B$2:$B$1006,$B895)</f>
        <v>88.616041</v>
      </c>
      <c r="H895" s="10" t="n">
        <f aca="false">SUMIFS(Data!$G$2:$G$1006,Data!$A$2:$A$1006,$A895,Data!$B$2:$B$1006,$B895)</f>
        <v>146.116638</v>
      </c>
      <c r="I895" s="10" t="n">
        <f aca="false">SUMIFS(Data!$N$2:$N$1006,Data!$A$2:$A$1006,$A895,Data!$B$2:$B$1006,$B895)</f>
        <v>329.173532</v>
      </c>
      <c r="J895" s="10" t="n">
        <f aca="false">SUMIFS(Data!$H$2:$H$1006,Data!$A$2:$A$1006,$A895,Data!$B$2:$B$1006,$B895)</f>
        <v>285.599708</v>
      </c>
      <c r="K895" s="11" t="n">
        <f aca="false">IFERROR(F895*1000000/$E895,"")</f>
        <v>82.2554485903735</v>
      </c>
      <c r="L895" s="11" t="n">
        <f aca="false">IFERROR(G895*1000000/$E895,"")</f>
        <v>77.1821936504314</v>
      </c>
      <c r="M895" s="11" t="n">
        <f aca="false">IFERROR(H895*1000000/$E895,"")</f>
        <v>127.263670577046</v>
      </c>
      <c r="N895" s="11" t="n">
        <f aca="false">IFERROR(I895*1000000/$E895,"")</f>
        <v>286.701312817851</v>
      </c>
      <c r="O895" s="11" t="n">
        <f aca="false">IFERROR(J895*1000000/$E895,"")</f>
        <v>248.749681441565</v>
      </c>
      <c r="P895" s="16" t="n">
        <f aca="false">COUNTIFS($A$4:$A$1008,$A895,$N$4:$N$1008,"&gt;"&amp;N895)+1</f>
        <v>32</v>
      </c>
      <c r="Q895" s="16" t="n">
        <f aca="false">COUNTIFS($A$4:$A$1008,$A895,$O$4:$O$1008,"&gt;"&amp;O895)+1</f>
        <v>26</v>
      </c>
    </row>
    <row r="896" customFormat="false" ht="15" hidden="false" customHeight="false" outlineLevel="0" collapsed="false">
      <c r="A896" s="7" t="n">
        <v>2022</v>
      </c>
      <c r="B896" s="15" t="s">
        <v>156</v>
      </c>
      <c r="C896" s="15" t="s">
        <v>135</v>
      </c>
      <c r="D896" s="15" t="s">
        <v>148</v>
      </c>
      <c r="E896" s="9" t="n">
        <f aca="false">SUMIFS(Data!$L$2:$L$1006,Data!$A$2:$A$1006,$A896,Data!$B$2:$B$1006,$B896)</f>
        <v>490592</v>
      </c>
      <c r="F896" s="10" t="n">
        <f aca="false">SUMIFS(Data!$E$2:$E$1006,Data!$A$2:$A$1006,$A896,Data!$B$2:$B$1006,$B896)</f>
        <v>32.097968</v>
      </c>
      <c r="G896" s="10" t="n">
        <f aca="false">SUMIFS(Data!$F$2:$F$1006,Data!$A$2:$A$1006,$A896,Data!$B$2:$B$1006,$B896)</f>
        <v>35.273789</v>
      </c>
      <c r="H896" s="10" t="n">
        <f aca="false">SUMIFS(Data!$G$2:$G$1006,Data!$A$2:$A$1006,$A896,Data!$B$2:$B$1006,$B896)</f>
        <v>74.895323</v>
      </c>
      <c r="I896" s="10" t="n">
        <f aca="false">SUMIFS(Data!$N$2:$N$1006,Data!$A$2:$A$1006,$A896,Data!$B$2:$B$1006,$B896)</f>
        <v>142.26708</v>
      </c>
      <c r="J896" s="10" t="n">
        <f aca="false">SUMIFS(Data!$H$2:$H$1006,Data!$A$2:$A$1006,$A896,Data!$B$2:$B$1006,$B896)</f>
        <v>169.475381</v>
      </c>
      <c r="K896" s="11" t="n">
        <f aca="false">IFERROR(F896*1000000/$E896,"")</f>
        <v>65.4270106320527</v>
      </c>
      <c r="L896" s="11" t="n">
        <f aca="false">IFERROR(G896*1000000/$E896,"")</f>
        <v>71.9004569988911</v>
      </c>
      <c r="M896" s="11" t="n">
        <f aca="false">IFERROR(H896*1000000/$E896,"")</f>
        <v>152.663155942209</v>
      </c>
      <c r="N896" s="11" t="n">
        <f aca="false">IFERROR(I896*1000000/$E896,"")</f>
        <v>289.990623573153</v>
      </c>
      <c r="O896" s="11" t="n">
        <f aca="false">IFERROR(J896*1000000/$E896,"")</f>
        <v>345.450763567282</v>
      </c>
      <c r="P896" s="16" t="n">
        <f aca="false">COUNTIFS($A$4:$A$1008,$A896,$N$4:$N$1008,"&gt;"&amp;N896)+1</f>
        <v>31</v>
      </c>
      <c r="Q896" s="16" t="n">
        <f aca="false">COUNTIFS($A$4:$A$1008,$A896,$O$4:$O$1008,"&gt;"&amp;O896)+1</f>
        <v>11</v>
      </c>
    </row>
    <row r="897" customFormat="false" ht="15" hidden="false" customHeight="false" outlineLevel="0" collapsed="false">
      <c r="A897" s="7" t="n">
        <v>2022</v>
      </c>
      <c r="B897" s="15" t="s">
        <v>157</v>
      </c>
      <c r="C897" s="15" t="s">
        <v>135</v>
      </c>
      <c r="D897" s="15" t="s">
        <v>148</v>
      </c>
      <c r="E897" s="9" t="n">
        <f aca="false">SUMIFS(Data!$L$2:$L$1006,Data!$A$2:$A$1006,$A897,Data!$B$2:$B$1006,$B897)</f>
        <v>458948</v>
      </c>
      <c r="F897" s="10" t="n">
        <f aca="false">SUMIFS(Data!$E$2:$E$1006,Data!$A$2:$A$1006,$A897,Data!$B$2:$B$1006,$B897)</f>
        <v>42.058602</v>
      </c>
      <c r="G897" s="10" t="n">
        <f aca="false">SUMIFS(Data!$F$2:$F$1006,Data!$A$2:$A$1006,$A897,Data!$B$2:$B$1006,$B897)</f>
        <v>26.156318</v>
      </c>
      <c r="H897" s="10" t="n">
        <f aca="false">SUMIFS(Data!$G$2:$G$1006,Data!$A$2:$A$1006,$A897,Data!$B$2:$B$1006,$B897)</f>
        <v>43.195416</v>
      </c>
      <c r="I897" s="10" t="n">
        <f aca="false">SUMIFS(Data!$N$2:$N$1006,Data!$A$2:$A$1006,$A897,Data!$B$2:$B$1006,$B897)</f>
        <v>111.410336</v>
      </c>
      <c r="J897" s="10" t="n">
        <f aca="false">SUMIFS(Data!$H$2:$H$1006,Data!$A$2:$A$1006,$A897,Data!$B$2:$B$1006,$B897)</f>
        <v>145.867126</v>
      </c>
      <c r="K897" s="11" t="n">
        <f aca="false">IFERROR(F897*1000000/$E897,"")</f>
        <v>91.6413232000139</v>
      </c>
      <c r="L897" s="11" t="n">
        <f aca="false">IFERROR(G897*1000000/$E897,"")</f>
        <v>56.9918988643594</v>
      </c>
      <c r="M897" s="11" t="n">
        <f aca="false">IFERROR(H897*1000000/$E897,"")</f>
        <v>94.1183227729503</v>
      </c>
      <c r="N897" s="11" t="n">
        <f aca="false">IFERROR(I897*1000000/$E897,"")</f>
        <v>242.751544837324</v>
      </c>
      <c r="O897" s="11" t="n">
        <f aca="false">IFERROR(J897*1000000/$E897,"")</f>
        <v>317.829309638565</v>
      </c>
      <c r="P897" s="16" t="n">
        <f aca="false">COUNTIFS($A$4:$A$1008,$A897,$N$4:$N$1008,"&gt;"&amp;N897)+1</f>
        <v>36</v>
      </c>
      <c r="Q897" s="16" t="n">
        <f aca="false">COUNTIFS($A$4:$A$1008,$A897,$O$4:$O$1008,"&gt;"&amp;O897)+1</f>
        <v>15</v>
      </c>
    </row>
    <row r="898" customFormat="false" ht="15" hidden="false" customHeight="false" outlineLevel="0" collapsed="false">
      <c r="A898" s="7" t="n">
        <v>2023</v>
      </c>
      <c r="B898" s="15" t="s">
        <v>101</v>
      </c>
      <c r="C898" s="15" t="s">
        <v>102</v>
      </c>
      <c r="D898" s="15" t="s">
        <v>103</v>
      </c>
      <c r="E898" s="9" t="n">
        <f aca="false">SUMIFS(Data!$L$2:$L$1006,Data!$A$2:$A$1006,$A898,Data!$B$2:$B$1006,$B898)</f>
        <v>756673</v>
      </c>
      <c r="F898" s="10" t="n">
        <f aca="false">SUMIFS(Data!$E$2:$E$1006,Data!$A$2:$A$1006,$A898,Data!$B$2:$B$1006,$B898)</f>
        <v>86.70411</v>
      </c>
      <c r="G898" s="10" t="n">
        <f aca="false">SUMIFS(Data!$F$2:$F$1006,Data!$A$2:$A$1006,$A898,Data!$B$2:$B$1006,$B898)</f>
        <v>31.592275</v>
      </c>
      <c r="H898" s="10" t="n">
        <f aca="false">SUMIFS(Data!$G$2:$G$1006,Data!$A$2:$A$1006,$A898,Data!$B$2:$B$1006,$B898)</f>
        <v>98.508744</v>
      </c>
      <c r="I898" s="10" t="n">
        <f aca="false">SUMIFS(Data!$N$2:$N$1006,Data!$A$2:$A$1006,$A898,Data!$B$2:$B$1006,$B898)</f>
        <v>216.805129</v>
      </c>
      <c r="J898" s="10" t="n">
        <f aca="false">SUMIFS(Data!$H$2:$H$1006,Data!$A$2:$A$1006,$A898,Data!$B$2:$B$1006,$B898)</f>
        <v>115.481397</v>
      </c>
      <c r="K898" s="11" t="n">
        <f aca="false">IFERROR(F898*1000000/$E898,"")</f>
        <v>114.585970425798</v>
      </c>
      <c r="L898" s="11" t="n">
        <f aca="false">IFERROR(G898*1000000/$E898,"")</f>
        <v>41.7515558239821</v>
      </c>
      <c r="M898" s="11" t="n">
        <f aca="false">IFERROR(H898*1000000/$E898,"")</f>
        <v>130.186677732653</v>
      </c>
      <c r="N898" s="11" t="n">
        <f aca="false">IFERROR(I898*1000000/$E898,"")</f>
        <v>286.524203982434</v>
      </c>
      <c r="O898" s="11" t="n">
        <f aca="false">IFERROR(J898*1000000/$E898,"")</f>
        <v>152.617308930013</v>
      </c>
      <c r="P898" s="16" t="n">
        <f aca="false">COUNTIFS($A$4:$A$1008,$A898,$N$4:$N$1008,"&gt;"&amp;N898)+1</f>
        <v>33</v>
      </c>
      <c r="Q898" s="16" t="n">
        <f aca="false">COUNTIFS($A$4:$A$1008,$A898,$O$4:$O$1008,"&gt;"&amp;O898)+1</f>
        <v>36</v>
      </c>
    </row>
    <row r="899" customFormat="false" ht="15" hidden="false" customHeight="false" outlineLevel="0" collapsed="false">
      <c r="A899" s="7" t="n">
        <v>2023</v>
      </c>
      <c r="B899" s="15" t="s">
        <v>104</v>
      </c>
      <c r="C899" s="15" t="s">
        <v>102</v>
      </c>
      <c r="D899" s="15" t="s">
        <v>105</v>
      </c>
      <c r="E899" s="9" t="n">
        <f aca="false">SUMIFS(Data!$L$2:$L$1006,Data!$A$2:$A$1006,$A899,Data!$B$2:$B$1006,$B899)</f>
        <v>1163141</v>
      </c>
      <c r="F899" s="10" t="n">
        <f aca="false">SUMIFS(Data!$E$2:$E$1006,Data!$A$2:$A$1006,$A899,Data!$B$2:$B$1006,$B899)</f>
        <v>162.229309</v>
      </c>
      <c r="G899" s="10" t="n">
        <f aca="false">SUMIFS(Data!$F$2:$F$1006,Data!$A$2:$A$1006,$A899,Data!$B$2:$B$1006,$B899)</f>
        <v>177.958594</v>
      </c>
      <c r="H899" s="10" t="n">
        <f aca="false">SUMIFS(Data!$G$2:$G$1006,Data!$A$2:$A$1006,$A899,Data!$B$2:$B$1006,$B899)</f>
        <v>160.418972</v>
      </c>
      <c r="I899" s="10" t="n">
        <f aca="false">SUMIFS(Data!$N$2:$N$1006,Data!$A$2:$A$1006,$A899,Data!$B$2:$B$1006,$B899)</f>
        <v>500.606875</v>
      </c>
      <c r="J899" s="10" t="n">
        <f aca="false">SUMIFS(Data!$H$2:$H$1006,Data!$A$2:$A$1006,$A899,Data!$B$2:$B$1006,$B899)</f>
        <v>256.131066</v>
      </c>
      <c r="K899" s="11" t="n">
        <f aca="false">IFERROR(F899*1000000/$E899,"")</f>
        <v>139.47518744503</v>
      </c>
      <c r="L899" s="11" t="n">
        <f aca="false">IFERROR(G899*1000000/$E899,"")</f>
        <v>152.998298572572</v>
      </c>
      <c r="M899" s="11" t="n">
        <f aca="false">IFERROR(H899*1000000/$E899,"")</f>
        <v>137.9187665124</v>
      </c>
      <c r="N899" s="11" t="n">
        <f aca="false">IFERROR(I899*1000000/$E899,"")</f>
        <v>430.392252530003</v>
      </c>
      <c r="O899" s="11" t="n">
        <f aca="false">IFERROR(J899*1000000/$E899,"")</f>
        <v>220.206377386748</v>
      </c>
      <c r="P899" s="16" t="n">
        <f aca="false">COUNTIFS($A$4:$A$1008,$A899,$N$4:$N$1008,"&gt;"&amp;N899)+1</f>
        <v>10</v>
      </c>
      <c r="Q899" s="16" t="n">
        <f aca="false">COUNTIFS($A$4:$A$1008,$A899,$O$4:$O$1008,"&gt;"&amp;O899)+1</f>
        <v>33</v>
      </c>
    </row>
    <row r="900" customFormat="false" ht="15" hidden="false" customHeight="false" outlineLevel="0" collapsed="false">
      <c r="A900" s="7" t="n">
        <v>2023</v>
      </c>
      <c r="B900" s="15" t="s">
        <v>106</v>
      </c>
      <c r="C900" s="15" t="s">
        <v>102</v>
      </c>
      <c r="D900" s="15" t="s">
        <v>107</v>
      </c>
      <c r="E900" s="9" t="n">
        <f aca="false">SUMIFS(Data!$L$2:$L$1006,Data!$A$2:$A$1006,$A900,Data!$B$2:$B$1006,$B900)</f>
        <v>588329</v>
      </c>
      <c r="F900" s="10" t="n">
        <f aca="false">SUMIFS(Data!$E$2:$E$1006,Data!$A$2:$A$1006,$A900,Data!$B$2:$B$1006,$B900)</f>
        <v>85.83434</v>
      </c>
      <c r="G900" s="10" t="n">
        <f aca="false">SUMIFS(Data!$F$2:$F$1006,Data!$A$2:$A$1006,$A900,Data!$B$2:$B$1006,$B900)</f>
        <v>67.421184</v>
      </c>
      <c r="H900" s="10" t="n">
        <f aca="false">SUMIFS(Data!$G$2:$G$1006,Data!$A$2:$A$1006,$A900,Data!$B$2:$B$1006,$B900)</f>
        <v>73.635331</v>
      </c>
      <c r="I900" s="10" t="n">
        <f aca="false">SUMIFS(Data!$N$2:$N$1006,Data!$A$2:$A$1006,$A900,Data!$B$2:$B$1006,$B900)</f>
        <v>226.890855</v>
      </c>
      <c r="J900" s="10" t="n">
        <f aca="false">SUMIFS(Data!$H$2:$H$1006,Data!$A$2:$A$1006,$A900,Data!$B$2:$B$1006,$B900)</f>
        <v>142.158773</v>
      </c>
      <c r="K900" s="11" t="n">
        <f aca="false">IFERROR(F900*1000000/$E900,"")</f>
        <v>145.895136904691</v>
      </c>
      <c r="L900" s="11" t="n">
        <f aca="false">IFERROR(G900*1000000/$E900,"")</f>
        <v>114.59775737725</v>
      </c>
      <c r="M900" s="11" t="n">
        <f aca="false">IFERROR(H900*1000000/$E900,"")</f>
        <v>125.160124692137</v>
      </c>
      <c r="N900" s="11" t="n">
        <f aca="false">IFERROR(I900*1000000/$E900,"")</f>
        <v>385.653018974077</v>
      </c>
      <c r="O900" s="11" t="n">
        <f aca="false">IFERROR(J900*1000000/$E900,"")</f>
        <v>241.631422214441</v>
      </c>
      <c r="P900" s="16" t="n">
        <f aca="false">COUNTIFS($A$4:$A$1008,$A900,$N$4:$N$1008,"&gt;"&amp;N900)+1</f>
        <v>17</v>
      </c>
      <c r="Q900" s="16" t="n">
        <f aca="false">COUNTIFS($A$4:$A$1008,$A900,$O$4:$O$1008,"&gt;"&amp;O900)+1</f>
        <v>31</v>
      </c>
    </row>
    <row r="901" customFormat="false" ht="15" hidden="false" customHeight="false" outlineLevel="0" collapsed="false">
      <c r="A901" s="7" t="n">
        <v>2023</v>
      </c>
      <c r="B901" s="15" t="s">
        <v>108</v>
      </c>
      <c r="C901" s="15" t="s">
        <v>102</v>
      </c>
      <c r="D901" s="15" t="s">
        <v>109</v>
      </c>
      <c r="E901" s="9" t="n">
        <f aca="false">SUMIFS(Data!$L$2:$L$1006,Data!$A$2:$A$1006,$A901,Data!$B$2:$B$1006,$B901)</f>
        <v>396728</v>
      </c>
      <c r="F901" s="10" t="n">
        <f aca="false">SUMIFS(Data!$E$2:$E$1006,Data!$A$2:$A$1006,$A901,Data!$B$2:$B$1006,$B901)</f>
        <v>77.685607</v>
      </c>
      <c r="G901" s="10" t="n">
        <f aca="false">SUMIFS(Data!$F$2:$F$1006,Data!$A$2:$A$1006,$A901,Data!$B$2:$B$1006,$B901)</f>
        <v>14.067856</v>
      </c>
      <c r="H901" s="10" t="n">
        <f aca="false">SUMIFS(Data!$G$2:$G$1006,Data!$A$2:$A$1006,$A901,Data!$B$2:$B$1006,$B901)</f>
        <v>53.609612</v>
      </c>
      <c r="I901" s="10" t="n">
        <f aca="false">SUMIFS(Data!$N$2:$N$1006,Data!$A$2:$A$1006,$A901,Data!$B$2:$B$1006,$B901)</f>
        <v>145.363075</v>
      </c>
      <c r="J901" s="10" t="n">
        <f aca="false">SUMIFS(Data!$H$2:$H$1006,Data!$A$2:$A$1006,$A901,Data!$B$2:$B$1006,$B901)</f>
        <v>90.619047</v>
      </c>
      <c r="K901" s="11" t="n">
        <f aca="false">IFERROR(F901*1000000/$E901,"")</f>
        <v>195.815790667661</v>
      </c>
      <c r="L901" s="11" t="n">
        <f aca="false">IFERROR(G901*1000000/$E901,"")</f>
        <v>35.4597003488536</v>
      </c>
      <c r="M901" s="11" t="n">
        <f aca="false">IFERROR(H901*1000000/$E901,"")</f>
        <v>135.129388397088</v>
      </c>
      <c r="N901" s="11" t="n">
        <f aca="false">IFERROR(I901*1000000/$E901,"")</f>
        <v>366.404879413603</v>
      </c>
      <c r="O901" s="11" t="n">
        <f aca="false">IFERROR(J901*1000000/$E901,"")</f>
        <v>228.416060877982</v>
      </c>
      <c r="P901" s="16" t="n">
        <f aca="false">COUNTIFS($A$4:$A$1008,$A901,$N$4:$N$1008,"&gt;"&amp;N901)+1</f>
        <v>21</v>
      </c>
      <c r="Q901" s="16" t="n">
        <f aca="false">COUNTIFS($A$4:$A$1008,$A901,$O$4:$O$1008,"&gt;"&amp;O901)+1</f>
        <v>32</v>
      </c>
    </row>
    <row r="902" customFormat="false" ht="15" hidden="false" customHeight="false" outlineLevel="0" collapsed="false">
      <c r="A902" s="7" t="n">
        <v>2023</v>
      </c>
      <c r="B902" s="15" t="s">
        <v>110</v>
      </c>
      <c r="C902" s="15" t="s">
        <v>102</v>
      </c>
      <c r="D902" s="15" t="s">
        <v>103</v>
      </c>
      <c r="E902" s="9" t="n">
        <f aca="false">SUMIFS(Data!$L$2:$L$1006,Data!$A$2:$A$1006,$A902,Data!$B$2:$B$1006,$B902)</f>
        <v>1069766</v>
      </c>
      <c r="F902" s="10" t="n">
        <f aca="false">SUMIFS(Data!$E$2:$E$1006,Data!$A$2:$A$1006,$A902,Data!$B$2:$B$1006,$B902)</f>
        <v>132.396605</v>
      </c>
      <c r="G902" s="10" t="n">
        <f aca="false">SUMIFS(Data!$F$2:$F$1006,Data!$A$2:$A$1006,$A902,Data!$B$2:$B$1006,$B902)</f>
        <v>32.515777</v>
      </c>
      <c r="H902" s="10" t="n">
        <f aca="false">SUMIFS(Data!$G$2:$G$1006,Data!$A$2:$A$1006,$A902,Data!$B$2:$B$1006,$B902)</f>
        <v>101.115256</v>
      </c>
      <c r="I902" s="10" t="n">
        <f aca="false">SUMIFS(Data!$N$2:$N$1006,Data!$A$2:$A$1006,$A902,Data!$B$2:$B$1006,$B902)</f>
        <v>266.027638</v>
      </c>
      <c r="J902" s="10" t="n">
        <f aca="false">SUMIFS(Data!$H$2:$H$1006,Data!$A$2:$A$1006,$A902,Data!$B$2:$B$1006,$B902)</f>
        <v>118.426234</v>
      </c>
      <c r="K902" s="11" t="n">
        <f aca="false">IFERROR(F902*1000000/$E902,"")</f>
        <v>123.762210614284</v>
      </c>
      <c r="L902" s="11" t="n">
        <f aca="false">IFERROR(G902*1000000/$E902,"")</f>
        <v>30.3952238153017</v>
      </c>
      <c r="M902" s="11" t="n">
        <f aca="false">IFERROR(H902*1000000/$E902,"")</f>
        <v>94.5209101803572</v>
      </c>
      <c r="N902" s="11" t="n">
        <f aca="false">IFERROR(I902*1000000/$E902,"")</f>
        <v>248.678344609943</v>
      </c>
      <c r="O902" s="11" t="n">
        <f aca="false">IFERROR(J902*1000000/$E902,"")</f>
        <v>110.702933164823</v>
      </c>
      <c r="P902" s="16" t="n">
        <f aca="false">COUNTIFS($A$4:$A$1008,$A902,$N$4:$N$1008,"&gt;"&amp;N902)+1</f>
        <v>38</v>
      </c>
      <c r="Q902" s="16" t="n">
        <f aca="false">COUNTIFS($A$4:$A$1008,$A902,$O$4:$O$1008,"&gt;"&amp;O902)+1</f>
        <v>39</v>
      </c>
    </row>
    <row r="903" customFormat="false" ht="15" hidden="false" customHeight="false" outlineLevel="0" collapsed="false">
      <c r="A903" s="7" t="n">
        <v>2023</v>
      </c>
      <c r="B903" s="15" t="s">
        <v>111</v>
      </c>
      <c r="C903" s="15" t="s">
        <v>102</v>
      </c>
      <c r="D903" s="15" t="s">
        <v>107</v>
      </c>
      <c r="E903" s="9" t="n">
        <f aca="false">SUMIFS(Data!$L$2:$L$1006,Data!$A$2:$A$1006,$A903,Data!$B$2:$B$1006,$B903)</f>
        <v>588213</v>
      </c>
      <c r="F903" s="10" t="n">
        <f aca="false">SUMIFS(Data!$E$2:$E$1006,Data!$A$2:$A$1006,$A903,Data!$B$2:$B$1006,$B903)</f>
        <v>92.429144</v>
      </c>
      <c r="G903" s="10" t="n">
        <f aca="false">SUMIFS(Data!$F$2:$F$1006,Data!$A$2:$A$1006,$A903,Data!$B$2:$B$1006,$B903)</f>
        <v>76.286707</v>
      </c>
      <c r="H903" s="10" t="n">
        <f aca="false">SUMIFS(Data!$G$2:$G$1006,Data!$A$2:$A$1006,$A903,Data!$B$2:$B$1006,$B903)</f>
        <v>74.047233</v>
      </c>
      <c r="I903" s="10" t="n">
        <f aca="false">SUMIFS(Data!$N$2:$N$1006,Data!$A$2:$A$1006,$A903,Data!$B$2:$B$1006,$B903)</f>
        <v>242.763084</v>
      </c>
      <c r="J903" s="10" t="n">
        <f aca="false">SUMIFS(Data!$H$2:$H$1006,Data!$A$2:$A$1006,$A903,Data!$B$2:$B$1006,$B903)</f>
        <v>152.023673</v>
      </c>
      <c r="K903" s="11" t="n">
        <f aca="false">IFERROR(F903*1000000/$E903,"")</f>
        <v>157.135500235459</v>
      </c>
      <c r="L903" s="11" t="n">
        <f aca="false">IFERROR(G903*1000000/$E903,"")</f>
        <v>129.692317238823</v>
      </c>
      <c r="M903" s="11" t="n">
        <f aca="false">IFERROR(H903*1000000/$E903,"")</f>
        <v>125.885067144045</v>
      </c>
      <c r="N903" s="11" t="n">
        <f aca="false">IFERROR(I903*1000000/$E903,"")</f>
        <v>412.712884618327</v>
      </c>
      <c r="O903" s="11" t="n">
        <f aca="false">IFERROR(J903*1000000/$E903,"")</f>
        <v>258.450039356492</v>
      </c>
      <c r="P903" s="16" t="n">
        <f aca="false">COUNTIFS($A$4:$A$1008,$A903,$N$4:$N$1008,"&gt;"&amp;N903)+1</f>
        <v>14</v>
      </c>
      <c r="Q903" s="16" t="n">
        <f aca="false">COUNTIFS($A$4:$A$1008,$A903,$O$4:$O$1008,"&gt;"&amp;O903)+1</f>
        <v>30</v>
      </c>
    </row>
    <row r="904" customFormat="false" ht="15" hidden="false" customHeight="false" outlineLevel="0" collapsed="false">
      <c r="A904" s="7" t="n">
        <v>2023</v>
      </c>
      <c r="B904" s="15" t="s">
        <v>112</v>
      </c>
      <c r="C904" s="15" t="s">
        <v>102</v>
      </c>
      <c r="D904" s="15" t="s">
        <v>107</v>
      </c>
      <c r="E904" s="9" t="n">
        <f aca="false">SUMIFS(Data!$L$2:$L$1006,Data!$A$2:$A$1006,$A904,Data!$B$2:$B$1006,$B904)</f>
        <v>171046</v>
      </c>
      <c r="F904" s="10" t="n">
        <f aca="false">SUMIFS(Data!$E$2:$E$1006,Data!$A$2:$A$1006,$A904,Data!$B$2:$B$1006,$B904)</f>
        <v>34.593793</v>
      </c>
      <c r="G904" s="10" t="n">
        <f aca="false">SUMIFS(Data!$F$2:$F$1006,Data!$A$2:$A$1006,$A904,Data!$B$2:$B$1006,$B904)</f>
        <v>20.102926</v>
      </c>
      <c r="H904" s="10" t="n">
        <f aca="false">SUMIFS(Data!$G$2:$G$1006,Data!$A$2:$A$1006,$A904,Data!$B$2:$B$1006,$B904)</f>
        <v>23.303966</v>
      </c>
      <c r="I904" s="10" t="n">
        <f aca="false">SUMIFS(Data!$N$2:$N$1006,Data!$A$2:$A$1006,$A904,Data!$B$2:$B$1006,$B904)</f>
        <v>78.000685</v>
      </c>
      <c r="J904" s="10" t="n">
        <f aca="false">SUMIFS(Data!$H$2:$H$1006,Data!$A$2:$A$1006,$A904,Data!$B$2:$B$1006,$B904)</f>
        <v>35.377522</v>
      </c>
      <c r="K904" s="11" t="n">
        <f aca="false">IFERROR(F904*1000000/$E904,"")</f>
        <v>202.248477017878</v>
      </c>
      <c r="L904" s="11" t="n">
        <f aca="false">IFERROR(G904*1000000/$E904,"")</f>
        <v>117.52935467652</v>
      </c>
      <c r="M904" s="11" t="n">
        <f aca="false">IFERROR(H904*1000000/$E904,"")</f>
        <v>136.243852530898</v>
      </c>
      <c r="N904" s="11" t="n">
        <f aca="false">IFERROR(I904*1000000/$E904,"")</f>
        <v>456.021684225296</v>
      </c>
      <c r="O904" s="11" t="n">
        <f aca="false">IFERROR(J904*1000000/$E904,"")</f>
        <v>206.830454965331</v>
      </c>
      <c r="P904" s="16" t="n">
        <f aca="false">COUNTIFS($A$4:$A$1008,$A904,$N$4:$N$1008,"&gt;"&amp;N904)+1</f>
        <v>7</v>
      </c>
      <c r="Q904" s="16" t="n">
        <f aca="false">COUNTIFS($A$4:$A$1008,$A904,$O$4:$O$1008,"&gt;"&amp;O904)+1</f>
        <v>34</v>
      </c>
    </row>
    <row r="905" customFormat="false" ht="15" hidden="false" customHeight="false" outlineLevel="0" collapsed="false">
      <c r="A905" s="7" t="n">
        <v>2023</v>
      </c>
      <c r="B905" s="15" t="s">
        <v>113</v>
      </c>
      <c r="C905" s="15" t="s">
        <v>102</v>
      </c>
      <c r="D905" s="15" t="s">
        <v>114</v>
      </c>
      <c r="E905" s="9" t="n">
        <f aca="false">SUMIFS(Data!$L$2:$L$1006,Data!$A$2:$A$1006,$A905,Data!$B$2:$B$1006,$B905)</f>
        <v>441657</v>
      </c>
      <c r="F905" s="10" t="n">
        <f aca="false">SUMIFS(Data!$E$2:$E$1006,Data!$A$2:$A$1006,$A905,Data!$B$2:$B$1006,$B905)</f>
        <v>54.514578</v>
      </c>
      <c r="G905" s="10" t="n">
        <f aca="false">SUMIFS(Data!$F$2:$F$1006,Data!$A$2:$A$1006,$A905,Data!$B$2:$B$1006,$B905)</f>
        <v>20.494247</v>
      </c>
      <c r="H905" s="10" t="n">
        <f aca="false">SUMIFS(Data!$G$2:$G$1006,Data!$A$2:$A$1006,$A905,Data!$B$2:$B$1006,$B905)</f>
        <v>45.476417</v>
      </c>
      <c r="I905" s="10" t="n">
        <f aca="false">SUMIFS(Data!$N$2:$N$1006,Data!$A$2:$A$1006,$A905,Data!$B$2:$B$1006,$B905)</f>
        <v>120.485242</v>
      </c>
      <c r="J905" s="10" t="n">
        <f aca="false">SUMIFS(Data!$H$2:$H$1006,Data!$A$2:$A$1006,$A905,Data!$B$2:$B$1006,$B905)</f>
        <v>122.526651</v>
      </c>
      <c r="K905" s="11" t="n">
        <f aca="false">IFERROR(F905*1000000/$E905,"")</f>
        <v>123.431934736685</v>
      </c>
      <c r="L905" s="11" t="n">
        <f aca="false">IFERROR(G905*1000000/$E905,"")</f>
        <v>46.4030842939204</v>
      </c>
      <c r="M905" s="11" t="n">
        <f aca="false">IFERROR(H905*1000000/$E905,"")</f>
        <v>102.96772608608</v>
      </c>
      <c r="N905" s="11" t="n">
        <f aca="false">IFERROR(I905*1000000/$E905,"")</f>
        <v>272.802745116686</v>
      </c>
      <c r="O905" s="11" t="n">
        <f aca="false">IFERROR(J905*1000000/$E905,"")</f>
        <v>277.424904394134</v>
      </c>
      <c r="P905" s="16" t="n">
        <f aca="false">COUNTIFS($A$4:$A$1008,$A905,$N$4:$N$1008,"&gt;"&amp;N905)+1</f>
        <v>35</v>
      </c>
      <c r="Q905" s="16" t="n">
        <f aca="false">COUNTIFS($A$4:$A$1008,$A905,$O$4:$O$1008,"&gt;"&amp;O905)+1</f>
        <v>28</v>
      </c>
    </row>
    <row r="906" customFormat="false" ht="15" hidden="false" customHeight="false" outlineLevel="0" collapsed="false">
      <c r="A906" s="7" t="n">
        <v>2023</v>
      </c>
      <c r="B906" s="15" t="s">
        <v>115</v>
      </c>
      <c r="C906" s="15" t="s">
        <v>102</v>
      </c>
      <c r="D906" s="15" t="s">
        <v>103</v>
      </c>
      <c r="E906" s="9" t="n">
        <f aca="false">SUMIFS(Data!$L$2:$L$1006,Data!$A$2:$A$1006,$A906,Data!$B$2:$B$1006,$B906)</f>
        <v>315061</v>
      </c>
      <c r="F906" s="10" t="n">
        <f aca="false">SUMIFS(Data!$E$2:$E$1006,Data!$A$2:$A$1006,$A906,Data!$B$2:$B$1006,$B906)</f>
        <v>28.33687</v>
      </c>
      <c r="G906" s="10" t="n">
        <f aca="false">SUMIFS(Data!$F$2:$F$1006,Data!$A$2:$A$1006,$A906,Data!$B$2:$B$1006,$B906)</f>
        <v>10.530095</v>
      </c>
      <c r="H906" s="10" t="n">
        <f aca="false">SUMIFS(Data!$G$2:$G$1006,Data!$A$2:$A$1006,$A906,Data!$B$2:$B$1006,$B906)</f>
        <v>38.564393</v>
      </c>
      <c r="I906" s="10" t="n">
        <f aca="false">SUMIFS(Data!$N$2:$N$1006,Data!$A$2:$A$1006,$A906,Data!$B$2:$B$1006,$B906)</f>
        <v>77.431358</v>
      </c>
      <c r="J906" s="10" t="n">
        <f aca="false">SUMIFS(Data!$H$2:$H$1006,Data!$A$2:$A$1006,$A906,Data!$B$2:$B$1006,$B906)</f>
        <v>40.557097</v>
      </c>
      <c r="K906" s="11" t="n">
        <f aca="false">IFERROR(F906*1000000/$E906,"")</f>
        <v>89.9409003335862</v>
      </c>
      <c r="L906" s="11" t="n">
        <f aca="false">IFERROR(G906*1000000/$E906,"")</f>
        <v>33.4224007414437</v>
      </c>
      <c r="M906" s="11" t="n">
        <f aca="false">IFERROR(H906*1000000/$E906,"")</f>
        <v>122.402941017771</v>
      </c>
      <c r="N906" s="11" t="n">
        <f aca="false">IFERROR(I906*1000000/$E906,"")</f>
        <v>245.766242092801</v>
      </c>
      <c r="O906" s="11" t="n">
        <f aca="false">IFERROR(J906*1000000/$E906,"")</f>
        <v>128.727760655873</v>
      </c>
      <c r="P906" s="16" t="n">
        <f aca="false">COUNTIFS($A$4:$A$1008,$A906,$N$4:$N$1008,"&gt;"&amp;N906)+1</f>
        <v>39</v>
      </c>
      <c r="Q906" s="16" t="n">
        <f aca="false">COUNTIFS($A$4:$A$1008,$A906,$O$4:$O$1008,"&gt;"&amp;O906)+1</f>
        <v>38</v>
      </c>
    </row>
    <row r="907" customFormat="false" ht="15" hidden="false" customHeight="false" outlineLevel="0" collapsed="false">
      <c r="A907" s="7" t="n">
        <v>2023</v>
      </c>
      <c r="B907" s="15" t="s">
        <v>116</v>
      </c>
      <c r="C907" s="15" t="s">
        <v>102</v>
      </c>
      <c r="D907" s="15" t="s">
        <v>107</v>
      </c>
      <c r="E907" s="9" t="n">
        <f aca="false">SUMIFS(Data!$L$2:$L$1006,Data!$A$2:$A$1006,$A907,Data!$B$2:$B$1006,$B907)</f>
        <v>737355</v>
      </c>
      <c r="F907" s="10" t="n">
        <f aca="false">SUMIFS(Data!$E$2:$E$1006,Data!$A$2:$A$1006,$A907,Data!$B$2:$B$1006,$B907)</f>
        <v>90.332097</v>
      </c>
      <c r="G907" s="10" t="n">
        <f aca="false">SUMIFS(Data!$F$2:$F$1006,Data!$A$2:$A$1006,$A907,Data!$B$2:$B$1006,$B907)</f>
        <v>73.664006</v>
      </c>
      <c r="H907" s="10" t="n">
        <f aca="false">SUMIFS(Data!$G$2:$G$1006,Data!$A$2:$A$1006,$A907,Data!$B$2:$B$1006,$B907)</f>
        <v>73.444947</v>
      </c>
      <c r="I907" s="10" t="n">
        <f aca="false">SUMIFS(Data!$N$2:$N$1006,Data!$A$2:$A$1006,$A907,Data!$B$2:$B$1006,$B907)</f>
        <v>237.44105</v>
      </c>
      <c r="J907" s="10" t="n">
        <f aca="false">SUMIFS(Data!$H$2:$H$1006,Data!$A$2:$A$1006,$A907,Data!$B$2:$B$1006,$B907)</f>
        <v>132.792566</v>
      </c>
      <c r="K907" s="11" t="n">
        <f aca="false">IFERROR(F907*1000000/$E907,"")</f>
        <v>122.508285696849</v>
      </c>
      <c r="L907" s="11" t="n">
        <f aca="false">IFERROR(G907*1000000/$E907,"")</f>
        <v>99.903039919713</v>
      </c>
      <c r="M907" s="11" t="n">
        <f aca="false">IFERROR(H907*1000000/$E907,"")</f>
        <v>99.6059523567346</v>
      </c>
      <c r="N907" s="11" t="n">
        <f aca="false">IFERROR(I907*1000000/$E907,"")</f>
        <v>322.017277973297</v>
      </c>
      <c r="O907" s="11" t="n">
        <f aca="false">IFERROR(J907*1000000/$E907,"")</f>
        <v>180.093124749951</v>
      </c>
      <c r="P907" s="16" t="n">
        <f aca="false">COUNTIFS($A$4:$A$1008,$A907,$N$4:$N$1008,"&gt;"&amp;N907)+1</f>
        <v>28</v>
      </c>
      <c r="Q907" s="16" t="n">
        <f aca="false">COUNTIFS($A$4:$A$1008,$A907,$O$4:$O$1008,"&gt;"&amp;O907)+1</f>
        <v>35</v>
      </c>
    </row>
    <row r="908" customFormat="false" ht="15" hidden="false" customHeight="false" outlineLevel="0" collapsed="false">
      <c r="A908" s="7" t="n">
        <v>2023</v>
      </c>
      <c r="B908" s="15" t="s">
        <v>117</v>
      </c>
      <c r="C908" s="15" t="s">
        <v>118</v>
      </c>
      <c r="D908" s="15" t="s">
        <v>103</v>
      </c>
      <c r="E908" s="9" t="n">
        <f aca="false">SUMIFS(Data!$L$2:$L$1006,Data!$A$2:$A$1006,$A908,Data!$B$2:$B$1006,$B908)</f>
        <v>1523794</v>
      </c>
      <c r="F908" s="10" t="n">
        <f aca="false">SUMIFS(Data!$E$2:$E$1006,Data!$A$2:$A$1006,$A908,Data!$B$2:$B$1006,$B908)</f>
        <v>246.568141</v>
      </c>
      <c r="G908" s="10" t="n">
        <f aca="false">SUMIFS(Data!$F$2:$F$1006,Data!$A$2:$A$1006,$A908,Data!$B$2:$B$1006,$B908)</f>
        <v>224.004858</v>
      </c>
      <c r="H908" s="10" t="n">
        <f aca="false">SUMIFS(Data!$G$2:$G$1006,Data!$A$2:$A$1006,$A908,Data!$B$2:$B$1006,$B908)</f>
        <v>174.153363</v>
      </c>
      <c r="I908" s="10" t="n">
        <f aca="false">SUMIFS(Data!$N$2:$N$1006,Data!$A$2:$A$1006,$A908,Data!$B$2:$B$1006,$B908)</f>
        <v>644.726362</v>
      </c>
      <c r="J908" s="10" t="n">
        <f aca="false">SUMIFS(Data!$H$2:$H$1006,Data!$A$2:$A$1006,$A908,Data!$B$2:$B$1006,$B908)</f>
        <v>456.551303</v>
      </c>
      <c r="K908" s="11" t="n">
        <f aca="false">IFERROR(F908*1000000/$E908,"")</f>
        <v>161.811990990908</v>
      </c>
      <c r="L908" s="11" t="n">
        <f aca="false">IFERROR(G908*1000000/$E908,"")</f>
        <v>147.004685672735</v>
      </c>
      <c r="M908" s="11" t="n">
        <f aca="false">IFERROR(H908*1000000/$E908,"")</f>
        <v>114.289308791083</v>
      </c>
      <c r="N908" s="11" t="n">
        <f aca="false">IFERROR(I908*1000000/$E908,"")</f>
        <v>423.105985454727</v>
      </c>
      <c r="O908" s="11" t="n">
        <f aca="false">IFERROR(J908*1000000/$E908,"")</f>
        <v>299.614844919983</v>
      </c>
      <c r="P908" s="16" t="n">
        <f aca="false">COUNTIFS($A$4:$A$1008,$A908,$N$4:$N$1008,"&gt;"&amp;N908)+1</f>
        <v>12</v>
      </c>
      <c r="Q908" s="16" t="n">
        <f aca="false">COUNTIFS($A$4:$A$1008,$A908,$O$4:$O$1008,"&gt;"&amp;O908)+1</f>
        <v>26</v>
      </c>
    </row>
    <row r="909" customFormat="false" ht="15" hidden="false" customHeight="false" outlineLevel="0" collapsed="false">
      <c r="A909" s="7" t="n">
        <v>2023</v>
      </c>
      <c r="B909" s="15" t="s">
        <v>119</v>
      </c>
      <c r="C909" s="15" t="s">
        <v>118</v>
      </c>
      <c r="D909" s="15" t="s">
        <v>103</v>
      </c>
      <c r="E909" s="9" t="n">
        <f aca="false">SUMIFS(Data!$L$2:$L$1006,Data!$A$2:$A$1006,$A909,Data!$B$2:$B$1006,$B909)</f>
        <v>539127</v>
      </c>
      <c r="F909" s="10" t="n">
        <f aca="false">SUMIFS(Data!$E$2:$E$1006,Data!$A$2:$A$1006,$A909,Data!$B$2:$B$1006,$B909)</f>
        <v>61.298849</v>
      </c>
      <c r="G909" s="10" t="n">
        <f aca="false">SUMIFS(Data!$F$2:$F$1006,Data!$A$2:$A$1006,$A909,Data!$B$2:$B$1006,$B909)</f>
        <v>68.160215</v>
      </c>
      <c r="H909" s="10" t="n">
        <f aca="false">SUMIFS(Data!$G$2:$G$1006,Data!$A$2:$A$1006,$A909,Data!$B$2:$B$1006,$B909)</f>
        <v>65.206808</v>
      </c>
      <c r="I909" s="10" t="n">
        <f aca="false">SUMIFS(Data!$N$2:$N$1006,Data!$A$2:$A$1006,$A909,Data!$B$2:$B$1006,$B909)</f>
        <v>194.665872</v>
      </c>
      <c r="J909" s="10" t="n">
        <f aca="false">SUMIFS(Data!$H$2:$H$1006,Data!$A$2:$A$1006,$A909,Data!$B$2:$B$1006,$B909)</f>
        <v>210.265277</v>
      </c>
      <c r="K909" s="11" t="n">
        <f aca="false">IFERROR(F909*1000000/$E909,"")</f>
        <v>113.700202364192</v>
      </c>
      <c r="L909" s="11" t="n">
        <f aca="false">IFERROR(G909*1000000/$E909,"")</f>
        <v>126.427010704342</v>
      </c>
      <c r="M909" s="11" t="n">
        <f aca="false">IFERROR(H909*1000000/$E909,"")</f>
        <v>120.94888217433</v>
      </c>
      <c r="N909" s="11" t="n">
        <f aca="false">IFERROR(I909*1000000/$E909,"")</f>
        <v>361.076095242865</v>
      </c>
      <c r="O909" s="11" t="n">
        <f aca="false">IFERROR(J909*1000000/$E909,"")</f>
        <v>390.010659825978</v>
      </c>
      <c r="P909" s="16" t="n">
        <f aca="false">COUNTIFS($A$4:$A$1008,$A909,$N$4:$N$1008,"&gt;"&amp;N909)+1</f>
        <v>23</v>
      </c>
      <c r="Q909" s="16" t="n">
        <f aca="false">COUNTIFS($A$4:$A$1008,$A909,$O$4:$O$1008,"&gt;"&amp;O909)+1</f>
        <v>14</v>
      </c>
    </row>
    <row r="910" customFormat="false" ht="15" hidden="false" customHeight="false" outlineLevel="0" collapsed="false">
      <c r="A910" s="7" t="n">
        <v>2023</v>
      </c>
      <c r="B910" s="15" t="s">
        <v>120</v>
      </c>
      <c r="C910" s="15" t="s">
        <v>118</v>
      </c>
      <c r="D910" s="15" t="s">
        <v>121</v>
      </c>
      <c r="E910" s="9" t="n">
        <f aca="false">SUMIFS(Data!$L$2:$L$1006,Data!$A$2:$A$1006,$A910,Data!$B$2:$B$1006,$B910)</f>
        <v>965517</v>
      </c>
      <c r="F910" s="10" t="n">
        <f aca="false">SUMIFS(Data!$E$2:$E$1006,Data!$A$2:$A$1006,$A910,Data!$B$2:$B$1006,$B910)</f>
        <v>176.765629</v>
      </c>
      <c r="G910" s="10" t="n">
        <f aca="false">SUMIFS(Data!$F$2:$F$1006,Data!$A$2:$A$1006,$A910,Data!$B$2:$B$1006,$B910)</f>
        <v>61.148439</v>
      </c>
      <c r="H910" s="10" t="n">
        <f aca="false">SUMIFS(Data!$G$2:$G$1006,Data!$A$2:$A$1006,$A910,Data!$B$2:$B$1006,$B910)</f>
        <v>177.35396</v>
      </c>
      <c r="I910" s="10" t="n">
        <f aca="false">SUMIFS(Data!$N$2:$N$1006,Data!$A$2:$A$1006,$A910,Data!$B$2:$B$1006,$B910)</f>
        <v>415.268028</v>
      </c>
      <c r="J910" s="10" t="n">
        <f aca="false">SUMIFS(Data!$H$2:$H$1006,Data!$A$2:$A$1006,$A910,Data!$B$2:$B$1006,$B910)</f>
        <v>316.604771</v>
      </c>
      <c r="K910" s="11" t="n">
        <f aca="false">IFERROR(F910*1000000/$E910,"")</f>
        <v>183.078732948255</v>
      </c>
      <c r="L910" s="11" t="n">
        <f aca="false">IFERROR(G910*1000000/$E910,"")</f>
        <v>63.3323276545105</v>
      </c>
      <c r="M910" s="11" t="n">
        <f aca="false">IFERROR(H910*1000000/$E910,"")</f>
        <v>183.688075922019</v>
      </c>
      <c r="N910" s="11" t="n">
        <f aca="false">IFERROR(I910*1000000/$E910,"")</f>
        <v>430.099136524784</v>
      </c>
      <c r="O910" s="11" t="n">
        <f aca="false">IFERROR(J910*1000000/$E910,"")</f>
        <v>327.912166228042</v>
      </c>
      <c r="P910" s="16" t="n">
        <f aca="false">COUNTIFS($A$4:$A$1008,$A910,$N$4:$N$1008,"&gt;"&amp;N910)+1</f>
        <v>11</v>
      </c>
      <c r="Q910" s="16" t="n">
        <f aca="false">COUNTIFS($A$4:$A$1008,$A910,$O$4:$O$1008,"&gt;"&amp;O910)+1</f>
        <v>21</v>
      </c>
    </row>
    <row r="911" customFormat="false" ht="15" hidden="false" customHeight="false" outlineLevel="0" collapsed="false">
      <c r="A911" s="7" t="n">
        <v>2023</v>
      </c>
      <c r="B911" s="15" t="s">
        <v>122</v>
      </c>
      <c r="C911" s="15" t="s">
        <v>118</v>
      </c>
      <c r="D911" s="15" t="s">
        <v>105</v>
      </c>
      <c r="E911" s="9" t="n">
        <f aca="false">SUMIFS(Data!$L$2:$L$1006,Data!$A$2:$A$1006,$A911,Data!$B$2:$B$1006,$B911)</f>
        <v>569973</v>
      </c>
      <c r="F911" s="10" t="n">
        <f aca="false">SUMIFS(Data!$E$2:$E$1006,Data!$A$2:$A$1006,$A911,Data!$B$2:$B$1006,$B911)</f>
        <v>151.161538</v>
      </c>
      <c r="G911" s="10" t="n">
        <f aca="false">SUMIFS(Data!$F$2:$F$1006,Data!$A$2:$A$1006,$A911,Data!$B$2:$B$1006,$B911)</f>
        <v>113.094592</v>
      </c>
      <c r="H911" s="10" t="n">
        <f aca="false">SUMIFS(Data!$G$2:$G$1006,Data!$A$2:$A$1006,$A911,Data!$B$2:$B$1006,$B911)</f>
        <v>96.267699</v>
      </c>
      <c r="I911" s="10" t="n">
        <f aca="false">SUMIFS(Data!$N$2:$N$1006,Data!$A$2:$A$1006,$A911,Data!$B$2:$B$1006,$B911)</f>
        <v>360.523829</v>
      </c>
      <c r="J911" s="10" t="n">
        <f aca="false">SUMIFS(Data!$H$2:$H$1006,Data!$A$2:$A$1006,$A911,Data!$B$2:$B$1006,$B911)</f>
        <v>213.689192</v>
      </c>
      <c r="K911" s="11" t="n">
        <f aca="false">IFERROR(F911*1000000/$E911,"")</f>
        <v>265.208243197485</v>
      </c>
      <c r="L911" s="11" t="n">
        <f aca="false">IFERROR(G911*1000000/$E911,"")</f>
        <v>198.42096380004</v>
      </c>
      <c r="M911" s="11" t="n">
        <f aca="false">IFERROR(H911*1000000/$E911,"")</f>
        <v>168.898700464759</v>
      </c>
      <c r="N911" s="11" t="n">
        <f aca="false">IFERROR(I911*1000000/$E911,"")</f>
        <v>632.527907462283</v>
      </c>
      <c r="O911" s="11" t="n">
        <f aca="false">IFERROR(J911*1000000/$E911,"")</f>
        <v>374.911078244057</v>
      </c>
      <c r="P911" s="16" t="n">
        <f aca="false">COUNTIFS($A$4:$A$1008,$A911,$N$4:$N$1008,"&gt;"&amp;N911)+1</f>
        <v>1</v>
      </c>
      <c r="Q911" s="16" t="n">
        <f aca="false">COUNTIFS($A$4:$A$1008,$A911,$O$4:$O$1008,"&gt;"&amp;O911)+1</f>
        <v>17</v>
      </c>
    </row>
    <row r="912" customFormat="false" ht="15" hidden="false" customHeight="false" outlineLevel="0" collapsed="false">
      <c r="A912" s="7" t="n">
        <v>2023</v>
      </c>
      <c r="B912" s="15" t="s">
        <v>123</v>
      </c>
      <c r="C912" s="15" t="s">
        <v>118</v>
      </c>
      <c r="D912" s="15" t="s">
        <v>124</v>
      </c>
      <c r="E912" s="9" t="n">
        <f aca="false">SUMIFS(Data!$L$2:$L$1006,Data!$A$2:$A$1006,$A912,Data!$B$2:$B$1006,$B912)</f>
        <v>1336794</v>
      </c>
      <c r="F912" s="10" t="n">
        <f aca="false">SUMIFS(Data!$E$2:$E$1006,Data!$A$2:$A$1006,$A912,Data!$B$2:$B$1006,$B912)</f>
        <v>231.196571</v>
      </c>
      <c r="G912" s="10" t="n">
        <f aca="false">SUMIFS(Data!$F$2:$F$1006,Data!$A$2:$A$1006,$A912,Data!$B$2:$B$1006,$B912)</f>
        <v>77.501192</v>
      </c>
      <c r="H912" s="10" t="n">
        <f aca="false">SUMIFS(Data!$G$2:$G$1006,Data!$A$2:$A$1006,$A912,Data!$B$2:$B$1006,$B912)</f>
        <v>182.259483</v>
      </c>
      <c r="I912" s="10" t="n">
        <f aca="false">SUMIFS(Data!$N$2:$N$1006,Data!$A$2:$A$1006,$A912,Data!$B$2:$B$1006,$B912)</f>
        <v>490.957246</v>
      </c>
      <c r="J912" s="10" t="n">
        <f aca="false">SUMIFS(Data!$H$2:$H$1006,Data!$A$2:$A$1006,$A912,Data!$B$2:$B$1006,$B912)</f>
        <v>422.300801</v>
      </c>
      <c r="K912" s="11" t="n">
        <f aca="false">IFERROR(F912*1000000/$E912,"")</f>
        <v>172.948540313616</v>
      </c>
      <c r="L912" s="11" t="n">
        <f aca="false">IFERROR(G912*1000000/$E912,"")</f>
        <v>57.9754188005033</v>
      </c>
      <c r="M912" s="11" t="n">
        <f aca="false">IFERROR(H912*1000000/$E912,"")</f>
        <v>136.340739859694</v>
      </c>
      <c r="N912" s="11" t="n">
        <f aca="false">IFERROR(I912*1000000/$E912,"")</f>
        <v>367.264698973814</v>
      </c>
      <c r="O912" s="11" t="n">
        <f aca="false">IFERROR(J912*1000000/$E912,"")</f>
        <v>315.905667589771</v>
      </c>
      <c r="P912" s="16" t="n">
        <f aca="false">COUNTIFS($A$4:$A$1008,$A912,$N$4:$N$1008,"&gt;"&amp;N912)+1</f>
        <v>20</v>
      </c>
      <c r="Q912" s="16" t="n">
        <f aca="false">COUNTIFS($A$4:$A$1008,$A912,$O$4:$O$1008,"&gt;"&amp;O912)+1</f>
        <v>22</v>
      </c>
    </row>
    <row r="913" customFormat="false" ht="15" hidden="false" customHeight="false" outlineLevel="0" collapsed="false">
      <c r="A913" s="7" t="n">
        <v>2023</v>
      </c>
      <c r="B913" s="15" t="s">
        <v>125</v>
      </c>
      <c r="C913" s="15" t="s">
        <v>118</v>
      </c>
      <c r="D913" s="15" t="s">
        <v>126</v>
      </c>
      <c r="E913" s="9" t="n">
        <f aca="false">SUMIFS(Data!$L$2:$L$1006,Data!$A$2:$A$1006,$A913,Data!$B$2:$B$1006,$B913)</f>
        <v>549745</v>
      </c>
      <c r="F913" s="10" t="n">
        <f aca="false">SUMIFS(Data!$E$2:$E$1006,Data!$A$2:$A$1006,$A913,Data!$B$2:$B$1006,$B913)</f>
        <v>100.066734</v>
      </c>
      <c r="G913" s="10" t="n">
        <f aca="false">SUMIFS(Data!$F$2:$F$1006,Data!$A$2:$A$1006,$A913,Data!$B$2:$B$1006,$B913)</f>
        <v>71.228313</v>
      </c>
      <c r="H913" s="10" t="n">
        <f aca="false">SUMIFS(Data!$G$2:$G$1006,Data!$A$2:$A$1006,$A913,Data!$B$2:$B$1006,$B913)</f>
        <v>90.044259</v>
      </c>
      <c r="I913" s="10" t="n">
        <f aca="false">SUMIFS(Data!$N$2:$N$1006,Data!$A$2:$A$1006,$A913,Data!$B$2:$B$1006,$B913)</f>
        <v>261.339306</v>
      </c>
      <c r="J913" s="10" t="n">
        <f aca="false">SUMIFS(Data!$H$2:$H$1006,Data!$A$2:$A$1006,$A913,Data!$B$2:$B$1006,$B913)</f>
        <v>185.48472</v>
      </c>
      <c r="K913" s="11" t="n">
        <f aca="false">IFERROR(F913*1000000/$E913,"")</f>
        <v>182.023909267024</v>
      </c>
      <c r="L913" s="11" t="n">
        <f aca="false">IFERROR(G913*1000000/$E913,"")</f>
        <v>129.566095189588</v>
      </c>
      <c r="M913" s="11" t="n">
        <f aca="false">IFERROR(H913*1000000/$E913,"")</f>
        <v>163.792774831968</v>
      </c>
      <c r="N913" s="11" t="n">
        <f aca="false">IFERROR(I913*1000000/$E913,"")</f>
        <v>475.382779288579</v>
      </c>
      <c r="O913" s="11" t="n">
        <f aca="false">IFERROR(J913*1000000/$E913,"")</f>
        <v>337.401377002065</v>
      </c>
      <c r="P913" s="16" t="n">
        <f aca="false">COUNTIFS($A$4:$A$1008,$A913,$N$4:$N$1008,"&gt;"&amp;N913)+1</f>
        <v>5</v>
      </c>
      <c r="Q913" s="16" t="n">
        <f aca="false">COUNTIFS($A$4:$A$1008,$A913,$O$4:$O$1008,"&gt;"&amp;O913)+1</f>
        <v>20</v>
      </c>
    </row>
    <row r="914" customFormat="false" ht="15" hidden="false" customHeight="false" outlineLevel="0" collapsed="false">
      <c r="A914" s="7" t="n">
        <v>2023</v>
      </c>
      <c r="B914" s="15" t="s">
        <v>127</v>
      </c>
      <c r="C914" s="15" t="s">
        <v>118</v>
      </c>
      <c r="D914" s="15" t="s">
        <v>103</v>
      </c>
      <c r="E914" s="9" t="n">
        <f aca="false">SUMIFS(Data!$L$2:$L$1006,Data!$A$2:$A$1006,$A914,Data!$B$2:$B$1006,$B914)</f>
        <v>752909</v>
      </c>
      <c r="F914" s="10" t="n">
        <f aca="false">SUMIFS(Data!$E$2:$E$1006,Data!$A$2:$A$1006,$A914,Data!$B$2:$B$1006,$B914)</f>
        <v>67.914556</v>
      </c>
      <c r="G914" s="10" t="n">
        <f aca="false">SUMIFS(Data!$F$2:$F$1006,Data!$A$2:$A$1006,$A914,Data!$B$2:$B$1006,$B914)</f>
        <v>29.159681</v>
      </c>
      <c r="H914" s="10" t="n">
        <f aca="false">SUMIFS(Data!$G$2:$G$1006,Data!$A$2:$A$1006,$A914,Data!$B$2:$B$1006,$B914)</f>
        <v>95.668059</v>
      </c>
      <c r="I914" s="10" t="n">
        <f aca="false">SUMIFS(Data!$N$2:$N$1006,Data!$A$2:$A$1006,$A914,Data!$B$2:$B$1006,$B914)</f>
        <v>192.742296</v>
      </c>
      <c r="J914" s="10" t="n">
        <f aca="false">SUMIFS(Data!$H$2:$H$1006,Data!$A$2:$A$1006,$A914,Data!$B$2:$B$1006,$B914)</f>
        <v>225.619656</v>
      </c>
      <c r="K914" s="11" t="n">
        <f aca="false">IFERROR(F914*1000000/$E914,"")</f>
        <v>90.2028744509629</v>
      </c>
      <c r="L914" s="11" t="n">
        <f aca="false">IFERROR(G914*1000000/$E914,"")</f>
        <v>38.729356402965</v>
      </c>
      <c r="M914" s="11" t="n">
        <f aca="false">IFERROR(H914*1000000/$E914,"")</f>
        <v>127.064570884396</v>
      </c>
      <c r="N914" s="11" t="n">
        <f aca="false">IFERROR(I914*1000000/$E914,"")</f>
        <v>255.996801738324</v>
      </c>
      <c r="O914" s="11" t="n">
        <f aca="false">IFERROR(J914*1000000/$E914,"")</f>
        <v>299.663911574971</v>
      </c>
      <c r="P914" s="16" t="n">
        <f aca="false">COUNTIFS($A$4:$A$1008,$A914,$N$4:$N$1008,"&gt;"&amp;N914)+1</f>
        <v>36</v>
      </c>
      <c r="Q914" s="16" t="n">
        <f aca="false">COUNTIFS($A$4:$A$1008,$A914,$O$4:$O$1008,"&gt;"&amp;O914)+1</f>
        <v>25</v>
      </c>
    </row>
    <row r="915" customFormat="false" ht="15" hidden="false" customHeight="false" outlineLevel="0" collapsed="false">
      <c r="A915" s="7" t="n">
        <v>2023</v>
      </c>
      <c r="B915" s="15" t="s">
        <v>128</v>
      </c>
      <c r="C915" s="15" t="s">
        <v>118</v>
      </c>
      <c r="D915" s="15" t="s">
        <v>107</v>
      </c>
      <c r="E915" s="9" t="n">
        <f aca="false">SUMIFS(Data!$L$2:$L$1006,Data!$A$2:$A$1006,$A915,Data!$B$2:$B$1006,$B915)</f>
        <v>611282</v>
      </c>
      <c r="F915" s="10" t="n">
        <f aca="false">SUMIFS(Data!$E$2:$E$1006,Data!$A$2:$A$1006,$A915,Data!$B$2:$B$1006,$B915)</f>
        <v>50.410822</v>
      </c>
      <c r="G915" s="10" t="n">
        <f aca="false">SUMIFS(Data!$F$2:$F$1006,Data!$A$2:$A$1006,$A915,Data!$B$2:$B$1006,$B915)</f>
        <v>73.700229</v>
      </c>
      <c r="H915" s="10" t="n">
        <f aca="false">SUMIFS(Data!$G$2:$G$1006,Data!$A$2:$A$1006,$A915,Data!$B$2:$B$1006,$B915)</f>
        <v>105.144306</v>
      </c>
      <c r="I915" s="10" t="n">
        <f aca="false">SUMIFS(Data!$N$2:$N$1006,Data!$A$2:$A$1006,$A915,Data!$B$2:$B$1006,$B915)</f>
        <v>229.255357</v>
      </c>
      <c r="J915" s="10" t="n">
        <f aca="false">SUMIFS(Data!$H$2:$H$1006,Data!$A$2:$A$1006,$A915,Data!$B$2:$B$1006,$B915)</f>
        <v>293.628265</v>
      </c>
      <c r="K915" s="11" t="n">
        <f aca="false">IFERROR(F915*1000000/$E915,"")</f>
        <v>82.467375123102</v>
      </c>
      <c r="L915" s="11" t="n">
        <f aca="false">IFERROR(G915*1000000/$E915,"")</f>
        <v>120.566659904921</v>
      </c>
      <c r="M915" s="11" t="n">
        <f aca="false">IFERROR(H915*1000000/$E915,"")</f>
        <v>172.006219715287</v>
      </c>
      <c r="N915" s="11" t="n">
        <f aca="false">IFERROR(I915*1000000/$E915,"")</f>
        <v>375.04025474331</v>
      </c>
      <c r="O915" s="11" t="n">
        <f aca="false">IFERROR(J915*1000000/$E915,"")</f>
        <v>480.348292604723</v>
      </c>
      <c r="P915" s="16" t="n">
        <f aca="false">COUNTIFS($A$4:$A$1008,$A915,$N$4:$N$1008,"&gt;"&amp;N915)+1</f>
        <v>19</v>
      </c>
      <c r="Q915" s="16" t="n">
        <f aca="false">COUNTIFS($A$4:$A$1008,$A915,$O$4:$O$1008,"&gt;"&amp;O915)+1</f>
        <v>7</v>
      </c>
    </row>
    <row r="916" customFormat="false" ht="15" hidden="false" customHeight="false" outlineLevel="0" collapsed="false">
      <c r="A916" s="7" t="n">
        <v>2023</v>
      </c>
      <c r="B916" s="15" t="s">
        <v>129</v>
      </c>
      <c r="C916" s="15" t="s">
        <v>118</v>
      </c>
      <c r="D916" s="15" t="s">
        <v>107</v>
      </c>
      <c r="E916" s="9" t="n">
        <f aca="false">SUMIFS(Data!$L$2:$L$1006,Data!$A$2:$A$1006,$A916,Data!$B$2:$B$1006,$B916)</f>
        <v>1700223</v>
      </c>
      <c r="F916" s="10" t="n">
        <f aca="false">SUMIFS(Data!$E$2:$E$1006,Data!$A$2:$A$1006,$A916,Data!$B$2:$B$1006,$B916)</f>
        <v>356.03365</v>
      </c>
      <c r="G916" s="10" t="n">
        <f aca="false">SUMIFS(Data!$F$2:$F$1006,Data!$A$2:$A$1006,$A916,Data!$B$2:$B$1006,$B916)</f>
        <v>234.779156</v>
      </c>
      <c r="H916" s="10" t="n">
        <f aca="false">SUMIFS(Data!$G$2:$G$1006,Data!$A$2:$A$1006,$A916,Data!$B$2:$B$1006,$B916)</f>
        <v>181.4192</v>
      </c>
      <c r="I916" s="10" t="n">
        <f aca="false">SUMIFS(Data!$N$2:$N$1006,Data!$A$2:$A$1006,$A916,Data!$B$2:$B$1006,$B916)</f>
        <v>772.232006</v>
      </c>
      <c r="J916" s="10" t="n">
        <f aca="false">SUMIFS(Data!$H$2:$H$1006,Data!$A$2:$A$1006,$A916,Data!$B$2:$B$1006,$B916)</f>
        <v>639.987041</v>
      </c>
      <c r="K916" s="11" t="n">
        <f aca="false">IFERROR(F916*1000000/$E916,"")</f>
        <v>209.404089934085</v>
      </c>
      <c r="L916" s="11" t="n">
        <f aca="false">IFERROR(G916*1000000/$E916,"")</f>
        <v>138.087272081368</v>
      </c>
      <c r="M916" s="11" t="n">
        <f aca="false">IFERROR(H916*1000000/$E916,"")</f>
        <v>106.703179524098</v>
      </c>
      <c r="N916" s="11" t="n">
        <f aca="false">IFERROR(I916*1000000/$E916,"")</f>
        <v>454.194541539551</v>
      </c>
      <c r="O916" s="11" t="n">
        <f aca="false">IFERROR(J916*1000000/$E916,"")</f>
        <v>376.413588688072</v>
      </c>
      <c r="P916" s="16" t="n">
        <f aca="false">COUNTIFS($A$4:$A$1008,$A916,$N$4:$N$1008,"&gt;"&amp;N916)+1</f>
        <v>8</v>
      </c>
      <c r="Q916" s="16" t="n">
        <f aca="false">COUNTIFS($A$4:$A$1008,$A916,$O$4:$O$1008,"&gt;"&amp;O916)+1</f>
        <v>16</v>
      </c>
    </row>
    <row r="917" customFormat="false" ht="15" hidden="false" customHeight="false" outlineLevel="0" collapsed="false">
      <c r="A917" s="7" t="n">
        <v>2023</v>
      </c>
      <c r="B917" s="15" t="s">
        <v>130</v>
      </c>
      <c r="C917" s="15" t="s">
        <v>118</v>
      </c>
      <c r="D917" s="15" t="s">
        <v>107</v>
      </c>
      <c r="E917" s="9" t="n">
        <f aca="false">SUMIFS(Data!$L$2:$L$1006,Data!$A$2:$A$1006,$A917,Data!$B$2:$B$1006,$B917)</f>
        <v>1472437</v>
      </c>
      <c r="F917" s="10" t="n">
        <f aca="false">SUMIFS(Data!$E$2:$E$1006,Data!$A$2:$A$1006,$A917,Data!$B$2:$B$1006,$B917)</f>
        <v>151.825344</v>
      </c>
      <c r="G917" s="10" t="n">
        <f aca="false">SUMIFS(Data!$F$2:$F$1006,Data!$A$2:$A$1006,$A917,Data!$B$2:$B$1006,$B917)</f>
        <v>202.022619</v>
      </c>
      <c r="H917" s="10" t="n">
        <f aca="false">SUMIFS(Data!$G$2:$G$1006,Data!$A$2:$A$1006,$A917,Data!$B$2:$B$1006,$B917)</f>
        <v>156.790926</v>
      </c>
      <c r="I917" s="10" t="n">
        <f aca="false">SUMIFS(Data!$N$2:$N$1006,Data!$A$2:$A$1006,$A917,Data!$B$2:$B$1006,$B917)</f>
        <v>510.638889</v>
      </c>
      <c r="J917" s="10" t="n">
        <f aca="false">SUMIFS(Data!$H$2:$H$1006,Data!$A$2:$A$1006,$A917,Data!$B$2:$B$1006,$B917)</f>
        <v>217.872592</v>
      </c>
      <c r="K917" s="11" t="n">
        <f aca="false">IFERROR(F917*1000000/$E917,"")</f>
        <v>103.111606133234</v>
      </c>
      <c r="L917" s="11" t="n">
        <f aca="false">IFERROR(G917*1000000/$E917,"")</f>
        <v>137.202894928612</v>
      </c>
      <c r="M917" s="11" t="n">
        <f aca="false">IFERROR(H917*1000000/$E917,"")</f>
        <v>106.483962301952</v>
      </c>
      <c r="N917" s="11" t="n">
        <f aca="false">IFERROR(I917*1000000/$E917,"")</f>
        <v>346.798463363798</v>
      </c>
      <c r="O917" s="11" t="n">
        <f aca="false">IFERROR(J917*1000000/$E917,"")</f>
        <v>147.9673439339</v>
      </c>
      <c r="P917" s="16" t="n">
        <f aca="false">COUNTIFS($A$4:$A$1008,$A917,$N$4:$N$1008,"&gt;"&amp;N917)+1</f>
        <v>25</v>
      </c>
      <c r="Q917" s="16" t="n">
        <f aca="false">COUNTIFS($A$4:$A$1008,$A917,$O$4:$O$1008,"&gt;"&amp;O917)+1</f>
        <v>37</v>
      </c>
    </row>
    <row r="918" customFormat="false" ht="15" hidden="false" customHeight="false" outlineLevel="0" collapsed="false">
      <c r="A918" s="7" t="n">
        <v>2023</v>
      </c>
      <c r="B918" s="15" t="s">
        <v>131</v>
      </c>
      <c r="C918" s="15" t="s">
        <v>118</v>
      </c>
      <c r="D918" s="15" t="s">
        <v>132</v>
      </c>
      <c r="E918" s="9" t="n">
        <f aca="false">SUMIFS(Data!$L$2:$L$1006,Data!$A$2:$A$1006,$A918,Data!$B$2:$B$1006,$B918)</f>
        <v>938263</v>
      </c>
      <c r="F918" s="10" t="n">
        <f aca="false">SUMIFS(Data!$E$2:$E$1006,Data!$A$2:$A$1006,$A918,Data!$B$2:$B$1006,$B918)</f>
        <v>220.243352</v>
      </c>
      <c r="G918" s="10" t="n">
        <f aca="false">SUMIFS(Data!$F$2:$F$1006,Data!$A$2:$A$1006,$A918,Data!$B$2:$B$1006,$B918)</f>
        <v>138.931914</v>
      </c>
      <c r="H918" s="10" t="n">
        <f aca="false">SUMIFS(Data!$G$2:$G$1006,Data!$A$2:$A$1006,$A918,Data!$B$2:$B$1006,$B918)</f>
        <v>223.053126</v>
      </c>
      <c r="I918" s="10" t="n">
        <f aca="false">SUMIFS(Data!$N$2:$N$1006,Data!$A$2:$A$1006,$A918,Data!$B$2:$B$1006,$B918)</f>
        <v>582.228392</v>
      </c>
      <c r="J918" s="10" t="n">
        <f aca="false">SUMIFS(Data!$H$2:$H$1006,Data!$A$2:$A$1006,$A918,Data!$B$2:$B$1006,$B918)</f>
        <v>618.001078</v>
      </c>
      <c r="K918" s="11" t="n">
        <f aca="false">IFERROR(F918*1000000/$E918,"")</f>
        <v>234.735198979391</v>
      </c>
      <c r="L918" s="11" t="n">
        <f aca="false">IFERROR(G918*1000000/$E918,"")</f>
        <v>148.073529490132</v>
      </c>
      <c r="M918" s="11" t="n">
        <f aca="false">IFERROR(H918*1000000/$E918,"")</f>
        <v>237.729853996161</v>
      </c>
      <c r="N918" s="11" t="n">
        <f aca="false">IFERROR(I918*1000000/$E918,"")</f>
        <v>620.538582465684</v>
      </c>
      <c r="O918" s="11" t="n">
        <f aca="false">IFERROR(J918*1000000/$E918,"")</f>
        <v>658.66508431005</v>
      </c>
      <c r="P918" s="16" t="n">
        <f aca="false">COUNTIFS($A$4:$A$1008,$A918,$N$4:$N$1008,"&gt;"&amp;N918)+1</f>
        <v>2</v>
      </c>
      <c r="Q918" s="16" t="n">
        <f aca="false">COUNTIFS($A$4:$A$1008,$A918,$O$4:$O$1008,"&gt;"&amp;O918)+1</f>
        <v>3</v>
      </c>
    </row>
    <row r="919" customFormat="false" ht="15" hidden="false" customHeight="false" outlineLevel="0" collapsed="false">
      <c r="A919" s="7" t="n">
        <v>2023</v>
      </c>
      <c r="B919" s="15" t="s">
        <v>133</v>
      </c>
      <c r="C919" s="15" t="s">
        <v>118</v>
      </c>
      <c r="D919" s="15" t="s">
        <v>105</v>
      </c>
      <c r="E919" s="9" t="n">
        <f aca="false">SUMIFS(Data!$L$2:$L$1006,Data!$A$2:$A$1006,$A919,Data!$B$2:$B$1006,$B919)</f>
        <v>2369557</v>
      </c>
      <c r="F919" s="10" t="n">
        <f aca="false">SUMIFS(Data!$E$2:$E$1006,Data!$A$2:$A$1006,$A919,Data!$B$2:$B$1006,$B919)</f>
        <v>190.773603</v>
      </c>
      <c r="G919" s="10" t="n">
        <f aca="false">SUMIFS(Data!$F$2:$F$1006,Data!$A$2:$A$1006,$A919,Data!$B$2:$B$1006,$B919)</f>
        <v>535.247039</v>
      </c>
      <c r="H919" s="10" t="n">
        <f aca="false">SUMIFS(Data!$G$2:$G$1006,Data!$A$2:$A$1006,$A919,Data!$B$2:$B$1006,$B919)</f>
        <v>263.882536</v>
      </c>
      <c r="I919" s="10" t="n">
        <f aca="false">SUMIFS(Data!$N$2:$N$1006,Data!$A$2:$A$1006,$A919,Data!$B$2:$B$1006,$B919)</f>
        <v>989.903178</v>
      </c>
      <c r="J919" s="10" t="n">
        <f aca="false">SUMIFS(Data!$H$2:$H$1006,Data!$A$2:$A$1006,$A919,Data!$B$2:$B$1006,$B919)</f>
        <v>933.561793</v>
      </c>
      <c r="K919" s="11" t="n">
        <f aca="false">IFERROR(F919*1000000/$E919,"")</f>
        <v>80.5102400997317</v>
      </c>
      <c r="L919" s="11" t="n">
        <f aca="false">IFERROR(G919*1000000/$E919,"")</f>
        <v>225.884854848396</v>
      </c>
      <c r="M919" s="11" t="n">
        <f aca="false">IFERROR(H919*1000000/$E919,"")</f>
        <v>111.363658270301</v>
      </c>
      <c r="N919" s="11" t="n">
        <f aca="false">IFERROR(I919*1000000/$E919,"")</f>
        <v>417.758753218429</v>
      </c>
      <c r="O919" s="11" t="n">
        <f aca="false">IFERROR(J919*1000000/$E919,"")</f>
        <v>393.981572504903</v>
      </c>
      <c r="P919" s="16" t="n">
        <f aca="false">COUNTIFS($A$4:$A$1008,$A919,$N$4:$N$1008,"&gt;"&amp;N919)+1</f>
        <v>13</v>
      </c>
      <c r="Q919" s="16" t="n">
        <f aca="false">COUNTIFS($A$4:$A$1008,$A919,$O$4:$O$1008,"&gt;"&amp;O919)+1</f>
        <v>13</v>
      </c>
    </row>
    <row r="920" customFormat="false" ht="15" hidden="false" customHeight="false" outlineLevel="0" collapsed="false">
      <c r="A920" s="7" t="n">
        <v>2023</v>
      </c>
      <c r="B920" s="15" t="s">
        <v>134</v>
      </c>
      <c r="C920" s="15" t="s">
        <v>135</v>
      </c>
      <c r="D920" s="15" t="s">
        <v>136</v>
      </c>
      <c r="E920" s="9" t="n">
        <f aca="false">SUMIFS(Data!$L$2:$L$1006,Data!$A$2:$A$1006,$A920,Data!$B$2:$B$1006,$B920)</f>
        <v>151679</v>
      </c>
      <c r="F920" s="10" t="n">
        <f aca="false">SUMIFS(Data!$E$2:$E$1006,Data!$A$2:$A$1006,$A920,Data!$B$2:$B$1006,$B920)</f>
        <v>28.389254</v>
      </c>
      <c r="G920" s="10" t="n">
        <f aca="false">SUMIFS(Data!$F$2:$F$1006,Data!$A$2:$A$1006,$A920,Data!$B$2:$B$1006,$B920)</f>
        <v>18.315961</v>
      </c>
      <c r="H920" s="10" t="n">
        <f aca="false">SUMIFS(Data!$G$2:$G$1006,Data!$A$2:$A$1006,$A920,Data!$B$2:$B$1006,$B920)</f>
        <v>24.546598</v>
      </c>
      <c r="I920" s="10" t="n">
        <f aca="false">SUMIFS(Data!$N$2:$N$1006,Data!$A$2:$A$1006,$A920,Data!$B$2:$B$1006,$B920)</f>
        <v>71.251813</v>
      </c>
      <c r="J920" s="10" t="n">
        <f aca="false">SUMIFS(Data!$H$2:$H$1006,Data!$A$2:$A$1006,$A920,Data!$B$2:$B$1006,$B920)</f>
        <v>45.682004</v>
      </c>
      <c r="K920" s="11" t="n">
        <f aca="false">IFERROR(F920*1000000/$E920,"")</f>
        <v>187.166674358349</v>
      </c>
      <c r="L920" s="11" t="n">
        <f aca="false">IFERROR(G920*1000000/$E920,"")</f>
        <v>120.754758404262</v>
      </c>
      <c r="M920" s="11" t="n">
        <f aca="false">IFERROR(H920*1000000/$E920,"")</f>
        <v>161.832541090065</v>
      </c>
      <c r="N920" s="11" t="n">
        <f aca="false">IFERROR(I920*1000000/$E920,"")</f>
        <v>469.753973852676</v>
      </c>
      <c r="O920" s="11" t="n">
        <f aca="false">IFERROR(J920*1000000/$E920,"")</f>
        <v>301.17553517626</v>
      </c>
      <c r="P920" s="16" t="n">
        <f aca="false">COUNTIFS($A$4:$A$1008,$A920,$N$4:$N$1008,"&gt;"&amp;N920)+1</f>
        <v>6</v>
      </c>
      <c r="Q920" s="16" t="n">
        <f aca="false">COUNTIFS($A$4:$A$1008,$A920,$O$4:$O$1008,"&gt;"&amp;O920)+1</f>
        <v>24</v>
      </c>
    </row>
    <row r="921" customFormat="false" ht="15" hidden="false" customHeight="false" outlineLevel="0" collapsed="false">
      <c r="A921" s="7" t="n">
        <v>2023</v>
      </c>
      <c r="B921" s="15" t="s">
        <v>137</v>
      </c>
      <c r="C921" s="15" t="s">
        <v>135</v>
      </c>
      <c r="D921" s="15" t="s">
        <v>138</v>
      </c>
      <c r="E921" s="9" t="n">
        <f aca="false">SUMIFS(Data!$L$2:$L$1006,Data!$A$2:$A$1006,$A921,Data!$B$2:$B$1006,$B921)</f>
        <v>1884290</v>
      </c>
      <c r="F921" s="10" t="n">
        <f aca="false">SUMIFS(Data!$E$2:$E$1006,Data!$A$2:$A$1006,$A921,Data!$B$2:$B$1006,$B921)</f>
        <v>381.86272</v>
      </c>
      <c r="G921" s="10" t="n">
        <f aca="false">SUMIFS(Data!$F$2:$F$1006,Data!$A$2:$A$1006,$A921,Data!$B$2:$B$1006,$B921)</f>
        <v>326.575499</v>
      </c>
      <c r="H921" s="10" t="n">
        <f aca="false">SUMIFS(Data!$G$2:$G$1006,Data!$A$2:$A$1006,$A921,Data!$B$2:$B$1006,$B921)</f>
        <v>321.744926</v>
      </c>
      <c r="I921" s="10" t="n">
        <f aca="false">SUMIFS(Data!$N$2:$N$1006,Data!$A$2:$A$1006,$A921,Data!$B$2:$B$1006,$B921)</f>
        <v>1030.183145</v>
      </c>
      <c r="J921" s="10" t="n">
        <f aca="false">SUMIFS(Data!$H$2:$H$1006,Data!$A$2:$A$1006,$A921,Data!$B$2:$B$1006,$B921)</f>
        <v>803.629477</v>
      </c>
      <c r="K921" s="11" t="n">
        <f aca="false">IFERROR(F921*1000000/$E921,"")</f>
        <v>202.656024285009</v>
      </c>
      <c r="L921" s="11" t="n">
        <f aca="false">IFERROR(G921*1000000/$E921,"")</f>
        <v>173.314881997994</v>
      </c>
      <c r="M921" s="11" t="n">
        <f aca="false">IFERROR(H921*1000000/$E921,"")</f>
        <v>170.751278200277</v>
      </c>
      <c r="N921" s="11" t="n">
        <f aca="false">IFERROR(I921*1000000/$E921,"")</f>
        <v>546.72218448328</v>
      </c>
      <c r="O921" s="11" t="n">
        <f aca="false">IFERROR(J921*1000000/$E921,"")</f>
        <v>426.489275536144</v>
      </c>
      <c r="P921" s="16" t="n">
        <f aca="false">COUNTIFS($A$4:$A$1008,$A921,$N$4:$N$1008,"&gt;"&amp;N921)+1</f>
        <v>4</v>
      </c>
      <c r="Q921" s="16" t="n">
        <f aca="false">COUNTIFS($A$4:$A$1008,$A921,$O$4:$O$1008,"&gt;"&amp;O921)+1</f>
        <v>9</v>
      </c>
    </row>
    <row r="922" customFormat="false" ht="15" hidden="false" customHeight="false" outlineLevel="0" collapsed="false">
      <c r="A922" s="7" t="n">
        <v>2023</v>
      </c>
      <c r="B922" s="15" t="s">
        <v>139</v>
      </c>
      <c r="C922" s="15" t="s">
        <v>135</v>
      </c>
      <c r="D922" s="15" t="s">
        <v>138</v>
      </c>
      <c r="E922" s="9" t="n">
        <f aca="false">SUMIFS(Data!$L$2:$L$1006,Data!$A$2:$A$1006,$A922,Data!$B$2:$B$1006,$B922)</f>
        <v>2266460</v>
      </c>
      <c r="F922" s="10" t="n">
        <f aca="false">SUMIFS(Data!$E$2:$E$1006,Data!$A$2:$A$1006,$A922,Data!$B$2:$B$1006,$B922)</f>
        <v>428.612964</v>
      </c>
      <c r="G922" s="10" t="n">
        <f aca="false">SUMIFS(Data!$F$2:$F$1006,Data!$A$2:$A$1006,$A922,Data!$B$2:$B$1006,$B922)</f>
        <v>332.721802</v>
      </c>
      <c r="H922" s="10" t="n">
        <f aca="false">SUMIFS(Data!$G$2:$G$1006,Data!$A$2:$A$1006,$A922,Data!$B$2:$B$1006,$B922)</f>
        <v>498.719367</v>
      </c>
      <c r="I922" s="10" t="n">
        <f aca="false">SUMIFS(Data!$N$2:$N$1006,Data!$A$2:$A$1006,$A922,Data!$B$2:$B$1006,$B922)</f>
        <v>1260.054133</v>
      </c>
      <c r="J922" s="10" t="n">
        <f aca="false">SUMIFS(Data!$H$2:$H$1006,Data!$A$2:$A$1006,$A922,Data!$B$2:$B$1006,$B922)</f>
        <v>1098.552056</v>
      </c>
      <c r="K922" s="11" t="n">
        <f aca="false">IFERROR(F922*1000000/$E922,"")</f>
        <v>189.111197197392</v>
      </c>
      <c r="L922" s="11" t="n">
        <f aca="false">IFERROR(G922*1000000/$E922,"")</f>
        <v>146.802415220211</v>
      </c>
      <c r="M922" s="11" t="n">
        <f aca="false">IFERROR(H922*1000000/$E922,"")</f>
        <v>220.043312919707</v>
      </c>
      <c r="N922" s="11" t="n">
        <f aca="false">IFERROR(I922*1000000/$E922,"")</f>
        <v>555.95692533731</v>
      </c>
      <c r="O922" s="11" t="n">
        <f aca="false">IFERROR(J922*1000000/$E922,"")</f>
        <v>484.699512014331</v>
      </c>
      <c r="P922" s="16" t="n">
        <f aca="false">COUNTIFS($A$4:$A$1008,$A922,$N$4:$N$1008,"&gt;"&amp;N922)+1</f>
        <v>3</v>
      </c>
      <c r="Q922" s="16" t="n">
        <f aca="false">COUNTIFS($A$4:$A$1008,$A922,$O$4:$O$1008,"&gt;"&amp;O922)+1</f>
        <v>6</v>
      </c>
    </row>
    <row r="923" customFormat="false" ht="15" hidden="false" customHeight="false" outlineLevel="0" collapsed="false">
      <c r="A923" s="7" t="n">
        <v>2023</v>
      </c>
      <c r="B923" s="15" t="s">
        <v>140</v>
      </c>
      <c r="C923" s="15" t="s">
        <v>135</v>
      </c>
      <c r="D923" s="15" t="s">
        <v>141</v>
      </c>
      <c r="E923" s="9" t="n">
        <f aca="false">SUMIFS(Data!$L$2:$L$1006,Data!$A$2:$A$1006,$A923,Data!$B$2:$B$1006,$B923)</f>
        <v>894160</v>
      </c>
      <c r="F923" s="10" t="n">
        <f aca="false">SUMIFS(Data!$E$2:$E$1006,Data!$A$2:$A$1006,$A923,Data!$B$2:$B$1006,$B923)</f>
        <v>90.290536</v>
      </c>
      <c r="G923" s="10" t="n">
        <f aca="false">SUMIFS(Data!$F$2:$F$1006,Data!$A$2:$A$1006,$A923,Data!$B$2:$B$1006,$B923)</f>
        <v>30.5153</v>
      </c>
      <c r="H923" s="10" t="n">
        <f aca="false">SUMIFS(Data!$G$2:$G$1006,Data!$A$2:$A$1006,$A923,Data!$B$2:$B$1006,$B923)</f>
        <v>103.325593</v>
      </c>
      <c r="I923" s="10" t="n">
        <f aca="false">SUMIFS(Data!$N$2:$N$1006,Data!$A$2:$A$1006,$A923,Data!$B$2:$B$1006,$B923)</f>
        <v>224.131429</v>
      </c>
      <c r="J923" s="10" t="n">
        <f aca="false">SUMIFS(Data!$H$2:$H$1006,Data!$A$2:$A$1006,$A923,Data!$B$2:$B$1006,$B923)</f>
        <v>379.035258</v>
      </c>
      <c r="K923" s="11" t="n">
        <f aca="false">IFERROR(F923*1000000/$E923,"")</f>
        <v>100.978053144851</v>
      </c>
      <c r="L923" s="11" t="n">
        <f aca="false">IFERROR(G923*1000000/$E923,"")</f>
        <v>34.1273373892816</v>
      </c>
      <c r="M923" s="11" t="n">
        <f aca="false">IFERROR(H923*1000000/$E923,"")</f>
        <v>115.556044779458</v>
      </c>
      <c r="N923" s="11" t="n">
        <f aca="false">IFERROR(I923*1000000/$E923,"")</f>
        <v>250.66143531359</v>
      </c>
      <c r="O923" s="11" t="n">
        <f aca="false">IFERROR(J923*1000000/$E923,"")</f>
        <v>423.900932718977</v>
      </c>
      <c r="P923" s="16" t="n">
        <f aca="false">COUNTIFS($A$4:$A$1008,$A923,$N$4:$N$1008,"&gt;"&amp;N923)+1</f>
        <v>37</v>
      </c>
      <c r="Q923" s="16" t="n">
        <f aca="false">COUNTIFS($A$4:$A$1008,$A923,$O$4:$O$1008,"&gt;"&amp;O923)+1</f>
        <v>10</v>
      </c>
    </row>
    <row r="924" customFormat="false" ht="15" hidden="false" customHeight="false" outlineLevel="0" collapsed="false">
      <c r="A924" s="7" t="n">
        <v>2023</v>
      </c>
      <c r="B924" s="15" t="s">
        <v>142</v>
      </c>
      <c r="C924" s="15" t="s">
        <v>135</v>
      </c>
      <c r="D924" s="15" t="s">
        <v>143</v>
      </c>
      <c r="E924" s="9" t="n">
        <f aca="false">SUMIFS(Data!$L$2:$L$1006,Data!$A$2:$A$1006,$A924,Data!$B$2:$B$1006,$B924)</f>
        <v>610647</v>
      </c>
      <c r="F924" s="10" t="n">
        <f aca="false">SUMIFS(Data!$E$2:$E$1006,Data!$A$2:$A$1006,$A924,Data!$B$2:$B$1006,$B924)</f>
        <v>90.869356</v>
      </c>
      <c r="G924" s="10" t="n">
        <f aca="false">SUMIFS(Data!$F$2:$F$1006,Data!$A$2:$A$1006,$A924,Data!$B$2:$B$1006,$B924)</f>
        <v>60.028157</v>
      </c>
      <c r="H924" s="10" t="n">
        <f aca="false">SUMIFS(Data!$G$2:$G$1006,Data!$A$2:$A$1006,$A924,Data!$B$2:$B$1006,$B924)</f>
        <v>92.998528</v>
      </c>
      <c r="I924" s="10" t="n">
        <f aca="false">SUMIFS(Data!$N$2:$N$1006,Data!$A$2:$A$1006,$A924,Data!$B$2:$B$1006,$B924)</f>
        <v>243.896041</v>
      </c>
      <c r="J924" s="10" t="n">
        <f aca="false">SUMIFS(Data!$H$2:$H$1006,Data!$A$2:$A$1006,$A924,Data!$B$2:$B$1006,$B924)</f>
        <v>309.899451</v>
      </c>
      <c r="K924" s="11" t="n">
        <f aca="false">IFERROR(F924*1000000/$E924,"")</f>
        <v>148.808322975467</v>
      </c>
      <c r="L924" s="11" t="n">
        <f aca="false">IFERROR(G924*1000000/$E924,"")</f>
        <v>98.3025495908438</v>
      </c>
      <c r="M924" s="11" t="n">
        <f aca="false">IFERROR(H924*1000000/$E924,"")</f>
        <v>152.295070638192</v>
      </c>
      <c r="N924" s="11" t="n">
        <f aca="false">IFERROR(I924*1000000/$E924,"")</f>
        <v>399.405943204503</v>
      </c>
      <c r="O924" s="11" t="n">
        <f aca="false">IFERROR(J924*1000000/$E924,"")</f>
        <v>507.493610875023</v>
      </c>
      <c r="P924" s="16" t="n">
        <f aca="false">COUNTIFS($A$4:$A$1008,$A924,$N$4:$N$1008,"&gt;"&amp;N924)+1</f>
        <v>16</v>
      </c>
      <c r="Q924" s="16" t="n">
        <f aca="false">COUNTIFS($A$4:$A$1008,$A924,$O$4:$O$1008,"&gt;"&amp;O924)+1</f>
        <v>5</v>
      </c>
    </row>
    <row r="925" customFormat="false" ht="15" hidden="false" customHeight="false" outlineLevel="0" collapsed="false">
      <c r="A925" s="7" t="n">
        <v>2023</v>
      </c>
      <c r="B925" s="15" t="s">
        <v>144</v>
      </c>
      <c r="C925" s="15" t="s">
        <v>135</v>
      </c>
      <c r="D925" s="15" t="s">
        <v>141</v>
      </c>
      <c r="E925" s="9" t="n">
        <f aca="false">SUMIFS(Data!$L$2:$L$1006,Data!$A$2:$A$1006,$A925,Data!$B$2:$B$1006,$B925)</f>
        <v>523395</v>
      </c>
      <c r="F925" s="10" t="n">
        <f aca="false">SUMIFS(Data!$E$2:$E$1006,Data!$A$2:$A$1006,$A925,Data!$B$2:$B$1006,$B925)</f>
        <v>89.494827</v>
      </c>
      <c r="G925" s="10" t="n">
        <f aca="false">SUMIFS(Data!$F$2:$F$1006,Data!$A$2:$A$1006,$A925,Data!$B$2:$B$1006,$B925)</f>
        <v>33.095316</v>
      </c>
      <c r="H925" s="10" t="n">
        <f aca="false">SUMIFS(Data!$G$2:$G$1006,Data!$A$2:$A$1006,$A925,Data!$B$2:$B$1006,$B925)</f>
        <v>61.617147</v>
      </c>
      <c r="I925" s="10" t="n">
        <f aca="false">SUMIFS(Data!$N$2:$N$1006,Data!$A$2:$A$1006,$A925,Data!$B$2:$B$1006,$B925)</f>
        <v>184.20729</v>
      </c>
      <c r="J925" s="10" t="n">
        <f aca="false">SUMIFS(Data!$H$2:$H$1006,Data!$A$2:$A$1006,$A925,Data!$B$2:$B$1006,$B925)</f>
        <v>289.153607</v>
      </c>
      <c r="K925" s="11" t="n">
        <f aca="false">IFERROR(F925*1000000/$E925,"")</f>
        <v>170.989075172671</v>
      </c>
      <c r="L925" s="11" t="n">
        <f aca="false">IFERROR(G925*1000000/$E925,"")</f>
        <v>63.2320064196257</v>
      </c>
      <c r="M925" s="11" t="n">
        <f aca="false">IFERROR(H925*1000000/$E925,"")</f>
        <v>117.725899177485</v>
      </c>
      <c r="N925" s="11" t="n">
        <f aca="false">IFERROR(I925*1000000/$E925,"")</f>
        <v>351.946980769782</v>
      </c>
      <c r="O925" s="11" t="n">
        <f aca="false">IFERROR(J925*1000000/$E925,"")</f>
        <v>552.457717402726</v>
      </c>
      <c r="P925" s="16" t="n">
        <f aca="false">COUNTIFS($A$4:$A$1008,$A925,$N$4:$N$1008,"&gt;"&amp;N925)+1</f>
        <v>24</v>
      </c>
      <c r="Q925" s="16" t="n">
        <f aca="false">COUNTIFS($A$4:$A$1008,$A925,$O$4:$O$1008,"&gt;"&amp;O925)+1</f>
        <v>4</v>
      </c>
    </row>
    <row r="926" customFormat="false" ht="15" hidden="false" customHeight="false" outlineLevel="0" collapsed="false">
      <c r="A926" s="7" t="n">
        <v>2023</v>
      </c>
      <c r="B926" s="15" t="s">
        <v>145</v>
      </c>
      <c r="C926" s="15" t="s">
        <v>135</v>
      </c>
      <c r="D926" s="15" t="s">
        <v>146</v>
      </c>
      <c r="E926" s="9" t="n">
        <f aca="false">SUMIFS(Data!$L$2:$L$1006,Data!$A$2:$A$1006,$A926,Data!$B$2:$B$1006,$B926)</f>
        <v>500038</v>
      </c>
      <c r="F926" s="10" t="n">
        <f aca="false">SUMIFS(Data!$E$2:$E$1006,Data!$A$2:$A$1006,$A926,Data!$B$2:$B$1006,$B926)</f>
        <v>40.997225</v>
      </c>
      <c r="G926" s="10" t="n">
        <f aca="false">SUMIFS(Data!$F$2:$F$1006,Data!$A$2:$A$1006,$A926,Data!$B$2:$B$1006,$B926)</f>
        <v>43.261688</v>
      </c>
      <c r="H926" s="10" t="n">
        <f aca="false">SUMIFS(Data!$G$2:$G$1006,Data!$A$2:$A$1006,$A926,Data!$B$2:$B$1006,$B926)</f>
        <v>107.589321</v>
      </c>
      <c r="I926" s="10" t="n">
        <f aca="false">SUMIFS(Data!$N$2:$N$1006,Data!$A$2:$A$1006,$A926,Data!$B$2:$B$1006,$B926)</f>
        <v>191.848234</v>
      </c>
      <c r="J926" s="10" t="n">
        <f aca="false">SUMIFS(Data!$H$2:$H$1006,Data!$A$2:$A$1006,$A926,Data!$B$2:$B$1006,$B926)</f>
        <v>234.895064</v>
      </c>
      <c r="K926" s="11" t="n">
        <f aca="false">IFERROR(F926*1000000/$E926,"")</f>
        <v>81.988218895364</v>
      </c>
      <c r="L926" s="11" t="n">
        <f aca="false">IFERROR(G926*1000000/$E926,"")</f>
        <v>86.516800723145</v>
      </c>
      <c r="M926" s="11" t="n">
        <f aca="false">IFERROR(H926*1000000/$E926,"")</f>
        <v>215.162289665985</v>
      </c>
      <c r="N926" s="11" t="n">
        <f aca="false">IFERROR(I926*1000000/$E926,"")</f>
        <v>383.667309284494</v>
      </c>
      <c r="O926" s="11" t="n">
        <f aca="false">IFERROR(J926*1000000/$E926,"")</f>
        <v>469.754426663574</v>
      </c>
      <c r="P926" s="16" t="n">
        <f aca="false">COUNTIFS($A$4:$A$1008,$A926,$N$4:$N$1008,"&gt;"&amp;N926)+1</f>
        <v>18</v>
      </c>
      <c r="Q926" s="16" t="n">
        <f aca="false">COUNTIFS($A$4:$A$1008,$A926,$O$4:$O$1008,"&gt;"&amp;O926)+1</f>
        <v>8</v>
      </c>
    </row>
    <row r="927" customFormat="false" ht="15" hidden="false" customHeight="false" outlineLevel="0" collapsed="false">
      <c r="A927" s="7" t="n">
        <v>2023</v>
      </c>
      <c r="B927" s="15" t="s">
        <v>147</v>
      </c>
      <c r="C927" s="15" t="s">
        <v>135</v>
      </c>
      <c r="D927" s="15" t="s">
        <v>148</v>
      </c>
      <c r="E927" s="9" t="n">
        <f aca="false">SUMIFS(Data!$L$2:$L$1006,Data!$A$2:$A$1006,$A927,Data!$B$2:$B$1006,$B927)</f>
        <v>163278</v>
      </c>
      <c r="F927" s="10" t="n">
        <f aca="false">SUMIFS(Data!$E$2:$E$1006,Data!$A$2:$A$1006,$A927,Data!$B$2:$B$1006,$B927)</f>
        <v>16.381407</v>
      </c>
      <c r="G927" s="10" t="n">
        <f aca="false">SUMIFS(Data!$F$2:$F$1006,Data!$A$2:$A$1006,$A927,Data!$B$2:$B$1006,$B927)</f>
        <v>18.820777</v>
      </c>
      <c r="H927" s="10" t="n">
        <f aca="false">SUMIFS(Data!$G$2:$G$1006,Data!$A$2:$A$1006,$A927,Data!$B$2:$B$1006,$B927)</f>
        <v>18.261338</v>
      </c>
      <c r="I927" s="10" t="n">
        <f aca="false">SUMIFS(Data!$N$2:$N$1006,Data!$A$2:$A$1006,$A927,Data!$B$2:$B$1006,$B927)</f>
        <v>53.463522</v>
      </c>
      <c r="J927" s="10" t="n">
        <f aca="false">SUMIFS(Data!$H$2:$H$1006,Data!$A$2:$A$1006,$A927,Data!$B$2:$B$1006,$B927)</f>
        <v>43.960734</v>
      </c>
      <c r="K927" s="11" t="n">
        <f aca="false">IFERROR(F927*1000000/$E927,"")</f>
        <v>100.328317348326</v>
      </c>
      <c r="L927" s="11" t="n">
        <f aca="false">IFERROR(G927*1000000/$E927,"")</f>
        <v>115.268297014907</v>
      </c>
      <c r="M927" s="11" t="n">
        <f aca="false">IFERROR(H927*1000000/$E927,"")</f>
        <v>111.841999534536</v>
      </c>
      <c r="N927" s="11" t="n">
        <f aca="false">IFERROR(I927*1000000/$E927,"")</f>
        <v>327.438613897769</v>
      </c>
      <c r="O927" s="11" t="n">
        <f aca="false">IFERROR(J927*1000000/$E927,"")</f>
        <v>269.238562451769</v>
      </c>
      <c r="P927" s="16" t="n">
        <f aca="false">COUNTIFS($A$4:$A$1008,$A927,$N$4:$N$1008,"&gt;"&amp;N927)+1</f>
        <v>27</v>
      </c>
      <c r="Q927" s="16" t="n">
        <f aca="false">COUNTIFS($A$4:$A$1008,$A927,$O$4:$O$1008,"&gt;"&amp;O927)+1</f>
        <v>29</v>
      </c>
    </row>
    <row r="928" customFormat="false" ht="15" hidden="false" customHeight="false" outlineLevel="0" collapsed="false">
      <c r="A928" s="7" t="n">
        <v>2023</v>
      </c>
      <c r="B928" s="15" t="s">
        <v>149</v>
      </c>
      <c r="C928" s="15" t="s">
        <v>135</v>
      </c>
      <c r="D928" s="15" t="s">
        <v>146</v>
      </c>
      <c r="E928" s="9" t="n">
        <f aca="false">SUMIFS(Data!$L$2:$L$1006,Data!$A$2:$A$1006,$A928,Data!$B$2:$B$1006,$B928)</f>
        <v>820668</v>
      </c>
      <c r="F928" s="10" t="n">
        <f aca="false">SUMIFS(Data!$E$2:$E$1006,Data!$A$2:$A$1006,$A928,Data!$B$2:$B$1006,$B928)</f>
        <v>80.839483</v>
      </c>
      <c r="G928" s="10" t="n">
        <f aca="false">SUMIFS(Data!$F$2:$F$1006,Data!$A$2:$A$1006,$A928,Data!$B$2:$B$1006,$B928)</f>
        <v>69.973037</v>
      </c>
      <c r="H928" s="10" t="n">
        <f aca="false">SUMIFS(Data!$G$2:$G$1006,Data!$A$2:$A$1006,$A928,Data!$B$2:$B$1006,$B928)</f>
        <v>95.395573</v>
      </c>
      <c r="I928" s="10" t="n">
        <f aca="false">SUMIFS(Data!$N$2:$N$1006,Data!$A$2:$A$1006,$A928,Data!$B$2:$B$1006,$B928)</f>
        <v>246.208093</v>
      </c>
      <c r="J928" s="10" t="n">
        <f aca="false">SUMIFS(Data!$H$2:$H$1006,Data!$A$2:$A$1006,$A928,Data!$B$2:$B$1006,$B928)</f>
        <v>313.322618</v>
      </c>
      <c r="K928" s="11" t="n">
        <f aca="false">IFERROR(F928*1000000/$E928,"")</f>
        <v>98.5044902445325</v>
      </c>
      <c r="L928" s="11" t="n">
        <f aca="false">IFERROR(G928*1000000/$E928,"")</f>
        <v>85.2635133817817</v>
      </c>
      <c r="M928" s="11" t="n">
        <f aca="false">IFERROR(H928*1000000/$E928,"")</f>
        <v>116.241370444565</v>
      </c>
      <c r="N928" s="11" t="n">
        <f aca="false">IFERROR(I928*1000000/$E928,"")</f>
        <v>300.009374070879</v>
      </c>
      <c r="O928" s="11" t="n">
        <f aca="false">IFERROR(J928*1000000/$E928,"")</f>
        <v>381.789734703924</v>
      </c>
      <c r="P928" s="16" t="n">
        <f aca="false">COUNTIFS($A$4:$A$1008,$A928,$N$4:$N$1008,"&gt;"&amp;N928)+1</f>
        <v>29</v>
      </c>
      <c r="Q928" s="16" t="n">
        <f aca="false">COUNTIFS($A$4:$A$1008,$A928,$O$4:$O$1008,"&gt;"&amp;O928)+1</f>
        <v>15</v>
      </c>
    </row>
    <row r="929" customFormat="false" ht="15" hidden="false" customHeight="false" outlineLevel="0" collapsed="false">
      <c r="A929" s="7" t="n">
        <v>2023</v>
      </c>
      <c r="B929" s="15" t="s">
        <v>150</v>
      </c>
      <c r="C929" s="15" t="s">
        <v>135</v>
      </c>
      <c r="D929" s="15" t="s">
        <v>141</v>
      </c>
      <c r="E929" s="9" t="n">
        <f aca="false">SUMIFS(Data!$L$2:$L$1006,Data!$A$2:$A$1006,$A929,Data!$B$2:$B$1006,$B929)</f>
        <v>487079</v>
      </c>
      <c r="F929" s="10" t="n">
        <f aca="false">SUMIFS(Data!$E$2:$E$1006,Data!$A$2:$A$1006,$A929,Data!$B$2:$B$1006,$B929)</f>
        <v>65.165391</v>
      </c>
      <c r="G929" s="10" t="n">
        <f aca="false">SUMIFS(Data!$F$2:$F$1006,Data!$A$2:$A$1006,$A929,Data!$B$2:$B$1006,$B929)</f>
        <v>17.724006</v>
      </c>
      <c r="H929" s="10" t="n">
        <f aca="false">SUMIFS(Data!$G$2:$G$1006,Data!$A$2:$A$1006,$A929,Data!$B$2:$B$1006,$B929)</f>
        <v>81.856364</v>
      </c>
      <c r="I929" s="10" t="n">
        <f aca="false">SUMIFS(Data!$N$2:$N$1006,Data!$A$2:$A$1006,$A929,Data!$B$2:$B$1006,$B929)</f>
        <v>164.745761</v>
      </c>
      <c r="J929" s="10" t="n">
        <f aca="false">SUMIFS(Data!$H$2:$H$1006,Data!$A$2:$A$1006,$A929,Data!$B$2:$B$1006,$B929)</f>
        <v>344.905401</v>
      </c>
      <c r="K929" s="11" t="n">
        <f aca="false">IFERROR(F929*1000000/$E929,"")</f>
        <v>133.788134984263</v>
      </c>
      <c r="L929" s="11" t="n">
        <f aca="false">IFERROR(G929*1000000/$E929,"")</f>
        <v>36.3883599990967</v>
      </c>
      <c r="M929" s="11" t="n">
        <f aca="false">IFERROR(H929*1000000/$E929,"")</f>
        <v>168.055621367376</v>
      </c>
      <c r="N929" s="11" t="n">
        <f aca="false">IFERROR(I929*1000000/$E929,"")</f>
        <v>338.232116350736</v>
      </c>
      <c r="O929" s="11" t="n">
        <f aca="false">IFERROR(J929*1000000/$E929,"")</f>
        <v>708.109774800392</v>
      </c>
      <c r="P929" s="16" t="n">
        <f aca="false">COUNTIFS($A$4:$A$1008,$A929,$N$4:$N$1008,"&gt;"&amp;N929)+1</f>
        <v>26</v>
      </c>
      <c r="Q929" s="16" t="n">
        <f aca="false">COUNTIFS($A$4:$A$1008,$A929,$O$4:$O$1008,"&gt;"&amp;O929)+1</f>
        <v>2</v>
      </c>
    </row>
    <row r="930" customFormat="false" ht="15" hidden="false" customHeight="false" outlineLevel="0" collapsed="false">
      <c r="A930" s="7" t="n">
        <v>2023</v>
      </c>
      <c r="B930" s="15" t="s">
        <v>151</v>
      </c>
      <c r="C930" s="15" t="s">
        <v>135</v>
      </c>
      <c r="D930" s="15" t="s">
        <v>136</v>
      </c>
      <c r="E930" s="9" t="n">
        <f aca="false">SUMIFS(Data!$L$2:$L$1006,Data!$A$2:$A$1006,$A930,Data!$B$2:$B$1006,$B930)</f>
        <v>1556301</v>
      </c>
      <c r="F930" s="10" t="n">
        <f aca="false">SUMIFS(Data!$E$2:$E$1006,Data!$A$2:$A$1006,$A930,Data!$B$2:$B$1006,$B930)</f>
        <v>113.896841</v>
      </c>
      <c r="G930" s="10" t="n">
        <f aca="false">SUMIFS(Data!$F$2:$F$1006,Data!$A$2:$A$1006,$A930,Data!$B$2:$B$1006,$B930)</f>
        <v>171.324482</v>
      </c>
      <c r="H930" s="10" t="n">
        <f aca="false">SUMIFS(Data!$G$2:$G$1006,Data!$A$2:$A$1006,$A930,Data!$B$2:$B$1006,$B930)</f>
        <v>170.21086</v>
      </c>
      <c r="I930" s="10" t="n">
        <f aca="false">SUMIFS(Data!$N$2:$N$1006,Data!$A$2:$A$1006,$A930,Data!$B$2:$B$1006,$B930)</f>
        <v>455.432183</v>
      </c>
      <c r="J930" s="10" t="n">
        <f aca="false">SUMIFS(Data!$H$2:$H$1006,Data!$A$2:$A$1006,$A930,Data!$B$2:$B$1006,$B930)</f>
        <v>473.057136</v>
      </c>
      <c r="K930" s="11" t="n">
        <f aca="false">IFERROR(F930*1000000/$E930,"")</f>
        <v>73.1843268108162</v>
      </c>
      <c r="L930" s="11" t="n">
        <f aca="false">IFERROR(G930*1000000/$E930,"")</f>
        <v>110.084412976667</v>
      </c>
      <c r="M930" s="11" t="n">
        <f aca="false">IFERROR(H930*1000000/$E930,"")</f>
        <v>109.368856024638</v>
      </c>
      <c r="N930" s="11" t="n">
        <f aca="false">IFERROR(I930*1000000/$E930,"")</f>
        <v>292.637595812121</v>
      </c>
      <c r="O930" s="11" t="n">
        <f aca="false">IFERROR(J930*1000000/$E930,"")</f>
        <v>303.962495686888</v>
      </c>
      <c r="P930" s="16" t="n">
        <f aca="false">COUNTIFS($A$4:$A$1008,$A930,$N$4:$N$1008,"&gt;"&amp;N930)+1</f>
        <v>32</v>
      </c>
      <c r="Q930" s="16" t="n">
        <f aca="false">COUNTIFS($A$4:$A$1008,$A930,$O$4:$O$1008,"&gt;"&amp;O930)+1</f>
        <v>23</v>
      </c>
    </row>
    <row r="931" customFormat="false" ht="15" hidden="false" customHeight="false" outlineLevel="0" collapsed="false">
      <c r="A931" s="7" t="n">
        <v>2023</v>
      </c>
      <c r="B931" s="15" t="s">
        <v>152</v>
      </c>
      <c r="C931" s="15" t="s">
        <v>135</v>
      </c>
      <c r="D931" s="15" t="s">
        <v>148</v>
      </c>
      <c r="E931" s="9" t="n">
        <f aca="false">SUMIFS(Data!$L$2:$L$1006,Data!$A$2:$A$1006,$A931,Data!$B$2:$B$1006,$B931)</f>
        <v>268830</v>
      </c>
      <c r="F931" s="10" t="n">
        <f aca="false">SUMIFS(Data!$E$2:$E$1006,Data!$A$2:$A$1006,$A931,Data!$B$2:$B$1006,$B931)</f>
        <v>39.231157</v>
      </c>
      <c r="G931" s="10" t="n">
        <f aca="false">SUMIFS(Data!$F$2:$F$1006,Data!$A$2:$A$1006,$A931,Data!$B$2:$B$1006,$B931)</f>
        <v>27.512805</v>
      </c>
      <c r="H931" s="10" t="n">
        <f aca="false">SUMIFS(Data!$G$2:$G$1006,Data!$A$2:$A$1006,$A931,Data!$B$2:$B$1006,$B931)</f>
        <v>41.793473</v>
      </c>
      <c r="I931" s="10" t="n">
        <f aca="false">SUMIFS(Data!$N$2:$N$1006,Data!$A$2:$A$1006,$A931,Data!$B$2:$B$1006,$B931)</f>
        <v>108.537435</v>
      </c>
      <c r="J931" s="10" t="n">
        <f aca="false">SUMIFS(Data!$H$2:$H$1006,Data!$A$2:$A$1006,$A931,Data!$B$2:$B$1006,$B931)</f>
        <v>109.482285</v>
      </c>
      <c r="K931" s="11" t="n">
        <f aca="false">IFERROR(F931*1000000/$E931,"")</f>
        <v>145.932957631217</v>
      </c>
      <c r="L931" s="11" t="n">
        <f aca="false">IFERROR(G931*1000000/$E931,"")</f>
        <v>102.342763084477</v>
      </c>
      <c r="M931" s="11" t="n">
        <f aca="false">IFERROR(H931*1000000/$E931,"")</f>
        <v>155.464319458394</v>
      </c>
      <c r="N931" s="11" t="n">
        <f aca="false">IFERROR(I931*1000000/$E931,"")</f>
        <v>403.740040174088</v>
      </c>
      <c r="O931" s="11" t="n">
        <f aca="false">IFERROR(J931*1000000/$E931,"")</f>
        <v>407.254714875572</v>
      </c>
      <c r="P931" s="16" t="n">
        <f aca="false">COUNTIFS($A$4:$A$1008,$A931,$N$4:$N$1008,"&gt;"&amp;N931)+1</f>
        <v>15</v>
      </c>
      <c r="Q931" s="16" t="n">
        <f aca="false">COUNTIFS($A$4:$A$1008,$A931,$O$4:$O$1008,"&gt;"&amp;O931)+1</f>
        <v>12</v>
      </c>
    </row>
    <row r="932" customFormat="false" ht="15" hidden="false" customHeight="false" outlineLevel="0" collapsed="false">
      <c r="A932" s="7" t="n">
        <v>2023</v>
      </c>
      <c r="B932" s="15" t="s">
        <v>153</v>
      </c>
      <c r="C932" s="15" t="s">
        <v>135</v>
      </c>
      <c r="D932" s="15" t="s">
        <v>136</v>
      </c>
      <c r="E932" s="9" t="n">
        <f aca="false">SUMIFS(Data!$L$2:$L$1006,Data!$A$2:$A$1006,$A932,Data!$B$2:$B$1006,$B932)</f>
        <v>135435</v>
      </c>
      <c r="F932" s="10" t="n">
        <f aca="false">SUMIFS(Data!$E$2:$E$1006,Data!$A$2:$A$1006,$A932,Data!$B$2:$B$1006,$B932)</f>
        <v>20.136041</v>
      </c>
      <c r="G932" s="10" t="n">
        <f aca="false">SUMIFS(Data!$F$2:$F$1006,Data!$A$2:$A$1006,$A932,Data!$B$2:$B$1006,$B932)</f>
        <v>25.639818</v>
      </c>
      <c r="H932" s="10" t="n">
        <f aca="false">SUMIFS(Data!$G$2:$G$1006,Data!$A$2:$A$1006,$A932,Data!$B$2:$B$1006,$B932)</f>
        <v>14.840562</v>
      </c>
      <c r="I932" s="10" t="n">
        <f aca="false">SUMIFS(Data!$N$2:$N$1006,Data!$A$2:$A$1006,$A932,Data!$B$2:$B$1006,$B932)</f>
        <v>60.616421</v>
      </c>
      <c r="J932" s="10" t="n">
        <f aca="false">SUMIFS(Data!$H$2:$H$1006,Data!$A$2:$A$1006,$A932,Data!$B$2:$B$1006,$B932)</f>
        <v>45.997795</v>
      </c>
      <c r="K932" s="11" t="n">
        <f aca="false">IFERROR(F932*1000000/$E932,"")</f>
        <v>148.676789603869</v>
      </c>
      <c r="L932" s="11" t="n">
        <f aca="false">IFERROR(G932*1000000/$E932,"")</f>
        <v>189.31456418208</v>
      </c>
      <c r="M932" s="11" t="n">
        <f aca="false">IFERROR(H932*1000000/$E932,"")</f>
        <v>109.577007420534</v>
      </c>
      <c r="N932" s="11" t="n">
        <f aca="false">IFERROR(I932*1000000/$E932,"")</f>
        <v>447.568361206483</v>
      </c>
      <c r="O932" s="11" t="n">
        <f aca="false">IFERROR(J932*1000000/$E932,"")</f>
        <v>339.630043932514</v>
      </c>
      <c r="P932" s="16" t="n">
        <f aca="false">COUNTIFS($A$4:$A$1008,$A932,$N$4:$N$1008,"&gt;"&amp;N932)+1</f>
        <v>9</v>
      </c>
      <c r="Q932" s="16" t="n">
        <f aca="false">COUNTIFS($A$4:$A$1008,$A932,$O$4:$O$1008,"&gt;"&amp;O932)+1</f>
        <v>19</v>
      </c>
    </row>
    <row r="933" customFormat="false" ht="15" hidden="false" customHeight="false" outlineLevel="0" collapsed="false">
      <c r="A933" s="7" t="n">
        <v>2023</v>
      </c>
      <c r="B933" s="15" t="s">
        <v>154</v>
      </c>
      <c r="C933" s="15" t="s">
        <v>135</v>
      </c>
      <c r="D933" s="15" t="s">
        <v>141</v>
      </c>
      <c r="E933" s="9" t="n">
        <f aca="false">SUMIFS(Data!$L$2:$L$1006,Data!$A$2:$A$1006,$A933,Data!$B$2:$B$1006,$B933)</f>
        <v>155182</v>
      </c>
      <c r="F933" s="10" t="n">
        <f aca="false">SUMIFS(Data!$E$2:$E$1006,Data!$A$2:$A$1006,$A933,Data!$B$2:$B$1006,$B933)</f>
        <v>22.804499</v>
      </c>
      <c r="G933" s="10" t="n">
        <f aca="false">SUMIFS(Data!$F$2:$F$1006,Data!$A$2:$A$1006,$A933,Data!$B$2:$B$1006,$B933)</f>
        <v>3.445079</v>
      </c>
      <c r="H933" s="10" t="n">
        <f aca="false">SUMIFS(Data!$G$2:$G$1006,Data!$A$2:$A$1006,$A933,Data!$B$2:$B$1006,$B933)</f>
        <v>30.306768</v>
      </c>
      <c r="I933" s="10" t="n">
        <f aca="false">SUMIFS(Data!$N$2:$N$1006,Data!$A$2:$A$1006,$A933,Data!$B$2:$B$1006,$B933)</f>
        <v>56.556346</v>
      </c>
      <c r="J933" s="10" t="n">
        <f aca="false">SUMIFS(Data!$H$2:$H$1006,Data!$A$2:$A$1006,$A933,Data!$B$2:$B$1006,$B933)</f>
        <v>133.489011</v>
      </c>
      <c r="K933" s="11" t="n">
        <f aca="false">IFERROR(F933*1000000/$E933,"")</f>
        <v>146.953248443763</v>
      </c>
      <c r="L933" s="11" t="n">
        <f aca="false">IFERROR(G933*1000000/$E933,"")</f>
        <v>22.2002487401889</v>
      </c>
      <c r="M933" s="11" t="n">
        <f aca="false">IFERROR(H933*1000000/$E933,"")</f>
        <v>195.298217576781</v>
      </c>
      <c r="N933" s="11" t="n">
        <f aca="false">IFERROR(I933*1000000/$E933,"")</f>
        <v>364.451714760733</v>
      </c>
      <c r="O933" s="11" t="n">
        <f aca="false">IFERROR(J933*1000000/$E933,"")</f>
        <v>860.209373509814</v>
      </c>
      <c r="P933" s="16" t="n">
        <f aca="false">COUNTIFS($A$4:$A$1008,$A933,$N$4:$N$1008,"&gt;"&amp;N933)+1</f>
        <v>22</v>
      </c>
      <c r="Q933" s="16" t="n">
        <f aca="false">COUNTIFS($A$4:$A$1008,$A933,$O$4:$O$1008,"&gt;"&amp;O933)+1</f>
        <v>1</v>
      </c>
    </row>
    <row r="934" customFormat="false" ht="15" hidden="false" customHeight="false" outlineLevel="0" collapsed="false">
      <c r="A934" s="7" t="n">
        <v>2023</v>
      </c>
      <c r="B934" s="15" t="s">
        <v>155</v>
      </c>
      <c r="C934" s="15" t="s">
        <v>135</v>
      </c>
      <c r="D934" s="15" t="s">
        <v>148</v>
      </c>
      <c r="E934" s="9" t="n">
        <f aca="false">SUMIFS(Data!$L$2:$L$1006,Data!$A$2:$A$1006,$A934,Data!$B$2:$B$1006,$B934)</f>
        <v>1159300</v>
      </c>
      <c r="F934" s="10" t="n">
        <f aca="false">SUMIFS(Data!$E$2:$E$1006,Data!$A$2:$A$1006,$A934,Data!$B$2:$B$1006,$B934)</f>
        <v>88.33853</v>
      </c>
      <c r="G934" s="10" t="n">
        <f aca="false">SUMIFS(Data!$F$2:$F$1006,Data!$A$2:$A$1006,$A934,Data!$B$2:$B$1006,$B934)</f>
        <v>92.667314</v>
      </c>
      <c r="H934" s="10" t="n">
        <f aca="false">SUMIFS(Data!$G$2:$G$1006,Data!$A$2:$A$1006,$A934,Data!$B$2:$B$1006,$B934)</f>
        <v>163.22434</v>
      </c>
      <c r="I934" s="10" t="n">
        <f aca="false">SUMIFS(Data!$N$2:$N$1006,Data!$A$2:$A$1006,$A934,Data!$B$2:$B$1006,$B934)</f>
        <v>344.230184</v>
      </c>
      <c r="J934" s="10" t="n">
        <f aca="false">SUMIFS(Data!$H$2:$H$1006,Data!$A$2:$A$1006,$A934,Data!$B$2:$B$1006,$B934)</f>
        <v>323.079268</v>
      </c>
      <c r="K934" s="11" t="n">
        <f aca="false">IFERROR(F934*1000000/$E934,"")</f>
        <v>76.1998878633658</v>
      </c>
      <c r="L934" s="11" t="n">
        <f aca="false">IFERROR(G934*1000000/$E934,"")</f>
        <v>79.9338514620892</v>
      </c>
      <c r="M934" s="11" t="n">
        <f aca="false">IFERROR(H934*1000000/$E934,"")</f>
        <v>140.795600793582</v>
      </c>
      <c r="N934" s="11" t="n">
        <f aca="false">IFERROR(I934*1000000/$E934,"")</f>
        <v>296.929340119037</v>
      </c>
      <c r="O934" s="11" t="n">
        <f aca="false">IFERROR(J934*1000000/$E934,"")</f>
        <v>278.684782196153</v>
      </c>
      <c r="P934" s="16" t="n">
        <f aca="false">COUNTIFS($A$4:$A$1008,$A934,$N$4:$N$1008,"&gt;"&amp;N934)+1</f>
        <v>31</v>
      </c>
      <c r="Q934" s="16" t="n">
        <f aca="false">COUNTIFS($A$4:$A$1008,$A934,$O$4:$O$1008,"&gt;"&amp;O934)+1</f>
        <v>27</v>
      </c>
    </row>
    <row r="935" customFormat="false" ht="15" hidden="false" customHeight="false" outlineLevel="0" collapsed="false">
      <c r="A935" s="7" t="n">
        <v>2023</v>
      </c>
      <c r="B935" s="15" t="s">
        <v>156</v>
      </c>
      <c r="C935" s="15" t="s">
        <v>135</v>
      </c>
      <c r="D935" s="15" t="s">
        <v>148</v>
      </c>
      <c r="E935" s="9" t="n">
        <f aca="false">SUMIFS(Data!$L$2:$L$1006,Data!$A$2:$A$1006,$A935,Data!$B$2:$B$1006,$B935)</f>
        <v>495097</v>
      </c>
      <c r="F935" s="10" t="n">
        <f aca="false">SUMIFS(Data!$E$2:$E$1006,Data!$A$2:$A$1006,$A935,Data!$B$2:$B$1006,$B935)</f>
        <v>30.847957</v>
      </c>
      <c r="G935" s="10" t="n">
        <f aca="false">SUMIFS(Data!$F$2:$F$1006,Data!$A$2:$A$1006,$A935,Data!$B$2:$B$1006,$B935)</f>
        <v>34.66376</v>
      </c>
      <c r="H935" s="10" t="n">
        <f aca="false">SUMIFS(Data!$G$2:$G$1006,Data!$A$2:$A$1006,$A935,Data!$B$2:$B$1006,$B935)</f>
        <v>82.825036</v>
      </c>
      <c r="I935" s="10" t="n">
        <f aca="false">SUMIFS(Data!$N$2:$N$1006,Data!$A$2:$A$1006,$A935,Data!$B$2:$B$1006,$B935)</f>
        <v>148.336753</v>
      </c>
      <c r="J935" s="10" t="n">
        <f aca="false">SUMIFS(Data!$H$2:$H$1006,Data!$A$2:$A$1006,$A935,Data!$B$2:$B$1006,$B935)</f>
        <v>202.828424</v>
      </c>
      <c r="K935" s="11" t="n">
        <f aca="false">IFERROR(F935*1000000/$E935,"")</f>
        <v>62.3068954164538</v>
      </c>
      <c r="L935" s="11" t="n">
        <f aca="false">IFERROR(G935*1000000/$E935,"")</f>
        <v>70.014078049352</v>
      </c>
      <c r="M935" s="11" t="n">
        <f aca="false">IFERROR(H935*1000000/$E935,"")</f>
        <v>167.290522867236</v>
      </c>
      <c r="N935" s="11" t="n">
        <f aca="false">IFERROR(I935*1000000/$E935,"")</f>
        <v>299.611496333042</v>
      </c>
      <c r="O935" s="11" t="n">
        <f aca="false">IFERROR(J935*1000000/$E935,"")</f>
        <v>409.674112345662</v>
      </c>
      <c r="P935" s="16" t="n">
        <f aca="false">COUNTIFS($A$4:$A$1008,$A935,$N$4:$N$1008,"&gt;"&amp;N935)+1</f>
        <v>30</v>
      </c>
      <c r="Q935" s="16" t="n">
        <f aca="false">COUNTIFS($A$4:$A$1008,$A935,$O$4:$O$1008,"&gt;"&amp;O935)+1</f>
        <v>11</v>
      </c>
    </row>
    <row r="936" customFormat="false" ht="15" hidden="false" customHeight="false" outlineLevel="0" collapsed="false">
      <c r="A936" s="7" t="n">
        <v>2023</v>
      </c>
      <c r="B936" s="15" t="s">
        <v>157</v>
      </c>
      <c r="C936" s="15" t="s">
        <v>135</v>
      </c>
      <c r="D936" s="15" t="s">
        <v>148</v>
      </c>
      <c r="E936" s="9" t="n">
        <f aca="false">SUMIFS(Data!$L$2:$L$1006,Data!$A$2:$A$1006,$A936,Data!$B$2:$B$1006,$B936)</f>
        <v>463129</v>
      </c>
      <c r="F936" s="10" t="n">
        <f aca="false">SUMIFS(Data!$E$2:$E$1006,Data!$A$2:$A$1006,$A936,Data!$B$2:$B$1006,$B936)</f>
        <v>31.561722</v>
      </c>
      <c r="G936" s="10" t="n">
        <f aca="false">SUMIFS(Data!$F$2:$F$1006,Data!$A$2:$A$1006,$A936,Data!$B$2:$B$1006,$B936)</f>
        <v>38.97397</v>
      </c>
      <c r="H936" s="10" t="n">
        <f aca="false">SUMIFS(Data!$G$2:$G$1006,Data!$A$2:$A$1006,$A936,Data!$B$2:$B$1006,$B936)</f>
        <v>56.068807</v>
      </c>
      <c r="I936" s="10" t="n">
        <f aca="false">SUMIFS(Data!$N$2:$N$1006,Data!$A$2:$A$1006,$A936,Data!$B$2:$B$1006,$B936)</f>
        <v>126.604499</v>
      </c>
      <c r="J936" s="10" t="n">
        <f aca="false">SUMIFS(Data!$H$2:$H$1006,Data!$A$2:$A$1006,$A936,Data!$B$2:$B$1006,$B936)</f>
        <v>161.315428</v>
      </c>
      <c r="K936" s="11" t="n">
        <f aca="false">IFERROR(F936*1000000/$E936,"")</f>
        <v>68.1488786061767</v>
      </c>
      <c r="L936" s="11" t="n">
        <f aca="false">IFERROR(G936*1000000/$E936,"")</f>
        <v>84.1535943549206</v>
      </c>
      <c r="M936" s="11" t="n">
        <f aca="false">IFERROR(H936*1000000/$E936,"")</f>
        <v>121.065204295132</v>
      </c>
      <c r="N936" s="11" t="n">
        <f aca="false">IFERROR(I936*1000000/$E936,"")</f>
        <v>273.367677256229</v>
      </c>
      <c r="O936" s="11" t="n">
        <f aca="false">IFERROR(J936*1000000/$E936,"")</f>
        <v>348.316404284767</v>
      </c>
      <c r="P936" s="16" t="n">
        <f aca="false">COUNTIFS($A$4:$A$1008,$A936,$N$4:$N$1008,"&gt;"&amp;N936)+1</f>
        <v>34</v>
      </c>
      <c r="Q936" s="16" t="n">
        <f aca="false">COUNTIFS($A$4:$A$1008,$A936,$O$4:$O$1008,"&gt;"&amp;O936)+1</f>
        <v>18</v>
      </c>
    </row>
    <row r="937" customFormat="false" ht="15" hidden="false" customHeight="false" outlineLevel="0" collapsed="false">
      <c r="A937" s="7" t="n">
        <v>2024</v>
      </c>
      <c r="B937" s="15" t="s">
        <v>101</v>
      </c>
      <c r="C937" s="15" t="s">
        <v>102</v>
      </c>
      <c r="D937" s="15" t="s">
        <v>103</v>
      </c>
      <c r="E937" s="9" t="n">
        <f aca="false">SUMIFS(Data!$L$2:$L$1006,Data!$A$2:$A$1006,$A937,Data!$B$2:$B$1006,$B937)</f>
        <v>758454</v>
      </c>
      <c r="F937" s="10" t="n">
        <f aca="false">SUMIFS(Data!$E$2:$E$1006,Data!$A$2:$A$1006,$A937,Data!$B$2:$B$1006,$B937)</f>
        <v>166.01616</v>
      </c>
      <c r="G937" s="10" t="n">
        <f aca="false">SUMIFS(Data!$F$2:$F$1006,Data!$A$2:$A$1006,$A937,Data!$B$2:$B$1006,$B937)</f>
        <v>28.351719</v>
      </c>
      <c r="H937" s="10" t="n">
        <f aca="false">SUMIFS(Data!$G$2:$G$1006,Data!$A$2:$A$1006,$A937,Data!$B$2:$B$1006,$B937)</f>
        <v>101.022701</v>
      </c>
      <c r="I937" s="10" t="n">
        <f aca="false">SUMIFS(Data!$N$2:$N$1006,Data!$A$2:$A$1006,$A937,Data!$B$2:$B$1006,$B937)</f>
        <v>295.39058</v>
      </c>
      <c r="J937" s="10" t="n">
        <f aca="false">SUMIFS(Data!$H$2:$H$1006,Data!$A$2:$A$1006,$A937,Data!$B$2:$B$1006,$B937)</f>
        <v>137.468318</v>
      </c>
      <c r="K937" s="11" t="n">
        <f aca="false">IFERROR(F937*1000000/$E937,"")</f>
        <v>218.887579207177</v>
      </c>
      <c r="L937" s="11" t="n">
        <f aca="false">IFERROR(G937*1000000/$E937,"")</f>
        <v>37.3809341107041</v>
      </c>
      <c r="M937" s="11" t="n">
        <f aca="false">IFERROR(H937*1000000/$E937,"")</f>
        <v>133.195554377721</v>
      </c>
      <c r="N937" s="11" t="n">
        <f aca="false">IFERROR(I937*1000000/$E937,"")</f>
        <v>389.464067695602</v>
      </c>
      <c r="O937" s="11" t="n">
        <f aca="false">IFERROR(J937*1000000/$E937,"")</f>
        <v>181.248062506098</v>
      </c>
      <c r="P937" s="16" t="n">
        <f aca="false">COUNTIFS($A$4:$A$1008,$A937,$N$4:$N$1008,"&gt;"&amp;N937)+1</f>
        <v>21</v>
      </c>
      <c r="Q937" s="16" t="n">
        <f aca="false">COUNTIFS($A$4:$A$1008,$A937,$O$4:$O$1008,"&gt;"&amp;O937)+1</f>
        <v>34</v>
      </c>
    </row>
    <row r="938" customFormat="false" ht="15" hidden="false" customHeight="false" outlineLevel="0" collapsed="false">
      <c r="A938" s="7" t="n">
        <v>2024</v>
      </c>
      <c r="B938" s="15" t="s">
        <v>158</v>
      </c>
      <c r="C938" s="15" t="s">
        <v>102</v>
      </c>
      <c r="D938" s="15" t="s">
        <v>107</v>
      </c>
      <c r="E938" s="9" t="n">
        <f aca="false">SUMIFS(Data!$L$2:$L$1006,Data!$A$2:$A$1006,$A938,Data!$B$2:$B$1006,$B938)</f>
        <v>2090443</v>
      </c>
      <c r="F938" s="10" t="n">
        <f aca="false">SUMIFS(Data!$E$2:$E$1006,Data!$A$2:$A$1006,$A938,Data!$B$2:$B$1006,$B938)</f>
        <v>312.484911</v>
      </c>
      <c r="G938" s="10" t="n">
        <f aca="false">SUMIFS(Data!$F$2:$F$1006,Data!$A$2:$A$1006,$A938,Data!$B$2:$B$1006,$B938)</f>
        <v>263.341541</v>
      </c>
      <c r="H938" s="10" t="n">
        <f aca="false">SUMIFS(Data!$G$2:$G$1006,Data!$A$2:$A$1006,$A938,Data!$B$2:$B$1006,$B938)</f>
        <v>257.838728</v>
      </c>
      <c r="I938" s="10" t="n">
        <f aca="false">SUMIFS(Data!$N$2:$N$1006,Data!$A$2:$A$1006,$A938,Data!$B$2:$B$1006,$B938)</f>
        <v>833.66518</v>
      </c>
      <c r="J938" s="10" t="n">
        <f aca="false">SUMIFS(Data!$H$2:$H$1006,Data!$A$2:$A$1006,$A938,Data!$B$2:$B$1006,$B938)</f>
        <v>491.390276</v>
      </c>
      <c r="K938" s="11" t="n">
        <f aca="false">IFERROR(F938*1000000/$E938,"")</f>
        <v>149.482626888176</v>
      </c>
      <c r="L938" s="11" t="n">
        <f aca="false">IFERROR(G938*1000000/$E938,"")</f>
        <v>125.97403564699</v>
      </c>
      <c r="M938" s="11" t="n">
        <f aca="false">IFERROR(H938*1000000/$E938,"")</f>
        <v>123.341668727633</v>
      </c>
      <c r="N938" s="11" t="n">
        <f aca="false">IFERROR(I938*1000000/$E938,"")</f>
        <v>398.798331262799</v>
      </c>
      <c r="O938" s="11" t="n">
        <f aca="false">IFERROR(J938*1000000/$E938,"")</f>
        <v>235.065139781376</v>
      </c>
      <c r="P938" s="16" t="n">
        <f aca="false">COUNTIFS($A$4:$A$1008,$A938,$N$4:$N$1008,"&gt;"&amp;N938)+1</f>
        <v>19</v>
      </c>
      <c r="Q938" s="16" t="n">
        <f aca="false">COUNTIFS($A$4:$A$1008,$A938,$O$4:$O$1008,"&gt;"&amp;O938)+1</f>
        <v>32</v>
      </c>
    </row>
    <row r="939" customFormat="false" ht="15" hidden="false" customHeight="false" outlineLevel="0" collapsed="false">
      <c r="A939" s="7" t="n">
        <v>2024</v>
      </c>
      <c r="B939" s="15" t="s">
        <v>104</v>
      </c>
      <c r="C939" s="15" t="s">
        <v>102</v>
      </c>
      <c r="D939" s="15" t="s">
        <v>105</v>
      </c>
      <c r="E939" s="9" t="n">
        <f aca="false">SUMIFS(Data!$L$2:$L$1006,Data!$A$2:$A$1006,$A939,Data!$B$2:$B$1006,$B939)</f>
        <v>1171836</v>
      </c>
      <c r="F939" s="10" t="n">
        <f aca="false">SUMIFS(Data!$E$2:$E$1006,Data!$A$2:$A$1006,$A939,Data!$B$2:$B$1006,$B939)</f>
        <v>219.413671</v>
      </c>
      <c r="G939" s="10" t="n">
        <f aca="false">SUMIFS(Data!$F$2:$F$1006,Data!$A$2:$A$1006,$A939,Data!$B$2:$B$1006,$B939)</f>
        <v>156.261334</v>
      </c>
      <c r="H939" s="10" t="n">
        <f aca="false">SUMIFS(Data!$G$2:$G$1006,Data!$A$2:$A$1006,$A939,Data!$B$2:$B$1006,$B939)</f>
        <v>166.869895</v>
      </c>
      <c r="I939" s="10" t="n">
        <f aca="false">SUMIFS(Data!$N$2:$N$1006,Data!$A$2:$A$1006,$A939,Data!$B$2:$B$1006,$B939)</f>
        <v>542.5449</v>
      </c>
      <c r="J939" s="10" t="n">
        <f aca="false">SUMIFS(Data!$H$2:$H$1006,Data!$A$2:$A$1006,$A939,Data!$B$2:$B$1006,$B939)</f>
        <v>319.575136</v>
      </c>
      <c r="K939" s="11" t="n">
        <f aca="false">IFERROR(F939*1000000/$E939,"")</f>
        <v>187.239230574927</v>
      </c>
      <c r="L939" s="11" t="n">
        <f aca="false">IFERROR(G939*1000000/$E939,"")</f>
        <v>133.34744281623</v>
      </c>
      <c r="M939" s="11" t="n">
        <f aca="false">IFERROR(H939*1000000/$E939,"")</f>
        <v>142.400382818074</v>
      </c>
      <c r="N939" s="11" t="n">
        <f aca="false">IFERROR(I939*1000000/$E939,"")</f>
        <v>462.987056209231</v>
      </c>
      <c r="O939" s="11" t="n">
        <f aca="false">IFERROR(J939*1000000/$E939,"")</f>
        <v>272.713191948361</v>
      </c>
      <c r="P939" s="16" t="n">
        <f aca="false">COUNTIFS($A$4:$A$1008,$A939,$N$4:$N$1008,"&gt;"&amp;N939)+1</f>
        <v>10</v>
      </c>
      <c r="Q939" s="16" t="n">
        <f aca="false">COUNTIFS($A$4:$A$1008,$A939,$O$4:$O$1008,"&gt;"&amp;O939)+1</f>
        <v>30</v>
      </c>
    </row>
    <row r="940" customFormat="false" ht="15" hidden="false" customHeight="false" outlineLevel="0" collapsed="false">
      <c r="A940" s="7" t="n">
        <v>2024</v>
      </c>
      <c r="B940" s="15" t="s">
        <v>108</v>
      </c>
      <c r="C940" s="15" t="s">
        <v>102</v>
      </c>
      <c r="D940" s="15" t="s">
        <v>109</v>
      </c>
      <c r="E940" s="9" t="n">
        <f aca="false">SUMIFS(Data!$L$2:$L$1006,Data!$A$2:$A$1006,$A940,Data!$B$2:$B$1006,$B940)</f>
        <v>397165</v>
      </c>
      <c r="F940" s="10" t="n">
        <f aca="false">SUMIFS(Data!$E$2:$E$1006,Data!$A$2:$A$1006,$A940,Data!$B$2:$B$1006,$B940)</f>
        <v>82.725294</v>
      </c>
      <c r="G940" s="10" t="n">
        <f aca="false">SUMIFS(Data!$F$2:$F$1006,Data!$A$2:$A$1006,$A940,Data!$B$2:$B$1006,$B940)</f>
        <v>21.591598</v>
      </c>
      <c r="H940" s="10" t="n">
        <f aca="false">SUMIFS(Data!$G$2:$G$1006,Data!$A$2:$A$1006,$A940,Data!$B$2:$B$1006,$B940)</f>
        <v>56.463837</v>
      </c>
      <c r="I940" s="10" t="n">
        <f aca="false">SUMIFS(Data!$N$2:$N$1006,Data!$A$2:$A$1006,$A940,Data!$B$2:$B$1006,$B940)</f>
        <v>160.780729</v>
      </c>
      <c r="J940" s="10" t="n">
        <f aca="false">SUMIFS(Data!$H$2:$H$1006,Data!$A$2:$A$1006,$A940,Data!$B$2:$B$1006,$B940)</f>
        <v>102.617275</v>
      </c>
      <c r="K940" s="11" t="n">
        <f aca="false">IFERROR(F940*1000000/$E940,"")</f>
        <v>208.28948673725</v>
      </c>
      <c r="L940" s="11" t="n">
        <f aca="false">IFERROR(G940*1000000/$E940,"")</f>
        <v>54.3643019903567</v>
      </c>
      <c r="M940" s="11" t="n">
        <f aca="false">IFERROR(H940*1000000/$E940,"")</f>
        <v>142.167202548059</v>
      </c>
      <c r="N940" s="11" t="n">
        <f aca="false">IFERROR(I940*1000000/$E940,"")</f>
        <v>404.820991275666</v>
      </c>
      <c r="O940" s="11" t="n">
        <f aca="false">IFERROR(J940*1000000/$E940,"")</f>
        <v>258.374416174638</v>
      </c>
      <c r="P940" s="16" t="n">
        <f aca="false">COUNTIFS($A$4:$A$1008,$A940,$N$4:$N$1008,"&gt;"&amp;N940)+1</f>
        <v>18</v>
      </c>
      <c r="Q940" s="16" t="n">
        <f aca="false">COUNTIFS($A$4:$A$1008,$A940,$O$4:$O$1008,"&gt;"&amp;O940)+1</f>
        <v>31</v>
      </c>
    </row>
    <row r="941" customFormat="false" ht="15" hidden="false" customHeight="false" outlineLevel="0" collapsed="false">
      <c r="A941" s="7" t="n">
        <v>2024</v>
      </c>
      <c r="B941" s="15" t="s">
        <v>110</v>
      </c>
      <c r="C941" s="15" t="s">
        <v>102</v>
      </c>
      <c r="D941" s="15" t="s">
        <v>103</v>
      </c>
      <c r="E941" s="9" t="n">
        <f aca="false">SUMIFS(Data!$L$2:$L$1006,Data!$A$2:$A$1006,$A941,Data!$B$2:$B$1006,$B941)</f>
        <v>1074067</v>
      </c>
      <c r="F941" s="10" t="n">
        <f aca="false">SUMIFS(Data!$E$2:$E$1006,Data!$A$2:$A$1006,$A941,Data!$B$2:$B$1006,$B941)</f>
        <v>106.694546</v>
      </c>
      <c r="G941" s="10" t="n">
        <f aca="false">SUMIFS(Data!$F$2:$F$1006,Data!$A$2:$A$1006,$A941,Data!$B$2:$B$1006,$B941)</f>
        <v>42.803498</v>
      </c>
      <c r="H941" s="10" t="n">
        <f aca="false">SUMIFS(Data!$G$2:$G$1006,Data!$A$2:$A$1006,$A941,Data!$B$2:$B$1006,$B941)</f>
        <v>104.229633</v>
      </c>
      <c r="I941" s="10" t="n">
        <f aca="false">SUMIFS(Data!$N$2:$N$1006,Data!$A$2:$A$1006,$A941,Data!$B$2:$B$1006,$B941)</f>
        <v>253.727677</v>
      </c>
      <c r="J941" s="10" t="n">
        <f aca="false">SUMIFS(Data!$H$2:$H$1006,Data!$A$2:$A$1006,$A941,Data!$B$2:$B$1006,$B941)</f>
        <v>146.016635</v>
      </c>
      <c r="K941" s="11" t="n">
        <f aca="false">IFERROR(F941*1000000/$E941,"")</f>
        <v>99.3369557020186</v>
      </c>
      <c r="L941" s="11" t="n">
        <f aca="false">IFERROR(G941*1000000/$E941,"")</f>
        <v>39.8517950928573</v>
      </c>
      <c r="M941" s="11" t="n">
        <f aca="false">IFERROR(H941*1000000/$E941,"")</f>
        <v>97.0420215871077</v>
      </c>
      <c r="N941" s="11" t="n">
        <f aca="false">IFERROR(I941*1000000/$E941,"")</f>
        <v>236.230772381984</v>
      </c>
      <c r="O941" s="11" t="n">
        <f aca="false">IFERROR(J941*1000000/$E941,"")</f>
        <v>135.947417619199</v>
      </c>
      <c r="P941" s="16" t="n">
        <f aca="false">COUNTIFS($A$4:$A$1008,$A941,$N$4:$N$1008,"&gt;"&amp;N941)+1</f>
        <v>36</v>
      </c>
      <c r="Q941" s="16" t="n">
        <f aca="false">COUNTIFS($A$4:$A$1008,$A941,$O$4:$O$1008,"&gt;"&amp;O941)+1</f>
        <v>35</v>
      </c>
    </row>
    <row r="942" customFormat="false" ht="15" hidden="false" customHeight="false" outlineLevel="0" collapsed="false">
      <c r="A942" s="7" t="n">
        <v>2024</v>
      </c>
      <c r="B942" s="15" t="s">
        <v>113</v>
      </c>
      <c r="C942" s="15" t="s">
        <v>102</v>
      </c>
      <c r="D942" s="15" t="s">
        <v>114</v>
      </c>
      <c r="E942" s="9" t="n">
        <f aca="false">SUMIFS(Data!$L$2:$L$1006,Data!$A$2:$A$1006,$A942,Data!$B$2:$B$1006,$B942)</f>
        <v>448460</v>
      </c>
      <c r="F942" s="10" t="n">
        <f aca="false">SUMIFS(Data!$E$2:$E$1006,Data!$A$2:$A$1006,$A942,Data!$B$2:$B$1006,$B942)</f>
        <v>56.702278</v>
      </c>
      <c r="G942" s="10" t="n">
        <f aca="false">SUMIFS(Data!$F$2:$F$1006,Data!$A$2:$A$1006,$A942,Data!$B$2:$B$1006,$B942)</f>
        <v>36.54749</v>
      </c>
      <c r="H942" s="10" t="n">
        <f aca="false">SUMIFS(Data!$G$2:$G$1006,Data!$A$2:$A$1006,$A942,Data!$B$2:$B$1006,$B942)</f>
        <v>48.749983</v>
      </c>
      <c r="I942" s="10" t="n">
        <f aca="false">SUMIFS(Data!$N$2:$N$1006,Data!$A$2:$A$1006,$A942,Data!$B$2:$B$1006,$B942)</f>
        <v>141.999751</v>
      </c>
      <c r="J942" s="10" t="n">
        <f aca="false">SUMIFS(Data!$H$2:$H$1006,Data!$A$2:$A$1006,$A942,Data!$B$2:$B$1006,$B942)</f>
        <v>94.924326</v>
      </c>
      <c r="K942" s="11" t="n">
        <f aca="false">IFERROR(F942*1000000/$E942,"")</f>
        <v>126.43776033537</v>
      </c>
      <c r="L942" s="11" t="n">
        <f aca="false">IFERROR(G942*1000000/$E942,"")</f>
        <v>81.4955402934487</v>
      </c>
      <c r="M942" s="11" t="n">
        <f aca="false">IFERROR(H942*1000000/$E942,"")</f>
        <v>108.705309280649</v>
      </c>
      <c r="N942" s="11" t="n">
        <f aca="false">IFERROR(I942*1000000/$E942,"")</f>
        <v>316.638609909468</v>
      </c>
      <c r="O942" s="11" t="n">
        <f aca="false">IFERROR(J942*1000000/$E942,"")</f>
        <v>211.667319270392</v>
      </c>
      <c r="P942" s="16" t="n">
        <f aca="false">COUNTIFS($A$4:$A$1008,$A942,$N$4:$N$1008,"&gt;"&amp;N942)+1</f>
        <v>29</v>
      </c>
      <c r="Q942" s="16" t="n">
        <f aca="false">COUNTIFS($A$4:$A$1008,$A942,$O$4:$O$1008,"&gt;"&amp;O942)+1</f>
        <v>33</v>
      </c>
    </row>
    <row r="943" customFormat="false" ht="15" hidden="false" customHeight="false" outlineLevel="0" collapsed="false">
      <c r="A943" s="7" t="n">
        <v>2024</v>
      </c>
      <c r="B943" s="15" t="s">
        <v>115</v>
      </c>
      <c r="C943" s="15" t="s">
        <v>102</v>
      </c>
      <c r="D943" s="15" t="s">
        <v>103</v>
      </c>
      <c r="E943" s="9" t="n">
        <f aca="false">SUMIFS(Data!$L$2:$L$1006,Data!$A$2:$A$1006,$A943,Data!$B$2:$B$1006,$B943)</f>
        <v>316086</v>
      </c>
      <c r="F943" s="10" t="n">
        <f aca="false">SUMIFS(Data!$E$2:$E$1006,Data!$A$2:$A$1006,$A943,Data!$B$2:$B$1006,$B943)</f>
        <v>28.346237</v>
      </c>
      <c r="G943" s="10" t="n">
        <f aca="false">SUMIFS(Data!$F$2:$F$1006,Data!$A$2:$A$1006,$A943,Data!$B$2:$B$1006,$B943)</f>
        <v>13.468837</v>
      </c>
      <c r="H943" s="10" t="n">
        <f aca="false">SUMIFS(Data!$G$2:$G$1006,Data!$A$2:$A$1006,$A943,Data!$B$2:$B$1006,$B943)</f>
        <v>39.676599</v>
      </c>
      <c r="I943" s="10" t="n">
        <f aca="false">SUMIFS(Data!$N$2:$N$1006,Data!$A$2:$A$1006,$A943,Data!$B$2:$B$1006,$B943)</f>
        <v>81.491673</v>
      </c>
      <c r="J943" s="10" t="n">
        <f aca="false">SUMIFS(Data!$H$2:$H$1006,Data!$A$2:$A$1006,$A943,Data!$B$2:$B$1006,$B943)</f>
        <v>41.034398</v>
      </c>
      <c r="K943" s="11" t="n">
        <f aca="false">IFERROR(F943*1000000/$E943,"")</f>
        <v>89.6788753693615</v>
      </c>
      <c r="L943" s="11" t="n">
        <f aca="false">IFERROR(G943*1000000/$E943,"")</f>
        <v>42.6113051511298</v>
      </c>
      <c r="M943" s="11" t="n">
        <f aca="false">IFERROR(H943*1000000/$E943,"")</f>
        <v>125.524695810634</v>
      </c>
      <c r="N943" s="11" t="n">
        <f aca="false">IFERROR(I943*1000000/$E943,"")</f>
        <v>257.814876331125</v>
      </c>
      <c r="O943" s="11" t="n">
        <f aca="false">IFERROR(J943*1000000/$E943,"")</f>
        <v>129.820359016217</v>
      </c>
      <c r="P943" s="16" t="n">
        <f aca="false">COUNTIFS($A$4:$A$1008,$A943,$N$4:$N$1008,"&gt;"&amp;N943)+1</f>
        <v>35</v>
      </c>
      <c r="Q943" s="16" t="n">
        <f aca="false">COUNTIFS($A$4:$A$1008,$A943,$O$4:$O$1008,"&gt;"&amp;O943)+1</f>
        <v>36</v>
      </c>
    </row>
    <row r="944" customFormat="false" ht="15" hidden="false" customHeight="false" outlineLevel="0" collapsed="false">
      <c r="A944" s="7" t="n">
        <v>2024</v>
      </c>
      <c r="B944" s="15" t="s">
        <v>117</v>
      </c>
      <c r="C944" s="15" t="s">
        <v>118</v>
      </c>
      <c r="D944" s="15" t="s">
        <v>103</v>
      </c>
      <c r="E944" s="9" t="n">
        <f aca="false">SUMIFS(Data!$L$2:$L$1006,Data!$A$2:$A$1006,$A944,Data!$B$2:$B$1006,$B944)</f>
        <v>1533266</v>
      </c>
      <c r="F944" s="10" t="n">
        <f aca="false">SUMIFS(Data!$E$2:$E$1006,Data!$A$2:$A$1006,$A944,Data!$B$2:$B$1006,$B944)</f>
        <v>279.979135</v>
      </c>
      <c r="G944" s="10" t="n">
        <f aca="false">SUMIFS(Data!$F$2:$F$1006,Data!$A$2:$A$1006,$A944,Data!$B$2:$B$1006,$B944)</f>
        <v>240.964008</v>
      </c>
      <c r="H944" s="10" t="n">
        <f aca="false">SUMIFS(Data!$G$2:$G$1006,Data!$A$2:$A$1006,$A944,Data!$B$2:$B$1006,$B944)</f>
        <v>235.344751</v>
      </c>
      <c r="I944" s="10" t="n">
        <f aca="false">SUMIFS(Data!$N$2:$N$1006,Data!$A$2:$A$1006,$A944,Data!$B$2:$B$1006,$B944)</f>
        <v>756.287894</v>
      </c>
      <c r="J944" s="10" t="n">
        <f aca="false">SUMIFS(Data!$H$2:$H$1006,Data!$A$2:$A$1006,$A944,Data!$B$2:$B$1006,$B944)</f>
        <v>464.668493</v>
      </c>
      <c r="K944" s="11" t="n">
        <f aca="false">IFERROR(F944*1000000/$E944,"")</f>
        <v>182.603106701642</v>
      </c>
      <c r="L944" s="11" t="n">
        <f aca="false">IFERROR(G944*1000000/$E944,"")</f>
        <v>157.15734125716</v>
      </c>
      <c r="M944" s="11" t="n">
        <f aca="false">IFERROR(H944*1000000/$E944,"")</f>
        <v>153.492447494433</v>
      </c>
      <c r="N944" s="11" t="n">
        <f aca="false">IFERROR(I944*1000000/$E944,"")</f>
        <v>493.252895453235</v>
      </c>
      <c r="O944" s="11" t="n">
        <f aca="false">IFERROR(J944*1000000/$E944,"")</f>
        <v>303.057977545971</v>
      </c>
      <c r="P944" s="16" t="n">
        <f aca="false">COUNTIFS($A$4:$A$1008,$A944,$N$4:$N$1008,"&gt;"&amp;N944)+1</f>
        <v>7</v>
      </c>
      <c r="Q944" s="16" t="n">
        <f aca="false">COUNTIFS($A$4:$A$1008,$A944,$O$4:$O$1008,"&gt;"&amp;O944)+1</f>
        <v>28</v>
      </c>
    </row>
    <row r="945" customFormat="false" ht="15" hidden="false" customHeight="false" outlineLevel="0" collapsed="false">
      <c r="A945" s="7" t="n">
        <v>2024</v>
      </c>
      <c r="B945" s="15" t="s">
        <v>119</v>
      </c>
      <c r="C945" s="15" t="s">
        <v>118</v>
      </c>
      <c r="D945" s="15" t="s">
        <v>103</v>
      </c>
      <c r="E945" s="9" t="n">
        <f aca="false">SUMIFS(Data!$L$2:$L$1006,Data!$A$2:$A$1006,$A945,Data!$B$2:$B$1006,$B945)</f>
        <v>537339</v>
      </c>
      <c r="F945" s="10" t="n">
        <f aca="false">SUMIFS(Data!$E$2:$E$1006,Data!$A$2:$A$1006,$A945,Data!$B$2:$B$1006,$B945)</f>
        <v>85.168308</v>
      </c>
      <c r="G945" s="10" t="n">
        <f aca="false">SUMIFS(Data!$F$2:$F$1006,Data!$A$2:$A$1006,$A945,Data!$B$2:$B$1006,$B945)</f>
        <v>62.745004</v>
      </c>
      <c r="H945" s="10" t="n">
        <f aca="false">SUMIFS(Data!$G$2:$G$1006,Data!$A$2:$A$1006,$A945,Data!$B$2:$B$1006,$B945)</f>
        <v>72.610837</v>
      </c>
      <c r="I945" s="10" t="n">
        <f aca="false">SUMIFS(Data!$N$2:$N$1006,Data!$A$2:$A$1006,$A945,Data!$B$2:$B$1006,$B945)</f>
        <v>220.524149</v>
      </c>
      <c r="J945" s="10" t="n">
        <f aca="false">SUMIFS(Data!$H$2:$H$1006,Data!$A$2:$A$1006,$A945,Data!$B$2:$B$1006,$B945)</f>
        <v>217.142701</v>
      </c>
      <c r="K945" s="11" t="n">
        <f aca="false">IFERROR(F945*1000000/$E945,"")</f>
        <v>158.500142368226</v>
      </c>
      <c r="L945" s="11" t="n">
        <f aca="false">IFERROR(G945*1000000/$E945,"")</f>
        <v>116.769867811568</v>
      </c>
      <c r="M945" s="11" t="n">
        <f aca="false">IFERROR(H945*1000000/$E945,"")</f>
        <v>135.130405572646</v>
      </c>
      <c r="N945" s="11" t="n">
        <f aca="false">IFERROR(I945*1000000/$E945,"")</f>
        <v>410.400415752439</v>
      </c>
      <c r="O945" s="11" t="n">
        <f aca="false">IFERROR(J945*1000000/$E945,"")</f>
        <v>404.10746474758</v>
      </c>
      <c r="P945" s="16" t="n">
        <f aca="false">COUNTIFS($A$4:$A$1008,$A945,$N$4:$N$1008,"&gt;"&amp;N945)+1</f>
        <v>16</v>
      </c>
      <c r="Q945" s="16" t="n">
        <f aca="false">COUNTIFS($A$4:$A$1008,$A945,$O$4:$O$1008,"&gt;"&amp;O945)+1</f>
        <v>20</v>
      </c>
    </row>
    <row r="946" customFormat="false" ht="15" hidden="false" customHeight="false" outlineLevel="0" collapsed="false">
      <c r="A946" s="7" t="n">
        <v>2024</v>
      </c>
      <c r="B946" s="15" t="s">
        <v>120</v>
      </c>
      <c r="C946" s="15" t="s">
        <v>118</v>
      </c>
      <c r="D946" s="15" t="s">
        <v>121</v>
      </c>
      <c r="E946" s="9" t="n">
        <f aca="false">SUMIFS(Data!$L$2:$L$1006,Data!$A$2:$A$1006,$A946,Data!$B$2:$B$1006,$B946)</f>
        <v>967408</v>
      </c>
      <c r="F946" s="10" t="n">
        <f aca="false">SUMIFS(Data!$E$2:$E$1006,Data!$A$2:$A$1006,$A946,Data!$B$2:$B$1006,$B946)</f>
        <v>231.430219</v>
      </c>
      <c r="G946" s="10" t="n">
        <f aca="false">SUMIFS(Data!$F$2:$F$1006,Data!$A$2:$A$1006,$A946,Data!$B$2:$B$1006,$B946)</f>
        <v>71.820802</v>
      </c>
      <c r="H946" s="10" t="n">
        <f aca="false">SUMIFS(Data!$G$2:$G$1006,Data!$A$2:$A$1006,$A946,Data!$B$2:$B$1006,$B946)</f>
        <v>189.07226</v>
      </c>
      <c r="I946" s="10" t="n">
        <f aca="false">SUMIFS(Data!$N$2:$N$1006,Data!$A$2:$A$1006,$A946,Data!$B$2:$B$1006,$B946)</f>
        <v>492.323281</v>
      </c>
      <c r="J946" s="10" t="n">
        <f aca="false">SUMIFS(Data!$H$2:$H$1006,Data!$A$2:$A$1006,$A946,Data!$B$2:$B$1006,$B946)</f>
        <v>446.17687</v>
      </c>
      <c r="K946" s="11" t="n">
        <f aca="false">IFERROR(F946*1000000/$E946,"")</f>
        <v>239.22710893439</v>
      </c>
      <c r="L946" s="11" t="n">
        <f aca="false">IFERROR(G946*1000000/$E946,"")</f>
        <v>74.2404466367861</v>
      </c>
      <c r="M946" s="11" t="n">
        <f aca="false">IFERROR(H946*1000000/$E946,"")</f>
        <v>195.442109223823</v>
      </c>
      <c r="N946" s="11" t="n">
        <f aca="false">IFERROR(I946*1000000/$E946,"")</f>
        <v>508.909664794999</v>
      </c>
      <c r="O946" s="11" t="n">
        <f aca="false">IFERROR(J946*1000000/$E946,"")</f>
        <v>461.208580040686</v>
      </c>
      <c r="P946" s="16" t="n">
        <f aca="false">COUNTIFS($A$4:$A$1008,$A946,$N$4:$N$1008,"&gt;"&amp;N946)+1</f>
        <v>6</v>
      </c>
      <c r="Q946" s="16" t="n">
        <f aca="false">COUNTIFS($A$4:$A$1008,$A946,$O$4:$O$1008,"&gt;"&amp;O946)+1</f>
        <v>13</v>
      </c>
    </row>
    <row r="947" customFormat="false" ht="15" hidden="false" customHeight="false" outlineLevel="0" collapsed="false">
      <c r="A947" s="7" t="n">
        <v>2024</v>
      </c>
      <c r="B947" s="15" t="s">
        <v>122</v>
      </c>
      <c r="C947" s="15" t="s">
        <v>118</v>
      </c>
      <c r="D947" s="15" t="s">
        <v>105</v>
      </c>
      <c r="E947" s="9" t="n">
        <f aca="false">SUMIFS(Data!$L$2:$L$1006,Data!$A$2:$A$1006,$A947,Data!$B$2:$B$1006,$B947)</f>
        <v>572774</v>
      </c>
      <c r="F947" s="10" t="n">
        <f aca="false">SUMIFS(Data!$E$2:$E$1006,Data!$A$2:$A$1006,$A947,Data!$B$2:$B$1006,$B947)</f>
        <v>113.870219</v>
      </c>
      <c r="G947" s="10" t="n">
        <f aca="false">SUMIFS(Data!$F$2:$F$1006,Data!$A$2:$A$1006,$A947,Data!$B$2:$B$1006,$B947)</f>
        <v>112.594343</v>
      </c>
      <c r="H947" s="10" t="n">
        <f aca="false">SUMIFS(Data!$G$2:$G$1006,Data!$A$2:$A$1006,$A947,Data!$B$2:$B$1006,$B947)</f>
        <v>103.063403</v>
      </c>
      <c r="I947" s="10" t="n">
        <f aca="false">SUMIFS(Data!$N$2:$N$1006,Data!$A$2:$A$1006,$A947,Data!$B$2:$B$1006,$B947)</f>
        <v>329.527965</v>
      </c>
      <c r="J947" s="10" t="n">
        <f aca="false">SUMIFS(Data!$H$2:$H$1006,Data!$A$2:$A$1006,$A947,Data!$B$2:$B$1006,$B947)</f>
        <v>190.824287</v>
      </c>
      <c r="K947" s="11" t="n">
        <f aca="false">IFERROR(F947*1000000/$E947,"")</f>
        <v>198.804797354629</v>
      </c>
      <c r="L947" s="11" t="n">
        <f aca="false">IFERROR(G947*1000000/$E947,"")</f>
        <v>196.577259093464</v>
      </c>
      <c r="M947" s="11" t="n">
        <f aca="false">IFERROR(H947*1000000/$E947,"")</f>
        <v>179.937292893881</v>
      </c>
      <c r="N947" s="11" t="n">
        <f aca="false">IFERROR(I947*1000000/$E947,"")</f>
        <v>575.319349341974</v>
      </c>
      <c r="O947" s="11" t="n">
        <f aca="false">IFERROR(J947*1000000/$E947,"")</f>
        <v>333.158081546998</v>
      </c>
      <c r="P947" s="16" t="n">
        <f aca="false">COUNTIFS($A$4:$A$1008,$A947,$N$4:$N$1008,"&gt;"&amp;N947)+1</f>
        <v>1</v>
      </c>
      <c r="Q947" s="16" t="n">
        <f aca="false">COUNTIFS($A$4:$A$1008,$A947,$O$4:$O$1008,"&gt;"&amp;O947)+1</f>
        <v>26</v>
      </c>
    </row>
    <row r="948" customFormat="false" ht="15" hidden="false" customHeight="false" outlineLevel="0" collapsed="false">
      <c r="A948" s="7" t="n">
        <v>2024</v>
      </c>
      <c r="B948" s="15" t="s">
        <v>123</v>
      </c>
      <c r="C948" s="15" t="s">
        <v>118</v>
      </c>
      <c r="D948" s="15" t="s">
        <v>124</v>
      </c>
      <c r="E948" s="9" t="n">
        <f aca="false">SUMIFS(Data!$L$2:$L$1006,Data!$A$2:$A$1006,$A948,Data!$B$2:$B$1006,$B948)</f>
        <v>1342757</v>
      </c>
      <c r="F948" s="10" t="n">
        <f aca="false">SUMIFS(Data!$E$2:$E$1006,Data!$A$2:$A$1006,$A948,Data!$B$2:$B$1006,$B948)</f>
        <v>317.219864</v>
      </c>
      <c r="G948" s="10" t="n">
        <f aca="false">SUMIFS(Data!$F$2:$F$1006,Data!$A$2:$A$1006,$A948,Data!$B$2:$B$1006,$B948)</f>
        <v>93.008382</v>
      </c>
      <c r="H948" s="10" t="n">
        <f aca="false">SUMIFS(Data!$G$2:$G$1006,Data!$A$2:$A$1006,$A948,Data!$B$2:$B$1006,$B948)</f>
        <v>162.856813</v>
      </c>
      <c r="I948" s="10" t="n">
        <f aca="false">SUMIFS(Data!$N$2:$N$1006,Data!$A$2:$A$1006,$A948,Data!$B$2:$B$1006,$B948)</f>
        <v>573.085059</v>
      </c>
      <c r="J948" s="10" t="n">
        <f aca="false">SUMIFS(Data!$H$2:$H$1006,Data!$A$2:$A$1006,$A948,Data!$B$2:$B$1006,$B948)</f>
        <v>571.653924</v>
      </c>
      <c r="K948" s="11" t="n">
        <f aca="false">IFERROR(F948*1000000/$E948,"")</f>
        <v>236.245176156222</v>
      </c>
      <c r="L948" s="11" t="n">
        <f aca="false">IFERROR(G948*1000000/$E948,"")</f>
        <v>69.2667265931215</v>
      </c>
      <c r="M948" s="11" t="n">
        <f aca="false">IFERROR(H948*1000000/$E948,"")</f>
        <v>121.285394900194</v>
      </c>
      <c r="N948" s="11" t="n">
        <f aca="false">IFERROR(I948*1000000/$E948,"")</f>
        <v>426.797297649538</v>
      </c>
      <c r="O948" s="11" t="n">
        <f aca="false">IFERROR(J948*1000000/$E948,"")</f>
        <v>425.731479336917</v>
      </c>
      <c r="P948" s="16" t="n">
        <f aca="false">COUNTIFS($A$4:$A$1008,$A948,$N$4:$N$1008,"&gt;"&amp;N948)+1</f>
        <v>12</v>
      </c>
      <c r="Q948" s="16" t="n">
        <f aca="false">COUNTIFS($A$4:$A$1008,$A948,$O$4:$O$1008,"&gt;"&amp;O948)+1</f>
        <v>17</v>
      </c>
    </row>
    <row r="949" customFormat="false" ht="15" hidden="false" customHeight="false" outlineLevel="0" collapsed="false">
      <c r="A949" s="7" t="n">
        <v>2024</v>
      </c>
      <c r="B949" s="15" t="s">
        <v>125</v>
      </c>
      <c r="C949" s="15" t="s">
        <v>118</v>
      </c>
      <c r="D949" s="15" t="s">
        <v>126</v>
      </c>
      <c r="E949" s="9" t="n">
        <f aca="false">SUMIFS(Data!$L$2:$L$1006,Data!$A$2:$A$1006,$A949,Data!$B$2:$B$1006,$B949)</f>
        <v>554789</v>
      </c>
      <c r="F949" s="10" t="n">
        <f aca="false">SUMIFS(Data!$E$2:$E$1006,Data!$A$2:$A$1006,$A949,Data!$B$2:$B$1006,$B949)</f>
        <v>90.194646</v>
      </c>
      <c r="G949" s="10" t="n">
        <f aca="false">SUMIFS(Data!$F$2:$F$1006,Data!$A$2:$A$1006,$A949,Data!$B$2:$B$1006,$B949)</f>
        <v>82.592119</v>
      </c>
      <c r="H949" s="10" t="n">
        <f aca="false">SUMIFS(Data!$G$2:$G$1006,Data!$A$2:$A$1006,$A949,Data!$B$2:$B$1006,$B949)</f>
        <v>94.59554</v>
      </c>
      <c r="I949" s="10" t="n">
        <f aca="false">SUMIFS(Data!$N$2:$N$1006,Data!$A$2:$A$1006,$A949,Data!$B$2:$B$1006,$B949)</f>
        <v>267.382305</v>
      </c>
      <c r="J949" s="10" t="n">
        <f aca="false">SUMIFS(Data!$H$2:$H$1006,Data!$A$2:$A$1006,$A949,Data!$B$2:$B$1006,$B949)</f>
        <v>248.448522</v>
      </c>
      <c r="K949" s="11" t="n">
        <f aca="false">IFERROR(F949*1000000/$E949,"")</f>
        <v>162.574683348084</v>
      </c>
      <c r="L949" s="11" t="n">
        <f aca="false">IFERROR(G949*1000000/$E949,"")</f>
        <v>148.871226718626</v>
      </c>
      <c r="M949" s="11" t="n">
        <f aca="false">IFERROR(H949*1000000/$E949,"")</f>
        <v>170.507237886836</v>
      </c>
      <c r="N949" s="11" t="n">
        <f aca="false">IFERROR(I949*1000000/$E949,"")</f>
        <v>481.953147953546</v>
      </c>
      <c r="O949" s="11" t="n">
        <f aca="false">IFERROR(J949*1000000/$E949,"")</f>
        <v>447.825248878402</v>
      </c>
      <c r="P949" s="16" t="n">
        <f aca="false">COUNTIFS($A$4:$A$1008,$A949,$N$4:$N$1008,"&gt;"&amp;N949)+1</f>
        <v>8</v>
      </c>
      <c r="Q949" s="16" t="n">
        <f aca="false">COUNTIFS($A$4:$A$1008,$A949,$O$4:$O$1008,"&gt;"&amp;O949)+1</f>
        <v>15</v>
      </c>
    </row>
    <row r="950" customFormat="false" ht="15" hidden="false" customHeight="false" outlineLevel="0" collapsed="false">
      <c r="A950" s="7" t="n">
        <v>2024</v>
      </c>
      <c r="B950" s="15" t="s">
        <v>127</v>
      </c>
      <c r="C950" s="15" t="s">
        <v>118</v>
      </c>
      <c r="D950" s="15" t="s">
        <v>103</v>
      </c>
      <c r="E950" s="9" t="n">
        <f aca="false">SUMIFS(Data!$L$2:$L$1006,Data!$A$2:$A$1006,$A950,Data!$B$2:$B$1006,$B950)</f>
        <v>759801</v>
      </c>
      <c r="F950" s="10" t="n">
        <f aca="false">SUMIFS(Data!$E$2:$E$1006,Data!$A$2:$A$1006,$A950,Data!$B$2:$B$1006,$B950)</f>
        <v>81.230978</v>
      </c>
      <c r="G950" s="10" t="n">
        <f aca="false">SUMIFS(Data!$F$2:$F$1006,Data!$A$2:$A$1006,$A950,Data!$B$2:$B$1006,$B950)</f>
        <v>39.59548</v>
      </c>
      <c r="H950" s="10" t="n">
        <f aca="false">SUMIFS(Data!$G$2:$G$1006,Data!$A$2:$A$1006,$A950,Data!$B$2:$B$1006,$B950)</f>
        <v>100.684514</v>
      </c>
      <c r="I950" s="10" t="n">
        <f aca="false">SUMIFS(Data!$N$2:$N$1006,Data!$A$2:$A$1006,$A950,Data!$B$2:$B$1006,$B950)</f>
        <v>221.510972</v>
      </c>
      <c r="J950" s="10" t="n">
        <f aca="false">SUMIFS(Data!$H$2:$H$1006,Data!$A$2:$A$1006,$A950,Data!$B$2:$B$1006,$B950)</f>
        <v>235.318001</v>
      </c>
      <c r="K950" s="11" t="n">
        <f aca="false">IFERROR(F950*1000000/$E950,"")</f>
        <v>106.910859554015</v>
      </c>
      <c r="L950" s="11" t="n">
        <f aca="false">IFERROR(G950*1000000/$E950,"")</f>
        <v>52.1129611569345</v>
      </c>
      <c r="M950" s="11" t="n">
        <f aca="false">IFERROR(H950*1000000/$E950,"")</f>
        <v>132.514321513133</v>
      </c>
      <c r="N950" s="11" t="n">
        <f aca="false">IFERROR(I950*1000000/$E950,"")</f>
        <v>291.538142224082</v>
      </c>
      <c r="O950" s="11" t="n">
        <f aca="false">IFERROR(J950*1000000/$E950,"")</f>
        <v>309.710043814104</v>
      </c>
      <c r="P950" s="16" t="n">
        <f aca="false">COUNTIFS($A$4:$A$1008,$A950,$N$4:$N$1008,"&gt;"&amp;N950)+1</f>
        <v>32</v>
      </c>
      <c r="Q950" s="16" t="n">
        <f aca="false">COUNTIFS($A$4:$A$1008,$A950,$O$4:$O$1008,"&gt;"&amp;O950)+1</f>
        <v>27</v>
      </c>
    </row>
    <row r="951" customFormat="false" ht="15" hidden="false" customHeight="false" outlineLevel="0" collapsed="false">
      <c r="A951" s="7" t="n">
        <v>2024</v>
      </c>
      <c r="B951" s="15" t="s">
        <v>128</v>
      </c>
      <c r="C951" s="15" t="s">
        <v>118</v>
      </c>
      <c r="D951" s="15" t="s">
        <v>107</v>
      </c>
      <c r="E951" s="9" t="n">
        <f aca="false">SUMIFS(Data!$L$2:$L$1006,Data!$A$2:$A$1006,$A951,Data!$B$2:$B$1006,$B951)</f>
        <v>613787</v>
      </c>
      <c r="F951" s="10" t="n">
        <f aca="false">SUMIFS(Data!$E$2:$E$1006,Data!$A$2:$A$1006,$A951,Data!$B$2:$B$1006,$B951)</f>
        <v>52.88965</v>
      </c>
      <c r="G951" s="10" t="n">
        <f aca="false">SUMIFS(Data!$F$2:$F$1006,Data!$A$2:$A$1006,$A951,Data!$B$2:$B$1006,$B951)</f>
        <v>73.764245</v>
      </c>
      <c r="H951" s="10" t="n">
        <f aca="false">SUMIFS(Data!$G$2:$G$1006,Data!$A$2:$A$1006,$A951,Data!$B$2:$B$1006,$B951)</f>
        <v>112.092572</v>
      </c>
      <c r="I951" s="10" t="n">
        <f aca="false">SUMIFS(Data!$N$2:$N$1006,Data!$A$2:$A$1006,$A951,Data!$B$2:$B$1006,$B951)</f>
        <v>238.746467</v>
      </c>
      <c r="J951" s="10" t="n">
        <f aca="false">SUMIFS(Data!$H$2:$H$1006,Data!$A$2:$A$1006,$A951,Data!$B$2:$B$1006,$B951)</f>
        <v>216.374115</v>
      </c>
      <c r="K951" s="11" t="n">
        <f aca="false">IFERROR(F951*1000000/$E951,"")</f>
        <v>86.1693877517771</v>
      </c>
      <c r="L951" s="11" t="n">
        <f aca="false">IFERROR(G951*1000000/$E951,"")</f>
        <v>120.178897565442</v>
      </c>
      <c r="M951" s="11" t="n">
        <f aca="false">IFERROR(H951*1000000/$E951,"")</f>
        <v>182.624545648572</v>
      </c>
      <c r="N951" s="11" t="n">
        <f aca="false">IFERROR(I951*1000000/$E951,"")</f>
        <v>388.972830965791</v>
      </c>
      <c r="O951" s="11" t="n">
        <f aca="false">IFERROR(J951*1000000/$E951,"")</f>
        <v>352.523130988437</v>
      </c>
      <c r="P951" s="16" t="n">
        <f aca="false">COUNTIFS($A$4:$A$1008,$A951,$N$4:$N$1008,"&gt;"&amp;N951)+1</f>
        <v>22</v>
      </c>
      <c r="Q951" s="16" t="n">
        <f aca="false">COUNTIFS($A$4:$A$1008,$A951,$O$4:$O$1008,"&gt;"&amp;O951)+1</f>
        <v>25</v>
      </c>
    </row>
    <row r="952" customFormat="false" ht="15" hidden="false" customHeight="false" outlineLevel="0" collapsed="false">
      <c r="A952" s="7" t="n">
        <v>2024</v>
      </c>
      <c r="B952" s="15" t="s">
        <v>129</v>
      </c>
      <c r="C952" s="15" t="s">
        <v>118</v>
      </c>
      <c r="D952" s="15" t="s">
        <v>107</v>
      </c>
      <c r="E952" s="9" t="n">
        <f aca="false">SUMIFS(Data!$L$2:$L$1006,Data!$A$2:$A$1006,$A952,Data!$B$2:$B$1006,$B952)</f>
        <v>1704093</v>
      </c>
      <c r="F952" s="10" t="n">
        <f aca="false">SUMIFS(Data!$E$2:$E$1006,Data!$A$2:$A$1006,$A952,Data!$B$2:$B$1006,$B952)</f>
        <v>366.073189</v>
      </c>
      <c r="G952" s="10" t="n">
        <f aca="false">SUMIFS(Data!$F$2:$F$1006,Data!$A$2:$A$1006,$A952,Data!$B$2:$B$1006,$B952)</f>
        <v>307.712013</v>
      </c>
      <c r="H952" s="10" t="n">
        <f aca="false">SUMIFS(Data!$G$2:$G$1006,Data!$A$2:$A$1006,$A952,Data!$B$2:$B$1006,$B952)</f>
        <v>195.581765</v>
      </c>
      <c r="I952" s="10" t="n">
        <f aca="false">SUMIFS(Data!$N$2:$N$1006,Data!$A$2:$A$1006,$A952,Data!$B$2:$B$1006,$B952)</f>
        <v>869.366967</v>
      </c>
      <c r="J952" s="10" t="n">
        <f aca="false">SUMIFS(Data!$H$2:$H$1006,Data!$A$2:$A$1006,$A952,Data!$B$2:$B$1006,$B952)</f>
        <v>906.03683</v>
      </c>
      <c r="K952" s="11" t="n">
        <f aca="false">IFERROR(F952*1000000/$E952,"")</f>
        <v>214.819959356678</v>
      </c>
      <c r="L952" s="11" t="n">
        <f aca="false">IFERROR(G952*1000000/$E952,"")</f>
        <v>180.572312074517</v>
      </c>
      <c r="M952" s="11" t="n">
        <f aca="false">IFERROR(H952*1000000/$E952,"")</f>
        <v>114.771767151206</v>
      </c>
      <c r="N952" s="11" t="n">
        <f aca="false">IFERROR(I952*1000000/$E952,"")</f>
        <v>510.164038582401</v>
      </c>
      <c r="O952" s="11" t="n">
        <f aca="false">IFERROR(J952*1000000/$E952,"")</f>
        <v>531.682736798989</v>
      </c>
      <c r="P952" s="16" t="n">
        <f aca="false">COUNTIFS($A$4:$A$1008,$A952,$N$4:$N$1008,"&gt;"&amp;N952)+1</f>
        <v>5</v>
      </c>
      <c r="Q952" s="16" t="n">
        <f aca="false">COUNTIFS($A$4:$A$1008,$A952,$O$4:$O$1008,"&gt;"&amp;O952)+1</f>
        <v>10</v>
      </c>
    </row>
    <row r="953" customFormat="false" ht="15" hidden="false" customHeight="false" outlineLevel="0" collapsed="false">
      <c r="A953" s="7" t="n">
        <v>2024</v>
      </c>
      <c r="B953" s="15" t="s">
        <v>130</v>
      </c>
      <c r="C953" s="15" t="s">
        <v>118</v>
      </c>
      <c r="D953" s="15" t="s">
        <v>107</v>
      </c>
      <c r="E953" s="9" t="n">
        <f aca="false">SUMIFS(Data!$L$2:$L$1006,Data!$A$2:$A$1006,$A953,Data!$B$2:$B$1006,$B953)</f>
        <v>1487306</v>
      </c>
      <c r="F953" s="10" t="n">
        <f aca="false">SUMIFS(Data!$E$2:$E$1006,Data!$A$2:$A$1006,$A953,Data!$B$2:$B$1006,$B953)</f>
        <v>229.268901</v>
      </c>
      <c r="G953" s="10" t="n">
        <f aca="false">SUMIFS(Data!$F$2:$F$1006,Data!$A$2:$A$1006,$A953,Data!$B$2:$B$1006,$B953)</f>
        <v>220.770001</v>
      </c>
      <c r="H953" s="10" t="n">
        <f aca="false">SUMIFS(Data!$G$2:$G$1006,Data!$A$2:$A$1006,$A953,Data!$B$2:$B$1006,$B953)</f>
        <v>158.286514</v>
      </c>
      <c r="I953" s="10" t="n">
        <f aca="false">SUMIFS(Data!$N$2:$N$1006,Data!$A$2:$A$1006,$A953,Data!$B$2:$B$1006,$B953)</f>
        <v>608.325416</v>
      </c>
      <c r="J953" s="10" t="n">
        <f aca="false">SUMIFS(Data!$H$2:$H$1006,Data!$A$2:$A$1006,$A953,Data!$B$2:$B$1006,$B953)</f>
        <v>415.290082</v>
      </c>
      <c r="K953" s="11" t="n">
        <f aca="false">IFERROR(F953*1000000/$E953,"")</f>
        <v>154.150457942078</v>
      </c>
      <c r="L953" s="11" t="n">
        <f aca="false">IFERROR(G953*1000000/$E953,"")</f>
        <v>148.436166464736</v>
      </c>
      <c r="M953" s="11" t="n">
        <f aca="false">IFERROR(H953*1000000/$E953,"")</f>
        <v>106.424981812754</v>
      </c>
      <c r="N953" s="11" t="n">
        <f aca="false">IFERROR(I953*1000000/$E953,"")</f>
        <v>409.011606219567</v>
      </c>
      <c r="O953" s="11" t="n">
        <f aca="false">IFERROR(J953*1000000/$E953,"")</f>
        <v>279.223026061886</v>
      </c>
      <c r="P953" s="16" t="n">
        <f aca="false">COUNTIFS($A$4:$A$1008,$A953,$N$4:$N$1008,"&gt;"&amp;N953)+1</f>
        <v>17</v>
      </c>
      <c r="Q953" s="16" t="n">
        <f aca="false">COUNTIFS($A$4:$A$1008,$A953,$O$4:$O$1008,"&gt;"&amp;O953)+1</f>
        <v>29</v>
      </c>
    </row>
    <row r="954" customFormat="false" ht="15" hidden="false" customHeight="false" outlineLevel="0" collapsed="false">
      <c r="A954" s="7" t="n">
        <v>2024</v>
      </c>
      <c r="B954" s="15" t="s">
        <v>131</v>
      </c>
      <c r="C954" s="15" t="s">
        <v>118</v>
      </c>
      <c r="D954" s="15" t="s">
        <v>132</v>
      </c>
      <c r="E954" s="9" t="n">
        <f aca="false">SUMIFS(Data!$L$2:$L$1006,Data!$A$2:$A$1006,$A954,Data!$B$2:$B$1006,$B954)</f>
        <v>949732</v>
      </c>
      <c r="F954" s="10" t="n">
        <f aca="false">SUMIFS(Data!$E$2:$E$1006,Data!$A$2:$A$1006,$A954,Data!$B$2:$B$1006,$B954)</f>
        <v>125.568345</v>
      </c>
      <c r="G954" s="10" t="n">
        <f aca="false">SUMIFS(Data!$F$2:$F$1006,Data!$A$2:$A$1006,$A954,Data!$B$2:$B$1006,$B954)</f>
        <v>170.45423</v>
      </c>
      <c r="H954" s="10" t="n">
        <f aca="false">SUMIFS(Data!$G$2:$G$1006,Data!$A$2:$A$1006,$A954,Data!$B$2:$B$1006,$B954)</f>
        <v>239.880493</v>
      </c>
      <c r="I954" s="10" t="n">
        <f aca="false">SUMIFS(Data!$N$2:$N$1006,Data!$A$2:$A$1006,$A954,Data!$B$2:$B$1006,$B954)</f>
        <v>535.903068</v>
      </c>
      <c r="J954" s="10" t="n">
        <f aca="false">SUMIFS(Data!$H$2:$H$1006,Data!$A$2:$A$1006,$A954,Data!$B$2:$B$1006,$B954)</f>
        <v>615.137747</v>
      </c>
      <c r="K954" s="11" t="n">
        <f aca="false">IFERROR(F954*1000000/$E954,"")</f>
        <v>132.214503670509</v>
      </c>
      <c r="L954" s="11" t="n">
        <f aca="false">IFERROR(G954*1000000/$E954,"")</f>
        <v>179.476136425855</v>
      </c>
      <c r="M954" s="11" t="n">
        <f aca="false">IFERROR(H954*1000000/$E954,"")</f>
        <v>252.577035416307</v>
      </c>
      <c r="N954" s="11" t="n">
        <f aca="false">IFERROR(I954*1000000/$E954,"")</f>
        <v>564.267675512671</v>
      </c>
      <c r="O954" s="11" t="n">
        <f aca="false">IFERROR(J954*1000000/$E954,"")</f>
        <v>647.696136383738</v>
      </c>
      <c r="P954" s="16" t="n">
        <f aca="false">COUNTIFS($A$4:$A$1008,$A954,$N$4:$N$1008,"&gt;"&amp;N954)+1</f>
        <v>2</v>
      </c>
      <c r="Q954" s="16" t="n">
        <f aca="false">COUNTIFS($A$4:$A$1008,$A954,$O$4:$O$1008,"&gt;"&amp;O954)+1</f>
        <v>2</v>
      </c>
    </row>
    <row r="955" customFormat="false" ht="15" hidden="false" customHeight="false" outlineLevel="0" collapsed="false">
      <c r="A955" s="7" t="n">
        <v>2024</v>
      </c>
      <c r="B955" s="15" t="s">
        <v>133</v>
      </c>
      <c r="C955" s="15" t="s">
        <v>118</v>
      </c>
      <c r="D955" s="15" t="s">
        <v>105</v>
      </c>
      <c r="E955" s="9" t="n">
        <f aca="false">SUMIFS(Data!$L$2:$L$1006,Data!$A$2:$A$1006,$A955,Data!$B$2:$B$1006,$B955)</f>
        <v>2390225</v>
      </c>
      <c r="F955" s="10" t="n">
        <f aca="false">SUMIFS(Data!$E$2:$E$1006,Data!$A$2:$A$1006,$A955,Data!$B$2:$B$1006,$B955)</f>
        <v>206.061557</v>
      </c>
      <c r="G955" s="10" t="n">
        <f aca="false">SUMIFS(Data!$F$2:$F$1006,Data!$A$2:$A$1006,$A955,Data!$B$2:$B$1006,$B955)</f>
        <v>522.035651</v>
      </c>
      <c r="H955" s="10" t="n">
        <f aca="false">SUMIFS(Data!$G$2:$G$1006,Data!$A$2:$A$1006,$A955,Data!$B$2:$B$1006,$B955)</f>
        <v>270.972735</v>
      </c>
      <c r="I955" s="10" t="n">
        <f aca="false">SUMIFS(Data!$N$2:$N$1006,Data!$A$2:$A$1006,$A955,Data!$B$2:$B$1006,$B955)</f>
        <v>999.069943</v>
      </c>
      <c r="J955" s="10" t="n">
        <f aca="false">SUMIFS(Data!$H$2:$H$1006,Data!$A$2:$A$1006,$A955,Data!$B$2:$B$1006,$B955)</f>
        <v>1088.774348</v>
      </c>
      <c r="K955" s="11" t="n">
        <f aca="false">IFERROR(F955*1000000/$E955,"")</f>
        <v>86.2101086717778</v>
      </c>
      <c r="L955" s="11" t="n">
        <f aca="false">IFERROR(G955*1000000/$E955,"")</f>
        <v>218.40439749396</v>
      </c>
      <c r="M955" s="11" t="n">
        <f aca="false">IFERROR(H955*1000000/$E955,"")</f>
        <v>113.367040759761</v>
      </c>
      <c r="N955" s="11" t="n">
        <f aca="false">IFERROR(I955*1000000/$E955,"")</f>
        <v>417.981546925499</v>
      </c>
      <c r="O955" s="11" t="n">
        <f aca="false">IFERROR(J955*1000000/$E955,"")</f>
        <v>455.511237644992</v>
      </c>
      <c r="P955" s="16" t="n">
        <f aca="false">COUNTIFS($A$4:$A$1008,$A955,$N$4:$N$1008,"&gt;"&amp;N955)+1</f>
        <v>13</v>
      </c>
      <c r="Q955" s="16" t="n">
        <f aca="false">COUNTIFS($A$4:$A$1008,$A955,$O$4:$O$1008,"&gt;"&amp;O955)+1</f>
        <v>14</v>
      </c>
    </row>
    <row r="956" customFormat="false" ht="15" hidden="false" customHeight="false" outlineLevel="0" collapsed="false">
      <c r="A956" s="7" t="n">
        <v>2024</v>
      </c>
      <c r="B956" s="15" t="s">
        <v>134</v>
      </c>
      <c r="C956" s="15" t="s">
        <v>135</v>
      </c>
      <c r="D956" s="15" t="s">
        <v>136</v>
      </c>
      <c r="E956" s="9" t="n">
        <f aca="false">SUMIFS(Data!$L$2:$L$1006,Data!$A$2:$A$1006,$A956,Data!$B$2:$B$1006,$B956)</f>
        <v>152342</v>
      </c>
      <c r="F956" s="10" t="n">
        <f aca="false">SUMIFS(Data!$E$2:$E$1006,Data!$A$2:$A$1006,$A956,Data!$B$2:$B$1006,$B956)</f>
        <v>28.016308</v>
      </c>
      <c r="G956" s="10" t="n">
        <f aca="false">SUMIFS(Data!$F$2:$F$1006,Data!$A$2:$A$1006,$A956,Data!$B$2:$B$1006,$B956)</f>
        <v>17.033488</v>
      </c>
      <c r="H956" s="10" t="n">
        <f aca="false">SUMIFS(Data!$G$2:$G$1006,Data!$A$2:$A$1006,$A956,Data!$B$2:$B$1006,$B956)</f>
        <v>25.928944</v>
      </c>
      <c r="I956" s="10" t="n">
        <f aca="false">SUMIFS(Data!$N$2:$N$1006,Data!$A$2:$A$1006,$A956,Data!$B$2:$B$1006,$B956)</f>
        <v>70.97874</v>
      </c>
      <c r="J956" s="10" t="n">
        <f aca="false">SUMIFS(Data!$H$2:$H$1006,Data!$A$2:$A$1006,$A956,Data!$B$2:$B$1006,$B956)</f>
        <v>59.723054</v>
      </c>
      <c r="K956" s="11" t="n">
        <f aca="false">IFERROR(F956*1000000/$E956,"")</f>
        <v>183.904031718108</v>
      </c>
      <c r="L956" s="11" t="n">
        <f aca="false">IFERROR(G956*1000000/$E956,"")</f>
        <v>111.810846647674</v>
      </c>
      <c r="M956" s="11" t="n">
        <f aca="false">IFERROR(H956*1000000/$E956,"")</f>
        <v>170.202202938126</v>
      </c>
      <c r="N956" s="11" t="n">
        <f aca="false">IFERROR(I956*1000000/$E956,"")</f>
        <v>465.917081303908</v>
      </c>
      <c r="O956" s="11" t="n">
        <f aca="false">IFERROR(J956*1000000/$E956,"")</f>
        <v>392.03275524806</v>
      </c>
      <c r="P956" s="16" t="n">
        <f aca="false">COUNTIFS($A$4:$A$1008,$A956,$N$4:$N$1008,"&gt;"&amp;N956)+1</f>
        <v>9</v>
      </c>
      <c r="Q956" s="16" t="n">
        <f aca="false">COUNTIFS($A$4:$A$1008,$A956,$O$4:$O$1008,"&gt;"&amp;O956)+1</f>
        <v>22</v>
      </c>
    </row>
    <row r="957" customFormat="false" ht="15" hidden="false" customHeight="false" outlineLevel="0" collapsed="false">
      <c r="A957" s="7" t="n">
        <v>2024</v>
      </c>
      <c r="B957" s="15" t="s">
        <v>137</v>
      </c>
      <c r="C957" s="15" t="s">
        <v>135</v>
      </c>
      <c r="D957" s="15" t="s">
        <v>138</v>
      </c>
      <c r="E957" s="9" t="n">
        <f aca="false">SUMIFS(Data!$L$2:$L$1006,Data!$A$2:$A$1006,$A957,Data!$B$2:$B$1006,$B957)</f>
        <v>1893531</v>
      </c>
      <c r="F957" s="10" t="n">
        <f aca="false">SUMIFS(Data!$E$2:$E$1006,Data!$A$2:$A$1006,$A957,Data!$B$2:$B$1006,$B957)</f>
        <v>366.258988</v>
      </c>
      <c r="G957" s="10" t="n">
        <f aca="false">SUMIFS(Data!$F$2:$F$1006,Data!$A$2:$A$1006,$A957,Data!$B$2:$B$1006,$B957)</f>
        <v>324.658291</v>
      </c>
      <c r="H957" s="10" t="n">
        <f aca="false">SUMIFS(Data!$G$2:$G$1006,Data!$A$2:$A$1006,$A957,Data!$B$2:$B$1006,$B957)</f>
        <v>344.340344</v>
      </c>
      <c r="I957" s="10" t="n">
        <f aca="false">SUMIFS(Data!$N$2:$N$1006,Data!$A$2:$A$1006,$A957,Data!$B$2:$B$1006,$B957)</f>
        <v>1035.257623</v>
      </c>
      <c r="J957" s="10" t="n">
        <f aca="false">SUMIFS(Data!$H$2:$H$1006,Data!$A$2:$A$1006,$A957,Data!$B$2:$B$1006,$B957)</f>
        <v>877.646753</v>
      </c>
      <c r="K957" s="11" t="n">
        <f aca="false">IFERROR(F957*1000000/$E957,"")</f>
        <v>193.426454597258</v>
      </c>
      <c r="L957" s="11" t="n">
        <f aca="false">IFERROR(G957*1000000/$E957,"")</f>
        <v>171.45654916661</v>
      </c>
      <c r="M957" s="11" t="n">
        <f aca="false">IFERROR(H957*1000000/$E957,"")</f>
        <v>181.850914508397</v>
      </c>
      <c r="N957" s="11" t="n">
        <f aca="false">IFERROR(I957*1000000/$E957,"")</f>
        <v>546.733918272265</v>
      </c>
      <c r="O957" s="11" t="n">
        <f aca="false">IFERROR(J957*1000000/$E957,"")</f>
        <v>463.497430461925</v>
      </c>
      <c r="P957" s="16" t="n">
        <f aca="false">COUNTIFS($A$4:$A$1008,$A957,$N$4:$N$1008,"&gt;"&amp;N957)+1</f>
        <v>3</v>
      </c>
      <c r="Q957" s="16" t="n">
        <f aca="false">COUNTIFS($A$4:$A$1008,$A957,$O$4:$O$1008,"&gt;"&amp;O957)+1</f>
        <v>11</v>
      </c>
    </row>
    <row r="958" customFormat="false" ht="15" hidden="false" customHeight="false" outlineLevel="0" collapsed="false">
      <c r="A958" s="7" t="n">
        <v>2024</v>
      </c>
      <c r="B958" s="15" t="s">
        <v>139</v>
      </c>
      <c r="C958" s="15" t="s">
        <v>135</v>
      </c>
      <c r="D958" s="15" t="s">
        <v>138</v>
      </c>
      <c r="E958" s="9" t="n">
        <f aca="false">SUMIFS(Data!$L$2:$L$1006,Data!$A$2:$A$1006,$A958,Data!$B$2:$B$1006,$B958)</f>
        <v>2279071</v>
      </c>
      <c r="F958" s="10" t="n">
        <f aca="false">SUMIFS(Data!$E$2:$E$1006,Data!$A$2:$A$1006,$A958,Data!$B$2:$B$1006,$B958)</f>
        <v>325.675359</v>
      </c>
      <c r="G958" s="10" t="n">
        <f aca="false">SUMIFS(Data!$F$2:$F$1006,Data!$A$2:$A$1006,$A958,Data!$B$2:$B$1006,$B958)</f>
        <v>370.428698</v>
      </c>
      <c r="H958" s="10" t="n">
        <f aca="false">SUMIFS(Data!$G$2:$G$1006,Data!$A$2:$A$1006,$A958,Data!$B$2:$B$1006,$B958)</f>
        <v>541.036905</v>
      </c>
      <c r="I958" s="10" t="n">
        <f aca="false">SUMIFS(Data!$N$2:$N$1006,Data!$A$2:$A$1006,$A958,Data!$B$2:$B$1006,$B958)</f>
        <v>1237.140962</v>
      </c>
      <c r="J958" s="10" t="n">
        <f aca="false">SUMIFS(Data!$H$2:$H$1006,Data!$A$2:$A$1006,$A958,Data!$B$2:$B$1006,$B958)</f>
        <v>1220.065869</v>
      </c>
      <c r="K958" s="11" t="n">
        <f aca="false">IFERROR(F958*1000000/$E958,"")</f>
        <v>142.898294524392</v>
      </c>
      <c r="L958" s="11" t="n">
        <f aca="false">IFERROR(G958*1000000/$E958,"")</f>
        <v>162.534953057627</v>
      </c>
      <c r="M958" s="11" t="n">
        <f aca="false">IFERROR(H958*1000000/$E958,"")</f>
        <v>237.393615644269</v>
      </c>
      <c r="N958" s="11" t="n">
        <f aca="false">IFERROR(I958*1000000/$E958,"")</f>
        <v>542.826863226288</v>
      </c>
      <c r="O958" s="11" t="n">
        <f aca="false">IFERROR(J958*1000000/$E958,"")</f>
        <v>535.334734635297</v>
      </c>
      <c r="P958" s="16" t="n">
        <f aca="false">COUNTIFS($A$4:$A$1008,$A958,$N$4:$N$1008,"&gt;"&amp;N958)+1</f>
        <v>4</v>
      </c>
      <c r="Q958" s="16" t="n">
        <f aca="false">COUNTIFS($A$4:$A$1008,$A958,$O$4:$O$1008,"&gt;"&amp;O958)+1</f>
        <v>9</v>
      </c>
    </row>
    <row r="959" customFormat="false" ht="15" hidden="false" customHeight="false" outlineLevel="0" collapsed="false">
      <c r="A959" s="7" t="n">
        <v>2024</v>
      </c>
      <c r="B959" s="15" t="s">
        <v>140</v>
      </c>
      <c r="C959" s="15" t="s">
        <v>135</v>
      </c>
      <c r="D959" s="15" t="s">
        <v>141</v>
      </c>
      <c r="E959" s="9" t="n">
        <f aca="false">SUMIFS(Data!$L$2:$L$1006,Data!$A$2:$A$1006,$A959,Data!$B$2:$B$1006,$B959)</f>
        <v>909011</v>
      </c>
      <c r="F959" s="10" t="n">
        <f aca="false">SUMIFS(Data!$E$2:$E$1006,Data!$A$2:$A$1006,$A959,Data!$B$2:$B$1006,$B959)</f>
        <v>103.254983</v>
      </c>
      <c r="G959" s="10" t="n">
        <f aca="false">SUMIFS(Data!$F$2:$F$1006,Data!$A$2:$A$1006,$A959,Data!$B$2:$B$1006,$B959)</f>
        <v>36.795109</v>
      </c>
      <c r="H959" s="10" t="n">
        <f aca="false">SUMIFS(Data!$G$2:$G$1006,Data!$A$2:$A$1006,$A959,Data!$B$2:$B$1006,$B959)</f>
        <v>109.18305</v>
      </c>
      <c r="I959" s="10" t="n">
        <f aca="false">SUMIFS(Data!$N$2:$N$1006,Data!$A$2:$A$1006,$A959,Data!$B$2:$B$1006,$B959)</f>
        <v>249.233142</v>
      </c>
      <c r="J959" s="10" t="n">
        <f aca="false">SUMIFS(Data!$H$2:$H$1006,Data!$A$2:$A$1006,$A959,Data!$B$2:$B$1006,$B959)</f>
        <v>421.043635</v>
      </c>
      <c r="K959" s="11" t="n">
        <f aca="false">IFERROR(F959*1000000/$E959,"")</f>
        <v>113.590465901953</v>
      </c>
      <c r="L959" s="11" t="n">
        <f aca="false">IFERROR(G959*1000000/$E959,"")</f>
        <v>40.4781779318402</v>
      </c>
      <c r="M959" s="11" t="n">
        <f aca="false">IFERROR(H959*1000000/$E959,"")</f>
        <v>120.111912837138</v>
      </c>
      <c r="N959" s="11" t="n">
        <f aca="false">IFERROR(I959*1000000/$E959,"")</f>
        <v>274.180556670931</v>
      </c>
      <c r="O959" s="11" t="n">
        <f aca="false">IFERROR(J959*1000000/$E959,"")</f>
        <v>463.188712787854</v>
      </c>
      <c r="P959" s="16" t="n">
        <f aca="false">COUNTIFS($A$4:$A$1008,$A959,$N$4:$N$1008,"&gt;"&amp;N959)+1</f>
        <v>34</v>
      </c>
      <c r="Q959" s="16" t="n">
        <f aca="false">COUNTIFS($A$4:$A$1008,$A959,$O$4:$O$1008,"&gt;"&amp;O959)+1</f>
        <v>12</v>
      </c>
    </row>
    <row r="960" customFormat="false" ht="15" hidden="false" customHeight="false" outlineLevel="0" collapsed="false">
      <c r="A960" s="7" t="n">
        <v>2024</v>
      </c>
      <c r="B960" s="15" t="s">
        <v>142</v>
      </c>
      <c r="C960" s="15" t="s">
        <v>135</v>
      </c>
      <c r="D960" s="15" t="s">
        <v>143</v>
      </c>
      <c r="E960" s="9" t="n">
        <f aca="false">SUMIFS(Data!$L$2:$L$1006,Data!$A$2:$A$1006,$A960,Data!$B$2:$B$1006,$B960)</f>
        <v>614578</v>
      </c>
      <c r="F960" s="10" t="n">
        <f aca="false">SUMIFS(Data!$E$2:$E$1006,Data!$A$2:$A$1006,$A960,Data!$B$2:$B$1006,$B960)</f>
        <v>94.534426</v>
      </c>
      <c r="G960" s="10" t="n">
        <f aca="false">SUMIFS(Data!$F$2:$F$1006,Data!$A$2:$A$1006,$A960,Data!$B$2:$B$1006,$B960)</f>
        <v>61.546673</v>
      </c>
      <c r="H960" s="10" t="n">
        <f aca="false">SUMIFS(Data!$G$2:$G$1006,Data!$A$2:$A$1006,$A960,Data!$B$2:$B$1006,$B960)</f>
        <v>97.721821</v>
      </c>
      <c r="I960" s="10" t="n">
        <f aca="false">SUMIFS(Data!$N$2:$N$1006,Data!$A$2:$A$1006,$A960,Data!$B$2:$B$1006,$B960)</f>
        <v>253.80292</v>
      </c>
      <c r="J960" s="10" t="n">
        <f aca="false">SUMIFS(Data!$H$2:$H$1006,Data!$A$2:$A$1006,$A960,Data!$B$2:$B$1006,$B960)</f>
        <v>334.588299</v>
      </c>
      <c r="K960" s="11" t="n">
        <f aca="false">IFERROR(F960*1000000/$E960,"")</f>
        <v>153.82006189613</v>
      </c>
      <c r="L960" s="11" t="n">
        <f aca="false">IFERROR(G960*1000000/$E960,"")</f>
        <v>100.144608170159</v>
      </c>
      <c r="M960" s="11" t="n">
        <f aca="false">IFERROR(H960*1000000/$E960,"")</f>
        <v>159.006376733303</v>
      </c>
      <c r="N960" s="11" t="n">
        <f aca="false">IFERROR(I960*1000000/$E960,"")</f>
        <v>412.971046799593</v>
      </c>
      <c r="O960" s="11" t="n">
        <f aca="false">IFERROR(J960*1000000/$E960,"")</f>
        <v>544.419583844524</v>
      </c>
      <c r="P960" s="16" t="n">
        <f aca="false">COUNTIFS($A$4:$A$1008,$A960,$N$4:$N$1008,"&gt;"&amp;N960)+1</f>
        <v>15</v>
      </c>
      <c r="Q960" s="16" t="n">
        <f aca="false">COUNTIFS($A$4:$A$1008,$A960,$O$4:$O$1008,"&gt;"&amp;O960)+1</f>
        <v>8</v>
      </c>
    </row>
    <row r="961" customFormat="false" ht="15" hidden="false" customHeight="false" outlineLevel="0" collapsed="false">
      <c r="A961" s="7" t="n">
        <v>2024</v>
      </c>
      <c r="B961" s="15" t="s">
        <v>144</v>
      </c>
      <c r="C961" s="15" t="s">
        <v>135</v>
      </c>
      <c r="D961" s="15" t="s">
        <v>141</v>
      </c>
      <c r="E961" s="9" t="n">
        <f aca="false">SUMIFS(Data!$L$2:$L$1006,Data!$A$2:$A$1006,$A961,Data!$B$2:$B$1006,$B961)</f>
        <v>530802</v>
      </c>
      <c r="F961" s="10" t="n">
        <f aca="false">SUMIFS(Data!$E$2:$E$1006,Data!$A$2:$A$1006,$A961,Data!$B$2:$B$1006,$B961)</f>
        <v>100.619848</v>
      </c>
      <c r="G961" s="10" t="n">
        <f aca="false">SUMIFS(Data!$F$2:$F$1006,Data!$A$2:$A$1006,$A961,Data!$B$2:$B$1006,$B961)</f>
        <v>49.893648</v>
      </c>
      <c r="H961" s="10" t="n">
        <f aca="false">SUMIFS(Data!$G$2:$G$1006,Data!$A$2:$A$1006,$A961,Data!$B$2:$B$1006,$B961)</f>
        <v>50.635448</v>
      </c>
      <c r="I961" s="10" t="n">
        <f aca="false">SUMIFS(Data!$N$2:$N$1006,Data!$A$2:$A$1006,$A961,Data!$B$2:$B$1006,$B961)</f>
        <v>201.148944</v>
      </c>
      <c r="J961" s="10" t="n">
        <f aca="false">SUMIFS(Data!$H$2:$H$1006,Data!$A$2:$A$1006,$A961,Data!$B$2:$B$1006,$B961)</f>
        <v>305.680516</v>
      </c>
      <c r="K961" s="11" t="n">
        <f aca="false">IFERROR(F961*1000000/$E961,"")</f>
        <v>189.56192327836</v>
      </c>
      <c r="L961" s="11" t="n">
        <f aca="false">IFERROR(G961*1000000/$E961,"")</f>
        <v>93.9967219415149</v>
      </c>
      <c r="M961" s="11" t="n">
        <f aca="false">IFERROR(H961*1000000/$E961,"")</f>
        <v>95.3942298634896</v>
      </c>
      <c r="N961" s="11" t="n">
        <f aca="false">IFERROR(I961*1000000/$E961,"")</f>
        <v>378.952875083364</v>
      </c>
      <c r="O961" s="11" t="n">
        <f aca="false">IFERROR(J961*1000000/$E961,"")</f>
        <v>575.884258160293</v>
      </c>
      <c r="P961" s="16" t="n">
        <f aca="false">COUNTIFS($A$4:$A$1008,$A961,$N$4:$N$1008,"&gt;"&amp;N961)+1</f>
        <v>23</v>
      </c>
      <c r="Q961" s="16" t="n">
        <f aca="false">COUNTIFS($A$4:$A$1008,$A961,$O$4:$O$1008,"&gt;"&amp;O961)+1</f>
        <v>4</v>
      </c>
    </row>
    <row r="962" customFormat="false" ht="15" hidden="false" customHeight="false" outlineLevel="0" collapsed="false">
      <c r="A962" s="7" t="n">
        <v>2024</v>
      </c>
      <c r="B962" s="15" t="s">
        <v>145</v>
      </c>
      <c r="C962" s="15" t="s">
        <v>135</v>
      </c>
      <c r="D962" s="15" t="s">
        <v>146</v>
      </c>
      <c r="E962" s="9" t="n">
        <f aca="false">SUMIFS(Data!$L$2:$L$1006,Data!$A$2:$A$1006,$A962,Data!$B$2:$B$1006,$B962)</f>
        <v>502520</v>
      </c>
      <c r="F962" s="10" t="n">
        <f aca="false">SUMIFS(Data!$E$2:$E$1006,Data!$A$2:$A$1006,$A962,Data!$B$2:$B$1006,$B962)</f>
        <v>50.730087</v>
      </c>
      <c r="G962" s="10" t="n">
        <f aca="false">SUMIFS(Data!$F$2:$F$1006,Data!$A$2:$A$1006,$A962,Data!$B$2:$B$1006,$B962)</f>
        <v>31.340538</v>
      </c>
      <c r="H962" s="10" t="n">
        <f aca="false">SUMIFS(Data!$G$2:$G$1006,Data!$A$2:$A$1006,$A962,Data!$B$2:$B$1006,$B962)</f>
        <v>126.698892</v>
      </c>
      <c r="I962" s="10" t="n">
        <f aca="false">SUMIFS(Data!$N$2:$N$1006,Data!$A$2:$A$1006,$A962,Data!$B$2:$B$1006,$B962)</f>
        <v>208.769517</v>
      </c>
      <c r="J962" s="10" t="n">
        <f aca="false">SUMIFS(Data!$H$2:$H$1006,Data!$A$2:$A$1006,$A962,Data!$B$2:$B$1006,$B962)</f>
        <v>302.781312</v>
      </c>
      <c r="K962" s="11" t="n">
        <f aca="false">IFERROR(F962*1000000/$E962,"")</f>
        <v>100.95137904959</v>
      </c>
      <c r="L962" s="11" t="n">
        <f aca="false">IFERROR(G962*1000000/$E962,"")</f>
        <v>62.3667475921356</v>
      </c>
      <c r="M962" s="11" t="n">
        <f aca="false">IFERROR(H962*1000000/$E962,"")</f>
        <v>252.127063599459</v>
      </c>
      <c r="N962" s="11" t="n">
        <f aca="false">IFERROR(I962*1000000/$E962,"")</f>
        <v>415.445190241184</v>
      </c>
      <c r="O962" s="11" t="n">
        <f aca="false">IFERROR(J962*1000000/$E962,"")</f>
        <v>602.525893496776</v>
      </c>
      <c r="P962" s="16" t="n">
        <f aca="false">COUNTIFS($A$4:$A$1008,$A962,$N$4:$N$1008,"&gt;"&amp;N962)+1</f>
        <v>14</v>
      </c>
      <c r="Q962" s="16" t="n">
        <f aca="false">COUNTIFS($A$4:$A$1008,$A962,$O$4:$O$1008,"&gt;"&amp;O962)+1</f>
        <v>3</v>
      </c>
    </row>
    <row r="963" customFormat="false" ht="15" hidden="false" customHeight="false" outlineLevel="0" collapsed="false">
      <c r="A963" s="7" t="n">
        <v>2024</v>
      </c>
      <c r="B963" s="15" t="s">
        <v>147</v>
      </c>
      <c r="C963" s="15" t="s">
        <v>135</v>
      </c>
      <c r="D963" s="15" t="s">
        <v>148</v>
      </c>
      <c r="E963" s="9" t="n">
        <f aca="false">SUMIFS(Data!$L$2:$L$1006,Data!$A$2:$A$1006,$A963,Data!$B$2:$B$1006,$B963)</f>
        <v>166128</v>
      </c>
      <c r="F963" s="10" t="n">
        <f aca="false">SUMIFS(Data!$E$2:$E$1006,Data!$A$2:$A$1006,$A963,Data!$B$2:$B$1006,$B963)</f>
        <v>17.457396</v>
      </c>
      <c r="G963" s="10" t="n">
        <f aca="false">SUMIFS(Data!$F$2:$F$1006,Data!$A$2:$A$1006,$A963,Data!$B$2:$B$1006,$B963)</f>
        <v>24.12788</v>
      </c>
      <c r="H963" s="10" t="n">
        <f aca="false">SUMIFS(Data!$G$2:$G$1006,Data!$A$2:$A$1006,$A963,Data!$B$2:$B$1006,$B963)</f>
        <v>19.973615</v>
      </c>
      <c r="I963" s="10" t="n">
        <f aca="false">SUMIFS(Data!$N$2:$N$1006,Data!$A$2:$A$1006,$A963,Data!$B$2:$B$1006,$B963)</f>
        <v>61.558891</v>
      </c>
      <c r="J963" s="10" t="n">
        <f aca="false">SUMIFS(Data!$H$2:$H$1006,Data!$A$2:$A$1006,$A963,Data!$B$2:$B$1006,$B963)</f>
        <v>68.720989</v>
      </c>
      <c r="K963" s="11" t="n">
        <f aca="false">IFERROR(F963*1000000/$E963,"")</f>
        <v>105.08400751228</v>
      </c>
      <c r="L963" s="11" t="n">
        <f aca="false">IFERROR(G963*1000000/$E963,"")</f>
        <v>145.23668496581</v>
      </c>
      <c r="M963" s="11" t="n">
        <f aca="false">IFERROR(H963*1000000/$E963,"")</f>
        <v>120.230274246364</v>
      </c>
      <c r="N963" s="11" t="n">
        <f aca="false">IFERROR(I963*1000000/$E963,"")</f>
        <v>370.550966724453</v>
      </c>
      <c r="O963" s="11" t="n">
        <f aca="false">IFERROR(J963*1000000/$E963,"")</f>
        <v>413.662892468458</v>
      </c>
      <c r="P963" s="16" t="n">
        <f aca="false">COUNTIFS($A$4:$A$1008,$A963,$N$4:$N$1008,"&gt;"&amp;N963)+1</f>
        <v>24</v>
      </c>
      <c r="Q963" s="16" t="n">
        <f aca="false">COUNTIFS($A$4:$A$1008,$A963,$O$4:$O$1008,"&gt;"&amp;O963)+1</f>
        <v>18</v>
      </c>
    </row>
    <row r="964" customFormat="false" ht="15" hidden="false" customHeight="false" outlineLevel="0" collapsed="false">
      <c r="A964" s="7" t="n">
        <v>2024</v>
      </c>
      <c r="B964" s="15" t="s">
        <v>149</v>
      </c>
      <c r="C964" s="15" t="s">
        <v>135</v>
      </c>
      <c r="D964" s="15" t="s">
        <v>146</v>
      </c>
      <c r="E964" s="9" t="n">
        <f aca="false">SUMIFS(Data!$L$2:$L$1006,Data!$A$2:$A$1006,$A964,Data!$B$2:$B$1006,$B964)</f>
        <v>829293</v>
      </c>
      <c r="F964" s="10" t="n">
        <f aca="false">SUMIFS(Data!$E$2:$E$1006,Data!$A$2:$A$1006,$A964,Data!$B$2:$B$1006,$B964)</f>
        <v>100.325466</v>
      </c>
      <c r="G964" s="10" t="n">
        <f aca="false">SUMIFS(Data!$F$2:$F$1006,Data!$A$2:$A$1006,$A964,Data!$B$2:$B$1006,$B964)</f>
        <v>76.894051</v>
      </c>
      <c r="H964" s="10" t="n">
        <f aca="false">SUMIFS(Data!$G$2:$G$1006,Data!$A$2:$A$1006,$A964,Data!$B$2:$B$1006,$B964)</f>
        <v>101.987639</v>
      </c>
      <c r="I964" s="10" t="n">
        <f aca="false">SUMIFS(Data!$N$2:$N$1006,Data!$A$2:$A$1006,$A964,Data!$B$2:$B$1006,$B964)</f>
        <v>279.207156</v>
      </c>
      <c r="J964" s="10" t="n">
        <f aca="false">SUMIFS(Data!$H$2:$H$1006,Data!$A$2:$A$1006,$A964,Data!$B$2:$B$1006,$B964)</f>
        <v>294.151584</v>
      </c>
      <c r="K964" s="11" t="n">
        <f aca="false">IFERROR(F964*1000000/$E964,"")</f>
        <v>120.977104593913</v>
      </c>
      <c r="L964" s="11" t="n">
        <f aca="false">IFERROR(G964*1000000/$E964,"")</f>
        <v>92.7224165644712</v>
      </c>
      <c r="M964" s="11" t="n">
        <f aca="false">IFERROR(H964*1000000/$E964,"")</f>
        <v>122.981429965043</v>
      </c>
      <c r="N964" s="11" t="n">
        <f aca="false">IFERROR(I964*1000000/$E964,"")</f>
        <v>336.680951123427</v>
      </c>
      <c r="O964" s="11" t="n">
        <f aca="false">IFERROR(J964*1000000/$E964,"")</f>
        <v>354.701636213015</v>
      </c>
      <c r="P964" s="16" t="n">
        <f aca="false">COUNTIFS($A$4:$A$1008,$A964,$N$4:$N$1008,"&gt;"&amp;N964)+1</f>
        <v>28</v>
      </c>
      <c r="Q964" s="16" t="n">
        <f aca="false">COUNTIFS($A$4:$A$1008,$A964,$O$4:$O$1008,"&gt;"&amp;O964)+1</f>
        <v>24</v>
      </c>
    </row>
    <row r="965" customFormat="false" ht="15" hidden="false" customHeight="false" outlineLevel="0" collapsed="false">
      <c r="A965" s="7" t="n">
        <v>2024</v>
      </c>
      <c r="B965" s="15" t="s">
        <v>150</v>
      </c>
      <c r="C965" s="15" t="s">
        <v>135</v>
      </c>
      <c r="D965" s="15" t="s">
        <v>141</v>
      </c>
      <c r="E965" s="9" t="n">
        <f aca="false">SUMIFS(Data!$L$2:$L$1006,Data!$A$2:$A$1006,$A965,Data!$B$2:$B$1006,$B965)</f>
        <v>490666</v>
      </c>
      <c r="F965" s="10" t="n">
        <f aca="false">SUMIFS(Data!$E$2:$E$1006,Data!$A$2:$A$1006,$A965,Data!$B$2:$B$1006,$B965)</f>
        <v>74.061796</v>
      </c>
      <c r="G965" s="10" t="n">
        <f aca="false">SUMIFS(Data!$F$2:$F$1006,Data!$A$2:$A$1006,$A965,Data!$B$2:$B$1006,$B965)</f>
        <v>18.502015</v>
      </c>
      <c r="H965" s="10" t="n">
        <f aca="false">SUMIFS(Data!$G$2:$G$1006,Data!$A$2:$A$1006,$A965,Data!$B$2:$B$1006,$B965)</f>
        <v>73.648025</v>
      </c>
      <c r="I965" s="10" t="n">
        <f aca="false">SUMIFS(Data!$N$2:$N$1006,Data!$A$2:$A$1006,$A965,Data!$B$2:$B$1006,$B965)</f>
        <v>166.211836</v>
      </c>
      <c r="J965" s="10" t="n">
        <f aca="false">SUMIFS(Data!$H$2:$H$1006,Data!$A$2:$A$1006,$A965,Data!$B$2:$B$1006,$B965)</f>
        <v>201.627029</v>
      </c>
      <c r="K965" s="11" t="n">
        <f aca="false">IFERROR(F965*1000000/$E965,"")</f>
        <v>150.941365409464</v>
      </c>
      <c r="L965" s="11" t="n">
        <f aca="false">IFERROR(G965*1000000/$E965,"")</f>
        <v>37.7079622390791</v>
      </c>
      <c r="M965" s="11" t="n">
        <f aca="false">IFERROR(H965*1000000/$E965,"")</f>
        <v>150.098080975654</v>
      </c>
      <c r="N965" s="11" t="n">
        <f aca="false">IFERROR(I965*1000000/$E965,"")</f>
        <v>338.747408624197</v>
      </c>
      <c r="O965" s="11" t="n">
        <f aca="false">IFERROR(J965*1000000/$E965,"")</f>
        <v>410.925209816861</v>
      </c>
      <c r="P965" s="16" t="n">
        <f aca="false">COUNTIFS($A$4:$A$1008,$A965,$N$4:$N$1008,"&gt;"&amp;N965)+1</f>
        <v>27</v>
      </c>
      <c r="Q965" s="16" t="n">
        <f aca="false">COUNTIFS($A$4:$A$1008,$A965,$O$4:$O$1008,"&gt;"&amp;O965)+1</f>
        <v>19</v>
      </c>
    </row>
    <row r="966" customFormat="false" ht="15" hidden="false" customHeight="false" outlineLevel="0" collapsed="false">
      <c r="A966" s="7" t="n">
        <v>2024</v>
      </c>
      <c r="B966" s="15" t="s">
        <v>151</v>
      </c>
      <c r="C966" s="15" t="s">
        <v>135</v>
      </c>
      <c r="D966" s="15" t="s">
        <v>136</v>
      </c>
      <c r="E966" s="9" t="n">
        <f aca="false">SUMIFS(Data!$L$2:$L$1006,Data!$A$2:$A$1006,$A966,Data!$B$2:$B$1006,$B966)</f>
        <v>1577476</v>
      </c>
      <c r="F966" s="10" t="n">
        <f aca="false">SUMIFS(Data!$E$2:$E$1006,Data!$A$2:$A$1006,$A966,Data!$B$2:$B$1006,$B966)</f>
        <v>123.465788</v>
      </c>
      <c r="G966" s="10" t="n">
        <f aca="false">SUMIFS(Data!$F$2:$F$1006,Data!$A$2:$A$1006,$A966,Data!$B$2:$B$1006,$B966)</f>
        <v>229.692224</v>
      </c>
      <c r="H966" s="10" t="n">
        <f aca="false">SUMIFS(Data!$G$2:$G$1006,Data!$A$2:$A$1006,$A966,Data!$B$2:$B$1006,$B966)</f>
        <v>191.019628</v>
      </c>
      <c r="I966" s="10" t="n">
        <f aca="false">SUMIFS(Data!$N$2:$N$1006,Data!$A$2:$A$1006,$A966,Data!$B$2:$B$1006,$B966)</f>
        <v>544.17764</v>
      </c>
      <c r="J966" s="10" t="n">
        <f aca="false">SUMIFS(Data!$H$2:$H$1006,Data!$A$2:$A$1006,$A966,Data!$B$2:$B$1006,$B966)</f>
        <v>673.210101</v>
      </c>
      <c r="K966" s="11" t="n">
        <f aca="false">IFERROR(F966*1000000/$E966,"")</f>
        <v>78.2679343457523</v>
      </c>
      <c r="L966" s="11" t="n">
        <f aca="false">IFERROR(G966*1000000/$E966,"")</f>
        <v>145.607428575776</v>
      </c>
      <c r="M966" s="11" t="n">
        <f aca="false">IFERROR(H966*1000000/$E966,"")</f>
        <v>121.091939275146</v>
      </c>
      <c r="N966" s="11" t="n">
        <f aca="false">IFERROR(I966*1000000/$E966,"")</f>
        <v>344.967302196674</v>
      </c>
      <c r="O966" s="11" t="n">
        <f aca="false">IFERROR(J966*1000000/$E966,"")</f>
        <v>426.764084524899</v>
      </c>
      <c r="P966" s="16" t="n">
        <f aca="false">COUNTIFS($A$4:$A$1008,$A966,$N$4:$N$1008,"&gt;"&amp;N966)+1</f>
        <v>26</v>
      </c>
      <c r="Q966" s="16" t="n">
        <f aca="false">COUNTIFS($A$4:$A$1008,$A966,$O$4:$O$1008,"&gt;"&amp;O966)+1</f>
        <v>16</v>
      </c>
    </row>
    <row r="967" customFormat="false" ht="15" hidden="false" customHeight="false" outlineLevel="0" collapsed="false">
      <c r="A967" s="7" t="n">
        <v>2024</v>
      </c>
      <c r="B967" s="15" t="s">
        <v>152</v>
      </c>
      <c r="C967" s="15" t="s">
        <v>135</v>
      </c>
      <c r="D967" s="15" t="s">
        <v>148</v>
      </c>
      <c r="E967" s="9" t="n">
        <f aca="false">SUMIFS(Data!$L$2:$L$1006,Data!$A$2:$A$1006,$A967,Data!$B$2:$B$1006,$B967)</f>
        <v>271318</v>
      </c>
      <c r="F967" s="10" t="n">
        <f aca="false">SUMIFS(Data!$E$2:$E$1006,Data!$A$2:$A$1006,$A967,Data!$B$2:$B$1006,$B967)</f>
        <v>24.114335</v>
      </c>
      <c r="G967" s="10" t="n">
        <f aca="false">SUMIFS(Data!$F$2:$F$1006,Data!$A$2:$A$1006,$A967,Data!$B$2:$B$1006,$B967)</f>
        <v>24.048349</v>
      </c>
      <c r="H967" s="10" t="n">
        <f aca="false">SUMIFS(Data!$G$2:$G$1006,Data!$A$2:$A$1006,$A967,Data!$B$2:$B$1006,$B967)</f>
        <v>45.635035</v>
      </c>
      <c r="I967" s="10" t="n">
        <f aca="false">SUMIFS(Data!$N$2:$N$1006,Data!$A$2:$A$1006,$A967,Data!$B$2:$B$1006,$B967)</f>
        <v>93.797719</v>
      </c>
      <c r="J967" s="10" t="n">
        <f aca="false">SUMIFS(Data!$H$2:$H$1006,Data!$A$2:$A$1006,$A967,Data!$B$2:$B$1006,$B967)</f>
        <v>151.067276</v>
      </c>
      <c r="K967" s="11" t="n">
        <f aca="false">IFERROR(F967*1000000/$E967,"")</f>
        <v>88.8784931335186</v>
      </c>
      <c r="L967" s="11" t="n">
        <f aca="false">IFERROR(G967*1000000/$E967,"")</f>
        <v>88.6352877435334</v>
      </c>
      <c r="M967" s="11" t="n">
        <f aca="false">IFERROR(H967*1000000/$E967,"")</f>
        <v>168.197594704369</v>
      </c>
      <c r="N967" s="11" t="n">
        <f aca="false">IFERROR(I967*1000000/$E967,"")</f>
        <v>345.711375581421</v>
      </c>
      <c r="O967" s="11" t="n">
        <f aca="false">IFERROR(J967*1000000/$E967,"")</f>
        <v>556.790467274563</v>
      </c>
      <c r="P967" s="16" t="n">
        <f aca="false">COUNTIFS($A$4:$A$1008,$A967,$N$4:$N$1008,"&gt;"&amp;N967)+1</f>
        <v>25</v>
      </c>
      <c r="Q967" s="16" t="n">
        <f aca="false">COUNTIFS($A$4:$A$1008,$A967,$O$4:$O$1008,"&gt;"&amp;O967)+1</f>
        <v>6</v>
      </c>
    </row>
    <row r="968" customFormat="false" ht="15" hidden="false" customHeight="false" outlineLevel="0" collapsed="false">
      <c r="A968" s="7" t="n">
        <v>2024</v>
      </c>
      <c r="B968" s="15" t="s">
        <v>153</v>
      </c>
      <c r="C968" s="15" t="s">
        <v>135</v>
      </c>
      <c r="D968" s="15" t="s">
        <v>136</v>
      </c>
      <c r="E968" s="9" t="n">
        <f aca="false">SUMIFS(Data!$L$2:$L$1006,Data!$A$2:$A$1006,$A968,Data!$B$2:$B$1006,$B968)</f>
        <v>135519</v>
      </c>
      <c r="F968" s="10" t="n">
        <f aca="false">SUMIFS(Data!$E$2:$E$1006,Data!$A$2:$A$1006,$A968,Data!$B$2:$B$1006,$B968)</f>
        <v>19.319587</v>
      </c>
      <c r="G968" s="10" t="n">
        <f aca="false">SUMIFS(Data!$F$2:$F$1006,Data!$A$2:$A$1006,$A968,Data!$B$2:$B$1006,$B968)</f>
        <v>23.497363</v>
      </c>
      <c r="H968" s="10" t="n">
        <f aca="false">SUMIFS(Data!$G$2:$G$1006,Data!$A$2:$A$1006,$A968,Data!$B$2:$B$1006,$B968)</f>
        <v>17.222056</v>
      </c>
      <c r="I968" s="10" t="n">
        <f aca="false">SUMIFS(Data!$N$2:$N$1006,Data!$A$2:$A$1006,$A968,Data!$B$2:$B$1006,$B968)</f>
        <v>60.039006</v>
      </c>
      <c r="J968" s="10" t="n">
        <f aca="false">SUMIFS(Data!$H$2:$H$1006,Data!$A$2:$A$1006,$A968,Data!$B$2:$B$1006,$B968)</f>
        <v>76.241296</v>
      </c>
      <c r="K968" s="11" t="n">
        <f aca="false">IFERROR(F968*1000000/$E968,"")</f>
        <v>142.559987898376</v>
      </c>
      <c r="L968" s="11" t="n">
        <f aca="false">IFERROR(G968*1000000/$E968,"")</f>
        <v>173.387960359802</v>
      </c>
      <c r="M968" s="11" t="n">
        <f aca="false">IFERROR(H968*1000000/$E968,"")</f>
        <v>127.082224632708</v>
      </c>
      <c r="N968" s="11" t="n">
        <f aca="false">IFERROR(I968*1000000/$E968,"")</f>
        <v>443.030172890886</v>
      </c>
      <c r="O968" s="11" t="n">
        <f aca="false">IFERROR(J968*1000000/$E968,"")</f>
        <v>562.587504335186</v>
      </c>
      <c r="P968" s="16" t="n">
        <f aca="false">COUNTIFS($A$4:$A$1008,$A968,$N$4:$N$1008,"&gt;"&amp;N968)+1</f>
        <v>11</v>
      </c>
      <c r="Q968" s="16" t="n">
        <f aca="false">COUNTIFS($A$4:$A$1008,$A968,$O$4:$O$1008,"&gt;"&amp;O968)+1</f>
        <v>5</v>
      </c>
    </row>
    <row r="969" customFormat="false" ht="15" hidden="false" customHeight="false" outlineLevel="0" collapsed="false">
      <c r="A969" s="7" t="n">
        <v>2024</v>
      </c>
      <c r="B969" s="15" t="s">
        <v>154</v>
      </c>
      <c r="C969" s="15" t="s">
        <v>135</v>
      </c>
      <c r="D969" s="15" t="s">
        <v>141</v>
      </c>
      <c r="E969" s="9" t="n">
        <f aca="false">SUMIFS(Data!$L$2:$L$1006,Data!$A$2:$A$1006,$A969,Data!$B$2:$B$1006,$B969)</f>
        <v>156686</v>
      </c>
      <c r="F969" s="10" t="n">
        <f aca="false">SUMIFS(Data!$E$2:$E$1006,Data!$A$2:$A$1006,$A969,Data!$B$2:$B$1006,$B969)</f>
        <v>22.772611</v>
      </c>
      <c r="G969" s="10" t="n">
        <f aca="false">SUMIFS(Data!$F$2:$F$1006,Data!$A$2:$A$1006,$A969,Data!$B$2:$B$1006,$B969)</f>
        <v>3.734713</v>
      </c>
      <c r="H969" s="10" t="n">
        <f aca="false">SUMIFS(Data!$G$2:$G$1006,Data!$A$2:$A$1006,$A969,Data!$B$2:$B$1006,$B969)</f>
        <v>34.805757</v>
      </c>
      <c r="I969" s="10" t="n">
        <f aca="false">SUMIFS(Data!$N$2:$N$1006,Data!$A$2:$A$1006,$A969,Data!$B$2:$B$1006,$B969)</f>
        <v>61.313081</v>
      </c>
      <c r="J969" s="10" t="n">
        <f aca="false">SUMIFS(Data!$H$2:$H$1006,Data!$A$2:$A$1006,$A969,Data!$B$2:$B$1006,$B969)</f>
        <v>125.191207</v>
      </c>
      <c r="K969" s="11" t="n">
        <f aca="false">IFERROR(F969*1000000/$E969,"")</f>
        <v>145.339156019044</v>
      </c>
      <c r="L969" s="11" t="n">
        <f aca="false">IFERROR(G969*1000000/$E969,"")</f>
        <v>23.835652196112</v>
      </c>
      <c r="M969" s="11" t="n">
        <f aca="false">IFERROR(H969*1000000/$E969,"")</f>
        <v>222.136993732688</v>
      </c>
      <c r="N969" s="11" t="n">
        <f aca="false">IFERROR(I969*1000000/$E969,"")</f>
        <v>391.311801947845</v>
      </c>
      <c r="O969" s="11" t="n">
        <f aca="false">IFERROR(J969*1000000/$E969,"")</f>
        <v>798.994211352642</v>
      </c>
      <c r="P969" s="16" t="n">
        <f aca="false">COUNTIFS($A$4:$A$1008,$A969,$N$4:$N$1008,"&gt;"&amp;N969)+1</f>
        <v>20</v>
      </c>
      <c r="Q969" s="16" t="n">
        <f aca="false">COUNTIFS($A$4:$A$1008,$A969,$O$4:$O$1008,"&gt;"&amp;O969)+1</f>
        <v>1</v>
      </c>
    </row>
    <row r="970" customFormat="false" ht="15" hidden="false" customHeight="false" outlineLevel="0" collapsed="false">
      <c r="A970" s="7" t="n">
        <v>2024</v>
      </c>
      <c r="B970" s="15" t="s">
        <v>155</v>
      </c>
      <c r="C970" s="15" t="s">
        <v>135</v>
      </c>
      <c r="D970" s="15" t="s">
        <v>148</v>
      </c>
      <c r="E970" s="9" t="n">
        <f aca="false">SUMIFS(Data!$L$2:$L$1006,Data!$A$2:$A$1006,$A970,Data!$B$2:$B$1006,$B970)</f>
        <v>1170318</v>
      </c>
      <c r="F970" s="10" t="n">
        <f aca="false">SUMIFS(Data!$E$2:$E$1006,Data!$A$2:$A$1006,$A970,Data!$B$2:$B$1006,$B970)</f>
        <v>89.085158</v>
      </c>
      <c r="G970" s="10" t="n">
        <f aca="false">SUMIFS(Data!$F$2:$F$1006,Data!$A$2:$A$1006,$A970,Data!$B$2:$B$1006,$B970)</f>
        <v>98.248359</v>
      </c>
      <c r="H970" s="10" t="n">
        <f aca="false">SUMIFS(Data!$G$2:$G$1006,Data!$A$2:$A$1006,$A970,Data!$B$2:$B$1006,$B970)</f>
        <v>173.757196</v>
      </c>
      <c r="I970" s="10" t="n">
        <f aca="false">SUMIFS(Data!$N$2:$N$1006,Data!$A$2:$A$1006,$A970,Data!$B$2:$B$1006,$B970)</f>
        <v>361.090713</v>
      </c>
      <c r="J970" s="10" t="n">
        <f aca="false">SUMIFS(Data!$H$2:$H$1006,Data!$A$2:$A$1006,$A970,Data!$B$2:$B$1006,$B970)</f>
        <v>455.19367</v>
      </c>
      <c r="K970" s="11" t="n">
        <f aca="false">IFERROR(F970*1000000/$E970,"")</f>
        <v>76.1204715299602</v>
      </c>
      <c r="L970" s="11" t="n">
        <f aca="false">IFERROR(G970*1000000/$E970,"")</f>
        <v>83.9501391929373</v>
      </c>
      <c r="M970" s="11" t="n">
        <f aca="false">IFERROR(H970*1000000/$E970,"")</f>
        <v>148.470070527839</v>
      </c>
      <c r="N970" s="11" t="n">
        <f aca="false">IFERROR(I970*1000000/$E970,"")</f>
        <v>308.540681250737</v>
      </c>
      <c r="O970" s="11" t="n">
        <f aca="false">IFERROR(J970*1000000/$E970,"")</f>
        <v>388.948704540134</v>
      </c>
      <c r="P970" s="16" t="n">
        <f aca="false">COUNTIFS($A$4:$A$1008,$A970,$N$4:$N$1008,"&gt;"&amp;N970)+1</f>
        <v>31</v>
      </c>
      <c r="Q970" s="16" t="n">
        <f aca="false">COUNTIFS($A$4:$A$1008,$A970,$O$4:$O$1008,"&gt;"&amp;O970)+1</f>
        <v>23</v>
      </c>
    </row>
    <row r="971" customFormat="false" ht="15" hidden="false" customHeight="false" outlineLevel="0" collapsed="false">
      <c r="A971" s="7" t="n">
        <v>2024</v>
      </c>
      <c r="B971" s="15" t="s">
        <v>156</v>
      </c>
      <c r="C971" s="15" t="s">
        <v>135</v>
      </c>
      <c r="D971" s="15" t="s">
        <v>148</v>
      </c>
      <c r="E971" s="9" t="n">
        <f aca="false">SUMIFS(Data!$L$2:$L$1006,Data!$A$2:$A$1006,$A971,Data!$B$2:$B$1006,$B971)</f>
        <v>499391</v>
      </c>
      <c r="F971" s="10" t="n">
        <f aca="false">SUMIFS(Data!$E$2:$E$1006,Data!$A$2:$A$1006,$A971,Data!$B$2:$B$1006,$B971)</f>
        <v>25.414815</v>
      </c>
      <c r="G971" s="10" t="n">
        <f aca="false">SUMIFS(Data!$F$2:$F$1006,Data!$A$2:$A$1006,$A971,Data!$B$2:$B$1006,$B971)</f>
        <v>42.284651</v>
      </c>
      <c r="H971" s="10" t="n">
        <f aca="false">SUMIFS(Data!$G$2:$G$1006,Data!$A$2:$A$1006,$A971,Data!$B$2:$B$1006,$B971)</f>
        <v>88.907431</v>
      </c>
      <c r="I971" s="10" t="n">
        <f aca="false">SUMIFS(Data!$N$2:$N$1006,Data!$A$2:$A$1006,$A971,Data!$B$2:$B$1006,$B971)</f>
        <v>156.606897</v>
      </c>
      <c r="J971" s="10" t="n">
        <f aca="false">SUMIFS(Data!$H$2:$H$1006,Data!$A$2:$A$1006,$A971,Data!$B$2:$B$1006,$B971)</f>
        <v>272.225981</v>
      </c>
      <c r="K971" s="11" t="n">
        <f aca="false">IFERROR(F971*1000000/$E971,"")</f>
        <v>50.8916159882737</v>
      </c>
      <c r="L971" s="11" t="n">
        <f aca="false">IFERROR(G971*1000000/$E971,"")</f>
        <v>84.6724330234225</v>
      </c>
      <c r="M971" s="11" t="n">
        <f aca="false">IFERROR(H971*1000000/$E971,"")</f>
        <v>178.031704616223</v>
      </c>
      <c r="N971" s="11" t="n">
        <f aca="false">IFERROR(I971*1000000/$E971,"")</f>
        <v>313.595753627919</v>
      </c>
      <c r="O971" s="11" t="n">
        <f aca="false">IFERROR(J971*1000000/$E971,"")</f>
        <v>545.115913182256</v>
      </c>
      <c r="P971" s="16" t="n">
        <f aca="false">COUNTIFS($A$4:$A$1008,$A971,$N$4:$N$1008,"&gt;"&amp;N971)+1</f>
        <v>30</v>
      </c>
      <c r="Q971" s="16" t="n">
        <f aca="false">COUNTIFS($A$4:$A$1008,$A971,$O$4:$O$1008,"&gt;"&amp;O971)+1</f>
        <v>7</v>
      </c>
    </row>
    <row r="972" customFormat="false" ht="15" hidden="false" customHeight="false" outlineLevel="0" collapsed="false">
      <c r="A972" s="7" t="n">
        <v>2024</v>
      </c>
      <c r="B972" s="15" t="s">
        <v>157</v>
      </c>
      <c r="C972" s="15" t="s">
        <v>135</v>
      </c>
      <c r="D972" s="15" t="s">
        <v>148</v>
      </c>
      <c r="E972" s="9" t="n">
        <f aca="false">SUMIFS(Data!$L$2:$L$1006,Data!$A$2:$A$1006,$A972,Data!$B$2:$B$1006,$B972)</f>
        <v>467910</v>
      </c>
      <c r="F972" s="10" t="n">
        <f aca="false">SUMIFS(Data!$E$2:$E$1006,Data!$A$2:$A$1006,$A972,Data!$B$2:$B$1006,$B972)</f>
        <v>35.353155</v>
      </c>
      <c r="G972" s="10" t="n">
        <f aca="false">SUMIFS(Data!$F$2:$F$1006,Data!$A$2:$A$1006,$A972,Data!$B$2:$B$1006,$B972)</f>
        <v>40.642412</v>
      </c>
      <c r="H972" s="10" t="n">
        <f aca="false">SUMIFS(Data!$G$2:$G$1006,Data!$A$2:$A$1006,$A972,Data!$B$2:$B$1006,$B972)</f>
        <v>60.21519</v>
      </c>
      <c r="I972" s="10" t="n">
        <f aca="false">SUMIFS(Data!$N$2:$N$1006,Data!$A$2:$A$1006,$A972,Data!$B$2:$B$1006,$B972)</f>
        <v>136.210757</v>
      </c>
      <c r="J972" s="10" t="n">
        <f aca="false">SUMIFS(Data!$H$2:$H$1006,Data!$A$2:$A$1006,$A972,Data!$B$2:$B$1006,$B972)</f>
        <v>186.713256</v>
      </c>
      <c r="K972" s="11" t="n">
        <f aca="false">IFERROR(F972*1000000/$E972,"")</f>
        <v>75.5554593832147</v>
      </c>
      <c r="L972" s="11" t="n">
        <f aca="false">IFERROR(G972*1000000/$E972,"")</f>
        <v>86.8594644269197</v>
      </c>
      <c r="M972" s="11" t="n">
        <f aca="false">IFERROR(H972*1000000/$E972,"")</f>
        <v>128.689683913573</v>
      </c>
      <c r="N972" s="11" t="n">
        <f aca="false">IFERROR(I972*1000000/$E972,"")</f>
        <v>291.104607723708</v>
      </c>
      <c r="O972" s="11" t="n">
        <f aca="false">IFERROR(J972*1000000/$E972,"")</f>
        <v>399.036686542284</v>
      </c>
      <c r="P972" s="16" t="n">
        <f aca="false">COUNTIFS($A$4:$A$1008,$A972,$N$4:$N$1008,"&gt;"&amp;N972)+1</f>
        <v>33</v>
      </c>
      <c r="Q972" s="16" t="n">
        <f aca="false">COUNTIFS($A$4:$A$1008,$A972,$O$4:$O$1008,"&gt;"&amp;O972)+1</f>
        <v>21</v>
      </c>
    </row>
    <row r="973" customFormat="false" ht="15" hidden="false" customHeight="false" outlineLevel="0" collapsed="false">
      <c r="A973" s="7" t="n">
        <v>2025</v>
      </c>
      <c r="B973" s="15" t="s">
        <v>101</v>
      </c>
      <c r="C973" s="15" t="s">
        <v>102</v>
      </c>
      <c r="D973" s="15" t="s">
        <v>103</v>
      </c>
      <c r="E973" s="9" t="n">
        <f aca="false">SUMIFS(Data!$L$2:$L$1006,Data!$A$2:$A$1006,$A973,Data!$B$2:$B$1006,$B973)</f>
        <v>759848</v>
      </c>
      <c r="F973" s="10" t="n">
        <f aca="false">SUMIFS(Data!$E$2:$E$1006,Data!$A$2:$A$1006,$A973,Data!$B$2:$B$1006,$B973)</f>
        <v>75.895897</v>
      </c>
      <c r="G973" s="10" t="n">
        <f aca="false">SUMIFS(Data!$F$2:$F$1006,Data!$A$2:$A$1006,$A973,Data!$B$2:$B$1006,$B973)</f>
        <v>32.911024</v>
      </c>
      <c r="H973" s="10" t="n">
        <f aca="false">SUMIFS(Data!$G$2:$G$1006,Data!$A$2:$A$1006,$A973,Data!$B$2:$B$1006,$B973)</f>
        <v>122.00261</v>
      </c>
      <c r="I973" s="10" t="n">
        <f aca="false">SUMIFS(Data!$N$2:$N$1006,Data!$A$2:$A$1006,$A973,Data!$B$2:$B$1006,$B973)</f>
        <v>230.809531</v>
      </c>
      <c r="J973" s="10" t="n">
        <f aca="false">SUMIFS(Data!$H$2:$H$1006,Data!$A$2:$A$1006,$A973,Data!$B$2:$B$1006,$B973)</f>
        <v>176.358146</v>
      </c>
      <c r="K973" s="11" t="n">
        <f aca="false">IFERROR(F973*1000000/$E973,"")</f>
        <v>99.8829989682147</v>
      </c>
      <c r="L973" s="11" t="n">
        <f aca="false">IFERROR(G973*1000000/$E973,"")</f>
        <v>43.3126414756636</v>
      </c>
      <c r="M973" s="11" t="n">
        <f aca="false">IFERROR(H973*1000000/$E973,"")</f>
        <v>160.561862372475</v>
      </c>
      <c r="N973" s="11" t="n">
        <f aca="false">IFERROR(I973*1000000/$E973,"")</f>
        <v>303.757502816353</v>
      </c>
      <c r="O973" s="11" t="n">
        <f aca="false">IFERROR(J973*1000000/$E973,"")</f>
        <v>232.096611427549</v>
      </c>
      <c r="P973" s="16" t="n">
        <f aca="false">COUNTIFS($A$4:$A$1008,$A973,$N$4:$N$1008,"&gt;"&amp;N973)+1</f>
        <v>33</v>
      </c>
      <c r="Q973" s="16" t="n">
        <f aca="false">COUNTIFS($A$4:$A$1008,$A973,$O$4:$O$1008,"&gt;"&amp;O973)+1</f>
        <v>34</v>
      </c>
    </row>
    <row r="974" customFormat="false" ht="15" hidden="false" customHeight="false" outlineLevel="0" collapsed="false">
      <c r="A974" s="7" t="n">
        <v>2025</v>
      </c>
      <c r="B974" s="15" t="s">
        <v>158</v>
      </c>
      <c r="C974" s="15" t="s">
        <v>102</v>
      </c>
      <c r="D974" s="15" t="s">
        <v>107</v>
      </c>
      <c r="E974" s="9" t="n">
        <f aca="false">SUMIFS(Data!$L$2:$L$1006,Data!$A$2:$A$1006,$A974,Data!$B$2:$B$1006,$B974)</f>
        <v>2097100</v>
      </c>
      <c r="F974" s="10" t="n">
        <f aca="false">SUMIFS(Data!$E$2:$E$1006,Data!$A$2:$A$1006,$A974,Data!$B$2:$B$1006,$B974)</f>
        <v>414.53737</v>
      </c>
      <c r="G974" s="10" t="n">
        <f aca="false">SUMIFS(Data!$F$2:$F$1006,Data!$A$2:$A$1006,$A974,Data!$B$2:$B$1006,$B974)</f>
        <v>349.882886</v>
      </c>
      <c r="H974" s="10" t="n">
        <f aca="false">SUMIFS(Data!$G$2:$G$1006,Data!$A$2:$A$1006,$A974,Data!$B$2:$B$1006,$B974)</f>
        <v>291.09111</v>
      </c>
      <c r="I974" s="10" t="n">
        <f aca="false">SUMIFS(Data!$N$2:$N$1006,Data!$A$2:$A$1006,$A974,Data!$B$2:$B$1006,$B974)</f>
        <v>1055.511366</v>
      </c>
      <c r="J974" s="10" t="n">
        <f aca="false">SUMIFS(Data!$H$2:$H$1006,Data!$A$2:$A$1006,$A974,Data!$B$2:$B$1006,$B974)</f>
        <v>814.824303</v>
      </c>
      <c r="K974" s="11" t="n">
        <f aca="false">IFERROR(F974*1000000/$E974,"")</f>
        <v>197.671722855372</v>
      </c>
      <c r="L974" s="11" t="n">
        <f aca="false">IFERROR(G974*1000000/$E974,"")</f>
        <v>166.841297982929</v>
      </c>
      <c r="M974" s="11" t="n">
        <f aca="false">IFERROR(H974*1000000/$E974,"")</f>
        <v>138.806499451624</v>
      </c>
      <c r="N974" s="11" t="n">
        <f aca="false">IFERROR(I974*1000000/$E974,"")</f>
        <v>503.319520289924</v>
      </c>
      <c r="O974" s="11" t="n">
        <f aca="false">IFERROR(J974*1000000/$E974,"")</f>
        <v>388.548139335273</v>
      </c>
      <c r="P974" s="16" t="n">
        <f aca="false">COUNTIFS($A$4:$A$1008,$A974,$N$4:$N$1008,"&gt;"&amp;N974)+1</f>
        <v>11</v>
      </c>
      <c r="Q974" s="16" t="n">
        <f aca="false">COUNTIFS($A$4:$A$1008,$A974,$O$4:$O$1008,"&gt;"&amp;O974)+1</f>
        <v>24</v>
      </c>
    </row>
    <row r="975" customFormat="false" ht="15" hidden="false" customHeight="false" outlineLevel="0" collapsed="false">
      <c r="A975" s="7" t="n">
        <v>2025</v>
      </c>
      <c r="B975" s="15" t="s">
        <v>104</v>
      </c>
      <c r="C975" s="15" t="s">
        <v>102</v>
      </c>
      <c r="D975" s="15" t="s">
        <v>105</v>
      </c>
      <c r="E975" s="9" t="n">
        <f aca="false">SUMIFS(Data!$L$2:$L$1006,Data!$A$2:$A$1006,$A975,Data!$B$2:$B$1006,$B975)</f>
        <v>1181664</v>
      </c>
      <c r="F975" s="10" t="n">
        <f aca="false">SUMIFS(Data!$E$2:$E$1006,Data!$A$2:$A$1006,$A975,Data!$B$2:$B$1006,$B975)</f>
        <v>253.40012</v>
      </c>
      <c r="G975" s="10" t="n">
        <f aca="false">SUMIFS(Data!$F$2:$F$1006,Data!$A$2:$A$1006,$A975,Data!$B$2:$B$1006,$B975)</f>
        <v>182.514959</v>
      </c>
      <c r="H975" s="10" t="n">
        <f aca="false">SUMIFS(Data!$G$2:$G$1006,Data!$A$2:$A$1006,$A975,Data!$B$2:$B$1006,$B975)</f>
        <v>193.121592</v>
      </c>
      <c r="I975" s="10" t="n">
        <f aca="false">SUMIFS(Data!$N$2:$N$1006,Data!$A$2:$A$1006,$A975,Data!$B$2:$B$1006,$B975)</f>
        <v>629.036671</v>
      </c>
      <c r="J975" s="10" t="n">
        <f aca="false">SUMIFS(Data!$H$2:$H$1006,Data!$A$2:$A$1006,$A975,Data!$B$2:$B$1006,$B975)</f>
        <v>399.384424</v>
      </c>
      <c r="K975" s="11" t="n">
        <f aca="false">IFERROR(F975*1000000/$E975,"")</f>
        <v>214.443462777913</v>
      </c>
      <c r="L975" s="11" t="n">
        <f aca="false">IFERROR(G975*1000000/$E975,"")</f>
        <v>154.455885090855</v>
      </c>
      <c r="M975" s="11" t="n">
        <f aca="false">IFERROR(H975*1000000/$E975,"")</f>
        <v>163.431899423186</v>
      </c>
      <c r="N975" s="11" t="n">
        <f aca="false">IFERROR(I975*1000000/$E975,"")</f>
        <v>532.331247291954</v>
      </c>
      <c r="O975" s="11" t="n">
        <f aca="false">IFERROR(J975*1000000/$E975,"")</f>
        <v>337.984760473366</v>
      </c>
      <c r="P975" s="16" t="n">
        <f aca="false">COUNTIFS($A$4:$A$1008,$A975,$N$4:$N$1008,"&gt;"&amp;N975)+1</f>
        <v>7</v>
      </c>
      <c r="Q975" s="16" t="n">
        <f aca="false">COUNTIFS($A$4:$A$1008,$A975,$O$4:$O$1008,"&gt;"&amp;O975)+1</f>
        <v>30</v>
      </c>
    </row>
    <row r="976" customFormat="false" ht="15" hidden="false" customHeight="false" outlineLevel="0" collapsed="false">
      <c r="A976" s="7" t="n">
        <v>2025</v>
      </c>
      <c r="B976" s="15" t="s">
        <v>108</v>
      </c>
      <c r="C976" s="15" t="s">
        <v>102</v>
      </c>
      <c r="D976" s="15" t="s">
        <v>109</v>
      </c>
      <c r="E976" s="9" t="n">
        <f aca="false">SUMIFS(Data!$L$2:$L$1006,Data!$A$2:$A$1006,$A976,Data!$B$2:$B$1006,$B976)</f>
        <v>397332</v>
      </c>
      <c r="F976" s="10" t="n">
        <f aca="false">SUMIFS(Data!$E$2:$E$1006,Data!$A$2:$A$1006,$A976,Data!$B$2:$B$1006,$B976)</f>
        <v>88.905731</v>
      </c>
      <c r="G976" s="10" t="n">
        <f aca="false">SUMIFS(Data!$F$2:$F$1006,Data!$A$2:$A$1006,$A976,Data!$B$2:$B$1006,$B976)</f>
        <v>20.05001</v>
      </c>
      <c r="H976" s="10" t="n">
        <f aca="false">SUMIFS(Data!$G$2:$G$1006,Data!$A$2:$A$1006,$A976,Data!$B$2:$B$1006,$B976)</f>
        <v>63.945075</v>
      </c>
      <c r="I976" s="10" t="n">
        <f aca="false">SUMIFS(Data!$N$2:$N$1006,Data!$A$2:$A$1006,$A976,Data!$B$2:$B$1006,$B976)</f>
        <v>172.900816</v>
      </c>
      <c r="J976" s="10" t="n">
        <f aca="false">SUMIFS(Data!$H$2:$H$1006,Data!$A$2:$A$1006,$A976,Data!$B$2:$B$1006,$B976)</f>
        <v>147.155287</v>
      </c>
      <c r="K976" s="11" t="n">
        <f aca="false">IFERROR(F976*1000000/$E976,"")</f>
        <v>223.756785257669</v>
      </c>
      <c r="L976" s="11" t="n">
        <f aca="false">IFERROR(G976*1000000/$E976,"")</f>
        <v>50.4616038979997</v>
      </c>
      <c r="M976" s="11" t="n">
        <f aca="false">IFERROR(H976*1000000/$E976,"")</f>
        <v>160.936131497086</v>
      </c>
      <c r="N976" s="11" t="n">
        <f aca="false">IFERROR(I976*1000000/$E976,"")</f>
        <v>435.154520652754</v>
      </c>
      <c r="O976" s="11" t="n">
        <f aca="false">IFERROR(J976*1000000/$E976,"")</f>
        <v>370.358508753385</v>
      </c>
      <c r="P976" s="16" t="n">
        <f aca="false">COUNTIFS($A$4:$A$1008,$A976,$N$4:$N$1008,"&gt;"&amp;N976)+1</f>
        <v>20</v>
      </c>
      <c r="Q976" s="16" t="n">
        <f aca="false">COUNTIFS($A$4:$A$1008,$A976,$O$4:$O$1008,"&gt;"&amp;O976)+1</f>
        <v>26</v>
      </c>
    </row>
    <row r="977" customFormat="false" ht="15" hidden="false" customHeight="false" outlineLevel="0" collapsed="false">
      <c r="A977" s="7" t="n">
        <v>2025</v>
      </c>
      <c r="B977" s="15" t="s">
        <v>110</v>
      </c>
      <c r="C977" s="15" t="s">
        <v>102</v>
      </c>
      <c r="D977" s="15" t="s">
        <v>103</v>
      </c>
      <c r="E977" s="9" t="n">
        <f aca="false">SUMIFS(Data!$L$2:$L$1006,Data!$A$2:$A$1006,$A977,Data!$B$2:$B$1006,$B977)</f>
        <v>1077593</v>
      </c>
      <c r="F977" s="10" t="n">
        <f aca="false">SUMIFS(Data!$E$2:$E$1006,Data!$A$2:$A$1006,$A977,Data!$B$2:$B$1006,$B977)</f>
        <v>102.650564</v>
      </c>
      <c r="G977" s="10" t="n">
        <f aca="false">SUMIFS(Data!$F$2:$F$1006,Data!$A$2:$A$1006,$A977,Data!$B$2:$B$1006,$B977)</f>
        <v>47.502114</v>
      </c>
      <c r="H977" s="10" t="n">
        <f aca="false">SUMIFS(Data!$G$2:$G$1006,Data!$A$2:$A$1006,$A977,Data!$B$2:$B$1006,$B977)</f>
        <v>129.096251</v>
      </c>
      <c r="I977" s="10" t="n">
        <f aca="false">SUMIFS(Data!$N$2:$N$1006,Data!$A$2:$A$1006,$A977,Data!$B$2:$B$1006,$B977)</f>
        <v>279.248929</v>
      </c>
      <c r="J977" s="10" t="n">
        <f aca="false">SUMIFS(Data!$H$2:$H$1006,Data!$A$2:$A$1006,$A977,Data!$B$2:$B$1006,$B977)</f>
        <v>224.634042</v>
      </c>
      <c r="K977" s="11" t="n">
        <f aca="false">IFERROR(F977*1000000/$E977,"")</f>
        <v>95.2591228784894</v>
      </c>
      <c r="L977" s="11" t="n">
        <f aca="false">IFERROR(G977*1000000/$E977,"")</f>
        <v>44.0816839010647</v>
      </c>
      <c r="M977" s="11" t="n">
        <f aca="false">IFERROR(H977*1000000/$E977,"")</f>
        <v>119.800565705234</v>
      </c>
      <c r="N977" s="11" t="n">
        <f aca="false">IFERROR(I977*1000000/$E977,"")</f>
        <v>259.141372484788</v>
      </c>
      <c r="O977" s="11" t="n">
        <f aca="false">IFERROR(J977*1000000/$E977,"")</f>
        <v>208.45907684998</v>
      </c>
      <c r="P977" s="16" t="n">
        <f aca="false">COUNTIFS($A$4:$A$1008,$A977,$N$4:$N$1008,"&gt;"&amp;N977)+1</f>
        <v>36</v>
      </c>
      <c r="Q977" s="16" t="n">
        <f aca="false">COUNTIFS($A$4:$A$1008,$A977,$O$4:$O$1008,"&gt;"&amp;O977)+1</f>
        <v>36</v>
      </c>
    </row>
    <row r="978" customFormat="false" ht="15" hidden="false" customHeight="false" outlineLevel="0" collapsed="false">
      <c r="A978" s="7" t="n">
        <v>2025</v>
      </c>
      <c r="B978" s="15" t="s">
        <v>113</v>
      </c>
      <c r="C978" s="15" t="s">
        <v>102</v>
      </c>
      <c r="D978" s="15" t="s">
        <v>114</v>
      </c>
      <c r="E978" s="9" t="n">
        <f aca="false">SUMIFS(Data!$L$2:$L$1006,Data!$A$2:$A$1006,$A978,Data!$B$2:$B$1006,$B978)</f>
        <v>453864</v>
      </c>
      <c r="F978" s="10" t="n">
        <f aca="false">SUMIFS(Data!$E$2:$E$1006,Data!$A$2:$A$1006,$A978,Data!$B$2:$B$1006,$B978)</f>
        <v>59.253884</v>
      </c>
      <c r="G978" s="10" t="n">
        <f aca="false">SUMIFS(Data!$F$2:$F$1006,Data!$A$2:$A$1006,$A978,Data!$B$2:$B$1006,$B978)</f>
        <v>54.596184</v>
      </c>
      <c r="H978" s="10" t="n">
        <f aca="false">SUMIFS(Data!$G$2:$G$1006,Data!$A$2:$A$1006,$A978,Data!$B$2:$B$1006,$B978)</f>
        <v>56.741677</v>
      </c>
      <c r="I978" s="10" t="n">
        <f aca="false">SUMIFS(Data!$N$2:$N$1006,Data!$A$2:$A$1006,$A978,Data!$B$2:$B$1006,$B978)</f>
        <v>170.591745</v>
      </c>
      <c r="J978" s="10" t="n">
        <f aca="false">SUMIFS(Data!$H$2:$H$1006,Data!$A$2:$A$1006,$A978,Data!$B$2:$B$1006,$B978)</f>
        <v>122.553106</v>
      </c>
      <c r="K978" s="11" t="n">
        <f aca="false">IFERROR(F978*1000000/$E978,"")</f>
        <v>130.554271764229</v>
      </c>
      <c r="L978" s="11" t="n">
        <f aca="false">IFERROR(G978*1000000/$E978,"")</f>
        <v>120.291946486172</v>
      </c>
      <c r="M978" s="11" t="n">
        <f aca="false">IFERROR(H978*1000000/$E978,"")</f>
        <v>125.019118061798</v>
      </c>
      <c r="N978" s="11" t="n">
        <f aca="false">IFERROR(I978*1000000/$E978,"")</f>
        <v>375.865336312199</v>
      </c>
      <c r="O978" s="11" t="n">
        <f aca="false">IFERROR(J978*1000000/$E978,"")</f>
        <v>270.021649657166</v>
      </c>
      <c r="P978" s="16" t="n">
        <f aca="false">COUNTIFS($A$4:$A$1008,$A978,$N$4:$N$1008,"&gt;"&amp;N978)+1</f>
        <v>24</v>
      </c>
      <c r="Q978" s="16" t="n">
        <f aca="false">COUNTIFS($A$4:$A$1008,$A978,$O$4:$O$1008,"&gt;"&amp;O978)+1</f>
        <v>33</v>
      </c>
    </row>
    <row r="979" customFormat="false" ht="15" hidden="false" customHeight="false" outlineLevel="0" collapsed="false">
      <c r="A979" s="7" t="n">
        <v>2025</v>
      </c>
      <c r="B979" s="15" t="s">
        <v>115</v>
      </c>
      <c r="C979" s="15" t="s">
        <v>102</v>
      </c>
      <c r="D979" s="15" t="s">
        <v>103</v>
      </c>
      <c r="E979" s="9" t="n">
        <f aca="false">SUMIFS(Data!$L$2:$L$1006,Data!$A$2:$A$1006,$A979,Data!$B$2:$B$1006,$B979)</f>
        <v>316976</v>
      </c>
      <c r="F979" s="10" t="n">
        <f aca="false">SUMIFS(Data!$E$2:$E$1006,Data!$A$2:$A$1006,$A979,Data!$B$2:$B$1006,$B979)</f>
        <v>27.17981</v>
      </c>
      <c r="G979" s="10" t="n">
        <f aca="false">SUMIFS(Data!$F$2:$F$1006,Data!$A$2:$A$1006,$A979,Data!$B$2:$B$1006,$B979)</f>
        <v>14.403607</v>
      </c>
      <c r="H979" s="10" t="n">
        <f aca="false">SUMIFS(Data!$G$2:$G$1006,Data!$A$2:$A$1006,$A979,Data!$B$2:$B$1006,$B979)</f>
        <v>48.130716</v>
      </c>
      <c r="I979" s="10" t="n">
        <f aca="false">SUMIFS(Data!$N$2:$N$1006,Data!$A$2:$A$1006,$A979,Data!$B$2:$B$1006,$B979)</f>
        <v>89.714133</v>
      </c>
      <c r="J979" s="10" t="n">
        <f aca="false">SUMIFS(Data!$H$2:$H$1006,Data!$A$2:$A$1006,$A979,Data!$B$2:$B$1006,$B979)</f>
        <v>67.218138</v>
      </c>
      <c r="K979" s="11" t="n">
        <f aca="false">IFERROR(F979*1000000/$E979,"")</f>
        <v>85.7472174549493</v>
      </c>
      <c r="L979" s="11" t="n">
        <f aca="false">IFERROR(G979*1000000/$E979,"")</f>
        <v>45.4406863611125</v>
      </c>
      <c r="M979" s="11" t="n">
        <f aca="false">IFERROR(H979*1000000/$E979,"")</f>
        <v>151.843407702791</v>
      </c>
      <c r="N979" s="11" t="n">
        <f aca="false">IFERROR(I979*1000000/$E979,"")</f>
        <v>283.031311518853</v>
      </c>
      <c r="O979" s="11" t="n">
        <f aca="false">IFERROR(J979*1000000/$E979,"")</f>
        <v>212.060654434405</v>
      </c>
      <c r="P979" s="16" t="n">
        <f aca="false">COUNTIFS($A$4:$A$1008,$A979,$N$4:$N$1008,"&gt;"&amp;N979)+1</f>
        <v>35</v>
      </c>
      <c r="Q979" s="16" t="n">
        <f aca="false">COUNTIFS($A$4:$A$1008,$A979,$O$4:$O$1008,"&gt;"&amp;O979)+1</f>
        <v>35</v>
      </c>
    </row>
    <row r="980" customFormat="false" ht="15" hidden="false" customHeight="false" outlineLevel="0" collapsed="false">
      <c r="A980" s="7" t="n">
        <v>2025</v>
      </c>
      <c r="B980" s="15" t="s">
        <v>117</v>
      </c>
      <c r="C980" s="15" t="s">
        <v>118</v>
      </c>
      <c r="D980" s="15" t="s">
        <v>103</v>
      </c>
      <c r="E980" s="9" t="n">
        <f aca="false">SUMIFS(Data!$L$2:$L$1006,Data!$A$2:$A$1006,$A980,Data!$B$2:$B$1006,$B980)</f>
        <v>1543034</v>
      </c>
      <c r="F980" s="10" t="n">
        <f aca="false">SUMIFS(Data!$E$2:$E$1006,Data!$A$2:$A$1006,$A980,Data!$B$2:$B$1006,$B980)</f>
        <v>274.032055</v>
      </c>
      <c r="G980" s="10" t="n">
        <f aca="false">SUMIFS(Data!$F$2:$F$1006,Data!$A$2:$A$1006,$A980,Data!$B$2:$B$1006,$B980)</f>
        <v>212.585713</v>
      </c>
      <c r="H980" s="10" t="n">
        <f aca="false">SUMIFS(Data!$G$2:$G$1006,Data!$A$2:$A$1006,$A980,Data!$B$2:$B$1006,$B980)</f>
        <v>226.097659</v>
      </c>
      <c r="I980" s="10" t="n">
        <f aca="false">SUMIFS(Data!$N$2:$N$1006,Data!$A$2:$A$1006,$A980,Data!$B$2:$B$1006,$B980)</f>
        <v>712.715427</v>
      </c>
      <c r="J980" s="10" t="n">
        <f aca="false">SUMIFS(Data!$H$2:$H$1006,Data!$A$2:$A$1006,$A980,Data!$B$2:$B$1006,$B980)</f>
        <v>552.369448</v>
      </c>
      <c r="K980" s="11" t="n">
        <f aca="false">IFERROR(F980*1000000/$E980,"")</f>
        <v>177.593011560342</v>
      </c>
      <c r="L980" s="11" t="n">
        <f aca="false">IFERROR(G980*1000000/$E980,"")</f>
        <v>137.771243537083</v>
      </c>
      <c r="M980" s="11" t="n">
        <f aca="false">IFERROR(H980*1000000/$E980,"")</f>
        <v>146.527982533113</v>
      </c>
      <c r="N980" s="11" t="n">
        <f aca="false">IFERROR(I980*1000000/$E980,"")</f>
        <v>461.892237630538</v>
      </c>
      <c r="O980" s="11" t="n">
        <f aca="false">IFERROR(J980*1000000/$E980,"")</f>
        <v>357.976200135577</v>
      </c>
      <c r="P980" s="16" t="n">
        <f aca="false">COUNTIFS($A$4:$A$1008,$A980,$N$4:$N$1008,"&gt;"&amp;N980)+1</f>
        <v>16</v>
      </c>
      <c r="Q980" s="16" t="n">
        <f aca="false">COUNTIFS($A$4:$A$1008,$A980,$O$4:$O$1008,"&gt;"&amp;O980)+1</f>
        <v>27</v>
      </c>
    </row>
    <row r="981" customFormat="false" ht="15" hidden="false" customHeight="false" outlineLevel="0" collapsed="false">
      <c r="A981" s="7" t="n">
        <v>2025</v>
      </c>
      <c r="B981" s="15" t="s">
        <v>119</v>
      </c>
      <c r="C981" s="15" t="s">
        <v>118</v>
      </c>
      <c r="D981" s="15" t="s">
        <v>103</v>
      </c>
      <c r="E981" s="9" t="n">
        <f aca="false">SUMIFS(Data!$L$2:$L$1006,Data!$A$2:$A$1006,$A981,Data!$B$2:$B$1006,$B981)</f>
        <v>541224</v>
      </c>
      <c r="F981" s="10" t="n">
        <f aca="false">SUMIFS(Data!$E$2:$E$1006,Data!$A$2:$A$1006,$A981,Data!$B$2:$B$1006,$B981)</f>
        <v>104.464018</v>
      </c>
      <c r="G981" s="10" t="n">
        <f aca="false">SUMIFS(Data!$F$2:$F$1006,Data!$A$2:$A$1006,$A981,Data!$B$2:$B$1006,$B981)</f>
        <v>62.366647</v>
      </c>
      <c r="H981" s="10" t="n">
        <f aca="false">SUMIFS(Data!$G$2:$G$1006,Data!$A$2:$A$1006,$A981,Data!$B$2:$B$1006,$B981)</f>
        <v>93.548313</v>
      </c>
      <c r="I981" s="10" t="n">
        <f aca="false">SUMIFS(Data!$N$2:$N$1006,Data!$A$2:$A$1006,$A981,Data!$B$2:$B$1006,$B981)</f>
        <v>260.378978</v>
      </c>
      <c r="J981" s="10" t="n">
        <f aca="false">SUMIFS(Data!$H$2:$H$1006,Data!$A$2:$A$1006,$A981,Data!$B$2:$B$1006,$B981)</f>
        <v>239.363537</v>
      </c>
      <c r="K981" s="11" t="n">
        <f aca="false">IFERROR(F981*1000000/$E981,"")</f>
        <v>193.014385910455</v>
      </c>
      <c r="L981" s="11" t="n">
        <f aca="false">IFERROR(G981*1000000/$E981,"")</f>
        <v>115.232596854537</v>
      </c>
      <c r="M981" s="11" t="n">
        <f aca="false">IFERROR(H981*1000000/$E981,"")</f>
        <v>172.845832779034</v>
      </c>
      <c r="N981" s="11" t="n">
        <f aca="false">IFERROR(I981*1000000/$E981,"")</f>
        <v>481.092815544026</v>
      </c>
      <c r="O981" s="11" t="n">
        <f aca="false">IFERROR(J981*1000000/$E981,"")</f>
        <v>442.263345675728</v>
      </c>
      <c r="P981" s="16" t="n">
        <f aca="false">COUNTIFS($A$4:$A$1008,$A981,$N$4:$N$1008,"&gt;"&amp;N981)+1</f>
        <v>12</v>
      </c>
      <c r="Q981" s="16" t="n">
        <f aca="false">COUNTIFS($A$4:$A$1008,$A981,$O$4:$O$1008,"&gt;"&amp;O981)+1</f>
        <v>19</v>
      </c>
    </row>
    <row r="982" customFormat="false" ht="15" hidden="false" customHeight="false" outlineLevel="0" collapsed="false">
      <c r="A982" s="7" t="n">
        <v>2025</v>
      </c>
      <c r="B982" s="15" t="s">
        <v>120</v>
      </c>
      <c r="C982" s="15" t="s">
        <v>118</v>
      </c>
      <c r="D982" s="15" t="s">
        <v>121</v>
      </c>
      <c r="E982" s="9" t="n">
        <f aca="false">SUMIFS(Data!$L$2:$L$1006,Data!$A$2:$A$1006,$A982,Data!$B$2:$B$1006,$B982)</f>
        <v>968644</v>
      </c>
      <c r="F982" s="10" t="n">
        <f aca="false">SUMIFS(Data!$E$2:$E$1006,Data!$A$2:$A$1006,$A982,Data!$B$2:$B$1006,$B982)</f>
        <v>252.044402</v>
      </c>
      <c r="G982" s="10" t="n">
        <f aca="false">SUMIFS(Data!$F$2:$F$1006,Data!$A$2:$A$1006,$A982,Data!$B$2:$B$1006,$B982)</f>
        <v>96.903907</v>
      </c>
      <c r="H982" s="10" t="n">
        <f aca="false">SUMIFS(Data!$G$2:$G$1006,Data!$A$2:$A$1006,$A982,Data!$B$2:$B$1006,$B982)</f>
        <v>197.797272</v>
      </c>
      <c r="I982" s="10" t="n">
        <f aca="false">SUMIFS(Data!$N$2:$N$1006,Data!$A$2:$A$1006,$A982,Data!$B$2:$B$1006,$B982)</f>
        <v>546.745581</v>
      </c>
      <c r="J982" s="10" t="n">
        <f aca="false">SUMIFS(Data!$H$2:$H$1006,Data!$A$2:$A$1006,$A982,Data!$B$2:$B$1006,$B982)</f>
        <v>452.438883</v>
      </c>
      <c r="K982" s="11" t="n">
        <f aca="false">IFERROR(F982*1000000/$E982,"")</f>
        <v>260.203337862001</v>
      </c>
      <c r="L982" s="11" t="n">
        <f aca="false">IFERROR(G982*1000000/$E982,"")</f>
        <v>100.04078588212</v>
      </c>
      <c r="M982" s="11" t="n">
        <f aca="false">IFERROR(H982*1000000/$E982,"")</f>
        <v>204.200172612436</v>
      </c>
      <c r="N982" s="11" t="n">
        <f aca="false">IFERROR(I982*1000000/$E982,"")</f>
        <v>564.444296356556</v>
      </c>
      <c r="O982" s="11" t="n">
        <f aca="false">IFERROR(J982*1000000/$E982,"")</f>
        <v>467.084793794211</v>
      </c>
      <c r="P982" s="16" t="n">
        <f aca="false">COUNTIFS($A$4:$A$1008,$A982,$N$4:$N$1008,"&gt;"&amp;N982)+1</f>
        <v>4</v>
      </c>
      <c r="Q982" s="16" t="n">
        <f aca="false">COUNTIFS($A$4:$A$1008,$A982,$O$4:$O$1008,"&gt;"&amp;O982)+1</f>
        <v>16</v>
      </c>
    </row>
    <row r="983" customFormat="false" ht="15" hidden="false" customHeight="false" outlineLevel="0" collapsed="false">
      <c r="A983" s="7" t="n">
        <v>2025</v>
      </c>
      <c r="B983" s="15" t="s">
        <v>122</v>
      </c>
      <c r="C983" s="15" t="s">
        <v>118</v>
      </c>
      <c r="D983" s="15" t="s">
        <v>105</v>
      </c>
      <c r="E983" s="9" t="n">
        <f aca="false">SUMIFS(Data!$L$2:$L$1006,Data!$A$2:$A$1006,$A983,Data!$B$2:$B$1006,$B983)</f>
        <v>575421</v>
      </c>
      <c r="F983" s="10" t="n">
        <f aca="false">SUMIFS(Data!$E$2:$E$1006,Data!$A$2:$A$1006,$A983,Data!$B$2:$B$1006,$B983)</f>
        <v>73.550388</v>
      </c>
      <c r="G983" s="10" t="n">
        <f aca="false">SUMIFS(Data!$F$2:$F$1006,Data!$A$2:$A$1006,$A983,Data!$B$2:$B$1006,$B983)</f>
        <v>107.636786</v>
      </c>
      <c r="H983" s="10" t="n">
        <f aca="false">SUMIFS(Data!$G$2:$G$1006,Data!$A$2:$A$1006,$A983,Data!$B$2:$B$1006,$B983)</f>
        <v>126.887053</v>
      </c>
      <c r="I983" s="10" t="n">
        <f aca="false">SUMIFS(Data!$N$2:$N$1006,Data!$A$2:$A$1006,$A983,Data!$B$2:$B$1006,$B983)</f>
        <v>308.074227</v>
      </c>
      <c r="J983" s="10" t="n">
        <f aca="false">SUMIFS(Data!$H$2:$H$1006,Data!$A$2:$A$1006,$A983,Data!$B$2:$B$1006,$B983)</f>
        <v>199.52968</v>
      </c>
      <c r="K983" s="11" t="n">
        <f aca="false">IFERROR(F983*1000000/$E983,"")</f>
        <v>127.820131694881</v>
      </c>
      <c r="L983" s="11" t="n">
        <f aca="false">IFERROR(G983*1000000/$E983,"")</f>
        <v>187.057451848299</v>
      </c>
      <c r="M983" s="11" t="n">
        <f aca="false">IFERROR(H983*1000000/$E983,"")</f>
        <v>220.511682750543</v>
      </c>
      <c r="N983" s="11" t="n">
        <f aca="false">IFERROR(I983*1000000/$E983,"")</f>
        <v>535.389266293722</v>
      </c>
      <c r="O983" s="11" t="n">
        <f aca="false">IFERROR(J983*1000000/$E983,"")</f>
        <v>346.754254710899</v>
      </c>
      <c r="P983" s="16" t="n">
        <f aca="false">COUNTIFS($A$4:$A$1008,$A983,$N$4:$N$1008,"&gt;"&amp;N983)+1</f>
        <v>6</v>
      </c>
      <c r="Q983" s="16" t="n">
        <f aca="false">COUNTIFS($A$4:$A$1008,$A983,$O$4:$O$1008,"&gt;"&amp;O983)+1</f>
        <v>28</v>
      </c>
    </row>
    <row r="984" customFormat="false" ht="15" hidden="false" customHeight="false" outlineLevel="0" collapsed="false">
      <c r="A984" s="7" t="n">
        <v>2025</v>
      </c>
      <c r="B984" s="15" t="s">
        <v>123</v>
      </c>
      <c r="C984" s="15" t="s">
        <v>118</v>
      </c>
      <c r="D984" s="15" t="s">
        <v>124</v>
      </c>
      <c r="E984" s="9" t="n">
        <f aca="false">SUMIFS(Data!$L$2:$L$1006,Data!$A$2:$A$1006,$A984,Data!$B$2:$B$1006,$B984)</f>
        <v>1349561</v>
      </c>
      <c r="F984" s="10" t="n">
        <f aca="false">SUMIFS(Data!$E$2:$E$1006,Data!$A$2:$A$1006,$A984,Data!$B$2:$B$1006,$B984)</f>
        <v>360.32216</v>
      </c>
      <c r="G984" s="10" t="n">
        <f aca="false">SUMIFS(Data!$F$2:$F$1006,Data!$A$2:$A$1006,$A984,Data!$B$2:$B$1006,$B984)</f>
        <v>88.541847</v>
      </c>
      <c r="H984" s="10" t="n">
        <f aca="false">SUMIFS(Data!$G$2:$G$1006,Data!$A$2:$A$1006,$A984,Data!$B$2:$B$1006,$B984)</f>
        <v>196.527189</v>
      </c>
      <c r="I984" s="10" t="n">
        <f aca="false">SUMIFS(Data!$N$2:$N$1006,Data!$A$2:$A$1006,$A984,Data!$B$2:$B$1006,$B984)</f>
        <v>645.391196</v>
      </c>
      <c r="J984" s="10" t="n">
        <f aca="false">SUMIFS(Data!$H$2:$H$1006,Data!$A$2:$A$1006,$A984,Data!$B$2:$B$1006,$B984)</f>
        <v>511.032069</v>
      </c>
      <c r="K984" s="11" t="n">
        <f aca="false">IFERROR(F984*1000000/$E984,"")</f>
        <v>266.992125587506</v>
      </c>
      <c r="L984" s="11" t="n">
        <f aca="false">IFERROR(G984*1000000/$E984,"")</f>
        <v>65.6078880465574</v>
      </c>
      <c r="M984" s="11" t="n">
        <f aca="false">IFERROR(H984*1000000/$E984,"")</f>
        <v>145.623050014042</v>
      </c>
      <c r="N984" s="11" t="n">
        <f aca="false">IFERROR(I984*1000000/$E984,"")</f>
        <v>478.223063648105</v>
      </c>
      <c r="O984" s="11" t="n">
        <f aca="false">IFERROR(J984*1000000/$E984,"")</f>
        <v>378.665409714715</v>
      </c>
      <c r="P984" s="16" t="n">
        <f aca="false">COUNTIFS($A$4:$A$1008,$A984,$N$4:$N$1008,"&gt;"&amp;N984)+1</f>
        <v>13</v>
      </c>
      <c r="Q984" s="16" t="n">
        <f aca="false">COUNTIFS($A$4:$A$1008,$A984,$O$4:$O$1008,"&gt;"&amp;O984)+1</f>
        <v>25</v>
      </c>
    </row>
    <row r="985" customFormat="false" ht="15" hidden="false" customHeight="false" outlineLevel="0" collapsed="false">
      <c r="A985" s="7" t="n">
        <v>2025</v>
      </c>
      <c r="B985" s="15" t="s">
        <v>125</v>
      </c>
      <c r="C985" s="15" t="s">
        <v>118</v>
      </c>
      <c r="D985" s="15" t="s">
        <v>126</v>
      </c>
      <c r="E985" s="9" t="n">
        <f aca="false">SUMIFS(Data!$L$2:$L$1006,Data!$A$2:$A$1006,$A985,Data!$B$2:$B$1006,$B985)</f>
        <v>560224</v>
      </c>
      <c r="F985" s="10" t="n">
        <f aca="false">SUMIFS(Data!$E$2:$E$1006,Data!$A$2:$A$1006,$A985,Data!$B$2:$B$1006,$B985)</f>
        <v>82.389489</v>
      </c>
      <c r="G985" s="10" t="n">
        <f aca="false">SUMIFS(Data!$F$2:$F$1006,Data!$A$2:$A$1006,$A985,Data!$B$2:$B$1006,$B985)</f>
        <v>102.845124</v>
      </c>
      <c r="H985" s="10" t="n">
        <f aca="false">SUMIFS(Data!$G$2:$G$1006,Data!$A$2:$A$1006,$A985,Data!$B$2:$B$1006,$B985)</f>
        <v>107.09911</v>
      </c>
      <c r="I985" s="10" t="n">
        <f aca="false">SUMIFS(Data!$N$2:$N$1006,Data!$A$2:$A$1006,$A985,Data!$B$2:$B$1006,$B985)</f>
        <v>292.333723</v>
      </c>
      <c r="J985" s="10" t="n">
        <f aca="false">SUMIFS(Data!$H$2:$H$1006,Data!$A$2:$A$1006,$A985,Data!$B$2:$B$1006,$B985)</f>
        <v>249.133743</v>
      </c>
      <c r="K985" s="11" t="n">
        <f aca="false">IFERROR(F985*1000000/$E985,"")</f>
        <v>147.065261395442</v>
      </c>
      <c r="L985" s="11" t="n">
        <f aca="false">IFERROR(G985*1000000/$E985,"")</f>
        <v>183.578575712572</v>
      </c>
      <c r="M985" s="11" t="n">
        <f aca="false">IFERROR(H985*1000000/$E985,"")</f>
        <v>191.171941937511</v>
      </c>
      <c r="N985" s="11" t="n">
        <f aca="false">IFERROR(I985*1000000/$E985,"")</f>
        <v>521.815779045525</v>
      </c>
      <c r="O985" s="11" t="n">
        <f aca="false">IFERROR(J985*1000000/$E985,"")</f>
        <v>444.703802407608</v>
      </c>
      <c r="P985" s="16" t="n">
        <f aca="false">COUNTIFS($A$4:$A$1008,$A985,$N$4:$N$1008,"&gt;"&amp;N985)+1</f>
        <v>9</v>
      </c>
      <c r="Q985" s="16" t="n">
        <f aca="false">COUNTIFS($A$4:$A$1008,$A985,$O$4:$O$1008,"&gt;"&amp;O985)+1</f>
        <v>18</v>
      </c>
    </row>
    <row r="986" customFormat="false" ht="15" hidden="false" customHeight="false" outlineLevel="0" collapsed="false">
      <c r="A986" s="7" t="n">
        <v>2025</v>
      </c>
      <c r="B986" s="15" t="s">
        <v>127</v>
      </c>
      <c r="C986" s="15" t="s">
        <v>118</v>
      </c>
      <c r="D986" s="15" t="s">
        <v>103</v>
      </c>
      <c r="E986" s="9" t="n">
        <f aca="false">SUMIFS(Data!$L$2:$L$1006,Data!$A$2:$A$1006,$A986,Data!$B$2:$B$1006,$B986)</f>
        <v>764114</v>
      </c>
      <c r="F986" s="10" t="n">
        <f aca="false">SUMIFS(Data!$E$2:$E$1006,Data!$A$2:$A$1006,$A986,Data!$B$2:$B$1006,$B986)</f>
        <v>73.650254</v>
      </c>
      <c r="G986" s="10" t="n">
        <f aca="false">SUMIFS(Data!$F$2:$F$1006,Data!$A$2:$A$1006,$A986,Data!$B$2:$B$1006,$B986)</f>
        <v>33.276271</v>
      </c>
      <c r="H986" s="10" t="n">
        <f aca="false">SUMIFS(Data!$G$2:$G$1006,Data!$A$2:$A$1006,$A986,Data!$B$2:$B$1006,$B986)</f>
        <v>113.949599</v>
      </c>
      <c r="I986" s="10" t="n">
        <f aca="false">SUMIFS(Data!$N$2:$N$1006,Data!$A$2:$A$1006,$A986,Data!$B$2:$B$1006,$B986)</f>
        <v>220.876124</v>
      </c>
      <c r="J986" s="10" t="n">
        <f aca="false">SUMIFS(Data!$H$2:$H$1006,Data!$A$2:$A$1006,$A986,Data!$B$2:$B$1006,$B986)</f>
        <v>240.727718</v>
      </c>
      <c r="K986" s="11" t="n">
        <f aca="false">IFERROR(F986*1000000/$E986,"")</f>
        <v>96.3864737460641</v>
      </c>
      <c r="L986" s="11" t="n">
        <f aca="false">IFERROR(G986*1000000/$E986,"")</f>
        <v>43.5488304101221</v>
      </c>
      <c r="M986" s="11" t="n">
        <f aca="false">IFERROR(H986*1000000/$E986,"")</f>
        <v>149.126437939889</v>
      </c>
      <c r="N986" s="11" t="n">
        <f aca="false">IFERROR(I986*1000000/$E986,"")</f>
        <v>289.061742096075</v>
      </c>
      <c r="O986" s="11" t="n">
        <f aca="false">IFERROR(J986*1000000/$E986,"")</f>
        <v>315.041627296451</v>
      </c>
      <c r="P986" s="16" t="n">
        <f aca="false">COUNTIFS($A$4:$A$1008,$A986,$N$4:$N$1008,"&gt;"&amp;N986)+1</f>
        <v>34</v>
      </c>
      <c r="Q986" s="16" t="n">
        <f aca="false">COUNTIFS($A$4:$A$1008,$A986,$O$4:$O$1008,"&gt;"&amp;O986)+1</f>
        <v>32</v>
      </c>
    </row>
    <row r="987" customFormat="false" ht="15" hidden="false" customHeight="false" outlineLevel="0" collapsed="false">
      <c r="A987" s="7" t="n">
        <v>2025</v>
      </c>
      <c r="B987" s="15" t="s">
        <v>128</v>
      </c>
      <c r="C987" s="15" t="s">
        <v>118</v>
      </c>
      <c r="D987" s="15" t="s">
        <v>107</v>
      </c>
      <c r="E987" s="9" t="n">
        <f aca="false">SUMIFS(Data!$L$2:$L$1006,Data!$A$2:$A$1006,$A987,Data!$B$2:$B$1006,$B987)</f>
        <v>616506</v>
      </c>
      <c r="F987" s="10" t="n">
        <f aca="false">SUMIFS(Data!$E$2:$E$1006,Data!$A$2:$A$1006,$A987,Data!$B$2:$B$1006,$B987)</f>
        <v>49.890312</v>
      </c>
      <c r="G987" s="10" t="n">
        <f aca="false">SUMIFS(Data!$F$2:$F$1006,Data!$A$2:$A$1006,$A987,Data!$B$2:$B$1006,$B987)</f>
        <v>57.889973</v>
      </c>
      <c r="H987" s="10" t="n">
        <f aca="false">SUMIFS(Data!$G$2:$G$1006,Data!$A$2:$A$1006,$A987,Data!$B$2:$B$1006,$B987)</f>
        <v>131.007085</v>
      </c>
      <c r="I987" s="10" t="n">
        <f aca="false">SUMIFS(Data!$N$2:$N$1006,Data!$A$2:$A$1006,$A987,Data!$B$2:$B$1006,$B987)</f>
        <v>238.78737</v>
      </c>
      <c r="J987" s="10" t="n">
        <f aca="false">SUMIFS(Data!$H$2:$H$1006,Data!$A$2:$A$1006,$A987,Data!$B$2:$B$1006,$B987)</f>
        <v>473.493915</v>
      </c>
      <c r="K987" s="11" t="n">
        <f aca="false">IFERROR(F987*1000000/$E987,"")</f>
        <v>80.9242927076136</v>
      </c>
      <c r="L987" s="11" t="n">
        <f aca="false">IFERROR(G987*1000000/$E987,"")</f>
        <v>93.9000966738361</v>
      </c>
      <c r="M987" s="11" t="n">
        <f aca="false">IFERROR(H987*1000000/$E987,"")</f>
        <v>212.499286300539</v>
      </c>
      <c r="N987" s="11" t="n">
        <f aca="false">IFERROR(I987*1000000/$E987,"")</f>
        <v>387.323675681988</v>
      </c>
      <c r="O987" s="11" t="n">
        <f aca="false">IFERROR(J987*1000000/$E987,"")</f>
        <v>768.028072719487</v>
      </c>
      <c r="P987" s="16" t="n">
        <f aca="false">COUNTIFS($A$4:$A$1008,$A987,$N$4:$N$1008,"&gt;"&amp;N987)+1</f>
        <v>23</v>
      </c>
      <c r="Q987" s="16" t="n">
        <f aca="false">COUNTIFS($A$4:$A$1008,$A987,$O$4:$O$1008,"&gt;"&amp;O987)+1</f>
        <v>3</v>
      </c>
    </row>
    <row r="988" customFormat="false" ht="15" hidden="false" customHeight="false" outlineLevel="0" collapsed="false">
      <c r="A988" s="7" t="n">
        <v>2025</v>
      </c>
      <c r="B988" s="15" t="s">
        <v>129</v>
      </c>
      <c r="C988" s="15" t="s">
        <v>118</v>
      </c>
      <c r="D988" s="15" t="s">
        <v>107</v>
      </c>
      <c r="E988" s="9" t="n">
        <f aca="false">SUMIFS(Data!$L$2:$L$1006,Data!$A$2:$A$1006,$A988,Data!$B$2:$B$1006,$B988)</f>
        <v>1706342</v>
      </c>
      <c r="F988" s="10" t="n">
        <f aca="false">SUMIFS(Data!$E$2:$E$1006,Data!$A$2:$A$1006,$A988,Data!$B$2:$B$1006,$B988)</f>
        <v>400.00124</v>
      </c>
      <c r="G988" s="10" t="n">
        <f aca="false">SUMIFS(Data!$F$2:$F$1006,Data!$A$2:$A$1006,$A988,Data!$B$2:$B$1006,$B988)</f>
        <v>294.04298</v>
      </c>
      <c r="H988" s="10" t="n">
        <f aca="false">SUMIFS(Data!$G$2:$G$1006,Data!$A$2:$A$1006,$A988,Data!$B$2:$B$1006,$B988)</f>
        <v>252.57866</v>
      </c>
      <c r="I988" s="10" t="n">
        <f aca="false">SUMIFS(Data!$N$2:$N$1006,Data!$A$2:$A$1006,$A988,Data!$B$2:$B$1006,$B988)</f>
        <v>946.62288</v>
      </c>
      <c r="J988" s="10" t="n">
        <f aca="false">SUMIFS(Data!$H$2:$H$1006,Data!$A$2:$A$1006,$A988,Data!$B$2:$B$1006,$B988)</f>
        <v>1118.322034</v>
      </c>
      <c r="K988" s="11" t="n">
        <f aca="false">IFERROR(F988*1000000/$E988,"")</f>
        <v>234.420321365822</v>
      </c>
      <c r="L988" s="11" t="n">
        <f aca="false">IFERROR(G988*1000000/$E988,"")</f>
        <v>172.32359046428</v>
      </c>
      <c r="M988" s="11" t="n">
        <f aca="false">IFERROR(H988*1000000/$E988,"")</f>
        <v>148.023467745622</v>
      </c>
      <c r="N988" s="11" t="n">
        <f aca="false">IFERROR(I988*1000000/$E988,"")</f>
        <v>554.767379575724</v>
      </c>
      <c r="O988" s="11" t="n">
        <f aca="false">IFERROR(J988*1000000/$E988,"")</f>
        <v>655.391494788266</v>
      </c>
      <c r="P988" s="16" t="n">
        <f aca="false">COUNTIFS($A$4:$A$1008,$A988,$N$4:$N$1008,"&gt;"&amp;N988)+1</f>
        <v>5</v>
      </c>
      <c r="Q988" s="16" t="n">
        <f aca="false">COUNTIFS($A$4:$A$1008,$A988,$O$4:$O$1008,"&gt;"&amp;O988)+1</f>
        <v>8</v>
      </c>
    </row>
    <row r="989" customFormat="false" ht="15" hidden="false" customHeight="false" outlineLevel="0" collapsed="false">
      <c r="A989" s="7" t="n">
        <v>2025</v>
      </c>
      <c r="B989" s="15" t="s">
        <v>130</v>
      </c>
      <c r="C989" s="15" t="s">
        <v>118</v>
      </c>
      <c r="D989" s="15" t="s">
        <v>107</v>
      </c>
      <c r="E989" s="9" t="n">
        <f aca="false">SUMIFS(Data!$L$2:$L$1006,Data!$A$2:$A$1006,$A989,Data!$B$2:$B$1006,$B989)</f>
        <v>1495743</v>
      </c>
      <c r="F989" s="10" t="n">
        <f aca="false">SUMIFS(Data!$E$2:$E$1006,Data!$A$2:$A$1006,$A989,Data!$B$2:$B$1006,$B989)</f>
        <v>183.978146</v>
      </c>
      <c r="G989" s="10" t="n">
        <f aca="false">SUMIFS(Data!$F$2:$F$1006,Data!$A$2:$A$1006,$A989,Data!$B$2:$B$1006,$B989)</f>
        <v>190.885231</v>
      </c>
      <c r="H989" s="10" t="n">
        <f aca="false">SUMIFS(Data!$G$2:$G$1006,Data!$A$2:$A$1006,$A989,Data!$B$2:$B$1006,$B989)</f>
        <v>178.257553</v>
      </c>
      <c r="I989" s="10" t="n">
        <f aca="false">SUMIFS(Data!$N$2:$N$1006,Data!$A$2:$A$1006,$A989,Data!$B$2:$B$1006,$B989)</f>
        <v>553.12093</v>
      </c>
      <c r="J989" s="10" t="n">
        <f aca="false">SUMIFS(Data!$H$2:$H$1006,Data!$A$2:$A$1006,$A989,Data!$B$2:$B$1006,$B989)</f>
        <v>485.905586</v>
      </c>
      <c r="K989" s="11" t="n">
        <f aca="false">IFERROR(F989*1000000/$E989,"")</f>
        <v>123.001174667038</v>
      </c>
      <c r="L989" s="11" t="n">
        <f aca="false">IFERROR(G989*1000000/$E989,"")</f>
        <v>127.619003398311</v>
      </c>
      <c r="M989" s="11" t="n">
        <f aca="false">IFERROR(H989*1000000/$E989,"")</f>
        <v>119.176591834292</v>
      </c>
      <c r="N989" s="11" t="n">
        <f aca="false">IFERROR(I989*1000000/$E989,"")</f>
        <v>369.796769899642</v>
      </c>
      <c r="O989" s="11" t="n">
        <f aca="false">IFERROR(J989*1000000/$E989,"")</f>
        <v>324.859007195755</v>
      </c>
      <c r="P989" s="16" t="n">
        <f aca="false">COUNTIFS($A$4:$A$1008,$A989,$N$4:$N$1008,"&gt;"&amp;N989)+1</f>
        <v>26</v>
      </c>
      <c r="Q989" s="16" t="n">
        <f aca="false">COUNTIFS($A$4:$A$1008,$A989,$O$4:$O$1008,"&gt;"&amp;O989)+1</f>
        <v>31</v>
      </c>
    </row>
    <row r="990" customFormat="false" ht="15" hidden="false" customHeight="false" outlineLevel="0" collapsed="false">
      <c r="A990" s="7" t="n">
        <v>2025</v>
      </c>
      <c r="B990" s="15" t="s">
        <v>131</v>
      </c>
      <c r="C990" s="15" t="s">
        <v>118</v>
      </c>
      <c r="D990" s="15" t="s">
        <v>132</v>
      </c>
      <c r="E990" s="9" t="n">
        <f aca="false">SUMIFS(Data!$L$2:$L$1006,Data!$A$2:$A$1006,$A990,Data!$B$2:$B$1006,$B990)</f>
        <v>960926</v>
      </c>
      <c r="F990" s="10" t="n">
        <f aca="false">SUMIFS(Data!$E$2:$E$1006,Data!$A$2:$A$1006,$A990,Data!$B$2:$B$1006,$B990)</f>
        <v>146.454632</v>
      </c>
      <c r="G990" s="10" t="n">
        <f aca="false">SUMIFS(Data!$F$2:$F$1006,Data!$A$2:$A$1006,$A990,Data!$B$2:$B$1006,$B990)</f>
        <v>229.225743</v>
      </c>
      <c r="H990" s="10" t="n">
        <f aca="false">SUMIFS(Data!$G$2:$G$1006,Data!$A$2:$A$1006,$A990,Data!$B$2:$B$1006,$B990)</f>
        <v>273.73815</v>
      </c>
      <c r="I990" s="10" t="n">
        <f aca="false">SUMIFS(Data!$N$2:$N$1006,Data!$A$2:$A$1006,$A990,Data!$B$2:$B$1006,$B990)</f>
        <v>649.418525</v>
      </c>
      <c r="J990" s="10" t="n">
        <f aca="false">SUMIFS(Data!$H$2:$H$1006,Data!$A$2:$A$1006,$A990,Data!$B$2:$B$1006,$B990)</f>
        <v>643.551173</v>
      </c>
      <c r="K990" s="11" t="n">
        <f aca="false">IFERROR(F990*1000000/$E990,"")</f>
        <v>152.409896287539</v>
      </c>
      <c r="L990" s="11" t="n">
        <f aca="false">IFERROR(G990*1000000/$E990,"")</f>
        <v>238.546717437139</v>
      </c>
      <c r="M990" s="11" t="n">
        <f aca="false">IFERROR(H990*1000000/$E990,"")</f>
        <v>284.869126238649</v>
      </c>
      <c r="N990" s="11" t="n">
        <f aca="false">IFERROR(I990*1000000/$E990,"")</f>
        <v>675.825739963327</v>
      </c>
      <c r="O990" s="11" t="n">
        <f aca="false">IFERROR(J990*1000000/$E990,"")</f>
        <v>669.719804646768</v>
      </c>
      <c r="P990" s="16" t="n">
        <f aca="false">COUNTIFS($A$4:$A$1008,$A990,$N$4:$N$1008,"&gt;"&amp;N990)+1</f>
        <v>1</v>
      </c>
      <c r="Q990" s="16" t="n">
        <f aca="false">COUNTIFS($A$4:$A$1008,$A990,$O$4:$O$1008,"&gt;"&amp;O990)+1</f>
        <v>7</v>
      </c>
    </row>
    <row r="991" customFormat="false" ht="15" hidden="false" customHeight="false" outlineLevel="0" collapsed="false">
      <c r="A991" s="7" t="n">
        <v>2025</v>
      </c>
      <c r="B991" s="15" t="s">
        <v>133</v>
      </c>
      <c r="C991" s="15" t="s">
        <v>118</v>
      </c>
      <c r="D991" s="15" t="s">
        <v>105</v>
      </c>
      <c r="E991" s="9" t="n">
        <f aca="false">SUMIFS(Data!$L$2:$L$1006,Data!$A$2:$A$1006,$A991,Data!$B$2:$B$1006,$B991)</f>
        <v>2409123</v>
      </c>
      <c r="F991" s="10" t="n">
        <f aca="false">SUMIFS(Data!$E$2:$E$1006,Data!$A$2:$A$1006,$A991,Data!$B$2:$B$1006,$B991)</f>
        <v>223.895789</v>
      </c>
      <c r="G991" s="10" t="n">
        <f aca="false">SUMIFS(Data!$F$2:$F$1006,Data!$A$2:$A$1006,$A991,Data!$B$2:$B$1006,$B991)</f>
        <v>695.236726</v>
      </c>
      <c r="H991" s="10" t="n">
        <f aca="false">SUMIFS(Data!$G$2:$G$1006,Data!$A$2:$A$1006,$A991,Data!$B$2:$B$1006,$B991)</f>
        <v>351.71308</v>
      </c>
      <c r="I991" s="10" t="n">
        <f aca="false">SUMIFS(Data!$N$2:$N$1006,Data!$A$2:$A$1006,$A991,Data!$B$2:$B$1006,$B991)</f>
        <v>1270.845595</v>
      </c>
      <c r="J991" s="10" t="n">
        <f aca="false">SUMIFS(Data!$H$2:$H$1006,Data!$A$2:$A$1006,$A991,Data!$B$2:$B$1006,$B991)</f>
        <v>972.603799</v>
      </c>
      <c r="K991" s="11" t="n">
        <f aca="false">IFERROR(F991*1000000/$E991,"")</f>
        <v>92.9366366931037</v>
      </c>
      <c r="L991" s="11" t="n">
        <f aca="false">IFERROR(G991*1000000/$E991,"")</f>
        <v>288.584985490571</v>
      </c>
      <c r="M991" s="11" t="n">
        <f aca="false">IFERROR(H991*1000000/$E991,"")</f>
        <v>145.992163953439</v>
      </c>
      <c r="N991" s="11" t="n">
        <f aca="false">IFERROR(I991*1000000/$E991,"")</f>
        <v>527.513786137113</v>
      </c>
      <c r="O991" s="11" t="n">
        <f aca="false">IFERROR(J991*1000000/$E991,"")</f>
        <v>403.71695384586</v>
      </c>
      <c r="P991" s="16" t="n">
        <f aca="false">COUNTIFS($A$4:$A$1008,$A991,$N$4:$N$1008,"&gt;"&amp;N991)+1</f>
        <v>8</v>
      </c>
      <c r="Q991" s="16" t="n">
        <f aca="false">COUNTIFS($A$4:$A$1008,$A991,$O$4:$O$1008,"&gt;"&amp;O991)+1</f>
        <v>22</v>
      </c>
    </row>
    <row r="992" customFormat="false" ht="15" hidden="false" customHeight="false" outlineLevel="0" collapsed="false">
      <c r="A992" s="7" t="n">
        <v>2025</v>
      </c>
      <c r="B992" s="15" t="s">
        <v>134</v>
      </c>
      <c r="C992" s="15" t="s">
        <v>135</v>
      </c>
      <c r="D992" s="15" t="s">
        <v>136</v>
      </c>
      <c r="E992" s="9" t="n">
        <f aca="false">SUMIFS(Data!$L$2:$L$1006,Data!$A$2:$A$1006,$A992,Data!$B$2:$B$1006,$B992)</f>
        <v>153192</v>
      </c>
      <c r="F992" s="10" t="n">
        <f aca="false">SUMIFS(Data!$E$2:$E$1006,Data!$A$2:$A$1006,$A992,Data!$B$2:$B$1006,$B992)</f>
        <v>27.54258</v>
      </c>
      <c r="G992" s="10" t="n">
        <f aca="false">SUMIFS(Data!$F$2:$F$1006,Data!$A$2:$A$1006,$A992,Data!$B$2:$B$1006,$B992)</f>
        <v>21.565053</v>
      </c>
      <c r="H992" s="10" t="n">
        <f aca="false">SUMIFS(Data!$G$2:$G$1006,Data!$A$2:$A$1006,$A992,Data!$B$2:$B$1006,$B992)</f>
        <v>29.150291</v>
      </c>
      <c r="I992" s="10" t="n">
        <f aca="false">SUMIFS(Data!$N$2:$N$1006,Data!$A$2:$A$1006,$A992,Data!$B$2:$B$1006,$B992)</f>
        <v>78.257924</v>
      </c>
      <c r="J992" s="10" t="n">
        <f aca="false">SUMIFS(Data!$H$2:$H$1006,Data!$A$2:$A$1006,$A992,Data!$B$2:$B$1006,$B992)</f>
        <v>95.198325</v>
      </c>
      <c r="K992" s="11" t="n">
        <f aca="false">IFERROR(F992*1000000/$E992,"")</f>
        <v>179.791242362525</v>
      </c>
      <c r="L992" s="11" t="n">
        <f aca="false">IFERROR(G992*1000000/$E992,"")</f>
        <v>140.771404511985</v>
      </c>
      <c r="M992" s="11" t="n">
        <f aca="false">IFERROR(H992*1000000/$E992,"")</f>
        <v>190.28598751893</v>
      </c>
      <c r="N992" s="11" t="n">
        <f aca="false">IFERROR(I992*1000000/$E992,"")</f>
        <v>510.848634393441</v>
      </c>
      <c r="O992" s="11" t="n">
        <f aca="false">IFERROR(J992*1000000/$E992,"")</f>
        <v>621.431438978537</v>
      </c>
      <c r="P992" s="16" t="n">
        <f aca="false">COUNTIFS($A$4:$A$1008,$A992,$N$4:$N$1008,"&gt;"&amp;N992)+1</f>
        <v>10</v>
      </c>
      <c r="Q992" s="16" t="n">
        <f aca="false">COUNTIFS($A$4:$A$1008,$A992,$O$4:$O$1008,"&gt;"&amp;O992)+1</f>
        <v>11</v>
      </c>
    </row>
    <row r="993" customFormat="false" ht="15" hidden="false" customHeight="false" outlineLevel="0" collapsed="false">
      <c r="A993" s="7" t="n">
        <v>2025</v>
      </c>
      <c r="B993" s="15" t="s">
        <v>137</v>
      </c>
      <c r="C993" s="15" t="s">
        <v>135</v>
      </c>
      <c r="D993" s="15" t="s">
        <v>138</v>
      </c>
      <c r="E993" s="9" t="n">
        <f aca="false">SUMIFS(Data!$L$2:$L$1006,Data!$A$2:$A$1006,$A993,Data!$B$2:$B$1006,$B993)</f>
        <v>1900985</v>
      </c>
      <c r="F993" s="10" t="n">
        <f aca="false">SUMIFS(Data!$E$2:$E$1006,Data!$A$2:$A$1006,$A993,Data!$B$2:$B$1006,$B993)</f>
        <v>434.682158</v>
      </c>
      <c r="G993" s="10" t="n">
        <f aca="false">SUMIFS(Data!$F$2:$F$1006,Data!$A$2:$A$1006,$A993,Data!$B$2:$B$1006,$B993)</f>
        <v>330.037944</v>
      </c>
      <c r="H993" s="10" t="n">
        <f aca="false">SUMIFS(Data!$G$2:$G$1006,Data!$A$2:$A$1006,$A993,Data!$B$2:$B$1006,$B993)</f>
        <v>392.105231</v>
      </c>
      <c r="I993" s="10" t="n">
        <f aca="false">SUMIFS(Data!$N$2:$N$1006,Data!$A$2:$A$1006,$A993,Data!$B$2:$B$1006,$B993)</f>
        <v>1156.825333</v>
      </c>
      <c r="J993" s="10" t="n">
        <f aca="false">SUMIFS(Data!$H$2:$H$1006,Data!$A$2:$A$1006,$A993,Data!$B$2:$B$1006,$B993)</f>
        <v>1229.783349</v>
      </c>
      <c r="K993" s="11" t="n">
        <f aca="false">IFERROR(F993*1000000/$E993,"")</f>
        <v>228.661540201527</v>
      </c>
      <c r="L993" s="11" t="n">
        <f aca="false">IFERROR(G993*1000000/$E993,"")</f>
        <v>173.614175808857</v>
      </c>
      <c r="M993" s="11" t="n">
        <f aca="false">IFERROR(H993*1000000/$E993,"")</f>
        <v>206.264242484817</v>
      </c>
      <c r="N993" s="11" t="n">
        <f aca="false">IFERROR(I993*1000000/$E993,"")</f>
        <v>608.539958495201</v>
      </c>
      <c r="O993" s="11" t="n">
        <f aca="false">IFERROR(J993*1000000/$E993,"")</f>
        <v>646.919017772365</v>
      </c>
      <c r="P993" s="16" t="n">
        <f aca="false">COUNTIFS($A$4:$A$1008,$A993,$N$4:$N$1008,"&gt;"&amp;N993)+1</f>
        <v>2</v>
      </c>
      <c r="Q993" s="16" t="n">
        <f aca="false">COUNTIFS($A$4:$A$1008,$A993,$O$4:$O$1008,"&gt;"&amp;O993)+1</f>
        <v>9</v>
      </c>
    </row>
    <row r="994" customFormat="false" ht="15" hidden="false" customHeight="false" outlineLevel="0" collapsed="false">
      <c r="A994" s="7" t="n">
        <v>2025</v>
      </c>
      <c r="B994" s="15" t="s">
        <v>139</v>
      </c>
      <c r="C994" s="15" t="s">
        <v>135</v>
      </c>
      <c r="D994" s="15" t="s">
        <v>138</v>
      </c>
      <c r="E994" s="9" t="n">
        <f aca="false">SUMIFS(Data!$L$2:$L$1006,Data!$A$2:$A$1006,$A994,Data!$B$2:$B$1006,$B994)</f>
        <v>2290493</v>
      </c>
      <c r="F994" s="10" t="n">
        <f aca="false">SUMIFS(Data!$E$2:$E$1006,Data!$A$2:$A$1006,$A994,Data!$B$2:$B$1006,$B994)</f>
        <v>310.459236</v>
      </c>
      <c r="G994" s="10" t="n">
        <f aca="false">SUMIFS(Data!$F$2:$F$1006,Data!$A$2:$A$1006,$A994,Data!$B$2:$B$1006,$B994)</f>
        <v>381.955954</v>
      </c>
      <c r="H994" s="10" t="n">
        <f aca="false">SUMIFS(Data!$G$2:$G$1006,Data!$A$2:$A$1006,$A994,Data!$B$2:$B$1006,$B994)</f>
        <v>627.04701</v>
      </c>
      <c r="I994" s="10" t="n">
        <f aca="false">SUMIFS(Data!$N$2:$N$1006,Data!$A$2:$A$1006,$A994,Data!$B$2:$B$1006,$B994)</f>
        <v>1319.4622</v>
      </c>
      <c r="J994" s="10" t="n">
        <f aca="false">SUMIFS(Data!$H$2:$H$1006,Data!$A$2:$A$1006,$A994,Data!$B$2:$B$1006,$B994)</f>
        <v>1612.232211</v>
      </c>
      <c r="K994" s="11" t="n">
        <f aca="false">IFERROR(F994*1000000/$E994,"")</f>
        <v>135.542538658708</v>
      </c>
      <c r="L994" s="11" t="n">
        <f aca="false">IFERROR(G994*1000000/$E994,"")</f>
        <v>166.757092905327</v>
      </c>
      <c r="M994" s="11" t="n">
        <f aca="false">IFERROR(H994*1000000/$E994,"")</f>
        <v>273.760718762293</v>
      </c>
      <c r="N994" s="11" t="n">
        <f aca="false">IFERROR(I994*1000000/$E994,"")</f>
        <v>576.060350326327</v>
      </c>
      <c r="O994" s="11" t="n">
        <f aca="false">IFERROR(J994*1000000/$E994,"")</f>
        <v>703.87999919668</v>
      </c>
      <c r="P994" s="16" t="n">
        <f aca="false">COUNTIFS($A$4:$A$1008,$A994,$N$4:$N$1008,"&gt;"&amp;N994)+1</f>
        <v>3</v>
      </c>
      <c r="Q994" s="16" t="n">
        <f aca="false">COUNTIFS($A$4:$A$1008,$A994,$O$4:$O$1008,"&gt;"&amp;O994)+1</f>
        <v>5</v>
      </c>
    </row>
    <row r="995" customFormat="false" ht="15" hidden="false" customHeight="false" outlineLevel="0" collapsed="false">
      <c r="A995" s="7" t="n">
        <v>2025</v>
      </c>
      <c r="B995" s="15" t="s">
        <v>140</v>
      </c>
      <c r="C995" s="15" t="s">
        <v>135</v>
      </c>
      <c r="D995" s="15" t="s">
        <v>141</v>
      </c>
      <c r="E995" s="9" t="n">
        <f aca="false">SUMIFS(Data!$L$2:$L$1006,Data!$A$2:$A$1006,$A995,Data!$B$2:$B$1006,$B995)</f>
        <v>921804</v>
      </c>
      <c r="F995" s="10" t="n">
        <f aca="false">SUMIFS(Data!$E$2:$E$1006,Data!$A$2:$A$1006,$A995,Data!$B$2:$B$1006,$B995)</f>
        <v>120.211774</v>
      </c>
      <c r="G995" s="10" t="n">
        <f aca="false">SUMIFS(Data!$F$2:$F$1006,Data!$A$2:$A$1006,$A995,Data!$B$2:$B$1006,$B995)</f>
        <v>41.884096</v>
      </c>
      <c r="H995" s="10" t="n">
        <f aca="false">SUMIFS(Data!$G$2:$G$1006,Data!$A$2:$A$1006,$A995,Data!$B$2:$B$1006,$B995)</f>
        <v>153.307982</v>
      </c>
      <c r="I995" s="10" t="n">
        <f aca="false">SUMIFS(Data!$N$2:$N$1006,Data!$A$2:$A$1006,$A995,Data!$B$2:$B$1006,$B995)</f>
        <v>315.403852</v>
      </c>
      <c r="J995" s="10" t="n">
        <f aca="false">SUMIFS(Data!$H$2:$H$1006,Data!$A$2:$A$1006,$A995,Data!$B$2:$B$1006,$B995)</f>
        <v>440.323304</v>
      </c>
      <c r="K995" s="11" t="n">
        <f aca="false">IFERROR(F995*1000000/$E995,"")</f>
        <v>130.40925619763</v>
      </c>
      <c r="L995" s="11" t="n">
        <f aca="false">IFERROR(G995*1000000/$E995,"")</f>
        <v>45.4370950874589</v>
      </c>
      <c r="M995" s="11" t="n">
        <f aca="false">IFERROR(H995*1000000/$E995,"")</f>
        <v>166.312992783715</v>
      </c>
      <c r="N995" s="11" t="n">
        <f aca="false">IFERROR(I995*1000000/$E995,"")</f>
        <v>342.159344068804</v>
      </c>
      <c r="O995" s="11" t="n">
        <f aca="false">IFERROR(J995*1000000/$E995,"")</f>
        <v>477.675627356792</v>
      </c>
      <c r="P995" s="16" t="n">
        <f aca="false">COUNTIFS($A$4:$A$1008,$A995,$N$4:$N$1008,"&gt;"&amp;N995)+1</f>
        <v>29</v>
      </c>
      <c r="Q995" s="16" t="n">
        <f aca="false">COUNTIFS($A$4:$A$1008,$A995,$O$4:$O$1008,"&gt;"&amp;O995)+1</f>
        <v>15</v>
      </c>
    </row>
    <row r="996" customFormat="false" ht="15" hidden="false" customHeight="false" outlineLevel="0" collapsed="false">
      <c r="A996" s="7" t="n">
        <v>2025</v>
      </c>
      <c r="B996" s="15" t="s">
        <v>142</v>
      </c>
      <c r="C996" s="15" t="s">
        <v>135</v>
      </c>
      <c r="D996" s="15" t="s">
        <v>143</v>
      </c>
      <c r="E996" s="9" t="n">
        <f aca="false">SUMIFS(Data!$L$2:$L$1006,Data!$A$2:$A$1006,$A996,Data!$B$2:$B$1006,$B996)</f>
        <v>618231</v>
      </c>
      <c r="F996" s="10" t="n">
        <f aca="false">SUMIFS(Data!$E$2:$E$1006,Data!$A$2:$A$1006,$A996,Data!$B$2:$B$1006,$B996)</f>
        <v>128.330829</v>
      </c>
      <c r="G996" s="10" t="n">
        <f aca="false">SUMIFS(Data!$F$2:$F$1006,Data!$A$2:$A$1006,$A996,Data!$B$2:$B$1006,$B996)</f>
        <v>50.295968</v>
      </c>
      <c r="H996" s="10" t="n">
        <f aca="false">SUMIFS(Data!$G$2:$G$1006,Data!$A$2:$A$1006,$A996,Data!$B$2:$B$1006,$B996)</f>
        <v>102.029851</v>
      </c>
      <c r="I996" s="10" t="n">
        <f aca="false">SUMIFS(Data!$N$2:$N$1006,Data!$A$2:$A$1006,$A996,Data!$B$2:$B$1006,$B996)</f>
        <v>280.656648</v>
      </c>
      <c r="J996" s="10" t="n">
        <f aca="false">SUMIFS(Data!$H$2:$H$1006,Data!$A$2:$A$1006,$A996,Data!$B$2:$B$1006,$B996)</f>
        <v>353.208621</v>
      </c>
      <c r="K996" s="11" t="n">
        <f aca="false">IFERROR(F996*1000000/$E996,"")</f>
        <v>207.577473468655</v>
      </c>
      <c r="L996" s="11" t="n">
        <f aca="false">IFERROR(G996*1000000/$E996,"")</f>
        <v>81.3546522254626</v>
      </c>
      <c r="M996" s="11" t="n">
        <f aca="false">IFERROR(H996*1000000/$E996,"")</f>
        <v>165.035158379311</v>
      </c>
      <c r="N996" s="11" t="n">
        <f aca="false">IFERROR(I996*1000000/$E996,"")</f>
        <v>453.967284073429</v>
      </c>
      <c r="O996" s="11" t="n">
        <f aca="false">IFERROR(J996*1000000/$E996,"")</f>
        <v>571.321433250678</v>
      </c>
      <c r="P996" s="16" t="n">
        <f aca="false">COUNTIFS($A$4:$A$1008,$A996,$N$4:$N$1008,"&gt;"&amp;N996)+1</f>
        <v>17</v>
      </c>
      <c r="Q996" s="16" t="n">
        <f aca="false">COUNTIFS($A$4:$A$1008,$A996,$O$4:$O$1008,"&gt;"&amp;O996)+1</f>
        <v>14</v>
      </c>
    </row>
    <row r="997" customFormat="false" ht="15" hidden="false" customHeight="false" outlineLevel="0" collapsed="false">
      <c r="A997" s="7" t="n">
        <v>2025</v>
      </c>
      <c r="B997" s="15" t="s">
        <v>144</v>
      </c>
      <c r="C997" s="15" t="s">
        <v>135</v>
      </c>
      <c r="D997" s="15" t="s">
        <v>141</v>
      </c>
      <c r="E997" s="9" t="n">
        <f aca="false">SUMIFS(Data!$L$2:$L$1006,Data!$A$2:$A$1006,$A997,Data!$B$2:$B$1006,$B997)</f>
        <v>530401</v>
      </c>
      <c r="F997" s="10" t="n">
        <f aca="false">SUMIFS(Data!$E$2:$E$1006,Data!$A$2:$A$1006,$A997,Data!$B$2:$B$1006,$B997)</f>
        <v>93.312539</v>
      </c>
      <c r="G997" s="10" t="n">
        <f aca="false">SUMIFS(Data!$F$2:$F$1006,Data!$A$2:$A$1006,$A997,Data!$B$2:$B$1006,$B997)</f>
        <v>101.242814</v>
      </c>
      <c r="H997" s="10" t="n">
        <f aca="false">SUMIFS(Data!$G$2:$G$1006,Data!$A$2:$A$1006,$A997,Data!$B$2:$B$1006,$B997)</f>
        <v>56.207809</v>
      </c>
      <c r="I997" s="10" t="n">
        <f aca="false">SUMIFS(Data!$N$2:$N$1006,Data!$A$2:$A$1006,$A997,Data!$B$2:$B$1006,$B997)</f>
        <v>250.763162</v>
      </c>
      <c r="J997" s="10" t="n">
        <f aca="false">SUMIFS(Data!$H$2:$H$1006,Data!$A$2:$A$1006,$A997,Data!$B$2:$B$1006,$B997)</f>
        <v>310.396701</v>
      </c>
      <c r="K997" s="11" t="n">
        <f aca="false">IFERROR(F997*1000000/$E997,"")</f>
        <v>175.928286334302</v>
      </c>
      <c r="L997" s="11" t="n">
        <f aca="false">IFERROR(G997*1000000/$E997,"")</f>
        <v>190.879757014033</v>
      </c>
      <c r="M997" s="11" t="n">
        <f aca="false">IFERROR(H997*1000000/$E997,"")</f>
        <v>105.972290776224</v>
      </c>
      <c r="N997" s="11" t="n">
        <f aca="false">IFERROR(I997*1000000/$E997,"")</f>
        <v>472.780334124559</v>
      </c>
      <c r="O997" s="11" t="n">
        <f aca="false">IFERROR(J997*1000000/$E997,"")</f>
        <v>585.211379691969</v>
      </c>
      <c r="P997" s="16" t="n">
        <f aca="false">COUNTIFS($A$4:$A$1008,$A997,$N$4:$N$1008,"&gt;"&amp;N997)+1</f>
        <v>14</v>
      </c>
      <c r="Q997" s="16" t="n">
        <f aca="false">COUNTIFS($A$4:$A$1008,$A997,$O$4:$O$1008,"&gt;"&amp;O997)+1</f>
        <v>12</v>
      </c>
    </row>
    <row r="998" customFormat="false" ht="15" hidden="false" customHeight="false" outlineLevel="0" collapsed="false">
      <c r="A998" s="7" t="n">
        <v>2025</v>
      </c>
      <c r="B998" s="15" t="s">
        <v>145</v>
      </c>
      <c r="C998" s="15" t="s">
        <v>135</v>
      </c>
      <c r="D998" s="15" t="s">
        <v>146</v>
      </c>
      <c r="E998" s="9" t="n">
        <f aca="false">SUMIFS(Data!$L$2:$L$1006,Data!$A$2:$A$1006,$A998,Data!$B$2:$B$1006,$B998)</f>
        <v>503162</v>
      </c>
      <c r="F998" s="10" t="n">
        <f aca="false">SUMIFS(Data!$E$2:$E$1006,Data!$A$2:$A$1006,$A998,Data!$B$2:$B$1006,$B998)</f>
        <v>39.26638</v>
      </c>
      <c r="G998" s="10" t="n">
        <f aca="false">SUMIFS(Data!$F$2:$F$1006,Data!$A$2:$A$1006,$A998,Data!$B$2:$B$1006,$B998)</f>
        <v>52.907075</v>
      </c>
      <c r="H998" s="10" t="n">
        <f aca="false">SUMIFS(Data!$G$2:$G$1006,Data!$A$2:$A$1006,$A998,Data!$B$2:$B$1006,$B998)</f>
        <v>131.67865</v>
      </c>
      <c r="I998" s="10" t="n">
        <f aca="false">SUMIFS(Data!$N$2:$N$1006,Data!$A$2:$A$1006,$A998,Data!$B$2:$B$1006,$B998)</f>
        <v>223.852105</v>
      </c>
      <c r="J998" s="10" t="n">
        <f aca="false">SUMIFS(Data!$H$2:$H$1006,Data!$A$2:$A$1006,$A998,Data!$B$2:$B$1006,$B998)</f>
        <v>372.726234</v>
      </c>
      <c r="K998" s="11" t="n">
        <f aca="false">IFERROR(F998*1000000/$E998,"")</f>
        <v>78.0392398472063</v>
      </c>
      <c r="L998" s="11" t="n">
        <f aca="false">IFERROR(G998*1000000/$E998,"")</f>
        <v>105.149186544294</v>
      </c>
      <c r="M998" s="11" t="n">
        <f aca="false">IFERROR(H998*1000000/$E998,"")</f>
        <v>261.702294688391</v>
      </c>
      <c r="N998" s="11" t="n">
        <f aca="false">IFERROR(I998*1000000/$E998,"")</f>
        <v>444.890721079891</v>
      </c>
      <c r="O998" s="11" t="n">
        <f aca="false">IFERROR(J998*1000000/$E998,"")</f>
        <v>740.767852103299</v>
      </c>
      <c r="P998" s="16" t="n">
        <f aca="false">COUNTIFS($A$4:$A$1008,$A998,$N$4:$N$1008,"&gt;"&amp;N998)+1</f>
        <v>19</v>
      </c>
      <c r="Q998" s="16" t="n">
        <f aca="false">COUNTIFS($A$4:$A$1008,$A998,$O$4:$O$1008,"&gt;"&amp;O998)+1</f>
        <v>4</v>
      </c>
    </row>
    <row r="999" customFormat="false" ht="15" hidden="false" customHeight="false" outlineLevel="0" collapsed="false">
      <c r="A999" s="7" t="n">
        <v>2025</v>
      </c>
      <c r="B999" s="15" t="s">
        <v>147</v>
      </c>
      <c r="C999" s="15" t="s">
        <v>135</v>
      </c>
      <c r="D999" s="15" t="s">
        <v>148</v>
      </c>
      <c r="E999" s="9" t="n">
        <f aca="false">SUMIFS(Data!$L$2:$L$1006,Data!$A$2:$A$1006,$A999,Data!$B$2:$B$1006,$B999)</f>
        <v>168991</v>
      </c>
      <c r="F999" s="10" t="n">
        <f aca="false">SUMIFS(Data!$E$2:$E$1006,Data!$A$2:$A$1006,$A999,Data!$B$2:$B$1006,$B999)</f>
        <v>16.514224</v>
      </c>
      <c r="G999" s="10" t="n">
        <f aca="false">SUMIFS(Data!$F$2:$F$1006,Data!$A$2:$A$1006,$A999,Data!$B$2:$B$1006,$B999)</f>
        <v>24.915075</v>
      </c>
      <c r="H999" s="10" t="n">
        <f aca="false">SUMIFS(Data!$G$2:$G$1006,Data!$A$2:$A$1006,$A999,Data!$B$2:$B$1006,$B999)</f>
        <v>21.277524</v>
      </c>
      <c r="I999" s="10" t="n">
        <f aca="false">SUMIFS(Data!$N$2:$N$1006,Data!$A$2:$A$1006,$A999,Data!$B$2:$B$1006,$B999)</f>
        <v>62.706823</v>
      </c>
      <c r="J999" s="10" t="n">
        <f aca="false">SUMIFS(Data!$H$2:$H$1006,Data!$A$2:$A$1006,$A999,Data!$B$2:$B$1006,$B999)</f>
        <v>66.3924</v>
      </c>
      <c r="K999" s="11" t="n">
        <f aca="false">IFERROR(F999*1000000/$E999,"")</f>
        <v>97.7225059322686</v>
      </c>
      <c r="L999" s="11" t="n">
        <f aca="false">IFERROR(G999*1000000/$E999,"")</f>
        <v>147.434330822351</v>
      </c>
      <c r="M999" s="11" t="n">
        <f aca="false">IFERROR(H999*1000000/$E999,"")</f>
        <v>125.909214100159</v>
      </c>
      <c r="N999" s="11" t="n">
        <f aca="false">IFERROR(I999*1000000/$E999,"")</f>
        <v>371.066050854779</v>
      </c>
      <c r="O999" s="11" t="n">
        <f aca="false">IFERROR(J999*1000000/$E999,"")</f>
        <v>392.875360226284</v>
      </c>
      <c r="P999" s="16" t="n">
        <f aca="false">COUNTIFS($A$4:$A$1008,$A999,$N$4:$N$1008,"&gt;"&amp;N999)+1</f>
        <v>25</v>
      </c>
      <c r="Q999" s="16" t="n">
        <f aca="false">COUNTIFS($A$4:$A$1008,$A999,$O$4:$O$1008,"&gt;"&amp;O999)+1</f>
        <v>23</v>
      </c>
    </row>
    <row r="1000" customFormat="false" ht="15" hidden="false" customHeight="false" outlineLevel="0" collapsed="false">
      <c r="A1000" s="7" t="n">
        <v>2025</v>
      </c>
      <c r="B1000" s="15" t="s">
        <v>149</v>
      </c>
      <c r="C1000" s="15" t="s">
        <v>135</v>
      </c>
      <c r="D1000" s="15" t="s">
        <v>146</v>
      </c>
      <c r="E1000" s="9" t="n">
        <f aca="false">SUMIFS(Data!$L$2:$L$1006,Data!$A$2:$A$1006,$A1000,Data!$B$2:$B$1006,$B1000)</f>
        <v>838128</v>
      </c>
      <c r="F1000" s="10" t="n">
        <f aca="false">SUMIFS(Data!$E$2:$E$1006,Data!$A$2:$A$1006,$A1000,Data!$B$2:$B$1006,$B1000)</f>
        <v>112.133341</v>
      </c>
      <c r="G1000" s="10" t="n">
        <f aca="false">SUMIFS(Data!$F$2:$F$1006,Data!$A$2:$A$1006,$A1000,Data!$B$2:$B$1006,$B1000)</f>
        <v>78.297825</v>
      </c>
      <c r="H1000" s="10" t="n">
        <f aca="false">SUMIFS(Data!$G$2:$G$1006,Data!$A$2:$A$1006,$A1000,Data!$B$2:$B$1006,$B1000)</f>
        <v>108.39897</v>
      </c>
      <c r="I1000" s="10" t="n">
        <f aca="false">SUMIFS(Data!$N$2:$N$1006,Data!$A$2:$A$1006,$A1000,Data!$B$2:$B$1006,$B1000)</f>
        <v>298.830136</v>
      </c>
      <c r="J1000" s="10" t="n">
        <f aca="false">SUMIFS(Data!$H$2:$H$1006,Data!$A$2:$A$1006,$A1000,Data!$B$2:$B$1006,$B1000)</f>
        <v>361.975468</v>
      </c>
      <c r="K1000" s="11" t="n">
        <f aca="false">IFERROR(F1000*1000000/$E1000,"")</f>
        <v>133.790233711319</v>
      </c>
      <c r="L1000" s="11" t="n">
        <f aca="false">IFERROR(G1000*1000000/$E1000,"")</f>
        <v>93.4198893247809</v>
      </c>
      <c r="M1000" s="11" t="n">
        <f aca="false">IFERROR(H1000*1000000/$E1000,"")</f>
        <v>129.334624305595</v>
      </c>
      <c r="N1000" s="11" t="n">
        <f aca="false">IFERROR(I1000*1000000/$E1000,"")</f>
        <v>356.544747341695</v>
      </c>
      <c r="O1000" s="11" t="n">
        <f aca="false">IFERROR(J1000*1000000/$E1000,"")</f>
        <v>431.885664242216</v>
      </c>
      <c r="P1000" s="16" t="n">
        <f aca="false">COUNTIFS($A$4:$A$1008,$A1000,$N$4:$N$1008,"&gt;"&amp;N1000)+1</f>
        <v>28</v>
      </c>
      <c r="Q1000" s="16" t="n">
        <f aca="false">COUNTIFS($A$4:$A$1008,$A1000,$O$4:$O$1008,"&gt;"&amp;O1000)+1</f>
        <v>21</v>
      </c>
    </row>
    <row r="1001" customFormat="false" ht="15" hidden="false" customHeight="false" outlineLevel="0" collapsed="false">
      <c r="A1001" s="7" t="n">
        <v>2025</v>
      </c>
      <c r="B1001" s="15" t="s">
        <v>150</v>
      </c>
      <c r="C1001" s="15" t="s">
        <v>135</v>
      </c>
      <c r="D1001" s="15" t="s">
        <v>141</v>
      </c>
      <c r="E1001" s="9" t="n">
        <f aca="false">SUMIFS(Data!$L$2:$L$1006,Data!$A$2:$A$1006,$A1001,Data!$B$2:$B$1006,$B1001)</f>
        <v>494559</v>
      </c>
      <c r="F1001" s="10" t="n">
        <f aca="false">SUMIFS(Data!$E$2:$E$1006,Data!$A$2:$A$1006,$A1001,Data!$B$2:$B$1006,$B1001)</f>
        <v>83.987219</v>
      </c>
      <c r="G1001" s="10" t="n">
        <f aca="false">SUMIFS(Data!$F$2:$F$1006,Data!$A$2:$A$1006,$A1001,Data!$B$2:$B$1006,$B1001)</f>
        <v>27.54026</v>
      </c>
      <c r="H1001" s="10" t="n">
        <f aca="false">SUMIFS(Data!$G$2:$G$1006,Data!$A$2:$A$1006,$A1001,Data!$B$2:$B$1006,$B1001)</f>
        <v>84.741297</v>
      </c>
      <c r="I1001" s="10" t="n">
        <f aca="false">SUMIFS(Data!$N$2:$N$1006,Data!$A$2:$A$1006,$A1001,Data!$B$2:$B$1006,$B1001)</f>
        <v>196.268776</v>
      </c>
      <c r="J1001" s="10" t="n">
        <f aca="false">SUMIFS(Data!$H$2:$H$1006,Data!$A$2:$A$1006,$A1001,Data!$B$2:$B$1006,$B1001)</f>
        <v>556.146328</v>
      </c>
      <c r="K1001" s="11" t="n">
        <f aca="false">IFERROR(F1001*1000000/$E1001,"")</f>
        <v>169.822445855803</v>
      </c>
      <c r="L1001" s="11" t="n">
        <f aca="false">IFERROR(G1001*1000000/$E1001,"")</f>
        <v>55.6865004984239</v>
      </c>
      <c r="M1001" s="11" t="n">
        <f aca="false">IFERROR(H1001*1000000/$E1001,"")</f>
        <v>171.347194166924</v>
      </c>
      <c r="N1001" s="11" t="n">
        <f aca="false">IFERROR(I1001*1000000/$E1001,"")</f>
        <v>396.856140521151</v>
      </c>
      <c r="O1001" s="11" t="n">
        <f aca="false">IFERROR(J1001*1000000/$E1001,"")</f>
        <v>1124.5297891657</v>
      </c>
      <c r="P1001" s="16" t="n">
        <f aca="false">COUNTIFS($A$4:$A$1008,$A1001,$N$4:$N$1008,"&gt;"&amp;N1001)+1</f>
        <v>21</v>
      </c>
      <c r="Q1001" s="16" t="n">
        <f aca="false">COUNTIFS($A$4:$A$1008,$A1001,$O$4:$O$1008,"&gt;"&amp;O1001)+1</f>
        <v>1</v>
      </c>
    </row>
    <row r="1002" customFormat="false" ht="15" hidden="false" customHeight="false" outlineLevel="0" collapsed="false">
      <c r="A1002" s="7" t="n">
        <v>2025</v>
      </c>
      <c r="B1002" s="15" t="s">
        <v>151</v>
      </c>
      <c r="C1002" s="15" t="s">
        <v>135</v>
      </c>
      <c r="D1002" s="15" t="s">
        <v>136</v>
      </c>
      <c r="E1002" s="9" t="n">
        <f aca="false">SUMIFS(Data!$L$2:$L$1006,Data!$A$2:$A$1006,$A1002,Data!$B$2:$B$1006,$B1002)</f>
        <v>1594258</v>
      </c>
      <c r="F1002" s="10" t="n">
        <f aca="false">SUMIFS(Data!$E$2:$E$1006,Data!$A$2:$A$1006,$A1002,Data!$B$2:$B$1006,$B1002)</f>
        <v>134.067379</v>
      </c>
      <c r="G1002" s="10" t="n">
        <f aca="false">SUMIFS(Data!$F$2:$F$1006,Data!$A$2:$A$1006,$A1002,Data!$B$2:$B$1006,$B1002)</f>
        <v>179.19534</v>
      </c>
      <c r="H1002" s="10" t="n">
        <f aca="false">SUMIFS(Data!$G$2:$G$1006,Data!$A$2:$A$1006,$A1002,Data!$B$2:$B$1006,$B1002)</f>
        <v>229.580407</v>
      </c>
      <c r="I1002" s="10" t="n">
        <f aca="false">SUMIFS(Data!$N$2:$N$1006,Data!$A$2:$A$1006,$A1002,Data!$B$2:$B$1006,$B1002)</f>
        <v>542.843126</v>
      </c>
      <c r="J1002" s="10" t="n">
        <f aca="false">SUMIFS(Data!$H$2:$H$1006,Data!$A$2:$A$1006,$A1002,Data!$B$2:$B$1006,$B1002)</f>
        <v>552.695783</v>
      </c>
      <c r="K1002" s="11" t="n">
        <f aca="false">IFERROR(F1002*1000000/$E1002,"")</f>
        <v>84.0939038725225</v>
      </c>
      <c r="L1002" s="11" t="n">
        <f aca="false">IFERROR(G1002*1000000/$E1002,"")</f>
        <v>112.400464667576</v>
      </c>
      <c r="M1002" s="11" t="n">
        <f aca="false">IFERROR(H1002*1000000/$E1002,"")</f>
        <v>144.004550706347</v>
      </c>
      <c r="N1002" s="11" t="n">
        <f aca="false">IFERROR(I1002*1000000/$E1002,"")</f>
        <v>340.498919246446</v>
      </c>
      <c r="O1002" s="11" t="n">
        <f aca="false">IFERROR(J1002*1000000/$E1002,"")</f>
        <v>346.679008667355</v>
      </c>
      <c r="P1002" s="16" t="n">
        <f aca="false">COUNTIFS($A$4:$A$1008,$A1002,$N$4:$N$1008,"&gt;"&amp;N1002)+1</f>
        <v>30</v>
      </c>
      <c r="Q1002" s="16" t="n">
        <f aca="false">COUNTIFS($A$4:$A$1008,$A1002,$O$4:$O$1008,"&gt;"&amp;O1002)+1</f>
        <v>29</v>
      </c>
    </row>
    <row r="1003" customFormat="false" ht="15" hidden="false" customHeight="false" outlineLevel="0" collapsed="false">
      <c r="A1003" s="7" t="n">
        <v>2025</v>
      </c>
      <c r="B1003" s="15" t="s">
        <v>152</v>
      </c>
      <c r="C1003" s="15" t="s">
        <v>135</v>
      </c>
      <c r="D1003" s="15" t="s">
        <v>148</v>
      </c>
      <c r="E1003" s="9" t="n">
        <f aca="false">SUMIFS(Data!$L$2:$L$1006,Data!$A$2:$A$1006,$A1003,Data!$B$2:$B$1006,$B1003)</f>
        <v>274010</v>
      </c>
      <c r="F1003" s="10" t="n">
        <f aca="false">SUMIFS(Data!$E$2:$E$1006,Data!$A$2:$A$1006,$A1003,Data!$B$2:$B$1006,$B1003)</f>
        <v>26.646229</v>
      </c>
      <c r="G1003" s="10" t="n">
        <f aca="false">SUMIFS(Data!$F$2:$F$1006,Data!$A$2:$A$1006,$A1003,Data!$B$2:$B$1006,$B1003)</f>
        <v>24.21183</v>
      </c>
      <c r="H1003" s="10" t="n">
        <f aca="false">SUMIFS(Data!$G$2:$G$1006,Data!$A$2:$A$1006,$A1003,Data!$B$2:$B$1006,$B1003)</f>
        <v>56.75885</v>
      </c>
      <c r="I1003" s="10" t="n">
        <f aca="false">SUMIFS(Data!$N$2:$N$1006,Data!$A$2:$A$1006,$A1003,Data!$B$2:$B$1006,$B1003)</f>
        <v>107.616909</v>
      </c>
      <c r="J1003" s="10" t="n">
        <f aca="false">SUMIFS(Data!$H$2:$H$1006,Data!$A$2:$A$1006,$A1003,Data!$B$2:$B$1006,$B1003)</f>
        <v>190.174774</v>
      </c>
      <c r="K1003" s="11" t="n">
        <f aca="false">IFERROR(F1003*1000000/$E1003,"")</f>
        <v>97.2454618444582</v>
      </c>
      <c r="L1003" s="11" t="n">
        <f aca="false">IFERROR(G1003*1000000/$E1003,"")</f>
        <v>88.3611182073647</v>
      </c>
      <c r="M1003" s="11" t="n">
        <f aca="false">IFERROR(H1003*1000000/$E1003,"")</f>
        <v>207.141527681471</v>
      </c>
      <c r="N1003" s="11" t="n">
        <f aca="false">IFERROR(I1003*1000000/$E1003,"")</f>
        <v>392.748107733294</v>
      </c>
      <c r="O1003" s="11" t="n">
        <f aca="false">IFERROR(J1003*1000000/$E1003,"")</f>
        <v>694.04318820481</v>
      </c>
      <c r="P1003" s="16" t="n">
        <f aca="false">COUNTIFS($A$4:$A$1008,$A1003,$N$4:$N$1008,"&gt;"&amp;N1003)+1</f>
        <v>22</v>
      </c>
      <c r="Q1003" s="16" t="n">
        <f aca="false">COUNTIFS($A$4:$A$1008,$A1003,$O$4:$O$1008,"&gt;"&amp;O1003)+1</f>
        <v>6</v>
      </c>
    </row>
    <row r="1004" customFormat="false" ht="15" hidden="false" customHeight="false" outlineLevel="0" collapsed="false">
      <c r="A1004" s="7" t="n">
        <v>2025</v>
      </c>
      <c r="B1004" s="15" t="s">
        <v>153</v>
      </c>
      <c r="C1004" s="15" t="s">
        <v>135</v>
      </c>
      <c r="D1004" s="15" t="s">
        <v>136</v>
      </c>
      <c r="E1004" s="9" t="n">
        <f aca="false">SUMIFS(Data!$L$2:$L$1006,Data!$A$2:$A$1006,$A1004,Data!$B$2:$B$1006,$B1004)</f>
        <v>134230</v>
      </c>
      <c r="F1004" s="10" t="n">
        <f aca="false">SUMIFS(Data!$E$2:$E$1006,Data!$A$2:$A$1006,$A1004,Data!$B$2:$B$1006,$B1004)</f>
        <v>18.997339</v>
      </c>
      <c r="G1004" s="10" t="n">
        <f aca="false">SUMIFS(Data!$F$2:$F$1006,Data!$A$2:$A$1006,$A1004,Data!$B$2:$B$1006,$B1004)</f>
        <v>20.345731</v>
      </c>
      <c r="H1004" s="10" t="n">
        <f aca="false">SUMIFS(Data!$G$2:$G$1006,Data!$A$2:$A$1006,$A1004,Data!$B$2:$B$1006,$B1004)</f>
        <v>23.79822</v>
      </c>
      <c r="I1004" s="10" t="n">
        <f aca="false">SUMIFS(Data!$N$2:$N$1006,Data!$A$2:$A$1006,$A1004,Data!$B$2:$B$1006,$B1004)</f>
        <v>63.14129</v>
      </c>
      <c r="J1004" s="10" t="n">
        <f aca="false">SUMIFS(Data!$H$2:$H$1006,Data!$A$2:$A$1006,$A1004,Data!$B$2:$B$1006,$B1004)</f>
        <v>84.968449</v>
      </c>
      <c r="K1004" s="11" t="n">
        <f aca="false">IFERROR(F1004*1000000/$E1004,"")</f>
        <v>141.528264918424</v>
      </c>
      <c r="L1004" s="11" t="n">
        <f aca="false">IFERROR(G1004*1000000/$E1004,"")</f>
        <v>151.573649705729</v>
      </c>
      <c r="M1004" s="11" t="n">
        <f aca="false">IFERROR(H1004*1000000/$E1004,"")</f>
        <v>177.294345526335</v>
      </c>
      <c r="N1004" s="11" t="n">
        <f aca="false">IFERROR(I1004*1000000/$E1004,"")</f>
        <v>470.396260150488</v>
      </c>
      <c r="O1004" s="11" t="n">
        <f aca="false">IFERROR(J1004*1000000/$E1004,"")</f>
        <v>633.006399463607</v>
      </c>
      <c r="P1004" s="16" t="n">
        <f aca="false">COUNTIFS($A$4:$A$1008,$A1004,$N$4:$N$1008,"&gt;"&amp;N1004)+1</f>
        <v>15</v>
      </c>
      <c r="Q1004" s="16" t="n">
        <f aca="false">COUNTIFS($A$4:$A$1008,$A1004,$O$4:$O$1008,"&gt;"&amp;O1004)+1</f>
        <v>10</v>
      </c>
    </row>
    <row r="1005" customFormat="false" ht="15" hidden="false" customHeight="false" outlineLevel="0" collapsed="false">
      <c r="A1005" s="7" t="n">
        <v>2025</v>
      </c>
      <c r="B1005" s="15" t="s">
        <v>154</v>
      </c>
      <c r="C1005" s="15" t="s">
        <v>135</v>
      </c>
      <c r="D1005" s="15" t="s">
        <v>141</v>
      </c>
      <c r="E1005" s="9" t="n">
        <f aca="false">SUMIFS(Data!$L$2:$L$1006,Data!$A$2:$A$1006,$A1005,Data!$B$2:$B$1006,$B1005)</f>
        <v>157708</v>
      </c>
      <c r="F1005" s="10" t="n">
        <f aca="false">SUMIFS(Data!$E$2:$E$1006,Data!$A$2:$A$1006,$A1005,Data!$B$2:$B$1006,$B1005)</f>
        <v>25.274553</v>
      </c>
      <c r="G1005" s="10" t="n">
        <f aca="false">SUMIFS(Data!$F$2:$F$1006,Data!$A$2:$A$1006,$A1005,Data!$B$2:$B$1006,$B1005)</f>
        <v>5.332556</v>
      </c>
      <c r="H1005" s="10" t="n">
        <f aca="false">SUMIFS(Data!$G$2:$G$1006,Data!$A$2:$A$1006,$A1005,Data!$B$2:$B$1006,$B1005)</f>
        <v>40.926956</v>
      </c>
      <c r="I1005" s="10" t="n">
        <f aca="false">SUMIFS(Data!$N$2:$N$1006,Data!$A$2:$A$1006,$A1005,Data!$B$2:$B$1006,$B1005)</f>
        <v>71.534065</v>
      </c>
      <c r="J1005" s="10" t="n">
        <f aca="false">SUMIFS(Data!$H$2:$H$1006,Data!$A$2:$A$1006,$A1005,Data!$B$2:$B$1006,$B1005)</f>
        <v>161.226451</v>
      </c>
      <c r="K1005" s="11" t="n">
        <f aca="false">IFERROR(F1005*1000000/$E1005,"")</f>
        <v>160.261705176656</v>
      </c>
      <c r="L1005" s="11" t="n">
        <f aca="false">IFERROR(G1005*1000000/$E1005,"")</f>
        <v>33.812843990159</v>
      </c>
      <c r="M1005" s="11" t="n">
        <f aca="false">IFERROR(H1005*1000000/$E1005,"")</f>
        <v>259.510969640094</v>
      </c>
      <c r="N1005" s="11" t="n">
        <f aca="false">IFERROR(I1005*1000000/$E1005,"")</f>
        <v>453.585518806909</v>
      </c>
      <c r="O1005" s="11" t="n">
        <f aca="false">IFERROR(J1005*1000000/$E1005,"")</f>
        <v>1022.30990818475</v>
      </c>
      <c r="P1005" s="16" t="n">
        <f aca="false">COUNTIFS($A$4:$A$1008,$A1005,$N$4:$N$1008,"&gt;"&amp;N1005)+1</f>
        <v>18</v>
      </c>
      <c r="Q1005" s="16" t="n">
        <f aca="false">COUNTIFS($A$4:$A$1008,$A1005,$O$4:$O$1008,"&gt;"&amp;O1005)+1</f>
        <v>2</v>
      </c>
    </row>
    <row r="1006" customFormat="false" ht="15" hidden="false" customHeight="false" outlineLevel="0" collapsed="false">
      <c r="A1006" s="7" t="n">
        <v>2025</v>
      </c>
      <c r="B1006" s="15" t="s">
        <v>155</v>
      </c>
      <c r="C1006" s="15" t="s">
        <v>135</v>
      </c>
      <c r="D1006" s="15" t="s">
        <v>148</v>
      </c>
      <c r="E1006" s="9" t="n">
        <f aca="false">SUMIFS(Data!$L$2:$L$1006,Data!$A$2:$A$1006,$A1006,Data!$B$2:$B$1006,$B1006)</f>
        <v>1179163</v>
      </c>
      <c r="F1006" s="10" t="n">
        <f aca="false">SUMIFS(Data!$E$2:$E$1006,Data!$A$2:$A$1006,$A1006,Data!$B$2:$B$1006,$B1006)</f>
        <v>108.179565</v>
      </c>
      <c r="G1006" s="10" t="n">
        <f aca="false">SUMIFS(Data!$F$2:$F$1006,Data!$A$2:$A$1006,$A1006,Data!$B$2:$B$1006,$B1006)</f>
        <v>133.107294</v>
      </c>
      <c r="H1006" s="10" t="n">
        <f aca="false">SUMIFS(Data!$G$2:$G$1006,Data!$A$2:$A$1006,$A1006,Data!$B$2:$B$1006,$B1006)</f>
        <v>192.508395</v>
      </c>
      <c r="I1006" s="10" t="n">
        <f aca="false">SUMIFS(Data!$N$2:$N$1006,Data!$A$2:$A$1006,$A1006,Data!$B$2:$B$1006,$B1006)</f>
        <v>433.795254</v>
      </c>
      <c r="J1006" s="10" t="n">
        <f aca="false">SUMIFS(Data!$H$2:$H$1006,Data!$A$2:$A$1006,$A1006,Data!$B$2:$B$1006,$B1006)</f>
        <v>513.66815</v>
      </c>
      <c r="K1006" s="11" t="n">
        <f aca="false">IFERROR(F1006*1000000/$E1006,"")</f>
        <v>91.7426725567203</v>
      </c>
      <c r="L1006" s="11" t="n">
        <f aca="false">IFERROR(G1006*1000000/$E1006,"")</f>
        <v>112.882861826567</v>
      </c>
      <c r="M1006" s="11" t="n">
        <f aca="false">IFERROR(H1006*1000000/$E1006,"")</f>
        <v>163.258510485828</v>
      </c>
      <c r="N1006" s="11" t="n">
        <f aca="false">IFERROR(I1006*1000000/$E1006,"")</f>
        <v>367.884044869115</v>
      </c>
      <c r="O1006" s="11" t="n">
        <f aca="false">IFERROR(J1006*1000000/$E1006,"")</f>
        <v>435.620987089995</v>
      </c>
      <c r="P1006" s="16" t="n">
        <f aca="false">COUNTIFS($A$4:$A$1008,$A1006,$N$4:$N$1008,"&gt;"&amp;N1006)+1</f>
        <v>27</v>
      </c>
      <c r="Q1006" s="16" t="n">
        <f aca="false">COUNTIFS($A$4:$A$1008,$A1006,$O$4:$O$1008,"&gt;"&amp;O1006)+1</f>
        <v>20</v>
      </c>
    </row>
    <row r="1007" customFormat="false" ht="15" hidden="false" customHeight="false" outlineLevel="0" collapsed="false">
      <c r="A1007" s="7" t="n">
        <v>2025</v>
      </c>
      <c r="B1007" s="15" t="s">
        <v>156</v>
      </c>
      <c r="C1007" s="15" t="s">
        <v>135</v>
      </c>
      <c r="D1007" s="15" t="s">
        <v>148</v>
      </c>
      <c r="E1007" s="9" t="n">
        <f aca="false">SUMIFS(Data!$L$2:$L$1006,Data!$A$2:$A$1006,$A1007,Data!$B$2:$B$1006,$B1007)</f>
        <v>502200</v>
      </c>
      <c r="F1007" s="10" t="n">
        <f aca="false">SUMIFS(Data!$E$2:$E$1006,Data!$A$2:$A$1006,$A1007,Data!$B$2:$B$1006,$B1007)</f>
        <v>23.444695</v>
      </c>
      <c r="G1007" s="10" t="n">
        <f aca="false">SUMIFS(Data!$F$2:$F$1006,Data!$A$2:$A$1006,$A1007,Data!$B$2:$B$1006,$B1007)</f>
        <v>42.377518</v>
      </c>
      <c r="H1007" s="10" t="n">
        <f aca="false">SUMIFS(Data!$G$2:$G$1006,Data!$A$2:$A$1006,$A1007,Data!$B$2:$B$1006,$B1007)</f>
        <v>96.331703</v>
      </c>
      <c r="I1007" s="10" t="n">
        <f aca="false">SUMIFS(Data!$N$2:$N$1006,Data!$A$2:$A$1006,$A1007,Data!$B$2:$B$1006,$B1007)</f>
        <v>162.153916</v>
      </c>
      <c r="J1007" s="10" t="n">
        <f aca="false">SUMIFS(Data!$H$2:$H$1006,Data!$A$2:$A$1006,$A1007,Data!$B$2:$B$1006,$B1007)</f>
        <v>289.71288</v>
      </c>
      <c r="K1007" s="11" t="n">
        <f aca="false">IFERROR(F1007*1000000/$E1007,"")</f>
        <v>46.6839804858622</v>
      </c>
      <c r="L1007" s="11" t="n">
        <f aca="false">IFERROR(G1007*1000000/$E1007,"")</f>
        <v>84.3837475109518</v>
      </c>
      <c r="M1007" s="11" t="n">
        <f aca="false">IFERROR(H1007*1000000/$E1007,"")</f>
        <v>191.819400637196</v>
      </c>
      <c r="N1007" s="11" t="n">
        <f aca="false">IFERROR(I1007*1000000/$E1007,"")</f>
        <v>322.88712863401</v>
      </c>
      <c r="O1007" s="11" t="n">
        <f aca="false">IFERROR(J1007*1000000/$E1007,"")</f>
        <v>576.887455197133</v>
      </c>
      <c r="P1007" s="16" t="n">
        <f aca="false">COUNTIFS($A$4:$A$1008,$A1007,$N$4:$N$1008,"&gt;"&amp;N1007)+1</f>
        <v>32</v>
      </c>
      <c r="Q1007" s="16" t="n">
        <f aca="false">COUNTIFS($A$4:$A$1008,$A1007,$O$4:$O$1008,"&gt;"&amp;O1007)+1</f>
        <v>13</v>
      </c>
    </row>
    <row r="1008" customFormat="false" ht="15" hidden="false" customHeight="false" outlineLevel="0" collapsed="false">
      <c r="A1008" s="7" t="n">
        <v>2025</v>
      </c>
      <c r="B1008" s="15" t="s">
        <v>157</v>
      </c>
      <c r="C1008" s="15" t="s">
        <v>135</v>
      </c>
      <c r="D1008" s="15" t="s">
        <v>148</v>
      </c>
      <c r="E1008" s="9" t="n">
        <f aca="false">SUMIFS(Data!$L$2:$L$1006,Data!$A$2:$A$1006,$A1008,Data!$B$2:$B$1006,$B1008)</f>
        <v>472199</v>
      </c>
      <c r="F1008" s="10" t="n">
        <f aca="false">SUMIFS(Data!$E$2:$E$1006,Data!$A$2:$A$1006,$A1008,Data!$B$2:$B$1006,$B1008)</f>
        <v>45.865031</v>
      </c>
      <c r="G1008" s="10" t="n">
        <f aca="false">SUMIFS(Data!$F$2:$F$1006,Data!$A$2:$A$1006,$A1008,Data!$B$2:$B$1006,$B1008)</f>
        <v>41.917457</v>
      </c>
      <c r="H1008" s="10" t="n">
        <f aca="false">SUMIFS(Data!$G$2:$G$1006,Data!$A$2:$A$1006,$A1008,Data!$B$2:$B$1006,$B1008)</f>
        <v>66.353524</v>
      </c>
      <c r="I1008" s="10" t="n">
        <f aca="false">SUMIFS(Data!$N$2:$N$1006,Data!$A$2:$A$1006,$A1008,Data!$B$2:$B$1006,$B1008)</f>
        <v>154.136012</v>
      </c>
      <c r="J1008" s="10" t="n">
        <f aca="false">SUMIFS(Data!$H$2:$H$1006,Data!$A$2:$A$1006,$A1008,Data!$B$2:$B$1006,$B1008)</f>
        <v>211.63783</v>
      </c>
      <c r="K1008" s="11" t="n">
        <f aca="false">IFERROR(F1008*1000000/$E1008,"")</f>
        <v>97.1307245462189</v>
      </c>
      <c r="L1008" s="11" t="n">
        <f aca="false">IFERROR(G1008*1000000/$E1008,"")</f>
        <v>88.7707449613405</v>
      </c>
      <c r="M1008" s="11" t="n">
        <f aca="false">IFERROR(H1008*1000000/$E1008,"")</f>
        <v>140.520255231375</v>
      </c>
      <c r="N1008" s="11" t="n">
        <f aca="false">IFERROR(I1008*1000000/$E1008,"")</f>
        <v>326.421724738934</v>
      </c>
      <c r="O1008" s="11" t="n">
        <f aca="false">IFERROR(J1008*1000000/$E1008,"")</f>
        <v>448.196268945932</v>
      </c>
      <c r="P1008" s="16" t="n">
        <f aca="false">COUNTIFS($A$4:$A$1008,$A1008,$N$4:$N$1008,"&gt;"&amp;N1008)+1</f>
        <v>31</v>
      </c>
      <c r="Q1008" s="16" t="n">
        <f aca="false">COUNTIFS($A$4:$A$1008,$A1008,$O$4:$O$1008,"&gt;"&amp;O1008)+1</f>
        <v>17</v>
      </c>
    </row>
    <row r="1009" customFormat="false" ht="15" hidden="false" customHeight="false" outlineLevel="0" collapsed="false">
      <c r="A1009" s="7" t="n">
        <v>2000</v>
      </c>
      <c r="B1009" s="15" t="s">
        <v>159</v>
      </c>
      <c r="C1009" s="15" t="s">
        <v>160</v>
      </c>
      <c r="D1009" s="15" t="s">
        <v>107</v>
      </c>
      <c r="E1009" s="9" t="n">
        <f aca="false">SUMIFS(Data!$L$2:$L$1006,Data!$A$2:$A$1006,$A1009,Data!$C$2:$C$1006,"FirstEnergy",Data!$D$2:$D$1006,"PA")</f>
        <v>1886549</v>
      </c>
      <c r="F1009" s="10" t="n">
        <f aca="false">SUMIFS(Data!$E$2:$E$1006,Data!$A$2:$A$1006,$A1009,Data!$C$2:$C$1006,"FirstEnergy",Data!$D$2:$D$1006,"PA")</f>
        <v>136.286404</v>
      </c>
      <c r="G1009" s="10" t="n">
        <f aca="false">SUMIFS(Data!$F$2:$F$1006,Data!$A$2:$A$1006,$A1009,Data!$C$2:$C$1006,"FirstEnergy",Data!$D$2:$D$1006,"PA")</f>
        <v>138.667672</v>
      </c>
      <c r="H1009" s="10" t="n">
        <f aca="false">SUMIFS(Data!$G$2:$G$1006,Data!$A$2:$A$1006,$A1009,Data!$C$2:$C$1006,"FirstEnergy",Data!$D$2:$D$1006,"PA")</f>
        <v>98.996495</v>
      </c>
      <c r="I1009" s="10" t="n">
        <f aca="false">SUMIFS(Data!$N$2:$N$1006,Data!$A$2:$A$1006,$A1009,Data!$C$2:$C$1006,"FirstEnergy",Data!$D$2:$D$1006,"PA")</f>
        <v>373.950571</v>
      </c>
      <c r="J1009" s="10" t="n">
        <f aca="false">SUMIFS(Data!$H$2:$H$1006,Data!$A$2:$A$1006,$A1009,Data!$C$2:$C$1006,"FirstEnergy",Data!$D$2:$D$1006,"PA")</f>
        <v>159.101298</v>
      </c>
      <c r="K1009" s="11" t="n">
        <f aca="false">IFERROR(F1009*1000000/$E1009,"")</f>
        <v>72.2411153911189</v>
      </c>
      <c r="L1009" s="11" t="n">
        <f aca="false">IFERROR(G1009*1000000/$E1009,"")</f>
        <v>73.5033502972889</v>
      </c>
      <c r="M1009" s="11" t="n">
        <f aca="false">IFERROR(H1009*1000000/$E1009,"")</f>
        <v>52.4749131880487</v>
      </c>
      <c r="N1009" s="11" t="n">
        <f aca="false">IFERROR(I1009*1000000/$E1009,"")</f>
        <v>198.219378876456</v>
      </c>
      <c r="O1009" s="11" t="n">
        <f aca="false">IFERROR(J1009*1000000/$E1009,"")</f>
        <v>84.3345696295193</v>
      </c>
    </row>
    <row r="1010" customFormat="false" ht="15" hidden="false" customHeight="false" outlineLevel="0" collapsed="false">
      <c r="A1010" s="7" t="n">
        <v>2001</v>
      </c>
      <c r="B1010" s="15" t="s">
        <v>159</v>
      </c>
      <c r="C1010" s="15" t="s">
        <v>160</v>
      </c>
      <c r="D1010" s="15" t="s">
        <v>107</v>
      </c>
      <c r="E1010" s="9" t="n">
        <f aca="false">SUMIFS(Data!$L$2:$L$1006,Data!$A$2:$A$1006,$A1010,Data!$C$2:$C$1006,"FirstEnergy",Data!$D$2:$D$1006,"PA")</f>
        <v>1915625</v>
      </c>
      <c r="F1010" s="10" t="n">
        <f aca="false">SUMIFS(Data!$E$2:$E$1006,Data!$A$2:$A$1006,$A1010,Data!$C$2:$C$1006,"FirstEnergy",Data!$D$2:$D$1006,"PA")</f>
        <v>143.754814</v>
      </c>
      <c r="G1010" s="10" t="n">
        <f aca="false">SUMIFS(Data!$F$2:$F$1006,Data!$A$2:$A$1006,$A1010,Data!$C$2:$C$1006,"FirstEnergy",Data!$D$2:$D$1006,"PA")</f>
        <v>128.666841</v>
      </c>
      <c r="H1010" s="10" t="n">
        <f aca="false">SUMIFS(Data!$G$2:$G$1006,Data!$A$2:$A$1006,$A1010,Data!$C$2:$C$1006,"FirstEnergy",Data!$D$2:$D$1006,"PA")</f>
        <v>103.347097</v>
      </c>
      <c r="I1010" s="10" t="n">
        <f aca="false">SUMIFS(Data!$N$2:$N$1006,Data!$A$2:$A$1006,$A1010,Data!$C$2:$C$1006,"FirstEnergy",Data!$D$2:$D$1006,"PA")</f>
        <v>375.768752</v>
      </c>
      <c r="J1010" s="10" t="n">
        <f aca="false">SUMIFS(Data!$H$2:$H$1006,Data!$A$2:$A$1006,$A1010,Data!$C$2:$C$1006,"FirstEnergy",Data!$D$2:$D$1006,"PA")</f>
        <v>150.191249</v>
      </c>
      <c r="K1010" s="11" t="n">
        <f aca="false">IFERROR(F1010*1000000/$E1010,"")</f>
        <v>75.0432960522023</v>
      </c>
      <c r="L1010" s="11" t="n">
        <f aca="false">IFERROR(G1010*1000000/$E1010,"")</f>
        <v>67.1670295595432</v>
      </c>
      <c r="M1010" s="11" t="n">
        <f aca="false">IFERROR(H1010*1000000/$E1010,"")</f>
        <v>53.9495449265905</v>
      </c>
      <c r="N1010" s="11" t="n">
        <f aca="false">IFERROR(I1010*1000000/$E1010,"")</f>
        <v>196.159870538336</v>
      </c>
      <c r="O1010" s="11" t="n">
        <f aca="false">IFERROR(J1010*1000000/$E1010,"")</f>
        <v>78.4032621207178</v>
      </c>
    </row>
    <row r="1011" customFormat="false" ht="15" hidden="false" customHeight="false" outlineLevel="0" collapsed="false">
      <c r="A1011" s="7" t="n">
        <v>2002</v>
      </c>
      <c r="B1011" s="15" t="s">
        <v>159</v>
      </c>
      <c r="C1011" s="15" t="s">
        <v>160</v>
      </c>
      <c r="D1011" s="15" t="s">
        <v>107</v>
      </c>
      <c r="E1011" s="9" t="n">
        <f aca="false">SUMIFS(Data!$L$2:$L$1006,Data!$A$2:$A$1006,$A1011,Data!$C$2:$C$1006,"FirstEnergy",Data!$D$2:$D$1006,"PA")</f>
        <v>1933299</v>
      </c>
      <c r="F1011" s="10" t="n">
        <f aca="false">SUMIFS(Data!$E$2:$E$1006,Data!$A$2:$A$1006,$A1011,Data!$C$2:$C$1006,"FirstEnergy",Data!$D$2:$D$1006,"PA")</f>
        <v>143.501406</v>
      </c>
      <c r="G1011" s="10" t="n">
        <f aca="false">SUMIFS(Data!$F$2:$F$1006,Data!$A$2:$A$1006,$A1011,Data!$C$2:$C$1006,"FirstEnergy",Data!$D$2:$D$1006,"PA")</f>
        <v>98.258285</v>
      </c>
      <c r="H1011" s="10" t="n">
        <f aca="false">SUMIFS(Data!$G$2:$G$1006,Data!$A$2:$A$1006,$A1011,Data!$C$2:$C$1006,"FirstEnergy",Data!$D$2:$D$1006,"PA")</f>
        <v>98.315198</v>
      </c>
      <c r="I1011" s="10" t="n">
        <f aca="false">SUMIFS(Data!$N$2:$N$1006,Data!$A$2:$A$1006,$A1011,Data!$C$2:$C$1006,"FirstEnergy",Data!$D$2:$D$1006,"PA")</f>
        <v>340.074889</v>
      </c>
      <c r="J1011" s="10" t="n">
        <f aca="false">SUMIFS(Data!$H$2:$H$1006,Data!$A$2:$A$1006,$A1011,Data!$C$2:$C$1006,"FirstEnergy",Data!$D$2:$D$1006,"PA")</f>
        <v>123.013607</v>
      </c>
      <c r="K1011" s="11" t="n">
        <f aca="false">IFERROR(F1011*1000000/$E1011,"")</f>
        <v>74.2261833270487</v>
      </c>
      <c r="L1011" s="11" t="n">
        <f aca="false">IFERROR(G1011*1000000/$E1011,"")</f>
        <v>50.8241534289316</v>
      </c>
      <c r="M1011" s="11" t="n">
        <f aca="false">IFERROR(H1011*1000000/$E1011,"")</f>
        <v>50.8535917103355</v>
      </c>
      <c r="N1011" s="11" t="n">
        <f aca="false">IFERROR(I1011*1000000/$E1011,"")</f>
        <v>175.903928466316</v>
      </c>
      <c r="O1011" s="11" t="n">
        <f aca="false">IFERROR(J1011*1000000/$E1011,"")</f>
        <v>63.6288577193699</v>
      </c>
    </row>
    <row r="1012" customFormat="false" ht="15" hidden="false" customHeight="false" outlineLevel="0" collapsed="false">
      <c r="A1012" s="7" t="n">
        <v>2003</v>
      </c>
      <c r="B1012" s="15" t="s">
        <v>159</v>
      </c>
      <c r="C1012" s="15" t="s">
        <v>160</v>
      </c>
      <c r="D1012" s="15" t="s">
        <v>107</v>
      </c>
      <c r="E1012" s="9" t="n">
        <f aca="false">SUMIFS(Data!$L$2:$L$1006,Data!$A$2:$A$1006,$A1012,Data!$C$2:$C$1006,"FirstEnergy",Data!$D$2:$D$1006,"PA")</f>
        <v>1947091</v>
      </c>
      <c r="F1012" s="10" t="n">
        <f aca="false">SUMIFS(Data!$E$2:$E$1006,Data!$A$2:$A$1006,$A1012,Data!$C$2:$C$1006,"FirstEnergy",Data!$D$2:$D$1006,"PA")</f>
        <v>169.431612</v>
      </c>
      <c r="G1012" s="10" t="n">
        <f aca="false">SUMIFS(Data!$F$2:$F$1006,Data!$A$2:$A$1006,$A1012,Data!$C$2:$C$1006,"FirstEnergy",Data!$D$2:$D$1006,"PA")</f>
        <v>115.042521</v>
      </c>
      <c r="H1012" s="10" t="n">
        <f aca="false">SUMIFS(Data!$G$2:$G$1006,Data!$A$2:$A$1006,$A1012,Data!$C$2:$C$1006,"FirstEnergy",Data!$D$2:$D$1006,"PA")</f>
        <v>95.47889</v>
      </c>
      <c r="I1012" s="10" t="n">
        <f aca="false">SUMIFS(Data!$N$2:$N$1006,Data!$A$2:$A$1006,$A1012,Data!$C$2:$C$1006,"FirstEnergy",Data!$D$2:$D$1006,"PA")</f>
        <v>379.953023</v>
      </c>
      <c r="J1012" s="10" t="n">
        <f aca="false">SUMIFS(Data!$H$2:$H$1006,Data!$A$2:$A$1006,$A1012,Data!$C$2:$C$1006,"FirstEnergy",Data!$D$2:$D$1006,"PA")</f>
        <v>126.963552</v>
      </c>
      <c r="K1012" s="11" t="n">
        <f aca="false">IFERROR(F1012*1000000/$E1012,"")</f>
        <v>87.0178188898208</v>
      </c>
      <c r="L1012" s="11" t="n">
        <f aca="false">IFERROR(G1012*1000000/$E1012,"")</f>
        <v>59.0843062804974</v>
      </c>
      <c r="M1012" s="11" t="n">
        <f aca="false">IFERROR(H1012*1000000/$E1012,"")</f>
        <v>49.036686010053</v>
      </c>
      <c r="N1012" s="11" t="n">
        <f aca="false">IFERROR(I1012*1000000/$E1012,"")</f>
        <v>195.138811180371</v>
      </c>
      <c r="O1012" s="11" t="n">
        <f aca="false">IFERROR(J1012*1000000/$E1012,"")</f>
        <v>65.2067889995897</v>
      </c>
    </row>
    <row r="1013" customFormat="false" ht="15" hidden="false" customHeight="false" outlineLevel="0" collapsed="false">
      <c r="A1013" s="7" t="n">
        <v>2004</v>
      </c>
      <c r="B1013" s="15" t="s">
        <v>159</v>
      </c>
      <c r="C1013" s="15" t="s">
        <v>160</v>
      </c>
      <c r="D1013" s="15" t="s">
        <v>107</v>
      </c>
      <c r="E1013" s="9" t="n">
        <f aca="false">SUMIFS(Data!$L$2:$L$1006,Data!$A$2:$A$1006,$A1013,Data!$C$2:$C$1006,"FirstEnergy",Data!$D$2:$D$1006,"PA")</f>
        <v>1960923</v>
      </c>
      <c r="F1013" s="10" t="n">
        <f aca="false">SUMIFS(Data!$E$2:$E$1006,Data!$A$2:$A$1006,$A1013,Data!$C$2:$C$1006,"FirstEnergy",Data!$D$2:$D$1006,"PA")</f>
        <v>144.499065</v>
      </c>
      <c r="G1013" s="10" t="n">
        <f aca="false">SUMIFS(Data!$F$2:$F$1006,Data!$A$2:$A$1006,$A1013,Data!$C$2:$C$1006,"FirstEnergy",Data!$D$2:$D$1006,"PA")</f>
        <v>93.946091</v>
      </c>
      <c r="H1013" s="10" t="n">
        <f aca="false">SUMIFS(Data!$G$2:$G$1006,Data!$A$2:$A$1006,$A1013,Data!$C$2:$C$1006,"FirstEnergy",Data!$D$2:$D$1006,"PA")</f>
        <v>98.449498</v>
      </c>
      <c r="I1013" s="10" t="n">
        <f aca="false">SUMIFS(Data!$N$2:$N$1006,Data!$A$2:$A$1006,$A1013,Data!$C$2:$C$1006,"FirstEnergy",Data!$D$2:$D$1006,"PA")</f>
        <v>336.894654</v>
      </c>
      <c r="J1013" s="10" t="n">
        <f aca="false">SUMIFS(Data!$H$2:$H$1006,Data!$A$2:$A$1006,$A1013,Data!$C$2:$C$1006,"FirstEnergy",Data!$D$2:$D$1006,"PA")</f>
        <v>162.111865</v>
      </c>
      <c r="K1013" s="11" t="n">
        <f aca="false">IFERROR(F1013*1000000/$E1013,"")</f>
        <v>73.6893111050255</v>
      </c>
      <c r="L1013" s="11" t="n">
        <f aca="false">IFERROR(G1013*1000000/$E1013,"")</f>
        <v>47.9091177980981</v>
      </c>
      <c r="M1013" s="11" t="n">
        <f aca="false">IFERROR(H1013*1000000/$E1013,"")</f>
        <v>50.205692931339</v>
      </c>
      <c r="N1013" s="11" t="n">
        <f aca="false">IFERROR(I1013*1000000/$E1013,"")</f>
        <v>171.804121834463</v>
      </c>
      <c r="O1013" s="11" t="n">
        <f aca="false">IFERROR(J1013*1000000/$E1013,"")</f>
        <v>82.6712038157541</v>
      </c>
    </row>
    <row r="1014" customFormat="false" ht="15" hidden="false" customHeight="false" outlineLevel="0" collapsed="false">
      <c r="A1014" s="7" t="n">
        <v>2005</v>
      </c>
      <c r="B1014" s="15" t="s">
        <v>159</v>
      </c>
      <c r="C1014" s="15" t="s">
        <v>160</v>
      </c>
      <c r="D1014" s="15" t="s">
        <v>107</v>
      </c>
      <c r="E1014" s="9" t="n">
        <f aca="false">SUMIFS(Data!$L$2:$L$1006,Data!$A$2:$A$1006,$A1014,Data!$C$2:$C$1006,"FirstEnergy",Data!$D$2:$D$1006,"PA")</f>
        <v>1977996</v>
      </c>
      <c r="F1014" s="10" t="n">
        <f aca="false">SUMIFS(Data!$E$2:$E$1006,Data!$A$2:$A$1006,$A1014,Data!$C$2:$C$1006,"FirstEnergy",Data!$D$2:$D$1006,"PA")</f>
        <v>139.525867</v>
      </c>
      <c r="G1014" s="10" t="n">
        <f aca="false">SUMIFS(Data!$F$2:$F$1006,Data!$A$2:$A$1006,$A1014,Data!$C$2:$C$1006,"FirstEnergy",Data!$D$2:$D$1006,"PA")</f>
        <v>108.667908</v>
      </c>
      <c r="H1014" s="10" t="n">
        <f aca="false">SUMIFS(Data!$G$2:$G$1006,Data!$A$2:$A$1006,$A1014,Data!$C$2:$C$1006,"FirstEnergy",Data!$D$2:$D$1006,"PA")</f>
        <v>103.051075</v>
      </c>
      <c r="I1014" s="10" t="n">
        <f aca="false">SUMIFS(Data!$N$2:$N$1006,Data!$A$2:$A$1006,$A1014,Data!$C$2:$C$1006,"FirstEnergy",Data!$D$2:$D$1006,"PA")</f>
        <v>351.24485</v>
      </c>
      <c r="J1014" s="10" t="n">
        <f aca="false">SUMIFS(Data!$H$2:$H$1006,Data!$A$2:$A$1006,$A1014,Data!$C$2:$C$1006,"FirstEnergy",Data!$D$2:$D$1006,"PA")</f>
        <v>234.180103</v>
      </c>
      <c r="K1014" s="11" t="n">
        <f aca="false">IFERROR(F1014*1000000/$E1014,"")</f>
        <v>70.5390036178031</v>
      </c>
      <c r="L1014" s="11" t="n">
        <f aca="false">IFERROR(G1014*1000000/$E1014,"")</f>
        <v>54.9383861241378</v>
      </c>
      <c r="M1014" s="11" t="n">
        <f aca="false">IFERROR(H1014*1000000/$E1014,"")</f>
        <v>52.0987277021794</v>
      </c>
      <c r="N1014" s="11" t="n">
        <f aca="false">IFERROR(I1014*1000000/$E1014,"")</f>
        <v>177.57611744412</v>
      </c>
      <c r="O1014" s="11" t="n">
        <f aca="false">IFERROR(J1014*1000000/$E1014,"")</f>
        <v>118.392606961794</v>
      </c>
    </row>
    <row r="1015" customFormat="false" ht="15" hidden="false" customHeight="false" outlineLevel="0" collapsed="false">
      <c r="A1015" s="7" t="n">
        <v>2006</v>
      </c>
      <c r="B1015" s="15" t="s">
        <v>159</v>
      </c>
      <c r="C1015" s="15" t="s">
        <v>160</v>
      </c>
      <c r="D1015" s="15" t="s">
        <v>107</v>
      </c>
      <c r="E1015" s="9" t="n">
        <f aca="false">SUMIFS(Data!$L$2:$L$1006,Data!$A$2:$A$1006,$A1015,Data!$C$2:$C$1006,"FirstEnergy",Data!$D$2:$D$1006,"PA")</f>
        <v>1992014</v>
      </c>
      <c r="F1015" s="10" t="n">
        <f aca="false">SUMIFS(Data!$E$2:$E$1006,Data!$A$2:$A$1006,$A1015,Data!$C$2:$C$1006,"FirstEnergy",Data!$D$2:$D$1006,"PA")</f>
        <v>148.308031</v>
      </c>
      <c r="G1015" s="10" t="n">
        <f aca="false">SUMIFS(Data!$F$2:$F$1006,Data!$A$2:$A$1006,$A1015,Data!$C$2:$C$1006,"FirstEnergy",Data!$D$2:$D$1006,"PA")</f>
        <v>104.366936</v>
      </c>
      <c r="H1015" s="10" t="n">
        <f aca="false">SUMIFS(Data!$G$2:$G$1006,Data!$A$2:$A$1006,$A1015,Data!$C$2:$C$1006,"FirstEnergy",Data!$D$2:$D$1006,"PA")</f>
        <v>104.452484</v>
      </c>
      <c r="I1015" s="10" t="n">
        <f aca="false">SUMIFS(Data!$N$2:$N$1006,Data!$A$2:$A$1006,$A1015,Data!$C$2:$C$1006,"FirstEnergy",Data!$D$2:$D$1006,"PA")</f>
        <v>357.127451</v>
      </c>
      <c r="J1015" s="10" t="n">
        <f aca="false">SUMIFS(Data!$H$2:$H$1006,Data!$A$2:$A$1006,$A1015,Data!$C$2:$C$1006,"FirstEnergy",Data!$D$2:$D$1006,"PA")</f>
        <v>229.511115</v>
      </c>
      <c r="K1015" s="11" t="n">
        <f aca="false">IFERROR(F1015*1000000/$E1015,"")</f>
        <v>74.4512995390595</v>
      </c>
      <c r="L1015" s="11" t="n">
        <f aca="false">IFERROR(G1015*1000000/$E1015,"")</f>
        <v>52.3926719390526</v>
      </c>
      <c r="M1015" s="11" t="n">
        <f aca="false">IFERROR(H1015*1000000/$E1015,"")</f>
        <v>52.4356174203595</v>
      </c>
      <c r="N1015" s="11" t="n">
        <f aca="false">IFERROR(I1015*1000000/$E1015,"")</f>
        <v>179.279588898472</v>
      </c>
      <c r="O1015" s="11" t="n">
        <f aca="false">IFERROR(J1015*1000000/$E1015,"")</f>
        <v>115.215613444484</v>
      </c>
    </row>
    <row r="1016" customFormat="false" ht="15" hidden="false" customHeight="false" outlineLevel="0" collapsed="false">
      <c r="A1016" s="7" t="n">
        <v>2007</v>
      </c>
      <c r="B1016" s="15" t="s">
        <v>159</v>
      </c>
      <c r="C1016" s="15" t="s">
        <v>160</v>
      </c>
      <c r="D1016" s="15" t="s">
        <v>107</v>
      </c>
      <c r="E1016" s="9" t="n">
        <f aca="false">SUMIFS(Data!$L$2:$L$1006,Data!$A$2:$A$1006,$A1016,Data!$C$2:$C$1006,"FirstEnergy",Data!$D$2:$D$1006,"PA")</f>
        <v>2002719</v>
      </c>
      <c r="F1016" s="10" t="n">
        <f aca="false">SUMIFS(Data!$E$2:$E$1006,Data!$A$2:$A$1006,$A1016,Data!$C$2:$C$1006,"FirstEnergy",Data!$D$2:$D$1006,"PA")</f>
        <v>165.606857</v>
      </c>
      <c r="G1016" s="10" t="n">
        <f aca="false">SUMIFS(Data!$F$2:$F$1006,Data!$A$2:$A$1006,$A1016,Data!$C$2:$C$1006,"FirstEnergy",Data!$D$2:$D$1006,"PA")</f>
        <v>123.97804</v>
      </c>
      <c r="H1016" s="10" t="n">
        <f aca="false">SUMIFS(Data!$G$2:$G$1006,Data!$A$2:$A$1006,$A1016,Data!$C$2:$C$1006,"FirstEnergy",Data!$D$2:$D$1006,"PA")</f>
        <v>108.062247</v>
      </c>
      <c r="I1016" s="10" t="n">
        <f aca="false">SUMIFS(Data!$N$2:$N$1006,Data!$A$2:$A$1006,$A1016,Data!$C$2:$C$1006,"FirstEnergy",Data!$D$2:$D$1006,"PA")</f>
        <v>397.647144</v>
      </c>
      <c r="J1016" s="10" t="n">
        <f aca="false">SUMIFS(Data!$H$2:$H$1006,Data!$A$2:$A$1006,$A1016,Data!$C$2:$C$1006,"FirstEnergy",Data!$D$2:$D$1006,"PA")</f>
        <v>228.708889</v>
      </c>
      <c r="K1016" s="11" t="n">
        <f aca="false">IFERROR(F1016*1000000/$E1016,"")</f>
        <v>82.6910100718074</v>
      </c>
      <c r="L1016" s="11" t="n">
        <f aca="false">IFERROR(G1016*1000000/$E1016,"")</f>
        <v>61.9048603423646</v>
      </c>
      <c r="M1016" s="11" t="n">
        <f aca="false">IFERROR(H1016*1000000/$E1016,"")</f>
        <v>53.9577679145202</v>
      </c>
      <c r="N1016" s="11" t="n">
        <f aca="false">IFERROR(I1016*1000000/$E1016,"")</f>
        <v>198.553638328692</v>
      </c>
      <c r="O1016" s="11" t="n">
        <f aca="false">IFERROR(J1016*1000000/$E1016,"")</f>
        <v>114.199190700243</v>
      </c>
    </row>
    <row r="1017" customFormat="false" ht="15" hidden="false" customHeight="false" outlineLevel="0" collapsed="false">
      <c r="A1017" s="7" t="n">
        <v>2008</v>
      </c>
      <c r="B1017" s="15" t="s">
        <v>159</v>
      </c>
      <c r="C1017" s="15" t="s">
        <v>160</v>
      </c>
      <c r="D1017" s="15" t="s">
        <v>107</v>
      </c>
      <c r="E1017" s="9" t="n">
        <f aca="false">SUMIFS(Data!$L$2:$L$1006,Data!$A$2:$A$1006,$A1017,Data!$C$2:$C$1006,"FirstEnergy",Data!$D$2:$D$1006,"PA")</f>
        <v>2009321</v>
      </c>
      <c r="F1017" s="10" t="n">
        <f aca="false">SUMIFS(Data!$E$2:$E$1006,Data!$A$2:$A$1006,$A1017,Data!$C$2:$C$1006,"FirstEnergy",Data!$D$2:$D$1006,"PA")</f>
        <v>159.761561</v>
      </c>
      <c r="G1017" s="10" t="n">
        <f aca="false">SUMIFS(Data!$F$2:$F$1006,Data!$A$2:$A$1006,$A1017,Data!$C$2:$C$1006,"FirstEnergy",Data!$D$2:$D$1006,"PA")</f>
        <v>142.910081</v>
      </c>
      <c r="H1017" s="10" t="n">
        <f aca="false">SUMIFS(Data!$G$2:$G$1006,Data!$A$2:$A$1006,$A1017,Data!$C$2:$C$1006,"FirstEnergy",Data!$D$2:$D$1006,"PA")</f>
        <v>113.016421</v>
      </c>
      <c r="I1017" s="10" t="n">
        <f aca="false">SUMIFS(Data!$N$2:$N$1006,Data!$A$2:$A$1006,$A1017,Data!$C$2:$C$1006,"FirstEnergy",Data!$D$2:$D$1006,"PA")</f>
        <v>415.688063</v>
      </c>
      <c r="J1017" s="10" t="n">
        <f aca="false">SUMIFS(Data!$H$2:$H$1006,Data!$A$2:$A$1006,$A1017,Data!$C$2:$C$1006,"FirstEnergy",Data!$D$2:$D$1006,"PA")</f>
        <v>271.13405</v>
      </c>
      <c r="K1017" s="11" t="n">
        <f aca="false">IFERROR(F1017*1000000/$E1017,"")</f>
        <v>79.5102231052181</v>
      </c>
      <c r="L1017" s="11" t="n">
        <f aca="false">IFERROR(G1017*1000000/$E1017,"")</f>
        <v>71.1235691061806</v>
      </c>
      <c r="M1017" s="11" t="n">
        <f aca="false">IFERROR(H1017*1000000/$E1017,"")</f>
        <v>56.2460756643662</v>
      </c>
      <c r="N1017" s="11" t="n">
        <f aca="false">IFERROR(I1017*1000000/$E1017,"")</f>
        <v>206.879867875765</v>
      </c>
      <c r="O1017" s="11" t="n">
        <f aca="false">IFERROR(J1017*1000000/$E1017,"")</f>
        <v>134.938145771631</v>
      </c>
    </row>
    <row r="1018" customFormat="false" ht="15" hidden="false" customHeight="false" outlineLevel="0" collapsed="false">
      <c r="A1018" s="7" t="n">
        <v>2009</v>
      </c>
      <c r="B1018" s="15" t="s">
        <v>159</v>
      </c>
      <c r="C1018" s="15" t="s">
        <v>160</v>
      </c>
      <c r="D1018" s="15" t="s">
        <v>107</v>
      </c>
      <c r="E1018" s="9" t="n">
        <f aca="false">SUMIFS(Data!$L$2:$L$1006,Data!$A$2:$A$1006,$A1018,Data!$C$2:$C$1006,"FirstEnergy",Data!$D$2:$D$1006,"PA")</f>
        <v>2013543</v>
      </c>
      <c r="F1018" s="10" t="n">
        <f aca="false">SUMIFS(Data!$E$2:$E$1006,Data!$A$2:$A$1006,$A1018,Data!$C$2:$C$1006,"FirstEnergy",Data!$D$2:$D$1006,"PA")</f>
        <v>123.789397</v>
      </c>
      <c r="G1018" s="10" t="n">
        <f aca="false">SUMIFS(Data!$F$2:$F$1006,Data!$A$2:$A$1006,$A1018,Data!$C$2:$C$1006,"FirstEnergy",Data!$D$2:$D$1006,"PA")</f>
        <v>151.343814</v>
      </c>
      <c r="H1018" s="10" t="n">
        <f aca="false">SUMIFS(Data!$G$2:$G$1006,Data!$A$2:$A$1006,$A1018,Data!$C$2:$C$1006,"FirstEnergy",Data!$D$2:$D$1006,"PA")</f>
        <v>119.786396</v>
      </c>
      <c r="I1018" s="10" t="n">
        <f aca="false">SUMIFS(Data!$N$2:$N$1006,Data!$A$2:$A$1006,$A1018,Data!$C$2:$C$1006,"FirstEnergy",Data!$D$2:$D$1006,"PA")</f>
        <v>394.919607</v>
      </c>
      <c r="J1018" s="10" t="n">
        <f aca="false">SUMIFS(Data!$H$2:$H$1006,Data!$A$2:$A$1006,$A1018,Data!$C$2:$C$1006,"FirstEnergy",Data!$D$2:$D$1006,"PA")</f>
        <v>279.776991</v>
      </c>
      <c r="K1018" s="11" t="n">
        <f aca="false">IFERROR(F1018*1000000/$E1018,"")</f>
        <v>61.478397531118</v>
      </c>
      <c r="L1018" s="11" t="n">
        <f aca="false">IFERROR(G1018*1000000/$E1018,"")</f>
        <v>75.1629411440431</v>
      </c>
      <c r="M1018" s="11" t="n">
        <f aca="false">IFERROR(H1018*1000000/$E1018,"")</f>
        <v>59.4903590338026</v>
      </c>
      <c r="N1018" s="11" t="n">
        <f aca="false">IFERROR(I1018*1000000/$E1018,"")</f>
        <v>196.131697708964</v>
      </c>
      <c r="O1018" s="11" t="n">
        <f aca="false">IFERROR(J1018*1000000/$E1018,"")</f>
        <v>138.947611747055</v>
      </c>
    </row>
    <row r="1019" customFormat="false" ht="15" hidden="false" customHeight="false" outlineLevel="0" collapsed="false">
      <c r="A1019" s="7" t="n">
        <v>2010</v>
      </c>
      <c r="B1019" s="15" t="s">
        <v>159</v>
      </c>
      <c r="C1019" s="15" t="s">
        <v>160</v>
      </c>
      <c r="D1019" s="15" t="s">
        <v>107</v>
      </c>
      <c r="E1019" s="9" t="n">
        <f aca="false">SUMIFS(Data!$L$2:$L$1006,Data!$A$2:$A$1006,$A1019,Data!$C$2:$C$1006,"FirstEnergy",Data!$D$2:$D$1006,"PA")</f>
        <v>2017622</v>
      </c>
      <c r="F1019" s="10" t="n">
        <f aca="false">SUMIFS(Data!$E$2:$E$1006,Data!$A$2:$A$1006,$A1019,Data!$C$2:$C$1006,"FirstEnergy",Data!$D$2:$D$1006,"PA")</f>
        <v>135.475107</v>
      </c>
      <c r="G1019" s="10" t="n">
        <f aca="false">SUMIFS(Data!$F$2:$F$1006,Data!$A$2:$A$1006,$A1019,Data!$C$2:$C$1006,"FirstEnergy",Data!$D$2:$D$1006,"PA")</f>
        <v>173.502179</v>
      </c>
      <c r="H1019" s="10" t="n">
        <f aca="false">SUMIFS(Data!$G$2:$G$1006,Data!$A$2:$A$1006,$A1019,Data!$C$2:$C$1006,"FirstEnergy",Data!$D$2:$D$1006,"PA")</f>
        <v>122.719344</v>
      </c>
      <c r="I1019" s="10" t="n">
        <f aca="false">SUMIFS(Data!$N$2:$N$1006,Data!$A$2:$A$1006,$A1019,Data!$C$2:$C$1006,"FirstEnergy",Data!$D$2:$D$1006,"PA")</f>
        <v>431.69663</v>
      </c>
      <c r="J1019" s="10" t="n">
        <f aca="false">SUMIFS(Data!$H$2:$H$1006,Data!$A$2:$A$1006,$A1019,Data!$C$2:$C$1006,"FirstEnergy",Data!$D$2:$D$1006,"PA")</f>
        <v>257.013085</v>
      </c>
      <c r="K1019" s="11" t="n">
        <f aca="false">IFERROR(F1019*1000000/$E1019,"")</f>
        <v>67.1459307045621</v>
      </c>
      <c r="L1019" s="11" t="n">
        <f aca="false">IFERROR(G1019*1000000/$E1019,"")</f>
        <v>85.9934016381661</v>
      </c>
      <c r="M1019" s="11" t="n">
        <f aca="false">IFERROR(H1019*1000000/$E1019,"")</f>
        <v>60.8237539043488</v>
      </c>
      <c r="N1019" s="11" t="n">
        <f aca="false">IFERROR(I1019*1000000/$E1019,"")</f>
        <v>213.963086247077</v>
      </c>
      <c r="O1019" s="11" t="n">
        <f aca="false">IFERROR(J1019*1000000/$E1019,"")</f>
        <v>127.384160660421</v>
      </c>
    </row>
    <row r="1020" customFormat="false" ht="15" hidden="false" customHeight="false" outlineLevel="0" collapsed="false">
      <c r="A1020" s="7" t="n">
        <v>2011</v>
      </c>
      <c r="B1020" s="15" t="s">
        <v>159</v>
      </c>
      <c r="C1020" s="15" t="s">
        <v>160</v>
      </c>
      <c r="D1020" s="15" t="s">
        <v>107</v>
      </c>
      <c r="E1020" s="9" t="n">
        <f aca="false">SUMIFS(Data!$L$2:$L$1006,Data!$A$2:$A$1006,$A1020,Data!$C$2:$C$1006,"FirstEnergy",Data!$D$2:$D$1006,"PA")</f>
        <v>2019801</v>
      </c>
      <c r="F1020" s="10" t="n">
        <f aca="false">SUMIFS(Data!$E$2:$E$1006,Data!$A$2:$A$1006,$A1020,Data!$C$2:$C$1006,"FirstEnergy",Data!$D$2:$D$1006,"PA")</f>
        <v>130.940649</v>
      </c>
      <c r="G1020" s="10" t="n">
        <f aca="false">SUMIFS(Data!$F$2:$F$1006,Data!$A$2:$A$1006,$A1020,Data!$C$2:$C$1006,"FirstEnergy",Data!$D$2:$D$1006,"PA")</f>
        <v>223.65094</v>
      </c>
      <c r="H1020" s="10" t="n">
        <f aca="false">SUMIFS(Data!$G$2:$G$1006,Data!$A$2:$A$1006,$A1020,Data!$C$2:$C$1006,"FirstEnergy",Data!$D$2:$D$1006,"PA")</f>
        <v>147.108648</v>
      </c>
      <c r="I1020" s="10" t="n">
        <f aca="false">SUMIFS(Data!$N$2:$N$1006,Data!$A$2:$A$1006,$A1020,Data!$C$2:$C$1006,"FirstEnergy",Data!$D$2:$D$1006,"PA")</f>
        <v>501.700237</v>
      </c>
      <c r="J1020" s="10" t="n">
        <f aca="false">SUMIFS(Data!$H$2:$H$1006,Data!$A$2:$A$1006,$A1020,Data!$C$2:$C$1006,"FirstEnergy",Data!$D$2:$D$1006,"PA")</f>
        <v>264.427838</v>
      </c>
      <c r="K1020" s="11" t="n">
        <f aca="false">IFERROR(F1020*1000000/$E1020,"")</f>
        <v>64.8284900344143</v>
      </c>
      <c r="L1020" s="11" t="n">
        <f aca="false">IFERROR(G1020*1000000/$E1020,"")</f>
        <v>110.729195598972</v>
      </c>
      <c r="M1020" s="11" t="n">
        <f aca="false">IFERROR(H1020*1000000/$E1020,"")</f>
        <v>72.8332385220128</v>
      </c>
      <c r="N1020" s="11" t="n">
        <f aca="false">IFERROR(I1020*1000000/$E1020,"")</f>
        <v>248.390924155399</v>
      </c>
      <c r="O1020" s="11" t="n">
        <f aca="false">IFERROR(J1020*1000000/$E1020,"")</f>
        <v>130.917767641466</v>
      </c>
    </row>
    <row r="1021" customFormat="false" ht="15" hidden="false" customHeight="false" outlineLevel="0" collapsed="false">
      <c r="A1021" s="7" t="n">
        <v>2012</v>
      </c>
      <c r="B1021" s="15" t="s">
        <v>159</v>
      </c>
      <c r="C1021" s="15" t="s">
        <v>160</v>
      </c>
      <c r="D1021" s="15" t="s">
        <v>107</v>
      </c>
      <c r="E1021" s="9" t="n">
        <f aca="false">SUMIFS(Data!$L$2:$L$1006,Data!$A$2:$A$1006,$A1021,Data!$C$2:$C$1006,"FirstEnergy",Data!$D$2:$D$1006,"PA")</f>
        <v>2020590</v>
      </c>
      <c r="F1021" s="10" t="n">
        <f aca="false">SUMIFS(Data!$E$2:$E$1006,Data!$A$2:$A$1006,$A1021,Data!$C$2:$C$1006,"FirstEnergy",Data!$D$2:$D$1006,"PA")</f>
        <v>131.957847</v>
      </c>
      <c r="G1021" s="10" t="n">
        <f aca="false">SUMIFS(Data!$F$2:$F$1006,Data!$A$2:$A$1006,$A1021,Data!$C$2:$C$1006,"FirstEnergy",Data!$D$2:$D$1006,"PA")</f>
        <v>221.078221</v>
      </c>
      <c r="H1021" s="10" t="n">
        <f aca="false">SUMIFS(Data!$G$2:$G$1006,Data!$A$2:$A$1006,$A1021,Data!$C$2:$C$1006,"FirstEnergy",Data!$D$2:$D$1006,"PA")</f>
        <v>155.660499</v>
      </c>
      <c r="I1021" s="10" t="n">
        <f aca="false">SUMIFS(Data!$N$2:$N$1006,Data!$A$2:$A$1006,$A1021,Data!$C$2:$C$1006,"FirstEnergy",Data!$D$2:$D$1006,"PA")</f>
        <v>508.696567</v>
      </c>
      <c r="J1021" s="10" t="n">
        <f aca="false">SUMIFS(Data!$H$2:$H$1006,Data!$A$2:$A$1006,$A1021,Data!$C$2:$C$1006,"FirstEnergy",Data!$D$2:$D$1006,"PA")</f>
        <v>387.204503</v>
      </c>
      <c r="K1021" s="11" t="n">
        <f aca="false">IFERROR(F1021*1000000/$E1021,"")</f>
        <v>65.3065921339807</v>
      </c>
      <c r="L1021" s="11" t="n">
        <f aca="false">IFERROR(G1021*1000000/$E1021,"")</f>
        <v>109.412706684681</v>
      </c>
      <c r="M1021" s="11" t="n">
        <f aca="false">IFERROR(H1021*1000000/$E1021,"")</f>
        <v>77.0371520199546</v>
      </c>
      <c r="N1021" s="11" t="n">
        <f aca="false">IFERROR(I1021*1000000/$E1021,"")</f>
        <v>251.756450838616</v>
      </c>
      <c r="O1021" s="11" t="n">
        <f aca="false">IFERROR(J1021*1000000/$E1021,"")</f>
        <v>191.62942655363</v>
      </c>
    </row>
    <row r="1022" customFormat="false" ht="15" hidden="false" customHeight="false" outlineLevel="0" collapsed="false">
      <c r="A1022" s="7" t="n">
        <v>2013</v>
      </c>
      <c r="B1022" s="15" t="s">
        <v>159</v>
      </c>
      <c r="C1022" s="15" t="s">
        <v>160</v>
      </c>
      <c r="D1022" s="15" t="s">
        <v>107</v>
      </c>
      <c r="E1022" s="9" t="n">
        <f aca="false">SUMIFS(Data!$L$2:$L$1006,Data!$A$2:$A$1006,$A1022,Data!$C$2:$C$1006,"FirstEnergy",Data!$D$2:$D$1006,"PA")</f>
        <v>2023307</v>
      </c>
      <c r="F1022" s="10" t="n">
        <f aca="false">SUMIFS(Data!$E$2:$E$1006,Data!$A$2:$A$1006,$A1022,Data!$C$2:$C$1006,"FirstEnergy",Data!$D$2:$D$1006,"PA")</f>
        <v>129.635103</v>
      </c>
      <c r="G1022" s="10" t="n">
        <f aca="false">SUMIFS(Data!$F$2:$F$1006,Data!$A$2:$A$1006,$A1022,Data!$C$2:$C$1006,"FirstEnergy",Data!$D$2:$D$1006,"PA")</f>
        <v>199.921153</v>
      </c>
      <c r="H1022" s="10" t="n">
        <f aca="false">SUMIFS(Data!$G$2:$G$1006,Data!$A$2:$A$1006,$A1022,Data!$C$2:$C$1006,"FirstEnergy",Data!$D$2:$D$1006,"PA")</f>
        <v>134.155905</v>
      </c>
      <c r="I1022" s="10" t="n">
        <f aca="false">SUMIFS(Data!$N$2:$N$1006,Data!$A$2:$A$1006,$A1022,Data!$C$2:$C$1006,"FirstEnergy",Data!$D$2:$D$1006,"PA")</f>
        <v>463.712161</v>
      </c>
      <c r="J1022" s="10" t="n">
        <f aca="false">SUMIFS(Data!$H$2:$H$1006,Data!$A$2:$A$1006,$A1022,Data!$C$2:$C$1006,"FirstEnergy",Data!$D$2:$D$1006,"PA")</f>
        <v>295.251644</v>
      </c>
      <c r="K1022" s="11" t="n">
        <f aca="false">IFERROR(F1022*1000000/$E1022,"")</f>
        <v>64.0709012522568</v>
      </c>
      <c r="L1022" s="11" t="n">
        <f aca="false">IFERROR(G1022*1000000/$E1022,"")</f>
        <v>98.8091045995492</v>
      </c>
      <c r="M1022" s="11" t="n">
        <f aca="false">IFERROR(H1022*1000000/$E1022,"")</f>
        <v>66.3052641047552</v>
      </c>
      <c r="N1022" s="11" t="n">
        <f aca="false">IFERROR(I1022*1000000/$E1022,"")</f>
        <v>229.185269956561</v>
      </c>
      <c r="O1022" s="11" t="n">
        <f aca="false">IFERROR(J1022*1000000/$E1022,"")</f>
        <v>145.925281729367</v>
      </c>
    </row>
    <row r="1023" customFormat="false" ht="15" hidden="false" customHeight="false" outlineLevel="0" collapsed="false">
      <c r="A1023" s="7" t="n">
        <v>2014</v>
      </c>
      <c r="B1023" s="15" t="s">
        <v>159</v>
      </c>
      <c r="C1023" s="15" t="s">
        <v>160</v>
      </c>
      <c r="D1023" s="15" t="s">
        <v>107</v>
      </c>
      <c r="E1023" s="9" t="n">
        <f aca="false">SUMIFS(Data!$L$2:$L$1006,Data!$A$2:$A$1006,$A1023,Data!$C$2:$C$1006,"FirstEnergy",Data!$D$2:$D$1006,"PA")</f>
        <v>2027271</v>
      </c>
      <c r="F1023" s="10" t="n">
        <f aca="false">SUMIFS(Data!$E$2:$E$1006,Data!$A$2:$A$1006,$A1023,Data!$C$2:$C$1006,"FirstEnergy",Data!$D$2:$D$1006,"PA")</f>
        <v>144.295622</v>
      </c>
      <c r="G1023" s="10" t="n">
        <f aca="false">SUMIFS(Data!$F$2:$F$1006,Data!$A$2:$A$1006,$A1023,Data!$C$2:$C$1006,"FirstEnergy",Data!$D$2:$D$1006,"PA")</f>
        <v>186.033903</v>
      </c>
      <c r="H1023" s="10" t="n">
        <f aca="false">SUMIFS(Data!$G$2:$G$1006,Data!$A$2:$A$1006,$A1023,Data!$C$2:$C$1006,"FirstEnergy",Data!$D$2:$D$1006,"PA")</f>
        <v>167.001616</v>
      </c>
      <c r="I1023" s="10" t="n">
        <f aca="false">SUMIFS(Data!$N$2:$N$1006,Data!$A$2:$A$1006,$A1023,Data!$C$2:$C$1006,"FirstEnergy",Data!$D$2:$D$1006,"PA")</f>
        <v>497.331141</v>
      </c>
      <c r="J1023" s="10" t="n">
        <f aca="false">SUMIFS(Data!$H$2:$H$1006,Data!$A$2:$A$1006,$A1023,Data!$C$2:$C$1006,"FirstEnergy",Data!$D$2:$D$1006,"PA")</f>
        <v>321.335267</v>
      </c>
      <c r="K1023" s="11" t="n">
        <f aca="false">IFERROR(F1023*1000000/$E1023,"")</f>
        <v>71.1772732900535</v>
      </c>
      <c r="L1023" s="11" t="n">
        <f aca="false">IFERROR(G1023*1000000/$E1023,"")</f>
        <v>91.7656805626875</v>
      </c>
      <c r="M1023" s="11" t="n">
        <f aca="false">IFERROR(H1023*1000000/$E1023,"")</f>
        <v>82.3775489315439</v>
      </c>
      <c r="N1023" s="11" t="n">
        <f aca="false">IFERROR(I1023*1000000/$E1023,"")</f>
        <v>245.320502784285</v>
      </c>
      <c r="O1023" s="11" t="n">
        <f aca="false">IFERROR(J1023*1000000/$E1023,"")</f>
        <v>158.506320565923</v>
      </c>
    </row>
    <row r="1024" customFormat="false" ht="15" hidden="false" customHeight="false" outlineLevel="0" collapsed="false">
      <c r="A1024" s="7" t="n">
        <v>2015</v>
      </c>
      <c r="B1024" s="15" t="s">
        <v>159</v>
      </c>
      <c r="C1024" s="15" t="s">
        <v>160</v>
      </c>
      <c r="D1024" s="15" t="s">
        <v>107</v>
      </c>
      <c r="E1024" s="9" t="n">
        <f aca="false">SUMIFS(Data!$L$2:$L$1006,Data!$A$2:$A$1006,$A1024,Data!$C$2:$C$1006,"FirstEnergy",Data!$D$2:$D$1006,"PA")</f>
        <v>2031901</v>
      </c>
      <c r="F1024" s="10" t="n">
        <f aca="false">SUMIFS(Data!$E$2:$E$1006,Data!$A$2:$A$1006,$A1024,Data!$C$2:$C$1006,"FirstEnergy",Data!$D$2:$D$1006,"PA")</f>
        <v>150.382077</v>
      </c>
      <c r="G1024" s="10" t="n">
        <f aca="false">SUMIFS(Data!$F$2:$F$1006,Data!$A$2:$A$1006,$A1024,Data!$C$2:$C$1006,"FirstEnergy",Data!$D$2:$D$1006,"PA")</f>
        <v>202.577283</v>
      </c>
      <c r="H1024" s="10" t="n">
        <f aca="false">SUMIFS(Data!$G$2:$G$1006,Data!$A$2:$A$1006,$A1024,Data!$C$2:$C$1006,"FirstEnergy",Data!$D$2:$D$1006,"PA")</f>
        <v>168.02692</v>
      </c>
      <c r="I1024" s="10" t="n">
        <f aca="false">SUMIFS(Data!$N$2:$N$1006,Data!$A$2:$A$1006,$A1024,Data!$C$2:$C$1006,"FirstEnergy",Data!$D$2:$D$1006,"PA")</f>
        <v>520.98628</v>
      </c>
      <c r="J1024" s="10" t="n">
        <f aca="false">SUMIFS(Data!$H$2:$H$1006,Data!$A$2:$A$1006,$A1024,Data!$C$2:$C$1006,"FirstEnergy",Data!$D$2:$D$1006,"PA")</f>
        <v>328.894736</v>
      </c>
      <c r="K1024" s="11" t="n">
        <f aca="false">IFERROR(F1024*1000000/$E1024,"")</f>
        <v>74.0105334856373</v>
      </c>
      <c r="L1024" s="11" t="n">
        <f aca="false">IFERROR(G1024*1000000/$E1024,"")</f>
        <v>99.6984021367183</v>
      </c>
      <c r="M1024" s="11" t="n">
        <f aca="false">IFERROR(H1024*1000000/$E1024,"")</f>
        <v>82.6944422981238</v>
      </c>
      <c r="N1024" s="11" t="n">
        <f aca="false">IFERROR(I1024*1000000/$E1024,"")</f>
        <v>256.403377920479</v>
      </c>
      <c r="O1024" s="11" t="n">
        <f aca="false">IFERROR(J1024*1000000/$E1024,"")</f>
        <v>161.865531834474</v>
      </c>
    </row>
    <row r="1025" customFormat="false" ht="15" hidden="false" customHeight="false" outlineLevel="0" collapsed="false">
      <c r="A1025" s="7" t="n">
        <v>2016</v>
      </c>
      <c r="B1025" s="15" t="s">
        <v>159</v>
      </c>
      <c r="C1025" s="15" t="s">
        <v>160</v>
      </c>
      <c r="D1025" s="15" t="s">
        <v>107</v>
      </c>
      <c r="E1025" s="9" t="n">
        <f aca="false">SUMIFS(Data!$L$2:$L$1006,Data!$A$2:$A$1006,$A1025,Data!$C$2:$C$1006,"FirstEnergy",Data!$D$2:$D$1006,"PA")</f>
        <v>2037738</v>
      </c>
      <c r="F1025" s="10" t="n">
        <f aca="false">SUMIFS(Data!$E$2:$E$1006,Data!$A$2:$A$1006,$A1025,Data!$C$2:$C$1006,"FirstEnergy",Data!$D$2:$D$1006,"PA")</f>
        <v>150.821642</v>
      </c>
      <c r="G1025" s="10" t="n">
        <f aca="false">SUMIFS(Data!$F$2:$F$1006,Data!$A$2:$A$1006,$A1025,Data!$C$2:$C$1006,"FirstEnergy",Data!$D$2:$D$1006,"PA")</f>
        <v>208.867204</v>
      </c>
      <c r="H1025" s="10" t="n">
        <f aca="false">SUMIFS(Data!$G$2:$G$1006,Data!$A$2:$A$1006,$A1025,Data!$C$2:$C$1006,"FirstEnergy",Data!$D$2:$D$1006,"PA")</f>
        <v>160.240636</v>
      </c>
      <c r="I1025" s="10" t="n">
        <f aca="false">SUMIFS(Data!$N$2:$N$1006,Data!$A$2:$A$1006,$A1025,Data!$C$2:$C$1006,"FirstEnergy",Data!$D$2:$D$1006,"PA")</f>
        <v>519.929482</v>
      </c>
      <c r="J1025" s="10" t="n">
        <f aca="false">SUMIFS(Data!$H$2:$H$1006,Data!$A$2:$A$1006,$A1025,Data!$C$2:$C$1006,"FirstEnergy",Data!$D$2:$D$1006,"PA")</f>
        <v>416.094915</v>
      </c>
      <c r="K1025" s="11" t="n">
        <f aca="false">IFERROR(F1025*1000000/$E1025,"")</f>
        <v>74.0142461886661</v>
      </c>
      <c r="L1025" s="11" t="n">
        <f aca="false">IFERROR(G1025*1000000/$E1025,"")</f>
        <v>102.49953821345</v>
      </c>
      <c r="M1025" s="11" t="n">
        <f aca="false">IFERROR(H1025*1000000/$E1025,"")</f>
        <v>78.6365254021862</v>
      </c>
      <c r="N1025" s="11" t="n">
        <f aca="false">IFERROR(I1025*1000000/$E1025,"")</f>
        <v>255.150309804303</v>
      </c>
      <c r="O1025" s="11" t="n">
        <f aca="false">IFERROR(J1025*1000000/$E1025,"")</f>
        <v>204.194511266905</v>
      </c>
    </row>
    <row r="1026" customFormat="false" ht="15" hidden="false" customHeight="false" outlineLevel="0" collapsed="false">
      <c r="A1026" s="7" t="n">
        <v>2017</v>
      </c>
      <c r="B1026" s="15" t="s">
        <v>159</v>
      </c>
      <c r="C1026" s="15" t="s">
        <v>160</v>
      </c>
      <c r="D1026" s="15" t="s">
        <v>107</v>
      </c>
      <c r="E1026" s="9" t="n">
        <f aca="false">SUMIFS(Data!$L$2:$L$1006,Data!$A$2:$A$1006,$A1026,Data!$C$2:$C$1006,"FirstEnergy",Data!$D$2:$D$1006,"PA")</f>
        <v>2043398</v>
      </c>
      <c r="F1026" s="10" t="n">
        <f aca="false">SUMIFS(Data!$E$2:$E$1006,Data!$A$2:$A$1006,$A1026,Data!$C$2:$C$1006,"FirstEnergy",Data!$D$2:$D$1006,"PA")</f>
        <v>200.255939</v>
      </c>
      <c r="G1026" s="10" t="n">
        <f aca="false">SUMIFS(Data!$F$2:$F$1006,Data!$A$2:$A$1006,$A1026,Data!$C$2:$C$1006,"FirstEnergy",Data!$D$2:$D$1006,"PA")</f>
        <v>210.125948</v>
      </c>
      <c r="H1026" s="10" t="n">
        <f aca="false">SUMIFS(Data!$G$2:$G$1006,Data!$A$2:$A$1006,$A1026,Data!$C$2:$C$1006,"FirstEnergy",Data!$D$2:$D$1006,"PA")</f>
        <v>164.602878</v>
      </c>
      <c r="I1026" s="10" t="n">
        <f aca="false">SUMIFS(Data!$N$2:$N$1006,Data!$A$2:$A$1006,$A1026,Data!$C$2:$C$1006,"FirstEnergy",Data!$D$2:$D$1006,"PA")</f>
        <v>574.984765</v>
      </c>
      <c r="J1026" s="10" t="n">
        <f aca="false">SUMIFS(Data!$H$2:$H$1006,Data!$A$2:$A$1006,$A1026,Data!$C$2:$C$1006,"FirstEnergy",Data!$D$2:$D$1006,"PA")</f>
        <v>424.773451</v>
      </c>
      <c r="K1026" s="11" t="n">
        <f aca="false">IFERROR(F1026*1000000/$E1026,"")</f>
        <v>98.00143633301</v>
      </c>
      <c r="L1026" s="11" t="n">
        <f aca="false">IFERROR(G1026*1000000/$E1026,"")</f>
        <v>102.831630450847</v>
      </c>
      <c r="M1026" s="11" t="n">
        <f aca="false">IFERROR(H1026*1000000/$E1026,"")</f>
        <v>80.5535084207776</v>
      </c>
      <c r="N1026" s="11" t="n">
        <f aca="false">IFERROR(I1026*1000000/$E1026,"")</f>
        <v>281.386575204635</v>
      </c>
      <c r="O1026" s="11" t="n">
        <f aca="false">IFERROR(J1026*1000000/$E1026,"")</f>
        <v>207.876023662546</v>
      </c>
    </row>
    <row r="1027" customFormat="false" ht="15" hidden="false" customHeight="false" outlineLevel="0" collapsed="false">
      <c r="A1027" s="7" t="n">
        <v>2018</v>
      </c>
      <c r="B1027" s="15" t="s">
        <v>159</v>
      </c>
      <c r="C1027" s="15" t="s">
        <v>160</v>
      </c>
      <c r="D1027" s="15" t="s">
        <v>107</v>
      </c>
      <c r="E1027" s="9" t="n">
        <f aca="false">SUMIFS(Data!$L$2:$L$1006,Data!$A$2:$A$1006,$A1027,Data!$C$2:$C$1006,"FirstEnergy",Data!$D$2:$D$1006,"PA")</f>
        <v>2049214</v>
      </c>
      <c r="F1027" s="10" t="n">
        <f aca="false">SUMIFS(Data!$E$2:$E$1006,Data!$A$2:$A$1006,$A1027,Data!$C$2:$C$1006,"FirstEnergy",Data!$D$2:$D$1006,"PA")</f>
        <v>302.802879</v>
      </c>
      <c r="G1027" s="10" t="n">
        <f aca="false">SUMIFS(Data!$F$2:$F$1006,Data!$A$2:$A$1006,$A1027,Data!$C$2:$C$1006,"FirstEnergy",Data!$D$2:$D$1006,"PA")</f>
        <v>212.66636</v>
      </c>
      <c r="H1027" s="10" t="n">
        <f aca="false">SUMIFS(Data!$G$2:$G$1006,Data!$A$2:$A$1006,$A1027,Data!$C$2:$C$1006,"FirstEnergy",Data!$D$2:$D$1006,"PA")</f>
        <v>188.924744</v>
      </c>
      <c r="I1027" s="10" t="n">
        <f aca="false">SUMIFS(Data!$N$2:$N$1006,Data!$A$2:$A$1006,$A1027,Data!$C$2:$C$1006,"FirstEnergy",Data!$D$2:$D$1006,"PA")</f>
        <v>704.393983</v>
      </c>
      <c r="J1027" s="10" t="n">
        <f aca="false">SUMIFS(Data!$H$2:$H$1006,Data!$A$2:$A$1006,$A1027,Data!$C$2:$C$1006,"FirstEnergy",Data!$D$2:$D$1006,"PA")</f>
        <v>567.834932</v>
      </c>
      <c r="K1027" s="11" t="n">
        <f aca="false">IFERROR(F1027*1000000/$E1027,"")</f>
        <v>147.765376871327</v>
      </c>
      <c r="L1027" s="11" t="n">
        <f aca="false">IFERROR(G1027*1000000/$E1027,"")</f>
        <v>103.779478375611</v>
      </c>
      <c r="M1027" s="11" t="n">
        <f aca="false">IFERROR(H1027*1000000/$E1027,"")</f>
        <v>92.1937601441333</v>
      </c>
      <c r="N1027" s="11" t="n">
        <f aca="false">IFERROR(I1027*1000000/$E1027,"")</f>
        <v>343.738615391072</v>
      </c>
      <c r="O1027" s="11" t="n">
        <f aca="false">IFERROR(J1027*1000000/$E1027,"")</f>
        <v>277.098893526982</v>
      </c>
    </row>
    <row r="1028" customFormat="false" ht="15" hidden="false" customHeight="false" outlineLevel="0" collapsed="false">
      <c r="A1028" s="7" t="n">
        <v>2019</v>
      </c>
      <c r="B1028" s="15" t="s">
        <v>159</v>
      </c>
      <c r="C1028" s="15" t="s">
        <v>160</v>
      </c>
      <c r="D1028" s="15" t="s">
        <v>107</v>
      </c>
      <c r="E1028" s="9" t="n">
        <f aca="false">SUMIFS(Data!$L$2:$L$1006,Data!$A$2:$A$1006,$A1028,Data!$C$2:$C$1006,"FirstEnergy",Data!$D$2:$D$1006,"PA")</f>
        <v>2054039</v>
      </c>
      <c r="F1028" s="10" t="n">
        <f aca="false">SUMIFS(Data!$E$2:$E$1006,Data!$A$2:$A$1006,$A1028,Data!$C$2:$C$1006,"FirstEnergy",Data!$D$2:$D$1006,"PA")</f>
        <v>243.602459</v>
      </c>
      <c r="G1028" s="10" t="n">
        <f aca="false">SUMIFS(Data!$F$2:$F$1006,Data!$A$2:$A$1006,$A1028,Data!$C$2:$C$1006,"FirstEnergy",Data!$D$2:$D$1006,"PA")</f>
        <v>201.114945</v>
      </c>
      <c r="H1028" s="10" t="n">
        <f aca="false">SUMIFS(Data!$G$2:$G$1006,Data!$A$2:$A$1006,$A1028,Data!$C$2:$C$1006,"FirstEnergy",Data!$D$2:$D$1006,"PA")</f>
        <v>200.495837</v>
      </c>
      <c r="I1028" s="10" t="n">
        <f aca="false">SUMIFS(Data!$N$2:$N$1006,Data!$A$2:$A$1006,$A1028,Data!$C$2:$C$1006,"FirstEnergy",Data!$D$2:$D$1006,"PA")</f>
        <v>645.213241</v>
      </c>
      <c r="J1028" s="10" t="n">
        <f aca="false">SUMIFS(Data!$H$2:$H$1006,Data!$A$2:$A$1006,$A1028,Data!$C$2:$C$1006,"FirstEnergy",Data!$D$2:$D$1006,"PA")</f>
        <v>519.674879</v>
      </c>
      <c r="K1028" s="11" t="n">
        <f aca="false">IFERROR(F1028*1000000/$E1028,"")</f>
        <v>118.596803176571</v>
      </c>
      <c r="L1028" s="11" t="n">
        <f aca="false">IFERROR(G1028*1000000/$E1028,"")</f>
        <v>97.9119408151452</v>
      </c>
      <c r="M1028" s="11" t="n">
        <f aca="false">IFERROR(H1028*1000000/$E1028,"")</f>
        <v>97.6105307640215</v>
      </c>
      <c r="N1028" s="11" t="n">
        <f aca="false">IFERROR(I1028*1000000/$E1028,"")</f>
        <v>314.119274755737</v>
      </c>
      <c r="O1028" s="11" t="n">
        <f aca="false">IFERROR(J1028*1000000/$E1028,"")</f>
        <v>253.001466379168</v>
      </c>
    </row>
    <row r="1029" customFormat="false" ht="15" hidden="false" customHeight="false" outlineLevel="0" collapsed="false">
      <c r="A1029" s="7" t="n">
        <v>2020</v>
      </c>
      <c r="B1029" s="15" t="s">
        <v>159</v>
      </c>
      <c r="C1029" s="15" t="s">
        <v>160</v>
      </c>
      <c r="D1029" s="15" t="s">
        <v>107</v>
      </c>
      <c r="E1029" s="9" t="n">
        <f aca="false">SUMIFS(Data!$L$2:$L$1006,Data!$A$2:$A$1006,$A1029,Data!$C$2:$C$1006,"FirstEnergy",Data!$D$2:$D$1006,"PA")</f>
        <v>2063710</v>
      </c>
      <c r="F1029" s="10" t="n">
        <f aca="false">SUMIFS(Data!$E$2:$E$1006,Data!$A$2:$A$1006,$A1029,Data!$C$2:$C$1006,"FirstEnergy",Data!$D$2:$D$1006,"PA")</f>
        <v>246.770994</v>
      </c>
      <c r="G1029" s="10" t="n">
        <f aca="false">SUMIFS(Data!$F$2:$F$1006,Data!$A$2:$A$1006,$A1029,Data!$C$2:$C$1006,"FirstEnergy",Data!$D$2:$D$1006,"PA")</f>
        <v>214.598687</v>
      </c>
      <c r="H1029" s="10" t="n">
        <f aca="false">SUMIFS(Data!$G$2:$G$1006,Data!$A$2:$A$1006,$A1029,Data!$C$2:$C$1006,"FirstEnergy",Data!$D$2:$D$1006,"PA")</f>
        <v>211.618477</v>
      </c>
      <c r="I1029" s="10" t="n">
        <f aca="false">SUMIFS(Data!$N$2:$N$1006,Data!$A$2:$A$1006,$A1029,Data!$C$2:$C$1006,"FirstEnergy",Data!$D$2:$D$1006,"PA")</f>
        <v>672.988158</v>
      </c>
      <c r="J1029" s="10" t="n">
        <f aca="false">SUMIFS(Data!$H$2:$H$1006,Data!$A$2:$A$1006,$A1029,Data!$C$2:$C$1006,"FirstEnergy",Data!$D$2:$D$1006,"PA")</f>
        <v>448.018356</v>
      </c>
      <c r="K1029" s="11" t="n">
        <f aca="false">IFERROR(F1029*1000000/$E1029,"")</f>
        <v>119.576391062698</v>
      </c>
      <c r="L1029" s="11" t="n">
        <f aca="false">IFERROR(G1029*1000000/$E1029,"")</f>
        <v>103.986842628082</v>
      </c>
      <c r="M1029" s="11" t="n">
        <f aca="false">IFERROR(H1029*1000000/$E1029,"")</f>
        <v>102.542739532202</v>
      </c>
      <c r="N1029" s="11" t="n">
        <f aca="false">IFERROR(I1029*1000000/$E1029,"")</f>
        <v>326.105973222982</v>
      </c>
      <c r="O1029" s="11" t="n">
        <f aca="false">IFERROR(J1029*1000000/$E1029,"")</f>
        <v>217.093659477349</v>
      </c>
    </row>
    <row r="1030" customFormat="false" ht="15" hidden="false" customHeight="false" outlineLevel="0" collapsed="false">
      <c r="A1030" s="7" t="n">
        <v>2021</v>
      </c>
      <c r="B1030" s="15" t="s">
        <v>159</v>
      </c>
      <c r="C1030" s="15" t="s">
        <v>160</v>
      </c>
      <c r="D1030" s="15" t="s">
        <v>107</v>
      </c>
      <c r="E1030" s="9" t="n">
        <f aca="false">SUMIFS(Data!$L$2:$L$1006,Data!$A$2:$A$1006,$A1030,Data!$C$2:$C$1006,"FirstEnergy",Data!$D$2:$D$1006,"PA")</f>
        <v>2072846</v>
      </c>
      <c r="F1030" s="10" t="n">
        <f aca="false">SUMIFS(Data!$E$2:$E$1006,Data!$A$2:$A$1006,$A1030,Data!$C$2:$C$1006,"FirstEnergy",Data!$D$2:$D$1006,"PA")</f>
        <v>242.059712</v>
      </c>
      <c r="G1030" s="10" t="n">
        <f aca="false">SUMIFS(Data!$F$2:$F$1006,Data!$A$2:$A$1006,$A1030,Data!$C$2:$C$1006,"FirstEnergy",Data!$D$2:$D$1006,"PA")</f>
        <v>190.358282</v>
      </c>
      <c r="H1030" s="10" t="n">
        <f aca="false">SUMIFS(Data!$G$2:$G$1006,Data!$A$2:$A$1006,$A1030,Data!$C$2:$C$1006,"FirstEnergy",Data!$D$2:$D$1006,"PA")</f>
        <v>217.431601</v>
      </c>
      <c r="I1030" s="10" t="n">
        <f aca="false">SUMIFS(Data!$N$2:$N$1006,Data!$A$2:$A$1006,$A1030,Data!$C$2:$C$1006,"FirstEnergy",Data!$D$2:$D$1006,"PA")</f>
        <v>649.849595</v>
      </c>
      <c r="J1030" s="10" t="n">
        <f aca="false">SUMIFS(Data!$H$2:$H$1006,Data!$A$2:$A$1006,$A1030,Data!$C$2:$C$1006,"FirstEnergy",Data!$D$2:$D$1006,"PA")</f>
        <v>458.716433</v>
      </c>
      <c r="K1030" s="11" t="n">
        <f aca="false">IFERROR(F1030*1000000/$E1030,"")</f>
        <v>116.77650534579</v>
      </c>
      <c r="L1030" s="11" t="n">
        <f aca="false">IFERROR(G1030*1000000/$E1030,"")</f>
        <v>91.8342616865894</v>
      </c>
      <c r="M1030" s="11" t="n">
        <f aca="false">IFERROR(H1030*1000000/$E1030,"")</f>
        <v>104.89520253796</v>
      </c>
      <c r="N1030" s="11" t="n">
        <f aca="false">IFERROR(I1030*1000000/$E1030,"")</f>
        <v>313.50596957034</v>
      </c>
      <c r="O1030" s="11" t="n">
        <f aca="false">IFERROR(J1030*1000000/$E1030,"")</f>
        <v>221.297883682628</v>
      </c>
    </row>
    <row r="1031" customFormat="false" ht="15" hidden="false" customHeight="false" outlineLevel="0" collapsed="false">
      <c r="A1031" s="7" t="n">
        <v>2022</v>
      </c>
      <c r="B1031" s="15" t="s">
        <v>159</v>
      </c>
      <c r="C1031" s="15" t="s">
        <v>160</v>
      </c>
      <c r="D1031" s="15" t="s">
        <v>107</v>
      </c>
      <c r="E1031" s="9" t="n">
        <f aca="false">SUMIFS(Data!$L$2:$L$1006,Data!$A$2:$A$1006,$A1031,Data!$C$2:$C$1006,"FirstEnergy",Data!$D$2:$D$1006,"PA")</f>
        <v>2078994</v>
      </c>
      <c r="F1031" s="10" t="n">
        <f aca="false">SUMIFS(Data!$E$2:$E$1006,Data!$A$2:$A$1006,$A1031,Data!$C$2:$C$1006,"FirstEnergy",Data!$D$2:$D$1006,"PA")</f>
        <v>337.107703</v>
      </c>
      <c r="G1031" s="10" t="n">
        <f aca="false">SUMIFS(Data!$F$2:$F$1006,Data!$A$2:$A$1006,$A1031,Data!$C$2:$C$1006,"FirstEnergy",Data!$D$2:$D$1006,"PA")</f>
        <v>240.2489</v>
      </c>
      <c r="H1031" s="10" t="n">
        <f aca="false">SUMIFS(Data!$G$2:$G$1006,Data!$A$2:$A$1006,$A1031,Data!$C$2:$C$1006,"FirstEnergy",Data!$D$2:$D$1006,"PA")</f>
        <v>233.170206</v>
      </c>
      <c r="I1031" s="10" t="n">
        <f aca="false">SUMIFS(Data!$N$2:$N$1006,Data!$A$2:$A$1006,$A1031,Data!$C$2:$C$1006,"FirstEnergy",Data!$D$2:$D$1006,"PA")</f>
        <v>810.526809</v>
      </c>
      <c r="J1031" s="10" t="n">
        <f aca="false">SUMIFS(Data!$H$2:$H$1006,Data!$A$2:$A$1006,$A1031,Data!$C$2:$C$1006,"FirstEnergy",Data!$D$2:$D$1006,"PA")</f>
        <v>383.279408</v>
      </c>
      <c r="K1031" s="11" t="n">
        <f aca="false">IFERROR(F1031*1000000/$E1031,"")</f>
        <v>162.149435255705</v>
      </c>
      <c r="L1031" s="11" t="n">
        <f aca="false">IFERROR(G1031*1000000/$E1031,"")</f>
        <v>115.560169966821</v>
      </c>
      <c r="M1031" s="11" t="n">
        <f aca="false">IFERROR(H1031*1000000/$E1031,"")</f>
        <v>112.155304921515</v>
      </c>
      <c r="N1031" s="11" t="n">
        <f aca="false">IFERROR(I1031*1000000/$E1031,"")</f>
        <v>389.864910144041</v>
      </c>
      <c r="O1031" s="11" t="n">
        <f aca="false">IFERROR(J1031*1000000/$E1031,"")</f>
        <v>184.358111663622</v>
      </c>
    </row>
    <row r="1032" customFormat="false" ht="15" hidden="false" customHeight="false" outlineLevel="0" collapsed="false">
      <c r="A1032" s="7" t="n">
        <v>2023</v>
      </c>
      <c r="B1032" s="15" t="s">
        <v>159</v>
      </c>
      <c r="C1032" s="15" t="s">
        <v>160</v>
      </c>
      <c r="D1032" s="15" t="s">
        <v>107</v>
      </c>
      <c r="E1032" s="9" t="n">
        <f aca="false">SUMIFS(Data!$L$2:$L$1006,Data!$A$2:$A$1006,$A1032,Data!$C$2:$C$1006,"FirstEnergy",Data!$D$2:$D$1006,"PA")</f>
        <v>2084943</v>
      </c>
      <c r="F1032" s="10" t="n">
        <f aca="false">SUMIFS(Data!$E$2:$E$1006,Data!$A$2:$A$1006,$A1032,Data!$C$2:$C$1006,"FirstEnergy",Data!$D$2:$D$1006,"PA")</f>
        <v>303.189374</v>
      </c>
      <c r="G1032" s="10" t="n">
        <f aca="false">SUMIFS(Data!$F$2:$F$1006,Data!$A$2:$A$1006,$A1032,Data!$C$2:$C$1006,"FirstEnergy",Data!$D$2:$D$1006,"PA")</f>
        <v>237.474823</v>
      </c>
      <c r="H1032" s="10" t="n">
        <f aca="false">SUMIFS(Data!$G$2:$G$1006,Data!$A$2:$A$1006,$A1032,Data!$C$2:$C$1006,"FirstEnergy",Data!$D$2:$D$1006,"PA")</f>
        <v>244.431477</v>
      </c>
      <c r="I1032" s="10" t="n">
        <f aca="false">SUMIFS(Data!$N$2:$N$1006,Data!$A$2:$A$1006,$A1032,Data!$C$2:$C$1006,"FirstEnergy",Data!$D$2:$D$1006,"PA")</f>
        <v>785.095674</v>
      </c>
      <c r="J1032" s="10" t="n">
        <f aca="false">SUMIFS(Data!$H$2:$H$1006,Data!$A$2:$A$1006,$A1032,Data!$C$2:$C$1006,"FirstEnergy",Data!$D$2:$D$1006,"PA")</f>
        <v>462.352534</v>
      </c>
      <c r="K1032" s="11" t="n">
        <f aca="false">IFERROR(F1032*1000000/$E1032,"")</f>
        <v>145.418543336676</v>
      </c>
      <c r="L1032" s="11" t="n">
        <f aca="false">IFERROR(G1032*1000000/$E1032,"")</f>
        <v>113.899911412446</v>
      </c>
      <c r="M1032" s="11" t="n">
        <f aca="false">IFERROR(H1032*1000000/$E1032,"")</f>
        <v>117.236527329524</v>
      </c>
      <c r="N1032" s="11" t="n">
        <f aca="false">IFERROR(I1032*1000000/$E1032,"")</f>
        <v>376.554982078647</v>
      </c>
      <c r="O1032" s="11" t="n">
        <f aca="false">IFERROR(J1032*1000000/$E1032,"")</f>
        <v>221.757877313672</v>
      </c>
    </row>
    <row r="1033" customFormat="false" ht="15" hidden="false" customHeight="false" outlineLevel="0" collapsed="false">
      <c r="A1033" s="7" t="n">
        <v>2024</v>
      </c>
      <c r="B1033" s="15" t="s">
        <v>159</v>
      </c>
      <c r="C1033" s="15" t="s">
        <v>160</v>
      </c>
      <c r="D1033" s="15" t="s">
        <v>107</v>
      </c>
      <c r="E1033" s="9" t="n">
        <f aca="false">SUMIFS(Data!$L$2:$L$1006,Data!$A$2:$A$1006,$A1033,Data!$C$2:$C$1006,"FirstEnergy",Data!$D$2:$D$1006,"PA")</f>
        <v>2090443</v>
      </c>
      <c r="F1033" s="10" t="n">
        <f aca="false">SUMIFS(Data!$E$2:$E$1006,Data!$A$2:$A$1006,$A1033,Data!$C$2:$C$1006,"FirstEnergy",Data!$D$2:$D$1006,"PA")</f>
        <v>312.484911</v>
      </c>
      <c r="G1033" s="10" t="n">
        <f aca="false">SUMIFS(Data!$F$2:$F$1006,Data!$A$2:$A$1006,$A1033,Data!$C$2:$C$1006,"FirstEnergy",Data!$D$2:$D$1006,"PA")</f>
        <v>263.341541</v>
      </c>
      <c r="H1033" s="10" t="n">
        <f aca="false">SUMIFS(Data!$G$2:$G$1006,Data!$A$2:$A$1006,$A1033,Data!$C$2:$C$1006,"FirstEnergy",Data!$D$2:$D$1006,"PA")</f>
        <v>257.838728</v>
      </c>
      <c r="I1033" s="10" t="n">
        <f aca="false">SUMIFS(Data!$N$2:$N$1006,Data!$A$2:$A$1006,$A1033,Data!$C$2:$C$1006,"FirstEnergy",Data!$D$2:$D$1006,"PA")</f>
        <v>833.66518</v>
      </c>
      <c r="J1033" s="10" t="n">
        <f aca="false">SUMIFS(Data!$H$2:$H$1006,Data!$A$2:$A$1006,$A1033,Data!$C$2:$C$1006,"FirstEnergy",Data!$D$2:$D$1006,"PA")</f>
        <v>491.390276</v>
      </c>
      <c r="K1033" s="11" t="n">
        <f aca="false">IFERROR(F1033*1000000/$E1033,"")</f>
        <v>149.482626888176</v>
      </c>
      <c r="L1033" s="11" t="n">
        <f aca="false">IFERROR(G1033*1000000/$E1033,"")</f>
        <v>125.97403564699</v>
      </c>
      <c r="M1033" s="11" t="n">
        <f aca="false">IFERROR(H1033*1000000/$E1033,"")</f>
        <v>123.341668727633</v>
      </c>
      <c r="N1033" s="11" t="n">
        <f aca="false">IFERROR(I1033*1000000/$E1033,"")</f>
        <v>398.798331262799</v>
      </c>
      <c r="O1033" s="11" t="n">
        <f aca="false">IFERROR(J1033*1000000/$E1033,"")</f>
        <v>235.065139781376</v>
      </c>
    </row>
    <row r="1034" customFormat="false" ht="15" hidden="false" customHeight="false" outlineLevel="0" collapsed="false">
      <c r="A1034" s="7" t="n">
        <v>2025</v>
      </c>
      <c r="B1034" s="15" t="s">
        <v>159</v>
      </c>
      <c r="C1034" s="15" t="s">
        <v>160</v>
      </c>
      <c r="D1034" s="15" t="s">
        <v>107</v>
      </c>
      <c r="E1034" s="9" t="n">
        <f aca="false">SUMIFS(Data!$L$2:$L$1006,Data!$A$2:$A$1006,$A1034,Data!$C$2:$C$1006,"FirstEnergy",Data!$D$2:$D$1006,"PA")</f>
        <v>2097100</v>
      </c>
      <c r="F1034" s="10" t="n">
        <f aca="false">SUMIFS(Data!$E$2:$E$1006,Data!$A$2:$A$1006,$A1034,Data!$C$2:$C$1006,"FirstEnergy",Data!$D$2:$D$1006,"PA")</f>
        <v>414.53737</v>
      </c>
      <c r="G1034" s="10" t="n">
        <f aca="false">SUMIFS(Data!$F$2:$F$1006,Data!$A$2:$A$1006,$A1034,Data!$C$2:$C$1006,"FirstEnergy",Data!$D$2:$D$1006,"PA")</f>
        <v>349.882886</v>
      </c>
      <c r="H1034" s="10" t="n">
        <f aca="false">SUMIFS(Data!$G$2:$G$1006,Data!$A$2:$A$1006,$A1034,Data!$C$2:$C$1006,"FirstEnergy",Data!$D$2:$D$1006,"PA")</f>
        <v>291.09111</v>
      </c>
      <c r="I1034" s="10" t="n">
        <f aca="false">SUMIFS(Data!$N$2:$N$1006,Data!$A$2:$A$1006,$A1034,Data!$C$2:$C$1006,"FirstEnergy",Data!$D$2:$D$1006,"PA")</f>
        <v>1055.511366</v>
      </c>
      <c r="J1034" s="10" t="n">
        <f aca="false">SUMIFS(Data!$H$2:$H$1006,Data!$A$2:$A$1006,$A1034,Data!$C$2:$C$1006,"FirstEnergy",Data!$D$2:$D$1006,"PA")</f>
        <v>814.824303</v>
      </c>
      <c r="K1034" s="11" t="n">
        <f aca="false">IFERROR(F1034*1000000/$E1034,"")</f>
        <v>197.671722855372</v>
      </c>
      <c r="L1034" s="11" t="n">
        <f aca="false">IFERROR(G1034*1000000/$E1034,"")</f>
        <v>166.841297982929</v>
      </c>
      <c r="M1034" s="11" t="n">
        <f aca="false">IFERROR(H1034*1000000/$E1034,"")</f>
        <v>138.806499451624</v>
      </c>
      <c r="N1034" s="11" t="n">
        <f aca="false">IFERROR(I1034*1000000/$E1034,"")</f>
        <v>503.319520289924</v>
      </c>
      <c r="O1034" s="11" t="n">
        <f aca="false">IFERROR(J1034*1000000/$E1034,"")</f>
        <v>388.548139335273</v>
      </c>
    </row>
  </sheetData>
  <autoFilter ref="A3:Q103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7" min="2" style="0" width="16"/>
  </cols>
  <sheetData>
    <row r="1" customFormat="false" ht="15" hidden="false" customHeight="false" outlineLevel="0" collapsed="false">
      <c r="A1" s="4" t="s">
        <v>161</v>
      </c>
    </row>
    <row r="3" customFormat="false" ht="57.75" hidden="false" customHeight="true" outlineLevel="0" collapsed="false">
      <c r="A3" s="6" t="s">
        <v>39</v>
      </c>
      <c r="B3" s="6" t="s">
        <v>162</v>
      </c>
      <c r="C3" s="6" t="s">
        <v>163</v>
      </c>
      <c r="D3" s="6" t="s">
        <v>164</v>
      </c>
      <c r="E3" s="6" t="s">
        <v>165</v>
      </c>
      <c r="F3" s="6" t="s">
        <v>166</v>
      </c>
      <c r="G3" s="6" t="s">
        <v>167</v>
      </c>
    </row>
    <row r="4" customFormat="false" ht="15" hidden="false" customHeight="false" outlineLevel="0" collapsed="false">
      <c r="A4" s="7" t="n">
        <v>2000</v>
      </c>
      <c r="B4" s="12" t="n">
        <f aca="false">'Group Results'!L5</f>
        <v>206.978525791315</v>
      </c>
      <c r="C4" s="12" t="n">
        <f aca="false" t="array" ref="C4:C4">MEDIAN(IF(('Utility Results'!$A$4:$A$1008=$A4)*('Utility Results'!$C$4:$C$1008="Northeast peers"),'Utility Results'!$N$4:$N$1008))</f>
        <v>202.33029605553</v>
      </c>
      <c r="D4" s="12" t="n">
        <f aca="false" t="array" ref="D4:D4">MEDIAN(IF(('Utility Results'!$A$4:$A$1008=$A4)*('Utility Results'!$C$4:$C$1008="Midwest peers"),'Utility Results'!$N$4:$N$1008))</f>
        <v>205.496990853611</v>
      </c>
      <c r="E4" s="12" t="n">
        <f aca="false">'Group Results'!M5</f>
        <v>79.1461156012406</v>
      </c>
      <c r="F4" s="12" t="n">
        <f aca="false" t="array" ref="F4:F4">MEDIAN(IF(('Utility Results'!$A$4:$A$1008=$A4)*('Utility Results'!$C$4:$C$1008="Northeast peers"),'Utility Results'!$O$4:$O$1008))</f>
        <v>91.6777481152841</v>
      </c>
      <c r="G4" s="12" t="n">
        <f aca="false" t="array" ref="G4:G4">MEDIAN(IF(('Utility Results'!$A$4:$A$1008=$A4)*('Utility Results'!$C$4:$C$1008="Midwest peers"),'Utility Results'!$O$4:$O$1008))</f>
        <v>103.82264497751</v>
      </c>
    </row>
    <row r="5" customFormat="false" ht="15" hidden="false" customHeight="false" outlineLevel="0" collapsed="false">
      <c r="A5" s="7" t="n">
        <v>2001</v>
      </c>
      <c r="B5" s="12" t="n">
        <f aca="false">'Group Results'!L6</f>
        <v>186.075336513834</v>
      </c>
      <c r="C5" s="12" t="n">
        <f aca="false" t="array" ref="C5:C5">MEDIAN(IF(('Utility Results'!$A$4:$A$1008=$A5)*('Utility Results'!$C$4:$C$1008="Northeast peers"),'Utility Results'!$N$4:$N$1008))</f>
        <v>207.868355352301</v>
      </c>
      <c r="D5" s="12" t="n">
        <f aca="false" t="array" ref="D5:D5">MEDIAN(IF(('Utility Results'!$A$4:$A$1008=$A5)*('Utility Results'!$C$4:$C$1008="Midwest peers"),'Utility Results'!$N$4:$N$1008))</f>
        <v>209.504269875972</v>
      </c>
      <c r="E5" s="12" t="n">
        <f aca="false">'Group Results'!M6</f>
        <v>76.4820595662841</v>
      </c>
      <c r="F5" s="12" t="n">
        <f aca="false" t="array" ref="F5:F5">MEDIAN(IF(('Utility Results'!$A$4:$A$1008=$A5)*('Utility Results'!$C$4:$C$1008="Northeast peers"),'Utility Results'!$O$4:$O$1008))</f>
        <v>90.6938063096333</v>
      </c>
      <c r="G5" s="12" t="n">
        <f aca="false" t="array" ref="G5:G5">MEDIAN(IF(('Utility Results'!$A$4:$A$1008=$A5)*('Utility Results'!$C$4:$C$1008="Midwest peers"),'Utility Results'!$O$4:$O$1008))</f>
        <v>105.53068798257</v>
      </c>
    </row>
    <row r="6" customFormat="false" ht="15" hidden="false" customHeight="false" outlineLevel="0" collapsed="false">
      <c r="A6" s="7" t="n">
        <v>2002</v>
      </c>
      <c r="B6" s="12" t="n">
        <f aca="false">'Group Results'!L7</f>
        <v>175.539089150713</v>
      </c>
      <c r="C6" s="12" t="n">
        <f aca="false" t="array" ref="C6:C6">MEDIAN(IF(('Utility Results'!$A$4:$A$1008=$A6)*('Utility Results'!$C$4:$C$1008="Northeast peers"),'Utility Results'!$N$4:$N$1008))</f>
        <v>194.35351815486</v>
      </c>
      <c r="D6" s="12" t="n">
        <f aca="false" t="array" ref="D6:D6">MEDIAN(IF(('Utility Results'!$A$4:$A$1008=$A6)*('Utility Results'!$C$4:$C$1008="Midwest peers"),'Utility Results'!$N$4:$N$1008))</f>
        <v>215.904462044565</v>
      </c>
      <c r="E6" s="12" t="n">
        <f aca="false">'Group Results'!M7</f>
        <v>70.2411164362555</v>
      </c>
      <c r="F6" s="12" t="n">
        <f aca="false" t="array" ref="F6:F6">MEDIAN(IF(('Utility Results'!$A$4:$A$1008=$A6)*('Utility Results'!$C$4:$C$1008="Northeast peers"),'Utility Results'!$O$4:$O$1008))</f>
        <v>89.8489023944831</v>
      </c>
      <c r="G6" s="12" t="n">
        <f aca="false" t="array" ref="G6:G6">MEDIAN(IF(('Utility Results'!$A$4:$A$1008=$A6)*('Utility Results'!$C$4:$C$1008="Midwest peers"),'Utility Results'!$O$4:$O$1008))</f>
        <v>110.591223481994</v>
      </c>
    </row>
    <row r="7" customFormat="false" ht="15" hidden="false" customHeight="false" outlineLevel="0" collapsed="false">
      <c r="A7" s="7" t="n">
        <v>2003</v>
      </c>
      <c r="B7" s="12" t="n">
        <f aca="false">'Group Results'!L8</f>
        <v>196.551902989758</v>
      </c>
      <c r="C7" s="12" t="n">
        <f aca="false" t="array" ref="C7:C7">MEDIAN(IF(('Utility Results'!$A$4:$A$1008=$A7)*('Utility Results'!$C$4:$C$1008="Northeast peers"),'Utility Results'!$N$4:$N$1008))</f>
        <v>211.476950135799</v>
      </c>
      <c r="D7" s="12" t="n">
        <f aca="false" t="array" ref="D7:D7">MEDIAN(IF(('Utility Results'!$A$4:$A$1008=$A7)*('Utility Results'!$C$4:$C$1008="Midwest peers"),'Utility Results'!$N$4:$N$1008))</f>
        <v>220.021123843161</v>
      </c>
      <c r="E7" s="12" t="n">
        <f aca="false">'Group Results'!M8</f>
        <v>76.0611234746737</v>
      </c>
      <c r="F7" s="12" t="n">
        <f aca="false" t="array" ref="F7:F7">MEDIAN(IF(('Utility Results'!$A$4:$A$1008=$A7)*('Utility Results'!$C$4:$C$1008="Northeast peers"),'Utility Results'!$O$4:$O$1008))</f>
        <v>90.6446100909016</v>
      </c>
      <c r="G7" s="12" t="n">
        <f aca="false" t="array" ref="G7:G7">MEDIAN(IF(('Utility Results'!$A$4:$A$1008=$A7)*('Utility Results'!$C$4:$C$1008="Midwest peers"),'Utility Results'!$O$4:$O$1008))</f>
        <v>109.777986853534</v>
      </c>
    </row>
    <row r="8" customFormat="false" ht="15" hidden="false" customHeight="false" outlineLevel="0" collapsed="false">
      <c r="A8" s="7" t="n">
        <v>2004</v>
      </c>
      <c r="B8" s="12" t="n">
        <f aca="false">'Group Results'!L9</f>
        <v>177.379043342293</v>
      </c>
      <c r="C8" s="12" t="n">
        <f aca="false" t="array" ref="C8:C8">MEDIAN(IF(('Utility Results'!$A$4:$A$1008=$A8)*('Utility Results'!$C$4:$C$1008="Northeast peers"),'Utility Results'!$N$4:$N$1008))</f>
        <v>210.404666644242</v>
      </c>
      <c r="D8" s="12" t="n">
        <f aca="false" t="array" ref="D8:D8">MEDIAN(IF(('Utility Results'!$A$4:$A$1008=$A8)*('Utility Results'!$C$4:$C$1008="Midwest peers"),'Utility Results'!$N$4:$N$1008))</f>
        <v>217.588337610893</v>
      </c>
      <c r="E8" s="12" t="n">
        <f aca="false">'Group Results'!M9</f>
        <v>87.1498701464828</v>
      </c>
      <c r="F8" s="12" t="n">
        <f aca="false" t="array" ref="F8:F8">MEDIAN(IF(('Utility Results'!$A$4:$A$1008=$A8)*('Utility Results'!$C$4:$C$1008="Northeast peers"),'Utility Results'!$O$4:$O$1008))</f>
        <v>100.042648738056</v>
      </c>
      <c r="G8" s="12" t="n">
        <f aca="false" t="array" ref="G8:G8">MEDIAN(IF(('Utility Results'!$A$4:$A$1008=$A8)*('Utility Results'!$C$4:$C$1008="Midwest peers"),'Utility Results'!$O$4:$O$1008))</f>
        <v>123.213058196457</v>
      </c>
    </row>
    <row r="9" customFormat="false" ht="15" hidden="false" customHeight="false" outlineLevel="0" collapsed="false">
      <c r="A9" s="7" t="n">
        <v>2005</v>
      </c>
      <c r="B9" s="12" t="n">
        <f aca="false">'Group Results'!L10</f>
        <v>188.678535397999</v>
      </c>
      <c r="C9" s="12" t="n">
        <f aca="false" t="array" ref="C9:C9">MEDIAN(IF(('Utility Results'!$A$4:$A$1008=$A9)*('Utility Results'!$C$4:$C$1008="Northeast peers"),'Utility Results'!$N$4:$N$1008))</f>
        <v>213.510511194021</v>
      </c>
      <c r="D9" s="12" t="n">
        <f aca="false" t="array" ref="D9:D9">MEDIAN(IF(('Utility Results'!$A$4:$A$1008=$A9)*('Utility Results'!$C$4:$C$1008="Midwest peers"),'Utility Results'!$N$4:$N$1008))</f>
        <v>222.296094557917</v>
      </c>
      <c r="E9" s="12" t="n">
        <f aca="false">'Group Results'!M10</f>
        <v>113.305951152196</v>
      </c>
      <c r="F9" s="12" t="n">
        <f aca="false" t="array" ref="F9:F9">MEDIAN(IF(('Utility Results'!$A$4:$A$1008=$A9)*('Utility Results'!$C$4:$C$1008="Northeast peers"),'Utility Results'!$O$4:$O$1008))</f>
        <v>101.810177408876</v>
      </c>
      <c r="G9" s="12" t="n">
        <f aca="false" t="array" ref="G9:G9">MEDIAN(IF(('Utility Results'!$A$4:$A$1008=$A9)*('Utility Results'!$C$4:$C$1008="Midwest peers"),'Utility Results'!$O$4:$O$1008))</f>
        <v>113.865600324268</v>
      </c>
    </row>
    <row r="10" customFormat="false" ht="15" hidden="false" customHeight="false" outlineLevel="0" collapsed="false">
      <c r="A10" s="7" t="n">
        <v>2006</v>
      </c>
      <c r="B10" s="12" t="n">
        <f aca="false">'Group Results'!L11</f>
        <v>192.120000491067</v>
      </c>
      <c r="C10" s="12" t="n">
        <f aca="false" t="array" ref="C10:C10">MEDIAN(IF(('Utility Results'!$A$4:$A$1008=$A10)*('Utility Results'!$C$4:$C$1008="Northeast peers"),'Utility Results'!$N$4:$N$1008))</f>
        <v>213.968231655259</v>
      </c>
      <c r="D10" s="12" t="n">
        <f aca="false" t="array" ref="D10:D10">MEDIAN(IF(('Utility Results'!$A$4:$A$1008=$A10)*('Utility Results'!$C$4:$C$1008="Midwest peers"),'Utility Results'!$N$4:$N$1008))</f>
        <v>226.484115304616</v>
      </c>
      <c r="E10" s="12" t="n">
        <f aca="false">'Group Results'!M11</f>
        <v>112.48316652543</v>
      </c>
      <c r="F10" s="12" t="n">
        <f aca="false" t="array" ref="F10:F10">MEDIAN(IF(('Utility Results'!$A$4:$A$1008=$A10)*('Utility Results'!$C$4:$C$1008="Northeast peers"),'Utility Results'!$O$4:$O$1008))</f>
        <v>140.747693329779</v>
      </c>
      <c r="G10" s="12" t="n">
        <f aca="false" t="array" ref="G10:G10">MEDIAN(IF(('Utility Results'!$A$4:$A$1008=$A10)*('Utility Results'!$C$4:$C$1008="Midwest peers"),'Utility Results'!$O$4:$O$1008))</f>
        <v>123.875011922745</v>
      </c>
    </row>
    <row r="11" customFormat="false" ht="15" hidden="false" customHeight="false" outlineLevel="0" collapsed="false">
      <c r="A11" s="7" t="n">
        <v>2007</v>
      </c>
      <c r="B11" s="12" t="n">
        <f aca="false">'Group Results'!L12</f>
        <v>204.388508246116</v>
      </c>
      <c r="C11" s="12" t="n">
        <f aca="false" t="array" ref="C11:C11">MEDIAN(IF(('Utility Results'!$A$4:$A$1008=$A11)*('Utility Results'!$C$4:$C$1008="Northeast peers"),'Utility Results'!$N$4:$N$1008))</f>
        <v>236.686270964624</v>
      </c>
      <c r="D11" s="12" t="n">
        <f aca="false" t="array" ref="D11:D11">MEDIAN(IF(('Utility Results'!$A$4:$A$1008=$A11)*('Utility Results'!$C$4:$C$1008="Midwest peers"),'Utility Results'!$N$4:$N$1008))</f>
        <v>233.869360131643</v>
      </c>
      <c r="E11" s="12" t="n">
        <f aca="false">'Group Results'!M12</f>
        <v>113.065920695296</v>
      </c>
      <c r="F11" s="12" t="n">
        <f aca="false" t="array" ref="F11:F11">MEDIAN(IF(('Utility Results'!$A$4:$A$1008=$A11)*('Utility Results'!$C$4:$C$1008="Northeast peers"),'Utility Results'!$O$4:$O$1008))</f>
        <v>139.61634766723</v>
      </c>
      <c r="G11" s="12" t="n">
        <f aca="false" t="array" ref="G11:G11">MEDIAN(IF(('Utility Results'!$A$4:$A$1008=$A11)*('Utility Results'!$C$4:$C$1008="Midwest peers"),'Utility Results'!$O$4:$O$1008))</f>
        <v>146.553834298966</v>
      </c>
    </row>
    <row r="12" customFormat="false" ht="15" hidden="false" customHeight="false" outlineLevel="0" collapsed="false">
      <c r="A12" s="7" t="n">
        <v>2008</v>
      </c>
      <c r="B12" s="12" t="n">
        <f aca="false">'Group Results'!L13</f>
        <v>213.134488914151</v>
      </c>
      <c r="C12" s="12" t="n">
        <f aca="false" t="array" ref="C12:C12">MEDIAN(IF(('Utility Results'!$A$4:$A$1008=$A12)*('Utility Results'!$C$4:$C$1008="Northeast peers"),'Utility Results'!$N$4:$N$1008))</f>
        <v>251.245699816277</v>
      </c>
      <c r="D12" s="12" t="n">
        <f aca="false" t="array" ref="D12:D12">MEDIAN(IF(('Utility Results'!$A$4:$A$1008=$A12)*('Utility Results'!$C$4:$C$1008="Midwest peers"),'Utility Results'!$N$4:$N$1008))</f>
        <v>248.901429893364</v>
      </c>
      <c r="E12" s="12" t="n">
        <f aca="false">'Group Results'!M13</f>
        <v>132.473305242867</v>
      </c>
      <c r="F12" s="12" t="n">
        <f aca="false" t="array" ref="F12:F12">MEDIAN(IF(('Utility Results'!$A$4:$A$1008=$A12)*('Utility Results'!$C$4:$C$1008="Northeast peers"),'Utility Results'!$O$4:$O$1008))</f>
        <v>139.696738329418</v>
      </c>
      <c r="G12" s="12" t="n">
        <f aca="false" t="array" ref="G12:G12">MEDIAN(IF(('Utility Results'!$A$4:$A$1008=$A12)*('Utility Results'!$C$4:$C$1008="Midwest peers"),'Utility Results'!$O$4:$O$1008))</f>
        <v>160.016201512047</v>
      </c>
    </row>
    <row r="13" customFormat="false" ht="15" hidden="false" customHeight="false" outlineLevel="0" collapsed="false">
      <c r="A13" s="7" t="n">
        <v>2009</v>
      </c>
      <c r="B13" s="12" t="n">
        <f aca="false">'Group Results'!L14</f>
        <v>197.278898405937</v>
      </c>
      <c r="C13" s="12" t="n">
        <f aca="false" t="array" ref="C13:C13">MEDIAN(IF(('Utility Results'!$A$4:$A$1008=$A13)*('Utility Results'!$C$4:$C$1008="Northeast peers"),'Utility Results'!$N$4:$N$1008))</f>
        <v>257.265229882197</v>
      </c>
      <c r="D13" s="12" t="n">
        <f aca="false" t="array" ref="D13:D13">MEDIAN(IF(('Utility Results'!$A$4:$A$1008=$A13)*('Utility Results'!$C$4:$C$1008="Midwest peers"),'Utility Results'!$N$4:$N$1008))</f>
        <v>246.933960011937</v>
      </c>
      <c r="E13" s="12" t="n">
        <f aca="false">'Group Results'!M14</f>
        <v>128.626253075506</v>
      </c>
      <c r="F13" s="12" t="n">
        <f aca="false" t="array" ref="F13:F13">MEDIAN(IF(('Utility Results'!$A$4:$A$1008=$A13)*('Utility Results'!$C$4:$C$1008="Northeast peers"),'Utility Results'!$O$4:$O$1008))</f>
        <v>147.76377109973</v>
      </c>
      <c r="G13" s="12" t="n">
        <f aca="false" t="array" ref="G13:G13">MEDIAN(IF(('Utility Results'!$A$4:$A$1008=$A13)*('Utility Results'!$C$4:$C$1008="Midwest peers"),'Utility Results'!$O$4:$O$1008))</f>
        <v>134.214786712035</v>
      </c>
    </row>
    <row r="14" customFormat="false" ht="15" hidden="false" customHeight="false" outlineLevel="0" collapsed="false">
      <c r="A14" s="7" t="n">
        <v>2010</v>
      </c>
      <c r="B14" s="12" t="n">
        <f aca="false">'Group Results'!L15</f>
        <v>199.958258478451</v>
      </c>
      <c r="C14" s="12" t="n">
        <f aca="false" t="array" ref="C14:C14">MEDIAN(IF(('Utility Results'!$A$4:$A$1008=$A14)*('Utility Results'!$C$4:$C$1008="Northeast peers"),'Utility Results'!$N$4:$N$1008))</f>
        <v>288.837215048319</v>
      </c>
      <c r="D14" s="12" t="n">
        <f aca="false" t="array" ref="D14:D14">MEDIAN(IF(('Utility Results'!$A$4:$A$1008=$A14)*('Utility Results'!$C$4:$C$1008="Midwest peers"),'Utility Results'!$N$4:$N$1008))</f>
        <v>262.504096006565</v>
      </c>
      <c r="E14" s="12" t="n">
        <f aca="false">'Group Results'!M15</f>
        <v>123.766314472561</v>
      </c>
      <c r="F14" s="12" t="n">
        <f aca="false" t="array" ref="F14:F14">MEDIAN(IF(('Utility Results'!$A$4:$A$1008=$A14)*('Utility Results'!$C$4:$C$1008="Northeast peers"),'Utility Results'!$O$4:$O$1008))</f>
        <v>168.32012159875</v>
      </c>
      <c r="G14" s="12" t="n">
        <f aca="false" t="array" ref="G14:G14">MEDIAN(IF(('Utility Results'!$A$4:$A$1008=$A14)*('Utility Results'!$C$4:$C$1008="Midwest peers"),'Utility Results'!$O$4:$O$1008))</f>
        <v>127.06218899742</v>
      </c>
    </row>
    <row r="15" customFormat="false" ht="15" hidden="false" customHeight="false" outlineLevel="0" collapsed="false">
      <c r="A15" s="7" t="n">
        <v>2011</v>
      </c>
      <c r="B15" s="12" t="n">
        <f aca="false">'Group Results'!L16</f>
        <v>236.484439171641</v>
      </c>
      <c r="C15" s="12" t="n">
        <f aca="false" t="array" ref="C15:C15">MEDIAN(IF(('Utility Results'!$A$4:$A$1008=$A15)*('Utility Results'!$C$4:$C$1008="Northeast peers"),'Utility Results'!$N$4:$N$1008))</f>
        <v>320.812462914552</v>
      </c>
      <c r="D15" s="12" t="n">
        <f aca="false" t="array" ref="D15:D15">MEDIAN(IF(('Utility Results'!$A$4:$A$1008=$A15)*('Utility Results'!$C$4:$C$1008="Midwest peers"),'Utility Results'!$N$4:$N$1008))</f>
        <v>269.476008649477</v>
      </c>
      <c r="E15" s="12" t="n">
        <f aca="false">'Group Results'!M16</f>
        <v>117.001418378829</v>
      </c>
      <c r="F15" s="12" t="n">
        <f aca="false" t="array" ref="F15:F15">MEDIAN(IF(('Utility Results'!$A$4:$A$1008=$A15)*('Utility Results'!$C$4:$C$1008="Northeast peers"),'Utility Results'!$O$4:$O$1008))</f>
        <v>167.754947498481</v>
      </c>
      <c r="G15" s="12" t="n">
        <f aca="false" t="array" ref="G15:G15">MEDIAN(IF(('Utility Results'!$A$4:$A$1008=$A15)*('Utility Results'!$C$4:$C$1008="Midwest peers"),'Utility Results'!$O$4:$O$1008))</f>
        <v>143.511911012282</v>
      </c>
    </row>
    <row r="16" customFormat="false" ht="15" hidden="false" customHeight="false" outlineLevel="0" collapsed="false">
      <c r="A16" s="7" t="n">
        <v>2012</v>
      </c>
      <c r="B16" s="12" t="n">
        <f aca="false">'Group Results'!L17</f>
        <v>284.159498121307</v>
      </c>
      <c r="C16" s="12" t="n">
        <f aca="false" t="array" ref="C16:C16">MEDIAN(IF(('Utility Results'!$A$4:$A$1008=$A16)*('Utility Results'!$C$4:$C$1008="Northeast peers"),'Utility Results'!$N$4:$N$1008))</f>
        <v>333.101460178932</v>
      </c>
      <c r="D16" s="12" t="n">
        <f aca="false" t="array" ref="D16:D16">MEDIAN(IF(('Utility Results'!$A$4:$A$1008=$A16)*('Utility Results'!$C$4:$C$1008="Midwest peers"),'Utility Results'!$N$4:$N$1008))</f>
        <v>271.37559699886</v>
      </c>
      <c r="E16" s="12" t="n">
        <f aca="false">'Group Results'!M17</f>
        <v>264.763822568159</v>
      </c>
      <c r="F16" s="12" t="n">
        <f aca="false" t="array" ref="F16:F16">MEDIAN(IF(('Utility Results'!$A$4:$A$1008=$A16)*('Utility Results'!$C$4:$C$1008="Northeast peers"),'Utility Results'!$O$4:$O$1008))</f>
        <v>199.676840067984</v>
      </c>
      <c r="G16" s="12" t="n">
        <f aca="false" t="array" ref="G16:G16">MEDIAN(IF(('Utility Results'!$A$4:$A$1008=$A16)*('Utility Results'!$C$4:$C$1008="Midwest peers"),'Utility Results'!$O$4:$O$1008))</f>
        <v>158.570781416824</v>
      </c>
    </row>
    <row r="17" customFormat="false" ht="15" hidden="false" customHeight="false" outlineLevel="0" collapsed="false">
      <c r="A17" s="7" t="n">
        <v>2013</v>
      </c>
      <c r="B17" s="12" t="n">
        <f aca="false">'Group Results'!L18</f>
        <v>227.229068608954</v>
      </c>
      <c r="C17" s="12" t="n">
        <f aca="false" t="array" ref="C17:C17">MEDIAN(IF(('Utility Results'!$A$4:$A$1008=$A17)*('Utility Results'!$C$4:$C$1008="Northeast peers"),'Utility Results'!$N$4:$N$1008))</f>
        <v>332.772398601739</v>
      </c>
      <c r="D17" s="12" t="n">
        <f aca="false" t="array" ref="D17:D17">MEDIAN(IF(('Utility Results'!$A$4:$A$1008=$A17)*('Utility Results'!$C$4:$C$1008="Midwest peers"),'Utility Results'!$N$4:$N$1008))</f>
        <v>266.712465834657</v>
      </c>
      <c r="E17" s="12" t="n">
        <f aca="false">'Group Results'!M18</f>
        <v>137.490411998638</v>
      </c>
      <c r="F17" s="12" t="n">
        <f aca="false" t="array" ref="F17:F17">MEDIAN(IF(('Utility Results'!$A$4:$A$1008=$A17)*('Utility Results'!$C$4:$C$1008="Northeast peers"),'Utility Results'!$O$4:$O$1008))</f>
        <v>195.846141865668</v>
      </c>
      <c r="G17" s="12" t="n">
        <f aca="false" t="array" ref="G17:G17">MEDIAN(IF(('Utility Results'!$A$4:$A$1008=$A17)*('Utility Results'!$C$4:$C$1008="Midwest peers"),'Utility Results'!$O$4:$O$1008))</f>
        <v>151.573814181429</v>
      </c>
    </row>
    <row r="18" customFormat="false" ht="15" hidden="false" customHeight="false" outlineLevel="0" collapsed="false">
      <c r="A18" s="7" t="n">
        <v>2014</v>
      </c>
      <c r="B18" s="12" t="n">
        <f aca="false">'Group Results'!L19</f>
        <v>245.960963623797</v>
      </c>
      <c r="C18" s="12" t="n">
        <f aca="false" t="array" ref="C18:C18">MEDIAN(IF(('Utility Results'!$A$4:$A$1008=$A18)*('Utility Results'!$C$4:$C$1008="Northeast peers"),'Utility Results'!$N$4:$N$1008))</f>
        <v>358.910456892202</v>
      </c>
      <c r="D18" s="12" t="n">
        <f aca="false" t="array" ref="D18:D18">MEDIAN(IF(('Utility Results'!$A$4:$A$1008=$A18)*('Utility Results'!$C$4:$C$1008="Midwest peers"),'Utility Results'!$N$4:$N$1008))</f>
        <v>282.611007074714</v>
      </c>
      <c r="E18" s="12" t="n">
        <f aca="false">'Group Results'!M19</f>
        <v>147.09194692924</v>
      </c>
      <c r="F18" s="12" t="n">
        <f aca="false" t="array" ref="F18:F18">MEDIAN(IF(('Utility Results'!$A$4:$A$1008=$A18)*('Utility Results'!$C$4:$C$1008="Northeast peers"),'Utility Results'!$O$4:$O$1008))</f>
        <v>187.178663264712</v>
      </c>
      <c r="G18" s="12" t="n">
        <f aca="false" t="array" ref="G18:G18">MEDIAN(IF(('Utility Results'!$A$4:$A$1008=$A18)*('Utility Results'!$C$4:$C$1008="Midwest peers"),'Utility Results'!$O$4:$O$1008))</f>
        <v>184.069395465139</v>
      </c>
    </row>
    <row r="19" customFormat="false" ht="15" hidden="false" customHeight="false" outlineLevel="0" collapsed="false">
      <c r="A19" s="7" t="n">
        <v>2015</v>
      </c>
      <c r="B19" s="12" t="n">
        <f aca="false">'Group Results'!L20</f>
        <v>257.86395663173</v>
      </c>
      <c r="C19" s="12" t="n">
        <f aca="false" t="array" ref="C19:C19">MEDIAN(IF(('Utility Results'!$A$4:$A$1008=$A19)*('Utility Results'!$C$4:$C$1008="Northeast peers"),'Utility Results'!$N$4:$N$1008))</f>
        <v>350.488323899123</v>
      </c>
      <c r="D19" s="12" t="n">
        <f aca="false" t="array" ref="D19:D19">MEDIAN(IF(('Utility Results'!$A$4:$A$1008=$A19)*('Utility Results'!$C$4:$C$1008="Midwest peers"),'Utility Results'!$N$4:$N$1008))</f>
        <v>272.757042992197</v>
      </c>
      <c r="E19" s="12" t="n">
        <f aca="false">'Group Results'!M20</f>
        <v>152.057308498853</v>
      </c>
      <c r="F19" s="12" t="n">
        <f aca="false" t="array" ref="F19:F19">MEDIAN(IF(('Utility Results'!$A$4:$A$1008=$A19)*('Utility Results'!$C$4:$C$1008="Northeast peers"),'Utility Results'!$O$4:$O$1008))</f>
        <v>184.400481072685</v>
      </c>
      <c r="G19" s="12" t="n">
        <f aca="false" t="array" ref="G19:G19">MEDIAN(IF(('Utility Results'!$A$4:$A$1008=$A19)*('Utility Results'!$C$4:$C$1008="Midwest peers"),'Utility Results'!$O$4:$O$1008))</f>
        <v>205.656398471558</v>
      </c>
    </row>
    <row r="20" customFormat="false" ht="15" hidden="false" customHeight="false" outlineLevel="0" collapsed="false">
      <c r="A20" s="7" t="n">
        <v>2016</v>
      </c>
      <c r="B20" s="12" t="n">
        <f aca="false">'Group Results'!L21</f>
        <v>250.763205044549</v>
      </c>
      <c r="C20" s="12" t="n">
        <f aca="false" t="array" ref="C20:C20">MEDIAN(IF(('Utility Results'!$A$4:$A$1008=$A20)*('Utility Results'!$C$4:$C$1008="Northeast peers"),'Utility Results'!$N$4:$N$1008))</f>
        <v>352.218950676853</v>
      </c>
      <c r="D20" s="12" t="n">
        <f aca="false" t="array" ref="D20:D20">MEDIAN(IF(('Utility Results'!$A$4:$A$1008=$A20)*('Utility Results'!$C$4:$C$1008="Midwest peers"),'Utility Results'!$N$4:$N$1008))</f>
        <v>276.352538924334</v>
      </c>
      <c r="E20" s="12" t="n">
        <f aca="false">'Group Results'!M21</f>
        <v>170.282727279649</v>
      </c>
      <c r="F20" s="12" t="n">
        <f aca="false" t="array" ref="F20:F20">MEDIAN(IF(('Utility Results'!$A$4:$A$1008=$A20)*('Utility Results'!$C$4:$C$1008="Northeast peers"),'Utility Results'!$O$4:$O$1008))</f>
        <v>212.367131368201</v>
      </c>
      <c r="G20" s="12" t="n">
        <f aca="false" t="array" ref="G20:G20">MEDIAN(IF(('Utility Results'!$A$4:$A$1008=$A20)*('Utility Results'!$C$4:$C$1008="Midwest peers"),'Utility Results'!$O$4:$O$1008))</f>
        <v>214.824400892009</v>
      </c>
    </row>
    <row r="21" customFormat="false" ht="15" hidden="false" customHeight="false" outlineLevel="0" collapsed="false">
      <c r="A21" s="7" t="n">
        <v>2017</v>
      </c>
      <c r="B21" s="12" t="n">
        <f aca="false">'Group Results'!L22</f>
        <v>267.393831157922</v>
      </c>
      <c r="C21" s="12" t="n">
        <f aca="false" t="array" ref="C21:C21">MEDIAN(IF(('Utility Results'!$A$4:$A$1008=$A21)*('Utility Results'!$C$4:$C$1008="Northeast peers"),'Utility Results'!$N$4:$N$1008))</f>
        <v>327.739292954936</v>
      </c>
      <c r="D21" s="12" t="n">
        <f aca="false" t="array" ref="D21:D21">MEDIAN(IF(('Utility Results'!$A$4:$A$1008=$A21)*('Utility Results'!$C$4:$C$1008="Midwest peers"),'Utility Results'!$N$4:$N$1008))</f>
        <v>293.502028164953</v>
      </c>
      <c r="E21" s="12" t="n">
        <f aca="false">'Group Results'!M22</f>
        <v>159.805695689213</v>
      </c>
      <c r="F21" s="12" t="n">
        <f aca="false" t="array" ref="F21:F21">MEDIAN(IF(('Utility Results'!$A$4:$A$1008=$A21)*('Utility Results'!$C$4:$C$1008="Northeast peers"),'Utility Results'!$O$4:$O$1008))</f>
        <v>249.223665010376</v>
      </c>
      <c r="G21" s="12" t="n">
        <f aca="false" t="array" ref="G21:G21">MEDIAN(IF(('Utility Results'!$A$4:$A$1008=$A21)*('Utility Results'!$C$4:$C$1008="Midwest peers"),'Utility Results'!$O$4:$O$1008))</f>
        <v>255.763250030505</v>
      </c>
    </row>
    <row r="22" customFormat="false" ht="15" hidden="false" customHeight="false" outlineLevel="0" collapsed="false">
      <c r="A22" s="7" t="n">
        <v>2018</v>
      </c>
      <c r="B22" s="12" t="n">
        <f aca="false">'Group Results'!L23</f>
        <v>322.47350666813</v>
      </c>
      <c r="C22" s="12" t="n">
        <f aca="false" t="array" ref="C22:C22">MEDIAN(IF(('Utility Results'!$A$4:$A$1008=$A22)*('Utility Results'!$C$4:$C$1008="Northeast peers"),'Utility Results'!$N$4:$N$1008))</f>
        <v>359.686495900524</v>
      </c>
      <c r="D22" s="12" t="n">
        <f aca="false" t="array" ref="D22:D22">MEDIAN(IF(('Utility Results'!$A$4:$A$1008=$A22)*('Utility Results'!$C$4:$C$1008="Midwest peers"),'Utility Results'!$N$4:$N$1008))</f>
        <v>300.370301766857</v>
      </c>
      <c r="E22" s="12" t="n">
        <f aca="false">'Group Results'!M23</f>
        <v>211.153499589223</v>
      </c>
      <c r="F22" s="12" t="n">
        <f aca="false" t="array" ref="F22:F22">MEDIAN(IF(('Utility Results'!$A$4:$A$1008=$A22)*('Utility Results'!$C$4:$C$1008="Northeast peers"),'Utility Results'!$O$4:$O$1008))</f>
        <v>277.530589914113</v>
      </c>
      <c r="G22" s="12" t="n">
        <f aca="false" t="array" ref="G22:G22">MEDIAN(IF(('Utility Results'!$A$4:$A$1008=$A22)*('Utility Results'!$C$4:$C$1008="Midwest peers"),'Utility Results'!$O$4:$O$1008))</f>
        <v>283.674161294583</v>
      </c>
    </row>
    <row r="23" customFormat="false" ht="15" hidden="false" customHeight="false" outlineLevel="0" collapsed="false">
      <c r="A23" s="7" t="n">
        <v>2019</v>
      </c>
      <c r="B23" s="12" t="n">
        <f aca="false">'Group Results'!L24</f>
        <v>303.688038753125</v>
      </c>
      <c r="C23" s="12" t="n">
        <f aca="false" t="array" ref="C23:C23">MEDIAN(IF(('Utility Results'!$A$4:$A$1008=$A23)*('Utility Results'!$C$4:$C$1008="Northeast peers"),'Utility Results'!$N$4:$N$1008))</f>
        <v>359.49051297024</v>
      </c>
      <c r="D23" s="12" t="n">
        <f aca="false" t="array" ref="D23:D23">MEDIAN(IF(('Utility Results'!$A$4:$A$1008=$A23)*('Utility Results'!$C$4:$C$1008="Midwest peers"),'Utility Results'!$N$4:$N$1008))</f>
        <v>308.281643531655</v>
      </c>
      <c r="E23" s="12" t="n">
        <f aca="false">'Group Results'!M24</f>
        <v>214.770767828722</v>
      </c>
      <c r="F23" s="12" t="n">
        <f aca="false" t="array" ref="F23:F23">MEDIAN(IF(('Utility Results'!$A$4:$A$1008=$A23)*('Utility Results'!$C$4:$C$1008="Northeast peers"),'Utility Results'!$O$4:$O$1008))</f>
        <v>267.354630596303</v>
      </c>
      <c r="G23" s="12" t="n">
        <f aca="false" t="array" ref="G23:G23">MEDIAN(IF(('Utility Results'!$A$4:$A$1008=$A23)*('Utility Results'!$C$4:$C$1008="Midwest peers"),'Utility Results'!$O$4:$O$1008))</f>
        <v>313.481819889765</v>
      </c>
    </row>
    <row r="24" customFormat="false" ht="15" hidden="false" customHeight="false" outlineLevel="0" collapsed="false">
      <c r="A24" s="7" t="n">
        <v>2020</v>
      </c>
      <c r="B24" s="12" t="n">
        <f aca="false">'Group Results'!L25</f>
        <v>343.684936078543</v>
      </c>
      <c r="C24" s="12" t="n">
        <f aca="false" t="array" ref="C24:C24">MEDIAN(IF(('Utility Results'!$A$4:$A$1008=$A24)*('Utility Results'!$C$4:$C$1008="Northeast peers"),'Utility Results'!$N$4:$N$1008))</f>
        <v>375.134745848517</v>
      </c>
      <c r="D24" s="12" t="n">
        <f aca="false" t="array" ref="D24:D24">MEDIAN(IF(('Utility Results'!$A$4:$A$1008=$A24)*('Utility Results'!$C$4:$C$1008="Midwest peers"),'Utility Results'!$N$4:$N$1008))</f>
        <v>312.242436053471</v>
      </c>
      <c r="E24" s="12" t="n">
        <f aca="false">'Group Results'!M25</f>
        <v>205.132640355081</v>
      </c>
      <c r="F24" s="12" t="n">
        <f aca="false" t="array" ref="F24:F24">MEDIAN(IF(('Utility Results'!$A$4:$A$1008=$A24)*('Utility Results'!$C$4:$C$1008="Northeast peers"),'Utility Results'!$O$4:$O$1008))</f>
        <v>296.178190648809</v>
      </c>
      <c r="G24" s="12" t="n">
        <f aca="false" t="array" ref="G24:G24">MEDIAN(IF(('Utility Results'!$A$4:$A$1008=$A24)*('Utility Results'!$C$4:$C$1008="Midwest peers"),'Utility Results'!$O$4:$O$1008))</f>
        <v>318.051631969443</v>
      </c>
    </row>
    <row r="25" customFormat="false" ht="15" hidden="false" customHeight="false" outlineLevel="0" collapsed="false">
      <c r="A25" s="7" t="n">
        <v>2021</v>
      </c>
      <c r="B25" s="12" t="n">
        <f aca="false">'Group Results'!L26</f>
        <v>298.014393694213</v>
      </c>
      <c r="C25" s="12" t="n">
        <f aca="false" t="array" ref="C25:C25">MEDIAN(IF(('Utility Results'!$A$4:$A$1008=$A25)*('Utility Results'!$C$4:$C$1008="Northeast peers"),'Utility Results'!$N$4:$N$1008))</f>
        <v>367.421458639737</v>
      </c>
      <c r="D25" s="12" t="n">
        <f aca="false" t="array" ref="D25:D25">MEDIAN(IF(('Utility Results'!$A$4:$A$1008=$A25)*('Utility Results'!$C$4:$C$1008="Midwest peers"),'Utility Results'!$N$4:$N$1008))</f>
        <v>322.516039229244</v>
      </c>
      <c r="E25" s="12" t="n">
        <f aca="false">'Group Results'!M26</f>
        <v>211.595843986459</v>
      </c>
      <c r="F25" s="12" t="n">
        <f aca="false" t="array" ref="F25:F25">MEDIAN(IF(('Utility Results'!$A$4:$A$1008=$A25)*('Utility Results'!$C$4:$C$1008="Northeast peers"),'Utility Results'!$O$4:$O$1008))</f>
        <v>280.13445351662</v>
      </c>
      <c r="G25" s="12" t="n">
        <f aca="false" t="array" ref="G25:G25">MEDIAN(IF(('Utility Results'!$A$4:$A$1008=$A25)*('Utility Results'!$C$4:$C$1008="Midwest peers"),'Utility Results'!$O$4:$O$1008))</f>
        <v>354.429790201586</v>
      </c>
    </row>
    <row r="26" customFormat="false" ht="15" hidden="false" customHeight="false" outlineLevel="0" collapsed="false">
      <c r="A26" s="7" t="n">
        <v>2022</v>
      </c>
      <c r="B26" s="12" t="n">
        <f aca="false">'Group Results'!L27</f>
        <v>342.795467532267</v>
      </c>
      <c r="C26" s="12" t="n">
        <f aca="false" t="array" ref="C26:C26">MEDIAN(IF(('Utility Results'!$A$4:$A$1008=$A26)*('Utility Results'!$C$4:$C$1008="Northeast peers"),'Utility Results'!$N$4:$N$1008))</f>
        <v>391.744650122763</v>
      </c>
      <c r="D26" s="12" t="n">
        <f aca="false" t="array" ref="D26:D26">MEDIAN(IF(('Utility Results'!$A$4:$A$1008=$A26)*('Utility Results'!$C$4:$C$1008="Midwest peers"),'Utility Results'!$N$4:$N$1008))</f>
        <v>333.095240112532</v>
      </c>
      <c r="E26" s="12" t="n">
        <f aca="false">'Group Results'!M27</f>
        <v>184.422815931904</v>
      </c>
      <c r="F26" s="12" t="n">
        <f aca="false" t="array" ref="F26:F26">MEDIAN(IF(('Utility Results'!$A$4:$A$1008=$A26)*('Utility Results'!$C$4:$C$1008="Northeast peers"),'Utility Results'!$O$4:$O$1008))</f>
        <v>293.814819845471</v>
      </c>
      <c r="G26" s="12" t="n">
        <f aca="false" t="array" ref="G26:G26">MEDIAN(IF(('Utility Results'!$A$4:$A$1008=$A26)*('Utility Results'!$C$4:$C$1008="Midwest peers"),'Utility Results'!$O$4:$O$1008))</f>
        <v>345.450763567282</v>
      </c>
    </row>
    <row r="27" customFormat="false" ht="15" hidden="false" customHeight="false" outlineLevel="0" collapsed="false">
      <c r="A27" s="7" t="n">
        <v>2023</v>
      </c>
      <c r="B27" s="12" t="n">
        <f aca="false">'Group Results'!L28</f>
        <v>339.085661954965</v>
      </c>
      <c r="C27" s="12" t="n">
        <f aca="false" t="array" ref="C27:C27">MEDIAN(IF(('Utility Results'!$A$4:$A$1008=$A27)*('Utility Results'!$C$4:$C$1008="Northeast peers"),'Utility Results'!$N$4:$N$1008))</f>
        <v>420.432369336578</v>
      </c>
      <c r="D27" s="12" t="n">
        <f aca="false" t="array" ref="D27:D27">MEDIAN(IF(('Utility Results'!$A$4:$A$1008=$A27)*('Utility Results'!$C$4:$C$1008="Midwest peers"),'Utility Results'!$N$4:$N$1008))</f>
        <v>351.946980769782</v>
      </c>
      <c r="E27" s="12" t="n">
        <f aca="false">'Group Results'!M28</f>
        <v>193.657679734758</v>
      </c>
      <c r="F27" s="12" t="n">
        <f aca="false" t="array" ref="F27:F27">MEDIAN(IF(('Utility Results'!$A$4:$A$1008=$A27)*('Utility Results'!$C$4:$C$1008="Northeast peers"),'Utility Results'!$O$4:$O$1008))</f>
        <v>356.156227623061</v>
      </c>
      <c r="G27" s="12" t="n">
        <f aca="false" t="array" ref="G27:G27">MEDIAN(IF(('Utility Results'!$A$4:$A$1008=$A27)*('Utility Results'!$C$4:$C$1008="Midwest peers"),'Utility Results'!$O$4:$O$1008))</f>
        <v>409.674112345662</v>
      </c>
    </row>
    <row r="28" customFormat="false" ht="15" hidden="false" customHeight="false" outlineLevel="0" collapsed="false">
      <c r="A28" s="7" t="n">
        <v>2024</v>
      </c>
      <c r="B28" s="12" t="n">
        <f aca="false">'Group Results'!L29</f>
        <v>369.151511121774</v>
      </c>
      <c r="C28" s="12" t="n">
        <f aca="false" t="array" ref="C28:C28">MEDIAN(IF(('Utility Results'!$A$4:$A$1008=$A28)*('Utility Results'!$C$4:$C$1008="Northeast peers"),'Utility Results'!$N$4:$N$1008))</f>
        <v>454.375222801542</v>
      </c>
      <c r="D28" s="12" t="n">
        <f aca="false" t="array" ref="D28:D28">MEDIAN(IF(('Utility Results'!$A$4:$A$1008=$A28)*('Utility Results'!$C$4:$C$1008="Midwest peers"),'Utility Results'!$N$4:$N$1008))</f>
        <v>370.550966724453</v>
      </c>
      <c r="E28" s="12" t="n">
        <f aca="false">'Group Results'!M29</f>
        <v>213.062258501583</v>
      </c>
      <c r="F28" s="12" t="n">
        <f aca="false" t="array" ref="F28:F28">MEDIAN(IF(('Utility Results'!$A$4:$A$1008=$A28)*('Utility Results'!$C$4:$C$1008="Northeast peers"),'Utility Results'!$O$4:$O$1008))</f>
        <v>414.919472042248</v>
      </c>
      <c r="G28" s="12" t="n">
        <f aca="false" t="array" ref="G28:G28">MEDIAN(IF(('Utility Results'!$A$4:$A$1008=$A28)*('Utility Results'!$C$4:$C$1008="Midwest peers"),'Utility Results'!$O$4:$O$1008))</f>
        <v>463.497430461925</v>
      </c>
    </row>
    <row r="29" customFormat="false" ht="15" hidden="false" customHeight="false" outlineLevel="0" collapsed="false">
      <c r="A29" s="7" t="n">
        <v>2025</v>
      </c>
      <c r="B29" s="12" t="n">
        <f aca="false">'Group Results'!L30</f>
        <v>418.150150921881</v>
      </c>
      <c r="C29" s="12" t="n">
        <f aca="false" t="array" ref="C29:C29">MEDIAN(IF(('Utility Results'!$A$4:$A$1008=$A29)*('Utility Results'!$C$4:$C$1008="Northeast peers"),'Utility Results'!$N$4:$N$1008))</f>
        <v>501.454297294775</v>
      </c>
      <c r="D29" s="12" t="n">
        <f aca="false" t="array" ref="D29:D29">MEDIAN(IF(('Utility Results'!$A$4:$A$1008=$A29)*('Utility Results'!$C$4:$C$1008="Midwest peers"),'Utility Results'!$N$4:$N$1008))</f>
        <v>396.856140521151</v>
      </c>
      <c r="E29" s="12" t="n">
        <f aca="false">'Group Results'!M30</f>
        <v>310.631816964514</v>
      </c>
      <c r="F29" s="12" t="n">
        <f aca="false" t="array" ref="F29:F29">MEDIAN(IF(('Utility Results'!$A$4:$A$1008=$A29)*('Utility Results'!$C$4:$C$1008="Northeast peers"),'Utility Results'!$O$4:$O$1008))</f>
        <v>422.990149760794</v>
      </c>
      <c r="G29" s="12" t="n">
        <f aca="false" t="array" ref="G29:G29">MEDIAN(IF(('Utility Results'!$A$4:$A$1008=$A29)*('Utility Results'!$C$4:$C$1008="Midwest peers"),'Utility Results'!$O$4:$O$1008))</f>
        <v>585.211379691969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0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38"/>
    <col collapsed="false" customWidth="true" hidden="false" outlineLevel="0" max="4" min="3" style="0" width="14"/>
    <col collapsed="false" customWidth="true" hidden="false" outlineLevel="0" max="5" min="5" style="0" width="11"/>
    <col collapsed="false" customWidth="true" hidden="false" outlineLevel="0" max="7" min="6" style="0" width="14"/>
    <col collapsed="false" customWidth="true" hidden="false" outlineLevel="0" max="8" min="8" style="0" width="11"/>
    <col collapsed="false" customWidth="true" hidden="false" outlineLevel="0" max="10" min="9" style="0" width="14"/>
    <col collapsed="false" customWidth="true" hidden="false" outlineLevel="0" max="11" min="11" style="0" width="11"/>
    <col collapsed="false" customWidth="true" hidden="false" outlineLevel="0" max="12" min="12" style="0" width="30"/>
  </cols>
  <sheetData>
    <row r="1" customFormat="false" ht="15" hidden="false" customHeight="false" outlineLevel="0" collapsed="false">
      <c r="A1" s="4" t="s">
        <v>168</v>
      </c>
    </row>
    <row r="2" customFormat="false" ht="15" hidden="false" customHeight="false" outlineLevel="0" collapsed="false">
      <c r="A2" s="13" t="s">
        <v>169</v>
      </c>
      <c r="D2" s="17" t="n">
        <v>0.005</v>
      </c>
    </row>
    <row r="3" customFormat="false" ht="31.5" hidden="false" customHeight="true" outlineLevel="0" collapsed="false">
      <c r="A3" s="18" t="s">
        <v>170</v>
      </c>
      <c r="B3" s="18"/>
      <c r="C3" s="18"/>
      <c r="D3" s="18"/>
      <c r="E3" s="18"/>
      <c r="F3" s="18"/>
      <c r="G3" s="18"/>
      <c r="H3" s="18"/>
      <c r="I3" s="18"/>
      <c r="J3" s="18"/>
      <c r="K3" s="18"/>
      <c r="L3" s="18"/>
    </row>
    <row r="5" customFormat="false" ht="57.75" hidden="false" customHeight="true" outlineLevel="0" collapsed="false">
      <c r="A5" s="6" t="s">
        <v>39</v>
      </c>
      <c r="B5" s="6" t="s">
        <v>85</v>
      </c>
      <c r="C5" s="6" t="s">
        <v>171</v>
      </c>
      <c r="D5" s="6" t="s">
        <v>172</v>
      </c>
      <c r="E5" s="6" t="s">
        <v>173</v>
      </c>
      <c r="F5" s="6" t="s">
        <v>174</v>
      </c>
      <c r="G5" s="6" t="s">
        <v>175</v>
      </c>
      <c r="H5" s="6" t="s">
        <v>173</v>
      </c>
      <c r="I5" s="6" t="s">
        <v>176</v>
      </c>
      <c r="J5" s="6" t="s">
        <v>177</v>
      </c>
      <c r="K5" s="6" t="s">
        <v>173</v>
      </c>
      <c r="L5" s="6" t="s">
        <v>178</v>
      </c>
    </row>
    <row r="6" customFormat="false" ht="15" hidden="false" customHeight="false" outlineLevel="0" collapsed="false">
      <c r="A6" s="7" t="n">
        <v>2000</v>
      </c>
      <c r="B6" s="15" t="s">
        <v>117</v>
      </c>
      <c r="C6" s="19" t="n">
        <v>98.937796</v>
      </c>
      <c r="D6" s="19" t="n">
        <v>98.937796</v>
      </c>
      <c r="E6" s="20" t="n">
        <f aca="false">IF(OR(D6="",D6=0),"",(C6-D6)/D6)</f>
        <v>0</v>
      </c>
      <c r="F6" s="19" t="n">
        <v>76.065082</v>
      </c>
      <c r="G6" s="19" t="n">
        <v>76.065082</v>
      </c>
      <c r="H6" s="20" t="n">
        <f aca="false">IF(OR(G6="",G6=0),"",(F6-G6)/G6)</f>
        <v>0</v>
      </c>
      <c r="I6" s="19" t="n">
        <v>145.202089</v>
      </c>
      <c r="J6" s="19" t="n">
        <v>145.202089</v>
      </c>
      <c r="K6" s="20" t="n">
        <f aca="false">IF(OR(J6="",J6=0),"",(I6-J6)/J6)</f>
        <v>0</v>
      </c>
      <c r="L6" s="21" t="str">
        <f aca="false">IF(OR(D6="",G6="",J6=""),"No reported subtotal",IF(AND(ABS(N(E6))&lt;=$D$2,ABS(N(H6))&lt;=$D$2,ABS(N(K6))&lt;=$D$2),"Reconciles within tolerance","Outside tolerance"))</f>
        <v>Reconciles within tolerance</v>
      </c>
    </row>
    <row r="7" customFormat="false" ht="15" hidden="false" customHeight="false" outlineLevel="0" collapsed="false">
      <c r="A7" s="7" t="n">
        <v>2001</v>
      </c>
      <c r="B7" s="15" t="s">
        <v>117</v>
      </c>
      <c r="C7" s="19" t="n">
        <v>101.181507</v>
      </c>
      <c r="D7" s="19" t="n">
        <v>101.181507</v>
      </c>
      <c r="E7" s="20" t="n">
        <f aca="false">IF(OR(D7="",D7=0),"",(C7-D7)/D7)</f>
        <v>0</v>
      </c>
      <c r="F7" s="19" t="n">
        <v>85.498352</v>
      </c>
      <c r="G7" s="19" t="n">
        <v>85.498352</v>
      </c>
      <c r="H7" s="20" t="n">
        <f aca="false">IF(OR(G7="",G7=0),"",(F7-G7)/G7)</f>
        <v>0</v>
      </c>
      <c r="I7" s="19" t="n">
        <v>133.763007</v>
      </c>
      <c r="J7" s="19" t="n">
        <v>133.763007</v>
      </c>
      <c r="K7" s="20" t="n">
        <f aca="false">IF(OR(J7="",J7=0),"",(I7-J7)/J7)</f>
        <v>0</v>
      </c>
      <c r="L7" s="21" t="str">
        <f aca="false">IF(OR(D7="",G7="",J7=""),"No reported subtotal",IF(AND(ABS(N(E7))&lt;=$D$2,ABS(N(H7))&lt;=$D$2,ABS(N(K7))&lt;=$D$2),"Reconciles within tolerance","Outside tolerance"))</f>
        <v>Reconciles within tolerance</v>
      </c>
    </row>
    <row r="8" customFormat="false" ht="15" hidden="false" customHeight="false" outlineLevel="0" collapsed="false">
      <c r="A8" s="7" t="n">
        <v>2002</v>
      </c>
      <c r="B8" s="15" t="s">
        <v>117</v>
      </c>
      <c r="C8" s="19" t="n">
        <v>100.228964</v>
      </c>
      <c r="D8" s="19" t="n">
        <v>100.228964</v>
      </c>
      <c r="E8" s="20" t="n">
        <f aca="false">IF(OR(D8="",D8=0),"",(C8-D8)/D8)</f>
        <v>0</v>
      </c>
      <c r="F8" s="19" t="n">
        <v>83.462876</v>
      </c>
      <c r="G8" s="19" t="n">
        <v>83.462876</v>
      </c>
      <c r="H8" s="20" t="n">
        <f aca="false">IF(OR(G8="",G8=0),"",(F8-G8)/G8)</f>
        <v>0</v>
      </c>
      <c r="I8" s="19" t="n">
        <v>116.494436</v>
      </c>
      <c r="J8" s="19" t="n">
        <v>116.494436</v>
      </c>
      <c r="K8" s="20" t="n">
        <f aca="false">IF(OR(J8="",J8=0),"",(I8-J8)/J8)</f>
        <v>0</v>
      </c>
      <c r="L8" s="21" t="str">
        <f aca="false">IF(OR(D8="",G8="",J8=""),"No reported subtotal",IF(AND(ABS(N(E8))&lt;=$D$2,ABS(N(H8))&lt;=$D$2,ABS(N(K8))&lt;=$D$2),"Reconciles within tolerance","Outside tolerance"))</f>
        <v>Reconciles within tolerance</v>
      </c>
    </row>
    <row r="9" customFormat="false" ht="15" hidden="false" customHeight="false" outlineLevel="0" collapsed="false">
      <c r="A9" s="7" t="n">
        <v>2003</v>
      </c>
      <c r="B9" s="15" t="s">
        <v>117</v>
      </c>
      <c r="C9" s="19" t="n">
        <v>115.757544</v>
      </c>
      <c r="D9" s="19" t="n">
        <v>115.757544</v>
      </c>
      <c r="E9" s="20" t="n">
        <f aca="false">IF(OR(D9="",D9=0),"",(C9-D9)/D9)</f>
        <v>0</v>
      </c>
      <c r="F9" s="19" t="n">
        <v>87.940149</v>
      </c>
      <c r="G9" s="19" t="n">
        <v>87.940149</v>
      </c>
      <c r="H9" s="20" t="n">
        <f aca="false">IF(OR(G9="",G9=0),"",(F9-G9)/G9)</f>
        <v>0</v>
      </c>
      <c r="I9" s="19" t="n">
        <v>117.534517</v>
      </c>
      <c r="J9" s="19" t="n">
        <v>117.534517</v>
      </c>
      <c r="K9" s="20" t="n">
        <f aca="false">IF(OR(J9="",J9=0),"",(I9-J9)/J9)</f>
        <v>0</v>
      </c>
      <c r="L9" s="21" t="str">
        <f aca="false">IF(OR(D9="",G9="",J9=""),"No reported subtotal",IF(AND(ABS(N(E9))&lt;=$D$2,ABS(N(H9))&lt;=$D$2,ABS(N(K9))&lt;=$D$2),"Reconciles within tolerance","Outside tolerance"))</f>
        <v>Reconciles within tolerance</v>
      </c>
    </row>
    <row r="10" customFormat="false" ht="15" hidden="false" customHeight="false" outlineLevel="0" collapsed="false">
      <c r="A10" s="7" t="n">
        <v>2004</v>
      </c>
      <c r="B10" s="15" t="s">
        <v>117</v>
      </c>
      <c r="C10" s="19" t="n">
        <v>141.914051</v>
      </c>
      <c r="D10" s="19" t="n">
        <v>141.914051</v>
      </c>
      <c r="E10" s="20" t="n">
        <f aca="false">IF(OR(D10="",D10=0),"",(C10-D10)/D10)</f>
        <v>0</v>
      </c>
      <c r="F10" s="19" t="n">
        <v>96.147976</v>
      </c>
      <c r="G10" s="19" t="n">
        <v>96.147976</v>
      </c>
      <c r="H10" s="20" t="n">
        <f aca="false">IF(OR(G10="",G10=0),"",(F10-G10)/G10)</f>
        <v>0</v>
      </c>
      <c r="I10" s="19" t="n">
        <v>129.389811</v>
      </c>
      <c r="J10" s="19" t="n">
        <v>129.389811</v>
      </c>
      <c r="K10" s="20" t="n">
        <f aca="false">IF(OR(J10="",J10=0),"",(I10-J10)/J10)</f>
        <v>0</v>
      </c>
      <c r="L10" s="21" t="str">
        <f aca="false">IF(OR(D10="",G10="",J10=""),"No reported subtotal",IF(AND(ABS(N(E10))&lt;=$D$2,ABS(N(H10))&lt;=$D$2,ABS(N(K10))&lt;=$D$2),"Reconciles within tolerance","Outside tolerance"))</f>
        <v>Reconciles within tolerance</v>
      </c>
    </row>
    <row r="11" customFormat="false" ht="15" hidden="false" customHeight="false" outlineLevel="0" collapsed="false">
      <c r="A11" s="7" t="n">
        <v>2005</v>
      </c>
      <c r="B11" s="15" t="s">
        <v>117</v>
      </c>
      <c r="C11" s="19" t="n">
        <v>139.96691</v>
      </c>
      <c r="D11" s="19" t="n">
        <v>139.96691</v>
      </c>
      <c r="E11" s="20" t="n">
        <f aca="false">IF(OR(D11="",D11=0),"",(C11-D11)/D11)</f>
        <v>0</v>
      </c>
      <c r="F11" s="19" t="n">
        <v>93.40766</v>
      </c>
      <c r="G11" s="19" t="n">
        <v>93.40766</v>
      </c>
      <c r="H11" s="20" t="n">
        <f aca="false">IF(OR(G11="",G11=0),"",(F11-G11)/G11)</f>
        <v>0</v>
      </c>
      <c r="I11" s="19" t="n">
        <v>134.440739</v>
      </c>
      <c r="J11" s="19" t="n">
        <v>134.440739</v>
      </c>
      <c r="K11" s="20" t="n">
        <f aca="false">IF(OR(J11="",J11=0),"",(I11-J11)/J11)</f>
        <v>0</v>
      </c>
      <c r="L11" s="21" t="str">
        <f aca="false">IF(OR(D11="",G11="",J11=""),"No reported subtotal",IF(AND(ABS(N(E11))&lt;=$D$2,ABS(N(H11))&lt;=$D$2,ABS(N(K11))&lt;=$D$2),"Reconciles within tolerance","Outside tolerance"))</f>
        <v>Reconciles within tolerance</v>
      </c>
    </row>
    <row r="12" customFormat="false" ht="15" hidden="false" customHeight="false" outlineLevel="0" collapsed="false">
      <c r="A12" s="7" t="n">
        <v>2006</v>
      </c>
      <c r="B12" s="15" t="s">
        <v>117</v>
      </c>
      <c r="C12" s="19" t="n">
        <v>113.73831</v>
      </c>
      <c r="D12" s="19" t="n">
        <v>113.73831</v>
      </c>
      <c r="E12" s="20" t="n">
        <f aca="false">IF(OR(D12="",D12=0),"",(C12-D12)/D12)</f>
        <v>0</v>
      </c>
      <c r="F12" s="19" t="n">
        <v>95.901185</v>
      </c>
      <c r="G12" s="19" t="n">
        <v>95.901185</v>
      </c>
      <c r="H12" s="20" t="n">
        <f aca="false">IF(OR(G12="",G12=0),"",(F12-G12)/G12)</f>
        <v>0</v>
      </c>
      <c r="I12" s="19" t="n">
        <v>250.291918</v>
      </c>
      <c r="J12" s="19" t="n">
        <v>250.291918</v>
      </c>
      <c r="K12" s="20" t="n">
        <f aca="false">IF(OR(J12="",J12=0),"",(I12-J12)/J12)</f>
        <v>0</v>
      </c>
      <c r="L12" s="21" t="str">
        <f aca="false">IF(OR(D12="",G12="",J12=""),"No reported subtotal",IF(AND(ABS(N(E12))&lt;=$D$2,ABS(N(H12))&lt;=$D$2,ABS(N(K12))&lt;=$D$2),"Reconciles within tolerance","Outside tolerance"))</f>
        <v>Reconciles within tolerance</v>
      </c>
    </row>
    <row r="13" customFormat="false" ht="15" hidden="false" customHeight="false" outlineLevel="0" collapsed="false">
      <c r="A13" s="7" t="n">
        <v>2007</v>
      </c>
      <c r="B13" s="15" t="s">
        <v>117</v>
      </c>
      <c r="C13" s="19" t="n">
        <v>128.857366</v>
      </c>
      <c r="D13" s="19" t="n">
        <v>128.857366</v>
      </c>
      <c r="E13" s="20" t="n">
        <f aca="false">IF(OR(D13="",D13=0),"",(C13-D13)/D13)</f>
        <v>0</v>
      </c>
      <c r="F13" s="19" t="n">
        <v>94.402228</v>
      </c>
      <c r="G13" s="19" t="n">
        <v>94.402228</v>
      </c>
      <c r="H13" s="20" t="n">
        <f aca="false">IF(OR(G13="",G13=0),"",(F13-G13)/G13)</f>
        <v>0</v>
      </c>
      <c r="I13" s="19" t="n">
        <v>198.161195</v>
      </c>
      <c r="J13" s="19" t="n">
        <v>198.161195</v>
      </c>
      <c r="K13" s="20" t="n">
        <f aca="false">IF(OR(J13="",J13=0),"",(I13-J13)/J13)</f>
        <v>0</v>
      </c>
      <c r="L13" s="21" t="str">
        <f aca="false">IF(OR(D13="",G13="",J13=""),"No reported subtotal",IF(AND(ABS(N(E13))&lt;=$D$2,ABS(N(H13))&lt;=$D$2,ABS(N(K13))&lt;=$D$2),"Reconciles within tolerance","Outside tolerance"))</f>
        <v>Reconciles within tolerance</v>
      </c>
    </row>
    <row r="14" customFormat="false" ht="15" hidden="false" customHeight="false" outlineLevel="0" collapsed="false">
      <c r="A14" s="7" t="n">
        <v>2008</v>
      </c>
      <c r="B14" s="15" t="s">
        <v>117</v>
      </c>
      <c r="C14" s="19" t="n">
        <v>131.914826</v>
      </c>
      <c r="D14" s="19" t="n">
        <v>131.914826</v>
      </c>
      <c r="E14" s="20" t="n">
        <f aca="false">IF(OR(D14="",D14=0),"",(C14-D14)/D14)</f>
        <v>0</v>
      </c>
      <c r="F14" s="19" t="n">
        <v>119.408004</v>
      </c>
      <c r="G14" s="19" t="n">
        <v>119.408004</v>
      </c>
      <c r="H14" s="20" t="n">
        <f aca="false">IF(OR(G14="",G14=0),"",(F14-G14)/G14)</f>
        <v>0</v>
      </c>
      <c r="I14" s="19" t="n">
        <v>201.187267</v>
      </c>
      <c r="J14" s="19" t="n">
        <v>201.187267</v>
      </c>
      <c r="K14" s="20" t="n">
        <f aca="false">IF(OR(J14="",J14=0),"",(I14-J14)/J14)</f>
        <v>0</v>
      </c>
      <c r="L14" s="21" t="str">
        <f aca="false">IF(OR(D14="",G14="",J14=""),"No reported subtotal",IF(AND(ABS(N(E14))&lt;=$D$2,ABS(N(H14))&lt;=$D$2,ABS(N(K14))&lt;=$D$2),"Reconciles within tolerance","Outside tolerance"))</f>
        <v>Reconciles within tolerance</v>
      </c>
    </row>
    <row r="15" customFormat="false" ht="15" hidden="false" customHeight="false" outlineLevel="0" collapsed="false">
      <c r="A15" s="7" t="n">
        <v>2009</v>
      </c>
      <c r="B15" s="15" t="s">
        <v>117</v>
      </c>
      <c r="C15" s="19" t="n">
        <v>153.805118</v>
      </c>
      <c r="D15" s="19" t="n">
        <v>153.805118</v>
      </c>
      <c r="E15" s="20" t="n">
        <f aca="false">IF(OR(D15="",D15=0),"",(C15-D15)/D15)</f>
        <v>0</v>
      </c>
      <c r="F15" s="19" t="n">
        <v>102.722086</v>
      </c>
      <c r="G15" s="19" t="n">
        <v>102.722086</v>
      </c>
      <c r="H15" s="20" t="n">
        <f aca="false">IF(OR(G15="",G15=0),"",(F15-G15)/G15)</f>
        <v>0</v>
      </c>
      <c r="I15" s="19" t="n">
        <v>269.128448</v>
      </c>
      <c r="J15" s="19" t="n">
        <v>269.128448</v>
      </c>
      <c r="K15" s="20" t="n">
        <f aca="false">IF(OR(J15="",J15=0),"",(I15-J15)/J15)</f>
        <v>0</v>
      </c>
      <c r="L15" s="21" t="str">
        <f aca="false">IF(OR(D15="",G15="",J15=""),"No reported subtotal",IF(AND(ABS(N(E15))&lt;=$D$2,ABS(N(H15))&lt;=$D$2,ABS(N(K15))&lt;=$D$2),"Reconciles within tolerance","Outside tolerance"))</f>
        <v>Reconciles within tolerance</v>
      </c>
    </row>
    <row r="16" customFormat="false" ht="15" hidden="false" customHeight="false" outlineLevel="0" collapsed="false">
      <c r="A16" s="7" t="n">
        <v>2010</v>
      </c>
      <c r="B16" s="15" t="s">
        <v>117</v>
      </c>
      <c r="C16" s="19" t="n">
        <v>178.627286</v>
      </c>
      <c r="D16" s="19" t="n">
        <v>178.627286</v>
      </c>
      <c r="E16" s="20" t="n">
        <f aca="false">IF(OR(D16="",D16=0),"",(C16-D16)/D16)</f>
        <v>0</v>
      </c>
      <c r="F16" s="19" t="n">
        <v>179.15741</v>
      </c>
      <c r="G16" s="19" t="n">
        <v>179.15741</v>
      </c>
      <c r="H16" s="20" t="n">
        <f aca="false">IF(OR(G16="",G16=0),"",(F16-G16)/G16)</f>
        <v>0</v>
      </c>
      <c r="I16" s="19" t="n">
        <v>160.331328</v>
      </c>
      <c r="J16" s="19" t="n">
        <v>160.331328</v>
      </c>
      <c r="K16" s="20" t="n">
        <f aca="false">IF(OR(J16="",J16=0),"",(I16-J16)/J16)</f>
        <v>0</v>
      </c>
      <c r="L16" s="21" t="str">
        <f aca="false">IF(OR(D16="",G16="",J16=""),"No reported subtotal",IF(AND(ABS(N(E16))&lt;=$D$2,ABS(N(H16))&lt;=$D$2,ABS(N(K16))&lt;=$D$2),"Reconciles within tolerance","Outside tolerance"))</f>
        <v>Reconciles within tolerance</v>
      </c>
    </row>
    <row r="17" customFormat="false" ht="15" hidden="false" customHeight="false" outlineLevel="0" collapsed="false">
      <c r="A17" s="7" t="n">
        <v>2011</v>
      </c>
      <c r="B17" s="15" t="s">
        <v>117</v>
      </c>
      <c r="C17" s="19" t="n">
        <v>141.745304</v>
      </c>
      <c r="D17" s="19" t="n">
        <v>141.745304</v>
      </c>
      <c r="E17" s="20" t="n">
        <f aca="false">IF(OR(D17="",D17=0),"",(C17-D17)/D17)</f>
        <v>0</v>
      </c>
      <c r="F17" s="19" t="n">
        <v>236.187195</v>
      </c>
      <c r="G17" s="19" t="n">
        <v>236.187195</v>
      </c>
      <c r="H17" s="20" t="n">
        <f aca="false">IF(OR(G17="",G17=0),"",(F17-G17)/G17)</f>
        <v>0</v>
      </c>
      <c r="I17" s="19" t="n">
        <v>163.892825</v>
      </c>
      <c r="J17" s="19" t="n">
        <v>163.892825</v>
      </c>
      <c r="K17" s="20" t="n">
        <f aca="false">IF(OR(J17="",J17=0),"",(I17-J17)/J17)</f>
        <v>0</v>
      </c>
      <c r="L17" s="21" t="str">
        <f aca="false">IF(OR(D17="",G17="",J17=""),"No reported subtotal",IF(AND(ABS(N(E17))&lt;=$D$2,ABS(N(H17))&lt;=$D$2,ABS(N(K17))&lt;=$D$2),"Reconciles within tolerance","Outside tolerance"))</f>
        <v>Reconciles within tolerance</v>
      </c>
    </row>
    <row r="18" customFormat="false" ht="15" hidden="false" customHeight="false" outlineLevel="0" collapsed="false">
      <c r="A18" s="7" t="n">
        <v>2012</v>
      </c>
      <c r="B18" s="15" t="s">
        <v>117</v>
      </c>
      <c r="C18" s="19" t="n">
        <v>155.564708</v>
      </c>
      <c r="D18" s="19" t="n">
        <v>155.564708</v>
      </c>
      <c r="E18" s="20" t="n">
        <f aca="false">IF(OR(D18="",D18=0),"",(C18-D18)/D18)</f>
        <v>0</v>
      </c>
      <c r="F18" s="19" t="n">
        <v>237.86413</v>
      </c>
      <c r="G18" s="19" t="n">
        <v>237.86413</v>
      </c>
      <c r="H18" s="20" t="n">
        <f aca="false">IF(OR(G18="",G18=0),"",(F18-G18)/G18)</f>
        <v>0</v>
      </c>
      <c r="I18" s="19" t="n">
        <v>230.563222</v>
      </c>
      <c r="J18" s="19" t="n">
        <v>230.563222</v>
      </c>
      <c r="K18" s="20" t="n">
        <f aca="false">IF(OR(J18="",J18=0),"",(I18-J18)/J18)</f>
        <v>0</v>
      </c>
      <c r="L18" s="21" t="str">
        <f aca="false">IF(OR(D18="",G18="",J18=""),"No reported subtotal",IF(AND(ABS(N(E18))&lt;=$D$2,ABS(N(H18))&lt;=$D$2,ABS(N(K18))&lt;=$D$2),"Reconciles within tolerance","Outside tolerance"))</f>
        <v>Reconciles within tolerance</v>
      </c>
    </row>
    <row r="19" customFormat="false" ht="15" hidden="false" customHeight="false" outlineLevel="0" collapsed="false">
      <c r="A19" s="7" t="n">
        <v>2013</v>
      </c>
      <c r="B19" s="15" t="s">
        <v>117</v>
      </c>
      <c r="C19" s="19" t="n">
        <v>136.595522</v>
      </c>
      <c r="D19" s="19" t="n">
        <v>136.595522</v>
      </c>
      <c r="E19" s="20" t="n">
        <f aca="false">IF(OR(D19="",D19=0),"",(C19-D19)/D19)</f>
        <v>0</v>
      </c>
      <c r="F19" s="19" t="n">
        <v>327.017069</v>
      </c>
      <c r="G19" s="19" t="n">
        <v>327.017069</v>
      </c>
      <c r="H19" s="20" t="n">
        <f aca="false">IF(OR(G19="",G19=0),"",(F19-G19)/G19)</f>
        <v>0</v>
      </c>
      <c r="I19" s="19" t="n">
        <v>210.569966</v>
      </c>
      <c r="J19" s="19" t="n">
        <v>210.569966</v>
      </c>
      <c r="K19" s="20" t="n">
        <f aca="false">IF(OR(J19="",J19=0),"",(I19-J19)/J19)</f>
        <v>0</v>
      </c>
      <c r="L19" s="21" t="str">
        <f aca="false">IF(OR(D19="",G19="",J19=""),"No reported subtotal",IF(AND(ABS(N(E19))&lt;=$D$2,ABS(N(H19))&lt;=$D$2,ABS(N(K19))&lt;=$D$2),"Reconciles within tolerance","Outside tolerance"))</f>
        <v>Reconciles within tolerance</v>
      </c>
    </row>
    <row r="20" customFormat="false" ht="15" hidden="false" customHeight="false" outlineLevel="0" collapsed="false">
      <c r="A20" s="7" t="n">
        <v>2014</v>
      </c>
      <c r="B20" s="15" t="s">
        <v>117</v>
      </c>
      <c r="C20" s="19" t="n">
        <v>187.98058</v>
      </c>
      <c r="D20" s="19" t="n">
        <v>187.98058</v>
      </c>
      <c r="E20" s="20" t="n">
        <f aca="false">IF(OR(D20="",D20=0),"",(C20-D20)/D20)</f>
        <v>0</v>
      </c>
      <c r="F20" s="19" t="n">
        <v>320.620625</v>
      </c>
      <c r="G20" s="19" t="n">
        <v>320.620625</v>
      </c>
      <c r="H20" s="20" t="n">
        <f aca="false">IF(OR(G20="",G20=0),"",(F20-G20)/G20)</f>
        <v>0</v>
      </c>
      <c r="I20" s="19" t="n">
        <v>255.519611</v>
      </c>
      <c r="J20" s="19" t="n">
        <v>255.519611</v>
      </c>
      <c r="K20" s="20" t="n">
        <f aca="false">IF(OR(J20="",J20=0),"",(I20-J20)/J20)</f>
        <v>0</v>
      </c>
      <c r="L20" s="21" t="str">
        <f aca="false">IF(OR(D20="",G20="",J20=""),"No reported subtotal",IF(AND(ABS(N(E20))&lt;=$D$2,ABS(N(H20))&lt;=$D$2,ABS(N(K20))&lt;=$D$2),"Reconciles within tolerance","Outside tolerance"))</f>
        <v>Reconciles within tolerance</v>
      </c>
    </row>
    <row r="21" customFormat="false" ht="15" hidden="false" customHeight="false" outlineLevel="0" collapsed="false">
      <c r="A21" s="7" t="n">
        <v>2015</v>
      </c>
      <c r="B21" s="15" t="s">
        <v>117</v>
      </c>
      <c r="C21" s="19" t="n">
        <v>189.705305</v>
      </c>
      <c r="D21" s="19" t="n">
        <v>189.705305</v>
      </c>
      <c r="E21" s="20" t="n">
        <f aca="false">IF(OR(D21="",D21=0),"",(C21-D21)/D21)</f>
        <v>0</v>
      </c>
      <c r="F21" s="19" t="n">
        <v>293.193701</v>
      </c>
      <c r="G21" s="19" t="n">
        <v>293.193701</v>
      </c>
      <c r="H21" s="20" t="n">
        <f aca="false">IF(OR(G21="",G21=0),"",(F21-G21)/G21)</f>
        <v>0</v>
      </c>
      <c r="I21" s="19" t="n">
        <v>271.496682</v>
      </c>
      <c r="J21" s="19" t="n">
        <v>271.496682</v>
      </c>
      <c r="K21" s="20" t="n">
        <f aca="false">IF(OR(J21="",J21=0),"",(I21-J21)/J21)</f>
        <v>0</v>
      </c>
      <c r="L21" s="21" t="str">
        <f aca="false">IF(OR(D21="",G21="",J21=""),"No reported subtotal",IF(AND(ABS(N(E21))&lt;=$D$2,ABS(N(H21))&lt;=$D$2,ABS(N(K21))&lt;=$D$2),"Reconciles within tolerance","Outside tolerance"))</f>
        <v>Reconciles within tolerance</v>
      </c>
    </row>
    <row r="22" customFormat="false" ht="15" hidden="false" customHeight="false" outlineLevel="0" collapsed="false">
      <c r="A22" s="7" t="n">
        <v>2016</v>
      </c>
      <c r="B22" s="15" t="s">
        <v>117</v>
      </c>
      <c r="C22" s="19" t="n">
        <v>192.51348</v>
      </c>
      <c r="D22" s="19" t="n">
        <v>192.51348</v>
      </c>
      <c r="E22" s="20" t="n">
        <f aca="false">IF(OR(D22="",D22=0),"",(C22-D22)/D22)</f>
        <v>0</v>
      </c>
      <c r="F22" s="19" t="n">
        <v>313.450651</v>
      </c>
      <c r="G22" s="19" t="n">
        <v>313.450651</v>
      </c>
      <c r="H22" s="20" t="n">
        <f aca="false">IF(OR(G22="",G22=0),"",(F22-G22)/G22)</f>
        <v>0</v>
      </c>
      <c r="I22" s="19" t="n">
        <v>229.540882</v>
      </c>
      <c r="J22" s="19" t="n">
        <v>229.540882</v>
      </c>
      <c r="K22" s="20" t="n">
        <f aca="false">IF(OR(J22="",J22=0),"",(I22-J22)/J22)</f>
        <v>0</v>
      </c>
      <c r="L22" s="21" t="str">
        <f aca="false">IF(OR(D22="",G22="",J22=""),"No reported subtotal",IF(AND(ABS(N(E22))&lt;=$D$2,ABS(N(H22))&lt;=$D$2,ABS(N(K22))&lt;=$D$2),"Reconciles within tolerance","Outside tolerance"))</f>
        <v>Reconciles within tolerance</v>
      </c>
    </row>
    <row r="23" customFormat="false" ht="15" hidden="false" customHeight="false" outlineLevel="0" collapsed="false">
      <c r="A23" s="7" t="n">
        <v>2017</v>
      </c>
      <c r="B23" s="15" t="s">
        <v>117</v>
      </c>
      <c r="C23" s="19" t="n">
        <v>177.92899</v>
      </c>
      <c r="D23" s="19" t="n">
        <v>177.92899</v>
      </c>
      <c r="E23" s="20" t="n">
        <f aca="false">IF(OR(D23="",D23=0),"",(C23-D23)/D23)</f>
        <v>0</v>
      </c>
      <c r="F23" s="19" t="n">
        <v>123.96677</v>
      </c>
      <c r="G23" s="19" t="n">
        <v>123.96677</v>
      </c>
      <c r="H23" s="20" t="n">
        <f aca="false">IF(OR(G23="",G23=0),"",(F23-G23)/G23)</f>
        <v>0</v>
      </c>
      <c r="I23" s="19" t="n">
        <v>224.80352</v>
      </c>
      <c r="J23" s="19" t="n">
        <v>224.80352</v>
      </c>
      <c r="K23" s="20" t="n">
        <f aca="false">IF(OR(J23="",J23=0),"",(I23-J23)/J23)</f>
        <v>0</v>
      </c>
      <c r="L23" s="21" t="str">
        <f aca="false">IF(OR(D23="",G23="",J23=""),"No reported subtotal",IF(AND(ABS(N(E23))&lt;=$D$2,ABS(N(H23))&lt;=$D$2,ABS(N(K23))&lt;=$D$2),"Reconciles within tolerance","Outside tolerance"))</f>
        <v>Reconciles within tolerance</v>
      </c>
    </row>
    <row r="24" customFormat="false" ht="15" hidden="false" customHeight="false" outlineLevel="0" collapsed="false">
      <c r="A24" s="7" t="n">
        <v>2018</v>
      </c>
      <c r="B24" s="15" t="s">
        <v>117</v>
      </c>
      <c r="C24" s="19" t="n">
        <v>194.083311</v>
      </c>
      <c r="D24" s="19" t="n">
        <v>194.083311</v>
      </c>
      <c r="E24" s="20" t="n">
        <f aca="false">IF(OR(D24="",D24=0),"",(C24-D24)/D24)</f>
        <v>0</v>
      </c>
      <c r="F24" s="19" t="n">
        <v>200.629287</v>
      </c>
      <c r="G24" s="19" t="n">
        <v>200.629287</v>
      </c>
      <c r="H24" s="20" t="n">
        <f aca="false">IF(OR(G24="",G24=0),"",(F24-G24)/G24)</f>
        <v>0</v>
      </c>
      <c r="I24" s="19" t="n">
        <v>407.686236</v>
      </c>
      <c r="J24" s="19" t="n">
        <v>407.686236</v>
      </c>
      <c r="K24" s="20" t="n">
        <f aca="false">IF(OR(J24="",J24=0),"",(I24-J24)/J24)</f>
        <v>0</v>
      </c>
      <c r="L24" s="21" t="str">
        <f aca="false">IF(OR(D24="",G24="",J24=""),"No reported subtotal",IF(AND(ABS(N(E24))&lt;=$D$2,ABS(N(H24))&lt;=$D$2,ABS(N(K24))&lt;=$D$2),"Reconciles within tolerance","Outside tolerance"))</f>
        <v>Reconciles within tolerance</v>
      </c>
    </row>
    <row r="25" customFormat="false" ht="15" hidden="false" customHeight="false" outlineLevel="0" collapsed="false">
      <c r="A25" s="7" t="n">
        <v>2019</v>
      </c>
      <c r="B25" s="15" t="s">
        <v>117</v>
      </c>
      <c r="C25" s="19" t="n">
        <v>179.542678</v>
      </c>
      <c r="D25" s="19" t="n">
        <v>179.542678</v>
      </c>
      <c r="E25" s="20" t="n">
        <f aca="false">IF(OR(D25="",D25=0),"",(C25-D25)/D25)</f>
        <v>0</v>
      </c>
      <c r="F25" s="19" t="n">
        <v>210.875099</v>
      </c>
      <c r="G25" s="19" t="n">
        <v>210.875099</v>
      </c>
      <c r="H25" s="20" t="n">
        <f aca="false">IF(OR(G25="",G25=0),"",(F25-G25)/G25)</f>
        <v>0</v>
      </c>
      <c r="I25" s="19" t="n">
        <v>475.966231</v>
      </c>
      <c r="J25" s="19" t="n">
        <v>475.966231</v>
      </c>
      <c r="K25" s="20" t="n">
        <f aca="false">IF(OR(J25="",J25=0),"",(I25-J25)/J25)</f>
        <v>0</v>
      </c>
      <c r="L25" s="21" t="str">
        <f aca="false">IF(OR(D25="",G25="",J25=""),"No reported subtotal",IF(AND(ABS(N(E25))&lt;=$D$2,ABS(N(H25))&lt;=$D$2,ABS(N(K25))&lt;=$D$2),"Reconciles within tolerance","Outside tolerance"))</f>
        <v>Reconciles within tolerance</v>
      </c>
    </row>
    <row r="26" customFormat="false" ht="15" hidden="false" customHeight="false" outlineLevel="0" collapsed="false">
      <c r="A26" s="7" t="n">
        <v>2020</v>
      </c>
      <c r="B26" s="15" t="s">
        <v>117</v>
      </c>
      <c r="C26" s="19" t="n">
        <v>172.757354</v>
      </c>
      <c r="D26" s="19" t="n">
        <v>172.757354</v>
      </c>
      <c r="E26" s="20" t="n">
        <f aca="false">IF(OR(D26="",D26=0),"",(C26-D26)/D26)</f>
        <v>0</v>
      </c>
      <c r="F26" s="19" t="n">
        <v>222.986653</v>
      </c>
      <c r="G26" s="19" t="n">
        <v>222.986653</v>
      </c>
      <c r="H26" s="20" t="n">
        <f aca="false">IF(OR(G26="",G26=0),"",(F26-G26)/G26)</f>
        <v>0</v>
      </c>
      <c r="I26" s="19" t="n">
        <v>447.014415</v>
      </c>
      <c r="J26" s="19" t="n">
        <v>447.014415</v>
      </c>
      <c r="K26" s="20" t="n">
        <f aca="false">IF(OR(J26="",J26=0),"",(I26-J26)/J26)</f>
        <v>0</v>
      </c>
      <c r="L26" s="21" t="str">
        <f aca="false">IF(OR(D26="",G26="",J26=""),"No reported subtotal",IF(AND(ABS(N(E26))&lt;=$D$2,ABS(N(H26))&lt;=$D$2,ABS(N(K26))&lt;=$D$2),"Reconciles within tolerance","Outside tolerance"))</f>
        <v>Reconciles within tolerance</v>
      </c>
    </row>
    <row r="27" customFormat="false" ht="15" hidden="false" customHeight="false" outlineLevel="0" collapsed="false">
      <c r="A27" s="7" t="n">
        <v>2021</v>
      </c>
      <c r="B27" s="15" t="s">
        <v>117</v>
      </c>
      <c r="C27" s="19" t="n">
        <v>187.848983</v>
      </c>
      <c r="D27" s="19" t="n">
        <v>187.848983</v>
      </c>
      <c r="E27" s="20" t="n">
        <f aca="false">IF(OR(D27="",D27=0),"",(C27-D27)/D27)</f>
        <v>0</v>
      </c>
      <c r="F27" s="19" t="n">
        <v>116.844983</v>
      </c>
      <c r="G27" s="19" t="n">
        <v>116.844983</v>
      </c>
      <c r="H27" s="20" t="n">
        <f aca="false">IF(OR(G27="",G27=0),"",(F27-G27)/G27)</f>
        <v>0</v>
      </c>
      <c r="I27" s="19" t="n">
        <v>434.32266</v>
      </c>
      <c r="J27" s="19" t="n">
        <v>434.32266</v>
      </c>
      <c r="K27" s="20" t="n">
        <f aca="false">IF(OR(J27="",J27=0),"",(I27-J27)/J27)</f>
        <v>0</v>
      </c>
      <c r="L27" s="21" t="str">
        <f aca="false">IF(OR(D27="",G27="",J27=""),"No reported subtotal",IF(AND(ABS(N(E27))&lt;=$D$2,ABS(N(H27))&lt;=$D$2,ABS(N(K27))&lt;=$D$2),"Reconciles within tolerance","Outside tolerance"))</f>
        <v>Reconciles within tolerance</v>
      </c>
    </row>
    <row r="28" customFormat="false" ht="15" hidden="false" customHeight="false" outlineLevel="0" collapsed="false">
      <c r="A28" s="7" t="n">
        <v>2022</v>
      </c>
      <c r="B28" s="15" t="s">
        <v>117</v>
      </c>
      <c r="C28" s="19" t="n">
        <v>214.65905</v>
      </c>
      <c r="D28" s="19" t="n">
        <v>214.65905</v>
      </c>
      <c r="E28" s="20" t="n">
        <f aca="false">IF(OR(D28="",D28=0),"",(C28-D28)/D28)</f>
        <v>0</v>
      </c>
      <c r="F28" s="19" t="n">
        <v>129.922896</v>
      </c>
      <c r="G28" s="19" t="n">
        <v>129.922896</v>
      </c>
      <c r="H28" s="20" t="n">
        <f aca="false">IF(OR(G28="",G28=0),"",(F28-G28)/G28)</f>
        <v>0</v>
      </c>
      <c r="I28" s="19" t="n">
        <v>455.761279</v>
      </c>
      <c r="J28" s="19" t="n">
        <v>455.761279</v>
      </c>
      <c r="K28" s="20" t="n">
        <f aca="false">IF(OR(J28="",J28=0),"",(I28-J28)/J28)</f>
        <v>0</v>
      </c>
      <c r="L28" s="21" t="str">
        <f aca="false">IF(OR(D28="",G28="",J28=""),"No reported subtotal",IF(AND(ABS(N(E28))&lt;=$D$2,ABS(N(H28))&lt;=$D$2,ABS(N(K28))&lt;=$D$2),"Reconciles within tolerance","Outside tolerance"))</f>
        <v>Reconciles within tolerance</v>
      </c>
    </row>
    <row r="29" customFormat="false" ht="15" hidden="false" customHeight="false" outlineLevel="0" collapsed="false">
      <c r="A29" s="7" t="n">
        <v>2023</v>
      </c>
      <c r="B29" s="15" t="s">
        <v>117</v>
      </c>
      <c r="C29" s="19" t="n">
        <v>246.568141</v>
      </c>
      <c r="D29" s="19" t="n">
        <v>246.568141</v>
      </c>
      <c r="E29" s="20" t="n">
        <f aca="false">IF(OR(D29="",D29=0),"",(C29-D29)/D29)</f>
        <v>0</v>
      </c>
      <c r="F29" s="19" t="n">
        <v>224.004858</v>
      </c>
      <c r="G29" s="19" t="n">
        <v>224.004858</v>
      </c>
      <c r="H29" s="20" t="n">
        <f aca="false">IF(OR(G29="",G29=0),"",(F29-G29)/G29)</f>
        <v>0</v>
      </c>
      <c r="I29" s="19" t="n">
        <v>456.551303</v>
      </c>
      <c r="J29" s="19" t="n">
        <v>456.551303</v>
      </c>
      <c r="K29" s="20" t="n">
        <f aca="false">IF(OR(J29="",J29=0),"",(I29-J29)/J29)</f>
        <v>0</v>
      </c>
      <c r="L29" s="21" t="str">
        <f aca="false">IF(OR(D29="",G29="",J29=""),"No reported subtotal",IF(AND(ABS(N(E29))&lt;=$D$2,ABS(N(H29))&lt;=$D$2,ABS(N(K29))&lt;=$D$2),"Reconciles within tolerance","Outside tolerance"))</f>
        <v>Reconciles within tolerance</v>
      </c>
    </row>
    <row r="30" customFormat="false" ht="15" hidden="false" customHeight="false" outlineLevel="0" collapsed="false">
      <c r="A30" s="7" t="n">
        <v>2024</v>
      </c>
      <c r="B30" s="15" t="s">
        <v>117</v>
      </c>
      <c r="C30" s="19" t="n">
        <v>279.979135</v>
      </c>
      <c r="D30" s="19" t="n">
        <v>279.979135</v>
      </c>
      <c r="E30" s="20" t="n">
        <f aca="false">IF(OR(D30="",D30=0),"",(C30-D30)/D30)</f>
        <v>0</v>
      </c>
      <c r="F30" s="19" t="n">
        <v>240.964008</v>
      </c>
      <c r="G30" s="19" t="n">
        <v>240.964008</v>
      </c>
      <c r="H30" s="20" t="n">
        <f aca="false">IF(OR(G30="",G30=0),"",(F30-G30)/G30)</f>
        <v>0</v>
      </c>
      <c r="I30" s="19" t="n">
        <v>464.668493</v>
      </c>
      <c r="J30" s="19" t="n">
        <v>464.668493</v>
      </c>
      <c r="K30" s="20" t="n">
        <f aca="false">IF(OR(J30="",J30=0),"",(I30-J30)/J30)</f>
        <v>0</v>
      </c>
      <c r="L30" s="21" t="str">
        <f aca="false">IF(OR(D30="",G30="",J30=""),"No reported subtotal",IF(AND(ABS(N(E30))&lt;=$D$2,ABS(N(H30))&lt;=$D$2,ABS(N(K30))&lt;=$D$2),"Reconciles within tolerance","Outside tolerance"))</f>
        <v>Reconciles within tolerance</v>
      </c>
    </row>
    <row r="31" customFormat="false" ht="15" hidden="false" customHeight="false" outlineLevel="0" collapsed="false">
      <c r="A31" s="7" t="n">
        <v>2025</v>
      </c>
      <c r="B31" s="15" t="s">
        <v>117</v>
      </c>
      <c r="C31" s="19" t="n">
        <v>274.032055</v>
      </c>
      <c r="D31" s="19" t="n">
        <v>274.032056</v>
      </c>
      <c r="E31" s="20" t="n">
        <f aca="false">IF(OR(D31="",D31=0),"",(C31-D31)/D31)</f>
        <v>-3.64920809657116E-009</v>
      </c>
      <c r="F31" s="19" t="n">
        <v>212.585713</v>
      </c>
      <c r="G31" s="19" t="n">
        <v>212.585713</v>
      </c>
      <c r="H31" s="20" t="n">
        <f aca="false">IF(OR(G31="",G31=0),"",(F31-G31)/G31)</f>
        <v>0</v>
      </c>
      <c r="I31" s="19" t="n">
        <v>552.369448</v>
      </c>
      <c r="J31" s="19" t="n">
        <v>552.369448</v>
      </c>
      <c r="K31" s="20" t="n">
        <f aca="false">IF(OR(J31="",J31=0),"",(I31-J31)/J31)</f>
        <v>0</v>
      </c>
      <c r="L31" s="21" t="str">
        <f aca="false">IF(OR(D31="",G31="",J31=""),"No reported subtotal",IF(AND(ABS(N(E31))&lt;=$D$2,ABS(N(H31))&lt;=$D$2,ABS(N(K31))&lt;=$D$2),"Reconciles within tolerance","Outside tolerance"))</f>
        <v>Reconciles within tolerance</v>
      </c>
    </row>
    <row r="32" customFormat="false" ht="15" hidden="false" customHeight="false" outlineLevel="0" collapsed="false">
      <c r="A32" s="7" t="n">
        <v>2000</v>
      </c>
      <c r="B32" s="15" t="s">
        <v>119</v>
      </c>
      <c r="C32" s="19" t="n">
        <v>23.561136</v>
      </c>
      <c r="D32" s="19" t="n">
        <v>23.561136</v>
      </c>
      <c r="E32" s="20" t="n">
        <f aca="false">IF(OR(D32="",D32=0),"",(C32-D32)/D32)</f>
        <v>0</v>
      </c>
      <c r="F32" s="19" t="n">
        <v>34.003834</v>
      </c>
      <c r="G32" s="19" t="n">
        <v>34.003834</v>
      </c>
      <c r="H32" s="20" t="n">
        <f aca="false">IF(OR(G32="",G32=0),"",(F32-G32)/G32)</f>
        <v>0</v>
      </c>
      <c r="I32" s="19" t="n">
        <v>25.959165</v>
      </c>
      <c r="J32" s="19" t="n">
        <v>25.959165</v>
      </c>
      <c r="K32" s="20" t="n">
        <f aca="false">IF(OR(J32="",J32=0),"",(I32-J32)/J32)</f>
        <v>0</v>
      </c>
      <c r="L32" s="21" t="str">
        <f aca="false">IF(OR(D32="",G32="",J32=""),"No reported subtotal",IF(AND(ABS(N(E32))&lt;=$D$2,ABS(N(H32))&lt;=$D$2,ABS(N(K32))&lt;=$D$2),"Reconciles within tolerance","Outside tolerance"))</f>
        <v>Reconciles within tolerance</v>
      </c>
    </row>
    <row r="33" customFormat="false" ht="15" hidden="false" customHeight="false" outlineLevel="0" collapsed="false">
      <c r="A33" s="7" t="n">
        <v>2001</v>
      </c>
      <c r="B33" s="15" t="s">
        <v>119</v>
      </c>
      <c r="C33" s="19" t="n">
        <v>22.184488</v>
      </c>
      <c r="D33" s="19" t="n">
        <v>22.184488</v>
      </c>
      <c r="E33" s="20" t="n">
        <f aca="false">IF(OR(D33="",D33=0),"",(C33-D33)/D33)</f>
        <v>0</v>
      </c>
      <c r="F33" s="19" t="n">
        <v>29.964885</v>
      </c>
      <c r="G33" s="19" t="n">
        <v>29.964885</v>
      </c>
      <c r="H33" s="20" t="n">
        <f aca="false">IF(OR(G33="",G33=0),"",(F33-G33)/G33)</f>
        <v>0</v>
      </c>
      <c r="I33" s="19" t="n">
        <v>41.834015</v>
      </c>
      <c r="J33" s="19" t="n">
        <v>41.834015</v>
      </c>
      <c r="K33" s="20" t="n">
        <f aca="false">IF(OR(J33="",J33=0),"",(I33-J33)/J33)</f>
        <v>0</v>
      </c>
      <c r="L33" s="21" t="str">
        <f aca="false">IF(OR(D33="",G33="",J33=""),"No reported subtotal",IF(AND(ABS(N(E33))&lt;=$D$2,ABS(N(H33))&lt;=$D$2,ABS(N(K33))&lt;=$D$2),"Reconciles within tolerance","Outside tolerance"))</f>
        <v>Reconciles within tolerance</v>
      </c>
    </row>
    <row r="34" customFormat="false" ht="15" hidden="false" customHeight="false" outlineLevel="0" collapsed="false">
      <c r="A34" s="7" t="n">
        <v>2002</v>
      </c>
      <c r="B34" s="15" t="s">
        <v>119</v>
      </c>
      <c r="C34" s="19" t="n">
        <v>19.510397</v>
      </c>
      <c r="D34" s="19" t="n">
        <v>19.510397</v>
      </c>
      <c r="E34" s="20" t="n">
        <f aca="false">IF(OR(D34="",D34=0),"",(C34-D34)/D34)</f>
        <v>0</v>
      </c>
      <c r="F34" s="19" t="n">
        <v>26.531385</v>
      </c>
      <c r="G34" s="19" t="n">
        <v>26.531385</v>
      </c>
      <c r="H34" s="20" t="n">
        <f aca="false">IF(OR(G34="",G34=0),"",(F34-G34)/G34)</f>
        <v>0</v>
      </c>
      <c r="I34" s="19" t="n">
        <v>26.759272</v>
      </c>
      <c r="J34" s="19" t="n">
        <v>26.759272</v>
      </c>
      <c r="K34" s="20" t="n">
        <f aca="false">IF(OR(J34="",J34=0),"",(I34-J34)/J34)</f>
        <v>0</v>
      </c>
      <c r="L34" s="21" t="str">
        <f aca="false">IF(OR(D34="",G34="",J34=""),"No reported subtotal",IF(AND(ABS(N(E34))&lt;=$D$2,ABS(N(H34))&lt;=$D$2,ABS(N(K34))&lt;=$D$2),"Reconciles within tolerance","Outside tolerance"))</f>
        <v>Reconciles within tolerance</v>
      </c>
    </row>
    <row r="35" customFormat="false" ht="15" hidden="false" customHeight="false" outlineLevel="0" collapsed="false">
      <c r="A35" s="7" t="n">
        <v>2003</v>
      </c>
      <c r="B35" s="15" t="s">
        <v>119</v>
      </c>
      <c r="C35" s="19" t="n">
        <v>21.494521</v>
      </c>
      <c r="D35" s="19" t="n">
        <v>21.494521</v>
      </c>
      <c r="E35" s="20" t="n">
        <f aca="false">IF(OR(D35="",D35=0),"",(C35-D35)/D35)</f>
        <v>0</v>
      </c>
      <c r="F35" s="19" t="n">
        <v>24.624711</v>
      </c>
      <c r="G35" s="19" t="n">
        <v>24.624711</v>
      </c>
      <c r="H35" s="20" t="n">
        <f aca="false">IF(OR(G35="",G35=0),"",(F35-G35)/G35)</f>
        <v>0</v>
      </c>
      <c r="I35" s="19" t="n">
        <v>12.510899</v>
      </c>
      <c r="J35" s="19" t="n">
        <v>12.510899</v>
      </c>
      <c r="K35" s="20" t="n">
        <f aca="false">IF(OR(J35="",J35=0),"",(I35-J35)/J35)</f>
        <v>0</v>
      </c>
      <c r="L35" s="21" t="str">
        <f aca="false">IF(OR(D35="",G35="",J35=""),"No reported subtotal",IF(AND(ABS(N(E35))&lt;=$D$2,ABS(N(H35))&lt;=$D$2,ABS(N(K35))&lt;=$D$2),"Reconciles within tolerance","Outside tolerance"))</f>
        <v>Reconciles within tolerance</v>
      </c>
    </row>
    <row r="36" customFormat="false" ht="15" hidden="false" customHeight="false" outlineLevel="0" collapsed="false">
      <c r="A36" s="7" t="n">
        <v>2004</v>
      </c>
      <c r="B36" s="15" t="s">
        <v>119</v>
      </c>
      <c r="C36" s="19" t="n">
        <v>22.413126</v>
      </c>
      <c r="D36" s="19" t="n">
        <v>22.413126</v>
      </c>
      <c r="E36" s="20" t="n">
        <f aca="false">IF(OR(D36="",D36=0),"",(C36-D36)/D36)</f>
        <v>0</v>
      </c>
      <c r="F36" s="19" t="n">
        <v>25.684846</v>
      </c>
      <c r="G36" s="19" t="n">
        <v>25.684846</v>
      </c>
      <c r="H36" s="20" t="n">
        <f aca="false">IF(OR(G36="",G36=0),"",(F36-G36)/G36)</f>
        <v>0</v>
      </c>
      <c r="I36" s="19" t="n">
        <v>41.412608</v>
      </c>
      <c r="J36" s="19" t="n">
        <v>41.412608</v>
      </c>
      <c r="K36" s="20" t="n">
        <f aca="false">IF(OR(J36="",J36=0),"",(I36-J36)/J36)</f>
        <v>0</v>
      </c>
      <c r="L36" s="21" t="str">
        <f aca="false">IF(OR(D36="",G36="",J36=""),"No reported subtotal",IF(AND(ABS(N(E36))&lt;=$D$2,ABS(N(H36))&lt;=$D$2,ABS(N(K36))&lt;=$D$2),"Reconciles within tolerance","Outside tolerance"))</f>
        <v>Reconciles within tolerance</v>
      </c>
    </row>
    <row r="37" customFormat="false" ht="15" hidden="false" customHeight="false" outlineLevel="0" collapsed="false">
      <c r="A37" s="7" t="n">
        <v>2005</v>
      </c>
      <c r="B37" s="15" t="s">
        <v>119</v>
      </c>
      <c r="C37" s="19" t="n">
        <v>25.03519</v>
      </c>
      <c r="D37" s="19" t="n">
        <v>25.03519</v>
      </c>
      <c r="E37" s="20" t="n">
        <f aca="false">IF(OR(D37="",D37=0),"",(C37-D37)/D37)</f>
        <v>0</v>
      </c>
      <c r="F37" s="19" t="n">
        <v>22.986685</v>
      </c>
      <c r="G37" s="19" t="n">
        <v>22.986685</v>
      </c>
      <c r="H37" s="20" t="n">
        <f aca="false">IF(OR(G37="",G37=0),"",(F37-G37)/G37)</f>
        <v>0</v>
      </c>
      <c r="I37" s="19" t="n">
        <v>43.215651</v>
      </c>
      <c r="J37" s="19" t="n">
        <v>43.215651</v>
      </c>
      <c r="K37" s="20" t="n">
        <f aca="false">IF(OR(J37="",J37=0),"",(I37-J37)/J37)</f>
        <v>0</v>
      </c>
      <c r="L37" s="21" t="str">
        <f aca="false">IF(OR(D37="",G37="",J37=""),"No reported subtotal",IF(AND(ABS(N(E37))&lt;=$D$2,ABS(N(H37))&lt;=$D$2,ABS(N(K37))&lt;=$D$2),"Reconciles within tolerance","Outside tolerance"))</f>
        <v>Reconciles within tolerance</v>
      </c>
    </row>
    <row r="38" customFormat="false" ht="15" hidden="false" customHeight="false" outlineLevel="0" collapsed="false">
      <c r="A38" s="7" t="n">
        <v>2006</v>
      </c>
      <c r="B38" s="15" t="s">
        <v>119</v>
      </c>
      <c r="C38" s="19" t="n">
        <v>28.102864</v>
      </c>
      <c r="D38" s="19" t="n">
        <v>28.102864</v>
      </c>
      <c r="E38" s="20" t="n">
        <f aca="false">IF(OR(D38="",D38=0),"",(C38-D38)/D38)</f>
        <v>0</v>
      </c>
      <c r="F38" s="19" t="n">
        <v>31.238514</v>
      </c>
      <c r="G38" s="19" t="n">
        <v>31.238514</v>
      </c>
      <c r="H38" s="20" t="n">
        <f aca="false">IF(OR(G38="",G38=0),"",(F38-G38)/G38)</f>
        <v>0</v>
      </c>
      <c r="I38" s="19" t="n">
        <v>93.791626</v>
      </c>
      <c r="J38" s="19" t="n">
        <v>93.791626</v>
      </c>
      <c r="K38" s="20" t="n">
        <f aca="false">IF(OR(J38="",J38=0),"",(I38-J38)/J38)</f>
        <v>0</v>
      </c>
      <c r="L38" s="21" t="str">
        <f aca="false">IF(OR(D38="",G38="",J38=""),"No reported subtotal",IF(AND(ABS(N(E38))&lt;=$D$2,ABS(N(H38))&lt;=$D$2,ABS(N(K38))&lt;=$D$2),"Reconciles within tolerance","Outside tolerance"))</f>
        <v>Reconciles within tolerance</v>
      </c>
    </row>
    <row r="39" customFormat="false" ht="15" hidden="false" customHeight="false" outlineLevel="0" collapsed="false">
      <c r="A39" s="7" t="n">
        <v>2007</v>
      </c>
      <c r="B39" s="15" t="s">
        <v>119</v>
      </c>
      <c r="C39" s="19" t="n">
        <v>29.176565</v>
      </c>
      <c r="D39" s="19" t="n">
        <v>29.176565</v>
      </c>
      <c r="E39" s="20" t="n">
        <f aca="false">IF(OR(D39="",D39=0),"",(C39-D39)/D39)</f>
        <v>0</v>
      </c>
      <c r="F39" s="19" t="n">
        <v>31.148792</v>
      </c>
      <c r="G39" s="19" t="n">
        <v>31.148792</v>
      </c>
      <c r="H39" s="20" t="n">
        <f aca="false">IF(OR(G39="",G39=0),"",(F39-G39)/G39)</f>
        <v>0</v>
      </c>
      <c r="I39" s="19" t="n">
        <v>73.858838</v>
      </c>
      <c r="J39" s="19" t="n">
        <v>73.858838</v>
      </c>
      <c r="K39" s="20" t="n">
        <f aca="false">IF(OR(J39="",J39=0),"",(I39-J39)/J39)</f>
        <v>0</v>
      </c>
      <c r="L39" s="21" t="str">
        <f aca="false">IF(OR(D39="",G39="",J39=""),"No reported subtotal",IF(AND(ABS(N(E39))&lt;=$D$2,ABS(N(H39))&lt;=$D$2,ABS(N(K39))&lt;=$D$2),"Reconciles within tolerance","Outside tolerance"))</f>
        <v>Reconciles within tolerance</v>
      </c>
    </row>
    <row r="40" customFormat="false" ht="15" hidden="false" customHeight="false" outlineLevel="0" collapsed="false">
      <c r="A40" s="7" t="n">
        <v>2008</v>
      </c>
      <c r="B40" s="15" t="s">
        <v>119</v>
      </c>
      <c r="C40" s="19" t="n">
        <v>29.957086</v>
      </c>
      <c r="D40" s="19" t="n">
        <v>29.957086</v>
      </c>
      <c r="E40" s="20" t="n">
        <f aca="false">IF(OR(D40="",D40=0),"",(C40-D40)/D40)</f>
        <v>0</v>
      </c>
      <c r="F40" s="19" t="n">
        <v>29.85048</v>
      </c>
      <c r="G40" s="19" t="n">
        <v>29.85048</v>
      </c>
      <c r="H40" s="20" t="n">
        <f aca="false">IF(OR(G40="",G40=0),"",(F40-G40)/G40)</f>
        <v>0</v>
      </c>
      <c r="I40" s="19" t="n">
        <v>42.411533</v>
      </c>
      <c r="J40" s="19" t="n">
        <v>42.411533</v>
      </c>
      <c r="K40" s="20" t="n">
        <f aca="false">IF(OR(J40="",J40=0),"",(I40-J40)/J40)</f>
        <v>0</v>
      </c>
      <c r="L40" s="21" t="str">
        <f aca="false">IF(OR(D40="",G40="",J40=""),"No reported subtotal",IF(AND(ABS(N(E40))&lt;=$D$2,ABS(N(H40))&lt;=$D$2,ABS(N(K40))&lt;=$D$2),"Reconciles within tolerance","Outside tolerance"))</f>
        <v>Reconciles within tolerance</v>
      </c>
    </row>
    <row r="41" customFormat="false" ht="15" hidden="false" customHeight="false" outlineLevel="0" collapsed="false">
      <c r="A41" s="7" t="n">
        <v>2009</v>
      </c>
      <c r="B41" s="15" t="s">
        <v>119</v>
      </c>
      <c r="C41" s="19" t="n">
        <v>30.542437</v>
      </c>
      <c r="D41" s="19" t="n">
        <v>30.542437</v>
      </c>
      <c r="E41" s="20" t="n">
        <f aca="false">IF(OR(D41="",D41=0),"",(C41-D41)/D41)</f>
        <v>0</v>
      </c>
      <c r="F41" s="19" t="n">
        <v>45.395446</v>
      </c>
      <c r="G41" s="19" t="n">
        <v>45.395446</v>
      </c>
      <c r="H41" s="20" t="n">
        <f aca="false">IF(OR(G41="",G41=0),"",(F41-G41)/G41)</f>
        <v>0</v>
      </c>
      <c r="I41" s="19" t="n">
        <v>67.944851</v>
      </c>
      <c r="J41" s="19" t="n">
        <v>67.944851</v>
      </c>
      <c r="K41" s="20" t="n">
        <f aca="false">IF(OR(J41="",J41=0),"",(I41-J41)/J41)</f>
        <v>0</v>
      </c>
      <c r="L41" s="21" t="str">
        <f aca="false">IF(OR(D41="",G41="",J41=""),"No reported subtotal",IF(AND(ABS(N(E41))&lt;=$D$2,ABS(N(H41))&lt;=$D$2,ABS(N(K41))&lt;=$D$2),"Reconciles within tolerance","Outside tolerance"))</f>
        <v>Reconciles within tolerance</v>
      </c>
    </row>
    <row r="42" customFormat="false" ht="15" hidden="false" customHeight="false" outlineLevel="0" collapsed="false">
      <c r="A42" s="7" t="n">
        <v>2010</v>
      </c>
      <c r="B42" s="15" t="s">
        <v>119</v>
      </c>
      <c r="C42" s="19" t="n">
        <v>32.391892</v>
      </c>
      <c r="D42" s="19" t="n">
        <v>32.391892</v>
      </c>
      <c r="E42" s="20" t="n">
        <f aca="false">IF(OR(D42="",D42=0),"",(C42-D42)/D42)</f>
        <v>0</v>
      </c>
      <c r="F42" s="19" t="n">
        <v>54.024849</v>
      </c>
      <c r="G42" s="19" t="n">
        <v>54.024849</v>
      </c>
      <c r="H42" s="20" t="n">
        <f aca="false">IF(OR(G42="",G42=0),"",(F42-G42)/G42)</f>
        <v>0</v>
      </c>
      <c r="I42" s="19" t="n">
        <v>60.276702</v>
      </c>
      <c r="J42" s="19" t="n">
        <v>60.276702</v>
      </c>
      <c r="K42" s="20" t="n">
        <f aca="false">IF(OR(J42="",J42=0),"",(I42-J42)/J42)</f>
        <v>0</v>
      </c>
      <c r="L42" s="21" t="str">
        <f aca="false">IF(OR(D42="",G42="",J42=""),"No reported subtotal",IF(AND(ABS(N(E42))&lt;=$D$2,ABS(N(H42))&lt;=$D$2,ABS(N(K42))&lt;=$D$2),"Reconciles within tolerance","Outside tolerance"))</f>
        <v>Reconciles within tolerance</v>
      </c>
    </row>
    <row r="43" customFormat="false" ht="15" hidden="false" customHeight="false" outlineLevel="0" collapsed="false">
      <c r="A43" s="7" t="n">
        <v>2011</v>
      </c>
      <c r="B43" s="15" t="s">
        <v>119</v>
      </c>
      <c r="C43" s="19" t="n">
        <v>41.415438</v>
      </c>
      <c r="D43" s="19" t="n">
        <v>41.415438</v>
      </c>
      <c r="E43" s="20" t="n">
        <f aca="false">IF(OR(D43="",D43=0),"",(C43-D43)/D43)</f>
        <v>0</v>
      </c>
      <c r="F43" s="19" t="n">
        <v>67.758437</v>
      </c>
      <c r="G43" s="19" t="n">
        <v>67.758437</v>
      </c>
      <c r="H43" s="20" t="n">
        <f aca="false">IF(OR(G43="",G43=0),"",(F43-G43)/G43)</f>
        <v>0</v>
      </c>
      <c r="I43" s="19" t="n">
        <v>125.669098</v>
      </c>
      <c r="J43" s="19" t="n">
        <v>125.669098</v>
      </c>
      <c r="K43" s="20" t="n">
        <f aca="false">IF(OR(J43="",J43=0),"",(I43-J43)/J43)</f>
        <v>0</v>
      </c>
      <c r="L43" s="21" t="str">
        <f aca="false">IF(OR(D43="",G43="",J43=""),"No reported subtotal",IF(AND(ABS(N(E43))&lt;=$D$2,ABS(N(H43))&lt;=$D$2,ABS(N(K43))&lt;=$D$2),"Reconciles within tolerance","Outside tolerance"))</f>
        <v>Reconciles within tolerance</v>
      </c>
    </row>
    <row r="44" customFormat="false" ht="15" hidden="false" customHeight="false" outlineLevel="0" collapsed="false">
      <c r="A44" s="7" t="n">
        <v>2012</v>
      </c>
      <c r="B44" s="15" t="s">
        <v>119</v>
      </c>
      <c r="C44" s="19" t="n">
        <v>30.487006</v>
      </c>
      <c r="D44" s="19" t="n">
        <v>30.487006</v>
      </c>
      <c r="E44" s="20" t="n">
        <f aca="false">IF(OR(D44="",D44=0),"",(C44-D44)/D44)</f>
        <v>0</v>
      </c>
      <c r="F44" s="19" t="n">
        <v>95.846716</v>
      </c>
      <c r="G44" s="19" t="n">
        <v>95.846716</v>
      </c>
      <c r="H44" s="20" t="n">
        <f aca="false">IF(OR(G44="",G44=0),"",(F44-G44)/G44)</f>
        <v>0</v>
      </c>
      <c r="I44" s="19" t="n">
        <v>118.753266</v>
      </c>
      <c r="J44" s="19" t="n">
        <v>118.753266</v>
      </c>
      <c r="K44" s="20" t="n">
        <f aca="false">IF(OR(J44="",J44=0),"",(I44-J44)/J44)</f>
        <v>0</v>
      </c>
      <c r="L44" s="21" t="str">
        <f aca="false">IF(OR(D44="",G44="",J44=""),"No reported subtotal",IF(AND(ABS(N(E44))&lt;=$D$2,ABS(N(H44))&lt;=$D$2,ABS(N(K44))&lt;=$D$2),"Reconciles within tolerance","Outside tolerance"))</f>
        <v>Reconciles within tolerance</v>
      </c>
    </row>
    <row r="45" customFormat="false" ht="15" hidden="false" customHeight="false" outlineLevel="0" collapsed="false">
      <c r="A45" s="7" t="n">
        <v>2013</v>
      </c>
      <c r="B45" s="15" t="s">
        <v>119</v>
      </c>
      <c r="C45" s="19" t="n">
        <v>33.217977</v>
      </c>
      <c r="D45" s="19" t="n">
        <v>33.217977</v>
      </c>
      <c r="E45" s="20" t="n">
        <f aca="false">IF(OR(D45="",D45=0),"",(C45-D45)/D45)</f>
        <v>0</v>
      </c>
      <c r="F45" s="19" t="n">
        <v>92.116025</v>
      </c>
      <c r="G45" s="19" t="n">
        <v>92.116025</v>
      </c>
      <c r="H45" s="20" t="n">
        <f aca="false">IF(OR(G45="",G45=0),"",(F45-G45)/G45)</f>
        <v>0</v>
      </c>
      <c r="I45" s="19" t="n">
        <v>76.614466</v>
      </c>
      <c r="J45" s="19" t="n">
        <v>76.614466</v>
      </c>
      <c r="K45" s="20" t="n">
        <f aca="false">IF(OR(J45="",J45=0),"",(I45-J45)/J45)</f>
        <v>0</v>
      </c>
      <c r="L45" s="21" t="str">
        <f aca="false">IF(OR(D45="",G45="",J45=""),"No reported subtotal",IF(AND(ABS(N(E45))&lt;=$D$2,ABS(N(H45))&lt;=$D$2,ABS(N(K45))&lt;=$D$2),"Reconciles within tolerance","Outside tolerance"))</f>
        <v>Reconciles within tolerance</v>
      </c>
    </row>
    <row r="46" customFormat="false" ht="15" hidden="false" customHeight="false" outlineLevel="0" collapsed="false">
      <c r="A46" s="7" t="n">
        <v>2014</v>
      </c>
      <c r="B46" s="15" t="s">
        <v>119</v>
      </c>
      <c r="C46" s="19" t="n">
        <v>37.766676</v>
      </c>
      <c r="D46" s="19" t="n">
        <v>37.766676</v>
      </c>
      <c r="E46" s="20" t="n">
        <f aca="false">IF(OR(D46="",D46=0),"",(C46-D46)/D46)</f>
        <v>0</v>
      </c>
      <c r="F46" s="19" t="n">
        <v>87.090231</v>
      </c>
      <c r="G46" s="19" t="n">
        <v>87.090231</v>
      </c>
      <c r="H46" s="20" t="n">
        <f aca="false">IF(OR(G46="",G46=0),"",(F46-G46)/G46)</f>
        <v>0</v>
      </c>
      <c r="I46" s="19" t="n">
        <v>47.364487</v>
      </c>
      <c r="J46" s="19" t="n">
        <v>47.364487</v>
      </c>
      <c r="K46" s="20" t="n">
        <f aca="false">IF(OR(J46="",J46=0),"",(I46-J46)/J46)</f>
        <v>0</v>
      </c>
      <c r="L46" s="21" t="str">
        <f aca="false">IF(OR(D46="",G46="",J46=""),"No reported subtotal",IF(AND(ABS(N(E46))&lt;=$D$2,ABS(N(H46))&lt;=$D$2,ABS(N(K46))&lt;=$D$2),"Reconciles within tolerance","Outside tolerance"))</f>
        <v>Reconciles within tolerance</v>
      </c>
    </row>
    <row r="47" customFormat="false" ht="15" hidden="false" customHeight="false" outlineLevel="0" collapsed="false">
      <c r="A47" s="7" t="n">
        <v>2015</v>
      </c>
      <c r="B47" s="15" t="s">
        <v>119</v>
      </c>
      <c r="C47" s="19" t="n">
        <v>53.049383</v>
      </c>
      <c r="D47" s="19" t="n">
        <v>53.049383</v>
      </c>
      <c r="E47" s="20" t="n">
        <f aca="false">IF(OR(D47="",D47=0),"",(C47-D47)/D47)</f>
        <v>0</v>
      </c>
      <c r="F47" s="19" t="n">
        <v>72.891159</v>
      </c>
      <c r="G47" s="19" t="n">
        <v>72.891159</v>
      </c>
      <c r="H47" s="20" t="n">
        <f aca="false">IF(OR(G47="",G47=0),"",(F47-G47)/G47)</f>
        <v>0</v>
      </c>
      <c r="I47" s="19" t="n">
        <v>84.045772</v>
      </c>
      <c r="J47" s="19" t="n">
        <v>84.045772</v>
      </c>
      <c r="K47" s="20" t="n">
        <f aca="false">IF(OR(J47="",J47=0),"",(I47-J47)/J47)</f>
        <v>0</v>
      </c>
      <c r="L47" s="21" t="str">
        <f aca="false">IF(OR(D47="",G47="",J47=""),"No reported subtotal",IF(AND(ABS(N(E47))&lt;=$D$2,ABS(N(H47))&lt;=$D$2,ABS(N(K47))&lt;=$D$2),"Reconciles within tolerance","Outside tolerance"))</f>
        <v>Reconciles within tolerance</v>
      </c>
    </row>
    <row r="48" customFormat="false" ht="15" hidden="false" customHeight="false" outlineLevel="0" collapsed="false">
      <c r="A48" s="7" t="n">
        <v>2016</v>
      </c>
      <c r="B48" s="15" t="s">
        <v>119</v>
      </c>
      <c r="C48" s="19" t="n">
        <v>36.2512</v>
      </c>
      <c r="D48" s="19" t="n">
        <v>36.2512</v>
      </c>
      <c r="E48" s="20" t="n">
        <f aca="false">IF(OR(D48="",D48=0),"",(C48-D48)/D48)</f>
        <v>0</v>
      </c>
      <c r="F48" s="19" t="n">
        <v>93.025295</v>
      </c>
      <c r="G48" s="19" t="n">
        <v>93.025295</v>
      </c>
      <c r="H48" s="20" t="n">
        <f aca="false">IF(OR(G48="",G48=0),"",(F48-G48)/G48)</f>
        <v>0</v>
      </c>
      <c r="I48" s="19" t="n">
        <v>85.476014</v>
      </c>
      <c r="J48" s="19" t="n">
        <v>85.476014</v>
      </c>
      <c r="K48" s="20" t="n">
        <f aca="false">IF(OR(J48="",J48=0),"",(I48-J48)/J48)</f>
        <v>0</v>
      </c>
      <c r="L48" s="21" t="str">
        <f aca="false">IF(OR(D48="",G48="",J48=""),"No reported subtotal",IF(AND(ABS(N(E48))&lt;=$D$2,ABS(N(H48))&lt;=$D$2,ABS(N(K48))&lt;=$D$2),"Reconciles within tolerance","Outside tolerance"))</f>
        <v>Reconciles within tolerance</v>
      </c>
    </row>
    <row r="49" customFormat="false" ht="15" hidden="false" customHeight="false" outlineLevel="0" collapsed="false">
      <c r="A49" s="7" t="n">
        <v>2017</v>
      </c>
      <c r="B49" s="15" t="s">
        <v>119</v>
      </c>
      <c r="C49" s="19" t="n">
        <v>34.572914</v>
      </c>
      <c r="D49" s="19" t="n">
        <v>34.572914</v>
      </c>
      <c r="E49" s="20" t="n">
        <f aca="false">IF(OR(D49="",D49=0),"",(C49-D49)/D49)</f>
        <v>0</v>
      </c>
      <c r="F49" s="19" t="n">
        <v>57.709544</v>
      </c>
      <c r="G49" s="19" t="n">
        <v>57.709544</v>
      </c>
      <c r="H49" s="20" t="n">
        <f aca="false">IF(OR(G49="",G49=0),"",(F49-G49)/G49)</f>
        <v>0</v>
      </c>
      <c r="I49" s="19" t="n">
        <v>69.271131</v>
      </c>
      <c r="J49" s="19" t="n">
        <v>69.271131</v>
      </c>
      <c r="K49" s="20" t="n">
        <f aca="false">IF(OR(J49="",J49=0),"",(I49-J49)/J49)</f>
        <v>0</v>
      </c>
      <c r="L49" s="21" t="str">
        <f aca="false">IF(OR(D49="",G49="",J49=""),"No reported subtotal",IF(AND(ABS(N(E49))&lt;=$D$2,ABS(N(H49))&lt;=$D$2,ABS(N(K49))&lt;=$D$2),"Reconciles within tolerance","Outside tolerance"))</f>
        <v>Reconciles within tolerance</v>
      </c>
    </row>
    <row r="50" customFormat="false" ht="15" hidden="false" customHeight="false" outlineLevel="0" collapsed="false">
      <c r="A50" s="7" t="n">
        <v>2018</v>
      </c>
      <c r="B50" s="15" t="s">
        <v>119</v>
      </c>
      <c r="C50" s="19" t="n">
        <v>38.848651</v>
      </c>
      <c r="D50" s="19" t="n">
        <v>38.848651</v>
      </c>
      <c r="E50" s="20" t="n">
        <f aca="false">IF(OR(D50="",D50=0),"",(C50-D50)/D50)</f>
        <v>0</v>
      </c>
      <c r="F50" s="19" t="n">
        <v>14.914992</v>
      </c>
      <c r="G50" s="19" t="n">
        <v>14.914992</v>
      </c>
      <c r="H50" s="20" t="n">
        <f aca="false">IF(OR(G50="",G50=0),"",(F50-G50)/G50)</f>
        <v>0</v>
      </c>
      <c r="I50" s="19" t="n">
        <v>62.449089</v>
      </c>
      <c r="J50" s="19" t="n">
        <v>62.449089</v>
      </c>
      <c r="K50" s="20" t="n">
        <f aca="false">IF(OR(J50="",J50=0),"",(I50-J50)/J50)</f>
        <v>0</v>
      </c>
      <c r="L50" s="21" t="str">
        <f aca="false">IF(OR(D50="",G50="",J50=""),"No reported subtotal",IF(AND(ABS(N(E50))&lt;=$D$2,ABS(N(H50))&lt;=$D$2,ABS(N(K50))&lt;=$D$2),"Reconciles within tolerance","Outside tolerance"))</f>
        <v>Reconciles within tolerance</v>
      </c>
    </row>
    <row r="51" customFormat="false" ht="15" hidden="false" customHeight="false" outlineLevel="0" collapsed="false">
      <c r="A51" s="7" t="n">
        <v>2019</v>
      </c>
      <c r="B51" s="15" t="s">
        <v>119</v>
      </c>
      <c r="C51" s="19" t="n">
        <v>49.572557</v>
      </c>
      <c r="D51" s="19" t="n">
        <v>49.572557</v>
      </c>
      <c r="E51" s="20" t="n">
        <f aca="false">IF(OR(D51="",D51=0),"",(C51-D51)/D51)</f>
        <v>0</v>
      </c>
      <c r="F51" s="19" t="n">
        <v>56.029417</v>
      </c>
      <c r="G51" s="19" t="n">
        <v>56.029417</v>
      </c>
      <c r="H51" s="20" t="n">
        <f aca="false">IF(OR(G51="",G51=0),"",(F51-G51)/G51)</f>
        <v>0</v>
      </c>
      <c r="I51" s="19" t="n">
        <v>80.764401</v>
      </c>
      <c r="J51" s="19" t="n">
        <v>80.764401</v>
      </c>
      <c r="K51" s="20" t="n">
        <f aca="false">IF(OR(J51="",J51=0),"",(I51-J51)/J51)</f>
        <v>0</v>
      </c>
      <c r="L51" s="21" t="str">
        <f aca="false">IF(OR(D51="",G51="",J51=""),"No reported subtotal",IF(AND(ABS(N(E51))&lt;=$D$2,ABS(N(H51))&lt;=$D$2,ABS(N(K51))&lt;=$D$2),"Reconciles within tolerance","Outside tolerance"))</f>
        <v>Reconciles within tolerance</v>
      </c>
    </row>
    <row r="52" customFormat="false" ht="15" hidden="false" customHeight="false" outlineLevel="0" collapsed="false">
      <c r="A52" s="7" t="n">
        <v>2020</v>
      </c>
      <c r="B52" s="15" t="s">
        <v>119</v>
      </c>
      <c r="C52" s="19" t="n">
        <v>50.381368</v>
      </c>
      <c r="D52" s="19" t="n">
        <v>50.381368</v>
      </c>
      <c r="E52" s="20" t="n">
        <f aca="false">IF(OR(D52="",D52=0),"",(C52-D52)/D52)</f>
        <v>0</v>
      </c>
      <c r="F52" s="19" t="n">
        <v>49.639576</v>
      </c>
      <c r="G52" s="19" t="n">
        <v>49.639576</v>
      </c>
      <c r="H52" s="20" t="n">
        <f aca="false">IF(OR(G52="",G52=0),"",(F52-G52)/G52)</f>
        <v>0</v>
      </c>
      <c r="I52" s="19" t="n">
        <v>101.290728</v>
      </c>
      <c r="J52" s="19" t="n">
        <v>101.290728</v>
      </c>
      <c r="K52" s="20" t="n">
        <f aca="false">IF(OR(J52="",J52=0),"",(I52-J52)/J52)</f>
        <v>0</v>
      </c>
      <c r="L52" s="21" t="str">
        <f aca="false">IF(OR(D52="",G52="",J52=""),"No reported subtotal",IF(AND(ABS(N(E52))&lt;=$D$2,ABS(N(H52))&lt;=$D$2,ABS(N(K52))&lt;=$D$2),"Reconciles within tolerance","Outside tolerance"))</f>
        <v>Reconciles within tolerance</v>
      </c>
    </row>
    <row r="53" customFormat="false" ht="15" hidden="false" customHeight="false" outlineLevel="0" collapsed="false">
      <c r="A53" s="7" t="n">
        <v>2021</v>
      </c>
      <c r="B53" s="15" t="s">
        <v>119</v>
      </c>
      <c r="C53" s="19" t="n">
        <v>46.869013</v>
      </c>
      <c r="D53" s="19" t="n">
        <v>46.869013</v>
      </c>
      <c r="E53" s="20" t="n">
        <f aca="false">IF(OR(D53="",D53=0),"",(C53-D53)/D53)</f>
        <v>0</v>
      </c>
      <c r="F53" s="19" t="n">
        <v>26.364185</v>
      </c>
      <c r="G53" s="19" t="n">
        <v>26.364185</v>
      </c>
      <c r="H53" s="20" t="n">
        <f aca="false">IF(OR(G53="",G53=0),"",(F53-G53)/G53)</f>
        <v>0</v>
      </c>
      <c r="I53" s="19" t="n">
        <v>94.640231</v>
      </c>
      <c r="J53" s="19" t="n">
        <v>94.640232</v>
      </c>
      <c r="K53" s="20" t="n">
        <f aca="false">IF(OR(J53="",J53=0),"",(I53-J53)/J53)</f>
        <v>-1.05663307912775E-008</v>
      </c>
      <c r="L53" s="21" t="str">
        <f aca="false">IF(OR(D53="",G53="",J53=""),"No reported subtotal",IF(AND(ABS(N(E53))&lt;=$D$2,ABS(N(H53))&lt;=$D$2,ABS(N(K53))&lt;=$D$2),"Reconciles within tolerance","Outside tolerance"))</f>
        <v>Reconciles within tolerance</v>
      </c>
    </row>
    <row r="54" customFormat="false" ht="15" hidden="false" customHeight="false" outlineLevel="0" collapsed="false">
      <c r="A54" s="7" t="n">
        <v>2022</v>
      </c>
      <c r="B54" s="15" t="s">
        <v>119</v>
      </c>
      <c r="C54" s="19" t="n">
        <v>54.605824</v>
      </c>
      <c r="D54" s="19" t="n">
        <v>54.605824</v>
      </c>
      <c r="E54" s="20" t="n">
        <f aca="false">IF(OR(D54="",D54=0),"",(C54-D54)/D54)</f>
        <v>0</v>
      </c>
      <c r="F54" s="19" t="n">
        <v>37.891139</v>
      </c>
      <c r="G54" s="19" t="n">
        <v>37.891139</v>
      </c>
      <c r="H54" s="20" t="n">
        <f aca="false">IF(OR(G54="",G54=0),"",(F54-G54)/G54)</f>
        <v>0</v>
      </c>
      <c r="I54" s="19" t="n">
        <v>133.320887</v>
      </c>
      <c r="J54" s="19" t="n">
        <v>133.320887</v>
      </c>
      <c r="K54" s="20" t="n">
        <f aca="false">IF(OR(J54="",J54=0),"",(I54-J54)/J54)</f>
        <v>0</v>
      </c>
      <c r="L54" s="21" t="str">
        <f aca="false">IF(OR(D54="",G54="",J54=""),"No reported subtotal",IF(AND(ABS(N(E54))&lt;=$D$2,ABS(N(H54))&lt;=$D$2,ABS(N(K54))&lt;=$D$2),"Reconciles within tolerance","Outside tolerance"))</f>
        <v>Reconciles within tolerance</v>
      </c>
    </row>
    <row r="55" customFormat="false" ht="15" hidden="false" customHeight="false" outlineLevel="0" collapsed="false">
      <c r="A55" s="7" t="n">
        <v>2023</v>
      </c>
      <c r="B55" s="15" t="s">
        <v>119</v>
      </c>
      <c r="C55" s="19" t="n">
        <v>61.298849</v>
      </c>
      <c r="D55" s="19" t="n">
        <v>61.298849</v>
      </c>
      <c r="E55" s="20" t="n">
        <f aca="false">IF(OR(D55="",D55=0),"",(C55-D55)/D55)</f>
        <v>0</v>
      </c>
      <c r="F55" s="19" t="n">
        <v>68.160215</v>
      </c>
      <c r="G55" s="19" t="n">
        <v>68.160215</v>
      </c>
      <c r="H55" s="20" t="n">
        <f aca="false">IF(OR(G55="",G55=0),"",(F55-G55)/G55)</f>
        <v>0</v>
      </c>
      <c r="I55" s="19" t="n">
        <v>210.265277</v>
      </c>
      <c r="J55" s="19" t="n">
        <v>210.265277</v>
      </c>
      <c r="K55" s="20" t="n">
        <f aca="false">IF(OR(J55="",J55=0),"",(I55-J55)/J55)</f>
        <v>0</v>
      </c>
      <c r="L55" s="21" t="str">
        <f aca="false">IF(OR(D55="",G55="",J55=""),"No reported subtotal",IF(AND(ABS(N(E55))&lt;=$D$2,ABS(N(H55))&lt;=$D$2,ABS(N(K55))&lt;=$D$2),"Reconciles within tolerance","Outside tolerance"))</f>
        <v>Reconciles within tolerance</v>
      </c>
    </row>
    <row r="56" customFormat="false" ht="15" hidden="false" customHeight="false" outlineLevel="0" collapsed="false">
      <c r="A56" s="7" t="n">
        <v>2024</v>
      </c>
      <c r="B56" s="15" t="s">
        <v>119</v>
      </c>
      <c r="C56" s="19" t="n">
        <v>85.168308</v>
      </c>
      <c r="D56" s="19" t="n">
        <v>85.168308</v>
      </c>
      <c r="E56" s="20" t="n">
        <f aca="false">IF(OR(D56="",D56=0),"",(C56-D56)/D56)</f>
        <v>0</v>
      </c>
      <c r="F56" s="19" t="n">
        <v>62.745004</v>
      </c>
      <c r="G56" s="19" t="n">
        <v>62.745004</v>
      </c>
      <c r="H56" s="20" t="n">
        <f aca="false">IF(OR(G56="",G56=0),"",(F56-G56)/G56)</f>
        <v>0</v>
      </c>
      <c r="I56" s="19" t="n">
        <v>217.142701</v>
      </c>
      <c r="J56" s="19" t="n">
        <v>217.142702</v>
      </c>
      <c r="K56" s="20" t="n">
        <f aca="false">IF(OR(J56="",J56=0),"",(I56-J56)/J56)</f>
        <v>-4.60526656749879E-009</v>
      </c>
      <c r="L56" s="21" t="str">
        <f aca="false">IF(OR(D56="",G56="",J56=""),"No reported subtotal",IF(AND(ABS(N(E56))&lt;=$D$2,ABS(N(H56))&lt;=$D$2,ABS(N(K56))&lt;=$D$2),"Reconciles within tolerance","Outside tolerance"))</f>
        <v>Reconciles within tolerance</v>
      </c>
    </row>
    <row r="57" customFormat="false" ht="15" hidden="false" customHeight="false" outlineLevel="0" collapsed="false">
      <c r="A57" s="7" t="n">
        <v>2025</v>
      </c>
      <c r="B57" s="15" t="s">
        <v>119</v>
      </c>
      <c r="C57" s="19" t="n">
        <v>104.464018</v>
      </c>
      <c r="D57" s="19" t="n">
        <v>104.464018</v>
      </c>
      <c r="E57" s="20" t="n">
        <f aca="false">IF(OR(D57="",D57=0),"",(C57-D57)/D57)</f>
        <v>0</v>
      </c>
      <c r="F57" s="19" t="n">
        <v>62.366647</v>
      </c>
      <c r="G57" s="19" t="n">
        <v>62.366647</v>
      </c>
      <c r="H57" s="20" t="n">
        <f aca="false">IF(OR(G57="",G57=0),"",(F57-G57)/G57)</f>
        <v>0</v>
      </c>
      <c r="I57" s="19" t="n">
        <v>239.363537</v>
      </c>
      <c r="J57" s="19" t="n">
        <v>239.363537</v>
      </c>
      <c r="K57" s="20" t="n">
        <f aca="false">IF(OR(J57="",J57=0),"",(I57-J57)/J57)</f>
        <v>0</v>
      </c>
      <c r="L57" s="21" t="str">
        <f aca="false">IF(OR(D57="",G57="",J57=""),"No reported subtotal",IF(AND(ABS(N(E57))&lt;=$D$2,ABS(N(H57))&lt;=$D$2,ABS(N(K57))&lt;=$D$2),"Reconciles within tolerance","Outside tolerance"))</f>
        <v>Reconciles within tolerance</v>
      </c>
    </row>
    <row r="58" customFormat="false" ht="15" hidden="false" customHeight="false" outlineLevel="0" collapsed="false">
      <c r="A58" s="7" t="n">
        <v>2000</v>
      </c>
      <c r="B58" s="15" t="s">
        <v>134</v>
      </c>
      <c r="C58" s="19" t="n">
        <v>12.484589</v>
      </c>
      <c r="D58" s="19" t="n">
        <v>12.484589</v>
      </c>
      <c r="E58" s="20" t="n">
        <f aca="false">IF(OR(D58="",D58=0),"",(C58-D58)/D58)</f>
        <v>0</v>
      </c>
      <c r="F58" s="19" t="n">
        <v>25.58908</v>
      </c>
      <c r="G58" s="19" t="n">
        <v>25.58908</v>
      </c>
      <c r="H58" s="20" t="n">
        <f aca="false">IF(OR(G58="",G58=0),"",(F58-G58)/G58)</f>
        <v>0</v>
      </c>
      <c r="I58" s="19" t="n">
        <v>8.930011</v>
      </c>
      <c r="J58" s="19" t="n">
        <v>8.930011</v>
      </c>
      <c r="K58" s="20" t="n">
        <f aca="false">IF(OR(J58="",J58=0),"",(I58-J58)/J58)</f>
        <v>0</v>
      </c>
      <c r="L58" s="21" t="str">
        <f aca="false">IF(OR(D58="",G58="",J58=""),"No reported subtotal",IF(AND(ABS(N(E58))&lt;=$D$2,ABS(N(H58))&lt;=$D$2,ABS(N(K58))&lt;=$D$2),"Reconciles within tolerance","Outside tolerance"))</f>
        <v>Reconciles within tolerance</v>
      </c>
    </row>
    <row r="59" customFormat="false" ht="15" hidden="false" customHeight="false" outlineLevel="0" collapsed="false">
      <c r="A59" s="7" t="n">
        <v>2001</v>
      </c>
      <c r="B59" s="15" t="s">
        <v>134</v>
      </c>
      <c r="C59" s="19" t="n">
        <v>15.205226</v>
      </c>
      <c r="D59" s="19" t="n">
        <v>15.205226</v>
      </c>
      <c r="E59" s="20" t="n">
        <f aca="false">IF(OR(D59="",D59=0),"",(C59-D59)/D59)</f>
        <v>0</v>
      </c>
      <c r="F59" s="19" t="n">
        <v>19.045024</v>
      </c>
      <c r="G59" s="19" t="n">
        <v>19.045024</v>
      </c>
      <c r="H59" s="20" t="n">
        <f aca="false">IF(OR(G59="",G59=0),"",(F59-G59)/G59)</f>
        <v>0</v>
      </c>
      <c r="I59" s="19" t="n">
        <v>8.006543</v>
      </c>
      <c r="J59" s="19" t="n">
        <v>8.006543</v>
      </c>
      <c r="K59" s="20" t="n">
        <f aca="false">IF(OR(J59="",J59=0),"",(I59-J59)/J59)</f>
        <v>0</v>
      </c>
      <c r="L59" s="21" t="str">
        <f aca="false">IF(OR(D59="",G59="",J59=""),"No reported subtotal",IF(AND(ABS(N(E59))&lt;=$D$2,ABS(N(H59))&lt;=$D$2,ABS(N(K59))&lt;=$D$2),"Reconciles within tolerance","Outside tolerance"))</f>
        <v>Reconciles within tolerance</v>
      </c>
    </row>
    <row r="60" customFormat="false" ht="15" hidden="false" customHeight="false" outlineLevel="0" collapsed="false">
      <c r="A60" s="7" t="n">
        <v>2002</v>
      </c>
      <c r="B60" s="15" t="s">
        <v>134</v>
      </c>
      <c r="C60" s="19" t="n">
        <v>14.181512</v>
      </c>
      <c r="D60" s="19" t="n">
        <v>14.181512</v>
      </c>
      <c r="E60" s="20" t="n">
        <f aca="false">IF(OR(D60="",D60=0),"",(C60-D60)/D60)</f>
        <v>0</v>
      </c>
      <c r="F60" s="19" t="n">
        <v>16.441904</v>
      </c>
      <c r="G60" s="19" t="n">
        <v>16.441904</v>
      </c>
      <c r="H60" s="20" t="n">
        <f aca="false">IF(OR(G60="",G60=0),"",(F60-G60)/G60)</f>
        <v>0</v>
      </c>
      <c r="I60" s="19" t="n">
        <v>14.861898</v>
      </c>
      <c r="J60" s="19" t="n">
        <v>14.861898</v>
      </c>
      <c r="K60" s="20" t="n">
        <f aca="false">IF(OR(J60="",J60=0),"",(I60-J60)/J60)</f>
        <v>0</v>
      </c>
      <c r="L60" s="21" t="str">
        <f aca="false">IF(OR(D60="",G60="",J60=""),"No reported subtotal",IF(AND(ABS(N(E60))&lt;=$D$2,ABS(N(H60))&lt;=$D$2,ABS(N(K60))&lt;=$D$2),"Reconciles within tolerance","Outside tolerance"))</f>
        <v>Reconciles within tolerance</v>
      </c>
    </row>
    <row r="61" customFormat="false" ht="15" hidden="false" customHeight="false" outlineLevel="0" collapsed="false">
      <c r="A61" s="7" t="n">
        <v>2003</v>
      </c>
      <c r="B61" s="15" t="s">
        <v>134</v>
      </c>
      <c r="C61" s="19" t="n">
        <v>14.469781</v>
      </c>
      <c r="D61" s="19" t="n">
        <v>14.469781</v>
      </c>
      <c r="E61" s="20" t="n">
        <f aca="false">IF(OR(D61="",D61=0),"",(C61-D61)/D61)</f>
        <v>0</v>
      </c>
      <c r="F61" s="19" t="n">
        <v>14.200482</v>
      </c>
      <c r="G61" s="19" t="n">
        <v>14.200482</v>
      </c>
      <c r="H61" s="20" t="n">
        <f aca="false">IF(OR(G61="",G61=0),"",(F61-G61)/G61)</f>
        <v>0</v>
      </c>
      <c r="I61" s="19" t="n">
        <v>17.192017</v>
      </c>
      <c r="J61" s="19" t="n">
        <v>17.192017</v>
      </c>
      <c r="K61" s="20" t="n">
        <f aca="false">IF(OR(J61="",J61=0),"",(I61-J61)/J61)</f>
        <v>0</v>
      </c>
      <c r="L61" s="21" t="str">
        <f aca="false">IF(OR(D61="",G61="",J61=""),"No reported subtotal",IF(AND(ABS(N(E61))&lt;=$D$2,ABS(N(H61))&lt;=$D$2,ABS(N(K61))&lt;=$D$2),"Reconciles within tolerance","Outside tolerance"))</f>
        <v>Reconciles within tolerance</v>
      </c>
    </row>
    <row r="62" customFormat="false" ht="15" hidden="false" customHeight="false" outlineLevel="0" collapsed="false">
      <c r="A62" s="7" t="n">
        <v>2004</v>
      </c>
      <c r="B62" s="15" t="s">
        <v>134</v>
      </c>
      <c r="C62" s="19" t="n">
        <v>16.463042</v>
      </c>
      <c r="D62" s="19" t="n">
        <v>16.463042</v>
      </c>
      <c r="E62" s="20" t="n">
        <f aca="false">IF(OR(D62="",D62=0),"",(C62-D62)/D62)</f>
        <v>0</v>
      </c>
      <c r="F62" s="19" t="n">
        <v>16.52519</v>
      </c>
      <c r="G62" s="19" t="n">
        <v>16.52519</v>
      </c>
      <c r="H62" s="20" t="n">
        <f aca="false">IF(OR(G62="",G62=0),"",(F62-G62)/G62)</f>
        <v>0</v>
      </c>
      <c r="I62" s="19" t="n">
        <v>13.454309</v>
      </c>
      <c r="J62" s="19" t="n">
        <v>13.454309</v>
      </c>
      <c r="K62" s="20" t="n">
        <f aca="false">IF(OR(J62="",J62=0),"",(I62-J62)/J62)</f>
        <v>0</v>
      </c>
      <c r="L62" s="21" t="str">
        <f aca="false">IF(OR(D62="",G62="",J62=""),"No reported subtotal",IF(AND(ABS(N(E62))&lt;=$D$2,ABS(N(H62))&lt;=$D$2,ABS(N(K62))&lt;=$D$2),"Reconciles within tolerance","Outside tolerance"))</f>
        <v>Reconciles within tolerance</v>
      </c>
    </row>
    <row r="63" customFormat="false" ht="15" hidden="false" customHeight="false" outlineLevel="0" collapsed="false">
      <c r="A63" s="7" t="n">
        <v>2005</v>
      </c>
      <c r="B63" s="15" t="s">
        <v>134</v>
      </c>
      <c r="C63" s="19" t="n">
        <v>18.482497</v>
      </c>
      <c r="D63" s="19" t="n">
        <v>18.482497</v>
      </c>
      <c r="E63" s="20" t="n">
        <f aca="false">IF(OR(D63="",D63=0),"",(C63-D63)/D63)</f>
        <v>0</v>
      </c>
      <c r="F63" s="19" t="n">
        <v>16.453905</v>
      </c>
      <c r="G63" s="19" t="n">
        <v>16.453905</v>
      </c>
      <c r="H63" s="20" t="n">
        <f aca="false">IF(OR(G63="",G63=0),"",(F63-G63)/G63)</f>
        <v>0</v>
      </c>
      <c r="I63" s="19" t="n">
        <v>14.075326</v>
      </c>
      <c r="J63" s="19" t="n">
        <v>14.075326</v>
      </c>
      <c r="K63" s="20" t="n">
        <f aca="false">IF(OR(J63="",J63=0),"",(I63-J63)/J63)</f>
        <v>0</v>
      </c>
      <c r="L63" s="21" t="str">
        <f aca="false">IF(OR(D63="",G63="",J63=""),"No reported subtotal",IF(AND(ABS(N(E63))&lt;=$D$2,ABS(N(H63))&lt;=$D$2,ABS(N(K63))&lt;=$D$2),"Reconciles within tolerance","Outside tolerance"))</f>
        <v>Reconciles within tolerance</v>
      </c>
    </row>
    <row r="64" customFormat="false" ht="15" hidden="false" customHeight="false" outlineLevel="0" collapsed="false">
      <c r="A64" s="7" t="n">
        <v>2006</v>
      </c>
      <c r="B64" s="15" t="s">
        <v>134</v>
      </c>
      <c r="C64" s="19" t="n">
        <v>19.190627</v>
      </c>
      <c r="D64" s="19" t="n">
        <v>19.190627</v>
      </c>
      <c r="E64" s="20" t="n">
        <f aca="false">IF(OR(D64="",D64=0),"",(C64-D64)/D64)</f>
        <v>0</v>
      </c>
      <c r="F64" s="19" t="n">
        <v>15.079149</v>
      </c>
      <c r="G64" s="19" t="n">
        <v>15.079149</v>
      </c>
      <c r="H64" s="20" t="n">
        <f aca="false">IF(OR(G64="",G64=0),"",(F64-G64)/G64)</f>
        <v>0</v>
      </c>
      <c r="I64" s="19" t="n">
        <v>14.52428</v>
      </c>
      <c r="J64" s="19" t="n">
        <v>14.52428</v>
      </c>
      <c r="K64" s="20" t="n">
        <f aca="false">IF(OR(J64="",J64=0),"",(I64-J64)/J64)</f>
        <v>0</v>
      </c>
      <c r="L64" s="21" t="str">
        <f aca="false">IF(OR(D64="",G64="",J64=""),"No reported subtotal",IF(AND(ABS(N(E64))&lt;=$D$2,ABS(N(H64))&lt;=$D$2,ABS(N(K64))&lt;=$D$2),"Reconciles within tolerance","Outside tolerance"))</f>
        <v>Reconciles within tolerance</v>
      </c>
    </row>
    <row r="65" customFormat="false" ht="15" hidden="false" customHeight="false" outlineLevel="0" collapsed="false">
      <c r="A65" s="7" t="n">
        <v>2007</v>
      </c>
      <c r="B65" s="15" t="s">
        <v>134</v>
      </c>
      <c r="C65" s="19" t="n">
        <v>21.813788</v>
      </c>
      <c r="D65" s="19" t="n">
        <v>21.813788</v>
      </c>
      <c r="E65" s="20" t="n">
        <f aca="false">IF(OR(D65="",D65=0),"",(C65-D65)/D65)</f>
        <v>0</v>
      </c>
      <c r="F65" s="19" t="n">
        <v>13.45082</v>
      </c>
      <c r="G65" s="19" t="n">
        <v>13.45082</v>
      </c>
      <c r="H65" s="20" t="n">
        <f aca="false">IF(OR(G65="",G65=0),"",(F65-G65)/G65)</f>
        <v>0</v>
      </c>
      <c r="I65" s="19" t="n">
        <v>33.499223</v>
      </c>
      <c r="J65" s="19" t="n">
        <v>33.499223</v>
      </c>
      <c r="K65" s="20" t="n">
        <f aca="false">IF(OR(J65="",J65=0),"",(I65-J65)/J65)</f>
        <v>0</v>
      </c>
      <c r="L65" s="21" t="str">
        <f aca="false">IF(OR(D65="",G65="",J65=""),"No reported subtotal",IF(AND(ABS(N(E65))&lt;=$D$2,ABS(N(H65))&lt;=$D$2,ABS(N(K65))&lt;=$D$2),"Reconciles within tolerance","Outside tolerance"))</f>
        <v>Reconciles within tolerance</v>
      </c>
    </row>
    <row r="66" customFormat="false" ht="15" hidden="false" customHeight="false" outlineLevel="0" collapsed="false">
      <c r="A66" s="7" t="n">
        <v>2008</v>
      </c>
      <c r="B66" s="15" t="s">
        <v>134</v>
      </c>
      <c r="C66" s="19" t="n">
        <v>21.018608</v>
      </c>
      <c r="D66" s="19" t="n">
        <v>21.018608</v>
      </c>
      <c r="E66" s="20" t="n">
        <f aca="false">IF(OR(D66="",D66=0),"",(C66-D66)/D66)</f>
        <v>0</v>
      </c>
      <c r="F66" s="19" t="n">
        <v>15.158954</v>
      </c>
      <c r="G66" s="19" t="n">
        <v>15.158954</v>
      </c>
      <c r="H66" s="20" t="n">
        <f aca="false">IF(OR(G66="",G66=0),"",(F66-G66)/G66)</f>
        <v>0</v>
      </c>
      <c r="I66" s="19" t="n">
        <v>22.647093</v>
      </c>
      <c r="J66" s="19" t="n">
        <v>22.647093</v>
      </c>
      <c r="K66" s="20" t="n">
        <f aca="false">IF(OR(J66="",J66=0),"",(I66-J66)/J66)</f>
        <v>0</v>
      </c>
      <c r="L66" s="21" t="str">
        <f aca="false">IF(OR(D66="",G66="",J66=""),"No reported subtotal",IF(AND(ABS(N(E66))&lt;=$D$2,ABS(N(H66))&lt;=$D$2,ABS(N(K66))&lt;=$D$2),"Reconciles within tolerance","Outside tolerance"))</f>
        <v>Reconciles within tolerance</v>
      </c>
    </row>
    <row r="67" customFormat="false" ht="15" hidden="false" customHeight="false" outlineLevel="0" collapsed="false">
      <c r="A67" s="7" t="n">
        <v>2009</v>
      </c>
      <c r="B67" s="15" t="s">
        <v>134</v>
      </c>
      <c r="C67" s="19" t="n">
        <v>20.894304</v>
      </c>
      <c r="D67" s="19" t="n">
        <v>20.894304</v>
      </c>
      <c r="E67" s="20" t="n">
        <f aca="false">IF(OR(D67="",D67=0),"",(C67-D67)/D67)</f>
        <v>0</v>
      </c>
      <c r="F67" s="19" t="n">
        <v>16.638731</v>
      </c>
      <c r="G67" s="19" t="n">
        <v>16.638731</v>
      </c>
      <c r="H67" s="20" t="n">
        <f aca="false">IF(OR(G67="",G67=0),"",(F67-G67)/G67)</f>
        <v>0</v>
      </c>
      <c r="I67" s="19" t="n">
        <v>12.554701</v>
      </c>
      <c r="J67" s="19" t="n">
        <v>12.554701</v>
      </c>
      <c r="K67" s="20" t="n">
        <f aca="false">IF(OR(J67="",J67=0),"",(I67-J67)/J67)</f>
        <v>0</v>
      </c>
      <c r="L67" s="21" t="str">
        <f aca="false">IF(OR(D67="",G67="",J67=""),"No reported subtotal",IF(AND(ABS(N(E67))&lt;=$D$2,ABS(N(H67))&lt;=$D$2,ABS(N(K67))&lt;=$D$2),"Reconciles within tolerance","Outside tolerance"))</f>
        <v>Reconciles within tolerance</v>
      </c>
    </row>
    <row r="68" customFormat="false" ht="15" hidden="false" customHeight="false" outlineLevel="0" collapsed="false">
      <c r="A68" s="7" t="n">
        <v>2010</v>
      </c>
      <c r="B68" s="15" t="s">
        <v>134</v>
      </c>
      <c r="C68" s="19" t="n">
        <v>22.528184</v>
      </c>
      <c r="D68" s="19" t="n">
        <v>22.528184</v>
      </c>
      <c r="E68" s="20" t="n">
        <f aca="false">IF(OR(D68="",D68=0),"",(C68-D68)/D68)</f>
        <v>0</v>
      </c>
      <c r="F68" s="19" t="n">
        <v>17.596698</v>
      </c>
      <c r="G68" s="19" t="n">
        <v>17.596698</v>
      </c>
      <c r="H68" s="20" t="n">
        <f aca="false">IF(OR(G68="",G68=0),"",(F68-G68)/G68)</f>
        <v>0</v>
      </c>
      <c r="I68" s="19" t="n">
        <v>13.96435</v>
      </c>
      <c r="J68" s="19" t="n">
        <v>13.96435</v>
      </c>
      <c r="K68" s="20" t="n">
        <f aca="false">IF(OR(J68="",J68=0),"",(I68-J68)/J68)</f>
        <v>0</v>
      </c>
      <c r="L68" s="21" t="str">
        <f aca="false">IF(OR(D68="",G68="",J68=""),"No reported subtotal",IF(AND(ABS(N(E68))&lt;=$D$2,ABS(N(H68))&lt;=$D$2,ABS(N(K68))&lt;=$D$2),"Reconciles within tolerance","Outside tolerance"))</f>
        <v>Reconciles within tolerance</v>
      </c>
    </row>
    <row r="69" customFormat="false" ht="15" hidden="false" customHeight="false" outlineLevel="0" collapsed="false">
      <c r="A69" s="7" t="n">
        <v>2011</v>
      </c>
      <c r="B69" s="15" t="s">
        <v>134</v>
      </c>
      <c r="C69" s="19" t="n">
        <v>23.736704</v>
      </c>
      <c r="D69" s="19" t="n">
        <v>23.736704</v>
      </c>
      <c r="E69" s="20" t="n">
        <f aca="false">IF(OR(D69="",D69=0),"",(C69-D69)/D69)</f>
        <v>0</v>
      </c>
      <c r="F69" s="19" t="n">
        <v>19.967247</v>
      </c>
      <c r="G69" s="19" t="n">
        <v>19.967247</v>
      </c>
      <c r="H69" s="20" t="n">
        <f aca="false">IF(OR(G69="",G69=0),"",(F69-G69)/G69)</f>
        <v>0</v>
      </c>
      <c r="I69" s="19" t="n">
        <v>22.578578</v>
      </c>
      <c r="J69" s="19" t="n">
        <v>22.578578</v>
      </c>
      <c r="K69" s="20" t="n">
        <f aca="false">IF(OR(J69="",J69=0),"",(I69-J69)/J69)</f>
        <v>0</v>
      </c>
      <c r="L69" s="21" t="str">
        <f aca="false">IF(OR(D69="",G69="",J69=""),"No reported subtotal",IF(AND(ABS(N(E69))&lt;=$D$2,ABS(N(H69))&lt;=$D$2,ABS(N(K69))&lt;=$D$2),"Reconciles within tolerance","Outside tolerance"))</f>
        <v>Reconciles within tolerance</v>
      </c>
    </row>
    <row r="70" customFormat="false" ht="15" hidden="false" customHeight="false" outlineLevel="0" collapsed="false">
      <c r="A70" s="7" t="n">
        <v>2012</v>
      </c>
      <c r="B70" s="15" t="s">
        <v>134</v>
      </c>
      <c r="C70" s="19" t="n">
        <v>24.787841</v>
      </c>
      <c r="D70" s="19" t="n">
        <v>24.787841</v>
      </c>
      <c r="E70" s="20" t="n">
        <f aca="false">IF(OR(D70="",D70=0),"",(C70-D70)/D70)</f>
        <v>0</v>
      </c>
      <c r="F70" s="19" t="n">
        <v>16.443866</v>
      </c>
      <c r="G70" s="19" t="n">
        <v>16.443866</v>
      </c>
      <c r="H70" s="20" t="n">
        <f aca="false">IF(OR(G70="",G70=0),"",(F70-G70)/G70)</f>
        <v>0</v>
      </c>
      <c r="I70" s="19" t="n">
        <v>19.160152</v>
      </c>
      <c r="J70" s="19" t="n">
        <v>19.160152</v>
      </c>
      <c r="K70" s="20" t="n">
        <f aca="false">IF(OR(J70="",J70=0),"",(I70-J70)/J70)</f>
        <v>0</v>
      </c>
      <c r="L70" s="21" t="str">
        <f aca="false">IF(OR(D70="",G70="",J70=""),"No reported subtotal",IF(AND(ABS(N(E70))&lt;=$D$2,ABS(N(H70))&lt;=$D$2,ABS(N(K70))&lt;=$D$2),"Reconciles within tolerance","Outside tolerance"))</f>
        <v>Reconciles within tolerance</v>
      </c>
    </row>
    <row r="71" customFormat="false" ht="15" hidden="false" customHeight="false" outlineLevel="0" collapsed="false">
      <c r="A71" s="7" t="n">
        <v>2013</v>
      </c>
      <c r="B71" s="15" t="s">
        <v>134</v>
      </c>
      <c r="C71" s="19" t="n">
        <v>22.180505</v>
      </c>
      <c r="D71" s="19" t="n">
        <v>22.180505</v>
      </c>
      <c r="E71" s="20" t="n">
        <f aca="false">IF(OR(D71="",D71=0),"",(C71-D71)/D71)</f>
        <v>0</v>
      </c>
      <c r="F71" s="19" t="n">
        <v>19.283112</v>
      </c>
      <c r="G71" s="19" t="n">
        <v>19.283112</v>
      </c>
      <c r="H71" s="20" t="n">
        <f aca="false">IF(OR(G71="",G71=0),"",(F71-G71)/G71)</f>
        <v>0</v>
      </c>
      <c r="I71" s="19" t="n">
        <v>21.044532</v>
      </c>
      <c r="J71" s="19" t="n">
        <v>21.044532</v>
      </c>
      <c r="K71" s="20" t="n">
        <f aca="false">IF(OR(J71="",J71=0),"",(I71-J71)/J71)</f>
        <v>0</v>
      </c>
      <c r="L71" s="21" t="str">
        <f aca="false">IF(OR(D71="",G71="",J71=""),"No reported subtotal",IF(AND(ABS(N(E71))&lt;=$D$2,ABS(N(H71))&lt;=$D$2,ABS(N(K71))&lt;=$D$2),"Reconciles within tolerance","Outside tolerance"))</f>
        <v>Reconciles within tolerance</v>
      </c>
    </row>
    <row r="72" customFormat="false" ht="15" hidden="false" customHeight="false" outlineLevel="0" collapsed="false">
      <c r="A72" s="7" t="n">
        <v>2014</v>
      </c>
      <c r="B72" s="15" t="s">
        <v>134</v>
      </c>
      <c r="C72" s="19" t="n">
        <v>24.611732</v>
      </c>
      <c r="D72" s="19" t="n">
        <v>24.611732</v>
      </c>
      <c r="E72" s="20" t="n">
        <f aca="false">IF(OR(D72="",D72=0),"",(C72-D72)/D72)</f>
        <v>0</v>
      </c>
      <c r="F72" s="19" t="n">
        <v>17.371226</v>
      </c>
      <c r="G72" s="19" t="n">
        <v>17.371226</v>
      </c>
      <c r="H72" s="20" t="n">
        <f aca="false">IF(OR(G72="",G72=0),"",(F72-G72)/G72)</f>
        <v>0</v>
      </c>
      <c r="I72" s="19" t="n">
        <v>23.412306</v>
      </c>
      <c r="J72" s="19" t="n">
        <v>23.412306</v>
      </c>
      <c r="K72" s="20" t="n">
        <f aca="false">IF(OR(J72="",J72=0),"",(I72-J72)/J72)</f>
        <v>0</v>
      </c>
      <c r="L72" s="21" t="str">
        <f aca="false">IF(OR(D72="",G72="",J72=""),"No reported subtotal",IF(AND(ABS(N(E72))&lt;=$D$2,ABS(N(H72))&lt;=$D$2,ABS(N(K72))&lt;=$D$2),"Reconciles within tolerance","Outside tolerance"))</f>
        <v>Reconciles within tolerance</v>
      </c>
    </row>
    <row r="73" customFormat="false" ht="15" hidden="false" customHeight="false" outlineLevel="0" collapsed="false">
      <c r="A73" s="7" t="n">
        <v>2015</v>
      </c>
      <c r="B73" s="15" t="s">
        <v>134</v>
      </c>
      <c r="C73" s="19" t="n">
        <v>24.186895</v>
      </c>
      <c r="D73" s="19" t="n">
        <v>24.186895</v>
      </c>
      <c r="E73" s="20" t="n">
        <f aca="false">IF(OR(D73="",D73=0),"",(C73-D73)/D73)</f>
        <v>0</v>
      </c>
      <c r="F73" s="19" t="n">
        <v>13.874656</v>
      </c>
      <c r="G73" s="19" t="n">
        <v>13.874656</v>
      </c>
      <c r="H73" s="20" t="n">
        <f aca="false">IF(OR(G73="",G73=0),"",(F73-G73)/G73)</f>
        <v>0</v>
      </c>
      <c r="I73" s="19" t="n">
        <v>20.732561</v>
      </c>
      <c r="J73" s="19" t="n">
        <v>20.732561</v>
      </c>
      <c r="K73" s="20" t="n">
        <f aca="false">IF(OR(J73="",J73=0),"",(I73-J73)/J73)</f>
        <v>0</v>
      </c>
      <c r="L73" s="21" t="str">
        <f aca="false">IF(OR(D73="",G73="",J73=""),"No reported subtotal",IF(AND(ABS(N(E73))&lt;=$D$2,ABS(N(H73))&lt;=$D$2,ABS(N(K73))&lt;=$D$2),"Reconciles within tolerance","Outside tolerance"))</f>
        <v>Reconciles within tolerance</v>
      </c>
    </row>
    <row r="74" customFormat="false" ht="15" hidden="false" customHeight="false" outlineLevel="0" collapsed="false">
      <c r="A74" s="7" t="n">
        <v>2016</v>
      </c>
      <c r="B74" s="15" t="s">
        <v>134</v>
      </c>
      <c r="C74" s="19" t="n">
        <v>27.422576</v>
      </c>
      <c r="D74" s="19" t="n">
        <v>27.422576</v>
      </c>
      <c r="E74" s="20" t="n">
        <f aca="false">IF(OR(D74="",D74=0),"",(C74-D74)/D74)</f>
        <v>0</v>
      </c>
      <c r="F74" s="19" t="n">
        <v>9.81987</v>
      </c>
      <c r="G74" s="19" t="n">
        <v>9.81987</v>
      </c>
      <c r="H74" s="20" t="n">
        <f aca="false">IF(OR(G74="",G74=0),"",(F74-G74)/G74)</f>
        <v>0</v>
      </c>
      <c r="I74" s="19" t="n">
        <v>37.083572</v>
      </c>
      <c r="J74" s="19" t="n">
        <v>37.083572</v>
      </c>
      <c r="K74" s="20" t="n">
        <f aca="false">IF(OR(J74="",J74=0),"",(I74-J74)/J74)</f>
        <v>0</v>
      </c>
      <c r="L74" s="21" t="str">
        <f aca="false">IF(OR(D74="",G74="",J74=""),"No reported subtotal",IF(AND(ABS(N(E74))&lt;=$D$2,ABS(N(H74))&lt;=$D$2,ABS(N(K74))&lt;=$D$2),"Reconciles within tolerance","Outside tolerance"))</f>
        <v>Reconciles within tolerance</v>
      </c>
    </row>
    <row r="75" customFormat="false" ht="15" hidden="false" customHeight="false" outlineLevel="0" collapsed="false">
      <c r="A75" s="7" t="n">
        <v>2017</v>
      </c>
      <c r="B75" s="15" t="s">
        <v>134</v>
      </c>
      <c r="C75" s="19" t="n">
        <v>25.592864</v>
      </c>
      <c r="D75" s="19" t="n">
        <v>25.592864</v>
      </c>
      <c r="E75" s="20" t="n">
        <f aca="false">IF(OR(D75="",D75=0),"",(C75-D75)/D75)</f>
        <v>0</v>
      </c>
      <c r="F75" s="19" t="n">
        <v>18.239201</v>
      </c>
      <c r="G75" s="19" t="n">
        <v>18.239201</v>
      </c>
      <c r="H75" s="20" t="n">
        <f aca="false">IF(OR(G75="",G75=0),"",(F75-G75)/G75)</f>
        <v>0</v>
      </c>
      <c r="I75" s="19" t="n">
        <v>27.827536</v>
      </c>
      <c r="J75" s="19" t="n">
        <v>27.827536</v>
      </c>
      <c r="K75" s="20" t="n">
        <f aca="false">IF(OR(J75="",J75=0),"",(I75-J75)/J75)</f>
        <v>0</v>
      </c>
      <c r="L75" s="21" t="str">
        <f aca="false">IF(OR(D75="",G75="",J75=""),"No reported subtotal",IF(AND(ABS(N(E75))&lt;=$D$2,ABS(N(H75))&lt;=$D$2,ABS(N(K75))&lt;=$D$2),"Reconciles within tolerance","Outside tolerance"))</f>
        <v>Reconciles within tolerance</v>
      </c>
    </row>
    <row r="76" customFormat="false" ht="15" hidden="false" customHeight="false" outlineLevel="0" collapsed="false">
      <c r="A76" s="7" t="n">
        <v>2018</v>
      </c>
      <c r="B76" s="15" t="s">
        <v>134</v>
      </c>
      <c r="C76" s="19" t="n">
        <v>20.214797</v>
      </c>
      <c r="D76" s="19" t="n">
        <v>20.214797</v>
      </c>
      <c r="E76" s="20" t="n">
        <f aca="false">IF(OR(D76="",D76=0),"",(C76-D76)/D76)</f>
        <v>0</v>
      </c>
      <c r="F76" s="19" t="n">
        <v>21.204503</v>
      </c>
      <c r="G76" s="19" t="n">
        <v>21.204503</v>
      </c>
      <c r="H76" s="20" t="n">
        <f aca="false">IF(OR(G76="",G76=0),"",(F76-G76)/G76)</f>
        <v>0</v>
      </c>
      <c r="I76" s="19" t="n">
        <v>35.639758</v>
      </c>
      <c r="J76" s="19" t="n">
        <v>35.639758</v>
      </c>
      <c r="K76" s="20" t="n">
        <f aca="false">IF(OR(J76="",J76=0),"",(I76-J76)/J76)</f>
        <v>0</v>
      </c>
      <c r="L76" s="21" t="str">
        <f aca="false">IF(OR(D76="",G76="",J76=""),"No reported subtotal",IF(AND(ABS(N(E76))&lt;=$D$2,ABS(N(H76))&lt;=$D$2,ABS(N(K76))&lt;=$D$2),"Reconciles within tolerance","Outside tolerance"))</f>
        <v>Reconciles within tolerance</v>
      </c>
    </row>
    <row r="77" customFormat="false" ht="15" hidden="false" customHeight="false" outlineLevel="0" collapsed="false">
      <c r="A77" s="7" t="n">
        <v>2019</v>
      </c>
      <c r="B77" s="15" t="s">
        <v>134</v>
      </c>
      <c r="C77" s="19" t="n">
        <v>20.23861</v>
      </c>
      <c r="D77" s="19" t="n">
        <v>20.23861</v>
      </c>
      <c r="E77" s="20" t="n">
        <f aca="false">IF(OR(D77="",D77=0),"",(C77-D77)/D77)</f>
        <v>0</v>
      </c>
      <c r="F77" s="19" t="n">
        <v>18.902213</v>
      </c>
      <c r="G77" s="19" t="n">
        <v>18.902213</v>
      </c>
      <c r="H77" s="20" t="n">
        <f aca="false">IF(OR(G77="",G77=0),"",(F77-G77)/G77)</f>
        <v>0</v>
      </c>
      <c r="I77" s="19" t="n">
        <v>23.850128</v>
      </c>
      <c r="J77" s="19" t="n">
        <v>23.850128</v>
      </c>
      <c r="K77" s="20" t="n">
        <f aca="false">IF(OR(J77="",J77=0),"",(I77-J77)/J77)</f>
        <v>0</v>
      </c>
      <c r="L77" s="21" t="str">
        <f aca="false">IF(OR(D77="",G77="",J77=""),"No reported subtotal",IF(AND(ABS(N(E77))&lt;=$D$2,ABS(N(H77))&lt;=$D$2,ABS(N(K77))&lt;=$D$2),"Reconciles within tolerance","Outside tolerance"))</f>
        <v>Reconciles within tolerance</v>
      </c>
    </row>
    <row r="78" customFormat="false" ht="15" hidden="false" customHeight="false" outlineLevel="0" collapsed="false">
      <c r="A78" s="7" t="n">
        <v>2020</v>
      </c>
      <c r="B78" s="15" t="s">
        <v>134</v>
      </c>
      <c r="C78" s="19" t="n">
        <v>20.234759</v>
      </c>
      <c r="D78" s="19" t="n">
        <v>20.234759</v>
      </c>
      <c r="E78" s="20" t="n">
        <f aca="false">IF(OR(D78="",D78=0),"",(C78-D78)/D78)</f>
        <v>0</v>
      </c>
      <c r="F78" s="19" t="n">
        <v>12.617272</v>
      </c>
      <c r="G78" s="19" t="n">
        <v>12.617272</v>
      </c>
      <c r="H78" s="20" t="n">
        <f aca="false">IF(OR(G78="",G78=0),"",(F78-G78)/G78)</f>
        <v>0</v>
      </c>
      <c r="I78" s="19" t="n">
        <v>24.593779</v>
      </c>
      <c r="J78" s="19" t="n">
        <v>24.593779</v>
      </c>
      <c r="K78" s="20" t="n">
        <f aca="false">IF(OR(J78="",J78=0),"",(I78-J78)/J78)</f>
        <v>0</v>
      </c>
      <c r="L78" s="21" t="str">
        <f aca="false">IF(OR(D78="",G78="",J78=""),"No reported subtotal",IF(AND(ABS(N(E78))&lt;=$D$2,ABS(N(H78))&lt;=$D$2,ABS(N(K78))&lt;=$D$2),"Reconciles within tolerance","Outside tolerance"))</f>
        <v>Reconciles within tolerance</v>
      </c>
    </row>
    <row r="79" customFormat="false" ht="15" hidden="false" customHeight="false" outlineLevel="0" collapsed="false">
      <c r="A79" s="7" t="n">
        <v>2021</v>
      </c>
      <c r="B79" s="15" t="s">
        <v>134</v>
      </c>
      <c r="C79" s="19" t="n">
        <v>25.182467</v>
      </c>
      <c r="D79" s="19" t="n">
        <v>25.182467</v>
      </c>
      <c r="E79" s="20" t="n">
        <f aca="false">IF(OR(D79="",D79=0),"",(C79-D79)/D79)</f>
        <v>0</v>
      </c>
      <c r="F79" s="19" t="n">
        <v>12.677408</v>
      </c>
      <c r="G79" s="19" t="n">
        <v>12.677408</v>
      </c>
      <c r="H79" s="20" t="n">
        <f aca="false">IF(OR(G79="",G79=0),"",(F79-G79)/G79)</f>
        <v>0</v>
      </c>
      <c r="I79" s="19" t="n">
        <v>24.998301</v>
      </c>
      <c r="J79" s="19" t="n">
        <v>24.998301</v>
      </c>
      <c r="K79" s="20" t="n">
        <f aca="false">IF(OR(J79="",J79=0),"",(I79-J79)/J79)</f>
        <v>0</v>
      </c>
      <c r="L79" s="21" t="str">
        <f aca="false">IF(OR(D79="",G79="",J79=""),"No reported subtotal",IF(AND(ABS(N(E79))&lt;=$D$2,ABS(N(H79))&lt;=$D$2,ABS(N(K79))&lt;=$D$2),"Reconciles within tolerance","Outside tolerance"))</f>
        <v>Reconciles within tolerance</v>
      </c>
    </row>
    <row r="80" customFormat="false" ht="15" hidden="false" customHeight="false" outlineLevel="0" collapsed="false">
      <c r="A80" s="7" t="n">
        <v>2022</v>
      </c>
      <c r="B80" s="15" t="s">
        <v>134</v>
      </c>
      <c r="C80" s="19" t="n">
        <v>30.857737</v>
      </c>
      <c r="D80" s="19" t="n">
        <v>30.857737</v>
      </c>
      <c r="E80" s="20" t="n">
        <f aca="false">IF(OR(D80="",D80=0),"",(C80-D80)/D80)</f>
        <v>0</v>
      </c>
      <c r="F80" s="19" t="n">
        <v>19.727223</v>
      </c>
      <c r="G80" s="19" t="n">
        <v>19.727223</v>
      </c>
      <c r="H80" s="20" t="n">
        <f aca="false">IF(OR(G80="",G80=0),"",(F80-G80)/G80)</f>
        <v>0</v>
      </c>
      <c r="I80" s="19" t="n">
        <v>43.002952</v>
      </c>
      <c r="J80" s="19" t="n">
        <v>43.002952</v>
      </c>
      <c r="K80" s="20" t="n">
        <f aca="false">IF(OR(J80="",J80=0),"",(I80-J80)/J80)</f>
        <v>0</v>
      </c>
      <c r="L80" s="21" t="str">
        <f aca="false">IF(OR(D80="",G80="",J80=""),"No reported subtotal",IF(AND(ABS(N(E80))&lt;=$D$2,ABS(N(H80))&lt;=$D$2,ABS(N(K80))&lt;=$D$2),"Reconciles within tolerance","Outside tolerance"))</f>
        <v>Reconciles within tolerance</v>
      </c>
    </row>
    <row r="81" customFormat="false" ht="15" hidden="false" customHeight="false" outlineLevel="0" collapsed="false">
      <c r="A81" s="7" t="n">
        <v>2023</v>
      </c>
      <c r="B81" s="15" t="s">
        <v>134</v>
      </c>
      <c r="C81" s="19" t="n">
        <v>28.389254</v>
      </c>
      <c r="D81" s="19" t="n">
        <v>28.389254</v>
      </c>
      <c r="E81" s="20" t="n">
        <f aca="false">IF(OR(D81="",D81=0),"",(C81-D81)/D81)</f>
        <v>0</v>
      </c>
      <c r="F81" s="19" t="n">
        <v>18.315961</v>
      </c>
      <c r="G81" s="19" t="n">
        <v>18.315961</v>
      </c>
      <c r="H81" s="20" t="n">
        <f aca="false">IF(OR(G81="",G81=0),"",(F81-G81)/G81)</f>
        <v>0</v>
      </c>
      <c r="I81" s="19" t="n">
        <v>45.682004</v>
      </c>
      <c r="J81" s="19" t="n">
        <v>45.682004</v>
      </c>
      <c r="K81" s="20" t="n">
        <f aca="false">IF(OR(J81="",J81=0),"",(I81-J81)/J81)</f>
        <v>0</v>
      </c>
      <c r="L81" s="21" t="str">
        <f aca="false">IF(OR(D81="",G81="",J81=""),"No reported subtotal",IF(AND(ABS(N(E81))&lt;=$D$2,ABS(N(H81))&lt;=$D$2,ABS(N(K81))&lt;=$D$2),"Reconciles within tolerance","Outside tolerance"))</f>
        <v>Reconciles within tolerance</v>
      </c>
    </row>
    <row r="82" customFormat="false" ht="15" hidden="false" customHeight="false" outlineLevel="0" collapsed="false">
      <c r="A82" s="7" t="n">
        <v>2024</v>
      </c>
      <c r="B82" s="15" t="s">
        <v>134</v>
      </c>
      <c r="C82" s="19" t="n">
        <v>28.016308</v>
      </c>
      <c r="D82" s="19" t="n">
        <v>28.016308</v>
      </c>
      <c r="E82" s="20" t="n">
        <f aca="false">IF(OR(D82="",D82=0),"",(C82-D82)/D82)</f>
        <v>0</v>
      </c>
      <c r="F82" s="19" t="n">
        <v>17.033488</v>
      </c>
      <c r="G82" s="19" t="n">
        <v>17.033488</v>
      </c>
      <c r="H82" s="20" t="n">
        <f aca="false">IF(OR(G82="",G82=0),"",(F82-G82)/G82)</f>
        <v>0</v>
      </c>
      <c r="I82" s="19" t="n">
        <v>59.723054</v>
      </c>
      <c r="J82" s="19" t="n">
        <v>59.723054</v>
      </c>
      <c r="K82" s="20" t="n">
        <f aca="false">IF(OR(J82="",J82=0),"",(I82-J82)/J82)</f>
        <v>0</v>
      </c>
      <c r="L82" s="21" t="str">
        <f aca="false">IF(OR(D82="",G82="",J82=""),"No reported subtotal",IF(AND(ABS(N(E82))&lt;=$D$2,ABS(N(H82))&lt;=$D$2,ABS(N(K82))&lt;=$D$2),"Reconciles within tolerance","Outside tolerance"))</f>
        <v>Reconciles within tolerance</v>
      </c>
    </row>
    <row r="83" customFormat="false" ht="15" hidden="false" customHeight="false" outlineLevel="0" collapsed="false">
      <c r="A83" s="7" t="n">
        <v>2025</v>
      </c>
      <c r="B83" s="15" t="s">
        <v>134</v>
      </c>
      <c r="C83" s="19" t="n">
        <v>27.54258</v>
      </c>
      <c r="D83" s="19" t="n">
        <v>27.54258</v>
      </c>
      <c r="E83" s="20" t="n">
        <f aca="false">IF(OR(D83="",D83=0),"",(C83-D83)/D83)</f>
        <v>0</v>
      </c>
      <c r="F83" s="19" t="n">
        <v>21.565053</v>
      </c>
      <c r="G83" s="19" t="n">
        <v>21.565053</v>
      </c>
      <c r="H83" s="20" t="n">
        <f aca="false">IF(OR(G83="",G83=0),"",(F83-G83)/G83)</f>
        <v>0</v>
      </c>
      <c r="I83" s="19" t="n">
        <v>95.198325</v>
      </c>
      <c r="J83" s="19" t="n">
        <v>95.198325</v>
      </c>
      <c r="K83" s="20" t="n">
        <f aca="false">IF(OR(J83="",J83=0),"",(I83-J83)/J83)</f>
        <v>0</v>
      </c>
      <c r="L83" s="21" t="str">
        <f aca="false">IF(OR(D83="",G83="",J83=""),"No reported subtotal",IF(AND(ABS(N(E83))&lt;=$D$2,ABS(N(H83))&lt;=$D$2,ABS(N(K83))&lt;=$D$2),"Reconciles within tolerance","Outside tolerance"))</f>
        <v>Reconciles within tolerance</v>
      </c>
    </row>
    <row r="84" customFormat="false" ht="15" hidden="false" customHeight="false" outlineLevel="0" collapsed="false">
      <c r="A84" s="7" t="n">
        <v>2000</v>
      </c>
      <c r="B84" s="15" t="s">
        <v>120</v>
      </c>
      <c r="C84" s="19" t="n">
        <v>82.825598</v>
      </c>
      <c r="D84" s="19" t="n">
        <v>82.825598</v>
      </c>
      <c r="E84" s="20" t="n">
        <f aca="false">IF(OR(D84="",D84=0),"",(C84-D84)/D84)</f>
        <v>0</v>
      </c>
      <c r="F84" s="19" t="n">
        <v>55.866952</v>
      </c>
      <c r="G84" s="19" t="n">
        <v>55.866952</v>
      </c>
      <c r="H84" s="20" t="n">
        <f aca="false">IF(OR(G84="",G84=0),"",(F84-G84)/G84)</f>
        <v>0</v>
      </c>
      <c r="I84" s="19" t="n">
        <v>103.676486</v>
      </c>
      <c r="J84" s="19" t="n">
        <v>103.676486</v>
      </c>
      <c r="K84" s="20" t="n">
        <f aca="false">IF(OR(J84="",J84=0),"",(I84-J84)/J84)</f>
        <v>0</v>
      </c>
      <c r="L84" s="21" t="str">
        <f aca="false">IF(OR(D84="",G84="",J84=""),"No reported subtotal",IF(AND(ABS(N(E84))&lt;=$D$2,ABS(N(H84))&lt;=$D$2,ABS(N(K84))&lt;=$D$2),"Reconciles within tolerance","Outside tolerance"))</f>
        <v>Reconciles within tolerance</v>
      </c>
    </row>
    <row r="85" customFormat="false" ht="15" hidden="false" customHeight="false" outlineLevel="0" collapsed="false">
      <c r="A85" s="7" t="n">
        <v>2001</v>
      </c>
      <c r="B85" s="15" t="s">
        <v>120</v>
      </c>
      <c r="C85" s="19" t="n">
        <v>82.84652</v>
      </c>
      <c r="D85" s="19" t="n">
        <v>82.84652</v>
      </c>
      <c r="E85" s="20" t="n">
        <f aca="false">IF(OR(D85="",D85=0),"",(C85-D85)/D85)</f>
        <v>0</v>
      </c>
      <c r="F85" s="19" t="n">
        <v>49.402724</v>
      </c>
      <c r="G85" s="19" t="n">
        <v>49.402724</v>
      </c>
      <c r="H85" s="20" t="n">
        <f aca="false">IF(OR(G85="",G85=0),"",(F85-G85)/G85)</f>
        <v>0</v>
      </c>
      <c r="I85" s="19" t="n">
        <v>97.135616</v>
      </c>
      <c r="J85" s="19" t="n">
        <v>97.135616</v>
      </c>
      <c r="K85" s="20" t="n">
        <f aca="false">IF(OR(J85="",J85=0),"",(I85-J85)/J85)</f>
        <v>0</v>
      </c>
      <c r="L85" s="21" t="str">
        <f aca="false">IF(OR(D85="",G85="",J85=""),"No reported subtotal",IF(AND(ABS(N(E85))&lt;=$D$2,ABS(N(H85))&lt;=$D$2,ABS(N(K85))&lt;=$D$2),"Reconciles within tolerance","Outside tolerance"))</f>
        <v>Reconciles within tolerance</v>
      </c>
    </row>
    <row r="86" customFormat="false" ht="15" hidden="false" customHeight="false" outlineLevel="0" collapsed="false">
      <c r="A86" s="7" t="n">
        <v>2002</v>
      </c>
      <c r="B86" s="15" t="s">
        <v>120</v>
      </c>
      <c r="C86" s="19" t="n">
        <v>81.451702</v>
      </c>
      <c r="D86" s="19" t="n">
        <v>81.451702</v>
      </c>
      <c r="E86" s="20" t="n">
        <f aca="false">IF(OR(D86="",D86=0),"",(C86-D86)/D86)</f>
        <v>0</v>
      </c>
      <c r="F86" s="19" t="n">
        <v>45.739458</v>
      </c>
      <c r="G86" s="19" t="n">
        <v>45.739458</v>
      </c>
      <c r="H86" s="20" t="n">
        <f aca="false">IF(OR(G86="",G86=0),"",(F86-G86)/G86)</f>
        <v>0</v>
      </c>
      <c r="I86" s="19" t="n">
        <v>84.574306</v>
      </c>
      <c r="J86" s="19" t="n">
        <v>84.574306</v>
      </c>
      <c r="K86" s="20" t="n">
        <f aca="false">IF(OR(J86="",J86=0),"",(I86-J86)/J86)</f>
        <v>0</v>
      </c>
      <c r="L86" s="21" t="str">
        <f aca="false">IF(OR(D86="",G86="",J86=""),"No reported subtotal",IF(AND(ABS(N(E86))&lt;=$D$2,ABS(N(H86))&lt;=$D$2,ABS(N(K86))&lt;=$D$2),"Reconciles within tolerance","Outside tolerance"))</f>
        <v>Reconciles within tolerance</v>
      </c>
    </row>
    <row r="87" customFormat="false" ht="15" hidden="false" customHeight="false" outlineLevel="0" collapsed="false">
      <c r="A87" s="7" t="n">
        <v>2003</v>
      </c>
      <c r="B87" s="15" t="s">
        <v>120</v>
      </c>
      <c r="C87" s="19" t="n">
        <v>90.683805</v>
      </c>
      <c r="D87" s="19" t="n">
        <v>90.683805</v>
      </c>
      <c r="E87" s="20" t="n">
        <f aca="false">IF(OR(D87="",D87=0),"",(C87-D87)/D87)</f>
        <v>0</v>
      </c>
      <c r="F87" s="19" t="n">
        <v>45.131146</v>
      </c>
      <c r="G87" s="19" t="n">
        <v>45.131146</v>
      </c>
      <c r="H87" s="20" t="n">
        <f aca="false">IF(OR(G87="",G87=0),"",(F87-G87)/G87)</f>
        <v>0</v>
      </c>
      <c r="I87" s="19" t="n">
        <v>79.997026</v>
      </c>
      <c r="J87" s="19" t="n">
        <v>79.997026</v>
      </c>
      <c r="K87" s="20" t="n">
        <f aca="false">IF(OR(J87="",J87=0),"",(I87-J87)/J87)</f>
        <v>0</v>
      </c>
      <c r="L87" s="21" t="str">
        <f aca="false">IF(OR(D87="",G87="",J87=""),"No reported subtotal",IF(AND(ABS(N(E87))&lt;=$D$2,ABS(N(H87))&lt;=$D$2,ABS(N(K87))&lt;=$D$2),"Reconciles within tolerance","Outside tolerance"))</f>
        <v>Reconciles within tolerance</v>
      </c>
    </row>
    <row r="88" customFormat="false" ht="15" hidden="false" customHeight="false" outlineLevel="0" collapsed="false">
      <c r="A88" s="7" t="n">
        <v>2004</v>
      </c>
      <c r="B88" s="15" t="s">
        <v>120</v>
      </c>
      <c r="C88" s="19" t="n">
        <v>93.941718</v>
      </c>
      <c r="D88" s="19" t="n">
        <v>93.941718</v>
      </c>
      <c r="E88" s="20" t="n">
        <f aca="false">IF(OR(D88="",D88=0),"",(C88-D88)/D88)</f>
        <v>0</v>
      </c>
      <c r="F88" s="19" t="n">
        <v>47.589438</v>
      </c>
      <c r="G88" s="19" t="n">
        <v>47.589438</v>
      </c>
      <c r="H88" s="20" t="n">
        <f aca="false">IF(OR(G88="",G88=0),"",(F88-G88)/G88)</f>
        <v>0</v>
      </c>
      <c r="I88" s="19" t="n">
        <v>93.605445</v>
      </c>
      <c r="J88" s="19" t="n">
        <v>93.605445</v>
      </c>
      <c r="K88" s="20" t="n">
        <f aca="false">IF(OR(J88="",J88=0),"",(I88-J88)/J88)</f>
        <v>0</v>
      </c>
      <c r="L88" s="21" t="str">
        <f aca="false">IF(OR(D88="",G88="",J88=""),"No reported subtotal",IF(AND(ABS(N(E88))&lt;=$D$2,ABS(N(H88))&lt;=$D$2,ABS(N(K88))&lt;=$D$2),"Reconciles within tolerance","Outside tolerance"))</f>
        <v>Reconciles within tolerance</v>
      </c>
    </row>
    <row r="89" customFormat="false" ht="15" hidden="false" customHeight="false" outlineLevel="0" collapsed="false">
      <c r="A89" s="7" t="n">
        <v>2005</v>
      </c>
      <c r="B89" s="15" t="s">
        <v>120</v>
      </c>
      <c r="C89" s="19" t="n">
        <v>95.804957</v>
      </c>
      <c r="D89" s="19" t="n">
        <v>95.804957</v>
      </c>
      <c r="E89" s="20" t="n">
        <f aca="false">IF(OR(D89="",D89=0),"",(C89-D89)/D89)</f>
        <v>0</v>
      </c>
      <c r="F89" s="19" t="n">
        <v>46.896584</v>
      </c>
      <c r="G89" s="19" t="n">
        <v>46.896584</v>
      </c>
      <c r="H89" s="20" t="n">
        <f aca="false">IF(OR(G89="",G89=0),"",(F89-G89)/G89)</f>
        <v>0</v>
      </c>
      <c r="I89" s="19" t="n">
        <v>116.440136</v>
      </c>
      <c r="J89" s="19" t="n">
        <v>116.440136</v>
      </c>
      <c r="K89" s="20" t="n">
        <f aca="false">IF(OR(J89="",J89=0),"",(I89-J89)/J89)</f>
        <v>0</v>
      </c>
      <c r="L89" s="21" t="str">
        <f aca="false">IF(OR(D89="",G89="",J89=""),"No reported subtotal",IF(AND(ABS(N(E89))&lt;=$D$2,ABS(N(H89))&lt;=$D$2,ABS(N(K89))&lt;=$D$2),"Reconciles within tolerance","Outside tolerance"))</f>
        <v>Reconciles within tolerance</v>
      </c>
    </row>
    <row r="90" customFormat="false" ht="15" hidden="false" customHeight="false" outlineLevel="0" collapsed="false">
      <c r="A90" s="7" t="n">
        <v>2006</v>
      </c>
      <c r="B90" s="15" t="s">
        <v>120</v>
      </c>
      <c r="C90" s="19" t="n">
        <v>98.203298</v>
      </c>
      <c r="D90" s="19" t="n">
        <v>98.203298</v>
      </c>
      <c r="E90" s="20" t="n">
        <f aca="false">IF(OR(D90="",D90=0),"",(C90-D90)/D90)</f>
        <v>0</v>
      </c>
      <c r="F90" s="19" t="n">
        <v>46.475838</v>
      </c>
      <c r="G90" s="19" t="n">
        <v>46.475838</v>
      </c>
      <c r="H90" s="20" t="n">
        <f aca="false">IF(OR(G90="",G90=0),"",(F90-G90)/G90)</f>
        <v>0</v>
      </c>
      <c r="I90" s="19" t="n">
        <v>188.806778</v>
      </c>
      <c r="J90" s="19" t="n">
        <v>188.806778</v>
      </c>
      <c r="K90" s="20" t="n">
        <f aca="false">IF(OR(J90="",J90=0),"",(I90-J90)/J90)</f>
        <v>0</v>
      </c>
      <c r="L90" s="21" t="str">
        <f aca="false">IF(OR(D90="",G90="",J90=""),"No reported subtotal",IF(AND(ABS(N(E90))&lt;=$D$2,ABS(N(H90))&lt;=$D$2,ABS(N(K90))&lt;=$D$2),"Reconciles within tolerance","Outside tolerance"))</f>
        <v>Reconciles within tolerance</v>
      </c>
    </row>
    <row r="91" customFormat="false" ht="15" hidden="false" customHeight="false" outlineLevel="0" collapsed="false">
      <c r="A91" s="7" t="n">
        <v>2007</v>
      </c>
      <c r="B91" s="15" t="s">
        <v>120</v>
      </c>
      <c r="C91" s="19" t="n">
        <v>96.712036</v>
      </c>
      <c r="D91" s="19" t="n">
        <v>96.712036</v>
      </c>
      <c r="E91" s="20" t="n">
        <f aca="false">IF(OR(D91="",D91=0),"",(C91-D91)/D91)</f>
        <v>0</v>
      </c>
      <c r="F91" s="19" t="n">
        <v>52.073221</v>
      </c>
      <c r="G91" s="19" t="n">
        <v>52.073221</v>
      </c>
      <c r="H91" s="20" t="n">
        <f aca="false">IF(OR(G91="",G91=0),"",(F91-G91)/G91)</f>
        <v>0</v>
      </c>
      <c r="I91" s="19" t="n">
        <v>176.976552</v>
      </c>
      <c r="J91" s="19" t="n">
        <v>176.976552</v>
      </c>
      <c r="K91" s="20" t="n">
        <f aca="false">IF(OR(J91="",J91=0),"",(I91-J91)/J91)</f>
        <v>0</v>
      </c>
      <c r="L91" s="21" t="str">
        <f aca="false">IF(OR(D91="",G91="",J91=""),"No reported subtotal",IF(AND(ABS(N(E91))&lt;=$D$2,ABS(N(H91))&lt;=$D$2,ABS(N(K91))&lt;=$D$2),"Reconciles within tolerance","Outside tolerance"))</f>
        <v>Reconciles within tolerance</v>
      </c>
    </row>
    <row r="92" customFormat="false" ht="15" hidden="false" customHeight="false" outlineLevel="0" collapsed="false">
      <c r="A92" s="7" t="n">
        <v>2008</v>
      </c>
      <c r="B92" s="15" t="s">
        <v>120</v>
      </c>
      <c r="C92" s="19" t="n">
        <v>117.537838</v>
      </c>
      <c r="D92" s="19" t="n">
        <v>117.537838</v>
      </c>
      <c r="E92" s="20" t="n">
        <f aca="false">IF(OR(D92="",D92=0),"",(C92-D92)/D92)</f>
        <v>0</v>
      </c>
      <c r="F92" s="19" t="n">
        <v>47.918143</v>
      </c>
      <c r="G92" s="19" t="n">
        <v>47.918143</v>
      </c>
      <c r="H92" s="20" t="n">
        <f aca="false">IF(OR(G92="",G92=0),"",(F92-G92)/G92)</f>
        <v>0</v>
      </c>
      <c r="I92" s="19" t="n">
        <v>168.892625</v>
      </c>
      <c r="J92" s="19" t="n">
        <v>168.892625</v>
      </c>
      <c r="K92" s="20" t="n">
        <f aca="false">IF(OR(J92="",J92=0),"",(I92-J92)/J92)</f>
        <v>0</v>
      </c>
      <c r="L92" s="21" t="str">
        <f aca="false">IF(OR(D92="",G92="",J92=""),"No reported subtotal",IF(AND(ABS(N(E92))&lt;=$D$2,ABS(N(H92))&lt;=$D$2,ABS(N(K92))&lt;=$D$2),"Reconciles within tolerance","Outside tolerance"))</f>
        <v>Reconciles within tolerance</v>
      </c>
    </row>
    <row r="93" customFormat="false" ht="15" hidden="false" customHeight="false" outlineLevel="0" collapsed="false">
      <c r="A93" s="7" t="n">
        <v>2009</v>
      </c>
      <c r="B93" s="15" t="s">
        <v>120</v>
      </c>
      <c r="C93" s="19" t="n">
        <v>156.770294</v>
      </c>
      <c r="D93" s="19" t="n">
        <v>156.770294</v>
      </c>
      <c r="E93" s="20" t="n">
        <f aca="false">IF(OR(D93="",D93=0),"",(C93-D93)/D93)</f>
        <v>0</v>
      </c>
      <c r="F93" s="19" t="n">
        <v>43.272877</v>
      </c>
      <c r="G93" s="19" t="n">
        <v>43.272877</v>
      </c>
      <c r="H93" s="20" t="n">
        <f aca="false">IF(OR(G93="",G93=0),"",(F93-G93)/G93)</f>
        <v>0</v>
      </c>
      <c r="I93" s="19" t="n">
        <v>172.83787</v>
      </c>
      <c r="J93" s="19" t="n">
        <v>172.83787</v>
      </c>
      <c r="K93" s="20" t="n">
        <f aca="false">IF(OR(J93="",J93=0),"",(I93-J93)/J93)</f>
        <v>0</v>
      </c>
      <c r="L93" s="21" t="str">
        <f aca="false">IF(OR(D93="",G93="",J93=""),"No reported subtotal",IF(AND(ABS(N(E93))&lt;=$D$2,ABS(N(H93))&lt;=$D$2,ABS(N(K93))&lt;=$D$2),"Reconciles within tolerance","Outside tolerance"))</f>
        <v>Reconciles within tolerance</v>
      </c>
    </row>
    <row r="94" customFormat="false" ht="15" hidden="false" customHeight="false" outlineLevel="0" collapsed="false">
      <c r="A94" s="7" t="n">
        <v>2010</v>
      </c>
      <c r="B94" s="15" t="s">
        <v>120</v>
      </c>
      <c r="C94" s="19" t="n">
        <v>109.730607</v>
      </c>
      <c r="D94" s="19" t="n">
        <v>109.730607</v>
      </c>
      <c r="E94" s="20" t="n">
        <f aca="false">IF(OR(D94="",D94=0),"",(C94-D94)/D94)</f>
        <v>0</v>
      </c>
      <c r="F94" s="19" t="n">
        <v>43.508135</v>
      </c>
      <c r="G94" s="19" t="n">
        <v>43.508135</v>
      </c>
      <c r="H94" s="20" t="n">
        <f aca="false">IF(OR(G94="",G94=0),"",(F94-G94)/G94)</f>
        <v>0</v>
      </c>
      <c r="I94" s="19" t="n">
        <v>125.193661</v>
      </c>
      <c r="J94" s="19" t="n">
        <v>125.193661</v>
      </c>
      <c r="K94" s="20" t="n">
        <f aca="false">IF(OR(J94="",J94=0),"",(I94-J94)/J94)</f>
        <v>0</v>
      </c>
      <c r="L94" s="21" t="str">
        <f aca="false">IF(OR(D94="",G94="",J94=""),"No reported subtotal",IF(AND(ABS(N(E94))&lt;=$D$2,ABS(N(H94))&lt;=$D$2,ABS(N(K94))&lt;=$D$2),"Reconciles within tolerance","Outside tolerance"))</f>
        <v>Reconciles within tolerance</v>
      </c>
    </row>
    <row r="95" customFormat="false" ht="15" hidden="false" customHeight="false" outlineLevel="0" collapsed="false">
      <c r="A95" s="7" t="n">
        <v>2011</v>
      </c>
      <c r="B95" s="15" t="s">
        <v>120</v>
      </c>
      <c r="C95" s="19" t="n">
        <v>90.355092</v>
      </c>
      <c r="D95" s="19" t="n">
        <v>90.355092</v>
      </c>
      <c r="E95" s="20" t="n">
        <f aca="false">IF(OR(D95="",D95=0),"",(C95-D95)/D95)</f>
        <v>0</v>
      </c>
      <c r="F95" s="19" t="n">
        <v>44.143309</v>
      </c>
      <c r="G95" s="19" t="n">
        <v>44.143309</v>
      </c>
      <c r="H95" s="20" t="n">
        <f aca="false">IF(OR(G95="",G95=0),"",(F95-G95)/G95)</f>
        <v>0</v>
      </c>
      <c r="I95" s="19" t="n">
        <v>130.112573</v>
      </c>
      <c r="J95" s="19" t="n">
        <v>130.112573</v>
      </c>
      <c r="K95" s="20" t="n">
        <f aca="false">IF(OR(J95="",J95=0),"",(I95-J95)/J95)</f>
        <v>0</v>
      </c>
      <c r="L95" s="21" t="str">
        <f aca="false">IF(OR(D95="",G95="",J95=""),"No reported subtotal",IF(AND(ABS(N(E95))&lt;=$D$2,ABS(N(H95))&lt;=$D$2,ABS(N(K95))&lt;=$D$2),"Reconciles within tolerance","Outside tolerance"))</f>
        <v>Reconciles within tolerance</v>
      </c>
    </row>
    <row r="96" customFormat="false" ht="15" hidden="false" customHeight="false" outlineLevel="0" collapsed="false">
      <c r="A96" s="7" t="n">
        <v>2012</v>
      </c>
      <c r="B96" s="15" t="s">
        <v>120</v>
      </c>
      <c r="C96" s="19" t="n">
        <v>115.706381</v>
      </c>
      <c r="D96" s="19" t="n">
        <v>115.706381</v>
      </c>
      <c r="E96" s="20" t="n">
        <f aca="false">IF(OR(D96="",D96=0),"",(C96-D96)/D96)</f>
        <v>0</v>
      </c>
      <c r="F96" s="19" t="n">
        <v>53.414598</v>
      </c>
      <c r="G96" s="19" t="n">
        <v>53.414598</v>
      </c>
      <c r="H96" s="20" t="n">
        <f aca="false">IF(OR(G96="",G96=0),"",(F96-G96)/G96)</f>
        <v>0</v>
      </c>
      <c r="I96" s="19" t="n">
        <v>176.423453</v>
      </c>
      <c r="J96" s="19" t="n">
        <v>176.423453</v>
      </c>
      <c r="K96" s="20" t="n">
        <f aca="false">IF(OR(J96="",J96=0),"",(I96-J96)/J96)</f>
        <v>0</v>
      </c>
      <c r="L96" s="21" t="str">
        <f aca="false">IF(OR(D96="",G96="",J96=""),"No reported subtotal",IF(AND(ABS(N(E96))&lt;=$D$2,ABS(N(H96))&lt;=$D$2,ABS(N(K96))&lt;=$D$2),"Reconciles within tolerance","Outside tolerance"))</f>
        <v>Reconciles within tolerance</v>
      </c>
    </row>
    <row r="97" customFormat="false" ht="15" hidden="false" customHeight="false" outlineLevel="0" collapsed="false">
      <c r="A97" s="7" t="n">
        <v>2013</v>
      </c>
      <c r="B97" s="15" t="s">
        <v>120</v>
      </c>
      <c r="C97" s="19" t="n">
        <v>168.578963</v>
      </c>
      <c r="D97" s="19" t="n">
        <v>168.578963</v>
      </c>
      <c r="E97" s="20" t="n">
        <f aca="false">IF(OR(D97="",D97=0),"",(C97-D97)/D97)</f>
        <v>0</v>
      </c>
      <c r="F97" s="19" t="n">
        <v>42.533589</v>
      </c>
      <c r="G97" s="19" t="n">
        <v>42.533589</v>
      </c>
      <c r="H97" s="20" t="n">
        <f aca="false">IF(OR(G97="",G97=0),"",(F97-G97)/G97)</f>
        <v>0</v>
      </c>
      <c r="I97" s="19" t="n">
        <v>185.627864</v>
      </c>
      <c r="J97" s="19" t="n">
        <v>185.627864</v>
      </c>
      <c r="K97" s="20" t="n">
        <f aca="false">IF(OR(J97="",J97=0),"",(I97-J97)/J97)</f>
        <v>0</v>
      </c>
      <c r="L97" s="21" t="str">
        <f aca="false">IF(OR(D97="",G97="",J97=""),"No reported subtotal",IF(AND(ABS(N(E97))&lt;=$D$2,ABS(N(H97))&lt;=$D$2,ABS(N(K97))&lt;=$D$2),"Reconciles within tolerance","Outside tolerance"))</f>
        <v>Reconciles within tolerance</v>
      </c>
    </row>
    <row r="98" customFormat="false" ht="15" hidden="false" customHeight="false" outlineLevel="0" collapsed="false">
      <c r="A98" s="7" t="n">
        <v>2014</v>
      </c>
      <c r="B98" s="15" t="s">
        <v>120</v>
      </c>
      <c r="C98" s="19" t="n">
        <v>123.922789</v>
      </c>
      <c r="D98" s="19" t="n">
        <v>123.922789</v>
      </c>
      <c r="E98" s="20" t="n">
        <f aca="false">IF(OR(D98="",D98=0),"",(C98-D98)/D98)</f>
        <v>0</v>
      </c>
      <c r="F98" s="19" t="n">
        <v>49.606707</v>
      </c>
      <c r="G98" s="19" t="n">
        <v>49.606707</v>
      </c>
      <c r="H98" s="20" t="n">
        <f aca="false">IF(OR(G98="",G98=0),"",(F98-G98)/G98)</f>
        <v>0</v>
      </c>
      <c r="I98" s="19" t="n">
        <v>147.799652</v>
      </c>
      <c r="J98" s="19" t="n">
        <v>147.799652</v>
      </c>
      <c r="K98" s="20" t="n">
        <f aca="false">IF(OR(J98="",J98=0),"",(I98-J98)/J98)</f>
        <v>0</v>
      </c>
      <c r="L98" s="21" t="str">
        <f aca="false">IF(OR(D98="",G98="",J98=""),"No reported subtotal",IF(AND(ABS(N(E98))&lt;=$D$2,ABS(N(H98))&lt;=$D$2,ABS(N(K98))&lt;=$D$2),"Reconciles within tolerance","Outside tolerance"))</f>
        <v>Reconciles within tolerance</v>
      </c>
    </row>
    <row r="99" customFormat="false" ht="15" hidden="false" customHeight="false" outlineLevel="0" collapsed="false">
      <c r="A99" s="7" t="n">
        <v>2015</v>
      </c>
      <c r="B99" s="15" t="s">
        <v>120</v>
      </c>
      <c r="C99" s="19" t="n">
        <v>139.749367</v>
      </c>
      <c r="D99" s="19" t="n">
        <v>139.749367</v>
      </c>
      <c r="E99" s="20" t="n">
        <f aca="false">IF(OR(D99="",D99=0),"",(C99-D99)/D99)</f>
        <v>0</v>
      </c>
      <c r="F99" s="19" t="n">
        <v>48.815819</v>
      </c>
      <c r="G99" s="19" t="n">
        <v>48.815819</v>
      </c>
      <c r="H99" s="20" t="n">
        <f aca="false">IF(OR(G99="",G99=0),"",(F99-G99)/G99)</f>
        <v>0</v>
      </c>
      <c r="I99" s="19" t="n">
        <v>175.404254</v>
      </c>
      <c r="J99" s="19" t="n">
        <v>175.404254</v>
      </c>
      <c r="K99" s="20" t="n">
        <f aca="false">IF(OR(J99="",J99=0),"",(I99-J99)/J99)</f>
        <v>0</v>
      </c>
      <c r="L99" s="21" t="str">
        <f aca="false">IF(OR(D99="",G99="",J99=""),"No reported subtotal",IF(AND(ABS(N(E99))&lt;=$D$2,ABS(N(H99))&lt;=$D$2,ABS(N(K99))&lt;=$D$2),"Reconciles within tolerance","Outside tolerance"))</f>
        <v>Reconciles within tolerance</v>
      </c>
    </row>
    <row r="100" customFormat="false" ht="15" hidden="false" customHeight="false" outlineLevel="0" collapsed="false">
      <c r="A100" s="7" t="n">
        <v>2016</v>
      </c>
      <c r="B100" s="15" t="s">
        <v>120</v>
      </c>
      <c r="C100" s="19" t="n">
        <v>158.709477</v>
      </c>
      <c r="D100" s="19" t="n">
        <v>158.709477</v>
      </c>
      <c r="E100" s="20" t="n">
        <f aca="false">IF(OR(D100="",D100=0),"",(C100-D100)/D100)</f>
        <v>0</v>
      </c>
      <c r="F100" s="19" t="n">
        <v>54.266921</v>
      </c>
      <c r="G100" s="19" t="n">
        <v>54.266921</v>
      </c>
      <c r="H100" s="20" t="n">
        <f aca="false">IF(OR(G100="",G100=0),"",(F100-G100)/G100)</f>
        <v>0</v>
      </c>
      <c r="I100" s="19" t="n">
        <v>202.717992</v>
      </c>
      <c r="J100" s="19" t="n">
        <v>202.717992</v>
      </c>
      <c r="K100" s="20" t="n">
        <f aca="false">IF(OR(J100="",J100=0),"",(I100-J100)/J100)</f>
        <v>0</v>
      </c>
      <c r="L100" s="21" t="str">
        <f aca="false">IF(OR(D100="",G100="",J100=""),"No reported subtotal",IF(AND(ABS(N(E100))&lt;=$D$2,ABS(N(H100))&lt;=$D$2,ABS(N(K100))&lt;=$D$2),"Reconciles within tolerance","Outside tolerance"))</f>
        <v>Reconciles within tolerance</v>
      </c>
    </row>
    <row r="101" customFormat="false" ht="15" hidden="false" customHeight="false" outlineLevel="0" collapsed="false">
      <c r="A101" s="7" t="n">
        <v>2017</v>
      </c>
      <c r="B101" s="15" t="s">
        <v>120</v>
      </c>
      <c r="C101" s="19" t="n">
        <v>148.297623</v>
      </c>
      <c r="D101" s="19" t="n">
        <v>148.297623</v>
      </c>
      <c r="E101" s="20" t="n">
        <f aca="false">IF(OR(D101="",D101=0),"",(C101-D101)/D101)</f>
        <v>0</v>
      </c>
      <c r="F101" s="19" t="n">
        <v>57.726434</v>
      </c>
      <c r="G101" s="19" t="n">
        <v>57.726434</v>
      </c>
      <c r="H101" s="20" t="n">
        <f aca="false">IF(OR(G101="",G101=0),"",(F101-G101)/G101)</f>
        <v>0</v>
      </c>
      <c r="I101" s="19" t="n">
        <v>238.726925</v>
      </c>
      <c r="J101" s="19" t="n">
        <v>238.726925</v>
      </c>
      <c r="K101" s="20" t="n">
        <f aca="false">IF(OR(J101="",J101=0),"",(I101-J101)/J101)</f>
        <v>0</v>
      </c>
      <c r="L101" s="21" t="str">
        <f aca="false">IF(OR(D101="",G101="",J101=""),"No reported subtotal",IF(AND(ABS(N(E101))&lt;=$D$2,ABS(N(H101))&lt;=$D$2,ABS(N(K101))&lt;=$D$2),"Reconciles within tolerance","Outside tolerance"))</f>
        <v>Reconciles within tolerance</v>
      </c>
    </row>
    <row r="102" customFormat="false" ht="15" hidden="false" customHeight="false" outlineLevel="0" collapsed="false">
      <c r="A102" s="7" t="n">
        <v>2018</v>
      </c>
      <c r="B102" s="15" t="s">
        <v>120</v>
      </c>
      <c r="C102" s="19" t="n">
        <v>202.680331</v>
      </c>
      <c r="D102" s="19" t="n">
        <v>202.680331</v>
      </c>
      <c r="E102" s="20" t="n">
        <f aca="false">IF(OR(D102="",D102=0),"",(C102-D102)/D102)</f>
        <v>0</v>
      </c>
      <c r="F102" s="19" t="n">
        <v>59.765001</v>
      </c>
      <c r="G102" s="19" t="n">
        <v>59.765001</v>
      </c>
      <c r="H102" s="20" t="n">
        <f aca="false">IF(OR(G102="",G102=0),"",(F102-G102)/G102)</f>
        <v>0</v>
      </c>
      <c r="I102" s="19" t="n">
        <v>267.0419</v>
      </c>
      <c r="J102" s="19" t="n">
        <v>267.0419</v>
      </c>
      <c r="K102" s="20" t="n">
        <f aca="false">IF(OR(J102="",J102=0),"",(I102-J102)/J102)</f>
        <v>0</v>
      </c>
      <c r="L102" s="21" t="str">
        <f aca="false">IF(OR(D102="",G102="",J102=""),"No reported subtotal",IF(AND(ABS(N(E102))&lt;=$D$2,ABS(N(H102))&lt;=$D$2,ABS(N(K102))&lt;=$D$2),"Reconciles within tolerance","Outside tolerance"))</f>
        <v>Reconciles within tolerance</v>
      </c>
    </row>
    <row r="103" customFormat="false" ht="15" hidden="false" customHeight="false" outlineLevel="0" collapsed="false">
      <c r="A103" s="7" t="n">
        <v>2019</v>
      </c>
      <c r="B103" s="15" t="s">
        <v>120</v>
      </c>
      <c r="C103" s="19" t="n">
        <v>148.746971</v>
      </c>
      <c r="D103" s="19" t="n">
        <v>148.746971</v>
      </c>
      <c r="E103" s="20" t="n">
        <f aca="false">IF(OR(D103="",D103=0),"",(C103-D103)/D103)</f>
        <v>0</v>
      </c>
      <c r="F103" s="19" t="n">
        <v>58.664017</v>
      </c>
      <c r="G103" s="19" t="n">
        <v>58.664017</v>
      </c>
      <c r="H103" s="20" t="n">
        <f aca="false">IF(OR(G103="",G103=0),"",(F103-G103)/G103)</f>
        <v>0</v>
      </c>
      <c r="I103" s="19" t="n">
        <v>277.21864</v>
      </c>
      <c r="J103" s="19" t="n">
        <v>277.21864</v>
      </c>
      <c r="K103" s="20" t="n">
        <f aca="false">IF(OR(J103="",J103=0),"",(I103-J103)/J103)</f>
        <v>0</v>
      </c>
      <c r="L103" s="21" t="str">
        <f aca="false">IF(OR(D103="",G103="",J103=""),"No reported subtotal",IF(AND(ABS(N(E103))&lt;=$D$2,ABS(N(H103))&lt;=$D$2,ABS(N(K103))&lt;=$D$2),"Reconciles within tolerance","Outside tolerance"))</f>
        <v>Reconciles within tolerance</v>
      </c>
    </row>
    <row r="104" customFormat="false" ht="15" hidden="false" customHeight="false" outlineLevel="0" collapsed="false">
      <c r="A104" s="7" t="n">
        <v>2020</v>
      </c>
      <c r="B104" s="15" t="s">
        <v>120</v>
      </c>
      <c r="C104" s="19" t="n">
        <v>138.571504</v>
      </c>
      <c r="D104" s="19" t="n">
        <v>138.571504</v>
      </c>
      <c r="E104" s="20" t="n">
        <f aca="false">IF(OR(D104="",D104=0),"",(C104-D104)/D104)</f>
        <v>0</v>
      </c>
      <c r="F104" s="19" t="n">
        <v>47.856758</v>
      </c>
      <c r="G104" s="19" t="n">
        <v>47.856758</v>
      </c>
      <c r="H104" s="20" t="n">
        <f aca="false">IF(OR(G104="",G104=0),"",(F104-G104)/G104)</f>
        <v>0</v>
      </c>
      <c r="I104" s="19" t="n">
        <v>316.622875</v>
      </c>
      <c r="J104" s="19" t="n">
        <v>316.622875</v>
      </c>
      <c r="K104" s="20" t="n">
        <f aca="false">IF(OR(J104="",J104=0),"",(I104-J104)/J104)</f>
        <v>0</v>
      </c>
      <c r="L104" s="21" t="str">
        <f aca="false">IF(OR(D104="",G104="",J104=""),"No reported subtotal",IF(AND(ABS(N(E104))&lt;=$D$2,ABS(N(H104))&lt;=$D$2,ABS(N(K104))&lt;=$D$2),"Reconciles within tolerance","Outside tolerance"))</f>
        <v>Reconciles within tolerance</v>
      </c>
    </row>
    <row r="105" customFormat="false" ht="15" hidden="false" customHeight="false" outlineLevel="0" collapsed="false">
      <c r="A105" s="7" t="n">
        <v>2021</v>
      </c>
      <c r="B105" s="15" t="s">
        <v>120</v>
      </c>
      <c r="C105" s="19" t="n">
        <v>161.769073</v>
      </c>
      <c r="D105" s="19" t="n">
        <v>161.769075</v>
      </c>
      <c r="E105" s="20" t="n">
        <f aca="false">IF(OR(D105="",D105=0),"",(C105-D105)/D105)</f>
        <v>-1.23633024108624E-008</v>
      </c>
      <c r="F105" s="19" t="n">
        <v>50.25959</v>
      </c>
      <c r="G105" s="19" t="n">
        <v>50.25959</v>
      </c>
      <c r="H105" s="20" t="n">
        <f aca="false">IF(OR(G105="",G105=0),"",(F105-G105)/G105)</f>
        <v>0</v>
      </c>
      <c r="I105" s="19" t="n">
        <v>272.142613</v>
      </c>
      <c r="J105" s="19" t="n">
        <v>272.142614</v>
      </c>
      <c r="K105" s="20" t="n">
        <f aca="false">IF(OR(J105="",J105=0),"",(I105-J105)/J105)</f>
        <v>-3.67454395611576E-009</v>
      </c>
      <c r="L105" s="21" t="str">
        <f aca="false">IF(OR(D105="",G105="",J105=""),"No reported subtotal",IF(AND(ABS(N(E105))&lt;=$D$2,ABS(N(H105))&lt;=$D$2,ABS(N(K105))&lt;=$D$2),"Reconciles within tolerance","Outside tolerance"))</f>
        <v>Reconciles within tolerance</v>
      </c>
    </row>
    <row r="106" customFormat="false" ht="15" hidden="false" customHeight="false" outlineLevel="0" collapsed="false">
      <c r="A106" s="7" t="n">
        <v>2022</v>
      </c>
      <c r="B106" s="15" t="s">
        <v>120</v>
      </c>
      <c r="C106" s="19" t="n">
        <v>191.330439</v>
      </c>
      <c r="D106" s="19" t="n">
        <v>191.330439</v>
      </c>
      <c r="E106" s="20" t="n">
        <f aca="false">IF(OR(D106="",D106=0),"",(C106-D106)/D106)</f>
        <v>0</v>
      </c>
      <c r="F106" s="19" t="n">
        <v>57.535653</v>
      </c>
      <c r="G106" s="19" t="n">
        <v>57.535653</v>
      </c>
      <c r="H106" s="20" t="n">
        <f aca="false">IF(OR(G106="",G106=0),"",(F106-G106)/G106)</f>
        <v>0</v>
      </c>
      <c r="I106" s="19" t="n">
        <v>309.059253</v>
      </c>
      <c r="J106" s="19" t="n">
        <v>309.059253</v>
      </c>
      <c r="K106" s="20" t="n">
        <f aca="false">IF(OR(J106="",J106=0),"",(I106-J106)/J106)</f>
        <v>0</v>
      </c>
      <c r="L106" s="21" t="str">
        <f aca="false">IF(OR(D106="",G106="",J106=""),"No reported subtotal",IF(AND(ABS(N(E106))&lt;=$D$2,ABS(N(H106))&lt;=$D$2,ABS(N(K106))&lt;=$D$2),"Reconciles within tolerance","Outside tolerance"))</f>
        <v>Reconciles within tolerance</v>
      </c>
    </row>
    <row r="107" customFormat="false" ht="15" hidden="false" customHeight="false" outlineLevel="0" collapsed="false">
      <c r="A107" s="7" t="n">
        <v>2023</v>
      </c>
      <c r="B107" s="15" t="s">
        <v>120</v>
      </c>
      <c r="C107" s="19" t="n">
        <v>176.765629</v>
      </c>
      <c r="D107" s="19" t="n">
        <v>176.765629</v>
      </c>
      <c r="E107" s="20" t="n">
        <f aca="false">IF(OR(D107="",D107=0),"",(C107-D107)/D107)</f>
        <v>0</v>
      </c>
      <c r="F107" s="19" t="n">
        <v>61.148439</v>
      </c>
      <c r="G107" s="19" t="n">
        <v>61.148439</v>
      </c>
      <c r="H107" s="20" t="n">
        <f aca="false">IF(OR(G107="",G107=0),"",(F107-G107)/G107)</f>
        <v>0</v>
      </c>
      <c r="I107" s="19" t="n">
        <v>316.604771</v>
      </c>
      <c r="J107" s="19" t="n">
        <v>316.604771</v>
      </c>
      <c r="K107" s="20" t="n">
        <f aca="false">IF(OR(J107="",J107=0),"",(I107-J107)/J107)</f>
        <v>0</v>
      </c>
      <c r="L107" s="21" t="str">
        <f aca="false">IF(OR(D107="",G107="",J107=""),"No reported subtotal",IF(AND(ABS(N(E107))&lt;=$D$2,ABS(N(H107))&lt;=$D$2,ABS(N(K107))&lt;=$D$2),"Reconciles within tolerance","Outside tolerance"))</f>
        <v>Reconciles within tolerance</v>
      </c>
    </row>
    <row r="108" customFormat="false" ht="15" hidden="false" customHeight="false" outlineLevel="0" collapsed="false">
      <c r="A108" s="7" t="n">
        <v>2024</v>
      </c>
      <c r="B108" s="15" t="s">
        <v>120</v>
      </c>
      <c r="C108" s="19" t="n">
        <v>231.430219</v>
      </c>
      <c r="D108" s="19" t="n">
        <v>231.430219</v>
      </c>
      <c r="E108" s="20" t="n">
        <f aca="false">IF(OR(D108="",D108=0),"",(C108-D108)/D108)</f>
        <v>0</v>
      </c>
      <c r="F108" s="19" t="n">
        <v>71.820802</v>
      </c>
      <c r="G108" s="19" t="n">
        <v>71.820802</v>
      </c>
      <c r="H108" s="20" t="n">
        <f aca="false">IF(OR(G108="",G108=0),"",(F108-G108)/G108)</f>
        <v>0</v>
      </c>
      <c r="I108" s="19" t="n">
        <v>446.17687</v>
      </c>
      <c r="J108" s="19" t="n">
        <v>446.17687</v>
      </c>
      <c r="K108" s="20" t="n">
        <f aca="false">IF(OR(J108="",J108=0),"",(I108-J108)/J108)</f>
        <v>0</v>
      </c>
      <c r="L108" s="21" t="str">
        <f aca="false">IF(OR(D108="",G108="",J108=""),"No reported subtotal",IF(AND(ABS(N(E108))&lt;=$D$2,ABS(N(H108))&lt;=$D$2,ABS(N(K108))&lt;=$D$2),"Reconciles within tolerance","Outside tolerance"))</f>
        <v>Reconciles within tolerance</v>
      </c>
    </row>
    <row r="109" customFormat="false" ht="15" hidden="false" customHeight="false" outlineLevel="0" collapsed="false">
      <c r="A109" s="7" t="n">
        <v>2025</v>
      </c>
      <c r="B109" s="15" t="s">
        <v>120</v>
      </c>
      <c r="C109" s="19" t="n">
        <v>252.044402</v>
      </c>
      <c r="D109" s="19" t="n">
        <v>252.044402</v>
      </c>
      <c r="E109" s="20" t="n">
        <f aca="false">IF(OR(D109="",D109=0),"",(C109-D109)/D109)</f>
        <v>0</v>
      </c>
      <c r="F109" s="19" t="n">
        <v>96.903907</v>
      </c>
      <c r="G109" s="19" t="n">
        <v>96.903906</v>
      </c>
      <c r="H109" s="20" t="n">
        <f aca="false">IF(OR(G109="",G109=0),"",(F109-G109)/G109)</f>
        <v>1.03195014396555E-008</v>
      </c>
      <c r="I109" s="19" t="n">
        <v>452.438883</v>
      </c>
      <c r="J109" s="19" t="n">
        <v>452.438883</v>
      </c>
      <c r="K109" s="20" t="n">
        <f aca="false">IF(OR(J109="",J109=0),"",(I109-J109)/J109)</f>
        <v>0</v>
      </c>
      <c r="L109" s="21" t="str">
        <f aca="false">IF(OR(D109="",G109="",J109=""),"No reported subtotal",IF(AND(ABS(N(E109))&lt;=$D$2,ABS(N(H109))&lt;=$D$2,ABS(N(K109))&lt;=$D$2),"Reconciles within tolerance","Outside tolerance"))</f>
        <v>Reconciles within tolerance</v>
      </c>
    </row>
    <row r="110" customFormat="false" ht="15" hidden="false" customHeight="false" outlineLevel="0" collapsed="false">
      <c r="A110" s="7" t="n">
        <v>2000</v>
      </c>
      <c r="B110" s="15" t="s">
        <v>122</v>
      </c>
      <c r="C110" s="19" t="n">
        <v>39.012646</v>
      </c>
      <c r="D110" s="19" t="n">
        <v>39.012646</v>
      </c>
      <c r="E110" s="20" t="n">
        <f aca="false">IF(OR(D110="",D110=0),"",(C110-D110)/D110)</f>
        <v>0</v>
      </c>
      <c r="F110" s="19" t="n">
        <v>41.303685</v>
      </c>
      <c r="G110" s="19" t="n">
        <v>41.303685</v>
      </c>
      <c r="H110" s="20" t="n">
        <f aca="false">IF(OR(G110="",G110=0),"",(F110-G110)/G110)</f>
        <v>0</v>
      </c>
      <c r="I110" s="19" t="n">
        <v>30.504788</v>
      </c>
      <c r="J110" s="19" t="n">
        <v>30.504788</v>
      </c>
      <c r="K110" s="20" t="n">
        <f aca="false">IF(OR(J110="",J110=0),"",(I110-J110)/J110)</f>
        <v>0</v>
      </c>
      <c r="L110" s="21" t="str">
        <f aca="false">IF(OR(D110="",G110="",J110=""),"No reported subtotal",IF(AND(ABS(N(E110))&lt;=$D$2,ABS(N(H110))&lt;=$D$2,ABS(N(K110))&lt;=$D$2),"Reconciles within tolerance","Outside tolerance"))</f>
        <v>Reconciles within tolerance</v>
      </c>
    </row>
    <row r="111" customFormat="false" ht="15" hidden="false" customHeight="false" outlineLevel="0" collapsed="false">
      <c r="A111" s="7" t="n">
        <v>2001</v>
      </c>
      <c r="B111" s="15" t="s">
        <v>122</v>
      </c>
      <c r="C111" s="19" t="n">
        <v>41.472334</v>
      </c>
      <c r="D111" s="19" t="n">
        <v>41.472334</v>
      </c>
      <c r="E111" s="20" t="n">
        <f aca="false">IF(OR(D111="",D111=0),"",(C111-D111)/D111)</f>
        <v>0</v>
      </c>
      <c r="F111" s="19" t="n">
        <v>50.99432</v>
      </c>
      <c r="G111" s="19" t="n">
        <v>50.99432</v>
      </c>
      <c r="H111" s="20" t="n">
        <f aca="false">IF(OR(G111="",G111=0),"",(F111-G111)/G111)</f>
        <v>0</v>
      </c>
      <c r="I111" s="19" t="n">
        <v>26.37738</v>
      </c>
      <c r="J111" s="19" t="n">
        <v>26.37738</v>
      </c>
      <c r="K111" s="20" t="n">
        <f aca="false">IF(OR(J111="",J111=0),"",(I111-J111)/J111)</f>
        <v>0</v>
      </c>
      <c r="L111" s="21" t="str">
        <f aca="false">IF(OR(D111="",G111="",J111=""),"No reported subtotal",IF(AND(ABS(N(E111))&lt;=$D$2,ABS(N(H111))&lt;=$D$2,ABS(N(K111))&lt;=$D$2),"Reconciles within tolerance","Outside tolerance"))</f>
        <v>Reconciles within tolerance</v>
      </c>
    </row>
    <row r="112" customFormat="false" ht="15" hidden="false" customHeight="false" outlineLevel="0" collapsed="false">
      <c r="A112" s="7" t="n">
        <v>2002</v>
      </c>
      <c r="B112" s="15" t="s">
        <v>122</v>
      </c>
      <c r="C112" s="19" t="n">
        <v>36.334177</v>
      </c>
      <c r="D112" s="19" t="n">
        <v>36.334177</v>
      </c>
      <c r="E112" s="20" t="n">
        <f aca="false">IF(OR(D112="",D112=0),"",(C112-D112)/D112)</f>
        <v>0</v>
      </c>
      <c r="F112" s="19" t="n">
        <v>48.328401</v>
      </c>
      <c r="G112" s="19" t="n">
        <v>48.328401</v>
      </c>
      <c r="H112" s="20" t="n">
        <f aca="false">IF(OR(G112="",G112=0),"",(F112-G112)/G112)</f>
        <v>0</v>
      </c>
      <c r="I112" s="19" t="n">
        <v>84.92646</v>
      </c>
      <c r="J112" s="19" t="n">
        <v>84.92646</v>
      </c>
      <c r="K112" s="20" t="n">
        <f aca="false">IF(OR(J112="",J112=0),"",(I112-J112)/J112)</f>
        <v>0</v>
      </c>
      <c r="L112" s="21" t="str">
        <f aca="false">IF(OR(D112="",G112="",J112=""),"No reported subtotal",IF(AND(ABS(N(E112))&lt;=$D$2,ABS(N(H112))&lt;=$D$2,ABS(N(K112))&lt;=$D$2),"Reconciles within tolerance","Outside tolerance"))</f>
        <v>Reconciles within tolerance</v>
      </c>
    </row>
    <row r="113" customFormat="false" ht="15" hidden="false" customHeight="false" outlineLevel="0" collapsed="false">
      <c r="A113" s="7" t="n">
        <v>2003</v>
      </c>
      <c r="B113" s="15" t="s">
        <v>122</v>
      </c>
      <c r="C113" s="19" t="n">
        <v>37.55859</v>
      </c>
      <c r="D113" s="19" t="n">
        <v>37.55859</v>
      </c>
      <c r="E113" s="20" t="n">
        <f aca="false">IF(OR(D113="",D113=0),"",(C113-D113)/D113)</f>
        <v>0</v>
      </c>
      <c r="F113" s="19" t="n">
        <v>44.172059</v>
      </c>
      <c r="G113" s="19" t="n">
        <v>44.172059</v>
      </c>
      <c r="H113" s="20" t="n">
        <f aca="false">IF(OR(G113="",G113=0),"",(F113-G113)/G113)</f>
        <v>0</v>
      </c>
      <c r="I113" s="19" t="n">
        <v>53.327973</v>
      </c>
      <c r="J113" s="19" t="n">
        <v>53.327973</v>
      </c>
      <c r="K113" s="20" t="n">
        <f aca="false">IF(OR(J113="",J113=0),"",(I113-J113)/J113)</f>
        <v>0</v>
      </c>
      <c r="L113" s="21" t="str">
        <f aca="false">IF(OR(D113="",G113="",J113=""),"No reported subtotal",IF(AND(ABS(N(E113))&lt;=$D$2,ABS(N(H113))&lt;=$D$2,ABS(N(K113))&lt;=$D$2),"Reconciles within tolerance","Outside tolerance"))</f>
        <v>Reconciles within tolerance</v>
      </c>
    </row>
    <row r="114" customFormat="false" ht="15" hidden="false" customHeight="false" outlineLevel="0" collapsed="false">
      <c r="A114" s="7" t="n">
        <v>2004</v>
      </c>
      <c r="B114" s="15" t="s">
        <v>122</v>
      </c>
      <c r="C114" s="19" t="n">
        <v>34.577927</v>
      </c>
      <c r="D114" s="19" t="n">
        <v>34.577927</v>
      </c>
      <c r="E114" s="20" t="n">
        <f aca="false">IF(OR(D114="",D114=0),"",(C114-D114)/D114)</f>
        <v>0</v>
      </c>
      <c r="F114" s="19" t="n">
        <v>44.733269</v>
      </c>
      <c r="G114" s="19" t="n">
        <v>44.733269</v>
      </c>
      <c r="H114" s="20" t="n">
        <f aca="false">IF(OR(G114="",G114=0),"",(F114-G114)/G114)</f>
        <v>0</v>
      </c>
      <c r="I114" s="19" t="n">
        <v>77.773357</v>
      </c>
      <c r="J114" s="19" t="n">
        <v>77.773357</v>
      </c>
      <c r="K114" s="20" t="n">
        <f aca="false">IF(OR(J114="",J114=0),"",(I114-J114)/J114)</f>
        <v>0</v>
      </c>
      <c r="L114" s="21" t="str">
        <f aca="false">IF(OR(D114="",G114="",J114=""),"No reported subtotal",IF(AND(ABS(N(E114))&lt;=$D$2,ABS(N(H114))&lt;=$D$2,ABS(N(K114))&lt;=$D$2),"Reconciles within tolerance","Outside tolerance"))</f>
        <v>Reconciles within tolerance</v>
      </c>
    </row>
    <row r="115" customFormat="false" ht="15" hidden="false" customHeight="false" outlineLevel="0" collapsed="false">
      <c r="A115" s="7" t="n">
        <v>2005</v>
      </c>
      <c r="B115" s="15" t="s">
        <v>122</v>
      </c>
      <c r="C115" s="19" t="n">
        <v>33.788731</v>
      </c>
      <c r="D115" s="19" t="n">
        <v>33.788731</v>
      </c>
      <c r="E115" s="20" t="n">
        <f aca="false">IF(OR(D115="",D115=0),"",(C115-D115)/D115)</f>
        <v>0</v>
      </c>
      <c r="F115" s="19" t="n">
        <v>43.0024</v>
      </c>
      <c r="G115" s="19" t="n">
        <v>43.0024</v>
      </c>
      <c r="H115" s="20" t="n">
        <f aca="false">IF(OR(G115="",G115=0),"",(F115-G115)/G115)</f>
        <v>0</v>
      </c>
      <c r="I115" s="19" t="n">
        <v>57.13173</v>
      </c>
      <c r="J115" s="19" t="n">
        <v>57.13173</v>
      </c>
      <c r="K115" s="20" t="n">
        <f aca="false">IF(OR(J115="",J115=0),"",(I115-J115)/J115)</f>
        <v>0</v>
      </c>
      <c r="L115" s="21" t="str">
        <f aca="false">IF(OR(D115="",G115="",J115=""),"No reported subtotal",IF(AND(ABS(N(E115))&lt;=$D$2,ABS(N(H115))&lt;=$D$2,ABS(N(K115))&lt;=$D$2),"Reconciles within tolerance","Outside tolerance"))</f>
        <v>Reconciles within tolerance</v>
      </c>
    </row>
    <row r="116" customFormat="false" ht="15" hidden="false" customHeight="false" outlineLevel="0" collapsed="false">
      <c r="A116" s="7" t="n">
        <v>2006</v>
      </c>
      <c r="B116" s="15" t="s">
        <v>122</v>
      </c>
      <c r="C116" s="19" t="n">
        <v>32.600896</v>
      </c>
      <c r="D116" s="19" t="n">
        <v>32.600896</v>
      </c>
      <c r="E116" s="20" t="n">
        <f aca="false">IF(OR(D116="",D116=0),"",(C116-D116)/D116)</f>
        <v>0</v>
      </c>
      <c r="F116" s="19" t="n">
        <v>46.290224</v>
      </c>
      <c r="G116" s="19" t="n">
        <v>46.290224</v>
      </c>
      <c r="H116" s="20" t="n">
        <f aca="false">IF(OR(G116="",G116=0),"",(F116-G116)/G116)</f>
        <v>0</v>
      </c>
      <c r="I116" s="19" t="n">
        <v>59.564617</v>
      </c>
      <c r="J116" s="19" t="n">
        <v>59.564617</v>
      </c>
      <c r="K116" s="20" t="n">
        <f aca="false">IF(OR(J116="",J116=0),"",(I116-J116)/J116)</f>
        <v>0</v>
      </c>
      <c r="L116" s="21" t="str">
        <f aca="false">IF(OR(D116="",G116="",J116=""),"No reported subtotal",IF(AND(ABS(N(E116))&lt;=$D$2,ABS(N(H116))&lt;=$D$2,ABS(N(K116))&lt;=$D$2),"Reconciles within tolerance","Outside tolerance"))</f>
        <v>Reconciles within tolerance</v>
      </c>
    </row>
    <row r="117" customFormat="false" ht="15" hidden="false" customHeight="false" outlineLevel="0" collapsed="false">
      <c r="A117" s="7" t="n">
        <v>2007</v>
      </c>
      <c r="B117" s="15" t="s">
        <v>122</v>
      </c>
      <c r="C117" s="19" t="n">
        <v>36.032133</v>
      </c>
      <c r="D117" s="19" t="n">
        <v>36.032133</v>
      </c>
      <c r="E117" s="20" t="n">
        <f aca="false">IF(OR(D117="",D117=0),"",(C117-D117)/D117)</f>
        <v>0</v>
      </c>
      <c r="F117" s="19" t="n">
        <v>61.552704</v>
      </c>
      <c r="G117" s="19" t="n">
        <v>61.552704</v>
      </c>
      <c r="H117" s="20" t="n">
        <f aca="false">IF(OR(G117="",G117=0),"",(F117-G117)/G117)</f>
        <v>0</v>
      </c>
      <c r="I117" s="19" t="n">
        <v>63.395039</v>
      </c>
      <c r="J117" s="19" t="n">
        <v>63.395039</v>
      </c>
      <c r="K117" s="20" t="n">
        <f aca="false">IF(OR(J117="",J117=0),"",(I117-J117)/J117)</f>
        <v>0</v>
      </c>
      <c r="L117" s="21" t="str">
        <f aca="false">IF(OR(D117="",G117="",J117=""),"No reported subtotal",IF(AND(ABS(N(E117))&lt;=$D$2,ABS(N(H117))&lt;=$D$2,ABS(N(K117))&lt;=$D$2),"Reconciles within tolerance","Outside tolerance"))</f>
        <v>Reconciles within tolerance</v>
      </c>
    </row>
    <row r="118" customFormat="false" ht="15" hidden="false" customHeight="false" outlineLevel="0" collapsed="false">
      <c r="A118" s="7" t="n">
        <v>2008</v>
      </c>
      <c r="B118" s="15" t="s">
        <v>122</v>
      </c>
      <c r="C118" s="19" t="n">
        <v>39.308678</v>
      </c>
      <c r="D118" s="19" t="n">
        <v>39.308678</v>
      </c>
      <c r="E118" s="20" t="n">
        <f aca="false">IF(OR(D118="",D118=0),"",(C118-D118)/D118)</f>
        <v>0</v>
      </c>
      <c r="F118" s="19" t="n">
        <v>71.857007</v>
      </c>
      <c r="G118" s="19" t="n">
        <v>71.857007</v>
      </c>
      <c r="H118" s="20" t="n">
        <f aca="false">IF(OR(G118="",G118=0),"",(F118-G118)/G118)</f>
        <v>0</v>
      </c>
      <c r="I118" s="19" t="n">
        <v>84.225203</v>
      </c>
      <c r="J118" s="19" t="n">
        <v>84.225203</v>
      </c>
      <c r="K118" s="20" t="n">
        <f aca="false">IF(OR(J118="",J118=0),"",(I118-J118)/J118)</f>
        <v>0</v>
      </c>
      <c r="L118" s="21" t="str">
        <f aca="false">IF(OR(D118="",G118="",J118=""),"No reported subtotal",IF(AND(ABS(N(E118))&lt;=$D$2,ABS(N(H118))&lt;=$D$2,ABS(N(K118))&lt;=$D$2),"Reconciles within tolerance","Outside tolerance"))</f>
        <v>Reconciles within tolerance</v>
      </c>
    </row>
    <row r="119" customFormat="false" ht="15" hidden="false" customHeight="false" outlineLevel="0" collapsed="false">
      <c r="A119" s="7" t="n">
        <v>2009</v>
      </c>
      <c r="B119" s="15" t="s">
        <v>122</v>
      </c>
      <c r="C119" s="19" t="n">
        <v>41.515007</v>
      </c>
      <c r="D119" s="19" t="n">
        <v>41.515007</v>
      </c>
      <c r="E119" s="20" t="n">
        <f aca="false">IF(OR(D119="",D119=0),"",(C119-D119)/D119)</f>
        <v>0</v>
      </c>
      <c r="F119" s="19" t="n">
        <v>74.966167</v>
      </c>
      <c r="G119" s="19" t="n">
        <v>74.966167</v>
      </c>
      <c r="H119" s="20" t="n">
        <f aca="false">IF(OR(G119="",G119=0),"",(F119-G119)/G119)</f>
        <v>0</v>
      </c>
      <c r="I119" s="19" t="n">
        <v>76.346122</v>
      </c>
      <c r="J119" s="19" t="n">
        <v>76.346122</v>
      </c>
      <c r="K119" s="20" t="n">
        <f aca="false">IF(OR(J119="",J119=0),"",(I119-J119)/J119)</f>
        <v>0</v>
      </c>
      <c r="L119" s="21" t="str">
        <f aca="false">IF(OR(D119="",G119="",J119=""),"No reported subtotal",IF(AND(ABS(N(E119))&lt;=$D$2,ABS(N(H119))&lt;=$D$2,ABS(N(K119))&lt;=$D$2),"Reconciles within tolerance","Outside tolerance"))</f>
        <v>Reconciles within tolerance</v>
      </c>
    </row>
    <row r="120" customFormat="false" ht="15" hidden="false" customHeight="false" outlineLevel="0" collapsed="false">
      <c r="A120" s="7" t="n">
        <v>2010</v>
      </c>
      <c r="B120" s="15" t="s">
        <v>122</v>
      </c>
      <c r="C120" s="19" t="n">
        <v>49.447143</v>
      </c>
      <c r="D120" s="19" t="n">
        <v>49.447143</v>
      </c>
      <c r="E120" s="20" t="n">
        <f aca="false">IF(OR(D120="",D120=0),"",(C120-D120)/D120)</f>
        <v>0</v>
      </c>
      <c r="F120" s="19" t="n">
        <v>81.219049</v>
      </c>
      <c r="G120" s="19" t="n">
        <v>81.219049</v>
      </c>
      <c r="H120" s="20" t="n">
        <f aca="false">IF(OR(G120="",G120=0),"",(F120-G120)/G120)</f>
        <v>0</v>
      </c>
      <c r="I120" s="19" t="n">
        <v>109.173154</v>
      </c>
      <c r="J120" s="19" t="n">
        <v>109.173154</v>
      </c>
      <c r="K120" s="20" t="n">
        <f aca="false">IF(OR(J120="",J120=0),"",(I120-J120)/J120)</f>
        <v>0</v>
      </c>
      <c r="L120" s="21" t="str">
        <f aca="false">IF(OR(D120="",G120="",J120=""),"No reported subtotal",IF(AND(ABS(N(E120))&lt;=$D$2,ABS(N(H120))&lt;=$D$2,ABS(N(K120))&lt;=$D$2),"Reconciles within tolerance","Outside tolerance"))</f>
        <v>Reconciles within tolerance</v>
      </c>
    </row>
    <row r="121" customFormat="false" ht="15" hidden="false" customHeight="false" outlineLevel="0" collapsed="false">
      <c r="A121" s="7" t="n">
        <v>2011</v>
      </c>
      <c r="B121" s="15" t="s">
        <v>122</v>
      </c>
      <c r="C121" s="19" t="n">
        <v>58.740977</v>
      </c>
      <c r="D121" s="19" t="n">
        <v>58.740977</v>
      </c>
      <c r="E121" s="20" t="n">
        <f aca="false">IF(OR(D121="",D121=0),"",(C121-D121)/D121)</f>
        <v>0</v>
      </c>
      <c r="F121" s="19" t="n">
        <v>90.186502</v>
      </c>
      <c r="G121" s="19" t="n">
        <v>90.186502</v>
      </c>
      <c r="H121" s="20" t="n">
        <f aca="false">IF(OR(G121="",G121=0),"",(F121-G121)/G121)</f>
        <v>0</v>
      </c>
      <c r="I121" s="19" t="n">
        <v>91.218697</v>
      </c>
      <c r="J121" s="19" t="n">
        <v>91.218697</v>
      </c>
      <c r="K121" s="20" t="n">
        <f aca="false">IF(OR(J121="",J121=0),"",(I121-J121)/J121)</f>
        <v>0</v>
      </c>
      <c r="L121" s="21" t="str">
        <f aca="false">IF(OR(D121="",G121="",J121=""),"No reported subtotal",IF(AND(ABS(N(E121))&lt;=$D$2,ABS(N(H121))&lt;=$D$2,ABS(N(K121))&lt;=$D$2),"Reconciles within tolerance","Outside tolerance"))</f>
        <v>Reconciles within tolerance</v>
      </c>
    </row>
    <row r="122" customFormat="false" ht="15" hidden="false" customHeight="false" outlineLevel="0" collapsed="false">
      <c r="A122" s="7" t="n">
        <v>2012</v>
      </c>
      <c r="B122" s="15" t="s">
        <v>122</v>
      </c>
      <c r="C122" s="19" t="n">
        <v>51.609498</v>
      </c>
      <c r="D122" s="19" t="n">
        <v>51.609498</v>
      </c>
      <c r="E122" s="20" t="n">
        <f aca="false">IF(OR(D122="",D122=0),"",(C122-D122)/D122)</f>
        <v>0</v>
      </c>
      <c r="F122" s="19" t="n">
        <v>95.699859</v>
      </c>
      <c r="G122" s="19" t="n">
        <v>95.699859</v>
      </c>
      <c r="H122" s="20" t="n">
        <f aca="false">IF(OR(G122="",G122=0),"",(F122-G122)/G122)</f>
        <v>0</v>
      </c>
      <c r="I122" s="19" t="n">
        <v>127.364372</v>
      </c>
      <c r="J122" s="19" t="n">
        <v>127.364372</v>
      </c>
      <c r="K122" s="20" t="n">
        <f aca="false">IF(OR(J122="",J122=0),"",(I122-J122)/J122)</f>
        <v>0</v>
      </c>
      <c r="L122" s="21" t="str">
        <f aca="false">IF(OR(D122="",G122="",J122=""),"No reported subtotal",IF(AND(ABS(N(E122))&lt;=$D$2,ABS(N(H122))&lt;=$D$2,ABS(N(K122))&lt;=$D$2),"Reconciles within tolerance","Outside tolerance"))</f>
        <v>Reconciles within tolerance</v>
      </c>
    </row>
    <row r="123" customFormat="false" ht="15" hidden="false" customHeight="false" outlineLevel="0" collapsed="false">
      <c r="A123" s="7" t="n">
        <v>2013</v>
      </c>
      <c r="B123" s="15" t="s">
        <v>122</v>
      </c>
      <c r="C123" s="19" t="n">
        <v>59.421373</v>
      </c>
      <c r="D123" s="19" t="n">
        <v>59.421373</v>
      </c>
      <c r="E123" s="20" t="n">
        <f aca="false">IF(OR(D123="",D123=0),"",(C123-D123)/D123)</f>
        <v>0</v>
      </c>
      <c r="F123" s="19" t="n">
        <v>91.387334</v>
      </c>
      <c r="G123" s="19" t="n">
        <v>91.387334</v>
      </c>
      <c r="H123" s="20" t="n">
        <f aca="false">IF(OR(G123="",G123=0),"",(F123-G123)/G123)</f>
        <v>0</v>
      </c>
      <c r="I123" s="19" t="n">
        <v>130.11391</v>
      </c>
      <c r="J123" s="19" t="n">
        <v>130.11391</v>
      </c>
      <c r="K123" s="20" t="n">
        <f aca="false">IF(OR(J123="",J123=0),"",(I123-J123)/J123)</f>
        <v>0</v>
      </c>
      <c r="L123" s="21" t="str">
        <f aca="false">IF(OR(D123="",G123="",J123=""),"No reported subtotal",IF(AND(ABS(N(E123))&lt;=$D$2,ABS(N(H123))&lt;=$D$2,ABS(N(K123))&lt;=$D$2),"Reconciles within tolerance","Outside tolerance"))</f>
        <v>Reconciles within tolerance</v>
      </c>
    </row>
    <row r="124" customFormat="false" ht="15" hidden="false" customHeight="false" outlineLevel="0" collapsed="false">
      <c r="A124" s="7" t="n">
        <v>2014</v>
      </c>
      <c r="B124" s="15" t="s">
        <v>122</v>
      </c>
      <c r="C124" s="19" t="n">
        <v>66.772164</v>
      </c>
      <c r="D124" s="19" t="n">
        <v>66.772164</v>
      </c>
      <c r="E124" s="20" t="n">
        <f aca="false">IF(OR(D124="",D124=0),"",(C124-D124)/D124)</f>
        <v>0</v>
      </c>
      <c r="F124" s="19" t="n">
        <v>95.196152</v>
      </c>
      <c r="G124" s="19" t="n">
        <v>95.196152</v>
      </c>
      <c r="H124" s="20" t="n">
        <f aca="false">IF(OR(G124="",G124=0),"",(F124-G124)/G124)</f>
        <v>0</v>
      </c>
      <c r="I124" s="19" t="n">
        <v>123.263658</v>
      </c>
      <c r="J124" s="19" t="n">
        <v>123.263658</v>
      </c>
      <c r="K124" s="20" t="n">
        <f aca="false">IF(OR(J124="",J124=0),"",(I124-J124)/J124)</f>
        <v>0</v>
      </c>
      <c r="L124" s="21" t="str">
        <f aca="false">IF(OR(D124="",G124="",J124=""),"No reported subtotal",IF(AND(ABS(N(E124))&lt;=$D$2,ABS(N(H124))&lt;=$D$2,ABS(N(K124))&lt;=$D$2),"Reconciles within tolerance","Outside tolerance"))</f>
        <v>Reconciles within tolerance</v>
      </c>
    </row>
    <row r="125" customFormat="false" ht="15" hidden="false" customHeight="false" outlineLevel="0" collapsed="false">
      <c r="A125" s="7" t="n">
        <v>2015</v>
      </c>
      <c r="B125" s="15" t="s">
        <v>122</v>
      </c>
      <c r="C125" s="19" t="n">
        <v>72.952725</v>
      </c>
      <c r="D125" s="19" t="n">
        <v>72.952725</v>
      </c>
      <c r="E125" s="20" t="n">
        <f aca="false">IF(OR(D125="",D125=0),"",(C125-D125)/D125)</f>
        <v>0</v>
      </c>
      <c r="F125" s="19" t="n">
        <v>116.34189</v>
      </c>
      <c r="G125" s="19" t="n">
        <v>116.34189</v>
      </c>
      <c r="H125" s="20" t="n">
        <f aca="false">IF(OR(G125="",G125=0),"",(F125-G125)/G125)</f>
        <v>0</v>
      </c>
      <c r="I125" s="19" t="n">
        <v>90.122996</v>
      </c>
      <c r="J125" s="19" t="n">
        <v>90.122996</v>
      </c>
      <c r="K125" s="20" t="n">
        <f aca="false">IF(OR(J125="",J125=0),"",(I125-J125)/J125)</f>
        <v>0</v>
      </c>
      <c r="L125" s="21" t="str">
        <f aca="false">IF(OR(D125="",G125="",J125=""),"No reported subtotal",IF(AND(ABS(N(E125))&lt;=$D$2,ABS(N(H125))&lt;=$D$2,ABS(N(K125))&lt;=$D$2),"Reconciles within tolerance","Outside tolerance"))</f>
        <v>Reconciles within tolerance</v>
      </c>
    </row>
    <row r="126" customFormat="false" ht="15" hidden="false" customHeight="false" outlineLevel="0" collapsed="false">
      <c r="A126" s="7" t="n">
        <v>2016</v>
      </c>
      <c r="B126" s="15" t="s">
        <v>122</v>
      </c>
      <c r="C126" s="19" t="n">
        <v>87.419284</v>
      </c>
      <c r="D126" s="19" t="n">
        <v>87.419284</v>
      </c>
      <c r="E126" s="20" t="n">
        <f aca="false">IF(OR(D126="",D126=0),"",(C126-D126)/D126)</f>
        <v>0</v>
      </c>
      <c r="F126" s="19" t="n">
        <v>126.062251</v>
      </c>
      <c r="G126" s="19" t="n">
        <v>126.062251</v>
      </c>
      <c r="H126" s="20" t="n">
        <f aca="false">IF(OR(G126="",G126=0),"",(F126-G126)/G126)</f>
        <v>0</v>
      </c>
      <c r="I126" s="19" t="n">
        <v>84.929513</v>
      </c>
      <c r="J126" s="19" t="n">
        <v>84.929513</v>
      </c>
      <c r="K126" s="20" t="n">
        <f aca="false">IF(OR(J126="",J126=0),"",(I126-J126)/J126)</f>
        <v>0</v>
      </c>
      <c r="L126" s="21" t="str">
        <f aca="false">IF(OR(D126="",G126="",J126=""),"No reported subtotal",IF(AND(ABS(N(E126))&lt;=$D$2,ABS(N(H126))&lt;=$D$2,ABS(N(K126))&lt;=$D$2),"Reconciles within tolerance","Outside tolerance"))</f>
        <v>Reconciles within tolerance</v>
      </c>
    </row>
    <row r="127" customFormat="false" ht="15" hidden="false" customHeight="false" outlineLevel="0" collapsed="false">
      <c r="A127" s="7" t="n">
        <v>2017</v>
      </c>
      <c r="B127" s="15" t="s">
        <v>122</v>
      </c>
      <c r="C127" s="19" t="n">
        <v>91.244974</v>
      </c>
      <c r="D127" s="19" t="n">
        <v>91.244974</v>
      </c>
      <c r="E127" s="20" t="n">
        <f aca="false">IF(OR(D127="",D127=0),"",(C127-D127)/D127)</f>
        <v>0</v>
      </c>
      <c r="F127" s="19" t="n">
        <v>100.967056</v>
      </c>
      <c r="G127" s="19" t="n">
        <v>100.967056</v>
      </c>
      <c r="H127" s="20" t="n">
        <f aca="false">IF(OR(G127="",G127=0),"",(F127-G127)/G127)</f>
        <v>0</v>
      </c>
      <c r="I127" s="19" t="n">
        <v>129.933047</v>
      </c>
      <c r="J127" s="19" t="n">
        <v>129.933047</v>
      </c>
      <c r="K127" s="20" t="n">
        <f aca="false">IF(OR(J127="",J127=0),"",(I127-J127)/J127)</f>
        <v>0</v>
      </c>
      <c r="L127" s="21" t="str">
        <f aca="false">IF(OR(D127="",G127="",J127=""),"No reported subtotal",IF(AND(ABS(N(E127))&lt;=$D$2,ABS(N(H127))&lt;=$D$2,ABS(N(K127))&lt;=$D$2),"Reconciles within tolerance","Outside tolerance"))</f>
        <v>Reconciles within tolerance</v>
      </c>
    </row>
    <row r="128" customFormat="false" ht="15" hidden="false" customHeight="false" outlineLevel="0" collapsed="false">
      <c r="A128" s="7" t="n">
        <v>2018</v>
      </c>
      <c r="B128" s="15" t="s">
        <v>122</v>
      </c>
      <c r="C128" s="19" t="n">
        <v>99.099054</v>
      </c>
      <c r="D128" s="19" t="n">
        <v>99.099054</v>
      </c>
      <c r="E128" s="20" t="n">
        <f aca="false">IF(OR(D128="",D128=0),"",(C128-D128)/D128)</f>
        <v>0</v>
      </c>
      <c r="F128" s="19" t="n">
        <v>105.122147</v>
      </c>
      <c r="G128" s="19" t="n">
        <v>105.122147</v>
      </c>
      <c r="H128" s="20" t="n">
        <f aca="false">IF(OR(G128="",G128=0),"",(F128-G128)/G128)</f>
        <v>0</v>
      </c>
      <c r="I128" s="19" t="n">
        <v>158.350185</v>
      </c>
      <c r="J128" s="19" t="n">
        <v>158.350185</v>
      </c>
      <c r="K128" s="20" t="n">
        <f aca="false">IF(OR(J128="",J128=0),"",(I128-J128)/J128)</f>
        <v>0</v>
      </c>
      <c r="L128" s="21" t="str">
        <f aca="false">IF(OR(D128="",G128="",J128=""),"No reported subtotal",IF(AND(ABS(N(E128))&lt;=$D$2,ABS(N(H128))&lt;=$D$2,ABS(N(K128))&lt;=$D$2),"Reconciles within tolerance","Outside tolerance"))</f>
        <v>Reconciles within tolerance</v>
      </c>
    </row>
    <row r="129" customFormat="false" ht="15" hidden="false" customHeight="false" outlineLevel="0" collapsed="false">
      <c r="A129" s="7" t="n">
        <v>2019</v>
      </c>
      <c r="B129" s="15" t="s">
        <v>122</v>
      </c>
      <c r="C129" s="19" t="n">
        <v>106.456413</v>
      </c>
      <c r="D129" s="19" t="n">
        <v>106.456413</v>
      </c>
      <c r="E129" s="20" t="n">
        <f aca="false">IF(OR(D129="",D129=0),"",(C129-D129)/D129)</f>
        <v>0</v>
      </c>
      <c r="F129" s="19" t="n">
        <v>93.852983</v>
      </c>
      <c r="G129" s="19" t="n">
        <v>93.852983</v>
      </c>
      <c r="H129" s="20" t="n">
        <f aca="false">IF(OR(G129="",G129=0),"",(F129-G129)/G129)</f>
        <v>0</v>
      </c>
      <c r="I129" s="19" t="n">
        <v>136.47445</v>
      </c>
      <c r="J129" s="19" t="n">
        <v>136.47445</v>
      </c>
      <c r="K129" s="20" t="n">
        <f aca="false">IF(OR(J129="",J129=0),"",(I129-J129)/J129)</f>
        <v>0</v>
      </c>
      <c r="L129" s="21" t="str">
        <f aca="false">IF(OR(D129="",G129="",J129=""),"No reported subtotal",IF(AND(ABS(N(E129))&lt;=$D$2,ABS(N(H129))&lt;=$D$2,ABS(N(K129))&lt;=$D$2),"Reconciles within tolerance","Outside tolerance"))</f>
        <v>Reconciles within tolerance</v>
      </c>
    </row>
    <row r="130" customFormat="false" ht="15" hidden="false" customHeight="false" outlineLevel="0" collapsed="false">
      <c r="A130" s="7" t="n">
        <v>2020</v>
      </c>
      <c r="B130" s="15" t="s">
        <v>122</v>
      </c>
      <c r="C130" s="19" t="n">
        <v>109.477363</v>
      </c>
      <c r="D130" s="19" t="n">
        <v>109.477363</v>
      </c>
      <c r="E130" s="20" t="n">
        <f aca="false">IF(OR(D130="",D130=0),"",(C130-D130)/D130)</f>
        <v>0</v>
      </c>
      <c r="F130" s="19" t="n">
        <v>115.961362</v>
      </c>
      <c r="G130" s="19" t="n">
        <v>115.961362</v>
      </c>
      <c r="H130" s="20" t="n">
        <f aca="false">IF(OR(G130="",G130=0),"",(F130-G130)/G130)</f>
        <v>0</v>
      </c>
      <c r="I130" s="19" t="n">
        <v>178.797616</v>
      </c>
      <c r="J130" s="19" t="n">
        <v>178.797616</v>
      </c>
      <c r="K130" s="20" t="n">
        <f aca="false">IF(OR(J130="",J130=0),"",(I130-J130)/J130)</f>
        <v>0</v>
      </c>
      <c r="L130" s="21" t="str">
        <f aca="false">IF(OR(D130="",G130="",J130=""),"No reported subtotal",IF(AND(ABS(N(E130))&lt;=$D$2,ABS(N(H130))&lt;=$D$2,ABS(N(K130))&lt;=$D$2),"Reconciles within tolerance","Outside tolerance"))</f>
        <v>Reconciles within tolerance</v>
      </c>
    </row>
    <row r="131" customFormat="false" ht="15" hidden="false" customHeight="false" outlineLevel="0" collapsed="false">
      <c r="A131" s="7" t="n">
        <v>2021</v>
      </c>
      <c r="B131" s="15" t="s">
        <v>122</v>
      </c>
      <c r="C131" s="19" t="n">
        <v>102.317965</v>
      </c>
      <c r="D131" s="19" t="n">
        <v>102.317965</v>
      </c>
      <c r="E131" s="20" t="n">
        <f aca="false">IF(OR(D131="",D131=0),"",(C131-D131)/D131)</f>
        <v>0</v>
      </c>
      <c r="F131" s="19" t="n">
        <v>107.266083</v>
      </c>
      <c r="G131" s="19" t="n">
        <v>107.266083</v>
      </c>
      <c r="H131" s="20" t="n">
        <f aca="false">IF(OR(G131="",G131=0),"",(F131-G131)/G131)</f>
        <v>0</v>
      </c>
      <c r="I131" s="19" t="n">
        <v>166.637258</v>
      </c>
      <c r="J131" s="19" t="n">
        <v>166.637258</v>
      </c>
      <c r="K131" s="20" t="n">
        <f aca="false">IF(OR(J131="",J131=0),"",(I131-J131)/J131)</f>
        <v>0</v>
      </c>
      <c r="L131" s="21" t="str">
        <f aca="false">IF(OR(D131="",G131="",J131=""),"No reported subtotal",IF(AND(ABS(N(E131))&lt;=$D$2,ABS(N(H131))&lt;=$D$2,ABS(N(K131))&lt;=$D$2),"Reconciles within tolerance","Outside tolerance"))</f>
        <v>Reconciles within tolerance</v>
      </c>
    </row>
    <row r="132" customFormat="false" ht="15" hidden="false" customHeight="false" outlineLevel="0" collapsed="false">
      <c r="A132" s="7" t="n">
        <v>2022</v>
      </c>
      <c r="B132" s="15" t="s">
        <v>122</v>
      </c>
      <c r="C132" s="19" t="n">
        <v>106.512937</v>
      </c>
      <c r="D132" s="19" t="n">
        <v>106.512937</v>
      </c>
      <c r="E132" s="20" t="n">
        <f aca="false">IF(OR(D132="",D132=0),"",(C132-D132)/D132)</f>
        <v>0</v>
      </c>
      <c r="F132" s="19" t="n">
        <v>110.683687</v>
      </c>
      <c r="G132" s="19" t="n">
        <v>110.683687</v>
      </c>
      <c r="H132" s="20" t="n">
        <f aca="false">IF(OR(G132="",G132=0),"",(F132-G132)/G132)</f>
        <v>0</v>
      </c>
      <c r="I132" s="19" t="n">
        <v>164.418306</v>
      </c>
      <c r="J132" s="19" t="n">
        <v>164.418306</v>
      </c>
      <c r="K132" s="20" t="n">
        <f aca="false">IF(OR(J132="",J132=0),"",(I132-J132)/J132)</f>
        <v>0</v>
      </c>
      <c r="L132" s="21" t="str">
        <f aca="false">IF(OR(D132="",G132="",J132=""),"No reported subtotal",IF(AND(ABS(N(E132))&lt;=$D$2,ABS(N(H132))&lt;=$D$2,ABS(N(K132))&lt;=$D$2),"Reconciles within tolerance","Outside tolerance"))</f>
        <v>Reconciles within tolerance</v>
      </c>
    </row>
    <row r="133" customFormat="false" ht="15" hidden="false" customHeight="false" outlineLevel="0" collapsed="false">
      <c r="A133" s="7" t="n">
        <v>2023</v>
      </c>
      <c r="B133" s="15" t="s">
        <v>122</v>
      </c>
      <c r="C133" s="19" t="n">
        <v>151.161538</v>
      </c>
      <c r="D133" s="19" t="n">
        <v>151.161538</v>
      </c>
      <c r="E133" s="20" t="n">
        <f aca="false">IF(OR(D133="",D133=0),"",(C133-D133)/D133)</f>
        <v>0</v>
      </c>
      <c r="F133" s="19" t="n">
        <v>113.094592</v>
      </c>
      <c r="G133" s="19" t="n">
        <v>113.094592</v>
      </c>
      <c r="H133" s="20" t="n">
        <f aca="false">IF(OR(G133="",G133=0),"",(F133-G133)/G133)</f>
        <v>0</v>
      </c>
      <c r="I133" s="19" t="n">
        <v>213.689192</v>
      </c>
      <c r="J133" s="19" t="n">
        <v>213.689192</v>
      </c>
      <c r="K133" s="20" t="n">
        <f aca="false">IF(OR(J133="",J133=0),"",(I133-J133)/J133)</f>
        <v>0</v>
      </c>
      <c r="L133" s="21" t="str">
        <f aca="false">IF(OR(D133="",G133="",J133=""),"No reported subtotal",IF(AND(ABS(N(E133))&lt;=$D$2,ABS(N(H133))&lt;=$D$2,ABS(N(K133))&lt;=$D$2),"Reconciles within tolerance","Outside tolerance"))</f>
        <v>Reconciles within tolerance</v>
      </c>
    </row>
    <row r="134" customFormat="false" ht="15" hidden="false" customHeight="false" outlineLevel="0" collapsed="false">
      <c r="A134" s="7" t="n">
        <v>2024</v>
      </c>
      <c r="B134" s="15" t="s">
        <v>122</v>
      </c>
      <c r="C134" s="19" t="n">
        <v>113.870219</v>
      </c>
      <c r="D134" s="19" t="n">
        <v>113.870219</v>
      </c>
      <c r="E134" s="20" t="n">
        <f aca="false">IF(OR(D134="",D134=0),"",(C134-D134)/D134)</f>
        <v>0</v>
      </c>
      <c r="F134" s="19" t="n">
        <v>112.594343</v>
      </c>
      <c r="G134" s="19" t="n">
        <v>112.594343</v>
      </c>
      <c r="H134" s="20" t="n">
        <f aca="false">IF(OR(G134="",G134=0),"",(F134-G134)/G134)</f>
        <v>0</v>
      </c>
      <c r="I134" s="19" t="n">
        <v>190.824287</v>
      </c>
      <c r="J134" s="19" t="n">
        <v>190.824287</v>
      </c>
      <c r="K134" s="20" t="n">
        <f aca="false">IF(OR(J134="",J134=0),"",(I134-J134)/J134)</f>
        <v>0</v>
      </c>
      <c r="L134" s="21" t="str">
        <f aca="false">IF(OR(D134="",G134="",J134=""),"No reported subtotal",IF(AND(ABS(N(E134))&lt;=$D$2,ABS(N(H134))&lt;=$D$2,ABS(N(K134))&lt;=$D$2),"Reconciles within tolerance","Outside tolerance"))</f>
        <v>Reconciles within tolerance</v>
      </c>
    </row>
    <row r="135" customFormat="false" ht="15" hidden="false" customHeight="false" outlineLevel="0" collapsed="false">
      <c r="A135" s="7" t="n">
        <v>2025</v>
      </c>
      <c r="B135" s="15" t="s">
        <v>122</v>
      </c>
      <c r="C135" s="19" t="n">
        <v>73.550388</v>
      </c>
      <c r="D135" s="19" t="n">
        <v>73.550388</v>
      </c>
      <c r="E135" s="20" t="n">
        <f aca="false">IF(OR(D135="",D135=0),"",(C135-D135)/D135)</f>
        <v>0</v>
      </c>
      <c r="F135" s="19" t="n">
        <v>107.636786</v>
      </c>
      <c r="G135" s="19" t="n">
        <v>107.636786</v>
      </c>
      <c r="H135" s="20" t="n">
        <f aca="false">IF(OR(G135="",G135=0),"",(F135-G135)/G135)</f>
        <v>0</v>
      </c>
      <c r="I135" s="19" t="n">
        <v>199.52968</v>
      </c>
      <c r="J135" s="19" t="n">
        <v>199.52968</v>
      </c>
      <c r="K135" s="20" t="n">
        <f aca="false">IF(OR(J135="",J135=0),"",(I135-J135)/J135)</f>
        <v>0</v>
      </c>
      <c r="L135" s="21" t="str">
        <f aca="false">IF(OR(D135="",G135="",J135=""),"No reported subtotal",IF(AND(ABS(N(E135))&lt;=$D$2,ABS(N(H135))&lt;=$D$2,ABS(N(K135))&lt;=$D$2),"Reconciles within tolerance","Outside tolerance"))</f>
        <v>Reconciles within tolerance</v>
      </c>
    </row>
    <row r="136" customFormat="false" ht="15" hidden="false" customHeight="false" outlineLevel="0" collapsed="false">
      <c r="A136" s="7" t="n">
        <v>2000</v>
      </c>
      <c r="B136" s="15" t="s">
        <v>123</v>
      </c>
      <c r="C136" s="19" t="n">
        <v>85.996568</v>
      </c>
      <c r="D136" s="19" t="n">
        <v>85.996568</v>
      </c>
      <c r="E136" s="20" t="n">
        <f aca="false">IF(OR(D136="",D136=0),"",(C136-D136)/D136)</f>
        <v>0</v>
      </c>
      <c r="F136" s="19" t="n">
        <v>51.742818</v>
      </c>
      <c r="G136" s="19" t="n">
        <v>51.742818</v>
      </c>
      <c r="H136" s="20" t="n">
        <f aca="false">IF(OR(G136="",G136=0),"",(F136-G136)/G136)</f>
        <v>0</v>
      </c>
      <c r="I136" s="19" t="n">
        <v>136.551513</v>
      </c>
      <c r="J136" s="19" t="n">
        <v>136.551513</v>
      </c>
      <c r="K136" s="20" t="n">
        <f aca="false">IF(OR(J136="",J136=0),"",(I136-J136)/J136)</f>
        <v>0</v>
      </c>
      <c r="L136" s="21" t="str">
        <f aca="false">IF(OR(D136="",G136="",J136=""),"No reported subtotal",IF(AND(ABS(N(E136))&lt;=$D$2,ABS(N(H136))&lt;=$D$2,ABS(N(K136))&lt;=$D$2),"Reconciles within tolerance","Outside tolerance"))</f>
        <v>Reconciles within tolerance</v>
      </c>
    </row>
    <row r="137" customFormat="false" ht="15" hidden="false" customHeight="false" outlineLevel="0" collapsed="false">
      <c r="A137" s="7" t="n">
        <v>2001</v>
      </c>
      <c r="B137" s="15" t="s">
        <v>123</v>
      </c>
      <c r="C137" s="19" t="n">
        <v>88.459584</v>
      </c>
      <c r="D137" s="19" t="n">
        <v>88.459584</v>
      </c>
      <c r="E137" s="20" t="n">
        <f aca="false">IF(OR(D137="",D137=0),"",(C137-D137)/D137)</f>
        <v>0</v>
      </c>
      <c r="F137" s="19" t="n">
        <v>65.491775</v>
      </c>
      <c r="G137" s="19" t="n">
        <v>65.491775</v>
      </c>
      <c r="H137" s="20" t="n">
        <f aca="false">IF(OR(G137="",G137=0),"",(F137-G137)/G137)</f>
        <v>0</v>
      </c>
      <c r="I137" s="19" t="n">
        <v>115.697673</v>
      </c>
      <c r="J137" s="19" t="n">
        <v>115.697673</v>
      </c>
      <c r="K137" s="20" t="n">
        <f aca="false">IF(OR(J137="",J137=0),"",(I137-J137)/J137)</f>
        <v>0</v>
      </c>
      <c r="L137" s="21" t="str">
        <f aca="false">IF(OR(D137="",G137="",J137=""),"No reported subtotal",IF(AND(ABS(N(E137))&lt;=$D$2,ABS(N(H137))&lt;=$D$2,ABS(N(K137))&lt;=$D$2),"Reconciles within tolerance","Outside tolerance"))</f>
        <v>Reconciles within tolerance</v>
      </c>
    </row>
    <row r="138" customFormat="false" ht="15" hidden="false" customHeight="false" outlineLevel="0" collapsed="false">
      <c r="A138" s="7" t="n">
        <v>2002</v>
      </c>
      <c r="B138" s="15" t="s">
        <v>123</v>
      </c>
      <c r="C138" s="19" t="n">
        <v>76.157699</v>
      </c>
      <c r="D138" s="19" t="n">
        <v>76.157699</v>
      </c>
      <c r="E138" s="20" t="n">
        <f aca="false">IF(OR(D138="",D138=0),"",(C138-D138)/D138)</f>
        <v>0</v>
      </c>
      <c r="F138" s="19" t="n">
        <v>46.378975</v>
      </c>
      <c r="G138" s="19" t="n">
        <v>46.378975</v>
      </c>
      <c r="H138" s="20" t="n">
        <f aca="false">IF(OR(G138="",G138=0),"",(F138-G138)/G138)</f>
        <v>0</v>
      </c>
      <c r="I138" s="19" t="n">
        <v>84.873424</v>
      </c>
      <c r="J138" s="19" t="n">
        <v>84.873424</v>
      </c>
      <c r="K138" s="20" t="n">
        <f aca="false">IF(OR(J138="",J138=0),"",(I138-J138)/J138)</f>
        <v>0</v>
      </c>
      <c r="L138" s="21" t="str">
        <f aca="false">IF(OR(D138="",G138="",J138=""),"No reported subtotal",IF(AND(ABS(N(E138))&lt;=$D$2,ABS(N(H138))&lt;=$D$2,ABS(N(K138))&lt;=$D$2),"Reconciles within tolerance","Outside tolerance"))</f>
        <v>Reconciles within tolerance</v>
      </c>
    </row>
    <row r="139" customFormat="false" ht="15" hidden="false" customHeight="false" outlineLevel="0" collapsed="false">
      <c r="A139" s="7" t="n">
        <v>2003</v>
      </c>
      <c r="B139" s="15" t="s">
        <v>123</v>
      </c>
      <c r="C139" s="19" t="n">
        <v>116.122128</v>
      </c>
      <c r="D139" s="19" t="n">
        <v>116.122128</v>
      </c>
      <c r="E139" s="20" t="n">
        <f aca="false">IF(OR(D139="",D139=0),"",(C139-D139)/D139)</f>
        <v>0</v>
      </c>
      <c r="F139" s="19" t="n">
        <v>32.217712</v>
      </c>
      <c r="G139" s="19" t="n">
        <v>32.217712</v>
      </c>
      <c r="H139" s="20" t="n">
        <f aca="false">IF(OR(G139="",G139=0),"",(F139-G139)/G139)</f>
        <v>0</v>
      </c>
      <c r="I139" s="19" t="n">
        <v>164.407151</v>
      </c>
      <c r="J139" s="19" t="n">
        <v>164.407151</v>
      </c>
      <c r="K139" s="20" t="n">
        <f aca="false">IF(OR(J139="",J139=0),"",(I139-J139)/J139)</f>
        <v>0</v>
      </c>
      <c r="L139" s="21" t="str">
        <f aca="false">IF(OR(D139="",G139="",J139=""),"No reported subtotal",IF(AND(ABS(N(E139))&lt;=$D$2,ABS(N(H139))&lt;=$D$2,ABS(N(K139))&lt;=$D$2),"Reconciles within tolerance","Outside tolerance"))</f>
        <v>Reconciles within tolerance</v>
      </c>
    </row>
    <row r="140" customFormat="false" ht="15" hidden="false" customHeight="false" outlineLevel="0" collapsed="false">
      <c r="A140" s="7" t="n">
        <v>2004</v>
      </c>
      <c r="B140" s="15" t="s">
        <v>123</v>
      </c>
      <c r="C140" s="19" t="n">
        <v>93.995958</v>
      </c>
      <c r="D140" s="19" t="n">
        <v>93.995958</v>
      </c>
      <c r="E140" s="20" t="n">
        <f aca="false">IF(OR(D140="",D140=0),"",(C140-D140)/D140)</f>
        <v>0</v>
      </c>
      <c r="F140" s="19" t="n">
        <v>40.691472</v>
      </c>
      <c r="G140" s="19" t="n">
        <v>40.691472</v>
      </c>
      <c r="H140" s="20" t="n">
        <f aca="false">IF(OR(G140="",G140=0),"",(F140-G140)/G140)</f>
        <v>0</v>
      </c>
      <c r="I140" s="19" t="n">
        <v>157.839166</v>
      </c>
      <c r="J140" s="19" t="n">
        <v>157.839166</v>
      </c>
      <c r="K140" s="20" t="n">
        <f aca="false">IF(OR(J140="",J140=0),"",(I140-J140)/J140)</f>
        <v>0</v>
      </c>
      <c r="L140" s="21" t="str">
        <f aca="false">IF(OR(D140="",G140="",J140=""),"No reported subtotal",IF(AND(ABS(N(E140))&lt;=$D$2,ABS(N(H140))&lt;=$D$2,ABS(N(K140))&lt;=$D$2),"Reconciles within tolerance","Outside tolerance"))</f>
        <v>Reconciles within tolerance</v>
      </c>
    </row>
    <row r="141" customFormat="false" ht="15" hidden="false" customHeight="false" outlineLevel="0" collapsed="false">
      <c r="A141" s="7" t="n">
        <v>2005</v>
      </c>
      <c r="B141" s="15" t="s">
        <v>123</v>
      </c>
      <c r="C141" s="19" t="n">
        <v>103.750059</v>
      </c>
      <c r="D141" s="19" t="n">
        <v>103.750059</v>
      </c>
      <c r="E141" s="20" t="n">
        <f aca="false">IF(OR(D141="",D141=0),"",(C141-D141)/D141)</f>
        <v>0</v>
      </c>
      <c r="F141" s="19" t="n">
        <v>44.084881</v>
      </c>
      <c r="G141" s="19" t="n">
        <v>44.084881</v>
      </c>
      <c r="H141" s="20" t="n">
        <f aca="false">IF(OR(G141="",G141=0),"",(F141-G141)/G141)</f>
        <v>0</v>
      </c>
      <c r="I141" s="19" t="n">
        <v>171.636824</v>
      </c>
      <c r="J141" s="19" t="n">
        <v>171.636824</v>
      </c>
      <c r="K141" s="20" t="n">
        <f aca="false">IF(OR(J141="",J141=0),"",(I141-J141)/J141)</f>
        <v>0</v>
      </c>
      <c r="L141" s="21" t="str">
        <f aca="false">IF(OR(D141="",G141="",J141=""),"No reported subtotal",IF(AND(ABS(N(E141))&lt;=$D$2,ABS(N(H141))&lt;=$D$2,ABS(N(K141))&lt;=$D$2),"Reconciles within tolerance","Outside tolerance"))</f>
        <v>Reconciles within tolerance</v>
      </c>
    </row>
    <row r="142" customFormat="false" ht="15" hidden="false" customHeight="false" outlineLevel="0" collapsed="false">
      <c r="A142" s="7" t="n">
        <v>2006</v>
      </c>
      <c r="B142" s="15" t="s">
        <v>123</v>
      </c>
      <c r="C142" s="19" t="n">
        <v>111.737693</v>
      </c>
      <c r="D142" s="19" t="n">
        <v>111.737693</v>
      </c>
      <c r="E142" s="20" t="n">
        <f aca="false">IF(OR(D142="",D142=0),"",(C142-D142)/D142)</f>
        <v>0</v>
      </c>
      <c r="F142" s="19" t="n">
        <v>46.872145</v>
      </c>
      <c r="G142" s="19" t="n">
        <v>46.872145</v>
      </c>
      <c r="H142" s="20" t="n">
        <f aca="false">IF(OR(G142="",G142=0),"",(F142-G142)/G142)</f>
        <v>0</v>
      </c>
      <c r="I142" s="19" t="n">
        <v>191.462196</v>
      </c>
      <c r="J142" s="19" t="n">
        <v>191.462196</v>
      </c>
      <c r="K142" s="20" t="n">
        <f aca="false">IF(OR(J142="",J142=0),"",(I142-J142)/J142)</f>
        <v>0</v>
      </c>
      <c r="L142" s="21" t="str">
        <f aca="false">IF(OR(D142="",G142="",J142=""),"No reported subtotal",IF(AND(ABS(N(E142))&lt;=$D$2,ABS(N(H142))&lt;=$D$2,ABS(N(K142))&lt;=$D$2),"Reconciles within tolerance","Outside tolerance"))</f>
        <v>Reconciles within tolerance</v>
      </c>
    </row>
    <row r="143" customFormat="false" ht="15" hidden="false" customHeight="false" outlineLevel="0" collapsed="false">
      <c r="A143" s="7" t="n">
        <v>2007</v>
      </c>
      <c r="B143" s="15" t="s">
        <v>123</v>
      </c>
      <c r="C143" s="19" t="n">
        <v>124.29505</v>
      </c>
      <c r="D143" s="19" t="n">
        <v>124.29505</v>
      </c>
      <c r="E143" s="20" t="n">
        <f aca="false">IF(OR(D143="",D143=0),"",(C143-D143)/D143)</f>
        <v>0</v>
      </c>
      <c r="F143" s="19" t="n">
        <v>58.807165</v>
      </c>
      <c r="G143" s="19" t="n">
        <v>58.807165</v>
      </c>
      <c r="H143" s="20" t="n">
        <f aca="false">IF(OR(G143="",G143=0),"",(F143-G143)/G143)</f>
        <v>0</v>
      </c>
      <c r="I143" s="19" t="n">
        <v>203.749927</v>
      </c>
      <c r="J143" s="19" t="n">
        <v>203.749927</v>
      </c>
      <c r="K143" s="20" t="n">
        <f aca="false">IF(OR(J143="",J143=0),"",(I143-J143)/J143)</f>
        <v>0</v>
      </c>
      <c r="L143" s="21" t="str">
        <f aca="false">IF(OR(D143="",G143="",J143=""),"No reported subtotal",IF(AND(ABS(N(E143))&lt;=$D$2,ABS(N(H143))&lt;=$D$2,ABS(N(K143))&lt;=$D$2),"Reconciles within tolerance","Outside tolerance"))</f>
        <v>Reconciles within tolerance</v>
      </c>
    </row>
    <row r="144" customFormat="false" ht="15" hidden="false" customHeight="false" outlineLevel="0" collapsed="false">
      <c r="A144" s="7" t="n">
        <v>2008</v>
      </c>
      <c r="B144" s="15" t="s">
        <v>123</v>
      </c>
      <c r="C144" s="19" t="n">
        <v>133.042191</v>
      </c>
      <c r="D144" s="19" t="n">
        <v>133.042191</v>
      </c>
      <c r="E144" s="20" t="n">
        <f aca="false">IF(OR(D144="",D144=0),"",(C144-D144)/D144)</f>
        <v>0</v>
      </c>
      <c r="F144" s="19" t="n">
        <v>75.837149</v>
      </c>
      <c r="G144" s="19" t="n">
        <v>75.837149</v>
      </c>
      <c r="H144" s="20" t="n">
        <f aca="false">IF(OR(G144="",G144=0),"",(F144-G144)/G144)</f>
        <v>0</v>
      </c>
      <c r="I144" s="19" t="n">
        <v>221.507912</v>
      </c>
      <c r="J144" s="19" t="n">
        <v>221.507912</v>
      </c>
      <c r="K144" s="20" t="n">
        <f aca="false">IF(OR(J144="",J144=0),"",(I144-J144)/J144)</f>
        <v>0</v>
      </c>
      <c r="L144" s="21" t="str">
        <f aca="false">IF(OR(D144="",G144="",J144=""),"No reported subtotal",IF(AND(ABS(N(E144))&lt;=$D$2,ABS(N(H144))&lt;=$D$2,ABS(N(K144))&lt;=$D$2),"Reconciles within tolerance","Outside tolerance"))</f>
        <v>Reconciles within tolerance</v>
      </c>
    </row>
    <row r="145" customFormat="false" ht="15" hidden="false" customHeight="false" outlineLevel="0" collapsed="false">
      <c r="A145" s="7" t="n">
        <v>2009</v>
      </c>
      <c r="B145" s="15" t="s">
        <v>123</v>
      </c>
      <c r="C145" s="19" t="n">
        <v>130.272738</v>
      </c>
      <c r="D145" s="19" t="n">
        <v>130.272738</v>
      </c>
      <c r="E145" s="20" t="n">
        <f aca="false">IF(OR(D145="",D145=0),"",(C145-D145)/D145)</f>
        <v>0</v>
      </c>
      <c r="F145" s="19" t="n">
        <v>78.879212</v>
      </c>
      <c r="G145" s="19" t="n">
        <v>78.879212</v>
      </c>
      <c r="H145" s="20" t="n">
        <f aca="false">IF(OR(G145="",G145=0),"",(F145-G145)/G145)</f>
        <v>0</v>
      </c>
      <c r="I145" s="19" t="n">
        <v>186.971054</v>
      </c>
      <c r="J145" s="19" t="n">
        <v>186.971054</v>
      </c>
      <c r="K145" s="20" t="n">
        <f aca="false">IF(OR(J145="",J145=0),"",(I145-J145)/J145)</f>
        <v>0</v>
      </c>
      <c r="L145" s="21" t="str">
        <f aca="false">IF(OR(D145="",G145="",J145=""),"No reported subtotal",IF(AND(ABS(N(E145))&lt;=$D$2,ABS(N(H145))&lt;=$D$2,ABS(N(K145))&lt;=$D$2),"Reconciles within tolerance","Outside tolerance"))</f>
        <v>Reconciles within tolerance</v>
      </c>
    </row>
    <row r="146" customFormat="false" ht="15" hidden="false" customHeight="false" outlineLevel="0" collapsed="false">
      <c r="A146" s="7" t="n">
        <v>2010</v>
      </c>
      <c r="B146" s="15" t="s">
        <v>123</v>
      </c>
      <c r="C146" s="19" t="n">
        <v>170.183921</v>
      </c>
      <c r="D146" s="19" t="n">
        <v>170.183921</v>
      </c>
      <c r="E146" s="20" t="n">
        <f aca="false">IF(OR(D146="",D146=0),"",(C146-D146)/D146)</f>
        <v>0</v>
      </c>
      <c r="F146" s="19" t="n">
        <v>77.07123</v>
      </c>
      <c r="G146" s="19" t="n">
        <v>77.07123</v>
      </c>
      <c r="H146" s="20" t="n">
        <f aca="false">IF(OR(G146="",G146=0),"",(F146-G146)/G146)</f>
        <v>0</v>
      </c>
      <c r="I146" s="19" t="n">
        <v>243.647376</v>
      </c>
      <c r="J146" s="19" t="n">
        <v>243.647376</v>
      </c>
      <c r="K146" s="20" t="n">
        <f aca="false">IF(OR(J146="",J146=0),"",(I146-J146)/J146)</f>
        <v>0</v>
      </c>
      <c r="L146" s="21" t="str">
        <f aca="false">IF(OR(D146="",G146="",J146=""),"No reported subtotal",IF(AND(ABS(N(E146))&lt;=$D$2,ABS(N(H146))&lt;=$D$2,ABS(N(K146))&lt;=$D$2),"Reconciles within tolerance","Outside tolerance"))</f>
        <v>Reconciles within tolerance</v>
      </c>
    </row>
    <row r="147" customFormat="false" ht="15" hidden="false" customHeight="false" outlineLevel="0" collapsed="false">
      <c r="A147" s="7" t="n">
        <v>2011</v>
      </c>
      <c r="B147" s="15" t="s">
        <v>123</v>
      </c>
      <c r="C147" s="19" t="n">
        <v>205.584349</v>
      </c>
      <c r="D147" s="19" t="n">
        <v>205.584349</v>
      </c>
      <c r="E147" s="20" t="n">
        <f aca="false">IF(OR(D147="",D147=0),"",(C147-D147)/D147)</f>
        <v>0</v>
      </c>
      <c r="F147" s="19" t="n">
        <v>81.079843</v>
      </c>
      <c r="G147" s="19" t="n">
        <v>81.079843</v>
      </c>
      <c r="H147" s="20" t="n">
        <f aca="false">IF(OR(G147="",G147=0),"",(F147-G147)/G147)</f>
        <v>0</v>
      </c>
      <c r="I147" s="19" t="n">
        <v>257.170683</v>
      </c>
      <c r="J147" s="19" t="n">
        <v>257.170683</v>
      </c>
      <c r="K147" s="20" t="n">
        <f aca="false">IF(OR(J147="",J147=0),"",(I147-J147)/J147)</f>
        <v>0</v>
      </c>
      <c r="L147" s="21" t="str">
        <f aca="false">IF(OR(D147="",G147="",J147=""),"No reported subtotal",IF(AND(ABS(N(E147))&lt;=$D$2,ABS(N(H147))&lt;=$D$2,ABS(N(K147))&lt;=$D$2),"Reconciles within tolerance","Outside tolerance"))</f>
        <v>Reconciles within tolerance</v>
      </c>
    </row>
    <row r="148" customFormat="false" ht="15" hidden="false" customHeight="false" outlineLevel="0" collapsed="false">
      <c r="A148" s="7" t="n">
        <v>2012</v>
      </c>
      <c r="B148" s="15" t="s">
        <v>123</v>
      </c>
      <c r="C148" s="19" t="n">
        <v>218.785273</v>
      </c>
      <c r="D148" s="19" t="n">
        <v>218.785273</v>
      </c>
      <c r="E148" s="20" t="n">
        <f aca="false">IF(OR(D148="",D148=0),"",(C148-D148)/D148)</f>
        <v>0</v>
      </c>
      <c r="F148" s="19" t="n">
        <v>88.022116</v>
      </c>
      <c r="G148" s="19" t="n">
        <v>88.022116</v>
      </c>
      <c r="H148" s="20" t="n">
        <f aca="false">IF(OR(G148="",G148=0),"",(F148-G148)/G148)</f>
        <v>0</v>
      </c>
      <c r="I148" s="19" t="n">
        <v>275.977197</v>
      </c>
      <c r="J148" s="19" t="n">
        <v>275.977197</v>
      </c>
      <c r="K148" s="20" t="n">
        <f aca="false">IF(OR(J148="",J148=0),"",(I148-J148)/J148)</f>
        <v>0</v>
      </c>
      <c r="L148" s="21" t="str">
        <f aca="false">IF(OR(D148="",G148="",J148=""),"No reported subtotal",IF(AND(ABS(N(E148))&lt;=$D$2,ABS(N(H148))&lt;=$D$2,ABS(N(K148))&lt;=$D$2),"Reconciles within tolerance","Outside tolerance"))</f>
        <v>Reconciles within tolerance</v>
      </c>
    </row>
    <row r="149" customFormat="false" ht="15" hidden="false" customHeight="false" outlineLevel="0" collapsed="false">
      <c r="A149" s="7" t="n">
        <v>2013</v>
      </c>
      <c r="B149" s="15" t="s">
        <v>123</v>
      </c>
      <c r="C149" s="19" t="n">
        <v>173.988748</v>
      </c>
      <c r="D149" s="19" t="n">
        <v>173.988748</v>
      </c>
      <c r="E149" s="20" t="n">
        <f aca="false">IF(OR(D149="",D149=0),"",(C149-D149)/D149)</f>
        <v>0</v>
      </c>
      <c r="F149" s="19" t="n">
        <v>80.873218</v>
      </c>
      <c r="G149" s="19" t="n">
        <v>80.873218</v>
      </c>
      <c r="H149" s="20" t="n">
        <f aca="false">IF(OR(G149="",G149=0),"",(F149-G149)/G149)</f>
        <v>0</v>
      </c>
      <c r="I149" s="19" t="n">
        <v>361.673001</v>
      </c>
      <c r="J149" s="19" t="n">
        <v>361.673001</v>
      </c>
      <c r="K149" s="20" t="n">
        <f aca="false">IF(OR(J149="",J149=0),"",(I149-J149)/J149)</f>
        <v>0</v>
      </c>
      <c r="L149" s="21" t="str">
        <f aca="false">IF(OR(D149="",G149="",J149=""),"No reported subtotal",IF(AND(ABS(N(E149))&lt;=$D$2,ABS(N(H149))&lt;=$D$2,ABS(N(K149))&lt;=$D$2),"Reconciles within tolerance","Outside tolerance"))</f>
        <v>Reconciles within tolerance</v>
      </c>
    </row>
    <row r="150" customFormat="false" ht="15" hidden="false" customHeight="false" outlineLevel="0" collapsed="false">
      <c r="A150" s="7" t="n">
        <v>2014</v>
      </c>
      <c r="B150" s="15" t="s">
        <v>123</v>
      </c>
      <c r="C150" s="19" t="n">
        <v>208.530136</v>
      </c>
      <c r="D150" s="19" t="n">
        <v>208.530136</v>
      </c>
      <c r="E150" s="20" t="n">
        <f aca="false">IF(OR(D150="",D150=0),"",(C150-D150)/D150)</f>
        <v>0</v>
      </c>
      <c r="F150" s="19" t="n">
        <v>91.913329</v>
      </c>
      <c r="G150" s="19" t="n">
        <v>91.913329</v>
      </c>
      <c r="H150" s="20" t="n">
        <f aca="false">IF(OR(G150="",G150=0),"",(F150-G150)/G150)</f>
        <v>0</v>
      </c>
      <c r="I150" s="19" t="n">
        <v>238.478452</v>
      </c>
      <c r="J150" s="19" t="n">
        <v>238.478452</v>
      </c>
      <c r="K150" s="20" t="n">
        <f aca="false">IF(OR(J150="",J150=0),"",(I150-J150)/J150)</f>
        <v>0</v>
      </c>
      <c r="L150" s="21" t="str">
        <f aca="false">IF(OR(D150="",G150="",J150=""),"No reported subtotal",IF(AND(ABS(N(E150))&lt;=$D$2,ABS(N(H150))&lt;=$D$2,ABS(N(K150))&lt;=$D$2),"Reconciles within tolerance","Outside tolerance"))</f>
        <v>Reconciles within tolerance</v>
      </c>
    </row>
    <row r="151" customFormat="false" ht="15" hidden="false" customHeight="false" outlineLevel="0" collapsed="false">
      <c r="A151" s="7" t="n">
        <v>2015</v>
      </c>
      <c r="B151" s="15" t="s">
        <v>123</v>
      </c>
      <c r="C151" s="19" t="n">
        <v>187.276453</v>
      </c>
      <c r="D151" s="19" t="n">
        <v>187.276453</v>
      </c>
      <c r="E151" s="20" t="n">
        <f aca="false">IF(OR(D151="",D151=0),"",(C151-D151)/D151)</f>
        <v>0</v>
      </c>
      <c r="F151" s="19" t="n">
        <v>61.018301</v>
      </c>
      <c r="G151" s="19" t="n">
        <v>61.018301</v>
      </c>
      <c r="H151" s="20" t="n">
        <f aca="false">IF(OR(G151="",G151=0),"",(F151-G151)/G151)</f>
        <v>0</v>
      </c>
      <c r="I151" s="19" t="n">
        <v>245.153345</v>
      </c>
      <c r="J151" s="19" t="n">
        <v>245.153345</v>
      </c>
      <c r="K151" s="20" t="n">
        <f aca="false">IF(OR(J151="",J151=0),"",(I151-J151)/J151)</f>
        <v>0</v>
      </c>
      <c r="L151" s="21" t="str">
        <f aca="false">IF(OR(D151="",G151="",J151=""),"No reported subtotal",IF(AND(ABS(N(E151))&lt;=$D$2,ABS(N(H151))&lt;=$D$2,ABS(N(K151))&lt;=$D$2),"Reconciles within tolerance","Outside tolerance"))</f>
        <v>Reconciles within tolerance</v>
      </c>
    </row>
    <row r="152" customFormat="false" ht="15" hidden="false" customHeight="false" outlineLevel="0" collapsed="false">
      <c r="A152" s="7" t="n">
        <v>2016</v>
      </c>
      <c r="B152" s="15" t="s">
        <v>123</v>
      </c>
      <c r="C152" s="19" t="n">
        <v>235.526684</v>
      </c>
      <c r="D152" s="19" t="n">
        <v>235.526684</v>
      </c>
      <c r="E152" s="20" t="n">
        <f aca="false">IF(OR(D152="",D152=0),"",(C152-D152)/D152)</f>
        <v>0</v>
      </c>
      <c r="F152" s="19" t="n">
        <v>42.554351</v>
      </c>
      <c r="G152" s="19" t="n">
        <v>42.554351</v>
      </c>
      <c r="H152" s="20" t="n">
        <f aca="false">IF(OR(G152="",G152=0),"",(F152-G152)/G152)</f>
        <v>0</v>
      </c>
      <c r="I152" s="19" t="n">
        <v>233.268623</v>
      </c>
      <c r="J152" s="19" t="n">
        <v>233.268623</v>
      </c>
      <c r="K152" s="20" t="n">
        <f aca="false">IF(OR(J152="",J152=0),"",(I152-J152)/J152)</f>
        <v>0</v>
      </c>
      <c r="L152" s="21" t="str">
        <f aca="false">IF(OR(D152="",G152="",J152=""),"No reported subtotal",IF(AND(ABS(N(E152))&lt;=$D$2,ABS(N(H152))&lt;=$D$2,ABS(N(K152))&lt;=$D$2),"Reconciles within tolerance","Outside tolerance"))</f>
        <v>Reconciles within tolerance</v>
      </c>
    </row>
    <row r="153" customFormat="false" ht="15" hidden="false" customHeight="false" outlineLevel="0" collapsed="false">
      <c r="A153" s="7" t="n">
        <v>2017</v>
      </c>
      <c r="B153" s="15" t="s">
        <v>123</v>
      </c>
      <c r="C153" s="19" t="n">
        <v>199.723129</v>
      </c>
      <c r="D153" s="19" t="n">
        <v>199.723129</v>
      </c>
      <c r="E153" s="20" t="n">
        <f aca="false">IF(OR(D153="",D153=0),"",(C153-D153)/D153)</f>
        <v>0</v>
      </c>
      <c r="F153" s="19" t="n">
        <v>57.425955</v>
      </c>
      <c r="G153" s="19" t="n">
        <v>57.425955</v>
      </c>
      <c r="H153" s="20" t="n">
        <f aca="false">IF(OR(G153="",G153=0),"",(F153-G153)/G153)</f>
        <v>0</v>
      </c>
      <c r="I153" s="19" t="n">
        <v>196.634868</v>
      </c>
      <c r="J153" s="19" t="n">
        <v>196.634868</v>
      </c>
      <c r="K153" s="20" t="n">
        <f aca="false">IF(OR(J153="",J153=0),"",(I153-J153)/J153)</f>
        <v>0</v>
      </c>
      <c r="L153" s="21" t="str">
        <f aca="false">IF(OR(D153="",G153="",J153=""),"No reported subtotal",IF(AND(ABS(N(E153))&lt;=$D$2,ABS(N(H153))&lt;=$D$2,ABS(N(K153))&lt;=$D$2),"Reconciles within tolerance","Outside tolerance"))</f>
        <v>Reconciles within tolerance</v>
      </c>
    </row>
    <row r="154" customFormat="false" ht="15" hidden="false" customHeight="false" outlineLevel="0" collapsed="false">
      <c r="A154" s="7" t="n">
        <v>2018</v>
      </c>
      <c r="B154" s="15" t="s">
        <v>123</v>
      </c>
      <c r="C154" s="19" t="n">
        <v>235.303888</v>
      </c>
      <c r="D154" s="19" t="n">
        <v>235.303888</v>
      </c>
      <c r="E154" s="20" t="n">
        <f aca="false">IF(OR(D154="",D154=0),"",(C154-D154)/D154)</f>
        <v>0</v>
      </c>
      <c r="F154" s="19" t="n">
        <v>55.248128</v>
      </c>
      <c r="G154" s="19" t="n">
        <v>55.248128</v>
      </c>
      <c r="H154" s="20" t="n">
        <f aca="false">IF(OR(G154="",G154=0),"",(F154-G154)/G154)</f>
        <v>0</v>
      </c>
      <c r="I154" s="19" t="n">
        <v>288.304495</v>
      </c>
      <c r="J154" s="19" t="n">
        <v>288.304495</v>
      </c>
      <c r="K154" s="20" t="n">
        <f aca="false">IF(OR(J154="",J154=0),"",(I154-J154)/J154)</f>
        <v>0</v>
      </c>
      <c r="L154" s="21" t="str">
        <f aca="false">IF(OR(D154="",G154="",J154=""),"No reported subtotal",IF(AND(ABS(N(E154))&lt;=$D$2,ABS(N(H154))&lt;=$D$2,ABS(N(K154))&lt;=$D$2),"Reconciles within tolerance","Outside tolerance"))</f>
        <v>Reconciles within tolerance</v>
      </c>
    </row>
    <row r="155" customFormat="false" ht="15" hidden="false" customHeight="false" outlineLevel="0" collapsed="false">
      <c r="A155" s="7" t="n">
        <v>2019</v>
      </c>
      <c r="B155" s="15" t="s">
        <v>123</v>
      </c>
      <c r="C155" s="19" t="n">
        <v>211.799927</v>
      </c>
      <c r="D155" s="19" t="n">
        <v>211.799927</v>
      </c>
      <c r="E155" s="20" t="n">
        <f aca="false">IF(OR(D155="",D155=0),"",(C155-D155)/D155)</f>
        <v>0</v>
      </c>
      <c r="F155" s="19" t="n">
        <v>57.551629</v>
      </c>
      <c r="G155" s="19" t="n">
        <v>57.551629</v>
      </c>
      <c r="H155" s="20" t="n">
        <f aca="false">IF(OR(G155="",G155=0),"",(F155-G155)/G155)</f>
        <v>0</v>
      </c>
      <c r="I155" s="19" t="n">
        <v>269.038761</v>
      </c>
      <c r="J155" s="19" t="n">
        <v>269.038761</v>
      </c>
      <c r="K155" s="20" t="n">
        <f aca="false">IF(OR(J155="",J155=0),"",(I155-J155)/J155)</f>
        <v>0</v>
      </c>
      <c r="L155" s="21" t="str">
        <f aca="false">IF(OR(D155="",G155="",J155=""),"No reported subtotal",IF(AND(ABS(N(E155))&lt;=$D$2,ABS(N(H155))&lt;=$D$2,ABS(N(K155))&lt;=$D$2),"Reconciles within tolerance","Outside tolerance"))</f>
        <v>Reconciles within tolerance</v>
      </c>
    </row>
    <row r="156" customFormat="false" ht="15" hidden="false" customHeight="false" outlineLevel="0" collapsed="false">
      <c r="A156" s="7" t="n">
        <v>2020</v>
      </c>
      <c r="B156" s="15" t="s">
        <v>123</v>
      </c>
      <c r="C156" s="19" t="n">
        <v>209.250183</v>
      </c>
      <c r="D156" s="19" t="n">
        <v>209.250183</v>
      </c>
      <c r="E156" s="20" t="n">
        <f aca="false">IF(OR(D156="",D156=0),"",(C156-D156)/D156)</f>
        <v>0</v>
      </c>
      <c r="F156" s="19" t="n">
        <v>60.374745</v>
      </c>
      <c r="G156" s="19" t="n">
        <v>60.374745</v>
      </c>
      <c r="H156" s="20" t="n">
        <f aca="false">IF(OR(G156="",G156=0),"",(F156-G156)/G156)</f>
        <v>0</v>
      </c>
      <c r="I156" s="19" t="n">
        <v>333.452292</v>
      </c>
      <c r="J156" s="19" t="n">
        <v>333.452292</v>
      </c>
      <c r="K156" s="20" t="n">
        <f aca="false">IF(OR(J156="",J156=0),"",(I156-J156)/J156)</f>
        <v>0</v>
      </c>
      <c r="L156" s="21" t="str">
        <f aca="false">IF(OR(D156="",G156="",J156=""),"No reported subtotal",IF(AND(ABS(N(E156))&lt;=$D$2,ABS(N(H156))&lt;=$D$2,ABS(N(K156))&lt;=$D$2),"Reconciles within tolerance","Outside tolerance"))</f>
        <v>Reconciles within tolerance</v>
      </c>
    </row>
    <row r="157" customFormat="false" ht="15" hidden="false" customHeight="false" outlineLevel="0" collapsed="false">
      <c r="A157" s="7" t="n">
        <v>2021</v>
      </c>
      <c r="B157" s="15" t="s">
        <v>123</v>
      </c>
      <c r="C157" s="19" t="n">
        <v>232.971354</v>
      </c>
      <c r="D157" s="19" t="n">
        <v>233.050071</v>
      </c>
      <c r="E157" s="20" t="n">
        <f aca="false">IF(OR(D157="",D157=0),"",(C157-D157)/D157)</f>
        <v>-0.000337768616255911</v>
      </c>
      <c r="F157" s="19" t="n">
        <v>58.409083</v>
      </c>
      <c r="G157" s="19" t="n">
        <v>58.409083</v>
      </c>
      <c r="H157" s="20" t="n">
        <f aca="false">IF(OR(G157="",G157=0),"",(F157-G157)/G157)</f>
        <v>0</v>
      </c>
      <c r="I157" s="19" t="n">
        <v>331.140122</v>
      </c>
      <c r="J157" s="19" t="n">
        <v>331.140122</v>
      </c>
      <c r="K157" s="20" t="n">
        <f aca="false">IF(OR(J157="",J157=0),"",(I157-J157)/J157)</f>
        <v>0</v>
      </c>
      <c r="L157" s="21" t="str">
        <f aca="false">IF(OR(D157="",G157="",J157=""),"No reported subtotal",IF(AND(ABS(N(E157))&lt;=$D$2,ABS(N(H157))&lt;=$D$2,ABS(N(K157))&lt;=$D$2),"Reconciles within tolerance","Outside tolerance"))</f>
        <v>Reconciles within tolerance</v>
      </c>
    </row>
    <row r="158" customFormat="false" ht="15" hidden="false" customHeight="false" outlineLevel="0" collapsed="false">
      <c r="A158" s="7" t="n">
        <v>2022</v>
      </c>
      <c r="B158" s="15" t="s">
        <v>123</v>
      </c>
      <c r="C158" s="19" t="n">
        <v>240.972681</v>
      </c>
      <c r="D158" s="19" t="n">
        <v>241.016996</v>
      </c>
      <c r="E158" s="20" t="n">
        <f aca="false">IF(OR(D158="",D158=0),"",(C158-D158)/D158)</f>
        <v>-0.000183866701251275</v>
      </c>
      <c r="F158" s="19" t="n">
        <v>67.909425</v>
      </c>
      <c r="G158" s="19" t="n">
        <v>67.909425</v>
      </c>
      <c r="H158" s="20" t="n">
        <f aca="false">IF(OR(G158="",G158=0),"",(F158-G158)/G158)</f>
        <v>0</v>
      </c>
      <c r="I158" s="19" t="n">
        <v>373.783335</v>
      </c>
      <c r="J158" s="19" t="n">
        <v>373.783335</v>
      </c>
      <c r="K158" s="20" t="n">
        <f aca="false">IF(OR(J158="",J158=0),"",(I158-J158)/J158)</f>
        <v>0</v>
      </c>
      <c r="L158" s="21" t="str">
        <f aca="false">IF(OR(D158="",G158="",J158=""),"No reported subtotal",IF(AND(ABS(N(E158))&lt;=$D$2,ABS(N(H158))&lt;=$D$2,ABS(N(K158))&lt;=$D$2),"Reconciles within tolerance","Outside tolerance"))</f>
        <v>Reconciles within tolerance</v>
      </c>
    </row>
    <row r="159" customFormat="false" ht="15" hidden="false" customHeight="false" outlineLevel="0" collapsed="false">
      <c r="A159" s="7" t="n">
        <v>2023</v>
      </c>
      <c r="B159" s="15" t="s">
        <v>123</v>
      </c>
      <c r="C159" s="19" t="n">
        <v>231.196571</v>
      </c>
      <c r="D159" s="19" t="n">
        <v>231.203875</v>
      </c>
      <c r="E159" s="20" t="n">
        <f aca="false">IF(OR(D159="",D159=0),"",(C159-D159)/D159)</f>
        <v>-3.15911660217843E-005</v>
      </c>
      <c r="F159" s="19" t="n">
        <v>77.501192</v>
      </c>
      <c r="G159" s="19" t="n">
        <v>77.501192</v>
      </c>
      <c r="H159" s="20" t="n">
        <f aca="false">IF(OR(G159="",G159=0),"",(F159-G159)/G159)</f>
        <v>0</v>
      </c>
      <c r="I159" s="19" t="n">
        <v>422.300801</v>
      </c>
      <c r="J159" s="19" t="n">
        <v>422.300801</v>
      </c>
      <c r="K159" s="20" t="n">
        <f aca="false">IF(OR(J159="",J159=0),"",(I159-J159)/J159)</f>
        <v>0</v>
      </c>
      <c r="L159" s="21" t="str">
        <f aca="false">IF(OR(D159="",G159="",J159=""),"No reported subtotal",IF(AND(ABS(N(E159))&lt;=$D$2,ABS(N(H159))&lt;=$D$2,ABS(N(K159))&lt;=$D$2),"Reconciles within tolerance","Outside tolerance"))</f>
        <v>Reconciles within tolerance</v>
      </c>
    </row>
    <row r="160" customFormat="false" ht="15" hidden="false" customHeight="false" outlineLevel="0" collapsed="false">
      <c r="A160" s="7" t="n">
        <v>2024</v>
      </c>
      <c r="B160" s="15" t="s">
        <v>123</v>
      </c>
      <c r="C160" s="19" t="n">
        <v>317.219864</v>
      </c>
      <c r="D160" s="19" t="n">
        <v>317.219864</v>
      </c>
      <c r="E160" s="20" t="n">
        <f aca="false">IF(OR(D160="",D160=0),"",(C160-D160)/D160)</f>
        <v>0</v>
      </c>
      <c r="F160" s="19" t="n">
        <v>93.008382</v>
      </c>
      <c r="G160" s="19" t="n">
        <v>93.008382</v>
      </c>
      <c r="H160" s="20" t="n">
        <f aca="false">IF(OR(G160="",G160=0),"",(F160-G160)/G160)</f>
        <v>0</v>
      </c>
      <c r="I160" s="19" t="n">
        <v>571.653924</v>
      </c>
      <c r="J160" s="19" t="n">
        <v>571.653924</v>
      </c>
      <c r="K160" s="20" t="n">
        <f aca="false">IF(OR(J160="",J160=0),"",(I160-J160)/J160)</f>
        <v>0</v>
      </c>
      <c r="L160" s="21" t="str">
        <f aca="false">IF(OR(D160="",G160="",J160=""),"No reported subtotal",IF(AND(ABS(N(E160))&lt;=$D$2,ABS(N(H160))&lt;=$D$2,ABS(N(K160))&lt;=$D$2),"Reconciles within tolerance","Outside tolerance"))</f>
        <v>Reconciles within tolerance</v>
      </c>
    </row>
    <row r="161" customFormat="false" ht="15" hidden="false" customHeight="false" outlineLevel="0" collapsed="false">
      <c r="A161" s="7" t="n">
        <v>2025</v>
      </c>
      <c r="B161" s="15" t="s">
        <v>123</v>
      </c>
      <c r="C161" s="19" t="n">
        <v>360.32216</v>
      </c>
      <c r="D161" s="19" t="n">
        <v>360.32216</v>
      </c>
      <c r="E161" s="20" t="n">
        <f aca="false">IF(OR(D161="",D161=0),"",(C161-D161)/D161)</f>
        <v>0</v>
      </c>
      <c r="F161" s="19" t="n">
        <v>88.541847</v>
      </c>
      <c r="G161" s="19" t="n">
        <v>88.541847</v>
      </c>
      <c r="H161" s="20" t="n">
        <f aca="false">IF(OR(G161="",G161=0),"",(F161-G161)/G161)</f>
        <v>0</v>
      </c>
      <c r="I161" s="19" t="n">
        <v>511.032069</v>
      </c>
      <c r="J161" s="19" t="n">
        <v>511.032069</v>
      </c>
      <c r="K161" s="20" t="n">
        <f aca="false">IF(OR(J161="",J161=0),"",(I161-J161)/J161)</f>
        <v>0</v>
      </c>
      <c r="L161" s="21" t="str">
        <f aca="false">IF(OR(D161="",G161="",J161=""),"No reported subtotal",IF(AND(ABS(N(E161))&lt;=$D$2,ABS(N(H161))&lt;=$D$2,ABS(N(K161))&lt;=$D$2),"Reconciles within tolerance","Outside tolerance"))</f>
        <v>Reconciles within tolerance</v>
      </c>
    </row>
    <row r="162" customFormat="false" ht="15" hidden="false" customHeight="false" outlineLevel="0" collapsed="false">
      <c r="A162" s="7" t="n">
        <v>2000</v>
      </c>
      <c r="B162" s="15" t="s">
        <v>101</v>
      </c>
      <c r="C162" s="19" t="n">
        <v>58.333212</v>
      </c>
      <c r="D162" s="19" t="n">
        <v>58.333212</v>
      </c>
      <c r="E162" s="20" t="n">
        <f aca="false">IF(OR(D162="",D162=0),"",(C162-D162)/D162)</f>
        <v>0</v>
      </c>
      <c r="F162" s="19" t="n">
        <v>52.097101</v>
      </c>
      <c r="G162" s="19" t="n">
        <v>52.097101</v>
      </c>
      <c r="H162" s="20" t="n">
        <f aca="false">IF(OR(G162="",G162=0),"",(F162-G162)/G162)</f>
        <v>0</v>
      </c>
      <c r="I162" s="19" t="n">
        <v>29.98762</v>
      </c>
      <c r="J162" s="19" t="n">
        <v>29.98762</v>
      </c>
      <c r="K162" s="20" t="n">
        <f aca="false">IF(OR(J162="",J162=0),"",(I162-J162)/J162)</f>
        <v>0</v>
      </c>
      <c r="L162" s="21" t="str">
        <f aca="false">IF(OR(D162="",G162="",J162=""),"No reported subtotal",IF(AND(ABS(N(E162))&lt;=$D$2,ABS(N(H162))&lt;=$D$2,ABS(N(K162))&lt;=$D$2),"Reconciles within tolerance","Outside tolerance"))</f>
        <v>Reconciles within tolerance</v>
      </c>
    </row>
    <row r="163" customFormat="false" ht="15" hidden="false" customHeight="false" outlineLevel="0" collapsed="false">
      <c r="A163" s="7" t="n">
        <v>2001</v>
      </c>
      <c r="B163" s="15" t="s">
        <v>101</v>
      </c>
      <c r="C163" s="19" t="n">
        <v>50.480125</v>
      </c>
      <c r="D163" s="19" t="n">
        <v>50.480125</v>
      </c>
      <c r="E163" s="20" t="n">
        <f aca="false">IF(OR(D163="",D163=0),"",(C163-D163)/D163)</f>
        <v>0</v>
      </c>
      <c r="F163" s="19" t="n">
        <v>22.972715</v>
      </c>
      <c r="G163" s="19" t="n">
        <v>22.972715</v>
      </c>
      <c r="H163" s="20" t="n">
        <f aca="false">IF(OR(G163="",G163=0),"",(F163-G163)/G163)</f>
        <v>0</v>
      </c>
      <c r="I163" s="19" t="n">
        <v>31.219281</v>
      </c>
      <c r="J163" s="19" t="n">
        <v>31.219281</v>
      </c>
      <c r="K163" s="20" t="n">
        <f aca="false">IF(OR(J163="",J163=0),"",(I163-J163)/J163)</f>
        <v>0</v>
      </c>
      <c r="L163" s="21" t="str">
        <f aca="false">IF(OR(D163="",G163="",J163=""),"No reported subtotal",IF(AND(ABS(N(E163))&lt;=$D$2,ABS(N(H163))&lt;=$D$2,ABS(N(K163))&lt;=$D$2),"Reconciles within tolerance","Outside tolerance"))</f>
        <v>Reconciles within tolerance</v>
      </c>
    </row>
    <row r="164" customFormat="false" ht="15" hidden="false" customHeight="false" outlineLevel="0" collapsed="false">
      <c r="A164" s="7" t="n">
        <v>2002</v>
      </c>
      <c r="B164" s="15" t="s">
        <v>101</v>
      </c>
      <c r="C164" s="19" t="n">
        <v>51.587632</v>
      </c>
      <c r="D164" s="19" t="n">
        <v>51.587632</v>
      </c>
      <c r="E164" s="20" t="n">
        <f aca="false">IF(OR(D164="",D164=0),"",(C164-D164)/D164)</f>
        <v>0</v>
      </c>
      <c r="F164" s="19" t="n">
        <v>18.535717</v>
      </c>
      <c r="G164" s="19" t="n">
        <v>18.535717</v>
      </c>
      <c r="H164" s="20" t="n">
        <f aca="false">IF(OR(G164="",G164=0),"",(F164-G164)/G164)</f>
        <v>0</v>
      </c>
      <c r="I164" s="19" t="n">
        <v>35.893336</v>
      </c>
      <c r="J164" s="19" t="n">
        <v>35.893336</v>
      </c>
      <c r="K164" s="20" t="n">
        <f aca="false">IF(OR(J164="",J164=0),"",(I164-J164)/J164)</f>
        <v>0</v>
      </c>
      <c r="L164" s="21" t="str">
        <f aca="false">IF(OR(D164="",G164="",J164=""),"No reported subtotal",IF(AND(ABS(N(E164))&lt;=$D$2,ABS(N(H164))&lt;=$D$2,ABS(N(K164))&lt;=$D$2),"Reconciles within tolerance","Outside tolerance"))</f>
        <v>Reconciles within tolerance</v>
      </c>
    </row>
    <row r="165" customFormat="false" ht="15" hidden="false" customHeight="false" outlineLevel="0" collapsed="false">
      <c r="A165" s="7" t="n">
        <v>2003</v>
      </c>
      <c r="B165" s="15" t="s">
        <v>101</v>
      </c>
      <c r="C165" s="19" t="n">
        <v>56.673713</v>
      </c>
      <c r="D165" s="19" t="n">
        <v>56.673713</v>
      </c>
      <c r="E165" s="20" t="n">
        <f aca="false">IF(OR(D165="",D165=0),"",(C165-D165)/D165)</f>
        <v>0</v>
      </c>
      <c r="F165" s="19" t="n">
        <v>26.916272</v>
      </c>
      <c r="G165" s="19" t="n">
        <v>26.916272</v>
      </c>
      <c r="H165" s="20" t="n">
        <f aca="false">IF(OR(G165="",G165=0),"",(F165-G165)/G165)</f>
        <v>0</v>
      </c>
      <c r="I165" s="19" t="n">
        <v>57.245981</v>
      </c>
      <c r="J165" s="19" t="n">
        <v>57.245981</v>
      </c>
      <c r="K165" s="20" t="n">
        <f aca="false">IF(OR(J165="",J165=0),"",(I165-J165)/J165)</f>
        <v>0</v>
      </c>
      <c r="L165" s="21" t="str">
        <f aca="false">IF(OR(D165="",G165="",J165=""),"No reported subtotal",IF(AND(ABS(N(E165))&lt;=$D$2,ABS(N(H165))&lt;=$D$2,ABS(N(K165))&lt;=$D$2),"Reconciles within tolerance","Outside tolerance"))</f>
        <v>Reconciles within tolerance</v>
      </c>
    </row>
    <row r="166" customFormat="false" ht="15" hidden="false" customHeight="false" outlineLevel="0" collapsed="false">
      <c r="A166" s="7" t="n">
        <v>2004</v>
      </c>
      <c r="B166" s="15" t="s">
        <v>101</v>
      </c>
      <c r="C166" s="19" t="n">
        <v>41.35222</v>
      </c>
      <c r="D166" s="19" t="n">
        <v>41.35222</v>
      </c>
      <c r="E166" s="20" t="n">
        <f aca="false">IF(OR(D166="",D166=0),"",(C166-D166)/D166)</f>
        <v>0</v>
      </c>
      <c r="F166" s="19" t="n">
        <v>27.202062</v>
      </c>
      <c r="G166" s="19" t="n">
        <v>27.202062</v>
      </c>
      <c r="H166" s="20" t="n">
        <f aca="false">IF(OR(G166="",G166=0),"",(F166-G166)/G166)</f>
        <v>0</v>
      </c>
      <c r="I166" s="19" t="n">
        <v>54.075849</v>
      </c>
      <c r="J166" s="19" t="n">
        <v>54.075849</v>
      </c>
      <c r="K166" s="20" t="n">
        <f aca="false">IF(OR(J166="",J166=0),"",(I166-J166)/J166)</f>
        <v>0</v>
      </c>
      <c r="L166" s="21" t="str">
        <f aca="false">IF(OR(D166="",G166="",J166=""),"No reported subtotal",IF(AND(ABS(N(E166))&lt;=$D$2,ABS(N(H166))&lt;=$D$2,ABS(N(K166))&lt;=$D$2),"Reconciles within tolerance","Outside tolerance"))</f>
        <v>Reconciles within tolerance</v>
      </c>
    </row>
    <row r="167" customFormat="false" ht="15" hidden="false" customHeight="false" outlineLevel="0" collapsed="false">
      <c r="A167" s="7" t="n">
        <v>2005</v>
      </c>
      <c r="B167" s="15" t="s">
        <v>101</v>
      </c>
      <c r="C167" s="19" t="n">
        <v>51.431396</v>
      </c>
      <c r="D167" s="19" t="n">
        <v>51.431396</v>
      </c>
      <c r="E167" s="20" t="n">
        <f aca="false">IF(OR(D167="",D167=0),"",(C167-D167)/D167)</f>
        <v>0</v>
      </c>
      <c r="F167" s="19" t="n">
        <v>29.955962</v>
      </c>
      <c r="G167" s="19" t="n">
        <v>29.955962</v>
      </c>
      <c r="H167" s="20" t="n">
        <f aca="false">IF(OR(G167="",G167=0),"",(F167-G167)/G167)</f>
        <v>0</v>
      </c>
      <c r="I167" s="19" t="n">
        <v>77.57642</v>
      </c>
      <c r="J167" s="19" t="n">
        <v>77.57642</v>
      </c>
      <c r="K167" s="20" t="n">
        <f aca="false">IF(OR(J167="",J167=0),"",(I167-J167)/J167)</f>
        <v>0</v>
      </c>
      <c r="L167" s="21" t="str">
        <f aca="false">IF(OR(D167="",G167="",J167=""),"No reported subtotal",IF(AND(ABS(N(E167))&lt;=$D$2,ABS(N(H167))&lt;=$D$2,ABS(N(K167))&lt;=$D$2),"Reconciles within tolerance","Outside tolerance"))</f>
        <v>Reconciles within tolerance</v>
      </c>
    </row>
    <row r="168" customFormat="false" ht="15" hidden="false" customHeight="false" outlineLevel="0" collapsed="false">
      <c r="A168" s="7" t="n">
        <v>2006</v>
      </c>
      <c r="B168" s="15" t="s">
        <v>101</v>
      </c>
      <c r="C168" s="19" t="n">
        <v>51.339538</v>
      </c>
      <c r="D168" s="19" t="n">
        <v>51.339538</v>
      </c>
      <c r="E168" s="20" t="n">
        <f aca="false">IF(OR(D168="",D168=0),"",(C168-D168)/D168)</f>
        <v>0</v>
      </c>
      <c r="F168" s="19" t="n">
        <v>32.10322</v>
      </c>
      <c r="G168" s="19" t="n">
        <v>32.10322</v>
      </c>
      <c r="H168" s="20" t="n">
        <f aca="false">IF(OR(G168="",G168=0),"",(F168-G168)/G168)</f>
        <v>0</v>
      </c>
      <c r="I168" s="19" t="n">
        <v>74.851378</v>
      </c>
      <c r="J168" s="19" t="n">
        <v>74.851378</v>
      </c>
      <c r="K168" s="20" t="n">
        <f aca="false">IF(OR(J168="",J168=0),"",(I168-J168)/J168)</f>
        <v>0</v>
      </c>
      <c r="L168" s="21" t="str">
        <f aca="false">IF(OR(D168="",G168="",J168=""),"No reported subtotal",IF(AND(ABS(N(E168))&lt;=$D$2,ABS(N(H168))&lt;=$D$2,ABS(N(K168))&lt;=$D$2),"Reconciles within tolerance","Outside tolerance"))</f>
        <v>Reconciles within tolerance</v>
      </c>
    </row>
    <row r="169" customFormat="false" ht="15" hidden="false" customHeight="false" outlineLevel="0" collapsed="false">
      <c r="A169" s="7" t="n">
        <v>2007</v>
      </c>
      <c r="B169" s="15" t="s">
        <v>101</v>
      </c>
      <c r="C169" s="19" t="n">
        <v>52.79573</v>
      </c>
      <c r="D169" s="19" t="n">
        <v>52.79573</v>
      </c>
      <c r="E169" s="20" t="n">
        <f aca="false">IF(OR(D169="",D169=0),"",(C169-D169)/D169)</f>
        <v>0</v>
      </c>
      <c r="F169" s="19" t="n">
        <v>35.715981</v>
      </c>
      <c r="G169" s="19" t="n">
        <v>35.715981</v>
      </c>
      <c r="H169" s="20" t="n">
        <f aca="false">IF(OR(G169="",G169=0),"",(F169-G169)/G169)</f>
        <v>0</v>
      </c>
      <c r="I169" s="19" t="n">
        <v>110.733087</v>
      </c>
      <c r="J169" s="19" t="n">
        <v>110.733087</v>
      </c>
      <c r="K169" s="20" t="n">
        <f aca="false">IF(OR(J169="",J169=0),"",(I169-J169)/J169)</f>
        <v>0</v>
      </c>
      <c r="L169" s="21" t="str">
        <f aca="false">IF(OR(D169="",G169="",J169=""),"No reported subtotal",IF(AND(ABS(N(E169))&lt;=$D$2,ABS(N(H169))&lt;=$D$2,ABS(N(K169))&lt;=$D$2),"Reconciles within tolerance","Outside tolerance"))</f>
        <v>Reconciles within tolerance</v>
      </c>
    </row>
    <row r="170" customFormat="false" ht="15" hidden="false" customHeight="false" outlineLevel="0" collapsed="false">
      <c r="A170" s="7" t="n">
        <v>2008</v>
      </c>
      <c r="B170" s="15" t="s">
        <v>101</v>
      </c>
      <c r="C170" s="19" t="n">
        <v>62.06567</v>
      </c>
      <c r="D170" s="19" t="n">
        <v>62.06567</v>
      </c>
      <c r="E170" s="20" t="n">
        <f aca="false">IF(OR(D170="",D170=0),"",(C170-D170)/D170)</f>
        <v>0</v>
      </c>
      <c r="F170" s="19" t="n">
        <v>31.318751</v>
      </c>
      <c r="G170" s="19" t="n">
        <v>31.318751</v>
      </c>
      <c r="H170" s="20" t="n">
        <f aca="false">IF(OR(G170="",G170=0),"",(F170-G170)/G170)</f>
        <v>0</v>
      </c>
      <c r="I170" s="19" t="n">
        <v>107.67591</v>
      </c>
      <c r="J170" s="19" t="n">
        <v>107.67591</v>
      </c>
      <c r="K170" s="20" t="n">
        <f aca="false">IF(OR(J170="",J170=0),"",(I170-J170)/J170)</f>
        <v>0</v>
      </c>
      <c r="L170" s="21" t="str">
        <f aca="false">IF(OR(D170="",G170="",J170=""),"No reported subtotal",IF(AND(ABS(N(E170))&lt;=$D$2,ABS(N(H170))&lt;=$D$2,ABS(N(K170))&lt;=$D$2),"Reconciles within tolerance","Outside tolerance"))</f>
        <v>Reconciles within tolerance</v>
      </c>
    </row>
    <row r="171" customFormat="false" ht="15" hidden="false" customHeight="false" outlineLevel="0" collapsed="false">
      <c r="A171" s="7" t="n">
        <v>2009</v>
      </c>
      <c r="B171" s="15" t="s">
        <v>101</v>
      </c>
      <c r="C171" s="19" t="n">
        <v>38.396299</v>
      </c>
      <c r="D171" s="19" t="n">
        <v>38.396299</v>
      </c>
      <c r="E171" s="20" t="n">
        <f aca="false">IF(OR(D171="",D171=0),"",(C171-D171)/D171)</f>
        <v>0</v>
      </c>
      <c r="F171" s="19" t="n">
        <v>28.678265</v>
      </c>
      <c r="G171" s="19" t="n">
        <v>28.678265</v>
      </c>
      <c r="H171" s="20" t="n">
        <f aca="false">IF(OR(G171="",G171=0),"",(F171-G171)/G171)</f>
        <v>0</v>
      </c>
      <c r="I171" s="19" t="n">
        <v>87.02553</v>
      </c>
      <c r="J171" s="19" t="n">
        <v>87.02553</v>
      </c>
      <c r="K171" s="20" t="n">
        <f aca="false">IF(OR(J171="",J171=0),"",(I171-J171)/J171)</f>
        <v>0</v>
      </c>
      <c r="L171" s="21" t="str">
        <f aca="false">IF(OR(D171="",G171="",J171=""),"No reported subtotal",IF(AND(ABS(N(E171))&lt;=$D$2,ABS(N(H171))&lt;=$D$2,ABS(N(K171))&lt;=$D$2),"Reconciles within tolerance","Outside tolerance"))</f>
        <v>Reconciles within tolerance</v>
      </c>
    </row>
    <row r="172" customFormat="false" ht="15" hidden="false" customHeight="false" outlineLevel="0" collapsed="false">
      <c r="A172" s="7" t="n">
        <v>2010</v>
      </c>
      <c r="B172" s="15" t="s">
        <v>101</v>
      </c>
      <c r="C172" s="19" t="n">
        <v>42.838939</v>
      </c>
      <c r="D172" s="19" t="n">
        <v>42.838939</v>
      </c>
      <c r="E172" s="20" t="n">
        <f aca="false">IF(OR(D172="",D172=0),"",(C172-D172)/D172)</f>
        <v>0</v>
      </c>
      <c r="F172" s="19" t="n">
        <v>29.946873</v>
      </c>
      <c r="G172" s="19" t="n">
        <v>29.946873</v>
      </c>
      <c r="H172" s="20" t="n">
        <f aca="false">IF(OR(G172="",G172=0),"",(F172-G172)/G172)</f>
        <v>0</v>
      </c>
      <c r="I172" s="19" t="n">
        <v>91.107647</v>
      </c>
      <c r="J172" s="19" t="n">
        <v>91.107647</v>
      </c>
      <c r="K172" s="20" t="n">
        <f aca="false">IF(OR(J172="",J172=0),"",(I172-J172)/J172)</f>
        <v>0</v>
      </c>
      <c r="L172" s="21" t="str">
        <f aca="false">IF(OR(D172="",G172="",J172=""),"No reported subtotal",IF(AND(ABS(N(E172))&lt;=$D$2,ABS(N(H172))&lt;=$D$2,ABS(N(K172))&lt;=$D$2),"Reconciles within tolerance","Outside tolerance"))</f>
        <v>Reconciles within tolerance</v>
      </c>
    </row>
    <row r="173" customFormat="false" ht="15" hidden="false" customHeight="false" outlineLevel="0" collapsed="false">
      <c r="A173" s="7" t="n">
        <v>2011</v>
      </c>
      <c r="B173" s="15" t="s">
        <v>101</v>
      </c>
      <c r="C173" s="19" t="n">
        <v>39.997748</v>
      </c>
      <c r="D173" s="19" t="n">
        <v>39.997748</v>
      </c>
      <c r="E173" s="20" t="n">
        <f aca="false">IF(OR(D173="",D173=0),"",(C173-D173)/D173)</f>
        <v>0</v>
      </c>
      <c r="F173" s="19" t="n">
        <v>29.591602</v>
      </c>
      <c r="G173" s="19" t="n">
        <v>29.591602</v>
      </c>
      <c r="H173" s="20" t="n">
        <f aca="false">IF(OR(G173="",G173=0),"",(F173-G173)/G173)</f>
        <v>0</v>
      </c>
      <c r="I173" s="19" t="n">
        <v>88.096472</v>
      </c>
      <c r="J173" s="19" t="n">
        <v>88.096472</v>
      </c>
      <c r="K173" s="20" t="n">
        <f aca="false">IF(OR(J173="",J173=0),"",(I173-J173)/J173)</f>
        <v>0</v>
      </c>
      <c r="L173" s="21" t="str">
        <f aca="false">IF(OR(D173="",G173="",J173=""),"No reported subtotal",IF(AND(ABS(N(E173))&lt;=$D$2,ABS(N(H173))&lt;=$D$2,ABS(N(K173))&lt;=$D$2),"Reconciles within tolerance","Outside tolerance"))</f>
        <v>Reconciles within tolerance</v>
      </c>
    </row>
    <row r="174" customFormat="false" ht="15" hidden="false" customHeight="false" outlineLevel="0" collapsed="false">
      <c r="A174" s="7" t="n">
        <v>2012</v>
      </c>
      <c r="B174" s="15" t="s">
        <v>101</v>
      </c>
      <c r="C174" s="19" t="n">
        <v>48.791592</v>
      </c>
      <c r="D174" s="19" t="n">
        <v>48.791592</v>
      </c>
      <c r="E174" s="20" t="n">
        <f aca="false">IF(OR(D174="",D174=0),"",(C174-D174)/D174)</f>
        <v>0</v>
      </c>
      <c r="F174" s="19" t="n">
        <v>46.834057</v>
      </c>
      <c r="G174" s="19" t="n">
        <v>46.834057</v>
      </c>
      <c r="H174" s="20" t="n">
        <f aca="false">IF(OR(G174="",G174=0),"",(F174-G174)/G174)</f>
        <v>0</v>
      </c>
      <c r="I174" s="19" t="n">
        <v>139.991763</v>
      </c>
      <c r="J174" s="19" t="n">
        <v>139.991763</v>
      </c>
      <c r="K174" s="20" t="n">
        <f aca="false">IF(OR(J174="",J174=0),"",(I174-J174)/J174)</f>
        <v>0</v>
      </c>
      <c r="L174" s="21" t="str">
        <f aca="false">IF(OR(D174="",G174="",J174=""),"No reported subtotal",IF(AND(ABS(N(E174))&lt;=$D$2,ABS(N(H174))&lt;=$D$2,ABS(N(K174))&lt;=$D$2),"Reconciles within tolerance","Outside tolerance"))</f>
        <v>Reconciles within tolerance</v>
      </c>
    </row>
    <row r="175" customFormat="false" ht="15" hidden="false" customHeight="false" outlineLevel="0" collapsed="false">
      <c r="A175" s="7" t="n">
        <v>2013</v>
      </c>
      <c r="B175" s="15" t="s">
        <v>101</v>
      </c>
      <c r="C175" s="19" t="n">
        <v>35.045613</v>
      </c>
      <c r="D175" s="19" t="n">
        <v>35.045613</v>
      </c>
      <c r="E175" s="20" t="n">
        <f aca="false">IF(OR(D175="",D175=0),"",(C175-D175)/D175)</f>
        <v>0</v>
      </c>
      <c r="F175" s="19" t="n">
        <v>36.081876</v>
      </c>
      <c r="G175" s="19" t="n">
        <v>36.081876</v>
      </c>
      <c r="H175" s="20" t="n">
        <f aca="false">IF(OR(G175="",G175=0),"",(F175-G175)/G175)</f>
        <v>0</v>
      </c>
      <c r="I175" s="19" t="n">
        <v>87.701456</v>
      </c>
      <c r="J175" s="19" t="n">
        <v>87.701456</v>
      </c>
      <c r="K175" s="20" t="n">
        <f aca="false">IF(OR(J175="",J175=0),"",(I175-J175)/J175)</f>
        <v>0</v>
      </c>
      <c r="L175" s="21" t="str">
        <f aca="false">IF(OR(D175="",G175="",J175=""),"No reported subtotal",IF(AND(ABS(N(E175))&lt;=$D$2,ABS(N(H175))&lt;=$D$2,ABS(N(K175))&lt;=$D$2),"Reconciles within tolerance","Outside tolerance"))</f>
        <v>Reconciles within tolerance</v>
      </c>
    </row>
    <row r="176" customFormat="false" ht="15" hidden="false" customHeight="false" outlineLevel="0" collapsed="false">
      <c r="A176" s="7" t="n">
        <v>2014</v>
      </c>
      <c r="B176" s="15" t="s">
        <v>101</v>
      </c>
      <c r="C176" s="19" t="n">
        <v>36.239159</v>
      </c>
      <c r="D176" s="19" t="n">
        <v>36.239159</v>
      </c>
      <c r="E176" s="20" t="n">
        <f aca="false">IF(OR(D176="",D176=0),"",(C176-D176)/D176)</f>
        <v>0</v>
      </c>
      <c r="F176" s="19" t="n">
        <v>34.912735</v>
      </c>
      <c r="G176" s="19" t="n">
        <v>34.912735</v>
      </c>
      <c r="H176" s="20" t="n">
        <f aca="false">IF(OR(G176="",G176=0),"",(F176-G176)/G176)</f>
        <v>0</v>
      </c>
      <c r="I176" s="19" t="n">
        <v>86.646972</v>
      </c>
      <c r="J176" s="19" t="n">
        <v>86.646972</v>
      </c>
      <c r="K176" s="20" t="n">
        <f aca="false">IF(OR(J176="",J176=0),"",(I176-J176)/J176)</f>
        <v>0</v>
      </c>
      <c r="L176" s="21" t="str">
        <f aca="false">IF(OR(D176="",G176="",J176=""),"No reported subtotal",IF(AND(ABS(N(E176))&lt;=$D$2,ABS(N(H176))&lt;=$D$2,ABS(N(K176))&lt;=$D$2),"Reconciles within tolerance","Outside tolerance"))</f>
        <v>Reconciles within tolerance</v>
      </c>
    </row>
    <row r="177" customFormat="false" ht="15" hidden="false" customHeight="false" outlineLevel="0" collapsed="false">
      <c r="A177" s="7" t="n">
        <v>2015</v>
      </c>
      <c r="B177" s="15" t="s">
        <v>101</v>
      </c>
      <c r="C177" s="19" t="n">
        <v>42.853807</v>
      </c>
      <c r="D177" s="19" t="n">
        <v>42.853807</v>
      </c>
      <c r="E177" s="20" t="n">
        <f aca="false">IF(OR(D177="",D177=0),"",(C177-D177)/D177)</f>
        <v>0</v>
      </c>
      <c r="F177" s="19" t="n">
        <v>37.17818</v>
      </c>
      <c r="G177" s="19" t="n">
        <v>37.17818</v>
      </c>
      <c r="H177" s="20" t="n">
        <f aca="false">IF(OR(G177="",G177=0),"",(F177-G177)/G177)</f>
        <v>0</v>
      </c>
      <c r="I177" s="19" t="n">
        <v>83.331273</v>
      </c>
      <c r="J177" s="19" t="n">
        <v>83.331273</v>
      </c>
      <c r="K177" s="20" t="n">
        <f aca="false">IF(OR(J177="",J177=0),"",(I177-J177)/J177)</f>
        <v>0</v>
      </c>
      <c r="L177" s="21" t="str">
        <f aca="false">IF(OR(D177="",G177="",J177=""),"No reported subtotal",IF(AND(ABS(N(E177))&lt;=$D$2,ABS(N(H177))&lt;=$D$2,ABS(N(K177))&lt;=$D$2),"Reconciles within tolerance","Outside tolerance"))</f>
        <v>Reconciles within tolerance</v>
      </c>
    </row>
    <row r="178" customFormat="false" ht="15" hidden="false" customHeight="false" outlineLevel="0" collapsed="false">
      <c r="A178" s="7" t="n">
        <v>2016</v>
      </c>
      <c r="B178" s="15" t="s">
        <v>101</v>
      </c>
      <c r="C178" s="19" t="n">
        <v>47.82676</v>
      </c>
      <c r="D178" s="19" t="n">
        <v>47.82676</v>
      </c>
      <c r="E178" s="20" t="n">
        <f aca="false">IF(OR(D178="",D178=0),"",(C178-D178)/D178)</f>
        <v>0</v>
      </c>
      <c r="F178" s="19" t="n">
        <v>31.933321</v>
      </c>
      <c r="G178" s="19" t="n">
        <v>31.933321</v>
      </c>
      <c r="H178" s="20" t="n">
        <f aca="false">IF(OR(G178="",G178=0),"",(F178-G178)/G178)</f>
        <v>0</v>
      </c>
      <c r="I178" s="19" t="n">
        <v>105.433793</v>
      </c>
      <c r="J178" s="19" t="n">
        <v>105.433793</v>
      </c>
      <c r="K178" s="20" t="n">
        <f aca="false">IF(OR(J178="",J178=0),"",(I178-J178)/J178)</f>
        <v>0</v>
      </c>
      <c r="L178" s="21" t="str">
        <f aca="false">IF(OR(D178="",G178="",J178=""),"No reported subtotal",IF(AND(ABS(N(E178))&lt;=$D$2,ABS(N(H178))&lt;=$D$2,ABS(N(K178))&lt;=$D$2),"Reconciles within tolerance","Outside tolerance"))</f>
        <v>Reconciles within tolerance</v>
      </c>
    </row>
    <row r="179" customFormat="false" ht="15" hidden="false" customHeight="false" outlineLevel="0" collapsed="false">
      <c r="A179" s="7" t="n">
        <v>2017</v>
      </c>
      <c r="B179" s="15" t="s">
        <v>101</v>
      </c>
      <c r="C179" s="19" t="n">
        <v>53.812973</v>
      </c>
      <c r="D179" s="19" t="n">
        <v>53.812973</v>
      </c>
      <c r="E179" s="20" t="n">
        <f aca="false">IF(OR(D179="",D179=0),"",(C179-D179)/D179)</f>
        <v>0</v>
      </c>
      <c r="F179" s="19" t="n">
        <v>41.758714</v>
      </c>
      <c r="G179" s="19" t="n">
        <v>41.758714</v>
      </c>
      <c r="H179" s="20" t="n">
        <f aca="false">IF(OR(G179="",G179=0),"",(F179-G179)/G179)</f>
        <v>0</v>
      </c>
      <c r="I179" s="19" t="n">
        <v>96.725141</v>
      </c>
      <c r="J179" s="19" t="n">
        <v>96.725141</v>
      </c>
      <c r="K179" s="20" t="n">
        <f aca="false">IF(OR(J179="",J179=0),"",(I179-J179)/J179)</f>
        <v>0</v>
      </c>
      <c r="L179" s="21" t="str">
        <f aca="false">IF(OR(D179="",G179="",J179=""),"No reported subtotal",IF(AND(ABS(N(E179))&lt;=$D$2,ABS(N(H179))&lt;=$D$2,ABS(N(K179))&lt;=$D$2),"Reconciles within tolerance","Outside tolerance"))</f>
        <v>Reconciles within tolerance</v>
      </c>
    </row>
    <row r="180" customFormat="false" ht="15" hidden="false" customHeight="false" outlineLevel="0" collapsed="false">
      <c r="A180" s="7" t="n">
        <v>2018</v>
      </c>
      <c r="B180" s="15" t="s">
        <v>101</v>
      </c>
      <c r="C180" s="19" t="n">
        <v>54.829994</v>
      </c>
      <c r="D180" s="19" t="n">
        <v>54.829994</v>
      </c>
      <c r="E180" s="20" t="n">
        <f aca="false">IF(OR(D180="",D180=0),"",(C180-D180)/D180)</f>
        <v>0</v>
      </c>
      <c r="F180" s="19" t="n">
        <v>47.998566</v>
      </c>
      <c r="G180" s="19" t="n">
        <v>47.998566</v>
      </c>
      <c r="H180" s="20" t="n">
        <f aca="false">IF(OR(G180="",G180=0),"",(F180-G180)/G180)</f>
        <v>0</v>
      </c>
      <c r="I180" s="19" t="n">
        <v>115.826064</v>
      </c>
      <c r="J180" s="19" t="n">
        <v>115.826064</v>
      </c>
      <c r="K180" s="20" t="n">
        <f aca="false">IF(OR(J180="",J180=0),"",(I180-J180)/J180)</f>
        <v>0</v>
      </c>
      <c r="L180" s="21" t="str">
        <f aca="false">IF(OR(D180="",G180="",J180=""),"No reported subtotal",IF(AND(ABS(N(E180))&lt;=$D$2,ABS(N(H180))&lt;=$D$2,ABS(N(K180))&lt;=$D$2),"Reconciles within tolerance","Outside tolerance"))</f>
        <v>Reconciles within tolerance</v>
      </c>
    </row>
    <row r="181" customFormat="false" ht="15" hidden="false" customHeight="false" outlineLevel="0" collapsed="false">
      <c r="A181" s="7" t="n">
        <v>2019</v>
      </c>
      <c r="B181" s="15" t="s">
        <v>101</v>
      </c>
      <c r="C181" s="19" t="n">
        <v>63.50708</v>
      </c>
      <c r="D181" s="19" t="n">
        <v>63.50708</v>
      </c>
      <c r="E181" s="20" t="n">
        <f aca="false">IF(OR(D181="",D181=0),"",(C181-D181)/D181)</f>
        <v>0</v>
      </c>
      <c r="F181" s="19" t="n">
        <v>46.113447</v>
      </c>
      <c r="G181" s="19" t="n">
        <v>46.113447</v>
      </c>
      <c r="H181" s="20" t="n">
        <f aca="false">IF(OR(G181="",G181=0),"",(F181-G181)/G181)</f>
        <v>0</v>
      </c>
      <c r="I181" s="19" t="n">
        <v>103.639216</v>
      </c>
      <c r="J181" s="19" t="n">
        <v>103.639216</v>
      </c>
      <c r="K181" s="20" t="n">
        <f aca="false">IF(OR(J181="",J181=0),"",(I181-J181)/J181)</f>
        <v>0</v>
      </c>
      <c r="L181" s="21" t="str">
        <f aca="false">IF(OR(D181="",G181="",J181=""),"No reported subtotal",IF(AND(ABS(N(E181))&lt;=$D$2,ABS(N(H181))&lt;=$D$2,ABS(N(K181))&lt;=$D$2),"Reconciles within tolerance","Outside tolerance"))</f>
        <v>Reconciles within tolerance</v>
      </c>
    </row>
    <row r="182" customFormat="false" ht="15" hidden="false" customHeight="false" outlineLevel="0" collapsed="false">
      <c r="A182" s="7" t="n">
        <v>2020</v>
      </c>
      <c r="B182" s="15" t="s">
        <v>101</v>
      </c>
      <c r="C182" s="19" t="n">
        <v>72.657684</v>
      </c>
      <c r="D182" s="19" t="n">
        <v>72.657684</v>
      </c>
      <c r="E182" s="20" t="n">
        <f aca="false">IF(OR(D182="",D182=0),"",(C182-D182)/D182)</f>
        <v>0</v>
      </c>
      <c r="F182" s="19" t="n">
        <v>56.568772</v>
      </c>
      <c r="G182" s="19" t="n">
        <v>56.568772</v>
      </c>
      <c r="H182" s="20" t="n">
        <f aca="false">IF(OR(G182="",G182=0),"",(F182-G182)/G182)</f>
        <v>0</v>
      </c>
      <c r="I182" s="19" t="n">
        <v>129.635206</v>
      </c>
      <c r="J182" s="19" t="n">
        <v>129.635206</v>
      </c>
      <c r="K182" s="20" t="n">
        <f aca="false">IF(OR(J182="",J182=0),"",(I182-J182)/J182)</f>
        <v>0</v>
      </c>
      <c r="L182" s="21" t="str">
        <f aca="false">IF(OR(D182="",G182="",J182=""),"No reported subtotal",IF(AND(ABS(N(E182))&lt;=$D$2,ABS(N(H182))&lt;=$D$2,ABS(N(K182))&lt;=$D$2),"Reconciles within tolerance","Outside tolerance"))</f>
        <v>Reconciles within tolerance</v>
      </c>
    </row>
    <row r="183" customFormat="false" ht="15" hidden="false" customHeight="false" outlineLevel="0" collapsed="false">
      <c r="A183" s="7" t="n">
        <v>2021</v>
      </c>
      <c r="B183" s="15" t="s">
        <v>101</v>
      </c>
      <c r="C183" s="19" t="n">
        <v>76.516364</v>
      </c>
      <c r="D183" s="19" t="n">
        <v>76.516364</v>
      </c>
      <c r="E183" s="20" t="n">
        <f aca="false">IF(OR(D183="",D183=0),"",(C183-D183)/D183)</f>
        <v>0</v>
      </c>
      <c r="F183" s="19" t="n">
        <v>30.12492</v>
      </c>
      <c r="G183" s="19" t="n">
        <v>30.12492</v>
      </c>
      <c r="H183" s="20" t="n">
        <f aca="false">IF(OR(G183="",G183=0),"",(F183-G183)/G183)</f>
        <v>0</v>
      </c>
      <c r="I183" s="19" t="n">
        <v>182.381689</v>
      </c>
      <c r="J183" s="19" t="n">
        <v>182.381689</v>
      </c>
      <c r="K183" s="20" t="n">
        <f aca="false">IF(OR(J183="",J183=0),"",(I183-J183)/J183)</f>
        <v>0</v>
      </c>
      <c r="L183" s="21" t="str">
        <f aca="false">IF(OR(D183="",G183="",J183=""),"No reported subtotal",IF(AND(ABS(N(E183))&lt;=$D$2,ABS(N(H183))&lt;=$D$2,ABS(N(K183))&lt;=$D$2),"Reconciles within tolerance","Outside tolerance"))</f>
        <v>Reconciles within tolerance</v>
      </c>
    </row>
    <row r="184" customFormat="false" ht="15" hidden="false" customHeight="false" outlineLevel="0" collapsed="false">
      <c r="A184" s="7" t="n">
        <v>2022</v>
      </c>
      <c r="B184" s="15" t="s">
        <v>101</v>
      </c>
      <c r="C184" s="19" t="n">
        <v>77.380584</v>
      </c>
      <c r="D184" s="19" t="n">
        <v>77.380584</v>
      </c>
      <c r="E184" s="20" t="n">
        <f aca="false">IF(OR(D184="",D184=0),"",(C184-D184)/D184)</f>
        <v>0</v>
      </c>
      <c r="F184" s="19" t="n">
        <v>39.188008</v>
      </c>
      <c r="G184" s="19" t="n">
        <v>39.188008</v>
      </c>
      <c r="H184" s="20" t="n">
        <f aca="false">IF(OR(G184="",G184=0),"",(F184-G184)/G184)</f>
        <v>0</v>
      </c>
      <c r="I184" s="19" t="n">
        <v>142.144379</v>
      </c>
      <c r="J184" s="19" t="n">
        <v>142.144379</v>
      </c>
      <c r="K184" s="20" t="n">
        <f aca="false">IF(OR(J184="",J184=0),"",(I184-J184)/J184)</f>
        <v>0</v>
      </c>
      <c r="L184" s="21" t="str">
        <f aca="false">IF(OR(D184="",G184="",J184=""),"No reported subtotal",IF(AND(ABS(N(E184))&lt;=$D$2,ABS(N(H184))&lt;=$D$2,ABS(N(K184))&lt;=$D$2),"Reconciles within tolerance","Outside tolerance"))</f>
        <v>Reconciles within tolerance</v>
      </c>
    </row>
    <row r="185" customFormat="false" ht="15" hidden="false" customHeight="false" outlineLevel="0" collapsed="false">
      <c r="A185" s="7" t="n">
        <v>2023</v>
      </c>
      <c r="B185" s="15" t="s">
        <v>101</v>
      </c>
      <c r="C185" s="19" t="n">
        <v>86.70411</v>
      </c>
      <c r="D185" s="19" t="n">
        <v>86.70411</v>
      </c>
      <c r="E185" s="20" t="n">
        <f aca="false">IF(OR(D185="",D185=0),"",(C185-D185)/D185)</f>
        <v>0</v>
      </c>
      <c r="F185" s="19" t="n">
        <v>31.592275</v>
      </c>
      <c r="G185" s="19" t="n">
        <v>31.592275</v>
      </c>
      <c r="H185" s="20" t="n">
        <f aca="false">IF(OR(G185="",G185=0),"",(F185-G185)/G185)</f>
        <v>0</v>
      </c>
      <c r="I185" s="19" t="n">
        <v>115.481397</v>
      </c>
      <c r="J185" s="19" t="n">
        <v>115.481397</v>
      </c>
      <c r="K185" s="20" t="n">
        <f aca="false">IF(OR(J185="",J185=0),"",(I185-J185)/J185)</f>
        <v>0</v>
      </c>
      <c r="L185" s="21" t="str">
        <f aca="false">IF(OR(D185="",G185="",J185=""),"No reported subtotal",IF(AND(ABS(N(E185))&lt;=$D$2,ABS(N(H185))&lt;=$D$2,ABS(N(K185))&lt;=$D$2),"Reconciles within tolerance","Outside tolerance"))</f>
        <v>Reconciles within tolerance</v>
      </c>
    </row>
    <row r="186" customFormat="false" ht="15" hidden="false" customHeight="false" outlineLevel="0" collapsed="false">
      <c r="A186" s="7" t="n">
        <v>2024</v>
      </c>
      <c r="B186" s="15" t="s">
        <v>101</v>
      </c>
      <c r="C186" s="19" t="n">
        <v>166.01616</v>
      </c>
      <c r="D186" s="19" t="n">
        <v>166.01616</v>
      </c>
      <c r="E186" s="20" t="n">
        <f aca="false">IF(OR(D186="",D186=0),"",(C186-D186)/D186)</f>
        <v>0</v>
      </c>
      <c r="F186" s="19" t="n">
        <v>28.351719</v>
      </c>
      <c r="G186" s="19" t="n">
        <v>28.351719</v>
      </c>
      <c r="H186" s="20" t="n">
        <f aca="false">IF(OR(G186="",G186=0),"",(F186-G186)/G186)</f>
        <v>0</v>
      </c>
      <c r="I186" s="19" t="n">
        <v>137.468318</v>
      </c>
      <c r="J186" s="19" t="n">
        <v>137.468318</v>
      </c>
      <c r="K186" s="20" t="n">
        <f aca="false">IF(OR(J186="",J186=0),"",(I186-J186)/J186)</f>
        <v>0</v>
      </c>
      <c r="L186" s="21" t="str">
        <f aca="false">IF(OR(D186="",G186="",J186=""),"No reported subtotal",IF(AND(ABS(N(E186))&lt;=$D$2,ABS(N(H186))&lt;=$D$2,ABS(N(K186))&lt;=$D$2),"Reconciles within tolerance","Outside tolerance"))</f>
        <v>Reconciles within tolerance</v>
      </c>
    </row>
    <row r="187" customFormat="false" ht="15" hidden="false" customHeight="false" outlineLevel="0" collapsed="false">
      <c r="A187" s="7" t="n">
        <v>2025</v>
      </c>
      <c r="B187" s="15" t="s">
        <v>101</v>
      </c>
      <c r="C187" s="19" t="n">
        <v>75.895897</v>
      </c>
      <c r="D187" s="19" t="n">
        <v>75.895897</v>
      </c>
      <c r="E187" s="20" t="n">
        <f aca="false">IF(OR(D187="",D187=0),"",(C187-D187)/D187)</f>
        <v>0</v>
      </c>
      <c r="F187" s="19" t="n">
        <v>32.911024</v>
      </c>
      <c r="G187" s="19" t="n">
        <v>32.911024</v>
      </c>
      <c r="H187" s="20" t="n">
        <f aca="false">IF(OR(G187="",G187=0),"",(F187-G187)/G187)</f>
        <v>0</v>
      </c>
      <c r="I187" s="19" t="n">
        <v>176.358146</v>
      </c>
      <c r="J187" s="19" t="n">
        <v>176.358146</v>
      </c>
      <c r="K187" s="20" t="n">
        <f aca="false">IF(OR(J187="",J187=0),"",(I187-J187)/J187)</f>
        <v>0</v>
      </c>
      <c r="L187" s="21" t="str">
        <f aca="false">IF(OR(D187="",G187="",J187=""),"No reported subtotal",IF(AND(ABS(N(E187))&lt;=$D$2,ABS(N(H187))&lt;=$D$2,ABS(N(K187))&lt;=$D$2),"Reconciles within tolerance","Outside tolerance"))</f>
        <v>Reconciles within tolerance</v>
      </c>
    </row>
    <row r="188" customFormat="false" ht="15" hidden="false" customHeight="false" outlineLevel="0" collapsed="false">
      <c r="A188" s="7" t="n">
        <v>2000</v>
      </c>
      <c r="B188" s="15" t="s">
        <v>137</v>
      </c>
      <c r="C188" s="19" t="n">
        <v>93.482606</v>
      </c>
      <c r="D188" s="19" t="n">
        <v>93.482606</v>
      </c>
      <c r="E188" s="20" t="n">
        <f aca="false">IF(OR(D188="",D188=0),"",(C188-D188)/D188)</f>
        <v>0</v>
      </c>
      <c r="F188" s="19" t="n">
        <v>53.90191</v>
      </c>
      <c r="G188" s="19" t="n">
        <v>53.90191</v>
      </c>
      <c r="H188" s="20" t="n">
        <f aca="false">IF(OR(G188="",G188=0),"",(F188-G188)/G188)</f>
        <v>0</v>
      </c>
      <c r="I188" s="19" t="n">
        <v>176.409177</v>
      </c>
      <c r="J188" s="19" t="n">
        <v>176.409177</v>
      </c>
      <c r="K188" s="20" t="n">
        <f aca="false">IF(OR(J188="",J188=0),"",(I188-J188)/J188)</f>
        <v>0</v>
      </c>
      <c r="L188" s="21" t="str">
        <f aca="false">IF(OR(D188="",G188="",J188=""),"No reported subtotal",IF(AND(ABS(N(E188))&lt;=$D$2,ABS(N(H188))&lt;=$D$2,ABS(N(K188))&lt;=$D$2),"Reconciles within tolerance","Outside tolerance"))</f>
        <v>Reconciles within tolerance</v>
      </c>
    </row>
    <row r="189" customFormat="false" ht="15" hidden="false" customHeight="false" outlineLevel="0" collapsed="false">
      <c r="A189" s="7" t="n">
        <v>2001</v>
      </c>
      <c r="B189" s="15" t="s">
        <v>137</v>
      </c>
      <c r="C189" s="19" t="n">
        <v>106.011589</v>
      </c>
      <c r="D189" s="19" t="n">
        <v>106.011589</v>
      </c>
      <c r="E189" s="20" t="n">
        <f aca="false">IF(OR(D189="",D189=0),"",(C189-D189)/D189)</f>
        <v>0</v>
      </c>
      <c r="F189" s="19" t="n">
        <v>56.207473</v>
      </c>
      <c r="G189" s="19" t="n">
        <v>56.207473</v>
      </c>
      <c r="H189" s="20" t="n">
        <f aca="false">IF(OR(G189="",G189=0),"",(F189-G189)/G189)</f>
        <v>0</v>
      </c>
      <c r="I189" s="19" t="n">
        <v>179.403647</v>
      </c>
      <c r="J189" s="19" t="n">
        <v>179.403647</v>
      </c>
      <c r="K189" s="20" t="n">
        <f aca="false">IF(OR(J189="",J189=0),"",(I189-J189)/J189)</f>
        <v>0</v>
      </c>
      <c r="L189" s="21" t="str">
        <f aca="false">IF(OR(D189="",G189="",J189=""),"No reported subtotal",IF(AND(ABS(N(E189))&lt;=$D$2,ABS(N(H189))&lt;=$D$2,ABS(N(K189))&lt;=$D$2),"Reconciles within tolerance","Outside tolerance"))</f>
        <v>Reconciles within tolerance</v>
      </c>
    </row>
    <row r="190" customFormat="false" ht="15" hidden="false" customHeight="false" outlineLevel="0" collapsed="false">
      <c r="A190" s="7" t="n">
        <v>2005</v>
      </c>
      <c r="B190" s="15" t="s">
        <v>137</v>
      </c>
      <c r="C190" s="19" t="n">
        <v>134.014347</v>
      </c>
      <c r="D190" s="19" t="n">
        <v>134.014347</v>
      </c>
      <c r="E190" s="20" t="n">
        <f aca="false">IF(OR(D190="",D190=0),"",(C190-D190)/D190)</f>
        <v>0</v>
      </c>
      <c r="F190" s="19" t="n">
        <v>56.407762</v>
      </c>
      <c r="G190" s="19" t="n">
        <v>56.407762</v>
      </c>
      <c r="H190" s="20" t="n">
        <f aca="false">IF(OR(G190="",G190=0),"",(F190-G190)/G190)</f>
        <v>0</v>
      </c>
      <c r="I190" s="19" t="n">
        <v>180.254359</v>
      </c>
      <c r="J190" s="19" t="n">
        <v>180.254359</v>
      </c>
      <c r="K190" s="20" t="n">
        <f aca="false">IF(OR(J190="",J190=0),"",(I190-J190)/J190)</f>
        <v>0</v>
      </c>
      <c r="L190" s="21" t="str">
        <f aca="false">IF(OR(D190="",G190="",J190=""),"No reported subtotal",IF(AND(ABS(N(E190))&lt;=$D$2,ABS(N(H190))&lt;=$D$2,ABS(N(K190))&lt;=$D$2),"Reconciles within tolerance","Outside tolerance"))</f>
        <v>Reconciles within tolerance</v>
      </c>
    </row>
    <row r="191" customFormat="false" ht="15" hidden="false" customHeight="false" outlineLevel="0" collapsed="false">
      <c r="A191" s="7" t="n">
        <v>2006</v>
      </c>
      <c r="B191" s="15" t="s">
        <v>137</v>
      </c>
      <c r="C191" s="19" t="n">
        <v>174.651425</v>
      </c>
      <c r="D191" s="19" t="n">
        <v>174.651425</v>
      </c>
      <c r="E191" s="20" t="n">
        <f aca="false">IF(OR(D191="",D191=0),"",(C191-D191)/D191)</f>
        <v>0</v>
      </c>
      <c r="F191" s="19" t="n">
        <v>85.412316</v>
      </c>
      <c r="G191" s="19" t="n">
        <v>85.412316</v>
      </c>
      <c r="H191" s="20" t="n">
        <f aca="false">IF(OR(G191="",G191=0),"",(F191-G191)/G191)</f>
        <v>0</v>
      </c>
      <c r="I191" s="19" t="n">
        <v>226.204251</v>
      </c>
      <c r="J191" s="19" t="n">
        <v>226.204251</v>
      </c>
      <c r="K191" s="20" t="n">
        <f aca="false">IF(OR(J191="",J191=0),"",(I191-J191)/J191)</f>
        <v>0</v>
      </c>
      <c r="L191" s="21" t="str">
        <f aca="false">IF(OR(D191="",G191="",J191=""),"No reported subtotal",IF(AND(ABS(N(E191))&lt;=$D$2,ABS(N(H191))&lt;=$D$2,ABS(N(K191))&lt;=$D$2),"Reconciles within tolerance","Outside tolerance"))</f>
        <v>Reconciles within tolerance</v>
      </c>
    </row>
    <row r="192" customFormat="false" ht="15" hidden="false" customHeight="false" outlineLevel="0" collapsed="false">
      <c r="A192" s="7" t="n">
        <v>2007</v>
      </c>
      <c r="B192" s="15" t="s">
        <v>137</v>
      </c>
      <c r="C192" s="19" t="n">
        <v>150.721106</v>
      </c>
      <c r="D192" s="19" t="n">
        <v>150.721106</v>
      </c>
      <c r="E192" s="20" t="n">
        <f aca="false">IF(OR(D192="",D192=0),"",(C192-D192)/D192)</f>
        <v>0</v>
      </c>
      <c r="F192" s="19" t="n">
        <v>86.850415</v>
      </c>
      <c r="G192" s="19" t="n">
        <v>86.850415</v>
      </c>
      <c r="H192" s="20" t="n">
        <f aca="false">IF(OR(G192="",G192=0),"",(F192-G192)/G192)</f>
        <v>0</v>
      </c>
      <c r="I192" s="19" t="n">
        <v>199.732239</v>
      </c>
      <c r="J192" s="19" t="n">
        <v>199.732239</v>
      </c>
      <c r="K192" s="20" t="n">
        <f aca="false">IF(OR(J192="",J192=0),"",(I192-J192)/J192)</f>
        <v>0</v>
      </c>
      <c r="L192" s="21" t="str">
        <f aca="false">IF(OR(D192="",G192="",J192=""),"No reported subtotal",IF(AND(ABS(N(E192))&lt;=$D$2,ABS(N(H192))&lt;=$D$2,ABS(N(K192))&lt;=$D$2),"Reconciles within tolerance","Outside tolerance"))</f>
        <v>Reconciles within tolerance</v>
      </c>
    </row>
    <row r="193" customFormat="false" ht="15" hidden="false" customHeight="false" outlineLevel="0" collapsed="false">
      <c r="A193" s="7" t="n">
        <v>2008</v>
      </c>
      <c r="B193" s="15" t="s">
        <v>137</v>
      </c>
      <c r="C193" s="19" t="n">
        <v>154.121011</v>
      </c>
      <c r="D193" s="19" t="n">
        <v>154.121011</v>
      </c>
      <c r="E193" s="20" t="n">
        <f aca="false">IF(OR(D193="",D193=0),"",(C193-D193)/D193)</f>
        <v>0</v>
      </c>
      <c r="F193" s="19" t="n">
        <v>96.745094</v>
      </c>
      <c r="G193" s="19" t="n">
        <v>96.745094</v>
      </c>
      <c r="H193" s="20" t="n">
        <f aca="false">IF(OR(G193="",G193=0),"",(F193-G193)/G193)</f>
        <v>0</v>
      </c>
      <c r="I193" s="19" t="n">
        <v>289.617222</v>
      </c>
      <c r="J193" s="19" t="n">
        <v>289.617222</v>
      </c>
      <c r="K193" s="20" t="n">
        <f aca="false">IF(OR(J193="",J193=0),"",(I193-J193)/J193)</f>
        <v>0</v>
      </c>
      <c r="L193" s="21" t="str">
        <f aca="false">IF(OR(D193="",G193="",J193=""),"No reported subtotal",IF(AND(ABS(N(E193))&lt;=$D$2,ABS(N(H193))&lt;=$D$2,ABS(N(K193))&lt;=$D$2),"Reconciles within tolerance","Outside tolerance"))</f>
        <v>Reconciles within tolerance</v>
      </c>
    </row>
    <row r="194" customFormat="false" ht="15" hidden="false" customHeight="false" outlineLevel="0" collapsed="false">
      <c r="A194" s="7" t="n">
        <v>2009</v>
      </c>
      <c r="B194" s="15" t="s">
        <v>137</v>
      </c>
      <c r="C194" s="19" t="n">
        <v>142.488291</v>
      </c>
      <c r="D194" s="19" t="n">
        <v>142.488291</v>
      </c>
      <c r="E194" s="20" t="n">
        <f aca="false">IF(OR(D194="",D194=0),"",(C194-D194)/D194)</f>
        <v>0</v>
      </c>
      <c r="F194" s="19" t="n">
        <v>113.874866</v>
      </c>
      <c r="G194" s="19" t="n">
        <v>113.874866</v>
      </c>
      <c r="H194" s="20" t="n">
        <f aca="false">IF(OR(G194="",G194=0),"",(F194-G194)/G194)</f>
        <v>0</v>
      </c>
      <c r="I194" s="19" t="n">
        <v>253.121171</v>
      </c>
      <c r="J194" s="19" t="n">
        <v>253.121171</v>
      </c>
      <c r="K194" s="20" t="n">
        <f aca="false">IF(OR(J194="",J194=0),"",(I194-J194)/J194)</f>
        <v>0</v>
      </c>
      <c r="L194" s="21" t="str">
        <f aca="false">IF(OR(D194="",G194="",J194=""),"No reported subtotal",IF(AND(ABS(N(E194))&lt;=$D$2,ABS(N(H194))&lt;=$D$2,ABS(N(K194))&lt;=$D$2),"Reconciles within tolerance","Outside tolerance"))</f>
        <v>Reconciles within tolerance</v>
      </c>
    </row>
    <row r="195" customFormat="false" ht="15" hidden="false" customHeight="false" outlineLevel="0" collapsed="false">
      <c r="A195" s="7" t="n">
        <v>2010</v>
      </c>
      <c r="B195" s="15" t="s">
        <v>137</v>
      </c>
      <c r="C195" s="19" t="n">
        <v>133.282635</v>
      </c>
      <c r="D195" s="19" t="n">
        <v>133.282635</v>
      </c>
      <c r="E195" s="20" t="n">
        <f aca="false">IF(OR(D195="",D195=0),"",(C195-D195)/D195)</f>
        <v>0</v>
      </c>
      <c r="F195" s="19" t="n">
        <v>133.803475</v>
      </c>
      <c r="G195" s="19" t="n">
        <v>133.803475</v>
      </c>
      <c r="H195" s="20" t="n">
        <f aca="false">IF(OR(G195="",G195=0),"",(F195-G195)/G195)</f>
        <v>0</v>
      </c>
      <c r="I195" s="19" t="n">
        <v>289.344407</v>
      </c>
      <c r="J195" s="19" t="n">
        <v>289.344407</v>
      </c>
      <c r="K195" s="20" t="n">
        <f aca="false">IF(OR(J195="",J195=0),"",(I195-J195)/J195)</f>
        <v>0</v>
      </c>
      <c r="L195" s="21" t="str">
        <f aca="false">IF(OR(D195="",G195="",J195=""),"No reported subtotal",IF(AND(ABS(N(E195))&lt;=$D$2,ABS(N(H195))&lt;=$D$2,ABS(N(K195))&lt;=$D$2),"Reconciles within tolerance","Outside tolerance"))</f>
        <v>Reconciles within tolerance</v>
      </c>
    </row>
    <row r="196" customFormat="false" ht="15" hidden="false" customHeight="false" outlineLevel="0" collapsed="false">
      <c r="A196" s="7" t="n">
        <v>2011</v>
      </c>
      <c r="B196" s="15" t="s">
        <v>137</v>
      </c>
      <c r="C196" s="19" t="n">
        <v>175.98648</v>
      </c>
      <c r="D196" s="19" t="n">
        <v>175.98648</v>
      </c>
      <c r="E196" s="20" t="n">
        <f aca="false">IF(OR(D196="",D196=0),"",(C196-D196)/D196)</f>
        <v>0</v>
      </c>
      <c r="F196" s="19" t="n">
        <v>162.939629</v>
      </c>
      <c r="G196" s="19" t="n">
        <v>162.939629</v>
      </c>
      <c r="H196" s="20" t="n">
        <f aca="false">IF(OR(G196="",G196=0),"",(F196-G196)/G196)</f>
        <v>0</v>
      </c>
      <c r="I196" s="19" t="n">
        <v>307.115281</v>
      </c>
      <c r="J196" s="19" t="n">
        <v>307.115281</v>
      </c>
      <c r="K196" s="20" t="n">
        <f aca="false">IF(OR(J196="",J196=0),"",(I196-J196)/J196)</f>
        <v>0</v>
      </c>
      <c r="L196" s="21" t="str">
        <f aca="false">IF(OR(D196="",G196="",J196=""),"No reported subtotal",IF(AND(ABS(N(E196))&lt;=$D$2,ABS(N(H196))&lt;=$D$2,ABS(N(K196))&lt;=$D$2),"Reconciles within tolerance","Outside tolerance"))</f>
        <v>Reconciles within tolerance</v>
      </c>
    </row>
    <row r="197" customFormat="false" ht="15" hidden="false" customHeight="false" outlineLevel="0" collapsed="false">
      <c r="A197" s="7" t="n">
        <v>2012</v>
      </c>
      <c r="B197" s="15" t="s">
        <v>137</v>
      </c>
      <c r="C197" s="19" t="n">
        <v>179.351783</v>
      </c>
      <c r="D197" s="19" t="n">
        <v>179.351783</v>
      </c>
      <c r="E197" s="20" t="n">
        <f aca="false">IF(OR(D197="",D197=0),"",(C197-D197)/D197)</f>
        <v>0</v>
      </c>
      <c r="F197" s="19" t="n">
        <v>161.31916</v>
      </c>
      <c r="G197" s="19" t="n">
        <v>161.31916</v>
      </c>
      <c r="H197" s="20" t="n">
        <f aca="false">IF(OR(G197="",G197=0),"",(F197-G197)/G197)</f>
        <v>0</v>
      </c>
      <c r="I197" s="19" t="n">
        <v>325.300216</v>
      </c>
      <c r="J197" s="19" t="n">
        <v>325.300216</v>
      </c>
      <c r="K197" s="20" t="n">
        <f aca="false">IF(OR(J197="",J197=0),"",(I197-J197)/J197)</f>
        <v>0</v>
      </c>
      <c r="L197" s="21" t="str">
        <f aca="false">IF(OR(D197="",G197="",J197=""),"No reported subtotal",IF(AND(ABS(N(E197))&lt;=$D$2,ABS(N(H197))&lt;=$D$2,ABS(N(K197))&lt;=$D$2),"Reconciles within tolerance","Outside tolerance"))</f>
        <v>Reconciles within tolerance</v>
      </c>
    </row>
    <row r="198" customFormat="false" ht="15" hidden="false" customHeight="false" outlineLevel="0" collapsed="false">
      <c r="A198" s="7" t="n">
        <v>2013</v>
      </c>
      <c r="B198" s="15" t="s">
        <v>137</v>
      </c>
      <c r="C198" s="19" t="n">
        <v>203.882247</v>
      </c>
      <c r="D198" s="19" t="n">
        <v>203.882247</v>
      </c>
      <c r="E198" s="20" t="n">
        <f aca="false">IF(OR(D198="",D198=0),"",(C198-D198)/D198)</f>
        <v>0</v>
      </c>
      <c r="F198" s="19" t="n">
        <v>165.646433</v>
      </c>
      <c r="G198" s="19" t="n">
        <v>165.646433</v>
      </c>
      <c r="H198" s="20" t="n">
        <f aca="false">IF(OR(G198="",G198=0),"",(F198-G198)/G198)</f>
        <v>0</v>
      </c>
      <c r="I198" s="19" t="n">
        <v>350.005473</v>
      </c>
      <c r="J198" s="19" t="n">
        <v>350.005473</v>
      </c>
      <c r="K198" s="20" t="n">
        <f aca="false">IF(OR(J198="",J198=0),"",(I198-J198)/J198)</f>
        <v>0</v>
      </c>
      <c r="L198" s="21" t="str">
        <f aca="false">IF(OR(D198="",G198="",J198=""),"No reported subtotal",IF(AND(ABS(N(E198))&lt;=$D$2,ABS(N(H198))&lt;=$D$2,ABS(N(K198))&lt;=$D$2),"Reconciles within tolerance","Outside tolerance"))</f>
        <v>Reconciles within tolerance</v>
      </c>
    </row>
    <row r="199" customFormat="false" ht="15" hidden="false" customHeight="false" outlineLevel="0" collapsed="false">
      <c r="A199" s="7" t="n">
        <v>2014</v>
      </c>
      <c r="B199" s="15" t="s">
        <v>137</v>
      </c>
      <c r="C199" s="19" t="n">
        <v>183.777883</v>
      </c>
      <c r="D199" s="19" t="n">
        <v>183.777883</v>
      </c>
      <c r="E199" s="20" t="n">
        <f aca="false">IF(OR(D199="",D199=0),"",(C199-D199)/D199)</f>
        <v>0</v>
      </c>
      <c r="F199" s="19" t="n">
        <v>189.483903</v>
      </c>
      <c r="G199" s="19" t="n">
        <v>189.483903</v>
      </c>
      <c r="H199" s="20" t="n">
        <f aca="false">IF(OR(G199="",G199=0),"",(F199-G199)/G199)</f>
        <v>0</v>
      </c>
      <c r="I199" s="19" t="n">
        <v>382.395741</v>
      </c>
      <c r="J199" s="19" t="n">
        <v>382.395741</v>
      </c>
      <c r="K199" s="20" t="n">
        <f aca="false">IF(OR(J199="",J199=0),"",(I199-J199)/J199)</f>
        <v>0</v>
      </c>
      <c r="L199" s="21" t="str">
        <f aca="false">IF(OR(D199="",G199="",J199=""),"No reported subtotal",IF(AND(ABS(N(E199))&lt;=$D$2,ABS(N(H199))&lt;=$D$2,ABS(N(K199))&lt;=$D$2),"Reconciles within tolerance","Outside tolerance"))</f>
        <v>Reconciles within tolerance</v>
      </c>
    </row>
    <row r="200" customFormat="false" ht="15" hidden="false" customHeight="false" outlineLevel="0" collapsed="false">
      <c r="A200" s="7" t="n">
        <v>2015</v>
      </c>
      <c r="B200" s="15" t="s">
        <v>137</v>
      </c>
      <c r="C200" s="19" t="n">
        <v>171.489078</v>
      </c>
      <c r="D200" s="19" t="n">
        <v>171.489078</v>
      </c>
      <c r="E200" s="20" t="n">
        <f aca="false">IF(OR(D200="",D200=0),"",(C200-D200)/D200)</f>
        <v>0</v>
      </c>
      <c r="F200" s="19" t="n">
        <v>181.480594</v>
      </c>
      <c r="G200" s="19" t="n">
        <v>181.480594</v>
      </c>
      <c r="H200" s="20" t="n">
        <f aca="false">IF(OR(G200="",G200=0),"",(F200-G200)/G200)</f>
        <v>0</v>
      </c>
      <c r="I200" s="19" t="n">
        <v>413.481663</v>
      </c>
      <c r="J200" s="19" t="n">
        <v>413.481663</v>
      </c>
      <c r="K200" s="20" t="n">
        <f aca="false">IF(OR(J200="",J200=0),"",(I200-J200)/J200)</f>
        <v>0</v>
      </c>
      <c r="L200" s="21" t="str">
        <f aca="false">IF(OR(D200="",G200="",J200=""),"No reported subtotal",IF(AND(ABS(N(E200))&lt;=$D$2,ABS(N(H200))&lt;=$D$2,ABS(N(K200))&lt;=$D$2),"Reconciles within tolerance","Outside tolerance"))</f>
        <v>Reconciles within tolerance</v>
      </c>
    </row>
    <row r="201" customFormat="false" ht="15" hidden="false" customHeight="false" outlineLevel="0" collapsed="false">
      <c r="A201" s="7" t="n">
        <v>2016</v>
      </c>
      <c r="B201" s="15" t="s">
        <v>137</v>
      </c>
      <c r="C201" s="19" t="n">
        <v>167.78923</v>
      </c>
      <c r="D201" s="19" t="n">
        <v>167.78923</v>
      </c>
      <c r="E201" s="20" t="n">
        <f aca="false">IF(OR(D201="",D201=0),"",(C201-D201)/D201)</f>
        <v>0</v>
      </c>
      <c r="F201" s="19" t="n">
        <v>176.273055</v>
      </c>
      <c r="G201" s="19" t="n">
        <v>176.273055</v>
      </c>
      <c r="H201" s="20" t="n">
        <f aca="false">IF(OR(G201="",G201=0),"",(F201-G201)/G201)</f>
        <v>0</v>
      </c>
      <c r="I201" s="19" t="n">
        <v>486.493912</v>
      </c>
      <c r="J201" s="19" t="n">
        <v>486.493912</v>
      </c>
      <c r="K201" s="20" t="n">
        <f aca="false">IF(OR(J201="",J201=0),"",(I201-J201)/J201)</f>
        <v>0</v>
      </c>
      <c r="L201" s="21" t="str">
        <f aca="false">IF(OR(D201="",G201="",J201=""),"No reported subtotal",IF(AND(ABS(N(E201))&lt;=$D$2,ABS(N(H201))&lt;=$D$2,ABS(N(K201))&lt;=$D$2),"Reconciles within tolerance","Outside tolerance"))</f>
        <v>Reconciles within tolerance</v>
      </c>
    </row>
    <row r="202" customFormat="false" ht="15" hidden="false" customHeight="false" outlineLevel="0" collapsed="false">
      <c r="A202" s="7" t="n">
        <v>2017</v>
      </c>
      <c r="B202" s="15" t="s">
        <v>137</v>
      </c>
      <c r="C202" s="19" t="n">
        <v>185.796567</v>
      </c>
      <c r="D202" s="19" t="n">
        <v>185.796567</v>
      </c>
      <c r="E202" s="20" t="n">
        <f aca="false">IF(OR(D202="",D202=0),"",(C202-D202)/D202)</f>
        <v>0</v>
      </c>
      <c r="F202" s="19" t="n">
        <v>184.828282</v>
      </c>
      <c r="G202" s="19" t="n">
        <v>184.828282</v>
      </c>
      <c r="H202" s="20" t="n">
        <f aca="false">IF(OR(G202="",G202=0),"",(F202-G202)/G202)</f>
        <v>0</v>
      </c>
      <c r="I202" s="19" t="n">
        <v>551.042448</v>
      </c>
      <c r="J202" s="19" t="n">
        <v>551.042448</v>
      </c>
      <c r="K202" s="20" t="n">
        <f aca="false">IF(OR(J202="",J202=0),"",(I202-J202)/J202)</f>
        <v>0</v>
      </c>
      <c r="L202" s="21" t="str">
        <f aca="false">IF(OR(D202="",G202="",J202=""),"No reported subtotal",IF(AND(ABS(N(E202))&lt;=$D$2,ABS(N(H202))&lt;=$D$2,ABS(N(K202))&lt;=$D$2),"Reconciles within tolerance","Outside tolerance"))</f>
        <v>Reconciles within tolerance</v>
      </c>
    </row>
    <row r="203" customFormat="false" ht="15" hidden="false" customHeight="false" outlineLevel="0" collapsed="false">
      <c r="A203" s="7" t="n">
        <v>2018</v>
      </c>
      <c r="B203" s="15" t="s">
        <v>137</v>
      </c>
      <c r="C203" s="19" t="n">
        <v>202.638697</v>
      </c>
      <c r="D203" s="19" t="n">
        <v>202.638697</v>
      </c>
      <c r="E203" s="20" t="n">
        <f aca="false">IF(OR(D203="",D203=0),"",(C203-D203)/D203)</f>
        <v>0</v>
      </c>
      <c r="F203" s="19" t="n">
        <v>224.371821</v>
      </c>
      <c r="G203" s="19" t="n">
        <v>224.371821</v>
      </c>
      <c r="H203" s="20" t="n">
        <f aca="false">IF(OR(G203="",G203=0),"",(F203-G203)/G203)</f>
        <v>0</v>
      </c>
      <c r="I203" s="19" t="n">
        <v>489.148974</v>
      </c>
      <c r="J203" s="19" t="n">
        <v>489.148974</v>
      </c>
      <c r="K203" s="20" t="n">
        <f aca="false">IF(OR(J203="",J203=0),"",(I203-J203)/J203)</f>
        <v>0</v>
      </c>
      <c r="L203" s="21" t="str">
        <f aca="false">IF(OR(D203="",G203="",J203=""),"No reported subtotal",IF(AND(ABS(N(E203))&lt;=$D$2,ABS(N(H203))&lt;=$D$2,ABS(N(K203))&lt;=$D$2),"Reconciles within tolerance","Outside tolerance"))</f>
        <v>Reconciles within tolerance</v>
      </c>
    </row>
    <row r="204" customFormat="false" ht="15" hidden="false" customHeight="false" outlineLevel="0" collapsed="false">
      <c r="A204" s="7" t="n">
        <v>2019</v>
      </c>
      <c r="B204" s="15" t="s">
        <v>137</v>
      </c>
      <c r="C204" s="19" t="n">
        <v>237.644538</v>
      </c>
      <c r="D204" s="19" t="n">
        <v>237.644538</v>
      </c>
      <c r="E204" s="20" t="n">
        <f aca="false">IF(OR(D204="",D204=0),"",(C204-D204)/D204)</f>
        <v>0</v>
      </c>
      <c r="F204" s="19" t="n">
        <v>228.099779</v>
      </c>
      <c r="G204" s="19" t="n">
        <v>228.099779</v>
      </c>
      <c r="H204" s="20" t="n">
        <f aca="false">IF(OR(G204="",G204=0),"",(F204-G204)/G204)</f>
        <v>0</v>
      </c>
      <c r="I204" s="19" t="n">
        <v>621.082901</v>
      </c>
      <c r="J204" s="19" t="n">
        <v>621.082901</v>
      </c>
      <c r="K204" s="20" t="n">
        <f aca="false">IF(OR(J204="",J204=0),"",(I204-J204)/J204)</f>
        <v>0</v>
      </c>
      <c r="L204" s="21" t="str">
        <f aca="false">IF(OR(D204="",G204="",J204=""),"No reported subtotal",IF(AND(ABS(N(E204))&lt;=$D$2,ABS(N(H204))&lt;=$D$2,ABS(N(K204))&lt;=$D$2),"Reconciles within tolerance","Outside tolerance"))</f>
        <v>Reconciles within tolerance</v>
      </c>
    </row>
    <row r="205" customFormat="false" ht="15" hidden="false" customHeight="false" outlineLevel="0" collapsed="false">
      <c r="A205" s="7" t="n">
        <v>2020</v>
      </c>
      <c r="B205" s="15" t="s">
        <v>137</v>
      </c>
      <c r="C205" s="19" t="n">
        <v>215.658159</v>
      </c>
      <c r="D205" s="19" t="n">
        <v>215.658159</v>
      </c>
      <c r="E205" s="20" t="n">
        <f aca="false">IF(OR(D205="",D205=0),"",(C205-D205)/D205)</f>
        <v>0</v>
      </c>
      <c r="F205" s="19" t="n">
        <v>247.180745</v>
      </c>
      <c r="G205" s="19" t="n">
        <v>247.180745</v>
      </c>
      <c r="H205" s="20" t="n">
        <f aca="false">IF(OR(G205="",G205=0),"",(F205-G205)/G205)</f>
        <v>0</v>
      </c>
      <c r="I205" s="19" t="n">
        <v>590.199508</v>
      </c>
      <c r="J205" s="19" t="n">
        <v>590.199508</v>
      </c>
      <c r="K205" s="20" t="n">
        <f aca="false">IF(OR(J205="",J205=0),"",(I205-J205)/J205)</f>
        <v>0</v>
      </c>
      <c r="L205" s="21" t="str">
        <f aca="false">IF(OR(D205="",G205="",J205=""),"No reported subtotal",IF(AND(ABS(N(E205))&lt;=$D$2,ABS(N(H205))&lt;=$D$2,ABS(N(K205))&lt;=$D$2),"Reconciles within tolerance","Outside tolerance"))</f>
        <v>Reconciles within tolerance</v>
      </c>
    </row>
    <row r="206" customFormat="false" ht="15" hidden="false" customHeight="false" outlineLevel="0" collapsed="false">
      <c r="A206" s="7" t="n">
        <v>2021</v>
      </c>
      <c r="B206" s="15" t="s">
        <v>137</v>
      </c>
      <c r="C206" s="19" t="n">
        <v>347.022701</v>
      </c>
      <c r="D206" s="19" t="n">
        <v>347.022701</v>
      </c>
      <c r="E206" s="20" t="n">
        <f aca="false">IF(OR(D206="",D206=0),"",(C206-D206)/D206)</f>
        <v>0</v>
      </c>
      <c r="F206" s="19" t="n">
        <v>287.908401</v>
      </c>
      <c r="G206" s="19" t="n">
        <v>287.908401</v>
      </c>
      <c r="H206" s="20" t="n">
        <f aca="false">IF(OR(G206="",G206=0),"",(F206-G206)/G206)</f>
        <v>0</v>
      </c>
      <c r="I206" s="19" t="n">
        <v>734.039559</v>
      </c>
      <c r="J206" s="19" t="n">
        <v>734.039559</v>
      </c>
      <c r="K206" s="20" t="n">
        <f aca="false">IF(OR(J206="",J206=0),"",(I206-J206)/J206)</f>
        <v>0</v>
      </c>
      <c r="L206" s="21" t="str">
        <f aca="false">IF(OR(D206="",G206="",J206=""),"No reported subtotal",IF(AND(ABS(N(E206))&lt;=$D$2,ABS(N(H206))&lt;=$D$2,ABS(N(K206))&lt;=$D$2),"Reconciles within tolerance","Outside tolerance"))</f>
        <v>Reconciles within tolerance</v>
      </c>
    </row>
    <row r="207" customFormat="false" ht="15" hidden="false" customHeight="false" outlineLevel="0" collapsed="false">
      <c r="A207" s="7" t="n">
        <v>2022</v>
      </c>
      <c r="B207" s="15" t="s">
        <v>137</v>
      </c>
      <c r="C207" s="19" t="n">
        <v>327.462535</v>
      </c>
      <c r="D207" s="19" t="n">
        <v>327.464614</v>
      </c>
      <c r="E207" s="20" t="n">
        <f aca="false">IF(OR(D207="",D207=0),"",(C207-D207)/D207)</f>
        <v>-6.34877758114232E-006</v>
      </c>
      <c r="F207" s="19" t="n">
        <v>327.507902</v>
      </c>
      <c r="G207" s="19" t="n">
        <v>327.507902</v>
      </c>
      <c r="H207" s="20" t="n">
        <f aca="false">IF(OR(G207="",G207=0),"",(F207-G207)/G207)</f>
        <v>0</v>
      </c>
      <c r="I207" s="19" t="n">
        <v>805.292013</v>
      </c>
      <c r="J207" s="19" t="n">
        <v>805.292013</v>
      </c>
      <c r="K207" s="20" t="n">
        <f aca="false">IF(OR(J207="",J207=0),"",(I207-J207)/J207)</f>
        <v>0</v>
      </c>
      <c r="L207" s="21" t="str">
        <f aca="false">IF(OR(D207="",G207="",J207=""),"No reported subtotal",IF(AND(ABS(N(E207))&lt;=$D$2,ABS(N(H207))&lt;=$D$2,ABS(N(K207))&lt;=$D$2),"Reconciles within tolerance","Outside tolerance"))</f>
        <v>Reconciles within tolerance</v>
      </c>
    </row>
    <row r="208" customFormat="false" ht="15" hidden="false" customHeight="false" outlineLevel="0" collapsed="false">
      <c r="A208" s="7" t="n">
        <v>2023</v>
      </c>
      <c r="B208" s="15" t="s">
        <v>137</v>
      </c>
      <c r="C208" s="19" t="n">
        <v>381.86272</v>
      </c>
      <c r="D208" s="19" t="n">
        <v>381.870615</v>
      </c>
      <c r="E208" s="20" t="n">
        <f aca="false">IF(OR(D208="",D208=0),"",(C208-D208)/D208)</f>
        <v>-2.06745418208265E-005</v>
      </c>
      <c r="F208" s="19" t="n">
        <v>326.575499</v>
      </c>
      <c r="G208" s="19" t="n">
        <v>326.575499</v>
      </c>
      <c r="H208" s="20" t="n">
        <f aca="false">IF(OR(G208="",G208=0),"",(F208-G208)/G208)</f>
        <v>0</v>
      </c>
      <c r="I208" s="19" t="n">
        <v>803.629477</v>
      </c>
      <c r="J208" s="19" t="n">
        <v>803.629477</v>
      </c>
      <c r="K208" s="20" t="n">
        <f aca="false">IF(OR(J208="",J208=0),"",(I208-J208)/J208)</f>
        <v>0</v>
      </c>
      <c r="L208" s="21" t="str">
        <f aca="false">IF(OR(D208="",G208="",J208=""),"No reported subtotal",IF(AND(ABS(N(E208))&lt;=$D$2,ABS(N(H208))&lt;=$D$2,ABS(N(K208))&lt;=$D$2),"Reconciles within tolerance","Outside tolerance"))</f>
        <v>Reconciles within tolerance</v>
      </c>
    </row>
    <row r="209" customFormat="false" ht="15" hidden="false" customHeight="false" outlineLevel="0" collapsed="false">
      <c r="A209" s="7" t="n">
        <v>2024</v>
      </c>
      <c r="B209" s="15" t="s">
        <v>137</v>
      </c>
      <c r="C209" s="19" t="n">
        <v>366.258988</v>
      </c>
      <c r="D209" s="19" t="n">
        <v>366.245544</v>
      </c>
      <c r="E209" s="20" t="n">
        <f aca="false">IF(OR(D209="",D209=0),"",(C209-D209)/D209)</f>
        <v>3.67076138406006E-005</v>
      </c>
      <c r="F209" s="19" t="n">
        <v>324.658291</v>
      </c>
      <c r="G209" s="19" t="n">
        <v>324.658291</v>
      </c>
      <c r="H209" s="20" t="n">
        <f aca="false">IF(OR(G209="",G209=0),"",(F209-G209)/G209)</f>
        <v>0</v>
      </c>
      <c r="I209" s="19" t="n">
        <v>877.646753</v>
      </c>
      <c r="J209" s="19" t="n">
        <v>877.646753</v>
      </c>
      <c r="K209" s="20" t="n">
        <f aca="false">IF(OR(J209="",J209=0),"",(I209-J209)/J209)</f>
        <v>0</v>
      </c>
      <c r="L209" s="21" t="str">
        <f aca="false">IF(OR(D209="",G209="",J209=""),"No reported subtotal",IF(AND(ABS(N(E209))&lt;=$D$2,ABS(N(H209))&lt;=$D$2,ABS(N(K209))&lt;=$D$2),"Reconciles within tolerance","Outside tolerance"))</f>
        <v>Reconciles within tolerance</v>
      </c>
    </row>
    <row r="210" customFormat="false" ht="15" hidden="false" customHeight="false" outlineLevel="0" collapsed="false">
      <c r="A210" s="7" t="n">
        <v>2025</v>
      </c>
      <c r="B210" s="15" t="s">
        <v>137</v>
      </c>
      <c r="C210" s="19" t="n">
        <v>434.682158</v>
      </c>
      <c r="D210" s="19" t="n">
        <v>434.682158</v>
      </c>
      <c r="E210" s="20" t="n">
        <f aca="false">IF(OR(D210="",D210=0),"",(C210-D210)/D210)</f>
        <v>0</v>
      </c>
      <c r="F210" s="19" t="n">
        <v>330.037944</v>
      </c>
      <c r="G210" s="19" t="n">
        <v>330.037944</v>
      </c>
      <c r="H210" s="20" t="n">
        <f aca="false">IF(OR(G210="",G210=0),"",(F210-G210)/G210)</f>
        <v>0</v>
      </c>
      <c r="I210" s="19" t="n">
        <v>1229.783349</v>
      </c>
      <c r="J210" s="19" t="n">
        <v>1229.783349</v>
      </c>
      <c r="K210" s="20" t="n">
        <f aca="false">IF(OR(J210="",J210=0),"",(I210-J210)/J210)</f>
        <v>0</v>
      </c>
      <c r="L210" s="21" t="str">
        <f aca="false">IF(OR(D210="",G210="",J210=""),"No reported subtotal",IF(AND(ABS(N(E210))&lt;=$D$2,ABS(N(H210))&lt;=$D$2,ABS(N(K210))&lt;=$D$2),"Reconciles within tolerance","Outside tolerance"))</f>
        <v>Reconciles within tolerance</v>
      </c>
    </row>
    <row r="211" customFormat="false" ht="15" hidden="false" customHeight="false" outlineLevel="0" collapsed="false">
      <c r="A211" s="7" t="n">
        <v>2000</v>
      </c>
      <c r="B211" s="15" t="s">
        <v>139</v>
      </c>
      <c r="C211" s="19" t="n">
        <v>173.381831</v>
      </c>
      <c r="D211" s="19" t="n">
        <v>173.381831</v>
      </c>
      <c r="E211" s="20" t="n">
        <f aca="false">IF(OR(D211="",D211=0),"",(C211-D211)/D211)</f>
        <v>0</v>
      </c>
      <c r="F211" s="19" t="n">
        <v>94.971947</v>
      </c>
      <c r="G211" s="19" t="n">
        <v>94.971947</v>
      </c>
      <c r="H211" s="20" t="n">
        <f aca="false">IF(OR(G211="",G211=0),"",(F211-G211)/G211)</f>
        <v>0</v>
      </c>
      <c r="I211" s="19" t="n">
        <v>253.76159</v>
      </c>
      <c r="J211" s="19" t="n">
        <v>253.76159</v>
      </c>
      <c r="K211" s="20" t="n">
        <f aca="false">IF(OR(J211="",J211=0),"",(I211-J211)/J211)</f>
        <v>0</v>
      </c>
      <c r="L211" s="21" t="str">
        <f aca="false">IF(OR(D211="",G211="",J211=""),"No reported subtotal",IF(AND(ABS(N(E211))&lt;=$D$2,ABS(N(H211))&lt;=$D$2,ABS(N(K211))&lt;=$D$2),"Reconciles within tolerance","Outside tolerance"))</f>
        <v>Reconciles within tolerance</v>
      </c>
    </row>
    <row r="212" customFormat="false" ht="15" hidden="false" customHeight="false" outlineLevel="0" collapsed="false">
      <c r="A212" s="7" t="n">
        <v>2001</v>
      </c>
      <c r="B212" s="15" t="s">
        <v>139</v>
      </c>
      <c r="C212" s="19" t="n">
        <v>157.70956</v>
      </c>
      <c r="D212" s="19" t="n">
        <v>157.70956</v>
      </c>
      <c r="E212" s="20" t="n">
        <f aca="false">IF(OR(D212="",D212=0),"",(C212-D212)/D212)</f>
        <v>0</v>
      </c>
      <c r="F212" s="19" t="n">
        <v>128.520212</v>
      </c>
      <c r="G212" s="19" t="n">
        <v>128.520212</v>
      </c>
      <c r="H212" s="20" t="n">
        <f aca="false">IF(OR(G212="",G212=0),"",(F212-G212)/G212)</f>
        <v>0</v>
      </c>
      <c r="I212" s="19" t="n">
        <v>248.934484</v>
      </c>
      <c r="J212" s="19" t="n">
        <v>248.934484</v>
      </c>
      <c r="K212" s="20" t="n">
        <f aca="false">IF(OR(J212="",J212=0),"",(I212-J212)/J212)</f>
        <v>0</v>
      </c>
      <c r="L212" s="21" t="str">
        <f aca="false">IF(OR(D212="",G212="",J212=""),"No reported subtotal",IF(AND(ABS(N(E212))&lt;=$D$2,ABS(N(H212))&lt;=$D$2,ABS(N(K212))&lt;=$D$2),"Reconciles within tolerance","Outside tolerance"))</f>
        <v>Reconciles within tolerance</v>
      </c>
    </row>
    <row r="213" customFormat="false" ht="15" hidden="false" customHeight="false" outlineLevel="0" collapsed="false">
      <c r="A213" s="7" t="n">
        <v>2002</v>
      </c>
      <c r="B213" s="15" t="s">
        <v>139</v>
      </c>
      <c r="C213" s="19" t="n">
        <v>180.204074</v>
      </c>
      <c r="D213" s="19" t="n">
        <v>180.204074</v>
      </c>
      <c r="E213" s="20" t="n">
        <f aca="false">IF(OR(D213="",D213=0),"",(C213-D213)/D213)</f>
        <v>0</v>
      </c>
      <c r="F213" s="19" t="n">
        <v>150.544883</v>
      </c>
      <c r="G213" s="19" t="n">
        <v>150.544883</v>
      </c>
      <c r="H213" s="20" t="n">
        <f aca="false">IF(OR(G213="",G213=0),"",(F213-G213)/G213)</f>
        <v>0</v>
      </c>
      <c r="I213" s="19" t="n">
        <v>214.472551</v>
      </c>
      <c r="J213" s="19" t="n">
        <v>214.472551</v>
      </c>
      <c r="K213" s="20" t="n">
        <f aca="false">IF(OR(J213="",J213=0),"",(I213-J213)/J213)</f>
        <v>0</v>
      </c>
      <c r="L213" s="21" t="str">
        <f aca="false">IF(OR(D213="",G213="",J213=""),"No reported subtotal",IF(AND(ABS(N(E213))&lt;=$D$2,ABS(N(H213))&lt;=$D$2,ABS(N(K213))&lt;=$D$2),"Reconciles within tolerance","Outside tolerance"))</f>
        <v>Reconciles within tolerance</v>
      </c>
    </row>
    <row r="214" customFormat="false" ht="15" hidden="false" customHeight="false" outlineLevel="0" collapsed="false">
      <c r="A214" s="7" t="n">
        <v>2003</v>
      </c>
      <c r="B214" s="15" t="s">
        <v>139</v>
      </c>
      <c r="C214" s="19" t="n">
        <v>203.550403</v>
      </c>
      <c r="D214" s="19" t="n">
        <v>203.550403</v>
      </c>
      <c r="E214" s="20" t="n">
        <f aca="false">IF(OR(D214="",D214=0),"",(C214-D214)/D214)</f>
        <v>0</v>
      </c>
      <c r="F214" s="19" t="n">
        <v>160.291429</v>
      </c>
      <c r="G214" s="19" t="n">
        <v>160.291429</v>
      </c>
      <c r="H214" s="20" t="n">
        <f aca="false">IF(OR(G214="",G214=0),"",(F214-G214)/G214)</f>
        <v>0</v>
      </c>
      <c r="I214" s="19" t="n">
        <v>232.107538</v>
      </c>
      <c r="J214" s="19" t="n">
        <v>232.107538</v>
      </c>
      <c r="K214" s="20" t="n">
        <f aca="false">IF(OR(J214="",J214=0),"",(I214-J214)/J214)</f>
        <v>0</v>
      </c>
      <c r="L214" s="21" t="str">
        <f aca="false">IF(OR(D214="",G214="",J214=""),"No reported subtotal",IF(AND(ABS(N(E214))&lt;=$D$2,ABS(N(H214))&lt;=$D$2,ABS(N(K214))&lt;=$D$2),"Reconciles within tolerance","Outside tolerance"))</f>
        <v>Reconciles within tolerance</v>
      </c>
    </row>
    <row r="215" customFormat="false" ht="15" hidden="false" customHeight="false" outlineLevel="0" collapsed="false">
      <c r="A215" s="7" t="n">
        <v>2004</v>
      </c>
      <c r="B215" s="15" t="s">
        <v>139</v>
      </c>
      <c r="C215" s="19" t="n">
        <v>186.689701</v>
      </c>
      <c r="D215" s="19" t="n">
        <v>186.689701</v>
      </c>
      <c r="E215" s="20" t="n">
        <f aca="false">IF(OR(D215="",D215=0),"",(C215-D215)/D215)</f>
        <v>0</v>
      </c>
      <c r="F215" s="19" t="n">
        <v>167.807693</v>
      </c>
      <c r="G215" s="19" t="n">
        <v>167.807693</v>
      </c>
      <c r="H215" s="20" t="n">
        <f aca="false">IF(OR(G215="",G215=0),"",(F215-G215)/G215)</f>
        <v>0</v>
      </c>
      <c r="I215" s="19" t="n">
        <v>267.038847</v>
      </c>
      <c r="J215" s="19" t="n">
        <v>267.038847</v>
      </c>
      <c r="K215" s="20" t="n">
        <f aca="false">IF(OR(J215="",J215=0),"",(I215-J215)/J215)</f>
        <v>0</v>
      </c>
      <c r="L215" s="21" t="str">
        <f aca="false">IF(OR(D215="",G215="",J215=""),"No reported subtotal",IF(AND(ABS(N(E215))&lt;=$D$2,ABS(N(H215))&lt;=$D$2,ABS(N(K215))&lt;=$D$2),"Reconciles within tolerance","Outside tolerance"))</f>
        <v>Reconciles within tolerance</v>
      </c>
    </row>
    <row r="216" customFormat="false" ht="15" hidden="false" customHeight="false" outlineLevel="0" collapsed="false">
      <c r="A216" s="7" t="n">
        <v>2005</v>
      </c>
      <c r="B216" s="15" t="s">
        <v>139</v>
      </c>
      <c r="C216" s="19" t="n">
        <v>213.229892</v>
      </c>
      <c r="D216" s="19" t="n">
        <v>213.229892</v>
      </c>
      <c r="E216" s="20" t="n">
        <f aca="false">IF(OR(D216="",D216=0),"",(C216-D216)/D216)</f>
        <v>0</v>
      </c>
      <c r="F216" s="19" t="n">
        <v>161.141814</v>
      </c>
      <c r="G216" s="19" t="n">
        <v>161.141814</v>
      </c>
      <c r="H216" s="20" t="n">
        <f aca="false">IF(OR(G216="",G216=0),"",(F216-G216)/G216)</f>
        <v>0</v>
      </c>
      <c r="I216" s="19" t="n">
        <v>76.410805</v>
      </c>
      <c r="J216" s="19" t="n">
        <v>76.410805</v>
      </c>
      <c r="K216" s="20" t="n">
        <f aca="false">IF(OR(J216="",J216=0),"",(I216-J216)/J216)</f>
        <v>0</v>
      </c>
      <c r="L216" s="21" t="str">
        <f aca="false">IF(OR(D216="",G216="",J216=""),"No reported subtotal",IF(AND(ABS(N(E216))&lt;=$D$2,ABS(N(H216))&lt;=$D$2,ABS(N(K216))&lt;=$D$2),"Reconciles within tolerance","Outside tolerance"))</f>
        <v>Reconciles within tolerance</v>
      </c>
    </row>
    <row r="217" customFormat="false" ht="15" hidden="false" customHeight="false" outlineLevel="0" collapsed="false">
      <c r="A217" s="7" t="n">
        <v>2006</v>
      </c>
      <c r="B217" s="15" t="s">
        <v>139</v>
      </c>
      <c r="C217" s="19" t="n">
        <v>212.646666</v>
      </c>
      <c r="D217" s="19" t="n">
        <v>212.646666</v>
      </c>
      <c r="E217" s="20" t="n">
        <f aca="false">IF(OR(D217="",D217=0),"",(C217-D217)/D217)</f>
        <v>0</v>
      </c>
      <c r="F217" s="19" t="n">
        <v>170.313496</v>
      </c>
      <c r="G217" s="19" t="n">
        <v>170.313496</v>
      </c>
      <c r="H217" s="20" t="n">
        <f aca="false">IF(OR(G217="",G217=0),"",(F217-G217)/G217)</f>
        <v>0</v>
      </c>
      <c r="I217" s="19" t="n">
        <v>218.527573</v>
      </c>
      <c r="J217" s="19" t="n">
        <v>218.527573</v>
      </c>
      <c r="K217" s="20" t="n">
        <f aca="false">IF(OR(J217="",J217=0),"",(I217-J217)/J217)</f>
        <v>0</v>
      </c>
      <c r="L217" s="21" t="str">
        <f aca="false">IF(OR(D217="",G217="",J217=""),"No reported subtotal",IF(AND(ABS(N(E217))&lt;=$D$2,ABS(N(H217))&lt;=$D$2,ABS(N(K217))&lt;=$D$2),"Reconciles within tolerance","Outside tolerance"))</f>
        <v>Reconciles within tolerance</v>
      </c>
    </row>
    <row r="218" customFormat="false" ht="15" hidden="false" customHeight="false" outlineLevel="0" collapsed="false">
      <c r="A218" s="7" t="n">
        <v>2007</v>
      </c>
      <c r="B218" s="15" t="s">
        <v>139</v>
      </c>
      <c r="C218" s="19" t="n">
        <v>255.312484</v>
      </c>
      <c r="D218" s="19" t="n">
        <v>255.312484</v>
      </c>
      <c r="E218" s="20" t="n">
        <f aca="false">IF(OR(D218="",D218=0),"",(C218-D218)/D218)</f>
        <v>0</v>
      </c>
      <c r="F218" s="19" t="n">
        <v>197.350324</v>
      </c>
      <c r="G218" s="19" t="n">
        <v>197.350324</v>
      </c>
      <c r="H218" s="20" t="n">
        <f aca="false">IF(OR(G218="",G218=0),"",(F218-G218)/G218)</f>
        <v>0</v>
      </c>
      <c r="I218" s="19" t="n">
        <v>127.479087</v>
      </c>
      <c r="J218" s="19" t="n">
        <v>127.479087</v>
      </c>
      <c r="K218" s="20" t="n">
        <f aca="false">IF(OR(J218="",J218=0),"",(I218-J218)/J218)</f>
        <v>0</v>
      </c>
      <c r="L218" s="21" t="str">
        <f aca="false">IF(OR(D218="",G218="",J218=""),"No reported subtotal",IF(AND(ABS(N(E218))&lt;=$D$2,ABS(N(H218))&lt;=$D$2,ABS(N(K218))&lt;=$D$2),"Reconciles within tolerance","Outside tolerance"))</f>
        <v>Reconciles within tolerance</v>
      </c>
    </row>
    <row r="219" customFormat="false" ht="15" hidden="false" customHeight="false" outlineLevel="0" collapsed="false">
      <c r="A219" s="7" t="n">
        <v>2008</v>
      </c>
      <c r="B219" s="15" t="s">
        <v>139</v>
      </c>
      <c r="C219" s="19" t="n">
        <v>243.484077</v>
      </c>
      <c r="D219" s="19" t="n">
        <v>243.484077</v>
      </c>
      <c r="E219" s="20" t="n">
        <f aca="false">IF(OR(D219="",D219=0),"",(C219-D219)/D219)</f>
        <v>0</v>
      </c>
      <c r="F219" s="19" t="n">
        <v>224.505607</v>
      </c>
      <c r="G219" s="19" t="n">
        <v>224.505607</v>
      </c>
      <c r="H219" s="20" t="n">
        <f aca="false">IF(OR(G219="",G219=0),"",(F219-G219)/G219)</f>
        <v>0</v>
      </c>
      <c r="I219" s="19" t="n">
        <v>370.790509</v>
      </c>
      <c r="J219" s="19" t="n">
        <v>370.790509</v>
      </c>
      <c r="K219" s="20" t="n">
        <f aca="false">IF(OR(J219="",J219=0),"",(I219-J219)/J219)</f>
        <v>0</v>
      </c>
      <c r="L219" s="21" t="str">
        <f aca="false">IF(OR(D219="",G219="",J219=""),"No reported subtotal",IF(AND(ABS(N(E219))&lt;=$D$2,ABS(N(H219))&lt;=$D$2,ABS(N(K219))&lt;=$D$2),"Reconciles within tolerance","Outside tolerance"))</f>
        <v>Reconciles within tolerance</v>
      </c>
    </row>
    <row r="220" customFormat="false" ht="15" hidden="false" customHeight="false" outlineLevel="0" collapsed="false">
      <c r="A220" s="7" t="n">
        <v>2009</v>
      </c>
      <c r="B220" s="15" t="s">
        <v>139</v>
      </c>
      <c r="C220" s="19" t="n">
        <v>220.035305</v>
      </c>
      <c r="D220" s="19" t="n">
        <v>220.035305</v>
      </c>
      <c r="E220" s="20" t="n">
        <f aca="false">IF(OR(D220="",D220=0),"",(C220-D220)/D220)</f>
        <v>0</v>
      </c>
      <c r="F220" s="19" t="n">
        <v>227.53471</v>
      </c>
      <c r="G220" s="19" t="n">
        <v>227.53471</v>
      </c>
      <c r="H220" s="20" t="n">
        <f aca="false">IF(OR(G220="",G220=0),"",(F220-G220)/G220)</f>
        <v>0</v>
      </c>
      <c r="I220" s="19" t="n">
        <v>324.093806</v>
      </c>
      <c r="J220" s="19" t="n">
        <v>324.093806</v>
      </c>
      <c r="K220" s="20" t="n">
        <f aca="false">IF(OR(J220="",J220=0),"",(I220-J220)/J220)</f>
        <v>0</v>
      </c>
      <c r="L220" s="21" t="str">
        <f aca="false">IF(OR(D220="",G220="",J220=""),"No reported subtotal",IF(AND(ABS(N(E220))&lt;=$D$2,ABS(N(H220))&lt;=$D$2,ABS(N(K220))&lt;=$D$2),"Reconciles within tolerance","Outside tolerance"))</f>
        <v>Reconciles within tolerance</v>
      </c>
    </row>
    <row r="221" customFormat="false" ht="15" hidden="false" customHeight="false" outlineLevel="0" collapsed="false">
      <c r="A221" s="7" t="n">
        <v>2010</v>
      </c>
      <c r="B221" s="15" t="s">
        <v>139</v>
      </c>
      <c r="C221" s="19" t="n">
        <v>256.031229</v>
      </c>
      <c r="D221" s="19" t="n">
        <v>256.031229</v>
      </c>
      <c r="E221" s="20" t="n">
        <f aca="false">IF(OR(D221="",D221=0),"",(C221-D221)/D221)</f>
        <v>0</v>
      </c>
      <c r="F221" s="19" t="n">
        <v>222.577751</v>
      </c>
      <c r="G221" s="19" t="n">
        <v>222.577751</v>
      </c>
      <c r="H221" s="20" t="n">
        <f aca="false">IF(OR(G221="",G221=0),"",(F221-G221)/G221)</f>
        <v>0</v>
      </c>
      <c r="I221" s="19" t="n">
        <v>301.288871</v>
      </c>
      <c r="J221" s="19" t="n">
        <v>301.288871</v>
      </c>
      <c r="K221" s="20" t="n">
        <f aca="false">IF(OR(J221="",J221=0),"",(I221-J221)/J221)</f>
        <v>0</v>
      </c>
      <c r="L221" s="21" t="str">
        <f aca="false">IF(OR(D221="",G221="",J221=""),"No reported subtotal",IF(AND(ABS(N(E221))&lt;=$D$2,ABS(N(H221))&lt;=$D$2,ABS(N(K221))&lt;=$D$2),"Reconciles within tolerance","Outside tolerance"))</f>
        <v>Reconciles within tolerance</v>
      </c>
    </row>
    <row r="222" customFormat="false" ht="15" hidden="false" customHeight="false" outlineLevel="0" collapsed="false">
      <c r="A222" s="7" t="n">
        <v>2011</v>
      </c>
      <c r="B222" s="15" t="s">
        <v>139</v>
      </c>
      <c r="C222" s="19" t="n">
        <v>293.444402</v>
      </c>
      <c r="D222" s="19" t="n">
        <v>293.444402</v>
      </c>
      <c r="E222" s="20" t="n">
        <f aca="false">IF(OR(D222="",D222=0),"",(C222-D222)/D222)</f>
        <v>0</v>
      </c>
      <c r="F222" s="19" t="n">
        <v>208.840042</v>
      </c>
      <c r="G222" s="19" t="n">
        <v>208.840042</v>
      </c>
      <c r="H222" s="20" t="n">
        <f aca="false">IF(OR(G222="",G222=0),"",(F222-G222)/G222)</f>
        <v>0</v>
      </c>
      <c r="I222" s="19" t="n">
        <v>265.827451</v>
      </c>
      <c r="J222" s="19" t="n">
        <v>265.827451</v>
      </c>
      <c r="K222" s="20" t="n">
        <f aca="false">IF(OR(J222="",J222=0),"",(I222-J222)/J222)</f>
        <v>0</v>
      </c>
      <c r="L222" s="21" t="str">
        <f aca="false">IF(OR(D222="",G222="",J222=""),"No reported subtotal",IF(AND(ABS(N(E222))&lt;=$D$2,ABS(N(H222))&lt;=$D$2,ABS(N(K222))&lt;=$D$2),"Reconciles within tolerance","Outside tolerance"))</f>
        <v>Reconciles within tolerance</v>
      </c>
    </row>
    <row r="223" customFormat="false" ht="15" hidden="false" customHeight="false" outlineLevel="0" collapsed="false">
      <c r="A223" s="7" t="n">
        <v>2012</v>
      </c>
      <c r="B223" s="15" t="s">
        <v>139</v>
      </c>
      <c r="C223" s="19" t="n">
        <v>276.530608</v>
      </c>
      <c r="D223" s="19" t="n">
        <v>276.530608</v>
      </c>
      <c r="E223" s="20" t="n">
        <f aca="false">IF(OR(D223="",D223=0),"",(C223-D223)/D223)</f>
        <v>0</v>
      </c>
      <c r="F223" s="19" t="n">
        <v>219.682761</v>
      </c>
      <c r="G223" s="19" t="n">
        <v>219.682761</v>
      </c>
      <c r="H223" s="20" t="n">
        <f aca="false">IF(OR(G223="",G223=0),"",(F223-G223)/G223)</f>
        <v>0</v>
      </c>
      <c r="I223" s="19" t="n">
        <v>336.843031</v>
      </c>
      <c r="J223" s="19" t="n">
        <v>336.843031</v>
      </c>
      <c r="K223" s="20" t="n">
        <f aca="false">IF(OR(J223="",J223=0),"",(I223-J223)/J223)</f>
        <v>0</v>
      </c>
      <c r="L223" s="21" t="str">
        <f aca="false">IF(OR(D223="",G223="",J223=""),"No reported subtotal",IF(AND(ABS(N(E223))&lt;=$D$2,ABS(N(H223))&lt;=$D$2,ABS(N(K223))&lt;=$D$2),"Reconciles within tolerance","Outside tolerance"))</f>
        <v>Reconciles within tolerance</v>
      </c>
    </row>
    <row r="224" customFormat="false" ht="15" hidden="false" customHeight="false" outlineLevel="0" collapsed="false">
      <c r="A224" s="7" t="n">
        <v>2013</v>
      </c>
      <c r="B224" s="15" t="s">
        <v>139</v>
      </c>
      <c r="C224" s="19" t="n">
        <v>308.569267</v>
      </c>
      <c r="D224" s="19" t="n">
        <v>308.569267</v>
      </c>
      <c r="E224" s="20" t="n">
        <f aca="false">IF(OR(D224="",D224=0),"",(C224-D224)/D224)</f>
        <v>0</v>
      </c>
      <c r="F224" s="19" t="n">
        <v>226.991593</v>
      </c>
      <c r="G224" s="19" t="n">
        <v>226.991593</v>
      </c>
      <c r="H224" s="20" t="n">
        <f aca="false">IF(OR(G224="",G224=0),"",(F224-G224)/G224)</f>
        <v>0</v>
      </c>
      <c r="I224" s="19" t="n">
        <v>314.418484</v>
      </c>
      <c r="J224" s="19" t="n">
        <v>314.418484</v>
      </c>
      <c r="K224" s="20" t="n">
        <f aca="false">IF(OR(J224="",J224=0),"",(I224-J224)/J224)</f>
        <v>0</v>
      </c>
      <c r="L224" s="21" t="str">
        <f aca="false">IF(OR(D224="",G224="",J224=""),"No reported subtotal",IF(AND(ABS(N(E224))&lt;=$D$2,ABS(N(H224))&lt;=$D$2,ABS(N(K224))&lt;=$D$2),"Reconciles within tolerance","Outside tolerance"))</f>
        <v>Reconciles within tolerance</v>
      </c>
    </row>
    <row r="225" customFormat="false" ht="15" hidden="false" customHeight="false" outlineLevel="0" collapsed="false">
      <c r="A225" s="7" t="n">
        <v>2014</v>
      </c>
      <c r="B225" s="15" t="s">
        <v>139</v>
      </c>
      <c r="C225" s="19" t="n">
        <v>292.153134</v>
      </c>
      <c r="D225" s="19" t="n">
        <v>292.153134</v>
      </c>
      <c r="E225" s="20" t="n">
        <f aca="false">IF(OR(D225="",D225=0),"",(C225-D225)/D225)</f>
        <v>0</v>
      </c>
      <c r="F225" s="19" t="n">
        <v>245.589474</v>
      </c>
      <c r="G225" s="19" t="n">
        <v>245.589474</v>
      </c>
      <c r="H225" s="20" t="n">
        <f aca="false">IF(OR(G225="",G225=0),"",(F225-G225)/G225)</f>
        <v>0</v>
      </c>
      <c r="I225" s="19" t="n">
        <v>449.126777</v>
      </c>
      <c r="J225" s="19" t="n">
        <v>449.126777</v>
      </c>
      <c r="K225" s="20" t="n">
        <f aca="false">IF(OR(J225="",J225=0),"",(I225-J225)/J225)</f>
        <v>0</v>
      </c>
      <c r="L225" s="21" t="str">
        <f aca="false">IF(OR(D225="",G225="",J225=""),"No reported subtotal",IF(AND(ABS(N(E225))&lt;=$D$2,ABS(N(H225))&lt;=$D$2,ABS(N(K225))&lt;=$D$2),"Reconciles within tolerance","Outside tolerance"))</f>
        <v>Reconciles within tolerance</v>
      </c>
    </row>
    <row r="226" customFormat="false" ht="15" hidden="false" customHeight="false" outlineLevel="0" collapsed="false">
      <c r="A226" s="7" t="n">
        <v>2015</v>
      </c>
      <c r="B226" s="15" t="s">
        <v>139</v>
      </c>
      <c r="C226" s="19" t="n">
        <v>267.184121</v>
      </c>
      <c r="D226" s="19" t="n">
        <v>267.184121</v>
      </c>
      <c r="E226" s="20" t="n">
        <f aca="false">IF(OR(D226="",D226=0),"",(C226-D226)/D226)</f>
        <v>0</v>
      </c>
      <c r="F226" s="19" t="n">
        <v>250.523895</v>
      </c>
      <c r="G226" s="19" t="n">
        <v>250.523895</v>
      </c>
      <c r="H226" s="20" t="n">
        <f aca="false">IF(OR(G226="",G226=0),"",(F226-G226)/G226)</f>
        <v>0</v>
      </c>
      <c r="I226" s="19" t="n">
        <v>443.163626</v>
      </c>
      <c r="J226" s="19" t="n">
        <v>443.163626</v>
      </c>
      <c r="K226" s="20" t="n">
        <f aca="false">IF(OR(J226="",J226=0),"",(I226-J226)/J226)</f>
        <v>0</v>
      </c>
      <c r="L226" s="21" t="str">
        <f aca="false">IF(OR(D226="",G226="",J226=""),"No reported subtotal",IF(AND(ABS(N(E226))&lt;=$D$2,ABS(N(H226))&lt;=$D$2,ABS(N(K226))&lt;=$D$2),"Reconciles within tolerance","Outside tolerance"))</f>
        <v>Reconciles within tolerance</v>
      </c>
    </row>
    <row r="227" customFormat="false" ht="15" hidden="false" customHeight="false" outlineLevel="0" collapsed="false">
      <c r="A227" s="7" t="n">
        <v>2016</v>
      </c>
      <c r="B227" s="15" t="s">
        <v>139</v>
      </c>
      <c r="C227" s="19" t="n">
        <v>283.326868</v>
      </c>
      <c r="D227" s="19" t="n">
        <v>283.326868</v>
      </c>
      <c r="E227" s="20" t="n">
        <f aca="false">IF(OR(D227="",D227=0),"",(C227-D227)/D227)</f>
        <v>0</v>
      </c>
      <c r="F227" s="19" t="n">
        <v>243.278874</v>
      </c>
      <c r="G227" s="19" t="n">
        <v>243.278874</v>
      </c>
      <c r="H227" s="20" t="n">
        <f aca="false">IF(OR(G227="",G227=0),"",(F227-G227)/G227)</f>
        <v>0</v>
      </c>
      <c r="I227" s="19" t="n">
        <v>441.562091</v>
      </c>
      <c r="J227" s="19" t="n">
        <v>441.562091</v>
      </c>
      <c r="K227" s="20" t="n">
        <f aca="false">IF(OR(J227="",J227=0),"",(I227-J227)/J227)</f>
        <v>0</v>
      </c>
      <c r="L227" s="21" t="str">
        <f aca="false">IF(OR(D227="",G227="",J227=""),"No reported subtotal",IF(AND(ABS(N(E227))&lt;=$D$2,ABS(N(H227))&lt;=$D$2,ABS(N(K227))&lt;=$D$2),"Reconciles within tolerance","Outside tolerance"))</f>
        <v>Reconciles within tolerance</v>
      </c>
    </row>
    <row r="228" customFormat="false" ht="15" hidden="false" customHeight="false" outlineLevel="0" collapsed="false">
      <c r="A228" s="7" t="n">
        <v>2017</v>
      </c>
      <c r="B228" s="15" t="s">
        <v>139</v>
      </c>
      <c r="C228" s="19" t="n">
        <v>304.549811</v>
      </c>
      <c r="D228" s="19" t="n">
        <v>304.549811</v>
      </c>
      <c r="E228" s="20" t="n">
        <f aca="false">IF(OR(D228="",D228=0),"",(C228-D228)/D228)</f>
        <v>0</v>
      </c>
      <c r="F228" s="19" t="n">
        <v>260.969434</v>
      </c>
      <c r="G228" s="19" t="n">
        <v>260.969434</v>
      </c>
      <c r="H228" s="20" t="n">
        <f aca="false">IF(OR(G228="",G228=0),"",(F228-G228)/G228)</f>
        <v>0</v>
      </c>
      <c r="I228" s="19" t="n">
        <v>539.491651</v>
      </c>
      <c r="J228" s="19" t="n">
        <v>539.491651</v>
      </c>
      <c r="K228" s="20" t="n">
        <f aca="false">IF(OR(J228="",J228=0),"",(I228-J228)/J228)</f>
        <v>0</v>
      </c>
      <c r="L228" s="21" t="str">
        <f aca="false">IF(OR(D228="",G228="",J228=""),"No reported subtotal",IF(AND(ABS(N(E228))&lt;=$D$2,ABS(N(H228))&lt;=$D$2,ABS(N(K228))&lt;=$D$2),"Reconciles within tolerance","Outside tolerance"))</f>
        <v>Reconciles within tolerance</v>
      </c>
    </row>
    <row r="229" customFormat="false" ht="15" hidden="false" customHeight="false" outlineLevel="0" collapsed="false">
      <c r="A229" s="7" t="n">
        <v>2018</v>
      </c>
      <c r="B229" s="15" t="s">
        <v>139</v>
      </c>
      <c r="C229" s="19" t="n">
        <v>287.085963</v>
      </c>
      <c r="D229" s="19" t="n">
        <v>287.085963</v>
      </c>
      <c r="E229" s="20" t="n">
        <f aca="false">IF(OR(D229="",D229=0),"",(C229-D229)/D229)</f>
        <v>0</v>
      </c>
      <c r="F229" s="19" t="n">
        <v>302.033752</v>
      </c>
      <c r="G229" s="19" t="n">
        <v>302.033752</v>
      </c>
      <c r="H229" s="20" t="n">
        <f aca="false">IF(OR(G229="",G229=0),"",(F229-G229)/G229)</f>
        <v>0</v>
      </c>
      <c r="I229" s="19" t="n">
        <v>683.0839</v>
      </c>
      <c r="J229" s="19" t="n">
        <v>683.0839</v>
      </c>
      <c r="K229" s="20" t="n">
        <f aca="false">IF(OR(J229="",J229=0),"",(I229-J229)/J229)</f>
        <v>0</v>
      </c>
      <c r="L229" s="21" t="str">
        <f aca="false">IF(OR(D229="",G229="",J229=""),"No reported subtotal",IF(AND(ABS(N(E229))&lt;=$D$2,ABS(N(H229))&lt;=$D$2,ABS(N(K229))&lt;=$D$2),"Reconciles within tolerance","Outside tolerance"))</f>
        <v>Reconciles within tolerance</v>
      </c>
    </row>
    <row r="230" customFormat="false" ht="15" hidden="false" customHeight="false" outlineLevel="0" collapsed="false">
      <c r="A230" s="7" t="n">
        <v>2019</v>
      </c>
      <c r="B230" s="15" t="s">
        <v>139</v>
      </c>
      <c r="C230" s="19" t="n">
        <v>302.949185</v>
      </c>
      <c r="D230" s="19" t="n">
        <v>302.949185</v>
      </c>
      <c r="E230" s="20" t="n">
        <f aca="false">IF(OR(D230="",D230=0),"",(C230-D230)/D230)</f>
        <v>0</v>
      </c>
      <c r="F230" s="19" t="n">
        <v>283.594927</v>
      </c>
      <c r="G230" s="19" t="n">
        <v>283.594927</v>
      </c>
      <c r="H230" s="20" t="n">
        <f aca="false">IF(OR(G230="",G230=0),"",(F230-G230)/G230)</f>
        <v>0</v>
      </c>
      <c r="I230" s="19" t="n">
        <v>692.457829</v>
      </c>
      <c r="J230" s="19" t="n">
        <v>692.457829</v>
      </c>
      <c r="K230" s="20" t="n">
        <f aca="false">IF(OR(J230="",J230=0),"",(I230-J230)/J230)</f>
        <v>0</v>
      </c>
      <c r="L230" s="21" t="str">
        <f aca="false">IF(OR(D230="",G230="",J230=""),"No reported subtotal",IF(AND(ABS(N(E230))&lt;=$D$2,ABS(N(H230))&lt;=$D$2,ABS(N(K230))&lt;=$D$2),"Reconciles within tolerance","Outside tolerance"))</f>
        <v>Reconciles within tolerance</v>
      </c>
    </row>
    <row r="231" customFormat="false" ht="15" hidden="false" customHeight="false" outlineLevel="0" collapsed="false">
      <c r="A231" s="7" t="n">
        <v>2020</v>
      </c>
      <c r="B231" s="15" t="s">
        <v>139</v>
      </c>
      <c r="C231" s="19" t="n">
        <v>305.837708</v>
      </c>
      <c r="D231" s="19" t="n">
        <v>305.837708</v>
      </c>
      <c r="E231" s="20" t="n">
        <f aca="false">IF(OR(D231="",D231=0),"",(C231-D231)/D231)</f>
        <v>0</v>
      </c>
      <c r="F231" s="19" t="n">
        <v>301.324015</v>
      </c>
      <c r="G231" s="19" t="n">
        <v>301.324015</v>
      </c>
      <c r="H231" s="20" t="n">
        <f aca="false">IF(OR(G231="",G231=0),"",(F231-G231)/G231)</f>
        <v>0</v>
      </c>
      <c r="I231" s="19" t="n">
        <v>825.708012</v>
      </c>
      <c r="J231" s="19" t="n">
        <v>825.708012</v>
      </c>
      <c r="K231" s="20" t="n">
        <f aca="false">IF(OR(J231="",J231=0),"",(I231-J231)/J231)</f>
        <v>0</v>
      </c>
      <c r="L231" s="21" t="str">
        <f aca="false">IF(OR(D231="",G231="",J231=""),"No reported subtotal",IF(AND(ABS(N(E231))&lt;=$D$2,ABS(N(H231))&lt;=$D$2,ABS(N(K231))&lt;=$D$2),"Reconciles within tolerance","Outside tolerance"))</f>
        <v>Reconciles within tolerance</v>
      </c>
    </row>
    <row r="232" customFormat="false" ht="15" hidden="false" customHeight="false" outlineLevel="0" collapsed="false">
      <c r="A232" s="7" t="n">
        <v>2021</v>
      </c>
      <c r="B232" s="15" t="s">
        <v>139</v>
      </c>
      <c r="C232" s="19" t="n">
        <v>338.360905</v>
      </c>
      <c r="D232" s="19" t="n">
        <v>338.360905</v>
      </c>
      <c r="E232" s="20" t="n">
        <f aca="false">IF(OR(D232="",D232=0),"",(C232-D232)/D232)</f>
        <v>0</v>
      </c>
      <c r="F232" s="19" t="n">
        <v>320.2607</v>
      </c>
      <c r="G232" s="19" t="n">
        <v>320.2607</v>
      </c>
      <c r="H232" s="20" t="n">
        <f aca="false">IF(OR(G232="",G232=0),"",(F232-G232)/G232)</f>
        <v>0</v>
      </c>
      <c r="I232" s="19" t="n">
        <v>1058.814349</v>
      </c>
      <c r="J232" s="19" t="n">
        <v>1058.814349</v>
      </c>
      <c r="K232" s="20" t="n">
        <f aca="false">IF(OR(J232="",J232=0),"",(I232-J232)/J232)</f>
        <v>0</v>
      </c>
      <c r="L232" s="21" t="str">
        <f aca="false">IF(OR(D232="",G232="",J232=""),"No reported subtotal",IF(AND(ABS(N(E232))&lt;=$D$2,ABS(N(H232))&lt;=$D$2,ABS(N(K232))&lt;=$D$2),"Reconciles within tolerance","Outside tolerance"))</f>
        <v>Reconciles within tolerance</v>
      </c>
    </row>
    <row r="233" customFormat="false" ht="15" hidden="false" customHeight="false" outlineLevel="0" collapsed="false">
      <c r="A233" s="7" t="n">
        <v>2022</v>
      </c>
      <c r="B233" s="15" t="s">
        <v>139</v>
      </c>
      <c r="C233" s="19" t="n">
        <v>345.413168</v>
      </c>
      <c r="D233" s="19" t="n">
        <v>345.413168</v>
      </c>
      <c r="E233" s="20" t="n">
        <f aca="false">IF(OR(D233="",D233=0),"",(C233-D233)/D233)</f>
        <v>0</v>
      </c>
      <c r="F233" s="19" t="n">
        <v>352.149153</v>
      </c>
      <c r="G233" s="19" t="n">
        <v>352.149153</v>
      </c>
      <c r="H233" s="20" t="n">
        <f aca="false">IF(OR(G233="",G233=0),"",(F233-G233)/G233)</f>
        <v>0</v>
      </c>
      <c r="I233" s="19" t="n">
        <v>948.677779</v>
      </c>
      <c r="J233" s="19" t="n">
        <v>948.677779</v>
      </c>
      <c r="K233" s="20" t="n">
        <f aca="false">IF(OR(J233="",J233=0),"",(I233-J233)/J233)</f>
        <v>0</v>
      </c>
      <c r="L233" s="21" t="str">
        <f aca="false">IF(OR(D233="",G233="",J233=""),"No reported subtotal",IF(AND(ABS(N(E233))&lt;=$D$2,ABS(N(H233))&lt;=$D$2,ABS(N(K233))&lt;=$D$2),"Reconciles within tolerance","Outside tolerance"))</f>
        <v>Reconciles within tolerance</v>
      </c>
    </row>
    <row r="234" customFormat="false" ht="15" hidden="false" customHeight="false" outlineLevel="0" collapsed="false">
      <c r="A234" s="7" t="n">
        <v>2023</v>
      </c>
      <c r="B234" s="15" t="s">
        <v>139</v>
      </c>
      <c r="C234" s="19" t="n">
        <v>428.612964</v>
      </c>
      <c r="D234" s="19" t="n">
        <v>428.612964</v>
      </c>
      <c r="E234" s="20" t="n">
        <f aca="false">IF(OR(D234="",D234=0),"",(C234-D234)/D234)</f>
        <v>0</v>
      </c>
      <c r="F234" s="19" t="n">
        <v>332.721802</v>
      </c>
      <c r="G234" s="19" t="n">
        <v>332.721802</v>
      </c>
      <c r="H234" s="20" t="n">
        <f aca="false">IF(OR(G234="",G234=0),"",(F234-G234)/G234)</f>
        <v>0</v>
      </c>
      <c r="I234" s="19" t="n">
        <v>1098.552056</v>
      </c>
      <c r="J234" s="19" t="n">
        <v>1098.552056</v>
      </c>
      <c r="K234" s="20" t="n">
        <f aca="false">IF(OR(J234="",J234=0),"",(I234-J234)/J234)</f>
        <v>0</v>
      </c>
      <c r="L234" s="21" t="str">
        <f aca="false">IF(OR(D234="",G234="",J234=""),"No reported subtotal",IF(AND(ABS(N(E234))&lt;=$D$2,ABS(N(H234))&lt;=$D$2,ABS(N(K234))&lt;=$D$2),"Reconciles within tolerance","Outside tolerance"))</f>
        <v>Reconciles within tolerance</v>
      </c>
    </row>
    <row r="235" customFormat="false" ht="15" hidden="false" customHeight="false" outlineLevel="0" collapsed="false">
      <c r="A235" s="7" t="n">
        <v>2024</v>
      </c>
      <c r="B235" s="15" t="s">
        <v>139</v>
      </c>
      <c r="C235" s="19" t="n">
        <v>325.675359</v>
      </c>
      <c r="D235" s="19" t="n">
        <v>325.675359</v>
      </c>
      <c r="E235" s="20" t="n">
        <f aca="false">IF(OR(D235="",D235=0),"",(C235-D235)/D235)</f>
        <v>0</v>
      </c>
      <c r="F235" s="19" t="n">
        <v>370.428698</v>
      </c>
      <c r="G235" s="19" t="n">
        <v>370.428698</v>
      </c>
      <c r="H235" s="20" t="n">
        <f aca="false">IF(OR(G235="",G235=0),"",(F235-G235)/G235)</f>
        <v>0</v>
      </c>
      <c r="I235" s="19" t="n">
        <v>1220.065869</v>
      </c>
      <c r="J235" s="19" t="n">
        <v>1220.065869</v>
      </c>
      <c r="K235" s="20" t="n">
        <f aca="false">IF(OR(J235="",J235=0),"",(I235-J235)/J235)</f>
        <v>0</v>
      </c>
      <c r="L235" s="21" t="str">
        <f aca="false">IF(OR(D235="",G235="",J235=""),"No reported subtotal",IF(AND(ABS(N(E235))&lt;=$D$2,ABS(N(H235))&lt;=$D$2,ABS(N(K235))&lt;=$D$2),"Reconciles within tolerance","Outside tolerance"))</f>
        <v>Reconciles within tolerance</v>
      </c>
    </row>
    <row r="236" customFormat="false" ht="15" hidden="false" customHeight="false" outlineLevel="0" collapsed="false">
      <c r="A236" s="7" t="n">
        <v>2025</v>
      </c>
      <c r="B236" s="15" t="s">
        <v>139</v>
      </c>
      <c r="C236" s="19" t="n">
        <v>310.459236</v>
      </c>
      <c r="D236" s="19" t="n">
        <v>310.459236</v>
      </c>
      <c r="E236" s="20" t="n">
        <f aca="false">IF(OR(D236="",D236=0),"",(C236-D236)/D236)</f>
        <v>0</v>
      </c>
      <c r="F236" s="19" t="n">
        <v>381.955954</v>
      </c>
      <c r="G236" s="19" t="n">
        <v>381.955954</v>
      </c>
      <c r="H236" s="20" t="n">
        <f aca="false">IF(OR(G236="",G236=0),"",(F236-G236)/G236)</f>
        <v>0</v>
      </c>
      <c r="I236" s="19" t="n">
        <v>1612.232211</v>
      </c>
      <c r="J236" s="19" t="n">
        <v>1612.232211</v>
      </c>
      <c r="K236" s="20" t="n">
        <f aca="false">IF(OR(J236="",J236=0),"",(I236-J236)/J236)</f>
        <v>0</v>
      </c>
      <c r="L236" s="21" t="str">
        <f aca="false">IF(OR(D236="",G236="",J236=""),"No reported subtotal",IF(AND(ABS(N(E236))&lt;=$D$2,ABS(N(H236))&lt;=$D$2,ABS(N(K236))&lt;=$D$2),"Reconciles within tolerance","Outside tolerance"))</f>
        <v>Reconciles within tolerance</v>
      </c>
    </row>
    <row r="237" customFormat="false" ht="15" hidden="false" customHeight="false" outlineLevel="0" collapsed="false">
      <c r="A237" s="7" t="n">
        <v>2000</v>
      </c>
      <c r="B237" s="15" t="s">
        <v>125</v>
      </c>
      <c r="C237" s="19" t="n">
        <v>37.267162</v>
      </c>
      <c r="D237" s="19" t="n">
        <v>37.267162</v>
      </c>
      <c r="E237" s="20" t="n">
        <f aca="false">IF(OR(D237="",D237=0),"",(C237-D237)/D237)</f>
        <v>0</v>
      </c>
      <c r="F237" s="19" t="n">
        <v>62.963665</v>
      </c>
      <c r="G237" s="19" t="n">
        <v>62.963665</v>
      </c>
      <c r="H237" s="20" t="n">
        <f aca="false">IF(OR(G237="",G237=0),"",(F237-G237)/G237)</f>
        <v>0</v>
      </c>
      <c r="I237" s="19" t="n">
        <v>33.98422</v>
      </c>
      <c r="J237" s="19" t="n">
        <v>33.98422</v>
      </c>
      <c r="K237" s="20" t="n">
        <f aca="false">IF(OR(J237="",J237=0),"",(I237-J237)/J237)</f>
        <v>0</v>
      </c>
      <c r="L237" s="21" t="str">
        <f aca="false">IF(OR(D237="",G237="",J237=""),"No reported subtotal",IF(AND(ABS(N(E237))&lt;=$D$2,ABS(N(H237))&lt;=$D$2,ABS(N(K237))&lt;=$D$2),"Reconciles within tolerance","Outside tolerance"))</f>
        <v>Reconciles within tolerance</v>
      </c>
    </row>
    <row r="238" customFormat="false" ht="15" hidden="false" customHeight="false" outlineLevel="0" collapsed="false">
      <c r="A238" s="7" t="n">
        <v>2001</v>
      </c>
      <c r="B238" s="15" t="s">
        <v>125</v>
      </c>
      <c r="C238" s="19" t="n">
        <v>39.737771</v>
      </c>
      <c r="D238" s="19" t="n">
        <v>39.737771</v>
      </c>
      <c r="E238" s="20" t="n">
        <f aca="false">IF(OR(D238="",D238=0),"",(C238-D238)/D238)</f>
        <v>0</v>
      </c>
      <c r="F238" s="19" t="n">
        <v>51.807983</v>
      </c>
      <c r="G238" s="19" t="n">
        <v>51.807983</v>
      </c>
      <c r="H238" s="20" t="n">
        <f aca="false">IF(OR(G238="",G238=0),"",(F238-G238)/G238)</f>
        <v>0</v>
      </c>
      <c r="I238" s="19" t="n">
        <v>30.309474</v>
      </c>
      <c r="J238" s="19" t="n">
        <v>30.309474</v>
      </c>
      <c r="K238" s="20" t="n">
        <f aca="false">IF(OR(J238="",J238=0),"",(I238-J238)/J238)</f>
        <v>0</v>
      </c>
      <c r="L238" s="21" t="str">
        <f aca="false">IF(OR(D238="",G238="",J238=""),"No reported subtotal",IF(AND(ABS(N(E238))&lt;=$D$2,ABS(N(H238))&lt;=$D$2,ABS(N(K238))&lt;=$D$2),"Reconciles within tolerance","Outside tolerance"))</f>
        <v>Reconciles within tolerance</v>
      </c>
    </row>
    <row r="239" customFormat="false" ht="15" hidden="false" customHeight="false" outlineLevel="0" collapsed="false">
      <c r="A239" s="7" t="n">
        <v>2002</v>
      </c>
      <c r="B239" s="15" t="s">
        <v>125</v>
      </c>
      <c r="C239" s="19" t="n">
        <v>38.038845</v>
      </c>
      <c r="D239" s="19" t="n">
        <v>38.038845</v>
      </c>
      <c r="E239" s="20" t="n">
        <f aca="false">IF(OR(D239="",D239=0),"",(C239-D239)/D239)</f>
        <v>0</v>
      </c>
      <c r="F239" s="19" t="n">
        <v>42.937938</v>
      </c>
      <c r="G239" s="19" t="n">
        <v>42.937938</v>
      </c>
      <c r="H239" s="20" t="n">
        <f aca="false">IF(OR(G239="",G239=0),"",(F239-G239)/G239)</f>
        <v>0</v>
      </c>
      <c r="I239" s="19" t="n">
        <v>58.893326</v>
      </c>
      <c r="J239" s="19" t="n">
        <v>58.893326</v>
      </c>
      <c r="K239" s="20" t="n">
        <f aca="false">IF(OR(J239="",J239=0),"",(I239-J239)/J239)</f>
        <v>0</v>
      </c>
      <c r="L239" s="21" t="str">
        <f aca="false">IF(OR(D239="",G239="",J239=""),"No reported subtotal",IF(AND(ABS(N(E239))&lt;=$D$2,ABS(N(H239))&lt;=$D$2,ABS(N(K239))&lt;=$D$2),"Reconciles within tolerance","Outside tolerance"))</f>
        <v>Reconciles within tolerance</v>
      </c>
    </row>
    <row r="240" customFormat="false" ht="15" hidden="false" customHeight="false" outlineLevel="0" collapsed="false">
      <c r="A240" s="7" t="n">
        <v>2003</v>
      </c>
      <c r="B240" s="15" t="s">
        <v>125</v>
      </c>
      <c r="C240" s="19" t="n">
        <v>46.117506</v>
      </c>
      <c r="D240" s="19" t="n">
        <v>46.117506</v>
      </c>
      <c r="E240" s="20" t="n">
        <f aca="false">IF(OR(D240="",D240=0),"",(C240-D240)/D240)</f>
        <v>0</v>
      </c>
      <c r="F240" s="19" t="n">
        <v>44.065263</v>
      </c>
      <c r="G240" s="19" t="n">
        <v>44.065263</v>
      </c>
      <c r="H240" s="20" t="n">
        <f aca="false">IF(OR(G240="",G240=0),"",(F240-G240)/G240)</f>
        <v>0</v>
      </c>
      <c r="I240" s="19" t="n">
        <v>63.675203</v>
      </c>
      <c r="J240" s="19" t="n">
        <v>63.675203</v>
      </c>
      <c r="K240" s="20" t="n">
        <f aca="false">IF(OR(J240="",J240=0),"",(I240-J240)/J240)</f>
        <v>0</v>
      </c>
      <c r="L240" s="21" t="str">
        <f aca="false">IF(OR(D240="",G240="",J240=""),"No reported subtotal",IF(AND(ABS(N(E240))&lt;=$D$2,ABS(N(H240))&lt;=$D$2,ABS(N(K240))&lt;=$D$2),"Reconciles within tolerance","Outside tolerance"))</f>
        <v>Reconciles within tolerance</v>
      </c>
    </row>
    <row r="241" customFormat="false" ht="15" hidden="false" customHeight="false" outlineLevel="0" collapsed="false">
      <c r="A241" s="7" t="n">
        <v>2004</v>
      </c>
      <c r="B241" s="15" t="s">
        <v>125</v>
      </c>
      <c r="C241" s="19" t="n">
        <v>39.35244</v>
      </c>
      <c r="D241" s="19" t="n">
        <v>39.35244</v>
      </c>
      <c r="E241" s="20" t="n">
        <f aca="false">IF(OR(D241="",D241=0),"",(C241-D241)/D241)</f>
        <v>0</v>
      </c>
      <c r="F241" s="19" t="n">
        <v>34.796479</v>
      </c>
      <c r="G241" s="19" t="n">
        <v>34.796479</v>
      </c>
      <c r="H241" s="20" t="n">
        <f aca="false">IF(OR(G241="",G241=0),"",(F241-G241)/G241)</f>
        <v>0</v>
      </c>
      <c r="I241" s="19" t="n">
        <v>65.891097</v>
      </c>
      <c r="J241" s="19" t="n">
        <v>65.891097</v>
      </c>
      <c r="K241" s="20" t="n">
        <f aca="false">IF(OR(J241="",J241=0),"",(I241-J241)/J241)</f>
        <v>0</v>
      </c>
      <c r="L241" s="21" t="str">
        <f aca="false">IF(OR(D241="",G241="",J241=""),"No reported subtotal",IF(AND(ABS(N(E241))&lt;=$D$2,ABS(N(H241))&lt;=$D$2,ABS(N(K241))&lt;=$D$2),"Reconciles within tolerance","Outside tolerance"))</f>
        <v>Reconciles within tolerance</v>
      </c>
    </row>
    <row r="242" customFormat="false" ht="15" hidden="false" customHeight="false" outlineLevel="0" collapsed="false">
      <c r="A242" s="7" t="n">
        <v>2005</v>
      </c>
      <c r="B242" s="15" t="s">
        <v>125</v>
      </c>
      <c r="C242" s="19" t="n">
        <v>32.621788</v>
      </c>
      <c r="D242" s="19" t="n">
        <v>32.621788</v>
      </c>
      <c r="E242" s="20" t="n">
        <f aca="false">IF(OR(D242="",D242=0),"",(C242-D242)/D242)</f>
        <v>0</v>
      </c>
      <c r="F242" s="19" t="n">
        <v>37.790393</v>
      </c>
      <c r="G242" s="19" t="n">
        <v>37.790393</v>
      </c>
      <c r="H242" s="20" t="n">
        <f aca="false">IF(OR(G242="",G242=0),"",(F242-G242)/G242)</f>
        <v>0</v>
      </c>
      <c r="I242" s="19" t="n">
        <v>67.728496</v>
      </c>
      <c r="J242" s="19" t="n">
        <v>67.728496</v>
      </c>
      <c r="K242" s="20" t="n">
        <f aca="false">IF(OR(J242="",J242=0),"",(I242-J242)/J242)</f>
        <v>0</v>
      </c>
      <c r="L242" s="21" t="str">
        <f aca="false">IF(OR(D242="",G242="",J242=""),"No reported subtotal",IF(AND(ABS(N(E242))&lt;=$D$2,ABS(N(H242))&lt;=$D$2,ABS(N(K242))&lt;=$D$2),"Reconciles within tolerance","Outside tolerance"))</f>
        <v>Reconciles within tolerance</v>
      </c>
    </row>
    <row r="243" customFormat="false" ht="15" hidden="false" customHeight="false" outlineLevel="0" collapsed="false">
      <c r="A243" s="7" t="n">
        <v>2006</v>
      </c>
      <c r="B243" s="15" t="s">
        <v>125</v>
      </c>
      <c r="C243" s="19" t="n">
        <v>35.523678</v>
      </c>
      <c r="D243" s="19" t="n">
        <v>35.523678</v>
      </c>
      <c r="E243" s="20" t="n">
        <f aca="false">IF(OR(D243="",D243=0),"",(C243-D243)/D243)</f>
        <v>0</v>
      </c>
      <c r="F243" s="19" t="n">
        <v>36.113499</v>
      </c>
      <c r="G243" s="19" t="n">
        <v>36.113499</v>
      </c>
      <c r="H243" s="20" t="n">
        <f aca="false">IF(OR(G243="",G243=0),"",(F243-G243)/G243)</f>
        <v>0</v>
      </c>
      <c r="I243" s="19" t="n">
        <v>57.763414</v>
      </c>
      <c r="J243" s="19" t="n">
        <v>57.763414</v>
      </c>
      <c r="K243" s="20" t="n">
        <f aca="false">IF(OR(J243="",J243=0),"",(I243-J243)/J243)</f>
        <v>0</v>
      </c>
      <c r="L243" s="21" t="str">
        <f aca="false">IF(OR(D243="",G243="",J243=""),"No reported subtotal",IF(AND(ABS(N(E243))&lt;=$D$2,ABS(N(H243))&lt;=$D$2,ABS(N(K243))&lt;=$D$2),"Reconciles within tolerance","Outside tolerance"))</f>
        <v>Reconciles within tolerance</v>
      </c>
    </row>
    <row r="244" customFormat="false" ht="15" hidden="false" customHeight="false" outlineLevel="0" collapsed="false">
      <c r="A244" s="7" t="n">
        <v>2007</v>
      </c>
      <c r="B244" s="15" t="s">
        <v>125</v>
      </c>
      <c r="C244" s="19" t="n">
        <v>40.573526</v>
      </c>
      <c r="D244" s="19" t="n">
        <v>40.573526</v>
      </c>
      <c r="E244" s="20" t="n">
        <f aca="false">IF(OR(D244="",D244=0),"",(C244-D244)/D244)</f>
        <v>0</v>
      </c>
      <c r="F244" s="19" t="n">
        <v>52.063359</v>
      </c>
      <c r="G244" s="19" t="n">
        <v>52.063359</v>
      </c>
      <c r="H244" s="20" t="n">
        <f aca="false">IF(OR(G244="",G244=0),"",(F244-G244)/G244)</f>
        <v>0</v>
      </c>
      <c r="I244" s="19" t="n">
        <v>73.890907</v>
      </c>
      <c r="J244" s="19" t="n">
        <v>73.890907</v>
      </c>
      <c r="K244" s="20" t="n">
        <f aca="false">IF(OR(J244="",J244=0),"",(I244-J244)/J244)</f>
        <v>0</v>
      </c>
      <c r="L244" s="21" t="str">
        <f aca="false">IF(OR(D244="",G244="",J244=""),"No reported subtotal",IF(AND(ABS(N(E244))&lt;=$D$2,ABS(N(H244))&lt;=$D$2,ABS(N(K244))&lt;=$D$2),"Reconciles within tolerance","Outside tolerance"))</f>
        <v>Reconciles within tolerance</v>
      </c>
    </row>
    <row r="245" customFormat="false" ht="15" hidden="false" customHeight="false" outlineLevel="0" collapsed="false">
      <c r="A245" s="7" t="n">
        <v>2008</v>
      </c>
      <c r="B245" s="15" t="s">
        <v>125</v>
      </c>
      <c r="C245" s="19" t="n">
        <v>42.908802</v>
      </c>
      <c r="D245" s="19" t="n">
        <v>42.908802</v>
      </c>
      <c r="E245" s="20" t="n">
        <f aca="false">IF(OR(D245="",D245=0),"",(C245-D245)/D245)</f>
        <v>0</v>
      </c>
      <c r="F245" s="19" t="n">
        <v>55.755664</v>
      </c>
      <c r="G245" s="19" t="n">
        <v>55.755664</v>
      </c>
      <c r="H245" s="20" t="n">
        <f aca="false">IF(OR(G245="",G245=0),"",(F245-G245)/G245)</f>
        <v>0</v>
      </c>
      <c r="I245" s="19" t="n">
        <v>91.164289</v>
      </c>
      <c r="J245" s="19" t="n">
        <v>91.164289</v>
      </c>
      <c r="K245" s="20" t="n">
        <f aca="false">IF(OR(J245="",J245=0),"",(I245-J245)/J245)</f>
        <v>0</v>
      </c>
      <c r="L245" s="21" t="str">
        <f aca="false">IF(OR(D245="",G245="",J245=""),"No reported subtotal",IF(AND(ABS(N(E245))&lt;=$D$2,ABS(N(H245))&lt;=$D$2,ABS(N(K245))&lt;=$D$2),"Reconciles within tolerance","Outside tolerance"))</f>
        <v>Reconciles within tolerance</v>
      </c>
    </row>
    <row r="246" customFormat="false" ht="15" hidden="false" customHeight="false" outlineLevel="0" collapsed="false">
      <c r="A246" s="7" t="n">
        <v>2009</v>
      </c>
      <c r="B246" s="15" t="s">
        <v>125</v>
      </c>
      <c r="C246" s="19" t="n">
        <v>49.277498</v>
      </c>
      <c r="D246" s="19" t="n">
        <v>49.277498</v>
      </c>
      <c r="E246" s="20" t="n">
        <f aca="false">IF(OR(D246="",D246=0),"",(C246-D246)/D246)</f>
        <v>0</v>
      </c>
      <c r="F246" s="19" t="n">
        <v>55.151615</v>
      </c>
      <c r="G246" s="19" t="n">
        <v>55.151615</v>
      </c>
      <c r="H246" s="20" t="n">
        <f aca="false">IF(OR(G246="",G246=0),"",(F246-G246)/G246)</f>
        <v>0</v>
      </c>
      <c r="I246" s="19" t="n">
        <v>89.273656</v>
      </c>
      <c r="J246" s="19" t="n">
        <v>89.273656</v>
      </c>
      <c r="K246" s="20" t="n">
        <f aca="false">IF(OR(J246="",J246=0),"",(I246-J246)/J246)</f>
        <v>0</v>
      </c>
      <c r="L246" s="21" t="str">
        <f aca="false">IF(OR(D246="",G246="",J246=""),"No reported subtotal",IF(AND(ABS(N(E246))&lt;=$D$2,ABS(N(H246))&lt;=$D$2,ABS(N(K246))&lt;=$D$2),"Reconciles within tolerance","Outside tolerance"))</f>
        <v>Reconciles within tolerance</v>
      </c>
    </row>
    <row r="247" customFormat="false" ht="15" hidden="false" customHeight="false" outlineLevel="0" collapsed="false">
      <c r="A247" s="7" t="n">
        <v>2010</v>
      </c>
      <c r="B247" s="15" t="s">
        <v>125</v>
      </c>
      <c r="C247" s="19" t="n">
        <v>56.125233</v>
      </c>
      <c r="D247" s="19" t="n">
        <v>56.125233</v>
      </c>
      <c r="E247" s="20" t="n">
        <f aca="false">IF(OR(D247="",D247=0),"",(C247-D247)/D247)</f>
        <v>0</v>
      </c>
      <c r="F247" s="19" t="n">
        <v>54.831145</v>
      </c>
      <c r="G247" s="19" t="n">
        <v>54.831145</v>
      </c>
      <c r="H247" s="20" t="n">
        <f aca="false">IF(OR(G247="",G247=0),"",(F247-G247)/G247)</f>
        <v>0</v>
      </c>
      <c r="I247" s="19" t="n">
        <v>122.47186</v>
      </c>
      <c r="J247" s="19" t="n">
        <v>122.47186</v>
      </c>
      <c r="K247" s="20" t="n">
        <f aca="false">IF(OR(J247="",J247=0),"",(I247-J247)/J247)</f>
        <v>0</v>
      </c>
      <c r="L247" s="21" t="str">
        <f aca="false">IF(OR(D247="",G247="",J247=""),"No reported subtotal",IF(AND(ABS(N(E247))&lt;=$D$2,ABS(N(H247))&lt;=$D$2,ABS(N(K247))&lt;=$D$2),"Reconciles within tolerance","Outside tolerance"))</f>
        <v>Reconciles within tolerance</v>
      </c>
    </row>
    <row r="248" customFormat="false" ht="15" hidden="false" customHeight="false" outlineLevel="0" collapsed="false">
      <c r="A248" s="7" t="n">
        <v>2011</v>
      </c>
      <c r="B248" s="15" t="s">
        <v>125</v>
      </c>
      <c r="C248" s="19" t="n">
        <v>66.564492</v>
      </c>
      <c r="D248" s="19" t="n">
        <v>66.564492</v>
      </c>
      <c r="E248" s="20" t="n">
        <f aca="false">IF(OR(D248="",D248=0),"",(C248-D248)/D248)</f>
        <v>0</v>
      </c>
      <c r="F248" s="19" t="n">
        <v>55.119727</v>
      </c>
      <c r="G248" s="19" t="n">
        <v>55.119727</v>
      </c>
      <c r="H248" s="20" t="n">
        <f aca="false">IF(OR(G248="",G248=0),"",(F248-G248)/G248)</f>
        <v>0</v>
      </c>
      <c r="I248" s="19" t="n">
        <v>84.658689</v>
      </c>
      <c r="J248" s="19" t="n">
        <v>84.658689</v>
      </c>
      <c r="K248" s="20" t="n">
        <f aca="false">IF(OR(J248="",J248=0),"",(I248-J248)/J248)</f>
        <v>0</v>
      </c>
      <c r="L248" s="21" t="str">
        <f aca="false">IF(OR(D248="",G248="",J248=""),"No reported subtotal",IF(AND(ABS(N(E248))&lt;=$D$2,ABS(N(H248))&lt;=$D$2,ABS(N(K248))&lt;=$D$2),"Reconciles within tolerance","Outside tolerance"))</f>
        <v>Reconciles within tolerance</v>
      </c>
    </row>
    <row r="249" customFormat="false" ht="15" hidden="false" customHeight="false" outlineLevel="0" collapsed="false">
      <c r="A249" s="7" t="n">
        <v>2012</v>
      </c>
      <c r="B249" s="15" t="s">
        <v>125</v>
      </c>
      <c r="C249" s="19" t="n">
        <v>65.09948</v>
      </c>
      <c r="D249" s="19" t="n">
        <v>65.09948</v>
      </c>
      <c r="E249" s="20" t="n">
        <f aca="false">IF(OR(D249="",D249=0),"",(C249-D249)/D249)</f>
        <v>0</v>
      </c>
      <c r="F249" s="19" t="n">
        <v>59.847366</v>
      </c>
      <c r="G249" s="19" t="n">
        <v>59.847366</v>
      </c>
      <c r="H249" s="20" t="n">
        <f aca="false">IF(OR(G249="",G249=0),"",(F249-G249)/G249)</f>
        <v>0</v>
      </c>
      <c r="I249" s="19" t="n">
        <v>97.160796</v>
      </c>
      <c r="J249" s="19" t="n">
        <v>97.160796</v>
      </c>
      <c r="K249" s="20" t="n">
        <f aca="false">IF(OR(J249="",J249=0),"",(I249-J249)/J249)</f>
        <v>0</v>
      </c>
      <c r="L249" s="21" t="str">
        <f aca="false">IF(OR(D249="",G249="",J249=""),"No reported subtotal",IF(AND(ABS(N(E249))&lt;=$D$2,ABS(N(H249))&lt;=$D$2,ABS(N(K249))&lt;=$D$2),"Reconciles within tolerance","Outside tolerance"))</f>
        <v>Reconciles within tolerance</v>
      </c>
    </row>
    <row r="250" customFormat="false" ht="15" hidden="false" customHeight="false" outlineLevel="0" collapsed="false">
      <c r="A250" s="7" t="n">
        <v>2013</v>
      </c>
      <c r="B250" s="15" t="s">
        <v>125</v>
      </c>
      <c r="C250" s="19" t="n">
        <v>56.785317</v>
      </c>
      <c r="D250" s="19" t="n">
        <v>56.785317</v>
      </c>
      <c r="E250" s="20" t="n">
        <f aca="false">IF(OR(D250="",D250=0),"",(C250-D250)/D250)</f>
        <v>0</v>
      </c>
      <c r="F250" s="19" t="n">
        <v>56.488379</v>
      </c>
      <c r="G250" s="19" t="n">
        <v>56.488379</v>
      </c>
      <c r="H250" s="20" t="n">
        <f aca="false">IF(OR(G250="",G250=0),"",(F250-G250)/G250)</f>
        <v>0</v>
      </c>
      <c r="I250" s="19" t="n">
        <v>165.494331</v>
      </c>
      <c r="J250" s="19" t="n">
        <v>165.494331</v>
      </c>
      <c r="K250" s="20" t="n">
        <f aca="false">IF(OR(J250="",J250=0),"",(I250-J250)/J250)</f>
        <v>0</v>
      </c>
      <c r="L250" s="21" t="str">
        <f aca="false">IF(OR(D250="",G250="",J250=""),"No reported subtotal",IF(AND(ABS(N(E250))&lt;=$D$2,ABS(N(H250))&lt;=$D$2,ABS(N(K250))&lt;=$D$2),"Reconciles within tolerance","Outside tolerance"))</f>
        <v>Reconciles within tolerance</v>
      </c>
    </row>
    <row r="251" customFormat="false" ht="15" hidden="false" customHeight="false" outlineLevel="0" collapsed="false">
      <c r="A251" s="7" t="n">
        <v>2014</v>
      </c>
      <c r="B251" s="15" t="s">
        <v>125</v>
      </c>
      <c r="C251" s="19" t="n">
        <v>72.681307</v>
      </c>
      <c r="D251" s="19" t="n">
        <v>72.681307</v>
      </c>
      <c r="E251" s="20" t="n">
        <f aca="false">IF(OR(D251="",D251=0),"",(C251-D251)/D251)</f>
        <v>0</v>
      </c>
      <c r="F251" s="19" t="n">
        <v>62.376017</v>
      </c>
      <c r="G251" s="19" t="n">
        <v>62.376017</v>
      </c>
      <c r="H251" s="20" t="n">
        <f aca="false">IF(OR(G251="",G251=0),"",(F251-G251)/G251)</f>
        <v>0</v>
      </c>
      <c r="I251" s="19" t="n">
        <v>160.97999</v>
      </c>
      <c r="J251" s="19" t="n">
        <v>160.97999</v>
      </c>
      <c r="K251" s="20" t="n">
        <f aca="false">IF(OR(J251="",J251=0),"",(I251-J251)/J251)</f>
        <v>0</v>
      </c>
      <c r="L251" s="21" t="str">
        <f aca="false">IF(OR(D251="",G251="",J251=""),"No reported subtotal",IF(AND(ABS(N(E251))&lt;=$D$2,ABS(N(H251))&lt;=$D$2,ABS(N(K251))&lt;=$D$2),"Reconciles within tolerance","Outside tolerance"))</f>
        <v>Reconciles within tolerance</v>
      </c>
    </row>
    <row r="252" customFormat="false" ht="15" hidden="false" customHeight="false" outlineLevel="0" collapsed="false">
      <c r="A252" s="7" t="n">
        <v>2015</v>
      </c>
      <c r="B252" s="15" t="s">
        <v>125</v>
      </c>
      <c r="C252" s="19" t="n">
        <v>75.338422</v>
      </c>
      <c r="D252" s="19" t="n">
        <v>75.338422</v>
      </c>
      <c r="E252" s="20" t="n">
        <f aca="false">IF(OR(D252="",D252=0),"",(C252-D252)/D252)</f>
        <v>0</v>
      </c>
      <c r="F252" s="19" t="n">
        <v>79.480109</v>
      </c>
      <c r="G252" s="19" t="n">
        <v>79.480109</v>
      </c>
      <c r="H252" s="20" t="n">
        <f aca="false">IF(OR(G252="",G252=0),"",(F252-G252)/G252)</f>
        <v>0</v>
      </c>
      <c r="I252" s="19" t="n">
        <v>134.679991</v>
      </c>
      <c r="J252" s="19" t="n">
        <v>134.679991</v>
      </c>
      <c r="K252" s="20" t="n">
        <f aca="false">IF(OR(J252="",J252=0),"",(I252-J252)/J252)</f>
        <v>0</v>
      </c>
      <c r="L252" s="21" t="str">
        <f aca="false">IF(OR(D252="",G252="",J252=""),"No reported subtotal",IF(AND(ABS(N(E252))&lt;=$D$2,ABS(N(H252))&lt;=$D$2,ABS(N(K252))&lt;=$D$2),"Reconciles within tolerance","Outside tolerance"))</f>
        <v>Reconciles within tolerance</v>
      </c>
    </row>
    <row r="253" customFormat="false" ht="15" hidden="false" customHeight="false" outlineLevel="0" collapsed="false">
      <c r="A253" s="7" t="n">
        <v>2016</v>
      </c>
      <c r="B253" s="15" t="s">
        <v>125</v>
      </c>
      <c r="C253" s="19" t="n">
        <v>83.795657</v>
      </c>
      <c r="D253" s="19" t="n">
        <v>83.795657</v>
      </c>
      <c r="E253" s="20" t="n">
        <f aca="false">IF(OR(D253="",D253=0),"",(C253-D253)/D253)</f>
        <v>0</v>
      </c>
      <c r="F253" s="19" t="n">
        <v>78.866043</v>
      </c>
      <c r="G253" s="19" t="n">
        <v>78.866043</v>
      </c>
      <c r="H253" s="20" t="n">
        <f aca="false">IF(OR(G253="",G253=0),"",(F253-G253)/G253)</f>
        <v>0</v>
      </c>
      <c r="I253" s="19" t="n">
        <v>119.135208</v>
      </c>
      <c r="J253" s="19" t="n">
        <v>119.135208</v>
      </c>
      <c r="K253" s="20" t="n">
        <f aca="false">IF(OR(J253="",J253=0),"",(I253-J253)/J253)</f>
        <v>0</v>
      </c>
      <c r="L253" s="21" t="str">
        <f aca="false">IF(OR(D253="",G253="",J253=""),"No reported subtotal",IF(AND(ABS(N(E253))&lt;=$D$2,ABS(N(H253))&lt;=$D$2,ABS(N(K253))&lt;=$D$2),"Reconciles within tolerance","Outside tolerance"))</f>
        <v>Reconciles within tolerance</v>
      </c>
    </row>
    <row r="254" customFormat="false" ht="15" hidden="false" customHeight="false" outlineLevel="0" collapsed="false">
      <c r="A254" s="7" t="n">
        <v>2017</v>
      </c>
      <c r="B254" s="15" t="s">
        <v>125</v>
      </c>
      <c r="C254" s="19" t="n">
        <v>84.76521</v>
      </c>
      <c r="D254" s="19" t="n">
        <v>84.76521</v>
      </c>
      <c r="E254" s="20" t="n">
        <f aca="false">IF(OR(D254="",D254=0),"",(C254-D254)/D254)</f>
        <v>0</v>
      </c>
      <c r="F254" s="19" t="n">
        <v>62.560053</v>
      </c>
      <c r="G254" s="19" t="n">
        <v>62.560053</v>
      </c>
      <c r="H254" s="20" t="n">
        <f aca="false">IF(OR(G254="",G254=0),"",(F254-G254)/G254)</f>
        <v>0</v>
      </c>
      <c r="I254" s="19" t="n">
        <v>142.450288</v>
      </c>
      <c r="J254" s="19" t="n">
        <v>142.450288</v>
      </c>
      <c r="K254" s="20" t="n">
        <f aca="false">IF(OR(J254="",J254=0),"",(I254-J254)/J254)</f>
        <v>0</v>
      </c>
      <c r="L254" s="21" t="str">
        <f aca="false">IF(OR(D254="",G254="",J254=""),"No reported subtotal",IF(AND(ABS(N(E254))&lt;=$D$2,ABS(N(H254))&lt;=$D$2,ABS(N(K254))&lt;=$D$2),"Reconciles within tolerance","Outside tolerance"))</f>
        <v>Reconciles within tolerance</v>
      </c>
    </row>
    <row r="255" customFormat="false" ht="15" hidden="false" customHeight="false" outlineLevel="0" collapsed="false">
      <c r="A255" s="7" t="n">
        <v>2018</v>
      </c>
      <c r="B255" s="15" t="s">
        <v>125</v>
      </c>
      <c r="C255" s="19" t="n">
        <v>80.736882</v>
      </c>
      <c r="D255" s="19" t="n">
        <v>80.736882</v>
      </c>
      <c r="E255" s="20" t="n">
        <f aca="false">IF(OR(D255="",D255=0),"",(C255-D255)/D255)</f>
        <v>0</v>
      </c>
      <c r="F255" s="19" t="n">
        <v>60.873172</v>
      </c>
      <c r="G255" s="19" t="n">
        <v>60.873172</v>
      </c>
      <c r="H255" s="20" t="n">
        <f aca="false">IF(OR(G255="",G255=0),"",(F255-G255)/G255)</f>
        <v>0</v>
      </c>
      <c r="I255" s="19" t="n">
        <v>138.777257</v>
      </c>
      <c r="J255" s="19" t="n">
        <v>138.777257</v>
      </c>
      <c r="K255" s="20" t="n">
        <f aca="false">IF(OR(J255="",J255=0),"",(I255-J255)/J255)</f>
        <v>0</v>
      </c>
      <c r="L255" s="21" t="str">
        <f aca="false">IF(OR(D255="",G255="",J255=""),"No reported subtotal",IF(AND(ABS(N(E255))&lt;=$D$2,ABS(N(H255))&lt;=$D$2,ABS(N(K255))&lt;=$D$2),"Reconciles within tolerance","Outside tolerance"))</f>
        <v>Reconciles within tolerance</v>
      </c>
    </row>
    <row r="256" customFormat="false" ht="15" hidden="false" customHeight="false" outlineLevel="0" collapsed="false">
      <c r="A256" s="7" t="n">
        <v>2019</v>
      </c>
      <c r="B256" s="15" t="s">
        <v>125</v>
      </c>
      <c r="C256" s="19" t="n">
        <v>86.862307</v>
      </c>
      <c r="D256" s="19" t="n">
        <v>86.862307</v>
      </c>
      <c r="E256" s="20" t="n">
        <f aca="false">IF(OR(D256="",D256=0),"",(C256-D256)/D256)</f>
        <v>0</v>
      </c>
      <c r="F256" s="19" t="n">
        <v>56.26712</v>
      </c>
      <c r="G256" s="19" t="n">
        <v>56.26712</v>
      </c>
      <c r="H256" s="20" t="n">
        <f aca="false">IF(OR(G256="",G256=0),"",(F256-G256)/G256)</f>
        <v>0</v>
      </c>
      <c r="I256" s="19" t="n">
        <v>121.827339</v>
      </c>
      <c r="J256" s="19" t="n">
        <v>121.827339</v>
      </c>
      <c r="K256" s="20" t="n">
        <f aca="false">IF(OR(J256="",J256=0),"",(I256-J256)/J256)</f>
        <v>0</v>
      </c>
      <c r="L256" s="21" t="str">
        <f aca="false">IF(OR(D256="",G256="",J256=""),"No reported subtotal",IF(AND(ABS(N(E256))&lt;=$D$2,ABS(N(H256))&lt;=$D$2,ABS(N(K256))&lt;=$D$2),"Reconciles within tolerance","Outside tolerance"))</f>
        <v>Reconciles within tolerance</v>
      </c>
    </row>
    <row r="257" customFormat="false" ht="15" hidden="false" customHeight="false" outlineLevel="0" collapsed="false">
      <c r="A257" s="7" t="n">
        <v>2020</v>
      </c>
      <c r="B257" s="15" t="s">
        <v>125</v>
      </c>
      <c r="C257" s="19" t="n">
        <v>106.365708</v>
      </c>
      <c r="D257" s="19" t="n">
        <v>106.365708</v>
      </c>
      <c r="E257" s="20" t="n">
        <f aca="false">IF(OR(D257="",D257=0),"",(C257-D257)/D257)</f>
        <v>0</v>
      </c>
      <c r="F257" s="19" t="n">
        <v>68.079756</v>
      </c>
      <c r="G257" s="19" t="n">
        <v>68.079756</v>
      </c>
      <c r="H257" s="20" t="n">
        <f aca="false">IF(OR(G257="",G257=0),"",(F257-G257)/G257)</f>
        <v>0</v>
      </c>
      <c r="I257" s="19" t="n">
        <v>143.443679</v>
      </c>
      <c r="J257" s="19" t="n">
        <v>143.443679</v>
      </c>
      <c r="K257" s="20" t="n">
        <f aca="false">IF(OR(J257="",J257=0),"",(I257-J257)/J257)</f>
        <v>0</v>
      </c>
      <c r="L257" s="21" t="str">
        <f aca="false">IF(OR(D257="",G257="",J257=""),"No reported subtotal",IF(AND(ABS(N(E257))&lt;=$D$2,ABS(N(H257))&lt;=$D$2,ABS(N(K257))&lt;=$D$2),"Reconciles within tolerance","Outside tolerance"))</f>
        <v>Reconciles within tolerance</v>
      </c>
    </row>
    <row r="258" customFormat="false" ht="15" hidden="false" customHeight="false" outlineLevel="0" collapsed="false">
      <c r="A258" s="7" t="n">
        <v>2021</v>
      </c>
      <c r="B258" s="15" t="s">
        <v>125</v>
      </c>
      <c r="C258" s="19" t="n">
        <v>95.264267</v>
      </c>
      <c r="D258" s="19" t="n">
        <v>95.320589</v>
      </c>
      <c r="E258" s="20" t="n">
        <f aca="false">IF(OR(D258="",D258=0),"",(C258-D258)/D258)</f>
        <v>-0.000590869198258882</v>
      </c>
      <c r="F258" s="19" t="n">
        <v>61.915364</v>
      </c>
      <c r="G258" s="19" t="n">
        <v>61.915364</v>
      </c>
      <c r="H258" s="20" t="n">
        <f aca="false">IF(OR(G258="",G258=0),"",(F258-G258)/G258)</f>
        <v>0</v>
      </c>
      <c r="I258" s="19" t="n">
        <v>149.856617</v>
      </c>
      <c r="J258" s="19" t="n">
        <v>149.856617</v>
      </c>
      <c r="K258" s="20" t="n">
        <f aca="false">IF(OR(J258="",J258=0),"",(I258-J258)/J258)</f>
        <v>0</v>
      </c>
      <c r="L258" s="21" t="str">
        <f aca="false">IF(OR(D258="",G258="",J258=""),"No reported subtotal",IF(AND(ABS(N(E258))&lt;=$D$2,ABS(N(H258))&lt;=$D$2,ABS(N(K258))&lt;=$D$2),"Reconciles within tolerance","Outside tolerance"))</f>
        <v>Reconciles within tolerance</v>
      </c>
    </row>
    <row r="259" customFormat="false" ht="15" hidden="false" customHeight="false" outlineLevel="0" collapsed="false">
      <c r="A259" s="7" t="n">
        <v>2022</v>
      </c>
      <c r="B259" s="15" t="s">
        <v>125</v>
      </c>
      <c r="C259" s="19" t="n">
        <v>93.010742</v>
      </c>
      <c r="D259" s="19" t="n">
        <v>93.010742</v>
      </c>
      <c r="E259" s="20" t="n">
        <f aca="false">IF(OR(D259="",D259=0),"",(C259-D259)/D259)</f>
        <v>0</v>
      </c>
      <c r="F259" s="19" t="n">
        <v>67.439766</v>
      </c>
      <c r="G259" s="19" t="n">
        <v>67.439766</v>
      </c>
      <c r="H259" s="20" t="n">
        <f aca="false">IF(OR(G259="",G259=0),"",(F259-G259)/G259)</f>
        <v>0</v>
      </c>
      <c r="I259" s="19" t="n">
        <v>162.247793</v>
      </c>
      <c r="J259" s="19" t="n">
        <v>162.247793</v>
      </c>
      <c r="K259" s="20" t="n">
        <f aca="false">IF(OR(J259="",J259=0),"",(I259-J259)/J259)</f>
        <v>0</v>
      </c>
      <c r="L259" s="21" t="str">
        <f aca="false">IF(OR(D259="",G259="",J259=""),"No reported subtotal",IF(AND(ABS(N(E259))&lt;=$D$2,ABS(N(H259))&lt;=$D$2,ABS(N(K259))&lt;=$D$2),"Reconciles within tolerance","Outside tolerance"))</f>
        <v>Reconciles within tolerance</v>
      </c>
    </row>
    <row r="260" customFormat="false" ht="15" hidden="false" customHeight="false" outlineLevel="0" collapsed="false">
      <c r="A260" s="7" t="n">
        <v>2023</v>
      </c>
      <c r="B260" s="15" t="s">
        <v>125</v>
      </c>
      <c r="C260" s="19" t="n">
        <v>100.066734</v>
      </c>
      <c r="D260" s="19" t="n">
        <v>100.066734</v>
      </c>
      <c r="E260" s="20" t="n">
        <f aca="false">IF(OR(D260="",D260=0),"",(C260-D260)/D260)</f>
        <v>0</v>
      </c>
      <c r="F260" s="19" t="n">
        <v>71.228313</v>
      </c>
      <c r="G260" s="19" t="n">
        <v>71.228313</v>
      </c>
      <c r="H260" s="20" t="n">
        <f aca="false">IF(OR(G260="",G260=0),"",(F260-G260)/G260)</f>
        <v>0</v>
      </c>
      <c r="I260" s="19" t="n">
        <v>185.48472</v>
      </c>
      <c r="J260" s="19" t="n">
        <v>185.48472</v>
      </c>
      <c r="K260" s="20" t="n">
        <f aca="false">IF(OR(J260="",J260=0),"",(I260-J260)/J260)</f>
        <v>0</v>
      </c>
      <c r="L260" s="21" t="str">
        <f aca="false">IF(OR(D260="",G260="",J260=""),"No reported subtotal",IF(AND(ABS(N(E260))&lt;=$D$2,ABS(N(H260))&lt;=$D$2,ABS(N(K260))&lt;=$D$2),"Reconciles within tolerance","Outside tolerance"))</f>
        <v>Reconciles within tolerance</v>
      </c>
    </row>
    <row r="261" customFormat="false" ht="15" hidden="false" customHeight="false" outlineLevel="0" collapsed="false">
      <c r="A261" s="7" t="n">
        <v>2024</v>
      </c>
      <c r="B261" s="15" t="s">
        <v>125</v>
      </c>
      <c r="C261" s="19" t="n">
        <v>90.194646</v>
      </c>
      <c r="D261" s="19" t="n">
        <v>90.194646</v>
      </c>
      <c r="E261" s="20" t="n">
        <f aca="false">IF(OR(D261="",D261=0),"",(C261-D261)/D261)</f>
        <v>0</v>
      </c>
      <c r="F261" s="19" t="n">
        <v>82.592119</v>
      </c>
      <c r="G261" s="19" t="n">
        <v>82.592119</v>
      </c>
      <c r="H261" s="20" t="n">
        <f aca="false">IF(OR(G261="",G261=0),"",(F261-G261)/G261)</f>
        <v>0</v>
      </c>
      <c r="I261" s="19" t="n">
        <v>248.448522</v>
      </c>
      <c r="J261" s="19" t="n">
        <v>248.448522</v>
      </c>
      <c r="K261" s="20" t="n">
        <f aca="false">IF(OR(J261="",J261=0),"",(I261-J261)/J261)</f>
        <v>0</v>
      </c>
      <c r="L261" s="21" t="str">
        <f aca="false">IF(OR(D261="",G261="",J261=""),"No reported subtotal",IF(AND(ABS(N(E261))&lt;=$D$2,ABS(N(H261))&lt;=$D$2,ABS(N(K261))&lt;=$D$2),"Reconciles within tolerance","Outside tolerance"))</f>
        <v>Reconciles within tolerance</v>
      </c>
    </row>
    <row r="262" customFormat="false" ht="15" hidden="false" customHeight="false" outlineLevel="0" collapsed="false">
      <c r="A262" s="7" t="n">
        <v>2025</v>
      </c>
      <c r="B262" s="15" t="s">
        <v>125</v>
      </c>
      <c r="C262" s="19" t="n">
        <v>82.389489</v>
      </c>
      <c r="D262" s="19" t="n">
        <v>82.389489</v>
      </c>
      <c r="E262" s="20" t="n">
        <f aca="false">IF(OR(D262="",D262=0),"",(C262-D262)/D262)</f>
        <v>0</v>
      </c>
      <c r="F262" s="19" t="n">
        <v>102.845124</v>
      </c>
      <c r="G262" s="19" t="n">
        <v>102.845124</v>
      </c>
      <c r="H262" s="20" t="n">
        <f aca="false">IF(OR(G262="",G262=0),"",(F262-G262)/G262)</f>
        <v>0</v>
      </c>
      <c r="I262" s="19" t="n">
        <v>249.133743</v>
      </c>
      <c r="J262" s="19" t="n">
        <v>249.133743</v>
      </c>
      <c r="K262" s="20" t="n">
        <f aca="false">IF(OR(J262="",J262=0),"",(I262-J262)/J262)</f>
        <v>0</v>
      </c>
      <c r="L262" s="21" t="str">
        <f aca="false">IF(OR(D262="",G262="",J262=""),"No reported subtotal",IF(AND(ABS(N(E262))&lt;=$D$2,ABS(N(H262))&lt;=$D$2,ABS(N(K262))&lt;=$D$2),"Reconciles within tolerance","Outside tolerance"))</f>
        <v>Reconciles within tolerance</v>
      </c>
    </row>
    <row r="263" customFormat="false" ht="15" hidden="false" customHeight="false" outlineLevel="0" collapsed="false">
      <c r="A263" s="7" t="n">
        <v>2000</v>
      </c>
      <c r="B263" s="15" t="s">
        <v>140</v>
      </c>
      <c r="C263" s="19" t="n">
        <v>36.946253</v>
      </c>
      <c r="D263" s="19" t="n">
        <v>36.946253</v>
      </c>
      <c r="E263" s="20" t="n">
        <f aca="false">IF(OR(D263="",D263=0),"",(C263-D263)/D263)</f>
        <v>0</v>
      </c>
      <c r="F263" s="19" t="n">
        <v>27.044289</v>
      </c>
      <c r="G263" s="19" t="n">
        <v>27.044289</v>
      </c>
      <c r="H263" s="20" t="n">
        <f aca="false">IF(OR(G263="",G263=0),"",(F263-G263)/G263)</f>
        <v>0</v>
      </c>
      <c r="I263" s="19" t="n">
        <v>73.768481</v>
      </c>
      <c r="J263" s="19" t="n">
        <v>73.768481</v>
      </c>
      <c r="K263" s="20" t="n">
        <f aca="false">IF(OR(J263="",J263=0),"",(I263-J263)/J263)</f>
        <v>0</v>
      </c>
      <c r="L263" s="21" t="str">
        <f aca="false">IF(OR(D263="",G263="",J263=""),"No reported subtotal",IF(AND(ABS(N(E263))&lt;=$D$2,ABS(N(H263))&lt;=$D$2,ABS(N(K263))&lt;=$D$2),"Reconciles within tolerance","Outside tolerance"))</f>
        <v>Reconciles within tolerance</v>
      </c>
    </row>
    <row r="264" customFormat="false" ht="15" hidden="false" customHeight="false" outlineLevel="0" collapsed="false">
      <c r="A264" s="7" t="n">
        <v>2001</v>
      </c>
      <c r="B264" s="15" t="s">
        <v>140</v>
      </c>
      <c r="C264" s="19" t="n">
        <v>38.680196</v>
      </c>
      <c r="D264" s="19" t="n">
        <v>38.680196</v>
      </c>
      <c r="E264" s="20" t="n">
        <f aca="false">IF(OR(D264="",D264=0),"",(C264-D264)/D264)</f>
        <v>0</v>
      </c>
      <c r="F264" s="19" t="n">
        <v>30.123034</v>
      </c>
      <c r="G264" s="19" t="n">
        <v>30.123034</v>
      </c>
      <c r="H264" s="20" t="n">
        <f aca="false">IF(OR(G264="",G264=0),"",(F264-G264)/G264)</f>
        <v>0</v>
      </c>
      <c r="I264" s="19" t="n">
        <v>81.025651</v>
      </c>
      <c r="J264" s="19" t="n">
        <v>81.025651</v>
      </c>
      <c r="K264" s="20" t="n">
        <f aca="false">IF(OR(J264="",J264=0),"",(I264-J264)/J264)</f>
        <v>0</v>
      </c>
      <c r="L264" s="21" t="str">
        <f aca="false">IF(OR(D264="",G264="",J264=""),"No reported subtotal",IF(AND(ABS(N(E264))&lt;=$D$2,ABS(N(H264))&lt;=$D$2,ABS(N(K264))&lt;=$D$2),"Reconciles within tolerance","Outside tolerance"))</f>
        <v>Reconciles within tolerance</v>
      </c>
    </row>
    <row r="265" customFormat="false" ht="15" hidden="false" customHeight="false" outlineLevel="0" collapsed="false">
      <c r="A265" s="7" t="n">
        <v>2002</v>
      </c>
      <c r="B265" s="15" t="s">
        <v>140</v>
      </c>
      <c r="C265" s="19" t="n">
        <v>37.999473</v>
      </c>
      <c r="D265" s="19" t="n">
        <v>37.999473</v>
      </c>
      <c r="E265" s="20" t="n">
        <f aca="false">IF(OR(D265="",D265=0),"",(C265-D265)/D265)</f>
        <v>0</v>
      </c>
      <c r="F265" s="19" t="n">
        <v>36.69483</v>
      </c>
      <c r="G265" s="19" t="n">
        <v>36.69483</v>
      </c>
      <c r="H265" s="20" t="n">
        <f aca="false">IF(OR(G265="",G265=0),"",(F265-G265)/G265)</f>
        <v>0</v>
      </c>
      <c r="I265" s="19" t="n">
        <v>88.222696</v>
      </c>
      <c r="J265" s="19" t="n">
        <v>88.222696</v>
      </c>
      <c r="K265" s="20" t="n">
        <f aca="false">IF(OR(J265="",J265=0),"",(I265-J265)/J265)</f>
        <v>0</v>
      </c>
      <c r="L265" s="21" t="str">
        <f aca="false">IF(OR(D265="",G265="",J265=""),"No reported subtotal",IF(AND(ABS(N(E265))&lt;=$D$2,ABS(N(H265))&lt;=$D$2,ABS(N(K265))&lt;=$D$2),"Reconciles within tolerance","Outside tolerance"))</f>
        <v>Reconciles within tolerance</v>
      </c>
    </row>
    <row r="266" customFormat="false" ht="15" hidden="false" customHeight="false" outlineLevel="0" collapsed="false">
      <c r="A266" s="7" t="n">
        <v>2003</v>
      </c>
      <c r="B266" s="15" t="s">
        <v>140</v>
      </c>
      <c r="C266" s="19" t="n">
        <v>43.345216</v>
      </c>
      <c r="D266" s="19" t="n">
        <v>43.345216</v>
      </c>
      <c r="E266" s="20" t="n">
        <f aca="false">IF(OR(D266="",D266=0),"",(C266-D266)/D266)</f>
        <v>0</v>
      </c>
      <c r="F266" s="19" t="n">
        <v>36.493313</v>
      </c>
      <c r="G266" s="19" t="n">
        <v>36.493313</v>
      </c>
      <c r="H266" s="20" t="n">
        <f aca="false">IF(OR(G266="",G266=0),"",(F266-G266)/G266)</f>
        <v>0</v>
      </c>
      <c r="I266" s="19" t="n">
        <v>62.716601</v>
      </c>
      <c r="J266" s="19" t="n">
        <v>62.716601</v>
      </c>
      <c r="K266" s="20" t="n">
        <f aca="false">IF(OR(J266="",J266=0),"",(I266-J266)/J266)</f>
        <v>0</v>
      </c>
      <c r="L266" s="21" t="str">
        <f aca="false">IF(OR(D266="",G266="",J266=""),"No reported subtotal",IF(AND(ABS(N(E266))&lt;=$D$2,ABS(N(H266))&lt;=$D$2,ABS(N(K266))&lt;=$D$2),"Reconciles within tolerance","Outside tolerance"))</f>
        <v>Reconciles within tolerance</v>
      </c>
    </row>
    <row r="267" customFormat="false" ht="15" hidden="false" customHeight="false" outlineLevel="0" collapsed="false">
      <c r="A267" s="7" t="n">
        <v>2004</v>
      </c>
      <c r="B267" s="15" t="s">
        <v>140</v>
      </c>
      <c r="C267" s="19" t="n">
        <v>42.591565</v>
      </c>
      <c r="D267" s="19" t="n">
        <v>42.591565</v>
      </c>
      <c r="E267" s="20" t="n">
        <f aca="false">IF(OR(D267="",D267=0),"",(C267-D267)/D267)</f>
        <v>0</v>
      </c>
      <c r="F267" s="19" t="n">
        <v>35.421264</v>
      </c>
      <c r="G267" s="19" t="n">
        <v>35.421264</v>
      </c>
      <c r="H267" s="20" t="n">
        <f aca="false">IF(OR(G267="",G267=0),"",(F267-G267)/G267)</f>
        <v>0</v>
      </c>
      <c r="I267" s="19" t="n">
        <v>95.577693</v>
      </c>
      <c r="J267" s="19" t="n">
        <v>95.577693</v>
      </c>
      <c r="K267" s="20" t="n">
        <f aca="false">IF(OR(J267="",J267=0),"",(I267-J267)/J267)</f>
        <v>0</v>
      </c>
      <c r="L267" s="21" t="str">
        <f aca="false">IF(OR(D267="",G267="",J267=""),"No reported subtotal",IF(AND(ABS(N(E267))&lt;=$D$2,ABS(N(H267))&lt;=$D$2,ABS(N(K267))&lt;=$D$2),"Reconciles within tolerance","Outside tolerance"))</f>
        <v>Reconciles within tolerance</v>
      </c>
    </row>
    <row r="268" customFormat="false" ht="15" hidden="false" customHeight="false" outlineLevel="0" collapsed="false">
      <c r="A268" s="7" t="n">
        <v>2005</v>
      </c>
      <c r="B268" s="15" t="s">
        <v>140</v>
      </c>
      <c r="C268" s="19" t="n">
        <v>45.745644</v>
      </c>
      <c r="D268" s="19" t="n">
        <v>45.745644</v>
      </c>
      <c r="E268" s="20" t="n">
        <f aca="false">IF(OR(D268="",D268=0),"",(C268-D268)/D268)</f>
        <v>0</v>
      </c>
      <c r="F268" s="19" t="n">
        <v>40.478996</v>
      </c>
      <c r="G268" s="19" t="n">
        <v>40.478996</v>
      </c>
      <c r="H268" s="20" t="n">
        <f aca="false">IF(OR(G268="",G268=0),"",(F268-G268)/G268)</f>
        <v>0</v>
      </c>
      <c r="I268" s="19" t="n">
        <v>86.475436</v>
      </c>
      <c r="J268" s="19" t="n">
        <v>86.475436</v>
      </c>
      <c r="K268" s="20" t="n">
        <f aca="false">IF(OR(J268="",J268=0),"",(I268-J268)/J268)</f>
        <v>0</v>
      </c>
      <c r="L268" s="21" t="str">
        <f aca="false">IF(OR(D268="",G268="",J268=""),"No reported subtotal",IF(AND(ABS(N(E268))&lt;=$D$2,ABS(N(H268))&lt;=$D$2,ABS(N(K268))&lt;=$D$2),"Reconciles within tolerance","Outside tolerance"))</f>
        <v>Reconciles within tolerance</v>
      </c>
    </row>
    <row r="269" customFormat="false" ht="15" hidden="false" customHeight="false" outlineLevel="0" collapsed="false">
      <c r="A269" s="7" t="n">
        <v>2006</v>
      </c>
      <c r="B269" s="15" t="s">
        <v>140</v>
      </c>
      <c r="C269" s="19" t="n">
        <v>45.635225</v>
      </c>
      <c r="D269" s="19" t="n">
        <v>45.635225</v>
      </c>
      <c r="E269" s="20" t="n">
        <f aca="false">IF(OR(D269="",D269=0),"",(C269-D269)/D269)</f>
        <v>0</v>
      </c>
      <c r="F269" s="19" t="n">
        <v>48.967787</v>
      </c>
      <c r="G269" s="19" t="n">
        <v>48.967787</v>
      </c>
      <c r="H269" s="20" t="n">
        <f aca="false">IF(OR(G269="",G269=0),"",(F269-G269)/G269)</f>
        <v>0</v>
      </c>
      <c r="I269" s="19" t="n">
        <v>64.841519</v>
      </c>
      <c r="J269" s="19" t="n">
        <v>64.841519</v>
      </c>
      <c r="K269" s="20" t="n">
        <f aca="false">IF(OR(J269="",J269=0),"",(I269-J269)/J269)</f>
        <v>0</v>
      </c>
      <c r="L269" s="21" t="str">
        <f aca="false">IF(OR(D269="",G269="",J269=""),"No reported subtotal",IF(AND(ABS(N(E269))&lt;=$D$2,ABS(N(H269))&lt;=$D$2,ABS(N(K269))&lt;=$D$2),"Reconciles within tolerance","Outside tolerance"))</f>
        <v>Reconciles within tolerance</v>
      </c>
    </row>
    <row r="270" customFormat="false" ht="15" hidden="false" customHeight="false" outlineLevel="0" collapsed="false">
      <c r="A270" s="7" t="n">
        <v>2007</v>
      </c>
      <c r="B270" s="15" t="s">
        <v>140</v>
      </c>
      <c r="C270" s="19" t="n">
        <v>45.701434</v>
      </c>
      <c r="D270" s="19" t="n">
        <v>45.701434</v>
      </c>
      <c r="E270" s="20" t="n">
        <f aca="false">IF(OR(D270="",D270=0),"",(C270-D270)/D270)</f>
        <v>0</v>
      </c>
      <c r="F270" s="19" t="n">
        <v>51.343491</v>
      </c>
      <c r="G270" s="19" t="n">
        <v>51.343491</v>
      </c>
      <c r="H270" s="20" t="n">
        <f aca="false">IF(OR(G270="",G270=0),"",(F270-G270)/G270)</f>
        <v>0</v>
      </c>
      <c r="I270" s="19" t="n">
        <v>130.486726</v>
      </c>
      <c r="J270" s="19" t="n">
        <v>130.486726</v>
      </c>
      <c r="K270" s="20" t="n">
        <f aca="false">IF(OR(J270="",J270=0),"",(I270-J270)/J270)</f>
        <v>0</v>
      </c>
      <c r="L270" s="21" t="str">
        <f aca="false">IF(OR(D270="",G270="",J270=""),"No reported subtotal",IF(AND(ABS(N(E270))&lt;=$D$2,ABS(N(H270))&lt;=$D$2,ABS(N(K270))&lt;=$D$2),"Reconciles within tolerance","Outside tolerance"))</f>
        <v>Reconciles within tolerance</v>
      </c>
    </row>
    <row r="271" customFormat="false" ht="15" hidden="false" customHeight="false" outlineLevel="0" collapsed="false">
      <c r="A271" s="7" t="n">
        <v>2008</v>
      </c>
      <c r="B271" s="15" t="s">
        <v>140</v>
      </c>
      <c r="C271" s="19" t="n">
        <v>85.237846</v>
      </c>
      <c r="D271" s="19" t="n">
        <v>85.237846</v>
      </c>
      <c r="E271" s="20" t="n">
        <f aca="false">IF(OR(D271="",D271=0),"",(C271-D271)/D271)</f>
        <v>0</v>
      </c>
      <c r="F271" s="19" t="n">
        <v>48.079513</v>
      </c>
      <c r="G271" s="19" t="n">
        <v>48.079513</v>
      </c>
      <c r="H271" s="20" t="n">
        <f aca="false">IF(OR(G271="",G271=0),"",(F271-G271)/G271)</f>
        <v>0</v>
      </c>
      <c r="I271" s="19" t="n">
        <v>92.612888</v>
      </c>
      <c r="J271" s="19" t="n">
        <v>92.612888</v>
      </c>
      <c r="K271" s="20" t="n">
        <f aca="false">IF(OR(J271="",J271=0),"",(I271-J271)/J271)</f>
        <v>0</v>
      </c>
      <c r="L271" s="21" t="str">
        <f aca="false">IF(OR(D271="",G271="",J271=""),"No reported subtotal",IF(AND(ABS(N(E271))&lt;=$D$2,ABS(N(H271))&lt;=$D$2,ABS(N(K271))&lt;=$D$2),"Reconciles within tolerance","Outside tolerance"))</f>
        <v>Reconciles within tolerance</v>
      </c>
    </row>
    <row r="272" customFormat="false" ht="15" hidden="false" customHeight="false" outlineLevel="0" collapsed="false">
      <c r="A272" s="7" t="n">
        <v>2009</v>
      </c>
      <c r="B272" s="15" t="s">
        <v>140</v>
      </c>
      <c r="C272" s="19" t="n">
        <v>89.029404</v>
      </c>
      <c r="D272" s="19" t="n">
        <v>89.029404</v>
      </c>
      <c r="E272" s="20" t="n">
        <f aca="false">IF(OR(D272="",D272=0),"",(C272-D272)/D272)</f>
        <v>0</v>
      </c>
      <c r="F272" s="19" t="n">
        <v>49.4899</v>
      </c>
      <c r="G272" s="19" t="n">
        <v>49.4899</v>
      </c>
      <c r="H272" s="20" t="n">
        <f aca="false">IF(OR(G272="",G272=0),"",(F272-G272)/G272)</f>
        <v>0</v>
      </c>
      <c r="I272" s="19" t="n">
        <v>105.133435</v>
      </c>
      <c r="J272" s="19" t="n">
        <v>105.133435</v>
      </c>
      <c r="K272" s="20" t="n">
        <f aca="false">IF(OR(J272="",J272=0),"",(I272-J272)/J272)</f>
        <v>0</v>
      </c>
      <c r="L272" s="21" t="str">
        <f aca="false">IF(OR(D272="",G272="",J272=""),"No reported subtotal",IF(AND(ABS(N(E272))&lt;=$D$2,ABS(N(H272))&lt;=$D$2,ABS(N(K272))&lt;=$D$2),"Reconciles within tolerance","Outside tolerance"))</f>
        <v>Reconciles within tolerance</v>
      </c>
    </row>
    <row r="273" customFormat="false" ht="15" hidden="false" customHeight="false" outlineLevel="0" collapsed="false">
      <c r="A273" s="7" t="n">
        <v>2010</v>
      </c>
      <c r="B273" s="15" t="s">
        <v>140</v>
      </c>
      <c r="C273" s="19" t="n">
        <v>59.029004</v>
      </c>
      <c r="D273" s="19" t="n">
        <v>59.029004</v>
      </c>
      <c r="E273" s="20" t="n">
        <f aca="false">IF(OR(D273="",D273=0),"",(C273-D273)/D273)</f>
        <v>0</v>
      </c>
      <c r="F273" s="19" t="n">
        <v>59.176213</v>
      </c>
      <c r="G273" s="19" t="n">
        <v>59.176213</v>
      </c>
      <c r="H273" s="20" t="n">
        <f aca="false">IF(OR(G273="",G273=0),"",(F273-G273)/G273)</f>
        <v>0</v>
      </c>
      <c r="I273" s="19" t="n">
        <v>93.611485</v>
      </c>
      <c r="J273" s="19" t="n">
        <v>93.611485</v>
      </c>
      <c r="K273" s="20" t="n">
        <f aca="false">IF(OR(J273="",J273=0),"",(I273-J273)/J273)</f>
        <v>0</v>
      </c>
      <c r="L273" s="21" t="str">
        <f aca="false">IF(OR(D273="",G273="",J273=""),"No reported subtotal",IF(AND(ABS(N(E273))&lt;=$D$2,ABS(N(H273))&lt;=$D$2,ABS(N(K273))&lt;=$D$2),"Reconciles within tolerance","Outside tolerance"))</f>
        <v>Reconciles within tolerance</v>
      </c>
    </row>
    <row r="274" customFormat="false" ht="15" hidden="false" customHeight="false" outlineLevel="0" collapsed="false">
      <c r="A274" s="7" t="n">
        <v>2011</v>
      </c>
      <c r="B274" s="15" t="s">
        <v>140</v>
      </c>
      <c r="C274" s="19" t="n">
        <v>106.99118</v>
      </c>
      <c r="D274" s="19" t="n">
        <v>106.99118</v>
      </c>
      <c r="E274" s="20" t="n">
        <f aca="false">IF(OR(D274="",D274=0),"",(C274-D274)/D274)</f>
        <v>0</v>
      </c>
      <c r="F274" s="19" t="n">
        <v>65.541841</v>
      </c>
      <c r="G274" s="19" t="n">
        <v>65.541841</v>
      </c>
      <c r="H274" s="20" t="n">
        <f aca="false">IF(OR(G274="",G274=0),"",(F274-G274)/G274)</f>
        <v>0</v>
      </c>
      <c r="I274" s="19" t="n">
        <v>86.608348</v>
      </c>
      <c r="J274" s="19" t="n">
        <v>86.608348</v>
      </c>
      <c r="K274" s="20" t="n">
        <f aca="false">IF(OR(J274="",J274=0),"",(I274-J274)/J274)</f>
        <v>0</v>
      </c>
      <c r="L274" s="21" t="str">
        <f aca="false">IF(OR(D274="",G274="",J274=""),"No reported subtotal",IF(AND(ABS(N(E274))&lt;=$D$2,ABS(N(H274))&lt;=$D$2,ABS(N(K274))&lt;=$D$2),"Reconciles within tolerance","Outside tolerance"))</f>
        <v>Reconciles within tolerance</v>
      </c>
    </row>
    <row r="275" customFormat="false" ht="15" hidden="false" customHeight="false" outlineLevel="0" collapsed="false">
      <c r="A275" s="7" t="n">
        <v>2012</v>
      </c>
      <c r="B275" s="15" t="s">
        <v>140</v>
      </c>
      <c r="C275" s="19" t="n">
        <v>72.663686</v>
      </c>
      <c r="D275" s="19" t="n">
        <v>72.663686</v>
      </c>
      <c r="E275" s="20" t="n">
        <f aca="false">IF(OR(D275="",D275=0),"",(C275-D275)/D275)</f>
        <v>0</v>
      </c>
      <c r="F275" s="19" t="n">
        <v>58.200239</v>
      </c>
      <c r="G275" s="19" t="n">
        <v>58.200239</v>
      </c>
      <c r="H275" s="20" t="n">
        <f aca="false">IF(OR(G275="",G275=0),"",(F275-G275)/G275)</f>
        <v>0</v>
      </c>
      <c r="I275" s="19" t="n">
        <v>119.014685</v>
      </c>
      <c r="J275" s="19" t="n">
        <v>119.014685</v>
      </c>
      <c r="K275" s="20" t="n">
        <f aca="false">IF(OR(J275="",J275=0),"",(I275-J275)/J275)</f>
        <v>0</v>
      </c>
      <c r="L275" s="21" t="str">
        <f aca="false">IF(OR(D275="",G275="",J275=""),"No reported subtotal",IF(AND(ABS(N(E275))&lt;=$D$2,ABS(N(H275))&lt;=$D$2,ABS(N(K275))&lt;=$D$2),"Reconciles within tolerance","Outside tolerance"))</f>
        <v>Reconciles within tolerance</v>
      </c>
    </row>
    <row r="276" customFormat="false" ht="15" hidden="false" customHeight="false" outlineLevel="0" collapsed="false">
      <c r="A276" s="7" t="n">
        <v>2013</v>
      </c>
      <c r="B276" s="15" t="s">
        <v>140</v>
      </c>
      <c r="C276" s="19" t="n">
        <v>78.964778</v>
      </c>
      <c r="D276" s="19" t="n">
        <v>78.964778</v>
      </c>
      <c r="E276" s="20" t="n">
        <f aca="false">IF(OR(D276="",D276=0),"",(C276-D276)/D276)</f>
        <v>0</v>
      </c>
      <c r="F276" s="19" t="n">
        <v>50.389504</v>
      </c>
      <c r="G276" s="19" t="n">
        <v>50.389504</v>
      </c>
      <c r="H276" s="20" t="n">
        <f aca="false">IF(OR(G276="",G276=0),"",(F276-G276)/G276)</f>
        <v>0</v>
      </c>
      <c r="I276" s="19" t="n">
        <v>114.686513</v>
      </c>
      <c r="J276" s="19" t="n">
        <v>114.686513</v>
      </c>
      <c r="K276" s="20" t="n">
        <f aca="false">IF(OR(J276="",J276=0),"",(I276-J276)/J276)</f>
        <v>0</v>
      </c>
      <c r="L276" s="21" t="str">
        <f aca="false">IF(OR(D276="",G276="",J276=""),"No reported subtotal",IF(AND(ABS(N(E276))&lt;=$D$2,ABS(N(H276))&lt;=$D$2,ABS(N(K276))&lt;=$D$2),"Reconciles within tolerance","Outside tolerance"))</f>
        <v>Reconciles within tolerance</v>
      </c>
    </row>
    <row r="277" customFormat="false" ht="15" hidden="false" customHeight="false" outlineLevel="0" collapsed="false">
      <c r="A277" s="7" t="n">
        <v>2014</v>
      </c>
      <c r="B277" s="15" t="s">
        <v>140</v>
      </c>
      <c r="C277" s="19" t="n">
        <v>82.12087</v>
      </c>
      <c r="D277" s="19" t="n">
        <v>82.12087</v>
      </c>
      <c r="E277" s="20" t="n">
        <f aca="false">IF(OR(D277="",D277=0),"",(C277-D277)/D277)</f>
        <v>0</v>
      </c>
      <c r="F277" s="19" t="n">
        <v>47.138464</v>
      </c>
      <c r="G277" s="19" t="n">
        <v>47.138464</v>
      </c>
      <c r="H277" s="20" t="n">
        <f aca="false">IF(OR(G277="",G277=0),"",(F277-G277)/G277)</f>
        <v>0</v>
      </c>
      <c r="I277" s="19" t="n">
        <v>123.445402</v>
      </c>
      <c r="J277" s="19" t="n">
        <v>123.445402</v>
      </c>
      <c r="K277" s="20" t="n">
        <f aca="false">IF(OR(J277="",J277=0),"",(I277-J277)/J277)</f>
        <v>0</v>
      </c>
      <c r="L277" s="21" t="str">
        <f aca="false">IF(OR(D277="",G277="",J277=""),"No reported subtotal",IF(AND(ABS(N(E277))&lt;=$D$2,ABS(N(H277))&lt;=$D$2,ABS(N(K277))&lt;=$D$2),"Reconciles within tolerance","Outside tolerance"))</f>
        <v>Reconciles within tolerance</v>
      </c>
    </row>
    <row r="278" customFormat="false" ht="15" hidden="false" customHeight="false" outlineLevel="0" collapsed="false">
      <c r="A278" s="7" t="n">
        <v>2015</v>
      </c>
      <c r="B278" s="15" t="s">
        <v>140</v>
      </c>
      <c r="C278" s="19" t="n">
        <v>91.194033</v>
      </c>
      <c r="D278" s="19" t="n">
        <v>91.194033</v>
      </c>
      <c r="E278" s="20" t="n">
        <f aca="false">IF(OR(D278="",D278=0),"",(C278-D278)/D278)</f>
        <v>0</v>
      </c>
      <c r="F278" s="19" t="n">
        <v>46.66451</v>
      </c>
      <c r="G278" s="19" t="n">
        <v>46.66451</v>
      </c>
      <c r="H278" s="20" t="n">
        <f aca="false">IF(OR(G278="",G278=0),"",(F278-G278)/G278)</f>
        <v>0</v>
      </c>
      <c r="I278" s="19" t="n">
        <v>167.360308</v>
      </c>
      <c r="J278" s="19" t="n">
        <v>167.360308</v>
      </c>
      <c r="K278" s="20" t="n">
        <f aca="false">IF(OR(J278="",J278=0),"",(I278-J278)/J278)</f>
        <v>0</v>
      </c>
      <c r="L278" s="21" t="str">
        <f aca="false">IF(OR(D278="",G278="",J278=""),"No reported subtotal",IF(AND(ABS(N(E278))&lt;=$D$2,ABS(N(H278))&lt;=$D$2,ABS(N(K278))&lt;=$D$2),"Reconciles within tolerance","Outside tolerance"))</f>
        <v>Reconciles within tolerance</v>
      </c>
    </row>
    <row r="279" customFormat="false" ht="15" hidden="false" customHeight="false" outlineLevel="0" collapsed="false">
      <c r="A279" s="7" t="n">
        <v>2016</v>
      </c>
      <c r="B279" s="15" t="s">
        <v>140</v>
      </c>
      <c r="C279" s="19" t="n">
        <v>99.679927</v>
      </c>
      <c r="D279" s="19" t="n">
        <v>99.679927</v>
      </c>
      <c r="E279" s="20" t="n">
        <f aca="false">IF(OR(D279="",D279=0),"",(C279-D279)/D279)</f>
        <v>0</v>
      </c>
      <c r="F279" s="19" t="n">
        <v>32.577403</v>
      </c>
      <c r="G279" s="19" t="n">
        <v>32.577403</v>
      </c>
      <c r="H279" s="20" t="n">
        <f aca="false">IF(OR(G279="",G279=0),"",(F279-G279)/G279)</f>
        <v>0</v>
      </c>
      <c r="I279" s="19" t="n">
        <v>173.159831</v>
      </c>
      <c r="J279" s="19" t="n">
        <v>173.159831</v>
      </c>
      <c r="K279" s="20" t="n">
        <f aca="false">IF(OR(J279="",J279=0),"",(I279-J279)/J279)</f>
        <v>0</v>
      </c>
      <c r="L279" s="21" t="str">
        <f aca="false">IF(OR(D279="",G279="",J279=""),"No reported subtotal",IF(AND(ABS(N(E279))&lt;=$D$2,ABS(N(H279))&lt;=$D$2,ABS(N(K279))&lt;=$D$2),"Reconciles within tolerance","Outside tolerance"))</f>
        <v>Reconciles within tolerance</v>
      </c>
    </row>
    <row r="280" customFormat="false" ht="15" hidden="false" customHeight="false" outlineLevel="0" collapsed="false">
      <c r="A280" s="7" t="n">
        <v>2017</v>
      </c>
      <c r="B280" s="15" t="s">
        <v>140</v>
      </c>
      <c r="C280" s="19" t="n">
        <v>99.540734</v>
      </c>
      <c r="D280" s="19" t="n">
        <v>99.540734</v>
      </c>
      <c r="E280" s="20" t="n">
        <f aca="false">IF(OR(D280="",D280=0),"",(C280-D280)/D280)</f>
        <v>0</v>
      </c>
      <c r="F280" s="19" t="n">
        <v>33.901888</v>
      </c>
      <c r="G280" s="19" t="n">
        <v>33.901888</v>
      </c>
      <c r="H280" s="20" t="n">
        <f aca="false">IF(OR(G280="",G280=0),"",(F280-G280)/G280)</f>
        <v>0</v>
      </c>
      <c r="I280" s="19" t="n">
        <v>272.419829</v>
      </c>
      <c r="J280" s="19" t="n">
        <v>272.419829</v>
      </c>
      <c r="K280" s="20" t="n">
        <f aca="false">IF(OR(J280="",J280=0),"",(I280-J280)/J280)</f>
        <v>0</v>
      </c>
      <c r="L280" s="21" t="str">
        <f aca="false">IF(OR(D280="",G280="",J280=""),"No reported subtotal",IF(AND(ABS(N(E280))&lt;=$D$2,ABS(N(H280))&lt;=$D$2,ABS(N(K280))&lt;=$D$2),"Reconciles within tolerance","Outside tolerance"))</f>
        <v>Reconciles within tolerance</v>
      </c>
    </row>
    <row r="281" customFormat="false" ht="15" hidden="false" customHeight="false" outlineLevel="0" collapsed="false">
      <c r="A281" s="7" t="n">
        <v>2018</v>
      </c>
      <c r="B281" s="15" t="s">
        <v>140</v>
      </c>
      <c r="C281" s="19" t="n">
        <v>116.507529</v>
      </c>
      <c r="D281" s="19" t="n">
        <v>116.507529</v>
      </c>
      <c r="E281" s="20" t="n">
        <f aca="false">IF(OR(D281="",D281=0),"",(C281-D281)/D281)</f>
        <v>0</v>
      </c>
      <c r="F281" s="19" t="n">
        <v>34.633517</v>
      </c>
      <c r="G281" s="19" t="n">
        <v>34.633517</v>
      </c>
      <c r="H281" s="20" t="n">
        <f aca="false">IF(OR(G281="",G281=0),"",(F281-G281)/G281)</f>
        <v>0</v>
      </c>
      <c r="I281" s="19" t="n">
        <v>296.719745</v>
      </c>
      <c r="J281" s="19" t="n">
        <v>296.719745</v>
      </c>
      <c r="K281" s="20" t="n">
        <f aca="false">IF(OR(J281="",J281=0),"",(I281-J281)/J281)</f>
        <v>0</v>
      </c>
      <c r="L281" s="21" t="str">
        <f aca="false">IF(OR(D281="",G281="",J281=""),"No reported subtotal",IF(AND(ABS(N(E281))&lt;=$D$2,ABS(N(H281))&lt;=$D$2,ABS(N(K281))&lt;=$D$2),"Reconciles within tolerance","Outside tolerance"))</f>
        <v>Reconciles within tolerance</v>
      </c>
    </row>
    <row r="282" customFormat="false" ht="15" hidden="false" customHeight="false" outlineLevel="0" collapsed="false">
      <c r="A282" s="7" t="n">
        <v>2019</v>
      </c>
      <c r="B282" s="15" t="s">
        <v>140</v>
      </c>
      <c r="C282" s="19" t="n">
        <v>118.208161</v>
      </c>
      <c r="D282" s="19" t="n">
        <v>118.208161</v>
      </c>
      <c r="E282" s="20" t="n">
        <f aca="false">IF(OR(D282="",D282=0),"",(C282-D282)/D282)</f>
        <v>0</v>
      </c>
      <c r="F282" s="19" t="n">
        <v>30.501151</v>
      </c>
      <c r="G282" s="19" t="n">
        <v>30.501151</v>
      </c>
      <c r="H282" s="20" t="n">
        <f aca="false">IF(OR(G282="",G282=0),"",(F282-G282)/G282)</f>
        <v>0</v>
      </c>
      <c r="I282" s="19" t="n">
        <v>405.844984</v>
      </c>
      <c r="J282" s="19" t="n">
        <v>405.844984</v>
      </c>
      <c r="K282" s="20" t="n">
        <f aca="false">IF(OR(J282="",J282=0),"",(I282-J282)/J282)</f>
        <v>0</v>
      </c>
      <c r="L282" s="21" t="str">
        <f aca="false">IF(OR(D282="",G282="",J282=""),"No reported subtotal",IF(AND(ABS(N(E282))&lt;=$D$2,ABS(N(H282))&lt;=$D$2,ABS(N(K282))&lt;=$D$2),"Reconciles within tolerance","Outside tolerance"))</f>
        <v>Reconciles within tolerance</v>
      </c>
    </row>
    <row r="283" customFormat="false" ht="15" hidden="false" customHeight="false" outlineLevel="0" collapsed="false">
      <c r="A283" s="7" t="n">
        <v>2020</v>
      </c>
      <c r="B283" s="15" t="s">
        <v>140</v>
      </c>
      <c r="C283" s="19" t="n">
        <v>111.436845</v>
      </c>
      <c r="D283" s="19" t="n">
        <v>111.436845</v>
      </c>
      <c r="E283" s="20" t="n">
        <f aca="false">IF(OR(D283="",D283=0),"",(C283-D283)/D283)</f>
        <v>0</v>
      </c>
      <c r="F283" s="19" t="n">
        <v>22.752201</v>
      </c>
      <c r="G283" s="19" t="n">
        <v>22.752201</v>
      </c>
      <c r="H283" s="20" t="n">
        <f aca="false">IF(OR(G283="",G283=0),"",(F283-G283)/G283)</f>
        <v>0</v>
      </c>
      <c r="I283" s="19" t="n">
        <v>363.039162</v>
      </c>
      <c r="J283" s="19" t="n">
        <v>363.039162</v>
      </c>
      <c r="K283" s="20" t="n">
        <f aca="false">IF(OR(J283="",J283=0),"",(I283-J283)/J283)</f>
        <v>0</v>
      </c>
      <c r="L283" s="21" t="str">
        <f aca="false">IF(OR(D283="",G283="",J283=""),"No reported subtotal",IF(AND(ABS(N(E283))&lt;=$D$2,ABS(N(H283))&lt;=$D$2,ABS(N(K283))&lt;=$D$2),"Reconciles within tolerance","Outside tolerance"))</f>
        <v>Reconciles within tolerance</v>
      </c>
    </row>
    <row r="284" customFormat="false" ht="15" hidden="false" customHeight="false" outlineLevel="0" collapsed="false">
      <c r="A284" s="7" t="n">
        <v>2021</v>
      </c>
      <c r="B284" s="15" t="s">
        <v>140</v>
      </c>
      <c r="C284" s="19" t="n">
        <v>120.624679</v>
      </c>
      <c r="D284" s="19" t="n">
        <v>120.625683</v>
      </c>
      <c r="E284" s="20" t="n">
        <f aca="false">IF(OR(D284="",D284=0),"",(C284-D284)/D284)</f>
        <v>-8.32326893431705E-006</v>
      </c>
      <c r="F284" s="19" t="n">
        <v>23.991125</v>
      </c>
      <c r="G284" s="19" t="n">
        <v>23.991125</v>
      </c>
      <c r="H284" s="20" t="n">
        <f aca="false">IF(OR(G284="",G284=0),"",(F284-G284)/G284)</f>
        <v>0</v>
      </c>
      <c r="I284" s="19" t="n">
        <v>342.254319</v>
      </c>
      <c r="J284" s="19" t="n">
        <v>342.254319</v>
      </c>
      <c r="K284" s="20" t="n">
        <f aca="false">IF(OR(J284="",J284=0),"",(I284-J284)/J284)</f>
        <v>0</v>
      </c>
      <c r="L284" s="21" t="str">
        <f aca="false">IF(OR(D284="",G284="",J284=""),"No reported subtotal",IF(AND(ABS(N(E284))&lt;=$D$2,ABS(N(H284))&lt;=$D$2,ABS(N(K284))&lt;=$D$2),"Reconciles within tolerance","Outside tolerance"))</f>
        <v>Reconciles within tolerance</v>
      </c>
    </row>
    <row r="285" customFormat="false" ht="15" hidden="false" customHeight="false" outlineLevel="0" collapsed="false">
      <c r="A285" s="7" t="n">
        <v>2022</v>
      </c>
      <c r="B285" s="15" t="s">
        <v>140</v>
      </c>
      <c r="C285" s="19" t="n">
        <v>122.09781</v>
      </c>
      <c r="D285" s="19" t="n">
        <v>122.098401</v>
      </c>
      <c r="E285" s="20" t="n">
        <f aca="false">IF(OR(D285="",D285=0),"",(C285-D285)/D285)</f>
        <v>-4.84035822876999E-006</v>
      </c>
      <c r="F285" s="19" t="n">
        <v>23.743151</v>
      </c>
      <c r="G285" s="19" t="n">
        <v>23.743151</v>
      </c>
      <c r="H285" s="20" t="n">
        <f aca="false">IF(OR(G285="",G285=0),"",(F285-G285)/G285)</f>
        <v>0</v>
      </c>
      <c r="I285" s="19" t="n">
        <v>386.872637</v>
      </c>
      <c r="J285" s="19" t="n">
        <v>386.872637</v>
      </c>
      <c r="K285" s="20" t="n">
        <f aca="false">IF(OR(J285="",J285=0),"",(I285-J285)/J285)</f>
        <v>0</v>
      </c>
      <c r="L285" s="21" t="str">
        <f aca="false">IF(OR(D285="",G285="",J285=""),"No reported subtotal",IF(AND(ABS(N(E285))&lt;=$D$2,ABS(N(H285))&lt;=$D$2,ABS(N(K285))&lt;=$D$2),"Reconciles within tolerance","Outside tolerance"))</f>
        <v>Reconciles within tolerance</v>
      </c>
    </row>
    <row r="286" customFormat="false" ht="15" hidden="false" customHeight="false" outlineLevel="0" collapsed="false">
      <c r="A286" s="7" t="n">
        <v>2023</v>
      </c>
      <c r="B286" s="15" t="s">
        <v>140</v>
      </c>
      <c r="C286" s="19" t="n">
        <v>90.290536</v>
      </c>
      <c r="D286" s="19" t="n">
        <v>90.290536</v>
      </c>
      <c r="E286" s="20" t="n">
        <f aca="false">IF(OR(D286="",D286=0),"",(C286-D286)/D286)</f>
        <v>0</v>
      </c>
      <c r="F286" s="19" t="n">
        <v>30.5153</v>
      </c>
      <c r="G286" s="19" t="n">
        <v>30.5153</v>
      </c>
      <c r="H286" s="20" t="n">
        <f aca="false">IF(OR(G286="",G286=0),"",(F286-G286)/G286)</f>
        <v>0</v>
      </c>
      <c r="I286" s="19" t="n">
        <v>379.035258</v>
      </c>
      <c r="J286" s="19" t="n">
        <v>379.035258</v>
      </c>
      <c r="K286" s="20" t="n">
        <f aca="false">IF(OR(J286="",J286=0),"",(I286-J286)/J286)</f>
        <v>0</v>
      </c>
      <c r="L286" s="21" t="str">
        <f aca="false">IF(OR(D286="",G286="",J286=""),"No reported subtotal",IF(AND(ABS(N(E286))&lt;=$D$2,ABS(N(H286))&lt;=$D$2,ABS(N(K286))&lt;=$D$2),"Reconciles within tolerance","Outside tolerance"))</f>
        <v>Reconciles within tolerance</v>
      </c>
    </row>
    <row r="287" customFormat="false" ht="15" hidden="false" customHeight="false" outlineLevel="0" collapsed="false">
      <c r="A287" s="7" t="n">
        <v>2024</v>
      </c>
      <c r="B287" s="15" t="s">
        <v>140</v>
      </c>
      <c r="C287" s="19" t="n">
        <v>103.254983</v>
      </c>
      <c r="D287" s="19" t="n">
        <v>103.088378</v>
      </c>
      <c r="E287" s="20" t="n">
        <f aca="false">IF(OR(D287="",D287=0),"",(C287-D287)/D287)</f>
        <v>0.00161613756305284</v>
      </c>
      <c r="F287" s="19" t="n">
        <v>36.795109</v>
      </c>
      <c r="G287" s="19" t="n">
        <v>36.795109</v>
      </c>
      <c r="H287" s="20" t="n">
        <f aca="false">IF(OR(G287="",G287=0),"",(F287-G287)/G287)</f>
        <v>0</v>
      </c>
      <c r="I287" s="19" t="n">
        <v>421.043635</v>
      </c>
      <c r="J287" s="19" t="n">
        <v>421.043635</v>
      </c>
      <c r="K287" s="20" t="n">
        <f aca="false">IF(OR(J287="",J287=0),"",(I287-J287)/J287)</f>
        <v>0</v>
      </c>
      <c r="L287" s="21" t="str">
        <f aca="false">IF(OR(D287="",G287="",J287=""),"No reported subtotal",IF(AND(ABS(N(E287))&lt;=$D$2,ABS(N(H287))&lt;=$D$2,ABS(N(K287))&lt;=$D$2),"Reconciles within tolerance","Outside tolerance"))</f>
        <v>Reconciles within tolerance</v>
      </c>
    </row>
    <row r="288" customFormat="false" ht="15" hidden="false" customHeight="false" outlineLevel="0" collapsed="false">
      <c r="A288" s="7" t="n">
        <v>2025</v>
      </c>
      <c r="B288" s="15" t="s">
        <v>140</v>
      </c>
      <c r="C288" s="19" t="n">
        <v>120.211774</v>
      </c>
      <c r="D288" s="19" t="n">
        <v>120.211774</v>
      </c>
      <c r="E288" s="20" t="n">
        <f aca="false">IF(OR(D288="",D288=0),"",(C288-D288)/D288)</f>
        <v>0</v>
      </c>
      <c r="F288" s="19" t="n">
        <v>41.884096</v>
      </c>
      <c r="G288" s="19" t="n">
        <v>41.884096</v>
      </c>
      <c r="H288" s="20" t="n">
        <f aca="false">IF(OR(G288="",G288=0),"",(F288-G288)/G288)</f>
        <v>0</v>
      </c>
      <c r="I288" s="19" t="n">
        <v>440.323304</v>
      </c>
      <c r="J288" s="19" t="n">
        <v>440.323304</v>
      </c>
      <c r="K288" s="20" t="n">
        <f aca="false">IF(OR(J288="",J288=0),"",(I288-J288)/J288)</f>
        <v>0</v>
      </c>
      <c r="L288" s="21" t="str">
        <f aca="false">IF(OR(D288="",G288="",J288=""),"No reported subtotal",IF(AND(ABS(N(E288))&lt;=$D$2,ABS(N(H288))&lt;=$D$2,ABS(N(K288))&lt;=$D$2),"Reconciles within tolerance","Outside tolerance"))</f>
        <v>Reconciles within tolerance</v>
      </c>
    </row>
    <row r="289" customFormat="false" ht="15" hidden="false" customHeight="false" outlineLevel="0" collapsed="false">
      <c r="A289" s="7" t="n">
        <v>2000</v>
      </c>
      <c r="B289" s="15" t="s">
        <v>127</v>
      </c>
      <c r="C289" s="19" t="n">
        <v>32.510727</v>
      </c>
      <c r="D289" s="19" t="n">
        <v>32.510727</v>
      </c>
      <c r="E289" s="20" t="n">
        <f aca="false">IF(OR(D289="",D289=0),"",(C289-D289)/D289)</f>
        <v>0</v>
      </c>
      <c r="F289" s="19" t="n">
        <v>37.399295</v>
      </c>
      <c r="G289" s="19" t="n">
        <v>37.399295</v>
      </c>
      <c r="H289" s="20" t="n">
        <f aca="false">IF(OR(G289="",G289=0),"",(F289-G289)/G289)</f>
        <v>0</v>
      </c>
      <c r="I289" s="19" t="n">
        <v>61.624265</v>
      </c>
      <c r="J289" s="19" t="n">
        <v>61.624265</v>
      </c>
      <c r="K289" s="20" t="n">
        <f aca="false">IF(OR(J289="",J289=0),"",(I289-J289)/J289)</f>
        <v>0</v>
      </c>
      <c r="L289" s="21" t="str">
        <f aca="false">IF(OR(D289="",G289="",J289=""),"No reported subtotal",IF(AND(ABS(N(E289))&lt;=$D$2,ABS(N(H289))&lt;=$D$2,ABS(N(K289))&lt;=$D$2),"Reconciles within tolerance","Outside tolerance"))</f>
        <v>Reconciles within tolerance</v>
      </c>
    </row>
    <row r="290" customFormat="false" ht="15" hidden="false" customHeight="false" outlineLevel="0" collapsed="false">
      <c r="A290" s="7" t="n">
        <v>2001</v>
      </c>
      <c r="B290" s="15" t="s">
        <v>127</v>
      </c>
      <c r="C290" s="19" t="n">
        <v>35.71515</v>
      </c>
      <c r="D290" s="19" t="n">
        <v>35.71515</v>
      </c>
      <c r="E290" s="20" t="n">
        <f aca="false">IF(OR(D290="",D290=0),"",(C290-D290)/D290)</f>
        <v>0</v>
      </c>
      <c r="F290" s="19" t="n">
        <v>30.993205</v>
      </c>
      <c r="G290" s="19" t="n">
        <v>30.993205</v>
      </c>
      <c r="H290" s="20" t="n">
        <f aca="false">IF(OR(G290="",G290=0),"",(F290-G290)/G290)</f>
        <v>0</v>
      </c>
      <c r="I290" s="19" t="n">
        <v>61.082285</v>
      </c>
      <c r="J290" s="19" t="n">
        <v>61.082285</v>
      </c>
      <c r="K290" s="20" t="n">
        <f aca="false">IF(OR(J290="",J290=0),"",(I290-J290)/J290)</f>
        <v>0</v>
      </c>
      <c r="L290" s="21" t="str">
        <f aca="false">IF(OR(D290="",G290="",J290=""),"No reported subtotal",IF(AND(ABS(N(E290))&lt;=$D$2,ABS(N(H290))&lt;=$D$2,ABS(N(K290))&lt;=$D$2),"Reconciles within tolerance","Outside tolerance"))</f>
        <v>Reconciles within tolerance</v>
      </c>
    </row>
    <row r="291" customFormat="false" ht="15" hidden="false" customHeight="false" outlineLevel="0" collapsed="false">
      <c r="A291" s="7" t="n">
        <v>2002</v>
      </c>
      <c r="B291" s="15" t="s">
        <v>127</v>
      </c>
      <c r="C291" s="19" t="n">
        <v>33.389151</v>
      </c>
      <c r="D291" s="19" t="n">
        <v>33.389151</v>
      </c>
      <c r="E291" s="20" t="n">
        <f aca="false">IF(OR(D291="",D291=0),"",(C291-D291)/D291)</f>
        <v>0</v>
      </c>
      <c r="F291" s="19" t="n">
        <v>30.430828</v>
      </c>
      <c r="G291" s="19" t="n">
        <v>30.430828</v>
      </c>
      <c r="H291" s="20" t="n">
        <f aca="false">IF(OR(G291="",G291=0),"",(F291-G291)/G291)</f>
        <v>0</v>
      </c>
      <c r="I291" s="19" t="n">
        <v>57.705099</v>
      </c>
      <c r="J291" s="19" t="n">
        <v>57.705099</v>
      </c>
      <c r="K291" s="20" t="n">
        <f aca="false">IF(OR(J291="",J291=0),"",(I291-J291)/J291)</f>
        <v>0</v>
      </c>
      <c r="L291" s="21" t="str">
        <f aca="false">IF(OR(D291="",G291="",J291=""),"No reported subtotal",IF(AND(ABS(N(E291))&lt;=$D$2,ABS(N(H291))&lt;=$D$2,ABS(N(K291))&lt;=$D$2),"Reconciles within tolerance","Outside tolerance"))</f>
        <v>Reconciles within tolerance</v>
      </c>
    </row>
    <row r="292" customFormat="false" ht="15" hidden="false" customHeight="false" outlineLevel="0" collapsed="false">
      <c r="A292" s="7" t="n">
        <v>2003</v>
      </c>
      <c r="B292" s="15" t="s">
        <v>127</v>
      </c>
      <c r="C292" s="19" t="n">
        <v>34.495679</v>
      </c>
      <c r="D292" s="19" t="n">
        <v>34.495679</v>
      </c>
      <c r="E292" s="20" t="n">
        <f aca="false">IF(OR(D292="",D292=0),"",(C292-D292)/D292)</f>
        <v>0</v>
      </c>
      <c r="F292" s="19" t="n">
        <v>33.441531</v>
      </c>
      <c r="G292" s="19" t="n">
        <v>33.441531</v>
      </c>
      <c r="H292" s="20" t="n">
        <f aca="false">IF(OR(G292="",G292=0),"",(F292-G292)/G292)</f>
        <v>0</v>
      </c>
      <c r="I292" s="19" t="n">
        <v>59.802833</v>
      </c>
      <c r="J292" s="19" t="n">
        <v>59.802833</v>
      </c>
      <c r="K292" s="20" t="n">
        <f aca="false">IF(OR(J292="",J292=0),"",(I292-J292)/J292)</f>
        <v>0</v>
      </c>
      <c r="L292" s="21" t="str">
        <f aca="false">IF(OR(D292="",G292="",J292=""),"No reported subtotal",IF(AND(ABS(N(E292))&lt;=$D$2,ABS(N(H292))&lt;=$D$2,ABS(N(K292))&lt;=$D$2),"Reconciles within tolerance","Outside tolerance"))</f>
        <v>Reconciles within tolerance</v>
      </c>
    </row>
    <row r="293" customFormat="false" ht="15" hidden="false" customHeight="false" outlineLevel="0" collapsed="false">
      <c r="A293" s="7" t="n">
        <v>2004</v>
      </c>
      <c r="B293" s="15" t="s">
        <v>127</v>
      </c>
      <c r="C293" s="19" t="n">
        <v>39.700793</v>
      </c>
      <c r="D293" s="19" t="n">
        <v>39.700793</v>
      </c>
      <c r="E293" s="20" t="n">
        <f aca="false">IF(OR(D293="",D293=0),"",(C293-D293)/D293)</f>
        <v>0</v>
      </c>
      <c r="F293" s="19" t="n">
        <v>35.832507</v>
      </c>
      <c r="G293" s="19" t="n">
        <v>35.832507</v>
      </c>
      <c r="H293" s="20" t="n">
        <f aca="false">IF(OR(G293="",G293=0),"",(F293-G293)/G293)</f>
        <v>0</v>
      </c>
      <c r="I293" s="19" t="n">
        <v>76.94043</v>
      </c>
      <c r="J293" s="19" t="n">
        <v>76.94043</v>
      </c>
      <c r="K293" s="20" t="n">
        <f aca="false">IF(OR(J293="",J293=0),"",(I293-J293)/J293)</f>
        <v>0</v>
      </c>
      <c r="L293" s="21" t="str">
        <f aca="false">IF(OR(D293="",G293="",J293=""),"No reported subtotal",IF(AND(ABS(N(E293))&lt;=$D$2,ABS(N(H293))&lt;=$D$2,ABS(N(K293))&lt;=$D$2),"Reconciles within tolerance","Outside tolerance"))</f>
        <v>Reconciles within tolerance</v>
      </c>
    </row>
    <row r="294" customFormat="false" ht="15" hidden="false" customHeight="false" outlineLevel="0" collapsed="false">
      <c r="A294" s="7" t="n">
        <v>2005</v>
      </c>
      <c r="B294" s="15" t="s">
        <v>127</v>
      </c>
      <c r="C294" s="19" t="n">
        <v>36.516975</v>
      </c>
      <c r="D294" s="19" t="n">
        <v>36.516975</v>
      </c>
      <c r="E294" s="20" t="n">
        <f aca="false">IF(OR(D294="",D294=0),"",(C294-D294)/D294)</f>
        <v>0</v>
      </c>
      <c r="F294" s="19" t="n">
        <v>47.855797</v>
      </c>
      <c r="G294" s="19" t="n">
        <v>47.855797</v>
      </c>
      <c r="H294" s="20" t="n">
        <f aca="false">IF(OR(G294="",G294=0),"",(F294-G294)/G294)</f>
        <v>0</v>
      </c>
      <c r="I294" s="19" t="n">
        <v>59.084933</v>
      </c>
      <c r="J294" s="19" t="n">
        <v>59.084933</v>
      </c>
      <c r="K294" s="20" t="n">
        <f aca="false">IF(OR(J294="",J294=0),"",(I294-J294)/J294)</f>
        <v>0</v>
      </c>
      <c r="L294" s="21" t="str">
        <f aca="false">IF(OR(D294="",G294="",J294=""),"No reported subtotal",IF(AND(ABS(N(E294))&lt;=$D$2,ABS(N(H294))&lt;=$D$2,ABS(N(K294))&lt;=$D$2),"Reconciles within tolerance","Outside tolerance"))</f>
        <v>Reconciles within tolerance</v>
      </c>
    </row>
    <row r="295" customFormat="false" ht="15" hidden="false" customHeight="false" outlineLevel="0" collapsed="false">
      <c r="A295" s="7" t="n">
        <v>2006</v>
      </c>
      <c r="B295" s="15" t="s">
        <v>127</v>
      </c>
      <c r="C295" s="19" t="n">
        <v>35.007478</v>
      </c>
      <c r="D295" s="19" t="n">
        <v>35.007478</v>
      </c>
      <c r="E295" s="20" t="n">
        <f aca="false">IF(OR(D295="",D295=0),"",(C295-D295)/D295)</f>
        <v>0</v>
      </c>
      <c r="F295" s="19" t="n">
        <v>47.409204</v>
      </c>
      <c r="G295" s="19" t="n">
        <v>47.409204</v>
      </c>
      <c r="H295" s="20" t="n">
        <f aca="false">IF(OR(G295="",G295=0),"",(F295-G295)/G295)</f>
        <v>0</v>
      </c>
      <c r="I295" s="19" t="n">
        <v>50.545755</v>
      </c>
      <c r="J295" s="19" t="n">
        <v>50.545755</v>
      </c>
      <c r="K295" s="20" t="n">
        <f aca="false">IF(OR(J295="",J295=0),"",(I295-J295)/J295)</f>
        <v>0</v>
      </c>
      <c r="L295" s="21" t="str">
        <f aca="false">IF(OR(D295="",G295="",J295=""),"No reported subtotal",IF(AND(ABS(N(E295))&lt;=$D$2,ABS(N(H295))&lt;=$D$2,ABS(N(K295))&lt;=$D$2),"Reconciles within tolerance","Outside tolerance"))</f>
        <v>Reconciles within tolerance</v>
      </c>
    </row>
    <row r="296" customFormat="false" ht="15" hidden="false" customHeight="false" outlineLevel="0" collapsed="false">
      <c r="A296" s="7" t="n">
        <v>2007</v>
      </c>
      <c r="B296" s="15" t="s">
        <v>127</v>
      </c>
      <c r="C296" s="19" t="n">
        <v>49.379271</v>
      </c>
      <c r="D296" s="19" t="n">
        <v>49.379271</v>
      </c>
      <c r="E296" s="20" t="n">
        <f aca="false">IF(OR(D296="",D296=0),"",(C296-D296)/D296)</f>
        <v>0</v>
      </c>
      <c r="F296" s="19" t="n">
        <v>49.381001</v>
      </c>
      <c r="G296" s="19" t="n">
        <v>49.381001</v>
      </c>
      <c r="H296" s="20" t="n">
        <f aca="false">IF(OR(G296="",G296=0),"",(F296-G296)/G296)</f>
        <v>0</v>
      </c>
      <c r="I296" s="19" t="n">
        <v>105.802913</v>
      </c>
      <c r="J296" s="19" t="n">
        <v>105.802913</v>
      </c>
      <c r="K296" s="20" t="n">
        <f aca="false">IF(OR(J296="",J296=0),"",(I296-J296)/J296)</f>
        <v>0</v>
      </c>
      <c r="L296" s="21" t="str">
        <f aca="false">IF(OR(D296="",G296="",J296=""),"No reported subtotal",IF(AND(ABS(N(E296))&lt;=$D$2,ABS(N(H296))&lt;=$D$2,ABS(N(K296))&lt;=$D$2),"Reconciles within tolerance","Outside tolerance"))</f>
        <v>Reconciles within tolerance</v>
      </c>
    </row>
    <row r="297" customFormat="false" ht="15" hidden="false" customHeight="false" outlineLevel="0" collapsed="false">
      <c r="A297" s="7" t="n">
        <v>2008</v>
      </c>
      <c r="B297" s="15" t="s">
        <v>127</v>
      </c>
      <c r="C297" s="19" t="n">
        <v>53.627205</v>
      </c>
      <c r="D297" s="19" t="n">
        <v>53.627205</v>
      </c>
      <c r="E297" s="20" t="n">
        <f aca="false">IF(OR(D297="",D297=0),"",(C297-D297)/D297)</f>
        <v>0</v>
      </c>
      <c r="F297" s="19" t="n">
        <v>61.359893</v>
      </c>
      <c r="G297" s="19" t="n">
        <v>61.359893</v>
      </c>
      <c r="H297" s="20" t="n">
        <f aca="false">IF(OR(G297="",G297=0),"",(F297-G297)/G297)</f>
        <v>0</v>
      </c>
      <c r="I297" s="19" t="n">
        <v>75.705765</v>
      </c>
      <c r="J297" s="19" t="n">
        <v>75.705765</v>
      </c>
      <c r="K297" s="20" t="n">
        <f aca="false">IF(OR(J297="",J297=0),"",(I297-J297)/J297)</f>
        <v>0</v>
      </c>
      <c r="L297" s="21" t="str">
        <f aca="false">IF(OR(D297="",G297="",J297=""),"No reported subtotal",IF(AND(ABS(N(E297))&lt;=$D$2,ABS(N(H297))&lt;=$D$2,ABS(N(K297))&lt;=$D$2),"Reconciles within tolerance","Outside tolerance"))</f>
        <v>Reconciles within tolerance</v>
      </c>
    </row>
    <row r="298" customFormat="false" ht="15" hidden="false" customHeight="false" outlineLevel="0" collapsed="false">
      <c r="A298" s="7" t="n">
        <v>2009</v>
      </c>
      <c r="B298" s="15" t="s">
        <v>127</v>
      </c>
      <c r="C298" s="19" t="n">
        <v>57.405551</v>
      </c>
      <c r="D298" s="19" t="n">
        <v>57.405551</v>
      </c>
      <c r="E298" s="20" t="n">
        <f aca="false">IF(OR(D298="",D298=0),"",(C298-D298)/D298)</f>
        <v>0</v>
      </c>
      <c r="F298" s="19" t="n">
        <v>46.916198</v>
      </c>
      <c r="G298" s="19" t="n">
        <v>46.916198</v>
      </c>
      <c r="H298" s="20" t="n">
        <f aca="false">IF(OR(G298="",G298=0),"",(F298-G298)/G298)</f>
        <v>0</v>
      </c>
      <c r="I298" s="19" t="n">
        <v>93.882867</v>
      </c>
      <c r="J298" s="19" t="n">
        <v>93.882867</v>
      </c>
      <c r="K298" s="20" t="n">
        <f aca="false">IF(OR(J298="",J298=0),"",(I298-J298)/J298)</f>
        <v>0</v>
      </c>
      <c r="L298" s="21" t="str">
        <f aca="false">IF(OR(D298="",G298="",J298=""),"No reported subtotal",IF(AND(ABS(N(E298))&lt;=$D$2,ABS(N(H298))&lt;=$D$2,ABS(N(K298))&lt;=$D$2),"Reconciles within tolerance","Outside tolerance"))</f>
        <v>Reconciles within tolerance</v>
      </c>
    </row>
    <row r="299" customFormat="false" ht="15" hidden="false" customHeight="false" outlineLevel="0" collapsed="false">
      <c r="A299" s="7" t="n">
        <v>2010</v>
      </c>
      <c r="B299" s="15" t="s">
        <v>127</v>
      </c>
      <c r="C299" s="19" t="n">
        <v>65.674991</v>
      </c>
      <c r="D299" s="19" t="n">
        <v>65.674991</v>
      </c>
      <c r="E299" s="20" t="n">
        <f aca="false">IF(OR(D299="",D299=0),"",(C299-D299)/D299)</f>
        <v>0</v>
      </c>
      <c r="F299" s="19" t="n">
        <v>59.506928</v>
      </c>
      <c r="G299" s="19" t="n">
        <v>59.506928</v>
      </c>
      <c r="H299" s="20" t="n">
        <f aca="false">IF(OR(G299="",G299=0),"",(F299-G299)/G299)</f>
        <v>0</v>
      </c>
      <c r="I299" s="19" t="n">
        <v>93.289187</v>
      </c>
      <c r="J299" s="19" t="n">
        <v>93.289187</v>
      </c>
      <c r="K299" s="20" t="n">
        <f aca="false">IF(OR(J299="",J299=0),"",(I299-J299)/J299)</f>
        <v>0</v>
      </c>
      <c r="L299" s="21" t="str">
        <f aca="false">IF(OR(D299="",G299="",J299=""),"No reported subtotal",IF(AND(ABS(N(E299))&lt;=$D$2,ABS(N(H299))&lt;=$D$2,ABS(N(K299))&lt;=$D$2),"Reconciles within tolerance","Outside tolerance"))</f>
        <v>Reconciles within tolerance</v>
      </c>
    </row>
    <row r="300" customFormat="false" ht="15" hidden="false" customHeight="false" outlineLevel="0" collapsed="false">
      <c r="A300" s="7" t="n">
        <v>2011</v>
      </c>
      <c r="B300" s="15" t="s">
        <v>127</v>
      </c>
      <c r="C300" s="19" t="n">
        <v>60.235598</v>
      </c>
      <c r="D300" s="19" t="n">
        <v>60.235598</v>
      </c>
      <c r="E300" s="20" t="n">
        <f aca="false">IF(OR(D300="",D300=0),"",(C300-D300)/D300)</f>
        <v>0</v>
      </c>
      <c r="F300" s="19" t="n">
        <v>50.300185</v>
      </c>
      <c r="G300" s="19" t="n">
        <v>50.300185</v>
      </c>
      <c r="H300" s="20" t="n">
        <f aca="false">IF(OR(G300="",G300=0),"",(F300-G300)/G300)</f>
        <v>0</v>
      </c>
      <c r="I300" s="19" t="n">
        <v>108.519322</v>
      </c>
      <c r="J300" s="19" t="n">
        <v>108.519322</v>
      </c>
      <c r="K300" s="20" t="n">
        <f aca="false">IF(OR(J300="",J300=0),"",(I300-J300)/J300)</f>
        <v>0</v>
      </c>
      <c r="L300" s="21" t="str">
        <f aca="false">IF(OR(D300="",G300="",J300=""),"No reported subtotal",IF(AND(ABS(N(E300))&lt;=$D$2,ABS(N(H300))&lt;=$D$2,ABS(N(K300))&lt;=$D$2),"Reconciles within tolerance","Outside tolerance"))</f>
        <v>Reconciles within tolerance</v>
      </c>
    </row>
    <row r="301" customFormat="false" ht="15" hidden="false" customHeight="false" outlineLevel="0" collapsed="false">
      <c r="A301" s="7" t="n">
        <v>2012</v>
      </c>
      <c r="B301" s="15" t="s">
        <v>127</v>
      </c>
      <c r="C301" s="19" t="n">
        <v>68.01384</v>
      </c>
      <c r="D301" s="19" t="n">
        <v>68.01384</v>
      </c>
      <c r="E301" s="20" t="n">
        <f aca="false">IF(OR(D301="",D301=0),"",(C301-D301)/D301)</f>
        <v>0</v>
      </c>
      <c r="F301" s="19" t="n">
        <v>35.823271</v>
      </c>
      <c r="G301" s="19" t="n">
        <v>35.823271</v>
      </c>
      <c r="H301" s="20" t="n">
        <f aca="false">IF(OR(G301="",G301=0),"",(F301-G301)/G301)</f>
        <v>0</v>
      </c>
      <c r="I301" s="19" t="n">
        <v>141.800282</v>
      </c>
      <c r="J301" s="19" t="n">
        <v>141.800282</v>
      </c>
      <c r="K301" s="20" t="n">
        <f aca="false">IF(OR(J301="",J301=0),"",(I301-J301)/J301)</f>
        <v>0</v>
      </c>
      <c r="L301" s="21" t="str">
        <f aca="false">IF(OR(D301="",G301="",J301=""),"No reported subtotal",IF(AND(ABS(N(E301))&lt;=$D$2,ABS(N(H301))&lt;=$D$2,ABS(N(K301))&lt;=$D$2),"Reconciles within tolerance","Outside tolerance"))</f>
        <v>Reconciles within tolerance</v>
      </c>
    </row>
    <row r="302" customFormat="false" ht="15" hidden="false" customHeight="false" outlineLevel="0" collapsed="false">
      <c r="A302" s="7" t="n">
        <v>2013</v>
      </c>
      <c r="B302" s="15" t="s">
        <v>127</v>
      </c>
      <c r="C302" s="19" t="n">
        <v>57.544402</v>
      </c>
      <c r="D302" s="19" t="n">
        <v>57.544402</v>
      </c>
      <c r="E302" s="20" t="n">
        <f aca="false">IF(OR(D302="",D302=0),"",(C302-D302)/D302)</f>
        <v>0</v>
      </c>
      <c r="F302" s="19" t="n">
        <v>37.272243</v>
      </c>
      <c r="G302" s="19" t="n">
        <v>37.272243</v>
      </c>
      <c r="H302" s="20" t="n">
        <f aca="false">IF(OR(G302="",G302=0),"",(F302-G302)/G302)</f>
        <v>0</v>
      </c>
      <c r="I302" s="19" t="n">
        <v>113.700274</v>
      </c>
      <c r="J302" s="19" t="n">
        <v>113.700274</v>
      </c>
      <c r="K302" s="20" t="n">
        <f aca="false">IF(OR(J302="",J302=0),"",(I302-J302)/J302)</f>
        <v>0</v>
      </c>
      <c r="L302" s="21" t="str">
        <f aca="false">IF(OR(D302="",G302="",J302=""),"No reported subtotal",IF(AND(ABS(N(E302))&lt;=$D$2,ABS(N(H302))&lt;=$D$2,ABS(N(K302))&lt;=$D$2),"Reconciles within tolerance","Outside tolerance"))</f>
        <v>Reconciles within tolerance</v>
      </c>
    </row>
    <row r="303" customFormat="false" ht="15" hidden="false" customHeight="false" outlineLevel="0" collapsed="false">
      <c r="A303" s="7" t="n">
        <v>2014</v>
      </c>
      <c r="B303" s="15" t="s">
        <v>127</v>
      </c>
      <c r="C303" s="19" t="n">
        <v>62.767833</v>
      </c>
      <c r="D303" s="19" t="n">
        <v>62.767833</v>
      </c>
      <c r="E303" s="20" t="n">
        <f aca="false">IF(OR(D303="",D303=0),"",(C303-D303)/D303)</f>
        <v>0</v>
      </c>
      <c r="F303" s="19" t="n">
        <v>31.599269</v>
      </c>
      <c r="G303" s="19" t="n">
        <v>31.599269</v>
      </c>
      <c r="H303" s="20" t="n">
        <f aca="false">IF(OR(G303="",G303=0),"",(F303-G303)/G303)</f>
        <v>0</v>
      </c>
      <c r="I303" s="19" t="n">
        <v>80.946353</v>
      </c>
      <c r="J303" s="19" t="n">
        <v>80.946353</v>
      </c>
      <c r="K303" s="20" t="n">
        <f aca="false">IF(OR(J303="",J303=0),"",(I303-J303)/J303)</f>
        <v>0</v>
      </c>
      <c r="L303" s="21" t="str">
        <f aca="false">IF(OR(D303="",G303="",J303=""),"No reported subtotal",IF(AND(ABS(N(E303))&lt;=$D$2,ABS(N(H303))&lt;=$D$2,ABS(N(K303))&lt;=$D$2),"Reconciles within tolerance","Outside tolerance"))</f>
        <v>Reconciles within tolerance</v>
      </c>
    </row>
    <row r="304" customFormat="false" ht="15" hidden="false" customHeight="false" outlineLevel="0" collapsed="false">
      <c r="A304" s="7" t="n">
        <v>2015</v>
      </c>
      <c r="B304" s="15" t="s">
        <v>127</v>
      </c>
      <c r="C304" s="19" t="n">
        <v>68.230608</v>
      </c>
      <c r="D304" s="19" t="n">
        <v>68.230608</v>
      </c>
      <c r="E304" s="20" t="n">
        <f aca="false">IF(OR(D304="",D304=0),"",(C304-D304)/D304)</f>
        <v>0</v>
      </c>
      <c r="F304" s="19" t="n">
        <v>32.878737</v>
      </c>
      <c r="G304" s="19" t="n">
        <v>32.878737</v>
      </c>
      <c r="H304" s="20" t="n">
        <f aca="false">IF(OR(G304="",G304=0),"",(F304-G304)/G304)</f>
        <v>0</v>
      </c>
      <c r="I304" s="19" t="n">
        <v>105.919659</v>
      </c>
      <c r="J304" s="19" t="n">
        <v>105.919659</v>
      </c>
      <c r="K304" s="20" t="n">
        <f aca="false">IF(OR(J304="",J304=0),"",(I304-J304)/J304)</f>
        <v>0</v>
      </c>
      <c r="L304" s="21" t="str">
        <f aca="false">IF(OR(D304="",G304="",J304=""),"No reported subtotal",IF(AND(ABS(N(E304))&lt;=$D$2,ABS(N(H304))&lt;=$D$2,ABS(N(K304))&lt;=$D$2),"Reconciles within tolerance","Outside tolerance"))</f>
        <v>Reconciles within tolerance</v>
      </c>
    </row>
    <row r="305" customFormat="false" ht="15" hidden="false" customHeight="false" outlineLevel="0" collapsed="false">
      <c r="A305" s="7" t="n">
        <v>2016</v>
      </c>
      <c r="B305" s="15" t="s">
        <v>127</v>
      </c>
      <c r="C305" s="19" t="n">
        <v>82.036444</v>
      </c>
      <c r="D305" s="19" t="n">
        <v>82.036444</v>
      </c>
      <c r="E305" s="20" t="n">
        <f aca="false">IF(OR(D305="",D305=0),"",(C305-D305)/D305)</f>
        <v>0</v>
      </c>
      <c r="F305" s="19" t="n">
        <v>26.72548</v>
      </c>
      <c r="G305" s="19" t="n">
        <v>26.72548</v>
      </c>
      <c r="H305" s="20" t="n">
        <f aca="false">IF(OR(G305="",G305=0),"",(F305-G305)/G305)</f>
        <v>0</v>
      </c>
      <c r="I305" s="19" t="n">
        <v>180.887611</v>
      </c>
      <c r="J305" s="19" t="n">
        <v>180.887611</v>
      </c>
      <c r="K305" s="20" t="n">
        <f aca="false">IF(OR(J305="",J305=0),"",(I305-J305)/J305)</f>
        <v>0</v>
      </c>
      <c r="L305" s="21" t="str">
        <f aca="false">IF(OR(D305="",G305="",J305=""),"No reported subtotal",IF(AND(ABS(N(E305))&lt;=$D$2,ABS(N(H305))&lt;=$D$2,ABS(N(K305))&lt;=$D$2),"Reconciles within tolerance","Outside tolerance"))</f>
        <v>Reconciles within tolerance</v>
      </c>
    </row>
    <row r="306" customFormat="false" ht="15" hidden="false" customHeight="false" outlineLevel="0" collapsed="false">
      <c r="A306" s="7" t="n">
        <v>2017</v>
      </c>
      <c r="B306" s="15" t="s">
        <v>127</v>
      </c>
      <c r="C306" s="19" t="n">
        <v>94.32997</v>
      </c>
      <c r="D306" s="19" t="n">
        <v>94.32997</v>
      </c>
      <c r="E306" s="20" t="n">
        <f aca="false">IF(OR(D306="",D306=0),"",(C306-D306)/D306)</f>
        <v>0</v>
      </c>
      <c r="F306" s="19" t="n">
        <v>25.057455</v>
      </c>
      <c r="G306" s="19" t="n">
        <v>25.057455</v>
      </c>
      <c r="H306" s="20" t="n">
        <f aca="false">IF(OR(G306="",G306=0),"",(F306-G306)/G306)</f>
        <v>0</v>
      </c>
      <c r="I306" s="19" t="n">
        <v>205.811462</v>
      </c>
      <c r="J306" s="19" t="n">
        <v>205.811462</v>
      </c>
      <c r="K306" s="20" t="n">
        <f aca="false">IF(OR(J306="",J306=0),"",(I306-J306)/J306)</f>
        <v>0</v>
      </c>
      <c r="L306" s="21" t="str">
        <f aca="false">IF(OR(D306="",G306="",J306=""),"No reported subtotal",IF(AND(ABS(N(E306))&lt;=$D$2,ABS(N(H306))&lt;=$D$2,ABS(N(K306))&lt;=$D$2),"Reconciles within tolerance","Outside tolerance"))</f>
        <v>Reconciles within tolerance</v>
      </c>
    </row>
    <row r="307" customFormat="false" ht="15" hidden="false" customHeight="false" outlineLevel="0" collapsed="false">
      <c r="A307" s="7" t="n">
        <v>2018</v>
      </c>
      <c r="B307" s="15" t="s">
        <v>127</v>
      </c>
      <c r="C307" s="19" t="n">
        <v>79.573593</v>
      </c>
      <c r="D307" s="19" t="n">
        <v>79.573593</v>
      </c>
      <c r="E307" s="20" t="n">
        <f aca="false">IF(OR(D307="",D307=0),"",(C307-D307)/D307)</f>
        <v>0</v>
      </c>
      <c r="F307" s="19" t="n">
        <v>25.07161</v>
      </c>
      <c r="G307" s="19" t="n">
        <v>25.07161</v>
      </c>
      <c r="H307" s="20" t="n">
        <f aca="false">IF(OR(G307="",G307=0),"",(F307-G307)/G307)</f>
        <v>0</v>
      </c>
      <c r="I307" s="19" t="n">
        <v>207.51757</v>
      </c>
      <c r="J307" s="19" t="n">
        <v>207.51757</v>
      </c>
      <c r="K307" s="20" t="n">
        <f aca="false">IF(OR(J307="",J307=0),"",(I307-J307)/J307)</f>
        <v>0</v>
      </c>
      <c r="L307" s="21" t="str">
        <f aca="false">IF(OR(D307="",G307="",J307=""),"No reported subtotal",IF(AND(ABS(N(E307))&lt;=$D$2,ABS(N(H307))&lt;=$D$2,ABS(N(K307))&lt;=$D$2),"Reconciles within tolerance","Outside tolerance"))</f>
        <v>Reconciles within tolerance</v>
      </c>
    </row>
    <row r="308" customFormat="false" ht="15" hidden="false" customHeight="false" outlineLevel="0" collapsed="false">
      <c r="A308" s="7" t="n">
        <v>2019</v>
      </c>
      <c r="B308" s="15" t="s">
        <v>127</v>
      </c>
      <c r="C308" s="19" t="n">
        <v>83.15528</v>
      </c>
      <c r="D308" s="19" t="n">
        <v>83.15528</v>
      </c>
      <c r="E308" s="20" t="n">
        <f aca="false">IF(OR(D308="",D308=0),"",(C308-D308)/D308)</f>
        <v>0</v>
      </c>
      <c r="F308" s="19" t="n">
        <v>27.044714</v>
      </c>
      <c r="G308" s="19" t="n">
        <v>27.044714</v>
      </c>
      <c r="H308" s="20" t="n">
        <f aca="false">IF(OR(G308="",G308=0),"",(F308-G308)/G308)</f>
        <v>0</v>
      </c>
      <c r="I308" s="19" t="n">
        <v>278.443824</v>
      </c>
      <c r="J308" s="19" t="n">
        <v>278.443824</v>
      </c>
      <c r="K308" s="20" t="n">
        <f aca="false">IF(OR(J308="",J308=0),"",(I308-J308)/J308)</f>
        <v>0</v>
      </c>
      <c r="L308" s="21" t="str">
        <f aca="false">IF(OR(D308="",G308="",J308=""),"No reported subtotal",IF(AND(ABS(N(E308))&lt;=$D$2,ABS(N(H308))&lt;=$D$2,ABS(N(K308))&lt;=$D$2),"Reconciles within tolerance","Outside tolerance"))</f>
        <v>Reconciles within tolerance</v>
      </c>
    </row>
    <row r="309" customFormat="false" ht="15" hidden="false" customHeight="false" outlineLevel="0" collapsed="false">
      <c r="A309" s="7" t="n">
        <v>2020</v>
      </c>
      <c r="B309" s="15" t="s">
        <v>127</v>
      </c>
      <c r="C309" s="19" t="n">
        <v>78.105299</v>
      </c>
      <c r="D309" s="19" t="n">
        <v>78.105299</v>
      </c>
      <c r="E309" s="20" t="n">
        <f aca="false">IF(OR(D309="",D309=0),"",(C309-D309)/D309)</f>
        <v>0</v>
      </c>
      <c r="F309" s="19" t="n">
        <v>13.723892</v>
      </c>
      <c r="G309" s="19" t="n">
        <v>13.723892</v>
      </c>
      <c r="H309" s="20" t="n">
        <f aca="false">IF(OR(G309="",G309=0),"",(F309-G309)/G309)</f>
        <v>0</v>
      </c>
      <c r="I309" s="19" t="n">
        <v>221.132657</v>
      </c>
      <c r="J309" s="19" t="n">
        <v>221.132657</v>
      </c>
      <c r="K309" s="20" t="n">
        <f aca="false">IF(OR(J309="",J309=0),"",(I309-J309)/J309)</f>
        <v>0</v>
      </c>
      <c r="L309" s="21" t="str">
        <f aca="false">IF(OR(D309="",G309="",J309=""),"No reported subtotal",IF(AND(ABS(N(E309))&lt;=$D$2,ABS(N(H309))&lt;=$D$2,ABS(N(K309))&lt;=$D$2),"Reconciles within tolerance","Outside tolerance"))</f>
        <v>Reconciles within tolerance</v>
      </c>
    </row>
    <row r="310" customFormat="false" ht="15" hidden="false" customHeight="false" outlineLevel="0" collapsed="false">
      <c r="A310" s="7" t="n">
        <v>2021</v>
      </c>
      <c r="B310" s="15" t="s">
        <v>127</v>
      </c>
      <c r="C310" s="19" t="n">
        <v>66.752532</v>
      </c>
      <c r="D310" s="19" t="n">
        <v>66.752532</v>
      </c>
      <c r="E310" s="20" t="n">
        <f aca="false">IF(OR(D310="",D310=0),"",(C310-D310)/D310)</f>
        <v>0</v>
      </c>
      <c r="F310" s="19" t="n">
        <v>23.144178</v>
      </c>
      <c r="G310" s="19" t="n">
        <v>23.144178</v>
      </c>
      <c r="H310" s="20" t="n">
        <f aca="false">IF(OR(G310="",G310=0),"",(F310-G310)/G310)</f>
        <v>0</v>
      </c>
      <c r="I310" s="19" t="n">
        <v>203.229123</v>
      </c>
      <c r="J310" s="19" t="n">
        <v>203.229123</v>
      </c>
      <c r="K310" s="20" t="n">
        <f aca="false">IF(OR(J310="",J310=0),"",(I310-J310)/J310)</f>
        <v>0</v>
      </c>
      <c r="L310" s="21" t="str">
        <f aca="false">IF(OR(D310="",G310="",J310=""),"No reported subtotal",IF(AND(ABS(N(E310))&lt;=$D$2,ABS(N(H310))&lt;=$D$2,ABS(N(K310))&lt;=$D$2),"Reconciles within tolerance","Outside tolerance"))</f>
        <v>Reconciles within tolerance</v>
      </c>
    </row>
    <row r="311" customFormat="false" ht="15" hidden="false" customHeight="false" outlineLevel="0" collapsed="false">
      <c r="A311" s="7" t="n">
        <v>2022</v>
      </c>
      <c r="B311" s="15" t="s">
        <v>127</v>
      </c>
      <c r="C311" s="19" t="n">
        <v>71.337425</v>
      </c>
      <c r="D311" s="19" t="n">
        <v>71.337425</v>
      </c>
      <c r="E311" s="20" t="n">
        <f aca="false">IF(OR(D311="",D311=0),"",(C311-D311)/D311)</f>
        <v>0</v>
      </c>
      <c r="F311" s="19" t="n">
        <v>23.006343</v>
      </c>
      <c r="G311" s="19" t="n">
        <v>23.006343</v>
      </c>
      <c r="H311" s="20" t="n">
        <f aca="false">IF(OR(G311="",G311=0),"",(F311-G311)/G311)</f>
        <v>0</v>
      </c>
      <c r="I311" s="19" t="n">
        <v>196.638804</v>
      </c>
      <c r="J311" s="19" t="n">
        <v>196.638804</v>
      </c>
      <c r="K311" s="20" t="n">
        <f aca="false">IF(OR(J311="",J311=0),"",(I311-J311)/J311)</f>
        <v>0</v>
      </c>
      <c r="L311" s="21" t="str">
        <f aca="false">IF(OR(D311="",G311="",J311=""),"No reported subtotal",IF(AND(ABS(N(E311))&lt;=$D$2,ABS(N(H311))&lt;=$D$2,ABS(N(K311))&lt;=$D$2),"Reconciles within tolerance","Outside tolerance"))</f>
        <v>Reconciles within tolerance</v>
      </c>
    </row>
    <row r="312" customFormat="false" ht="15" hidden="false" customHeight="false" outlineLevel="0" collapsed="false">
      <c r="A312" s="7" t="n">
        <v>2023</v>
      </c>
      <c r="B312" s="15" t="s">
        <v>127</v>
      </c>
      <c r="C312" s="19" t="n">
        <v>67.914556</v>
      </c>
      <c r="D312" s="19" t="n">
        <v>67.914556</v>
      </c>
      <c r="E312" s="20" t="n">
        <f aca="false">IF(OR(D312="",D312=0),"",(C312-D312)/D312)</f>
        <v>0</v>
      </c>
      <c r="F312" s="19" t="n">
        <v>29.159681</v>
      </c>
      <c r="G312" s="19" t="n">
        <v>29.159681</v>
      </c>
      <c r="H312" s="20" t="n">
        <f aca="false">IF(OR(G312="",G312=0),"",(F312-G312)/G312)</f>
        <v>0</v>
      </c>
      <c r="I312" s="19" t="n">
        <v>225.619656</v>
      </c>
      <c r="J312" s="19" t="n">
        <v>225.619656</v>
      </c>
      <c r="K312" s="20" t="n">
        <f aca="false">IF(OR(J312="",J312=0),"",(I312-J312)/J312)</f>
        <v>0</v>
      </c>
      <c r="L312" s="21" t="str">
        <f aca="false">IF(OR(D312="",G312="",J312=""),"No reported subtotal",IF(AND(ABS(N(E312))&lt;=$D$2,ABS(N(H312))&lt;=$D$2,ABS(N(K312))&lt;=$D$2),"Reconciles within tolerance","Outside tolerance"))</f>
        <v>Reconciles within tolerance</v>
      </c>
    </row>
    <row r="313" customFormat="false" ht="15" hidden="false" customHeight="false" outlineLevel="0" collapsed="false">
      <c r="A313" s="7" t="n">
        <v>2024</v>
      </c>
      <c r="B313" s="15" t="s">
        <v>127</v>
      </c>
      <c r="C313" s="19" t="n">
        <v>81.230978</v>
      </c>
      <c r="D313" s="19" t="n">
        <v>81.230978</v>
      </c>
      <c r="E313" s="20" t="n">
        <f aca="false">IF(OR(D313="",D313=0),"",(C313-D313)/D313)</f>
        <v>0</v>
      </c>
      <c r="F313" s="19" t="n">
        <v>39.59548</v>
      </c>
      <c r="G313" s="19" t="n">
        <v>39.59548</v>
      </c>
      <c r="H313" s="20" t="n">
        <f aca="false">IF(OR(G313="",G313=0),"",(F313-G313)/G313)</f>
        <v>0</v>
      </c>
      <c r="I313" s="19" t="n">
        <v>235.318001</v>
      </c>
      <c r="J313" s="19" t="n">
        <v>235.318001</v>
      </c>
      <c r="K313" s="20" t="n">
        <f aca="false">IF(OR(J313="",J313=0),"",(I313-J313)/J313)</f>
        <v>0</v>
      </c>
      <c r="L313" s="21" t="str">
        <f aca="false">IF(OR(D313="",G313="",J313=""),"No reported subtotal",IF(AND(ABS(N(E313))&lt;=$D$2,ABS(N(H313))&lt;=$D$2,ABS(N(K313))&lt;=$D$2),"Reconciles within tolerance","Outside tolerance"))</f>
        <v>Reconciles within tolerance</v>
      </c>
    </row>
    <row r="314" customFormat="false" ht="15" hidden="false" customHeight="false" outlineLevel="0" collapsed="false">
      <c r="A314" s="7" t="n">
        <v>2025</v>
      </c>
      <c r="B314" s="15" t="s">
        <v>127</v>
      </c>
      <c r="C314" s="19" t="n">
        <v>73.650254</v>
      </c>
      <c r="D314" s="19" t="n">
        <v>73.650254</v>
      </c>
      <c r="E314" s="20" t="n">
        <f aca="false">IF(OR(D314="",D314=0),"",(C314-D314)/D314)</f>
        <v>0</v>
      </c>
      <c r="F314" s="19" t="n">
        <v>33.276271</v>
      </c>
      <c r="G314" s="19" t="n">
        <v>33.276271</v>
      </c>
      <c r="H314" s="20" t="n">
        <f aca="false">IF(OR(G314="",G314=0),"",(F314-G314)/G314)</f>
        <v>0</v>
      </c>
      <c r="I314" s="19" t="n">
        <v>240.727718</v>
      </c>
      <c r="J314" s="19" t="n">
        <v>240.727718</v>
      </c>
      <c r="K314" s="20" t="n">
        <f aca="false">IF(OR(J314="",J314=0),"",(I314-J314)/J314)</f>
        <v>0</v>
      </c>
      <c r="L314" s="21" t="str">
        <f aca="false">IF(OR(D314="",G314="",J314=""),"No reported subtotal",IF(AND(ABS(N(E314))&lt;=$D$2,ABS(N(H314))&lt;=$D$2,ABS(N(K314))&lt;=$D$2),"Reconciles within tolerance","Outside tolerance"))</f>
        <v>Reconciles within tolerance</v>
      </c>
    </row>
    <row r="315" customFormat="false" ht="15" hidden="false" customHeight="false" outlineLevel="0" collapsed="false">
      <c r="A315" s="7" t="n">
        <v>2000</v>
      </c>
      <c r="B315" s="15" t="s">
        <v>128</v>
      </c>
      <c r="C315" s="19" t="n">
        <v>36.874613</v>
      </c>
      <c r="D315" s="19" t="n">
        <v>36.874613</v>
      </c>
      <c r="E315" s="20" t="n">
        <f aca="false">IF(OR(D315="",D315=0),"",(C315-D315)/D315)</f>
        <v>0</v>
      </c>
      <c r="F315" s="19" t="n">
        <v>39.719021</v>
      </c>
      <c r="G315" s="19" t="n">
        <v>39.719021</v>
      </c>
      <c r="H315" s="20" t="n">
        <f aca="false">IF(OR(G315="",G315=0),"",(F315-G315)/G315)</f>
        <v>0</v>
      </c>
      <c r="I315" s="19" t="n">
        <v>67.116131</v>
      </c>
      <c r="J315" s="19" t="n">
        <v>67.116131</v>
      </c>
      <c r="K315" s="20" t="n">
        <f aca="false">IF(OR(J315="",J315=0),"",(I315-J315)/J315)</f>
        <v>0</v>
      </c>
      <c r="L315" s="21" t="str">
        <f aca="false">IF(OR(D315="",G315="",J315=""),"No reported subtotal",IF(AND(ABS(N(E315))&lt;=$D$2,ABS(N(H315))&lt;=$D$2,ABS(N(K315))&lt;=$D$2),"Reconciles within tolerance","Outside tolerance"))</f>
        <v>Reconciles within tolerance</v>
      </c>
    </row>
    <row r="316" customFormat="false" ht="15" hidden="false" customHeight="false" outlineLevel="0" collapsed="false">
      <c r="A316" s="7" t="n">
        <v>2001</v>
      </c>
      <c r="B316" s="15" t="s">
        <v>128</v>
      </c>
      <c r="C316" s="19" t="n">
        <v>24.374056</v>
      </c>
      <c r="D316" s="19" t="n">
        <v>24.374056</v>
      </c>
      <c r="E316" s="20" t="n">
        <f aca="false">IF(OR(D316="",D316=0),"",(C316-D316)/D316)</f>
        <v>0</v>
      </c>
      <c r="F316" s="19" t="n">
        <v>29.374081</v>
      </c>
      <c r="G316" s="19" t="n">
        <v>29.374081</v>
      </c>
      <c r="H316" s="20" t="n">
        <f aca="false">IF(OR(G316="",G316=0),"",(F316-G316)/G316)</f>
        <v>0</v>
      </c>
      <c r="I316" s="19" t="n">
        <v>51.958102</v>
      </c>
      <c r="J316" s="19" t="n">
        <v>51.958102</v>
      </c>
      <c r="K316" s="20" t="n">
        <f aca="false">IF(OR(J316="",J316=0),"",(I316-J316)/J316)</f>
        <v>0</v>
      </c>
      <c r="L316" s="21" t="str">
        <f aca="false">IF(OR(D316="",G316="",J316=""),"No reported subtotal",IF(AND(ABS(N(E316))&lt;=$D$2,ABS(N(H316))&lt;=$D$2,ABS(N(K316))&lt;=$D$2),"Reconciles within tolerance","Outside tolerance"))</f>
        <v>Reconciles within tolerance</v>
      </c>
    </row>
    <row r="317" customFormat="false" ht="15" hidden="false" customHeight="false" outlineLevel="0" collapsed="false">
      <c r="A317" s="7" t="n">
        <v>2002</v>
      </c>
      <c r="B317" s="15" t="s">
        <v>128</v>
      </c>
      <c r="C317" s="19" t="n">
        <v>27.096318</v>
      </c>
      <c r="D317" s="19" t="n">
        <v>27.096318</v>
      </c>
      <c r="E317" s="20" t="n">
        <f aca="false">IF(OR(D317="",D317=0),"",(C317-D317)/D317)</f>
        <v>0</v>
      </c>
      <c r="F317" s="19" t="n">
        <v>42.225019</v>
      </c>
      <c r="G317" s="19" t="n">
        <v>42.225019</v>
      </c>
      <c r="H317" s="20" t="n">
        <f aca="false">IF(OR(G317="",G317=0),"",(F317-G317)/G317)</f>
        <v>0</v>
      </c>
      <c r="I317" s="19" t="n">
        <v>50.720924</v>
      </c>
      <c r="J317" s="19" t="n">
        <v>50.720924</v>
      </c>
      <c r="K317" s="20" t="n">
        <f aca="false">IF(OR(J317="",J317=0),"",(I317-J317)/J317)</f>
        <v>0</v>
      </c>
      <c r="L317" s="21" t="str">
        <f aca="false">IF(OR(D317="",G317="",J317=""),"No reported subtotal",IF(AND(ABS(N(E317))&lt;=$D$2,ABS(N(H317))&lt;=$D$2,ABS(N(K317))&lt;=$D$2),"Reconciles within tolerance","Outside tolerance"))</f>
        <v>Reconciles within tolerance</v>
      </c>
    </row>
    <row r="318" customFormat="false" ht="15" hidden="false" customHeight="false" outlineLevel="0" collapsed="false">
      <c r="A318" s="7" t="n">
        <v>2003</v>
      </c>
      <c r="B318" s="15" t="s">
        <v>128</v>
      </c>
      <c r="C318" s="19" t="n">
        <v>28.622845</v>
      </c>
      <c r="D318" s="19" t="n">
        <v>28.622845</v>
      </c>
      <c r="E318" s="20" t="n">
        <f aca="false">IF(OR(D318="",D318=0),"",(C318-D318)/D318)</f>
        <v>0</v>
      </c>
      <c r="F318" s="19" t="n">
        <v>28.033582</v>
      </c>
      <c r="G318" s="19" t="n">
        <v>28.033582</v>
      </c>
      <c r="H318" s="20" t="n">
        <f aca="false">IF(OR(G318="",G318=0),"",(F318-G318)/G318)</f>
        <v>0</v>
      </c>
      <c r="I318" s="19" t="n">
        <v>53.632167</v>
      </c>
      <c r="J318" s="19" t="n">
        <v>53.632167</v>
      </c>
      <c r="K318" s="20" t="n">
        <f aca="false">IF(OR(J318="",J318=0),"",(I318-J318)/J318)</f>
        <v>0</v>
      </c>
      <c r="L318" s="21" t="str">
        <f aca="false">IF(OR(D318="",G318="",J318=""),"No reported subtotal",IF(AND(ABS(N(E318))&lt;=$D$2,ABS(N(H318))&lt;=$D$2,ABS(N(K318))&lt;=$D$2),"Reconciles within tolerance","Outside tolerance"))</f>
        <v>Reconciles within tolerance</v>
      </c>
    </row>
    <row r="319" customFormat="false" ht="15" hidden="false" customHeight="false" outlineLevel="0" collapsed="false">
      <c r="A319" s="7" t="n">
        <v>2004</v>
      </c>
      <c r="B319" s="15" t="s">
        <v>128</v>
      </c>
      <c r="C319" s="19" t="n">
        <v>27.614486</v>
      </c>
      <c r="D319" s="19" t="n">
        <v>27.614486</v>
      </c>
      <c r="E319" s="20" t="n">
        <f aca="false">IF(OR(D319="",D319=0),"",(C319-D319)/D319)</f>
        <v>0</v>
      </c>
      <c r="F319" s="19" t="n">
        <v>28.556941</v>
      </c>
      <c r="G319" s="19" t="n">
        <v>28.556941</v>
      </c>
      <c r="H319" s="20" t="n">
        <f aca="false">IF(OR(G319="",G319=0),"",(F319-G319)/G319)</f>
        <v>0</v>
      </c>
      <c r="I319" s="19" t="n">
        <v>62.15366</v>
      </c>
      <c r="J319" s="19" t="n">
        <v>62.15366</v>
      </c>
      <c r="K319" s="20" t="n">
        <f aca="false">IF(OR(J319="",J319=0),"",(I319-J319)/J319)</f>
        <v>0</v>
      </c>
      <c r="L319" s="21" t="str">
        <f aca="false">IF(OR(D319="",G319="",J319=""),"No reported subtotal",IF(AND(ABS(N(E319))&lt;=$D$2,ABS(N(H319))&lt;=$D$2,ABS(N(K319))&lt;=$D$2),"Reconciles within tolerance","Outside tolerance"))</f>
        <v>Reconciles within tolerance</v>
      </c>
    </row>
    <row r="320" customFormat="false" ht="15" hidden="false" customHeight="false" outlineLevel="0" collapsed="false">
      <c r="A320" s="7" t="n">
        <v>2005</v>
      </c>
      <c r="B320" s="15" t="s">
        <v>128</v>
      </c>
      <c r="C320" s="19" t="n">
        <v>30.410493</v>
      </c>
      <c r="D320" s="19" t="n">
        <v>30.410493</v>
      </c>
      <c r="E320" s="20" t="n">
        <f aca="false">IF(OR(D320="",D320=0),"",(C320-D320)/D320)</f>
        <v>0</v>
      </c>
      <c r="F320" s="19" t="n">
        <v>33.535273</v>
      </c>
      <c r="G320" s="19" t="n">
        <v>33.535273</v>
      </c>
      <c r="H320" s="20" t="n">
        <f aca="false">IF(OR(G320="",G320=0),"",(F320-G320)/G320)</f>
        <v>0</v>
      </c>
      <c r="I320" s="19" t="n">
        <v>130.700853</v>
      </c>
      <c r="J320" s="19" t="n">
        <v>130.700853</v>
      </c>
      <c r="K320" s="20" t="n">
        <f aca="false">IF(OR(J320="",J320=0),"",(I320-J320)/J320)</f>
        <v>0</v>
      </c>
      <c r="L320" s="21" t="str">
        <f aca="false">IF(OR(D320="",G320="",J320=""),"No reported subtotal",IF(AND(ABS(N(E320))&lt;=$D$2,ABS(N(H320))&lt;=$D$2,ABS(N(K320))&lt;=$D$2),"Reconciles within tolerance","Outside tolerance"))</f>
        <v>Reconciles within tolerance</v>
      </c>
    </row>
    <row r="321" customFormat="false" ht="15" hidden="false" customHeight="false" outlineLevel="0" collapsed="false">
      <c r="A321" s="7" t="n">
        <v>2006</v>
      </c>
      <c r="B321" s="15" t="s">
        <v>128</v>
      </c>
      <c r="C321" s="19" t="n">
        <v>28.995899</v>
      </c>
      <c r="D321" s="19" t="n">
        <v>28.995899</v>
      </c>
      <c r="E321" s="20" t="n">
        <f aca="false">IF(OR(D321="",D321=0),"",(C321-D321)/D321)</f>
        <v>0</v>
      </c>
      <c r="F321" s="19" t="n">
        <v>31.365762</v>
      </c>
      <c r="G321" s="19" t="n">
        <v>31.365762</v>
      </c>
      <c r="H321" s="20" t="n">
        <f aca="false">IF(OR(G321="",G321=0),"",(F321-G321)/G321)</f>
        <v>0</v>
      </c>
      <c r="I321" s="19" t="n">
        <v>105.432993</v>
      </c>
      <c r="J321" s="19" t="n">
        <v>105.432993</v>
      </c>
      <c r="K321" s="20" t="n">
        <f aca="false">IF(OR(J321="",J321=0),"",(I321-J321)/J321)</f>
        <v>0</v>
      </c>
      <c r="L321" s="21" t="str">
        <f aca="false">IF(OR(D321="",G321="",J321=""),"No reported subtotal",IF(AND(ABS(N(E321))&lt;=$D$2,ABS(N(H321))&lt;=$D$2,ABS(N(K321))&lt;=$D$2),"Reconciles within tolerance","Outside tolerance"))</f>
        <v>Reconciles within tolerance</v>
      </c>
    </row>
    <row r="322" customFormat="false" ht="15" hidden="false" customHeight="false" outlineLevel="0" collapsed="false">
      <c r="A322" s="7" t="n">
        <v>2007</v>
      </c>
      <c r="B322" s="15" t="s">
        <v>128</v>
      </c>
      <c r="C322" s="19" t="n">
        <v>27.17608</v>
      </c>
      <c r="D322" s="19" t="n">
        <v>27.17608</v>
      </c>
      <c r="E322" s="20" t="n">
        <f aca="false">IF(OR(D322="",D322=0),"",(C322-D322)/D322)</f>
        <v>0</v>
      </c>
      <c r="F322" s="19" t="n">
        <v>36.281543</v>
      </c>
      <c r="G322" s="19" t="n">
        <v>36.281543</v>
      </c>
      <c r="H322" s="20" t="n">
        <f aca="false">IF(OR(G322="",G322=0),"",(F322-G322)/G322)</f>
        <v>0</v>
      </c>
      <c r="I322" s="19" t="n">
        <v>59.094616</v>
      </c>
      <c r="J322" s="19" t="n">
        <v>59.094616</v>
      </c>
      <c r="K322" s="20" t="n">
        <f aca="false">IF(OR(J322="",J322=0),"",(I322-J322)/J322)</f>
        <v>0</v>
      </c>
      <c r="L322" s="21" t="str">
        <f aca="false">IF(OR(D322="",G322="",J322=""),"No reported subtotal",IF(AND(ABS(N(E322))&lt;=$D$2,ABS(N(H322))&lt;=$D$2,ABS(N(K322))&lt;=$D$2),"Reconciles within tolerance","Outside tolerance"))</f>
        <v>Reconciles within tolerance</v>
      </c>
    </row>
    <row r="323" customFormat="false" ht="15" hidden="false" customHeight="false" outlineLevel="0" collapsed="false">
      <c r="A323" s="7" t="n">
        <v>2008</v>
      </c>
      <c r="B323" s="15" t="s">
        <v>128</v>
      </c>
      <c r="C323" s="19" t="n">
        <v>28.418547</v>
      </c>
      <c r="D323" s="19" t="n">
        <v>28.418547</v>
      </c>
      <c r="E323" s="20" t="n">
        <f aca="false">IF(OR(D323="",D323=0),"",(C323-D323)/D323)</f>
        <v>0</v>
      </c>
      <c r="F323" s="19" t="n">
        <v>22.00157</v>
      </c>
      <c r="G323" s="19" t="n">
        <v>22.00157</v>
      </c>
      <c r="H323" s="20" t="n">
        <f aca="false">IF(OR(G323="",G323=0),"",(F323-G323)/G323)</f>
        <v>0</v>
      </c>
      <c r="I323" s="19" t="n">
        <v>74.241312</v>
      </c>
      <c r="J323" s="19" t="n">
        <v>74.241312</v>
      </c>
      <c r="K323" s="20" t="n">
        <f aca="false">IF(OR(J323="",J323=0),"",(I323-J323)/J323)</f>
        <v>0</v>
      </c>
      <c r="L323" s="21" t="str">
        <f aca="false">IF(OR(D323="",G323="",J323=""),"No reported subtotal",IF(AND(ABS(N(E323))&lt;=$D$2,ABS(N(H323))&lt;=$D$2,ABS(N(K323))&lt;=$D$2),"Reconciles within tolerance","Outside tolerance"))</f>
        <v>Reconciles within tolerance</v>
      </c>
    </row>
    <row r="324" customFormat="false" ht="15" hidden="false" customHeight="false" outlineLevel="0" collapsed="false">
      <c r="A324" s="7" t="n">
        <v>2009</v>
      </c>
      <c r="B324" s="15" t="s">
        <v>128</v>
      </c>
      <c r="C324" s="19" t="n">
        <v>28.136345</v>
      </c>
      <c r="D324" s="19" t="n">
        <v>28.136345</v>
      </c>
      <c r="E324" s="20" t="n">
        <f aca="false">IF(OR(D324="",D324=0),"",(C324-D324)/D324)</f>
        <v>0</v>
      </c>
      <c r="F324" s="19" t="n">
        <v>27.07624</v>
      </c>
      <c r="G324" s="19" t="n">
        <v>27.07624</v>
      </c>
      <c r="H324" s="20" t="n">
        <f aca="false">IF(OR(G324="",G324=0),"",(F324-G324)/G324)</f>
        <v>0</v>
      </c>
      <c r="I324" s="19" t="n">
        <v>103.893675</v>
      </c>
      <c r="J324" s="19" t="n">
        <v>103.893675</v>
      </c>
      <c r="K324" s="20" t="n">
        <f aca="false">IF(OR(J324="",J324=0),"",(I324-J324)/J324)</f>
        <v>0</v>
      </c>
      <c r="L324" s="21" t="str">
        <f aca="false">IF(OR(D324="",G324="",J324=""),"No reported subtotal",IF(AND(ABS(N(E324))&lt;=$D$2,ABS(N(H324))&lt;=$D$2,ABS(N(K324))&lt;=$D$2),"Reconciles within tolerance","Outside tolerance"))</f>
        <v>Reconciles within tolerance</v>
      </c>
    </row>
    <row r="325" customFormat="false" ht="15" hidden="false" customHeight="false" outlineLevel="0" collapsed="false">
      <c r="A325" s="7" t="n">
        <v>2010</v>
      </c>
      <c r="B325" s="15" t="s">
        <v>128</v>
      </c>
      <c r="C325" s="19" t="n">
        <v>39.585689</v>
      </c>
      <c r="D325" s="19" t="n">
        <v>39.585689</v>
      </c>
      <c r="E325" s="20" t="n">
        <f aca="false">IF(OR(D325="",D325=0),"",(C325-D325)/D325)</f>
        <v>0</v>
      </c>
      <c r="F325" s="19" t="n">
        <v>54.596928</v>
      </c>
      <c r="G325" s="19" t="n">
        <v>54.596928</v>
      </c>
      <c r="H325" s="20" t="n">
        <f aca="false">IF(OR(G325="",G325=0),"",(F325-G325)/G325)</f>
        <v>0</v>
      </c>
      <c r="I325" s="19" t="n">
        <v>157.428075</v>
      </c>
      <c r="J325" s="19" t="n">
        <v>157.428075</v>
      </c>
      <c r="K325" s="20" t="n">
        <f aca="false">IF(OR(J325="",J325=0),"",(I325-J325)/J325)</f>
        <v>0</v>
      </c>
      <c r="L325" s="21" t="str">
        <f aca="false">IF(OR(D325="",G325="",J325=""),"No reported subtotal",IF(AND(ABS(N(E325))&lt;=$D$2,ABS(N(H325))&lt;=$D$2,ABS(N(K325))&lt;=$D$2),"Reconciles within tolerance","Outside tolerance"))</f>
        <v>Reconciles within tolerance</v>
      </c>
    </row>
    <row r="326" customFormat="false" ht="15" hidden="false" customHeight="false" outlineLevel="0" collapsed="false">
      <c r="A326" s="7" t="n">
        <v>2011</v>
      </c>
      <c r="B326" s="15" t="s">
        <v>128</v>
      </c>
      <c r="C326" s="19" t="n">
        <v>33.497765</v>
      </c>
      <c r="D326" s="19" t="n">
        <v>33.497765</v>
      </c>
      <c r="E326" s="20" t="n">
        <f aca="false">IF(OR(D326="",D326=0),"",(C326-D326)/D326)</f>
        <v>0</v>
      </c>
      <c r="F326" s="19" t="n">
        <v>47.903454</v>
      </c>
      <c r="G326" s="19" t="n">
        <v>47.903454</v>
      </c>
      <c r="H326" s="20" t="n">
        <f aca="false">IF(OR(G326="",G326=0),"",(F326-G326)/G326)</f>
        <v>0</v>
      </c>
      <c r="I326" s="19" t="n">
        <v>106.786145</v>
      </c>
      <c r="J326" s="19" t="n">
        <v>106.786145</v>
      </c>
      <c r="K326" s="20" t="n">
        <f aca="false">IF(OR(J326="",J326=0),"",(I326-J326)/J326)</f>
        <v>0</v>
      </c>
      <c r="L326" s="21" t="str">
        <f aca="false">IF(OR(D326="",G326="",J326=""),"No reported subtotal",IF(AND(ABS(N(E326))&lt;=$D$2,ABS(N(H326))&lt;=$D$2,ABS(N(K326))&lt;=$D$2),"Reconciles within tolerance","Outside tolerance"))</f>
        <v>Reconciles within tolerance</v>
      </c>
    </row>
    <row r="327" customFormat="false" ht="15" hidden="false" customHeight="false" outlineLevel="0" collapsed="false">
      <c r="A327" s="7" t="n">
        <v>2012</v>
      </c>
      <c r="B327" s="15" t="s">
        <v>128</v>
      </c>
      <c r="C327" s="19" t="n">
        <v>34.887692</v>
      </c>
      <c r="D327" s="19" t="n">
        <v>34.887692</v>
      </c>
      <c r="E327" s="20" t="n">
        <f aca="false">IF(OR(D327="",D327=0),"",(C327-D327)/D327)</f>
        <v>0</v>
      </c>
      <c r="F327" s="19" t="n">
        <v>46.526644</v>
      </c>
      <c r="G327" s="19" t="n">
        <v>46.526644</v>
      </c>
      <c r="H327" s="20" t="n">
        <f aca="false">IF(OR(G327="",G327=0),"",(F327-G327)/G327)</f>
        <v>0</v>
      </c>
      <c r="I327" s="19" t="n">
        <v>122.522913</v>
      </c>
      <c r="J327" s="19" t="n">
        <v>122.522913</v>
      </c>
      <c r="K327" s="20" t="n">
        <f aca="false">IF(OR(J327="",J327=0),"",(I327-J327)/J327)</f>
        <v>0</v>
      </c>
      <c r="L327" s="21" t="str">
        <f aca="false">IF(OR(D327="",G327="",J327=""),"No reported subtotal",IF(AND(ABS(N(E327))&lt;=$D$2,ABS(N(H327))&lt;=$D$2,ABS(N(K327))&lt;=$D$2),"Reconciles within tolerance","Outside tolerance"))</f>
        <v>Reconciles within tolerance</v>
      </c>
    </row>
    <row r="328" customFormat="false" ht="15" hidden="false" customHeight="false" outlineLevel="0" collapsed="false">
      <c r="A328" s="7" t="n">
        <v>2013</v>
      </c>
      <c r="B328" s="15" t="s">
        <v>128</v>
      </c>
      <c r="C328" s="19" t="n">
        <v>39.294365</v>
      </c>
      <c r="D328" s="19" t="n">
        <v>39.294365</v>
      </c>
      <c r="E328" s="20" t="n">
        <f aca="false">IF(OR(D328="",D328=0),"",(C328-D328)/D328)</f>
        <v>0</v>
      </c>
      <c r="F328" s="19" t="n">
        <v>49.3458</v>
      </c>
      <c r="G328" s="19" t="n">
        <v>49.3458</v>
      </c>
      <c r="H328" s="20" t="n">
        <f aca="false">IF(OR(G328="",G328=0),"",(F328-G328)/G328)</f>
        <v>0</v>
      </c>
      <c r="I328" s="19" t="n">
        <v>118.855848</v>
      </c>
      <c r="J328" s="19" t="n">
        <v>118.855848</v>
      </c>
      <c r="K328" s="20" t="n">
        <f aca="false">IF(OR(J328="",J328=0),"",(I328-J328)/J328)</f>
        <v>0</v>
      </c>
      <c r="L328" s="21" t="str">
        <f aca="false">IF(OR(D328="",G328="",J328=""),"No reported subtotal",IF(AND(ABS(N(E328))&lt;=$D$2,ABS(N(H328))&lt;=$D$2,ABS(N(K328))&lt;=$D$2),"Reconciles within tolerance","Outside tolerance"))</f>
        <v>Reconciles within tolerance</v>
      </c>
    </row>
    <row r="329" customFormat="false" ht="15" hidden="false" customHeight="false" outlineLevel="0" collapsed="false">
      <c r="A329" s="7" t="n">
        <v>2014</v>
      </c>
      <c r="B329" s="15" t="s">
        <v>128</v>
      </c>
      <c r="C329" s="19" t="n">
        <v>42.058934</v>
      </c>
      <c r="D329" s="19" t="n">
        <v>42.058934</v>
      </c>
      <c r="E329" s="20" t="n">
        <f aca="false">IF(OR(D329="",D329=0),"",(C329-D329)/D329)</f>
        <v>0</v>
      </c>
      <c r="F329" s="19" t="n">
        <v>49.845097</v>
      </c>
      <c r="G329" s="19" t="n">
        <v>49.845097</v>
      </c>
      <c r="H329" s="20" t="n">
        <f aca="false">IF(OR(G329="",G329=0),"",(F329-G329)/G329)</f>
        <v>0</v>
      </c>
      <c r="I329" s="19" t="n">
        <v>120.190463</v>
      </c>
      <c r="J329" s="19" t="n">
        <v>120.190463</v>
      </c>
      <c r="K329" s="20" t="n">
        <f aca="false">IF(OR(J329="",J329=0),"",(I329-J329)/J329)</f>
        <v>0</v>
      </c>
      <c r="L329" s="21" t="str">
        <f aca="false">IF(OR(D329="",G329="",J329=""),"No reported subtotal",IF(AND(ABS(N(E329))&lt;=$D$2,ABS(N(H329))&lt;=$D$2,ABS(N(K329))&lt;=$D$2),"Reconciles within tolerance","Outside tolerance"))</f>
        <v>Reconciles within tolerance</v>
      </c>
    </row>
    <row r="330" customFormat="false" ht="15" hidden="false" customHeight="false" outlineLevel="0" collapsed="false">
      <c r="A330" s="7" t="n">
        <v>2015</v>
      </c>
      <c r="B330" s="15" t="s">
        <v>128</v>
      </c>
      <c r="C330" s="19" t="n">
        <v>43.206368</v>
      </c>
      <c r="D330" s="19" t="n">
        <v>43.206368</v>
      </c>
      <c r="E330" s="20" t="n">
        <f aca="false">IF(OR(D330="",D330=0),"",(C330-D330)/D330)</f>
        <v>0</v>
      </c>
      <c r="F330" s="19" t="n">
        <v>73.262154</v>
      </c>
      <c r="G330" s="19" t="n">
        <v>73.262154</v>
      </c>
      <c r="H330" s="20" t="n">
        <f aca="false">IF(OR(G330="",G330=0),"",(F330-G330)/G330)</f>
        <v>0</v>
      </c>
      <c r="I330" s="19" t="n">
        <v>122.883044</v>
      </c>
      <c r="J330" s="19" t="n">
        <v>122.883044</v>
      </c>
      <c r="K330" s="20" t="n">
        <f aca="false">IF(OR(J330="",J330=0),"",(I330-J330)/J330)</f>
        <v>0</v>
      </c>
      <c r="L330" s="21" t="str">
        <f aca="false">IF(OR(D330="",G330="",J330=""),"No reported subtotal",IF(AND(ABS(N(E330))&lt;=$D$2,ABS(N(H330))&lt;=$D$2,ABS(N(K330))&lt;=$D$2),"Reconciles within tolerance","Outside tolerance"))</f>
        <v>Reconciles within tolerance</v>
      </c>
    </row>
    <row r="331" customFormat="false" ht="15" hidden="false" customHeight="false" outlineLevel="0" collapsed="false">
      <c r="A331" s="7" t="n">
        <v>2016</v>
      </c>
      <c r="B331" s="15" t="s">
        <v>128</v>
      </c>
      <c r="C331" s="19" t="n">
        <v>47.866544</v>
      </c>
      <c r="D331" s="19" t="n">
        <v>47.866544</v>
      </c>
      <c r="E331" s="20" t="n">
        <f aca="false">IF(OR(D331="",D331=0),"",(C331-D331)/D331)</f>
        <v>0</v>
      </c>
      <c r="F331" s="19" t="n">
        <v>63.095147</v>
      </c>
      <c r="G331" s="19" t="n">
        <v>63.095147</v>
      </c>
      <c r="H331" s="20" t="n">
        <f aca="false">IF(OR(G331="",G331=0),"",(F331-G331)/G331)</f>
        <v>0</v>
      </c>
      <c r="I331" s="19" t="n">
        <v>125.143241</v>
      </c>
      <c r="J331" s="19" t="n">
        <v>125.143241</v>
      </c>
      <c r="K331" s="20" t="n">
        <f aca="false">IF(OR(J331="",J331=0),"",(I331-J331)/J331)</f>
        <v>0</v>
      </c>
      <c r="L331" s="21" t="str">
        <f aca="false">IF(OR(D331="",G331="",J331=""),"No reported subtotal",IF(AND(ABS(N(E331))&lt;=$D$2,ABS(N(H331))&lt;=$D$2,ABS(N(K331))&lt;=$D$2),"Reconciles within tolerance","Outside tolerance"))</f>
        <v>Reconciles within tolerance</v>
      </c>
    </row>
    <row r="332" customFormat="false" ht="15" hidden="false" customHeight="false" outlineLevel="0" collapsed="false">
      <c r="A332" s="7" t="n">
        <v>2017</v>
      </c>
      <c r="B332" s="15" t="s">
        <v>128</v>
      </c>
      <c r="C332" s="19" t="n">
        <v>41.523391</v>
      </c>
      <c r="D332" s="19" t="n">
        <v>41.523391</v>
      </c>
      <c r="E332" s="20" t="n">
        <f aca="false">IF(OR(D332="",D332=0),"",(C332-D332)/D332)</f>
        <v>0</v>
      </c>
      <c r="F332" s="19" t="n">
        <v>63.374153</v>
      </c>
      <c r="G332" s="19" t="n">
        <v>63.374153</v>
      </c>
      <c r="H332" s="20" t="n">
        <f aca="false">IF(OR(G332="",G332=0),"",(F332-G332)/G332)</f>
        <v>0</v>
      </c>
      <c r="I332" s="19" t="n">
        <v>166.433779</v>
      </c>
      <c r="J332" s="19" t="n">
        <v>166.433779</v>
      </c>
      <c r="K332" s="20" t="n">
        <f aca="false">IF(OR(J332="",J332=0),"",(I332-J332)/J332)</f>
        <v>0</v>
      </c>
      <c r="L332" s="21" t="str">
        <f aca="false">IF(OR(D332="",G332="",J332=""),"No reported subtotal",IF(AND(ABS(N(E332))&lt;=$D$2,ABS(N(H332))&lt;=$D$2,ABS(N(K332))&lt;=$D$2),"Reconciles within tolerance","Outside tolerance"))</f>
        <v>Reconciles within tolerance</v>
      </c>
    </row>
    <row r="333" customFormat="false" ht="15" hidden="false" customHeight="false" outlineLevel="0" collapsed="false">
      <c r="A333" s="7" t="n">
        <v>2018</v>
      </c>
      <c r="B333" s="15" t="s">
        <v>128</v>
      </c>
      <c r="C333" s="19" t="n">
        <v>44.504233</v>
      </c>
      <c r="D333" s="19" t="n">
        <v>44.504233</v>
      </c>
      <c r="E333" s="20" t="n">
        <f aca="false">IF(OR(D333="",D333=0),"",(C333-D333)/D333)</f>
        <v>0</v>
      </c>
      <c r="F333" s="19" t="n">
        <v>66.847004</v>
      </c>
      <c r="G333" s="19" t="n">
        <v>66.847004</v>
      </c>
      <c r="H333" s="20" t="n">
        <f aca="false">IF(OR(G333="",G333=0),"",(F333-G333)/G333)</f>
        <v>0</v>
      </c>
      <c r="I333" s="19" t="n">
        <v>216.864049</v>
      </c>
      <c r="J333" s="19" t="n">
        <v>216.864049</v>
      </c>
      <c r="K333" s="20" t="n">
        <f aca="false">IF(OR(J333="",J333=0),"",(I333-J333)/J333)</f>
        <v>0</v>
      </c>
      <c r="L333" s="21" t="str">
        <f aca="false">IF(OR(D333="",G333="",J333=""),"No reported subtotal",IF(AND(ABS(N(E333))&lt;=$D$2,ABS(N(H333))&lt;=$D$2,ABS(N(K333))&lt;=$D$2),"Reconciles within tolerance","Outside tolerance"))</f>
        <v>Reconciles within tolerance</v>
      </c>
    </row>
    <row r="334" customFormat="false" ht="15" hidden="false" customHeight="false" outlineLevel="0" collapsed="false">
      <c r="A334" s="7" t="n">
        <v>2019</v>
      </c>
      <c r="B334" s="15" t="s">
        <v>128</v>
      </c>
      <c r="C334" s="19" t="n">
        <v>48.889798</v>
      </c>
      <c r="D334" s="19" t="n">
        <v>48.889798</v>
      </c>
      <c r="E334" s="20" t="n">
        <f aca="false">IF(OR(D334="",D334=0),"",(C334-D334)/D334)</f>
        <v>0</v>
      </c>
      <c r="F334" s="19" t="n">
        <v>45.7427</v>
      </c>
      <c r="G334" s="19" t="n">
        <v>45.7427</v>
      </c>
      <c r="H334" s="20" t="n">
        <f aca="false">IF(OR(G334="",G334=0),"",(F334-G334)/G334)</f>
        <v>0</v>
      </c>
      <c r="I334" s="19" t="n">
        <v>181.399257</v>
      </c>
      <c r="J334" s="19" t="n">
        <v>181.399257</v>
      </c>
      <c r="K334" s="20" t="n">
        <f aca="false">IF(OR(J334="",J334=0),"",(I334-J334)/J334)</f>
        <v>0</v>
      </c>
      <c r="L334" s="21" t="str">
        <f aca="false">IF(OR(D334="",G334="",J334=""),"No reported subtotal",IF(AND(ABS(N(E334))&lt;=$D$2,ABS(N(H334))&lt;=$D$2,ABS(N(K334))&lt;=$D$2),"Reconciles within tolerance","Outside tolerance"))</f>
        <v>Reconciles within tolerance</v>
      </c>
    </row>
    <row r="335" customFormat="false" ht="15" hidden="false" customHeight="false" outlineLevel="0" collapsed="false">
      <c r="A335" s="7" t="n">
        <v>2020</v>
      </c>
      <c r="B335" s="15" t="s">
        <v>128</v>
      </c>
      <c r="C335" s="19" t="n">
        <v>56.186138</v>
      </c>
      <c r="D335" s="19" t="n">
        <v>56.186138</v>
      </c>
      <c r="E335" s="20" t="n">
        <f aca="false">IF(OR(D335="",D335=0),"",(C335-D335)/D335)</f>
        <v>0</v>
      </c>
      <c r="F335" s="19" t="n">
        <v>54.603277</v>
      </c>
      <c r="G335" s="19" t="n">
        <v>54.603277</v>
      </c>
      <c r="H335" s="20" t="n">
        <f aca="false">IF(OR(G335="",G335=0),"",(F335-G335)/G335)</f>
        <v>0</v>
      </c>
      <c r="I335" s="19" t="n">
        <v>179.394955</v>
      </c>
      <c r="J335" s="19" t="n">
        <v>179.394955</v>
      </c>
      <c r="K335" s="20" t="n">
        <f aca="false">IF(OR(J335="",J335=0),"",(I335-J335)/J335)</f>
        <v>0</v>
      </c>
      <c r="L335" s="21" t="str">
        <f aca="false">IF(OR(D335="",G335="",J335=""),"No reported subtotal",IF(AND(ABS(N(E335))&lt;=$D$2,ABS(N(H335))&lt;=$D$2,ABS(N(K335))&lt;=$D$2),"Reconciles within tolerance","Outside tolerance"))</f>
        <v>Reconciles within tolerance</v>
      </c>
    </row>
    <row r="336" customFormat="false" ht="15" hidden="false" customHeight="false" outlineLevel="0" collapsed="false">
      <c r="A336" s="7" t="n">
        <v>2021</v>
      </c>
      <c r="B336" s="15" t="s">
        <v>128</v>
      </c>
      <c r="C336" s="19" t="n">
        <v>55.502606</v>
      </c>
      <c r="D336" s="19" t="n">
        <v>55.502606</v>
      </c>
      <c r="E336" s="20" t="n">
        <f aca="false">IF(OR(D336="",D336=0),"",(C336-D336)/D336)</f>
        <v>0</v>
      </c>
      <c r="F336" s="19" t="n">
        <v>45.473553</v>
      </c>
      <c r="G336" s="19" t="n">
        <v>45.473553</v>
      </c>
      <c r="H336" s="20" t="n">
        <f aca="false">IF(OR(G336="",G336=0),"",(F336-G336)/G336)</f>
        <v>0</v>
      </c>
      <c r="I336" s="19" t="n">
        <v>211.898417</v>
      </c>
      <c r="J336" s="19" t="n">
        <v>211.898417</v>
      </c>
      <c r="K336" s="20" t="n">
        <f aca="false">IF(OR(J336="",J336=0),"",(I336-J336)/J336)</f>
        <v>0</v>
      </c>
      <c r="L336" s="21" t="str">
        <f aca="false">IF(OR(D336="",G336="",J336=""),"No reported subtotal",IF(AND(ABS(N(E336))&lt;=$D$2,ABS(N(H336))&lt;=$D$2,ABS(N(K336))&lt;=$D$2),"Reconciles within tolerance","Outside tolerance"))</f>
        <v>Reconciles within tolerance</v>
      </c>
    </row>
    <row r="337" customFormat="false" ht="15" hidden="false" customHeight="false" outlineLevel="0" collapsed="false">
      <c r="A337" s="7" t="n">
        <v>2022</v>
      </c>
      <c r="B337" s="15" t="s">
        <v>128</v>
      </c>
      <c r="C337" s="19" t="n">
        <v>58.57108</v>
      </c>
      <c r="D337" s="19" t="n">
        <v>58.57108</v>
      </c>
      <c r="E337" s="20" t="n">
        <f aca="false">IF(OR(D337="",D337=0),"",(C337-D337)/D337)</f>
        <v>0</v>
      </c>
      <c r="F337" s="19" t="n">
        <v>46.671062</v>
      </c>
      <c r="G337" s="19" t="n">
        <v>46.671062</v>
      </c>
      <c r="H337" s="20" t="n">
        <f aca="false">IF(OR(G337="",G337=0),"",(F337-G337)/G337)</f>
        <v>0</v>
      </c>
      <c r="I337" s="19" t="n">
        <v>187.408302</v>
      </c>
      <c r="J337" s="19" t="n">
        <v>187.408302</v>
      </c>
      <c r="K337" s="20" t="n">
        <f aca="false">IF(OR(J337="",J337=0),"",(I337-J337)/J337)</f>
        <v>0</v>
      </c>
      <c r="L337" s="21" t="str">
        <f aca="false">IF(OR(D337="",G337="",J337=""),"No reported subtotal",IF(AND(ABS(N(E337))&lt;=$D$2,ABS(N(H337))&lt;=$D$2,ABS(N(K337))&lt;=$D$2),"Reconciles within tolerance","Outside tolerance"))</f>
        <v>Reconciles within tolerance</v>
      </c>
    </row>
    <row r="338" customFormat="false" ht="15" hidden="false" customHeight="false" outlineLevel="0" collapsed="false">
      <c r="A338" s="7" t="n">
        <v>2023</v>
      </c>
      <c r="B338" s="15" t="s">
        <v>128</v>
      </c>
      <c r="C338" s="19" t="n">
        <v>50.410822</v>
      </c>
      <c r="D338" s="19" t="n">
        <v>50.410822</v>
      </c>
      <c r="E338" s="20" t="n">
        <f aca="false">IF(OR(D338="",D338=0),"",(C338-D338)/D338)</f>
        <v>0</v>
      </c>
      <c r="F338" s="19" t="n">
        <v>73.700229</v>
      </c>
      <c r="G338" s="19" t="n">
        <v>73.700229</v>
      </c>
      <c r="H338" s="20" t="n">
        <f aca="false">IF(OR(G338="",G338=0),"",(F338-G338)/G338)</f>
        <v>0</v>
      </c>
      <c r="I338" s="19" t="n">
        <v>293.628265</v>
      </c>
      <c r="J338" s="19" t="n">
        <v>293.628265</v>
      </c>
      <c r="K338" s="20" t="n">
        <f aca="false">IF(OR(J338="",J338=0),"",(I338-J338)/J338)</f>
        <v>0</v>
      </c>
      <c r="L338" s="21" t="str">
        <f aca="false">IF(OR(D338="",G338="",J338=""),"No reported subtotal",IF(AND(ABS(N(E338))&lt;=$D$2,ABS(N(H338))&lt;=$D$2,ABS(N(K338))&lt;=$D$2),"Reconciles within tolerance","Outside tolerance"))</f>
        <v>Reconciles within tolerance</v>
      </c>
    </row>
    <row r="339" customFormat="false" ht="15" hidden="false" customHeight="false" outlineLevel="0" collapsed="false">
      <c r="A339" s="7" t="n">
        <v>2024</v>
      </c>
      <c r="B339" s="15" t="s">
        <v>128</v>
      </c>
      <c r="C339" s="19" t="n">
        <v>52.88965</v>
      </c>
      <c r="D339" s="19" t="n">
        <v>52.88965</v>
      </c>
      <c r="E339" s="20" t="n">
        <f aca="false">IF(OR(D339="",D339=0),"",(C339-D339)/D339)</f>
        <v>0</v>
      </c>
      <c r="F339" s="19" t="n">
        <v>73.764245</v>
      </c>
      <c r="G339" s="19" t="n">
        <v>73.764245</v>
      </c>
      <c r="H339" s="20" t="n">
        <f aca="false">IF(OR(G339="",G339=0),"",(F339-G339)/G339)</f>
        <v>0</v>
      </c>
      <c r="I339" s="19" t="n">
        <v>216.374115</v>
      </c>
      <c r="J339" s="19" t="n">
        <v>216.374115</v>
      </c>
      <c r="K339" s="20" t="n">
        <f aca="false">IF(OR(J339="",J339=0),"",(I339-J339)/J339)</f>
        <v>0</v>
      </c>
      <c r="L339" s="21" t="str">
        <f aca="false">IF(OR(D339="",G339="",J339=""),"No reported subtotal",IF(AND(ABS(N(E339))&lt;=$D$2,ABS(N(H339))&lt;=$D$2,ABS(N(K339))&lt;=$D$2),"Reconciles within tolerance","Outside tolerance"))</f>
        <v>Reconciles within tolerance</v>
      </c>
    </row>
    <row r="340" customFormat="false" ht="15" hidden="false" customHeight="false" outlineLevel="0" collapsed="false">
      <c r="A340" s="7" t="n">
        <v>2025</v>
      </c>
      <c r="B340" s="15" t="s">
        <v>128</v>
      </c>
      <c r="C340" s="19" t="n">
        <v>49.890312</v>
      </c>
      <c r="D340" s="19" t="n">
        <v>49.890312</v>
      </c>
      <c r="E340" s="20" t="n">
        <f aca="false">IF(OR(D340="",D340=0),"",(C340-D340)/D340)</f>
        <v>0</v>
      </c>
      <c r="F340" s="19" t="n">
        <v>57.889973</v>
      </c>
      <c r="G340" s="19" t="n">
        <v>57.889973</v>
      </c>
      <c r="H340" s="20" t="n">
        <f aca="false">IF(OR(G340="",G340=0),"",(F340-G340)/G340)</f>
        <v>0</v>
      </c>
      <c r="I340" s="19" t="n">
        <v>473.493915</v>
      </c>
      <c r="J340" s="19" t="n">
        <v>473.493915</v>
      </c>
      <c r="K340" s="20" t="n">
        <f aca="false">IF(OR(J340="",J340=0),"",(I340-J340)/J340)</f>
        <v>0</v>
      </c>
      <c r="L340" s="21" t="str">
        <f aca="false">IF(OR(D340="",G340="",J340=""),"No reported subtotal",IF(AND(ABS(N(E340))&lt;=$D$2,ABS(N(H340))&lt;=$D$2,ABS(N(K340))&lt;=$D$2),"Reconciles within tolerance","Outside tolerance"))</f>
        <v>Reconciles within tolerance</v>
      </c>
    </row>
    <row r="341" customFormat="false" ht="15" hidden="false" customHeight="false" outlineLevel="0" collapsed="false">
      <c r="A341" s="7" t="n">
        <v>2024</v>
      </c>
      <c r="B341" s="15" t="s">
        <v>158</v>
      </c>
      <c r="C341" s="19" t="n">
        <v>312.484911</v>
      </c>
      <c r="D341" s="19" t="n">
        <v>312.484911</v>
      </c>
      <c r="E341" s="20" t="n">
        <f aca="false">IF(OR(D341="",D341=0),"",(C341-D341)/D341)</f>
        <v>0</v>
      </c>
      <c r="F341" s="19" t="n">
        <v>263.341541</v>
      </c>
      <c r="G341" s="19" t="n">
        <v>263.341541</v>
      </c>
      <c r="H341" s="20" t="n">
        <f aca="false">IF(OR(G341="",G341=0),"",(F341-G341)/G341)</f>
        <v>0</v>
      </c>
      <c r="I341" s="19" t="n">
        <v>491.390276</v>
      </c>
      <c r="J341" s="19" t="n">
        <v>491.390276</v>
      </c>
      <c r="K341" s="20" t="n">
        <f aca="false">IF(OR(J341="",J341=0),"",(I341-J341)/J341)</f>
        <v>0</v>
      </c>
      <c r="L341" s="21" t="str">
        <f aca="false">IF(OR(D341="",G341="",J341=""),"No reported subtotal",IF(AND(ABS(N(E341))&lt;=$D$2,ABS(N(H341))&lt;=$D$2,ABS(N(K341))&lt;=$D$2),"Reconciles within tolerance","Outside tolerance"))</f>
        <v>Reconciles within tolerance</v>
      </c>
    </row>
    <row r="342" customFormat="false" ht="15" hidden="false" customHeight="false" outlineLevel="0" collapsed="false">
      <c r="A342" s="7" t="n">
        <v>2025</v>
      </c>
      <c r="B342" s="15" t="s">
        <v>158</v>
      </c>
      <c r="C342" s="19" t="n">
        <v>414.53737</v>
      </c>
      <c r="D342" s="19" t="n">
        <v>414.53737</v>
      </c>
      <c r="E342" s="20" t="n">
        <f aca="false">IF(OR(D342="",D342=0),"",(C342-D342)/D342)</f>
        <v>0</v>
      </c>
      <c r="F342" s="19" t="n">
        <v>349.882886</v>
      </c>
      <c r="G342" s="19" t="n">
        <v>349.882886</v>
      </c>
      <c r="H342" s="20" t="n">
        <f aca="false">IF(OR(G342="",G342=0),"",(F342-G342)/G342)</f>
        <v>0</v>
      </c>
      <c r="I342" s="19" t="n">
        <v>814.824303</v>
      </c>
      <c r="J342" s="19" t="n">
        <v>814.824303</v>
      </c>
      <c r="K342" s="20" t="n">
        <f aca="false">IF(OR(J342="",J342=0),"",(I342-J342)/J342)</f>
        <v>0</v>
      </c>
      <c r="L342" s="21" t="str">
        <f aca="false">IF(OR(D342="",G342="",J342=""),"No reported subtotal",IF(AND(ABS(N(E342))&lt;=$D$2,ABS(N(H342))&lt;=$D$2,ABS(N(K342))&lt;=$D$2),"Reconciles within tolerance","Outside tolerance"))</f>
        <v>Reconciles within tolerance</v>
      </c>
    </row>
    <row r="343" customFormat="false" ht="15" hidden="false" customHeight="false" outlineLevel="0" collapsed="false">
      <c r="A343" s="7" t="n">
        <v>2000</v>
      </c>
      <c r="B343" s="15" t="s">
        <v>142</v>
      </c>
      <c r="C343" s="19" t="n">
        <v>44.086023</v>
      </c>
      <c r="D343" s="19" t="n">
        <v>44.086023</v>
      </c>
      <c r="E343" s="20" t="n">
        <f aca="false">IF(OR(D343="",D343=0),"",(C343-D343)/D343)</f>
        <v>0</v>
      </c>
      <c r="F343" s="19" t="n">
        <v>27.675472</v>
      </c>
      <c r="G343" s="19" t="n">
        <v>27.675472</v>
      </c>
      <c r="H343" s="20" t="n">
        <f aca="false">IF(OR(G343="",G343=0),"",(F343-G343)/G343)</f>
        <v>0</v>
      </c>
      <c r="I343" s="19" t="n">
        <v>57.79926</v>
      </c>
      <c r="J343" s="19" t="n">
        <v>57.79926</v>
      </c>
      <c r="K343" s="20" t="n">
        <f aca="false">IF(OR(J343="",J343=0),"",(I343-J343)/J343)</f>
        <v>0</v>
      </c>
      <c r="L343" s="21" t="str">
        <f aca="false">IF(OR(D343="",G343="",J343=""),"No reported subtotal",IF(AND(ABS(N(E343))&lt;=$D$2,ABS(N(H343))&lt;=$D$2,ABS(N(K343))&lt;=$D$2),"Reconciles within tolerance","Outside tolerance"))</f>
        <v>Reconciles within tolerance</v>
      </c>
    </row>
    <row r="344" customFormat="false" ht="15" hidden="false" customHeight="false" outlineLevel="0" collapsed="false">
      <c r="A344" s="7" t="n">
        <v>2001</v>
      </c>
      <c r="B344" s="15" t="s">
        <v>142</v>
      </c>
      <c r="C344" s="19" t="n">
        <v>54.643983</v>
      </c>
      <c r="D344" s="19" t="n">
        <v>54.643983</v>
      </c>
      <c r="E344" s="20" t="n">
        <f aca="false">IF(OR(D344="",D344=0),"",(C344-D344)/D344)</f>
        <v>0</v>
      </c>
      <c r="F344" s="19" t="n">
        <v>27.93618</v>
      </c>
      <c r="G344" s="19" t="n">
        <v>27.93618</v>
      </c>
      <c r="H344" s="20" t="n">
        <f aca="false">IF(OR(G344="",G344=0),"",(F344-G344)/G344)</f>
        <v>0</v>
      </c>
      <c r="I344" s="19" t="n">
        <v>50.962802</v>
      </c>
      <c r="J344" s="19" t="n">
        <v>50.962802</v>
      </c>
      <c r="K344" s="20" t="n">
        <f aca="false">IF(OR(J344="",J344=0),"",(I344-J344)/J344)</f>
        <v>0</v>
      </c>
      <c r="L344" s="21" t="str">
        <f aca="false">IF(OR(D344="",G344="",J344=""),"No reported subtotal",IF(AND(ABS(N(E344))&lt;=$D$2,ABS(N(H344))&lt;=$D$2,ABS(N(K344))&lt;=$D$2),"Reconciles within tolerance","Outside tolerance"))</f>
        <v>Reconciles within tolerance</v>
      </c>
    </row>
    <row r="345" customFormat="false" ht="15" hidden="false" customHeight="false" outlineLevel="0" collapsed="false">
      <c r="A345" s="7" t="n">
        <v>2002</v>
      </c>
      <c r="B345" s="15" t="s">
        <v>142</v>
      </c>
      <c r="C345" s="19" t="n">
        <v>44.46603</v>
      </c>
      <c r="D345" s="19" t="n">
        <v>44.46603</v>
      </c>
      <c r="E345" s="20" t="n">
        <f aca="false">IF(OR(D345="",D345=0),"",(C345-D345)/D345)</f>
        <v>0</v>
      </c>
      <c r="F345" s="19" t="n">
        <v>22.64607</v>
      </c>
      <c r="G345" s="19" t="n">
        <v>22.64607</v>
      </c>
      <c r="H345" s="20" t="n">
        <f aca="false">IF(OR(G345="",G345=0),"",(F345-G345)/G345)</f>
        <v>0</v>
      </c>
      <c r="I345" s="19" t="n">
        <v>42.636728</v>
      </c>
      <c r="J345" s="19" t="n">
        <v>42.636728</v>
      </c>
      <c r="K345" s="20" t="n">
        <f aca="false">IF(OR(J345="",J345=0),"",(I345-J345)/J345)</f>
        <v>0</v>
      </c>
      <c r="L345" s="21" t="str">
        <f aca="false">IF(OR(D345="",G345="",J345=""),"No reported subtotal",IF(AND(ABS(N(E345))&lt;=$D$2,ABS(N(H345))&lt;=$D$2,ABS(N(K345))&lt;=$D$2),"Reconciles within tolerance","Outside tolerance"))</f>
        <v>Reconciles within tolerance</v>
      </c>
    </row>
    <row r="346" customFormat="false" ht="15" hidden="false" customHeight="false" outlineLevel="0" collapsed="false">
      <c r="A346" s="7" t="n">
        <v>2003</v>
      </c>
      <c r="B346" s="15" t="s">
        <v>142</v>
      </c>
      <c r="C346" s="19" t="n">
        <v>45.664056</v>
      </c>
      <c r="D346" s="19" t="n">
        <v>45.664056</v>
      </c>
      <c r="E346" s="20" t="n">
        <f aca="false">IF(OR(D346="",D346=0),"",(C346-D346)/D346)</f>
        <v>0</v>
      </c>
      <c r="F346" s="19" t="n">
        <v>21.71132</v>
      </c>
      <c r="G346" s="19" t="n">
        <v>21.71132</v>
      </c>
      <c r="H346" s="20" t="n">
        <f aca="false">IF(OR(G346="",G346=0),"",(F346-G346)/G346)</f>
        <v>0</v>
      </c>
      <c r="I346" s="19" t="n">
        <v>50.796471</v>
      </c>
      <c r="J346" s="19" t="n">
        <v>50.796471</v>
      </c>
      <c r="K346" s="20" t="n">
        <f aca="false">IF(OR(J346="",J346=0),"",(I346-J346)/J346)</f>
        <v>0</v>
      </c>
      <c r="L346" s="21" t="str">
        <f aca="false">IF(OR(D346="",G346="",J346=""),"No reported subtotal",IF(AND(ABS(N(E346))&lt;=$D$2,ABS(N(H346))&lt;=$D$2,ABS(N(K346))&lt;=$D$2),"Reconciles within tolerance","Outside tolerance"))</f>
        <v>Reconciles within tolerance</v>
      </c>
    </row>
    <row r="347" customFormat="false" ht="15" hidden="false" customHeight="false" outlineLevel="0" collapsed="false">
      <c r="A347" s="7" t="n">
        <v>2004</v>
      </c>
      <c r="B347" s="15" t="s">
        <v>142</v>
      </c>
      <c r="C347" s="19" t="n">
        <v>52.383972</v>
      </c>
      <c r="D347" s="19" t="n">
        <v>52.383972</v>
      </c>
      <c r="E347" s="20" t="n">
        <f aca="false">IF(OR(D347="",D347=0),"",(C347-D347)/D347)</f>
        <v>0</v>
      </c>
      <c r="F347" s="19" t="n">
        <v>25.606353</v>
      </c>
      <c r="G347" s="19" t="n">
        <v>25.606353</v>
      </c>
      <c r="H347" s="20" t="n">
        <f aca="false">IF(OR(G347="",G347=0),"",(F347-G347)/G347)</f>
        <v>0</v>
      </c>
      <c r="I347" s="19" t="n">
        <v>44.224961</v>
      </c>
      <c r="J347" s="19" t="n">
        <v>44.224961</v>
      </c>
      <c r="K347" s="20" t="n">
        <f aca="false">IF(OR(J347="",J347=0),"",(I347-J347)/J347)</f>
        <v>0</v>
      </c>
      <c r="L347" s="21" t="str">
        <f aca="false">IF(OR(D347="",G347="",J347=""),"No reported subtotal",IF(AND(ABS(N(E347))&lt;=$D$2,ABS(N(H347))&lt;=$D$2,ABS(N(K347))&lt;=$D$2),"Reconciles within tolerance","Outside tolerance"))</f>
        <v>Reconciles within tolerance</v>
      </c>
    </row>
    <row r="348" customFormat="false" ht="15" hidden="false" customHeight="false" outlineLevel="0" collapsed="false">
      <c r="A348" s="7" t="n">
        <v>2005</v>
      </c>
      <c r="B348" s="15" t="s">
        <v>142</v>
      </c>
      <c r="C348" s="19" t="n">
        <v>71.369835</v>
      </c>
      <c r="D348" s="19" t="n">
        <v>71.369835</v>
      </c>
      <c r="E348" s="20" t="n">
        <f aca="false">IF(OR(D348="",D348=0),"",(C348-D348)/D348)</f>
        <v>0</v>
      </c>
      <c r="F348" s="19" t="n">
        <v>25.566393</v>
      </c>
      <c r="G348" s="19" t="n">
        <v>25.566393</v>
      </c>
      <c r="H348" s="20" t="n">
        <f aca="false">IF(OR(G348="",G348=0),"",(F348-G348)/G348)</f>
        <v>0</v>
      </c>
      <c r="I348" s="19" t="n">
        <v>59.611895</v>
      </c>
      <c r="J348" s="19" t="n">
        <v>59.611895</v>
      </c>
      <c r="K348" s="20" t="n">
        <f aca="false">IF(OR(J348="",J348=0),"",(I348-J348)/J348)</f>
        <v>0</v>
      </c>
      <c r="L348" s="21" t="str">
        <f aca="false">IF(OR(D348="",G348="",J348=""),"No reported subtotal",IF(AND(ABS(N(E348))&lt;=$D$2,ABS(N(H348))&lt;=$D$2,ABS(N(K348))&lt;=$D$2),"Reconciles within tolerance","Outside tolerance"))</f>
        <v>Reconciles within tolerance</v>
      </c>
    </row>
    <row r="349" customFormat="false" ht="15" hidden="false" customHeight="false" outlineLevel="0" collapsed="false">
      <c r="A349" s="7" t="n">
        <v>2006</v>
      </c>
      <c r="B349" s="15" t="s">
        <v>142</v>
      </c>
      <c r="C349" s="19" t="n">
        <v>59.59943</v>
      </c>
      <c r="D349" s="19" t="n">
        <v>59.59943</v>
      </c>
      <c r="E349" s="20" t="n">
        <f aca="false">IF(OR(D349="",D349=0),"",(C349-D349)/D349)</f>
        <v>0</v>
      </c>
      <c r="F349" s="19" t="n">
        <v>24.363268</v>
      </c>
      <c r="G349" s="19" t="n">
        <v>24.363268</v>
      </c>
      <c r="H349" s="20" t="n">
        <f aca="false">IF(OR(G349="",G349=0),"",(F349-G349)/G349)</f>
        <v>0</v>
      </c>
      <c r="I349" s="19" t="n">
        <v>91.890675</v>
      </c>
      <c r="J349" s="19" t="n">
        <v>91.890675</v>
      </c>
      <c r="K349" s="20" t="n">
        <f aca="false">IF(OR(J349="",J349=0),"",(I349-J349)/J349)</f>
        <v>0</v>
      </c>
      <c r="L349" s="21" t="str">
        <f aca="false">IF(OR(D349="",G349="",J349=""),"No reported subtotal",IF(AND(ABS(N(E349))&lt;=$D$2,ABS(N(H349))&lt;=$D$2,ABS(N(K349))&lt;=$D$2),"Reconciles within tolerance","Outside tolerance"))</f>
        <v>Reconciles within tolerance</v>
      </c>
    </row>
    <row r="350" customFormat="false" ht="15" hidden="false" customHeight="false" outlineLevel="0" collapsed="false">
      <c r="A350" s="7" t="n">
        <v>2007</v>
      </c>
      <c r="B350" s="15" t="s">
        <v>142</v>
      </c>
      <c r="C350" s="19" t="n">
        <v>60.5483</v>
      </c>
      <c r="D350" s="19" t="n">
        <v>60.5483</v>
      </c>
      <c r="E350" s="20" t="n">
        <f aca="false">IF(OR(D350="",D350=0),"",(C350-D350)/D350)</f>
        <v>0</v>
      </c>
      <c r="F350" s="19" t="n">
        <v>25.105188</v>
      </c>
      <c r="G350" s="19" t="n">
        <v>25.105188</v>
      </c>
      <c r="H350" s="20" t="n">
        <f aca="false">IF(OR(G350="",G350=0),"",(F350-G350)/G350)</f>
        <v>0</v>
      </c>
      <c r="I350" s="19" t="n">
        <v>119.053744</v>
      </c>
      <c r="J350" s="19" t="n">
        <v>119.053744</v>
      </c>
      <c r="K350" s="20" t="n">
        <f aca="false">IF(OR(J350="",J350=0),"",(I350-J350)/J350)</f>
        <v>0</v>
      </c>
      <c r="L350" s="21" t="str">
        <f aca="false">IF(OR(D350="",G350="",J350=""),"No reported subtotal",IF(AND(ABS(N(E350))&lt;=$D$2,ABS(N(H350))&lt;=$D$2,ABS(N(K350))&lt;=$D$2),"Reconciles within tolerance","Outside tolerance"))</f>
        <v>Reconciles within tolerance</v>
      </c>
    </row>
    <row r="351" customFormat="false" ht="15" hidden="false" customHeight="false" outlineLevel="0" collapsed="false">
      <c r="A351" s="7" t="n">
        <v>2008</v>
      </c>
      <c r="B351" s="15" t="s">
        <v>142</v>
      </c>
      <c r="C351" s="19" t="n">
        <v>70.804747</v>
      </c>
      <c r="D351" s="19" t="n">
        <v>70.804747</v>
      </c>
      <c r="E351" s="20" t="n">
        <f aca="false">IF(OR(D351="",D351=0),"",(C351-D351)/D351)</f>
        <v>0</v>
      </c>
      <c r="F351" s="19" t="n">
        <v>24.519531</v>
      </c>
      <c r="G351" s="19" t="n">
        <v>24.519531</v>
      </c>
      <c r="H351" s="20" t="n">
        <f aca="false">IF(OR(G351="",G351=0),"",(F351-G351)/G351)</f>
        <v>0</v>
      </c>
      <c r="I351" s="19" t="n">
        <v>124.235062</v>
      </c>
      <c r="J351" s="19" t="n">
        <v>124.235062</v>
      </c>
      <c r="K351" s="20" t="n">
        <f aca="false">IF(OR(J351="",J351=0),"",(I351-J351)/J351)</f>
        <v>0</v>
      </c>
      <c r="L351" s="21" t="str">
        <f aca="false">IF(OR(D351="",G351="",J351=""),"No reported subtotal",IF(AND(ABS(N(E351))&lt;=$D$2,ABS(N(H351))&lt;=$D$2,ABS(N(K351))&lt;=$D$2),"Reconciles within tolerance","Outside tolerance"))</f>
        <v>Reconciles within tolerance</v>
      </c>
    </row>
    <row r="352" customFormat="false" ht="15" hidden="false" customHeight="false" outlineLevel="0" collapsed="false">
      <c r="A352" s="7" t="n">
        <v>2009</v>
      </c>
      <c r="B352" s="15" t="s">
        <v>142</v>
      </c>
      <c r="C352" s="19" t="n">
        <v>66.872997</v>
      </c>
      <c r="D352" s="19" t="n">
        <v>66.872997</v>
      </c>
      <c r="E352" s="20" t="n">
        <f aca="false">IF(OR(D352="",D352=0),"",(C352-D352)/D352)</f>
        <v>0</v>
      </c>
      <c r="F352" s="19" t="n">
        <v>24.421549</v>
      </c>
      <c r="G352" s="19" t="n">
        <v>24.421549</v>
      </c>
      <c r="H352" s="20" t="n">
        <f aca="false">IF(OR(G352="",G352=0),"",(F352-G352)/G352)</f>
        <v>0</v>
      </c>
      <c r="I352" s="19" t="n">
        <v>95.249837</v>
      </c>
      <c r="J352" s="19" t="n">
        <v>95.249837</v>
      </c>
      <c r="K352" s="20" t="n">
        <f aca="false">IF(OR(J352="",J352=0),"",(I352-J352)/J352)</f>
        <v>0</v>
      </c>
      <c r="L352" s="21" t="str">
        <f aca="false">IF(OR(D352="",G352="",J352=""),"No reported subtotal",IF(AND(ABS(N(E352))&lt;=$D$2,ABS(N(H352))&lt;=$D$2,ABS(N(K352))&lt;=$D$2),"Reconciles within tolerance","Outside tolerance"))</f>
        <v>Reconciles within tolerance</v>
      </c>
    </row>
    <row r="353" customFormat="false" ht="15" hidden="false" customHeight="false" outlineLevel="0" collapsed="false">
      <c r="A353" s="7" t="n">
        <v>2010</v>
      </c>
      <c r="B353" s="15" t="s">
        <v>142</v>
      </c>
      <c r="C353" s="19" t="n">
        <v>71.312157</v>
      </c>
      <c r="D353" s="19" t="n">
        <v>71.312157</v>
      </c>
      <c r="E353" s="20" t="n">
        <f aca="false">IF(OR(D353="",D353=0),"",(C353-D353)/D353)</f>
        <v>0</v>
      </c>
      <c r="F353" s="19" t="n">
        <v>27.627705</v>
      </c>
      <c r="G353" s="19" t="n">
        <v>27.627705</v>
      </c>
      <c r="H353" s="20" t="n">
        <f aca="false">IF(OR(G353="",G353=0),"",(F353-G353)/G353)</f>
        <v>0</v>
      </c>
      <c r="I353" s="19" t="n">
        <v>64.271968</v>
      </c>
      <c r="J353" s="19" t="n">
        <v>64.271968</v>
      </c>
      <c r="K353" s="20" t="n">
        <f aca="false">IF(OR(J353="",J353=0),"",(I353-J353)/J353)</f>
        <v>0</v>
      </c>
      <c r="L353" s="21" t="str">
        <f aca="false">IF(OR(D353="",G353="",J353=""),"No reported subtotal",IF(AND(ABS(N(E353))&lt;=$D$2,ABS(N(H353))&lt;=$D$2,ABS(N(K353))&lt;=$D$2),"Reconciles within tolerance","Outside tolerance"))</f>
        <v>Reconciles within tolerance</v>
      </c>
    </row>
    <row r="354" customFormat="false" ht="15" hidden="false" customHeight="false" outlineLevel="0" collapsed="false">
      <c r="A354" s="7" t="n">
        <v>2011</v>
      </c>
      <c r="B354" s="15" t="s">
        <v>142</v>
      </c>
      <c r="C354" s="19" t="n">
        <v>50.231575</v>
      </c>
      <c r="D354" s="19" t="n">
        <v>50.231575</v>
      </c>
      <c r="E354" s="20" t="n">
        <f aca="false">IF(OR(D354="",D354=0),"",(C354-D354)/D354)</f>
        <v>0</v>
      </c>
      <c r="F354" s="19" t="n">
        <v>36.451472</v>
      </c>
      <c r="G354" s="19" t="n">
        <v>36.451472</v>
      </c>
      <c r="H354" s="20" t="n">
        <f aca="false">IF(OR(G354="",G354=0),"",(F354-G354)/G354)</f>
        <v>0</v>
      </c>
      <c r="I354" s="19" t="n">
        <v>83.641899</v>
      </c>
      <c r="J354" s="19" t="n">
        <v>83.641899</v>
      </c>
      <c r="K354" s="20" t="n">
        <f aca="false">IF(OR(J354="",J354=0),"",(I354-J354)/J354)</f>
        <v>0</v>
      </c>
      <c r="L354" s="21" t="str">
        <f aca="false">IF(OR(D354="",G354="",J354=""),"No reported subtotal",IF(AND(ABS(N(E354))&lt;=$D$2,ABS(N(H354))&lt;=$D$2,ABS(N(K354))&lt;=$D$2),"Reconciles within tolerance","Outside tolerance"))</f>
        <v>Reconciles within tolerance</v>
      </c>
    </row>
    <row r="355" customFormat="false" ht="15" hidden="false" customHeight="false" outlineLevel="0" collapsed="false">
      <c r="A355" s="7" t="n">
        <v>2012</v>
      </c>
      <c r="B355" s="15" t="s">
        <v>142</v>
      </c>
      <c r="C355" s="19" t="n">
        <v>54.052769</v>
      </c>
      <c r="D355" s="19" t="n">
        <v>54.052769</v>
      </c>
      <c r="E355" s="20" t="n">
        <f aca="false">IF(OR(D355="",D355=0),"",(C355-D355)/D355)</f>
        <v>0</v>
      </c>
      <c r="F355" s="19" t="n">
        <v>39.131213</v>
      </c>
      <c r="G355" s="19" t="n">
        <v>39.131213</v>
      </c>
      <c r="H355" s="20" t="n">
        <f aca="false">IF(OR(G355="",G355=0),"",(F355-G355)/G355)</f>
        <v>0</v>
      </c>
      <c r="I355" s="19" t="n">
        <v>101.31314</v>
      </c>
      <c r="J355" s="19" t="n">
        <v>101.31314</v>
      </c>
      <c r="K355" s="20" t="n">
        <f aca="false">IF(OR(J355="",J355=0),"",(I355-J355)/J355)</f>
        <v>0</v>
      </c>
      <c r="L355" s="21" t="str">
        <f aca="false">IF(OR(D355="",G355="",J355=""),"No reported subtotal",IF(AND(ABS(N(E355))&lt;=$D$2,ABS(N(H355))&lt;=$D$2,ABS(N(K355))&lt;=$D$2),"Reconciles within tolerance","Outside tolerance"))</f>
        <v>Reconciles within tolerance</v>
      </c>
    </row>
    <row r="356" customFormat="false" ht="15" hidden="false" customHeight="false" outlineLevel="0" collapsed="false">
      <c r="A356" s="7" t="n">
        <v>2013</v>
      </c>
      <c r="B356" s="15" t="s">
        <v>142</v>
      </c>
      <c r="C356" s="19" t="n">
        <v>55.466714</v>
      </c>
      <c r="D356" s="19" t="n">
        <v>55.466714</v>
      </c>
      <c r="E356" s="20" t="n">
        <f aca="false">IF(OR(D356="",D356=0),"",(C356-D356)/D356)</f>
        <v>0</v>
      </c>
      <c r="F356" s="19" t="n">
        <v>46.927112</v>
      </c>
      <c r="G356" s="19" t="n">
        <v>46.927112</v>
      </c>
      <c r="H356" s="20" t="n">
        <f aca="false">IF(OR(G356="",G356=0),"",(F356-G356)/G356)</f>
        <v>0</v>
      </c>
      <c r="I356" s="19" t="n">
        <v>91.757723</v>
      </c>
      <c r="J356" s="19" t="n">
        <v>91.757723</v>
      </c>
      <c r="K356" s="20" t="n">
        <f aca="false">IF(OR(J356="",J356=0),"",(I356-J356)/J356)</f>
        <v>0</v>
      </c>
      <c r="L356" s="21" t="str">
        <f aca="false">IF(OR(D356="",G356="",J356=""),"No reported subtotal",IF(AND(ABS(N(E356))&lt;=$D$2,ABS(N(H356))&lt;=$D$2,ABS(N(K356))&lt;=$D$2),"Reconciles within tolerance","Outside tolerance"))</f>
        <v>Reconciles within tolerance</v>
      </c>
    </row>
    <row r="357" customFormat="false" ht="15" hidden="false" customHeight="false" outlineLevel="0" collapsed="false">
      <c r="A357" s="7" t="n">
        <v>2014</v>
      </c>
      <c r="B357" s="15" t="s">
        <v>142</v>
      </c>
      <c r="C357" s="19" t="n">
        <v>64.522349</v>
      </c>
      <c r="D357" s="19" t="n">
        <v>64.522349</v>
      </c>
      <c r="E357" s="20" t="n">
        <f aca="false">IF(OR(D357="",D357=0),"",(C357-D357)/D357)</f>
        <v>0</v>
      </c>
      <c r="F357" s="19" t="n">
        <v>30.37108</v>
      </c>
      <c r="G357" s="19" t="n">
        <v>30.37108</v>
      </c>
      <c r="H357" s="20" t="n">
        <f aca="false">IF(OR(G357="",G357=0),"",(F357-G357)/G357)</f>
        <v>0</v>
      </c>
      <c r="I357" s="19" t="n">
        <v>87.507026</v>
      </c>
      <c r="J357" s="19" t="n">
        <v>87.507026</v>
      </c>
      <c r="K357" s="20" t="n">
        <f aca="false">IF(OR(J357="",J357=0),"",(I357-J357)/J357)</f>
        <v>0</v>
      </c>
      <c r="L357" s="21" t="str">
        <f aca="false">IF(OR(D357="",G357="",J357=""),"No reported subtotal",IF(AND(ABS(N(E357))&lt;=$D$2,ABS(N(H357))&lt;=$D$2,ABS(N(K357))&lt;=$D$2),"Reconciles within tolerance","Outside tolerance"))</f>
        <v>Reconciles within tolerance</v>
      </c>
    </row>
    <row r="358" customFormat="false" ht="15" hidden="false" customHeight="false" outlineLevel="0" collapsed="false">
      <c r="A358" s="7" t="n">
        <v>2015</v>
      </c>
      <c r="B358" s="15" t="s">
        <v>142</v>
      </c>
      <c r="C358" s="19" t="n">
        <v>56.683332</v>
      </c>
      <c r="D358" s="19" t="n">
        <v>56.683332</v>
      </c>
      <c r="E358" s="20" t="n">
        <f aca="false">IF(OR(D358="",D358=0),"",(C358-D358)/D358)</f>
        <v>0</v>
      </c>
      <c r="F358" s="19" t="n">
        <v>35.201955</v>
      </c>
      <c r="G358" s="19" t="n">
        <v>35.201955</v>
      </c>
      <c r="H358" s="20" t="n">
        <f aca="false">IF(OR(G358="",G358=0),"",(F358-G358)/G358)</f>
        <v>0</v>
      </c>
      <c r="I358" s="19" t="n">
        <v>106.775865</v>
      </c>
      <c r="J358" s="19" t="n">
        <v>106.775865</v>
      </c>
      <c r="K358" s="20" t="n">
        <f aca="false">IF(OR(J358="",J358=0),"",(I358-J358)/J358)</f>
        <v>0</v>
      </c>
      <c r="L358" s="21" t="str">
        <f aca="false">IF(OR(D358="",G358="",J358=""),"No reported subtotal",IF(AND(ABS(N(E358))&lt;=$D$2,ABS(N(H358))&lt;=$D$2,ABS(N(K358))&lt;=$D$2),"Reconciles within tolerance","Outside tolerance"))</f>
        <v>Reconciles within tolerance</v>
      </c>
    </row>
    <row r="359" customFormat="false" ht="15" hidden="false" customHeight="false" outlineLevel="0" collapsed="false">
      <c r="A359" s="7" t="n">
        <v>2016</v>
      </c>
      <c r="B359" s="15" t="s">
        <v>142</v>
      </c>
      <c r="C359" s="19" t="n">
        <v>67.670861</v>
      </c>
      <c r="D359" s="19" t="n">
        <v>67.670861</v>
      </c>
      <c r="E359" s="20" t="n">
        <f aca="false">IF(OR(D359="",D359=0),"",(C359-D359)/D359)</f>
        <v>0</v>
      </c>
      <c r="F359" s="19" t="n">
        <v>37.328227</v>
      </c>
      <c r="G359" s="19" t="n">
        <v>37.328227</v>
      </c>
      <c r="H359" s="20" t="n">
        <f aca="false">IF(OR(G359="",G359=0),"",(F359-G359)/G359)</f>
        <v>0</v>
      </c>
      <c r="I359" s="19" t="n">
        <v>120.61661</v>
      </c>
      <c r="J359" s="19" t="n">
        <v>120.61661</v>
      </c>
      <c r="K359" s="20" t="n">
        <f aca="false">IF(OR(J359="",J359=0),"",(I359-J359)/J359)</f>
        <v>0</v>
      </c>
      <c r="L359" s="21" t="str">
        <f aca="false">IF(OR(D359="",G359="",J359=""),"No reported subtotal",IF(AND(ABS(N(E359))&lt;=$D$2,ABS(N(H359))&lt;=$D$2,ABS(N(K359))&lt;=$D$2),"Reconciles within tolerance","Outside tolerance"))</f>
        <v>Reconciles within tolerance</v>
      </c>
    </row>
    <row r="360" customFormat="false" ht="15" hidden="false" customHeight="false" outlineLevel="0" collapsed="false">
      <c r="A360" s="7" t="n">
        <v>2017</v>
      </c>
      <c r="B360" s="15" t="s">
        <v>142</v>
      </c>
      <c r="C360" s="19" t="n">
        <v>67.239411</v>
      </c>
      <c r="D360" s="19" t="n">
        <v>67.239411</v>
      </c>
      <c r="E360" s="20" t="n">
        <f aca="false">IF(OR(D360="",D360=0),"",(C360-D360)/D360)</f>
        <v>0</v>
      </c>
      <c r="F360" s="19" t="n">
        <v>40.408248</v>
      </c>
      <c r="G360" s="19" t="n">
        <v>40.408248</v>
      </c>
      <c r="H360" s="20" t="n">
        <f aca="false">IF(OR(G360="",G360=0),"",(F360-G360)/G360)</f>
        <v>0</v>
      </c>
      <c r="I360" s="19" t="n">
        <v>187.563496</v>
      </c>
      <c r="J360" s="19" t="n">
        <v>187.563496</v>
      </c>
      <c r="K360" s="20" t="n">
        <f aca="false">IF(OR(J360="",J360=0),"",(I360-J360)/J360)</f>
        <v>0</v>
      </c>
      <c r="L360" s="21" t="str">
        <f aca="false">IF(OR(D360="",G360="",J360=""),"No reported subtotal",IF(AND(ABS(N(E360))&lt;=$D$2,ABS(N(H360))&lt;=$D$2,ABS(N(K360))&lt;=$D$2),"Reconciles within tolerance","Outside tolerance"))</f>
        <v>Reconciles within tolerance</v>
      </c>
    </row>
    <row r="361" customFormat="false" ht="15" hidden="false" customHeight="false" outlineLevel="0" collapsed="false">
      <c r="A361" s="7" t="n">
        <v>2018</v>
      </c>
      <c r="B361" s="15" t="s">
        <v>142</v>
      </c>
      <c r="C361" s="19" t="n">
        <v>81.400529</v>
      </c>
      <c r="D361" s="19" t="n">
        <v>81.400529</v>
      </c>
      <c r="E361" s="20" t="n">
        <f aca="false">IF(OR(D361="",D361=0),"",(C361-D361)/D361)</f>
        <v>0</v>
      </c>
      <c r="F361" s="19" t="n">
        <v>43.213159</v>
      </c>
      <c r="G361" s="19" t="n">
        <v>43.213159</v>
      </c>
      <c r="H361" s="20" t="n">
        <f aca="false">IF(OR(G361="",G361=0),"",(F361-G361)/G361)</f>
        <v>0</v>
      </c>
      <c r="I361" s="19" t="n">
        <v>210.730161</v>
      </c>
      <c r="J361" s="19" t="n">
        <v>210.730161</v>
      </c>
      <c r="K361" s="20" t="n">
        <f aca="false">IF(OR(J361="",J361=0),"",(I361-J361)/J361)</f>
        <v>0</v>
      </c>
      <c r="L361" s="21" t="str">
        <f aca="false">IF(OR(D361="",G361="",J361=""),"No reported subtotal",IF(AND(ABS(N(E361))&lt;=$D$2,ABS(N(H361))&lt;=$D$2,ABS(N(K361))&lt;=$D$2),"Reconciles within tolerance","Outside tolerance"))</f>
        <v>Reconciles within tolerance</v>
      </c>
    </row>
    <row r="362" customFormat="false" ht="15" hidden="false" customHeight="false" outlineLevel="0" collapsed="false">
      <c r="A362" s="7" t="n">
        <v>2019</v>
      </c>
      <c r="B362" s="15" t="s">
        <v>142</v>
      </c>
      <c r="C362" s="19" t="n">
        <v>81.866438</v>
      </c>
      <c r="D362" s="19" t="n">
        <v>81.866438</v>
      </c>
      <c r="E362" s="20" t="n">
        <f aca="false">IF(OR(D362="",D362=0),"",(C362-D362)/D362)</f>
        <v>0</v>
      </c>
      <c r="F362" s="19" t="n">
        <v>49.130921</v>
      </c>
      <c r="G362" s="19" t="n">
        <v>49.130921</v>
      </c>
      <c r="H362" s="20" t="n">
        <f aca="false">IF(OR(G362="",G362=0),"",(F362-G362)/G362)</f>
        <v>0</v>
      </c>
      <c r="I362" s="19" t="n">
        <v>216.141552</v>
      </c>
      <c r="J362" s="19" t="n">
        <v>216.141552</v>
      </c>
      <c r="K362" s="20" t="n">
        <f aca="false">IF(OR(J362="",J362=0),"",(I362-J362)/J362)</f>
        <v>0</v>
      </c>
      <c r="L362" s="21" t="str">
        <f aca="false">IF(OR(D362="",G362="",J362=""),"No reported subtotal",IF(AND(ABS(N(E362))&lt;=$D$2,ABS(N(H362))&lt;=$D$2,ABS(N(K362))&lt;=$D$2),"Reconciles within tolerance","Outside tolerance"))</f>
        <v>Reconciles within tolerance</v>
      </c>
    </row>
    <row r="363" customFormat="false" ht="15" hidden="false" customHeight="false" outlineLevel="0" collapsed="false">
      <c r="A363" s="7" t="n">
        <v>2020</v>
      </c>
      <c r="B363" s="15" t="s">
        <v>142</v>
      </c>
      <c r="C363" s="19" t="n">
        <v>74.701395</v>
      </c>
      <c r="D363" s="19" t="n">
        <v>74.701395</v>
      </c>
      <c r="E363" s="20" t="n">
        <f aca="false">IF(OR(D363="",D363=0),"",(C363-D363)/D363)</f>
        <v>0</v>
      </c>
      <c r="F363" s="19" t="n">
        <v>51.675954</v>
      </c>
      <c r="G363" s="19" t="n">
        <v>51.675954</v>
      </c>
      <c r="H363" s="20" t="n">
        <f aca="false">IF(OR(G363="",G363=0),"",(F363-G363)/G363)</f>
        <v>0</v>
      </c>
      <c r="I363" s="19" t="n">
        <v>189.67675</v>
      </c>
      <c r="J363" s="19" t="n">
        <v>189.67675</v>
      </c>
      <c r="K363" s="20" t="n">
        <f aca="false">IF(OR(J363="",J363=0),"",(I363-J363)/J363)</f>
        <v>0</v>
      </c>
      <c r="L363" s="21" t="str">
        <f aca="false">IF(OR(D363="",G363="",J363=""),"No reported subtotal",IF(AND(ABS(N(E363))&lt;=$D$2,ABS(N(H363))&lt;=$D$2,ABS(N(K363))&lt;=$D$2),"Reconciles within tolerance","Outside tolerance"))</f>
        <v>Reconciles within tolerance</v>
      </c>
    </row>
    <row r="364" customFormat="false" ht="15" hidden="false" customHeight="false" outlineLevel="0" collapsed="false">
      <c r="A364" s="7" t="n">
        <v>2021</v>
      </c>
      <c r="B364" s="15" t="s">
        <v>142</v>
      </c>
      <c r="C364" s="19" t="n">
        <v>76.665237</v>
      </c>
      <c r="D364" s="19" t="n">
        <v>76.665236</v>
      </c>
      <c r="E364" s="20" t="n">
        <f aca="false">IF(OR(D364="",D364=0),"",(C364-D364)/D364)</f>
        <v>1.30437218204885E-008</v>
      </c>
      <c r="F364" s="19" t="n">
        <v>23.54416</v>
      </c>
      <c r="G364" s="19" t="n">
        <v>23.54416</v>
      </c>
      <c r="H364" s="20" t="n">
        <f aca="false">IF(OR(G364="",G364=0),"",(F364-G364)/G364)</f>
        <v>0</v>
      </c>
      <c r="I364" s="19" t="n">
        <v>235.112545</v>
      </c>
      <c r="J364" s="19" t="n">
        <v>235.112545</v>
      </c>
      <c r="K364" s="20" t="n">
        <f aca="false">IF(OR(J364="",J364=0),"",(I364-J364)/J364)</f>
        <v>0</v>
      </c>
      <c r="L364" s="21" t="str">
        <f aca="false">IF(OR(D364="",G364="",J364=""),"No reported subtotal",IF(AND(ABS(N(E364))&lt;=$D$2,ABS(N(H364))&lt;=$D$2,ABS(N(K364))&lt;=$D$2),"Reconciles within tolerance","Outside tolerance"))</f>
        <v>Reconciles within tolerance</v>
      </c>
    </row>
    <row r="365" customFormat="false" ht="15" hidden="false" customHeight="false" outlineLevel="0" collapsed="false">
      <c r="A365" s="7" t="n">
        <v>2022</v>
      </c>
      <c r="B365" s="15" t="s">
        <v>142</v>
      </c>
      <c r="C365" s="19" t="n">
        <v>85.296835</v>
      </c>
      <c r="D365" s="19" t="n">
        <v>85.296835</v>
      </c>
      <c r="E365" s="20" t="n">
        <f aca="false">IF(OR(D365="",D365=0),"",(C365-D365)/D365)</f>
        <v>0</v>
      </c>
      <c r="F365" s="19" t="n">
        <v>23.388234</v>
      </c>
      <c r="G365" s="19" t="n">
        <v>23.388234</v>
      </c>
      <c r="H365" s="20" t="n">
        <f aca="false">IF(OR(G365="",G365=0),"",(F365-G365)/G365)</f>
        <v>0</v>
      </c>
      <c r="I365" s="19" t="n">
        <v>274.495508</v>
      </c>
      <c r="J365" s="19" t="n">
        <v>274.495508</v>
      </c>
      <c r="K365" s="20" t="n">
        <f aca="false">IF(OR(J365="",J365=0),"",(I365-J365)/J365)</f>
        <v>0</v>
      </c>
      <c r="L365" s="21" t="str">
        <f aca="false">IF(OR(D365="",G365="",J365=""),"No reported subtotal",IF(AND(ABS(N(E365))&lt;=$D$2,ABS(N(H365))&lt;=$D$2,ABS(N(K365))&lt;=$D$2),"Reconciles within tolerance","Outside tolerance"))</f>
        <v>Reconciles within tolerance</v>
      </c>
    </row>
    <row r="366" customFormat="false" ht="15" hidden="false" customHeight="false" outlineLevel="0" collapsed="false">
      <c r="A366" s="7" t="n">
        <v>2023</v>
      </c>
      <c r="B366" s="15" t="s">
        <v>142</v>
      </c>
      <c r="C366" s="19" t="n">
        <v>90.869356</v>
      </c>
      <c r="D366" s="19" t="n">
        <v>90.869356</v>
      </c>
      <c r="E366" s="20" t="n">
        <f aca="false">IF(OR(D366="",D366=0),"",(C366-D366)/D366)</f>
        <v>0</v>
      </c>
      <c r="F366" s="19" t="n">
        <v>60.028157</v>
      </c>
      <c r="G366" s="19" t="n">
        <v>60.028157</v>
      </c>
      <c r="H366" s="20" t="n">
        <f aca="false">IF(OR(G366="",G366=0),"",(F366-G366)/G366)</f>
        <v>0</v>
      </c>
      <c r="I366" s="19" t="n">
        <v>309.899451</v>
      </c>
      <c r="J366" s="19" t="n">
        <v>309.899451</v>
      </c>
      <c r="K366" s="20" t="n">
        <f aca="false">IF(OR(J366="",J366=0),"",(I366-J366)/J366)</f>
        <v>0</v>
      </c>
      <c r="L366" s="21" t="str">
        <f aca="false">IF(OR(D366="",G366="",J366=""),"No reported subtotal",IF(AND(ABS(N(E366))&lt;=$D$2,ABS(N(H366))&lt;=$D$2,ABS(N(K366))&lt;=$D$2),"Reconciles within tolerance","Outside tolerance"))</f>
        <v>Reconciles within tolerance</v>
      </c>
    </row>
    <row r="367" customFormat="false" ht="15" hidden="false" customHeight="false" outlineLevel="0" collapsed="false">
      <c r="A367" s="7" t="n">
        <v>2024</v>
      </c>
      <c r="B367" s="15" t="s">
        <v>142</v>
      </c>
      <c r="C367" s="19" t="n">
        <v>94.534426</v>
      </c>
      <c r="D367" s="19" t="n">
        <v>94.534426</v>
      </c>
      <c r="E367" s="20" t="n">
        <f aca="false">IF(OR(D367="",D367=0),"",(C367-D367)/D367)</f>
        <v>0</v>
      </c>
      <c r="F367" s="19" t="n">
        <v>61.546673</v>
      </c>
      <c r="G367" s="19" t="n">
        <v>61.546673</v>
      </c>
      <c r="H367" s="20" t="n">
        <f aca="false">IF(OR(G367="",G367=0),"",(F367-G367)/G367)</f>
        <v>0</v>
      </c>
      <c r="I367" s="19" t="n">
        <v>334.588299</v>
      </c>
      <c r="J367" s="19" t="n">
        <v>334.588299</v>
      </c>
      <c r="K367" s="20" t="n">
        <f aca="false">IF(OR(J367="",J367=0),"",(I367-J367)/J367)</f>
        <v>0</v>
      </c>
      <c r="L367" s="21" t="str">
        <f aca="false">IF(OR(D367="",G367="",J367=""),"No reported subtotal",IF(AND(ABS(N(E367))&lt;=$D$2,ABS(N(H367))&lt;=$D$2,ABS(N(K367))&lt;=$D$2),"Reconciles within tolerance","Outside tolerance"))</f>
        <v>Reconciles within tolerance</v>
      </c>
    </row>
    <row r="368" customFormat="false" ht="15" hidden="false" customHeight="false" outlineLevel="0" collapsed="false">
      <c r="A368" s="7" t="n">
        <v>2025</v>
      </c>
      <c r="B368" s="15" t="s">
        <v>142</v>
      </c>
      <c r="C368" s="19" t="n">
        <v>128.330829</v>
      </c>
      <c r="D368" s="19" t="n">
        <v>128.330829</v>
      </c>
      <c r="E368" s="20" t="n">
        <f aca="false">IF(OR(D368="",D368=0),"",(C368-D368)/D368)</f>
        <v>0</v>
      </c>
      <c r="F368" s="19" t="n">
        <v>50.295968</v>
      </c>
      <c r="G368" s="19" t="n">
        <v>50.295968</v>
      </c>
      <c r="H368" s="20" t="n">
        <f aca="false">IF(OR(G368="",G368=0),"",(F368-G368)/G368)</f>
        <v>0</v>
      </c>
      <c r="I368" s="19" t="n">
        <v>353.208621</v>
      </c>
      <c r="J368" s="19" t="n">
        <v>353.208621</v>
      </c>
      <c r="K368" s="20" t="n">
        <f aca="false">IF(OR(J368="",J368=0),"",(I368-J368)/J368)</f>
        <v>0</v>
      </c>
      <c r="L368" s="21" t="str">
        <f aca="false">IF(OR(D368="",G368="",J368=""),"No reported subtotal",IF(AND(ABS(N(E368))&lt;=$D$2,ABS(N(H368))&lt;=$D$2,ABS(N(K368))&lt;=$D$2),"Reconciles within tolerance","Outside tolerance"))</f>
        <v>Reconciles within tolerance</v>
      </c>
    </row>
    <row r="369" customFormat="false" ht="15" hidden="false" customHeight="false" outlineLevel="0" collapsed="false">
      <c r="A369" s="7" t="n">
        <v>2000</v>
      </c>
      <c r="B369" s="15" t="s">
        <v>144</v>
      </c>
      <c r="C369" s="19" t="n">
        <v>31.212418</v>
      </c>
      <c r="D369" s="19" t="n">
        <v>31.212418</v>
      </c>
      <c r="E369" s="20" t="n">
        <f aca="false">IF(OR(D369="",D369=0),"",(C369-D369)/D369)</f>
        <v>0</v>
      </c>
      <c r="F369" s="19" t="n">
        <v>23.21739</v>
      </c>
      <c r="G369" s="19" t="n">
        <v>23.21739</v>
      </c>
      <c r="H369" s="20" t="n">
        <f aca="false">IF(OR(G369="",G369=0),"",(F369-G369)/G369)</f>
        <v>0</v>
      </c>
      <c r="I369" s="19" t="n">
        <v>41.111423</v>
      </c>
      <c r="J369" s="19" t="n">
        <v>41.111423</v>
      </c>
      <c r="K369" s="20" t="n">
        <f aca="false">IF(OR(J369="",J369=0),"",(I369-J369)/J369)</f>
        <v>0</v>
      </c>
      <c r="L369" s="21" t="str">
        <f aca="false">IF(OR(D369="",G369="",J369=""),"No reported subtotal",IF(AND(ABS(N(E369))&lt;=$D$2,ABS(N(H369))&lt;=$D$2,ABS(N(K369))&lt;=$D$2),"Reconciles within tolerance","Outside tolerance"))</f>
        <v>Reconciles within tolerance</v>
      </c>
    </row>
    <row r="370" customFormat="false" ht="15" hidden="false" customHeight="false" outlineLevel="0" collapsed="false">
      <c r="A370" s="7" t="n">
        <v>2001</v>
      </c>
      <c r="B370" s="15" t="s">
        <v>144</v>
      </c>
      <c r="C370" s="19" t="n">
        <v>29.057342</v>
      </c>
      <c r="D370" s="19" t="n">
        <v>29.057342</v>
      </c>
      <c r="E370" s="20" t="n">
        <f aca="false">IF(OR(D370="",D370=0),"",(C370-D370)/D370)</f>
        <v>0</v>
      </c>
      <c r="F370" s="19" t="n">
        <v>22.600291</v>
      </c>
      <c r="G370" s="19" t="n">
        <v>22.600291</v>
      </c>
      <c r="H370" s="20" t="n">
        <f aca="false">IF(OR(G370="",G370=0),"",(F370-G370)/G370)</f>
        <v>0</v>
      </c>
      <c r="I370" s="19" t="n">
        <v>15.007288</v>
      </c>
      <c r="J370" s="19" t="n">
        <v>15.007288</v>
      </c>
      <c r="K370" s="20" t="n">
        <f aca="false">IF(OR(J370="",J370=0),"",(I370-J370)/J370)</f>
        <v>0</v>
      </c>
      <c r="L370" s="21" t="str">
        <f aca="false">IF(OR(D370="",G370="",J370=""),"No reported subtotal",IF(AND(ABS(N(E370))&lt;=$D$2,ABS(N(H370))&lt;=$D$2,ABS(N(K370))&lt;=$D$2),"Reconciles within tolerance","Outside tolerance"))</f>
        <v>Reconciles within tolerance</v>
      </c>
    </row>
    <row r="371" customFormat="false" ht="15" hidden="false" customHeight="false" outlineLevel="0" collapsed="false">
      <c r="A371" s="7" t="n">
        <v>2002</v>
      </c>
      <c r="B371" s="15" t="s">
        <v>144</v>
      </c>
      <c r="C371" s="19" t="n">
        <v>35.493236</v>
      </c>
      <c r="D371" s="19" t="n">
        <v>35.493236</v>
      </c>
      <c r="E371" s="20" t="n">
        <f aca="false">IF(OR(D371="",D371=0),"",(C371-D371)/D371)</f>
        <v>0</v>
      </c>
      <c r="F371" s="19" t="n">
        <v>18.486947</v>
      </c>
      <c r="G371" s="19" t="n">
        <v>18.486947</v>
      </c>
      <c r="H371" s="20" t="n">
        <f aca="false">IF(OR(G371="",G371=0),"",(F371-G371)/G371)</f>
        <v>0</v>
      </c>
      <c r="I371" s="19" t="n">
        <v>92.162159</v>
      </c>
      <c r="J371" s="19" t="n">
        <v>92.162159</v>
      </c>
      <c r="K371" s="20" t="n">
        <f aca="false">IF(OR(J371="",J371=0),"",(I371-J371)/J371)</f>
        <v>0</v>
      </c>
      <c r="L371" s="21" t="str">
        <f aca="false">IF(OR(D371="",G371="",J371=""),"No reported subtotal",IF(AND(ABS(N(E371))&lt;=$D$2,ABS(N(H371))&lt;=$D$2,ABS(N(K371))&lt;=$D$2),"Reconciles within tolerance","Outside tolerance"))</f>
        <v>Reconciles within tolerance</v>
      </c>
    </row>
    <row r="372" customFormat="false" ht="15" hidden="false" customHeight="false" outlineLevel="0" collapsed="false">
      <c r="A372" s="7" t="n">
        <v>2003</v>
      </c>
      <c r="B372" s="15" t="s">
        <v>144</v>
      </c>
      <c r="C372" s="19" t="n">
        <v>39.018506</v>
      </c>
      <c r="D372" s="19" t="n">
        <v>39.018506</v>
      </c>
      <c r="E372" s="20" t="n">
        <f aca="false">IF(OR(D372="",D372=0),"",(C372-D372)/D372)</f>
        <v>0</v>
      </c>
      <c r="F372" s="19" t="n">
        <v>18.994897</v>
      </c>
      <c r="G372" s="19" t="n">
        <v>18.994897</v>
      </c>
      <c r="H372" s="20" t="n">
        <f aca="false">IF(OR(G372="",G372=0),"",(F372-G372)/G372)</f>
        <v>0</v>
      </c>
      <c r="I372" s="19" t="n">
        <v>29.270349</v>
      </c>
      <c r="J372" s="19" t="n">
        <v>29.270349</v>
      </c>
      <c r="K372" s="20" t="n">
        <f aca="false">IF(OR(J372="",J372=0),"",(I372-J372)/J372)</f>
        <v>0</v>
      </c>
      <c r="L372" s="21" t="str">
        <f aca="false">IF(OR(D372="",G372="",J372=""),"No reported subtotal",IF(AND(ABS(N(E372))&lt;=$D$2,ABS(N(H372))&lt;=$D$2,ABS(N(K372))&lt;=$D$2),"Reconciles within tolerance","Outside tolerance"))</f>
        <v>Reconciles within tolerance</v>
      </c>
    </row>
    <row r="373" customFormat="false" ht="15" hidden="false" customHeight="false" outlineLevel="0" collapsed="false">
      <c r="A373" s="7" t="n">
        <v>2004</v>
      </c>
      <c r="B373" s="15" t="s">
        <v>144</v>
      </c>
      <c r="C373" s="19" t="n">
        <v>33.249167</v>
      </c>
      <c r="D373" s="19" t="n">
        <v>33.249167</v>
      </c>
      <c r="E373" s="20" t="n">
        <f aca="false">IF(OR(D373="",D373=0),"",(C373-D373)/D373)</f>
        <v>0</v>
      </c>
      <c r="F373" s="19" t="n">
        <v>20.455741</v>
      </c>
      <c r="G373" s="19" t="n">
        <v>20.455741</v>
      </c>
      <c r="H373" s="20" t="n">
        <f aca="false">IF(OR(G373="",G373=0),"",(F373-G373)/G373)</f>
        <v>0</v>
      </c>
      <c r="I373" s="19" t="n">
        <v>43.848678</v>
      </c>
      <c r="J373" s="19" t="n">
        <v>43.848678</v>
      </c>
      <c r="K373" s="20" t="n">
        <f aca="false">IF(OR(J373="",J373=0),"",(I373-J373)/J373)</f>
        <v>0</v>
      </c>
      <c r="L373" s="21" t="str">
        <f aca="false">IF(OR(D373="",G373="",J373=""),"No reported subtotal",IF(AND(ABS(N(E373))&lt;=$D$2,ABS(N(H373))&lt;=$D$2,ABS(N(K373))&lt;=$D$2),"Reconciles within tolerance","Outside tolerance"))</f>
        <v>Reconciles within tolerance</v>
      </c>
    </row>
    <row r="374" customFormat="false" ht="15" hidden="false" customHeight="false" outlineLevel="0" collapsed="false">
      <c r="A374" s="7" t="n">
        <v>2005</v>
      </c>
      <c r="B374" s="15" t="s">
        <v>144</v>
      </c>
      <c r="C374" s="19" t="n">
        <v>35.5917</v>
      </c>
      <c r="D374" s="19" t="n">
        <v>35.5917</v>
      </c>
      <c r="E374" s="20" t="n">
        <f aca="false">IF(OR(D374="",D374=0),"",(C374-D374)/D374)</f>
        <v>0</v>
      </c>
      <c r="F374" s="19" t="n">
        <v>19.869043</v>
      </c>
      <c r="G374" s="19" t="n">
        <v>19.869043</v>
      </c>
      <c r="H374" s="20" t="n">
        <f aca="false">IF(OR(G374="",G374=0),"",(F374-G374)/G374)</f>
        <v>0</v>
      </c>
      <c r="I374" s="19" t="n">
        <v>33.689072</v>
      </c>
      <c r="J374" s="19" t="n">
        <v>33.689072</v>
      </c>
      <c r="K374" s="20" t="n">
        <f aca="false">IF(OR(J374="",J374=0),"",(I374-J374)/J374)</f>
        <v>0</v>
      </c>
      <c r="L374" s="21" t="str">
        <f aca="false">IF(OR(D374="",G374="",J374=""),"No reported subtotal",IF(AND(ABS(N(E374))&lt;=$D$2,ABS(N(H374))&lt;=$D$2,ABS(N(K374))&lt;=$D$2),"Reconciles within tolerance","Outside tolerance"))</f>
        <v>Reconciles within tolerance</v>
      </c>
    </row>
    <row r="375" customFormat="false" ht="15" hidden="false" customHeight="false" outlineLevel="0" collapsed="false">
      <c r="A375" s="7" t="n">
        <v>2006</v>
      </c>
      <c r="B375" s="15" t="s">
        <v>144</v>
      </c>
      <c r="C375" s="19" t="n">
        <v>35.391356</v>
      </c>
      <c r="D375" s="19" t="n">
        <v>35.391356</v>
      </c>
      <c r="E375" s="20" t="n">
        <f aca="false">IF(OR(D375="",D375=0),"",(C375-D375)/D375)</f>
        <v>0</v>
      </c>
      <c r="F375" s="19" t="n">
        <v>20.361932</v>
      </c>
      <c r="G375" s="19" t="n">
        <v>20.361932</v>
      </c>
      <c r="H375" s="20" t="n">
        <f aca="false">IF(OR(G375="",G375=0),"",(F375-G375)/G375)</f>
        <v>0</v>
      </c>
      <c r="I375" s="19" t="n">
        <v>34.070218</v>
      </c>
      <c r="J375" s="19" t="n">
        <v>34.070218</v>
      </c>
      <c r="K375" s="20" t="n">
        <f aca="false">IF(OR(J375="",J375=0),"",(I375-J375)/J375)</f>
        <v>0</v>
      </c>
      <c r="L375" s="21" t="str">
        <f aca="false">IF(OR(D375="",G375="",J375=""),"No reported subtotal",IF(AND(ABS(N(E375))&lt;=$D$2,ABS(N(H375))&lt;=$D$2,ABS(N(K375))&lt;=$D$2),"Reconciles within tolerance","Outside tolerance"))</f>
        <v>Reconciles within tolerance</v>
      </c>
    </row>
    <row r="376" customFormat="false" ht="15" hidden="false" customHeight="false" outlineLevel="0" collapsed="false">
      <c r="A376" s="7" t="n">
        <v>2007</v>
      </c>
      <c r="B376" s="15" t="s">
        <v>144</v>
      </c>
      <c r="C376" s="19" t="n">
        <v>31.630965</v>
      </c>
      <c r="D376" s="19" t="n">
        <v>31.630965</v>
      </c>
      <c r="E376" s="20" t="n">
        <f aca="false">IF(OR(D376="",D376=0),"",(C376-D376)/D376)</f>
        <v>0</v>
      </c>
      <c r="F376" s="19" t="n">
        <v>20.218335</v>
      </c>
      <c r="G376" s="19" t="n">
        <v>20.218335</v>
      </c>
      <c r="H376" s="20" t="n">
        <f aca="false">IF(OR(G376="",G376=0),"",(F376-G376)/G376)</f>
        <v>0</v>
      </c>
      <c r="I376" s="19" t="n">
        <v>49.690802</v>
      </c>
      <c r="J376" s="19" t="n">
        <v>49.690802</v>
      </c>
      <c r="K376" s="20" t="n">
        <f aca="false">IF(OR(J376="",J376=0),"",(I376-J376)/J376)</f>
        <v>0</v>
      </c>
      <c r="L376" s="21" t="str">
        <f aca="false">IF(OR(D376="",G376="",J376=""),"No reported subtotal",IF(AND(ABS(N(E376))&lt;=$D$2,ABS(N(H376))&lt;=$D$2,ABS(N(K376))&lt;=$D$2),"Reconciles within tolerance","Outside tolerance"))</f>
        <v>Reconciles within tolerance</v>
      </c>
    </row>
    <row r="377" customFormat="false" ht="15" hidden="false" customHeight="false" outlineLevel="0" collapsed="false">
      <c r="A377" s="7" t="n">
        <v>2008</v>
      </c>
      <c r="B377" s="15" t="s">
        <v>144</v>
      </c>
      <c r="C377" s="19" t="n">
        <v>39.571808</v>
      </c>
      <c r="D377" s="19" t="n">
        <v>39.571808</v>
      </c>
      <c r="E377" s="20" t="n">
        <f aca="false">IF(OR(D377="",D377=0),"",(C377-D377)/D377)</f>
        <v>0</v>
      </c>
      <c r="F377" s="19" t="n">
        <v>20.990156</v>
      </c>
      <c r="G377" s="19" t="n">
        <v>20.990156</v>
      </c>
      <c r="H377" s="20" t="n">
        <f aca="false">IF(OR(G377="",G377=0),"",(F377-G377)/G377)</f>
        <v>0</v>
      </c>
      <c r="I377" s="19" t="n">
        <v>44.791245</v>
      </c>
      <c r="J377" s="19" t="n">
        <v>44.791245</v>
      </c>
      <c r="K377" s="20" t="n">
        <f aca="false">IF(OR(J377="",J377=0),"",(I377-J377)/J377)</f>
        <v>0</v>
      </c>
      <c r="L377" s="21" t="str">
        <f aca="false">IF(OR(D377="",G377="",J377=""),"No reported subtotal",IF(AND(ABS(N(E377))&lt;=$D$2,ABS(N(H377))&lt;=$D$2,ABS(N(K377))&lt;=$D$2),"Reconciles within tolerance","Outside tolerance"))</f>
        <v>Reconciles within tolerance</v>
      </c>
    </row>
    <row r="378" customFormat="false" ht="15" hidden="false" customHeight="false" outlineLevel="0" collapsed="false">
      <c r="A378" s="7" t="n">
        <v>2009</v>
      </c>
      <c r="B378" s="15" t="s">
        <v>144</v>
      </c>
      <c r="C378" s="19" t="n">
        <v>35.468656</v>
      </c>
      <c r="D378" s="19" t="n">
        <v>35.468656</v>
      </c>
      <c r="E378" s="20" t="n">
        <f aca="false">IF(OR(D378="",D378=0),"",(C378-D378)/D378)</f>
        <v>0</v>
      </c>
      <c r="F378" s="19" t="n">
        <v>20.663303</v>
      </c>
      <c r="G378" s="19" t="n">
        <v>20.663303</v>
      </c>
      <c r="H378" s="20" t="n">
        <f aca="false">IF(OR(G378="",G378=0),"",(F378-G378)/G378)</f>
        <v>0</v>
      </c>
      <c r="I378" s="19" t="n">
        <v>36.30377</v>
      </c>
      <c r="J378" s="19" t="n">
        <v>36.30377</v>
      </c>
      <c r="K378" s="20" t="n">
        <f aca="false">IF(OR(J378="",J378=0),"",(I378-J378)/J378)</f>
        <v>0</v>
      </c>
      <c r="L378" s="21" t="str">
        <f aca="false">IF(OR(D378="",G378="",J378=""),"No reported subtotal",IF(AND(ABS(N(E378))&lt;=$D$2,ABS(N(H378))&lt;=$D$2,ABS(N(K378))&lt;=$D$2),"Reconciles within tolerance","Outside tolerance"))</f>
        <v>Reconciles within tolerance</v>
      </c>
    </row>
    <row r="379" customFormat="false" ht="15" hidden="false" customHeight="false" outlineLevel="0" collapsed="false">
      <c r="A379" s="7" t="n">
        <v>2010</v>
      </c>
      <c r="B379" s="15" t="s">
        <v>144</v>
      </c>
      <c r="C379" s="19" t="n">
        <v>35.618362</v>
      </c>
      <c r="D379" s="19" t="n">
        <v>35.618362</v>
      </c>
      <c r="E379" s="20" t="n">
        <f aca="false">IF(OR(D379="",D379=0),"",(C379-D379)/D379)</f>
        <v>0</v>
      </c>
      <c r="F379" s="19" t="n">
        <v>21.540692</v>
      </c>
      <c r="G379" s="19" t="n">
        <v>21.540692</v>
      </c>
      <c r="H379" s="20" t="n">
        <f aca="false">IF(OR(G379="",G379=0),"",(F379-G379)/G379)</f>
        <v>0</v>
      </c>
      <c r="I379" s="19" t="n">
        <v>49.446436</v>
      </c>
      <c r="J379" s="19" t="n">
        <v>49.446436</v>
      </c>
      <c r="K379" s="20" t="n">
        <f aca="false">IF(OR(J379="",J379=0),"",(I379-J379)/J379)</f>
        <v>0</v>
      </c>
      <c r="L379" s="21" t="str">
        <f aca="false">IF(OR(D379="",G379="",J379=""),"No reported subtotal",IF(AND(ABS(N(E379))&lt;=$D$2,ABS(N(H379))&lt;=$D$2,ABS(N(K379))&lt;=$D$2),"Reconciles within tolerance","Outside tolerance"))</f>
        <v>Reconciles within tolerance</v>
      </c>
    </row>
    <row r="380" customFormat="false" ht="15" hidden="false" customHeight="false" outlineLevel="0" collapsed="false">
      <c r="A380" s="7" t="n">
        <v>2011</v>
      </c>
      <c r="B380" s="15" t="s">
        <v>144</v>
      </c>
      <c r="C380" s="19" t="n">
        <v>35.397842</v>
      </c>
      <c r="D380" s="19" t="n">
        <v>35.397842</v>
      </c>
      <c r="E380" s="20" t="n">
        <f aca="false">IF(OR(D380="",D380=0),"",(C380-D380)/D380)</f>
        <v>0</v>
      </c>
      <c r="F380" s="19" t="n">
        <v>21.7148</v>
      </c>
      <c r="G380" s="19" t="n">
        <v>21.7148</v>
      </c>
      <c r="H380" s="20" t="n">
        <f aca="false">IF(OR(G380="",G380=0),"",(F380-G380)/G380)</f>
        <v>0</v>
      </c>
      <c r="I380" s="19" t="n">
        <v>43.902302</v>
      </c>
      <c r="J380" s="19" t="n">
        <v>43.902302</v>
      </c>
      <c r="K380" s="20" t="n">
        <f aca="false">IF(OR(J380="",J380=0),"",(I380-J380)/J380)</f>
        <v>0</v>
      </c>
      <c r="L380" s="21" t="str">
        <f aca="false">IF(OR(D380="",G380="",J380=""),"No reported subtotal",IF(AND(ABS(N(E380))&lt;=$D$2,ABS(N(H380))&lt;=$D$2,ABS(N(K380))&lt;=$D$2),"Reconciles within tolerance","Outside tolerance"))</f>
        <v>Reconciles within tolerance</v>
      </c>
    </row>
    <row r="381" customFormat="false" ht="15" hidden="false" customHeight="false" outlineLevel="0" collapsed="false">
      <c r="A381" s="7" t="n">
        <v>2012</v>
      </c>
      <c r="B381" s="15" t="s">
        <v>144</v>
      </c>
      <c r="C381" s="19" t="n">
        <v>38.285321</v>
      </c>
      <c r="D381" s="19" t="n">
        <v>38.285321</v>
      </c>
      <c r="E381" s="20" t="n">
        <f aca="false">IF(OR(D381="",D381=0),"",(C381-D381)/D381)</f>
        <v>0</v>
      </c>
      <c r="F381" s="19" t="n">
        <v>21.585786</v>
      </c>
      <c r="G381" s="19" t="n">
        <v>21.585786</v>
      </c>
      <c r="H381" s="20" t="n">
        <f aca="false">IF(OR(G381="",G381=0),"",(F381-G381)/G381)</f>
        <v>0</v>
      </c>
      <c r="I381" s="19" t="n">
        <v>49.740466</v>
      </c>
      <c r="J381" s="19" t="n">
        <v>49.740466</v>
      </c>
      <c r="K381" s="20" t="n">
        <f aca="false">IF(OR(J381="",J381=0),"",(I381-J381)/J381)</f>
        <v>0</v>
      </c>
      <c r="L381" s="21" t="str">
        <f aca="false">IF(OR(D381="",G381="",J381=""),"No reported subtotal",IF(AND(ABS(N(E381))&lt;=$D$2,ABS(N(H381))&lt;=$D$2,ABS(N(K381))&lt;=$D$2),"Reconciles within tolerance","Outside tolerance"))</f>
        <v>Reconciles within tolerance</v>
      </c>
    </row>
    <row r="382" customFormat="false" ht="15" hidden="false" customHeight="false" outlineLevel="0" collapsed="false">
      <c r="A382" s="7" t="n">
        <v>2013</v>
      </c>
      <c r="B382" s="15" t="s">
        <v>144</v>
      </c>
      <c r="C382" s="19" t="n">
        <v>36.906693</v>
      </c>
      <c r="D382" s="19" t="n">
        <v>36.906693</v>
      </c>
      <c r="E382" s="20" t="n">
        <f aca="false">IF(OR(D382="",D382=0),"",(C382-D382)/D382)</f>
        <v>0</v>
      </c>
      <c r="F382" s="19" t="n">
        <v>22.326185</v>
      </c>
      <c r="G382" s="19" t="n">
        <v>22.326185</v>
      </c>
      <c r="H382" s="20" t="n">
        <f aca="false">IF(OR(G382="",G382=0),"",(F382-G382)/G382)</f>
        <v>0</v>
      </c>
      <c r="I382" s="19" t="n">
        <v>42.49018</v>
      </c>
      <c r="J382" s="19" t="n">
        <v>42.49018</v>
      </c>
      <c r="K382" s="20" t="n">
        <f aca="false">IF(OR(J382="",J382=0),"",(I382-J382)/J382)</f>
        <v>0</v>
      </c>
      <c r="L382" s="21" t="str">
        <f aca="false">IF(OR(D382="",G382="",J382=""),"No reported subtotal",IF(AND(ABS(N(E382))&lt;=$D$2,ABS(N(H382))&lt;=$D$2,ABS(N(K382))&lt;=$D$2),"Reconciles within tolerance","Outside tolerance"))</f>
        <v>Reconciles within tolerance</v>
      </c>
    </row>
    <row r="383" customFormat="false" ht="15" hidden="false" customHeight="false" outlineLevel="0" collapsed="false">
      <c r="A383" s="7" t="n">
        <v>2014</v>
      </c>
      <c r="B383" s="15" t="s">
        <v>144</v>
      </c>
      <c r="C383" s="19" t="n">
        <v>37.732716</v>
      </c>
      <c r="D383" s="19" t="n">
        <v>37.732716</v>
      </c>
      <c r="E383" s="20" t="n">
        <f aca="false">IF(OR(D383="",D383=0),"",(C383-D383)/D383)</f>
        <v>0</v>
      </c>
      <c r="F383" s="19" t="n">
        <v>23.362306</v>
      </c>
      <c r="G383" s="19" t="n">
        <v>23.362306</v>
      </c>
      <c r="H383" s="20" t="n">
        <f aca="false">IF(OR(G383="",G383=0),"",(F383-G383)/G383)</f>
        <v>0</v>
      </c>
      <c r="I383" s="19" t="n">
        <v>58.730008</v>
      </c>
      <c r="J383" s="19" t="n">
        <v>58.730008</v>
      </c>
      <c r="K383" s="20" t="n">
        <f aca="false">IF(OR(J383="",J383=0),"",(I383-J383)/J383)</f>
        <v>0</v>
      </c>
      <c r="L383" s="21" t="str">
        <f aca="false">IF(OR(D383="",G383="",J383=""),"No reported subtotal",IF(AND(ABS(N(E383))&lt;=$D$2,ABS(N(H383))&lt;=$D$2,ABS(N(K383))&lt;=$D$2),"Reconciles within tolerance","Outside tolerance"))</f>
        <v>Reconciles within tolerance</v>
      </c>
    </row>
    <row r="384" customFormat="false" ht="15" hidden="false" customHeight="false" outlineLevel="0" collapsed="false">
      <c r="A384" s="7" t="n">
        <v>2015</v>
      </c>
      <c r="B384" s="15" t="s">
        <v>144</v>
      </c>
      <c r="C384" s="19" t="n">
        <v>39.364252</v>
      </c>
      <c r="D384" s="19" t="n">
        <v>39.364252</v>
      </c>
      <c r="E384" s="20" t="n">
        <f aca="false">IF(OR(D384="",D384=0),"",(C384-D384)/D384)</f>
        <v>0</v>
      </c>
      <c r="F384" s="19" t="n">
        <v>22.950273</v>
      </c>
      <c r="G384" s="19" t="n">
        <v>22.950273</v>
      </c>
      <c r="H384" s="20" t="n">
        <f aca="false">IF(OR(G384="",G384=0),"",(F384-G384)/G384)</f>
        <v>0</v>
      </c>
      <c r="I384" s="19" t="n">
        <v>63.909974</v>
      </c>
      <c r="J384" s="19" t="n">
        <v>63.909974</v>
      </c>
      <c r="K384" s="20" t="n">
        <f aca="false">IF(OR(J384="",J384=0),"",(I384-J384)/J384)</f>
        <v>0</v>
      </c>
      <c r="L384" s="21" t="str">
        <f aca="false">IF(OR(D384="",G384="",J384=""),"No reported subtotal",IF(AND(ABS(N(E384))&lt;=$D$2,ABS(N(H384))&lt;=$D$2,ABS(N(K384))&lt;=$D$2),"Reconciles within tolerance","Outside tolerance"))</f>
        <v>Reconciles within tolerance</v>
      </c>
    </row>
    <row r="385" customFormat="false" ht="15" hidden="false" customHeight="false" outlineLevel="0" collapsed="false">
      <c r="A385" s="7" t="n">
        <v>2016</v>
      </c>
      <c r="B385" s="15" t="s">
        <v>144</v>
      </c>
      <c r="C385" s="19" t="n">
        <v>41.073876</v>
      </c>
      <c r="D385" s="19" t="n">
        <v>41.073876</v>
      </c>
      <c r="E385" s="20" t="n">
        <f aca="false">IF(OR(D385="",D385=0),"",(C385-D385)/D385)</f>
        <v>0</v>
      </c>
      <c r="F385" s="19" t="n">
        <v>22.434338</v>
      </c>
      <c r="G385" s="19" t="n">
        <v>22.434338</v>
      </c>
      <c r="H385" s="20" t="n">
        <f aca="false">IF(OR(G385="",G385=0),"",(F385-G385)/G385)</f>
        <v>0</v>
      </c>
      <c r="I385" s="19" t="n">
        <v>69.591171</v>
      </c>
      <c r="J385" s="19" t="n">
        <v>69.591171</v>
      </c>
      <c r="K385" s="20" t="n">
        <f aca="false">IF(OR(J385="",J385=0),"",(I385-J385)/J385)</f>
        <v>0</v>
      </c>
      <c r="L385" s="21" t="str">
        <f aca="false">IF(OR(D385="",G385="",J385=""),"No reported subtotal",IF(AND(ABS(N(E385))&lt;=$D$2,ABS(N(H385))&lt;=$D$2,ABS(N(K385))&lt;=$D$2),"Reconciles within tolerance","Outside tolerance"))</f>
        <v>Reconciles within tolerance</v>
      </c>
    </row>
    <row r="386" customFormat="false" ht="15" hidden="false" customHeight="false" outlineLevel="0" collapsed="false">
      <c r="A386" s="7" t="n">
        <v>2017</v>
      </c>
      <c r="B386" s="15" t="s">
        <v>144</v>
      </c>
      <c r="C386" s="19" t="n">
        <v>43.242605</v>
      </c>
      <c r="D386" s="19" t="n">
        <v>43.242605</v>
      </c>
      <c r="E386" s="20" t="n">
        <f aca="false">IF(OR(D386="",D386=0),"",(C386-D386)/D386)</f>
        <v>0</v>
      </c>
      <c r="F386" s="19" t="n">
        <v>23.793807</v>
      </c>
      <c r="G386" s="19" t="n">
        <v>23.793807</v>
      </c>
      <c r="H386" s="20" t="n">
        <f aca="false">IF(OR(G386="",G386=0),"",(F386-G386)/G386)</f>
        <v>0</v>
      </c>
      <c r="I386" s="19" t="n">
        <v>67.746303</v>
      </c>
      <c r="J386" s="19" t="n">
        <v>67.746303</v>
      </c>
      <c r="K386" s="20" t="n">
        <f aca="false">IF(OR(J386="",J386=0),"",(I386-J386)/J386)</f>
        <v>0</v>
      </c>
      <c r="L386" s="21" t="str">
        <f aca="false">IF(OR(D386="",G386="",J386=""),"No reported subtotal",IF(AND(ABS(N(E386))&lt;=$D$2,ABS(N(H386))&lt;=$D$2,ABS(N(K386))&lt;=$D$2),"Reconciles within tolerance","Outside tolerance"))</f>
        <v>Reconciles within tolerance</v>
      </c>
    </row>
    <row r="387" customFormat="false" ht="15" hidden="false" customHeight="false" outlineLevel="0" collapsed="false">
      <c r="A387" s="7" t="n">
        <v>2018</v>
      </c>
      <c r="B387" s="15" t="s">
        <v>144</v>
      </c>
      <c r="C387" s="19" t="n">
        <v>43.730047</v>
      </c>
      <c r="D387" s="19" t="n">
        <v>43.730047</v>
      </c>
      <c r="E387" s="20" t="n">
        <f aca="false">IF(OR(D387="",D387=0),"",(C387-D387)/D387)</f>
        <v>0</v>
      </c>
      <c r="F387" s="19" t="n">
        <v>22.488156</v>
      </c>
      <c r="G387" s="19" t="n">
        <v>22.488156</v>
      </c>
      <c r="H387" s="20" t="n">
        <f aca="false">IF(OR(G387="",G387=0),"",(F387-G387)/G387)</f>
        <v>0</v>
      </c>
      <c r="I387" s="19" t="n">
        <v>60.472716</v>
      </c>
      <c r="J387" s="19" t="n">
        <v>60.472716</v>
      </c>
      <c r="K387" s="20" t="n">
        <f aca="false">IF(OR(J387="",J387=0),"",(I387-J387)/J387)</f>
        <v>0</v>
      </c>
      <c r="L387" s="21" t="str">
        <f aca="false">IF(OR(D387="",G387="",J387=""),"No reported subtotal",IF(AND(ABS(N(E387))&lt;=$D$2,ABS(N(H387))&lt;=$D$2,ABS(N(K387))&lt;=$D$2),"Reconciles within tolerance","Outside tolerance"))</f>
        <v>Reconciles within tolerance</v>
      </c>
    </row>
    <row r="388" customFormat="false" ht="15" hidden="false" customHeight="false" outlineLevel="0" collapsed="false">
      <c r="A388" s="7" t="n">
        <v>2019</v>
      </c>
      <c r="B388" s="15" t="s">
        <v>144</v>
      </c>
      <c r="C388" s="19" t="n">
        <v>63.24097</v>
      </c>
      <c r="D388" s="19" t="n">
        <v>63.24097</v>
      </c>
      <c r="E388" s="20" t="n">
        <f aca="false">IF(OR(D388="",D388=0),"",(C388-D388)/D388)</f>
        <v>0</v>
      </c>
      <c r="F388" s="19" t="n">
        <v>23.867516</v>
      </c>
      <c r="G388" s="19" t="n">
        <v>23.867516</v>
      </c>
      <c r="H388" s="20" t="n">
        <f aca="false">IF(OR(G388="",G388=0),"",(F388-G388)/G388)</f>
        <v>0</v>
      </c>
      <c r="I388" s="19" t="n">
        <v>71.915771</v>
      </c>
      <c r="J388" s="19" t="n">
        <v>71.915771</v>
      </c>
      <c r="K388" s="20" t="n">
        <f aca="false">IF(OR(J388="",J388=0),"",(I388-J388)/J388)</f>
        <v>0</v>
      </c>
      <c r="L388" s="21" t="str">
        <f aca="false">IF(OR(D388="",G388="",J388=""),"No reported subtotal",IF(AND(ABS(N(E388))&lt;=$D$2,ABS(N(H388))&lt;=$D$2,ABS(N(K388))&lt;=$D$2),"Reconciles within tolerance","Outside tolerance"))</f>
        <v>Reconciles within tolerance</v>
      </c>
    </row>
    <row r="389" customFormat="false" ht="15" hidden="false" customHeight="false" outlineLevel="0" collapsed="false">
      <c r="A389" s="7" t="n">
        <v>2020</v>
      </c>
      <c r="B389" s="15" t="s">
        <v>144</v>
      </c>
      <c r="C389" s="19" t="n">
        <v>65.709784</v>
      </c>
      <c r="D389" s="19" t="n">
        <v>65.709784</v>
      </c>
      <c r="E389" s="20" t="n">
        <f aca="false">IF(OR(D389="",D389=0),"",(C389-D389)/D389)</f>
        <v>0</v>
      </c>
      <c r="F389" s="19" t="n">
        <v>20.647018</v>
      </c>
      <c r="G389" s="19" t="n">
        <v>20.647018</v>
      </c>
      <c r="H389" s="20" t="n">
        <f aca="false">IF(OR(G389="",G389=0),"",(F389-G389)/G389)</f>
        <v>0</v>
      </c>
      <c r="I389" s="19" t="n">
        <v>97.145336</v>
      </c>
      <c r="J389" s="19" t="n">
        <v>97.145336</v>
      </c>
      <c r="K389" s="20" t="n">
        <f aca="false">IF(OR(J389="",J389=0),"",(I389-J389)/J389)</f>
        <v>0</v>
      </c>
      <c r="L389" s="21" t="str">
        <f aca="false">IF(OR(D389="",G389="",J389=""),"No reported subtotal",IF(AND(ABS(N(E389))&lt;=$D$2,ABS(N(H389))&lt;=$D$2,ABS(N(K389))&lt;=$D$2),"Reconciles within tolerance","Outside tolerance"))</f>
        <v>Reconciles within tolerance</v>
      </c>
    </row>
    <row r="390" customFormat="false" ht="15" hidden="false" customHeight="false" outlineLevel="0" collapsed="false">
      <c r="A390" s="7" t="n">
        <v>2021</v>
      </c>
      <c r="B390" s="15" t="s">
        <v>144</v>
      </c>
      <c r="C390" s="19" t="n">
        <v>75.812438</v>
      </c>
      <c r="D390" s="19" t="n">
        <v>75.812438</v>
      </c>
      <c r="E390" s="20" t="n">
        <f aca="false">IF(OR(D390="",D390=0),"",(C390-D390)/D390)</f>
        <v>0</v>
      </c>
      <c r="F390" s="19" t="n">
        <v>21.106332</v>
      </c>
      <c r="G390" s="19" t="n">
        <v>21.106332</v>
      </c>
      <c r="H390" s="20" t="n">
        <f aca="false">IF(OR(G390="",G390=0),"",(F390-G390)/G390)</f>
        <v>0</v>
      </c>
      <c r="I390" s="19" t="n">
        <v>187.55047</v>
      </c>
      <c r="J390" s="19" t="n">
        <v>187.550469</v>
      </c>
      <c r="K390" s="20" t="n">
        <f aca="false">IF(OR(J390="",J390=0),"",(I390-J390)/J390)</f>
        <v>5.33189814350847E-009</v>
      </c>
      <c r="L390" s="21" t="str">
        <f aca="false">IF(OR(D390="",G390="",J390=""),"No reported subtotal",IF(AND(ABS(N(E390))&lt;=$D$2,ABS(N(H390))&lt;=$D$2,ABS(N(K390))&lt;=$D$2),"Reconciles within tolerance","Outside tolerance"))</f>
        <v>Reconciles within tolerance</v>
      </c>
    </row>
    <row r="391" customFormat="false" ht="15" hidden="false" customHeight="false" outlineLevel="0" collapsed="false">
      <c r="A391" s="7" t="n">
        <v>2022</v>
      </c>
      <c r="B391" s="15" t="s">
        <v>144</v>
      </c>
      <c r="C391" s="19" t="n">
        <v>93.054174</v>
      </c>
      <c r="D391" s="19" t="n">
        <v>93.054174</v>
      </c>
      <c r="E391" s="20" t="n">
        <f aca="false">IF(OR(D391="",D391=0),"",(C391-D391)/D391)</f>
        <v>0</v>
      </c>
      <c r="F391" s="19" t="n">
        <v>26.804302</v>
      </c>
      <c r="G391" s="19" t="n">
        <v>26.804302</v>
      </c>
      <c r="H391" s="20" t="n">
        <f aca="false">IF(OR(G391="",G391=0),"",(F391-G391)/G391)</f>
        <v>0</v>
      </c>
      <c r="I391" s="19" t="n">
        <v>238.153895</v>
      </c>
      <c r="J391" s="19" t="n">
        <v>238.153896</v>
      </c>
      <c r="K391" s="20" t="n">
        <f aca="false">IF(OR(J391="",J391=0),"",(I391-J391)/J391)</f>
        <v>-4.19896551881411E-009</v>
      </c>
      <c r="L391" s="21" t="str">
        <f aca="false">IF(OR(D391="",G391="",J391=""),"No reported subtotal",IF(AND(ABS(N(E391))&lt;=$D$2,ABS(N(H391))&lt;=$D$2,ABS(N(K391))&lt;=$D$2),"Reconciles within tolerance","Outside tolerance"))</f>
        <v>Reconciles within tolerance</v>
      </c>
    </row>
    <row r="392" customFormat="false" ht="15" hidden="false" customHeight="false" outlineLevel="0" collapsed="false">
      <c r="A392" s="7" t="n">
        <v>2023</v>
      </c>
      <c r="B392" s="15" t="s">
        <v>144</v>
      </c>
      <c r="C392" s="19" t="n">
        <v>89.494827</v>
      </c>
      <c r="D392" s="19" t="n">
        <v>89.494827</v>
      </c>
      <c r="E392" s="20" t="n">
        <f aca="false">IF(OR(D392="",D392=0),"",(C392-D392)/D392)</f>
        <v>0</v>
      </c>
      <c r="F392" s="19" t="n">
        <v>33.095316</v>
      </c>
      <c r="G392" s="19" t="n">
        <v>33.095316</v>
      </c>
      <c r="H392" s="20" t="n">
        <f aca="false">IF(OR(G392="",G392=0),"",(F392-G392)/G392)</f>
        <v>0</v>
      </c>
      <c r="I392" s="19" t="n">
        <v>289.153607</v>
      </c>
      <c r="J392" s="19" t="n">
        <v>289.153606</v>
      </c>
      <c r="K392" s="20" t="n">
        <f aca="false">IF(OR(J392="",J392=0),"",(I392-J392)/J392)</f>
        <v>3.45836945044096E-009</v>
      </c>
      <c r="L392" s="21" t="str">
        <f aca="false">IF(OR(D392="",G392="",J392=""),"No reported subtotal",IF(AND(ABS(N(E392))&lt;=$D$2,ABS(N(H392))&lt;=$D$2,ABS(N(K392))&lt;=$D$2),"Reconciles within tolerance","Outside tolerance"))</f>
        <v>Reconciles within tolerance</v>
      </c>
    </row>
    <row r="393" customFormat="false" ht="15" hidden="false" customHeight="false" outlineLevel="0" collapsed="false">
      <c r="A393" s="7" t="n">
        <v>2024</v>
      </c>
      <c r="B393" s="15" t="s">
        <v>144</v>
      </c>
      <c r="C393" s="19" t="n">
        <v>100.619848</v>
      </c>
      <c r="D393" s="19" t="n">
        <v>100.619848</v>
      </c>
      <c r="E393" s="20" t="n">
        <f aca="false">IF(OR(D393="",D393=0),"",(C393-D393)/D393)</f>
        <v>0</v>
      </c>
      <c r="F393" s="19" t="n">
        <v>49.893648</v>
      </c>
      <c r="G393" s="19" t="n">
        <v>49.893648</v>
      </c>
      <c r="H393" s="20" t="n">
        <f aca="false">IF(OR(G393="",G393=0),"",(F393-G393)/G393)</f>
        <v>0</v>
      </c>
      <c r="I393" s="19" t="n">
        <v>305.680516</v>
      </c>
      <c r="J393" s="19" t="n">
        <v>305.680516</v>
      </c>
      <c r="K393" s="20" t="n">
        <f aca="false">IF(OR(J393="",J393=0),"",(I393-J393)/J393)</f>
        <v>0</v>
      </c>
      <c r="L393" s="21" t="str">
        <f aca="false">IF(OR(D393="",G393="",J393=""),"No reported subtotal",IF(AND(ABS(N(E393))&lt;=$D$2,ABS(N(H393))&lt;=$D$2,ABS(N(K393))&lt;=$D$2),"Reconciles within tolerance","Outside tolerance"))</f>
        <v>Reconciles within tolerance</v>
      </c>
    </row>
    <row r="394" customFormat="false" ht="15" hidden="false" customHeight="false" outlineLevel="0" collapsed="false">
      <c r="A394" s="7" t="n">
        <v>2025</v>
      </c>
      <c r="B394" s="15" t="s">
        <v>144</v>
      </c>
      <c r="C394" s="19" t="n">
        <v>93.312539</v>
      </c>
      <c r="D394" s="19" t="n">
        <v>93.312539</v>
      </c>
      <c r="E394" s="20" t="n">
        <f aca="false">IF(OR(D394="",D394=0),"",(C394-D394)/D394)</f>
        <v>0</v>
      </c>
      <c r="F394" s="19" t="n">
        <v>101.242814</v>
      </c>
      <c r="G394" s="19" t="n">
        <v>101.242814</v>
      </c>
      <c r="H394" s="20" t="n">
        <f aca="false">IF(OR(G394="",G394=0),"",(F394-G394)/G394)</f>
        <v>0</v>
      </c>
      <c r="I394" s="19" t="n">
        <v>310.396701</v>
      </c>
      <c r="J394" s="19" t="n">
        <v>310.396701</v>
      </c>
      <c r="K394" s="20" t="n">
        <f aca="false">IF(OR(J394="",J394=0),"",(I394-J394)/J394)</f>
        <v>0</v>
      </c>
      <c r="L394" s="21" t="str">
        <f aca="false">IF(OR(D394="",G394="",J394=""),"No reported subtotal",IF(AND(ABS(N(E394))&lt;=$D$2,ABS(N(H394))&lt;=$D$2,ABS(N(K394))&lt;=$D$2),"Reconciles within tolerance","Outside tolerance"))</f>
        <v>Reconciles within tolerance</v>
      </c>
    </row>
    <row r="395" customFormat="false" ht="15" hidden="false" customHeight="false" outlineLevel="0" collapsed="false">
      <c r="A395" s="7" t="n">
        <v>2000</v>
      </c>
      <c r="B395" s="15" t="s">
        <v>145</v>
      </c>
      <c r="C395" s="19" t="n">
        <v>30.818884</v>
      </c>
      <c r="D395" s="19" t="n">
        <v>30.818884</v>
      </c>
      <c r="E395" s="20" t="n">
        <f aca="false">IF(OR(D395="",D395=0),"",(C395-D395)/D395)</f>
        <v>0</v>
      </c>
      <c r="F395" s="19" t="n">
        <v>52.584963</v>
      </c>
      <c r="G395" s="19" t="n">
        <v>52.584963</v>
      </c>
      <c r="H395" s="20" t="n">
        <f aca="false">IF(OR(G395="",G395=0),"",(F395-G395)/G395)</f>
        <v>0</v>
      </c>
      <c r="I395" s="19" t="n">
        <v>70.787685</v>
      </c>
      <c r="J395" s="19" t="n">
        <v>70.787685</v>
      </c>
      <c r="K395" s="20" t="n">
        <f aca="false">IF(OR(J395="",J395=0),"",(I395-J395)/J395)</f>
        <v>0</v>
      </c>
      <c r="L395" s="21" t="str">
        <f aca="false">IF(OR(D395="",G395="",J395=""),"No reported subtotal",IF(AND(ABS(N(E395))&lt;=$D$2,ABS(N(H395))&lt;=$D$2,ABS(N(K395))&lt;=$D$2),"Reconciles within tolerance","Outside tolerance"))</f>
        <v>Reconciles within tolerance</v>
      </c>
    </row>
    <row r="396" customFormat="false" ht="15" hidden="false" customHeight="false" outlineLevel="0" collapsed="false">
      <c r="A396" s="7" t="n">
        <v>2001</v>
      </c>
      <c r="B396" s="15" t="s">
        <v>145</v>
      </c>
      <c r="C396" s="19" t="n">
        <v>34.483074</v>
      </c>
      <c r="D396" s="19" t="n">
        <v>34.483074</v>
      </c>
      <c r="E396" s="20" t="n">
        <f aca="false">IF(OR(D396="",D396=0),"",(C396-D396)/D396)</f>
        <v>0</v>
      </c>
      <c r="F396" s="19" t="n">
        <v>53.610594</v>
      </c>
      <c r="G396" s="19" t="n">
        <v>53.610594</v>
      </c>
      <c r="H396" s="20" t="n">
        <f aca="false">IF(OR(G396="",G396=0),"",(F396-G396)/G396)</f>
        <v>0</v>
      </c>
      <c r="I396" s="19" t="n">
        <v>69.892761</v>
      </c>
      <c r="J396" s="19" t="n">
        <v>69.892761</v>
      </c>
      <c r="K396" s="20" t="n">
        <f aca="false">IF(OR(J396="",J396=0),"",(I396-J396)/J396)</f>
        <v>0</v>
      </c>
      <c r="L396" s="21" t="str">
        <f aca="false">IF(OR(D396="",G396="",J396=""),"No reported subtotal",IF(AND(ABS(N(E396))&lt;=$D$2,ABS(N(H396))&lt;=$D$2,ABS(N(K396))&lt;=$D$2),"Reconciles within tolerance","Outside tolerance"))</f>
        <v>Reconciles within tolerance</v>
      </c>
    </row>
    <row r="397" customFormat="false" ht="15" hidden="false" customHeight="false" outlineLevel="0" collapsed="false">
      <c r="A397" s="7" t="n">
        <v>2002</v>
      </c>
      <c r="B397" s="15" t="s">
        <v>145</v>
      </c>
      <c r="C397" s="19" t="n">
        <v>35.60122</v>
      </c>
      <c r="D397" s="19" t="n">
        <v>35.60122</v>
      </c>
      <c r="E397" s="20" t="n">
        <f aca="false">IF(OR(D397="",D397=0),"",(C397-D397)/D397)</f>
        <v>0</v>
      </c>
      <c r="F397" s="19" t="n">
        <v>44.640653</v>
      </c>
      <c r="G397" s="19" t="n">
        <v>44.640653</v>
      </c>
      <c r="H397" s="20" t="n">
        <f aca="false">IF(OR(G397="",G397=0),"",(F397-G397)/G397)</f>
        <v>0</v>
      </c>
      <c r="I397" s="19" t="n">
        <v>74.405493</v>
      </c>
      <c r="J397" s="19" t="n">
        <v>74.405493</v>
      </c>
      <c r="K397" s="20" t="n">
        <f aca="false">IF(OR(J397="",J397=0),"",(I397-J397)/J397)</f>
        <v>0</v>
      </c>
      <c r="L397" s="21" t="str">
        <f aca="false">IF(OR(D397="",G397="",J397=""),"No reported subtotal",IF(AND(ABS(N(E397))&lt;=$D$2,ABS(N(H397))&lt;=$D$2,ABS(N(K397))&lt;=$D$2),"Reconciles within tolerance","Outside tolerance"))</f>
        <v>Reconciles within tolerance</v>
      </c>
    </row>
    <row r="398" customFormat="false" ht="15" hidden="false" customHeight="false" outlineLevel="0" collapsed="false">
      <c r="A398" s="7" t="n">
        <v>2003</v>
      </c>
      <c r="B398" s="15" t="s">
        <v>145</v>
      </c>
      <c r="C398" s="19" t="n">
        <v>30.351056</v>
      </c>
      <c r="D398" s="19" t="n">
        <v>30.351056</v>
      </c>
      <c r="E398" s="20" t="n">
        <f aca="false">IF(OR(D398="",D398=0),"",(C398-D398)/D398)</f>
        <v>0</v>
      </c>
      <c r="F398" s="19" t="n">
        <v>43.18222</v>
      </c>
      <c r="G398" s="19" t="n">
        <v>43.18222</v>
      </c>
      <c r="H398" s="20" t="n">
        <f aca="false">IF(OR(G398="",G398=0),"",(F398-G398)/G398)</f>
        <v>0</v>
      </c>
      <c r="I398" s="19" t="n">
        <v>129.276174</v>
      </c>
      <c r="J398" s="19" t="n">
        <v>129.276174</v>
      </c>
      <c r="K398" s="20" t="n">
        <f aca="false">IF(OR(J398="",J398=0),"",(I398-J398)/J398)</f>
        <v>0</v>
      </c>
      <c r="L398" s="21" t="str">
        <f aca="false">IF(OR(D398="",G398="",J398=""),"No reported subtotal",IF(AND(ABS(N(E398))&lt;=$D$2,ABS(N(H398))&lt;=$D$2,ABS(N(K398))&lt;=$D$2),"Reconciles within tolerance","Outside tolerance"))</f>
        <v>Reconciles within tolerance</v>
      </c>
    </row>
    <row r="399" customFormat="false" ht="15" hidden="false" customHeight="false" outlineLevel="0" collapsed="false">
      <c r="A399" s="7" t="n">
        <v>2004</v>
      </c>
      <c r="B399" s="15" t="s">
        <v>145</v>
      </c>
      <c r="C399" s="19" t="n">
        <v>26.999283</v>
      </c>
      <c r="D399" s="19" t="n">
        <v>26.999283</v>
      </c>
      <c r="E399" s="20" t="n">
        <f aca="false">IF(OR(D399="",D399=0),"",(C399-D399)/D399)</f>
        <v>0</v>
      </c>
      <c r="F399" s="19" t="n">
        <v>42.786184</v>
      </c>
      <c r="G399" s="19" t="n">
        <v>42.786184</v>
      </c>
      <c r="H399" s="20" t="n">
        <f aca="false">IF(OR(G399="",G399=0),"",(F399-G399)/G399)</f>
        <v>0</v>
      </c>
      <c r="I399" s="19" t="n">
        <v>100.776518</v>
      </c>
      <c r="J399" s="19" t="n">
        <v>100.776518</v>
      </c>
      <c r="K399" s="20" t="n">
        <f aca="false">IF(OR(J399="",J399=0),"",(I399-J399)/J399)</f>
        <v>0</v>
      </c>
      <c r="L399" s="21" t="str">
        <f aca="false">IF(OR(D399="",G399="",J399=""),"No reported subtotal",IF(AND(ABS(N(E399))&lt;=$D$2,ABS(N(H399))&lt;=$D$2,ABS(N(K399))&lt;=$D$2),"Reconciles within tolerance","Outside tolerance"))</f>
        <v>Reconciles within tolerance</v>
      </c>
    </row>
    <row r="400" customFormat="false" ht="15" hidden="false" customHeight="false" outlineLevel="0" collapsed="false">
      <c r="A400" s="7" t="n">
        <v>2005</v>
      </c>
      <c r="B400" s="15" t="s">
        <v>145</v>
      </c>
      <c r="C400" s="19" t="n">
        <v>24.831815</v>
      </c>
      <c r="D400" s="19" t="n">
        <v>24.831815</v>
      </c>
      <c r="E400" s="20" t="n">
        <f aca="false">IF(OR(D400="",D400=0),"",(C400-D400)/D400)</f>
        <v>0</v>
      </c>
      <c r="F400" s="19" t="n">
        <v>47.51762</v>
      </c>
      <c r="G400" s="19" t="n">
        <v>47.51762</v>
      </c>
      <c r="H400" s="20" t="n">
        <f aca="false">IF(OR(G400="",G400=0),"",(F400-G400)/G400)</f>
        <v>0</v>
      </c>
      <c r="I400" s="19" t="n">
        <v>96.043313</v>
      </c>
      <c r="J400" s="19" t="n">
        <v>96.043313</v>
      </c>
      <c r="K400" s="20" t="n">
        <f aca="false">IF(OR(J400="",J400=0),"",(I400-J400)/J400)</f>
        <v>0</v>
      </c>
      <c r="L400" s="21" t="str">
        <f aca="false">IF(OR(D400="",G400="",J400=""),"No reported subtotal",IF(AND(ABS(N(E400))&lt;=$D$2,ABS(N(H400))&lt;=$D$2,ABS(N(K400))&lt;=$D$2),"Reconciles within tolerance","Outside tolerance"))</f>
        <v>Reconciles within tolerance</v>
      </c>
    </row>
    <row r="401" customFormat="false" ht="15" hidden="false" customHeight="false" outlineLevel="0" collapsed="false">
      <c r="A401" s="7" t="n">
        <v>2006</v>
      </c>
      <c r="B401" s="15" t="s">
        <v>145</v>
      </c>
      <c r="C401" s="19" t="n">
        <v>22.020338</v>
      </c>
      <c r="D401" s="19" t="n">
        <v>22.020338</v>
      </c>
      <c r="E401" s="20" t="n">
        <f aca="false">IF(OR(D401="",D401=0),"",(C401-D401)/D401)</f>
        <v>0</v>
      </c>
      <c r="F401" s="19" t="n">
        <v>52.564646</v>
      </c>
      <c r="G401" s="19" t="n">
        <v>52.564646</v>
      </c>
      <c r="H401" s="20" t="n">
        <f aca="false">IF(OR(G401="",G401=0),"",(F401-G401)/G401)</f>
        <v>0</v>
      </c>
      <c r="I401" s="19" t="n">
        <v>94.305757</v>
      </c>
      <c r="J401" s="19" t="n">
        <v>94.305757</v>
      </c>
      <c r="K401" s="20" t="n">
        <f aca="false">IF(OR(J401="",J401=0),"",(I401-J401)/J401)</f>
        <v>0</v>
      </c>
      <c r="L401" s="21" t="str">
        <f aca="false">IF(OR(D401="",G401="",J401=""),"No reported subtotal",IF(AND(ABS(N(E401))&lt;=$D$2,ABS(N(H401))&lt;=$D$2,ABS(N(K401))&lt;=$D$2),"Reconciles within tolerance","Outside tolerance"))</f>
        <v>Reconciles within tolerance</v>
      </c>
    </row>
    <row r="402" customFormat="false" ht="15" hidden="false" customHeight="false" outlineLevel="0" collapsed="false">
      <c r="A402" s="7" t="n">
        <v>2007</v>
      </c>
      <c r="B402" s="15" t="s">
        <v>145</v>
      </c>
      <c r="C402" s="19" t="n">
        <v>31.597012</v>
      </c>
      <c r="D402" s="19" t="n">
        <v>31.597012</v>
      </c>
      <c r="E402" s="20" t="n">
        <f aca="false">IF(OR(D402="",D402=0),"",(C402-D402)/D402)</f>
        <v>0</v>
      </c>
      <c r="F402" s="19" t="n">
        <v>49.993173</v>
      </c>
      <c r="G402" s="19" t="n">
        <v>49.993173</v>
      </c>
      <c r="H402" s="20" t="n">
        <f aca="false">IF(OR(G402="",G402=0),"",(F402-G402)/G402)</f>
        <v>0</v>
      </c>
      <c r="I402" s="19" t="n">
        <v>103.733014</v>
      </c>
      <c r="J402" s="19" t="n">
        <v>103.733014</v>
      </c>
      <c r="K402" s="20" t="n">
        <f aca="false">IF(OR(J402="",J402=0),"",(I402-J402)/J402)</f>
        <v>0</v>
      </c>
      <c r="L402" s="21" t="str">
        <f aca="false">IF(OR(D402="",G402="",J402=""),"No reported subtotal",IF(AND(ABS(N(E402))&lt;=$D$2,ABS(N(H402))&lt;=$D$2,ABS(N(K402))&lt;=$D$2),"Reconciles within tolerance","Outside tolerance"))</f>
        <v>Reconciles within tolerance</v>
      </c>
    </row>
    <row r="403" customFormat="false" ht="15" hidden="false" customHeight="false" outlineLevel="0" collapsed="false">
      <c r="A403" s="7" t="n">
        <v>2008</v>
      </c>
      <c r="B403" s="15" t="s">
        <v>145</v>
      </c>
      <c r="C403" s="19" t="n">
        <v>27.689844</v>
      </c>
      <c r="D403" s="19" t="n">
        <v>27.689844</v>
      </c>
      <c r="E403" s="20" t="n">
        <f aca="false">IF(OR(D403="",D403=0),"",(C403-D403)/D403)</f>
        <v>0</v>
      </c>
      <c r="F403" s="19" t="n">
        <v>52.193094</v>
      </c>
      <c r="G403" s="19" t="n">
        <v>52.193094</v>
      </c>
      <c r="H403" s="20" t="n">
        <f aca="false">IF(OR(G403="",G403=0),"",(F403-G403)/G403)</f>
        <v>0</v>
      </c>
      <c r="I403" s="19" t="n">
        <v>114.729825</v>
      </c>
      <c r="J403" s="19" t="n">
        <v>114.729825</v>
      </c>
      <c r="K403" s="20" t="n">
        <f aca="false">IF(OR(J403="",J403=0),"",(I403-J403)/J403)</f>
        <v>0</v>
      </c>
      <c r="L403" s="21" t="str">
        <f aca="false">IF(OR(D403="",G403="",J403=""),"No reported subtotal",IF(AND(ABS(N(E403))&lt;=$D$2,ABS(N(H403))&lt;=$D$2,ABS(N(K403))&lt;=$D$2),"Reconciles within tolerance","Outside tolerance"))</f>
        <v>Reconciles within tolerance</v>
      </c>
    </row>
    <row r="404" customFormat="false" ht="15" hidden="false" customHeight="false" outlineLevel="0" collapsed="false">
      <c r="A404" s="7" t="n">
        <v>2009</v>
      </c>
      <c r="B404" s="15" t="s">
        <v>145</v>
      </c>
      <c r="C404" s="19" t="n">
        <v>23.1003</v>
      </c>
      <c r="D404" s="19" t="n">
        <v>23.1003</v>
      </c>
      <c r="E404" s="20" t="n">
        <f aca="false">IF(OR(D404="",D404=0),"",(C404-D404)/D404)</f>
        <v>0</v>
      </c>
      <c r="F404" s="19" t="n">
        <v>56.517403</v>
      </c>
      <c r="G404" s="19" t="n">
        <v>56.517403</v>
      </c>
      <c r="H404" s="20" t="n">
        <f aca="false">IF(OR(G404="",G404=0),"",(F404-G404)/G404)</f>
        <v>0</v>
      </c>
      <c r="I404" s="19" t="n">
        <v>112.145267</v>
      </c>
      <c r="J404" s="19" t="n">
        <v>112.145267</v>
      </c>
      <c r="K404" s="20" t="n">
        <f aca="false">IF(OR(J404="",J404=0),"",(I404-J404)/J404)</f>
        <v>0</v>
      </c>
      <c r="L404" s="21" t="str">
        <f aca="false">IF(OR(D404="",G404="",J404=""),"No reported subtotal",IF(AND(ABS(N(E404))&lt;=$D$2,ABS(N(H404))&lt;=$D$2,ABS(N(K404))&lt;=$D$2),"Reconciles within tolerance","Outside tolerance"))</f>
        <v>Reconciles within tolerance</v>
      </c>
    </row>
    <row r="405" customFormat="false" ht="15" hidden="false" customHeight="false" outlineLevel="0" collapsed="false">
      <c r="A405" s="7" t="n">
        <v>2010</v>
      </c>
      <c r="B405" s="15" t="s">
        <v>145</v>
      </c>
      <c r="C405" s="19" t="n">
        <v>25.781994</v>
      </c>
      <c r="D405" s="19" t="n">
        <v>25.781994</v>
      </c>
      <c r="E405" s="20" t="n">
        <f aca="false">IF(OR(D405="",D405=0),"",(C405-D405)/D405)</f>
        <v>0</v>
      </c>
      <c r="F405" s="19" t="n">
        <v>63.541197</v>
      </c>
      <c r="G405" s="19" t="n">
        <v>63.541197</v>
      </c>
      <c r="H405" s="20" t="n">
        <f aca="false">IF(OR(G405="",G405=0),"",(F405-G405)/G405)</f>
        <v>0</v>
      </c>
      <c r="I405" s="19" t="n">
        <v>128.761238</v>
      </c>
      <c r="J405" s="19" t="n">
        <v>128.761238</v>
      </c>
      <c r="K405" s="20" t="n">
        <f aca="false">IF(OR(J405="",J405=0),"",(I405-J405)/J405)</f>
        <v>0</v>
      </c>
      <c r="L405" s="21" t="str">
        <f aca="false">IF(OR(D405="",G405="",J405=""),"No reported subtotal",IF(AND(ABS(N(E405))&lt;=$D$2,ABS(N(H405))&lt;=$D$2,ABS(N(K405))&lt;=$D$2),"Reconciles within tolerance","Outside tolerance"))</f>
        <v>Reconciles within tolerance</v>
      </c>
    </row>
    <row r="406" customFormat="false" ht="15" hidden="false" customHeight="false" outlineLevel="0" collapsed="false">
      <c r="A406" s="7" t="n">
        <v>2011</v>
      </c>
      <c r="B406" s="15" t="s">
        <v>145</v>
      </c>
      <c r="C406" s="19" t="n">
        <v>24.408029</v>
      </c>
      <c r="D406" s="19" t="n">
        <v>24.408029</v>
      </c>
      <c r="E406" s="20" t="n">
        <f aca="false">IF(OR(D406="",D406=0),"",(C406-D406)/D406)</f>
        <v>0</v>
      </c>
      <c r="F406" s="19" t="n">
        <v>61.526169</v>
      </c>
      <c r="G406" s="19" t="n">
        <v>61.526169</v>
      </c>
      <c r="H406" s="20" t="n">
        <f aca="false">IF(OR(G406="",G406=0),"",(F406-G406)/G406)</f>
        <v>0</v>
      </c>
      <c r="I406" s="19" t="n">
        <v>137.326799</v>
      </c>
      <c r="J406" s="19" t="n">
        <v>137.326799</v>
      </c>
      <c r="K406" s="20" t="n">
        <f aca="false">IF(OR(J406="",J406=0),"",(I406-J406)/J406)</f>
        <v>0</v>
      </c>
      <c r="L406" s="21" t="str">
        <f aca="false">IF(OR(D406="",G406="",J406=""),"No reported subtotal",IF(AND(ABS(N(E406))&lt;=$D$2,ABS(N(H406))&lt;=$D$2,ABS(N(K406))&lt;=$D$2),"Reconciles within tolerance","Outside tolerance"))</f>
        <v>Reconciles within tolerance</v>
      </c>
    </row>
    <row r="407" customFormat="false" ht="15" hidden="false" customHeight="false" outlineLevel="0" collapsed="false">
      <c r="A407" s="7" t="n">
        <v>2012</v>
      </c>
      <c r="B407" s="15" t="s">
        <v>145</v>
      </c>
      <c r="C407" s="19" t="n">
        <v>27.432685</v>
      </c>
      <c r="D407" s="19" t="n">
        <v>27.432685</v>
      </c>
      <c r="E407" s="20" t="n">
        <f aca="false">IF(OR(D407="",D407=0),"",(C407-D407)/D407)</f>
        <v>0</v>
      </c>
      <c r="F407" s="19" t="n">
        <v>64.924757</v>
      </c>
      <c r="G407" s="19" t="n">
        <v>64.924757</v>
      </c>
      <c r="H407" s="20" t="n">
        <f aca="false">IF(OR(G407="",G407=0),"",(F407-G407)/G407)</f>
        <v>0</v>
      </c>
      <c r="I407" s="19" t="n">
        <v>148.103825</v>
      </c>
      <c r="J407" s="19" t="n">
        <v>148.103825</v>
      </c>
      <c r="K407" s="20" t="n">
        <f aca="false">IF(OR(J407="",J407=0),"",(I407-J407)/J407)</f>
        <v>0</v>
      </c>
      <c r="L407" s="21" t="str">
        <f aca="false">IF(OR(D407="",G407="",J407=""),"No reported subtotal",IF(AND(ABS(N(E407))&lt;=$D$2,ABS(N(H407))&lt;=$D$2,ABS(N(K407))&lt;=$D$2),"Reconciles within tolerance","Outside tolerance"))</f>
        <v>Reconciles within tolerance</v>
      </c>
    </row>
    <row r="408" customFormat="false" ht="15" hidden="false" customHeight="false" outlineLevel="0" collapsed="false">
      <c r="A408" s="7" t="n">
        <v>2013</v>
      </c>
      <c r="B408" s="15" t="s">
        <v>145</v>
      </c>
      <c r="C408" s="19" t="n">
        <v>32.277331</v>
      </c>
      <c r="D408" s="19" t="n">
        <v>32.277331</v>
      </c>
      <c r="E408" s="20" t="n">
        <f aca="false">IF(OR(D408="",D408=0),"",(C408-D408)/D408)</f>
        <v>0</v>
      </c>
      <c r="F408" s="19" t="n">
        <v>61.510517</v>
      </c>
      <c r="G408" s="19" t="n">
        <v>61.510517</v>
      </c>
      <c r="H408" s="20" t="n">
        <f aca="false">IF(OR(G408="",G408=0),"",(F408-G408)/G408)</f>
        <v>0</v>
      </c>
      <c r="I408" s="19" t="n">
        <v>126.319995</v>
      </c>
      <c r="J408" s="19" t="n">
        <v>126.319995</v>
      </c>
      <c r="K408" s="20" t="n">
        <f aca="false">IF(OR(J408="",J408=0),"",(I408-J408)/J408)</f>
        <v>0</v>
      </c>
      <c r="L408" s="21" t="str">
        <f aca="false">IF(OR(D408="",G408="",J408=""),"No reported subtotal",IF(AND(ABS(N(E408))&lt;=$D$2,ABS(N(H408))&lt;=$D$2,ABS(N(K408))&lt;=$D$2),"Reconciles within tolerance","Outside tolerance"))</f>
        <v>Reconciles within tolerance</v>
      </c>
    </row>
    <row r="409" customFormat="false" ht="15" hidden="false" customHeight="false" outlineLevel="0" collapsed="false">
      <c r="A409" s="7" t="n">
        <v>2014</v>
      </c>
      <c r="B409" s="15" t="s">
        <v>145</v>
      </c>
      <c r="C409" s="19" t="n">
        <v>33.406898</v>
      </c>
      <c r="D409" s="19" t="n">
        <v>33.406898</v>
      </c>
      <c r="E409" s="20" t="n">
        <f aca="false">IF(OR(D409="",D409=0),"",(C409-D409)/D409)</f>
        <v>0</v>
      </c>
      <c r="F409" s="19" t="n">
        <v>65.220141</v>
      </c>
      <c r="G409" s="19" t="n">
        <v>65.220141</v>
      </c>
      <c r="H409" s="20" t="n">
        <f aca="false">IF(OR(G409="",G409=0),"",(F409-G409)/G409)</f>
        <v>0</v>
      </c>
      <c r="I409" s="19" t="n">
        <v>182.040773</v>
      </c>
      <c r="J409" s="19" t="n">
        <v>182.040773</v>
      </c>
      <c r="K409" s="20" t="n">
        <f aca="false">IF(OR(J409="",J409=0),"",(I409-J409)/J409)</f>
        <v>0</v>
      </c>
      <c r="L409" s="21" t="str">
        <f aca="false">IF(OR(D409="",G409="",J409=""),"No reported subtotal",IF(AND(ABS(N(E409))&lt;=$D$2,ABS(N(H409))&lt;=$D$2,ABS(N(K409))&lt;=$D$2),"Reconciles within tolerance","Outside tolerance"))</f>
        <v>Reconciles within tolerance</v>
      </c>
    </row>
    <row r="410" customFormat="false" ht="15" hidden="false" customHeight="false" outlineLevel="0" collapsed="false">
      <c r="A410" s="7" t="n">
        <v>2015</v>
      </c>
      <c r="B410" s="15" t="s">
        <v>145</v>
      </c>
      <c r="C410" s="19" t="n">
        <v>34.04316</v>
      </c>
      <c r="D410" s="19" t="n">
        <v>34.04316</v>
      </c>
      <c r="E410" s="20" t="n">
        <f aca="false">IF(OR(D410="",D410=0),"",(C410-D410)/D410)</f>
        <v>0</v>
      </c>
      <c r="F410" s="19" t="n">
        <v>66.597038</v>
      </c>
      <c r="G410" s="19" t="n">
        <v>66.597038</v>
      </c>
      <c r="H410" s="20" t="n">
        <f aca="false">IF(OR(G410="",G410=0),"",(F410-G410)/G410)</f>
        <v>0</v>
      </c>
      <c r="I410" s="19" t="n">
        <v>171.109951</v>
      </c>
      <c r="J410" s="19" t="n">
        <v>171.109951</v>
      </c>
      <c r="K410" s="20" t="n">
        <f aca="false">IF(OR(J410="",J410=0),"",(I410-J410)/J410)</f>
        <v>0</v>
      </c>
      <c r="L410" s="21" t="str">
        <f aca="false">IF(OR(D410="",G410="",J410=""),"No reported subtotal",IF(AND(ABS(N(E410))&lt;=$D$2,ABS(N(H410))&lt;=$D$2,ABS(N(K410))&lt;=$D$2),"Reconciles within tolerance","Outside tolerance"))</f>
        <v>Reconciles within tolerance</v>
      </c>
    </row>
    <row r="411" customFormat="false" ht="15" hidden="false" customHeight="false" outlineLevel="0" collapsed="false">
      <c r="A411" s="7" t="n">
        <v>2016</v>
      </c>
      <c r="B411" s="15" t="s">
        <v>145</v>
      </c>
      <c r="C411" s="19" t="n">
        <v>29.928096</v>
      </c>
      <c r="D411" s="19" t="n">
        <v>29.928096</v>
      </c>
      <c r="E411" s="20" t="n">
        <f aca="false">IF(OR(D411="",D411=0),"",(C411-D411)/D411)</f>
        <v>0</v>
      </c>
      <c r="F411" s="19" t="n">
        <v>72.597082</v>
      </c>
      <c r="G411" s="19" t="n">
        <v>72.597082</v>
      </c>
      <c r="H411" s="20" t="n">
        <f aca="false">IF(OR(G411="",G411=0),"",(F411-G411)/G411)</f>
        <v>0</v>
      </c>
      <c r="I411" s="19" t="n">
        <v>173.458767</v>
      </c>
      <c r="J411" s="19" t="n">
        <v>173.458767</v>
      </c>
      <c r="K411" s="20" t="n">
        <f aca="false">IF(OR(J411="",J411=0),"",(I411-J411)/J411)</f>
        <v>0</v>
      </c>
      <c r="L411" s="21" t="str">
        <f aca="false">IF(OR(D411="",G411="",J411=""),"No reported subtotal",IF(AND(ABS(N(E411))&lt;=$D$2,ABS(N(H411))&lt;=$D$2,ABS(N(K411))&lt;=$D$2),"Reconciles within tolerance","Outside tolerance"))</f>
        <v>Reconciles within tolerance</v>
      </c>
    </row>
    <row r="412" customFormat="false" ht="15" hidden="false" customHeight="false" outlineLevel="0" collapsed="false">
      <c r="A412" s="7" t="n">
        <v>2017</v>
      </c>
      <c r="B412" s="15" t="s">
        <v>145</v>
      </c>
      <c r="C412" s="19" t="n">
        <v>34.378741</v>
      </c>
      <c r="D412" s="19" t="n">
        <v>34.378741</v>
      </c>
      <c r="E412" s="20" t="n">
        <f aca="false">IF(OR(D412="",D412=0),"",(C412-D412)/D412)</f>
        <v>0</v>
      </c>
      <c r="F412" s="19" t="n">
        <v>67.29634</v>
      </c>
      <c r="G412" s="19" t="n">
        <v>67.29634</v>
      </c>
      <c r="H412" s="20" t="n">
        <f aca="false">IF(OR(G412="",G412=0),"",(F412-G412)/G412)</f>
        <v>0</v>
      </c>
      <c r="I412" s="19" t="n">
        <v>259.309161</v>
      </c>
      <c r="J412" s="19" t="n">
        <v>259.309161</v>
      </c>
      <c r="K412" s="20" t="n">
        <f aca="false">IF(OR(J412="",J412=0),"",(I412-J412)/J412)</f>
        <v>0</v>
      </c>
      <c r="L412" s="21" t="str">
        <f aca="false">IF(OR(D412="",G412="",J412=""),"No reported subtotal",IF(AND(ABS(N(E412))&lt;=$D$2,ABS(N(H412))&lt;=$D$2,ABS(N(K412))&lt;=$D$2),"Reconciles within tolerance","Outside tolerance"))</f>
        <v>Reconciles within tolerance</v>
      </c>
    </row>
    <row r="413" customFormat="false" ht="15" hidden="false" customHeight="false" outlineLevel="0" collapsed="false">
      <c r="A413" s="7" t="n">
        <v>2018</v>
      </c>
      <c r="B413" s="15" t="s">
        <v>145</v>
      </c>
      <c r="C413" s="19" t="n">
        <v>33.813371</v>
      </c>
      <c r="D413" s="19" t="n">
        <v>33.813371</v>
      </c>
      <c r="E413" s="20" t="n">
        <f aca="false">IF(OR(D413="",D413=0),"",(C413-D413)/D413)</f>
        <v>0</v>
      </c>
      <c r="F413" s="19" t="n">
        <v>63.840991</v>
      </c>
      <c r="G413" s="19" t="n">
        <v>63.840991</v>
      </c>
      <c r="H413" s="20" t="n">
        <f aca="false">IF(OR(G413="",G413=0),"",(F413-G413)/G413)</f>
        <v>0</v>
      </c>
      <c r="I413" s="19" t="n">
        <v>260.772175</v>
      </c>
      <c r="J413" s="19" t="n">
        <v>260.772175</v>
      </c>
      <c r="K413" s="20" t="n">
        <f aca="false">IF(OR(J413="",J413=0),"",(I413-J413)/J413)</f>
        <v>0</v>
      </c>
      <c r="L413" s="21" t="str">
        <f aca="false">IF(OR(D413="",G413="",J413=""),"No reported subtotal",IF(AND(ABS(N(E413))&lt;=$D$2,ABS(N(H413))&lt;=$D$2,ABS(N(K413))&lt;=$D$2),"Reconciles within tolerance","Outside tolerance"))</f>
        <v>Reconciles within tolerance</v>
      </c>
    </row>
    <row r="414" customFormat="false" ht="15" hidden="false" customHeight="false" outlineLevel="0" collapsed="false">
      <c r="A414" s="7" t="n">
        <v>2019</v>
      </c>
      <c r="B414" s="15" t="s">
        <v>145</v>
      </c>
      <c r="C414" s="19" t="n">
        <v>32.760098</v>
      </c>
      <c r="D414" s="19" t="n">
        <v>32.760098</v>
      </c>
      <c r="E414" s="20" t="n">
        <f aca="false">IF(OR(D414="",D414=0),"",(C414-D414)/D414)</f>
        <v>0</v>
      </c>
      <c r="F414" s="19" t="n">
        <v>68.259267</v>
      </c>
      <c r="G414" s="19" t="n">
        <v>68.259267</v>
      </c>
      <c r="H414" s="20" t="n">
        <f aca="false">IF(OR(G414="",G414=0),"",(F414-G414)/G414)</f>
        <v>0</v>
      </c>
      <c r="I414" s="19" t="n">
        <v>224.341207</v>
      </c>
      <c r="J414" s="19" t="n">
        <v>224.341207</v>
      </c>
      <c r="K414" s="20" t="n">
        <f aca="false">IF(OR(J414="",J414=0),"",(I414-J414)/J414)</f>
        <v>0</v>
      </c>
      <c r="L414" s="21" t="str">
        <f aca="false">IF(OR(D414="",G414="",J414=""),"No reported subtotal",IF(AND(ABS(N(E414))&lt;=$D$2,ABS(N(H414))&lt;=$D$2,ABS(N(K414))&lt;=$D$2),"Reconciles within tolerance","Outside tolerance"))</f>
        <v>Reconciles within tolerance</v>
      </c>
    </row>
    <row r="415" customFormat="false" ht="15" hidden="false" customHeight="false" outlineLevel="0" collapsed="false">
      <c r="A415" s="7" t="n">
        <v>2020</v>
      </c>
      <c r="B415" s="15" t="s">
        <v>145</v>
      </c>
      <c r="C415" s="19" t="n">
        <v>29.194938</v>
      </c>
      <c r="D415" s="19" t="n">
        <v>29.194938</v>
      </c>
      <c r="E415" s="20" t="n">
        <f aca="false">IF(OR(D415="",D415=0),"",(C415-D415)/D415)</f>
        <v>0</v>
      </c>
      <c r="F415" s="19" t="n">
        <v>79.157973</v>
      </c>
      <c r="G415" s="19" t="n">
        <v>79.157973</v>
      </c>
      <c r="H415" s="20" t="n">
        <f aca="false">IF(OR(G415="",G415=0),"",(F415-G415)/G415)</f>
        <v>0</v>
      </c>
      <c r="I415" s="19" t="n">
        <v>337.35711</v>
      </c>
      <c r="J415" s="19" t="n">
        <v>337.35711</v>
      </c>
      <c r="K415" s="20" t="n">
        <f aca="false">IF(OR(J415="",J415=0),"",(I415-J415)/J415)</f>
        <v>0</v>
      </c>
      <c r="L415" s="21" t="str">
        <f aca="false">IF(OR(D415="",G415="",J415=""),"No reported subtotal",IF(AND(ABS(N(E415))&lt;=$D$2,ABS(N(H415))&lt;=$D$2,ABS(N(K415))&lt;=$D$2),"Reconciles within tolerance","Outside tolerance"))</f>
        <v>Reconciles within tolerance</v>
      </c>
    </row>
    <row r="416" customFormat="false" ht="15" hidden="false" customHeight="false" outlineLevel="0" collapsed="false">
      <c r="A416" s="7" t="n">
        <v>2021</v>
      </c>
      <c r="B416" s="15" t="s">
        <v>145</v>
      </c>
      <c r="C416" s="19" t="n">
        <v>34.373076</v>
      </c>
      <c r="D416" s="19" t="n">
        <v>34.373076</v>
      </c>
      <c r="E416" s="20" t="n">
        <f aca="false">IF(OR(D416="",D416=0),"",(C416-D416)/D416)</f>
        <v>0</v>
      </c>
      <c r="F416" s="19" t="n">
        <v>40.179746</v>
      </c>
      <c r="G416" s="19" t="n">
        <v>40.179745</v>
      </c>
      <c r="H416" s="20" t="n">
        <f aca="false">IF(OR(G416="",G416=0),"",(F416-G416)/G416)</f>
        <v>2.48881620473368E-008</v>
      </c>
      <c r="I416" s="19" t="n">
        <v>211.536362</v>
      </c>
      <c r="J416" s="19" t="n">
        <v>211.536362</v>
      </c>
      <c r="K416" s="20" t="n">
        <f aca="false">IF(OR(J416="",J416=0),"",(I416-J416)/J416)</f>
        <v>0</v>
      </c>
      <c r="L416" s="21" t="str">
        <f aca="false">IF(OR(D416="",G416="",J416=""),"No reported subtotal",IF(AND(ABS(N(E416))&lt;=$D$2,ABS(N(H416))&lt;=$D$2,ABS(N(K416))&lt;=$D$2),"Reconciles within tolerance","Outside tolerance"))</f>
        <v>Reconciles within tolerance</v>
      </c>
    </row>
    <row r="417" customFormat="false" ht="15" hidden="false" customHeight="false" outlineLevel="0" collapsed="false">
      <c r="A417" s="7" t="n">
        <v>2022</v>
      </c>
      <c r="B417" s="15" t="s">
        <v>145</v>
      </c>
      <c r="C417" s="19" t="n">
        <v>40.310007</v>
      </c>
      <c r="D417" s="19" t="n">
        <v>40.310007</v>
      </c>
      <c r="E417" s="20" t="n">
        <f aca="false">IF(OR(D417="",D417=0),"",(C417-D417)/D417)</f>
        <v>0</v>
      </c>
      <c r="F417" s="19" t="n">
        <v>39.644203</v>
      </c>
      <c r="G417" s="19" t="n">
        <v>39.644202</v>
      </c>
      <c r="H417" s="20" t="n">
        <f aca="false">IF(OR(G417="",G417=0),"",(F417-G417)/G417)</f>
        <v>2.52243694418478E-008</v>
      </c>
      <c r="I417" s="19" t="n">
        <v>248.421693</v>
      </c>
      <c r="J417" s="19" t="n">
        <v>248.421693</v>
      </c>
      <c r="K417" s="20" t="n">
        <f aca="false">IF(OR(J417="",J417=0),"",(I417-J417)/J417)</f>
        <v>0</v>
      </c>
      <c r="L417" s="21" t="str">
        <f aca="false">IF(OR(D417="",G417="",J417=""),"No reported subtotal",IF(AND(ABS(N(E417))&lt;=$D$2,ABS(N(H417))&lt;=$D$2,ABS(N(K417))&lt;=$D$2),"Reconciles within tolerance","Outside tolerance"))</f>
        <v>Reconciles within tolerance</v>
      </c>
    </row>
    <row r="418" customFormat="false" ht="15" hidden="false" customHeight="false" outlineLevel="0" collapsed="false">
      <c r="A418" s="7" t="n">
        <v>2023</v>
      </c>
      <c r="B418" s="15" t="s">
        <v>145</v>
      </c>
      <c r="C418" s="19" t="n">
        <v>40.997225</v>
      </c>
      <c r="D418" s="19" t="n">
        <v>40.997225</v>
      </c>
      <c r="E418" s="20" t="n">
        <f aca="false">IF(OR(D418="",D418=0),"",(C418-D418)/D418)</f>
        <v>0</v>
      </c>
      <c r="F418" s="19" t="n">
        <v>43.261688</v>
      </c>
      <c r="G418" s="19" t="n">
        <v>43.261688</v>
      </c>
      <c r="H418" s="20" t="n">
        <f aca="false">IF(OR(G418="",G418=0),"",(F418-G418)/G418)</f>
        <v>0</v>
      </c>
      <c r="I418" s="19" t="n">
        <v>234.895064</v>
      </c>
      <c r="J418" s="19" t="n">
        <v>234.895064</v>
      </c>
      <c r="K418" s="20" t="n">
        <f aca="false">IF(OR(J418="",J418=0),"",(I418-J418)/J418)</f>
        <v>0</v>
      </c>
      <c r="L418" s="21" t="str">
        <f aca="false">IF(OR(D418="",G418="",J418=""),"No reported subtotal",IF(AND(ABS(N(E418))&lt;=$D$2,ABS(N(H418))&lt;=$D$2,ABS(N(K418))&lt;=$D$2),"Reconciles within tolerance","Outside tolerance"))</f>
        <v>Reconciles within tolerance</v>
      </c>
    </row>
    <row r="419" customFormat="false" ht="15" hidden="false" customHeight="false" outlineLevel="0" collapsed="false">
      <c r="A419" s="7" t="n">
        <v>2024</v>
      </c>
      <c r="B419" s="15" t="s">
        <v>145</v>
      </c>
      <c r="C419" s="19" t="n">
        <v>50.730087</v>
      </c>
      <c r="D419" s="19" t="n">
        <v>50.730085</v>
      </c>
      <c r="E419" s="20" t="n">
        <f aca="false">IF(OR(D419="",D419=0),"",(C419-D419)/D419)</f>
        <v>3.94243375494144E-008</v>
      </c>
      <c r="F419" s="19" t="n">
        <v>31.340538</v>
      </c>
      <c r="G419" s="19" t="n">
        <v>31.340539</v>
      </c>
      <c r="H419" s="20" t="n">
        <f aca="false">IF(OR(G419="",G419=0),"",(F419-G419)/G419)</f>
        <v>-3.19075559302907E-008</v>
      </c>
      <c r="I419" s="19" t="n">
        <v>302.781312</v>
      </c>
      <c r="J419" s="19" t="n">
        <v>302.781311</v>
      </c>
      <c r="K419" s="20" t="n">
        <f aca="false">IF(OR(J419="",J419=0),"",(I419-J419)/J419)</f>
        <v>3.30271374469094E-009</v>
      </c>
      <c r="L419" s="21" t="str">
        <f aca="false">IF(OR(D419="",G419="",J419=""),"No reported subtotal",IF(AND(ABS(N(E419))&lt;=$D$2,ABS(N(H419))&lt;=$D$2,ABS(N(K419))&lt;=$D$2),"Reconciles within tolerance","Outside tolerance"))</f>
        <v>Reconciles within tolerance</v>
      </c>
    </row>
    <row r="420" customFormat="false" ht="15" hidden="false" customHeight="false" outlineLevel="0" collapsed="false">
      <c r="A420" s="7" t="n">
        <v>2025</v>
      </c>
      <c r="B420" s="15" t="s">
        <v>145</v>
      </c>
      <c r="C420" s="19" t="n">
        <v>39.26638</v>
      </c>
      <c r="D420" s="19" t="n">
        <v>39.266381</v>
      </c>
      <c r="E420" s="20" t="n">
        <f aca="false">IF(OR(D420="",D420=0),"",(C420-D420)/D420)</f>
        <v>-2.54670784297812E-008</v>
      </c>
      <c r="F420" s="19" t="n">
        <v>52.907075</v>
      </c>
      <c r="G420" s="19" t="n">
        <v>52.907074</v>
      </c>
      <c r="H420" s="20" t="n">
        <f aca="false">IF(OR(G420="",G420=0),"",(F420-G420)/G420)</f>
        <v>1.89010641086529E-008</v>
      </c>
      <c r="I420" s="19" t="n">
        <v>372.726234</v>
      </c>
      <c r="J420" s="19" t="n">
        <v>372.726235</v>
      </c>
      <c r="K420" s="20" t="n">
        <f aca="false">IF(OR(J420="",J420=0),"",(I420-J420)/J420)</f>
        <v>-2.68293429217625E-009</v>
      </c>
      <c r="L420" s="21" t="str">
        <f aca="false">IF(OR(D420="",G420="",J420=""),"No reported subtotal",IF(AND(ABS(N(E420))&lt;=$D$2,ABS(N(H420))&lt;=$D$2,ABS(N(K420))&lt;=$D$2),"Reconciles within tolerance","Outside tolerance"))</f>
        <v>Reconciles within tolerance</v>
      </c>
    </row>
    <row r="421" customFormat="false" ht="15" hidden="false" customHeight="false" outlineLevel="0" collapsed="false">
      <c r="A421" s="7" t="n">
        <v>2000</v>
      </c>
      <c r="B421" s="15" t="s">
        <v>104</v>
      </c>
      <c r="C421" s="19" t="n">
        <v>102.354684</v>
      </c>
      <c r="D421" s="19" t="n">
        <v>102.354684</v>
      </c>
      <c r="E421" s="20" t="n">
        <f aca="false">IF(OR(D421="",D421=0),"",(C421-D421)/D421)</f>
        <v>0</v>
      </c>
      <c r="F421" s="19" t="n">
        <v>97.350554</v>
      </c>
      <c r="G421" s="19" t="n">
        <v>97.350554</v>
      </c>
      <c r="H421" s="20" t="n">
        <f aca="false">IF(OR(G421="",G421=0),"",(F421-G421)/G421)</f>
        <v>0</v>
      </c>
      <c r="I421" s="19" t="n">
        <v>107.608118</v>
      </c>
      <c r="J421" s="19" t="n">
        <v>107.608118</v>
      </c>
      <c r="K421" s="20" t="n">
        <f aca="false">IF(OR(J421="",J421=0),"",(I421-J421)/J421)</f>
        <v>0</v>
      </c>
      <c r="L421" s="21" t="str">
        <f aca="false">IF(OR(D421="",G421="",J421=""),"No reported subtotal",IF(AND(ABS(N(E421))&lt;=$D$2,ABS(N(H421))&lt;=$D$2,ABS(N(K421))&lt;=$D$2),"Reconciles within tolerance","Outside tolerance"))</f>
        <v>Reconciles within tolerance</v>
      </c>
    </row>
    <row r="422" customFormat="false" ht="15" hidden="false" customHeight="false" outlineLevel="0" collapsed="false">
      <c r="A422" s="7" t="n">
        <v>2001</v>
      </c>
      <c r="B422" s="15" t="s">
        <v>104</v>
      </c>
      <c r="C422" s="19" t="n">
        <v>108.176771</v>
      </c>
      <c r="D422" s="19" t="n">
        <v>108.176771</v>
      </c>
      <c r="E422" s="20" t="n">
        <f aca="false">IF(OR(D422="",D422=0),"",(C422-D422)/D422)</f>
        <v>0</v>
      </c>
      <c r="F422" s="19" t="n">
        <v>75.218281</v>
      </c>
      <c r="G422" s="19" t="n">
        <v>75.218281</v>
      </c>
      <c r="H422" s="20" t="n">
        <f aca="false">IF(OR(G422="",G422=0),"",(F422-G422)/G422)</f>
        <v>0</v>
      </c>
      <c r="I422" s="19" t="n">
        <v>127.163475</v>
      </c>
      <c r="J422" s="19" t="n">
        <v>127.163475</v>
      </c>
      <c r="K422" s="20" t="n">
        <f aca="false">IF(OR(J422="",J422=0),"",(I422-J422)/J422)</f>
        <v>0</v>
      </c>
      <c r="L422" s="21" t="str">
        <f aca="false">IF(OR(D422="",G422="",J422=""),"No reported subtotal",IF(AND(ABS(N(E422))&lt;=$D$2,ABS(N(H422))&lt;=$D$2,ABS(N(K422))&lt;=$D$2),"Reconciles within tolerance","Outside tolerance"))</f>
        <v>Reconciles within tolerance</v>
      </c>
    </row>
    <row r="423" customFormat="false" ht="15" hidden="false" customHeight="false" outlineLevel="0" collapsed="false">
      <c r="A423" s="7" t="n">
        <v>2002</v>
      </c>
      <c r="B423" s="15" t="s">
        <v>104</v>
      </c>
      <c r="C423" s="19" t="n">
        <v>91.692371</v>
      </c>
      <c r="D423" s="19" t="n">
        <v>91.692371</v>
      </c>
      <c r="E423" s="20" t="n">
        <f aca="false">IF(OR(D423="",D423=0),"",(C423-D423)/D423)</f>
        <v>0</v>
      </c>
      <c r="F423" s="19" t="n">
        <v>72.891725</v>
      </c>
      <c r="G423" s="19" t="n">
        <v>72.891725</v>
      </c>
      <c r="H423" s="20" t="n">
        <f aca="false">IF(OR(G423="",G423=0),"",(F423-G423)/G423)</f>
        <v>0</v>
      </c>
      <c r="I423" s="19" t="n">
        <v>108.672184</v>
      </c>
      <c r="J423" s="19" t="n">
        <v>108.672184</v>
      </c>
      <c r="K423" s="20" t="n">
        <f aca="false">IF(OR(J423="",J423=0),"",(I423-J423)/J423)</f>
        <v>0</v>
      </c>
      <c r="L423" s="21" t="str">
        <f aca="false">IF(OR(D423="",G423="",J423=""),"No reported subtotal",IF(AND(ABS(N(E423))&lt;=$D$2,ABS(N(H423))&lt;=$D$2,ABS(N(K423))&lt;=$D$2),"Reconciles within tolerance","Outside tolerance"))</f>
        <v>Reconciles within tolerance</v>
      </c>
    </row>
    <row r="424" customFormat="false" ht="15" hidden="false" customHeight="false" outlineLevel="0" collapsed="false">
      <c r="A424" s="7" t="n">
        <v>2003</v>
      </c>
      <c r="B424" s="15" t="s">
        <v>104</v>
      </c>
      <c r="C424" s="19" t="n">
        <v>144.983471</v>
      </c>
      <c r="D424" s="19" t="n">
        <v>144.983471</v>
      </c>
      <c r="E424" s="20" t="n">
        <f aca="false">IF(OR(D424="",D424=0),"",(C424-D424)/D424)</f>
        <v>0</v>
      </c>
      <c r="F424" s="19" t="n">
        <v>88.798045</v>
      </c>
      <c r="G424" s="19" t="n">
        <v>88.798045</v>
      </c>
      <c r="H424" s="20" t="n">
        <f aca="false">IF(OR(G424="",G424=0),"",(F424-G424)/G424)</f>
        <v>0</v>
      </c>
      <c r="I424" s="19" t="n">
        <v>86.208935</v>
      </c>
      <c r="J424" s="19" t="n">
        <v>86.208935</v>
      </c>
      <c r="K424" s="20" t="n">
        <f aca="false">IF(OR(J424="",J424=0),"",(I424-J424)/J424)</f>
        <v>0</v>
      </c>
      <c r="L424" s="21" t="str">
        <f aca="false">IF(OR(D424="",G424="",J424=""),"No reported subtotal",IF(AND(ABS(N(E424))&lt;=$D$2,ABS(N(H424))&lt;=$D$2,ABS(N(K424))&lt;=$D$2),"Reconciles within tolerance","Outside tolerance"))</f>
        <v>Reconciles within tolerance</v>
      </c>
    </row>
    <row r="425" customFormat="false" ht="15" hidden="false" customHeight="false" outlineLevel="0" collapsed="false">
      <c r="A425" s="7" t="n">
        <v>2004</v>
      </c>
      <c r="B425" s="15" t="s">
        <v>104</v>
      </c>
      <c r="C425" s="19" t="n">
        <v>114.992616</v>
      </c>
      <c r="D425" s="19" t="n">
        <v>114.992616</v>
      </c>
      <c r="E425" s="20" t="n">
        <f aca="false">IF(OR(D425="",D425=0),"",(C425-D425)/D425)</f>
        <v>0</v>
      </c>
      <c r="F425" s="19" t="n">
        <v>114.635347</v>
      </c>
      <c r="G425" s="19" t="n">
        <v>114.635347</v>
      </c>
      <c r="H425" s="20" t="n">
        <f aca="false">IF(OR(G425="",G425=0),"",(F425-G425)/G425)</f>
        <v>0</v>
      </c>
      <c r="I425" s="19" t="n">
        <v>116.516179</v>
      </c>
      <c r="J425" s="19" t="n">
        <v>116.516179</v>
      </c>
      <c r="K425" s="20" t="n">
        <f aca="false">IF(OR(J425="",J425=0),"",(I425-J425)/J425)</f>
        <v>0</v>
      </c>
      <c r="L425" s="21" t="str">
        <f aca="false">IF(OR(D425="",G425="",J425=""),"No reported subtotal",IF(AND(ABS(N(E425))&lt;=$D$2,ABS(N(H425))&lt;=$D$2,ABS(N(K425))&lt;=$D$2),"Reconciles within tolerance","Outside tolerance"))</f>
        <v>Reconciles within tolerance</v>
      </c>
    </row>
    <row r="426" customFormat="false" ht="15" hidden="false" customHeight="false" outlineLevel="0" collapsed="false">
      <c r="A426" s="7" t="n">
        <v>2005</v>
      </c>
      <c r="B426" s="15" t="s">
        <v>104</v>
      </c>
      <c r="C426" s="19" t="n">
        <v>118.096604</v>
      </c>
      <c r="D426" s="19" t="n">
        <v>118.096604</v>
      </c>
      <c r="E426" s="20" t="n">
        <f aca="false">IF(OR(D426="",D426=0),"",(C426-D426)/D426)</f>
        <v>0</v>
      </c>
      <c r="F426" s="19" t="n">
        <v>124.250735</v>
      </c>
      <c r="G426" s="19" t="n">
        <v>124.250735</v>
      </c>
      <c r="H426" s="20" t="n">
        <f aca="false">IF(OR(G426="",G426=0),"",(F426-G426)/G426)</f>
        <v>0</v>
      </c>
      <c r="I426" s="19" t="n">
        <v>148.924425</v>
      </c>
      <c r="J426" s="19" t="n">
        <v>148.924425</v>
      </c>
      <c r="K426" s="20" t="n">
        <f aca="false">IF(OR(J426="",J426=0),"",(I426-J426)/J426)</f>
        <v>0</v>
      </c>
      <c r="L426" s="21" t="str">
        <f aca="false">IF(OR(D426="",G426="",J426=""),"No reported subtotal",IF(AND(ABS(N(E426))&lt;=$D$2,ABS(N(H426))&lt;=$D$2,ABS(N(K426))&lt;=$D$2),"Reconciles within tolerance","Outside tolerance"))</f>
        <v>Reconciles within tolerance</v>
      </c>
    </row>
    <row r="427" customFormat="false" ht="15" hidden="false" customHeight="false" outlineLevel="0" collapsed="false">
      <c r="A427" s="7" t="n">
        <v>2006</v>
      </c>
      <c r="B427" s="15" t="s">
        <v>104</v>
      </c>
      <c r="C427" s="19" t="n">
        <v>102.821227</v>
      </c>
      <c r="D427" s="19" t="n">
        <v>102.821227</v>
      </c>
      <c r="E427" s="20" t="n">
        <f aca="false">IF(OR(D427="",D427=0),"",(C427-D427)/D427)</f>
        <v>0</v>
      </c>
      <c r="F427" s="19" t="n">
        <v>121.84644</v>
      </c>
      <c r="G427" s="19" t="n">
        <v>121.84644</v>
      </c>
      <c r="H427" s="20" t="n">
        <f aca="false">IF(OR(G427="",G427=0),"",(F427-G427)/G427)</f>
        <v>0</v>
      </c>
      <c r="I427" s="19" t="n">
        <v>144.411676</v>
      </c>
      <c r="J427" s="19" t="n">
        <v>144.411676</v>
      </c>
      <c r="K427" s="20" t="n">
        <f aca="false">IF(OR(J427="",J427=0),"",(I427-J427)/J427)</f>
        <v>0</v>
      </c>
      <c r="L427" s="21" t="str">
        <f aca="false">IF(OR(D427="",G427="",J427=""),"No reported subtotal",IF(AND(ABS(N(E427))&lt;=$D$2,ABS(N(H427))&lt;=$D$2,ABS(N(K427))&lt;=$D$2),"Reconciles within tolerance","Outside tolerance"))</f>
        <v>Reconciles within tolerance</v>
      </c>
    </row>
    <row r="428" customFormat="false" ht="15" hidden="false" customHeight="false" outlineLevel="0" collapsed="false">
      <c r="A428" s="7" t="n">
        <v>2007</v>
      </c>
      <c r="B428" s="15" t="s">
        <v>104</v>
      </c>
      <c r="C428" s="19" t="n">
        <v>115.500526</v>
      </c>
      <c r="D428" s="19" t="n">
        <v>115.500526</v>
      </c>
      <c r="E428" s="20" t="n">
        <f aca="false">IF(OR(D428="",D428=0),"",(C428-D428)/D428)</f>
        <v>0</v>
      </c>
      <c r="F428" s="19" t="n">
        <v>122.440101</v>
      </c>
      <c r="G428" s="19" t="n">
        <v>122.440101</v>
      </c>
      <c r="H428" s="20" t="n">
        <f aca="false">IF(OR(G428="",G428=0),"",(F428-G428)/G428)</f>
        <v>0</v>
      </c>
      <c r="I428" s="19" t="n">
        <v>117.041355</v>
      </c>
      <c r="J428" s="19" t="n">
        <v>117.041355</v>
      </c>
      <c r="K428" s="20" t="n">
        <f aca="false">IF(OR(J428="",J428=0),"",(I428-J428)/J428)</f>
        <v>0</v>
      </c>
      <c r="L428" s="21" t="str">
        <f aca="false">IF(OR(D428="",G428="",J428=""),"No reported subtotal",IF(AND(ABS(N(E428))&lt;=$D$2,ABS(N(H428))&lt;=$D$2,ABS(N(K428))&lt;=$D$2),"Reconciles within tolerance","Outside tolerance"))</f>
        <v>Reconciles within tolerance</v>
      </c>
    </row>
    <row r="429" customFormat="false" ht="15" hidden="false" customHeight="false" outlineLevel="0" collapsed="false">
      <c r="A429" s="7" t="n">
        <v>2008</v>
      </c>
      <c r="B429" s="15" t="s">
        <v>104</v>
      </c>
      <c r="C429" s="19" t="n">
        <v>113.114858</v>
      </c>
      <c r="D429" s="19" t="n">
        <v>113.114858</v>
      </c>
      <c r="E429" s="20" t="n">
        <f aca="false">IF(OR(D429="",D429=0),"",(C429-D429)/D429)</f>
        <v>0</v>
      </c>
      <c r="F429" s="19" t="n">
        <v>136.873441</v>
      </c>
      <c r="G429" s="19" t="n">
        <v>136.873441</v>
      </c>
      <c r="H429" s="20" t="n">
        <f aca="false">IF(OR(G429="",G429=0),"",(F429-G429)/G429)</f>
        <v>0</v>
      </c>
      <c r="I429" s="19" t="n">
        <v>135.738928</v>
      </c>
      <c r="J429" s="19" t="n">
        <v>135.738928</v>
      </c>
      <c r="K429" s="20" t="n">
        <f aca="false">IF(OR(J429="",J429=0),"",(I429-J429)/J429)</f>
        <v>0</v>
      </c>
      <c r="L429" s="21" t="str">
        <f aca="false">IF(OR(D429="",G429="",J429=""),"No reported subtotal",IF(AND(ABS(N(E429))&lt;=$D$2,ABS(N(H429))&lt;=$D$2,ABS(N(K429))&lt;=$D$2),"Reconciles within tolerance","Outside tolerance"))</f>
        <v>Reconciles within tolerance</v>
      </c>
    </row>
    <row r="430" customFormat="false" ht="15" hidden="false" customHeight="false" outlineLevel="0" collapsed="false">
      <c r="A430" s="7" t="n">
        <v>2009</v>
      </c>
      <c r="B430" s="15" t="s">
        <v>104</v>
      </c>
      <c r="C430" s="19" t="n">
        <v>75.945317</v>
      </c>
      <c r="D430" s="19" t="n">
        <v>75.945317</v>
      </c>
      <c r="E430" s="20" t="n">
        <f aca="false">IF(OR(D430="",D430=0),"",(C430-D430)/D430)</f>
        <v>0</v>
      </c>
      <c r="F430" s="19" t="n">
        <v>137.832032</v>
      </c>
      <c r="G430" s="19" t="n">
        <v>137.832032</v>
      </c>
      <c r="H430" s="20" t="n">
        <f aca="false">IF(OR(G430="",G430=0),"",(F430-G430)/G430)</f>
        <v>0</v>
      </c>
      <c r="I430" s="19" t="n">
        <v>143.563819</v>
      </c>
      <c r="J430" s="19" t="n">
        <v>143.563819</v>
      </c>
      <c r="K430" s="20" t="n">
        <f aca="false">IF(OR(J430="",J430=0),"",(I430-J430)/J430)</f>
        <v>0</v>
      </c>
      <c r="L430" s="21" t="str">
        <f aca="false">IF(OR(D430="",G430="",J430=""),"No reported subtotal",IF(AND(ABS(N(E430))&lt;=$D$2,ABS(N(H430))&lt;=$D$2,ABS(N(K430))&lt;=$D$2),"Reconciles within tolerance","Outside tolerance"))</f>
        <v>Reconciles within tolerance</v>
      </c>
    </row>
    <row r="431" customFormat="false" ht="15" hidden="false" customHeight="false" outlineLevel="0" collapsed="false">
      <c r="A431" s="7" t="n">
        <v>2010</v>
      </c>
      <c r="B431" s="15" t="s">
        <v>104</v>
      </c>
      <c r="C431" s="19" t="n">
        <v>89.786661</v>
      </c>
      <c r="D431" s="19" t="n">
        <v>89.786661</v>
      </c>
      <c r="E431" s="20" t="n">
        <f aca="false">IF(OR(D431="",D431=0),"",(C431-D431)/D431)</f>
        <v>0</v>
      </c>
      <c r="F431" s="19" t="n">
        <v>140.000942</v>
      </c>
      <c r="G431" s="19" t="n">
        <v>140.000942</v>
      </c>
      <c r="H431" s="20" t="n">
        <f aca="false">IF(OR(G431="",G431=0),"",(F431-G431)/G431)</f>
        <v>0</v>
      </c>
      <c r="I431" s="19" t="n">
        <v>144.670355</v>
      </c>
      <c r="J431" s="19" t="n">
        <v>144.670355</v>
      </c>
      <c r="K431" s="20" t="n">
        <f aca="false">IF(OR(J431="",J431=0),"",(I431-J431)/J431)</f>
        <v>0</v>
      </c>
      <c r="L431" s="21" t="str">
        <f aca="false">IF(OR(D431="",G431="",J431=""),"No reported subtotal",IF(AND(ABS(N(E431))&lt;=$D$2,ABS(N(H431))&lt;=$D$2,ABS(N(K431))&lt;=$D$2),"Reconciles within tolerance","Outside tolerance"))</f>
        <v>Reconciles within tolerance</v>
      </c>
    </row>
    <row r="432" customFormat="false" ht="15" hidden="false" customHeight="false" outlineLevel="0" collapsed="false">
      <c r="A432" s="7" t="n">
        <v>2011</v>
      </c>
      <c r="B432" s="15" t="s">
        <v>104</v>
      </c>
      <c r="C432" s="19" t="n">
        <v>143.935863</v>
      </c>
      <c r="D432" s="19" t="n">
        <v>143.935863</v>
      </c>
      <c r="E432" s="20" t="n">
        <f aca="false">IF(OR(D432="",D432=0),"",(C432-D432)/D432)</f>
        <v>0</v>
      </c>
      <c r="F432" s="19" t="n">
        <v>155.584305</v>
      </c>
      <c r="G432" s="19" t="n">
        <v>155.584305</v>
      </c>
      <c r="H432" s="20" t="n">
        <f aca="false">IF(OR(G432="",G432=0),"",(F432-G432)/G432)</f>
        <v>0</v>
      </c>
      <c r="I432" s="19" t="n">
        <v>96.485478</v>
      </c>
      <c r="J432" s="19" t="n">
        <v>96.485478</v>
      </c>
      <c r="K432" s="20" t="n">
        <f aca="false">IF(OR(J432="",J432=0),"",(I432-J432)/J432)</f>
        <v>0</v>
      </c>
      <c r="L432" s="21" t="str">
        <f aca="false">IF(OR(D432="",G432="",J432=""),"No reported subtotal",IF(AND(ABS(N(E432))&lt;=$D$2,ABS(N(H432))&lt;=$D$2,ABS(N(K432))&lt;=$D$2),"Reconciles within tolerance","Outside tolerance"))</f>
        <v>Reconciles within tolerance</v>
      </c>
    </row>
    <row r="433" customFormat="false" ht="15" hidden="false" customHeight="false" outlineLevel="0" collapsed="false">
      <c r="A433" s="7" t="n">
        <v>2012</v>
      </c>
      <c r="B433" s="15" t="s">
        <v>104</v>
      </c>
      <c r="C433" s="19" t="n">
        <v>195.370179</v>
      </c>
      <c r="D433" s="19" t="n">
        <v>195.370179</v>
      </c>
      <c r="E433" s="20" t="n">
        <f aca="false">IF(OR(D433="",D433=0),"",(C433-D433)/D433)</f>
        <v>0</v>
      </c>
      <c r="F433" s="19" t="n">
        <v>168.573411</v>
      </c>
      <c r="G433" s="19" t="n">
        <v>168.573411</v>
      </c>
      <c r="H433" s="20" t="n">
        <f aca="false">IF(OR(G433="",G433=0),"",(F433-G433)/G433)</f>
        <v>0</v>
      </c>
      <c r="I433" s="19" t="n">
        <v>583.957235</v>
      </c>
      <c r="J433" s="19" t="n">
        <v>583.957235</v>
      </c>
      <c r="K433" s="20" t="n">
        <f aca="false">IF(OR(J433="",J433=0),"",(I433-J433)/J433)</f>
        <v>0</v>
      </c>
      <c r="L433" s="21" t="str">
        <f aca="false">IF(OR(D433="",G433="",J433=""),"No reported subtotal",IF(AND(ABS(N(E433))&lt;=$D$2,ABS(N(H433))&lt;=$D$2,ABS(N(K433))&lt;=$D$2),"Reconciles within tolerance","Outside tolerance"))</f>
        <v>Reconciles within tolerance</v>
      </c>
    </row>
    <row r="434" customFormat="false" ht="15" hidden="false" customHeight="false" outlineLevel="0" collapsed="false">
      <c r="A434" s="7" t="n">
        <v>2013</v>
      </c>
      <c r="B434" s="15" t="s">
        <v>104</v>
      </c>
      <c r="C434" s="19" t="n">
        <v>102.373863</v>
      </c>
      <c r="D434" s="19" t="n">
        <v>102.373863</v>
      </c>
      <c r="E434" s="20" t="n">
        <f aca="false">IF(OR(D434="",D434=0),"",(C434-D434)/D434)</f>
        <v>0</v>
      </c>
      <c r="F434" s="19" t="n">
        <v>168.755088</v>
      </c>
      <c r="G434" s="19" t="n">
        <v>168.755088</v>
      </c>
      <c r="H434" s="20" t="n">
        <f aca="false">IF(OR(G434="",G434=0),"",(F434-G434)/G434)</f>
        <v>0</v>
      </c>
      <c r="I434" s="19" t="n">
        <v>151.694872</v>
      </c>
      <c r="J434" s="19" t="n">
        <v>151.694872</v>
      </c>
      <c r="K434" s="20" t="n">
        <f aca="false">IF(OR(J434="",J434=0),"",(I434-J434)/J434)</f>
        <v>0</v>
      </c>
      <c r="L434" s="21" t="str">
        <f aca="false">IF(OR(D434="",G434="",J434=""),"No reported subtotal",IF(AND(ABS(N(E434))&lt;=$D$2,ABS(N(H434))&lt;=$D$2,ABS(N(K434))&lt;=$D$2),"Reconciles within tolerance","Outside tolerance"))</f>
        <v>Reconciles within tolerance</v>
      </c>
    </row>
    <row r="435" customFormat="false" ht="15" hidden="false" customHeight="false" outlineLevel="0" collapsed="false">
      <c r="A435" s="7" t="n">
        <v>2014</v>
      </c>
      <c r="B435" s="15" t="s">
        <v>104</v>
      </c>
      <c r="C435" s="19" t="n">
        <v>87.114711</v>
      </c>
      <c r="D435" s="19" t="n">
        <v>87.114711</v>
      </c>
      <c r="E435" s="20" t="n">
        <f aca="false">IF(OR(D435="",D435=0),"",(C435-D435)/D435)</f>
        <v>0</v>
      </c>
      <c r="F435" s="19" t="n">
        <v>168.115493</v>
      </c>
      <c r="G435" s="19" t="n">
        <v>168.115493</v>
      </c>
      <c r="H435" s="20" t="n">
        <f aca="false">IF(OR(G435="",G435=0),"",(F435-G435)/G435)</f>
        <v>0</v>
      </c>
      <c r="I435" s="19" t="n">
        <v>173.742061</v>
      </c>
      <c r="J435" s="19" t="n">
        <v>173.742061</v>
      </c>
      <c r="K435" s="20" t="n">
        <f aca="false">IF(OR(J435="",J435=0),"",(I435-J435)/J435)</f>
        <v>0</v>
      </c>
      <c r="L435" s="21" t="str">
        <f aca="false">IF(OR(D435="",G435="",J435=""),"No reported subtotal",IF(AND(ABS(N(E435))&lt;=$D$2,ABS(N(H435))&lt;=$D$2,ABS(N(K435))&lt;=$D$2),"Reconciles within tolerance","Outside tolerance"))</f>
        <v>Reconciles within tolerance</v>
      </c>
    </row>
    <row r="436" customFormat="false" ht="15" hidden="false" customHeight="false" outlineLevel="0" collapsed="false">
      <c r="A436" s="7" t="n">
        <v>2015</v>
      </c>
      <c r="B436" s="15" t="s">
        <v>104</v>
      </c>
      <c r="C436" s="19" t="n">
        <v>106.069097</v>
      </c>
      <c r="D436" s="19" t="n">
        <v>106.069097</v>
      </c>
      <c r="E436" s="20" t="n">
        <f aca="false">IF(OR(D436="",D436=0),"",(C436-D436)/D436)</f>
        <v>0</v>
      </c>
      <c r="F436" s="19" t="n">
        <v>179.943596</v>
      </c>
      <c r="G436" s="19" t="n">
        <v>179.943596</v>
      </c>
      <c r="H436" s="20" t="n">
        <f aca="false">IF(OR(G436="",G436=0),"",(F436-G436)/G436)</f>
        <v>0</v>
      </c>
      <c r="I436" s="19" t="n">
        <v>206.135722</v>
      </c>
      <c r="J436" s="19" t="n">
        <v>206.135722</v>
      </c>
      <c r="K436" s="20" t="n">
        <f aca="false">IF(OR(J436="",J436=0),"",(I436-J436)/J436)</f>
        <v>0</v>
      </c>
      <c r="L436" s="21" t="str">
        <f aca="false">IF(OR(D436="",G436="",J436=""),"No reported subtotal",IF(AND(ABS(N(E436))&lt;=$D$2,ABS(N(H436))&lt;=$D$2,ABS(N(K436))&lt;=$D$2),"Reconciles within tolerance","Outside tolerance"))</f>
        <v>Reconciles within tolerance</v>
      </c>
    </row>
    <row r="437" customFormat="false" ht="15" hidden="false" customHeight="false" outlineLevel="0" collapsed="false">
      <c r="A437" s="7" t="n">
        <v>2016</v>
      </c>
      <c r="B437" s="15" t="s">
        <v>104</v>
      </c>
      <c r="C437" s="19" t="n">
        <v>95.301444</v>
      </c>
      <c r="D437" s="19" t="n">
        <v>95.301444</v>
      </c>
      <c r="E437" s="20" t="n">
        <f aca="false">IF(OR(D437="",D437=0),"",(C437-D437)/D437)</f>
        <v>0</v>
      </c>
      <c r="F437" s="19" t="n">
        <v>178.346924</v>
      </c>
      <c r="G437" s="19" t="n">
        <v>178.346924</v>
      </c>
      <c r="H437" s="20" t="n">
        <f aca="false">IF(OR(G437="",G437=0),"",(F437-G437)/G437)</f>
        <v>0</v>
      </c>
      <c r="I437" s="19" t="n">
        <v>204.647988</v>
      </c>
      <c r="J437" s="19" t="n">
        <v>204.647988</v>
      </c>
      <c r="K437" s="20" t="n">
        <f aca="false">IF(OR(J437="",J437=0),"",(I437-J437)/J437)</f>
        <v>0</v>
      </c>
      <c r="L437" s="21" t="str">
        <f aca="false">IF(OR(D437="",G437="",J437=""),"No reported subtotal",IF(AND(ABS(N(E437))&lt;=$D$2,ABS(N(H437))&lt;=$D$2,ABS(N(K437))&lt;=$D$2),"Reconciles within tolerance","Outside tolerance"))</f>
        <v>Reconciles within tolerance</v>
      </c>
    </row>
    <row r="438" customFormat="false" ht="15" hidden="false" customHeight="false" outlineLevel="0" collapsed="false">
      <c r="A438" s="7" t="n">
        <v>2017</v>
      </c>
      <c r="B438" s="15" t="s">
        <v>104</v>
      </c>
      <c r="C438" s="19" t="n">
        <v>93.749712</v>
      </c>
      <c r="D438" s="19" t="n">
        <v>93.749712</v>
      </c>
      <c r="E438" s="20" t="n">
        <f aca="false">IF(OR(D438="",D438=0),"",(C438-D438)/D438)</f>
        <v>0</v>
      </c>
      <c r="F438" s="19" t="n">
        <v>164.738351</v>
      </c>
      <c r="G438" s="19" t="n">
        <v>164.738351</v>
      </c>
      <c r="H438" s="20" t="n">
        <f aca="false">IF(OR(G438="",G438=0),"",(F438-G438)/G438)</f>
        <v>0</v>
      </c>
      <c r="I438" s="19" t="n">
        <v>154.814412</v>
      </c>
      <c r="J438" s="19" t="n">
        <v>154.814412</v>
      </c>
      <c r="K438" s="20" t="n">
        <f aca="false">IF(OR(J438="",J438=0),"",(I438-J438)/J438)</f>
        <v>0</v>
      </c>
      <c r="L438" s="21" t="str">
        <f aca="false">IF(OR(D438="",G438="",J438=""),"No reported subtotal",IF(AND(ABS(N(E438))&lt;=$D$2,ABS(N(H438))&lt;=$D$2,ABS(N(K438))&lt;=$D$2),"Reconciles within tolerance","Outside tolerance"))</f>
        <v>Reconciles within tolerance</v>
      </c>
    </row>
    <row r="439" customFormat="false" ht="15" hidden="false" customHeight="false" outlineLevel="0" collapsed="false">
      <c r="A439" s="7" t="n">
        <v>2018</v>
      </c>
      <c r="B439" s="15" t="s">
        <v>104</v>
      </c>
      <c r="C439" s="19" t="n">
        <v>251.047768</v>
      </c>
      <c r="D439" s="19" t="n">
        <v>251.047768</v>
      </c>
      <c r="E439" s="20" t="n">
        <f aca="false">IF(OR(D439="",D439=0),"",(C439-D439)/D439)</f>
        <v>0</v>
      </c>
      <c r="F439" s="19" t="n">
        <v>159.250381</v>
      </c>
      <c r="G439" s="19" t="n">
        <v>159.250381</v>
      </c>
      <c r="H439" s="20" t="n">
        <f aca="false">IF(OR(G439="",G439=0),"",(F439-G439)/G439)</f>
        <v>0</v>
      </c>
      <c r="I439" s="19" t="n">
        <v>240.663314</v>
      </c>
      <c r="J439" s="19" t="n">
        <v>240.663314</v>
      </c>
      <c r="K439" s="20" t="n">
        <f aca="false">IF(OR(J439="",J439=0),"",(I439-J439)/J439)</f>
        <v>0</v>
      </c>
      <c r="L439" s="21" t="str">
        <f aca="false">IF(OR(D439="",G439="",J439=""),"No reported subtotal",IF(AND(ABS(N(E439))&lt;=$D$2,ABS(N(H439))&lt;=$D$2,ABS(N(K439))&lt;=$D$2),"Reconciles within tolerance","Outside tolerance"))</f>
        <v>Reconciles within tolerance</v>
      </c>
    </row>
    <row r="440" customFormat="false" ht="15" hidden="false" customHeight="false" outlineLevel="0" collapsed="false">
      <c r="A440" s="7" t="n">
        <v>2019</v>
      </c>
      <c r="B440" s="15" t="s">
        <v>104</v>
      </c>
      <c r="C440" s="19" t="n">
        <v>173.59456</v>
      </c>
      <c r="D440" s="19" t="n">
        <v>173.59456</v>
      </c>
      <c r="E440" s="20" t="n">
        <f aca="false">IF(OR(D440="",D440=0),"",(C440-D440)/D440)</f>
        <v>0</v>
      </c>
      <c r="F440" s="19" t="n">
        <v>153.435958</v>
      </c>
      <c r="G440" s="19" t="n">
        <v>153.435958</v>
      </c>
      <c r="H440" s="20" t="n">
        <f aca="false">IF(OR(G440="",G440=0),"",(F440-G440)/G440)</f>
        <v>0</v>
      </c>
      <c r="I440" s="19" t="n">
        <v>319.297328</v>
      </c>
      <c r="J440" s="19" t="n">
        <v>319.297328</v>
      </c>
      <c r="K440" s="20" t="n">
        <f aca="false">IF(OR(J440="",J440=0),"",(I440-J440)/J440)</f>
        <v>0</v>
      </c>
      <c r="L440" s="21" t="str">
        <f aca="false">IF(OR(D440="",G440="",J440=""),"No reported subtotal",IF(AND(ABS(N(E440))&lt;=$D$2,ABS(N(H440))&lt;=$D$2,ABS(N(K440))&lt;=$D$2),"Reconciles within tolerance","Outside tolerance"))</f>
        <v>Reconciles within tolerance</v>
      </c>
    </row>
    <row r="441" customFormat="false" ht="15" hidden="false" customHeight="false" outlineLevel="0" collapsed="false">
      <c r="A441" s="7" t="n">
        <v>2020</v>
      </c>
      <c r="B441" s="15" t="s">
        <v>104</v>
      </c>
      <c r="C441" s="19" t="n">
        <v>293.399172</v>
      </c>
      <c r="D441" s="19" t="n">
        <v>293.399172</v>
      </c>
      <c r="E441" s="20" t="n">
        <f aca="false">IF(OR(D441="",D441=0),"",(C441-D441)/D441)</f>
        <v>0</v>
      </c>
      <c r="F441" s="19" t="n">
        <v>167.114948</v>
      </c>
      <c r="G441" s="19" t="n">
        <v>167.114948</v>
      </c>
      <c r="H441" s="20" t="n">
        <f aca="false">IF(OR(G441="",G441=0),"",(F441-G441)/G441)</f>
        <v>0</v>
      </c>
      <c r="I441" s="19" t="n">
        <v>277.222282</v>
      </c>
      <c r="J441" s="19" t="n">
        <v>277.222282</v>
      </c>
      <c r="K441" s="20" t="n">
        <f aca="false">IF(OR(J441="",J441=0),"",(I441-J441)/J441)</f>
        <v>0</v>
      </c>
      <c r="L441" s="21" t="str">
        <f aca="false">IF(OR(D441="",G441="",J441=""),"No reported subtotal",IF(AND(ABS(N(E441))&lt;=$D$2,ABS(N(H441))&lt;=$D$2,ABS(N(K441))&lt;=$D$2),"Reconciles within tolerance","Outside tolerance"))</f>
        <v>Reconciles within tolerance</v>
      </c>
    </row>
    <row r="442" customFormat="false" ht="15" hidden="false" customHeight="false" outlineLevel="0" collapsed="false">
      <c r="A442" s="7" t="n">
        <v>2021</v>
      </c>
      <c r="B442" s="15" t="s">
        <v>104</v>
      </c>
      <c r="C442" s="19" t="n">
        <v>161.57326</v>
      </c>
      <c r="D442" s="19" t="n">
        <v>161.57326</v>
      </c>
      <c r="E442" s="20" t="n">
        <f aca="false">IF(OR(D442="",D442=0),"",(C442-D442)/D442)</f>
        <v>0</v>
      </c>
      <c r="F442" s="19" t="n">
        <v>155.078466</v>
      </c>
      <c r="G442" s="19" t="n">
        <v>155.078466</v>
      </c>
      <c r="H442" s="20" t="n">
        <f aca="false">IF(OR(G442="",G442=0),"",(F442-G442)/G442)</f>
        <v>0</v>
      </c>
      <c r="I442" s="19" t="n">
        <v>195.710313</v>
      </c>
      <c r="J442" s="19" t="n">
        <v>195.710313</v>
      </c>
      <c r="K442" s="20" t="n">
        <f aca="false">IF(OR(J442="",J442=0),"",(I442-J442)/J442)</f>
        <v>0</v>
      </c>
      <c r="L442" s="21" t="str">
        <f aca="false">IF(OR(D442="",G442="",J442=""),"No reported subtotal",IF(AND(ABS(N(E442))&lt;=$D$2,ABS(N(H442))&lt;=$D$2,ABS(N(K442))&lt;=$D$2),"Reconciles within tolerance","Outside tolerance"))</f>
        <v>Reconciles within tolerance</v>
      </c>
    </row>
    <row r="443" customFormat="false" ht="15" hidden="false" customHeight="false" outlineLevel="0" collapsed="false">
      <c r="A443" s="7" t="n">
        <v>2022</v>
      </c>
      <c r="B443" s="15" t="s">
        <v>104</v>
      </c>
      <c r="C443" s="19" t="n">
        <v>160.171465</v>
      </c>
      <c r="D443" s="19" t="n">
        <v>160.171465</v>
      </c>
      <c r="E443" s="20" t="n">
        <f aca="false">IF(OR(D443="",D443=0),"",(C443-D443)/D443)</f>
        <v>0</v>
      </c>
      <c r="F443" s="19" t="n">
        <v>189.797661</v>
      </c>
      <c r="G443" s="19" t="n">
        <v>189.797661</v>
      </c>
      <c r="H443" s="20" t="n">
        <f aca="false">IF(OR(G443="",G443=0),"",(F443-G443)/G443)</f>
        <v>0</v>
      </c>
      <c r="I443" s="19" t="n">
        <v>206.619237</v>
      </c>
      <c r="J443" s="19" t="n">
        <v>206.619237</v>
      </c>
      <c r="K443" s="20" t="n">
        <f aca="false">IF(OR(J443="",J443=0),"",(I443-J443)/J443)</f>
        <v>0</v>
      </c>
      <c r="L443" s="21" t="str">
        <f aca="false">IF(OR(D443="",G443="",J443=""),"No reported subtotal",IF(AND(ABS(N(E443))&lt;=$D$2,ABS(N(H443))&lt;=$D$2,ABS(N(K443))&lt;=$D$2),"Reconciles within tolerance","Outside tolerance"))</f>
        <v>Reconciles within tolerance</v>
      </c>
    </row>
    <row r="444" customFormat="false" ht="15" hidden="false" customHeight="false" outlineLevel="0" collapsed="false">
      <c r="A444" s="7" t="n">
        <v>2023</v>
      </c>
      <c r="B444" s="15" t="s">
        <v>104</v>
      </c>
      <c r="C444" s="19" t="n">
        <v>162.229309</v>
      </c>
      <c r="D444" s="19" t="n">
        <v>162.229309</v>
      </c>
      <c r="E444" s="20" t="n">
        <f aca="false">IF(OR(D444="",D444=0),"",(C444-D444)/D444)</f>
        <v>0</v>
      </c>
      <c r="F444" s="19" t="n">
        <v>177.958594</v>
      </c>
      <c r="G444" s="19" t="n">
        <v>177.958594</v>
      </c>
      <c r="H444" s="20" t="n">
        <f aca="false">IF(OR(G444="",G444=0),"",(F444-G444)/G444)</f>
        <v>0</v>
      </c>
      <c r="I444" s="19" t="n">
        <v>256.131066</v>
      </c>
      <c r="J444" s="19" t="n">
        <v>256.131066</v>
      </c>
      <c r="K444" s="20" t="n">
        <f aca="false">IF(OR(J444="",J444=0),"",(I444-J444)/J444)</f>
        <v>0</v>
      </c>
      <c r="L444" s="21" t="str">
        <f aca="false">IF(OR(D444="",G444="",J444=""),"No reported subtotal",IF(AND(ABS(N(E444))&lt;=$D$2,ABS(N(H444))&lt;=$D$2,ABS(N(K444))&lt;=$D$2),"Reconciles within tolerance","Outside tolerance"))</f>
        <v>Reconciles within tolerance</v>
      </c>
    </row>
    <row r="445" customFormat="false" ht="15" hidden="false" customHeight="false" outlineLevel="0" collapsed="false">
      <c r="A445" s="7" t="n">
        <v>2024</v>
      </c>
      <c r="B445" s="15" t="s">
        <v>104</v>
      </c>
      <c r="C445" s="19" t="n">
        <v>219.413671</v>
      </c>
      <c r="D445" s="19" t="n">
        <v>219.413671</v>
      </c>
      <c r="E445" s="20" t="n">
        <f aca="false">IF(OR(D445="",D445=0),"",(C445-D445)/D445)</f>
        <v>0</v>
      </c>
      <c r="F445" s="19" t="n">
        <v>156.261334</v>
      </c>
      <c r="G445" s="19" t="n">
        <v>156.261334</v>
      </c>
      <c r="H445" s="20" t="n">
        <f aca="false">IF(OR(G445="",G445=0),"",(F445-G445)/G445)</f>
        <v>0</v>
      </c>
      <c r="I445" s="19" t="n">
        <v>319.575136</v>
      </c>
      <c r="J445" s="19" t="n">
        <v>319.575136</v>
      </c>
      <c r="K445" s="20" t="n">
        <f aca="false">IF(OR(J445="",J445=0),"",(I445-J445)/J445)</f>
        <v>0</v>
      </c>
      <c r="L445" s="21" t="str">
        <f aca="false">IF(OR(D445="",G445="",J445=""),"No reported subtotal",IF(AND(ABS(N(E445))&lt;=$D$2,ABS(N(H445))&lt;=$D$2,ABS(N(K445))&lt;=$D$2),"Reconciles within tolerance","Outside tolerance"))</f>
        <v>Reconciles within tolerance</v>
      </c>
    </row>
    <row r="446" customFormat="false" ht="15" hidden="false" customHeight="false" outlineLevel="0" collapsed="false">
      <c r="A446" s="7" t="n">
        <v>2025</v>
      </c>
      <c r="B446" s="15" t="s">
        <v>104</v>
      </c>
      <c r="C446" s="19" t="n">
        <v>253.40012</v>
      </c>
      <c r="D446" s="19" t="n">
        <v>253.40012</v>
      </c>
      <c r="E446" s="20" t="n">
        <f aca="false">IF(OR(D446="",D446=0),"",(C446-D446)/D446)</f>
        <v>0</v>
      </c>
      <c r="F446" s="19" t="n">
        <v>182.514959</v>
      </c>
      <c r="G446" s="19" t="n">
        <v>182.514959</v>
      </c>
      <c r="H446" s="20" t="n">
        <f aca="false">IF(OR(G446="",G446=0),"",(F446-G446)/G446)</f>
        <v>0</v>
      </c>
      <c r="I446" s="19" t="n">
        <v>399.384424</v>
      </c>
      <c r="J446" s="19" t="n">
        <v>399.384424</v>
      </c>
      <c r="K446" s="20" t="n">
        <f aca="false">IF(OR(J446="",J446=0),"",(I446-J446)/J446)</f>
        <v>0</v>
      </c>
      <c r="L446" s="21" t="str">
        <f aca="false">IF(OR(D446="",G446="",J446=""),"No reported subtotal",IF(AND(ABS(N(E446))&lt;=$D$2,ABS(N(H446))&lt;=$D$2,ABS(N(K446))&lt;=$D$2),"Reconciles within tolerance","Outside tolerance"))</f>
        <v>Reconciles within tolerance</v>
      </c>
    </row>
    <row r="447" customFormat="false" ht="15" hidden="false" customHeight="false" outlineLevel="0" collapsed="false">
      <c r="A447" s="7" t="n">
        <v>2000</v>
      </c>
      <c r="B447" s="15" t="s">
        <v>147</v>
      </c>
      <c r="C447" s="19" t="n">
        <v>7.862895</v>
      </c>
      <c r="D447" s="19" t="n">
        <v>7.862895</v>
      </c>
      <c r="E447" s="20" t="n">
        <f aca="false">IF(OR(D447="",D447=0),"",(C447-D447)/D447)</f>
        <v>0</v>
      </c>
      <c r="F447" s="19" t="n">
        <v>10.029951</v>
      </c>
      <c r="G447" s="19" t="n">
        <v>10.029951</v>
      </c>
      <c r="H447" s="20" t="n">
        <f aca="false">IF(OR(G447="",G447=0),"",(F447-G447)/G447)</f>
        <v>0</v>
      </c>
      <c r="I447" s="19" t="n">
        <v>10.338071</v>
      </c>
      <c r="J447" s="19" t="n">
        <v>10.338071</v>
      </c>
      <c r="K447" s="20" t="n">
        <f aca="false">IF(OR(J447="",J447=0),"",(I447-J447)/J447)</f>
        <v>0</v>
      </c>
      <c r="L447" s="21" t="str">
        <f aca="false">IF(OR(D447="",G447="",J447=""),"No reported subtotal",IF(AND(ABS(N(E447))&lt;=$D$2,ABS(N(H447))&lt;=$D$2,ABS(N(K447))&lt;=$D$2),"Reconciles within tolerance","Outside tolerance"))</f>
        <v>Reconciles within tolerance</v>
      </c>
    </row>
    <row r="448" customFormat="false" ht="15" hidden="false" customHeight="false" outlineLevel="0" collapsed="false">
      <c r="A448" s="7" t="n">
        <v>2001</v>
      </c>
      <c r="B448" s="15" t="s">
        <v>147</v>
      </c>
      <c r="C448" s="19" t="n">
        <v>9.413533</v>
      </c>
      <c r="D448" s="19" t="n">
        <v>9.413533</v>
      </c>
      <c r="E448" s="20" t="n">
        <f aca="false">IF(OR(D448="",D448=0),"",(C448-D448)/D448)</f>
        <v>0</v>
      </c>
      <c r="F448" s="19" t="n">
        <v>9.583963</v>
      </c>
      <c r="G448" s="19" t="n">
        <v>9.583963</v>
      </c>
      <c r="H448" s="20" t="n">
        <f aca="false">IF(OR(G448="",G448=0),"",(F448-G448)/G448)</f>
        <v>0</v>
      </c>
      <c r="I448" s="19" t="n">
        <v>10.11195</v>
      </c>
      <c r="J448" s="19" t="n">
        <v>10.11195</v>
      </c>
      <c r="K448" s="20" t="n">
        <f aca="false">IF(OR(J448="",J448=0),"",(I448-J448)/J448)</f>
        <v>0</v>
      </c>
      <c r="L448" s="21" t="str">
        <f aca="false">IF(OR(D448="",G448="",J448=""),"No reported subtotal",IF(AND(ABS(N(E448))&lt;=$D$2,ABS(N(H448))&lt;=$D$2,ABS(N(K448))&lt;=$D$2),"Reconciles within tolerance","Outside tolerance"))</f>
        <v>Reconciles within tolerance</v>
      </c>
    </row>
    <row r="449" customFormat="false" ht="15" hidden="false" customHeight="false" outlineLevel="0" collapsed="false">
      <c r="A449" s="7" t="n">
        <v>2002</v>
      </c>
      <c r="B449" s="15" t="s">
        <v>147</v>
      </c>
      <c r="C449" s="19" t="n">
        <v>8.03168</v>
      </c>
      <c r="D449" s="19" t="n">
        <v>8.03168</v>
      </c>
      <c r="E449" s="20" t="n">
        <f aca="false">IF(OR(D449="",D449=0),"",(C449-D449)/D449)</f>
        <v>0</v>
      </c>
      <c r="F449" s="19" t="n">
        <v>9.275934</v>
      </c>
      <c r="G449" s="19" t="n">
        <v>9.275934</v>
      </c>
      <c r="H449" s="20" t="n">
        <f aca="false">IF(OR(G449="",G449=0),"",(F449-G449)/G449)</f>
        <v>0</v>
      </c>
      <c r="I449" s="19" t="n">
        <v>28.655834</v>
      </c>
      <c r="J449" s="19" t="n">
        <v>28.655834</v>
      </c>
      <c r="K449" s="20" t="n">
        <f aca="false">IF(OR(J449="",J449=0),"",(I449-J449)/J449)</f>
        <v>0</v>
      </c>
      <c r="L449" s="21" t="str">
        <f aca="false">IF(OR(D449="",G449="",J449=""),"No reported subtotal",IF(AND(ABS(N(E449))&lt;=$D$2,ABS(N(H449))&lt;=$D$2,ABS(N(K449))&lt;=$D$2),"Reconciles within tolerance","Outside tolerance"))</f>
        <v>Reconciles within tolerance</v>
      </c>
    </row>
    <row r="450" customFormat="false" ht="15" hidden="false" customHeight="false" outlineLevel="0" collapsed="false">
      <c r="A450" s="7" t="n">
        <v>2003</v>
      </c>
      <c r="B450" s="15" t="s">
        <v>147</v>
      </c>
      <c r="C450" s="19" t="n">
        <v>10.929516</v>
      </c>
      <c r="D450" s="19" t="n">
        <v>10.929516</v>
      </c>
      <c r="E450" s="20" t="n">
        <f aca="false">IF(OR(D450="",D450=0),"",(C450-D450)/D450)</f>
        <v>0</v>
      </c>
      <c r="F450" s="19" t="n">
        <v>9.022504</v>
      </c>
      <c r="G450" s="19" t="n">
        <v>9.022504</v>
      </c>
      <c r="H450" s="20" t="n">
        <f aca="false">IF(OR(G450="",G450=0),"",(F450-G450)/G450)</f>
        <v>0</v>
      </c>
      <c r="I450" s="19" t="n">
        <v>24.238312</v>
      </c>
      <c r="J450" s="19" t="n">
        <v>24.238312</v>
      </c>
      <c r="K450" s="20" t="n">
        <f aca="false">IF(OR(J450="",J450=0),"",(I450-J450)/J450)</f>
        <v>0</v>
      </c>
      <c r="L450" s="21" t="str">
        <f aca="false">IF(OR(D450="",G450="",J450=""),"No reported subtotal",IF(AND(ABS(N(E450))&lt;=$D$2,ABS(N(H450))&lt;=$D$2,ABS(N(K450))&lt;=$D$2),"Reconciles within tolerance","Outside tolerance"))</f>
        <v>Reconciles within tolerance</v>
      </c>
    </row>
    <row r="451" customFormat="false" ht="15" hidden="false" customHeight="false" outlineLevel="0" collapsed="false">
      <c r="A451" s="7" t="n">
        <v>2004</v>
      </c>
      <c r="B451" s="15" t="s">
        <v>147</v>
      </c>
      <c r="C451" s="19" t="n">
        <v>10.846094</v>
      </c>
      <c r="D451" s="19" t="n">
        <v>10.846094</v>
      </c>
      <c r="E451" s="20" t="n">
        <f aca="false">IF(OR(D451="",D451=0),"",(C451-D451)/D451)</f>
        <v>0</v>
      </c>
      <c r="F451" s="19" t="n">
        <v>8.574618</v>
      </c>
      <c r="G451" s="19" t="n">
        <v>8.574618</v>
      </c>
      <c r="H451" s="20" t="n">
        <f aca="false">IF(OR(G451="",G451=0),"",(F451-G451)/G451)</f>
        <v>0</v>
      </c>
      <c r="I451" s="19" t="n">
        <v>26.528729</v>
      </c>
      <c r="J451" s="19" t="n">
        <v>26.528729</v>
      </c>
      <c r="K451" s="20" t="n">
        <f aca="false">IF(OR(J451="",J451=0),"",(I451-J451)/J451)</f>
        <v>0</v>
      </c>
      <c r="L451" s="21" t="str">
        <f aca="false">IF(OR(D451="",G451="",J451=""),"No reported subtotal",IF(AND(ABS(N(E451))&lt;=$D$2,ABS(N(H451))&lt;=$D$2,ABS(N(K451))&lt;=$D$2),"Reconciles within tolerance","Outside tolerance"))</f>
        <v>Reconciles within tolerance</v>
      </c>
    </row>
    <row r="452" customFormat="false" ht="15" hidden="false" customHeight="false" outlineLevel="0" collapsed="false">
      <c r="A452" s="7" t="n">
        <v>2005</v>
      </c>
      <c r="B452" s="15" t="s">
        <v>147</v>
      </c>
      <c r="C452" s="19" t="n">
        <v>9.761996</v>
      </c>
      <c r="D452" s="19" t="n">
        <v>9.761996</v>
      </c>
      <c r="E452" s="20" t="n">
        <f aca="false">IF(OR(D452="",D452=0),"",(C452-D452)/D452)</f>
        <v>0</v>
      </c>
      <c r="F452" s="19" t="n">
        <v>10.224601</v>
      </c>
      <c r="G452" s="19" t="n">
        <v>10.224601</v>
      </c>
      <c r="H452" s="20" t="n">
        <f aca="false">IF(OR(G452="",G452=0),"",(F452-G452)/G452)</f>
        <v>0</v>
      </c>
      <c r="I452" s="19" t="n">
        <v>26.476994</v>
      </c>
      <c r="J452" s="19" t="n">
        <v>26.476994</v>
      </c>
      <c r="K452" s="20" t="n">
        <f aca="false">IF(OR(J452="",J452=0),"",(I452-J452)/J452)</f>
        <v>0</v>
      </c>
      <c r="L452" s="21" t="str">
        <f aca="false">IF(OR(D452="",G452="",J452=""),"No reported subtotal",IF(AND(ABS(N(E452))&lt;=$D$2,ABS(N(H452))&lt;=$D$2,ABS(N(K452))&lt;=$D$2),"Reconciles within tolerance","Outside tolerance"))</f>
        <v>Reconciles within tolerance</v>
      </c>
    </row>
    <row r="453" customFormat="false" ht="15" hidden="false" customHeight="false" outlineLevel="0" collapsed="false">
      <c r="A453" s="7" t="n">
        <v>2006</v>
      </c>
      <c r="B453" s="15" t="s">
        <v>147</v>
      </c>
      <c r="C453" s="19" t="n">
        <v>11.273293</v>
      </c>
      <c r="D453" s="19" t="n">
        <v>11.273293</v>
      </c>
      <c r="E453" s="20" t="n">
        <f aca="false">IF(OR(D453="",D453=0),"",(C453-D453)/D453)</f>
        <v>0</v>
      </c>
      <c r="F453" s="19" t="n">
        <v>10.845623</v>
      </c>
      <c r="G453" s="19" t="n">
        <v>10.845623</v>
      </c>
      <c r="H453" s="20" t="n">
        <f aca="false">IF(OR(G453="",G453=0),"",(F453-G453)/G453)</f>
        <v>0</v>
      </c>
      <c r="I453" s="19" t="n">
        <v>27.869673</v>
      </c>
      <c r="J453" s="19" t="n">
        <v>27.869673</v>
      </c>
      <c r="K453" s="20" t="n">
        <f aca="false">IF(OR(J453="",J453=0),"",(I453-J453)/J453)</f>
        <v>0</v>
      </c>
      <c r="L453" s="21" t="str">
        <f aca="false">IF(OR(D453="",G453="",J453=""),"No reported subtotal",IF(AND(ABS(N(E453))&lt;=$D$2,ABS(N(H453))&lt;=$D$2,ABS(N(K453))&lt;=$D$2),"Reconciles within tolerance","Outside tolerance"))</f>
        <v>Reconciles within tolerance</v>
      </c>
    </row>
    <row r="454" customFormat="false" ht="15" hidden="false" customHeight="false" outlineLevel="0" collapsed="false">
      <c r="A454" s="7" t="n">
        <v>2007</v>
      </c>
      <c r="B454" s="15" t="s">
        <v>147</v>
      </c>
      <c r="C454" s="19" t="n">
        <v>12.313681</v>
      </c>
      <c r="D454" s="19" t="n">
        <v>12.313681</v>
      </c>
      <c r="E454" s="20" t="n">
        <f aca="false">IF(OR(D454="",D454=0),"",(C454-D454)/D454)</f>
        <v>0</v>
      </c>
      <c r="F454" s="19" t="n">
        <v>11.029601</v>
      </c>
      <c r="G454" s="19" t="n">
        <v>11.029601</v>
      </c>
      <c r="H454" s="20" t="n">
        <f aca="false">IF(OR(G454="",G454=0),"",(F454-G454)/G454)</f>
        <v>0</v>
      </c>
      <c r="I454" s="19" t="n">
        <v>20.160092</v>
      </c>
      <c r="J454" s="19" t="n">
        <v>20.160092</v>
      </c>
      <c r="K454" s="20" t="n">
        <f aca="false">IF(OR(J454="",J454=0),"",(I454-J454)/J454)</f>
        <v>0</v>
      </c>
      <c r="L454" s="21" t="str">
        <f aca="false">IF(OR(D454="",G454="",J454=""),"No reported subtotal",IF(AND(ABS(N(E454))&lt;=$D$2,ABS(N(H454))&lt;=$D$2,ABS(N(K454))&lt;=$D$2),"Reconciles within tolerance","Outside tolerance"))</f>
        <v>Reconciles within tolerance</v>
      </c>
    </row>
    <row r="455" customFormat="false" ht="15" hidden="false" customHeight="false" outlineLevel="0" collapsed="false">
      <c r="A455" s="7" t="n">
        <v>2008</v>
      </c>
      <c r="B455" s="15" t="s">
        <v>147</v>
      </c>
      <c r="C455" s="19" t="n">
        <v>13.013741</v>
      </c>
      <c r="D455" s="19" t="n">
        <v>13.013741</v>
      </c>
      <c r="E455" s="20" t="n">
        <f aca="false">IF(OR(D455="",D455=0),"",(C455-D455)/D455)</f>
        <v>0</v>
      </c>
      <c r="F455" s="19" t="n">
        <v>15.961159</v>
      </c>
      <c r="G455" s="19" t="n">
        <v>15.961159</v>
      </c>
      <c r="H455" s="20" t="n">
        <f aca="false">IF(OR(G455="",G455=0),"",(F455-G455)/G455)</f>
        <v>0</v>
      </c>
      <c r="I455" s="19" t="n">
        <v>18.449639</v>
      </c>
      <c r="J455" s="19" t="n">
        <v>18.449639</v>
      </c>
      <c r="K455" s="20" t="n">
        <f aca="false">IF(OR(J455="",J455=0),"",(I455-J455)/J455)</f>
        <v>0</v>
      </c>
      <c r="L455" s="21" t="str">
        <f aca="false">IF(OR(D455="",G455="",J455=""),"No reported subtotal",IF(AND(ABS(N(E455))&lt;=$D$2,ABS(N(H455))&lt;=$D$2,ABS(N(K455))&lt;=$D$2),"Reconciles within tolerance","Outside tolerance"))</f>
        <v>Reconciles within tolerance</v>
      </c>
    </row>
    <row r="456" customFormat="false" ht="15" hidden="false" customHeight="false" outlineLevel="0" collapsed="false">
      <c r="A456" s="7" t="n">
        <v>2009</v>
      </c>
      <c r="B456" s="15" t="s">
        <v>147</v>
      </c>
      <c r="C456" s="19" t="n">
        <v>11.425606</v>
      </c>
      <c r="D456" s="19" t="n">
        <v>11.425606</v>
      </c>
      <c r="E456" s="20" t="n">
        <f aca="false">IF(OR(D456="",D456=0),"",(C456-D456)/D456)</f>
        <v>0</v>
      </c>
      <c r="F456" s="19" t="n">
        <v>15.271774</v>
      </c>
      <c r="G456" s="19" t="n">
        <v>15.271774</v>
      </c>
      <c r="H456" s="20" t="n">
        <f aca="false">IF(OR(G456="",G456=0),"",(F456-G456)/G456)</f>
        <v>0</v>
      </c>
      <c r="I456" s="19" t="n">
        <v>34.538224</v>
      </c>
      <c r="J456" s="19" t="n">
        <v>34.538224</v>
      </c>
      <c r="K456" s="20" t="n">
        <f aca="false">IF(OR(J456="",J456=0),"",(I456-J456)/J456)</f>
        <v>0</v>
      </c>
      <c r="L456" s="21" t="str">
        <f aca="false">IF(OR(D456="",G456="",J456=""),"No reported subtotal",IF(AND(ABS(N(E456))&lt;=$D$2,ABS(N(H456))&lt;=$D$2,ABS(N(K456))&lt;=$D$2),"Reconciles within tolerance","Outside tolerance"))</f>
        <v>Reconciles within tolerance</v>
      </c>
    </row>
    <row r="457" customFormat="false" ht="15" hidden="false" customHeight="false" outlineLevel="0" collapsed="false">
      <c r="A457" s="7" t="n">
        <v>2010</v>
      </c>
      <c r="B457" s="15" t="s">
        <v>147</v>
      </c>
      <c r="C457" s="19" t="n">
        <v>12.79945</v>
      </c>
      <c r="D457" s="19" t="n">
        <v>12.79945</v>
      </c>
      <c r="E457" s="20" t="n">
        <f aca="false">IF(OR(D457="",D457=0),"",(C457-D457)/D457)</f>
        <v>0</v>
      </c>
      <c r="F457" s="19" t="n">
        <v>15.537403</v>
      </c>
      <c r="G457" s="19" t="n">
        <v>15.537403</v>
      </c>
      <c r="H457" s="20" t="n">
        <f aca="false">IF(OR(G457="",G457=0),"",(F457-G457)/G457)</f>
        <v>0</v>
      </c>
      <c r="I457" s="19" t="n">
        <v>26.948624</v>
      </c>
      <c r="J457" s="19" t="n">
        <v>26.948624</v>
      </c>
      <c r="K457" s="20" t="n">
        <f aca="false">IF(OR(J457="",J457=0),"",(I457-J457)/J457)</f>
        <v>0</v>
      </c>
      <c r="L457" s="21" t="str">
        <f aca="false">IF(OR(D457="",G457="",J457=""),"No reported subtotal",IF(AND(ABS(N(E457))&lt;=$D$2,ABS(N(H457))&lt;=$D$2,ABS(N(K457))&lt;=$D$2),"Reconciles within tolerance","Outside tolerance"))</f>
        <v>Reconciles within tolerance</v>
      </c>
    </row>
    <row r="458" customFormat="false" ht="15" hidden="false" customHeight="false" outlineLevel="0" collapsed="false">
      <c r="A458" s="7" t="n">
        <v>2011</v>
      </c>
      <c r="B458" s="15" t="s">
        <v>147</v>
      </c>
      <c r="C458" s="19" t="n">
        <v>13.54048</v>
      </c>
      <c r="D458" s="19" t="n">
        <v>13.54048</v>
      </c>
      <c r="E458" s="20" t="n">
        <f aca="false">IF(OR(D458="",D458=0),"",(C458-D458)/D458)</f>
        <v>0</v>
      </c>
      <c r="F458" s="19" t="n">
        <v>15.151342</v>
      </c>
      <c r="G458" s="19" t="n">
        <v>15.151342</v>
      </c>
      <c r="H458" s="20" t="n">
        <f aca="false">IF(OR(G458="",G458=0),"",(F458-G458)/G458)</f>
        <v>0</v>
      </c>
      <c r="I458" s="19" t="n">
        <v>40.348408</v>
      </c>
      <c r="J458" s="19" t="n">
        <v>40.348408</v>
      </c>
      <c r="K458" s="20" t="n">
        <f aca="false">IF(OR(J458="",J458=0),"",(I458-J458)/J458)</f>
        <v>0</v>
      </c>
      <c r="L458" s="21" t="str">
        <f aca="false">IF(OR(D458="",G458="",J458=""),"No reported subtotal",IF(AND(ABS(N(E458))&lt;=$D$2,ABS(N(H458))&lt;=$D$2,ABS(N(K458))&lt;=$D$2),"Reconciles within tolerance","Outside tolerance"))</f>
        <v>Reconciles within tolerance</v>
      </c>
    </row>
    <row r="459" customFormat="false" ht="15" hidden="false" customHeight="false" outlineLevel="0" collapsed="false">
      <c r="A459" s="7" t="n">
        <v>2012</v>
      </c>
      <c r="B459" s="15" t="s">
        <v>147</v>
      </c>
      <c r="C459" s="19" t="n">
        <v>13.732901</v>
      </c>
      <c r="D459" s="19" t="n">
        <v>13.732901</v>
      </c>
      <c r="E459" s="20" t="n">
        <f aca="false">IF(OR(D459="",D459=0),"",(C459-D459)/D459)</f>
        <v>0</v>
      </c>
      <c r="F459" s="19" t="n">
        <v>16.157768</v>
      </c>
      <c r="G459" s="19" t="n">
        <v>16.157768</v>
      </c>
      <c r="H459" s="20" t="n">
        <f aca="false">IF(OR(G459="",G459=0),"",(F459-G459)/G459)</f>
        <v>0</v>
      </c>
      <c r="I459" s="19" t="n">
        <v>27.155673</v>
      </c>
      <c r="J459" s="19" t="n">
        <v>27.155673</v>
      </c>
      <c r="K459" s="20" t="n">
        <f aca="false">IF(OR(J459="",J459=0),"",(I459-J459)/J459)</f>
        <v>0</v>
      </c>
      <c r="L459" s="21" t="str">
        <f aca="false">IF(OR(D459="",G459="",J459=""),"No reported subtotal",IF(AND(ABS(N(E459))&lt;=$D$2,ABS(N(H459))&lt;=$D$2,ABS(N(K459))&lt;=$D$2),"Reconciles within tolerance","Outside tolerance"))</f>
        <v>Reconciles within tolerance</v>
      </c>
    </row>
    <row r="460" customFormat="false" ht="15" hidden="false" customHeight="false" outlineLevel="0" collapsed="false">
      <c r="A460" s="7" t="n">
        <v>2013</v>
      </c>
      <c r="B460" s="15" t="s">
        <v>147</v>
      </c>
      <c r="C460" s="19" t="n">
        <v>14.756237</v>
      </c>
      <c r="D460" s="19" t="n">
        <v>14.756237</v>
      </c>
      <c r="E460" s="20" t="n">
        <f aca="false">IF(OR(D460="",D460=0),"",(C460-D460)/D460)</f>
        <v>0</v>
      </c>
      <c r="F460" s="19" t="n">
        <v>15.509132</v>
      </c>
      <c r="G460" s="19" t="n">
        <v>15.509132</v>
      </c>
      <c r="H460" s="20" t="n">
        <f aca="false">IF(OR(G460="",G460=0),"",(F460-G460)/G460)</f>
        <v>0</v>
      </c>
      <c r="I460" s="19" t="n">
        <v>41.568887</v>
      </c>
      <c r="J460" s="19" t="n">
        <v>41.568887</v>
      </c>
      <c r="K460" s="20" t="n">
        <f aca="false">IF(OR(J460="",J460=0),"",(I460-J460)/J460)</f>
        <v>0</v>
      </c>
      <c r="L460" s="21" t="str">
        <f aca="false">IF(OR(D460="",G460="",J460=""),"No reported subtotal",IF(AND(ABS(N(E460))&lt;=$D$2,ABS(N(H460))&lt;=$D$2,ABS(N(K460))&lt;=$D$2),"Reconciles within tolerance","Outside tolerance"))</f>
        <v>Reconciles within tolerance</v>
      </c>
    </row>
    <row r="461" customFormat="false" ht="15" hidden="false" customHeight="false" outlineLevel="0" collapsed="false">
      <c r="A461" s="7" t="n">
        <v>2014</v>
      </c>
      <c r="B461" s="15" t="s">
        <v>147</v>
      </c>
      <c r="C461" s="19" t="n">
        <v>14.098925</v>
      </c>
      <c r="D461" s="19" t="n">
        <v>14.098925</v>
      </c>
      <c r="E461" s="20" t="n">
        <f aca="false">IF(OR(D461="",D461=0),"",(C461-D461)/D461)</f>
        <v>0</v>
      </c>
      <c r="F461" s="19" t="n">
        <v>14.539198</v>
      </c>
      <c r="G461" s="19" t="n">
        <v>14.539198</v>
      </c>
      <c r="H461" s="20" t="n">
        <f aca="false">IF(OR(G461="",G461=0),"",(F461-G461)/G461)</f>
        <v>0</v>
      </c>
      <c r="I461" s="19" t="n">
        <v>35.040181</v>
      </c>
      <c r="J461" s="19" t="n">
        <v>35.040181</v>
      </c>
      <c r="K461" s="20" t="n">
        <f aca="false">IF(OR(J461="",J461=0),"",(I461-J461)/J461)</f>
        <v>0</v>
      </c>
      <c r="L461" s="21" t="str">
        <f aca="false">IF(OR(D461="",G461="",J461=""),"No reported subtotal",IF(AND(ABS(N(E461))&lt;=$D$2,ABS(N(H461))&lt;=$D$2,ABS(N(K461))&lt;=$D$2),"Reconciles within tolerance","Outside tolerance"))</f>
        <v>Reconciles within tolerance</v>
      </c>
    </row>
    <row r="462" customFormat="false" ht="15" hidden="false" customHeight="false" outlineLevel="0" collapsed="false">
      <c r="A462" s="7" t="n">
        <v>2015</v>
      </c>
      <c r="B462" s="15" t="s">
        <v>147</v>
      </c>
      <c r="C462" s="19" t="n">
        <v>14.140666</v>
      </c>
      <c r="D462" s="19" t="n">
        <v>14.140666</v>
      </c>
      <c r="E462" s="20" t="n">
        <f aca="false">IF(OR(D462="",D462=0),"",(C462-D462)/D462)</f>
        <v>0</v>
      </c>
      <c r="F462" s="19" t="n">
        <v>13.526793</v>
      </c>
      <c r="G462" s="19" t="n">
        <v>13.526793</v>
      </c>
      <c r="H462" s="20" t="n">
        <f aca="false">IF(OR(G462="",G462=0),"",(F462-G462)/G462)</f>
        <v>0</v>
      </c>
      <c r="I462" s="19" t="n">
        <v>27.493186</v>
      </c>
      <c r="J462" s="19" t="n">
        <v>27.493186</v>
      </c>
      <c r="K462" s="20" t="n">
        <f aca="false">IF(OR(J462="",J462=0),"",(I462-J462)/J462)</f>
        <v>0</v>
      </c>
      <c r="L462" s="21" t="str">
        <f aca="false">IF(OR(D462="",G462="",J462=""),"No reported subtotal",IF(AND(ABS(N(E462))&lt;=$D$2,ABS(N(H462))&lt;=$D$2,ABS(N(K462))&lt;=$D$2),"Reconciles within tolerance","Outside tolerance"))</f>
        <v>Reconciles within tolerance</v>
      </c>
    </row>
    <row r="463" customFormat="false" ht="15" hidden="false" customHeight="false" outlineLevel="0" collapsed="false">
      <c r="A463" s="7" t="n">
        <v>2016</v>
      </c>
      <c r="B463" s="15" t="s">
        <v>147</v>
      </c>
      <c r="C463" s="19" t="n">
        <v>14.644057</v>
      </c>
      <c r="D463" s="19" t="n">
        <v>14.644057</v>
      </c>
      <c r="E463" s="20" t="n">
        <f aca="false">IF(OR(D463="",D463=0),"",(C463-D463)/D463)</f>
        <v>0</v>
      </c>
      <c r="F463" s="19" t="n">
        <v>14.4867</v>
      </c>
      <c r="G463" s="19" t="n">
        <v>14.4867</v>
      </c>
      <c r="H463" s="20" t="n">
        <f aca="false">IF(OR(G463="",G463=0),"",(F463-G463)/G463)</f>
        <v>0</v>
      </c>
      <c r="I463" s="19" t="n">
        <v>35.044235</v>
      </c>
      <c r="J463" s="19" t="n">
        <v>35.044235</v>
      </c>
      <c r="K463" s="20" t="n">
        <f aca="false">IF(OR(J463="",J463=0),"",(I463-J463)/J463)</f>
        <v>0</v>
      </c>
      <c r="L463" s="21" t="str">
        <f aca="false">IF(OR(D463="",G463="",J463=""),"No reported subtotal",IF(AND(ABS(N(E463))&lt;=$D$2,ABS(N(H463))&lt;=$D$2,ABS(N(K463))&lt;=$D$2),"Reconciles within tolerance","Outside tolerance"))</f>
        <v>Reconciles within tolerance</v>
      </c>
    </row>
    <row r="464" customFormat="false" ht="15" hidden="false" customHeight="false" outlineLevel="0" collapsed="false">
      <c r="A464" s="7" t="n">
        <v>2017</v>
      </c>
      <c r="B464" s="15" t="s">
        <v>147</v>
      </c>
      <c r="C464" s="19" t="n">
        <v>14.295255</v>
      </c>
      <c r="D464" s="19" t="n">
        <v>14.295255</v>
      </c>
      <c r="E464" s="20" t="n">
        <f aca="false">IF(OR(D464="",D464=0),"",(C464-D464)/D464)</f>
        <v>0</v>
      </c>
      <c r="F464" s="19" t="n">
        <v>16.524949</v>
      </c>
      <c r="G464" s="19" t="n">
        <v>16.524949</v>
      </c>
      <c r="H464" s="20" t="n">
        <f aca="false">IF(OR(G464="",G464=0),"",(F464-G464)/G464)</f>
        <v>0</v>
      </c>
      <c r="I464" s="19" t="n">
        <v>37.799701</v>
      </c>
      <c r="J464" s="19" t="n">
        <v>37.799701</v>
      </c>
      <c r="K464" s="20" t="n">
        <f aca="false">IF(OR(J464="",J464=0),"",(I464-J464)/J464)</f>
        <v>0</v>
      </c>
      <c r="L464" s="21" t="str">
        <f aca="false">IF(OR(D464="",G464="",J464=""),"No reported subtotal",IF(AND(ABS(N(E464))&lt;=$D$2,ABS(N(H464))&lt;=$D$2,ABS(N(K464))&lt;=$D$2),"Reconciles within tolerance","Outside tolerance"))</f>
        <v>Reconciles within tolerance</v>
      </c>
    </row>
    <row r="465" customFormat="false" ht="15" hidden="false" customHeight="false" outlineLevel="0" collapsed="false">
      <c r="A465" s="7" t="n">
        <v>2018</v>
      </c>
      <c r="B465" s="15" t="s">
        <v>147</v>
      </c>
      <c r="C465" s="19" t="n">
        <v>14.676962</v>
      </c>
      <c r="D465" s="19" t="n">
        <v>14.676962</v>
      </c>
      <c r="E465" s="20" t="n">
        <f aca="false">IF(OR(D465="",D465=0),"",(C465-D465)/D465)</f>
        <v>0</v>
      </c>
      <c r="F465" s="19" t="n">
        <v>15.819373</v>
      </c>
      <c r="G465" s="19" t="n">
        <v>15.819373</v>
      </c>
      <c r="H465" s="20" t="n">
        <f aca="false">IF(OR(G465="",G465=0),"",(F465-G465)/G465)</f>
        <v>0</v>
      </c>
      <c r="I465" s="19" t="n">
        <v>38.833199</v>
      </c>
      <c r="J465" s="19" t="n">
        <v>38.833199</v>
      </c>
      <c r="K465" s="20" t="n">
        <f aca="false">IF(OR(J465="",J465=0),"",(I465-J465)/J465)</f>
        <v>0</v>
      </c>
      <c r="L465" s="21" t="str">
        <f aca="false">IF(OR(D465="",G465="",J465=""),"No reported subtotal",IF(AND(ABS(N(E465))&lt;=$D$2,ABS(N(H465))&lt;=$D$2,ABS(N(K465))&lt;=$D$2),"Reconciles within tolerance","Outside tolerance"))</f>
        <v>Reconciles within tolerance</v>
      </c>
    </row>
    <row r="466" customFormat="false" ht="15" hidden="false" customHeight="false" outlineLevel="0" collapsed="false">
      <c r="A466" s="7" t="n">
        <v>2019</v>
      </c>
      <c r="B466" s="15" t="s">
        <v>147</v>
      </c>
      <c r="C466" s="19" t="n">
        <v>16.181091</v>
      </c>
      <c r="D466" s="19" t="n">
        <v>16.181091</v>
      </c>
      <c r="E466" s="20" t="n">
        <f aca="false">IF(OR(D466="",D466=0),"",(C466-D466)/D466)</f>
        <v>0</v>
      </c>
      <c r="F466" s="19" t="n">
        <v>17.132122</v>
      </c>
      <c r="G466" s="19" t="n">
        <v>17.132122</v>
      </c>
      <c r="H466" s="20" t="n">
        <f aca="false">IF(OR(G466="",G466=0),"",(F466-G466)/G466)</f>
        <v>0</v>
      </c>
      <c r="I466" s="19" t="n">
        <v>42.368903</v>
      </c>
      <c r="J466" s="19" t="n">
        <v>42.368903</v>
      </c>
      <c r="K466" s="20" t="n">
        <f aca="false">IF(OR(J466="",J466=0),"",(I466-J466)/J466)</f>
        <v>0</v>
      </c>
      <c r="L466" s="21" t="str">
        <f aca="false">IF(OR(D466="",G466="",J466=""),"No reported subtotal",IF(AND(ABS(N(E466))&lt;=$D$2,ABS(N(H466))&lt;=$D$2,ABS(N(K466))&lt;=$D$2),"Reconciles within tolerance","Outside tolerance"))</f>
        <v>Reconciles within tolerance</v>
      </c>
    </row>
    <row r="467" customFormat="false" ht="15" hidden="false" customHeight="false" outlineLevel="0" collapsed="false">
      <c r="A467" s="7" t="n">
        <v>2020</v>
      </c>
      <c r="B467" s="15" t="s">
        <v>147</v>
      </c>
      <c r="C467" s="19" t="n">
        <v>16.075222</v>
      </c>
      <c r="D467" s="19" t="n">
        <v>16.075222</v>
      </c>
      <c r="E467" s="20" t="n">
        <f aca="false">IF(OR(D467="",D467=0),"",(C467-D467)/D467)</f>
        <v>0</v>
      </c>
      <c r="F467" s="19" t="n">
        <v>16.711395</v>
      </c>
      <c r="G467" s="19" t="n">
        <v>16.711395</v>
      </c>
      <c r="H467" s="20" t="n">
        <f aca="false">IF(OR(G467="",G467=0),"",(F467-G467)/G467)</f>
        <v>0</v>
      </c>
      <c r="I467" s="19" t="n">
        <v>34.074689</v>
      </c>
      <c r="J467" s="19" t="n">
        <v>34.074689</v>
      </c>
      <c r="K467" s="20" t="n">
        <f aca="false">IF(OR(J467="",J467=0),"",(I467-J467)/J467)</f>
        <v>0</v>
      </c>
      <c r="L467" s="21" t="str">
        <f aca="false">IF(OR(D467="",G467="",J467=""),"No reported subtotal",IF(AND(ABS(N(E467))&lt;=$D$2,ABS(N(H467))&lt;=$D$2,ABS(N(K467))&lt;=$D$2),"Reconciles within tolerance","Outside tolerance"))</f>
        <v>Reconciles within tolerance</v>
      </c>
    </row>
    <row r="468" customFormat="false" ht="15" hidden="false" customHeight="false" outlineLevel="0" collapsed="false">
      <c r="A468" s="7" t="n">
        <v>2021</v>
      </c>
      <c r="B468" s="15" t="s">
        <v>147</v>
      </c>
      <c r="C468" s="19" t="n">
        <v>15.028218</v>
      </c>
      <c r="D468" s="19" t="n">
        <v>15.028218</v>
      </c>
      <c r="E468" s="20" t="n">
        <f aca="false">IF(OR(D468="",D468=0),"",(C468-D468)/D468)</f>
        <v>0</v>
      </c>
      <c r="F468" s="19" t="n">
        <v>18.406111</v>
      </c>
      <c r="G468" s="19" t="n">
        <v>18.406111</v>
      </c>
      <c r="H468" s="20" t="n">
        <f aca="false">IF(OR(G468="",G468=0),"",(F468-G468)/G468)</f>
        <v>0</v>
      </c>
      <c r="I468" s="19" t="n">
        <v>40.16379</v>
      </c>
      <c r="J468" s="19" t="n">
        <v>40.16379</v>
      </c>
      <c r="K468" s="20" t="n">
        <f aca="false">IF(OR(J468="",J468=0),"",(I468-J468)/J468)</f>
        <v>0</v>
      </c>
      <c r="L468" s="21" t="str">
        <f aca="false">IF(OR(D468="",G468="",J468=""),"No reported subtotal",IF(AND(ABS(N(E468))&lt;=$D$2,ABS(N(H468))&lt;=$D$2,ABS(N(K468))&lt;=$D$2),"Reconciles within tolerance","Outside tolerance"))</f>
        <v>Reconciles within tolerance</v>
      </c>
    </row>
    <row r="469" customFormat="false" ht="15" hidden="false" customHeight="false" outlineLevel="0" collapsed="false">
      <c r="A469" s="7" t="n">
        <v>2022</v>
      </c>
      <c r="B469" s="15" t="s">
        <v>147</v>
      </c>
      <c r="C469" s="19" t="n">
        <v>15.671953</v>
      </c>
      <c r="D469" s="19" t="n">
        <v>15.671953</v>
      </c>
      <c r="E469" s="20" t="n">
        <f aca="false">IF(OR(D469="",D469=0),"",(C469-D469)/D469)</f>
        <v>0</v>
      </c>
      <c r="F469" s="19" t="n">
        <v>19.370415</v>
      </c>
      <c r="G469" s="19" t="n">
        <v>19.370415</v>
      </c>
      <c r="H469" s="20" t="n">
        <f aca="false">IF(OR(G469="",G469=0),"",(F469-G469)/G469)</f>
        <v>0</v>
      </c>
      <c r="I469" s="19" t="n">
        <v>39.466244</v>
      </c>
      <c r="J469" s="19" t="n">
        <v>39.466244</v>
      </c>
      <c r="K469" s="20" t="n">
        <f aca="false">IF(OR(J469="",J469=0),"",(I469-J469)/J469)</f>
        <v>0</v>
      </c>
      <c r="L469" s="21" t="str">
        <f aca="false">IF(OR(D469="",G469="",J469=""),"No reported subtotal",IF(AND(ABS(N(E469))&lt;=$D$2,ABS(N(H469))&lt;=$D$2,ABS(N(K469))&lt;=$D$2),"Reconciles within tolerance","Outside tolerance"))</f>
        <v>Reconciles within tolerance</v>
      </c>
    </row>
    <row r="470" customFormat="false" ht="15" hidden="false" customHeight="false" outlineLevel="0" collapsed="false">
      <c r="A470" s="7" t="n">
        <v>2023</v>
      </c>
      <c r="B470" s="15" t="s">
        <v>147</v>
      </c>
      <c r="C470" s="19" t="n">
        <v>16.381407</v>
      </c>
      <c r="D470" s="19" t="n">
        <v>16.381407</v>
      </c>
      <c r="E470" s="20" t="n">
        <f aca="false">IF(OR(D470="",D470=0),"",(C470-D470)/D470)</f>
        <v>0</v>
      </c>
      <c r="F470" s="19" t="n">
        <v>18.820777</v>
      </c>
      <c r="G470" s="19" t="n">
        <v>18.820777</v>
      </c>
      <c r="H470" s="20" t="n">
        <f aca="false">IF(OR(G470="",G470=0),"",(F470-G470)/G470)</f>
        <v>0</v>
      </c>
      <c r="I470" s="19" t="n">
        <v>43.960734</v>
      </c>
      <c r="J470" s="19" t="n">
        <v>43.960734</v>
      </c>
      <c r="K470" s="20" t="n">
        <f aca="false">IF(OR(J470="",J470=0),"",(I470-J470)/J470)</f>
        <v>0</v>
      </c>
      <c r="L470" s="21" t="str">
        <f aca="false">IF(OR(D470="",G470="",J470=""),"No reported subtotal",IF(AND(ABS(N(E470))&lt;=$D$2,ABS(N(H470))&lt;=$D$2,ABS(N(K470))&lt;=$D$2),"Reconciles within tolerance","Outside tolerance"))</f>
        <v>Reconciles within tolerance</v>
      </c>
    </row>
    <row r="471" customFormat="false" ht="15" hidden="false" customHeight="false" outlineLevel="0" collapsed="false">
      <c r="A471" s="7" t="n">
        <v>2024</v>
      </c>
      <c r="B471" s="15" t="s">
        <v>147</v>
      </c>
      <c r="C471" s="19" t="n">
        <v>17.457396</v>
      </c>
      <c r="D471" s="19" t="n">
        <v>17.457396</v>
      </c>
      <c r="E471" s="20" t="n">
        <f aca="false">IF(OR(D471="",D471=0),"",(C471-D471)/D471)</f>
        <v>0</v>
      </c>
      <c r="F471" s="19" t="n">
        <v>24.12788</v>
      </c>
      <c r="G471" s="19" t="n">
        <v>24.12788</v>
      </c>
      <c r="H471" s="20" t="n">
        <f aca="false">IF(OR(G471="",G471=0),"",(F471-G471)/G471)</f>
        <v>0</v>
      </c>
      <c r="I471" s="19" t="n">
        <v>68.720989</v>
      </c>
      <c r="J471" s="19" t="n">
        <v>68.720989</v>
      </c>
      <c r="K471" s="20" t="n">
        <f aca="false">IF(OR(J471="",J471=0),"",(I471-J471)/J471)</f>
        <v>0</v>
      </c>
      <c r="L471" s="21" t="str">
        <f aca="false">IF(OR(D471="",G471="",J471=""),"No reported subtotal",IF(AND(ABS(N(E471))&lt;=$D$2,ABS(N(H471))&lt;=$D$2,ABS(N(K471))&lt;=$D$2),"Reconciles within tolerance","Outside tolerance"))</f>
        <v>Reconciles within tolerance</v>
      </c>
    </row>
    <row r="472" customFormat="false" ht="15" hidden="false" customHeight="false" outlineLevel="0" collapsed="false">
      <c r="A472" s="7" t="n">
        <v>2025</v>
      </c>
      <c r="B472" s="15" t="s">
        <v>147</v>
      </c>
      <c r="C472" s="19" t="n">
        <v>16.514224</v>
      </c>
      <c r="D472" s="19" t="n">
        <v>16.514224</v>
      </c>
      <c r="E472" s="20" t="n">
        <f aca="false">IF(OR(D472="",D472=0),"",(C472-D472)/D472)</f>
        <v>0</v>
      </c>
      <c r="F472" s="19" t="n">
        <v>24.915075</v>
      </c>
      <c r="G472" s="19" t="n">
        <v>24.915075</v>
      </c>
      <c r="H472" s="20" t="n">
        <f aca="false">IF(OR(G472="",G472=0),"",(F472-G472)/G472)</f>
        <v>0</v>
      </c>
      <c r="I472" s="19" t="n">
        <v>66.3924</v>
      </c>
      <c r="J472" s="19" t="n">
        <v>66.3924</v>
      </c>
      <c r="K472" s="20" t="n">
        <f aca="false">IF(OR(J472="",J472=0),"",(I472-J472)/J472)</f>
        <v>0</v>
      </c>
      <c r="L472" s="21" t="str">
        <f aca="false">IF(OR(D472="",G472="",J472=""),"No reported subtotal",IF(AND(ABS(N(E472))&lt;=$D$2,ABS(N(H472))&lt;=$D$2,ABS(N(K472))&lt;=$D$2),"Reconciles within tolerance","Outside tolerance"))</f>
        <v>Reconciles within tolerance</v>
      </c>
    </row>
    <row r="473" customFormat="false" ht="15" hidden="false" customHeight="false" outlineLevel="0" collapsed="false">
      <c r="A473" s="7" t="n">
        <v>2000</v>
      </c>
      <c r="B473" s="15" t="s">
        <v>106</v>
      </c>
      <c r="C473" s="19" t="n">
        <v>35.78359</v>
      </c>
      <c r="D473" s="19" t="n">
        <v>35.78359</v>
      </c>
      <c r="E473" s="20" t="n">
        <f aca="false">IF(OR(D473="",D473=0),"",(C473-D473)/D473)</f>
        <v>0</v>
      </c>
      <c r="F473" s="19" t="n">
        <v>45.498449</v>
      </c>
      <c r="G473" s="19" t="n">
        <v>45.498449</v>
      </c>
      <c r="H473" s="20" t="n">
        <f aca="false">IF(OR(G473="",G473=0),"",(F473-G473)/G473)</f>
        <v>0</v>
      </c>
      <c r="I473" s="19" t="n">
        <v>41.130203</v>
      </c>
      <c r="J473" s="19" t="n">
        <v>41.130203</v>
      </c>
      <c r="K473" s="20" t="n">
        <f aca="false">IF(OR(J473="",J473=0),"",(I473-J473)/J473)</f>
        <v>0</v>
      </c>
      <c r="L473" s="21" t="str">
        <f aca="false">IF(OR(D473="",G473="",J473=""),"No reported subtotal",IF(AND(ABS(N(E473))&lt;=$D$2,ABS(N(H473))&lt;=$D$2,ABS(N(K473))&lt;=$D$2),"Reconciles within tolerance","Outside tolerance"))</f>
        <v>Reconciles within tolerance</v>
      </c>
    </row>
    <row r="474" customFormat="false" ht="15" hidden="false" customHeight="false" outlineLevel="0" collapsed="false">
      <c r="A474" s="7" t="n">
        <v>2001</v>
      </c>
      <c r="B474" s="15" t="s">
        <v>106</v>
      </c>
      <c r="C474" s="19" t="n">
        <v>39.462252</v>
      </c>
      <c r="D474" s="19" t="n">
        <v>39.462252</v>
      </c>
      <c r="E474" s="20" t="n">
        <f aca="false">IF(OR(D474="",D474=0),"",(C474-D474)/D474)</f>
        <v>0</v>
      </c>
      <c r="F474" s="19" t="n">
        <v>39.455152</v>
      </c>
      <c r="G474" s="19" t="n">
        <v>39.455152</v>
      </c>
      <c r="H474" s="20" t="n">
        <f aca="false">IF(OR(G474="",G474=0),"",(F474-G474)/G474)</f>
        <v>0</v>
      </c>
      <c r="I474" s="19" t="n">
        <v>47.429784</v>
      </c>
      <c r="J474" s="19" t="n">
        <v>47.429784</v>
      </c>
      <c r="K474" s="20" t="n">
        <f aca="false">IF(OR(J474="",J474=0),"",(I474-J474)/J474)</f>
        <v>0</v>
      </c>
      <c r="L474" s="21" t="str">
        <f aca="false">IF(OR(D474="",G474="",J474=""),"No reported subtotal",IF(AND(ABS(N(E474))&lt;=$D$2,ABS(N(H474))&lt;=$D$2,ABS(N(K474))&lt;=$D$2),"Reconciles within tolerance","Outside tolerance"))</f>
        <v>Reconciles within tolerance</v>
      </c>
    </row>
    <row r="475" customFormat="false" ht="15" hidden="false" customHeight="false" outlineLevel="0" collapsed="false">
      <c r="A475" s="7" t="n">
        <v>2002</v>
      </c>
      <c r="B475" s="15" t="s">
        <v>106</v>
      </c>
      <c r="C475" s="19" t="n">
        <v>36.783415</v>
      </c>
      <c r="D475" s="19" t="n">
        <v>36.783415</v>
      </c>
      <c r="E475" s="20" t="n">
        <f aca="false">IF(OR(D475="",D475=0),"",(C475-D475)/D475)</f>
        <v>0</v>
      </c>
      <c r="F475" s="19" t="n">
        <v>30.343009</v>
      </c>
      <c r="G475" s="19" t="n">
        <v>30.343009</v>
      </c>
      <c r="H475" s="20" t="n">
        <f aca="false">IF(OR(G475="",G475=0),"",(F475-G475)/G475)</f>
        <v>0</v>
      </c>
      <c r="I475" s="19" t="n">
        <v>34.908563</v>
      </c>
      <c r="J475" s="19" t="n">
        <v>34.908563</v>
      </c>
      <c r="K475" s="20" t="n">
        <f aca="false">IF(OR(J475="",J475=0),"",(I475-J475)/J475)</f>
        <v>0</v>
      </c>
      <c r="L475" s="21" t="str">
        <f aca="false">IF(OR(D475="",G475="",J475=""),"No reported subtotal",IF(AND(ABS(N(E475))&lt;=$D$2,ABS(N(H475))&lt;=$D$2,ABS(N(K475))&lt;=$D$2),"Reconciles within tolerance","Outside tolerance"))</f>
        <v>Reconciles within tolerance</v>
      </c>
    </row>
    <row r="476" customFormat="false" ht="15" hidden="false" customHeight="false" outlineLevel="0" collapsed="false">
      <c r="A476" s="7" t="n">
        <v>2003</v>
      </c>
      <c r="B476" s="15" t="s">
        <v>106</v>
      </c>
      <c r="C476" s="19" t="n">
        <v>48.5669</v>
      </c>
      <c r="D476" s="19" t="n">
        <v>48.5669</v>
      </c>
      <c r="E476" s="20" t="n">
        <f aca="false">IF(OR(D476="",D476=0),"",(C476-D476)/D476)</f>
        <v>0</v>
      </c>
      <c r="F476" s="19" t="n">
        <v>34.914746</v>
      </c>
      <c r="G476" s="19" t="n">
        <v>34.914746</v>
      </c>
      <c r="H476" s="20" t="n">
        <f aca="false">IF(OR(G476="",G476=0),"",(F476-G476)/G476)</f>
        <v>0</v>
      </c>
      <c r="I476" s="19" t="n">
        <v>34.240901</v>
      </c>
      <c r="J476" s="19" t="n">
        <v>34.240901</v>
      </c>
      <c r="K476" s="20" t="n">
        <f aca="false">IF(OR(J476="",J476=0),"",(I476-J476)/J476)</f>
        <v>0</v>
      </c>
      <c r="L476" s="21" t="str">
        <f aca="false">IF(OR(D476="",G476="",J476=""),"No reported subtotal",IF(AND(ABS(N(E476))&lt;=$D$2,ABS(N(H476))&lt;=$D$2,ABS(N(K476))&lt;=$D$2),"Reconciles within tolerance","Outside tolerance"))</f>
        <v>Reconciles within tolerance</v>
      </c>
    </row>
    <row r="477" customFormat="false" ht="15" hidden="false" customHeight="false" outlineLevel="0" collapsed="false">
      <c r="A477" s="7" t="n">
        <v>2004</v>
      </c>
      <c r="B477" s="15" t="s">
        <v>106</v>
      </c>
      <c r="C477" s="19" t="n">
        <v>41.245477</v>
      </c>
      <c r="D477" s="19" t="n">
        <v>41.245477</v>
      </c>
      <c r="E477" s="20" t="n">
        <f aca="false">IF(OR(D477="",D477=0),"",(C477-D477)/D477)</f>
        <v>0</v>
      </c>
      <c r="F477" s="19" t="n">
        <v>26.697829</v>
      </c>
      <c r="G477" s="19" t="n">
        <v>26.697829</v>
      </c>
      <c r="H477" s="20" t="n">
        <f aca="false">IF(OR(G477="",G477=0),"",(F477-G477)/G477)</f>
        <v>0</v>
      </c>
      <c r="I477" s="19" t="n">
        <v>48.168135</v>
      </c>
      <c r="J477" s="19" t="n">
        <v>48.168135</v>
      </c>
      <c r="K477" s="20" t="n">
        <f aca="false">IF(OR(J477="",J477=0),"",(I477-J477)/J477)</f>
        <v>0</v>
      </c>
      <c r="L477" s="21" t="str">
        <f aca="false">IF(OR(D477="",G477="",J477=""),"No reported subtotal",IF(AND(ABS(N(E477))&lt;=$D$2,ABS(N(H477))&lt;=$D$2,ABS(N(K477))&lt;=$D$2),"Reconciles within tolerance","Outside tolerance"))</f>
        <v>Reconciles within tolerance</v>
      </c>
    </row>
    <row r="478" customFormat="false" ht="15" hidden="false" customHeight="false" outlineLevel="0" collapsed="false">
      <c r="A478" s="7" t="n">
        <v>2005</v>
      </c>
      <c r="B478" s="15" t="s">
        <v>106</v>
      </c>
      <c r="C478" s="19" t="n">
        <v>36.860847</v>
      </c>
      <c r="D478" s="19" t="n">
        <v>36.860847</v>
      </c>
      <c r="E478" s="20" t="n">
        <f aca="false">IF(OR(D478="",D478=0),"",(C478-D478)/D478)</f>
        <v>0</v>
      </c>
      <c r="F478" s="19" t="n">
        <v>33.427865</v>
      </c>
      <c r="G478" s="19" t="n">
        <v>33.427865</v>
      </c>
      <c r="H478" s="20" t="n">
        <f aca="false">IF(OR(G478="",G478=0),"",(F478-G478)/G478)</f>
        <v>0</v>
      </c>
      <c r="I478" s="19" t="n">
        <v>75.085664</v>
      </c>
      <c r="J478" s="19" t="n">
        <v>75.085664</v>
      </c>
      <c r="K478" s="20" t="n">
        <f aca="false">IF(OR(J478="",J478=0),"",(I478-J478)/J478)</f>
        <v>0</v>
      </c>
      <c r="L478" s="21" t="str">
        <f aca="false">IF(OR(D478="",G478="",J478=""),"No reported subtotal",IF(AND(ABS(N(E478))&lt;=$D$2,ABS(N(H478))&lt;=$D$2,ABS(N(K478))&lt;=$D$2),"Reconciles within tolerance","Outside tolerance"))</f>
        <v>Reconciles within tolerance</v>
      </c>
    </row>
    <row r="479" customFormat="false" ht="15" hidden="false" customHeight="false" outlineLevel="0" collapsed="false">
      <c r="A479" s="7" t="n">
        <v>2006</v>
      </c>
      <c r="B479" s="15" t="s">
        <v>106</v>
      </c>
      <c r="C479" s="19" t="n">
        <v>41.163652</v>
      </c>
      <c r="D479" s="19" t="n">
        <v>41.163652</v>
      </c>
      <c r="E479" s="20" t="n">
        <f aca="false">IF(OR(D479="",D479=0),"",(C479-D479)/D479)</f>
        <v>0</v>
      </c>
      <c r="F479" s="19" t="n">
        <v>32.78154</v>
      </c>
      <c r="G479" s="19" t="n">
        <v>32.78154</v>
      </c>
      <c r="H479" s="20" t="n">
        <f aca="false">IF(OR(G479="",G479=0),"",(F479-G479)/G479)</f>
        <v>0</v>
      </c>
      <c r="I479" s="19" t="n">
        <v>65.904204</v>
      </c>
      <c r="J479" s="19" t="n">
        <v>65.904204</v>
      </c>
      <c r="K479" s="20" t="n">
        <f aca="false">IF(OR(J479="",J479=0),"",(I479-J479)/J479)</f>
        <v>0</v>
      </c>
      <c r="L479" s="21" t="str">
        <f aca="false">IF(OR(D479="",G479="",J479=""),"No reported subtotal",IF(AND(ABS(N(E479))&lt;=$D$2,ABS(N(H479))&lt;=$D$2,ABS(N(K479))&lt;=$D$2),"Reconciles within tolerance","Outside tolerance"))</f>
        <v>Reconciles within tolerance</v>
      </c>
    </row>
    <row r="480" customFormat="false" ht="15" hidden="false" customHeight="false" outlineLevel="0" collapsed="false">
      <c r="A480" s="7" t="n">
        <v>2007</v>
      </c>
      <c r="B480" s="15" t="s">
        <v>106</v>
      </c>
      <c r="C480" s="19" t="n">
        <v>50.335894</v>
      </c>
      <c r="D480" s="19" t="n">
        <v>50.335894</v>
      </c>
      <c r="E480" s="20" t="n">
        <f aca="false">IF(OR(D480="",D480=0),"",(C480-D480)/D480)</f>
        <v>0</v>
      </c>
      <c r="F480" s="19" t="n">
        <v>40.951743</v>
      </c>
      <c r="G480" s="19" t="n">
        <v>40.951743</v>
      </c>
      <c r="H480" s="20" t="n">
        <f aca="false">IF(OR(G480="",G480=0),"",(F480-G480)/G480)</f>
        <v>0</v>
      </c>
      <c r="I480" s="19" t="n">
        <v>78.743978</v>
      </c>
      <c r="J480" s="19" t="n">
        <v>78.743978</v>
      </c>
      <c r="K480" s="20" t="n">
        <f aca="false">IF(OR(J480="",J480=0),"",(I480-J480)/J480)</f>
        <v>0</v>
      </c>
      <c r="L480" s="21" t="str">
        <f aca="false">IF(OR(D480="",G480="",J480=""),"No reported subtotal",IF(AND(ABS(N(E480))&lt;=$D$2,ABS(N(H480))&lt;=$D$2,ABS(N(K480))&lt;=$D$2),"Reconciles within tolerance","Outside tolerance"))</f>
        <v>Reconciles within tolerance</v>
      </c>
    </row>
    <row r="481" customFormat="false" ht="15" hidden="false" customHeight="false" outlineLevel="0" collapsed="false">
      <c r="A481" s="7" t="n">
        <v>2008</v>
      </c>
      <c r="B481" s="15" t="s">
        <v>106</v>
      </c>
      <c r="C481" s="19" t="n">
        <v>44.378985</v>
      </c>
      <c r="D481" s="19" t="n">
        <v>44.378985</v>
      </c>
      <c r="E481" s="20" t="n">
        <f aca="false">IF(OR(D481="",D481=0),"",(C481-D481)/D481)</f>
        <v>0</v>
      </c>
      <c r="F481" s="19" t="n">
        <v>47.939829</v>
      </c>
      <c r="G481" s="19" t="n">
        <v>47.939829</v>
      </c>
      <c r="H481" s="20" t="n">
        <f aca="false">IF(OR(G481="",G481=0),"",(F481-G481)/G481)</f>
        <v>0</v>
      </c>
      <c r="I481" s="19" t="n">
        <v>77.724798</v>
      </c>
      <c r="J481" s="19" t="n">
        <v>77.724798</v>
      </c>
      <c r="K481" s="20" t="n">
        <f aca="false">IF(OR(J481="",J481=0),"",(I481-J481)/J481)</f>
        <v>0</v>
      </c>
      <c r="L481" s="21" t="str">
        <f aca="false">IF(OR(D481="",G481="",J481=""),"No reported subtotal",IF(AND(ABS(N(E481))&lt;=$D$2,ABS(N(H481))&lt;=$D$2,ABS(N(K481))&lt;=$D$2),"Reconciles within tolerance","Outside tolerance"))</f>
        <v>Reconciles within tolerance</v>
      </c>
    </row>
    <row r="482" customFormat="false" ht="15" hidden="false" customHeight="false" outlineLevel="0" collapsed="false">
      <c r="A482" s="7" t="n">
        <v>2009</v>
      </c>
      <c r="B482" s="15" t="s">
        <v>106</v>
      </c>
      <c r="C482" s="19" t="n">
        <v>33.373649</v>
      </c>
      <c r="D482" s="19" t="n">
        <v>33.373649</v>
      </c>
      <c r="E482" s="20" t="n">
        <f aca="false">IF(OR(D482="",D482=0),"",(C482-D482)/D482)</f>
        <v>0</v>
      </c>
      <c r="F482" s="19" t="n">
        <v>49.683748</v>
      </c>
      <c r="G482" s="19" t="n">
        <v>49.683748</v>
      </c>
      <c r="H482" s="20" t="n">
        <f aca="false">IF(OR(G482="",G482=0),"",(F482-G482)/G482)</f>
        <v>0</v>
      </c>
      <c r="I482" s="19" t="n">
        <v>93.683433</v>
      </c>
      <c r="J482" s="19" t="n">
        <v>93.683433</v>
      </c>
      <c r="K482" s="20" t="n">
        <f aca="false">IF(OR(J482="",J482=0),"",(I482-J482)/J482)</f>
        <v>0</v>
      </c>
      <c r="L482" s="21" t="str">
        <f aca="false">IF(OR(D482="",G482="",J482=""),"No reported subtotal",IF(AND(ABS(N(E482))&lt;=$D$2,ABS(N(H482))&lt;=$D$2,ABS(N(K482))&lt;=$D$2),"Reconciles within tolerance","Outside tolerance"))</f>
        <v>Reconciles within tolerance</v>
      </c>
    </row>
    <row r="483" customFormat="false" ht="15" hidden="false" customHeight="false" outlineLevel="0" collapsed="false">
      <c r="A483" s="7" t="n">
        <v>2010</v>
      </c>
      <c r="B483" s="15" t="s">
        <v>106</v>
      </c>
      <c r="C483" s="19" t="n">
        <v>37.612011</v>
      </c>
      <c r="D483" s="19" t="n">
        <v>37.612011</v>
      </c>
      <c r="E483" s="20" t="n">
        <f aca="false">IF(OR(D483="",D483=0),"",(C483-D483)/D483)</f>
        <v>0</v>
      </c>
      <c r="F483" s="19" t="n">
        <v>57.619894</v>
      </c>
      <c r="G483" s="19" t="n">
        <v>57.619894</v>
      </c>
      <c r="H483" s="20" t="n">
        <f aca="false">IF(OR(G483="",G483=0),"",(F483-G483)/G483)</f>
        <v>0</v>
      </c>
      <c r="I483" s="19" t="n">
        <v>79.37353</v>
      </c>
      <c r="J483" s="19" t="n">
        <v>79.37353</v>
      </c>
      <c r="K483" s="20" t="n">
        <f aca="false">IF(OR(J483="",J483=0),"",(I483-J483)/J483)</f>
        <v>0</v>
      </c>
      <c r="L483" s="21" t="str">
        <f aca="false">IF(OR(D483="",G483="",J483=""),"No reported subtotal",IF(AND(ABS(N(E483))&lt;=$D$2,ABS(N(H483))&lt;=$D$2,ABS(N(K483))&lt;=$D$2),"Reconciles within tolerance","Outside tolerance"))</f>
        <v>Reconciles within tolerance</v>
      </c>
    </row>
    <row r="484" customFormat="false" ht="15" hidden="false" customHeight="false" outlineLevel="0" collapsed="false">
      <c r="A484" s="7" t="n">
        <v>2011</v>
      </c>
      <c r="B484" s="15" t="s">
        <v>106</v>
      </c>
      <c r="C484" s="19" t="n">
        <v>48.484714</v>
      </c>
      <c r="D484" s="19" t="n">
        <v>48.484714</v>
      </c>
      <c r="E484" s="20" t="n">
        <f aca="false">IF(OR(D484="",D484=0),"",(C484-D484)/D484)</f>
        <v>0</v>
      </c>
      <c r="F484" s="19" t="n">
        <v>74.4068</v>
      </c>
      <c r="G484" s="19" t="n">
        <v>74.4068</v>
      </c>
      <c r="H484" s="20" t="n">
        <f aca="false">IF(OR(G484="",G484=0),"",(F484-G484)/G484)</f>
        <v>0</v>
      </c>
      <c r="I484" s="19" t="n">
        <v>78.13427</v>
      </c>
      <c r="J484" s="19" t="n">
        <v>78.13427</v>
      </c>
      <c r="K484" s="20" t="n">
        <f aca="false">IF(OR(J484="",J484=0),"",(I484-J484)/J484)</f>
        <v>0</v>
      </c>
      <c r="L484" s="21" t="str">
        <f aca="false">IF(OR(D484="",G484="",J484=""),"No reported subtotal",IF(AND(ABS(N(E484))&lt;=$D$2,ABS(N(H484))&lt;=$D$2,ABS(N(K484))&lt;=$D$2),"Reconciles within tolerance","Outside tolerance"))</f>
        <v>Reconciles within tolerance</v>
      </c>
    </row>
    <row r="485" customFormat="false" ht="15" hidden="false" customHeight="false" outlineLevel="0" collapsed="false">
      <c r="A485" s="7" t="n">
        <v>2012</v>
      </c>
      <c r="B485" s="15" t="s">
        <v>106</v>
      </c>
      <c r="C485" s="19" t="n">
        <v>49.313186</v>
      </c>
      <c r="D485" s="19" t="n">
        <v>49.313186</v>
      </c>
      <c r="E485" s="20" t="n">
        <f aca="false">IF(OR(D485="",D485=0),"",(C485-D485)/D485)</f>
        <v>0</v>
      </c>
      <c r="F485" s="19" t="n">
        <v>75.539323</v>
      </c>
      <c r="G485" s="19" t="n">
        <v>75.539323</v>
      </c>
      <c r="H485" s="20" t="n">
        <f aca="false">IF(OR(G485="",G485=0),"",(F485-G485)/G485)</f>
        <v>0</v>
      </c>
      <c r="I485" s="19" t="n">
        <v>126.964148</v>
      </c>
      <c r="J485" s="19" t="n">
        <v>126.964148</v>
      </c>
      <c r="K485" s="20" t="n">
        <f aca="false">IF(OR(J485="",J485=0),"",(I485-J485)/J485)</f>
        <v>0</v>
      </c>
      <c r="L485" s="21" t="str">
        <f aca="false">IF(OR(D485="",G485="",J485=""),"No reported subtotal",IF(AND(ABS(N(E485))&lt;=$D$2,ABS(N(H485))&lt;=$D$2,ABS(N(K485))&lt;=$D$2),"Reconciles within tolerance","Outside tolerance"))</f>
        <v>Reconciles within tolerance</v>
      </c>
    </row>
    <row r="486" customFormat="false" ht="15" hidden="false" customHeight="false" outlineLevel="0" collapsed="false">
      <c r="A486" s="7" t="n">
        <v>2013</v>
      </c>
      <c r="B486" s="15" t="s">
        <v>106</v>
      </c>
      <c r="C486" s="19" t="n">
        <v>36.656893</v>
      </c>
      <c r="D486" s="19" t="n">
        <v>36.656893</v>
      </c>
      <c r="E486" s="20" t="n">
        <f aca="false">IF(OR(D486="",D486=0),"",(C486-D486)/D486)</f>
        <v>0</v>
      </c>
      <c r="F486" s="19" t="n">
        <v>66.865156</v>
      </c>
      <c r="G486" s="19" t="n">
        <v>66.865156</v>
      </c>
      <c r="H486" s="20" t="n">
        <f aca="false">IF(OR(G486="",G486=0),"",(F486-G486)/G486)</f>
        <v>0</v>
      </c>
      <c r="I486" s="19" t="n">
        <v>67.415091</v>
      </c>
      <c r="J486" s="19" t="n">
        <v>67.415091</v>
      </c>
      <c r="K486" s="20" t="n">
        <f aca="false">IF(OR(J486="",J486=0),"",(I486-J486)/J486)</f>
        <v>0</v>
      </c>
      <c r="L486" s="21" t="str">
        <f aca="false">IF(OR(D486="",G486="",J486=""),"No reported subtotal",IF(AND(ABS(N(E486))&lt;=$D$2,ABS(N(H486))&lt;=$D$2,ABS(N(K486))&lt;=$D$2),"Reconciles within tolerance","Outside tolerance"))</f>
        <v>Reconciles within tolerance</v>
      </c>
    </row>
    <row r="487" customFormat="false" ht="15" hidden="false" customHeight="false" outlineLevel="0" collapsed="false">
      <c r="A487" s="7" t="n">
        <v>2014</v>
      </c>
      <c r="B487" s="15" t="s">
        <v>106</v>
      </c>
      <c r="C487" s="19" t="n">
        <v>51.433143</v>
      </c>
      <c r="D487" s="19" t="n">
        <v>51.433143</v>
      </c>
      <c r="E487" s="20" t="n">
        <f aca="false">IF(OR(D487="",D487=0),"",(C487-D487)/D487)</f>
        <v>0</v>
      </c>
      <c r="F487" s="19" t="n">
        <v>61.66403</v>
      </c>
      <c r="G487" s="19" t="n">
        <v>61.66403</v>
      </c>
      <c r="H487" s="20" t="n">
        <f aca="false">IF(OR(G487="",G487=0),"",(F487-G487)/G487)</f>
        <v>0</v>
      </c>
      <c r="I487" s="19" t="n">
        <v>101.674373</v>
      </c>
      <c r="J487" s="19" t="n">
        <v>101.674373</v>
      </c>
      <c r="K487" s="20" t="n">
        <f aca="false">IF(OR(J487="",J487=0),"",(I487-J487)/J487)</f>
        <v>0</v>
      </c>
      <c r="L487" s="21" t="str">
        <f aca="false">IF(OR(D487="",G487="",J487=""),"No reported subtotal",IF(AND(ABS(N(E487))&lt;=$D$2,ABS(N(H487))&lt;=$D$2,ABS(N(K487))&lt;=$D$2),"Reconciles within tolerance","Outside tolerance"))</f>
        <v>Reconciles within tolerance</v>
      </c>
    </row>
    <row r="488" customFormat="false" ht="15" hidden="false" customHeight="false" outlineLevel="0" collapsed="false">
      <c r="A488" s="7" t="n">
        <v>2015</v>
      </c>
      <c r="B488" s="15" t="s">
        <v>106</v>
      </c>
      <c r="C488" s="19" t="n">
        <v>39.664665</v>
      </c>
      <c r="D488" s="19" t="n">
        <v>39.664665</v>
      </c>
      <c r="E488" s="20" t="n">
        <f aca="false">IF(OR(D488="",D488=0),"",(C488-D488)/D488)</f>
        <v>0</v>
      </c>
      <c r="F488" s="19" t="n">
        <v>64.916562</v>
      </c>
      <c r="G488" s="19" t="n">
        <v>64.916562</v>
      </c>
      <c r="H488" s="20" t="n">
        <f aca="false">IF(OR(G488="",G488=0),"",(F488-G488)/G488)</f>
        <v>0</v>
      </c>
      <c r="I488" s="19" t="n">
        <v>88.63308</v>
      </c>
      <c r="J488" s="19" t="n">
        <v>88.63308</v>
      </c>
      <c r="K488" s="20" t="n">
        <f aca="false">IF(OR(J488="",J488=0),"",(I488-J488)/J488)</f>
        <v>0</v>
      </c>
      <c r="L488" s="21" t="str">
        <f aca="false">IF(OR(D488="",G488="",J488=""),"No reported subtotal",IF(AND(ABS(N(E488))&lt;=$D$2,ABS(N(H488))&lt;=$D$2,ABS(N(K488))&lt;=$D$2),"Reconciles within tolerance","Outside tolerance"))</f>
        <v>Reconciles within tolerance</v>
      </c>
    </row>
    <row r="489" customFormat="false" ht="15" hidden="false" customHeight="false" outlineLevel="0" collapsed="false">
      <c r="A489" s="7" t="n">
        <v>2016</v>
      </c>
      <c r="B489" s="15" t="s">
        <v>106</v>
      </c>
      <c r="C489" s="19" t="n">
        <v>45.4635</v>
      </c>
      <c r="D489" s="19" t="n">
        <v>45.4635</v>
      </c>
      <c r="E489" s="20" t="n">
        <f aca="false">IF(OR(D489="",D489=0),"",(C489-D489)/D489)</f>
        <v>0</v>
      </c>
      <c r="F489" s="19" t="n">
        <v>60.559641</v>
      </c>
      <c r="G489" s="19" t="n">
        <v>60.559641</v>
      </c>
      <c r="H489" s="20" t="n">
        <f aca="false">IF(OR(G489="",G489=0),"",(F489-G489)/G489)</f>
        <v>0</v>
      </c>
      <c r="I489" s="19" t="n">
        <v>100.463112</v>
      </c>
      <c r="J489" s="19" t="n">
        <v>100.463112</v>
      </c>
      <c r="K489" s="20" t="n">
        <f aca="false">IF(OR(J489="",J489=0),"",(I489-J489)/J489)</f>
        <v>0</v>
      </c>
      <c r="L489" s="21" t="str">
        <f aca="false">IF(OR(D489="",G489="",J489=""),"No reported subtotal",IF(AND(ABS(N(E489))&lt;=$D$2,ABS(N(H489))&lt;=$D$2,ABS(N(K489))&lt;=$D$2),"Reconciles within tolerance","Outside tolerance"))</f>
        <v>Reconciles within tolerance</v>
      </c>
    </row>
    <row r="490" customFormat="false" ht="15" hidden="false" customHeight="false" outlineLevel="0" collapsed="false">
      <c r="A490" s="7" t="n">
        <v>2017</v>
      </c>
      <c r="B490" s="15" t="s">
        <v>106</v>
      </c>
      <c r="C490" s="19" t="n">
        <v>51.441795</v>
      </c>
      <c r="D490" s="19" t="n">
        <v>51.441795</v>
      </c>
      <c r="E490" s="20" t="n">
        <f aca="false">IF(OR(D490="",D490=0),"",(C490-D490)/D490)</f>
        <v>0</v>
      </c>
      <c r="F490" s="19" t="n">
        <v>59.126708</v>
      </c>
      <c r="G490" s="19" t="n">
        <v>59.126708</v>
      </c>
      <c r="H490" s="20" t="n">
        <f aca="false">IF(OR(G490="",G490=0),"",(F490-G490)/G490)</f>
        <v>0</v>
      </c>
      <c r="I490" s="19" t="n">
        <v>112.504289</v>
      </c>
      <c r="J490" s="19" t="n">
        <v>112.504289</v>
      </c>
      <c r="K490" s="20" t="n">
        <f aca="false">IF(OR(J490="",J490=0),"",(I490-J490)/J490)</f>
        <v>0</v>
      </c>
      <c r="L490" s="21" t="str">
        <f aca="false">IF(OR(D490="",G490="",J490=""),"No reported subtotal",IF(AND(ABS(N(E490))&lt;=$D$2,ABS(N(H490))&lt;=$D$2,ABS(N(K490))&lt;=$D$2),"Reconciles within tolerance","Outside tolerance"))</f>
        <v>Reconciles within tolerance</v>
      </c>
    </row>
    <row r="491" customFormat="false" ht="15" hidden="false" customHeight="false" outlineLevel="0" collapsed="false">
      <c r="A491" s="7" t="n">
        <v>2018</v>
      </c>
      <c r="B491" s="15" t="s">
        <v>106</v>
      </c>
      <c r="C491" s="19" t="n">
        <v>113.131535</v>
      </c>
      <c r="D491" s="19" t="n">
        <v>113.131535</v>
      </c>
      <c r="E491" s="20" t="n">
        <f aca="false">IF(OR(D491="",D491=0),"",(C491-D491)/D491)</f>
        <v>0</v>
      </c>
      <c r="F491" s="19" t="n">
        <v>60.642023</v>
      </c>
      <c r="G491" s="19" t="n">
        <v>60.642023</v>
      </c>
      <c r="H491" s="20" t="n">
        <f aca="false">IF(OR(G491="",G491=0),"",(F491-G491)/G491)</f>
        <v>0</v>
      </c>
      <c r="I491" s="19" t="n">
        <v>161.741359</v>
      </c>
      <c r="J491" s="19" t="n">
        <v>161.741359</v>
      </c>
      <c r="K491" s="20" t="n">
        <f aca="false">IF(OR(J491="",J491=0),"",(I491-J491)/J491)</f>
        <v>0</v>
      </c>
      <c r="L491" s="21" t="str">
        <f aca="false">IF(OR(D491="",G491="",J491=""),"No reported subtotal",IF(AND(ABS(N(E491))&lt;=$D$2,ABS(N(H491))&lt;=$D$2,ABS(N(K491))&lt;=$D$2),"Reconciles within tolerance","Outside tolerance"))</f>
        <v>Reconciles within tolerance</v>
      </c>
    </row>
    <row r="492" customFormat="false" ht="15" hidden="false" customHeight="false" outlineLevel="0" collapsed="false">
      <c r="A492" s="7" t="n">
        <v>2019</v>
      </c>
      <c r="B492" s="15" t="s">
        <v>106</v>
      </c>
      <c r="C492" s="19" t="n">
        <v>72.953628</v>
      </c>
      <c r="D492" s="19" t="n">
        <v>72.953628</v>
      </c>
      <c r="E492" s="20" t="n">
        <f aca="false">IF(OR(D492="",D492=0),"",(C492-D492)/D492)</f>
        <v>0</v>
      </c>
      <c r="F492" s="19" t="n">
        <v>57.375661</v>
      </c>
      <c r="G492" s="19" t="n">
        <v>57.375661</v>
      </c>
      <c r="H492" s="20" t="n">
        <f aca="false">IF(OR(G492="",G492=0),"",(F492-G492)/G492)</f>
        <v>0</v>
      </c>
      <c r="I492" s="19" t="n">
        <v>154.577413</v>
      </c>
      <c r="J492" s="19" t="n">
        <v>154.577413</v>
      </c>
      <c r="K492" s="20" t="n">
        <f aca="false">IF(OR(J492="",J492=0),"",(I492-J492)/J492)</f>
        <v>0</v>
      </c>
      <c r="L492" s="21" t="str">
        <f aca="false">IF(OR(D492="",G492="",J492=""),"No reported subtotal",IF(AND(ABS(N(E492))&lt;=$D$2,ABS(N(H492))&lt;=$D$2,ABS(N(K492))&lt;=$D$2),"Reconciles within tolerance","Outside tolerance"))</f>
        <v>Reconciles within tolerance</v>
      </c>
    </row>
    <row r="493" customFormat="false" ht="15" hidden="false" customHeight="false" outlineLevel="0" collapsed="false">
      <c r="A493" s="7" t="n">
        <v>2020</v>
      </c>
      <c r="B493" s="15" t="s">
        <v>106</v>
      </c>
      <c r="C493" s="19" t="n">
        <v>80.018384</v>
      </c>
      <c r="D493" s="19" t="n">
        <v>80.018384</v>
      </c>
      <c r="E493" s="20" t="n">
        <f aca="false">IF(OR(D493="",D493=0),"",(C493-D493)/D493)</f>
        <v>0</v>
      </c>
      <c r="F493" s="19" t="n">
        <v>63.175356</v>
      </c>
      <c r="G493" s="19" t="n">
        <v>63.175356</v>
      </c>
      <c r="H493" s="20" t="n">
        <f aca="false">IF(OR(G493="",G493=0),"",(F493-G493)/G493)</f>
        <v>0</v>
      </c>
      <c r="I493" s="19" t="n">
        <v>133.568945</v>
      </c>
      <c r="J493" s="19" t="n">
        <v>133.568945</v>
      </c>
      <c r="K493" s="20" t="n">
        <f aca="false">IF(OR(J493="",J493=0),"",(I493-J493)/J493)</f>
        <v>0</v>
      </c>
      <c r="L493" s="21" t="str">
        <f aca="false">IF(OR(D493="",G493="",J493=""),"No reported subtotal",IF(AND(ABS(N(E493))&lt;=$D$2,ABS(N(H493))&lt;=$D$2,ABS(N(K493))&lt;=$D$2),"Reconciles within tolerance","Outside tolerance"))</f>
        <v>Reconciles within tolerance</v>
      </c>
    </row>
    <row r="494" customFormat="false" ht="15" hidden="false" customHeight="false" outlineLevel="0" collapsed="false">
      <c r="A494" s="7" t="n">
        <v>2021</v>
      </c>
      <c r="B494" s="15" t="s">
        <v>106</v>
      </c>
      <c r="C494" s="19" t="n">
        <v>78.035041</v>
      </c>
      <c r="D494" s="19" t="n">
        <v>78.035041</v>
      </c>
      <c r="E494" s="20" t="n">
        <f aca="false">IF(OR(D494="",D494=0),"",(C494-D494)/D494)</f>
        <v>0</v>
      </c>
      <c r="F494" s="19" t="n">
        <v>55.551781</v>
      </c>
      <c r="G494" s="19" t="n">
        <v>55.551781</v>
      </c>
      <c r="H494" s="20" t="n">
        <f aca="false">IF(OR(G494="",G494=0),"",(F494-G494)/G494)</f>
        <v>0</v>
      </c>
      <c r="I494" s="19" t="n">
        <v>139.049497</v>
      </c>
      <c r="J494" s="19" t="n">
        <v>139.049497</v>
      </c>
      <c r="K494" s="20" t="n">
        <f aca="false">IF(OR(J494="",J494=0),"",(I494-J494)/J494)</f>
        <v>0</v>
      </c>
      <c r="L494" s="21" t="str">
        <f aca="false">IF(OR(D494="",G494="",J494=""),"No reported subtotal",IF(AND(ABS(N(E494))&lt;=$D$2,ABS(N(H494))&lt;=$D$2,ABS(N(K494))&lt;=$D$2),"Reconciles within tolerance","Outside tolerance"))</f>
        <v>Reconciles within tolerance</v>
      </c>
    </row>
    <row r="495" customFormat="false" ht="15" hidden="false" customHeight="false" outlineLevel="0" collapsed="false">
      <c r="A495" s="7" t="n">
        <v>2022</v>
      </c>
      <c r="B495" s="15" t="s">
        <v>106</v>
      </c>
      <c r="C495" s="19" t="n">
        <v>91.127717</v>
      </c>
      <c r="D495" s="19" t="n">
        <v>91.127717</v>
      </c>
      <c r="E495" s="20" t="n">
        <f aca="false">IF(OR(D495="",D495=0),"",(C495-D495)/D495)</f>
        <v>0</v>
      </c>
      <c r="F495" s="19" t="n">
        <v>71.284021</v>
      </c>
      <c r="G495" s="19" t="n">
        <v>71.284021</v>
      </c>
      <c r="H495" s="20" t="n">
        <f aca="false">IF(OR(G495="",G495=0),"",(F495-G495)/G495)</f>
        <v>0</v>
      </c>
      <c r="I495" s="19" t="n">
        <v>114.4994</v>
      </c>
      <c r="J495" s="19" t="n">
        <v>114.4994</v>
      </c>
      <c r="K495" s="20" t="n">
        <f aca="false">IF(OR(J495="",J495=0),"",(I495-J495)/J495)</f>
        <v>0</v>
      </c>
      <c r="L495" s="21" t="str">
        <f aca="false">IF(OR(D495="",G495="",J495=""),"No reported subtotal",IF(AND(ABS(N(E495))&lt;=$D$2,ABS(N(H495))&lt;=$D$2,ABS(N(K495))&lt;=$D$2),"Reconciles within tolerance","Outside tolerance"))</f>
        <v>Reconciles within tolerance</v>
      </c>
    </row>
    <row r="496" customFormat="false" ht="15" hidden="false" customHeight="false" outlineLevel="0" collapsed="false">
      <c r="A496" s="7" t="n">
        <v>2023</v>
      </c>
      <c r="B496" s="15" t="s">
        <v>106</v>
      </c>
      <c r="C496" s="19" t="n">
        <v>85.83434</v>
      </c>
      <c r="D496" s="19" t="n">
        <v>85.83434</v>
      </c>
      <c r="E496" s="20" t="n">
        <f aca="false">IF(OR(D496="",D496=0),"",(C496-D496)/D496)</f>
        <v>0</v>
      </c>
      <c r="F496" s="19" t="n">
        <v>67.421184</v>
      </c>
      <c r="G496" s="19" t="n">
        <v>67.421184</v>
      </c>
      <c r="H496" s="20" t="n">
        <f aca="false">IF(OR(G496="",G496=0),"",(F496-G496)/G496)</f>
        <v>0</v>
      </c>
      <c r="I496" s="19" t="n">
        <v>142.158773</v>
      </c>
      <c r="J496" s="19" t="n">
        <v>142.158773</v>
      </c>
      <c r="K496" s="20" t="n">
        <f aca="false">IF(OR(J496="",J496=0),"",(I496-J496)/J496)</f>
        <v>0</v>
      </c>
      <c r="L496" s="21" t="str">
        <f aca="false">IF(OR(D496="",G496="",J496=""),"No reported subtotal",IF(AND(ABS(N(E496))&lt;=$D$2,ABS(N(H496))&lt;=$D$2,ABS(N(K496))&lt;=$D$2),"Reconciles within tolerance","Outside tolerance"))</f>
        <v>Reconciles within tolerance</v>
      </c>
    </row>
    <row r="497" customFormat="false" ht="15" hidden="false" customHeight="false" outlineLevel="0" collapsed="false">
      <c r="A497" s="7" t="n">
        <v>2000</v>
      </c>
      <c r="B497" s="15" t="s">
        <v>149</v>
      </c>
      <c r="C497" s="19" t="n">
        <v>59.844972</v>
      </c>
      <c r="D497" s="19" t="n">
        <v>59.844972</v>
      </c>
      <c r="E497" s="20" t="n">
        <f aca="false">IF(OR(D497="",D497=0),"",(C497-D497)/D497)</f>
        <v>0</v>
      </c>
      <c r="F497" s="19" t="n">
        <v>58.504041</v>
      </c>
      <c r="G497" s="19" t="n">
        <v>58.504041</v>
      </c>
      <c r="H497" s="20" t="n">
        <f aca="false">IF(OR(G497="",G497=0),"",(F497-G497)/G497)</f>
        <v>0</v>
      </c>
      <c r="I497" s="19" t="n">
        <v>69.052292</v>
      </c>
      <c r="J497" s="19" t="n">
        <v>69.052292</v>
      </c>
      <c r="K497" s="20" t="n">
        <f aca="false">IF(OR(J497="",J497=0),"",(I497-J497)/J497)</f>
        <v>0</v>
      </c>
      <c r="L497" s="21" t="str">
        <f aca="false">IF(OR(D497="",G497="",J497=""),"No reported subtotal",IF(AND(ABS(N(E497))&lt;=$D$2,ABS(N(H497))&lt;=$D$2,ABS(N(K497))&lt;=$D$2),"Reconciles within tolerance","Outside tolerance"))</f>
        <v>Reconciles within tolerance</v>
      </c>
    </row>
    <row r="498" customFormat="false" ht="15" hidden="false" customHeight="false" outlineLevel="0" collapsed="false">
      <c r="A498" s="7" t="n">
        <v>2001</v>
      </c>
      <c r="B498" s="15" t="s">
        <v>149</v>
      </c>
      <c r="C498" s="19" t="n">
        <v>69.785249</v>
      </c>
      <c r="D498" s="19" t="n">
        <v>69.785249</v>
      </c>
      <c r="E498" s="20" t="n">
        <f aca="false">IF(OR(D498="",D498=0),"",(C498-D498)/D498)</f>
        <v>0</v>
      </c>
      <c r="F498" s="19" t="n">
        <v>60.348371</v>
      </c>
      <c r="G498" s="19" t="n">
        <v>60.348371</v>
      </c>
      <c r="H498" s="20" t="n">
        <f aca="false">IF(OR(G498="",G498=0),"",(F498-G498)/G498)</f>
        <v>0</v>
      </c>
      <c r="I498" s="19" t="n">
        <v>95.282104</v>
      </c>
      <c r="J498" s="19" t="n">
        <v>95.282104</v>
      </c>
      <c r="K498" s="20" t="n">
        <f aca="false">IF(OR(J498="",J498=0),"",(I498-J498)/J498)</f>
        <v>0</v>
      </c>
      <c r="L498" s="21" t="str">
        <f aca="false">IF(OR(D498="",G498="",J498=""),"No reported subtotal",IF(AND(ABS(N(E498))&lt;=$D$2,ABS(N(H498))&lt;=$D$2,ABS(N(K498))&lt;=$D$2),"Reconciles within tolerance","Outside tolerance"))</f>
        <v>Reconciles within tolerance</v>
      </c>
    </row>
    <row r="499" customFormat="false" ht="15" hidden="false" customHeight="false" outlineLevel="0" collapsed="false">
      <c r="A499" s="7" t="n">
        <v>2002</v>
      </c>
      <c r="B499" s="15" t="s">
        <v>149</v>
      </c>
      <c r="C499" s="19" t="n">
        <v>63.986897</v>
      </c>
      <c r="D499" s="19" t="n">
        <v>63.986897</v>
      </c>
      <c r="E499" s="20" t="n">
        <f aca="false">IF(OR(D499="",D499=0),"",(C499-D499)/D499)</f>
        <v>0</v>
      </c>
      <c r="F499" s="19" t="n">
        <v>45.164602</v>
      </c>
      <c r="G499" s="19" t="n">
        <v>45.164602</v>
      </c>
      <c r="H499" s="20" t="n">
        <f aca="false">IF(OR(G499="",G499=0),"",(F499-G499)/G499)</f>
        <v>0</v>
      </c>
      <c r="I499" s="19" t="n">
        <v>87.527555</v>
      </c>
      <c r="J499" s="19" t="n">
        <v>87.527555</v>
      </c>
      <c r="K499" s="20" t="n">
        <f aca="false">IF(OR(J499="",J499=0),"",(I499-J499)/J499)</f>
        <v>0</v>
      </c>
      <c r="L499" s="21" t="str">
        <f aca="false">IF(OR(D499="",G499="",J499=""),"No reported subtotal",IF(AND(ABS(N(E499))&lt;=$D$2,ABS(N(H499))&lt;=$D$2,ABS(N(K499))&lt;=$D$2),"Reconciles within tolerance","Outside tolerance"))</f>
        <v>Reconciles within tolerance</v>
      </c>
    </row>
    <row r="500" customFormat="false" ht="15" hidden="false" customHeight="false" outlineLevel="0" collapsed="false">
      <c r="A500" s="7" t="n">
        <v>2003</v>
      </c>
      <c r="B500" s="15" t="s">
        <v>149</v>
      </c>
      <c r="C500" s="19" t="n">
        <v>67.609379</v>
      </c>
      <c r="D500" s="19" t="n">
        <v>67.609379</v>
      </c>
      <c r="E500" s="20" t="n">
        <f aca="false">IF(OR(D500="",D500=0),"",(C500-D500)/D500)</f>
        <v>0</v>
      </c>
      <c r="F500" s="19" t="n">
        <v>45.234368</v>
      </c>
      <c r="G500" s="19" t="n">
        <v>45.234368</v>
      </c>
      <c r="H500" s="20" t="n">
        <f aca="false">IF(OR(G500="",G500=0),"",(F500-G500)/G500)</f>
        <v>0</v>
      </c>
      <c r="I500" s="19" t="n">
        <v>75.867459</v>
      </c>
      <c r="J500" s="19" t="n">
        <v>75.867459</v>
      </c>
      <c r="K500" s="20" t="n">
        <f aca="false">IF(OR(J500="",J500=0),"",(I500-J500)/J500)</f>
        <v>0</v>
      </c>
      <c r="L500" s="21" t="str">
        <f aca="false">IF(OR(D500="",G500="",J500=""),"No reported subtotal",IF(AND(ABS(N(E500))&lt;=$D$2,ABS(N(H500))&lt;=$D$2,ABS(N(K500))&lt;=$D$2),"Reconciles within tolerance","Outside tolerance"))</f>
        <v>Reconciles within tolerance</v>
      </c>
    </row>
    <row r="501" customFormat="false" ht="15" hidden="false" customHeight="false" outlineLevel="0" collapsed="false">
      <c r="A501" s="7" t="n">
        <v>2004</v>
      </c>
      <c r="B501" s="15" t="s">
        <v>149</v>
      </c>
      <c r="C501" s="19" t="n">
        <v>74.116741</v>
      </c>
      <c r="D501" s="19" t="n">
        <v>74.116741</v>
      </c>
      <c r="E501" s="20" t="n">
        <f aca="false">IF(OR(D501="",D501=0),"",(C501-D501)/D501)</f>
        <v>0</v>
      </c>
      <c r="F501" s="19" t="n">
        <v>48.582789</v>
      </c>
      <c r="G501" s="19" t="n">
        <v>48.582789</v>
      </c>
      <c r="H501" s="20" t="n">
        <f aca="false">IF(OR(G501="",G501=0),"",(F501-G501)/G501)</f>
        <v>0</v>
      </c>
      <c r="I501" s="19" t="n">
        <v>106.130234</v>
      </c>
      <c r="J501" s="19" t="n">
        <v>106.130234</v>
      </c>
      <c r="K501" s="20" t="n">
        <f aca="false">IF(OR(J501="",J501=0),"",(I501-J501)/J501)</f>
        <v>0</v>
      </c>
      <c r="L501" s="21" t="str">
        <f aca="false">IF(OR(D501="",G501="",J501=""),"No reported subtotal",IF(AND(ABS(N(E501))&lt;=$D$2,ABS(N(H501))&lt;=$D$2,ABS(N(K501))&lt;=$D$2),"Reconciles within tolerance","Outside tolerance"))</f>
        <v>Reconciles within tolerance</v>
      </c>
    </row>
    <row r="502" customFormat="false" ht="15" hidden="false" customHeight="false" outlineLevel="0" collapsed="false">
      <c r="A502" s="7" t="n">
        <v>2005</v>
      </c>
      <c r="B502" s="15" t="s">
        <v>149</v>
      </c>
      <c r="C502" s="19" t="n">
        <v>81.253431</v>
      </c>
      <c r="D502" s="19" t="n">
        <v>81.253431</v>
      </c>
      <c r="E502" s="20" t="n">
        <f aca="false">IF(OR(D502="",D502=0),"",(C502-D502)/D502)</f>
        <v>0</v>
      </c>
      <c r="F502" s="19" t="n">
        <v>56.196106</v>
      </c>
      <c r="G502" s="19" t="n">
        <v>56.196106</v>
      </c>
      <c r="H502" s="20" t="n">
        <f aca="false">IF(OR(G502="",G502=0),"",(F502-G502)/G502)</f>
        <v>0</v>
      </c>
      <c r="I502" s="19" t="n">
        <v>114.467065</v>
      </c>
      <c r="J502" s="19" t="n">
        <v>114.467065</v>
      </c>
      <c r="K502" s="20" t="n">
        <f aca="false">IF(OR(J502="",J502=0),"",(I502-J502)/J502)</f>
        <v>0</v>
      </c>
      <c r="L502" s="21" t="str">
        <f aca="false">IF(OR(D502="",G502="",J502=""),"No reported subtotal",IF(AND(ABS(N(E502))&lt;=$D$2,ABS(N(H502))&lt;=$D$2,ABS(N(K502))&lt;=$D$2),"Reconciles within tolerance","Outside tolerance"))</f>
        <v>Reconciles within tolerance</v>
      </c>
    </row>
    <row r="503" customFormat="false" ht="15" hidden="false" customHeight="false" outlineLevel="0" collapsed="false">
      <c r="A503" s="7" t="n">
        <v>2006</v>
      </c>
      <c r="B503" s="15" t="s">
        <v>149</v>
      </c>
      <c r="C503" s="19" t="n">
        <v>83.559122</v>
      </c>
      <c r="D503" s="19" t="n">
        <v>83.559122</v>
      </c>
      <c r="E503" s="20" t="n">
        <f aca="false">IF(OR(D503="",D503=0),"",(C503-D503)/D503)</f>
        <v>0</v>
      </c>
      <c r="F503" s="19" t="n">
        <v>62.114098</v>
      </c>
      <c r="G503" s="19" t="n">
        <v>62.114098</v>
      </c>
      <c r="H503" s="20" t="n">
        <f aca="false">IF(OR(G503="",G503=0),"",(F503-G503)/G503)</f>
        <v>0</v>
      </c>
      <c r="I503" s="19" t="n">
        <v>100.884303</v>
      </c>
      <c r="J503" s="19" t="n">
        <v>100.884303</v>
      </c>
      <c r="K503" s="20" t="n">
        <f aca="false">IF(OR(J503="",J503=0),"",(I503-J503)/J503)</f>
        <v>0</v>
      </c>
      <c r="L503" s="21" t="str">
        <f aca="false">IF(OR(D503="",G503="",J503=""),"No reported subtotal",IF(AND(ABS(N(E503))&lt;=$D$2,ABS(N(H503))&lt;=$D$2,ABS(N(K503))&lt;=$D$2),"Reconciles within tolerance","Outside tolerance"))</f>
        <v>Reconciles within tolerance</v>
      </c>
    </row>
    <row r="504" customFormat="false" ht="15" hidden="false" customHeight="false" outlineLevel="0" collapsed="false">
      <c r="A504" s="7" t="n">
        <v>2007</v>
      </c>
      <c r="B504" s="15" t="s">
        <v>149</v>
      </c>
      <c r="C504" s="19" t="n">
        <v>106.797941</v>
      </c>
      <c r="D504" s="19" t="n">
        <v>106.797941</v>
      </c>
      <c r="E504" s="20" t="n">
        <f aca="false">IF(OR(D504="",D504=0),"",(C504-D504)/D504)</f>
        <v>0</v>
      </c>
      <c r="F504" s="19" t="n">
        <v>63.938025</v>
      </c>
      <c r="G504" s="19" t="n">
        <v>63.938025</v>
      </c>
      <c r="H504" s="20" t="n">
        <f aca="false">IF(OR(G504="",G504=0),"",(F504-G504)/G504)</f>
        <v>0</v>
      </c>
      <c r="I504" s="19" t="n">
        <v>151.42702</v>
      </c>
      <c r="J504" s="19" t="n">
        <v>151.42702</v>
      </c>
      <c r="K504" s="20" t="n">
        <f aca="false">IF(OR(J504="",J504=0),"",(I504-J504)/J504)</f>
        <v>0</v>
      </c>
      <c r="L504" s="21" t="str">
        <f aca="false">IF(OR(D504="",G504="",J504=""),"No reported subtotal",IF(AND(ABS(N(E504))&lt;=$D$2,ABS(N(H504))&lt;=$D$2,ABS(N(K504))&lt;=$D$2),"Reconciles within tolerance","Outside tolerance"))</f>
        <v>Reconciles within tolerance</v>
      </c>
    </row>
    <row r="505" customFormat="false" ht="15" hidden="false" customHeight="false" outlineLevel="0" collapsed="false">
      <c r="A505" s="7" t="n">
        <v>2008</v>
      </c>
      <c r="B505" s="15" t="s">
        <v>149</v>
      </c>
      <c r="C505" s="19" t="n">
        <v>111.862749</v>
      </c>
      <c r="D505" s="19" t="n">
        <v>111.862749</v>
      </c>
      <c r="E505" s="20" t="n">
        <f aca="false">IF(OR(D505="",D505=0),"",(C505-D505)/D505)</f>
        <v>0</v>
      </c>
      <c r="F505" s="19" t="n">
        <v>64.600955</v>
      </c>
      <c r="G505" s="19" t="n">
        <v>64.600955</v>
      </c>
      <c r="H505" s="20" t="n">
        <f aca="false">IF(OR(G505="",G505=0),"",(F505-G505)/G505)</f>
        <v>0</v>
      </c>
      <c r="I505" s="19" t="n">
        <v>151.103492</v>
      </c>
      <c r="J505" s="19" t="n">
        <v>151.103492</v>
      </c>
      <c r="K505" s="20" t="n">
        <f aca="false">IF(OR(J505="",J505=0),"",(I505-J505)/J505)</f>
        <v>0</v>
      </c>
      <c r="L505" s="21" t="str">
        <f aca="false">IF(OR(D505="",G505="",J505=""),"No reported subtotal",IF(AND(ABS(N(E505))&lt;=$D$2,ABS(N(H505))&lt;=$D$2,ABS(N(K505))&lt;=$D$2),"Reconciles within tolerance","Outside tolerance"))</f>
        <v>Reconciles within tolerance</v>
      </c>
    </row>
    <row r="506" customFormat="false" ht="15" hidden="false" customHeight="false" outlineLevel="0" collapsed="false">
      <c r="A506" s="7" t="n">
        <v>2009</v>
      </c>
      <c r="B506" s="15" t="s">
        <v>149</v>
      </c>
      <c r="C506" s="19" t="n">
        <v>88.142321</v>
      </c>
      <c r="D506" s="19" t="n">
        <v>88.142321</v>
      </c>
      <c r="E506" s="20" t="n">
        <f aca="false">IF(OR(D506="",D506=0),"",(C506-D506)/D506)</f>
        <v>0</v>
      </c>
      <c r="F506" s="19" t="n">
        <v>69.528939</v>
      </c>
      <c r="G506" s="19" t="n">
        <v>69.528939</v>
      </c>
      <c r="H506" s="20" t="n">
        <f aca="false">IF(OR(G506="",G506=0),"",(F506-G506)/G506)</f>
        <v>0</v>
      </c>
      <c r="I506" s="19" t="n">
        <v>97.073663</v>
      </c>
      <c r="J506" s="19" t="n">
        <v>97.073663</v>
      </c>
      <c r="K506" s="20" t="n">
        <f aca="false">IF(OR(J506="",J506=0),"",(I506-J506)/J506)</f>
        <v>0</v>
      </c>
      <c r="L506" s="21" t="str">
        <f aca="false">IF(OR(D506="",G506="",J506=""),"No reported subtotal",IF(AND(ABS(N(E506))&lt;=$D$2,ABS(N(H506))&lt;=$D$2,ABS(N(K506))&lt;=$D$2),"Reconciles within tolerance","Outside tolerance"))</f>
        <v>Reconciles within tolerance</v>
      </c>
    </row>
    <row r="507" customFormat="false" ht="15" hidden="false" customHeight="false" outlineLevel="0" collapsed="false">
      <c r="A507" s="7" t="n">
        <v>2010</v>
      </c>
      <c r="B507" s="15" t="s">
        <v>149</v>
      </c>
      <c r="C507" s="19" t="n">
        <v>102.6114</v>
      </c>
      <c r="D507" s="19" t="n">
        <v>102.6114</v>
      </c>
      <c r="E507" s="20" t="n">
        <f aca="false">IF(OR(D507="",D507=0),"",(C507-D507)/D507)</f>
        <v>0</v>
      </c>
      <c r="F507" s="19" t="n">
        <v>75.064965</v>
      </c>
      <c r="G507" s="19" t="n">
        <v>75.064965</v>
      </c>
      <c r="H507" s="20" t="n">
        <f aca="false">IF(OR(G507="",G507=0),"",(F507-G507)/G507)</f>
        <v>0</v>
      </c>
      <c r="I507" s="19" t="n">
        <v>122.157327</v>
      </c>
      <c r="J507" s="19" t="n">
        <v>122.157327</v>
      </c>
      <c r="K507" s="20" t="n">
        <f aca="false">IF(OR(J507="",J507=0),"",(I507-J507)/J507)</f>
        <v>0</v>
      </c>
      <c r="L507" s="21" t="str">
        <f aca="false">IF(OR(D507="",G507="",J507=""),"No reported subtotal",IF(AND(ABS(N(E507))&lt;=$D$2,ABS(N(H507))&lt;=$D$2,ABS(N(K507))&lt;=$D$2),"Reconciles within tolerance","Outside tolerance"))</f>
        <v>Reconciles within tolerance</v>
      </c>
    </row>
    <row r="508" customFormat="false" ht="15" hidden="false" customHeight="false" outlineLevel="0" collapsed="false">
      <c r="A508" s="7" t="n">
        <v>2011</v>
      </c>
      <c r="B508" s="15" t="s">
        <v>149</v>
      </c>
      <c r="C508" s="19" t="n">
        <v>99.566279</v>
      </c>
      <c r="D508" s="19" t="n">
        <v>99.566279</v>
      </c>
      <c r="E508" s="20" t="n">
        <f aca="false">IF(OR(D508="",D508=0),"",(C508-D508)/D508)</f>
        <v>0</v>
      </c>
      <c r="F508" s="19" t="n">
        <v>72.765985</v>
      </c>
      <c r="G508" s="19" t="n">
        <v>72.765985</v>
      </c>
      <c r="H508" s="20" t="n">
        <f aca="false">IF(OR(G508="",G508=0),"",(F508-G508)/G508)</f>
        <v>0</v>
      </c>
      <c r="I508" s="19" t="n">
        <v>99.314365</v>
      </c>
      <c r="J508" s="19" t="n">
        <v>99.314365</v>
      </c>
      <c r="K508" s="20" t="n">
        <f aca="false">IF(OR(J508="",J508=0),"",(I508-J508)/J508)</f>
        <v>0</v>
      </c>
      <c r="L508" s="21" t="str">
        <f aca="false">IF(OR(D508="",G508="",J508=""),"No reported subtotal",IF(AND(ABS(N(E508))&lt;=$D$2,ABS(N(H508))&lt;=$D$2,ABS(N(K508))&lt;=$D$2),"Reconciles within tolerance","Outside tolerance"))</f>
        <v>Reconciles within tolerance</v>
      </c>
    </row>
    <row r="509" customFormat="false" ht="15" hidden="false" customHeight="false" outlineLevel="0" collapsed="false">
      <c r="A509" s="7" t="n">
        <v>2012</v>
      </c>
      <c r="B509" s="15" t="s">
        <v>149</v>
      </c>
      <c r="C509" s="19" t="n">
        <v>98.174938</v>
      </c>
      <c r="D509" s="19" t="n">
        <v>98.174938</v>
      </c>
      <c r="E509" s="20" t="n">
        <f aca="false">IF(OR(D509="",D509=0),"",(C509-D509)/D509)</f>
        <v>0</v>
      </c>
      <c r="F509" s="19" t="n">
        <v>80.664321</v>
      </c>
      <c r="G509" s="19" t="n">
        <v>80.664321</v>
      </c>
      <c r="H509" s="20" t="n">
        <f aca="false">IF(OR(G509="",G509=0),"",(F509-G509)/G509)</f>
        <v>0</v>
      </c>
      <c r="I509" s="19" t="n">
        <v>93.792967</v>
      </c>
      <c r="J509" s="19" t="n">
        <v>93.792967</v>
      </c>
      <c r="K509" s="20" t="n">
        <f aca="false">IF(OR(J509="",J509=0),"",(I509-J509)/J509)</f>
        <v>0</v>
      </c>
      <c r="L509" s="21" t="str">
        <f aca="false">IF(OR(D509="",G509="",J509=""),"No reported subtotal",IF(AND(ABS(N(E509))&lt;=$D$2,ABS(N(H509))&lt;=$D$2,ABS(N(K509))&lt;=$D$2),"Reconciles within tolerance","Outside tolerance"))</f>
        <v>Reconciles within tolerance</v>
      </c>
    </row>
    <row r="510" customFormat="false" ht="15" hidden="false" customHeight="false" outlineLevel="0" collapsed="false">
      <c r="A510" s="7" t="n">
        <v>2013</v>
      </c>
      <c r="B510" s="15" t="s">
        <v>149</v>
      </c>
      <c r="C510" s="19" t="n">
        <v>92.11616</v>
      </c>
      <c r="D510" s="19" t="n">
        <v>92.11616</v>
      </c>
      <c r="E510" s="20" t="n">
        <f aca="false">IF(OR(D510="",D510=0),"",(C510-D510)/D510)</f>
        <v>0</v>
      </c>
      <c r="F510" s="19" t="n">
        <v>83.685145</v>
      </c>
      <c r="G510" s="19" t="n">
        <v>83.685145</v>
      </c>
      <c r="H510" s="20" t="n">
        <f aca="false">IF(OR(G510="",G510=0),"",(F510-G510)/G510)</f>
        <v>0</v>
      </c>
      <c r="I510" s="19" t="n">
        <v>122.562541</v>
      </c>
      <c r="J510" s="19" t="n">
        <v>122.562541</v>
      </c>
      <c r="K510" s="20" t="n">
        <f aca="false">IF(OR(J510="",J510=0),"",(I510-J510)/J510)</f>
        <v>0</v>
      </c>
      <c r="L510" s="21" t="str">
        <f aca="false">IF(OR(D510="",G510="",J510=""),"No reported subtotal",IF(AND(ABS(N(E510))&lt;=$D$2,ABS(N(H510))&lt;=$D$2,ABS(N(K510))&lt;=$D$2),"Reconciles within tolerance","Outside tolerance"))</f>
        <v>Reconciles within tolerance</v>
      </c>
    </row>
    <row r="511" customFormat="false" ht="15" hidden="false" customHeight="false" outlineLevel="0" collapsed="false">
      <c r="A511" s="7" t="n">
        <v>2014</v>
      </c>
      <c r="B511" s="15" t="s">
        <v>149</v>
      </c>
      <c r="C511" s="19" t="n">
        <v>92.165068</v>
      </c>
      <c r="D511" s="19" t="n">
        <v>92.165068</v>
      </c>
      <c r="E511" s="20" t="n">
        <f aca="false">IF(OR(D511="",D511=0),"",(C511-D511)/D511)</f>
        <v>0</v>
      </c>
      <c r="F511" s="19" t="n">
        <v>106.103493</v>
      </c>
      <c r="G511" s="19" t="n">
        <v>106.103493</v>
      </c>
      <c r="H511" s="20" t="n">
        <f aca="false">IF(OR(G511="",G511=0),"",(F511-G511)/G511)</f>
        <v>0</v>
      </c>
      <c r="I511" s="19" t="n">
        <v>148.207999</v>
      </c>
      <c r="J511" s="19" t="n">
        <v>148.207999</v>
      </c>
      <c r="K511" s="20" t="n">
        <f aca="false">IF(OR(J511="",J511=0),"",(I511-J511)/J511)</f>
        <v>0</v>
      </c>
      <c r="L511" s="21" t="str">
        <f aca="false">IF(OR(D511="",G511="",J511=""),"No reported subtotal",IF(AND(ABS(N(E511))&lt;=$D$2,ABS(N(H511))&lt;=$D$2,ABS(N(K511))&lt;=$D$2),"Reconciles within tolerance","Outside tolerance"))</f>
        <v>Reconciles within tolerance</v>
      </c>
    </row>
    <row r="512" customFormat="false" ht="15" hidden="false" customHeight="false" outlineLevel="0" collapsed="false">
      <c r="A512" s="7" t="n">
        <v>2015</v>
      </c>
      <c r="B512" s="15" t="s">
        <v>149</v>
      </c>
      <c r="C512" s="19" t="n">
        <v>82.795516</v>
      </c>
      <c r="D512" s="19" t="n">
        <v>82.795516</v>
      </c>
      <c r="E512" s="20" t="n">
        <f aca="false">IF(OR(D512="",D512=0),"",(C512-D512)/D512)</f>
        <v>0</v>
      </c>
      <c r="F512" s="19" t="n">
        <v>107.681019</v>
      </c>
      <c r="G512" s="19" t="n">
        <v>107.681019</v>
      </c>
      <c r="H512" s="20" t="n">
        <f aca="false">IF(OR(G512="",G512=0),"",(F512-G512)/G512)</f>
        <v>0</v>
      </c>
      <c r="I512" s="19" t="n">
        <v>133.031959</v>
      </c>
      <c r="J512" s="19" t="n">
        <v>133.031959</v>
      </c>
      <c r="K512" s="20" t="n">
        <f aca="false">IF(OR(J512="",J512=0),"",(I512-J512)/J512)</f>
        <v>0</v>
      </c>
      <c r="L512" s="21" t="str">
        <f aca="false">IF(OR(D512="",G512="",J512=""),"No reported subtotal",IF(AND(ABS(N(E512))&lt;=$D$2,ABS(N(H512))&lt;=$D$2,ABS(N(K512))&lt;=$D$2),"Reconciles within tolerance","Outside tolerance"))</f>
        <v>Reconciles within tolerance</v>
      </c>
    </row>
    <row r="513" customFormat="false" ht="15" hidden="false" customHeight="false" outlineLevel="0" collapsed="false">
      <c r="A513" s="7" t="n">
        <v>2016</v>
      </c>
      <c r="B513" s="15" t="s">
        <v>149</v>
      </c>
      <c r="C513" s="19" t="n">
        <v>79.335853</v>
      </c>
      <c r="D513" s="19" t="n">
        <v>79.335853</v>
      </c>
      <c r="E513" s="20" t="n">
        <f aca="false">IF(OR(D513="",D513=0),"",(C513-D513)/D513)</f>
        <v>0</v>
      </c>
      <c r="F513" s="19" t="n">
        <v>112.771832</v>
      </c>
      <c r="G513" s="19" t="n">
        <v>112.771832</v>
      </c>
      <c r="H513" s="20" t="n">
        <f aca="false">IF(OR(G513="",G513=0),"",(F513-G513)/G513)</f>
        <v>0</v>
      </c>
      <c r="I513" s="19" t="n">
        <v>138.076311</v>
      </c>
      <c r="J513" s="19" t="n">
        <v>138.076311</v>
      </c>
      <c r="K513" s="20" t="n">
        <f aca="false">IF(OR(J513="",J513=0),"",(I513-J513)/J513)</f>
        <v>0</v>
      </c>
      <c r="L513" s="21" t="str">
        <f aca="false">IF(OR(D513="",G513="",J513=""),"No reported subtotal",IF(AND(ABS(N(E513))&lt;=$D$2,ABS(N(H513))&lt;=$D$2,ABS(N(K513))&lt;=$D$2),"Reconciles within tolerance","Outside tolerance"))</f>
        <v>Reconciles within tolerance</v>
      </c>
    </row>
    <row r="514" customFormat="false" ht="15" hidden="false" customHeight="false" outlineLevel="0" collapsed="false">
      <c r="A514" s="7" t="n">
        <v>2017</v>
      </c>
      <c r="B514" s="15" t="s">
        <v>149</v>
      </c>
      <c r="C514" s="19" t="n">
        <v>88.642552</v>
      </c>
      <c r="D514" s="19" t="n">
        <v>88.642552</v>
      </c>
      <c r="E514" s="20" t="n">
        <f aca="false">IF(OR(D514="",D514=0),"",(C514-D514)/D514)</f>
        <v>0</v>
      </c>
      <c r="F514" s="19" t="n">
        <v>135.423798</v>
      </c>
      <c r="G514" s="19" t="n">
        <v>135.423798</v>
      </c>
      <c r="H514" s="20" t="n">
        <f aca="false">IF(OR(G514="",G514=0),"",(F514-G514)/G514)</f>
        <v>0</v>
      </c>
      <c r="I514" s="19" t="n">
        <v>161.635118</v>
      </c>
      <c r="J514" s="19" t="n">
        <v>161.635118</v>
      </c>
      <c r="K514" s="20" t="n">
        <f aca="false">IF(OR(J514="",J514=0),"",(I514-J514)/J514)</f>
        <v>0</v>
      </c>
      <c r="L514" s="21" t="str">
        <f aca="false">IF(OR(D514="",G514="",J514=""),"No reported subtotal",IF(AND(ABS(N(E514))&lt;=$D$2,ABS(N(H514))&lt;=$D$2,ABS(N(K514))&lt;=$D$2),"Reconciles within tolerance","Outside tolerance"))</f>
        <v>Reconciles within tolerance</v>
      </c>
    </row>
    <row r="515" customFormat="false" ht="15" hidden="false" customHeight="false" outlineLevel="0" collapsed="false">
      <c r="A515" s="7" t="n">
        <v>2018</v>
      </c>
      <c r="B515" s="15" t="s">
        <v>149</v>
      </c>
      <c r="C515" s="19" t="n">
        <v>80.743361</v>
      </c>
      <c r="D515" s="19" t="n">
        <v>80.743361</v>
      </c>
      <c r="E515" s="20" t="n">
        <f aca="false">IF(OR(D515="",D515=0),"",(C515-D515)/D515)</f>
        <v>0</v>
      </c>
      <c r="F515" s="19" t="n">
        <v>145.227666</v>
      </c>
      <c r="G515" s="19" t="n">
        <v>145.227666</v>
      </c>
      <c r="H515" s="20" t="n">
        <f aca="false">IF(OR(G515="",G515=0),"",(F515-G515)/G515)</f>
        <v>0</v>
      </c>
      <c r="I515" s="19" t="n">
        <v>221.209962</v>
      </c>
      <c r="J515" s="19" t="n">
        <v>221.209962</v>
      </c>
      <c r="K515" s="20" t="n">
        <f aca="false">IF(OR(J515="",J515=0),"",(I515-J515)/J515)</f>
        <v>0</v>
      </c>
      <c r="L515" s="21" t="str">
        <f aca="false">IF(OR(D515="",G515="",J515=""),"No reported subtotal",IF(AND(ABS(N(E515))&lt;=$D$2,ABS(N(H515))&lt;=$D$2,ABS(N(K515))&lt;=$D$2),"Reconciles within tolerance","Outside tolerance"))</f>
        <v>Reconciles within tolerance</v>
      </c>
    </row>
    <row r="516" customFormat="false" ht="15" hidden="false" customHeight="false" outlineLevel="0" collapsed="false">
      <c r="A516" s="7" t="n">
        <v>2019</v>
      </c>
      <c r="B516" s="15" t="s">
        <v>149</v>
      </c>
      <c r="C516" s="19" t="n">
        <v>85.298216</v>
      </c>
      <c r="D516" s="19" t="n">
        <v>85.298216</v>
      </c>
      <c r="E516" s="20" t="n">
        <f aca="false">IF(OR(D516="",D516=0),"",(C516-D516)/D516)</f>
        <v>0</v>
      </c>
      <c r="F516" s="19" t="n">
        <v>98.434015</v>
      </c>
      <c r="G516" s="19" t="n">
        <v>98.434015</v>
      </c>
      <c r="H516" s="20" t="n">
        <f aca="false">IF(OR(G516="",G516=0),"",(F516-G516)/G516)</f>
        <v>0</v>
      </c>
      <c r="I516" s="19" t="n">
        <v>209.434617</v>
      </c>
      <c r="J516" s="19" t="n">
        <v>209.434617</v>
      </c>
      <c r="K516" s="20" t="n">
        <f aca="false">IF(OR(J516="",J516=0),"",(I516-J516)/J516)</f>
        <v>0</v>
      </c>
      <c r="L516" s="21" t="str">
        <f aca="false">IF(OR(D516="",G516="",J516=""),"No reported subtotal",IF(AND(ABS(N(E516))&lt;=$D$2,ABS(N(H516))&lt;=$D$2,ABS(N(K516))&lt;=$D$2),"Reconciles within tolerance","Outside tolerance"))</f>
        <v>Reconciles within tolerance</v>
      </c>
    </row>
    <row r="517" customFormat="false" ht="15" hidden="false" customHeight="false" outlineLevel="0" collapsed="false">
      <c r="A517" s="7" t="n">
        <v>2020</v>
      </c>
      <c r="B517" s="15" t="s">
        <v>149</v>
      </c>
      <c r="C517" s="19" t="n">
        <v>90.606296</v>
      </c>
      <c r="D517" s="19" t="n">
        <v>90.606296</v>
      </c>
      <c r="E517" s="20" t="n">
        <f aca="false">IF(OR(D517="",D517=0),"",(C517-D517)/D517)</f>
        <v>0</v>
      </c>
      <c r="F517" s="19" t="n">
        <v>74.206521</v>
      </c>
      <c r="G517" s="19" t="n">
        <v>74.206521</v>
      </c>
      <c r="H517" s="20" t="n">
        <f aca="false">IF(OR(G517="",G517=0),"",(F517-G517)/G517)</f>
        <v>0</v>
      </c>
      <c r="I517" s="19" t="n">
        <v>241.997497</v>
      </c>
      <c r="J517" s="19" t="n">
        <v>241.997497</v>
      </c>
      <c r="K517" s="20" t="n">
        <f aca="false">IF(OR(J517="",J517=0),"",(I517-J517)/J517)</f>
        <v>0</v>
      </c>
      <c r="L517" s="21" t="str">
        <f aca="false">IF(OR(D517="",G517="",J517=""),"No reported subtotal",IF(AND(ABS(N(E517))&lt;=$D$2,ABS(N(H517))&lt;=$D$2,ABS(N(K517))&lt;=$D$2),"Reconciles within tolerance","Outside tolerance"))</f>
        <v>Reconciles within tolerance</v>
      </c>
    </row>
    <row r="518" customFormat="false" ht="15" hidden="false" customHeight="false" outlineLevel="0" collapsed="false">
      <c r="A518" s="7" t="n">
        <v>2021</v>
      </c>
      <c r="B518" s="15" t="s">
        <v>149</v>
      </c>
      <c r="C518" s="19" t="n">
        <v>79.817057</v>
      </c>
      <c r="D518" s="19" t="n">
        <v>79.817057</v>
      </c>
      <c r="E518" s="20" t="n">
        <f aca="false">IF(OR(D518="",D518=0),"",(C518-D518)/D518)</f>
        <v>0</v>
      </c>
      <c r="F518" s="19" t="n">
        <v>77.456798</v>
      </c>
      <c r="G518" s="19" t="n">
        <v>77.456798</v>
      </c>
      <c r="H518" s="20" t="n">
        <f aca="false">IF(OR(G518="",G518=0),"",(F518-G518)/G518)</f>
        <v>0</v>
      </c>
      <c r="I518" s="19" t="n">
        <v>197.56697</v>
      </c>
      <c r="J518" s="19" t="n">
        <v>197.56697</v>
      </c>
      <c r="K518" s="20" t="n">
        <f aca="false">IF(OR(J518="",J518=0),"",(I518-J518)/J518)</f>
        <v>0</v>
      </c>
      <c r="L518" s="21" t="str">
        <f aca="false">IF(OR(D518="",G518="",J518=""),"No reported subtotal",IF(AND(ABS(N(E518))&lt;=$D$2,ABS(N(H518))&lt;=$D$2,ABS(N(K518))&lt;=$D$2),"Reconciles within tolerance","Outside tolerance"))</f>
        <v>Reconciles within tolerance</v>
      </c>
    </row>
    <row r="519" customFormat="false" ht="15" hidden="false" customHeight="false" outlineLevel="0" collapsed="false">
      <c r="A519" s="7" t="n">
        <v>2022</v>
      </c>
      <c r="B519" s="15" t="s">
        <v>149</v>
      </c>
      <c r="C519" s="19" t="n">
        <v>96.476463</v>
      </c>
      <c r="D519" s="19" t="n">
        <v>96.476463</v>
      </c>
      <c r="E519" s="20" t="n">
        <f aca="false">IF(OR(D519="",D519=0),"",(C519-D519)/D519)</f>
        <v>0</v>
      </c>
      <c r="F519" s="19" t="n">
        <v>69.397224</v>
      </c>
      <c r="G519" s="19" t="n">
        <v>69.397224</v>
      </c>
      <c r="H519" s="20" t="n">
        <f aca="false">IF(OR(G519="",G519=0),"",(F519-G519)/G519)</f>
        <v>0</v>
      </c>
      <c r="I519" s="19" t="n">
        <v>229.446223</v>
      </c>
      <c r="J519" s="19" t="n">
        <v>229.446223</v>
      </c>
      <c r="K519" s="20" t="n">
        <f aca="false">IF(OR(J519="",J519=0),"",(I519-J519)/J519)</f>
        <v>0</v>
      </c>
      <c r="L519" s="21" t="str">
        <f aca="false">IF(OR(D519="",G519="",J519=""),"No reported subtotal",IF(AND(ABS(N(E519))&lt;=$D$2,ABS(N(H519))&lt;=$D$2,ABS(N(K519))&lt;=$D$2),"Reconciles within tolerance","Outside tolerance"))</f>
        <v>Reconciles within tolerance</v>
      </c>
    </row>
    <row r="520" customFormat="false" ht="15" hidden="false" customHeight="false" outlineLevel="0" collapsed="false">
      <c r="A520" s="7" t="n">
        <v>2023</v>
      </c>
      <c r="B520" s="15" t="s">
        <v>149</v>
      </c>
      <c r="C520" s="19" t="n">
        <v>80.839483</v>
      </c>
      <c r="D520" s="19" t="n">
        <v>80.839483</v>
      </c>
      <c r="E520" s="20" t="n">
        <f aca="false">IF(OR(D520="",D520=0),"",(C520-D520)/D520)</f>
        <v>0</v>
      </c>
      <c r="F520" s="19" t="n">
        <v>69.973037</v>
      </c>
      <c r="G520" s="19" t="n">
        <v>69.973037</v>
      </c>
      <c r="H520" s="20" t="n">
        <f aca="false">IF(OR(G520="",G520=0),"",(F520-G520)/G520)</f>
        <v>0</v>
      </c>
      <c r="I520" s="19" t="n">
        <v>313.322618</v>
      </c>
      <c r="J520" s="19" t="n">
        <v>313.322618</v>
      </c>
      <c r="K520" s="20" t="n">
        <f aca="false">IF(OR(J520="",J520=0),"",(I520-J520)/J520)</f>
        <v>0</v>
      </c>
      <c r="L520" s="21" t="str">
        <f aca="false">IF(OR(D520="",G520="",J520=""),"No reported subtotal",IF(AND(ABS(N(E520))&lt;=$D$2,ABS(N(H520))&lt;=$D$2,ABS(N(K520))&lt;=$D$2),"Reconciles within tolerance","Outside tolerance"))</f>
        <v>Reconciles within tolerance</v>
      </c>
    </row>
    <row r="521" customFormat="false" ht="15" hidden="false" customHeight="false" outlineLevel="0" collapsed="false">
      <c r="A521" s="7" t="n">
        <v>2024</v>
      </c>
      <c r="B521" s="15" t="s">
        <v>149</v>
      </c>
      <c r="C521" s="19" t="n">
        <v>100.325466</v>
      </c>
      <c r="D521" s="19" t="n">
        <v>100.325466</v>
      </c>
      <c r="E521" s="20" t="n">
        <f aca="false">IF(OR(D521="",D521=0),"",(C521-D521)/D521)</f>
        <v>0</v>
      </c>
      <c r="F521" s="19" t="n">
        <v>76.894051</v>
      </c>
      <c r="G521" s="19" t="n">
        <v>76.894051</v>
      </c>
      <c r="H521" s="20" t="n">
        <f aca="false">IF(OR(G521="",G521=0),"",(F521-G521)/G521)</f>
        <v>0</v>
      </c>
      <c r="I521" s="19" t="n">
        <v>294.151584</v>
      </c>
      <c r="J521" s="19" t="n">
        <v>294.151584</v>
      </c>
      <c r="K521" s="20" t="n">
        <f aca="false">IF(OR(J521="",J521=0),"",(I521-J521)/J521)</f>
        <v>0</v>
      </c>
      <c r="L521" s="21" t="str">
        <f aca="false">IF(OR(D521="",G521="",J521=""),"No reported subtotal",IF(AND(ABS(N(E521))&lt;=$D$2,ABS(N(H521))&lt;=$D$2,ABS(N(K521))&lt;=$D$2),"Reconciles within tolerance","Outside tolerance"))</f>
        <v>Reconciles within tolerance</v>
      </c>
    </row>
    <row r="522" customFormat="false" ht="15" hidden="false" customHeight="false" outlineLevel="0" collapsed="false">
      <c r="A522" s="7" t="n">
        <v>2025</v>
      </c>
      <c r="B522" s="15" t="s">
        <v>149</v>
      </c>
      <c r="C522" s="19" t="n">
        <v>112.133341</v>
      </c>
      <c r="D522" s="19" t="n">
        <v>112.133341</v>
      </c>
      <c r="E522" s="20" t="n">
        <f aca="false">IF(OR(D522="",D522=0),"",(C522-D522)/D522)</f>
        <v>0</v>
      </c>
      <c r="F522" s="19" t="n">
        <v>78.297825</v>
      </c>
      <c r="G522" s="19" t="n">
        <v>78.297825</v>
      </c>
      <c r="H522" s="20" t="n">
        <f aca="false">IF(OR(G522="",G522=0),"",(F522-G522)/G522)</f>
        <v>0</v>
      </c>
      <c r="I522" s="19" t="n">
        <v>361.975468</v>
      </c>
      <c r="J522" s="19" t="n">
        <v>361.975468</v>
      </c>
      <c r="K522" s="20" t="n">
        <f aca="false">IF(OR(J522="",J522=0),"",(I522-J522)/J522)</f>
        <v>0</v>
      </c>
      <c r="L522" s="21" t="str">
        <f aca="false">IF(OR(D522="",G522="",J522=""),"No reported subtotal",IF(AND(ABS(N(E522))&lt;=$D$2,ABS(N(H522))&lt;=$D$2,ABS(N(K522))&lt;=$D$2),"Reconciles within tolerance","Outside tolerance"))</f>
        <v>Reconciles within tolerance</v>
      </c>
    </row>
    <row r="523" customFormat="false" ht="15" hidden="false" customHeight="false" outlineLevel="0" collapsed="false">
      <c r="A523" s="7" t="n">
        <v>2000</v>
      </c>
      <c r="B523" s="15" t="s">
        <v>108</v>
      </c>
      <c r="C523" s="19" t="n">
        <v>34.314597</v>
      </c>
      <c r="D523" s="19" t="n">
        <v>34.314597</v>
      </c>
      <c r="E523" s="20" t="n">
        <f aca="false">IF(OR(D523="",D523=0),"",(C523-D523)/D523)</f>
        <v>0</v>
      </c>
      <c r="F523" s="19" t="n">
        <v>15.751245</v>
      </c>
      <c r="G523" s="19" t="n">
        <v>15.751245</v>
      </c>
      <c r="H523" s="20" t="n">
        <f aca="false">IF(OR(G523="",G523=0),"",(F523-G523)/G523)</f>
        <v>0</v>
      </c>
      <c r="I523" s="19" t="n">
        <v>38.784727</v>
      </c>
      <c r="J523" s="19" t="n">
        <v>38.784727</v>
      </c>
      <c r="K523" s="20" t="n">
        <f aca="false">IF(OR(J523="",J523=0),"",(I523-J523)/J523)</f>
        <v>0</v>
      </c>
      <c r="L523" s="21" t="str">
        <f aca="false">IF(OR(D523="",G523="",J523=""),"No reported subtotal",IF(AND(ABS(N(E523))&lt;=$D$2,ABS(N(H523))&lt;=$D$2,ABS(N(K523))&lt;=$D$2),"Reconciles within tolerance","Outside tolerance"))</f>
        <v>Reconciles within tolerance</v>
      </c>
    </row>
    <row r="524" customFormat="false" ht="15" hidden="false" customHeight="false" outlineLevel="0" collapsed="false">
      <c r="A524" s="7" t="n">
        <v>2001</v>
      </c>
      <c r="B524" s="15" t="s">
        <v>108</v>
      </c>
      <c r="C524" s="19" t="n">
        <v>34.525993</v>
      </c>
      <c r="D524" s="19" t="n">
        <v>34.525993</v>
      </c>
      <c r="E524" s="20" t="n">
        <f aca="false">IF(OR(D524="",D524=0),"",(C524-D524)/D524)</f>
        <v>0</v>
      </c>
      <c r="F524" s="19" t="n">
        <v>17.278048</v>
      </c>
      <c r="G524" s="19" t="n">
        <v>17.278048</v>
      </c>
      <c r="H524" s="20" t="n">
        <f aca="false">IF(OR(G524="",G524=0),"",(F524-G524)/G524)</f>
        <v>0</v>
      </c>
      <c r="I524" s="19" t="n">
        <v>36.548398</v>
      </c>
      <c r="J524" s="19" t="n">
        <v>36.548398</v>
      </c>
      <c r="K524" s="20" t="n">
        <f aca="false">IF(OR(J524="",J524=0),"",(I524-J524)/J524)</f>
        <v>0</v>
      </c>
      <c r="L524" s="21" t="str">
        <f aca="false">IF(OR(D524="",G524="",J524=""),"No reported subtotal",IF(AND(ABS(N(E524))&lt;=$D$2,ABS(N(H524))&lt;=$D$2,ABS(N(K524))&lt;=$D$2),"Reconciles within tolerance","Outside tolerance"))</f>
        <v>Reconciles within tolerance</v>
      </c>
    </row>
    <row r="525" customFormat="false" ht="15" hidden="false" customHeight="false" outlineLevel="0" collapsed="false">
      <c r="A525" s="7" t="n">
        <v>2002</v>
      </c>
      <c r="B525" s="15" t="s">
        <v>108</v>
      </c>
      <c r="C525" s="19" t="n">
        <v>33.857655</v>
      </c>
      <c r="D525" s="19" t="n">
        <v>33.857655</v>
      </c>
      <c r="E525" s="20" t="n">
        <f aca="false">IF(OR(D525="",D525=0),"",(C525-D525)/D525)</f>
        <v>0</v>
      </c>
      <c r="F525" s="19" t="n">
        <v>15.410839</v>
      </c>
      <c r="G525" s="19" t="n">
        <v>15.410839</v>
      </c>
      <c r="H525" s="20" t="n">
        <f aca="false">IF(OR(G525="",G525=0),"",(F525-G525)/G525)</f>
        <v>0</v>
      </c>
      <c r="I525" s="19" t="n">
        <v>35.769778</v>
      </c>
      <c r="J525" s="19" t="n">
        <v>35.769778</v>
      </c>
      <c r="K525" s="20" t="n">
        <f aca="false">IF(OR(J525="",J525=0),"",(I525-J525)/J525)</f>
        <v>0</v>
      </c>
      <c r="L525" s="21" t="str">
        <f aca="false">IF(OR(D525="",G525="",J525=""),"No reported subtotal",IF(AND(ABS(N(E525))&lt;=$D$2,ABS(N(H525))&lt;=$D$2,ABS(N(K525))&lt;=$D$2),"Reconciles within tolerance","Outside tolerance"))</f>
        <v>Reconciles within tolerance</v>
      </c>
    </row>
    <row r="526" customFormat="false" ht="15" hidden="false" customHeight="false" outlineLevel="0" collapsed="false">
      <c r="A526" s="7" t="n">
        <v>2003</v>
      </c>
      <c r="B526" s="15" t="s">
        <v>108</v>
      </c>
      <c r="C526" s="19" t="n">
        <v>37.518821</v>
      </c>
      <c r="D526" s="19" t="n">
        <v>37.518821</v>
      </c>
      <c r="E526" s="20" t="n">
        <f aca="false">IF(OR(D526="",D526=0),"",(C526-D526)/D526)</f>
        <v>0</v>
      </c>
      <c r="F526" s="19" t="n">
        <v>18.966324</v>
      </c>
      <c r="G526" s="19" t="n">
        <v>18.966324</v>
      </c>
      <c r="H526" s="20" t="n">
        <f aca="false">IF(OR(G526="",G526=0),"",(F526-G526)/G526)</f>
        <v>0</v>
      </c>
      <c r="I526" s="19" t="n">
        <v>33.176787</v>
      </c>
      <c r="J526" s="19" t="n">
        <v>33.176787</v>
      </c>
      <c r="K526" s="20" t="n">
        <f aca="false">IF(OR(J526="",J526=0),"",(I526-J526)/J526)</f>
        <v>0</v>
      </c>
      <c r="L526" s="21" t="str">
        <f aca="false">IF(OR(D526="",G526="",J526=""),"No reported subtotal",IF(AND(ABS(N(E526))&lt;=$D$2,ABS(N(H526))&lt;=$D$2,ABS(N(K526))&lt;=$D$2),"Reconciles within tolerance","Outside tolerance"))</f>
        <v>Reconciles within tolerance</v>
      </c>
    </row>
    <row r="527" customFormat="false" ht="15" hidden="false" customHeight="false" outlineLevel="0" collapsed="false">
      <c r="A527" s="7" t="n">
        <v>2004</v>
      </c>
      <c r="B527" s="15" t="s">
        <v>108</v>
      </c>
      <c r="C527" s="19" t="n">
        <v>36.706485</v>
      </c>
      <c r="D527" s="19" t="n">
        <v>36.706485</v>
      </c>
      <c r="E527" s="20" t="n">
        <f aca="false">IF(OR(D527="",D527=0),"",(C527-D527)/D527)</f>
        <v>0</v>
      </c>
      <c r="F527" s="19" t="n">
        <v>11.143442</v>
      </c>
      <c r="G527" s="19" t="n">
        <v>11.143442</v>
      </c>
      <c r="H527" s="20" t="n">
        <f aca="false">IF(OR(G527="",G527=0),"",(F527-G527)/G527)</f>
        <v>0</v>
      </c>
      <c r="I527" s="19" t="n">
        <v>39.156748</v>
      </c>
      <c r="J527" s="19" t="n">
        <v>39.156748</v>
      </c>
      <c r="K527" s="20" t="n">
        <f aca="false">IF(OR(J527="",J527=0),"",(I527-J527)/J527)</f>
        <v>0</v>
      </c>
      <c r="L527" s="21" t="str">
        <f aca="false">IF(OR(D527="",G527="",J527=""),"No reported subtotal",IF(AND(ABS(N(E527))&lt;=$D$2,ABS(N(H527))&lt;=$D$2,ABS(N(K527))&lt;=$D$2),"Reconciles within tolerance","Outside tolerance"))</f>
        <v>Reconciles within tolerance</v>
      </c>
    </row>
    <row r="528" customFormat="false" ht="15" hidden="false" customHeight="false" outlineLevel="0" collapsed="false">
      <c r="A528" s="7" t="n">
        <v>2005</v>
      </c>
      <c r="B528" s="15" t="s">
        <v>108</v>
      </c>
      <c r="C528" s="19" t="n">
        <v>41.870748</v>
      </c>
      <c r="D528" s="19" t="n">
        <v>41.870748</v>
      </c>
      <c r="E528" s="20" t="n">
        <f aca="false">IF(OR(D528="",D528=0),"",(C528-D528)/D528)</f>
        <v>0</v>
      </c>
      <c r="F528" s="19" t="n">
        <v>12.457215</v>
      </c>
      <c r="G528" s="19" t="n">
        <v>12.457215</v>
      </c>
      <c r="H528" s="20" t="n">
        <f aca="false">IF(OR(G528="",G528=0),"",(F528-G528)/G528)</f>
        <v>0</v>
      </c>
      <c r="I528" s="19" t="n">
        <v>43.855421</v>
      </c>
      <c r="J528" s="19" t="n">
        <v>43.855421</v>
      </c>
      <c r="K528" s="20" t="n">
        <f aca="false">IF(OR(J528="",J528=0),"",(I528-J528)/J528)</f>
        <v>0</v>
      </c>
      <c r="L528" s="21" t="str">
        <f aca="false">IF(OR(D528="",G528="",J528=""),"No reported subtotal",IF(AND(ABS(N(E528))&lt;=$D$2,ABS(N(H528))&lt;=$D$2,ABS(N(K528))&lt;=$D$2),"Reconciles within tolerance","Outside tolerance"))</f>
        <v>Reconciles within tolerance</v>
      </c>
    </row>
    <row r="529" customFormat="false" ht="15" hidden="false" customHeight="false" outlineLevel="0" collapsed="false">
      <c r="A529" s="7" t="n">
        <v>2006</v>
      </c>
      <c r="B529" s="15" t="s">
        <v>108</v>
      </c>
      <c r="C529" s="19" t="n">
        <v>34.708845</v>
      </c>
      <c r="D529" s="19" t="n">
        <v>34.708845</v>
      </c>
      <c r="E529" s="20" t="n">
        <f aca="false">IF(OR(D529="",D529=0),"",(C529-D529)/D529)</f>
        <v>0</v>
      </c>
      <c r="F529" s="19" t="n">
        <v>11.839697</v>
      </c>
      <c r="G529" s="19" t="n">
        <v>11.839697</v>
      </c>
      <c r="H529" s="20" t="n">
        <f aca="false">IF(OR(G529="",G529=0),"",(F529-G529)/G529)</f>
        <v>0</v>
      </c>
      <c r="I529" s="19" t="n">
        <v>42.259139</v>
      </c>
      <c r="J529" s="19" t="n">
        <v>42.259139</v>
      </c>
      <c r="K529" s="20" t="n">
        <f aca="false">IF(OR(J529="",J529=0),"",(I529-J529)/J529)</f>
        <v>0</v>
      </c>
      <c r="L529" s="21" t="str">
        <f aca="false">IF(OR(D529="",G529="",J529=""),"No reported subtotal",IF(AND(ABS(N(E529))&lt;=$D$2,ABS(N(H529))&lt;=$D$2,ABS(N(K529))&lt;=$D$2),"Reconciles within tolerance","Outside tolerance"))</f>
        <v>Reconciles within tolerance</v>
      </c>
    </row>
    <row r="530" customFormat="false" ht="15" hidden="false" customHeight="false" outlineLevel="0" collapsed="false">
      <c r="A530" s="7" t="n">
        <v>2007</v>
      </c>
      <c r="B530" s="15" t="s">
        <v>108</v>
      </c>
      <c r="C530" s="19" t="n">
        <v>32.082473</v>
      </c>
      <c r="D530" s="19" t="n">
        <v>32.082473</v>
      </c>
      <c r="E530" s="20" t="n">
        <f aca="false">IF(OR(D530="",D530=0),"",(C530-D530)/D530)</f>
        <v>0</v>
      </c>
      <c r="F530" s="19" t="n">
        <v>12.089468</v>
      </c>
      <c r="G530" s="19" t="n">
        <v>12.089468</v>
      </c>
      <c r="H530" s="20" t="n">
        <f aca="false">IF(OR(G530="",G530=0),"",(F530-G530)/G530)</f>
        <v>0</v>
      </c>
      <c r="I530" s="19" t="n">
        <v>43.147362</v>
      </c>
      <c r="J530" s="19" t="n">
        <v>43.147362</v>
      </c>
      <c r="K530" s="20" t="n">
        <f aca="false">IF(OR(J530="",J530=0),"",(I530-J530)/J530)</f>
        <v>0</v>
      </c>
      <c r="L530" s="21" t="str">
        <f aca="false">IF(OR(D530="",G530="",J530=""),"No reported subtotal",IF(AND(ABS(N(E530))&lt;=$D$2,ABS(N(H530))&lt;=$D$2,ABS(N(K530))&lt;=$D$2),"Reconciles within tolerance","Outside tolerance"))</f>
        <v>Reconciles within tolerance</v>
      </c>
    </row>
    <row r="531" customFormat="false" ht="15" hidden="false" customHeight="false" outlineLevel="0" collapsed="false">
      <c r="A531" s="7" t="n">
        <v>2008</v>
      </c>
      <c r="B531" s="15" t="s">
        <v>108</v>
      </c>
      <c r="C531" s="19" t="n">
        <v>38.926662</v>
      </c>
      <c r="D531" s="19" t="n">
        <v>38.926662</v>
      </c>
      <c r="E531" s="20" t="n">
        <f aca="false">IF(OR(D531="",D531=0),"",(C531-D531)/D531)</f>
        <v>0</v>
      </c>
      <c r="F531" s="19" t="n">
        <v>12.405926</v>
      </c>
      <c r="G531" s="19" t="n">
        <v>12.405926</v>
      </c>
      <c r="H531" s="20" t="n">
        <f aca="false">IF(OR(G531="",G531=0),"",(F531-G531)/G531)</f>
        <v>0</v>
      </c>
      <c r="I531" s="19" t="n">
        <v>51.599979</v>
      </c>
      <c r="J531" s="19" t="n">
        <v>51.599979</v>
      </c>
      <c r="K531" s="20" t="n">
        <f aca="false">IF(OR(J531="",J531=0),"",(I531-J531)/J531)</f>
        <v>0</v>
      </c>
      <c r="L531" s="21" t="str">
        <f aca="false">IF(OR(D531="",G531="",J531=""),"No reported subtotal",IF(AND(ABS(N(E531))&lt;=$D$2,ABS(N(H531))&lt;=$D$2,ABS(N(K531))&lt;=$D$2),"Reconciles within tolerance","Outside tolerance"))</f>
        <v>Reconciles within tolerance</v>
      </c>
    </row>
    <row r="532" customFormat="false" ht="15" hidden="false" customHeight="false" outlineLevel="0" collapsed="false">
      <c r="A532" s="7" t="n">
        <v>2009</v>
      </c>
      <c r="B532" s="15" t="s">
        <v>108</v>
      </c>
      <c r="C532" s="19" t="n">
        <v>46.802719</v>
      </c>
      <c r="D532" s="19" t="n">
        <v>46.802719</v>
      </c>
      <c r="E532" s="20" t="n">
        <f aca="false">IF(OR(D532="",D532=0),"",(C532-D532)/D532)</f>
        <v>0</v>
      </c>
      <c r="F532" s="19" t="n">
        <v>13.526001</v>
      </c>
      <c r="G532" s="19" t="n">
        <v>13.526001</v>
      </c>
      <c r="H532" s="20" t="n">
        <f aca="false">IF(OR(G532="",G532=0),"",(F532-G532)/G532)</f>
        <v>0</v>
      </c>
      <c r="I532" s="19" t="n">
        <v>66.716743</v>
      </c>
      <c r="J532" s="19" t="n">
        <v>66.716743</v>
      </c>
      <c r="K532" s="20" t="n">
        <f aca="false">IF(OR(J532="",J532=0),"",(I532-J532)/J532)</f>
        <v>0</v>
      </c>
      <c r="L532" s="21" t="str">
        <f aca="false">IF(OR(D532="",G532="",J532=""),"No reported subtotal",IF(AND(ABS(N(E532))&lt;=$D$2,ABS(N(H532))&lt;=$D$2,ABS(N(K532))&lt;=$D$2),"Reconciles within tolerance","Outside tolerance"))</f>
        <v>Reconciles within tolerance</v>
      </c>
    </row>
    <row r="533" customFormat="false" ht="15" hidden="false" customHeight="false" outlineLevel="0" collapsed="false">
      <c r="A533" s="7" t="n">
        <v>2010</v>
      </c>
      <c r="B533" s="15" t="s">
        <v>108</v>
      </c>
      <c r="C533" s="19" t="n">
        <v>33.482406</v>
      </c>
      <c r="D533" s="19" t="n">
        <v>33.482406</v>
      </c>
      <c r="E533" s="20" t="n">
        <f aca="false">IF(OR(D533="",D533=0),"",(C533-D533)/D533)</f>
        <v>0</v>
      </c>
      <c r="F533" s="19" t="n">
        <v>15.048501</v>
      </c>
      <c r="G533" s="19" t="n">
        <v>15.048501</v>
      </c>
      <c r="H533" s="20" t="n">
        <f aca="false">IF(OR(G533="",G533=0),"",(F533-G533)/G533)</f>
        <v>0</v>
      </c>
      <c r="I533" s="19" t="n">
        <v>55.421482</v>
      </c>
      <c r="J533" s="19" t="n">
        <v>55.421482</v>
      </c>
      <c r="K533" s="20" t="n">
        <f aca="false">IF(OR(J533="",J533=0),"",(I533-J533)/J533)</f>
        <v>0</v>
      </c>
      <c r="L533" s="21" t="str">
        <f aca="false">IF(OR(D533="",G533="",J533=""),"No reported subtotal",IF(AND(ABS(N(E533))&lt;=$D$2,ABS(N(H533))&lt;=$D$2,ABS(N(K533))&lt;=$D$2),"Reconciles within tolerance","Outside tolerance"))</f>
        <v>Reconciles within tolerance</v>
      </c>
    </row>
    <row r="534" customFormat="false" ht="15" hidden="false" customHeight="false" outlineLevel="0" collapsed="false">
      <c r="A534" s="7" t="n">
        <v>2011</v>
      </c>
      <c r="B534" s="15" t="s">
        <v>108</v>
      </c>
      <c r="C534" s="19" t="n">
        <v>31.191505</v>
      </c>
      <c r="D534" s="19" t="n">
        <v>31.191505</v>
      </c>
      <c r="E534" s="20" t="n">
        <f aca="false">IF(OR(D534="",D534=0),"",(C534-D534)/D534)</f>
        <v>0</v>
      </c>
      <c r="F534" s="19" t="n">
        <v>13.466318</v>
      </c>
      <c r="G534" s="19" t="n">
        <v>13.466318</v>
      </c>
      <c r="H534" s="20" t="n">
        <f aca="false">IF(OR(G534="",G534=0),"",(F534-G534)/G534)</f>
        <v>0</v>
      </c>
      <c r="I534" s="19" t="n">
        <v>65.290304</v>
      </c>
      <c r="J534" s="19" t="n">
        <v>65.290304</v>
      </c>
      <c r="K534" s="20" t="n">
        <f aca="false">IF(OR(J534="",J534=0),"",(I534-J534)/J534)</f>
        <v>0</v>
      </c>
      <c r="L534" s="21" t="str">
        <f aca="false">IF(OR(D534="",G534="",J534=""),"No reported subtotal",IF(AND(ABS(N(E534))&lt;=$D$2,ABS(N(H534))&lt;=$D$2,ABS(N(K534))&lt;=$D$2),"Reconciles within tolerance","Outside tolerance"))</f>
        <v>Reconciles within tolerance</v>
      </c>
    </row>
    <row r="535" customFormat="false" ht="15" hidden="false" customHeight="false" outlineLevel="0" collapsed="false">
      <c r="A535" s="7" t="n">
        <v>2012</v>
      </c>
      <c r="B535" s="15" t="s">
        <v>108</v>
      </c>
      <c r="C535" s="19" t="n">
        <v>57.294248</v>
      </c>
      <c r="D535" s="19" t="n">
        <v>57.294248</v>
      </c>
      <c r="E535" s="20" t="n">
        <f aca="false">IF(OR(D535="",D535=0),"",(C535-D535)/D535)</f>
        <v>0</v>
      </c>
      <c r="F535" s="19" t="n">
        <v>15.532182</v>
      </c>
      <c r="G535" s="19" t="n">
        <v>15.532182</v>
      </c>
      <c r="H535" s="20" t="n">
        <f aca="false">IF(OR(G535="",G535=0),"",(F535-G535)/G535)</f>
        <v>0</v>
      </c>
      <c r="I535" s="19" t="n">
        <v>153.563198</v>
      </c>
      <c r="J535" s="19" t="n">
        <v>153.563198</v>
      </c>
      <c r="K535" s="20" t="n">
        <f aca="false">IF(OR(J535="",J535=0),"",(I535-J535)/J535)</f>
        <v>0</v>
      </c>
      <c r="L535" s="21" t="str">
        <f aca="false">IF(OR(D535="",G535="",J535=""),"No reported subtotal",IF(AND(ABS(N(E535))&lt;=$D$2,ABS(N(H535))&lt;=$D$2,ABS(N(K535))&lt;=$D$2),"Reconciles within tolerance","Outside tolerance"))</f>
        <v>Reconciles within tolerance</v>
      </c>
    </row>
    <row r="536" customFormat="false" ht="15" hidden="false" customHeight="false" outlineLevel="0" collapsed="false">
      <c r="A536" s="7" t="n">
        <v>2013</v>
      </c>
      <c r="B536" s="15" t="s">
        <v>108</v>
      </c>
      <c r="C536" s="19" t="n">
        <v>34.23289</v>
      </c>
      <c r="D536" s="19" t="n">
        <v>34.23289</v>
      </c>
      <c r="E536" s="20" t="n">
        <f aca="false">IF(OR(D536="",D536=0),"",(C536-D536)/D536)</f>
        <v>0</v>
      </c>
      <c r="F536" s="19" t="n">
        <v>18.619513</v>
      </c>
      <c r="G536" s="19" t="n">
        <v>18.619513</v>
      </c>
      <c r="H536" s="20" t="n">
        <f aca="false">IF(OR(G536="",G536=0),"",(F536-G536)/G536)</f>
        <v>0</v>
      </c>
      <c r="I536" s="19" t="n">
        <v>75.90708</v>
      </c>
      <c r="J536" s="19" t="n">
        <v>75.90708</v>
      </c>
      <c r="K536" s="20" t="n">
        <f aca="false">IF(OR(J536="",J536=0),"",(I536-J536)/J536)</f>
        <v>0</v>
      </c>
      <c r="L536" s="21" t="str">
        <f aca="false">IF(OR(D536="",G536="",J536=""),"No reported subtotal",IF(AND(ABS(N(E536))&lt;=$D$2,ABS(N(H536))&lt;=$D$2,ABS(N(K536))&lt;=$D$2),"Reconciles within tolerance","Outside tolerance"))</f>
        <v>Reconciles within tolerance</v>
      </c>
    </row>
    <row r="537" customFormat="false" ht="15" hidden="false" customHeight="false" outlineLevel="0" collapsed="false">
      <c r="A537" s="7" t="n">
        <v>2014</v>
      </c>
      <c r="B537" s="15" t="s">
        <v>108</v>
      </c>
      <c r="C537" s="19" t="n">
        <v>60.902631</v>
      </c>
      <c r="D537" s="19" t="n">
        <v>60.902631</v>
      </c>
      <c r="E537" s="20" t="n">
        <f aca="false">IF(OR(D537="",D537=0),"",(C537-D537)/D537)</f>
        <v>0</v>
      </c>
      <c r="F537" s="19" t="n">
        <v>19.104714</v>
      </c>
      <c r="G537" s="19" t="n">
        <v>19.104714</v>
      </c>
      <c r="H537" s="20" t="n">
        <f aca="false">IF(OR(G537="",G537=0),"",(F537-G537)/G537)</f>
        <v>0</v>
      </c>
      <c r="I537" s="19" t="n">
        <v>79.073522</v>
      </c>
      <c r="J537" s="19" t="n">
        <v>79.073522</v>
      </c>
      <c r="K537" s="20" t="n">
        <f aca="false">IF(OR(J537="",J537=0),"",(I537-J537)/J537)</f>
        <v>0</v>
      </c>
      <c r="L537" s="21" t="str">
        <f aca="false">IF(OR(D537="",G537="",J537=""),"No reported subtotal",IF(AND(ABS(N(E537))&lt;=$D$2,ABS(N(H537))&lt;=$D$2,ABS(N(K537))&lt;=$D$2),"Reconciles within tolerance","Outside tolerance"))</f>
        <v>Reconciles within tolerance</v>
      </c>
    </row>
    <row r="538" customFormat="false" ht="15" hidden="false" customHeight="false" outlineLevel="0" collapsed="false">
      <c r="A538" s="7" t="n">
        <v>2015</v>
      </c>
      <c r="B538" s="15" t="s">
        <v>108</v>
      </c>
      <c r="C538" s="19" t="n">
        <v>67.26089</v>
      </c>
      <c r="D538" s="19" t="n">
        <v>67.26089</v>
      </c>
      <c r="E538" s="20" t="n">
        <f aca="false">IF(OR(D538="",D538=0),"",(C538-D538)/D538)</f>
        <v>0</v>
      </c>
      <c r="F538" s="19" t="n">
        <v>25.107482</v>
      </c>
      <c r="G538" s="19" t="n">
        <v>25.107482</v>
      </c>
      <c r="H538" s="20" t="n">
        <f aca="false">IF(OR(G538="",G538=0),"",(F538-G538)/G538)</f>
        <v>0</v>
      </c>
      <c r="I538" s="19" t="n">
        <v>87.371996</v>
      </c>
      <c r="J538" s="19" t="n">
        <v>87.371996</v>
      </c>
      <c r="K538" s="20" t="n">
        <f aca="false">IF(OR(J538="",J538=0),"",(I538-J538)/J538)</f>
        <v>0</v>
      </c>
      <c r="L538" s="21" t="str">
        <f aca="false">IF(OR(D538="",G538="",J538=""),"No reported subtotal",IF(AND(ABS(N(E538))&lt;=$D$2,ABS(N(H538))&lt;=$D$2,ABS(N(K538))&lt;=$D$2),"Reconciles within tolerance","Outside tolerance"))</f>
        <v>Reconciles within tolerance</v>
      </c>
    </row>
    <row r="539" customFormat="false" ht="15" hidden="false" customHeight="false" outlineLevel="0" collapsed="false">
      <c r="A539" s="7" t="n">
        <v>2016</v>
      </c>
      <c r="B539" s="15" t="s">
        <v>108</v>
      </c>
      <c r="C539" s="19" t="n">
        <v>65.326168</v>
      </c>
      <c r="D539" s="19" t="n">
        <v>65.326168</v>
      </c>
      <c r="E539" s="20" t="n">
        <f aca="false">IF(OR(D539="",D539=0),"",(C539-D539)/D539)</f>
        <v>0</v>
      </c>
      <c r="F539" s="19" t="n">
        <v>20.228348</v>
      </c>
      <c r="G539" s="19" t="n">
        <v>20.228348</v>
      </c>
      <c r="H539" s="20" t="n">
        <f aca="false">IF(OR(G539="",G539=0),"",(F539-G539)/G539)</f>
        <v>0</v>
      </c>
      <c r="I539" s="19" t="n">
        <v>82.242446</v>
      </c>
      <c r="J539" s="19" t="n">
        <v>82.242446</v>
      </c>
      <c r="K539" s="20" t="n">
        <f aca="false">IF(OR(J539="",J539=0),"",(I539-J539)/J539)</f>
        <v>0</v>
      </c>
      <c r="L539" s="21" t="str">
        <f aca="false">IF(OR(D539="",G539="",J539=""),"No reported subtotal",IF(AND(ABS(N(E539))&lt;=$D$2,ABS(N(H539))&lt;=$D$2,ABS(N(K539))&lt;=$D$2),"Reconciles within tolerance","Outside tolerance"))</f>
        <v>Reconciles within tolerance</v>
      </c>
    </row>
    <row r="540" customFormat="false" ht="15" hidden="false" customHeight="false" outlineLevel="0" collapsed="false">
      <c r="A540" s="7" t="n">
        <v>2017</v>
      </c>
      <c r="B540" s="15" t="s">
        <v>108</v>
      </c>
      <c r="C540" s="19" t="n">
        <v>65.980244</v>
      </c>
      <c r="D540" s="19" t="n">
        <v>65.980244</v>
      </c>
      <c r="E540" s="20" t="n">
        <f aca="false">IF(OR(D540="",D540=0),"",(C540-D540)/D540)</f>
        <v>0</v>
      </c>
      <c r="F540" s="19" t="n">
        <v>23.0577</v>
      </c>
      <c r="G540" s="19" t="n">
        <v>23.0577</v>
      </c>
      <c r="H540" s="20" t="n">
        <f aca="false">IF(OR(G540="",G540=0),"",(F540-G540)/G540)</f>
        <v>0</v>
      </c>
      <c r="I540" s="19" t="n">
        <v>95.802632</v>
      </c>
      <c r="J540" s="19" t="n">
        <v>95.802632</v>
      </c>
      <c r="K540" s="20" t="n">
        <f aca="false">IF(OR(J540="",J540=0),"",(I540-J540)/J540)</f>
        <v>0</v>
      </c>
      <c r="L540" s="21" t="str">
        <f aca="false">IF(OR(D540="",G540="",J540=""),"No reported subtotal",IF(AND(ABS(N(E540))&lt;=$D$2,ABS(N(H540))&lt;=$D$2,ABS(N(K540))&lt;=$D$2),"Reconciles within tolerance","Outside tolerance"))</f>
        <v>Reconciles within tolerance</v>
      </c>
    </row>
    <row r="541" customFormat="false" ht="15" hidden="false" customHeight="false" outlineLevel="0" collapsed="false">
      <c r="A541" s="7" t="n">
        <v>2018</v>
      </c>
      <c r="B541" s="15" t="s">
        <v>108</v>
      </c>
      <c r="C541" s="19" t="n">
        <v>66.042321</v>
      </c>
      <c r="D541" s="19" t="n">
        <v>66.042321</v>
      </c>
      <c r="E541" s="20" t="n">
        <f aca="false">IF(OR(D541="",D541=0),"",(C541-D541)/D541)</f>
        <v>0</v>
      </c>
      <c r="F541" s="19" t="n">
        <v>23.228071</v>
      </c>
      <c r="G541" s="19" t="n">
        <v>23.228071</v>
      </c>
      <c r="H541" s="20" t="n">
        <f aca="false">IF(OR(G541="",G541=0),"",(F541-G541)/G541)</f>
        <v>0</v>
      </c>
      <c r="I541" s="19" t="n">
        <v>114.120016</v>
      </c>
      <c r="J541" s="19" t="n">
        <v>114.120016</v>
      </c>
      <c r="K541" s="20" t="n">
        <f aca="false">IF(OR(J541="",J541=0),"",(I541-J541)/J541)</f>
        <v>0</v>
      </c>
      <c r="L541" s="21" t="str">
        <f aca="false">IF(OR(D541="",G541="",J541=""),"No reported subtotal",IF(AND(ABS(N(E541))&lt;=$D$2,ABS(N(H541))&lt;=$D$2,ABS(N(K541))&lt;=$D$2),"Reconciles within tolerance","Outside tolerance"))</f>
        <v>Reconciles within tolerance</v>
      </c>
    </row>
    <row r="542" customFormat="false" ht="15" hidden="false" customHeight="false" outlineLevel="0" collapsed="false">
      <c r="A542" s="7" t="n">
        <v>2019</v>
      </c>
      <c r="B542" s="15" t="s">
        <v>108</v>
      </c>
      <c r="C542" s="19" t="n">
        <v>69.773617</v>
      </c>
      <c r="D542" s="19" t="n">
        <v>69.773617</v>
      </c>
      <c r="E542" s="20" t="n">
        <f aca="false">IF(OR(D542="",D542=0),"",(C542-D542)/D542)</f>
        <v>0</v>
      </c>
      <c r="F542" s="19" t="n">
        <v>25.324377</v>
      </c>
      <c r="G542" s="19" t="n">
        <v>25.324377</v>
      </c>
      <c r="H542" s="20" t="n">
        <f aca="false">IF(OR(G542="",G542=0),"",(F542-G542)/G542)</f>
        <v>0</v>
      </c>
      <c r="I542" s="19" t="n">
        <v>99.716008</v>
      </c>
      <c r="J542" s="19" t="n">
        <v>99.716008</v>
      </c>
      <c r="K542" s="20" t="n">
        <f aca="false">IF(OR(J542="",J542=0),"",(I542-J542)/J542)</f>
        <v>0</v>
      </c>
      <c r="L542" s="21" t="str">
        <f aca="false">IF(OR(D542="",G542="",J542=""),"No reported subtotal",IF(AND(ABS(N(E542))&lt;=$D$2,ABS(N(H542))&lt;=$D$2,ABS(N(K542))&lt;=$D$2),"Reconciles within tolerance","Outside tolerance"))</f>
        <v>Reconciles within tolerance</v>
      </c>
    </row>
    <row r="543" customFormat="false" ht="15" hidden="false" customHeight="false" outlineLevel="0" collapsed="false">
      <c r="A543" s="7" t="n">
        <v>2020</v>
      </c>
      <c r="B543" s="15" t="s">
        <v>108</v>
      </c>
      <c r="C543" s="19" t="n">
        <v>66.747696</v>
      </c>
      <c r="D543" s="19" t="n">
        <v>66.747696</v>
      </c>
      <c r="E543" s="20" t="n">
        <f aca="false">IF(OR(D543="",D543=0),"",(C543-D543)/D543)</f>
        <v>0</v>
      </c>
      <c r="F543" s="19" t="n">
        <v>32.370774</v>
      </c>
      <c r="G543" s="19" t="n">
        <v>32.370774</v>
      </c>
      <c r="H543" s="20" t="n">
        <f aca="false">IF(OR(G543="",G543=0),"",(F543-G543)/G543)</f>
        <v>0</v>
      </c>
      <c r="I543" s="19" t="n">
        <v>98.344238</v>
      </c>
      <c r="J543" s="19" t="n">
        <v>98.344238</v>
      </c>
      <c r="K543" s="20" t="n">
        <f aca="false">IF(OR(J543="",J543=0),"",(I543-J543)/J543)</f>
        <v>0</v>
      </c>
      <c r="L543" s="21" t="str">
        <f aca="false">IF(OR(D543="",G543="",J543=""),"No reported subtotal",IF(AND(ABS(N(E543))&lt;=$D$2,ABS(N(H543))&lt;=$D$2,ABS(N(K543))&lt;=$D$2),"Reconciles within tolerance","Outside tolerance"))</f>
        <v>Reconciles within tolerance</v>
      </c>
    </row>
    <row r="544" customFormat="false" ht="15" hidden="false" customHeight="false" outlineLevel="0" collapsed="false">
      <c r="A544" s="7" t="n">
        <v>2021</v>
      </c>
      <c r="B544" s="15" t="s">
        <v>108</v>
      </c>
      <c r="C544" s="19" t="n">
        <v>66.120903</v>
      </c>
      <c r="D544" s="19" t="n">
        <v>66.120903</v>
      </c>
      <c r="E544" s="20" t="n">
        <f aca="false">IF(OR(D544="",D544=0),"",(C544-D544)/D544)</f>
        <v>0</v>
      </c>
      <c r="F544" s="19" t="n">
        <v>19.979757</v>
      </c>
      <c r="G544" s="19" t="n">
        <v>19.979757</v>
      </c>
      <c r="H544" s="20" t="n">
        <f aca="false">IF(OR(G544="",G544=0),"",(F544-G544)/G544)</f>
        <v>0</v>
      </c>
      <c r="I544" s="19" t="n">
        <v>104.091219</v>
      </c>
      <c r="J544" s="19" t="n">
        <v>104.091219</v>
      </c>
      <c r="K544" s="20" t="n">
        <f aca="false">IF(OR(J544="",J544=0),"",(I544-J544)/J544)</f>
        <v>0</v>
      </c>
      <c r="L544" s="21" t="str">
        <f aca="false">IF(OR(D544="",G544="",J544=""),"No reported subtotal",IF(AND(ABS(N(E544))&lt;=$D$2,ABS(N(H544))&lt;=$D$2,ABS(N(K544))&lt;=$D$2),"Reconciles within tolerance","Outside tolerance"))</f>
        <v>Reconciles within tolerance</v>
      </c>
    </row>
    <row r="545" customFormat="false" ht="15" hidden="false" customHeight="false" outlineLevel="0" collapsed="false">
      <c r="A545" s="7" t="n">
        <v>2022</v>
      </c>
      <c r="B545" s="15" t="s">
        <v>108</v>
      </c>
      <c r="C545" s="19" t="n">
        <v>81.982971</v>
      </c>
      <c r="D545" s="19" t="n">
        <v>81.982971</v>
      </c>
      <c r="E545" s="20" t="n">
        <f aca="false">IF(OR(D545="",D545=0),"",(C545-D545)/D545)</f>
        <v>0</v>
      </c>
      <c r="F545" s="19" t="n">
        <v>18.539895</v>
      </c>
      <c r="G545" s="19" t="n">
        <v>18.539895</v>
      </c>
      <c r="H545" s="20" t="n">
        <f aca="false">IF(OR(G545="",G545=0),"",(F545-G545)/G545)</f>
        <v>0</v>
      </c>
      <c r="I545" s="19" t="n">
        <v>74.271949</v>
      </c>
      <c r="J545" s="19" t="n">
        <v>74.271949</v>
      </c>
      <c r="K545" s="20" t="n">
        <f aca="false">IF(OR(J545="",J545=0),"",(I545-J545)/J545)</f>
        <v>0</v>
      </c>
      <c r="L545" s="21" t="str">
        <f aca="false">IF(OR(D545="",G545="",J545=""),"No reported subtotal",IF(AND(ABS(N(E545))&lt;=$D$2,ABS(N(H545))&lt;=$D$2,ABS(N(K545))&lt;=$D$2),"Reconciles within tolerance","Outside tolerance"))</f>
        <v>Reconciles within tolerance</v>
      </c>
    </row>
    <row r="546" customFormat="false" ht="15" hidden="false" customHeight="false" outlineLevel="0" collapsed="false">
      <c r="A546" s="7" t="n">
        <v>2023</v>
      </c>
      <c r="B546" s="15" t="s">
        <v>108</v>
      </c>
      <c r="C546" s="19" t="n">
        <v>77.685607</v>
      </c>
      <c r="D546" s="19" t="n">
        <v>77.685607</v>
      </c>
      <c r="E546" s="20" t="n">
        <f aca="false">IF(OR(D546="",D546=0),"",(C546-D546)/D546)</f>
        <v>0</v>
      </c>
      <c r="F546" s="19" t="n">
        <v>14.067856</v>
      </c>
      <c r="G546" s="19" t="n">
        <v>14.067856</v>
      </c>
      <c r="H546" s="20" t="n">
        <f aca="false">IF(OR(G546="",G546=0),"",(F546-G546)/G546)</f>
        <v>0</v>
      </c>
      <c r="I546" s="19" t="n">
        <v>90.619047</v>
      </c>
      <c r="J546" s="19" t="n">
        <v>90.619047</v>
      </c>
      <c r="K546" s="20" t="n">
        <f aca="false">IF(OR(J546="",J546=0),"",(I546-J546)/J546)</f>
        <v>0</v>
      </c>
      <c r="L546" s="21" t="str">
        <f aca="false">IF(OR(D546="",G546="",J546=""),"No reported subtotal",IF(AND(ABS(N(E546))&lt;=$D$2,ABS(N(H546))&lt;=$D$2,ABS(N(K546))&lt;=$D$2),"Reconciles within tolerance","Outside tolerance"))</f>
        <v>Reconciles within tolerance</v>
      </c>
    </row>
    <row r="547" customFormat="false" ht="15" hidden="false" customHeight="false" outlineLevel="0" collapsed="false">
      <c r="A547" s="7" t="n">
        <v>2024</v>
      </c>
      <c r="B547" s="15" t="s">
        <v>108</v>
      </c>
      <c r="C547" s="19" t="n">
        <v>82.725294</v>
      </c>
      <c r="D547" s="19" t="n">
        <v>82.725294</v>
      </c>
      <c r="E547" s="20" t="n">
        <f aca="false">IF(OR(D547="",D547=0),"",(C547-D547)/D547)</f>
        <v>0</v>
      </c>
      <c r="F547" s="19" t="n">
        <v>21.591598</v>
      </c>
      <c r="G547" s="19" t="n">
        <v>21.591598</v>
      </c>
      <c r="H547" s="20" t="n">
        <f aca="false">IF(OR(G547="",G547=0),"",(F547-G547)/G547)</f>
        <v>0</v>
      </c>
      <c r="I547" s="19" t="n">
        <v>102.617275</v>
      </c>
      <c r="J547" s="19" t="n">
        <v>102.617275</v>
      </c>
      <c r="K547" s="20" t="n">
        <f aca="false">IF(OR(J547="",J547=0),"",(I547-J547)/J547)</f>
        <v>0</v>
      </c>
      <c r="L547" s="21" t="str">
        <f aca="false">IF(OR(D547="",G547="",J547=""),"No reported subtotal",IF(AND(ABS(N(E547))&lt;=$D$2,ABS(N(H547))&lt;=$D$2,ABS(N(K547))&lt;=$D$2),"Reconciles within tolerance","Outside tolerance"))</f>
        <v>Reconciles within tolerance</v>
      </c>
    </row>
    <row r="548" customFormat="false" ht="15" hidden="false" customHeight="false" outlineLevel="0" collapsed="false">
      <c r="A548" s="7" t="n">
        <v>2025</v>
      </c>
      <c r="B548" s="15" t="s">
        <v>108</v>
      </c>
      <c r="C548" s="19" t="n">
        <v>88.905731</v>
      </c>
      <c r="D548" s="19" t="n">
        <v>88.905731</v>
      </c>
      <c r="E548" s="20" t="n">
        <f aca="false">IF(OR(D548="",D548=0),"",(C548-D548)/D548)</f>
        <v>0</v>
      </c>
      <c r="F548" s="19" t="n">
        <v>20.05001</v>
      </c>
      <c r="G548" s="19" t="n">
        <v>20.05001</v>
      </c>
      <c r="H548" s="20" t="n">
        <f aca="false">IF(OR(G548="",G548=0),"",(F548-G548)/G548)</f>
        <v>0</v>
      </c>
      <c r="I548" s="19" t="n">
        <v>147.155287</v>
      </c>
      <c r="J548" s="19" t="n">
        <v>147.155287</v>
      </c>
      <c r="K548" s="20" t="n">
        <f aca="false">IF(OR(J548="",J548=0),"",(I548-J548)/J548)</f>
        <v>0</v>
      </c>
      <c r="L548" s="21" t="str">
        <f aca="false">IF(OR(D548="",G548="",J548=""),"No reported subtotal",IF(AND(ABS(N(E548))&lt;=$D$2,ABS(N(H548))&lt;=$D$2,ABS(N(K548))&lt;=$D$2),"Reconciles within tolerance","Outside tolerance"))</f>
        <v>Reconciles within tolerance</v>
      </c>
    </row>
    <row r="549" customFormat="false" ht="15" hidden="false" customHeight="false" outlineLevel="0" collapsed="false">
      <c r="A549" s="7" t="n">
        <v>2000</v>
      </c>
      <c r="B549" s="15" t="s">
        <v>150</v>
      </c>
      <c r="C549" s="19" t="n">
        <v>25.492152</v>
      </c>
      <c r="D549" s="19" t="n">
        <v>25.492152</v>
      </c>
      <c r="E549" s="20" t="n">
        <f aca="false">IF(OR(D549="",D549=0),"",(C549-D549)/D549)</f>
        <v>0</v>
      </c>
      <c r="F549" s="19" t="n">
        <v>13.827248</v>
      </c>
      <c r="G549" s="19" t="n">
        <v>13.827248</v>
      </c>
      <c r="H549" s="20" t="n">
        <f aca="false">IF(OR(G549="",G549=0),"",(F549-G549)/G549)</f>
        <v>0</v>
      </c>
      <c r="I549" s="19" t="n">
        <v>50.202145</v>
      </c>
      <c r="J549" s="19" t="n">
        <v>50.202145</v>
      </c>
      <c r="K549" s="20" t="n">
        <f aca="false">IF(OR(J549="",J549=0),"",(I549-J549)/J549)</f>
        <v>0</v>
      </c>
      <c r="L549" s="21" t="str">
        <f aca="false">IF(OR(D549="",G549="",J549=""),"No reported subtotal",IF(AND(ABS(N(E549))&lt;=$D$2,ABS(N(H549))&lt;=$D$2,ABS(N(K549))&lt;=$D$2),"Reconciles within tolerance","Outside tolerance"))</f>
        <v>Reconciles within tolerance</v>
      </c>
    </row>
    <row r="550" customFormat="false" ht="15" hidden="false" customHeight="false" outlineLevel="0" collapsed="false">
      <c r="A550" s="7" t="n">
        <v>2001</v>
      </c>
      <c r="B550" s="15" t="s">
        <v>150</v>
      </c>
      <c r="C550" s="19" t="n">
        <v>24.224222</v>
      </c>
      <c r="D550" s="19" t="n">
        <v>24.224222</v>
      </c>
      <c r="E550" s="20" t="n">
        <f aca="false">IF(OR(D550="",D550=0),"",(C550-D550)/D550)</f>
        <v>0</v>
      </c>
      <c r="F550" s="19" t="n">
        <v>24.883088</v>
      </c>
      <c r="G550" s="19" t="n">
        <v>24.883088</v>
      </c>
      <c r="H550" s="20" t="n">
        <f aca="false">IF(OR(G550="",G550=0),"",(F550-G550)/G550)</f>
        <v>0</v>
      </c>
      <c r="I550" s="19" t="n">
        <v>58.617399</v>
      </c>
      <c r="J550" s="19" t="n">
        <v>58.617399</v>
      </c>
      <c r="K550" s="20" t="n">
        <f aca="false">IF(OR(J550="",J550=0),"",(I550-J550)/J550)</f>
        <v>0</v>
      </c>
      <c r="L550" s="21" t="str">
        <f aca="false">IF(OR(D550="",G550="",J550=""),"No reported subtotal",IF(AND(ABS(N(E550))&lt;=$D$2,ABS(N(H550))&lt;=$D$2,ABS(N(K550))&lt;=$D$2),"Reconciles within tolerance","Outside tolerance"))</f>
        <v>Reconciles within tolerance</v>
      </c>
    </row>
    <row r="551" customFormat="false" ht="15" hidden="false" customHeight="false" outlineLevel="0" collapsed="false">
      <c r="A551" s="7" t="n">
        <v>2002</v>
      </c>
      <c r="B551" s="15" t="s">
        <v>150</v>
      </c>
      <c r="C551" s="19" t="n">
        <v>25.359613</v>
      </c>
      <c r="D551" s="19" t="n">
        <v>25.359613</v>
      </c>
      <c r="E551" s="20" t="n">
        <f aca="false">IF(OR(D551="",D551=0),"",(C551-D551)/D551)</f>
        <v>0</v>
      </c>
      <c r="F551" s="19" t="n">
        <v>25.379757</v>
      </c>
      <c r="G551" s="19" t="n">
        <v>25.379757</v>
      </c>
      <c r="H551" s="20" t="n">
        <f aca="false">IF(OR(G551="",G551=0),"",(F551-G551)/G551)</f>
        <v>0</v>
      </c>
      <c r="I551" s="19" t="n">
        <v>47.288129</v>
      </c>
      <c r="J551" s="19" t="n">
        <v>47.288129</v>
      </c>
      <c r="K551" s="20" t="n">
        <f aca="false">IF(OR(J551="",J551=0),"",(I551-J551)/J551)</f>
        <v>0</v>
      </c>
      <c r="L551" s="21" t="str">
        <f aca="false">IF(OR(D551="",G551="",J551=""),"No reported subtotal",IF(AND(ABS(N(E551))&lt;=$D$2,ABS(N(H551))&lt;=$D$2,ABS(N(K551))&lt;=$D$2),"Reconciles within tolerance","Outside tolerance"))</f>
        <v>Reconciles within tolerance</v>
      </c>
    </row>
    <row r="552" customFormat="false" ht="15" hidden="false" customHeight="false" outlineLevel="0" collapsed="false">
      <c r="A552" s="7" t="n">
        <v>2003</v>
      </c>
      <c r="B552" s="15" t="s">
        <v>150</v>
      </c>
      <c r="C552" s="19" t="n">
        <v>24.37943</v>
      </c>
      <c r="D552" s="19" t="n">
        <v>24.37943</v>
      </c>
      <c r="E552" s="20" t="n">
        <f aca="false">IF(OR(D552="",D552=0),"",(C552-D552)/D552)</f>
        <v>0</v>
      </c>
      <c r="F552" s="19" t="n">
        <v>18.861737</v>
      </c>
      <c r="G552" s="19" t="n">
        <v>18.861737</v>
      </c>
      <c r="H552" s="20" t="n">
        <f aca="false">IF(OR(G552="",G552=0),"",(F552-G552)/G552)</f>
        <v>0</v>
      </c>
      <c r="I552" s="19" t="n">
        <v>40.416108</v>
      </c>
      <c r="J552" s="19" t="n">
        <v>40.416108</v>
      </c>
      <c r="K552" s="20" t="n">
        <f aca="false">IF(OR(J552="",J552=0),"",(I552-J552)/J552)</f>
        <v>0</v>
      </c>
      <c r="L552" s="21" t="str">
        <f aca="false">IF(OR(D552="",G552="",J552=""),"No reported subtotal",IF(AND(ABS(N(E552))&lt;=$D$2,ABS(N(H552))&lt;=$D$2,ABS(N(K552))&lt;=$D$2),"Reconciles within tolerance","Outside tolerance"))</f>
        <v>Reconciles within tolerance</v>
      </c>
    </row>
    <row r="553" customFormat="false" ht="15" hidden="false" customHeight="false" outlineLevel="0" collapsed="false">
      <c r="A553" s="7" t="n">
        <v>2004</v>
      </c>
      <c r="B553" s="15" t="s">
        <v>150</v>
      </c>
      <c r="C553" s="19" t="n">
        <v>28.663097</v>
      </c>
      <c r="D553" s="19" t="n">
        <v>28.663097</v>
      </c>
      <c r="E553" s="20" t="n">
        <f aca="false">IF(OR(D553="",D553=0),"",(C553-D553)/D553)</f>
        <v>0</v>
      </c>
      <c r="F553" s="19" t="n">
        <v>18.34026</v>
      </c>
      <c r="G553" s="19" t="n">
        <v>18.34026</v>
      </c>
      <c r="H553" s="20" t="n">
        <f aca="false">IF(OR(G553="",G553=0),"",(F553-G553)/G553)</f>
        <v>0</v>
      </c>
      <c r="I553" s="19" t="n">
        <v>43.274063</v>
      </c>
      <c r="J553" s="19" t="n">
        <v>43.274063</v>
      </c>
      <c r="K553" s="20" t="n">
        <f aca="false">IF(OR(J553="",J553=0),"",(I553-J553)/J553)</f>
        <v>0</v>
      </c>
      <c r="L553" s="21" t="str">
        <f aca="false">IF(OR(D553="",G553="",J553=""),"No reported subtotal",IF(AND(ABS(N(E553))&lt;=$D$2,ABS(N(H553))&lt;=$D$2,ABS(N(K553))&lt;=$D$2),"Reconciles within tolerance","Outside tolerance"))</f>
        <v>Reconciles within tolerance</v>
      </c>
    </row>
    <row r="554" customFormat="false" ht="15" hidden="false" customHeight="false" outlineLevel="0" collapsed="false">
      <c r="A554" s="7" t="n">
        <v>2005</v>
      </c>
      <c r="B554" s="15" t="s">
        <v>150</v>
      </c>
      <c r="C554" s="19" t="n">
        <v>29.52552</v>
      </c>
      <c r="D554" s="19" t="n">
        <v>29.52552</v>
      </c>
      <c r="E554" s="20" t="n">
        <f aca="false">IF(OR(D554="",D554=0),"",(C554-D554)/D554)</f>
        <v>0</v>
      </c>
      <c r="F554" s="19" t="n">
        <v>22.121227</v>
      </c>
      <c r="G554" s="19" t="n">
        <v>22.121227</v>
      </c>
      <c r="H554" s="20" t="n">
        <f aca="false">IF(OR(G554="",G554=0),"",(F554-G554)/G554)</f>
        <v>0</v>
      </c>
      <c r="I554" s="19" t="n">
        <v>51.178986</v>
      </c>
      <c r="J554" s="19" t="n">
        <v>51.178986</v>
      </c>
      <c r="K554" s="20" t="n">
        <f aca="false">IF(OR(J554="",J554=0),"",(I554-J554)/J554)</f>
        <v>0</v>
      </c>
      <c r="L554" s="21" t="str">
        <f aca="false">IF(OR(D554="",G554="",J554=""),"No reported subtotal",IF(AND(ABS(N(E554))&lt;=$D$2,ABS(N(H554))&lt;=$D$2,ABS(N(K554))&lt;=$D$2),"Reconciles within tolerance","Outside tolerance"))</f>
        <v>Reconciles within tolerance</v>
      </c>
    </row>
    <row r="555" customFormat="false" ht="15" hidden="false" customHeight="false" outlineLevel="0" collapsed="false">
      <c r="A555" s="7" t="n">
        <v>2006</v>
      </c>
      <c r="B555" s="15" t="s">
        <v>150</v>
      </c>
      <c r="C555" s="19" t="n">
        <v>29.909245</v>
      </c>
      <c r="D555" s="19" t="n">
        <v>29.909245</v>
      </c>
      <c r="E555" s="20" t="n">
        <f aca="false">IF(OR(D555="",D555=0),"",(C555-D555)/D555)</f>
        <v>0</v>
      </c>
      <c r="F555" s="19" t="n">
        <v>19.8785</v>
      </c>
      <c r="G555" s="19" t="n">
        <v>19.8785</v>
      </c>
      <c r="H555" s="20" t="n">
        <f aca="false">IF(OR(G555="",G555=0),"",(F555-G555)/G555)</f>
        <v>0</v>
      </c>
      <c r="I555" s="19" t="n">
        <v>55.845209</v>
      </c>
      <c r="J555" s="19" t="n">
        <v>55.845209</v>
      </c>
      <c r="K555" s="20" t="n">
        <f aca="false">IF(OR(J555="",J555=0),"",(I555-J555)/J555)</f>
        <v>0</v>
      </c>
      <c r="L555" s="21" t="str">
        <f aca="false">IF(OR(D555="",G555="",J555=""),"No reported subtotal",IF(AND(ABS(N(E555))&lt;=$D$2,ABS(N(H555))&lt;=$D$2,ABS(N(K555))&lt;=$D$2),"Reconciles within tolerance","Outside tolerance"))</f>
        <v>Reconciles within tolerance</v>
      </c>
    </row>
    <row r="556" customFormat="false" ht="15" hidden="false" customHeight="false" outlineLevel="0" collapsed="false">
      <c r="A556" s="7" t="n">
        <v>2007</v>
      </c>
      <c r="B556" s="15" t="s">
        <v>150</v>
      </c>
      <c r="C556" s="19" t="n">
        <v>38.624848</v>
      </c>
      <c r="D556" s="19" t="n">
        <v>38.624848</v>
      </c>
      <c r="E556" s="20" t="n">
        <f aca="false">IF(OR(D556="",D556=0),"",(C556-D556)/D556)</f>
        <v>0</v>
      </c>
      <c r="F556" s="19" t="n">
        <v>16.054216</v>
      </c>
      <c r="G556" s="19" t="n">
        <v>16.054216</v>
      </c>
      <c r="H556" s="20" t="n">
        <f aca="false">IF(OR(G556="",G556=0),"",(F556-G556)/G556)</f>
        <v>0</v>
      </c>
      <c r="I556" s="19" t="n">
        <v>65.199503</v>
      </c>
      <c r="J556" s="19" t="n">
        <v>65.199503</v>
      </c>
      <c r="K556" s="20" t="n">
        <f aca="false">IF(OR(J556="",J556=0),"",(I556-J556)/J556)</f>
        <v>0</v>
      </c>
      <c r="L556" s="21" t="str">
        <f aca="false">IF(OR(D556="",G556="",J556=""),"No reported subtotal",IF(AND(ABS(N(E556))&lt;=$D$2,ABS(N(H556))&lt;=$D$2,ABS(N(K556))&lt;=$D$2),"Reconciles within tolerance","Outside tolerance"))</f>
        <v>Reconciles within tolerance</v>
      </c>
    </row>
    <row r="557" customFormat="false" ht="15" hidden="false" customHeight="false" outlineLevel="0" collapsed="false">
      <c r="A557" s="7" t="n">
        <v>2008</v>
      </c>
      <c r="B557" s="15" t="s">
        <v>150</v>
      </c>
      <c r="C557" s="19" t="n">
        <v>41.246476</v>
      </c>
      <c r="D557" s="19" t="n">
        <v>41.246476</v>
      </c>
      <c r="E557" s="20" t="n">
        <f aca="false">IF(OR(D557="",D557=0),"",(C557-D557)/D557)</f>
        <v>0</v>
      </c>
      <c r="F557" s="19" t="n">
        <v>18.913223</v>
      </c>
      <c r="G557" s="19" t="n">
        <v>18.913223</v>
      </c>
      <c r="H557" s="20" t="n">
        <f aca="false">IF(OR(G557="",G557=0),"",(F557-G557)/G557)</f>
        <v>0</v>
      </c>
      <c r="I557" s="19" t="n">
        <v>61.146549</v>
      </c>
      <c r="J557" s="19" t="n">
        <v>61.146549</v>
      </c>
      <c r="K557" s="20" t="n">
        <f aca="false">IF(OR(J557="",J557=0),"",(I557-J557)/J557)</f>
        <v>0</v>
      </c>
      <c r="L557" s="21" t="str">
        <f aca="false">IF(OR(D557="",G557="",J557=""),"No reported subtotal",IF(AND(ABS(N(E557))&lt;=$D$2,ABS(N(H557))&lt;=$D$2,ABS(N(K557))&lt;=$D$2),"Reconciles within tolerance","Outside tolerance"))</f>
        <v>Reconciles within tolerance</v>
      </c>
    </row>
    <row r="558" customFormat="false" ht="15" hidden="false" customHeight="false" outlineLevel="0" collapsed="false">
      <c r="A558" s="7" t="n">
        <v>2009</v>
      </c>
      <c r="B558" s="15" t="s">
        <v>150</v>
      </c>
      <c r="C558" s="19" t="n">
        <v>35.198198</v>
      </c>
      <c r="D558" s="19" t="n">
        <v>35.198198</v>
      </c>
      <c r="E558" s="20" t="n">
        <f aca="false">IF(OR(D558="",D558=0),"",(C558-D558)/D558)</f>
        <v>0</v>
      </c>
      <c r="F558" s="19" t="n">
        <v>19.395931</v>
      </c>
      <c r="G558" s="19" t="n">
        <v>19.395931</v>
      </c>
      <c r="H558" s="20" t="n">
        <f aca="false">IF(OR(G558="",G558=0),"",(F558-G558)/G558)</f>
        <v>0</v>
      </c>
      <c r="I558" s="19" t="n">
        <v>48.453521</v>
      </c>
      <c r="J558" s="19" t="n">
        <v>48.453521</v>
      </c>
      <c r="K558" s="20" t="n">
        <f aca="false">IF(OR(J558="",J558=0),"",(I558-J558)/J558)</f>
        <v>0</v>
      </c>
      <c r="L558" s="21" t="str">
        <f aca="false">IF(OR(D558="",G558="",J558=""),"No reported subtotal",IF(AND(ABS(N(E558))&lt;=$D$2,ABS(N(H558))&lt;=$D$2,ABS(N(K558))&lt;=$D$2),"Reconciles within tolerance","Outside tolerance"))</f>
        <v>Reconciles within tolerance</v>
      </c>
    </row>
    <row r="559" customFormat="false" ht="15" hidden="false" customHeight="false" outlineLevel="0" collapsed="false">
      <c r="A559" s="7" t="n">
        <v>2010</v>
      </c>
      <c r="B559" s="15" t="s">
        <v>150</v>
      </c>
      <c r="C559" s="19" t="n">
        <v>41.703518</v>
      </c>
      <c r="D559" s="19" t="n">
        <v>41.703518</v>
      </c>
      <c r="E559" s="20" t="n">
        <f aca="false">IF(OR(D559="",D559=0),"",(C559-D559)/D559)</f>
        <v>0</v>
      </c>
      <c r="F559" s="19" t="n">
        <v>17.826631</v>
      </c>
      <c r="G559" s="19" t="n">
        <v>17.826631</v>
      </c>
      <c r="H559" s="20" t="n">
        <f aca="false">IF(OR(G559="",G559=0),"",(F559-G559)/G559)</f>
        <v>0</v>
      </c>
      <c r="I559" s="19" t="n">
        <v>48.093257</v>
      </c>
      <c r="J559" s="19" t="n">
        <v>48.093257</v>
      </c>
      <c r="K559" s="20" t="n">
        <f aca="false">IF(OR(J559="",J559=0),"",(I559-J559)/J559)</f>
        <v>0</v>
      </c>
      <c r="L559" s="21" t="str">
        <f aca="false">IF(OR(D559="",G559="",J559=""),"No reported subtotal",IF(AND(ABS(N(E559))&lt;=$D$2,ABS(N(H559))&lt;=$D$2,ABS(N(K559))&lt;=$D$2),"Reconciles within tolerance","Outside tolerance"))</f>
        <v>Reconciles within tolerance</v>
      </c>
    </row>
    <row r="560" customFormat="false" ht="15" hidden="false" customHeight="false" outlineLevel="0" collapsed="false">
      <c r="A560" s="7" t="n">
        <v>2011</v>
      </c>
      <c r="B560" s="15" t="s">
        <v>150</v>
      </c>
      <c r="C560" s="19" t="n">
        <v>43.908566</v>
      </c>
      <c r="D560" s="19" t="n">
        <v>43.908566</v>
      </c>
      <c r="E560" s="20" t="n">
        <f aca="false">IF(OR(D560="",D560=0),"",(C560-D560)/D560)</f>
        <v>0</v>
      </c>
      <c r="F560" s="19" t="n">
        <v>18.343648</v>
      </c>
      <c r="G560" s="19" t="n">
        <v>18.343648</v>
      </c>
      <c r="H560" s="20" t="n">
        <f aca="false">IF(OR(G560="",G560=0),"",(F560-G560)/G560)</f>
        <v>0</v>
      </c>
      <c r="I560" s="19" t="n">
        <v>43.818906</v>
      </c>
      <c r="J560" s="19" t="n">
        <v>43.818906</v>
      </c>
      <c r="K560" s="20" t="n">
        <f aca="false">IF(OR(J560="",J560=0),"",(I560-J560)/J560)</f>
        <v>0</v>
      </c>
      <c r="L560" s="21" t="str">
        <f aca="false">IF(OR(D560="",G560="",J560=""),"No reported subtotal",IF(AND(ABS(N(E560))&lt;=$D$2,ABS(N(H560))&lt;=$D$2,ABS(N(K560))&lt;=$D$2),"Reconciles within tolerance","Outside tolerance"))</f>
        <v>Reconciles within tolerance</v>
      </c>
    </row>
    <row r="561" customFormat="false" ht="15" hidden="false" customHeight="false" outlineLevel="0" collapsed="false">
      <c r="A561" s="7" t="n">
        <v>2012</v>
      </c>
      <c r="B561" s="15" t="s">
        <v>150</v>
      </c>
      <c r="C561" s="19" t="n">
        <v>47.67768</v>
      </c>
      <c r="D561" s="19" t="n">
        <v>47.67768</v>
      </c>
      <c r="E561" s="20" t="n">
        <f aca="false">IF(OR(D561="",D561=0),"",(C561-D561)/D561)</f>
        <v>0</v>
      </c>
      <c r="F561" s="19" t="n">
        <v>20.300378</v>
      </c>
      <c r="G561" s="19" t="n">
        <v>20.300378</v>
      </c>
      <c r="H561" s="20" t="n">
        <f aca="false">IF(OR(G561="",G561=0),"",(F561-G561)/G561)</f>
        <v>0</v>
      </c>
      <c r="I561" s="19" t="n">
        <v>60.000519</v>
      </c>
      <c r="J561" s="19" t="n">
        <v>60.000519</v>
      </c>
      <c r="K561" s="20" t="n">
        <f aca="false">IF(OR(J561="",J561=0),"",(I561-J561)/J561)</f>
        <v>0</v>
      </c>
      <c r="L561" s="21" t="str">
        <f aca="false">IF(OR(D561="",G561="",J561=""),"No reported subtotal",IF(AND(ABS(N(E561))&lt;=$D$2,ABS(N(H561))&lt;=$D$2,ABS(N(K561))&lt;=$D$2),"Reconciles within tolerance","Outside tolerance"))</f>
        <v>Reconciles within tolerance</v>
      </c>
    </row>
    <row r="562" customFormat="false" ht="15" hidden="false" customHeight="false" outlineLevel="0" collapsed="false">
      <c r="A562" s="7" t="n">
        <v>2013</v>
      </c>
      <c r="B562" s="15" t="s">
        <v>150</v>
      </c>
      <c r="C562" s="19" t="n">
        <v>48.247343</v>
      </c>
      <c r="D562" s="19" t="n">
        <v>48.247343</v>
      </c>
      <c r="E562" s="20" t="n">
        <f aca="false">IF(OR(D562="",D562=0),"",(C562-D562)/D562)</f>
        <v>0</v>
      </c>
      <c r="F562" s="19" t="n">
        <v>21.69317</v>
      </c>
      <c r="G562" s="19" t="n">
        <v>21.69317</v>
      </c>
      <c r="H562" s="20" t="n">
        <f aca="false">IF(OR(G562="",G562=0),"",(F562-G562)/G562)</f>
        <v>0</v>
      </c>
      <c r="I562" s="19" t="n">
        <v>71.714578</v>
      </c>
      <c r="J562" s="19" t="n">
        <v>71.714578</v>
      </c>
      <c r="K562" s="20" t="n">
        <f aca="false">IF(OR(J562="",J562=0),"",(I562-J562)/J562)</f>
        <v>0</v>
      </c>
      <c r="L562" s="21" t="str">
        <f aca="false">IF(OR(D562="",G562="",J562=""),"No reported subtotal",IF(AND(ABS(N(E562))&lt;=$D$2,ABS(N(H562))&lt;=$D$2,ABS(N(K562))&lt;=$D$2),"Reconciles within tolerance","Outside tolerance"))</f>
        <v>Reconciles within tolerance</v>
      </c>
    </row>
    <row r="563" customFormat="false" ht="15" hidden="false" customHeight="false" outlineLevel="0" collapsed="false">
      <c r="A563" s="7" t="n">
        <v>2014</v>
      </c>
      <c r="B563" s="15" t="s">
        <v>150</v>
      </c>
      <c r="C563" s="19" t="n">
        <v>43.587581</v>
      </c>
      <c r="D563" s="19" t="n">
        <v>43.587581</v>
      </c>
      <c r="E563" s="20" t="n">
        <f aca="false">IF(OR(D563="",D563=0),"",(C563-D563)/D563)</f>
        <v>0</v>
      </c>
      <c r="F563" s="19" t="n">
        <v>20.8502</v>
      </c>
      <c r="G563" s="19" t="n">
        <v>20.8502</v>
      </c>
      <c r="H563" s="20" t="n">
        <f aca="false">IF(OR(G563="",G563=0),"",(F563-G563)/G563)</f>
        <v>0</v>
      </c>
      <c r="I563" s="19" t="n">
        <v>83.456659</v>
      </c>
      <c r="J563" s="19" t="n">
        <v>83.456659</v>
      </c>
      <c r="K563" s="20" t="n">
        <f aca="false">IF(OR(J563="",J563=0),"",(I563-J563)/J563)</f>
        <v>0</v>
      </c>
      <c r="L563" s="21" t="str">
        <f aca="false">IF(OR(D563="",G563="",J563=""),"No reported subtotal",IF(AND(ABS(N(E563))&lt;=$D$2,ABS(N(H563))&lt;=$D$2,ABS(N(K563))&lt;=$D$2),"Reconciles within tolerance","Outside tolerance"))</f>
        <v>Reconciles within tolerance</v>
      </c>
    </row>
    <row r="564" customFormat="false" ht="15" hidden="false" customHeight="false" outlineLevel="0" collapsed="false">
      <c r="A564" s="7" t="n">
        <v>2015</v>
      </c>
      <c r="B564" s="15" t="s">
        <v>150</v>
      </c>
      <c r="C564" s="19" t="n">
        <v>41.331114</v>
      </c>
      <c r="D564" s="19" t="n">
        <v>41.331114</v>
      </c>
      <c r="E564" s="20" t="n">
        <f aca="false">IF(OR(D564="",D564=0),"",(C564-D564)/D564)</f>
        <v>0</v>
      </c>
      <c r="F564" s="19" t="n">
        <v>19.510725</v>
      </c>
      <c r="G564" s="19" t="n">
        <v>19.510725</v>
      </c>
      <c r="H564" s="20" t="n">
        <f aca="false">IF(OR(G564="",G564=0),"",(F564-G564)/G564)</f>
        <v>0</v>
      </c>
      <c r="I564" s="19" t="n">
        <v>99.515737</v>
      </c>
      <c r="J564" s="19" t="n">
        <v>99.515737</v>
      </c>
      <c r="K564" s="20" t="n">
        <f aca="false">IF(OR(J564="",J564=0),"",(I564-J564)/J564)</f>
        <v>0</v>
      </c>
      <c r="L564" s="21" t="str">
        <f aca="false">IF(OR(D564="",G564="",J564=""),"No reported subtotal",IF(AND(ABS(N(E564))&lt;=$D$2,ABS(N(H564))&lt;=$D$2,ABS(N(K564))&lt;=$D$2),"Reconciles within tolerance","Outside tolerance"))</f>
        <v>Reconciles within tolerance</v>
      </c>
    </row>
    <row r="565" customFormat="false" ht="15" hidden="false" customHeight="false" outlineLevel="0" collapsed="false">
      <c r="A565" s="7" t="n">
        <v>2016</v>
      </c>
      <c r="B565" s="15" t="s">
        <v>150</v>
      </c>
      <c r="C565" s="19" t="n">
        <v>43.823756</v>
      </c>
      <c r="D565" s="19" t="n">
        <v>43.823756</v>
      </c>
      <c r="E565" s="20" t="n">
        <f aca="false">IF(OR(D565="",D565=0),"",(C565-D565)/D565)</f>
        <v>0</v>
      </c>
      <c r="F565" s="19" t="n">
        <v>17.790868</v>
      </c>
      <c r="G565" s="19" t="n">
        <v>17.790868</v>
      </c>
      <c r="H565" s="20" t="n">
        <f aca="false">IF(OR(G565="",G565=0),"",(F565-G565)/G565)</f>
        <v>0</v>
      </c>
      <c r="I565" s="19" t="n">
        <v>128.134826</v>
      </c>
      <c r="J565" s="19" t="n">
        <v>128.134826</v>
      </c>
      <c r="K565" s="20" t="n">
        <f aca="false">IF(OR(J565="",J565=0),"",(I565-J565)/J565)</f>
        <v>0</v>
      </c>
      <c r="L565" s="21" t="str">
        <f aca="false">IF(OR(D565="",G565="",J565=""),"No reported subtotal",IF(AND(ABS(N(E565))&lt;=$D$2,ABS(N(H565))&lt;=$D$2,ABS(N(K565))&lt;=$D$2),"Reconciles within tolerance","Outside tolerance"))</f>
        <v>Reconciles within tolerance</v>
      </c>
    </row>
    <row r="566" customFormat="false" ht="15" hidden="false" customHeight="false" outlineLevel="0" collapsed="false">
      <c r="A566" s="7" t="n">
        <v>2017</v>
      </c>
      <c r="B566" s="15" t="s">
        <v>150</v>
      </c>
      <c r="C566" s="19" t="n">
        <v>49.601516</v>
      </c>
      <c r="D566" s="19" t="n">
        <v>49.601516</v>
      </c>
      <c r="E566" s="20" t="n">
        <f aca="false">IF(OR(D566="",D566=0),"",(C566-D566)/D566)</f>
        <v>0</v>
      </c>
      <c r="F566" s="19" t="n">
        <v>16.160551</v>
      </c>
      <c r="G566" s="19" t="n">
        <v>16.160551</v>
      </c>
      <c r="H566" s="20" t="n">
        <f aca="false">IF(OR(G566="",G566=0),"",(F566-G566)/G566)</f>
        <v>0</v>
      </c>
      <c r="I566" s="19" t="n">
        <v>126.816646</v>
      </c>
      <c r="J566" s="19" t="n">
        <v>126.816646</v>
      </c>
      <c r="K566" s="20" t="n">
        <f aca="false">IF(OR(J566="",J566=0),"",(I566-J566)/J566)</f>
        <v>0</v>
      </c>
      <c r="L566" s="21" t="str">
        <f aca="false">IF(OR(D566="",G566="",J566=""),"No reported subtotal",IF(AND(ABS(N(E566))&lt;=$D$2,ABS(N(H566))&lt;=$D$2,ABS(N(K566))&lt;=$D$2),"Reconciles within tolerance","Outside tolerance"))</f>
        <v>Reconciles within tolerance</v>
      </c>
    </row>
    <row r="567" customFormat="false" ht="15" hidden="false" customHeight="false" outlineLevel="0" collapsed="false">
      <c r="A567" s="7" t="n">
        <v>2018</v>
      </c>
      <c r="B567" s="15" t="s">
        <v>150</v>
      </c>
      <c r="C567" s="19" t="n">
        <v>55.385035</v>
      </c>
      <c r="D567" s="19" t="n">
        <v>55.385035</v>
      </c>
      <c r="E567" s="20" t="n">
        <f aca="false">IF(OR(D567="",D567=0),"",(C567-D567)/D567)</f>
        <v>0</v>
      </c>
      <c r="F567" s="19" t="n">
        <v>16.366558</v>
      </c>
      <c r="G567" s="19" t="n">
        <v>16.366558</v>
      </c>
      <c r="H567" s="20" t="n">
        <f aca="false">IF(OR(G567="",G567=0),"",(F567-G567)/G567)</f>
        <v>0</v>
      </c>
      <c r="I567" s="19" t="n">
        <v>152.706755</v>
      </c>
      <c r="J567" s="19" t="n">
        <v>152.706755</v>
      </c>
      <c r="K567" s="20" t="n">
        <f aca="false">IF(OR(J567="",J567=0),"",(I567-J567)/J567)</f>
        <v>0</v>
      </c>
      <c r="L567" s="21" t="str">
        <f aca="false">IF(OR(D567="",G567="",J567=""),"No reported subtotal",IF(AND(ABS(N(E567))&lt;=$D$2,ABS(N(H567))&lt;=$D$2,ABS(N(K567))&lt;=$D$2),"Reconciles within tolerance","Outside tolerance"))</f>
        <v>Reconciles within tolerance</v>
      </c>
    </row>
    <row r="568" customFormat="false" ht="15" hidden="false" customHeight="false" outlineLevel="0" collapsed="false">
      <c r="A568" s="7" t="n">
        <v>2019</v>
      </c>
      <c r="B568" s="15" t="s">
        <v>150</v>
      </c>
      <c r="C568" s="19" t="n">
        <v>58.811486</v>
      </c>
      <c r="D568" s="19" t="n">
        <v>58.811486</v>
      </c>
      <c r="E568" s="20" t="n">
        <f aca="false">IF(OR(D568="",D568=0),"",(C568-D568)/D568)</f>
        <v>0</v>
      </c>
      <c r="F568" s="19" t="n">
        <v>17.200819</v>
      </c>
      <c r="G568" s="19" t="n">
        <v>17.200819</v>
      </c>
      <c r="H568" s="20" t="n">
        <f aca="false">IF(OR(G568="",G568=0),"",(F568-G568)/G568)</f>
        <v>0</v>
      </c>
      <c r="I568" s="19" t="n">
        <v>228.342718</v>
      </c>
      <c r="J568" s="19" t="n">
        <v>228.342718</v>
      </c>
      <c r="K568" s="20" t="n">
        <f aca="false">IF(OR(J568="",J568=0),"",(I568-J568)/J568)</f>
        <v>0</v>
      </c>
      <c r="L568" s="21" t="str">
        <f aca="false">IF(OR(D568="",G568="",J568=""),"No reported subtotal",IF(AND(ABS(N(E568))&lt;=$D$2,ABS(N(H568))&lt;=$D$2,ABS(N(K568))&lt;=$D$2),"Reconciles within tolerance","Outside tolerance"))</f>
        <v>Reconciles within tolerance</v>
      </c>
    </row>
    <row r="569" customFormat="false" ht="15" hidden="false" customHeight="false" outlineLevel="0" collapsed="false">
      <c r="A569" s="7" t="n">
        <v>2020</v>
      </c>
      <c r="B569" s="15" t="s">
        <v>150</v>
      </c>
      <c r="C569" s="19" t="n">
        <v>63.472141</v>
      </c>
      <c r="D569" s="19" t="n">
        <v>63.472141</v>
      </c>
      <c r="E569" s="20" t="n">
        <f aca="false">IF(OR(D569="",D569=0),"",(C569-D569)/D569)</f>
        <v>0</v>
      </c>
      <c r="F569" s="19" t="n">
        <v>15.209439</v>
      </c>
      <c r="G569" s="19" t="n">
        <v>15.209439</v>
      </c>
      <c r="H569" s="20" t="n">
        <f aca="false">IF(OR(G569="",G569=0),"",(F569-G569)/G569)</f>
        <v>0</v>
      </c>
      <c r="I569" s="19" t="n">
        <v>164.89108</v>
      </c>
      <c r="J569" s="19" t="n">
        <v>164.89108</v>
      </c>
      <c r="K569" s="20" t="n">
        <f aca="false">IF(OR(J569="",J569=0),"",(I569-J569)/J569)</f>
        <v>0</v>
      </c>
      <c r="L569" s="21" t="str">
        <f aca="false">IF(OR(D569="",G569="",J569=""),"No reported subtotal",IF(AND(ABS(N(E569))&lt;=$D$2,ABS(N(H569))&lt;=$D$2,ABS(N(K569))&lt;=$D$2),"Reconciles within tolerance","Outside tolerance"))</f>
        <v>Reconciles within tolerance</v>
      </c>
    </row>
    <row r="570" customFormat="false" ht="15" hidden="false" customHeight="false" outlineLevel="0" collapsed="false">
      <c r="A570" s="7" t="n">
        <v>2021</v>
      </c>
      <c r="B570" s="15" t="s">
        <v>150</v>
      </c>
      <c r="C570" s="19" t="n">
        <v>62.799399</v>
      </c>
      <c r="D570" s="19" t="n">
        <v>62.799399</v>
      </c>
      <c r="E570" s="20" t="n">
        <f aca="false">IF(OR(D570="",D570=0),"",(C570-D570)/D570)</f>
        <v>0</v>
      </c>
      <c r="F570" s="19" t="n">
        <v>16.485043</v>
      </c>
      <c r="G570" s="19" t="n">
        <v>16.485043</v>
      </c>
      <c r="H570" s="20" t="n">
        <f aca="false">IF(OR(G570="",G570=0),"",(F570-G570)/G570)</f>
        <v>0</v>
      </c>
      <c r="I570" s="19" t="n">
        <v>216.690874</v>
      </c>
      <c r="J570" s="19" t="n">
        <v>216.690874</v>
      </c>
      <c r="K570" s="20" t="n">
        <f aca="false">IF(OR(J570="",J570=0),"",(I570-J570)/J570)</f>
        <v>0</v>
      </c>
      <c r="L570" s="21" t="str">
        <f aca="false">IF(OR(D570="",G570="",J570=""),"No reported subtotal",IF(AND(ABS(N(E570))&lt;=$D$2,ABS(N(H570))&lt;=$D$2,ABS(N(K570))&lt;=$D$2),"Reconciles within tolerance","Outside tolerance"))</f>
        <v>Reconciles within tolerance</v>
      </c>
    </row>
    <row r="571" customFormat="false" ht="15" hidden="false" customHeight="false" outlineLevel="0" collapsed="false">
      <c r="A571" s="7" t="n">
        <v>2022</v>
      </c>
      <c r="B571" s="15" t="s">
        <v>150</v>
      </c>
      <c r="C571" s="19" t="n">
        <v>65.439226</v>
      </c>
      <c r="D571" s="19" t="n">
        <v>65.439226</v>
      </c>
      <c r="E571" s="20" t="n">
        <f aca="false">IF(OR(D571="",D571=0),"",(C571-D571)/D571)</f>
        <v>0</v>
      </c>
      <c r="F571" s="19" t="n">
        <v>18.127961</v>
      </c>
      <c r="G571" s="19" t="n">
        <v>18.127961</v>
      </c>
      <c r="H571" s="20" t="n">
        <f aca="false">IF(OR(G571="",G571=0),"",(F571-G571)/G571)</f>
        <v>0</v>
      </c>
      <c r="I571" s="19" t="n">
        <v>228.918817</v>
      </c>
      <c r="J571" s="19" t="n">
        <v>228.918817</v>
      </c>
      <c r="K571" s="20" t="n">
        <f aca="false">IF(OR(J571="",J571=0),"",(I571-J571)/J571)</f>
        <v>0</v>
      </c>
      <c r="L571" s="21" t="str">
        <f aca="false">IF(OR(D571="",G571="",J571=""),"No reported subtotal",IF(AND(ABS(N(E571))&lt;=$D$2,ABS(N(H571))&lt;=$D$2,ABS(N(K571))&lt;=$D$2),"Reconciles within tolerance","Outside tolerance"))</f>
        <v>Reconciles within tolerance</v>
      </c>
    </row>
    <row r="572" customFormat="false" ht="15" hidden="false" customHeight="false" outlineLevel="0" collapsed="false">
      <c r="A572" s="7" t="n">
        <v>2023</v>
      </c>
      <c r="B572" s="15" t="s">
        <v>150</v>
      </c>
      <c r="C572" s="19" t="n">
        <v>65.165391</v>
      </c>
      <c r="D572" s="19" t="n">
        <v>65.165391</v>
      </c>
      <c r="E572" s="20" t="n">
        <f aca="false">IF(OR(D572="",D572=0),"",(C572-D572)/D572)</f>
        <v>0</v>
      </c>
      <c r="F572" s="19" t="n">
        <v>17.724006</v>
      </c>
      <c r="G572" s="19" t="n">
        <v>17.724006</v>
      </c>
      <c r="H572" s="20" t="n">
        <f aca="false">IF(OR(G572="",G572=0),"",(F572-G572)/G572)</f>
        <v>0</v>
      </c>
      <c r="I572" s="19" t="n">
        <v>344.905401</v>
      </c>
      <c r="J572" s="19" t="n">
        <v>344.905401</v>
      </c>
      <c r="K572" s="20" t="n">
        <f aca="false">IF(OR(J572="",J572=0),"",(I572-J572)/J572)</f>
        <v>0</v>
      </c>
      <c r="L572" s="21" t="str">
        <f aca="false">IF(OR(D572="",G572="",J572=""),"No reported subtotal",IF(AND(ABS(N(E572))&lt;=$D$2,ABS(N(H572))&lt;=$D$2,ABS(N(K572))&lt;=$D$2),"Reconciles within tolerance","Outside tolerance"))</f>
        <v>Reconciles within tolerance</v>
      </c>
    </row>
    <row r="573" customFormat="false" ht="15" hidden="false" customHeight="false" outlineLevel="0" collapsed="false">
      <c r="A573" s="7" t="n">
        <v>2024</v>
      </c>
      <c r="B573" s="15" t="s">
        <v>150</v>
      </c>
      <c r="C573" s="19" t="n">
        <v>74.061796</v>
      </c>
      <c r="D573" s="19" t="n">
        <v>74.061796</v>
      </c>
      <c r="E573" s="20" t="n">
        <f aca="false">IF(OR(D573="",D573=0),"",(C573-D573)/D573)</f>
        <v>0</v>
      </c>
      <c r="F573" s="19" t="n">
        <v>18.502015</v>
      </c>
      <c r="G573" s="19" t="n">
        <v>18.502015</v>
      </c>
      <c r="H573" s="20" t="n">
        <f aca="false">IF(OR(G573="",G573=0),"",(F573-G573)/G573)</f>
        <v>0</v>
      </c>
      <c r="I573" s="19" t="n">
        <v>201.627029</v>
      </c>
      <c r="J573" s="19" t="n">
        <v>201.627029</v>
      </c>
      <c r="K573" s="20" t="n">
        <f aca="false">IF(OR(J573="",J573=0),"",(I573-J573)/J573)</f>
        <v>0</v>
      </c>
      <c r="L573" s="21" t="str">
        <f aca="false">IF(OR(D573="",G573="",J573=""),"No reported subtotal",IF(AND(ABS(N(E573))&lt;=$D$2,ABS(N(H573))&lt;=$D$2,ABS(N(K573))&lt;=$D$2),"Reconciles within tolerance","Outside tolerance"))</f>
        <v>Reconciles within tolerance</v>
      </c>
    </row>
    <row r="574" customFormat="false" ht="15" hidden="false" customHeight="false" outlineLevel="0" collapsed="false">
      <c r="A574" s="7" t="n">
        <v>2025</v>
      </c>
      <c r="B574" s="15" t="s">
        <v>150</v>
      </c>
      <c r="C574" s="19" t="n">
        <v>83.987219</v>
      </c>
      <c r="D574" s="19" t="n">
        <v>83.987219</v>
      </c>
      <c r="E574" s="20" t="n">
        <f aca="false">IF(OR(D574="",D574=0),"",(C574-D574)/D574)</f>
        <v>0</v>
      </c>
      <c r="F574" s="19" t="n">
        <v>27.54026</v>
      </c>
      <c r="G574" s="19" t="n">
        <v>27.54026</v>
      </c>
      <c r="H574" s="20" t="n">
        <f aca="false">IF(OR(G574="",G574=0),"",(F574-G574)/G574)</f>
        <v>0</v>
      </c>
      <c r="I574" s="19" t="n">
        <v>556.146328</v>
      </c>
      <c r="J574" s="19" t="n">
        <v>556.146328</v>
      </c>
      <c r="K574" s="20" t="n">
        <f aca="false">IF(OR(J574="",J574=0),"",(I574-J574)/J574)</f>
        <v>0</v>
      </c>
      <c r="L574" s="21" t="str">
        <f aca="false">IF(OR(D574="",G574="",J574=""),"No reported subtotal",IF(AND(ABS(N(E574))&lt;=$D$2,ABS(N(H574))&lt;=$D$2,ABS(N(K574))&lt;=$D$2),"Reconciles within tolerance","Outside tolerance"))</f>
        <v>Reconciles within tolerance</v>
      </c>
    </row>
    <row r="575" customFormat="false" ht="15" hidden="false" customHeight="false" outlineLevel="0" collapsed="false">
      <c r="A575" s="7" t="n">
        <v>2000</v>
      </c>
      <c r="B575" s="15" t="s">
        <v>151</v>
      </c>
      <c r="C575" s="19" t="n">
        <v>100.589154</v>
      </c>
      <c r="D575" s="19" t="n">
        <v>100.589154</v>
      </c>
      <c r="E575" s="20" t="n">
        <f aca="false">IF(OR(D575="",D575=0),"",(C575-D575)/D575)</f>
        <v>0</v>
      </c>
      <c r="F575" s="19" t="n">
        <v>96.883278</v>
      </c>
      <c r="G575" s="19" t="n">
        <v>96.883278</v>
      </c>
      <c r="H575" s="20" t="n">
        <f aca="false">IF(OR(G575="",G575=0),"",(F575-G575)/G575)</f>
        <v>0</v>
      </c>
      <c r="I575" s="19" t="n">
        <v>122.587262</v>
      </c>
      <c r="J575" s="19" t="n">
        <v>122.587262</v>
      </c>
      <c r="K575" s="20" t="n">
        <f aca="false">IF(OR(J575="",J575=0),"",(I575-J575)/J575)</f>
        <v>0</v>
      </c>
      <c r="L575" s="21" t="str">
        <f aca="false">IF(OR(D575="",G575="",J575=""),"No reported subtotal",IF(AND(ABS(N(E575))&lt;=$D$2,ABS(N(H575))&lt;=$D$2,ABS(N(K575))&lt;=$D$2),"Reconciles within tolerance","Outside tolerance"))</f>
        <v>Reconciles within tolerance</v>
      </c>
    </row>
    <row r="576" customFormat="false" ht="15" hidden="false" customHeight="false" outlineLevel="0" collapsed="false">
      <c r="A576" s="7" t="n">
        <v>2001</v>
      </c>
      <c r="B576" s="15" t="s">
        <v>151</v>
      </c>
      <c r="C576" s="19" t="n">
        <v>95.719772</v>
      </c>
      <c r="D576" s="19" t="n">
        <v>95.719772</v>
      </c>
      <c r="E576" s="20" t="n">
        <f aca="false">IF(OR(D576="",D576=0),"",(C576-D576)/D576)</f>
        <v>0</v>
      </c>
      <c r="F576" s="19" t="n">
        <v>76.603231</v>
      </c>
      <c r="G576" s="19" t="n">
        <v>76.603231</v>
      </c>
      <c r="H576" s="20" t="n">
        <f aca="false">IF(OR(G576="",G576=0),"",(F576-G576)/G576)</f>
        <v>0</v>
      </c>
      <c r="I576" s="19" t="n">
        <v>120.828626</v>
      </c>
      <c r="J576" s="19" t="n">
        <v>120.828626</v>
      </c>
      <c r="K576" s="20" t="n">
        <f aca="false">IF(OR(J576="",J576=0),"",(I576-J576)/J576)</f>
        <v>0</v>
      </c>
      <c r="L576" s="21" t="str">
        <f aca="false">IF(OR(D576="",G576="",J576=""),"No reported subtotal",IF(AND(ABS(N(E576))&lt;=$D$2,ABS(N(H576))&lt;=$D$2,ABS(N(K576))&lt;=$D$2),"Reconciles within tolerance","Outside tolerance"))</f>
        <v>Reconciles within tolerance</v>
      </c>
    </row>
    <row r="577" customFormat="false" ht="15" hidden="false" customHeight="false" outlineLevel="0" collapsed="false">
      <c r="A577" s="7" t="n">
        <v>2002</v>
      </c>
      <c r="B577" s="15" t="s">
        <v>151</v>
      </c>
      <c r="C577" s="19" t="n">
        <v>81.12359</v>
      </c>
      <c r="D577" s="19" t="n">
        <v>81.12359</v>
      </c>
      <c r="E577" s="20" t="n">
        <f aca="false">IF(OR(D577="",D577=0),"",(C577-D577)/D577)</f>
        <v>0</v>
      </c>
      <c r="F577" s="19" t="n">
        <v>106.66512</v>
      </c>
      <c r="G577" s="19" t="n">
        <v>106.66512</v>
      </c>
      <c r="H577" s="20" t="n">
        <f aca="false">IF(OR(G577="",G577=0),"",(F577-G577)/G577)</f>
        <v>0</v>
      </c>
      <c r="I577" s="19" t="n">
        <v>100.44462</v>
      </c>
      <c r="J577" s="19" t="n">
        <v>100.44462</v>
      </c>
      <c r="K577" s="20" t="n">
        <f aca="false">IF(OR(J577="",J577=0),"",(I577-J577)/J577)</f>
        <v>0</v>
      </c>
      <c r="L577" s="21" t="str">
        <f aca="false">IF(OR(D577="",G577="",J577=""),"No reported subtotal",IF(AND(ABS(N(E577))&lt;=$D$2,ABS(N(H577))&lt;=$D$2,ABS(N(K577))&lt;=$D$2),"Reconciles within tolerance","Outside tolerance"))</f>
        <v>Reconciles within tolerance</v>
      </c>
    </row>
    <row r="578" customFormat="false" ht="15" hidden="false" customHeight="false" outlineLevel="0" collapsed="false">
      <c r="A578" s="7" t="n">
        <v>2003</v>
      </c>
      <c r="B578" s="15" t="s">
        <v>151</v>
      </c>
      <c r="C578" s="19" t="n">
        <v>91.179683</v>
      </c>
      <c r="D578" s="19" t="n">
        <v>91.179683</v>
      </c>
      <c r="E578" s="20" t="n">
        <f aca="false">IF(OR(D578="",D578=0),"",(C578-D578)/D578)</f>
        <v>0</v>
      </c>
      <c r="F578" s="19" t="n">
        <v>108.414056</v>
      </c>
      <c r="G578" s="19" t="n">
        <v>108.414056</v>
      </c>
      <c r="H578" s="20" t="n">
        <f aca="false">IF(OR(G578="",G578=0),"",(F578-G578)/G578)</f>
        <v>0</v>
      </c>
      <c r="I578" s="19" t="n">
        <v>122.431949</v>
      </c>
      <c r="J578" s="19" t="n">
        <v>122.431949</v>
      </c>
      <c r="K578" s="20" t="n">
        <f aca="false">IF(OR(J578="",J578=0),"",(I578-J578)/J578)</f>
        <v>0</v>
      </c>
      <c r="L578" s="21" t="str">
        <f aca="false">IF(OR(D578="",G578="",J578=""),"No reported subtotal",IF(AND(ABS(N(E578))&lt;=$D$2,ABS(N(H578))&lt;=$D$2,ABS(N(K578))&lt;=$D$2),"Reconciles within tolerance","Outside tolerance"))</f>
        <v>Reconciles within tolerance</v>
      </c>
    </row>
    <row r="579" customFormat="false" ht="15" hidden="false" customHeight="false" outlineLevel="0" collapsed="false">
      <c r="A579" s="7" t="n">
        <v>2004</v>
      </c>
      <c r="B579" s="15" t="s">
        <v>151</v>
      </c>
      <c r="C579" s="19" t="n">
        <v>91.789767</v>
      </c>
      <c r="D579" s="19" t="n">
        <v>91.789767</v>
      </c>
      <c r="E579" s="20" t="n">
        <f aca="false">IF(OR(D579="",D579=0),"",(C579-D579)/D579)</f>
        <v>0</v>
      </c>
      <c r="F579" s="19" t="n">
        <v>105.200409</v>
      </c>
      <c r="G579" s="19" t="n">
        <v>105.200409</v>
      </c>
      <c r="H579" s="20" t="n">
        <f aca="false">IF(OR(G579="",G579=0),"",(F579-G579)/G579)</f>
        <v>0</v>
      </c>
      <c r="I579" s="19" t="n">
        <v>131.001816</v>
      </c>
      <c r="J579" s="19" t="n">
        <v>131.001816</v>
      </c>
      <c r="K579" s="20" t="n">
        <f aca="false">IF(OR(J579="",J579=0),"",(I579-J579)/J579)</f>
        <v>0</v>
      </c>
      <c r="L579" s="21" t="str">
        <f aca="false">IF(OR(D579="",G579="",J579=""),"No reported subtotal",IF(AND(ABS(N(E579))&lt;=$D$2,ABS(N(H579))&lt;=$D$2,ABS(N(K579))&lt;=$D$2),"Reconciles within tolerance","Outside tolerance"))</f>
        <v>Reconciles within tolerance</v>
      </c>
    </row>
    <row r="580" customFormat="false" ht="15" hidden="false" customHeight="false" outlineLevel="0" collapsed="false">
      <c r="A580" s="7" t="n">
        <v>2005</v>
      </c>
      <c r="B580" s="15" t="s">
        <v>151</v>
      </c>
      <c r="C580" s="19" t="n">
        <v>91.162568</v>
      </c>
      <c r="D580" s="19" t="n">
        <v>91.162568</v>
      </c>
      <c r="E580" s="20" t="n">
        <f aca="false">IF(OR(D580="",D580=0),"",(C580-D580)/D580)</f>
        <v>0</v>
      </c>
      <c r="F580" s="19" t="n">
        <v>116.102057</v>
      </c>
      <c r="G580" s="19" t="n">
        <v>116.102057</v>
      </c>
      <c r="H580" s="20" t="n">
        <f aca="false">IF(OR(G580="",G580=0),"",(F580-G580)/G580)</f>
        <v>0</v>
      </c>
      <c r="I580" s="19" t="n">
        <v>106.169972</v>
      </c>
      <c r="J580" s="19" t="n">
        <v>106.169972</v>
      </c>
      <c r="K580" s="20" t="n">
        <f aca="false">IF(OR(J580="",J580=0),"",(I580-J580)/J580)</f>
        <v>0</v>
      </c>
      <c r="L580" s="21" t="str">
        <f aca="false">IF(OR(D580="",G580="",J580=""),"No reported subtotal",IF(AND(ABS(N(E580))&lt;=$D$2,ABS(N(H580))&lt;=$D$2,ABS(N(K580))&lt;=$D$2),"Reconciles within tolerance","Outside tolerance"))</f>
        <v>Reconciles within tolerance</v>
      </c>
    </row>
    <row r="581" customFormat="false" ht="15" hidden="false" customHeight="false" outlineLevel="0" collapsed="false">
      <c r="A581" s="7" t="n">
        <v>2006</v>
      </c>
      <c r="B581" s="15" t="s">
        <v>151</v>
      </c>
      <c r="C581" s="19" t="n">
        <v>99.303543</v>
      </c>
      <c r="D581" s="19" t="n">
        <v>99.303543</v>
      </c>
      <c r="E581" s="20" t="n">
        <f aca="false">IF(OR(D581="",D581=0),"",(C581-D581)/D581)</f>
        <v>0</v>
      </c>
      <c r="F581" s="19" t="n">
        <v>120.611459</v>
      </c>
      <c r="G581" s="19" t="n">
        <v>120.611459</v>
      </c>
      <c r="H581" s="20" t="n">
        <f aca="false">IF(OR(G581="",G581=0),"",(F581-G581)/G581)</f>
        <v>0</v>
      </c>
      <c r="I581" s="19" t="n">
        <v>126.329984</v>
      </c>
      <c r="J581" s="19" t="n">
        <v>126.329984</v>
      </c>
      <c r="K581" s="20" t="n">
        <f aca="false">IF(OR(J581="",J581=0),"",(I581-J581)/J581)</f>
        <v>0</v>
      </c>
      <c r="L581" s="21" t="str">
        <f aca="false">IF(OR(D581="",G581="",J581=""),"No reported subtotal",IF(AND(ABS(N(E581))&lt;=$D$2,ABS(N(H581))&lt;=$D$2,ABS(N(K581))&lt;=$D$2),"Reconciles within tolerance","Outside tolerance"))</f>
        <v>Reconciles within tolerance</v>
      </c>
    </row>
    <row r="582" customFormat="false" ht="15" hidden="false" customHeight="false" outlineLevel="0" collapsed="false">
      <c r="A582" s="7" t="n">
        <v>2007</v>
      </c>
      <c r="B582" s="15" t="s">
        <v>151</v>
      </c>
      <c r="C582" s="19" t="n">
        <v>100.502703</v>
      </c>
      <c r="D582" s="19" t="n">
        <v>100.502703</v>
      </c>
      <c r="E582" s="20" t="n">
        <f aca="false">IF(OR(D582="",D582=0),"",(C582-D582)/D582)</f>
        <v>0</v>
      </c>
      <c r="F582" s="19" t="n">
        <v>131.980222</v>
      </c>
      <c r="G582" s="19" t="n">
        <v>131.980222</v>
      </c>
      <c r="H582" s="20" t="n">
        <f aca="false">IF(OR(G582="",G582=0),"",(F582-G582)/G582)</f>
        <v>0</v>
      </c>
      <c r="I582" s="19" t="n">
        <v>119.647091</v>
      </c>
      <c r="J582" s="19" t="n">
        <v>119.647091</v>
      </c>
      <c r="K582" s="20" t="n">
        <f aca="false">IF(OR(J582="",J582=0),"",(I582-J582)/J582)</f>
        <v>0</v>
      </c>
      <c r="L582" s="21" t="str">
        <f aca="false">IF(OR(D582="",G582="",J582=""),"No reported subtotal",IF(AND(ABS(N(E582))&lt;=$D$2,ABS(N(H582))&lt;=$D$2,ABS(N(K582))&lt;=$D$2),"Reconciles within tolerance","Outside tolerance"))</f>
        <v>Reconciles within tolerance</v>
      </c>
    </row>
    <row r="583" customFormat="false" ht="15" hidden="false" customHeight="false" outlineLevel="0" collapsed="false">
      <c r="A583" s="7" t="n">
        <v>2008</v>
      </c>
      <c r="B583" s="15" t="s">
        <v>151</v>
      </c>
      <c r="C583" s="19" t="n">
        <v>102.93547</v>
      </c>
      <c r="D583" s="19" t="n">
        <v>102.93547</v>
      </c>
      <c r="E583" s="20" t="n">
        <f aca="false">IF(OR(D583="",D583=0),"",(C583-D583)/D583)</f>
        <v>0</v>
      </c>
      <c r="F583" s="19" t="n">
        <v>125.616153</v>
      </c>
      <c r="G583" s="19" t="n">
        <v>125.616153</v>
      </c>
      <c r="H583" s="20" t="n">
        <f aca="false">IF(OR(G583="",G583=0),"",(F583-G583)/G583)</f>
        <v>0</v>
      </c>
      <c r="I583" s="19" t="n">
        <v>122.366199</v>
      </c>
      <c r="J583" s="19" t="n">
        <v>122.366199</v>
      </c>
      <c r="K583" s="20" t="n">
        <f aca="false">IF(OR(J583="",J583=0),"",(I583-J583)/J583)</f>
        <v>0</v>
      </c>
      <c r="L583" s="21" t="str">
        <f aca="false">IF(OR(D583="",G583="",J583=""),"No reported subtotal",IF(AND(ABS(N(E583))&lt;=$D$2,ABS(N(H583))&lt;=$D$2,ABS(N(K583))&lt;=$D$2),"Reconciles within tolerance","Outside tolerance"))</f>
        <v>Reconciles within tolerance</v>
      </c>
    </row>
    <row r="584" customFormat="false" ht="15" hidden="false" customHeight="false" outlineLevel="0" collapsed="false">
      <c r="A584" s="7" t="n">
        <v>2009</v>
      </c>
      <c r="B584" s="15" t="s">
        <v>151</v>
      </c>
      <c r="C584" s="19" t="n">
        <v>102.52969</v>
      </c>
      <c r="D584" s="19" t="n">
        <v>102.52969</v>
      </c>
      <c r="E584" s="20" t="n">
        <f aca="false">IF(OR(D584="",D584=0),"",(C584-D584)/D584)</f>
        <v>0</v>
      </c>
      <c r="F584" s="19" t="n">
        <v>122.572729</v>
      </c>
      <c r="G584" s="19" t="n">
        <v>122.572729</v>
      </c>
      <c r="H584" s="20" t="n">
        <f aca="false">IF(OR(G584="",G584=0),"",(F584-G584)/G584)</f>
        <v>0</v>
      </c>
      <c r="I584" s="19" t="n">
        <v>115.667636</v>
      </c>
      <c r="J584" s="19" t="n">
        <v>115.667636</v>
      </c>
      <c r="K584" s="20" t="n">
        <f aca="false">IF(OR(J584="",J584=0),"",(I584-J584)/J584)</f>
        <v>0</v>
      </c>
      <c r="L584" s="21" t="str">
        <f aca="false">IF(OR(D584="",G584="",J584=""),"No reported subtotal",IF(AND(ABS(N(E584))&lt;=$D$2,ABS(N(H584))&lt;=$D$2,ABS(N(K584))&lt;=$D$2),"Reconciles within tolerance","Outside tolerance"))</f>
        <v>Reconciles within tolerance</v>
      </c>
    </row>
    <row r="585" customFormat="false" ht="15" hidden="false" customHeight="false" outlineLevel="0" collapsed="false">
      <c r="A585" s="7" t="n">
        <v>2010</v>
      </c>
      <c r="B585" s="15" t="s">
        <v>151</v>
      </c>
      <c r="C585" s="19" t="n">
        <v>109.895709</v>
      </c>
      <c r="D585" s="19" t="n">
        <v>109.895709</v>
      </c>
      <c r="E585" s="20" t="n">
        <f aca="false">IF(OR(D585="",D585=0),"",(C585-D585)/D585)</f>
        <v>0</v>
      </c>
      <c r="F585" s="19" t="n">
        <v>139.097046</v>
      </c>
      <c r="G585" s="19" t="n">
        <v>139.097046</v>
      </c>
      <c r="H585" s="20" t="n">
        <f aca="false">IF(OR(G585="",G585=0),"",(F585-G585)/G585)</f>
        <v>0</v>
      </c>
      <c r="I585" s="19" t="n">
        <v>119.994214</v>
      </c>
      <c r="J585" s="19" t="n">
        <v>119.994214</v>
      </c>
      <c r="K585" s="20" t="n">
        <f aca="false">IF(OR(J585="",J585=0),"",(I585-J585)/J585)</f>
        <v>0</v>
      </c>
      <c r="L585" s="21" t="str">
        <f aca="false">IF(OR(D585="",G585="",J585=""),"No reported subtotal",IF(AND(ABS(N(E585))&lt;=$D$2,ABS(N(H585))&lt;=$D$2,ABS(N(K585))&lt;=$D$2),"Reconciles within tolerance","Outside tolerance"))</f>
        <v>Reconciles within tolerance</v>
      </c>
    </row>
    <row r="586" customFormat="false" ht="15" hidden="false" customHeight="false" outlineLevel="0" collapsed="false">
      <c r="A586" s="7" t="n">
        <v>2011</v>
      </c>
      <c r="B586" s="15" t="s">
        <v>151</v>
      </c>
      <c r="C586" s="19" t="n">
        <v>112.98736</v>
      </c>
      <c r="D586" s="19" t="n">
        <v>112.98736</v>
      </c>
      <c r="E586" s="20" t="n">
        <f aca="false">IF(OR(D586="",D586=0),"",(C586-D586)/D586)</f>
        <v>0</v>
      </c>
      <c r="F586" s="19" t="n">
        <v>175.569754</v>
      </c>
      <c r="G586" s="19" t="n">
        <v>175.569754</v>
      </c>
      <c r="H586" s="20" t="n">
        <f aca="false">IF(OR(G586="",G586=0),"",(F586-G586)/G586)</f>
        <v>0</v>
      </c>
      <c r="I586" s="19" t="n">
        <v>160.661461</v>
      </c>
      <c r="J586" s="19" t="n">
        <v>160.661461</v>
      </c>
      <c r="K586" s="20" t="n">
        <f aca="false">IF(OR(J586="",J586=0),"",(I586-J586)/J586)</f>
        <v>0</v>
      </c>
      <c r="L586" s="21" t="str">
        <f aca="false">IF(OR(D586="",G586="",J586=""),"No reported subtotal",IF(AND(ABS(N(E586))&lt;=$D$2,ABS(N(H586))&lt;=$D$2,ABS(N(K586))&lt;=$D$2),"Reconciles within tolerance","Outside tolerance"))</f>
        <v>Reconciles within tolerance</v>
      </c>
    </row>
    <row r="587" customFormat="false" ht="15" hidden="false" customHeight="false" outlineLevel="0" collapsed="false">
      <c r="A587" s="7" t="n">
        <v>2012</v>
      </c>
      <c r="B587" s="15" t="s">
        <v>151</v>
      </c>
      <c r="C587" s="19" t="n">
        <v>111.134724</v>
      </c>
      <c r="D587" s="19" t="n">
        <v>111.134724</v>
      </c>
      <c r="E587" s="20" t="n">
        <f aca="false">IF(OR(D587="",D587=0),"",(C587-D587)/D587)</f>
        <v>0</v>
      </c>
      <c r="F587" s="19" t="n">
        <v>158.155858</v>
      </c>
      <c r="G587" s="19" t="n">
        <v>158.155858</v>
      </c>
      <c r="H587" s="20" t="n">
        <f aca="false">IF(OR(G587="",G587=0),"",(F587-G587)/G587)</f>
        <v>0</v>
      </c>
      <c r="I587" s="19" t="n">
        <v>125.564587</v>
      </c>
      <c r="J587" s="19" t="n">
        <v>125.564587</v>
      </c>
      <c r="K587" s="20" t="n">
        <f aca="false">IF(OR(J587="",J587=0),"",(I587-J587)/J587)</f>
        <v>0</v>
      </c>
      <c r="L587" s="21" t="str">
        <f aca="false">IF(OR(D587="",G587="",J587=""),"No reported subtotal",IF(AND(ABS(N(E587))&lt;=$D$2,ABS(N(H587))&lt;=$D$2,ABS(N(K587))&lt;=$D$2),"Reconciles within tolerance","Outside tolerance"))</f>
        <v>Reconciles within tolerance</v>
      </c>
    </row>
    <row r="588" customFormat="false" ht="15" hidden="false" customHeight="false" outlineLevel="0" collapsed="false">
      <c r="A588" s="7" t="n">
        <v>2013</v>
      </c>
      <c r="B588" s="15" t="s">
        <v>151</v>
      </c>
      <c r="C588" s="19" t="n">
        <v>121.107048</v>
      </c>
      <c r="D588" s="19" t="n">
        <v>121.107048</v>
      </c>
      <c r="E588" s="20" t="n">
        <f aca="false">IF(OR(D588="",D588=0),"",(C588-D588)/D588)</f>
        <v>0</v>
      </c>
      <c r="F588" s="19" t="n">
        <v>139.916594</v>
      </c>
      <c r="G588" s="19" t="n">
        <v>139.916594</v>
      </c>
      <c r="H588" s="20" t="n">
        <f aca="false">IF(OR(G588="",G588=0),"",(F588-G588)/G588)</f>
        <v>0</v>
      </c>
      <c r="I588" s="19" t="n">
        <v>171.685577</v>
      </c>
      <c r="J588" s="19" t="n">
        <v>171.685577</v>
      </c>
      <c r="K588" s="20" t="n">
        <f aca="false">IF(OR(J588="",J588=0),"",(I588-J588)/J588)</f>
        <v>0</v>
      </c>
      <c r="L588" s="21" t="str">
        <f aca="false">IF(OR(D588="",G588="",J588=""),"No reported subtotal",IF(AND(ABS(N(E588))&lt;=$D$2,ABS(N(H588))&lt;=$D$2,ABS(N(K588))&lt;=$D$2),"Reconciles within tolerance","Outside tolerance"))</f>
        <v>Reconciles within tolerance</v>
      </c>
    </row>
    <row r="589" customFormat="false" ht="15" hidden="false" customHeight="false" outlineLevel="0" collapsed="false">
      <c r="A589" s="7" t="n">
        <v>2014</v>
      </c>
      <c r="B589" s="15" t="s">
        <v>151</v>
      </c>
      <c r="C589" s="19" t="n">
        <v>117.777814</v>
      </c>
      <c r="D589" s="19" t="n">
        <v>117.777814</v>
      </c>
      <c r="E589" s="20" t="n">
        <f aca="false">IF(OR(D589="",D589=0),"",(C589-D589)/D589)</f>
        <v>0</v>
      </c>
      <c r="F589" s="19" t="n">
        <v>182.127147</v>
      </c>
      <c r="G589" s="19" t="n">
        <v>182.127147</v>
      </c>
      <c r="H589" s="20" t="n">
        <f aca="false">IF(OR(G589="",G589=0),"",(F589-G589)/G589)</f>
        <v>0</v>
      </c>
      <c r="I589" s="19" t="n">
        <v>188.374822</v>
      </c>
      <c r="J589" s="19" t="n">
        <v>188.374822</v>
      </c>
      <c r="K589" s="20" t="n">
        <f aca="false">IF(OR(J589="",J589=0),"",(I589-J589)/J589)</f>
        <v>0</v>
      </c>
      <c r="L589" s="21" t="str">
        <f aca="false">IF(OR(D589="",G589="",J589=""),"No reported subtotal",IF(AND(ABS(N(E589))&lt;=$D$2,ABS(N(H589))&lt;=$D$2,ABS(N(K589))&lt;=$D$2),"Reconciles within tolerance","Outside tolerance"))</f>
        <v>Reconciles within tolerance</v>
      </c>
    </row>
    <row r="590" customFormat="false" ht="15" hidden="false" customHeight="false" outlineLevel="0" collapsed="false">
      <c r="A590" s="7" t="n">
        <v>2015</v>
      </c>
      <c r="B590" s="15" t="s">
        <v>151</v>
      </c>
      <c r="C590" s="19" t="n">
        <v>106.451562</v>
      </c>
      <c r="D590" s="19" t="n">
        <v>106.451562</v>
      </c>
      <c r="E590" s="20" t="n">
        <f aca="false">IF(OR(D590="",D590=0),"",(C590-D590)/D590)</f>
        <v>0</v>
      </c>
      <c r="F590" s="19" t="n">
        <v>124.803681</v>
      </c>
      <c r="G590" s="19" t="n">
        <v>124.803681</v>
      </c>
      <c r="H590" s="20" t="n">
        <f aca="false">IF(OR(G590="",G590=0),"",(F590-G590)/G590)</f>
        <v>0</v>
      </c>
      <c r="I590" s="19" t="n">
        <v>166.34041</v>
      </c>
      <c r="J590" s="19" t="n">
        <v>166.34041</v>
      </c>
      <c r="K590" s="20" t="n">
        <f aca="false">IF(OR(J590="",J590=0),"",(I590-J590)/J590)</f>
        <v>0</v>
      </c>
      <c r="L590" s="21" t="str">
        <f aca="false">IF(OR(D590="",G590="",J590=""),"No reported subtotal",IF(AND(ABS(N(E590))&lt;=$D$2,ABS(N(H590))&lt;=$D$2,ABS(N(K590))&lt;=$D$2),"Reconciles within tolerance","Outside tolerance"))</f>
        <v>Reconciles within tolerance</v>
      </c>
    </row>
    <row r="591" customFormat="false" ht="15" hidden="false" customHeight="false" outlineLevel="0" collapsed="false">
      <c r="A591" s="7" t="n">
        <v>2016</v>
      </c>
      <c r="B591" s="15" t="s">
        <v>151</v>
      </c>
      <c r="C591" s="19" t="n">
        <v>110.969206</v>
      </c>
      <c r="D591" s="19" t="n">
        <v>110.969206</v>
      </c>
      <c r="E591" s="20" t="n">
        <f aca="false">IF(OR(D591="",D591=0),"",(C591-D591)/D591)</f>
        <v>0</v>
      </c>
      <c r="F591" s="19" t="n">
        <v>145.931747</v>
      </c>
      <c r="G591" s="19" t="n">
        <v>145.931747</v>
      </c>
      <c r="H591" s="20" t="n">
        <f aca="false">IF(OR(G591="",G591=0),"",(F591-G591)/G591)</f>
        <v>0</v>
      </c>
      <c r="I591" s="19" t="n">
        <v>206.459993</v>
      </c>
      <c r="J591" s="19" t="n">
        <v>206.459993</v>
      </c>
      <c r="K591" s="20" t="n">
        <f aca="false">IF(OR(J591="",J591=0),"",(I591-J591)/J591)</f>
        <v>0</v>
      </c>
      <c r="L591" s="21" t="str">
        <f aca="false">IF(OR(D591="",G591="",J591=""),"No reported subtotal",IF(AND(ABS(N(E591))&lt;=$D$2,ABS(N(H591))&lt;=$D$2,ABS(N(K591))&lt;=$D$2),"Reconciles within tolerance","Outside tolerance"))</f>
        <v>Reconciles within tolerance</v>
      </c>
    </row>
    <row r="592" customFormat="false" ht="15" hidden="false" customHeight="false" outlineLevel="0" collapsed="false">
      <c r="A592" s="7" t="n">
        <v>2017</v>
      </c>
      <c r="B592" s="15" t="s">
        <v>151</v>
      </c>
      <c r="C592" s="19" t="n">
        <v>111.165601</v>
      </c>
      <c r="D592" s="19" t="n">
        <v>111.165601</v>
      </c>
      <c r="E592" s="20" t="n">
        <f aca="false">IF(OR(D592="",D592=0),"",(C592-D592)/D592)</f>
        <v>0</v>
      </c>
      <c r="F592" s="19" t="n">
        <v>162.077342</v>
      </c>
      <c r="G592" s="19" t="n">
        <v>162.077342</v>
      </c>
      <c r="H592" s="20" t="n">
        <f aca="false">IF(OR(G592="",G592=0),"",(F592-G592)/G592)</f>
        <v>0</v>
      </c>
      <c r="I592" s="19" t="n">
        <v>172.86087</v>
      </c>
      <c r="J592" s="19" t="n">
        <v>172.86087</v>
      </c>
      <c r="K592" s="20" t="n">
        <f aca="false">IF(OR(J592="",J592=0),"",(I592-J592)/J592)</f>
        <v>0</v>
      </c>
      <c r="L592" s="21" t="str">
        <f aca="false">IF(OR(D592="",G592="",J592=""),"No reported subtotal",IF(AND(ABS(N(E592))&lt;=$D$2,ABS(N(H592))&lt;=$D$2,ABS(N(K592))&lt;=$D$2),"Reconciles within tolerance","Outside tolerance"))</f>
        <v>Reconciles within tolerance</v>
      </c>
    </row>
    <row r="593" customFormat="false" ht="15" hidden="false" customHeight="false" outlineLevel="0" collapsed="false">
      <c r="A593" s="7" t="n">
        <v>2018</v>
      </c>
      <c r="B593" s="15" t="s">
        <v>151</v>
      </c>
      <c r="C593" s="19" t="n">
        <v>122.695865</v>
      </c>
      <c r="D593" s="19" t="n">
        <v>122.695865</v>
      </c>
      <c r="E593" s="20" t="n">
        <f aca="false">IF(OR(D593="",D593=0),"",(C593-D593)/D593)</f>
        <v>0</v>
      </c>
      <c r="F593" s="19" t="n">
        <v>159.053789</v>
      </c>
      <c r="G593" s="19" t="n">
        <v>159.053789</v>
      </c>
      <c r="H593" s="20" t="n">
        <f aca="false">IF(OR(G593="",G593=0),"",(F593-G593)/G593)</f>
        <v>0</v>
      </c>
      <c r="I593" s="19" t="n">
        <v>195.037751</v>
      </c>
      <c r="J593" s="19" t="n">
        <v>195.037751</v>
      </c>
      <c r="K593" s="20" t="n">
        <f aca="false">IF(OR(J593="",J593=0),"",(I593-J593)/J593)</f>
        <v>0</v>
      </c>
      <c r="L593" s="21" t="str">
        <f aca="false">IF(OR(D593="",G593="",J593=""),"No reported subtotal",IF(AND(ABS(N(E593))&lt;=$D$2,ABS(N(H593))&lt;=$D$2,ABS(N(K593))&lt;=$D$2),"Reconciles within tolerance","Outside tolerance"))</f>
        <v>Reconciles within tolerance</v>
      </c>
    </row>
    <row r="594" customFormat="false" ht="15" hidden="false" customHeight="false" outlineLevel="0" collapsed="false">
      <c r="A594" s="7" t="n">
        <v>2019</v>
      </c>
      <c r="B594" s="15" t="s">
        <v>151</v>
      </c>
      <c r="C594" s="19" t="n">
        <v>121.335093</v>
      </c>
      <c r="D594" s="19" t="n">
        <v>121.335093</v>
      </c>
      <c r="E594" s="20" t="n">
        <f aca="false">IF(OR(D594="",D594=0),"",(C594-D594)/D594)</f>
        <v>0</v>
      </c>
      <c r="F594" s="19" t="n">
        <v>168.701257</v>
      </c>
      <c r="G594" s="19" t="n">
        <v>168.701257</v>
      </c>
      <c r="H594" s="20" t="n">
        <f aca="false">IF(OR(G594="",G594=0),"",(F594-G594)/G594)</f>
        <v>0</v>
      </c>
      <c r="I594" s="19" t="n">
        <v>218.751354</v>
      </c>
      <c r="J594" s="19" t="n">
        <v>218.751354</v>
      </c>
      <c r="K594" s="20" t="n">
        <f aca="false">IF(OR(J594="",J594=0),"",(I594-J594)/J594)</f>
        <v>0</v>
      </c>
      <c r="L594" s="21" t="str">
        <f aca="false">IF(OR(D594="",G594="",J594=""),"No reported subtotal",IF(AND(ABS(N(E594))&lt;=$D$2,ABS(N(H594))&lt;=$D$2,ABS(N(K594))&lt;=$D$2),"Reconciles within tolerance","Outside tolerance"))</f>
        <v>Reconciles within tolerance</v>
      </c>
    </row>
    <row r="595" customFormat="false" ht="15" hidden="false" customHeight="false" outlineLevel="0" collapsed="false">
      <c r="A595" s="7" t="n">
        <v>2020</v>
      </c>
      <c r="B595" s="15" t="s">
        <v>151</v>
      </c>
      <c r="C595" s="19" t="n">
        <v>102.836727</v>
      </c>
      <c r="D595" s="19" t="n">
        <v>102.836727</v>
      </c>
      <c r="E595" s="20" t="n">
        <f aca="false">IF(OR(D595="",D595=0),"",(C595-D595)/D595)</f>
        <v>0</v>
      </c>
      <c r="F595" s="19" t="n">
        <v>193.391438</v>
      </c>
      <c r="G595" s="19" t="n">
        <v>193.391438</v>
      </c>
      <c r="H595" s="20" t="n">
        <f aca="false">IF(OR(G595="",G595=0),"",(F595-G595)/G595)</f>
        <v>0</v>
      </c>
      <c r="I595" s="19" t="n">
        <v>291.692656</v>
      </c>
      <c r="J595" s="19" t="n">
        <v>291.692656</v>
      </c>
      <c r="K595" s="20" t="n">
        <f aca="false">IF(OR(J595="",J595=0),"",(I595-J595)/J595)</f>
        <v>0</v>
      </c>
      <c r="L595" s="21" t="str">
        <f aca="false">IF(OR(D595="",G595="",J595=""),"No reported subtotal",IF(AND(ABS(N(E595))&lt;=$D$2,ABS(N(H595))&lt;=$D$2,ABS(N(K595))&lt;=$D$2),"Reconciles within tolerance","Outside tolerance"))</f>
        <v>Reconciles within tolerance</v>
      </c>
    </row>
    <row r="596" customFormat="false" ht="15" hidden="false" customHeight="false" outlineLevel="0" collapsed="false">
      <c r="A596" s="7" t="n">
        <v>2021</v>
      </c>
      <c r="B596" s="15" t="s">
        <v>151</v>
      </c>
      <c r="C596" s="19" t="n">
        <v>115.243272</v>
      </c>
      <c r="D596" s="19" t="n">
        <v>115.243272</v>
      </c>
      <c r="E596" s="20" t="n">
        <f aca="false">IF(OR(D596="",D596=0),"",(C596-D596)/D596)</f>
        <v>0</v>
      </c>
      <c r="F596" s="19" t="n">
        <v>199.170057</v>
      </c>
      <c r="G596" s="19" t="n">
        <v>199.170057</v>
      </c>
      <c r="H596" s="20" t="n">
        <f aca="false">IF(OR(G596="",G596=0),"",(F596-G596)/G596)</f>
        <v>0</v>
      </c>
      <c r="I596" s="19" t="n">
        <v>257.531705</v>
      </c>
      <c r="J596" s="19" t="n">
        <v>257.531705</v>
      </c>
      <c r="K596" s="20" t="n">
        <f aca="false">IF(OR(J596="",J596=0),"",(I596-J596)/J596)</f>
        <v>0</v>
      </c>
      <c r="L596" s="21" t="str">
        <f aca="false">IF(OR(D596="",G596="",J596=""),"No reported subtotal",IF(AND(ABS(N(E596))&lt;=$D$2,ABS(N(H596))&lt;=$D$2,ABS(N(K596))&lt;=$D$2),"Reconciles within tolerance","Outside tolerance"))</f>
        <v>Reconciles within tolerance</v>
      </c>
    </row>
    <row r="597" customFormat="false" ht="15" hidden="false" customHeight="false" outlineLevel="0" collapsed="false">
      <c r="A597" s="7" t="n">
        <v>2022</v>
      </c>
      <c r="B597" s="15" t="s">
        <v>151</v>
      </c>
      <c r="C597" s="19" t="n">
        <v>114.48265</v>
      </c>
      <c r="D597" s="19" t="n">
        <v>114.48265</v>
      </c>
      <c r="E597" s="20" t="n">
        <f aca="false">IF(OR(D597="",D597=0),"",(C597-D597)/D597)</f>
        <v>0</v>
      </c>
      <c r="F597" s="19" t="n">
        <v>203.815916</v>
      </c>
      <c r="G597" s="19" t="n">
        <v>203.815916</v>
      </c>
      <c r="H597" s="20" t="n">
        <f aca="false">IF(OR(G597="",G597=0),"",(F597-G597)/G597)</f>
        <v>0</v>
      </c>
      <c r="I597" s="19" t="n">
        <v>418.23802</v>
      </c>
      <c r="J597" s="19" t="n">
        <v>418.23802</v>
      </c>
      <c r="K597" s="20" t="n">
        <f aca="false">IF(OR(J597="",J597=0),"",(I597-J597)/J597)</f>
        <v>0</v>
      </c>
      <c r="L597" s="21" t="str">
        <f aca="false">IF(OR(D597="",G597="",J597=""),"No reported subtotal",IF(AND(ABS(N(E597))&lt;=$D$2,ABS(N(H597))&lt;=$D$2,ABS(N(K597))&lt;=$D$2),"Reconciles within tolerance","Outside tolerance"))</f>
        <v>Reconciles within tolerance</v>
      </c>
    </row>
    <row r="598" customFormat="false" ht="15" hidden="false" customHeight="false" outlineLevel="0" collapsed="false">
      <c r="A598" s="7" t="n">
        <v>2023</v>
      </c>
      <c r="B598" s="15" t="s">
        <v>151</v>
      </c>
      <c r="C598" s="19" t="n">
        <v>113.896841</v>
      </c>
      <c r="D598" s="19" t="n">
        <v>113.896841</v>
      </c>
      <c r="E598" s="20" t="n">
        <f aca="false">IF(OR(D598="",D598=0),"",(C598-D598)/D598)</f>
        <v>0</v>
      </c>
      <c r="F598" s="19" t="n">
        <v>171.324482</v>
      </c>
      <c r="G598" s="19" t="n">
        <v>171.324482</v>
      </c>
      <c r="H598" s="20" t="n">
        <f aca="false">IF(OR(G598="",G598=0),"",(F598-G598)/G598)</f>
        <v>0</v>
      </c>
      <c r="I598" s="19" t="n">
        <v>473.057136</v>
      </c>
      <c r="J598" s="19" t="n">
        <v>473.057136</v>
      </c>
      <c r="K598" s="20" t="n">
        <f aca="false">IF(OR(J598="",J598=0),"",(I598-J598)/J598)</f>
        <v>0</v>
      </c>
      <c r="L598" s="21" t="str">
        <f aca="false">IF(OR(D598="",G598="",J598=""),"No reported subtotal",IF(AND(ABS(N(E598))&lt;=$D$2,ABS(N(H598))&lt;=$D$2,ABS(N(K598))&lt;=$D$2),"Reconciles within tolerance","Outside tolerance"))</f>
        <v>Reconciles within tolerance</v>
      </c>
    </row>
    <row r="599" customFormat="false" ht="15" hidden="false" customHeight="false" outlineLevel="0" collapsed="false">
      <c r="A599" s="7" t="n">
        <v>2024</v>
      </c>
      <c r="B599" s="15" t="s">
        <v>151</v>
      </c>
      <c r="C599" s="19" t="n">
        <v>123.465788</v>
      </c>
      <c r="D599" s="19" t="n">
        <v>123.465788</v>
      </c>
      <c r="E599" s="20" t="n">
        <f aca="false">IF(OR(D599="",D599=0),"",(C599-D599)/D599)</f>
        <v>0</v>
      </c>
      <c r="F599" s="19" t="n">
        <v>229.692224</v>
      </c>
      <c r="G599" s="19" t="n">
        <v>229.692224</v>
      </c>
      <c r="H599" s="20" t="n">
        <f aca="false">IF(OR(G599="",G599=0),"",(F599-G599)/G599)</f>
        <v>0</v>
      </c>
      <c r="I599" s="19" t="n">
        <v>673.210101</v>
      </c>
      <c r="J599" s="19" t="n">
        <v>673.210101</v>
      </c>
      <c r="K599" s="20" t="n">
        <f aca="false">IF(OR(J599="",J599=0),"",(I599-J599)/J599)</f>
        <v>0</v>
      </c>
      <c r="L599" s="21" t="str">
        <f aca="false">IF(OR(D599="",G599="",J599=""),"No reported subtotal",IF(AND(ABS(N(E599))&lt;=$D$2,ABS(N(H599))&lt;=$D$2,ABS(N(K599))&lt;=$D$2),"Reconciles within tolerance","Outside tolerance"))</f>
        <v>Reconciles within tolerance</v>
      </c>
    </row>
    <row r="600" customFormat="false" ht="15" hidden="false" customHeight="false" outlineLevel="0" collapsed="false">
      <c r="A600" s="7" t="n">
        <v>2025</v>
      </c>
      <c r="B600" s="15" t="s">
        <v>151</v>
      </c>
      <c r="C600" s="19" t="n">
        <v>134.067379</v>
      </c>
      <c r="D600" s="19" t="n">
        <v>134.067379</v>
      </c>
      <c r="E600" s="20" t="n">
        <f aca="false">IF(OR(D600="",D600=0),"",(C600-D600)/D600)</f>
        <v>0</v>
      </c>
      <c r="F600" s="19" t="n">
        <v>179.19534</v>
      </c>
      <c r="G600" s="19" t="n">
        <v>179.19534</v>
      </c>
      <c r="H600" s="20" t="n">
        <f aca="false">IF(OR(G600="",G600=0),"",(F600-G600)/G600)</f>
        <v>0</v>
      </c>
      <c r="I600" s="19" t="n">
        <v>552.695783</v>
      </c>
      <c r="J600" s="19" t="n">
        <v>552.695783</v>
      </c>
      <c r="K600" s="20" t="n">
        <f aca="false">IF(OR(J600="",J600=0),"",(I600-J600)/J600)</f>
        <v>0</v>
      </c>
      <c r="L600" s="21" t="str">
        <f aca="false">IF(OR(D600="",G600="",J600=""),"No reported subtotal",IF(AND(ABS(N(E600))&lt;=$D$2,ABS(N(H600))&lt;=$D$2,ABS(N(K600))&lt;=$D$2),"Reconciles within tolerance","Outside tolerance"))</f>
        <v>Reconciles within tolerance</v>
      </c>
    </row>
    <row r="601" customFormat="false" ht="15" hidden="false" customHeight="false" outlineLevel="0" collapsed="false">
      <c r="A601" s="7" t="n">
        <v>2000</v>
      </c>
      <c r="B601" s="15" t="s">
        <v>152</v>
      </c>
      <c r="C601" s="19" t="n">
        <v>20.995437</v>
      </c>
      <c r="D601" s="19" t="n">
        <v>20.995437</v>
      </c>
      <c r="E601" s="20" t="n">
        <f aca="false">IF(OR(D601="",D601=0),"",(C601-D601)/D601)</f>
        <v>0</v>
      </c>
      <c r="F601" s="19" t="n">
        <v>15.537866</v>
      </c>
      <c r="G601" s="19" t="n">
        <v>15.537866</v>
      </c>
      <c r="H601" s="20" t="n">
        <f aca="false">IF(OR(G601="",G601=0),"",(F601-G601)/G601)</f>
        <v>0</v>
      </c>
      <c r="I601" s="19" t="n">
        <v>28.581677</v>
      </c>
      <c r="J601" s="19" t="n">
        <v>28.581677</v>
      </c>
      <c r="K601" s="20" t="n">
        <f aca="false">IF(OR(J601="",J601=0),"",(I601-J601)/J601)</f>
        <v>0</v>
      </c>
      <c r="L601" s="21" t="str">
        <f aca="false">IF(OR(D601="",G601="",J601=""),"No reported subtotal",IF(AND(ABS(N(E601))&lt;=$D$2,ABS(N(H601))&lt;=$D$2,ABS(N(K601))&lt;=$D$2),"Reconciles within tolerance","Outside tolerance"))</f>
        <v>Reconciles within tolerance</v>
      </c>
    </row>
    <row r="602" customFormat="false" ht="15" hidden="false" customHeight="false" outlineLevel="0" collapsed="false">
      <c r="A602" s="7" t="n">
        <v>2001</v>
      </c>
      <c r="B602" s="15" t="s">
        <v>152</v>
      </c>
      <c r="C602" s="19" t="n">
        <v>21.601344</v>
      </c>
      <c r="D602" s="19" t="n">
        <v>21.601344</v>
      </c>
      <c r="E602" s="20" t="n">
        <f aca="false">IF(OR(D602="",D602=0),"",(C602-D602)/D602)</f>
        <v>0</v>
      </c>
      <c r="F602" s="19" t="n">
        <v>15.032043</v>
      </c>
      <c r="G602" s="19" t="n">
        <v>15.032043</v>
      </c>
      <c r="H602" s="20" t="n">
        <f aca="false">IF(OR(G602="",G602=0),"",(F602-G602)/G602)</f>
        <v>0</v>
      </c>
      <c r="I602" s="19" t="n">
        <v>21.52949</v>
      </c>
      <c r="J602" s="19" t="n">
        <v>21.52949</v>
      </c>
      <c r="K602" s="20" t="n">
        <f aca="false">IF(OR(J602="",J602=0),"",(I602-J602)/J602)</f>
        <v>0</v>
      </c>
      <c r="L602" s="21" t="str">
        <f aca="false">IF(OR(D602="",G602="",J602=""),"No reported subtotal",IF(AND(ABS(N(E602))&lt;=$D$2,ABS(N(H602))&lt;=$D$2,ABS(N(K602))&lt;=$D$2),"Reconciles within tolerance","Outside tolerance"))</f>
        <v>Reconciles within tolerance</v>
      </c>
    </row>
    <row r="603" customFormat="false" ht="15" hidden="false" customHeight="false" outlineLevel="0" collapsed="false">
      <c r="A603" s="7" t="n">
        <v>2002</v>
      </c>
      <c r="B603" s="15" t="s">
        <v>152</v>
      </c>
      <c r="C603" s="19" t="n">
        <v>19.965734</v>
      </c>
      <c r="D603" s="19" t="n">
        <v>19.965734</v>
      </c>
      <c r="E603" s="20" t="n">
        <f aca="false">IF(OR(D603="",D603=0),"",(C603-D603)/D603)</f>
        <v>0</v>
      </c>
      <c r="F603" s="19" t="n">
        <v>14.616009</v>
      </c>
      <c r="G603" s="19" t="n">
        <v>14.616009</v>
      </c>
      <c r="H603" s="20" t="n">
        <f aca="false">IF(OR(G603="",G603=0),"",(F603-G603)/G603)</f>
        <v>0</v>
      </c>
      <c r="I603" s="19" t="n">
        <v>15.716188</v>
      </c>
      <c r="J603" s="19" t="n">
        <v>15.716188</v>
      </c>
      <c r="K603" s="20" t="n">
        <f aca="false">IF(OR(J603="",J603=0),"",(I603-J603)/J603)</f>
        <v>0</v>
      </c>
      <c r="L603" s="21" t="str">
        <f aca="false">IF(OR(D603="",G603="",J603=""),"No reported subtotal",IF(AND(ABS(N(E603))&lt;=$D$2,ABS(N(H603))&lt;=$D$2,ABS(N(K603))&lt;=$D$2),"Reconciles within tolerance","Outside tolerance"))</f>
        <v>Reconciles within tolerance</v>
      </c>
    </row>
    <row r="604" customFormat="false" ht="15" hidden="false" customHeight="false" outlineLevel="0" collapsed="false">
      <c r="A604" s="7" t="n">
        <v>2003</v>
      </c>
      <c r="B604" s="15" t="s">
        <v>152</v>
      </c>
      <c r="C604" s="19" t="n">
        <v>16.867097</v>
      </c>
      <c r="D604" s="19" t="n">
        <v>16.867097</v>
      </c>
      <c r="E604" s="20" t="n">
        <f aca="false">IF(OR(D604="",D604=0),"",(C604-D604)/D604)</f>
        <v>0</v>
      </c>
      <c r="F604" s="19" t="n">
        <v>18.182569</v>
      </c>
      <c r="G604" s="19" t="n">
        <v>18.182569</v>
      </c>
      <c r="H604" s="20" t="n">
        <f aca="false">IF(OR(G604="",G604=0),"",(F604-G604)/G604)</f>
        <v>0</v>
      </c>
      <c r="I604" s="19" t="n">
        <v>23.772271</v>
      </c>
      <c r="J604" s="19" t="n">
        <v>23.772271</v>
      </c>
      <c r="K604" s="20" t="n">
        <f aca="false">IF(OR(J604="",J604=0),"",(I604-J604)/J604)</f>
        <v>0</v>
      </c>
      <c r="L604" s="21" t="str">
        <f aca="false">IF(OR(D604="",G604="",J604=""),"No reported subtotal",IF(AND(ABS(N(E604))&lt;=$D$2,ABS(N(H604))&lt;=$D$2,ABS(N(K604))&lt;=$D$2),"Reconciles within tolerance","Outside tolerance"))</f>
        <v>Reconciles within tolerance</v>
      </c>
    </row>
    <row r="605" customFormat="false" ht="15" hidden="false" customHeight="false" outlineLevel="0" collapsed="false">
      <c r="A605" s="7" t="n">
        <v>2004</v>
      </c>
      <c r="B605" s="15" t="s">
        <v>152</v>
      </c>
      <c r="C605" s="19" t="n">
        <v>19.068671</v>
      </c>
      <c r="D605" s="19" t="n">
        <v>19.068671</v>
      </c>
      <c r="E605" s="20" t="n">
        <f aca="false">IF(OR(D605="",D605=0),"",(C605-D605)/D605)</f>
        <v>0</v>
      </c>
      <c r="F605" s="19" t="n">
        <v>17.635325</v>
      </c>
      <c r="G605" s="19" t="n">
        <v>17.635325</v>
      </c>
      <c r="H605" s="20" t="n">
        <f aca="false">IF(OR(G605="",G605=0),"",(F605-G605)/G605)</f>
        <v>0</v>
      </c>
      <c r="I605" s="19" t="n">
        <v>26.800702</v>
      </c>
      <c r="J605" s="19" t="n">
        <v>26.800702</v>
      </c>
      <c r="K605" s="20" t="n">
        <f aca="false">IF(OR(J605="",J605=0),"",(I605-J605)/J605)</f>
        <v>0</v>
      </c>
      <c r="L605" s="21" t="str">
        <f aca="false">IF(OR(D605="",G605="",J605=""),"No reported subtotal",IF(AND(ABS(N(E605))&lt;=$D$2,ABS(N(H605))&lt;=$D$2,ABS(N(K605))&lt;=$D$2),"Reconciles within tolerance","Outside tolerance"))</f>
        <v>Reconciles within tolerance</v>
      </c>
    </row>
    <row r="606" customFormat="false" ht="15" hidden="false" customHeight="false" outlineLevel="0" collapsed="false">
      <c r="A606" s="7" t="n">
        <v>2005</v>
      </c>
      <c r="B606" s="15" t="s">
        <v>152</v>
      </c>
      <c r="C606" s="19" t="n">
        <v>18.723959</v>
      </c>
      <c r="D606" s="19" t="n">
        <v>18.723959</v>
      </c>
      <c r="E606" s="20" t="n">
        <f aca="false">IF(OR(D606="",D606=0),"",(C606-D606)/D606)</f>
        <v>0</v>
      </c>
      <c r="F606" s="19" t="n">
        <v>16.569128</v>
      </c>
      <c r="G606" s="19" t="n">
        <v>16.569128</v>
      </c>
      <c r="H606" s="20" t="n">
        <f aca="false">IF(OR(G606="",G606=0),"",(F606-G606)/G606)</f>
        <v>0</v>
      </c>
      <c r="I606" s="19" t="n">
        <v>24.126188</v>
      </c>
      <c r="J606" s="19" t="n">
        <v>24.126188</v>
      </c>
      <c r="K606" s="20" t="n">
        <f aca="false">IF(OR(J606="",J606=0),"",(I606-J606)/J606)</f>
        <v>0</v>
      </c>
      <c r="L606" s="21" t="str">
        <f aca="false">IF(OR(D606="",G606="",J606=""),"No reported subtotal",IF(AND(ABS(N(E606))&lt;=$D$2,ABS(N(H606))&lt;=$D$2,ABS(N(K606))&lt;=$D$2),"Reconciles within tolerance","Outside tolerance"))</f>
        <v>Reconciles within tolerance</v>
      </c>
    </row>
    <row r="607" customFormat="false" ht="15" hidden="false" customHeight="false" outlineLevel="0" collapsed="false">
      <c r="A607" s="7" t="n">
        <v>2006</v>
      </c>
      <c r="B607" s="15" t="s">
        <v>152</v>
      </c>
      <c r="C607" s="19" t="n">
        <v>19.436068</v>
      </c>
      <c r="D607" s="19" t="n">
        <v>19.436068</v>
      </c>
      <c r="E607" s="20" t="n">
        <f aca="false">IF(OR(D607="",D607=0),"",(C607-D607)/D607)</f>
        <v>0</v>
      </c>
      <c r="F607" s="19" t="n">
        <v>19.914569</v>
      </c>
      <c r="G607" s="19" t="n">
        <v>19.914569</v>
      </c>
      <c r="H607" s="20" t="n">
        <f aca="false">IF(OR(G607="",G607=0),"",(F607-G607)/G607)</f>
        <v>0</v>
      </c>
      <c r="I607" s="19" t="n">
        <v>10.5558</v>
      </c>
      <c r="J607" s="19" t="n">
        <v>10.5558</v>
      </c>
      <c r="K607" s="20" t="n">
        <f aca="false">IF(OR(J607="",J607=0),"",(I607-J607)/J607)</f>
        <v>0</v>
      </c>
      <c r="L607" s="21" t="str">
        <f aca="false">IF(OR(D607="",G607="",J607=""),"No reported subtotal",IF(AND(ABS(N(E607))&lt;=$D$2,ABS(N(H607))&lt;=$D$2,ABS(N(K607))&lt;=$D$2),"Reconciles within tolerance","Outside tolerance"))</f>
        <v>Reconciles within tolerance</v>
      </c>
    </row>
    <row r="608" customFormat="false" ht="15" hidden="false" customHeight="false" outlineLevel="0" collapsed="false">
      <c r="A608" s="7" t="n">
        <v>2007</v>
      </c>
      <c r="B608" s="15" t="s">
        <v>152</v>
      </c>
      <c r="C608" s="19" t="n">
        <v>20.750545</v>
      </c>
      <c r="D608" s="19" t="n">
        <v>20.750545</v>
      </c>
      <c r="E608" s="20" t="n">
        <f aca="false">IF(OR(D608="",D608=0),"",(C608-D608)/D608)</f>
        <v>0</v>
      </c>
      <c r="F608" s="19" t="n">
        <v>18.457928</v>
      </c>
      <c r="G608" s="19" t="n">
        <v>18.457928</v>
      </c>
      <c r="H608" s="20" t="n">
        <f aca="false">IF(OR(G608="",G608=0),"",(F608-G608)/G608)</f>
        <v>0</v>
      </c>
      <c r="I608" s="19" t="n">
        <v>26.720651</v>
      </c>
      <c r="J608" s="19" t="n">
        <v>26.720651</v>
      </c>
      <c r="K608" s="20" t="n">
        <f aca="false">IF(OR(J608="",J608=0),"",(I608-J608)/J608)</f>
        <v>0</v>
      </c>
      <c r="L608" s="21" t="str">
        <f aca="false">IF(OR(D608="",G608="",J608=""),"No reported subtotal",IF(AND(ABS(N(E608))&lt;=$D$2,ABS(N(H608))&lt;=$D$2,ABS(N(K608))&lt;=$D$2),"Reconciles within tolerance","Outside tolerance"))</f>
        <v>Reconciles within tolerance</v>
      </c>
    </row>
    <row r="609" customFormat="false" ht="15" hidden="false" customHeight="false" outlineLevel="0" collapsed="false">
      <c r="A609" s="7" t="n">
        <v>2008</v>
      </c>
      <c r="B609" s="15" t="s">
        <v>152</v>
      </c>
      <c r="C609" s="19" t="n">
        <v>19.805087</v>
      </c>
      <c r="D609" s="19" t="n">
        <v>19.805087</v>
      </c>
      <c r="E609" s="20" t="n">
        <f aca="false">IF(OR(D609="",D609=0),"",(C609-D609)/D609)</f>
        <v>0</v>
      </c>
      <c r="F609" s="19" t="n">
        <v>19.957747</v>
      </c>
      <c r="G609" s="19" t="n">
        <v>19.957747</v>
      </c>
      <c r="H609" s="20" t="n">
        <f aca="false">IF(OR(G609="",G609=0),"",(F609-G609)/G609)</f>
        <v>0</v>
      </c>
      <c r="I609" s="19" t="n">
        <v>27.124695</v>
      </c>
      <c r="J609" s="19" t="n">
        <v>27.124695</v>
      </c>
      <c r="K609" s="20" t="n">
        <f aca="false">IF(OR(J609="",J609=0),"",(I609-J609)/J609)</f>
        <v>0</v>
      </c>
      <c r="L609" s="21" t="str">
        <f aca="false">IF(OR(D609="",G609="",J609=""),"No reported subtotal",IF(AND(ABS(N(E609))&lt;=$D$2,ABS(N(H609))&lt;=$D$2,ABS(N(K609))&lt;=$D$2),"Reconciles within tolerance","Outside tolerance"))</f>
        <v>Reconciles within tolerance</v>
      </c>
    </row>
    <row r="610" customFormat="false" ht="15" hidden="false" customHeight="false" outlineLevel="0" collapsed="false">
      <c r="A610" s="7" t="n">
        <v>2009</v>
      </c>
      <c r="B610" s="15" t="s">
        <v>152</v>
      </c>
      <c r="C610" s="19" t="n">
        <v>19.40793</v>
      </c>
      <c r="D610" s="19" t="n">
        <v>19.40793</v>
      </c>
      <c r="E610" s="20" t="n">
        <f aca="false">IF(OR(D610="",D610=0),"",(C610-D610)/D610)</f>
        <v>0</v>
      </c>
      <c r="F610" s="19" t="n">
        <v>20.78169</v>
      </c>
      <c r="G610" s="19" t="n">
        <v>20.78169</v>
      </c>
      <c r="H610" s="20" t="n">
        <f aca="false">IF(OR(G610="",G610=0),"",(F610-G610)/G610)</f>
        <v>0</v>
      </c>
      <c r="I610" s="19" t="n">
        <v>26.184492</v>
      </c>
      <c r="J610" s="19" t="n">
        <v>26.184492</v>
      </c>
      <c r="K610" s="20" t="n">
        <f aca="false">IF(OR(J610="",J610=0),"",(I610-J610)/J610)</f>
        <v>0</v>
      </c>
      <c r="L610" s="21" t="str">
        <f aca="false">IF(OR(D610="",G610="",J610=""),"No reported subtotal",IF(AND(ABS(N(E610))&lt;=$D$2,ABS(N(H610))&lt;=$D$2,ABS(N(K610))&lt;=$D$2),"Reconciles within tolerance","Outside tolerance"))</f>
        <v>Reconciles within tolerance</v>
      </c>
    </row>
    <row r="611" customFormat="false" ht="15" hidden="false" customHeight="false" outlineLevel="0" collapsed="false">
      <c r="A611" s="7" t="n">
        <v>2010</v>
      </c>
      <c r="B611" s="15" t="s">
        <v>152</v>
      </c>
      <c r="C611" s="19" t="n">
        <v>21.26231</v>
      </c>
      <c r="D611" s="19" t="n">
        <v>21.26231</v>
      </c>
      <c r="E611" s="20" t="n">
        <f aca="false">IF(OR(D611="",D611=0),"",(C611-D611)/D611)</f>
        <v>0</v>
      </c>
      <c r="F611" s="19" t="n">
        <v>21.160244</v>
      </c>
      <c r="G611" s="19" t="n">
        <v>21.160244</v>
      </c>
      <c r="H611" s="20" t="n">
        <f aca="false">IF(OR(G611="",G611=0),"",(F611-G611)/G611)</f>
        <v>0</v>
      </c>
      <c r="I611" s="19" t="n">
        <v>33.093093</v>
      </c>
      <c r="J611" s="19" t="n">
        <v>33.093093</v>
      </c>
      <c r="K611" s="20" t="n">
        <f aca="false">IF(OR(J611="",J611=0),"",(I611-J611)/J611)</f>
        <v>0</v>
      </c>
      <c r="L611" s="21" t="str">
        <f aca="false">IF(OR(D611="",G611="",J611=""),"No reported subtotal",IF(AND(ABS(N(E611))&lt;=$D$2,ABS(N(H611))&lt;=$D$2,ABS(N(K611))&lt;=$D$2),"Reconciles within tolerance","Outside tolerance"))</f>
        <v>Reconciles within tolerance</v>
      </c>
    </row>
    <row r="612" customFormat="false" ht="15" hidden="false" customHeight="false" outlineLevel="0" collapsed="false">
      <c r="A612" s="7" t="n">
        <v>2011</v>
      </c>
      <c r="B612" s="15" t="s">
        <v>152</v>
      </c>
      <c r="C612" s="19" t="n">
        <v>24.021194</v>
      </c>
      <c r="D612" s="19" t="n">
        <v>24.021194</v>
      </c>
      <c r="E612" s="20" t="n">
        <f aca="false">IF(OR(D612="",D612=0),"",(C612-D612)/D612)</f>
        <v>0</v>
      </c>
      <c r="F612" s="19" t="n">
        <v>20.244998</v>
      </c>
      <c r="G612" s="19" t="n">
        <v>20.244998</v>
      </c>
      <c r="H612" s="20" t="n">
        <f aca="false">IF(OR(G612="",G612=0),"",(F612-G612)/G612)</f>
        <v>0</v>
      </c>
      <c r="I612" s="19" t="n">
        <v>39.203377</v>
      </c>
      <c r="J612" s="19" t="n">
        <v>39.203377</v>
      </c>
      <c r="K612" s="20" t="n">
        <f aca="false">IF(OR(J612="",J612=0),"",(I612-J612)/J612)</f>
        <v>0</v>
      </c>
      <c r="L612" s="21" t="str">
        <f aca="false">IF(OR(D612="",G612="",J612=""),"No reported subtotal",IF(AND(ABS(N(E612))&lt;=$D$2,ABS(N(H612))&lt;=$D$2,ABS(N(K612))&lt;=$D$2),"Reconciles within tolerance","Outside tolerance"))</f>
        <v>Reconciles within tolerance</v>
      </c>
    </row>
    <row r="613" customFormat="false" ht="15" hidden="false" customHeight="false" outlineLevel="0" collapsed="false">
      <c r="A613" s="7" t="n">
        <v>2012</v>
      </c>
      <c r="B613" s="15" t="s">
        <v>152</v>
      </c>
      <c r="C613" s="19" t="n">
        <v>22.188323</v>
      </c>
      <c r="D613" s="19" t="n">
        <v>22.188323</v>
      </c>
      <c r="E613" s="20" t="n">
        <f aca="false">IF(OR(D613="",D613=0),"",(C613-D613)/D613)</f>
        <v>0</v>
      </c>
      <c r="F613" s="19" t="n">
        <v>21.677929</v>
      </c>
      <c r="G613" s="19" t="n">
        <v>21.677929</v>
      </c>
      <c r="H613" s="20" t="n">
        <f aca="false">IF(OR(G613="",G613=0),"",(F613-G613)/G613)</f>
        <v>0</v>
      </c>
      <c r="I613" s="19" t="n">
        <v>39.996011</v>
      </c>
      <c r="J613" s="19" t="n">
        <v>39.996011</v>
      </c>
      <c r="K613" s="20" t="n">
        <f aca="false">IF(OR(J613="",J613=0),"",(I613-J613)/J613)</f>
        <v>0</v>
      </c>
      <c r="L613" s="21" t="str">
        <f aca="false">IF(OR(D613="",G613="",J613=""),"No reported subtotal",IF(AND(ABS(N(E613))&lt;=$D$2,ABS(N(H613))&lt;=$D$2,ABS(N(K613))&lt;=$D$2),"Reconciles within tolerance","Outside tolerance"))</f>
        <v>Reconciles within tolerance</v>
      </c>
    </row>
    <row r="614" customFormat="false" ht="15" hidden="false" customHeight="false" outlineLevel="0" collapsed="false">
      <c r="A614" s="7" t="n">
        <v>2013</v>
      </c>
      <c r="B614" s="15" t="s">
        <v>152</v>
      </c>
      <c r="C614" s="19" t="n">
        <v>25.725435</v>
      </c>
      <c r="D614" s="19" t="n">
        <v>25.725435</v>
      </c>
      <c r="E614" s="20" t="n">
        <f aca="false">IF(OR(D614="",D614=0),"",(C614-D614)/D614)</f>
        <v>0</v>
      </c>
      <c r="F614" s="19" t="n">
        <v>20.585896</v>
      </c>
      <c r="G614" s="19" t="n">
        <v>20.585896</v>
      </c>
      <c r="H614" s="20" t="n">
        <f aca="false">IF(OR(G614="",G614=0),"",(F614-G614)/G614)</f>
        <v>0</v>
      </c>
      <c r="I614" s="19" t="n">
        <v>37.741146</v>
      </c>
      <c r="J614" s="19" t="n">
        <v>37.741146</v>
      </c>
      <c r="K614" s="20" t="n">
        <f aca="false">IF(OR(J614="",J614=0),"",(I614-J614)/J614)</f>
        <v>0</v>
      </c>
      <c r="L614" s="21" t="str">
        <f aca="false">IF(OR(D614="",G614="",J614=""),"No reported subtotal",IF(AND(ABS(N(E614))&lt;=$D$2,ABS(N(H614))&lt;=$D$2,ABS(N(K614))&lt;=$D$2),"Reconciles within tolerance","Outside tolerance"))</f>
        <v>Reconciles within tolerance</v>
      </c>
    </row>
    <row r="615" customFormat="false" ht="15" hidden="false" customHeight="false" outlineLevel="0" collapsed="false">
      <c r="A615" s="7" t="n">
        <v>2014</v>
      </c>
      <c r="B615" s="15" t="s">
        <v>152</v>
      </c>
      <c r="C615" s="19" t="n">
        <v>24.835995</v>
      </c>
      <c r="D615" s="19" t="n">
        <v>24.835995</v>
      </c>
      <c r="E615" s="20" t="n">
        <f aca="false">IF(OR(D615="",D615=0),"",(C615-D615)/D615)</f>
        <v>0</v>
      </c>
      <c r="F615" s="19" t="n">
        <v>21.518682</v>
      </c>
      <c r="G615" s="19" t="n">
        <v>21.518682</v>
      </c>
      <c r="H615" s="20" t="n">
        <f aca="false">IF(OR(G615="",G615=0),"",(F615-G615)/G615)</f>
        <v>0</v>
      </c>
      <c r="I615" s="19" t="n">
        <v>47.92956</v>
      </c>
      <c r="J615" s="19" t="n">
        <v>47.92956</v>
      </c>
      <c r="K615" s="20" t="n">
        <f aca="false">IF(OR(J615="",J615=0),"",(I615-J615)/J615)</f>
        <v>0</v>
      </c>
      <c r="L615" s="21" t="str">
        <f aca="false">IF(OR(D615="",G615="",J615=""),"No reported subtotal",IF(AND(ABS(N(E615))&lt;=$D$2,ABS(N(H615))&lt;=$D$2,ABS(N(K615))&lt;=$D$2),"Reconciles within tolerance","Outside tolerance"))</f>
        <v>Reconciles within tolerance</v>
      </c>
    </row>
    <row r="616" customFormat="false" ht="15" hidden="false" customHeight="false" outlineLevel="0" collapsed="false">
      <c r="A616" s="7" t="n">
        <v>2015</v>
      </c>
      <c r="B616" s="15" t="s">
        <v>152</v>
      </c>
      <c r="C616" s="19" t="n">
        <v>24.951094</v>
      </c>
      <c r="D616" s="19" t="n">
        <v>24.951094</v>
      </c>
      <c r="E616" s="20" t="n">
        <f aca="false">IF(OR(D616="",D616=0),"",(C616-D616)/D616)</f>
        <v>0</v>
      </c>
      <c r="F616" s="19" t="n">
        <v>20.993462</v>
      </c>
      <c r="G616" s="19" t="n">
        <v>20.993462</v>
      </c>
      <c r="H616" s="20" t="n">
        <f aca="false">IF(OR(G616="",G616=0),"",(F616-G616)/G616)</f>
        <v>0</v>
      </c>
      <c r="I616" s="19" t="n">
        <v>46.18022</v>
      </c>
      <c r="J616" s="19" t="n">
        <v>46.18022</v>
      </c>
      <c r="K616" s="20" t="n">
        <f aca="false">IF(OR(J616="",J616=0),"",(I616-J616)/J616)</f>
        <v>0</v>
      </c>
      <c r="L616" s="21" t="str">
        <f aca="false">IF(OR(D616="",G616="",J616=""),"No reported subtotal",IF(AND(ABS(N(E616))&lt;=$D$2,ABS(N(H616))&lt;=$D$2,ABS(N(K616))&lt;=$D$2),"Reconciles within tolerance","Outside tolerance"))</f>
        <v>Reconciles within tolerance</v>
      </c>
    </row>
    <row r="617" customFormat="false" ht="15" hidden="false" customHeight="false" outlineLevel="0" collapsed="false">
      <c r="A617" s="7" t="n">
        <v>2016</v>
      </c>
      <c r="B617" s="15" t="s">
        <v>152</v>
      </c>
      <c r="C617" s="19" t="n">
        <v>25.09604</v>
      </c>
      <c r="D617" s="19" t="n">
        <v>25.09604</v>
      </c>
      <c r="E617" s="20" t="n">
        <f aca="false">IF(OR(D617="",D617=0),"",(C617-D617)/D617)</f>
        <v>0</v>
      </c>
      <c r="F617" s="19" t="n">
        <v>21.653971</v>
      </c>
      <c r="G617" s="19" t="n">
        <v>21.653971</v>
      </c>
      <c r="H617" s="20" t="n">
        <f aca="false">IF(OR(G617="",G617=0),"",(F617-G617)/G617)</f>
        <v>0</v>
      </c>
      <c r="I617" s="19" t="n">
        <v>45.147789</v>
      </c>
      <c r="J617" s="19" t="n">
        <v>45.147789</v>
      </c>
      <c r="K617" s="20" t="n">
        <f aca="false">IF(OR(J617="",J617=0),"",(I617-J617)/J617)</f>
        <v>0</v>
      </c>
      <c r="L617" s="21" t="str">
        <f aca="false">IF(OR(D617="",G617="",J617=""),"No reported subtotal",IF(AND(ABS(N(E617))&lt;=$D$2,ABS(N(H617))&lt;=$D$2,ABS(N(K617))&lt;=$D$2),"Reconciles within tolerance","Outside tolerance"))</f>
        <v>Reconciles within tolerance</v>
      </c>
    </row>
    <row r="618" customFormat="false" ht="15" hidden="false" customHeight="false" outlineLevel="0" collapsed="false">
      <c r="A618" s="7" t="n">
        <v>2017</v>
      </c>
      <c r="B618" s="15" t="s">
        <v>152</v>
      </c>
      <c r="C618" s="19" t="n">
        <v>26.245787</v>
      </c>
      <c r="D618" s="19" t="n">
        <v>26.245787</v>
      </c>
      <c r="E618" s="20" t="n">
        <f aca="false">IF(OR(D618="",D618=0),"",(C618-D618)/D618)</f>
        <v>0</v>
      </c>
      <c r="F618" s="19" t="n">
        <v>21.915406</v>
      </c>
      <c r="G618" s="19" t="n">
        <v>21.915406</v>
      </c>
      <c r="H618" s="20" t="n">
        <f aca="false">IF(OR(G618="",G618=0),"",(F618-G618)/G618)</f>
        <v>0</v>
      </c>
      <c r="I618" s="19" t="n">
        <v>45.576187</v>
      </c>
      <c r="J618" s="19" t="n">
        <v>45.576187</v>
      </c>
      <c r="K618" s="20" t="n">
        <f aca="false">IF(OR(J618="",J618=0),"",(I618-J618)/J618)</f>
        <v>0</v>
      </c>
      <c r="L618" s="21" t="str">
        <f aca="false">IF(OR(D618="",G618="",J618=""),"No reported subtotal",IF(AND(ABS(N(E618))&lt;=$D$2,ABS(N(H618))&lt;=$D$2,ABS(N(K618))&lt;=$D$2),"Reconciles within tolerance","Outside tolerance"))</f>
        <v>Reconciles within tolerance</v>
      </c>
    </row>
    <row r="619" customFormat="false" ht="15" hidden="false" customHeight="false" outlineLevel="0" collapsed="false">
      <c r="A619" s="7" t="n">
        <v>2018</v>
      </c>
      <c r="B619" s="15" t="s">
        <v>152</v>
      </c>
      <c r="C619" s="19" t="n">
        <v>30.057036</v>
      </c>
      <c r="D619" s="19" t="n">
        <v>30.057036</v>
      </c>
      <c r="E619" s="20" t="n">
        <f aca="false">IF(OR(D619="",D619=0),"",(C619-D619)/D619)</f>
        <v>0</v>
      </c>
      <c r="F619" s="19" t="n">
        <v>21.180564</v>
      </c>
      <c r="G619" s="19" t="n">
        <v>21.180564</v>
      </c>
      <c r="H619" s="20" t="n">
        <f aca="false">IF(OR(G619="",G619=0),"",(F619-G619)/G619)</f>
        <v>0</v>
      </c>
      <c r="I619" s="19" t="n">
        <v>64.829072</v>
      </c>
      <c r="J619" s="19" t="n">
        <v>64.829072</v>
      </c>
      <c r="K619" s="20" t="n">
        <f aca="false">IF(OR(J619="",J619=0),"",(I619-J619)/J619)</f>
        <v>0</v>
      </c>
      <c r="L619" s="21" t="str">
        <f aca="false">IF(OR(D619="",G619="",J619=""),"No reported subtotal",IF(AND(ABS(N(E619))&lt;=$D$2,ABS(N(H619))&lt;=$D$2,ABS(N(K619))&lt;=$D$2),"Reconciles within tolerance","Outside tolerance"))</f>
        <v>Reconciles within tolerance</v>
      </c>
    </row>
    <row r="620" customFormat="false" ht="15" hidden="false" customHeight="false" outlineLevel="0" collapsed="false">
      <c r="A620" s="7" t="n">
        <v>2019</v>
      </c>
      <c r="B620" s="15" t="s">
        <v>152</v>
      </c>
      <c r="C620" s="19" t="n">
        <v>28.213051</v>
      </c>
      <c r="D620" s="19" t="n">
        <v>28.213051</v>
      </c>
      <c r="E620" s="20" t="n">
        <f aca="false">IF(OR(D620="",D620=0),"",(C620-D620)/D620)</f>
        <v>0</v>
      </c>
      <c r="F620" s="19" t="n">
        <v>22.435221</v>
      </c>
      <c r="G620" s="19" t="n">
        <v>22.435221</v>
      </c>
      <c r="H620" s="20" t="n">
        <f aca="false">IF(OR(G620="",G620=0),"",(F620-G620)/G620)</f>
        <v>0</v>
      </c>
      <c r="I620" s="19" t="n">
        <v>61.768032</v>
      </c>
      <c r="J620" s="19" t="n">
        <v>61.768032</v>
      </c>
      <c r="K620" s="20" t="n">
        <f aca="false">IF(OR(J620="",J620=0),"",(I620-J620)/J620)</f>
        <v>0</v>
      </c>
      <c r="L620" s="21" t="str">
        <f aca="false">IF(OR(D620="",G620="",J620=""),"No reported subtotal",IF(AND(ABS(N(E620))&lt;=$D$2,ABS(N(H620))&lt;=$D$2,ABS(N(K620))&lt;=$D$2),"Reconciles within tolerance","Outside tolerance"))</f>
        <v>Reconciles within tolerance</v>
      </c>
    </row>
    <row r="621" customFormat="false" ht="15" hidden="false" customHeight="false" outlineLevel="0" collapsed="false">
      <c r="A621" s="7" t="n">
        <v>2020</v>
      </c>
      <c r="B621" s="15" t="s">
        <v>152</v>
      </c>
      <c r="C621" s="19" t="n">
        <v>22.662341</v>
      </c>
      <c r="D621" s="19" t="n">
        <v>22.662341</v>
      </c>
      <c r="E621" s="20" t="n">
        <f aca="false">IF(OR(D621="",D621=0),"",(C621-D621)/D621)</f>
        <v>0</v>
      </c>
      <c r="F621" s="19" t="n">
        <v>22.018149</v>
      </c>
      <c r="G621" s="19" t="n">
        <v>22.018149</v>
      </c>
      <c r="H621" s="20" t="n">
        <f aca="false">IF(OR(G621="",G621=0),"",(F621-G621)/G621)</f>
        <v>0</v>
      </c>
      <c r="I621" s="19" t="n">
        <v>87.773304</v>
      </c>
      <c r="J621" s="19" t="n">
        <v>87.773304</v>
      </c>
      <c r="K621" s="20" t="n">
        <f aca="false">IF(OR(J621="",J621=0),"",(I621-J621)/J621)</f>
        <v>0</v>
      </c>
      <c r="L621" s="21" t="str">
        <f aca="false">IF(OR(D621="",G621="",J621=""),"No reported subtotal",IF(AND(ABS(N(E621))&lt;=$D$2,ABS(N(H621))&lt;=$D$2,ABS(N(K621))&lt;=$D$2),"Reconciles within tolerance","Outside tolerance"))</f>
        <v>Reconciles within tolerance</v>
      </c>
    </row>
    <row r="622" customFormat="false" ht="15" hidden="false" customHeight="false" outlineLevel="0" collapsed="false">
      <c r="A622" s="7" t="n">
        <v>2021</v>
      </c>
      <c r="B622" s="15" t="s">
        <v>152</v>
      </c>
      <c r="C622" s="19" t="n">
        <v>25.343633</v>
      </c>
      <c r="D622" s="19" t="n">
        <v>25.343633</v>
      </c>
      <c r="E622" s="20" t="n">
        <f aca="false">IF(OR(D622="",D622=0),"",(C622-D622)/D622)</f>
        <v>0</v>
      </c>
      <c r="F622" s="19" t="n">
        <v>21.961899</v>
      </c>
      <c r="G622" s="19" t="n">
        <v>21.961899</v>
      </c>
      <c r="H622" s="20" t="n">
        <f aca="false">IF(OR(G622="",G622=0),"",(F622-G622)/G622)</f>
        <v>0</v>
      </c>
      <c r="I622" s="19" t="n">
        <v>68.935103</v>
      </c>
      <c r="J622" s="19" t="n">
        <v>68.935103</v>
      </c>
      <c r="K622" s="20" t="n">
        <f aca="false">IF(OR(J622="",J622=0),"",(I622-J622)/J622)</f>
        <v>0</v>
      </c>
      <c r="L622" s="21" t="str">
        <f aca="false">IF(OR(D622="",G622="",J622=""),"No reported subtotal",IF(AND(ABS(N(E622))&lt;=$D$2,ABS(N(H622))&lt;=$D$2,ABS(N(K622))&lt;=$D$2),"Reconciles within tolerance","Outside tolerance"))</f>
        <v>Reconciles within tolerance</v>
      </c>
    </row>
    <row r="623" customFormat="false" ht="15" hidden="false" customHeight="false" outlineLevel="0" collapsed="false">
      <c r="A623" s="7" t="n">
        <v>2022</v>
      </c>
      <c r="B623" s="15" t="s">
        <v>152</v>
      </c>
      <c r="C623" s="19" t="n">
        <v>29.251678</v>
      </c>
      <c r="D623" s="19" t="n">
        <v>29.251678</v>
      </c>
      <c r="E623" s="20" t="n">
        <f aca="false">IF(OR(D623="",D623=0),"",(C623-D623)/D623)</f>
        <v>0</v>
      </c>
      <c r="F623" s="19" t="n">
        <v>24.955249</v>
      </c>
      <c r="G623" s="19" t="n">
        <v>24.955249</v>
      </c>
      <c r="H623" s="20" t="n">
        <f aca="false">IF(OR(G623="",G623=0),"",(F623-G623)/G623)</f>
        <v>0</v>
      </c>
      <c r="I623" s="19" t="n">
        <v>89.078384</v>
      </c>
      <c r="J623" s="19" t="n">
        <v>89.078384</v>
      </c>
      <c r="K623" s="20" t="n">
        <f aca="false">IF(OR(J623="",J623=0),"",(I623-J623)/J623)</f>
        <v>0</v>
      </c>
      <c r="L623" s="21" t="str">
        <f aca="false">IF(OR(D623="",G623="",J623=""),"No reported subtotal",IF(AND(ABS(N(E623))&lt;=$D$2,ABS(N(H623))&lt;=$D$2,ABS(N(K623))&lt;=$D$2),"Reconciles within tolerance","Outside tolerance"))</f>
        <v>Reconciles within tolerance</v>
      </c>
    </row>
    <row r="624" customFormat="false" ht="15" hidden="false" customHeight="false" outlineLevel="0" collapsed="false">
      <c r="A624" s="7" t="n">
        <v>2023</v>
      </c>
      <c r="B624" s="15" t="s">
        <v>152</v>
      </c>
      <c r="C624" s="19" t="n">
        <v>39.231157</v>
      </c>
      <c r="D624" s="19" t="n">
        <v>39.231157</v>
      </c>
      <c r="E624" s="20" t="n">
        <f aca="false">IF(OR(D624="",D624=0),"",(C624-D624)/D624)</f>
        <v>0</v>
      </c>
      <c r="F624" s="19" t="n">
        <v>27.512805</v>
      </c>
      <c r="G624" s="19" t="n">
        <v>27.512805</v>
      </c>
      <c r="H624" s="20" t="n">
        <f aca="false">IF(OR(G624="",G624=0),"",(F624-G624)/G624)</f>
        <v>0</v>
      </c>
      <c r="I624" s="19" t="n">
        <v>109.482285</v>
      </c>
      <c r="J624" s="19" t="n">
        <v>109.482285</v>
      </c>
      <c r="K624" s="20" t="n">
        <f aca="false">IF(OR(J624="",J624=0),"",(I624-J624)/J624)</f>
        <v>0</v>
      </c>
      <c r="L624" s="21" t="str">
        <f aca="false">IF(OR(D624="",G624="",J624=""),"No reported subtotal",IF(AND(ABS(N(E624))&lt;=$D$2,ABS(N(H624))&lt;=$D$2,ABS(N(K624))&lt;=$D$2),"Reconciles within tolerance","Outside tolerance"))</f>
        <v>Reconciles within tolerance</v>
      </c>
    </row>
    <row r="625" customFormat="false" ht="15" hidden="false" customHeight="false" outlineLevel="0" collapsed="false">
      <c r="A625" s="7" t="n">
        <v>2024</v>
      </c>
      <c r="B625" s="15" t="s">
        <v>152</v>
      </c>
      <c r="C625" s="19" t="n">
        <v>24.114335</v>
      </c>
      <c r="D625" s="19" t="n">
        <v>24.114335</v>
      </c>
      <c r="E625" s="20" t="n">
        <f aca="false">IF(OR(D625="",D625=0),"",(C625-D625)/D625)</f>
        <v>0</v>
      </c>
      <c r="F625" s="19" t="n">
        <v>24.048349</v>
      </c>
      <c r="G625" s="19" t="n">
        <v>24.048349</v>
      </c>
      <c r="H625" s="20" t="n">
        <f aca="false">IF(OR(G625="",G625=0),"",(F625-G625)/G625)</f>
        <v>0</v>
      </c>
      <c r="I625" s="19" t="n">
        <v>151.067276</v>
      </c>
      <c r="J625" s="19" t="n">
        <v>151.067276</v>
      </c>
      <c r="K625" s="20" t="n">
        <f aca="false">IF(OR(J625="",J625=0),"",(I625-J625)/J625)</f>
        <v>0</v>
      </c>
      <c r="L625" s="21" t="str">
        <f aca="false">IF(OR(D625="",G625="",J625=""),"No reported subtotal",IF(AND(ABS(N(E625))&lt;=$D$2,ABS(N(H625))&lt;=$D$2,ABS(N(K625))&lt;=$D$2),"Reconciles within tolerance","Outside tolerance"))</f>
        <v>Reconciles within tolerance</v>
      </c>
    </row>
    <row r="626" customFormat="false" ht="15" hidden="false" customHeight="false" outlineLevel="0" collapsed="false">
      <c r="A626" s="7" t="n">
        <v>2025</v>
      </c>
      <c r="B626" s="15" t="s">
        <v>152</v>
      </c>
      <c r="C626" s="19" t="n">
        <v>26.646229</v>
      </c>
      <c r="D626" s="19" t="n">
        <v>26.646229</v>
      </c>
      <c r="E626" s="20" t="n">
        <f aca="false">IF(OR(D626="",D626=0),"",(C626-D626)/D626)</f>
        <v>0</v>
      </c>
      <c r="F626" s="19" t="n">
        <v>24.21183</v>
      </c>
      <c r="G626" s="19" t="n">
        <v>24.21183</v>
      </c>
      <c r="H626" s="20" t="n">
        <f aca="false">IF(OR(G626="",G626=0),"",(F626-G626)/G626)</f>
        <v>0</v>
      </c>
      <c r="I626" s="19" t="n">
        <v>190.174774</v>
      </c>
      <c r="J626" s="19" t="n">
        <v>190.174774</v>
      </c>
      <c r="K626" s="20" t="n">
        <f aca="false">IF(OR(J626="",J626=0),"",(I626-J626)/J626)</f>
        <v>0</v>
      </c>
      <c r="L626" s="21" t="str">
        <f aca="false">IF(OR(D626="",G626="",J626=""),"No reported subtotal",IF(AND(ABS(N(E626))&lt;=$D$2,ABS(N(H626))&lt;=$D$2,ABS(N(K626))&lt;=$D$2),"Reconciles within tolerance","Outside tolerance"))</f>
        <v>Reconciles within tolerance</v>
      </c>
    </row>
    <row r="627" customFormat="false" ht="15" hidden="false" customHeight="false" outlineLevel="0" collapsed="false">
      <c r="A627" s="7" t="n">
        <v>2000</v>
      </c>
      <c r="B627" s="15" t="s">
        <v>110</v>
      </c>
      <c r="C627" s="19" t="n">
        <v>65.821602</v>
      </c>
      <c r="D627" s="19" t="n">
        <v>65.821602</v>
      </c>
      <c r="E627" s="20" t="n">
        <f aca="false">IF(OR(D627="",D627=0),"",(C627-D627)/D627)</f>
        <v>0</v>
      </c>
      <c r="F627" s="19" t="n">
        <v>76.311504</v>
      </c>
      <c r="G627" s="19" t="n">
        <v>76.311504</v>
      </c>
      <c r="H627" s="20" t="n">
        <f aca="false">IF(OR(G627="",G627=0),"",(F627-G627)/G627)</f>
        <v>0</v>
      </c>
      <c r="I627" s="19" t="n">
        <v>42.14557</v>
      </c>
      <c r="J627" s="19" t="n">
        <v>42.14557</v>
      </c>
      <c r="K627" s="20" t="n">
        <f aca="false">IF(OR(J627="",J627=0),"",(I627-J627)/J627)</f>
        <v>0</v>
      </c>
      <c r="L627" s="21" t="str">
        <f aca="false">IF(OR(D627="",G627="",J627=""),"No reported subtotal",IF(AND(ABS(N(E627))&lt;=$D$2,ABS(N(H627))&lt;=$D$2,ABS(N(K627))&lt;=$D$2),"Reconciles within tolerance","Outside tolerance"))</f>
        <v>Reconciles within tolerance</v>
      </c>
    </row>
    <row r="628" customFormat="false" ht="15" hidden="false" customHeight="false" outlineLevel="0" collapsed="false">
      <c r="A628" s="7" t="n">
        <v>2001</v>
      </c>
      <c r="B628" s="15" t="s">
        <v>110</v>
      </c>
      <c r="C628" s="19" t="n">
        <v>59.986585</v>
      </c>
      <c r="D628" s="19" t="n">
        <v>59.986585</v>
      </c>
      <c r="E628" s="20" t="n">
        <f aca="false">IF(OR(D628="",D628=0),"",(C628-D628)/D628)</f>
        <v>0</v>
      </c>
      <c r="F628" s="19" t="n">
        <v>28.516316</v>
      </c>
      <c r="G628" s="19" t="n">
        <v>28.516316</v>
      </c>
      <c r="H628" s="20" t="n">
        <f aca="false">IF(OR(G628="",G628=0),"",(F628-G628)/G628)</f>
        <v>0</v>
      </c>
      <c r="I628" s="19" t="n">
        <v>36.984621</v>
      </c>
      <c r="J628" s="19" t="n">
        <v>36.984621</v>
      </c>
      <c r="K628" s="20" t="n">
        <f aca="false">IF(OR(J628="",J628=0),"",(I628-J628)/J628)</f>
        <v>0</v>
      </c>
      <c r="L628" s="21" t="str">
        <f aca="false">IF(OR(D628="",G628="",J628=""),"No reported subtotal",IF(AND(ABS(N(E628))&lt;=$D$2,ABS(N(H628))&lt;=$D$2,ABS(N(K628))&lt;=$D$2),"Reconciles within tolerance","Outside tolerance"))</f>
        <v>Reconciles within tolerance</v>
      </c>
    </row>
    <row r="629" customFormat="false" ht="15" hidden="false" customHeight="false" outlineLevel="0" collapsed="false">
      <c r="A629" s="7" t="n">
        <v>2002</v>
      </c>
      <c r="B629" s="15" t="s">
        <v>110</v>
      </c>
      <c r="C629" s="19" t="n">
        <v>68.793589</v>
      </c>
      <c r="D629" s="19" t="n">
        <v>68.793589</v>
      </c>
      <c r="E629" s="20" t="n">
        <f aca="false">IF(OR(D629="",D629=0),"",(C629-D629)/D629)</f>
        <v>0</v>
      </c>
      <c r="F629" s="19" t="n">
        <v>28.432718</v>
      </c>
      <c r="G629" s="19" t="n">
        <v>28.432718</v>
      </c>
      <c r="H629" s="20" t="n">
        <f aca="false">IF(OR(G629="",G629=0),"",(F629-G629)/G629)</f>
        <v>0</v>
      </c>
      <c r="I629" s="19" t="n">
        <v>46.759608</v>
      </c>
      <c r="J629" s="19" t="n">
        <v>46.759608</v>
      </c>
      <c r="K629" s="20" t="n">
        <f aca="false">IF(OR(J629="",J629=0),"",(I629-J629)/J629)</f>
        <v>0</v>
      </c>
      <c r="L629" s="21" t="str">
        <f aca="false">IF(OR(D629="",G629="",J629=""),"No reported subtotal",IF(AND(ABS(N(E629))&lt;=$D$2,ABS(N(H629))&lt;=$D$2,ABS(N(K629))&lt;=$D$2),"Reconciles within tolerance","Outside tolerance"))</f>
        <v>Reconciles within tolerance</v>
      </c>
    </row>
    <row r="630" customFormat="false" ht="15" hidden="false" customHeight="false" outlineLevel="0" collapsed="false">
      <c r="A630" s="7" t="n">
        <v>2003</v>
      </c>
      <c r="B630" s="15" t="s">
        <v>110</v>
      </c>
      <c r="C630" s="19" t="n">
        <v>65.774331</v>
      </c>
      <c r="D630" s="19" t="n">
        <v>65.774331</v>
      </c>
      <c r="E630" s="20" t="n">
        <f aca="false">IF(OR(D630="",D630=0),"",(C630-D630)/D630)</f>
        <v>0</v>
      </c>
      <c r="F630" s="19" t="n">
        <v>37.044664</v>
      </c>
      <c r="G630" s="19" t="n">
        <v>37.044664</v>
      </c>
      <c r="H630" s="20" t="n">
        <f aca="false">IF(OR(G630="",G630=0),"",(F630-G630)/G630)</f>
        <v>0</v>
      </c>
      <c r="I630" s="19" t="n">
        <v>74.483116</v>
      </c>
      <c r="J630" s="19" t="n">
        <v>74.483116</v>
      </c>
      <c r="K630" s="20" t="n">
        <f aca="false">IF(OR(J630="",J630=0),"",(I630-J630)/J630)</f>
        <v>0</v>
      </c>
      <c r="L630" s="21" t="str">
        <f aca="false">IF(OR(D630="",G630="",J630=""),"No reported subtotal",IF(AND(ABS(N(E630))&lt;=$D$2,ABS(N(H630))&lt;=$D$2,ABS(N(K630))&lt;=$D$2),"Reconciles within tolerance","Outside tolerance"))</f>
        <v>Reconciles within tolerance</v>
      </c>
    </row>
    <row r="631" customFormat="false" ht="15" hidden="false" customHeight="false" outlineLevel="0" collapsed="false">
      <c r="A631" s="7" t="n">
        <v>2004</v>
      </c>
      <c r="B631" s="15" t="s">
        <v>110</v>
      </c>
      <c r="C631" s="19" t="n">
        <v>56.634001</v>
      </c>
      <c r="D631" s="19" t="n">
        <v>56.634001</v>
      </c>
      <c r="E631" s="20" t="n">
        <f aca="false">IF(OR(D631="",D631=0),"",(C631-D631)/D631)</f>
        <v>0</v>
      </c>
      <c r="F631" s="19" t="n">
        <v>28.940185</v>
      </c>
      <c r="G631" s="19" t="n">
        <v>28.940185</v>
      </c>
      <c r="H631" s="20" t="n">
        <f aca="false">IF(OR(G631="",G631=0),"",(F631-G631)/G631)</f>
        <v>0</v>
      </c>
      <c r="I631" s="19" t="n">
        <v>57.346892</v>
      </c>
      <c r="J631" s="19" t="n">
        <v>57.346892</v>
      </c>
      <c r="K631" s="20" t="n">
        <f aca="false">IF(OR(J631="",J631=0),"",(I631-J631)/J631)</f>
        <v>0</v>
      </c>
      <c r="L631" s="21" t="str">
        <f aca="false">IF(OR(D631="",G631="",J631=""),"No reported subtotal",IF(AND(ABS(N(E631))&lt;=$D$2,ABS(N(H631))&lt;=$D$2,ABS(N(K631))&lt;=$D$2),"Reconciles within tolerance","Outside tolerance"))</f>
        <v>Reconciles within tolerance</v>
      </c>
    </row>
    <row r="632" customFormat="false" ht="15" hidden="false" customHeight="false" outlineLevel="0" collapsed="false">
      <c r="A632" s="7" t="n">
        <v>2005</v>
      </c>
      <c r="B632" s="15" t="s">
        <v>110</v>
      </c>
      <c r="C632" s="19" t="n">
        <v>67.644179</v>
      </c>
      <c r="D632" s="19" t="n">
        <v>67.644179</v>
      </c>
      <c r="E632" s="20" t="n">
        <f aca="false">IF(OR(D632="",D632=0),"",(C632-D632)/D632)</f>
        <v>0</v>
      </c>
      <c r="F632" s="19" t="n">
        <v>43.619135</v>
      </c>
      <c r="G632" s="19" t="n">
        <v>43.619135</v>
      </c>
      <c r="H632" s="20" t="n">
        <f aca="false">IF(OR(G632="",G632=0),"",(F632-G632)/G632)</f>
        <v>0</v>
      </c>
      <c r="I632" s="19" t="n">
        <v>85.767533</v>
      </c>
      <c r="J632" s="19" t="n">
        <v>85.767533</v>
      </c>
      <c r="K632" s="20" t="n">
        <f aca="false">IF(OR(J632="",J632=0),"",(I632-J632)/J632)</f>
        <v>0</v>
      </c>
      <c r="L632" s="21" t="str">
        <f aca="false">IF(OR(D632="",G632="",J632=""),"No reported subtotal",IF(AND(ABS(N(E632))&lt;=$D$2,ABS(N(H632))&lt;=$D$2,ABS(N(K632))&lt;=$D$2),"Reconciles within tolerance","Outside tolerance"))</f>
        <v>Reconciles within tolerance</v>
      </c>
    </row>
    <row r="633" customFormat="false" ht="15" hidden="false" customHeight="false" outlineLevel="0" collapsed="false">
      <c r="A633" s="7" t="n">
        <v>2006</v>
      </c>
      <c r="B633" s="15" t="s">
        <v>110</v>
      </c>
      <c r="C633" s="19" t="n">
        <v>69.919579</v>
      </c>
      <c r="D633" s="19" t="n">
        <v>69.919579</v>
      </c>
      <c r="E633" s="20" t="n">
        <f aca="false">IF(OR(D633="",D633=0),"",(C633-D633)/D633)</f>
        <v>0</v>
      </c>
      <c r="F633" s="19" t="n">
        <v>50.663099</v>
      </c>
      <c r="G633" s="19" t="n">
        <v>50.663099</v>
      </c>
      <c r="H633" s="20" t="n">
        <f aca="false">IF(OR(G633="",G633=0),"",(F633-G633)/G633)</f>
        <v>0</v>
      </c>
      <c r="I633" s="19" t="n">
        <v>87.009231</v>
      </c>
      <c r="J633" s="19" t="n">
        <v>87.009231</v>
      </c>
      <c r="K633" s="20" t="n">
        <f aca="false">IF(OR(J633="",J633=0),"",(I633-J633)/J633)</f>
        <v>0</v>
      </c>
      <c r="L633" s="21" t="str">
        <f aca="false">IF(OR(D633="",G633="",J633=""),"No reported subtotal",IF(AND(ABS(N(E633))&lt;=$D$2,ABS(N(H633))&lt;=$D$2,ABS(N(K633))&lt;=$D$2),"Reconciles within tolerance","Outside tolerance"))</f>
        <v>Reconciles within tolerance</v>
      </c>
    </row>
    <row r="634" customFormat="false" ht="15" hidden="false" customHeight="false" outlineLevel="0" collapsed="false">
      <c r="A634" s="7" t="n">
        <v>2007</v>
      </c>
      <c r="B634" s="15" t="s">
        <v>110</v>
      </c>
      <c r="C634" s="19" t="n">
        <v>79.267378</v>
      </c>
      <c r="D634" s="19" t="n">
        <v>79.267378</v>
      </c>
      <c r="E634" s="20" t="n">
        <f aca="false">IF(OR(D634="",D634=0),"",(C634-D634)/D634)</f>
        <v>0</v>
      </c>
      <c r="F634" s="19" t="n">
        <v>53.294791</v>
      </c>
      <c r="G634" s="19" t="n">
        <v>53.294791</v>
      </c>
      <c r="H634" s="20" t="n">
        <f aca="false">IF(OR(G634="",G634=0),"",(F634-G634)/G634)</f>
        <v>0</v>
      </c>
      <c r="I634" s="19" t="n">
        <v>81.799272</v>
      </c>
      <c r="J634" s="19" t="n">
        <v>81.799272</v>
      </c>
      <c r="K634" s="20" t="n">
        <f aca="false">IF(OR(J634="",J634=0),"",(I634-J634)/J634)</f>
        <v>0</v>
      </c>
      <c r="L634" s="21" t="str">
        <f aca="false">IF(OR(D634="",G634="",J634=""),"No reported subtotal",IF(AND(ABS(N(E634))&lt;=$D$2,ABS(N(H634))&lt;=$D$2,ABS(N(K634))&lt;=$D$2),"Reconciles within tolerance","Outside tolerance"))</f>
        <v>Reconciles within tolerance</v>
      </c>
    </row>
    <row r="635" customFormat="false" ht="15" hidden="false" customHeight="false" outlineLevel="0" collapsed="false">
      <c r="A635" s="7" t="n">
        <v>2008</v>
      </c>
      <c r="B635" s="15" t="s">
        <v>110</v>
      </c>
      <c r="C635" s="19" t="n">
        <v>85.367149</v>
      </c>
      <c r="D635" s="19" t="n">
        <v>85.367149</v>
      </c>
      <c r="E635" s="20" t="n">
        <f aca="false">IF(OR(D635="",D635=0),"",(C635-D635)/D635)</f>
        <v>0</v>
      </c>
      <c r="F635" s="19" t="n">
        <v>44.50551</v>
      </c>
      <c r="G635" s="19" t="n">
        <v>44.50551</v>
      </c>
      <c r="H635" s="20" t="n">
        <f aca="false">IF(OR(G635="",G635=0),"",(F635-G635)/G635)</f>
        <v>0</v>
      </c>
      <c r="I635" s="19" t="n">
        <v>102.766791</v>
      </c>
      <c r="J635" s="19" t="n">
        <v>102.766791</v>
      </c>
      <c r="K635" s="20" t="n">
        <f aca="false">IF(OR(J635="",J635=0),"",(I635-J635)/J635)</f>
        <v>0</v>
      </c>
      <c r="L635" s="21" t="str">
        <f aca="false">IF(OR(D635="",G635="",J635=""),"No reported subtotal",IF(AND(ABS(N(E635))&lt;=$D$2,ABS(N(H635))&lt;=$D$2,ABS(N(K635))&lt;=$D$2),"Reconciles within tolerance","Outside tolerance"))</f>
        <v>Reconciles within tolerance</v>
      </c>
    </row>
    <row r="636" customFormat="false" ht="15" hidden="false" customHeight="false" outlineLevel="0" collapsed="false">
      <c r="A636" s="7" t="n">
        <v>2009</v>
      </c>
      <c r="B636" s="15" t="s">
        <v>110</v>
      </c>
      <c r="C636" s="19" t="n">
        <v>61.648408</v>
      </c>
      <c r="D636" s="19" t="n">
        <v>61.648408</v>
      </c>
      <c r="E636" s="20" t="n">
        <f aca="false">IF(OR(D636="",D636=0),"",(C636-D636)/D636)</f>
        <v>0</v>
      </c>
      <c r="F636" s="19" t="n">
        <v>42.287213</v>
      </c>
      <c r="G636" s="19" t="n">
        <v>42.287213</v>
      </c>
      <c r="H636" s="20" t="n">
        <f aca="false">IF(OR(G636="",G636=0),"",(F636-G636)/G636)</f>
        <v>0</v>
      </c>
      <c r="I636" s="19" t="n">
        <v>102.777865</v>
      </c>
      <c r="J636" s="19" t="n">
        <v>102.777865</v>
      </c>
      <c r="K636" s="20" t="n">
        <f aca="false">IF(OR(J636="",J636=0),"",(I636-J636)/J636)</f>
        <v>0</v>
      </c>
      <c r="L636" s="21" t="str">
        <f aca="false">IF(OR(D636="",G636="",J636=""),"No reported subtotal",IF(AND(ABS(N(E636))&lt;=$D$2,ABS(N(H636))&lt;=$D$2,ABS(N(K636))&lt;=$D$2),"Reconciles within tolerance","Outside tolerance"))</f>
        <v>Reconciles within tolerance</v>
      </c>
    </row>
    <row r="637" customFormat="false" ht="15" hidden="false" customHeight="false" outlineLevel="0" collapsed="false">
      <c r="A637" s="7" t="n">
        <v>2010</v>
      </c>
      <c r="B637" s="15" t="s">
        <v>110</v>
      </c>
      <c r="C637" s="19" t="n">
        <v>48.693719</v>
      </c>
      <c r="D637" s="19" t="n">
        <v>48.693719</v>
      </c>
      <c r="E637" s="20" t="n">
        <f aca="false">IF(OR(D637="",D637=0),"",(C637-D637)/D637)</f>
        <v>0</v>
      </c>
      <c r="F637" s="19" t="n">
        <v>30.493184</v>
      </c>
      <c r="G637" s="19" t="n">
        <v>30.493184</v>
      </c>
      <c r="H637" s="20" t="n">
        <f aca="false">IF(OR(G637="",G637=0),"",(F637-G637)/G637)</f>
        <v>0</v>
      </c>
      <c r="I637" s="19" t="n">
        <v>104.397349</v>
      </c>
      <c r="J637" s="19" t="n">
        <v>104.397349</v>
      </c>
      <c r="K637" s="20" t="n">
        <f aca="false">IF(OR(J637="",J637=0),"",(I637-J637)/J637)</f>
        <v>0</v>
      </c>
      <c r="L637" s="21" t="str">
        <f aca="false">IF(OR(D637="",G637="",J637=""),"No reported subtotal",IF(AND(ABS(N(E637))&lt;=$D$2,ABS(N(H637))&lt;=$D$2,ABS(N(K637))&lt;=$D$2),"Reconciles within tolerance","Outside tolerance"))</f>
        <v>Reconciles within tolerance</v>
      </c>
    </row>
    <row r="638" customFormat="false" ht="15" hidden="false" customHeight="false" outlineLevel="0" collapsed="false">
      <c r="A638" s="7" t="n">
        <v>2011</v>
      </c>
      <c r="B638" s="15" t="s">
        <v>110</v>
      </c>
      <c r="C638" s="19" t="n">
        <v>49.901851</v>
      </c>
      <c r="D638" s="19" t="n">
        <v>49.901851</v>
      </c>
      <c r="E638" s="20" t="n">
        <f aca="false">IF(OR(D638="",D638=0),"",(C638-D638)/D638)</f>
        <v>0</v>
      </c>
      <c r="F638" s="19" t="n">
        <v>51.227553</v>
      </c>
      <c r="G638" s="19" t="n">
        <v>51.227553</v>
      </c>
      <c r="H638" s="20" t="n">
        <f aca="false">IF(OR(G638="",G638=0),"",(F638-G638)/G638)</f>
        <v>0</v>
      </c>
      <c r="I638" s="19" t="n">
        <v>94.088052</v>
      </c>
      <c r="J638" s="19" t="n">
        <v>94.088052</v>
      </c>
      <c r="K638" s="20" t="n">
        <f aca="false">IF(OR(J638="",J638=0),"",(I638-J638)/J638)</f>
        <v>0</v>
      </c>
      <c r="L638" s="21" t="str">
        <f aca="false">IF(OR(D638="",G638="",J638=""),"No reported subtotal",IF(AND(ABS(N(E638))&lt;=$D$2,ABS(N(H638))&lt;=$D$2,ABS(N(K638))&lt;=$D$2),"Reconciles within tolerance","Outside tolerance"))</f>
        <v>Reconciles within tolerance</v>
      </c>
    </row>
    <row r="639" customFormat="false" ht="15" hidden="false" customHeight="false" outlineLevel="0" collapsed="false">
      <c r="A639" s="7" t="n">
        <v>2012</v>
      </c>
      <c r="B639" s="15" t="s">
        <v>110</v>
      </c>
      <c r="C639" s="19" t="n">
        <v>62.272178</v>
      </c>
      <c r="D639" s="19" t="n">
        <v>62.272178</v>
      </c>
      <c r="E639" s="20" t="n">
        <f aca="false">IF(OR(D639="",D639=0),"",(C639-D639)/D639)</f>
        <v>0</v>
      </c>
      <c r="F639" s="19" t="n">
        <v>50.774782</v>
      </c>
      <c r="G639" s="19" t="n">
        <v>50.774782</v>
      </c>
      <c r="H639" s="20" t="n">
        <f aca="false">IF(OR(G639="",G639=0),"",(F639-G639)/G639)</f>
        <v>0</v>
      </c>
      <c r="I639" s="19" t="n">
        <v>172.218553</v>
      </c>
      <c r="J639" s="19" t="n">
        <v>172.218553</v>
      </c>
      <c r="K639" s="20" t="n">
        <f aca="false">IF(OR(J639="",J639=0),"",(I639-J639)/J639)</f>
        <v>0</v>
      </c>
      <c r="L639" s="21" t="str">
        <f aca="false">IF(OR(D639="",G639="",J639=""),"No reported subtotal",IF(AND(ABS(N(E639))&lt;=$D$2,ABS(N(H639))&lt;=$D$2,ABS(N(K639))&lt;=$D$2),"Reconciles within tolerance","Outside tolerance"))</f>
        <v>Reconciles within tolerance</v>
      </c>
    </row>
    <row r="640" customFormat="false" ht="15" hidden="false" customHeight="false" outlineLevel="0" collapsed="false">
      <c r="A640" s="7" t="n">
        <v>2013</v>
      </c>
      <c r="B640" s="15" t="s">
        <v>110</v>
      </c>
      <c r="C640" s="19" t="n">
        <v>58.467777</v>
      </c>
      <c r="D640" s="19" t="n">
        <v>58.467777</v>
      </c>
      <c r="E640" s="20" t="n">
        <f aca="false">IF(OR(D640="",D640=0),"",(C640-D640)/D640)</f>
        <v>0</v>
      </c>
      <c r="F640" s="19" t="n">
        <v>50.356295</v>
      </c>
      <c r="G640" s="19" t="n">
        <v>50.356295</v>
      </c>
      <c r="H640" s="20" t="n">
        <f aca="false">IF(OR(G640="",G640=0),"",(F640-G640)/G640)</f>
        <v>0</v>
      </c>
      <c r="I640" s="19" t="n">
        <v>114.167961</v>
      </c>
      <c r="J640" s="19" t="n">
        <v>114.167961</v>
      </c>
      <c r="K640" s="20" t="n">
        <f aca="false">IF(OR(J640="",J640=0),"",(I640-J640)/J640)</f>
        <v>0</v>
      </c>
      <c r="L640" s="21" t="str">
        <f aca="false">IF(OR(D640="",G640="",J640=""),"No reported subtotal",IF(AND(ABS(N(E640))&lt;=$D$2,ABS(N(H640))&lt;=$D$2,ABS(N(K640))&lt;=$D$2),"Reconciles within tolerance","Outside tolerance"))</f>
        <v>Reconciles within tolerance</v>
      </c>
    </row>
    <row r="641" customFormat="false" ht="15" hidden="false" customHeight="false" outlineLevel="0" collapsed="false">
      <c r="A641" s="7" t="n">
        <v>2014</v>
      </c>
      <c r="B641" s="15" t="s">
        <v>110</v>
      </c>
      <c r="C641" s="19" t="n">
        <v>54.947002</v>
      </c>
      <c r="D641" s="19" t="n">
        <v>54.947002</v>
      </c>
      <c r="E641" s="20" t="n">
        <f aca="false">IF(OR(D641="",D641=0),"",(C641-D641)/D641)</f>
        <v>0</v>
      </c>
      <c r="F641" s="19" t="n">
        <v>49.083762</v>
      </c>
      <c r="G641" s="19" t="n">
        <v>49.083762</v>
      </c>
      <c r="H641" s="20" t="n">
        <f aca="false">IF(OR(G641="",G641=0),"",(F641-G641)/G641)</f>
        <v>0</v>
      </c>
      <c r="I641" s="19" t="n">
        <v>121.863747</v>
      </c>
      <c r="J641" s="19" t="n">
        <v>121.863747</v>
      </c>
      <c r="K641" s="20" t="n">
        <f aca="false">IF(OR(J641="",J641=0),"",(I641-J641)/J641)</f>
        <v>0</v>
      </c>
      <c r="L641" s="21" t="str">
        <f aca="false">IF(OR(D641="",G641="",J641=""),"No reported subtotal",IF(AND(ABS(N(E641))&lt;=$D$2,ABS(N(H641))&lt;=$D$2,ABS(N(K641))&lt;=$D$2),"Reconciles within tolerance","Outside tolerance"))</f>
        <v>Reconciles within tolerance</v>
      </c>
    </row>
    <row r="642" customFormat="false" ht="15" hidden="false" customHeight="false" outlineLevel="0" collapsed="false">
      <c r="A642" s="7" t="n">
        <v>2015</v>
      </c>
      <c r="B642" s="15" t="s">
        <v>110</v>
      </c>
      <c r="C642" s="19" t="n">
        <v>56.757678</v>
      </c>
      <c r="D642" s="19" t="n">
        <v>56.757678</v>
      </c>
      <c r="E642" s="20" t="n">
        <f aca="false">IF(OR(D642="",D642=0),"",(C642-D642)/D642)</f>
        <v>0</v>
      </c>
      <c r="F642" s="19" t="n">
        <v>49.433048</v>
      </c>
      <c r="G642" s="19" t="n">
        <v>49.433048</v>
      </c>
      <c r="H642" s="20" t="n">
        <f aca="false">IF(OR(G642="",G642=0),"",(F642-G642)/G642)</f>
        <v>0</v>
      </c>
      <c r="I642" s="19" t="n">
        <v>114.984029</v>
      </c>
      <c r="J642" s="19" t="n">
        <v>114.984029</v>
      </c>
      <c r="K642" s="20" t="n">
        <f aca="false">IF(OR(J642="",J642=0),"",(I642-J642)/J642)</f>
        <v>0</v>
      </c>
      <c r="L642" s="21" t="str">
        <f aca="false">IF(OR(D642="",G642="",J642=""),"No reported subtotal",IF(AND(ABS(N(E642))&lt;=$D$2,ABS(N(H642))&lt;=$D$2,ABS(N(K642))&lt;=$D$2),"Reconciles within tolerance","Outside tolerance"))</f>
        <v>Reconciles within tolerance</v>
      </c>
    </row>
    <row r="643" customFormat="false" ht="15" hidden="false" customHeight="false" outlineLevel="0" collapsed="false">
      <c r="A643" s="7" t="n">
        <v>2016</v>
      </c>
      <c r="B643" s="15" t="s">
        <v>110</v>
      </c>
      <c r="C643" s="19" t="n">
        <v>54.428064</v>
      </c>
      <c r="D643" s="19" t="n">
        <v>54.428064</v>
      </c>
      <c r="E643" s="20" t="n">
        <f aca="false">IF(OR(D643="",D643=0),"",(C643-D643)/D643)</f>
        <v>0</v>
      </c>
      <c r="F643" s="19" t="n">
        <v>43.604271</v>
      </c>
      <c r="G643" s="19" t="n">
        <v>43.604271</v>
      </c>
      <c r="H643" s="20" t="n">
        <f aca="false">IF(OR(G643="",G643=0),"",(F643-G643)/G643)</f>
        <v>0</v>
      </c>
      <c r="I643" s="19" t="n">
        <v>109.993698</v>
      </c>
      <c r="J643" s="19" t="n">
        <v>109.993698</v>
      </c>
      <c r="K643" s="20" t="n">
        <f aca="false">IF(OR(J643="",J643=0),"",(I643-J643)/J643)</f>
        <v>0</v>
      </c>
      <c r="L643" s="21" t="str">
        <f aca="false">IF(OR(D643="",G643="",J643=""),"No reported subtotal",IF(AND(ABS(N(E643))&lt;=$D$2,ABS(N(H643))&lt;=$D$2,ABS(N(K643))&lt;=$D$2),"Reconciles within tolerance","Outside tolerance"))</f>
        <v>Reconciles within tolerance</v>
      </c>
    </row>
    <row r="644" customFormat="false" ht="15" hidden="false" customHeight="false" outlineLevel="0" collapsed="false">
      <c r="A644" s="7" t="n">
        <v>2017</v>
      </c>
      <c r="B644" s="15" t="s">
        <v>110</v>
      </c>
      <c r="C644" s="19" t="n">
        <v>74.84612</v>
      </c>
      <c r="D644" s="19" t="n">
        <v>74.84612</v>
      </c>
      <c r="E644" s="20" t="n">
        <f aca="false">IF(OR(D644="",D644=0),"",(C644-D644)/D644)</f>
        <v>0</v>
      </c>
      <c r="F644" s="19" t="n">
        <v>56.277427</v>
      </c>
      <c r="G644" s="19" t="n">
        <v>56.277427</v>
      </c>
      <c r="H644" s="20" t="n">
        <f aca="false">IF(OR(G644="",G644=0),"",(F644-G644)/G644)</f>
        <v>0</v>
      </c>
      <c r="I644" s="19" t="n">
        <v>98.189328</v>
      </c>
      <c r="J644" s="19" t="n">
        <v>98.189328</v>
      </c>
      <c r="K644" s="20" t="n">
        <f aca="false">IF(OR(J644="",J644=0),"",(I644-J644)/J644)</f>
        <v>0</v>
      </c>
      <c r="L644" s="21" t="str">
        <f aca="false">IF(OR(D644="",G644="",J644=""),"No reported subtotal",IF(AND(ABS(N(E644))&lt;=$D$2,ABS(N(H644))&lt;=$D$2,ABS(N(K644))&lt;=$D$2),"Reconciles within tolerance","Outside tolerance"))</f>
        <v>Reconciles within tolerance</v>
      </c>
    </row>
    <row r="645" customFormat="false" ht="15" hidden="false" customHeight="false" outlineLevel="0" collapsed="false">
      <c r="A645" s="7" t="n">
        <v>2018</v>
      </c>
      <c r="B645" s="15" t="s">
        <v>110</v>
      </c>
      <c r="C645" s="19" t="n">
        <v>72.467203</v>
      </c>
      <c r="D645" s="19" t="n">
        <v>72.467203</v>
      </c>
      <c r="E645" s="20" t="n">
        <f aca="false">IF(OR(D645="",D645=0),"",(C645-D645)/D645)</f>
        <v>0</v>
      </c>
      <c r="F645" s="19" t="n">
        <v>60.096678</v>
      </c>
      <c r="G645" s="19" t="n">
        <v>60.096678</v>
      </c>
      <c r="H645" s="20" t="n">
        <f aca="false">IF(OR(G645="",G645=0),"",(F645-G645)/G645)</f>
        <v>0</v>
      </c>
      <c r="I645" s="19" t="n">
        <v>117.959251</v>
      </c>
      <c r="J645" s="19" t="n">
        <v>117.959251</v>
      </c>
      <c r="K645" s="20" t="n">
        <f aca="false">IF(OR(J645="",J645=0),"",(I645-J645)/J645)</f>
        <v>0</v>
      </c>
      <c r="L645" s="21" t="str">
        <f aca="false">IF(OR(D645="",G645="",J645=""),"No reported subtotal",IF(AND(ABS(N(E645))&lt;=$D$2,ABS(N(H645))&lt;=$D$2,ABS(N(K645))&lt;=$D$2),"Reconciles within tolerance","Outside tolerance"))</f>
        <v>Reconciles within tolerance</v>
      </c>
    </row>
    <row r="646" customFormat="false" ht="15" hidden="false" customHeight="false" outlineLevel="0" collapsed="false">
      <c r="A646" s="7" t="n">
        <v>2019</v>
      </c>
      <c r="B646" s="15" t="s">
        <v>110</v>
      </c>
      <c r="C646" s="19" t="n">
        <v>79.015272</v>
      </c>
      <c r="D646" s="19" t="n">
        <v>79.015272</v>
      </c>
      <c r="E646" s="20" t="n">
        <f aca="false">IF(OR(D646="",D646=0),"",(C646-D646)/D646)</f>
        <v>0</v>
      </c>
      <c r="F646" s="19" t="n">
        <v>59.606225</v>
      </c>
      <c r="G646" s="19" t="n">
        <v>59.606225</v>
      </c>
      <c r="H646" s="20" t="n">
        <f aca="false">IF(OR(G646="",G646=0),"",(F646-G646)/G646)</f>
        <v>0</v>
      </c>
      <c r="I646" s="19" t="n">
        <v>135.55538</v>
      </c>
      <c r="J646" s="19" t="n">
        <v>135.55538</v>
      </c>
      <c r="K646" s="20" t="n">
        <f aca="false">IF(OR(J646="",J646=0),"",(I646-J646)/J646)</f>
        <v>0</v>
      </c>
      <c r="L646" s="21" t="str">
        <f aca="false">IF(OR(D646="",G646="",J646=""),"No reported subtotal",IF(AND(ABS(N(E646))&lt;=$D$2,ABS(N(H646))&lt;=$D$2,ABS(N(K646))&lt;=$D$2),"Reconciles within tolerance","Outside tolerance"))</f>
        <v>Reconciles within tolerance</v>
      </c>
    </row>
    <row r="647" customFormat="false" ht="15" hidden="false" customHeight="false" outlineLevel="0" collapsed="false">
      <c r="A647" s="7" t="n">
        <v>2020</v>
      </c>
      <c r="B647" s="15" t="s">
        <v>110</v>
      </c>
      <c r="C647" s="19" t="n">
        <v>106.10564</v>
      </c>
      <c r="D647" s="19" t="n">
        <v>106.10564</v>
      </c>
      <c r="E647" s="20" t="n">
        <f aca="false">IF(OR(D647="",D647=0),"",(C647-D647)/D647)</f>
        <v>0</v>
      </c>
      <c r="F647" s="19" t="n">
        <v>73.000099</v>
      </c>
      <c r="G647" s="19" t="n">
        <v>73.000099</v>
      </c>
      <c r="H647" s="20" t="n">
        <f aca="false">IF(OR(G647="",G647=0),"",(F647-G647)/G647)</f>
        <v>0</v>
      </c>
      <c r="I647" s="19" t="n">
        <v>163.287938</v>
      </c>
      <c r="J647" s="19" t="n">
        <v>163.287938</v>
      </c>
      <c r="K647" s="20" t="n">
        <f aca="false">IF(OR(J647="",J647=0),"",(I647-J647)/J647)</f>
        <v>0</v>
      </c>
      <c r="L647" s="21" t="str">
        <f aca="false">IF(OR(D647="",G647="",J647=""),"No reported subtotal",IF(AND(ABS(N(E647))&lt;=$D$2,ABS(N(H647))&lt;=$D$2,ABS(N(K647))&lt;=$D$2),"Reconciles within tolerance","Outside tolerance"))</f>
        <v>Reconciles within tolerance</v>
      </c>
    </row>
    <row r="648" customFormat="false" ht="15" hidden="false" customHeight="false" outlineLevel="0" collapsed="false">
      <c r="A648" s="7" t="n">
        <v>2021</v>
      </c>
      <c r="B648" s="15" t="s">
        <v>110</v>
      </c>
      <c r="C648" s="19" t="n">
        <v>88.249028</v>
      </c>
      <c r="D648" s="19" t="n">
        <v>88.249028</v>
      </c>
      <c r="E648" s="20" t="n">
        <f aca="false">IF(OR(D648="",D648=0),"",(C648-D648)/D648)</f>
        <v>0</v>
      </c>
      <c r="F648" s="19" t="n">
        <v>46.525328</v>
      </c>
      <c r="G648" s="19" t="n">
        <v>46.525328</v>
      </c>
      <c r="H648" s="20" t="n">
        <f aca="false">IF(OR(G648="",G648=0),"",(F648-G648)/G648)</f>
        <v>0</v>
      </c>
      <c r="I648" s="19" t="n">
        <v>205.259409</v>
      </c>
      <c r="J648" s="19" t="n">
        <v>205.259409</v>
      </c>
      <c r="K648" s="20" t="n">
        <f aca="false">IF(OR(J648="",J648=0),"",(I648-J648)/J648)</f>
        <v>0</v>
      </c>
      <c r="L648" s="21" t="str">
        <f aca="false">IF(OR(D648="",G648="",J648=""),"No reported subtotal",IF(AND(ABS(N(E648))&lt;=$D$2,ABS(N(H648))&lt;=$D$2,ABS(N(K648))&lt;=$D$2),"Reconciles within tolerance","Outside tolerance"))</f>
        <v>Reconciles within tolerance</v>
      </c>
    </row>
    <row r="649" customFormat="false" ht="15" hidden="false" customHeight="false" outlineLevel="0" collapsed="false">
      <c r="A649" s="7" t="n">
        <v>2022</v>
      </c>
      <c r="B649" s="15" t="s">
        <v>110</v>
      </c>
      <c r="C649" s="19" t="n">
        <v>111.756034</v>
      </c>
      <c r="D649" s="19" t="n">
        <v>111.756034</v>
      </c>
      <c r="E649" s="20" t="n">
        <f aca="false">IF(OR(D649="",D649=0),"",(C649-D649)/D649)</f>
        <v>0</v>
      </c>
      <c r="F649" s="19" t="n">
        <v>38.169317</v>
      </c>
      <c r="G649" s="19" t="n">
        <v>38.169317</v>
      </c>
      <c r="H649" s="20" t="n">
        <f aca="false">IF(OR(G649="",G649=0),"",(F649-G649)/G649)</f>
        <v>0</v>
      </c>
      <c r="I649" s="19" t="n">
        <v>198.092842</v>
      </c>
      <c r="J649" s="19" t="n">
        <v>198.092842</v>
      </c>
      <c r="K649" s="20" t="n">
        <f aca="false">IF(OR(J649="",J649=0),"",(I649-J649)/J649)</f>
        <v>0</v>
      </c>
      <c r="L649" s="21" t="str">
        <f aca="false">IF(OR(D649="",G649="",J649=""),"No reported subtotal",IF(AND(ABS(N(E649))&lt;=$D$2,ABS(N(H649))&lt;=$D$2,ABS(N(K649))&lt;=$D$2),"Reconciles within tolerance","Outside tolerance"))</f>
        <v>Reconciles within tolerance</v>
      </c>
    </row>
    <row r="650" customFormat="false" ht="15" hidden="false" customHeight="false" outlineLevel="0" collapsed="false">
      <c r="A650" s="7" t="n">
        <v>2023</v>
      </c>
      <c r="B650" s="15" t="s">
        <v>110</v>
      </c>
      <c r="C650" s="19" t="n">
        <v>132.396605</v>
      </c>
      <c r="D650" s="19" t="n">
        <v>132.396605</v>
      </c>
      <c r="E650" s="20" t="n">
        <f aca="false">IF(OR(D650="",D650=0),"",(C650-D650)/D650)</f>
        <v>0</v>
      </c>
      <c r="F650" s="19" t="n">
        <v>32.515777</v>
      </c>
      <c r="G650" s="19" t="n">
        <v>32.515777</v>
      </c>
      <c r="H650" s="20" t="n">
        <f aca="false">IF(OR(G650="",G650=0),"",(F650-G650)/G650)</f>
        <v>0</v>
      </c>
      <c r="I650" s="19" t="n">
        <v>118.426234</v>
      </c>
      <c r="J650" s="19" t="n">
        <v>118.426234</v>
      </c>
      <c r="K650" s="20" t="n">
        <f aca="false">IF(OR(J650="",J650=0),"",(I650-J650)/J650)</f>
        <v>0</v>
      </c>
      <c r="L650" s="21" t="str">
        <f aca="false">IF(OR(D650="",G650="",J650=""),"No reported subtotal",IF(AND(ABS(N(E650))&lt;=$D$2,ABS(N(H650))&lt;=$D$2,ABS(N(K650))&lt;=$D$2),"Reconciles within tolerance","Outside tolerance"))</f>
        <v>Reconciles within tolerance</v>
      </c>
    </row>
    <row r="651" customFormat="false" ht="15" hidden="false" customHeight="false" outlineLevel="0" collapsed="false">
      <c r="A651" s="7" t="n">
        <v>2024</v>
      </c>
      <c r="B651" s="15" t="s">
        <v>110</v>
      </c>
      <c r="C651" s="19" t="n">
        <v>106.694546</v>
      </c>
      <c r="D651" s="19" t="n">
        <v>106.694546</v>
      </c>
      <c r="E651" s="20" t="n">
        <f aca="false">IF(OR(D651="",D651=0),"",(C651-D651)/D651)</f>
        <v>0</v>
      </c>
      <c r="F651" s="19" t="n">
        <v>42.803498</v>
      </c>
      <c r="G651" s="19" t="n">
        <v>42.803497</v>
      </c>
      <c r="H651" s="20" t="n">
        <f aca="false">IF(OR(G651="",G651=0),"",(F651-G651)/G651)</f>
        <v>2.33625770687671E-008</v>
      </c>
      <c r="I651" s="19" t="n">
        <v>146.016635</v>
      </c>
      <c r="J651" s="19" t="n">
        <v>146.016635</v>
      </c>
      <c r="K651" s="20" t="n">
        <f aca="false">IF(OR(J651="",J651=0),"",(I651-J651)/J651)</f>
        <v>0</v>
      </c>
      <c r="L651" s="21" t="str">
        <f aca="false">IF(OR(D651="",G651="",J651=""),"No reported subtotal",IF(AND(ABS(N(E651))&lt;=$D$2,ABS(N(H651))&lt;=$D$2,ABS(N(K651))&lt;=$D$2),"Reconciles within tolerance","Outside tolerance"))</f>
        <v>Reconciles within tolerance</v>
      </c>
    </row>
    <row r="652" customFormat="false" ht="15" hidden="false" customHeight="false" outlineLevel="0" collapsed="false">
      <c r="A652" s="7" t="n">
        <v>2025</v>
      </c>
      <c r="B652" s="15" t="s">
        <v>110</v>
      </c>
      <c r="C652" s="19" t="n">
        <v>102.650564</v>
      </c>
      <c r="D652" s="19" t="n">
        <v>102.650564</v>
      </c>
      <c r="E652" s="20" t="n">
        <f aca="false">IF(OR(D652="",D652=0),"",(C652-D652)/D652)</f>
        <v>0</v>
      </c>
      <c r="F652" s="19" t="n">
        <v>47.502114</v>
      </c>
      <c r="G652" s="19" t="n">
        <v>47.502114</v>
      </c>
      <c r="H652" s="20" t="n">
        <f aca="false">IF(OR(G652="",G652=0),"",(F652-G652)/G652)</f>
        <v>0</v>
      </c>
      <c r="I652" s="19" t="n">
        <v>224.634042</v>
      </c>
      <c r="J652" s="19" t="n">
        <v>224.634042</v>
      </c>
      <c r="K652" s="20" t="n">
        <f aca="false">IF(OR(J652="",J652=0),"",(I652-J652)/J652)</f>
        <v>0</v>
      </c>
      <c r="L652" s="21" t="str">
        <f aca="false">IF(OR(D652="",G652="",J652=""),"No reported subtotal",IF(AND(ABS(N(E652))&lt;=$D$2,ABS(N(H652))&lt;=$D$2,ABS(N(K652))&lt;=$D$2),"Reconciles within tolerance","Outside tolerance"))</f>
        <v>Reconciles within tolerance</v>
      </c>
    </row>
    <row r="653" customFormat="false" ht="15" hidden="false" customHeight="false" outlineLevel="0" collapsed="false">
      <c r="A653" s="7" t="n">
        <v>2000</v>
      </c>
      <c r="B653" s="15" t="s">
        <v>153</v>
      </c>
      <c r="C653" s="19" t="n">
        <v>11.970706</v>
      </c>
      <c r="D653" s="19" t="n">
        <v>11.970706</v>
      </c>
      <c r="E653" s="20" t="n">
        <f aca="false">IF(OR(D653="",D653=0),"",(C653-D653)/D653)</f>
        <v>0</v>
      </c>
      <c r="F653" s="19" t="n">
        <v>12.935284</v>
      </c>
      <c r="G653" s="19" t="n">
        <v>12.935284</v>
      </c>
      <c r="H653" s="20" t="n">
        <f aca="false">IF(OR(G653="",G653=0),"",(F653-G653)/G653)</f>
        <v>0</v>
      </c>
      <c r="I653" s="19" t="n">
        <v>11.480056</v>
      </c>
      <c r="J653" s="19" t="n">
        <v>11.480056</v>
      </c>
      <c r="K653" s="20" t="n">
        <f aca="false">IF(OR(J653="",J653=0),"",(I653-J653)/J653)</f>
        <v>0</v>
      </c>
      <c r="L653" s="21" t="str">
        <f aca="false">IF(OR(D653="",G653="",J653=""),"No reported subtotal",IF(AND(ABS(N(E653))&lt;=$D$2,ABS(N(H653))&lt;=$D$2,ABS(N(K653))&lt;=$D$2),"Reconciles within tolerance","Outside tolerance"))</f>
        <v>Reconciles within tolerance</v>
      </c>
    </row>
    <row r="654" customFormat="false" ht="15" hidden="false" customHeight="false" outlineLevel="0" collapsed="false">
      <c r="A654" s="7" t="n">
        <v>2001</v>
      </c>
      <c r="B654" s="15" t="s">
        <v>153</v>
      </c>
      <c r="C654" s="19" t="n">
        <v>10.795122</v>
      </c>
      <c r="D654" s="19" t="n">
        <v>10.795122</v>
      </c>
      <c r="E654" s="20" t="n">
        <f aca="false">IF(OR(D654="",D654=0),"",(C654-D654)/D654)</f>
        <v>0</v>
      </c>
      <c r="F654" s="19" t="n">
        <v>12.668819</v>
      </c>
      <c r="G654" s="19" t="n">
        <v>12.668819</v>
      </c>
      <c r="H654" s="20" t="n">
        <f aca="false">IF(OR(G654="",G654=0),"",(F654-G654)/G654)</f>
        <v>0</v>
      </c>
      <c r="I654" s="19" t="n">
        <v>8.558796</v>
      </c>
      <c r="J654" s="19" t="n">
        <v>8.558796</v>
      </c>
      <c r="K654" s="20" t="n">
        <f aca="false">IF(OR(J654="",J654=0),"",(I654-J654)/J654)</f>
        <v>0</v>
      </c>
      <c r="L654" s="21" t="str">
        <f aca="false">IF(OR(D654="",G654="",J654=""),"No reported subtotal",IF(AND(ABS(N(E654))&lt;=$D$2,ABS(N(H654))&lt;=$D$2,ABS(N(K654))&lt;=$D$2),"Reconciles within tolerance","Outside tolerance"))</f>
        <v>Reconciles within tolerance</v>
      </c>
    </row>
    <row r="655" customFormat="false" ht="15" hidden="false" customHeight="false" outlineLevel="0" collapsed="false">
      <c r="A655" s="7" t="n">
        <v>2002</v>
      </c>
      <c r="B655" s="15" t="s">
        <v>153</v>
      </c>
      <c r="C655" s="19" t="n">
        <v>8.364057</v>
      </c>
      <c r="D655" s="19" t="n">
        <v>8.364057</v>
      </c>
      <c r="E655" s="20" t="n">
        <f aca="false">IF(OR(D655="",D655=0),"",(C655-D655)/D655)</f>
        <v>0</v>
      </c>
      <c r="F655" s="19" t="n">
        <v>12.48904</v>
      </c>
      <c r="G655" s="19" t="n">
        <v>12.48904</v>
      </c>
      <c r="H655" s="20" t="n">
        <f aca="false">IF(OR(G655="",G655=0),"",(F655-G655)/G655)</f>
        <v>0</v>
      </c>
      <c r="I655" s="19" t="n">
        <v>11.339903</v>
      </c>
      <c r="J655" s="19" t="n">
        <v>11.339903</v>
      </c>
      <c r="K655" s="20" t="n">
        <f aca="false">IF(OR(J655="",J655=0),"",(I655-J655)/J655)</f>
        <v>0</v>
      </c>
      <c r="L655" s="21" t="str">
        <f aca="false">IF(OR(D655="",G655="",J655=""),"No reported subtotal",IF(AND(ABS(N(E655))&lt;=$D$2,ABS(N(H655))&lt;=$D$2,ABS(N(K655))&lt;=$D$2),"Reconciles within tolerance","Outside tolerance"))</f>
        <v>Reconciles within tolerance</v>
      </c>
    </row>
    <row r="656" customFormat="false" ht="15" hidden="false" customHeight="false" outlineLevel="0" collapsed="false">
      <c r="A656" s="7" t="n">
        <v>2003</v>
      </c>
      <c r="B656" s="15" t="s">
        <v>153</v>
      </c>
      <c r="C656" s="19" t="n">
        <v>10.009428</v>
      </c>
      <c r="D656" s="19" t="n">
        <v>10.009428</v>
      </c>
      <c r="E656" s="20" t="n">
        <f aca="false">IF(OR(D656="",D656=0),"",(C656-D656)/D656)</f>
        <v>0</v>
      </c>
      <c r="F656" s="19" t="n">
        <v>12.705448</v>
      </c>
      <c r="G656" s="19" t="n">
        <v>12.705448</v>
      </c>
      <c r="H656" s="20" t="n">
        <f aca="false">IF(OR(G656="",G656=0),"",(F656-G656)/G656)</f>
        <v>0</v>
      </c>
      <c r="I656" s="19" t="n">
        <v>9.693251</v>
      </c>
      <c r="J656" s="19" t="n">
        <v>9.693251</v>
      </c>
      <c r="K656" s="20" t="n">
        <f aca="false">IF(OR(J656="",J656=0),"",(I656-J656)/J656)</f>
        <v>0</v>
      </c>
      <c r="L656" s="21" t="str">
        <f aca="false">IF(OR(D656="",G656="",J656=""),"No reported subtotal",IF(AND(ABS(N(E656))&lt;=$D$2,ABS(N(H656))&lt;=$D$2,ABS(N(K656))&lt;=$D$2),"Reconciles within tolerance","Outside tolerance"))</f>
        <v>Reconciles within tolerance</v>
      </c>
    </row>
    <row r="657" customFormat="false" ht="15" hidden="false" customHeight="false" outlineLevel="0" collapsed="false">
      <c r="A657" s="7" t="n">
        <v>2004</v>
      </c>
      <c r="B657" s="15" t="s">
        <v>153</v>
      </c>
      <c r="C657" s="19" t="n">
        <v>10.753775</v>
      </c>
      <c r="D657" s="19" t="n">
        <v>10.753775</v>
      </c>
      <c r="E657" s="20" t="n">
        <f aca="false">IF(OR(D657="",D657=0),"",(C657-D657)/D657)</f>
        <v>0</v>
      </c>
      <c r="F657" s="19" t="n">
        <v>13.486687</v>
      </c>
      <c r="G657" s="19" t="n">
        <v>13.486687</v>
      </c>
      <c r="H657" s="20" t="n">
        <f aca="false">IF(OR(G657="",G657=0),"",(F657-G657)/G657)</f>
        <v>0</v>
      </c>
      <c r="I657" s="19" t="n">
        <v>14.896683</v>
      </c>
      <c r="J657" s="19" t="n">
        <v>14.896683</v>
      </c>
      <c r="K657" s="20" t="n">
        <f aca="false">IF(OR(J657="",J657=0),"",(I657-J657)/J657)</f>
        <v>0</v>
      </c>
      <c r="L657" s="21" t="str">
        <f aca="false">IF(OR(D657="",G657="",J657=""),"No reported subtotal",IF(AND(ABS(N(E657))&lt;=$D$2,ABS(N(H657))&lt;=$D$2,ABS(N(K657))&lt;=$D$2),"Reconciles within tolerance","Outside tolerance"))</f>
        <v>Reconciles within tolerance</v>
      </c>
    </row>
    <row r="658" customFormat="false" ht="15" hidden="false" customHeight="false" outlineLevel="0" collapsed="false">
      <c r="A658" s="7" t="n">
        <v>2005</v>
      </c>
      <c r="B658" s="15" t="s">
        <v>153</v>
      </c>
      <c r="C658" s="19" t="n">
        <v>11.911636</v>
      </c>
      <c r="D658" s="19" t="n">
        <v>11.911636</v>
      </c>
      <c r="E658" s="20" t="n">
        <f aca="false">IF(OR(D658="",D658=0),"",(C658-D658)/D658)</f>
        <v>0</v>
      </c>
      <c r="F658" s="19" t="n">
        <v>13.76779</v>
      </c>
      <c r="G658" s="19" t="n">
        <v>13.76779</v>
      </c>
      <c r="H658" s="20" t="n">
        <f aca="false">IF(OR(G658="",G658=0),"",(F658-G658)/G658)</f>
        <v>0</v>
      </c>
      <c r="I658" s="19" t="n">
        <v>14.607704</v>
      </c>
      <c r="J658" s="19" t="n">
        <v>14.607704</v>
      </c>
      <c r="K658" s="20" t="n">
        <f aca="false">IF(OR(J658="",J658=0),"",(I658-J658)/J658)</f>
        <v>0</v>
      </c>
      <c r="L658" s="21" t="str">
        <f aca="false">IF(OR(D658="",G658="",J658=""),"No reported subtotal",IF(AND(ABS(N(E658))&lt;=$D$2,ABS(N(H658))&lt;=$D$2,ABS(N(K658))&lt;=$D$2),"Reconciles within tolerance","Outside tolerance"))</f>
        <v>Reconciles within tolerance</v>
      </c>
    </row>
    <row r="659" customFormat="false" ht="15" hidden="false" customHeight="false" outlineLevel="0" collapsed="false">
      <c r="A659" s="7" t="n">
        <v>2006</v>
      </c>
      <c r="B659" s="15" t="s">
        <v>153</v>
      </c>
      <c r="C659" s="19" t="n">
        <v>12.987222</v>
      </c>
      <c r="D659" s="19" t="n">
        <v>12.987222</v>
      </c>
      <c r="E659" s="20" t="n">
        <f aca="false">IF(OR(D659="",D659=0),"",(C659-D659)/D659)</f>
        <v>0</v>
      </c>
      <c r="F659" s="19" t="n">
        <v>14.784031</v>
      </c>
      <c r="G659" s="19" t="n">
        <v>14.784031</v>
      </c>
      <c r="H659" s="20" t="n">
        <f aca="false">IF(OR(G659="",G659=0),"",(F659-G659)/G659)</f>
        <v>0</v>
      </c>
      <c r="I659" s="19" t="n">
        <v>14.459656</v>
      </c>
      <c r="J659" s="19" t="n">
        <v>14.459656</v>
      </c>
      <c r="K659" s="20" t="n">
        <f aca="false">IF(OR(J659="",J659=0),"",(I659-J659)/J659)</f>
        <v>0</v>
      </c>
      <c r="L659" s="21" t="str">
        <f aca="false">IF(OR(D659="",G659="",J659=""),"No reported subtotal",IF(AND(ABS(N(E659))&lt;=$D$2,ABS(N(H659))&lt;=$D$2,ABS(N(K659))&lt;=$D$2),"Reconciles within tolerance","Outside tolerance"))</f>
        <v>Reconciles within tolerance</v>
      </c>
    </row>
    <row r="660" customFormat="false" ht="15" hidden="false" customHeight="false" outlineLevel="0" collapsed="false">
      <c r="A660" s="7" t="n">
        <v>2007</v>
      </c>
      <c r="B660" s="15" t="s">
        <v>153</v>
      </c>
      <c r="C660" s="19" t="n">
        <v>14.686349</v>
      </c>
      <c r="D660" s="19" t="n">
        <v>14.686349</v>
      </c>
      <c r="E660" s="20" t="n">
        <f aca="false">IF(OR(D660="",D660=0),"",(C660-D660)/D660)</f>
        <v>0</v>
      </c>
      <c r="F660" s="19" t="n">
        <v>15.748959</v>
      </c>
      <c r="G660" s="19" t="n">
        <v>15.748959</v>
      </c>
      <c r="H660" s="20" t="n">
        <f aca="false">IF(OR(G660="",G660=0),"",(F660-G660)/G660)</f>
        <v>0</v>
      </c>
      <c r="I660" s="19" t="n">
        <v>17.492091</v>
      </c>
      <c r="J660" s="19" t="n">
        <v>17.492091</v>
      </c>
      <c r="K660" s="20" t="n">
        <f aca="false">IF(OR(J660="",J660=0),"",(I660-J660)/J660)</f>
        <v>0</v>
      </c>
      <c r="L660" s="21" t="str">
        <f aca="false">IF(OR(D660="",G660="",J660=""),"No reported subtotal",IF(AND(ABS(N(E660))&lt;=$D$2,ABS(N(H660))&lt;=$D$2,ABS(N(K660))&lt;=$D$2),"Reconciles within tolerance","Outside tolerance"))</f>
        <v>Reconciles within tolerance</v>
      </c>
    </row>
    <row r="661" customFormat="false" ht="15" hidden="false" customHeight="false" outlineLevel="0" collapsed="false">
      <c r="A661" s="7" t="n">
        <v>2008</v>
      </c>
      <c r="B661" s="15" t="s">
        <v>153</v>
      </c>
      <c r="C661" s="19" t="n">
        <v>14.781081</v>
      </c>
      <c r="D661" s="19" t="n">
        <v>14.781081</v>
      </c>
      <c r="E661" s="20" t="n">
        <f aca="false">IF(OR(D661="",D661=0),"",(C661-D661)/D661)</f>
        <v>0</v>
      </c>
      <c r="F661" s="19" t="n">
        <v>16.418869</v>
      </c>
      <c r="G661" s="19" t="n">
        <v>16.418869</v>
      </c>
      <c r="H661" s="20" t="n">
        <f aca="false">IF(OR(G661="",G661=0),"",(F661-G661)/G661)</f>
        <v>0</v>
      </c>
      <c r="I661" s="19" t="n">
        <v>21.967182</v>
      </c>
      <c r="J661" s="19" t="n">
        <v>21.967182</v>
      </c>
      <c r="K661" s="20" t="n">
        <f aca="false">IF(OR(J661="",J661=0),"",(I661-J661)/J661)</f>
        <v>0</v>
      </c>
      <c r="L661" s="21" t="str">
        <f aca="false">IF(OR(D661="",G661="",J661=""),"No reported subtotal",IF(AND(ABS(N(E661))&lt;=$D$2,ABS(N(H661))&lt;=$D$2,ABS(N(K661))&lt;=$D$2),"Reconciles within tolerance","Outside tolerance"))</f>
        <v>Reconciles within tolerance</v>
      </c>
    </row>
    <row r="662" customFormat="false" ht="15" hidden="false" customHeight="false" outlineLevel="0" collapsed="false">
      <c r="A662" s="7" t="n">
        <v>2009</v>
      </c>
      <c r="B662" s="15" t="s">
        <v>153</v>
      </c>
      <c r="C662" s="19" t="n">
        <v>14.334018</v>
      </c>
      <c r="D662" s="19" t="n">
        <v>14.334018</v>
      </c>
      <c r="E662" s="20" t="n">
        <f aca="false">IF(OR(D662="",D662=0),"",(C662-D662)/D662)</f>
        <v>0</v>
      </c>
      <c r="F662" s="19" t="n">
        <v>16.348406</v>
      </c>
      <c r="G662" s="19" t="n">
        <v>16.348406</v>
      </c>
      <c r="H662" s="20" t="n">
        <f aca="false">IF(OR(G662="",G662=0),"",(F662-G662)/G662)</f>
        <v>0</v>
      </c>
      <c r="I662" s="19" t="n">
        <v>15.864063</v>
      </c>
      <c r="J662" s="19" t="n">
        <v>15.864063</v>
      </c>
      <c r="K662" s="20" t="n">
        <f aca="false">IF(OR(J662="",J662=0),"",(I662-J662)/J662)</f>
        <v>0</v>
      </c>
      <c r="L662" s="21" t="str">
        <f aca="false">IF(OR(D662="",G662="",J662=""),"No reported subtotal",IF(AND(ABS(N(E662))&lt;=$D$2,ABS(N(H662))&lt;=$D$2,ABS(N(K662))&lt;=$D$2),"Reconciles within tolerance","Outside tolerance"))</f>
        <v>Reconciles within tolerance</v>
      </c>
    </row>
    <row r="663" customFormat="false" ht="15" hidden="false" customHeight="false" outlineLevel="0" collapsed="false">
      <c r="A663" s="7" t="n">
        <v>2010</v>
      </c>
      <c r="B663" s="15" t="s">
        <v>153</v>
      </c>
      <c r="C663" s="19" t="n">
        <v>15.688219</v>
      </c>
      <c r="D663" s="19" t="n">
        <v>15.688219</v>
      </c>
      <c r="E663" s="20" t="n">
        <f aca="false">IF(OR(D663="",D663=0),"",(C663-D663)/D663)</f>
        <v>0</v>
      </c>
      <c r="F663" s="19" t="n">
        <v>18.80738</v>
      </c>
      <c r="G663" s="19" t="n">
        <v>18.80738</v>
      </c>
      <c r="H663" s="20" t="n">
        <f aca="false">IF(OR(G663="",G663=0),"",(F663-G663)/G663)</f>
        <v>0</v>
      </c>
      <c r="I663" s="19" t="n">
        <v>16.934338</v>
      </c>
      <c r="J663" s="19" t="n">
        <v>16.934338</v>
      </c>
      <c r="K663" s="20" t="n">
        <f aca="false">IF(OR(J663="",J663=0),"",(I663-J663)/J663)</f>
        <v>0</v>
      </c>
      <c r="L663" s="21" t="str">
        <f aca="false">IF(OR(D663="",G663="",J663=""),"No reported subtotal",IF(AND(ABS(N(E663))&lt;=$D$2,ABS(N(H663))&lt;=$D$2,ABS(N(K663))&lt;=$D$2),"Reconciles within tolerance","Outside tolerance"))</f>
        <v>Reconciles within tolerance</v>
      </c>
    </row>
    <row r="664" customFormat="false" ht="15" hidden="false" customHeight="false" outlineLevel="0" collapsed="false">
      <c r="A664" s="7" t="n">
        <v>2011</v>
      </c>
      <c r="B664" s="15" t="s">
        <v>153</v>
      </c>
      <c r="C664" s="19" t="n">
        <v>15.086326</v>
      </c>
      <c r="D664" s="19" t="n">
        <v>15.086326</v>
      </c>
      <c r="E664" s="20" t="n">
        <f aca="false">IF(OR(D664="",D664=0),"",(C664-D664)/D664)</f>
        <v>0</v>
      </c>
      <c r="F664" s="19" t="n">
        <v>19.806028</v>
      </c>
      <c r="G664" s="19" t="n">
        <v>19.806028</v>
      </c>
      <c r="H664" s="20" t="n">
        <f aca="false">IF(OR(G664="",G664=0),"",(F664-G664)/G664)</f>
        <v>0</v>
      </c>
      <c r="I664" s="19" t="n">
        <v>20.642461</v>
      </c>
      <c r="J664" s="19" t="n">
        <v>20.642461</v>
      </c>
      <c r="K664" s="20" t="n">
        <f aca="false">IF(OR(J664="",J664=0),"",(I664-J664)/J664)</f>
        <v>0</v>
      </c>
      <c r="L664" s="21" t="str">
        <f aca="false">IF(OR(D664="",G664="",J664=""),"No reported subtotal",IF(AND(ABS(N(E664))&lt;=$D$2,ABS(N(H664))&lt;=$D$2,ABS(N(K664))&lt;=$D$2),"Reconciles within tolerance","Outside tolerance"))</f>
        <v>Reconciles within tolerance</v>
      </c>
    </row>
    <row r="665" customFormat="false" ht="15" hidden="false" customHeight="false" outlineLevel="0" collapsed="false">
      <c r="A665" s="7" t="n">
        <v>2012</v>
      </c>
      <c r="B665" s="15" t="s">
        <v>153</v>
      </c>
      <c r="C665" s="19" t="n">
        <v>15.868156</v>
      </c>
      <c r="D665" s="19" t="n">
        <v>15.868156</v>
      </c>
      <c r="E665" s="20" t="n">
        <f aca="false">IF(OR(D665="",D665=0),"",(C665-D665)/D665)</f>
        <v>0</v>
      </c>
      <c r="F665" s="19" t="n">
        <v>20.320287</v>
      </c>
      <c r="G665" s="19" t="n">
        <v>20.320287</v>
      </c>
      <c r="H665" s="20" t="n">
        <f aca="false">IF(OR(G665="",G665=0),"",(F665-G665)/G665)</f>
        <v>0</v>
      </c>
      <c r="I665" s="19" t="n">
        <v>17.788927</v>
      </c>
      <c r="J665" s="19" t="n">
        <v>17.788927</v>
      </c>
      <c r="K665" s="20" t="n">
        <f aca="false">IF(OR(J665="",J665=0),"",(I665-J665)/J665)</f>
        <v>0</v>
      </c>
      <c r="L665" s="21" t="str">
        <f aca="false">IF(OR(D665="",G665="",J665=""),"No reported subtotal",IF(AND(ABS(N(E665))&lt;=$D$2,ABS(N(H665))&lt;=$D$2,ABS(N(K665))&lt;=$D$2),"Reconciles within tolerance","Outside tolerance"))</f>
        <v>Reconciles within tolerance</v>
      </c>
    </row>
    <row r="666" customFormat="false" ht="15" hidden="false" customHeight="false" outlineLevel="0" collapsed="false">
      <c r="A666" s="7" t="n">
        <v>2013</v>
      </c>
      <c r="B666" s="15" t="s">
        <v>153</v>
      </c>
      <c r="C666" s="19" t="n">
        <v>16.698686</v>
      </c>
      <c r="D666" s="19" t="n">
        <v>16.698686</v>
      </c>
      <c r="E666" s="20" t="n">
        <f aca="false">IF(OR(D666="",D666=0),"",(C666-D666)/D666)</f>
        <v>0</v>
      </c>
      <c r="F666" s="19" t="n">
        <v>21.554055</v>
      </c>
      <c r="G666" s="19" t="n">
        <v>21.554055</v>
      </c>
      <c r="H666" s="20" t="n">
        <f aca="false">IF(OR(G666="",G666=0),"",(F666-G666)/G666)</f>
        <v>0</v>
      </c>
      <c r="I666" s="19" t="n">
        <v>18.909867</v>
      </c>
      <c r="J666" s="19" t="n">
        <v>18.909867</v>
      </c>
      <c r="K666" s="20" t="n">
        <f aca="false">IF(OR(J666="",J666=0),"",(I666-J666)/J666)</f>
        <v>0</v>
      </c>
      <c r="L666" s="21" t="str">
        <f aca="false">IF(OR(D666="",G666="",J666=""),"No reported subtotal",IF(AND(ABS(N(E666))&lt;=$D$2,ABS(N(H666))&lt;=$D$2,ABS(N(K666))&lt;=$D$2),"Reconciles within tolerance","Outside tolerance"))</f>
        <v>Reconciles within tolerance</v>
      </c>
    </row>
    <row r="667" customFormat="false" ht="15" hidden="false" customHeight="false" outlineLevel="0" collapsed="false">
      <c r="A667" s="7" t="n">
        <v>2014</v>
      </c>
      <c r="B667" s="15" t="s">
        <v>153</v>
      </c>
      <c r="C667" s="19" t="n">
        <v>16.511225</v>
      </c>
      <c r="D667" s="19" t="n">
        <v>16.511225</v>
      </c>
      <c r="E667" s="20" t="n">
        <f aca="false">IF(OR(D667="",D667=0),"",(C667-D667)/D667)</f>
        <v>0</v>
      </c>
      <c r="F667" s="19" t="n">
        <v>21.387153</v>
      </c>
      <c r="G667" s="19" t="n">
        <v>21.387153</v>
      </c>
      <c r="H667" s="20" t="n">
        <f aca="false">IF(OR(G667="",G667=0),"",(F667-G667)/G667)</f>
        <v>0</v>
      </c>
      <c r="I667" s="19" t="n">
        <v>20.041382</v>
      </c>
      <c r="J667" s="19" t="n">
        <v>20.041382</v>
      </c>
      <c r="K667" s="20" t="n">
        <f aca="false">IF(OR(J667="",J667=0),"",(I667-J667)/J667)</f>
        <v>0</v>
      </c>
      <c r="L667" s="21" t="str">
        <f aca="false">IF(OR(D667="",G667="",J667=""),"No reported subtotal",IF(AND(ABS(N(E667))&lt;=$D$2,ABS(N(H667))&lt;=$D$2,ABS(N(K667))&lt;=$D$2),"Reconciles within tolerance","Outside tolerance"))</f>
        <v>Reconciles within tolerance</v>
      </c>
    </row>
    <row r="668" customFormat="false" ht="15" hidden="false" customHeight="false" outlineLevel="0" collapsed="false">
      <c r="A668" s="7" t="n">
        <v>2015</v>
      </c>
      <c r="B668" s="15" t="s">
        <v>153</v>
      </c>
      <c r="C668" s="19" t="n">
        <v>15.514298</v>
      </c>
      <c r="D668" s="19" t="n">
        <v>15.514298</v>
      </c>
      <c r="E668" s="20" t="n">
        <f aca="false">IF(OR(D668="",D668=0),"",(C668-D668)/D668)</f>
        <v>0</v>
      </c>
      <c r="F668" s="19" t="n">
        <v>21.65547</v>
      </c>
      <c r="G668" s="19" t="n">
        <v>21.65547</v>
      </c>
      <c r="H668" s="20" t="n">
        <f aca="false">IF(OR(G668="",G668=0),"",(F668-G668)/G668)</f>
        <v>0</v>
      </c>
      <c r="I668" s="19" t="n">
        <v>16.797259</v>
      </c>
      <c r="J668" s="19" t="n">
        <v>16.797259</v>
      </c>
      <c r="K668" s="20" t="n">
        <f aca="false">IF(OR(J668="",J668=0),"",(I668-J668)/J668)</f>
        <v>0</v>
      </c>
      <c r="L668" s="21" t="str">
        <f aca="false">IF(OR(D668="",G668="",J668=""),"No reported subtotal",IF(AND(ABS(N(E668))&lt;=$D$2,ABS(N(H668))&lt;=$D$2,ABS(N(K668))&lt;=$D$2),"Reconciles within tolerance","Outside tolerance"))</f>
        <v>Reconciles within tolerance</v>
      </c>
    </row>
    <row r="669" customFormat="false" ht="15" hidden="false" customHeight="false" outlineLevel="0" collapsed="false">
      <c r="A669" s="7" t="n">
        <v>2016</v>
      </c>
      <c r="B669" s="15" t="s">
        <v>153</v>
      </c>
      <c r="C669" s="19" t="n">
        <v>16.790847</v>
      </c>
      <c r="D669" s="19" t="n">
        <v>16.790847</v>
      </c>
      <c r="E669" s="20" t="n">
        <f aca="false">IF(OR(D669="",D669=0),"",(C669-D669)/D669)</f>
        <v>0</v>
      </c>
      <c r="F669" s="19" t="n">
        <v>23.256887</v>
      </c>
      <c r="G669" s="19" t="n">
        <v>23.256887</v>
      </c>
      <c r="H669" s="20" t="n">
        <f aca="false">IF(OR(G669="",G669=0),"",(F669-G669)/G669)</f>
        <v>0</v>
      </c>
      <c r="I669" s="19" t="n">
        <v>17.137189</v>
      </c>
      <c r="J669" s="19" t="n">
        <v>17.137189</v>
      </c>
      <c r="K669" s="20" t="n">
        <f aca="false">IF(OR(J669="",J669=0),"",(I669-J669)/J669)</f>
        <v>0</v>
      </c>
      <c r="L669" s="21" t="str">
        <f aca="false">IF(OR(D669="",G669="",J669=""),"No reported subtotal",IF(AND(ABS(N(E669))&lt;=$D$2,ABS(N(H669))&lt;=$D$2,ABS(N(K669))&lt;=$D$2),"Reconciles within tolerance","Outside tolerance"))</f>
        <v>Reconciles within tolerance</v>
      </c>
    </row>
    <row r="670" customFormat="false" ht="15" hidden="false" customHeight="false" outlineLevel="0" collapsed="false">
      <c r="A670" s="7" t="n">
        <v>2017</v>
      </c>
      <c r="B670" s="15" t="s">
        <v>153</v>
      </c>
      <c r="C670" s="19" t="n">
        <v>17.761845</v>
      </c>
      <c r="D670" s="19" t="n">
        <v>17.761845</v>
      </c>
      <c r="E670" s="20" t="n">
        <f aca="false">IF(OR(D670="",D670=0),"",(C670-D670)/D670)</f>
        <v>0</v>
      </c>
      <c r="F670" s="19" t="n">
        <v>22.270154</v>
      </c>
      <c r="G670" s="19" t="n">
        <v>22.270154</v>
      </c>
      <c r="H670" s="20" t="n">
        <f aca="false">IF(OR(G670="",G670=0),"",(F670-G670)/G670)</f>
        <v>0</v>
      </c>
      <c r="I670" s="19" t="n">
        <v>19.432612</v>
      </c>
      <c r="J670" s="19" t="n">
        <v>19.432612</v>
      </c>
      <c r="K670" s="20" t="n">
        <f aca="false">IF(OR(J670="",J670=0),"",(I670-J670)/J670)</f>
        <v>0</v>
      </c>
      <c r="L670" s="21" t="str">
        <f aca="false">IF(OR(D670="",G670="",J670=""),"No reported subtotal",IF(AND(ABS(N(E670))&lt;=$D$2,ABS(N(H670))&lt;=$D$2,ABS(N(K670))&lt;=$D$2),"Reconciles within tolerance","Outside tolerance"))</f>
        <v>Reconciles within tolerance</v>
      </c>
    </row>
    <row r="671" customFormat="false" ht="15" hidden="false" customHeight="false" outlineLevel="0" collapsed="false">
      <c r="A671" s="7" t="n">
        <v>2018</v>
      </c>
      <c r="B671" s="15" t="s">
        <v>153</v>
      </c>
      <c r="C671" s="19" t="n">
        <v>18.267828</v>
      </c>
      <c r="D671" s="19" t="n">
        <v>18.267828</v>
      </c>
      <c r="E671" s="20" t="n">
        <f aca="false">IF(OR(D671="",D671=0),"",(C671-D671)/D671)</f>
        <v>0</v>
      </c>
      <c r="F671" s="19" t="n">
        <v>24.624185</v>
      </c>
      <c r="G671" s="19" t="n">
        <v>24.624185</v>
      </c>
      <c r="H671" s="20" t="n">
        <f aca="false">IF(OR(G671="",G671=0),"",(F671-G671)/G671)</f>
        <v>0</v>
      </c>
      <c r="I671" s="19" t="n">
        <v>24.284636</v>
      </c>
      <c r="J671" s="19" t="n">
        <v>24.284636</v>
      </c>
      <c r="K671" s="20" t="n">
        <f aca="false">IF(OR(J671="",J671=0),"",(I671-J671)/J671)</f>
        <v>0</v>
      </c>
      <c r="L671" s="21" t="str">
        <f aca="false">IF(OR(D671="",G671="",J671=""),"No reported subtotal",IF(AND(ABS(N(E671))&lt;=$D$2,ABS(N(H671))&lt;=$D$2,ABS(N(K671))&lt;=$D$2),"Reconciles within tolerance","Outside tolerance"))</f>
        <v>Reconciles within tolerance</v>
      </c>
    </row>
    <row r="672" customFormat="false" ht="15" hidden="false" customHeight="false" outlineLevel="0" collapsed="false">
      <c r="A672" s="7" t="n">
        <v>2019</v>
      </c>
      <c r="B672" s="15" t="s">
        <v>153</v>
      </c>
      <c r="C672" s="19" t="n">
        <v>18.329595</v>
      </c>
      <c r="D672" s="19" t="n">
        <v>18.329595</v>
      </c>
      <c r="E672" s="20" t="n">
        <f aca="false">IF(OR(D672="",D672=0),"",(C672-D672)/D672)</f>
        <v>0</v>
      </c>
      <c r="F672" s="19" t="n">
        <v>25.167979</v>
      </c>
      <c r="G672" s="19" t="n">
        <v>25.167979</v>
      </c>
      <c r="H672" s="20" t="n">
        <f aca="false">IF(OR(G672="",G672=0),"",(F672-G672)/G672)</f>
        <v>0</v>
      </c>
      <c r="I672" s="19" t="n">
        <v>27.826373</v>
      </c>
      <c r="J672" s="19" t="n">
        <v>27.826373</v>
      </c>
      <c r="K672" s="20" t="n">
        <f aca="false">IF(OR(J672="",J672=0),"",(I672-J672)/J672)</f>
        <v>0</v>
      </c>
      <c r="L672" s="21" t="str">
        <f aca="false">IF(OR(D672="",G672="",J672=""),"No reported subtotal",IF(AND(ABS(N(E672))&lt;=$D$2,ABS(N(H672))&lt;=$D$2,ABS(N(K672))&lt;=$D$2),"Reconciles within tolerance","Outside tolerance"))</f>
        <v>Reconciles within tolerance</v>
      </c>
    </row>
    <row r="673" customFormat="false" ht="15" hidden="false" customHeight="false" outlineLevel="0" collapsed="false">
      <c r="A673" s="7" t="n">
        <v>2020</v>
      </c>
      <c r="B673" s="15" t="s">
        <v>153</v>
      </c>
      <c r="C673" s="19" t="n">
        <v>17.070455</v>
      </c>
      <c r="D673" s="19" t="n">
        <v>17.070455</v>
      </c>
      <c r="E673" s="20" t="n">
        <f aca="false">IF(OR(D673="",D673=0),"",(C673-D673)/D673)</f>
        <v>0</v>
      </c>
      <c r="F673" s="19" t="n">
        <v>27.540322</v>
      </c>
      <c r="G673" s="19" t="n">
        <v>27.540322</v>
      </c>
      <c r="H673" s="20" t="n">
        <f aca="false">IF(OR(G673="",G673=0),"",(F673-G673)/G673)</f>
        <v>0</v>
      </c>
      <c r="I673" s="19" t="n">
        <v>22.177273</v>
      </c>
      <c r="J673" s="19" t="n">
        <v>22.177273</v>
      </c>
      <c r="K673" s="20" t="n">
        <f aca="false">IF(OR(J673="",J673=0),"",(I673-J673)/J673)</f>
        <v>0</v>
      </c>
      <c r="L673" s="21" t="str">
        <f aca="false">IF(OR(D673="",G673="",J673=""),"No reported subtotal",IF(AND(ABS(N(E673))&lt;=$D$2,ABS(N(H673))&lt;=$D$2,ABS(N(K673))&lt;=$D$2),"Reconciles within tolerance","Outside tolerance"))</f>
        <v>Reconciles within tolerance</v>
      </c>
    </row>
    <row r="674" customFormat="false" ht="15" hidden="false" customHeight="false" outlineLevel="0" collapsed="false">
      <c r="A674" s="7" t="n">
        <v>2021</v>
      </c>
      <c r="B674" s="15" t="s">
        <v>153</v>
      </c>
      <c r="C674" s="19" t="n">
        <v>17.123074</v>
      </c>
      <c r="D674" s="19" t="n">
        <v>17.123074</v>
      </c>
      <c r="E674" s="20" t="n">
        <f aca="false">IF(OR(D674="",D674=0),"",(C674-D674)/D674)</f>
        <v>0</v>
      </c>
      <c r="F674" s="19" t="n">
        <v>25.071903</v>
      </c>
      <c r="G674" s="19" t="n">
        <v>25.071903</v>
      </c>
      <c r="H674" s="20" t="n">
        <f aca="false">IF(OR(G674="",G674=0),"",(F674-G674)/G674)</f>
        <v>0</v>
      </c>
      <c r="I674" s="19" t="n">
        <v>32.797403</v>
      </c>
      <c r="J674" s="19" t="n">
        <v>32.797403</v>
      </c>
      <c r="K674" s="20" t="n">
        <f aca="false">IF(OR(J674="",J674=0),"",(I674-J674)/J674)</f>
        <v>0</v>
      </c>
      <c r="L674" s="21" t="str">
        <f aca="false">IF(OR(D674="",G674="",J674=""),"No reported subtotal",IF(AND(ABS(N(E674))&lt;=$D$2,ABS(N(H674))&lt;=$D$2,ABS(N(K674))&lt;=$D$2),"Reconciles within tolerance","Outside tolerance"))</f>
        <v>Reconciles within tolerance</v>
      </c>
    </row>
    <row r="675" customFormat="false" ht="15" hidden="false" customHeight="false" outlineLevel="0" collapsed="false">
      <c r="A675" s="7" t="n">
        <v>2022</v>
      </c>
      <c r="B675" s="15" t="s">
        <v>153</v>
      </c>
      <c r="C675" s="19" t="n">
        <v>17.303697</v>
      </c>
      <c r="D675" s="19" t="n">
        <v>17.303697</v>
      </c>
      <c r="E675" s="20" t="n">
        <f aca="false">IF(OR(D675="",D675=0),"",(C675-D675)/D675)</f>
        <v>0</v>
      </c>
      <c r="F675" s="19" t="n">
        <v>24.892147</v>
      </c>
      <c r="G675" s="19" t="n">
        <v>24.892147</v>
      </c>
      <c r="H675" s="20" t="n">
        <f aca="false">IF(OR(G675="",G675=0),"",(F675-G675)/G675)</f>
        <v>0</v>
      </c>
      <c r="I675" s="19" t="n">
        <v>43.770622</v>
      </c>
      <c r="J675" s="19" t="n">
        <v>43.770622</v>
      </c>
      <c r="K675" s="20" t="n">
        <f aca="false">IF(OR(J675="",J675=0),"",(I675-J675)/J675)</f>
        <v>0</v>
      </c>
      <c r="L675" s="21" t="str">
        <f aca="false">IF(OR(D675="",G675="",J675=""),"No reported subtotal",IF(AND(ABS(N(E675))&lt;=$D$2,ABS(N(H675))&lt;=$D$2,ABS(N(K675))&lt;=$D$2),"Reconciles within tolerance","Outside tolerance"))</f>
        <v>Reconciles within tolerance</v>
      </c>
    </row>
    <row r="676" customFormat="false" ht="15" hidden="false" customHeight="false" outlineLevel="0" collapsed="false">
      <c r="A676" s="7" t="n">
        <v>2023</v>
      </c>
      <c r="B676" s="15" t="s">
        <v>153</v>
      </c>
      <c r="C676" s="19" t="n">
        <v>20.136041</v>
      </c>
      <c r="D676" s="19" t="n">
        <v>20.136041</v>
      </c>
      <c r="E676" s="20" t="n">
        <f aca="false">IF(OR(D676="",D676=0),"",(C676-D676)/D676)</f>
        <v>0</v>
      </c>
      <c r="F676" s="19" t="n">
        <v>25.639818</v>
      </c>
      <c r="G676" s="19" t="n">
        <v>25.639818</v>
      </c>
      <c r="H676" s="20" t="n">
        <f aca="false">IF(OR(G676="",G676=0),"",(F676-G676)/G676)</f>
        <v>0</v>
      </c>
      <c r="I676" s="19" t="n">
        <v>45.997795</v>
      </c>
      <c r="J676" s="19" t="n">
        <v>45.997795</v>
      </c>
      <c r="K676" s="20" t="n">
        <f aca="false">IF(OR(J676="",J676=0),"",(I676-J676)/J676)</f>
        <v>0</v>
      </c>
      <c r="L676" s="21" t="str">
        <f aca="false">IF(OR(D676="",G676="",J676=""),"No reported subtotal",IF(AND(ABS(N(E676))&lt;=$D$2,ABS(N(H676))&lt;=$D$2,ABS(N(K676))&lt;=$D$2),"Reconciles within tolerance","Outside tolerance"))</f>
        <v>Reconciles within tolerance</v>
      </c>
    </row>
    <row r="677" customFormat="false" ht="15" hidden="false" customHeight="false" outlineLevel="0" collapsed="false">
      <c r="A677" s="7" t="n">
        <v>2024</v>
      </c>
      <c r="B677" s="15" t="s">
        <v>153</v>
      </c>
      <c r="C677" s="19" t="n">
        <v>19.319587</v>
      </c>
      <c r="D677" s="19" t="n">
        <v>19.319587</v>
      </c>
      <c r="E677" s="20" t="n">
        <f aca="false">IF(OR(D677="",D677=0),"",(C677-D677)/D677)</f>
        <v>0</v>
      </c>
      <c r="F677" s="19" t="n">
        <v>23.497363</v>
      </c>
      <c r="G677" s="19" t="n">
        <v>23.497363</v>
      </c>
      <c r="H677" s="20" t="n">
        <f aca="false">IF(OR(G677="",G677=0),"",(F677-G677)/G677)</f>
        <v>0</v>
      </c>
      <c r="I677" s="19" t="n">
        <v>76.241296</v>
      </c>
      <c r="J677" s="19" t="n">
        <v>76.241296</v>
      </c>
      <c r="K677" s="20" t="n">
        <f aca="false">IF(OR(J677="",J677=0),"",(I677-J677)/J677)</f>
        <v>0</v>
      </c>
      <c r="L677" s="21" t="str">
        <f aca="false">IF(OR(D677="",G677="",J677=""),"No reported subtotal",IF(AND(ABS(N(E677))&lt;=$D$2,ABS(N(H677))&lt;=$D$2,ABS(N(K677))&lt;=$D$2),"Reconciles within tolerance","Outside tolerance"))</f>
        <v>Reconciles within tolerance</v>
      </c>
    </row>
    <row r="678" customFormat="false" ht="15" hidden="false" customHeight="false" outlineLevel="0" collapsed="false">
      <c r="A678" s="7" t="n">
        <v>2025</v>
      </c>
      <c r="B678" s="15" t="s">
        <v>153</v>
      </c>
      <c r="C678" s="19" t="n">
        <v>18.997339</v>
      </c>
      <c r="D678" s="19" t="n">
        <v>18.997339</v>
      </c>
      <c r="E678" s="20" t="n">
        <f aca="false">IF(OR(D678="",D678=0),"",(C678-D678)/D678)</f>
        <v>0</v>
      </c>
      <c r="F678" s="19" t="n">
        <v>20.345731</v>
      </c>
      <c r="G678" s="19" t="n">
        <v>20.345731</v>
      </c>
      <c r="H678" s="20" t="n">
        <f aca="false">IF(OR(G678="",G678=0),"",(F678-G678)/G678)</f>
        <v>0</v>
      </c>
      <c r="I678" s="19" t="n">
        <v>84.968449</v>
      </c>
      <c r="J678" s="19" t="n">
        <v>84.968449</v>
      </c>
      <c r="K678" s="20" t="n">
        <f aca="false">IF(OR(J678="",J678=0),"",(I678-J678)/J678)</f>
        <v>0</v>
      </c>
      <c r="L678" s="21" t="str">
        <f aca="false">IF(OR(D678="",G678="",J678=""),"No reported subtotal",IF(AND(ABS(N(E678))&lt;=$D$2,ABS(N(H678))&lt;=$D$2,ABS(N(K678))&lt;=$D$2),"Reconciles within tolerance","Outside tolerance"))</f>
        <v>Reconciles within tolerance</v>
      </c>
    </row>
    <row r="679" customFormat="false" ht="15" hidden="false" customHeight="false" outlineLevel="0" collapsed="false">
      <c r="A679" s="7" t="n">
        <v>2000</v>
      </c>
      <c r="B679" s="15" t="s">
        <v>129</v>
      </c>
      <c r="C679" s="19" t="n">
        <v>114.074952</v>
      </c>
      <c r="D679" s="19" t="n">
        <v>114.074952</v>
      </c>
      <c r="E679" s="20" t="n">
        <f aca="false">IF(OR(D679="",D679=0),"",(C679-D679)/D679)</f>
        <v>0</v>
      </c>
      <c r="F679" s="19" t="n">
        <v>166.304142</v>
      </c>
      <c r="G679" s="19" t="n">
        <v>166.304142</v>
      </c>
      <c r="H679" s="20" t="n">
        <f aca="false">IF(OR(G679="",G679=0),"",(F679-G679)/G679)</f>
        <v>0</v>
      </c>
      <c r="I679" s="19" t="n">
        <v>41.831145</v>
      </c>
      <c r="J679" s="19" t="n">
        <v>41.831145</v>
      </c>
      <c r="K679" s="20" t="n">
        <f aca="false">IF(OR(J679="",J679=0),"",(I679-J679)/J679)</f>
        <v>0</v>
      </c>
      <c r="L679" s="21" t="str">
        <f aca="false">IF(OR(D679="",G679="",J679=""),"No reported subtotal",IF(AND(ABS(N(E679))&lt;=$D$2,ABS(N(H679))&lt;=$D$2,ABS(N(K679))&lt;=$D$2),"Reconciles within tolerance","Outside tolerance"))</f>
        <v>Reconciles within tolerance</v>
      </c>
    </row>
    <row r="680" customFormat="false" ht="15" hidden="false" customHeight="false" outlineLevel="0" collapsed="false">
      <c r="A680" s="7" t="n">
        <v>2001</v>
      </c>
      <c r="B680" s="15" t="s">
        <v>129</v>
      </c>
      <c r="C680" s="19" t="n">
        <v>157.771303</v>
      </c>
      <c r="D680" s="19" t="n">
        <v>157.771303</v>
      </c>
      <c r="E680" s="20" t="n">
        <f aca="false">IF(OR(D680="",D680=0),"",(C680-D680)/D680)</f>
        <v>0</v>
      </c>
      <c r="F680" s="19" t="n">
        <v>146.377116</v>
      </c>
      <c r="G680" s="19" t="n">
        <v>146.377116</v>
      </c>
      <c r="H680" s="20" t="n">
        <f aca="false">IF(OR(G680="",G680=0),"",(F680-G680)/G680)</f>
        <v>0</v>
      </c>
      <c r="I680" s="19" t="n">
        <v>213.430544</v>
      </c>
      <c r="J680" s="19" t="n">
        <v>213.430544</v>
      </c>
      <c r="K680" s="20" t="n">
        <f aca="false">IF(OR(J680="",J680=0),"",(I680-J680)/J680)</f>
        <v>0</v>
      </c>
      <c r="L680" s="21" t="str">
        <f aca="false">IF(OR(D680="",G680="",J680=""),"No reported subtotal",IF(AND(ABS(N(E680))&lt;=$D$2,ABS(N(H680))&lt;=$D$2,ABS(N(K680))&lt;=$D$2),"Reconciles within tolerance","Outside tolerance"))</f>
        <v>Reconciles within tolerance</v>
      </c>
    </row>
    <row r="681" customFormat="false" ht="15" hidden="false" customHeight="false" outlineLevel="0" collapsed="false">
      <c r="A681" s="7" t="n">
        <v>2002</v>
      </c>
      <c r="B681" s="15" t="s">
        <v>129</v>
      </c>
      <c r="C681" s="19" t="n">
        <v>150.717201</v>
      </c>
      <c r="D681" s="19" t="n">
        <v>150.717201</v>
      </c>
      <c r="E681" s="20" t="n">
        <f aca="false">IF(OR(D681="",D681=0),"",(C681-D681)/D681)</f>
        <v>0</v>
      </c>
      <c r="F681" s="19" t="n">
        <v>128.713868</v>
      </c>
      <c r="G681" s="19" t="n">
        <v>128.713868</v>
      </c>
      <c r="H681" s="20" t="n">
        <f aca="false">IF(OR(G681="",G681=0),"",(F681-G681)/G681)</f>
        <v>0</v>
      </c>
      <c r="I681" s="19" t="n">
        <v>134.313035</v>
      </c>
      <c r="J681" s="19" t="n">
        <v>134.313035</v>
      </c>
      <c r="K681" s="20" t="n">
        <f aca="false">IF(OR(J681="",J681=0),"",(I681-J681)/J681)</f>
        <v>0</v>
      </c>
      <c r="L681" s="21" t="str">
        <f aca="false">IF(OR(D681="",G681="",J681=""),"No reported subtotal",IF(AND(ABS(N(E681))&lt;=$D$2,ABS(N(H681))&lt;=$D$2,ABS(N(K681))&lt;=$D$2),"Reconciles within tolerance","Outside tolerance"))</f>
        <v>Reconciles within tolerance</v>
      </c>
    </row>
    <row r="682" customFormat="false" ht="15" hidden="false" customHeight="false" outlineLevel="0" collapsed="false">
      <c r="A682" s="7" t="n">
        <v>2003</v>
      </c>
      <c r="B682" s="15" t="s">
        <v>129</v>
      </c>
      <c r="C682" s="19" t="n">
        <v>158.397047</v>
      </c>
      <c r="D682" s="19" t="n">
        <v>158.397047</v>
      </c>
      <c r="E682" s="20" t="n">
        <f aca="false">IF(OR(D682="",D682=0),"",(C682-D682)/D682)</f>
        <v>0</v>
      </c>
      <c r="F682" s="19" t="n">
        <v>125.468934</v>
      </c>
      <c r="G682" s="19" t="n">
        <v>125.468934</v>
      </c>
      <c r="H682" s="20" t="n">
        <f aca="false">IF(OR(G682="",G682=0),"",(F682-G682)/G682)</f>
        <v>0</v>
      </c>
      <c r="I682" s="19" t="n">
        <v>133.697076</v>
      </c>
      <c r="J682" s="19" t="n">
        <v>133.697076</v>
      </c>
      <c r="K682" s="20" t="n">
        <f aca="false">IF(OR(J682="",J682=0),"",(I682-J682)/J682)</f>
        <v>0</v>
      </c>
      <c r="L682" s="21" t="str">
        <f aca="false">IF(OR(D682="",G682="",J682=""),"No reported subtotal",IF(AND(ABS(N(E682))&lt;=$D$2,ABS(N(H682))&lt;=$D$2,ABS(N(K682))&lt;=$D$2),"Reconciles within tolerance","Outside tolerance"))</f>
        <v>Reconciles within tolerance</v>
      </c>
    </row>
    <row r="683" customFormat="false" ht="15" hidden="false" customHeight="false" outlineLevel="0" collapsed="false">
      <c r="A683" s="7" t="n">
        <v>2004</v>
      </c>
      <c r="B683" s="15" t="s">
        <v>129</v>
      </c>
      <c r="C683" s="19" t="n">
        <v>131.505399</v>
      </c>
      <c r="D683" s="19" t="n">
        <v>131.505399</v>
      </c>
      <c r="E683" s="20" t="n">
        <f aca="false">IF(OR(D683="",D683=0),"",(C683-D683)/D683)</f>
        <v>0</v>
      </c>
      <c r="F683" s="19" t="n">
        <v>119.71254</v>
      </c>
      <c r="G683" s="19" t="n">
        <v>119.71254</v>
      </c>
      <c r="H683" s="20" t="n">
        <f aca="false">IF(OR(G683="",G683=0),"",(F683-G683)/G683)</f>
        <v>0</v>
      </c>
      <c r="I683" s="19" t="n">
        <v>135.798208</v>
      </c>
      <c r="J683" s="19" t="n">
        <v>135.798208</v>
      </c>
      <c r="K683" s="20" t="n">
        <f aca="false">IF(OR(J683="",J683=0),"",(I683-J683)/J683)</f>
        <v>0</v>
      </c>
      <c r="L683" s="21" t="str">
        <f aca="false">IF(OR(D683="",G683="",J683=""),"No reported subtotal",IF(AND(ABS(N(E683))&lt;=$D$2,ABS(N(H683))&lt;=$D$2,ABS(N(K683))&lt;=$D$2),"Reconciles within tolerance","Outside tolerance"))</f>
        <v>Reconciles within tolerance</v>
      </c>
    </row>
    <row r="684" customFormat="false" ht="15" hidden="false" customHeight="false" outlineLevel="0" collapsed="false">
      <c r="A684" s="7" t="n">
        <v>2005</v>
      </c>
      <c r="B684" s="15" t="s">
        <v>129</v>
      </c>
      <c r="C684" s="19" t="n">
        <v>129.796103</v>
      </c>
      <c r="D684" s="19" t="n">
        <v>129.796103</v>
      </c>
      <c r="E684" s="20" t="n">
        <f aca="false">IF(OR(D684="",D684=0),"",(C684-D684)/D684)</f>
        <v>0</v>
      </c>
      <c r="F684" s="19" t="n">
        <v>122.89005</v>
      </c>
      <c r="G684" s="19" t="n">
        <v>122.89005</v>
      </c>
      <c r="H684" s="20" t="n">
        <f aca="false">IF(OR(G684="",G684=0),"",(F684-G684)/G684)</f>
        <v>0</v>
      </c>
      <c r="I684" s="19" t="n">
        <v>147.158056</v>
      </c>
      <c r="J684" s="19" t="n">
        <v>147.158056</v>
      </c>
      <c r="K684" s="20" t="n">
        <f aca="false">IF(OR(J684="",J684=0),"",(I684-J684)/J684)</f>
        <v>0</v>
      </c>
      <c r="L684" s="21" t="str">
        <f aca="false">IF(OR(D684="",G684="",J684=""),"No reported subtotal",IF(AND(ABS(N(E684))&lt;=$D$2,ABS(N(H684))&lt;=$D$2,ABS(N(K684))&lt;=$D$2),"Reconciles within tolerance","Outside tolerance"))</f>
        <v>Reconciles within tolerance</v>
      </c>
    </row>
    <row r="685" customFormat="false" ht="15" hidden="false" customHeight="false" outlineLevel="0" collapsed="false">
      <c r="A685" s="7" t="n">
        <v>2006</v>
      </c>
      <c r="B685" s="15" t="s">
        <v>129</v>
      </c>
      <c r="C685" s="19" t="n">
        <v>186.339705</v>
      </c>
      <c r="D685" s="19" t="n">
        <v>186.339705</v>
      </c>
      <c r="E685" s="20" t="n">
        <f aca="false">IF(OR(D685="",D685=0),"",(C685-D685)/D685)</f>
        <v>0</v>
      </c>
      <c r="F685" s="19" t="n">
        <v>141.586124</v>
      </c>
      <c r="G685" s="19" t="n">
        <v>141.586124</v>
      </c>
      <c r="H685" s="20" t="n">
        <f aca="false">IF(OR(G685="",G685=0),"",(F685-G685)/G685)</f>
        <v>0</v>
      </c>
      <c r="I685" s="19" t="n">
        <v>191.168007</v>
      </c>
      <c r="J685" s="19" t="n">
        <v>191.168007</v>
      </c>
      <c r="K685" s="20" t="n">
        <f aca="false">IF(OR(J685="",J685=0),"",(I685-J685)/J685)</f>
        <v>0</v>
      </c>
      <c r="L685" s="21" t="str">
        <f aca="false">IF(OR(D685="",G685="",J685=""),"No reported subtotal",IF(AND(ABS(N(E685))&lt;=$D$2,ABS(N(H685))&lt;=$D$2,ABS(N(K685))&lt;=$D$2),"Reconciles within tolerance","Outside tolerance"))</f>
        <v>Reconciles within tolerance</v>
      </c>
    </row>
    <row r="686" customFormat="false" ht="15" hidden="false" customHeight="false" outlineLevel="0" collapsed="false">
      <c r="A686" s="7" t="n">
        <v>2007</v>
      </c>
      <c r="B686" s="15" t="s">
        <v>129</v>
      </c>
      <c r="C686" s="19" t="n">
        <v>158.529536</v>
      </c>
      <c r="D686" s="19" t="n">
        <v>158.529536</v>
      </c>
      <c r="E686" s="20" t="n">
        <f aca="false">IF(OR(D686="",D686=0),"",(C686-D686)/D686)</f>
        <v>0</v>
      </c>
      <c r="F686" s="19" t="n">
        <v>164.273815</v>
      </c>
      <c r="G686" s="19" t="n">
        <v>164.273815</v>
      </c>
      <c r="H686" s="20" t="n">
        <f aca="false">IF(OR(G686="",G686=0),"",(F686-G686)/G686)</f>
        <v>0</v>
      </c>
      <c r="I686" s="19" t="n">
        <v>211.056888</v>
      </c>
      <c r="J686" s="19" t="n">
        <v>211.056888</v>
      </c>
      <c r="K686" s="20" t="n">
        <f aca="false">IF(OR(J686="",J686=0),"",(I686-J686)/J686)</f>
        <v>0</v>
      </c>
      <c r="L686" s="21" t="str">
        <f aca="false">IF(OR(D686="",G686="",J686=""),"No reported subtotal",IF(AND(ABS(N(E686))&lt;=$D$2,ABS(N(H686))&lt;=$D$2,ABS(N(K686))&lt;=$D$2),"Reconciles within tolerance","Outside tolerance"))</f>
        <v>Reconciles within tolerance</v>
      </c>
    </row>
    <row r="687" customFormat="false" ht="15" hidden="false" customHeight="false" outlineLevel="0" collapsed="false">
      <c r="A687" s="7" t="n">
        <v>2008</v>
      </c>
      <c r="B687" s="15" t="s">
        <v>129</v>
      </c>
      <c r="C687" s="19" t="n">
        <v>168.495904</v>
      </c>
      <c r="D687" s="19" t="n">
        <v>168.495904</v>
      </c>
      <c r="E687" s="20" t="n">
        <f aca="false">IF(OR(D687="",D687=0),"",(C687-D687)/D687)</f>
        <v>0</v>
      </c>
      <c r="F687" s="19" t="n">
        <v>248.961437</v>
      </c>
      <c r="G687" s="19" t="n">
        <v>248.961437</v>
      </c>
      <c r="H687" s="20" t="n">
        <f aca="false">IF(OR(G687="",G687=0),"",(F687-G687)/G687)</f>
        <v>0</v>
      </c>
      <c r="I687" s="19" t="n">
        <v>221.69787</v>
      </c>
      <c r="J687" s="19" t="n">
        <v>221.69787</v>
      </c>
      <c r="K687" s="20" t="n">
        <f aca="false">IF(OR(J687="",J687=0),"",(I687-J687)/J687)</f>
        <v>0</v>
      </c>
      <c r="L687" s="21" t="str">
        <f aca="false">IF(OR(D687="",G687="",J687=""),"No reported subtotal",IF(AND(ABS(N(E687))&lt;=$D$2,ABS(N(H687))&lt;=$D$2,ABS(N(K687))&lt;=$D$2),"Reconciles within tolerance","Outside tolerance"))</f>
        <v>Reconciles within tolerance</v>
      </c>
    </row>
    <row r="688" customFormat="false" ht="15" hidden="false" customHeight="false" outlineLevel="0" collapsed="false">
      <c r="A688" s="7" t="n">
        <v>2009</v>
      </c>
      <c r="B688" s="15" t="s">
        <v>129</v>
      </c>
      <c r="C688" s="19" t="n">
        <v>171.033598</v>
      </c>
      <c r="D688" s="19" t="n">
        <v>171.033598</v>
      </c>
      <c r="E688" s="20" t="n">
        <f aca="false">IF(OR(D688="",D688=0),"",(C688-D688)/D688)</f>
        <v>0</v>
      </c>
      <c r="F688" s="19" t="n">
        <v>167.689102</v>
      </c>
      <c r="G688" s="19" t="n">
        <v>167.689102</v>
      </c>
      <c r="H688" s="20" t="n">
        <f aca="false">IF(OR(G688="",G688=0),"",(F688-G688)/G688)</f>
        <v>0</v>
      </c>
      <c r="I688" s="19" t="n">
        <v>190.057833</v>
      </c>
      <c r="J688" s="19" t="n">
        <v>190.057833</v>
      </c>
      <c r="K688" s="20" t="n">
        <f aca="false">IF(OR(J688="",J688=0),"",(I688-J688)/J688)</f>
        <v>0</v>
      </c>
      <c r="L688" s="21" t="str">
        <f aca="false">IF(OR(D688="",G688="",J688=""),"No reported subtotal",IF(AND(ABS(N(E688))&lt;=$D$2,ABS(N(H688))&lt;=$D$2,ABS(N(K688))&lt;=$D$2),"Reconciles within tolerance","Outside tolerance"))</f>
        <v>Reconciles within tolerance</v>
      </c>
    </row>
    <row r="689" customFormat="false" ht="15" hidden="false" customHeight="false" outlineLevel="0" collapsed="false">
      <c r="A689" s="7" t="n">
        <v>2010</v>
      </c>
      <c r="B689" s="15" t="s">
        <v>129</v>
      </c>
      <c r="C689" s="19" t="n">
        <v>204.150806</v>
      </c>
      <c r="D689" s="19" t="n">
        <v>204.150806</v>
      </c>
      <c r="E689" s="20" t="n">
        <f aca="false">IF(OR(D689="",D689=0),"",(C689-D689)/D689)</f>
        <v>0</v>
      </c>
      <c r="F689" s="19" t="n">
        <v>219.810024</v>
      </c>
      <c r="G689" s="19" t="n">
        <v>219.810024</v>
      </c>
      <c r="H689" s="20" t="n">
        <f aca="false">IF(OR(G689="",G689=0),"",(F689-G689)/G689)</f>
        <v>0</v>
      </c>
      <c r="I689" s="19" t="n">
        <v>186.647512</v>
      </c>
      <c r="J689" s="19" t="n">
        <v>186.647512</v>
      </c>
      <c r="K689" s="20" t="n">
        <f aca="false">IF(OR(J689="",J689=0),"",(I689-J689)/J689)</f>
        <v>0</v>
      </c>
      <c r="L689" s="21" t="str">
        <f aca="false">IF(OR(D689="",G689="",J689=""),"No reported subtotal",IF(AND(ABS(N(E689))&lt;=$D$2,ABS(N(H689))&lt;=$D$2,ABS(N(K689))&lt;=$D$2),"Reconciles within tolerance","Outside tolerance"))</f>
        <v>Reconciles within tolerance</v>
      </c>
    </row>
    <row r="690" customFormat="false" ht="15" hidden="false" customHeight="false" outlineLevel="0" collapsed="false">
      <c r="A690" s="7" t="n">
        <v>2011</v>
      </c>
      <c r="B690" s="15" t="s">
        <v>129</v>
      </c>
      <c r="C690" s="19" t="n">
        <v>222.327446</v>
      </c>
      <c r="D690" s="19" t="n">
        <v>222.327446</v>
      </c>
      <c r="E690" s="20" t="n">
        <f aca="false">IF(OR(D690="",D690=0),"",(C690-D690)/D690)</f>
        <v>0</v>
      </c>
      <c r="F690" s="19" t="n">
        <v>230.350431</v>
      </c>
      <c r="G690" s="19" t="n">
        <v>230.350431</v>
      </c>
      <c r="H690" s="20" t="n">
        <f aca="false">IF(OR(G690="",G690=0),"",(F690-G690)/G690)</f>
        <v>0</v>
      </c>
      <c r="I690" s="19" t="n">
        <v>255.265877</v>
      </c>
      <c r="J690" s="19" t="n">
        <v>255.265877</v>
      </c>
      <c r="K690" s="20" t="n">
        <f aca="false">IF(OR(J690="",J690=0),"",(I690-J690)/J690)</f>
        <v>0</v>
      </c>
      <c r="L690" s="21" t="str">
        <f aca="false">IF(OR(D690="",G690="",J690=""),"No reported subtotal",IF(AND(ABS(N(E690))&lt;=$D$2,ABS(N(H690))&lt;=$D$2,ABS(N(K690))&lt;=$D$2),"Reconciles within tolerance","Outside tolerance"))</f>
        <v>Reconciles within tolerance</v>
      </c>
    </row>
    <row r="691" customFormat="false" ht="15" hidden="false" customHeight="false" outlineLevel="0" collapsed="false">
      <c r="A691" s="7" t="n">
        <v>2012</v>
      </c>
      <c r="B691" s="15" t="s">
        <v>129</v>
      </c>
      <c r="C691" s="19" t="n">
        <v>233.081966</v>
      </c>
      <c r="D691" s="19" t="n">
        <v>233.081966</v>
      </c>
      <c r="E691" s="20" t="n">
        <f aca="false">IF(OR(D691="",D691=0),"",(C691-D691)/D691)</f>
        <v>0</v>
      </c>
      <c r="F691" s="19" t="n">
        <v>229.963684</v>
      </c>
      <c r="G691" s="19" t="n">
        <v>229.963684</v>
      </c>
      <c r="H691" s="20" t="n">
        <f aca="false">IF(OR(G691="",G691=0),"",(F691-G691)/G691)</f>
        <v>0</v>
      </c>
      <c r="I691" s="19" t="n">
        <v>223.782857</v>
      </c>
      <c r="J691" s="19" t="n">
        <v>223.782857</v>
      </c>
      <c r="K691" s="20" t="n">
        <f aca="false">IF(OR(J691="",J691=0),"",(I691-J691)/J691)</f>
        <v>0</v>
      </c>
      <c r="L691" s="21" t="str">
        <f aca="false">IF(OR(D691="",G691="",J691=""),"No reported subtotal",IF(AND(ABS(N(E691))&lt;=$D$2,ABS(N(H691))&lt;=$D$2,ABS(N(K691))&lt;=$D$2),"Reconciles within tolerance","Outside tolerance"))</f>
        <v>Reconciles within tolerance</v>
      </c>
    </row>
    <row r="692" customFormat="false" ht="15" hidden="false" customHeight="false" outlineLevel="0" collapsed="false">
      <c r="A692" s="7" t="n">
        <v>2013</v>
      </c>
      <c r="B692" s="15" t="s">
        <v>129</v>
      </c>
      <c r="C692" s="19" t="n">
        <v>200.354146</v>
      </c>
      <c r="D692" s="19" t="n">
        <v>200.354146</v>
      </c>
      <c r="E692" s="20" t="n">
        <f aca="false">IF(OR(D692="",D692=0),"",(C692-D692)/D692)</f>
        <v>0</v>
      </c>
      <c r="F692" s="19" t="n">
        <v>214.637444</v>
      </c>
      <c r="G692" s="19" t="n">
        <v>214.637444</v>
      </c>
      <c r="H692" s="20" t="n">
        <f aca="false">IF(OR(G692="",G692=0),"",(F692-G692)/G692)</f>
        <v>0</v>
      </c>
      <c r="I692" s="19" t="n">
        <v>306.219588</v>
      </c>
      <c r="J692" s="19" t="n">
        <v>306.219588</v>
      </c>
      <c r="K692" s="20" t="n">
        <f aca="false">IF(OR(J692="",J692=0),"",(I692-J692)/J692)</f>
        <v>0</v>
      </c>
      <c r="L692" s="21" t="str">
        <f aca="false">IF(OR(D692="",G692="",J692=""),"No reported subtotal",IF(AND(ABS(N(E692))&lt;=$D$2,ABS(N(H692))&lt;=$D$2,ABS(N(K692))&lt;=$D$2),"Reconciles within tolerance","Outside tolerance"))</f>
        <v>Reconciles within tolerance</v>
      </c>
    </row>
    <row r="693" customFormat="false" ht="15" hidden="false" customHeight="false" outlineLevel="0" collapsed="false">
      <c r="A693" s="7" t="n">
        <v>2014</v>
      </c>
      <c r="B693" s="15" t="s">
        <v>129</v>
      </c>
      <c r="C693" s="19" t="n">
        <v>315.412482</v>
      </c>
      <c r="D693" s="19" t="n">
        <v>315.412482</v>
      </c>
      <c r="E693" s="20" t="n">
        <f aca="false">IF(OR(D693="",D693=0),"",(C693-D693)/D693)</f>
        <v>0</v>
      </c>
      <c r="F693" s="19" t="n">
        <v>213.239882</v>
      </c>
      <c r="G693" s="19" t="n">
        <v>213.239882</v>
      </c>
      <c r="H693" s="20" t="n">
        <f aca="false">IF(OR(G693="",G693=0),"",(F693-G693)/G693)</f>
        <v>0</v>
      </c>
      <c r="I693" s="19" t="n">
        <v>329.378974</v>
      </c>
      <c r="J693" s="19" t="n">
        <v>329.378974</v>
      </c>
      <c r="K693" s="20" t="n">
        <f aca="false">IF(OR(J693="",J693=0),"",(I693-J693)/J693)</f>
        <v>0</v>
      </c>
      <c r="L693" s="21" t="str">
        <f aca="false">IF(OR(D693="",G693="",J693=""),"No reported subtotal",IF(AND(ABS(N(E693))&lt;=$D$2,ABS(N(H693))&lt;=$D$2,ABS(N(K693))&lt;=$D$2),"Reconciles within tolerance","Outside tolerance"))</f>
        <v>Reconciles within tolerance</v>
      </c>
    </row>
    <row r="694" customFormat="false" ht="15" hidden="false" customHeight="false" outlineLevel="0" collapsed="false">
      <c r="A694" s="7" t="n">
        <v>2015</v>
      </c>
      <c r="B694" s="15" t="s">
        <v>129</v>
      </c>
      <c r="C694" s="19" t="n">
        <v>248.455524</v>
      </c>
      <c r="D694" s="19" t="n">
        <v>248.455524</v>
      </c>
      <c r="E694" s="20" t="n">
        <f aca="false">IF(OR(D694="",D694=0),"",(C694-D694)/D694)</f>
        <v>0</v>
      </c>
      <c r="F694" s="19" t="n">
        <v>191.171257</v>
      </c>
      <c r="G694" s="19" t="n">
        <v>191.171257</v>
      </c>
      <c r="H694" s="20" t="n">
        <f aca="false">IF(OR(G694="",G694=0),"",(F694-G694)/G694)</f>
        <v>0</v>
      </c>
      <c r="I694" s="19" t="n">
        <v>272.950714</v>
      </c>
      <c r="J694" s="19" t="n">
        <v>272.950714</v>
      </c>
      <c r="K694" s="20" t="n">
        <f aca="false">IF(OR(J694="",J694=0),"",(I694-J694)/J694)</f>
        <v>0</v>
      </c>
      <c r="L694" s="21" t="str">
        <f aca="false">IF(OR(D694="",G694="",J694=""),"No reported subtotal",IF(AND(ABS(N(E694))&lt;=$D$2,ABS(N(H694))&lt;=$D$2,ABS(N(K694))&lt;=$D$2),"Reconciles within tolerance","Outside tolerance"))</f>
        <v>Reconciles within tolerance</v>
      </c>
    </row>
    <row r="695" customFormat="false" ht="15" hidden="false" customHeight="false" outlineLevel="0" collapsed="false">
      <c r="A695" s="7" t="n">
        <v>2016</v>
      </c>
      <c r="B695" s="15" t="s">
        <v>129</v>
      </c>
      <c r="C695" s="19" t="n">
        <v>261.731016</v>
      </c>
      <c r="D695" s="19" t="n">
        <v>261.731016</v>
      </c>
      <c r="E695" s="20" t="n">
        <f aca="false">IF(OR(D695="",D695=0),"",(C695-D695)/D695)</f>
        <v>0</v>
      </c>
      <c r="F695" s="19" t="n">
        <v>181.480259</v>
      </c>
      <c r="G695" s="19" t="n">
        <v>181.480259</v>
      </c>
      <c r="H695" s="20" t="n">
        <f aca="false">IF(OR(G695="",G695=0),"",(F695-G695)/G695)</f>
        <v>0</v>
      </c>
      <c r="I695" s="19" t="n">
        <v>261.060508</v>
      </c>
      <c r="J695" s="19" t="n">
        <v>261.060508</v>
      </c>
      <c r="K695" s="20" t="n">
        <f aca="false">IF(OR(J695="",J695=0),"",(I695-J695)/J695)</f>
        <v>0</v>
      </c>
      <c r="L695" s="21" t="str">
        <f aca="false">IF(OR(D695="",G695="",J695=""),"No reported subtotal",IF(AND(ABS(N(E695))&lt;=$D$2,ABS(N(H695))&lt;=$D$2,ABS(N(K695))&lt;=$D$2),"Reconciles within tolerance","Outside tolerance"))</f>
        <v>Reconciles within tolerance</v>
      </c>
    </row>
    <row r="696" customFormat="false" ht="15" hidden="false" customHeight="false" outlineLevel="0" collapsed="false">
      <c r="A696" s="7" t="n">
        <v>2017</v>
      </c>
      <c r="B696" s="15" t="s">
        <v>129</v>
      </c>
      <c r="C696" s="19" t="n">
        <v>262.334828</v>
      </c>
      <c r="D696" s="19" t="n">
        <v>262.334828</v>
      </c>
      <c r="E696" s="20" t="n">
        <f aca="false">IF(OR(D696="",D696=0),"",(C696-D696)/D696)</f>
        <v>0</v>
      </c>
      <c r="F696" s="19" t="n">
        <v>166.316921</v>
      </c>
      <c r="G696" s="19" t="n">
        <v>166.316921</v>
      </c>
      <c r="H696" s="20" t="n">
        <f aca="false">IF(OR(G696="",G696=0),"",(F696-G696)/G696)</f>
        <v>0</v>
      </c>
      <c r="I696" s="19" t="n">
        <v>281.031703</v>
      </c>
      <c r="J696" s="19" t="n">
        <v>281.031703</v>
      </c>
      <c r="K696" s="20" t="n">
        <f aca="false">IF(OR(J696="",J696=0),"",(I696-J696)/J696)</f>
        <v>0</v>
      </c>
      <c r="L696" s="21" t="str">
        <f aca="false">IF(OR(D696="",G696="",J696=""),"No reported subtotal",IF(AND(ABS(N(E696))&lt;=$D$2,ABS(N(H696))&lt;=$D$2,ABS(N(K696))&lt;=$D$2),"Reconciles within tolerance","Outside tolerance"))</f>
        <v>Reconciles within tolerance</v>
      </c>
    </row>
    <row r="697" customFormat="false" ht="15" hidden="false" customHeight="false" outlineLevel="0" collapsed="false">
      <c r="A697" s="7" t="n">
        <v>2018</v>
      </c>
      <c r="B697" s="15" t="s">
        <v>129</v>
      </c>
      <c r="C697" s="19" t="n">
        <v>334.461898</v>
      </c>
      <c r="D697" s="19" t="n">
        <v>334.461898</v>
      </c>
      <c r="E697" s="20" t="n">
        <f aca="false">IF(OR(D697="",D697=0),"",(C697-D697)/D697)</f>
        <v>0</v>
      </c>
      <c r="F697" s="19" t="n">
        <v>180.027846</v>
      </c>
      <c r="G697" s="19" t="n">
        <v>180.027846</v>
      </c>
      <c r="H697" s="20" t="n">
        <f aca="false">IF(OR(G697="",G697=0),"",(F697-G697)/G697)</f>
        <v>0</v>
      </c>
      <c r="I697" s="19" t="n">
        <v>340.861545</v>
      </c>
      <c r="J697" s="19" t="n">
        <v>340.861545</v>
      </c>
      <c r="K697" s="20" t="n">
        <f aca="false">IF(OR(J697="",J697=0),"",(I697-J697)/J697)</f>
        <v>0</v>
      </c>
      <c r="L697" s="21" t="str">
        <f aca="false">IF(OR(D697="",G697="",J697=""),"No reported subtotal",IF(AND(ABS(N(E697))&lt;=$D$2,ABS(N(H697))&lt;=$D$2,ABS(N(K697))&lt;=$D$2),"Reconciles within tolerance","Outside tolerance"))</f>
        <v>Reconciles within tolerance</v>
      </c>
    </row>
    <row r="698" customFormat="false" ht="15" hidden="false" customHeight="false" outlineLevel="0" collapsed="false">
      <c r="A698" s="7" t="n">
        <v>2019</v>
      </c>
      <c r="B698" s="15" t="s">
        <v>129</v>
      </c>
      <c r="C698" s="19" t="n">
        <v>315.741932</v>
      </c>
      <c r="D698" s="19" t="n">
        <v>315.741932</v>
      </c>
      <c r="E698" s="20" t="n">
        <f aca="false">IF(OR(D698="",D698=0),"",(C698-D698)/D698)</f>
        <v>0</v>
      </c>
      <c r="F698" s="19" t="n">
        <v>189.091378</v>
      </c>
      <c r="G698" s="19" t="n">
        <v>189.091378</v>
      </c>
      <c r="H698" s="20" t="n">
        <f aca="false">IF(OR(G698="",G698=0),"",(F698-G698)/G698)</f>
        <v>0</v>
      </c>
      <c r="I698" s="19" t="n">
        <v>518.700227</v>
      </c>
      <c r="J698" s="19" t="n">
        <v>518.700227</v>
      </c>
      <c r="K698" s="20" t="n">
        <f aca="false">IF(OR(J698="",J698=0),"",(I698-J698)/J698)</f>
        <v>0</v>
      </c>
      <c r="L698" s="21" t="str">
        <f aca="false">IF(OR(D698="",G698="",J698=""),"No reported subtotal",IF(AND(ABS(N(E698))&lt;=$D$2,ABS(N(H698))&lt;=$D$2,ABS(N(K698))&lt;=$D$2),"Reconciles within tolerance","Outside tolerance"))</f>
        <v>Reconciles within tolerance</v>
      </c>
    </row>
    <row r="699" customFormat="false" ht="15" hidden="false" customHeight="false" outlineLevel="0" collapsed="false">
      <c r="A699" s="7" t="n">
        <v>2020</v>
      </c>
      <c r="B699" s="15" t="s">
        <v>129</v>
      </c>
      <c r="C699" s="19" t="n">
        <v>411.616941</v>
      </c>
      <c r="D699" s="19" t="n">
        <v>411.616941</v>
      </c>
      <c r="E699" s="20" t="n">
        <f aca="false">IF(OR(D699="",D699=0),"",(C699-D699)/D699)</f>
        <v>0</v>
      </c>
      <c r="F699" s="19" t="n">
        <v>182.7798</v>
      </c>
      <c r="G699" s="19" t="n">
        <v>182.7798</v>
      </c>
      <c r="H699" s="20" t="n">
        <f aca="false">IF(OR(G699="",G699=0),"",(F699-G699)/G699)</f>
        <v>0</v>
      </c>
      <c r="I699" s="19" t="n">
        <v>492.752793</v>
      </c>
      <c r="J699" s="19" t="n">
        <v>492.752793</v>
      </c>
      <c r="K699" s="20" t="n">
        <f aca="false">IF(OR(J699="",J699=0),"",(I699-J699)/J699)</f>
        <v>0</v>
      </c>
      <c r="L699" s="21" t="str">
        <f aca="false">IF(OR(D699="",G699="",J699=""),"No reported subtotal",IF(AND(ABS(N(E699))&lt;=$D$2,ABS(N(H699))&lt;=$D$2,ABS(N(K699))&lt;=$D$2),"Reconciles within tolerance","Outside tolerance"))</f>
        <v>Reconciles within tolerance</v>
      </c>
    </row>
    <row r="700" customFormat="false" ht="15" hidden="false" customHeight="false" outlineLevel="0" collapsed="false">
      <c r="A700" s="7" t="n">
        <v>2021</v>
      </c>
      <c r="B700" s="15" t="s">
        <v>129</v>
      </c>
      <c r="C700" s="19" t="n">
        <v>358.282399</v>
      </c>
      <c r="D700" s="19" t="n">
        <v>358.282399</v>
      </c>
      <c r="E700" s="20" t="n">
        <f aca="false">IF(OR(D700="",D700=0),"",(C700-D700)/D700)</f>
        <v>0</v>
      </c>
      <c r="F700" s="19" t="n">
        <v>190.245794</v>
      </c>
      <c r="G700" s="19" t="n">
        <v>190.245794</v>
      </c>
      <c r="H700" s="20" t="n">
        <f aca="false">IF(OR(G700="",G700=0),"",(F700-G700)/G700)</f>
        <v>0</v>
      </c>
      <c r="I700" s="19" t="n">
        <v>592.154304</v>
      </c>
      <c r="J700" s="19" t="n">
        <v>592.154304</v>
      </c>
      <c r="K700" s="20" t="n">
        <f aca="false">IF(OR(J700="",J700=0),"",(I700-J700)/J700)</f>
        <v>0</v>
      </c>
      <c r="L700" s="21" t="str">
        <f aca="false">IF(OR(D700="",G700="",J700=""),"No reported subtotal",IF(AND(ABS(N(E700))&lt;=$D$2,ABS(N(H700))&lt;=$D$2,ABS(N(K700))&lt;=$D$2),"Reconciles within tolerance","Outside tolerance"))</f>
        <v>Reconciles within tolerance</v>
      </c>
    </row>
    <row r="701" customFormat="false" ht="15" hidden="false" customHeight="false" outlineLevel="0" collapsed="false">
      <c r="A701" s="7" t="n">
        <v>2022</v>
      </c>
      <c r="B701" s="15" t="s">
        <v>129</v>
      </c>
      <c r="C701" s="19" t="n">
        <v>349.747819</v>
      </c>
      <c r="D701" s="19" t="n">
        <v>349.747819</v>
      </c>
      <c r="E701" s="20" t="n">
        <f aca="false">IF(OR(D701="",D701=0),"",(C701-D701)/D701)</f>
        <v>0</v>
      </c>
      <c r="F701" s="19" t="n">
        <v>210.526964</v>
      </c>
      <c r="G701" s="19" t="n">
        <v>210.526964</v>
      </c>
      <c r="H701" s="20" t="n">
        <f aca="false">IF(OR(G701="",G701=0),"",(F701-G701)/G701)</f>
        <v>0</v>
      </c>
      <c r="I701" s="19" t="n">
        <v>625.152923</v>
      </c>
      <c r="J701" s="19" t="n">
        <v>625.152923</v>
      </c>
      <c r="K701" s="20" t="n">
        <f aca="false">IF(OR(J701="",J701=0),"",(I701-J701)/J701)</f>
        <v>0</v>
      </c>
      <c r="L701" s="21" t="str">
        <f aca="false">IF(OR(D701="",G701="",J701=""),"No reported subtotal",IF(AND(ABS(N(E701))&lt;=$D$2,ABS(N(H701))&lt;=$D$2,ABS(N(K701))&lt;=$D$2),"Reconciles within tolerance","Outside tolerance"))</f>
        <v>Reconciles within tolerance</v>
      </c>
    </row>
    <row r="702" customFormat="false" ht="15" hidden="false" customHeight="false" outlineLevel="0" collapsed="false">
      <c r="A702" s="7" t="n">
        <v>2023</v>
      </c>
      <c r="B702" s="15" t="s">
        <v>129</v>
      </c>
      <c r="C702" s="19" t="n">
        <v>356.03365</v>
      </c>
      <c r="D702" s="19" t="n">
        <v>356.03365</v>
      </c>
      <c r="E702" s="20" t="n">
        <f aca="false">IF(OR(D702="",D702=0),"",(C702-D702)/D702)</f>
        <v>0</v>
      </c>
      <c r="F702" s="19" t="n">
        <v>234.779156</v>
      </c>
      <c r="G702" s="19" t="n">
        <v>234.779156</v>
      </c>
      <c r="H702" s="20" t="n">
        <f aca="false">IF(OR(G702="",G702=0),"",(F702-G702)/G702)</f>
        <v>0</v>
      </c>
      <c r="I702" s="19" t="n">
        <v>639.987041</v>
      </c>
      <c r="J702" s="19" t="n">
        <v>639.987041</v>
      </c>
      <c r="K702" s="20" t="n">
        <f aca="false">IF(OR(J702="",J702=0),"",(I702-J702)/J702)</f>
        <v>0</v>
      </c>
      <c r="L702" s="21" t="str">
        <f aca="false">IF(OR(D702="",G702="",J702=""),"No reported subtotal",IF(AND(ABS(N(E702))&lt;=$D$2,ABS(N(H702))&lt;=$D$2,ABS(N(K702))&lt;=$D$2),"Reconciles within tolerance","Outside tolerance"))</f>
        <v>Reconciles within tolerance</v>
      </c>
    </row>
    <row r="703" customFormat="false" ht="15" hidden="false" customHeight="false" outlineLevel="0" collapsed="false">
      <c r="A703" s="7" t="n">
        <v>2024</v>
      </c>
      <c r="B703" s="15" t="s">
        <v>129</v>
      </c>
      <c r="C703" s="19" t="n">
        <v>366.073189</v>
      </c>
      <c r="D703" s="19" t="n">
        <v>366.073189</v>
      </c>
      <c r="E703" s="20" t="n">
        <f aca="false">IF(OR(D703="",D703=0),"",(C703-D703)/D703)</f>
        <v>0</v>
      </c>
      <c r="F703" s="19" t="n">
        <v>307.712013</v>
      </c>
      <c r="G703" s="19" t="n">
        <v>307.712013</v>
      </c>
      <c r="H703" s="20" t="n">
        <f aca="false">IF(OR(G703="",G703=0),"",(F703-G703)/G703)</f>
        <v>0</v>
      </c>
      <c r="I703" s="19" t="n">
        <v>906.03683</v>
      </c>
      <c r="J703" s="19" t="n">
        <v>906.03683</v>
      </c>
      <c r="K703" s="20" t="n">
        <f aca="false">IF(OR(J703="",J703=0),"",(I703-J703)/J703)</f>
        <v>0</v>
      </c>
      <c r="L703" s="21" t="str">
        <f aca="false">IF(OR(D703="",G703="",J703=""),"No reported subtotal",IF(AND(ABS(N(E703))&lt;=$D$2,ABS(N(H703))&lt;=$D$2,ABS(N(K703))&lt;=$D$2),"Reconciles within tolerance","Outside tolerance"))</f>
        <v>Reconciles within tolerance</v>
      </c>
    </row>
    <row r="704" customFormat="false" ht="15" hidden="false" customHeight="false" outlineLevel="0" collapsed="false">
      <c r="A704" s="7" t="n">
        <v>2025</v>
      </c>
      <c r="B704" s="15" t="s">
        <v>129</v>
      </c>
      <c r="C704" s="19" t="n">
        <v>400.00124</v>
      </c>
      <c r="D704" s="19" t="n">
        <v>400.00124</v>
      </c>
      <c r="E704" s="20" t="n">
        <f aca="false">IF(OR(D704="",D704=0),"",(C704-D704)/D704)</f>
        <v>0</v>
      </c>
      <c r="F704" s="19" t="n">
        <v>294.04298</v>
      </c>
      <c r="G704" s="19" t="n">
        <v>294.04298</v>
      </c>
      <c r="H704" s="20" t="n">
        <f aca="false">IF(OR(G704="",G704=0),"",(F704-G704)/G704)</f>
        <v>0</v>
      </c>
      <c r="I704" s="19" t="n">
        <v>1118.322034</v>
      </c>
      <c r="J704" s="19" t="n">
        <v>1118.322034</v>
      </c>
      <c r="K704" s="20" t="n">
        <f aca="false">IF(OR(J704="",J704=0),"",(I704-J704)/J704)</f>
        <v>0</v>
      </c>
      <c r="L704" s="21" t="str">
        <f aca="false">IF(OR(D704="",G704="",J704=""),"No reported subtotal",IF(AND(ABS(N(E704))&lt;=$D$2,ABS(N(H704))&lt;=$D$2,ABS(N(K704))&lt;=$D$2),"Reconciles within tolerance","Outside tolerance"))</f>
        <v>Reconciles within tolerance</v>
      </c>
    </row>
    <row r="705" customFormat="false" ht="15" hidden="false" customHeight="false" outlineLevel="0" collapsed="false">
      <c r="A705" s="7" t="n">
        <v>2000</v>
      </c>
      <c r="B705" s="15" t="s">
        <v>130</v>
      </c>
      <c r="C705" s="19" t="n">
        <v>109.780592</v>
      </c>
      <c r="D705" s="19" t="n">
        <v>109.780592</v>
      </c>
      <c r="E705" s="20" t="n">
        <f aca="false">IF(OR(D705="",D705=0),"",(C705-D705)/D705)</f>
        <v>0</v>
      </c>
      <c r="F705" s="19" t="n">
        <v>68.518118</v>
      </c>
      <c r="G705" s="19" t="n">
        <v>68.518118</v>
      </c>
      <c r="H705" s="20" t="n">
        <f aca="false">IF(OR(G705="",G705=0),"",(F705-G705)/G705)</f>
        <v>0</v>
      </c>
      <c r="I705" s="19" t="n">
        <v>110.995037</v>
      </c>
      <c r="J705" s="19" t="n">
        <v>110.995037</v>
      </c>
      <c r="K705" s="20" t="n">
        <f aca="false">IF(OR(J705="",J705=0),"",(I705-J705)/J705)</f>
        <v>0</v>
      </c>
      <c r="L705" s="21" t="str">
        <f aca="false">IF(OR(D705="",G705="",J705=""),"No reported subtotal",IF(AND(ABS(N(E705))&lt;=$D$2,ABS(N(H705))&lt;=$D$2,ABS(N(K705))&lt;=$D$2),"Reconciles within tolerance","Outside tolerance"))</f>
        <v>Reconciles within tolerance</v>
      </c>
    </row>
    <row r="706" customFormat="false" ht="15" hidden="false" customHeight="false" outlineLevel="0" collapsed="false">
      <c r="A706" s="7" t="n">
        <v>2001</v>
      </c>
      <c r="B706" s="15" t="s">
        <v>130</v>
      </c>
      <c r="C706" s="19" t="n">
        <v>101.222537</v>
      </c>
      <c r="D706" s="19" t="n">
        <v>101.222537</v>
      </c>
      <c r="E706" s="20" t="n">
        <f aca="false">IF(OR(D706="",D706=0),"",(C706-D706)/D706)</f>
        <v>0</v>
      </c>
      <c r="F706" s="19" t="n">
        <v>54.564902</v>
      </c>
      <c r="G706" s="19" t="n">
        <v>54.564902</v>
      </c>
      <c r="H706" s="20" t="n">
        <f aca="false">IF(OR(G706="",G706=0),"",(F706-G706)/G706)</f>
        <v>0</v>
      </c>
      <c r="I706" s="19" t="n">
        <v>112.681261</v>
      </c>
      <c r="J706" s="19" t="n">
        <v>112.681261</v>
      </c>
      <c r="K706" s="20" t="n">
        <f aca="false">IF(OR(J706="",J706=0),"",(I706-J706)/J706)</f>
        <v>0</v>
      </c>
      <c r="L706" s="21" t="str">
        <f aca="false">IF(OR(D706="",G706="",J706=""),"No reported subtotal",IF(AND(ABS(N(E706))&lt;=$D$2,ABS(N(H706))&lt;=$D$2,ABS(N(K706))&lt;=$D$2),"Reconciles within tolerance","Outside tolerance"))</f>
        <v>Reconciles within tolerance</v>
      </c>
    </row>
    <row r="707" customFormat="false" ht="15" hidden="false" customHeight="false" outlineLevel="0" collapsed="false">
      <c r="A707" s="7" t="n">
        <v>2002</v>
      </c>
      <c r="B707" s="15" t="s">
        <v>130</v>
      </c>
      <c r="C707" s="19" t="n">
        <v>117.875976</v>
      </c>
      <c r="D707" s="19" t="n">
        <v>117.875976</v>
      </c>
      <c r="E707" s="20" t="n">
        <f aca="false">IF(OR(D707="",D707=0),"",(C707-D707)/D707)</f>
        <v>0</v>
      </c>
      <c r="F707" s="19" t="n">
        <v>62.553687</v>
      </c>
      <c r="G707" s="19" t="n">
        <v>62.553687</v>
      </c>
      <c r="H707" s="20" t="n">
        <f aca="false">IF(OR(G707="",G707=0),"",(F707-G707)/G707)</f>
        <v>0</v>
      </c>
      <c r="I707" s="19" t="n">
        <v>168.624584</v>
      </c>
      <c r="J707" s="19" t="n">
        <v>168.624584</v>
      </c>
      <c r="K707" s="20" t="n">
        <f aca="false">IF(OR(J707="",J707=0),"",(I707-J707)/J707)</f>
        <v>0</v>
      </c>
      <c r="L707" s="21" t="str">
        <f aca="false">IF(OR(D707="",G707="",J707=""),"No reported subtotal",IF(AND(ABS(N(E707))&lt;=$D$2,ABS(N(H707))&lt;=$D$2,ABS(N(K707))&lt;=$D$2),"Reconciles within tolerance","Outside tolerance"))</f>
        <v>Reconciles within tolerance</v>
      </c>
    </row>
    <row r="708" customFormat="false" ht="15" hidden="false" customHeight="false" outlineLevel="0" collapsed="false">
      <c r="A708" s="7" t="n">
        <v>2003</v>
      </c>
      <c r="B708" s="15" t="s">
        <v>130</v>
      </c>
      <c r="C708" s="19" t="n">
        <v>122.9535</v>
      </c>
      <c r="D708" s="19" t="n">
        <v>122.9535</v>
      </c>
      <c r="E708" s="20" t="n">
        <f aca="false">IF(OR(D708="",D708=0),"",(C708-D708)/D708)</f>
        <v>0</v>
      </c>
      <c r="F708" s="19" t="n">
        <v>66.0862</v>
      </c>
      <c r="G708" s="19" t="n">
        <v>66.0862</v>
      </c>
      <c r="H708" s="20" t="n">
        <f aca="false">IF(OR(G708="",G708=0),"",(F708-G708)/G708)</f>
        <v>0</v>
      </c>
      <c r="I708" s="19" t="n">
        <v>187.18689</v>
      </c>
      <c r="J708" s="19" t="n">
        <v>187.18689</v>
      </c>
      <c r="K708" s="20" t="n">
        <f aca="false">IF(OR(J708="",J708=0),"",(I708-J708)/J708)</f>
        <v>0</v>
      </c>
      <c r="L708" s="21" t="str">
        <f aca="false">IF(OR(D708="",G708="",J708=""),"No reported subtotal",IF(AND(ABS(N(E708))&lt;=$D$2,ABS(N(H708))&lt;=$D$2,ABS(N(K708))&lt;=$D$2),"Reconciles within tolerance","Outside tolerance"))</f>
        <v>Reconciles within tolerance</v>
      </c>
    </row>
    <row r="709" customFormat="false" ht="15" hidden="false" customHeight="false" outlineLevel="0" collapsed="false">
      <c r="A709" s="7" t="n">
        <v>2004</v>
      </c>
      <c r="B709" s="15" t="s">
        <v>130</v>
      </c>
      <c r="C709" s="19" t="n">
        <v>124.537112</v>
      </c>
      <c r="D709" s="19" t="n">
        <v>124.537112</v>
      </c>
      <c r="E709" s="20" t="n">
        <f aca="false">IF(OR(D709="",D709=0),"",(C709-D709)/D709)</f>
        <v>0</v>
      </c>
      <c r="F709" s="19" t="n">
        <v>62.525557</v>
      </c>
      <c r="G709" s="19" t="n">
        <v>62.525557</v>
      </c>
      <c r="H709" s="20" t="n">
        <f aca="false">IF(OR(G709="",G709=0),"",(F709-G709)/G709)</f>
        <v>0</v>
      </c>
      <c r="I709" s="19" t="n">
        <v>133.765313</v>
      </c>
      <c r="J709" s="19" t="n">
        <v>133.765313</v>
      </c>
      <c r="K709" s="20" t="n">
        <f aca="false">IF(OR(J709="",J709=0),"",(I709-J709)/J709)</f>
        <v>0</v>
      </c>
      <c r="L709" s="21" t="str">
        <f aca="false">IF(OR(D709="",G709="",J709=""),"No reported subtotal",IF(AND(ABS(N(E709))&lt;=$D$2,ABS(N(H709))&lt;=$D$2,ABS(N(K709))&lt;=$D$2),"Reconciles within tolerance","Outside tolerance"))</f>
        <v>Reconciles within tolerance</v>
      </c>
    </row>
    <row r="710" customFormat="false" ht="15" hidden="false" customHeight="false" outlineLevel="0" collapsed="false">
      <c r="A710" s="7" t="n">
        <v>2005</v>
      </c>
      <c r="B710" s="15" t="s">
        <v>130</v>
      </c>
      <c r="C710" s="19" t="n">
        <v>126.359453</v>
      </c>
      <c r="D710" s="19" t="n">
        <v>126.359453</v>
      </c>
      <c r="E710" s="20" t="n">
        <f aca="false">IF(OR(D710="",D710=0),"",(C710-D710)/D710)</f>
        <v>0</v>
      </c>
      <c r="F710" s="19" t="n">
        <v>60.916004</v>
      </c>
      <c r="G710" s="19" t="n">
        <v>60.916004</v>
      </c>
      <c r="H710" s="20" t="n">
        <f aca="false">IF(OR(G710="",G710=0),"",(F710-G710)/G710)</f>
        <v>0</v>
      </c>
      <c r="I710" s="19" t="n">
        <v>129.976016</v>
      </c>
      <c r="J710" s="19" t="n">
        <v>129.976016</v>
      </c>
      <c r="K710" s="20" t="n">
        <f aca="false">IF(OR(J710="",J710=0),"",(I710-J710)/J710)</f>
        <v>0</v>
      </c>
      <c r="L710" s="21" t="str">
        <f aca="false">IF(OR(D710="",G710="",J710=""),"No reported subtotal",IF(AND(ABS(N(E710))&lt;=$D$2,ABS(N(H710))&lt;=$D$2,ABS(N(K710))&lt;=$D$2),"Reconciles within tolerance","Outside tolerance"))</f>
        <v>Reconciles within tolerance</v>
      </c>
    </row>
    <row r="711" customFormat="false" ht="15" hidden="false" customHeight="false" outlineLevel="0" collapsed="false">
      <c r="A711" s="7" t="n">
        <v>2006</v>
      </c>
      <c r="B711" s="15" t="s">
        <v>130</v>
      </c>
      <c r="C711" s="19" t="n">
        <v>141.934559</v>
      </c>
      <c r="D711" s="19" t="n">
        <v>141.934559</v>
      </c>
      <c r="E711" s="20" t="n">
        <f aca="false">IF(OR(D711="",D711=0),"",(C711-D711)/D711)</f>
        <v>0</v>
      </c>
      <c r="F711" s="19" t="n">
        <v>65.085134</v>
      </c>
      <c r="G711" s="19" t="n">
        <v>65.085134</v>
      </c>
      <c r="H711" s="20" t="n">
        <f aca="false">IF(OR(G711="",G711=0),"",(F711-G711)/G711)</f>
        <v>0</v>
      </c>
      <c r="I711" s="19" t="n">
        <v>144.409705</v>
      </c>
      <c r="J711" s="19" t="n">
        <v>144.409705</v>
      </c>
      <c r="K711" s="20" t="n">
        <f aca="false">IF(OR(J711="",J711=0),"",(I711-J711)/J711)</f>
        <v>0</v>
      </c>
      <c r="L711" s="21" t="str">
        <f aca="false">IF(OR(D711="",G711="",J711=""),"No reported subtotal",IF(AND(ABS(N(E711))&lt;=$D$2,ABS(N(H711))&lt;=$D$2,ABS(N(K711))&lt;=$D$2),"Reconciles within tolerance","Outside tolerance"))</f>
        <v>Reconciles within tolerance</v>
      </c>
    </row>
    <row r="712" customFormat="false" ht="15" hidden="false" customHeight="false" outlineLevel="0" collapsed="false">
      <c r="A712" s="7" t="n">
        <v>2007</v>
      </c>
      <c r="B712" s="15" t="s">
        <v>130</v>
      </c>
      <c r="C712" s="19" t="n">
        <v>148.145878</v>
      </c>
      <c r="D712" s="19" t="n">
        <v>148.145878</v>
      </c>
      <c r="E712" s="20" t="n">
        <f aca="false">IF(OR(D712="",D712=0),"",(C712-D712)/D712)</f>
        <v>0</v>
      </c>
      <c r="F712" s="19" t="n">
        <v>71.933615</v>
      </c>
      <c r="G712" s="19" t="n">
        <v>71.933615</v>
      </c>
      <c r="H712" s="20" t="n">
        <f aca="false">IF(OR(G712="",G712=0),"",(F712-G712)/G712)</f>
        <v>0</v>
      </c>
      <c r="I712" s="19" t="n">
        <v>141.163104</v>
      </c>
      <c r="J712" s="19" t="n">
        <v>141.163104</v>
      </c>
      <c r="K712" s="20" t="n">
        <f aca="false">IF(OR(J712="",J712=0),"",(I712-J712)/J712)</f>
        <v>0</v>
      </c>
      <c r="L712" s="21" t="str">
        <f aca="false">IF(OR(D712="",G712="",J712=""),"No reported subtotal",IF(AND(ABS(N(E712))&lt;=$D$2,ABS(N(H712))&lt;=$D$2,ABS(N(K712))&lt;=$D$2),"Reconciles within tolerance","Outside tolerance"))</f>
        <v>Reconciles within tolerance</v>
      </c>
    </row>
    <row r="713" customFormat="false" ht="15" hidden="false" customHeight="false" outlineLevel="0" collapsed="false">
      <c r="A713" s="7" t="n">
        <v>2008</v>
      </c>
      <c r="B713" s="15" t="s">
        <v>130</v>
      </c>
      <c r="C713" s="19" t="n">
        <v>147.16041</v>
      </c>
      <c r="D713" s="19" t="n">
        <v>147.16041</v>
      </c>
      <c r="E713" s="20" t="n">
        <f aca="false">IF(OR(D713="",D713=0),"",(C713-D713)/D713)</f>
        <v>0</v>
      </c>
      <c r="F713" s="19" t="n">
        <v>81.454825</v>
      </c>
      <c r="G713" s="19" t="n">
        <v>81.454825</v>
      </c>
      <c r="H713" s="20" t="n">
        <f aca="false">IF(OR(G713="",G713=0),"",(F713-G713)/G713)</f>
        <v>0</v>
      </c>
      <c r="I713" s="19" t="n">
        <v>159.97897</v>
      </c>
      <c r="J713" s="19" t="n">
        <v>159.97897</v>
      </c>
      <c r="K713" s="20" t="n">
        <f aca="false">IF(OR(J713="",J713=0),"",(I713-J713)/J713)</f>
        <v>0</v>
      </c>
      <c r="L713" s="21" t="str">
        <f aca="false">IF(OR(D713="",G713="",J713=""),"No reported subtotal",IF(AND(ABS(N(E713))&lt;=$D$2,ABS(N(H713))&lt;=$D$2,ABS(N(K713))&lt;=$D$2),"Reconciles within tolerance","Outside tolerance"))</f>
        <v>Reconciles within tolerance</v>
      </c>
    </row>
    <row r="714" customFormat="false" ht="15" hidden="false" customHeight="false" outlineLevel="0" collapsed="false">
      <c r="A714" s="7" t="n">
        <v>2009</v>
      </c>
      <c r="B714" s="15" t="s">
        <v>130</v>
      </c>
      <c r="C714" s="19" t="n">
        <v>126.151294</v>
      </c>
      <c r="D714" s="19" t="n">
        <v>126.151294</v>
      </c>
      <c r="E714" s="20" t="n">
        <f aca="false">IF(OR(D714="",D714=0),"",(C714-D714)/D714)</f>
        <v>0</v>
      </c>
      <c r="F714" s="19" t="n">
        <v>89.705587</v>
      </c>
      <c r="G714" s="19" t="n">
        <v>89.705587</v>
      </c>
      <c r="H714" s="20" t="n">
        <f aca="false">IF(OR(G714="",G714=0),"",(F714-G714)/G714)</f>
        <v>0</v>
      </c>
      <c r="I714" s="19" t="n">
        <v>147.671452</v>
      </c>
      <c r="J714" s="19" t="n">
        <v>147.671452</v>
      </c>
      <c r="K714" s="20" t="n">
        <f aca="false">IF(OR(J714="",J714=0),"",(I714-J714)/J714)</f>
        <v>0</v>
      </c>
      <c r="L714" s="21" t="str">
        <f aca="false">IF(OR(D714="",G714="",J714=""),"No reported subtotal",IF(AND(ABS(N(E714))&lt;=$D$2,ABS(N(H714))&lt;=$D$2,ABS(N(K714))&lt;=$D$2),"Reconciles within tolerance","Outside tolerance"))</f>
        <v>Reconciles within tolerance</v>
      </c>
    </row>
    <row r="715" customFormat="false" ht="15" hidden="false" customHeight="false" outlineLevel="0" collapsed="false">
      <c r="A715" s="7" t="n">
        <v>2010</v>
      </c>
      <c r="B715" s="15" t="s">
        <v>130</v>
      </c>
      <c r="C715" s="19" t="n">
        <v>142.377661</v>
      </c>
      <c r="D715" s="19" t="n">
        <v>142.377661</v>
      </c>
      <c r="E715" s="20" t="n">
        <f aca="false">IF(OR(D715="",D715=0),"",(C715-D715)/D715)</f>
        <v>0</v>
      </c>
      <c r="F715" s="19" t="n">
        <v>154.577971</v>
      </c>
      <c r="G715" s="19" t="n">
        <v>154.577971</v>
      </c>
      <c r="H715" s="20" t="n">
        <f aca="false">IF(OR(G715="",G715=0),"",(F715-G715)/G715)</f>
        <v>0</v>
      </c>
      <c r="I715" s="19" t="n">
        <v>195.761274</v>
      </c>
      <c r="J715" s="19" t="n">
        <v>195.761274</v>
      </c>
      <c r="K715" s="20" t="n">
        <f aca="false">IF(OR(J715="",J715=0),"",(I715-J715)/J715)</f>
        <v>0</v>
      </c>
      <c r="L715" s="21" t="str">
        <f aca="false">IF(OR(D715="",G715="",J715=""),"No reported subtotal",IF(AND(ABS(N(E715))&lt;=$D$2,ABS(N(H715))&lt;=$D$2,ABS(N(K715))&lt;=$D$2),"Reconciles within tolerance","Outside tolerance"))</f>
        <v>Reconciles within tolerance</v>
      </c>
    </row>
    <row r="716" customFormat="false" ht="15" hidden="false" customHeight="false" outlineLevel="0" collapsed="false">
      <c r="A716" s="7" t="n">
        <v>2011</v>
      </c>
      <c r="B716" s="15" t="s">
        <v>130</v>
      </c>
      <c r="C716" s="19" t="n">
        <v>152.304415</v>
      </c>
      <c r="D716" s="19" t="n">
        <v>152.304415</v>
      </c>
      <c r="E716" s="20" t="n">
        <f aca="false">IF(OR(D716="",D716=0),"",(C716-D716)/D716)</f>
        <v>0</v>
      </c>
      <c r="F716" s="19" t="n">
        <v>187.679686</v>
      </c>
      <c r="G716" s="19" t="n">
        <v>187.679686</v>
      </c>
      <c r="H716" s="20" t="n">
        <f aca="false">IF(OR(G716="",G716=0),"",(F716-G716)/G716)</f>
        <v>0</v>
      </c>
      <c r="I716" s="19" t="n">
        <v>243.940328</v>
      </c>
      <c r="J716" s="19" t="n">
        <v>243.940328</v>
      </c>
      <c r="K716" s="20" t="n">
        <f aca="false">IF(OR(J716="",J716=0),"",(I716-J716)/J716)</f>
        <v>0</v>
      </c>
      <c r="L716" s="21" t="str">
        <f aca="false">IF(OR(D716="",G716="",J716=""),"No reported subtotal",IF(AND(ABS(N(E716))&lt;=$D$2,ABS(N(H716))&lt;=$D$2,ABS(N(K716))&lt;=$D$2),"Reconciles within tolerance","Outside tolerance"))</f>
        <v>Reconciles within tolerance</v>
      </c>
    </row>
    <row r="717" customFormat="false" ht="15" hidden="false" customHeight="false" outlineLevel="0" collapsed="false">
      <c r="A717" s="7" t="n">
        <v>2012</v>
      </c>
      <c r="B717" s="15" t="s">
        <v>130</v>
      </c>
      <c r="C717" s="19" t="n">
        <v>157.299767</v>
      </c>
      <c r="D717" s="19" t="n">
        <v>157.299767</v>
      </c>
      <c r="E717" s="20" t="n">
        <f aca="false">IF(OR(D717="",D717=0),"",(C717-D717)/D717)</f>
        <v>0</v>
      </c>
      <c r="F717" s="19" t="n">
        <v>183.008198</v>
      </c>
      <c r="G717" s="19" t="n">
        <v>183.008198</v>
      </c>
      <c r="H717" s="20" t="n">
        <f aca="false">IF(OR(G717="",G717=0),"",(F717-G717)/G717)</f>
        <v>0</v>
      </c>
      <c r="I717" s="19" t="n">
        <v>215.230174</v>
      </c>
      <c r="J717" s="19" t="n">
        <v>215.230174</v>
      </c>
      <c r="K717" s="20" t="n">
        <f aca="false">IF(OR(J717="",J717=0),"",(I717-J717)/J717)</f>
        <v>0</v>
      </c>
      <c r="L717" s="21" t="str">
        <f aca="false">IF(OR(D717="",G717="",J717=""),"No reported subtotal",IF(AND(ABS(N(E717))&lt;=$D$2,ABS(N(H717))&lt;=$D$2,ABS(N(K717))&lt;=$D$2),"Reconciles within tolerance","Outside tolerance"))</f>
        <v>Reconciles within tolerance</v>
      </c>
    </row>
    <row r="718" customFormat="false" ht="15" hidden="false" customHeight="false" outlineLevel="0" collapsed="false">
      <c r="A718" s="7" t="n">
        <v>2013</v>
      </c>
      <c r="B718" s="15" t="s">
        <v>130</v>
      </c>
      <c r="C718" s="19" t="n">
        <v>166.293992</v>
      </c>
      <c r="D718" s="19" t="n">
        <v>166.293992</v>
      </c>
      <c r="E718" s="20" t="n">
        <f aca="false">IF(OR(D718="",D718=0),"",(C718-D718)/D718)</f>
        <v>0</v>
      </c>
      <c r="F718" s="19" t="n">
        <v>156.484841</v>
      </c>
      <c r="G718" s="19" t="n">
        <v>156.484841</v>
      </c>
      <c r="H718" s="20" t="n">
        <f aca="false">IF(OR(G718="",G718=0),"",(F718-G718)/G718)</f>
        <v>0</v>
      </c>
      <c r="I718" s="19" t="n">
        <v>279.496248</v>
      </c>
      <c r="J718" s="19" t="n">
        <v>279.496248</v>
      </c>
      <c r="K718" s="20" t="n">
        <f aca="false">IF(OR(J718="",J718=0),"",(I718-J718)/J718)</f>
        <v>0</v>
      </c>
      <c r="L718" s="21" t="str">
        <f aca="false">IF(OR(D718="",G718="",J718=""),"No reported subtotal",IF(AND(ABS(N(E718))&lt;=$D$2,ABS(N(H718))&lt;=$D$2,ABS(N(K718))&lt;=$D$2),"Reconciles within tolerance","Outside tolerance"))</f>
        <v>Reconciles within tolerance</v>
      </c>
    </row>
    <row r="719" customFormat="false" ht="15" hidden="false" customHeight="false" outlineLevel="0" collapsed="false">
      <c r="A719" s="7" t="n">
        <v>2014</v>
      </c>
      <c r="B719" s="15" t="s">
        <v>130</v>
      </c>
      <c r="C719" s="19" t="n">
        <v>176.100791</v>
      </c>
      <c r="D719" s="19" t="n">
        <v>176.100791</v>
      </c>
      <c r="E719" s="20" t="n">
        <f aca="false">IF(OR(D719="",D719=0),"",(C719-D719)/D719)</f>
        <v>0</v>
      </c>
      <c r="F719" s="19" t="n">
        <v>170.263029</v>
      </c>
      <c r="G719" s="19" t="n">
        <v>170.263029</v>
      </c>
      <c r="H719" s="20" t="n">
        <f aca="false">IF(OR(G719="",G719=0),"",(F719-G719)/G719)</f>
        <v>0</v>
      </c>
      <c r="I719" s="19" t="n">
        <v>259.358214</v>
      </c>
      <c r="J719" s="19" t="n">
        <v>259.358214</v>
      </c>
      <c r="K719" s="20" t="n">
        <f aca="false">IF(OR(J719="",J719=0),"",(I719-J719)/J719)</f>
        <v>0</v>
      </c>
      <c r="L719" s="21" t="str">
        <f aca="false">IF(OR(D719="",G719="",J719=""),"No reported subtotal",IF(AND(ABS(N(E719))&lt;=$D$2,ABS(N(H719))&lt;=$D$2,ABS(N(K719))&lt;=$D$2),"Reconciles within tolerance","Outside tolerance"))</f>
        <v>Reconciles within tolerance</v>
      </c>
    </row>
    <row r="720" customFormat="false" ht="15" hidden="false" customHeight="false" outlineLevel="0" collapsed="false">
      <c r="A720" s="7" t="n">
        <v>2015</v>
      </c>
      <c r="B720" s="15" t="s">
        <v>130</v>
      </c>
      <c r="C720" s="19" t="n">
        <v>157.934642</v>
      </c>
      <c r="D720" s="19" t="n">
        <v>157.934642</v>
      </c>
      <c r="E720" s="20" t="n">
        <f aca="false">IF(OR(D720="",D720=0),"",(C720-D720)/D720)</f>
        <v>0</v>
      </c>
      <c r="F720" s="19" t="n">
        <v>192.50032</v>
      </c>
      <c r="G720" s="19" t="n">
        <v>192.50032</v>
      </c>
      <c r="H720" s="20" t="n">
        <f aca="false">IF(OR(G720="",G720=0),"",(F720-G720)/G720)</f>
        <v>0</v>
      </c>
      <c r="I720" s="19" t="n">
        <v>266.973187</v>
      </c>
      <c r="J720" s="19" t="n">
        <v>266.973187</v>
      </c>
      <c r="K720" s="20" t="n">
        <f aca="false">IF(OR(J720="",J720=0),"",(I720-J720)/J720)</f>
        <v>0</v>
      </c>
      <c r="L720" s="21" t="str">
        <f aca="false">IF(OR(D720="",G720="",J720=""),"No reported subtotal",IF(AND(ABS(N(E720))&lt;=$D$2,ABS(N(H720))&lt;=$D$2,ABS(N(K720))&lt;=$D$2),"Reconciles within tolerance","Outside tolerance"))</f>
        <v>Reconciles within tolerance</v>
      </c>
    </row>
    <row r="721" customFormat="false" ht="15" hidden="false" customHeight="false" outlineLevel="0" collapsed="false">
      <c r="A721" s="7" t="n">
        <v>2016</v>
      </c>
      <c r="B721" s="15" t="s">
        <v>130</v>
      </c>
      <c r="C721" s="19" t="n">
        <v>166.677161</v>
      </c>
      <c r="D721" s="19" t="n">
        <v>166.677161</v>
      </c>
      <c r="E721" s="20" t="n">
        <f aca="false">IF(OR(D721="",D721=0),"",(C721-D721)/D721)</f>
        <v>0</v>
      </c>
      <c r="F721" s="19" t="n">
        <v>177.006866</v>
      </c>
      <c r="G721" s="19" t="n">
        <v>177.006866</v>
      </c>
      <c r="H721" s="20" t="n">
        <f aca="false">IF(OR(G721="",G721=0),"",(F721-G721)/G721)</f>
        <v>0</v>
      </c>
      <c r="I721" s="19" t="n">
        <v>317.766448</v>
      </c>
      <c r="J721" s="19" t="n">
        <v>317.766448</v>
      </c>
      <c r="K721" s="20" t="n">
        <f aca="false">IF(OR(J721="",J721=0),"",(I721-J721)/J721)</f>
        <v>0</v>
      </c>
      <c r="L721" s="21" t="str">
        <f aca="false">IF(OR(D721="",G721="",J721=""),"No reported subtotal",IF(AND(ABS(N(E721))&lt;=$D$2,ABS(N(H721))&lt;=$D$2,ABS(N(K721))&lt;=$D$2),"Reconciles within tolerance","Outside tolerance"))</f>
        <v>Reconciles within tolerance</v>
      </c>
    </row>
    <row r="722" customFormat="false" ht="15" hidden="false" customHeight="false" outlineLevel="0" collapsed="false">
      <c r="A722" s="7" t="n">
        <v>2017</v>
      </c>
      <c r="B722" s="15" t="s">
        <v>130</v>
      </c>
      <c r="C722" s="19" t="n">
        <v>156.584694</v>
      </c>
      <c r="D722" s="19" t="n">
        <v>156.584694</v>
      </c>
      <c r="E722" s="20" t="n">
        <f aca="false">IF(OR(D722="",D722=0),"",(C722-D722)/D722)</f>
        <v>0</v>
      </c>
      <c r="F722" s="19" t="n">
        <v>168.959078</v>
      </c>
      <c r="G722" s="19" t="n">
        <v>168.959078</v>
      </c>
      <c r="H722" s="20" t="n">
        <f aca="false">IF(OR(G722="",G722=0),"",(F722-G722)/G722)</f>
        <v>0</v>
      </c>
      <c r="I722" s="19" t="n">
        <v>426.951014</v>
      </c>
      <c r="J722" s="19" t="n">
        <v>426.951014</v>
      </c>
      <c r="K722" s="20" t="n">
        <f aca="false">IF(OR(J722="",J722=0),"",(I722-J722)/J722)</f>
        <v>0</v>
      </c>
      <c r="L722" s="21" t="str">
        <f aca="false">IF(OR(D722="",G722="",J722=""),"No reported subtotal",IF(AND(ABS(N(E722))&lt;=$D$2,ABS(N(H722))&lt;=$D$2,ABS(N(K722))&lt;=$D$2),"Reconciles within tolerance","Outside tolerance"))</f>
        <v>Reconciles within tolerance</v>
      </c>
    </row>
    <row r="723" customFormat="false" ht="15" hidden="false" customHeight="false" outlineLevel="0" collapsed="false">
      <c r="A723" s="7" t="n">
        <v>2018</v>
      </c>
      <c r="B723" s="15" t="s">
        <v>130</v>
      </c>
      <c r="C723" s="19" t="n">
        <v>188.325829</v>
      </c>
      <c r="D723" s="19" t="n">
        <v>188.325829</v>
      </c>
      <c r="E723" s="20" t="n">
        <f aca="false">IF(OR(D723="",D723=0),"",(C723-D723)/D723)</f>
        <v>0</v>
      </c>
      <c r="F723" s="19" t="n">
        <v>176.029241</v>
      </c>
      <c r="G723" s="19" t="n">
        <v>176.029241</v>
      </c>
      <c r="H723" s="20" t="n">
        <f aca="false">IF(OR(G723="",G723=0),"",(F723-G723)/G723)</f>
        <v>0</v>
      </c>
      <c r="I723" s="19" t="n">
        <v>397.025957</v>
      </c>
      <c r="J723" s="19" t="n">
        <v>397.025957</v>
      </c>
      <c r="K723" s="20" t="n">
        <f aca="false">IF(OR(J723="",J723=0),"",(I723-J723)/J723)</f>
        <v>0</v>
      </c>
      <c r="L723" s="21" t="str">
        <f aca="false">IF(OR(D723="",G723="",J723=""),"No reported subtotal",IF(AND(ABS(N(E723))&lt;=$D$2,ABS(N(H723))&lt;=$D$2,ABS(N(K723))&lt;=$D$2),"Reconciles within tolerance","Outside tolerance"))</f>
        <v>Reconciles within tolerance</v>
      </c>
    </row>
    <row r="724" customFormat="false" ht="15" hidden="false" customHeight="false" outlineLevel="0" collapsed="false">
      <c r="A724" s="7" t="n">
        <v>2019</v>
      </c>
      <c r="B724" s="15" t="s">
        <v>130</v>
      </c>
      <c r="C724" s="19" t="n">
        <v>185.498705</v>
      </c>
      <c r="D724" s="19" t="n">
        <v>185.498705</v>
      </c>
      <c r="E724" s="20" t="n">
        <f aca="false">IF(OR(D724="",D724=0),"",(C724-D724)/D724)</f>
        <v>0</v>
      </c>
      <c r="F724" s="19" t="n">
        <v>172.405438</v>
      </c>
      <c r="G724" s="19" t="n">
        <v>172.405438</v>
      </c>
      <c r="H724" s="20" t="n">
        <f aca="false">IF(OR(G724="",G724=0),"",(F724-G724)/G724)</f>
        <v>0</v>
      </c>
      <c r="I724" s="19" t="n">
        <v>283.894969</v>
      </c>
      <c r="J724" s="19" t="n">
        <v>283.894969</v>
      </c>
      <c r="K724" s="20" t="n">
        <f aca="false">IF(OR(J724="",J724=0),"",(I724-J724)/J724)</f>
        <v>0</v>
      </c>
      <c r="L724" s="21" t="str">
        <f aca="false">IF(OR(D724="",G724="",J724=""),"No reported subtotal",IF(AND(ABS(N(E724))&lt;=$D$2,ABS(N(H724))&lt;=$D$2,ABS(N(K724))&lt;=$D$2),"Reconciles within tolerance","Outside tolerance"))</f>
        <v>Reconciles within tolerance</v>
      </c>
    </row>
    <row r="725" customFormat="false" ht="15" hidden="false" customHeight="false" outlineLevel="0" collapsed="false">
      <c r="A725" s="7" t="n">
        <v>2020</v>
      </c>
      <c r="B725" s="15" t="s">
        <v>130</v>
      </c>
      <c r="C725" s="19" t="n">
        <v>160.931451</v>
      </c>
      <c r="D725" s="19" t="n">
        <v>160.931451</v>
      </c>
      <c r="E725" s="20" t="n">
        <f aca="false">IF(OR(D725="",D725=0),"",(C725-D725)/D725)</f>
        <v>0</v>
      </c>
      <c r="F725" s="19" t="n">
        <v>134.639465</v>
      </c>
      <c r="G725" s="19" t="n">
        <v>134.639465</v>
      </c>
      <c r="H725" s="20" t="n">
        <f aca="false">IF(OR(G725="",G725=0),"",(F725-G725)/G725)</f>
        <v>0</v>
      </c>
      <c r="I725" s="19" t="n">
        <v>260.689698</v>
      </c>
      <c r="J725" s="19" t="n">
        <v>260.689698</v>
      </c>
      <c r="K725" s="20" t="n">
        <f aca="false">IF(OR(J725="",J725=0),"",(I725-J725)/J725)</f>
        <v>0</v>
      </c>
      <c r="L725" s="21" t="str">
        <f aca="false">IF(OR(D725="",G725="",J725=""),"No reported subtotal",IF(AND(ABS(N(E725))&lt;=$D$2,ABS(N(H725))&lt;=$D$2,ABS(N(K725))&lt;=$D$2),"Reconciles within tolerance","Outside tolerance"))</f>
        <v>Reconciles within tolerance</v>
      </c>
    </row>
    <row r="726" customFormat="false" ht="15" hidden="false" customHeight="false" outlineLevel="0" collapsed="false">
      <c r="A726" s="7" t="n">
        <v>2021</v>
      </c>
      <c r="B726" s="15" t="s">
        <v>130</v>
      </c>
      <c r="C726" s="19" t="n">
        <v>192.709488</v>
      </c>
      <c r="D726" s="19" t="n">
        <v>192.709488</v>
      </c>
      <c r="E726" s="20" t="n">
        <f aca="false">IF(OR(D726="",D726=0),"",(C726-D726)/D726)</f>
        <v>0</v>
      </c>
      <c r="F726" s="19" t="n">
        <v>141.796702</v>
      </c>
      <c r="G726" s="19" t="n">
        <v>141.796702</v>
      </c>
      <c r="H726" s="20" t="n">
        <f aca="false">IF(OR(G726="",G726=0),"",(F726-G726)/G726)</f>
        <v>0</v>
      </c>
      <c r="I726" s="19" t="n">
        <v>270.209836</v>
      </c>
      <c r="J726" s="19" t="n">
        <v>270.209836</v>
      </c>
      <c r="K726" s="20" t="n">
        <f aca="false">IF(OR(J726="",J726=0),"",(I726-J726)/J726)</f>
        <v>0</v>
      </c>
      <c r="L726" s="21" t="str">
        <f aca="false">IF(OR(D726="",G726="",J726=""),"No reported subtotal",IF(AND(ABS(N(E726))&lt;=$D$2,ABS(N(H726))&lt;=$D$2,ABS(N(K726))&lt;=$D$2),"Reconciles within tolerance","Outside tolerance"))</f>
        <v>Reconciles within tolerance</v>
      </c>
    </row>
    <row r="727" customFormat="false" ht="15" hidden="false" customHeight="false" outlineLevel="0" collapsed="false">
      <c r="A727" s="7" t="n">
        <v>2022</v>
      </c>
      <c r="B727" s="15" t="s">
        <v>130</v>
      </c>
      <c r="C727" s="19" t="n">
        <v>188.704484</v>
      </c>
      <c r="D727" s="19" t="n">
        <v>188.704484</v>
      </c>
      <c r="E727" s="20" t="n">
        <f aca="false">IF(OR(D727="",D727=0),"",(C727-D727)/D727)</f>
        <v>0</v>
      </c>
      <c r="F727" s="19" t="n">
        <v>165.949934</v>
      </c>
      <c r="G727" s="19" t="n">
        <v>165.949934</v>
      </c>
      <c r="H727" s="20" t="n">
        <f aca="false">IF(OR(G727="",G727=0),"",(F727-G727)/G727)</f>
        <v>0</v>
      </c>
      <c r="I727" s="19" t="n">
        <v>259.38727</v>
      </c>
      <c r="J727" s="19" t="n">
        <v>259.38727</v>
      </c>
      <c r="K727" s="20" t="n">
        <f aca="false">IF(OR(J727="",J727=0),"",(I727-J727)/J727)</f>
        <v>0</v>
      </c>
      <c r="L727" s="21" t="str">
        <f aca="false">IF(OR(D727="",G727="",J727=""),"No reported subtotal",IF(AND(ABS(N(E727))&lt;=$D$2,ABS(N(H727))&lt;=$D$2,ABS(N(K727))&lt;=$D$2),"Reconciles within tolerance","Outside tolerance"))</f>
        <v>Reconciles within tolerance</v>
      </c>
    </row>
    <row r="728" customFormat="false" ht="15" hidden="false" customHeight="false" outlineLevel="0" collapsed="false">
      <c r="A728" s="7" t="n">
        <v>2023</v>
      </c>
      <c r="B728" s="15" t="s">
        <v>130</v>
      </c>
      <c r="C728" s="19" t="n">
        <v>151.825344</v>
      </c>
      <c r="D728" s="19" t="n">
        <v>151.825344</v>
      </c>
      <c r="E728" s="20" t="n">
        <f aca="false">IF(OR(D728="",D728=0),"",(C728-D728)/D728)</f>
        <v>0</v>
      </c>
      <c r="F728" s="19" t="n">
        <v>202.022619</v>
      </c>
      <c r="G728" s="19" t="n">
        <v>202.022619</v>
      </c>
      <c r="H728" s="20" t="n">
        <f aca="false">IF(OR(G728="",G728=0),"",(F728-G728)/G728)</f>
        <v>0</v>
      </c>
      <c r="I728" s="19" t="n">
        <v>217.872592</v>
      </c>
      <c r="J728" s="19" t="n">
        <v>217.872592</v>
      </c>
      <c r="K728" s="20" t="n">
        <f aca="false">IF(OR(J728="",J728=0),"",(I728-J728)/J728)</f>
        <v>0</v>
      </c>
      <c r="L728" s="21" t="str">
        <f aca="false">IF(OR(D728="",G728="",J728=""),"No reported subtotal",IF(AND(ABS(N(E728))&lt;=$D$2,ABS(N(H728))&lt;=$D$2,ABS(N(K728))&lt;=$D$2),"Reconciles within tolerance","Outside tolerance"))</f>
        <v>Reconciles within tolerance</v>
      </c>
    </row>
    <row r="729" customFormat="false" ht="15" hidden="false" customHeight="false" outlineLevel="0" collapsed="false">
      <c r="A729" s="7" t="n">
        <v>2024</v>
      </c>
      <c r="B729" s="15" t="s">
        <v>130</v>
      </c>
      <c r="C729" s="19" t="n">
        <v>229.268901</v>
      </c>
      <c r="D729" s="19" t="n">
        <v>229.268901</v>
      </c>
      <c r="E729" s="20" t="n">
        <f aca="false">IF(OR(D729="",D729=0),"",(C729-D729)/D729)</f>
        <v>0</v>
      </c>
      <c r="F729" s="19" t="n">
        <v>220.770001</v>
      </c>
      <c r="G729" s="19" t="n">
        <v>220.770001</v>
      </c>
      <c r="H729" s="20" t="n">
        <f aca="false">IF(OR(G729="",G729=0),"",(F729-G729)/G729)</f>
        <v>0</v>
      </c>
      <c r="I729" s="19" t="n">
        <v>415.290082</v>
      </c>
      <c r="J729" s="19" t="n">
        <v>415.290082</v>
      </c>
      <c r="K729" s="20" t="n">
        <f aca="false">IF(OR(J729="",J729=0),"",(I729-J729)/J729)</f>
        <v>0</v>
      </c>
      <c r="L729" s="21" t="str">
        <f aca="false">IF(OR(D729="",G729="",J729=""),"No reported subtotal",IF(AND(ABS(N(E729))&lt;=$D$2,ABS(N(H729))&lt;=$D$2,ABS(N(K729))&lt;=$D$2),"Reconciles within tolerance","Outside tolerance"))</f>
        <v>Reconciles within tolerance</v>
      </c>
    </row>
    <row r="730" customFormat="false" ht="15" hidden="false" customHeight="false" outlineLevel="0" collapsed="false">
      <c r="A730" s="7" t="n">
        <v>2025</v>
      </c>
      <c r="B730" s="15" t="s">
        <v>130</v>
      </c>
      <c r="C730" s="19" t="n">
        <v>183.978146</v>
      </c>
      <c r="D730" s="19" t="n">
        <v>183.978146</v>
      </c>
      <c r="E730" s="20" t="n">
        <f aca="false">IF(OR(D730="",D730=0),"",(C730-D730)/D730)</f>
        <v>0</v>
      </c>
      <c r="F730" s="19" t="n">
        <v>190.885231</v>
      </c>
      <c r="G730" s="19" t="n">
        <v>190.885231</v>
      </c>
      <c r="H730" s="20" t="n">
        <f aca="false">IF(OR(G730="",G730=0),"",(F730-G730)/G730)</f>
        <v>0</v>
      </c>
      <c r="I730" s="19" t="n">
        <v>485.905586</v>
      </c>
      <c r="J730" s="19" t="n">
        <v>485.905586</v>
      </c>
      <c r="K730" s="20" t="n">
        <f aca="false">IF(OR(J730="",J730=0),"",(I730-J730)/J730)</f>
        <v>0</v>
      </c>
      <c r="L730" s="21" t="str">
        <f aca="false">IF(OR(D730="",G730="",J730=""),"No reported subtotal",IF(AND(ABS(N(E730))&lt;=$D$2,ABS(N(H730))&lt;=$D$2,ABS(N(K730))&lt;=$D$2),"Reconciles within tolerance","Outside tolerance"))</f>
        <v>Reconciles within tolerance</v>
      </c>
    </row>
    <row r="731" customFormat="false" ht="15" hidden="false" customHeight="false" outlineLevel="0" collapsed="false">
      <c r="A731" s="7" t="n">
        <v>2000</v>
      </c>
      <c r="B731" s="15" t="s">
        <v>111</v>
      </c>
      <c r="C731" s="19" t="n">
        <v>49.803059</v>
      </c>
      <c r="D731" s="19" t="n">
        <v>49.803059</v>
      </c>
      <c r="E731" s="20" t="n">
        <f aca="false">IF(OR(D731="",D731=0),"",(C731-D731)/D731)</f>
        <v>0</v>
      </c>
      <c r="F731" s="19" t="n">
        <v>53.697075</v>
      </c>
      <c r="G731" s="19" t="n">
        <v>53.697075</v>
      </c>
      <c r="H731" s="20" t="n">
        <f aca="false">IF(OR(G731="",G731=0),"",(F731-G731)/G731)</f>
        <v>0</v>
      </c>
      <c r="I731" s="19" t="n">
        <v>61.998848</v>
      </c>
      <c r="J731" s="19" t="n">
        <v>61.998848</v>
      </c>
      <c r="K731" s="20" t="n">
        <f aca="false">IF(OR(J731="",J731=0),"",(I731-J731)/J731)</f>
        <v>0</v>
      </c>
      <c r="L731" s="21" t="str">
        <f aca="false">IF(OR(D731="",G731="",J731=""),"No reported subtotal",IF(AND(ABS(N(E731))&lt;=$D$2,ABS(N(H731))&lt;=$D$2,ABS(N(K731))&lt;=$D$2),"Reconciles within tolerance","Outside tolerance"))</f>
        <v>Reconciles within tolerance</v>
      </c>
    </row>
    <row r="732" customFormat="false" ht="15" hidden="false" customHeight="false" outlineLevel="0" collapsed="false">
      <c r="A732" s="7" t="n">
        <v>2001</v>
      </c>
      <c r="B732" s="15" t="s">
        <v>111</v>
      </c>
      <c r="C732" s="19" t="n">
        <v>51.822678</v>
      </c>
      <c r="D732" s="19" t="n">
        <v>51.822678</v>
      </c>
      <c r="E732" s="20" t="n">
        <f aca="false">IF(OR(D732="",D732=0),"",(C732-D732)/D732)</f>
        <v>0</v>
      </c>
      <c r="F732" s="19" t="n">
        <v>49.41901</v>
      </c>
      <c r="G732" s="19" t="n">
        <v>49.41901</v>
      </c>
      <c r="H732" s="20" t="n">
        <f aca="false">IF(OR(G732="",G732=0),"",(F732-G732)/G732)</f>
        <v>0</v>
      </c>
      <c r="I732" s="19" t="n">
        <v>51.945458</v>
      </c>
      <c r="J732" s="19" t="n">
        <v>51.945458</v>
      </c>
      <c r="K732" s="20" t="n">
        <f aca="false">IF(OR(J732="",J732=0),"",(I732-J732)/J732)</f>
        <v>0</v>
      </c>
      <c r="L732" s="21" t="str">
        <f aca="false">IF(OR(D732="",G732="",J732=""),"No reported subtotal",IF(AND(ABS(N(E732))&lt;=$D$2,ABS(N(H732))&lt;=$D$2,ABS(N(K732))&lt;=$D$2),"Reconciles within tolerance","Outside tolerance"))</f>
        <v>Reconciles within tolerance</v>
      </c>
    </row>
    <row r="733" customFormat="false" ht="15" hidden="false" customHeight="false" outlineLevel="0" collapsed="false">
      <c r="A733" s="7" t="n">
        <v>2002</v>
      </c>
      <c r="B733" s="15" t="s">
        <v>111</v>
      </c>
      <c r="C733" s="19" t="n">
        <v>48.900268</v>
      </c>
      <c r="D733" s="19" t="n">
        <v>48.900268</v>
      </c>
      <c r="E733" s="20" t="n">
        <f aca="false">IF(OR(D733="",D733=0),"",(C733-D733)/D733)</f>
        <v>0</v>
      </c>
      <c r="F733" s="19" t="n">
        <v>35.691151</v>
      </c>
      <c r="G733" s="19" t="n">
        <v>35.691151</v>
      </c>
      <c r="H733" s="20" t="n">
        <f aca="false">IF(OR(G733="",G733=0),"",(F733-G733)/G733)</f>
        <v>0</v>
      </c>
      <c r="I733" s="19" t="n">
        <v>34.84487</v>
      </c>
      <c r="J733" s="19" t="n">
        <v>34.84487</v>
      </c>
      <c r="K733" s="20" t="n">
        <f aca="false">IF(OR(J733="",J733=0),"",(I733-J733)/J733)</f>
        <v>0</v>
      </c>
      <c r="L733" s="21" t="str">
        <f aca="false">IF(OR(D733="",G733="",J733=""),"No reported subtotal",IF(AND(ABS(N(E733))&lt;=$D$2,ABS(N(H733))&lt;=$D$2,ABS(N(K733))&lt;=$D$2),"Reconciles within tolerance","Outside tolerance"))</f>
        <v>Reconciles within tolerance</v>
      </c>
    </row>
    <row r="734" customFormat="false" ht="15" hidden="false" customHeight="false" outlineLevel="0" collapsed="false">
      <c r="A734" s="7" t="n">
        <v>2003</v>
      </c>
      <c r="B734" s="15" t="s">
        <v>111</v>
      </c>
      <c r="C734" s="19" t="n">
        <v>62.726865</v>
      </c>
      <c r="D734" s="19" t="n">
        <v>62.726865</v>
      </c>
      <c r="E734" s="20" t="n">
        <f aca="false">IF(OR(D734="",D734=0),"",(C734-D734)/D734)</f>
        <v>0</v>
      </c>
      <c r="F734" s="19" t="n">
        <v>42.747473</v>
      </c>
      <c r="G734" s="19" t="n">
        <v>42.747473</v>
      </c>
      <c r="H734" s="20" t="n">
        <f aca="false">IF(OR(G734="",G734=0),"",(F734-G734)/G734)</f>
        <v>0</v>
      </c>
      <c r="I734" s="19" t="n">
        <v>31.491864</v>
      </c>
      <c r="J734" s="19" t="n">
        <v>31.491864</v>
      </c>
      <c r="K734" s="20" t="n">
        <f aca="false">IF(OR(J734="",J734=0),"",(I734-J734)/J734)</f>
        <v>0</v>
      </c>
      <c r="L734" s="21" t="str">
        <f aca="false">IF(OR(D734="",G734="",J734=""),"No reported subtotal",IF(AND(ABS(N(E734))&lt;=$D$2,ABS(N(H734))&lt;=$D$2,ABS(N(K734))&lt;=$D$2),"Reconciles within tolerance","Outside tolerance"))</f>
        <v>Reconciles within tolerance</v>
      </c>
    </row>
    <row r="735" customFormat="false" ht="15" hidden="false" customHeight="false" outlineLevel="0" collapsed="false">
      <c r="A735" s="7" t="n">
        <v>2004</v>
      </c>
      <c r="B735" s="15" t="s">
        <v>111</v>
      </c>
      <c r="C735" s="19" t="n">
        <v>50.656719</v>
      </c>
      <c r="D735" s="19" t="n">
        <v>50.656719</v>
      </c>
      <c r="E735" s="20" t="n">
        <f aca="false">IF(OR(D735="",D735=0),"",(C735-D735)/D735)</f>
        <v>0</v>
      </c>
      <c r="F735" s="19" t="n">
        <v>31.955049</v>
      </c>
      <c r="G735" s="19" t="n">
        <v>31.955049</v>
      </c>
      <c r="H735" s="20" t="n">
        <f aca="false">IF(OR(G735="",G735=0),"",(F735-G735)/G735)</f>
        <v>0</v>
      </c>
      <c r="I735" s="19" t="n">
        <v>50.41922</v>
      </c>
      <c r="J735" s="19" t="n">
        <v>50.41922</v>
      </c>
      <c r="K735" s="20" t="n">
        <f aca="false">IF(OR(J735="",J735=0),"",(I735-J735)/J735)</f>
        <v>0</v>
      </c>
      <c r="L735" s="21" t="str">
        <f aca="false">IF(OR(D735="",G735="",J735=""),"No reported subtotal",IF(AND(ABS(N(E735))&lt;=$D$2,ABS(N(H735))&lt;=$D$2,ABS(N(K735))&lt;=$D$2),"Reconciles within tolerance","Outside tolerance"))</f>
        <v>Reconciles within tolerance</v>
      </c>
    </row>
    <row r="736" customFormat="false" ht="15" hidden="false" customHeight="false" outlineLevel="0" collapsed="false">
      <c r="A736" s="7" t="n">
        <v>2005</v>
      </c>
      <c r="B736" s="15" t="s">
        <v>111</v>
      </c>
      <c r="C736" s="19" t="n">
        <v>45.542067</v>
      </c>
      <c r="D736" s="19" t="n">
        <v>45.542067</v>
      </c>
      <c r="E736" s="20" t="n">
        <f aca="false">IF(OR(D736="",D736=0),"",(C736-D736)/D736)</f>
        <v>0</v>
      </c>
      <c r="F736" s="19" t="n">
        <v>38.463967</v>
      </c>
      <c r="G736" s="19" t="n">
        <v>38.463967</v>
      </c>
      <c r="H736" s="20" t="n">
        <f aca="false">IF(OR(G736="",G736=0),"",(F736-G736)/G736)</f>
        <v>0</v>
      </c>
      <c r="I736" s="19" t="n">
        <v>86.454622</v>
      </c>
      <c r="J736" s="19" t="n">
        <v>86.454622</v>
      </c>
      <c r="K736" s="20" t="n">
        <f aca="false">IF(OR(J736="",J736=0),"",(I736-J736)/J736)</f>
        <v>0</v>
      </c>
      <c r="L736" s="21" t="str">
        <f aca="false">IF(OR(D736="",G736="",J736=""),"No reported subtotal",IF(AND(ABS(N(E736))&lt;=$D$2,ABS(N(H736))&lt;=$D$2,ABS(N(K736))&lt;=$D$2),"Reconciles within tolerance","Outside tolerance"))</f>
        <v>Reconciles within tolerance</v>
      </c>
    </row>
    <row r="737" customFormat="false" ht="15" hidden="false" customHeight="false" outlineLevel="0" collapsed="false">
      <c r="A737" s="7" t="n">
        <v>2006</v>
      </c>
      <c r="B737" s="15" t="s">
        <v>111</v>
      </c>
      <c r="C737" s="19" t="n">
        <v>47.392626</v>
      </c>
      <c r="D737" s="19" t="n">
        <v>47.392626</v>
      </c>
      <c r="E737" s="20" t="n">
        <f aca="false">IF(OR(D737="",D737=0),"",(C737-D737)/D737)</f>
        <v>0</v>
      </c>
      <c r="F737" s="19" t="n">
        <v>35.108852</v>
      </c>
      <c r="G737" s="19" t="n">
        <v>35.108852</v>
      </c>
      <c r="H737" s="20" t="n">
        <f aca="false">IF(OR(G737="",G737=0),"",(F737-G737)/G737)</f>
        <v>0</v>
      </c>
      <c r="I737" s="19" t="n">
        <v>95.374444</v>
      </c>
      <c r="J737" s="19" t="n">
        <v>95.374444</v>
      </c>
      <c r="K737" s="20" t="n">
        <f aca="false">IF(OR(J737="",J737=0),"",(I737-J737)/J737)</f>
        <v>0</v>
      </c>
      <c r="L737" s="21" t="str">
        <f aca="false">IF(OR(D737="",G737="",J737=""),"No reported subtotal",IF(AND(ABS(N(E737))&lt;=$D$2,ABS(N(H737))&lt;=$D$2,ABS(N(K737))&lt;=$D$2),"Reconciles within tolerance","Outside tolerance"))</f>
        <v>Reconciles within tolerance</v>
      </c>
    </row>
    <row r="738" customFormat="false" ht="15" hidden="false" customHeight="false" outlineLevel="0" collapsed="false">
      <c r="A738" s="7" t="n">
        <v>2007</v>
      </c>
      <c r="B738" s="15" t="s">
        <v>111</v>
      </c>
      <c r="C738" s="19" t="n">
        <v>56.238848</v>
      </c>
      <c r="D738" s="19" t="n">
        <v>56.238848</v>
      </c>
      <c r="E738" s="20" t="n">
        <f aca="false">IF(OR(D738="",D738=0),"",(C738-D738)/D738)</f>
        <v>0</v>
      </c>
      <c r="F738" s="19" t="n">
        <v>44.636909</v>
      </c>
      <c r="G738" s="19" t="n">
        <v>44.636909</v>
      </c>
      <c r="H738" s="20" t="n">
        <f aca="false">IF(OR(G738="",G738=0),"",(F738-G738)/G738)</f>
        <v>0</v>
      </c>
      <c r="I738" s="19" t="n">
        <v>66.634233</v>
      </c>
      <c r="J738" s="19" t="n">
        <v>66.634233</v>
      </c>
      <c r="K738" s="20" t="n">
        <f aca="false">IF(OR(J738="",J738=0),"",(I738-J738)/J738)</f>
        <v>0</v>
      </c>
      <c r="L738" s="21" t="str">
        <f aca="false">IF(OR(D738="",G738="",J738=""),"No reported subtotal",IF(AND(ABS(N(E738))&lt;=$D$2,ABS(N(H738))&lt;=$D$2,ABS(N(K738))&lt;=$D$2),"Reconciles within tolerance","Outside tolerance"))</f>
        <v>Reconciles within tolerance</v>
      </c>
    </row>
    <row r="739" customFormat="false" ht="15" hidden="false" customHeight="false" outlineLevel="0" collapsed="false">
      <c r="A739" s="7" t="n">
        <v>2008</v>
      </c>
      <c r="B739" s="15" t="s">
        <v>111</v>
      </c>
      <c r="C739" s="19" t="n">
        <v>52.213199</v>
      </c>
      <c r="D739" s="19" t="n">
        <v>52.213199</v>
      </c>
      <c r="E739" s="20" t="n">
        <f aca="false">IF(OR(D739="",D739=0),"",(C739-D739)/D739)</f>
        <v>0</v>
      </c>
      <c r="F739" s="19" t="n">
        <v>51.775525</v>
      </c>
      <c r="G739" s="19" t="n">
        <v>51.775525</v>
      </c>
      <c r="H739" s="20" t="n">
        <f aca="false">IF(OR(G739="",G739=0),"",(F739-G739)/G739)</f>
        <v>0</v>
      </c>
      <c r="I739" s="19" t="n">
        <v>103.210171</v>
      </c>
      <c r="J739" s="19" t="n">
        <v>103.210171</v>
      </c>
      <c r="K739" s="20" t="n">
        <f aca="false">IF(OR(J739="",J739=0),"",(I739-J739)/J739)</f>
        <v>0</v>
      </c>
      <c r="L739" s="21" t="str">
        <f aca="false">IF(OR(D739="",G739="",J739=""),"No reported subtotal",IF(AND(ABS(N(E739))&lt;=$D$2,ABS(N(H739))&lt;=$D$2,ABS(N(K739))&lt;=$D$2),"Reconciles within tolerance","Outside tolerance"))</f>
        <v>Reconciles within tolerance</v>
      </c>
    </row>
    <row r="740" customFormat="false" ht="15" hidden="false" customHeight="false" outlineLevel="0" collapsed="false">
      <c r="A740" s="7" t="n">
        <v>2009</v>
      </c>
      <c r="B740" s="15" t="s">
        <v>111</v>
      </c>
      <c r="C740" s="19" t="n">
        <v>41.267212</v>
      </c>
      <c r="D740" s="19" t="n">
        <v>41.267212</v>
      </c>
      <c r="E740" s="20" t="n">
        <f aca="false">IF(OR(D740="",D740=0),"",(C740-D740)/D740)</f>
        <v>0</v>
      </c>
      <c r="F740" s="19" t="n">
        <v>53.499046</v>
      </c>
      <c r="G740" s="19" t="n">
        <v>53.499046</v>
      </c>
      <c r="H740" s="20" t="n">
        <f aca="false">IF(OR(G740="",G740=0),"",(F740-G740)/G740)</f>
        <v>0</v>
      </c>
      <c r="I740" s="19" t="n">
        <v>101.044759</v>
      </c>
      <c r="J740" s="19" t="n">
        <v>101.044759</v>
      </c>
      <c r="K740" s="20" t="n">
        <f aca="false">IF(OR(J740="",J740=0),"",(I740-J740)/J740)</f>
        <v>0</v>
      </c>
      <c r="L740" s="21" t="str">
        <f aca="false">IF(OR(D740="",G740="",J740=""),"No reported subtotal",IF(AND(ABS(N(E740))&lt;=$D$2,ABS(N(H740))&lt;=$D$2,ABS(N(K740))&lt;=$D$2),"Reconciles within tolerance","Outside tolerance"))</f>
        <v>Reconciles within tolerance</v>
      </c>
    </row>
    <row r="741" customFormat="false" ht="15" hidden="false" customHeight="false" outlineLevel="0" collapsed="false">
      <c r="A741" s="7" t="n">
        <v>2010</v>
      </c>
      <c r="B741" s="15" t="s">
        <v>111</v>
      </c>
      <c r="C741" s="19" t="n">
        <v>32.959775</v>
      </c>
      <c r="D741" s="19" t="n">
        <v>32.959775</v>
      </c>
      <c r="E741" s="20" t="n">
        <f aca="false">IF(OR(D741="",D741=0),"",(C741-D741)/D741)</f>
        <v>0</v>
      </c>
      <c r="F741" s="19" t="n">
        <v>57.830661</v>
      </c>
      <c r="G741" s="19" t="n">
        <v>57.830661</v>
      </c>
      <c r="H741" s="20" t="n">
        <f aca="false">IF(OR(G741="",G741=0),"",(F741-G741)/G741)</f>
        <v>0</v>
      </c>
      <c r="I741" s="19" t="n">
        <v>98.107228</v>
      </c>
      <c r="J741" s="19" t="n">
        <v>98.107228</v>
      </c>
      <c r="K741" s="20" t="n">
        <f aca="false">IF(OR(J741="",J741=0),"",(I741-J741)/J741)</f>
        <v>0</v>
      </c>
      <c r="L741" s="21" t="str">
        <f aca="false">IF(OR(D741="",G741="",J741=""),"No reported subtotal",IF(AND(ABS(N(E741))&lt;=$D$2,ABS(N(H741))&lt;=$D$2,ABS(N(K741))&lt;=$D$2),"Reconciles within tolerance","Outside tolerance"))</f>
        <v>Reconciles within tolerance</v>
      </c>
    </row>
    <row r="742" customFormat="false" ht="15" hidden="false" customHeight="false" outlineLevel="0" collapsed="false">
      <c r="A742" s="7" t="n">
        <v>2011</v>
      </c>
      <c r="B742" s="15" t="s">
        <v>111</v>
      </c>
      <c r="C742" s="19" t="n">
        <v>35.953693</v>
      </c>
      <c r="D742" s="19" t="n">
        <v>35.953693</v>
      </c>
      <c r="E742" s="20" t="n">
        <f aca="false">IF(OR(D742="",D742=0),"",(C742-D742)/D742)</f>
        <v>0</v>
      </c>
      <c r="F742" s="19" t="n">
        <v>72.623239</v>
      </c>
      <c r="G742" s="19" t="n">
        <v>72.623239</v>
      </c>
      <c r="H742" s="20" t="n">
        <f aca="false">IF(OR(G742="",G742=0),"",(F742-G742)/G742)</f>
        <v>0</v>
      </c>
      <c r="I742" s="19" t="n">
        <v>78.314762</v>
      </c>
      <c r="J742" s="19" t="n">
        <v>78.314762</v>
      </c>
      <c r="K742" s="20" t="n">
        <f aca="false">IF(OR(J742="",J742=0),"",(I742-J742)/J742)</f>
        <v>0</v>
      </c>
      <c r="L742" s="21" t="str">
        <f aca="false">IF(OR(D742="",G742="",J742=""),"No reported subtotal",IF(AND(ABS(N(E742))&lt;=$D$2,ABS(N(H742))&lt;=$D$2,ABS(N(K742))&lt;=$D$2),"Reconciles within tolerance","Outside tolerance"))</f>
        <v>Reconciles within tolerance</v>
      </c>
    </row>
    <row r="743" customFormat="false" ht="15" hidden="false" customHeight="false" outlineLevel="0" collapsed="false">
      <c r="A743" s="7" t="n">
        <v>2012</v>
      </c>
      <c r="B743" s="15" t="s">
        <v>111</v>
      </c>
      <c r="C743" s="19" t="n">
        <v>51.867448</v>
      </c>
      <c r="D743" s="19" t="n">
        <v>51.867448</v>
      </c>
      <c r="E743" s="20" t="n">
        <f aca="false">IF(OR(D743="",D743=0),"",(C743-D743)/D743)</f>
        <v>0</v>
      </c>
      <c r="F743" s="19" t="n">
        <v>73.485887</v>
      </c>
      <c r="G743" s="19" t="n">
        <v>73.485887</v>
      </c>
      <c r="H743" s="20" t="n">
        <f aca="false">IF(OR(G743="",G743=0),"",(F743-G743)/G743)</f>
        <v>0</v>
      </c>
      <c r="I743" s="19" t="n">
        <v>120.818359</v>
      </c>
      <c r="J743" s="19" t="n">
        <v>120.818359</v>
      </c>
      <c r="K743" s="20" t="n">
        <f aca="false">IF(OR(J743="",J743=0),"",(I743-J743)/J743)</f>
        <v>0</v>
      </c>
      <c r="L743" s="21" t="str">
        <f aca="false">IF(OR(D743="",G743="",J743=""),"No reported subtotal",IF(AND(ABS(N(E743))&lt;=$D$2,ABS(N(H743))&lt;=$D$2,ABS(N(K743))&lt;=$D$2),"Reconciles within tolerance","Outside tolerance"))</f>
        <v>Reconciles within tolerance</v>
      </c>
    </row>
    <row r="744" customFormat="false" ht="15" hidden="false" customHeight="false" outlineLevel="0" collapsed="false">
      <c r="A744" s="7" t="n">
        <v>2013</v>
      </c>
      <c r="B744" s="15" t="s">
        <v>111</v>
      </c>
      <c r="C744" s="19" t="n">
        <v>41.874317</v>
      </c>
      <c r="D744" s="19" t="n">
        <v>41.874317</v>
      </c>
      <c r="E744" s="20" t="n">
        <f aca="false">IF(OR(D744="",D744=0),"",(C744-D744)/D744)</f>
        <v>0</v>
      </c>
      <c r="F744" s="19" t="n">
        <v>67.723762</v>
      </c>
      <c r="G744" s="19" t="n">
        <v>67.723762</v>
      </c>
      <c r="H744" s="20" t="n">
        <f aca="false">IF(OR(G744="",G744=0),"",(F744-G744)/G744)</f>
        <v>0</v>
      </c>
      <c r="I744" s="19" t="n">
        <v>95.005858</v>
      </c>
      <c r="J744" s="19" t="n">
        <v>95.005858</v>
      </c>
      <c r="K744" s="20" t="n">
        <f aca="false">IF(OR(J744="",J744=0),"",(I744-J744)/J744)</f>
        <v>0</v>
      </c>
      <c r="L744" s="21" t="str">
        <f aca="false">IF(OR(D744="",G744="",J744=""),"No reported subtotal",IF(AND(ABS(N(E744))&lt;=$D$2,ABS(N(H744))&lt;=$D$2,ABS(N(K744))&lt;=$D$2),"Reconciles within tolerance","Outside tolerance"))</f>
        <v>Reconciles within tolerance</v>
      </c>
    </row>
    <row r="745" customFormat="false" ht="15" hidden="false" customHeight="false" outlineLevel="0" collapsed="false">
      <c r="A745" s="7" t="n">
        <v>2014</v>
      </c>
      <c r="B745" s="15" t="s">
        <v>111</v>
      </c>
      <c r="C745" s="19" t="n">
        <v>42.235556</v>
      </c>
      <c r="D745" s="19" t="n">
        <v>42.235556</v>
      </c>
      <c r="E745" s="20" t="n">
        <f aca="false">IF(OR(D745="",D745=0),"",(C745-D745)/D745)</f>
        <v>0</v>
      </c>
      <c r="F745" s="19" t="n">
        <v>59.736321</v>
      </c>
      <c r="G745" s="19" t="n">
        <v>59.736321</v>
      </c>
      <c r="H745" s="20" t="n">
        <f aca="false">IF(OR(G745="",G745=0),"",(F745-G745)/G745)</f>
        <v>0</v>
      </c>
      <c r="I745" s="19" t="n">
        <v>103.507752</v>
      </c>
      <c r="J745" s="19" t="n">
        <v>103.507752</v>
      </c>
      <c r="K745" s="20" t="n">
        <f aca="false">IF(OR(J745="",J745=0),"",(I745-J745)/J745)</f>
        <v>0</v>
      </c>
      <c r="L745" s="21" t="str">
        <f aca="false">IF(OR(D745="",G745="",J745=""),"No reported subtotal",IF(AND(ABS(N(E745))&lt;=$D$2,ABS(N(H745))&lt;=$D$2,ABS(N(K745))&lt;=$D$2),"Reconciles within tolerance","Outside tolerance"))</f>
        <v>Reconciles within tolerance</v>
      </c>
    </row>
    <row r="746" customFormat="false" ht="15" hidden="false" customHeight="false" outlineLevel="0" collapsed="false">
      <c r="A746" s="7" t="n">
        <v>2015</v>
      </c>
      <c r="B746" s="15" t="s">
        <v>111</v>
      </c>
      <c r="C746" s="19" t="n">
        <v>43.419706</v>
      </c>
      <c r="D746" s="19" t="n">
        <v>43.419706</v>
      </c>
      <c r="E746" s="20" t="n">
        <f aca="false">IF(OR(D746="",D746=0),"",(C746-D746)/D746)</f>
        <v>0</v>
      </c>
      <c r="F746" s="19" t="n">
        <v>64.654438</v>
      </c>
      <c r="G746" s="19" t="n">
        <v>64.654438</v>
      </c>
      <c r="H746" s="20" t="n">
        <f aca="false">IF(OR(G746="",G746=0),"",(F746-G746)/G746)</f>
        <v>0</v>
      </c>
      <c r="I746" s="19" t="n">
        <v>92.701046</v>
      </c>
      <c r="J746" s="19" t="n">
        <v>92.701046</v>
      </c>
      <c r="K746" s="20" t="n">
        <f aca="false">IF(OR(J746="",J746=0),"",(I746-J746)/J746)</f>
        <v>0</v>
      </c>
      <c r="L746" s="21" t="str">
        <f aca="false">IF(OR(D746="",G746="",J746=""),"No reported subtotal",IF(AND(ABS(N(E746))&lt;=$D$2,ABS(N(H746))&lt;=$D$2,ABS(N(K746))&lt;=$D$2),"Reconciles within tolerance","Outside tolerance"))</f>
        <v>Reconciles within tolerance</v>
      </c>
    </row>
    <row r="747" customFormat="false" ht="15" hidden="false" customHeight="false" outlineLevel="0" collapsed="false">
      <c r="A747" s="7" t="n">
        <v>2016</v>
      </c>
      <c r="B747" s="15" t="s">
        <v>111</v>
      </c>
      <c r="C747" s="19" t="n">
        <v>44.599674</v>
      </c>
      <c r="D747" s="19" t="n">
        <v>44.599674</v>
      </c>
      <c r="E747" s="20" t="n">
        <f aca="false">IF(OR(D747="",D747=0),"",(C747-D747)/D747)</f>
        <v>0</v>
      </c>
      <c r="F747" s="19" t="n">
        <v>63.784123</v>
      </c>
      <c r="G747" s="19" t="n">
        <v>63.784123</v>
      </c>
      <c r="H747" s="20" t="n">
        <f aca="false">IF(OR(G747="",G747=0),"",(F747-G747)/G747)</f>
        <v>0</v>
      </c>
      <c r="I747" s="19" t="n">
        <v>137.435262</v>
      </c>
      <c r="J747" s="19" t="n">
        <v>137.435262</v>
      </c>
      <c r="K747" s="20" t="n">
        <f aca="false">IF(OR(J747="",J747=0),"",(I747-J747)/J747)</f>
        <v>0</v>
      </c>
      <c r="L747" s="21" t="str">
        <f aca="false">IF(OR(D747="",G747="",J747=""),"No reported subtotal",IF(AND(ABS(N(E747))&lt;=$D$2,ABS(N(H747))&lt;=$D$2,ABS(N(K747))&lt;=$D$2),"Reconciles within tolerance","Outside tolerance"))</f>
        <v>Reconciles within tolerance</v>
      </c>
    </row>
    <row r="748" customFormat="false" ht="15" hidden="false" customHeight="false" outlineLevel="0" collapsed="false">
      <c r="A748" s="7" t="n">
        <v>2017</v>
      </c>
      <c r="B748" s="15" t="s">
        <v>111</v>
      </c>
      <c r="C748" s="19" t="n">
        <v>65.17477</v>
      </c>
      <c r="D748" s="19" t="n">
        <v>65.17477</v>
      </c>
      <c r="E748" s="20" t="n">
        <f aca="false">IF(OR(D748="",D748=0),"",(C748-D748)/D748)</f>
        <v>0</v>
      </c>
      <c r="F748" s="19" t="n">
        <v>61.680743</v>
      </c>
      <c r="G748" s="19" t="n">
        <v>61.680743</v>
      </c>
      <c r="H748" s="20" t="n">
        <f aca="false">IF(OR(G748="",G748=0),"",(F748-G748)/G748)</f>
        <v>0</v>
      </c>
      <c r="I748" s="19" t="n">
        <v>124.713569</v>
      </c>
      <c r="J748" s="19" t="n">
        <v>124.713569</v>
      </c>
      <c r="K748" s="20" t="n">
        <f aca="false">IF(OR(J748="",J748=0),"",(I748-J748)/J748)</f>
        <v>0</v>
      </c>
      <c r="L748" s="21" t="str">
        <f aca="false">IF(OR(D748="",G748="",J748=""),"No reported subtotal",IF(AND(ABS(N(E748))&lt;=$D$2,ABS(N(H748))&lt;=$D$2,ABS(N(K748))&lt;=$D$2),"Reconciles within tolerance","Outside tolerance"))</f>
        <v>Reconciles within tolerance</v>
      </c>
    </row>
    <row r="749" customFormat="false" ht="15" hidden="false" customHeight="false" outlineLevel="0" collapsed="false">
      <c r="A749" s="7" t="n">
        <v>2018</v>
      </c>
      <c r="B749" s="15" t="s">
        <v>111</v>
      </c>
      <c r="C749" s="19" t="n">
        <v>85.013346</v>
      </c>
      <c r="D749" s="19" t="n">
        <v>85.013346</v>
      </c>
      <c r="E749" s="20" t="n">
        <f aca="false">IF(OR(D749="",D749=0),"",(C749-D749)/D749)</f>
        <v>0</v>
      </c>
      <c r="F749" s="19" t="n">
        <v>65.785144</v>
      </c>
      <c r="G749" s="19" t="n">
        <v>65.785144</v>
      </c>
      <c r="H749" s="20" t="n">
        <f aca="false">IF(OR(G749="",G749=0),"",(F749-G749)/G749)</f>
        <v>0</v>
      </c>
      <c r="I749" s="19" t="n">
        <v>160.386913</v>
      </c>
      <c r="J749" s="19" t="n">
        <v>160.386913</v>
      </c>
      <c r="K749" s="20" t="n">
        <f aca="false">IF(OR(J749="",J749=0),"",(I749-J749)/J749)</f>
        <v>0</v>
      </c>
      <c r="L749" s="21" t="str">
        <f aca="false">IF(OR(D749="",G749="",J749=""),"No reported subtotal",IF(AND(ABS(N(E749))&lt;=$D$2,ABS(N(H749))&lt;=$D$2,ABS(N(K749))&lt;=$D$2),"Reconciles within tolerance","Outside tolerance"))</f>
        <v>Reconciles within tolerance</v>
      </c>
    </row>
    <row r="750" customFormat="false" ht="15" hidden="false" customHeight="false" outlineLevel="0" collapsed="false">
      <c r="A750" s="7" t="n">
        <v>2019</v>
      </c>
      <c r="B750" s="15" t="s">
        <v>111</v>
      </c>
      <c r="C750" s="19" t="n">
        <v>67.490569</v>
      </c>
      <c r="D750" s="19" t="n">
        <v>67.490569</v>
      </c>
      <c r="E750" s="20" t="n">
        <f aca="false">IF(OR(D750="",D750=0),"",(C750-D750)/D750)</f>
        <v>0</v>
      </c>
      <c r="F750" s="19" t="n">
        <v>62.246498</v>
      </c>
      <c r="G750" s="19" t="n">
        <v>62.246498</v>
      </c>
      <c r="H750" s="20" t="n">
        <f aca="false">IF(OR(G750="",G750=0),"",(F750-G750)/G750)</f>
        <v>0</v>
      </c>
      <c r="I750" s="19" t="n">
        <v>130.366525</v>
      </c>
      <c r="J750" s="19" t="n">
        <v>130.366525</v>
      </c>
      <c r="K750" s="20" t="n">
        <f aca="false">IF(OR(J750="",J750=0),"",(I750-J750)/J750)</f>
        <v>0</v>
      </c>
      <c r="L750" s="21" t="str">
        <f aca="false">IF(OR(D750="",G750="",J750=""),"No reported subtotal",IF(AND(ABS(N(E750))&lt;=$D$2,ABS(N(H750))&lt;=$D$2,ABS(N(K750))&lt;=$D$2),"Reconciles within tolerance","Outside tolerance"))</f>
        <v>Reconciles within tolerance</v>
      </c>
    </row>
    <row r="751" customFormat="false" ht="15" hidden="false" customHeight="false" outlineLevel="0" collapsed="false">
      <c r="A751" s="7" t="n">
        <v>2020</v>
      </c>
      <c r="B751" s="15" t="s">
        <v>111</v>
      </c>
      <c r="C751" s="19" t="n">
        <v>71.440623</v>
      </c>
      <c r="D751" s="19" t="n">
        <v>71.440623</v>
      </c>
      <c r="E751" s="20" t="n">
        <f aca="false">IF(OR(D751="",D751=0),"",(C751-D751)/D751)</f>
        <v>0</v>
      </c>
      <c r="F751" s="19" t="n">
        <v>66.588302</v>
      </c>
      <c r="G751" s="19" t="n">
        <v>66.588302</v>
      </c>
      <c r="H751" s="20" t="n">
        <f aca="false">IF(OR(G751="",G751=0),"",(F751-G751)/G751)</f>
        <v>0</v>
      </c>
      <c r="I751" s="19" t="n">
        <v>149.786732</v>
      </c>
      <c r="J751" s="19" t="n">
        <v>149.786732</v>
      </c>
      <c r="K751" s="20" t="n">
        <f aca="false">IF(OR(J751="",J751=0),"",(I751-J751)/J751)</f>
        <v>0</v>
      </c>
      <c r="L751" s="21" t="str">
        <f aca="false">IF(OR(D751="",G751="",J751=""),"No reported subtotal",IF(AND(ABS(N(E751))&lt;=$D$2,ABS(N(H751))&lt;=$D$2,ABS(N(K751))&lt;=$D$2),"Reconciles within tolerance","Outside tolerance"))</f>
        <v>Reconciles within tolerance</v>
      </c>
    </row>
    <row r="752" customFormat="false" ht="15" hidden="false" customHeight="false" outlineLevel="0" collapsed="false">
      <c r="A752" s="7" t="n">
        <v>2021</v>
      </c>
      <c r="B752" s="15" t="s">
        <v>111</v>
      </c>
      <c r="C752" s="19" t="n">
        <v>67.566861</v>
      </c>
      <c r="D752" s="19" t="n">
        <v>67.566861</v>
      </c>
      <c r="E752" s="20" t="n">
        <f aca="false">IF(OR(D752="",D752=0),"",(C752-D752)/D752)</f>
        <v>0</v>
      </c>
      <c r="F752" s="19" t="n">
        <v>59.820283</v>
      </c>
      <c r="G752" s="19" t="n">
        <v>59.820283</v>
      </c>
      <c r="H752" s="20" t="n">
        <f aca="false">IF(OR(G752="",G752=0),"",(F752-G752)/G752)</f>
        <v>0</v>
      </c>
      <c r="I752" s="19" t="n">
        <v>141.851187</v>
      </c>
      <c r="J752" s="19" t="n">
        <v>141.851187</v>
      </c>
      <c r="K752" s="20" t="n">
        <f aca="false">IF(OR(J752="",J752=0),"",(I752-J752)/J752)</f>
        <v>0</v>
      </c>
      <c r="L752" s="21" t="str">
        <f aca="false">IF(OR(D752="",G752="",J752=""),"No reported subtotal",IF(AND(ABS(N(E752))&lt;=$D$2,ABS(N(H752))&lt;=$D$2,ABS(N(K752))&lt;=$D$2),"Reconciles within tolerance","Outside tolerance"))</f>
        <v>Reconciles within tolerance</v>
      </c>
    </row>
    <row r="753" customFormat="false" ht="15" hidden="false" customHeight="false" outlineLevel="0" collapsed="false">
      <c r="A753" s="7" t="n">
        <v>2022</v>
      </c>
      <c r="B753" s="15" t="s">
        <v>111</v>
      </c>
      <c r="C753" s="19" t="n">
        <v>103.515153</v>
      </c>
      <c r="D753" s="19" t="n">
        <v>103.515153</v>
      </c>
      <c r="E753" s="20" t="n">
        <f aca="false">IF(OR(D753="",D753=0),"",(C753-D753)/D753)</f>
        <v>0</v>
      </c>
      <c r="F753" s="19" t="n">
        <v>74.315168</v>
      </c>
      <c r="G753" s="19" t="n">
        <v>74.315168</v>
      </c>
      <c r="H753" s="20" t="n">
        <f aca="false">IF(OR(G753="",G753=0),"",(F753-G753)/G753)</f>
        <v>0</v>
      </c>
      <c r="I753" s="19" t="n">
        <v>125.448527</v>
      </c>
      <c r="J753" s="19" t="n">
        <v>125.448527</v>
      </c>
      <c r="K753" s="20" t="n">
        <f aca="false">IF(OR(J753="",J753=0),"",(I753-J753)/J753)</f>
        <v>0</v>
      </c>
      <c r="L753" s="21" t="str">
        <f aca="false">IF(OR(D753="",G753="",J753=""),"No reported subtotal",IF(AND(ABS(N(E753))&lt;=$D$2,ABS(N(H753))&lt;=$D$2,ABS(N(K753))&lt;=$D$2),"Reconciles within tolerance","Outside tolerance"))</f>
        <v>Reconciles within tolerance</v>
      </c>
    </row>
    <row r="754" customFormat="false" ht="15" hidden="false" customHeight="false" outlineLevel="0" collapsed="false">
      <c r="A754" s="7" t="n">
        <v>2023</v>
      </c>
      <c r="B754" s="15" t="s">
        <v>111</v>
      </c>
      <c r="C754" s="19" t="n">
        <v>92.429144</v>
      </c>
      <c r="D754" s="19" t="n">
        <v>92.429144</v>
      </c>
      <c r="E754" s="20" t="n">
        <f aca="false">IF(OR(D754="",D754=0),"",(C754-D754)/D754)</f>
        <v>0</v>
      </c>
      <c r="F754" s="19" t="n">
        <v>76.286707</v>
      </c>
      <c r="G754" s="19" t="n">
        <v>76.286707</v>
      </c>
      <c r="H754" s="20" t="n">
        <f aca="false">IF(OR(G754="",G754=0),"",(F754-G754)/G754)</f>
        <v>0</v>
      </c>
      <c r="I754" s="19" t="n">
        <v>152.023673</v>
      </c>
      <c r="J754" s="19" t="n">
        <v>152.023673</v>
      </c>
      <c r="K754" s="20" t="n">
        <f aca="false">IF(OR(J754="",J754=0),"",(I754-J754)/J754)</f>
        <v>0</v>
      </c>
      <c r="L754" s="21" t="str">
        <f aca="false">IF(OR(D754="",G754="",J754=""),"No reported subtotal",IF(AND(ABS(N(E754))&lt;=$D$2,ABS(N(H754))&lt;=$D$2,ABS(N(K754))&lt;=$D$2),"Reconciles within tolerance","Outside tolerance"))</f>
        <v>Reconciles within tolerance</v>
      </c>
    </row>
    <row r="755" customFormat="false" ht="15" hidden="false" customHeight="false" outlineLevel="0" collapsed="false">
      <c r="A755" s="7" t="n">
        <v>2000</v>
      </c>
      <c r="B755" s="15" t="s">
        <v>112</v>
      </c>
      <c r="C755" s="19" t="n">
        <v>10.959921</v>
      </c>
      <c r="D755" s="19" t="n">
        <v>10.959921</v>
      </c>
      <c r="E755" s="20" t="n">
        <f aca="false">IF(OR(D755="",D755=0),"",(C755-D755)/D755)</f>
        <v>0</v>
      </c>
      <c r="F755" s="19" t="n">
        <v>8.22639</v>
      </c>
      <c r="G755" s="19" t="n">
        <v>8.22639</v>
      </c>
      <c r="H755" s="20" t="n">
        <f aca="false">IF(OR(G755="",G755=0),"",(F755-G755)/G755)</f>
        <v>0</v>
      </c>
      <c r="I755" s="19" t="n">
        <v>9.280058</v>
      </c>
      <c r="J755" s="19" t="n">
        <v>9.280058</v>
      </c>
      <c r="K755" s="20" t="n">
        <f aca="false">IF(OR(J755="",J755=0),"",(I755-J755)/J755)</f>
        <v>0</v>
      </c>
      <c r="L755" s="21" t="str">
        <f aca="false">IF(OR(D755="",G755="",J755=""),"No reported subtotal",IF(AND(ABS(N(E755))&lt;=$D$2,ABS(N(H755))&lt;=$D$2,ABS(N(K755))&lt;=$D$2),"Reconciles within tolerance","Outside tolerance"))</f>
        <v>Reconciles within tolerance</v>
      </c>
    </row>
    <row r="756" customFormat="false" ht="15" hidden="false" customHeight="false" outlineLevel="0" collapsed="false">
      <c r="A756" s="7" t="n">
        <v>2001</v>
      </c>
      <c r="B756" s="15" t="s">
        <v>112</v>
      </c>
      <c r="C756" s="19" t="n">
        <v>8.554656</v>
      </c>
      <c r="D756" s="19" t="n">
        <v>8.554656</v>
      </c>
      <c r="E756" s="20" t="n">
        <f aca="false">IF(OR(D756="",D756=0),"",(C756-D756)/D756)</f>
        <v>0</v>
      </c>
      <c r="F756" s="19" t="n">
        <v>6.832228</v>
      </c>
      <c r="G756" s="19" t="n">
        <v>6.832228</v>
      </c>
      <c r="H756" s="20" t="n">
        <f aca="false">IF(OR(G756="",G756=0),"",(F756-G756)/G756)</f>
        <v>0</v>
      </c>
      <c r="I756" s="19" t="n">
        <v>11.030107</v>
      </c>
      <c r="J756" s="19" t="n">
        <v>11.030107</v>
      </c>
      <c r="K756" s="20" t="n">
        <f aca="false">IF(OR(J756="",J756=0),"",(I756-J756)/J756)</f>
        <v>0</v>
      </c>
      <c r="L756" s="21" t="str">
        <f aca="false">IF(OR(D756="",G756="",J756=""),"No reported subtotal",IF(AND(ABS(N(E756))&lt;=$D$2,ABS(N(H756))&lt;=$D$2,ABS(N(K756))&lt;=$D$2),"Reconciles within tolerance","Outside tolerance"))</f>
        <v>Reconciles within tolerance</v>
      </c>
    </row>
    <row r="757" customFormat="false" ht="15" hidden="false" customHeight="false" outlineLevel="0" collapsed="false">
      <c r="A757" s="7" t="n">
        <v>2002</v>
      </c>
      <c r="B757" s="15" t="s">
        <v>112</v>
      </c>
      <c r="C757" s="19" t="n">
        <v>9.28718</v>
      </c>
      <c r="D757" s="19" t="n">
        <v>9.28718</v>
      </c>
      <c r="E757" s="20" t="n">
        <f aca="false">IF(OR(D757="",D757=0),"",(C757-D757)/D757)</f>
        <v>0</v>
      </c>
      <c r="F757" s="19" t="n">
        <v>5.175261</v>
      </c>
      <c r="G757" s="19" t="n">
        <v>5.175261</v>
      </c>
      <c r="H757" s="20" t="n">
        <f aca="false">IF(OR(G757="",G757=0),"",(F757-G757)/G757)</f>
        <v>0</v>
      </c>
      <c r="I757" s="19" t="n">
        <v>11.934342</v>
      </c>
      <c r="J757" s="19" t="n">
        <v>11.934342</v>
      </c>
      <c r="K757" s="20" t="n">
        <f aca="false">IF(OR(J757="",J757=0),"",(I757-J757)/J757)</f>
        <v>0</v>
      </c>
      <c r="L757" s="21" t="str">
        <f aca="false">IF(OR(D757="",G757="",J757=""),"No reported subtotal",IF(AND(ABS(N(E757))&lt;=$D$2,ABS(N(H757))&lt;=$D$2,ABS(N(K757))&lt;=$D$2),"Reconciles within tolerance","Outside tolerance"))</f>
        <v>Reconciles within tolerance</v>
      </c>
    </row>
    <row r="758" customFormat="false" ht="15" hidden="false" customHeight="false" outlineLevel="0" collapsed="false">
      <c r="A758" s="7" t="n">
        <v>2003</v>
      </c>
      <c r="B758" s="15" t="s">
        <v>112</v>
      </c>
      <c r="C758" s="19" t="n">
        <v>12.999695</v>
      </c>
      <c r="D758" s="19" t="n">
        <v>12.999695</v>
      </c>
      <c r="E758" s="20" t="n">
        <f aca="false">IF(OR(D758="",D758=0),"",(C758-D758)/D758)</f>
        <v>0</v>
      </c>
      <c r="F758" s="19" t="n">
        <v>13.166787</v>
      </c>
      <c r="G758" s="19" t="n">
        <v>13.166787</v>
      </c>
      <c r="H758" s="20" t="n">
        <f aca="false">IF(OR(G758="",G758=0),"",(F758-G758)/G758)</f>
        <v>0</v>
      </c>
      <c r="I758" s="19" t="n">
        <v>15.265575</v>
      </c>
      <c r="J758" s="19" t="n">
        <v>15.265575</v>
      </c>
      <c r="K758" s="20" t="n">
        <f aca="false">IF(OR(J758="",J758=0),"",(I758-J758)/J758)</f>
        <v>0</v>
      </c>
      <c r="L758" s="21" t="str">
        <f aca="false">IF(OR(D758="",G758="",J758=""),"No reported subtotal",IF(AND(ABS(N(E758))&lt;=$D$2,ABS(N(H758))&lt;=$D$2,ABS(N(K758))&lt;=$D$2),"Reconciles within tolerance","Outside tolerance"))</f>
        <v>Reconciles within tolerance</v>
      </c>
    </row>
    <row r="759" customFormat="false" ht="15" hidden="false" customHeight="false" outlineLevel="0" collapsed="false">
      <c r="A759" s="7" t="n">
        <v>2004</v>
      </c>
      <c r="B759" s="15" t="s">
        <v>112</v>
      </c>
      <c r="C759" s="19" t="n">
        <v>8.729951</v>
      </c>
      <c r="D759" s="19" t="n">
        <v>8.729951</v>
      </c>
      <c r="E759" s="20" t="n">
        <f aca="false">IF(OR(D759="",D759=0),"",(C759-D759)/D759)</f>
        <v>0</v>
      </c>
      <c r="F759" s="19" t="n">
        <v>6.437959</v>
      </c>
      <c r="G759" s="19" t="n">
        <v>6.437959</v>
      </c>
      <c r="H759" s="20" t="n">
        <f aca="false">IF(OR(G759="",G759=0),"",(F759-G759)/G759)</f>
        <v>0</v>
      </c>
      <c r="I759" s="19" t="n">
        <v>15.134883</v>
      </c>
      <c r="J759" s="19" t="n">
        <v>15.134883</v>
      </c>
      <c r="K759" s="20" t="n">
        <f aca="false">IF(OR(J759="",J759=0),"",(I759-J759)/J759)</f>
        <v>0</v>
      </c>
      <c r="L759" s="21" t="str">
        <f aca="false">IF(OR(D759="",G759="",J759=""),"No reported subtotal",IF(AND(ABS(N(E759))&lt;=$D$2,ABS(N(H759))&lt;=$D$2,ABS(N(K759))&lt;=$D$2),"Reconciles within tolerance","Outside tolerance"))</f>
        <v>Reconciles within tolerance</v>
      </c>
    </row>
    <row r="760" customFormat="false" ht="15" hidden="false" customHeight="false" outlineLevel="0" collapsed="false">
      <c r="A760" s="7" t="n">
        <v>2005</v>
      </c>
      <c r="B760" s="15" t="s">
        <v>112</v>
      </c>
      <c r="C760" s="19" t="n">
        <v>9.901775</v>
      </c>
      <c r="D760" s="19" t="n">
        <v>9.901775</v>
      </c>
      <c r="E760" s="20" t="n">
        <f aca="false">IF(OR(D760="",D760=0),"",(C760-D760)/D760)</f>
        <v>0</v>
      </c>
      <c r="F760" s="19" t="n">
        <v>9.229207</v>
      </c>
      <c r="G760" s="19" t="n">
        <v>9.229207</v>
      </c>
      <c r="H760" s="20" t="n">
        <f aca="false">IF(OR(G760="",G760=0),"",(F760-G760)/G760)</f>
        <v>0</v>
      </c>
      <c r="I760" s="19" t="n">
        <v>23.287318</v>
      </c>
      <c r="J760" s="19" t="n">
        <v>23.287318</v>
      </c>
      <c r="K760" s="20" t="n">
        <f aca="false">IF(OR(J760="",J760=0),"",(I760-J760)/J760)</f>
        <v>0</v>
      </c>
      <c r="L760" s="21" t="str">
        <f aca="false">IF(OR(D760="",G760="",J760=""),"No reported subtotal",IF(AND(ABS(N(E760))&lt;=$D$2,ABS(N(H760))&lt;=$D$2,ABS(N(K760))&lt;=$D$2),"Reconciles within tolerance","Outside tolerance"))</f>
        <v>Reconciles within tolerance</v>
      </c>
    </row>
    <row r="761" customFormat="false" ht="15" hidden="false" customHeight="false" outlineLevel="0" collapsed="false">
      <c r="A761" s="7" t="n">
        <v>2006</v>
      </c>
      <c r="B761" s="15" t="s">
        <v>112</v>
      </c>
      <c r="C761" s="19" t="n">
        <v>11.821837</v>
      </c>
      <c r="D761" s="19" t="n">
        <v>11.821837</v>
      </c>
      <c r="E761" s="20" t="n">
        <f aca="false">IF(OR(D761="",D761=0),"",(C761-D761)/D761)</f>
        <v>0</v>
      </c>
      <c r="F761" s="19" t="n">
        <v>8.822817</v>
      </c>
      <c r="G761" s="19" t="n">
        <v>8.822817</v>
      </c>
      <c r="H761" s="20" t="n">
        <f aca="false">IF(OR(G761="",G761=0),"",(F761-G761)/G761)</f>
        <v>0</v>
      </c>
      <c r="I761" s="19" t="n">
        <v>16.085515</v>
      </c>
      <c r="J761" s="19" t="n">
        <v>16.085515</v>
      </c>
      <c r="K761" s="20" t="n">
        <f aca="false">IF(OR(J761="",J761=0),"",(I761-J761)/J761)</f>
        <v>0</v>
      </c>
      <c r="L761" s="21" t="str">
        <f aca="false">IF(OR(D761="",G761="",J761=""),"No reported subtotal",IF(AND(ABS(N(E761))&lt;=$D$2,ABS(N(H761))&lt;=$D$2,ABS(N(K761))&lt;=$D$2),"Reconciles within tolerance","Outside tolerance"))</f>
        <v>Reconciles within tolerance</v>
      </c>
    </row>
    <row r="762" customFormat="false" ht="15" hidden="false" customHeight="false" outlineLevel="0" collapsed="false">
      <c r="A762" s="7" t="n">
        <v>2007</v>
      </c>
      <c r="B762" s="15" t="s">
        <v>112</v>
      </c>
      <c r="C762" s="19" t="n">
        <v>14.401114</v>
      </c>
      <c r="D762" s="19" t="n">
        <v>14.401114</v>
      </c>
      <c r="E762" s="20" t="n">
        <f aca="false">IF(OR(D762="",D762=0),"",(C762-D762)/D762)</f>
        <v>0</v>
      </c>
      <c r="F762" s="19" t="n">
        <v>9.510333</v>
      </c>
      <c r="G762" s="19" t="n">
        <v>9.510333</v>
      </c>
      <c r="H762" s="20" t="n">
        <f aca="false">IF(OR(G762="",G762=0),"",(F762-G762)/G762)</f>
        <v>0</v>
      </c>
      <c r="I762" s="19" t="n">
        <v>20.31776</v>
      </c>
      <c r="J762" s="19" t="n">
        <v>20.31776</v>
      </c>
      <c r="K762" s="20" t="n">
        <f aca="false">IF(OR(J762="",J762=0),"",(I762-J762)/J762)</f>
        <v>0</v>
      </c>
      <c r="L762" s="21" t="str">
        <f aca="false">IF(OR(D762="",G762="",J762=""),"No reported subtotal",IF(AND(ABS(N(E762))&lt;=$D$2,ABS(N(H762))&lt;=$D$2,ABS(N(K762))&lt;=$D$2),"Reconciles within tolerance","Outside tolerance"))</f>
        <v>Reconciles within tolerance</v>
      </c>
    </row>
    <row r="763" customFormat="false" ht="15" hidden="false" customHeight="false" outlineLevel="0" collapsed="false">
      <c r="A763" s="7" t="n">
        <v>2008</v>
      </c>
      <c r="B763" s="15" t="s">
        <v>112</v>
      </c>
      <c r="C763" s="19" t="n">
        <v>17.614376</v>
      </c>
      <c r="D763" s="19" t="n">
        <v>17.614376</v>
      </c>
      <c r="E763" s="20" t="n">
        <f aca="false">IF(OR(D763="",D763=0),"",(C763-D763)/D763)</f>
        <v>0</v>
      </c>
      <c r="F763" s="19" t="n">
        <v>14.083897</v>
      </c>
      <c r="G763" s="19" t="n">
        <v>14.083897</v>
      </c>
      <c r="H763" s="20" t="n">
        <f aca="false">IF(OR(G763="",G763=0),"",(F763-G763)/G763)</f>
        <v>0</v>
      </c>
      <c r="I763" s="19" t="n">
        <v>30.590305</v>
      </c>
      <c r="J763" s="19" t="n">
        <v>30.590305</v>
      </c>
      <c r="K763" s="20" t="n">
        <f aca="false">IF(OR(J763="",J763=0),"",(I763-J763)/J763)</f>
        <v>0</v>
      </c>
      <c r="L763" s="21" t="str">
        <f aca="false">IF(OR(D763="",G763="",J763=""),"No reported subtotal",IF(AND(ABS(N(E763))&lt;=$D$2,ABS(N(H763))&lt;=$D$2,ABS(N(K763))&lt;=$D$2),"Reconciles within tolerance","Outside tolerance"))</f>
        <v>Reconciles within tolerance</v>
      </c>
    </row>
    <row r="764" customFormat="false" ht="15" hidden="false" customHeight="false" outlineLevel="0" collapsed="false">
      <c r="A764" s="7" t="n">
        <v>2009</v>
      </c>
      <c r="B764" s="15" t="s">
        <v>112</v>
      </c>
      <c r="C764" s="19" t="n">
        <v>8.393165</v>
      </c>
      <c r="D764" s="19" t="n">
        <v>8.393165</v>
      </c>
      <c r="E764" s="20" t="n">
        <f aca="false">IF(OR(D764="",D764=0),"",(C764-D764)/D764)</f>
        <v>0</v>
      </c>
      <c r="F764" s="19" t="n">
        <v>17.672757</v>
      </c>
      <c r="G764" s="19" t="n">
        <v>17.672757</v>
      </c>
      <c r="H764" s="20" t="n">
        <f aca="false">IF(OR(G764="",G764=0),"",(F764-G764)/G764)</f>
        <v>0</v>
      </c>
      <c r="I764" s="19" t="n">
        <v>25.437635</v>
      </c>
      <c r="J764" s="19" t="n">
        <v>25.437635</v>
      </c>
      <c r="K764" s="20" t="n">
        <f aca="false">IF(OR(J764="",J764=0),"",(I764-J764)/J764)</f>
        <v>0</v>
      </c>
      <c r="L764" s="21" t="str">
        <f aca="false">IF(OR(D764="",G764="",J764=""),"No reported subtotal",IF(AND(ABS(N(E764))&lt;=$D$2,ABS(N(H764))&lt;=$D$2,ABS(N(K764))&lt;=$D$2),"Reconciles within tolerance","Outside tolerance"))</f>
        <v>Reconciles within tolerance</v>
      </c>
    </row>
    <row r="765" customFormat="false" ht="15" hidden="false" customHeight="false" outlineLevel="0" collapsed="false">
      <c r="A765" s="7" t="n">
        <v>2010</v>
      </c>
      <c r="B765" s="15" t="s">
        <v>112</v>
      </c>
      <c r="C765" s="19" t="n">
        <v>8.076725</v>
      </c>
      <c r="D765" s="19" t="n">
        <v>8.076725</v>
      </c>
      <c r="E765" s="20" t="n">
        <f aca="false">IF(OR(D765="",D765=0),"",(C765-D765)/D765)</f>
        <v>0</v>
      </c>
      <c r="F765" s="19" t="n">
        <v>19.705197</v>
      </c>
      <c r="G765" s="19" t="n">
        <v>19.705197</v>
      </c>
      <c r="H765" s="20" t="n">
        <f aca="false">IF(OR(G765="",G765=0),"",(F765-G765)/G765)</f>
        <v>0</v>
      </c>
      <c r="I765" s="19" t="n">
        <v>22.297959</v>
      </c>
      <c r="J765" s="19" t="n">
        <v>22.297959</v>
      </c>
      <c r="K765" s="20" t="n">
        <f aca="false">IF(OR(J765="",J765=0),"",(I765-J765)/J765)</f>
        <v>0</v>
      </c>
      <c r="L765" s="21" t="str">
        <f aca="false">IF(OR(D765="",G765="",J765=""),"No reported subtotal",IF(AND(ABS(N(E765))&lt;=$D$2,ABS(N(H765))&lt;=$D$2,ABS(N(K765))&lt;=$D$2),"Reconciles within tolerance","Outside tolerance"))</f>
        <v>Reconciles within tolerance</v>
      </c>
    </row>
    <row r="766" customFormat="false" ht="15" hidden="false" customHeight="false" outlineLevel="0" collapsed="false">
      <c r="A766" s="7" t="n">
        <v>2011</v>
      </c>
      <c r="B766" s="15" t="s">
        <v>112</v>
      </c>
      <c r="C766" s="19" t="n">
        <v>7.916894</v>
      </c>
      <c r="D766" s="19" t="n">
        <v>7.916894</v>
      </c>
      <c r="E766" s="20" t="n">
        <f aca="false">IF(OR(D766="",D766=0),"",(C766-D766)/D766)</f>
        <v>0</v>
      </c>
      <c r="F766" s="19" t="n">
        <v>23.243362</v>
      </c>
      <c r="G766" s="19" t="n">
        <v>23.243362</v>
      </c>
      <c r="H766" s="20" t="n">
        <f aca="false">IF(OR(G766="",G766=0),"",(F766-G766)/G766)</f>
        <v>0</v>
      </c>
      <c r="I766" s="19" t="n">
        <v>19.711283</v>
      </c>
      <c r="J766" s="19" t="n">
        <v>19.711283</v>
      </c>
      <c r="K766" s="20" t="n">
        <f aca="false">IF(OR(J766="",J766=0),"",(I766-J766)/J766)</f>
        <v>0</v>
      </c>
      <c r="L766" s="21" t="str">
        <f aca="false">IF(OR(D766="",G766="",J766=""),"No reported subtotal",IF(AND(ABS(N(E766))&lt;=$D$2,ABS(N(H766))&lt;=$D$2,ABS(N(K766))&lt;=$D$2),"Reconciles within tolerance","Outside tolerance"))</f>
        <v>Reconciles within tolerance</v>
      </c>
    </row>
    <row r="767" customFormat="false" ht="15" hidden="false" customHeight="false" outlineLevel="0" collapsed="false">
      <c r="A767" s="7" t="n">
        <v>2012</v>
      </c>
      <c r="B767" s="15" t="s">
        <v>112</v>
      </c>
      <c r="C767" s="19" t="n">
        <v>11.926235</v>
      </c>
      <c r="D767" s="19" t="n">
        <v>11.926235</v>
      </c>
      <c r="E767" s="20" t="n">
        <f aca="false">IF(OR(D767="",D767=0),"",(C767-D767)/D767)</f>
        <v>0</v>
      </c>
      <c r="F767" s="19" t="n">
        <v>22.474686</v>
      </c>
      <c r="G767" s="19" t="n">
        <v>22.474686</v>
      </c>
      <c r="H767" s="20" t="n">
        <f aca="false">IF(OR(G767="",G767=0),"",(F767-G767)/G767)</f>
        <v>0</v>
      </c>
      <c r="I767" s="19" t="n">
        <v>30.195916</v>
      </c>
      <c r="J767" s="19" t="n">
        <v>30.195916</v>
      </c>
      <c r="K767" s="20" t="n">
        <f aca="false">IF(OR(J767="",J767=0),"",(I767-J767)/J767)</f>
        <v>0</v>
      </c>
      <c r="L767" s="21" t="str">
        <f aca="false">IF(OR(D767="",G767="",J767=""),"No reported subtotal",IF(AND(ABS(N(E767))&lt;=$D$2,ABS(N(H767))&lt;=$D$2,ABS(N(K767))&lt;=$D$2),"Reconciles within tolerance","Outside tolerance"))</f>
        <v>Reconciles within tolerance</v>
      </c>
    </row>
    <row r="768" customFormat="false" ht="15" hidden="false" customHeight="false" outlineLevel="0" collapsed="false">
      <c r="A768" s="7" t="n">
        <v>2013</v>
      </c>
      <c r="B768" s="15" t="s">
        <v>112</v>
      </c>
      <c r="C768" s="19" t="n">
        <v>13.245162</v>
      </c>
      <c r="D768" s="19" t="n">
        <v>13.245162</v>
      </c>
      <c r="E768" s="20" t="n">
        <f aca="false">IF(OR(D768="",D768=0),"",(C768-D768)/D768)</f>
        <v>0</v>
      </c>
      <c r="F768" s="19" t="n">
        <v>16.924061</v>
      </c>
      <c r="G768" s="19" t="n">
        <v>16.924061</v>
      </c>
      <c r="H768" s="20" t="n">
        <f aca="false">IF(OR(G768="",G768=0),"",(F768-G768)/G768)</f>
        <v>0</v>
      </c>
      <c r="I768" s="19" t="n">
        <v>22.620302</v>
      </c>
      <c r="J768" s="19" t="n">
        <v>22.620302</v>
      </c>
      <c r="K768" s="20" t="n">
        <f aca="false">IF(OR(J768="",J768=0),"",(I768-J768)/J768)</f>
        <v>0</v>
      </c>
      <c r="L768" s="21" t="str">
        <f aca="false">IF(OR(D768="",G768="",J768=""),"No reported subtotal",IF(AND(ABS(N(E768))&lt;=$D$2,ABS(N(H768))&lt;=$D$2,ABS(N(K768))&lt;=$D$2),"Reconciles within tolerance","Outside tolerance"))</f>
        <v>Reconciles within tolerance</v>
      </c>
    </row>
    <row r="769" customFormat="false" ht="15" hidden="false" customHeight="false" outlineLevel="0" collapsed="false">
      <c r="A769" s="7" t="n">
        <v>2014</v>
      </c>
      <c r="B769" s="15" t="s">
        <v>112</v>
      </c>
      <c r="C769" s="19" t="n">
        <v>12.063012</v>
      </c>
      <c r="D769" s="19" t="n">
        <v>12.063012</v>
      </c>
      <c r="E769" s="20" t="n">
        <f aca="false">IF(OR(D769="",D769=0),"",(C769-D769)/D769)</f>
        <v>0</v>
      </c>
      <c r="F769" s="19" t="n">
        <v>15.52638</v>
      </c>
      <c r="G769" s="19" t="n">
        <v>15.52638</v>
      </c>
      <c r="H769" s="20" t="n">
        <f aca="false">IF(OR(G769="",G769=0),"",(F769-G769)/G769)</f>
        <v>0</v>
      </c>
      <c r="I769" s="19" t="n">
        <v>35.005174</v>
      </c>
      <c r="J769" s="19" t="n">
        <v>35.005174</v>
      </c>
      <c r="K769" s="20" t="n">
        <f aca="false">IF(OR(J769="",J769=0),"",(I769-J769)/J769)</f>
        <v>0</v>
      </c>
      <c r="L769" s="21" t="str">
        <f aca="false">IF(OR(D769="",G769="",J769=""),"No reported subtotal",IF(AND(ABS(N(E769))&lt;=$D$2,ABS(N(H769))&lt;=$D$2,ABS(N(K769))&lt;=$D$2),"Reconciles within tolerance","Outside tolerance"))</f>
        <v>Reconciles within tolerance</v>
      </c>
    </row>
    <row r="770" customFormat="false" ht="15" hidden="false" customHeight="false" outlineLevel="0" collapsed="false">
      <c r="A770" s="7" t="n">
        <v>2015</v>
      </c>
      <c r="B770" s="15" t="s">
        <v>112</v>
      </c>
      <c r="C770" s="19" t="n">
        <v>12.443251</v>
      </c>
      <c r="D770" s="19" t="n">
        <v>12.443251</v>
      </c>
      <c r="E770" s="20" t="n">
        <f aca="false">IF(OR(D770="",D770=0),"",(C770-D770)/D770)</f>
        <v>0</v>
      </c>
      <c r="F770" s="19" t="n">
        <v>16.195487</v>
      </c>
      <c r="G770" s="19" t="n">
        <v>16.195487</v>
      </c>
      <c r="H770" s="20" t="n">
        <f aca="false">IF(OR(G770="",G770=0),"",(F770-G770)/G770)</f>
        <v>0</v>
      </c>
      <c r="I770" s="19" t="n">
        <v>53.075755</v>
      </c>
      <c r="J770" s="19" t="n">
        <v>53.075755</v>
      </c>
      <c r="K770" s="20" t="n">
        <f aca="false">IF(OR(J770="",J770=0),"",(I770-J770)/J770)</f>
        <v>0</v>
      </c>
      <c r="L770" s="21" t="str">
        <f aca="false">IF(OR(D770="",G770="",J770=""),"No reported subtotal",IF(AND(ABS(N(E770))&lt;=$D$2,ABS(N(H770))&lt;=$D$2,ABS(N(K770))&lt;=$D$2),"Reconciles within tolerance","Outside tolerance"))</f>
        <v>Reconciles within tolerance</v>
      </c>
    </row>
    <row r="771" customFormat="false" ht="15" hidden="false" customHeight="false" outlineLevel="0" collapsed="false">
      <c r="A771" s="7" t="n">
        <v>2016</v>
      </c>
      <c r="B771" s="15" t="s">
        <v>112</v>
      </c>
      <c r="C771" s="19" t="n">
        <v>12.05272</v>
      </c>
      <c r="D771" s="19" t="n">
        <v>12.05272</v>
      </c>
      <c r="E771" s="20" t="n">
        <f aca="false">IF(OR(D771="",D771=0),"",(C771-D771)/D771)</f>
        <v>0</v>
      </c>
      <c r="F771" s="19" t="n">
        <v>16.427935</v>
      </c>
      <c r="G771" s="19" t="n">
        <v>16.427935</v>
      </c>
      <c r="H771" s="20" t="n">
        <f aca="false">IF(OR(G771="",G771=0),"",(F771-G771)/G771)</f>
        <v>0</v>
      </c>
      <c r="I771" s="19" t="n">
        <v>48.083371</v>
      </c>
      <c r="J771" s="19" t="n">
        <v>48.083371</v>
      </c>
      <c r="K771" s="20" t="n">
        <f aca="false">IF(OR(J771="",J771=0),"",(I771-J771)/J771)</f>
        <v>0</v>
      </c>
      <c r="L771" s="21" t="str">
        <f aca="false">IF(OR(D771="",G771="",J771=""),"No reported subtotal",IF(AND(ABS(N(E771))&lt;=$D$2,ABS(N(H771))&lt;=$D$2,ABS(N(K771))&lt;=$D$2),"Reconciles within tolerance","Outside tolerance"))</f>
        <v>Reconciles within tolerance</v>
      </c>
    </row>
    <row r="772" customFormat="false" ht="15" hidden="false" customHeight="false" outlineLevel="0" collapsed="false">
      <c r="A772" s="7" t="n">
        <v>2017</v>
      </c>
      <c r="B772" s="15" t="s">
        <v>112</v>
      </c>
      <c r="C772" s="19" t="n">
        <v>16.137267</v>
      </c>
      <c r="D772" s="19" t="n">
        <v>16.137267</v>
      </c>
      <c r="E772" s="20" t="n">
        <f aca="false">IF(OR(D772="",D772=0),"",(C772-D772)/D772)</f>
        <v>0</v>
      </c>
      <c r="F772" s="19" t="n">
        <v>16.417886</v>
      </c>
      <c r="G772" s="19" t="n">
        <v>16.417886</v>
      </c>
      <c r="H772" s="20" t="n">
        <f aca="false">IF(OR(G772="",G772=0),"",(F772-G772)/G772)</f>
        <v>0</v>
      </c>
      <c r="I772" s="19" t="n">
        <v>49.940418</v>
      </c>
      <c r="J772" s="19" t="n">
        <v>49.940418</v>
      </c>
      <c r="K772" s="20" t="n">
        <f aca="false">IF(OR(J772="",J772=0),"",(I772-J772)/J772)</f>
        <v>0</v>
      </c>
      <c r="L772" s="21" t="str">
        <f aca="false">IF(OR(D772="",G772="",J772=""),"No reported subtotal",IF(AND(ABS(N(E772))&lt;=$D$2,ABS(N(H772))&lt;=$D$2,ABS(N(K772))&lt;=$D$2),"Reconciles within tolerance","Outside tolerance"))</f>
        <v>Reconciles within tolerance</v>
      </c>
    </row>
    <row r="773" customFormat="false" ht="15" hidden="false" customHeight="false" outlineLevel="0" collapsed="false">
      <c r="A773" s="7" t="n">
        <v>2018</v>
      </c>
      <c r="B773" s="15" t="s">
        <v>112</v>
      </c>
      <c r="C773" s="19" t="n">
        <v>20.721782</v>
      </c>
      <c r="D773" s="19" t="n">
        <v>20.721782</v>
      </c>
      <c r="E773" s="20" t="n">
        <f aca="false">IF(OR(D773="",D773=0),"",(C773-D773)/D773)</f>
        <v>0</v>
      </c>
      <c r="F773" s="19" t="n">
        <v>17.732017</v>
      </c>
      <c r="G773" s="19" t="n">
        <v>17.732017</v>
      </c>
      <c r="H773" s="20" t="n">
        <f aca="false">IF(OR(G773="",G773=0),"",(F773-G773)/G773)</f>
        <v>0</v>
      </c>
      <c r="I773" s="19" t="n">
        <v>42.195086</v>
      </c>
      <c r="J773" s="19" t="n">
        <v>42.195086</v>
      </c>
      <c r="K773" s="20" t="n">
        <f aca="false">IF(OR(J773="",J773=0),"",(I773-J773)/J773)</f>
        <v>0</v>
      </c>
      <c r="L773" s="21" t="str">
        <f aca="false">IF(OR(D773="",G773="",J773=""),"No reported subtotal",IF(AND(ABS(N(E773))&lt;=$D$2,ABS(N(H773))&lt;=$D$2,ABS(N(K773))&lt;=$D$2),"Reconciles within tolerance","Outside tolerance"))</f>
        <v>Reconciles within tolerance</v>
      </c>
    </row>
    <row r="774" customFormat="false" ht="15" hidden="false" customHeight="false" outlineLevel="0" collapsed="false">
      <c r="A774" s="7" t="n">
        <v>2019</v>
      </c>
      <c r="B774" s="15" t="s">
        <v>112</v>
      </c>
      <c r="C774" s="19" t="n">
        <v>18.105381</v>
      </c>
      <c r="D774" s="19" t="n">
        <v>18.105381</v>
      </c>
      <c r="E774" s="20" t="n">
        <f aca="false">IF(OR(D774="",D774=0),"",(C774-D774)/D774)</f>
        <v>0</v>
      </c>
      <c r="F774" s="19" t="n">
        <v>17.737749</v>
      </c>
      <c r="G774" s="19" t="n">
        <v>17.737749</v>
      </c>
      <c r="H774" s="20" t="n">
        <f aca="false">IF(OR(G774="",G774=0),"",(F774-G774)/G774)</f>
        <v>0</v>
      </c>
      <c r="I774" s="19" t="n">
        <v>44.395405</v>
      </c>
      <c r="J774" s="19" t="n">
        <v>44.395405</v>
      </c>
      <c r="K774" s="20" t="n">
        <f aca="false">IF(OR(J774="",J774=0),"",(I774-J774)/J774)</f>
        <v>0</v>
      </c>
      <c r="L774" s="21" t="str">
        <f aca="false">IF(OR(D774="",G774="",J774=""),"No reported subtotal",IF(AND(ABS(N(E774))&lt;=$D$2,ABS(N(H774))&lt;=$D$2,ABS(N(K774))&lt;=$D$2),"Reconciles within tolerance","Outside tolerance"))</f>
        <v>Reconciles within tolerance</v>
      </c>
    </row>
    <row r="775" customFormat="false" ht="15" hidden="false" customHeight="false" outlineLevel="0" collapsed="false">
      <c r="A775" s="7" t="n">
        <v>2020</v>
      </c>
      <c r="B775" s="15" t="s">
        <v>112</v>
      </c>
      <c r="C775" s="19" t="n">
        <v>20.009234</v>
      </c>
      <c r="D775" s="19" t="n">
        <v>20.009234</v>
      </c>
      <c r="E775" s="20" t="n">
        <f aca="false">IF(OR(D775="",D775=0),"",(C775-D775)/D775)</f>
        <v>0</v>
      </c>
      <c r="F775" s="19" t="n">
        <v>18.759017</v>
      </c>
      <c r="G775" s="19" t="n">
        <v>18.759017</v>
      </c>
      <c r="H775" s="20" t="n">
        <f aca="false">IF(OR(G775="",G775=0),"",(F775-G775)/G775)</f>
        <v>0</v>
      </c>
      <c r="I775" s="19" t="n">
        <v>38.802763</v>
      </c>
      <c r="J775" s="19" t="n">
        <v>38.802763</v>
      </c>
      <c r="K775" s="20" t="n">
        <f aca="false">IF(OR(J775="",J775=0),"",(I775-J775)/J775)</f>
        <v>0</v>
      </c>
      <c r="L775" s="21" t="str">
        <f aca="false">IF(OR(D775="",G775="",J775=""),"No reported subtotal",IF(AND(ABS(N(E775))&lt;=$D$2,ABS(N(H775))&lt;=$D$2,ABS(N(K775))&lt;=$D$2),"Reconciles within tolerance","Outside tolerance"))</f>
        <v>Reconciles within tolerance</v>
      </c>
    </row>
    <row r="776" customFormat="false" ht="15" hidden="false" customHeight="false" outlineLevel="0" collapsed="false">
      <c r="A776" s="7" t="n">
        <v>2021</v>
      </c>
      <c r="B776" s="15" t="s">
        <v>112</v>
      </c>
      <c r="C776" s="19" t="n">
        <v>18.214679</v>
      </c>
      <c r="D776" s="19" t="n">
        <v>18.214679</v>
      </c>
      <c r="E776" s="20" t="n">
        <f aca="false">IF(OR(D776="",D776=0),"",(C776-D776)/D776)</f>
        <v>0</v>
      </c>
      <c r="F776" s="19" t="n">
        <v>16.925656</v>
      </c>
      <c r="G776" s="19" t="n">
        <v>16.925656</v>
      </c>
      <c r="H776" s="20" t="n">
        <f aca="false">IF(OR(G776="",G776=0),"",(F776-G776)/G776)</f>
        <v>0</v>
      </c>
      <c r="I776" s="19" t="n">
        <v>42.832543</v>
      </c>
      <c r="J776" s="19" t="n">
        <v>42.832543</v>
      </c>
      <c r="K776" s="20" t="n">
        <f aca="false">IF(OR(J776="",J776=0),"",(I776-J776)/J776)</f>
        <v>0</v>
      </c>
      <c r="L776" s="21" t="str">
        <f aca="false">IF(OR(D776="",G776="",J776=""),"No reported subtotal",IF(AND(ABS(N(E776))&lt;=$D$2,ABS(N(H776))&lt;=$D$2,ABS(N(K776))&lt;=$D$2),"Reconciles within tolerance","Outside tolerance"))</f>
        <v>Reconciles within tolerance</v>
      </c>
    </row>
    <row r="777" customFormat="false" ht="15" hidden="false" customHeight="false" outlineLevel="0" collapsed="false">
      <c r="A777" s="7" t="n">
        <v>2022</v>
      </c>
      <c r="B777" s="15" t="s">
        <v>112</v>
      </c>
      <c r="C777" s="19" t="n">
        <v>29.547644</v>
      </c>
      <c r="D777" s="19" t="n">
        <v>29.547644</v>
      </c>
      <c r="E777" s="20" t="n">
        <f aca="false">IF(OR(D777="",D777=0),"",(C777-D777)/D777)</f>
        <v>0</v>
      </c>
      <c r="F777" s="19" t="n">
        <v>22.078376</v>
      </c>
      <c r="G777" s="19" t="n">
        <v>22.078376</v>
      </c>
      <c r="H777" s="20" t="n">
        <f aca="false">IF(OR(G777="",G777=0),"",(F777-G777)/G777)</f>
        <v>0</v>
      </c>
      <c r="I777" s="19" t="n">
        <v>32.118362</v>
      </c>
      <c r="J777" s="19" t="n">
        <v>32.118362</v>
      </c>
      <c r="K777" s="20" t="n">
        <f aca="false">IF(OR(J777="",J777=0),"",(I777-J777)/J777)</f>
        <v>0</v>
      </c>
      <c r="L777" s="21" t="str">
        <f aca="false">IF(OR(D777="",G777="",J777=""),"No reported subtotal",IF(AND(ABS(N(E777))&lt;=$D$2,ABS(N(H777))&lt;=$D$2,ABS(N(K777))&lt;=$D$2),"Reconciles within tolerance","Outside tolerance"))</f>
        <v>Reconciles within tolerance</v>
      </c>
    </row>
    <row r="778" customFormat="false" ht="15" hidden="false" customHeight="false" outlineLevel="0" collapsed="false">
      <c r="A778" s="7" t="n">
        <v>2023</v>
      </c>
      <c r="B778" s="15" t="s">
        <v>112</v>
      </c>
      <c r="C778" s="19" t="n">
        <v>34.593793</v>
      </c>
      <c r="D778" s="19" t="n">
        <v>34.593793</v>
      </c>
      <c r="E778" s="20" t="n">
        <f aca="false">IF(OR(D778="",D778=0),"",(C778-D778)/D778)</f>
        <v>0</v>
      </c>
      <c r="F778" s="19" t="n">
        <v>20.102926</v>
      </c>
      <c r="G778" s="19" t="n">
        <v>20.102926</v>
      </c>
      <c r="H778" s="20" t="n">
        <f aca="false">IF(OR(G778="",G778=0),"",(F778-G778)/G778)</f>
        <v>0</v>
      </c>
      <c r="I778" s="19" t="n">
        <v>35.377522</v>
      </c>
      <c r="J778" s="19" t="n">
        <v>35.377522</v>
      </c>
      <c r="K778" s="20" t="n">
        <f aca="false">IF(OR(J778="",J778=0),"",(I778-J778)/J778)</f>
        <v>0</v>
      </c>
      <c r="L778" s="21" t="str">
        <f aca="false">IF(OR(D778="",G778="",J778=""),"No reported subtotal",IF(AND(ABS(N(E778))&lt;=$D$2,ABS(N(H778))&lt;=$D$2,ABS(N(K778))&lt;=$D$2),"Reconciles within tolerance","Outside tolerance"))</f>
        <v>Reconciles within tolerance</v>
      </c>
    </row>
    <row r="779" customFormat="false" ht="15" hidden="false" customHeight="false" outlineLevel="0" collapsed="false">
      <c r="A779" s="7" t="n">
        <v>2000</v>
      </c>
      <c r="B779" s="15" t="s">
        <v>113</v>
      </c>
      <c r="C779" s="19" t="n">
        <v>26.348026</v>
      </c>
      <c r="D779" s="19" t="n">
        <v>26.348026</v>
      </c>
      <c r="E779" s="20" t="n">
        <f aca="false">IF(OR(D779="",D779=0),"",(C779-D779)/D779)</f>
        <v>0</v>
      </c>
      <c r="F779" s="19" t="n">
        <v>17.321462</v>
      </c>
      <c r="G779" s="19" t="n">
        <v>17.321462</v>
      </c>
      <c r="H779" s="20" t="n">
        <f aca="false">IF(OR(G779="",G779=0),"",(F779-G779)/G779)</f>
        <v>0</v>
      </c>
      <c r="I779" s="19" t="n">
        <v>53.9817</v>
      </c>
      <c r="J779" s="19" t="n">
        <v>53.9817</v>
      </c>
      <c r="K779" s="20" t="n">
        <f aca="false">IF(OR(J779="",J779=0),"",(I779-J779)/J779)</f>
        <v>0</v>
      </c>
      <c r="L779" s="21" t="str">
        <f aca="false">IF(OR(D779="",G779="",J779=""),"No reported subtotal",IF(AND(ABS(N(E779))&lt;=$D$2,ABS(N(H779))&lt;=$D$2,ABS(N(K779))&lt;=$D$2),"Reconciles within tolerance","Outside tolerance"))</f>
        <v>Reconciles within tolerance</v>
      </c>
    </row>
    <row r="780" customFormat="false" ht="15" hidden="false" customHeight="false" outlineLevel="0" collapsed="false">
      <c r="A780" s="7" t="n">
        <v>2001</v>
      </c>
      <c r="B780" s="15" t="s">
        <v>113</v>
      </c>
      <c r="C780" s="19" t="n">
        <v>30.441526</v>
      </c>
      <c r="D780" s="19" t="n">
        <v>30.441526</v>
      </c>
      <c r="E780" s="20" t="n">
        <f aca="false">IF(OR(D780="",D780=0),"",(C780-D780)/D780)</f>
        <v>0</v>
      </c>
      <c r="F780" s="19" t="n">
        <v>15.475389</v>
      </c>
      <c r="G780" s="19" t="n">
        <v>15.475389</v>
      </c>
      <c r="H780" s="20" t="n">
        <f aca="false">IF(OR(G780="",G780=0),"",(F780-G780)/G780)</f>
        <v>0</v>
      </c>
      <c r="I780" s="19" t="n">
        <v>44.942602</v>
      </c>
      <c r="J780" s="19" t="n">
        <v>44.942602</v>
      </c>
      <c r="K780" s="20" t="n">
        <f aca="false">IF(OR(J780="",J780=0),"",(I780-J780)/J780)</f>
        <v>0</v>
      </c>
      <c r="L780" s="21" t="str">
        <f aca="false">IF(OR(D780="",G780="",J780=""),"No reported subtotal",IF(AND(ABS(N(E780))&lt;=$D$2,ABS(N(H780))&lt;=$D$2,ABS(N(K780))&lt;=$D$2),"Reconciles within tolerance","Outside tolerance"))</f>
        <v>Reconciles within tolerance</v>
      </c>
    </row>
    <row r="781" customFormat="false" ht="15" hidden="false" customHeight="false" outlineLevel="0" collapsed="false">
      <c r="A781" s="7" t="n">
        <v>2002</v>
      </c>
      <c r="B781" s="15" t="s">
        <v>113</v>
      </c>
      <c r="C781" s="19" t="n">
        <v>33.068248</v>
      </c>
      <c r="D781" s="19" t="n">
        <v>33.068248</v>
      </c>
      <c r="E781" s="20" t="n">
        <f aca="false">IF(OR(D781="",D781=0),"",(C781-D781)/D781)</f>
        <v>0</v>
      </c>
      <c r="F781" s="19" t="n">
        <v>12.314583</v>
      </c>
      <c r="G781" s="19" t="n">
        <v>12.314583</v>
      </c>
      <c r="H781" s="20" t="n">
        <f aca="false">IF(OR(G781="",G781=0),"",(F781-G781)/G781)</f>
        <v>0</v>
      </c>
      <c r="I781" s="19" t="n">
        <v>46.825865</v>
      </c>
      <c r="J781" s="19" t="n">
        <v>46.825865</v>
      </c>
      <c r="K781" s="20" t="n">
        <f aca="false">IF(OR(J781="",J781=0),"",(I781-J781)/J781)</f>
        <v>0</v>
      </c>
      <c r="L781" s="21" t="str">
        <f aca="false">IF(OR(D781="",G781="",J781=""),"No reported subtotal",IF(AND(ABS(N(E781))&lt;=$D$2,ABS(N(H781))&lt;=$D$2,ABS(N(K781))&lt;=$D$2),"Reconciles within tolerance","Outside tolerance"))</f>
        <v>Reconciles within tolerance</v>
      </c>
    </row>
    <row r="782" customFormat="false" ht="15" hidden="false" customHeight="false" outlineLevel="0" collapsed="false">
      <c r="A782" s="7" t="n">
        <v>2003</v>
      </c>
      <c r="B782" s="15" t="s">
        <v>113</v>
      </c>
      <c r="C782" s="19" t="n">
        <v>36.451307</v>
      </c>
      <c r="D782" s="19" t="n">
        <v>36.451307</v>
      </c>
      <c r="E782" s="20" t="n">
        <f aca="false">IF(OR(D782="",D782=0),"",(C782-D782)/D782)</f>
        <v>0</v>
      </c>
      <c r="F782" s="19" t="n">
        <v>13.186859</v>
      </c>
      <c r="G782" s="19" t="n">
        <v>13.186859</v>
      </c>
      <c r="H782" s="20" t="n">
        <f aca="false">IF(OR(G782="",G782=0),"",(F782-G782)/G782)</f>
        <v>0</v>
      </c>
      <c r="I782" s="19" t="n">
        <v>41.199246</v>
      </c>
      <c r="J782" s="19" t="n">
        <v>41.199246</v>
      </c>
      <c r="K782" s="20" t="n">
        <f aca="false">IF(OR(J782="",J782=0),"",(I782-J782)/J782)</f>
        <v>0</v>
      </c>
      <c r="L782" s="21" t="str">
        <f aca="false">IF(OR(D782="",G782="",J782=""),"No reported subtotal",IF(AND(ABS(N(E782))&lt;=$D$2,ABS(N(H782))&lt;=$D$2,ABS(N(K782))&lt;=$D$2),"Reconciles within tolerance","Outside tolerance"))</f>
        <v>Reconciles within tolerance</v>
      </c>
    </row>
    <row r="783" customFormat="false" ht="15" hidden="false" customHeight="false" outlineLevel="0" collapsed="false">
      <c r="A783" s="7" t="n">
        <v>2004</v>
      </c>
      <c r="B783" s="15" t="s">
        <v>113</v>
      </c>
      <c r="C783" s="19" t="n">
        <v>32.129062</v>
      </c>
      <c r="D783" s="19" t="n">
        <v>32.129062</v>
      </c>
      <c r="E783" s="20" t="n">
        <f aca="false">IF(OR(D783="",D783=0),"",(C783-D783)/D783)</f>
        <v>0</v>
      </c>
      <c r="F783" s="19" t="n">
        <v>13.12591</v>
      </c>
      <c r="G783" s="19" t="n">
        <v>13.12591</v>
      </c>
      <c r="H783" s="20" t="n">
        <f aca="false">IF(OR(G783="",G783=0),"",(F783-G783)/G783)</f>
        <v>0</v>
      </c>
      <c r="I783" s="19" t="n">
        <v>64.869434</v>
      </c>
      <c r="J783" s="19" t="n">
        <v>64.869434</v>
      </c>
      <c r="K783" s="20" t="n">
        <f aca="false">IF(OR(J783="",J783=0),"",(I783-J783)/J783)</f>
        <v>0</v>
      </c>
      <c r="L783" s="21" t="str">
        <f aca="false">IF(OR(D783="",G783="",J783=""),"No reported subtotal",IF(AND(ABS(N(E783))&lt;=$D$2,ABS(N(H783))&lt;=$D$2,ABS(N(K783))&lt;=$D$2),"Reconciles within tolerance","Outside tolerance"))</f>
        <v>Reconciles within tolerance</v>
      </c>
    </row>
    <row r="784" customFormat="false" ht="15" hidden="false" customHeight="false" outlineLevel="0" collapsed="false">
      <c r="A784" s="7" t="n">
        <v>2005</v>
      </c>
      <c r="B784" s="15" t="s">
        <v>113</v>
      </c>
      <c r="C784" s="19" t="n">
        <v>35.375165</v>
      </c>
      <c r="D784" s="19" t="n">
        <v>35.375165</v>
      </c>
      <c r="E784" s="20" t="n">
        <f aca="false">IF(OR(D784="",D784=0),"",(C784-D784)/D784)</f>
        <v>0</v>
      </c>
      <c r="F784" s="19" t="n">
        <v>11.866744</v>
      </c>
      <c r="G784" s="19" t="n">
        <v>11.866744</v>
      </c>
      <c r="H784" s="20" t="n">
        <f aca="false">IF(OR(G784="",G784=0),"",(F784-G784)/G784)</f>
        <v>0</v>
      </c>
      <c r="I784" s="19" t="n">
        <v>59.197215</v>
      </c>
      <c r="J784" s="19" t="n">
        <v>59.197215</v>
      </c>
      <c r="K784" s="20" t="n">
        <f aca="false">IF(OR(J784="",J784=0),"",(I784-J784)/J784)</f>
        <v>0</v>
      </c>
      <c r="L784" s="21" t="str">
        <f aca="false">IF(OR(D784="",G784="",J784=""),"No reported subtotal",IF(AND(ABS(N(E784))&lt;=$D$2,ABS(N(H784))&lt;=$D$2,ABS(N(K784))&lt;=$D$2),"Reconciles within tolerance","Outside tolerance"))</f>
        <v>Reconciles within tolerance</v>
      </c>
    </row>
    <row r="785" customFormat="false" ht="15" hidden="false" customHeight="false" outlineLevel="0" collapsed="false">
      <c r="A785" s="7" t="n">
        <v>2006</v>
      </c>
      <c r="B785" s="15" t="s">
        <v>113</v>
      </c>
      <c r="C785" s="19" t="n">
        <v>37.388557</v>
      </c>
      <c r="D785" s="19" t="n">
        <v>37.388557</v>
      </c>
      <c r="E785" s="20" t="n">
        <f aca="false">IF(OR(D785="",D785=0),"",(C785-D785)/D785)</f>
        <v>0</v>
      </c>
      <c r="F785" s="19" t="n">
        <v>12.263049</v>
      </c>
      <c r="G785" s="19" t="n">
        <v>12.263049</v>
      </c>
      <c r="H785" s="20" t="n">
        <f aca="false">IF(OR(G785="",G785=0),"",(F785-G785)/G785)</f>
        <v>0</v>
      </c>
      <c r="I785" s="19" t="n">
        <v>71.694416</v>
      </c>
      <c r="J785" s="19" t="n">
        <v>71.694416</v>
      </c>
      <c r="K785" s="20" t="n">
        <f aca="false">IF(OR(J785="",J785=0),"",(I785-J785)/J785)</f>
        <v>0</v>
      </c>
      <c r="L785" s="21" t="str">
        <f aca="false">IF(OR(D785="",G785="",J785=""),"No reported subtotal",IF(AND(ABS(N(E785))&lt;=$D$2,ABS(N(H785))&lt;=$D$2,ABS(N(K785))&lt;=$D$2),"Reconciles within tolerance","Outside tolerance"))</f>
        <v>Reconciles within tolerance</v>
      </c>
    </row>
    <row r="786" customFormat="false" ht="15" hidden="false" customHeight="false" outlineLevel="0" collapsed="false">
      <c r="A786" s="7" t="n">
        <v>2007</v>
      </c>
      <c r="B786" s="15" t="s">
        <v>113</v>
      </c>
      <c r="C786" s="19" t="n">
        <v>35.974596</v>
      </c>
      <c r="D786" s="19" t="n">
        <v>35.974596</v>
      </c>
      <c r="E786" s="20" t="n">
        <f aca="false">IF(OR(D786="",D786=0),"",(C786-D786)/D786)</f>
        <v>0</v>
      </c>
      <c r="F786" s="19" t="n">
        <v>13.271674</v>
      </c>
      <c r="G786" s="19" t="n">
        <v>13.271674</v>
      </c>
      <c r="H786" s="20" t="n">
        <f aca="false">IF(OR(G786="",G786=0),"",(F786-G786)/G786)</f>
        <v>0</v>
      </c>
      <c r="I786" s="19" t="n">
        <v>71.666761</v>
      </c>
      <c r="J786" s="19" t="n">
        <v>71.666761</v>
      </c>
      <c r="K786" s="20" t="n">
        <f aca="false">IF(OR(J786="",J786=0),"",(I786-J786)/J786)</f>
        <v>0</v>
      </c>
      <c r="L786" s="21" t="str">
        <f aca="false">IF(OR(D786="",G786="",J786=""),"No reported subtotal",IF(AND(ABS(N(E786))&lt;=$D$2,ABS(N(H786))&lt;=$D$2,ABS(N(K786))&lt;=$D$2),"Reconciles within tolerance","Outside tolerance"))</f>
        <v>Reconciles within tolerance</v>
      </c>
    </row>
    <row r="787" customFormat="false" ht="15" hidden="false" customHeight="false" outlineLevel="0" collapsed="false">
      <c r="A787" s="7" t="n">
        <v>2008</v>
      </c>
      <c r="B787" s="15" t="s">
        <v>113</v>
      </c>
      <c r="C787" s="19" t="n">
        <v>36.737699</v>
      </c>
      <c r="D787" s="19" t="n">
        <v>36.737699</v>
      </c>
      <c r="E787" s="20" t="n">
        <f aca="false">IF(OR(D787="",D787=0),"",(C787-D787)/D787)</f>
        <v>0</v>
      </c>
      <c r="F787" s="19" t="n">
        <v>15.249407</v>
      </c>
      <c r="G787" s="19" t="n">
        <v>15.249407</v>
      </c>
      <c r="H787" s="20" t="n">
        <f aca="false">IF(OR(G787="",G787=0),"",(F787-G787)/G787)</f>
        <v>0</v>
      </c>
      <c r="I787" s="19" t="n">
        <v>90.214215</v>
      </c>
      <c r="J787" s="19" t="n">
        <v>90.214215</v>
      </c>
      <c r="K787" s="20" t="n">
        <f aca="false">IF(OR(J787="",J787=0),"",(I787-J787)/J787)</f>
        <v>0</v>
      </c>
      <c r="L787" s="21" t="str">
        <f aca="false">IF(OR(D787="",G787="",J787=""),"No reported subtotal",IF(AND(ABS(N(E787))&lt;=$D$2,ABS(N(H787))&lt;=$D$2,ABS(N(K787))&lt;=$D$2),"Reconciles within tolerance","Outside tolerance"))</f>
        <v>Reconciles within tolerance</v>
      </c>
    </row>
    <row r="788" customFormat="false" ht="15" hidden="false" customHeight="false" outlineLevel="0" collapsed="false">
      <c r="A788" s="7" t="n">
        <v>2009</v>
      </c>
      <c r="B788" s="15" t="s">
        <v>113</v>
      </c>
      <c r="C788" s="19" t="n">
        <v>34.514618</v>
      </c>
      <c r="D788" s="19" t="n">
        <v>34.514618</v>
      </c>
      <c r="E788" s="20" t="n">
        <f aca="false">IF(OR(D788="",D788=0),"",(C788-D788)/D788)</f>
        <v>0</v>
      </c>
      <c r="F788" s="19" t="n">
        <v>20.047335</v>
      </c>
      <c r="G788" s="19" t="n">
        <v>20.047335</v>
      </c>
      <c r="H788" s="20" t="n">
        <f aca="false">IF(OR(G788="",G788=0),"",(F788-G788)/G788)</f>
        <v>0</v>
      </c>
      <c r="I788" s="19" t="n">
        <v>59.782938</v>
      </c>
      <c r="J788" s="19" t="n">
        <v>59.782938</v>
      </c>
      <c r="K788" s="20" t="n">
        <f aca="false">IF(OR(J788="",J788=0),"",(I788-J788)/J788)</f>
        <v>0</v>
      </c>
      <c r="L788" s="21" t="str">
        <f aca="false">IF(OR(D788="",G788="",J788=""),"No reported subtotal",IF(AND(ABS(N(E788))&lt;=$D$2,ABS(N(H788))&lt;=$D$2,ABS(N(K788))&lt;=$D$2),"Reconciles within tolerance","Outside tolerance"))</f>
        <v>Reconciles within tolerance</v>
      </c>
    </row>
    <row r="789" customFormat="false" ht="15" hidden="false" customHeight="false" outlineLevel="0" collapsed="false">
      <c r="A789" s="7" t="n">
        <v>2010</v>
      </c>
      <c r="B789" s="15" t="s">
        <v>113</v>
      </c>
      <c r="C789" s="19" t="n">
        <v>30.571502</v>
      </c>
      <c r="D789" s="19" t="n">
        <v>30.571502</v>
      </c>
      <c r="E789" s="20" t="n">
        <f aca="false">IF(OR(D789="",D789=0),"",(C789-D789)/D789)</f>
        <v>0</v>
      </c>
      <c r="F789" s="19" t="n">
        <v>20.404822</v>
      </c>
      <c r="G789" s="19" t="n">
        <v>20.404822</v>
      </c>
      <c r="H789" s="20" t="n">
        <f aca="false">IF(OR(G789="",G789=0),"",(F789-G789)/G789)</f>
        <v>0</v>
      </c>
      <c r="I789" s="19" t="n">
        <v>65.520189</v>
      </c>
      <c r="J789" s="19" t="n">
        <v>65.520189</v>
      </c>
      <c r="K789" s="20" t="n">
        <f aca="false">IF(OR(J789="",J789=0),"",(I789-J789)/J789)</f>
        <v>0</v>
      </c>
      <c r="L789" s="21" t="str">
        <f aca="false">IF(OR(D789="",G789="",J789=""),"No reported subtotal",IF(AND(ABS(N(E789))&lt;=$D$2,ABS(N(H789))&lt;=$D$2,ABS(N(K789))&lt;=$D$2),"Reconciles within tolerance","Outside tolerance"))</f>
        <v>Reconciles within tolerance</v>
      </c>
    </row>
    <row r="790" customFormat="false" ht="15" hidden="false" customHeight="false" outlineLevel="0" collapsed="false">
      <c r="A790" s="7" t="n">
        <v>2011</v>
      </c>
      <c r="B790" s="15" t="s">
        <v>113</v>
      </c>
      <c r="C790" s="19" t="n">
        <v>25.214835</v>
      </c>
      <c r="D790" s="19" t="n">
        <v>25.214835</v>
      </c>
      <c r="E790" s="20" t="n">
        <f aca="false">IF(OR(D790="",D790=0),"",(C790-D790)/D790)</f>
        <v>0</v>
      </c>
      <c r="F790" s="19" t="n">
        <v>23.008038</v>
      </c>
      <c r="G790" s="19" t="n">
        <v>23.008038</v>
      </c>
      <c r="H790" s="20" t="n">
        <f aca="false">IF(OR(G790="",G790=0),"",(F790-G790)/G790)</f>
        <v>0</v>
      </c>
      <c r="I790" s="19" t="n">
        <v>56.809243</v>
      </c>
      <c r="J790" s="19" t="n">
        <v>56.809243</v>
      </c>
      <c r="K790" s="20" t="n">
        <f aca="false">IF(OR(J790="",J790=0),"",(I790-J790)/J790)</f>
        <v>0</v>
      </c>
      <c r="L790" s="21" t="str">
        <f aca="false">IF(OR(D790="",G790="",J790=""),"No reported subtotal",IF(AND(ABS(N(E790))&lt;=$D$2,ABS(N(H790))&lt;=$D$2,ABS(N(K790))&lt;=$D$2),"Reconciles within tolerance","Outside tolerance"))</f>
        <v>Reconciles within tolerance</v>
      </c>
    </row>
    <row r="791" customFormat="false" ht="15" hidden="false" customHeight="false" outlineLevel="0" collapsed="false">
      <c r="A791" s="7" t="n">
        <v>2012</v>
      </c>
      <c r="B791" s="15" t="s">
        <v>113</v>
      </c>
      <c r="C791" s="19" t="n">
        <v>22.143937</v>
      </c>
      <c r="D791" s="19" t="n">
        <v>22.143937</v>
      </c>
      <c r="E791" s="20" t="n">
        <f aca="false">IF(OR(D791="",D791=0),"",(C791-D791)/D791)</f>
        <v>0</v>
      </c>
      <c r="F791" s="19" t="n">
        <v>19.419613</v>
      </c>
      <c r="G791" s="19" t="n">
        <v>19.419613</v>
      </c>
      <c r="H791" s="20" t="n">
        <f aca="false">IF(OR(G791="",G791=0),"",(F791-G791)/G791)</f>
        <v>0</v>
      </c>
      <c r="I791" s="19" t="n">
        <v>89.48112</v>
      </c>
      <c r="J791" s="19" t="n">
        <v>89.48112</v>
      </c>
      <c r="K791" s="20" t="n">
        <f aca="false">IF(OR(J791="",J791=0),"",(I791-J791)/J791)</f>
        <v>0</v>
      </c>
      <c r="L791" s="21" t="str">
        <f aca="false">IF(OR(D791="",G791="",J791=""),"No reported subtotal",IF(AND(ABS(N(E791))&lt;=$D$2,ABS(N(H791))&lt;=$D$2,ABS(N(K791))&lt;=$D$2),"Reconciles within tolerance","Outside tolerance"))</f>
        <v>Reconciles within tolerance</v>
      </c>
    </row>
    <row r="792" customFormat="false" ht="15" hidden="false" customHeight="false" outlineLevel="0" collapsed="false">
      <c r="A792" s="7" t="n">
        <v>2013</v>
      </c>
      <c r="B792" s="15" t="s">
        <v>113</v>
      </c>
      <c r="C792" s="19" t="n">
        <v>26.134618</v>
      </c>
      <c r="D792" s="19" t="n">
        <v>26.134618</v>
      </c>
      <c r="E792" s="20" t="n">
        <f aca="false">IF(OR(D792="",D792=0),"",(C792-D792)/D792)</f>
        <v>0</v>
      </c>
      <c r="F792" s="19" t="n">
        <v>27.711798</v>
      </c>
      <c r="G792" s="19" t="n">
        <v>27.711798</v>
      </c>
      <c r="H792" s="20" t="n">
        <f aca="false">IF(OR(G792="",G792=0),"",(F792-G792)/G792)</f>
        <v>0</v>
      </c>
      <c r="I792" s="19" t="n">
        <v>71.187053</v>
      </c>
      <c r="J792" s="19" t="n">
        <v>71.187053</v>
      </c>
      <c r="K792" s="20" t="n">
        <f aca="false">IF(OR(J792="",J792=0),"",(I792-J792)/J792)</f>
        <v>0</v>
      </c>
      <c r="L792" s="21" t="str">
        <f aca="false">IF(OR(D792="",G792="",J792=""),"No reported subtotal",IF(AND(ABS(N(E792))&lt;=$D$2,ABS(N(H792))&lt;=$D$2,ABS(N(K792))&lt;=$D$2),"Reconciles within tolerance","Outside tolerance"))</f>
        <v>Reconciles within tolerance</v>
      </c>
    </row>
    <row r="793" customFormat="false" ht="15" hidden="false" customHeight="false" outlineLevel="0" collapsed="false">
      <c r="A793" s="7" t="n">
        <v>2014</v>
      </c>
      <c r="B793" s="15" t="s">
        <v>113</v>
      </c>
      <c r="C793" s="19" t="n">
        <v>42.663589</v>
      </c>
      <c r="D793" s="19" t="n">
        <v>42.663589</v>
      </c>
      <c r="E793" s="20" t="n">
        <f aca="false">IF(OR(D793="",D793=0),"",(C793-D793)/D793)</f>
        <v>0</v>
      </c>
      <c r="F793" s="19" t="n">
        <v>35.685258</v>
      </c>
      <c r="G793" s="19" t="n">
        <v>35.685258</v>
      </c>
      <c r="H793" s="20" t="n">
        <f aca="false">IF(OR(G793="",G793=0),"",(F793-G793)/G793)</f>
        <v>0</v>
      </c>
      <c r="I793" s="19" t="n">
        <v>60.676191</v>
      </c>
      <c r="J793" s="19" t="n">
        <v>60.676191</v>
      </c>
      <c r="K793" s="20" t="n">
        <f aca="false">IF(OR(J793="",J793=0),"",(I793-J793)/J793)</f>
        <v>0</v>
      </c>
      <c r="L793" s="21" t="str">
        <f aca="false">IF(OR(D793="",G793="",J793=""),"No reported subtotal",IF(AND(ABS(N(E793))&lt;=$D$2,ABS(N(H793))&lt;=$D$2,ABS(N(K793))&lt;=$D$2),"Reconciles within tolerance","Outside tolerance"))</f>
        <v>Reconciles within tolerance</v>
      </c>
    </row>
    <row r="794" customFormat="false" ht="15" hidden="false" customHeight="false" outlineLevel="0" collapsed="false">
      <c r="A794" s="7" t="n">
        <v>2015</v>
      </c>
      <c r="B794" s="15" t="s">
        <v>113</v>
      </c>
      <c r="C794" s="19" t="n">
        <v>33.403407</v>
      </c>
      <c r="D794" s="19" t="n">
        <v>33.403407</v>
      </c>
      <c r="E794" s="20" t="n">
        <f aca="false">IF(OR(D794="",D794=0),"",(C794-D794)/D794)</f>
        <v>0</v>
      </c>
      <c r="F794" s="19" t="n">
        <v>29.404187</v>
      </c>
      <c r="G794" s="19" t="n">
        <v>29.404187</v>
      </c>
      <c r="H794" s="20" t="n">
        <f aca="false">IF(OR(G794="",G794=0),"",(F794-G794)/G794)</f>
        <v>0</v>
      </c>
      <c r="I794" s="19" t="n">
        <v>60.896705</v>
      </c>
      <c r="J794" s="19" t="n">
        <v>60.896705</v>
      </c>
      <c r="K794" s="20" t="n">
        <f aca="false">IF(OR(J794="",J794=0),"",(I794-J794)/J794)</f>
        <v>0</v>
      </c>
      <c r="L794" s="21" t="str">
        <f aca="false">IF(OR(D794="",G794="",J794=""),"No reported subtotal",IF(AND(ABS(N(E794))&lt;=$D$2,ABS(N(H794))&lt;=$D$2,ABS(N(K794))&lt;=$D$2),"Reconciles within tolerance","Outside tolerance"))</f>
        <v>Reconciles within tolerance</v>
      </c>
    </row>
    <row r="795" customFormat="false" ht="15" hidden="false" customHeight="false" outlineLevel="0" collapsed="false">
      <c r="A795" s="7" t="n">
        <v>2016</v>
      </c>
      <c r="B795" s="15" t="s">
        <v>113</v>
      </c>
      <c r="C795" s="19" t="n">
        <v>32.612502</v>
      </c>
      <c r="D795" s="19" t="n">
        <v>32.612502</v>
      </c>
      <c r="E795" s="20" t="n">
        <f aca="false">IF(OR(D795="",D795=0),"",(C795-D795)/D795)</f>
        <v>0</v>
      </c>
      <c r="F795" s="19" t="n">
        <v>33.59822</v>
      </c>
      <c r="G795" s="19" t="n">
        <v>33.59822</v>
      </c>
      <c r="H795" s="20" t="n">
        <f aca="false">IF(OR(G795="",G795=0),"",(F795-G795)/G795)</f>
        <v>0</v>
      </c>
      <c r="I795" s="19" t="n">
        <v>73.656503</v>
      </c>
      <c r="J795" s="19" t="n">
        <v>73.656503</v>
      </c>
      <c r="K795" s="20" t="n">
        <f aca="false">IF(OR(J795="",J795=0),"",(I795-J795)/J795)</f>
        <v>0</v>
      </c>
      <c r="L795" s="21" t="str">
        <f aca="false">IF(OR(D795="",G795="",J795=""),"No reported subtotal",IF(AND(ABS(N(E795))&lt;=$D$2,ABS(N(H795))&lt;=$D$2,ABS(N(K795))&lt;=$D$2),"Reconciles within tolerance","Outside tolerance"))</f>
        <v>Reconciles within tolerance</v>
      </c>
    </row>
    <row r="796" customFormat="false" ht="15" hidden="false" customHeight="false" outlineLevel="0" collapsed="false">
      <c r="A796" s="7" t="n">
        <v>2017</v>
      </c>
      <c r="B796" s="15" t="s">
        <v>113</v>
      </c>
      <c r="C796" s="19" t="n">
        <v>31.397091</v>
      </c>
      <c r="D796" s="19" t="n">
        <v>31.397091</v>
      </c>
      <c r="E796" s="20" t="n">
        <f aca="false">IF(OR(D796="",D796=0),"",(C796-D796)/D796)</f>
        <v>0</v>
      </c>
      <c r="F796" s="19" t="n">
        <v>26.069088</v>
      </c>
      <c r="G796" s="19" t="n">
        <v>26.069088</v>
      </c>
      <c r="H796" s="20" t="n">
        <f aca="false">IF(OR(G796="",G796=0),"",(F796-G796)/G796)</f>
        <v>0</v>
      </c>
      <c r="I796" s="19" t="n">
        <v>72.714141</v>
      </c>
      <c r="J796" s="19" t="n">
        <v>72.714141</v>
      </c>
      <c r="K796" s="20" t="n">
        <f aca="false">IF(OR(J796="",J796=0),"",(I796-J796)/J796)</f>
        <v>0</v>
      </c>
      <c r="L796" s="21" t="str">
        <f aca="false">IF(OR(D796="",G796="",J796=""),"No reported subtotal",IF(AND(ABS(N(E796))&lt;=$D$2,ABS(N(H796))&lt;=$D$2,ABS(N(K796))&lt;=$D$2),"Reconciles within tolerance","Outside tolerance"))</f>
        <v>Reconciles within tolerance</v>
      </c>
    </row>
    <row r="797" customFormat="false" ht="15" hidden="false" customHeight="false" outlineLevel="0" collapsed="false">
      <c r="A797" s="7" t="n">
        <v>2018</v>
      </c>
      <c r="B797" s="15" t="s">
        <v>113</v>
      </c>
      <c r="C797" s="19" t="n">
        <v>36.973813</v>
      </c>
      <c r="D797" s="19" t="n">
        <v>36.973813</v>
      </c>
      <c r="E797" s="20" t="n">
        <f aca="false">IF(OR(D797="",D797=0),"",(C797-D797)/D797)</f>
        <v>0</v>
      </c>
      <c r="F797" s="19" t="n">
        <v>30.982234</v>
      </c>
      <c r="G797" s="19" t="n">
        <v>30.982234</v>
      </c>
      <c r="H797" s="20" t="n">
        <f aca="false">IF(OR(G797="",G797=0),"",(F797-G797)/G797)</f>
        <v>0</v>
      </c>
      <c r="I797" s="19" t="n">
        <v>99.400747</v>
      </c>
      <c r="J797" s="19" t="n">
        <v>99.400747</v>
      </c>
      <c r="K797" s="20" t="n">
        <f aca="false">IF(OR(J797="",J797=0),"",(I797-J797)/J797)</f>
        <v>0</v>
      </c>
      <c r="L797" s="21" t="str">
        <f aca="false">IF(OR(D797="",G797="",J797=""),"No reported subtotal",IF(AND(ABS(N(E797))&lt;=$D$2,ABS(N(H797))&lt;=$D$2,ABS(N(K797))&lt;=$D$2),"Reconciles within tolerance","Outside tolerance"))</f>
        <v>Reconciles within tolerance</v>
      </c>
    </row>
    <row r="798" customFormat="false" ht="15" hidden="false" customHeight="false" outlineLevel="0" collapsed="false">
      <c r="A798" s="7" t="n">
        <v>2019</v>
      </c>
      <c r="B798" s="15" t="s">
        <v>113</v>
      </c>
      <c r="C798" s="19" t="n">
        <v>47.357588</v>
      </c>
      <c r="D798" s="19" t="n">
        <v>47.357588</v>
      </c>
      <c r="E798" s="20" t="n">
        <f aca="false">IF(OR(D798="",D798=0),"",(C798-D798)/D798)</f>
        <v>0</v>
      </c>
      <c r="F798" s="19" t="n">
        <v>36.882334</v>
      </c>
      <c r="G798" s="19" t="n">
        <v>36.882334</v>
      </c>
      <c r="H798" s="20" t="n">
        <f aca="false">IF(OR(G798="",G798=0),"",(F798-G798)/G798)</f>
        <v>0</v>
      </c>
      <c r="I798" s="19" t="n">
        <v>93.836837</v>
      </c>
      <c r="J798" s="19" t="n">
        <v>93.836837</v>
      </c>
      <c r="K798" s="20" t="n">
        <f aca="false">IF(OR(J798="",J798=0),"",(I798-J798)/J798)</f>
        <v>0</v>
      </c>
      <c r="L798" s="21" t="str">
        <f aca="false">IF(OR(D798="",G798="",J798=""),"No reported subtotal",IF(AND(ABS(N(E798))&lt;=$D$2,ABS(N(H798))&lt;=$D$2,ABS(N(K798))&lt;=$D$2),"Reconciles within tolerance","Outside tolerance"))</f>
        <v>Reconciles within tolerance</v>
      </c>
    </row>
    <row r="799" customFormat="false" ht="15" hidden="false" customHeight="false" outlineLevel="0" collapsed="false">
      <c r="A799" s="7" t="n">
        <v>2020</v>
      </c>
      <c r="B799" s="15" t="s">
        <v>113</v>
      </c>
      <c r="C799" s="19" t="n">
        <v>42.607975</v>
      </c>
      <c r="D799" s="19" t="n">
        <v>42.607975</v>
      </c>
      <c r="E799" s="20" t="n">
        <f aca="false">IF(OR(D799="",D799=0),"",(C799-D799)/D799)</f>
        <v>0</v>
      </c>
      <c r="F799" s="19" t="n">
        <v>42.417089</v>
      </c>
      <c r="G799" s="19" t="n">
        <v>42.417089</v>
      </c>
      <c r="H799" s="20" t="n">
        <f aca="false">IF(OR(G799="",G799=0),"",(F799-G799)/G799)</f>
        <v>0</v>
      </c>
      <c r="I799" s="19" t="n">
        <v>93.905625</v>
      </c>
      <c r="J799" s="19" t="n">
        <v>93.905625</v>
      </c>
      <c r="K799" s="20" t="n">
        <f aca="false">IF(OR(J799="",J799=0),"",(I799-J799)/J799)</f>
        <v>0</v>
      </c>
      <c r="L799" s="21" t="str">
        <f aca="false">IF(OR(D799="",G799="",J799=""),"No reported subtotal",IF(AND(ABS(N(E799))&lt;=$D$2,ABS(N(H799))&lt;=$D$2,ABS(N(K799))&lt;=$D$2),"Reconciles within tolerance","Outside tolerance"))</f>
        <v>Reconciles within tolerance</v>
      </c>
    </row>
    <row r="800" customFormat="false" ht="15" hidden="false" customHeight="false" outlineLevel="0" collapsed="false">
      <c r="A800" s="7" t="n">
        <v>2021</v>
      </c>
      <c r="B800" s="15" t="s">
        <v>113</v>
      </c>
      <c r="C800" s="19" t="n">
        <v>45.939112</v>
      </c>
      <c r="D800" s="19" t="n">
        <v>45.939112</v>
      </c>
      <c r="E800" s="20" t="n">
        <f aca="false">IF(OR(D800="",D800=0),"",(C800-D800)/D800)</f>
        <v>0</v>
      </c>
      <c r="F800" s="19" t="n">
        <v>14.536081</v>
      </c>
      <c r="G800" s="19" t="n">
        <v>14.536081</v>
      </c>
      <c r="H800" s="20" t="n">
        <f aca="false">IF(OR(G800="",G800=0),"",(F800-G800)/G800)</f>
        <v>0</v>
      </c>
      <c r="I800" s="19" t="n">
        <v>97.971718</v>
      </c>
      <c r="J800" s="19" t="n">
        <v>97.971718</v>
      </c>
      <c r="K800" s="20" t="n">
        <f aca="false">IF(OR(J800="",J800=0),"",(I800-J800)/J800)</f>
        <v>0</v>
      </c>
      <c r="L800" s="21" t="str">
        <f aca="false">IF(OR(D800="",G800="",J800=""),"No reported subtotal",IF(AND(ABS(N(E800))&lt;=$D$2,ABS(N(H800))&lt;=$D$2,ABS(N(K800))&lt;=$D$2),"Reconciles within tolerance","Outside tolerance"))</f>
        <v>Reconciles within tolerance</v>
      </c>
    </row>
    <row r="801" customFormat="false" ht="15" hidden="false" customHeight="false" outlineLevel="0" collapsed="false">
      <c r="A801" s="7" t="n">
        <v>2022</v>
      </c>
      <c r="B801" s="15" t="s">
        <v>113</v>
      </c>
      <c r="C801" s="19" t="n">
        <v>60.529063</v>
      </c>
      <c r="D801" s="19" t="n">
        <v>60.529063</v>
      </c>
      <c r="E801" s="20" t="n">
        <f aca="false">IF(OR(D801="",D801=0),"",(C801-D801)/D801)</f>
        <v>0</v>
      </c>
      <c r="F801" s="19" t="n">
        <v>21.5794</v>
      </c>
      <c r="G801" s="19" t="n">
        <v>21.5794</v>
      </c>
      <c r="H801" s="20" t="n">
        <f aca="false">IF(OR(G801="",G801=0),"",(F801-G801)/G801)</f>
        <v>0</v>
      </c>
      <c r="I801" s="19" t="n">
        <v>93.037711</v>
      </c>
      <c r="J801" s="19" t="n">
        <v>93.037711</v>
      </c>
      <c r="K801" s="20" t="n">
        <f aca="false">IF(OR(J801="",J801=0),"",(I801-J801)/J801)</f>
        <v>0</v>
      </c>
      <c r="L801" s="21" t="str">
        <f aca="false">IF(OR(D801="",G801="",J801=""),"No reported subtotal",IF(AND(ABS(N(E801))&lt;=$D$2,ABS(N(H801))&lt;=$D$2,ABS(N(K801))&lt;=$D$2),"Reconciles within tolerance","Outside tolerance"))</f>
        <v>Reconciles within tolerance</v>
      </c>
    </row>
    <row r="802" customFormat="false" ht="15" hidden="false" customHeight="false" outlineLevel="0" collapsed="false">
      <c r="A802" s="7" t="n">
        <v>2023</v>
      </c>
      <c r="B802" s="15" t="s">
        <v>113</v>
      </c>
      <c r="C802" s="19" t="n">
        <v>54.514578</v>
      </c>
      <c r="D802" s="19" t="n">
        <v>54.514578</v>
      </c>
      <c r="E802" s="20" t="n">
        <f aca="false">IF(OR(D802="",D802=0),"",(C802-D802)/D802)</f>
        <v>0</v>
      </c>
      <c r="F802" s="19" t="n">
        <v>20.494247</v>
      </c>
      <c r="G802" s="19" t="n">
        <v>20.494247</v>
      </c>
      <c r="H802" s="20" t="n">
        <f aca="false">IF(OR(G802="",G802=0),"",(F802-G802)/G802)</f>
        <v>0</v>
      </c>
      <c r="I802" s="19" t="n">
        <v>122.526651</v>
      </c>
      <c r="J802" s="19" t="n">
        <v>122.526651</v>
      </c>
      <c r="K802" s="20" t="n">
        <f aca="false">IF(OR(J802="",J802=0),"",(I802-J802)/J802)</f>
        <v>0</v>
      </c>
      <c r="L802" s="21" t="str">
        <f aca="false">IF(OR(D802="",G802="",J802=""),"No reported subtotal",IF(AND(ABS(N(E802))&lt;=$D$2,ABS(N(H802))&lt;=$D$2,ABS(N(K802))&lt;=$D$2),"Reconciles within tolerance","Outside tolerance"))</f>
        <v>Reconciles within tolerance</v>
      </c>
    </row>
    <row r="803" customFormat="false" ht="15" hidden="false" customHeight="false" outlineLevel="0" collapsed="false">
      <c r="A803" s="7" t="n">
        <v>2024</v>
      </c>
      <c r="B803" s="15" t="s">
        <v>113</v>
      </c>
      <c r="C803" s="19" t="n">
        <v>56.702278</v>
      </c>
      <c r="D803" s="19" t="n">
        <v>56.702278</v>
      </c>
      <c r="E803" s="20" t="n">
        <f aca="false">IF(OR(D803="",D803=0),"",(C803-D803)/D803)</f>
        <v>0</v>
      </c>
      <c r="F803" s="19" t="n">
        <v>36.54749</v>
      </c>
      <c r="G803" s="19" t="n">
        <v>36.54749</v>
      </c>
      <c r="H803" s="20" t="n">
        <f aca="false">IF(OR(G803="",G803=0),"",(F803-G803)/G803)</f>
        <v>0</v>
      </c>
      <c r="I803" s="19" t="n">
        <v>94.924326</v>
      </c>
      <c r="J803" s="19" t="n">
        <v>94.924326</v>
      </c>
      <c r="K803" s="20" t="n">
        <f aca="false">IF(OR(J803="",J803=0),"",(I803-J803)/J803)</f>
        <v>0</v>
      </c>
      <c r="L803" s="21" t="str">
        <f aca="false">IF(OR(D803="",G803="",J803=""),"No reported subtotal",IF(AND(ABS(N(E803))&lt;=$D$2,ABS(N(H803))&lt;=$D$2,ABS(N(K803))&lt;=$D$2),"Reconciles within tolerance","Outside tolerance"))</f>
        <v>Reconciles within tolerance</v>
      </c>
    </row>
    <row r="804" customFormat="false" ht="15" hidden="false" customHeight="false" outlineLevel="0" collapsed="false">
      <c r="A804" s="7" t="n">
        <v>2025</v>
      </c>
      <c r="B804" s="15" t="s">
        <v>113</v>
      </c>
      <c r="C804" s="19" t="n">
        <v>59.253884</v>
      </c>
      <c r="D804" s="19" t="n">
        <v>59.253884</v>
      </c>
      <c r="E804" s="20" t="n">
        <f aca="false">IF(OR(D804="",D804=0),"",(C804-D804)/D804)</f>
        <v>0</v>
      </c>
      <c r="F804" s="19" t="n">
        <v>54.596184</v>
      </c>
      <c r="G804" s="19" t="n">
        <v>54.596184</v>
      </c>
      <c r="H804" s="20" t="n">
        <f aca="false">IF(OR(G804="",G804=0),"",(F804-G804)/G804)</f>
        <v>0</v>
      </c>
      <c r="I804" s="19" t="n">
        <v>122.553106</v>
      </c>
      <c r="J804" s="19" t="n">
        <v>122.553106</v>
      </c>
      <c r="K804" s="20" t="n">
        <f aca="false">IF(OR(J804="",J804=0),"",(I804-J804)/J804)</f>
        <v>0</v>
      </c>
      <c r="L804" s="21" t="str">
        <f aca="false">IF(OR(D804="",G804="",J804=""),"No reported subtotal",IF(AND(ABS(N(E804))&lt;=$D$2,ABS(N(H804))&lt;=$D$2,ABS(N(K804))&lt;=$D$2),"Reconciles within tolerance","Outside tolerance"))</f>
        <v>Reconciles within tolerance</v>
      </c>
    </row>
    <row r="805" customFormat="false" ht="15" hidden="false" customHeight="false" outlineLevel="0" collapsed="false">
      <c r="A805" s="7" t="n">
        <v>2000</v>
      </c>
      <c r="B805" s="15" t="s">
        <v>131</v>
      </c>
      <c r="C805" s="19" t="n">
        <v>63.710745</v>
      </c>
      <c r="D805" s="19" t="n">
        <v>63.710745</v>
      </c>
      <c r="E805" s="20" t="n">
        <f aca="false">IF(OR(D805="",D805=0),"",(C805-D805)/D805)</f>
        <v>0</v>
      </c>
      <c r="F805" s="19" t="n">
        <v>49.513469</v>
      </c>
      <c r="G805" s="19" t="n">
        <v>49.513469</v>
      </c>
      <c r="H805" s="20" t="n">
        <f aca="false">IF(OR(G805="",G805=0),"",(F805-G805)/G805)</f>
        <v>0</v>
      </c>
      <c r="I805" s="19" t="n">
        <v>121.031791</v>
      </c>
      <c r="J805" s="19" t="n">
        <v>121.031791</v>
      </c>
      <c r="K805" s="20" t="n">
        <f aca="false">IF(OR(J805="",J805=0),"",(I805-J805)/J805)</f>
        <v>0</v>
      </c>
      <c r="L805" s="21" t="str">
        <f aca="false">IF(OR(D805="",G805="",J805=""),"No reported subtotal",IF(AND(ABS(N(E805))&lt;=$D$2,ABS(N(H805))&lt;=$D$2,ABS(N(K805))&lt;=$D$2),"Reconciles within tolerance","Outside tolerance"))</f>
        <v>Reconciles within tolerance</v>
      </c>
    </row>
    <row r="806" customFormat="false" ht="15" hidden="false" customHeight="false" outlineLevel="0" collapsed="false">
      <c r="A806" s="7" t="n">
        <v>2001</v>
      </c>
      <c r="B806" s="15" t="s">
        <v>131</v>
      </c>
      <c r="C806" s="19" t="n">
        <v>61.329995</v>
      </c>
      <c r="D806" s="19" t="n">
        <v>61.329995</v>
      </c>
      <c r="E806" s="20" t="n">
        <f aca="false">IF(OR(D806="",D806=0),"",(C806-D806)/D806)</f>
        <v>0</v>
      </c>
      <c r="F806" s="19" t="n">
        <v>51.838626</v>
      </c>
      <c r="G806" s="19" t="n">
        <v>51.838626</v>
      </c>
      <c r="H806" s="20" t="n">
        <f aca="false">IF(OR(G806="",G806=0),"",(F806-G806)/G806)</f>
        <v>0</v>
      </c>
      <c r="I806" s="19" t="n">
        <v>146.454331</v>
      </c>
      <c r="J806" s="19" t="n">
        <v>146.454331</v>
      </c>
      <c r="K806" s="20" t="n">
        <f aca="false">IF(OR(J806="",J806=0),"",(I806-J806)/J806)</f>
        <v>0</v>
      </c>
      <c r="L806" s="21" t="str">
        <f aca="false">IF(OR(D806="",G806="",J806=""),"No reported subtotal",IF(AND(ABS(N(E806))&lt;=$D$2,ABS(N(H806))&lt;=$D$2,ABS(N(K806))&lt;=$D$2),"Reconciles within tolerance","Outside tolerance"))</f>
        <v>Reconciles within tolerance</v>
      </c>
    </row>
    <row r="807" customFormat="false" ht="15" hidden="false" customHeight="false" outlineLevel="0" collapsed="false">
      <c r="A807" s="7" t="n">
        <v>2002</v>
      </c>
      <c r="B807" s="15" t="s">
        <v>131</v>
      </c>
      <c r="C807" s="19" t="n">
        <v>61.816647</v>
      </c>
      <c r="D807" s="19" t="n">
        <v>61.816647</v>
      </c>
      <c r="E807" s="20" t="n">
        <f aca="false">IF(OR(D807="",D807=0),"",(C807-D807)/D807)</f>
        <v>0</v>
      </c>
      <c r="F807" s="19" t="n">
        <v>53.810726</v>
      </c>
      <c r="G807" s="19" t="n">
        <v>53.810726</v>
      </c>
      <c r="H807" s="20" t="n">
        <f aca="false">IF(OR(G807="",G807=0),"",(F807-G807)/G807)</f>
        <v>0</v>
      </c>
      <c r="I807" s="19" t="n">
        <v>162.778322</v>
      </c>
      <c r="J807" s="19" t="n">
        <v>162.778322</v>
      </c>
      <c r="K807" s="20" t="n">
        <f aca="false">IF(OR(J807="",J807=0),"",(I807-J807)/J807)</f>
        <v>0</v>
      </c>
      <c r="L807" s="21" t="str">
        <f aca="false">IF(OR(D807="",G807="",J807=""),"No reported subtotal",IF(AND(ABS(N(E807))&lt;=$D$2,ABS(N(H807))&lt;=$D$2,ABS(N(K807))&lt;=$D$2),"Reconciles within tolerance","Outside tolerance"))</f>
        <v>Reconciles within tolerance</v>
      </c>
    </row>
    <row r="808" customFormat="false" ht="15" hidden="false" customHeight="false" outlineLevel="0" collapsed="false">
      <c r="A808" s="7" t="n">
        <v>2003</v>
      </c>
      <c r="B808" s="15" t="s">
        <v>131</v>
      </c>
      <c r="C808" s="19" t="n">
        <v>65.126761</v>
      </c>
      <c r="D808" s="19" t="n">
        <v>65.126761</v>
      </c>
      <c r="E808" s="20" t="n">
        <f aca="false">IF(OR(D808="",D808=0),"",(C808-D808)/D808)</f>
        <v>0</v>
      </c>
      <c r="F808" s="19" t="n">
        <v>51.842405</v>
      </c>
      <c r="G808" s="19" t="n">
        <v>51.842405</v>
      </c>
      <c r="H808" s="20" t="n">
        <f aca="false">IF(OR(G808="",G808=0),"",(F808-G808)/G808)</f>
        <v>0</v>
      </c>
      <c r="I808" s="19" t="n">
        <v>182.735859</v>
      </c>
      <c r="J808" s="19" t="n">
        <v>182.735859</v>
      </c>
      <c r="K808" s="20" t="n">
        <f aca="false">IF(OR(J808="",J808=0),"",(I808-J808)/J808)</f>
        <v>0</v>
      </c>
      <c r="L808" s="21" t="str">
        <f aca="false">IF(OR(D808="",G808="",J808=""),"No reported subtotal",IF(AND(ABS(N(E808))&lt;=$D$2,ABS(N(H808))&lt;=$D$2,ABS(N(K808))&lt;=$D$2),"Reconciles within tolerance","Outside tolerance"))</f>
        <v>Reconciles within tolerance</v>
      </c>
    </row>
    <row r="809" customFormat="false" ht="15" hidden="false" customHeight="false" outlineLevel="0" collapsed="false">
      <c r="A809" s="7" t="n">
        <v>2004</v>
      </c>
      <c r="B809" s="15" t="s">
        <v>131</v>
      </c>
      <c r="C809" s="19" t="n">
        <v>76.882456</v>
      </c>
      <c r="D809" s="19" t="n">
        <v>76.882456</v>
      </c>
      <c r="E809" s="20" t="n">
        <f aca="false">IF(OR(D809="",D809=0),"",(C809-D809)/D809)</f>
        <v>0</v>
      </c>
      <c r="F809" s="19" t="n">
        <v>55.841464</v>
      </c>
      <c r="G809" s="19" t="n">
        <v>55.841464</v>
      </c>
      <c r="H809" s="20" t="n">
        <f aca="false">IF(OR(G809="",G809=0),"",(F809-G809)/G809)</f>
        <v>0</v>
      </c>
      <c r="I809" s="19" t="n">
        <v>47.213768</v>
      </c>
      <c r="J809" s="19" t="n">
        <v>47.213768</v>
      </c>
      <c r="K809" s="20" t="n">
        <f aca="false">IF(OR(J809="",J809=0),"",(I809-J809)/J809)</f>
        <v>0</v>
      </c>
      <c r="L809" s="21" t="str">
        <f aca="false">IF(OR(D809="",G809="",J809=""),"No reported subtotal",IF(AND(ABS(N(E809))&lt;=$D$2,ABS(N(H809))&lt;=$D$2,ABS(N(K809))&lt;=$D$2),"Reconciles within tolerance","Outside tolerance"))</f>
        <v>Reconciles within tolerance</v>
      </c>
    </row>
    <row r="810" customFormat="false" ht="15" hidden="false" customHeight="false" outlineLevel="0" collapsed="false">
      <c r="A810" s="7" t="n">
        <v>2005</v>
      </c>
      <c r="B810" s="15" t="s">
        <v>131</v>
      </c>
      <c r="C810" s="19" t="n">
        <v>74.954531</v>
      </c>
      <c r="D810" s="19" t="n">
        <v>74.954531</v>
      </c>
      <c r="E810" s="20" t="n">
        <f aca="false">IF(OR(D810="",D810=0),"",(C810-D810)/D810)</f>
        <v>0</v>
      </c>
      <c r="F810" s="19" t="n">
        <v>48.66581</v>
      </c>
      <c r="G810" s="19" t="n">
        <v>48.66581</v>
      </c>
      <c r="H810" s="20" t="n">
        <f aca="false">IF(OR(G810="",G810=0),"",(F810-G810)/G810)</f>
        <v>0</v>
      </c>
      <c r="I810" s="19" t="n">
        <v>184.411444</v>
      </c>
      <c r="J810" s="19" t="n">
        <v>184.411444</v>
      </c>
      <c r="K810" s="20" t="n">
        <f aca="false">IF(OR(J810="",J810=0),"",(I810-J810)/J810)</f>
        <v>0</v>
      </c>
      <c r="L810" s="21" t="str">
        <f aca="false">IF(OR(D810="",G810="",J810=""),"No reported subtotal",IF(AND(ABS(N(E810))&lt;=$D$2,ABS(N(H810))&lt;=$D$2,ABS(N(K810))&lt;=$D$2),"Reconciles within tolerance","Outside tolerance"))</f>
        <v>Reconciles within tolerance</v>
      </c>
    </row>
    <row r="811" customFormat="false" ht="15" hidden="false" customHeight="false" outlineLevel="0" collapsed="false">
      <c r="A811" s="7" t="n">
        <v>2006</v>
      </c>
      <c r="B811" s="15" t="s">
        <v>131</v>
      </c>
      <c r="C811" s="19" t="n">
        <v>77.513601</v>
      </c>
      <c r="D811" s="19" t="n">
        <v>77.513601</v>
      </c>
      <c r="E811" s="20" t="n">
        <f aca="false">IF(OR(D811="",D811=0),"",(C811-D811)/D811)</f>
        <v>0</v>
      </c>
      <c r="F811" s="19" t="n">
        <v>60.045379</v>
      </c>
      <c r="G811" s="19" t="n">
        <v>60.045379</v>
      </c>
      <c r="H811" s="20" t="n">
        <f aca="false">IF(OR(G811="",G811=0),"",(F811-G811)/G811)</f>
        <v>0</v>
      </c>
      <c r="I811" s="19" t="n">
        <v>178.399231</v>
      </c>
      <c r="J811" s="19" t="n">
        <v>178.399231</v>
      </c>
      <c r="K811" s="20" t="n">
        <f aca="false">IF(OR(J811="",J811=0),"",(I811-J811)/J811)</f>
        <v>0</v>
      </c>
      <c r="L811" s="21" t="str">
        <f aca="false">IF(OR(D811="",G811="",J811=""),"No reported subtotal",IF(AND(ABS(N(E811))&lt;=$D$2,ABS(N(H811))&lt;=$D$2,ABS(N(K811))&lt;=$D$2),"Reconciles within tolerance","Outside tolerance"))</f>
        <v>Reconciles within tolerance</v>
      </c>
    </row>
    <row r="812" customFormat="false" ht="15" hidden="false" customHeight="false" outlineLevel="0" collapsed="false">
      <c r="A812" s="7" t="n">
        <v>2007</v>
      </c>
      <c r="B812" s="15" t="s">
        <v>131</v>
      </c>
      <c r="C812" s="19" t="n">
        <v>94.165137</v>
      </c>
      <c r="D812" s="19" t="n">
        <v>94.165137</v>
      </c>
      <c r="E812" s="20" t="n">
        <f aca="false">IF(OR(D812="",D812=0),"",(C812-D812)/D812)</f>
        <v>0</v>
      </c>
      <c r="F812" s="19" t="n">
        <v>66.186825</v>
      </c>
      <c r="G812" s="19" t="n">
        <v>66.186825</v>
      </c>
      <c r="H812" s="20" t="n">
        <f aca="false">IF(OR(G812="",G812=0),"",(F812-G812)/G812)</f>
        <v>0</v>
      </c>
      <c r="I812" s="19" t="n">
        <v>112.10554</v>
      </c>
      <c r="J812" s="19" t="n">
        <v>112.10554</v>
      </c>
      <c r="K812" s="20" t="n">
        <f aca="false">IF(OR(J812="",J812=0),"",(I812-J812)/J812)</f>
        <v>0</v>
      </c>
      <c r="L812" s="21" t="str">
        <f aca="false">IF(OR(D812="",G812="",J812=""),"No reported subtotal",IF(AND(ABS(N(E812))&lt;=$D$2,ABS(N(H812))&lt;=$D$2,ABS(N(K812))&lt;=$D$2),"Reconciles within tolerance","Outside tolerance"))</f>
        <v>Reconciles within tolerance</v>
      </c>
    </row>
    <row r="813" customFormat="false" ht="15" hidden="false" customHeight="false" outlineLevel="0" collapsed="false">
      <c r="A813" s="7" t="n">
        <v>2008</v>
      </c>
      <c r="B813" s="15" t="s">
        <v>131</v>
      </c>
      <c r="C813" s="19" t="n">
        <v>87.935155</v>
      </c>
      <c r="D813" s="19" t="n">
        <v>87.935155</v>
      </c>
      <c r="E813" s="20" t="n">
        <f aca="false">IF(OR(D813="",D813=0),"",(C813-D813)/D813)</f>
        <v>0</v>
      </c>
      <c r="F813" s="19" t="n">
        <v>71.71125</v>
      </c>
      <c r="G813" s="19" t="n">
        <v>71.71125</v>
      </c>
      <c r="H813" s="20" t="n">
        <f aca="false">IF(OR(G813="",G813=0),"",(F813-G813)/G813)</f>
        <v>0</v>
      </c>
      <c r="I813" s="19" t="n">
        <v>302.904188</v>
      </c>
      <c r="J813" s="19" t="n">
        <v>302.904188</v>
      </c>
      <c r="K813" s="20" t="n">
        <f aca="false">IF(OR(J813="",J813=0),"",(I813-J813)/J813)</f>
        <v>0</v>
      </c>
      <c r="L813" s="21" t="str">
        <f aca="false">IF(OR(D813="",G813="",J813=""),"No reported subtotal",IF(AND(ABS(N(E813))&lt;=$D$2,ABS(N(H813))&lt;=$D$2,ABS(N(K813))&lt;=$D$2),"Reconciles within tolerance","Outside tolerance"))</f>
        <v>Reconciles within tolerance</v>
      </c>
    </row>
    <row r="814" customFormat="false" ht="15" hidden="false" customHeight="false" outlineLevel="0" collapsed="false">
      <c r="A814" s="7" t="n">
        <v>2009</v>
      </c>
      <c r="B814" s="15" t="s">
        <v>131</v>
      </c>
      <c r="C814" s="19" t="n">
        <v>93.848087</v>
      </c>
      <c r="D814" s="19" t="n">
        <v>93.848087</v>
      </c>
      <c r="E814" s="20" t="n">
        <f aca="false">IF(OR(D814="",D814=0),"",(C814-D814)/D814)</f>
        <v>0</v>
      </c>
      <c r="F814" s="19" t="n">
        <v>76.247122</v>
      </c>
      <c r="G814" s="19" t="n">
        <v>76.247122</v>
      </c>
      <c r="H814" s="20" t="n">
        <f aca="false">IF(OR(G814="",G814=0),"",(F814-G814)/G814)</f>
        <v>0</v>
      </c>
      <c r="I814" s="19" t="n">
        <v>199.36539</v>
      </c>
      <c r="J814" s="19" t="n">
        <v>199.36539</v>
      </c>
      <c r="K814" s="20" t="n">
        <f aca="false">IF(OR(J814="",J814=0),"",(I814-J814)/J814)</f>
        <v>0</v>
      </c>
      <c r="L814" s="21" t="str">
        <f aca="false">IF(OR(D814="",G814="",J814=""),"No reported subtotal",IF(AND(ABS(N(E814))&lt;=$D$2,ABS(N(H814))&lt;=$D$2,ABS(N(K814))&lt;=$D$2),"Reconciles within tolerance","Outside tolerance"))</f>
        <v>Reconciles within tolerance</v>
      </c>
    </row>
    <row r="815" customFormat="false" ht="15" hidden="false" customHeight="false" outlineLevel="0" collapsed="false">
      <c r="A815" s="7" t="n">
        <v>2010</v>
      </c>
      <c r="B815" s="15" t="s">
        <v>131</v>
      </c>
      <c r="C815" s="19" t="n">
        <v>121.606654</v>
      </c>
      <c r="D815" s="19" t="n">
        <v>121.606654</v>
      </c>
      <c r="E815" s="20" t="n">
        <f aca="false">IF(OR(D815="",D815=0),"",(C815-D815)/D815)</f>
        <v>0</v>
      </c>
      <c r="F815" s="19" t="n">
        <v>84.938128</v>
      </c>
      <c r="G815" s="19" t="n">
        <v>84.938128</v>
      </c>
      <c r="H815" s="20" t="n">
        <f aca="false">IF(OR(G815="",G815=0),"",(F815-G815)/G815)</f>
        <v>0</v>
      </c>
      <c r="I815" s="19" t="n">
        <v>169.65416</v>
      </c>
      <c r="J815" s="19" t="n">
        <v>169.65416</v>
      </c>
      <c r="K815" s="20" t="n">
        <f aca="false">IF(OR(J815="",J815=0),"",(I815-J815)/J815)</f>
        <v>0</v>
      </c>
      <c r="L815" s="21" t="str">
        <f aca="false">IF(OR(D815="",G815="",J815=""),"No reported subtotal",IF(AND(ABS(N(E815))&lt;=$D$2,ABS(N(H815))&lt;=$D$2,ABS(N(K815))&lt;=$D$2),"Reconciles within tolerance","Outside tolerance"))</f>
        <v>Reconciles within tolerance</v>
      </c>
    </row>
    <row r="816" customFormat="false" ht="15" hidden="false" customHeight="false" outlineLevel="0" collapsed="false">
      <c r="A816" s="7" t="n">
        <v>2011</v>
      </c>
      <c r="B816" s="15" t="s">
        <v>131</v>
      </c>
      <c r="C816" s="19" t="n">
        <v>148.028374</v>
      </c>
      <c r="D816" s="19" t="n">
        <v>148.028374</v>
      </c>
      <c r="E816" s="20" t="n">
        <f aca="false">IF(OR(D816="",D816=0),"",(C816-D816)/D816)</f>
        <v>0</v>
      </c>
      <c r="F816" s="19" t="n">
        <v>91.312902</v>
      </c>
      <c r="G816" s="19" t="n">
        <v>91.312902</v>
      </c>
      <c r="H816" s="20" t="n">
        <f aca="false">IF(OR(G816="",G816=0),"",(F816-G816)/G816)</f>
        <v>0</v>
      </c>
      <c r="I816" s="19" t="n">
        <v>201.805971</v>
      </c>
      <c r="J816" s="19" t="n">
        <v>201.805971</v>
      </c>
      <c r="K816" s="20" t="n">
        <f aca="false">IF(OR(J816="",J816=0),"",(I816-J816)/J816)</f>
        <v>0</v>
      </c>
      <c r="L816" s="21" t="str">
        <f aca="false">IF(OR(D816="",G816="",J816=""),"No reported subtotal",IF(AND(ABS(N(E816))&lt;=$D$2,ABS(N(H816))&lt;=$D$2,ABS(N(K816))&lt;=$D$2),"Reconciles within tolerance","Outside tolerance"))</f>
        <v>Reconciles within tolerance</v>
      </c>
    </row>
    <row r="817" customFormat="false" ht="15" hidden="false" customHeight="false" outlineLevel="0" collapsed="false">
      <c r="A817" s="7" t="n">
        <v>2012</v>
      </c>
      <c r="B817" s="15" t="s">
        <v>131</v>
      </c>
      <c r="C817" s="19" t="n">
        <v>123.307805</v>
      </c>
      <c r="D817" s="19" t="n">
        <v>123.307805</v>
      </c>
      <c r="E817" s="20" t="n">
        <f aca="false">IF(OR(D817="",D817=0),"",(C817-D817)/D817)</f>
        <v>0</v>
      </c>
      <c r="F817" s="19" t="n">
        <v>87.223277</v>
      </c>
      <c r="G817" s="19" t="n">
        <v>87.223277</v>
      </c>
      <c r="H817" s="20" t="n">
        <f aca="false">IF(OR(G817="",G817=0),"",(F817-G817)/G817)</f>
        <v>0</v>
      </c>
      <c r="I817" s="19" t="n">
        <v>395.240437</v>
      </c>
      <c r="J817" s="19" t="n">
        <v>395.240437</v>
      </c>
      <c r="K817" s="20" t="n">
        <f aca="false">IF(OR(J817="",J817=0),"",(I817-J817)/J817)</f>
        <v>0</v>
      </c>
      <c r="L817" s="21" t="str">
        <f aca="false">IF(OR(D817="",G817="",J817=""),"No reported subtotal",IF(AND(ABS(N(E817))&lt;=$D$2,ABS(N(H817))&lt;=$D$2,ABS(N(K817))&lt;=$D$2),"Reconciles within tolerance","Outside tolerance"))</f>
        <v>Reconciles within tolerance</v>
      </c>
    </row>
    <row r="818" customFormat="false" ht="15" hidden="false" customHeight="false" outlineLevel="0" collapsed="false">
      <c r="A818" s="7" t="n">
        <v>2013</v>
      </c>
      <c r="B818" s="15" t="s">
        <v>131</v>
      </c>
      <c r="C818" s="19" t="n">
        <v>124.163835</v>
      </c>
      <c r="D818" s="19" t="n">
        <v>124.163835</v>
      </c>
      <c r="E818" s="20" t="n">
        <f aca="false">IF(OR(D818="",D818=0),"",(C818-D818)/D818)</f>
        <v>0</v>
      </c>
      <c r="F818" s="19" t="n">
        <v>84.752762</v>
      </c>
      <c r="G818" s="19" t="n">
        <v>84.752762</v>
      </c>
      <c r="H818" s="20" t="n">
        <f aca="false">IF(OR(G818="",G818=0),"",(F818-G818)/G818)</f>
        <v>0</v>
      </c>
      <c r="I818" s="19" t="n">
        <v>385.984966</v>
      </c>
      <c r="J818" s="19" t="n">
        <v>385.984966</v>
      </c>
      <c r="K818" s="20" t="n">
        <f aca="false">IF(OR(J818="",J818=0),"",(I818-J818)/J818)</f>
        <v>0</v>
      </c>
      <c r="L818" s="21" t="str">
        <f aca="false">IF(OR(D818="",G818="",J818=""),"No reported subtotal",IF(AND(ABS(N(E818))&lt;=$D$2,ABS(N(H818))&lt;=$D$2,ABS(N(K818))&lt;=$D$2),"Reconciles within tolerance","Outside tolerance"))</f>
        <v>Reconciles within tolerance</v>
      </c>
    </row>
    <row r="819" customFormat="false" ht="15" hidden="false" customHeight="false" outlineLevel="0" collapsed="false">
      <c r="A819" s="7" t="n">
        <v>2014</v>
      </c>
      <c r="B819" s="15" t="s">
        <v>131</v>
      </c>
      <c r="C819" s="19" t="n">
        <v>121.59625</v>
      </c>
      <c r="D819" s="19" t="n">
        <v>121.59625</v>
      </c>
      <c r="E819" s="20" t="n">
        <f aca="false">IF(OR(D819="",D819=0),"",(C819-D819)/D819)</f>
        <v>0</v>
      </c>
      <c r="F819" s="19" t="n">
        <v>93.844619</v>
      </c>
      <c r="G819" s="19" t="n">
        <v>93.844619</v>
      </c>
      <c r="H819" s="20" t="n">
        <f aca="false">IF(OR(G819="",G819=0),"",(F819-G819)/G819)</f>
        <v>0</v>
      </c>
      <c r="I819" s="19" t="n">
        <v>406.470755</v>
      </c>
      <c r="J819" s="19" t="n">
        <v>406.470755</v>
      </c>
      <c r="K819" s="20" t="n">
        <f aca="false">IF(OR(J819="",J819=0),"",(I819-J819)/J819)</f>
        <v>0</v>
      </c>
      <c r="L819" s="21" t="str">
        <f aca="false">IF(OR(D819="",G819="",J819=""),"No reported subtotal",IF(AND(ABS(N(E819))&lt;=$D$2,ABS(N(H819))&lt;=$D$2,ABS(N(K819))&lt;=$D$2),"Reconciles within tolerance","Outside tolerance"))</f>
        <v>Reconciles within tolerance</v>
      </c>
    </row>
    <row r="820" customFormat="false" ht="15" hidden="false" customHeight="false" outlineLevel="0" collapsed="false">
      <c r="A820" s="7" t="n">
        <v>2015</v>
      </c>
      <c r="B820" s="15" t="s">
        <v>131</v>
      </c>
      <c r="C820" s="19" t="n">
        <v>134.875889</v>
      </c>
      <c r="D820" s="19" t="n">
        <v>134.875889</v>
      </c>
      <c r="E820" s="20" t="n">
        <f aca="false">IF(OR(D820="",D820=0),"",(C820-D820)/D820)</f>
        <v>0</v>
      </c>
      <c r="F820" s="19" t="n">
        <v>119.577483</v>
      </c>
      <c r="G820" s="19" t="n">
        <v>119.577483</v>
      </c>
      <c r="H820" s="20" t="n">
        <f aca="false">IF(OR(G820="",G820=0),"",(F820-G820)/G820)</f>
        <v>0</v>
      </c>
      <c r="I820" s="19" t="n">
        <v>353.222777</v>
      </c>
      <c r="J820" s="19" t="n">
        <v>353.222777</v>
      </c>
      <c r="K820" s="20" t="n">
        <f aca="false">IF(OR(J820="",J820=0),"",(I820-J820)/J820)</f>
        <v>0</v>
      </c>
      <c r="L820" s="21" t="str">
        <f aca="false">IF(OR(D820="",G820="",J820=""),"No reported subtotal",IF(AND(ABS(N(E820))&lt;=$D$2,ABS(N(H820))&lt;=$D$2,ABS(N(K820))&lt;=$D$2),"Reconciles within tolerance","Outside tolerance"))</f>
        <v>Reconciles within tolerance</v>
      </c>
    </row>
    <row r="821" customFormat="false" ht="15" hidden="false" customHeight="false" outlineLevel="0" collapsed="false">
      <c r="A821" s="7" t="n">
        <v>2016</v>
      </c>
      <c r="B821" s="15" t="s">
        <v>131</v>
      </c>
      <c r="C821" s="19" t="n">
        <v>158.377809</v>
      </c>
      <c r="D821" s="19" t="n">
        <v>158.377809</v>
      </c>
      <c r="E821" s="20" t="n">
        <f aca="false">IF(OR(D821="",D821=0),"",(C821-D821)/D821)</f>
        <v>0</v>
      </c>
      <c r="F821" s="19" t="n">
        <v>118.842586</v>
      </c>
      <c r="G821" s="19" t="n">
        <v>118.842586</v>
      </c>
      <c r="H821" s="20" t="n">
        <f aca="false">IF(OR(G821="",G821=0),"",(F821-G821)/G821)</f>
        <v>0</v>
      </c>
      <c r="I821" s="19" t="n">
        <v>276.138956</v>
      </c>
      <c r="J821" s="19" t="n">
        <v>276.138956</v>
      </c>
      <c r="K821" s="20" t="n">
        <f aca="false">IF(OR(J821="",J821=0),"",(I821-J821)/J821)</f>
        <v>0</v>
      </c>
      <c r="L821" s="21" t="str">
        <f aca="false">IF(OR(D821="",G821="",J821=""),"No reported subtotal",IF(AND(ABS(N(E821))&lt;=$D$2,ABS(N(H821))&lt;=$D$2,ABS(N(K821))&lt;=$D$2),"Reconciles within tolerance","Outside tolerance"))</f>
        <v>Reconciles within tolerance</v>
      </c>
    </row>
    <row r="822" customFormat="false" ht="15" hidden="false" customHeight="false" outlineLevel="0" collapsed="false">
      <c r="A822" s="7" t="n">
        <v>2017</v>
      </c>
      <c r="B822" s="15" t="s">
        <v>131</v>
      </c>
      <c r="C822" s="19" t="n">
        <v>155.656644</v>
      </c>
      <c r="D822" s="19" t="n">
        <v>155.656644</v>
      </c>
      <c r="E822" s="20" t="n">
        <f aca="false">IF(OR(D822="",D822=0),"",(C822-D822)/D822)</f>
        <v>0</v>
      </c>
      <c r="F822" s="19" t="n">
        <v>98.707501</v>
      </c>
      <c r="G822" s="19" t="n">
        <v>98.707501</v>
      </c>
      <c r="H822" s="20" t="n">
        <f aca="false">IF(OR(G822="",G822=0),"",(F822-G822)/G822)</f>
        <v>0</v>
      </c>
      <c r="I822" s="19" t="n">
        <v>434.471263</v>
      </c>
      <c r="J822" s="19" t="n">
        <v>434.471263</v>
      </c>
      <c r="K822" s="20" t="n">
        <f aca="false">IF(OR(J822="",J822=0),"",(I822-J822)/J822)</f>
        <v>0</v>
      </c>
      <c r="L822" s="21" t="str">
        <f aca="false">IF(OR(D822="",G822="",J822=""),"No reported subtotal",IF(AND(ABS(N(E822))&lt;=$D$2,ABS(N(H822))&lt;=$D$2,ABS(N(K822))&lt;=$D$2),"Reconciles within tolerance","Outside tolerance"))</f>
        <v>Reconciles within tolerance</v>
      </c>
    </row>
    <row r="823" customFormat="false" ht="15" hidden="false" customHeight="false" outlineLevel="0" collapsed="false">
      <c r="A823" s="7" t="n">
        <v>2018</v>
      </c>
      <c r="B823" s="15" t="s">
        <v>131</v>
      </c>
      <c r="C823" s="19" t="n">
        <v>176.805232</v>
      </c>
      <c r="D823" s="19" t="n">
        <v>176.805232</v>
      </c>
      <c r="E823" s="20" t="n">
        <f aca="false">IF(OR(D823="",D823=0),"",(C823-D823)/D823)</f>
        <v>0</v>
      </c>
      <c r="F823" s="19" t="n">
        <v>99.572399</v>
      </c>
      <c r="G823" s="19" t="n">
        <v>99.572399</v>
      </c>
      <c r="H823" s="20" t="n">
        <f aca="false">IF(OR(G823="",G823=0),"",(F823-G823)/G823)</f>
        <v>0</v>
      </c>
      <c r="I823" s="19" t="n">
        <v>548.419647</v>
      </c>
      <c r="J823" s="19" t="n">
        <v>548.419647</v>
      </c>
      <c r="K823" s="20" t="n">
        <f aca="false">IF(OR(J823="",J823=0),"",(I823-J823)/J823)</f>
        <v>0</v>
      </c>
      <c r="L823" s="21" t="str">
        <f aca="false">IF(OR(D823="",G823="",J823=""),"No reported subtotal",IF(AND(ABS(N(E823))&lt;=$D$2,ABS(N(H823))&lt;=$D$2,ABS(N(K823))&lt;=$D$2),"Reconciles within tolerance","Outside tolerance"))</f>
        <v>Reconciles within tolerance</v>
      </c>
    </row>
    <row r="824" customFormat="false" ht="15" hidden="false" customHeight="false" outlineLevel="0" collapsed="false">
      <c r="A824" s="7" t="n">
        <v>2019</v>
      </c>
      <c r="B824" s="15" t="s">
        <v>131</v>
      </c>
      <c r="C824" s="19" t="n">
        <v>198.17356</v>
      </c>
      <c r="D824" s="19" t="n">
        <v>198.17356</v>
      </c>
      <c r="E824" s="20" t="n">
        <f aca="false">IF(OR(D824="",D824=0),"",(C824-D824)/D824)</f>
        <v>0</v>
      </c>
      <c r="F824" s="19" t="n">
        <v>92.724389</v>
      </c>
      <c r="G824" s="19" t="n">
        <v>92.724389</v>
      </c>
      <c r="H824" s="20" t="n">
        <f aca="false">IF(OR(G824="",G824=0),"",(F824-G824)/G824)</f>
        <v>0</v>
      </c>
      <c r="I824" s="19" t="n">
        <v>365.636905</v>
      </c>
      <c r="J824" s="19" t="n">
        <v>365.636905</v>
      </c>
      <c r="K824" s="20" t="n">
        <f aca="false">IF(OR(J824="",J824=0),"",(I824-J824)/J824)</f>
        <v>0</v>
      </c>
      <c r="L824" s="21" t="str">
        <f aca="false">IF(OR(D824="",G824="",J824=""),"No reported subtotal",IF(AND(ABS(N(E824))&lt;=$D$2,ABS(N(H824))&lt;=$D$2,ABS(N(K824))&lt;=$D$2),"Reconciles within tolerance","Outside tolerance"))</f>
        <v>Reconciles within tolerance</v>
      </c>
    </row>
    <row r="825" customFormat="false" ht="15" hidden="false" customHeight="false" outlineLevel="0" collapsed="false">
      <c r="A825" s="7" t="n">
        <v>2020</v>
      </c>
      <c r="B825" s="15" t="s">
        <v>131</v>
      </c>
      <c r="C825" s="19" t="n">
        <v>176.861528</v>
      </c>
      <c r="D825" s="19" t="n">
        <v>176.861528</v>
      </c>
      <c r="E825" s="20" t="n">
        <f aca="false">IF(OR(D825="",D825=0),"",(C825-D825)/D825)</f>
        <v>0</v>
      </c>
      <c r="F825" s="19" t="n">
        <v>109.892329</v>
      </c>
      <c r="G825" s="19" t="n">
        <v>109.892329</v>
      </c>
      <c r="H825" s="20" t="n">
        <f aca="false">IF(OR(G825="",G825=0),"",(F825-G825)/G825)</f>
        <v>0</v>
      </c>
      <c r="I825" s="19" t="n">
        <v>444.698881</v>
      </c>
      <c r="J825" s="19" t="n">
        <v>444.698881</v>
      </c>
      <c r="K825" s="20" t="n">
        <f aca="false">IF(OR(J825="",J825=0),"",(I825-J825)/J825)</f>
        <v>0</v>
      </c>
      <c r="L825" s="21" t="str">
        <f aca="false">IF(OR(D825="",G825="",J825=""),"No reported subtotal",IF(AND(ABS(N(E825))&lt;=$D$2,ABS(N(H825))&lt;=$D$2,ABS(N(K825))&lt;=$D$2),"Reconciles within tolerance","Outside tolerance"))</f>
        <v>Reconciles within tolerance</v>
      </c>
    </row>
    <row r="826" customFormat="false" ht="15" hidden="false" customHeight="false" outlineLevel="0" collapsed="false">
      <c r="A826" s="7" t="n">
        <v>2021</v>
      </c>
      <c r="B826" s="15" t="s">
        <v>131</v>
      </c>
      <c r="C826" s="19" t="n">
        <v>185.472122</v>
      </c>
      <c r="D826" s="19" t="n">
        <v>185.534324</v>
      </c>
      <c r="E826" s="20" t="n">
        <f aca="false">IF(OR(D826="",D826=0),"",(C826-D826)/D826)</f>
        <v>-0.000335258720106071</v>
      </c>
      <c r="F826" s="19" t="n">
        <v>103.326933</v>
      </c>
      <c r="G826" s="19" t="n">
        <v>103.326933</v>
      </c>
      <c r="H826" s="20" t="n">
        <f aca="false">IF(OR(G826="",G826=0),"",(F826-G826)/G826)</f>
        <v>0</v>
      </c>
      <c r="I826" s="19" t="n">
        <v>434.482369</v>
      </c>
      <c r="J826" s="19" t="n">
        <v>434.482369</v>
      </c>
      <c r="K826" s="20" t="n">
        <f aca="false">IF(OR(J826="",J826=0),"",(I826-J826)/J826)</f>
        <v>0</v>
      </c>
      <c r="L826" s="21" t="str">
        <f aca="false">IF(OR(D826="",G826="",J826=""),"No reported subtotal",IF(AND(ABS(N(E826))&lt;=$D$2,ABS(N(H826))&lt;=$D$2,ABS(N(K826))&lt;=$D$2),"Reconciles within tolerance","Outside tolerance"))</f>
        <v>Reconciles within tolerance</v>
      </c>
    </row>
    <row r="827" customFormat="false" ht="15" hidden="false" customHeight="false" outlineLevel="0" collapsed="false">
      <c r="A827" s="7" t="n">
        <v>2022</v>
      </c>
      <c r="B827" s="15" t="s">
        <v>131</v>
      </c>
      <c r="C827" s="19" t="n">
        <v>198.041264</v>
      </c>
      <c r="D827" s="19" t="n">
        <v>198.041264</v>
      </c>
      <c r="E827" s="20" t="n">
        <f aca="false">IF(OR(D827="",D827=0),"",(C827-D827)/D827)</f>
        <v>0</v>
      </c>
      <c r="F827" s="19" t="n">
        <v>128.933191</v>
      </c>
      <c r="G827" s="19" t="n">
        <v>128.933191</v>
      </c>
      <c r="H827" s="20" t="n">
        <f aca="false">IF(OR(G827="",G827=0),"",(F827-G827)/G827)</f>
        <v>0</v>
      </c>
      <c r="I827" s="19" t="n">
        <v>395.92428</v>
      </c>
      <c r="J827" s="19" t="n">
        <v>395.92428</v>
      </c>
      <c r="K827" s="20" t="n">
        <f aca="false">IF(OR(J827="",J827=0),"",(I827-J827)/J827)</f>
        <v>0</v>
      </c>
      <c r="L827" s="21" t="str">
        <f aca="false">IF(OR(D827="",G827="",J827=""),"No reported subtotal",IF(AND(ABS(N(E827))&lt;=$D$2,ABS(N(H827))&lt;=$D$2,ABS(N(K827))&lt;=$D$2),"Reconciles within tolerance","Outside tolerance"))</f>
        <v>Reconciles within tolerance</v>
      </c>
    </row>
    <row r="828" customFormat="false" ht="15" hidden="false" customHeight="false" outlineLevel="0" collapsed="false">
      <c r="A828" s="7" t="n">
        <v>2023</v>
      </c>
      <c r="B828" s="15" t="s">
        <v>131</v>
      </c>
      <c r="C828" s="19" t="n">
        <v>220.243352</v>
      </c>
      <c r="D828" s="19" t="n">
        <v>220.243352</v>
      </c>
      <c r="E828" s="20" t="n">
        <f aca="false">IF(OR(D828="",D828=0),"",(C828-D828)/D828)</f>
        <v>0</v>
      </c>
      <c r="F828" s="19" t="n">
        <v>138.931914</v>
      </c>
      <c r="G828" s="19" t="n">
        <v>138.931914</v>
      </c>
      <c r="H828" s="20" t="n">
        <f aca="false">IF(OR(G828="",G828=0),"",(F828-G828)/G828)</f>
        <v>0</v>
      </c>
      <c r="I828" s="19" t="n">
        <v>618.001078</v>
      </c>
      <c r="J828" s="19" t="n">
        <v>618.001078</v>
      </c>
      <c r="K828" s="20" t="n">
        <f aca="false">IF(OR(J828="",J828=0),"",(I828-J828)/J828)</f>
        <v>0</v>
      </c>
      <c r="L828" s="21" t="str">
        <f aca="false">IF(OR(D828="",G828="",J828=""),"No reported subtotal",IF(AND(ABS(N(E828))&lt;=$D$2,ABS(N(H828))&lt;=$D$2,ABS(N(K828))&lt;=$D$2),"Reconciles within tolerance","Outside tolerance"))</f>
        <v>Reconciles within tolerance</v>
      </c>
    </row>
    <row r="829" customFormat="false" ht="15" hidden="false" customHeight="false" outlineLevel="0" collapsed="false">
      <c r="A829" s="7" t="n">
        <v>2024</v>
      </c>
      <c r="B829" s="15" t="s">
        <v>131</v>
      </c>
      <c r="C829" s="19" t="n">
        <v>125.568345</v>
      </c>
      <c r="D829" s="19" t="n">
        <v>125.568345</v>
      </c>
      <c r="E829" s="20" t="n">
        <f aca="false">IF(OR(D829="",D829=0),"",(C829-D829)/D829)</f>
        <v>0</v>
      </c>
      <c r="F829" s="19" t="n">
        <v>170.45423</v>
      </c>
      <c r="G829" s="19" t="n">
        <v>170.45423</v>
      </c>
      <c r="H829" s="20" t="n">
        <f aca="false">IF(OR(G829="",G829=0),"",(F829-G829)/G829)</f>
        <v>0</v>
      </c>
      <c r="I829" s="19" t="n">
        <v>615.137747</v>
      </c>
      <c r="J829" s="19" t="n">
        <v>615.137747</v>
      </c>
      <c r="K829" s="20" t="n">
        <f aca="false">IF(OR(J829="",J829=0),"",(I829-J829)/J829)</f>
        <v>0</v>
      </c>
      <c r="L829" s="21" t="str">
        <f aca="false">IF(OR(D829="",G829="",J829=""),"No reported subtotal",IF(AND(ABS(N(E829))&lt;=$D$2,ABS(N(H829))&lt;=$D$2,ABS(N(K829))&lt;=$D$2),"Reconciles within tolerance","Outside tolerance"))</f>
        <v>Reconciles within tolerance</v>
      </c>
    </row>
    <row r="830" customFormat="false" ht="15" hidden="false" customHeight="false" outlineLevel="0" collapsed="false">
      <c r="A830" s="7" t="n">
        <v>2025</v>
      </c>
      <c r="B830" s="15" t="s">
        <v>131</v>
      </c>
      <c r="C830" s="19" t="n">
        <v>146.454632</v>
      </c>
      <c r="D830" s="19" t="n">
        <v>146.454632</v>
      </c>
      <c r="E830" s="20" t="n">
        <f aca="false">IF(OR(D830="",D830=0),"",(C830-D830)/D830)</f>
        <v>0</v>
      </c>
      <c r="F830" s="19" t="n">
        <v>229.225743</v>
      </c>
      <c r="G830" s="19" t="n">
        <v>229.225743</v>
      </c>
      <c r="H830" s="20" t="n">
        <f aca="false">IF(OR(G830="",G830=0),"",(F830-G830)/G830)</f>
        <v>0</v>
      </c>
      <c r="I830" s="19" t="n">
        <v>643.551173</v>
      </c>
      <c r="J830" s="19" t="n">
        <v>643.551173</v>
      </c>
      <c r="K830" s="20" t="n">
        <f aca="false">IF(OR(J830="",J830=0),"",(I830-J830)/J830)</f>
        <v>0</v>
      </c>
      <c r="L830" s="21" t="str">
        <f aca="false">IF(OR(D830="",G830="",J830=""),"No reported subtotal",IF(AND(ABS(N(E830))&lt;=$D$2,ABS(N(H830))&lt;=$D$2,ABS(N(K830))&lt;=$D$2),"Reconciles within tolerance","Outside tolerance"))</f>
        <v>Reconciles within tolerance</v>
      </c>
    </row>
    <row r="831" customFormat="false" ht="15" hidden="false" customHeight="false" outlineLevel="0" collapsed="false">
      <c r="A831" s="7" t="n">
        <v>2000</v>
      </c>
      <c r="B831" s="15" t="s">
        <v>133</v>
      </c>
      <c r="C831" s="19" t="n">
        <v>123.633904</v>
      </c>
      <c r="D831" s="19" t="n">
        <v>123.633904</v>
      </c>
      <c r="E831" s="20" t="n">
        <f aca="false">IF(OR(D831="",D831=0),"",(C831-D831)/D831)</f>
        <v>0</v>
      </c>
      <c r="F831" s="19" t="n">
        <v>163.652429</v>
      </c>
      <c r="G831" s="19" t="n">
        <v>163.652429</v>
      </c>
      <c r="H831" s="20" t="n">
        <f aca="false">IF(OR(G831="",G831=0),"",(F831-G831)/G831)</f>
        <v>0</v>
      </c>
      <c r="I831" s="19" t="n">
        <v>173.61147</v>
      </c>
      <c r="J831" s="19" t="n">
        <v>173.61147</v>
      </c>
      <c r="K831" s="20" t="n">
        <f aca="false">IF(OR(J831="",J831=0),"",(I831-J831)/J831)</f>
        <v>0</v>
      </c>
      <c r="L831" s="21" t="str">
        <f aca="false">IF(OR(D831="",G831="",J831=""),"No reported subtotal",IF(AND(ABS(N(E831))&lt;=$D$2,ABS(N(H831))&lt;=$D$2,ABS(N(K831))&lt;=$D$2),"Reconciles within tolerance","Outside tolerance"))</f>
        <v>Reconciles within tolerance</v>
      </c>
    </row>
    <row r="832" customFormat="false" ht="15" hidden="false" customHeight="false" outlineLevel="0" collapsed="false">
      <c r="A832" s="7" t="n">
        <v>2001</v>
      </c>
      <c r="B832" s="15" t="s">
        <v>133</v>
      </c>
      <c r="C832" s="19" t="n">
        <v>213.4433</v>
      </c>
      <c r="D832" s="19" t="n">
        <v>213.4433</v>
      </c>
      <c r="E832" s="20" t="n">
        <f aca="false">IF(OR(D832="",D832=0),"",(C832-D832)/D832)</f>
        <v>0</v>
      </c>
      <c r="F832" s="19" t="n">
        <v>189.693111</v>
      </c>
      <c r="G832" s="19" t="n">
        <v>189.693111</v>
      </c>
      <c r="H832" s="20" t="n">
        <f aca="false">IF(OR(G832="",G832=0),"",(F832-G832)/G832)</f>
        <v>0</v>
      </c>
      <c r="I832" s="19" t="n">
        <v>156.665654</v>
      </c>
      <c r="J832" s="19" t="n">
        <v>156.665654</v>
      </c>
      <c r="K832" s="20" t="n">
        <f aca="false">IF(OR(J832="",J832=0),"",(I832-J832)/J832)</f>
        <v>0</v>
      </c>
      <c r="L832" s="21" t="str">
        <f aca="false">IF(OR(D832="",G832="",J832=""),"No reported subtotal",IF(AND(ABS(N(E832))&lt;=$D$2,ABS(N(H832))&lt;=$D$2,ABS(N(K832))&lt;=$D$2),"Reconciles within tolerance","Outside tolerance"))</f>
        <v>Reconciles within tolerance</v>
      </c>
    </row>
    <row r="833" customFormat="false" ht="15" hidden="false" customHeight="false" outlineLevel="0" collapsed="false">
      <c r="A833" s="7" t="n">
        <v>2002</v>
      </c>
      <c r="B833" s="15" t="s">
        <v>133</v>
      </c>
      <c r="C833" s="19" t="n">
        <v>132.636659</v>
      </c>
      <c r="D833" s="19" t="n">
        <v>132.636659</v>
      </c>
      <c r="E833" s="20" t="n">
        <f aca="false">IF(OR(D833="",D833=0),"",(C833-D833)/D833)</f>
        <v>0</v>
      </c>
      <c r="F833" s="19" t="n">
        <v>201.519485</v>
      </c>
      <c r="G833" s="19" t="n">
        <v>201.519485</v>
      </c>
      <c r="H833" s="20" t="n">
        <f aca="false">IF(OR(G833="",G833=0),"",(F833-G833)/G833)</f>
        <v>0</v>
      </c>
      <c r="I833" s="19" t="n">
        <v>190.770481</v>
      </c>
      <c r="J833" s="19" t="n">
        <v>190.770481</v>
      </c>
      <c r="K833" s="20" t="n">
        <f aca="false">IF(OR(J833="",J833=0),"",(I833-J833)/J833)</f>
        <v>0</v>
      </c>
      <c r="L833" s="21" t="str">
        <f aca="false">IF(OR(D833="",G833="",J833=""),"No reported subtotal",IF(AND(ABS(N(E833))&lt;=$D$2,ABS(N(H833))&lt;=$D$2,ABS(N(K833))&lt;=$D$2),"Reconciles within tolerance","Outside tolerance"))</f>
        <v>Reconciles within tolerance</v>
      </c>
    </row>
    <row r="834" customFormat="false" ht="15" hidden="false" customHeight="false" outlineLevel="0" collapsed="false">
      <c r="A834" s="7" t="n">
        <v>2003</v>
      </c>
      <c r="B834" s="15" t="s">
        <v>133</v>
      </c>
      <c r="C834" s="19" t="n">
        <v>149.857118</v>
      </c>
      <c r="D834" s="19" t="n">
        <v>149.857118</v>
      </c>
      <c r="E834" s="20" t="n">
        <f aca="false">IF(OR(D834="",D834=0),"",(C834-D834)/D834)</f>
        <v>0</v>
      </c>
      <c r="F834" s="19" t="n">
        <v>186.702557</v>
      </c>
      <c r="G834" s="19" t="n">
        <v>186.702557</v>
      </c>
      <c r="H834" s="20" t="n">
        <f aca="false">IF(OR(G834="",G834=0),"",(F834-G834)/G834)</f>
        <v>0</v>
      </c>
      <c r="I834" s="19" t="n">
        <v>182.83376</v>
      </c>
      <c r="J834" s="19" t="n">
        <v>182.83376</v>
      </c>
      <c r="K834" s="20" t="n">
        <f aca="false">IF(OR(J834="",J834=0),"",(I834-J834)/J834)</f>
        <v>0</v>
      </c>
      <c r="L834" s="21" t="str">
        <f aca="false">IF(OR(D834="",G834="",J834=""),"No reported subtotal",IF(AND(ABS(N(E834))&lt;=$D$2,ABS(N(H834))&lt;=$D$2,ABS(N(K834))&lt;=$D$2),"Reconciles within tolerance","Outside tolerance"))</f>
        <v>Reconciles within tolerance</v>
      </c>
    </row>
    <row r="835" customFormat="false" ht="15" hidden="false" customHeight="false" outlineLevel="0" collapsed="false">
      <c r="A835" s="7" t="n">
        <v>2004</v>
      </c>
      <c r="B835" s="15" t="s">
        <v>133</v>
      </c>
      <c r="C835" s="19" t="n">
        <v>141.037524</v>
      </c>
      <c r="D835" s="19" t="n">
        <v>141.037524</v>
      </c>
      <c r="E835" s="20" t="n">
        <f aca="false">IF(OR(D835="",D835=0),"",(C835-D835)/D835)</f>
        <v>0</v>
      </c>
      <c r="F835" s="19" t="n">
        <v>183.280598</v>
      </c>
      <c r="G835" s="19" t="n">
        <v>183.280598</v>
      </c>
      <c r="H835" s="20" t="n">
        <f aca="false">IF(OR(G835="",G835=0),"",(F835-G835)/G835)</f>
        <v>0</v>
      </c>
      <c r="I835" s="19" t="n">
        <v>190.268683</v>
      </c>
      <c r="J835" s="19" t="n">
        <v>190.268683</v>
      </c>
      <c r="K835" s="20" t="n">
        <f aca="false">IF(OR(J835="",J835=0),"",(I835-J835)/J835)</f>
        <v>0</v>
      </c>
      <c r="L835" s="21" t="str">
        <f aca="false">IF(OR(D835="",G835="",J835=""),"No reported subtotal",IF(AND(ABS(N(E835))&lt;=$D$2,ABS(N(H835))&lt;=$D$2,ABS(N(K835))&lt;=$D$2),"Reconciles within tolerance","Outside tolerance"))</f>
        <v>Reconciles within tolerance</v>
      </c>
    </row>
    <row r="836" customFormat="false" ht="15" hidden="false" customHeight="false" outlineLevel="0" collapsed="false">
      <c r="A836" s="7" t="n">
        <v>2005</v>
      </c>
      <c r="B836" s="15" t="s">
        <v>133</v>
      </c>
      <c r="C836" s="19" t="n">
        <v>144.413231</v>
      </c>
      <c r="D836" s="19" t="n">
        <v>144.413231</v>
      </c>
      <c r="E836" s="20" t="n">
        <f aca="false">IF(OR(D836="",D836=0),"",(C836-D836)/D836)</f>
        <v>0</v>
      </c>
      <c r="F836" s="19" t="n">
        <v>190.480781</v>
      </c>
      <c r="G836" s="19" t="n">
        <v>190.480781</v>
      </c>
      <c r="H836" s="20" t="n">
        <f aca="false">IF(OR(G836="",G836=0),"",(F836-G836)/G836)</f>
        <v>0</v>
      </c>
      <c r="I836" s="19" t="n">
        <v>186.095241</v>
      </c>
      <c r="J836" s="19" t="n">
        <v>186.095241</v>
      </c>
      <c r="K836" s="20" t="n">
        <f aca="false">IF(OR(J836="",J836=0),"",(I836-J836)/J836)</f>
        <v>0</v>
      </c>
      <c r="L836" s="21" t="str">
        <f aca="false">IF(OR(D836="",G836="",J836=""),"No reported subtotal",IF(AND(ABS(N(E836))&lt;=$D$2,ABS(N(H836))&lt;=$D$2,ABS(N(K836))&lt;=$D$2),"Reconciles within tolerance","Outside tolerance"))</f>
        <v>Reconciles within tolerance</v>
      </c>
    </row>
    <row r="837" customFormat="false" ht="15" hidden="false" customHeight="false" outlineLevel="0" collapsed="false">
      <c r="A837" s="7" t="n">
        <v>2006</v>
      </c>
      <c r="B837" s="15" t="s">
        <v>133</v>
      </c>
      <c r="C837" s="19" t="n">
        <v>161.52874</v>
      </c>
      <c r="D837" s="19" t="n">
        <v>161.52874</v>
      </c>
      <c r="E837" s="20" t="n">
        <f aca="false">IF(OR(D837="",D837=0),"",(C837-D837)/D837)</f>
        <v>0</v>
      </c>
      <c r="F837" s="19" t="n">
        <v>192.366341</v>
      </c>
      <c r="G837" s="19" t="n">
        <v>192.366341</v>
      </c>
      <c r="H837" s="20" t="n">
        <f aca="false">IF(OR(G837="",G837=0),"",(F837-G837)/G837)</f>
        <v>0</v>
      </c>
      <c r="I837" s="19" t="n">
        <v>209.880317</v>
      </c>
      <c r="J837" s="19" t="n">
        <v>209.880317</v>
      </c>
      <c r="K837" s="20" t="n">
        <f aca="false">IF(OR(J837="",J837=0),"",(I837-J837)/J837)</f>
        <v>0</v>
      </c>
      <c r="L837" s="21" t="str">
        <f aca="false">IF(OR(D837="",G837="",J837=""),"No reported subtotal",IF(AND(ABS(N(E837))&lt;=$D$2,ABS(N(H837))&lt;=$D$2,ABS(N(K837))&lt;=$D$2),"Reconciles within tolerance","Outside tolerance"))</f>
        <v>Reconciles within tolerance</v>
      </c>
    </row>
    <row r="838" customFormat="false" ht="15" hidden="false" customHeight="false" outlineLevel="0" collapsed="false">
      <c r="A838" s="7" t="n">
        <v>2007</v>
      </c>
      <c r="B838" s="15" t="s">
        <v>133</v>
      </c>
      <c r="C838" s="19" t="n">
        <v>158.629646</v>
      </c>
      <c r="D838" s="19" t="n">
        <v>158.629646</v>
      </c>
      <c r="E838" s="20" t="n">
        <f aca="false">IF(OR(D838="",D838=0),"",(C838-D838)/D838)</f>
        <v>0</v>
      </c>
      <c r="F838" s="19" t="n">
        <v>293.597218</v>
      </c>
      <c r="G838" s="19" t="n">
        <v>293.597218</v>
      </c>
      <c r="H838" s="20" t="n">
        <f aca="false">IF(OR(G838="",G838=0),"",(F838-G838)/G838)</f>
        <v>0</v>
      </c>
      <c r="I838" s="19" t="n">
        <v>223.188313</v>
      </c>
      <c r="J838" s="19" t="n">
        <v>223.188313</v>
      </c>
      <c r="K838" s="20" t="n">
        <f aca="false">IF(OR(J838="",J838=0),"",(I838-J838)/J838)</f>
        <v>0</v>
      </c>
      <c r="L838" s="21" t="str">
        <f aca="false">IF(OR(D838="",G838="",J838=""),"No reported subtotal",IF(AND(ABS(N(E838))&lt;=$D$2,ABS(N(H838))&lt;=$D$2,ABS(N(K838))&lt;=$D$2),"Reconciles within tolerance","Outside tolerance"))</f>
        <v>Reconciles within tolerance</v>
      </c>
    </row>
    <row r="839" customFormat="false" ht="15" hidden="false" customHeight="false" outlineLevel="0" collapsed="false">
      <c r="A839" s="7" t="n">
        <v>2008</v>
      </c>
      <c r="B839" s="15" t="s">
        <v>133</v>
      </c>
      <c r="C839" s="19" t="n">
        <v>163.697101</v>
      </c>
      <c r="D839" s="19" t="n">
        <v>163.697101</v>
      </c>
      <c r="E839" s="20" t="n">
        <f aca="false">IF(OR(D839="",D839=0),"",(C839-D839)/D839)</f>
        <v>0</v>
      </c>
      <c r="F839" s="19" t="n">
        <v>332.142236</v>
      </c>
      <c r="G839" s="19" t="n">
        <v>332.142236</v>
      </c>
      <c r="H839" s="20" t="n">
        <f aca="false">IF(OR(G839="",G839=0),"",(F839-G839)/G839)</f>
        <v>0</v>
      </c>
      <c r="I839" s="19" t="n">
        <v>263.937915</v>
      </c>
      <c r="J839" s="19" t="n">
        <v>263.937915</v>
      </c>
      <c r="K839" s="20" t="n">
        <f aca="false">IF(OR(J839="",J839=0),"",(I839-J839)/J839)</f>
        <v>0</v>
      </c>
      <c r="L839" s="21" t="str">
        <f aca="false">IF(OR(D839="",G839="",J839=""),"No reported subtotal",IF(AND(ABS(N(E839))&lt;=$D$2,ABS(N(H839))&lt;=$D$2,ABS(N(K839))&lt;=$D$2),"Reconciles within tolerance","Outside tolerance"))</f>
        <v>Reconciles within tolerance</v>
      </c>
    </row>
    <row r="840" customFormat="false" ht="15" hidden="false" customHeight="false" outlineLevel="0" collapsed="false">
      <c r="A840" s="7" t="n">
        <v>2009</v>
      </c>
      <c r="B840" s="15" t="s">
        <v>133</v>
      </c>
      <c r="C840" s="19" t="n">
        <v>161.065497</v>
      </c>
      <c r="D840" s="19" t="n">
        <v>161.065497</v>
      </c>
      <c r="E840" s="20" t="n">
        <f aca="false">IF(OR(D840="",D840=0),"",(C840-D840)/D840)</f>
        <v>0</v>
      </c>
      <c r="F840" s="19" t="n">
        <v>391.543879</v>
      </c>
      <c r="G840" s="19" t="n">
        <v>391.543879</v>
      </c>
      <c r="H840" s="20" t="n">
        <f aca="false">IF(OR(G840="",G840=0),"",(F840-G840)/G840)</f>
        <v>0</v>
      </c>
      <c r="I840" s="19" t="n">
        <v>307.226505</v>
      </c>
      <c r="J840" s="19" t="n">
        <v>307.226505</v>
      </c>
      <c r="K840" s="20" t="n">
        <f aca="false">IF(OR(J840="",J840=0),"",(I840-J840)/J840)</f>
        <v>0</v>
      </c>
      <c r="L840" s="21" t="str">
        <f aca="false">IF(OR(D840="",G840="",J840=""),"No reported subtotal",IF(AND(ABS(N(E840))&lt;=$D$2,ABS(N(H840))&lt;=$D$2,ABS(N(K840))&lt;=$D$2),"Reconciles within tolerance","Outside tolerance"))</f>
        <v>Reconciles within tolerance</v>
      </c>
    </row>
    <row r="841" customFormat="false" ht="15" hidden="false" customHeight="false" outlineLevel="0" collapsed="false">
      <c r="A841" s="7" t="n">
        <v>2010</v>
      </c>
      <c r="B841" s="15" t="s">
        <v>133</v>
      </c>
      <c r="C841" s="19" t="n">
        <v>147.024564</v>
      </c>
      <c r="D841" s="19" t="n">
        <v>147.024564</v>
      </c>
      <c r="E841" s="20" t="n">
        <f aca="false">IF(OR(D841="",D841=0),"",(C841-D841)/D841)</f>
        <v>0</v>
      </c>
      <c r="F841" s="19" t="n">
        <v>405.018583</v>
      </c>
      <c r="G841" s="19" t="n">
        <v>405.018583</v>
      </c>
      <c r="H841" s="20" t="n">
        <f aca="false">IF(OR(G841="",G841=0),"",(F841-G841)/G841)</f>
        <v>0</v>
      </c>
      <c r="I841" s="19" t="n">
        <v>444.209842</v>
      </c>
      <c r="J841" s="19" t="n">
        <v>444.209842</v>
      </c>
      <c r="K841" s="20" t="n">
        <f aca="false">IF(OR(J841="",J841=0),"",(I841-J841)/J841)</f>
        <v>0</v>
      </c>
      <c r="L841" s="21" t="str">
        <f aca="false">IF(OR(D841="",G841="",J841=""),"No reported subtotal",IF(AND(ABS(N(E841))&lt;=$D$2,ABS(N(H841))&lt;=$D$2,ABS(N(K841))&lt;=$D$2),"Reconciles within tolerance","Outside tolerance"))</f>
        <v>Reconciles within tolerance</v>
      </c>
    </row>
    <row r="842" customFormat="false" ht="15" hidden="false" customHeight="false" outlineLevel="0" collapsed="false">
      <c r="A842" s="7" t="n">
        <v>2011</v>
      </c>
      <c r="B842" s="15" t="s">
        <v>133</v>
      </c>
      <c r="C842" s="19" t="n">
        <v>148.115188</v>
      </c>
      <c r="D842" s="19" t="n">
        <v>148.115188</v>
      </c>
      <c r="E842" s="20" t="n">
        <f aca="false">IF(OR(D842="",D842=0),"",(C842-D842)/D842)</f>
        <v>0</v>
      </c>
      <c r="F842" s="19" t="n">
        <v>386.812301</v>
      </c>
      <c r="G842" s="19" t="n">
        <v>386.812301</v>
      </c>
      <c r="H842" s="20" t="n">
        <f aca="false">IF(OR(G842="",G842=0),"",(F842-G842)/G842)</f>
        <v>0</v>
      </c>
      <c r="I842" s="19" t="n">
        <v>339.01426</v>
      </c>
      <c r="J842" s="19" t="n">
        <v>339.01426</v>
      </c>
      <c r="K842" s="20" t="n">
        <f aca="false">IF(OR(J842="",J842=0),"",(I842-J842)/J842)</f>
        <v>0</v>
      </c>
      <c r="L842" s="21" t="str">
        <f aca="false">IF(OR(D842="",G842="",J842=""),"No reported subtotal",IF(AND(ABS(N(E842))&lt;=$D$2,ABS(N(H842))&lt;=$D$2,ABS(N(K842))&lt;=$D$2),"Reconciles within tolerance","Outside tolerance"))</f>
        <v>Reconciles within tolerance</v>
      </c>
    </row>
    <row r="843" customFormat="false" ht="15" hidden="false" customHeight="false" outlineLevel="0" collapsed="false">
      <c r="A843" s="7" t="n">
        <v>2012</v>
      </c>
      <c r="B843" s="15" t="s">
        <v>133</v>
      </c>
      <c r="C843" s="19" t="n">
        <v>172.15904</v>
      </c>
      <c r="D843" s="19" t="n">
        <v>172.15904</v>
      </c>
      <c r="E843" s="20" t="n">
        <f aca="false">IF(OR(D843="",D843=0),"",(C843-D843)/D843)</f>
        <v>0</v>
      </c>
      <c r="F843" s="19" t="n">
        <v>427.848848</v>
      </c>
      <c r="G843" s="19" t="n">
        <v>427.848848</v>
      </c>
      <c r="H843" s="20" t="n">
        <f aca="false">IF(OR(G843="",G843=0),"",(F843-G843)/G843)</f>
        <v>0</v>
      </c>
      <c r="I843" s="19" t="n">
        <v>325.15345</v>
      </c>
      <c r="J843" s="19" t="n">
        <v>325.15345</v>
      </c>
      <c r="K843" s="20" t="n">
        <f aca="false">IF(OR(J843="",J843=0),"",(I843-J843)/J843)</f>
        <v>0</v>
      </c>
      <c r="L843" s="21" t="str">
        <f aca="false">IF(OR(D843="",G843="",J843=""),"No reported subtotal",IF(AND(ABS(N(E843))&lt;=$D$2,ABS(N(H843))&lt;=$D$2,ABS(N(K843))&lt;=$D$2),"Reconciles within tolerance","Outside tolerance"))</f>
        <v>Reconciles within tolerance</v>
      </c>
    </row>
    <row r="844" customFormat="false" ht="15" hidden="false" customHeight="false" outlineLevel="0" collapsed="false">
      <c r="A844" s="7" t="n">
        <v>2013</v>
      </c>
      <c r="B844" s="15" t="s">
        <v>133</v>
      </c>
      <c r="C844" s="19" t="n">
        <v>161.707275</v>
      </c>
      <c r="D844" s="19" t="n">
        <v>161.707275</v>
      </c>
      <c r="E844" s="20" t="n">
        <f aca="false">IF(OR(D844="",D844=0),"",(C844-D844)/D844)</f>
        <v>0</v>
      </c>
      <c r="F844" s="19" t="n">
        <v>510.747312</v>
      </c>
      <c r="G844" s="19" t="n">
        <v>510.747312</v>
      </c>
      <c r="H844" s="20" t="n">
        <f aca="false">IF(OR(G844="",G844=0),"",(F844-G844)/G844)</f>
        <v>0</v>
      </c>
      <c r="I844" s="19" t="n">
        <v>367.724915</v>
      </c>
      <c r="J844" s="19" t="n">
        <v>367.724915</v>
      </c>
      <c r="K844" s="20" t="n">
        <f aca="false">IF(OR(J844="",J844=0),"",(I844-J844)/J844)</f>
        <v>0</v>
      </c>
      <c r="L844" s="21" t="str">
        <f aca="false">IF(OR(D844="",G844="",J844=""),"No reported subtotal",IF(AND(ABS(N(E844))&lt;=$D$2,ABS(N(H844))&lt;=$D$2,ABS(N(K844))&lt;=$D$2),"Reconciles within tolerance","Outside tolerance"))</f>
        <v>Reconciles within tolerance</v>
      </c>
    </row>
    <row r="845" customFormat="false" ht="15" hidden="false" customHeight="false" outlineLevel="0" collapsed="false">
      <c r="A845" s="7" t="n">
        <v>2014</v>
      </c>
      <c r="B845" s="15" t="s">
        <v>133</v>
      </c>
      <c r="C845" s="19" t="n">
        <v>169.243218</v>
      </c>
      <c r="D845" s="19" t="n">
        <v>169.243218</v>
      </c>
      <c r="E845" s="20" t="n">
        <f aca="false">IF(OR(D845="",D845=0),"",(C845-D845)/D845)</f>
        <v>0</v>
      </c>
      <c r="F845" s="19" t="n">
        <v>507.422154</v>
      </c>
      <c r="G845" s="19" t="n">
        <v>507.422154</v>
      </c>
      <c r="H845" s="20" t="n">
        <f aca="false">IF(OR(G845="",G845=0),"",(F845-G845)/G845)</f>
        <v>0</v>
      </c>
      <c r="I845" s="19" t="n">
        <v>215.302794</v>
      </c>
      <c r="J845" s="19" t="n">
        <v>215.302794</v>
      </c>
      <c r="K845" s="20" t="n">
        <f aca="false">IF(OR(J845="",J845=0),"",(I845-J845)/J845)</f>
        <v>0</v>
      </c>
      <c r="L845" s="21" t="str">
        <f aca="false">IF(OR(D845="",G845="",J845=""),"No reported subtotal",IF(AND(ABS(N(E845))&lt;=$D$2,ABS(N(H845))&lt;=$D$2,ABS(N(K845))&lt;=$D$2),"Reconciles within tolerance","Outside tolerance"))</f>
        <v>Reconciles within tolerance</v>
      </c>
    </row>
    <row r="846" customFormat="false" ht="15" hidden="false" customHeight="false" outlineLevel="0" collapsed="false">
      <c r="A846" s="7" t="n">
        <v>2015</v>
      </c>
      <c r="B846" s="15" t="s">
        <v>133</v>
      </c>
      <c r="C846" s="19" t="n">
        <v>169.001131</v>
      </c>
      <c r="D846" s="19" t="n">
        <v>169.001131</v>
      </c>
      <c r="E846" s="20" t="n">
        <f aca="false">IF(OR(D846="",D846=0),"",(C846-D846)/D846)</f>
        <v>0</v>
      </c>
      <c r="F846" s="19" t="n">
        <v>464.959888</v>
      </c>
      <c r="G846" s="19" t="n">
        <v>464.959888</v>
      </c>
      <c r="H846" s="20" t="n">
        <f aca="false">IF(OR(G846="",G846=0),"",(F846-G846)/G846)</f>
        <v>0</v>
      </c>
      <c r="I846" s="19" t="n">
        <v>374.844759</v>
      </c>
      <c r="J846" s="19" t="n">
        <v>374.844759</v>
      </c>
      <c r="K846" s="20" t="n">
        <f aca="false">IF(OR(J846="",J846=0),"",(I846-J846)/J846)</f>
        <v>0</v>
      </c>
      <c r="L846" s="21" t="str">
        <f aca="false">IF(OR(D846="",G846="",J846=""),"No reported subtotal",IF(AND(ABS(N(E846))&lt;=$D$2,ABS(N(H846))&lt;=$D$2,ABS(N(K846))&lt;=$D$2),"Reconciles within tolerance","Outside tolerance"))</f>
        <v>Reconciles within tolerance</v>
      </c>
    </row>
    <row r="847" customFormat="false" ht="15" hidden="false" customHeight="false" outlineLevel="0" collapsed="false">
      <c r="A847" s="7" t="n">
        <v>2016</v>
      </c>
      <c r="B847" s="15" t="s">
        <v>133</v>
      </c>
      <c r="C847" s="19" t="n">
        <v>176.53177</v>
      </c>
      <c r="D847" s="19" t="n">
        <v>176.53177</v>
      </c>
      <c r="E847" s="20" t="n">
        <f aca="false">IF(OR(D847="",D847=0),"",(C847-D847)/D847)</f>
        <v>0</v>
      </c>
      <c r="F847" s="19" t="n">
        <v>393.734328</v>
      </c>
      <c r="G847" s="19" t="n">
        <v>393.734328</v>
      </c>
      <c r="H847" s="20" t="n">
        <f aca="false">IF(OR(G847="",G847=0),"",(F847-G847)/G847)</f>
        <v>0</v>
      </c>
      <c r="I847" s="19" t="n">
        <v>486.743227</v>
      </c>
      <c r="J847" s="19" t="n">
        <v>486.743227</v>
      </c>
      <c r="K847" s="20" t="n">
        <f aca="false">IF(OR(J847="",J847=0),"",(I847-J847)/J847)</f>
        <v>0</v>
      </c>
      <c r="L847" s="21" t="str">
        <f aca="false">IF(OR(D847="",G847="",J847=""),"No reported subtotal",IF(AND(ABS(N(E847))&lt;=$D$2,ABS(N(H847))&lt;=$D$2,ABS(N(K847))&lt;=$D$2),"Reconciles within tolerance","Outside tolerance"))</f>
        <v>Reconciles within tolerance</v>
      </c>
    </row>
    <row r="848" customFormat="false" ht="15" hidden="false" customHeight="false" outlineLevel="0" collapsed="false">
      <c r="A848" s="7" t="n">
        <v>2017</v>
      </c>
      <c r="B848" s="15" t="s">
        <v>133</v>
      </c>
      <c r="C848" s="19" t="n">
        <v>169.334213</v>
      </c>
      <c r="D848" s="19" t="n">
        <v>169.334213</v>
      </c>
      <c r="E848" s="20" t="n">
        <f aca="false">IF(OR(D848="",D848=0),"",(C848-D848)/D848)</f>
        <v>0</v>
      </c>
      <c r="F848" s="19" t="n">
        <v>362.677648</v>
      </c>
      <c r="G848" s="19" t="n">
        <v>362.677648</v>
      </c>
      <c r="H848" s="20" t="n">
        <f aca="false">IF(OR(G848="",G848=0),"",(F848-G848)/G848)</f>
        <v>0</v>
      </c>
      <c r="I848" s="19" t="n">
        <v>558.015867</v>
      </c>
      <c r="J848" s="19" t="n">
        <v>558.015867</v>
      </c>
      <c r="K848" s="20" t="n">
        <f aca="false">IF(OR(J848="",J848=0),"",(I848-J848)/J848)</f>
        <v>0</v>
      </c>
      <c r="L848" s="21" t="str">
        <f aca="false">IF(OR(D848="",G848="",J848=""),"No reported subtotal",IF(AND(ABS(N(E848))&lt;=$D$2,ABS(N(H848))&lt;=$D$2,ABS(N(K848))&lt;=$D$2),"Reconciles within tolerance","Outside tolerance"))</f>
        <v>Reconciles within tolerance</v>
      </c>
    </row>
    <row r="849" customFormat="false" ht="15" hidden="false" customHeight="false" outlineLevel="0" collapsed="false">
      <c r="A849" s="7" t="n">
        <v>2018</v>
      </c>
      <c r="B849" s="15" t="s">
        <v>133</v>
      </c>
      <c r="C849" s="19" t="n">
        <v>197.808296</v>
      </c>
      <c r="D849" s="19" t="n">
        <v>197.808296</v>
      </c>
      <c r="E849" s="20" t="n">
        <f aca="false">IF(OR(D849="",D849=0),"",(C849-D849)/D849)</f>
        <v>0</v>
      </c>
      <c r="F849" s="19" t="n">
        <v>387.472788</v>
      </c>
      <c r="G849" s="19" t="n">
        <v>387.472788</v>
      </c>
      <c r="H849" s="20" t="n">
        <f aca="false">IF(OR(G849="",G849=0),"",(F849-G849)/G849)</f>
        <v>0</v>
      </c>
      <c r="I849" s="19" t="n">
        <v>636.450939</v>
      </c>
      <c r="J849" s="19" t="n">
        <v>636.450939</v>
      </c>
      <c r="K849" s="20" t="n">
        <f aca="false">IF(OR(J849="",J849=0),"",(I849-J849)/J849)</f>
        <v>0</v>
      </c>
      <c r="L849" s="21" t="str">
        <f aca="false">IF(OR(D849="",G849="",J849=""),"No reported subtotal",IF(AND(ABS(N(E849))&lt;=$D$2,ABS(N(H849))&lt;=$D$2,ABS(N(K849))&lt;=$D$2),"Reconciles within tolerance","Outside tolerance"))</f>
        <v>Reconciles within tolerance</v>
      </c>
    </row>
    <row r="850" customFormat="false" ht="15" hidden="false" customHeight="false" outlineLevel="0" collapsed="false">
      <c r="A850" s="7" t="n">
        <v>2019</v>
      </c>
      <c r="B850" s="15" t="s">
        <v>133</v>
      </c>
      <c r="C850" s="19" t="n">
        <v>172.783365</v>
      </c>
      <c r="D850" s="19" t="n">
        <v>172.783365</v>
      </c>
      <c r="E850" s="20" t="n">
        <f aca="false">IF(OR(D850="",D850=0),"",(C850-D850)/D850)</f>
        <v>0</v>
      </c>
      <c r="F850" s="19" t="n">
        <v>429.666384</v>
      </c>
      <c r="G850" s="19" t="n">
        <v>429.666384</v>
      </c>
      <c r="H850" s="20" t="n">
        <f aca="false">IF(OR(G850="",G850=0),"",(F850-G850)/G850)</f>
        <v>0</v>
      </c>
      <c r="I850" s="19" t="n">
        <v>364.048875</v>
      </c>
      <c r="J850" s="19" t="n">
        <v>364.048875</v>
      </c>
      <c r="K850" s="20" t="n">
        <f aca="false">IF(OR(J850="",J850=0),"",(I850-J850)/J850)</f>
        <v>0</v>
      </c>
      <c r="L850" s="21" t="str">
        <f aca="false">IF(OR(D850="",G850="",J850=""),"No reported subtotal",IF(AND(ABS(N(E850))&lt;=$D$2,ABS(N(H850))&lt;=$D$2,ABS(N(K850))&lt;=$D$2),"Reconciles within tolerance","Outside tolerance"))</f>
        <v>Reconciles within tolerance</v>
      </c>
    </row>
    <row r="851" customFormat="false" ht="15" hidden="false" customHeight="false" outlineLevel="0" collapsed="false">
      <c r="A851" s="7" t="n">
        <v>2020</v>
      </c>
      <c r="B851" s="15" t="s">
        <v>133</v>
      </c>
      <c r="C851" s="19" t="n">
        <v>189.467643</v>
      </c>
      <c r="D851" s="19" t="n">
        <v>189.467643</v>
      </c>
      <c r="E851" s="20" t="n">
        <f aca="false">IF(OR(D851="",D851=0),"",(C851-D851)/D851)</f>
        <v>0</v>
      </c>
      <c r="F851" s="19" t="n">
        <v>429.288408</v>
      </c>
      <c r="G851" s="19" t="n">
        <v>429.288408</v>
      </c>
      <c r="H851" s="20" t="n">
        <f aca="false">IF(OR(G851="",G851=0),"",(F851-G851)/G851)</f>
        <v>0</v>
      </c>
      <c r="I851" s="19" t="n">
        <v>423.540716</v>
      </c>
      <c r="J851" s="19" t="n">
        <v>423.540716</v>
      </c>
      <c r="K851" s="20" t="n">
        <f aca="false">IF(OR(J851="",J851=0),"",(I851-J851)/J851)</f>
        <v>0</v>
      </c>
      <c r="L851" s="21" t="str">
        <f aca="false">IF(OR(D851="",G851="",J851=""),"No reported subtotal",IF(AND(ABS(N(E851))&lt;=$D$2,ABS(N(H851))&lt;=$D$2,ABS(N(K851))&lt;=$D$2),"Reconciles within tolerance","Outside tolerance"))</f>
        <v>Reconciles within tolerance</v>
      </c>
    </row>
    <row r="852" customFormat="false" ht="15" hidden="false" customHeight="false" outlineLevel="0" collapsed="false">
      <c r="A852" s="7" t="n">
        <v>2021</v>
      </c>
      <c r="B852" s="15" t="s">
        <v>133</v>
      </c>
      <c r="C852" s="19" t="n">
        <v>178.36226</v>
      </c>
      <c r="D852" s="19" t="n">
        <v>178.36226</v>
      </c>
      <c r="E852" s="20" t="n">
        <f aca="false">IF(OR(D852="",D852=0),"",(C852-D852)/D852)</f>
        <v>0</v>
      </c>
      <c r="F852" s="19" t="n">
        <v>478.167396</v>
      </c>
      <c r="G852" s="19" t="n">
        <v>478.167396</v>
      </c>
      <c r="H852" s="20" t="n">
        <f aca="false">IF(OR(G852="",G852=0),"",(F852-G852)/G852)</f>
        <v>0</v>
      </c>
      <c r="I852" s="19" t="n">
        <v>646.217011</v>
      </c>
      <c r="J852" s="19" t="n">
        <v>646.217011</v>
      </c>
      <c r="K852" s="20" t="n">
        <f aca="false">IF(OR(J852="",J852=0),"",(I852-J852)/J852)</f>
        <v>0</v>
      </c>
      <c r="L852" s="21" t="str">
        <f aca="false">IF(OR(D852="",G852="",J852=""),"No reported subtotal",IF(AND(ABS(N(E852))&lt;=$D$2,ABS(N(H852))&lt;=$D$2,ABS(N(K852))&lt;=$D$2),"Reconciles within tolerance","Outside tolerance"))</f>
        <v>Reconciles within tolerance</v>
      </c>
    </row>
    <row r="853" customFormat="false" ht="15" hidden="false" customHeight="false" outlineLevel="0" collapsed="false">
      <c r="A853" s="7" t="n">
        <v>2022</v>
      </c>
      <c r="B853" s="15" t="s">
        <v>133</v>
      </c>
      <c r="C853" s="19" t="n">
        <v>178.009259</v>
      </c>
      <c r="D853" s="19" t="n">
        <v>178.009259</v>
      </c>
      <c r="E853" s="20" t="n">
        <f aca="false">IF(OR(D853="",D853=0),"",(C853-D853)/D853)</f>
        <v>0</v>
      </c>
      <c r="F853" s="19" t="n">
        <v>548.924291</v>
      </c>
      <c r="G853" s="19" t="n">
        <v>548.924291</v>
      </c>
      <c r="H853" s="20" t="n">
        <f aca="false">IF(OR(G853="",G853=0),"",(F853-G853)/G853)</f>
        <v>0</v>
      </c>
      <c r="I853" s="19" t="n">
        <v>653.15202</v>
      </c>
      <c r="J853" s="19" t="n">
        <v>653.15202</v>
      </c>
      <c r="K853" s="20" t="n">
        <f aca="false">IF(OR(J853="",J853=0),"",(I853-J853)/J853)</f>
        <v>0</v>
      </c>
      <c r="L853" s="21" t="str">
        <f aca="false">IF(OR(D853="",G853="",J853=""),"No reported subtotal",IF(AND(ABS(N(E853))&lt;=$D$2,ABS(N(H853))&lt;=$D$2,ABS(N(K853))&lt;=$D$2),"Reconciles within tolerance","Outside tolerance"))</f>
        <v>Reconciles within tolerance</v>
      </c>
    </row>
    <row r="854" customFormat="false" ht="15" hidden="false" customHeight="false" outlineLevel="0" collapsed="false">
      <c r="A854" s="7" t="n">
        <v>2023</v>
      </c>
      <c r="B854" s="15" t="s">
        <v>133</v>
      </c>
      <c r="C854" s="19" t="n">
        <v>190.773603</v>
      </c>
      <c r="D854" s="19" t="n">
        <v>190.773603</v>
      </c>
      <c r="E854" s="20" t="n">
        <f aca="false">IF(OR(D854="",D854=0),"",(C854-D854)/D854)</f>
        <v>0</v>
      </c>
      <c r="F854" s="19" t="n">
        <v>535.247039</v>
      </c>
      <c r="G854" s="19" t="n">
        <v>535.247039</v>
      </c>
      <c r="H854" s="20" t="n">
        <f aca="false">IF(OR(G854="",G854=0),"",(F854-G854)/G854)</f>
        <v>0</v>
      </c>
      <c r="I854" s="19" t="n">
        <v>933.561793</v>
      </c>
      <c r="J854" s="19" t="n">
        <v>933.561793</v>
      </c>
      <c r="K854" s="20" t="n">
        <f aca="false">IF(OR(J854="",J854=0),"",(I854-J854)/J854)</f>
        <v>0</v>
      </c>
      <c r="L854" s="21" t="str">
        <f aca="false">IF(OR(D854="",G854="",J854=""),"No reported subtotal",IF(AND(ABS(N(E854))&lt;=$D$2,ABS(N(H854))&lt;=$D$2,ABS(N(K854))&lt;=$D$2),"Reconciles within tolerance","Outside tolerance"))</f>
        <v>Reconciles within tolerance</v>
      </c>
    </row>
    <row r="855" customFormat="false" ht="15" hidden="false" customHeight="false" outlineLevel="0" collapsed="false">
      <c r="A855" s="7" t="n">
        <v>2024</v>
      </c>
      <c r="B855" s="15" t="s">
        <v>133</v>
      </c>
      <c r="C855" s="19" t="n">
        <v>206.061557</v>
      </c>
      <c r="D855" s="19" t="n">
        <v>206.061557</v>
      </c>
      <c r="E855" s="20" t="n">
        <f aca="false">IF(OR(D855="",D855=0),"",(C855-D855)/D855)</f>
        <v>0</v>
      </c>
      <c r="F855" s="19" t="n">
        <v>522.035651</v>
      </c>
      <c r="G855" s="19" t="n">
        <v>522.035651</v>
      </c>
      <c r="H855" s="20" t="n">
        <f aca="false">IF(OR(G855="",G855=0),"",(F855-G855)/G855)</f>
        <v>0</v>
      </c>
      <c r="I855" s="19" t="n">
        <v>1088.774348</v>
      </c>
      <c r="J855" s="19" t="n">
        <v>1088.774348</v>
      </c>
      <c r="K855" s="20" t="n">
        <f aca="false">IF(OR(J855="",J855=0),"",(I855-J855)/J855)</f>
        <v>0</v>
      </c>
      <c r="L855" s="21" t="str">
        <f aca="false">IF(OR(D855="",G855="",J855=""),"No reported subtotal",IF(AND(ABS(N(E855))&lt;=$D$2,ABS(N(H855))&lt;=$D$2,ABS(N(K855))&lt;=$D$2),"Reconciles within tolerance","Outside tolerance"))</f>
        <v>Reconciles within tolerance</v>
      </c>
    </row>
    <row r="856" customFormat="false" ht="15" hidden="false" customHeight="false" outlineLevel="0" collapsed="false">
      <c r="A856" s="7" t="n">
        <v>2025</v>
      </c>
      <c r="B856" s="15" t="s">
        <v>133</v>
      </c>
      <c r="C856" s="19" t="n">
        <v>223.895789</v>
      </c>
      <c r="D856" s="19" t="n">
        <v>223.895789</v>
      </c>
      <c r="E856" s="20" t="n">
        <f aca="false">IF(OR(D856="",D856=0),"",(C856-D856)/D856)</f>
        <v>0</v>
      </c>
      <c r="F856" s="19" t="n">
        <v>695.236726</v>
      </c>
      <c r="G856" s="19" t="n">
        <v>695.236726</v>
      </c>
      <c r="H856" s="20" t="n">
        <f aca="false">IF(OR(G856="",G856=0),"",(F856-G856)/G856)</f>
        <v>0</v>
      </c>
      <c r="I856" s="19" t="n">
        <v>972.603799</v>
      </c>
      <c r="J856" s="19" t="n">
        <v>972.603799</v>
      </c>
      <c r="K856" s="20" t="n">
        <f aca="false">IF(OR(J856="",J856=0),"",(I856-J856)/J856)</f>
        <v>0</v>
      </c>
      <c r="L856" s="21" t="str">
        <f aca="false">IF(OR(D856="",G856="",J856=""),"No reported subtotal",IF(AND(ABS(N(E856))&lt;=$D$2,ABS(N(H856))&lt;=$D$2,ABS(N(K856))&lt;=$D$2),"Reconciles within tolerance","Outside tolerance"))</f>
        <v>Reconciles within tolerance</v>
      </c>
    </row>
    <row r="857" customFormat="false" ht="15" hidden="false" customHeight="false" outlineLevel="0" collapsed="false">
      <c r="A857" s="7" t="n">
        <v>2000</v>
      </c>
      <c r="B857" s="15" t="s">
        <v>154</v>
      </c>
      <c r="C857" s="19" t="n">
        <v>7.176931</v>
      </c>
      <c r="D857" s="19" t="n">
        <v>7.176931</v>
      </c>
      <c r="E857" s="20" t="n">
        <f aca="false">IF(OR(D857="",D857=0),"",(C857-D857)/D857)</f>
        <v>0</v>
      </c>
      <c r="F857" s="19" t="n">
        <v>2.728008</v>
      </c>
      <c r="G857" s="19" t="n">
        <v>2.728008</v>
      </c>
      <c r="H857" s="20" t="n">
        <f aca="false">IF(OR(G857="",G857=0),"",(F857-G857)/G857)</f>
        <v>0</v>
      </c>
      <c r="I857" s="19" t="n">
        <v>13.138408</v>
      </c>
      <c r="J857" s="19" t="n">
        <v>13.138408</v>
      </c>
      <c r="K857" s="20" t="n">
        <f aca="false">IF(OR(J857="",J857=0),"",(I857-J857)/J857)</f>
        <v>0</v>
      </c>
      <c r="L857" s="21" t="str">
        <f aca="false">IF(OR(D857="",G857="",J857=""),"No reported subtotal",IF(AND(ABS(N(E857))&lt;=$D$2,ABS(N(H857))&lt;=$D$2,ABS(N(K857))&lt;=$D$2),"Reconciles within tolerance","Outside tolerance"))</f>
        <v>Reconciles within tolerance</v>
      </c>
    </row>
    <row r="858" customFormat="false" ht="15" hidden="false" customHeight="false" outlineLevel="0" collapsed="false">
      <c r="A858" s="7" t="n">
        <v>2001</v>
      </c>
      <c r="B858" s="15" t="s">
        <v>154</v>
      </c>
      <c r="C858" s="19" t="n">
        <v>7.858199</v>
      </c>
      <c r="D858" s="19" t="n">
        <v>7.858199</v>
      </c>
      <c r="E858" s="20" t="n">
        <f aca="false">IF(OR(D858="",D858=0),"",(C858-D858)/D858)</f>
        <v>0</v>
      </c>
      <c r="F858" s="19" t="n">
        <v>5.088536</v>
      </c>
      <c r="G858" s="19" t="n">
        <v>5.088536</v>
      </c>
      <c r="H858" s="20" t="n">
        <f aca="false">IF(OR(G858="",G858=0),"",(F858-G858)/G858)</f>
        <v>0</v>
      </c>
      <c r="I858" s="19" t="n">
        <v>10.290901</v>
      </c>
      <c r="J858" s="19" t="n">
        <v>10.290901</v>
      </c>
      <c r="K858" s="20" t="n">
        <f aca="false">IF(OR(J858="",J858=0),"",(I858-J858)/J858)</f>
        <v>0</v>
      </c>
      <c r="L858" s="21" t="str">
        <f aca="false">IF(OR(D858="",G858="",J858=""),"No reported subtotal",IF(AND(ABS(N(E858))&lt;=$D$2,ABS(N(H858))&lt;=$D$2,ABS(N(K858))&lt;=$D$2),"Reconciles within tolerance","Outside tolerance"))</f>
        <v>Reconciles within tolerance</v>
      </c>
    </row>
    <row r="859" customFormat="false" ht="15" hidden="false" customHeight="false" outlineLevel="0" collapsed="false">
      <c r="A859" s="7" t="n">
        <v>2002</v>
      </c>
      <c r="B859" s="15" t="s">
        <v>154</v>
      </c>
      <c r="C859" s="19" t="n">
        <v>7.758286</v>
      </c>
      <c r="D859" s="19" t="n">
        <v>7.758286</v>
      </c>
      <c r="E859" s="20" t="n">
        <f aca="false">IF(OR(D859="",D859=0),"",(C859-D859)/D859)</f>
        <v>0</v>
      </c>
      <c r="F859" s="19" t="n">
        <v>4.322094</v>
      </c>
      <c r="G859" s="19" t="n">
        <v>4.322094</v>
      </c>
      <c r="H859" s="20" t="n">
        <f aca="false">IF(OR(G859="",G859=0),"",(F859-G859)/G859)</f>
        <v>0</v>
      </c>
      <c r="I859" s="19" t="n">
        <v>21.943043</v>
      </c>
      <c r="J859" s="19" t="n">
        <v>21.943043</v>
      </c>
      <c r="K859" s="20" t="n">
        <f aca="false">IF(OR(J859="",J859=0),"",(I859-J859)/J859)</f>
        <v>0</v>
      </c>
      <c r="L859" s="21" t="str">
        <f aca="false">IF(OR(D859="",G859="",J859=""),"No reported subtotal",IF(AND(ABS(N(E859))&lt;=$D$2,ABS(N(H859))&lt;=$D$2,ABS(N(K859))&lt;=$D$2),"Reconciles within tolerance","Outside tolerance"))</f>
        <v>Reconciles within tolerance</v>
      </c>
    </row>
    <row r="860" customFormat="false" ht="15" hidden="false" customHeight="false" outlineLevel="0" collapsed="false">
      <c r="A860" s="7" t="n">
        <v>2003</v>
      </c>
      <c r="B860" s="15" t="s">
        <v>154</v>
      </c>
      <c r="C860" s="19" t="n">
        <v>9.13296</v>
      </c>
      <c r="D860" s="19" t="n">
        <v>9.13296</v>
      </c>
      <c r="E860" s="20" t="n">
        <f aca="false">IF(OR(D860="",D860=0),"",(C860-D860)/D860)</f>
        <v>0</v>
      </c>
      <c r="F860" s="19" t="n">
        <v>4.288734</v>
      </c>
      <c r="G860" s="19" t="n">
        <v>4.288734</v>
      </c>
      <c r="H860" s="20" t="n">
        <f aca="false">IF(OR(G860="",G860=0),"",(F860-G860)/G860)</f>
        <v>0</v>
      </c>
      <c r="I860" s="19" t="n">
        <v>15.135928</v>
      </c>
      <c r="J860" s="19" t="n">
        <v>15.135928</v>
      </c>
      <c r="K860" s="20" t="n">
        <f aca="false">IF(OR(J860="",J860=0),"",(I860-J860)/J860)</f>
        <v>0</v>
      </c>
      <c r="L860" s="21" t="str">
        <f aca="false">IF(OR(D860="",G860="",J860=""),"No reported subtotal",IF(AND(ABS(N(E860))&lt;=$D$2,ABS(N(H860))&lt;=$D$2,ABS(N(K860))&lt;=$D$2),"Reconciles within tolerance","Outside tolerance"))</f>
        <v>Reconciles within tolerance</v>
      </c>
    </row>
    <row r="861" customFormat="false" ht="15" hidden="false" customHeight="false" outlineLevel="0" collapsed="false">
      <c r="A861" s="7" t="n">
        <v>2004</v>
      </c>
      <c r="B861" s="15" t="s">
        <v>154</v>
      </c>
      <c r="C861" s="19" t="n">
        <v>8.896149</v>
      </c>
      <c r="D861" s="19" t="n">
        <v>8.896149</v>
      </c>
      <c r="E861" s="20" t="n">
        <f aca="false">IF(OR(D861="",D861=0),"",(C861-D861)/D861)</f>
        <v>0</v>
      </c>
      <c r="F861" s="19" t="n">
        <v>5.711235</v>
      </c>
      <c r="G861" s="19" t="n">
        <v>5.711235</v>
      </c>
      <c r="H861" s="20" t="n">
        <f aca="false">IF(OR(G861="",G861=0),"",(F861-G861)/G861)</f>
        <v>0</v>
      </c>
      <c r="I861" s="19" t="n">
        <v>16.528484</v>
      </c>
      <c r="J861" s="19" t="n">
        <v>16.528484</v>
      </c>
      <c r="K861" s="20" t="n">
        <f aca="false">IF(OR(J861="",J861=0),"",(I861-J861)/J861)</f>
        <v>0</v>
      </c>
      <c r="L861" s="21" t="str">
        <f aca="false">IF(OR(D861="",G861="",J861=""),"No reported subtotal",IF(AND(ABS(N(E861))&lt;=$D$2,ABS(N(H861))&lt;=$D$2,ABS(N(K861))&lt;=$D$2),"Reconciles within tolerance","Outside tolerance"))</f>
        <v>Reconciles within tolerance</v>
      </c>
    </row>
    <row r="862" customFormat="false" ht="15" hidden="false" customHeight="false" outlineLevel="0" collapsed="false">
      <c r="A862" s="7" t="n">
        <v>2005</v>
      </c>
      <c r="B862" s="15" t="s">
        <v>154</v>
      </c>
      <c r="C862" s="19" t="n">
        <v>8.676268</v>
      </c>
      <c r="D862" s="19" t="n">
        <v>8.676268</v>
      </c>
      <c r="E862" s="20" t="n">
        <f aca="false">IF(OR(D862="",D862=0),"",(C862-D862)/D862)</f>
        <v>0</v>
      </c>
      <c r="F862" s="19" t="n">
        <v>6.703534</v>
      </c>
      <c r="G862" s="19" t="n">
        <v>6.703534</v>
      </c>
      <c r="H862" s="20" t="n">
        <f aca="false">IF(OR(G862="",G862=0),"",(F862-G862)/G862)</f>
        <v>0</v>
      </c>
      <c r="I862" s="19" t="n">
        <v>20.877674</v>
      </c>
      <c r="J862" s="19" t="n">
        <v>20.877674</v>
      </c>
      <c r="K862" s="20" t="n">
        <f aca="false">IF(OR(J862="",J862=0),"",(I862-J862)/J862)</f>
        <v>0</v>
      </c>
      <c r="L862" s="21" t="str">
        <f aca="false">IF(OR(D862="",G862="",J862=""),"No reported subtotal",IF(AND(ABS(N(E862))&lt;=$D$2,ABS(N(H862))&lt;=$D$2,ABS(N(K862))&lt;=$D$2),"Reconciles within tolerance","Outside tolerance"))</f>
        <v>Reconciles within tolerance</v>
      </c>
    </row>
    <row r="863" customFormat="false" ht="15" hidden="false" customHeight="false" outlineLevel="0" collapsed="false">
      <c r="A863" s="7" t="n">
        <v>2006</v>
      </c>
      <c r="B863" s="15" t="s">
        <v>154</v>
      </c>
      <c r="C863" s="19" t="n">
        <v>9.725133</v>
      </c>
      <c r="D863" s="19" t="n">
        <v>9.725133</v>
      </c>
      <c r="E863" s="20" t="n">
        <f aca="false">IF(OR(D863="",D863=0),"",(C863-D863)/D863)</f>
        <v>0</v>
      </c>
      <c r="F863" s="19" t="n">
        <v>6.721403</v>
      </c>
      <c r="G863" s="19" t="n">
        <v>6.721403</v>
      </c>
      <c r="H863" s="20" t="n">
        <f aca="false">IF(OR(G863="",G863=0),"",(F863-G863)/G863)</f>
        <v>0</v>
      </c>
      <c r="I863" s="19" t="n">
        <v>35.83854</v>
      </c>
      <c r="J863" s="19" t="n">
        <v>35.83854</v>
      </c>
      <c r="K863" s="20" t="n">
        <f aca="false">IF(OR(J863="",J863=0),"",(I863-J863)/J863)</f>
        <v>0</v>
      </c>
      <c r="L863" s="21" t="str">
        <f aca="false">IF(OR(D863="",G863="",J863=""),"No reported subtotal",IF(AND(ABS(N(E863))&lt;=$D$2,ABS(N(H863))&lt;=$D$2,ABS(N(K863))&lt;=$D$2),"Reconciles within tolerance","Outside tolerance"))</f>
        <v>Reconciles within tolerance</v>
      </c>
    </row>
    <row r="864" customFormat="false" ht="15" hidden="false" customHeight="false" outlineLevel="0" collapsed="false">
      <c r="A864" s="7" t="n">
        <v>2007</v>
      </c>
      <c r="B864" s="15" t="s">
        <v>154</v>
      </c>
      <c r="C864" s="19" t="n">
        <v>9.584084</v>
      </c>
      <c r="D864" s="19" t="n">
        <v>9.584084</v>
      </c>
      <c r="E864" s="20" t="n">
        <f aca="false">IF(OR(D864="",D864=0),"",(C864-D864)/D864)</f>
        <v>0</v>
      </c>
      <c r="F864" s="19" t="n">
        <v>6.978753</v>
      </c>
      <c r="G864" s="19" t="n">
        <v>6.978753</v>
      </c>
      <c r="H864" s="20" t="n">
        <f aca="false">IF(OR(G864="",G864=0),"",(F864-G864)/G864)</f>
        <v>0</v>
      </c>
      <c r="I864" s="19" t="n">
        <v>24.934755</v>
      </c>
      <c r="J864" s="19" t="n">
        <v>24.934755</v>
      </c>
      <c r="K864" s="20" t="n">
        <f aca="false">IF(OR(J864="",J864=0),"",(I864-J864)/J864)</f>
        <v>0</v>
      </c>
      <c r="L864" s="21" t="str">
        <f aca="false">IF(OR(D864="",G864="",J864=""),"No reported subtotal",IF(AND(ABS(N(E864))&lt;=$D$2,ABS(N(H864))&lt;=$D$2,ABS(N(K864))&lt;=$D$2),"Reconciles within tolerance","Outside tolerance"))</f>
        <v>Reconciles within tolerance</v>
      </c>
    </row>
    <row r="865" customFormat="false" ht="15" hidden="false" customHeight="false" outlineLevel="0" collapsed="false">
      <c r="A865" s="7" t="n">
        <v>2008</v>
      </c>
      <c r="B865" s="15" t="s">
        <v>154</v>
      </c>
      <c r="C865" s="19" t="n">
        <v>15.835333</v>
      </c>
      <c r="D865" s="19" t="n">
        <v>15.835333</v>
      </c>
      <c r="E865" s="20" t="n">
        <f aca="false">IF(OR(D865="",D865=0),"",(C865-D865)/D865)</f>
        <v>0</v>
      </c>
      <c r="F865" s="19" t="n">
        <v>7.238338</v>
      </c>
      <c r="G865" s="19" t="n">
        <v>7.238338</v>
      </c>
      <c r="H865" s="20" t="n">
        <f aca="false">IF(OR(G865="",G865=0),"",(F865-G865)/G865)</f>
        <v>0</v>
      </c>
      <c r="I865" s="19" t="n">
        <v>34.373955</v>
      </c>
      <c r="J865" s="19" t="n">
        <v>34.373955</v>
      </c>
      <c r="K865" s="20" t="n">
        <f aca="false">IF(OR(J865="",J865=0),"",(I865-J865)/J865)</f>
        <v>0</v>
      </c>
      <c r="L865" s="21" t="str">
        <f aca="false">IF(OR(D865="",G865="",J865=""),"No reported subtotal",IF(AND(ABS(N(E865))&lt;=$D$2,ABS(N(H865))&lt;=$D$2,ABS(N(K865))&lt;=$D$2),"Reconciles within tolerance","Outside tolerance"))</f>
        <v>Reconciles within tolerance</v>
      </c>
    </row>
    <row r="866" customFormat="false" ht="15" hidden="false" customHeight="false" outlineLevel="0" collapsed="false">
      <c r="A866" s="7" t="n">
        <v>2009</v>
      </c>
      <c r="B866" s="15" t="s">
        <v>154</v>
      </c>
      <c r="C866" s="19" t="n">
        <v>16.35913</v>
      </c>
      <c r="D866" s="19" t="n">
        <v>16.35913</v>
      </c>
      <c r="E866" s="20" t="n">
        <f aca="false">IF(OR(D866="",D866=0),"",(C866-D866)/D866)</f>
        <v>0</v>
      </c>
      <c r="F866" s="19" t="n">
        <v>8.122629</v>
      </c>
      <c r="G866" s="19" t="n">
        <v>8.122629</v>
      </c>
      <c r="H866" s="20" t="n">
        <f aca="false">IF(OR(G866="",G866=0),"",(F866-G866)/G866)</f>
        <v>0</v>
      </c>
      <c r="I866" s="19" t="n">
        <v>56.631744</v>
      </c>
      <c r="J866" s="19" t="n">
        <v>56.631744</v>
      </c>
      <c r="K866" s="20" t="n">
        <f aca="false">IF(OR(J866="",J866=0),"",(I866-J866)/J866)</f>
        <v>0</v>
      </c>
      <c r="L866" s="21" t="str">
        <f aca="false">IF(OR(D866="",G866="",J866=""),"No reported subtotal",IF(AND(ABS(N(E866))&lt;=$D$2,ABS(N(H866))&lt;=$D$2,ABS(N(K866))&lt;=$D$2),"Reconciles within tolerance","Outside tolerance"))</f>
        <v>Reconciles within tolerance</v>
      </c>
    </row>
    <row r="867" customFormat="false" ht="15" hidden="false" customHeight="false" outlineLevel="0" collapsed="false">
      <c r="A867" s="7" t="n">
        <v>2010</v>
      </c>
      <c r="B867" s="15" t="s">
        <v>154</v>
      </c>
      <c r="C867" s="19" t="n">
        <v>15.69921</v>
      </c>
      <c r="D867" s="19" t="n">
        <v>15.69921</v>
      </c>
      <c r="E867" s="20" t="n">
        <f aca="false">IF(OR(D867="",D867=0),"",(C867-D867)/D867)</f>
        <v>0</v>
      </c>
      <c r="F867" s="19" t="n">
        <v>7.996869</v>
      </c>
      <c r="G867" s="19" t="n">
        <v>7.996869</v>
      </c>
      <c r="H867" s="20" t="n">
        <f aca="false">IF(OR(G867="",G867=0),"",(F867-G867)/G867)</f>
        <v>0</v>
      </c>
      <c r="I867" s="19" t="n">
        <v>19.767533</v>
      </c>
      <c r="J867" s="19" t="n">
        <v>19.767533</v>
      </c>
      <c r="K867" s="20" t="n">
        <f aca="false">IF(OR(J867="",J867=0),"",(I867-J867)/J867)</f>
        <v>0</v>
      </c>
      <c r="L867" s="21" t="str">
        <f aca="false">IF(OR(D867="",G867="",J867=""),"No reported subtotal",IF(AND(ABS(N(E867))&lt;=$D$2,ABS(N(H867))&lt;=$D$2,ABS(N(K867))&lt;=$D$2),"Reconciles within tolerance","Outside tolerance"))</f>
        <v>Reconciles within tolerance</v>
      </c>
    </row>
    <row r="868" customFormat="false" ht="15" hidden="false" customHeight="false" outlineLevel="0" collapsed="false">
      <c r="A868" s="7" t="n">
        <v>2011</v>
      </c>
      <c r="B868" s="15" t="s">
        <v>154</v>
      </c>
      <c r="C868" s="19" t="n">
        <v>16.208824</v>
      </c>
      <c r="D868" s="19" t="n">
        <v>16.208824</v>
      </c>
      <c r="E868" s="20" t="n">
        <f aca="false">IF(OR(D868="",D868=0),"",(C868-D868)/D868)</f>
        <v>0</v>
      </c>
      <c r="F868" s="19" t="n">
        <v>7.887525</v>
      </c>
      <c r="G868" s="19" t="n">
        <v>7.887525</v>
      </c>
      <c r="H868" s="20" t="n">
        <f aca="false">IF(OR(G868="",G868=0),"",(F868-G868)/G868)</f>
        <v>0</v>
      </c>
      <c r="I868" s="19" t="n">
        <v>25.049487</v>
      </c>
      <c r="J868" s="19" t="n">
        <v>25.049487</v>
      </c>
      <c r="K868" s="20" t="n">
        <f aca="false">IF(OR(J868="",J868=0),"",(I868-J868)/J868)</f>
        <v>0</v>
      </c>
      <c r="L868" s="21" t="str">
        <f aca="false">IF(OR(D868="",G868="",J868=""),"No reported subtotal",IF(AND(ABS(N(E868))&lt;=$D$2,ABS(N(H868))&lt;=$D$2,ABS(N(K868))&lt;=$D$2),"Reconciles within tolerance","Outside tolerance"))</f>
        <v>Reconciles within tolerance</v>
      </c>
    </row>
    <row r="869" customFormat="false" ht="15" hidden="false" customHeight="false" outlineLevel="0" collapsed="false">
      <c r="A869" s="7" t="n">
        <v>2012</v>
      </c>
      <c r="B869" s="15" t="s">
        <v>154</v>
      </c>
      <c r="C869" s="19" t="n">
        <v>15.860228</v>
      </c>
      <c r="D869" s="19" t="n">
        <v>15.860228</v>
      </c>
      <c r="E869" s="20" t="n">
        <f aca="false">IF(OR(D869="",D869=0),"",(C869-D869)/D869)</f>
        <v>0</v>
      </c>
      <c r="F869" s="19" t="n">
        <v>7.187684</v>
      </c>
      <c r="G869" s="19" t="n">
        <v>7.187684</v>
      </c>
      <c r="H869" s="20" t="n">
        <f aca="false">IF(OR(G869="",G869=0),"",(F869-G869)/G869)</f>
        <v>0</v>
      </c>
      <c r="I869" s="19" t="n">
        <v>30.247663</v>
      </c>
      <c r="J869" s="19" t="n">
        <v>30.247663</v>
      </c>
      <c r="K869" s="20" t="n">
        <f aca="false">IF(OR(J869="",J869=0),"",(I869-J869)/J869)</f>
        <v>0</v>
      </c>
      <c r="L869" s="21" t="str">
        <f aca="false">IF(OR(D869="",G869="",J869=""),"No reported subtotal",IF(AND(ABS(N(E869))&lt;=$D$2,ABS(N(H869))&lt;=$D$2,ABS(N(K869))&lt;=$D$2),"Reconciles within tolerance","Outside tolerance"))</f>
        <v>Reconciles within tolerance</v>
      </c>
    </row>
    <row r="870" customFormat="false" ht="15" hidden="false" customHeight="false" outlineLevel="0" collapsed="false">
      <c r="A870" s="7" t="n">
        <v>2013</v>
      </c>
      <c r="B870" s="15" t="s">
        <v>154</v>
      </c>
      <c r="C870" s="19" t="n">
        <v>15.196421</v>
      </c>
      <c r="D870" s="19" t="n">
        <v>15.196421</v>
      </c>
      <c r="E870" s="20" t="n">
        <f aca="false">IF(OR(D870="",D870=0),"",(C870-D870)/D870)</f>
        <v>0</v>
      </c>
      <c r="F870" s="19" t="n">
        <v>7.045966</v>
      </c>
      <c r="G870" s="19" t="n">
        <v>7.045966</v>
      </c>
      <c r="H870" s="20" t="n">
        <f aca="false">IF(OR(G870="",G870=0),"",(F870-G870)/G870)</f>
        <v>0</v>
      </c>
      <c r="I870" s="19" t="n">
        <v>22.237849</v>
      </c>
      <c r="J870" s="19" t="n">
        <v>22.237849</v>
      </c>
      <c r="K870" s="20" t="n">
        <f aca="false">IF(OR(J870="",J870=0),"",(I870-J870)/J870)</f>
        <v>0</v>
      </c>
      <c r="L870" s="21" t="str">
        <f aca="false">IF(OR(D870="",G870="",J870=""),"No reported subtotal",IF(AND(ABS(N(E870))&lt;=$D$2,ABS(N(H870))&lt;=$D$2,ABS(N(K870))&lt;=$D$2),"Reconciles within tolerance","Outside tolerance"))</f>
        <v>Reconciles within tolerance</v>
      </c>
    </row>
    <row r="871" customFormat="false" ht="15" hidden="false" customHeight="false" outlineLevel="0" collapsed="false">
      <c r="A871" s="7" t="n">
        <v>2014</v>
      </c>
      <c r="B871" s="15" t="s">
        <v>154</v>
      </c>
      <c r="C871" s="19" t="n">
        <v>15.880729</v>
      </c>
      <c r="D871" s="19" t="n">
        <v>15.880729</v>
      </c>
      <c r="E871" s="20" t="n">
        <f aca="false">IF(OR(D871="",D871=0),"",(C871-D871)/D871)</f>
        <v>0</v>
      </c>
      <c r="F871" s="19" t="n">
        <v>6.472015</v>
      </c>
      <c r="G871" s="19" t="n">
        <v>6.472015</v>
      </c>
      <c r="H871" s="20" t="n">
        <f aca="false">IF(OR(G871="",G871=0),"",(F871-G871)/G871)</f>
        <v>0</v>
      </c>
      <c r="I871" s="19" t="n">
        <v>27.089677</v>
      </c>
      <c r="J871" s="19" t="n">
        <v>27.089677</v>
      </c>
      <c r="K871" s="20" t="n">
        <f aca="false">IF(OR(J871="",J871=0),"",(I871-J871)/J871)</f>
        <v>0</v>
      </c>
      <c r="L871" s="21" t="str">
        <f aca="false">IF(OR(D871="",G871="",J871=""),"No reported subtotal",IF(AND(ABS(N(E871))&lt;=$D$2,ABS(N(H871))&lt;=$D$2,ABS(N(K871))&lt;=$D$2),"Reconciles within tolerance","Outside tolerance"))</f>
        <v>Reconciles within tolerance</v>
      </c>
    </row>
    <row r="872" customFormat="false" ht="15" hidden="false" customHeight="false" outlineLevel="0" collapsed="false">
      <c r="A872" s="7" t="n">
        <v>2015</v>
      </c>
      <c r="B872" s="15" t="s">
        <v>154</v>
      </c>
      <c r="C872" s="19" t="n">
        <v>15.461276</v>
      </c>
      <c r="D872" s="19" t="n">
        <v>15.461276</v>
      </c>
      <c r="E872" s="20" t="n">
        <f aca="false">IF(OR(D872="",D872=0),"",(C872-D872)/D872)</f>
        <v>0</v>
      </c>
      <c r="F872" s="19" t="n">
        <v>6.51151</v>
      </c>
      <c r="G872" s="19" t="n">
        <v>6.51151</v>
      </c>
      <c r="H872" s="20" t="n">
        <f aca="false">IF(OR(G872="",G872=0),"",(F872-G872)/G872)</f>
        <v>0</v>
      </c>
      <c r="I872" s="19" t="n">
        <v>31.882907</v>
      </c>
      <c r="J872" s="19" t="n">
        <v>31.882907</v>
      </c>
      <c r="K872" s="20" t="n">
        <f aca="false">IF(OR(J872="",J872=0),"",(I872-J872)/J872)</f>
        <v>0</v>
      </c>
      <c r="L872" s="21" t="str">
        <f aca="false">IF(OR(D872="",G872="",J872=""),"No reported subtotal",IF(AND(ABS(N(E872))&lt;=$D$2,ABS(N(H872))&lt;=$D$2,ABS(N(K872))&lt;=$D$2),"Reconciles within tolerance","Outside tolerance"))</f>
        <v>Reconciles within tolerance</v>
      </c>
    </row>
    <row r="873" customFormat="false" ht="15" hidden="false" customHeight="false" outlineLevel="0" collapsed="false">
      <c r="A873" s="7" t="n">
        <v>2016</v>
      </c>
      <c r="B873" s="15" t="s">
        <v>154</v>
      </c>
      <c r="C873" s="19" t="n">
        <v>15.350234</v>
      </c>
      <c r="D873" s="19" t="n">
        <v>15.350234</v>
      </c>
      <c r="E873" s="20" t="n">
        <f aca="false">IF(OR(D873="",D873=0),"",(C873-D873)/D873)</f>
        <v>0</v>
      </c>
      <c r="F873" s="19" t="n">
        <v>6.524443</v>
      </c>
      <c r="G873" s="19" t="n">
        <v>6.524443</v>
      </c>
      <c r="H873" s="20" t="n">
        <f aca="false">IF(OR(G873="",G873=0),"",(F873-G873)/G873)</f>
        <v>0</v>
      </c>
      <c r="I873" s="19" t="n">
        <v>31.886171</v>
      </c>
      <c r="J873" s="19" t="n">
        <v>31.886171</v>
      </c>
      <c r="K873" s="20" t="n">
        <f aca="false">IF(OR(J873="",J873=0),"",(I873-J873)/J873)</f>
        <v>0</v>
      </c>
      <c r="L873" s="21" t="str">
        <f aca="false">IF(OR(D873="",G873="",J873=""),"No reported subtotal",IF(AND(ABS(N(E873))&lt;=$D$2,ABS(N(H873))&lt;=$D$2,ABS(N(K873))&lt;=$D$2),"Reconciles within tolerance","Outside tolerance"))</f>
        <v>Reconciles within tolerance</v>
      </c>
    </row>
    <row r="874" customFormat="false" ht="15" hidden="false" customHeight="false" outlineLevel="0" collapsed="false">
      <c r="A874" s="7" t="n">
        <v>2017</v>
      </c>
      <c r="B874" s="15" t="s">
        <v>154</v>
      </c>
      <c r="C874" s="19" t="n">
        <v>16.054551</v>
      </c>
      <c r="D874" s="19" t="n">
        <v>16.054551</v>
      </c>
      <c r="E874" s="20" t="n">
        <f aca="false">IF(OR(D874="",D874=0),"",(C874-D874)/D874)</f>
        <v>0</v>
      </c>
      <c r="F874" s="19" t="n">
        <v>6.954544</v>
      </c>
      <c r="G874" s="19" t="n">
        <v>6.954544</v>
      </c>
      <c r="H874" s="20" t="n">
        <f aca="false">IF(OR(G874="",G874=0),"",(F874-G874)/G874)</f>
        <v>0</v>
      </c>
      <c r="I874" s="19" t="n">
        <v>46.974908</v>
      </c>
      <c r="J874" s="19" t="n">
        <v>46.974908</v>
      </c>
      <c r="K874" s="20" t="n">
        <f aca="false">IF(OR(J874="",J874=0),"",(I874-J874)/J874)</f>
        <v>0</v>
      </c>
      <c r="L874" s="21" t="str">
        <f aca="false">IF(OR(D874="",G874="",J874=""),"No reported subtotal",IF(AND(ABS(N(E874))&lt;=$D$2,ABS(N(H874))&lt;=$D$2,ABS(N(K874))&lt;=$D$2),"Reconciles within tolerance","Outside tolerance"))</f>
        <v>Reconciles within tolerance</v>
      </c>
    </row>
    <row r="875" customFormat="false" ht="15" hidden="false" customHeight="false" outlineLevel="0" collapsed="false">
      <c r="A875" s="7" t="n">
        <v>2018</v>
      </c>
      <c r="B875" s="15" t="s">
        <v>154</v>
      </c>
      <c r="C875" s="19" t="n">
        <v>17.091477</v>
      </c>
      <c r="D875" s="19" t="n">
        <v>17.091477</v>
      </c>
      <c r="E875" s="20" t="n">
        <f aca="false">IF(OR(D875="",D875=0),"",(C875-D875)/D875)</f>
        <v>0</v>
      </c>
      <c r="F875" s="19" t="n">
        <v>6.509251</v>
      </c>
      <c r="G875" s="19" t="n">
        <v>6.509251</v>
      </c>
      <c r="H875" s="20" t="n">
        <f aca="false">IF(OR(G875="",G875=0),"",(F875-G875)/G875)</f>
        <v>0</v>
      </c>
      <c r="I875" s="19" t="n">
        <v>67.001214</v>
      </c>
      <c r="J875" s="19" t="n">
        <v>67.001214</v>
      </c>
      <c r="K875" s="20" t="n">
        <f aca="false">IF(OR(J875="",J875=0),"",(I875-J875)/J875)</f>
        <v>0</v>
      </c>
      <c r="L875" s="21" t="str">
        <f aca="false">IF(OR(D875="",G875="",J875=""),"No reported subtotal",IF(AND(ABS(N(E875))&lt;=$D$2,ABS(N(H875))&lt;=$D$2,ABS(N(K875))&lt;=$D$2),"Reconciles within tolerance","Outside tolerance"))</f>
        <v>Reconciles within tolerance</v>
      </c>
    </row>
    <row r="876" customFormat="false" ht="15" hidden="false" customHeight="false" outlineLevel="0" collapsed="false">
      <c r="A876" s="7" t="n">
        <v>2019</v>
      </c>
      <c r="B876" s="15" t="s">
        <v>154</v>
      </c>
      <c r="C876" s="19" t="n">
        <v>17.552837</v>
      </c>
      <c r="D876" s="19" t="n">
        <v>17.552837</v>
      </c>
      <c r="E876" s="20" t="n">
        <f aca="false">IF(OR(D876="",D876=0),"",(C876-D876)/D876)</f>
        <v>0</v>
      </c>
      <c r="F876" s="19" t="n">
        <v>5.37082</v>
      </c>
      <c r="G876" s="19" t="n">
        <v>5.37082</v>
      </c>
      <c r="H876" s="20" t="n">
        <f aca="false">IF(OR(G876="",G876=0),"",(F876-G876)/G876)</f>
        <v>0</v>
      </c>
      <c r="I876" s="19" t="n">
        <v>89.11206</v>
      </c>
      <c r="J876" s="19" t="n">
        <v>89.11206</v>
      </c>
      <c r="K876" s="20" t="n">
        <f aca="false">IF(OR(J876="",J876=0),"",(I876-J876)/J876)</f>
        <v>0</v>
      </c>
      <c r="L876" s="21" t="str">
        <f aca="false">IF(OR(D876="",G876="",J876=""),"No reported subtotal",IF(AND(ABS(N(E876))&lt;=$D$2,ABS(N(H876))&lt;=$D$2,ABS(N(K876))&lt;=$D$2),"Reconciles within tolerance","Outside tolerance"))</f>
        <v>Reconciles within tolerance</v>
      </c>
    </row>
    <row r="877" customFormat="false" ht="15" hidden="false" customHeight="false" outlineLevel="0" collapsed="false">
      <c r="A877" s="7" t="n">
        <v>2020</v>
      </c>
      <c r="B877" s="15" t="s">
        <v>154</v>
      </c>
      <c r="C877" s="19" t="n">
        <v>19.729444</v>
      </c>
      <c r="D877" s="19" t="n">
        <v>19.729444</v>
      </c>
      <c r="E877" s="20" t="n">
        <f aca="false">IF(OR(D877="",D877=0),"",(C877-D877)/D877)</f>
        <v>0</v>
      </c>
      <c r="F877" s="19" t="n">
        <v>4.614816</v>
      </c>
      <c r="G877" s="19" t="n">
        <v>4.614816</v>
      </c>
      <c r="H877" s="20" t="n">
        <f aca="false">IF(OR(G877="",G877=0),"",(F877-G877)/G877)</f>
        <v>0</v>
      </c>
      <c r="I877" s="19" t="n">
        <v>78.62293</v>
      </c>
      <c r="J877" s="19" t="n">
        <v>78.62293</v>
      </c>
      <c r="K877" s="20" t="n">
        <f aca="false">IF(OR(J877="",J877=0),"",(I877-J877)/J877)</f>
        <v>0</v>
      </c>
      <c r="L877" s="21" t="str">
        <f aca="false">IF(OR(D877="",G877="",J877=""),"No reported subtotal",IF(AND(ABS(N(E877))&lt;=$D$2,ABS(N(H877))&lt;=$D$2,ABS(N(K877))&lt;=$D$2),"Reconciles within tolerance","Outside tolerance"))</f>
        <v>Reconciles within tolerance</v>
      </c>
    </row>
    <row r="878" customFormat="false" ht="15" hidden="false" customHeight="false" outlineLevel="0" collapsed="false">
      <c r="A878" s="7" t="n">
        <v>2021</v>
      </c>
      <c r="B878" s="15" t="s">
        <v>154</v>
      </c>
      <c r="C878" s="19" t="n">
        <v>19.275324</v>
      </c>
      <c r="D878" s="19" t="n">
        <v>19.275324</v>
      </c>
      <c r="E878" s="20" t="n">
        <f aca="false">IF(OR(D878="",D878=0),"",(C878-D878)/D878)</f>
        <v>0</v>
      </c>
      <c r="F878" s="19" t="n">
        <v>3.669069</v>
      </c>
      <c r="G878" s="19" t="n">
        <v>3.669069</v>
      </c>
      <c r="H878" s="20" t="n">
        <f aca="false">IF(OR(G878="",G878=0),"",(F878-G878)/G878)</f>
        <v>0</v>
      </c>
      <c r="I878" s="19" t="n">
        <v>54.381226</v>
      </c>
      <c r="J878" s="19" t="n">
        <v>54.381226</v>
      </c>
      <c r="K878" s="20" t="n">
        <f aca="false">IF(OR(J878="",J878=0),"",(I878-J878)/J878)</f>
        <v>0</v>
      </c>
      <c r="L878" s="21" t="str">
        <f aca="false">IF(OR(D878="",G878="",J878=""),"No reported subtotal",IF(AND(ABS(N(E878))&lt;=$D$2,ABS(N(H878))&lt;=$D$2,ABS(N(K878))&lt;=$D$2),"Reconciles within tolerance","Outside tolerance"))</f>
        <v>Reconciles within tolerance</v>
      </c>
    </row>
    <row r="879" customFormat="false" ht="15" hidden="false" customHeight="false" outlineLevel="0" collapsed="false">
      <c r="A879" s="7" t="n">
        <v>2022</v>
      </c>
      <c r="B879" s="15" t="s">
        <v>154</v>
      </c>
      <c r="C879" s="19" t="n">
        <v>21.355155</v>
      </c>
      <c r="D879" s="19" t="n">
        <v>21.355155</v>
      </c>
      <c r="E879" s="20" t="n">
        <f aca="false">IF(OR(D879="",D879=0),"",(C879-D879)/D879)</f>
        <v>0</v>
      </c>
      <c r="F879" s="19" t="n">
        <v>4.111256</v>
      </c>
      <c r="G879" s="19" t="n">
        <v>4.111256</v>
      </c>
      <c r="H879" s="20" t="n">
        <f aca="false">IF(OR(G879="",G879=0),"",(F879-G879)/G879)</f>
        <v>0</v>
      </c>
      <c r="I879" s="19" t="n">
        <v>94.258358</v>
      </c>
      <c r="J879" s="19" t="n">
        <v>94.258359</v>
      </c>
      <c r="K879" s="20" t="n">
        <f aca="false">IF(OR(J879="",J879=0),"",(I879-J879)/J879)</f>
        <v>-1.06091386279624E-008</v>
      </c>
      <c r="L879" s="21" t="str">
        <f aca="false">IF(OR(D879="",G879="",J879=""),"No reported subtotal",IF(AND(ABS(N(E879))&lt;=$D$2,ABS(N(H879))&lt;=$D$2,ABS(N(K879))&lt;=$D$2),"Reconciles within tolerance","Outside tolerance"))</f>
        <v>Reconciles within tolerance</v>
      </c>
    </row>
    <row r="880" customFormat="false" ht="15" hidden="false" customHeight="false" outlineLevel="0" collapsed="false">
      <c r="A880" s="7" t="n">
        <v>2023</v>
      </c>
      <c r="B880" s="15" t="s">
        <v>154</v>
      </c>
      <c r="C880" s="19" t="n">
        <v>22.804499</v>
      </c>
      <c r="D880" s="19" t="n">
        <v>22.804499</v>
      </c>
      <c r="E880" s="20" t="n">
        <f aca="false">IF(OR(D880="",D880=0),"",(C880-D880)/D880)</f>
        <v>0</v>
      </c>
      <c r="F880" s="19" t="n">
        <v>3.445079</v>
      </c>
      <c r="G880" s="19" t="n">
        <v>3.44508</v>
      </c>
      <c r="H880" s="20" t="n">
        <f aca="false">IF(OR(G880="",G880=0),"",(F880-G880)/G880)</f>
        <v>-2.90269021369541E-007</v>
      </c>
      <c r="I880" s="19" t="n">
        <v>133.489011</v>
      </c>
      <c r="J880" s="19" t="n">
        <v>133.489012</v>
      </c>
      <c r="K880" s="20" t="n">
        <f aca="false">IF(OR(J880="",J880=0),"",(I880-J880)/J880)</f>
        <v>-7.49125326866037E-009</v>
      </c>
      <c r="L880" s="21" t="str">
        <f aca="false">IF(OR(D880="",G880="",J880=""),"No reported subtotal",IF(AND(ABS(N(E880))&lt;=$D$2,ABS(N(H880))&lt;=$D$2,ABS(N(K880))&lt;=$D$2),"Reconciles within tolerance","Outside tolerance"))</f>
        <v>Reconciles within tolerance</v>
      </c>
    </row>
    <row r="881" customFormat="false" ht="15" hidden="false" customHeight="false" outlineLevel="0" collapsed="false">
      <c r="A881" s="7" t="n">
        <v>2024</v>
      </c>
      <c r="B881" s="15" t="s">
        <v>154</v>
      </c>
      <c r="C881" s="19" t="n">
        <v>22.772611</v>
      </c>
      <c r="D881" s="19" t="n">
        <v>22.77261</v>
      </c>
      <c r="E881" s="20" t="n">
        <f aca="false">IF(OR(D881="",D881=0),"",(C881-D881)/D881)</f>
        <v>4.39124018295644E-008</v>
      </c>
      <c r="F881" s="19" t="n">
        <v>3.734713</v>
      </c>
      <c r="G881" s="19" t="n">
        <v>3.734713</v>
      </c>
      <c r="H881" s="20" t="n">
        <f aca="false">IF(OR(G881="",G881=0),"",(F881-G881)/G881)</f>
        <v>0</v>
      </c>
      <c r="I881" s="19" t="n">
        <v>125.191207</v>
      </c>
      <c r="J881" s="19" t="n">
        <v>125.191207</v>
      </c>
      <c r="K881" s="20" t="n">
        <f aca="false">IF(OR(J881="",J881=0),"",(I881-J881)/J881)</f>
        <v>0</v>
      </c>
      <c r="L881" s="21" t="str">
        <f aca="false">IF(OR(D881="",G881="",J881=""),"No reported subtotal",IF(AND(ABS(N(E881))&lt;=$D$2,ABS(N(H881))&lt;=$D$2,ABS(N(K881))&lt;=$D$2),"Reconciles within tolerance","Outside tolerance"))</f>
        <v>Reconciles within tolerance</v>
      </c>
    </row>
    <row r="882" customFormat="false" ht="15" hidden="false" customHeight="false" outlineLevel="0" collapsed="false">
      <c r="A882" s="7" t="n">
        <v>2025</v>
      </c>
      <c r="B882" s="15" t="s">
        <v>154</v>
      </c>
      <c r="C882" s="19" t="n">
        <v>25.274553</v>
      </c>
      <c r="D882" s="19" t="n">
        <v>25.274552</v>
      </c>
      <c r="E882" s="20" t="n">
        <f aca="false">IF(OR(D882="",D882=0),"",(C882-D882)/D882)</f>
        <v>3.95654886792041E-008</v>
      </c>
      <c r="F882" s="19" t="n">
        <v>5.332556</v>
      </c>
      <c r="G882" s="19" t="n">
        <v>5.332557</v>
      </c>
      <c r="H882" s="20" t="n">
        <f aca="false">IF(OR(G882="",G882=0),"",(F882-G882)/G882)</f>
        <v>-1.87527296968373E-007</v>
      </c>
      <c r="I882" s="19" t="n">
        <v>161.226451</v>
      </c>
      <c r="J882" s="19" t="n">
        <v>161.226451</v>
      </c>
      <c r="K882" s="20" t="n">
        <f aca="false">IF(OR(J882="",J882=0),"",(I882-J882)/J882)</f>
        <v>0</v>
      </c>
      <c r="L882" s="21" t="str">
        <f aca="false">IF(OR(D882="",G882="",J882=""),"No reported subtotal",IF(AND(ABS(N(E882))&lt;=$D$2,ABS(N(H882))&lt;=$D$2,ABS(N(K882))&lt;=$D$2),"Reconciles within tolerance","Outside tolerance"))</f>
        <v>Reconciles within tolerance</v>
      </c>
    </row>
    <row r="883" customFormat="false" ht="15" hidden="false" customHeight="false" outlineLevel="0" collapsed="false">
      <c r="A883" s="7" t="n">
        <v>2000</v>
      </c>
      <c r="B883" s="15" t="s">
        <v>115</v>
      </c>
      <c r="C883" s="19" t="n">
        <v>29.09178</v>
      </c>
      <c r="D883" s="19" t="n">
        <v>29.09178</v>
      </c>
      <c r="E883" s="20" t="n">
        <f aca="false">IF(OR(D883="",D883=0),"",(C883-D883)/D883)</f>
        <v>0</v>
      </c>
      <c r="F883" s="19" t="n">
        <v>19.902142</v>
      </c>
      <c r="G883" s="19" t="n">
        <v>19.902142</v>
      </c>
      <c r="H883" s="20" t="n">
        <f aca="false">IF(OR(G883="",G883=0),"",(F883-G883)/G883)</f>
        <v>0</v>
      </c>
      <c r="I883" s="19" t="n">
        <v>20.917035</v>
      </c>
      <c r="J883" s="19" t="n">
        <v>20.917035</v>
      </c>
      <c r="K883" s="20" t="n">
        <f aca="false">IF(OR(J883="",J883=0),"",(I883-J883)/J883)</f>
        <v>0</v>
      </c>
      <c r="L883" s="21" t="str">
        <f aca="false">IF(OR(D883="",G883="",J883=""),"No reported subtotal",IF(AND(ABS(N(E883))&lt;=$D$2,ABS(N(H883))&lt;=$D$2,ABS(N(K883))&lt;=$D$2),"Reconciles within tolerance","Outside tolerance"))</f>
        <v>Reconciles within tolerance</v>
      </c>
    </row>
    <row r="884" customFormat="false" ht="15" hidden="false" customHeight="false" outlineLevel="0" collapsed="false">
      <c r="A884" s="7" t="n">
        <v>2001</v>
      </c>
      <c r="B884" s="15" t="s">
        <v>115</v>
      </c>
      <c r="C884" s="19" t="n">
        <v>25.363121</v>
      </c>
      <c r="D884" s="19" t="n">
        <v>25.363121</v>
      </c>
      <c r="E884" s="20" t="n">
        <f aca="false">IF(OR(D884="",D884=0),"",(C884-D884)/D884)</f>
        <v>0</v>
      </c>
      <c r="F884" s="19" t="n">
        <v>8.62726</v>
      </c>
      <c r="G884" s="19" t="n">
        <v>8.62726</v>
      </c>
      <c r="H884" s="20" t="n">
        <f aca="false">IF(OR(G884="",G884=0),"",(F884-G884)/G884)</f>
        <v>0</v>
      </c>
      <c r="I884" s="19" t="n">
        <v>15.482607</v>
      </c>
      <c r="J884" s="19" t="n">
        <v>15.482607</v>
      </c>
      <c r="K884" s="20" t="n">
        <f aca="false">IF(OR(J884="",J884=0),"",(I884-J884)/J884)</f>
        <v>0</v>
      </c>
      <c r="L884" s="21" t="str">
        <f aca="false">IF(OR(D884="",G884="",J884=""),"No reported subtotal",IF(AND(ABS(N(E884))&lt;=$D$2,ABS(N(H884))&lt;=$D$2,ABS(N(K884))&lt;=$D$2),"Reconciles within tolerance","Outside tolerance"))</f>
        <v>Reconciles within tolerance</v>
      </c>
    </row>
    <row r="885" customFormat="false" ht="15" hidden="false" customHeight="false" outlineLevel="0" collapsed="false">
      <c r="A885" s="7" t="n">
        <v>2002</v>
      </c>
      <c r="B885" s="15" t="s">
        <v>115</v>
      </c>
      <c r="C885" s="19" t="n">
        <v>22.590738</v>
      </c>
      <c r="D885" s="19" t="n">
        <v>22.590738</v>
      </c>
      <c r="E885" s="20" t="n">
        <f aca="false">IF(OR(D885="",D885=0),"",(C885-D885)/D885)</f>
        <v>0</v>
      </c>
      <c r="F885" s="19" t="n">
        <v>10.695813</v>
      </c>
      <c r="G885" s="19" t="n">
        <v>10.695813</v>
      </c>
      <c r="H885" s="20" t="n">
        <f aca="false">IF(OR(G885="",G885=0),"",(F885-G885)/G885)</f>
        <v>0</v>
      </c>
      <c r="I885" s="19" t="n">
        <v>13.933868</v>
      </c>
      <c r="J885" s="19" t="n">
        <v>13.933868</v>
      </c>
      <c r="K885" s="20" t="n">
        <f aca="false">IF(OR(J885="",J885=0),"",(I885-J885)/J885)</f>
        <v>0</v>
      </c>
      <c r="L885" s="21" t="str">
        <f aca="false">IF(OR(D885="",G885="",J885=""),"No reported subtotal",IF(AND(ABS(N(E885))&lt;=$D$2,ABS(N(H885))&lt;=$D$2,ABS(N(K885))&lt;=$D$2),"Reconciles within tolerance","Outside tolerance"))</f>
        <v>Reconciles within tolerance</v>
      </c>
    </row>
    <row r="886" customFormat="false" ht="15" hidden="false" customHeight="false" outlineLevel="0" collapsed="false">
      <c r="A886" s="7" t="n">
        <v>2003</v>
      </c>
      <c r="B886" s="15" t="s">
        <v>115</v>
      </c>
      <c r="C886" s="19" t="n">
        <v>23.536468</v>
      </c>
      <c r="D886" s="19" t="n">
        <v>23.536468</v>
      </c>
      <c r="E886" s="20" t="n">
        <f aca="false">IF(OR(D886="",D886=0),"",(C886-D886)/D886)</f>
        <v>0</v>
      </c>
      <c r="F886" s="19" t="n">
        <v>12.960766</v>
      </c>
      <c r="G886" s="19" t="n">
        <v>12.960766</v>
      </c>
      <c r="H886" s="20" t="n">
        <f aca="false">IF(OR(G886="",G886=0),"",(F886-G886)/G886)</f>
        <v>0</v>
      </c>
      <c r="I886" s="19" t="n">
        <v>29.137694</v>
      </c>
      <c r="J886" s="19" t="n">
        <v>29.137694</v>
      </c>
      <c r="K886" s="20" t="n">
        <f aca="false">IF(OR(J886="",J886=0),"",(I886-J886)/J886)</f>
        <v>0</v>
      </c>
      <c r="L886" s="21" t="str">
        <f aca="false">IF(OR(D886="",G886="",J886=""),"No reported subtotal",IF(AND(ABS(N(E886))&lt;=$D$2,ABS(N(H886))&lt;=$D$2,ABS(N(K886))&lt;=$D$2),"Reconciles within tolerance","Outside tolerance"))</f>
        <v>Reconciles within tolerance</v>
      </c>
    </row>
    <row r="887" customFormat="false" ht="15" hidden="false" customHeight="false" outlineLevel="0" collapsed="false">
      <c r="A887" s="7" t="n">
        <v>2004</v>
      </c>
      <c r="B887" s="15" t="s">
        <v>115</v>
      </c>
      <c r="C887" s="19" t="n">
        <v>21.066373</v>
      </c>
      <c r="D887" s="19" t="n">
        <v>21.066373</v>
      </c>
      <c r="E887" s="20" t="n">
        <f aca="false">IF(OR(D887="",D887=0),"",(C887-D887)/D887)</f>
        <v>0</v>
      </c>
      <c r="F887" s="19" t="n">
        <v>15.593741</v>
      </c>
      <c r="G887" s="19" t="n">
        <v>15.593741</v>
      </c>
      <c r="H887" s="20" t="n">
        <f aca="false">IF(OR(G887="",G887=0),"",(F887-G887)/G887)</f>
        <v>0</v>
      </c>
      <c r="I887" s="19" t="n">
        <v>23.707428</v>
      </c>
      <c r="J887" s="19" t="n">
        <v>23.707428</v>
      </c>
      <c r="K887" s="20" t="n">
        <f aca="false">IF(OR(J887="",J887=0),"",(I887-J887)/J887)</f>
        <v>0</v>
      </c>
      <c r="L887" s="21" t="str">
        <f aca="false">IF(OR(D887="",G887="",J887=""),"No reported subtotal",IF(AND(ABS(N(E887))&lt;=$D$2,ABS(N(H887))&lt;=$D$2,ABS(N(K887))&lt;=$D$2),"Reconciles within tolerance","Outside tolerance"))</f>
        <v>Reconciles within tolerance</v>
      </c>
    </row>
    <row r="888" customFormat="false" ht="15" hidden="false" customHeight="false" outlineLevel="0" collapsed="false">
      <c r="A888" s="7" t="n">
        <v>2005</v>
      </c>
      <c r="B888" s="15" t="s">
        <v>115</v>
      </c>
      <c r="C888" s="19" t="n">
        <v>17.721356</v>
      </c>
      <c r="D888" s="19" t="n">
        <v>17.721356</v>
      </c>
      <c r="E888" s="20" t="n">
        <f aca="false">IF(OR(D888="",D888=0),"",(C888-D888)/D888)</f>
        <v>0</v>
      </c>
      <c r="F888" s="19" t="n">
        <v>15.591593</v>
      </c>
      <c r="G888" s="19" t="n">
        <v>15.591593</v>
      </c>
      <c r="H888" s="20" t="n">
        <f aca="false">IF(OR(G888="",G888=0),"",(F888-G888)/G888)</f>
        <v>0</v>
      </c>
      <c r="I888" s="19" t="n">
        <v>31.330096</v>
      </c>
      <c r="J888" s="19" t="n">
        <v>31.330096</v>
      </c>
      <c r="K888" s="20" t="n">
        <f aca="false">IF(OR(J888="",J888=0),"",(I888-J888)/J888)</f>
        <v>0</v>
      </c>
      <c r="L888" s="21" t="str">
        <f aca="false">IF(OR(D888="",G888="",J888=""),"No reported subtotal",IF(AND(ABS(N(E888))&lt;=$D$2,ABS(N(H888))&lt;=$D$2,ABS(N(K888))&lt;=$D$2),"Reconciles within tolerance","Outside tolerance"))</f>
        <v>Reconciles within tolerance</v>
      </c>
    </row>
    <row r="889" customFormat="false" ht="15" hidden="false" customHeight="false" outlineLevel="0" collapsed="false">
      <c r="A889" s="7" t="n">
        <v>2006</v>
      </c>
      <c r="B889" s="15" t="s">
        <v>115</v>
      </c>
      <c r="C889" s="19" t="n">
        <v>23.400381</v>
      </c>
      <c r="D889" s="19" t="n">
        <v>23.400381</v>
      </c>
      <c r="E889" s="20" t="n">
        <f aca="false">IF(OR(D889="",D889=0),"",(C889-D889)/D889)</f>
        <v>0</v>
      </c>
      <c r="F889" s="19" t="n">
        <v>18.369897</v>
      </c>
      <c r="G889" s="19" t="n">
        <v>18.369897</v>
      </c>
      <c r="H889" s="20" t="n">
        <f aca="false">IF(OR(G889="",G889=0),"",(F889-G889)/G889)</f>
        <v>0</v>
      </c>
      <c r="I889" s="19" t="n">
        <v>28.276928</v>
      </c>
      <c r="J889" s="19" t="n">
        <v>28.276928</v>
      </c>
      <c r="K889" s="20" t="n">
        <f aca="false">IF(OR(J889="",J889=0),"",(I889-J889)/J889)</f>
        <v>0</v>
      </c>
      <c r="L889" s="21" t="str">
        <f aca="false">IF(OR(D889="",G889="",J889=""),"No reported subtotal",IF(AND(ABS(N(E889))&lt;=$D$2,ABS(N(H889))&lt;=$D$2,ABS(N(K889))&lt;=$D$2),"Reconciles within tolerance","Outside tolerance"))</f>
        <v>Reconciles within tolerance</v>
      </c>
    </row>
    <row r="890" customFormat="false" ht="15" hidden="false" customHeight="false" outlineLevel="0" collapsed="false">
      <c r="A890" s="7" t="n">
        <v>2007</v>
      </c>
      <c r="B890" s="15" t="s">
        <v>115</v>
      </c>
      <c r="C890" s="19" t="n">
        <v>25.560149</v>
      </c>
      <c r="D890" s="19" t="n">
        <v>25.560149</v>
      </c>
      <c r="E890" s="20" t="n">
        <f aca="false">IF(OR(D890="",D890=0),"",(C890-D890)/D890)</f>
        <v>0</v>
      </c>
      <c r="F890" s="19" t="n">
        <v>18.675624</v>
      </c>
      <c r="G890" s="19" t="n">
        <v>18.675624</v>
      </c>
      <c r="H890" s="20" t="n">
        <f aca="false">IF(OR(G890="",G890=0),"",(F890-G890)/G890)</f>
        <v>0</v>
      </c>
      <c r="I890" s="19" t="n">
        <v>31.397687</v>
      </c>
      <c r="J890" s="19" t="n">
        <v>31.397687</v>
      </c>
      <c r="K890" s="20" t="n">
        <f aca="false">IF(OR(J890="",J890=0),"",(I890-J890)/J890)</f>
        <v>0</v>
      </c>
      <c r="L890" s="21" t="str">
        <f aca="false">IF(OR(D890="",G890="",J890=""),"No reported subtotal",IF(AND(ABS(N(E890))&lt;=$D$2,ABS(N(H890))&lt;=$D$2,ABS(N(K890))&lt;=$D$2),"Reconciles within tolerance","Outside tolerance"))</f>
        <v>Reconciles within tolerance</v>
      </c>
    </row>
    <row r="891" customFormat="false" ht="15" hidden="false" customHeight="false" outlineLevel="0" collapsed="false">
      <c r="A891" s="7" t="n">
        <v>2008</v>
      </c>
      <c r="B891" s="15" t="s">
        <v>115</v>
      </c>
      <c r="C891" s="19" t="n">
        <v>25.316833</v>
      </c>
      <c r="D891" s="19" t="n">
        <v>25.316833</v>
      </c>
      <c r="E891" s="20" t="n">
        <f aca="false">IF(OR(D891="",D891=0),"",(C891-D891)/D891)</f>
        <v>0</v>
      </c>
      <c r="F891" s="19" t="n">
        <v>16.85959</v>
      </c>
      <c r="G891" s="19" t="n">
        <v>16.85959</v>
      </c>
      <c r="H891" s="20" t="n">
        <f aca="false">IF(OR(G891="",G891=0),"",(F891-G891)/G891)</f>
        <v>0</v>
      </c>
      <c r="I891" s="19" t="n">
        <v>44.940036</v>
      </c>
      <c r="J891" s="19" t="n">
        <v>44.940036</v>
      </c>
      <c r="K891" s="20" t="n">
        <f aca="false">IF(OR(J891="",J891=0),"",(I891-J891)/J891)</f>
        <v>0</v>
      </c>
      <c r="L891" s="21" t="str">
        <f aca="false">IF(OR(D891="",G891="",J891=""),"No reported subtotal",IF(AND(ABS(N(E891))&lt;=$D$2,ABS(N(H891))&lt;=$D$2,ABS(N(K891))&lt;=$D$2),"Reconciles within tolerance","Outside tolerance"))</f>
        <v>Reconciles within tolerance</v>
      </c>
    </row>
    <row r="892" customFormat="false" ht="15" hidden="false" customHeight="false" outlineLevel="0" collapsed="false">
      <c r="A892" s="7" t="n">
        <v>2009</v>
      </c>
      <c r="B892" s="15" t="s">
        <v>115</v>
      </c>
      <c r="C892" s="19" t="n">
        <v>20.205512</v>
      </c>
      <c r="D892" s="19" t="n">
        <v>20.205512</v>
      </c>
      <c r="E892" s="20" t="n">
        <f aca="false">IF(OR(D892="",D892=0),"",(C892-D892)/D892)</f>
        <v>0</v>
      </c>
      <c r="F892" s="19" t="n">
        <v>16.871235</v>
      </c>
      <c r="G892" s="19" t="n">
        <v>16.871235</v>
      </c>
      <c r="H892" s="20" t="n">
        <f aca="false">IF(OR(G892="",G892=0),"",(F892-G892)/G892)</f>
        <v>0</v>
      </c>
      <c r="I892" s="19" t="n">
        <v>42.024028</v>
      </c>
      <c r="J892" s="19" t="n">
        <v>42.024028</v>
      </c>
      <c r="K892" s="20" t="n">
        <f aca="false">IF(OR(J892="",J892=0),"",(I892-J892)/J892)</f>
        <v>0</v>
      </c>
      <c r="L892" s="21" t="str">
        <f aca="false">IF(OR(D892="",G892="",J892=""),"No reported subtotal",IF(AND(ABS(N(E892))&lt;=$D$2,ABS(N(H892))&lt;=$D$2,ABS(N(K892))&lt;=$D$2),"Reconciles within tolerance","Outside tolerance"))</f>
        <v>Reconciles within tolerance</v>
      </c>
    </row>
    <row r="893" customFormat="false" ht="15" hidden="false" customHeight="false" outlineLevel="0" collapsed="false">
      <c r="A893" s="7" t="n">
        <v>2010</v>
      </c>
      <c r="B893" s="15" t="s">
        <v>115</v>
      </c>
      <c r="C893" s="19" t="n">
        <v>17.254541</v>
      </c>
      <c r="D893" s="19" t="n">
        <v>17.254541</v>
      </c>
      <c r="E893" s="20" t="n">
        <f aca="false">IF(OR(D893="",D893=0),"",(C893-D893)/D893)</f>
        <v>0</v>
      </c>
      <c r="F893" s="19" t="n">
        <v>11.438692</v>
      </c>
      <c r="G893" s="19" t="n">
        <v>11.438692</v>
      </c>
      <c r="H893" s="20" t="n">
        <f aca="false">IF(OR(G893="",G893=0),"",(F893-G893)/G893)</f>
        <v>0</v>
      </c>
      <c r="I893" s="19" t="n">
        <v>34.518966</v>
      </c>
      <c r="J893" s="19" t="n">
        <v>34.518966</v>
      </c>
      <c r="K893" s="20" t="n">
        <f aca="false">IF(OR(J893="",J893=0),"",(I893-J893)/J893)</f>
        <v>0</v>
      </c>
      <c r="L893" s="21" t="str">
        <f aca="false">IF(OR(D893="",G893="",J893=""),"No reported subtotal",IF(AND(ABS(N(E893))&lt;=$D$2,ABS(N(H893))&lt;=$D$2,ABS(N(K893))&lt;=$D$2),"Reconciles within tolerance","Outside tolerance"))</f>
        <v>Reconciles within tolerance</v>
      </c>
    </row>
    <row r="894" customFormat="false" ht="15" hidden="false" customHeight="false" outlineLevel="0" collapsed="false">
      <c r="A894" s="7" t="n">
        <v>2011</v>
      </c>
      <c r="B894" s="15" t="s">
        <v>115</v>
      </c>
      <c r="C894" s="19" t="n">
        <v>21.840519</v>
      </c>
      <c r="D894" s="19" t="n">
        <v>21.840519</v>
      </c>
      <c r="E894" s="20" t="n">
        <f aca="false">IF(OR(D894="",D894=0),"",(C894-D894)/D894)</f>
        <v>0</v>
      </c>
      <c r="F894" s="19" t="n">
        <v>12.716259</v>
      </c>
      <c r="G894" s="19" t="n">
        <v>12.716259</v>
      </c>
      <c r="H894" s="20" t="n">
        <f aca="false">IF(OR(G894="",G894=0),"",(F894-G894)/G894)</f>
        <v>0</v>
      </c>
      <c r="I894" s="19" t="n">
        <v>35.303794</v>
      </c>
      <c r="J894" s="19" t="n">
        <v>35.303794</v>
      </c>
      <c r="K894" s="20" t="n">
        <f aca="false">IF(OR(J894="",J894=0),"",(I894-J894)/J894)</f>
        <v>0</v>
      </c>
      <c r="L894" s="21" t="str">
        <f aca="false">IF(OR(D894="",G894="",J894=""),"No reported subtotal",IF(AND(ABS(N(E894))&lt;=$D$2,ABS(N(H894))&lt;=$D$2,ABS(N(K894))&lt;=$D$2),"Reconciles within tolerance","Outside tolerance"))</f>
        <v>Reconciles within tolerance</v>
      </c>
    </row>
    <row r="895" customFormat="false" ht="15" hidden="false" customHeight="false" outlineLevel="0" collapsed="false">
      <c r="A895" s="7" t="n">
        <v>2012</v>
      </c>
      <c r="B895" s="15" t="s">
        <v>115</v>
      </c>
      <c r="C895" s="19" t="n">
        <v>16.800549</v>
      </c>
      <c r="D895" s="19" t="n">
        <v>16.800549</v>
      </c>
      <c r="E895" s="20" t="n">
        <f aca="false">IF(OR(D895="",D895=0),"",(C895-D895)/D895)</f>
        <v>0</v>
      </c>
      <c r="F895" s="19" t="n">
        <v>19.080995</v>
      </c>
      <c r="G895" s="19" t="n">
        <v>19.080995</v>
      </c>
      <c r="H895" s="20" t="n">
        <f aca="false">IF(OR(G895="",G895=0),"",(F895-G895)/G895)</f>
        <v>0</v>
      </c>
      <c r="I895" s="19" t="n">
        <v>57.42279</v>
      </c>
      <c r="J895" s="19" t="n">
        <v>57.42279</v>
      </c>
      <c r="K895" s="20" t="n">
        <f aca="false">IF(OR(J895="",J895=0),"",(I895-J895)/J895)</f>
        <v>0</v>
      </c>
      <c r="L895" s="21" t="str">
        <f aca="false">IF(OR(D895="",G895="",J895=""),"No reported subtotal",IF(AND(ABS(N(E895))&lt;=$D$2,ABS(N(H895))&lt;=$D$2,ABS(N(K895))&lt;=$D$2),"Reconciles within tolerance","Outside tolerance"))</f>
        <v>Reconciles within tolerance</v>
      </c>
    </row>
    <row r="896" customFormat="false" ht="15" hidden="false" customHeight="false" outlineLevel="0" collapsed="false">
      <c r="A896" s="7" t="n">
        <v>2013</v>
      </c>
      <c r="B896" s="15" t="s">
        <v>115</v>
      </c>
      <c r="C896" s="19" t="n">
        <v>17.264184</v>
      </c>
      <c r="D896" s="19" t="n">
        <v>17.264184</v>
      </c>
      <c r="E896" s="20" t="n">
        <f aca="false">IF(OR(D896="",D896=0),"",(C896-D896)/D896)</f>
        <v>0</v>
      </c>
      <c r="F896" s="19" t="n">
        <v>18.623166</v>
      </c>
      <c r="G896" s="19" t="n">
        <v>18.623166</v>
      </c>
      <c r="H896" s="20" t="n">
        <f aca="false">IF(OR(G896="",G896=0),"",(F896-G896)/G896)</f>
        <v>0</v>
      </c>
      <c r="I896" s="19" t="n">
        <v>26.852633</v>
      </c>
      <c r="J896" s="19" t="n">
        <v>26.852633</v>
      </c>
      <c r="K896" s="20" t="n">
        <f aca="false">IF(OR(J896="",J896=0),"",(I896-J896)/J896)</f>
        <v>0</v>
      </c>
      <c r="L896" s="21" t="str">
        <f aca="false">IF(OR(D896="",G896="",J896=""),"No reported subtotal",IF(AND(ABS(N(E896))&lt;=$D$2,ABS(N(H896))&lt;=$D$2,ABS(N(K896))&lt;=$D$2),"Reconciles within tolerance","Outside tolerance"))</f>
        <v>Reconciles within tolerance</v>
      </c>
    </row>
    <row r="897" customFormat="false" ht="15" hidden="false" customHeight="false" outlineLevel="0" collapsed="false">
      <c r="A897" s="7" t="n">
        <v>2014</v>
      </c>
      <c r="B897" s="15" t="s">
        <v>115</v>
      </c>
      <c r="C897" s="19" t="n">
        <v>16.371548</v>
      </c>
      <c r="D897" s="19" t="n">
        <v>16.371548</v>
      </c>
      <c r="E897" s="20" t="n">
        <f aca="false">IF(OR(D897="",D897=0),"",(C897-D897)/D897)</f>
        <v>0</v>
      </c>
      <c r="F897" s="19" t="n">
        <v>18.453663</v>
      </c>
      <c r="G897" s="19" t="n">
        <v>18.453663</v>
      </c>
      <c r="H897" s="20" t="n">
        <f aca="false">IF(OR(G897="",G897=0),"",(F897-G897)/G897)</f>
        <v>0</v>
      </c>
      <c r="I897" s="19" t="n">
        <v>38.990636</v>
      </c>
      <c r="J897" s="19" t="n">
        <v>38.990636</v>
      </c>
      <c r="K897" s="20" t="n">
        <f aca="false">IF(OR(J897="",J897=0),"",(I897-J897)/J897)</f>
        <v>0</v>
      </c>
      <c r="L897" s="21" t="str">
        <f aca="false">IF(OR(D897="",G897="",J897=""),"No reported subtotal",IF(AND(ABS(N(E897))&lt;=$D$2,ABS(N(H897))&lt;=$D$2,ABS(N(K897))&lt;=$D$2),"Reconciles within tolerance","Outside tolerance"))</f>
        <v>Reconciles within tolerance</v>
      </c>
    </row>
    <row r="898" customFormat="false" ht="15" hidden="false" customHeight="false" outlineLevel="0" collapsed="false">
      <c r="A898" s="7" t="n">
        <v>2015</v>
      </c>
      <c r="B898" s="15" t="s">
        <v>115</v>
      </c>
      <c r="C898" s="19" t="n">
        <v>19.736383</v>
      </c>
      <c r="D898" s="19" t="n">
        <v>19.736383</v>
      </c>
      <c r="E898" s="20" t="n">
        <f aca="false">IF(OR(D898="",D898=0),"",(C898-D898)/D898)</f>
        <v>0</v>
      </c>
      <c r="F898" s="19" t="n">
        <v>21.644136</v>
      </c>
      <c r="G898" s="19" t="n">
        <v>21.644136</v>
      </c>
      <c r="H898" s="20" t="n">
        <f aca="false">IF(OR(G898="",G898=0),"",(F898-G898)/G898)</f>
        <v>0</v>
      </c>
      <c r="I898" s="19" t="n">
        <v>33.332307</v>
      </c>
      <c r="J898" s="19" t="n">
        <v>33.332307</v>
      </c>
      <c r="K898" s="20" t="n">
        <f aca="false">IF(OR(J898="",J898=0),"",(I898-J898)/J898)</f>
        <v>0</v>
      </c>
      <c r="L898" s="21" t="str">
        <f aca="false">IF(OR(D898="",G898="",J898=""),"No reported subtotal",IF(AND(ABS(N(E898))&lt;=$D$2,ABS(N(H898))&lt;=$D$2,ABS(N(K898))&lt;=$D$2),"Reconciles within tolerance","Outside tolerance"))</f>
        <v>Reconciles within tolerance</v>
      </c>
    </row>
    <row r="899" customFormat="false" ht="15" hidden="false" customHeight="false" outlineLevel="0" collapsed="false">
      <c r="A899" s="7" t="n">
        <v>2016</v>
      </c>
      <c r="B899" s="15" t="s">
        <v>115</v>
      </c>
      <c r="C899" s="19" t="n">
        <v>17.330656</v>
      </c>
      <c r="D899" s="19" t="n">
        <v>17.330656</v>
      </c>
      <c r="E899" s="20" t="n">
        <f aca="false">IF(OR(D899="",D899=0),"",(C899-D899)/D899)</f>
        <v>0</v>
      </c>
      <c r="F899" s="19" t="n">
        <v>16.216616</v>
      </c>
      <c r="G899" s="19" t="n">
        <v>16.216616</v>
      </c>
      <c r="H899" s="20" t="n">
        <f aca="false">IF(OR(G899="",G899=0),"",(F899-G899)/G899)</f>
        <v>0</v>
      </c>
      <c r="I899" s="19" t="n">
        <v>36.645053</v>
      </c>
      <c r="J899" s="19" t="n">
        <v>36.645053</v>
      </c>
      <c r="K899" s="20" t="n">
        <f aca="false">IF(OR(J899="",J899=0),"",(I899-J899)/J899)</f>
        <v>0</v>
      </c>
      <c r="L899" s="21" t="str">
        <f aca="false">IF(OR(D899="",G899="",J899=""),"No reported subtotal",IF(AND(ABS(N(E899))&lt;=$D$2,ABS(N(H899))&lt;=$D$2,ABS(N(K899))&lt;=$D$2),"Reconciles within tolerance","Outside tolerance"))</f>
        <v>Reconciles within tolerance</v>
      </c>
    </row>
    <row r="900" customFormat="false" ht="15" hidden="false" customHeight="false" outlineLevel="0" collapsed="false">
      <c r="A900" s="7" t="n">
        <v>2017</v>
      </c>
      <c r="B900" s="15" t="s">
        <v>115</v>
      </c>
      <c r="C900" s="19" t="n">
        <v>19.935786</v>
      </c>
      <c r="D900" s="19" t="n">
        <v>19.935786</v>
      </c>
      <c r="E900" s="20" t="n">
        <f aca="false">IF(OR(D900="",D900=0),"",(C900-D900)/D900)</f>
        <v>0</v>
      </c>
      <c r="F900" s="19" t="n">
        <v>20.534903</v>
      </c>
      <c r="G900" s="19" t="n">
        <v>20.534903</v>
      </c>
      <c r="H900" s="20" t="n">
        <f aca="false">IF(OR(G900="",G900=0),"",(F900-G900)/G900)</f>
        <v>0</v>
      </c>
      <c r="I900" s="19" t="n">
        <v>27.191317</v>
      </c>
      <c r="J900" s="19" t="n">
        <v>27.191317</v>
      </c>
      <c r="K900" s="20" t="n">
        <f aca="false">IF(OR(J900="",J900=0),"",(I900-J900)/J900)</f>
        <v>0</v>
      </c>
      <c r="L900" s="21" t="str">
        <f aca="false">IF(OR(D900="",G900="",J900=""),"No reported subtotal",IF(AND(ABS(N(E900))&lt;=$D$2,ABS(N(H900))&lt;=$D$2,ABS(N(K900))&lt;=$D$2),"Reconciles within tolerance","Outside tolerance"))</f>
        <v>Reconciles within tolerance</v>
      </c>
    </row>
    <row r="901" customFormat="false" ht="15" hidden="false" customHeight="false" outlineLevel="0" collapsed="false">
      <c r="A901" s="7" t="n">
        <v>2018</v>
      </c>
      <c r="B901" s="15" t="s">
        <v>115</v>
      </c>
      <c r="C901" s="19" t="n">
        <v>20.109846</v>
      </c>
      <c r="D901" s="19" t="n">
        <v>20.109846</v>
      </c>
      <c r="E901" s="20" t="n">
        <f aca="false">IF(OR(D901="",D901=0),"",(C901-D901)/D901)</f>
        <v>0</v>
      </c>
      <c r="F901" s="19" t="n">
        <v>22.758918</v>
      </c>
      <c r="G901" s="19" t="n">
        <v>22.758918</v>
      </c>
      <c r="H901" s="20" t="n">
        <f aca="false">IF(OR(G901="",G901=0),"",(F901-G901)/G901)</f>
        <v>0</v>
      </c>
      <c r="I901" s="19" t="n">
        <v>31.595818</v>
      </c>
      <c r="J901" s="19" t="n">
        <v>31.595818</v>
      </c>
      <c r="K901" s="20" t="n">
        <f aca="false">IF(OR(J901="",J901=0),"",(I901-J901)/J901)</f>
        <v>0</v>
      </c>
      <c r="L901" s="21" t="str">
        <f aca="false">IF(OR(D901="",G901="",J901=""),"No reported subtotal",IF(AND(ABS(N(E901))&lt;=$D$2,ABS(N(H901))&lt;=$D$2,ABS(N(K901))&lt;=$D$2),"Reconciles within tolerance","Outside tolerance"))</f>
        <v>Reconciles within tolerance</v>
      </c>
    </row>
    <row r="902" customFormat="false" ht="15" hidden="false" customHeight="false" outlineLevel="0" collapsed="false">
      <c r="A902" s="7" t="n">
        <v>2019</v>
      </c>
      <c r="B902" s="15" t="s">
        <v>115</v>
      </c>
      <c r="C902" s="19" t="n">
        <v>23.713896</v>
      </c>
      <c r="D902" s="19" t="n">
        <v>23.713896</v>
      </c>
      <c r="E902" s="20" t="n">
        <f aca="false">IF(OR(D902="",D902=0),"",(C902-D902)/D902)</f>
        <v>0</v>
      </c>
      <c r="F902" s="19" t="n">
        <v>20.60564</v>
      </c>
      <c r="G902" s="19" t="n">
        <v>20.60564</v>
      </c>
      <c r="H902" s="20" t="n">
        <f aca="false">IF(OR(G902="",G902=0),"",(F902-G902)/G902)</f>
        <v>0</v>
      </c>
      <c r="I902" s="19" t="n">
        <v>42.360879</v>
      </c>
      <c r="J902" s="19" t="n">
        <v>42.360879</v>
      </c>
      <c r="K902" s="20" t="n">
        <f aca="false">IF(OR(J902="",J902=0),"",(I902-J902)/J902)</f>
        <v>0</v>
      </c>
      <c r="L902" s="21" t="str">
        <f aca="false">IF(OR(D902="",G902="",J902=""),"No reported subtotal",IF(AND(ABS(N(E902))&lt;=$D$2,ABS(N(H902))&lt;=$D$2,ABS(N(K902))&lt;=$D$2),"Reconciles within tolerance","Outside tolerance"))</f>
        <v>Reconciles within tolerance</v>
      </c>
    </row>
    <row r="903" customFormat="false" ht="15" hidden="false" customHeight="false" outlineLevel="0" collapsed="false">
      <c r="A903" s="7" t="n">
        <v>2020</v>
      </c>
      <c r="B903" s="15" t="s">
        <v>115</v>
      </c>
      <c r="C903" s="19" t="n">
        <v>24.153452</v>
      </c>
      <c r="D903" s="19" t="n">
        <v>24.153452</v>
      </c>
      <c r="E903" s="20" t="n">
        <f aca="false">IF(OR(D903="",D903=0),"",(C903-D903)/D903)</f>
        <v>0</v>
      </c>
      <c r="F903" s="19" t="n">
        <v>26.56126</v>
      </c>
      <c r="G903" s="19" t="n">
        <v>26.56126</v>
      </c>
      <c r="H903" s="20" t="n">
        <f aca="false">IF(OR(G903="",G903=0),"",(F903-G903)/G903)</f>
        <v>0</v>
      </c>
      <c r="I903" s="19" t="n">
        <v>51.482767</v>
      </c>
      <c r="J903" s="19" t="n">
        <v>51.482767</v>
      </c>
      <c r="K903" s="20" t="n">
        <f aca="false">IF(OR(J903="",J903=0),"",(I903-J903)/J903)</f>
        <v>0</v>
      </c>
      <c r="L903" s="21" t="str">
        <f aca="false">IF(OR(D903="",G903="",J903=""),"No reported subtotal",IF(AND(ABS(N(E903))&lt;=$D$2,ABS(N(H903))&lt;=$D$2,ABS(N(K903))&lt;=$D$2),"Reconciles within tolerance","Outside tolerance"))</f>
        <v>Reconciles within tolerance</v>
      </c>
    </row>
    <row r="904" customFormat="false" ht="15" hidden="false" customHeight="false" outlineLevel="0" collapsed="false">
      <c r="A904" s="7" t="n">
        <v>2021</v>
      </c>
      <c r="B904" s="15" t="s">
        <v>115</v>
      </c>
      <c r="C904" s="19" t="n">
        <v>24.524833</v>
      </c>
      <c r="D904" s="19" t="n">
        <v>24.524833</v>
      </c>
      <c r="E904" s="20" t="n">
        <f aca="false">IF(OR(D904="",D904=0),"",(C904-D904)/D904)</f>
        <v>0</v>
      </c>
      <c r="F904" s="19" t="n">
        <v>16.750422</v>
      </c>
      <c r="G904" s="19" t="n">
        <v>16.750422</v>
      </c>
      <c r="H904" s="20" t="n">
        <f aca="false">IF(OR(G904="",G904=0),"",(F904-G904)/G904)</f>
        <v>0</v>
      </c>
      <c r="I904" s="19" t="n">
        <v>63.472288</v>
      </c>
      <c r="J904" s="19" t="n">
        <v>63.472288</v>
      </c>
      <c r="K904" s="20" t="n">
        <f aca="false">IF(OR(J904="",J904=0),"",(I904-J904)/J904)</f>
        <v>0</v>
      </c>
      <c r="L904" s="21" t="str">
        <f aca="false">IF(OR(D904="",G904="",J904=""),"No reported subtotal",IF(AND(ABS(N(E904))&lt;=$D$2,ABS(N(H904))&lt;=$D$2,ABS(N(K904))&lt;=$D$2),"Reconciles within tolerance","Outside tolerance"))</f>
        <v>Reconciles within tolerance</v>
      </c>
    </row>
    <row r="905" customFormat="false" ht="15" hidden="false" customHeight="false" outlineLevel="0" collapsed="false">
      <c r="A905" s="7" t="n">
        <v>2022</v>
      </c>
      <c r="B905" s="15" t="s">
        <v>115</v>
      </c>
      <c r="C905" s="19" t="n">
        <v>27.467518</v>
      </c>
      <c r="D905" s="19" t="n">
        <v>27.467518</v>
      </c>
      <c r="E905" s="20" t="n">
        <f aca="false">IF(OR(D905="",D905=0),"",(C905-D905)/D905)</f>
        <v>0</v>
      </c>
      <c r="F905" s="19" t="n">
        <v>10.746533</v>
      </c>
      <c r="G905" s="19" t="n">
        <v>10.746533</v>
      </c>
      <c r="H905" s="20" t="n">
        <f aca="false">IF(OR(G905="",G905=0),"",(F905-G905)/G905)</f>
        <v>0</v>
      </c>
      <c r="I905" s="19" t="n">
        <v>46.362483</v>
      </c>
      <c r="J905" s="19" t="n">
        <v>46.362483</v>
      </c>
      <c r="K905" s="20" t="n">
        <f aca="false">IF(OR(J905="",J905=0),"",(I905-J905)/J905)</f>
        <v>0</v>
      </c>
      <c r="L905" s="21" t="str">
        <f aca="false">IF(OR(D905="",G905="",J905=""),"No reported subtotal",IF(AND(ABS(N(E905))&lt;=$D$2,ABS(N(H905))&lt;=$D$2,ABS(N(K905))&lt;=$D$2),"Reconciles within tolerance","Outside tolerance"))</f>
        <v>Reconciles within tolerance</v>
      </c>
    </row>
    <row r="906" customFormat="false" ht="15" hidden="false" customHeight="false" outlineLevel="0" collapsed="false">
      <c r="A906" s="7" t="n">
        <v>2023</v>
      </c>
      <c r="B906" s="15" t="s">
        <v>115</v>
      </c>
      <c r="C906" s="19" t="n">
        <v>28.33687</v>
      </c>
      <c r="D906" s="19" t="n">
        <v>28.33687</v>
      </c>
      <c r="E906" s="20" t="n">
        <f aca="false">IF(OR(D906="",D906=0),"",(C906-D906)/D906)</f>
        <v>0</v>
      </c>
      <c r="F906" s="19" t="n">
        <v>10.530095</v>
      </c>
      <c r="G906" s="19" t="n">
        <v>10.530095</v>
      </c>
      <c r="H906" s="20" t="n">
        <f aca="false">IF(OR(G906="",G906=0),"",(F906-G906)/G906)</f>
        <v>0</v>
      </c>
      <c r="I906" s="19" t="n">
        <v>40.557097</v>
      </c>
      <c r="J906" s="19" t="n">
        <v>40.557097</v>
      </c>
      <c r="K906" s="20" t="n">
        <f aca="false">IF(OR(J906="",J906=0),"",(I906-J906)/J906)</f>
        <v>0</v>
      </c>
      <c r="L906" s="21" t="str">
        <f aca="false">IF(OR(D906="",G906="",J906=""),"No reported subtotal",IF(AND(ABS(N(E906))&lt;=$D$2,ABS(N(H906))&lt;=$D$2,ABS(N(K906))&lt;=$D$2),"Reconciles within tolerance","Outside tolerance"))</f>
        <v>Reconciles within tolerance</v>
      </c>
    </row>
    <row r="907" customFormat="false" ht="15" hidden="false" customHeight="false" outlineLevel="0" collapsed="false">
      <c r="A907" s="7" t="n">
        <v>2024</v>
      </c>
      <c r="B907" s="15" t="s">
        <v>115</v>
      </c>
      <c r="C907" s="19" t="n">
        <v>28.346237</v>
      </c>
      <c r="D907" s="19" t="n">
        <v>28.346237</v>
      </c>
      <c r="E907" s="20" t="n">
        <f aca="false">IF(OR(D907="",D907=0),"",(C907-D907)/D907)</f>
        <v>0</v>
      </c>
      <c r="F907" s="19" t="n">
        <v>13.468837</v>
      </c>
      <c r="G907" s="19" t="n">
        <v>13.468837</v>
      </c>
      <c r="H907" s="20" t="n">
        <f aca="false">IF(OR(G907="",G907=0),"",(F907-G907)/G907)</f>
        <v>0</v>
      </c>
      <c r="I907" s="19" t="n">
        <v>41.034398</v>
      </c>
      <c r="J907" s="19" t="n">
        <v>41.034398</v>
      </c>
      <c r="K907" s="20" t="n">
        <f aca="false">IF(OR(J907="",J907=0),"",(I907-J907)/J907)</f>
        <v>0</v>
      </c>
      <c r="L907" s="21" t="str">
        <f aca="false">IF(OR(D907="",G907="",J907=""),"No reported subtotal",IF(AND(ABS(N(E907))&lt;=$D$2,ABS(N(H907))&lt;=$D$2,ABS(N(K907))&lt;=$D$2),"Reconciles within tolerance","Outside tolerance"))</f>
        <v>Reconciles within tolerance</v>
      </c>
    </row>
    <row r="908" customFormat="false" ht="15" hidden="false" customHeight="false" outlineLevel="0" collapsed="false">
      <c r="A908" s="7" t="n">
        <v>2025</v>
      </c>
      <c r="B908" s="15" t="s">
        <v>115</v>
      </c>
      <c r="C908" s="19" t="n">
        <v>27.17981</v>
      </c>
      <c r="D908" s="19" t="n">
        <v>27.17981</v>
      </c>
      <c r="E908" s="20" t="n">
        <f aca="false">IF(OR(D908="",D908=0),"",(C908-D908)/D908)</f>
        <v>0</v>
      </c>
      <c r="F908" s="19" t="n">
        <v>14.403607</v>
      </c>
      <c r="G908" s="19" t="n">
        <v>14.403607</v>
      </c>
      <c r="H908" s="20" t="n">
        <f aca="false">IF(OR(G908="",G908=0),"",(F908-G908)/G908)</f>
        <v>0</v>
      </c>
      <c r="I908" s="19" t="n">
        <v>67.218138</v>
      </c>
      <c r="J908" s="19" t="n">
        <v>67.218138</v>
      </c>
      <c r="K908" s="20" t="n">
        <f aca="false">IF(OR(J908="",J908=0),"",(I908-J908)/J908)</f>
        <v>0</v>
      </c>
      <c r="L908" s="21" t="str">
        <f aca="false">IF(OR(D908="",G908="",J908=""),"No reported subtotal",IF(AND(ABS(N(E908))&lt;=$D$2,ABS(N(H908))&lt;=$D$2,ABS(N(K908))&lt;=$D$2),"Reconciles within tolerance","Outside tolerance"))</f>
        <v>Reconciles within tolerance</v>
      </c>
    </row>
    <row r="909" customFormat="false" ht="15" hidden="false" customHeight="false" outlineLevel="0" collapsed="false">
      <c r="A909" s="7" t="n">
        <v>2000</v>
      </c>
      <c r="B909" s="15" t="s">
        <v>116</v>
      </c>
      <c r="C909" s="19" t="n">
        <v>39.739834</v>
      </c>
      <c r="D909" s="19" t="n">
        <v>39.739834</v>
      </c>
      <c r="E909" s="20" t="n">
        <f aca="false">IF(OR(D909="",D909=0),"",(C909-D909)/D909)</f>
        <v>0</v>
      </c>
      <c r="F909" s="19" t="n">
        <v>31.245758</v>
      </c>
      <c r="G909" s="19" t="n">
        <v>31.245758</v>
      </c>
      <c r="H909" s="20" t="n">
        <f aca="false">IF(OR(G909="",G909=0),"",(F909-G909)/G909)</f>
        <v>0</v>
      </c>
      <c r="I909" s="19" t="n">
        <v>46.692189</v>
      </c>
      <c r="J909" s="19" t="n">
        <v>46.692189</v>
      </c>
      <c r="K909" s="20" t="n">
        <f aca="false">IF(OR(J909="",J909=0),"",(I909-J909)/J909)</f>
        <v>0</v>
      </c>
      <c r="L909" s="21" t="str">
        <f aca="false">IF(OR(D909="",G909="",J909=""),"No reported subtotal",IF(AND(ABS(N(E909))&lt;=$D$2,ABS(N(H909))&lt;=$D$2,ABS(N(K909))&lt;=$D$2),"Reconciles within tolerance","Outside tolerance"))</f>
        <v>Reconciles within tolerance</v>
      </c>
    </row>
    <row r="910" customFormat="false" ht="15" hidden="false" customHeight="false" outlineLevel="0" collapsed="false">
      <c r="A910" s="7" t="n">
        <v>2001</v>
      </c>
      <c r="B910" s="15" t="s">
        <v>116</v>
      </c>
      <c r="C910" s="19" t="n">
        <v>43.915228</v>
      </c>
      <c r="D910" s="19" t="n">
        <v>43.915228</v>
      </c>
      <c r="E910" s="20" t="n">
        <f aca="false">IF(OR(D910="",D910=0),"",(C910-D910)/D910)</f>
        <v>0</v>
      </c>
      <c r="F910" s="19" t="n">
        <v>32.960451</v>
      </c>
      <c r="G910" s="19" t="n">
        <v>32.960451</v>
      </c>
      <c r="H910" s="20" t="n">
        <f aca="false">IF(OR(G910="",G910=0),"",(F910-G910)/G910)</f>
        <v>0</v>
      </c>
      <c r="I910" s="19" t="n">
        <v>39.7859</v>
      </c>
      <c r="J910" s="19" t="n">
        <v>39.7859</v>
      </c>
      <c r="K910" s="20" t="n">
        <f aca="false">IF(OR(J910="",J910=0),"",(I910-J910)/J910)</f>
        <v>0</v>
      </c>
      <c r="L910" s="21" t="str">
        <f aca="false">IF(OR(D910="",G910="",J910=""),"No reported subtotal",IF(AND(ABS(N(E910))&lt;=$D$2,ABS(N(H910))&lt;=$D$2,ABS(N(K910))&lt;=$D$2),"Reconciles within tolerance","Outside tolerance"))</f>
        <v>Reconciles within tolerance</v>
      </c>
    </row>
    <row r="911" customFormat="false" ht="15" hidden="false" customHeight="false" outlineLevel="0" collapsed="false">
      <c r="A911" s="7" t="n">
        <v>2002</v>
      </c>
      <c r="B911" s="15" t="s">
        <v>116</v>
      </c>
      <c r="C911" s="19" t="n">
        <v>48.530543</v>
      </c>
      <c r="D911" s="19" t="n">
        <v>48.530543</v>
      </c>
      <c r="E911" s="20" t="n">
        <f aca="false">IF(OR(D911="",D911=0),"",(C911-D911)/D911)</f>
        <v>0</v>
      </c>
      <c r="F911" s="19" t="n">
        <v>27.048864</v>
      </c>
      <c r="G911" s="19" t="n">
        <v>27.048864</v>
      </c>
      <c r="H911" s="20" t="n">
        <f aca="false">IF(OR(G911="",G911=0),"",(F911-G911)/G911)</f>
        <v>0</v>
      </c>
      <c r="I911" s="19" t="n">
        <v>41.325832</v>
      </c>
      <c r="J911" s="19" t="n">
        <v>41.325832</v>
      </c>
      <c r="K911" s="20" t="n">
        <f aca="false">IF(OR(J911="",J911=0),"",(I911-J911)/J911)</f>
        <v>0</v>
      </c>
      <c r="L911" s="21" t="str">
        <f aca="false">IF(OR(D911="",G911="",J911=""),"No reported subtotal",IF(AND(ABS(N(E911))&lt;=$D$2,ABS(N(H911))&lt;=$D$2,ABS(N(K911))&lt;=$D$2),"Reconciles within tolerance","Outside tolerance"))</f>
        <v>Reconciles within tolerance</v>
      </c>
    </row>
    <row r="912" customFormat="false" ht="15" hidden="false" customHeight="false" outlineLevel="0" collapsed="false">
      <c r="A912" s="7" t="n">
        <v>2003</v>
      </c>
      <c r="B912" s="15" t="s">
        <v>116</v>
      </c>
      <c r="C912" s="19" t="n">
        <v>45.138152</v>
      </c>
      <c r="D912" s="19" t="n">
        <v>45.138152</v>
      </c>
      <c r="E912" s="20" t="n">
        <f aca="false">IF(OR(D912="",D912=0),"",(C912-D912)/D912)</f>
        <v>0</v>
      </c>
      <c r="F912" s="19" t="n">
        <v>24.213515</v>
      </c>
      <c r="G912" s="19" t="n">
        <v>24.213515</v>
      </c>
      <c r="H912" s="20" t="n">
        <f aca="false">IF(OR(G912="",G912=0),"",(F912-G912)/G912)</f>
        <v>0</v>
      </c>
      <c r="I912" s="19" t="n">
        <v>45.965212</v>
      </c>
      <c r="J912" s="19" t="n">
        <v>45.965212</v>
      </c>
      <c r="K912" s="20" t="n">
        <f aca="false">IF(OR(J912="",J912=0),"",(I912-J912)/J912)</f>
        <v>0</v>
      </c>
      <c r="L912" s="21" t="str">
        <f aca="false">IF(OR(D912="",G912="",J912=""),"No reported subtotal",IF(AND(ABS(N(E912))&lt;=$D$2,ABS(N(H912))&lt;=$D$2,ABS(N(K912))&lt;=$D$2),"Reconciles within tolerance","Outside tolerance"))</f>
        <v>Reconciles within tolerance</v>
      </c>
    </row>
    <row r="913" customFormat="false" ht="15" hidden="false" customHeight="false" outlineLevel="0" collapsed="false">
      <c r="A913" s="7" t="n">
        <v>2004</v>
      </c>
      <c r="B913" s="15" t="s">
        <v>116</v>
      </c>
      <c r="C913" s="19" t="n">
        <v>43.866918</v>
      </c>
      <c r="D913" s="19" t="n">
        <v>43.866918</v>
      </c>
      <c r="E913" s="20" t="n">
        <f aca="false">IF(OR(D913="",D913=0),"",(C913-D913)/D913)</f>
        <v>0</v>
      </c>
      <c r="F913" s="19" t="n">
        <v>28.855254</v>
      </c>
      <c r="G913" s="19" t="n">
        <v>28.855254</v>
      </c>
      <c r="H913" s="20" t="n">
        <f aca="false">IF(OR(G913="",G913=0),"",(F913-G913)/G913)</f>
        <v>0</v>
      </c>
      <c r="I913" s="19" t="n">
        <v>48.389627</v>
      </c>
      <c r="J913" s="19" t="n">
        <v>48.389627</v>
      </c>
      <c r="K913" s="20" t="n">
        <f aca="false">IF(OR(J913="",J913=0),"",(I913-J913)/J913)</f>
        <v>0</v>
      </c>
      <c r="L913" s="21" t="str">
        <f aca="false">IF(OR(D913="",G913="",J913=""),"No reported subtotal",IF(AND(ABS(N(E913))&lt;=$D$2,ABS(N(H913))&lt;=$D$2,ABS(N(K913))&lt;=$D$2),"Reconciles within tolerance","Outside tolerance"))</f>
        <v>Reconciles within tolerance</v>
      </c>
    </row>
    <row r="914" customFormat="false" ht="15" hidden="false" customHeight="false" outlineLevel="0" collapsed="false">
      <c r="A914" s="7" t="n">
        <v>2005</v>
      </c>
      <c r="B914" s="15" t="s">
        <v>116</v>
      </c>
      <c r="C914" s="19" t="n">
        <v>47.221178</v>
      </c>
      <c r="D914" s="19" t="n">
        <v>47.221178</v>
      </c>
      <c r="E914" s="20" t="n">
        <f aca="false">IF(OR(D914="",D914=0),"",(C914-D914)/D914)</f>
        <v>0</v>
      </c>
      <c r="F914" s="19" t="n">
        <v>27.546869</v>
      </c>
      <c r="G914" s="19" t="n">
        <v>27.546869</v>
      </c>
      <c r="H914" s="20" t="n">
        <f aca="false">IF(OR(G914="",G914=0),"",(F914-G914)/G914)</f>
        <v>0</v>
      </c>
      <c r="I914" s="19" t="n">
        <v>49.352499</v>
      </c>
      <c r="J914" s="19" t="n">
        <v>49.352499</v>
      </c>
      <c r="K914" s="20" t="n">
        <f aca="false">IF(OR(J914="",J914=0),"",(I914-J914)/J914)</f>
        <v>0</v>
      </c>
      <c r="L914" s="21" t="str">
        <f aca="false">IF(OR(D914="",G914="",J914=""),"No reported subtotal",IF(AND(ABS(N(E914))&lt;=$D$2,ABS(N(H914))&lt;=$D$2,ABS(N(K914))&lt;=$D$2),"Reconciles within tolerance","Outside tolerance"))</f>
        <v>Reconciles within tolerance</v>
      </c>
    </row>
    <row r="915" customFormat="false" ht="15" hidden="false" customHeight="false" outlineLevel="0" collapsed="false">
      <c r="A915" s="7" t="n">
        <v>2006</v>
      </c>
      <c r="B915" s="15" t="s">
        <v>116</v>
      </c>
      <c r="C915" s="19" t="n">
        <v>47.929916</v>
      </c>
      <c r="D915" s="19" t="n">
        <v>47.929916</v>
      </c>
      <c r="E915" s="20" t="n">
        <f aca="false">IF(OR(D915="",D915=0),"",(C915-D915)/D915)</f>
        <v>0</v>
      </c>
      <c r="F915" s="19" t="n">
        <v>27.653727</v>
      </c>
      <c r="G915" s="19" t="n">
        <v>27.653727</v>
      </c>
      <c r="H915" s="20" t="n">
        <f aca="false">IF(OR(G915="",G915=0),"",(F915-G915)/G915)</f>
        <v>0</v>
      </c>
      <c r="I915" s="19" t="n">
        <v>52.146952</v>
      </c>
      <c r="J915" s="19" t="n">
        <v>52.146952</v>
      </c>
      <c r="K915" s="20" t="n">
        <f aca="false">IF(OR(J915="",J915=0),"",(I915-J915)/J915)</f>
        <v>0</v>
      </c>
      <c r="L915" s="21" t="str">
        <f aca="false">IF(OR(D915="",G915="",J915=""),"No reported subtotal",IF(AND(ABS(N(E915))&lt;=$D$2,ABS(N(H915))&lt;=$D$2,ABS(N(K915))&lt;=$D$2),"Reconciles within tolerance","Outside tolerance"))</f>
        <v>Reconciles within tolerance</v>
      </c>
    </row>
    <row r="916" customFormat="false" ht="15" hidden="false" customHeight="false" outlineLevel="0" collapsed="false">
      <c r="A916" s="7" t="n">
        <v>2007</v>
      </c>
      <c r="B916" s="15" t="s">
        <v>116</v>
      </c>
      <c r="C916" s="19" t="n">
        <v>44.631001</v>
      </c>
      <c r="D916" s="19" t="n">
        <v>44.631001</v>
      </c>
      <c r="E916" s="20" t="n">
        <f aca="false">IF(OR(D916="",D916=0),"",(C916-D916)/D916)</f>
        <v>0</v>
      </c>
      <c r="F916" s="19" t="n">
        <v>28.879055</v>
      </c>
      <c r="G916" s="19" t="n">
        <v>28.879055</v>
      </c>
      <c r="H916" s="20" t="n">
        <f aca="false">IF(OR(G916="",G916=0),"",(F916-G916)/G916)</f>
        <v>0</v>
      </c>
      <c r="I916" s="19" t="n">
        <v>63.012918</v>
      </c>
      <c r="J916" s="19" t="n">
        <v>63.012918</v>
      </c>
      <c r="K916" s="20" t="n">
        <f aca="false">IF(OR(J916="",J916=0),"",(I916-J916)/J916)</f>
        <v>0</v>
      </c>
      <c r="L916" s="21" t="str">
        <f aca="false">IF(OR(D916="",G916="",J916=""),"No reported subtotal",IF(AND(ABS(N(E916))&lt;=$D$2,ABS(N(H916))&lt;=$D$2,ABS(N(K916))&lt;=$D$2),"Reconciles within tolerance","Outside tolerance"))</f>
        <v>Reconciles within tolerance</v>
      </c>
    </row>
    <row r="917" customFormat="false" ht="15" hidden="false" customHeight="false" outlineLevel="0" collapsed="false">
      <c r="A917" s="7" t="n">
        <v>2008</v>
      </c>
      <c r="B917" s="15" t="s">
        <v>116</v>
      </c>
      <c r="C917" s="19" t="n">
        <v>45.555001</v>
      </c>
      <c r="D917" s="19" t="n">
        <v>45.555001</v>
      </c>
      <c r="E917" s="20" t="n">
        <f aca="false">IF(OR(D917="",D917=0),"",(C917-D917)/D917)</f>
        <v>0</v>
      </c>
      <c r="F917" s="19" t="n">
        <v>29.11083</v>
      </c>
      <c r="G917" s="19" t="n">
        <v>29.11083</v>
      </c>
      <c r="H917" s="20" t="n">
        <f aca="false">IF(OR(G917="",G917=0),"",(F917-G917)/G917)</f>
        <v>0</v>
      </c>
      <c r="I917" s="19" t="n">
        <v>59.608776</v>
      </c>
      <c r="J917" s="19" t="n">
        <v>59.608776</v>
      </c>
      <c r="K917" s="20" t="n">
        <f aca="false">IF(OR(J917="",J917=0),"",(I917-J917)/J917)</f>
        <v>0</v>
      </c>
      <c r="L917" s="21" t="str">
        <f aca="false">IF(OR(D917="",G917="",J917=""),"No reported subtotal",IF(AND(ABS(N(E917))&lt;=$D$2,ABS(N(H917))&lt;=$D$2,ABS(N(K917))&lt;=$D$2),"Reconciles within tolerance","Outside tolerance"))</f>
        <v>Reconciles within tolerance</v>
      </c>
    </row>
    <row r="918" customFormat="false" ht="15" hidden="false" customHeight="false" outlineLevel="0" collapsed="false">
      <c r="A918" s="7" t="n">
        <v>2009</v>
      </c>
      <c r="B918" s="15" t="s">
        <v>116</v>
      </c>
      <c r="C918" s="19" t="n">
        <v>40.755371</v>
      </c>
      <c r="D918" s="19" t="n">
        <v>40.755371</v>
      </c>
      <c r="E918" s="20" t="n">
        <f aca="false">IF(OR(D918="",D918=0),"",(C918-D918)/D918)</f>
        <v>0</v>
      </c>
      <c r="F918" s="19" t="n">
        <v>30.488263</v>
      </c>
      <c r="G918" s="19" t="n">
        <v>30.488263</v>
      </c>
      <c r="H918" s="20" t="n">
        <f aca="false">IF(OR(G918="",G918=0),"",(F918-G918)/G918)</f>
        <v>0</v>
      </c>
      <c r="I918" s="19" t="n">
        <v>59.611164</v>
      </c>
      <c r="J918" s="19" t="n">
        <v>59.611164</v>
      </c>
      <c r="K918" s="20" t="n">
        <f aca="false">IF(OR(J918="",J918=0),"",(I918-J918)/J918)</f>
        <v>0</v>
      </c>
      <c r="L918" s="21" t="str">
        <f aca="false">IF(OR(D918="",G918="",J918=""),"No reported subtotal",IF(AND(ABS(N(E918))&lt;=$D$2,ABS(N(H918))&lt;=$D$2,ABS(N(K918))&lt;=$D$2),"Reconciles within tolerance","Outside tolerance"))</f>
        <v>Reconciles within tolerance</v>
      </c>
    </row>
    <row r="919" customFormat="false" ht="15" hidden="false" customHeight="false" outlineLevel="0" collapsed="false">
      <c r="A919" s="7" t="n">
        <v>2010</v>
      </c>
      <c r="B919" s="15" t="s">
        <v>116</v>
      </c>
      <c r="C919" s="19" t="n">
        <v>56.826596</v>
      </c>
      <c r="D919" s="19" t="n">
        <v>56.826596</v>
      </c>
      <c r="E919" s="20" t="n">
        <f aca="false">IF(OR(D919="",D919=0),"",(C919-D919)/D919)</f>
        <v>0</v>
      </c>
      <c r="F919" s="19" t="n">
        <v>38.346427</v>
      </c>
      <c r="G919" s="19" t="n">
        <v>38.346427</v>
      </c>
      <c r="H919" s="20" t="n">
        <f aca="false">IF(OR(G919="",G919=0),"",(F919-G919)/G919)</f>
        <v>0</v>
      </c>
      <c r="I919" s="19" t="n">
        <v>57.234368</v>
      </c>
      <c r="J919" s="19" t="n">
        <v>57.234368</v>
      </c>
      <c r="K919" s="20" t="n">
        <f aca="false">IF(OR(J919="",J919=0),"",(I919-J919)/J919)</f>
        <v>0</v>
      </c>
      <c r="L919" s="21" t="str">
        <f aca="false">IF(OR(D919="",G919="",J919=""),"No reported subtotal",IF(AND(ABS(N(E919))&lt;=$D$2,ABS(N(H919))&lt;=$D$2,ABS(N(K919))&lt;=$D$2),"Reconciles within tolerance","Outside tolerance"))</f>
        <v>Reconciles within tolerance</v>
      </c>
    </row>
    <row r="920" customFormat="false" ht="15" hidden="false" customHeight="false" outlineLevel="0" collapsed="false">
      <c r="A920" s="7" t="n">
        <v>2011</v>
      </c>
      <c r="B920" s="15" t="s">
        <v>116</v>
      </c>
      <c r="C920" s="19" t="n">
        <v>38.585348</v>
      </c>
      <c r="D920" s="19" t="n">
        <v>38.585348</v>
      </c>
      <c r="E920" s="20" t="n">
        <f aca="false">IF(OR(D920="",D920=0),"",(C920-D920)/D920)</f>
        <v>0</v>
      </c>
      <c r="F920" s="19" t="n">
        <v>53.377539</v>
      </c>
      <c r="G920" s="19" t="n">
        <v>53.377539</v>
      </c>
      <c r="H920" s="20" t="n">
        <f aca="false">IF(OR(G920="",G920=0),"",(F920-G920)/G920)</f>
        <v>0</v>
      </c>
      <c r="I920" s="19" t="n">
        <v>88.267523</v>
      </c>
      <c r="J920" s="19" t="n">
        <v>88.267523</v>
      </c>
      <c r="K920" s="20" t="n">
        <f aca="false">IF(OR(J920="",J920=0),"",(I920-J920)/J920)</f>
        <v>0</v>
      </c>
      <c r="L920" s="21" t="str">
        <f aca="false">IF(OR(D920="",G920="",J920=""),"No reported subtotal",IF(AND(ABS(N(E920))&lt;=$D$2,ABS(N(H920))&lt;=$D$2,ABS(N(K920))&lt;=$D$2),"Reconciles within tolerance","Outside tolerance"))</f>
        <v>Reconciles within tolerance</v>
      </c>
    </row>
    <row r="921" customFormat="false" ht="15" hidden="false" customHeight="false" outlineLevel="0" collapsed="false">
      <c r="A921" s="7" t="n">
        <v>2012</v>
      </c>
      <c r="B921" s="15" t="s">
        <v>116</v>
      </c>
      <c r="C921" s="19" t="n">
        <v>18.850978</v>
      </c>
      <c r="D921" s="19" t="n">
        <v>18.850978</v>
      </c>
      <c r="E921" s="20" t="n">
        <f aca="false">IF(OR(D921="",D921=0),"",(C921-D921)/D921)</f>
        <v>0</v>
      </c>
      <c r="F921" s="19" t="n">
        <v>49.578325</v>
      </c>
      <c r="G921" s="19" t="n">
        <v>49.578325</v>
      </c>
      <c r="H921" s="20" t="n">
        <f aca="false">IF(OR(G921="",G921=0),"",(F921-G921)/G921)</f>
        <v>0</v>
      </c>
      <c r="I921" s="19" t="n">
        <v>109.22608</v>
      </c>
      <c r="J921" s="19" t="n">
        <v>109.22608</v>
      </c>
      <c r="K921" s="20" t="n">
        <f aca="false">IF(OR(J921="",J921=0),"",(I921-J921)/J921)</f>
        <v>0</v>
      </c>
      <c r="L921" s="21" t="str">
        <f aca="false">IF(OR(D921="",G921="",J921=""),"No reported subtotal",IF(AND(ABS(N(E921))&lt;=$D$2,ABS(N(H921))&lt;=$D$2,ABS(N(K921))&lt;=$D$2),"Reconciles within tolerance","Outside tolerance"))</f>
        <v>Reconciles within tolerance</v>
      </c>
    </row>
    <row r="922" customFormat="false" ht="15" hidden="false" customHeight="false" outlineLevel="0" collapsed="false">
      <c r="A922" s="7" t="n">
        <v>2013</v>
      </c>
      <c r="B922" s="15" t="s">
        <v>116</v>
      </c>
      <c r="C922" s="19" t="n">
        <v>37.858731</v>
      </c>
      <c r="D922" s="19" t="n">
        <v>37.858731</v>
      </c>
      <c r="E922" s="20" t="n">
        <f aca="false">IF(OR(D922="",D922=0),"",(C922-D922)/D922)</f>
        <v>0</v>
      </c>
      <c r="F922" s="19" t="n">
        <v>48.408174</v>
      </c>
      <c r="G922" s="19" t="n">
        <v>48.408174</v>
      </c>
      <c r="H922" s="20" t="n">
        <f aca="false">IF(OR(G922="",G922=0),"",(F922-G922)/G922)</f>
        <v>0</v>
      </c>
      <c r="I922" s="19" t="n">
        <v>110.210393</v>
      </c>
      <c r="J922" s="19" t="n">
        <v>110.210393</v>
      </c>
      <c r="K922" s="20" t="n">
        <f aca="false">IF(OR(J922="",J922=0),"",(I922-J922)/J922)</f>
        <v>0</v>
      </c>
      <c r="L922" s="21" t="str">
        <f aca="false">IF(OR(D922="",G922="",J922=""),"No reported subtotal",IF(AND(ABS(N(E922))&lt;=$D$2,ABS(N(H922))&lt;=$D$2,ABS(N(K922))&lt;=$D$2),"Reconciles within tolerance","Outside tolerance"))</f>
        <v>Reconciles within tolerance</v>
      </c>
    </row>
    <row r="923" customFormat="false" ht="15" hidden="false" customHeight="false" outlineLevel="0" collapsed="false">
      <c r="A923" s="7" t="n">
        <v>2014</v>
      </c>
      <c r="B923" s="15" t="s">
        <v>116</v>
      </c>
      <c r="C923" s="19" t="n">
        <v>38.563911</v>
      </c>
      <c r="D923" s="19" t="n">
        <v>38.563911</v>
      </c>
      <c r="E923" s="20" t="n">
        <f aca="false">IF(OR(D923="",D923=0),"",(C923-D923)/D923)</f>
        <v>0</v>
      </c>
      <c r="F923" s="19" t="n">
        <v>49.107172</v>
      </c>
      <c r="G923" s="19" t="n">
        <v>49.107172</v>
      </c>
      <c r="H923" s="20" t="n">
        <f aca="false">IF(OR(G923="",G923=0),"",(F923-G923)/G923)</f>
        <v>0</v>
      </c>
      <c r="I923" s="19" t="n">
        <v>81.147968</v>
      </c>
      <c r="J923" s="19" t="n">
        <v>81.147968</v>
      </c>
      <c r="K923" s="20" t="n">
        <f aca="false">IF(OR(J923="",J923=0),"",(I923-J923)/J923)</f>
        <v>0</v>
      </c>
      <c r="L923" s="21" t="str">
        <f aca="false">IF(OR(D923="",G923="",J923=""),"No reported subtotal",IF(AND(ABS(N(E923))&lt;=$D$2,ABS(N(H923))&lt;=$D$2,ABS(N(K923))&lt;=$D$2),"Reconciles within tolerance","Outside tolerance"))</f>
        <v>Reconciles within tolerance</v>
      </c>
    </row>
    <row r="924" customFormat="false" ht="15" hidden="false" customHeight="false" outlineLevel="0" collapsed="false">
      <c r="A924" s="7" t="n">
        <v>2015</v>
      </c>
      <c r="B924" s="15" t="s">
        <v>116</v>
      </c>
      <c r="C924" s="19" t="n">
        <v>54.854455</v>
      </c>
      <c r="D924" s="19" t="n">
        <v>54.854455</v>
      </c>
      <c r="E924" s="20" t="n">
        <f aca="false">IF(OR(D924="",D924=0),"",(C924-D924)/D924)</f>
        <v>0</v>
      </c>
      <c r="F924" s="19" t="n">
        <v>56.810796</v>
      </c>
      <c r="G924" s="19" t="n">
        <v>56.810796</v>
      </c>
      <c r="H924" s="20" t="n">
        <f aca="false">IF(OR(G924="",G924=0),"",(F924-G924)/G924)</f>
        <v>0</v>
      </c>
      <c r="I924" s="19" t="n">
        <v>94.484855</v>
      </c>
      <c r="J924" s="19" t="n">
        <v>94.484855</v>
      </c>
      <c r="K924" s="20" t="n">
        <f aca="false">IF(OR(J924="",J924=0),"",(I924-J924)/J924)</f>
        <v>0</v>
      </c>
      <c r="L924" s="21" t="str">
        <f aca="false">IF(OR(D924="",G924="",J924=""),"No reported subtotal",IF(AND(ABS(N(E924))&lt;=$D$2,ABS(N(H924))&lt;=$D$2,ABS(N(K924))&lt;=$D$2),"Reconciles within tolerance","Outside tolerance"))</f>
        <v>Reconciles within tolerance</v>
      </c>
    </row>
    <row r="925" customFormat="false" ht="15" hidden="false" customHeight="false" outlineLevel="0" collapsed="false">
      <c r="A925" s="7" t="n">
        <v>2016</v>
      </c>
      <c r="B925" s="15" t="s">
        <v>116</v>
      </c>
      <c r="C925" s="19" t="n">
        <v>48.705748</v>
      </c>
      <c r="D925" s="19" t="n">
        <v>48.705748</v>
      </c>
      <c r="E925" s="20" t="n">
        <f aca="false">IF(OR(D925="",D925=0),"",(C925-D925)/D925)</f>
        <v>0</v>
      </c>
      <c r="F925" s="19" t="n">
        <v>68.095505</v>
      </c>
      <c r="G925" s="19" t="n">
        <v>68.095505</v>
      </c>
      <c r="H925" s="20" t="n">
        <f aca="false">IF(OR(G925="",G925=0),"",(F925-G925)/G925)</f>
        <v>0</v>
      </c>
      <c r="I925" s="19" t="n">
        <v>130.11317</v>
      </c>
      <c r="J925" s="19" t="n">
        <v>130.11317</v>
      </c>
      <c r="K925" s="20" t="n">
        <f aca="false">IF(OR(J925="",J925=0),"",(I925-J925)/J925)</f>
        <v>0</v>
      </c>
      <c r="L925" s="21" t="str">
        <f aca="false">IF(OR(D925="",G925="",J925=""),"No reported subtotal",IF(AND(ABS(N(E925))&lt;=$D$2,ABS(N(H925))&lt;=$D$2,ABS(N(K925))&lt;=$D$2),"Reconciles within tolerance","Outside tolerance"))</f>
        <v>Reconciles within tolerance</v>
      </c>
    </row>
    <row r="926" customFormat="false" ht="15" hidden="false" customHeight="false" outlineLevel="0" collapsed="false">
      <c r="A926" s="7" t="n">
        <v>2017</v>
      </c>
      <c r="B926" s="15" t="s">
        <v>116</v>
      </c>
      <c r="C926" s="19" t="n">
        <v>67.502107</v>
      </c>
      <c r="D926" s="19" t="n">
        <v>67.502107</v>
      </c>
      <c r="E926" s="20" t="n">
        <f aca="false">IF(OR(D926="",D926=0),"",(C926-D926)/D926)</f>
        <v>0</v>
      </c>
      <c r="F926" s="19" t="n">
        <v>72.900611</v>
      </c>
      <c r="G926" s="19" t="n">
        <v>72.900611</v>
      </c>
      <c r="H926" s="20" t="n">
        <f aca="false">IF(OR(G926="",G926=0),"",(F926-G926)/G926)</f>
        <v>0</v>
      </c>
      <c r="I926" s="19" t="n">
        <v>137.615175</v>
      </c>
      <c r="J926" s="19" t="n">
        <v>137.615175</v>
      </c>
      <c r="K926" s="20" t="n">
        <f aca="false">IF(OR(J926="",J926=0),"",(I926-J926)/J926)</f>
        <v>0</v>
      </c>
      <c r="L926" s="21" t="str">
        <f aca="false">IF(OR(D926="",G926="",J926=""),"No reported subtotal",IF(AND(ABS(N(E926))&lt;=$D$2,ABS(N(H926))&lt;=$D$2,ABS(N(K926))&lt;=$D$2),"Reconciles within tolerance","Outside tolerance"))</f>
        <v>Reconciles within tolerance</v>
      </c>
    </row>
    <row r="927" customFormat="false" ht="15" hidden="false" customHeight="false" outlineLevel="0" collapsed="false">
      <c r="A927" s="7" t="n">
        <v>2018</v>
      </c>
      <c r="B927" s="15" t="s">
        <v>116</v>
      </c>
      <c r="C927" s="19" t="n">
        <v>83.936216</v>
      </c>
      <c r="D927" s="19" t="n">
        <v>83.936216</v>
      </c>
      <c r="E927" s="20" t="n">
        <f aca="false">IF(OR(D927="",D927=0),"",(C927-D927)/D927)</f>
        <v>0</v>
      </c>
      <c r="F927" s="19" t="n">
        <v>68.507176</v>
      </c>
      <c r="G927" s="19" t="n">
        <v>68.507176</v>
      </c>
      <c r="H927" s="20" t="n">
        <f aca="false">IF(OR(G927="",G927=0),"",(F927-G927)/G927)</f>
        <v>0</v>
      </c>
      <c r="I927" s="19" t="n">
        <v>203.511574</v>
      </c>
      <c r="J927" s="19" t="n">
        <v>203.511574</v>
      </c>
      <c r="K927" s="20" t="n">
        <f aca="false">IF(OR(J927="",J927=0),"",(I927-J927)/J927)</f>
        <v>0</v>
      </c>
      <c r="L927" s="21" t="str">
        <f aca="false">IF(OR(D927="",G927="",J927=""),"No reported subtotal",IF(AND(ABS(N(E927))&lt;=$D$2,ABS(N(H927))&lt;=$D$2,ABS(N(K927))&lt;=$D$2),"Reconciles within tolerance","Outside tolerance"))</f>
        <v>Reconciles within tolerance</v>
      </c>
    </row>
    <row r="928" customFormat="false" ht="15" hidden="false" customHeight="false" outlineLevel="0" collapsed="false">
      <c r="A928" s="7" t="n">
        <v>2019</v>
      </c>
      <c r="B928" s="15" t="s">
        <v>116</v>
      </c>
      <c r="C928" s="19" t="n">
        <v>85.052881</v>
      </c>
      <c r="D928" s="19" t="n">
        <v>85.052881</v>
      </c>
      <c r="E928" s="20" t="n">
        <f aca="false">IF(OR(D928="",D928=0),"",(C928-D928)/D928)</f>
        <v>0</v>
      </c>
      <c r="F928" s="19" t="n">
        <v>63.755037</v>
      </c>
      <c r="G928" s="19" t="n">
        <v>63.755037</v>
      </c>
      <c r="H928" s="20" t="n">
        <f aca="false">IF(OR(G928="",G928=0),"",(F928-G928)/G928)</f>
        <v>0</v>
      </c>
      <c r="I928" s="19" t="n">
        <v>190.335536</v>
      </c>
      <c r="J928" s="19" t="n">
        <v>190.335536</v>
      </c>
      <c r="K928" s="20" t="n">
        <f aca="false">IF(OR(J928="",J928=0),"",(I928-J928)/J928)</f>
        <v>0</v>
      </c>
      <c r="L928" s="21" t="str">
        <f aca="false">IF(OR(D928="",G928="",J928=""),"No reported subtotal",IF(AND(ABS(N(E928))&lt;=$D$2,ABS(N(H928))&lt;=$D$2,ABS(N(K928))&lt;=$D$2),"Reconciles within tolerance","Outside tolerance"))</f>
        <v>Reconciles within tolerance</v>
      </c>
    </row>
    <row r="929" customFormat="false" ht="15" hidden="false" customHeight="false" outlineLevel="0" collapsed="false">
      <c r="A929" s="7" t="n">
        <v>2020</v>
      </c>
      <c r="B929" s="15" t="s">
        <v>116</v>
      </c>
      <c r="C929" s="19" t="n">
        <v>75.302753</v>
      </c>
      <c r="D929" s="19" t="n">
        <v>75.302753</v>
      </c>
      <c r="E929" s="20" t="n">
        <f aca="false">IF(OR(D929="",D929=0),"",(C929-D929)/D929)</f>
        <v>0</v>
      </c>
      <c r="F929" s="19" t="n">
        <v>66.076012</v>
      </c>
      <c r="G929" s="19" t="n">
        <v>66.076012</v>
      </c>
      <c r="H929" s="20" t="n">
        <f aca="false">IF(OR(G929="",G929=0),"",(F929-G929)/G929)</f>
        <v>0</v>
      </c>
      <c r="I929" s="19" t="n">
        <v>125.859916</v>
      </c>
      <c r="J929" s="19" t="n">
        <v>125.859916</v>
      </c>
      <c r="K929" s="20" t="n">
        <f aca="false">IF(OR(J929="",J929=0),"",(I929-J929)/J929)</f>
        <v>0</v>
      </c>
      <c r="L929" s="21" t="str">
        <f aca="false">IF(OR(D929="",G929="",J929=""),"No reported subtotal",IF(AND(ABS(N(E929))&lt;=$D$2,ABS(N(H929))&lt;=$D$2,ABS(N(K929))&lt;=$D$2),"Reconciles within tolerance","Outside tolerance"))</f>
        <v>Reconciles within tolerance</v>
      </c>
    </row>
    <row r="930" customFormat="false" ht="15" hidden="false" customHeight="false" outlineLevel="0" collapsed="false">
      <c r="A930" s="7" t="n">
        <v>2021</v>
      </c>
      <c r="B930" s="15" t="s">
        <v>116</v>
      </c>
      <c r="C930" s="19" t="n">
        <v>78.243131</v>
      </c>
      <c r="D930" s="19" t="n">
        <v>78.243131</v>
      </c>
      <c r="E930" s="20" t="n">
        <f aca="false">IF(OR(D930="",D930=0),"",(C930-D930)/D930)</f>
        <v>0</v>
      </c>
      <c r="F930" s="19" t="n">
        <v>58.060562</v>
      </c>
      <c r="G930" s="19" t="n">
        <v>58.060562</v>
      </c>
      <c r="H930" s="20" t="n">
        <f aca="false">IF(OR(G930="",G930=0),"",(F930-G930)/G930)</f>
        <v>0</v>
      </c>
      <c r="I930" s="19" t="n">
        <v>134.983206</v>
      </c>
      <c r="J930" s="19" t="n">
        <v>134.983206</v>
      </c>
      <c r="K930" s="20" t="n">
        <f aca="false">IF(OR(J930="",J930=0),"",(I930-J930)/J930)</f>
        <v>0</v>
      </c>
      <c r="L930" s="21" t="str">
        <f aca="false">IF(OR(D930="",G930="",J930=""),"No reported subtotal",IF(AND(ABS(N(E930))&lt;=$D$2,ABS(N(H930))&lt;=$D$2,ABS(N(K930))&lt;=$D$2),"Reconciles within tolerance","Outside tolerance"))</f>
        <v>Reconciles within tolerance</v>
      </c>
    </row>
    <row r="931" customFormat="false" ht="15" hidden="false" customHeight="false" outlineLevel="0" collapsed="false">
      <c r="A931" s="7" t="n">
        <v>2022</v>
      </c>
      <c r="B931" s="15" t="s">
        <v>116</v>
      </c>
      <c r="C931" s="19" t="n">
        <v>112.917189</v>
      </c>
      <c r="D931" s="19" t="n">
        <v>112.917189</v>
      </c>
      <c r="E931" s="20" t="n">
        <f aca="false">IF(OR(D931="",D931=0),"",(C931-D931)/D931)</f>
        <v>0</v>
      </c>
      <c r="F931" s="19" t="n">
        <v>72.571335</v>
      </c>
      <c r="G931" s="19" t="n">
        <v>72.571335</v>
      </c>
      <c r="H931" s="20" t="n">
        <f aca="false">IF(OR(G931="",G931=0),"",(F931-G931)/G931)</f>
        <v>0</v>
      </c>
      <c r="I931" s="19" t="n">
        <v>111.213119</v>
      </c>
      <c r="J931" s="19" t="n">
        <v>111.213119</v>
      </c>
      <c r="K931" s="20" t="n">
        <f aca="false">IF(OR(J931="",J931=0),"",(I931-J931)/J931)</f>
        <v>0</v>
      </c>
      <c r="L931" s="21" t="str">
        <f aca="false">IF(OR(D931="",G931="",J931=""),"No reported subtotal",IF(AND(ABS(N(E931))&lt;=$D$2,ABS(N(H931))&lt;=$D$2,ABS(N(K931))&lt;=$D$2),"Reconciles within tolerance","Outside tolerance"))</f>
        <v>Reconciles within tolerance</v>
      </c>
    </row>
    <row r="932" customFormat="false" ht="15" hidden="false" customHeight="false" outlineLevel="0" collapsed="false">
      <c r="A932" s="7" t="n">
        <v>2023</v>
      </c>
      <c r="B932" s="15" t="s">
        <v>116</v>
      </c>
      <c r="C932" s="19" t="n">
        <v>90.332097</v>
      </c>
      <c r="D932" s="19" t="n">
        <v>90.332097</v>
      </c>
      <c r="E932" s="20" t="n">
        <f aca="false">IF(OR(D932="",D932=0),"",(C932-D932)/D932)</f>
        <v>0</v>
      </c>
      <c r="F932" s="19" t="n">
        <v>73.664006</v>
      </c>
      <c r="G932" s="19" t="n">
        <v>73.664006</v>
      </c>
      <c r="H932" s="20" t="n">
        <f aca="false">IF(OR(G932="",G932=0),"",(F932-G932)/G932)</f>
        <v>0</v>
      </c>
      <c r="I932" s="19" t="n">
        <v>132.792566</v>
      </c>
      <c r="J932" s="19" t="n">
        <v>132.792566</v>
      </c>
      <c r="K932" s="20" t="n">
        <f aca="false">IF(OR(J932="",J932=0),"",(I932-J932)/J932)</f>
        <v>0</v>
      </c>
      <c r="L932" s="21" t="str">
        <f aca="false">IF(OR(D932="",G932="",J932=""),"No reported subtotal",IF(AND(ABS(N(E932))&lt;=$D$2,ABS(N(H932))&lt;=$D$2,ABS(N(K932))&lt;=$D$2),"Reconciles within tolerance","Outside tolerance"))</f>
        <v>Reconciles within tolerance</v>
      </c>
    </row>
    <row r="933" customFormat="false" ht="15" hidden="false" customHeight="false" outlineLevel="0" collapsed="false">
      <c r="A933" s="7" t="n">
        <v>2000</v>
      </c>
      <c r="B933" s="15" t="s">
        <v>155</v>
      </c>
      <c r="C933" s="19" t="n">
        <v>71.58933</v>
      </c>
      <c r="D933" s="19" t="n">
        <v>71.58933</v>
      </c>
      <c r="E933" s="20" t="n">
        <f aca="false">IF(OR(D933="",D933=0),"",(C933-D933)/D933)</f>
        <v>0</v>
      </c>
      <c r="F933" s="19" t="n">
        <v>69.492021</v>
      </c>
      <c r="G933" s="19" t="n">
        <v>69.492021</v>
      </c>
      <c r="H933" s="20" t="n">
        <f aca="false">IF(OR(G933="",G933=0),"",(F933-G933)/G933)</f>
        <v>0</v>
      </c>
      <c r="I933" s="19" t="n">
        <v>151.430269</v>
      </c>
      <c r="J933" s="19" t="n">
        <v>151.430269</v>
      </c>
      <c r="K933" s="20" t="n">
        <f aca="false">IF(OR(J933="",J933=0),"",(I933-J933)/J933)</f>
        <v>0</v>
      </c>
      <c r="L933" s="21" t="str">
        <f aca="false">IF(OR(D933="",G933="",J933=""),"No reported subtotal",IF(AND(ABS(N(E933))&lt;=$D$2,ABS(N(H933))&lt;=$D$2,ABS(N(K933))&lt;=$D$2),"Reconciles within tolerance","Outside tolerance"))</f>
        <v>Reconciles within tolerance</v>
      </c>
    </row>
    <row r="934" customFormat="false" ht="15" hidden="false" customHeight="false" outlineLevel="0" collapsed="false">
      <c r="A934" s="7" t="n">
        <v>2001</v>
      </c>
      <c r="B934" s="15" t="s">
        <v>155</v>
      </c>
      <c r="C934" s="19" t="n">
        <v>71.683385</v>
      </c>
      <c r="D934" s="19" t="n">
        <v>71.683385</v>
      </c>
      <c r="E934" s="20" t="n">
        <f aca="false">IF(OR(D934="",D934=0),"",(C934-D934)/D934)</f>
        <v>0</v>
      </c>
      <c r="F934" s="19" t="n">
        <v>69.319035</v>
      </c>
      <c r="G934" s="19" t="n">
        <v>69.319035</v>
      </c>
      <c r="H934" s="20" t="n">
        <f aca="false">IF(OR(G934="",G934=0),"",(F934-G934)/G934)</f>
        <v>0</v>
      </c>
      <c r="I934" s="19" t="n">
        <v>158.959964</v>
      </c>
      <c r="J934" s="19" t="n">
        <v>158.959964</v>
      </c>
      <c r="K934" s="20" t="n">
        <f aca="false">IF(OR(J934="",J934=0),"",(I934-J934)/J934)</f>
        <v>0</v>
      </c>
      <c r="L934" s="21" t="str">
        <f aca="false">IF(OR(D934="",G934="",J934=""),"No reported subtotal",IF(AND(ABS(N(E934))&lt;=$D$2,ABS(N(H934))&lt;=$D$2,ABS(N(K934))&lt;=$D$2),"Reconciles within tolerance","Outside tolerance"))</f>
        <v>Reconciles within tolerance</v>
      </c>
    </row>
    <row r="935" customFormat="false" ht="15" hidden="false" customHeight="false" outlineLevel="0" collapsed="false">
      <c r="A935" s="7" t="n">
        <v>2002</v>
      </c>
      <c r="B935" s="15" t="s">
        <v>155</v>
      </c>
      <c r="C935" s="19" t="n">
        <v>72.968897</v>
      </c>
      <c r="D935" s="19" t="n">
        <v>72.968897</v>
      </c>
      <c r="E935" s="20" t="n">
        <f aca="false">IF(OR(D935="",D935=0),"",(C935-D935)/D935)</f>
        <v>0</v>
      </c>
      <c r="F935" s="19" t="n">
        <v>75.130968</v>
      </c>
      <c r="G935" s="19" t="n">
        <v>75.130968</v>
      </c>
      <c r="H935" s="20" t="n">
        <f aca="false">IF(OR(G935="",G935=0),"",(F935-G935)/G935)</f>
        <v>0</v>
      </c>
      <c r="I935" s="19" t="n">
        <v>157.220617</v>
      </c>
      <c r="J935" s="19" t="n">
        <v>157.220617</v>
      </c>
      <c r="K935" s="20" t="n">
        <f aca="false">IF(OR(J935="",J935=0),"",(I935-J935)/J935)</f>
        <v>0</v>
      </c>
      <c r="L935" s="21" t="str">
        <f aca="false">IF(OR(D935="",G935="",J935=""),"No reported subtotal",IF(AND(ABS(N(E935))&lt;=$D$2,ABS(N(H935))&lt;=$D$2,ABS(N(K935))&lt;=$D$2),"Reconciles within tolerance","Outside tolerance"))</f>
        <v>Reconciles within tolerance</v>
      </c>
    </row>
    <row r="936" customFormat="false" ht="15" hidden="false" customHeight="false" outlineLevel="0" collapsed="false">
      <c r="A936" s="7" t="n">
        <v>2003</v>
      </c>
      <c r="B936" s="15" t="s">
        <v>155</v>
      </c>
      <c r="C936" s="19" t="n">
        <v>72.423717</v>
      </c>
      <c r="D936" s="19" t="n">
        <v>72.423717</v>
      </c>
      <c r="E936" s="20" t="n">
        <f aca="false">IF(OR(D936="",D936=0),"",(C936-D936)/D936)</f>
        <v>0</v>
      </c>
      <c r="F936" s="19" t="n">
        <v>70.823183</v>
      </c>
      <c r="G936" s="19" t="n">
        <v>70.823183</v>
      </c>
      <c r="H936" s="20" t="n">
        <f aca="false">IF(OR(G936="",G936=0),"",(F936-G936)/G936)</f>
        <v>0</v>
      </c>
      <c r="I936" s="19" t="n">
        <v>176.693647</v>
      </c>
      <c r="J936" s="19" t="n">
        <v>176.693647</v>
      </c>
      <c r="K936" s="20" t="n">
        <f aca="false">IF(OR(J936="",J936=0),"",(I936-J936)/J936)</f>
        <v>0</v>
      </c>
      <c r="L936" s="21" t="str">
        <f aca="false">IF(OR(D936="",G936="",J936=""),"No reported subtotal",IF(AND(ABS(N(E936))&lt;=$D$2,ABS(N(H936))&lt;=$D$2,ABS(N(K936))&lt;=$D$2),"Reconciles within tolerance","Outside tolerance"))</f>
        <v>Reconciles within tolerance</v>
      </c>
    </row>
    <row r="937" customFormat="false" ht="15" hidden="false" customHeight="false" outlineLevel="0" collapsed="false">
      <c r="A937" s="7" t="n">
        <v>2004</v>
      </c>
      <c r="B937" s="15" t="s">
        <v>155</v>
      </c>
      <c r="C937" s="19" t="n">
        <v>65.222303</v>
      </c>
      <c r="D937" s="19" t="n">
        <v>65.222303</v>
      </c>
      <c r="E937" s="20" t="n">
        <f aca="false">IF(OR(D937="",D937=0),"",(C937-D937)/D937)</f>
        <v>0</v>
      </c>
      <c r="F937" s="19" t="n">
        <v>61.497391</v>
      </c>
      <c r="G937" s="19" t="n">
        <v>61.497391</v>
      </c>
      <c r="H937" s="20" t="n">
        <f aca="false">IF(OR(G937="",G937=0),"",(F937-G937)/G937)</f>
        <v>0</v>
      </c>
      <c r="I937" s="19" t="n">
        <v>155.071499</v>
      </c>
      <c r="J937" s="19" t="n">
        <v>155.071499</v>
      </c>
      <c r="K937" s="20" t="n">
        <f aca="false">IF(OR(J937="",J937=0),"",(I937-J937)/J937)</f>
        <v>0</v>
      </c>
      <c r="L937" s="21" t="str">
        <f aca="false">IF(OR(D937="",G937="",J937=""),"No reported subtotal",IF(AND(ABS(N(E937))&lt;=$D$2,ABS(N(H937))&lt;=$D$2,ABS(N(K937))&lt;=$D$2),"Reconciles within tolerance","Outside tolerance"))</f>
        <v>Reconciles within tolerance</v>
      </c>
    </row>
    <row r="938" customFormat="false" ht="15" hidden="false" customHeight="false" outlineLevel="0" collapsed="false">
      <c r="A938" s="7" t="n">
        <v>2005</v>
      </c>
      <c r="B938" s="15" t="s">
        <v>155</v>
      </c>
      <c r="C938" s="19" t="n">
        <v>67.158161</v>
      </c>
      <c r="D938" s="19" t="n">
        <v>67.158161</v>
      </c>
      <c r="E938" s="20" t="n">
        <f aca="false">IF(OR(D938="",D938=0),"",(C938-D938)/D938)</f>
        <v>0</v>
      </c>
      <c r="F938" s="19" t="n">
        <v>71.985715</v>
      </c>
      <c r="G938" s="19" t="n">
        <v>71.985715</v>
      </c>
      <c r="H938" s="20" t="n">
        <f aca="false">IF(OR(G938="",G938=0),"",(F938-G938)/G938)</f>
        <v>0</v>
      </c>
      <c r="I938" s="19" t="n">
        <v>162.93994</v>
      </c>
      <c r="J938" s="19" t="n">
        <v>162.93994</v>
      </c>
      <c r="K938" s="20" t="n">
        <f aca="false">IF(OR(J938="",J938=0),"",(I938-J938)/J938)</f>
        <v>0</v>
      </c>
      <c r="L938" s="21" t="str">
        <f aca="false">IF(OR(D938="",G938="",J938=""),"No reported subtotal",IF(AND(ABS(N(E938))&lt;=$D$2,ABS(N(H938))&lt;=$D$2,ABS(N(K938))&lt;=$D$2),"Reconciles within tolerance","Outside tolerance"))</f>
        <v>Reconciles within tolerance</v>
      </c>
    </row>
    <row r="939" customFormat="false" ht="15" hidden="false" customHeight="false" outlineLevel="0" collapsed="false">
      <c r="A939" s="7" t="n">
        <v>2006</v>
      </c>
      <c r="B939" s="15" t="s">
        <v>155</v>
      </c>
      <c r="C939" s="19" t="n">
        <v>70.100467</v>
      </c>
      <c r="D939" s="19" t="n">
        <v>70.100467</v>
      </c>
      <c r="E939" s="20" t="n">
        <f aca="false">IF(OR(D939="",D939=0),"",(C939-D939)/D939)</f>
        <v>0</v>
      </c>
      <c r="F939" s="19" t="n">
        <v>78.493068</v>
      </c>
      <c r="G939" s="19" t="n">
        <v>78.493068</v>
      </c>
      <c r="H939" s="20" t="n">
        <f aca="false">IF(OR(G939="",G939=0),"",(F939-G939)/G939)</f>
        <v>0</v>
      </c>
      <c r="I939" s="19" t="n">
        <v>176.198152</v>
      </c>
      <c r="J939" s="19" t="n">
        <v>176.198152</v>
      </c>
      <c r="K939" s="20" t="n">
        <f aca="false">IF(OR(J939="",J939=0),"",(I939-J939)/J939)</f>
        <v>0</v>
      </c>
      <c r="L939" s="21" t="str">
        <f aca="false">IF(OR(D939="",G939="",J939=""),"No reported subtotal",IF(AND(ABS(N(E939))&lt;=$D$2,ABS(N(H939))&lt;=$D$2,ABS(N(K939))&lt;=$D$2),"Reconciles within tolerance","Outside tolerance"))</f>
        <v>Reconciles within tolerance</v>
      </c>
    </row>
    <row r="940" customFormat="false" ht="15" hidden="false" customHeight="false" outlineLevel="0" collapsed="false">
      <c r="A940" s="7" t="n">
        <v>2007</v>
      </c>
      <c r="B940" s="15" t="s">
        <v>155</v>
      </c>
      <c r="C940" s="19" t="n">
        <v>73.13665</v>
      </c>
      <c r="D940" s="19" t="n">
        <v>73.13665</v>
      </c>
      <c r="E940" s="20" t="n">
        <f aca="false">IF(OR(D940="",D940=0),"",(C940-D940)/D940)</f>
        <v>0</v>
      </c>
      <c r="F940" s="19" t="n">
        <v>78.756553</v>
      </c>
      <c r="G940" s="19" t="n">
        <v>78.756553</v>
      </c>
      <c r="H940" s="20" t="n">
        <f aca="false">IF(OR(G940="",G940=0),"",(F940-G940)/G940)</f>
        <v>0</v>
      </c>
      <c r="I940" s="19" t="n">
        <v>168.79718</v>
      </c>
      <c r="J940" s="19" t="n">
        <v>168.79718</v>
      </c>
      <c r="K940" s="20" t="n">
        <f aca="false">IF(OR(J940="",J940=0),"",(I940-J940)/J940)</f>
        <v>0</v>
      </c>
      <c r="L940" s="21" t="str">
        <f aca="false">IF(OR(D940="",G940="",J940=""),"No reported subtotal",IF(AND(ABS(N(E940))&lt;=$D$2,ABS(N(H940))&lt;=$D$2,ABS(N(K940))&lt;=$D$2),"Reconciles within tolerance","Outside tolerance"))</f>
        <v>Reconciles within tolerance</v>
      </c>
    </row>
    <row r="941" customFormat="false" ht="15" hidden="false" customHeight="false" outlineLevel="0" collapsed="false">
      <c r="A941" s="7" t="n">
        <v>2008</v>
      </c>
      <c r="B941" s="15" t="s">
        <v>155</v>
      </c>
      <c r="C941" s="19" t="n">
        <v>91.488259</v>
      </c>
      <c r="D941" s="19" t="n">
        <v>91.488259</v>
      </c>
      <c r="E941" s="20" t="n">
        <f aca="false">IF(OR(D941="",D941=0),"",(C941-D941)/D941)</f>
        <v>0</v>
      </c>
      <c r="F941" s="19" t="n">
        <v>145.801732</v>
      </c>
      <c r="G941" s="19" t="n">
        <v>145.801732</v>
      </c>
      <c r="H941" s="20" t="n">
        <f aca="false">IF(OR(G941="",G941=0),"",(F941-G941)/G941)</f>
        <v>0</v>
      </c>
      <c r="I941" s="19" t="n">
        <v>157.0996</v>
      </c>
      <c r="J941" s="19" t="n">
        <v>157.0996</v>
      </c>
      <c r="K941" s="20" t="n">
        <f aca="false">IF(OR(J941="",J941=0),"",(I941-J941)/J941)</f>
        <v>0</v>
      </c>
      <c r="L941" s="21" t="str">
        <f aca="false">IF(OR(D941="",G941="",J941=""),"No reported subtotal",IF(AND(ABS(N(E941))&lt;=$D$2,ABS(N(H941))&lt;=$D$2,ABS(N(K941))&lt;=$D$2),"Reconciles within tolerance","Outside tolerance"))</f>
        <v>Reconciles within tolerance</v>
      </c>
    </row>
    <row r="942" customFormat="false" ht="15" hidden="false" customHeight="false" outlineLevel="0" collapsed="false">
      <c r="A942" s="7" t="n">
        <v>2009</v>
      </c>
      <c r="B942" s="15" t="s">
        <v>155</v>
      </c>
      <c r="C942" s="19" t="n">
        <v>81.73798</v>
      </c>
      <c r="D942" s="19" t="n">
        <v>81.73798</v>
      </c>
      <c r="E942" s="20" t="n">
        <f aca="false">IF(OR(D942="",D942=0),"",(C942-D942)/D942)</f>
        <v>0</v>
      </c>
      <c r="F942" s="19" t="n">
        <v>101.918098</v>
      </c>
      <c r="G942" s="19" t="n">
        <v>101.918098</v>
      </c>
      <c r="H942" s="20" t="n">
        <f aca="false">IF(OR(G942="",G942=0),"",(F942-G942)/G942)</f>
        <v>0</v>
      </c>
      <c r="I942" s="19" t="n">
        <v>146.773266</v>
      </c>
      <c r="J942" s="19" t="n">
        <v>146.773266</v>
      </c>
      <c r="K942" s="20" t="n">
        <f aca="false">IF(OR(J942="",J942=0),"",(I942-J942)/J942)</f>
        <v>0</v>
      </c>
      <c r="L942" s="21" t="str">
        <f aca="false">IF(OR(D942="",G942="",J942=""),"No reported subtotal",IF(AND(ABS(N(E942))&lt;=$D$2,ABS(N(H942))&lt;=$D$2,ABS(N(K942))&lt;=$D$2),"Reconciles within tolerance","Outside tolerance"))</f>
        <v>Reconciles within tolerance</v>
      </c>
    </row>
    <row r="943" customFormat="false" ht="15" hidden="false" customHeight="false" outlineLevel="0" collapsed="false">
      <c r="A943" s="7" t="n">
        <v>2010</v>
      </c>
      <c r="B943" s="15" t="s">
        <v>155</v>
      </c>
      <c r="C943" s="19" t="n">
        <v>89.884165</v>
      </c>
      <c r="D943" s="19" t="n">
        <v>89.884165</v>
      </c>
      <c r="E943" s="20" t="n">
        <f aca="false">IF(OR(D943="",D943=0),"",(C943-D943)/D943)</f>
        <v>0</v>
      </c>
      <c r="F943" s="19" t="n">
        <v>133.071879</v>
      </c>
      <c r="G943" s="19" t="n">
        <v>133.071879</v>
      </c>
      <c r="H943" s="20" t="n">
        <f aca="false">IF(OR(G943="",G943=0),"",(F943-G943)/G943)</f>
        <v>0</v>
      </c>
      <c r="I943" s="19" t="n">
        <v>136.456767</v>
      </c>
      <c r="J943" s="19" t="n">
        <v>136.456767</v>
      </c>
      <c r="K943" s="20" t="n">
        <f aca="false">IF(OR(J943="",J943=0),"",(I943-J943)/J943)</f>
        <v>0</v>
      </c>
      <c r="L943" s="21" t="str">
        <f aca="false">IF(OR(D943="",G943="",J943=""),"No reported subtotal",IF(AND(ABS(N(E943))&lt;=$D$2,ABS(N(H943))&lt;=$D$2,ABS(N(K943))&lt;=$D$2),"Reconciles within tolerance","Outside tolerance"))</f>
        <v>Reconciles within tolerance</v>
      </c>
    </row>
    <row r="944" customFormat="false" ht="15" hidden="false" customHeight="false" outlineLevel="0" collapsed="false">
      <c r="A944" s="7" t="n">
        <v>2011</v>
      </c>
      <c r="B944" s="15" t="s">
        <v>155</v>
      </c>
      <c r="C944" s="19" t="n">
        <v>94.070178</v>
      </c>
      <c r="D944" s="19" t="n">
        <v>94.070178</v>
      </c>
      <c r="E944" s="20" t="n">
        <f aca="false">IF(OR(D944="",D944=0),"",(C944-D944)/D944)</f>
        <v>0</v>
      </c>
      <c r="F944" s="19" t="n">
        <v>132.4947</v>
      </c>
      <c r="G944" s="19" t="n">
        <v>132.4947</v>
      </c>
      <c r="H944" s="20" t="n">
        <f aca="false">IF(OR(G944="",G944=0),"",(F944-G944)/G944)</f>
        <v>0</v>
      </c>
      <c r="I944" s="19" t="n">
        <v>157.155139</v>
      </c>
      <c r="J944" s="19" t="n">
        <v>157.155139</v>
      </c>
      <c r="K944" s="20" t="n">
        <f aca="false">IF(OR(J944="",J944=0),"",(I944-J944)/J944)</f>
        <v>0</v>
      </c>
      <c r="L944" s="21" t="str">
        <f aca="false">IF(OR(D944="",G944="",J944=""),"No reported subtotal",IF(AND(ABS(N(E944))&lt;=$D$2,ABS(N(H944))&lt;=$D$2,ABS(N(K944))&lt;=$D$2),"Reconciles within tolerance","Outside tolerance"))</f>
        <v>Reconciles within tolerance</v>
      </c>
    </row>
    <row r="945" customFormat="false" ht="15" hidden="false" customHeight="false" outlineLevel="0" collapsed="false">
      <c r="A945" s="7" t="n">
        <v>2012</v>
      </c>
      <c r="B945" s="15" t="s">
        <v>155</v>
      </c>
      <c r="C945" s="19" t="n">
        <v>91.142009</v>
      </c>
      <c r="D945" s="19" t="n">
        <v>91.142009</v>
      </c>
      <c r="E945" s="20" t="n">
        <f aca="false">IF(OR(D945="",D945=0),"",(C945-D945)/D945)</f>
        <v>0</v>
      </c>
      <c r="F945" s="19" t="n">
        <v>7.146178</v>
      </c>
      <c r="G945" s="19" t="n">
        <v>7.146178</v>
      </c>
      <c r="H945" s="20" t="n">
        <f aca="false">IF(OR(G945="",G945=0),"",(F945-G945)/G945)</f>
        <v>0</v>
      </c>
      <c r="I945" s="19" t="n">
        <v>180.454378</v>
      </c>
      <c r="J945" s="19" t="n">
        <v>180.454378</v>
      </c>
      <c r="K945" s="20" t="n">
        <f aca="false">IF(OR(J945="",J945=0),"",(I945-J945)/J945)</f>
        <v>0</v>
      </c>
      <c r="L945" s="21" t="str">
        <f aca="false">IF(OR(D945="",G945="",J945=""),"No reported subtotal",IF(AND(ABS(N(E945))&lt;=$D$2,ABS(N(H945))&lt;=$D$2,ABS(N(K945))&lt;=$D$2),"Reconciles within tolerance","Outside tolerance"))</f>
        <v>Reconciles within tolerance</v>
      </c>
    </row>
    <row r="946" customFormat="false" ht="15" hidden="false" customHeight="false" outlineLevel="0" collapsed="false">
      <c r="A946" s="7" t="n">
        <v>2013</v>
      </c>
      <c r="B946" s="15" t="s">
        <v>155</v>
      </c>
      <c r="C946" s="19" t="n">
        <v>92.451789</v>
      </c>
      <c r="D946" s="19" t="n">
        <v>92.451789</v>
      </c>
      <c r="E946" s="20" t="n">
        <f aca="false">IF(OR(D946="",D946=0),"",(C946-D946)/D946)</f>
        <v>0</v>
      </c>
      <c r="F946" s="19" t="n">
        <v>105.702636</v>
      </c>
      <c r="G946" s="19" t="n">
        <v>105.702636</v>
      </c>
      <c r="H946" s="20" t="n">
        <f aca="false">IF(OR(G946="",G946=0),"",(F946-G946)/G946)</f>
        <v>0</v>
      </c>
      <c r="I946" s="19" t="n">
        <v>190.113047</v>
      </c>
      <c r="J946" s="19" t="n">
        <v>190.113047</v>
      </c>
      <c r="K946" s="20" t="n">
        <f aca="false">IF(OR(J946="",J946=0),"",(I946-J946)/J946)</f>
        <v>0</v>
      </c>
      <c r="L946" s="21" t="str">
        <f aca="false">IF(OR(D946="",G946="",J946=""),"No reported subtotal",IF(AND(ABS(N(E946))&lt;=$D$2,ABS(N(H946))&lt;=$D$2,ABS(N(K946))&lt;=$D$2),"Reconciles within tolerance","Outside tolerance"))</f>
        <v>Reconciles within tolerance</v>
      </c>
    </row>
    <row r="947" customFormat="false" ht="15" hidden="false" customHeight="false" outlineLevel="0" collapsed="false">
      <c r="A947" s="7" t="n">
        <v>2014</v>
      </c>
      <c r="B947" s="15" t="s">
        <v>155</v>
      </c>
      <c r="C947" s="19" t="n">
        <v>80.130744</v>
      </c>
      <c r="D947" s="19" t="n">
        <v>80.130744</v>
      </c>
      <c r="E947" s="20" t="n">
        <f aca="false">IF(OR(D947="",D947=0),"",(C947-D947)/D947)</f>
        <v>0</v>
      </c>
      <c r="F947" s="19" t="n">
        <v>103.648228</v>
      </c>
      <c r="G947" s="19" t="n">
        <v>103.648228</v>
      </c>
      <c r="H947" s="20" t="n">
        <f aca="false">IF(OR(G947="",G947=0),"",(F947-G947)/G947)</f>
        <v>0</v>
      </c>
      <c r="I947" s="19" t="n">
        <v>216.010361</v>
      </c>
      <c r="J947" s="19" t="n">
        <v>216.010361</v>
      </c>
      <c r="K947" s="20" t="n">
        <f aca="false">IF(OR(J947="",J947=0),"",(I947-J947)/J947)</f>
        <v>0</v>
      </c>
      <c r="L947" s="21" t="str">
        <f aca="false">IF(OR(D947="",G947="",J947=""),"No reported subtotal",IF(AND(ABS(N(E947))&lt;=$D$2,ABS(N(H947))&lt;=$D$2,ABS(N(K947))&lt;=$D$2),"Reconciles within tolerance","Outside tolerance"))</f>
        <v>Reconciles within tolerance</v>
      </c>
    </row>
    <row r="948" customFormat="false" ht="15" hidden="false" customHeight="false" outlineLevel="0" collapsed="false">
      <c r="A948" s="7" t="n">
        <v>2015</v>
      </c>
      <c r="B948" s="15" t="s">
        <v>155</v>
      </c>
      <c r="C948" s="19" t="n">
        <v>80.602343</v>
      </c>
      <c r="D948" s="19" t="n">
        <v>80.602343</v>
      </c>
      <c r="E948" s="20" t="n">
        <f aca="false">IF(OR(D948="",D948=0),"",(C948-D948)/D948)</f>
        <v>0</v>
      </c>
      <c r="F948" s="19" t="n">
        <v>119.892426</v>
      </c>
      <c r="G948" s="19" t="n">
        <v>119.892426</v>
      </c>
      <c r="H948" s="20" t="n">
        <f aca="false">IF(OR(G948="",G948=0),"",(F948-G948)/G948)</f>
        <v>0</v>
      </c>
      <c r="I948" s="19" t="n">
        <v>238.644336</v>
      </c>
      <c r="J948" s="19" t="n">
        <v>238.644336</v>
      </c>
      <c r="K948" s="20" t="n">
        <f aca="false">IF(OR(J948="",J948=0),"",(I948-J948)/J948)</f>
        <v>0</v>
      </c>
      <c r="L948" s="21" t="str">
        <f aca="false">IF(OR(D948="",G948="",J948=""),"No reported subtotal",IF(AND(ABS(N(E948))&lt;=$D$2,ABS(N(H948))&lt;=$D$2,ABS(N(K948))&lt;=$D$2),"Reconciles within tolerance","Outside tolerance"))</f>
        <v>Reconciles within tolerance</v>
      </c>
    </row>
    <row r="949" customFormat="false" ht="15" hidden="false" customHeight="false" outlineLevel="0" collapsed="false">
      <c r="A949" s="7" t="n">
        <v>2016</v>
      </c>
      <c r="B949" s="15" t="s">
        <v>155</v>
      </c>
      <c r="C949" s="19" t="n">
        <v>92.874207</v>
      </c>
      <c r="D949" s="19" t="n">
        <v>92.874207</v>
      </c>
      <c r="E949" s="20" t="n">
        <f aca="false">IF(OR(D949="",D949=0),"",(C949-D949)/D949)</f>
        <v>0</v>
      </c>
      <c r="F949" s="19" t="n">
        <v>100.418856</v>
      </c>
      <c r="G949" s="19" t="n">
        <v>100.418856</v>
      </c>
      <c r="H949" s="20" t="n">
        <f aca="false">IF(OR(G949="",G949=0),"",(F949-G949)/G949)</f>
        <v>0</v>
      </c>
      <c r="I949" s="19" t="n">
        <v>252.001758</v>
      </c>
      <c r="J949" s="19" t="n">
        <v>252.001758</v>
      </c>
      <c r="K949" s="20" t="n">
        <f aca="false">IF(OR(J949="",J949=0),"",(I949-J949)/J949)</f>
        <v>0</v>
      </c>
      <c r="L949" s="21" t="str">
        <f aca="false">IF(OR(D949="",G949="",J949=""),"No reported subtotal",IF(AND(ABS(N(E949))&lt;=$D$2,ABS(N(H949))&lt;=$D$2,ABS(N(K949))&lt;=$D$2),"Reconciles within tolerance","Outside tolerance"))</f>
        <v>Reconciles within tolerance</v>
      </c>
    </row>
    <row r="950" customFormat="false" ht="15" hidden="false" customHeight="false" outlineLevel="0" collapsed="false">
      <c r="A950" s="7" t="n">
        <v>2017</v>
      </c>
      <c r="B950" s="15" t="s">
        <v>155</v>
      </c>
      <c r="C950" s="19" t="n">
        <v>78.375895</v>
      </c>
      <c r="D950" s="19" t="n">
        <v>78.375895</v>
      </c>
      <c r="E950" s="20" t="n">
        <f aca="false">IF(OR(D950="",D950=0),"",(C950-D950)/D950)</f>
        <v>0</v>
      </c>
      <c r="F950" s="19" t="n">
        <v>98.498734</v>
      </c>
      <c r="G950" s="19" t="n">
        <v>98.498734</v>
      </c>
      <c r="H950" s="20" t="n">
        <f aca="false">IF(OR(G950="",G950=0),"",(F950-G950)/G950)</f>
        <v>0</v>
      </c>
      <c r="I950" s="19" t="n">
        <v>287.16356</v>
      </c>
      <c r="J950" s="19" t="n">
        <v>287.16356</v>
      </c>
      <c r="K950" s="20" t="n">
        <f aca="false">IF(OR(J950="",J950=0),"",(I950-J950)/J950)</f>
        <v>0</v>
      </c>
      <c r="L950" s="21" t="str">
        <f aca="false">IF(OR(D950="",G950="",J950=""),"No reported subtotal",IF(AND(ABS(N(E950))&lt;=$D$2,ABS(N(H950))&lt;=$D$2,ABS(N(K950))&lt;=$D$2),"Reconciles within tolerance","Outside tolerance"))</f>
        <v>Reconciles within tolerance</v>
      </c>
    </row>
    <row r="951" customFormat="false" ht="15" hidden="false" customHeight="false" outlineLevel="0" collapsed="false">
      <c r="A951" s="7" t="n">
        <v>2018</v>
      </c>
      <c r="B951" s="15" t="s">
        <v>155</v>
      </c>
      <c r="C951" s="19" t="n">
        <v>79.197247</v>
      </c>
      <c r="D951" s="19" t="n">
        <v>79.197247</v>
      </c>
      <c r="E951" s="20" t="n">
        <f aca="false">IF(OR(D951="",D951=0),"",(C951-D951)/D951)</f>
        <v>0</v>
      </c>
      <c r="F951" s="19" t="n">
        <v>114.874678</v>
      </c>
      <c r="G951" s="19" t="n">
        <v>114.874678</v>
      </c>
      <c r="H951" s="20" t="n">
        <f aca="false">IF(OR(G951="",G951=0),"",(F951-G951)/G951)</f>
        <v>0</v>
      </c>
      <c r="I951" s="19" t="n">
        <v>288.385377</v>
      </c>
      <c r="J951" s="19" t="n">
        <v>288.385377</v>
      </c>
      <c r="K951" s="20" t="n">
        <f aca="false">IF(OR(J951="",J951=0),"",(I951-J951)/J951)</f>
        <v>0</v>
      </c>
      <c r="L951" s="21" t="str">
        <f aca="false">IF(OR(D951="",G951="",J951=""),"No reported subtotal",IF(AND(ABS(N(E951))&lt;=$D$2,ABS(N(H951))&lt;=$D$2,ABS(N(K951))&lt;=$D$2),"Reconciles within tolerance","Outside tolerance"))</f>
        <v>Reconciles within tolerance</v>
      </c>
    </row>
    <row r="952" customFormat="false" ht="15" hidden="false" customHeight="false" outlineLevel="0" collapsed="false">
      <c r="A952" s="7" t="n">
        <v>2019</v>
      </c>
      <c r="B952" s="15" t="s">
        <v>155</v>
      </c>
      <c r="C952" s="19" t="n">
        <v>79.6709</v>
      </c>
      <c r="D952" s="19" t="n">
        <v>79.6709</v>
      </c>
      <c r="E952" s="20" t="n">
        <f aca="false">IF(OR(D952="",D952=0),"",(C952-D952)/D952)</f>
        <v>0</v>
      </c>
      <c r="F952" s="19" t="n">
        <v>108.47317</v>
      </c>
      <c r="G952" s="19" t="n">
        <v>108.47317</v>
      </c>
      <c r="H952" s="20" t="n">
        <f aca="false">IF(OR(G952="",G952=0),"",(F952-G952)/G952)</f>
        <v>0</v>
      </c>
      <c r="I952" s="19" t="n">
        <v>285.465741</v>
      </c>
      <c r="J952" s="19" t="n">
        <v>285.465741</v>
      </c>
      <c r="K952" s="20" t="n">
        <f aca="false">IF(OR(J952="",J952=0),"",(I952-J952)/J952)</f>
        <v>0</v>
      </c>
      <c r="L952" s="21" t="str">
        <f aca="false">IF(OR(D952="",G952="",J952=""),"No reported subtotal",IF(AND(ABS(N(E952))&lt;=$D$2,ABS(N(H952))&lt;=$D$2,ABS(N(K952))&lt;=$D$2),"Reconciles within tolerance","Outside tolerance"))</f>
        <v>Reconciles within tolerance</v>
      </c>
    </row>
    <row r="953" customFormat="false" ht="15" hidden="false" customHeight="false" outlineLevel="0" collapsed="false">
      <c r="A953" s="7" t="n">
        <v>2020</v>
      </c>
      <c r="B953" s="15" t="s">
        <v>155</v>
      </c>
      <c r="C953" s="19" t="n">
        <v>65.80055</v>
      </c>
      <c r="D953" s="19" t="n">
        <v>65.80055</v>
      </c>
      <c r="E953" s="20" t="n">
        <f aca="false">IF(OR(D953="",D953=0),"",(C953-D953)/D953)</f>
        <v>0</v>
      </c>
      <c r="F953" s="19" t="n">
        <v>78.41957</v>
      </c>
      <c r="G953" s="19" t="n">
        <v>78.41957</v>
      </c>
      <c r="H953" s="20" t="n">
        <f aca="false">IF(OR(G953="",G953=0),"",(F953-G953)/G953)</f>
        <v>0</v>
      </c>
      <c r="I953" s="19" t="n">
        <v>297.758313</v>
      </c>
      <c r="J953" s="19" t="n">
        <v>297.758313</v>
      </c>
      <c r="K953" s="20" t="n">
        <f aca="false">IF(OR(J953="",J953=0),"",(I953-J953)/J953)</f>
        <v>0</v>
      </c>
      <c r="L953" s="21" t="str">
        <f aca="false">IF(OR(D953="",G953="",J953=""),"No reported subtotal",IF(AND(ABS(N(E953))&lt;=$D$2,ABS(N(H953))&lt;=$D$2,ABS(N(K953))&lt;=$D$2),"Reconciles within tolerance","Outside tolerance"))</f>
        <v>Reconciles within tolerance</v>
      </c>
    </row>
    <row r="954" customFormat="false" ht="15" hidden="false" customHeight="false" outlineLevel="0" collapsed="false">
      <c r="A954" s="7" t="n">
        <v>2021</v>
      </c>
      <c r="B954" s="15" t="s">
        <v>155</v>
      </c>
      <c r="C954" s="19" t="n">
        <v>80.781324</v>
      </c>
      <c r="D954" s="19" t="n">
        <v>80.781324</v>
      </c>
      <c r="E954" s="20" t="n">
        <f aca="false">IF(OR(D954="",D954=0),"",(C954-D954)/D954)</f>
        <v>0</v>
      </c>
      <c r="F954" s="19" t="n">
        <v>83.073596</v>
      </c>
      <c r="G954" s="19" t="n">
        <v>83.073596</v>
      </c>
      <c r="H954" s="20" t="n">
        <f aca="false">IF(OR(G954="",G954=0),"",(F954-G954)/G954)</f>
        <v>0</v>
      </c>
      <c r="I954" s="19" t="n">
        <v>291.949771</v>
      </c>
      <c r="J954" s="19" t="n">
        <v>291.949771</v>
      </c>
      <c r="K954" s="20" t="n">
        <f aca="false">IF(OR(J954="",J954=0),"",(I954-J954)/J954)</f>
        <v>0</v>
      </c>
      <c r="L954" s="21" t="str">
        <f aca="false">IF(OR(D954="",G954="",J954=""),"No reported subtotal",IF(AND(ABS(N(E954))&lt;=$D$2,ABS(N(H954))&lt;=$D$2,ABS(N(K954))&lt;=$D$2),"Reconciles within tolerance","Outside tolerance"))</f>
        <v>Reconciles within tolerance</v>
      </c>
    </row>
    <row r="955" customFormat="false" ht="15" hidden="false" customHeight="false" outlineLevel="0" collapsed="false">
      <c r="A955" s="7" t="n">
        <v>2022</v>
      </c>
      <c r="B955" s="15" t="s">
        <v>155</v>
      </c>
      <c r="C955" s="19" t="n">
        <v>94.440853</v>
      </c>
      <c r="D955" s="19" t="n">
        <v>94.440853</v>
      </c>
      <c r="E955" s="20" t="n">
        <f aca="false">IF(OR(D955="",D955=0),"",(C955-D955)/D955)</f>
        <v>0</v>
      </c>
      <c r="F955" s="19" t="n">
        <v>88.616041</v>
      </c>
      <c r="G955" s="19" t="n">
        <v>88.616041</v>
      </c>
      <c r="H955" s="20" t="n">
        <f aca="false">IF(OR(G955="",G955=0),"",(F955-G955)/G955)</f>
        <v>0</v>
      </c>
      <c r="I955" s="19" t="n">
        <v>285.599708</v>
      </c>
      <c r="J955" s="19" t="n">
        <v>285.599708</v>
      </c>
      <c r="K955" s="20" t="n">
        <f aca="false">IF(OR(J955="",J955=0),"",(I955-J955)/J955)</f>
        <v>0</v>
      </c>
      <c r="L955" s="21" t="str">
        <f aca="false">IF(OR(D955="",G955="",J955=""),"No reported subtotal",IF(AND(ABS(N(E955))&lt;=$D$2,ABS(N(H955))&lt;=$D$2,ABS(N(K955))&lt;=$D$2),"Reconciles within tolerance","Outside tolerance"))</f>
        <v>Reconciles within tolerance</v>
      </c>
    </row>
    <row r="956" customFormat="false" ht="15" hidden="false" customHeight="false" outlineLevel="0" collapsed="false">
      <c r="A956" s="7" t="n">
        <v>2023</v>
      </c>
      <c r="B956" s="15" t="s">
        <v>155</v>
      </c>
      <c r="C956" s="19" t="n">
        <v>88.33853</v>
      </c>
      <c r="D956" s="19" t="n">
        <v>88.33853</v>
      </c>
      <c r="E956" s="20" t="n">
        <f aca="false">IF(OR(D956="",D956=0),"",(C956-D956)/D956)</f>
        <v>0</v>
      </c>
      <c r="F956" s="19" t="n">
        <v>92.667314</v>
      </c>
      <c r="G956" s="19" t="n">
        <v>92.667314</v>
      </c>
      <c r="H956" s="20" t="n">
        <f aca="false">IF(OR(G956="",G956=0),"",(F956-G956)/G956)</f>
        <v>0</v>
      </c>
      <c r="I956" s="19" t="n">
        <v>323.079268</v>
      </c>
      <c r="J956" s="19" t="n">
        <v>323.079268</v>
      </c>
      <c r="K956" s="20" t="n">
        <f aca="false">IF(OR(J956="",J956=0),"",(I956-J956)/J956)</f>
        <v>0</v>
      </c>
      <c r="L956" s="21" t="str">
        <f aca="false">IF(OR(D956="",G956="",J956=""),"No reported subtotal",IF(AND(ABS(N(E956))&lt;=$D$2,ABS(N(H956))&lt;=$D$2,ABS(N(K956))&lt;=$D$2),"Reconciles within tolerance","Outside tolerance"))</f>
        <v>Reconciles within tolerance</v>
      </c>
    </row>
    <row r="957" customFormat="false" ht="15" hidden="false" customHeight="false" outlineLevel="0" collapsed="false">
      <c r="A957" s="7" t="n">
        <v>2024</v>
      </c>
      <c r="B957" s="15" t="s">
        <v>155</v>
      </c>
      <c r="C957" s="19" t="n">
        <v>89.085158</v>
      </c>
      <c r="D957" s="19" t="n">
        <v>89.085158</v>
      </c>
      <c r="E957" s="20" t="n">
        <f aca="false">IF(OR(D957="",D957=0),"",(C957-D957)/D957)</f>
        <v>0</v>
      </c>
      <c r="F957" s="19" t="n">
        <v>98.248359</v>
      </c>
      <c r="G957" s="19" t="n">
        <v>98.248359</v>
      </c>
      <c r="H957" s="20" t="n">
        <f aca="false">IF(OR(G957="",G957=0),"",(F957-G957)/G957)</f>
        <v>0</v>
      </c>
      <c r="I957" s="19" t="n">
        <v>455.19367</v>
      </c>
      <c r="J957" s="19" t="n">
        <v>455.19367</v>
      </c>
      <c r="K957" s="20" t="n">
        <f aca="false">IF(OR(J957="",J957=0),"",(I957-J957)/J957)</f>
        <v>0</v>
      </c>
      <c r="L957" s="21" t="str">
        <f aca="false">IF(OR(D957="",G957="",J957=""),"No reported subtotal",IF(AND(ABS(N(E957))&lt;=$D$2,ABS(N(H957))&lt;=$D$2,ABS(N(K957))&lt;=$D$2),"Reconciles within tolerance","Outside tolerance"))</f>
        <v>Reconciles within tolerance</v>
      </c>
    </row>
    <row r="958" customFormat="false" ht="15" hidden="false" customHeight="false" outlineLevel="0" collapsed="false">
      <c r="A958" s="7" t="n">
        <v>2025</v>
      </c>
      <c r="B958" s="15" t="s">
        <v>155</v>
      </c>
      <c r="C958" s="19" t="n">
        <v>108.179565</v>
      </c>
      <c r="D958" s="19" t="n">
        <v>108.179565</v>
      </c>
      <c r="E958" s="20" t="n">
        <f aca="false">IF(OR(D958="",D958=0),"",(C958-D958)/D958)</f>
        <v>0</v>
      </c>
      <c r="F958" s="19" t="n">
        <v>133.107294</v>
      </c>
      <c r="G958" s="19" t="n">
        <v>133.107294</v>
      </c>
      <c r="H958" s="20" t="n">
        <f aca="false">IF(OR(G958="",G958=0),"",(F958-G958)/G958)</f>
        <v>0</v>
      </c>
      <c r="I958" s="19" t="n">
        <v>513.66815</v>
      </c>
      <c r="J958" s="19" t="n">
        <v>513.66815</v>
      </c>
      <c r="K958" s="20" t="n">
        <f aca="false">IF(OR(J958="",J958=0),"",(I958-J958)/J958)</f>
        <v>0</v>
      </c>
      <c r="L958" s="21" t="str">
        <f aca="false">IF(OR(D958="",G958="",J958=""),"No reported subtotal",IF(AND(ABS(N(E958))&lt;=$D$2,ABS(N(H958))&lt;=$D$2,ABS(N(K958))&lt;=$D$2),"Reconciles within tolerance","Outside tolerance"))</f>
        <v>Reconciles within tolerance</v>
      </c>
    </row>
    <row r="959" customFormat="false" ht="15" hidden="false" customHeight="false" outlineLevel="0" collapsed="false">
      <c r="A959" s="7" t="n">
        <v>2000</v>
      </c>
      <c r="B959" s="15" t="s">
        <v>156</v>
      </c>
      <c r="C959" s="19" t="n">
        <v>20.678526</v>
      </c>
      <c r="D959" s="19" t="n">
        <v>20.678526</v>
      </c>
      <c r="E959" s="20" t="n">
        <f aca="false">IF(OR(D959="",D959=0),"",(C959-D959)/D959)</f>
        <v>0</v>
      </c>
      <c r="F959" s="19" t="n">
        <v>26.527228</v>
      </c>
      <c r="G959" s="19" t="n">
        <v>26.527228</v>
      </c>
      <c r="H959" s="20" t="n">
        <f aca="false">IF(OR(G959="",G959=0),"",(F959-G959)/G959)</f>
        <v>0</v>
      </c>
      <c r="I959" s="19" t="n">
        <v>56.857542</v>
      </c>
      <c r="J959" s="19" t="n">
        <v>56.857542</v>
      </c>
      <c r="K959" s="20" t="n">
        <f aca="false">IF(OR(J959="",J959=0),"",(I959-J959)/J959)</f>
        <v>0</v>
      </c>
      <c r="L959" s="21" t="str">
        <f aca="false">IF(OR(D959="",G959="",J959=""),"No reported subtotal",IF(AND(ABS(N(E959))&lt;=$D$2,ABS(N(H959))&lt;=$D$2,ABS(N(K959))&lt;=$D$2),"Reconciles within tolerance","Outside tolerance"))</f>
        <v>Reconciles within tolerance</v>
      </c>
    </row>
    <row r="960" customFormat="false" ht="15" hidden="false" customHeight="false" outlineLevel="0" collapsed="false">
      <c r="A960" s="7" t="n">
        <v>2001</v>
      </c>
      <c r="B960" s="15" t="s">
        <v>156</v>
      </c>
      <c r="C960" s="19" t="n">
        <v>21.349013</v>
      </c>
      <c r="D960" s="19" t="n">
        <v>21.349013</v>
      </c>
      <c r="E960" s="20" t="n">
        <f aca="false">IF(OR(D960="",D960=0),"",(C960-D960)/D960)</f>
        <v>0</v>
      </c>
      <c r="F960" s="19" t="n">
        <v>28.84842</v>
      </c>
      <c r="G960" s="19" t="n">
        <v>28.84842</v>
      </c>
      <c r="H960" s="20" t="n">
        <f aca="false">IF(OR(G960="",G960=0),"",(F960-G960)/G960)</f>
        <v>0</v>
      </c>
      <c r="I960" s="19" t="n">
        <v>49.411149</v>
      </c>
      <c r="J960" s="19" t="n">
        <v>49.411149</v>
      </c>
      <c r="K960" s="20" t="n">
        <f aca="false">IF(OR(J960="",J960=0),"",(I960-J960)/J960)</f>
        <v>0</v>
      </c>
      <c r="L960" s="21" t="str">
        <f aca="false">IF(OR(D960="",G960="",J960=""),"No reported subtotal",IF(AND(ABS(N(E960))&lt;=$D$2,ABS(N(H960))&lt;=$D$2,ABS(N(K960))&lt;=$D$2),"Reconciles within tolerance","Outside tolerance"))</f>
        <v>Reconciles within tolerance</v>
      </c>
    </row>
    <row r="961" customFormat="false" ht="15" hidden="false" customHeight="false" outlineLevel="0" collapsed="false">
      <c r="A961" s="7" t="n">
        <v>2002</v>
      </c>
      <c r="B961" s="15" t="s">
        <v>156</v>
      </c>
      <c r="C961" s="19" t="n">
        <v>23.068633</v>
      </c>
      <c r="D961" s="19" t="n">
        <v>23.068633</v>
      </c>
      <c r="E961" s="20" t="n">
        <f aca="false">IF(OR(D961="",D961=0),"",(C961-D961)/D961)</f>
        <v>0</v>
      </c>
      <c r="F961" s="19" t="n">
        <v>33.792162</v>
      </c>
      <c r="G961" s="19" t="n">
        <v>33.792162</v>
      </c>
      <c r="H961" s="20" t="n">
        <f aca="false">IF(OR(G961="",G961=0),"",(F961-G961)/G961)</f>
        <v>0</v>
      </c>
      <c r="I961" s="19" t="n">
        <v>35.175746</v>
      </c>
      <c r="J961" s="19" t="n">
        <v>35.175746</v>
      </c>
      <c r="K961" s="20" t="n">
        <f aca="false">IF(OR(J961="",J961=0),"",(I961-J961)/J961)</f>
        <v>0</v>
      </c>
      <c r="L961" s="21" t="str">
        <f aca="false">IF(OR(D961="",G961="",J961=""),"No reported subtotal",IF(AND(ABS(N(E961))&lt;=$D$2,ABS(N(H961))&lt;=$D$2,ABS(N(K961))&lt;=$D$2),"Reconciles within tolerance","Outside tolerance"))</f>
        <v>Reconciles within tolerance</v>
      </c>
    </row>
    <row r="962" customFormat="false" ht="15" hidden="false" customHeight="false" outlineLevel="0" collapsed="false">
      <c r="A962" s="7" t="n">
        <v>2003</v>
      </c>
      <c r="B962" s="15" t="s">
        <v>156</v>
      </c>
      <c r="C962" s="19" t="n">
        <v>26.331707</v>
      </c>
      <c r="D962" s="19" t="n">
        <v>26.331707</v>
      </c>
      <c r="E962" s="20" t="n">
        <f aca="false">IF(OR(D962="",D962=0),"",(C962-D962)/D962)</f>
        <v>0</v>
      </c>
      <c r="F962" s="19" t="n">
        <v>52.376304</v>
      </c>
      <c r="G962" s="19" t="n">
        <v>52.376304</v>
      </c>
      <c r="H962" s="20" t="n">
        <f aca="false">IF(OR(G962="",G962=0),"",(F962-G962)/G962)</f>
        <v>0</v>
      </c>
      <c r="I962" s="19" t="n">
        <v>91.035575</v>
      </c>
      <c r="J962" s="19" t="n">
        <v>91.035575</v>
      </c>
      <c r="K962" s="20" t="n">
        <f aca="false">IF(OR(J962="",J962=0),"",(I962-J962)/J962)</f>
        <v>0</v>
      </c>
      <c r="L962" s="21" t="str">
        <f aca="false">IF(OR(D962="",G962="",J962=""),"No reported subtotal",IF(AND(ABS(N(E962))&lt;=$D$2,ABS(N(H962))&lt;=$D$2,ABS(N(K962))&lt;=$D$2),"Reconciles within tolerance","Outside tolerance"))</f>
        <v>Reconciles within tolerance</v>
      </c>
    </row>
    <row r="963" customFormat="false" ht="15" hidden="false" customHeight="false" outlineLevel="0" collapsed="false">
      <c r="A963" s="7" t="n">
        <v>2004</v>
      </c>
      <c r="B963" s="15" t="s">
        <v>156</v>
      </c>
      <c r="C963" s="19" t="n">
        <v>25.248446</v>
      </c>
      <c r="D963" s="19" t="n">
        <v>25.248446</v>
      </c>
      <c r="E963" s="20" t="n">
        <f aca="false">IF(OR(D963="",D963=0),"",(C963-D963)/D963)</f>
        <v>0</v>
      </c>
      <c r="F963" s="19" t="n">
        <v>41.781984</v>
      </c>
      <c r="G963" s="19" t="n">
        <v>41.781984</v>
      </c>
      <c r="H963" s="20" t="n">
        <f aca="false">IF(OR(G963="",G963=0),"",(F963-G963)/G963)</f>
        <v>0</v>
      </c>
      <c r="I963" s="19" t="n">
        <v>101.579881</v>
      </c>
      <c r="J963" s="19" t="n">
        <v>101.579881</v>
      </c>
      <c r="K963" s="20" t="n">
        <f aca="false">IF(OR(J963="",J963=0),"",(I963-J963)/J963)</f>
        <v>0</v>
      </c>
      <c r="L963" s="21" t="str">
        <f aca="false">IF(OR(D963="",G963="",J963=""),"No reported subtotal",IF(AND(ABS(N(E963))&lt;=$D$2,ABS(N(H963))&lt;=$D$2,ABS(N(K963))&lt;=$D$2),"Reconciles within tolerance","Outside tolerance"))</f>
        <v>Reconciles within tolerance</v>
      </c>
    </row>
    <row r="964" customFormat="false" ht="15" hidden="false" customHeight="false" outlineLevel="0" collapsed="false">
      <c r="A964" s="7" t="n">
        <v>2005</v>
      </c>
      <c r="B964" s="15" t="s">
        <v>156</v>
      </c>
      <c r="C964" s="19" t="n">
        <v>24.160431</v>
      </c>
      <c r="D964" s="19" t="n">
        <v>24.160431</v>
      </c>
      <c r="E964" s="20" t="n">
        <f aca="false">IF(OR(D964="",D964=0),"",(C964-D964)/D964)</f>
        <v>0</v>
      </c>
      <c r="F964" s="19" t="n">
        <v>41.648438</v>
      </c>
      <c r="G964" s="19" t="n">
        <v>41.648438</v>
      </c>
      <c r="H964" s="20" t="n">
        <f aca="false">IF(OR(G964="",G964=0),"",(F964-G964)/G964)</f>
        <v>0</v>
      </c>
      <c r="I964" s="19" t="n">
        <v>101.77714</v>
      </c>
      <c r="J964" s="19" t="n">
        <v>101.77714</v>
      </c>
      <c r="K964" s="20" t="n">
        <f aca="false">IF(OR(J964="",J964=0),"",(I964-J964)/J964)</f>
        <v>0</v>
      </c>
      <c r="L964" s="21" t="str">
        <f aca="false">IF(OR(D964="",G964="",J964=""),"No reported subtotal",IF(AND(ABS(N(E964))&lt;=$D$2,ABS(N(H964))&lt;=$D$2,ABS(N(K964))&lt;=$D$2),"Reconciles within tolerance","Outside tolerance"))</f>
        <v>Reconciles within tolerance</v>
      </c>
    </row>
    <row r="965" customFormat="false" ht="15" hidden="false" customHeight="false" outlineLevel="0" collapsed="false">
      <c r="A965" s="7" t="n">
        <v>2006</v>
      </c>
      <c r="B965" s="15" t="s">
        <v>156</v>
      </c>
      <c r="C965" s="19" t="n">
        <v>26.212058</v>
      </c>
      <c r="D965" s="19" t="n">
        <v>26.212058</v>
      </c>
      <c r="E965" s="20" t="n">
        <f aca="false">IF(OR(D965="",D965=0),"",(C965-D965)/D965)</f>
        <v>0</v>
      </c>
      <c r="F965" s="19" t="n">
        <v>42.144029</v>
      </c>
      <c r="G965" s="19" t="n">
        <v>42.144029</v>
      </c>
      <c r="H965" s="20" t="n">
        <f aca="false">IF(OR(G965="",G965=0),"",(F965-G965)/G965)</f>
        <v>0</v>
      </c>
      <c r="I965" s="19" t="n">
        <v>82.297616</v>
      </c>
      <c r="J965" s="19" t="n">
        <v>82.297616</v>
      </c>
      <c r="K965" s="20" t="n">
        <f aca="false">IF(OR(J965="",J965=0),"",(I965-J965)/J965)</f>
        <v>0</v>
      </c>
      <c r="L965" s="21" t="str">
        <f aca="false">IF(OR(D965="",G965="",J965=""),"No reported subtotal",IF(AND(ABS(N(E965))&lt;=$D$2,ABS(N(H965))&lt;=$D$2,ABS(N(K965))&lt;=$D$2),"Reconciles within tolerance","Outside tolerance"))</f>
        <v>Reconciles within tolerance</v>
      </c>
    </row>
    <row r="966" customFormat="false" ht="15" hidden="false" customHeight="false" outlineLevel="0" collapsed="false">
      <c r="A966" s="7" t="n">
        <v>2007</v>
      </c>
      <c r="B966" s="15" t="s">
        <v>156</v>
      </c>
      <c r="C966" s="19" t="n">
        <v>25.543023</v>
      </c>
      <c r="D966" s="19" t="n">
        <v>25.543023</v>
      </c>
      <c r="E966" s="20" t="n">
        <f aca="false">IF(OR(D966="",D966=0),"",(C966-D966)/D966)</f>
        <v>0</v>
      </c>
      <c r="F966" s="19" t="n">
        <v>48.458264</v>
      </c>
      <c r="G966" s="19" t="n">
        <v>48.458264</v>
      </c>
      <c r="H966" s="20" t="n">
        <f aca="false">IF(OR(G966="",G966=0),"",(F966-G966)/G966)</f>
        <v>0</v>
      </c>
      <c r="I966" s="19" t="n">
        <v>99.134447</v>
      </c>
      <c r="J966" s="19" t="n">
        <v>99.134447</v>
      </c>
      <c r="K966" s="20" t="n">
        <f aca="false">IF(OR(J966="",J966=0),"",(I966-J966)/J966)</f>
        <v>0</v>
      </c>
      <c r="L966" s="21" t="str">
        <f aca="false">IF(OR(D966="",G966="",J966=""),"No reported subtotal",IF(AND(ABS(N(E966))&lt;=$D$2,ABS(N(H966))&lt;=$D$2,ABS(N(K966))&lt;=$D$2),"Reconciles within tolerance","Outside tolerance"))</f>
        <v>Reconciles within tolerance</v>
      </c>
    </row>
    <row r="967" customFormat="false" ht="15" hidden="false" customHeight="false" outlineLevel="0" collapsed="false">
      <c r="A967" s="7" t="n">
        <v>2008</v>
      </c>
      <c r="B967" s="15" t="s">
        <v>156</v>
      </c>
      <c r="C967" s="19" t="n">
        <v>22.134597</v>
      </c>
      <c r="D967" s="19" t="n">
        <v>22.134597</v>
      </c>
      <c r="E967" s="20" t="n">
        <f aca="false">IF(OR(D967="",D967=0),"",(C967-D967)/D967)</f>
        <v>0</v>
      </c>
      <c r="F967" s="19" t="n">
        <v>48.871993</v>
      </c>
      <c r="G967" s="19" t="n">
        <v>48.871993</v>
      </c>
      <c r="H967" s="20" t="n">
        <f aca="false">IF(OR(G967="",G967=0),"",(F967-G967)/G967)</f>
        <v>0</v>
      </c>
      <c r="I967" s="19" t="n">
        <v>111.796521</v>
      </c>
      <c r="J967" s="19" t="n">
        <v>111.796521</v>
      </c>
      <c r="K967" s="20" t="n">
        <f aca="false">IF(OR(J967="",J967=0),"",(I967-J967)/J967)</f>
        <v>0</v>
      </c>
      <c r="L967" s="21" t="str">
        <f aca="false">IF(OR(D967="",G967="",J967=""),"No reported subtotal",IF(AND(ABS(N(E967))&lt;=$D$2,ABS(N(H967))&lt;=$D$2,ABS(N(K967))&lt;=$D$2),"Reconciles within tolerance","Outside tolerance"))</f>
        <v>Reconciles within tolerance</v>
      </c>
    </row>
    <row r="968" customFormat="false" ht="15" hidden="false" customHeight="false" outlineLevel="0" collapsed="false">
      <c r="A968" s="7" t="n">
        <v>2009</v>
      </c>
      <c r="B968" s="15" t="s">
        <v>156</v>
      </c>
      <c r="C968" s="19" t="n">
        <v>19.413395</v>
      </c>
      <c r="D968" s="19" t="n">
        <v>19.413395</v>
      </c>
      <c r="E968" s="20" t="n">
        <f aca="false">IF(OR(D968="",D968=0),"",(C968-D968)/D968)</f>
        <v>0</v>
      </c>
      <c r="F968" s="19" t="n">
        <v>45.387728</v>
      </c>
      <c r="G968" s="19" t="n">
        <v>45.387728</v>
      </c>
      <c r="H968" s="20" t="n">
        <f aca="false">IF(OR(G968="",G968=0),"",(F968-G968)/G968)</f>
        <v>0</v>
      </c>
      <c r="I968" s="19" t="n">
        <v>153.047337</v>
      </c>
      <c r="J968" s="19" t="n">
        <v>153.047337</v>
      </c>
      <c r="K968" s="20" t="n">
        <f aca="false">IF(OR(J968="",J968=0),"",(I968-J968)/J968)</f>
        <v>0</v>
      </c>
      <c r="L968" s="21" t="str">
        <f aca="false">IF(OR(D968="",G968="",J968=""),"No reported subtotal",IF(AND(ABS(N(E968))&lt;=$D$2,ABS(N(H968))&lt;=$D$2,ABS(N(K968))&lt;=$D$2),"Reconciles within tolerance","Outside tolerance"))</f>
        <v>Reconciles within tolerance</v>
      </c>
    </row>
    <row r="969" customFormat="false" ht="15" hidden="false" customHeight="false" outlineLevel="0" collapsed="false">
      <c r="A969" s="7" t="n">
        <v>2010</v>
      </c>
      <c r="B969" s="15" t="s">
        <v>156</v>
      </c>
      <c r="C969" s="19" t="n">
        <v>25.712284</v>
      </c>
      <c r="D969" s="19" t="n">
        <v>25.712284</v>
      </c>
      <c r="E969" s="20" t="n">
        <f aca="false">IF(OR(D969="",D969=0),"",(C969-D969)/D969)</f>
        <v>0</v>
      </c>
      <c r="F969" s="19" t="n">
        <v>46.85738</v>
      </c>
      <c r="G969" s="19" t="n">
        <v>46.85738</v>
      </c>
      <c r="H969" s="20" t="n">
        <f aca="false">IF(OR(G969="",G969=0),"",(F969-G969)/G969)</f>
        <v>0</v>
      </c>
      <c r="I969" s="19" t="n">
        <v>116.799338</v>
      </c>
      <c r="J969" s="19" t="n">
        <v>116.799338</v>
      </c>
      <c r="K969" s="20" t="n">
        <f aca="false">IF(OR(J969="",J969=0),"",(I969-J969)/J969)</f>
        <v>0</v>
      </c>
      <c r="L969" s="21" t="str">
        <f aca="false">IF(OR(D969="",G969="",J969=""),"No reported subtotal",IF(AND(ABS(N(E969))&lt;=$D$2,ABS(N(H969))&lt;=$D$2,ABS(N(K969))&lt;=$D$2),"Reconciles within tolerance","Outside tolerance"))</f>
        <v>Reconciles within tolerance</v>
      </c>
    </row>
    <row r="970" customFormat="false" ht="15" hidden="false" customHeight="false" outlineLevel="0" collapsed="false">
      <c r="A970" s="7" t="n">
        <v>2011</v>
      </c>
      <c r="B970" s="15" t="s">
        <v>156</v>
      </c>
      <c r="C970" s="19" t="n">
        <v>23.980501</v>
      </c>
      <c r="D970" s="19" t="n">
        <v>23.980501</v>
      </c>
      <c r="E970" s="20" t="n">
        <f aca="false">IF(OR(D970="",D970=0),"",(C970-D970)/D970)</f>
        <v>0</v>
      </c>
      <c r="F970" s="19" t="n">
        <v>49.15279</v>
      </c>
      <c r="G970" s="19" t="n">
        <v>49.15279</v>
      </c>
      <c r="H970" s="20" t="n">
        <f aca="false">IF(OR(G970="",G970=0),"",(F970-G970)/G970)</f>
        <v>0</v>
      </c>
      <c r="I970" s="19" t="n">
        <v>103.241845</v>
      </c>
      <c r="J970" s="19" t="n">
        <v>103.241845</v>
      </c>
      <c r="K970" s="20" t="n">
        <f aca="false">IF(OR(J970="",J970=0),"",(I970-J970)/J970)</f>
        <v>0</v>
      </c>
      <c r="L970" s="21" t="str">
        <f aca="false">IF(OR(D970="",G970="",J970=""),"No reported subtotal",IF(AND(ABS(N(E970))&lt;=$D$2,ABS(N(H970))&lt;=$D$2,ABS(N(K970))&lt;=$D$2),"Reconciles within tolerance","Outside tolerance"))</f>
        <v>Reconciles within tolerance</v>
      </c>
    </row>
    <row r="971" customFormat="false" ht="15" hidden="false" customHeight="false" outlineLevel="0" collapsed="false">
      <c r="A971" s="7" t="n">
        <v>2012</v>
      </c>
      <c r="B971" s="15" t="s">
        <v>156</v>
      </c>
      <c r="C971" s="19" t="n">
        <v>26.41721</v>
      </c>
      <c r="D971" s="19" t="n">
        <v>26.41721</v>
      </c>
      <c r="E971" s="20" t="n">
        <f aca="false">IF(OR(D971="",D971=0),"",(C971-D971)/D971)</f>
        <v>0</v>
      </c>
      <c r="F971" s="19" t="n">
        <v>48.243431</v>
      </c>
      <c r="G971" s="19" t="n">
        <v>48.243431</v>
      </c>
      <c r="H971" s="20" t="n">
        <f aca="false">IF(OR(G971="",G971=0),"",(F971-G971)/G971)</f>
        <v>0</v>
      </c>
      <c r="I971" s="19" t="n">
        <v>84.748339</v>
      </c>
      <c r="J971" s="19" t="n">
        <v>84.748339</v>
      </c>
      <c r="K971" s="20" t="n">
        <f aca="false">IF(OR(J971="",J971=0),"",(I971-J971)/J971)</f>
        <v>0</v>
      </c>
      <c r="L971" s="21" t="str">
        <f aca="false">IF(OR(D971="",G971="",J971=""),"No reported subtotal",IF(AND(ABS(N(E971))&lt;=$D$2,ABS(N(H971))&lt;=$D$2,ABS(N(K971))&lt;=$D$2),"Reconciles within tolerance","Outside tolerance"))</f>
        <v>Reconciles within tolerance</v>
      </c>
    </row>
    <row r="972" customFormat="false" ht="15" hidden="false" customHeight="false" outlineLevel="0" collapsed="false">
      <c r="A972" s="7" t="n">
        <v>2013</v>
      </c>
      <c r="B972" s="15" t="s">
        <v>156</v>
      </c>
      <c r="C972" s="19" t="n">
        <v>26.106242</v>
      </c>
      <c r="D972" s="19" t="n">
        <v>26.106242</v>
      </c>
      <c r="E972" s="20" t="n">
        <f aca="false">IF(OR(D972="",D972=0),"",(C972-D972)/D972)</f>
        <v>0</v>
      </c>
      <c r="F972" s="19" t="n">
        <v>30.777653</v>
      </c>
      <c r="G972" s="19" t="n">
        <v>30.777653</v>
      </c>
      <c r="H972" s="20" t="n">
        <f aca="false">IF(OR(G972="",G972=0),"",(F972-G972)/G972)</f>
        <v>0</v>
      </c>
      <c r="I972" s="19" t="n">
        <v>105.645239</v>
      </c>
      <c r="J972" s="19" t="n">
        <v>105.645239</v>
      </c>
      <c r="K972" s="20" t="n">
        <f aca="false">IF(OR(J972="",J972=0),"",(I972-J972)/J972)</f>
        <v>0</v>
      </c>
      <c r="L972" s="21" t="str">
        <f aca="false">IF(OR(D972="",G972="",J972=""),"No reported subtotal",IF(AND(ABS(N(E972))&lt;=$D$2,ABS(N(H972))&lt;=$D$2,ABS(N(K972))&lt;=$D$2),"Reconciles within tolerance","Outside tolerance"))</f>
        <v>Reconciles within tolerance</v>
      </c>
    </row>
    <row r="973" customFormat="false" ht="15" hidden="false" customHeight="false" outlineLevel="0" collapsed="false">
      <c r="A973" s="7" t="n">
        <v>2014</v>
      </c>
      <c r="B973" s="15" t="s">
        <v>156</v>
      </c>
      <c r="C973" s="19" t="n">
        <v>26.389465</v>
      </c>
      <c r="D973" s="19" t="n">
        <v>26.389465</v>
      </c>
      <c r="E973" s="20" t="n">
        <f aca="false">IF(OR(D973="",D973=0),"",(C973-D973)/D973)</f>
        <v>0</v>
      </c>
      <c r="F973" s="19" t="n">
        <v>54.042377</v>
      </c>
      <c r="G973" s="19" t="n">
        <v>54.042377</v>
      </c>
      <c r="H973" s="20" t="n">
        <f aca="false">IF(OR(G973="",G973=0),"",(F973-G973)/G973)</f>
        <v>0</v>
      </c>
      <c r="I973" s="19" t="n">
        <v>109.817324</v>
      </c>
      <c r="J973" s="19" t="n">
        <v>109.817324</v>
      </c>
      <c r="K973" s="20" t="n">
        <f aca="false">IF(OR(J973="",J973=0),"",(I973-J973)/J973)</f>
        <v>0</v>
      </c>
      <c r="L973" s="21" t="str">
        <f aca="false">IF(OR(D973="",G973="",J973=""),"No reported subtotal",IF(AND(ABS(N(E973))&lt;=$D$2,ABS(N(H973))&lt;=$D$2,ABS(N(K973))&lt;=$D$2),"Reconciles within tolerance","Outside tolerance"))</f>
        <v>Reconciles within tolerance</v>
      </c>
    </row>
    <row r="974" customFormat="false" ht="15" hidden="false" customHeight="false" outlineLevel="0" collapsed="false">
      <c r="A974" s="7" t="n">
        <v>2015</v>
      </c>
      <c r="B974" s="15" t="s">
        <v>156</v>
      </c>
      <c r="C974" s="19" t="n">
        <v>28.778281</v>
      </c>
      <c r="D974" s="19" t="n">
        <v>28.778281</v>
      </c>
      <c r="E974" s="20" t="n">
        <f aca="false">IF(OR(D974="",D974=0),"",(C974-D974)/D974)</f>
        <v>0</v>
      </c>
      <c r="F974" s="19" t="n">
        <v>19.8227</v>
      </c>
      <c r="G974" s="19" t="n">
        <v>19.8227</v>
      </c>
      <c r="H974" s="20" t="n">
        <f aca="false">IF(OR(G974="",G974=0),"",(F974-G974)/G974)</f>
        <v>0</v>
      </c>
      <c r="I974" s="19" t="n">
        <v>96.376025</v>
      </c>
      <c r="J974" s="19" t="n">
        <v>96.376025</v>
      </c>
      <c r="K974" s="20" t="n">
        <f aca="false">IF(OR(J974="",J974=0),"",(I974-J974)/J974)</f>
        <v>0</v>
      </c>
      <c r="L974" s="21" t="str">
        <f aca="false">IF(OR(D974="",G974="",J974=""),"No reported subtotal",IF(AND(ABS(N(E974))&lt;=$D$2,ABS(N(H974))&lt;=$D$2,ABS(N(K974))&lt;=$D$2),"Reconciles within tolerance","Outside tolerance"))</f>
        <v>Reconciles within tolerance</v>
      </c>
    </row>
    <row r="975" customFormat="false" ht="15" hidden="false" customHeight="false" outlineLevel="0" collapsed="false">
      <c r="A975" s="7" t="n">
        <v>2016</v>
      </c>
      <c r="B975" s="15" t="s">
        <v>156</v>
      </c>
      <c r="C975" s="19" t="n">
        <v>26.421125</v>
      </c>
      <c r="D975" s="19" t="n">
        <v>26.421125</v>
      </c>
      <c r="E975" s="20" t="n">
        <f aca="false">IF(OR(D975="",D975=0),"",(C975-D975)/D975)</f>
        <v>0</v>
      </c>
      <c r="F975" s="19" t="n">
        <v>3.824419</v>
      </c>
      <c r="G975" s="19" t="n">
        <v>3.824419</v>
      </c>
      <c r="H975" s="20" t="n">
        <f aca="false">IF(OR(G975="",G975=0),"",(F975-G975)/G975)</f>
        <v>0</v>
      </c>
      <c r="I975" s="19" t="n">
        <v>124.142884</v>
      </c>
      <c r="J975" s="19" t="n">
        <v>124.142884</v>
      </c>
      <c r="K975" s="20" t="n">
        <f aca="false">IF(OR(J975="",J975=0),"",(I975-J975)/J975)</f>
        <v>0</v>
      </c>
      <c r="L975" s="21" t="str">
        <f aca="false">IF(OR(D975="",G975="",J975=""),"No reported subtotal",IF(AND(ABS(N(E975))&lt;=$D$2,ABS(N(H975))&lt;=$D$2,ABS(N(K975))&lt;=$D$2),"Reconciles within tolerance","Outside tolerance"))</f>
        <v>Reconciles within tolerance</v>
      </c>
    </row>
    <row r="976" customFormat="false" ht="15" hidden="false" customHeight="false" outlineLevel="0" collapsed="false">
      <c r="A976" s="7" t="n">
        <v>2017</v>
      </c>
      <c r="B976" s="15" t="s">
        <v>156</v>
      </c>
      <c r="C976" s="19" t="n">
        <v>28.540488</v>
      </c>
      <c r="D976" s="19" t="n">
        <v>28.540488</v>
      </c>
      <c r="E976" s="20" t="n">
        <f aca="false">IF(OR(D976="",D976=0),"",(C976-D976)/D976)</f>
        <v>0</v>
      </c>
      <c r="F976" s="19" t="n">
        <v>35.136553</v>
      </c>
      <c r="G976" s="19" t="n">
        <v>35.136553</v>
      </c>
      <c r="H976" s="20" t="n">
        <f aca="false">IF(OR(G976="",G976=0),"",(F976-G976)/G976)</f>
        <v>0</v>
      </c>
      <c r="I976" s="19" t="n">
        <v>178.661065</v>
      </c>
      <c r="J976" s="19" t="n">
        <v>178.661065</v>
      </c>
      <c r="K976" s="20" t="n">
        <f aca="false">IF(OR(J976="",J976=0),"",(I976-J976)/J976)</f>
        <v>0</v>
      </c>
      <c r="L976" s="21" t="str">
        <f aca="false">IF(OR(D976="",G976="",J976=""),"No reported subtotal",IF(AND(ABS(N(E976))&lt;=$D$2,ABS(N(H976))&lt;=$D$2,ABS(N(K976))&lt;=$D$2),"Reconciles within tolerance","Outside tolerance"))</f>
        <v>Reconciles within tolerance</v>
      </c>
    </row>
    <row r="977" customFormat="false" ht="15" hidden="false" customHeight="false" outlineLevel="0" collapsed="false">
      <c r="A977" s="7" t="n">
        <v>2018</v>
      </c>
      <c r="B977" s="15" t="s">
        <v>156</v>
      </c>
      <c r="C977" s="19" t="n">
        <v>29.448515</v>
      </c>
      <c r="D977" s="19" t="n">
        <v>29.448515</v>
      </c>
      <c r="E977" s="20" t="n">
        <f aca="false">IF(OR(D977="",D977=0),"",(C977-D977)/D977)</f>
        <v>0</v>
      </c>
      <c r="F977" s="19" t="n">
        <v>26.289496</v>
      </c>
      <c r="G977" s="19" t="n">
        <v>26.289496</v>
      </c>
      <c r="H977" s="20" t="n">
        <f aca="false">IF(OR(G977="",G977=0),"",(F977-G977)/G977)</f>
        <v>0</v>
      </c>
      <c r="I977" s="19" t="n">
        <v>152.212149</v>
      </c>
      <c r="J977" s="19" t="n">
        <v>152.212149</v>
      </c>
      <c r="K977" s="20" t="n">
        <f aca="false">IF(OR(J977="",J977=0),"",(I977-J977)/J977)</f>
        <v>0</v>
      </c>
      <c r="L977" s="21" t="str">
        <f aca="false">IF(OR(D977="",G977="",J977=""),"No reported subtotal",IF(AND(ABS(N(E977))&lt;=$D$2,ABS(N(H977))&lt;=$D$2,ABS(N(K977))&lt;=$D$2),"Reconciles within tolerance","Outside tolerance"))</f>
        <v>Reconciles within tolerance</v>
      </c>
    </row>
    <row r="978" customFormat="false" ht="15" hidden="false" customHeight="false" outlineLevel="0" collapsed="false">
      <c r="A978" s="7" t="n">
        <v>2019</v>
      </c>
      <c r="B978" s="15" t="s">
        <v>156</v>
      </c>
      <c r="C978" s="19" t="n">
        <v>29.839988</v>
      </c>
      <c r="D978" s="19" t="n">
        <v>29.839988</v>
      </c>
      <c r="E978" s="20" t="n">
        <f aca="false">IF(OR(D978="",D978=0),"",(C978-D978)/D978)</f>
        <v>0</v>
      </c>
      <c r="F978" s="19" t="n">
        <v>37.261567</v>
      </c>
      <c r="G978" s="19" t="n">
        <v>37.261567</v>
      </c>
      <c r="H978" s="20" t="n">
        <f aca="false">IF(OR(G978="",G978=0),"",(F978-G978)/G978)</f>
        <v>0</v>
      </c>
      <c r="I978" s="19" t="n">
        <v>190.397179</v>
      </c>
      <c r="J978" s="19" t="n">
        <v>190.397179</v>
      </c>
      <c r="K978" s="20" t="n">
        <f aca="false">IF(OR(J978="",J978=0),"",(I978-J978)/J978)</f>
        <v>0</v>
      </c>
      <c r="L978" s="21" t="str">
        <f aca="false">IF(OR(D978="",G978="",J978=""),"No reported subtotal",IF(AND(ABS(N(E978))&lt;=$D$2,ABS(N(H978))&lt;=$D$2,ABS(N(K978))&lt;=$D$2),"Reconciles within tolerance","Outside tolerance"))</f>
        <v>Reconciles within tolerance</v>
      </c>
    </row>
    <row r="979" customFormat="false" ht="15" hidden="false" customHeight="false" outlineLevel="0" collapsed="false">
      <c r="A979" s="7" t="n">
        <v>2020</v>
      </c>
      <c r="B979" s="15" t="s">
        <v>156</v>
      </c>
      <c r="C979" s="19" t="n">
        <v>21.332355</v>
      </c>
      <c r="D979" s="19" t="n">
        <v>21.332355</v>
      </c>
      <c r="E979" s="20" t="n">
        <f aca="false">IF(OR(D979="",D979=0),"",(C979-D979)/D979)</f>
        <v>0</v>
      </c>
      <c r="F979" s="19" t="n">
        <v>32.79666</v>
      </c>
      <c r="G979" s="19" t="n">
        <v>32.79666</v>
      </c>
      <c r="H979" s="20" t="n">
        <f aca="false">IF(OR(G979="",G979=0),"",(F979-G979)/G979)</f>
        <v>0</v>
      </c>
      <c r="I979" s="19" t="n">
        <v>189.358138</v>
      </c>
      <c r="J979" s="19" t="n">
        <v>189.358138</v>
      </c>
      <c r="K979" s="20" t="n">
        <f aca="false">IF(OR(J979="",J979=0),"",(I979-J979)/J979)</f>
        <v>0</v>
      </c>
      <c r="L979" s="21" t="str">
        <f aca="false">IF(OR(D979="",G979="",J979=""),"No reported subtotal",IF(AND(ABS(N(E979))&lt;=$D$2,ABS(N(H979))&lt;=$D$2,ABS(N(K979))&lt;=$D$2),"Reconciles within tolerance","Outside tolerance"))</f>
        <v>Reconciles within tolerance</v>
      </c>
    </row>
    <row r="980" customFormat="false" ht="15" hidden="false" customHeight="false" outlineLevel="0" collapsed="false">
      <c r="A980" s="7" t="n">
        <v>2021</v>
      </c>
      <c r="B980" s="15" t="s">
        <v>156</v>
      </c>
      <c r="C980" s="19" t="n">
        <v>27.679166</v>
      </c>
      <c r="D980" s="19" t="n">
        <v>27.679166</v>
      </c>
      <c r="E980" s="20" t="n">
        <f aca="false">IF(OR(D980="",D980=0),"",(C980-D980)/D980)</f>
        <v>0</v>
      </c>
      <c r="F980" s="19" t="n">
        <v>33.189798</v>
      </c>
      <c r="G980" s="19" t="n">
        <v>33.189798</v>
      </c>
      <c r="H980" s="20" t="n">
        <f aca="false">IF(OR(G980="",G980=0),"",(F980-G980)/G980)</f>
        <v>0</v>
      </c>
      <c r="I980" s="19" t="n">
        <v>164.113356</v>
      </c>
      <c r="J980" s="19" t="n">
        <v>164.113356</v>
      </c>
      <c r="K980" s="20" t="n">
        <f aca="false">IF(OR(J980="",J980=0),"",(I980-J980)/J980)</f>
        <v>0</v>
      </c>
      <c r="L980" s="21" t="str">
        <f aca="false">IF(OR(D980="",G980="",J980=""),"No reported subtotal",IF(AND(ABS(N(E980))&lt;=$D$2,ABS(N(H980))&lt;=$D$2,ABS(N(K980))&lt;=$D$2),"Reconciles within tolerance","Outside tolerance"))</f>
        <v>Reconciles within tolerance</v>
      </c>
    </row>
    <row r="981" customFormat="false" ht="15" hidden="false" customHeight="false" outlineLevel="0" collapsed="false">
      <c r="A981" s="7" t="n">
        <v>2022</v>
      </c>
      <c r="B981" s="15" t="s">
        <v>156</v>
      </c>
      <c r="C981" s="19" t="n">
        <v>32.097968</v>
      </c>
      <c r="D981" s="19" t="n">
        <v>32.097968</v>
      </c>
      <c r="E981" s="20" t="n">
        <f aca="false">IF(OR(D981="",D981=0),"",(C981-D981)/D981)</f>
        <v>0</v>
      </c>
      <c r="F981" s="19" t="n">
        <v>35.273789</v>
      </c>
      <c r="G981" s="19" t="n">
        <v>35.273789</v>
      </c>
      <c r="H981" s="20" t="n">
        <f aca="false">IF(OR(G981="",G981=0),"",(F981-G981)/G981)</f>
        <v>0</v>
      </c>
      <c r="I981" s="19" t="n">
        <v>169.475381</v>
      </c>
      <c r="J981" s="19" t="n">
        <v>169.47538</v>
      </c>
      <c r="K981" s="20" t="n">
        <f aca="false">IF(OR(J981="",J981=0),"",(I981-J981)/J981)</f>
        <v>5.90056206084472E-009</v>
      </c>
      <c r="L981" s="21" t="str">
        <f aca="false">IF(OR(D981="",G981="",J981=""),"No reported subtotal",IF(AND(ABS(N(E981))&lt;=$D$2,ABS(N(H981))&lt;=$D$2,ABS(N(K981))&lt;=$D$2),"Reconciles within tolerance","Outside tolerance"))</f>
        <v>Reconciles within tolerance</v>
      </c>
    </row>
    <row r="982" customFormat="false" ht="15" hidden="false" customHeight="false" outlineLevel="0" collapsed="false">
      <c r="A982" s="7" t="n">
        <v>2023</v>
      </c>
      <c r="B982" s="15" t="s">
        <v>156</v>
      </c>
      <c r="C982" s="19" t="n">
        <v>30.847957</v>
      </c>
      <c r="D982" s="19" t="n">
        <v>30.847958</v>
      </c>
      <c r="E982" s="20" t="n">
        <f aca="false">IF(OR(D982="",D982=0),"",(C982-D982)/D982)</f>
        <v>-3.24170565025809E-008</v>
      </c>
      <c r="F982" s="19" t="n">
        <v>34.66376</v>
      </c>
      <c r="G982" s="19" t="n">
        <v>34.663761</v>
      </c>
      <c r="H982" s="20" t="n">
        <f aca="false">IF(OR(G982="",G982=0),"",(F982-G982)/G982)</f>
        <v>-2.88485717829419E-008</v>
      </c>
      <c r="I982" s="19" t="n">
        <v>202.828424</v>
      </c>
      <c r="J982" s="19" t="n">
        <v>202.828423</v>
      </c>
      <c r="K982" s="20" t="n">
        <f aca="false">IF(OR(J982="",J982=0),"",(I982-J982)/J982)</f>
        <v>4.93027560489859E-009</v>
      </c>
      <c r="L982" s="21" t="str">
        <f aca="false">IF(OR(D982="",G982="",J982=""),"No reported subtotal",IF(AND(ABS(N(E982))&lt;=$D$2,ABS(N(H982))&lt;=$D$2,ABS(N(K982))&lt;=$D$2),"Reconciles within tolerance","Outside tolerance"))</f>
        <v>Reconciles within tolerance</v>
      </c>
    </row>
    <row r="983" customFormat="false" ht="15" hidden="false" customHeight="false" outlineLevel="0" collapsed="false">
      <c r="A983" s="7" t="n">
        <v>2024</v>
      </c>
      <c r="B983" s="15" t="s">
        <v>156</v>
      </c>
      <c r="C983" s="19" t="n">
        <v>25.414815</v>
      </c>
      <c r="D983" s="19" t="n">
        <v>25.414817</v>
      </c>
      <c r="E983" s="20" t="n">
        <f aca="false">IF(OR(D983="",D983=0),"",(C983-D983)/D983)</f>
        <v>-7.86942514086645E-008</v>
      </c>
      <c r="F983" s="19" t="n">
        <v>42.284651</v>
      </c>
      <c r="G983" s="19" t="n">
        <v>42.284651</v>
      </c>
      <c r="H983" s="20" t="n">
        <f aca="false">IF(OR(G983="",G983=0),"",(F983-G983)/G983)</f>
        <v>0</v>
      </c>
      <c r="I983" s="19" t="n">
        <v>272.225981</v>
      </c>
      <c r="J983" s="19" t="n">
        <v>272.225981</v>
      </c>
      <c r="K983" s="20" t="n">
        <f aca="false">IF(OR(J983="",J983=0),"",(I983-J983)/J983)</f>
        <v>0</v>
      </c>
      <c r="L983" s="21" t="str">
        <f aca="false">IF(OR(D983="",G983="",J983=""),"No reported subtotal",IF(AND(ABS(N(E983))&lt;=$D$2,ABS(N(H983))&lt;=$D$2,ABS(N(K983))&lt;=$D$2),"Reconciles within tolerance","Outside tolerance"))</f>
        <v>Reconciles within tolerance</v>
      </c>
    </row>
    <row r="984" customFormat="false" ht="15" hidden="false" customHeight="false" outlineLevel="0" collapsed="false">
      <c r="A984" s="7" t="n">
        <v>2025</v>
      </c>
      <c r="B984" s="15" t="s">
        <v>156</v>
      </c>
      <c r="C984" s="19" t="n">
        <v>23.444695</v>
      </c>
      <c r="D984" s="19" t="n">
        <v>23.444695</v>
      </c>
      <c r="E984" s="20" t="n">
        <f aca="false">IF(OR(D984="",D984=0),"",(C984-D984)/D984)</f>
        <v>0</v>
      </c>
      <c r="F984" s="19" t="n">
        <v>42.377518</v>
      </c>
      <c r="G984" s="19" t="n">
        <v>42.377518</v>
      </c>
      <c r="H984" s="20" t="n">
        <f aca="false">IF(OR(G984="",G984=0),"",(F984-G984)/G984)</f>
        <v>0</v>
      </c>
      <c r="I984" s="19" t="n">
        <v>289.71288</v>
      </c>
      <c r="J984" s="19" t="n">
        <v>289.71288</v>
      </c>
      <c r="K984" s="20" t="n">
        <f aca="false">IF(OR(J984="",J984=0),"",(I984-J984)/J984)</f>
        <v>0</v>
      </c>
      <c r="L984" s="21" t="str">
        <f aca="false">IF(OR(D984="",G984="",J984=""),"No reported subtotal",IF(AND(ABS(N(E984))&lt;=$D$2,ABS(N(H984))&lt;=$D$2,ABS(N(K984))&lt;=$D$2),"Reconciles within tolerance","Outside tolerance"))</f>
        <v>Reconciles within tolerance</v>
      </c>
    </row>
    <row r="985" customFormat="false" ht="15" hidden="false" customHeight="false" outlineLevel="0" collapsed="false">
      <c r="A985" s="7" t="n">
        <v>2000</v>
      </c>
      <c r="B985" s="15" t="s">
        <v>157</v>
      </c>
      <c r="C985" s="19" t="n">
        <v>36.245288</v>
      </c>
      <c r="D985" s="19" t="n">
        <v>36.245288</v>
      </c>
      <c r="E985" s="20" t="n">
        <f aca="false">IF(OR(D985="",D985=0),"",(C985-D985)/D985)</f>
        <v>0</v>
      </c>
      <c r="F985" s="19" t="n">
        <v>30.361847</v>
      </c>
      <c r="G985" s="19" t="n">
        <v>30.361847</v>
      </c>
      <c r="H985" s="20" t="n">
        <f aca="false">IF(OR(G985="",G985=0),"",(F985-G985)/G985)</f>
        <v>0</v>
      </c>
      <c r="I985" s="19" t="n">
        <v>53.899451</v>
      </c>
      <c r="J985" s="19" t="n">
        <v>53.899451</v>
      </c>
      <c r="K985" s="20" t="n">
        <f aca="false">IF(OR(J985="",J985=0),"",(I985-J985)/J985)</f>
        <v>0</v>
      </c>
      <c r="L985" s="21" t="str">
        <f aca="false">IF(OR(D985="",G985="",J985=""),"No reported subtotal",IF(AND(ABS(N(E985))&lt;=$D$2,ABS(N(H985))&lt;=$D$2,ABS(N(K985))&lt;=$D$2),"Reconciles within tolerance","Outside tolerance"))</f>
        <v>Reconciles within tolerance</v>
      </c>
    </row>
    <row r="986" customFormat="false" ht="15" hidden="false" customHeight="false" outlineLevel="0" collapsed="false">
      <c r="A986" s="7" t="n">
        <v>2001</v>
      </c>
      <c r="B986" s="15" t="s">
        <v>157</v>
      </c>
      <c r="C986" s="19" t="n">
        <v>35.323164</v>
      </c>
      <c r="D986" s="19" t="n">
        <v>35.323164</v>
      </c>
      <c r="E986" s="20" t="n">
        <f aca="false">IF(OR(D986="",D986=0),"",(C986-D986)/D986)</f>
        <v>0</v>
      </c>
      <c r="F986" s="19" t="n">
        <v>37.909279</v>
      </c>
      <c r="G986" s="19" t="n">
        <v>37.909279</v>
      </c>
      <c r="H986" s="20" t="n">
        <f aca="false">IF(OR(G986="",G986=0),"",(F986-G986)/G986)</f>
        <v>0</v>
      </c>
      <c r="I986" s="19" t="n">
        <v>52.123351</v>
      </c>
      <c r="J986" s="19" t="n">
        <v>52.123351</v>
      </c>
      <c r="K986" s="20" t="n">
        <f aca="false">IF(OR(J986="",J986=0),"",(I986-J986)/J986)</f>
        <v>0</v>
      </c>
      <c r="L986" s="21" t="str">
        <f aca="false">IF(OR(D986="",G986="",J986=""),"No reported subtotal",IF(AND(ABS(N(E986))&lt;=$D$2,ABS(N(H986))&lt;=$D$2,ABS(N(K986))&lt;=$D$2),"Reconciles within tolerance","Outside tolerance"))</f>
        <v>Reconciles within tolerance</v>
      </c>
    </row>
    <row r="987" customFormat="false" ht="15" hidden="false" customHeight="false" outlineLevel="0" collapsed="false">
      <c r="A987" s="7" t="n">
        <v>2002</v>
      </c>
      <c r="B987" s="15" t="s">
        <v>157</v>
      </c>
      <c r="C987" s="19" t="n">
        <v>38.166273</v>
      </c>
      <c r="D987" s="19" t="n">
        <v>38.166273</v>
      </c>
      <c r="E987" s="20" t="n">
        <f aca="false">IF(OR(D987="",D987=0),"",(C987-D987)/D987)</f>
        <v>0</v>
      </c>
      <c r="F987" s="19" t="n">
        <v>40.2879</v>
      </c>
      <c r="G987" s="19" t="n">
        <v>40.2879</v>
      </c>
      <c r="H987" s="20" t="n">
        <f aca="false">IF(OR(G987="",G987=0),"",(F987-G987)/G987)</f>
        <v>0</v>
      </c>
      <c r="I987" s="19" t="n">
        <v>41.842336</v>
      </c>
      <c r="J987" s="19" t="n">
        <v>41.842336</v>
      </c>
      <c r="K987" s="20" t="n">
        <f aca="false">IF(OR(J987="",J987=0),"",(I987-J987)/J987)</f>
        <v>0</v>
      </c>
      <c r="L987" s="21" t="str">
        <f aca="false">IF(OR(D987="",G987="",J987=""),"No reported subtotal",IF(AND(ABS(N(E987))&lt;=$D$2,ABS(N(H987))&lt;=$D$2,ABS(N(K987))&lt;=$D$2),"Reconciles within tolerance","Outside tolerance"))</f>
        <v>Reconciles within tolerance</v>
      </c>
    </row>
    <row r="988" customFormat="false" ht="15" hidden="false" customHeight="false" outlineLevel="0" collapsed="false">
      <c r="A988" s="7" t="n">
        <v>2003</v>
      </c>
      <c r="B988" s="15" t="s">
        <v>157</v>
      </c>
      <c r="C988" s="19" t="n">
        <v>36.574873</v>
      </c>
      <c r="D988" s="19" t="n">
        <v>36.574873</v>
      </c>
      <c r="E988" s="20" t="n">
        <f aca="false">IF(OR(D988="",D988=0),"",(C988-D988)/D988)</f>
        <v>0</v>
      </c>
      <c r="F988" s="19" t="n">
        <v>33.49812</v>
      </c>
      <c r="G988" s="19" t="n">
        <v>33.49812</v>
      </c>
      <c r="H988" s="20" t="n">
        <f aca="false">IF(OR(G988="",G988=0),"",(F988-G988)/G988)</f>
        <v>0</v>
      </c>
      <c r="I988" s="19" t="n">
        <v>49.642474</v>
      </c>
      <c r="J988" s="19" t="n">
        <v>49.642474</v>
      </c>
      <c r="K988" s="20" t="n">
        <f aca="false">IF(OR(J988="",J988=0),"",(I988-J988)/J988)</f>
        <v>0</v>
      </c>
      <c r="L988" s="21" t="str">
        <f aca="false">IF(OR(D988="",G988="",J988=""),"No reported subtotal",IF(AND(ABS(N(E988))&lt;=$D$2,ABS(N(H988))&lt;=$D$2,ABS(N(K988))&lt;=$D$2),"Reconciles within tolerance","Outside tolerance"))</f>
        <v>Reconciles within tolerance</v>
      </c>
    </row>
    <row r="989" customFormat="false" ht="15" hidden="false" customHeight="false" outlineLevel="0" collapsed="false">
      <c r="A989" s="7" t="n">
        <v>2004</v>
      </c>
      <c r="B989" s="15" t="s">
        <v>157</v>
      </c>
      <c r="C989" s="19" t="n">
        <v>39.393288</v>
      </c>
      <c r="D989" s="19" t="n">
        <v>39.393288</v>
      </c>
      <c r="E989" s="20" t="n">
        <f aca="false">IF(OR(D989="",D989=0),"",(C989-D989)/D989)</f>
        <v>0</v>
      </c>
      <c r="F989" s="19" t="n">
        <v>34.8184</v>
      </c>
      <c r="G989" s="19" t="n">
        <v>34.8184</v>
      </c>
      <c r="H989" s="20" t="n">
        <f aca="false">IF(OR(G989="",G989=0),"",(F989-G989)/G989)</f>
        <v>0</v>
      </c>
      <c r="I989" s="19" t="n">
        <v>69.352618</v>
      </c>
      <c r="J989" s="19" t="n">
        <v>69.352618</v>
      </c>
      <c r="K989" s="20" t="n">
        <f aca="false">IF(OR(J989="",J989=0),"",(I989-J989)/J989)</f>
        <v>0</v>
      </c>
      <c r="L989" s="21" t="str">
        <f aca="false">IF(OR(D989="",G989="",J989=""),"No reported subtotal",IF(AND(ABS(N(E989))&lt;=$D$2,ABS(N(H989))&lt;=$D$2,ABS(N(K989))&lt;=$D$2),"Reconciles within tolerance","Outside tolerance"))</f>
        <v>Reconciles within tolerance</v>
      </c>
    </row>
    <row r="990" customFormat="false" ht="15" hidden="false" customHeight="false" outlineLevel="0" collapsed="false">
      <c r="A990" s="7" t="n">
        <v>2005</v>
      </c>
      <c r="B990" s="15" t="s">
        <v>157</v>
      </c>
      <c r="C990" s="19" t="n">
        <v>42.250113</v>
      </c>
      <c r="D990" s="19" t="n">
        <v>42.250113</v>
      </c>
      <c r="E990" s="20" t="n">
        <f aca="false">IF(OR(D990="",D990=0),"",(C990-D990)/D990)</f>
        <v>0</v>
      </c>
      <c r="F990" s="19" t="n">
        <v>35.286302</v>
      </c>
      <c r="G990" s="19" t="n">
        <v>35.286302</v>
      </c>
      <c r="H990" s="20" t="n">
        <f aca="false">IF(OR(G990="",G990=0),"",(F990-G990)/G990)</f>
        <v>0</v>
      </c>
      <c r="I990" s="19" t="n">
        <v>46.154237</v>
      </c>
      <c r="J990" s="19" t="n">
        <v>46.154237</v>
      </c>
      <c r="K990" s="20" t="n">
        <f aca="false">IF(OR(J990="",J990=0),"",(I990-J990)/J990)</f>
        <v>0</v>
      </c>
      <c r="L990" s="21" t="str">
        <f aca="false">IF(OR(D990="",G990="",J990=""),"No reported subtotal",IF(AND(ABS(N(E990))&lt;=$D$2,ABS(N(H990))&lt;=$D$2,ABS(N(K990))&lt;=$D$2),"Reconciles within tolerance","Outside tolerance"))</f>
        <v>Reconciles within tolerance</v>
      </c>
    </row>
    <row r="991" customFormat="false" ht="15" hidden="false" customHeight="false" outlineLevel="0" collapsed="false">
      <c r="A991" s="7" t="n">
        <v>2006</v>
      </c>
      <c r="B991" s="15" t="s">
        <v>157</v>
      </c>
      <c r="C991" s="19" t="n">
        <v>42.900899</v>
      </c>
      <c r="D991" s="19" t="n">
        <v>42.900899</v>
      </c>
      <c r="E991" s="20" t="n">
        <f aca="false">IF(OR(D991="",D991=0),"",(C991-D991)/D991)</f>
        <v>0</v>
      </c>
      <c r="F991" s="19" t="n">
        <v>38.247662</v>
      </c>
      <c r="G991" s="19" t="n">
        <v>38.247662</v>
      </c>
      <c r="H991" s="20" t="n">
        <f aca="false">IF(OR(G991="",G991=0),"",(F991-G991)/G991)</f>
        <v>0</v>
      </c>
      <c r="I991" s="19" t="n">
        <v>48.749129</v>
      </c>
      <c r="J991" s="19" t="n">
        <v>48.749129</v>
      </c>
      <c r="K991" s="20" t="n">
        <f aca="false">IF(OR(J991="",J991=0),"",(I991-J991)/J991)</f>
        <v>0</v>
      </c>
      <c r="L991" s="21" t="str">
        <f aca="false">IF(OR(D991="",G991="",J991=""),"No reported subtotal",IF(AND(ABS(N(E991))&lt;=$D$2,ABS(N(H991))&lt;=$D$2,ABS(N(K991))&lt;=$D$2),"Reconciles within tolerance","Outside tolerance"))</f>
        <v>Reconciles within tolerance</v>
      </c>
    </row>
    <row r="992" customFormat="false" ht="15" hidden="false" customHeight="false" outlineLevel="0" collapsed="false">
      <c r="A992" s="7" t="n">
        <v>2007</v>
      </c>
      <c r="B992" s="15" t="s">
        <v>157</v>
      </c>
      <c r="C992" s="19" t="n">
        <v>44.840486</v>
      </c>
      <c r="D992" s="19" t="n">
        <v>44.840486</v>
      </c>
      <c r="E992" s="20" t="n">
        <f aca="false">IF(OR(D992="",D992=0),"",(C992-D992)/D992)</f>
        <v>0</v>
      </c>
      <c r="F992" s="19" t="n">
        <v>39.851746</v>
      </c>
      <c r="G992" s="19" t="n">
        <v>39.851746</v>
      </c>
      <c r="H992" s="20" t="n">
        <f aca="false">IF(OR(G992="",G992=0),"",(F992-G992)/G992)</f>
        <v>0</v>
      </c>
      <c r="I992" s="19" t="n">
        <v>37.318483</v>
      </c>
      <c r="J992" s="19" t="n">
        <v>37.318483</v>
      </c>
      <c r="K992" s="20" t="n">
        <f aca="false">IF(OR(J992="",J992=0),"",(I992-J992)/J992)</f>
        <v>0</v>
      </c>
      <c r="L992" s="21" t="str">
        <f aca="false">IF(OR(D992="",G992="",J992=""),"No reported subtotal",IF(AND(ABS(N(E992))&lt;=$D$2,ABS(N(H992))&lt;=$D$2,ABS(N(K992))&lt;=$D$2),"Reconciles within tolerance","Outside tolerance"))</f>
        <v>Reconciles within tolerance</v>
      </c>
    </row>
    <row r="993" customFormat="false" ht="15" hidden="false" customHeight="false" outlineLevel="0" collapsed="false">
      <c r="A993" s="7" t="n">
        <v>2008</v>
      </c>
      <c r="B993" s="15" t="s">
        <v>157</v>
      </c>
      <c r="C993" s="19" t="n">
        <v>43.363465</v>
      </c>
      <c r="D993" s="19" t="n">
        <v>43.363465</v>
      </c>
      <c r="E993" s="20" t="n">
        <f aca="false">IF(OR(D993="",D993=0),"",(C993-D993)/D993)</f>
        <v>0</v>
      </c>
      <c r="F993" s="19" t="n">
        <v>36.265317</v>
      </c>
      <c r="G993" s="19" t="n">
        <v>36.265317</v>
      </c>
      <c r="H993" s="20" t="n">
        <f aca="false">IF(OR(G993="",G993=0),"",(F993-G993)/G993)</f>
        <v>0</v>
      </c>
      <c r="I993" s="19" t="n">
        <v>40.618597</v>
      </c>
      <c r="J993" s="19" t="n">
        <v>40.618597</v>
      </c>
      <c r="K993" s="20" t="n">
        <f aca="false">IF(OR(J993="",J993=0),"",(I993-J993)/J993)</f>
        <v>0</v>
      </c>
      <c r="L993" s="21" t="str">
        <f aca="false">IF(OR(D993="",G993="",J993=""),"No reported subtotal",IF(AND(ABS(N(E993))&lt;=$D$2,ABS(N(H993))&lt;=$D$2,ABS(N(K993))&lt;=$D$2),"Reconciles within tolerance","Outside tolerance"))</f>
        <v>Reconciles within tolerance</v>
      </c>
    </row>
    <row r="994" customFormat="false" ht="15" hidden="false" customHeight="false" outlineLevel="0" collapsed="false">
      <c r="A994" s="7" t="n">
        <v>2009</v>
      </c>
      <c r="B994" s="15" t="s">
        <v>157</v>
      </c>
      <c r="C994" s="19" t="n">
        <v>42.743813</v>
      </c>
      <c r="D994" s="19" t="n">
        <v>42.743813</v>
      </c>
      <c r="E994" s="20" t="n">
        <f aca="false">IF(OR(D994="",D994=0),"",(C994-D994)/D994)</f>
        <v>0</v>
      </c>
      <c r="F994" s="19" t="n">
        <v>36.183424</v>
      </c>
      <c r="G994" s="19" t="n">
        <v>36.183424</v>
      </c>
      <c r="H994" s="20" t="n">
        <f aca="false">IF(OR(G994="",G994=0),"",(F994-G994)/G994)</f>
        <v>0</v>
      </c>
      <c r="I994" s="19" t="n">
        <v>25.940954</v>
      </c>
      <c r="J994" s="19" t="n">
        <v>25.940954</v>
      </c>
      <c r="K994" s="20" t="n">
        <f aca="false">IF(OR(J994="",J994=0),"",(I994-J994)/J994)</f>
        <v>0</v>
      </c>
      <c r="L994" s="21" t="str">
        <f aca="false">IF(OR(D994="",G994="",J994=""),"No reported subtotal",IF(AND(ABS(N(E994))&lt;=$D$2,ABS(N(H994))&lt;=$D$2,ABS(N(K994))&lt;=$D$2),"Reconciles within tolerance","Outside tolerance"))</f>
        <v>Reconciles within tolerance</v>
      </c>
    </row>
    <row r="995" customFormat="false" ht="15" hidden="false" customHeight="false" outlineLevel="0" collapsed="false">
      <c r="A995" s="7" t="n">
        <v>2010</v>
      </c>
      <c r="B995" s="15" t="s">
        <v>157</v>
      </c>
      <c r="C995" s="19" t="n">
        <v>44.928173</v>
      </c>
      <c r="D995" s="19" t="n">
        <v>44.928173</v>
      </c>
      <c r="E995" s="20" t="n">
        <f aca="false">IF(OR(D995="",D995=0),"",(C995-D995)/D995)</f>
        <v>0</v>
      </c>
      <c r="F995" s="19" t="n">
        <v>46.358656</v>
      </c>
      <c r="G995" s="19" t="n">
        <v>46.358656</v>
      </c>
      <c r="H995" s="20" t="n">
        <f aca="false">IF(OR(G995="",G995=0),"",(F995-G995)/G995)</f>
        <v>0</v>
      </c>
      <c r="I995" s="19" t="n">
        <v>25.038212</v>
      </c>
      <c r="J995" s="19" t="n">
        <v>25.038212</v>
      </c>
      <c r="K995" s="20" t="n">
        <f aca="false">IF(OR(J995="",J995=0),"",(I995-J995)/J995)</f>
        <v>0</v>
      </c>
      <c r="L995" s="21" t="str">
        <f aca="false">IF(OR(D995="",G995="",J995=""),"No reported subtotal",IF(AND(ABS(N(E995))&lt;=$D$2,ABS(N(H995))&lt;=$D$2,ABS(N(K995))&lt;=$D$2),"Reconciles within tolerance","Outside tolerance"))</f>
        <v>Reconciles within tolerance</v>
      </c>
    </row>
    <row r="996" customFormat="false" ht="15" hidden="false" customHeight="false" outlineLevel="0" collapsed="false">
      <c r="A996" s="7" t="n">
        <v>2011</v>
      </c>
      <c r="B996" s="15" t="s">
        <v>157</v>
      </c>
      <c r="C996" s="19" t="n">
        <v>45.022993</v>
      </c>
      <c r="D996" s="19" t="n">
        <v>45.022993</v>
      </c>
      <c r="E996" s="20" t="n">
        <f aca="false">IF(OR(D996="",D996=0),"",(C996-D996)/D996)</f>
        <v>0</v>
      </c>
      <c r="F996" s="19" t="n">
        <v>50.842169</v>
      </c>
      <c r="G996" s="19" t="n">
        <v>50.842169</v>
      </c>
      <c r="H996" s="20" t="n">
        <f aca="false">IF(OR(G996="",G996=0),"",(F996-G996)/G996)</f>
        <v>0</v>
      </c>
      <c r="I996" s="19" t="n">
        <v>25.989977</v>
      </c>
      <c r="J996" s="19" t="n">
        <v>25.989977</v>
      </c>
      <c r="K996" s="20" t="n">
        <f aca="false">IF(OR(J996="",J996=0),"",(I996-J996)/J996)</f>
        <v>0</v>
      </c>
      <c r="L996" s="21" t="str">
        <f aca="false">IF(OR(D996="",G996="",J996=""),"No reported subtotal",IF(AND(ABS(N(E996))&lt;=$D$2,ABS(N(H996))&lt;=$D$2,ABS(N(K996))&lt;=$D$2),"Reconciles within tolerance","Outside tolerance"))</f>
        <v>Reconciles within tolerance</v>
      </c>
    </row>
    <row r="997" customFormat="false" ht="15" hidden="false" customHeight="false" outlineLevel="0" collapsed="false">
      <c r="A997" s="7" t="n">
        <v>2012</v>
      </c>
      <c r="B997" s="15" t="s">
        <v>157</v>
      </c>
      <c r="C997" s="19" t="n">
        <v>44.021629</v>
      </c>
      <c r="D997" s="19" t="n">
        <v>44.021629</v>
      </c>
      <c r="E997" s="20" t="n">
        <f aca="false">IF(OR(D997="",D997=0),"",(C997-D997)/D997)</f>
        <v>0</v>
      </c>
      <c r="F997" s="19" t="n">
        <v>37.938639</v>
      </c>
      <c r="G997" s="19" t="n">
        <v>37.938639</v>
      </c>
      <c r="H997" s="20" t="n">
        <f aca="false">IF(OR(G997="",G997=0),"",(F997-G997)/G997)</f>
        <v>0</v>
      </c>
      <c r="I997" s="19" t="n">
        <v>30.499667</v>
      </c>
      <c r="J997" s="19" t="n">
        <v>30.499667</v>
      </c>
      <c r="K997" s="20" t="n">
        <f aca="false">IF(OR(J997="",J997=0),"",(I997-J997)/J997)</f>
        <v>0</v>
      </c>
      <c r="L997" s="21" t="str">
        <f aca="false">IF(OR(D997="",G997="",J997=""),"No reported subtotal",IF(AND(ABS(N(E997))&lt;=$D$2,ABS(N(H997))&lt;=$D$2,ABS(N(K997))&lt;=$D$2),"Reconciles within tolerance","Outside tolerance"))</f>
        <v>Reconciles within tolerance</v>
      </c>
    </row>
    <row r="998" customFormat="false" ht="15" hidden="false" customHeight="false" outlineLevel="0" collapsed="false">
      <c r="A998" s="7" t="n">
        <v>2013</v>
      </c>
      <c r="B998" s="15" t="s">
        <v>157</v>
      </c>
      <c r="C998" s="19" t="n">
        <v>46.235827</v>
      </c>
      <c r="D998" s="19" t="n">
        <v>46.235827</v>
      </c>
      <c r="E998" s="20" t="n">
        <f aca="false">IF(OR(D998="",D998=0),"",(C998-D998)/D998)</f>
        <v>0</v>
      </c>
      <c r="F998" s="19" t="n">
        <v>40.991688</v>
      </c>
      <c r="G998" s="19" t="n">
        <v>40.991688</v>
      </c>
      <c r="H998" s="20" t="n">
        <f aca="false">IF(OR(G998="",G998=0),"",(F998-G998)/G998)</f>
        <v>0</v>
      </c>
      <c r="I998" s="19" t="n">
        <v>37.797935</v>
      </c>
      <c r="J998" s="19" t="n">
        <v>37.797935</v>
      </c>
      <c r="K998" s="20" t="n">
        <f aca="false">IF(OR(J998="",J998=0),"",(I998-J998)/J998)</f>
        <v>0</v>
      </c>
      <c r="L998" s="21" t="str">
        <f aca="false">IF(OR(D998="",G998="",J998=""),"No reported subtotal",IF(AND(ABS(N(E998))&lt;=$D$2,ABS(N(H998))&lt;=$D$2,ABS(N(K998))&lt;=$D$2),"Reconciles within tolerance","Outside tolerance"))</f>
        <v>Reconciles within tolerance</v>
      </c>
    </row>
    <row r="999" customFormat="false" ht="15" hidden="false" customHeight="false" outlineLevel="0" collapsed="false">
      <c r="A999" s="7" t="n">
        <v>2014</v>
      </c>
      <c r="B999" s="15" t="s">
        <v>157</v>
      </c>
      <c r="C999" s="19" t="n">
        <v>51.622136</v>
      </c>
      <c r="D999" s="19" t="n">
        <v>51.622136</v>
      </c>
      <c r="E999" s="20" t="n">
        <f aca="false">IF(OR(D999="",D999=0),"",(C999-D999)/D999)</f>
        <v>0</v>
      </c>
      <c r="F999" s="19" t="n">
        <v>40.453055</v>
      </c>
      <c r="G999" s="19" t="n">
        <v>40.453055</v>
      </c>
      <c r="H999" s="20" t="n">
        <f aca="false">IF(OR(G999="",G999=0),"",(F999-G999)/G999)</f>
        <v>0</v>
      </c>
      <c r="I999" s="19" t="n">
        <v>62.709968</v>
      </c>
      <c r="J999" s="19" t="n">
        <v>62.709968</v>
      </c>
      <c r="K999" s="20" t="n">
        <f aca="false">IF(OR(J999="",J999=0),"",(I999-J999)/J999)</f>
        <v>0</v>
      </c>
      <c r="L999" s="21" t="str">
        <f aca="false">IF(OR(D999="",G999="",J999=""),"No reported subtotal",IF(AND(ABS(N(E999))&lt;=$D$2,ABS(N(H999))&lt;=$D$2,ABS(N(K999))&lt;=$D$2),"Reconciles within tolerance","Outside tolerance"))</f>
        <v>Reconciles within tolerance</v>
      </c>
    </row>
    <row r="1000" customFormat="false" ht="15" hidden="false" customHeight="false" outlineLevel="0" collapsed="false">
      <c r="A1000" s="7" t="n">
        <v>2015</v>
      </c>
      <c r="B1000" s="15" t="s">
        <v>157</v>
      </c>
      <c r="C1000" s="19" t="n">
        <v>52.051598</v>
      </c>
      <c r="D1000" s="19" t="n">
        <v>52.051598</v>
      </c>
      <c r="E1000" s="20" t="n">
        <f aca="false">IF(OR(D1000="",D1000=0),"",(C1000-D1000)/D1000)</f>
        <v>0</v>
      </c>
      <c r="F1000" s="19" t="n">
        <v>41.41589</v>
      </c>
      <c r="G1000" s="19" t="n">
        <v>41.41589</v>
      </c>
      <c r="H1000" s="20" t="n">
        <f aca="false">IF(OR(G1000="",G1000=0),"",(F1000-G1000)/G1000)</f>
        <v>0</v>
      </c>
      <c r="I1000" s="19" t="n">
        <v>94.857082</v>
      </c>
      <c r="J1000" s="19" t="n">
        <v>94.857082</v>
      </c>
      <c r="K1000" s="20" t="n">
        <f aca="false">IF(OR(J1000="",J1000=0),"",(I1000-J1000)/J1000)</f>
        <v>0</v>
      </c>
      <c r="L1000" s="21" t="str">
        <f aca="false">IF(OR(D1000="",G1000="",J1000=""),"No reported subtotal",IF(AND(ABS(N(E1000))&lt;=$D$2,ABS(N(H1000))&lt;=$D$2,ABS(N(K1000))&lt;=$D$2),"Reconciles within tolerance","Outside tolerance"))</f>
        <v>Reconciles within tolerance</v>
      </c>
    </row>
    <row r="1001" customFormat="false" ht="15" hidden="false" customHeight="false" outlineLevel="0" collapsed="false">
      <c r="A1001" s="7" t="n">
        <v>2016</v>
      </c>
      <c r="B1001" s="15" t="s">
        <v>157</v>
      </c>
      <c r="C1001" s="19" t="n">
        <v>37.347829</v>
      </c>
      <c r="D1001" s="19" t="n">
        <v>37.347829</v>
      </c>
      <c r="E1001" s="20" t="n">
        <f aca="false">IF(OR(D1001="",D1001=0),"",(C1001-D1001)/D1001)</f>
        <v>0</v>
      </c>
      <c r="F1001" s="19" t="n">
        <v>37.157954</v>
      </c>
      <c r="G1001" s="19" t="n">
        <v>37.157954</v>
      </c>
      <c r="H1001" s="20" t="n">
        <f aca="false">IF(OR(G1001="",G1001=0),"",(F1001-G1001)/G1001)</f>
        <v>0</v>
      </c>
      <c r="I1001" s="19" t="n">
        <v>112.113833</v>
      </c>
      <c r="J1001" s="19" t="n">
        <v>112.113833</v>
      </c>
      <c r="K1001" s="20" t="n">
        <f aca="false">IF(OR(J1001="",J1001=0),"",(I1001-J1001)/J1001)</f>
        <v>0</v>
      </c>
      <c r="L1001" s="21" t="str">
        <f aca="false">IF(OR(D1001="",G1001="",J1001=""),"No reported subtotal",IF(AND(ABS(N(E1001))&lt;=$D$2,ABS(N(H1001))&lt;=$D$2,ABS(N(K1001))&lt;=$D$2),"Reconciles within tolerance","Outside tolerance"))</f>
        <v>Reconciles within tolerance</v>
      </c>
    </row>
    <row r="1002" customFormat="false" ht="15" hidden="false" customHeight="false" outlineLevel="0" collapsed="false">
      <c r="A1002" s="7" t="n">
        <v>2017</v>
      </c>
      <c r="B1002" s="15" t="s">
        <v>157</v>
      </c>
      <c r="C1002" s="19" t="n">
        <v>32.802783</v>
      </c>
      <c r="D1002" s="19" t="n">
        <v>32.802783</v>
      </c>
      <c r="E1002" s="20" t="n">
        <f aca="false">IF(OR(D1002="",D1002=0),"",(C1002-D1002)/D1002)</f>
        <v>0</v>
      </c>
      <c r="F1002" s="19" t="n">
        <v>35.813843</v>
      </c>
      <c r="G1002" s="19" t="n">
        <v>35.813843</v>
      </c>
      <c r="H1002" s="20" t="n">
        <f aca="false">IF(OR(G1002="",G1002=0),"",(F1002-G1002)/G1002)</f>
        <v>0</v>
      </c>
      <c r="I1002" s="19" t="n">
        <v>148.710708</v>
      </c>
      <c r="J1002" s="19" t="n">
        <v>148.710708</v>
      </c>
      <c r="K1002" s="20" t="n">
        <f aca="false">IF(OR(J1002="",J1002=0),"",(I1002-J1002)/J1002)</f>
        <v>0</v>
      </c>
      <c r="L1002" s="21" t="str">
        <f aca="false">IF(OR(D1002="",G1002="",J1002=""),"No reported subtotal",IF(AND(ABS(N(E1002))&lt;=$D$2,ABS(N(H1002))&lt;=$D$2,ABS(N(K1002))&lt;=$D$2),"Reconciles within tolerance","Outside tolerance"))</f>
        <v>Reconciles within tolerance</v>
      </c>
    </row>
    <row r="1003" customFormat="false" ht="15" hidden="false" customHeight="false" outlineLevel="0" collapsed="false">
      <c r="A1003" s="7" t="n">
        <v>2018</v>
      </c>
      <c r="B1003" s="15" t="s">
        <v>157</v>
      </c>
      <c r="C1003" s="19" t="n">
        <v>29.632337</v>
      </c>
      <c r="D1003" s="19" t="n">
        <v>29.632337</v>
      </c>
      <c r="E1003" s="20" t="n">
        <f aca="false">IF(OR(D1003="",D1003=0),"",(C1003-D1003)/D1003)</f>
        <v>0</v>
      </c>
      <c r="F1003" s="19" t="n">
        <v>33.339929</v>
      </c>
      <c r="G1003" s="19" t="n">
        <v>33.339929</v>
      </c>
      <c r="H1003" s="20" t="n">
        <f aca="false">IF(OR(G1003="",G1003=0),"",(F1003-G1003)/G1003)</f>
        <v>0</v>
      </c>
      <c r="I1003" s="19" t="n">
        <v>160.448171</v>
      </c>
      <c r="J1003" s="19" t="n">
        <v>160.448171</v>
      </c>
      <c r="K1003" s="20" t="n">
        <f aca="false">IF(OR(J1003="",J1003=0),"",(I1003-J1003)/J1003)</f>
        <v>0</v>
      </c>
      <c r="L1003" s="21" t="str">
        <f aca="false">IF(OR(D1003="",G1003="",J1003=""),"No reported subtotal",IF(AND(ABS(N(E1003))&lt;=$D$2,ABS(N(H1003))&lt;=$D$2,ABS(N(K1003))&lt;=$D$2),"Reconciles within tolerance","Outside tolerance"))</f>
        <v>Reconciles within tolerance</v>
      </c>
    </row>
    <row r="1004" customFormat="false" ht="15" hidden="false" customHeight="false" outlineLevel="0" collapsed="false">
      <c r="A1004" s="7" t="n">
        <v>2019</v>
      </c>
      <c r="B1004" s="15" t="s">
        <v>157</v>
      </c>
      <c r="C1004" s="19" t="n">
        <v>41.250865</v>
      </c>
      <c r="D1004" s="19" t="n">
        <v>41.250865</v>
      </c>
      <c r="E1004" s="20" t="n">
        <f aca="false">IF(OR(D1004="",D1004=0),"",(C1004-D1004)/D1004)</f>
        <v>0</v>
      </c>
      <c r="F1004" s="19" t="n">
        <v>32.849427</v>
      </c>
      <c r="G1004" s="19" t="n">
        <v>32.849427</v>
      </c>
      <c r="H1004" s="20" t="n">
        <f aca="false">IF(OR(G1004="",G1004=0),"",(F1004-G1004)/G1004)</f>
        <v>0</v>
      </c>
      <c r="I1004" s="19" t="n">
        <v>272.509749</v>
      </c>
      <c r="J1004" s="19" t="n">
        <v>272.509749</v>
      </c>
      <c r="K1004" s="20" t="n">
        <f aca="false">IF(OR(J1004="",J1004=0),"",(I1004-J1004)/J1004)</f>
        <v>0</v>
      </c>
      <c r="L1004" s="21" t="str">
        <f aca="false">IF(OR(D1004="",G1004="",J1004=""),"No reported subtotal",IF(AND(ABS(N(E1004))&lt;=$D$2,ABS(N(H1004))&lt;=$D$2,ABS(N(K1004))&lt;=$D$2),"Reconciles within tolerance","Outside tolerance"))</f>
        <v>Reconciles within tolerance</v>
      </c>
    </row>
    <row r="1005" customFormat="false" ht="15" hidden="false" customHeight="false" outlineLevel="0" collapsed="false">
      <c r="A1005" s="7" t="n">
        <v>2020</v>
      </c>
      <c r="B1005" s="15" t="s">
        <v>157</v>
      </c>
      <c r="C1005" s="19" t="n">
        <v>24.564716</v>
      </c>
      <c r="D1005" s="19" t="n">
        <v>24.564716</v>
      </c>
      <c r="E1005" s="20" t="n">
        <f aca="false">IF(OR(D1005="",D1005=0),"",(C1005-D1005)/D1005)</f>
        <v>0</v>
      </c>
      <c r="F1005" s="19" t="n">
        <v>21.062939</v>
      </c>
      <c r="G1005" s="19" t="n">
        <v>21.062939</v>
      </c>
      <c r="H1005" s="20" t="n">
        <f aca="false">IF(OR(G1005="",G1005=0),"",(F1005-G1005)/G1005)</f>
        <v>0</v>
      </c>
      <c r="I1005" s="19" t="n">
        <v>203.328763</v>
      </c>
      <c r="J1005" s="19" t="n">
        <v>203.328763</v>
      </c>
      <c r="K1005" s="20" t="n">
        <f aca="false">IF(OR(J1005="",J1005=0),"",(I1005-J1005)/J1005)</f>
        <v>0</v>
      </c>
      <c r="L1005" s="21" t="str">
        <f aca="false">IF(OR(D1005="",G1005="",J1005=""),"No reported subtotal",IF(AND(ABS(N(E1005))&lt;=$D$2,ABS(N(H1005))&lt;=$D$2,ABS(N(K1005))&lt;=$D$2),"Reconciles within tolerance","Outside tolerance"))</f>
        <v>Reconciles within tolerance</v>
      </c>
    </row>
    <row r="1006" customFormat="false" ht="15" hidden="false" customHeight="false" outlineLevel="0" collapsed="false">
      <c r="A1006" s="7" t="n">
        <v>2021</v>
      </c>
      <c r="B1006" s="15" t="s">
        <v>157</v>
      </c>
      <c r="C1006" s="19" t="n">
        <v>31.570154</v>
      </c>
      <c r="D1006" s="19" t="n">
        <v>31.570154</v>
      </c>
      <c r="E1006" s="20" t="n">
        <f aca="false">IF(OR(D1006="",D1006=0),"",(C1006-D1006)/D1006)</f>
        <v>0</v>
      </c>
      <c r="F1006" s="19" t="n">
        <v>22.720597</v>
      </c>
      <c r="G1006" s="19" t="n">
        <v>22.720597</v>
      </c>
      <c r="H1006" s="20" t="n">
        <f aca="false">IF(OR(G1006="",G1006=0),"",(F1006-G1006)/G1006)</f>
        <v>0</v>
      </c>
      <c r="I1006" s="19" t="n">
        <v>174.730202</v>
      </c>
      <c r="J1006" s="19" t="n">
        <v>174.730202</v>
      </c>
      <c r="K1006" s="20" t="n">
        <f aca="false">IF(OR(J1006="",J1006=0),"",(I1006-J1006)/J1006)</f>
        <v>0</v>
      </c>
      <c r="L1006" s="21" t="str">
        <f aca="false">IF(OR(D1006="",G1006="",J1006=""),"No reported subtotal",IF(AND(ABS(N(E1006))&lt;=$D$2,ABS(N(H1006))&lt;=$D$2,ABS(N(K1006))&lt;=$D$2),"Reconciles within tolerance","Outside tolerance"))</f>
        <v>Reconciles within tolerance</v>
      </c>
    </row>
    <row r="1007" customFormat="false" ht="15" hidden="false" customHeight="false" outlineLevel="0" collapsed="false">
      <c r="A1007" s="7" t="n">
        <v>2022</v>
      </c>
      <c r="B1007" s="15" t="s">
        <v>157</v>
      </c>
      <c r="C1007" s="19" t="n">
        <v>42.058602</v>
      </c>
      <c r="D1007" s="19" t="n">
        <v>42.058602</v>
      </c>
      <c r="E1007" s="20" t="n">
        <f aca="false">IF(OR(D1007="",D1007=0),"",(C1007-D1007)/D1007)</f>
        <v>0</v>
      </c>
      <c r="F1007" s="19" t="n">
        <v>26.156318</v>
      </c>
      <c r="G1007" s="19" t="n">
        <v>26.156318</v>
      </c>
      <c r="H1007" s="20" t="n">
        <f aca="false">IF(OR(G1007="",G1007=0),"",(F1007-G1007)/G1007)</f>
        <v>0</v>
      </c>
      <c r="I1007" s="19" t="n">
        <v>145.867126</v>
      </c>
      <c r="J1007" s="19" t="n">
        <v>145.867126</v>
      </c>
      <c r="K1007" s="20" t="n">
        <f aca="false">IF(OR(J1007="",J1007=0),"",(I1007-J1007)/J1007)</f>
        <v>0</v>
      </c>
      <c r="L1007" s="21" t="str">
        <f aca="false">IF(OR(D1007="",G1007="",J1007=""),"No reported subtotal",IF(AND(ABS(N(E1007))&lt;=$D$2,ABS(N(H1007))&lt;=$D$2,ABS(N(K1007))&lt;=$D$2),"Reconciles within tolerance","Outside tolerance"))</f>
        <v>Reconciles within tolerance</v>
      </c>
    </row>
    <row r="1008" customFormat="false" ht="15" hidden="false" customHeight="false" outlineLevel="0" collapsed="false">
      <c r="A1008" s="7" t="n">
        <v>2023</v>
      </c>
      <c r="B1008" s="15" t="s">
        <v>157</v>
      </c>
      <c r="C1008" s="19" t="n">
        <v>31.561722</v>
      </c>
      <c r="D1008" s="19" t="n">
        <v>31.561722</v>
      </c>
      <c r="E1008" s="20" t="n">
        <f aca="false">IF(OR(D1008="",D1008=0),"",(C1008-D1008)/D1008)</f>
        <v>0</v>
      </c>
      <c r="F1008" s="19" t="n">
        <v>38.97397</v>
      </c>
      <c r="G1008" s="19" t="n">
        <v>38.97397</v>
      </c>
      <c r="H1008" s="20" t="n">
        <f aca="false">IF(OR(G1008="",G1008=0),"",(F1008-G1008)/G1008)</f>
        <v>0</v>
      </c>
      <c r="I1008" s="19" t="n">
        <v>161.315428</v>
      </c>
      <c r="J1008" s="19" t="n">
        <v>161.315428</v>
      </c>
      <c r="K1008" s="20" t="n">
        <f aca="false">IF(OR(J1008="",J1008=0),"",(I1008-J1008)/J1008)</f>
        <v>0</v>
      </c>
      <c r="L1008" s="21" t="str">
        <f aca="false">IF(OR(D1008="",G1008="",J1008=""),"No reported subtotal",IF(AND(ABS(N(E1008))&lt;=$D$2,ABS(N(H1008))&lt;=$D$2,ABS(N(K1008))&lt;=$D$2),"Reconciles within tolerance","Outside tolerance"))</f>
        <v>Reconciles within tolerance</v>
      </c>
    </row>
    <row r="1009" customFormat="false" ht="15" hidden="false" customHeight="false" outlineLevel="0" collapsed="false">
      <c r="A1009" s="7" t="n">
        <v>2024</v>
      </c>
      <c r="B1009" s="15" t="s">
        <v>157</v>
      </c>
      <c r="C1009" s="19" t="n">
        <v>35.353155</v>
      </c>
      <c r="D1009" s="19" t="n">
        <v>35.353155</v>
      </c>
      <c r="E1009" s="20" t="n">
        <f aca="false">IF(OR(D1009="",D1009=0),"",(C1009-D1009)/D1009)</f>
        <v>0</v>
      </c>
      <c r="F1009" s="19" t="n">
        <v>40.642412</v>
      </c>
      <c r="G1009" s="19" t="n">
        <v>40.642412</v>
      </c>
      <c r="H1009" s="20" t="n">
        <f aca="false">IF(OR(G1009="",G1009=0),"",(F1009-G1009)/G1009)</f>
        <v>0</v>
      </c>
      <c r="I1009" s="19" t="n">
        <v>186.713256</v>
      </c>
      <c r="J1009" s="19" t="n">
        <v>186.713256</v>
      </c>
      <c r="K1009" s="20" t="n">
        <f aca="false">IF(OR(J1009="",J1009=0),"",(I1009-J1009)/J1009)</f>
        <v>0</v>
      </c>
      <c r="L1009" s="21" t="str">
        <f aca="false">IF(OR(D1009="",G1009="",J1009=""),"No reported subtotal",IF(AND(ABS(N(E1009))&lt;=$D$2,ABS(N(H1009))&lt;=$D$2,ABS(N(K1009))&lt;=$D$2),"Reconciles within tolerance","Outside tolerance"))</f>
        <v>Reconciles within tolerance</v>
      </c>
    </row>
    <row r="1010" customFormat="false" ht="15" hidden="false" customHeight="false" outlineLevel="0" collapsed="false">
      <c r="A1010" s="7" t="n">
        <v>2025</v>
      </c>
      <c r="B1010" s="15" t="s">
        <v>157</v>
      </c>
      <c r="C1010" s="19" t="n">
        <v>45.865031</v>
      </c>
      <c r="D1010" s="19" t="n">
        <v>45.865031</v>
      </c>
      <c r="E1010" s="20" t="n">
        <f aca="false">IF(OR(D1010="",D1010=0),"",(C1010-D1010)/D1010)</f>
        <v>0</v>
      </c>
      <c r="F1010" s="19" t="n">
        <v>41.917457</v>
      </c>
      <c r="G1010" s="19" t="n">
        <v>41.917457</v>
      </c>
      <c r="H1010" s="20" t="n">
        <f aca="false">IF(OR(G1010="",G1010=0),"",(F1010-G1010)/G1010)</f>
        <v>0</v>
      </c>
      <c r="I1010" s="19" t="n">
        <v>211.63783</v>
      </c>
      <c r="J1010" s="19" t="n">
        <v>211.63783</v>
      </c>
      <c r="K1010" s="20" t="n">
        <f aca="false">IF(OR(J1010="",J1010=0),"",(I1010-J1010)/J1010)</f>
        <v>0</v>
      </c>
      <c r="L1010" s="21" t="str">
        <f aca="false">IF(OR(D1010="",G1010="",J1010=""),"No reported subtotal",IF(AND(ABS(N(E1010))&lt;=$D$2,ABS(N(H1010))&lt;=$D$2,ABS(N(K1010))&lt;=$D$2),"Reconciles within tolerance","Outside tolerance"))</f>
        <v>Reconciles within tolerance</v>
      </c>
    </row>
    <row r="1012" customFormat="false" ht="15" hidden="false" customHeight="false" outlineLevel="0" collapsed="false">
      <c r="A1012" s="13" t="s">
        <v>179</v>
      </c>
      <c r="E1012" s="21" t="n">
        <f aca="false">COUNTIF(L6:L1010,"Outside tolerance")</f>
        <v>0</v>
      </c>
    </row>
    <row r="1013" customFormat="false" ht="15" hidden="false" customHeight="false" outlineLevel="0" collapsed="false">
      <c r="A1013" s="13" t="s">
        <v>180</v>
      </c>
      <c r="E1013" s="21" t="n">
        <f aca="false">COUNTIF(L6:L1010,"No reported subtotal")</f>
        <v>0</v>
      </c>
    </row>
  </sheetData>
  <autoFilter ref="A5:L1010"/>
  <mergeCells count="1">
    <mergeCell ref="A3:L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18"/>
    <col collapsed="false" customWidth="true" hidden="false" outlineLevel="0" max="3" min="3" style="0" width="10"/>
    <col collapsed="false" customWidth="true" hidden="false" outlineLevel="0" max="5" min="4" style="0" width="12"/>
    <col collapsed="false" customWidth="true" hidden="false" outlineLevel="0" max="6" min="6" style="0" width="52"/>
  </cols>
  <sheetData>
    <row r="1" customFormat="false" ht="15" hidden="false" customHeight="false" outlineLevel="0" collapsed="false">
      <c r="A1" s="4" t="s">
        <v>181</v>
      </c>
    </row>
    <row r="3" customFormat="false" ht="57.75" hidden="false" customHeight="true" outlineLevel="0" collapsed="false">
      <c r="A3" s="6" t="s">
        <v>182</v>
      </c>
      <c r="B3" s="6" t="s">
        <v>86</v>
      </c>
      <c r="C3" s="6" t="s">
        <v>183</v>
      </c>
      <c r="D3" s="6" t="s">
        <v>184</v>
      </c>
      <c r="E3" s="6" t="s">
        <v>185</v>
      </c>
      <c r="F3" s="6" t="s">
        <v>186</v>
      </c>
    </row>
    <row r="4" customFormat="false" ht="15" hidden="false" customHeight="false" outlineLevel="0" collapsed="false">
      <c r="A4" s="15" t="s">
        <v>101</v>
      </c>
      <c r="B4" s="15" t="s">
        <v>102</v>
      </c>
      <c r="C4" s="15" t="s">
        <v>103</v>
      </c>
      <c r="D4" s="15" t="n">
        <v>175</v>
      </c>
      <c r="E4" s="15" t="s">
        <v>187</v>
      </c>
      <c r="F4" s="15" t="s">
        <v>188</v>
      </c>
    </row>
    <row r="5" customFormat="false" ht="15" hidden="false" customHeight="false" outlineLevel="0" collapsed="false">
      <c r="A5" s="15" t="s">
        <v>158</v>
      </c>
      <c r="B5" s="15" t="s">
        <v>102</v>
      </c>
      <c r="C5" s="15" t="s">
        <v>107</v>
      </c>
      <c r="D5" s="15" t="n">
        <v>451</v>
      </c>
      <c r="E5" s="15" t="s">
        <v>189</v>
      </c>
      <c r="F5" s="15" t="s">
        <v>190</v>
      </c>
    </row>
    <row r="6" customFormat="false" ht="15" hidden="false" customHeight="false" outlineLevel="0" collapsed="false">
      <c r="A6" s="15" t="s">
        <v>104</v>
      </c>
      <c r="B6" s="15" t="s">
        <v>102</v>
      </c>
      <c r="C6" s="15" t="s">
        <v>105</v>
      </c>
      <c r="D6" s="15" t="n">
        <v>173</v>
      </c>
      <c r="E6" s="15" t="s">
        <v>187</v>
      </c>
      <c r="F6" s="15" t="s">
        <v>191</v>
      </c>
    </row>
    <row r="7" customFormat="false" ht="15" hidden="false" customHeight="false" outlineLevel="0" collapsed="false">
      <c r="A7" s="15" t="s">
        <v>106</v>
      </c>
      <c r="B7" s="15" t="s">
        <v>102</v>
      </c>
      <c r="C7" s="15" t="s">
        <v>107</v>
      </c>
      <c r="D7" s="15" t="n">
        <v>179</v>
      </c>
      <c r="E7" s="15" t="s">
        <v>192</v>
      </c>
      <c r="F7" s="15" t="s">
        <v>193</v>
      </c>
    </row>
    <row r="8" customFormat="false" ht="15" hidden="false" customHeight="false" outlineLevel="0" collapsed="false">
      <c r="A8" s="15" t="s">
        <v>108</v>
      </c>
      <c r="B8" s="15" t="s">
        <v>102</v>
      </c>
      <c r="C8" s="15" t="s">
        <v>109</v>
      </c>
      <c r="D8" s="15" t="n">
        <v>238</v>
      </c>
      <c r="E8" s="15" t="s">
        <v>187</v>
      </c>
      <c r="F8" s="15" t="s">
        <v>194</v>
      </c>
    </row>
    <row r="9" customFormat="false" ht="15" hidden="false" customHeight="false" outlineLevel="0" collapsed="false">
      <c r="A9" s="15" t="s">
        <v>110</v>
      </c>
      <c r="B9" s="15" t="s">
        <v>102</v>
      </c>
      <c r="C9" s="15" t="s">
        <v>103</v>
      </c>
      <c r="D9" s="15" t="n">
        <v>174</v>
      </c>
      <c r="E9" s="15" t="s">
        <v>187</v>
      </c>
      <c r="F9" s="15" t="s">
        <v>195</v>
      </c>
    </row>
    <row r="10" customFormat="false" ht="15" hidden="false" customHeight="false" outlineLevel="0" collapsed="false">
      <c r="A10" s="15" t="s">
        <v>111</v>
      </c>
      <c r="B10" s="15" t="s">
        <v>102</v>
      </c>
      <c r="C10" s="15" t="s">
        <v>107</v>
      </c>
      <c r="D10" s="15" t="n">
        <v>178</v>
      </c>
      <c r="E10" s="15" t="s">
        <v>192</v>
      </c>
      <c r="F10" s="15" t="s">
        <v>196</v>
      </c>
    </row>
    <row r="11" customFormat="false" ht="15" hidden="false" customHeight="false" outlineLevel="0" collapsed="false">
      <c r="A11" s="15" t="s">
        <v>112</v>
      </c>
      <c r="B11" s="15" t="s">
        <v>102</v>
      </c>
      <c r="C11" s="15" t="s">
        <v>107</v>
      </c>
      <c r="D11" s="15" t="n">
        <v>177</v>
      </c>
      <c r="E11" s="15" t="s">
        <v>192</v>
      </c>
      <c r="F11" s="15" t="s">
        <v>197</v>
      </c>
    </row>
    <row r="12" customFormat="false" ht="15" hidden="false" customHeight="false" outlineLevel="0" collapsed="false">
      <c r="A12" s="15" t="s">
        <v>113</v>
      </c>
      <c r="B12" s="15" t="s">
        <v>102</v>
      </c>
      <c r="C12" s="15" t="s">
        <v>114</v>
      </c>
      <c r="D12" s="15" t="n">
        <v>240</v>
      </c>
      <c r="E12" s="15" t="s">
        <v>187</v>
      </c>
      <c r="F12" s="15" t="s">
        <v>198</v>
      </c>
    </row>
    <row r="13" customFormat="false" ht="15" hidden="false" customHeight="false" outlineLevel="0" collapsed="false">
      <c r="A13" s="15" t="s">
        <v>115</v>
      </c>
      <c r="B13" s="15" t="s">
        <v>102</v>
      </c>
      <c r="C13" s="15" t="s">
        <v>103</v>
      </c>
      <c r="D13" s="15" t="n">
        <v>176</v>
      </c>
      <c r="E13" s="15" t="s">
        <v>187</v>
      </c>
      <c r="F13" s="15" t="s">
        <v>199</v>
      </c>
    </row>
    <row r="14" customFormat="false" ht="15" hidden="false" customHeight="false" outlineLevel="0" collapsed="false">
      <c r="A14" s="15" t="s">
        <v>116</v>
      </c>
      <c r="B14" s="15" t="s">
        <v>102</v>
      </c>
      <c r="C14" s="15" t="s">
        <v>107</v>
      </c>
      <c r="D14" s="15" t="n">
        <v>237</v>
      </c>
      <c r="E14" s="15" t="s">
        <v>192</v>
      </c>
      <c r="F14" s="15" t="s">
        <v>200</v>
      </c>
    </row>
    <row r="15" customFormat="false" ht="15" hidden="false" customHeight="false" outlineLevel="0" collapsed="false">
      <c r="A15" s="15" t="s">
        <v>117</v>
      </c>
      <c r="B15" s="15" t="s">
        <v>118</v>
      </c>
      <c r="C15" s="15" t="s">
        <v>103</v>
      </c>
      <c r="D15" s="15" t="n">
        <v>204</v>
      </c>
      <c r="E15" s="15" t="s">
        <v>187</v>
      </c>
      <c r="F15" s="15" t="s">
        <v>201</v>
      </c>
    </row>
    <row r="16" customFormat="false" ht="15" hidden="false" customHeight="false" outlineLevel="0" collapsed="false">
      <c r="A16" s="15" t="s">
        <v>117</v>
      </c>
      <c r="B16" s="15" t="s">
        <v>118</v>
      </c>
      <c r="C16" s="15" t="s">
        <v>103</v>
      </c>
      <c r="D16" s="15" t="n">
        <v>406</v>
      </c>
      <c r="E16" s="15" t="s">
        <v>202</v>
      </c>
      <c r="F16" s="15" t="s">
        <v>203</v>
      </c>
    </row>
    <row r="17" customFormat="false" ht="15" hidden="false" customHeight="false" outlineLevel="0" collapsed="false">
      <c r="A17" s="15" t="s">
        <v>119</v>
      </c>
      <c r="B17" s="15" t="s">
        <v>118</v>
      </c>
      <c r="C17" s="15" t="s">
        <v>103</v>
      </c>
      <c r="D17" s="15" t="n">
        <v>211</v>
      </c>
      <c r="E17" s="15" t="s">
        <v>187</v>
      </c>
      <c r="F17" s="15" t="s">
        <v>204</v>
      </c>
    </row>
    <row r="18" customFormat="false" ht="15" hidden="false" customHeight="false" outlineLevel="0" collapsed="false">
      <c r="A18" s="15" t="s">
        <v>120</v>
      </c>
      <c r="B18" s="15" t="s">
        <v>118</v>
      </c>
      <c r="C18" s="15" t="s">
        <v>121</v>
      </c>
      <c r="D18" s="15" t="n">
        <v>200</v>
      </c>
      <c r="E18" s="15" t="s">
        <v>187</v>
      </c>
      <c r="F18" s="15" t="s">
        <v>205</v>
      </c>
    </row>
    <row r="19" customFormat="false" ht="15" hidden="false" customHeight="false" outlineLevel="0" collapsed="false">
      <c r="A19" s="15" t="s">
        <v>122</v>
      </c>
      <c r="B19" s="15" t="s">
        <v>118</v>
      </c>
      <c r="C19" s="15" t="s">
        <v>105</v>
      </c>
      <c r="D19" s="15" t="n">
        <v>292</v>
      </c>
      <c r="E19" s="15" t="s">
        <v>187</v>
      </c>
      <c r="F19" s="15" t="s">
        <v>206</v>
      </c>
    </row>
    <row r="20" customFormat="false" ht="15" hidden="false" customHeight="false" outlineLevel="0" collapsed="false">
      <c r="A20" s="15" t="s">
        <v>123</v>
      </c>
      <c r="B20" s="15" t="s">
        <v>118</v>
      </c>
      <c r="C20" s="15" t="s">
        <v>124</v>
      </c>
      <c r="D20" s="15" t="n">
        <v>248</v>
      </c>
      <c r="E20" s="15" t="s">
        <v>187</v>
      </c>
      <c r="F20" s="15" t="s">
        <v>207</v>
      </c>
    </row>
    <row r="21" customFormat="false" ht="15" hidden="false" customHeight="false" outlineLevel="0" collapsed="false">
      <c r="A21" s="15" t="s">
        <v>125</v>
      </c>
      <c r="B21" s="15" t="s">
        <v>118</v>
      </c>
      <c r="C21" s="15" t="s">
        <v>126</v>
      </c>
      <c r="D21" s="15" t="n">
        <v>291</v>
      </c>
      <c r="E21" s="15" t="s">
        <v>187</v>
      </c>
      <c r="F21" s="15" t="s">
        <v>208</v>
      </c>
    </row>
    <row r="22" customFormat="false" ht="15" hidden="false" customHeight="false" outlineLevel="0" collapsed="false">
      <c r="A22" s="15" t="s">
        <v>127</v>
      </c>
      <c r="B22" s="15" t="s">
        <v>118</v>
      </c>
      <c r="C22" s="15" t="s">
        <v>103</v>
      </c>
      <c r="D22" s="15" t="n">
        <v>172</v>
      </c>
      <c r="E22" s="15" t="s">
        <v>187</v>
      </c>
      <c r="F22" s="15" t="s">
        <v>209</v>
      </c>
    </row>
    <row r="23" customFormat="false" ht="15" hidden="false" customHeight="false" outlineLevel="0" collapsed="false">
      <c r="A23" s="15" t="s">
        <v>128</v>
      </c>
      <c r="B23" s="15" t="s">
        <v>118</v>
      </c>
      <c r="C23" s="15" t="s">
        <v>107</v>
      </c>
      <c r="D23" s="15" t="n">
        <v>284</v>
      </c>
      <c r="E23" s="15" t="s">
        <v>187</v>
      </c>
      <c r="F23" s="15" t="s">
        <v>210</v>
      </c>
    </row>
    <row r="24" customFormat="false" ht="15" hidden="false" customHeight="false" outlineLevel="0" collapsed="false">
      <c r="A24" s="15" t="s">
        <v>129</v>
      </c>
      <c r="B24" s="15" t="s">
        <v>118</v>
      </c>
      <c r="C24" s="15" t="s">
        <v>107</v>
      </c>
      <c r="D24" s="15" t="n">
        <v>167</v>
      </c>
      <c r="E24" s="15" t="s">
        <v>187</v>
      </c>
      <c r="F24" s="15" t="s">
        <v>211</v>
      </c>
    </row>
    <row r="25" customFormat="false" ht="15" hidden="false" customHeight="false" outlineLevel="0" collapsed="false">
      <c r="A25" s="15" t="s">
        <v>130</v>
      </c>
      <c r="B25" s="15" t="s">
        <v>118</v>
      </c>
      <c r="C25" s="15" t="s">
        <v>107</v>
      </c>
      <c r="D25" s="15" t="n">
        <v>267</v>
      </c>
      <c r="E25" s="15" t="s">
        <v>187</v>
      </c>
      <c r="F25" s="15" t="s">
        <v>212</v>
      </c>
    </row>
    <row r="26" customFormat="false" ht="15" hidden="false" customHeight="false" outlineLevel="0" collapsed="false">
      <c r="A26" s="15" t="s">
        <v>131</v>
      </c>
      <c r="B26" s="15" t="s">
        <v>118</v>
      </c>
      <c r="C26" s="15" t="s">
        <v>132</v>
      </c>
      <c r="D26" s="15" t="n">
        <v>290</v>
      </c>
      <c r="E26" s="15" t="s">
        <v>187</v>
      </c>
      <c r="F26" s="15" t="s">
        <v>213</v>
      </c>
    </row>
    <row r="27" customFormat="false" ht="15" hidden="false" customHeight="false" outlineLevel="0" collapsed="false">
      <c r="A27" s="15" t="s">
        <v>133</v>
      </c>
      <c r="B27" s="15" t="s">
        <v>118</v>
      </c>
      <c r="C27" s="15" t="s">
        <v>105</v>
      </c>
      <c r="D27" s="15" t="n">
        <v>260</v>
      </c>
      <c r="E27" s="15" t="s">
        <v>187</v>
      </c>
      <c r="F27" s="15" t="s">
        <v>214</v>
      </c>
    </row>
    <row r="28" customFormat="false" ht="15" hidden="false" customHeight="false" outlineLevel="0" collapsed="false">
      <c r="A28" s="15" t="s">
        <v>134</v>
      </c>
      <c r="B28" s="15" t="s">
        <v>135</v>
      </c>
      <c r="C28" s="15" t="s">
        <v>136</v>
      </c>
      <c r="D28" s="15" t="n">
        <v>307</v>
      </c>
      <c r="E28" s="15" t="s">
        <v>187</v>
      </c>
      <c r="F28" s="15" t="s">
        <v>215</v>
      </c>
    </row>
    <row r="29" customFormat="false" ht="15" hidden="false" customHeight="false" outlineLevel="0" collapsed="false">
      <c r="A29" s="15" t="s">
        <v>137</v>
      </c>
      <c r="B29" s="15" t="s">
        <v>135</v>
      </c>
      <c r="C29" s="15" t="s">
        <v>138</v>
      </c>
      <c r="D29" s="15" t="n">
        <v>163</v>
      </c>
      <c r="E29" s="15" t="s">
        <v>187</v>
      </c>
      <c r="F29" s="15" t="s">
        <v>216</v>
      </c>
    </row>
    <row r="30" customFormat="false" ht="15" hidden="false" customHeight="false" outlineLevel="0" collapsed="false">
      <c r="A30" s="15" t="s">
        <v>139</v>
      </c>
      <c r="B30" s="15" t="s">
        <v>135</v>
      </c>
      <c r="C30" s="15" t="s">
        <v>138</v>
      </c>
      <c r="D30" s="15" t="n">
        <v>184</v>
      </c>
      <c r="E30" s="15" t="s">
        <v>187</v>
      </c>
      <c r="F30" s="15" t="s">
        <v>217</v>
      </c>
    </row>
    <row r="31" customFormat="false" ht="15" hidden="false" customHeight="false" outlineLevel="0" collapsed="false">
      <c r="A31" s="15" t="s">
        <v>140</v>
      </c>
      <c r="B31" s="15" t="s">
        <v>135</v>
      </c>
      <c r="C31" s="15" t="s">
        <v>141</v>
      </c>
      <c r="D31" s="15" t="n">
        <v>169</v>
      </c>
      <c r="E31" s="15" t="s">
        <v>187</v>
      </c>
      <c r="F31" s="15" t="s">
        <v>218</v>
      </c>
    </row>
    <row r="32" customFormat="false" ht="15" hidden="false" customHeight="false" outlineLevel="0" collapsed="false">
      <c r="A32" s="15" t="s">
        <v>142</v>
      </c>
      <c r="B32" s="15" t="s">
        <v>135</v>
      </c>
      <c r="C32" s="15" t="s">
        <v>143</v>
      </c>
      <c r="D32" s="15" t="n">
        <v>201</v>
      </c>
      <c r="E32" s="15" t="s">
        <v>187</v>
      </c>
      <c r="F32" s="15" t="s">
        <v>219</v>
      </c>
    </row>
    <row r="33" customFormat="false" ht="15" hidden="false" customHeight="false" outlineLevel="0" collapsed="false">
      <c r="A33" s="15" t="s">
        <v>144</v>
      </c>
      <c r="B33" s="15" t="s">
        <v>135</v>
      </c>
      <c r="C33" s="15" t="s">
        <v>141</v>
      </c>
      <c r="D33" s="15" t="n">
        <v>279</v>
      </c>
      <c r="E33" s="15" t="s">
        <v>187</v>
      </c>
      <c r="F33" s="15" t="s">
        <v>220</v>
      </c>
    </row>
    <row r="34" customFormat="false" ht="15" hidden="false" customHeight="false" outlineLevel="0" collapsed="false">
      <c r="A34" s="15" t="s">
        <v>145</v>
      </c>
      <c r="B34" s="15" t="s">
        <v>135</v>
      </c>
      <c r="C34" s="15" t="s">
        <v>146</v>
      </c>
      <c r="D34" s="15" t="n">
        <v>19</v>
      </c>
      <c r="E34" s="15" t="s">
        <v>221</v>
      </c>
      <c r="F34" s="15" t="s">
        <v>222</v>
      </c>
    </row>
    <row r="35" customFormat="false" ht="15" hidden="false" customHeight="false" outlineLevel="0" collapsed="false">
      <c r="A35" s="15" t="s">
        <v>145</v>
      </c>
      <c r="B35" s="15" t="s">
        <v>135</v>
      </c>
      <c r="C35" s="15" t="s">
        <v>146</v>
      </c>
      <c r="D35" s="15" t="n">
        <v>21</v>
      </c>
      <c r="E35" s="15" t="s">
        <v>221</v>
      </c>
      <c r="F35" s="15" t="s">
        <v>223</v>
      </c>
    </row>
    <row r="36" customFormat="false" ht="15" hidden="false" customHeight="false" outlineLevel="0" collapsed="false">
      <c r="A36" s="15" t="s">
        <v>145</v>
      </c>
      <c r="B36" s="15" t="s">
        <v>135</v>
      </c>
      <c r="C36" s="15" t="s">
        <v>146</v>
      </c>
      <c r="D36" s="15" t="n">
        <v>220</v>
      </c>
      <c r="E36" s="15" t="s">
        <v>224</v>
      </c>
      <c r="F36" s="15" t="s">
        <v>225</v>
      </c>
    </row>
    <row r="37" customFormat="false" ht="15" hidden="false" customHeight="false" outlineLevel="0" collapsed="false">
      <c r="A37" s="15" t="s">
        <v>147</v>
      </c>
      <c r="B37" s="15" t="s">
        <v>135</v>
      </c>
      <c r="C37" s="15" t="s">
        <v>148</v>
      </c>
      <c r="D37" s="15" t="n">
        <v>335</v>
      </c>
      <c r="E37" s="15" t="s">
        <v>187</v>
      </c>
      <c r="F37" s="15" t="s">
        <v>226</v>
      </c>
    </row>
    <row r="38" customFormat="false" ht="15" hidden="false" customHeight="false" outlineLevel="0" collapsed="false">
      <c r="A38" s="15" t="s">
        <v>149</v>
      </c>
      <c r="B38" s="15" t="s">
        <v>135</v>
      </c>
      <c r="C38" s="15" t="s">
        <v>146</v>
      </c>
      <c r="D38" s="15" t="n">
        <v>251</v>
      </c>
      <c r="E38" s="15" t="s">
        <v>187</v>
      </c>
      <c r="F38" s="15" t="s">
        <v>227</v>
      </c>
    </row>
    <row r="39" customFormat="false" ht="15" hidden="false" customHeight="false" outlineLevel="0" collapsed="false">
      <c r="A39" s="15" t="s">
        <v>150</v>
      </c>
      <c r="B39" s="15" t="s">
        <v>135</v>
      </c>
      <c r="C39" s="15" t="s">
        <v>141</v>
      </c>
      <c r="D39" s="15" t="n">
        <v>208</v>
      </c>
      <c r="E39" s="15" t="s">
        <v>187</v>
      </c>
      <c r="F39" s="15" t="s">
        <v>228</v>
      </c>
    </row>
    <row r="40" customFormat="false" ht="15" hidden="false" customHeight="false" outlineLevel="0" collapsed="false">
      <c r="A40" s="15" t="s">
        <v>151</v>
      </c>
      <c r="B40" s="15" t="s">
        <v>135</v>
      </c>
      <c r="C40" s="15" t="s">
        <v>136</v>
      </c>
      <c r="D40" s="15" t="n">
        <v>229</v>
      </c>
      <c r="E40" s="15" t="s">
        <v>187</v>
      </c>
      <c r="F40" s="15" t="s">
        <v>229</v>
      </c>
    </row>
    <row r="41" customFormat="false" ht="15" hidden="false" customHeight="false" outlineLevel="0" collapsed="false">
      <c r="A41" s="15" t="s">
        <v>152</v>
      </c>
      <c r="B41" s="15" t="s">
        <v>135</v>
      </c>
      <c r="C41" s="15" t="s">
        <v>148</v>
      </c>
      <c r="D41" s="15" t="n">
        <v>228</v>
      </c>
      <c r="E41" s="15" t="s">
        <v>187</v>
      </c>
      <c r="F41" s="15" t="s">
        <v>230</v>
      </c>
    </row>
    <row r="42" customFormat="false" ht="15" hidden="false" customHeight="false" outlineLevel="0" collapsed="false">
      <c r="A42" s="15" t="s">
        <v>153</v>
      </c>
      <c r="B42" s="15" t="s">
        <v>135</v>
      </c>
      <c r="C42" s="15" t="s">
        <v>136</v>
      </c>
      <c r="D42" s="15" t="n">
        <v>272</v>
      </c>
      <c r="E42" s="15" t="s">
        <v>187</v>
      </c>
      <c r="F42" s="15" t="s">
        <v>231</v>
      </c>
    </row>
    <row r="43" customFormat="false" ht="15" hidden="false" customHeight="false" outlineLevel="0" collapsed="false">
      <c r="A43" s="15" t="s">
        <v>154</v>
      </c>
      <c r="B43" s="15" t="s">
        <v>135</v>
      </c>
      <c r="C43" s="15" t="s">
        <v>141</v>
      </c>
      <c r="D43" s="15" t="n">
        <v>242</v>
      </c>
      <c r="E43" s="15" t="s">
        <v>187</v>
      </c>
      <c r="F43" s="15" t="s">
        <v>232</v>
      </c>
    </row>
    <row r="44" customFormat="false" ht="15" hidden="false" customHeight="false" outlineLevel="0" collapsed="false">
      <c r="A44" s="15" t="s">
        <v>155</v>
      </c>
      <c r="B44" s="15" t="s">
        <v>135</v>
      </c>
      <c r="C44" s="15" t="s">
        <v>148</v>
      </c>
      <c r="D44" s="15" t="n">
        <v>280</v>
      </c>
      <c r="E44" s="15" t="s">
        <v>187</v>
      </c>
      <c r="F44" s="15" t="s">
        <v>233</v>
      </c>
    </row>
    <row r="45" customFormat="false" ht="15" hidden="false" customHeight="false" outlineLevel="0" collapsed="false">
      <c r="A45" s="15" t="s">
        <v>156</v>
      </c>
      <c r="B45" s="15" t="s">
        <v>135</v>
      </c>
      <c r="C45" s="15" t="s">
        <v>148</v>
      </c>
      <c r="D45" s="15" t="n">
        <v>219</v>
      </c>
      <c r="E45" s="15" t="s">
        <v>187</v>
      </c>
      <c r="F45" s="15" t="s">
        <v>234</v>
      </c>
    </row>
    <row r="46" customFormat="false" ht="15" hidden="false" customHeight="false" outlineLevel="0" collapsed="false">
      <c r="A46" s="15" t="s">
        <v>157</v>
      </c>
      <c r="B46" s="15" t="s">
        <v>135</v>
      </c>
      <c r="C46" s="15" t="s">
        <v>148</v>
      </c>
      <c r="D46" s="15" t="n">
        <v>187</v>
      </c>
      <c r="E46" s="15" t="s">
        <v>187</v>
      </c>
      <c r="F46" s="15" t="s">
        <v>235</v>
      </c>
    </row>
    <row r="48" customFormat="false" ht="31.5" hidden="false" customHeight="true" outlineLevel="0" collapsed="false">
      <c r="A48" s="22" t="s">
        <v>236</v>
      </c>
      <c r="B48" s="22"/>
      <c r="C48" s="22"/>
      <c r="D48" s="22"/>
      <c r="E48" s="22"/>
      <c r="F48" s="22"/>
    </row>
    <row r="49" customFormat="false" ht="31.5" hidden="false" customHeight="true" outlineLevel="0" collapsed="false">
      <c r="A49" s="22" t="s">
        <v>237</v>
      </c>
      <c r="B49" s="22"/>
      <c r="C49" s="22"/>
      <c r="D49" s="22"/>
      <c r="E49" s="22"/>
      <c r="F49" s="22"/>
    </row>
    <row r="50" customFormat="false" ht="31.5" hidden="false" customHeight="true" outlineLevel="0" collapsed="false">
      <c r="A50" s="22" t="s">
        <v>238</v>
      </c>
      <c r="B50" s="22"/>
      <c r="C50" s="22"/>
      <c r="D50" s="22"/>
      <c r="E50" s="22"/>
      <c r="F50" s="22"/>
    </row>
  </sheetData>
  <mergeCells count="3">
    <mergeCell ref="A48:F48"/>
    <mergeCell ref="A49:F49"/>
    <mergeCell ref="A50:F5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40"/>
    <col collapsed="false" customWidth="true" hidden="false" outlineLevel="0" max="3" min="3" style="0" width="90"/>
  </cols>
  <sheetData>
    <row r="1" customFormat="false" ht="57.75" hidden="false" customHeight="true" outlineLevel="0" collapsed="false">
      <c r="A1" s="6" t="s">
        <v>239</v>
      </c>
      <c r="B1" s="6" t="s">
        <v>240</v>
      </c>
      <c r="C1" s="6" t="s">
        <v>241</v>
      </c>
    </row>
    <row r="2" customFormat="false" ht="26.85" hidden="false" customHeight="false" outlineLevel="0" collapsed="false">
      <c r="A2" s="2" t="s">
        <v>242</v>
      </c>
      <c r="B2" s="2" t="s">
        <v>243</v>
      </c>
      <c r="C2" s="2" t="s">
        <v>244</v>
      </c>
    </row>
    <row r="3" customFormat="false" ht="26.85" hidden="false" customHeight="false" outlineLevel="0" collapsed="false">
      <c r="A3" s="2" t="s">
        <v>245</v>
      </c>
      <c r="B3" s="2" t="s">
        <v>243</v>
      </c>
      <c r="C3" s="2" t="s">
        <v>246</v>
      </c>
    </row>
    <row r="4" customFormat="false" ht="26.85" hidden="false" customHeight="false" outlineLevel="0" collapsed="false">
      <c r="A4" s="2" t="s">
        <v>247</v>
      </c>
      <c r="B4" s="2" t="s">
        <v>248</v>
      </c>
      <c r="C4" s="2" t="s">
        <v>249</v>
      </c>
    </row>
    <row r="5" customFormat="false" ht="26.85" hidden="false" customHeight="false" outlineLevel="0" collapsed="false">
      <c r="A5" s="2" t="s">
        <v>250</v>
      </c>
      <c r="B5" s="2" t="s">
        <v>251</v>
      </c>
      <c r="C5" s="2" t="s">
        <v>252</v>
      </c>
    </row>
    <row r="6" customFormat="false" ht="26.85" hidden="false" customHeight="false" outlineLevel="0" collapsed="false">
      <c r="A6" s="2" t="s">
        <v>253</v>
      </c>
      <c r="B6" s="2" t="s">
        <v>251</v>
      </c>
      <c r="C6" s="2" t="s">
        <v>254</v>
      </c>
    </row>
    <row r="7" customFormat="false" ht="26.85" hidden="false" customHeight="false" outlineLevel="0" collapsed="false">
      <c r="A7" s="2" t="s">
        <v>255</v>
      </c>
      <c r="B7" s="2" t="s">
        <v>256</v>
      </c>
      <c r="C7" s="2" t="s">
        <v>257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6"/>
    <col collapsed="false" customWidth="true" hidden="false" outlineLevel="0" max="3" min="3" style="0" width="100"/>
  </cols>
  <sheetData>
    <row r="1" customFormat="false" ht="15" hidden="false" customHeight="false" outlineLevel="0" collapsed="false">
      <c r="A1" s="4" t="s">
        <v>258</v>
      </c>
    </row>
    <row r="3" customFormat="false" ht="31.5" hidden="false" customHeight="true" outlineLevel="0" collapsed="false">
      <c r="A3" s="13" t="s">
        <v>259</v>
      </c>
      <c r="B3" s="23" t="n">
        <v>0.95</v>
      </c>
      <c r="C3" s="24" t="s">
        <v>260</v>
      </c>
    </row>
    <row r="5" customFormat="false" ht="57.75" hidden="false" customHeight="true" outlineLevel="0" collapsed="false">
      <c r="A5" s="13" t="s">
        <v>261</v>
      </c>
      <c r="B5" s="25"/>
      <c r="C5" s="24" t="s">
        <v>262</v>
      </c>
    </row>
    <row r="7" customFormat="false" ht="57.75" hidden="false" customHeight="true" outlineLevel="0" collapsed="false">
      <c r="A7" s="6" t="s">
        <v>39</v>
      </c>
      <c r="B7" s="6" t="s">
        <v>263</v>
      </c>
    </row>
    <row r="8" customFormat="false" ht="15" hidden="false" customHeight="false" outlineLevel="0" collapsed="false">
      <c r="A8" s="7" t="n">
        <v>2000</v>
      </c>
      <c r="B8" s="26"/>
    </row>
    <row r="9" customFormat="false" ht="15" hidden="false" customHeight="false" outlineLevel="0" collapsed="false">
      <c r="A9" s="7" t="n">
        <v>2001</v>
      </c>
      <c r="B9" s="26"/>
    </row>
    <row r="10" customFormat="false" ht="15" hidden="false" customHeight="false" outlineLevel="0" collapsed="false">
      <c r="A10" s="7" t="n">
        <v>2002</v>
      </c>
      <c r="B10" s="26"/>
    </row>
    <row r="11" customFormat="false" ht="15" hidden="false" customHeight="false" outlineLevel="0" collapsed="false">
      <c r="A11" s="7" t="n">
        <v>2003</v>
      </c>
      <c r="B11" s="26"/>
    </row>
    <row r="12" customFormat="false" ht="15" hidden="false" customHeight="false" outlineLevel="0" collapsed="false">
      <c r="A12" s="7" t="n">
        <v>2004</v>
      </c>
      <c r="B12" s="26"/>
    </row>
    <row r="13" customFormat="false" ht="15" hidden="false" customHeight="false" outlineLevel="0" collapsed="false">
      <c r="A13" s="7" t="n">
        <v>2005</v>
      </c>
      <c r="B13" s="26"/>
    </row>
    <row r="14" customFormat="false" ht="15" hidden="false" customHeight="false" outlineLevel="0" collapsed="false">
      <c r="A14" s="7" t="n">
        <v>2006</v>
      </c>
      <c r="B14" s="26"/>
    </row>
    <row r="15" customFormat="false" ht="15" hidden="false" customHeight="false" outlineLevel="0" collapsed="false">
      <c r="A15" s="7" t="n">
        <v>2007</v>
      </c>
      <c r="B15" s="26"/>
    </row>
    <row r="16" customFormat="false" ht="15" hidden="false" customHeight="false" outlineLevel="0" collapsed="false">
      <c r="A16" s="7" t="n">
        <v>2008</v>
      </c>
      <c r="B16" s="26"/>
    </row>
    <row r="17" customFormat="false" ht="15" hidden="false" customHeight="false" outlineLevel="0" collapsed="false">
      <c r="A17" s="7" t="n">
        <v>2009</v>
      </c>
      <c r="B17" s="26"/>
    </row>
    <row r="18" customFormat="false" ht="15" hidden="false" customHeight="false" outlineLevel="0" collapsed="false">
      <c r="A18" s="7" t="n">
        <v>2010</v>
      </c>
      <c r="B18" s="26"/>
    </row>
    <row r="19" customFormat="false" ht="15" hidden="false" customHeight="false" outlineLevel="0" collapsed="false">
      <c r="A19" s="7" t="n">
        <v>2011</v>
      </c>
      <c r="B19" s="26"/>
    </row>
    <row r="20" customFormat="false" ht="15" hidden="false" customHeight="false" outlineLevel="0" collapsed="false">
      <c r="A20" s="7" t="n">
        <v>2012</v>
      </c>
      <c r="B20" s="26"/>
    </row>
    <row r="21" customFormat="false" ht="15" hidden="false" customHeight="false" outlineLevel="0" collapsed="false">
      <c r="A21" s="7" t="n">
        <v>2013</v>
      </c>
      <c r="B21" s="26"/>
    </row>
    <row r="22" customFormat="false" ht="15" hidden="false" customHeight="false" outlineLevel="0" collapsed="false">
      <c r="A22" s="7" t="n">
        <v>2014</v>
      </c>
      <c r="B22" s="26"/>
    </row>
    <row r="23" customFormat="false" ht="15" hidden="false" customHeight="false" outlineLevel="0" collapsed="false">
      <c r="A23" s="7" t="n">
        <v>2015</v>
      </c>
      <c r="B23" s="26"/>
    </row>
    <row r="24" customFormat="false" ht="15" hidden="false" customHeight="false" outlineLevel="0" collapsed="false">
      <c r="A24" s="7" t="n">
        <v>2016</v>
      </c>
      <c r="B24" s="26"/>
    </row>
    <row r="25" customFormat="false" ht="15" hidden="false" customHeight="false" outlineLevel="0" collapsed="false">
      <c r="A25" s="7" t="n">
        <v>2017</v>
      </c>
      <c r="B25" s="26"/>
    </row>
    <row r="26" customFormat="false" ht="15" hidden="false" customHeight="false" outlineLevel="0" collapsed="false">
      <c r="A26" s="7" t="n">
        <v>2018</v>
      </c>
      <c r="B26" s="26"/>
    </row>
    <row r="27" customFormat="false" ht="15" hidden="false" customHeight="false" outlineLevel="0" collapsed="false">
      <c r="A27" s="7" t="n">
        <v>2019</v>
      </c>
      <c r="B27" s="26"/>
    </row>
    <row r="28" customFormat="false" ht="15" hidden="false" customHeight="false" outlineLevel="0" collapsed="false">
      <c r="A28" s="7" t="n">
        <v>2020</v>
      </c>
      <c r="B28" s="26"/>
    </row>
    <row r="29" customFormat="false" ht="15" hidden="false" customHeight="false" outlineLevel="0" collapsed="false">
      <c r="A29" s="7" t="n">
        <v>2021</v>
      </c>
      <c r="B29" s="26"/>
    </row>
    <row r="30" customFormat="false" ht="15" hidden="false" customHeight="false" outlineLevel="0" collapsed="false">
      <c r="A30" s="7" t="n">
        <v>2022</v>
      </c>
      <c r="B30" s="26"/>
    </row>
    <row r="31" customFormat="false" ht="15" hidden="false" customHeight="false" outlineLevel="0" collapsed="false">
      <c r="A31" s="7" t="n">
        <v>2023</v>
      </c>
      <c r="B31" s="26"/>
    </row>
    <row r="32" customFormat="false" ht="15" hidden="false" customHeight="false" outlineLevel="0" collapsed="false">
      <c r="A32" s="7" t="n">
        <v>2024</v>
      </c>
      <c r="B32" s="26"/>
    </row>
    <row r="33" customFormat="false" ht="15" hidden="false" customHeight="false" outlineLevel="0" collapsed="false">
      <c r="A33" s="7" t="n">
        <v>2025</v>
      </c>
      <c r="B33" s="26"/>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00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36"/>
    <col collapsed="false" customWidth="true" hidden="false" outlineLevel="0" max="3" min="3" style="0" width="16"/>
    <col collapsed="false" customWidth="true" hidden="false" outlineLevel="0" max="4" min="4" style="0" width="8"/>
    <col collapsed="false" customWidth="true" hidden="false" outlineLevel="0" max="5" min="5" style="0" width="13"/>
    <col collapsed="false" customWidth="true" hidden="false" outlineLevel="0" max="6" min="6" style="0" width="12"/>
    <col collapsed="false" customWidth="true" hidden="false" outlineLevel="0" max="8" min="7" style="0" width="13"/>
    <col collapsed="false" customWidth="true" hidden="false" outlineLevel="0" max="11" min="9" style="0" width="14"/>
    <col collapsed="false" customWidth="true" hidden="false" outlineLevel="0" max="12" min="12" style="0" width="13"/>
    <col collapsed="false" customWidth="true" hidden="false" outlineLevel="0" max="13" min="13" style="0" width="14"/>
    <col collapsed="false" customWidth="true" hidden="false" outlineLevel="0" max="14" min="14" style="0" width="12"/>
  </cols>
  <sheetData>
    <row r="1" customFormat="false" ht="57.75" hidden="false" customHeight="true" outlineLevel="0" collapsed="false">
      <c r="A1" s="6" t="s">
        <v>39</v>
      </c>
      <c r="B1" s="6" t="s">
        <v>85</v>
      </c>
      <c r="C1" s="6" t="s">
        <v>86</v>
      </c>
      <c r="D1" s="6" t="s">
        <v>87</v>
      </c>
      <c r="E1" s="6" t="s">
        <v>89</v>
      </c>
      <c r="F1" s="6" t="s">
        <v>90</v>
      </c>
      <c r="G1" s="6" t="s">
        <v>264</v>
      </c>
      <c r="H1" s="6" t="s">
        <v>265</v>
      </c>
      <c r="I1" s="6" t="s">
        <v>266</v>
      </c>
      <c r="J1" s="6" t="s">
        <v>267</v>
      </c>
      <c r="K1" s="6" t="s">
        <v>268</v>
      </c>
      <c r="L1" s="6" t="s">
        <v>88</v>
      </c>
      <c r="M1" s="6" t="s">
        <v>269</v>
      </c>
      <c r="N1" s="6" t="s">
        <v>92</v>
      </c>
    </row>
    <row r="2" customFormat="false" ht="15" hidden="false" customHeight="false" outlineLevel="0" collapsed="false">
      <c r="A2" s="7" t="n">
        <v>2000</v>
      </c>
      <c r="B2" s="15" t="s">
        <v>101</v>
      </c>
      <c r="C2" s="15" t="s">
        <v>102</v>
      </c>
      <c r="D2" s="15" t="s">
        <v>103</v>
      </c>
      <c r="E2" s="19" t="n">
        <v>58.333212</v>
      </c>
      <c r="F2" s="19" t="n">
        <v>52.097101</v>
      </c>
      <c r="G2" s="19" t="n">
        <v>39.712796</v>
      </c>
      <c r="H2" s="19" t="n">
        <v>29.98762</v>
      </c>
      <c r="I2" s="19" t="n">
        <v>1174.303763</v>
      </c>
      <c r="J2" s="27" t="n">
        <v>743158</v>
      </c>
      <c r="K2" s="27"/>
      <c r="L2" s="9" t="n">
        <f aca="false">IF(AND(K2&lt;&gt;"",J2&lt;Assumptions!$B$3*K2),K2,J2)</f>
        <v>743158</v>
      </c>
      <c r="M2" s="21" t="str">
        <f aca="false">IF(L2=J2,"FERC Form 1","EIA-861")</f>
        <v>FERC Form 1</v>
      </c>
      <c r="N2" s="28" t="n">
        <f aca="false">E2+F2+G2</f>
        <v>150.143109</v>
      </c>
    </row>
    <row r="3" customFormat="false" ht="15" hidden="false" customHeight="false" outlineLevel="0" collapsed="false">
      <c r="A3" s="7" t="n">
        <v>2001</v>
      </c>
      <c r="B3" s="15" t="s">
        <v>101</v>
      </c>
      <c r="C3" s="15" t="s">
        <v>102</v>
      </c>
      <c r="D3" s="15" t="s">
        <v>103</v>
      </c>
      <c r="E3" s="19" t="n">
        <v>50.480125</v>
      </c>
      <c r="F3" s="19" t="n">
        <v>22.972715</v>
      </c>
      <c r="G3" s="19" t="n">
        <v>40.252961</v>
      </c>
      <c r="H3" s="19" t="n">
        <v>31.219281</v>
      </c>
      <c r="I3" s="19" t="n">
        <v>1198.441922</v>
      </c>
      <c r="J3" s="27" t="n">
        <v>746261</v>
      </c>
      <c r="K3" s="27" t="n">
        <v>746261</v>
      </c>
      <c r="L3" s="9" t="n">
        <f aca="false">IF(AND(K3&lt;&gt;"",J3&lt;Assumptions!$B$3*K3),K3,J3)</f>
        <v>746261</v>
      </c>
      <c r="M3" s="21" t="str">
        <f aca="false">IF(L3=J3,"FERC Form 1","EIA-861")</f>
        <v>FERC Form 1</v>
      </c>
      <c r="N3" s="28" t="n">
        <f aca="false">E3+F3+G3</f>
        <v>113.705801</v>
      </c>
    </row>
    <row r="4" customFormat="false" ht="15" hidden="false" customHeight="false" outlineLevel="0" collapsed="false">
      <c r="A4" s="7" t="n">
        <v>2002</v>
      </c>
      <c r="B4" s="15" t="s">
        <v>101</v>
      </c>
      <c r="C4" s="15" t="s">
        <v>102</v>
      </c>
      <c r="D4" s="15" t="s">
        <v>103</v>
      </c>
      <c r="E4" s="19" t="n">
        <v>51.587632</v>
      </c>
      <c r="F4" s="19" t="n">
        <v>18.535717</v>
      </c>
      <c r="G4" s="19" t="n">
        <v>41.217447</v>
      </c>
      <c r="H4" s="19" t="n">
        <v>35.893336</v>
      </c>
      <c r="I4" s="19" t="n">
        <v>1229.107265</v>
      </c>
      <c r="J4" s="27" t="n">
        <v>751430</v>
      </c>
      <c r="K4" s="27" t="n">
        <v>751430</v>
      </c>
      <c r="L4" s="9" t="n">
        <f aca="false">IF(AND(K4&lt;&gt;"",J4&lt;Assumptions!$B$3*K4),K4,J4)</f>
        <v>751430</v>
      </c>
      <c r="M4" s="21" t="str">
        <f aca="false">IF(L4=J4,"FERC Form 1","EIA-861")</f>
        <v>FERC Form 1</v>
      </c>
      <c r="N4" s="28" t="n">
        <f aca="false">E4+F4+G4</f>
        <v>111.340796</v>
      </c>
    </row>
    <row r="5" customFormat="false" ht="15" hidden="false" customHeight="false" outlineLevel="0" collapsed="false">
      <c r="A5" s="7" t="n">
        <v>2003</v>
      </c>
      <c r="B5" s="15" t="s">
        <v>101</v>
      </c>
      <c r="C5" s="15" t="s">
        <v>102</v>
      </c>
      <c r="D5" s="15" t="s">
        <v>103</v>
      </c>
      <c r="E5" s="19" t="n">
        <v>56.673713</v>
      </c>
      <c r="F5" s="19" t="n">
        <v>26.916272</v>
      </c>
      <c r="G5" s="19" t="n">
        <v>42.665787</v>
      </c>
      <c r="H5" s="19" t="n">
        <v>57.245981</v>
      </c>
      <c r="I5" s="19" t="n">
        <v>1275.851432</v>
      </c>
      <c r="J5" s="27" t="n">
        <v>752331</v>
      </c>
      <c r="K5" s="27" t="n">
        <v>752331</v>
      </c>
      <c r="L5" s="9" t="n">
        <f aca="false">IF(AND(K5&lt;&gt;"",J5&lt;Assumptions!$B$3*K5),K5,J5)</f>
        <v>752331</v>
      </c>
      <c r="M5" s="21" t="str">
        <f aca="false">IF(L5=J5,"FERC Form 1","EIA-861")</f>
        <v>FERC Form 1</v>
      </c>
      <c r="N5" s="28" t="n">
        <f aca="false">E5+F5+G5</f>
        <v>126.255772</v>
      </c>
    </row>
    <row r="6" customFormat="false" ht="15" hidden="false" customHeight="false" outlineLevel="0" collapsed="false">
      <c r="A6" s="7" t="n">
        <v>2004</v>
      </c>
      <c r="B6" s="15" t="s">
        <v>101</v>
      </c>
      <c r="C6" s="15" t="s">
        <v>102</v>
      </c>
      <c r="D6" s="15" t="s">
        <v>103</v>
      </c>
      <c r="E6" s="19" t="n">
        <v>41.35222</v>
      </c>
      <c r="F6" s="19" t="n">
        <v>27.202062</v>
      </c>
      <c r="G6" s="19" t="n">
        <v>44.137398</v>
      </c>
      <c r="H6" s="19" t="n">
        <v>54.075849</v>
      </c>
      <c r="I6" s="19" t="n">
        <v>1324.349416</v>
      </c>
      <c r="J6" s="27" t="n">
        <v>753315</v>
      </c>
      <c r="K6" s="27" t="n">
        <v>753315</v>
      </c>
      <c r="L6" s="9" t="n">
        <f aca="false">IF(AND(K6&lt;&gt;"",J6&lt;Assumptions!$B$3*K6),K6,J6)</f>
        <v>753315</v>
      </c>
      <c r="M6" s="21" t="str">
        <f aca="false">IF(L6=J6,"FERC Form 1","EIA-861")</f>
        <v>FERC Form 1</v>
      </c>
      <c r="N6" s="28" t="n">
        <f aca="false">E6+F6+G6</f>
        <v>112.69168</v>
      </c>
    </row>
    <row r="7" customFormat="false" ht="15" hidden="false" customHeight="false" outlineLevel="0" collapsed="false">
      <c r="A7" s="7" t="n">
        <v>2005</v>
      </c>
      <c r="B7" s="15" t="s">
        <v>101</v>
      </c>
      <c r="C7" s="15" t="s">
        <v>102</v>
      </c>
      <c r="D7" s="15" t="s">
        <v>103</v>
      </c>
      <c r="E7" s="19" t="n">
        <v>51.431396</v>
      </c>
      <c r="F7" s="19" t="n">
        <v>29.955962</v>
      </c>
      <c r="G7" s="19" t="n">
        <v>46.074046</v>
      </c>
      <c r="H7" s="19" t="n">
        <v>77.57642</v>
      </c>
      <c r="I7" s="19" t="n">
        <v>1395.51248</v>
      </c>
      <c r="J7" s="27" t="n">
        <v>761559</v>
      </c>
      <c r="K7" s="27" t="n">
        <v>761560</v>
      </c>
      <c r="L7" s="9" t="n">
        <f aca="false">IF(AND(K7&lt;&gt;"",J7&lt;Assumptions!$B$3*K7),K7,J7)</f>
        <v>761559</v>
      </c>
      <c r="M7" s="21" t="str">
        <f aca="false">IF(L7=J7,"FERC Form 1","EIA-861")</f>
        <v>FERC Form 1</v>
      </c>
      <c r="N7" s="28" t="n">
        <f aca="false">E7+F7+G7</f>
        <v>127.461404</v>
      </c>
    </row>
    <row r="8" customFormat="false" ht="15" hidden="false" customHeight="false" outlineLevel="0" collapsed="false">
      <c r="A8" s="7" t="n">
        <v>2006</v>
      </c>
      <c r="B8" s="15" t="s">
        <v>101</v>
      </c>
      <c r="C8" s="15" t="s">
        <v>102</v>
      </c>
      <c r="D8" s="15" t="s">
        <v>103</v>
      </c>
      <c r="E8" s="19" t="n">
        <v>51.339538</v>
      </c>
      <c r="F8" s="19" t="n">
        <v>32.10322</v>
      </c>
      <c r="G8" s="19" t="n">
        <v>50.581681</v>
      </c>
      <c r="H8" s="19" t="n">
        <v>74.851378</v>
      </c>
      <c r="I8" s="19" t="n">
        <v>1466.382578</v>
      </c>
      <c r="J8" s="27" t="n">
        <v>761997</v>
      </c>
      <c r="K8" s="27" t="n">
        <v>761973</v>
      </c>
      <c r="L8" s="9" t="n">
        <f aca="false">IF(AND(K8&lt;&gt;"",J8&lt;Assumptions!$B$3*K8),K8,J8)</f>
        <v>761997</v>
      </c>
      <c r="M8" s="21" t="str">
        <f aca="false">IF(L8=J8,"FERC Form 1","EIA-861")</f>
        <v>FERC Form 1</v>
      </c>
      <c r="N8" s="28" t="n">
        <f aca="false">E8+F8+G8</f>
        <v>134.024439</v>
      </c>
    </row>
    <row r="9" customFormat="false" ht="15" hidden="false" customHeight="false" outlineLevel="0" collapsed="false">
      <c r="A9" s="7" t="n">
        <v>2007</v>
      </c>
      <c r="B9" s="15" t="s">
        <v>101</v>
      </c>
      <c r="C9" s="15" t="s">
        <v>102</v>
      </c>
      <c r="D9" s="15" t="s">
        <v>103</v>
      </c>
      <c r="E9" s="19" t="n">
        <v>52.79573</v>
      </c>
      <c r="F9" s="19" t="n">
        <v>35.715981</v>
      </c>
      <c r="G9" s="19" t="n">
        <v>51.127455</v>
      </c>
      <c r="H9" s="19" t="n">
        <v>110.733087</v>
      </c>
      <c r="I9" s="19" t="n">
        <v>1554.539327</v>
      </c>
      <c r="J9" s="27" t="n">
        <v>758319</v>
      </c>
      <c r="K9" s="27" t="n">
        <v>758320</v>
      </c>
      <c r="L9" s="9" t="n">
        <f aca="false">IF(AND(K9&lt;&gt;"",J9&lt;Assumptions!$B$3*K9),K9,J9)</f>
        <v>758319</v>
      </c>
      <c r="M9" s="21" t="str">
        <f aca="false">IF(L9=J9,"FERC Form 1","EIA-861")</f>
        <v>FERC Form 1</v>
      </c>
      <c r="N9" s="28" t="n">
        <f aca="false">E9+F9+G9</f>
        <v>139.639166</v>
      </c>
    </row>
    <row r="10" customFormat="false" ht="15" hidden="false" customHeight="false" outlineLevel="0" collapsed="false">
      <c r="A10" s="7" t="n">
        <v>2008</v>
      </c>
      <c r="B10" s="15" t="s">
        <v>101</v>
      </c>
      <c r="C10" s="15" t="s">
        <v>102</v>
      </c>
      <c r="D10" s="15" t="s">
        <v>103</v>
      </c>
      <c r="E10" s="19" t="n">
        <v>62.06567</v>
      </c>
      <c r="F10" s="19" t="n">
        <v>31.318751</v>
      </c>
      <c r="G10" s="19" t="n">
        <v>54.358327</v>
      </c>
      <c r="H10" s="19" t="n">
        <v>107.67591</v>
      </c>
      <c r="I10" s="19" t="n">
        <v>1639.928221</v>
      </c>
      <c r="J10" s="27" t="n">
        <v>755807</v>
      </c>
      <c r="K10" s="27" t="n">
        <v>755807</v>
      </c>
      <c r="L10" s="9" t="n">
        <f aca="false">IF(AND(K10&lt;&gt;"",J10&lt;Assumptions!$B$3*K10),K10,J10)</f>
        <v>755807</v>
      </c>
      <c r="M10" s="21" t="str">
        <f aca="false">IF(L10=J10,"FERC Form 1","EIA-861")</f>
        <v>FERC Form 1</v>
      </c>
      <c r="N10" s="28" t="n">
        <f aca="false">E10+F10+G10</f>
        <v>147.742748</v>
      </c>
    </row>
    <row r="11" customFormat="false" ht="15" hidden="false" customHeight="false" outlineLevel="0" collapsed="false">
      <c r="A11" s="7" t="n">
        <v>2009</v>
      </c>
      <c r="B11" s="15" t="s">
        <v>101</v>
      </c>
      <c r="C11" s="15" t="s">
        <v>102</v>
      </c>
      <c r="D11" s="15" t="s">
        <v>103</v>
      </c>
      <c r="E11" s="19" t="n">
        <v>38.396299</v>
      </c>
      <c r="F11" s="19" t="n">
        <v>28.678265</v>
      </c>
      <c r="G11" s="19" t="n">
        <v>54.620738</v>
      </c>
      <c r="H11" s="19" t="n">
        <v>87.02553</v>
      </c>
      <c r="I11" s="19" t="n">
        <v>1713.592632</v>
      </c>
      <c r="J11" s="27" t="n">
        <v>753865</v>
      </c>
      <c r="K11" s="27" t="n">
        <v>753865</v>
      </c>
      <c r="L11" s="9" t="n">
        <f aca="false">IF(AND(K11&lt;&gt;"",J11&lt;Assumptions!$B$3*K11),K11,J11)</f>
        <v>753865</v>
      </c>
      <c r="M11" s="21" t="str">
        <f aca="false">IF(L11=J11,"FERC Form 1","EIA-861")</f>
        <v>FERC Form 1</v>
      </c>
      <c r="N11" s="28" t="n">
        <f aca="false">E11+F11+G11</f>
        <v>121.695302</v>
      </c>
    </row>
    <row r="12" customFormat="false" ht="15" hidden="false" customHeight="false" outlineLevel="0" collapsed="false">
      <c r="A12" s="7" t="n">
        <v>2010</v>
      </c>
      <c r="B12" s="15" t="s">
        <v>101</v>
      </c>
      <c r="C12" s="15" t="s">
        <v>102</v>
      </c>
      <c r="D12" s="15" t="s">
        <v>103</v>
      </c>
      <c r="E12" s="19" t="n">
        <v>42.838939</v>
      </c>
      <c r="F12" s="19" t="n">
        <v>29.946873</v>
      </c>
      <c r="G12" s="19" t="n">
        <v>55.919917</v>
      </c>
      <c r="H12" s="19" t="n">
        <v>91.107647</v>
      </c>
      <c r="I12" s="19" t="n">
        <v>1790.419789</v>
      </c>
      <c r="J12" s="27" t="n">
        <v>752207</v>
      </c>
      <c r="K12" s="27" t="n">
        <v>752207</v>
      </c>
      <c r="L12" s="9" t="n">
        <f aca="false">IF(AND(K12&lt;&gt;"",J12&lt;Assumptions!$B$3*K12),K12,J12)</f>
        <v>752207</v>
      </c>
      <c r="M12" s="21" t="str">
        <f aca="false">IF(L12=J12,"FERC Form 1","EIA-861")</f>
        <v>FERC Form 1</v>
      </c>
      <c r="N12" s="28" t="n">
        <f aca="false">E12+F12+G12</f>
        <v>128.705729</v>
      </c>
    </row>
    <row r="13" customFormat="false" ht="15" hidden="false" customHeight="false" outlineLevel="0" collapsed="false">
      <c r="A13" s="7" t="n">
        <v>2011</v>
      </c>
      <c r="B13" s="15" t="s">
        <v>101</v>
      </c>
      <c r="C13" s="15" t="s">
        <v>102</v>
      </c>
      <c r="D13" s="15" t="s">
        <v>103</v>
      </c>
      <c r="E13" s="19" t="n">
        <v>39.997748</v>
      </c>
      <c r="F13" s="19" t="n">
        <v>29.591602</v>
      </c>
      <c r="G13" s="19" t="n">
        <v>59.790164</v>
      </c>
      <c r="H13" s="19" t="n">
        <v>88.096472</v>
      </c>
      <c r="I13" s="19" t="n">
        <v>1912.303201</v>
      </c>
      <c r="J13" s="27" t="n">
        <v>748935</v>
      </c>
      <c r="K13" s="27" t="n">
        <v>748935</v>
      </c>
      <c r="L13" s="9" t="n">
        <f aca="false">IF(AND(K13&lt;&gt;"",J13&lt;Assumptions!$B$3*K13),K13,J13)</f>
        <v>748935</v>
      </c>
      <c r="M13" s="21" t="str">
        <f aca="false">IF(L13=J13,"FERC Form 1","EIA-861")</f>
        <v>FERC Form 1</v>
      </c>
      <c r="N13" s="28" t="n">
        <f aca="false">E13+F13+G13</f>
        <v>129.379514</v>
      </c>
    </row>
    <row r="14" customFormat="false" ht="15" hidden="false" customHeight="false" outlineLevel="0" collapsed="false">
      <c r="A14" s="7" t="n">
        <v>2012</v>
      </c>
      <c r="B14" s="15" t="s">
        <v>101</v>
      </c>
      <c r="C14" s="15" t="s">
        <v>102</v>
      </c>
      <c r="D14" s="15" t="s">
        <v>103</v>
      </c>
      <c r="E14" s="19" t="n">
        <v>48.791592</v>
      </c>
      <c r="F14" s="19" t="n">
        <v>46.834057</v>
      </c>
      <c r="G14" s="19" t="n">
        <v>62.826979</v>
      </c>
      <c r="H14" s="19" t="n">
        <v>139.991763</v>
      </c>
      <c r="I14" s="19" t="n">
        <v>2023.605413</v>
      </c>
      <c r="J14" s="27" t="n">
        <v>745328</v>
      </c>
      <c r="K14" s="27" t="n">
        <v>745327</v>
      </c>
      <c r="L14" s="9" t="n">
        <f aca="false">IF(AND(K14&lt;&gt;"",J14&lt;Assumptions!$B$3*K14),K14,J14)</f>
        <v>745328</v>
      </c>
      <c r="M14" s="21" t="str">
        <f aca="false">IF(L14=J14,"FERC Form 1","EIA-861")</f>
        <v>FERC Form 1</v>
      </c>
      <c r="N14" s="28" t="n">
        <f aca="false">E14+F14+G14</f>
        <v>158.452628</v>
      </c>
    </row>
    <row r="15" customFormat="false" ht="15" hidden="false" customHeight="false" outlineLevel="0" collapsed="false">
      <c r="A15" s="7" t="n">
        <v>2013</v>
      </c>
      <c r="B15" s="15" t="s">
        <v>101</v>
      </c>
      <c r="C15" s="15" t="s">
        <v>102</v>
      </c>
      <c r="D15" s="15" t="s">
        <v>103</v>
      </c>
      <c r="E15" s="19" t="n">
        <v>35.045613</v>
      </c>
      <c r="F15" s="19" t="n">
        <v>36.081876</v>
      </c>
      <c r="G15" s="19" t="n">
        <v>66.956024</v>
      </c>
      <c r="H15" s="19" t="n">
        <v>87.701456</v>
      </c>
      <c r="I15" s="19" t="n">
        <v>2081.675124</v>
      </c>
      <c r="J15" s="27" t="n">
        <v>744879</v>
      </c>
      <c r="K15" s="27" t="n">
        <v>744878</v>
      </c>
      <c r="L15" s="9" t="n">
        <f aca="false">IF(AND(K15&lt;&gt;"",J15&lt;Assumptions!$B$3*K15),K15,J15)</f>
        <v>744879</v>
      </c>
      <c r="M15" s="21" t="str">
        <f aca="false">IF(L15=J15,"FERC Form 1","EIA-861")</f>
        <v>FERC Form 1</v>
      </c>
      <c r="N15" s="28" t="n">
        <f aca="false">E15+F15+G15</f>
        <v>138.083513</v>
      </c>
    </row>
    <row r="16" customFormat="false" ht="15" hidden="false" customHeight="false" outlineLevel="0" collapsed="false">
      <c r="A16" s="7" t="n">
        <v>2014</v>
      </c>
      <c r="B16" s="15" t="s">
        <v>101</v>
      </c>
      <c r="C16" s="15" t="s">
        <v>102</v>
      </c>
      <c r="D16" s="15" t="s">
        <v>103</v>
      </c>
      <c r="E16" s="19" t="n">
        <v>36.239159</v>
      </c>
      <c r="F16" s="19" t="n">
        <v>34.912735</v>
      </c>
      <c r="G16" s="19" t="n">
        <v>69.557361</v>
      </c>
      <c r="H16" s="19" t="n">
        <v>86.646972</v>
      </c>
      <c r="I16" s="19" t="n">
        <v>2142.700415</v>
      </c>
      <c r="J16" s="27" t="n">
        <v>744410</v>
      </c>
      <c r="K16" s="27" t="n">
        <v>744409</v>
      </c>
      <c r="L16" s="9" t="n">
        <f aca="false">IF(AND(K16&lt;&gt;"",J16&lt;Assumptions!$B$3*K16),K16,J16)</f>
        <v>744410</v>
      </c>
      <c r="M16" s="21" t="str">
        <f aca="false">IF(L16=J16,"FERC Form 1","EIA-861")</f>
        <v>FERC Form 1</v>
      </c>
      <c r="N16" s="28" t="n">
        <f aca="false">E16+F16+G16</f>
        <v>140.709255</v>
      </c>
    </row>
    <row r="17" customFormat="false" ht="15" hidden="false" customHeight="false" outlineLevel="0" collapsed="false">
      <c r="A17" s="7" t="n">
        <v>2015</v>
      </c>
      <c r="B17" s="15" t="s">
        <v>101</v>
      </c>
      <c r="C17" s="15" t="s">
        <v>102</v>
      </c>
      <c r="D17" s="15" t="s">
        <v>103</v>
      </c>
      <c r="E17" s="19" t="n">
        <v>42.853807</v>
      </c>
      <c r="F17" s="19" t="n">
        <v>37.17818</v>
      </c>
      <c r="G17" s="19" t="n">
        <v>71.961102</v>
      </c>
      <c r="H17" s="19" t="n">
        <v>83.331273</v>
      </c>
      <c r="I17" s="19" t="n">
        <v>2208.477839</v>
      </c>
      <c r="J17" s="27" t="n">
        <v>745641</v>
      </c>
      <c r="K17" s="27" t="n">
        <v>745640</v>
      </c>
      <c r="L17" s="9" t="n">
        <f aca="false">IF(AND(K17&lt;&gt;"",J17&lt;Assumptions!$B$3*K17),K17,J17)</f>
        <v>745641</v>
      </c>
      <c r="M17" s="21" t="str">
        <f aca="false">IF(L17=J17,"FERC Form 1","EIA-861")</f>
        <v>FERC Form 1</v>
      </c>
      <c r="N17" s="28" t="n">
        <f aca="false">E17+F17+G17</f>
        <v>151.993089</v>
      </c>
    </row>
    <row r="18" customFormat="false" ht="15" hidden="false" customHeight="false" outlineLevel="0" collapsed="false">
      <c r="A18" s="7" t="n">
        <v>2016</v>
      </c>
      <c r="B18" s="15" t="s">
        <v>101</v>
      </c>
      <c r="C18" s="15" t="s">
        <v>102</v>
      </c>
      <c r="D18" s="15" t="s">
        <v>103</v>
      </c>
      <c r="E18" s="19" t="n">
        <v>47.82676</v>
      </c>
      <c r="F18" s="19" t="n">
        <v>31.933321</v>
      </c>
      <c r="G18" s="19" t="n">
        <v>71.404435</v>
      </c>
      <c r="H18" s="19" t="n">
        <v>105.433793</v>
      </c>
      <c r="I18" s="19" t="n">
        <v>2294.002182</v>
      </c>
      <c r="J18" s="27" t="n">
        <v>747748</v>
      </c>
      <c r="K18" s="27" t="n">
        <v>747747</v>
      </c>
      <c r="L18" s="9" t="n">
        <f aca="false">IF(AND(K18&lt;&gt;"",J18&lt;Assumptions!$B$3*K18),K18,J18)</f>
        <v>747748</v>
      </c>
      <c r="M18" s="21" t="str">
        <f aca="false">IF(L18=J18,"FERC Form 1","EIA-861")</f>
        <v>FERC Form 1</v>
      </c>
      <c r="N18" s="28" t="n">
        <f aca="false">E18+F18+G18</f>
        <v>151.164516</v>
      </c>
    </row>
    <row r="19" customFormat="false" ht="15" hidden="false" customHeight="false" outlineLevel="0" collapsed="false">
      <c r="A19" s="7" t="n">
        <v>2017</v>
      </c>
      <c r="B19" s="15" t="s">
        <v>101</v>
      </c>
      <c r="C19" s="15" t="s">
        <v>102</v>
      </c>
      <c r="D19" s="15" t="s">
        <v>103</v>
      </c>
      <c r="E19" s="19" t="n">
        <v>53.812973</v>
      </c>
      <c r="F19" s="19" t="n">
        <v>41.758714</v>
      </c>
      <c r="G19" s="19" t="n">
        <v>77.259218</v>
      </c>
      <c r="H19" s="19" t="n">
        <v>96.725141</v>
      </c>
      <c r="I19" s="19" t="n">
        <v>2376.656716</v>
      </c>
      <c r="J19" s="27" t="n">
        <v>750660</v>
      </c>
      <c r="K19" s="27" t="n">
        <v>750659</v>
      </c>
      <c r="L19" s="9" t="n">
        <f aca="false">IF(AND(K19&lt;&gt;"",J19&lt;Assumptions!$B$3*K19),K19,J19)</f>
        <v>750660</v>
      </c>
      <c r="M19" s="21" t="str">
        <f aca="false">IF(L19=J19,"FERC Form 1","EIA-861")</f>
        <v>FERC Form 1</v>
      </c>
      <c r="N19" s="28" t="n">
        <f aca="false">E19+F19+G19</f>
        <v>172.830905</v>
      </c>
    </row>
    <row r="20" customFormat="false" ht="15" hidden="false" customHeight="false" outlineLevel="0" collapsed="false">
      <c r="A20" s="7" t="n">
        <v>2018</v>
      </c>
      <c r="B20" s="15" t="s">
        <v>101</v>
      </c>
      <c r="C20" s="15" t="s">
        <v>102</v>
      </c>
      <c r="D20" s="15" t="s">
        <v>103</v>
      </c>
      <c r="E20" s="19" t="n">
        <v>54.829994</v>
      </c>
      <c r="F20" s="19" t="n">
        <v>47.998566</v>
      </c>
      <c r="G20" s="19" t="n">
        <v>79.919381</v>
      </c>
      <c r="H20" s="19" t="n">
        <v>115.826064</v>
      </c>
      <c r="I20" s="19" t="n">
        <v>2462.97299</v>
      </c>
      <c r="J20" s="27" t="n">
        <v>751980</v>
      </c>
      <c r="K20" s="27" t="n">
        <v>751979</v>
      </c>
      <c r="L20" s="9" t="n">
        <f aca="false">IF(AND(K20&lt;&gt;"",J20&lt;Assumptions!$B$3*K20),K20,J20)</f>
        <v>751980</v>
      </c>
      <c r="M20" s="21" t="str">
        <f aca="false">IF(L20=J20,"FERC Form 1","EIA-861")</f>
        <v>FERC Form 1</v>
      </c>
      <c r="N20" s="28" t="n">
        <f aca="false">E20+F20+G20</f>
        <v>182.747941</v>
      </c>
    </row>
    <row r="21" customFormat="false" ht="15" hidden="false" customHeight="false" outlineLevel="0" collapsed="false">
      <c r="A21" s="7" t="n">
        <v>2019</v>
      </c>
      <c r="B21" s="15" t="s">
        <v>101</v>
      </c>
      <c r="C21" s="15" t="s">
        <v>102</v>
      </c>
      <c r="D21" s="15" t="s">
        <v>103</v>
      </c>
      <c r="E21" s="19" t="n">
        <v>63.50708</v>
      </c>
      <c r="F21" s="19" t="n">
        <v>46.113447</v>
      </c>
      <c r="G21" s="19" t="n">
        <v>82.990372</v>
      </c>
      <c r="H21" s="19" t="n">
        <v>103.639216</v>
      </c>
      <c r="I21" s="19" t="n">
        <v>2551.39543</v>
      </c>
      <c r="J21" s="27" t="n">
        <v>752471</v>
      </c>
      <c r="K21" s="27" t="n">
        <v>752470</v>
      </c>
      <c r="L21" s="9" t="n">
        <f aca="false">IF(AND(K21&lt;&gt;"",J21&lt;Assumptions!$B$3*K21),K21,J21)</f>
        <v>752471</v>
      </c>
      <c r="M21" s="21" t="str">
        <f aca="false">IF(L21=J21,"FERC Form 1","EIA-861")</f>
        <v>FERC Form 1</v>
      </c>
      <c r="N21" s="28" t="n">
        <f aca="false">E21+F21+G21</f>
        <v>192.610899</v>
      </c>
    </row>
    <row r="22" customFormat="false" ht="15" hidden="false" customHeight="false" outlineLevel="0" collapsed="false">
      <c r="A22" s="7" t="n">
        <v>2020</v>
      </c>
      <c r="B22" s="15" t="s">
        <v>101</v>
      </c>
      <c r="C22" s="15" t="s">
        <v>102</v>
      </c>
      <c r="D22" s="15" t="s">
        <v>103</v>
      </c>
      <c r="E22" s="19" t="n">
        <v>72.657684</v>
      </c>
      <c r="F22" s="19" t="n">
        <v>56.568772</v>
      </c>
      <c r="G22" s="19" t="n">
        <v>86.32569</v>
      </c>
      <c r="H22" s="19" t="n">
        <v>129.635206</v>
      </c>
      <c r="I22" s="19" t="n">
        <v>2661.487314</v>
      </c>
      <c r="J22" s="27" t="n">
        <v>754024</v>
      </c>
      <c r="K22" s="27" t="n">
        <v>754026</v>
      </c>
      <c r="L22" s="9" t="n">
        <f aca="false">IF(AND(K22&lt;&gt;"",J22&lt;Assumptions!$B$3*K22),K22,J22)</f>
        <v>754024</v>
      </c>
      <c r="M22" s="21" t="str">
        <f aca="false">IF(L22=J22,"FERC Form 1","EIA-861")</f>
        <v>FERC Form 1</v>
      </c>
      <c r="N22" s="28" t="n">
        <f aca="false">E22+F22+G22</f>
        <v>215.552146</v>
      </c>
    </row>
    <row r="23" customFormat="false" ht="15" hidden="false" customHeight="false" outlineLevel="0" collapsed="false">
      <c r="A23" s="7" t="n">
        <v>2021</v>
      </c>
      <c r="B23" s="15" t="s">
        <v>101</v>
      </c>
      <c r="C23" s="15" t="s">
        <v>102</v>
      </c>
      <c r="D23" s="15" t="s">
        <v>103</v>
      </c>
      <c r="E23" s="19" t="n">
        <v>76.516364</v>
      </c>
      <c r="F23" s="19" t="n">
        <v>30.12492</v>
      </c>
      <c r="G23" s="19" t="n">
        <v>91.424832</v>
      </c>
      <c r="H23" s="19" t="n">
        <v>182.381689</v>
      </c>
      <c r="I23" s="19" t="n">
        <v>2811.67872</v>
      </c>
      <c r="J23" s="27" t="n">
        <v>755210</v>
      </c>
      <c r="K23" s="27" t="n">
        <v>755212</v>
      </c>
      <c r="L23" s="9" t="n">
        <f aca="false">IF(AND(K23&lt;&gt;"",J23&lt;Assumptions!$B$3*K23),K23,J23)</f>
        <v>755210</v>
      </c>
      <c r="M23" s="21" t="str">
        <f aca="false">IF(L23=J23,"FERC Form 1","EIA-861")</f>
        <v>FERC Form 1</v>
      </c>
      <c r="N23" s="28" t="n">
        <f aca="false">E23+F23+G23</f>
        <v>198.066116</v>
      </c>
    </row>
    <row r="24" customFormat="false" ht="15" hidden="false" customHeight="false" outlineLevel="0" collapsed="false">
      <c r="A24" s="7" t="n">
        <v>2022</v>
      </c>
      <c r="B24" s="15" t="s">
        <v>101</v>
      </c>
      <c r="C24" s="15" t="s">
        <v>102</v>
      </c>
      <c r="D24" s="15" t="s">
        <v>103</v>
      </c>
      <c r="E24" s="19" t="n">
        <v>77.380584</v>
      </c>
      <c r="F24" s="19" t="n">
        <v>39.188008</v>
      </c>
      <c r="G24" s="19" t="n">
        <v>96.264713</v>
      </c>
      <c r="H24" s="19" t="n">
        <v>142.144379</v>
      </c>
      <c r="I24" s="19" t="n">
        <v>2845.141118</v>
      </c>
      <c r="J24" s="27" t="n">
        <v>755417</v>
      </c>
      <c r="K24" s="27" t="n">
        <v>755417</v>
      </c>
      <c r="L24" s="9" t="n">
        <f aca="false">IF(AND(K24&lt;&gt;"",J24&lt;Assumptions!$B$3*K24),K24,J24)</f>
        <v>755417</v>
      </c>
      <c r="M24" s="21" t="str">
        <f aca="false">IF(L24=J24,"FERC Form 1","EIA-861")</f>
        <v>FERC Form 1</v>
      </c>
      <c r="N24" s="28" t="n">
        <f aca="false">E24+F24+G24</f>
        <v>212.833305</v>
      </c>
    </row>
    <row r="25" customFormat="false" ht="15" hidden="false" customHeight="false" outlineLevel="0" collapsed="false">
      <c r="A25" s="7" t="n">
        <v>2023</v>
      </c>
      <c r="B25" s="15" t="s">
        <v>101</v>
      </c>
      <c r="C25" s="15" t="s">
        <v>102</v>
      </c>
      <c r="D25" s="15" t="s">
        <v>103</v>
      </c>
      <c r="E25" s="19" t="n">
        <v>86.70411</v>
      </c>
      <c r="F25" s="19" t="n">
        <v>31.592275</v>
      </c>
      <c r="G25" s="19" t="n">
        <v>98.508744</v>
      </c>
      <c r="H25" s="19" t="n">
        <v>115.481397</v>
      </c>
      <c r="I25" s="19" t="n">
        <v>2940.297832</v>
      </c>
      <c r="J25" s="27" t="n">
        <v>756673</v>
      </c>
      <c r="K25" s="27" t="n">
        <v>756672</v>
      </c>
      <c r="L25" s="9" t="n">
        <f aca="false">IF(AND(K25&lt;&gt;"",J25&lt;Assumptions!$B$3*K25),K25,J25)</f>
        <v>756673</v>
      </c>
      <c r="M25" s="21" t="str">
        <f aca="false">IF(L25=J25,"FERC Form 1","EIA-861")</f>
        <v>FERC Form 1</v>
      </c>
      <c r="N25" s="28" t="n">
        <f aca="false">E25+F25+G25</f>
        <v>216.805129</v>
      </c>
    </row>
    <row r="26" customFormat="false" ht="15" hidden="false" customHeight="false" outlineLevel="0" collapsed="false">
      <c r="A26" s="7" t="n">
        <v>2024</v>
      </c>
      <c r="B26" s="15" t="s">
        <v>101</v>
      </c>
      <c r="C26" s="15" t="s">
        <v>102</v>
      </c>
      <c r="D26" s="15" t="s">
        <v>103</v>
      </c>
      <c r="E26" s="19" t="n">
        <v>166.01616</v>
      </c>
      <c r="F26" s="19" t="n">
        <v>28.351719</v>
      </c>
      <c r="G26" s="19" t="n">
        <v>101.022701</v>
      </c>
      <c r="H26" s="19" t="n">
        <v>137.468318</v>
      </c>
      <c r="I26" s="19" t="n">
        <v>3062.516902</v>
      </c>
      <c r="J26" s="27" t="n">
        <v>758454</v>
      </c>
      <c r="K26" s="27" t="n">
        <v>758455</v>
      </c>
      <c r="L26" s="9" t="n">
        <f aca="false">IF(AND(K26&lt;&gt;"",J26&lt;Assumptions!$B$3*K26),K26,J26)</f>
        <v>758454</v>
      </c>
      <c r="M26" s="21" t="str">
        <f aca="false">IF(L26=J26,"FERC Form 1","EIA-861")</f>
        <v>FERC Form 1</v>
      </c>
      <c r="N26" s="28" t="n">
        <f aca="false">E26+F26+G26</f>
        <v>295.39058</v>
      </c>
    </row>
    <row r="27" customFormat="false" ht="15" hidden="false" customHeight="false" outlineLevel="0" collapsed="false">
      <c r="A27" s="7" t="n">
        <v>2025</v>
      </c>
      <c r="B27" s="15" t="s">
        <v>101</v>
      </c>
      <c r="C27" s="15" t="s">
        <v>102</v>
      </c>
      <c r="D27" s="15" t="s">
        <v>103</v>
      </c>
      <c r="E27" s="19" t="n">
        <v>75.895897</v>
      </c>
      <c r="F27" s="19" t="n">
        <v>32.911024</v>
      </c>
      <c r="G27" s="19" t="n">
        <v>122.00261</v>
      </c>
      <c r="H27" s="19" t="n">
        <v>176.358146</v>
      </c>
      <c r="I27" s="19" t="n">
        <v>3264.527211</v>
      </c>
      <c r="J27" s="27" t="n">
        <v>759848</v>
      </c>
      <c r="K27" s="27" t="n">
        <v>759847</v>
      </c>
      <c r="L27" s="9" t="n">
        <f aca="false">IF(AND(K27&lt;&gt;"",J27&lt;Assumptions!$B$3*K27),K27,J27)</f>
        <v>759848</v>
      </c>
      <c r="M27" s="21" t="str">
        <f aca="false">IF(L27=J27,"FERC Form 1","EIA-861")</f>
        <v>FERC Form 1</v>
      </c>
      <c r="N27" s="28" t="n">
        <f aca="false">E27+F27+G27</f>
        <v>230.809531</v>
      </c>
    </row>
    <row r="28" customFormat="false" ht="15" hidden="false" customHeight="false" outlineLevel="0" collapsed="false">
      <c r="A28" s="7" t="n">
        <v>2024</v>
      </c>
      <c r="B28" s="15" t="s">
        <v>158</v>
      </c>
      <c r="C28" s="15" t="s">
        <v>102</v>
      </c>
      <c r="D28" s="15" t="s">
        <v>107</v>
      </c>
      <c r="E28" s="19" t="n">
        <v>312.484911</v>
      </c>
      <c r="F28" s="19" t="n">
        <v>263.341541</v>
      </c>
      <c r="G28" s="19" t="n">
        <v>257.838728</v>
      </c>
      <c r="H28" s="19" t="n">
        <v>491.390276</v>
      </c>
      <c r="I28" s="19" t="n">
        <v>10293.759414</v>
      </c>
      <c r="J28" s="27" t="n">
        <v>2090443</v>
      </c>
      <c r="K28" s="27"/>
      <c r="L28" s="9" t="n">
        <f aca="false">IF(AND(K28&lt;&gt;"",J28&lt;Assumptions!$B$3*K28),K28,J28)</f>
        <v>2090443</v>
      </c>
      <c r="M28" s="21" t="str">
        <f aca="false">IF(L28=J28,"FERC Form 1","EIA-861")</f>
        <v>FERC Form 1</v>
      </c>
      <c r="N28" s="28" t="n">
        <f aca="false">E28+F28+G28</f>
        <v>833.66518</v>
      </c>
    </row>
    <row r="29" customFormat="false" ht="15" hidden="false" customHeight="false" outlineLevel="0" collapsed="false">
      <c r="A29" s="7" t="n">
        <v>2025</v>
      </c>
      <c r="B29" s="15" t="s">
        <v>158</v>
      </c>
      <c r="C29" s="15" t="s">
        <v>102</v>
      </c>
      <c r="D29" s="15" t="s">
        <v>107</v>
      </c>
      <c r="E29" s="19" t="n">
        <v>414.53737</v>
      </c>
      <c r="F29" s="19" t="n">
        <v>349.882886</v>
      </c>
      <c r="G29" s="19" t="n">
        <v>291.09111</v>
      </c>
      <c r="H29" s="19" t="n">
        <v>814.824303</v>
      </c>
      <c r="I29" s="19" t="n">
        <v>11770.717329</v>
      </c>
      <c r="J29" s="27" t="n">
        <v>2097100</v>
      </c>
      <c r="K29" s="27"/>
      <c r="L29" s="9" t="n">
        <f aca="false">IF(AND(K29&lt;&gt;"",J29&lt;Assumptions!$B$3*K29),K29,J29)</f>
        <v>2097100</v>
      </c>
      <c r="M29" s="21" t="str">
        <f aca="false">IF(L29=J29,"FERC Form 1","EIA-861")</f>
        <v>FERC Form 1</v>
      </c>
      <c r="N29" s="28" t="n">
        <f aca="false">E29+F29+G29</f>
        <v>1055.511366</v>
      </c>
    </row>
    <row r="30" customFormat="false" ht="15" hidden="false" customHeight="false" outlineLevel="0" collapsed="false">
      <c r="A30" s="7" t="n">
        <v>2000</v>
      </c>
      <c r="B30" s="15" t="s">
        <v>104</v>
      </c>
      <c r="C30" s="15" t="s">
        <v>102</v>
      </c>
      <c r="D30" s="15" t="s">
        <v>105</v>
      </c>
      <c r="E30" s="19" t="n">
        <v>102.354684</v>
      </c>
      <c r="F30" s="19" t="n">
        <v>97.350554</v>
      </c>
      <c r="G30" s="19" t="n">
        <v>78.199154</v>
      </c>
      <c r="H30" s="19" t="n">
        <v>107.608118</v>
      </c>
      <c r="I30" s="19" t="n">
        <v>2205.299431</v>
      </c>
      <c r="J30" s="27" t="n">
        <v>1002120</v>
      </c>
      <c r="K30" s="27"/>
      <c r="L30" s="9" t="n">
        <f aca="false">IF(AND(K30&lt;&gt;"",J30&lt;Assumptions!$B$3*K30),K30,J30)</f>
        <v>1002120</v>
      </c>
      <c r="M30" s="21" t="str">
        <f aca="false">IF(L30=J30,"FERC Form 1","EIA-861")</f>
        <v>FERC Form 1</v>
      </c>
      <c r="N30" s="28" t="n">
        <f aca="false">E30+F30+G30</f>
        <v>277.904392</v>
      </c>
    </row>
    <row r="31" customFormat="false" ht="15" hidden="false" customHeight="false" outlineLevel="0" collapsed="false">
      <c r="A31" s="7" t="n">
        <v>2001</v>
      </c>
      <c r="B31" s="15" t="s">
        <v>104</v>
      </c>
      <c r="C31" s="15" t="s">
        <v>102</v>
      </c>
      <c r="D31" s="15" t="s">
        <v>105</v>
      </c>
      <c r="E31" s="19" t="n">
        <v>108.176771</v>
      </c>
      <c r="F31" s="19" t="n">
        <v>75.218281</v>
      </c>
      <c r="G31" s="19" t="n">
        <v>84.196498</v>
      </c>
      <c r="H31" s="19" t="n">
        <v>127.163475</v>
      </c>
      <c r="I31" s="19" t="n">
        <v>2317.063149</v>
      </c>
      <c r="J31" s="27" t="n">
        <v>1017712</v>
      </c>
      <c r="K31" s="27" t="n">
        <v>1017712</v>
      </c>
      <c r="L31" s="9" t="n">
        <f aca="false">IF(AND(K31&lt;&gt;"",J31&lt;Assumptions!$B$3*K31),K31,J31)</f>
        <v>1017712</v>
      </c>
      <c r="M31" s="21" t="str">
        <f aca="false">IF(L31=J31,"FERC Form 1","EIA-861")</f>
        <v>FERC Form 1</v>
      </c>
      <c r="N31" s="28" t="n">
        <f aca="false">E31+F31+G31</f>
        <v>267.59155</v>
      </c>
    </row>
    <row r="32" customFormat="false" ht="15" hidden="false" customHeight="false" outlineLevel="0" collapsed="false">
      <c r="A32" s="7" t="n">
        <v>2002</v>
      </c>
      <c r="B32" s="15" t="s">
        <v>104</v>
      </c>
      <c r="C32" s="15" t="s">
        <v>102</v>
      </c>
      <c r="D32" s="15" t="s">
        <v>105</v>
      </c>
      <c r="E32" s="19" t="n">
        <v>91.692371</v>
      </c>
      <c r="F32" s="19" t="n">
        <v>72.891725</v>
      </c>
      <c r="G32" s="19" t="n">
        <v>83.152863</v>
      </c>
      <c r="H32" s="19" t="n">
        <v>108.672184</v>
      </c>
      <c r="I32" s="19" t="n">
        <v>2392.208774</v>
      </c>
      <c r="J32" s="27" t="n">
        <v>1033938</v>
      </c>
      <c r="K32" s="27" t="n">
        <v>1033937</v>
      </c>
      <c r="L32" s="9" t="n">
        <f aca="false">IF(AND(K32&lt;&gt;"",J32&lt;Assumptions!$B$3*K32),K32,J32)</f>
        <v>1033938</v>
      </c>
      <c r="M32" s="21" t="str">
        <f aca="false">IF(L32=J32,"FERC Form 1","EIA-861")</f>
        <v>FERC Form 1</v>
      </c>
      <c r="N32" s="28" t="n">
        <f aca="false">E32+F32+G32</f>
        <v>247.736959</v>
      </c>
    </row>
    <row r="33" customFormat="false" ht="15" hidden="false" customHeight="false" outlineLevel="0" collapsed="false">
      <c r="A33" s="7" t="n">
        <v>2003</v>
      </c>
      <c r="B33" s="15" t="s">
        <v>104</v>
      </c>
      <c r="C33" s="15" t="s">
        <v>102</v>
      </c>
      <c r="D33" s="15" t="s">
        <v>105</v>
      </c>
      <c r="E33" s="19" t="n">
        <v>144.983471</v>
      </c>
      <c r="F33" s="19" t="n">
        <v>88.798045</v>
      </c>
      <c r="G33" s="19" t="n">
        <v>68.756809</v>
      </c>
      <c r="H33" s="19" t="n">
        <v>86.208935</v>
      </c>
      <c r="I33" s="19" t="n">
        <v>2472.115486</v>
      </c>
      <c r="J33" s="27" t="n">
        <v>1045395</v>
      </c>
      <c r="K33" s="27" t="n">
        <v>1045395</v>
      </c>
      <c r="L33" s="9" t="n">
        <f aca="false">IF(AND(K33&lt;&gt;"",J33&lt;Assumptions!$B$3*K33),K33,J33)</f>
        <v>1045395</v>
      </c>
      <c r="M33" s="21" t="str">
        <f aca="false">IF(L33=J33,"FERC Form 1","EIA-861")</f>
        <v>FERC Form 1</v>
      </c>
      <c r="N33" s="28" t="n">
        <f aca="false">E33+F33+G33</f>
        <v>302.538325</v>
      </c>
    </row>
    <row r="34" customFormat="false" ht="15" hidden="false" customHeight="false" outlineLevel="0" collapsed="false">
      <c r="A34" s="7" t="n">
        <v>2004</v>
      </c>
      <c r="B34" s="15" t="s">
        <v>104</v>
      </c>
      <c r="C34" s="15" t="s">
        <v>102</v>
      </c>
      <c r="D34" s="15" t="s">
        <v>105</v>
      </c>
      <c r="E34" s="19" t="n">
        <v>114.992616</v>
      </c>
      <c r="F34" s="19" t="n">
        <v>114.635347</v>
      </c>
      <c r="G34" s="19" t="n">
        <v>48.829156</v>
      </c>
      <c r="H34" s="19" t="n">
        <v>116.516179</v>
      </c>
      <c r="I34" s="19" t="n">
        <v>2572.26713</v>
      </c>
      <c r="J34" s="27" t="n">
        <v>1054959</v>
      </c>
      <c r="K34" s="27" t="n">
        <v>1054959</v>
      </c>
      <c r="L34" s="9" t="n">
        <f aca="false">IF(AND(K34&lt;&gt;"",J34&lt;Assumptions!$B$3*K34),K34,J34)</f>
        <v>1054959</v>
      </c>
      <c r="M34" s="21" t="str">
        <f aca="false">IF(L34=J34,"FERC Form 1","EIA-861")</f>
        <v>FERC Form 1</v>
      </c>
      <c r="N34" s="28" t="n">
        <f aca="false">E34+F34+G34</f>
        <v>278.457119</v>
      </c>
    </row>
    <row r="35" customFormat="false" ht="15" hidden="false" customHeight="false" outlineLevel="0" collapsed="false">
      <c r="A35" s="7" t="n">
        <v>2005</v>
      </c>
      <c r="B35" s="15" t="s">
        <v>104</v>
      </c>
      <c r="C35" s="15" t="s">
        <v>102</v>
      </c>
      <c r="D35" s="15" t="s">
        <v>105</v>
      </c>
      <c r="E35" s="19" t="n">
        <v>118.096604</v>
      </c>
      <c r="F35" s="19" t="n">
        <v>124.250735</v>
      </c>
      <c r="G35" s="19" t="n">
        <v>51.276744</v>
      </c>
      <c r="H35" s="19" t="n">
        <v>148.924425</v>
      </c>
      <c r="I35" s="19" t="n">
        <v>2712.165986</v>
      </c>
      <c r="J35" s="27" t="n">
        <v>1067246</v>
      </c>
      <c r="K35" s="27" t="n">
        <v>1067247</v>
      </c>
      <c r="L35" s="9" t="n">
        <f aca="false">IF(AND(K35&lt;&gt;"",J35&lt;Assumptions!$B$3*K35),K35,J35)</f>
        <v>1067246</v>
      </c>
      <c r="M35" s="21" t="str">
        <f aca="false">IF(L35=J35,"FERC Form 1","EIA-861")</f>
        <v>FERC Form 1</v>
      </c>
      <c r="N35" s="28" t="n">
        <f aca="false">E35+F35+G35</f>
        <v>293.624083</v>
      </c>
    </row>
    <row r="36" customFormat="false" ht="15" hidden="false" customHeight="false" outlineLevel="0" collapsed="false">
      <c r="A36" s="7" t="n">
        <v>2006</v>
      </c>
      <c r="B36" s="15" t="s">
        <v>104</v>
      </c>
      <c r="C36" s="15" t="s">
        <v>102</v>
      </c>
      <c r="D36" s="15" t="s">
        <v>105</v>
      </c>
      <c r="E36" s="19" t="n">
        <v>102.821227</v>
      </c>
      <c r="F36" s="19" t="n">
        <v>121.84644</v>
      </c>
      <c r="G36" s="19" t="n">
        <v>56.322603</v>
      </c>
      <c r="H36" s="19" t="n">
        <v>144.411676</v>
      </c>
      <c r="I36" s="19" t="n">
        <v>2818.86068</v>
      </c>
      <c r="J36" s="27" t="n">
        <v>1077948</v>
      </c>
      <c r="K36" s="27" t="n">
        <v>1081904</v>
      </c>
      <c r="L36" s="9" t="n">
        <f aca="false">IF(AND(K36&lt;&gt;"",J36&lt;Assumptions!$B$3*K36),K36,J36)</f>
        <v>1077948</v>
      </c>
      <c r="M36" s="21" t="str">
        <f aca="false">IF(L36=J36,"FERC Form 1","EIA-861")</f>
        <v>FERC Form 1</v>
      </c>
      <c r="N36" s="28" t="n">
        <f aca="false">E36+F36+G36</f>
        <v>280.99027</v>
      </c>
    </row>
    <row r="37" customFormat="false" ht="15" hidden="false" customHeight="false" outlineLevel="0" collapsed="false">
      <c r="A37" s="7" t="n">
        <v>2007</v>
      </c>
      <c r="B37" s="15" t="s">
        <v>104</v>
      </c>
      <c r="C37" s="15" t="s">
        <v>102</v>
      </c>
      <c r="D37" s="15" t="s">
        <v>105</v>
      </c>
      <c r="E37" s="19" t="n">
        <v>115.500526</v>
      </c>
      <c r="F37" s="19" t="n">
        <v>122.440101</v>
      </c>
      <c r="G37" s="19" t="n">
        <v>57.477109</v>
      </c>
      <c r="H37" s="19" t="n">
        <v>117.041355</v>
      </c>
      <c r="I37" s="19" t="n">
        <v>2897.691563</v>
      </c>
      <c r="J37" s="27" t="n">
        <v>1085244</v>
      </c>
      <c r="K37" s="27" t="n">
        <v>1085245</v>
      </c>
      <c r="L37" s="9" t="n">
        <f aca="false">IF(AND(K37&lt;&gt;"",J37&lt;Assumptions!$B$3*K37),K37,J37)</f>
        <v>1085244</v>
      </c>
      <c r="M37" s="21" t="str">
        <f aca="false">IF(L37=J37,"FERC Form 1","EIA-861")</f>
        <v>FERC Form 1</v>
      </c>
      <c r="N37" s="28" t="n">
        <f aca="false">E37+F37+G37</f>
        <v>295.417736</v>
      </c>
    </row>
    <row r="38" customFormat="false" ht="15" hidden="false" customHeight="false" outlineLevel="0" collapsed="false">
      <c r="A38" s="7" t="n">
        <v>2008</v>
      </c>
      <c r="B38" s="15" t="s">
        <v>104</v>
      </c>
      <c r="C38" s="15" t="s">
        <v>102</v>
      </c>
      <c r="D38" s="15" t="s">
        <v>105</v>
      </c>
      <c r="E38" s="19" t="n">
        <v>113.114858</v>
      </c>
      <c r="F38" s="19" t="n">
        <v>136.873441</v>
      </c>
      <c r="G38" s="19" t="n">
        <v>62.833947</v>
      </c>
      <c r="H38" s="19" t="n">
        <v>135.738928</v>
      </c>
      <c r="I38" s="19" t="n">
        <v>2990.016898</v>
      </c>
      <c r="J38" s="27" t="n">
        <v>1089980</v>
      </c>
      <c r="K38" s="27" t="n">
        <v>1089980</v>
      </c>
      <c r="L38" s="9" t="n">
        <f aca="false">IF(AND(K38&lt;&gt;"",J38&lt;Assumptions!$B$3*K38),K38,J38)</f>
        <v>1089980</v>
      </c>
      <c r="M38" s="21" t="str">
        <f aca="false">IF(L38=J38,"FERC Form 1","EIA-861")</f>
        <v>FERC Form 1</v>
      </c>
      <c r="N38" s="28" t="n">
        <f aca="false">E38+F38+G38</f>
        <v>312.822246</v>
      </c>
    </row>
    <row r="39" customFormat="false" ht="15" hidden="false" customHeight="false" outlineLevel="0" collapsed="false">
      <c r="A39" s="7" t="n">
        <v>2009</v>
      </c>
      <c r="B39" s="15" t="s">
        <v>104</v>
      </c>
      <c r="C39" s="15" t="s">
        <v>102</v>
      </c>
      <c r="D39" s="15" t="s">
        <v>105</v>
      </c>
      <c r="E39" s="19" t="n">
        <v>75.945317</v>
      </c>
      <c r="F39" s="19" t="n">
        <v>137.832032</v>
      </c>
      <c r="G39" s="19" t="n">
        <v>65.01907</v>
      </c>
      <c r="H39" s="19" t="n">
        <v>143.563819</v>
      </c>
      <c r="I39" s="19" t="n">
        <v>3110.751432</v>
      </c>
      <c r="J39" s="27" t="n">
        <v>1093885</v>
      </c>
      <c r="K39" s="27" t="n">
        <v>1093885</v>
      </c>
      <c r="L39" s="9" t="n">
        <f aca="false">IF(AND(K39&lt;&gt;"",J39&lt;Assumptions!$B$3*K39),K39,J39)</f>
        <v>1093885</v>
      </c>
      <c r="M39" s="21" t="str">
        <f aca="false">IF(L39=J39,"FERC Form 1","EIA-861")</f>
        <v>FERC Form 1</v>
      </c>
      <c r="N39" s="28" t="n">
        <f aca="false">E39+F39+G39</f>
        <v>278.796419</v>
      </c>
    </row>
    <row r="40" customFormat="false" ht="15" hidden="false" customHeight="false" outlineLevel="0" collapsed="false">
      <c r="A40" s="7" t="n">
        <v>2010</v>
      </c>
      <c r="B40" s="15" t="s">
        <v>104</v>
      </c>
      <c r="C40" s="15" t="s">
        <v>102</v>
      </c>
      <c r="D40" s="15" t="s">
        <v>105</v>
      </c>
      <c r="E40" s="19" t="n">
        <v>89.786661</v>
      </c>
      <c r="F40" s="19" t="n">
        <v>140.000942</v>
      </c>
      <c r="G40" s="19" t="n">
        <v>70.168072</v>
      </c>
      <c r="H40" s="19" t="n">
        <v>144.670355</v>
      </c>
      <c r="I40" s="19" t="n">
        <v>3230.580265</v>
      </c>
      <c r="J40" s="27" t="n">
        <v>1097078</v>
      </c>
      <c r="K40" s="27" t="n">
        <v>1097078</v>
      </c>
      <c r="L40" s="9" t="n">
        <f aca="false">IF(AND(K40&lt;&gt;"",J40&lt;Assumptions!$B$3*K40),K40,J40)</f>
        <v>1097078</v>
      </c>
      <c r="M40" s="21" t="str">
        <f aca="false">IF(L40=J40,"FERC Form 1","EIA-861")</f>
        <v>FERC Form 1</v>
      </c>
      <c r="N40" s="28" t="n">
        <f aca="false">E40+F40+G40</f>
        <v>299.955675</v>
      </c>
    </row>
    <row r="41" customFormat="false" ht="15" hidden="false" customHeight="false" outlineLevel="0" collapsed="false">
      <c r="A41" s="7" t="n">
        <v>2011</v>
      </c>
      <c r="B41" s="15" t="s">
        <v>104</v>
      </c>
      <c r="C41" s="15" t="s">
        <v>102</v>
      </c>
      <c r="D41" s="15" t="s">
        <v>105</v>
      </c>
      <c r="E41" s="19" t="n">
        <v>143.935863</v>
      </c>
      <c r="F41" s="19" t="n">
        <v>155.584305</v>
      </c>
      <c r="G41" s="19" t="n">
        <v>104.827422</v>
      </c>
      <c r="H41" s="19" t="n">
        <v>96.485478</v>
      </c>
      <c r="I41" s="19" t="n">
        <v>3468.185879</v>
      </c>
      <c r="J41" s="27" t="n">
        <v>1099194</v>
      </c>
      <c r="K41" s="27" t="n">
        <v>1099194</v>
      </c>
      <c r="L41" s="9" t="n">
        <f aca="false">IF(AND(K41&lt;&gt;"",J41&lt;Assumptions!$B$3*K41),K41,J41)</f>
        <v>1099194</v>
      </c>
      <c r="M41" s="21" t="str">
        <f aca="false">IF(L41=J41,"FERC Form 1","EIA-861")</f>
        <v>FERC Form 1</v>
      </c>
      <c r="N41" s="28" t="n">
        <f aca="false">E41+F41+G41</f>
        <v>404.34759</v>
      </c>
    </row>
    <row r="42" customFormat="false" ht="15" hidden="false" customHeight="false" outlineLevel="0" collapsed="false">
      <c r="A42" s="7" t="n">
        <v>2012</v>
      </c>
      <c r="B42" s="15" t="s">
        <v>104</v>
      </c>
      <c r="C42" s="15" t="s">
        <v>102</v>
      </c>
      <c r="D42" s="15" t="s">
        <v>105</v>
      </c>
      <c r="E42" s="19" t="n">
        <v>195.370179</v>
      </c>
      <c r="F42" s="19" t="n">
        <v>168.573411</v>
      </c>
      <c r="G42" s="19" t="n">
        <v>245.749478</v>
      </c>
      <c r="H42" s="19" t="n">
        <v>583.957235</v>
      </c>
      <c r="I42" s="19" t="n">
        <v>4026.454556</v>
      </c>
      <c r="J42" s="27" t="n">
        <v>1100165</v>
      </c>
      <c r="K42" s="27" t="n">
        <v>1100165</v>
      </c>
      <c r="L42" s="9" t="n">
        <f aca="false">IF(AND(K42&lt;&gt;"",J42&lt;Assumptions!$B$3*K42),K42,J42)</f>
        <v>1100165</v>
      </c>
      <c r="M42" s="21" t="str">
        <f aca="false">IF(L42=J42,"FERC Form 1","EIA-861")</f>
        <v>FERC Form 1</v>
      </c>
      <c r="N42" s="28" t="n">
        <f aca="false">E42+F42+G42</f>
        <v>609.693068</v>
      </c>
    </row>
    <row r="43" customFormat="false" ht="15" hidden="false" customHeight="false" outlineLevel="0" collapsed="false">
      <c r="A43" s="7" t="n">
        <v>2013</v>
      </c>
      <c r="B43" s="15" t="s">
        <v>104</v>
      </c>
      <c r="C43" s="15" t="s">
        <v>102</v>
      </c>
      <c r="D43" s="15" t="s">
        <v>105</v>
      </c>
      <c r="E43" s="19" t="n">
        <v>102.373863</v>
      </c>
      <c r="F43" s="19" t="n">
        <v>168.755088</v>
      </c>
      <c r="G43" s="19" t="n">
        <v>69.05379</v>
      </c>
      <c r="H43" s="19" t="n">
        <v>151.694872</v>
      </c>
      <c r="I43" s="19" t="n">
        <v>4076.04001</v>
      </c>
      <c r="J43" s="27" t="n">
        <v>1096950</v>
      </c>
      <c r="K43" s="27" t="n">
        <v>1096950</v>
      </c>
      <c r="L43" s="9" t="n">
        <f aca="false">IF(AND(K43&lt;&gt;"",J43&lt;Assumptions!$B$3*K43),K43,J43)</f>
        <v>1096950</v>
      </c>
      <c r="M43" s="21" t="str">
        <f aca="false">IF(L43=J43,"FERC Form 1","EIA-861")</f>
        <v>FERC Form 1</v>
      </c>
      <c r="N43" s="28" t="n">
        <f aca="false">E43+F43+G43</f>
        <v>340.182741</v>
      </c>
    </row>
    <row r="44" customFormat="false" ht="15" hidden="false" customHeight="false" outlineLevel="0" collapsed="false">
      <c r="A44" s="7" t="n">
        <v>2014</v>
      </c>
      <c r="B44" s="15" t="s">
        <v>104</v>
      </c>
      <c r="C44" s="15" t="s">
        <v>102</v>
      </c>
      <c r="D44" s="15" t="s">
        <v>105</v>
      </c>
      <c r="E44" s="19" t="n">
        <v>87.114711</v>
      </c>
      <c r="F44" s="19" t="n">
        <v>168.115493</v>
      </c>
      <c r="G44" s="19" t="n">
        <v>110.338121</v>
      </c>
      <c r="H44" s="19" t="n">
        <v>173.742061</v>
      </c>
      <c r="I44" s="19" t="n">
        <v>4195.778954</v>
      </c>
      <c r="J44" s="27" t="n">
        <v>1100630</v>
      </c>
      <c r="K44" s="27" t="n">
        <v>1100630</v>
      </c>
      <c r="L44" s="9" t="n">
        <f aca="false">IF(AND(K44&lt;&gt;"",J44&lt;Assumptions!$B$3*K44),K44,J44)</f>
        <v>1100630</v>
      </c>
      <c r="M44" s="21" t="str">
        <f aca="false">IF(L44=J44,"FERC Form 1","EIA-861")</f>
        <v>FERC Form 1</v>
      </c>
      <c r="N44" s="28" t="n">
        <f aca="false">E44+F44+G44</f>
        <v>365.568325</v>
      </c>
    </row>
    <row r="45" customFormat="false" ht="15" hidden="false" customHeight="false" outlineLevel="0" collapsed="false">
      <c r="A45" s="7" t="n">
        <v>2015</v>
      </c>
      <c r="B45" s="15" t="s">
        <v>104</v>
      </c>
      <c r="C45" s="15" t="s">
        <v>102</v>
      </c>
      <c r="D45" s="15" t="s">
        <v>105</v>
      </c>
      <c r="E45" s="19" t="n">
        <v>106.069097</v>
      </c>
      <c r="F45" s="19" t="n">
        <v>179.943596</v>
      </c>
      <c r="G45" s="19" t="n">
        <v>107.430717</v>
      </c>
      <c r="H45" s="19" t="n">
        <v>206.135722</v>
      </c>
      <c r="I45" s="19" t="n">
        <v>4348.096273</v>
      </c>
      <c r="J45" s="27" t="n">
        <v>1106242</v>
      </c>
      <c r="K45" s="27" t="n">
        <v>1106242</v>
      </c>
      <c r="L45" s="9" t="n">
        <f aca="false">IF(AND(K45&lt;&gt;"",J45&lt;Assumptions!$B$3*K45),K45,J45)</f>
        <v>1106242</v>
      </c>
      <c r="M45" s="21" t="str">
        <f aca="false">IF(L45=J45,"FERC Form 1","EIA-861")</f>
        <v>FERC Form 1</v>
      </c>
      <c r="N45" s="28" t="n">
        <f aca="false">E45+F45+G45</f>
        <v>393.44341</v>
      </c>
    </row>
    <row r="46" customFormat="false" ht="15" hidden="false" customHeight="false" outlineLevel="0" collapsed="false">
      <c r="A46" s="7" t="n">
        <v>2016</v>
      </c>
      <c r="B46" s="15" t="s">
        <v>104</v>
      </c>
      <c r="C46" s="15" t="s">
        <v>102</v>
      </c>
      <c r="D46" s="15" t="s">
        <v>105</v>
      </c>
      <c r="E46" s="19" t="n">
        <v>95.301444</v>
      </c>
      <c r="F46" s="19" t="n">
        <v>178.346924</v>
      </c>
      <c r="G46" s="19" t="n">
        <v>97.455125</v>
      </c>
      <c r="H46" s="19" t="n">
        <v>204.647988</v>
      </c>
      <c r="I46" s="19" t="n">
        <v>4471.902306</v>
      </c>
      <c r="J46" s="27" t="n">
        <v>1113459</v>
      </c>
      <c r="K46" s="27" t="n">
        <v>1113459</v>
      </c>
      <c r="L46" s="9" t="n">
        <f aca="false">IF(AND(K46&lt;&gt;"",J46&lt;Assumptions!$B$3*K46),K46,J46)</f>
        <v>1113459</v>
      </c>
      <c r="M46" s="21" t="str">
        <f aca="false">IF(L46=J46,"FERC Form 1","EIA-861")</f>
        <v>FERC Form 1</v>
      </c>
      <c r="N46" s="28" t="n">
        <f aca="false">E46+F46+G46</f>
        <v>371.103493</v>
      </c>
    </row>
    <row r="47" customFormat="false" ht="15" hidden="false" customHeight="false" outlineLevel="0" collapsed="false">
      <c r="A47" s="7" t="n">
        <v>2017</v>
      </c>
      <c r="B47" s="15" t="s">
        <v>104</v>
      </c>
      <c r="C47" s="15" t="s">
        <v>102</v>
      </c>
      <c r="D47" s="15" t="s">
        <v>105</v>
      </c>
      <c r="E47" s="19" t="n">
        <v>93.749712</v>
      </c>
      <c r="F47" s="19" t="n">
        <v>164.738351</v>
      </c>
      <c r="G47" s="19" t="n">
        <v>103.108772</v>
      </c>
      <c r="H47" s="19" t="n">
        <v>154.814412</v>
      </c>
      <c r="I47" s="19" t="n">
        <v>4591.344449</v>
      </c>
      <c r="J47" s="27" t="n">
        <v>1122087</v>
      </c>
      <c r="K47" s="27" t="n">
        <v>1122087</v>
      </c>
      <c r="L47" s="9" t="n">
        <f aca="false">IF(AND(K47&lt;&gt;"",J47&lt;Assumptions!$B$3*K47),K47,J47)</f>
        <v>1122087</v>
      </c>
      <c r="M47" s="21" t="str">
        <f aca="false">IF(L47=J47,"FERC Form 1","EIA-861")</f>
        <v>FERC Form 1</v>
      </c>
      <c r="N47" s="28" t="n">
        <f aca="false">E47+F47+G47</f>
        <v>361.596835</v>
      </c>
    </row>
    <row r="48" customFormat="false" ht="15" hidden="false" customHeight="false" outlineLevel="0" collapsed="false">
      <c r="A48" s="7" t="n">
        <v>2018</v>
      </c>
      <c r="B48" s="15" t="s">
        <v>104</v>
      </c>
      <c r="C48" s="15" t="s">
        <v>102</v>
      </c>
      <c r="D48" s="15" t="s">
        <v>105</v>
      </c>
      <c r="E48" s="19" t="n">
        <v>251.047768</v>
      </c>
      <c r="F48" s="19" t="n">
        <v>159.250381</v>
      </c>
      <c r="G48" s="19" t="n">
        <v>133.206862</v>
      </c>
      <c r="H48" s="19" t="n">
        <v>240.663314</v>
      </c>
      <c r="I48" s="19" t="n">
        <v>4767.643145</v>
      </c>
      <c r="J48" s="27" t="n">
        <v>1131190</v>
      </c>
      <c r="K48" s="27" t="n">
        <v>1131190</v>
      </c>
      <c r="L48" s="9" t="n">
        <f aca="false">IF(AND(K48&lt;&gt;"",J48&lt;Assumptions!$B$3*K48),K48,J48)</f>
        <v>1131190</v>
      </c>
      <c r="M48" s="21" t="str">
        <f aca="false">IF(L48=J48,"FERC Form 1","EIA-861")</f>
        <v>FERC Form 1</v>
      </c>
      <c r="N48" s="28" t="n">
        <f aca="false">E48+F48+G48</f>
        <v>543.505011</v>
      </c>
    </row>
    <row r="49" customFormat="false" ht="15" hidden="false" customHeight="false" outlineLevel="0" collapsed="false">
      <c r="A49" s="7" t="n">
        <v>2019</v>
      </c>
      <c r="B49" s="15" t="s">
        <v>104</v>
      </c>
      <c r="C49" s="15" t="s">
        <v>102</v>
      </c>
      <c r="D49" s="15" t="s">
        <v>105</v>
      </c>
      <c r="E49" s="19" t="n">
        <v>173.59456</v>
      </c>
      <c r="F49" s="19" t="n">
        <v>153.435958</v>
      </c>
      <c r="G49" s="19" t="n">
        <v>123.490439</v>
      </c>
      <c r="H49" s="19" t="n">
        <v>319.297328</v>
      </c>
      <c r="I49" s="19" t="n">
        <v>4967.801802</v>
      </c>
      <c r="J49" s="27" t="n">
        <v>1138696</v>
      </c>
      <c r="K49" s="27" t="n">
        <v>1138696</v>
      </c>
      <c r="L49" s="9" t="n">
        <f aca="false">IF(AND(K49&lt;&gt;"",J49&lt;Assumptions!$B$3*K49),K49,J49)</f>
        <v>1138696</v>
      </c>
      <c r="M49" s="21" t="str">
        <f aca="false">IF(L49=J49,"FERC Form 1","EIA-861")</f>
        <v>FERC Form 1</v>
      </c>
      <c r="N49" s="28" t="n">
        <f aca="false">E49+F49+G49</f>
        <v>450.520957</v>
      </c>
    </row>
    <row r="50" customFormat="false" ht="15" hidden="false" customHeight="false" outlineLevel="0" collapsed="false">
      <c r="A50" s="7" t="n">
        <v>2020</v>
      </c>
      <c r="B50" s="15" t="s">
        <v>104</v>
      </c>
      <c r="C50" s="15" t="s">
        <v>102</v>
      </c>
      <c r="D50" s="15" t="s">
        <v>105</v>
      </c>
      <c r="E50" s="19" t="n">
        <v>293.399172</v>
      </c>
      <c r="F50" s="19" t="n">
        <v>167.114948</v>
      </c>
      <c r="G50" s="19" t="n">
        <v>135.551464</v>
      </c>
      <c r="H50" s="19" t="n">
        <v>277.222282</v>
      </c>
      <c r="I50" s="19" t="n">
        <v>5199.642457</v>
      </c>
      <c r="J50" s="27" t="n">
        <v>1145080</v>
      </c>
      <c r="K50" s="27" t="n">
        <v>1145081</v>
      </c>
      <c r="L50" s="9" t="n">
        <f aca="false">IF(AND(K50&lt;&gt;"",J50&lt;Assumptions!$B$3*K50),K50,J50)</f>
        <v>1145080</v>
      </c>
      <c r="M50" s="21" t="str">
        <f aca="false">IF(L50=J50,"FERC Form 1","EIA-861")</f>
        <v>FERC Form 1</v>
      </c>
      <c r="N50" s="28" t="n">
        <f aca="false">E50+F50+G50</f>
        <v>596.065584</v>
      </c>
    </row>
    <row r="51" customFormat="false" ht="15" hidden="false" customHeight="false" outlineLevel="0" collapsed="false">
      <c r="A51" s="7" t="n">
        <v>2021</v>
      </c>
      <c r="B51" s="15" t="s">
        <v>104</v>
      </c>
      <c r="C51" s="15" t="s">
        <v>102</v>
      </c>
      <c r="D51" s="15" t="s">
        <v>105</v>
      </c>
      <c r="E51" s="19" t="n">
        <v>161.57326</v>
      </c>
      <c r="F51" s="19" t="n">
        <v>155.078466</v>
      </c>
      <c r="G51" s="19" t="n">
        <v>127.954874</v>
      </c>
      <c r="H51" s="19" t="n">
        <v>195.710313</v>
      </c>
      <c r="I51" s="19" t="n">
        <v>5353.032066</v>
      </c>
      <c r="J51" s="27" t="n">
        <v>1150247</v>
      </c>
      <c r="K51" s="27" t="n">
        <v>1150247</v>
      </c>
      <c r="L51" s="9" t="n">
        <f aca="false">IF(AND(K51&lt;&gt;"",J51&lt;Assumptions!$B$3*K51),K51,J51)</f>
        <v>1150247</v>
      </c>
      <c r="M51" s="21" t="str">
        <f aca="false">IF(L51=J51,"FERC Form 1","EIA-861")</f>
        <v>FERC Form 1</v>
      </c>
      <c r="N51" s="28" t="n">
        <f aca="false">E51+F51+G51</f>
        <v>444.6066</v>
      </c>
    </row>
    <row r="52" customFormat="false" ht="15" hidden="false" customHeight="false" outlineLevel="0" collapsed="false">
      <c r="A52" s="7" t="n">
        <v>2022</v>
      </c>
      <c r="B52" s="15" t="s">
        <v>104</v>
      </c>
      <c r="C52" s="15" t="s">
        <v>102</v>
      </c>
      <c r="D52" s="15" t="s">
        <v>105</v>
      </c>
      <c r="E52" s="19" t="n">
        <v>160.171465</v>
      </c>
      <c r="F52" s="19" t="n">
        <v>189.797661</v>
      </c>
      <c r="G52" s="19" t="n">
        <v>151.675711</v>
      </c>
      <c r="H52" s="19" t="n">
        <v>206.619237</v>
      </c>
      <c r="I52" s="19" t="n">
        <v>5455.112426</v>
      </c>
      <c r="J52" s="27" t="n">
        <v>1155415</v>
      </c>
      <c r="K52" s="27" t="n">
        <v>1155416</v>
      </c>
      <c r="L52" s="9" t="n">
        <f aca="false">IF(AND(K52&lt;&gt;"",J52&lt;Assumptions!$B$3*K52),K52,J52)</f>
        <v>1155415</v>
      </c>
      <c r="M52" s="21" t="str">
        <f aca="false">IF(L52=J52,"FERC Form 1","EIA-861")</f>
        <v>FERC Form 1</v>
      </c>
      <c r="N52" s="28" t="n">
        <f aca="false">E52+F52+G52</f>
        <v>501.644837</v>
      </c>
    </row>
    <row r="53" customFormat="false" ht="15" hidden="false" customHeight="false" outlineLevel="0" collapsed="false">
      <c r="A53" s="7" t="n">
        <v>2023</v>
      </c>
      <c r="B53" s="15" t="s">
        <v>104</v>
      </c>
      <c r="C53" s="15" t="s">
        <v>102</v>
      </c>
      <c r="D53" s="15" t="s">
        <v>105</v>
      </c>
      <c r="E53" s="19" t="n">
        <v>162.229309</v>
      </c>
      <c r="F53" s="19" t="n">
        <v>177.958594</v>
      </c>
      <c r="G53" s="19" t="n">
        <v>160.418972</v>
      </c>
      <c r="H53" s="19" t="n">
        <v>256.131066</v>
      </c>
      <c r="I53" s="19" t="n">
        <v>5656.571867</v>
      </c>
      <c r="J53" s="27" t="n">
        <v>1163141</v>
      </c>
      <c r="K53" s="27" t="n">
        <v>1163140</v>
      </c>
      <c r="L53" s="9" t="n">
        <f aca="false">IF(AND(K53&lt;&gt;"",J53&lt;Assumptions!$B$3*K53),K53,J53)</f>
        <v>1163141</v>
      </c>
      <c r="M53" s="21" t="str">
        <f aca="false">IF(L53=J53,"FERC Form 1","EIA-861")</f>
        <v>FERC Form 1</v>
      </c>
      <c r="N53" s="28" t="n">
        <f aca="false">E53+F53+G53</f>
        <v>500.606875</v>
      </c>
    </row>
    <row r="54" customFormat="false" ht="15" hidden="false" customHeight="false" outlineLevel="0" collapsed="false">
      <c r="A54" s="7" t="n">
        <v>2024</v>
      </c>
      <c r="B54" s="15" t="s">
        <v>104</v>
      </c>
      <c r="C54" s="15" t="s">
        <v>102</v>
      </c>
      <c r="D54" s="15" t="s">
        <v>105</v>
      </c>
      <c r="E54" s="19" t="n">
        <v>219.413671</v>
      </c>
      <c r="F54" s="19" t="n">
        <v>156.261334</v>
      </c>
      <c r="G54" s="19" t="n">
        <v>166.869895</v>
      </c>
      <c r="H54" s="19" t="n">
        <v>319.575136</v>
      </c>
      <c r="I54" s="19" t="n">
        <v>5867.001737</v>
      </c>
      <c r="J54" s="27" t="n">
        <v>1171836</v>
      </c>
      <c r="K54" s="27" t="n">
        <v>1171837</v>
      </c>
      <c r="L54" s="9" t="n">
        <f aca="false">IF(AND(K54&lt;&gt;"",J54&lt;Assumptions!$B$3*K54),K54,J54)</f>
        <v>1171836</v>
      </c>
      <c r="M54" s="21" t="str">
        <f aca="false">IF(L54=J54,"FERC Form 1","EIA-861")</f>
        <v>FERC Form 1</v>
      </c>
      <c r="N54" s="28" t="n">
        <f aca="false">E54+F54+G54</f>
        <v>542.5449</v>
      </c>
    </row>
    <row r="55" customFormat="false" ht="15" hidden="false" customHeight="false" outlineLevel="0" collapsed="false">
      <c r="A55" s="7" t="n">
        <v>2025</v>
      </c>
      <c r="B55" s="15" t="s">
        <v>104</v>
      </c>
      <c r="C55" s="15" t="s">
        <v>102</v>
      </c>
      <c r="D55" s="15" t="s">
        <v>105</v>
      </c>
      <c r="E55" s="19" t="n">
        <v>253.40012</v>
      </c>
      <c r="F55" s="19" t="n">
        <v>182.514959</v>
      </c>
      <c r="G55" s="19" t="n">
        <v>193.121592</v>
      </c>
      <c r="H55" s="19" t="n">
        <v>399.384424</v>
      </c>
      <c r="I55" s="19" t="n">
        <v>6355.894879</v>
      </c>
      <c r="J55" s="27" t="n">
        <v>1181664</v>
      </c>
      <c r="K55" s="27" t="n">
        <v>1181665</v>
      </c>
      <c r="L55" s="9" t="n">
        <f aca="false">IF(AND(K55&lt;&gt;"",J55&lt;Assumptions!$B$3*K55),K55,J55)</f>
        <v>1181664</v>
      </c>
      <c r="M55" s="21" t="str">
        <f aca="false">IF(L55=J55,"FERC Form 1","EIA-861")</f>
        <v>FERC Form 1</v>
      </c>
      <c r="N55" s="28" t="n">
        <f aca="false">E55+F55+G55</f>
        <v>629.036671</v>
      </c>
    </row>
    <row r="56" customFormat="false" ht="15" hidden="false" customHeight="false" outlineLevel="0" collapsed="false">
      <c r="A56" s="7" t="n">
        <v>2000</v>
      </c>
      <c r="B56" s="15" t="s">
        <v>106</v>
      </c>
      <c r="C56" s="15" t="s">
        <v>102</v>
      </c>
      <c r="D56" s="15" t="s">
        <v>107</v>
      </c>
      <c r="E56" s="19" t="n">
        <v>35.78359</v>
      </c>
      <c r="F56" s="19" t="n">
        <v>45.498449</v>
      </c>
      <c r="G56" s="19" t="n">
        <v>25.302159</v>
      </c>
      <c r="H56" s="19" t="n">
        <v>41.130203</v>
      </c>
      <c r="I56" s="19" t="n">
        <v>1072.061781</v>
      </c>
      <c r="J56" s="27" t="n">
        <v>491905</v>
      </c>
      <c r="K56" s="27"/>
      <c r="L56" s="9" t="n">
        <f aca="false">IF(AND(K56&lt;&gt;"",J56&lt;Assumptions!$B$3*K56),K56,J56)</f>
        <v>491905</v>
      </c>
      <c r="M56" s="21" t="str">
        <f aca="false">IF(L56=J56,"FERC Form 1","EIA-861")</f>
        <v>FERC Form 1</v>
      </c>
      <c r="N56" s="28" t="n">
        <f aca="false">E56+F56+G56</f>
        <v>106.584198</v>
      </c>
    </row>
    <row r="57" customFormat="false" ht="15" hidden="false" customHeight="false" outlineLevel="0" collapsed="false">
      <c r="A57" s="7" t="n">
        <v>2001</v>
      </c>
      <c r="B57" s="15" t="s">
        <v>106</v>
      </c>
      <c r="C57" s="15" t="s">
        <v>102</v>
      </c>
      <c r="D57" s="15" t="s">
        <v>107</v>
      </c>
      <c r="E57" s="19" t="n">
        <v>39.462252</v>
      </c>
      <c r="F57" s="19" t="n">
        <v>39.455152</v>
      </c>
      <c r="G57" s="19" t="n">
        <v>28.008562</v>
      </c>
      <c r="H57" s="19" t="n">
        <v>47.429784</v>
      </c>
      <c r="I57" s="19" t="n">
        <v>1110.294344</v>
      </c>
      <c r="J57" s="27" t="n">
        <v>498988</v>
      </c>
      <c r="K57" s="27" t="n">
        <v>498988</v>
      </c>
      <c r="L57" s="9" t="n">
        <f aca="false">IF(AND(K57&lt;&gt;"",J57&lt;Assumptions!$B$3*K57),K57,J57)</f>
        <v>498988</v>
      </c>
      <c r="M57" s="21" t="str">
        <f aca="false">IF(L57=J57,"FERC Form 1","EIA-861")</f>
        <v>FERC Form 1</v>
      </c>
      <c r="N57" s="28" t="n">
        <f aca="false">E57+F57+G57</f>
        <v>106.925966</v>
      </c>
    </row>
    <row r="58" customFormat="false" ht="15" hidden="false" customHeight="false" outlineLevel="0" collapsed="false">
      <c r="A58" s="7" t="n">
        <v>2002</v>
      </c>
      <c r="B58" s="15" t="s">
        <v>106</v>
      </c>
      <c r="C58" s="15" t="s">
        <v>102</v>
      </c>
      <c r="D58" s="15" t="s">
        <v>107</v>
      </c>
      <c r="E58" s="19" t="n">
        <v>36.783415</v>
      </c>
      <c r="F58" s="19" t="n">
        <v>30.343009</v>
      </c>
      <c r="G58" s="19" t="n">
        <v>25.386747</v>
      </c>
      <c r="H58" s="19" t="n">
        <v>34.908563</v>
      </c>
      <c r="I58" s="19" t="n">
        <v>1136.160095</v>
      </c>
      <c r="J58" s="27" t="n">
        <v>506134</v>
      </c>
      <c r="K58" s="27" t="n">
        <v>506116</v>
      </c>
      <c r="L58" s="9" t="n">
        <f aca="false">IF(AND(K58&lt;&gt;"",J58&lt;Assumptions!$B$3*K58),K58,J58)</f>
        <v>506134</v>
      </c>
      <c r="M58" s="21" t="str">
        <f aca="false">IF(L58=J58,"FERC Form 1","EIA-861")</f>
        <v>FERC Form 1</v>
      </c>
      <c r="N58" s="28" t="n">
        <f aca="false">E58+F58+G58</f>
        <v>92.513171</v>
      </c>
    </row>
    <row r="59" customFormat="false" ht="15" hidden="false" customHeight="false" outlineLevel="0" collapsed="false">
      <c r="A59" s="7" t="n">
        <v>2003</v>
      </c>
      <c r="B59" s="15" t="s">
        <v>106</v>
      </c>
      <c r="C59" s="15" t="s">
        <v>102</v>
      </c>
      <c r="D59" s="15" t="s">
        <v>107</v>
      </c>
      <c r="E59" s="19" t="n">
        <v>48.5669</v>
      </c>
      <c r="F59" s="19" t="n">
        <v>34.914746</v>
      </c>
      <c r="G59" s="19" t="n">
        <v>24.794417</v>
      </c>
      <c r="H59" s="19" t="n">
        <v>34.240901</v>
      </c>
      <c r="I59" s="19" t="n">
        <v>1167.437202</v>
      </c>
      <c r="J59" s="27" t="n">
        <v>513023</v>
      </c>
      <c r="K59" s="27" t="n">
        <v>513023</v>
      </c>
      <c r="L59" s="9" t="n">
        <f aca="false">IF(AND(K59&lt;&gt;"",J59&lt;Assumptions!$B$3*K59),K59,J59)</f>
        <v>513023</v>
      </c>
      <c r="M59" s="21" t="str">
        <f aca="false">IF(L59=J59,"FERC Form 1","EIA-861")</f>
        <v>FERC Form 1</v>
      </c>
      <c r="N59" s="28" t="n">
        <f aca="false">E59+F59+G59</f>
        <v>108.276063</v>
      </c>
    </row>
    <row r="60" customFormat="false" ht="15" hidden="false" customHeight="false" outlineLevel="0" collapsed="false">
      <c r="A60" s="7" t="n">
        <v>2004</v>
      </c>
      <c r="B60" s="15" t="s">
        <v>106</v>
      </c>
      <c r="C60" s="15" t="s">
        <v>102</v>
      </c>
      <c r="D60" s="15" t="s">
        <v>107</v>
      </c>
      <c r="E60" s="19" t="n">
        <v>41.245477</v>
      </c>
      <c r="F60" s="19" t="n">
        <v>26.697829</v>
      </c>
      <c r="G60" s="19" t="n">
        <v>25.148946</v>
      </c>
      <c r="H60" s="19" t="n">
        <v>48.168135</v>
      </c>
      <c r="I60" s="19" t="n">
        <v>1203.74905</v>
      </c>
      <c r="J60" s="27" t="n">
        <v>520687</v>
      </c>
      <c r="K60" s="27" t="n">
        <v>520687</v>
      </c>
      <c r="L60" s="9" t="n">
        <f aca="false">IF(AND(K60&lt;&gt;"",J60&lt;Assumptions!$B$3*K60),K60,J60)</f>
        <v>520687</v>
      </c>
      <c r="M60" s="21" t="str">
        <f aca="false">IF(L60=J60,"FERC Form 1","EIA-861")</f>
        <v>FERC Form 1</v>
      </c>
      <c r="N60" s="28" t="n">
        <f aca="false">E60+F60+G60</f>
        <v>93.092252</v>
      </c>
    </row>
    <row r="61" customFormat="false" ht="15" hidden="false" customHeight="false" outlineLevel="0" collapsed="false">
      <c r="A61" s="7" t="n">
        <v>2005</v>
      </c>
      <c r="B61" s="15" t="s">
        <v>106</v>
      </c>
      <c r="C61" s="15" t="s">
        <v>102</v>
      </c>
      <c r="D61" s="15" t="s">
        <v>107</v>
      </c>
      <c r="E61" s="19" t="n">
        <v>36.860847</v>
      </c>
      <c r="F61" s="19" t="n">
        <v>33.427865</v>
      </c>
      <c r="G61" s="19" t="n">
        <v>25.568029</v>
      </c>
      <c r="H61" s="19" t="n">
        <v>75.085664</v>
      </c>
      <c r="I61" s="19" t="n">
        <v>1273.284009</v>
      </c>
      <c r="J61" s="27" t="n">
        <v>530011</v>
      </c>
      <c r="K61" s="27" t="n">
        <v>530011</v>
      </c>
      <c r="L61" s="9" t="n">
        <f aca="false">IF(AND(K61&lt;&gt;"",J61&lt;Assumptions!$B$3*K61),K61,J61)</f>
        <v>530011</v>
      </c>
      <c r="M61" s="21" t="str">
        <f aca="false">IF(L61=J61,"FERC Form 1","EIA-861")</f>
        <v>FERC Form 1</v>
      </c>
      <c r="N61" s="28" t="n">
        <f aca="false">E61+F61+G61</f>
        <v>95.856741</v>
      </c>
    </row>
    <row r="62" customFormat="false" ht="15" hidden="false" customHeight="false" outlineLevel="0" collapsed="false">
      <c r="A62" s="7" t="n">
        <v>2006</v>
      </c>
      <c r="B62" s="15" t="s">
        <v>106</v>
      </c>
      <c r="C62" s="15" t="s">
        <v>102</v>
      </c>
      <c r="D62" s="15" t="s">
        <v>107</v>
      </c>
      <c r="E62" s="19" t="n">
        <v>41.163652</v>
      </c>
      <c r="F62" s="19" t="n">
        <v>32.78154</v>
      </c>
      <c r="G62" s="19" t="n">
        <v>26.73162</v>
      </c>
      <c r="H62" s="19" t="n">
        <v>65.904204</v>
      </c>
      <c r="I62" s="19" t="n">
        <v>1319.154941</v>
      </c>
      <c r="J62" s="27" t="n">
        <v>538150</v>
      </c>
      <c r="K62" s="27" t="n">
        <v>541680</v>
      </c>
      <c r="L62" s="9" t="n">
        <f aca="false">IF(AND(K62&lt;&gt;"",J62&lt;Assumptions!$B$3*K62),K62,J62)</f>
        <v>538150</v>
      </c>
      <c r="M62" s="21" t="str">
        <f aca="false">IF(L62=J62,"FERC Form 1","EIA-861")</f>
        <v>FERC Form 1</v>
      </c>
      <c r="N62" s="28" t="n">
        <f aca="false">E62+F62+G62</f>
        <v>100.676812</v>
      </c>
    </row>
    <row r="63" customFormat="false" ht="15" hidden="false" customHeight="false" outlineLevel="0" collapsed="false">
      <c r="A63" s="7" t="n">
        <v>2007</v>
      </c>
      <c r="B63" s="15" t="s">
        <v>106</v>
      </c>
      <c r="C63" s="15" t="s">
        <v>102</v>
      </c>
      <c r="D63" s="15" t="s">
        <v>107</v>
      </c>
      <c r="E63" s="19" t="n">
        <v>50.335894</v>
      </c>
      <c r="F63" s="19" t="n">
        <v>40.951743</v>
      </c>
      <c r="G63" s="19" t="n">
        <v>28.034456</v>
      </c>
      <c r="H63" s="19" t="n">
        <v>78.743978</v>
      </c>
      <c r="I63" s="19" t="n">
        <v>1387.375967</v>
      </c>
      <c r="J63" s="27" t="n">
        <v>543811</v>
      </c>
      <c r="K63" s="27" t="n">
        <v>543811</v>
      </c>
      <c r="L63" s="9" t="n">
        <f aca="false">IF(AND(K63&lt;&gt;"",J63&lt;Assumptions!$B$3*K63),K63,J63)</f>
        <v>543811</v>
      </c>
      <c r="M63" s="21" t="str">
        <f aca="false">IF(L63=J63,"FERC Form 1","EIA-861")</f>
        <v>FERC Form 1</v>
      </c>
      <c r="N63" s="28" t="n">
        <f aca="false">E63+F63+G63</f>
        <v>119.322093</v>
      </c>
    </row>
    <row r="64" customFormat="false" ht="15" hidden="false" customHeight="false" outlineLevel="0" collapsed="false">
      <c r="A64" s="7" t="n">
        <v>2008</v>
      </c>
      <c r="B64" s="15" t="s">
        <v>106</v>
      </c>
      <c r="C64" s="15" t="s">
        <v>102</v>
      </c>
      <c r="D64" s="15" t="s">
        <v>107</v>
      </c>
      <c r="E64" s="19" t="n">
        <v>44.378985</v>
      </c>
      <c r="F64" s="19" t="n">
        <v>47.939829</v>
      </c>
      <c r="G64" s="19" t="n">
        <v>29.732254</v>
      </c>
      <c r="H64" s="19" t="n">
        <v>77.724798</v>
      </c>
      <c r="I64" s="19" t="n">
        <v>1455.145802</v>
      </c>
      <c r="J64" s="27" t="n">
        <v>547557</v>
      </c>
      <c r="K64" s="27" t="n">
        <v>547557</v>
      </c>
      <c r="L64" s="9" t="n">
        <f aca="false">IF(AND(K64&lt;&gt;"",J64&lt;Assumptions!$B$3*K64),K64,J64)</f>
        <v>547557</v>
      </c>
      <c r="M64" s="21" t="str">
        <f aca="false">IF(L64=J64,"FERC Form 1","EIA-861")</f>
        <v>FERC Form 1</v>
      </c>
      <c r="N64" s="28" t="n">
        <f aca="false">E64+F64+G64</f>
        <v>122.051068</v>
      </c>
    </row>
    <row r="65" customFormat="false" ht="15" hidden="false" customHeight="false" outlineLevel="0" collapsed="false">
      <c r="A65" s="7" t="n">
        <v>2009</v>
      </c>
      <c r="B65" s="15" t="s">
        <v>106</v>
      </c>
      <c r="C65" s="15" t="s">
        <v>102</v>
      </c>
      <c r="D65" s="15" t="s">
        <v>107</v>
      </c>
      <c r="E65" s="19" t="n">
        <v>33.373649</v>
      </c>
      <c r="F65" s="19" t="n">
        <v>49.683748</v>
      </c>
      <c r="G65" s="19" t="n">
        <v>31.651436</v>
      </c>
      <c r="H65" s="19" t="n">
        <v>93.683433</v>
      </c>
      <c r="I65" s="19" t="n">
        <v>1540.42644</v>
      </c>
      <c r="J65" s="27" t="n">
        <v>549818</v>
      </c>
      <c r="K65" s="27" t="n">
        <v>549819</v>
      </c>
      <c r="L65" s="9" t="n">
        <f aca="false">IF(AND(K65&lt;&gt;"",J65&lt;Assumptions!$B$3*K65),K65,J65)</f>
        <v>549818</v>
      </c>
      <c r="M65" s="21" t="str">
        <f aca="false">IF(L65=J65,"FERC Form 1","EIA-861")</f>
        <v>FERC Form 1</v>
      </c>
      <c r="N65" s="28" t="n">
        <f aca="false">E65+F65+G65</f>
        <v>114.708833</v>
      </c>
    </row>
    <row r="66" customFormat="false" ht="15" hidden="false" customHeight="false" outlineLevel="0" collapsed="false">
      <c r="A66" s="7" t="n">
        <v>2010</v>
      </c>
      <c r="B66" s="15" t="s">
        <v>106</v>
      </c>
      <c r="C66" s="15" t="s">
        <v>102</v>
      </c>
      <c r="D66" s="15" t="s">
        <v>107</v>
      </c>
      <c r="E66" s="19" t="n">
        <v>37.612011</v>
      </c>
      <c r="F66" s="19" t="n">
        <v>57.619894</v>
      </c>
      <c r="G66" s="19" t="n">
        <v>33.718037</v>
      </c>
      <c r="H66" s="19" t="n">
        <v>79.37353</v>
      </c>
      <c r="I66" s="19" t="n">
        <v>1613.143894</v>
      </c>
      <c r="J66" s="27" t="n">
        <v>551776</v>
      </c>
      <c r="K66" s="27" t="n">
        <v>551776</v>
      </c>
      <c r="L66" s="9" t="n">
        <f aca="false">IF(AND(K66&lt;&gt;"",J66&lt;Assumptions!$B$3*K66),K66,J66)</f>
        <v>551776</v>
      </c>
      <c r="M66" s="21" t="str">
        <f aca="false">IF(L66=J66,"FERC Form 1","EIA-861")</f>
        <v>FERC Form 1</v>
      </c>
      <c r="N66" s="28" t="n">
        <f aca="false">E66+F66+G66</f>
        <v>128.949942</v>
      </c>
    </row>
    <row r="67" customFormat="false" ht="15" hidden="false" customHeight="false" outlineLevel="0" collapsed="false">
      <c r="A67" s="7" t="n">
        <v>2011</v>
      </c>
      <c r="B67" s="15" t="s">
        <v>106</v>
      </c>
      <c r="C67" s="15" t="s">
        <v>102</v>
      </c>
      <c r="D67" s="15" t="s">
        <v>107</v>
      </c>
      <c r="E67" s="19" t="n">
        <v>48.484714</v>
      </c>
      <c r="F67" s="19" t="n">
        <v>74.4068</v>
      </c>
      <c r="G67" s="19" t="n">
        <v>47.65817</v>
      </c>
      <c r="H67" s="19" t="n">
        <v>78.13427</v>
      </c>
      <c r="I67" s="19" t="n">
        <v>1801.918805</v>
      </c>
      <c r="J67" s="27" t="n">
        <v>552631</v>
      </c>
      <c r="K67" s="27" t="n">
        <v>552631</v>
      </c>
      <c r="L67" s="9" t="n">
        <f aca="false">IF(AND(K67&lt;&gt;"",J67&lt;Assumptions!$B$3*K67),K67,J67)</f>
        <v>552631</v>
      </c>
      <c r="M67" s="21" t="str">
        <f aca="false">IF(L67=J67,"FERC Form 1","EIA-861")</f>
        <v>FERC Form 1</v>
      </c>
      <c r="N67" s="28" t="n">
        <f aca="false">E67+F67+G67</f>
        <v>170.549684</v>
      </c>
    </row>
    <row r="68" customFormat="false" ht="15" hidden="false" customHeight="false" outlineLevel="0" collapsed="false">
      <c r="A68" s="7" t="n">
        <v>2012</v>
      </c>
      <c r="B68" s="15" t="s">
        <v>106</v>
      </c>
      <c r="C68" s="15" t="s">
        <v>102</v>
      </c>
      <c r="D68" s="15" t="s">
        <v>107</v>
      </c>
      <c r="E68" s="19" t="n">
        <v>49.313186</v>
      </c>
      <c r="F68" s="19" t="n">
        <v>75.539323</v>
      </c>
      <c r="G68" s="19" t="n">
        <v>57.631061</v>
      </c>
      <c r="H68" s="19" t="n">
        <v>126.964148</v>
      </c>
      <c r="I68" s="19" t="n">
        <v>1918.665664</v>
      </c>
      <c r="J68" s="27" t="n">
        <v>553405</v>
      </c>
      <c r="K68" s="27" t="n">
        <v>553405</v>
      </c>
      <c r="L68" s="9" t="n">
        <f aca="false">IF(AND(K68&lt;&gt;"",J68&lt;Assumptions!$B$3*K68),K68,J68)</f>
        <v>553405</v>
      </c>
      <c r="M68" s="21" t="str">
        <f aca="false">IF(L68=J68,"FERC Form 1","EIA-861")</f>
        <v>FERC Form 1</v>
      </c>
      <c r="N68" s="28" t="n">
        <f aca="false">E68+F68+G68</f>
        <v>182.48357</v>
      </c>
    </row>
    <row r="69" customFormat="false" ht="15" hidden="false" customHeight="false" outlineLevel="0" collapsed="false">
      <c r="A69" s="7" t="n">
        <v>2013</v>
      </c>
      <c r="B69" s="15" t="s">
        <v>106</v>
      </c>
      <c r="C69" s="15" t="s">
        <v>102</v>
      </c>
      <c r="D69" s="15" t="s">
        <v>107</v>
      </c>
      <c r="E69" s="19" t="n">
        <v>36.656893</v>
      </c>
      <c r="F69" s="19" t="n">
        <v>66.865156</v>
      </c>
      <c r="G69" s="19" t="n">
        <v>39.487072</v>
      </c>
      <c r="H69" s="19" t="n">
        <v>67.415091</v>
      </c>
      <c r="I69" s="19" t="n">
        <v>1965.902255</v>
      </c>
      <c r="J69" s="27" t="n">
        <v>554596</v>
      </c>
      <c r="K69" s="27" t="n">
        <v>554596</v>
      </c>
      <c r="L69" s="9" t="n">
        <f aca="false">IF(AND(K69&lt;&gt;"",J69&lt;Assumptions!$B$3*K69),K69,J69)</f>
        <v>554596</v>
      </c>
      <c r="M69" s="21" t="str">
        <f aca="false">IF(L69=J69,"FERC Form 1","EIA-861")</f>
        <v>FERC Form 1</v>
      </c>
      <c r="N69" s="28" t="n">
        <f aca="false">E69+F69+G69</f>
        <v>143.009121</v>
      </c>
    </row>
    <row r="70" customFormat="false" ht="15" hidden="false" customHeight="false" outlineLevel="0" collapsed="false">
      <c r="A70" s="7" t="n">
        <v>2014</v>
      </c>
      <c r="B70" s="15" t="s">
        <v>106</v>
      </c>
      <c r="C70" s="15" t="s">
        <v>102</v>
      </c>
      <c r="D70" s="15" t="s">
        <v>107</v>
      </c>
      <c r="E70" s="19" t="n">
        <v>51.433143</v>
      </c>
      <c r="F70" s="19" t="n">
        <v>61.66403</v>
      </c>
      <c r="G70" s="19" t="n">
        <v>52.054637</v>
      </c>
      <c r="H70" s="19" t="n">
        <v>101.674373</v>
      </c>
      <c r="I70" s="19" t="n">
        <v>2057.126299</v>
      </c>
      <c r="J70" s="27" t="n">
        <v>556577</v>
      </c>
      <c r="K70" s="27" t="n">
        <v>556577</v>
      </c>
      <c r="L70" s="9" t="n">
        <f aca="false">IF(AND(K70&lt;&gt;"",J70&lt;Assumptions!$B$3*K70),K70,J70)</f>
        <v>556577</v>
      </c>
      <c r="M70" s="21" t="str">
        <f aca="false">IF(L70=J70,"FERC Form 1","EIA-861")</f>
        <v>FERC Form 1</v>
      </c>
      <c r="N70" s="28" t="n">
        <f aca="false">E70+F70+G70</f>
        <v>165.15181</v>
      </c>
    </row>
    <row r="71" customFormat="false" ht="15" hidden="false" customHeight="false" outlineLevel="0" collapsed="false">
      <c r="A71" s="7" t="n">
        <v>2015</v>
      </c>
      <c r="B71" s="15" t="s">
        <v>106</v>
      </c>
      <c r="C71" s="15" t="s">
        <v>102</v>
      </c>
      <c r="D71" s="15" t="s">
        <v>107</v>
      </c>
      <c r="E71" s="19" t="n">
        <v>39.664665</v>
      </c>
      <c r="F71" s="19" t="n">
        <v>64.916562</v>
      </c>
      <c r="G71" s="19" t="n">
        <v>48.974056</v>
      </c>
      <c r="H71" s="19" t="n">
        <v>88.63308</v>
      </c>
      <c r="I71" s="19" t="n">
        <v>2060.482625</v>
      </c>
      <c r="J71" s="27" t="n">
        <v>559325</v>
      </c>
      <c r="K71" s="27" t="n">
        <v>559325</v>
      </c>
      <c r="L71" s="9" t="n">
        <f aca="false">IF(AND(K71&lt;&gt;"",J71&lt;Assumptions!$B$3*K71),K71,J71)</f>
        <v>559325</v>
      </c>
      <c r="M71" s="21" t="str">
        <f aca="false">IF(L71=J71,"FERC Form 1","EIA-861")</f>
        <v>FERC Form 1</v>
      </c>
      <c r="N71" s="28" t="n">
        <f aca="false">E71+F71+G71</f>
        <v>153.555283</v>
      </c>
    </row>
    <row r="72" customFormat="false" ht="15" hidden="false" customHeight="false" outlineLevel="0" collapsed="false">
      <c r="A72" s="7" t="n">
        <v>2016</v>
      </c>
      <c r="B72" s="15" t="s">
        <v>106</v>
      </c>
      <c r="C72" s="15" t="s">
        <v>102</v>
      </c>
      <c r="D72" s="15" t="s">
        <v>107</v>
      </c>
      <c r="E72" s="19" t="n">
        <v>45.4635</v>
      </c>
      <c r="F72" s="19" t="n">
        <v>60.559641</v>
      </c>
      <c r="G72" s="19" t="n">
        <v>48.359673</v>
      </c>
      <c r="H72" s="19" t="n">
        <v>100.463112</v>
      </c>
      <c r="I72" s="19" t="n">
        <v>2145.453375</v>
      </c>
      <c r="J72" s="27" t="n">
        <v>562850</v>
      </c>
      <c r="K72" s="27" t="n">
        <v>562850</v>
      </c>
      <c r="L72" s="9" t="n">
        <f aca="false">IF(AND(K72&lt;&gt;"",J72&lt;Assumptions!$B$3*K72),K72,J72)</f>
        <v>562850</v>
      </c>
      <c r="M72" s="21" t="str">
        <f aca="false">IF(L72=J72,"FERC Form 1","EIA-861")</f>
        <v>FERC Form 1</v>
      </c>
      <c r="N72" s="28" t="n">
        <f aca="false">E72+F72+G72</f>
        <v>154.382814</v>
      </c>
    </row>
    <row r="73" customFormat="false" ht="15" hidden="false" customHeight="false" outlineLevel="0" collapsed="false">
      <c r="A73" s="7" t="n">
        <v>2017</v>
      </c>
      <c r="B73" s="15" t="s">
        <v>106</v>
      </c>
      <c r="C73" s="15" t="s">
        <v>102</v>
      </c>
      <c r="D73" s="15" t="s">
        <v>107</v>
      </c>
      <c r="E73" s="19" t="n">
        <v>51.441795</v>
      </c>
      <c r="F73" s="19" t="n">
        <v>59.126708</v>
      </c>
      <c r="G73" s="19" t="n">
        <v>49.755968</v>
      </c>
      <c r="H73" s="19" t="n">
        <v>112.504289</v>
      </c>
      <c r="I73" s="19" t="n">
        <v>2243.177272</v>
      </c>
      <c r="J73" s="27" t="n">
        <v>566695</v>
      </c>
      <c r="K73" s="27" t="n">
        <v>566695</v>
      </c>
      <c r="L73" s="9" t="n">
        <f aca="false">IF(AND(K73&lt;&gt;"",J73&lt;Assumptions!$B$3*K73),K73,J73)</f>
        <v>566695</v>
      </c>
      <c r="M73" s="21" t="str">
        <f aca="false">IF(L73=J73,"FERC Form 1","EIA-861")</f>
        <v>FERC Form 1</v>
      </c>
      <c r="N73" s="28" t="n">
        <f aca="false">E73+F73+G73</f>
        <v>160.324471</v>
      </c>
    </row>
    <row r="74" customFormat="false" ht="15" hidden="false" customHeight="false" outlineLevel="0" collapsed="false">
      <c r="A74" s="7" t="n">
        <v>2018</v>
      </c>
      <c r="B74" s="15" t="s">
        <v>106</v>
      </c>
      <c r="C74" s="15" t="s">
        <v>102</v>
      </c>
      <c r="D74" s="15" t="s">
        <v>107</v>
      </c>
      <c r="E74" s="19" t="n">
        <v>113.131535</v>
      </c>
      <c r="F74" s="19" t="n">
        <v>60.642023</v>
      </c>
      <c r="G74" s="19" t="n">
        <v>56.374179</v>
      </c>
      <c r="H74" s="19" t="n">
        <v>161.741359</v>
      </c>
      <c r="I74" s="19" t="n">
        <v>2386.196694</v>
      </c>
      <c r="J74" s="27" t="n">
        <v>569982</v>
      </c>
      <c r="K74" s="27" t="n">
        <v>569982</v>
      </c>
      <c r="L74" s="9" t="n">
        <f aca="false">IF(AND(K74&lt;&gt;"",J74&lt;Assumptions!$B$3*K74),K74,J74)</f>
        <v>569982</v>
      </c>
      <c r="M74" s="21" t="str">
        <f aca="false">IF(L74=J74,"FERC Form 1","EIA-861")</f>
        <v>FERC Form 1</v>
      </c>
      <c r="N74" s="28" t="n">
        <f aca="false">E74+F74+G74</f>
        <v>230.147737</v>
      </c>
    </row>
    <row r="75" customFormat="false" ht="15" hidden="false" customHeight="false" outlineLevel="0" collapsed="false">
      <c r="A75" s="7" t="n">
        <v>2019</v>
      </c>
      <c r="B75" s="15" t="s">
        <v>106</v>
      </c>
      <c r="C75" s="15" t="s">
        <v>102</v>
      </c>
      <c r="D75" s="15" t="s">
        <v>107</v>
      </c>
      <c r="E75" s="19" t="n">
        <v>72.953628</v>
      </c>
      <c r="F75" s="19" t="n">
        <v>57.375661</v>
      </c>
      <c r="G75" s="19" t="n">
        <v>60.334357</v>
      </c>
      <c r="H75" s="19" t="n">
        <v>154.577413</v>
      </c>
      <c r="I75" s="19" t="n">
        <v>2524.106017</v>
      </c>
      <c r="J75" s="27" t="n">
        <v>572912</v>
      </c>
      <c r="K75" s="27" t="n">
        <v>572914</v>
      </c>
      <c r="L75" s="9" t="n">
        <f aca="false">IF(AND(K75&lt;&gt;"",J75&lt;Assumptions!$B$3*K75),K75,J75)</f>
        <v>572912</v>
      </c>
      <c r="M75" s="21" t="str">
        <f aca="false">IF(L75=J75,"FERC Form 1","EIA-861")</f>
        <v>FERC Form 1</v>
      </c>
      <c r="N75" s="28" t="n">
        <f aca="false">E75+F75+G75</f>
        <v>190.663646</v>
      </c>
    </row>
    <row r="76" customFormat="false" ht="15" hidden="false" customHeight="false" outlineLevel="0" collapsed="false">
      <c r="A76" s="7" t="n">
        <v>2020</v>
      </c>
      <c r="B76" s="15" t="s">
        <v>106</v>
      </c>
      <c r="C76" s="15" t="s">
        <v>102</v>
      </c>
      <c r="D76" s="15" t="s">
        <v>107</v>
      </c>
      <c r="E76" s="19" t="n">
        <v>80.018384</v>
      </c>
      <c r="F76" s="19" t="n">
        <v>63.175356</v>
      </c>
      <c r="G76" s="19" t="n">
        <v>63.481886</v>
      </c>
      <c r="H76" s="19" t="n">
        <v>133.568945</v>
      </c>
      <c r="I76" s="19" t="n">
        <v>2638.055011</v>
      </c>
      <c r="J76" s="27" t="n">
        <v>577500</v>
      </c>
      <c r="K76" s="27" t="n">
        <v>577502</v>
      </c>
      <c r="L76" s="9" t="n">
        <f aca="false">IF(AND(K76&lt;&gt;"",J76&lt;Assumptions!$B$3*K76),K76,J76)</f>
        <v>577500</v>
      </c>
      <c r="M76" s="21" t="str">
        <f aca="false">IF(L76=J76,"FERC Form 1","EIA-861")</f>
        <v>FERC Form 1</v>
      </c>
      <c r="N76" s="28" t="n">
        <f aca="false">E76+F76+G76</f>
        <v>206.675626</v>
      </c>
    </row>
    <row r="77" customFormat="false" ht="15" hidden="false" customHeight="false" outlineLevel="0" collapsed="false">
      <c r="A77" s="7" t="n">
        <v>2021</v>
      </c>
      <c r="B77" s="15" t="s">
        <v>106</v>
      </c>
      <c r="C77" s="15" t="s">
        <v>102</v>
      </c>
      <c r="D77" s="15" t="s">
        <v>107</v>
      </c>
      <c r="E77" s="19" t="n">
        <v>78.035041</v>
      </c>
      <c r="F77" s="19" t="n">
        <v>55.551781</v>
      </c>
      <c r="G77" s="19" t="n">
        <v>64.756624</v>
      </c>
      <c r="H77" s="19" t="n">
        <v>139.049497</v>
      </c>
      <c r="I77" s="19" t="n">
        <v>2756.276821</v>
      </c>
      <c r="J77" s="27" t="n">
        <v>581453</v>
      </c>
      <c r="K77" s="27" t="n">
        <v>581453</v>
      </c>
      <c r="L77" s="9" t="n">
        <f aca="false">IF(AND(K77&lt;&gt;"",J77&lt;Assumptions!$B$3*K77),K77,J77)</f>
        <v>581453</v>
      </c>
      <c r="M77" s="21" t="str">
        <f aca="false">IF(L77=J77,"FERC Form 1","EIA-861")</f>
        <v>FERC Form 1</v>
      </c>
      <c r="N77" s="28" t="n">
        <f aca="false">E77+F77+G77</f>
        <v>198.343446</v>
      </c>
    </row>
    <row r="78" customFormat="false" ht="15" hidden="false" customHeight="false" outlineLevel="0" collapsed="false">
      <c r="A78" s="7" t="n">
        <v>2022</v>
      </c>
      <c r="B78" s="15" t="s">
        <v>106</v>
      </c>
      <c r="C78" s="15" t="s">
        <v>102</v>
      </c>
      <c r="D78" s="15" t="s">
        <v>107</v>
      </c>
      <c r="E78" s="19" t="n">
        <v>91.127717</v>
      </c>
      <c r="F78" s="19" t="n">
        <v>71.284021</v>
      </c>
      <c r="G78" s="19" t="n">
        <v>69.326922</v>
      </c>
      <c r="H78" s="19" t="n">
        <v>114.4994</v>
      </c>
      <c r="I78" s="19" t="n">
        <v>2808.625798</v>
      </c>
      <c r="J78" s="27" t="n">
        <v>585024</v>
      </c>
      <c r="K78" s="27" t="n">
        <v>585024</v>
      </c>
      <c r="L78" s="9" t="n">
        <f aca="false">IF(AND(K78&lt;&gt;"",J78&lt;Assumptions!$B$3*K78),K78,J78)</f>
        <v>585024</v>
      </c>
      <c r="M78" s="21" t="str">
        <f aca="false">IF(L78=J78,"FERC Form 1","EIA-861")</f>
        <v>FERC Form 1</v>
      </c>
      <c r="N78" s="28" t="n">
        <f aca="false">E78+F78+G78</f>
        <v>231.73866</v>
      </c>
    </row>
    <row r="79" customFormat="false" ht="15" hidden="false" customHeight="false" outlineLevel="0" collapsed="false">
      <c r="A79" s="7" t="n">
        <v>2023</v>
      </c>
      <c r="B79" s="15" t="s">
        <v>106</v>
      </c>
      <c r="C79" s="15" t="s">
        <v>102</v>
      </c>
      <c r="D79" s="15" t="s">
        <v>107</v>
      </c>
      <c r="E79" s="19" t="n">
        <v>85.83434</v>
      </c>
      <c r="F79" s="19" t="n">
        <v>67.421184</v>
      </c>
      <c r="G79" s="19" t="n">
        <v>73.635331</v>
      </c>
      <c r="H79" s="19" t="n">
        <v>142.158773</v>
      </c>
      <c r="I79" s="19" t="n">
        <v>2933.56629</v>
      </c>
      <c r="J79" s="27" t="n">
        <v>588329</v>
      </c>
      <c r="K79" s="27" t="n">
        <v>588330</v>
      </c>
      <c r="L79" s="9" t="n">
        <f aca="false">IF(AND(K79&lt;&gt;"",J79&lt;Assumptions!$B$3*K79),K79,J79)</f>
        <v>588329</v>
      </c>
      <c r="M79" s="21" t="str">
        <f aca="false">IF(L79=J79,"FERC Form 1","EIA-861")</f>
        <v>FERC Form 1</v>
      </c>
      <c r="N79" s="28" t="n">
        <f aca="false">E79+F79+G79</f>
        <v>226.890855</v>
      </c>
    </row>
    <row r="80" customFormat="false" ht="15" hidden="false" customHeight="false" outlineLevel="0" collapsed="false">
      <c r="A80" s="7" t="n">
        <v>2000</v>
      </c>
      <c r="B80" s="15" t="s">
        <v>108</v>
      </c>
      <c r="C80" s="15" t="s">
        <v>102</v>
      </c>
      <c r="D80" s="15" t="s">
        <v>109</v>
      </c>
      <c r="E80" s="19" t="n">
        <v>34.314597</v>
      </c>
      <c r="F80" s="19" t="n">
        <v>15.751245</v>
      </c>
      <c r="G80" s="19" t="n">
        <v>20.224646</v>
      </c>
      <c r="H80" s="19" t="n">
        <v>38.784727</v>
      </c>
      <c r="I80" s="19" t="n">
        <v>823.092178</v>
      </c>
      <c r="J80" s="27" t="n">
        <v>387020</v>
      </c>
      <c r="K80" s="27"/>
      <c r="L80" s="9" t="n">
        <f aca="false">IF(AND(K80&lt;&gt;"",J80&lt;Assumptions!$B$3*K80),K80,J80)</f>
        <v>387020</v>
      </c>
      <c r="M80" s="21" t="str">
        <f aca="false">IF(L80=J80,"FERC Form 1","EIA-861")</f>
        <v>FERC Form 1</v>
      </c>
      <c r="N80" s="28" t="n">
        <f aca="false">E80+F80+G80</f>
        <v>70.290488</v>
      </c>
    </row>
    <row r="81" customFormat="false" ht="15" hidden="false" customHeight="false" outlineLevel="0" collapsed="false">
      <c r="A81" s="7" t="n">
        <v>2001</v>
      </c>
      <c r="B81" s="15" t="s">
        <v>108</v>
      </c>
      <c r="C81" s="15" t="s">
        <v>102</v>
      </c>
      <c r="D81" s="15" t="s">
        <v>109</v>
      </c>
      <c r="E81" s="19" t="n">
        <v>34.525993</v>
      </c>
      <c r="F81" s="19" t="n">
        <v>17.278048</v>
      </c>
      <c r="G81" s="19" t="n">
        <v>20.822996</v>
      </c>
      <c r="H81" s="19" t="n">
        <v>36.548398</v>
      </c>
      <c r="I81" s="19" t="n">
        <v>853.910014</v>
      </c>
      <c r="J81" s="27" t="n">
        <v>389846</v>
      </c>
      <c r="K81" s="27" t="n">
        <v>389846</v>
      </c>
      <c r="L81" s="9" t="n">
        <f aca="false">IF(AND(K81&lt;&gt;"",J81&lt;Assumptions!$B$3*K81),K81,J81)</f>
        <v>389846</v>
      </c>
      <c r="M81" s="21" t="str">
        <f aca="false">IF(L81=J81,"FERC Form 1","EIA-861")</f>
        <v>FERC Form 1</v>
      </c>
      <c r="N81" s="28" t="n">
        <f aca="false">E81+F81+G81</f>
        <v>72.627037</v>
      </c>
    </row>
    <row r="82" customFormat="false" ht="15" hidden="false" customHeight="false" outlineLevel="0" collapsed="false">
      <c r="A82" s="7" t="n">
        <v>2002</v>
      </c>
      <c r="B82" s="15" t="s">
        <v>108</v>
      </c>
      <c r="C82" s="15" t="s">
        <v>102</v>
      </c>
      <c r="D82" s="15" t="s">
        <v>109</v>
      </c>
      <c r="E82" s="19" t="n">
        <v>33.857655</v>
      </c>
      <c r="F82" s="19" t="n">
        <v>15.410839</v>
      </c>
      <c r="G82" s="19" t="n">
        <v>21.586505</v>
      </c>
      <c r="H82" s="19" t="n">
        <v>35.769778</v>
      </c>
      <c r="I82" s="19" t="n">
        <v>883.056209</v>
      </c>
      <c r="J82" s="27" t="n">
        <v>393724</v>
      </c>
      <c r="K82" s="27" t="n">
        <v>393724</v>
      </c>
      <c r="L82" s="9" t="n">
        <f aca="false">IF(AND(K82&lt;&gt;"",J82&lt;Assumptions!$B$3*K82),K82,J82)</f>
        <v>393724</v>
      </c>
      <c r="M82" s="21" t="str">
        <f aca="false">IF(L82=J82,"FERC Form 1","EIA-861")</f>
        <v>FERC Form 1</v>
      </c>
      <c r="N82" s="28" t="n">
        <f aca="false">E82+F82+G82</f>
        <v>70.854999</v>
      </c>
    </row>
    <row r="83" customFormat="false" ht="15" hidden="false" customHeight="false" outlineLevel="0" collapsed="false">
      <c r="A83" s="7" t="n">
        <v>2003</v>
      </c>
      <c r="B83" s="15" t="s">
        <v>108</v>
      </c>
      <c r="C83" s="15" t="s">
        <v>102</v>
      </c>
      <c r="D83" s="15" t="s">
        <v>109</v>
      </c>
      <c r="E83" s="19" t="n">
        <v>37.518821</v>
      </c>
      <c r="F83" s="19" t="n">
        <v>18.966324</v>
      </c>
      <c r="G83" s="19" t="n">
        <v>22.318934</v>
      </c>
      <c r="H83" s="19" t="n">
        <v>33.176787</v>
      </c>
      <c r="I83" s="19" t="n">
        <v>912.022244</v>
      </c>
      <c r="J83" s="27" t="n">
        <v>395761</v>
      </c>
      <c r="K83" s="27" t="n">
        <v>395761</v>
      </c>
      <c r="L83" s="9" t="n">
        <f aca="false">IF(AND(K83&lt;&gt;"",J83&lt;Assumptions!$B$3*K83),K83,J83)</f>
        <v>395761</v>
      </c>
      <c r="M83" s="21" t="str">
        <f aca="false">IF(L83=J83,"FERC Form 1","EIA-861")</f>
        <v>FERC Form 1</v>
      </c>
      <c r="N83" s="28" t="n">
        <f aca="false">E83+F83+G83</f>
        <v>78.804079</v>
      </c>
    </row>
    <row r="84" customFormat="false" ht="15" hidden="false" customHeight="false" outlineLevel="0" collapsed="false">
      <c r="A84" s="7" t="n">
        <v>2004</v>
      </c>
      <c r="B84" s="15" t="s">
        <v>108</v>
      </c>
      <c r="C84" s="15" t="s">
        <v>102</v>
      </c>
      <c r="D84" s="15" t="s">
        <v>109</v>
      </c>
      <c r="E84" s="19" t="n">
        <v>36.706485</v>
      </c>
      <c r="F84" s="19" t="n">
        <v>11.143442</v>
      </c>
      <c r="G84" s="19" t="n">
        <v>23.20201</v>
      </c>
      <c r="H84" s="19" t="n">
        <v>39.156748</v>
      </c>
      <c r="I84" s="19" t="n">
        <v>945.43468</v>
      </c>
      <c r="J84" s="27" t="n">
        <v>397679</v>
      </c>
      <c r="K84" s="27" t="n">
        <v>397679</v>
      </c>
      <c r="L84" s="9" t="n">
        <f aca="false">IF(AND(K84&lt;&gt;"",J84&lt;Assumptions!$B$3*K84),K84,J84)</f>
        <v>397679</v>
      </c>
      <c r="M84" s="21" t="str">
        <f aca="false">IF(L84=J84,"FERC Form 1","EIA-861")</f>
        <v>FERC Form 1</v>
      </c>
      <c r="N84" s="28" t="n">
        <f aca="false">E84+F84+G84</f>
        <v>71.051937</v>
      </c>
    </row>
    <row r="85" customFormat="false" ht="15" hidden="false" customHeight="false" outlineLevel="0" collapsed="false">
      <c r="A85" s="7" t="n">
        <v>2005</v>
      </c>
      <c r="B85" s="15" t="s">
        <v>108</v>
      </c>
      <c r="C85" s="15" t="s">
        <v>102</v>
      </c>
      <c r="D85" s="15" t="s">
        <v>109</v>
      </c>
      <c r="E85" s="19" t="n">
        <v>41.870748</v>
      </c>
      <c r="F85" s="19" t="n">
        <v>12.457215</v>
      </c>
      <c r="G85" s="19" t="n">
        <v>23.90309</v>
      </c>
      <c r="H85" s="19" t="n">
        <v>43.855421</v>
      </c>
      <c r="I85" s="19" t="n">
        <v>930.890685</v>
      </c>
      <c r="J85" s="27" t="n">
        <v>400554</v>
      </c>
      <c r="K85" s="27" t="n">
        <v>400554</v>
      </c>
      <c r="L85" s="9" t="n">
        <f aca="false">IF(AND(K85&lt;&gt;"",J85&lt;Assumptions!$B$3*K85),K85,J85)</f>
        <v>400554</v>
      </c>
      <c r="M85" s="21" t="str">
        <f aca="false">IF(L85=J85,"FERC Form 1","EIA-861")</f>
        <v>FERC Form 1</v>
      </c>
      <c r="N85" s="28" t="n">
        <f aca="false">E85+F85+G85</f>
        <v>78.231053</v>
      </c>
    </row>
    <row r="86" customFormat="false" ht="15" hidden="false" customHeight="false" outlineLevel="0" collapsed="false">
      <c r="A86" s="7" t="n">
        <v>2006</v>
      </c>
      <c r="B86" s="15" t="s">
        <v>108</v>
      </c>
      <c r="C86" s="15" t="s">
        <v>102</v>
      </c>
      <c r="D86" s="15" t="s">
        <v>109</v>
      </c>
      <c r="E86" s="19" t="n">
        <v>34.708845</v>
      </c>
      <c r="F86" s="19" t="n">
        <v>11.839697</v>
      </c>
      <c r="G86" s="19" t="n">
        <v>23.506377</v>
      </c>
      <c r="H86" s="19" t="n">
        <v>42.259139</v>
      </c>
      <c r="I86" s="19" t="n">
        <v>968.227749</v>
      </c>
      <c r="J86" s="27" t="n">
        <v>375017</v>
      </c>
      <c r="K86" s="27" t="n">
        <v>375017</v>
      </c>
      <c r="L86" s="9" t="n">
        <f aca="false">IF(AND(K86&lt;&gt;"",J86&lt;Assumptions!$B$3*K86),K86,J86)</f>
        <v>375017</v>
      </c>
      <c r="M86" s="21" t="str">
        <f aca="false">IF(L86=J86,"FERC Form 1","EIA-861")</f>
        <v>FERC Form 1</v>
      </c>
      <c r="N86" s="28" t="n">
        <f aca="false">E86+F86+G86</f>
        <v>70.054919</v>
      </c>
    </row>
    <row r="87" customFormat="false" ht="15" hidden="false" customHeight="false" outlineLevel="0" collapsed="false">
      <c r="A87" s="7" t="n">
        <v>2007</v>
      </c>
      <c r="B87" s="15" t="s">
        <v>108</v>
      </c>
      <c r="C87" s="15" t="s">
        <v>102</v>
      </c>
      <c r="D87" s="15" t="s">
        <v>109</v>
      </c>
      <c r="E87" s="19" t="n">
        <v>32.082473</v>
      </c>
      <c r="F87" s="19" t="n">
        <v>12.089468</v>
      </c>
      <c r="G87" s="19" t="n">
        <v>24.715442</v>
      </c>
      <c r="H87" s="19" t="n">
        <v>43.147362</v>
      </c>
      <c r="I87" s="19" t="n">
        <v>1007.45925</v>
      </c>
      <c r="J87" s="27" t="n">
        <v>378558</v>
      </c>
      <c r="K87" s="27" t="n">
        <v>378558</v>
      </c>
      <c r="L87" s="9" t="n">
        <f aca="false">IF(AND(K87&lt;&gt;"",J87&lt;Assumptions!$B$3*K87),K87,J87)</f>
        <v>378558</v>
      </c>
      <c r="M87" s="21" t="str">
        <f aca="false">IF(L87=J87,"FERC Form 1","EIA-861")</f>
        <v>FERC Form 1</v>
      </c>
      <c r="N87" s="28" t="n">
        <f aca="false">E87+F87+G87</f>
        <v>68.887383</v>
      </c>
    </row>
    <row r="88" customFormat="false" ht="15" hidden="false" customHeight="false" outlineLevel="0" collapsed="false">
      <c r="A88" s="7" t="n">
        <v>2008</v>
      </c>
      <c r="B88" s="15" t="s">
        <v>108</v>
      </c>
      <c r="C88" s="15" t="s">
        <v>102</v>
      </c>
      <c r="D88" s="15" t="s">
        <v>109</v>
      </c>
      <c r="E88" s="19" t="n">
        <v>38.926662</v>
      </c>
      <c r="F88" s="19" t="n">
        <v>12.405926</v>
      </c>
      <c r="G88" s="19" t="n">
        <v>26.007636</v>
      </c>
      <c r="H88" s="19" t="n">
        <v>51.599979</v>
      </c>
      <c r="I88" s="19" t="n">
        <v>1054.155542</v>
      </c>
      <c r="J88" s="27" t="n">
        <v>381193</v>
      </c>
      <c r="K88" s="27" t="n">
        <v>381193</v>
      </c>
      <c r="L88" s="9" t="n">
        <f aca="false">IF(AND(K88&lt;&gt;"",J88&lt;Assumptions!$B$3*K88),K88,J88)</f>
        <v>381193</v>
      </c>
      <c r="M88" s="21" t="str">
        <f aca="false">IF(L88=J88,"FERC Form 1","EIA-861")</f>
        <v>FERC Form 1</v>
      </c>
      <c r="N88" s="28" t="n">
        <f aca="false">E88+F88+G88</f>
        <v>77.340224</v>
      </c>
    </row>
    <row r="89" customFormat="false" ht="15" hidden="false" customHeight="false" outlineLevel="0" collapsed="false">
      <c r="A89" s="7" t="n">
        <v>2009</v>
      </c>
      <c r="B89" s="15" t="s">
        <v>108</v>
      </c>
      <c r="C89" s="15" t="s">
        <v>102</v>
      </c>
      <c r="D89" s="15" t="s">
        <v>109</v>
      </c>
      <c r="E89" s="19" t="n">
        <v>46.802719</v>
      </c>
      <c r="F89" s="19" t="n">
        <v>13.526001</v>
      </c>
      <c r="G89" s="19" t="n">
        <v>27.44778</v>
      </c>
      <c r="H89" s="19" t="n">
        <v>66.716743</v>
      </c>
      <c r="I89" s="19" t="n">
        <v>1116.415555</v>
      </c>
      <c r="J89" s="27" t="n">
        <v>383621</v>
      </c>
      <c r="K89" s="27" t="n">
        <v>383621</v>
      </c>
      <c r="L89" s="9" t="n">
        <f aca="false">IF(AND(K89&lt;&gt;"",J89&lt;Assumptions!$B$3*K89),K89,J89)</f>
        <v>383621</v>
      </c>
      <c r="M89" s="21" t="str">
        <f aca="false">IF(L89=J89,"FERC Form 1","EIA-861")</f>
        <v>FERC Form 1</v>
      </c>
      <c r="N89" s="28" t="n">
        <f aca="false">E89+F89+G89</f>
        <v>87.7765</v>
      </c>
    </row>
    <row r="90" customFormat="false" ht="15" hidden="false" customHeight="false" outlineLevel="0" collapsed="false">
      <c r="A90" s="7" t="n">
        <v>2010</v>
      </c>
      <c r="B90" s="15" t="s">
        <v>108</v>
      </c>
      <c r="C90" s="15" t="s">
        <v>102</v>
      </c>
      <c r="D90" s="15" t="s">
        <v>109</v>
      </c>
      <c r="E90" s="19" t="n">
        <v>33.482406</v>
      </c>
      <c r="F90" s="19" t="n">
        <v>15.048501</v>
      </c>
      <c r="G90" s="19" t="n">
        <v>29.029225</v>
      </c>
      <c r="H90" s="19" t="n">
        <v>55.421482</v>
      </c>
      <c r="I90" s="19" t="n">
        <v>1167.59334</v>
      </c>
      <c r="J90" s="27" t="n">
        <v>385504</v>
      </c>
      <c r="K90" s="27" t="n">
        <v>385504</v>
      </c>
      <c r="L90" s="9" t="n">
        <f aca="false">IF(AND(K90&lt;&gt;"",J90&lt;Assumptions!$B$3*K90),K90,J90)</f>
        <v>385504</v>
      </c>
      <c r="M90" s="21" t="str">
        <f aca="false">IF(L90=J90,"FERC Form 1","EIA-861")</f>
        <v>FERC Form 1</v>
      </c>
      <c r="N90" s="28" t="n">
        <f aca="false">E90+F90+G90</f>
        <v>77.560132</v>
      </c>
    </row>
    <row r="91" customFormat="false" ht="15" hidden="false" customHeight="false" outlineLevel="0" collapsed="false">
      <c r="A91" s="7" t="n">
        <v>2011</v>
      </c>
      <c r="B91" s="15" t="s">
        <v>108</v>
      </c>
      <c r="C91" s="15" t="s">
        <v>102</v>
      </c>
      <c r="D91" s="15" t="s">
        <v>109</v>
      </c>
      <c r="E91" s="19" t="n">
        <v>31.191505</v>
      </c>
      <c r="F91" s="19" t="n">
        <v>13.466318</v>
      </c>
      <c r="G91" s="19" t="n">
        <v>30.094058</v>
      </c>
      <c r="H91" s="19" t="n">
        <v>65.290304</v>
      </c>
      <c r="I91" s="19" t="n">
        <v>1227.836576</v>
      </c>
      <c r="J91" s="27" t="n">
        <v>386819</v>
      </c>
      <c r="K91" s="27" t="n">
        <v>386819</v>
      </c>
      <c r="L91" s="9" t="n">
        <f aca="false">IF(AND(K91&lt;&gt;"",J91&lt;Assumptions!$B$3*K91),K91,J91)</f>
        <v>386819</v>
      </c>
      <c r="M91" s="21" t="str">
        <f aca="false">IF(L91=J91,"FERC Form 1","EIA-861")</f>
        <v>FERC Form 1</v>
      </c>
      <c r="N91" s="28" t="n">
        <f aca="false">E91+F91+G91</f>
        <v>74.751881</v>
      </c>
    </row>
    <row r="92" customFormat="false" ht="15" hidden="false" customHeight="false" outlineLevel="0" collapsed="false">
      <c r="A92" s="7" t="n">
        <v>2012</v>
      </c>
      <c r="B92" s="15" t="s">
        <v>108</v>
      </c>
      <c r="C92" s="15" t="s">
        <v>102</v>
      </c>
      <c r="D92" s="15" t="s">
        <v>109</v>
      </c>
      <c r="E92" s="19" t="n">
        <v>57.294248</v>
      </c>
      <c r="F92" s="19" t="n">
        <v>15.532182</v>
      </c>
      <c r="G92" s="19" t="n">
        <v>32.078144</v>
      </c>
      <c r="H92" s="19" t="n">
        <v>153.563198</v>
      </c>
      <c r="I92" s="19" t="n">
        <v>1377.992939</v>
      </c>
      <c r="J92" s="27" t="n">
        <v>386908</v>
      </c>
      <c r="K92" s="27" t="n">
        <v>386908</v>
      </c>
      <c r="L92" s="9" t="n">
        <f aca="false">IF(AND(K92&lt;&gt;"",J92&lt;Assumptions!$B$3*K92),K92,J92)</f>
        <v>386908</v>
      </c>
      <c r="M92" s="21" t="str">
        <f aca="false">IF(L92=J92,"FERC Form 1","EIA-861")</f>
        <v>FERC Form 1</v>
      </c>
      <c r="N92" s="28" t="n">
        <f aca="false">E92+F92+G92</f>
        <v>104.904574</v>
      </c>
    </row>
    <row r="93" customFormat="false" ht="15" hidden="false" customHeight="false" outlineLevel="0" collapsed="false">
      <c r="A93" s="7" t="n">
        <v>2013</v>
      </c>
      <c r="B93" s="15" t="s">
        <v>108</v>
      </c>
      <c r="C93" s="15" t="s">
        <v>102</v>
      </c>
      <c r="D93" s="15" t="s">
        <v>109</v>
      </c>
      <c r="E93" s="19" t="n">
        <v>34.23289</v>
      </c>
      <c r="F93" s="19" t="n">
        <v>18.619513</v>
      </c>
      <c r="G93" s="19" t="n">
        <v>34.593871</v>
      </c>
      <c r="H93" s="19" t="n">
        <v>75.90708</v>
      </c>
      <c r="I93" s="19" t="n">
        <v>1443.783728</v>
      </c>
      <c r="J93" s="27" t="n">
        <v>386898</v>
      </c>
      <c r="K93" s="27" t="n">
        <v>386898</v>
      </c>
      <c r="L93" s="9" t="n">
        <f aca="false">IF(AND(K93&lt;&gt;"",J93&lt;Assumptions!$B$3*K93),K93,J93)</f>
        <v>386898</v>
      </c>
      <c r="M93" s="21" t="str">
        <f aca="false">IF(L93=J93,"FERC Form 1","EIA-861")</f>
        <v>FERC Form 1</v>
      </c>
      <c r="N93" s="28" t="n">
        <f aca="false">E93+F93+G93</f>
        <v>87.446274</v>
      </c>
    </row>
    <row r="94" customFormat="false" ht="15" hidden="false" customHeight="false" outlineLevel="0" collapsed="false">
      <c r="A94" s="7" t="n">
        <v>2014</v>
      </c>
      <c r="B94" s="15" t="s">
        <v>108</v>
      </c>
      <c r="C94" s="15" t="s">
        <v>102</v>
      </c>
      <c r="D94" s="15" t="s">
        <v>109</v>
      </c>
      <c r="E94" s="19" t="n">
        <v>60.902631</v>
      </c>
      <c r="F94" s="19" t="n">
        <v>19.104714</v>
      </c>
      <c r="G94" s="19" t="n">
        <v>36.000242</v>
      </c>
      <c r="H94" s="19" t="n">
        <v>79.073522</v>
      </c>
      <c r="I94" s="19" t="n">
        <v>1531.770602</v>
      </c>
      <c r="J94" s="27" t="n">
        <v>388542</v>
      </c>
      <c r="K94" s="27" t="n">
        <v>388542</v>
      </c>
      <c r="L94" s="9" t="n">
        <f aca="false">IF(AND(K94&lt;&gt;"",J94&lt;Assumptions!$B$3*K94),K94,J94)</f>
        <v>388542</v>
      </c>
      <c r="M94" s="21" t="str">
        <f aca="false">IF(L94=J94,"FERC Form 1","EIA-861")</f>
        <v>FERC Form 1</v>
      </c>
      <c r="N94" s="28" t="n">
        <f aca="false">E94+F94+G94</f>
        <v>116.007587</v>
      </c>
    </row>
    <row r="95" customFormat="false" ht="15" hidden="false" customHeight="false" outlineLevel="0" collapsed="false">
      <c r="A95" s="7" t="n">
        <v>2015</v>
      </c>
      <c r="B95" s="15" t="s">
        <v>108</v>
      </c>
      <c r="C95" s="15" t="s">
        <v>102</v>
      </c>
      <c r="D95" s="15" t="s">
        <v>109</v>
      </c>
      <c r="E95" s="19" t="n">
        <v>67.26089</v>
      </c>
      <c r="F95" s="19" t="n">
        <v>25.107482</v>
      </c>
      <c r="G95" s="19" t="n">
        <v>38.069077</v>
      </c>
      <c r="H95" s="19" t="n">
        <v>87.371996</v>
      </c>
      <c r="I95" s="19" t="n">
        <v>1619.551597</v>
      </c>
      <c r="J95" s="27" t="n">
        <v>389370</v>
      </c>
      <c r="K95" s="27" t="n">
        <v>389370</v>
      </c>
      <c r="L95" s="9" t="n">
        <f aca="false">IF(AND(K95&lt;&gt;"",J95&lt;Assumptions!$B$3*K95),K95,J95)</f>
        <v>389370</v>
      </c>
      <c r="M95" s="21" t="str">
        <f aca="false">IF(L95=J95,"FERC Form 1","EIA-861")</f>
        <v>FERC Form 1</v>
      </c>
      <c r="N95" s="28" t="n">
        <f aca="false">E95+F95+G95</f>
        <v>130.437449</v>
      </c>
    </row>
    <row r="96" customFormat="false" ht="15" hidden="false" customHeight="false" outlineLevel="0" collapsed="false">
      <c r="A96" s="7" t="n">
        <v>2016</v>
      </c>
      <c r="B96" s="15" t="s">
        <v>108</v>
      </c>
      <c r="C96" s="15" t="s">
        <v>102</v>
      </c>
      <c r="D96" s="15" t="s">
        <v>109</v>
      </c>
      <c r="E96" s="19" t="n">
        <v>65.326168</v>
      </c>
      <c r="F96" s="19" t="n">
        <v>20.228348</v>
      </c>
      <c r="G96" s="19" t="n">
        <v>39.69048</v>
      </c>
      <c r="H96" s="19" t="n">
        <v>82.242446</v>
      </c>
      <c r="I96" s="19" t="n">
        <v>1701.306791</v>
      </c>
      <c r="J96" s="27" t="n">
        <v>389759</v>
      </c>
      <c r="K96" s="27" t="n">
        <v>389759</v>
      </c>
      <c r="L96" s="9" t="n">
        <f aca="false">IF(AND(K96&lt;&gt;"",J96&lt;Assumptions!$B$3*K96),K96,J96)</f>
        <v>389759</v>
      </c>
      <c r="M96" s="21" t="str">
        <f aca="false">IF(L96=J96,"FERC Form 1","EIA-861")</f>
        <v>FERC Form 1</v>
      </c>
      <c r="N96" s="28" t="n">
        <f aca="false">E96+F96+G96</f>
        <v>125.244996</v>
      </c>
    </row>
    <row r="97" customFormat="false" ht="15" hidden="false" customHeight="false" outlineLevel="0" collapsed="false">
      <c r="A97" s="7" t="n">
        <v>2017</v>
      </c>
      <c r="B97" s="15" t="s">
        <v>108</v>
      </c>
      <c r="C97" s="15" t="s">
        <v>102</v>
      </c>
      <c r="D97" s="15" t="s">
        <v>109</v>
      </c>
      <c r="E97" s="19" t="n">
        <v>65.980244</v>
      </c>
      <c r="F97" s="19" t="n">
        <v>23.0577</v>
      </c>
      <c r="G97" s="19" t="n">
        <v>41.436274</v>
      </c>
      <c r="H97" s="19" t="n">
        <v>95.802632</v>
      </c>
      <c r="I97" s="19" t="n">
        <v>1791.305043</v>
      </c>
      <c r="J97" s="27" t="n">
        <v>390806</v>
      </c>
      <c r="K97" s="27" t="n">
        <v>390806</v>
      </c>
      <c r="L97" s="9" t="n">
        <f aca="false">IF(AND(K97&lt;&gt;"",J97&lt;Assumptions!$B$3*K97),K97,J97)</f>
        <v>390806</v>
      </c>
      <c r="M97" s="21" t="str">
        <f aca="false">IF(L97=J97,"FERC Form 1","EIA-861")</f>
        <v>FERC Form 1</v>
      </c>
      <c r="N97" s="28" t="n">
        <f aca="false">E97+F97+G97</f>
        <v>130.474218</v>
      </c>
    </row>
    <row r="98" customFormat="false" ht="15" hidden="false" customHeight="false" outlineLevel="0" collapsed="false">
      <c r="A98" s="7" t="n">
        <v>2018</v>
      </c>
      <c r="B98" s="15" t="s">
        <v>108</v>
      </c>
      <c r="C98" s="15" t="s">
        <v>102</v>
      </c>
      <c r="D98" s="15" t="s">
        <v>109</v>
      </c>
      <c r="E98" s="19" t="n">
        <v>66.042321</v>
      </c>
      <c r="F98" s="19" t="n">
        <v>23.228071</v>
      </c>
      <c r="G98" s="19" t="n">
        <v>43.292759</v>
      </c>
      <c r="H98" s="19" t="n">
        <v>114.120016</v>
      </c>
      <c r="I98" s="19" t="n">
        <v>1891.790881</v>
      </c>
      <c r="J98" s="27" t="n">
        <v>391872</v>
      </c>
      <c r="K98" s="27" t="n">
        <v>391901</v>
      </c>
      <c r="L98" s="9" t="n">
        <f aca="false">IF(AND(K98&lt;&gt;"",J98&lt;Assumptions!$B$3*K98),K98,J98)</f>
        <v>391872</v>
      </c>
      <c r="M98" s="21" t="str">
        <f aca="false">IF(L98=J98,"FERC Form 1","EIA-861")</f>
        <v>FERC Form 1</v>
      </c>
      <c r="N98" s="28" t="n">
        <f aca="false">E98+F98+G98</f>
        <v>132.563151</v>
      </c>
    </row>
    <row r="99" customFormat="false" ht="15" hidden="false" customHeight="false" outlineLevel="0" collapsed="false">
      <c r="A99" s="7" t="n">
        <v>2019</v>
      </c>
      <c r="B99" s="15" t="s">
        <v>108</v>
      </c>
      <c r="C99" s="15" t="s">
        <v>102</v>
      </c>
      <c r="D99" s="15" t="s">
        <v>109</v>
      </c>
      <c r="E99" s="19" t="n">
        <v>69.773617</v>
      </c>
      <c r="F99" s="19" t="n">
        <v>25.324377</v>
      </c>
      <c r="G99" s="19" t="n">
        <v>45.349434</v>
      </c>
      <c r="H99" s="19" t="n">
        <v>99.716008</v>
      </c>
      <c r="I99" s="19" t="n">
        <v>1984.463069</v>
      </c>
      <c r="J99" s="27" t="n">
        <v>391968</v>
      </c>
      <c r="K99" s="27" t="n">
        <v>391997</v>
      </c>
      <c r="L99" s="9" t="n">
        <f aca="false">IF(AND(K99&lt;&gt;"",J99&lt;Assumptions!$B$3*K99),K99,J99)</f>
        <v>391968</v>
      </c>
      <c r="M99" s="21" t="str">
        <f aca="false">IF(L99=J99,"FERC Form 1","EIA-861")</f>
        <v>FERC Form 1</v>
      </c>
      <c r="N99" s="28" t="n">
        <f aca="false">E99+F99+G99</f>
        <v>140.447428</v>
      </c>
    </row>
    <row r="100" customFormat="false" ht="15" hidden="false" customHeight="false" outlineLevel="0" collapsed="false">
      <c r="A100" s="7" t="n">
        <v>2020</v>
      </c>
      <c r="B100" s="15" t="s">
        <v>108</v>
      </c>
      <c r="C100" s="15" t="s">
        <v>102</v>
      </c>
      <c r="D100" s="15" t="s">
        <v>109</v>
      </c>
      <c r="E100" s="19" t="n">
        <v>66.747696</v>
      </c>
      <c r="F100" s="19" t="n">
        <v>32.370774</v>
      </c>
      <c r="G100" s="19" t="n">
        <v>47.390754</v>
      </c>
      <c r="H100" s="19" t="n">
        <v>98.344238</v>
      </c>
      <c r="I100" s="19" t="n">
        <v>2073.691124</v>
      </c>
      <c r="J100" s="27" t="n">
        <v>393758</v>
      </c>
      <c r="K100" s="27" t="n">
        <v>393787</v>
      </c>
      <c r="L100" s="9" t="n">
        <f aca="false">IF(AND(K100&lt;&gt;"",J100&lt;Assumptions!$B$3*K100),K100,J100)</f>
        <v>393758</v>
      </c>
      <c r="M100" s="21" t="str">
        <f aca="false">IF(L100=J100,"FERC Form 1","EIA-861")</f>
        <v>FERC Form 1</v>
      </c>
      <c r="N100" s="28" t="n">
        <f aca="false">E100+F100+G100</f>
        <v>146.509224</v>
      </c>
    </row>
    <row r="101" customFormat="false" ht="15" hidden="false" customHeight="false" outlineLevel="0" collapsed="false">
      <c r="A101" s="7" t="n">
        <v>2021</v>
      </c>
      <c r="B101" s="15" t="s">
        <v>108</v>
      </c>
      <c r="C101" s="15" t="s">
        <v>102</v>
      </c>
      <c r="D101" s="15" t="s">
        <v>109</v>
      </c>
      <c r="E101" s="19" t="n">
        <v>66.120903</v>
      </c>
      <c r="F101" s="19" t="n">
        <v>19.979757</v>
      </c>
      <c r="G101" s="19" t="n">
        <v>49.541424</v>
      </c>
      <c r="H101" s="19" t="n">
        <v>104.091219</v>
      </c>
      <c r="I101" s="19" t="n">
        <v>2167.486474</v>
      </c>
      <c r="J101" s="27" t="n">
        <v>395031</v>
      </c>
      <c r="K101" s="27" t="n">
        <v>395061</v>
      </c>
      <c r="L101" s="9" t="n">
        <f aca="false">IF(AND(K101&lt;&gt;"",J101&lt;Assumptions!$B$3*K101),K101,J101)</f>
        <v>395031</v>
      </c>
      <c r="M101" s="21" t="str">
        <f aca="false">IF(L101=J101,"FERC Form 1","EIA-861")</f>
        <v>FERC Form 1</v>
      </c>
      <c r="N101" s="28" t="n">
        <f aca="false">E101+F101+G101</f>
        <v>135.642084</v>
      </c>
    </row>
    <row r="102" customFormat="false" ht="15" hidden="false" customHeight="false" outlineLevel="0" collapsed="false">
      <c r="A102" s="7" t="n">
        <v>2022</v>
      </c>
      <c r="B102" s="15" t="s">
        <v>108</v>
      </c>
      <c r="C102" s="15" t="s">
        <v>102</v>
      </c>
      <c r="D102" s="15" t="s">
        <v>109</v>
      </c>
      <c r="E102" s="19" t="n">
        <v>81.982971</v>
      </c>
      <c r="F102" s="19" t="n">
        <v>18.539895</v>
      </c>
      <c r="G102" s="19" t="n">
        <v>51.603993</v>
      </c>
      <c r="H102" s="19" t="n">
        <v>74.271949</v>
      </c>
      <c r="I102" s="19" t="n">
        <v>2209.810049</v>
      </c>
      <c r="J102" s="27" t="n">
        <v>395813</v>
      </c>
      <c r="K102" s="27" t="n">
        <v>395843</v>
      </c>
      <c r="L102" s="9" t="n">
        <f aca="false">IF(AND(K102&lt;&gt;"",J102&lt;Assumptions!$B$3*K102),K102,J102)</f>
        <v>395813</v>
      </c>
      <c r="M102" s="21" t="str">
        <f aca="false">IF(L102=J102,"FERC Form 1","EIA-861")</f>
        <v>FERC Form 1</v>
      </c>
      <c r="N102" s="28" t="n">
        <f aca="false">E102+F102+G102</f>
        <v>152.126859</v>
      </c>
    </row>
    <row r="103" customFormat="false" ht="15" hidden="false" customHeight="false" outlineLevel="0" collapsed="false">
      <c r="A103" s="7" t="n">
        <v>2023</v>
      </c>
      <c r="B103" s="15" t="s">
        <v>108</v>
      </c>
      <c r="C103" s="15" t="s">
        <v>102</v>
      </c>
      <c r="D103" s="15" t="s">
        <v>109</v>
      </c>
      <c r="E103" s="19" t="n">
        <v>77.685607</v>
      </c>
      <c r="F103" s="19" t="n">
        <v>14.067856</v>
      </c>
      <c r="G103" s="19" t="n">
        <v>53.609612</v>
      </c>
      <c r="H103" s="19" t="n">
        <v>90.619047</v>
      </c>
      <c r="I103" s="19" t="n">
        <v>2290.271612</v>
      </c>
      <c r="J103" s="27" t="n">
        <v>396728</v>
      </c>
      <c r="K103" s="27" t="n">
        <v>396758</v>
      </c>
      <c r="L103" s="9" t="n">
        <f aca="false">IF(AND(K103&lt;&gt;"",J103&lt;Assumptions!$B$3*K103),K103,J103)</f>
        <v>396728</v>
      </c>
      <c r="M103" s="21" t="str">
        <f aca="false">IF(L103=J103,"FERC Form 1","EIA-861")</f>
        <v>FERC Form 1</v>
      </c>
      <c r="N103" s="28" t="n">
        <f aca="false">E103+F103+G103</f>
        <v>145.363075</v>
      </c>
    </row>
    <row r="104" customFormat="false" ht="15" hidden="false" customHeight="false" outlineLevel="0" collapsed="false">
      <c r="A104" s="7" t="n">
        <v>2024</v>
      </c>
      <c r="B104" s="15" t="s">
        <v>108</v>
      </c>
      <c r="C104" s="15" t="s">
        <v>102</v>
      </c>
      <c r="D104" s="15" t="s">
        <v>109</v>
      </c>
      <c r="E104" s="19" t="n">
        <v>82.725294</v>
      </c>
      <c r="F104" s="19" t="n">
        <v>21.591598</v>
      </c>
      <c r="G104" s="19" t="n">
        <v>56.463837</v>
      </c>
      <c r="H104" s="19" t="n">
        <v>102.617275</v>
      </c>
      <c r="I104" s="19" t="n">
        <v>2400.270873</v>
      </c>
      <c r="J104" s="27" t="n">
        <v>397165</v>
      </c>
      <c r="K104" s="27" t="n">
        <v>397195</v>
      </c>
      <c r="L104" s="9" t="n">
        <f aca="false">IF(AND(K104&lt;&gt;"",J104&lt;Assumptions!$B$3*K104),K104,J104)</f>
        <v>397165</v>
      </c>
      <c r="M104" s="21" t="str">
        <f aca="false">IF(L104=J104,"FERC Form 1","EIA-861")</f>
        <v>FERC Form 1</v>
      </c>
      <c r="N104" s="28" t="n">
        <f aca="false">E104+F104+G104</f>
        <v>160.780729</v>
      </c>
    </row>
    <row r="105" customFormat="false" ht="15" hidden="false" customHeight="false" outlineLevel="0" collapsed="false">
      <c r="A105" s="7" t="n">
        <v>2025</v>
      </c>
      <c r="B105" s="15" t="s">
        <v>108</v>
      </c>
      <c r="C105" s="15" t="s">
        <v>102</v>
      </c>
      <c r="D105" s="15" t="s">
        <v>109</v>
      </c>
      <c r="E105" s="19" t="n">
        <v>88.905731</v>
      </c>
      <c r="F105" s="19" t="n">
        <v>20.05001</v>
      </c>
      <c r="G105" s="19" t="n">
        <v>63.945075</v>
      </c>
      <c r="H105" s="19" t="n">
        <v>147.155287</v>
      </c>
      <c r="I105" s="19" t="n">
        <v>2561.277892</v>
      </c>
      <c r="J105" s="27" t="n">
        <v>397332</v>
      </c>
      <c r="K105" s="27" t="n">
        <v>397362</v>
      </c>
      <c r="L105" s="9" t="n">
        <f aca="false">IF(AND(K105&lt;&gt;"",J105&lt;Assumptions!$B$3*K105),K105,J105)</f>
        <v>397332</v>
      </c>
      <c r="M105" s="21" t="str">
        <f aca="false">IF(L105=J105,"FERC Form 1","EIA-861")</f>
        <v>FERC Form 1</v>
      </c>
      <c r="N105" s="28" t="n">
        <f aca="false">E105+F105+G105</f>
        <v>172.900816</v>
      </c>
    </row>
    <row r="106" customFormat="false" ht="15" hidden="false" customHeight="false" outlineLevel="0" collapsed="false">
      <c r="A106" s="7" t="n">
        <v>2000</v>
      </c>
      <c r="B106" s="15" t="s">
        <v>110</v>
      </c>
      <c r="C106" s="15" t="s">
        <v>102</v>
      </c>
      <c r="D106" s="15" t="s">
        <v>103</v>
      </c>
      <c r="E106" s="19" t="n">
        <v>65.821602</v>
      </c>
      <c r="F106" s="19" t="n">
        <v>76.311504</v>
      </c>
      <c r="G106" s="19" t="n">
        <v>31.565034</v>
      </c>
      <c r="H106" s="19" t="n">
        <v>42.14557</v>
      </c>
      <c r="I106" s="19" t="n">
        <v>1421.114264</v>
      </c>
      <c r="J106" s="27" t="n">
        <v>993655</v>
      </c>
      <c r="K106" s="27"/>
      <c r="L106" s="9" t="n">
        <f aca="false">IF(AND(K106&lt;&gt;"",J106&lt;Assumptions!$B$3*K106),K106,J106)</f>
        <v>993655</v>
      </c>
      <c r="M106" s="21" t="str">
        <f aca="false">IF(L106=J106,"FERC Form 1","EIA-861")</f>
        <v>FERC Form 1</v>
      </c>
      <c r="N106" s="28" t="n">
        <f aca="false">E106+F106+G106</f>
        <v>173.69814</v>
      </c>
    </row>
    <row r="107" customFormat="false" ht="15" hidden="false" customHeight="false" outlineLevel="0" collapsed="false">
      <c r="A107" s="7" t="n">
        <v>2001</v>
      </c>
      <c r="B107" s="15" t="s">
        <v>110</v>
      </c>
      <c r="C107" s="15" t="s">
        <v>102</v>
      </c>
      <c r="D107" s="15" t="s">
        <v>103</v>
      </c>
      <c r="E107" s="19" t="n">
        <v>59.986585</v>
      </c>
      <c r="F107" s="19" t="n">
        <v>28.516316</v>
      </c>
      <c r="G107" s="19" t="n">
        <v>32.443553</v>
      </c>
      <c r="H107" s="19" t="n">
        <v>36.984621</v>
      </c>
      <c r="I107" s="19" t="n">
        <v>1451.957584</v>
      </c>
      <c r="J107" s="27" t="n">
        <v>1001534</v>
      </c>
      <c r="K107" s="27" t="n">
        <v>1001534</v>
      </c>
      <c r="L107" s="9" t="n">
        <f aca="false">IF(AND(K107&lt;&gt;"",J107&lt;Assumptions!$B$3*K107),K107,J107)</f>
        <v>1001534</v>
      </c>
      <c r="M107" s="21" t="str">
        <f aca="false">IF(L107=J107,"FERC Form 1","EIA-861")</f>
        <v>FERC Form 1</v>
      </c>
      <c r="N107" s="28" t="n">
        <f aca="false">E107+F107+G107</f>
        <v>120.946454</v>
      </c>
    </row>
    <row r="108" customFormat="false" ht="15" hidden="false" customHeight="false" outlineLevel="0" collapsed="false">
      <c r="A108" s="7" t="n">
        <v>2002</v>
      </c>
      <c r="B108" s="15" t="s">
        <v>110</v>
      </c>
      <c r="C108" s="15" t="s">
        <v>102</v>
      </c>
      <c r="D108" s="15" t="s">
        <v>103</v>
      </c>
      <c r="E108" s="19" t="n">
        <v>68.793589</v>
      </c>
      <c r="F108" s="19" t="n">
        <v>28.432718</v>
      </c>
      <c r="G108" s="19" t="n">
        <v>33.325507</v>
      </c>
      <c r="H108" s="19" t="n">
        <v>46.759608</v>
      </c>
      <c r="I108" s="19" t="n">
        <v>1493.432435</v>
      </c>
      <c r="J108" s="27" t="n">
        <v>1008197</v>
      </c>
      <c r="K108" s="27" t="n">
        <v>1008277</v>
      </c>
      <c r="L108" s="9" t="n">
        <f aca="false">IF(AND(K108&lt;&gt;"",J108&lt;Assumptions!$B$3*K108),K108,J108)</f>
        <v>1008197</v>
      </c>
      <c r="M108" s="21" t="str">
        <f aca="false">IF(L108=J108,"FERC Form 1","EIA-861")</f>
        <v>FERC Form 1</v>
      </c>
      <c r="N108" s="28" t="n">
        <f aca="false">E108+F108+G108</f>
        <v>130.551814</v>
      </c>
    </row>
    <row r="109" customFormat="false" ht="15" hidden="false" customHeight="false" outlineLevel="0" collapsed="false">
      <c r="A109" s="7" t="n">
        <v>2003</v>
      </c>
      <c r="B109" s="15" t="s">
        <v>110</v>
      </c>
      <c r="C109" s="15" t="s">
        <v>102</v>
      </c>
      <c r="D109" s="15" t="s">
        <v>103</v>
      </c>
      <c r="E109" s="19" t="n">
        <v>65.774331</v>
      </c>
      <c r="F109" s="19" t="n">
        <v>37.044664</v>
      </c>
      <c r="G109" s="19" t="n">
        <v>32.847726</v>
      </c>
      <c r="H109" s="19" t="n">
        <v>74.483116</v>
      </c>
      <c r="I109" s="19" t="n">
        <v>1540.831132</v>
      </c>
      <c r="J109" s="27" t="n">
        <v>1015524</v>
      </c>
      <c r="K109" s="27" t="n">
        <v>1015524</v>
      </c>
      <c r="L109" s="9" t="n">
        <f aca="false">IF(AND(K109&lt;&gt;"",J109&lt;Assumptions!$B$3*K109),K109,J109)</f>
        <v>1015524</v>
      </c>
      <c r="M109" s="21" t="str">
        <f aca="false">IF(L109=J109,"FERC Form 1","EIA-861")</f>
        <v>FERC Form 1</v>
      </c>
      <c r="N109" s="28" t="n">
        <f aca="false">E109+F109+G109</f>
        <v>135.666721</v>
      </c>
    </row>
    <row r="110" customFormat="false" ht="15" hidden="false" customHeight="false" outlineLevel="0" collapsed="false">
      <c r="A110" s="7" t="n">
        <v>2004</v>
      </c>
      <c r="B110" s="15" t="s">
        <v>110</v>
      </c>
      <c r="C110" s="15" t="s">
        <v>102</v>
      </c>
      <c r="D110" s="15" t="s">
        <v>103</v>
      </c>
      <c r="E110" s="19" t="n">
        <v>56.634001</v>
      </c>
      <c r="F110" s="19" t="n">
        <v>28.940185</v>
      </c>
      <c r="G110" s="19" t="n">
        <v>35.823833</v>
      </c>
      <c r="H110" s="19" t="n">
        <v>57.346892</v>
      </c>
      <c r="I110" s="19" t="n">
        <v>1593.763515</v>
      </c>
      <c r="J110" s="27" t="n">
        <v>1023509</v>
      </c>
      <c r="K110" s="27" t="n">
        <v>1023509</v>
      </c>
      <c r="L110" s="9" t="n">
        <f aca="false">IF(AND(K110&lt;&gt;"",J110&lt;Assumptions!$B$3*K110),K110,J110)</f>
        <v>1023509</v>
      </c>
      <c r="M110" s="21" t="str">
        <f aca="false">IF(L110=J110,"FERC Form 1","EIA-861")</f>
        <v>FERC Form 1</v>
      </c>
      <c r="N110" s="28" t="n">
        <f aca="false">E110+F110+G110</f>
        <v>121.398019</v>
      </c>
    </row>
    <row r="111" customFormat="false" ht="15" hidden="false" customHeight="false" outlineLevel="0" collapsed="false">
      <c r="A111" s="7" t="n">
        <v>2005</v>
      </c>
      <c r="B111" s="15" t="s">
        <v>110</v>
      </c>
      <c r="C111" s="15" t="s">
        <v>102</v>
      </c>
      <c r="D111" s="15" t="s">
        <v>103</v>
      </c>
      <c r="E111" s="19" t="n">
        <v>67.644179</v>
      </c>
      <c r="F111" s="19" t="n">
        <v>43.619135</v>
      </c>
      <c r="G111" s="19" t="n">
        <v>37.642242</v>
      </c>
      <c r="H111" s="19" t="n">
        <v>85.767533</v>
      </c>
      <c r="I111" s="19" t="n">
        <v>1675.174214</v>
      </c>
      <c r="J111" s="27" t="n">
        <v>1034352</v>
      </c>
      <c r="K111" s="27" t="n">
        <v>1034352</v>
      </c>
      <c r="L111" s="9" t="n">
        <f aca="false">IF(AND(K111&lt;&gt;"",J111&lt;Assumptions!$B$3*K111),K111,J111)</f>
        <v>1034352</v>
      </c>
      <c r="M111" s="21" t="str">
        <f aca="false">IF(L111=J111,"FERC Form 1","EIA-861")</f>
        <v>FERC Form 1</v>
      </c>
      <c r="N111" s="28" t="n">
        <f aca="false">E111+F111+G111</f>
        <v>148.905556</v>
      </c>
    </row>
    <row r="112" customFormat="false" ht="15" hidden="false" customHeight="false" outlineLevel="0" collapsed="false">
      <c r="A112" s="7" t="n">
        <v>2006</v>
      </c>
      <c r="B112" s="15" t="s">
        <v>110</v>
      </c>
      <c r="C112" s="15" t="s">
        <v>102</v>
      </c>
      <c r="D112" s="15" t="s">
        <v>103</v>
      </c>
      <c r="E112" s="19" t="n">
        <v>69.919579</v>
      </c>
      <c r="F112" s="19" t="n">
        <v>50.663099</v>
      </c>
      <c r="G112" s="19" t="n">
        <v>47.360543</v>
      </c>
      <c r="H112" s="19" t="n">
        <v>87.009231</v>
      </c>
      <c r="I112" s="19" t="n">
        <v>1747.866201</v>
      </c>
      <c r="J112" s="27" t="n">
        <v>1040151</v>
      </c>
      <c r="K112" s="27" t="n">
        <v>1041985</v>
      </c>
      <c r="L112" s="9" t="n">
        <f aca="false">IF(AND(K112&lt;&gt;"",J112&lt;Assumptions!$B$3*K112),K112,J112)</f>
        <v>1040151</v>
      </c>
      <c r="M112" s="21" t="str">
        <f aca="false">IF(L112=J112,"FERC Form 1","EIA-861")</f>
        <v>FERC Form 1</v>
      </c>
      <c r="N112" s="28" t="n">
        <f aca="false">E112+F112+G112</f>
        <v>167.943221</v>
      </c>
    </row>
    <row r="113" customFormat="false" ht="15" hidden="false" customHeight="false" outlineLevel="0" collapsed="false">
      <c r="A113" s="7" t="n">
        <v>2007</v>
      </c>
      <c r="B113" s="15" t="s">
        <v>110</v>
      </c>
      <c r="C113" s="15" t="s">
        <v>102</v>
      </c>
      <c r="D113" s="15" t="s">
        <v>103</v>
      </c>
      <c r="E113" s="19" t="n">
        <v>79.267378</v>
      </c>
      <c r="F113" s="19" t="n">
        <v>53.294791</v>
      </c>
      <c r="G113" s="19" t="n">
        <v>49.126002</v>
      </c>
      <c r="H113" s="19" t="n">
        <v>81.799272</v>
      </c>
      <c r="I113" s="19" t="n">
        <v>1810.869785</v>
      </c>
      <c r="J113" s="27" t="n">
        <v>1040662</v>
      </c>
      <c r="K113" s="27" t="n">
        <v>1040662</v>
      </c>
      <c r="L113" s="9" t="n">
        <f aca="false">IF(AND(K113&lt;&gt;"",J113&lt;Assumptions!$B$3*K113),K113,J113)</f>
        <v>1040662</v>
      </c>
      <c r="M113" s="21" t="str">
        <f aca="false">IF(L113=J113,"FERC Form 1","EIA-861")</f>
        <v>FERC Form 1</v>
      </c>
      <c r="N113" s="28" t="n">
        <f aca="false">E113+F113+G113</f>
        <v>181.688171</v>
      </c>
    </row>
    <row r="114" customFormat="false" ht="15" hidden="false" customHeight="false" outlineLevel="0" collapsed="false">
      <c r="A114" s="7" t="n">
        <v>2008</v>
      </c>
      <c r="B114" s="15" t="s">
        <v>110</v>
      </c>
      <c r="C114" s="15" t="s">
        <v>102</v>
      </c>
      <c r="D114" s="15" t="s">
        <v>103</v>
      </c>
      <c r="E114" s="19" t="n">
        <v>85.367149</v>
      </c>
      <c r="F114" s="19" t="n">
        <v>44.50551</v>
      </c>
      <c r="G114" s="19" t="n">
        <v>51.374363</v>
      </c>
      <c r="H114" s="19" t="n">
        <v>102.766791</v>
      </c>
      <c r="I114" s="19" t="n">
        <v>1902.597311</v>
      </c>
      <c r="J114" s="27" t="n">
        <v>1040518</v>
      </c>
      <c r="K114" s="27" t="n">
        <v>1040518</v>
      </c>
      <c r="L114" s="9" t="n">
        <f aca="false">IF(AND(K114&lt;&gt;"",J114&lt;Assumptions!$B$3*K114),K114,J114)</f>
        <v>1040518</v>
      </c>
      <c r="M114" s="21" t="str">
        <f aca="false">IF(L114=J114,"FERC Form 1","EIA-861")</f>
        <v>FERC Form 1</v>
      </c>
      <c r="N114" s="28" t="n">
        <f aca="false">E114+F114+G114</f>
        <v>181.247022</v>
      </c>
    </row>
    <row r="115" customFormat="false" ht="15" hidden="false" customHeight="false" outlineLevel="0" collapsed="false">
      <c r="A115" s="7" t="n">
        <v>2009</v>
      </c>
      <c r="B115" s="15" t="s">
        <v>110</v>
      </c>
      <c r="C115" s="15" t="s">
        <v>102</v>
      </c>
      <c r="D115" s="15" t="s">
        <v>103</v>
      </c>
      <c r="E115" s="19" t="n">
        <v>61.648408</v>
      </c>
      <c r="F115" s="19" t="n">
        <v>42.287213</v>
      </c>
      <c r="G115" s="19" t="n">
        <v>54.384744</v>
      </c>
      <c r="H115" s="19" t="n">
        <v>102.777865</v>
      </c>
      <c r="I115" s="19" t="n">
        <v>1994.495337</v>
      </c>
      <c r="J115" s="27" t="n">
        <v>1037998</v>
      </c>
      <c r="K115" s="27" t="n">
        <v>1037998</v>
      </c>
      <c r="L115" s="9" t="n">
        <f aca="false">IF(AND(K115&lt;&gt;"",J115&lt;Assumptions!$B$3*K115),K115,J115)</f>
        <v>1037998</v>
      </c>
      <c r="M115" s="21" t="str">
        <f aca="false">IF(L115=J115,"FERC Form 1","EIA-861")</f>
        <v>FERC Form 1</v>
      </c>
      <c r="N115" s="28" t="n">
        <f aca="false">E115+F115+G115</f>
        <v>158.320365</v>
      </c>
    </row>
    <row r="116" customFormat="false" ht="15" hidden="false" customHeight="false" outlineLevel="0" collapsed="false">
      <c r="A116" s="7" t="n">
        <v>2010</v>
      </c>
      <c r="B116" s="15" t="s">
        <v>110</v>
      </c>
      <c r="C116" s="15" t="s">
        <v>102</v>
      </c>
      <c r="D116" s="15" t="s">
        <v>103</v>
      </c>
      <c r="E116" s="19" t="n">
        <v>48.693719</v>
      </c>
      <c r="F116" s="19" t="n">
        <v>30.493184</v>
      </c>
      <c r="G116" s="19" t="n">
        <v>57.091095</v>
      </c>
      <c r="H116" s="19" t="n">
        <v>104.397349</v>
      </c>
      <c r="I116" s="19" t="n">
        <v>2083.543943</v>
      </c>
      <c r="J116" s="27" t="n">
        <v>1036981</v>
      </c>
      <c r="K116" s="27" t="n">
        <v>1036981</v>
      </c>
      <c r="L116" s="9" t="n">
        <f aca="false">IF(AND(K116&lt;&gt;"",J116&lt;Assumptions!$B$3*K116),K116,J116)</f>
        <v>1036981</v>
      </c>
      <c r="M116" s="21" t="str">
        <f aca="false">IF(L116=J116,"FERC Form 1","EIA-861")</f>
        <v>FERC Form 1</v>
      </c>
      <c r="N116" s="28" t="n">
        <f aca="false">E116+F116+G116</f>
        <v>136.277998</v>
      </c>
    </row>
    <row r="117" customFormat="false" ht="15" hidden="false" customHeight="false" outlineLevel="0" collapsed="false">
      <c r="A117" s="7" t="n">
        <v>2011</v>
      </c>
      <c r="B117" s="15" t="s">
        <v>110</v>
      </c>
      <c r="C117" s="15" t="s">
        <v>102</v>
      </c>
      <c r="D117" s="15" t="s">
        <v>103</v>
      </c>
      <c r="E117" s="19" t="n">
        <v>49.901851</v>
      </c>
      <c r="F117" s="19" t="n">
        <v>51.227553</v>
      </c>
      <c r="G117" s="19" t="n">
        <v>61.088546</v>
      </c>
      <c r="H117" s="19" t="n">
        <v>94.088052</v>
      </c>
      <c r="I117" s="19" t="n">
        <v>2221.918752</v>
      </c>
      <c r="J117" s="27" t="n">
        <v>1034534</v>
      </c>
      <c r="K117" s="27" t="n">
        <v>1034534</v>
      </c>
      <c r="L117" s="9" t="n">
        <f aca="false">IF(AND(K117&lt;&gt;"",J117&lt;Assumptions!$B$3*K117),K117,J117)</f>
        <v>1034534</v>
      </c>
      <c r="M117" s="21" t="str">
        <f aca="false">IF(L117=J117,"FERC Form 1","EIA-861")</f>
        <v>FERC Form 1</v>
      </c>
      <c r="N117" s="28" t="n">
        <f aca="false">E117+F117+G117</f>
        <v>162.21795</v>
      </c>
    </row>
    <row r="118" customFormat="false" ht="15" hidden="false" customHeight="false" outlineLevel="0" collapsed="false">
      <c r="A118" s="7" t="n">
        <v>2012</v>
      </c>
      <c r="B118" s="15" t="s">
        <v>110</v>
      </c>
      <c r="C118" s="15" t="s">
        <v>102</v>
      </c>
      <c r="D118" s="15" t="s">
        <v>103</v>
      </c>
      <c r="E118" s="19" t="n">
        <v>62.272178</v>
      </c>
      <c r="F118" s="19" t="n">
        <v>50.774782</v>
      </c>
      <c r="G118" s="19" t="n">
        <v>64.220297</v>
      </c>
      <c r="H118" s="19" t="n">
        <v>172.218553</v>
      </c>
      <c r="I118" s="19" t="n">
        <v>2371.282756</v>
      </c>
      <c r="J118" s="27" t="n">
        <v>1031761</v>
      </c>
      <c r="K118" s="27" t="n">
        <v>1031761</v>
      </c>
      <c r="L118" s="9" t="n">
        <f aca="false">IF(AND(K118&lt;&gt;"",J118&lt;Assumptions!$B$3*K118),K118,J118)</f>
        <v>1031761</v>
      </c>
      <c r="M118" s="21" t="str">
        <f aca="false">IF(L118=J118,"FERC Form 1","EIA-861")</f>
        <v>FERC Form 1</v>
      </c>
      <c r="N118" s="28" t="n">
        <f aca="false">E118+F118+G118</f>
        <v>177.267257</v>
      </c>
    </row>
    <row r="119" customFormat="false" ht="15" hidden="false" customHeight="false" outlineLevel="0" collapsed="false">
      <c r="A119" s="7" t="n">
        <v>2013</v>
      </c>
      <c r="B119" s="15" t="s">
        <v>110</v>
      </c>
      <c r="C119" s="15" t="s">
        <v>102</v>
      </c>
      <c r="D119" s="15" t="s">
        <v>103</v>
      </c>
      <c r="E119" s="19" t="n">
        <v>58.467777</v>
      </c>
      <c r="F119" s="19" t="n">
        <v>50.356295</v>
      </c>
      <c r="G119" s="19" t="n">
        <v>65.266397</v>
      </c>
      <c r="H119" s="19" t="n">
        <v>114.167961</v>
      </c>
      <c r="I119" s="19" t="n">
        <v>2459.2443</v>
      </c>
      <c r="J119" s="27" t="n">
        <v>1032776</v>
      </c>
      <c r="K119" s="27" t="n">
        <v>1032776</v>
      </c>
      <c r="L119" s="9" t="n">
        <f aca="false">IF(AND(K119&lt;&gt;"",J119&lt;Assumptions!$B$3*K119),K119,J119)</f>
        <v>1032776</v>
      </c>
      <c r="M119" s="21" t="str">
        <f aca="false">IF(L119=J119,"FERC Form 1","EIA-861")</f>
        <v>FERC Form 1</v>
      </c>
      <c r="N119" s="28" t="n">
        <f aca="false">E119+F119+G119</f>
        <v>174.090469</v>
      </c>
    </row>
    <row r="120" customFormat="false" ht="15" hidden="false" customHeight="false" outlineLevel="0" collapsed="false">
      <c r="A120" s="7" t="n">
        <v>2014</v>
      </c>
      <c r="B120" s="15" t="s">
        <v>110</v>
      </c>
      <c r="C120" s="15" t="s">
        <v>102</v>
      </c>
      <c r="D120" s="15" t="s">
        <v>103</v>
      </c>
      <c r="E120" s="19" t="n">
        <v>54.947002</v>
      </c>
      <c r="F120" s="19" t="n">
        <v>49.083762</v>
      </c>
      <c r="G120" s="19" t="n">
        <v>69.820283</v>
      </c>
      <c r="H120" s="19" t="n">
        <v>121.863747</v>
      </c>
      <c r="I120" s="19" t="n">
        <v>2576.617161</v>
      </c>
      <c r="J120" s="27" t="n">
        <v>1035096</v>
      </c>
      <c r="K120" s="27" t="n">
        <v>1035096</v>
      </c>
      <c r="L120" s="9" t="n">
        <f aca="false">IF(AND(K120&lt;&gt;"",J120&lt;Assumptions!$B$3*K120),K120,J120)</f>
        <v>1035096</v>
      </c>
      <c r="M120" s="21" t="str">
        <f aca="false">IF(L120=J120,"FERC Form 1","EIA-861")</f>
        <v>FERC Form 1</v>
      </c>
      <c r="N120" s="28" t="n">
        <f aca="false">E120+F120+G120</f>
        <v>173.851047</v>
      </c>
    </row>
    <row r="121" customFormat="false" ht="15" hidden="false" customHeight="false" outlineLevel="0" collapsed="false">
      <c r="A121" s="7" t="n">
        <v>2015</v>
      </c>
      <c r="B121" s="15" t="s">
        <v>110</v>
      </c>
      <c r="C121" s="15" t="s">
        <v>102</v>
      </c>
      <c r="D121" s="15" t="s">
        <v>103</v>
      </c>
      <c r="E121" s="19" t="n">
        <v>56.757678</v>
      </c>
      <c r="F121" s="19" t="n">
        <v>49.433048</v>
      </c>
      <c r="G121" s="19" t="n">
        <v>72.890291</v>
      </c>
      <c r="H121" s="19" t="n">
        <v>114.984029</v>
      </c>
      <c r="I121" s="19" t="n">
        <v>2676.291183</v>
      </c>
      <c r="J121" s="27" t="n">
        <v>1037216</v>
      </c>
      <c r="K121" s="27" t="n">
        <v>1037216</v>
      </c>
      <c r="L121" s="9" t="n">
        <f aca="false">IF(AND(K121&lt;&gt;"",J121&lt;Assumptions!$B$3*K121),K121,J121)</f>
        <v>1037216</v>
      </c>
      <c r="M121" s="21" t="str">
        <f aca="false">IF(L121=J121,"FERC Form 1","EIA-861")</f>
        <v>FERC Form 1</v>
      </c>
      <c r="N121" s="28" t="n">
        <f aca="false">E121+F121+G121</f>
        <v>179.081017</v>
      </c>
    </row>
    <row r="122" customFormat="false" ht="15" hidden="false" customHeight="false" outlineLevel="0" collapsed="false">
      <c r="A122" s="7" t="n">
        <v>2016</v>
      </c>
      <c r="B122" s="15" t="s">
        <v>110</v>
      </c>
      <c r="C122" s="15" t="s">
        <v>102</v>
      </c>
      <c r="D122" s="15" t="s">
        <v>103</v>
      </c>
      <c r="E122" s="19" t="n">
        <v>54.428064</v>
      </c>
      <c r="F122" s="19" t="n">
        <v>43.604271</v>
      </c>
      <c r="G122" s="19" t="n">
        <v>76.005655</v>
      </c>
      <c r="H122" s="19" t="n">
        <v>109.993698</v>
      </c>
      <c r="I122" s="19" t="n">
        <v>2771.601155</v>
      </c>
      <c r="J122" s="27" t="n">
        <v>1041123</v>
      </c>
      <c r="K122" s="27" t="n">
        <v>1041123</v>
      </c>
      <c r="L122" s="9" t="n">
        <f aca="false">IF(AND(K122&lt;&gt;"",J122&lt;Assumptions!$B$3*K122),K122,J122)</f>
        <v>1041123</v>
      </c>
      <c r="M122" s="21" t="str">
        <f aca="false">IF(L122=J122,"FERC Form 1","EIA-861")</f>
        <v>FERC Form 1</v>
      </c>
      <c r="N122" s="28" t="n">
        <f aca="false">E122+F122+G122</f>
        <v>174.03799</v>
      </c>
    </row>
    <row r="123" customFormat="false" ht="15" hidden="false" customHeight="false" outlineLevel="0" collapsed="false">
      <c r="A123" s="7" t="n">
        <v>2017</v>
      </c>
      <c r="B123" s="15" t="s">
        <v>110</v>
      </c>
      <c r="C123" s="15" t="s">
        <v>102</v>
      </c>
      <c r="D123" s="15" t="s">
        <v>103</v>
      </c>
      <c r="E123" s="19" t="n">
        <v>74.84612</v>
      </c>
      <c r="F123" s="19" t="n">
        <v>56.277427</v>
      </c>
      <c r="G123" s="19" t="n">
        <v>78.070572</v>
      </c>
      <c r="H123" s="19" t="n">
        <v>98.189328</v>
      </c>
      <c r="I123" s="19" t="n">
        <v>2855.170254</v>
      </c>
      <c r="J123" s="27" t="n">
        <v>1046760</v>
      </c>
      <c r="K123" s="27" t="n">
        <v>1046760</v>
      </c>
      <c r="L123" s="9" t="n">
        <f aca="false">IF(AND(K123&lt;&gt;"",J123&lt;Assumptions!$B$3*K123),K123,J123)</f>
        <v>1046760</v>
      </c>
      <c r="M123" s="21" t="str">
        <f aca="false">IF(L123=J123,"FERC Form 1","EIA-861")</f>
        <v>FERC Form 1</v>
      </c>
      <c r="N123" s="28" t="n">
        <f aca="false">E123+F123+G123</f>
        <v>209.194119</v>
      </c>
    </row>
    <row r="124" customFormat="false" ht="15" hidden="false" customHeight="false" outlineLevel="0" collapsed="false">
      <c r="A124" s="7" t="n">
        <v>2018</v>
      </c>
      <c r="B124" s="15" t="s">
        <v>110</v>
      </c>
      <c r="C124" s="15" t="s">
        <v>102</v>
      </c>
      <c r="D124" s="15" t="s">
        <v>103</v>
      </c>
      <c r="E124" s="19" t="n">
        <v>72.467203</v>
      </c>
      <c r="F124" s="19" t="n">
        <v>60.096678</v>
      </c>
      <c r="G124" s="19" t="n">
        <v>80.502757</v>
      </c>
      <c r="H124" s="19" t="n">
        <v>117.959251</v>
      </c>
      <c r="I124" s="19" t="n">
        <v>2952.091567</v>
      </c>
      <c r="J124" s="27" t="n">
        <v>1050129</v>
      </c>
      <c r="K124" s="27" t="n">
        <v>1050129</v>
      </c>
      <c r="L124" s="9" t="n">
        <f aca="false">IF(AND(K124&lt;&gt;"",J124&lt;Assumptions!$B$3*K124),K124,J124)</f>
        <v>1050129</v>
      </c>
      <c r="M124" s="21" t="str">
        <f aca="false">IF(L124=J124,"FERC Form 1","EIA-861")</f>
        <v>FERC Form 1</v>
      </c>
      <c r="N124" s="28" t="n">
        <f aca="false">E124+F124+G124</f>
        <v>213.066638</v>
      </c>
    </row>
    <row r="125" customFormat="false" ht="15" hidden="false" customHeight="false" outlineLevel="0" collapsed="false">
      <c r="A125" s="7" t="n">
        <v>2019</v>
      </c>
      <c r="B125" s="15" t="s">
        <v>110</v>
      </c>
      <c r="C125" s="15" t="s">
        <v>102</v>
      </c>
      <c r="D125" s="15" t="s">
        <v>103</v>
      </c>
      <c r="E125" s="19" t="n">
        <v>79.015272</v>
      </c>
      <c r="F125" s="19" t="n">
        <v>59.606225</v>
      </c>
      <c r="G125" s="19" t="n">
        <v>83.469452</v>
      </c>
      <c r="H125" s="19" t="n">
        <v>135.55538</v>
      </c>
      <c r="I125" s="19" t="n">
        <v>3080.35288</v>
      </c>
      <c r="J125" s="27" t="n">
        <v>1052921</v>
      </c>
      <c r="K125" s="27" t="n">
        <v>1052921</v>
      </c>
      <c r="L125" s="9" t="n">
        <f aca="false">IF(AND(K125&lt;&gt;"",J125&lt;Assumptions!$B$3*K125),K125,J125)</f>
        <v>1052921</v>
      </c>
      <c r="M125" s="21" t="str">
        <f aca="false">IF(L125=J125,"FERC Form 1","EIA-861")</f>
        <v>FERC Form 1</v>
      </c>
      <c r="N125" s="28" t="n">
        <f aca="false">E125+F125+G125</f>
        <v>222.090949</v>
      </c>
    </row>
    <row r="126" customFormat="false" ht="15" hidden="false" customHeight="false" outlineLevel="0" collapsed="false">
      <c r="A126" s="7" t="n">
        <v>2020</v>
      </c>
      <c r="B126" s="15" t="s">
        <v>110</v>
      </c>
      <c r="C126" s="15" t="s">
        <v>102</v>
      </c>
      <c r="D126" s="15" t="s">
        <v>103</v>
      </c>
      <c r="E126" s="19" t="n">
        <v>106.10564</v>
      </c>
      <c r="F126" s="19" t="n">
        <v>73.000099</v>
      </c>
      <c r="G126" s="19" t="n">
        <v>87.162034</v>
      </c>
      <c r="H126" s="19" t="n">
        <v>163.287938</v>
      </c>
      <c r="I126" s="19" t="n">
        <v>3223.112786</v>
      </c>
      <c r="J126" s="27" t="n">
        <v>1058301</v>
      </c>
      <c r="K126" s="27" t="n">
        <v>1058300</v>
      </c>
      <c r="L126" s="9" t="n">
        <f aca="false">IF(AND(K126&lt;&gt;"",J126&lt;Assumptions!$B$3*K126),K126,J126)</f>
        <v>1058301</v>
      </c>
      <c r="M126" s="21" t="str">
        <f aca="false">IF(L126=J126,"FERC Form 1","EIA-861")</f>
        <v>FERC Form 1</v>
      </c>
      <c r="N126" s="28" t="n">
        <f aca="false">E126+F126+G126</f>
        <v>266.267773</v>
      </c>
    </row>
    <row r="127" customFormat="false" ht="15" hidden="false" customHeight="false" outlineLevel="0" collapsed="false">
      <c r="A127" s="7" t="n">
        <v>2021</v>
      </c>
      <c r="B127" s="15" t="s">
        <v>110</v>
      </c>
      <c r="C127" s="15" t="s">
        <v>102</v>
      </c>
      <c r="D127" s="15" t="s">
        <v>103</v>
      </c>
      <c r="E127" s="19" t="n">
        <v>88.249028</v>
      </c>
      <c r="F127" s="19" t="n">
        <v>46.525328</v>
      </c>
      <c r="G127" s="19" t="n">
        <v>92.897741</v>
      </c>
      <c r="H127" s="19" t="n">
        <v>205.259409</v>
      </c>
      <c r="I127" s="19" t="n">
        <v>3410.160707</v>
      </c>
      <c r="J127" s="27" t="n">
        <v>1062269</v>
      </c>
      <c r="K127" s="27" t="n">
        <v>1062269</v>
      </c>
      <c r="L127" s="9" t="n">
        <f aca="false">IF(AND(K127&lt;&gt;"",J127&lt;Assumptions!$B$3*K127),K127,J127)</f>
        <v>1062269</v>
      </c>
      <c r="M127" s="21" t="str">
        <f aca="false">IF(L127=J127,"FERC Form 1","EIA-861")</f>
        <v>FERC Form 1</v>
      </c>
      <c r="N127" s="28" t="n">
        <f aca="false">E127+F127+G127</f>
        <v>227.672097</v>
      </c>
    </row>
    <row r="128" customFormat="false" ht="15" hidden="false" customHeight="false" outlineLevel="0" collapsed="false">
      <c r="A128" s="7" t="n">
        <v>2022</v>
      </c>
      <c r="B128" s="15" t="s">
        <v>110</v>
      </c>
      <c r="C128" s="15" t="s">
        <v>102</v>
      </c>
      <c r="D128" s="15" t="s">
        <v>103</v>
      </c>
      <c r="E128" s="19" t="n">
        <v>111.756034</v>
      </c>
      <c r="F128" s="19" t="n">
        <v>38.169317</v>
      </c>
      <c r="G128" s="19" t="n">
        <v>98.577191</v>
      </c>
      <c r="H128" s="19" t="n">
        <v>198.092842</v>
      </c>
      <c r="I128" s="19" t="n">
        <v>3509.880534</v>
      </c>
      <c r="J128" s="27" t="n">
        <v>1065866</v>
      </c>
      <c r="K128" s="27" t="n">
        <v>1065865</v>
      </c>
      <c r="L128" s="9" t="n">
        <f aca="false">IF(AND(K128&lt;&gt;"",J128&lt;Assumptions!$B$3*K128),K128,J128)</f>
        <v>1065866</v>
      </c>
      <c r="M128" s="21" t="str">
        <f aca="false">IF(L128=J128,"FERC Form 1","EIA-861")</f>
        <v>FERC Form 1</v>
      </c>
      <c r="N128" s="28" t="n">
        <f aca="false">E128+F128+G128</f>
        <v>248.502542</v>
      </c>
    </row>
    <row r="129" customFormat="false" ht="15" hidden="false" customHeight="false" outlineLevel="0" collapsed="false">
      <c r="A129" s="7" t="n">
        <v>2023</v>
      </c>
      <c r="B129" s="15" t="s">
        <v>110</v>
      </c>
      <c r="C129" s="15" t="s">
        <v>102</v>
      </c>
      <c r="D129" s="15" t="s">
        <v>103</v>
      </c>
      <c r="E129" s="19" t="n">
        <v>132.396605</v>
      </c>
      <c r="F129" s="19" t="n">
        <v>32.515777</v>
      </c>
      <c r="G129" s="19" t="n">
        <v>101.115256</v>
      </c>
      <c r="H129" s="19" t="n">
        <v>118.426234</v>
      </c>
      <c r="I129" s="19" t="n">
        <v>3606.32064</v>
      </c>
      <c r="J129" s="27" t="n">
        <v>1069766</v>
      </c>
      <c r="K129" s="27" t="n">
        <v>1069767</v>
      </c>
      <c r="L129" s="9" t="n">
        <f aca="false">IF(AND(K129&lt;&gt;"",J129&lt;Assumptions!$B$3*K129),K129,J129)</f>
        <v>1069766</v>
      </c>
      <c r="M129" s="21" t="str">
        <f aca="false">IF(L129=J129,"FERC Form 1","EIA-861")</f>
        <v>FERC Form 1</v>
      </c>
      <c r="N129" s="28" t="n">
        <f aca="false">E129+F129+G129</f>
        <v>266.027638</v>
      </c>
    </row>
    <row r="130" customFormat="false" ht="15" hidden="false" customHeight="false" outlineLevel="0" collapsed="false">
      <c r="A130" s="7" t="n">
        <v>2024</v>
      </c>
      <c r="B130" s="15" t="s">
        <v>110</v>
      </c>
      <c r="C130" s="15" t="s">
        <v>102</v>
      </c>
      <c r="D130" s="15" t="s">
        <v>103</v>
      </c>
      <c r="E130" s="19" t="n">
        <v>106.694546</v>
      </c>
      <c r="F130" s="19" t="n">
        <v>42.803498</v>
      </c>
      <c r="G130" s="19" t="n">
        <v>104.229633</v>
      </c>
      <c r="H130" s="19" t="n">
        <v>146.016635</v>
      </c>
      <c r="I130" s="19" t="n">
        <v>3741.623056</v>
      </c>
      <c r="J130" s="27" t="n">
        <v>1074067</v>
      </c>
      <c r="K130" s="27" t="n">
        <v>1074066</v>
      </c>
      <c r="L130" s="9" t="n">
        <f aca="false">IF(AND(K130&lt;&gt;"",J130&lt;Assumptions!$B$3*K130),K130,J130)</f>
        <v>1074067</v>
      </c>
      <c r="M130" s="21" t="str">
        <f aca="false">IF(L130=J130,"FERC Form 1","EIA-861")</f>
        <v>FERC Form 1</v>
      </c>
      <c r="N130" s="28" t="n">
        <f aca="false">E130+F130+G130</f>
        <v>253.727677</v>
      </c>
    </row>
    <row r="131" customFormat="false" ht="15" hidden="false" customHeight="false" outlineLevel="0" collapsed="false">
      <c r="A131" s="7" t="n">
        <v>2025</v>
      </c>
      <c r="B131" s="15" t="s">
        <v>110</v>
      </c>
      <c r="C131" s="15" t="s">
        <v>102</v>
      </c>
      <c r="D131" s="15" t="s">
        <v>103</v>
      </c>
      <c r="E131" s="19" t="n">
        <v>102.650564</v>
      </c>
      <c r="F131" s="19" t="n">
        <v>47.502114</v>
      </c>
      <c r="G131" s="19" t="n">
        <v>129.096251</v>
      </c>
      <c r="H131" s="19" t="n">
        <v>224.634042</v>
      </c>
      <c r="I131" s="19" t="n">
        <v>3948.45849</v>
      </c>
      <c r="J131" s="27" t="n">
        <v>1077593</v>
      </c>
      <c r="K131" s="27" t="n">
        <v>1077592</v>
      </c>
      <c r="L131" s="9" t="n">
        <f aca="false">IF(AND(K131&lt;&gt;"",J131&lt;Assumptions!$B$3*K131),K131,J131)</f>
        <v>1077593</v>
      </c>
      <c r="M131" s="21" t="str">
        <f aca="false">IF(L131=J131,"FERC Form 1","EIA-861")</f>
        <v>FERC Form 1</v>
      </c>
      <c r="N131" s="28" t="n">
        <f aca="false">E131+F131+G131</f>
        <v>279.248929</v>
      </c>
    </row>
    <row r="132" customFormat="false" ht="15" hidden="false" customHeight="false" outlineLevel="0" collapsed="false">
      <c r="A132" s="7" t="n">
        <v>2000</v>
      </c>
      <c r="B132" s="15" t="s">
        <v>111</v>
      </c>
      <c r="C132" s="15" t="s">
        <v>102</v>
      </c>
      <c r="D132" s="15" t="s">
        <v>107</v>
      </c>
      <c r="E132" s="19" t="n">
        <v>49.803059</v>
      </c>
      <c r="F132" s="19" t="n">
        <v>53.697075</v>
      </c>
      <c r="G132" s="19" t="n">
        <v>37.934021</v>
      </c>
      <c r="H132" s="19" t="n">
        <v>61.998848</v>
      </c>
      <c r="I132" s="19" t="n">
        <v>1334.765913</v>
      </c>
      <c r="J132" s="27" t="n">
        <v>579087</v>
      </c>
      <c r="K132" s="27"/>
      <c r="L132" s="9" t="n">
        <f aca="false">IF(AND(K132&lt;&gt;"",J132&lt;Assumptions!$B$3*K132),K132,J132)</f>
        <v>579087</v>
      </c>
      <c r="M132" s="21" t="str">
        <f aca="false">IF(L132=J132,"FERC Form 1","EIA-861")</f>
        <v>FERC Form 1</v>
      </c>
      <c r="N132" s="28" t="n">
        <f aca="false">E132+F132+G132</f>
        <v>141.434155</v>
      </c>
    </row>
    <row r="133" customFormat="false" ht="15" hidden="false" customHeight="false" outlineLevel="0" collapsed="false">
      <c r="A133" s="7" t="n">
        <v>2001</v>
      </c>
      <c r="B133" s="15" t="s">
        <v>111</v>
      </c>
      <c r="C133" s="15" t="s">
        <v>102</v>
      </c>
      <c r="D133" s="15" t="s">
        <v>107</v>
      </c>
      <c r="E133" s="19" t="n">
        <v>51.822678</v>
      </c>
      <c r="F133" s="19" t="n">
        <v>49.41901</v>
      </c>
      <c r="G133" s="19" t="n">
        <v>37.65054</v>
      </c>
      <c r="H133" s="19" t="n">
        <v>51.945458</v>
      </c>
      <c r="I133" s="19" t="n">
        <v>1371.203369</v>
      </c>
      <c r="J133" s="27" t="n">
        <v>580940</v>
      </c>
      <c r="K133" s="27" t="n">
        <v>580940</v>
      </c>
      <c r="L133" s="9" t="n">
        <f aca="false">IF(AND(K133&lt;&gt;"",J133&lt;Assumptions!$B$3*K133),K133,J133)</f>
        <v>580940</v>
      </c>
      <c r="M133" s="21" t="str">
        <f aca="false">IF(L133=J133,"FERC Form 1","EIA-861")</f>
        <v>FERC Form 1</v>
      </c>
      <c r="N133" s="28" t="n">
        <f aca="false">E133+F133+G133</f>
        <v>138.892228</v>
      </c>
    </row>
    <row r="134" customFormat="false" ht="15" hidden="false" customHeight="false" outlineLevel="0" collapsed="false">
      <c r="A134" s="7" t="n">
        <v>2002</v>
      </c>
      <c r="B134" s="15" t="s">
        <v>111</v>
      </c>
      <c r="C134" s="15" t="s">
        <v>102</v>
      </c>
      <c r="D134" s="15" t="s">
        <v>107</v>
      </c>
      <c r="E134" s="19" t="n">
        <v>48.900268</v>
      </c>
      <c r="F134" s="19" t="n">
        <v>35.691151</v>
      </c>
      <c r="G134" s="19" t="n">
        <v>34.909007</v>
      </c>
      <c r="H134" s="19" t="n">
        <v>34.84487</v>
      </c>
      <c r="I134" s="19" t="n">
        <v>1392.579174</v>
      </c>
      <c r="J134" s="27" t="n">
        <v>583462</v>
      </c>
      <c r="K134" s="27" t="n">
        <v>583301</v>
      </c>
      <c r="L134" s="9" t="n">
        <f aca="false">IF(AND(K134&lt;&gt;"",J134&lt;Assumptions!$B$3*K134),K134,J134)</f>
        <v>583462</v>
      </c>
      <c r="M134" s="21" t="str">
        <f aca="false">IF(L134=J134,"FERC Form 1","EIA-861")</f>
        <v>FERC Form 1</v>
      </c>
      <c r="N134" s="28" t="n">
        <f aca="false">E134+F134+G134</f>
        <v>119.500426</v>
      </c>
    </row>
    <row r="135" customFormat="false" ht="15" hidden="false" customHeight="false" outlineLevel="0" collapsed="false">
      <c r="A135" s="7" t="n">
        <v>2003</v>
      </c>
      <c r="B135" s="15" t="s">
        <v>111</v>
      </c>
      <c r="C135" s="15" t="s">
        <v>102</v>
      </c>
      <c r="D135" s="15" t="s">
        <v>107</v>
      </c>
      <c r="E135" s="19" t="n">
        <v>62.726865</v>
      </c>
      <c r="F135" s="19" t="n">
        <v>42.747473</v>
      </c>
      <c r="G135" s="19" t="n">
        <v>32.21792</v>
      </c>
      <c r="H135" s="19" t="n">
        <v>31.491864</v>
      </c>
      <c r="I135" s="19" t="n">
        <v>1420.631408</v>
      </c>
      <c r="J135" s="27" t="n">
        <v>584210</v>
      </c>
      <c r="K135" s="27" t="n">
        <v>584210</v>
      </c>
      <c r="L135" s="9" t="n">
        <f aca="false">IF(AND(K135&lt;&gt;"",J135&lt;Assumptions!$B$3*K135),K135,J135)</f>
        <v>584210</v>
      </c>
      <c r="M135" s="21" t="str">
        <f aca="false">IF(L135=J135,"FERC Form 1","EIA-861")</f>
        <v>FERC Form 1</v>
      </c>
      <c r="N135" s="28" t="n">
        <f aca="false">E135+F135+G135</f>
        <v>137.692258</v>
      </c>
    </row>
    <row r="136" customFormat="false" ht="15" hidden="false" customHeight="false" outlineLevel="0" collapsed="false">
      <c r="A136" s="7" t="n">
        <v>2004</v>
      </c>
      <c r="B136" s="15" t="s">
        <v>111</v>
      </c>
      <c r="C136" s="15" t="s">
        <v>102</v>
      </c>
      <c r="D136" s="15" t="s">
        <v>107</v>
      </c>
      <c r="E136" s="19" t="n">
        <v>50.656719</v>
      </c>
      <c r="F136" s="19" t="n">
        <v>31.955049</v>
      </c>
      <c r="G136" s="19" t="n">
        <v>34.131462</v>
      </c>
      <c r="H136" s="19" t="n">
        <v>50.41922</v>
      </c>
      <c r="I136" s="19" t="n">
        <v>1462.811585</v>
      </c>
      <c r="J136" s="27" t="n">
        <v>585658</v>
      </c>
      <c r="K136" s="27" t="n">
        <v>585658</v>
      </c>
      <c r="L136" s="9" t="n">
        <f aca="false">IF(AND(K136&lt;&gt;"",J136&lt;Assumptions!$B$3*K136),K136,J136)</f>
        <v>585658</v>
      </c>
      <c r="M136" s="21" t="str">
        <f aca="false">IF(L136=J136,"FERC Form 1","EIA-861")</f>
        <v>FERC Form 1</v>
      </c>
      <c r="N136" s="28" t="n">
        <f aca="false">E136+F136+G136</f>
        <v>116.74323</v>
      </c>
    </row>
    <row r="137" customFormat="false" ht="15" hidden="false" customHeight="false" outlineLevel="0" collapsed="false">
      <c r="A137" s="7" t="n">
        <v>2005</v>
      </c>
      <c r="B137" s="15" t="s">
        <v>111</v>
      </c>
      <c r="C137" s="15" t="s">
        <v>102</v>
      </c>
      <c r="D137" s="15" t="s">
        <v>107</v>
      </c>
      <c r="E137" s="19" t="n">
        <v>45.542067</v>
      </c>
      <c r="F137" s="19" t="n">
        <v>38.463967</v>
      </c>
      <c r="G137" s="19" t="n">
        <v>36.087676</v>
      </c>
      <c r="H137" s="19" t="n">
        <v>86.454622</v>
      </c>
      <c r="I137" s="19" t="n">
        <v>1545.90436</v>
      </c>
      <c r="J137" s="27" t="n">
        <v>587533</v>
      </c>
      <c r="K137" s="27" t="n">
        <v>587533</v>
      </c>
      <c r="L137" s="9" t="n">
        <f aca="false">IF(AND(K137&lt;&gt;"",J137&lt;Assumptions!$B$3*K137),K137,J137)</f>
        <v>587533</v>
      </c>
      <c r="M137" s="21" t="str">
        <f aca="false">IF(L137=J137,"FERC Form 1","EIA-861")</f>
        <v>FERC Form 1</v>
      </c>
      <c r="N137" s="28" t="n">
        <f aca="false">E137+F137+G137</f>
        <v>120.09371</v>
      </c>
    </row>
    <row r="138" customFormat="false" ht="15" hidden="false" customHeight="false" outlineLevel="0" collapsed="false">
      <c r="A138" s="7" t="n">
        <v>2006</v>
      </c>
      <c r="B138" s="15" t="s">
        <v>111</v>
      </c>
      <c r="C138" s="15" t="s">
        <v>102</v>
      </c>
      <c r="D138" s="15" t="s">
        <v>107</v>
      </c>
      <c r="E138" s="19" t="n">
        <v>47.392626</v>
      </c>
      <c r="F138" s="19" t="n">
        <v>35.108852</v>
      </c>
      <c r="G138" s="19" t="n">
        <v>35.86157</v>
      </c>
      <c r="H138" s="19" t="n">
        <v>95.374444</v>
      </c>
      <c r="I138" s="19" t="n">
        <v>1625.998722</v>
      </c>
      <c r="J138" s="27" t="n">
        <v>588437</v>
      </c>
      <c r="K138" s="27" t="n">
        <v>589159</v>
      </c>
      <c r="L138" s="9" t="n">
        <f aca="false">IF(AND(K138&lt;&gt;"",J138&lt;Assumptions!$B$3*K138),K138,J138)</f>
        <v>588437</v>
      </c>
      <c r="M138" s="21" t="str">
        <f aca="false">IF(L138=J138,"FERC Form 1","EIA-861")</f>
        <v>FERC Form 1</v>
      </c>
      <c r="N138" s="28" t="n">
        <f aca="false">E138+F138+G138</f>
        <v>118.363048</v>
      </c>
    </row>
    <row r="139" customFormat="false" ht="15" hidden="false" customHeight="false" outlineLevel="0" collapsed="false">
      <c r="A139" s="7" t="n">
        <v>2007</v>
      </c>
      <c r="B139" s="15" t="s">
        <v>111</v>
      </c>
      <c r="C139" s="15" t="s">
        <v>102</v>
      </c>
      <c r="D139" s="15" t="s">
        <v>107</v>
      </c>
      <c r="E139" s="19" t="n">
        <v>56.238848</v>
      </c>
      <c r="F139" s="19" t="n">
        <v>44.636909</v>
      </c>
      <c r="G139" s="19" t="n">
        <v>37.507732</v>
      </c>
      <c r="H139" s="19" t="n">
        <v>66.634233</v>
      </c>
      <c r="I139" s="19" t="n">
        <v>1679.233013</v>
      </c>
      <c r="J139" s="27" t="n">
        <v>588871</v>
      </c>
      <c r="K139" s="27" t="n">
        <v>588871</v>
      </c>
      <c r="L139" s="9" t="n">
        <f aca="false">IF(AND(K139&lt;&gt;"",J139&lt;Assumptions!$B$3*K139),K139,J139)</f>
        <v>588871</v>
      </c>
      <c r="M139" s="21" t="str">
        <f aca="false">IF(L139=J139,"FERC Form 1","EIA-861")</f>
        <v>FERC Form 1</v>
      </c>
      <c r="N139" s="28" t="n">
        <f aca="false">E139+F139+G139</f>
        <v>138.383489</v>
      </c>
    </row>
    <row r="140" customFormat="false" ht="15" hidden="false" customHeight="false" outlineLevel="0" collapsed="false">
      <c r="A140" s="7" t="n">
        <v>2008</v>
      </c>
      <c r="B140" s="15" t="s">
        <v>111</v>
      </c>
      <c r="C140" s="15" t="s">
        <v>102</v>
      </c>
      <c r="D140" s="15" t="s">
        <v>107</v>
      </c>
      <c r="E140" s="19" t="n">
        <v>52.213199</v>
      </c>
      <c r="F140" s="19" t="n">
        <v>51.775525</v>
      </c>
      <c r="G140" s="19" t="n">
        <v>38.895563</v>
      </c>
      <c r="H140" s="19" t="n">
        <v>103.210171</v>
      </c>
      <c r="I140" s="19" t="n">
        <v>1768.168251</v>
      </c>
      <c r="J140" s="27" t="n">
        <v>589017</v>
      </c>
      <c r="K140" s="27" t="n">
        <v>589017</v>
      </c>
      <c r="L140" s="9" t="n">
        <f aca="false">IF(AND(K140&lt;&gt;"",J140&lt;Assumptions!$B$3*K140),K140,J140)</f>
        <v>589017</v>
      </c>
      <c r="M140" s="21" t="str">
        <f aca="false">IF(L140=J140,"FERC Form 1","EIA-861")</f>
        <v>FERC Form 1</v>
      </c>
      <c r="N140" s="28" t="n">
        <f aca="false">E140+F140+G140</f>
        <v>142.884287</v>
      </c>
    </row>
    <row r="141" customFormat="false" ht="15" hidden="false" customHeight="false" outlineLevel="0" collapsed="false">
      <c r="A141" s="7" t="n">
        <v>2009</v>
      </c>
      <c r="B141" s="15" t="s">
        <v>111</v>
      </c>
      <c r="C141" s="15" t="s">
        <v>102</v>
      </c>
      <c r="D141" s="15" t="s">
        <v>107</v>
      </c>
      <c r="E141" s="19" t="n">
        <v>41.267212</v>
      </c>
      <c r="F141" s="19" t="n">
        <v>53.499046</v>
      </c>
      <c r="G141" s="19" t="n">
        <v>39.829016</v>
      </c>
      <c r="H141" s="19" t="n">
        <v>101.044759</v>
      </c>
      <c r="I141" s="19" t="n">
        <v>1853.97026</v>
      </c>
      <c r="J141" s="27" t="n">
        <v>589201</v>
      </c>
      <c r="K141" s="27" t="n">
        <v>589201</v>
      </c>
      <c r="L141" s="9" t="n">
        <f aca="false">IF(AND(K141&lt;&gt;"",J141&lt;Assumptions!$B$3*K141),K141,J141)</f>
        <v>589201</v>
      </c>
      <c r="M141" s="21" t="str">
        <f aca="false">IF(L141=J141,"FERC Form 1","EIA-861")</f>
        <v>FERC Form 1</v>
      </c>
      <c r="N141" s="28" t="n">
        <f aca="false">E141+F141+G141</f>
        <v>134.595274</v>
      </c>
    </row>
    <row r="142" customFormat="false" ht="15" hidden="false" customHeight="false" outlineLevel="0" collapsed="false">
      <c r="A142" s="7" t="n">
        <v>2010</v>
      </c>
      <c r="B142" s="15" t="s">
        <v>111</v>
      </c>
      <c r="C142" s="15" t="s">
        <v>102</v>
      </c>
      <c r="D142" s="15" t="s">
        <v>107</v>
      </c>
      <c r="E142" s="19" t="n">
        <v>32.959775</v>
      </c>
      <c r="F142" s="19" t="n">
        <v>57.830661</v>
      </c>
      <c r="G142" s="19" t="n">
        <v>42.467892</v>
      </c>
      <c r="H142" s="19" t="n">
        <v>98.107228</v>
      </c>
      <c r="I142" s="19" t="n">
        <v>1936.78086</v>
      </c>
      <c r="J142" s="27" t="n">
        <v>589852</v>
      </c>
      <c r="K142" s="27" t="n">
        <v>589852</v>
      </c>
      <c r="L142" s="9" t="n">
        <f aca="false">IF(AND(K142&lt;&gt;"",J142&lt;Assumptions!$B$3*K142),K142,J142)</f>
        <v>589852</v>
      </c>
      <c r="M142" s="21" t="str">
        <f aca="false">IF(L142=J142,"FERC Form 1","EIA-861")</f>
        <v>FERC Form 1</v>
      </c>
      <c r="N142" s="28" t="n">
        <f aca="false">E142+F142+G142</f>
        <v>133.258328</v>
      </c>
    </row>
    <row r="143" customFormat="false" ht="15" hidden="false" customHeight="false" outlineLevel="0" collapsed="false">
      <c r="A143" s="7" t="n">
        <v>2011</v>
      </c>
      <c r="B143" s="15" t="s">
        <v>111</v>
      </c>
      <c r="C143" s="15" t="s">
        <v>102</v>
      </c>
      <c r="D143" s="15" t="s">
        <v>107</v>
      </c>
      <c r="E143" s="19" t="n">
        <v>35.953693</v>
      </c>
      <c r="F143" s="19" t="n">
        <v>72.623239</v>
      </c>
      <c r="G143" s="19" t="n">
        <v>50.444309</v>
      </c>
      <c r="H143" s="19" t="n">
        <v>78.314762</v>
      </c>
      <c r="I143" s="19" t="n">
        <v>2153.469961</v>
      </c>
      <c r="J143" s="27" t="n">
        <v>589651</v>
      </c>
      <c r="K143" s="27" t="n">
        <v>585871</v>
      </c>
      <c r="L143" s="9" t="n">
        <f aca="false">IF(AND(K143&lt;&gt;"",J143&lt;Assumptions!$B$3*K143),K143,J143)</f>
        <v>589651</v>
      </c>
      <c r="M143" s="21" t="str">
        <f aca="false">IF(L143=J143,"FERC Form 1","EIA-861")</f>
        <v>FERC Form 1</v>
      </c>
      <c r="N143" s="28" t="n">
        <f aca="false">E143+F143+G143</f>
        <v>159.021241</v>
      </c>
    </row>
    <row r="144" customFormat="false" ht="15" hidden="false" customHeight="false" outlineLevel="0" collapsed="false">
      <c r="A144" s="7" t="n">
        <v>2012</v>
      </c>
      <c r="B144" s="15" t="s">
        <v>111</v>
      </c>
      <c r="C144" s="15" t="s">
        <v>102</v>
      </c>
      <c r="D144" s="15" t="s">
        <v>107</v>
      </c>
      <c r="E144" s="19" t="n">
        <v>51.867448</v>
      </c>
      <c r="F144" s="19" t="n">
        <v>73.485887</v>
      </c>
      <c r="G144" s="19" t="n">
        <v>57.0946</v>
      </c>
      <c r="H144" s="19" t="n">
        <v>120.818359</v>
      </c>
      <c r="I144" s="19" t="n">
        <v>2261.856096</v>
      </c>
      <c r="J144" s="27" t="n">
        <v>589505</v>
      </c>
      <c r="K144" s="27" t="n">
        <v>589505</v>
      </c>
      <c r="L144" s="9" t="n">
        <f aca="false">IF(AND(K144&lt;&gt;"",J144&lt;Assumptions!$B$3*K144),K144,J144)</f>
        <v>589505</v>
      </c>
      <c r="M144" s="21" t="str">
        <f aca="false">IF(L144=J144,"FERC Form 1","EIA-861")</f>
        <v>FERC Form 1</v>
      </c>
      <c r="N144" s="28" t="n">
        <f aca="false">E144+F144+G144</f>
        <v>182.447935</v>
      </c>
    </row>
    <row r="145" customFormat="false" ht="15" hidden="false" customHeight="false" outlineLevel="0" collapsed="false">
      <c r="A145" s="7" t="n">
        <v>2013</v>
      </c>
      <c r="B145" s="15" t="s">
        <v>111</v>
      </c>
      <c r="C145" s="15" t="s">
        <v>102</v>
      </c>
      <c r="D145" s="15" t="s">
        <v>107</v>
      </c>
      <c r="E145" s="19" t="n">
        <v>41.874317</v>
      </c>
      <c r="F145" s="19" t="n">
        <v>67.723762</v>
      </c>
      <c r="G145" s="19" t="n">
        <v>51.11979</v>
      </c>
      <c r="H145" s="19" t="n">
        <v>95.005858</v>
      </c>
      <c r="I145" s="19" t="n">
        <v>2331.466098</v>
      </c>
      <c r="J145" s="27" t="n">
        <v>589402</v>
      </c>
      <c r="K145" s="27" t="n">
        <v>589402</v>
      </c>
      <c r="L145" s="9" t="n">
        <f aca="false">IF(AND(K145&lt;&gt;"",J145&lt;Assumptions!$B$3*K145),K145,J145)</f>
        <v>589402</v>
      </c>
      <c r="M145" s="21" t="str">
        <f aca="false">IF(L145=J145,"FERC Form 1","EIA-861")</f>
        <v>FERC Form 1</v>
      </c>
      <c r="N145" s="28" t="n">
        <f aca="false">E145+F145+G145</f>
        <v>160.717869</v>
      </c>
    </row>
    <row r="146" customFormat="false" ht="15" hidden="false" customHeight="false" outlineLevel="0" collapsed="false">
      <c r="A146" s="7" t="n">
        <v>2014</v>
      </c>
      <c r="B146" s="15" t="s">
        <v>111</v>
      </c>
      <c r="C146" s="15" t="s">
        <v>102</v>
      </c>
      <c r="D146" s="15" t="s">
        <v>107</v>
      </c>
      <c r="E146" s="19" t="n">
        <v>42.235556</v>
      </c>
      <c r="F146" s="19" t="n">
        <v>59.736321</v>
      </c>
      <c r="G146" s="19" t="n">
        <v>65.479731</v>
      </c>
      <c r="H146" s="19" t="n">
        <v>103.507752</v>
      </c>
      <c r="I146" s="19" t="n">
        <v>2411.515113</v>
      </c>
      <c r="J146" s="27" t="n">
        <v>588587</v>
      </c>
      <c r="K146" s="27" t="n">
        <v>588587</v>
      </c>
      <c r="L146" s="9" t="n">
        <f aca="false">IF(AND(K146&lt;&gt;"",J146&lt;Assumptions!$B$3*K146),K146,J146)</f>
        <v>588587</v>
      </c>
      <c r="M146" s="21" t="str">
        <f aca="false">IF(L146=J146,"FERC Form 1","EIA-861")</f>
        <v>FERC Form 1</v>
      </c>
      <c r="N146" s="28" t="n">
        <f aca="false">E146+F146+G146</f>
        <v>167.451608</v>
      </c>
    </row>
    <row r="147" customFormat="false" ht="15" hidden="false" customHeight="false" outlineLevel="0" collapsed="false">
      <c r="A147" s="7" t="n">
        <v>2015</v>
      </c>
      <c r="B147" s="15" t="s">
        <v>111</v>
      </c>
      <c r="C147" s="15" t="s">
        <v>102</v>
      </c>
      <c r="D147" s="15" t="s">
        <v>107</v>
      </c>
      <c r="E147" s="19" t="n">
        <v>43.419706</v>
      </c>
      <c r="F147" s="19" t="n">
        <v>64.654438</v>
      </c>
      <c r="G147" s="19" t="n">
        <v>57.327433</v>
      </c>
      <c r="H147" s="19" t="n">
        <v>92.701046</v>
      </c>
      <c r="I147" s="19" t="n">
        <v>2400.521178</v>
      </c>
      <c r="J147" s="27" t="n">
        <v>587614</v>
      </c>
      <c r="K147" s="27" t="n">
        <v>587614</v>
      </c>
      <c r="L147" s="9" t="n">
        <f aca="false">IF(AND(K147&lt;&gt;"",J147&lt;Assumptions!$B$3*K147),K147,J147)</f>
        <v>587614</v>
      </c>
      <c r="M147" s="21" t="str">
        <f aca="false">IF(L147=J147,"FERC Form 1","EIA-861")</f>
        <v>FERC Form 1</v>
      </c>
      <c r="N147" s="28" t="n">
        <f aca="false">E147+F147+G147</f>
        <v>165.401577</v>
      </c>
    </row>
    <row r="148" customFormat="false" ht="15" hidden="false" customHeight="false" outlineLevel="0" collapsed="false">
      <c r="A148" s="7" t="n">
        <v>2016</v>
      </c>
      <c r="B148" s="15" t="s">
        <v>111</v>
      </c>
      <c r="C148" s="15" t="s">
        <v>102</v>
      </c>
      <c r="D148" s="15" t="s">
        <v>107</v>
      </c>
      <c r="E148" s="19" t="n">
        <v>44.599674</v>
      </c>
      <c r="F148" s="19" t="n">
        <v>63.784123</v>
      </c>
      <c r="G148" s="19" t="n">
        <v>50.556967</v>
      </c>
      <c r="H148" s="19" t="n">
        <v>137.435262</v>
      </c>
      <c r="I148" s="19" t="n">
        <v>2525.226403</v>
      </c>
      <c r="J148" s="27" t="n">
        <v>587251</v>
      </c>
      <c r="K148" s="27" t="n">
        <v>587251</v>
      </c>
      <c r="L148" s="9" t="n">
        <f aca="false">IF(AND(K148&lt;&gt;"",J148&lt;Assumptions!$B$3*K148),K148,J148)</f>
        <v>587251</v>
      </c>
      <c r="M148" s="21" t="str">
        <f aca="false">IF(L148=J148,"FERC Form 1","EIA-861")</f>
        <v>FERC Form 1</v>
      </c>
      <c r="N148" s="28" t="n">
        <f aca="false">E148+F148+G148</f>
        <v>158.940764</v>
      </c>
    </row>
    <row r="149" customFormat="false" ht="15" hidden="false" customHeight="false" outlineLevel="0" collapsed="false">
      <c r="A149" s="7" t="n">
        <v>2017</v>
      </c>
      <c r="B149" s="15" t="s">
        <v>111</v>
      </c>
      <c r="C149" s="15" t="s">
        <v>102</v>
      </c>
      <c r="D149" s="15" t="s">
        <v>107</v>
      </c>
      <c r="E149" s="19" t="n">
        <v>65.17477</v>
      </c>
      <c r="F149" s="19" t="n">
        <v>61.680743</v>
      </c>
      <c r="G149" s="19" t="n">
        <v>58.98012</v>
      </c>
      <c r="H149" s="19" t="n">
        <v>124.713569</v>
      </c>
      <c r="I149" s="19" t="n">
        <v>2629.457457</v>
      </c>
      <c r="J149" s="27" t="n">
        <v>586984</v>
      </c>
      <c r="K149" s="27" t="n">
        <v>586984</v>
      </c>
      <c r="L149" s="9" t="n">
        <f aca="false">IF(AND(K149&lt;&gt;"",J149&lt;Assumptions!$B$3*K149),K149,J149)</f>
        <v>586984</v>
      </c>
      <c r="M149" s="21" t="str">
        <f aca="false">IF(L149=J149,"FERC Form 1","EIA-861")</f>
        <v>FERC Form 1</v>
      </c>
      <c r="N149" s="28" t="n">
        <f aca="false">E149+F149+G149</f>
        <v>185.835633</v>
      </c>
    </row>
    <row r="150" customFormat="false" ht="15" hidden="false" customHeight="false" outlineLevel="0" collapsed="false">
      <c r="A150" s="7" t="n">
        <v>2018</v>
      </c>
      <c r="B150" s="15" t="s">
        <v>111</v>
      </c>
      <c r="C150" s="15" t="s">
        <v>102</v>
      </c>
      <c r="D150" s="15" t="s">
        <v>107</v>
      </c>
      <c r="E150" s="19" t="n">
        <v>85.013346</v>
      </c>
      <c r="F150" s="19" t="n">
        <v>65.785144</v>
      </c>
      <c r="G150" s="19" t="n">
        <v>63.262328</v>
      </c>
      <c r="H150" s="19" t="n">
        <v>160.386913</v>
      </c>
      <c r="I150" s="19" t="n">
        <v>2759.903014</v>
      </c>
      <c r="J150" s="27" t="n">
        <v>586891</v>
      </c>
      <c r="K150" s="27" t="n">
        <v>590669</v>
      </c>
      <c r="L150" s="9" t="n">
        <f aca="false">IF(AND(K150&lt;&gt;"",J150&lt;Assumptions!$B$3*K150),K150,J150)</f>
        <v>586891</v>
      </c>
      <c r="M150" s="21" t="str">
        <f aca="false">IF(L150=J150,"FERC Form 1","EIA-861")</f>
        <v>FERC Form 1</v>
      </c>
      <c r="N150" s="28" t="n">
        <f aca="false">E150+F150+G150</f>
        <v>214.060818</v>
      </c>
    </row>
    <row r="151" customFormat="false" ht="15" hidden="false" customHeight="false" outlineLevel="0" collapsed="false">
      <c r="A151" s="7" t="n">
        <v>2019</v>
      </c>
      <c r="B151" s="15" t="s">
        <v>111</v>
      </c>
      <c r="C151" s="15" t="s">
        <v>102</v>
      </c>
      <c r="D151" s="15" t="s">
        <v>107</v>
      </c>
      <c r="E151" s="19" t="n">
        <v>67.490569</v>
      </c>
      <c r="F151" s="19" t="n">
        <v>62.246498</v>
      </c>
      <c r="G151" s="19" t="n">
        <v>65.470022</v>
      </c>
      <c r="H151" s="19" t="n">
        <v>130.366525</v>
      </c>
      <c r="I151" s="19" t="n">
        <v>2869.529195</v>
      </c>
      <c r="J151" s="27" t="n">
        <v>586517</v>
      </c>
      <c r="K151" s="27" t="n">
        <v>586517</v>
      </c>
      <c r="L151" s="9" t="n">
        <f aca="false">IF(AND(K151&lt;&gt;"",J151&lt;Assumptions!$B$3*K151),K151,J151)</f>
        <v>586517</v>
      </c>
      <c r="M151" s="21" t="str">
        <f aca="false">IF(L151=J151,"FERC Form 1","EIA-861")</f>
        <v>FERC Form 1</v>
      </c>
      <c r="N151" s="28" t="n">
        <f aca="false">E151+F151+G151</f>
        <v>195.207089</v>
      </c>
    </row>
    <row r="152" customFormat="false" ht="15" hidden="false" customHeight="false" outlineLevel="0" collapsed="false">
      <c r="A152" s="7" t="n">
        <v>2020</v>
      </c>
      <c r="B152" s="15" t="s">
        <v>111</v>
      </c>
      <c r="C152" s="15" t="s">
        <v>102</v>
      </c>
      <c r="D152" s="15" t="s">
        <v>107</v>
      </c>
      <c r="E152" s="19" t="n">
        <v>71.440623</v>
      </c>
      <c r="F152" s="19" t="n">
        <v>66.588302</v>
      </c>
      <c r="G152" s="19" t="n">
        <v>66.634795</v>
      </c>
      <c r="H152" s="19" t="n">
        <v>149.786732</v>
      </c>
      <c r="I152" s="19" t="n">
        <v>2998.615611</v>
      </c>
      <c r="J152" s="27" t="n">
        <v>587567</v>
      </c>
      <c r="K152" s="27" t="n">
        <v>587568</v>
      </c>
      <c r="L152" s="9" t="n">
        <f aca="false">IF(AND(K152&lt;&gt;"",J152&lt;Assumptions!$B$3*K152),K152,J152)</f>
        <v>587567</v>
      </c>
      <c r="M152" s="21" t="str">
        <f aca="false">IF(L152=J152,"FERC Form 1","EIA-861")</f>
        <v>FERC Form 1</v>
      </c>
      <c r="N152" s="28" t="n">
        <f aca="false">E152+F152+G152</f>
        <v>204.66372</v>
      </c>
    </row>
    <row r="153" customFormat="false" ht="15" hidden="false" customHeight="false" outlineLevel="0" collapsed="false">
      <c r="A153" s="7" t="n">
        <v>2021</v>
      </c>
      <c r="B153" s="15" t="s">
        <v>111</v>
      </c>
      <c r="C153" s="15" t="s">
        <v>102</v>
      </c>
      <c r="D153" s="15" t="s">
        <v>107</v>
      </c>
      <c r="E153" s="19" t="n">
        <v>67.566861</v>
      </c>
      <c r="F153" s="19" t="n">
        <v>59.820283</v>
      </c>
      <c r="G153" s="19" t="n">
        <v>65.002292</v>
      </c>
      <c r="H153" s="19" t="n">
        <v>141.851187</v>
      </c>
      <c r="I153" s="19" t="n">
        <v>3118.384511</v>
      </c>
      <c r="J153" s="27" t="n">
        <v>588261</v>
      </c>
      <c r="K153" s="27" t="n">
        <v>588261</v>
      </c>
      <c r="L153" s="9" t="n">
        <f aca="false">IF(AND(K153&lt;&gt;"",J153&lt;Assumptions!$B$3*K153),K153,J153)</f>
        <v>588261</v>
      </c>
      <c r="M153" s="21" t="str">
        <f aca="false">IF(L153=J153,"FERC Form 1","EIA-861")</f>
        <v>FERC Form 1</v>
      </c>
      <c r="N153" s="28" t="n">
        <f aca="false">E153+F153+G153</f>
        <v>192.389436</v>
      </c>
    </row>
    <row r="154" customFormat="false" ht="15" hidden="false" customHeight="false" outlineLevel="0" collapsed="false">
      <c r="A154" s="7" t="n">
        <v>2022</v>
      </c>
      <c r="B154" s="15" t="s">
        <v>111</v>
      </c>
      <c r="C154" s="15" t="s">
        <v>102</v>
      </c>
      <c r="D154" s="15" t="s">
        <v>107</v>
      </c>
      <c r="E154" s="19" t="n">
        <v>103.515153</v>
      </c>
      <c r="F154" s="19" t="n">
        <v>74.315168</v>
      </c>
      <c r="G154" s="19" t="n">
        <v>69.919177</v>
      </c>
      <c r="H154" s="19" t="n">
        <v>125.448527</v>
      </c>
      <c r="I154" s="19" t="n">
        <v>3189.670263</v>
      </c>
      <c r="J154" s="27" t="n">
        <v>588187</v>
      </c>
      <c r="K154" s="27" t="n">
        <v>588187</v>
      </c>
      <c r="L154" s="9" t="n">
        <f aca="false">IF(AND(K154&lt;&gt;"",J154&lt;Assumptions!$B$3*K154),K154,J154)</f>
        <v>588187</v>
      </c>
      <c r="M154" s="21" t="str">
        <f aca="false">IF(L154=J154,"FERC Form 1","EIA-861")</f>
        <v>FERC Form 1</v>
      </c>
      <c r="N154" s="28" t="n">
        <f aca="false">E154+F154+G154</f>
        <v>247.749498</v>
      </c>
    </row>
    <row r="155" customFormat="false" ht="15" hidden="false" customHeight="false" outlineLevel="0" collapsed="false">
      <c r="A155" s="7" t="n">
        <v>2023</v>
      </c>
      <c r="B155" s="15" t="s">
        <v>111</v>
      </c>
      <c r="C155" s="15" t="s">
        <v>102</v>
      </c>
      <c r="D155" s="15" t="s">
        <v>107</v>
      </c>
      <c r="E155" s="19" t="n">
        <v>92.429144</v>
      </c>
      <c r="F155" s="19" t="n">
        <v>76.286707</v>
      </c>
      <c r="G155" s="19" t="n">
        <v>74.047233</v>
      </c>
      <c r="H155" s="19" t="n">
        <v>152.023673</v>
      </c>
      <c r="I155" s="19" t="n">
        <v>3317.585264</v>
      </c>
      <c r="J155" s="27" t="n">
        <v>588213</v>
      </c>
      <c r="K155" s="27" t="n">
        <v>588212</v>
      </c>
      <c r="L155" s="9" t="n">
        <f aca="false">IF(AND(K155&lt;&gt;"",J155&lt;Assumptions!$B$3*K155),K155,J155)</f>
        <v>588213</v>
      </c>
      <c r="M155" s="21" t="str">
        <f aca="false">IF(L155=J155,"FERC Form 1","EIA-861")</f>
        <v>FERC Form 1</v>
      </c>
      <c r="N155" s="28" t="n">
        <f aca="false">E155+F155+G155</f>
        <v>242.763084</v>
      </c>
    </row>
    <row r="156" customFormat="false" ht="15" hidden="false" customHeight="false" outlineLevel="0" collapsed="false">
      <c r="A156" s="7" t="n">
        <v>2000</v>
      </c>
      <c r="B156" s="15" t="s">
        <v>112</v>
      </c>
      <c r="C156" s="15" t="s">
        <v>102</v>
      </c>
      <c r="D156" s="15" t="s">
        <v>107</v>
      </c>
      <c r="E156" s="19" t="n">
        <v>10.959921</v>
      </c>
      <c r="F156" s="19" t="n">
        <v>8.22639</v>
      </c>
      <c r="G156" s="19" t="n">
        <v>6.374134</v>
      </c>
      <c r="H156" s="19" t="n">
        <v>9.280058</v>
      </c>
      <c r="I156" s="19" t="n">
        <v>253.481622</v>
      </c>
      <c r="J156" s="27" t="n">
        <v>134634</v>
      </c>
      <c r="K156" s="27"/>
      <c r="L156" s="9" t="n">
        <f aca="false">IF(AND(K156&lt;&gt;"",J156&lt;Assumptions!$B$3*K156),K156,J156)</f>
        <v>134634</v>
      </c>
      <c r="M156" s="21" t="str">
        <f aca="false">IF(L156=J156,"FERC Form 1","EIA-861")</f>
        <v>FERC Form 1</v>
      </c>
      <c r="N156" s="28" t="n">
        <f aca="false">E156+F156+G156</f>
        <v>25.560445</v>
      </c>
    </row>
    <row r="157" customFormat="false" ht="15" hidden="false" customHeight="false" outlineLevel="0" collapsed="false">
      <c r="A157" s="7" t="n">
        <v>2001</v>
      </c>
      <c r="B157" s="15" t="s">
        <v>112</v>
      </c>
      <c r="C157" s="15" t="s">
        <v>102</v>
      </c>
      <c r="D157" s="15" t="s">
        <v>107</v>
      </c>
      <c r="E157" s="19" t="n">
        <v>8.554656</v>
      </c>
      <c r="F157" s="19" t="n">
        <v>6.832228</v>
      </c>
      <c r="G157" s="19" t="n">
        <v>6.568438</v>
      </c>
      <c r="H157" s="19" t="n">
        <v>11.030107</v>
      </c>
      <c r="I157" s="19" t="n">
        <v>262.147012</v>
      </c>
      <c r="J157" s="27" t="n">
        <v>151266</v>
      </c>
      <c r="K157" s="27" t="n">
        <v>151267</v>
      </c>
      <c r="L157" s="9" t="n">
        <f aca="false">IF(AND(K157&lt;&gt;"",J157&lt;Assumptions!$B$3*K157),K157,J157)</f>
        <v>151266</v>
      </c>
      <c r="M157" s="21" t="str">
        <f aca="false">IF(L157=J157,"FERC Form 1","EIA-861")</f>
        <v>FERC Form 1</v>
      </c>
      <c r="N157" s="28" t="n">
        <f aca="false">E157+F157+G157</f>
        <v>21.955322</v>
      </c>
    </row>
    <row r="158" customFormat="false" ht="15" hidden="false" customHeight="false" outlineLevel="0" collapsed="false">
      <c r="A158" s="7" t="n">
        <v>2002</v>
      </c>
      <c r="B158" s="15" t="s">
        <v>112</v>
      </c>
      <c r="C158" s="15" t="s">
        <v>102</v>
      </c>
      <c r="D158" s="15" t="s">
        <v>107</v>
      </c>
      <c r="E158" s="19" t="n">
        <v>9.28718</v>
      </c>
      <c r="F158" s="19" t="n">
        <v>5.175261</v>
      </c>
      <c r="G158" s="19" t="n">
        <v>6.774501</v>
      </c>
      <c r="H158" s="19" t="n">
        <v>11.934342</v>
      </c>
      <c r="I158" s="19" t="n">
        <v>273.246776</v>
      </c>
      <c r="J158" s="27" t="n">
        <v>154281</v>
      </c>
      <c r="K158" s="27" t="n">
        <v>154281</v>
      </c>
      <c r="L158" s="9" t="n">
        <f aca="false">IF(AND(K158&lt;&gt;"",J158&lt;Assumptions!$B$3*K158),K158,J158)</f>
        <v>154281</v>
      </c>
      <c r="M158" s="21" t="str">
        <f aca="false">IF(L158=J158,"FERC Form 1","EIA-861")</f>
        <v>FERC Form 1</v>
      </c>
      <c r="N158" s="28" t="n">
        <f aca="false">E158+F158+G158</f>
        <v>21.236942</v>
      </c>
    </row>
    <row r="159" customFormat="false" ht="15" hidden="false" customHeight="false" outlineLevel="0" collapsed="false">
      <c r="A159" s="7" t="n">
        <v>2003</v>
      </c>
      <c r="B159" s="15" t="s">
        <v>112</v>
      </c>
      <c r="C159" s="15" t="s">
        <v>102</v>
      </c>
      <c r="D159" s="15" t="s">
        <v>107</v>
      </c>
      <c r="E159" s="19" t="n">
        <v>12.999695</v>
      </c>
      <c r="F159" s="19" t="n">
        <v>13.166787</v>
      </c>
      <c r="G159" s="19" t="n">
        <v>7.046611</v>
      </c>
      <c r="H159" s="19" t="n">
        <v>15.265575</v>
      </c>
      <c r="I159" s="19" t="n">
        <v>284.533213</v>
      </c>
      <c r="J159" s="27" t="n">
        <v>155446</v>
      </c>
      <c r="K159" s="27" t="n">
        <v>155446</v>
      </c>
      <c r="L159" s="9" t="n">
        <f aca="false">IF(AND(K159&lt;&gt;"",J159&lt;Assumptions!$B$3*K159),K159,J159)</f>
        <v>155446</v>
      </c>
      <c r="M159" s="21" t="str">
        <f aca="false">IF(L159=J159,"FERC Form 1","EIA-861")</f>
        <v>FERC Form 1</v>
      </c>
      <c r="N159" s="28" t="n">
        <f aca="false">E159+F159+G159</f>
        <v>33.213093</v>
      </c>
    </row>
    <row r="160" customFormat="false" ht="15" hidden="false" customHeight="false" outlineLevel="0" collapsed="false">
      <c r="A160" s="7" t="n">
        <v>2004</v>
      </c>
      <c r="B160" s="15" t="s">
        <v>112</v>
      </c>
      <c r="C160" s="15" t="s">
        <v>102</v>
      </c>
      <c r="D160" s="15" t="s">
        <v>107</v>
      </c>
      <c r="E160" s="19" t="n">
        <v>8.729951</v>
      </c>
      <c r="F160" s="19" t="n">
        <v>6.437959</v>
      </c>
      <c r="G160" s="19" t="n">
        <v>7.342615</v>
      </c>
      <c r="H160" s="19" t="n">
        <v>15.134883</v>
      </c>
      <c r="I160" s="19" t="n">
        <v>298.748254</v>
      </c>
      <c r="J160" s="27" t="n">
        <v>156499</v>
      </c>
      <c r="K160" s="27" t="n">
        <v>156499</v>
      </c>
      <c r="L160" s="9" t="n">
        <f aca="false">IF(AND(K160&lt;&gt;"",J160&lt;Assumptions!$B$3*K160),K160,J160)</f>
        <v>156499</v>
      </c>
      <c r="M160" s="21" t="str">
        <f aca="false">IF(L160=J160,"FERC Form 1","EIA-861")</f>
        <v>FERC Form 1</v>
      </c>
      <c r="N160" s="28" t="n">
        <f aca="false">E160+F160+G160</f>
        <v>22.510525</v>
      </c>
    </row>
    <row r="161" customFormat="false" ht="15" hidden="false" customHeight="false" outlineLevel="0" collapsed="false">
      <c r="A161" s="7" t="n">
        <v>2005</v>
      </c>
      <c r="B161" s="15" t="s">
        <v>112</v>
      </c>
      <c r="C161" s="15" t="s">
        <v>102</v>
      </c>
      <c r="D161" s="15" t="s">
        <v>107</v>
      </c>
      <c r="E161" s="19" t="n">
        <v>9.901775</v>
      </c>
      <c r="F161" s="19" t="n">
        <v>9.229207</v>
      </c>
      <c r="G161" s="19" t="n">
        <v>7.787741</v>
      </c>
      <c r="H161" s="19" t="n">
        <v>23.287318</v>
      </c>
      <c r="I161" s="19" t="n">
        <v>322.398571</v>
      </c>
      <c r="J161" s="27" t="n">
        <v>157660</v>
      </c>
      <c r="K161" s="27" t="n">
        <v>157660</v>
      </c>
      <c r="L161" s="9" t="n">
        <f aca="false">IF(AND(K161&lt;&gt;"",J161&lt;Assumptions!$B$3*K161),K161,J161)</f>
        <v>157660</v>
      </c>
      <c r="M161" s="21" t="str">
        <f aca="false">IF(L161=J161,"FERC Form 1","EIA-861")</f>
        <v>FERC Form 1</v>
      </c>
      <c r="N161" s="28" t="n">
        <f aca="false">E161+F161+G161</f>
        <v>26.918723</v>
      </c>
    </row>
    <row r="162" customFormat="false" ht="15" hidden="false" customHeight="false" outlineLevel="0" collapsed="false">
      <c r="A162" s="7" t="n">
        <v>2006</v>
      </c>
      <c r="B162" s="15" t="s">
        <v>112</v>
      </c>
      <c r="C162" s="15" t="s">
        <v>102</v>
      </c>
      <c r="D162" s="15" t="s">
        <v>107</v>
      </c>
      <c r="E162" s="19" t="n">
        <v>11.821837</v>
      </c>
      <c r="F162" s="19" t="n">
        <v>8.822817</v>
      </c>
      <c r="G162" s="19" t="n">
        <v>8.370952</v>
      </c>
      <c r="H162" s="19" t="n">
        <v>16.085515</v>
      </c>
      <c r="I162" s="19" t="n">
        <v>336.165114</v>
      </c>
      <c r="J162" s="27" t="n">
        <v>158369</v>
      </c>
      <c r="K162" s="27" t="n">
        <v>158864</v>
      </c>
      <c r="L162" s="9" t="n">
        <f aca="false">IF(AND(K162&lt;&gt;"",J162&lt;Assumptions!$B$3*K162),K162,J162)</f>
        <v>158369</v>
      </c>
      <c r="M162" s="21" t="str">
        <f aca="false">IF(L162=J162,"FERC Form 1","EIA-861")</f>
        <v>FERC Form 1</v>
      </c>
      <c r="N162" s="28" t="n">
        <f aca="false">E162+F162+G162</f>
        <v>29.015606</v>
      </c>
    </row>
    <row r="163" customFormat="false" ht="15" hidden="false" customHeight="false" outlineLevel="0" collapsed="false">
      <c r="A163" s="7" t="n">
        <v>2007</v>
      </c>
      <c r="B163" s="15" t="s">
        <v>112</v>
      </c>
      <c r="C163" s="15" t="s">
        <v>102</v>
      </c>
      <c r="D163" s="15" t="s">
        <v>107</v>
      </c>
      <c r="E163" s="19" t="n">
        <v>14.401114</v>
      </c>
      <c r="F163" s="19" t="n">
        <v>9.510333</v>
      </c>
      <c r="G163" s="19" t="n">
        <v>6.947685</v>
      </c>
      <c r="H163" s="19" t="n">
        <v>20.31776</v>
      </c>
      <c r="I163" s="19" t="n">
        <v>353.799149</v>
      </c>
      <c r="J163" s="27" t="n">
        <v>158987</v>
      </c>
      <c r="K163" s="27" t="n">
        <v>158987</v>
      </c>
      <c r="L163" s="9" t="n">
        <f aca="false">IF(AND(K163&lt;&gt;"",J163&lt;Assumptions!$B$3*K163),K163,J163)</f>
        <v>158987</v>
      </c>
      <c r="M163" s="21" t="str">
        <f aca="false">IF(L163=J163,"FERC Form 1","EIA-861")</f>
        <v>FERC Form 1</v>
      </c>
      <c r="N163" s="28" t="n">
        <f aca="false">E163+F163+G163</f>
        <v>30.859132</v>
      </c>
    </row>
    <row r="164" customFormat="false" ht="15" hidden="false" customHeight="false" outlineLevel="0" collapsed="false">
      <c r="A164" s="7" t="n">
        <v>2008</v>
      </c>
      <c r="B164" s="15" t="s">
        <v>112</v>
      </c>
      <c r="C164" s="15" t="s">
        <v>102</v>
      </c>
      <c r="D164" s="15" t="s">
        <v>107</v>
      </c>
      <c r="E164" s="19" t="n">
        <v>17.614376</v>
      </c>
      <c r="F164" s="19" t="n">
        <v>14.083897</v>
      </c>
      <c r="G164" s="19" t="n">
        <v>7.035039</v>
      </c>
      <c r="H164" s="19" t="n">
        <v>30.590305</v>
      </c>
      <c r="I164" s="19" t="n">
        <v>382.257799</v>
      </c>
      <c r="J164" s="27" t="n">
        <v>159346</v>
      </c>
      <c r="K164" s="27" t="n">
        <v>159346</v>
      </c>
      <c r="L164" s="9" t="n">
        <f aca="false">IF(AND(K164&lt;&gt;"",J164&lt;Assumptions!$B$3*K164),K164,J164)</f>
        <v>159346</v>
      </c>
      <c r="M164" s="21" t="str">
        <f aca="false">IF(L164=J164,"FERC Form 1","EIA-861")</f>
        <v>FERC Form 1</v>
      </c>
      <c r="N164" s="28" t="n">
        <f aca="false">E164+F164+G164</f>
        <v>38.733312</v>
      </c>
    </row>
    <row r="165" customFormat="false" ht="15" hidden="false" customHeight="false" outlineLevel="0" collapsed="false">
      <c r="A165" s="7" t="n">
        <v>2009</v>
      </c>
      <c r="B165" s="15" t="s">
        <v>112</v>
      </c>
      <c r="C165" s="15" t="s">
        <v>102</v>
      </c>
      <c r="D165" s="15" t="s">
        <v>107</v>
      </c>
      <c r="E165" s="19" t="n">
        <v>8.393165</v>
      </c>
      <c r="F165" s="19" t="n">
        <v>17.672757</v>
      </c>
      <c r="G165" s="19" t="n">
        <v>8.216305</v>
      </c>
      <c r="H165" s="19" t="n">
        <v>25.437635</v>
      </c>
      <c r="I165" s="19" t="n">
        <v>405.7395</v>
      </c>
      <c r="J165" s="27" t="n">
        <v>159558</v>
      </c>
      <c r="K165" s="27" t="n">
        <v>159558</v>
      </c>
      <c r="L165" s="9" t="n">
        <f aca="false">IF(AND(K165&lt;&gt;"",J165&lt;Assumptions!$B$3*K165),K165,J165)</f>
        <v>159558</v>
      </c>
      <c r="M165" s="21" t="str">
        <f aca="false">IF(L165=J165,"FERC Form 1","EIA-861")</f>
        <v>FERC Form 1</v>
      </c>
      <c r="N165" s="28" t="n">
        <f aca="false">E165+F165+G165</f>
        <v>34.282227</v>
      </c>
    </row>
    <row r="166" customFormat="false" ht="15" hidden="false" customHeight="false" outlineLevel="0" collapsed="false">
      <c r="A166" s="7" t="n">
        <v>2010</v>
      </c>
      <c r="B166" s="15" t="s">
        <v>112</v>
      </c>
      <c r="C166" s="15" t="s">
        <v>102</v>
      </c>
      <c r="D166" s="15" t="s">
        <v>107</v>
      </c>
      <c r="E166" s="19" t="n">
        <v>8.076725</v>
      </c>
      <c r="F166" s="19" t="n">
        <v>19.705197</v>
      </c>
      <c r="G166" s="19" t="n">
        <v>8.310658</v>
      </c>
      <c r="H166" s="19" t="n">
        <v>22.297959</v>
      </c>
      <c r="I166" s="19" t="n">
        <v>425.125856</v>
      </c>
      <c r="J166" s="27" t="n">
        <v>159886</v>
      </c>
      <c r="K166" s="27" t="n">
        <v>159886</v>
      </c>
      <c r="L166" s="9" t="n">
        <f aca="false">IF(AND(K166&lt;&gt;"",J166&lt;Assumptions!$B$3*K166),K166,J166)</f>
        <v>159886</v>
      </c>
      <c r="M166" s="21" t="str">
        <f aca="false">IF(L166=J166,"FERC Form 1","EIA-861")</f>
        <v>FERC Form 1</v>
      </c>
      <c r="N166" s="28" t="n">
        <f aca="false">E166+F166+G166</f>
        <v>36.09258</v>
      </c>
    </row>
    <row r="167" customFormat="false" ht="15" hidden="false" customHeight="false" outlineLevel="0" collapsed="false">
      <c r="A167" s="7" t="n">
        <v>2011</v>
      </c>
      <c r="B167" s="15" t="s">
        <v>112</v>
      </c>
      <c r="C167" s="15" t="s">
        <v>102</v>
      </c>
      <c r="D167" s="15" t="s">
        <v>107</v>
      </c>
      <c r="E167" s="19" t="n">
        <v>7.916894</v>
      </c>
      <c r="F167" s="19" t="n">
        <v>23.243362</v>
      </c>
      <c r="G167" s="19" t="n">
        <v>9.553776</v>
      </c>
      <c r="H167" s="19" t="n">
        <v>19.711283</v>
      </c>
      <c r="I167" s="19" t="n">
        <v>463.891696</v>
      </c>
      <c r="J167" s="27" t="n">
        <v>160250</v>
      </c>
      <c r="K167" s="27" t="n">
        <v>160250</v>
      </c>
      <c r="L167" s="9" t="n">
        <f aca="false">IF(AND(K167&lt;&gt;"",J167&lt;Assumptions!$B$3*K167),K167,J167)</f>
        <v>160250</v>
      </c>
      <c r="M167" s="21" t="str">
        <f aca="false">IF(L167=J167,"FERC Form 1","EIA-861")</f>
        <v>FERC Form 1</v>
      </c>
      <c r="N167" s="28" t="n">
        <f aca="false">E167+F167+G167</f>
        <v>40.714032</v>
      </c>
    </row>
    <row r="168" customFormat="false" ht="15" hidden="false" customHeight="false" outlineLevel="0" collapsed="false">
      <c r="A168" s="7" t="n">
        <v>2012</v>
      </c>
      <c r="B168" s="15" t="s">
        <v>112</v>
      </c>
      <c r="C168" s="15" t="s">
        <v>102</v>
      </c>
      <c r="D168" s="15" t="s">
        <v>107</v>
      </c>
      <c r="E168" s="19" t="n">
        <v>11.926235</v>
      </c>
      <c r="F168" s="19" t="n">
        <v>22.474686</v>
      </c>
      <c r="G168" s="19" t="n">
        <v>10.435015</v>
      </c>
      <c r="H168" s="19" t="n">
        <v>30.195916</v>
      </c>
      <c r="I168" s="19" t="n">
        <v>491.664439</v>
      </c>
      <c r="J168" s="27" t="n">
        <v>160725</v>
      </c>
      <c r="K168" s="27" t="n">
        <v>160725</v>
      </c>
      <c r="L168" s="9" t="n">
        <f aca="false">IF(AND(K168&lt;&gt;"",J168&lt;Assumptions!$B$3*K168),K168,J168)</f>
        <v>160725</v>
      </c>
      <c r="M168" s="21" t="str">
        <f aca="false">IF(L168=J168,"FERC Form 1","EIA-861")</f>
        <v>FERC Form 1</v>
      </c>
      <c r="N168" s="28" t="n">
        <f aca="false">E168+F168+G168</f>
        <v>44.835936</v>
      </c>
    </row>
    <row r="169" customFormat="false" ht="15" hidden="false" customHeight="false" outlineLevel="0" collapsed="false">
      <c r="A169" s="7" t="n">
        <v>2013</v>
      </c>
      <c r="B169" s="15" t="s">
        <v>112</v>
      </c>
      <c r="C169" s="15" t="s">
        <v>102</v>
      </c>
      <c r="D169" s="15" t="s">
        <v>107</v>
      </c>
      <c r="E169" s="19" t="n">
        <v>13.245162</v>
      </c>
      <c r="F169" s="19" t="n">
        <v>16.924061</v>
      </c>
      <c r="G169" s="19" t="n">
        <v>10.724648</v>
      </c>
      <c r="H169" s="19" t="n">
        <v>22.620302</v>
      </c>
      <c r="I169" s="19" t="n">
        <v>509.299739</v>
      </c>
      <c r="J169" s="27" t="n">
        <v>161415</v>
      </c>
      <c r="K169" s="27" t="n">
        <v>161415</v>
      </c>
      <c r="L169" s="9" t="n">
        <f aca="false">IF(AND(K169&lt;&gt;"",J169&lt;Assumptions!$B$3*K169),K169,J169)</f>
        <v>161415</v>
      </c>
      <c r="M169" s="21" t="str">
        <f aca="false">IF(L169=J169,"FERC Form 1","EIA-861")</f>
        <v>FERC Form 1</v>
      </c>
      <c r="N169" s="28" t="n">
        <f aca="false">E169+F169+G169</f>
        <v>40.893871</v>
      </c>
    </row>
    <row r="170" customFormat="false" ht="15" hidden="false" customHeight="false" outlineLevel="0" collapsed="false">
      <c r="A170" s="7" t="n">
        <v>2014</v>
      </c>
      <c r="B170" s="15" t="s">
        <v>112</v>
      </c>
      <c r="C170" s="15" t="s">
        <v>102</v>
      </c>
      <c r="D170" s="15" t="s">
        <v>107</v>
      </c>
      <c r="E170" s="19" t="n">
        <v>12.063012</v>
      </c>
      <c r="F170" s="19" t="n">
        <v>15.52638</v>
      </c>
      <c r="G170" s="19" t="n">
        <v>14.19975</v>
      </c>
      <c r="H170" s="19" t="n">
        <v>35.005174</v>
      </c>
      <c r="I170" s="19" t="n">
        <v>536.556441</v>
      </c>
      <c r="J170" s="27" t="n">
        <v>162163</v>
      </c>
      <c r="K170" s="27" t="n">
        <v>162163</v>
      </c>
      <c r="L170" s="9" t="n">
        <f aca="false">IF(AND(K170&lt;&gt;"",J170&lt;Assumptions!$B$3*K170),K170,J170)</f>
        <v>162163</v>
      </c>
      <c r="M170" s="21" t="str">
        <f aca="false">IF(L170=J170,"FERC Form 1","EIA-861")</f>
        <v>FERC Form 1</v>
      </c>
      <c r="N170" s="28" t="n">
        <f aca="false">E170+F170+G170</f>
        <v>41.789142</v>
      </c>
    </row>
    <row r="171" customFormat="false" ht="15" hidden="false" customHeight="false" outlineLevel="0" collapsed="false">
      <c r="A171" s="7" t="n">
        <v>2015</v>
      </c>
      <c r="B171" s="15" t="s">
        <v>112</v>
      </c>
      <c r="C171" s="15" t="s">
        <v>102</v>
      </c>
      <c r="D171" s="15" t="s">
        <v>107</v>
      </c>
      <c r="E171" s="19" t="n">
        <v>12.443251</v>
      </c>
      <c r="F171" s="19" t="n">
        <v>16.195487</v>
      </c>
      <c r="G171" s="19" t="n">
        <v>15.726622</v>
      </c>
      <c r="H171" s="19" t="n">
        <v>53.075755</v>
      </c>
      <c r="I171" s="19" t="n">
        <v>564.91517</v>
      </c>
      <c r="J171" s="27" t="n">
        <v>163171</v>
      </c>
      <c r="K171" s="27" t="n">
        <v>163171</v>
      </c>
      <c r="L171" s="9" t="n">
        <f aca="false">IF(AND(K171&lt;&gt;"",J171&lt;Assumptions!$B$3*K171),K171,J171)</f>
        <v>163171</v>
      </c>
      <c r="M171" s="21" t="str">
        <f aca="false">IF(L171=J171,"FERC Form 1","EIA-861")</f>
        <v>FERC Form 1</v>
      </c>
      <c r="N171" s="28" t="n">
        <f aca="false">E171+F171+G171</f>
        <v>44.36536</v>
      </c>
    </row>
    <row r="172" customFormat="false" ht="15" hidden="false" customHeight="false" outlineLevel="0" collapsed="false">
      <c r="A172" s="7" t="n">
        <v>2016</v>
      </c>
      <c r="B172" s="15" t="s">
        <v>112</v>
      </c>
      <c r="C172" s="15" t="s">
        <v>102</v>
      </c>
      <c r="D172" s="15" t="s">
        <v>107</v>
      </c>
      <c r="E172" s="19" t="n">
        <v>12.05272</v>
      </c>
      <c r="F172" s="19" t="n">
        <v>16.427935</v>
      </c>
      <c r="G172" s="19" t="n">
        <v>13.175359</v>
      </c>
      <c r="H172" s="19" t="n">
        <v>48.083371</v>
      </c>
      <c r="I172" s="19" t="n">
        <v>603.71347</v>
      </c>
      <c r="J172" s="27" t="n">
        <v>164285</v>
      </c>
      <c r="K172" s="27" t="n">
        <v>164285</v>
      </c>
      <c r="L172" s="9" t="n">
        <f aca="false">IF(AND(K172&lt;&gt;"",J172&lt;Assumptions!$B$3*K172),K172,J172)</f>
        <v>164285</v>
      </c>
      <c r="M172" s="21" t="str">
        <f aca="false">IF(L172=J172,"FERC Form 1","EIA-861")</f>
        <v>FERC Form 1</v>
      </c>
      <c r="N172" s="28" t="n">
        <f aca="false">E172+F172+G172</f>
        <v>41.656014</v>
      </c>
    </row>
    <row r="173" customFormat="false" ht="15" hidden="false" customHeight="false" outlineLevel="0" collapsed="false">
      <c r="A173" s="7" t="n">
        <v>2017</v>
      </c>
      <c r="B173" s="15" t="s">
        <v>112</v>
      </c>
      <c r="C173" s="15" t="s">
        <v>102</v>
      </c>
      <c r="D173" s="15" t="s">
        <v>107</v>
      </c>
      <c r="E173" s="19" t="n">
        <v>16.137267</v>
      </c>
      <c r="F173" s="19" t="n">
        <v>16.417886</v>
      </c>
      <c r="G173" s="19" t="n">
        <v>15.517285</v>
      </c>
      <c r="H173" s="19" t="n">
        <v>49.940418</v>
      </c>
      <c r="I173" s="19" t="n">
        <v>652.482291</v>
      </c>
      <c r="J173" s="27" t="n">
        <v>165130</v>
      </c>
      <c r="K173" s="27" t="n">
        <v>165130</v>
      </c>
      <c r="L173" s="9" t="n">
        <f aca="false">IF(AND(K173&lt;&gt;"",J173&lt;Assumptions!$B$3*K173),K173,J173)</f>
        <v>165130</v>
      </c>
      <c r="M173" s="21" t="str">
        <f aca="false">IF(L173=J173,"FERC Form 1","EIA-861")</f>
        <v>FERC Form 1</v>
      </c>
      <c r="N173" s="28" t="n">
        <f aca="false">E173+F173+G173</f>
        <v>48.072438</v>
      </c>
    </row>
    <row r="174" customFormat="false" ht="15" hidden="false" customHeight="false" outlineLevel="0" collapsed="false">
      <c r="A174" s="7" t="n">
        <v>2018</v>
      </c>
      <c r="B174" s="15" t="s">
        <v>112</v>
      </c>
      <c r="C174" s="15" t="s">
        <v>102</v>
      </c>
      <c r="D174" s="15" t="s">
        <v>107</v>
      </c>
      <c r="E174" s="19" t="n">
        <v>20.721782</v>
      </c>
      <c r="F174" s="19" t="n">
        <v>17.732017</v>
      </c>
      <c r="G174" s="19" t="n">
        <v>17.561649</v>
      </c>
      <c r="H174" s="19" t="n">
        <v>42.195086</v>
      </c>
      <c r="I174" s="19" t="n">
        <v>691.019252</v>
      </c>
      <c r="J174" s="27" t="n">
        <v>166182</v>
      </c>
      <c r="K174" s="27" t="n">
        <v>166182</v>
      </c>
      <c r="L174" s="9" t="n">
        <f aca="false">IF(AND(K174&lt;&gt;"",J174&lt;Assumptions!$B$3*K174),K174,J174)</f>
        <v>166182</v>
      </c>
      <c r="M174" s="21" t="str">
        <f aca="false">IF(L174=J174,"FERC Form 1","EIA-861")</f>
        <v>FERC Form 1</v>
      </c>
      <c r="N174" s="28" t="n">
        <f aca="false">E174+F174+G174</f>
        <v>56.015448</v>
      </c>
    </row>
    <row r="175" customFormat="false" ht="15" hidden="false" customHeight="false" outlineLevel="0" collapsed="false">
      <c r="A175" s="7" t="n">
        <v>2019</v>
      </c>
      <c r="B175" s="15" t="s">
        <v>112</v>
      </c>
      <c r="C175" s="15" t="s">
        <v>102</v>
      </c>
      <c r="D175" s="15" t="s">
        <v>107</v>
      </c>
      <c r="E175" s="19" t="n">
        <v>18.105381</v>
      </c>
      <c r="F175" s="19" t="n">
        <v>17.737749</v>
      </c>
      <c r="G175" s="19" t="n">
        <v>18.137494</v>
      </c>
      <c r="H175" s="19" t="n">
        <v>44.395405</v>
      </c>
      <c r="I175" s="19" t="n">
        <v>728.456043</v>
      </c>
      <c r="J175" s="27" t="n">
        <v>167058</v>
      </c>
      <c r="K175" s="27" t="n">
        <v>167058</v>
      </c>
      <c r="L175" s="9" t="n">
        <f aca="false">IF(AND(K175&lt;&gt;"",J175&lt;Assumptions!$B$3*K175),K175,J175)</f>
        <v>167058</v>
      </c>
      <c r="M175" s="21" t="str">
        <f aca="false">IF(L175=J175,"FERC Form 1","EIA-861")</f>
        <v>FERC Form 1</v>
      </c>
      <c r="N175" s="28" t="n">
        <f aca="false">E175+F175+G175</f>
        <v>53.980624</v>
      </c>
    </row>
    <row r="176" customFormat="false" ht="15" hidden="false" customHeight="false" outlineLevel="0" collapsed="false">
      <c r="A176" s="7" t="n">
        <v>2020</v>
      </c>
      <c r="B176" s="15" t="s">
        <v>112</v>
      </c>
      <c r="C176" s="15" t="s">
        <v>102</v>
      </c>
      <c r="D176" s="15" t="s">
        <v>107</v>
      </c>
      <c r="E176" s="19" t="n">
        <v>20.009234</v>
      </c>
      <c r="F176" s="19" t="n">
        <v>18.759017</v>
      </c>
      <c r="G176" s="19" t="n">
        <v>19.960257</v>
      </c>
      <c r="H176" s="19" t="n">
        <v>38.802763</v>
      </c>
      <c r="I176" s="19" t="n">
        <v>761.029755</v>
      </c>
      <c r="J176" s="27" t="n">
        <v>168117</v>
      </c>
      <c r="K176" s="27" t="n">
        <v>168118</v>
      </c>
      <c r="L176" s="9" t="n">
        <f aca="false">IF(AND(K176&lt;&gt;"",J176&lt;Assumptions!$B$3*K176),K176,J176)</f>
        <v>168117</v>
      </c>
      <c r="M176" s="21" t="str">
        <f aca="false">IF(L176=J176,"FERC Form 1","EIA-861")</f>
        <v>FERC Form 1</v>
      </c>
      <c r="N176" s="28" t="n">
        <f aca="false">E176+F176+G176</f>
        <v>58.728508</v>
      </c>
    </row>
    <row r="177" customFormat="false" ht="15" hidden="false" customHeight="false" outlineLevel="0" collapsed="false">
      <c r="A177" s="7" t="n">
        <v>2021</v>
      </c>
      <c r="B177" s="15" t="s">
        <v>112</v>
      </c>
      <c r="C177" s="15" t="s">
        <v>102</v>
      </c>
      <c r="D177" s="15" t="s">
        <v>107</v>
      </c>
      <c r="E177" s="19" t="n">
        <v>18.214679</v>
      </c>
      <c r="F177" s="19" t="n">
        <v>16.925656</v>
      </c>
      <c r="G177" s="19" t="n">
        <v>21.453556</v>
      </c>
      <c r="H177" s="19" t="n">
        <v>42.832543</v>
      </c>
      <c r="I177" s="19" t="n">
        <v>798.746551</v>
      </c>
      <c r="J177" s="27" t="n">
        <v>169371</v>
      </c>
      <c r="K177" s="27" t="n">
        <v>169371</v>
      </c>
      <c r="L177" s="9" t="n">
        <f aca="false">IF(AND(K177&lt;&gt;"",J177&lt;Assumptions!$B$3*K177),K177,J177)</f>
        <v>169371</v>
      </c>
      <c r="M177" s="21" t="str">
        <f aca="false">IF(L177=J177,"FERC Form 1","EIA-861")</f>
        <v>FERC Form 1</v>
      </c>
      <c r="N177" s="28" t="n">
        <f aca="false">E177+F177+G177</f>
        <v>56.593891</v>
      </c>
    </row>
    <row r="178" customFormat="false" ht="15" hidden="false" customHeight="false" outlineLevel="0" collapsed="false">
      <c r="A178" s="7" t="n">
        <v>2022</v>
      </c>
      <c r="B178" s="15" t="s">
        <v>112</v>
      </c>
      <c r="C178" s="15" t="s">
        <v>102</v>
      </c>
      <c r="D178" s="15" t="s">
        <v>107</v>
      </c>
      <c r="E178" s="19" t="n">
        <v>29.547644</v>
      </c>
      <c r="F178" s="19" t="n">
        <v>22.078376</v>
      </c>
      <c r="G178" s="19" t="n">
        <v>22.977471</v>
      </c>
      <c r="H178" s="19" t="n">
        <v>32.118362</v>
      </c>
      <c r="I178" s="19" t="n">
        <v>816.50869</v>
      </c>
      <c r="J178" s="27" t="n">
        <v>170274</v>
      </c>
      <c r="K178" s="27" t="n">
        <v>170274</v>
      </c>
      <c r="L178" s="9" t="n">
        <f aca="false">IF(AND(K178&lt;&gt;"",J178&lt;Assumptions!$B$3*K178),K178,J178)</f>
        <v>170274</v>
      </c>
      <c r="M178" s="21" t="str">
        <f aca="false">IF(L178=J178,"FERC Form 1","EIA-861")</f>
        <v>FERC Form 1</v>
      </c>
      <c r="N178" s="28" t="n">
        <f aca="false">E178+F178+G178</f>
        <v>74.603491</v>
      </c>
    </row>
    <row r="179" customFormat="false" ht="15" hidden="false" customHeight="false" outlineLevel="0" collapsed="false">
      <c r="A179" s="7" t="n">
        <v>2023</v>
      </c>
      <c r="B179" s="15" t="s">
        <v>112</v>
      </c>
      <c r="C179" s="15" t="s">
        <v>102</v>
      </c>
      <c r="D179" s="15" t="s">
        <v>107</v>
      </c>
      <c r="E179" s="19" t="n">
        <v>34.593793</v>
      </c>
      <c r="F179" s="19" t="n">
        <v>20.102926</v>
      </c>
      <c r="G179" s="19" t="n">
        <v>23.303966</v>
      </c>
      <c r="H179" s="19" t="n">
        <v>35.377522</v>
      </c>
      <c r="I179" s="19" t="n">
        <v>846.446773</v>
      </c>
      <c r="J179" s="27" t="n">
        <v>171046</v>
      </c>
      <c r="K179" s="27" t="n">
        <v>171046</v>
      </c>
      <c r="L179" s="9" t="n">
        <f aca="false">IF(AND(K179&lt;&gt;"",J179&lt;Assumptions!$B$3*K179),K179,J179)</f>
        <v>171046</v>
      </c>
      <c r="M179" s="21" t="str">
        <f aca="false">IF(L179=J179,"FERC Form 1","EIA-861")</f>
        <v>FERC Form 1</v>
      </c>
      <c r="N179" s="28" t="n">
        <f aca="false">E179+F179+G179</f>
        <v>78.000685</v>
      </c>
    </row>
    <row r="180" customFormat="false" ht="15" hidden="false" customHeight="false" outlineLevel="0" collapsed="false">
      <c r="A180" s="7" t="n">
        <v>2000</v>
      </c>
      <c r="B180" s="15" t="s">
        <v>113</v>
      </c>
      <c r="C180" s="15" t="s">
        <v>102</v>
      </c>
      <c r="D180" s="15" t="s">
        <v>114</v>
      </c>
      <c r="E180" s="19" t="n">
        <v>26.348026</v>
      </c>
      <c r="F180" s="19" t="n">
        <v>17.321462</v>
      </c>
      <c r="G180" s="19" t="n">
        <v>26.221384</v>
      </c>
      <c r="H180" s="19" t="n">
        <v>53.9817</v>
      </c>
      <c r="I180" s="19" t="n">
        <v>983.721894</v>
      </c>
      <c r="J180" s="27" t="n">
        <v>402621</v>
      </c>
      <c r="K180" s="27"/>
      <c r="L180" s="9" t="n">
        <f aca="false">IF(AND(K180&lt;&gt;"",J180&lt;Assumptions!$B$3*K180),K180,J180)</f>
        <v>402621</v>
      </c>
      <c r="M180" s="21" t="str">
        <f aca="false">IF(L180=J180,"FERC Form 1","EIA-861")</f>
        <v>FERC Form 1</v>
      </c>
      <c r="N180" s="28" t="n">
        <f aca="false">E180+F180+G180</f>
        <v>69.890872</v>
      </c>
    </row>
    <row r="181" customFormat="false" ht="15" hidden="false" customHeight="false" outlineLevel="0" collapsed="false">
      <c r="A181" s="7" t="n">
        <v>2001</v>
      </c>
      <c r="B181" s="15" t="s">
        <v>113</v>
      </c>
      <c r="C181" s="15" t="s">
        <v>102</v>
      </c>
      <c r="D181" s="15" t="s">
        <v>114</v>
      </c>
      <c r="E181" s="19" t="n">
        <v>30.441526</v>
      </c>
      <c r="F181" s="19" t="n">
        <v>15.475389</v>
      </c>
      <c r="G181" s="19" t="n">
        <v>27.217435</v>
      </c>
      <c r="H181" s="19" t="n">
        <v>44.942602</v>
      </c>
      <c r="I181" s="19" t="n">
        <v>1024.842055</v>
      </c>
      <c r="J181" s="27" t="n">
        <v>411490</v>
      </c>
      <c r="K181" s="27" t="n">
        <v>411490</v>
      </c>
      <c r="L181" s="9" t="n">
        <f aca="false">IF(AND(K181&lt;&gt;"",J181&lt;Assumptions!$B$3*K181),K181,J181)</f>
        <v>411490</v>
      </c>
      <c r="M181" s="21" t="str">
        <f aca="false">IF(L181=J181,"FERC Form 1","EIA-861")</f>
        <v>FERC Form 1</v>
      </c>
      <c r="N181" s="28" t="n">
        <f aca="false">E181+F181+G181</f>
        <v>73.13435</v>
      </c>
    </row>
    <row r="182" customFormat="false" ht="15" hidden="false" customHeight="false" outlineLevel="0" collapsed="false">
      <c r="A182" s="7" t="n">
        <v>2002</v>
      </c>
      <c r="B182" s="15" t="s">
        <v>113</v>
      </c>
      <c r="C182" s="15" t="s">
        <v>102</v>
      </c>
      <c r="D182" s="15" t="s">
        <v>114</v>
      </c>
      <c r="E182" s="19" t="n">
        <v>33.068248</v>
      </c>
      <c r="F182" s="19" t="n">
        <v>12.314583</v>
      </c>
      <c r="G182" s="19" t="n">
        <v>28.296937</v>
      </c>
      <c r="H182" s="19" t="n">
        <v>46.825865</v>
      </c>
      <c r="I182" s="19" t="n">
        <v>1063.034041</v>
      </c>
      <c r="J182" s="27" t="n">
        <v>422950</v>
      </c>
      <c r="K182" s="27" t="n">
        <v>422951</v>
      </c>
      <c r="L182" s="9" t="n">
        <f aca="false">IF(AND(K182&lt;&gt;"",J182&lt;Assumptions!$B$3*K182),K182,J182)</f>
        <v>422950</v>
      </c>
      <c r="M182" s="21" t="str">
        <f aca="false">IF(L182=J182,"FERC Form 1","EIA-861")</f>
        <v>FERC Form 1</v>
      </c>
      <c r="N182" s="28" t="n">
        <f aca="false">E182+F182+G182</f>
        <v>73.679768</v>
      </c>
    </row>
    <row r="183" customFormat="false" ht="15" hidden="false" customHeight="false" outlineLevel="0" collapsed="false">
      <c r="A183" s="7" t="n">
        <v>2003</v>
      </c>
      <c r="B183" s="15" t="s">
        <v>113</v>
      </c>
      <c r="C183" s="15" t="s">
        <v>102</v>
      </c>
      <c r="D183" s="15" t="s">
        <v>114</v>
      </c>
      <c r="E183" s="19" t="n">
        <v>36.451307</v>
      </c>
      <c r="F183" s="19" t="n">
        <v>13.186859</v>
      </c>
      <c r="G183" s="19" t="n">
        <v>29.26846</v>
      </c>
      <c r="H183" s="19" t="n">
        <v>41.199246</v>
      </c>
      <c r="I183" s="19" t="n">
        <v>1100.894393</v>
      </c>
      <c r="J183" s="27" t="n">
        <v>432160</v>
      </c>
      <c r="K183" s="27" t="n">
        <v>432160</v>
      </c>
      <c r="L183" s="9" t="n">
        <f aca="false">IF(AND(K183&lt;&gt;"",J183&lt;Assumptions!$B$3*K183),K183,J183)</f>
        <v>432160</v>
      </c>
      <c r="M183" s="21" t="str">
        <f aca="false">IF(L183=J183,"FERC Form 1","EIA-861")</f>
        <v>FERC Form 1</v>
      </c>
      <c r="N183" s="28" t="n">
        <f aca="false">E183+F183+G183</f>
        <v>78.906626</v>
      </c>
    </row>
    <row r="184" customFormat="false" ht="15" hidden="false" customHeight="false" outlineLevel="0" collapsed="false">
      <c r="A184" s="7" t="n">
        <v>2004</v>
      </c>
      <c r="B184" s="15" t="s">
        <v>113</v>
      </c>
      <c r="C184" s="15" t="s">
        <v>102</v>
      </c>
      <c r="D184" s="15" t="s">
        <v>114</v>
      </c>
      <c r="E184" s="19" t="n">
        <v>32.129062</v>
      </c>
      <c r="F184" s="19" t="n">
        <v>13.12591</v>
      </c>
      <c r="G184" s="19" t="n">
        <v>30.656425</v>
      </c>
      <c r="H184" s="19" t="n">
        <v>64.869434</v>
      </c>
      <c r="I184" s="19" t="n">
        <v>1160.306812</v>
      </c>
      <c r="J184" s="27" t="n">
        <v>441700</v>
      </c>
      <c r="K184" s="27" t="n">
        <v>441700</v>
      </c>
      <c r="L184" s="9" t="n">
        <f aca="false">IF(AND(K184&lt;&gt;"",J184&lt;Assumptions!$B$3*K184),K184,J184)</f>
        <v>441700</v>
      </c>
      <c r="M184" s="21" t="str">
        <f aca="false">IF(L184=J184,"FERC Form 1","EIA-861")</f>
        <v>FERC Form 1</v>
      </c>
      <c r="N184" s="28" t="n">
        <f aca="false">E184+F184+G184</f>
        <v>75.911397</v>
      </c>
    </row>
    <row r="185" customFormat="false" ht="15" hidden="false" customHeight="false" outlineLevel="0" collapsed="false">
      <c r="A185" s="7" t="n">
        <v>2005</v>
      </c>
      <c r="B185" s="15" t="s">
        <v>113</v>
      </c>
      <c r="C185" s="15" t="s">
        <v>102</v>
      </c>
      <c r="D185" s="15" t="s">
        <v>114</v>
      </c>
      <c r="E185" s="19" t="n">
        <v>35.375165</v>
      </c>
      <c r="F185" s="19" t="n">
        <v>11.866744</v>
      </c>
      <c r="G185" s="19" t="n">
        <v>32.033727</v>
      </c>
      <c r="H185" s="19" t="n">
        <v>59.197215</v>
      </c>
      <c r="I185" s="19" t="n">
        <v>1214.944311</v>
      </c>
      <c r="J185" s="27" t="n">
        <v>454381</v>
      </c>
      <c r="K185" s="27" t="n">
        <v>454381</v>
      </c>
      <c r="L185" s="9" t="n">
        <f aca="false">IF(AND(K185&lt;&gt;"",J185&lt;Assumptions!$B$3*K185),K185,J185)</f>
        <v>454381</v>
      </c>
      <c r="M185" s="21" t="str">
        <f aca="false">IF(L185=J185,"FERC Form 1","EIA-861")</f>
        <v>FERC Form 1</v>
      </c>
      <c r="N185" s="28" t="n">
        <f aca="false">E185+F185+G185</f>
        <v>79.275636</v>
      </c>
    </row>
    <row r="186" customFormat="false" ht="15" hidden="false" customHeight="false" outlineLevel="0" collapsed="false">
      <c r="A186" s="7" t="n">
        <v>2006</v>
      </c>
      <c r="B186" s="15" t="s">
        <v>113</v>
      </c>
      <c r="C186" s="15" t="s">
        <v>102</v>
      </c>
      <c r="D186" s="15" t="s">
        <v>114</v>
      </c>
      <c r="E186" s="19" t="n">
        <v>37.388557</v>
      </c>
      <c r="F186" s="19" t="n">
        <v>12.263049</v>
      </c>
      <c r="G186" s="19" t="n">
        <v>33.585566</v>
      </c>
      <c r="H186" s="19" t="n">
        <v>71.694416</v>
      </c>
      <c r="I186" s="19" t="n">
        <v>1280.712372</v>
      </c>
      <c r="J186" s="27" t="n">
        <v>466605</v>
      </c>
      <c r="K186" s="27" t="n">
        <v>466605</v>
      </c>
      <c r="L186" s="9" t="n">
        <f aca="false">IF(AND(K186&lt;&gt;"",J186&lt;Assumptions!$B$3*K186),K186,J186)</f>
        <v>466605</v>
      </c>
      <c r="M186" s="21" t="str">
        <f aca="false">IF(L186=J186,"FERC Form 1","EIA-861")</f>
        <v>FERC Form 1</v>
      </c>
      <c r="N186" s="28" t="n">
        <f aca="false">E186+F186+G186</f>
        <v>83.237172</v>
      </c>
    </row>
    <row r="187" customFormat="false" ht="15" hidden="false" customHeight="false" outlineLevel="0" collapsed="false">
      <c r="A187" s="7" t="n">
        <v>2007</v>
      </c>
      <c r="B187" s="15" t="s">
        <v>113</v>
      </c>
      <c r="C187" s="15" t="s">
        <v>102</v>
      </c>
      <c r="D187" s="15" t="s">
        <v>114</v>
      </c>
      <c r="E187" s="19" t="n">
        <v>35.974596</v>
      </c>
      <c r="F187" s="19" t="n">
        <v>13.271674</v>
      </c>
      <c r="G187" s="19" t="n">
        <v>36.839057</v>
      </c>
      <c r="H187" s="19" t="n">
        <v>71.666761</v>
      </c>
      <c r="I187" s="19" t="n">
        <v>1348.950713</v>
      </c>
      <c r="J187" s="27" t="n">
        <v>475026</v>
      </c>
      <c r="K187" s="27" t="n">
        <v>475026</v>
      </c>
      <c r="L187" s="9" t="n">
        <f aca="false">IF(AND(K187&lt;&gt;"",J187&lt;Assumptions!$B$3*K187),K187,J187)</f>
        <v>475026</v>
      </c>
      <c r="M187" s="21" t="str">
        <f aca="false">IF(L187=J187,"FERC Form 1","EIA-861")</f>
        <v>FERC Form 1</v>
      </c>
      <c r="N187" s="28" t="n">
        <f aca="false">E187+F187+G187</f>
        <v>86.085327</v>
      </c>
    </row>
    <row r="188" customFormat="false" ht="15" hidden="false" customHeight="false" outlineLevel="0" collapsed="false">
      <c r="A188" s="7" t="n">
        <v>2008</v>
      </c>
      <c r="B188" s="15" t="s">
        <v>113</v>
      </c>
      <c r="C188" s="15" t="s">
        <v>102</v>
      </c>
      <c r="D188" s="15" t="s">
        <v>114</v>
      </c>
      <c r="E188" s="19" t="n">
        <v>36.737699</v>
      </c>
      <c r="F188" s="19" t="n">
        <v>15.249407</v>
      </c>
      <c r="G188" s="19" t="n">
        <v>39.973694</v>
      </c>
      <c r="H188" s="19" t="n">
        <v>90.214215</v>
      </c>
      <c r="I188" s="19" t="n">
        <v>1432.579439</v>
      </c>
      <c r="J188" s="27" t="n">
        <v>480214</v>
      </c>
      <c r="K188" s="27" t="n">
        <v>480213</v>
      </c>
      <c r="L188" s="9" t="n">
        <f aca="false">IF(AND(K188&lt;&gt;"",J188&lt;Assumptions!$B$3*K188),K188,J188)</f>
        <v>480214</v>
      </c>
      <c r="M188" s="21" t="str">
        <f aca="false">IF(L188=J188,"FERC Form 1","EIA-861")</f>
        <v>FERC Form 1</v>
      </c>
      <c r="N188" s="28" t="n">
        <f aca="false">E188+F188+G188</f>
        <v>91.9608</v>
      </c>
    </row>
    <row r="189" customFormat="false" ht="15" hidden="false" customHeight="false" outlineLevel="0" collapsed="false">
      <c r="A189" s="7" t="n">
        <v>2009</v>
      </c>
      <c r="B189" s="15" t="s">
        <v>113</v>
      </c>
      <c r="C189" s="15" t="s">
        <v>102</v>
      </c>
      <c r="D189" s="15" t="s">
        <v>114</v>
      </c>
      <c r="E189" s="19" t="n">
        <v>34.514618</v>
      </c>
      <c r="F189" s="19" t="n">
        <v>20.047335</v>
      </c>
      <c r="G189" s="19" t="n">
        <v>42.074315</v>
      </c>
      <c r="H189" s="19" t="n">
        <v>59.782938</v>
      </c>
      <c r="I189" s="19" t="n">
        <v>1489.477429</v>
      </c>
      <c r="J189" s="27" t="n">
        <v>483411</v>
      </c>
      <c r="K189" s="27" t="n">
        <v>483411</v>
      </c>
      <c r="L189" s="9" t="n">
        <f aca="false">IF(AND(K189&lt;&gt;"",J189&lt;Assumptions!$B$3*K189),K189,J189)</f>
        <v>483411</v>
      </c>
      <c r="M189" s="21" t="str">
        <f aca="false">IF(L189=J189,"FERC Form 1","EIA-861")</f>
        <v>FERC Form 1</v>
      </c>
      <c r="N189" s="28" t="n">
        <f aca="false">E189+F189+G189</f>
        <v>96.636268</v>
      </c>
    </row>
    <row r="190" customFormat="false" ht="15" hidden="false" customHeight="false" outlineLevel="0" collapsed="false">
      <c r="A190" s="7" t="n">
        <v>2010</v>
      </c>
      <c r="B190" s="15" t="s">
        <v>113</v>
      </c>
      <c r="C190" s="15" t="s">
        <v>102</v>
      </c>
      <c r="D190" s="15" t="s">
        <v>114</v>
      </c>
      <c r="E190" s="19" t="n">
        <v>30.571502</v>
      </c>
      <c r="F190" s="19" t="n">
        <v>20.404822</v>
      </c>
      <c r="G190" s="19" t="n">
        <v>37.406217</v>
      </c>
      <c r="H190" s="19" t="n">
        <v>65.520189</v>
      </c>
      <c r="I190" s="19" t="n">
        <v>1209.392444</v>
      </c>
      <c r="J190" s="27" t="n">
        <v>424654</v>
      </c>
      <c r="K190" s="27" t="n">
        <v>481919</v>
      </c>
      <c r="L190" s="9" t="n">
        <f aca="false">IF(AND(K190&lt;&gt;"",J190&lt;Assumptions!$B$3*K190),K190,J190)</f>
        <v>481919</v>
      </c>
      <c r="M190" s="21" t="str">
        <f aca="false">IF(L190=J190,"FERC Form 1","EIA-861")</f>
        <v>EIA-861</v>
      </c>
      <c r="N190" s="28" t="n">
        <f aca="false">E190+F190+G190</f>
        <v>88.382541</v>
      </c>
    </row>
    <row r="191" customFormat="false" ht="15" hidden="false" customHeight="false" outlineLevel="0" collapsed="false">
      <c r="A191" s="7" t="n">
        <v>2011</v>
      </c>
      <c r="B191" s="15" t="s">
        <v>113</v>
      </c>
      <c r="C191" s="15" t="s">
        <v>102</v>
      </c>
      <c r="D191" s="15" t="s">
        <v>114</v>
      </c>
      <c r="E191" s="19" t="n">
        <v>25.214835</v>
      </c>
      <c r="F191" s="19" t="n">
        <v>23.008038</v>
      </c>
      <c r="G191" s="19" t="n">
        <v>34.691196</v>
      </c>
      <c r="H191" s="19" t="n">
        <v>56.809243</v>
      </c>
      <c r="I191" s="19" t="n">
        <v>1262.686769</v>
      </c>
      <c r="J191" s="27" t="n">
        <v>388814</v>
      </c>
      <c r="K191" s="27" t="n">
        <v>388814</v>
      </c>
      <c r="L191" s="9" t="n">
        <f aca="false">IF(AND(K191&lt;&gt;"",J191&lt;Assumptions!$B$3*K191),K191,J191)</f>
        <v>388814</v>
      </c>
      <c r="M191" s="21" t="str">
        <f aca="false">IF(L191=J191,"FERC Form 1","EIA-861")</f>
        <v>FERC Form 1</v>
      </c>
      <c r="N191" s="28" t="n">
        <f aca="false">E191+F191+G191</f>
        <v>82.914069</v>
      </c>
    </row>
    <row r="192" customFormat="false" ht="15" hidden="false" customHeight="false" outlineLevel="0" collapsed="false">
      <c r="A192" s="7" t="n">
        <v>2012</v>
      </c>
      <c r="B192" s="15" t="s">
        <v>113</v>
      </c>
      <c r="C192" s="15" t="s">
        <v>102</v>
      </c>
      <c r="D192" s="15" t="s">
        <v>114</v>
      </c>
      <c r="E192" s="19" t="n">
        <v>22.143937</v>
      </c>
      <c r="F192" s="19" t="n">
        <v>19.419613</v>
      </c>
      <c r="G192" s="19" t="n">
        <v>36.321631</v>
      </c>
      <c r="H192" s="19" t="n">
        <v>89.48112</v>
      </c>
      <c r="I192" s="19" t="n">
        <v>1348.483511</v>
      </c>
      <c r="J192" s="27" t="n">
        <v>389184</v>
      </c>
      <c r="K192" s="27" t="n">
        <v>389184</v>
      </c>
      <c r="L192" s="9" t="n">
        <f aca="false">IF(AND(K192&lt;&gt;"",J192&lt;Assumptions!$B$3*K192),K192,J192)</f>
        <v>389184</v>
      </c>
      <c r="M192" s="21" t="str">
        <f aca="false">IF(L192=J192,"FERC Form 1","EIA-861")</f>
        <v>FERC Form 1</v>
      </c>
      <c r="N192" s="28" t="n">
        <f aca="false">E192+F192+G192</f>
        <v>77.885181</v>
      </c>
    </row>
    <row r="193" customFormat="false" ht="15" hidden="false" customHeight="false" outlineLevel="0" collapsed="false">
      <c r="A193" s="7" t="n">
        <v>2013</v>
      </c>
      <c r="B193" s="15" t="s">
        <v>113</v>
      </c>
      <c r="C193" s="15" t="s">
        <v>102</v>
      </c>
      <c r="D193" s="15" t="s">
        <v>114</v>
      </c>
      <c r="E193" s="19" t="n">
        <v>26.134618</v>
      </c>
      <c r="F193" s="19" t="n">
        <v>27.711798</v>
      </c>
      <c r="G193" s="19" t="n">
        <v>38.352672</v>
      </c>
      <c r="H193" s="19" t="n">
        <v>71.187053</v>
      </c>
      <c r="I193" s="19" t="n">
        <v>1407.683838</v>
      </c>
      <c r="J193" s="27" t="n">
        <v>391473</v>
      </c>
      <c r="K193" s="27" t="n">
        <v>391473</v>
      </c>
      <c r="L193" s="9" t="n">
        <f aca="false">IF(AND(K193&lt;&gt;"",J193&lt;Assumptions!$B$3*K193),K193,J193)</f>
        <v>391473</v>
      </c>
      <c r="M193" s="21" t="str">
        <f aca="false">IF(L193=J193,"FERC Form 1","EIA-861")</f>
        <v>FERC Form 1</v>
      </c>
      <c r="N193" s="28" t="n">
        <f aca="false">E193+F193+G193</f>
        <v>92.199088</v>
      </c>
    </row>
    <row r="194" customFormat="false" ht="15" hidden="false" customHeight="false" outlineLevel="0" collapsed="false">
      <c r="A194" s="7" t="n">
        <v>2014</v>
      </c>
      <c r="B194" s="15" t="s">
        <v>113</v>
      </c>
      <c r="C194" s="15" t="s">
        <v>102</v>
      </c>
      <c r="D194" s="15" t="s">
        <v>114</v>
      </c>
      <c r="E194" s="19" t="n">
        <v>42.663589</v>
      </c>
      <c r="F194" s="19" t="n">
        <v>35.685258</v>
      </c>
      <c r="G194" s="19" t="n">
        <v>39.922511</v>
      </c>
      <c r="H194" s="19" t="n">
        <v>60.676191</v>
      </c>
      <c r="I194" s="19" t="n">
        <v>1468.749159</v>
      </c>
      <c r="J194" s="27" t="n">
        <v>394680</v>
      </c>
      <c r="K194" s="27" t="n">
        <v>394680</v>
      </c>
      <c r="L194" s="9" t="n">
        <f aca="false">IF(AND(K194&lt;&gt;"",J194&lt;Assumptions!$B$3*K194),K194,J194)</f>
        <v>394680</v>
      </c>
      <c r="M194" s="21" t="str">
        <f aca="false">IF(L194=J194,"FERC Form 1","EIA-861")</f>
        <v>FERC Form 1</v>
      </c>
      <c r="N194" s="28" t="n">
        <f aca="false">E194+F194+G194</f>
        <v>118.271358</v>
      </c>
    </row>
    <row r="195" customFormat="false" ht="15" hidden="false" customHeight="false" outlineLevel="0" collapsed="false">
      <c r="A195" s="7" t="n">
        <v>2015</v>
      </c>
      <c r="B195" s="15" t="s">
        <v>113</v>
      </c>
      <c r="C195" s="15" t="s">
        <v>102</v>
      </c>
      <c r="D195" s="15" t="s">
        <v>114</v>
      </c>
      <c r="E195" s="19" t="n">
        <v>33.403407</v>
      </c>
      <c r="F195" s="19" t="n">
        <v>29.404187</v>
      </c>
      <c r="G195" s="19" t="n">
        <v>41.592223</v>
      </c>
      <c r="H195" s="19" t="n">
        <v>60.896705</v>
      </c>
      <c r="I195" s="19" t="n">
        <v>1520.924779</v>
      </c>
      <c r="J195" s="27" t="n">
        <v>398597</v>
      </c>
      <c r="K195" s="27" t="n">
        <v>398597</v>
      </c>
      <c r="L195" s="9" t="n">
        <f aca="false">IF(AND(K195&lt;&gt;"",J195&lt;Assumptions!$B$3*K195),K195,J195)</f>
        <v>398597</v>
      </c>
      <c r="M195" s="21" t="str">
        <f aca="false">IF(L195=J195,"FERC Form 1","EIA-861")</f>
        <v>FERC Form 1</v>
      </c>
      <c r="N195" s="28" t="n">
        <f aca="false">E195+F195+G195</f>
        <v>104.399817</v>
      </c>
    </row>
    <row r="196" customFormat="false" ht="15" hidden="false" customHeight="false" outlineLevel="0" collapsed="false">
      <c r="A196" s="7" t="n">
        <v>2016</v>
      </c>
      <c r="B196" s="15" t="s">
        <v>113</v>
      </c>
      <c r="C196" s="15" t="s">
        <v>102</v>
      </c>
      <c r="D196" s="15" t="s">
        <v>114</v>
      </c>
      <c r="E196" s="19" t="n">
        <v>32.612502</v>
      </c>
      <c r="F196" s="19" t="n">
        <v>33.59822</v>
      </c>
      <c r="G196" s="19" t="n">
        <v>42.973313</v>
      </c>
      <c r="H196" s="19" t="n">
        <v>73.656503</v>
      </c>
      <c r="I196" s="19" t="n">
        <v>1587.273835</v>
      </c>
      <c r="J196" s="27" t="n">
        <v>402327</v>
      </c>
      <c r="K196" s="27" t="n">
        <v>402327</v>
      </c>
      <c r="L196" s="9" t="n">
        <f aca="false">IF(AND(K196&lt;&gt;"",J196&lt;Assumptions!$B$3*K196),K196,J196)</f>
        <v>402327</v>
      </c>
      <c r="M196" s="21" t="str">
        <f aca="false">IF(L196=J196,"FERC Form 1","EIA-861")</f>
        <v>FERC Form 1</v>
      </c>
      <c r="N196" s="28" t="n">
        <f aca="false">E196+F196+G196</f>
        <v>109.184035</v>
      </c>
    </row>
    <row r="197" customFormat="false" ht="15" hidden="false" customHeight="false" outlineLevel="0" collapsed="false">
      <c r="A197" s="7" t="n">
        <v>2017</v>
      </c>
      <c r="B197" s="15" t="s">
        <v>113</v>
      </c>
      <c r="C197" s="15" t="s">
        <v>102</v>
      </c>
      <c r="D197" s="15" t="s">
        <v>114</v>
      </c>
      <c r="E197" s="19" t="n">
        <v>31.397091</v>
      </c>
      <c r="F197" s="19" t="n">
        <v>26.069088</v>
      </c>
      <c r="G197" s="19" t="n">
        <v>44.882654</v>
      </c>
      <c r="H197" s="19" t="n">
        <v>72.714141</v>
      </c>
      <c r="I197" s="19" t="n">
        <v>1657.348605</v>
      </c>
      <c r="J197" s="27" t="n">
        <v>407172</v>
      </c>
      <c r="K197" s="27" t="n">
        <v>407172</v>
      </c>
      <c r="L197" s="9" t="n">
        <f aca="false">IF(AND(K197&lt;&gt;"",J197&lt;Assumptions!$B$3*K197),K197,J197)</f>
        <v>407172</v>
      </c>
      <c r="M197" s="21" t="str">
        <f aca="false">IF(L197=J197,"FERC Form 1","EIA-861")</f>
        <v>FERC Form 1</v>
      </c>
      <c r="N197" s="28" t="n">
        <f aca="false">E197+F197+G197</f>
        <v>102.348833</v>
      </c>
    </row>
    <row r="198" customFormat="false" ht="15" hidden="false" customHeight="false" outlineLevel="0" collapsed="false">
      <c r="A198" s="7" t="n">
        <v>2018</v>
      </c>
      <c r="B198" s="15" t="s">
        <v>113</v>
      </c>
      <c r="C198" s="15" t="s">
        <v>102</v>
      </c>
      <c r="D198" s="15" t="s">
        <v>114</v>
      </c>
      <c r="E198" s="19" t="n">
        <v>36.973813</v>
      </c>
      <c r="F198" s="19" t="n">
        <v>30.982234</v>
      </c>
      <c r="G198" s="19" t="n">
        <v>46.823169</v>
      </c>
      <c r="H198" s="19" t="n">
        <v>99.400747</v>
      </c>
      <c r="I198" s="19" t="n">
        <v>1739.841513</v>
      </c>
      <c r="J198" s="27" t="n">
        <v>411623</v>
      </c>
      <c r="K198" s="27" t="n">
        <v>411671</v>
      </c>
      <c r="L198" s="9" t="n">
        <f aca="false">IF(AND(K198&lt;&gt;"",J198&lt;Assumptions!$B$3*K198),K198,J198)</f>
        <v>411623</v>
      </c>
      <c r="M198" s="21" t="str">
        <f aca="false">IF(L198=J198,"FERC Form 1","EIA-861")</f>
        <v>FERC Form 1</v>
      </c>
      <c r="N198" s="28" t="n">
        <f aca="false">E198+F198+G198</f>
        <v>114.779216</v>
      </c>
    </row>
    <row r="199" customFormat="false" ht="15" hidden="false" customHeight="false" outlineLevel="0" collapsed="false">
      <c r="A199" s="7" t="n">
        <v>2019</v>
      </c>
      <c r="B199" s="15" t="s">
        <v>113</v>
      </c>
      <c r="C199" s="15" t="s">
        <v>102</v>
      </c>
      <c r="D199" s="15" t="s">
        <v>114</v>
      </c>
      <c r="E199" s="19" t="n">
        <v>47.357588</v>
      </c>
      <c r="F199" s="19" t="n">
        <v>36.882334</v>
      </c>
      <c r="G199" s="19" t="n">
        <v>45.553753</v>
      </c>
      <c r="H199" s="19" t="n">
        <v>93.836837</v>
      </c>
      <c r="I199" s="19" t="n">
        <v>1822.524394</v>
      </c>
      <c r="J199" s="27" t="n">
        <v>416587</v>
      </c>
      <c r="K199" s="27" t="n">
        <v>416635</v>
      </c>
      <c r="L199" s="9" t="n">
        <f aca="false">IF(AND(K199&lt;&gt;"",J199&lt;Assumptions!$B$3*K199),K199,J199)</f>
        <v>416587</v>
      </c>
      <c r="M199" s="21" t="str">
        <f aca="false">IF(L199=J199,"FERC Form 1","EIA-861")</f>
        <v>FERC Form 1</v>
      </c>
      <c r="N199" s="28" t="n">
        <f aca="false">E199+F199+G199</f>
        <v>129.793675</v>
      </c>
    </row>
    <row r="200" customFormat="false" ht="15" hidden="false" customHeight="false" outlineLevel="0" collapsed="false">
      <c r="A200" s="7" t="n">
        <v>2020</v>
      </c>
      <c r="B200" s="15" t="s">
        <v>113</v>
      </c>
      <c r="C200" s="15" t="s">
        <v>102</v>
      </c>
      <c r="D200" s="15" t="s">
        <v>114</v>
      </c>
      <c r="E200" s="19" t="n">
        <v>42.607975</v>
      </c>
      <c r="F200" s="19" t="n">
        <v>42.417089</v>
      </c>
      <c r="G200" s="19" t="n">
        <v>46.729865</v>
      </c>
      <c r="H200" s="19" t="n">
        <v>93.905625</v>
      </c>
      <c r="I200" s="19" t="n">
        <v>1906.05813</v>
      </c>
      <c r="J200" s="27" t="n">
        <v>423085</v>
      </c>
      <c r="K200" s="27" t="n">
        <v>423133</v>
      </c>
      <c r="L200" s="9" t="n">
        <f aca="false">IF(AND(K200&lt;&gt;"",J200&lt;Assumptions!$B$3*K200),K200,J200)</f>
        <v>423085</v>
      </c>
      <c r="M200" s="21" t="str">
        <f aca="false">IF(L200=J200,"FERC Form 1","EIA-861")</f>
        <v>FERC Form 1</v>
      </c>
      <c r="N200" s="28" t="n">
        <f aca="false">E200+F200+G200</f>
        <v>131.754929</v>
      </c>
    </row>
    <row r="201" customFormat="false" ht="15" hidden="false" customHeight="false" outlineLevel="0" collapsed="false">
      <c r="A201" s="7" t="n">
        <v>2021</v>
      </c>
      <c r="B201" s="15" t="s">
        <v>113</v>
      </c>
      <c r="C201" s="15" t="s">
        <v>102</v>
      </c>
      <c r="D201" s="15" t="s">
        <v>114</v>
      </c>
      <c r="E201" s="19" t="n">
        <v>45.939112</v>
      </c>
      <c r="F201" s="19" t="n">
        <v>14.536081</v>
      </c>
      <c r="G201" s="19" t="n">
        <v>47.475342</v>
      </c>
      <c r="H201" s="19" t="n">
        <v>97.971718</v>
      </c>
      <c r="I201" s="19" t="n">
        <v>1994.24698</v>
      </c>
      <c r="J201" s="27" t="n">
        <v>429677</v>
      </c>
      <c r="K201" s="27" t="n">
        <v>429723</v>
      </c>
      <c r="L201" s="9" t="n">
        <f aca="false">IF(AND(K201&lt;&gt;"",J201&lt;Assumptions!$B$3*K201),K201,J201)</f>
        <v>429677</v>
      </c>
      <c r="M201" s="21" t="str">
        <f aca="false">IF(L201=J201,"FERC Form 1","EIA-861")</f>
        <v>FERC Form 1</v>
      </c>
      <c r="N201" s="28" t="n">
        <f aca="false">E201+F201+G201</f>
        <v>107.950535</v>
      </c>
    </row>
    <row r="202" customFormat="false" ht="15" hidden="false" customHeight="false" outlineLevel="0" collapsed="false">
      <c r="A202" s="7" t="n">
        <v>2022</v>
      </c>
      <c r="B202" s="15" t="s">
        <v>113</v>
      </c>
      <c r="C202" s="15" t="s">
        <v>102</v>
      </c>
      <c r="D202" s="15" t="s">
        <v>114</v>
      </c>
      <c r="E202" s="19" t="n">
        <v>60.529063</v>
      </c>
      <c r="F202" s="19" t="n">
        <v>21.5794</v>
      </c>
      <c r="G202" s="19" t="n">
        <v>42.27731</v>
      </c>
      <c r="H202" s="19" t="n">
        <v>93.037711</v>
      </c>
      <c r="I202" s="19" t="n">
        <v>2058.442709</v>
      </c>
      <c r="J202" s="27" t="n">
        <v>436089</v>
      </c>
      <c r="K202" s="27" t="n">
        <v>436125</v>
      </c>
      <c r="L202" s="9" t="n">
        <f aca="false">IF(AND(K202&lt;&gt;"",J202&lt;Assumptions!$B$3*K202),K202,J202)</f>
        <v>436089</v>
      </c>
      <c r="M202" s="21" t="str">
        <f aca="false">IF(L202=J202,"FERC Form 1","EIA-861")</f>
        <v>FERC Form 1</v>
      </c>
      <c r="N202" s="28" t="n">
        <f aca="false">E202+F202+G202</f>
        <v>124.385773</v>
      </c>
    </row>
    <row r="203" customFormat="false" ht="15" hidden="false" customHeight="false" outlineLevel="0" collapsed="false">
      <c r="A203" s="7" t="n">
        <v>2023</v>
      </c>
      <c r="B203" s="15" t="s">
        <v>113</v>
      </c>
      <c r="C203" s="15" t="s">
        <v>102</v>
      </c>
      <c r="D203" s="15" t="s">
        <v>114</v>
      </c>
      <c r="E203" s="19" t="n">
        <v>54.514578</v>
      </c>
      <c r="F203" s="19" t="n">
        <v>20.494247</v>
      </c>
      <c r="G203" s="19" t="n">
        <v>45.476417</v>
      </c>
      <c r="H203" s="19" t="n">
        <v>122.526651</v>
      </c>
      <c r="I203" s="19" t="n">
        <v>2169.11188</v>
      </c>
      <c r="J203" s="27" t="n">
        <v>441657</v>
      </c>
      <c r="K203" s="27" t="n">
        <v>441705</v>
      </c>
      <c r="L203" s="9" t="n">
        <f aca="false">IF(AND(K203&lt;&gt;"",J203&lt;Assumptions!$B$3*K203),K203,J203)</f>
        <v>441657</v>
      </c>
      <c r="M203" s="21" t="str">
        <f aca="false">IF(L203=J203,"FERC Form 1","EIA-861")</f>
        <v>FERC Form 1</v>
      </c>
      <c r="N203" s="28" t="n">
        <f aca="false">E203+F203+G203</f>
        <v>120.485242</v>
      </c>
    </row>
    <row r="204" customFormat="false" ht="15" hidden="false" customHeight="false" outlineLevel="0" collapsed="false">
      <c r="A204" s="7" t="n">
        <v>2024</v>
      </c>
      <c r="B204" s="15" t="s">
        <v>113</v>
      </c>
      <c r="C204" s="15" t="s">
        <v>102</v>
      </c>
      <c r="D204" s="15" t="s">
        <v>114</v>
      </c>
      <c r="E204" s="19" t="n">
        <v>56.702278</v>
      </c>
      <c r="F204" s="19" t="n">
        <v>36.54749</v>
      </c>
      <c r="G204" s="19" t="n">
        <v>48.749983</v>
      </c>
      <c r="H204" s="19" t="n">
        <v>94.924326</v>
      </c>
      <c r="I204" s="19" t="n">
        <v>2282.413864</v>
      </c>
      <c r="J204" s="27" t="n">
        <v>448460</v>
      </c>
      <c r="K204" s="27" t="n">
        <v>448509</v>
      </c>
      <c r="L204" s="9" t="n">
        <f aca="false">IF(AND(K204&lt;&gt;"",J204&lt;Assumptions!$B$3*K204),K204,J204)</f>
        <v>448460</v>
      </c>
      <c r="M204" s="21" t="str">
        <f aca="false">IF(L204=J204,"FERC Form 1","EIA-861")</f>
        <v>FERC Form 1</v>
      </c>
      <c r="N204" s="28" t="n">
        <f aca="false">E204+F204+G204</f>
        <v>141.999751</v>
      </c>
    </row>
    <row r="205" customFormat="false" ht="15" hidden="false" customHeight="false" outlineLevel="0" collapsed="false">
      <c r="A205" s="7" t="n">
        <v>2025</v>
      </c>
      <c r="B205" s="15" t="s">
        <v>113</v>
      </c>
      <c r="C205" s="15" t="s">
        <v>102</v>
      </c>
      <c r="D205" s="15" t="s">
        <v>114</v>
      </c>
      <c r="E205" s="19" t="n">
        <v>59.253884</v>
      </c>
      <c r="F205" s="19" t="n">
        <v>54.596184</v>
      </c>
      <c r="G205" s="19" t="n">
        <v>56.741677</v>
      </c>
      <c r="H205" s="19" t="n">
        <v>122.553106</v>
      </c>
      <c r="I205" s="19" t="n">
        <v>2441.421502</v>
      </c>
      <c r="J205" s="27" t="n">
        <v>453864</v>
      </c>
      <c r="K205" s="27" t="n">
        <v>453903</v>
      </c>
      <c r="L205" s="9" t="n">
        <f aca="false">IF(AND(K205&lt;&gt;"",J205&lt;Assumptions!$B$3*K205),K205,J205)</f>
        <v>453864</v>
      </c>
      <c r="M205" s="21" t="str">
        <f aca="false">IF(L205=J205,"FERC Form 1","EIA-861")</f>
        <v>FERC Form 1</v>
      </c>
      <c r="N205" s="28" t="n">
        <f aca="false">E205+F205+G205</f>
        <v>170.591745</v>
      </c>
    </row>
    <row r="206" customFormat="false" ht="15" hidden="false" customHeight="false" outlineLevel="0" collapsed="false">
      <c r="A206" s="7" t="n">
        <v>2000</v>
      </c>
      <c r="B206" s="15" t="s">
        <v>115</v>
      </c>
      <c r="C206" s="15" t="s">
        <v>102</v>
      </c>
      <c r="D206" s="15" t="s">
        <v>103</v>
      </c>
      <c r="E206" s="19" t="n">
        <v>29.09178</v>
      </c>
      <c r="F206" s="19" t="n">
        <v>19.902142</v>
      </c>
      <c r="G206" s="19" t="n">
        <v>18.549546</v>
      </c>
      <c r="H206" s="19" t="n">
        <v>20.917035</v>
      </c>
      <c r="I206" s="19" t="n">
        <v>549.236571</v>
      </c>
      <c r="J206" s="27" t="n">
        <v>302480</v>
      </c>
      <c r="K206" s="27"/>
      <c r="L206" s="9" t="n">
        <f aca="false">IF(AND(K206&lt;&gt;"",J206&lt;Assumptions!$B$3*K206),K206,J206)</f>
        <v>302480</v>
      </c>
      <c r="M206" s="21" t="str">
        <f aca="false">IF(L206=J206,"FERC Form 1","EIA-861")</f>
        <v>FERC Form 1</v>
      </c>
      <c r="N206" s="28" t="n">
        <f aca="false">E206+F206+G206</f>
        <v>67.543468</v>
      </c>
    </row>
    <row r="207" customFormat="false" ht="15" hidden="false" customHeight="false" outlineLevel="0" collapsed="false">
      <c r="A207" s="7" t="n">
        <v>2001</v>
      </c>
      <c r="B207" s="15" t="s">
        <v>115</v>
      </c>
      <c r="C207" s="15" t="s">
        <v>102</v>
      </c>
      <c r="D207" s="15" t="s">
        <v>103</v>
      </c>
      <c r="E207" s="19" t="n">
        <v>25.363121</v>
      </c>
      <c r="F207" s="19" t="n">
        <v>8.62726</v>
      </c>
      <c r="G207" s="19" t="n">
        <v>18.884691</v>
      </c>
      <c r="H207" s="19" t="n">
        <v>15.482607</v>
      </c>
      <c r="I207" s="19" t="n">
        <v>560.283973</v>
      </c>
      <c r="J207" s="27" t="n">
        <v>303624</v>
      </c>
      <c r="K207" s="27" t="n">
        <v>303624</v>
      </c>
      <c r="L207" s="9" t="n">
        <f aca="false">IF(AND(K207&lt;&gt;"",J207&lt;Assumptions!$B$3*K207),K207,J207)</f>
        <v>303624</v>
      </c>
      <c r="M207" s="21" t="str">
        <f aca="false">IF(L207=J207,"FERC Form 1","EIA-861")</f>
        <v>FERC Form 1</v>
      </c>
      <c r="N207" s="28" t="n">
        <f aca="false">E207+F207+G207</f>
        <v>52.875072</v>
      </c>
    </row>
    <row r="208" customFormat="false" ht="15" hidden="false" customHeight="false" outlineLevel="0" collapsed="false">
      <c r="A208" s="7" t="n">
        <v>2002</v>
      </c>
      <c r="B208" s="15" t="s">
        <v>115</v>
      </c>
      <c r="C208" s="15" t="s">
        <v>102</v>
      </c>
      <c r="D208" s="15" t="s">
        <v>103</v>
      </c>
      <c r="E208" s="19" t="n">
        <v>22.590738</v>
      </c>
      <c r="F208" s="19" t="n">
        <v>10.695813</v>
      </c>
      <c r="G208" s="19" t="n">
        <v>19.272221</v>
      </c>
      <c r="H208" s="19" t="n">
        <v>13.933868</v>
      </c>
      <c r="I208" s="19" t="n">
        <v>572.637056</v>
      </c>
      <c r="J208" s="27" t="n">
        <v>305860</v>
      </c>
      <c r="K208" s="27" t="n">
        <v>305860</v>
      </c>
      <c r="L208" s="9" t="n">
        <f aca="false">IF(AND(K208&lt;&gt;"",J208&lt;Assumptions!$B$3*K208),K208,J208)</f>
        <v>305860</v>
      </c>
      <c r="M208" s="21" t="str">
        <f aca="false">IF(L208=J208,"FERC Form 1","EIA-861")</f>
        <v>FERC Form 1</v>
      </c>
      <c r="N208" s="28" t="n">
        <f aca="false">E208+F208+G208</f>
        <v>52.558772</v>
      </c>
    </row>
    <row r="209" customFormat="false" ht="15" hidden="false" customHeight="false" outlineLevel="0" collapsed="false">
      <c r="A209" s="7" t="n">
        <v>2003</v>
      </c>
      <c r="B209" s="15" t="s">
        <v>115</v>
      </c>
      <c r="C209" s="15" t="s">
        <v>102</v>
      </c>
      <c r="D209" s="15" t="s">
        <v>103</v>
      </c>
      <c r="E209" s="19" t="n">
        <v>23.536468</v>
      </c>
      <c r="F209" s="19" t="n">
        <v>12.960766</v>
      </c>
      <c r="G209" s="19" t="n">
        <v>20.142102</v>
      </c>
      <c r="H209" s="19" t="n">
        <v>29.137694</v>
      </c>
      <c r="I209" s="19" t="n">
        <v>597.911068</v>
      </c>
      <c r="J209" s="27" t="n">
        <v>307198</v>
      </c>
      <c r="K209" s="27" t="n">
        <v>307198</v>
      </c>
      <c r="L209" s="9" t="n">
        <f aca="false">IF(AND(K209&lt;&gt;"",J209&lt;Assumptions!$B$3*K209),K209,J209)</f>
        <v>307198</v>
      </c>
      <c r="M209" s="21" t="str">
        <f aca="false">IF(L209=J209,"FERC Form 1","EIA-861")</f>
        <v>FERC Form 1</v>
      </c>
      <c r="N209" s="28" t="n">
        <f aca="false">E209+F209+G209</f>
        <v>56.639336</v>
      </c>
    </row>
    <row r="210" customFormat="false" ht="15" hidden="false" customHeight="false" outlineLevel="0" collapsed="false">
      <c r="A210" s="7" t="n">
        <v>2004</v>
      </c>
      <c r="B210" s="15" t="s">
        <v>115</v>
      </c>
      <c r="C210" s="15" t="s">
        <v>102</v>
      </c>
      <c r="D210" s="15" t="s">
        <v>103</v>
      </c>
      <c r="E210" s="19" t="n">
        <v>21.066373</v>
      </c>
      <c r="F210" s="19" t="n">
        <v>15.593741</v>
      </c>
      <c r="G210" s="19" t="n">
        <v>20.798964</v>
      </c>
      <c r="H210" s="19" t="n">
        <v>23.707428</v>
      </c>
      <c r="I210" s="19" t="n">
        <v>620.36862</v>
      </c>
      <c r="J210" s="27" t="n">
        <v>309225</v>
      </c>
      <c r="K210" s="27" t="n">
        <v>309225</v>
      </c>
      <c r="L210" s="9" t="n">
        <f aca="false">IF(AND(K210&lt;&gt;"",J210&lt;Assumptions!$B$3*K210),K210,J210)</f>
        <v>309225</v>
      </c>
      <c r="M210" s="21" t="str">
        <f aca="false">IF(L210=J210,"FERC Form 1","EIA-861")</f>
        <v>FERC Form 1</v>
      </c>
      <c r="N210" s="28" t="n">
        <f aca="false">E210+F210+G210</f>
        <v>57.459078</v>
      </c>
    </row>
    <row r="211" customFormat="false" ht="15" hidden="false" customHeight="false" outlineLevel="0" collapsed="false">
      <c r="A211" s="7" t="n">
        <v>2005</v>
      </c>
      <c r="B211" s="15" t="s">
        <v>115</v>
      </c>
      <c r="C211" s="15" t="s">
        <v>102</v>
      </c>
      <c r="D211" s="15" t="s">
        <v>103</v>
      </c>
      <c r="E211" s="19" t="n">
        <v>17.721356</v>
      </c>
      <c r="F211" s="19" t="n">
        <v>15.591593</v>
      </c>
      <c r="G211" s="19" t="n">
        <v>21.673411</v>
      </c>
      <c r="H211" s="19" t="n">
        <v>31.330096</v>
      </c>
      <c r="I211" s="19" t="n">
        <v>650.765162</v>
      </c>
      <c r="J211" s="27" t="n">
        <v>312698</v>
      </c>
      <c r="K211" s="27" t="n">
        <v>312698</v>
      </c>
      <c r="L211" s="9" t="n">
        <f aca="false">IF(AND(K211&lt;&gt;"",J211&lt;Assumptions!$B$3*K211),K211,J211)</f>
        <v>312698</v>
      </c>
      <c r="M211" s="21" t="str">
        <f aca="false">IF(L211=J211,"FERC Form 1","EIA-861")</f>
        <v>FERC Form 1</v>
      </c>
      <c r="N211" s="28" t="n">
        <f aca="false">E211+F211+G211</f>
        <v>54.98636</v>
      </c>
    </row>
    <row r="212" customFormat="false" ht="15" hidden="false" customHeight="false" outlineLevel="0" collapsed="false">
      <c r="A212" s="7" t="n">
        <v>2006</v>
      </c>
      <c r="B212" s="15" t="s">
        <v>115</v>
      </c>
      <c r="C212" s="15" t="s">
        <v>102</v>
      </c>
      <c r="D212" s="15" t="s">
        <v>103</v>
      </c>
      <c r="E212" s="19" t="n">
        <v>23.400381</v>
      </c>
      <c r="F212" s="19" t="n">
        <v>18.369897</v>
      </c>
      <c r="G212" s="19" t="n">
        <v>22.89244</v>
      </c>
      <c r="H212" s="19" t="n">
        <v>28.276928</v>
      </c>
      <c r="I212" s="19" t="n">
        <v>675.186448</v>
      </c>
      <c r="J212" s="27" t="n">
        <v>313960</v>
      </c>
      <c r="K212" s="27" t="n">
        <v>314350</v>
      </c>
      <c r="L212" s="9" t="n">
        <f aca="false">IF(AND(K212&lt;&gt;"",J212&lt;Assumptions!$B$3*K212),K212,J212)</f>
        <v>313960</v>
      </c>
      <c r="M212" s="21" t="str">
        <f aca="false">IF(L212=J212,"FERC Form 1","EIA-861")</f>
        <v>FERC Form 1</v>
      </c>
      <c r="N212" s="28" t="n">
        <f aca="false">E212+F212+G212</f>
        <v>64.662718</v>
      </c>
    </row>
    <row r="213" customFormat="false" ht="15" hidden="false" customHeight="false" outlineLevel="0" collapsed="false">
      <c r="A213" s="7" t="n">
        <v>2007</v>
      </c>
      <c r="B213" s="15" t="s">
        <v>115</v>
      </c>
      <c r="C213" s="15" t="s">
        <v>102</v>
      </c>
      <c r="D213" s="15" t="s">
        <v>103</v>
      </c>
      <c r="E213" s="19" t="n">
        <v>25.560149</v>
      </c>
      <c r="F213" s="19" t="n">
        <v>18.675624</v>
      </c>
      <c r="G213" s="19" t="n">
        <v>23.75527</v>
      </c>
      <c r="H213" s="19" t="n">
        <v>31.397687</v>
      </c>
      <c r="I213" s="19" t="n">
        <v>702.180785</v>
      </c>
      <c r="J213" s="27" t="n">
        <v>313413</v>
      </c>
      <c r="K213" s="27" t="n">
        <v>313413</v>
      </c>
      <c r="L213" s="9" t="n">
        <f aca="false">IF(AND(K213&lt;&gt;"",J213&lt;Assumptions!$B$3*K213),K213,J213)</f>
        <v>313413</v>
      </c>
      <c r="M213" s="21" t="str">
        <f aca="false">IF(L213=J213,"FERC Form 1","EIA-861")</f>
        <v>FERC Form 1</v>
      </c>
      <c r="N213" s="28" t="n">
        <f aca="false">E213+F213+G213</f>
        <v>67.991043</v>
      </c>
    </row>
    <row r="214" customFormat="false" ht="15" hidden="false" customHeight="false" outlineLevel="0" collapsed="false">
      <c r="A214" s="7" t="n">
        <v>2008</v>
      </c>
      <c r="B214" s="15" t="s">
        <v>115</v>
      </c>
      <c r="C214" s="15" t="s">
        <v>102</v>
      </c>
      <c r="D214" s="15" t="s">
        <v>103</v>
      </c>
      <c r="E214" s="19" t="n">
        <v>25.316833</v>
      </c>
      <c r="F214" s="19" t="n">
        <v>16.85959</v>
      </c>
      <c r="G214" s="19" t="n">
        <v>24.679553</v>
      </c>
      <c r="H214" s="19" t="n">
        <v>44.940036</v>
      </c>
      <c r="I214" s="19" t="n">
        <v>744.177555</v>
      </c>
      <c r="J214" s="27" t="n">
        <v>312642</v>
      </c>
      <c r="K214" s="27" t="n">
        <v>312642</v>
      </c>
      <c r="L214" s="9" t="n">
        <f aca="false">IF(AND(K214&lt;&gt;"",J214&lt;Assumptions!$B$3*K214),K214,J214)</f>
        <v>312642</v>
      </c>
      <c r="M214" s="21" t="str">
        <f aca="false">IF(L214=J214,"FERC Form 1","EIA-861")</f>
        <v>FERC Form 1</v>
      </c>
      <c r="N214" s="28" t="n">
        <f aca="false">E214+F214+G214</f>
        <v>66.855976</v>
      </c>
    </row>
    <row r="215" customFormat="false" ht="15" hidden="false" customHeight="false" outlineLevel="0" collapsed="false">
      <c r="A215" s="7" t="n">
        <v>2009</v>
      </c>
      <c r="B215" s="15" t="s">
        <v>115</v>
      </c>
      <c r="C215" s="15" t="s">
        <v>102</v>
      </c>
      <c r="D215" s="15" t="s">
        <v>103</v>
      </c>
      <c r="E215" s="19" t="n">
        <v>20.205512</v>
      </c>
      <c r="F215" s="19" t="n">
        <v>16.871235</v>
      </c>
      <c r="G215" s="19" t="n">
        <v>23.652127</v>
      </c>
      <c r="H215" s="19" t="n">
        <v>42.024028</v>
      </c>
      <c r="I215" s="19" t="n">
        <v>782.097441</v>
      </c>
      <c r="J215" s="27" t="n">
        <v>310725</v>
      </c>
      <c r="K215" s="27" t="n">
        <v>310725</v>
      </c>
      <c r="L215" s="9" t="n">
        <f aca="false">IF(AND(K215&lt;&gt;"",J215&lt;Assumptions!$B$3*K215),K215,J215)</f>
        <v>310725</v>
      </c>
      <c r="M215" s="21" t="str">
        <f aca="false">IF(L215=J215,"FERC Form 1","EIA-861")</f>
        <v>FERC Form 1</v>
      </c>
      <c r="N215" s="28" t="n">
        <f aca="false">E215+F215+G215</f>
        <v>60.728874</v>
      </c>
    </row>
    <row r="216" customFormat="false" ht="15" hidden="false" customHeight="false" outlineLevel="0" collapsed="false">
      <c r="A216" s="7" t="n">
        <v>2010</v>
      </c>
      <c r="B216" s="15" t="s">
        <v>115</v>
      </c>
      <c r="C216" s="15" t="s">
        <v>102</v>
      </c>
      <c r="D216" s="15" t="s">
        <v>103</v>
      </c>
      <c r="E216" s="19" t="n">
        <v>17.254541</v>
      </c>
      <c r="F216" s="19" t="n">
        <v>11.438692</v>
      </c>
      <c r="G216" s="19" t="n">
        <v>24.716423</v>
      </c>
      <c r="H216" s="19" t="n">
        <v>34.518966</v>
      </c>
      <c r="I216" s="19" t="n">
        <v>813.394664</v>
      </c>
      <c r="J216" s="27" t="n">
        <v>309900</v>
      </c>
      <c r="K216" s="27" t="n">
        <v>309900</v>
      </c>
      <c r="L216" s="9" t="n">
        <f aca="false">IF(AND(K216&lt;&gt;"",J216&lt;Assumptions!$B$3*K216),K216,J216)</f>
        <v>309900</v>
      </c>
      <c r="M216" s="21" t="str">
        <f aca="false">IF(L216=J216,"FERC Form 1","EIA-861")</f>
        <v>FERC Form 1</v>
      </c>
      <c r="N216" s="28" t="n">
        <f aca="false">E216+F216+G216</f>
        <v>53.409656</v>
      </c>
    </row>
    <row r="217" customFormat="false" ht="15" hidden="false" customHeight="false" outlineLevel="0" collapsed="false">
      <c r="A217" s="7" t="n">
        <v>2011</v>
      </c>
      <c r="B217" s="15" t="s">
        <v>115</v>
      </c>
      <c r="C217" s="15" t="s">
        <v>102</v>
      </c>
      <c r="D217" s="15" t="s">
        <v>103</v>
      </c>
      <c r="E217" s="19" t="n">
        <v>21.840519</v>
      </c>
      <c r="F217" s="19" t="n">
        <v>12.716259</v>
      </c>
      <c r="G217" s="19" t="n">
        <v>25.991987</v>
      </c>
      <c r="H217" s="19" t="n">
        <v>35.303794</v>
      </c>
      <c r="I217" s="19" t="n">
        <v>856.363158</v>
      </c>
      <c r="J217" s="27" t="n">
        <v>309020</v>
      </c>
      <c r="K217" s="27" t="n">
        <v>309020</v>
      </c>
      <c r="L217" s="9" t="n">
        <f aca="false">IF(AND(K217&lt;&gt;"",J217&lt;Assumptions!$B$3*K217),K217,J217)</f>
        <v>309020</v>
      </c>
      <c r="M217" s="21" t="str">
        <f aca="false">IF(L217=J217,"FERC Form 1","EIA-861")</f>
        <v>FERC Form 1</v>
      </c>
      <c r="N217" s="28" t="n">
        <f aca="false">E217+F217+G217</f>
        <v>60.548765</v>
      </c>
    </row>
    <row r="218" customFormat="false" ht="15" hidden="false" customHeight="false" outlineLevel="0" collapsed="false">
      <c r="A218" s="7" t="n">
        <v>2012</v>
      </c>
      <c r="B218" s="15" t="s">
        <v>115</v>
      </c>
      <c r="C218" s="15" t="s">
        <v>102</v>
      </c>
      <c r="D218" s="15" t="s">
        <v>103</v>
      </c>
      <c r="E218" s="19" t="n">
        <v>16.800549</v>
      </c>
      <c r="F218" s="19" t="n">
        <v>19.080995</v>
      </c>
      <c r="G218" s="19" t="n">
        <v>27.084884</v>
      </c>
      <c r="H218" s="19" t="n">
        <v>57.42279</v>
      </c>
      <c r="I218" s="19" t="n">
        <v>895.995143</v>
      </c>
      <c r="J218" s="27" t="n">
        <v>308147</v>
      </c>
      <c r="K218" s="27" t="n">
        <v>308147</v>
      </c>
      <c r="L218" s="9" t="n">
        <f aca="false">IF(AND(K218&lt;&gt;"",J218&lt;Assumptions!$B$3*K218),K218,J218)</f>
        <v>308147</v>
      </c>
      <c r="M218" s="21" t="str">
        <f aca="false">IF(L218=J218,"FERC Form 1","EIA-861")</f>
        <v>FERC Form 1</v>
      </c>
      <c r="N218" s="28" t="n">
        <f aca="false">E218+F218+G218</f>
        <v>62.966428</v>
      </c>
    </row>
    <row r="219" customFormat="false" ht="15" hidden="false" customHeight="false" outlineLevel="0" collapsed="false">
      <c r="A219" s="7" t="n">
        <v>2013</v>
      </c>
      <c r="B219" s="15" t="s">
        <v>115</v>
      </c>
      <c r="C219" s="15" t="s">
        <v>102</v>
      </c>
      <c r="D219" s="15" t="s">
        <v>103</v>
      </c>
      <c r="E219" s="19" t="n">
        <v>17.264184</v>
      </c>
      <c r="F219" s="19" t="n">
        <v>18.623166</v>
      </c>
      <c r="G219" s="19" t="n">
        <v>28.170326</v>
      </c>
      <c r="H219" s="19" t="n">
        <v>26.852633</v>
      </c>
      <c r="I219" s="19" t="n">
        <v>912.500788</v>
      </c>
      <c r="J219" s="27" t="n">
        <v>307863</v>
      </c>
      <c r="K219" s="27" t="n">
        <v>307863</v>
      </c>
      <c r="L219" s="9" t="n">
        <f aca="false">IF(AND(K219&lt;&gt;"",J219&lt;Assumptions!$B$3*K219),K219,J219)</f>
        <v>307863</v>
      </c>
      <c r="M219" s="21" t="str">
        <f aca="false">IF(L219=J219,"FERC Form 1","EIA-861")</f>
        <v>FERC Form 1</v>
      </c>
      <c r="N219" s="28" t="n">
        <f aca="false">E219+F219+G219</f>
        <v>64.057676</v>
      </c>
    </row>
    <row r="220" customFormat="false" ht="15" hidden="false" customHeight="false" outlineLevel="0" collapsed="false">
      <c r="A220" s="7" t="n">
        <v>2014</v>
      </c>
      <c r="B220" s="15" t="s">
        <v>115</v>
      </c>
      <c r="C220" s="15" t="s">
        <v>102</v>
      </c>
      <c r="D220" s="15" t="s">
        <v>103</v>
      </c>
      <c r="E220" s="19" t="n">
        <v>16.371548</v>
      </c>
      <c r="F220" s="19" t="n">
        <v>18.453663</v>
      </c>
      <c r="G220" s="19" t="n">
        <v>28.828489</v>
      </c>
      <c r="H220" s="19" t="n">
        <v>38.990636</v>
      </c>
      <c r="I220" s="19" t="n">
        <v>945.105822</v>
      </c>
      <c r="J220" s="27" t="n">
        <v>307853</v>
      </c>
      <c r="K220" s="27" t="n">
        <v>307853</v>
      </c>
      <c r="L220" s="9" t="n">
        <f aca="false">IF(AND(K220&lt;&gt;"",J220&lt;Assumptions!$B$3*K220),K220,J220)</f>
        <v>307853</v>
      </c>
      <c r="M220" s="21" t="str">
        <f aca="false">IF(L220=J220,"FERC Form 1","EIA-861")</f>
        <v>FERC Form 1</v>
      </c>
      <c r="N220" s="28" t="n">
        <f aca="false">E220+F220+G220</f>
        <v>63.6537</v>
      </c>
    </row>
    <row r="221" customFormat="false" ht="15" hidden="false" customHeight="false" outlineLevel="0" collapsed="false">
      <c r="A221" s="7" t="n">
        <v>2015</v>
      </c>
      <c r="B221" s="15" t="s">
        <v>115</v>
      </c>
      <c r="C221" s="15" t="s">
        <v>102</v>
      </c>
      <c r="D221" s="15" t="s">
        <v>103</v>
      </c>
      <c r="E221" s="19" t="n">
        <v>19.736383</v>
      </c>
      <c r="F221" s="19" t="n">
        <v>21.644136</v>
      </c>
      <c r="G221" s="19" t="n">
        <v>29.876274</v>
      </c>
      <c r="H221" s="19" t="n">
        <v>33.332307</v>
      </c>
      <c r="I221" s="19" t="n">
        <v>969.392324</v>
      </c>
      <c r="J221" s="27" t="n">
        <v>308151</v>
      </c>
      <c r="K221" s="27" t="n">
        <v>308151</v>
      </c>
      <c r="L221" s="9" t="n">
        <f aca="false">IF(AND(K221&lt;&gt;"",J221&lt;Assumptions!$B$3*K221),K221,J221)</f>
        <v>308151</v>
      </c>
      <c r="M221" s="21" t="str">
        <f aca="false">IF(L221=J221,"FERC Form 1","EIA-861")</f>
        <v>FERC Form 1</v>
      </c>
      <c r="N221" s="28" t="n">
        <f aca="false">E221+F221+G221</f>
        <v>71.256793</v>
      </c>
    </row>
    <row r="222" customFormat="false" ht="15" hidden="false" customHeight="false" outlineLevel="0" collapsed="false">
      <c r="A222" s="7" t="n">
        <v>2016</v>
      </c>
      <c r="B222" s="15" t="s">
        <v>115</v>
      </c>
      <c r="C222" s="15" t="s">
        <v>102</v>
      </c>
      <c r="D222" s="15" t="s">
        <v>103</v>
      </c>
      <c r="E222" s="19" t="n">
        <v>17.330656</v>
      </c>
      <c r="F222" s="19" t="n">
        <v>16.216616</v>
      </c>
      <c r="G222" s="19" t="n">
        <v>30.702401</v>
      </c>
      <c r="H222" s="19" t="n">
        <v>36.645053</v>
      </c>
      <c r="I222" s="19" t="n">
        <v>999.297494</v>
      </c>
      <c r="J222" s="27" t="n">
        <v>309060</v>
      </c>
      <c r="K222" s="27" t="n">
        <v>309060</v>
      </c>
      <c r="L222" s="9" t="n">
        <f aca="false">IF(AND(K222&lt;&gt;"",J222&lt;Assumptions!$B$3*K222),K222,J222)</f>
        <v>309060</v>
      </c>
      <c r="M222" s="21" t="str">
        <f aca="false">IF(L222=J222,"FERC Form 1","EIA-861")</f>
        <v>FERC Form 1</v>
      </c>
      <c r="N222" s="28" t="n">
        <f aca="false">E222+F222+G222</f>
        <v>64.249673</v>
      </c>
    </row>
    <row r="223" customFormat="false" ht="15" hidden="false" customHeight="false" outlineLevel="0" collapsed="false">
      <c r="A223" s="7" t="n">
        <v>2017</v>
      </c>
      <c r="B223" s="15" t="s">
        <v>115</v>
      </c>
      <c r="C223" s="15" t="s">
        <v>102</v>
      </c>
      <c r="D223" s="15" t="s">
        <v>103</v>
      </c>
      <c r="E223" s="19" t="n">
        <v>19.935786</v>
      </c>
      <c r="F223" s="19" t="n">
        <v>20.534903</v>
      </c>
      <c r="G223" s="19" t="n">
        <v>31.497855</v>
      </c>
      <c r="H223" s="19" t="n">
        <v>27.191317</v>
      </c>
      <c r="I223" s="19" t="n">
        <v>1020.077961</v>
      </c>
      <c r="J223" s="27" t="n">
        <v>310305</v>
      </c>
      <c r="K223" s="27" t="n">
        <v>310305</v>
      </c>
      <c r="L223" s="9" t="n">
        <f aca="false">IF(AND(K223&lt;&gt;"",J223&lt;Assumptions!$B$3*K223),K223,J223)</f>
        <v>310305</v>
      </c>
      <c r="M223" s="21" t="str">
        <f aca="false">IF(L223=J223,"FERC Form 1","EIA-861")</f>
        <v>FERC Form 1</v>
      </c>
      <c r="N223" s="28" t="n">
        <f aca="false">E223+F223+G223</f>
        <v>71.968544</v>
      </c>
    </row>
    <row r="224" customFormat="false" ht="15" hidden="false" customHeight="false" outlineLevel="0" collapsed="false">
      <c r="A224" s="7" t="n">
        <v>2018</v>
      </c>
      <c r="B224" s="15" t="s">
        <v>115</v>
      </c>
      <c r="C224" s="15" t="s">
        <v>102</v>
      </c>
      <c r="D224" s="15" t="s">
        <v>103</v>
      </c>
      <c r="E224" s="19" t="n">
        <v>20.109846</v>
      </c>
      <c r="F224" s="19" t="n">
        <v>22.758918</v>
      </c>
      <c r="G224" s="19" t="n">
        <v>32.192074</v>
      </c>
      <c r="H224" s="19" t="n">
        <v>31.595818</v>
      </c>
      <c r="I224" s="19" t="n">
        <v>1044.249388</v>
      </c>
      <c r="J224" s="27" t="n">
        <v>310979</v>
      </c>
      <c r="K224" s="27" t="n">
        <v>310979</v>
      </c>
      <c r="L224" s="9" t="n">
        <f aca="false">IF(AND(K224&lt;&gt;"",J224&lt;Assumptions!$B$3*K224),K224,J224)</f>
        <v>310979</v>
      </c>
      <c r="M224" s="21" t="str">
        <f aca="false">IF(L224=J224,"FERC Form 1","EIA-861")</f>
        <v>FERC Form 1</v>
      </c>
      <c r="N224" s="28" t="n">
        <f aca="false">E224+F224+G224</f>
        <v>75.060838</v>
      </c>
    </row>
    <row r="225" customFormat="false" ht="15" hidden="false" customHeight="false" outlineLevel="0" collapsed="false">
      <c r="A225" s="7" t="n">
        <v>2019</v>
      </c>
      <c r="B225" s="15" t="s">
        <v>115</v>
      </c>
      <c r="C225" s="15" t="s">
        <v>102</v>
      </c>
      <c r="D225" s="15" t="s">
        <v>103</v>
      </c>
      <c r="E225" s="19" t="n">
        <v>23.713896</v>
      </c>
      <c r="F225" s="19" t="n">
        <v>20.60564</v>
      </c>
      <c r="G225" s="19" t="n">
        <v>33.126476</v>
      </c>
      <c r="H225" s="19" t="n">
        <v>42.360879</v>
      </c>
      <c r="I225" s="19" t="n">
        <v>1080.963431</v>
      </c>
      <c r="J225" s="27" t="n">
        <v>311844</v>
      </c>
      <c r="K225" s="27" t="n">
        <v>311844</v>
      </c>
      <c r="L225" s="9" t="n">
        <f aca="false">IF(AND(K225&lt;&gt;"",J225&lt;Assumptions!$B$3*K225),K225,J225)</f>
        <v>311844</v>
      </c>
      <c r="M225" s="21" t="str">
        <f aca="false">IF(L225=J225,"FERC Form 1","EIA-861")</f>
        <v>FERC Form 1</v>
      </c>
      <c r="N225" s="28" t="n">
        <f aca="false">E225+F225+G225</f>
        <v>77.446012</v>
      </c>
    </row>
    <row r="226" customFormat="false" ht="15" hidden="false" customHeight="false" outlineLevel="0" collapsed="false">
      <c r="A226" s="7" t="n">
        <v>2020</v>
      </c>
      <c r="B226" s="15" t="s">
        <v>115</v>
      </c>
      <c r="C226" s="15" t="s">
        <v>102</v>
      </c>
      <c r="D226" s="15" t="s">
        <v>103</v>
      </c>
      <c r="E226" s="19" t="n">
        <v>24.153452</v>
      </c>
      <c r="F226" s="19" t="n">
        <v>26.56126</v>
      </c>
      <c r="G226" s="19" t="n">
        <v>34.363851</v>
      </c>
      <c r="H226" s="19" t="n">
        <v>51.482767</v>
      </c>
      <c r="I226" s="19" t="n">
        <v>1123.633627</v>
      </c>
      <c r="J226" s="27" t="n">
        <v>313654</v>
      </c>
      <c r="K226" s="27" t="n">
        <v>313655</v>
      </c>
      <c r="L226" s="9" t="n">
        <f aca="false">IF(AND(K226&lt;&gt;"",J226&lt;Assumptions!$B$3*K226),K226,J226)</f>
        <v>313654</v>
      </c>
      <c r="M226" s="21" t="str">
        <f aca="false">IF(L226=J226,"FERC Form 1","EIA-861")</f>
        <v>FERC Form 1</v>
      </c>
      <c r="N226" s="28" t="n">
        <f aca="false">E226+F226+G226</f>
        <v>85.078563</v>
      </c>
    </row>
    <row r="227" customFormat="false" ht="15" hidden="false" customHeight="false" outlineLevel="0" collapsed="false">
      <c r="A227" s="7" t="n">
        <v>2021</v>
      </c>
      <c r="B227" s="15" t="s">
        <v>115</v>
      </c>
      <c r="C227" s="15" t="s">
        <v>102</v>
      </c>
      <c r="D227" s="15" t="s">
        <v>103</v>
      </c>
      <c r="E227" s="19" t="n">
        <v>24.524833</v>
      </c>
      <c r="F227" s="19" t="n">
        <v>16.750422</v>
      </c>
      <c r="G227" s="19" t="n">
        <v>36.583227</v>
      </c>
      <c r="H227" s="19" t="n">
        <v>63.472288</v>
      </c>
      <c r="I227" s="19" t="n">
        <v>1177.939076</v>
      </c>
      <c r="J227" s="27" t="n">
        <v>314440</v>
      </c>
      <c r="K227" s="27" t="n">
        <v>314440</v>
      </c>
      <c r="L227" s="9" t="n">
        <f aca="false">IF(AND(K227&lt;&gt;"",J227&lt;Assumptions!$B$3*K227),K227,J227)</f>
        <v>314440</v>
      </c>
      <c r="M227" s="21" t="str">
        <f aca="false">IF(L227=J227,"FERC Form 1","EIA-861")</f>
        <v>FERC Form 1</v>
      </c>
      <c r="N227" s="28" t="n">
        <f aca="false">E227+F227+G227</f>
        <v>77.858482</v>
      </c>
    </row>
    <row r="228" customFormat="false" ht="15" hidden="false" customHeight="false" outlineLevel="0" collapsed="false">
      <c r="A228" s="7" t="n">
        <v>2022</v>
      </c>
      <c r="B228" s="15" t="s">
        <v>115</v>
      </c>
      <c r="C228" s="15" t="s">
        <v>102</v>
      </c>
      <c r="D228" s="15" t="s">
        <v>103</v>
      </c>
      <c r="E228" s="19" t="n">
        <v>27.467518</v>
      </c>
      <c r="F228" s="19" t="n">
        <v>10.746533</v>
      </c>
      <c r="G228" s="19" t="n">
        <v>37.816222</v>
      </c>
      <c r="H228" s="19" t="n">
        <v>46.362483</v>
      </c>
      <c r="I228" s="19" t="n">
        <v>1171.167231</v>
      </c>
      <c r="J228" s="27" t="n">
        <v>314502</v>
      </c>
      <c r="K228" s="27" t="n">
        <v>314502</v>
      </c>
      <c r="L228" s="9" t="n">
        <f aca="false">IF(AND(K228&lt;&gt;"",J228&lt;Assumptions!$B$3*K228),K228,J228)</f>
        <v>314502</v>
      </c>
      <c r="M228" s="21" t="str">
        <f aca="false">IF(L228=J228,"FERC Form 1","EIA-861")</f>
        <v>FERC Form 1</v>
      </c>
      <c r="N228" s="28" t="n">
        <f aca="false">E228+F228+G228</f>
        <v>76.030273</v>
      </c>
    </row>
    <row r="229" customFormat="false" ht="15" hidden="false" customHeight="false" outlineLevel="0" collapsed="false">
      <c r="A229" s="7" t="n">
        <v>2023</v>
      </c>
      <c r="B229" s="15" t="s">
        <v>115</v>
      </c>
      <c r="C229" s="15" t="s">
        <v>102</v>
      </c>
      <c r="D229" s="15" t="s">
        <v>103</v>
      </c>
      <c r="E229" s="19" t="n">
        <v>28.33687</v>
      </c>
      <c r="F229" s="19" t="n">
        <v>10.530095</v>
      </c>
      <c r="G229" s="19" t="n">
        <v>38.564393</v>
      </c>
      <c r="H229" s="19" t="n">
        <v>40.557097</v>
      </c>
      <c r="I229" s="19" t="n">
        <v>1208.240592</v>
      </c>
      <c r="J229" s="27" t="n">
        <v>315061</v>
      </c>
      <c r="K229" s="27" t="n">
        <v>315063</v>
      </c>
      <c r="L229" s="9" t="n">
        <f aca="false">IF(AND(K229&lt;&gt;"",J229&lt;Assumptions!$B$3*K229),K229,J229)</f>
        <v>315061</v>
      </c>
      <c r="M229" s="21" t="str">
        <f aca="false">IF(L229=J229,"FERC Form 1","EIA-861")</f>
        <v>FERC Form 1</v>
      </c>
      <c r="N229" s="28" t="n">
        <f aca="false">E229+F229+G229</f>
        <v>77.431358</v>
      </c>
    </row>
    <row r="230" customFormat="false" ht="15" hidden="false" customHeight="false" outlineLevel="0" collapsed="false">
      <c r="A230" s="7" t="n">
        <v>2024</v>
      </c>
      <c r="B230" s="15" t="s">
        <v>115</v>
      </c>
      <c r="C230" s="15" t="s">
        <v>102</v>
      </c>
      <c r="D230" s="15" t="s">
        <v>103</v>
      </c>
      <c r="E230" s="19" t="n">
        <v>28.346237</v>
      </c>
      <c r="F230" s="19" t="n">
        <v>13.468837</v>
      </c>
      <c r="G230" s="19" t="n">
        <v>39.676599</v>
      </c>
      <c r="H230" s="19" t="n">
        <v>41.034398</v>
      </c>
      <c r="I230" s="19" t="n">
        <v>1243.868499</v>
      </c>
      <c r="J230" s="27" t="n">
        <v>316086</v>
      </c>
      <c r="K230" s="27" t="n">
        <v>316087</v>
      </c>
      <c r="L230" s="9" t="n">
        <f aca="false">IF(AND(K230&lt;&gt;"",J230&lt;Assumptions!$B$3*K230),K230,J230)</f>
        <v>316086</v>
      </c>
      <c r="M230" s="21" t="str">
        <f aca="false">IF(L230=J230,"FERC Form 1","EIA-861")</f>
        <v>FERC Form 1</v>
      </c>
      <c r="N230" s="28" t="n">
        <f aca="false">E230+F230+G230</f>
        <v>81.491673</v>
      </c>
    </row>
    <row r="231" customFormat="false" ht="15" hidden="false" customHeight="false" outlineLevel="0" collapsed="false">
      <c r="A231" s="7" t="n">
        <v>2025</v>
      </c>
      <c r="B231" s="15" t="s">
        <v>115</v>
      </c>
      <c r="C231" s="15" t="s">
        <v>102</v>
      </c>
      <c r="D231" s="15" t="s">
        <v>103</v>
      </c>
      <c r="E231" s="19" t="n">
        <v>27.17981</v>
      </c>
      <c r="F231" s="19" t="n">
        <v>14.403607</v>
      </c>
      <c r="G231" s="19" t="n">
        <v>48.130716</v>
      </c>
      <c r="H231" s="19" t="n">
        <v>67.218138</v>
      </c>
      <c r="I231" s="19" t="n">
        <v>1317.772421</v>
      </c>
      <c r="J231" s="27" t="n">
        <v>316976</v>
      </c>
      <c r="K231" s="27" t="n">
        <v>316975</v>
      </c>
      <c r="L231" s="9" t="n">
        <f aca="false">IF(AND(K231&lt;&gt;"",J231&lt;Assumptions!$B$3*K231),K231,J231)</f>
        <v>316976</v>
      </c>
      <c r="M231" s="21" t="str">
        <f aca="false">IF(L231=J231,"FERC Form 1","EIA-861")</f>
        <v>FERC Form 1</v>
      </c>
      <c r="N231" s="28" t="n">
        <f aca="false">E231+F231+G231</f>
        <v>89.714133</v>
      </c>
    </row>
    <row r="232" customFormat="false" ht="15" hidden="false" customHeight="false" outlineLevel="0" collapsed="false">
      <c r="A232" s="7" t="n">
        <v>2000</v>
      </c>
      <c r="B232" s="15" t="s">
        <v>116</v>
      </c>
      <c r="C232" s="15" t="s">
        <v>102</v>
      </c>
      <c r="D232" s="15" t="s">
        <v>107</v>
      </c>
      <c r="E232" s="19" t="n">
        <v>39.739834</v>
      </c>
      <c r="F232" s="19" t="n">
        <v>31.245758</v>
      </c>
      <c r="G232" s="19" t="n">
        <v>29.386181</v>
      </c>
      <c r="H232" s="19" t="n">
        <v>46.692189</v>
      </c>
      <c r="I232" s="19" t="n">
        <v>1109.83582</v>
      </c>
      <c r="J232" s="27" t="n">
        <v>680923</v>
      </c>
      <c r="K232" s="27"/>
      <c r="L232" s="9" t="n">
        <f aca="false">IF(AND(K232&lt;&gt;"",J232&lt;Assumptions!$B$3*K232),K232,J232)</f>
        <v>680923</v>
      </c>
      <c r="M232" s="21" t="str">
        <f aca="false">IF(L232=J232,"FERC Form 1","EIA-861")</f>
        <v>FERC Form 1</v>
      </c>
      <c r="N232" s="28" t="n">
        <f aca="false">E232+F232+G232</f>
        <v>100.371773</v>
      </c>
    </row>
    <row r="233" customFormat="false" ht="15" hidden="false" customHeight="false" outlineLevel="0" collapsed="false">
      <c r="A233" s="7" t="n">
        <v>2001</v>
      </c>
      <c r="B233" s="15" t="s">
        <v>116</v>
      </c>
      <c r="C233" s="15" t="s">
        <v>102</v>
      </c>
      <c r="D233" s="15" t="s">
        <v>107</v>
      </c>
      <c r="E233" s="19" t="n">
        <v>43.915228</v>
      </c>
      <c r="F233" s="19" t="n">
        <v>32.960451</v>
      </c>
      <c r="G233" s="19" t="n">
        <v>31.119557</v>
      </c>
      <c r="H233" s="19" t="n">
        <v>39.7859</v>
      </c>
      <c r="I233" s="19" t="n">
        <v>1141.664241</v>
      </c>
      <c r="J233" s="27" t="n">
        <v>684431</v>
      </c>
      <c r="K233" s="27" t="n">
        <v>684431</v>
      </c>
      <c r="L233" s="9" t="n">
        <f aca="false">IF(AND(K233&lt;&gt;"",J233&lt;Assumptions!$B$3*K233),K233,J233)</f>
        <v>684431</v>
      </c>
      <c r="M233" s="21" t="str">
        <f aca="false">IF(L233=J233,"FERC Form 1","EIA-861")</f>
        <v>FERC Form 1</v>
      </c>
      <c r="N233" s="28" t="n">
        <f aca="false">E233+F233+G233</f>
        <v>107.995236</v>
      </c>
    </row>
    <row r="234" customFormat="false" ht="15" hidden="false" customHeight="false" outlineLevel="0" collapsed="false">
      <c r="A234" s="7" t="n">
        <v>2002</v>
      </c>
      <c r="B234" s="15" t="s">
        <v>116</v>
      </c>
      <c r="C234" s="15" t="s">
        <v>102</v>
      </c>
      <c r="D234" s="15" t="s">
        <v>107</v>
      </c>
      <c r="E234" s="19" t="n">
        <v>48.530543</v>
      </c>
      <c r="F234" s="19" t="n">
        <v>27.048864</v>
      </c>
      <c r="G234" s="19" t="n">
        <v>31.244943</v>
      </c>
      <c r="H234" s="19" t="n">
        <v>41.325832</v>
      </c>
      <c r="I234" s="19" t="n">
        <v>1176.103762</v>
      </c>
      <c r="J234" s="27" t="n">
        <v>689422</v>
      </c>
      <c r="K234" s="27" t="n">
        <v>689422</v>
      </c>
      <c r="L234" s="9" t="n">
        <f aca="false">IF(AND(K234&lt;&gt;"",J234&lt;Assumptions!$B$3*K234),K234,J234)</f>
        <v>689422</v>
      </c>
      <c r="M234" s="21" t="str">
        <f aca="false">IF(L234=J234,"FERC Form 1","EIA-861")</f>
        <v>FERC Form 1</v>
      </c>
      <c r="N234" s="28" t="n">
        <f aca="false">E234+F234+G234</f>
        <v>106.82435</v>
      </c>
    </row>
    <row r="235" customFormat="false" ht="15" hidden="false" customHeight="false" outlineLevel="0" collapsed="false">
      <c r="A235" s="7" t="n">
        <v>2003</v>
      </c>
      <c r="B235" s="15" t="s">
        <v>116</v>
      </c>
      <c r="C235" s="15" t="s">
        <v>102</v>
      </c>
      <c r="D235" s="15" t="s">
        <v>107</v>
      </c>
      <c r="E235" s="19" t="n">
        <v>45.138152</v>
      </c>
      <c r="F235" s="19" t="n">
        <v>24.213515</v>
      </c>
      <c r="G235" s="19" t="n">
        <v>31.419942</v>
      </c>
      <c r="H235" s="19" t="n">
        <v>45.965212</v>
      </c>
      <c r="I235" s="19" t="n">
        <v>1217.687366</v>
      </c>
      <c r="J235" s="27" t="n">
        <v>694412</v>
      </c>
      <c r="K235" s="27" t="n">
        <v>694412</v>
      </c>
      <c r="L235" s="9" t="n">
        <f aca="false">IF(AND(K235&lt;&gt;"",J235&lt;Assumptions!$B$3*K235),K235,J235)</f>
        <v>694412</v>
      </c>
      <c r="M235" s="21" t="str">
        <f aca="false">IF(L235=J235,"FERC Form 1","EIA-861")</f>
        <v>FERC Form 1</v>
      </c>
      <c r="N235" s="28" t="n">
        <f aca="false">E235+F235+G235</f>
        <v>100.771609</v>
      </c>
    </row>
    <row r="236" customFormat="false" ht="15" hidden="false" customHeight="false" outlineLevel="0" collapsed="false">
      <c r="A236" s="7" t="n">
        <v>2004</v>
      </c>
      <c r="B236" s="15" t="s">
        <v>116</v>
      </c>
      <c r="C236" s="15" t="s">
        <v>102</v>
      </c>
      <c r="D236" s="15" t="s">
        <v>107</v>
      </c>
      <c r="E236" s="19" t="n">
        <v>43.866918</v>
      </c>
      <c r="F236" s="19" t="n">
        <v>28.855254</v>
      </c>
      <c r="G236" s="19" t="n">
        <v>31.826475</v>
      </c>
      <c r="H236" s="19" t="n">
        <v>48.389627</v>
      </c>
      <c r="I236" s="19" t="n">
        <v>1259.254484</v>
      </c>
      <c r="J236" s="27" t="n">
        <v>698079</v>
      </c>
      <c r="K236" s="27" t="n">
        <v>698079</v>
      </c>
      <c r="L236" s="9" t="n">
        <f aca="false">IF(AND(K236&lt;&gt;"",J236&lt;Assumptions!$B$3*K236),K236,J236)</f>
        <v>698079</v>
      </c>
      <c r="M236" s="21" t="str">
        <f aca="false">IF(L236=J236,"FERC Form 1","EIA-861")</f>
        <v>FERC Form 1</v>
      </c>
      <c r="N236" s="28" t="n">
        <f aca="false">E236+F236+G236</f>
        <v>104.548647</v>
      </c>
    </row>
    <row r="237" customFormat="false" ht="15" hidden="false" customHeight="false" outlineLevel="0" collapsed="false">
      <c r="A237" s="7" t="n">
        <v>2005</v>
      </c>
      <c r="B237" s="15" t="s">
        <v>116</v>
      </c>
      <c r="C237" s="15" t="s">
        <v>102</v>
      </c>
      <c r="D237" s="15" t="s">
        <v>107</v>
      </c>
      <c r="E237" s="19" t="n">
        <v>47.221178</v>
      </c>
      <c r="F237" s="19" t="n">
        <v>27.546869</v>
      </c>
      <c r="G237" s="19" t="n">
        <v>33.607629</v>
      </c>
      <c r="H237" s="19" t="n">
        <v>49.352499</v>
      </c>
      <c r="I237" s="19" t="n">
        <v>1301.524295</v>
      </c>
      <c r="J237" s="27" t="n">
        <v>702792</v>
      </c>
      <c r="K237" s="27" t="n">
        <v>702792</v>
      </c>
      <c r="L237" s="9" t="n">
        <f aca="false">IF(AND(K237&lt;&gt;"",J237&lt;Assumptions!$B$3*K237),K237,J237)</f>
        <v>702792</v>
      </c>
      <c r="M237" s="21" t="str">
        <f aca="false">IF(L237=J237,"FERC Form 1","EIA-861")</f>
        <v>FERC Form 1</v>
      </c>
      <c r="N237" s="28" t="n">
        <f aca="false">E237+F237+G237</f>
        <v>108.375676</v>
      </c>
    </row>
    <row r="238" customFormat="false" ht="15" hidden="false" customHeight="false" outlineLevel="0" collapsed="false">
      <c r="A238" s="7" t="n">
        <v>2006</v>
      </c>
      <c r="B238" s="15" t="s">
        <v>116</v>
      </c>
      <c r="C238" s="15" t="s">
        <v>102</v>
      </c>
      <c r="D238" s="15" t="s">
        <v>107</v>
      </c>
      <c r="E238" s="19" t="n">
        <v>47.929916</v>
      </c>
      <c r="F238" s="19" t="n">
        <v>27.653727</v>
      </c>
      <c r="G238" s="19" t="n">
        <v>33.488342</v>
      </c>
      <c r="H238" s="19" t="n">
        <v>52.146952</v>
      </c>
      <c r="I238" s="19" t="n">
        <v>1346.597439</v>
      </c>
      <c r="J238" s="27" t="n">
        <v>707058</v>
      </c>
      <c r="K238" s="27" t="n">
        <v>707058</v>
      </c>
      <c r="L238" s="9" t="n">
        <f aca="false">IF(AND(K238&lt;&gt;"",J238&lt;Assumptions!$B$3*K238),K238,J238)</f>
        <v>707058</v>
      </c>
      <c r="M238" s="21" t="str">
        <f aca="false">IF(L238=J238,"FERC Form 1","EIA-861")</f>
        <v>FERC Form 1</v>
      </c>
      <c r="N238" s="28" t="n">
        <f aca="false">E238+F238+G238</f>
        <v>109.071985</v>
      </c>
    </row>
    <row r="239" customFormat="false" ht="15" hidden="false" customHeight="false" outlineLevel="0" collapsed="false">
      <c r="A239" s="7" t="n">
        <v>2007</v>
      </c>
      <c r="B239" s="15" t="s">
        <v>116</v>
      </c>
      <c r="C239" s="15" t="s">
        <v>102</v>
      </c>
      <c r="D239" s="15" t="s">
        <v>107</v>
      </c>
      <c r="E239" s="19" t="n">
        <v>44.631001</v>
      </c>
      <c r="F239" s="19" t="n">
        <v>28.879055</v>
      </c>
      <c r="G239" s="19" t="n">
        <v>35.572374</v>
      </c>
      <c r="H239" s="19" t="n">
        <v>63.012918</v>
      </c>
      <c r="I239" s="19" t="n">
        <v>1403.640745</v>
      </c>
      <c r="J239" s="27" t="n">
        <v>711050</v>
      </c>
      <c r="K239" s="27" t="n">
        <v>711050</v>
      </c>
      <c r="L239" s="9" t="n">
        <f aca="false">IF(AND(K239&lt;&gt;"",J239&lt;Assumptions!$B$3*K239),K239,J239)</f>
        <v>711050</v>
      </c>
      <c r="M239" s="21" t="str">
        <f aca="false">IF(L239=J239,"FERC Form 1","EIA-861")</f>
        <v>FERC Form 1</v>
      </c>
      <c r="N239" s="28" t="n">
        <f aca="false">E239+F239+G239</f>
        <v>109.08243</v>
      </c>
    </row>
    <row r="240" customFormat="false" ht="15" hidden="false" customHeight="false" outlineLevel="0" collapsed="false">
      <c r="A240" s="7" t="n">
        <v>2008</v>
      </c>
      <c r="B240" s="15" t="s">
        <v>116</v>
      </c>
      <c r="C240" s="15" t="s">
        <v>102</v>
      </c>
      <c r="D240" s="15" t="s">
        <v>107</v>
      </c>
      <c r="E240" s="19" t="n">
        <v>45.555001</v>
      </c>
      <c r="F240" s="19" t="n">
        <v>29.11083</v>
      </c>
      <c r="G240" s="19" t="n">
        <v>37.353565</v>
      </c>
      <c r="H240" s="19" t="n">
        <v>59.608776</v>
      </c>
      <c r="I240" s="19" t="n">
        <v>1456.182359</v>
      </c>
      <c r="J240" s="27" t="n">
        <v>713401</v>
      </c>
      <c r="K240" s="27" t="n">
        <v>713401</v>
      </c>
      <c r="L240" s="9" t="n">
        <f aca="false">IF(AND(K240&lt;&gt;"",J240&lt;Assumptions!$B$3*K240),K240,J240)</f>
        <v>713401</v>
      </c>
      <c r="M240" s="21" t="str">
        <f aca="false">IF(L240=J240,"FERC Form 1","EIA-861")</f>
        <v>FERC Form 1</v>
      </c>
      <c r="N240" s="28" t="n">
        <f aca="false">E240+F240+G240</f>
        <v>112.019396</v>
      </c>
    </row>
    <row r="241" customFormat="false" ht="15" hidden="false" customHeight="false" outlineLevel="0" collapsed="false">
      <c r="A241" s="7" t="n">
        <v>2009</v>
      </c>
      <c r="B241" s="15" t="s">
        <v>116</v>
      </c>
      <c r="C241" s="15" t="s">
        <v>102</v>
      </c>
      <c r="D241" s="15" t="s">
        <v>107</v>
      </c>
      <c r="E241" s="19" t="n">
        <v>40.755371</v>
      </c>
      <c r="F241" s="19" t="n">
        <v>30.488263</v>
      </c>
      <c r="G241" s="19" t="n">
        <v>40.089639</v>
      </c>
      <c r="H241" s="19" t="n">
        <v>59.611164</v>
      </c>
      <c r="I241" s="19" t="n">
        <v>1509.555976</v>
      </c>
      <c r="J241" s="27" t="n">
        <v>714966</v>
      </c>
      <c r="K241" s="27" t="n">
        <v>714966</v>
      </c>
      <c r="L241" s="9" t="n">
        <f aca="false">IF(AND(K241&lt;&gt;"",J241&lt;Assumptions!$B$3*K241),K241,J241)</f>
        <v>714966</v>
      </c>
      <c r="M241" s="21" t="str">
        <f aca="false">IF(L241=J241,"FERC Form 1","EIA-861")</f>
        <v>FERC Form 1</v>
      </c>
      <c r="N241" s="28" t="n">
        <f aca="false">E241+F241+G241</f>
        <v>111.333273</v>
      </c>
    </row>
    <row r="242" customFormat="false" ht="15" hidden="false" customHeight="false" outlineLevel="0" collapsed="false">
      <c r="A242" s="7" t="n">
        <v>2010</v>
      </c>
      <c r="B242" s="15" t="s">
        <v>116</v>
      </c>
      <c r="C242" s="15" t="s">
        <v>102</v>
      </c>
      <c r="D242" s="15" t="s">
        <v>107</v>
      </c>
      <c r="E242" s="19" t="n">
        <v>56.826596</v>
      </c>
      <c r="F242" s="19" t="n">
        <v>38.346427</v>
      </c>
      <c r="G242" s="19" t="n">
        <v>38.222757</v>
      </c>
      <c r="H242" s="19" t="n">
        <v>57.234368</v>
      </c>
      <c r="I242" s="19" t="n">
        <v>1557.775162</v>
      </c>
      <c r="J242" s="27" t="n">
        <v>716108</v>
      </c>
      <c r="K242" s="27" t="n">
        <v>716108</v>
      </c>
      <c r="L242" s="9" t="n">
        <f aca="false">IF(AND(K242&lt;&gt;"",J242&lt;Assumptions!$B$3*K242),K242,J242)</f>
        <v>716108</v>
      </c>
      <c r="M242" s="21" t="str">
        <f aca="false">IF(L242=J242,"FERC Form 1","EIA-861")</f>
        <v>FERC Form 1</v>
      </c>
      <c r="N242" s="28" t="n">
        <f aca="false">E242+F242+G242</f>
        <v>133.39578</v>
      </c>
    </row>
    <row r="243" customFormat="false" ht="15" hidden="false" customHeight="false" outlineLevel="0" collapsed="false">
      <c r="A243" s="7" t="n">
        <v>2011</v>
      </c>
      <c r="B243" s="15" t="s">
        <v>116</v>
      </c>
      <c r="C243" s="15" t="s">
        <v>102</v>
      </c>
      <c r="D243" s="15" t="s">
        <v>107</v>
      </c>
      <c r="E243" s="19" t="n">
        <v>38.585348</v>
      </c>
      <c r="F243" s="19" t="n">
        <v>53.377539</v>
      </c>
      <c r="G243" s="19" t="n">
        <v>39.452393</v>
      </c>
      <c r="H243" s="19" t="n">
        <v>88.267523</v>
      </c>
      <c r="I243" s="19" t="n">
        <v>1640.148969</v>
      </c>
      <c r="J243" s="27" t="n">
        <v>717269</v>
      </c>
      <c r="K243" s="27" t="n">
        <v>717269</v>
      </c>
      <c r="L243" s="9" t="n">
        <f aca="false">IF(AND(K243&lt;&gt;"",J243&lt;Assumptions!$B$3*K243),K243,J243)</f>
        <v>717269</v>
      </c>
      <c r="M243" s="21" t="str">
        <f aca="false">IF(L243=J243,"FERC Form 1","EIA-861")</f>
        <v>FERC Form 1</v>
      </c>
      <c r="N243" s="28" t="n">
        <f aca="false">E243+F243+G243</f>
        <v>131.41528</v>
      </c>
    </row>
    <row r="244" customFormat="false" ht="15" hidden="false" customHeight="false" outlineLevel="0" collapsed="false">
      <c r="A244" s="7" t="n">
        <v>2012</v>
      </c>
      <c r="B244" s="15" t="s">
        <v>116</v>
      </c>
      <c r="C244" s="15" t="s">
        <v>102</v>
      </c>
      <c r="D244" s="15" t="s">
        <v>107</v>
      </c>
      <c r="E244" s="19" t="n">
        <v>18.850978</v>
      </c>
      <c r="F244" s="19" t="n">
        <v>49.578325</v>
      </c>
      <c r="G244" s="19" t="n">
        <v>30.499823</v>
      </c>
      <c r="H244" s="19" t="n">
        <v>109.22608</v>
      </c>
      <c r="I244" s="19" t="n">
        <v>1739.339738</v>
      </c>
      <c r="J244" s="27" t="n">
        <v>716955</v>
      </c>
      <c r="K244" s="27" t="n">
        <v>716955</v>
      </c>
      <c r="L244" s="9" t="n">
        <f aca="false">IF(AND(K244&lt;&gt;"",J244&lt;Assumptions!$B$3*K244),K244,J244)</f>
        <v>716955</v>
      </c>
      <c r="M244" s="21" t="str">
        <f aca="false">IF(L244=J244,"FERC Form 1","EIA-861")</f>
        <v>FERC Form 1</v>
      </c>
      <c r="N244" s="28" t="n">
        <f aca="false">E244+F244+G244</f>
        <v>98.929126</v>
      </c>
    </row>
    <row r="245" customFormat="false" ht="15" hidden="false" customHeight="false" outlineLevel="0" collapsed="false">
      <c r="A245" s="7" t="n">
        <v>2013</v>
      </c>
      <c r="B245" s="15" t="s">
        <v>116</v>
      </c>
      <c r="C245" s="15" t="s">
        <v>102</v>
      </c>
      <c r="D245" s="15" t="s">
        <v>107</v>
      </c>
      <c r="E245" s="19" t="n">
        <v>37.858731</v>
      </c>
      <c r="F245" s="19" t="n">
        <v>48.408174</v>
      </c>
      <c r="G245" s="19" t="n">
        <v>32.824395</v>
      </c>
      <c r="H245" s="19" t="n">
        <v>110.210393</v>
      </c>
      <c r="I245" s="19" t="n">
        <v>1828.486217</v>
      </c>
      <c r="J245" s="27" t="n">
        <v>717894</v>
      </c>
      <c r="K245" s="27" t="n">
        <v>717894</v>
      </c>
      <c r="L245" s="9" t="n">
        <f aca="false">IF(AND(K245&lt;&gt;"",J245&lt;Assumptions!$B$3*K245),K245,J245)</f>
        <v>717894</v>
      </c>
      <c r="M245" s="21" t="str">
        <f aca="false">IF(L245=J245,"FERC Form 1","EIA-861")</f>
        <v>FERC Form 1</v>
      </c>
      <c r="N245" s="28" t="n">
        <f aca="false">E245+F245+G245</f>
        <v>119.0913</v>
      </c>
    </row>
    <row r="246" customFormat="false" ht="15" hidden="false" customHeight="false" outlineLevel="0" collapsed="false">
      <c r="A246" s="7" t="n">
        <v>2014</v>
      </c>
      <c r="B246" s="15" t="s">
        <v>116</v>
      </c>
      <c r="C246" s="15" t="s">
        <v>102</v>
      </c>
      <c r="D246" s="15" t="s">
        <v>107</v>
      </c>
      <c r="E246" s="19" t="n">
        <v>38.563911</v>
      </c>
      <c r="F246" s="19" t="n">
        <v>49.107172</v>
      </c>
      <c r="G246" s="19" t="n">
        <v>35.267498</v>
      </c>
      <c r="H246" s="19" t="n">
        <v>81.147968</v>
      </c>
      <c r="I246" s="19" t="n">
        <v>1917.62745</v>
      </c>
      <c r="J246" s="27" t="n">
        <v>719944</v>
      </c>
      <c r="K246" s="27" t="n">
        <v>719944</v>
      </c>
      <c r="L246" s="9" t="n">
        <f aca="false">IF(AND(K246&lt;&gt;"",J246&lt;Assumptions!$B$3*K246),K246,J246)</f>
        <v>719944</v>
      </c>
      <c r="M246" s="21" t="str">
        <f aca="false">IF(L246=J246,"FERC Form 1","EIA-861")</f>
        <v>FERC Form 1</v>
      </c>
      <c r="N246" s="28" t="n">
        <f aca="false">E246+F246+G246</f>
        <v>122.938581</v>
      </c>
    </row>
    <row r="247" customFormat="false" ht="15" hidden="false" customHeight="false" outlineLevel="0" collapsed="false">
      <c r="A247" s="7" t="n">
        <v>2015</v>
      </c>
      <c r="B247" s="15" t="s">
        <v>116</v>
      </c>
      <c r="C247" s="15" t="s">
        <v>102</v>
      </c>
      <c r="D247" s="15" t="s">
        <v>107</v>
      </c>
      <c r="E247" s="19" t="n">
        <v>54.854455</v>
      </c>
      <c r="F247" s="19" t="n">
        <v>56.810796</v>
      </c>
      <c r="G247" s="19" t="n">
        <v>45.998809</v>
      </c>
      <c r="H247" s="19" t="n">
        <v>94.484855</v>
      </c>
      <c r="I247" s="19" t="n">
        <v>1910.857115</v>
      </c>
      <c r="J247" s="27" t="n">
        <v>721791</v>
      </c>
      <c r="K247" s="27" t="n">
        <v>721791</v>
      </c>
      <c r="L247" s="9" t="n">
        <f aca="false">IF(AND(K247&lt;&gt;"",J247&lt;Assumptions!$B$3*K247),K247,J247)</f>
        <v>721791</v>
      </c>
      <c r="M247" s="21" t="str">
        <f aca="false">IF(L247=J247,"FERC Form 1","EIA-861")</f>
        <v>FERC Form 1</v>
      </c>
      <c r="N247" s="28" t="n">
        <f aca="false">E247+F247+G247</f>
        <v>157.66406</v>
      </c>
    </row>
    <row r="248" customFormat="false" ht="15" hidden="false" customHeight="false" outlineLevel="0" collapsed="false">
      <c r="A248" s="7" t="n">
        <v>2016</v>
      </c>
      <c r="B248" s="15" t="s">
        <v>116</v>
      </c>
      <c r="C248" s="15" t="s">
        <v>102</v>
      </c>
      <c r="D248" s="15" t="s">
        <v>107</v>
      </c>
      <c r="E248" s="19" t="n">
        <v>48.705748</v>
      </c>
      <c r="F248" s="19" t="n">
        <v>68.095505</v>
      </c>
      <c r="G248" s="19" t="n">
        <v>48.148637</v>
      </c>
      <c r="H248" s="19" t="n">
        <v>130.11317</v>
      </c>
      <c r="I248" s="19" t="n">
        <v>1905.517521</v>
      </c>
      <c r="J248" s="27" t="n">
        <v>723352</v>
      </c>
      <c r="K248" s="27" t="n">
        <v>723352</v>
      </c>
      <c r="L248" s="9" t="n">
        <f aca="false">IF(AND(K248&lt;&gt;"",J248&lt;Assumptions!$B$3*K248),K248,J248)</f>
        <v>723352</v>
      </c>
      <c r="M248" s="21" t="str">
        <f aca="false">IF(L248=J248,"FERC Form 1","EIA-861")</f>
        <v>FERC Form 1</v>
      </c>
      <c r="N248" s="28" t="n">
        <f aca="false">E248+F248+G248</f>
        <v>164.94989</v>
      </c>
    </row>
    <row r="249" customFormat="false" ht="15" hidden="false" customHeight="false" outlineLevel="0" collapsed="false">
      <c r="A249" s="7" t="n">
        <v>2017</v>
      </c>
      <c r="B249" s="15" t="s">
        <v>116</v>
      </c>
      <c r="C249" s="15" t="s">
        <v>102</v>
      </c>
      <c r="D249" s="15" t="s">
        <v>107</v>
      </c>
      <c r="E249" s="19" t="n">
        <v>67.502107</v>
      </c>
      <c r="F249" s="19" t="n">
        <v>72.900611</v>
      </c>
      <c r="G249" s="19" t="n">
        <v>40.349505</v>
      </c>
      <c r="H249" s="19" t="n">
        <v>137.615175</v>
      </c>
      <c r="I249" s="19" t="n">
        <v>2020.389059</v>
      </c>
      <c r="J249" s="27" t="n">
        <v>724589</v>
      </c>
      <c r="K249" s="27" t="n">
        <v>724589</v>
      </c>
      <c r="L249" s="9" t="n">
        <f aca="false">IF(AND(K249&lt;&gt;"",J249&lt;Assumptions!$B$3*K249),K249,J249)</f>
        <v>724589</v>
      </c>
      <c r="M249" s="21" t="str">
        <f aca="false">IF(L249=J249,"FERC Form 1","EIA-861")</f>
        <v>FERC Form 1</v>
      </c>
      <c r="N249" s="28" t="n">
        <f aca="false">E249+F249+G249</f>
        <v>180.752223</v>
      </c>
    </row>
    <row r="250" customFormat="false" ht="15" hidden="false" customHeight="false" outlineLevel="0" collapsed="false">
      <c r="A250" s="7" t="n">
        <v>2018</v>
      </c>
      <c r="B250" s="15" t="s">
        <v>116</v>
      </c>
      <c r="C250" s="15" t="s">
        <v>102</v>
      </c>
      <c r="D250" s="15" t="s">
        <v>107</v>
      </c>
      <c r="E250" s="19" t="n">
        <v>83.936216</v>
      </c>
      <c r="F250" s="19" t="n">
        <v>68.507176</v>
      </c>
      <c r="G250" s="19" t="n">
        <v>51.726588</v>
      </c>
      <c r="H250" s="19" t="n">
        <v>203.511574</v>
      </c>
      <c r="I250" s="19" t="n">
        <v>2192.07699</v>
      </c>
      <c r="J250" s="27" t="n">
        <v>726159</v>
      </c>
      <c r="K250" s="27" t="n">
        <v>726645</v>
      </c>
      <c r="L250" s="9" t="n">
        <f aca="false">IF(AND(K250&lt;&gt;"",J250&lt;Assumptions!$B$3*K250),K250,J250)</f>
        <v>726159</v>
      </c>
      <c r="M250" s="21" t="str">
        <f aca="false">IF(L250=J250,"FERC Form 1","EIA-861")</f>
        <v>FERC Form 1</v>
      </c>
      <c r="N250" s="28" t="n">
        <f aca="false">E250+F250+G250</f>
        <v>204.16998</v>
      </c>
    </row>
    <row r="251" customFormat="false" ht="15" hidden="false" customHeight="false" outlineLevel="0" collapsed="false">
      <c r="A251" s="7" t="n">
        <v>2019</v>
      </c>
      <c r="B251" s="15" t="s">
        <v>116</v>
      </c>
      <c r="C251" s="15" t="s">
        <v>102</v>
      </c>
      <c r="D251" s="15" t="s">
        <v>107</v>
      </c>
      <c r="E251" s="19" t="n">
        <v>85.052881</v>
      </c>
      <c r="F251" s="19" t="n">
        <v>63.755037</v>
      </c>
      <c r="G251" s="19" t="n">
        <v>56.553964</v>
      </c>
      <c r="H251" s="19" t="n">
        <v>190.335536</v>
      </c>
      <c r="I251" s="19" t="n">
        <v>2368.616466</v>
      </c>
      <c r="J251" s="27" t="n">
        <v>727552</v>
      </c>
      <c r="K251" s="27" t="n">
        <v>727551</v>
      </c>
      <c r="L251" s="9" t="n">
        <f aca="false">IF(AND(K251&lt;&gt;"",J251&lt;Assumptions!$B$3*K251),K251,J251)</f>
        <v>727552</v>
      </c>
      <c r="M251" s="21" t="str">
        <f aca="false">IF(L251=J251,"FERC Form 1","EIA-861")</f>
        <v>FERC Form 1</v>
      </c>
      <c r="N251" s="28" t="n">
        <f aca="false">E251+F251+G251</f>
        <v>205.361882</v>
      </c>
    </row>
    <row r="252" customFormat="false" ht="15" hidden="false" customHeight="false" outlineLevel="0" collapsed="false">
      <c r="A252" s="7" t="n">
        <v>2020</v>
      </c>
      <c r="B252" s="15" t="s">
        <v>116</v>
      </c>
      <c r="C252" s="15" t="s">
        <v>102</v>
      </c>
      <c r="D252" s="15" t="s">
        <v>107</v>
      </c>
      <c r="E252" s="19" t="n">
        <v>75.302753</v>
      </c>
      <c r="F252" s="19" t="n">
        <v>66.076012</v>
      </c>
      <c r="G252" s="19" t="n">
        <v>61.541539</v>
      </c>
      <c r="H252" s="19" t="n">
        <v>125.859916</v>
      </c>
      <c r="I252" s="19" t="n">
        <v>2478.633195</v>
      </c>
      <c r="J252" s="27" t="n">
        <v>730526</v>
      </c>
      <c r="K252" s="27" t="n">
        <v>730527</v>
      </c>
      <c r="L252" s="9" t="n">
        <f aca="false">IF(AND(K252&lt;&gt;"",J252&lt;Assumptions!$B$3*K252),K252,J252)</f>
        <v>730526</v>
      </c>
      <c r="M252" s="21" t="str">
        <f aca="false">IF(L252=J252,"FERC Form 1","EIA-861")</f>
        <v>FERC Form 1</v>
      </c>
      <c r="N252" s="28" t="n">
        <f aca="false">E252+F252+G252</f>
        <v>202.920304</v>
      </c>
    </row>
    <row r="253" customFormat="false" ht="15" hidden="false" customHeight="false" outlineLevel="0" collapsed="false">
      <c r="A253" s="7" t="n">
        <v>2021</v>
      </c>
      <c r="B253" s="15" t="s">
        <v>116</v>
      </c>
      <c r="C253" s="15" t="s">
        <v>102</v>
      </c>
      <c r="D253" s="15" t="s">
        <v>107</v>
      </c>
      <c r="E253" s="19" t="n">
        <v>78.243131</v>
      </c>
      <c r="F253" s="19" t="n">
        <v>58.060562</v>
      </c>
      <c r="G253" s="19" t="n">
        <v>66.219129</v>
      </c>
      <c r="H253" s="19" t="n">
        <v>134.983206</v>
      </c>
      <c r="I253" s="19" t="n">
        <v>2597.230465</v>
      </c>
      <c r="J253" s="27" t="n">
        <v>733761</v>
      </c>
      <c r="K253" s="27" t="n">
        <v>733761</v>
      </c>
      <c r="L253" s="9" t="n">
        <f aca="false">IF(AND(K253&lt;&gt;"",J253&lt;Assumptions!$B$3*K253),K253,J253)</f>
        <v>733761</v>
      </c>
      <c r="M253" s="21" t="str">
        <f aca="false">IF(L253=J253,"FERC Form 1","EIA-861")</f>
        <v>FERC Form 1</v>
      </c>
      <c r="N253" s="28" t="n">
        <f aca="false">E253+F253+G253</f>
        <v>202.522822</v>
      </c>
    </row>
    <row r="254" customFormat="false" ht="15" hidden="false" customHeight="false" outlineLevel="0" collapsed="false">
      <c r="A254" s="7" t="n">
        <v>2022</v>
      </c>
      <c r="B254" s="15" t="s">
        <v>116</v>
      </c>
      <c r="C254" s="15" t="s">
        <v>102</v>
      </c>
      <c r="D254" s="15" t="s">
        <v>107</v>
      </c>
      <c r="E254" s="19" t="n">
        <v>112.917189</v>
      </c>
      <c r="F254" s="19" t="n">
        <v>72.571335</v>
      </c>
      <c r="G254" s="19" t="n">
        <v>70.946636</v>
      </c>
      <c r="H254" s="19" t="n">
        <v>111.213119</v>
      </c>
      <c r="I254" s="19" t="n">
        <v>2649.969385</v>
      </c>
      <c r="J254" s="27" t="n">
        <v>735509</v>
      </c>
      <c r="K254" s="27" t="n">
        <v>735510</v>
      </c>
      <c r="L254" s="9" t="n">
        <f aca="false">IF(AND(K254&lt;&gt;"",J254&lt;Assumptions!$B$3*K254),K254,J254)</f>
        <v>735509</v>
      </c>
      <c r="M254" s="21" t="str">
        <f aca="false">IF(L254=J254,"FERC Form 1","EIA-861")</f>
        <v>FERC Form 1</v>
      </c>
      <c r="N254" s="28" t="n">
        <f aca="false">E254+F254+G254</f>
        <v>256.43516</v>
      </c>
    </row>
    <row r="255" customFormat="false" ht="15" hidden="false" customHeight="false" outlineLevel="0" collapsed="false">
      <c r="A255" s="7" t="n">
        <v>2023</v>
      </c>
      <c r="B255" s="15" t="s">
        <v>116</v>
      </c>
      <c r="C255" s="15" t="s">
        <v>102</v>
      </c>
      <c r="D255" s="15" t="s">
        <v>107</v>
      </c>
      <c r="E255" s="19" t="n">
        <v>90.332097</v>
      </c>
      <c r="F255" s="19" t="n">
        <v>73.664006</v>
      </c>
      <c r="G255" s="19" t="n">
        <v>73.444947</v>
      </c>
      <c r="H255" s="19" t="n">
        <v>132.792566</v>
      </c>
      <c r="I255" s="19" t="n">
        <v>2764.134789</v>
      </c>
      <c r="J255" s="27" t="n">
        <v>737355</v>
      </c>
      <c r="K255" s="27" t="n">
        <v>737357</v>
      </c>
      <c r="L255" s="9" t="n">
        <f aca="false">IF(AND(K255&lt;&gt;"",J255&lt;Assumptions!$B$3*K255),K255,J255)</f>
        <v>737355</v>
      </c>
      <c r="M255" s="21" t="str">
        <f aca="false">IF(L255=J255,"FERC Form 1","EIA-861")</f>
        <v>FERC Form 1</v>
      </c>
      <c r="N255" s="28" t="n">
        <f aca="false">E255+F255+G255</f>
        <v>237.44105</v>
      </c>
    </row>
    <row r="256" customFormat="false" ht="15" hidden="false" customHeight="false" outlineLevel="0" collapsed="false">
      <c r="A256" s="7" t="n">
        <v>2000</v>
      </c>
      <c r="B256" s="15" t="s">
        <v>134</v>
      </c>
      <c r="C256" s="15" t="s">
        <v>135</v>
      </c>
      <c r="D256" s="15" t="s">
        <v>136</v>
      </c>
      <c r="E256" s="19" t="n">
        <v>12.484589</v>
      </c>
      <c r="F256" s="19" t="n">
        <v>25.58908</v>
      </c>
      <c r="G256" s="19" t="n">
        <v>10.071165</v>
      </c>
      <c r="H256" s="19" t="n">
        <v>8.930011</v>
      </c>
      <c r="I256" s="19" t="n">
        <v>294.857159</v>
      </c>
      <c r="J256" s="27" t="n">
        <v>129789</v>
      </c>
      <c r="K256" s="27"/>
      <c r="L256" s="9" t="n">
        <f aca="false">IF(AND(K256&lt;&gt;"",J256&lt;Assumptions!$B$3*K256),K256,J256)</f>
        <v>129789</v>
      </c>
      <c r="M256" s="21" t="str">
        <f aca="false">IF(L256=J256,"FERC Form 1","EIA-861")</f>
        <v>FERC Form 1</v>
      </c>
      <c r="N256" s="28" t="n">
        <f aca="false">E256+F256+G256</f>
        <v>48.144834</v>
      </c>
    </row>
    <row r="257" customFormat="false" ht="15" hidden="false" customHeight="false" outlineLevel="0" collapsed="false">
      <c r="A257" s="7" t="n">
        <v>2001</v>
      </c>
      <c r="B257" s="15" t="s">
        <v>134</v>
      </c>
      <c r="C257" s="15" t="s">
        <v>135</v>
      </c>
      <c r="D257" s="15" t="s">
        <v>136</v>
      </c>
      <c r="E257" s="19" t="n">
        <v>15.205226</v>
      </c>
      <c r="F257" s="19" t="n">
        <v>19.045024</v>
      </c>
      <c r="G257" s="19" t="n">
        <v>8.532648</v>
      </c>
      <c r="H257" s="19" t="n">
        <v>8.006543</v>
      </c>
      <c r="I257" s="19" t="n">
        <v>301.92761</v>
      </c>
      <c r="J257" s="27" t="n">
        <v>131401</v>
      </c>
      <c r="K257" s="27" t="n">
        <v>129564</v>
      </c>
      <c r="L257" s="9" t="n">
        <f aca="false">IF(AND(K257&lt;&gt;"",J257&lt;Assumptions!$B$3*K257),K257,J257)</f>
        <v>131401</v>
      </c>
      <c r="M257" s="21" t="str">
        <f aca="false">IF(L257=J257,"FERC Form 1","EIA-861")</f>
        <v>FERC Form 1</v>
      </c>
      <c r="N257" s="28" t="n">
        <f aca="false">E257+F257+G257</f>
        <v>42.782898</v>
      </c>
    </row>
    <row r="258" customFormat="false" ht="15" hidden="false" customHeight="false" outlineLevel="0" collapsed="false">
      <c r="A258" s="7" t="n">
        <v>2002</v>
      </c>
      <c r="B258" s="15" t="s">
        <v>134</v>
      </c>
      <c r="C258" s="15" t="s">
        <v>135</v>
      </c>
      <c r="D258" s="15" t="s">
        <v>136</v>
      </c>
      <c r="E258" s="19" t="n">
        <v>14.181512</v>
      </c>
      <c r="F258" s="19" t="n">
        <v>16.441904</v>
      </c>
      <c r="G258" s="19" t="n">
        <v>9.25533</v>
      </c>
      <c r="H258" s="19" t="n">
        <v>14.861898</v>
      </c>
      <c r="I258" s="19" t="n">
        <v>317.27785</v>
      </c>
      <c r="J258" s="27" t="n">
        <v>132491</v>
      </c>
      <c r="K258" s="27" t="n">
        <v>132491</v>
      </c>
      <c r="L258" s="9" t="n">
        <f aca="false">IF(AND(K258&lt;&gt;"",J258&lt;Assumptions!$B$3*K258),K258,J258)</f>
        <v>132491</v>
      </c>
      <c r="M258" s="21" t="str">
        <f aca="false">IF(L258=J258,"FERC Form 1","EIA-861")</f>
        <v>FERC Form 1</v>
      </c>
      <c r="N258" s="28" t="n">
        <f aca="false">E258+F258+G258</f>
        <v>39.878746</v>
      </c>
    </row>
    <row r="259" customFormat="false" ht="15" hidden="false" customHeight="false" outlineLevel="0" collapsed="false">
      <c r="A259" s="7" t="n">
        <v>2003</v>
      </c>
      <c r="B259" s="15" t="s">
        <v>134</v>
      </c>
      <c r="C259" s="15" t="s">
        <v>135</v>
      </c>
      <c r="D259" s="15" t="s">
        <v>136</v>
      </c>
      <c r="E259" s="19" t="n">
        <v>14.469781</v>
      </c>
      <c r="F259" s="19" t="n">
        <v>14.200482</v>
      </c>
      <c r="G259" s="19" t="n">
        <v>8.801837</v>
      </c>
      <c r="H259" s="19" t="n">
        <v>17.192017</v>
      </c>
      <c r="I259" s="19" t="n">
        <v>332.824842</v>
      </c>
      <c r="J259" s="27" t="n">
        <v>133738</v>
      </c>
      <c r="K259" s="27" t="n">
        <v>133737</v>
      </c>
      <c r="L259" s="9" t="n">
        <f aca="false">IF(AND(K259&lt;&gt;"",J259&lt;Assumptions!$B$3*K259),K259,J259)</f>
        <v>133738</v>
      </c>
      <c r="M259" s="21" t="str">
        <f aca="false">IF(L259=J259,"FERC Form 1","EIA-861")</f>
        <v>FERC Form 1</v>
      </c>
      <c r="N259" s="28" t="n">
        <f aca="false">E259+F259+G259</f>
        <v>37.4721</v>
      </c>
    </row>
    <row r="260" customFormat="false" ht="15" hidden="false" customHeight="false" outlineLevel="0" collapsed="false">
      <c r="A260" s="7" t="n">
        <v>2004</v>
      </c>
      <c r="B260" s="15" t="s">
        <v>134</v>
      </c>
      <c r="C260" s="15" t="s">
        <v>135</v>
      </c>
      <c r="D260" s="15" t="s">
        <v>136</v>
      </c>
      <c r="E260" s="19" t="n">
        <v>16.463042</v>
      </c>
      <c r="F260" s="19" t="n">
        <v>16.52519</v>
      </c>
      <c r="G260" s="19" t="n">
        <v>9.219432</v>
      </c>
      <c r="H260" s="19" t="n">
        <v>13.454309</v>
      </c>
      <c r="I260" s="19" t="n">
        <v>345.951968</v>
      </c>
      <c r="J260" s="27" t="n">
        <v>135648</v>
      </c>
      <c r="K260" s="27" t="n">
        <v>135649</v>
      </c>
      <c r="L260" s="9" t="n">
        <f aca="false">IF(AND(K260&lt;&gt;"",J260&lt;Assumptions!$B$3*K260),K260,J260)</f>
        <v>135648</v>
      </c>
      <c r="M260" s="21" t="str">
        <f aca="false">IF(L260=J260,"FERC Form 1","EIA-861")</f>
        <v>FERC Form 1</v>
      </c>
      <c r="N260" s="28" t="n">
        <f aca="false">E260+F260+G260</f>
        <v>42.207664</v>
      </c>
    </row>
    <row r="261" customFormat="false" ht="15" hidden="false" customHeight="false" outlineLevel="0" collapsed="false">
      <c r="A261" s="7" t="n">
        <v>2005</v>
      </c>
      <c r="B261" s="15" t="s">
        <v>134</v>
      </c>
      <c r="C261" s="15" t="s">
        <v>135</v>
      </c>
      <c r="D261" s="15" t="s">
        <v>136</v>
      </c>
      <c r="E261" s="19" t="n">
        <v>18.482497</v>
      </c>
      <c r="F261" s="19" t="n">
        <v>16.453905</v>
      </c>
      <c r="G261" s="19" t="n">
        <v>9.583227</v>
      </c>
      <c r="H261" s="19" t="n">
        <v>14.075326</v>
      </c>
      <c r="I261" s="19" t="n">
        <v>358.79025</v>
      </c>
      <c r="J261" s="27" t="n">
        <v>137295</v>
      </c>
      <c r="K261" s="27" t="n">
        <v>137295</v>
      </c>
      <c r="L261" s="9" t="n">
        <f aca="false">IF(AND(K261&lt;&gt;"",J261&lt;Assumptions!$B$3*K261),K261,J261)</f>
        <v>137295</v>
      </c>
      <c r="M261" s="21" t="str">
        <f aca="false">IF(L261=J261,"FERC Form 1","EIA-861")</f>
        <v>FERC Form 1</v>
      </c>
      <c r="N261" s="28" t="n">
        <f aca="false">E261+F261+G261</f>
        <v>44.519629</v>
      </c>
    </row>
    <row r="262" customFormat="false" ht="15" hidden="false" customHeight="false" outlineLevel="0" collapsed="false">
      <c r="A262" s="7" t="n">
        <v>2006</v>
      </c>
      <c r="B262" s="15" t="s">
        <v>134</v>
      </c>
      <c r="C262" s="15" t="s">
        <v>135</v>
      </c>
      <c r="D262" s="15" t="s">
        <v>136</v>
      </c>
      <c r="E262" s="19" t="n">
        <v>19.190627</v>
      </c>
      <c r="F262" s="19" t="n">
        <v>15.079149</v>
      </c>
      <c r="G262" s="19" t="n">
        <v>9.927563</v>
      </c>
      <c r="H262" s="19" t="n">
        <v>14.52428</v>
      </c>
      <c r="I262" s="19" t="n">
        <v>372.696889</v>
      </c>
      <c r="J262" s="27" t="n">
        <v>139212</v>
      </c>
      <c r="K262" s="27" t="n">
        <v>139211</v>
      </c>
      <c r="L262" s="9" t="n">
        <f aca="false">IF(AND(K262&lt;&gt;"",J262&lt;Assumptions!$B$3*K262),K262,J262)</f>
        <v>139212</v>
      </c>
      <c r="M262" s="21" t="str">
        <f aca="false">IF(L262=J262,"FERC Form 1","EIA-861")</f>
        <v>FERC Form 1</v>
      </c>
      <c r="N262" s="28" t="n">
        <f aca="false">E262+F262+G262</f>
        <v>44.197339</v>
      </c>
    </row>
    <row r="263" customFormat="false" ht="15" hidden="false" customHeight="false" outlineLevel="0" collapsed="false">
      <c r="A263" s="7" t="n">
        <v>2007</v>
      </c>
      <c r="B263" s="15" t="s">
        <v>134</v>
      </c>
      <c r="C263" s="15" t="s">
        <v>135</v>
      </c>
      <c r="D263" s="15" t="s">
        <v>136</v>
      </c>
      <c r="E263" s="19" t="n">
        <v>21.813788</v>
      </c>
      <c r="F263" s="19" t="n">
        <v>13.45082</v>
      </c>
      <c r="G263" s="19" t="n">
        <v>10.428522</v>
      </c>
      <c r="H263" s="19" t="n">
        <v>33.499223</v>
      </c>
      <c r="I263" s="19" t="n">
        <v>401.101558</v>
      </c>
      <c r="J263" s="27" t="n">
        <v>140724</v>
      </c>
      <c r="K263" s="27" t="n">
        <v>140724</v>
      </c>
      <c r="L263" s="9" t="n">
        <f aca="false">IF(AND(K263&lt;&gt;"",J263&lt;Assumptions!$B$3*K263),K263,J263)</f>
        <v>140724</v>
      </c>
      <c r="M263" s="21" t="str">
        <f aca="false">IF(L263=J263,"FERC Form 1","EIA-861")</f>
        <v>FERC Form 1</v>
      </c>
      <c r="N263" s="28" t="n">
        <f aca="false">E263+F263+G263</f>
        <v>45.69313</v>
      </c>
    </row>
    <row r="264" customFormat="false" ht="15" hidden="false" customHeight="false" outlineLevel="0" collapsed="false">
      <c r="A264" s="7" t="n">
        <v>2008</v>
      </c>
      <c r="B264" s="15" t="s">
        <v>134</v>
      </c>
      <c r="C264" s="15" t="s">
        <v>135</v>
      </c>
      <c r="D264" s="15" t="s">
        <v>136</v>
      </c>
      <c r="E264" s="19" t="n">
        <v>21.018608</v>
      </c>
      <c r="F264" s="19" t="n">
        <v>15.158954</v>
      </c>
      <c r="G264" s="19" t="n">
        <v>13.995745</v>
      </c>
      <c r="H264" s="19" t="n">
        <v>22.647093</v>
      </c>
      <c r="I264" s="19" t="n">
        <v>420.379527</v>
      </c>
      <c r="J264" s="27" t="n">
        <v>141530</v>
      </c>
      <c r="K264" s="27" t="n">
        <v>141530</v>
      </c>
      <c r="L264" s="9" t="n">
        <f aca="false">IF(AND(K264&lt;&gt;"",J264&lt;Assumptions!$B$3*K264),K264,J264)</f>
        <v>141530</v>
      </c>
      <c r="M264" s="21" t="str">
        <f aca="false">IF(L264=J264,"FERC Form 1","EIA-861")</f>
        <v>FERC Form 1</v>
      </c>
      <c r="N264" s="28" t="n">
        <f aca="false">E264+F264+G264</f>
        <v>50.173307</v>
      </c>
    </row>
    <row r="265" customFormat="false" ht="15" hidden="false" customHeight="false" outlineLevel="0" collapsed="false">
      <c r="A265" s="7" t="n">
        <v>2009</v>
      </c>
      <c r="B265" s="15" t="s">
        <v>134</v>
      </c>
      <c r="C265" s="15" t="s">
        <v>135</v>
      </c>
      <c r="D265" s="15" t="s">
        <v>136</v>
      </c>
      <c r="E265" s="19" t="n">
        <v>20.894304</v>
      </c>
      <c r="F265" s="19" t="n">
        <v>16.638731</v>
      </c>
      <c r="G265" s="19" t="n">
        <v>14.537838</v>
      </c>
      <c r="H265" s="19" t="n">
        <v>12.554701</v>
      </c>
      <c r="I265" s="19" t="n">
        <v>434.015326</v>
      </c>
      <c r="J265" s="27" t="n">
        <v>143813</v>
      </c>
      <c r="K265" s="27" t="n">
        <v>143813</v>
      </c>
      <c r="L265" s="9" t="n">
        <f aca="false">IF(AND(K265&lt;&gt;"",J265&lt;Assumptions!$B$3*K265),K265,J265)</f>
        <v>143813</v>
      </c>
      <c r="M265" s="21" t="str">
        <f aca="false">IF(L265=J265,"FERC Form 1","EIA-861")</f>
        <v>FERC Form 1</v>
      </c>
      <c r="N265" s="28" t="n">
        <f aca="false">E265+F265+G265</f>
        <v>52.070873</v>
      </c>
    </row>
    <row r="266" customFormat="false" ht="15" hidden="false" customHeight="false" outlineLevel="0" collapsed="false">
      <c r="A266" s="7" t="n">
        <v>2010</v>
      </c>
      <c r="B266" s="15" t="s">
        <v>134</v>
      </c>
      <c r="C266" s="15" t="s">
        <v>135</v>
      </c>
      <c r="D266" s="15" t="s">
        <v>136</v>
      </c>
      <c r="E266" s="19" t="n">
        <v>22.528184</v>
      </c>
      <c r="F266" s="19" t="n">
        <v>17.596698</v>
      </c>
      <c r="G266" s="19" t="n">
        <v>14.938823</v>
      </c>
      <c r="H266" s="19" t="n">
        <v>13.96435</v>
      </c>
      <c r="I266" s="19" t="n">
        <v>445.110389</v>
      </c>
      <c r="J266" s="27" t="n">
        <v>145632</v>
      </c>
      <c r="K266" s="27" t="n">
        <v>145632</v>
      </c>
      <c r="L266" s="9" t="n">
        <f aca="false">IF(AND(K266&lt;&gt;"",J266&lt;Assumptions!$B$3*K266),K266,J266)</f>
        <v>145632</v>
      </c>
      <c r="M266" s="21" t="str">
        <f aca="false">IF(L266=J266,"FERC Form 1","EIA-861")</f>
        <v>FERC Form 1</v>
      </c>
      <c r="N266" s="28" t="n">
        <f aca="false">E266+F266+G266</f>
        <v>55.063705</v>
      </c>
    </row>
    <row r="267" customFormat="false" ht="15" hidden="false" customHeight="false" outlineLevel="0" collapsed="false">
      <c r="A267" s="7" t="n">
        <v>2011</v>
      </c>
      <c r="B267" s="15" t="s">
        <v>134</v>
      </c>
      <c r="C267" s="15" t="s">
        <v>135</v>
      </c>
      <c r="D267" s="15" t="s">
        <v>136</v>
      </c>
      <c r="E267" s="19" t="n">
        <v>23.736704</v>
      </c>
      <c r="F267" s="19" t="n">
        <v>19.967247</v>
      </c>
      <c r="G267" s="19" t="n">
        <v>15.330086</v>
      </c>
      <c r="H267" s="19" t="n">
        <v>22.578578</v>
      </c>
      <c r="I267" s="19" t="n">
        <v>462.789816</v>
      </c>
      <c r="J267" s="27" t="n">
        <v>143688</v>
      </c>
      <c r="K267" s="27" t="n">
        <v>143688</v>
      </c>
      <c r="L267" s="9" t="n">
        <f aca="false">IF(AND(K267&lt;&gt;"",J267&lt;Assumptions!$B$3*K267),K267,J267)</f>
        <v>143688</v>
      </c>
      <c r="M267" s="21" t="str">
        <f aca="false">IF(L267=J267,"FERC Form 1","EIA-861")</f>
        <v>FERC Form 1</v>
      </c>
      <c r="N267" s="28" t="n">
        <f aca="false">E267+F267+G267</f>
        <v>59.034037</v>
      </c>
    </row>
    <row r="268" customFormat="false" ht="15" hidden="false" customHeight="false" outlineLevel="0" collapsed="false">
      <c r="A268" s="7" t="n">
        <v>2012</v>
      </c>
      <c r="B268" s="15" t="s">
        <v>134</v>
      </c>
      <c r="C268" s="15" t="s">
        <v>135</v>
      </c>
      <c r="D268" s="15" t="s">
        <v>136</v>
      </c>
      <c r="E268" s="19" t="n">
        <v>24.787841</v>
      </c>
      <c r="F268" s="19" t="n">
        <v>16.443866</v>
      </c>
      <c r="G268" s="19" t="n">
        <v>15.904644</v>
      </c>
      <c r="H268" s="19" t="n">
        <v>19.160152</v>
      </c>
      <c r="I268" s="19" t="n">
        <v>479.838251</v>
      </c>
      <c r="J268" s="27" t="n">
        <v>143130</v>
      </c>
      <c r="K268" s="27" t="n">
        <v>143130</v>
      </c>
      <c r="L268" s="9" t="n">
        <f aca="false">IF(AND(K268&lt;&gt;"",J268&lt;Assumptions!$B$3*K268),K268,J268)</f>
        <v>143130</v>
      </c>
      <c r="M268" s="21" t="str">
        <f aca="false">IF(L268=J268,"FERC Form 1","EIA-861")</f>
        <v>FERC Form 1</v>
      </c>
      <c r="N268" s="28" t="n">
        <f aca="false">E268+F268+G268</f>
        <v>57.136351</v>
      </c>
    </row>
    <row r="269" customFormat="false" ht="15" hidden="false" customHeight="false" outlineLevel="0" collapsed="false">
      <c r="A269" s="7" t="n">
        <v>2013</v>
      </c>
      <c r="B269" s="15" t="s">
        <v>134</v>
      </c>
      <c r="C269" s="15" t="s">
        <v>135</v>
      </c>
      <c r="D269" s="15" t="s">
        <v>136</v>
      </c>
      <c r="E269" s="19" t="n">
        <v>22.180505</v>
      </c>
      <c r="F269" s="19" t="n">
        <v>19.283112</v>
      </c>
      <c r="G269" s="19" t="n">
        <v>16.518108</v>
      </c>
      <c r="H269" s="19" t="n">
        <v>21.044532</v>
      </c>
      <c r="I269" s="19" t="n">
        <v>496.54354</v>
      </c>
      <c r="J269" s="27" t="n">
        <v>144573</v>
      </c>
      <c r="K269" s="27" t="n">
        <v>144175</v>
      </c>
      <c r="L269" s="9" t="n">
        <f aca="false">IF(AND(K269&lt;&gt;"",J269&lt;Assumptions!$B$3*K269),K269,J269)</f>
        <v>144573</v>
      </c>
      <c r="M269" s="21" t="str">
        <f aca="false">IF(L269=J269,"FERC Form 1","EIA-861")</f>
        <v>FERC Form 1</v>
      </c>
      <c r="N269" s="28" t="n">
        <f aca="false">E269+F269+G269</f>
        <v>57.981725</v>
      </c>
    </row>
    <row r="270" customFormat="false" ht="15" hidden="false" customHeight="false" outlineLevel="0" collapsed="false">
      <c r="A270" s="7" t="n">
        <v>2014</v>
      </c>
      <c r="B270" s="15" t="s">
        <v>134</v>
      </c>
      <c r="C270" s="15" t="s">
        <v>135</v>
      </c>
      <c r="D270" s="15" t="s">
        <v>136</v>
      </c>
      <c r="E270" s="19" t="n">
        <v>24.611732</v>
      </c>
      <c r="F270" s="19" t="n">
        <v>17.371226</v>
      </c>
      <c r="G270" s="19" t="n">
        <v>17.129159</v>
      </c>
      <c r="H270" s="19" t="n">
        <v>23.412306</v>
      </c>
      <c r="I270" s="19" t="n">
        <v>514.916996</v>
      </c>
      <c r="J270" s="27" t="n">
        <v>145033</v>
      </c>
      <c r="K270" s="27" t="n">
        <v>145033</v>
      </c>
      <c r="L270" s="9" t="n">
        <f aca="false">IF(AND(K270&lt;&gt;"",J270&lt;Assumptions!$B$3*K270),K270,J270)</f>
        <v>145033</v>
      </c>
      <c r="M270" s="21" t="str">
        <f aca="false">IF(L270=J270,"FERC Form 1","EIA-861")</f>
        <v>FERC Form 1</v>
      </c>
      <c r="N270" s="28" t="n">
        <f aca="false">E270+F270+G270</f>
        <v>59.112117</v>
      </c>
    </row>
    <row r="271" customFormat="false" ht="15" hidden="false" customHeight="false" outlineLevel="0" collapsed="false">
      <c r="A271" s="7" t="n">
        <v>2015</v>
      </c>
      <c r="B271" s="15" t="s">
        <v>134</v>
      </c>
      <c r="C271" s="15" t="s">
        <v>135</v>
      </c>
      <c r="D271" s="15" t="s">
        <v>136</v>
      </c>
      <c r="E271" s="19" t="n">
        <v>24.186895</v>
      </c>
      <c r="F271" s="19" t="n">
        <v>13.874656</v>
      </c>
      <c r="G271" s="19" t="n">
        <v>17.571222</v>
      </c>
      <c r="H271" s="19" t="n">
        <v>20.732561</v>
      </c>
      <c r="I271" s="19" t="n">
        <v>532.652624</v>
      </c>
      <c r="J271" s="27" t="n">
        <v>145033</v>
      </c>
      <c r="K271" s="27" t="n">
        <v>145033</v>
      </c>
      <c r="L271" s="9" t="n">
        <f aca="false">IF(AND(K271&lt;&gt;"",J271&lt;Assumptions!$B$3*K271),K271,J271)</f>
        <v>145033</v>
      </c>
      <c r="M271" s="21" t="str">
        <f aca="false">IF(L271=J271,"FERC Form 1","EIA-861")</f>
        <v>FERC Form 1</v>
      </c>
      <c r="N271" s="28" t="n">
        <f aca="false">E271+F271+G271</f>
        <v>55.632773</v>
      </c>
    </row>
    <row r="272" customFormat="false" ht="15" hidden="false" customHeight="false" outlineLevel="0" collapsed="false">
      <c r="A272" s="7" t="n">
        <v>2016</v>
      </c>
      <c r="B272" s="15" t="s">
        <v>134</v>
      </c>
      <c r="C272" s="15" t="s">
        <v>135</v>
      </c>
      <c r="D272" s="15" t="s">
        <v>136</v>
      </c>
      <c r="E272" s="19" t="n">
        <v>27.422576</v>
      </c>
      <c r="F272" s="19" t="n">
        <v>9.81987</v>
      </c>
      <c r="G272" s="19" t="n">
        <v>18.589172</v>
      </c>
      <c r="H272" s="19" t="n">
        <v>37.083572</v>
      </c>
      <c r="I272" s="19" t="n">
        <v>563.840678</v>
      </c>
      <c r="J272" s="27" t="n">
        <v>145622</v>
      </c>
      <c r="K272" s="27" t="n">
        <v>145622</v>
      </c>
      <c r="L272" s="9" t="n">
        <f aca="false">IF(AND(K272&lt;&gt;"",J272&lt;Assumptions!$B$3*K272),K272,J272)</f>
        <v>145622</v>
      </c>
      <c r="M272" s="21" t="str">
        <f aca="false">IF(L272=J272,"FERC Form 1","EIA-861")</f>
        <v>FERC Form 1</v>
      </c>
      <c r="N272" s="28" t="n">
        <f aca="false">E272+F272+G272</f>
        <v>55.831618</v>
      </c>
    </row>
    <row r="273" customFormat="false" ht="15" hidden="false" customHeight="false" outlineLevel="0" collapsed="false">
      <c r="A273" s="7" t="n">
        <v>2017</v>
      </c>
      <c r="B273" s="15" t="s">
        <v>134</v>
      </c>
      <c r="C273" s="15" t="s">
        <v>135</v>
      </c>
      <c r="D273" s="15" t="s">
        <v>136</v>
      </c>
      <c r="E273" s="19" t="n">
        <v>25.592864</v>
      </c>
      <c r="F273" s="19" t="n">
        <v>18.239201</v>
      </c>
      <c r="G273" s="19" t="n">
        <v>19.34813</v>
      </c>
      <c r="H273" s="19" t="n">
        <v>27.827536</v>
      </c>
      <c r="I273" s="19" t="n">
        <v>586.984668</v>
      </c>
      <c r="J273" s="27" t="n">
        <v>146353</v>
      </c>
      <c r="K273" s="27" t="n">
        <v>146353</v>
      </c>
      <c r="L273" s="9" t="n">
        <f aca="false">IF(AND(K273&lt;&gt;"",J273&lt;Assumptions!$B$3*K273),K273,J273)</f>
        <v>146353</v>
      </c>
      <c r="M273" s="21" t="str">
        <f aca="false">IF(L273=J273,"FERC Form 1","EIA-861")</f>
        <v>FERC Form 1</v>
      </c>
      <c r="N273" s="28" t="n">
        <f aca="false">E273+F273+G273</f>
        <v>63.180195</v>
      </c>
    </row>
    <row r="274" customFormat="false" ht="15" hidden="false" customHeight="false" outlineLevel="0" collapsed="false">
      <c r="A274" s="7" t="n">
        <v>2018</v>
      </c>
      <c r="B274" s="15" t="s">
        <v>134</v>
      </c>
      <c r="C274" s="15" t="s">
        <v>135</v>
      </c>
      <c r="D274" s="15" t="s">
        <v>136</v>
      </c>
      <c r="E274" s="19" t="n">
        <v>20.214797</v>
      </c>
      <c r="F274" s="19" t="n">
        <v>21.204503</v>
      </c>
      <c r="G274" s="19" t="n">
        <v>21.901897</v>
      </c>
      <c r="H274" s="19" t="n">
        <v>35.639758</v>
      </c>
      <c r="I274" s="19" t="n">
        <v>616.272945</v>
      </c>
      <c r="J274" s="27" t="n">
        <v>146741</v>
      </c>
      <c r="K274" s="27" t="n">
        <v>146741</v>
      </c>
      <c r="L274" s="9" t="n">
        <f aca="false">IF(AND(K274&lt;&gt;"",J274&lt;Assumptions!$B$3*K274),K274,J274)</f>
        <v>146741</v>
      </c>
      <c r="M274" s="21" t="str">
        <f aca="false">IF(L274=J274,"FERC Form 1","EIA-861")</f>
        <v>FERC Form 1</v>
      </c>
      <c r="N274" s="28" t="n">
        <f aca="false">E274+F274+G274</f>
        <v>63.321197</v>
      </c>
    </row>
    <row r="275" customFormat="false" ht="15" hidden="false" customHeight="false" outlineLevel="0" collapsed="false">
      <c r="A275" s="7" t="n">
        <v>2019</v>
      </c>
      <c r="B275" s="15" t="s">
        <v>134</v>
      </c>
      <c r="C275" s="15" t="s">
        <v>135</v>
      </c>
      <c r="D275" s="15" t="s">
        <v>136</v>
      </c>
      <c r="E275" s="19" t="n">
        <v>20.23861</v>
      </c>
      <c r="F275" s="19" t="n">
        <v>18.902213</v>
      </c>
      <c r="G275" s="19" t="n">
        <v>21.796131</v>
      </c>
      <c r="H275" s="19" t="n">
        <v>23.850128</v>
      </c>
      <c r="I275" s="19" t="n">
        <v>635.52311</v>
      </c>
      <c r="J275" s="27" t="n">
        <v>147340</v>
      </c>
      <c r="K275" s="27" t="n">
        <v>147340</v>
      </c>
      <c r="L275" s="9" t="n">
        <f aca="false">IF(AND(K275&lt;&gt;"",J275&lt;Assumptions!$B$3*K275),K275,J275)</f>
        <v>147340</v>
      </c>
      <c r="M275" s="21" t="str">
        <f aca="false">IF(L275=J275,"FERC Form 1","EIA-861")</f>
        <v>FERC Form 1</v>
      </c>
      <c r="N275" s="28" t="n">
        <f aca="false">E275+F275+G275</f>
        <v>60.936954</v>
      </c>
    </row>
    <row r="276" customFormat="false" ht="15" hidden="false" customHeight="false" outlineLevel="0" collapsed="false">
      <c r="A276" s="7" t="n">
        <v>2020</v>
      </c>
      <c r="B276" s="15" t="s">
        <v>134</v>
      </c>
      <c r="C276" s="15" t="s">
        <v>135</v>
      </c>
      <c r="D276" s="15" t="s">
        <v>136</v>
      </c>
      <c r="E276" s="19" t="n">
        <v>20.234759</v>
      </c>
      <c r="F276" s="19" t="n">
        <v>12.617272</v>
      </c>
      <c r="G276" s="19" t="n">
        <v>22.239504</v>
      </c>
      <c r="H276" s="19" t="n">
        <v>24.593779</v>
      </c>
      <c r="I276" s="19" t="n">
        <v>649.215206</v>
      </c>
      <c r="J276" s="27" t="n">
        <v>148332</v>
      </c>
      <c r="K276" s="27" t="n">
        <v>148332</v>
      </c>
      <c r="L276" s="9" t="n">
        <f aca="false">IF(AND(K276&lt;&gt;"",J276&lt;Assumptions!$B$3*K276),K276,J276)</f>
        <v>148332</v>
      </c>
      <c r="M276" s="21" t="str">
        <f aca="false">IF(L276=J276,"FERC Form 1","EIA-861")</f>
        <v>FERC Form 1</v>
      </c>
      <c r="N276" s="28" t="n">
        <f aca="false">E276+F276+G276</f>
        <v>55.091535</v>
      </c>
    </row>
    <row r="277" customFormat="false" ht="15" hidden="false" customHeight="false" outlineLevel="0" collapsed="false">
      <c r="A277" s="7" t="n">
        <v>2021</v>
      </c>
      <c r="B277" s="15" t="s">
        <v>134</v>
      </c>
      <c r="C277" s="15" t="s">
        <v>135</v>
      </c>
      <c r="D277" s="15" t="s">
        <v>136</v>
      </c>
      <c r="E277" s="19" t="n">
        <v>25.182467</v>
      </c>
      <c r="F277" s="19" t="n">
        <v>12.677408</v>
      </c>
      <c r="G277" s="19" t="n">
        <v>22.194751</v>
      </c>
      <c r="H277" s="19" t="n">
        <v>24.998301</v>
      </c>
      <c r="I277" s="19" t="n">
        <v>668.166036</v>
      </c>
      <c r="J277" s="27" t="n">
        <v>149660</v>
      </c>
      <c r="K277" s="27" t="n">
        <v>149660</v>
      </c>
      <c r="L277" s="9" t="n">
        <f aca="false">IF(AND(K277&lt;&gt;"",J277&lt;Assumptions!$B$3*K277),K277,J277)</f>
        <v>149660</v>
      </c>
      <c r="M277" s="21" t="str">
        <f aca="false">IF(L277=J277,"FERC Form 1","EIA-861")</f>
        <v>FERC Form 1</v>
      </c>
      <c r="N277" s="28" t="n">
        <f aca="false">E277+F277+G277</f>
        <v>60.054626</v>
      </c>
    </row>
    <row r="278" customFormat="false" ht="15" hidden="false" customHeight="false" outlineLevel="0" collapsed="false">
      <c r="A278" s="7" t="n">
        <v>2022</v>
      </c>
      <c r="B278" s="15" t="s">
        <v>134</v>
      </c>
      <c r="C278" s="15" t="s">
        <v>135</v>
      </c>
      <c r="D278" s="15" t="s">
        <v>136</v>
      </c>
      <c r="E278" s="19" t="n">
        <v>30.857737</v>
      </c>
      <c r="F278" s="19" t="n">
        <v>19.727223</v>
      </c>
      <c r="G278" s="19" t="n">
        <v>23.215901</v>
      </c>
      <c r="H278" s="19" t="n">
        <v>43.002952</v>
      </c>
      <c r="I278" s="19" t="n">
        <v>704.20394</v>
      </c>
      <c r="J278" s="27" t="n">
        <v>150464</v>
      </c>
      <c r="K278" s="27" t="n">
        <v>150464</v>
      </c>
      <c r="L278" s="9" t="n">
        <f aca="false">IF(AND(K278&lt;&gt;"",J278&lt;Assumptions!$B$3*K278),K278,J278)</f>
        <v>150464</v>
      </c>
      <c r="M278" s="21" t="str">
        <f aca="false">IF(L278=J278,"FERC Form 1","EIA-861")</f>
        <v>FERC Form 1</v>
      </c>
      <c r="N278" s="28" t="n">
        <f aca="false">E278+F278+G278</f>
        <v>73.800861</v>
      </c>
    </row>
    <row r="279" customFormat="false" ht="15" hidden="false" customHeight="false" outlineLevel="0" collapsed="false">
      <c r="A279" s="7" t="n">
        <v>2023</v>
      </c>
      <c r="B279" s="15" t="s">
        <v>134</v>
      </c>
      <c r="C279" s="15" t="s">
        <v>135</v>
      </c>
      <c r="D279" s="15" t="s">
        <v>136</v>
      </c>
      <c r="E279" s="19" t="n">
        <v>28.389254</v>
      </c>
      <c r="F279" s="19" t="n">
        <v>18.315961</v>
      </c>
      <c r="G279" s="19" t="n">
        <v>24.546598</v>
      </c>
      <c r="H279" s="19" t="n">
        <v>45.682004</v>
      </c>
      <c r="I279" s="19" t="n">
        <v>744.722996</v>
      </c>
      <c r="J279" s="27" t="n">
        <v>151679</v>
      </c>
      <c r="K279" s="27" t="n">
        <v>151679</v>
      </c>
      <c r="L279" s="9" t="n">
        <f aca="false">IF(AND(K279&lt;&gt;"",J279&lt;Assumptions!$B$3*K279),K279,J279)</f>
        <v>151679</v>
      </c>
      <c r="M279" s="21" t="str">
        <f aca="false">IF(L279=J279,"FERC Form 1","EIA-861")</f>
        <v>FERC Form 1</v>
      </c>
      <c r="N279" s="28" t="n">
        <f aca="false">E279+F279+G279</f>
        <v>71.251813</v>
      </c>
    </row>
    <row r="280" customFormat="false" ht="15" hidden="false" customHeight="false" outlineLevel="0" collapsed="false">
      <c r="A280" s="7" t="n">
        <v>2024</v>
      </c>
      <c r="B280" s="15" t="s">
        <v>134</v>
      </c>
      <c r="C280" s="15" t="s">
        <v>135</v>
      </c>
      <c r="D280" s="15" t="s">
        <v>136</v>
      </c>
      <c r="E280" s="19" t="n">
        <v>28.016308</v>
      </c>
      <c r="F280" s="19" t="n">
        <v>17.033488</v>
      </c>
      <c r="G280" s="19" t="n">
        <v>25.928944</v>
      </c>
      <c r="H280" s="19" t="n">
        <v>59.723054</v>
      </c>
      <c r="I280" s="19" t="n">
        <v>799.426957</v>
      </c>
      <c r="J280" s="27" t="n">
        <v>152342</v>
      </c>
      <c r="K280" s="27" t="n">
        <v>152342</v>
      </c>
      <c r="L280" s="9" t="n">
        <f aca="false">IF(AND(K280&lt;&gt;"",J280&lt;Assumptions!$B$3*K280),K280,J280)</f>
        <v>152342</v>
      </c>
      <c r="M280" s="21" t="str">
        <f aca="false">IF(L280=J280,"FERC Form 1","EIA-861")</f>
        <v>FERC Form 1</v>
      </c>
      <c r="N280" s="28" t="n">
        <f aca="false">E280+F280+G280</f>
        <v>70.97874</v>
      </c>
    </row>
    <row r="281" customFormat="false" ht="15" hidden="false" customHeight="false" outlineLevel="0" collapsed="false">
      <c r="A281" s="7" t="n">
        <v>2025</v>
      </c>
      <c r="B281" s="15" t="s">
        <v>134</v>
      </c>
      <c r="C281" s="15" t="s">
        <v>135</v>
      </c>
      <c r="D281" s="15" t="s">
        <v>136</v>
      </c>
      <c r="E281" s="19" t="n">
        <v>27.54258</v>
      </c>
      <c r="F281" s="19" t="n">
        <v>21.565053</v>
      </c>
      <c r="G281" s="19" t="n">
        <v>29.150291</v>
      </c>
      <c r="H281" s="19" t="n">
        <v>95.198325</v>
      </c>
      <c r="I281" s="19" t="n">
        <v>896.265735</v>
      </c>
      <c r="J281" s="27" t="n">
        <v>153192</v>
      </c>
      <c r="K281" s="27" t="n">
        <v>153192</v>
      </c>
      <c r="L281" s="9" t="n">
        <f aca="false">IF(AND(K281&lt;&gt;"",J281&lt;Assumptions!$B$3*K281),K281,J281)</f>
        <v>153192</v>
      </c>
      <c r="M281" s="21" t="str">
        <f aca="false">IF(L281=J281,"FERC Form 1","EIA-861")</f>
        <v>FERC Form 1</v>
      </c>
      <c r="N281" s="28" t="n">
        <f aca="false">E281+F281+G281</f>
        <v>78.257924</v>
      </c>
    </row>
    <row r="282" customFormat="false" ht="15" hidden="false" customHeight="false" outlineLevel="0" collapsed="false">
      <c r="A282" s="7" t="n">
        <v>2000</v>
      </c>
      <c r="B282" s="15" t="s">
        <v>137</v>
      </c>
      <c r="C282" s="15" t="s">
        <v>135</v>
      </c>
      <c r="D282" s="15" t="s">
        <v>138</v>
      </c>
      <c r="E282" s="19" t="n">
        <v>93.482606</v>
      </c>
      <c r="F282" s="19" t="n">
        <v>53.90191</v>
      </c>
      <c r="G282" s="19" t="n">
        <v>96.7413</v>
      </c>
      <c r="H282" s="19" t="n">
        <v>176.409177</v>
      </c>
      <c r="I282" s="19" t="n">
        <v>3198.211222</v>
      </c>
      <c r="J282" s="27" t="n">
        <v>1677235</v>
      </c>
      <c r="K282" s="27"/>
      <c r="L282" s="9" t="n">
        <f aca="false">IF(AND(K282&lt;&gt;"",J282&lt;Assumptions!$B$3*K282),K282,J282)</f>
        <v>1677235</v>
      </c>
      <c r="M282" s="21" t="str">
        <f aca="false">IF(L282=J282,"FERC Form 1","EIA-861")</f>
        <v>FERC Form 1</v>
      </c>
      <c r="N282" s="28" t="n">
        <f aca="false">E282+F282+G282</f>
        <v>244.125816</v>
      </c>
    </row>
    <row r="283" customFormat="false" ht="15" hidden="false" customHeight="false" outlineLevel="0" collapsed="false">
      <c r="A283" s="7" t="n">
        <v>2001</v>
      </c>
      <c r="B283" s="15" t="s">
        <v>137</v>
      </c>
      <c r="C283" s="15" t="s">
        <v>135</v>
      </c>
      <c r="D283" s="15" t="s">
        <v>138</v>
      </c>
      <c r="E283" s="19" t="n">
        <v>106.011589</v>
      </c>
      <c r="F283" s="19" t="n">
        <v>56.207473</v>
      </c>
      <c r="G283" s="19" t="n">
        <v>100.7598</v>
      </c>
      <c r="H283" s="19" t="n">
        <v>179.403647</v>
      </c>
      <c r="I283" s="19" t="n">
        <v>3428.276626</v>
      </c>
      <c r="J283" s="27" t="n">
        <v>1700014</v>
      </c>
      <c r="K283" s="27" t="n">
        <v>1700333</v>
      </c>
      <c r="L283" s="9" t="n">
        <f aca="false">IF(AND(K283&lt;&gt;"",J283&lt;Assumptions!$B$3*K283),K283,J283)</f>
        <v>1700014</v>
      </c>
      <c r="M283" s="21" t="str">
        <f aca="false">IF(L283=J283,"FERC Form 1","EIA-861")</f>
        <v>FERC Form 1</v>
      </c>
      <c r="N283" s="28" t="n">
        <f aca="false">E283+F283+G283</f>
        <v>262.978862</v>
      </c>
    </row>
    <row r="284" customFormat="false" ht="15" hidden="false" customHeight="false" outlineLevel="0" collapsed="false">
      <c r="A284" s="7" t="n">
        <v>2005</v>
      </c>
      <c r="B284" s="15" t="s">
        <v>137</v>
      </c>
      <c r="C284" s="15" t="s">
        <v>135</v>
      </c>
      <c r="D284" s="15" t="s">
        <v>138</v>
      </c>
      <c r="E284" s="19" t="n">
        <v>134.014347</v>
      </c>
      <c r="F284" s="19" t="n">
        <v>56.407762</v>
      </c>
      <c r="G284" s="19" t="n">
        <v>106.5865</v>
      </c>
      <c r="H284" s="19" t="n">
        <v>180.254359</v>
      </c>
      <c r="I284" s="19" t="n">
        <v>4104.599389</v>
      </c>
      <c r="J284" s="27" t="n">
        <v>1779184</v>
      </c>
      <c r="K284" s="27" t="n">
        <v>1780629</v>
      </c>
      <c r="L284" s="9" t="n">
        <f aca="false">IF(AND(K284&lt;&gt;"",J284&lt;Assumptions!$B$3*K284),K284,J284)</f>
        <v>1779184</v>
      </c>
      <c r="M284" s="21" t="str">
        <f aca="false">IF(L284=J284,"FERC Form 1","EIA-861")</f>
        <v>FERC Form 1</v>
      </c>
      <c r="N284" s="28" t="n">
        <f aca="false">E284+F284+G284</f>
        <v>297.008609</v>
      </c>
    </row>
    <row r="285" customFormat="false" ht="15" hidden="false" customHeight="false" outlineLevel="0" collapsed="false">
      <c r="A285" s="7" t="n">
        <v>2006</v>
      </c>
      <c r="B285" s="15" t="s">
        <v>137</v>
      </c>
      <c r="C285" s="15" t="s">
        <v>135</v>
      </c>
      <c r="D285" s="15" t="s">
        <v>138</v>
      </c>
      <c r="E285" s="19" t="n">
        <v>174.651425</v>
      </c>
      <c r="F285" s="19" t="n">
        <v>85.412316</v>
      </c>
      <c r="G285" s="19" t="n">
        <v>126.287644</v>
      </c>
      <c r="H285" s="19" t="n">
        <v>226.204251</v>
      </c>
      <c r="I285" s="19" t="n">
        <v>4303.083859</v>
      </c>
      <c r="J285" s="27" t="n">
        <v>1792470</v>
      </c>
      <c r="K285" s="27" t="n">
        <v>1793310</v>
      </c>
      <c r="L285" s="9" t="n">
        <f aca="false">IF(AND(K285&lt;&gt;"",J285&lt;Assumptions!$B$3*K285),K285,J285)</f>
        <v>1792470</v>
      </c>
      <c r="M285" s="21" t="str">
        <f aca="false">IF(L285=J285,"FERC Form 1","EIA-861")</f>
        <v>FERC Form 1</v>
      </c>
      <c r="N285" s="28" t="n">
        <f aca="false">E285+F285+G285</f>
        <v>386.351385</v>
      </c>
    </row>
    <row r="286" customFormat="false" ht="15" hidden="false" customHeight="false" outlineLevel="0" collapsed="false">
      <c r="A286" s="7" t="n">
        <v>2007</v>
      </c>
      <c r="B286" s="15" t="s">
        <v>137</v>
      </c>
      <c r="C286" s="15" t="s">
        <v>135</v>
      </c>
      <c r="D286" s="15" t="s">
        <v>138</v>
      </c>
      <c r="E286" s="19" t="n">
        <v>150.721106</v>
      </c>
      <c r="F286" s="19" t="n">
        <v>86.850415</v>
      </c>
      <c r="G286" s="19" t="n">
        <v>131.624604</v>
      </c>
      <c r="H286" s="19" t="n">
        <v>199.732239</v>
      </c>
      <c r="I286" s="19" t="n">
        <v>4476.264302</v>
      </c>
      <c r="J286" s="27" t="n">
        <v>1797387</v>
      </c>
      <c r="K286" s="27" t="n">
        <v>1798030</v>
      </c>
      <c r="L286" s="9" t="n">
        <f aca="false">IF(AND(K286&lt;&gt;"",J286&lt;Assumptions!$B$3*K286),K286,J286)</f>
        <v>1797387</v>
      </c>
      <c r="M286" s="21" t="str">
        <f aca="false">IF(L286=J286,"FERC Form 1","EIA-861")</f>
        <v>FERC Form 1</v>
      </c>
      <c r="N286" s="28" t="n">
        <f aca="false">E286+F286+G286</f>
        <v>369.196125</v>
      </c>
    </row>
    <row r="287" customFormat="false" ht="15" hidden="false" customHeight="false" outlineLevel="0" collapsed="false">
      <c r="A287" s="7" t="n">
        <v>2008</v>
      </c>
      <c r="B287" s="15" t="s">
        <v>137</v>
      </c>
      <c r="C287" s="15" t="s">
        <v>135</v>
      </c>
      <c r="D287" s="15" t="s">
        <v>138</v>
      </c>
      <c r="E287" s="19" t="n">
        <v>154.121011</v>
      </c>
      <c r="F287" s="19" t="n">
        <v>96.745094</v>
      </c>
      <c r="G287" s="19" t="n">
        <v>138.092966</v>
      </c>
      <c r="H287" s="19" t="n">
        <v>289.617222</v>
      </c>
      <c r="I287" s="19" t="n">
        <v>4746.751427</v>
      </c>
      <c r="J287" s="27" t="n">
        <v>1804232</v>
      </c>
      <c r="K287" s="27" t="n">
        <v>1804850</v>
      </c>
      <c r="L287" s="9" t="n">
        <f aca="false">IF(AND(K287&lt;&gt;"",J287&lt;Assumptions!$B$3*K287),K287,J287)</f>
        <v>1804232</v>
      </c>
      <c r="M287" s="21" t="str">
        <f aca="false">IF(L287=J287,"FERC Form 1","EIA-861")</f>
        <v>FERC Form 1</v>
      </c>
      <c r="N287" s="28" t="n">
        <f aca="false">E287+F287+G287</f>
        <v>388.959071</v>
      </c>
    </row>
    <row r="288" customFormat="false" ht="15" hidden="false" customHeight="false" outlineLevel="0" collapsed="false">
      <c r="A288" s="7" t="n">
        <v>2009</v>
      </c>
      <c r="B288" s="15" t="s">
        <v>137</v>
      </c>
      <c r="C288" s="15" t="s">
        <v>135</v>
      </c>
      <c r="D288" s="15" t="s">
        <v>138</v>
      </c>
      <c r="E288" s="19" t="n">
        <v>142.488291</v>
      </c>
      <c r="F288" s="19" t="n">
        <v>113.874866</v>
      </c>
      <c r="G288" s="19" t="n">
        <v>145.171951</v>
      </c>
      <c r="H288" s="19" t="n">
        <v>253.121171</v>
      </c>
      <c r="I288" s="19" t="n">
        <v>4970.284532</v>
      </c>
      <c r="J288" s="27" t="n">
        <v>1787254</v>
      </c>
      <c r="K288" s="27" t="n">
        <v>1788314</v>
      </c>
      <c r="L288" s="9" t="n">
        <f aca="false">IF(AND(K288&lt;&gt;"",J288&lt;Assumptions!$B$3*K288),K288,J288)</f>
        <v>1787254</v>
      </c>
      <c r="M288" s="21" t="str">
        <f aca="false">IF(L288=J288,"FERC Form 1","EIA-861")</f>
        <v>FERC Form 1</v>
      </c>
      <c r="N288" s="28" t="n">
        <f aca="false">E288+F288+G288</f>
        <v>401.535108</v>
      </c>
    </row>
    <row r="289" customFormat="false" ht="15" hidden="false" customHeight="false" outlineLevel="0" collapsed="false">
      <c r="A289" s="7" t="n">
        <v>2010</v>
      </c>
      <c r="B289" s="15" t="s">
        <v>137</v>
      </c>
      <c r="C289" s="15" t="s">
        <v>135</v>
      </c>
      <c r="D289" s="15" t="s">
        <v>138</v>
      </c>
      <c r="E289" s="19" t="n">
        <v>133.282635</v>
      </c>
      <c r="F289" s="19" t="n">
        <v>133.803475</v>
      </c>
      <c r="G289" s="19" t="n">
        <v>152.407461</v>
      </c>
      <c r="H289" s="19" t="n">
        <v>289.344407</v>
      </c>
      <c r="I289" s="19" t="n">
        <v>5247.776917</v>
      </c>
      <c r="J289" s="27" t="n">
        <v>1788635</v>
      </c>
      <c r="K289" s="27" t="n">
        <v>1789763</v>
      </c>
      <c r="L289" s="9" t="n">
        <f aca="false">IF(AND(K289&lt;&gt;"",J289&lt;Assumptions!$B$3*K289),K289,J289)</f>
        <v>1788635</v>
      </c>
      <c r="M289" s="21" t="str">
        <f aca="false">IF(L289=J289,"FERC Form 1","EIA-861")</f>
        <v>FERC Form 1</v>
      </c>
      <c r="N289" s="28" t="n">
        <f aca="false">E289+F289+G289</f>
        <v>419.493571</v>
      </c>
    </row>
    <row r="290" customFormat="false" ht="15" hidden="false" customHeight="false" outlineLevel="0" collapsed="false">
      <c r="A290" s="7" t="n">
        <v>2011</v>
      </c>
      <c r="B290" s="15" t="s">
        <v>137</v>
      </c>
      <c r="C290" s="15" t="s">
        <v>135</v>
      </c>
      <c r="D290" s="15" t="s">
        <v>138</v>
      </c>
      <c r="E290" s="19" t="n">
        <v>175.98648</v>
      </c>
      <c r="F290" s="19" t="n">
        <v>162.939629</v>
      </c>
      <c r="G290" s="19" t="n">
        <v>160.734636</v>
      </c>
      <c r="H290" s="19" t="n">
        <v>307.115281</v>
      </c>
      <c r="I290" s="19" t="n">
        <v>5533.71163</v>
      </c>
      <c r="J290" s="27" t="n">
        <v>1788799</v>
      </c>
      <c r="K290" s="27" t="n">
        <v>1789884</v>
      </c>
      <c r="L290" s="9" t="n">
        <f aca="false">IF(AND(K290&lt;&gt;"",J290&lt;Assumptions!$B$3*K290),K290,J290)</f>
        <v>1788799</v>
      </c>
      <c r="M290" s="21" t="str">
        <f aca="false">IF(L290=J290,"FERC Form 1","EIA-861")</f>
        <v>FERC Form 1</v>
      </c>
      <c r="N290" s="28" t="n">
        <f aca="false">E290+F290+G290</f>
        <v>499.660745</v>
      </c>
    </row>
    <row r="291" customFormat="false" ht="15" hidden="false" customHeight="false" outlineLevel="0" collapsed="false">
      <c r="A291" s="7" t="n">
        <v>2012</v>
      </c>
      <c r="B291" s="15" t="s">
        <v>137</v>
      </c>
      <c r="C291" s="15" t="s">
        <v>135</v>
      </c>
      <c r="D291" s="15" t="s">
        <v>138</v>
      </c>
      <c r="E291" s="19" t="n">
        <v>179.351783</v>
      </c>
      <c r="F291" s="19" t="n">
        <v>161.31916</v>
      </c>
      <c r="G291" s="19" t="n">
        <v>169.656395</v>
      </c>
      <c r="H291" s="19" t="n">
        <v>325.300216</v>
      </c>
      <c r="I291" s="19" t="n">
        <v>5825.75</v>
      </c>
      <c r="J291" s="27" t="n">
        <v>1788525</v>
      </c>
      <c r="K291" s="27" t="n">
        <v>1789583</v>
      </c>
      <c r="L291" s="9" t="n">
        <f aca="false">IF(AND(K291&lt;&gt;"",J291&lt;Assumptions!$B$3*K291),K291,J291)</f>
        <v>1788525</v>
      </c>
      <c r="M291" s="21" t="str">
        <f aca="false">IF(L291=J291,"FERC Form 1","EIA-861")</f>
        <v>FERC Form 1</v>
      </c>
      <c r="N291" s="28" t="n">
        <f aca="false">E291+F291+G291</f>
        <v>510.327338</v>
      </c>
    </row>
    <row r="292" customFormat="false" ht="15" hidden="false" customHeight="false" outlineLevel="0" collapsed="false">
      <c r="A292" s="7" t="n">
        <v>2013</v>
      </c>
      <c r="B292" s="15" t="s">
        <v>137</v>
      </c>
      <c r="C292" s="15" t="s">
        <v>135</v>
      </c>
      <c r="D292" s="15" t="s">
        <v>138</v>
      </c>
      <c r="E292" s="19" t="n">
        <v>203.882247</v>
      </c>
      <c r="F292" s="19" t="n">
        <v>165.646433</v>
      </c>
      <c r="G292" s="19" t="n">
        <v>179.403454</v>
      </c>
      <c r="H292" s="19" t="n">
        <v>350.005473</v>
      </c>
      <c r="I292" s="19" t="n">
        <v>6135.002143</v>
      </c>
      <c r="J292" s="27" t="n">
        <v>1790148</v>
      </c>
      <c r="K292" s="27" t="n">
        <v>1791217</v>
      </c>
      <c r="L292" s="9" t="n">
        <f aca="false">IF(AND(K292&lt;&gt;"",J292&lt;Assumptions!$B$3*K292),K292,J292)</f>
        <v>1790148</v>
      </c>
      <c r="M292" s="21" t="str">
        <f aca="false">IF(L292=J292,"FERC Form 1","EIA-861")</f>
        <v>FERC Form 1</v>
      </c>
      <c r="N292" s="28" t="n">
        <f aca="false">E292+F292+G292</f>
        <v>548.932134</v>
      </c>
    </row>
    <row r="293" customFormat="false" ht="15" hidden="false" customHeight="false" outlineLevel="0" collapsed="false">
      <c r="A293" s="7" t="n">
        <v>2014</v>
      </c>
      <c r="B293" s="15" t="s">
        <v>137</v>
      </c>
      <c r="C293" s="15" t="s">
        <v>135</v>
      </c>
      <c r="D293" s="15" t="s">
        <v>138</v>
      </c>
      <c r="E293" s="19" t="n">
        <v>183.777883</v>
      </c>
      <c r="F293" s="19" t="n">
        <v>189.483903</v>
      </c>
      <c r="G293" s="19" t="n">
        <v>189.898072</v>
      </c>
      <c r="H293" s="19" t="n">
        <v>382.395741</v>
      </c>
      <c r="I293" s="19" t="n">
        <v>6481.975978</v>
      </c>
      <c r="J293" s="27" t="n">
        <v>1791366</v>
      </c>
      <c r="K293" s="27" t="n">
        <v>1792421</v>
      </c>
      <c r="L293" s="9" t="n">
        <f aca="false">IF(AND(K293&lt;&gt;"",J293&lt;Assumptions!$B$3*K293),K293,J293)</f>
        <v>1791366</v>
      </c>
      <c r="M293" s="21" t="str">
        <f aca="false">IF(L293=J293,"FERC Form 1","EIA-861")</f>
        <v>FERC Form 1</v>
      </c>
      <c r="N293" s="28" t="n">
        <f aca="false">E293+F293+G293</f>
        <v>563.159858</v>
      </c>
    </row>
    <row r="294" customFormat="false" ht="15" hidden="false" customHeight="false" outlineLevel="0" collapsed="false">
      <c r="A294" s="7" t="n">
        <v>2015</v>
      </c>
      <c r="B294" s="15" t="s">
        <v>137</v>
      </c>
      <c r="C294" s="15" t="s">
        <v>135</v>
      </c>
      <c r="D294" s="15" t="s">
        <v>138</v>
      </c>
      <c r="E294" s="19" t="n">
        <v>171.489078</v>
      </c>
      <c r="F294" s="19" t="n">
        <v>181.480594</v>
      </c>
      <c r="G294" s="19" t="n">
        <v>200.243969</v>
      </c>
      <c r="H294" s="19" t="n">
        <v>413.481663</v>
      </c>
      <c r="I294" s="19" t="n">
        <v>6803.789741</v>
      </c>
      <c r="J294" s="27" t="n">
        <v>1795336</v>
      </c>
      <c r="K294" s="27" t="n">
        <v>1797237</v>
      </c>
      <c r="L294" s="9" t="n">
        <f aca="false">IF(AND(K294&lt;&gt;"",J294&lt;Assumptions!$B$3*K294),K294,J294)</f>
        <v>1795336</v>
      </c>
      <c r="M294" s="21" t="str">
        <f aca="false">IF(L294=J294,"FERC Form 1","EIA-861")</f>
        <v>FERC Form 1</v>
      </c>
      <c r="N294" s="28" t="n">
        <f aca="false">E294+F294+G294</f>
        <v>553.213641</v>
      </c>
    </row>
    <row r="295" customFormat="false" ht="15" hidden="false" customHeight="false" outlineLevel="0" collapsed="false">
      <c r="A295" s="7" t="n">
        <v>2016</v>
      </c>
      <c r="B295" s="15" t="s">
        <v>137</v>
      </c>
      <c r="C295" s="15" t="s">
        <v>135</v>
      </c>
      <c r="D295" s="15" t="s">
        <v>138</v>
      </c>
      <c r="E295" s="19" t="n">
        <v>167.78923</v>
      </c>
      <c r="F295" s="19" t="n">
        <v>176.273055</v>
      </c>
      <c r="G295" s="19" t="n">
        <v>205.340298</v>
      </c>
      <c r="H295" s="19" t="n">
        <v>486.493912</v>
      </c>
      <c r="I295" s="19" t="n">
        <v>7143.689417</v>
      </c>
      <c r="J295" s="27" t="n">
        <v>1804630</v>
      </c>
      <c r="K295" s="27" t="n">
        <v>1806511</v>
      </c>
      <c r="L295" s="9" t="n">
        <f aca="false">IF(AND(K295&lt;&gt;"",J295&lt;Assumptions!$B$3*K295),K295,J295)</f>
        <v>1804630</v>
      </c>
      <c r="M295" s="21" t="str">
        <f aca="false">IF(L295=J295,"FERC Form 1","EIA-861")</f>
        <v>FERC Form 1</v>
      </c>
      <c r="N295" s="28" t="n">
        <f aca="false">E295+F295+G295</f>
        <v>549.402583</v>
      </c>
    </row>
    <row r="296" customFormat="false" ht="15" hidden="false" customHeight="false" outlineLevel="0" collapsed="false">
      <c r="A296" s="7" t="n">
        <v>2017</v>
      </c>
      <c r="B296" s="15" t="s">
        <v>137</v>
      </c>
      <c r="C296" s="15" t="s">
        <v>135</v>
      </c>
      <c r="D296" s="15" t="s">
        <v>138</v>
      </c>
      <c r="E296" s="19" t="n">
        <v>185.796567</v>
      </c>
      <c r="F296" s="19" t="n">
        <v>184.828282</v>
      </c>
      <c r="G296" s="19" t="n">
        <v>220.711753</v>
      </c>
      <c r="H296" s="19" t="n">
        <v>551.042448</v>
      </c>
      <c r="I296" s="19" t="n">
        <v>7599.538388</v>
      </c>
      <c r="J296" s="27" t="n">
        <v>1816438</v>
      </c>
      <c r="K296" s="27" t="n">
        <v>1817957</v>
      </c>
      <c r="L296" s="9" t="n">
        <f aca="false">IF(AND(K296&lt;&gt;"",J296&lt;Assumptions!$B$3*K296),K296,J296)</f>
        <v>1816438</v>
      </c>
      <c r="M296" s="21" t="str">
        <f aca="false">IF(L296=J296,"FERC Form 1","EIA-861")</f>
        <v>FERC Form 1</v>
      </c>
      <c r="N296" s="28" t="n">
        <f aca="false">E296+F296+G296</f>
        <v>591.336602</v>
      </c>
    </row>
    <row r="297" customFormat="false" ht="15" hidden="false" customHeight="false" outlineLevel="0" collapsed="false">
      <c r="A297" s="7" t="n">
        <v>2018</v>
      </c>
      <c r="B297" s="15" t="s">
        <v>137</v>
      </c>
      <c r="C297" s="15" t="s">
        <v>135</v>
      </c>
      <c r="D297" s="15" t="s">
        <v>138</v>
      </c>
      <c r="E297" s="19" t="n">
        <v>202.638697</v>
      </c>
      <c r="F297" s="19" t="n">
        <v>224.371821</v>
      </c>
      <c r="G297" s="19" t="n">
        <v>234.991278</v>
      </c>
      <c r="H297" s="19" t="n">
        <v>489.148974</v>
      </c>
      <c r="I297" s="19" t="n">
        <v>7954.563457</v>
      </c>
      <c r="J297" s="27" t="n">
        <v>1826166</v>
      </c>
      <c r="K297" s="27" t="n">
        <v>1827159</v>
      </c>
      <c r="L297" s="9" t="n">
        <f aca="false">IF(AND(K297&lt;&gt;"",J297&lt;Assumptions!$B$3*K297),K297,J297)</f>
        <v>1826166</v>
      </c>
      <c r="M297" s="21" t="str">
        <f aca="false">IF(L297=J297,"FERC Form 1","EIA-861")</f>
        <v>FERC Form 1</v>
      </c>
      <c r="N297" s="28" t="n">
        <f aca="false">E297+F297+G297</f>
        <v>662.001796</v>
      </c>
    </row>
    <row r="298" customFormat="false" ht="15" hidden="false" customHeight="false" outlineLevel="0" collapsed="false">
      <c r="A298" s="7" t="n">
        <v>2019</v>
      </c>
      <c r="B298" s="15" t="s">
        <v>137</v>
      </c>
      <c r="C298" s="15" t="s">
        <v>135</v>
      </c>
      <c r="D298" s="15" t="s">
        <v>138</v>
      </c>
      <c r="E298" s="19" t="n">
        <v>237.644538</v>
      </c>
      <c r="F298" s="19" t="n">
        <v>228.099779</v>
      </c>
      <c r="G298" s="19" t="n">
        <v>248.968062</v>
      </c>
      <c r="H298" s="19" t="n">
        <v>621.082901</v>
      </c>
      <c r="I298" s="19" t="n">
        <v>8517.034182</v>
      </c>
      <c r="J298" s="27" t="n">
        <v>1836668</v>
      </c>
      <c r="K298" s="27" t="n">
        <v>1837688</v>
      </c>
      <c r="L298" s="9" t="n">
        <f aca="false">IF(AND(K298&lt;&gt;"",J298&lt;Assumptions!$B$3*K298),K298,J298)</f>
        <v>1836668</v>
      </c>
      <c r="M298" s="21" t="str">
        <f aca="false">IF(L298=J298,"FERC Form 1","EIA-861")</f>
        <v>FERC Form 1</v>
      </c>
      <c r="N298" s="28" t="n">
        <f aca="false">E298+F298+G298</f>
        <v>714.712379</v>
      </c>
    </row>
    <row r="299" customFormat="false" ht="15" hidden="false" customHeight="false" outlineLevel="0" collapsed="false">
      <c r="A299" s="7" t="n">
        <v>2020</v>
      </c>
      <c r="B299" s="15" t="s">
        <v>137</v>
      </c>
      <c r="C299" s="15" t="s">
        <v>135</v>
      </c>
      <c r="D299" s="15" t="s">
        <v>138</v>
      </c>
      <c r="E299" s="19" t="n">
        <v>215.658159</v>
      </c>
      <c r="F299" s="19" t="n">
        <v>247.180745</v>
      </c>
      <c r="G299" s="19" t="n">
        <v>264.804375</v>
      </c>
      <c r="H299" s="19" t="n">
        <v>590.199508</v>
      </c>
      <c r="I299" s="19" t="n">
        <v>9050.886633</v>
      </c>
      <c r="J299" s="27" t="n">
        <v>1855672</v>
      </c>
      <c r="K299" s="27" t="n">
        <v>1856654</v>
      </c>
      <c r="L299" s="9" t="n">
        <f aca="false">IF(AND(K299&lt;&gt;"",J299&lt;Assumptions!$B$3*K299),K299,J299)</f>
        <v>1855672</v>
      </c>
      <c r="M299" s="21" t="str">
        <f aca="false">IF(L299=J299,"FERC Form 1","EIA-861")</f>
        <v>FERC Form 1</v>
      </c>
      <c r="N299" s="28" t="n">
        <f aca="false">E299+F299+G299</f>
        <v>727.643279</v>
      </c>
    </row>
    <row r="300" customFormat="false" ht="15" hidden="false" customHeight="false" outlineLevel="0" collapsed="false">
      <c r="A300" s="7" t="n">
        <v>2021</v>
      </c>
      <c r="B300" s="15" t="s">
        <v>137</v>
      </c>
      <c r="C300" s="15" t="s">
        <v>135</v>
      </c>
      <c r="D300" s="15" t="s">
        <v>138</v>
      </c>
      <c r="E300" s="19" t="n">
        <v>347.022701</v>
      </c>
      <c r="F300" s="19" t="n">
        <v>287.908401</v>
      </c>
      <c r="G300" s="19" t="n">
        <v>287.238757</v>
      </c>
      <c r="H300" s="19" t="n">
        <v>734.039559</v>
      </c>
      <c r="I300" s="19" t="n">
        <v>9736.975904</v>
      </c>
      <c r="J300" s="27" t="n">
        <v>1870123</v>
      </c>
      <c r="K300" s="27" t="n">
        <v>1871096</v>
      </c>
      <c r="L300" s="9" t="n">
        <f aca="false">IF(AND(K300&lt;&gt;"",J300&lt;Assumptions!$B$3*K300),K300,J300)</f>
        <v>1870123</v>
      </c>
      <c r="M300" s="21" t="str">
        <f aca="false">IF(L300=J300,"FERC Form 1","EIA-861")</f>
        <v>FERC Form 1</v>
      </c>
      <c r="N300" s="28" t="n">
        <f aca="false">E300+F300+G300</f>
        <v>922.169859</v>
      </c>
    </row>
    <row r="301" customFormat="false" ht="15" hidden="false" customHeight="false" outlineLevel="0" collapsed="false">
      <c r="A301" s="7" t="n">
        <v>2022</v>
      </c>
      <c r="B301" s="15" t="s">
        <v>137</v>
      </c>
      <c r="C301" s="15" t="s">
        <v>135</v>
      </c>
      <c r="D301" s="15" t="s">
        <v>138</v>
      </c>
      <c r="E301" s="19" t="n">
        <v>327.462535</v>
      </c>
      <c r="F301" s="19" t="n">
        <v>327.507902</v>
      </c>
      <c r="G301" s="19" t="n">
        <v>298.443514</v>
      </c>
      <c r="H301" s="19" t="n">
        <v>805.292013</v>
      </c>
      <c r="I301" s="19" t="n">
        <v>10512.885388</v>
      </c>
      <c r="J301" s="27" t="n">
        <v>1875019</v>
      </c>
      <c r="K301" s="27" t="n">
        <v>1875975</v>
      </c>
      <c r="L301" s="9" t="n">
        <f aca="false">IF(AND(K301&lt;&gt;"",J301&lt;Assumptions!$B$3*K301),K301,J301)</f>
        <v>1875019</v>
      </c>
      <c r="M301" s="21" t="str">
        <f aca="false">IF(L301=J301,"FERC Form 1","EIA-861")</f>
        <v>FERC Form 1</v>
      </c>
      <c r="N301" s="28" t="n">
        <f aca="false">E301+F301+G301</f>
        <v>953.413951</v>
      </c>
    </row>
    <row r="302" customFormat="false" ht="15" hidden="false" customHeight="false" outlineLevel="0" collapsed="false">
      <c r="A302" s="7" t="n">
        <v>2023</v>
      </c>
      <c r="B302" s="15" t="s">
        <v>137</v>
      </c>
      <c r="C302" s="15" t="s">
        <v>135</v>
      </c>
      <c r="D302" s="15" t="s">
        <v>138</v>
      </c>
      <c r="E302" s="19" t="n">
        <v>381.86272</v>
      </c>
      <c r="F302" s="19" t="n">
        <v>326.575499</v>
      </c>
      <c r="G302" s="19" t="n">
        <v>321.744926</v>
      </c>
      <c r="H302" s="19" t="n">
        <v>803.629477</v>
      </c>
      <c r="I302" s="19" t="n">
        <v>11261.171884</v>
      </c>
      <c r="J302" s="27" t="n">
        <v>1884290</v>
      </c>
      <c r="K302" s="27" t="n">
        <v>1885232</v>
      </c>
      <c r="L302" s="9" t="n">
        <f aca="false">IF(AND(K302&lt;&gt;"",J302&lt;Assumptions!$B$3*K302),K302,J302)</f>
        <v>1884290</v>
      </c>
      <c r="M302" s="21" t="str">
        <f aca="false">IF(L302=J302,"FERC Form 1","EIA-861")</f>
        <v>FERC Form 1</v>
      </c>
      <c r="N302" s="28" t="n">
        <f aca="false">E302+F302+G302</f>
        <v>1030.183145</v>
      </c>
    </row>
    <row r="303" customFormat="false" ht="15" hidden="false" customHeight="false" outlineLevel="0" collapsed="false">
      <c r="A303" s="7" t="n">
        <v>2024</v>
      </c>
      <c r="B303" s="15" t="s">
        <v>137</v>
      </c>
      <c r="C303" s="15" t="s">
        <v>135</v>
      </c>
      <c r="D303" s="15" t="s">
        <v>138</v>
      </c>
      <c r="E303" s="19" t="n">
        <v>366.258988</v>
      </c>
      <c r="F303" s="19" t="n">
        <v>324.658291</v>
      </c>
      <c r="G303" s="19" t="n">
        <v>344.340344</v>
      </c>
      <c r="H303" s="19" t="n">
        <v>877.646753</v>
      </c>
      <c r="I303" s="19" t="n">
        <v>12057.211163</v>
      </c>
      <c r="J303" s="27" t="n">
        <v>1893531</v>
      </c>
      <c r="K303" s="27" t="n">
        <v>1894492</v>
      </c>
      <c r="L303" s="9" t="n">
        <f aca="false">IF(AND(K303&lt;&gt;"",J303&lt;Assumptions!$B$3*K303),K303,J303)</f>
        <v>1893531</v>
      </c>
      <c r="M303" s="21" t="str">
        <f aca="false">IF(L303=J303,"FERC Form 1","EIA-861")</f>
        <v>FERC Form 1</v>
      </c>
      <c r="N303" s="28" t="n">
        <f aca="false">E303+F303+G303</f>
        <v>1035.257623</v>
      </c>
    </row>
    <row r="304" customFormat="false" ht="15" hidden="false" customHeight="false" outlineLevel="0" collapsed="false">
      <c r="A304" s="7" t="n">
        <v>2025</v>
      </c>
      <c r="B304" s="15" t="s">
        <v>137</v>
      </c>
      <c r="C304" s="15" t="s">
        <v>135</v>
      </c>
      <c r="D304" s="15" t="s">
        <v>138</v>
      </c>
      <c r="E304" s="19" t="n">
        <v>434.682158</v>
      </c>
      <c r="F304" s="19" t="n">
        <v>330.037944</v>
      </c>
      <c r="G304" s="19" t="n">
        <v>392.105231</v>
      </c>
      <c r="H304" s="19" t="n">
        <v>1229.783349</v>
      </c>
      <c r="I304" s="19" t="n">
        <v>13253.710721</v>
      </c>
      <c r="J304" s="27" t="n">
        <v>1900985</v>
      </c>
      <c r="K304" s="27" t="n">
        <v>1901950</v>
      </c>
      <c r="L304" s="9" t="n">
        <f aca="false">IF(AND(K304&lt;&gt;"",J304&lt;Assumptions!$B$3*K304),K304,J304)</f>
        <v>1900985</v>
      </c>
      <c r="M304" s="21" t="str">
        <f aca="false">IF(L304=J304,"FERC Form 1","EIA-861")</f>
        <v>FERC Form 1</v>
      </c>
      <c r="N304" s="28" t="n">
        <f aca="false">E304+F304+G304</f>
        <v>1156.825333</v>
      </c>
    </row>
    <row r="305" customFormat="false" ht="15" hidden="false" customHeight="false" outlineLevel="0" collapsed="false">
      <c r="A305" s="7" t="n">
        <v>2000</v>
      </c>
      <c r="B305" s="15" t="s">
        <v>139</v>
      </c>
      <c r="C305" s="15" t="s">
        <v>135</v>
      </c>
      <c r="D305" s="15" t="s">
        <v>138</v>
      </c>
      <c r="E305" s="19" t="n">
        <v>173.381831</v>
      </c>
      <c r="F305" s="19" t="n">
        <v>94.971947</v>
      </c>
      <c r="G305" s="19" t="n">
        <v>169.1</v>
      </c>
      <c r="H305" s="19" t="n">
        <v>253.76159</v>
      </c>
      <c r="I305" s="19" t="n">
        <v>4422.0545</v>
      </c>
      <c r="J305" s="27" t="n">
        <v>2101124</v>
      </c>
      <c r="K305" s="27"/>
      <c r="L305" s="9" t="n">
        <f aca="false">IF(AND(K305&lt;&gt;"",J305&lt;Assumptions!$B$3*K305),K305,J305)</f>
        <v>2101124</v>
      </c>
      <c r="M305" s="21" t="str">
        <f aca="false">IF(L305=J305,"FERC Form 1","EIA-861")</f>
        <v>FERC Form 1</v>
      </c>
      <c r="N305" s="28" t="n">
        <f aca="false">E305+F305+G305</f>
        <v>437.453778</v>
      </c>
    </row>
    <row r="306" customFormat="false" ht="15" hidden="false" customHeight="false" outlineLevel="0" collapsed="false">
      <c r="A306" s="7" t="n">
        <v>2001</v>
      </c>
      <c r="B306" s="15" t="s">
        <v>139</v>
      </c>
      <c r="C306" s="15" t="s">
        <v>135</v>
      </c>
      <c r="D306" s="15" t="s">
        <v>138</v>
      </c>
      <c r="E306" s="19" t="n">
        <v>157.70956</v>
      </c>
      <c r="F306" s="19" t="n">
        <v>128.520212</v>
      </c>
      <c r="G306" s="19" t="n">
        <v>178.286224</v>
      </c>
      <c r="H306" s="19" t="n">
        <v>248.934484</v>
      </c>
      <c r="I306" s="19" t="n">
        <v>4628.989759</v>
      </c>
      <c r="J306" s="27" t="n">
        <v>2117948</v>
      </c>
      <c r="K306" s="27" t="n">
        <v>2117948</v>
      </c>
      <c r="L306" s="9" t="n">
        <f aca="false">IF(AND(K306&lt;&gt;"",J306&lt;Assumptions!$B$3*K306),K306,J306)</f>
        <v>2117948</v>
      </c>
      <c r="M306" s="21" t="str">
        <f aca="false">IF(L306=J306,"FERC Form 1","EIA-861")</f>
        <v>FERC Form 1</v>
      </c>
      <c r="N306" s="28" t="n">
        <f aca="false">E306+F306+G306</f>
        <v>464.515996</v>
      </c>
    </row>
    <row r="307" customFormat="false" ht="15" hidden="false" customHeight="false" outlineLevel="0" collapsed="false">
      <c r="A307" s="7" t="n">
        <v>2002</v>
      </c>
      <c r="B307" s="15" t="s">
        <v>139</v>
      </c>
      <c r="C307" s="15" t="s">
        <v>135</v>
      </c>
      <c r="D307" s="15" t="s">
        <v>138</v>
      </c>
      <c r="E307" s="19" t="n">
        <v>180.204074</v>
      </c>
      <c r="F307" s="19" t="n">
        <v>150.544883</v>
      </c>
      <c r="G307" s="19" t="n">
        <v>185.746338</v>
      </c>
      <c r="H307" s="19" t="n">
        <v>214.472551</v>
      </c>
      <c r="I307" s="19" t="n">
        <v>4813.079877</v>
      </c>
      <c r="J307" s="27" t="n">
        <v>2132404</v>
      </c>
      <c r="K307" s="27" t="n">
        <v>2132404</v>
      </c>
      <c r="L307" s="9" t="n">
        <f aca="false">IF(AND(K307&lt;&gt;"",J307&lt;Assumptions!$B$3*K307),K307,J307)</f>
        <v>2132404</v>
      </c>
      <c r="M307" s="21" t="str">
        <f aca="false">IF(L307=J307,"FERC Form 1","EIA-861")</f>
        <v>FERC Form 1</v>
      </c>
      <c r="N307" s="28" t="n">
        <f aca="false">E307+F307+G307</f>
        <v>516.495295</v>
      </c>
    </row>
    <row r="308" customFormat="false" ht="15" hidden="false" customHeight="false" outlineLevel="0" collapsed="false">
      <c r="A308" s="7" t="n">
        <v>2003</v>
      </c>
      <c r="B308" s="15" t="s">
        <v>139</v>
      </c>
      <c r="C308" s="15" t="s">
        <v>135</v>
      </c>
      <c r="D308" s="15" t="s">
        <v>138</v>
      </c>
      <c r="E308" s="19" t="n">
        <v>203.550403</v>
      </c>
      <c r="F308" s="19" t="n">
        <v>160.291429</v>
      </c>
      <c r="G308" s="19" t="n">
        <v>190.839483</v>
      </c>
      <c r="H308" s="19" t="n">
        <v>232.107538</v>
      </c>
      <c r="I308" s="19" t="n">
        <v>4971.232637</v>
      </c>
      <c r="J308" s="27" t="n">
        <v>2136357</v>
      </c>
      <c r="K308" s="27" t="n">
        <v>2134372</v>
      </c>
      <c r="L308" s="9" t="n">
        <f aca="false">IF(AND(K308&lt;&gt;"",J308&lt;Assumptions!$B$3*K308),K308,J308)</f>
        <v>2136357</v>
      </c>
      <c r="M308" s="21" t="str">
        <f aca="false">IF(L308=J308,"FERC Form 1","EIA-861")</f>
        <v>FERC Form 1</v>
      </c>
      <c r="N308" s="28" t="n">
        <f aca="false">E308+F308+G308</f>
        <v>554.681315</v>
      </c>
    </row>
    <row r="309" customFormat="false" ht="15" hidden="false" customHeight="false" outlineLevel="0" collapsed="false">
      <c r="A309" s="7" t="n">
        <v>2004</v>
      </c>
      <c r="B309" s="15" t="s">
        <v>139</v>
      </c>
      <c r="C309" s="15" t="s">
        <v>135</v>
      </c>
      <c r="D309" s="15" t="s">
        <v>138</v>
      </c>
      <c r="E309" s="19" t="n">
        <v>186.689701</v>
      </c>
      <c r="F309" s="19" t="n">
        <v>167.807693</v>
      </c>
      <c r="G309" s="19" t="n">
        <v>198.634207</v>
      </c>
      <c r="H309" s="19" t="n">
        <v>267.038847</v>
      </c>
      <c r="I309" s="19" t="n">
        <v>5184.641243</v>
      </c>
      <c r="J309" s="27" t="n">
        <v>2146636</v>
      </c>
      <c r="K309" s="27" t="n">
        <v>2160140</v>
      </c>
      <c r="L309" s="9" t="n">
        <f aca="false">IF(AND(K309&lt;&gt;"",J309&lt;Assumptions!$B$3*K309),K309,J309)</f>
        <v>2146636</v>
      </c>
      <c r="M309" s="21" t="str">
        <f aca="false">IF(L309=J309,"FERC Form 1","EIA-861")</f>
        <v>FERC Form 1</v>
      </c>
      <c r="N309" s="28" t="n">
        <f aca="false">E309+F309+G309</f>
        <v>553.131601</v>
      </c>
    </row>
    <row r="310" customFormat="false" ht="15" hidden="false" customHeight="false" outlineLevel="0" collapsed="false">
      <c r="A310" s="7" t="n">
        <v>2005</v>
      </c>
      <c r="B310" s="15" t="s">
        <v>139</v>
      </c>
      <c r="C310" s="15" t="s">
        <v>135</v>
      </c>
      <c r="D310" s="15" t="s">
        <v>138</v>
      </c>
      <c r="E310" s="19" t="n">
        <v>213.229892</v>
      </c>
      <c r="F310" s="19" t="n">
        <v>161.141814</v>
      </c>
      <c r="G310" s="19" t="n">
        <v>197.525925</v>
      </c>
      <c r="H310" s="19" t="n">
        <v>76.410805</v>
      </c>
      <c r="I310" s="19" t="n">
        <v>5175.689058</v>
      </c>
      <c r="J310" s="27" t="n">
        <v>2158201</v>
      </c>
      <c r="K310" s="27" t="n">
        <v>2172418</v>
      </c>
      <c r="L310" s="9" t="n">
        <f aca="false">IF(AND(K310&lt;&gt;"",J310&lt;Assumptions!$B$3*K310),K310,J310)</f>
        <v>2158201</v>
      </c>
      <c r="M310" s="21" t="str">
        <f aca="false">IF(L310=J310,"FERC Form 1","EIA-861")</f>
        <v>FERC Form 1</v>
      </c>
      <c r="N310" s="28" t="n">
        <f aca="false">E310+F310+G310</f>
        <v>571.897631</v>
      </c>
    </row>
    <row r="311" customFormat="false" ht="15" hidden="false" customHeight="false" outlineLevel="0" collapsed="false">
      <c r="A311" s="7" t="n">
        <v>2006</v>
      </c>
      <c r="B311" s="15" t="s">
        <v>139</v>
      </c>
      <c r="C311" s="15" t="s">
        <v>135</v>
      </c>
      <c r="D311" s="15" t="s">
        <v>138</v>
      </c>
      <c r="E311" s="19" t="n">
        <v>212.646666</v>
      </c>
      <c r="F311" s="19" t="n">
        <v>170.313496</v>
      </c>
      <c r="G311" s="19" t="n">
        <v>204.147235</v>
      </c>
      <c r="H311" s="19" t="n">
        <v>218.527573</v>
      </c>
      <c r="I311" s="19" t="n">
        <v>5281.574606</v>
      </c>
      <c r="J311" s="27" t="n">
        <v>2168454</v>
      </c>
      <c r="K311" s="27" t="n">
        <v>2174799</v>
      </c>
      <c r="L311" s="9" t="n">
        <f aca="false">IF(AND(K311&lt;&gt;"",J311&lt;Assumptions!$B$3*K311),K311,J311)</f>
        <v>2168454</v>
      </c>
      <c r="M311" s="21" t="str">
        <f aca="false">IF(L311=J311,"FERC Form 1","EIA-861")</f>
        <v>FERC Form 1</v>
      </c>
      <c r="N311" s="28" t="n">
        <f aca="false">E311+F311+G311</f>
        <v>587.107397</v>
      </c>
    </row>
    <row r="312" customFormat="false" ht="15" hidden="false" customHeight="false" outlineLevel="0" collapsed="false">
      <c r="A312" s="7" t="n">
        <v>2007</v>
      </c>
      <c r="B312" s="15" t="s">
        <v>139</v>
      </c>
      <c r="C312" s="15" t="s">
        <v>135</v>
      </c>
      <c r="D312" s="15" t="s">
        <v>138</v>
      </c>
      <c r="E312" s="19" t="n">
        <v>255.312484</v>
      </c>
      <c r="F312" s="19" t="n">
        <v>197.350324</v>
      </c>
      <c r="G312" s="19" t="n">
        <v>210.667895</v>
      </c>
      <c r="H312" s="19" t="n">
        <v>127.479087</v>
      </c>
      <c r="I312" s="19" t="n">
        <v>5272.567198</v>
      </c>
      <c r="J312" s="27" t="n">
        <v>2163360</v>
      </c>
      <c r="K312" s="27" t="n">
        <v>2166144</v>
      </c>
      <c r="L312" s="9" t="n">
        <f aca="false">IF(AND(K312&lt;&gt;"",J312&lt;Assumptions!$B$3*K312),K312,J312)</f>
        <v>2163360</v>
      </c>
      <c r="M312" s="21" t="str">
        <f aca="false">IF(L312=J312,"FERC Form 1","EIA-861")</f>
        <v>FERC Form 1</v>
      </c>
      <c r="N312" s="28" t="n">
        <f aca="false">E312+F312+G312</f>
        <v>663.330703</v>
      </c>
    </row>
    <row r="313" customFormat="false" ht="15" hidden="false" customHeight="false" outlineLevel="0" collapsed="false">
      <c r="A313" s="7" t="n">
        <v>2008</v>
      </c>
      <c r="B313" s="15" t="s">
        <v>139</v>
      </c>
      <c r="C313" s="15" t="s">
        <v>135</v>
      </c>
      <c r="D313" s="15" t="s">
        <v>138</v>
      </c>
      <c r="E313" s="19" t="n">
        <v>243.484077</v>
      </c>
      <c r="F313" s="19" t="n">
        <v>224.505607</v>
      </c>
      <c r="G313" s="19" t="n">
        <v>212.457674</v>
      </c>
      <c r="H313" s="19" t="n">
        <v>370.790509</v>
      </c>
      <c r="I313" s="19" t="n">
        <v>5535.201527</v>
      </c>
      <c r="J313" s="27" t="n">
        <v>2150421</v>
      </c>
      <c r="K313" s="27" t="n">
        <v>2151503</v>
      </c>
      <c r="L313" s="9" t="n">
        <f aca="false">IF(AND(K313&lt;&gt;"",J313&lt;Assumptions!$B$3*K313),K313,J313)</f>
        <v>2150421</v>
      </c>
      <c r="M313" s="21" t="str">
        <f aca="false">IF(L313=J313,"FERC Form 1","EIA-861")</f>
        <v>FERC Form 1</v>
      </c>
      <c r="N313" s="28" t="n">
        <f aca="false">E313+F313+G313</f>
        <v>680.447358</v>
      </c>
    </row>
    <row r="314" customFormat="false" ht="15" hidden="false" customHeight="false" outlineLevel="0" collapsed="false">
      <c r="A314" s="7" t="n">
        <v>2009</v>
      </c>
      <c r="B314" s="15" t="s">
        <v>139</v>
      </c>
      <c r="C314" s="15" t="s">
        <v>135</v>
      </c>
      <c r="D314" s="15" t="s">
        <v>138</v>
      </c>
      <c r="E314" s="19" t="n">
        <v>220.035305</v>
      </c>
      <c r="F314" s="19" t="n">
        <v>227.53471</v>
      </c>
      <c r="G314" s="19" t="n">
        <v>221.933045</v>
      </c>
      <c r="H314" s="19" t="n">
        <v>324.093806</v>
      </c>
      <c r="I314" s="19" t="n">
        <v>5807.703523</v>
      </c>
      <c r="J314" s="27" t="n">
        <v>2133001</v>
      </c>
      <c r="K314" s="27" t="n">
        <v>2133533</v>
      </c>
      <c r="L314" s="9" t="n">
        <f aca="false">IF(AND(K314&lt;&gt;"",J314&lt;Assumptions!$B$3*K314),K314,J314)</f>
        <v>2133001</v>
      </c>
      <c r="M314" s="21" t="str">
        <f aca="false">IF(L314=J314,"FERC Form 1","EIA-861")</f>
        <v>FERC Form 1</v>
      </c>
      <c r="N314" s="28" t="n">
        <f aca="false">E314+F314+G314</f>
        <v>669.50306</v>
      </c>
    </row>
    <row r="315" customFormat="false" ht="15" hidden="false" customHeight="false" outlineLevel="0" collapsed="false">
      <c r="A315" s="7" t="n">
        <v>2010</v>
      </c>
      <c r="B315" s="15" t="s">
        <v>139</v>
      </c>
      <c r="C315" s="15" t="s">
        <v>135</v>
      </c>
      <c r="D315" s="15" t="s">
        <v>138</v>
      </c>
      <c r="E315" s="19" t="n">
        <v>256.031229</v>
      </c>
      <c r="F315" s="19" t="n">
        <v>222.577751</v>
      </c>
      <c r="G315" s="19" t="n">
        <v>233.167839</v>
      </c>
      <c r="H315" s="19" t="n">
        <v>301.288871</v>
      </c>
      <c r="I315" s="19" t="n">
        <v>6056.464387</v>
      </c>
      <c r="J315" s="27" t="n">
        <v>2119747</v>
      </c>
      <c r="K315" s="27" t="n">
        <v>2124158</v>
      </c>
      <c r="L315" s="9" t="n">
        <f aca="false">IF(AND(K315&lt;&gt;"",J315&lt;Assumptions!$B$3*K315),K315,J315)</f>
        <v>2119747</v>
      </c>
      <c r="M315" s="21" t="str">
        <f aca="false">IF(L315=J315,"FERC Form 1","EIA-861")</f>
        <v>FERC Form 1</v>
      </c>
      <c r="N315" s="28" t="n">
        <f aca="false">E315+F315+G315</f>
        <v>711.776819</v>
      </c>
    </row>
    <row r="316" customFormat="false" ht="15" hidden="false" customHeight="false" outlineLevel="0" collapsed="false">
      <c r="A316" s="7" t="n">
        <v>2011</v>
      </c>
      <c r="B316" s="15" t="s">
        <v>139</v>
      </c>
      <c r="C316" s="15" t="s">
        <v>135</v>
      </c>
      <c r="D316" s="15" t="s">
        <v>138</v>
      </c>
      <c r="E316" s="19" t="n">
        <v>293.444402</v>
      </c>
      <c r="F316" s="19" t="n">
        <v>208.840042</v>
      </c>
      <c r="G316" s="19" t="n">
        <v>239.84774</v>
      </c>
      <c r="H316" s="19" t="n">
        <v>265.827451</v>
      </c>
      <c r="I316" s="19" t="n">
        <v>6266.139097</v>
      </c>
      <c r="J316" s="27" t="n">
        <v>2120262</v>
      </c>
      <c r="K316" s="27" t="n">
        <v>2128608</v>
      </c>
      <c r="L316" s="9" t="n">
        <f aca="false">IF(AND(K316&lt;&gt;"",J316&lt;Assumptions!$B$3*K316),K316,J316)</f>
        <v>2120262</v>
      </c>
      <c r="M316" s="21" t="str">
        <f aca="false">IF(L316=J316,"FERC Form 1","EIA-861")</f>
        <v>FERC Form 1</v>
      </c>
      <c r="N316" s="28" t="n">
        <f aca="false">E316+F316+G316</f>
        <v>742.132184</v>
      </c>
    </row>
    <row r="317" customFormat="false" ht="15" hidden="false" customHeight="false" outlineLevel="0" collapsed="false">
      <c r="A317" s="7" t="n">
        <v>2012</v>
      </c>
      <c r="B317" s="15" t="s">
        <v>139</v>
      </c>
      <c r="C317" s="15" t="s">
        <v>135</v>
      </c>
      <c r="D317" s="15" t="s">
        <v>138</v>
      </c>
      <c r="E317" s="19" t="n">
        <v>276.530608</v>
      </c>
      <c r="F317" s="19" t="n">
        <v>219.682761</v>
      </c>
      <c r="G317" s="19" t="n">
        <v>246.657767</v>
      </c>
      <c r="H317" s="19" t="n">
        <v>336.843031</v>
      </c>
      <c r="I317" s="19" t="n">
        <v>6536.733323</v>
      </c>
      <c r="J317" s="27" t="n">
        <v>2124244</v>
      </c>
      <c r="K317" s="27" t="n">
        <v>2129920</v>
      </c>
      <c r="L317" s="9" t="n">
        <f aca="false">IF(AND(K317&lt;&gt;"",J317&lt;Assumptions!$B$3*K317),K317,J317)</f>
        <v>2124244</v>
      </c>
      <c r="M317" s="21" t="str">
        <f aca="false">IF(L317=J317,"FERC Form 1","EIA-861")</f>
        <v>FERC Form 1</v>
      </c>
      <c r="N317" s="28" t="n">
        <f aca="false">E317+F317+G317</f>
        <v>742.871136</v>
      </c>
    </row>
    <row r="318" customFormat="false" ht="15" hidden="false" customHeight="false" outlineLevel="0" collapsed="false">
      <c r="A318" s="7" t="n">
        <v>2013</v>
      </c>
      <c r="B318" s="15" t="s">
        <v>139</v>
      </c>
      <c r="C318" s="15" t="s">
        <v>135</v>
      </c>
      <c r="D318" s="15" t="s">
        <v>138</v>
      </c>
      <c r="E318" s="19" t="n">
        <v>308.569267</v>
      </c>
      <c r="F318" s="19" t="n">
        <v>226.991593</v>
      </c>
      <c r="G318" s="19" t="n">
        <v>256.560178</v>
      </c>
      <c r="H318" s="19" t="n">
        <v>314.418484</v>
      </c>
      <c r="I318" s="19" t="n">
        <v>6771.7821</v>
      </c>
      <c r="J318" s="27" t="n">
        <v>2134161</v>
      </c>
      <c r="K318" s="27" t="n">
        <v>2140049</v>
      </c>
      <c r="L318" s="9" t="n">
        <f aca="false">IF(AND(K318&lt;&gt;"",J318&lt;Assumptions!$B$3*K318),K318,J318)</f>
        <v>2134161</v>
      </c>
      <c r="M318" s="21" t="str">
        <f aca="false">IF(L318=J318,"FERC Form 1","EIA-861")</f>
        <v>FERC Form 1</v>
      </c>
      <c r="N318" s="28" t="n">
        <f aca="false">E318+F318+G318</f>
        <v>792.121038</v>
      </c>
    </row>
    <row r="319" customFormat="false" ht="15" hidden="false" customHeight="false" outlineLevel="0" collapsed="false">
      <c r="A319" s="7" t="n">
        <v>2014</v>
      </c>
      <c r="B319" s="15" t="s">
        <v>139</v>
      </c>
      <c r="C319" s="15" t="s">
        <v>135</v>
      </c>
      <c r="D319" s="15" t="s">
        <v>138</v>
      </c>
      <c r="E319" s="19" t="n">
        <v>292.153134</v>
      </c>
      <c r="F319" s="19" t="n">
        <v>245.589474</v>
      </c>
      <c r="G319" s="19" t="n">
        <v>269.369239</v>
      </c>
      <c r="H319" s="19" t="n">
        <v>449.126777</v>
      </c>
      <c r="I319" s="19" t="n">
        <v>7150.810141</v>
      </c>
      <c r="J319" s="27" t="n">
        <v>2143851</v>
      </c>
      <c r="K319" s="27" t="n">
        <v>2148142</v>
      </c>
      <c r="L319" s="9" t="n">
        <f aca="false">IF(AND(K319&lt;&gt;"",J319&lt;Assumptions!$B$3*K319),K319,J319)</f>
        <v>2143851</v>
      </c>
      <c r="M319" s="21" t="str">
        <f aca="false">IF(L319=J319,"FERC Form 1","EIA-861")</f>
        <v>FERC Form 1</v>
      </c>
      <c r="N319" s="28" t="n">
        <f aca="false">E319+F319+G319</f>
        <v>807.111847</v>
      </c>
    </row>
    <row r="320" customFormat="false" ht="15" hidden="false" customHeight="false" outlineLevel="0" collapsed="false">
      <c r="A320" s="7" t="n">
        <v>2015</v>
      </c>
      <c r="B320" s="15" t="s">
        <v>139</v>
      </c>
      <c r="C320" s="15" t="s">
        <v>135</v>
      </c>
      <c r="D320" s="15" t="s">
        <v>138</v>
      </c>
      <c r="E320" s="19" t="n">
        <v>267.184121</v>
      </c>
      <c r="F320" s="19" t="n">
        <v>250.523895</v>
      </c>
      <c r="G320" s="19" t="n">
        <v>284.528817</v>
      </c>
      <c r="H320" s="19" t="n">
        <v>443.163626</v>
      </c>
      <c r="I320" s="19" t="n">
        <v>7491.100949</v>
      </c>
      <c r="J320" s="27" t="n">
        <v>2154874</v>
      </c>
      <c r="K320" s="27" t="n">
        <v>2159088</v>
      </c>
      <c r="L320" s="9" t="n">
        <f aca="false">IF(AND(K320&lt;&gt;"",J320&lt;Assumptions!$B$3*K320),K320,J320)</f>
        <v>2154874</v>
      </c>
      <c r="M320" s="21" t="str">
        <f aca="false">IF(L320=J320,"FERC Form 1","EIA-861")</f>
        <v>FERC Form 1</v>
      </c>
      <c r="N320" s="28" t="n">
        <f aca="false">E320+F320+G320</f>
        <v>802.236833</v>
      </c>
    </row>
    <row r="321" customFormat="false" ht="15" hidden="false" customHeight="false" outlineLevel="0" collapsed="false">
      <c r="A321" s="7" t="n">
        <v>2016</v>
      </c>
      <c r="B321" s="15" t="s">
        <v>139</v>
      </c>
      <c r="C321" s="15" t="s">
        <v>135</v>
      </c>
      <c r="D321" s="15" t="s">
        <v>138</v>
      </c>
      <c r="E321" s="19" t="n">
        <v>283.326868</v>
      </c>
      <c r="F321" s="19" t="n">
        <v>243.278874</v>
      </c>
      <c r="G321" s="19" t="n">
        <v>298.598562</v>
      </c>
      <c r="H321" s="19" t="n">
        <v>441.562091</v>
      </c>
      <c r="I321" s="19" t="n">
        <v>7794.793025</v>
      </c>
      <c r="J321" s="27" t="n">
        <v>2169416</v>
      </c>
      <c r="K321" s="27" t="n">
        <v>2173258</v>
      </c>
      <c r="L321" s="9" t="n">
        <f aca="false">IF(AND(K321&lt;&gt;"",J321&lt;Assumptions!$B$3*K321),K321,J321)</f>
        <v>2169416</v>
      </c>
      <c r="M321" s="21" t="str">
        <f aca="false">IF(L321=J321,"FERC Form 1","EIA-861")</f>
        <v>FERC Form 1</v>
      </c>
      <c r="N321" s="28" t="n">
        <f aca="false">E321+F321+G321</f>
        <v>825.204304</v>
      </c>
    </row>
    <row r="322" customFormat="false" ht="15" hidden="false" customHeight="false" outlineLevel="0" collapsed="false">
      <c r="A322" s="7" t="n">
        <v>2017</v>
      </c>
      <c r="B322" s="15" t="s">
        <v>139</v>
      </c>
      <c r="C322" s="15" t="s">
        <v>135</v>
      </c>
      <c r="D322" s="15" t="s">
        <v>138</v>
      </c>
      <c r="E322" s="19" t="n">
        <v>304.549811</v>
      </c>
      <c r="F322" s="19" t="n">
        <v>260.969434</v>
      </c>
      <c r="G322" s="19" t="n">
        <v>315.234058</v>
      </c>
      <c r="H322" s="19" t="n">
        <v>539.491651</v>
      </c>
      <c r="I322" s="19" t="n">
        <v>8279.078277</v>
      </c>
      <c r="J322" s="27" t="n">
        <v>2181941</v>
      </c>
      <c r="K322" s="27" t="n">
        <v>2189478</v>
      </c>
      <c r="L322" s="9" t="n">
        <f aca="false">IF(AND(K322&lt;&gt;"",J322&lt;Assumptions!$B$3*K322),K322,J322)</f>
        <v>2181941</v>
      </c>
      <c r="M322" s="21" t="str">
        <f aca="false">IF(L322=J322,"FERC Form 1","EIA-861")</f>
        <v>FERC Form 1</v>
      </c>
      <c r="N322" s="28" t="n">
        <f aca="false">E322+F322+G322</f>
        <v>880.753303</v>
      </c>
    </row>
    <row r="323" customFormat="false" ht="15" hidden="false" customHeight="false" outlineLevel="0" collapsed="false">
      <c r="A323" s="7" t="n">
        <v>2018</v>
      </c>
      <c r="B323" s="15" t="s">
        <v>139</v>
      </c>
      <c r="C323" s="15" t="s">
        <v>135</v>
      </c>
      <c r="D323" s="15" t="s">
        <v>138</v>
      </c>
      <c r="E323" s="19" t="n">
        <v>287.085963</v>
      </c>
      <c r="F323" s="19" t="n">
        <v>302.033752</v>
      </c>
      <c r="G323" s="19" t="n">
        <v>334.059848</v>
      </c>
      <c r="H323" s="19" t="n">
        <v>683.0839</v>
      </c>
      <c r="I323" s="19" t="n">
        <v>8799.541227</v>
      </c>
      <c r="J323" s="27" t="n">
        <v>2196473</v>
      </c>
      <c r="K323" s="27" t="n">
        <v>2201184</v>
      </c>
      <c r="L323" s="9" t="n">
        <f aca="false">IF(AND(K323&lt;&gt;"",J323&lt;Assumptions!$B$3*K323),K323,J323)</f>
        <v>2196473</v>
      </c>
      <c r="M323" s="21" t="str">
        <f aca="false">IF(L323=J323,"FERC Form 1","EIA-861")</f>
        <v>FERC Form 1</v>
      </c>
      <c r="N323" s="28" t="n">
        <f aca="false">E323+F323+G323</f>
        <v>923.179563</v>
      </c>
    </row>
    <row r="324" customFormat="false" ht="15" hidden="false" customHeight="false" outlineLevel="0" collapsed="false">
      <c r="A324" s="7" t="n">
        <v>2019</v>
      </c>
      <c r="B324" s="15" t="s">
        <v>139</v>
      </c>
      <c r="C324" s="15" t="s">
        <v>135</v>
      </c>
      <c r="D324" s="15" t="s">
        <v>138</v>
      </c>
      <c r="E324" s="19" t="n">
        <v>302.949185</v>
      </c>
      <c r="F324" s="19" t="n">
        <v>283.594927</v>
      </c>
      <c r="G324" s="19" t="n">
        <v>367.975481</v>
      </c>
      <c r="H324" s="19" t="n">
        <v>692.457829</v>
      </c>
      <c r="I324" s="19" t="n">
        <v>9377.027689</v>
      </c>
      <c r="J324" s="27" t="n">
        <v>2208925</v>
      </c>
      <c r="K324" s="27" t="n">
        <v>2213496</v>
      </c>
      <c r="L324" s="9" t="n">
        <f aca="false">IF(AND(K324&lt;&gt;"",J324&lt;Assumptions!$B$3*K324),K324,J324)</f>
        <v>2208925</v>
      </c>
      <c r="M324" s="21" t="str">
        <f aca="false">IF(L324=J324,"FERC Form 1","EIA-861")</f>
        <v>FERC Form 1</v>
      </c>
      <c r="N324" s="28" t="n">
        <f aca="false">E324+F324+G324</f>
        <v>954.519593</v>
      </c>
    </row>
    <row r="325" customFormat="false" ht="15" hidden="false" customHeight="false" outlineLevel="0" collapsed="false">
      <c r="A325" s="7" t="n">
        <v>2020</v>
      </c>
      <c r="B325" s="15" t="s">
        <v>139</v>
      </c>
      <c r="C325" s="15" t="s">
        <v>135</v>
      </c>
      <c r="D325" s="15" t="s">
        <v>138</v>
      </c>
      <c r="E325" s="19" t="n">
        <v>305.837708</v>
      </c>
      <c r="F325" s="19" t="n">
        <v>301.324015</v>
      </c>
      <c r="G325" s="19" t="n">
        <v>395.562954</v>
      </c>
      <c r="H325" s="19" t="n">
        <v>825.708012</v>
      </c>
      <c r="I325" s="19" t="n">
        <v>10046.570461</v>
      </c>
      <c r="J325" s="27" t="n">
        <v>2226501</v>
      </c>
      <c r="K325" s="27" t="n">
        <v>2230890</v>
      </c>
      <c r="L325" s="9" t="n">
        <f aca="false">IF(AND(K325&lt;&gt;"",J325&lt;Assumptions!$B$3*K325),K325,J325)</f>
        <v>2226501</v>
      </c>
      <c r="M325" s="21" t="str">
        <f aca="false">IF(L325=J325,"FERC Form 1","EIA-861")</f>
        <v>FERC Form 1</v>
      </c>
      <c r="N325" s="28" t="n">
        <f aca="false">E325+F325+G325</f>
        <v>1002.724677</v>
      </c>
    </row>
    <row r="326" customFormat="false" ht="15" hidden="false" customHeight="false" outlineLevel="0" collapsed="false">
      <c r="A326" s="7" t="n">
        <v>2021</v>
      </c>
      <c r="B326" s="15" t="s">
        <v>139</v>
      </c>
      <c r="C326" s="15" t="s">
        <v>135</v>
      </c>
      <c r="D326" s="15" t="s">
        <v>138</v>
      </c>
      <c r="E326" s="19" t="n">
        <v>338.360905</v>
      </c>
      <c r="F326" s="19" t="n">
        <v>320.2607</v>
      </c>
      <c r="G326" s="19" t="n">
        <v>425.366531</v>
      </c>
      <c r="H326" s="19" t="n">
        <v>1058.814349</v>
      </c>
      <c r="I326" s="19" t="n">
        <v>10987.799788</v>
      </c>
      <c r="J326" s="27" t="n">
        <v>2244945</v>
      </c>
      <c r="K326" s="27" t="n">
        <v>2249459</v>
      </c>
      <c r="L326" s="9" t="n">
        <f aca="false">IF(AND(K326&lt;&gt;"",J326&lt;Assumptions!$B$3*K326),K326,J326)</f>
        <v>2244945</v>
      </c>
      <c r="M326" s="21" t="str">
        <f aca="false">IF(L326=J326,"FERC Form 1","EIA-861")</f>
        <v>FERC Form 1</v>
      </c>
      <c r="N326" s="28" t="n">
        <f aca="false">E326+F326+G326</f>
        <v>1083.988136</v>
      </c>
    </row>
    <row r="327" customFormat="false" ht="15" hidden="false" customHeight="false" outlineLevel="0" collapsed="false">
      <c r="A327" s="7" t="n">
        <v>2022</v>
      </c>
      <c r="B327" s="15" t="s">
        <v>139</v>
      </c>
      <c r="C327" s="15" t="s">
        <v>135</v>
      </c>
      <c r="D327" s="15" t="s">
        <v>138</v>
      </c>
      <c r="E327" s="19" t="n">
        <v>345.413168</v>
      </c>
      <c r="F327" s="19" t="n">
        <v>352.149153</v>
      </c>
      <c r="G327" s="19" t="n">
        <v>462.074623</v>
      </c>
      <c r="H327" s="19" t="n">
        <v>948.677779</v>
      </c>
      <c r="I327" s="19" t="n">
        <v>11839.088563</v>
      </c>
      <c r="J327" s="27" t="n">
        <v>2257415</v>
      </c>
      <c r="K327" s="27" t="n">
        <v>2261902</v>
      </c>
      <c r="L327" s="9" t="n">
        <f aca="false">IF(AND(K327&lt;&gt;"",J327&lt;Assumptions!$B$3*K327),K327,J327)</f>
        <v>2257415</v>
      </c>
      <c r="M327" s="21" t="str">
        <f aca="false">IF(L327=J327,"FERC Form 1","EIA-861")</f>
        <v>FERC Form 1</v>
      </c>
      <c r="N327" s="28" t="n">
        <f aca="false">E327+F327+G327</f>
        <v>1159.636944</v>
      </c>
    </row>
    <row r="328" customFormat="false" ht="15" hidden="false" customHeight="false" outlineLevel="0" collapsed="false">
      <c r="A328" s="7" t="n">
        <v>2023</v>
      </c>
      <c r="B328" s="15" t="s">
        <v>139</v>
      </c>
      <c r="C328" s="15" t="s">
        <v>135</v>
      </c>
      <c r="D328" s="15" t="s">
        <v>138</v>
      </c>
      <c r="E328" s="19" t="n">
        <v>428.612964</v>
      </c>
      <c r="F328" s="19" t="n">
        <v>332.721802</v>
      </c>
      <c r="G328" s="19" t="n">
        <v>498.719367</v>
      </c>
      <c r="H328" s="19" t="n">
        <v>1098.552056</v>
      </c>
      <c r="I328" s="19" t="n">
        <v>12779.676559</v>
      </c>
      <c r="J328" s="27" t="n">
        <v>2266460</v>
      </c>
      <c r="K328" s="27" t="n">
        <v>2270824</v>
      </c>
      <c r="L328" s="9" t="n">
        <f aca="false">IF(AND(K328&lt;&gt;"",J328&lt;Assumptions!$B$3*K328),K328,J328)</f>
        <v>2266460</v>
      </c>
      <c r="M328" s="21" t="str">
        <f aca="false">IF(L328=J328,"FERC Form 1","EIA-861")</f>
        <v>FERC Form 1</v>
      </c>
      <c r="N328" s="28" t="n">
        <f aca="false">E328+F328+G328</f>
        <v>1260.054133</v>
      </c>
    </row>
    <row r="329" customFormat="false" ht="15" hidden="false" customHeight="false" outlineLevel="0" collapsed="false">
      <c r="A329" s="7" t="n">
        <v>2024</v>
      </c>
      <c r="B329" s="15" t="s">
        <v>139</v>
      </c>
      <c r="C329" s="15" t="s">
        <v>135</v>
      </c>
      <c r="D329" s="15" t="s">
        <v>138</v>
      </c>
      <c r="E329" s="19" t="n">
        <v>325.675359</v>
      </c>
      <c r="F329" s="19" t="n">
        <v>370.428698</v>
      </c>
      <c r="G329" s="19" t="n">
        <v>541.036905</v>
      </c>
      <c r="H329" s="19" t="n">
        <v>1220.065869</v>
      </c>
      <c r="I329" s="19" t="n">
        <v>13960.651592</v>
      </c>
      <c r="J329" s="27" t="n">
        <v>2279071</v>
      </c>
      <c r="K329" s="27" t="n">
        <v>2283306</v>
      </c>
      <c r="L329" s="9" t="n">
        <f aca="false">IF(AND(K329&lt;&gt;"",J329&lt;Assumptions!$B$3*K329),K329,J329)</f>
        <v>2279071</v>
      </c>
      <c r="M329" s="21" t="str">
        <f aca="false">IF(L329=J329,"FERC Form 1","EIA-861")</f>
        <v>FERC Form 1</v>
      </c>
      <c r="N329" s="28" t="n">
        <f aca="false">E329+F329+G329</f>
        <v>1237.140962</v>
      </c>
    </row>
    <row r="330" customFormat="false" ht="15" hidden="false" customHeight="false" outlineLevel="0" collapsed="false">
      <c r="A330" s="7" t="n">
        <v>2025</v>
      </c>
      <c r="B330" s="15" t="s">
        <v>139</v>
      </c>
      <c r="C330" s="15" t="s">
        <v>135</v>
      </c>
      <c r="D330" s="15" t="s">
        <v>138</v>
      </c>
      <c r="E330" s="19" t="n">
        <v>310.459236</v>
      </c>
      <c r="F330" s="19" t="n">
        <v>381.955954</v>
      </c>
      <c r="G330" s="19" t="n">
        <v>627.04701</v>
      </c>
      <c r="H330" s="19" t="n">
        <v>1612.232211</v>
      </c>
      <c r="I330" s="19" t="n">
        <v>15674.769043</v>
      </c>
      <c r="J330" s="27" t="n">
        <v>2290493</v>
      </c>
      <c r="K330" s="27" t="n">
        <v>2294780</v>
      </c>
      <c r="L330" s="9" t="n">
        <f aca="false">IF(AND(K330&lt;&gt;"",J330&lt;Assumptions!$B$3*K330),K330,J330)</f>
        <v>2290493</v>
      </c>
      <c r="M330" s="21" t="str">
        <f aca="false">IF(L330=J330,"FERC Form 1","EIA-861")</f>
        <v>FERC Form 1</v>
      </c>
      <c r="N330" s="28" t="n">
        <f aca="false">E330+F330+G330</f>
        <v>1319.4622</v>
      </c>
    </row>
    <row r="331" customFormat="false" ht="15" hidden="false" customHeight="false" outlineLevel="0" collapsed="false">
      <c r="A331" s="7" t="n">
        <v>2000</v>
      </c>
      <c r="B331" s="15" t="s">
        <v>140</v>
      </c>
      <c r="C331" s="15" t="s">
        <v>135</v>
      </c>
      <c r="D331" s="15" t="s">
        <v>141</v>
      </c>
      <c r="E331" s="19" t="n">
        <v>36.946253</v>
      </c>
      <c r="F331" s="19" t="n">
        <v>27.044289</v>
      </c>
      <c r="G331" s="19" t="n">
        <v>49.263285</v>
      </c>
      <c r="H331" s="19" t="n">
        <v>73.768481</v>
      </c>
      <c r="I331" s="19" t="n">
        <v>1528.971266</v>
      </c>
      <c r="J331" s="27" t="n">
        <v>710524</v>
      </c>
      <c r="K331" s="27"/>
      <c r="L331" s="9" t="n">
        <f aca="false">IF(AND(K331&lt;&gt;"",J331&lt;Assumptions!$B$3*K331),K331,J331)</f>
        <v>710524</v>
      </c>
      <c r="M331" s="21" t="str">
        <f aca="false">IF(L331=J331,"FERC Form 1","EIA-861")</f>
        <v>FERC Form 1</v>
      </c>
      <c r="N331" s="28" t="n">
        <f aca="false">E331+F331+G331</f>
        <v>113.253827</v>
      </c>
    </row>
    <row r="332" customFormat="false" ht="15" hidden="false" customHeight="false" outlineLevel="0" collapsed="false">
      <c r="A332" s="7" t="n">
        <v>2001</v>
      </c>
      <c r="B332" s="15" t="s">
        <v>140</v>
      </c>
      <c r="C332" s="15" t="s">
        <v>135</v>
      </c>
      <c r="D332" s="15" t="s">
        <v>141</v>
      </c>
      <c r="E332" s="19" t="n">
        <v>38.680196</v>
      </c>
      <c r="F332" s="19" t="n">
        <v>30.123034</v>
      </c>
      <c r="G332" s="19" t="n">
        <v>51.739714</v>
      </c>
      <c r="H332" s="19" t="n">
        <v>81.025651</v>
      </c>
      <c r="I332" s="19" t="n">
        <v>1586.06302</v>
      </c>
      <c r="J332" s="27" t="n">
        <v>722231</v>
      </c>
      <c r="K332" s="27" t="n">
        <v>722231</v>
      </c>
      <c r="L332" s="9" t="n">
        <f aca="false">IF(AND(K332&lt;&gt;"",J332&lt;Assumptions!$B$3*K332),K332,J332)</f>
        <v>722231</v>
      </c>
      <c r="M332" s="21" t="str">
        <f aca="false">IF(L332=J332,"FERC Form 1","EIA-861")</f>
        <v>FERC Form 1</v>
      </c>
      <c r="N332" s="28" t="n">
        <f aca="false">E332+F332+G332</f>
        <v>120.542944</v>
      </c>
    </row>
    <row r="333" customFormat="false" ht="15" hidden="false" customHeight="false" outlineLevel="0" collapsed="false">
      <c r="A333" s="7" t="n">
        <v>2002</v>
      </c>
      <c r="B333" s="15" t="s">
        <v>140</v>
      </c>
      <c r="C333" s="15" t="s">
        <v>135</v>
      </c>
      <c r="D333" s="15" t="s">
        <v>141</v>
      </c>
      <c r="E333" s="19" t="n">
        <v>37.999473</v>
      </c>
      <c r="F333" s="19" t="n">
        <v>36.69483</v>
      </c>
      <c r="G333" s="19" t="n">
        <v>53.589051</v>
      </c>
      <c r="H333" s="19" t="n">
        <v>88.222696</v>
      </c>
      <c r="I333" s="19" t="n">
        <v>1668.611606</v>
      </c>
      <c r="J333" s="27" t="n">
        <v>733201</v>
      </c>
      <c r="K333" s="27" t="n">
        <v>733201</v>
      </c>
      <c r="L333" s="9" t="n">
        <f aca="false">IF(AND(K333&lt;&gt;"",J333&lt;Assumptions!$B$3*K333),K333,J333)</f>
        <v>733201</v>
      </c>
      <c r="M333" s="21" t="str">
        <f aca="false">IF(L333=J333,"FERC Form 1","EIA-861")</f>
        <v>FERC Form 1</v>
      </c>
      <c r="N333" s="28" t="n">
        <f aca="false">E333+F333+G333</f>
        <v>128.283354</v>
      </c>
    </row>
    <row r="334" customFormat="false" ht="15" hidden="false" customHeight="false" outlineLevel="0" collapsed="false">
      <c r="A334" s="7" t="n">
        <v>2003</v>
      </c>
      <c r="B334" s="15" t="s">
        <v>140</v>
      </c>
      <c r="C334" s="15" t="s">
        <v>135</v>
      </c>
      <c r="D334" s="15" t="s">
        <v>141</v>
      </c>
      <c r="E334" s="19" t="n">
        <v>43.345216</v>
      </c>
      <c r="F334" s="19" t="n">
        <v>36.493313</v>
      </c>
      <c r="G334" s="19" t="n">
        <v>56.009684</v>
      </c>
      <c r="H334" s="19" t="n">
        <v>62.716601</v>
      </c>
      <c r="I334" s="19" t="n">
        <v>1718.047082</v>
      </c>
      <c r="J334" s="27" t="n">
        <v>742436</v>
      </c>
      <c r="K334" s="27" t="n">
        <v>742436</v>
      </c>
      <c r="L334" s="9" t="n">
        <f aca="false">IF(AND(K334&lt;&gt;"",J334&lt;Assumptions!$B$3*K334),K334,J334)</f>
        <v>742436</v>
      </c>
      <c r="M334" s="21" t="str">
        <f aca="false">IF(L334=J334,"FERC Form 1","EIA-861")</f>
        <v>FERC Form 1</v>
      </c>
      <c r="N334" s="28" t="n">
        <f aca="false">E334+F334+G334</f>
        <v>135.848213</v>
      </c>
    </row>
    <row r="335" customFormat="false" ht="15" hidden="false" customHeight="false" outlineLevel="0" collapsed="false">
      <c r="A335" s="7" t="n">
        <v>2004</v>
      </c>
      <c r="B335" s="15" t="s">
        <v>140</v>
      </c>
      <c r="C335" s="15" t="s">
        <v>135</v>
      </c>
      <c r="D335" s="15" t="s">
        <v>141</v>
      </c>
      <c r="E335" s="19" t="n">
        <v>42.591565</v>
      </c>
      <c r="F335" s="19" t="n">
        <v>35.421264</v>
      </c>
      <c r="G335" s="19" t="n">
        <v>62.478202</v>
      </c>
      <c r="H335" s="19" t="n">
        <v>95.577693</v>
      </c>
      <c r="I335" s="19" t="n">
        <v>1794.502961</v>
      </c>
      <c r="J335" s="27" t="n">
        <v>747696</v>
      </c>
      <c r="K335" s="27" t="n">
        <v>747696</v>
      </c>
      <c r="L335" s="9" t="n">
        <f aca="false">IF(AND(K335&lt;&gt;"",J335&lt;Assumptions!$B$3*K335),K335,J335)</f>
        <v>747696</v>
      </c>
      <c r="M335" s="21" t="str">
        <f aca="false">IF(L335=J335,"FERC Form 1","EIA-861")</f>
        <v>FERC Form 1</v>
      </c>
      <c r="N335" s="28" t="n">
        <f aca="false">E335+F335+G335</f>
        <v>140.491031</v>
      </c>
    </row>
    <row r="336" customFormat="false" ht="15" hidden="false" customHeight="false" outlineLevel="0" collapsed="false">
      <c r="A336" s="7" t="n">
        <v>2005</v>
      </c>
      <c r="B336" s="15" t="s">
        <v>140</v>
      </c>
      <c r="C336" s="15" t="s">
        <v>135</v>
      </c>
      <c r="D336" s="15" t="s">
        <v>141</v>
      </c>
      <c r="E336" s="19" t="n">
        <v>45.745644</v>
      </c>
      <c r="F336" s="19" t="n">
        <v>40.478996</v>
      </c>
      <c r="G336" s="19" t="n">
        <v>68.103374</v>
      </c>
      <c r="H336" s="19" t="n">
        <v>86.475436</v>
      </c>
      <c r="I336" s="19" t="n">
        <v>1864.91532</v>
      </c>
      <c r="J336" s="27" t="n">
        <v>758912</v>
      </c>
      <c r="K336" s="27" t="n">
        <v>758912</v>
      </c>
      <c r="L336" s="9" t="n">
        <f aca="false">IF(AND(K336&lt;&gt;"",J336&lt;Assumptions!$B$3*K336),K336,J336)</f>
        <v>758912</v>
      </c>
      <c r="M336" s="21" t="str">
        <f aca="false">IF(L336=J336,"FERC Form 1","EIA-861")</f>
        <v>FERC Form 1</v>
      </c>
      <c r="N336" s="28" t="n">
        <f aca="false">E336+F336+G336</f>
        <v>154.328014</v>
      </c>
    </row>
    <row r="337" customFormat="false" ht="15" hidden="false" customHeight="false" outlineLevel="0" collapsed="false">
      <c r="A337" s="7" t="n">
        <v>2006</v>
      </c>
      <c r="B337" s="15" t="s">
        <v>140</v>
      </c>
      <c r="C337" s="15" t="s">
        <v>135</v>
      </c>
      <c r="D337" s="15" t="s">
        <v>141</v>
      </c>
      <c r="E337" s="19" t="n">
        <v>45.635225</v>
      </c>
      <c r="F337" s="19" t="n">
        <v>48.967787</v>
      </c>
      <c r="G337" s="19" t="n">
        <v>70.810825</v>
      </c>
      <c r="H337" s="19" t="n">
        <v>64.841519</v>
      </c>
      <c r="I337" s="19" t="n">
        <v>1907.628228</v>
      </c>
      <c r="J337" s="27" t="n">
        <v>766165</v>
      </c>
      <c r="K337" s="27" t="n">
        <v>766165</v>
      </c>
      <c r="L337" s="9" t="n">
        <f aca="false">IF(AND(K337&lt;&gt;"",J337&lt;Assumptions!$B$3*K337),K337,J337)</f>
        <v>766165</v>
      </c>
      <c r="M337" s="21" t="str">
        <f aca="false">IF(L337=J337,"FERC Form 1","EIA-861")</f>
        <v>FERC Form 1</v>
      </c>
      <c r="N337" s="28" t="n">
        <f aca="false">E337+F337+G337</f>
        <v>165.413837</v>
      </c>
    </row>
    <row r="338" customFormat="false" ht="15" hidden="false" customHeight="false" outlineLevel="0" collapsed="false">
      <c r="A338" s="7" t="n">
        <v>2007</v>
      </c>
      <c r="B338" s="15" t="s">
        <v>140</v>
      </c>
      <c r="C338" s="15" t="s">
        <v>135</v>
      </c>
      <c r="D338" s="15" t="s">
        <v>141</v>
      </c>
      <c r="E338" s="19" t="n">
        <v>45.701434</v>
      </c>
      <c r="F338" s="19" t="n">
        <v>51.343491</v>
      </c>
      <c r="G338" s="19" t="n">
        <v>74.22039</v>
      </c>
      <c r="H338" s="19" t="n">
        <v>130.486726</v>
      </c>
      <c r="I338" s="19" t="n">
        <v>2019.184385</v>
      </c>
      <c r="J338" s="27" t="n">
        <v>773954</v>
      </c>
      <c r="K338" s="27" t="n">
        <v>773954</v>
      </c>
      <c r="L338" s="9" t="n">
        <f aca="false">IF(AND(K338&lt;&gt;"",J338&lt;Assumptions!$B$3*K338),K338,J338)</f>
        <v>773954</v>
      </c>
      <c r="M338" s="21" t="str">
        <f aca="false">IF(L338=J338,"FERC Form 1","EIA-861")</f>
        <v>FERC Form 1</v>
      </c>
      <c r="N338" s="28" t="n">
        <f aca="false">E338+F338+G338</f>
        <v>171.265315</v>
      </c>
    </row>
    <row r="339" customFormat="false" ht="15" hidden="false" customHeight="false" outlineLevel="0" collapsed="false">
      <c r="A339" s="7" t="n">
        <v>2008</v>
      </c>
      <c r="B339" s="15" t="s">
        <v>140</v>
      </c>
      <c r="C339" s="15" t="s">
        <v>135</v>
      </c>
      <c r="D339" s="15" t="s">
        <v>141</v>
      </c>
      <c r="E339" s="19" t="n">
        <v>85.237846</v>
      </c>
      <c r="F339" s="19" t="n">
        <v>48.079513</v>
      </c>
      <c r="G339" s="19" t="n">
        <v>76.543961</v>
      </c>
      <c r="H339" s="19" t="n">
        <v>92.612888</v>
      </c>
      <c r="I339" s="19" t="n">
        <v>2098.209635</v>
      </c>
      <c r="J339" s="27" t="n">
        <v>776647</v>
      </c>
      <c r="K339" s="27" t="n">
        <v>776647</v>
      </c>
      <c r="L339" s="9" t="n">
        <f aca="false">IF(AND(K339&lt;&gt;"",J339&lt;Assumptions!$B$3*K339),K339,J339)</f>
        <v>776647</v>
      </c>
      <c r="M339" s="21" t="str">
        <f aca="false">IF(L339=J339,"FERC Form 1","EIA-861")</f>
        <v>FERC Form 1</v>
      </c>
      <c r="N339" s="28" t="n">
        <f aca="false">E339+F339+G339</f>
        <v>209.86132</v>
      </c>
    </row>
    <row r="340" customFormat="false" ht="15" hidden="false" customHeight="false" outlineLevel="0" collapsed="false">
      <c r="A340" s="7" t="n">
        <v>2009</v>
      </c>
      <c r="B340" s="15" t="s">
        <v>140</v>
      </c>
      <c r="C340" s="15" t="s">
        <v>135</v>
      </c>
      <c r="D340" s="15" t="s">
        <v>141</v>
      </c>
      <c r="E340" s="19" t="n">
        <v>89.029404</v>
      </c>
      <c r="F340" s="19" t="n">
        <v>49.4899</v>
      </c>
      <c r="G340" s="19" t="n">
        <v>76.757408</v>
      </c>
      <c r="H340" s="19" t="n">
        <v>105.133435</v>
      </c>
      <c r="I340" s="19" t="n">
        <v>2189.821683</v>
      </c>
      <c r="J340" s="27" t="n">
        <v>776145</v>
      </c>
      <c r="K340" s="27" t="n">
        <v>776145</v>
      </c>
      <c r="L340" s="9" t="n">
        <f aca="false">IF(AND(K340&lt;&gt;"",J340&lt;Assumptions!$B$3*K340),K340,J340)</f>
        <v>776145</v>
      </c>
      <c r="M340" s="21" t="str">
        <f aca="false">IF(L340=J340,"FERC Form 1","EIA-861")</f>
        <v>FERC Form 1</v>
      </c>
      <c r="N340" s="28" t="n">
        <f aca="false">E340+F340+G340</f>
        <v>215.276712</v>
      </c>
    </row>
    <row r="341" customFormat="false" ht="15" hidden="false" customHeight="false" outlineLevel="0" collapsed="false">
      <c r="A341" s="7" t="n">
        <v>2010</v>
      </c>
      <c r="B341" s="15" t="s">
        <v>140</v>
      </c>
      <c r="C341" s="15" t="s">
        <v>135</v>
      </c>
      <c r="D341" s="15" t="s">
        <v>141</v>
      </c>
      <c r="E341" s="19" t="n">
        <v>59.029004</v>
      </c>
      <c r="F341" s="19" t="n">
        <v>59.176213</v>
      </c>
      <c r="G341" s="19" t="n">
        <v>81.918119</v>
      </c>
      <c r="H341" s="19" t="n">
        <v>93.611485</v>
      </c>
      <c r="I341" s="19" t="n">
        <v>2251.53081</v>
      </c>
      <c r="J341" s="27" t="n">
        <v>781819</v>
      </c>
      <c r="K341" s="27" t="n">
        <v>781819</v>
      </c>
      <c r="L341" s="9" t="n">
        <f aca="false">IF(AND(K341&lt;&gt;"",J341&lt;Assumptions!$B$3*K341),K341,J341)</f>
        <v>781819</v>
      </c>
      <c r="M341" s="21" t="str">
        <f aca="false">IF(L341=J341,"FERC Form 1","EIA-861")</f>
        <v>FERC Form 1</v>
      </c>
      <c r="N341" s="28" t="n">
        <f aca="false">E341+F341+G341</f>
        <v>200.123336</v>
      </c>
    </row>
    <row r="342" customFormat="false" ht="15" hidden="false" customHeight="false" outlineLevel="0" collapsed="false">
      <c r="A342" s="7" t="n">
        <v>2011</v>
      </c>
      <c r="B342" s="15" t="s">
        <v>140</v>
      </c>
      <c r="C342" s="15" t="s">
        <v>135</v>
      </c>
      <c r="D342" s="15" t="s">
        <v>141</v>
      </c>
      <c r="E342" s="19" t="n">
        <v>106.99118</v>
      </c>
      <c r="F342" s="19" t="n">
        <v>65.541841</v>
      </c>
      <c r="G342" s="19" t="n">
        <v>84.436824</v>
      </c>
      <c r="H342" s="19" t="n">
        <v>86.608348</v>
      </c>
      <c r="I342" s="19" t="n">
        <v>2296.42241</v>
      </c>
      <c r="J342" s="27" t="n">
        <v>782879</v>
      </c>
      <c r="K342" s="27" t="n">
        <v>782879</v>
      </c>
      <c r="L342" s="9" t="n">
        <f aca="false">IF(AND(K342&lt;&gt;"",J342&lt;Assumptions!$B$3*K342),K342,J342)</f>
        <v>782879</v>
      </c>
      <c r="M342" s="21" t="str">
        <f aca="false">IF(L342=J342,"FERC Form 1","EIA-861")</f>
        <v>FERC Form 1</v>
      </c>
      <c r="N342" s="28" t="n">
        <f aca="false">E342+F342+G342</f>
        <v>256.969845</v>
      </c>
    </row>
    <row r="343" customFormat="false" ht="15" hidden="false" customHeight="false" outlineLevel="0" collapsed="false">
      <c r="A343" s="7" t="n">
        <v>2012</v>
      </c>
      <c r="B343" s="15" t="s">
        <v>140</v>
      </c>
      <c r="C343" s="15" t="s">
        <v>135</v>
      </c>
      <c r="D343" s="15" t="s">
        <v>141</v>
      </c>
      <c r="E343" s="19" t="n">
        <v>72.663686</v>
      </c>
      <c r="F343" s="19" t="n">
        <v>58.200239</v>
      </c>
      <c r="G343" s="19" t="n">
        <v>88.365831</v>
      </c>
      <c r="H343" s="19" t="n">
        <v>119.014685</v>
      </c>
      <c r="I343" s="19" t="n">
        <v>2394.945113</v>
      </c>
      <c r="J343" s="27" t="n">
        <v>787622</v>
      </c>
      <c r="K343" s="27" t="n">
        <v>787622</v>
      </c>
      <c r="L343" s="9" t="n">
        <f aca="false">IF(AND(K343&lt;&gt;"",J343&lt;Assumptions!$B$3*K343),K343,J343)</f>
        <v>787622</v>
      </c>
      <c r="M343" s="21" t="str">
        <f aca="false">IF(L343=J343,"FERC Form 1","EIA-861")</f>
        <v>FERC Form 1</v>
      </c>
      <c r="N343" s="28" t="n">
        <f aca="false">E343+F343+G343</f>
        <v>219.229756</v>
      </c>
    </row>
    <row r="344" customFormat="false" ht="15" hidden="false" customHeight="false" outlineLevel="0" collapsed="false">
      <c r="A344" s="7" t="n">
        <v>2013</v>
      </c>
      <c r="B344" s="15" t="s">
        <v>140</v>
      </c>
      <c r="C344" s="15" t="s">
        <v>135</v>
      </c>
      <c r="D344" s="15" t="s">
        <v>141</v>
      </c>
      <c r="E344" s="19" t="n">
        <v>78.964778</v>
      </c>
      <c r="F344" s="19" t="n">
        <v>50.389504</v>
      </c>
      <c r="G344" s="19" t="n">
        <v>72.016507</v>
      </c>
      <c r="H344" s="19" t="n">
        <v>114.686513</v>
      </c>
      <c r="I344" s="19" t="n">
        <v>2497.808906</v>
      </c>
      <c r="J344" s="27" t="n">
        <v>792756</v>
      </c>
      <c r="K344" s="27" t="n">
        <v>792756</v>
      </c>
      <c r="L344" s="9" t="n">
        <f aca="false">IF(AND(K344&lt;&gt;"",J344&lt;Assumptions!$B$3*K344),K344,J344)</f>
        <v>792756</v>
      </c>
      <c r="M344" s="21" t="str">
        <f aca="false">IF(L344=J344,"FERC Form 1","EIA-861")</f>
        <v>FERC Form 1</v>
      </c>
      <c r="N344" s="28" t="n">
        <f aca="false">E344+F344+G344</f>
        <v>201.370789</v>
      </c>
    </row>
    <row r="345" customFormat="false" ht="15" hidden="false" customHeight="false" outlineLevel="0" collapsed="false">
      <c r="A345" s="7" t="n">
        <v>2014</v>
      </c>
      <c r="B345" s="15" t="s">
        <v>140</v>
      </c>
      <c r="C345" s="15" t="s">
        <v>135</v>
      </c>
      <c r="D345" s="15" t="s">
        <v>141</v>
      </c>
      <c r="E345" s="19" t="n">
        <v>82.12087</v>
      </c>
      <c r="F345" s="19" t="n">
        <v>47.138464</v>
      </c>
      <c r="G345" s="19" t="n">
        <v>75.118257</v>
      </c>
      <c r="H345" s="19" t="n">
        <v>123.445402</v>
      </c>
      <c r="I345" s="19" t="n">
        <v>2587.329226</v>
      </c>
      <c r="J345" s="27" t="n">
        <v>797580</v>
      </c>
      <c r="K345" s="27" t="n">
        <v>797580</v>
      </c>
      <c r="L345" s="9" t="n">
        <f aca="false">IF(AND(K345&lt;&gt;"",J345&lt;Assumptions!$B$3*K345),K345,J345)</f>
        <v>797580</v>
      </c>
      <c r="M345" s="21" t="str">
        <f aca="false">IF(L345=J345,"FERC Form 1","EIA-861")</f>
        <v>FERC Form 1</v>
      </c>
      <c r="N345" s="28" t="n">
        <f aca="false">E345+F345+G345</f>
        <v>204.377591</v>
      </c>
    </row>
    <row r="346" customFormat="false" ht="15" hidden="false" customHeight="false" outlineLevel="0" collapsed="false">
      <c r="A346" s="7" t="n">
        <v>2015</v>
      </c>
      <c r="B346" s="15" t="s">
        <v>140</v>
      </c>
      <c r="C346" s="15" t="s">
        <v>135</v>
      </c>
      <c r="D346" s="15" t="s">
        <v>141</v>
      </c>
      <c r="E346" s="19" t="n">
        <v>91.194033</v>
      </c>
      <c r="F346" s="19" t="n">
        <v>46.66451</v>
      </c>
      <c r="G346" s="19" t="n">
        <v>79.322377</v>
      </c>
      <c r="H346" s="19" t="n">
        <v>167.360308</v>
      </c>
      <c r="I346" s="19" t="n">
        <v>2720.508353</v>
      </c>
      <c r="J346" s="27" t="n">
        <v>804322</v>
      </c>
      <c r="K346" s="27" t="n">
        <v>804322</v>
      </c>
      <c r="L346" s="9" t="n">
        <f aca="false">IF(AND(K346&lt;&gt;"",J346&lt;Assumptions!$B$3*K346),K346,J346)</f>
        <v>804322</v>
      </c>
      <c r="M346" s="21" t="str">
        <f aca="false">IF(L346=J346,"FERC Form 1","EIA-861")</f>
        <v>FERC Form 1</v>
      </c>
      <c r="N346" s="28" t="n">
        <f aca="false">E346+F346+G346</f>
        <v>217.18092</v>
      </c>
    </row>
    <row r="347" customFormat="false" ht="15" hidden="false" customHeight="false" outlineLevel="0" collapsed="false">
      <c r="A347" s="7" t="n">
        <v>2016</v>
      </c>
      <c r="B347" s="15" t="s">
        <v>140</v>
      </c>
      <c r="C347" s="15" t="s">
        <v>135</v>
      </c>
      <c r="D347" s="15" t="s">
        <v>141</v>
      </c>
      <c r="E347" s="19" t="n">
        <v>99.679927</v>
      </c>
      <c r="F347" s="19" t="n">
        <v>32.577403</v>
      </c>
      <c r="G347" s="19" t="n">
        <v>81.69369</v>
      </c>
      <c r="H347" s="19" t="n">
        <v>173.159831</v>
      </c>
      <c r="I347" s="19" t="n">
        <v>2849.94046</v>
      </c>
      <c r="J347" s="27" t="n">
        <v>812986</v>
      </c>
      <c r="K347" s="27" t="n">
        <v>812986</v>
      </c>
      <c r="L347" s="9" t="n">
        <f aca="false">IF(AND(K347&lt;&gt;"",J347&lt;Assumptions!$B$3*K347),K347,J347)</f>
        <v>812986</v>
      </c>
      <c r="M347" s="21" t="str">
        <f aca="false">IF(L347=J347,"FERC Form 1","EIA-861")</f>
        <v>FERC Form 1</v>
      </c>
      <c r="N347" s="28" t="n">
        <f aca="false">E347+F347+G347</f>
        <v>213.95102</v>
      </c>
    </row>
    <row r="348" customFormat="false" ht="15" hidden="false" customHeight="false" outlineLevel="0" collapsed="false">
      <c r="A348" s="7" t="n">
        <v>2017</v>
      </c>
      <c r="B348" s="15" t="s">
        <v>140</v>
      </c>
      <c r="C348" s="15" t="s">
        <v>135</v>
      </c>
      <c r="D348" s="15" t="s">
        <v>141</v>
      </c>
      <c r="E348" s="19" t="n">
        <v>99.540734</v>
      </c>
      <c r="F348" s="19" t="n">
        <v>33.901888</v>
      </c>
      <c r="G348" s="19" t="n">
        <v>85.994206</v>
      </c>
      <c r="H348" s="19" t="n">
        <v>272.419829</v>
      </c>
      <c r="I348" s="19" t="n">
        <v>3052.046697</v>
      </c>
      <c r="J348" s="27" t="n">
        <v>819569</v>
      </c>
      <c r="K348" s="27" t="n">
        <v>819569</v>
      </c>
      <c r="L348" s="9" t="n">
        <f aca="false">IF(AND(K348&lt;&gt;"",J348&lt;Assumptions!$B$3*K348),K348,J348)</f>
        <v>819569</v>
      </c>
      <c r="M348" s="21" t="str">
        <f aca="false">IF(L348=J348,"FERC Form 1","EIA-861")</f>
        <v>FERC Form 1</v>
      </c>
      <c r="N348" s="28" t="n">
        <f aca="false">E348+F348+G348</f>
        <v>219.436828</v>
      </c>
    </row>
    <row r="349" customFormat="false" ht="15" hidden="false" customHeight="false" outlineLevel="0" collapsed="false">
      <c r="A349" s="7" t="n">
        <v>2018</v>
      </c>
      <c r="B349" s="15" t="s">
        <v>140</v>
      </c>
      <c r="C349" s="15" t="s">
        <v>135</v>
      </c>
      <c r="D349" s="15" t="s">
        <v>141</v>
      </c>
      <c r="E349" s="19" t="n">
        <v>116.507529</v>
      </c>
      <c r="F349" s="19" t="n">
        <v>34.633517</v>
      </c>
      <c r="G349" s="19" t="n">
        <v>94.421669</v>
      </c>
      <c r="H349" s="19" t="n">
        <v>296.719745</v>
      </c>
      <c r="I349" s="19" t="n">
        <v>3274.630841</v>
      </c>
      <c r="J349" s="27" t="n">
        <v>830270</v>
      </c>
      <c r="K349" s="27" t="n">
        <v>830270</v>
      </c>
      <c r="L349" s="9" t="n">
        <f aca="false">IF(AND(K349&lt;&gt;"",J349&lt;Assumptions!$B$3*K349),K349,J349)</f>
        <v>830270</v>
      </c>
      <c r="M349" s="21" t="str">
        <f aca="false">IF(L349=J349,"FERC Form 1","EIA-861")</f>
        <v>FERC Form 1</v>
      </c>
      <c r="N349" s="28" t="n">
        <f aca="false">E349+F349+G349</f>
        <v>245.562715</v>
      </c>
    </row>
    <row r="350" customFormat="false" ht="15" hidden="false" customHeight="false" outlineLevel="0" collapsed="false">
      <c r="A350" s="7" t="n">
        <v>2019</v>
      </c>
      <c r="B350" s="15" t="s">
        <v>140</v>
      </c>
      <c r="C350" s="15" t="s">
        <v>135</v>
      </c>
      <c r="D350" s="15" t="s">
        <v>141</v>
      </c>
      <c r="E350" s="19" t="n">
        <v>118.208161</v>
      </c>
      <c r="F350" s="19" t="n">
        <v>30.501151</v>
      </c>
      <c r="G350" s="19" t="n">
        <v>94.986016</v>
      </c>
      <c r="H350" s="19" t="n">
        <v>405.844984</v>
      </c>
      <c r="I350" s="19" t="n">
        <v>3598.412345</v>
      </c>
      <c r="J350" s="27" t="n">
        <v>840116</v>
      </c>
      <c r="K350" s="27" t="n">
        <v>840116</v>
      </c>
      <c r="L350" s="9" t="n">
        <f aca="false">IF(AND(K350&lt;&gt;"",J350&lt;Assumptions!$B$3*K350),K350,J350)</f>
        <v>840116</v>
      </c>
      <c r="M350" s="21" t="str">
        <f aca="false">IF(L350=J350,"FERC Form 1","EIA-861")</f>
        <v>FERC Form 1</v>
      </c>
      <c r="N350" s="28" t="n">
        <f aca="false">E350+F350+G350</f>
        <v>243.695328</v>
      </c>
    </row>
    <row r="351" customFormat="false" ht="15" hidden="false" customHeight="false" outlineLevel="0" collapsed="false">
      <c r="A351" s="7" t="n">
        <v>2020</v>
      </c>
      <c r="B351" s="15" t="s">
        <v>140</v>
      </c>
      <c r="C351" s="15" t="s">
        <v>135</v>
      </c>
      <c r="D351" s="15" t="s">
        <v>141</v>
      </c>
      <c r="E351" s="19" t="n">
        <v>111.436845</v>
      </c>
      <c r="F351" s="19" t="n">
        <v>22.752201</v>
      </c>
      <c r="G351" s="19" t="n">
        <v>92.81533</v>
      </c>
      <c r="H351" s="19" t="n">
        <v>363.039162</v>
      </c>
      <c r="I351" s="19" t="n">
        <v>3917.087313</v>
      </c>
      <c r="J351" s="27" t="n">
        <v>852004</v>
      </c>
      <c r="K351" s="27" t="n">
        <v>852004</v>
      </c>
      <c r="L351" s="9" t="n">
        <f aca="false">IF(AND(K351&lt;&gt;"",J351&lt;Assumptions!$B$3*K351),K351,J351)</f>
        <v>852004</v>
      </c>
      <c r="M351" s="21" t="str">
        <f aca="false">IF(L351=J351,"FERC Form 1","EIA-861")</f>
        <v>FERC Form 1</v>
      </c>
      <c r="N351" s="28" t="n">
        <f aca="false">E351+F351+G351</f>
        <v>227.004376</v>
      </c>
    </row>
    <row r="352" customFormat="false" ht="15" hidden="false" customHeight="false" outlineLevel="0" collapsed="false">
      <c r="A352" s="7" t="n">
        <v>2021</v>
      </c>
      <c r="B352" s="15" t="s">
        <v>140</v>
      </c>
      <c r="C352" s="15" t="s">
        <v>135</v>
      </c>
      <c r="D352" s="15" t="s">
        <v>141</v>
      </c>
      <c r="E352" s="19" t="n">
        <v>120.624679</v>
      </c>
      <c r="F352" s="19" t="n">
        <v>23.991125</v>
      </c>
      <c r="G352" s="19" t="n">
        <v>88.806066</v>
      </c>
      <c r="H352" s="19" t="n">
        <v>342.254319</v>
      </c>
      <c r="I352" s="19" t="n">
        <v>4201.451887</v>
      </c>
      <c r="J352" s="27" t="n">
        <v>860972</v>
      </c>
      <c r="K352" s="27" t="n">
        <v>860972</v>
      </c>
      <c r="L352" s="9" t="n">
        <f aca="false">IF(AND(K352&lt;&gt;"",J352&lt;Assumptions!$B$3*K352),K352,J352)</f>
        <v>860972</v>
      </c>
      <c r="M352" s="21" t="str">
        <f aca="false">IF(L352=J352,"FERC Form 1","EIA-861")</f>
        <v>FERC Form 1</v>
      </c>
      <c r="N352" s="28" t="n">
        <f aca="false">E352+F352+G352</f>
        <v>233.42187</v>
      </c>
    </row>
    <row r="353" customFormat="false" ht="15" hidden="false" customHeight="false" outlineLevel="0" collapsed="false">
      <c r="A353" s="7" t="n">
        <v>2022</v>
      </c>
      <c r="B353" s="15" t="s">
        <v>140</v>
      </c>
      <c r="C353" s="15" t="s">
        <v>135</v>
      </c>
      <c r="D353" s="15" t="s">
        <v>141</v>
      </c>
      <c r="E353" s="19" t="n">
        <v>122.09781</v>
      </c>
      <c r="F353" s="19" t="n">
        <v>23.743151</v>
      </c>
      <c r="G353" s="19" t="n">
        <v>96.20628</v>
      </c>
      <c r="H353" s="19" t="n">
        <v>386.872637</v>
      </c>
      <c r="I353" s="19" t="n">
        <v>4551.264129</v>
      </c>
      <c r="J353" s="27" t="n">
        <v>881328</v>
      </c>
      <c r="K353" s="27" t="n">
        <v>881328</v>
      </c>
      <c r="L353" s="9" t="n">
        <f aca="false">IF(AND(K353&lt;&gt;"",J353&lt;Assumptions!$B$3*K353),K353,J353)</f>
        <v>881328</v>
      </c>
      <c r="M353" s="21" t="str">
        <f aca="false">IF(L353=J353,"FERC Form 1","EIA-861")</f>
        <v>FERC Form 1</v>
      </c>
      <c r="N353" s="28" t="n">
        <f aca="false">E353+F353+G353</f>
        <v>242.047241</v>
      </c>
    </row>
    <row r="354" customFormat="false" ht="15" hidden="false" customHeight="false" outlineLevel="0" collapsed="false">
      <c r="A354" s="7" t="n">
        <v>2023</v>
      </c>
      <c r="B354" s="15" t="s">
        <v>140</v>
      </c>
      <c r="C354" s="15" t="s">
        <v>135</v>
      </c>
      <c r="D354" s="15" t="s">
        <v>141</v>
      </c>
      <c r="E354" s="19" t="n">
        <v>90.290536</v>
      </c>
      <c r="F354" s="19" t="n">
        <v>30.5153</v>
      </c>
      <c r="G354" s="19" t="n">
        <v>103.325593</v>
      </c>
      <c r="H354" s="19" t="n">
        <v>379.035258</v>
      </c>
      <c r="I354" s="19" t="n">
        <v>4903.701111</v>
      </c>
      <c r="J354" s="27" t="n">
        <v>894160</v>
      </c>
      <c r="K354" s="27" t="n">
        <v>894157</v>
      </c>
      <c r="L354" s="9" t="n">
        <f aca="false">IF(AND(K354&lt;&gt;"",J354&lt;Assumptions!$B$3*K354),K354,J354)</f>
        <v>894160</v>
      </c>
      <c r="M354" s="21" t="str">
        <f aca="false">IF(L354=J354,"FERC Form 1","EIA-861")</f>
        <v>FERC Form 1</v>
      </c>
      <c r="N354" s="28" t="n">
        <f aca="false">E354+F354+G354</f>
        <v>224.131429</v>
      </c>
    </row>
    <row r="355" customFormat="false" ht="15" hidden="false" customHeight="false" outlineLevel="0" collapsed="false">
      <c r="A355" s="7" t="n">
        <v>2024</v>
      </c>
      <c r="B355" s="15" t="s">
        <v>140</v>
      </c>
      <c r="C355" s="15" t="s">
        <v>135</v>
      </c>
      <c r="D355" s="15" t="s">
        <v>141</v>
      </c>
      <c r="E355" s="19" t="n">
        <v>103.254983</v>
      </c>
      <c r="F355" s="19" t="n">
        <v>36.795109</v>
      </c>
      <c r="G355" s="19" t="n">
        <v>109.18305</v>
      </c>
      <c r="H355" s="19" t="n">
        <v>421.043635</v>
      </c>
      <c r="I355" s="19" t="n">
        <v>5296.631213</v>
      </c>
      <c r="J355" s="27" t="n">
        <v>909011</v>
      </c>
      <c r="K355" s="27" t="n">
        <v>909011</v>
      </c>
      <c r="L355" s="9" t="n">
        <f aca="false">IF(AND(K355&lt;&gt;"",J355&lt;Assumptions!$B$3*K355),K355,J355)</f>
        <v>909011</v>
      </c>
      <c r="M355" s="21" t="str">
        <f aca="false">IF(L355=J355,"FERC Form 1","EIA-861")</f>
        <v>FERC Form 1</v>
      </c>
      <c r="N355" s="28" t="n">
        <f aca="false">E355+F355+G355</f>
        <v>249.233142</v>
      </c>
    </row>
    <row r="356" customFormat="false" ht="15" hidden="false" customHeight="false" outlineLevel="0" collapsed="false">
      <c r="A356" s="7" t="n">
        <v>2025</v>
      </c>
      <c r="B356" s="15" t="s">
        <v>140</v>
      </c>
      <c r="C356" s="15" t="s">
        <v>135</v>
      </c>
      <c r="D356" s="15" t="s">
        <v>141</v>
      </c>
      <c r="E356" s="19" t="n">
        <v>120.211774</v>
      </c>
      <c r="F356" s="19" t="n">
        <v>41.884096</v>
      </c>
      <c r="G356" s="19" t="n">
        <v>153.307982</v>
      </c>
      <c r="H356" s="19" t="n">
        <v>440.323304</v>
      </c>
      <c r="I356" s="19" t="n">
        <v>5805.473805</v>
      </c>
      <c r="J356" s="27" t="n">
        <v>921804</v>
      </c>
      <c r="K356" s="27" t="n">
        <v>921804</v>
      </c>
      <c r="L356" s="9" t="n">
        <f aca="false">IF(AND(K356&lt;&gt;"",J356&lt;Assumptions!$B$3*K356),K356,J356)</f>
        <v>921804</v>
      </c>
      <c r="M356" s="21" t="str">
        <f aca="false">IF(L356=J356,"FERC Form 1","EIA-861")</f>
        <v>FERC Form 1</v>
      </c>
      <c r="N356" s="28" t="n">
        <f aca="false">E356+F356+G356</f>
        <v>315.403852</v>
      </c>
    </row>
    <row r="357" customFormat="false" ht="15" hidden="false" customHeight="false" outlineLevel="0" collapsed="false">
      <c r="A357" s="7" t="n">
        <v>2000</v>
      </c>
      <c r="B357" s="15" t="s">
        <v>142</v>
      </c>
      <c r="C357" s="15" t="s">
        <v>135</v>
      </c>
      <c r="D357" s="15" t="s">
        <v>143</v>
      </c>
      <c r="E357" s="19" t="n">
        <v>44.086023</v>
      </c>
      <c r="F357" s="19" t="n">
        <v>27.675472</v>
      </c>
      <c r="G357" s="19" t="n">
        <v>34.153312</v>
      </c>
      <c r="H357" s="19" t="n">
        <v>57.79926</v>
      </c>
      <c r="I357" s="19" t="n">
        <v>848.902774</v>
      </c>
      <c r="J357" s="27" t="n">
        <v>562200</v>
      </c>
      <c r="K357" s="27"/>
      <c r="L357" s="9" t="n">
        <f aca="false">IF(AND(K357&lt;&gt;"",J357&lt;Assumptions!$B$3*K357),K357,J357)</f>
        <v>562200</v>
      </c>
      <c r="M357" s="21" t="str">
        <f aca="false">IF(L357=J357,"FERC Form 1","EIA-861")</f>
        <v>FERC Form 1</v>
      </c>
      <c r="N357" s="28" t="n">
        <f aca="false">E357+F357+G357</f>
        <v>105.914807</v>
      </c>
    </row>
    <row r="358" customFormat="false" ht="15" hidden="false" customHeight="false" outlineLevel="0" collapsed="false">
      <c r="A358" s="7" t="n">
        <v>2001</v>
      </c>
      <c r="B358" s="15" t="s">
        <v>142</v>
      </c>
      <c r="C358" s="15" t="s">
        <v>135</v>
      </c>
      <c r="D358" s="15" t="s">
        <v>143</v>
      </c>
      <c r="E358" s="19" t="n">
        <v>54.643983</v>
      </c>
      <c r="F358" s="19" t="n">
        <v>27.93618</v>
      </c>
      <c r="G358" s="19" t="n">
        <v>35.864333</v>
      </c>
      <c r="H358" s="19" t="n">
        <v>50.962802</v>
      </c>
      <c r="I358" s="19" t="n">
        <v>886.434457</v>
      </c>
      <c r="J358" s="27" t="n">
        <v>565356</v>
      </c>
      <c r="K358" s="27" t="n">
        <v>565355</v>
      </c>
      <c r="L358" s="9" t="n">
        <f aca="false">IF(AND(K358&lt;&gt;"",J358&lt;Assumptions!$B$3*K358),K358,J358)</f>
        <v>565356</v>
      </c>
      <c r="M358" s="21" t="str">
        <f aca="false">IF(L358=J358,"FERC Form 1","EIA-861")</f>
        <v>FERC Form 1</v>
      </c>
      <c r="N358" s="28" t="n">
        <f aca="false">E358+F358+G358</f>
        <v>118.444496</v>
      </c>
    </row>
    <row r="359" customFormat="false" ht="15" hidden="false" customHeight="false" outlineLevel="0" collapsed="false">
      <c r="A359" s="7" t="n">
        <v>2002</v>
      </c>
      <c r="B359" s="15" t="s">
        <v>142</v>
      </c>
      <c r="C359" s="15" t="s">
        <v>135</v>
      </c>
      <c r="D359" s="15" t="s">
        <v>143</v>
      </c>
      <c r="E359" s="19" t="n">
        <v>44.46603</v>
      </c>
      <c r="F359" s="19" t="n">
        <v>22.64607</v>
      </c>
      <c r="G359" s="19" t="n">
        <v>37.022919</v>
      </c>
      <c r="H359" s="19" t="n">
        <v>42.636728</v>
      </c>
      <c r="I359" s="19" t="n">
        <v>907.160709</v>
      </c>
      <c r="J359" s="27" t="n">
        <v>568868</v>
      </c>
      <c r="K359" s="27" t="n">
        <v>568868</v>
      </c>
      <c r="L359" s="9" t="n">
        <f aca="false">IF(AND(K359&lt;&gt;"",J359&lt;Assumptions!$B$3*K359),K359,J359)</f>
        <v>568868</v>
      </c>
      <c r="M359" s="21" t="str">
        <f aca="false">IF(L359=J359,"FERC Form 1","EIA-861")</f>
        <v>FERC Form 1</v>
      </c>
      <c r="N359" s="28" t="n">
        <f aca="false">E359+F359+G359</f>
        <v>104.135019</v>
      </c>
    </row>
    <row r="360" customFormat="false" ht="15" hidden="false" customHeight="false" outlineLevel="0" collapsed="false">
      <c r="A360" s="7" t="n">
        <v>2003</v>
      </c>
      <c r="B360" s="15" t="s">
        <v>142</v>
      </c>
      <c r="C360" s="15" t="s">
        <v>135</v>
      </c>
      <c r="D360" s="15" t="s">
        <v>143</v>
      </c>
      <c r="E360" s="19" t="n">
        <v>45.664056</v>
      </c>
      <c r="F360" s="19" t="n">
        <v>21.71132</v>
      </c>
      <c r="G360" s="19" t="n">
        <v>38.252552</v>
      </c>
      <c r="H360" s="19" t="n">
        <v>50.796471</v>
      </c>
      <c r="I360" s="19" t="n">
        <v>944.291261</v>
      </c>
      <c r="J360" s="27" t="n">
        <v>572661</v>
      </c>
      <c r="K360" s="27" t="n">
        <v>572663</v>
      </c>
      <c r="L360" s="9" t="n">
        <f aca="false">IF(AND(K360&lt;&gt;"",J360&lt;Assumptions!$B$3*K360),K360,J360)</f>
        <v>572661</v>
      </c>
      <c r="M360" s="21" t="str">
        <f aca="false">IF(L360=J360,"FERC Form 1","EIA-861")</f>
        <v>FERC Form 1</v>
      </c>
      <c r="N360" s="28" t="n">
        <f aca="false">E360+F360+G360</f>
        <v>105.627928</v>
      </c>
    </row>
    <row r="361" customFormat="false" ht="15" hidden="false" customHeight="false" outlineLevel="0" collapsed="false">
      <c r="A361" s="7" t="n">
        <v>2004</v>
      </c>
      <c r="B361" s="15" t="s">
        <v>142</v>
      </c>
      <c r="C361" s="15" t="s">
        <v>135</v>
      </c>
      <c r="D361" s="15" t="s">
        <v>143</v>
      </c>
      <c r="E361" s="19" t="n">
        <v>52.383972</v>
      </c>
      <c r="F361" s="19" t="n">
        <v>25.606353</v>
      </c>
      <c r="G361" s="19" t="n">
        <v>39.683293</v>
      </c>
      <c r="H361" s="19" t="n">
        <v>44.224961</v>
      </c>
      <c r="I361" s="19" t="n">
        <v>976.151229</v>
      </c>
      <c r="J361" s="27" t="n">
        <v>576632</v>
      </c>
      <c r="K361" s="27" t="n">
        <v>576633</v>
      </c>
      <c r="L361" s="9" t="n">
        <f aca="false">IF(AND(K361&lt;&gt;"",J361&lt;Assumptions!$B$3*K361),K361,J361)</f>
        <v>576632</v>
      </c>
      <c r="M361" s="21" t="str">
        <f aca="false">IF(L361=J361,"FERC Form 1","EIA-861")</f>
        <v>FERC Form 1</v>
      </c>
      <c r="N361" s="28" t="n">
        <f aca="false">E361+F361+G361</f>
        <v>117.673618</v>
      </c>
    </row>
    <row r="362" customFormat="false" ht="15" hidden="false" customHeight="false" outlineLevel="0" collapsed="false">
      <c r="A362" s="7" t="n">
        <v>2005</v>
      </c>
      <c r="B362" s="15" t="s">
        <v>142</v>
      </c>
      <c r="C362" s="15" t="s">
        <v>135</v>
      </c>
      <c r="D362" s="15" t="s">
        <v>143</v>
      </c>
      <c r="E362" s="19" t="n">
        <v>71.369835</v>
      </c>
      <c r="F362" s="19" t="n">
        <v>25.566393</v>
      </c>
      <c r="G362" s="19" t="n">
        <v>41.294528</v>
      </c>
      <c r="H362" s="19" t="n">
        <v>59.611895</v>
      </c>
      <c r="I362" s="19" t="n">
        <v>1014.823585</v>
      </c>
      <c r="J362" s="27" t="n">
        <v>579376</v>
      </c>
      <c r="K362" s="27" t="n">
        <v>579376</v>
      </c>
      <c r="L362" s="9" t="n">
        <f aca="false">IF(AND(K362&lt;&gt;"",J362&lt;Assumptions!$B$3*K362),K362,J362)</f>
        <v>579376</v>
      </c>
      <c r="M362" s="21" t="str">
        <f aca="false">IF(L362=J362,"FERC Form 1","EIA-861")</f>
        <v>FERC Form 1</v>
      </c>
      <c r="N362" s="28" t="n">
        <f aca="false">E362+F362+G362</f>
        <v>138.230756</v>
      </c>
    </row>
    <row r="363" customFormat="false" ht="15" hidden="false" customHeight="false" outlineLevel="0" collapsed="false">
      <c r="A363" s="7" t="n">
        <v>2006</v>
      </c>
      <c r="B363" s="15" t="s">
        <v>142</v>
      </c>
      <c r="C363" s="15" t="s">
        <v>135</v>
      </c>
      <c r="D363" s="15" t="s">
        <v>143</v>
      </c>
      <c r="E363" s="19" t="n">
        <v>59.59943</v>
      </c>
      <c r="F363" s="19" t="n">
        <v>24.363268</v>
      </c>
      <c r="G363" s="19" t="n">
        <v>43.65431</v>
      </c>
      <c r="H363" s="19" t="n">
        <v>91.890675</v>
      </c>
      <c r="I363" s="19" t="n">
        <v>1087.358679</v>
      </c>
      <c r="J363" s="27" t="n">
        <v>580891</v>
      </c>
      <c r="K363" s="27" t="n">
        <v>580891</v>
      </c>
      <c r="L363" s="9" t="n">
        <f aca="false">IF(AND(K363&lt;&gt;"",J363&lt;Assumptions!$B$3*K363),K363,J363)</f>
        <v>580891</v>
      </c>
      <c r="M363" s="21" t="str">
        <f aca="false">IF(L363=J363,"FERC Form 1","EIA-861")</f>
        <v>FERC Form 1</v>
      </c>
      <c r="N363" s="28" t="n">
        <f aca="false">E363+F363+G363</f>
        <v>127.617008</v>
      </c>
    </row>
    <row r="364" customFormat="false" ht="15" hidden="false" customHeight="false" outlineLevel="0" collapsed="false">
      <c r="A364" s="7" t="n">
        <v>2007</v>
      </c>
      <c r="B364" s="15" t="s">
        <v>142</v>
      </c>
      <c r="C364" s="15" t="s">
        <v>135</v>
      </c>
      <c r="D364" s="15" t="s">
        <v>143</v>
      </c>
      <c r="E364" s="19" t="n">
        <v>60.5483</v>
      </c>
      <c r="F364" s="19" t="n">
        <v>25.105188</v>
      </c>
      <c r="G364" s="19" t="n">
        <v>37.722997</v>
      </c>
      <c r="H364" s="19" t="n">
        <v>119.053744</v>
      </c>
      <c r="I364" s="19" t="n">
        <v>1181.722904</v>
      </c>
      <c r="J364" s="27" t="n">
        <v>581882</v>
      </c>
      <c r="K364" s="27" t="n">
        <v>581881</v>
      </c>
      <c r="L364" s="9" t="n">
        <f aca="false">IF(AND(K364&lt;&gt;"",J364&lt;Assumptions!$B$3*K364),K364,J364)</f>
        <v>581882</v>
      </c>
      <c r="M364" s="21" t="str">
        <f aca="false">IF(L364=J364,"FERC Form 1","EIA-861")</f>
        <v>FERC Form 1</v>
      </c>
      <c r="N364" s="28" t="n">
        <f aca="false">E364+F364+G364</f>
        <v>123.376485</v>
      </c>
    </row>
    <row r="365" customFormat="false" ht="15" hidden="false" customHeight="false" outlineLevel="0" collapsed="false">
      <c r="A365" s="7" t="n">
        <v>2008</v>
      </c>
      <c r="B365" s="15" t="s">
        <v>142</v>
      </c>
      <c r="C365" s="15" t="s">
        <v>135</v>
      </c>
      <c r="D365" s="15" t="s">
        <v>143</v>
      </c>
      <c r="E365" s="19" t="n">
        <v>70.804747</v>
      </c>
      <c r="F365" s="19" t="n">
        <v>24.519531</v>
      </c>
      <c r="G365" s="19" t="n">
        <v>30.236396</v>
      </c>
      <c r="H365" s="19" t="n">
        <v>124.235062</v>
      </c>
      <c r="I365" s="19" t="n">
        <v>1282.807855</v>
      </c>
      <c r="J365" s="27" t="n">
        <v>582769</v>
      </c>
      <c r="K365" s="27" t="n">
        <v>582768</v>
      </c>
      <c r="L365" s="9" t="n">
        <f aca="false">IF(AND(K365&lt;&gt;"",J365&lt;Assumptions!$B$3*K365),K365,J365)</f>
        <v>582769</v>
      </c>
      <c r="M365" s="21" t="str">
        <f aca="false">IF(L365=J365,"FERC Form 1","EIA-861")</f>
        <v>FERC Form 1</v>
      </c>
      <c r="N365" s="28" t="n">
        <f aca="false">E365+F365+G365</f>
        <v>125.560674</v>
      </c>
    </row>
    <row r="366" customFormat="false" ht="15" hidden="false" customHeight="false" outlineLevel="0" collapsed="false">
      <c r="A366" s="7" t="n">
        <v>2009</v>
      </c>
      <c r="B366" s="15" t="s">
        <v>142</v>
      </c>
      <c r="C366" s="15" t="s">
        <v>135</v>
      </c>
      <c r="D366" s="15" t="s">
        <v>143</v>
      </c>
      <c r="E366" s="19" t="n">
        <v>66.872997</v>
      </c>
      <c r="F366" s="19" t="n">
        <v>24.421549</v>
      </c>
      <c r="G366" s="19" t="n">
        <v>32.840053</v>
      </c>
      <c r="H366" s="19" t="n">
        <v>95.249837</v>
      </c>
      <c r="I366" s="19" t="n">
        <v>1360.318756</v>
      </c>
      <c r="J366" s="27" t="n">
        <v>582214</v>
      </c>
      <c r="K366" s="27" t="n">
        <v>582215</v>
      </c>
      <c r="L366" s="9" t="n">
        <f aca="false">IF(AND(K366&lt;&gt;"",J366&lt;Assumptions!$B$3*K366),K366,J366)</f>
        <v>582214</v>
      </c>
      <c r="M366" s="21" t="str">
        <f aca="false">IF(L366=J366,"FERC Form 1","EIA-861")</f>
        <v>FERC Form 1</v>
      </c>
      <c r="N366" s="28" t="n">
        <f aca="false">E366+F366+G366</f>
        <v>124.134599</v>
      </c>
    </row>
    <row r="367" customFormat="false" ht="15" hidden="false" customHeight="false" outlineLevel="0" collapsed="false">
      <c r="A367" s="7" t="n">
        <v>2010</v>
      </c>
      <c r="B367" s="15" t="s">
        <v>142</v>
      </c>
      <c r="C367" s="15" t="s">
        <v>135</v>
      </c>
      <c r="D367" s="15" t="s">
        <v>143</v>
      </c>
      <c r="E367" s="19" t="n">
        <v>71.312157</v>
      </c>
      <c r="F367" s="19" t="n">
        <v>27.627705</v>
      </c>
      <c r="G367" s="19" t="n">
        <v>34.400039</v>
      </c>
      <c r="H367" s="19" t="n">
        <v>64.271968</v>
      </c>
      <c r="I367" s="19" t="n">
        <v>1410.942845</v>
      </c>
      <c r="J367" s="27" t="n">
        <v>582706</v>
      </c>
      <c r="K367" s="27" t="n">
        <v>582701</v>
      </c>
      <c r="L367" s="9" t="n">
        <f aca="false">IF(AND(K367&lt;&gt;"",J367&lt;Assumptions!$B$3*K367),K367,J367)</f>
        <v>582706</v>
      </c>
      <c r="M367" s="21" t="str">
        <f aca="false">IF(L367=J367,"FERC Form 1","EIA-861")</f>
        <v>FERC Form 1</v>
      </c>
      <c r="N367" s="28" t="n">
        <f aca="false">E367+F367+G367</f>
        <v>133.339901</v>
      </c>
    </row>
    <row r="368" customFormat="false" ht="15" hidden="false" customHeight="false" outlineLevel="0" collapsed="false">
      <c r="A368" s="7" t="n">
        <v>2011</v>
      </c>
      <c r="B368" s="15" t="s">
        <v>142</v>
      </c>
      <c r="C368" s="15" t="s">
        <v>135</v>
      </c>
      <c r="D368" s="15" t="s">
        <v>143</v>
      </c>
      <c r="E368" s="19" t="n">
        <v>50.231575</v>
      </c>
      <c r="F368" s="19" t="n">
        <v>36.451472</v>
      </c>
      <c r="G368" s="19" t="n">
        <v>35.87837</v>
      </c>
      <c r="H368" s="19" t="n">
        <v>83.641899</v>
      </c>
      <c r="I368" s="19" t="n">
        <v>1481.455103</v>
      </c>
      <c r="J368" s="27" t="n">
        <v>582822</v>
      </c>
      <c r="K368" s="27" t="n">
        <v>582796</v>
      </c>
      <c r="L368" s="9" t="n">
        <f aca="false">IF(AND(K368&lt;&gt;"",J368&lt;Assumptions!$B$3*K368),K368,J368)</f>
        <v>582822</v>
      </c>
      <c r="M368" s="21" t="str">
        <f aca="false">IF(L368=J368,"FERC Form 1","EIA-861")</f>
        <v>FERC Form 1</v>
      </c>
      <c r="N368" s="28" t="n">
        <f aca="false">E368+F368+G368</f>
        <v>122.561417</v>
      </c>
    </row>
    <row r="369" customFormat="false" ht="15" hidden="false" customHeight="false" outlineLevel="0" collapsed="false">
      <c r="A369" s="7" t="n">
        <v>2012</v>
      </c>
      <c r="B369" s="15" t="s">
        <v>142</v>
      </c>
      <c r="C369" s="15" t="s">
        <v>135</v>
      </c>
      <c r="D369" s="15" t="s">
        <v>143</v>
      </c>
      <c r="E369" s="19" t="n">
        <v>54.052769</v>
      </c>
      <c r="F369" s="19" t="n">
        <v>39.131213</v>
      </c>
      <c r="G369" s="19" t="n">
        <v>38.889909</v>
      </c>
      <c r="H369" s="19" t="n">
        <v>101.31314</v>
      </c>
      <c r="I369" s="19" t="n">
        <v>1553.155453</v>
      </c>
      <c r="J369" s="27" t="n">
        <v>583336</v>
      </c>
      <c r="K369" s="27" t="n">
        <v>583362</v>
      </c>
      <c r="L369" s="9" t="n">
        <f aca="false">IF(AND(K369&lt;&gt;"",J369&lt;Assumptions!$B$3*K369),K369,J369)</f>
        <v>583336</v>
      </c>
      <c r="M369" s="21" t="str">
        <f aca="false">IF(L369=J369,"FERC Form 1","EIA-861")</f>
        <v>FERC Form 1</v>
      </c>
      <c r="N369" s="28" t="n">
        <f aca="false">E369+F369+G369</f>
        <v>132.073891</v>
      </c>
    </row>
    <row r="370" customFormat="false" ht="15" hidden="false" customHeight="false" outlineLevel="0" collapsed="false">
      <c r="A370" s="7" t="n">
        <v>2013</v>
      </c>
      <c r="B370" s="15" t="s">
        <v>142</v>
      </c>
      <c r="C370" s="15" t="s">
        <v>135</v>
      </c>
      <c r="D370" s="15" t="s">
        <v>143</v>
      </c>
      <c r="E370" s="19" t="n">
        <v>55.466714</v>
      </c>
      <c r="F370" s="19" t="n">
        <v>46.927112</v>
      </c>
      <c r="G370" s="19" t="n">
        <v>45.237596</v>
      </c>
      <c r="H370" s="19" t="n">
        <v>91.757723</v>
      </c>
      <c r="I370" s="19" t="n">
        <v>1624.854859</v>
      </c>
      <c r="J370" s="27" t="n">
        <v>585386</v>
      </c>
      <c r="K370" s="27" t="n">
        <v>585386</v>
      </c>
      <c r="L370" s="9" t="n">
        <f aca="false">IF(AND(K370&lt;&gt;"",J370&lt;Assumptions!$B$3*K370),K370,J370)</f>
        <v>585386</v>
      </c>
      <c r="M370" s="21" t="str">
        <f aca="false">IF(L370=J370,"FERC Form 1","EIA-861")</f>
        <v>FERC Form 1</v>
      </c>
      <c r="N370" s="28" t="n">
        <f aca="false">E370+F370+G370</f>
        <v>147.631422</v>
      </c>
    </row>
    <row r="371" customFormat="false" ht="15" hidden="false" customHeight="false" outlineLevel="0" collapsed="false">
      <c r="A371" s="7" t="n">
        <v>2014</v>
      </c>
      <c r="B371" s="15" t="s">
        <v>142</v>
      </c>
      <c r="C371" s="15" t="s">
        <v>135</v>
      </c>
      <c r="D371" s="15" t="s">
        <v>143</v>
      </c>
      <c r="E371" s="19" t="n">
        <v>64.522349</v>
      </c>
      <c r="F371" s="19" t="n">
        <v>30.37108</v>
      </c>
      <c r="G371" s="19" t="n">
        <v>47.851538</v>
      </c>
      <c r="H371" s="19" t="n">
        <v>87.507026</v>
      </c>
      <c r="I371" s="19" t="n">
        <v>1697.749623</v>
      </c>
      <c r="J371" s="27" t="n">
        <v>585877</v>
      </c>
      <c r="K371" s="27" t="n">
        <v>585874</v>
      </c>
      <c r="L371" s="9" t="n">
        <f aca="false">IF(AND(K371&lt;&gt;"",J371&lt;Assumptions!$B$3*K371),K371,J371)</f>
        <v>585877</v>
      </c>
      <c r="M371" s="21" t="str">
        <f aca="false">IF(L371=J371,"FERC Form 1","EIA-861")</f>
        <v>FERC Form 1</v>
      </c>
      <c r="N371" s="28" t="n">
        <f aca="false">E371+F371+G371</f>
        <v>142.744967</v>
      </c>
    </row>
    <row r="372" customFormat="false" ht="15" hidden="false" customHeight="false" outlineLevel="0" collapsed="false">
      <c r="A372" s="7" t="n">
        <v>2015</v>
      </c>
      <c r="B372" s="15" t="s">
        <v>142</v>
      </c>
      <c r="C372" s="15" t="s">
        <v>135</v>
      </c>
      <c r="D372" s="15" t="s">
        <v>143</v>
      </c>
      <c r="E372" s="19" t="n">
        <v>56.683332</v>
      </c>
      <c r="F372" s="19" t="n">
        <v>35.201955</v>
      </c>
      <c r="G372" s="19" t="n">
        <v>49.944527</v>
      </c>
      <c r="H372" s="19" t="n">
        <v>106.775865</v>
      </c>
      <c r="I372" s="19" t="n">
        <v>1790.562719</v>
      </c>
      <c r="J372" s="27" t="n">
        <v>587252</v>
      </c>
      <c r="K372" s="27" t="n">
        <v>587252</v>
      </c>
      <c r="L372" s="9" t="n">
        <f aca="false">IF(AND(K372&lt;&gt;"",J372&lt;Assumptions!$B$3*K372),K372,J372)</f>
        <v>587252</v>
      </c>
      <c r="M372" s="21" t="str">
        <f aca="false">IF(L372=J372,"FERC Form 1","EIA-861")</f>
        <v>FERC Form 1</v>
      </c>
      <c r="N372" s="28" t="n">
        <f aca="false">E372+F372+G372</f>
        <v>141.829814</v>
      </c>
    </row>
    <row r="373" customFormat="false" ht="15" hidden="false" customHeight="false" outlineLevel="0" collapsed="false">
      <c r="A373" s="7" t="n">
        <v>2016</v>
      </c>
      <c r="B373" s="15" t="s">
        <v>142</v>
      </c>
      <c r="C373" s="15" t="s">
        <v>135</v>
      </c>
      <c r="D373" s="15" t="s">
        <v>143</v>
      </c>
      <c r="E373" s="19" t="n">
        <v>67.670861</v>
      </c>
      <c r="F373" s="19" t="n">
        <v>37.328227</v>
      </c>
      <c r="G373" s="19" t="n">
        <v>52.594046</v>
      </c>
      <c r="H373" s="19" t="n">
        <v>120.61661</v>
      </c>
      <c r="I373" s="19" t="n">
        <v>1899.130051</v>
      </c>
      <c r="J373" s="27" t="n">
        <v>589041</v>
      </c>
      <c r="K373" s="27" t="n">
        <v>589041</v>
      </c>
      <c r="L373" s="9" t="n">
        <f aca="false">IF(AND(K373&lt;&gt;"",J373&lt;Assumptions!$B$3*K373),K373,J373)</f>
        <v>589041</v>
      </c>
      <c r="M373" s="21" t="str">
        <f aca="false">IF(L373=J373,"FERC Form 1","EIA-861")</f>
        <v>FERC Form 1</v>
      </c>
      <c r="N373" s="28" t="n">
        <f aca="false">E373+F373+G373</f>
        <v>157.593134</v>
      </c>
    </row>
    <row r="374" customFormat="false" ht="15" hidden="false" customHeight="false" outlineLevel="0" collapsed="false">
      <c r="A374" s="7" t="n">
        <v>2017</v>
      </c>
      <c r="B374" s="15" t="s">
        <v>142</v>
      </c>
      <c r="C374" s="15" t="s">
        <v>135</v>
      </c>
      <c r="D374" s="15" t="s">
        <v>143</v>
      </c>
      <c r="E374" s="19" t="n">
        <v>67.239411</v>
      </c>
      <c r="F374" s="19" t="n">
        <v>40.408248</v>
      </c>
      <c r="G374" s="19" t="n">
        <v>55.630522</v>
      </c>
      <c r="H374" s="19" t="n">
        <v>187.563496</v>
      </c>
      <c r="I374" s="19" t="n">
        <v>2069.063856</v>
      </c>
      <c r="J374" s="27" t="n">
        <v>591984</v>
      </c>
      <c r="K374" s="27" t="n">
        <v>591984</v>
      </c>
      <c r="L374" s="9" t="n">
        <f aca="false">IF(AND(K374&lt;&gt;"",J374&lt;Assumptions!$B$3*K374),K374,J374)</f>
        <v>591984</v>
      </c>
      <c r="M374" s="21" t="str">
        <f aca="false">IF(L374=J374,"FERC Form 1","EIA-861")</f>
        <v>FERC Form 1</v>
      </c>
      <c r="N374" s="28" t="n">
        <f aca="false">E374+F374+G374</f>
        <v>163.278181</v>
      </c>
    </row>
    <row r="375" customFormat="false" ht="15" hidden="false" customHeight="false" outlineLevel="0" collapsed="false">
      <c r="A375" s="7" t="n">
        <v>2018</v>
      </c>
      <c r="B375" s="15" t="s">
        <v>142</v>
      </c>
      <c r="C375" s="15" t="s">
        <v>135</v>
      </c>
      <c r="D375" s="15" t="s">
        <v>143</v>
      </c>
      <c r="E375" s="19" t="n">
        <v>81.400529</v>
      </c>
      <c r="F375" s="19" t="n">
        <v>43.213159</v>
      </c>
      <c r="G375" s="19" t="n">
        <v>69.753588</v>
      </c>
      <c r="H375" s="19" t="n">
        <v>210.730161</v>
      </c>
      <c r="I375" s="19" t="n">
        <v>2249.545706</v>
      </c>
      <c r="J375" s="27" t="n">
        <v>595192</v>
      </c>
      <c r="K375" s="27" t="n">
        <v>595192</v>
      </c>
      <c r="L375" s="9" t="n">
        <f aca="false">IF(AND(K375&lt;&gt;"",J375&lt;Assumptions!$B$3*K375),K375,J375)</f>
        <v>595192</v>
      </c>
      <c r="M375" s="21" t="str">
        <f aca="false">IF(L375=J375,"FERC Form 1","EIA-861")</f>
        <v>FERC Form 1</v>
      </c>
      <c r="N375" s="28" t="n">
        <f aca="false">E375+F375+G375</f>
        <v>194.367276</v>
      </c>
    </row>
    <row r="376" customFormat="false" ht="15" hidden="false" customHeight="false" outlineLevel="0" collapsed="false">
      <c r="A376" s="7" t="n">
        <v>2019</v>
      </c>
      <c r="B376" s="15" t="s">
        <v>142</v>
      </c>
      <c r="C376" s="15" t="s">
        <v>135</v>
      </c>
      <c r="D376" s="15" t="s">
        <v>143</v>
      </c>
      <c r="E376" s="19" t="n">
        <v>81.866438</v>
      </c>
      <c r="F376" s="19" t="n">
        <v>49.130921</v>
      </c>
      <c r="G376" s="19" t="n">
        <v>82.678416</v>
      </c>
      <c r="H376" s="19" t="n">
        <v>216.141552</v>
      </c>
      <c r="I376" s="19" t="n">
        <v>2437.415019</v>
      </c>
      <c r="J376" s="27" t="n">
        <v>596731</v>
      </c>
      <c r="K376" s="27" t="n">
        <v>596709</v>
      </c>
      <c r="L376" s="9" t="n">
        <f aca="false">IF(AND(K376&lt;&gt;"",J376&lt;Assumptions!$B$3*K376),K376,J376)</f>
        <v>596731</v>
      </c>
      <c r="M376" s="21" t="str">
        <f aca="false">IF(L376=J376,"FERC Form 1","EIA-861")</f>
        <v>FERC Form 1</v>
      </c>
      <c r="N376" s="28" t="n">
        <f aca="false">E376+F376+G376</f>
        <v>213.675775</v>
      </c>
    </row>
    <row r="377" customFormat="false" ht="15" hidden="false" customHeight="false" outlineLevel="0" collapsed="false">
      <c r="A377" s="7" t="n">
        <v>2020</v>
      </c>
      <c r="B377" s="15" t="s">
        <v>142</v>
      </c>
      <c r="C377" s="15" t="s">
        <v>135</v>
      </c>
      <c r="D377" s="15" t="s">
        <v>143</v>
      </c>
      <c r="E377" s="19" t="n">
        <v>74.701395</v>
      </c>
      <c r="F377" s="19" t="n">
        <v>51.675954</v>
      </c>
      <c r="G377" s="19" t="n">
        <v>88.319976</v>
      </c>
      <c r="H377" s="19" t="n">
        <v>189.67675</v>
      </c>
      <c r="I377" s="19" t="n">
        <v>2594.373288</v>
      </c>
      <c r="J377" s="27" t="n">
        <v>600946</v>
      </c>
      <c r="K377" s="27" t="n">
        <v>600916</v>
      </c>
      <c r="L377" s="9" t="n">
        <f aca="false">IF(AND(K377&lt;&gt;"",J377&lt;Assumptions!$B$3*K377),K377,J377)</f>
        <v>600946</v>
      </c>
      <c r="M377" s="21" t="str">
        <f aca="false">IF(L377=J377,"FERC Form 1","EIA-861")</f>
        <v>FERC Form 1</v>
      </c>
      <c r="N377" s="28" t="n">
        <f aca="false">E377+F377+G377</f>
        <v>214.697325</v>
      </c>
    </row>
    <row r="378" customFormat="false" ht="15" hidden="false" customHeight="false" outlineLevel="0" collapsed="false">
      <c r="A378" s="7" t="n">
        <v>2021</v>
      </c>
      <c r="B378" s="15" t="s">
        <v>142</v>
      </c>
      <c r="C378" s="15" t="s">
        <v>135</v>
      </c>
      <c r="D378" s="15" t="s">
        <v>143</v>
      </c>
      <c r="E378" s="19" t="n">
        <v>76.665237</v>
      </c>
      <c r="F378" s="19" t="n">
        <v>23.54416</v>
      </c>
      <c r="G378" s="19" t="n">
        <v>94.767352</v>
      </c>
      <c r="H378" s="19" t="n">
        <v>235.112545</v>
      </c>
      <c r="I378" s="19" t="n">
        <v>2799.907103</v>
      </c>
      <c r="J378" s="27" t="n">
        <v>604549</v>
      </c>
      <c r="K378" s="27" t="n">
        <v>604531</v>
      </c>
      <c r="L378" s="9" t="n">
        <f aca="false">IF(AND(K378&lt;&gt;"",J378&lt;Assumptions!$B$3*K378),K378,J378)</f>
        <v>604549</v>
      </c>
      <c r="M378" s="21" t="str">
        <f aca="false">IF(L378=J378,"FERC Form 1","EIA-861")</f>
        <v>FERC Form 1</v>
      </c>
      <c r="N378" s="28" t="n">
        <f aca="false">E378+F378+G378</f>
        <v>194.976749</v>
      </c>
    </row>
    <row r="379" customFormat="false" ht="15" hidden="false" customHeight="false" outlineLevel="0" collapsed="false">
      <c r="A379" s="7" t="n">
        <v>2022</v>
      </c>
      <c r="B379" s="15" t="s">
        <v>142</v>
      </c>
      <c r="C379" s="15" t="s">
        <v>135</v>
      </c>
      <c r="D379" s="15" t="s">
        <v>143</v>
      </c>
      <c r="E379" s="19" t="n">
        <v>85.296835</v>
      </c>
      <c r="F379" s="19" t="n">
        <v>23.388234</v>
      </c>
      <c r="G379" s="19" t="n">
        <v>92.062621</v>
      </c>
      <c r="H379" s="19" t="n">
        <v>274.495508</v>
      </c>
      <c r="I379" s="19" t="n">
        <v>3024.511663</v>
      </c>
      <c r="J379" s="27" t="n">
        <v>607734</v>
      </c>
      <c r="K379" s="27" t="n">
        <v>607710</v>
      </c>
      <c r="L379" s="9" t="n">
        <f aca="false">IF(AND(K379&lt;&gt;"",J379&lt;Assumptions!$B$3*K379),K379,J379)</f>
        <v>607734</v>
      </c>
      <c r="M379" s="21" t="str">
        <f aca="false">IF(L379=J379,"FERC Form 1","EIA-861")</f>
        <v>FERC Form 1</v>
      </c>
      <c r="N379" s="28" t="n">
        <f aca="false">E379+F379+G379</f>
        <v>200.74769</v>
      </c>
    </row>
    <row r="380" customFormat="false" ht="15" hidden="false" customHeight="false" outlineLevel="0" collapsed="false">
      <c r="A380" s="7" t="n">
        <v>2023</v>
      </c>
      <c r="B380" s="15" t="s">
        <v>142</v>
      </c>
      <c r="C380" s="15" t="s">
        <v>135</v>
      </c>
      <c r="D380" s="15" t="s">
        <v>143</v>
      </c>
      <c r="E380" s="19" t="n">
        <v>90.869356</v>
      </c>
      <c r="F380" s="19" t="n">
        <v>60.028157</v>
      </c>
      <c r="G380" s="19" t="n">
        <v>92.998528</v>
      </c>
      <c r="H380" s="19" t="n">
        <v>309.899451</v>
      </c>
      <c r="I380" s="19" t="n">
        <v>3253.901085</v>
      </c>
      <c r="J380" s="27" t="n">
        <v>610647</v>
      </c>
      <c r="K380" s="27" t="n">
        <v>610614</v>
      </c>
      <c r="L380" s="9" t="n">
        <f aca="false">IF(AND(K380&lt;&gt;"",J380&lt;Assumptions!$B$3*K380),K380,J380)</f>
        <v>610647</v>
      </c>
      <c r="M380" s="21" t="str">
        <f aca="false">IF(L380=J380,"FERC Form 1","EIA-861")</f>
        <v>FERC Form 1</v>
      </c>
      <c r="N380" s="28" t="n">
        <f aca="false">E380+F380+G380</f>
        <v>243.896041</v>
      </c>
    </row>
    <row r="381" customFormat="false" ht="15" hidden="false" customHeight="false" outlineLevel="0" collapsed="false">
      <c r="A381" s="7" t="n">
        <v>2024</v>
      </c>
      <c r="B381" s="15" t="s">
        <v>142</v>
      </c>
      <c r="C381" s="15" t="s">
        <v>135</v>
      </c>
      <c r="D381" s="15" t="s">
        <v>143</v>
      </c>
      <c r="E381" s="19" t="n">
        <v>94.534426</v>
      </c>
      <c r="F381" s="19" t="n">
        <v>61.546673</v>
      </c>
      <c r="G381" s="19" t="n">
        <v>97.721821</v>
      </c>
      <c r="H381" s="19" t="n">
        <v>334.588299</v>
      </c>
      <c r="I381" s="19" t="n">
        <v>3540.192178</v>
      </c>
      <c r="J381" s="27" t="n">
        <v>614578</v>
      </c>
      <c r="K381" s="27" t="n">
        <v>614556</v>
      </c>
      <c r="L381" s="9" t="n">
        <f aca="false">IF(AND(K381&lt;&gt;"",J381&lt;Assumptions!$B$3*K381),K381,J381)</f>
        <v>614578</v>
      </c>
      <c r="M381" s="21" t="str">
        <f aca="false">IF(L381=J381,"FERC Form 1","EIA-861")</f>
        <v>FERC Form 1</v>
      </c>
      <c r="N381" s="28" t="n">
        <f aca="false">E381+F381+G381</f>
        <v>253.80292</v>
      </c>
    </row>
    <row r="382" customFormat="false" ht="15" hidden="false" customHeight="false" outlineLevel="0" collapsed="false">
      <c r="A382" s="7" t="n">
        <v>2025</v>
      </c>
      <c r="B382" s="15" t="s">
        <v>142</v>
      </c>
      <c r="C382" s="15" t="s">
        <v>135</v>
      </c>
      <c r="D382" s="15" t="s">
        <v>143</v>
      </c>
      <c r="E382" s="19" t="n">
        <v>128.330829</v>
      </c>
      <c r="F382" s="19" t="n">
        <v>50.295968</v>
      </c>
      <c r="G382" s="19" t="n">
        <v>102.029851</v>
      </c>
      <c r="H382" s="19" t="n">
        <v>353.208621</v>
      </c>
      <c r="I382" s="19" t="n">
        <v>3842.072946</v>
      </c>
      <c r="J382" s="27" t="n">
        <v>618231</v>
      </c>
      <c r="K382" s="27" t="n">
        <v>618178</v>
      </c>
      <c r="L382" s="9" t="n">
        <f aca="false">IF(AND(K382&lt;&gt;"",J382&lt;Assumptions!$B$3*K382),K382,J382)</f>
        <v>618231</v>
      </c>
      <c r="M382" s="21" t="str">
        <f aca="false">IF(L382=J382,"FERC Form 1","EIA-861")</f>
        <v>FERC Form 1</v>
      </c>
      <c r="N382" s="28" t="n">
        <f aca="false">E382+F382+G382</f>
        <v>280.656648</v>
      </c>
    </row>
    <row r="383" customFormat="false" ht="15" hidden="false" customHeight="false" outlineLevel="0" collapsed="false">
      <c r="A383" s="7" t="n">
        <v>2000</v>
      </c>
      <c r="B383" s="15" t="s">
        <v>144</v>
      </c>
      <c r="C383" s="15" t="s">
        <v>135</v>
      </c>
      <c r="D383" s="15" t="s">
        <v>141</v>
      </c>
      <c r="E383" s="19" t="n">
        <v>31.212418</v>
      </c>
      <c r="F383" s="19" t="n">
        <v>23.21739</v>
      </c>
      <c r="G383" s="19" t="n">
        <v>38.944999</v>
      </c>
      <c r="H383" s="19" t="n">
        <v>41.111423</v>
      </c>
      <c r="I383" s="19" t="n">
        <v>783.618205</v>
      </c>
      <c r="J383" s="27" t="n">
        <v>436045</v>
      </c>
      <c r="K383" s="27"/>
      <c r="L383" s="9" t="n">
        <f aca="false">IF(AND(K383&lt;&gt;"",J383&lt;Assumptions!$B$3*K383),K383,J383)</f>
        <v>436045</v>
      </c>
      <c r="M383" s="21" t="str">
        <f aca="false">IF(L383=J383,"FERC Form 1","EIA-861")</f>
        <v>FERC Form 1</v>
      </c>
      <c r="N383" s="28" t="n">
        <f aca="false">E383+F383+G383</f>
        <v>93.374807</v>
      </c>
    </row>
    <row r="384" customFormat="false" ht="15" hidden="false" customHeight="false" outlineLevel="0" collapsed="false">
      <c r="A384" s="7" t="n">
        <v>2001</v>
      </c>
      <c r="B384" s="15" t="s">
        <v>144</v>
      </c>
      <c r="C384" s="15" t="s">
        <v>135</v>
      </c>
      <c r="D384" s="15" t="s">
        <v>141</v>
      </c>
      <c r="E384" s="19" t="n">
        <v>29.057342</v>
      </c>
      <c r="F384" s="19" t="n">
        <v>22.600291</v>
      </c>
      <c r="G384" s="19" t="n">
        <v>40.230797</v>
      </c>
      <c r="H384" s="19" t="n">
        <v>15.007288</v>
      </c>
      <c r="I384" s="19" t="n">
        <v>792.510903</v>
      </c>
      <c r="J384" s="27" t="n">
        <v>441039</v>
      </c>
      <c r="K384" s="27" t="n">
        <v>443465</v>
      </c>
      <c r="L384" s="9" t="n">
        <f aca="false">IF(AND(K384&lt;&gt;"",J384&lt;Assumptions!$B$3*K384),K384,J384)</f>
        <v>441039</v>
      </c>
      <c r="M384" s="21" t="str">
        <f aca="false">IF(L384=J384,"FERC Form 1","EIA-861")</f>
        <v>FERC Form 1</v>
      </c>
      <c r="N384" s="28" t="n">
        <f aca="false">E384+F384+G384</f>
        <v>91.88843</v>
      </c>
    </row>
    <row r="385" customFormat="false" ht="15" hidden="false" customHeight="false" outlineLevel="0" collapsed="false">
      <c r="A385" s="7" t="n">
        <v>2002</v>
      </c>
      <c r="B385" s="15" t="s">
        <v>144</v>
      </c>
      <c r="C385" s="15" t="s">
        <v>135</v>
      </c>
      <c r="D385" s="15" t="s">
        <v>141</v>
      </c>
      <c r="E385" s="19" t="n">
        <v>35.493236</v>
      </c>
      <c r="F385" s="19" t="n">
        <v>18.486947</v>
      </c>
      <c r="G385" s="19" t="n">
        <v>44.402457</v>
      </c>
      <c r="H385" s="19" t="n">
        <v>92.162159</v>
      </c>
      <c r="I385" s="19" t="n">
        <v>879.205234</v>
      </c>
      <c r="J385" s="27" t="n">
        <v>446614</v>
      </c>
      <c r="K385" s="27" t="n">
        <v>449550</v>
      </c>
      <c r="L385" s="9" t="n">
        <f aca="false">IF(AND(K385&lt;&gt;"",J385&lt;Assumptions!$B$3*K385),K385,J385)</f>
        <v>446614</v>
      </c>
      <c r="M385" s="21" t="str">
        <f aca="false">IF(L385=J385,"FERC Form 1","EIA-861")</f>
        <v>FERC Form 1</v>
      </c>
      <c r="N385" s="28" t="n">
        <f aca="false">E385+F385+G385</f>
        <v>98.38264</v>
      </c>
    </row>
    <row r="386" customFormat="false" ht="15" hidden="false" customHeight="false" outlineLevel="0" collapsed="false">
      <c r="A386" s="7" t="n">
        <v>2003</v>
      </c>
      <c r="B386" s="15" t="s">
        <v>144</v>
      </c>
      <c r="C386" s="15" t="s">
        <v>135</v>
      </c>
      <c r="D386" s="15" t="s">
        <v>141</v>
      </c>
      <c r="E386" s="19" t="n">
        <v>39.018506</v>
      </c>
      <c r="F386" s="19" t="n">
        <v>18.994897</v>
      </c>
      <c r="G386" s="19" t="n">
        <v>45.526497</v>
      </c>
      <c r="H386" s="19" t="n">
        <v>29.270349</v>
      </c>
      <c r="I386" s="19" t="n">
        <v>904.618797</v>
      </c>
      <c r="J386" s="27" t="n">
        <v>452340</v>
      </c>
      <c r="K386" s="27" t="n">
        <v>452340</v>
      </c>
      <c r="L386" s="9" t="n">
        <f aca="false">IF(AND(K386&lt;&gt;"",J386&lt;Assumptions!$B$3*K386),K386,J386)</f>
        <v>452340</v>
      </c>
      <c r="M386" s="21" t="str">
        <f aca="false">IF(L386=J386,"FERC Form 1","EIA-861")</f>
        <v>FERC Form 1</v>
      </c>
      <c r="N386" s="28" t="n">
        <f aca="false">E386+F386+G386</f>
        <v>103.5399</v>
      </c>
    </row>
    <row r="387" customFormat="false" ht="15" hidden="false" customHeight="false" outlineLevel="0" collapsed="false">
      <c r="A387" s="7" t="n">
        <v>2004</v>
      </c>
      <c r="B387" s="15" t="s">
        <v>144</v>
      </c>
      <c r="C387" s="15" t="s">
        <v>135</v>
      </c>
      <c r="D387" s="15" t="s">
        <v>141</v>
      </c>
      <c r="E387" s="19" t="n">
        <v>33.249167</v>
      </c>
      <c r="F387" s="19" t="n">
        <v>20.455741</v>
      </c>
      <c r="G387" s="19" t="n">
        <v>46.904492</v>
      </c>
      <c r="H387" s="19" t="n">
        <v>43.848678</v>
      </c>
      <c r="I387" s="19" t="n">
        <v>939.189476</v>
      </c>
      <c r="J387" s="27" t="n">
        <v>458796</v>
      </c>
      <c r="K387" s="27" t="n">
        <v>458796</v>
      </c>
      <c r="L387" s="9" t="n">
        <f aca="false">IF(AND(K387&lt;&gt;"",J387&lt;Assumptions!$B$3*K387),K387,J387)</f>
        <v>458796</v>
      </c>
      <c r="M387" s="21" t="str">
        <f aca="false">IF(L387=J387,"FERC Form 1","EIA-861")</f>
        <v>FERC Form 1</v>
      </c>
      <c r="N387" s="28" t="n">
        <f aca="false">E387+F387+G387</f>
        <v>100.6094</v>
      </c>
    </row>
    <row r="388" customFormat="false" ht="15" hidden="false" customHeight="false" outlineLevel="0" collapsed="false">
      <c r="A388" s="7" t="n">
        <v>2005</v>
      </c>
      <c r="B388" s="15" t="s">
        <v>144</v>
      </c>
      <c r="C388" s="15" t="s">
        <v>135</v>
      </c>
      <c r="D388" s="15" t="s">
        <v>141</v>
      </c>
      <c r="E388" s="19" t="n">
        <v>35.5917</v>
      </c>
      <c r="F388" s="19" t="n">
        <v>19.869043</v>
      </c>
      <c r="G388" s="19" t="n">
        <v>48.76901</v>
      </c>
      <c r="H388" s="19" t="n">
        <v>33.689072</v>
      </c>
      <c r="I388" s="19" t="n">
        <v>965.812732</v>
      </c>
      <c r="J388" s="27" t="n">
        <v>462837</v>
      </c>
      <c r="K388" s="27" t="n">
        <v>462837</v>
      </c>
      <c r="L388" s="9" t="n">
        <f aca="false">IF(AND(K388&lt;&gt;"",J388&lt;Assumptions!$B$3*K388),K388,J388)</f>
        <v>462837</v>
      </c>
      <c r="M388" s="21" t="str">
        <f aca="false">IF(L388=J388,"FERC Form 1","EIA-861")</f>
        <v>FERC Form 1</v>
      </c>
      <c r="N388" s="28" t="n">
        <f aca="false">E388+F388+G388</f>
        <v>104.229753</v>
      </c>
    </row>
    <row r="389" customFormat="false" ht="15" hidden="false" customHeight="false" outlineLevel="0" collapsed="false">
      <c r="A389" s="7" t="n">
        <v>2006</v>
      </c>
      <c r="B389" s="15" t="s">
        <v>144</v>
      </c>
      <c r="C389" s="15" t="s">
        <v>135</v>
      </c>
      <c r="D389" s="15" t="s">
        <v>141</v>
      </c>
      <c r="E389" s="19" t="n">
        <v>35.391356</v>
      </c>
      <c r="F389" s="19" t="n">
        <v>20.361932</v>
      </c>
      <c r="G389" s="19" t="n">
        <v>49.976971</v>
      </c>
      <c r="H389" s="19" t="n">
        <v>34.070218</v>
      </c>
      <c r="I389" s="19" t="n">
        <v>994.429163</v>
      </c>
      <c r="J389" s="27" t="n">
        <v>466833</v>
      </c>
      <c r="K389" s="27" t="n">
        <v>466833</v>
      </c>
      <c r="L389" s="9" t="n">
        <f aca="false">IF(AND(K389&lt;&gt;"",J389&lt;Assumptions!$B$3*K389),K389,J389)</f>
        <v>466833</v>
      </c>
      <c r="M389" s="21" t="str">
        <f aca="false">IF(L389=J389,"FERC Form 1","EIA-861")</f>
        <v>FERC Form 1</v>
      </c>
      <c r="N389" s="28" t="n">
        <f aca="false">E389+F389+G389</f>
        <v>105.730259</v>
      </c>
    </row>
    <row r="390" customFormat="false" ht="15" hidden="false" customHeight="false" outlineLevel="0" collapsed="false">
      <c r="A390" s="7" t="n">
        <v>2007</v>
      </c>
      <c r="B390" s="15" t="s">
        <v>144</v>
      </c>
      <c r="C390" s="15" t="s">
        <v>135</v>
      </c>
      <c r="D390" s="15" t="s">
        <v>141</v>
      </c>
      <c r="E390" s="19" t="n">
        <v>31.630965</v>
      </c>
      <c r="F390" s="19" t="n">
        <v>20.218335</v>
      </c>
      <c r="G390" s="19" t="n">
        <v>54.146078</v>
      </c>
      <c r="H390" s="19" t="n">
        <v>49.690802</v>
      </c>
      <c r="I390" s="19" t="n">
        <v>1090.395002</v>
      </c>
      <c r="J390" s="27" t="n">
        <v>468666</v>
      </c>
      <c r="K390" s="27" t="n">
        <v>468666</v>
      </c>
      <c r="L390" s="9" t="n">
        <f aca="false">IF(AND(K390&lt;&gt;"",J390&lt;Assumptions!$B$3*K390),K390,J390)</f>
        <v>468666</v>
      </c>
      <c r="M390" s="21" t="str">
        <f aca="false">IF(L390=J390,"FERC Form 1","EIA-861")</f>
        <v>FERC Form 1</v>
      </c>
      <c r="N390" s="28" t="n">
        <f aca="false">E390+F390+G390</f>
        <v>105.995378</v>
      </c>
    </row>
    <row r="391" customFormat="false" ht="15" hidden="false" customHeight="false" outlineLevel="0" collapsed="false">
      <c r="A391" s="7" t="n">
        <v>2008</v>
      </c>
      <c r="B391" s="15" t="s">
        <v>144</v>
      </c>
      <c r="C391" s="15" t="s">
        <v>135</v>
      </c>
      <c r="D391" s="15" t="s">
        <v>141</v>
      </c>
      <c r="E391" s="19" t="n">
        <v>39.571808</v>
      </c>
      <c r="F391" s="19" t="n">
        <v>20.990156</v>
      </c>
      <c r="G391" s="19" t="n">
        <v>56.742432</v>
      </c>
      <c r="H391" s="19" t="n">
        <v>44.791245</v>
      </c>
      <c r="I391" s="19" t="n">
        <v>1129.738794</v>
      </c>
      <c r="J391" s="27" t="n">
        <v>468203</v>
      </c>
      <c r="K391" s="27" t="n">
        <v>468203</v>
      </c>
      <c r="L391" s="9" t="n">
        <f aca="false">IF(AND(K391&lt;&gt;"",J391&lt;Assumptions!$B$3*K391),K391,J391)</f>
        <v>468203</v>
      </c>
      <c r="M391" s="21" t="str">
        <f aca="false">IF(L391=J391,"FERC Form 1","EIA-861")</f>
        <v>FERC Form 1</v>
      </c>
      <c r="N391" s="28" t="n">
        <f aca="false">E391+F391+G391</f>
        <v>117.304396</v>
      </c>
    </row>
    <row r="392" customFormat="false" ht="15" hidden="false" customHeight="false" outlineLevel="0" collapsed="false">
      <c r="A392" s="7" t="n">
        <v>2009</v>
      </c>
      <c r="B392" s="15" t="s">
        <v>144</v>
      </c>
      <c r="C392" s="15" t="s">
        <v>135</v>
      </c>
      <c r="D392" s="15" t="s">
        <v>141</v>
      </c>
      <c r="E392" s="19" t="n">
        <v>35.468656</v>
      </c>
      <c r="F392" s="19" t="n">
        <v>20.663303</v>
      </c>
      <c r="G392" s="19" t="n">
        <v>58.659564</v>
      </c>
      <c r="H392" s="19" t="n">
        <v>36.30377</v>
      </c>
      <c r="I392" s="19" t="n">
        <v>1160.026843</v>
      </c>
      <c r="J392" s="27" t="n">
        <v>467683</v>
      </c>
      <c r="K392" s="27" t="n">
        <v>467683</v>
      </c>
      <c r="L392" s="9" t="n">
        <f aca="false">IF(AND(K392&lt;&gt;"",J392&lt;Assumptions!$B$3*K392),K392,J392)</f>
        <v>467683</v>
      </c>
      <c r="M392" s="21" t="str">
        <f aca="false">IF(L392=J392,"FERC Form 1","EIA-861")</f>
        <v>FERC Form 1</v>
      </c>
      <c r="N392" s="28" t="n">
        <f aca="false">E392+F392+G392</f>
        <v>114.791523</v>
      </c>
    </row>
    <row r="393" customFormat="false" ht="15" hidden="false" customHeight="false" outlineLevel="0" collapsed="false">
      <c r="A393" s="7" t="n">
        <v>2010</v>
      </c>
      <c r="B393" s="15" t="s">
        <v>144</v>
      </c>
      <c r="C393" s="15" t="s">
        <v>135</v>
      </c>
      <c r="D393" s="15" t="s">
        <v>141</v>
      </c>
      <c r="E393" s="19" t="n">
        <v>35.618362</v>
      </c>
      <c r="F393" s="19" t="n">
        <v>21.540692</v>
      </c>
      <c r="G393" s="19" t="n">
        <v>59.987064</v>
      </c>
      <c r="H393" s="19" t="n">
        <v>49.446436</v>
      </c>
      <c r="I393" s="19" t="n">
        <v>1184.433645</v>
      </c>
      <c r="J393" s="27" t="n">
        <v>468161</v>
      </c>
      <c r="K393" s="27" t="n">
        <v>468161</v>
      </c>
      <c r="L393" s="9" t="n">
        <f aca="false">IF(AND(K393&lt;&gt;"",J393&lt;Assumptions!$B$3*K393),K393,J393)</f>
        <v>468161</v>
      </c>
      <c r="M393" s="21" t="str">
        <f aca="false">IF(L393=J393,"FERC Form 1","EIA-861")</f>
        <v>FERC Form 1</v>
      </c>
      <c r="N393" s="28" t="n">
        <f aca="false">E393+F393+G393</f>
        <v>117.146118</v>
      </c>
    </row>
    <row r="394" customFormat="false" ht="15" hidden="false" customHeight="false" outlineLevel="0" collapsed="false">
      <c r="A394" s="7" t="n">
        <v>2011</v>
      </c>
      <c r="B394" s="15" t="s">
        <v>144</v>
      </c>
      <c r="C394" s="15" t="s">
        <v>135</v>
      </c>
      <c r="D394" s="15" t="s">
        <v>141</v>
      </c>
      <c r="E394" s="19" t="n">
        <v>35.397842</v>
      </c>
      <c r="F394" s="19" t="n">
        <v>21.7148</v>
      </c>
      <c r="G394" s="19" t="n">
        <v>61.239758</v>
      </c>
      <c r="H394" s="19" t="n">
        <v>43.902302</v>
      </c>
      <c r="I394" s="19" t="n">
        <v>1219.070384</v>
      </c>
      <c r="J394" s="27" t="n">
        <v>468195</v>
      </c>
      <c r="K394" s="27" t="n">
        <v>468195</v>
      </c>
      <c r="L394" s="9" t="n">
        <f aca="false">IF(AND(K394&lt;&gt;"",J394&lt;Assumptions!$B$3*K394),K394,J394)</f>
        <v>468195</v>
      </c>
      <c r="M394" s="21" t="str">
        <f aca="false">IF(L394=J394,"FERC Form 1","EIA-861")</f>
        <v>FERC Form 1</v>
      </c>
      <c r="N394" s="28" t="n">
        <f aca="false">E394+F394+G394</f>
        <v>118.3524</v>
      </c>
    </row>
    <row r="395" customFormat="false" ht="15" hidden="false" customHeight="false" outlineLevel="0" collapsed="false">
      <c r="A395" s="7" t="n">
        <v>2012</v>
      </c>
      <c r="B395" s="15" t="s">
        <v>144</v>
      </c>
      <c r="C395" s="15" t="s">
        <v>135</v>
      </c>
      <c r="D395" s="15" t="s">
        <v>141</v>
      </c>
      <c r="E395" s="19" t="n">
        <v>38.285321</v>
      </c>
      <c r="F395" s="19" t="n">
        <v>21.585786</v>
      </c>
      <c r="G395" s="19" t="n">
        <v>62.85718</v>
      </c>
      <c r="H395" s="19" t="n">
        <v>49.740466</v>
      </c>
      <c r="I395" s="19" t="n">
        <v>1249.445388</v>
      </c>
      <c r="J395" s="27" t="n">
        <v>470961</v>
      </c>
      <c r="K395" s="27" t="n">
        <v>470961</v>
      </c>
      <c r="L395" s="9" t="n">
        <f aca="false">IF(AND(K395&lt;&gt;"",J395&lt;Assumptions!$B$3*K395),K395,J395)</f>
        <v>470961</v>
      </c>
      <c r="M395" s="21" t="str">
        <f aca="false">IF(L395=J395,"FERC Form 1","EIA-861")</f>
        <v>FERC Form 1</v>
      </c>
      <c r="N395" s="28" t="n">
        <f aca="false">E395+F395+G395</f>
        <v>122.728287</v>
      </c>
    </row>
    <row r="396" customFormat="false" ht="15" hidden="false" customHeight="false" outlineLevel="0" collapsed="false">
      <c r="A396" s="7" t="n">
        <v>2013</v>
      </c>
      <c r="B396" s="15" t="s">
        <v>144</v>
      </c>
      <c r="C396" s="15" t="s">
        <v>135</v>
      </c>
      <c r="D396" s="15" t="s">
        <v>141</v>
      </c>
      <c r="E396" s="19" t="n">
        <v>36.906693</v>
      </c>
      <c r="F396" s="19" t="n">
        <v>22.326185</v>
      </c>
      <c r="G396" s="19" t="n">
        <v>64.506423</v>
      </c>
      <c r="H396" s="19" t="n">
        <v>42.49018</v>
      </c>
      <c r="I396" s="19" t="n">
        <v>1283.390522</v>
      </c>
      <c r="J396" s="27" t="n">
        <v>474121</v>
      </c>
      <c r="K396" s="27" t="n">
        <v>474121</v>
      </c>
      <c r="L396" s="9" t="n">
        <f aca="false">IF(AND(K396&lt;&gt;"",J396&lt;Assumptions!$B$3*K396),K396,J396)</f>
        <v>474121</v>
      </c>
      <c r="M396" s="21" t="str">
        <f aca="false">IF(L396=J396,"FERC Form 1","EIA-861")</f>
        <v>FERC Form 1</v>
      </c>
      <c r="N396" s="28" t="n">
        <f aca="false">E396+F396+G396</f>
        <v>123.739301</v>
      </c>
    </row>
    <row r="397" customFormat="false" ht="15" hidden="false" customHeight="false" outlineLevel="0" collapsed="false">
      <c r="A397" s="7" t="n">
        <v>2014</v>
      </c>
      <c r="B397" s="15" t="s">
        <v>144</v>
      </c>
      <c r="C397" s="15" t="s">
        <v>135</v>
      </c>
      <c r="D397" s="15" t="s">
        <v>141</v>
      </c>
      <c r="E397" s="19" t="n">
        <v>37.732716</v>
      </c>
      <c r="F397" s="19" t="n">
        <v>23.362306</v>
      </c>
      <c r="G397" s="19" t="n">
        <v>66.396953</v>
      </c>
      <c r="H397" s="19" t="n">
        <v>58.730008</v>
      </c>
      <c r="I397" s="19" t="n">
        <v>1323.190372</v>
      </c>
      <c r="J397" s="27" t="n">
        <v>477921</v>
      </c>
      <c r="K397" s="27" t="n">
        <v>477921</v>
      </c>
      <c r="L397" s="9" t="n">
        <f aca="false">IF(AND(K397&lt;&gt;"",J397&lt;Assumptions!$B$3*K397),K397,J397)</f>
        <v>477921</v>
      </c>
      <c r="M397" s="21" t="str">
        <f aca="false">IF(L397=J397,"FERC Form 1","EIA-861")</f>
        <v>FERC Form 1</v>
      </c>
      <c r="N397" s="28" t="n">
        <f aca="false">E397+F397+G397</f>
        <v>127.491975</v>
      </c>
    </row>
    <row r="398" customFormat="false" ht="15" hidden="false" customHeight="false" outlineLevel="0" collapsed="false">
      <c r="A398" s="7" t="n">
        <v>2015</v>
      </c>
      <c r="B398" s="15" t="s">
        <v>144</v>
      </c>
      <c r="C398" s="15" t="s">
        <v>135</v>
      </c>
      <c r="D398" s="15" t="s">
        <v>141</v>
      </c>
      <c r="E398" s="19" t="n">
        <v>39.364252</v>
      </c>
      <c r="F398" s="19" t="n">
        <v>22.950273</v>
      </c>
      <c r="G398" s="19" t="n">
        <v>68.693354</v>
      </c>
      <c r="H398" s="19" t="n">
        <v>63.909974</v>
      </c>
      <c r="I398" s="19" t="n">
        <v>1371.028822</v>
      </c>
      <c r="J398" s="27" t="n">
        <v>482365</v>
      </c>
      <c r="K398" s="27" t="n">
        <v>484791</v>
      </c>
      <c r="L398" s="9" t="n">
        <f aca="false">IF(AND(K398&lt;&gt;"",J398&lt;Assumptions!$B$3*K398),K398,J398)</f>
        <v>482365</v>
      </c>
      <c r="M398" s="21" t="str">
        <f aca="false">IF(L398=J398,"FERC Form 1","EIA-861")</f>
        <v>FERC Form 1</v>
      </c>
      <c r="N398" s="28" t="n">
        <f aca="false">E398+F398+G398</f>
        <v>131.007879</v>
      </c>
    </row>
    <row r="399" customFormat="false" ht="15" hidden="false" customHeight="false" outlineLevel="0" collapsed="false">
      <c r="A399" s="7" t="n">
        <v>2016</v>
      </c>
      <c r="B399" s="15" t="s">
        <v>144</v>
      </c>
      <c r="C399" s="15" t="s">
        <v>135</v>
      </c>
      <c r="D399" s="15" t="s">
        <v>141</v>
      </c>
      <c r="E399" s="19" t="n">
        <v>41.073876</v>
      </c>
      <c r="F399" s="19" t="n">
        <v>22.434338</v>
      </c>
      <c r="G399" s="19" t="n">
        <v>39.826536</v>
      </c>
      <c r="H399" s="19" t="n">
        <v>69.591171</v>
      </c>
      <c r="I399" s="19" t="n">
        <v>1433.043942</v>
      </c>
      <c r="J399" s="27" t="n">
        <v>486827</v>
      </c>
      <c r="K399" s="27" t="n">
        <v>486827</v>
      </c>
      <c r="L399" s="9" t="n">
        <f aca="false">IF(AND(K399&lt;&gt;"",J399&lt;Assumptions!$B$3*K399),K399,J399)</f>
        <v>486827</v>
      </c>
      <c r="M399" s="21" t="str">
        <f aca="false">IF(L399=J399,"FERC Form 1","EIA-861")</f>
        <v>FERC Form 1</v>
      </c>
      <c r="N399" s="28" t="n">
        <f aca="false">E399+F399+G399</f>
        <v>103.33475</v>
      </c>
    </row>
    <row r="400" customFormat="false" ht="15" hidden="false" customHeight="false" outlineLevel="0" collapsed="false">
      <c r="A400" s="7" t="n">
        <v>2017</v>
      </c>
      <c r="B400" s="15" t="s">
        <v>144</v>
      </c>
      <c r="C400" s="15" t="s">
        <v>135</v>
      </c>
      <c r="D400" s="15" t="s">
        <v>141</v>
      </c>
      <c r="E400" s="19" t="n">
        <v>43.242605</v>
      </c>
      <c r="F400" s="19" t="n">
        <v>23.793807</v>
      </c>
      <c r="G400" s="19" t="n">
        <v>31.113583</v>
      </c>
      <c r="H400" s="19" t="n">
        <v>67.746303</v>
      </c>
      <c r="I400" s="19" t="n">
        <v>1487.380457</v>
      </c>
      <c r="J400" s="27" t="n">
        <v>491347</v>
      </c>
      <c r="K400" s="27" t="n">
        <v>491347</v>
      </c>
      <c r="L400" s="9" t="n">
        <f aca="false">IF(AND(K400&lt;&gt;"",J400&lt;Assumptions!$B$3*K400),K400,J400)</f>
        <v>491347</v>
      </c>
      <c r="M400" s="21" t="str">
        <f aca="false">IF(L400=J400,"FERC Form 1","EIA-861")</f>
        <v>FERC Form 1</v>
      </c>
      <c r="N400" s="28" t="n">
        <f aca="false">E400+F400+G400</f>
        <v>98.149995</v>
      </c>
    </row>
    <row r="401" customFormat="false" ht="15" hidden="false" customHeight="false" outlineLevel="0" collapsed="false">
      <c r="A401" s="7" t="n">
        <v>2018</v>
      </c>
      <c r="B401" s="15" t="s">
        <v>144</v>
      </c>
      <c r="C401" s="15" t="s">
        <v>135</v>
      </c>
      <c r="D401" s="15" t="s">
        <v>141</v>
      </c>
      <c r="E401" s="19" t="n">
        <v>43.730047</v>
      </c>
      <c r="F401" s="19" t="n">
        <v>22.488156</v>
      </c>
      <c r="G401" s="19" t="n">
        <v>32.767489</v>
      </c>
      <c r="H401" s="19" t="n">
        <v>60.472716</v>
      </c>
      <c r="I401" s="19" t="n">
        <v>1534.062321</v>
      </c>
      <c r="J401" s="27" t="n">
        <v>498193</v>
      </c>
      <c r="K401" s="27" t="n">
        <v>495352</v>
      </c>
      <c r="L401" s="9" t="n">
        <f aca="false">IF(AND(K401&lt;&gt;"",J401&lt;Assumptions!$B$3*K401),K401,J401)</f>
        <v>498193</v>
      </c>
      <c r="M401" s="21" t="str">
        <f aca="false">IF(L401=J401,"FERC Form 1","EIA-861")</f>
        <v>FERC Form 1</v>
      </c>
      <c r="N401" s="28" t="n">
        <f aca="false">E401+F401+G401</f>
        <v>98.985692</v>
      </c>
    </row>
    <row r="402" customFormat="false" ht="15" hidden="false" customHeight="false" outlineLevel="0" collapsed="false">
      <c r="A402" s="7" t="n">
        <v>2019</v>
      </c>
      <c r="B402" s="15" t="s">
        <v>144</v>
      </c>
      <c r="C402" s="15" t="s">
        <v>135</v>
      </c>
      <c r="D402" s="15" t="s">
        <v>141</v>
      </c>
      <c r="E402" s="19" t="n">
        <v>63.24097</v>
      </c>
      <c r="F402" s="19" t="n">
        <v>23.867516</v>
      </c>
      <c r="G402" s="19" t="n">
        <v>34.738494</v>
      </c>
      <c r="H402" s="19" t="n">
        <v>71.915771</v>
      </c>
      <c r="I402" s="19" t="n">
        <v>1594.208473</v>
      </c>
      <c r="J402" s="27" t="n">
        <v>507576</v>
      </c>
      <c r="K402" s="27" t="n">
        <v>503198</v>
      </c>
      <c r="L402" s="9" t="n">
        <f aca="false">IF(AND(K402&lt;&gt;"",J402&lt;Assumptions!$B$3*K402),K402,J402)</f>
        <v>507576</v>
      </c>
      <c r="M402" s="21" t="str">
        <f aca="false">IF(L402=J402,"FERC Form 1","EIA-861")</f>
        <v>FERC Form 1</v>
      </c>
      <c r="N402" s="28" t="n">
        <f aca="false">E402+F402+G402</f>
        <v>121.84698</v>
      </c>
    </row>
    <row r="403" customFormat="false" ht="15" hidden="false" customHeight="false" outlineLevel="0" collapsed="false">
      <c r="A403" s="7" t="n">
        <v>2020</v>
      </c>
      <c r="B403" s="15" t="s">
        <v>144</v>
      </c>
      <c r="C403" s="15" t="s">
        <v>135</v>
      </c>
      <c r="D403" s="15" t="s">
        <v>141</v>
      </c>
      <c r="E403" s="19" t="n">
        <v>65.709784</v>
      </c>
      <c r="F403" s="19" t="n">
        <v>20.647018</v>
      </c>
      <c r="G403" s="19" t="n">
        <v>38.221896</v>
      </c>
      <c r="H403" s="19" t="n">
        <v>97.145336</v>
      </c>
      <c r="I403" s="19" t="n">
        <v>1671.861147</v>
      </c>
      <c r="J403" s="27" t="n">
        <v>511501</v>
      </c>
      <c r="K403" s="27" t="n">
        <v>509910</v>
      </c>
      <c r="L403" s="9" t="n">
        <f aca="false">IF(AND(K403&lt;&gt;"",J403&lt;Assumptions!$B$3*K403),K403,J403)</f>
        <v>511501</v>
      </c>
      <c r="M403" s="21" t="str">
        <f aca="false">IF(L403=J403,"FERC Form 1","EIA-861")</f>
        <v>FERC Form 1</v>
      </c>
      <c r="N403" s="28" t="n">
        <f aca="false">E403+F403+G403</f>
        <v>124.578698</v>
      </c>
    </row>
    <row r="404" customFormat="false" ht="15" hidden="false" customHeight="false" outlineLevel="0" collapsed="false">
      <c r="A404" s="7" t="n">
        <v>2021</v>
      </c>
      <c r="B404" s="15" t="s">
        <v>144</v>
      </c>
      <c r="C404" s="15" t="s">
        <v>135</v>
      </c>
      <c r="D404" s="15" t="s">
        <v>141</v>
      </c>
      <c r="E404" s="19" t="n">
        <v>75.812438</v>
      </c>
      <c r="F404" s="19" t="n">
        <v>21.106332</v>
      </c>
      <c r="G404" s="19" t="n">
        <v>45.653939</v>
      </c>
      <c r="H404" s="19" t="n">
        <v>187.55047</v>
      </c>
      <c r="I404" s="19" t="n">
        <v>1831.029153</v>
      </c>
      <c r="J404" s="27" t="n">
        <v>516323</v>
      </c>
      <c r="K404" s="27" t="n">
        <v>514140</v>
      </c>
      <c r="L404" s="9" t="n">
        <f aca="false">IF(AND(K404&lt;&gt;"",J404&lt;Assumptions!$B$3*K404),K404,J404)</f>
        <v>516323</v>
      </c>
      <c r="M404" s="21" t="str">
        <f aca="false">IF(L404=J404,"FERC Form 1","EIA-861")</f>
        <v>FERC Form 1</v>
      </c>
      <c r="N404" s="28" t="n">
        <f aca="false">E404+F404+G404</f>
        <v>142.572709</v>
      </c>
    </row>
    <row r="405" customFormat="false" ht="15" hidden="false" customHeight="false" outlineLevel="0" collapsed="false">
      <c r="A405" s="7" t="n">
        <v>2022</v>
      </c>
      <c r="B405" s="15" t="s">
        <v>144</v>
      </c>
      <c r="C405" s="15" t="s">
        <v>135</v>
      </c>
      <c r="D405" s="15" t="s">
        <v>141</v>
      </c>
      <c r="E405" s="19" t="n">
        <v>93.054174</v>
      </c>
      <c r="F405" s="19" t="n">
        <v>26.804302</v>
      </c>
      <c r="G405" s="19" t="n">
        <v>53.124211</v>
      </c>
      <c r="H405" s="19" t="n">
        <v>238.153895</v>
      </c>
      <c r="I405" s="19" t="n">
        <v>2036.696964</v>
      </c>
      <c r="J405" s="27" t="n">
        <v>519319</v>
      </c>
      <c r="K405" s="27" t="n">
        <v>519319</v>
      </c>
      <c r="L405" s="9" t="n">
        <f aca="false">IF(AND(K405&lt;&gt;"",J405&lt;Assumptions!$B$3*K405),K405,J405)</f>
        <v>519319</v>
      </c>
      <c r="M405" s="21" t="str">
        <f aca="false">IF(L405=J405,"FERC Form 1","EIA-861")</f>
        <v>FERC Form 1</v>
      </c>
      <c r="N405" s="28" t="n">
        <f aca="false">E405+F405+G405</f>
        <v>172.982687</v>
      </c>
    </row>
    <row r="406" customFormat="false" ht="15" hidden="false" customHeight="false" outlineLevel="0" collapsed="false">
      <c r="A406" s="7" t="n">
        <v>2023</v>
      </c>
      <c r="B406" s="15" t="s">
        <v>144</v>
      </c>
      <c r="C406" s="15" t="s">
        <v>135</v>
      </c>
      <c r="D406" s="15" t="s">
        <v>141</v>
      </c>
      <c r="E406" s="19" t="n">
        <v>89.494827</v>
      </c>
      <c r="F406" s="19" t="n">
        <v>33.095316</v>
      </c>
      <c r="G406" s="19" t="n">
        <v>61.617147</v>
      </c>
      <c r="H406" s="19" t="n">
        <v>289.153607</v>
      </c>
      <c r="I406" s="19" t="n">
        <v>2313.028113</v>
      </c>
      <c r="J406" s="27" t="n">
        <v>523395</v>
      </c>
      <c r="K406" s="27" t="n">
        <v>523392</v>
      </c>
      <c r="L406" s="9" t="n">
        <f aca="false">IF(AND(K406&lt;&gt;"",J406&lt;Assumptions!$B$3*K406),K406,J406)</f>
        <v>523395</v>
      </c>
      <c r="M406" s="21" t="str">
        <f aca="false">IF(L406=J406,"FERC Form 1","EIA-861")</f>
        <v>FERC Form 1</v>
      </c>
      <c r="N406" s="28" t="n">
        <f aca="false">E406+F406+G406</f>
        <v>184.20729</v>
      </c>
    </row>
    <row r="407" customFormat="false" ht="15" hidden="false" customHeight="false" outlineLevel="0" collapsed="false">
      <c r="A407" s="7" t="n">
        <v>2024</v>
      </c>
      <c r="B407" s="15" t="s">
        <v>144</v>
      </c>
      <c r="C407" s="15" t="s">
        <v>135</v>
      </c>
      <c r="D407" s="15" t="s">
        <v>141</v>
      </c>
      <c r="E407" s="19" t="n">
        <v>100.619848</v>
      </c>
      <c r="F407" s="19" t="n">
        <v>49.893648</v>
      </c>
      <c r="G407" s="19" t="n">
        <v>50.635448</v>
      </c>
      <c r="H407" s="19" t="n">
        <v>305.680516</v>
      </c>
      <c r="I407" s="19" t="n">
        <v>2562.826545</v>
      </c>
      <c r="J407" s="27" t="n">
        <v>530802</v>
      </c>
      <c r="K407" s="27" t="n">
        <v>530802</v>
      </c>
      <c r="L407" s="9" t="n">
        <f aca="false">IF(AND(K407&lt;&gt;"",J407&lt;Assumptions!$B$3*K407),K407,J407)</f>
        <v>530802</v>
      </c>
      <c r="M407" s="21" t="str">
        <f aca="false">IF(L407=J407,"FERC Form 1","EIA-861")</f>
        <v>FERC Form 1</v>
      </c>
      <c r="N407" s="28" t="n">
        <f aca="false">E407+F407+G407</f>
        <v>201.148944</v>
      </c>
    </row>
    <row r="408" customFormat="false" ht="15" hidden="false" customHeight="false" outlineLevel="0" collapsed="false">
      <c r="A408" s="7" t="n">
        <v>2025</v>
      </c>
      <c r="B408" s="15" t="s">
        <v>144</v>
      </c>
      <c r="C408" s="15" t="s">
        <v>135</v>
      </c>
      <c r="D408" s="15" t="s">
        <v>141</v>
      </c>
      <c r="E408" s="19" t="n">
        <v>93.312539</v>
      </c>
      <c r="F408" s="19" t="n">
        <v>101.242814</v>
      </c>
      <c r="G408" s="19" t="n">
        <v>56.207809</v>
      </c>
      <c r="H408" s="19" t="n">
        <v>310.396701</v>
      </c>
      <c r="I408" s="19" t="n">
        <v>2930.690758</v>
      </c>
      <c r="J408" s="27" t="n">
        <v>530401</v>
      </c>
      <c r="K408" s="27" t="n">
        <v>530671</v>
      </c>
      <c r="L408" s="9" t="n">
        <f aca="false">IF(AND(K408&lt;&gt;"",J408&lt;Assumptions!$B$3*K408),K408,J408)</f>
        <v>530401</v>
      </c>
      <c r="M408" s="21" t="str">
        <f aca="false">IF(L408=J408,"FERC Form 1","EIA-861")</f>
        <v>FERC Form 1</v>
      </c>
      <c r="N408" s="28" t="n">
        <f aca="false">E408+F408+G408</f>
        <v>250.763162</v>
      </c>
    </row>
    <row r="409" customFormat="false" ht="15" hidden="false" customHeight="false" outlineLevel="0" collapsed="false">
      <c r="A409" s="7" t="n">
        <v>2000</v>
      </c>
      <c r="B409" s="15" t="s">
        <v>145</v>
      </c>
      <c r="C409" s="15" t="s">
        <v>135</v>
      </c>
      <c r="D409" s="15" t="s">
        <v>146</v>
      </c>
      <c r="E409" s="19" t="n">
        <v>30.818884</v>
      </c>
      <c r="F409" s="19" t="n">
        <v>52.584963</v>
      </c>
      <c r="G409" s="19" t="n">
        <v>37.033</v>
      </c>
      <c r="H409" s="19" t="n">
        <v>70.787685</v>
      </c>
      <c r="I409" s="19" t="n">
        <v>1041.863437</v>
      </c>
      <c r="J409" s="27" t="n">
        <v>513625</v>
      </c>
      <c r="K409" s="27"/>
      <c r="L409" s="9" t="n">
        <f aca="false">IF(AND(K409&lt;&gt;"",J409&lt;Assumptions!$B$3*K409),K409,J409)</f>
        <v>513625</v>
      </c>
      <c r="M409" s="21" t="str">
        <f aca="false">IF(L409=J409,"FERC Form 1","EIA-861")</f>
        <v>FERC Form 1</v>
      </c>
      <c r="N409" s="28" t="n">
        <f aca="false">E409+F409+G409</f>
        <v>120.436847</v>
      </c>
    </row>
    <row r="410" customFormat="false" ht="15" hidden="false" customHeight="false" outlineLevel="0" collapsed="false">
      <c r="A410" s="7" t="n">
        <v>2001</v>
      </c>
      <c r="B410" s="15" t="s">
        <v>145</v>
      </c>
      <c r="C410" s="15" t="s">
        <v>135</v>
      </c>
      <c r="D410" s="15" t="s">
        <v>146</v>
      </c>
      <c r="E410" s="19" t="n">
        <v>34.483074</v>
      </c>
      <c r="F410" s="19" t="n">
        <v>53.610594</v>
      </c>
      <c r="G410" s="19" t="n">
        <v>40.078</v>
      </c>
      <c r="H410" s="19" t="n">
        <v>69.892761</v>
      </c>
      <c r="I410" s="19" t="n">
        <v>1113.520589</v>
      </c>
      <c r="J410" s="27" t="n">
        <v>516418</v>
      </c>
      <c r="K410" s="27" t="n">
        <v>168282</v>
      </c>
      <c r="L410" s="9" t="n">
        <f aca="false">IF(AND(K410&lt;&gt;"",J410&lt;Assumptions!$B$3*K410),K410,J410)</f>
        <v>516418</v>
      </c>
      <c r="M410" s="21" t="str">
        <f aca="false">IF(L410=J410,"FERC Form 1","EIA-861")</f>
        <v>FERC Form 1</v>
      </c>
      <c r="N410" s="28" t="n">
        <f aca="false">E410+F410+G410</f>
        <v>128.171668</v>
      </c>
    </row>
    <row r="411" customFormat="false" ht="15" hidden="false" customHeight="false" outlineLevel="0" collapsed="false">
      <c r="A411" s="7" t="n">
        <v>2002</v>
      </c>
      <c r="B411" s="15" t="s">
        <v>145</v>
      </c>
      <c r="C411" s="15" t="s">
        <v>135</v>
      </c>
      <c r="D411" s="15" t="s">
        <v>146</v>
      </c>
      <c r="E411" s="19" t="n">
        <v>35.60122</v>
      </c>
      <c r="F411" s="19" t="n">
        <v>44.640653</v>
      </c>
      <c r="G411" s="19" t="n">
        <v>38.763084</v>
      </c>
      <c r="H411" s="19" t="n">
        <v>74.405493</v>
      </c>
      <c r="I411" s="19" t="n">
        <v>1180.92951</v>
      </c>
      <c r="J411" s="27" t="n">
        <v>524221</v>
      </c>
      <c r="K411" s="27" t="n">
        <v>522137</v>
      </c>
      <c r="L411" s="9" t="n">
        <f aca="false">IF(AND(K411&lt;&gt;"",J411&lt;Assumptions!$B$3*K411),K411,J411)</f>
        <v>524221</v>
      </c>
      <c r="M411" s="21" t="str">
        <f aca="false">IF(L411=J411,"FERC Form 1","EIA-861")</f>
        <v>FERC Form 1</v>
      </c>
      <c r="N411" s="28" t="n">
        <f aca="false">E411+F411+G411</f>
        <v>119.004957</v>
      </c>
    </row>
    <row r="412" customFormat="false" ht="15" hidden="false" customHeight="false" outlineLevel="0" collapsed="false">
      <c r="A412" s="7" t="n">
        <v>2003</v>
      </c>
      <c r="B412" s="15" t="s">
        <v>145</v>
      </c>
      <c r="C412" s="15" t="s">
        <v>135</v>
      </c>
      <c r="D412" s="15" t="s">
        <v>146</v>
      </c>
      <c r="E412" s="19" t="n">
        <v>30.351056</v>
      </c>
      <c r="F412" s="19" t="n">
        <v>43.18222</v>
      </c>
      <c r="G412" s="19" t="n">
        <v>41.705131</v>
      </c>
      <c r="H412" s="19" t="n">
        <v>129.276174</v>
      </c>
      <c r="I412" s="19" t="n">
        <v>1306.642517</v>
      </c>
      <c r="J412" s="27" t="n">
        <v>527151</v>
      </c>
      <c r="K412" s="27" t="n">
        <v>527151</v>
      </c>
      <c r="L412" s="9" t="n">
        <f aca="false">IF(AND(K412&lt;&gt;"",J412&lt;Assumptions!$B$3*K412),K412,J412)</f>
        <v>527151</v>
      </c>
      <c r="M412" s="21" t="str">
        <f aca="false">IF(L412=J412,"FERC Form 1","EIA-861")</f>
        <v>FERC Form 1</v>
      </c>
      <c r="N412" s="28" t="n">
        <f aca="false">E412+F412+G412</f>
        <v>115.238407</v>
      </c>
    </row>
    <row r="413" customFormat="false" ht="15" hidden="false" customHeight="false" outlineLevel="0" collapsed="false">
      <c r="A413" s="7" t="n">
        <v>2004</v>
      </c>
      <c r="B413" s="15" t="s">
        <v>145</v>
      </c>
      <c r="C413" s="15" t="s">
        <v>135</v>
      </c>
      <c r="D413" s="15" t="s">
        <v>146</v>
      </c>
      <c r="E413" s="19" t="n">
        <v>26.999283</v>
      </c>
      <c r="F413" s="19" t="n">
        <v>42.786184</v>
      </c>
      <c r="G413" s="19" t="n">
        <v>44.647395</v>
      </c>
      <c r="H413" s="19" t="n">
        <v>100.776518</v>
      </c>
      <c r="I413" s="19" t="n">
        <v>1394.207802</v>
      </c>
      <c r="J413" s="27" t="n">
        <v>530060</v>
      </c>
      <c r="K413" s="27" t="n">
        <v>530060</v>
      </c>
      <c r="L413" s="9" t="n">
        <f aca="false">IF(AND(K413&lt;&gt;"",J413&lt;Assumptions!$B$3*K413),K413,J413)</f>
        <v>530060</v>
      </c>
      <c r="M413" s="21" t="str">
        <f aca="false">IF(L413=J413,"FERC Form 1","EIA-861")</f>
        <v>FERC Form 1</v>
      </c>
      <c r="N413" s="28" t="n">
        <f aca="false">E413+F413+G413</f>
        <v>114.432862</v>
      </c>
    </row>
    <row r="414" customFormat="false" ht="15" hidden="false" customHeight="false" outlineLevel="0" collapsed="false">
      <c r="A414" s="7" t="n">
        <v>2005</v>
      </c>
      <c r="B414" s="15" t="s">
        <v>145</v>
      </c>
      <c r="C414" s="15" t="s">
        <v>135</v>
      </c>
      <c r="D414" s="15" t="s">
        <v>146</v>
      </c>
      <c r="E414" s="19" t="n">
        <v>24.831815</v>
      </c>
      <c r="F414" s="19" t="n">
        <v>47.51762</v>
      </c>
      <c r="G414" s="19" t="n">
        <v>46.737695</v>
      </c>
      <c r="H414" s="19" t="n">
        <v>96.043313</v>
      </c>
      <c r="I414" s="19" t="n">
        <v>1481.246954</v>
      </c>
      <c r="J414" s="27" t="n">
        <v>535714</v>
      </c>
      <c r="K414" s="27" t="n">
        <v>535714</v>
      </c>
      <c r="L414" s="9" t="n">
        <f aca="false">IF(AND(K414&lt;&gt;"",J414&lt;Assumptions!$B$3*K414),K414,J414)</f>
        <v>535714</v>
      </c>
      <c r="M414" s="21" t="str">
        <f aca="false">IF(L414=J414,"FERC Form 1","EIA-861")</f>
        <v>FERC Form 1</v>
      </c>
      <c r="N414" s="28" t="n">
        <f aca="false">E414+F414+G414</f>
        <v>119.08713</v>
      </c>
    </row>
    <row r="415" customFormat="false" ht="15" hidden="false" customHeight="false" outlineLevel="0" collapsed="false">
      <c r="A415" s="7" t="n">
        <v>2006</v>
      </c>
      <c r="B415" s="15" t="s">
        <v>145</v>
      </c>
      <c r="C415" s="15" t="s">
        <v>135</v>
      </c>
      <c r="D415" s="15" t="s">
        <v>146</v>
      </c>
      <c r="E415" s="19" t="n">
        <v>22.020338</v>
      </c>
      <c r="F415" s="19" t="n">
        <v>52.564646</v>
      </c>
      <c r="G415" s="19" t="n">
        <v>38.930746</v>
      </c>
      <c r="H415" s="19" t="n">
        <v>94.305757</v>
      </c>
      <c r="I415" s="19" t="n">
        <v>1560.161671</v>
      </c>
      <c r="J415" s="27" t="n">
        <v>538258</v>
      </c>
      <c r="K415" s="27" t="n">
        <v>538258</v>
      </c>
      <c r="L415" s="9" t="n">
        <f aca="false">IF(AND(K415&lt;&gt;"",J415&lt;Assumptions!$B$3*K415),K415,J415)</f>
        <v>538258</v>
      </c>
      <c r="M415" s="21" t="str">
        <f aca="false">IF(L415=J415,"FERC Form 1","EIA-861")</f>
        <v>FERC Form 1</v>
      </c>
      <c r="N415" s="28" t="n">
        <f aca="false">E415+F415+G415</f>
        <v>113.51573</v>
      </c>
    </row>
    <row r="416" customFormat="false" ht="15" hidden="false" customHeight="false" outlineLevel="0" collapsed="false">
      <c r="A416" s="7" t="n">
        <v>2007</v>
      </c>
      <c r="B416" s="15" t="s">
        <v>145</v>
      </c>
      <c r="C416" s="15" t="s">
        <v>135</v>
      </c>
      <c r="D416" s="15" t="s">
        <v>146</v>
      </c>
      <c r="E416" s="19" t="n">
        <v>31.597012</v>
      </c>
      <c r="F416" s="19" t="n">
        <v>49.993173</v>
      </c>
      <c r="G416" s="19" t="n">
        <v>41.914587</v>
      </c>
      <c r="H416" s="19" t="n">
        <v>103.733014</v>
      </c>
      <c r="I416" s="19" t="n">
        <v>1617.70756</v>
      </c>
      <c r="J416" s="27" t="n">
        <v>528093</v>
      </c>
      <c r="K416" s="27" t="n">
        <v>528093</v>
      </c>
      <c r="L416" s="9" t="n">
        <f aca="false">IF(AND(K416&lt;&gt;"",J416&lt;Assumptions!$B$3*K416),K416,J416)</f>
        <v>528093</v>
      </c>
      <c r="M416" s="21" t="str">
        <f aca="false">IF(L416=J416,"FERC Form 1","EIA-861")</f>
        <v>FERC Form 1</v>
      </c>
      <c r="N416" s="28" t="n">
        <f aca="false">E416+F416+G416</f>
        <v>123.504772</v>
      </c>
    </row>
    <row r="417" customFormat="false" ht="15" hidden="false" customHeight="false" outlineLevel="0" collapsed="false">
      <c r="A417" s="7" t="n">
        <v>2008</v>
      </c>
      <c r="B417" s="15" t="s">
        <v>145</v>
      </c>
      <c r="C417" s="15" t="s">
        <v>135</v>
      </c>
      <c r="D417" s="15" t="s">
        <v>146</v>
      </c>
      <c r="E417" s="19" t="n">
        <v>27.689844</v>
      </c>
      <c r="F417" s="19" t="n">
        <v>52.193094</v>
      </c>
      <c r="G417" s="19" t="n">
        <v>45.688346</v>
      </c>
      <c r="H417" s="19" t="n">
        <v>114.729825</v>
      </c>
      <c r="I417" s="19" t="n">
        <v>1714.281774</v>
      </c>
      <c r="J417" s="27" t="n">
        <v>526600</v>
      </c>
      <c r="K417" s="27" t="n">
        <v>526600</v>
      </c>
      <c r="L417" s="9" t="n">
        <f aca="false">IF(AND(K417&lt;&gt;"",J417&lt;Assumptions!$B$3*K417),K417,J417)</f>
        <v>526600</v>
      </c>
      <c r="M417" s="21" t="str">
        <f aca="false">IF(L417=J417,"FERC Form 1","EIA-861")</f>
        <v>FERC Form 1</v>
      </c>
      <c r="N417" s="28" t="n">
        <f aca="false">E417+F417+G417</f>
        <v>125.571284</v>
      </c>
    </row>
    <row r="418" customFormat="false" ht="15" hidden="false" customHeight="false" outlineLevel="0" collapsed="false">
      <c r="A418" s="7" t="n">
        <v>2009</v>
      </c>
      <c r="B418" s="15" t="s">
        <v>145</v>
      </c>
      <c r="C418" s="15" t="s">
        <v>135</v>
      </c>
      <c r="D418" s="15" t="s">
        <v>146</v>
      </c>
      <c r="E418" s="19" t="n">
        <v>23.1003</v>
      </c>
      <c r="F418" s="19" t="n">
        <v>56.517403</v>
      </c>
      <c r="G418" s="19" t="n">
        <v>47.157103</v>
      </c>
      <c r="H418" s="19" t="n">
        <v>112.145267</v>
      </c>
      <c r="I418" s="19" t="n">
        <v>1812.225281</v>
      </c>
      <c r="J418" s="27" t="n">
        <v>526023</v>
      </c>
      <c r="K418" s="27" t="n">
        <v>526023</v>
      </c>
      <c r="L418" s="9" t="n">
        <f aca="false">IF(AND(K418&lt;&gt;"",J418&lt;Assumptions!$B$3*K418),K418,J418)</f>
        <v>526023</v>
      </c>
      <c r="M418" s="21" t="str">
        <f aca="false">IF(L418=J418,"FERC Form 1","EIA-861")</f>
        <v>FERC Form 1</v>
      </c>
      <c r="N418" s="28" t="n">
        <f aca="false">E418+F418+G418</f>
        <v>126.774806</v>
      </c>
    </row>
    <row r="419" customFormat="false" ht="15" hidden="false" customHeight="false" outlineLevel="0" collapsed="false">
      <c r="A419" s="7" t="n">
        <v>2010</v>
      </c>
      <c r="B419" s="15" t="s">
        <v>145</v>
      </c>
      <c r="C419" s="15" t="s">
        <v>135</v>
      </c>
      <c r="D419" s="15" t="s">
        <v>146</v>
      </c>
      <c r="E419" s="19" t="n">
        <v>25.781994</v>
      </c>
      <c r="F419" s="19" t="n">
        <v>63.541197</v>
      </c>
      <c r="G419" s="19" t="n">
        <v>49.955196</v>
      </c>
      <c r="H419" s="19" t="n">
        <v>128.761238</v>
      </c>
      <c r="I419" s="19" t="n">
        <v>1923.678158</v>
      </c>
      <c r="J419" s="27" t="n">
        <v>526414</v>
      </c>
      <c r="K419" s="27" t="n">
        <v>526414</v>
      </c>
      <c r="L419" s="9" t="n">
        <f aca="false">IF(AND(K419&lt;&gt;"",J419&lt;Assumptions!$B$3*K419),K419,J419)</f>
        <v>526414</v>
      </c>
      <c r="M419" s="21" t="str">
        <f aca="false">IF(L419=J419,"FERC Form 1","EIA-861")</f>
        <v>FERC Form 1</v>
      </c>
      <c r="N419" s="28" t="n">
        <f aca="false">E419+F419+G419</f>
        <v>139.278387</v>
      </c>
    </row>
    <row r="420" customFormat="false" ht="15" hidden="false" customHeight="false" outlineLevel="0" collapsed="false">
      <c r="A420" s="7" t="n">
        <v>2011</v>
      </c>
      <c r="B420" s="15" t="s">
        <v>145</v>
      </c>
      <c r="C420" s="15" t="s">
        <v>135</v>
      </c>
      <c r="D420" s="15" t="s">
        <v>146</v>
      </c>
      <c r="E420" s="19" t="n">
        <v>24.408029</v>
      </c>
      <c r="F420" s="19" t="n">
        <v>61.526169</v>
      </c>
      <c r="G420" s="19" t="n">
        <v>48.302653</v>
      </c>
      <c r="H420" s="19" t="n">
        <v>137.326799</v>
      </c>
      <c r="I420" s="19" t="n">
        <v>2044.402258</v>
      </c>
      <c r="J420" s="27" t="n">
        <v>526732</v>
      </c>
      <c r="K420" s="27" t="n">
        <v>526732</v>
      </c>
      <c r="L420" s="9" t="n">
        <f aca="false">IF(AND(K420&lt;&gt;"",J420&lt;Assumptions!$B$3*K420),K420,J420)</f>
        <v>526732</v>
      </c>
      <c r="M420" s="21" t="str">
        <f aca="false">IF(L420=J420,"FERC Form 1","EIA-861")</f>
        <v>FERC Form 1</v>
      </c>
      <c r="N420" s="28" t="n">
        <f aca="false">E420+F420+G420</f>
        <v>134.236851</v>
      </c>
    </row>
    <row r="421" customFormat="false" ht="15" hidden="false" customHeight="false" outlineLevel="0" collapsed="false">
      <c r="A421" s="7" t="n">
        <v>2012</v>
      </c>
      <c r="B421" s="15" t="s">
        <v>145</v>
      </c>
      <c r="C421" s="15" t="s">
        <v>135</v>
      </c>
      <c r="D421" s="15" t="s">
        <v>146</v>
      </c>
      <c r="E421" s="19" t="n">
        <v>27.432685</v>
      </c>
      <c r="F421" s="19" t="n">
        <v>64.924757</v>
      </c>
      <c r="G421" s="19" t="n">
        <v>51.666519</v>
      </c>
      <c r="H421" s="19" t="n">
        <v>148.103825</v>
      </c>
      <c r="I421" s="19" t="n">
        <v>2175.448308</v>
      </c>
      <c r="J421" s="27" t="n">
        <v>527348</v>
      </c>
      <c r="K421" s="27" t="n">
        <v>527348</v>
      </c>
      <c r="L421" s="9" t="n">
        <f aca="false">IF(AND(K421&lt;&gt;"",J421&lt;Assumptions!$B$3*K421),K421,J421)</f>
        <v>527348</v>
      </c>
      <c r="M421" s="21" t="str">
        <f aca="false">IF(L421=J421,"FERC Form 1","EIA-861")</f>
        <v>FERC Form 1</v>
      </c>
      <c r="N421" s="28" t="n">
        <f aca="false">E421+F421+G421</f>
        <v>144.023961</v>
      </c>
    </row>
    <row r="422" customFormat="false" ht="15" hidden="false" customHeight="false" outlineLevel="0" collapsed="false">
      <c r="A422" s="7" t="n">
        <v>2013</v>
      </c>
      <c r="B422" s="15" t="s">
        <v>145</v>
      </c>
      <c r="C422" s="15" t="s">
        <v>135</v>
      </c>
      <c r="D422" s="15" t="s">
        <v>146</v>
      </c>
      <c r="E422" s="19" t="n">
        <v>32.277331</v>
      </c>
      <c r="F422" s="19" t="n">
        <v>61.510517</v>
      </c>
      <c r="G422" s="19" t="n">
        <v>54.432175</v>
      </c>
      <c r="H422" s="19" t="n">
        <v>126.319995</v>
      </c>
      <c r="I422" s="19" t="n">
        <v>2280.72682</v>
      </c>
      <c r="J422" s="27" t="n">
        <v>528847</v>
      </c>
      <c r="K422" s="27" t="n">
        <v>528847</v>
      </c>
      <c r="L422" s="9" t="n">
        <f aca="false">IF(AND(K422&lt;&gt;"",J422&lt;Assumptions!$B$3*K422),K422,J422)</f>
        <v>528847</v>
      </c>
      <c r="M422" s="21" t="str">
        <f aca="false">IF(L422=J422,"FERC Form 1","EIA-861")</f>
        <v>FERC Form 1</v>
      </c>
      <c r="N422" s="28" t="n">
        <f aca="false">E422+F422+G422</f>
        <v>148.220023</v>
      </c>
    </row>
    <row r="423" customFormat="false" ht="15" hidden="false" customHeight="false" outlineLevel="0" collapsed="false">
      <c r="A423" s="7" t="n">
        <v>2014</v>
      </c>
      <c r="B423" s="15" t="s">
        <v>145</v>
      </c>
      <c r="C423" s="15" t="s">
        <v>135</v>
      </c>
      <c r="D423" s="15" t="s">
        <v>146</v>
      </c>
      <c r="E423" s="19" t="n">
        <v>33.406898</v>
      </c>
      <c r="F423" s="19" t="n">
        <v>65.220141</v>
      </c>
      <c r="G423" s="19" t="n">
        <v>57.74664</v>
      </c>
      <c r="H423" s="19" t="n">
        <v>182.040773</v>
      </c>
      <c r="I423" s="19" t="n">
        <v>2441.625461</v>
      </c>
      <c r="J423" s="27" t="n">
        <v>529418</v>
      </c>
      <c r="K423" s="27" t="n">
        <v>529418</v>
      </c>
      <c r="L423" s="9" t="n">
        <f aca="false">IF(AND(K423&lt;&gt;"",J423&lt;Assumptions!$B$3*K423),K423,J423)</f>
        <v>529418</v>
      </c>
      <c r="M423" s="21" t="str">
        <f aca="false">IF(L423=J423,"FERC Form 1","EIA-861")</f>
        <v>FERC Form 1</v>
      </c>
      <c r="N423" s="28" t="n">
        <f aca="false">E423+F423+G423</f>
        <v>156.373679</v>
      </c>
    </row>
    <row r="424" customFormat="false" ht="15" hidden="false" customHeight="false" outlineLevel="0" collapsed="false">
      <c r="A424" s="7" t="n">
        <v>2015</v>
      </c>
      <c r="B424" s="15" t="s">
        <v>145</v>
      </c>
      <c r="C424" s="15" t="s">
        <v>135</v>
      </c>
      <c r="D424" s="15" t="s">
        <v>146</v>
      </c>
      <c r="E424" s="19" t="n">
        <v>34.04316</v>
      </c>
      <c r="F424" s="19" t="n">
        <v>66.597038</v>
      </c>
      <c r="G424" s="19" t="n">
        <v>59.0446</v>
      </c>
      <c r="H424" s="19" t="n">
        <v>171.109951</v>
      </c>
      <c r="I424" s="19" t="n">
        <v>2417.880758</v>
      </c>
      <c r="J424" s="27" t="n">
        <v>513227</v>
      </c>
      <c r="K424" s="27" t="n">
        <v>513227</v>
      </c>
      <c r="L424" s="9" t="n">
        <f aca="false">IF(AND(K424&lt;&gt;"",J424&lt;Assumptions!$B$3*K424),K424,J424)</f>
        <v>513227</v>
      </c>
      <c r="M424" s="21" t="str">
        <f aca="false">IF(L424=J424,"FERC Form 1","EIA-861")</f>
        <v>FERC Form 1</v>
      </c>
      <c r="N424" s="28" t="n">
        <f aca="false">E424+F424+G424</f>
        <v>159.684798</v>
      </c>
    </row>
    <row r="425" customFormat="false" ht="15" hidden="false" customHeight="false" outlineLevel="0" collapsed="false">
      <c r="A425" s="7" t="n">
        <v>2016</v>
      </c>
      <c r="B425" s="15" t="s">
        <v>145</v>
      </c>
      <c r="C425" s="15" t="s">
        <v>135</v>
      </c>
      <c r="D425" s="15" t="s">
        <v>146</v>
      </c>
      <c r="E425" s="19" t="n">
        <v>29.928096</v>
      </c>
      <c r="F425" s="19" t="n">
        <v>72.597082</v>
      </c>
      <c r="G425" s="19" t="n">
        <v>59.912274</v>
      </c>
      <c r="H425" s="19" t="n">
        <v>173.458767</v>
      </c>
      <c r="I425" s="19" t="n">
        <v>2559.295379</v>
      </c>
      <c r="J425" s="27" t="n">
        <v>488259</v>
      </c>
      <c r="K425" s="27" t="n">
        <v>488260</v>
      </c>
      <c r="L425" s="9" t="n">
        <f aca="false">IF(AND(K425&lt;&gt;"",J425&lt;Assumptions!$B$3*K425),K425,J425)</f>
        <v>488259</v>
      </c>
      <c r="M425" s="21" t="str">
        <f aca="false">IF(L425=J425,"FERC Form 1","EIA-861")</f>
        <v>FERC Form 1</v>
      </c>
      <c r="N425" s="28" t="n">
        <f aca="false">E425+F425+G425</f>
        <v>162.437452</v>
      </c>
    </row>
    <row r="426" customFormat="false" ht="15" hidden="false" customHeight="false" outlineLevel="0" collapsed="false">
      <c r="A426" s="7" t="n">
        <v>2017</v>
      </c>
      <c r="B426" s="15" t="s">
        <v>145</v>
      </c>
      <c r="C426" s="15" t="s">
        <v>135</v>
      </c>
      <c r="D426" s="15" t="s">
        <v>146</v>
      </c>
      <c r="E426" s="19" t="n">
        <v>34.378741</v>
      </c>
      <c r="F426" s="19" t="n">
        <v>67.29634</v>
      </c>
      <c r="G426" s="19" t="n">
        <v>64.294431</v>
      </c>
      <c r="H426" s="19" t="n">
        <v>259.309161</v>
      </c>
      <c r="I426" s="19" t="n">
        <v>2790.855442</v>
      </c>
      <c r="J426" s="27" t="n">
        <v>489605</v>
      </c>
      <c r="K426" s="27" t="n">
        <v>489605</v>
      </c>
      <c r="L426" s="9" t="n">
        <f aca="false">IF(AND(K426&lt;&gt;"",J426&lt;Assumptions!$B$3*K426),K426,J426)</f>
        <v>489605</v>
      </c>
      <c r="M426" s="21" t="str">
        <f aca="false">IF(L426=J426,"FERC Form 1","EIA-861")</f>
        <v>FERC Form 1</v>
      </c>
      <c r="N426" s="28" t="n">
        <f aca="false">E426+F426+G426</f>
        <v>165.969512</v>
      </c>
    </row>
    <row r="427" customFormat="false" ht="15" hidden="false" customHeight="false" outlineLevel="0" collapsed="false">
      <c r="A427" s="7" t="n">
        <v>2018</v>
      </c>
      <c r="B427" s="15" t="s">
        <v>145</v>
      </c>
      <c r="C427" s="15" t="s">
        <v>135</v>
      </c>
      <c r="D427" s="15" t="s">
        <v>146</v>
      </c>
      <c r="E427" s="19" t="n">
        <v>33.813371</v>
      </c>
      <c r="F427" s="19" t="n">
        <v>63.840991</v>
      </c>
      <c r="G427" s="19" t="n">
        <v>79.617377</v>
      </c>
      <c r="H427" s="19" t="n">
        <v>260.772175</v>
      </c>
      <c r="I427" s="19" t="n">
        <v>2994.30912</v>
      </c>
      <c r="J427" s="27" t="n">
        <v>490245</v>
      </c>
      <c r="K427" s="27" t="n">
        <v>490245</v>
      </c>
      <c r="L427" s="9" t="n">
        <f aca="false">IF(AND(K427&lt;&gt;"",J427&lt;Assumptions!$B$3*K427),K427,J427)</f>
        <v>490245</v>
      </c>
      <c r="M427" s="21" t="str">
        <f aca="false">IF(L427=J427,"FERC Form 1","EIA-861")</f>
        <v>FERC Form 1</v>
      </c>
      <c r="N427" s="28" t="n">
        <f aca="false">E427+F427+G427</f>
        <v>177.271739</v>
      </c>
    </row>
    <row r="428" customFormat="false" ht="15" hidden="false" customHeight="false" outlineLevel="0" collapsed="false">
      <c r="A428" s="7" t="n">
        <v>2019</v>
      </c>
      <c r="B428" s="15" t="s">
        <v>145</v>
      </c>
      <c r="C428" s="15" t="s">
        <v>135</v>
      </c>
      <c r="D428" s="15" t="s">
        <v>146</v>
      </c>
      <c r="E428" s="19" t="n">
        <v>32.760098</v>
      </c>
      <c r="F428" s="19" t="n">
        <v>68.259267</v>
      </c>
      <c r="G428" s="19" t="n">
        <v>88.066156</v>
      </c>
      <c r="H428" s="19" t="n">
        <v>224.341207</v>
      </c>
      <c r="I428" s="19" t="n">
        <v>3162.221407</v>
      </c>
      <c r="J428" s="27" t="n">
        <v>491762</v>
      </c>
      <c r="K428" s="27" t="n">
        <v>491691</v>
      </c>
      <c r="L428" s="9" t="n">
        <f aca="false">IF(AND(K428&lt;&gt;"",J428&lt;Assumptions!$B$3*K428),K428,J428)</f>
        <v>491762</v>
      </c>
      <c r="M428" s="21" t="str">
        <f aca="false">IF(L428=J428,"FERC Form 1","EIA-861")</f>
        <v>FERC Form 1</v>
      </c>
      <c r="N428" s="28" t="n">
        <f aca="false">E428+F428+G428</f>
        <v>189.085521</v>
      </c>
    </row>
    <row r="429" customFormat="false" ht="15" hidden="false" customHeight="false" outlineLevel="0" collapsed="false">
      <c r="A429" s="7" t="n">
        <v>2020</v>
      </c>
      <c r="B429" s="15" t="s">
        <v>145</v>
      </c>
      <c r="C429" s="15" t="s">
        <v>135</v>
      </c>
      <c r="D429" s="15" t="s">
        <v>146</v>
      </c>
      <c r="E429" s="19" t="n">
        <v>29.194938</v>
      </c>
      <c r="F429" s="19" t="n">
        <v>79.157973</v>
      </c>
      <c r="G429" s="19" t="n">
        <v>92.891508</v>
      </c>
      <c r="H429" s="19" t="n">
        <v>337.35711</v>
      </c>
      <c r="I429" s="19" t="n">
        <v>3443.458312</v>
      </c>
      <c r="J429" s="27" t="n">
        <v>494770</v>
      </c>
      <c r="K429" s="27" t="n">
        <v>494552</v>
      </c>
      <c r="L429" s="9" t="n">
        <f aca="false">IF(AND(K429&lt;&gt;"",J429&lt;Assumptions!$B$3*K429),K429,J429)</f>
        <v>494770</v>
      </c>
      <c r="M429" s="21" t="str">
        <f aca="false">IF(L429=J429,"FERC Form 1","EIA-861")</f>
        <v>FERC Form 1</v>
      </c>
      <c r="N429" s="28" t="n">
        <f aca="false">E429+F429+G429</f>
        <v>201.244419</v>
      </c>
    </row>
    <row r="430" customFormat="false" ht="15" hidden="false" customHeight="false" outlineLevel="0" collapsed="false">
      <c r="A430" s="7" t="n">
        <v>2021</v>
      </c>
      <c r="B430" s="15" t="s">
        <v>145</v>
      </c>
      <c r="C430" s="15" t="s">
        <v>135</v>
      </c>
      <c r="D430" s="15" t="s">
        <v>146</v>
      </c>
      <c r="E430" s="19" t="n">
        <v>34.373076</v>
      </c>
      <c r="F430" s="19" t="n">
        <v>40.179746</v>
      </c>
      <c r="G430" s="19" t="n">
        <v>97.420862</v>
      </c>
      <c r="H430" s="19" t="n">
        <v>211.536362</v>
      </c>
      <c r="I430" s="19" t="n">
        <v>3625.406968</v>
      </c>
      <c r="J430" s="27" t="n">
        <v>496003</v>
      </c>
      <c r="K430" s="27" t="n">
        <v>497289</v>
      </c>
      <c r="L430" s="9" t="n">
        <f aca="false">IF(AND(K430&lt;&gt;"",J430&lt;Assumptions!$B$3*K430),K430,J430)</f>
        <v>496003</v>
      </c>
      <c r="M430" s="21" t="str">
        <f aca="false">IF(L430=J430,"FERC Form 1","EIA-861")</f>
        <v>FERC Form 1</v>
      </c>
      <c r="N430" s="28" t="n">
        <f aca="false">E430+F430+G430</f>
        <v>171.973684</v>
      </c>
    </row>
    <row r="431" customFormat="false" ht="15" hidden="false" customHeight="false" outlineLevel="0" collapsed="false">
      <c r="A431" s="7" t="n">
        <v>2022</v>
      </c>
      <c r="B431" s="15" t="s">
        <v>145</v>
      </c>
      <c r="C431" s="15" t="s">
        <v>135</v>
      </c>
      <c r="D431" s="15" t="s">
        <v>146</v>
      </c>
      <c r="E431" s="19" t="n">
        <v>40.310007</v>
      </c>
      <c r="F431" s="19" t="n">
        <v>39.644203</v>
      </c>
      <c r="G431" s="19" t="n">
        <v>101.581837</v>
      </c>
      <c r="H431" s="19" t="n">
        <v>248.421693</v>
      </c>
      <c r="I431" s="19" t="n">
        <v>3848.430518</v>
      </c>
      <c r="J431" s="27" t="n">
        <v>498042</v>
      </c>
      <c r="K431" s="27" t="n">
        <v>499378</v>
      </c>
      <c r="L431" s="9" t="n">
        <f aca="false">IF(AND(K431&lt;&gt;"",J431&lt;Assumptions!$B$3*K431),K431,J431)</f>
        <v>498042</v>
      </c>
      <c r="M431" s="21" t="str">
        <f aca="false">IF(L431=J431,"FERC Form 1","EIA-861")</f>
        <v>FERC Form 1</v>
      </c>
      <c r="N431" s="28" t="n">
        <f aca="false">E431+F431+G431</f>
        <v>181.536047</v>
      </c>
    </row>
    <row r="432" customFormat="false" ht="15" hidden="false" customHeight="false" outlineLevel="0" collapsed="false">
      <c r="A432" s="7" t="n">
        <v>2023</v>
      </c>
      <c r="B432" s="15" t="s">
        <v>145</v>
      </c>
      <c r="C432" s="15" t="s">
        <v>135</v>
      </c>
      <c r="D432" s="15" t="s">
        <v>146</v>
      </c>
      <c r="E432" s="19" t="n">
        <v>40.997225</v>
      </c>
      <c r="F432" s="19" t="n">
        <v>43.261688</v>
      </c>
      <c r="G432" s="19" t="n">
        <v>107.589321</v>
      </c>
      <c r="H432" s="19" t="n">
        <v>234.895064</v>
      </c>
      <c r="I432" s="19" t="n">
        <v>4065.1955</v>
      </c>
      <c r="J432" s="27" t="n">
        <v>500038</v>
      </c>
      <c r="K432" s="27" t="n">
        <v>501812</v>
      </c>
      <c r="L432" s="9" t="n">
        <f aca="false">IF(AND(K432&lt;&gt;"",J432&lt;Assumptions!$B$3*K432),K432,J432)</f>
        <v>500038</v>
      </c>
      <c r="M432" s="21" t="str">
        <f aca="false">IF(L432=J432,"FERC Form 1","EIA-861")</f>
        <v>FERC Form 1</v>
      </c>
      <c r="N432" s="28" t="n">
        <f aca="false">E432+F432+G432</f>
        <v>191.848234</v>
      </c>
    </row>
    <row r="433" customFormat="false" ht="15" hidden="false" customHeight="false" outlineLevel="0" collapsed="false">
      <c r="A433" s="7" t="n">
        <v>2024</v>
      </c>
      <c r="B433" s="15" t="s">
        <v>145</v>
      </c>
      <c r="C433" s="15" t="s">
        <v>135</v>
      </c>
      <c r="D433" s="15" t="s">
        <v>146</v>
      </c>
      <c r="E433" s="19" t="n">
        <v>50.730087</v>
      </c>
      <c r="F433" s="19" t="n">
        <v>31.340538</v>
      </c>
      <c r="G433" s="19" t="n">
        <v>126.698892</v>
      </c>
      <c r="H433" s="19" t="n">
        <v>302.781312</v>
      </c>
      <c r="I433" s="19" t="n">
        <v>4348.317935</v>
      </c>
      <c r="J433" s="27" t="n">
        <v>502520</v>
      </c>
      <c r="K433" s="27" t="n">
        <v>504146</v>
      </c>
      <c r="L433" s="9" t="n">
        <f aca="false">IF(AND(K433&lt;&gt;"",J433&lt;Assumptions!$B$3*K433),K433,J433)</f>
        <v>502520</v>
      </c>
      <c r="M433" s="21" t="str">
        <f aca="false">IF(L433=J433,"FERC Form 1","EIA-861")</f>
        <v>FERC Form 1</v>
      </c>
      <c r="N433" s="28" t="n">
        <f aca="false">E433+F433+G433</f>
        <v>208.769517</v>
      </c>
    </row>
    <row r="434" customFormat="false" ht="15" hidden="false" customHeight="false" outlineLevel="0" collapsed="false">
      <c r="A434" s="7" t="n">
        <v>2025</v>
      </c>
      <c r="B434" s="15" t="s">
        <v>145</v>
      </c>
      <c r="C434" s="15" t="s">
        <v>135</v>
      </c>
      <c r="D434" s="15" t="s">
        <v>146</v>
      </c>
      <c r="E434" s="19" t="n">
        <v>39.26638</v>
      </c>
      <c r="F434" s="19" t="n">
        <v>52.907075</v>
      </c>
      <c r="G434" s="19" t="n">
        <v>131.67865</v>
      </c>
      <c r="H434" s="19" t="n">
        <v>372.726234</v>
      </c>
      <c r="I434" s="19" t="n">
        <v>4695.861262</v>
      </c>
      <c r="J434" s="27" t="n">
        <v>503162</v>
      </c>
      <c r="K434" s="27" t="n">
        <v>506498</v>
      </c>
      <c r="L434" s="9" t="n">
        <f aca="false">IF(AND(K434&lt;&gt;"",J434&lt;Assumptions!$B$3*K434),K434,J434)</f>
        <v>503162</v>
      </c>
      <c r="M434" s="21" t="str">
        <f aca="false">IF(L434=J434,"FERC Form 1","EIA-861")</f>
        <v>FERC Form 1</v>
      </c>
      <c r="N434" s="28" t="n">
        <f aca="false">E434+F434+G434</f>
        <v>223.852105</v>
      </c>
    </row>
    <row r="435" customFormat="false" ht="15" hidden="false" customHeight="false" outlineLevel="0" collapsed="false">
      <c r="A435" s="7" t="n">
        <v>2000</v>
      </c>
      <c r="B435" s="15" t="s">
        <v>147</v>
      </c>
      <c r="C435" s="15" t="s">
        <v>135</v>
      </c>
      <c r="D435" s="15" t="s">
        <v>148</v>
      </c>
      <c r="E435" s="19" t="n">
        <v>7.862895</v>
      </c>
      <c r="F435" s="19" t="n">
        <v>10.029951</v>
      </c>
      <c r="G435" s="19" t="n">
        <v>5.489966</v>
      </c>
      <c r="H435" s="19" t="n">
        <v>10.338071</v>
      </c>
      <c r="I435" s="19" t="n">
        <v>192.405437</v>
      </c>
      <c r="J435" s="27" t="n">
        <v>126147</v>
      </c>
      <c r="K435" s="27"/>
      <c r="L435" s="9" t="n">
        <f aca="false">IF(AND(K435&lt;&gt;"",J435&lt;Assumptions!$B$3*K435),K435,J435)</f>
        <v>126147</v>
      </c>
      <c r="M435" s="21" t="str">
        <f aca="false">IF(L435=J435,"FERC Form 1","EIA-861")</f>
        <v>FERC Form 1</v>
      </c>
      <c r="N435" s="28" t="n">
        <f aca="false">E435+F435+G435</f>
        <v>23.382812</v>
      </c>
    </row>
    <row r="436" customFormat="false" ht="15" hidden="false" customHeight="false" outlineLevel="0" collapsed="false">
      <c r="A436" s="7" t="n">
        <v>2001</v>
      </c>
      <c r="B436" s="15" t="s">
        <v>147</v>
      </c>
      <c r="C436" s="15" t="s">
        <v>135</v>
      </c>
      <c r="D436" s="15" t="s">
        <v>148</v>
      </c>
      <c r="E436" s="19" t="n">
        <v>9.413533</v>
      </c>
      <c r="F436" s="19" t="n">
        <v>9.583963</v>
      </c>
      <c r="G436" s="19" t="n">
        <v>6.154907</v>
      </c>
      <c r="H436" s="19" t="n">
        <v>10.11195</v>
      </c>
      <c r="I436" s="19" t="n">
        <v>201.654757</v>
      </c>
      <c r="J436" s="27" t="n">
        <v>127445</v>
      </c>
      <c r="K436" s="27" t="n">
        <v>127445</v>
      </c>
      <c r="L436" s="9" t="n">
        <f aca="false">IF(AND(K436&lt;&gt;"",J436&lt;Assumptions!$B$3*K436),K436,J436)</f>
        <v>127445</v>
      </c>
      <c r="M436" s="21" t="str">
        <f aca="false">IF(L436=J436,"FERC Form 1","EIA-861")</f>
        <v>FERC Form 1</v>
      </c>
      <c r="N436" s="28" t="n">
        <f aca="false">E436+F436+G436</f>
        <v>25.152403</v>
      </c>
    </row>
    <row r="437" customFormat="false" ht="15" hidden="false" customHeight="false" outlineLevel="0" collapsed="false">
      <c r="A437" s="7" t="n">
        <v>2002</v>
      </c>
      <c r="B437" s="15" t="s">
        <v>147</v>
      </c>
      <c r="C437" s="15" t="s">
        <v>135</v>
      </c>
      <c r="D437" s="15" t="s">
        <v>148</v>
      </c>
      <c r="E437" s="19" t="n">
        <v>8.03168</v>
      </c>
      <c r="F437" s="19" t="n">
        <v>9.275934</v>
      </c>
      <c r="G437" s="19" t="n">
        <v>6.578154</v>
      </c>
      <c r="H437" s="19" t="n">
        <v>28.655834</v>
      </c>
      <c r="I437" s="19" t="n">
        <v>227.762513</v>
      </c>
      <c r="J437" s="27" t="n">
        <v>129529</v>
      </c>
      <c r="K437" s="27" t="n">
        <v>129529</v>
      </c>
      <c r="L437" s="9" t="n">
        <f aca="false">IF(AND(K437&lt;&gt;"",J437&lt;Assumptions!$B$3*K437),K437,J437)</f>
        <v>129529</v>
      </c>
      <c r="M437" s="21" t="str">
        <f aca="false">IF(L437=J437,"FERC Form 1","EIA-861")</f>
        <v>FERC Form 1</v>
      </c>
      <c r="N437" s="28" t="n">
        <f aca="false">E437+F437+G437</f>
        <v>23.885768</v>
      </c>
    </row>
    <row r="438" customFormat="false" ht="15" hidden="false" customHeight="false" outlineLevel="0" collapsed="false">
      <c r="A438" s="7" t="n">
        <v>2003</v>
      </c>
      <c r="B438" s="15" t="s">
        <v>147</v>
      </c>
      <c r="C438" s="15" t="s">
        <v>135</v>
      </c>
      <c r="D438" s="15" t="s">
        <v>148</v>
      </c>
      <c r="E438" s="19" t="n">
        <v>10.929516</v>
      </c>
      <c r="F438" s="19" t="n">
        <v>9.022504</v>
      </c>
      <c r="G438" s="19" t="n">
        <v>7.516184</v>
      </c>
      <c r="H438" s="19" t="n">
        <v>24.238312</v>
      </c>
      <c r="I438" s="19" t="n">
        <v>250.232457</v>
      </c>
      <c r="J438" s="27" t="n">
        <v>132246</v>
      </c>
      <c r="K438" s="27" t="n">
        <v>132246</v>
      </c>
      <c r="L438" s="9" t="n">
        <f aca="false">IF(AND(K438&lt;&gt;"",J438&lt;Assumptions!$B$3*K438),K438,J438)</f>
        <v>132246</v>
      </c>
      <c r="M438" s="21" t="str">
        <f aca="false">IF(L438=J438,"FERC Form 1","EIA-861")</f>
        <v>FERC Form 1</v>
      </c>
      <c r="N438" s="28" t="n">
        <f aca="false">E438+F438+G438</f>
        <v>27.468204</v>
      </c>
    </row>
    <row r="439" customFormat="false" ht="15" hidden="false" customHeight="false" outlineLevel="0" collapsed="false">
      <c r="A439" s="7" t="n">
        <v>2004</v>
      </c>
      <c r="B439" s="15" t="s">
        <v>147</v>
      </c>
      <c r="C439" s="15" t="s">
        <v>135</v>
      </c>
      <c r="D439" s="15" t="s">
        <v>148</v>
      </c>
      <c r="E439" s="19" t="n">
        <v>10.846094</v>
      </c>
      <c r="F439" s="19" t="n">
        <v>8.574618</v>
      </c>
      <c r="G439" s="19" t="n">
        <v>8.27354</v>
      </c>
      <c r="H439" s="19" t="n">
        <v>26.528729</v>
      </c>
      <c r="I439" s="19" t="n">
        <v>273.921163</v>
      </c>
      <c r="J439" s="27" t="n">
        <v>133690</v>
      </c>
      <c r="K439" s="27" t="n">
        <v>133690</v>
      </c>
      <c r="L439" s="9" t="n">
        <f aca="false">IF(AND(K439&lt;&gt;"",J439&lt;Assumptions!$B$3*K439),K439,J439)</f>
        <v>133690</v>
      </c>
      <c r="M439" s="21" t="str">
        <f aca="false">IF(L439=J439,"FERC Form 1","EIA-861")</f>
        <v>FERC Form 1</v>
      </c>
      <c r="N439" s="28" t="n">
        <f aca="false">E439+F439+G439</f>
        <v>27.694252</v>
      </c>
    </row>
    <row r="440" customFormat="false" ht="15" hidden="false" customHeight="false" outlineLevel="0" collapsed="false">
      <c r="A440" s="7" t="n">
        <v>2005</v>
      </c>
      <c r="B440" s="15" t="s">
        <v>147</v>
      </c>
      <c r="C440" s="15" t="s">
        <v>135</v>
      </c>
      <c r="D440" s="15" t="s">
        <v>148</v>
      </c>
      <c r="E440" s="19" t="n">
        <v>9.761996</v>
      </c>
      <c r="F440" s="19" t="n">
        <v>10.224601</v>
      </c>
      <c r="G440" s="19" t="n">
        <v>8.951833</v>
      </c>
      <c r="H440" s="19" t="n">
        <v>26.476994</v>
      </c>
      <c r="I440" s="19" t="n">
        <v>294.284872</v>
      </c>
      <c r="J440" s="27" t="n">
        <v>135100</v>
      </c>
      <c r="K440" s="27" t="n">
        <v>135100</v>
      </c>
      <c r="L440" s="9" t="n">
        <f aca="false">IF(AND(K440&lt;&gt;"",J440&lt;Assumptions!$B$3*K440),K440,J440)</f>
        <v>135100</v>
      </c>
      <c r="M440" s="21" t="str">
        <f aca="false">IF(L440=J440,"FERC Form 1","EIA-861")</f>
        <v>FERC Form 1</v>
      </c>
      <c r="N440" s="28" t="n">
        <f aca="false">E440+F440+G440</f>
        <v>28.93843</v>
      </c>
    </row>
    <row r="441" customFormat="false" ht="15" hidden="false" customHeight="false" outlineLevel="0" collapsed="false">
      <c r="A441" s="7" t="n">
        <v>2006</v>
      </c>
      <c r="B441" s="15" t="s">
        <v>147</v>
      </c>
      <c r="C441" s="15" t="s">
        <v>135</v>
      </c>
      <c r="D441" s="15" t="s">
        <v>148</v>
      </c>
      <c r="E441" s="19" t="n">
        <v>11.273293</v>
      </c>
      <c r="F441" s="19" t="n">
        <v>10.845623</v>
      </c>
      <c r="G441" s="19" t="n">
        <v>9.472274</v>
      </c>
      <c r="H441" s="19" t="n">
        <v>27.869673</v>
      </c>
      <c r="I441" s="19" t="n">
        <v>319.531383</v>
      </c>
      <c r="J441" s="27" t="n">
        <v>136657</v>
      </c>
      <c r="K441" s="27" t="n">
        <v>136660</v>
      </c>
      <c r="L441" s="9" t="n">
        <f aca="false">IF(AND(K441&lt;&gt;"",J441&lt;Assumptions!$B$3*K441),K441,J441)</f>
        <v>136657</v>
      </c>
      <c r="M441" s="21" t="str">
        <f aca="false">IF(L441=J441,"FERC Form 1","EIA-861")</f>
        <v>FERC Form 1</v>
      </c>
      <c r="N441" s="28" t="n">
        <f aca="false">E441+F441+G441</f>
        <v>31.59119</v>
      </c>
    </row>
    <row r="442" customFormat="false" ht="15" hidden="false" customHeight="false" outlineLevel="0" collapsed="false">
      <c r="A442" s="7" t="n">
        <v>2007</v>
      </c>
      <c r="B442" s="15" t="s">
        <v>147</v>
      </c>
      <c r="C442" s="15" t="s">
        <v>135</v>
      </c>
      <c r="D442" s="15" t="s">
        <v>148</v>
      </c>
      <c r="E442" s="19" t="n">
        <v>12.313681</v>
      </c>
      <c r="F442" s="19" t="n">
        <v>11.029601</v>
      </c>
      <c r="G442" s="19" t="n">
        <v>10.369346</v>
      </c>
      <c r="H442" s="19" t="n">
        <v>20.160092</v>
      </c>
      <c r="I442" s="19" t="n">
        <v>364.652739</v>
      </c>
      <c r="J442" s="27" t="n">
        <v>137561</v>
      </c>
      <c r="K442" s="27" t="n">
        <v>137561</v>
      </c>
      <c r="L442" s="9" t="n">
        <f aca="false">IF(AND(K442&lt;&gt;"",J442&lt;Assumptions!$B$3*K442),K442,J442)</f>
        <v>137561</v>
      </c>
      <c r="M442" s="21" t="str">
        <f aca="false">IF(L442=J442,"FERC Form 1","EIA-861")</f>
        <v>FERC Form 1</v>
      </c>
      <c r="N442" s="28" t="n">
        <f aca="false">E442+F442+G442</f>
        <v>33.712628</v>
      </c>
    </row>
    <row r="443" customFormat="false" ht="15" hidden="false" customHeight="false" outlineLevel="0" collapsed="false">
      <c r="A443" s="7" t="n">
        <v>2008</v>
      </c>
      <c r="B443" s="15" t="s">
        <v>147</v>
      </c>
      <c r="C443" s="15" t="s">
        <v>135</v>
      </c>
      <c r="D443" s="15" t="s">
        <v>148</v>
      </c>
      <c r="E443" s="19" t="n">
        <v>13.013741</v>
      </c>
      <c r="F443" s="19" t="n">
        <v>15.961159</v>
      </c>
      <c r="G443" s="19" t="n">
        <v>11.36576</v>
      </c>
      <c r="H443" s="19" t="n">
        <v>18.449639</v>
      </c>
      <c r="I443" s="19" t="n">
        <v>380.848212</v>
      </c>
      <c r="J443" s="27" t="n">
        <v>139449</v>
      </c>
      <c r="K443" s="27" t="n">
        <v>139449</v>
      </c>
      <c r="L443" s="9" t="n">
        <f aca="false">IF(AND(K443&lt;&gt;"",J443&lt;Assumptions!$B$3*K443),K443,J443)</f>
        <v>139449</v>
      </c>
      <c r="M443" s="21" t="str">
        <f aca="false">IF(L443=J443,"FERC Form 1","EIA-861")</f>
        <v>FERC Form 1</v>
      </c>
      <c r="N443" s="28" t="n">
        <f aca="false">E443+F443+G443</f>
        <v>40.34066</v>
      </c>
    </row>
    <row r="444" customFormat="false" ht="15" hidden="false" customHeight="false" outlineLevel="0" collapsed="false">
      <c r="A444" s="7" t="n">
        <v>2009</v>
      </c>
      <c r="B444" s="15" t="s">
        <v>147</v>
      </c>
      <c r="C444" s="15" t="s">
        <v>135</v>
      </c>
      <c r="D444" s="15" t="s">
        <v>148</v>
      </c>
      <c r="E444" s="19" t="n">
        <v>11.425606</v>
      </c>
      <c r="F444" s="19" t="n">
        <v>15.271774</v>
      </c>
      <c r="G444" s="19" t="n">
        <v>12.132775</v>
      </c>
      <c r="H444" s="19" t="n">
        <v>34.538224</v>
      </c>
      <c r="I444" s="19" t="n">
        <v>410.230108</v>
      </c>
      <c r="J444" s="27" t="n">
        <v>140054</v>
      </c>
      <c r="K444" s="27" t="n">
        <v>140054</v>
      </c>
      <c r="L444" s="9" t="n">
        <f aca="false">IF(AND(K444&lt;&gt;"",J444&lt;Assumptions!$B$3*K444),K444,J444)</f>
        <v>140054</v>
      </c>
      <c r="M444" s="21" t="str">
        <f aca="false">IF(L444=J444,"FERC Form 1","EIA-861")</f>
        <v>FERC Form 1</v>
      </c>
      <c r="N444" s="28" t="n">
        <f aca="false">E444+F444+G444</f>
        <v>38.830155</v>
      </c>
    </row>
    <row r="445" customFormat="false" ht="15" hidden="false" customHeight="false" outlineLevel="0" collapsed="false">
      <c r="A445" s="7" t="n">
        <v>2010</v>
      </c>
      <c r="B445" s="15" t="s">
        <v>147</v>
      </c>
      <c r="C445" s="15" t="s">
        <v>135</v>
      </c>
      <c r="D445" s="15" t="s">
        <v>148</v>
      </c>
      <c r="E445" s="19" t="n">
        <v>12.79945</v>
      </c>
      <c r="F445" s="19" t="n">
        <v>15.537403</v>
      </c>
      <c r="G445" s="19" t="n">
        <v>10.068751</v>
      </c>
      <c r="H445" s="19" t="n">
        <v>26.948624</v>
      </c>
      <c r="I445" s="19" t="n">
        <v>433.94047</v>
      </c>
      <c r="J445" s="27" t="n">
        <v>140700</v>
      </c>
      <c r="K445" s="27" t="n">
        <v>140700</v>
      </c>
      <c r="L445" s="9" t="n">
        <f aca="false">IF(AND(K445&lt;&gt;"",J445&lt;Assumptions!$B$3*K445),K445,J445)</f>
        <v>140700</v>
      </c>
      <c r="M445" s="21" t="str">
        <f aca="false">IF(L445=J445,"FERC Form 1","EIA-861")</f>
        <v>FERC Form 1</v>
      </c>
      <c r="N445" s="28" t="n">
        <f aca="false">E445+F445+G445</f>
        <v>38.405604</v>
      </c>
    </row>
    <row r="446" customFormat="false" ht="15" hidden="false" customHeight="false" outlineLevel="0" collapsed="false">
      <c r="A446" s="7" t="n">
        <v>2011</v>
      </c>
      <c r="B446" s="15" t="s">
        <v>147</v>
      </c>
      <c r="C446" s="15" t="s">
        <v>135</v>
      </c>
      <c r="D446" s="15" t="s">
        <v>148</v>
      </c>
      <c r="E446" s="19" t="n">
        <v>13.54048</v>
      </c>
      <c r="F446" s="19" t="n">
        <v>15.151342</v>
      </c>
      <c r="G446" s="19" t="n">
        <v>10.731302</v>
      </c>
      <c r="H446" s="19" t="n">
        <v>40.348408</v>
      </c>
      <c r="I446" s="19" t="n">
        <v>469.949381</v>
      </c>
      <c r="J446" s="27" t="n">
        <v>141414</v>
      </c>
      <c r="K446" s="27" t="n">
        <v>141414</v>
      </c>
      <c r="L446" s="9" t="n">
        <f aca="false">IF(AND(K446&lt;&gt;"",J446&lt;Assumptions!$B$3*K446),K446,J446)</f>
        <v>141414</v>
      </c>
      <c r="M446" s="21" t="str">
        <f aca="false">IF(L446=J446,"FERC Form 1","EIA-861")</f>
        <v>FERC Form 1</v>
      </c>
      <c r="N446" s="28" t="n">
        <f aca="false">E446+F446+G446</f>
        <v>39.423124</v>
      </c>
    </row>
    <row r="447" customFormat="false" ht="15" hidden="false" customHeight="false" outlineLevel="0" collapsed="false">
      <c r="A447" s="7" t="n">
        <v>2012</v>
      </c>
      <c r="B447" s="15" t="s">
        <v>147</v>
      </c>
      <c r="C447" s="15" t="s">
        <v>135</v>
      </c>
      <c r="D447" s="15" t="s">
        <v>148</v>
      </c>
      <c r="E447" s="19" t="n">
        <v>13.732901</v>
      </c>
      <c r="F447" s="19" t="n">
        <v>16.157768</v>
      </c>
      <c r="G447" s="19" t="n">
        <v>11.389552</v>
      </c>
      <c r="H447" s="19" t="n">
        <v>27.155673</v>
      </c>
      <c r="I447" s="19" t="n">
        <v>490.634521</v>
      </c>
      <c r="J447" s="27" t="n">
        <v>142342</v>
      </c>
      <c r="K447" s="27" t="n">
        <v>142342</v>
      </c>
      <c r="L447" s="9" t="n">
        <f aca="false">IF(AND(K447&lt;&gt;"",J447&lt;Assumptions!$B$3*K447),K447,J447)</f>
        <v>142342</v>
      </c>
      <c r="M447" s="21" t="str">
        <f aca="false">IF(L447=J447,"FERC Form 1","EIA-861")</f>
        <v>FERC Form 1</v>
      </c>
      <c r="N447" s="28" t="n">
        <f aca="false">E447+F447+G447</f>
        <v>41.280221</v>
      </c>
    </row>
    <row r="448" customFormat="false" ht="15" hidden="false" customHeight="false" outlineLevel="0" collapsed="false">
      <c r="A448" s="7" t="n">
        <v>2013</v>
      </c>
      <c r="B448" s="15" t="s">
        <v>147</v>
      </c>
      <c r="C448" s="15" t="s">
        <v>135</v>
      </c>
      <c r="D448" s="15" t="s">
        <v>148</v>
      </c>
      <c r="E448" s="19" t="n">
        <v>14.756237</v>
      </c>
      <c r="F448" s="19" t="n">
        <v>15.509132</v>
      </c>
      <c r="G448" s="19" t="n">
        <v>11.893896</v>
      </c>
      <c r="H448" s="19" t="n">
        <v>41.568887</v>
      </c>
      <c r="I448" s="19" t="n">
        <v>525.995877</v>
      </c>
      <c r="J448" s="27" t="n">
        <v>143360</v>
      </c>
      <c r="K448" s="27" t="n">
        <v>143360</v>
      </c>
      <c r="L448" s="9" t="n">
        <f aca="false">IF(AND(K448&lt;&gt;"",J448&lt;Assumptions!$B$3*K448),K448,J448)</f>
        <v>143360</v>
      </c>
      <c r="M448" s="21" t="str">
        <f aca="false">IF(L448=J448,"FERC Form 1","EIA-861")</f>
        <v>FERC Form 1</v>
      </c>
      <c r="N448" s="28" t="n">
        <f aca="false">E448+F448+G448</f>
        <v>42.159265</v>
      </c>
    </row>
    <row r="449" customFormat="false" ht="15" hidden="false" customHeight="false" outlineLevel="0" collapsed="false">
      <c r="A449" s="7" t="n">
        <v>2014</v>
      </c>
      <c r="B449" s="15" t="s">
        <v>147</v>
      </c>
      <c r="C449" s="15" t="s">
        <v>135</v>
      </c>
      <c r="D449" s="15" t="s">
        <v>148</v>
      </c>
      <c r="E449" s="19" t="n">
        <v>14.098925</v>
      </c>
      <c r="F449" s="19" t="n">
        <v>14.539198</v>
      </c>
      <c r="G449" s="19" t="n">
        <v>12.865445</v>
      </c>
      <c r="H449" s="19" t="n">
        <v>35.040181</v>
      </c>
      <c r="I449" s="19" t="n">
        <v>555.757535</v>
      </c>
      <c r="J449" s="27" t="n">
        <v>144646</v>
      </c>
      <c r="K449" s="27" t="n">
        <v>144646</v>
      </c>
      <c r="L449" s="9" t="n">
        <f aca="false">IF(AND(K449&lt;&gt;"",J449&lt;Assumptions!$B$3*K449),K449,J449)</f>
        <v>144646</v>
      </c>
      <c r="M449" s="21" t="str">
        <f aca="false">IF(L449=J449,"FERC Form 1","EIA-861")</f>
        <v>FERC Form 1</v>
      </c>
      <c r="N449" s="28" t="n">
        <f aca="false">E449+F449+G449</f>
        <v>41.503568</v>
      </c>
    </row>
    <row r="450" customFormat="false" ht="15" hidden="false" customHeight="false" outlineLevel="0" collapsed="false">
      <c r="A450" s="7" t="n">
        <v>2015</v>
      </c>
      <c r="B450" s="15" t="s">
        <v>147</v>
      </c>
      <c r="C450" s="15" t="s">
        <v>135</v>
      </c>
      <c r="D450" s="15" t="s">
        <v>148</v>
      </c>
      <c r="E450" s="19" t="n">
        <v>14.140666</v>
      </c>
      <c r="F450" s="19" t="n">
        <v>13.526793</v>
      </c>
      <c r="G450" s="19" t="n">
        <v>13.370329</v>
      </c>
      <c r="H450" s="19" t="n">
        <v>27.493186</v>
      </c>
      <c r="I450" s="19" t="n">
        <v>575.670143</v>
      </c>
      <c r="J450" s="27" t="n">
        <v>147726</v>
      </c>
      <c r="K450" s="27" t="n">
        <v>147726</v>
      </c>
      <c r="L450" s="9" t="n">
        <f aca="false">IF(AND(K450&lt;&gt;"",J450&lt;Assumptions!$B$3*K450),K450,J450)</f>
        <v>147726</v>
      </c>
      <c r="M450" s="21" t="str">
        <f aca="false">IF(L450=J450,"FERC Form 1","EIA-861")</f>
        <v>FERC Form 1</v>
      </c>
      <c r="N450" s="28" t="n">
        <f aca="false">E450+F450+G450</f>
        <v>41.037788</v>
      </c>
    </row>
    <row r="451" customFormat="false" ht="15" hidden="false" customHeight="false" outlineLevel="0" collapsed="false">
      <c r="A451" s="7" t="n">
        <v>2016</v>
      </c>
      <c r="B451" s="15" t="s">
        <v>147</v>
      </c>
      <c r="C451" s="15" t="s">
        <v>135</v>
      </c>
      <c r="D451" s="15" t="s">
        <v>148</v>
      </c>
      <c r="E451" s="19" t="n">
        <v>14.644057</v>
      </c>
      <c r="F451" s="19" t="n">
        <v>14.4867</v>
      </c>
      <c r="G451" s="19" t="n">
        <v>13.389516</v>
      </c>
      <c r="H451" s="19" t="n">
        <v>35.044235</v>
      </c>
      <c r="I451" s="19" t="n">
        <v>602.57234</v>
      </c>
      <c r="J451" s="27" t="n">
        <v>150491</v>
      </c>
      <c r="K451" s="27" t="n">
        <v>150491</v>
      </c>
      <c r="L451" s="9" t="n">
        <f aca="false">IF(AND(K451&lt;&gt;"",J451&lt;Assumptions!$B$3*K451),K451,J451)</f>
        <v>150491</v>
      </c>
      <c r="M451" s="21" t="str">
        <f aca="false">IF(L451=J451,"FERC Form 1","EIA-861")</f>
        <v>FERC Form 1</v>
      </c>
      <c r="N451" s="28" t="n">
        <f aca="false">E451+F451+G451</f>
        <v>42.520273</v>
      </c>
    </row>
    <row r="452" customFormat="false" ht="15" hidden="false" customHeight="false" outlineLevel="0" collapsed="false">
      <c r="A452" s="7" t="n">
        <v>2017</v>
      </c>
      <c r="B452" s="15" t="s">
        <v>147</v>
      </c>
      <c r="C452" s="15" t="s">
        <v>135</v>
      </c>
      <c r="D452" s="15" t="s">
        <v>148</v>
      </c>
      <c r="E452" s="19" t="n">
        <v>14.295255</v>
      </c>
      <c r="F452" s="19" t="n">
        <v>16.524949</v>
      </c>
      <c r="G452" s="19" t="n">
        <v>13.968499</v>
      </c>
      <c r="H452" s="19" t="n">
        <v>37.799701</v>
      </c>
      <c r="I452" s="19" t="n">
        <v>630.378153</v>
      </c>
      <c r="J452" s="27" t="n">
        <v>152601</v>
      </c>
      <c r="K452" s="27" t="n">
        <v>152601</v>
      </c>
      <c r="L452" s="9" t="n">
        <f aca="false">IF(AND(K452&lt;&gt;"",J452&lt;Assumptions!$B$3*K452),K452,J452)</f>
        <v>152601</v>
      </c>
      <c r="M452" s="21" t="str">
        <f aca="false">IF(L452=J452,"FERC Form 1","EIA-861")</f>
        <v>FERC Form 1</v>
      </c>
      <c r="N452" s="28" t="n">
        <f aca="false">E452+F452+G452</f>
        <v>44.788703</v>
      </c>
    </row>
    <row r="453" customFormat="false" ht="15" hidden="false" customHeight="false" outlineLevel="0" collapsed="false">
      <c r="A453" s="7" t="n">
        <v>2018</v>
      </c>
      <c r="B453" s="15" t="s">
        <v>147</v>
      </c>
      <c r="C453" s="15" t="s">
        <v>135</v>
      </c>
      <c r="D453" s="15" t="s">
        <v>148</v>
      </c>
      <c r="E453" s="19" t="n">
        <v>14.676962</v>
      </c>
      <c r="F453" s="19" t="n">
        <v>15.819373</v>
      </c>
      <c r="G453" s="19" t="n">
        <v>14.270334</v>
      </c>
      <c r="H453" s="19" t="n">
        <v>38.833199</v>
      </c>
      <c r="I453" s="19" t="n">
        <v>664.676253</v>
      </c>
      <c r="J453" s="27" t="n">
        <v>154488</v>
      </c>
      <c r="K453" s="27" t="n">
        <v>154488</v>
      </c>
      <c r="L453" s="9" t="n">
        <f aca="false">IF(AND(K453&lt;&gt;"",J453&lt;Assumptions!$B$3*K453),K453,J453)</f>
        <v>154488</v>
      </c>
      <c r="M453" s="21" t="str">
        <f aca="false">IF(L453=J453,"FERC Form 1","EIA-861")</f>
        <v>FERC Form 1</v>
      </c>
      <c r="N453" s="28" t="n">
        <f aca="false">E453+F453+G453</f>
        <v>44.766669</v>
      </c>
    </row>
    <row r="454" customFormat="false" ht="15" hidden="false" customHeight="false" outlineLevel="0" collapsed="false">
      <c r="A454" s="7" t="n">
        <v>2019</v>
      </c>
      <c r="B454" s="15" t="s">
        <v>147</v>
      </c>
      <c r="C454" s="15" t="s">
        <v>135</v>
      </c>
      <c r="D454" s="15" t="s">
        <v>148</v>
      </c>
      <c r="E454" s="19" t="n">
        <v>16.181091</v>
      </c>
      <c r="F454" s="19" t="n">
        <v>17.132122</v>
      </c>
      <c r="G454" s="19" t="n">
        <v>15.035522</v>
      </c>
      <c r="H454" s="19" t="n">
        <v>42.368903</v>
      </c>
      <c r="I454" s="19" t="n">
        <v>693.792327</v>
      </c>
      <c r="J454" s="27" t="n">
        <v>156833</v>
      </c>
      <c r="K454" s="27" t="n">
        <v>156833</v>
      </c>
      <c r="L454" s="9" t="n">
        <f aca="false">IF(AND(K454&lt;&gt;"",J454&lt;Assumptions!$B$3*K454),K454,J454)</f>
        <v>156833</v>
      </c>
      <c r="M454" s="21" t="str">
        <f aca="false">IF(L454=J454,"FERC Form 1","EIA-861")</f>
        <v>FERC Form 1</v>
      </c>
      <c r="N454" s="28" t="n">
        <f aca="false">E454+F454+G454</f>
        <v>48.348735</v>
      </c>
    </row>
    <row r="455" customFormat="false" ht="15" hidden="false" customHeight="false" outlineLevel="0" collapsed="false">
      <c r="A455" s="7" t="n">
        <v>2020</v>
      </c>
      <c r="B455" s="15" t="s">
        <v>147</v>
      </c>
      <c r="C455" s="15" t="s">
        <v>135</v>
      </c>
      <c r="D455" s="15" t="s">
        <v>148</v>
      </c>
      <c r="E455" s="19" t="n">
        <v>16.075222</v>
      </c>
      <c r="F455" s="19" t="n">
        <v>16.711395</v>
      </c>
      <c r="G455" s="19" t="n">
        <v>15.720039</v>
      </c>
      <c r="H455" s="19" t="n">
        <v>34.074689</v>
      </c>
      <c r="I455" s="19" t="n">
        <v>720.989255</v>
      </c>
      <c r="J455" s="27" t="n">
        <v>159249</v>
      </c>
      <c r="K455" s="27" t="n">
        <v>159249</v>
      </c>
      <c r="L455" s="9" t="n">
        <f aca="false">IF(AND(K455&lt;&gt;"",J455&lt;Assumptions!$B$3*K455),K455,J455)</f>
        <v>159249</v>
      </c>
      <c r="M455" s="21" t="str">
        <f aca="false">IF(L455=J455,"FERC Form 1","EIA-861")</f>
        <v>FERC Form 1</v>
      </c>
      <c r="N455" s="28" t="n">
        <f aca="false">E455+F455+G455</f>
        <v>48.506656</v>
      </c>
    </row>
    <row r="456" customFormat="false" ht="15" hidden="false" customHeight="false" outlineLevel="0" collapsed="false">
      <c r="A456" s="7" t="n">
        <v>2021</v>
      </c>
      <c r="B456" s="15" t="s">
        <v>147</v>
      </c>
      <c r="C456" s="15" t="s">
        <v>135</v>
      </c>
      <c r="D456" s="15" t="s">
        <v>148</v>
      </c>
      <c r="E456" s="19" t="n">
        <v>15.028218</v>
      </c>
      <c r="F456" s="19" t="n">
        <v>18.406111</v>
      </c>
      <c r="G456" s="19" t="n">
        <v>16.467031</v>
      </c>
      <c r="H456" s="19" t="n">
        <v>40.16379</v>
      </c>
      <c r="I456" s="19" t="n">
        <v>754.845219</v>
      </c>
      <c r="J456" s="27" t="n">
        <v>160976</v>
      </c>
      <c r="K456" s="27" t="n">
        <v>160976</v>
      </c>
      <c r="L456" s="9" t="n">
        <f aca="false">IF(AND(K456&lt;&gt;"",J456&lt;Assumptions!$B$3*K456),K456,J456)</f>
        <v>160976</v>
      </c>
      <c r="M456" s="21" t="str">
        <f aca="false">IF(L456=J456,"FERC Form 1","EIA-861")</f>
        <v>FERC Form 1</v>
      </c>
      <c r="N456" s="28" t="n">
        <f aca="false">E456+F456+G456</f>
        <v>49.90136</v>
      </c>
    </row>
    <row r="457" customFormat="false" ht="15" hidden="false" customHeight="false" outlineLevel="0" collapsed="false">
      <c r="A457" s="7" t="n">
        <v>2022</v>
      </c>
      <c r="B457" s="15" t="s">
        <v>147</v>
      </c>
      <c r="C457" s="15" t="s">
        <v>135</v>
      </c>
      <c r="D457" s="15" t="s">
        <v>148</v>
      </c>
      <c r="E457" s="19" t="n">
        <v>15.671953</v>
      </c>
      <c r="F457" s="19" t="n">
        <v>19.370415</v>
      </c>
      <c r="G457" s="19" t="n">
        <v>17.19472</v>
      </c>
      <c r="H457" s="19" t="n">
        <v>39.466244</v>
      </c>
      <c r="I457" s="19" t="n">
        <v>787.599278</v>
      </c>
      <c r="J457" s="27" t="n">
        <v>162616</v>
      </c>
      <c r="K457" s="27" t="n">
        <v>163413</v>
      </c>
      <c r="L457" s="9" t="n">
        <f aca="false">IF(AND(K457&lt;&gt;"",J457&lt;Assumptions!$B$3*K457),K457,J457)</f>
        <v>162616</v>
      </c>
      <c r="M457" s="21" t="str">
        <f aca="false">IF(L457=J457,"FERC Form 1","EIA-861")</f>
        <v>FERC Form 1</v>
      </c>
      <c r="N457" s="28" t="n">
        <f aca="false">E457+F457+G457</f>
        <v>52.237088</v>
      </c>
    </row>
    <row r="458" customFormat="false" ht="15" hidden="false" customHeight="false" outlineLevel="0" collapsed="false">
      <c r="A458" s="7" t="n">
        <v>2023</v>
      </c>
      <c r="B458" s="15" t="s">
        <v>147</v>
      </c>
      <c r="C458" s="15" t="s">
        <v>135</v>
      </c>
      <c r="D458" s="15" t="s">
        <v>148</v>
      </c>
      <c r="E458" s="19" t="n">
        <v>16.381407</v>
      </c>
      <c r="F458" s="19" t="n">
        <v>18.820777</v>
      </c>
      <c r="G458" s="19" t="n">
        <v>18.261338</v>
      </c>
      <c r="H458" s="19" t="n">
        <v>43.960734</v>
      </c>
      <c r="I458" s="19" t="n">
        <v>826.290534</v>
      </c>
      <c r="J458" s="27" t="n">
        <v>163278</v>
      </c>
      <c r="K458" s="27" t="n">
        <v>162729</v>
      </c>
      <c r="L458" s="9" t="n">
        <f aca="false">IF(AND(K458&lt;&gt;"",J458&lt;Assumptions!$B$3*K458),K458,J458)</f>
        <v>163278</v>
      </c>
      <c r="M458" s="21" t="str">
        <f aca="false">IF(L458=J458,"FERC Form 1","EIA-861")</f>
        <v>FERC Form 1</v>
      </c>
      <c r="N458" s="28" t="n">
        <f aca="false">E458+F458+G458</f>
        <v>53.463522</v>
      </c>
    </row>
    <row r="459" customFormat="false" ht="15" hidden="false" customHeight="false" outlineLevel="0" collapsed="false">
      <c r="A459" s="7" t="n">
        <v>2024</v>
      </c>
      <c r="B459" s="15" t="s">
        <v>147</v>
      </c>
      <c r="C459" s="15" t="s">
        <v>135</v>
      </c>
      <c r="D459" s="15" t="s">
        <v>148</v>
      </c>
      <c r="E459" s="19" t="n">
        <v>17.457396</v>
      </c>
      <c r="F459" s="19" t="n">
        <v>24.12788</v>
      </c>
      <c r="G459" s="19" t="n">
        <v>19.973615</v>
      </c>
      <c r="H459" s="19" t="n">
        <v>68.720989</v>
      </c>
      <c r="I459" s="19" t="n">
        <v>894.98459</v>
      </c>
      <c r="J459" s="27" t="n">
        <v>166128</v>
      </c>
      <c r="K459" s="27" t="n">
        <v>168932</v>
      </c>
      <c r="L459" s="9" t="n">
        <f aca="false">IF(AND(K459&lt;&gt;"",J459&lt;Assumptions!$B$3*K459),K459,J459)</f>
        <v>166128</v>
      </c>
      <c r="M459" s="21" t="str">
        <f aca="false">IF(L459=J459,"FERC Form 1","EIA-861")</f>
        <v>FERC Form 1</v>
      </c>
      <c r="N459" s="28" t="n">
        <f aca="false">E459+F459+G459</f>
        <v>61.558891</v>
      </c>
    </row>
    <row r="460" customFormat="false" ht="15" hidden="false" customHeight="false" outlineLevel="0" collapsed="false">
      <c r="A460" s="7" t="n">
        <v>2025</v>
      </c>
      <c r="B460" s="15" t="s">
        <v>147</v>
      </c>
      <c r="C460" s="15" t="s">
        <v>135</v>
      </c>
      <c r="D460" s="15" t="s">
        <v>148</v>
      </c>
      <c r="E460" s="19" t="n">
        <v>16.514224</v>
      </c>
      <c r="F460" s="19" t="n">
        <v>24.915075</v>
      </c>
      <c r="G460" s="19" t="n">
        <v>21.277524</v>
      </c>
      <c r="H460" s="19" t="n">
        <v>66.3924</v>
      </c>
      <c r="I460" s="19" t="n">
        <v>956.190939</v>
      </c>
      <c r="J460" s="27" t="n">
        <v>168991</v>
      </c>
      <c r="K460" s="27" t="n">
        <v>168439</v>
      </c>
      <c r="L460" s="9" t="n">
        <f aca="false">IF(AND(K460&lt;&gt;"",J460&lt;Assumptions!$B$3*K460),K460,J460)</f>
        <v>168991</v>
      </c>
      <c r="M460" s="21" t="str">
        <f aca="false">IF(L460=J460,"FERC Form 1","EIA-861")</f>
        <v>FERC Form 1</v>
      </c>
      <c r="N460" s="28" t="n">
        <f aca="false">E460+F460+G460</f>
        <v>62.706823</v>
      </c>
    </row>
    <row r="461" customFormat="false" ht="15" hidden="false" customHeight="false" outlineLevel="0" collapsed="false">
      <c r="A461" s="7" t="n">
        <v>2000</v>
      </c>
      <c r="B461" s="15" t="s">
        <v>149</v>
      </c>
      <c r="C461" s="15" t="s">
        <v>135</v>
      </c>
      <c r="D461" s="15" t="s">
        <v>146</v>
      </c>
      <c r="E461" s="19" t="n">
        <v>59.844972</v>
      </c>
      <c r="F461" s="19" t="n">
        <v>58.504041</v>
      </c>
      <c r="G461" s="19" t="n">
        <v>49.221216</v>
      </c>
      <c r="H461" s="19" t="n">
        <v>69.052292</v>
      </c>
      <c r="I461" s="19" t="n">
        <v>1508.194218</v>
      </c>
      <c r="J461" s="27" t="n">
        <v>665727</v>
      </c>
      <c r="K461" s="27"/>
      <c r="L461" s="9" t="n">
        <f aca="false">IF(AND(K461&lt;&gt;"",J461&lt;Assumptions!$B$3*K461),K461,J461)</f>
        <v>665727</v>
      </c>
      <c r="M461" s="21" t="str">
        <f aca="false">IF(L461=J461,"FERC Form 1","EIA-861")</f>
        <v>FERC Form 1</v>
      </c>
      <c r="N461" s="28" t="n">
        <f aca="false">E461+F461+G461</f>
        <v>167.570229</v>
      </c>
    </row>
    <row r="462" customFormat="false" ht="15" hidden="false" customHeight="false" outlineLevel="0" collapsed="false">
      <c r="A462" s="7" t="n">
        <v>2001</v>
      </c>
      <c r="B462" s="15" t="s">
        <v>149</v>
      </c>
      <c r="C462" s="15" t="s">
        <v>135</v>
      </c>
      <c r="D462" s="15" t="s">
        <v>146</v>
      </c>
      <c r="E462" s="19" t="n">
        <v>69.785249</v>
      </c>
      <c r="F462" s="19" t="n">
        <v>60.348371</v>
      </c>
      <c r="G462" s="19" t="n">
        <v>45.081993</v>
      </c>
      <c r="H462" s="19" t="n">
        <v>95.282104</v>
      </c>
      <c r="I462" s="19" t="n">
        <v>1594.617098</v>
      </c>
      <c r="J462" s="27" t="n">
        <v>669972</v>
      </c>
      <c r="K462" s="27" t="n">
        <v>669972</v>
      </c>
      <c r="L462" s="9" t="n">
        <f aca="false">IF(AND(K462&lt;&gt;"",J462&lt;Assumptions!$B$3*K462),K462,J462)</f>
        <v>669972</v>
      </c>
      <c r="M462" s="21" t="str">
        <f aca="false">IF(L462=J462,"FERC Form 1","EIA-861")</f>
        <v>FERC Form 1</v>
      </c>
      <c r="N462" s="28" t="n">
        <f aca="false">E462+F462+G462</f>
        <v>175.215613</v>
      </c>
    </row>
    <row r="463" customFormat="false" ht="15" hidden="false" customHeight="false" outlineLevel="0" collapsed="false">
      <c r="A463" s="7" t="n">
        <v>2002</v>
      </c>
      <c r="B463" s="15" t="s">
        <v>149</v>
      </c>
      <c r="C463" s="15" t="s">
        <v>135</v>
      </c>
      <c r="D463" s="15" t="s">
        <v>146</v>
      </c>
      <c r="E463" s="19" t="n">
        <v>63.986897</v>
      </c>
      <c r="F463" s="19" t="n">
        <v>45.164602</v>
      </c>
      <c r="G463" s="19" t="n">
        <v>47.475981</v>
      </c>
      <c r="H463" s="19" t="n">
        <v>87.527555</v>
      </c>
      <c r="I463" s="19" t="n">
        <v>1674.562094</v>
      </c>
      <c r="J463" s="27" t="n">
        <v>676669</v>
      </c>
      <c r="K463" s="27" t="n">
        <v>676669</v>
      </c>
      <c r="L463" s="9" t="n">
        <f aca="false">IF(AND(K463&lt;&gt;"",J463&lt;Assumptions!$B$3*K463),K463,J463)</f>
        <v>676669</v>
      </c>
      <c r="M463" s="21" t="str">
        <f aca="false">IF(L463=J463,"FERC Form 1","EIA-861")</f>
        <v>FERC Form 1</v>
      </c>
      <c r="N463" s="28" t="n">
        <f aca="false">E463+F463+G463</f>
        <v>156.62748</v>
      </c>
    </row>
    <row r="464" customFormat="false" ht="15" hidden="false" customHeight="false" outlineLevel="0" collapsed="false">
      <c r="A464" s="7" t="n">
        <v>2003</v>
      </c>
      <c r="B464" s="15" t="s">
        <v>149</v>
      </c>
      <c r="C464" s="15" t="s">
        <v>135</v>
      </c>
      <c r="D464" s="15" t="s">
        <v>146</v>
      </c>
      <c r="E464" s="19" t="n">
        <v>67.609379</v>
      </c>
      <c r="F464" s="19" t="n">
        <v>45.234368</v>
      </c>
      <c r="G464" s="19" t="n">
        <v>49.288486</v>
      </c>
      <c r="H464" s="19" t="n">
        <v>75.867459</v>
      </c>
      <c r="I464" s="19" t="n">
        <v>1732.467087</v>
      </c>
      <c r="J464" s="27" t="n">
        <v>684048</v>
      </c>
      <c r="K464" s="27" t="n">
        <v>684048</v>
      </c>
      <c r="L464" s="9" t="n">
        <f aca="false">IF(AND(K464&lt;&gt;"",J464&lt;Assumptions!$B$3*K464),K464,J464)</f>
        <v>684048</v>
      </c>
      <c r="M464" s="21" t="str">
        <f aca="false">IF(L464=J464,"FERC Form 1","EIA-861")</f>
        <v>FERC Form 1</v>
      </c>
      <c r="N464" s="28" t="n">
        <f aca="false">E464+F464+G464</f>
        <v>162.132233</v>
      </c>
    </row>
    <row r="465" customFormat="false" ht="15" hidden="false" customHeight="false" outlineLevel="0" collapsed="false">
      <c r="A465" s="7" t="n">
        <v>2004</v>
      </c>
      <c r="B465" s="15" t="s">
        <v>149</v>
      </c>
      <c r="C465" s="15" t="s">
        <v>135</v>
      </c>
      <c r="D465" s="15" t="s">
        <v>146</v>
      </c>
      <c r="E465" s="19" t="n">
        <v>74.116741</v>
      </c>
      <c r="F465" s="19" t="n">
        <v>48.582789</v>
      </c>
      <c r="G465" s="19" t="n">
        <v>51.683654</v>
      </c>
      <c r="H465" s="19" t="n">
        <v>106.130234</v>
      </c>
      <c r="I465" s="19" t="n">
        <v>1835.116229</v>
      </c>
      <c r="J465" s="27" t="n">
        <v>691916</v>
      </c>
      <c r="K465" s="27" t="n">
        <v>691916</v>
      </c>
      <c r="L465" s="9" t="n">
        <f aca="false">IF(AND(K465&lt;&gt;"",J465&lt;Assumptions!$B$3*K465),K465,J465)</f>
        <v>691916</v>
      </c>
      <c r="M465" s="21" t="str">
        <f aca="false">IF(L465=J465,"FERC Form 1","EIA-861")</f>
        <v>FERC Form 1</v>
      </c>
      <c r="N465" s="28" t="n">
        <f aca="false">E465+F465+G465</f>
        <v>174.383184</v>
      </c>
    </row>
    <row r="466" customFormat="false" ht="15" hidden="false" customHeight="false" outlineLevel="0" collapsed="false">
      <c r="A466" s="7" t="n">
        <v>2005</v>
      </c>
      <c r="B466" s="15" t="s">
        <v>149</v>
      </c>
      <c r="C466" s="15" t="s">
        <v>135</v>
      </c>
      <c r="D466" s="15" t="s">
        <v>146</v>
      </c>
      <c r="E466" s="19" t="n">
        <v>81.253431</v>
      </c>
      <c r="F466" s="19" t="n">
        <v>56.196106</v>
      </c>
      <c r="G466" s="19" t="n">
        <v>54.57659</v>
      </c>
      <c r="H466" s="19" t="n">
        <v>114.467065</v>
      </c>
      <c r="I466" s="19" t="n">
        <v>1933.979903</v>
      </c>
      <c r="J466" s="27" t="n">
        <v>701054</v>
      </c>
      <c r="K466" s="27" t="n">
        <v>701054</v>
      </c>
      <c r="L466" s="9" t="n">
        <f aca="false">IF(AND(K466&lt;&gt;"",J466&lt;Assumptions!$B$3*K466),K466,J466)</f>
        <v>701054</v>
      </c>
      <c r="M466" s="21" t="str">
        <f aca="false">IF(L466=J466,"FERC Form 1","EIA-861")</f>
        <v>FERC Form 1</v>
      </c>
      <c r="N466" s="28" t="n">
        <f aca="false">E466+F466+G466</f>
        <v>192.026127</v>
      </c>
    </row>
    <row r="467" customFormat="false" ht="15" hidden="false" customHeight="false" outlineLevel="0" collapsed="false">
      <c r="A467" s="7" t="n">
        <v>2006</v>
      </c>
      <c r="B467" s="15" t="s">
        <v>149</v>
      </c>
      <c r="C467" s="15" t="s">
        <v>135</v>
      </c>
      <c r="D467" s="15" t="s">
        <v>146</v>
      </c>
      <c r="E467" s="19" t="n">
        <v>83.559122</v>
      </c>
      <c r="F467" s="19" t="n">
        <v>62.114098</v>
      </c>
      <c r="G467" s="19" t="n">
        <v>56.485099</v>
      </c>
      <c r="H467" s="19" t="n">
        <v>100.884303</v>
      </c>
      <c r="I467" s="19" t="n">
        <v>2021.764742</v>
      </c>
      <c r="J467" s="27" t="n">
        <v>709861</v>
      </c>
      <c r="K467" s="27" t="n">
        <v>709861</v>
      </c>
      <c r="L467" s="9" t="n">
        <f aca="false">IF(AND(K467&lt;&gt;"",J467&lt;Assumptions!$B$3*K467),K467,J467)</f>
        <v>709861</v>
      </c>
      <c r="M467" s="21" t="str">
        <f aca="false">IF(L467=J467,"FERC Form 1","EIA-861")</f>
        <v>FERC Form 1</v>
      </c>
      <c r="N467" s="28" t="n">
        <f aca="false">E467+F467+G467</f>
        <v>202.158319</v>
      </c>
    </row>
    <row r="468" customFormat="false" ht="15" hidden="false" customHeight="false" outlineLevel="0" collapsed="false">
      <c r="A468" s="7" t="n">
        <v>2007</v>
      </c>
      <c r="B468" s="15" t="s">
        <v>149</v>
      </c>
      <c r="C468" s="15" t="s">
        <v>135</v>
      </c>
      <c r="D468" s="15" t="s">
        <v>146</v>
      </c>
      <c r="E468" s="19" t="n">
        <v>106.797941</v>
      </c>
      <c r="F468" s="19" t="n">
        <v>63.938025</v>
      </c>
      <c r="G468" s="19" t="n">
        <v>52.973269</v>
      </c>
      <c r="H468" s="19" t="n">
        <v>151.42702</v>
      </c>
      <c r="I468" s="19" t="n">
        <v>2160.730388</v>
      </c>
      <c r="J468" s="27" t="n">
        <v>716315</v>
      </c>
      <c r="K468" s="27" t="n">
        <v>716228</v>
      </c>
      <c r="L468" s="9" t="n">
        <f aca="false">IF(AND(K468&lt;&gt;"",J468&lt;Assumptions!$B$3*K468),K468,J468)</f>
        <v>716315</v>
      </c>
      <c r="M468" s="21" t="str">
        <f aca="false">IF(L468=J468,"FERC Form 1","EIA-861")</f>
        <v>FERC Form 1</v>
      </c>
      <c r="N468" s="28" t="n">
        <f aca="false">E468+F468+G468</f>
        <v>223.709235</v>
      </c>
    </row>
    <row r="469" customFormat="false" ht="15" hidden="false" customHeight="false" outlineLevel="0" collapsed="false">
      <c r="A469" s="7" t="n">
        <v>2008</v>
      </c>
      <c r="B469" s="15" t="s">
        <v>149</v>
      </c>
      <c r="C469" s="15" t="s">
        <v>135</v>
      </c>
      <c r="D469" s="15" t="s">
        <v>146</v>
      </c>
      <c r="E469" s="19" t="n">
        <v>111.862749</v>
      </c>
      <c r="F469" s="19" t="n">
        <v>64.600955</v>
      </c>
      <c r="G469" s="19" t="n">
        <v>56.682451</v>
      </c>
      <c r="H469" s="19" t="n">
        <v>151.103492</v>
      </c>
      <c r="I469" s="19" t="n">
        <v>2290.1034</v>
      </c>
      <c r="J469" s="27" t="n">
        <v>720661</v>
      </c>
      <c r="K469" s="27" t="n">
        <v>720573</v>
      </c>
      <c r="L469" s="9" t="n">
        <f aca="false">IF(AND(K469&lt;&gt;"",J469&lt;Assumptions!$B$3*K469),K469,J469)</f>
        <v>720661</v>
      </c>
      <c r="M469" s="21" t="str">
        <f aca="false">IF(L469=J469,"FERC Form 1","EIA-861")</f>
        <v>FERC Form 1</v>
      </c>
      <c r="N469" s="28" t="n">
        <f aca="false">E469+F469+G469</f>
        <v>233.146155</v>
      </c>
    </row>
    <row r="470" customFormat="false" ht="15" hidden="false" customHeight="false" outlineLevel="0" collapsed="false">
      <c r="A470" s="7" t="n">
        <v>2009</v>
      </c>
      <c r="B470" s="15" t="s">
        <v>149</v>
      </c>
      <c r="C470" s="15" t="s">
        <v>135</v>
      </c>
      <c r="D470" s="15" t="s">
        <v>146</v>
      </c>
      <c r="E470" s="19" t="n">
        <v>88.142321</v>
      </c>
      <c r="F470" s="19" t="n">
        <v>69.528939</v>
      </c>
      <c r="G470" s="19" t="n">
        <v>60.005282</v>
      </c>
      <c r="H470" s="19" t="n">
        <v>97.073663</v>
      </c>
      <c r="I470" s="19" t="n">
        <v>2336.589763</v>
      </c>
      <c r="J470" s="27" t="n">
        <v>723271</v>
      </c>
      <c r="K470" s="27" t="n">
        <v>725068</v>
      </c>
      <c r="L470" s="9" t="n">
        <f aca="false">IF(AND(K470&lt;&gt;"",J470&lt;Assumptions!$B$3*K470),K470,J470)</f>
        <v>723271</v>
      </c>
      <c r="M470" s="21" t="str">
        <f aca="false">IF(L470=J470,"FERC Form 1","EIA-861")</f>
        <v>FERC Form 1</v>
      </c>
      <c r="N470" s="28" t="n">
        <f aca="false">E470+F470+G470</f>
        <v>217.676542</v>
      </c>
    </row>
    <row r="471" customFormat="false" ht="15" hidden="false" customHeight="false" outlineLevel="0" collapsed="false">
      <c r="A471" s="7" t="n">
        <v>2010</v>
      </c>
      <c r="B471" s="15" t="s">
        <v>149</v>
      </c>
      <c r="C471" s="15" t="s">
        <v>135</v>
      </c>
      <c r="D471" s="15" t="s">
        <v>146</v>
      </c>
      <c r="E471" s="19" t="n">
        <v>102.6114</v>
      </c>
      <c r="F471" s="19" t="n">
        <v>75.064965</v>
      </c>
      <c r="G471" s="19" t="n">
        <v>60.358928</v>
      </c>
      <c r="H471" s="19" t="n">
        <v>122.157327</v>
      </c>
      <c r="I471" s="19" t="n">
        <v>2339.925144</v>
      </c>
      <c r="J471" s="27" t="n">
        <v>726714</v>
      </c>
      <c r="K471" s="27" t="n">
        <v>730523</v>
      </c>
      <c r="L471" s="9" t="n">
        <f aca="false">IF(AND(K471&lt;&gt;"",J471&lt;Assumptions!$B$3*K471),K471,J471)</f>
        <v>726714</v>
      </c>
      <c r="M471" s="21" t="str">
        <f aca="false">IF(L471=J471,"FERC Form 1","EIA-861")</f>
        <v>FERC Form 1</v>
      </c>
      <c r="N471" s="28" t="n">
        <f aca="false">E471+F471+G471</f>
        <v>238.035293</v>
      </c>
    </row>
    <row r="472" customFormat="false" ht="15" hidden="false" customHeight="false" outlineLevel="0" collapsed="false">
      <c r="A472" s="7" t="n">
        <v>2011</v>
      </c>
      <c r="B472" s="15" t="s">
        <v>149</v>
      </c>
      <c r="C472" s="15" t="s">
        <v>135</v>
      </c>
      <c r="D472" s="15" t="s">
        <v>146</v>
      </c>
      <c r="E472" s="19" t="n">
        <v>99.566279</v>
      </c>
      <c r="F472" s="19" t="n">
        <v>72.765985</v>
      </c>
      <c r="G472" s="19" t="n">
        <v>60.642247</v>
      </c>
      <c r="H472" s="19" t="n">
        <v>99.314365</v>
      </c>
      <c r="I472" s="19" t="n">
        <v>2432.835111</v>
      </c>
      <c r="J472" s="27" t="n">
        <v>729844</v>
      </c>
      <c r="K472" s="27" t="n">
        <v>735008</v>
      </c>
      <c r="L472" s="9" t="n">
        <f aca="false">IF(AND(K472&lt;&gt;"",J472&lt;Assumptions!$B$3*K472),K472,J472)</f>
        <v>729844</v>
      </c>
      <c r="M472" s="21" t="str">
        <f aca="false">IF(L472=J472,"FERC Form 1","EIA-861")</f>
        <v>FERC Form 1</v>
      </c>
      <c r="N472" s="28" t="n">
        <f aca="false">E472+F472+G472</f>
        <v>232.974511</v>
      </c>
    </row>
    <row r="473" customFormat="false" ht="15" hidden="false" customHeight="false" outlineLevel="0" collapsed="false">
      <c r="A473" s="7" t="n">
        <v>2012</v>
      </c>
      <c r="B473" s="15" t="s">
        <v>149</v>
      </c>
      <c r="C473" s="15" t="s">
        <v>135</v>
      </c>
      <c r="D473" s="15" t="s">
        <v>146</v>
      </c>
      <c r="E473" s="19" t="n">
        <v>98.174938</v>
      </c>
      <c r="F473" s="19" t="n">
        <v>80.664321</v>
      </c>
      <c r="G473" s="19" t="n">
        <v>59.608252</v>
      </c>
      <c r="H473" s="19" t="n">
        <v>93.792967</v>
      </c>
      <c r="I473" s="19" t="n">
        <v>2273.645355</v>
      </c>
      <c r="J473" s="27" t="n">
        <v>733988</v>
      </c>
      <c r="K473" s="27" t="n">
        <v>739917</v>
      </c>
      <c r="L473" s="9" t="n">
        <f aca="false">IF(AND(K473&lt;&gt;"",J473&lt;Assumptions!$B$3*K473),K473,J473)</f>
        <v>733988</v>
      </c>
      <c r="M473" s="21" t="str">
        <f aca="false">IF(L473=J473,"FERC Form 1","EIA-861")</f>
        <v>FERC Form 1</v>
      </c>
      <c r="N473" s="28" t="n">
        <f aca="false">E473+F473+G473</f>
        <v>238.447511</v>
      </c>
    </row>
    <row r="474" customFormat="false" ht="15" hidden="false" customHeight="false" outlineLevel="0" collapsed="false">
      <c r="A474" s="7" t="n">
        <v>2013</v>
      </c>
      <c r="B474" s="15" t="s">
        <v>149</v>
      </c>
      <c r="C474" s="15" t="s">
        <v>135</v>
      </c>
      <c r="D474" s="15" t="s">
        <v>146</v>
      </c>
      <c r="E474" s="19" t="n">
        <v>92.11616</v>
      </c>
      <c r="F474" s="19" t="n">
        <v>83.685145</v>
      </c>
      <c r="G474" s="19" t="n">
        <v>58.178006</v>
      </c>
      <c r="H474" s="19" t="n">
        <v>122.562541</v>
      </c>
      <c r="I474" s="19" t="n">
        <v>2374.707315</v>
      </c>
      <c r="J474" s="27" t="n">
        <v>739377</v>
      </c>
      <c r="K474" s="27" t="n">
        <v>746025</v>
      </c>
      <c r="L474" s="9" t="n">
        <f aca="false">IF(AND(K474&lt;&gt;"",J474&lt;Assumptions!$B$3*K474),K474,J474)</f>
        <v>739377</v>
      </c>
      <c r="M474" s="21" t="str">
        <f aca="false">IF(L474=J474,"FERC Form 1","EIA-861")</f>
        <v>FERC Form 1</v>
      </c>
      <c r="N474" s="28" t="n">
        <f aca="false">E474+F474+G474</f>
        <v>233.979311</v>
      </c>
    </row>
    <row r="475" customFormat="false" ht="15" hidden="false" customHeight="false" outlineLevel="0" collapsed="false">
      <c r="A475" s="7" t="n">
        <v>2014</v>
      </c>
      <c r="B475" s="15" t="s">
        <v>149</v>
      </c>
      <c r="C475" s="15" t="s">
        <v>135</v>
      </c>
      <c r="D475" s="15" t="s">
        <v>146</v>
      </c>
      <c r="E475" s="19" t="n">
        <v>92.165068</v>
      </c>
      <c r="F475" s="19" t="n">
        <v>106.103493</v>
      </c>
      <c r="G475" s="19" t="n">
        <v>61.024339</v>
      </c>
      <c r="H475" s="19" t="n">
        <v>148.207999</v>
      </c>
      <c r="I475" s="19" t="n">
        <v>2496.297338</v>
      </c>
      <c r="J475" s="27" t="n">
        <v>745568</v>
      </c>
      <c r="K475" s="27" t="n">
        <v>752804</v>
      </c>
      <c r="L475" s="9" t="n">
        <f aca="false">IF(AND(K475&lt;&gt;"",J475&lt;Assumptions!$B$3*K475),K475,J475)</f>
        <v>745568</v>
      </c>
      <c r="M475" s="21" t="str">
        <f aca="false">IF(L475=J475,"FERC Form 1","EIA-861")</f>
        <v>FERC Form 1</v>
      </c>
      <c r="N475" s="28" t="n">
        <f aca="false">E475+F475+G475</f>
        <v>259.2929</v>
      </c>
    </row>
    <row r="476" customFormat="false" ht="15" hidden="false" customHeight="false" outlineLevel="0" collapsed="false">
      <c r="A476" s="7" t="n">
        <v>2015</v>
      </c>
      <c r="B476" s="15" t="s">
        <v>149</v>
      </c>
      <c r="C476" s="15" t="s">
        <v>135</v>
      </c>
      <c r="D476" s="15" t="s">
        <v>146</v>
      </c>
      <c r="E476" s="19" t="n">
        <v>82.795516</v>
      </c>
      <c r="F476" s="19" t="n">
        <v>107.681019</v>
      </c>
      <c r="G476" s="19" t="n">
        <v>64.400186</v>
      </c>
      <c r="H476" s="19" t="n">
        <v>133.031959</v>
      </c>
      <c r="I476" s="19" t="n">
        <v>2612.577191</v>
      </c>
      <c r="J476" s="27" t="n">
        <v>752771</v>
      </c>
      <c r="K476" s="27" t="n">
        <v>759828</v>
      </c>
      <c r="L476" s="9" t="n">
        <f aca="false">IF(AND(K476&lt;&gt;"",J476&lt;Assumptions!$B$3*K476),K476,J476)</f>
        <v>752771</v>
      </c>
      <c r="M476" s="21" t="str">
        <f aca="false">IF(L476=J476,"FERC Form 1","EIA-861")</f>
        <v>FERC Form 1</v>
      </c>
      <c r="N476" s="28" t="n">
        <f aca="false">E476+F476+G476</f>
        <v>254.876721</v>
      </c>
    </row>
    <row r="477" customFormat="false" ht="15" hidden="false" customHeight="false" outlineLevel="0" collapsed="false">
      <c r="A477" s="7" t="n">
        <v>2016</v>
      </c>
      <c r="B477" s="15" t="s">
        <v>149</v>
      </c>
      <c r="C477" s="15" t="s">
        <v>135</v>
      </c>
      <c r="D477" s="15" t="s">
        <v>146</v>
      </c>
      <c r="E477" s="19" t="n">
        <v>79.335853</v>
      </c>
      <c r="F477" s="19" t="n">
        <v>112.771832</v>
      </c>
      <c r="G477" s="19" t="n">
        <v>67.381604</v>
      </c>
      <c r="H477" s="19" t="n">
        <v>138.076311</v>
      </c>
      <c r="I477" s="19" t="n">
        <v>2727.507099</v>
      </c>
      <c r="J477" s="27" t="n">
        <v>760580</v>
      </c>
      <c r="K477" s="27" t="n">
        <v>760580</v>
      </c>
      <c r="L477" s="9" t="n">
        <f aca="false">IF(AND(K477&lt;&gt;"",J477&lt;Assumptions!$B$3*K477),K477,J477)</f>
        <v>760580</v>
      </c>
      <c r="M477" s="21" t="str">
        <f aca="false">IF(L477=J477,"FERC Form 1","EIA-861")</f>
        <v>FERC Form 1</v>
      </c>
      <c r="N477" s="28" t="n">
        <f aca="false">E477+F477+G477</f>
        <v>259.489289</v>
      </c>
    </row>
    <row r="478" customFormat="false" ht="15" hidden="false" customHeight="false" outlineLevel="0" collapsed="false">
      <c r="A478" s="7" t="n">
        <v>2017</v>
      </c>
      <c r="B478" s="15" t="s">
        <v>149</v>
      </c>
      <c r="C478" s="15" t="s">
        <v>135</v>
      </c>
      <c r="D478" s="15" t="s">
        <v>146</v>
      </c>
      <c r="E478" s="19" t="n">
        <v>88.642552</v>
      </c>
      <c r="F478" s="19" t="n">
        <v>135.423798</v>
      </c>
      <c r="G478" s="19" t="n">
        <v>68.850868</v>
      </c>
      <c r="H478" s="19" t="n">
        <v>161.635118</v>
      </c>
      <c r="I478" s="19" t="n">
        <v>2856.761197</v>
      </c>
      <c r="J478" s="27" t="n">
        <v>770330</v>
      </c>
      <c r="K478" s="27" t="n">
        <v>770330</v>
      </c>
      <c r="L478" s="9" t="n">
        <f aca="false">IF(AND(K478&lt;&gt;"",J478&lt;Assumptions!$B$3*K478),K478,J478)</f>
        <v>770330</v>
      </c>
      <c r="M478" s="21" t="str">
        <f aca="false">IF(L478=J478,"FERC Form 1","EIA-861")</f>
        <v>FERC Form 1</v>
      </c>
      <c r="N478" s="28" t="n">
        <f aca="false">E478+F478+G478</f>
        <v>292.917218</v>
      </c>
    </row>
    <row r="479" customFormat="false" ht="15" hidden="false" customHeight="false" outlineLevel="0" collapsed="false">
      <c r="A479" s="7" t="n">
        <v>2018</v>
      </c>
      <c r="B479" s="15" t="s">
        <v>149</v>
      </c>
      <c r="C479" s="15" t="s">
        <v>135</v>
      </c>
      <c r="D479" s="15" t="s">
        <v>146</v>
      </c>
      <c r="E479" s="19" t="n">
        <v>80.743361</v>
      </c>
      <c r="F479" s="19" t="n">
        <v>145.227666</v>
      </c>
      <c r="G479" s="19" t="n">
        <v>72.77871</v>
      </c>
      <c r="H479" s="19" t="n">
        <v>221.209962</v>
      </c>
      <c r="I479" s="19" t="n">
        <v>3044.445385</v>
      </c>
      <c r="J479" s="27" t="n">
        <v>779803</v>
      </c>
      <c r="K479" s="27" t="n">
        <v>779803</v>
      </c>
      <c r="L479" s="9" t="n">
        <f aca="false">IF(AND(K479&lt;&gt;"",J479&lt;Assumptions!$B$3*K479),K479,J479)</f>
        <v>779803</v>
      </c>
      <c r="M479" s="21" t="str">
        <f aca="false">IF(L479=J479,"FERC Form 1","EIA-861")</f>
        <v>FERC Form 1</v>
      </c>
      <c r="N479" s="28" t="n">
        <f aca="false">E479+F479+G479</f>
        <v>298.749737</v>
      </c>
    </row>
    <row r="480" customFormat="false" ht="15" hidden="false" customHeight="false" outlineLevel="0" collapsed="false">
      <c r="A480" s="7" t="n">
        <v>2019</v>
      </c>
      <c r="B480" s="15" t="s">
        <v>149</v>
      </c>
      <c r="C480" s="15" t="s">
        <v>135</v>
      </c>
      <c r="D480" s="15" t="s">
        <v>146</v>
      </c>
      <c r="E480" s="19" t="n">
        <v>85.298216</v>
      </c>
      <c r="F480" s="19" t="n">
        <v>98.434015</v>
      </c>
      <c r="G480" s="19" t="n">
        <v>77.919834</v>
      </c>
      <c r="H480" s="19" t="n">
        <v>209.434617</v>
      </c>
      <c r="I480" s="19" t="n">
        <v>3230.146724</v>
      </c>
      <c r="J480" s="27" t="n">
        <v>786600</v>
      </c>
      <c r="K480" s="27" t="n">
        <v>786600</v>
      </c>
      <c r="L480" s="9" t="n">
        <f aca="false">IF(AND(K480&lt;&gt;"",J480&lt;Assumptions!$B$3*K480),K480,J480)</f>
        <v>786600</v>
      </c>
      <c r="M480" s="21" t="str">
        <f aca="false">IF(L480=J480,"FERC Form 1","EIA-861")</f>
        <v>FERC Form 1</v>
      </c>
      <c r="N480" s="28" t="n">
        <f aca="false">E480+F480+G480</f>
        <v>261.652065</v>
      </c>
    </row>
    <row r="481" customFormat="false" ht="15" hidden="false" customHeight="false" outlineLevel="0" collapsed="false">
      <c r="A481" s="7" t="n">
        <v>2020</v>
      </c>
      <c r="B481" s="15" t="s">
        <v>149</v>
      </c>
      <c r="C481" s="15" t="s">
        <v>135</v>
      </c>
      <c r="D481" s="15" t="s">
        <v>146</v>
      </c>
      <c r="E481" s="19" t="n">
        <v>90.606296</v>
      </c>
      <c r="F481" s="19" t="n">
        <v>74.206521</v>
      </c>
      <c r="G481" s="19" t="n">
        <v>83.529829</v>
      </c>
      <c r="H481" s="19" t="n">
        <v>241.997497</v>
      </c>
      <c r="I481" s="19" t="n">
        <v>3445.831851</v>
      </c>
      <c r="J481" s="27" t="n">
        <v>795352</v>
      </c>
      <c r="K481" s="27" t="n">
        <v>795352</v>
      </c>
      <c r="L481" s="9" t="n">
        <f aca="false">IF(AND(K481&lt;&gt;"",J481&lt;Assumptions!$B$3*K481),K481,J481)</f>
        <v>795352</v>
      </c>
      <c r="M481" s="21" t="str">
        <f aca="false">IF(L481=J481,"FERC Form 1","EIA-861")</f>
        <v>FERC Form 1</v>
      </c>
      <c r="N481" s="28" t="n">
        <f aca="false">E481+F481+G481</f>
        <v>248.342646</v>
      </c>
    </row>
    <row r="482" customFormat="false" ht="15" hidden="false" customHeight="false" outlineLevel="0" collapsed="false">
      <c r="A482" s="7" t="n">
        <v>2021</v>
      </c>
      <c r="B482" s="15" t="s">
        <v>149</v>
      </c>
      <c r="C482" s="15" t="s">
        <v>135</v>
      </c>
      <c r="D482" s="15" t="s">
        <v>146</v>
      </c>
      <c r="E482" s="19" t="n">
        <v>79.817057</v>
      </c>
      <c r="F482" s="19" t="n">
        <v>77.456798</v>
      </c>
      <c r="G482" s="19" t="n">
        <v>88.989566</v>
      </c>
      <c r="H482" s="19" t="n">
        <v>197.56697</v>
      </c>
      <c r="I482" s="19" t="n">
        <v>3618.164776</v>
      </c>
      <c r="J482" s="27" t="n">
        <v>804312</v>
      </c>
      <c r="K482" s="27" t="n">
        <v>804312</v>
      </c>
      <c r="L482" s="9" t="n">
        <f aca="false">IF(AND(K482&lt;&gt;"",J482&lt;Assumptions!$B$3*K482),K482,J482)</f>
        <v>804312</v>
      </c>
      <c r="M482" s="21" t="str">
        <f aca="false">IF(L482=J482,"FERC Form 1","EIA-861")</f>
        <v>FERC Form 1</v>
      </c>
      <c r="N482" s="28" t="n">
        <f aca="false">E482+F482+G482</f>
        <v>246.263421</v>
      </c>
    </row>
    <row r="483" customFormat="false" ht="15" hidden="false" customHeight="false" outlineLevel="0" collapsed="false">
      <c r="A483" s="7" t="n">
        <v>2022</v>
      </c>
      <c r="B483" s="15" t="s">
        <v>149</v>
      </c>
      <c r="C483" s="15" t="s">
        <v>135</v>
      </c>
      <c r="D483" s="15" t="s">
        <v>146</v>
      </c>
      <c r="E483" s="19" t="n">
        <v>96.476463</v>
      </c>
      <c r="F483" s="19" t="n">
        <v>69.397224</v>
      </c>
      <c r="G483" s="19" t="n">
        <v>89.991555</v>
      </c>
      <c r="H483" s="19" t="n">
        <v>229.446223</v>
      </c>
      <c r="I483" s="19" t="n">
        <v>3817.604287</v>
      </c>
      <c r="J483" s="27" t="n">
        <v>813017</v>
      </c>
      <c r="K483" s="27" t="n">
        <v>810356</v>
      </c>
      <c r="L483" s="9" t="n">
        <f aca="false">IF(AND(K483&lt;&gt;"",J483&lt;Assumptions!$B$3*K483),K483,J483)</f>
        <v>813017</v>
      </c>
      <c r="M483" s="21" t="str">
        <f aca="false">IF(L483=J483,"FERC Form 1","EIA-861")</f>
        <v>FERC Form 1</v>
      </c>
      <c r="N483" s="28" t="n">
        <f aca="false">E483+F483+G483</f>
        <v>255.865242</v>
      </c>
    </row>
    <row r="484" customFormat="false" ht="15" hidden="false" customHeight="false" outlineLevel="0" collapsed="false">
      <c r="A484" s="7" t="n">
        <v>2023</v>
      </c>
      <c r="B484" s="15" t="s">
        <v>149</v>
      </c>
      <c r="C484" s="15" t="s">
        <v>135</v>
      </c>
      <c r="D484" s="15" t="s">
        <v>146</v>
      </c>
      <c r="E484" s="19" t="n">
        <v>80.839483</v>
      </c>
      <c r="F484" s="19" t="n">
        <v>69.973037</v>
      </c>
      <c r="G484" s="19" t="n">
        <v>95.395573</v>
      </c>
      <c r="H484" s="19" t="n">
        <v>313.322618</v>
      </c>
      <c r="I484" s="19" t="n">
        <v>4100.06966</v>
      </c>
      <c r="J484" s="27" t="n">
        <v>820668</v>
      </c>
      <c r="K484" s="27" t="n">
        <v>820668</v>
      </c>
      <c r="L484" s="9" t="n">
        <f aca="false">IF(AND(K484&lt;&gt;"",J484&lt;Assumptions!$B$3*K484),K484,J484)</f>
        <v>820668</v>
      </c>
      <c r="M484" s="21" t="str">
        <f aca="false">IF(L484=J484,"FERC Form 1","EIA-861")</f>
        <v>FERC Form 1</v>
      </c>
      <c r="N484" s="28" t="n">
        <f aca="false">E484+F484+G484</f>
        <v>246.208093</v>
      </c>
    </row>
    <row r="485" customFormat="false" ht="15" hidden="false" customHeight="false" outlineLevel="0" collapsed="false">
      <c r="A485" s="7" t="n">
        <v>2024</v>
      </c>
      <c r="B485" s="15" t="s">
        <v>149</v>
      </c>
      <c r="C485" s="15" t="s">
        <v>135</v>
      </c>
      <c r="D485" s="15" t="s">
        <v>146</v>
      </c>
      <c r="E485" s="19" t="n">
        <v>100.325466</v>
      </c>
      <c r="F485" s="19" t="n">
        <v>76.894051</v>
      </c>
      <c r="G485" s="19" t="n">
        <v>101.987639</v>
      </c>
      <c r="H485" s="19" t="n">
        <v>294.151584</v>
      </c>
      <c r="I485" s="19" t="n">
        <v>4371.579084</v>
      </c>
      <c r="J485" s="27" t="n">
        <v>829293</v>
      </c>
      <c r="K485" s="27" t="n">
        <v>829296</v>
      </c>
      <c r="L485" s="9" t="n">
        <f aca="false">IF(AND(K485&lt;&gt;"",J485&lt;Assumptions!$B$3*K485),K485,J485)</f>
        <v>829293</v>
      </c>
      <c r="M485" s="21" t="str">
        <f aca="false">IF(L485=J485,"FERC Form 1","EIA-861")</f>
        <v>FERC Form 1</v>
      </c>
      <c r="N485" s="28" t="n">
        <f aca="false">E485+F485+G485</f>
        <v>279.207156</v>
      </c>
    </row>
    <row r="486" customFormat="false" ht="15" hidden="false" customHeight="false" outlineLevel="0" collapsed="false">
      <c r="A486" s="7" t="n">
        <v>2025</v>
      </c>
      <c r="B486" s="15" t="s">
        <v>149</v>
      </c>
      <c r="C486" s="15" t="s">
        <v>135</v>
      </c>
      <c r="D486" s="15" t="s">
        <v>146</v>
      </c>
      <c r="E486" s="19" t="n">
        <v>112.133341</v>
      </c>
      <c r="F486" s="19" t="n">
        <v>78.297825</v>
      </c>
      <c r="G486" s="19" t="n">
        <v>108.39897</v>
      </c>
      <c r="H486" s="19" t="n">
        <v>361.975468</v>
      </c>
      <c r="I486" s="19" t="n">
        <v>4700.350795</v>
      </c>
      <c r="J486" s="27" t="n">
        <v>838128</v>
      </c>
      <c r="K486" s="27" t="n">
        <v>838128</v>
      </c>
      <c r="L486" s="9" t="n">
        <f aca="false">IF(AND(K486&lt;&gt;"",J486&lt;Assumptions!$B$3*K486),K486,J486)</f>
        <v>838128</v>
      </c>
      <c r="M486" s="21" t="str">
        <f aca="false">IF(L486=J486,"FERC Form 1","EIA-861")</f>
        <v>FERC Form 1</v>
      </c>
      <c r="N486" s="28" t="n">
        <f aca="false">E486+F486+G486</f>
        <v>298.830136</v>
      </c>
    </row>
    <row r="487" customFormat="false" ht="15" hidden="false" customHeight="false" outlineLevel="0" collapsed="false">
      <c r="A487" s="7" t="n">
        <v>2000</v>
      </c>
      <c r="B487" s="15" t="s">
        <v>150</v>
      </c>
      <c r="C487" s="15" t="s">
        <v>135</v>
      </c>
      <c r="D487" s="15" t="s">
        <v>141</v>
      </c>
      <c r="E487" s="19" t="n">
        <v>25.492152</v>
      </c>
      <c r="F487" s="19" t="n">
        <v>13.827248</v>
      </c>
      <c r="G487" s="19" t="n">
        <v>40.903947</v>
      </c>
      <c r="H487" s="19" t="n">
        <v>50.202145</v>
      </c>
      <c r="I487" s="19" t="n">
        <v>933.916165</v>
      </c>
      <c r="J487" s="27" t="n">
        <v>427444</v>
      </c>
      <c r="K487" s="27"/>
      <c r="L487" s="9" t="n">
        <f aca="false">IF(AND(K487&lt;&gt;"",J487&lt;Assumptions!$B$3*K487),K487,J487)</f>
        <v>427444</v>
      </c>
      <c r="M487" s="21" t="str">
        <f aca="false">IF(L487=J487,"FERC Form 1","EIA-861")</f>
        <v>FERC Form 1</v>
      </c>
      <c r="N487" s="28" t="n">
        <f aca="false">E487+F487+G487</f>
        <v>80.223347</v>
      </c>
    </row>
    <row r="488" customFormat="false" ht="15" hidden="false" customHeight="false" outlineLevel="0" collapsed="false">
      <c r="A488" s="7" t="n">
        <v>2001</v>
      </c>
      <c r="B488" s="15" t="s">
        <v>150</v>
      </c>
      <c r="C488" s="15" t="s">
        <v>135</v>
      </c>
      <c r="D488" s="15" t="s">
        <v>141</v>
      </c>
      <c r="E488" s="19" t="n">
        <v>24.224222</v>
      </c>
      <c r="F488" s="19" t="n">
        <v>24.883088</v>
      </c>
      <c r="G488" s="19" t="n">
        <v>44.063157</v>
      </c>
      <c r="H488" s="19" t="n">
        <v>58.617399</v>
      </c>
      <c r="I488" s="19" t="n">
        <v>985.142244</v>
      </c>
      <c r="J488" s="27" t="n">
        <v>431575</v>
      </c>
      <c r="K488" s="27" t="n">
        <v>432170</v>
      </c>
      <c r="L488" s="9" t="n">
        <f aca="false">IF(AND(K488&lt;&gt;"",J488&lt;Assumptions!$B$3*K488),K488,J488)</f>
        <v>431575</v>
      </c>
      <c r="M488" s="21" t="str">
        <f aca="false">IF(L488=J488,"FERC Form 1","EIA-861")</f>
        <v>FERC Form 1</v>
      </c>
      <c r="N488" s="28" t="n">
        <f aca="false">E488+F488+G488</f>
        <v>93.170467</v>
      </c>
    </row>
    <row r="489" customFormat="false" ht="15" hidden="false" customHeight="false" outlineLevel="0" collapsed="false">
      <c r="A489" s="7" t="n">
        <v>2002</v>
      </c>
      <c r="B489" s="15" t="s">
        <v>150</v>
      </c>
      <c r="C489" s="15" t="s">
        <v>135</v>
      </c>
      <c r="D489" s="15" t="s">
        <v>141</v>
      </c>
      <c r="E489" s="19" t="n">
        <v>25.359613</v>
      </c>
      <c r="F489" s="19" t="n">
        <v>25.379757</v>
      </c>
      <c r="G489" s="19" t="n">
        <v>39.566122</v>
      </c>
      <c r="H489" s="19" t="n">
        <v>47.288129</v>
      </c>
      <c r="I489" s="19" t="n">
        <v>1026.993715</v>
      </c>
      <c r="J489" s="27" t="n">
        <v>433798</v>
      </c>
      <c r="K489" s="27" t="n">
        <v>433798</v>
      </c>
      <c r="L489" s="9" t="n">
        <f aca="false">IF(AND(K489&lt;&gt;"",J489&lt;Assumptions!$B$3*K489),K489,J489)</f>
        <v>433798</v>
      </c>
      <c r="M489" s="21" t="str">
        <f aca="false">IF(L489=J489,"FERC Form 1","EIA-861")</f>
        <v>FERC Form 1</v>
      </c>
      <c r="N489" s="28" t="n">
        <f aca="false">E489+F489+G489</f>
        <v>90.305492</v>
      </c>
    </row>
    <row r="490" customFormat="false" ht="15" hidden="false" customHeight="false" outlineLevel="0" collapsed="false">
      <c r="A490" s="7" t="n">
        <v>2003</v>
      </c>
      <c r="B490" s="15" t="s">
        <v>150</v>
      </c>
      <c r="C490" s="15" t="s">
        <v>135</v>
      </c>
      <c r="D490" s="15" t="s">
        <v>141</v>
      </c>
      <c r="E490" s="19" t="n">
        <v>24.37943</v>
      </c>
      <c r="F490" s="19" t="n">
        <v>18.861737</v>
      </c>
      <c r="G490" s="19" t="n">
        <v>40.856936</v>
      </c>
      <c r="H490" s="19" t="n">
        <v>40.416108</v>
      </c>
      <c r="I490" s="19" t="n">
        <v>1059.389501</v>
      </c>
      <c r="J490" s="27" t="n">
        <v>437905</v>
      </c>
      <c r="K490" s="27" t="n">
        <v>437905</v>
      </c>
      <c r="L490" s="9" t="n">
        <f aca="false">IF(AND(K490&lt;&gt;"",J490&lt;Assumptions!$B$3*K490),K490,J490)</f>
        <v>437905</v>
      </c>
      <c r="M490" s="21" t="str">
        <f aca="false">IF(L490=J490,"FERC Form 1","EIA-861")</f>
        <v>FERC Form 1</v>
      </c>
      <c r="N490" s="28" t="n">
        <f aca="false">E490+F490+G490</f>
        <v>84.098103</v>
      </c>
    </row>
    <row r="491" customFormat="false" ht="15" hidden="false" customHeight="false" outlineLevel="0" collapsed="false">
      <c r="A491" s="7" t="n">
        <v>2004</v>
      </c>
      <c r="B491" s="15" t="s">
        <v>150</v>
      </c>
      <c r="C491" s="15" t="s">
        <v>135</v>
      </c>
      <c r="D491" s="15" t="s">
        <v>141</v>
      </c>
      <c r="E491" s="19" t="n">
        <v>28.663097</v>
      </c>
      <c r="F491" s="19" t="n">
        <v>18.34026</v>
      </c>
      <c r="G491" s="19" t="n">
        <v>42.068707</v>
      </c>
      <c r="H491" s="19" t="n">
        <v>43.274063</v>
      </c>
      <c r="I491" s="19" t="n">
        <v>1089.234852</v>
      </c>
      <c r="J491" s="27" t="n">
        <v>442554</v>
      </c>
      <c r="K491" s="27" t="n">
        <v>442554</v>
      </c>
      <c r="L491" s="9" t="n">
        <f aca="false">IF(AND(K491&lt;&gt;"",J491&lt;Assumptions!$B$3*K491),K491,J491)</f>
        <v>442554</v>
      </c>
      <c r="M491" s="21" t="str">
        <f aca="false">IF(L491=J491,"FERC Form 1","EIA-861")</f>
        <v>FERC Form 1</v>
      </c>
      <c r="N491" s="28" t="n">
        <f aca="false">E491+F491+G491</f>
        <v>89.072064</v>
      </c>
    </row>
    <row r="492" customFormat="false" ht="15" hidden="false" customHeight="false" outlineLevel="0" collapsed="false">
      <c r="A492" s="7" t="n">
        <v>2005</v>
      </c>
      <c r="B492" s="15" t="s">
        <v>150</v>
      </c>
      <c r="C492" s="15" t="s">
        <v>135</v>
      </c>
      <c r="D492" s="15" t="s">
        <v>141</v>
      </c>
      <c r="E492" s="19" t="n">
        <v>29.52552</v>
      </c>
      <c r="F492" s="19" t="n">
        <v>22.121227</v>
      </c>
      <c r="G492" s="19" t="n">
        <v>43.557271</v>
      </c>
      <c r="H492" s="19" t="n">
        <v>51.178986</v>
      </c>
      <c r="I492" s="19" t="n">
        <v>1129.924534</v>
      </c>
      <c r="J492" s="27" t="n">
        <v>447345</v>
      </c>
      <c r="K492" s="27" t="n">
        <v>447831</v>
      </c>
      <c r="L492" s="9" t="n">
        <f aca="false">IF(AND(K492&lt;&gt;"",J492&lt;Assumptions!$B$3*K492),K492,J492)</f>
        <v>447345</v>
      </c>
      <c r="M492" s="21" t="str">
        <f aca="false">IF(L492=J492,"FERC Form 1","EIA-861")</f>
        <v>FERC Form 1</v>
      </c>
      <c r="N492" s="28" t="n">
        <f aca="false">E492+F492+G492</f>
        <v>95.204018</v>
      </c>
    </row>
    <row r="493" customFormat="false" ht="15" hidden="false" customHeight="false" outlineLevel="0" collapsed="false">
      <c r="A493" s="7" t="n">
        <v>2006</v>
      </c>
      <c r="B493" s="15" t="s">
        <v>150</v>
      </c>
      <c r="C493" s="15" t="s">
        <v>135</v>
      </c>
      <c r="D493" s="15" t="s">
        <v>141</v>
      </c>
      <c r="E493" s="19" t="n">
        <v>29.909245</v>
      </c>
      <c r="F493" s="19" t="n">
        <v>19.8785</v>
      </c>
      <c r="G493" s="19" t="n">
        <v>45.536294</v>
      </c>
      <c r="H493" s="19" t="n">
        <v>55.845209</v>
      </c>
      <c r="I493" s="19" t="n">
        <v>1175.945751</v>
      </c>
      <c r="J493" s="27" t="n">
        <v>450819</v>
      </c>
      <c r="K493" s="27" t="n">
        <v>450819</v>
      </c>
      <c r="L493" s="9" t="n">
        <f aca="false">IF(AND(K493&lt;&gt;"",J493&lt;Assumptions!$B$3*K493),K493,J493)</f>
        <v>450819</v>
      </c>
      <c r="M493" s="21" t="str">
        <f aca="false">IF(L493=J493,"FERC Form 1","EIA-861")</f>
        <v>FERC Form 1</v>
      </c>
      <c r="N493" s="28" t="n">
        <f aca="false">E493+F493+G493</f>
        <v>95.324039</v>
      </c>
    </row>
    <row r="494" customFormat="false" ht="15" hidden="false" customHeight="false" outlineLevel="0" collapsed="false">
      <c r="A494" s="7" t="n">
        <v>2007</v>
      </c>
      <c r="B494" s="15" t="s">
        <v>150</v>
      </c>
      <c r="C494" s="15" t="s">
        <v>135</v>
      </c>
      <c r="D494" s="15" t="s">
        <v>141</v>
      </c>
      <c r="E494" s="19" t="n">
        <v>38.624848</v>
      </c>
      <c r="F494" s="19" t="n">
        <v>16.054216</v>
      </c>
      <c r="G494" s="19" t="n">
        <v>47.32861</v>
      </c>
      <c r="H494" s="19" t="n">
        <v>65.199503</v>
      </c>
      <c r="I494" s="19" t="n">
        <v>1231.326625</v>
      </c>
      <c r="J494" s="27" t="n">
        <v>454471</v>
      </c>
      <c r="K494" s="27" t="n">
        <v>454471</v>
      </c>
      <c r="L494" s="9" t="n">
        <f aca="false">IF(AND(K494&lt;&gt;"",J494&lt;Assumptions!$B$3*K494),K494,J494)</f>
        <v>454471</v>
      </c>
      <c r="M494" s="21" t="str">
        <f aca="false">IF(L494=J494,"FERC Form 1","EIA-861")</f>
        <v>FERC Form 1</v>
      </c>
      <c r="N494" s="28" t="n">
        <f aca="false">E494+F494+G494</f>
        <v>102.007674</v>
      </c>
    </row>
    <row r="495" customFormat="false" ht="15" hidden="false" customHeight="false" outlineLevel="0" collapsed="false">
      <c r="A495" s="7" t="n">
        <v>2008</v>
      </c>
      <c r="B495" s="15" t="s">
        <v>150</v>
      </c>
      <c r="C495" s="15" t="s">
        <v>135</v>
      </c>
      <c r="D495" s="15" t="s">
        <v>141</v>
      </c>
      <c r="E495" s="19" t="n">
        <v>41.246476</v>
      </c>
      <c r="F495" s="19" t="n">
        <v>18.913223</v>
      </c>
      <c r="G495" s="19" t="n">
        <v>52.81408</v>
      </c>
      <c r="H495" s="19" t="n">
        <v>61.146549</v>
      </c>
      <c r="I495" s="19" t="n">
        <v>1383.426223</v>
      </c>
      <c r="J495" s="27" t="n">
        <v>456302</v>
      </c>
      <c r="K495" s="27" t="n">
        <v>456302</v>
      </c>
      <c r="L495" s="9" t="n">
        <f aca="false">IF(AND(K495&lt;&gt;"",J495&lt;Assumptions!$B$3*K495),K495,J495)</f>
        <v>456302</v>
      </c>
      <c r="M495" s="21" t="str">
        <f aca="false">IF(L495=J495,"FERC Form 1","EIA-861")</f>
        <v>FERC Form 1</v>
      </c>
      <c r="N495" s="28" t="n">
        <f aca="false">E495+F495+G495</f>
        <v>112.973779</v>
      </c>
    </row>
    <row r="496" customFormat="false" ht="15" hidden="false" customHeight="false" outlineLevel="0" collapsed="false">
      <c r="A496" s="7" t="n">
        <v>2009</v>
      </c>
      <c r="B496" s="15" t="s">
        <v>150</v>
      </c>
      <c r="C496" s="15" t="s">
        <v>135</v>
      </c>
      <c r="D496" s="15" t="s">
        <v>141</v>
      </c>
      <c r="E496" s="19" t="n">
        <v>35.198198</v>
      </c>
      <c r="F496" s="19" t="n">
        <v>19.395931</v>
      </c>
      <c r="G496" s="19" t="n">
        <v>54.590544</v>
      </c>
      <c r="H496" s="19" t="n">
        <v>48.453521</v>
      </c>
      <c r="I496" s="19" t="n">
        <v>1413.527824</v>
      </c>
      <c r="J496" s="27" t="n">
        <v>455645</v>
      </c>
      <c r="K496" s="27" t="n">
        <v>455645</v>
      </c>
      <c r="L496" s="9" t="n">
        <f aca="false">IF(AND(K496&lt;&gt;"",J496&lt;Assumptions!$B$3*K496),K496,J496)</f>
        <v>455645</v>
      </c>
      <c r="M496" s="21" t="str">
        <f aca="false">IF(L496=J496,"FERC Form 1","EIA-861")</f>
        <v>FERC Form 1</v>
      </c>
      <c r="N496" s="28" t="n">
        <f aca="false">E496+F496+G496</f>
        <v>109.184673</v>
      </c>
    </row>
    <row r="497" customFormat="false" ht="15" hidden="false" customHeight="false" outlineLevel="0" collapsed="false">
      <c r="A497" s="7" t="n">
        <v>2010</v>
      </c>
      <c r="B497" s="15" t="s">
        <v>150</v>
      </c>
      <c r="C497" s="15" t="s">
        <v>135</v>
      </c>
      <c r="D497" s="15" t="s">
        <v>141</v>
      </c>
      <c r="E497" s="19" t="n">
        <v>41.703518</v>
      </c>
      <c r="F497" s="19" t="n">
        <v>17.826631</v>
      </c>
      <c r="G497" s="19" t="n">
        <v>55.742236</v>
      </c>
      <c r="H497" s="19" t="n">
        <v>48.093257</v>
      </c>
      <c r="I497" s="19" t="n">
        <v>1455.004838</v>
      </c>
      <c r="J497" s="27" t="n">
        <v>456826</v>
      </c>
      <c r="K497" s="27" t="n">
        <v>456826</v>
      </c>
      <c r="L497" s="9" t="n">
        <f aca="false">IF(AND(K497&lt;&gt;"",J497&lt;Assumptions!$B$3*K497),K497,J497)</f>
        <v>456826</v>
      </c>
      <c r="M497" s="21" t="str">
        <f aca="false">IF(L497=J497,"FERC Form 1","EIA-861")</f>
        <v>FERC Form 1</v>
      </c>
      <c r="N497" s="28" t="n">
        <f aca="false">E497+F497+G497</f>
        <v>115.272385</v>
      </c>
    </row>
    <row r="498" customFormat="false" ht="15" hidden="false" customHeight="false" outlineLevel="0" collapsed="false">
      <c r="A498" s="7" t="n">
        <v>2011</v>
      </c>
      <c r="B498" s="15" t="s">
        <v>150</v>
      </c>
      <c r="C498" s="15" t="s">
        <v>135</v>
      </c>
      <c r="D498" s="15" t="s">
        <v>141</v>
      </c>
      <c r="E498" s="19" t="n">
        <v>43.908566</v>
      </c>
      <c r="F498" s="19" t="n">
        <v>18.343648</v>
      </c>
      <c r="G498" s="19" t="n">
        <v>57.078625</v>
      </c>
      <c r="H498" s="19" t="n">
        <v>43.818906</v>
      </c>
      <c r="I498" s="19" t="n">
        <v>1490.168951</v>
      </c>
      <c r="J498" s="27" t="n">
        <v>456937</v>
      </c>
      <c r="K498" s="27" t="n">
        <v>456953</v>
      </c>
      <c r="L498" s="9" t="n">
        <f aca="false">IF(AND(K498&lt;&gt;"",J498&lt;Assumptions!$B$3*K498),K498,J498)</f>
        <v>456937</v>
      </c>
      <c r="M498" s="21" t="str">
        <f aca="false">IF(L498=J498,"FERC Form 1","EIA-861")</f>
        <v>FERC Form 1</v>
      </c>
      <c r="N498" s="28" t="n">
        <f aca="false">E498+F498+G498</f>
        <v>119.330839</v>
      </c>
    </row>
    <row r="499" customFormat="false" ht="15" hidden="false" customHeight="false" outlineLevel="0" collapsed="false">
      <c r="A499" s="7" t="n">
        <v>2012</v>
      </c>
      <c r="B499" s="15" t="s">
        <v>150</v>
      </c>
      <c r="C499" s="15" t="s">
        <v>135</v>
      </c>
      <c r="D499" s="15" t="s">
        <v>141</v>
      </c>
      <c r="E499" s="19" t="n">
        <v>47.67768</v>
      </c>
      <c r="F499" s="19" t="n">
        <v>20.300378</v>
      </c>
      <c r="G499" s="19" t="n">
        <v>40.712102</v>
      </c>
      <c r="H499" s="19" t="n">
        <v>60.000519</v>
      </c>
      <c r="I499" s="19" t="n">
        <v>1542.987938</v>
      </c>
      <c r="J499" s="27" t="n">
        <v>457486</v>
      </c>
      <c r="K499" s="27" t="n">
        <v>457496</v>
      </c>
      <c r="L499" s="9" t="n">
        <f aca="false">IF(AND(K499&lt;&gt;"",J499&lt;Assumptions!$B$3*K499),K499,J499)</f>
        <v>457486</v>
      </c>
      <c r="M499" s="21" t="str">
        <f aca="false">IF(L499=J499,"FERC Form 1","EIA-861")</f>
        <v>FERC Form 1</v>
      </c>
      <c r="N499" s="28" t="n">
        <f aca="false">E499+F499+G499</f>
        <v>108.69016</v>
      </c>
    </row>
    <row r="500" customFormat="false" ht="15" hidden="false" customHeight="false" outlineLevel="0" collapsed="false">
      <c r="A500" s="7" t="n">
        <v>2013</v>
      </c>
      <c r="B500" s="15" t="s">
        <v>150</v>
      </c>
      <c r="C500" s="15" t="s">
        <v>135</v>
      </c>
      <c r="D500" s="15" t="s">
        <v>141</v>
      </c>
      <c r="E500" s="19" t="n">
        <v>48.247343</v>
      </c>
      <c r="F500" s="19" t="n">
        <v>21.69317</v>
      </c>
      <c r="G500" s="19" t="n">
        <v>42.249368</v>
      </c>
      <c r="H500" s="19" t="n">
        <v>71.714578</v>
      </c>
      <c r="I500" s="19" t="n">
        <v>1596.003883</v>
      </c>
      <c r="J500" s="27" t="n">
        <v>458743</v>
      </c>
      <c r="K500" s="27" t="n">
        <v>458753</v>
      </c>
      <c r="L500" s="9" t="n">
        <f aca="false">IF(AND(K500&lt;&gt;"",J500&lt;Assumptions!$B$3*K500),K500,J500)</f>
        <v>458743</v>
      </c>
      <c r="M500" s="21" t="str">
        <f aca="false">IF(L500=J500,"FERC Form 1","EIA-861")</f>
        <v>FERC Form 1</v>
      </c>
      <c r="N500" s="28" t="n">
        <f aca="false">E500+F500+G500</f>
        <v>112.189881</v>
      </c>
    </row>
    <row r="501" customFormat="false" ht="15" hidden="false" customHeight="false" outlineLevel="0" collapsed="false">
      <c r="A501" s="7" t="n">
        <v>2014</v>
      </c>
      <c r="B501" s="15" t="s">
        <v>150</v>
      </c>
      <c r="C501" s="15" t="s">
        <v>135</v>
      </c>
      <c r="D501" s="15" t="s">
        <v>141</v>
      </c>
      <c r="E501" s="19" t="n">
        <v>43.587581</v>
      </c>
      <c r="F501" s="19" t="n">
        <v>20.8502</v>
      </c>
      <c r="G501" s="19" t="n">
        <v>43.817808</v>
      </c>
      <c r="H501" s="19" t="n">
        <v>83.456659</v>
      </c>
      <c r="I501" s="19" t="n">
        <v>1658.507479</v>
      </c>
      <c r="J501" s="27" t="n">
        <v>459863</v>
      </c>
      <c r="K501" s="27" t="n">
        <v>461010</v>
      </c>
      <c r="L501" s="9" t="n">
        <f aca="false">IF(AND(K501&lt;&gt;"",J501&lt;Assumptions!$B$3*K501),K501,J501)</f>
        <v>459863</v>
      </c>
      <c r="M501" s="21" t="str">
        <f aca="false">IF(L501=J501,"FERC Form 1","EIA-861")</f>
        <v>FERC Form 1</v>
      </c>
      <c r="N501" s="28" t="n">
        <f aca="false">E501+F501+G501</f>
        <v>108.255589</v>
      </c>
    </row>
    <row r="502" customFormat="false" ht="15" hidden="false" customHeight="false" outlineLevel="0" collapsed="false">
      <c r="A502" s="7" t="n">
        <v>2015</v>
      </c>
      <c r="B502" s="15" t="s">
        <v>150</v>
      </c>
      <c r="C502" s="15" t="s">
        <v>135</v>
      </c>
      <c r="D502" s="15" t="s">
        <v>141</v>
      </c>
      <c r="E502" s="19" t="n">
        <v>41.331114</v>
      </c>
      <c r="F502" s="19" t="n">
        <v>19.510725</v>
      </c>
      <c r="G502" s="19" t="n">
        <v>45.920951</v>
      </c>
      <c r="H502" s="19" t="n">
        <v>99.515737</v>
      </c>
      <c r="I502" s="19" t="n">
        <v>1736.476312</v>
      </c>
      <c r="J502" s="27" t="n">
        <v>461443</v>
      </c>
      <c r="K502" s="27" t="n">
        <v>463028</v>
      </c>
      <c r="L502" s="9" t="n">
        <f aca="false">IF(AND(K502&lt;&gt;"",J502&lt;Assumptions!$B$3*K502),K502,J502)</f>
        <v>461443</v>
      </c>
      <c r="M502" s="21" t="str">
        <f aca="false">IF(L502=J502,"FERC Form 1","EIA-861")</f>
        <v>FERC Form 1</v>
      </c>
      <c r="N502" s="28" t="n">
        <f aca="false">E502+F502+G502</f>
        <v>106.76279</v>
      </c>
    </row>
    <row r="503" customFormat="false" ht="15" hidden="false" customHeight="false" outlineLevel="0" collapsed="false">
      <c r="A503" s="7" t="n">
        <v>2016</v>
      </c>
      <c r="B503" s="15" t="s">
        <v>150</v>
      </c>
      <c r="C503" s="15" t="s">
        <v>135</v>
      </c>
      <c r="D503" s="15" t="s">
        <v>141</v>
      </c>
      <c r="E503" s="19" t="n">
        <v>43.823756</v>
      </c>
      <c r="F503" s="19" t="n">
        <v>17.790868</v>
      </c>
      <c r="G503" s="19" t="n">
        <v>44.993441</v>
      </c>
      <c r="H503" s="19" t="n">
        <v>128.134826</v>
      </c>
      <c r="I503" s="19" t="n">
        <v>1848.125043</v>
      </c>
      <c r="J503" s="27" t="n">
        <v>464146</v>
      </c>
      <c r="K503" s="27" t="n">
        <v>465930</v>
      </c>
      <c r="L503" s="9" t="n">
        <f aca="false">IF(AND(K503&lt;&gt;"",J503&lt;Assumptions!$B$3*K503),K503,J503)</f>
        <v>464146</v>
      </c>
      <c r="M503" s="21" t="str">
        <f aca="false">IF(L503=J503,"FERC Form 1","EIA-861")</f>
        <v>FERC Form 1</v>
      </c>
      <c r="N503" s="28" t="n">
        <f aca="false">E503+F503+G503</f>
        <v>106.608065</v>
      </c>
    </row>
    <row r="504" customFormat="false" ht="15" hidden="false" customHeight="false" outlineLevel="0" collapsed="false">
      <c r="A504" s="7" t="n">
        <v>2017</v>
      </c>
      <c r="B504" s="15" t="s">
        <v>150</v>
      </c>
      <c r="C504" s="15" t="s">
        <v>135</v>
      </c>
      <c r="D504" s="15" t="s">
        <v>141</v>
      </c>
      <c r="E504" s="19" t="n">
        <v>49.601516</v>
      </c>
      <c r="F504" s="19" t="n">
        <v>16.160551</v>
      </c>
      <c r="G504" s="19" t="n">
        <v>48.047525</v>
      </c>
      <c r="H504" s="19" t="n">
        <v>126.816646</v>
      </c>
      <c r="I504" s="19" t="n">
        <v>1958.173257</v>
      </c>
      <c r="J504" s="27" t="n">
        <v>466688</v>
      </c>
      <c r="K504" s="27" t="n">
        <v>468590</v>
      </c>
      <c r="L504" s="9" t="n">
        <f aca="false">IF(AND(K504&lt;&gt;"",J504&lt;Assumptions!$B$3*K504),K504,J504)</f>
        <v>466688</v>
      </c>
      <c r="M504" s="21" t="str">
        <f aca="false">IF(L504=J504,"FERC Form 1","EIA-861")</f>
        <v>FERC Form 1</v>
      </c>
      <c r="N504" s="28" t="n">
        <f aca="false">E504+F504+G504</f>
        <v>113.809592</v>
      </c>
    </row>
    <row r="505" customFormat="false" ht="15" hidden="false" customHeight="false" outlineLevel="0" collapsed="false">
      <c r="A505" s="7" t="n">
        <v>2018</v>
      </c>
      <c r="B505" s="15" t="s">
        <v>150</v>
      </c>
      <c r="C505" s="15" t="s">
        <v>135</v>
      </c>
      <c r="D505" s="15" t="s">
        <v>141</v>
      </c>
      <c r="E505" s="19" t="n">
        <v>55.385035</v>
      </c>
      <c r="F505" s="19" t="n">
        <v>16.366558</v>
      </c>
      <c r="G505" s="19" t="n">
        <v>52.076899</v>
      </c>
      <c r="H505" s="19" t="n">
        <v>152.706755</v>
      </c>
      <c r="I505" s="19" t="n">
        <v>2088.248154</v>
      </c>
      <c r="J505" s="27" t="n">
        <v>469914</v>
      </c>
      <c r="K505" s="27" t="n">
        <v>471891</v>
      </c>
      <c r="L505" s="9" t="n">
        <f aca="false">IF(AND(K505&lt;&gt;"",J505&lt;Assumptions!$B$3*K505),K505,J505)</f>
        <v>469914</v>
      </c>
      <c r="M505" s="21" t="str">
        <f aca="false">IF(L505=J505,"FERC Form 1","EIA-861")</f>
        <v>FERC Form 1</v>
      </c>
      <c r="N505" s="28" t="n">
        <f aca="false">E505+F505+G505</f>
        <v>123.828492</v>
      </c>
    </row>
    <row r="506" customFormat="false" ht="15" hidden="false" customHeight="false" outlineLevel="0" collapsed="false">
      <c r="A506" s="7" t="n">
        <v>2019</v>
      </c>
      <c r="B506" s="15" t="s">
        <v>150</v>
      </c>
      <c r="C506" s="15" t="s">
        <v>135</v>
      </c>
      <c r="D506" s="15" t="s">
        <v>141</v>
      </c>
      <c r="E506" s="19" t="n">
        <v>58.811486</v>
      </c>
      <c r="F506" s="19" t="n">
        <v>17.200819</v>
      </c>
      <c r="G506" s="19" t="n">
        <v>55.377933</v>
      </c>
      <c r="H506" s="19" t="n">
        <v>228.342718</v>
      </c>
      <c r="I506" s="19" t="n">
        <v>2295.528983</v>
      </c>
      <c r="J506" s="27" t="n">
        <v>473221</v>
      </c>
      <c r="K506" s="27" t="n">
        <v>475576</v>
      </c>
      <c r="L506" s="9" t="n">
        <f aca="false">IF(AND(K506&lt;&gt;"",J506&lt;Assumptions!$B$3*K506),K506,J506)</f>
        <v>473221</v>
      </c>
      <c r="M506" s="21" t="str">
        <f aca="false">IF(L506=J506,"FERC Form 1","EIA-861")</f>
        <v>FERC Form 1</v>
      </c>
      <c r="N506" s="28" t="n">
        <f aca="false">E506+F506+G506</f>
        <v>131.390238</v>
      </c>
    </row>
    <row r="507" customFormat="false" ht="15" hidden="false" customHeight="false" outlineLevel="0" collapsed="false">
      <c r="A507" s="7" t="n">
        <v>2020</v>
      </c>
      <c r="B507" s="15" t="s">
        <v>150</v>
      </c>
      <c r="C507" s="15" t="s">
        <v>135</v>
      </c>
      <c r="D507" s="15" t="s">
        <v>141</v>
      </c>
      <c r="E507" s="19" t="n">
        <v>63.472141</v>
      </c>
      <c r="F507" s="19" t="n">
        <v>15.209439</v>
      </c>
      <c r="G507" s="19" t="n">
        <v>74.028055</v>
      </c>
      <c r="H507" s="19" t="n">
        <v>164.89108</v>
      </c>
      <c r="I507" s="19" t="n">
        <v>2440.282823</v>
      </c>
      <c r="J507" s="27" t="n">
        <v>477469</v>
      </c>
      <c r="K507" s="27" t="n">
        <v>479184</v>
      </c>
      <c r="L507" s="9" t="n">
        <f aca="false">IF(AND(K507&lt;&gt;"",J507&lt;Assumptions!$B$3*K507),K507,J507)</f>
        <v>477469</v>
      </c>
      <c r="M507" s="21" t="str">
        <f aca="false">IF(L507=J507,"FERC Form 1","EIA-861")</f>
        <v>FERC Form 1</v>
      </c>
      <c r="N507" s="28" t="n">
        <f aca="false">E507+F507+G507</f>
        <v>152.709635</v>
      </c>
    </row>
    <row r="508" customFormat="false" ht="15" hidden="false" customHeight="false" outlineLevel="0" collapsed="false">
      <c r="A508" s="7" t="n">
        <v>2021</v>
      </c>
      <c r="B508" s="15" t="s">
        <v>150</v>
      </c>
      <c r="C508" s="15" t="s">
        <v>135</v>
      </c>
      <c r="D508" s="15" t="s">
        <v>141</v>
      </c>
      <c r="E508" s="19" t="n">
        <v>62.799399</v>
      </c>
      <c r="F508" s="19" t="n">
        <v>16.485043</v>
      </c>
      <c r="G508" s="19" t="n">
        <v>79.237036</v>
      </c>
      <c r="H508" s="19" t="n">
        <v>216.690874</v>
      </c>
      <c r="I508" s="19" t="n">
        <v>2640.161323</v>
      </c>
      <c r="J508" s="27" t="n">
        <v>481132</v>
      </c>
      <c r="K508" s="27" t="n">
        <v>483297</v>
      </c>
      <c r="L508" s="9" t="n">
        <f aca="false">IF(AND(K508&lt;&gt;"",J508&lt;Assumptions!$B$3*K508),K508,J508)</f>
        <v>481132</v>
      </c>
      <c r="M508" s="21" t="str">
        <f aca="false">IF(L508=J508,"FERC Form 1","EIA-861")</f>
        <v>FERC Form 1</v>
      </c>
      <c r="N508" s="28" t="n">
        <f aca="false">E508+F508+G508</f>
        <v>158.521478</v>
      </c>
    </row>
    <row r="509" customFormat="false" ht="15" hidden="false" customHeight="false" outlineLevel="0" collapsed="false">
      <c r="A509" s="7" t="n">
        <v>2022</v>
      </c>
      <c r="B509" s="15" t="s">
        <v>150</v>
      </c>
      <c r="C509" s="15" t="s">
        <v>135</v>
      </c>
      <c r="D509" s="15" t="s">
        <v>141</v>
      </c>
      <c r="E509" s="19" t="n">
        <v>65.439226</v>
      </c>
      <c r="F509" s="19" t="n">
        <v>18.127961</v>
      </c>
      <c r="G509" s="19" t="n">
        <v>82.535517</v>
      </c>
      <c r="H509" s="19" t="n">
        <v>228.918817</v>
      </c>
      <c r="I509" s="19" t="n">
        <v>2849.732086</v>
      </c>
      <c r="J509" s="27" t="n">
        <v>484586</v>
      </c>
      <c r="K509" s="27" t="n">
        <v>485959</v>
      </c>
      <c r="L509" s="9" t="n">
        <f aca="false">IF(AND(K509&lt;&gt;"",J509&lt;Assumptions!$B$3*K509),K509,J509)</f>
        <v>484586</v>
      </c>
      <c r="M509" s="21" t="str">
        <f aca="false">IF(L509=J509,"FERC Form 1","EIA-861")</f>
        <v>FERC Form 1</v>
      </c>
      <c r="N509" s="28" t="n">
        <f aca="false">E509+F509+G509</f>
        <v>166.102704</v>
      </c>
    </row>
    <row r="510" customFormat="false" ht="15" hidden="false" customHeight="false" outlineLevel="0" collapsed="false">
      <c r="A510" s="7" t="n">
        <v>2023</v>
      </c>
      <c r="B510" s="15" t="s">
        <v>150</v>
      </c>
      <c r="C510" s="15" t="s">
        <v>135</v>
      </c>
      <c r="D510" s="15" t="s">
        <v>141</v>
      </c>
      <c r="E510" s="19" t="n">
        <v>65.165391</v>
      </c>
      <c r="F510" s="19" t="n">
        <v>17.724006</v>
      </c>
      <c r="G510" s="19" t="n">
        <v>81.856364</v>
      </c>
      <c r="H510" s="19" t="n">
        <v>344.905401</v>
      </c>
      <c r="I510" s="19" t="n">
        <v>3175.291973</v>
      </c>
      <c r="J510" s="27" t="n">
        <v>487079</v>
      </c>
      <c r="K510" s="27" t="n">
        <v>488841</v>
      </c>
      <c r="L510" s="9" t="n">
        <f aca="false">IF(AND(K510&lt;&gt;"",J510&lt;Assumptions!$B$3*K510),K510,J510)</f>
        <v>487079</v>
      </c>
      <c r="M510" s="21" t="str">
        <f aca="false">IF(L510=J510,"FERC Form 1","EIA-861")</f>
        <v>FERC Form 1</v>
      </c>
      <c r="N510" s="28" t="n">
        <f aca="false">E510+F510+G510</f>
        <v>164.745761</v>
      </c>
    </row>
    <row r="511" customFormat="false" ht="15" hidden="false" customHeight="false" outlineLevel="0" collapsed="false">
      <c r="A511" s="7" t="n">
        <v>2024</v>
      </c>
      <c r="B511" s="15" t="s">
        <v>150</v>
      </c>
      <c r="C511" s="15" t="s">
        <v>135</v>
      </c>
      <c r="D511" s="15" t="s">
        <v>141</v>
      </c>
      <c r="E511" s="19" t="n">
        <v>74.061796</v>
      </c>
      <c r="F511" s="19" t="n">
        <v>18.502015</v>
      </c>
      <c r="G511" s="19" t="n">
        <v>73.648025</v>
      </c>
      <c r="H511" s="19" t="n">
        <v>201.627029</v>
      </c>
      <c r="I511" s="19" t="n">
        <v>3365.974804</v>
      </c>
      <c r="J511" s="27" t="n">
        <v>490666</v>
      </c>
      <c r="K511" s="27" t="n">
        <v>492700</v>
      </c>
      <c r="L511" s="9" t="n">
        <f aca="false">IF(AND(K511&lt;&gt;"",J511&lt;Assumptions!$B$3*K511),K511,J511)</f>
        <v>490666</v>
      </c>
      <c r="M511" s="21" t="str">
        <f aca="false">IF(L511=J511,"FERC Form 1","EIA-861")</f>
        <v>FERC Form 1</v>
      </c>
      <c r="N511" s="28" t="n">
        <f aca="false">E511+F511+G511</f>
        <v>166.211836</v>
      </c>
    </row>
    <row r="512" customFormat="false" ht="15" hidden="false" customHeight="false" outlineLevel="0" collapsed="false">
      <c r="A512" s="7" t="n">
        <v>2025</v>
      </c>
      <c r="B512" s="15" t="s">
        <v>150</v>
      </c>
      <c r="C512" s="15" t="s">
        <v>135</v>
      </c>
      <c r="D512" s="15" t="s">
        <v>141</v>
      </c>
      <c r="E512" s="19" t="n">
        <v>83.987219</v>
      </c>
      <c r="F512" s="19" t="n">
        <v>27.54026</v>
      </c>
      <c r="G512" s="19" t="n">
        <v>84.741297</v>
      </c>
      <c r="H512" s="19" t="n">
        <v>556.146328</v>
      </c>
      <c r="I512" s="19" t="n">
        <v>3935.837169</v>
      </c>
      <c r="J512" s="27" t="n">
        <v>494559</v>
      </c>
      <c r="K512" s="27" t="n">
        <v>496542</v>
      </c>
      <c r="L512" s="9" t="n">
        <f aca="false">IF(AND(K512&lt;&gt;"",J512&lt;Assumptions!$B$3*K512),K512,J512)</f>
        <v>494559</v>
      </c>
      <c r="M512" s="21" t="str">
        <f aca="false">IF(L512=J512,"FERC Form 1","EIA-861")</f>
        <v>FERC Form 1</v>
      </c>
      <c r="N512" s="28" t="n">
        <f aca="false">E512+F512+G512</f>
        <v>196.268776</v>
      </c>
    </row>
    <row r="513" customFormat="false" ht="15" hidden="false" customHeight="false" outlineLevel="0" collapsed="false">
      <c r="A513" s="7" t="n">
        <v>2000</v>
      </c>
      <c r="B513" s="15" t="s">
        <v>151</v>
      </c>
      <c r="C513" s="15" t="s">
        <v>135</v>
      </c>
      <c r="D513" s="15" t="s">
        <v>136</v>
      </c>
      <c r="E513" s="19" t="n">
        <v>100.589154</v>
      </c>
      <c r="F513" s="19" t="n">
        <v>96.883278</v>
      </c>
      <c r="G513" s="19" t="n">
        <v>60.659666</v>
      </c>
      <c r="H513" s="19" t="n">
        <v>122.587262</v>
      </c>
      <c r="I513" s="19" t="n">
        <v>2101.884713</v>
      </c>
      <c r="J513" s="27" t="n">
        <v>1270285</v>
      </c>
      <c r="K513" s="27"/>
      <c r="L513" s="9" t="n">
        <f aca="false">IF(AND(K513&lt;&gt;"",J513&lt;Assumptions!$B$3*K513),K513,J513)</f>
        <v>1270285</v>
      </c>
      <c r="M513" s="21" t="str">
        <f aca="false">IF(L513=J513,"FERC Form 1","EIA-861")</f>
        <v>FERC Form 1</v>
      </c>
      <c r="N513" s="28" t="n">
        <f aca="false">E513+F513+G513</f>
        <v>258.132098</v>
      </c>
    </row>
    <row r="514" customFormat="false" ht="15" hidden="false" customHeight="false" outlineLevel="0" collapsed="false">
      <c r="A514" s="7" t="n">
        <v>2001</v>
      </c>
      <c r="B514" s="15" t="s">
        <v>151</v>
      </c>
      <c r="C514" s="15" t="s">
        <v>135</v>
      </c>
      <c r="D514" s="15" t="s">
        <v>136</v>
      </c>
      <c r="E514" s="19" t="n">
        <v>95.719772</v>
      </c>
      <c r="F514" s="19" t="n">
        <v>76.603231</v>
      </c>
      <c r="G514" s="19" t="n">
        <v>63.485604</v>
      </c>
      <c r="H514" s="19" t="n">
        <v>120.828626</v>
      </c>
      <c r="I514" s="19" t="n">
        <v>2191.862825</v>
      </c>
      <c r="J514" s="27" t="n">
        <v>1288738</v>
      </c>
      <c r="K514" s="27" t="n">
        <v>1288886</v>
      </c>
      <c r="L514" s="9" t="n">
        <f aca="false">IF(AND(K514&lt;&gt;"",J514&lt;Assumptions!$B$3*K514),K514,J514)</f>
        <v>1288738</v>
      </c>
      <c r="M514" s="21" t="str">
        <f aca="false">IF(L514=J514,"FERC Form 1","EIA-861")</f>
        <v>FERC Form 1</v>
      </c>
      <c r="N514" s="28" t="n">
        <f aca="false">E514+F514+G514</f>
        <v>235.808607</v>
      </c>
    </row>
    <row r="515" customFormat="false" ht="15" hidden="false" customHeight="false" outlineLevel="0" collapsed="false">
      <c r="A515" s="7" t="n">
        <v>2002</v>
      </c>
      <c r="B515" s="15" t="s">
        <v>151</v>
      </c>
      <c r="C515" s="15" t="s">
        <v>135</v>
      </c>
      <c r="D515" s="15" t="s">
        <v>136</v>
      </c>
      <c r="E515" s="19" t="n">
        <v>81.12359</v>
      </c>
      <c r="F515" s="19" t="n">
        <v>106.66512</v>
      </c>
      <c r="G515" s="19" t="n">
        <v>66.186071</v>
      </c>
      <c r="H515" s="19" t="n">
        <v>100.44462</v>
      </c>
      <c r="I515" s="19" t="n">
        <v>2280.591509</v>
      </c>
      <c r="J515" s="27" t="n">
        <v>1308882</v>
      </c>
      <c r="K515" s="27" t="n">
        <v>1307706</v>
      </c>
      <c r="L515" s="9" t="n">
        <f aca="false">IF(AND(K515&lt;&gt;"",J515&lt;Assumptions!$B$3*K515),K515,J515)</f>
        <v>1308882</v>
      </c>
      <c r="M515" s="21" t="str">
        <f aca="false">IF(L515=J515,"FERC Form 1","EIA-861")</f>
        <v>FERC Form 1</v>
      </c>
      <c r="N515" s="28" t="n">
        <f aca="false">E515+F515+G515</f>
        <v>253.974781</v>
      </c>
    </row>
    <row r="516" customFormat="false" ht="15" hidden="false" customHeight="false" outlineLevel="0" collapsed="false">
      <c r="A516" s="7" t="n">
        <v>2003</v>
      </c>
      <c r="B516" s="15" t="s">
        <v>151</v>
      </c>
      <c r="C516" s="15" t="s">
        <v>135</v>
      </c>
      <c r="D516" s="15" t="s">
        <v>136</v>
      </c>
      <c r="E516" s="19" t="n">
        <v>91.179683</v>
      </c>
      <c r="F516" s="19" t="n">
        <v>108.414056</v>
      </c>
      <c r="G516" s="19" t="n">
        <v>70.910894</v>
      </c>
      <c r="H516" s="19" t="n">
        <v>122.431949</v>
      </c>
      <c r="I516" s="19" t="n">
        <v>2403.079739</v>
      </c>
      <c r="J516" s="27" t="n">
        <v>1322813</v>
      </c>
      <c r="K516" s="27" t="n">
        <v>1321717</v>
      </c>
      <c r="L516" s="9" t="n">
        <f aca="false">IF(AND(K516&lt;&gt;"",J516&lt;Assumptions!$B$3*K516),K516,J516)</f>
        <v>1322813</v>
      </c>
      <c r="M516" s="21" t="str">
        <f aca="false">IF(L516=J516,"FERC Form 1","EIA-861")</f>
        <v>FERC Form 1</v>
      </c>
      <c r="N516" s="28" t="n">
        <f aca="false">E516+F516+G516</f>
        <v>270.504633</v>
      </c>
    </row>
    <row r="517" customFormat="false" ht="15" hidden="false" customHeight="false" outlineLevel="0" collapsed="false">
      <c r="A517" s="7" t="n">
        <v>2004</v>
      </c>
      <c r="B517" s="15" t="s">
        <v>151</v>
      </c>
      <c r="C517" s="15" t="s">
        <v>135</v>
      </c>
      <c r="D517" s="15" t="s">
        <v>136</v>
      </c>
      <c r="E517" s="19" t="n">
        <v>91.789767</v>
      </c>
      <c r="F517" s="19" t="n">
        <v>105.200409</v>
      </c>
      <c r="G517" s="19" t="n">
        <v>74.949118</v>
      </c>
      <c r="H517" s="19" t="n">
        <v>131.001816</v>
      </c>
      <c r="I517" s="19" t="n">
        <v>2524.849974</v>
      </c>
      <c r="J517" s="27" t="n">
        <v>1342231</v>
      </c>
      <c r="K517" s="27" t="n">
        <v>1352175</v>
      </c>
      <c r="L517" s="9" t="n">
        <f aca="false">IF(AND(K517&lt;&gt;"",J517&lt;Assumptions!$B$3*K517),K517,J517)</f>
        <v>1342231</v>
      </c>
      <c r="M517" s="21" t="str">
        <f aca="false">IF(L517=J517,"FERC Form 1","EIA-861")</f>
        <v>FERC Form 1</v>
      </c>
      <c r="N517" s="28" t="n">
        <f aca="false">E517+F517+G517</f>
        <v>271.939294</v>
      </c>
    </row>
    <row r="518" customFormat="false" ht="15" hidden="false" customHeight="false" outlineLevel="0" collapsed="false">
      <c r="A518" s="7" t="n">
        <v>2005</v>
      </c>
      <c r="B518" s="15" t="s">
        <v>151</v>
      </c>
      <c r="C518" s="15" t="s">
        <v>135</v>
      </c>
      <c r="D518" s="15" t="s">
        <v>136</v>
      </c>
      <c r="E518" s="19" t="n">
        <v>91.162568</v>
      </c>
      <c r="F518" s="19" t="n">
        <v>116.102057</v>
      </c>
      <c r="G518" s="19" t="n">
        <v>78.144381</v>
      </c>
      <c r="H518" s="19" t="n">
        <v>106.169972</v>
      </c>
      <c r="I518" s="19" t="n">
        <v>2620.871473</v>
      </c>
      <c r="J518" s="27" t="n">
        <v>1389984</v>
      </c>
      <c r="K518" s="27" t="n">
        <v>1330963</v>
      </c>
      <c r="L518" s="9" t="n">
        <f aca="false">IF(AND(K518&lt;&gt;"",J518&lt;Assumptions!$B$3*K518),K518,J518)</f>
        <v>1389984</v>
      </c>
      <c r="M518" s="21" t="str">
        <f aca="false">IF(L518=J518,"FERC Form 1","EIA-861")</f>
        <v>FERC Form 1</v>
      </c>
      <c r="N518" s="28" t="n">
        <f aca="false">E518+F518+G518</f>
        <v>285.409006</v>
      </c>
    </row>
    <row r="519" customFormat="false" ht="15" hidden="false" customHeight="false" outlineLevel="0" collapsed="false">
      <c r="A519" s="7" t="n">
        <v>2006</v>
      </c>
      <c r="B519" s="15" t="s">
        <v>151</v>
      </c>
      <c r="C519" s="15" t="s">
        <v>135</v>
      </c>
      <c r="D519" s="15" t="s">
        <v>136</v>
      </c>
      <c r="E519" s="19" t="n">
        <v>99.303543</v>
      </c>
      <c r="F519" s="19" t="n">
        <v>120.611459</v>
      </c>
      <c r="G519" s="19" t="n">
        <v>80.85823</v>
      </c>
      <c r="H519" s="19" t="n">
        <v>126.329984</v>
      </c>
      <c r="I519" s="19" t="n">
        <v>2639.294906</v>
      </c>
      <c r="J519" s="27" t="n">
        <v>1303517</v>
      </c>
      <c r="K519" s="27" t="n">
        <v>1344260</v>
      </c>
      <c r="L519" s="9" t="n">
        <f aca="false">IF(AND(K519&lt;&gt;"",J519&lt;Assumptions!$B$3*K519),K519,J519)</f>
        <v>1303517</v>
      </c>
      <c r="M519" s="21" t="str">
        <f aca="false">IF(L519=J519,"FERC Form 1","EIA-861")</f>
        <v>FERC Form 1</v>
      </c>
      <c r="N519" s="28" t="n">
        <f aca="false">E519+F519+G519</f>
        <v>300.773232</v>
      </c>
    </row>
    <row r="520" customFormat="false" ht="15" hidden="false" customHeight="false" outlineLevel="0" collapsed="false">
      <c r="A520" s="7" t="n">
        <v>2007</v>
      </c>
      <c r="B520" s="15" t="s">
        <v>151</v>
      </c>
      <c r="C520" s="15" t="s">
        <v>135</v>
      </c>
      <c r="D520" s="15" t="s">
        <v>136</v>
      </c>
      <c r="E520" s="19" t="n">
        <v>100.502703</v>
      </c>
      <c r="F520" s="19" t="n">
        <v>131.980222</v>
      </c>
      <c r="G520" s="19" t="n">
        <v>81.450816</v>
      </c>
      <c r="H520" s="19" t="n">
        <v>119.647091</v>
      </c>
      <c r="I520" s="19" t="n">
        <v>2735.476393</v>
      </c>
      <c r="J520" s="27" t="n">
        <v>1327035</v>
      </c>
      <c r="K520" s="27" t="n">
        <v>1365459</v>
      </c>
      <c r="L520" s="9" t="n">
        <f aca="false">IF(AND(K520&lt;&gt;"",J520&lt;Assumptions!$B$3*K520),K520,J520)</f>
        <v>1327035</v>
      </c>
      <c r="M520" s="21" t="str">
        <f aca="false">IF(L520=J520,"FERC Form 1","EIA-861")</f>
        <v>FERC Form 1</v>
      </c>
      <c r="N520" s="28" t="n">
        <f aca="false">E520+F520+G520</f>
        <v>313.933741</v>
      </c>
    </row>
    <row r="521" customFormat="false" ht="15" hidden="false" customHeight="false" outlineLevel="0" collapsed="false">
      <c r="A521" s="7" t="n">
        <v>2008</v>
      </c>
      <c r="B521" s="15" t="s">
        <v>151</v>
      </c>
      <c r="C521" s="15" t="s">
        <v>135</v>
      </c>
      <c r="D521" s="15" t="s">
        <v>136</v>
      </c>
      <c r="E521" s="19" t="n">
        <v>102.93547</v>
      </c>
      <c r="F521" s="19" t="n">
        <v>125.616153</v>
      </c>
      <c r="G521" s="19" t="n">
        <v>86.46601</v>
      </c>
      <c r="H521" s="19" t="n">
        <v>122.366199</v>
      </c>
      <c r="I521" s="19" t="n">
        <v>2831.273473</v>
      </c>
      <c r="J521" s="27" t="n">
        <v>1344989</v>
      </c>
      <c r="K521" s="27" t="n">
        <v>1376147</v>
      </c>
      <c r="L521" s="9" t="n">
        <f aca="false">IF(AND(K521&lt;&gt;"",J521&lt;Assumptions!$B$3*K521),K521,J521)</f>
        <v>1344989</v>
      </c>
      <c r="M521" s="21" t="str">
        <f aca="false">IF(L521=J521,"FERC Form 1","EIA-861")</f>
        <v>FERC Form 1</v>
      </c>
      <c r="N521" s="28" t="n">
        <f aca="false">E521+F521+G521</f>
        <v>315.017633</v>
      </c>
    </row>
    <row r="522" customFormat="false" ht="15" hidden="false" customHeight="false" outlineLevel="0" collapsed="false">
      <c r="A522" s="7" t="n">
        <v>2009</v>
      </c>
      <c r="B522" s="15" t="s">
        <v>151</v>
      </c>
      <c r="C522" s="15" t="s">
        <v>135</v>
      </c>
      <c r="D522" s="15" t="s">
        <v>136</v>
      </c>
      <c r="E522" s="19" t="n">
        <v>102.52969</v>
      </c>
      <c r="F522" s="19" t="n">
        <v>122.572729</v>
      </c>
      <c r="G522" s="19" t="n">
        <v>87.809292</v>
      </c>
      <c r="H522" s="19" t="n">
        <v>115.667636</v>
      </c>
      <c r="I522" s="19" t="n">
        <v>2928.723088</v>
      </c>
      <c r="J522" s="27" t="n">
        <v>1367070</v>
      </c>
      <c r="K522" s="27" t="n">
        <v>1384091</v>
      </c>
      <c r="L522" s="9" t="n">
        <f aca="false">IF(AND(K522&lt;&gt;"",J522&lt;Assumptions!$B$3*K522),K522,J522)</f>
        <v>1367070</v>
      </c>
      <c r="M522" s="21" t="str">
        <f aca="false">IF(L522=J522,"FERC Form 1","EIA-861")</f>
        <v>FERC Form 1</v>
      </c>
      <c r="N522" s="28" t="n">
        <f aca="false">E522+F522+G522</f>
        <v>312.911711</v>
      </c>
    </row>
    <row r="523" customFormat="false" ht="15" hidden="false" customHeight="false" outlineLevel="0" collapsed="false">
      <c r="A523" s="7" t="n">
        <v>2010</v>
      </c>
      <c r="B523" s="15" t="s">
        <v>151</v>
      </c>
      <c r="C523" s="15" t="s">
        <v>135</v>
      </c>
      <c r="D523" s="15" t="s">
        <v>136</v>
      </c>
      <c r="E523" s="19" t="n">
        <v>109.895709</v>
      </c>
      <c r="F523" s="19" t="n">
        <v>139.097046</v>
      </c>
      <c r="G523" s="19" t="n">
        <v>92.060297</v>
      </c>
      <c r="H523" s="19" t="n">
        <v>119.994214</v>
      </c>
      <c r="I523" s="19" t="n">
        <v>3031.579538</v>
      </c>
      <c r="J523" s="27" t="n">
        <v>1363421</v>
      </c>
      <c r="K523" s="27" t="n">
        <v>1392493</v>
      </c>
      <c r="L523" s="9" t="n">
        <f aca="false">IF(AND(K523&lt;&gt;"",J523&lt;Assumptions!$B$3*K523),K523,J523)</f>
        <v>1363421</v>
      </c>
      <c r="M523" s="21" t="str">
        <f aca="false">IF(L523=J523,"FERC Form 1","EIA-861")</f>
        <v>FERC Form 1</v>
      </c>
      <c r="N523" s="28" t="n">
        <f aca="false">E523+F523+G523</f>
        <v>341.053052</v>
      </c>
    </row>
    <row r="524" customFormat="false" ht="15" hidden="false" customHeight="false" outlineLevel="0" collapsed="false">
      <c r="A524" s="7" t="n">
        <v>2011</v>
      </c>
      <c r="B524" s="15" t="s">
        <v>151</v>
      </c>
      <c r="C524" s="15" t="s">
        <v>135</v>
      </c>
      <c r="D524" s="15" t="s">
        <v>136</v>
      </c>
      <c r="E524" s="19" t="n">
        <v>112.98736</v>
      </c>
      <c r="F524" s="19" t="n">
        <v>175.569754</v>
      </c>
      <c r="G524" s="19" t="n">
        <v>72.613713</v>
      </c>
      <c r="H524" s="19" t="n">
        <v>160.661461</v>
      </c>
      <c r="I524" s="19" t="n">
        <v>3168.661143</v>
      </c>
      <c r="J524" s="27" t="n">
        <v>1399830</v>
      </c>
      <c r="K524" s="27" t="n">
        <v>1399828</v>
      </c>
      <c r="L524" s="9" t="n">
        <f aca="false">IF(AND(K524&lt;&gt;"",J524&lt;Assumptions!$B$3*K524),K524,J524)</f>
        <v>1399830</v>
      </c>
      <c r="M524" s="21" t="str">
        <f aca="false">IF(L524=J524,"FERC Form 1","EIA-861")</f>
        <v>FERC Form 1</v>
      </c>
      <c r="N524" s="28" t="n">
        <f aca="false">E524+F524+G524</f>
        <v>361.170827</v>
      </c>
    </row>
    <row r="525" customFormat="false" ht="15" hidden="false" customHeight="false" outlineLevel="0" collapsed="false">
      <c r="A525" s="7" t="n">
        <v>2012</v>
      </c>
      <c r="B525" s="15" t="s">
        <v>151</v>
      </c>
      <c r="C525" s="15" t="s">
        <v>135</v>
      </c>
      <c r="D525" s="15" t="s">
        <v>136</v>
      </c>
      <c r="E525" s="19" t="n">
        <v>111.134724</v>
      </c>
      <c r="F525" s="19" t="n">
        <v>158.155858</v>
      </c>
      <c r="G525" s="19" t="n">
        <v>72.643403</v>
      </c>
      <c r="H525" s="19" t="n">
        <v>125.564587</v>
      </c>
      <c r="I525" s="19" t="n">
        <v>3233.191615</v>
      </c>
      <c r="J525" s="27" t="n">
        <v>1407496</v>
      </c>
      <c r="K525" s="27" t="n">
        <v>1407496</v>
      </c>
      <c r="L525" s="9" t="n">
        <f aca="false">IF(AND(K525&lt;&gt;"",J525&lt;Assumptions!$B$3*K525),K525,J525)</f>
        <v>1407496</v>
      </c>
      <c r="M525" s="21" t="str">
        <f aca="false">IF(L525=J525,"FERC Form 1","EIA-861")</f>
        <v>FERC Form 1</v>
      </c>
      <c r="N525" s="28" t="n">
        <f aca="false">E525+F525+G525</f>
        <v>341.933985</v>
      </c>
    </row>
    <row r="526" customFormat="false" ht="15" hidden="false" customHeight="false" outlineLevel="0" collapsed="false">
      <c r="A526" s="7" t="n">
        <v>2013</v>
      </c>
      <c r="B526" s="15" t="s">
        <v>151</v>
      </c>
      <c r="C526" s="15" t="s">
        <v>135</v>
      </c>
      <c r="D526" s="15" t="s">
        <v>136</v>
      </c>
      <c r="E526" s="19" t="n">
        <v>121.107048</v>
      </c>
      <c r="F526" s="19" t="n">
        <v>139.916594</v>
      </c>
      <c r="G526" s="19" t="n">
        <v>93.93125</v>
      </c>
      <c r="H526" s="19" t="n">
        <v>171.685577</v>
      </c>
      <c r="I526" s="19" t="n">
        <v>3379.693536</v>
      </c>
      <c r="J526" s="27" t="n">
        <v>1417543</v>
      </c>
      <c r="K526" s="27" t="n">
        <v>1417492</v>
      </c>
      <c r="L526" s="9" t="n">
        <f aca="false">IF(AND(K526&lt;&gt;"",J526&lt;Assumptions!$B$3*K526),K526,J526)</f>
        <v>1417543</v>
      </c>
      <c r="M526" s="21" t="str">
        <f aca="false">IF(L526=J526,"FERC Form 1","EIA-861")</f>
        <v>FERC Form 1</v>
      </c>
      <c r="N526" s="28" t="n">
        <f aca="false">E526+F526+G526</f>
        <v>354.954892</v>
      </c>
    </row>
    <row r="527" customFormat="false" ht="15" hidden="false" customHeight="false" outlineLevel="0" collapsed="false">
      <c r="A527" s="7" t="n">
        <v>2014</v>
      </c>
      <c r="B527" s="15" t="s">
        <v>151</v>
      </c>
      <c r="C527" s="15" t="s">
        <v>135</v>
      </c>
      <c r="D527" s="15" t="s">
        <v>136</v>
      </c>
      <c r="E527" s="19" t="n">
        <v>117.777814</v>
      </c>
      <c r="F527" s="19" t="n">
        <v>182.127147</v>
      </c>
      <c r="G527" s="19" t="n">
        <v>98.010454</v>
      </c>
      <c r="H527" s="19" t="n">
        <v>188.374822</v>
      </c>
      <c r="I527" s="19" t="n">
        <v>3538.749842</v>
      </c>
      <c r="J527" s="27" t="n">
        <v>1429379</v>
      </c>
      <c r="K527" s="27" t="n">
        <v>1429382</v>
      </c>
      <c r="L527" s="9" t="n">
        <f aca="false">IF(AND(K527&lt;&gt;"",J527&lt;Assumptions!$B$3*K527),K527,J527)</f>
        <v>1429379</v>
      </c>
      <c r="M527" s="21" t="str">
        <f aca="false">IF(L527=J527,"FERC Form 1","EIA-861")</f>
        <v>FERC Form 1</v>
      </c>
      <c r="N527" s="28" t="n">
        <f aca="false">E527+F527+G527</f>
        <v>397.915415</v>
      </c>
    </row>
    <row r="528" customFormat="false" ht="15" hidden="false" customHeight="false" outlineLevel="0" collapsed="false">
      <c r="A528" s="7" t="n">
        <v>2015</v>
      </c>
      <c r="B528" s="15" t="s">
        <v>151</v>
      </c>
      <c r="C528" s="15" t="s">
        <v>135</v>
      </c>
      <c r="D528" s="15" t="s">
        <v>136</v>
      </c>
      <c r="E528" s="19" t="n">
        <v>106.451562</v>
      </c>
      <c r="F528" s="19" t="n">
        <v>124.803681</v>
      </c>
      <c r="G528" s="19" t="n">
        <v>103.303123</v>
      </c>
      <c r="H528" s="19" t="n">
        <v>166.34041</v>
      </c>
      <c r="I528" s="19" t="n">
        <v>3677.421725</v>
      </c>
      <c r="J528" s="27" t="n">
        <v>1441799</v>
      </c>
      <c r="K528" s="27" t="n">
        <v>1441800</v>
      </c>
      <c r="L528" s="9" t="n">
        <f aca="false">IF(AND(K528&lt;&gt;"",J528&lt;Assumptions!$B$3*K528),K528,J528)</f>
        <v>1441799</v>
      </c>
      <c r="M528" s="21" t="str">
        <f aca="false">IF(L528=J528,"FERC Form 1","EIA-861")</f>
        <v>FERC Form 1</v>
      </c>
      <c r="N528" s="28" t="n">
        <f aca="false">E528+F528+G528</f>
        <v>334.558366</v>
      </c>
    </row>
    <row r="529" customFormat="false" ht="15" hidden="false" customHeight="false" outlineLevel="0" collapsed="false">
      <c r="A529" s="7" t="n">
        <v>2016</v>
      </c>
      <c r="B529" s="15" t="s">
        <v>151</v>
      </c>
      <c r="C529" s="15" t="s">
        <v>135</v>
      </c>
      <c r="D529" s="15" t="s">
        <v>136</v>
      </c>
      <c r="E529" s="19" t="n">
        <v>110.969206</v>
      </c>
      <c r="F529" s="19" t="n">
        <v>145.931747</v>
      </c>
      <c r="G529" s="19" t="n">
        <v>107.257645</v>
      </c>
      <c r="H529" s="19" t="n">
        <v>206.459993</v>
      </c>
      <c r="I529" s="19" t="n">
        <v>3868.125247</v>
      </c>
      <c r="J529" s="27" t="n">
        <v>1454285</v>
      </c>
      <c r="K529" s="27" t="n">
        <v>1454287</v>
      </c>
      <c r="L529" s="9" t="n">
        <f aca="false">IF(AND(K529&lt;&gt;"",J529&lt;Assumptions!$B$3*K529),K529,J529)</f>
        <v>1454285</v>
      </c>
      <c r="M529" s="21" t="str">
        <f aca="false">IF(L529=J529,"FERC Form 1","EIA-861")</f>
        <v>FERC Form 1</v>
      </c>
      <c r="N529" s="28" t="n">
        <f aca="false">E529+F529+G529</f>
        <v>364.158598</v>
      </c>
    </row>
    <row r="530" customFormat="false" ht="15" hidden="false" customHeight="false" outlineLevel="0" collapsed="false">
      <c r="A530" s="7" t="n">
        <v>2017</v>
      </c>
      <c r="B530" s="15" t="s">
        <v>151</v>
      </c>
      <c r="C530" s="15" t="s">
        <v>135</v>
      </c>
      <c r="D530" s="15" t="s">
        <v>136</v>
      </c>
      <c r="E530" s="19" t="n">
        <v>111.165601</v>
      </c>
      <c r="F530" s="19" t="n">
        <v>162.077342</v>
      </c>
      <c r="G530" s="19" t="n">
        <v>106.084656</v>
      </c>
      <c r="H530" s="19" t="n">
        <v>172.86087</v>
      </c>
      <c r="I530" s="19" t="n">
        <v>4001.157895</v>
      </c>
      <c r="J530" s="27" t="n">
        <v>1466398</v>
      </c>
      <c r="K530" s="27" t="n">
        <v>1466394</v>
      </c>
      <c r="L530" s="9" t="n">
        <f aca="false">IF(AND(K530&lt;&gt;"",J530&lt;Assumptions!$B$3*K530),K530,J530)</f>
        <v>1466398</v>
      </c>
      <c r="M530" s="21" t="str">
        <f aca="false">IF(L530=J530,"FERC Form 1","EIA-861")</f>
        <v>FERC Form 1</v>
      </c>
      <c r="N530" s="28" t="n">
        <f aca="false">E530+F530+G530</f>
        <v>379.327599</v>
      </c>
    </row>
    <row r="531" customFormat="false" ht="15" hidden="false" customHeight="false" outlineLevel="0" collapsed="false">
      <c r="A531" s="7" t="n">
        <v>2018</v>
      </c>
      <c r="B531" s="15" t="s">
        <v>151</v>
      </c>
      <c r="C531" s="15" t="s">
        <v>135</v>
      </c>
      <c r="D531" s="15" t="s">
        <v>136</v>
      </c>
      <c r="E531" s="19" t="n">
        <v>122.695865</v>
      </c>
      <c r="F531" s="19" t="n">
        <v>159.053789</v>
      </c>
      <c r="G531" s="19" t="n">
        <v>112.565938</v>
      </c>
      <c r="H531" s="19" t="n">
        <v>195.037751</v>
      </c>
      <c r="I531" s="19" t="n">
        <v>4136.835009</v>
      </c>
      <c r="J531" s="27" t="n">
        <v>1478542</v>
      </c>
      <c r="K531" s="27" t="n">
        <v>1478544</v>
      </c>
      <c r="L531" s="9" t="n">
        <f aca="false">IF(AND(K531&lt;&gt;"",J531&lt;Assumptions!$B$3*K531),K531,J531)</f>
        <v>1478542</v>
      </c>
      <c r="M531" s="21" t="str">
        <f aca="false">IF(L531=J531,"FERC Form 1","EIA-861")</f>
        <v>FERC Form 1</v>
      </c>
      <c r="N531" s="28" t="n">
        <f aca="false">E531+F531+G531</f>
        <v>394.315592</v>
      </c>
    </row>
    <row r="532" customFormat="false" ht="15" hidden="false" customHeight="false" outlineLevel="0" collapsed="false">
      <c r="A532" s="7" t="n">
        <v>2019</v>
      </c>
      <c r="B532" s="15" t="s">
        <v>151</v>
      </c>
      <c r="C532" s="15" t="s">
        <v>135</v>
      </c>
      <c r="D532" s="15" t="s">
        <v>136</v>
      </c>
      <c r="E532" s="19" t="n">
        <v>121.335093</v>
      </c>
      <c r="F532" s="19" t="n">
        <v>168.701257</v>
      </c>
      <c r="G532" s="19" t="n">
        <v>116.716217</v>
      </c>
      <c r="H532" s="19" t="n">
        <v>218.751354</v>
      </c>
      <c r="I532" s="19" t="n">
        <v>4306.162495</v>
      </c>
      <c r="J532" s="27" t="n">
        <v>1491047</v>
      </c>
      <c r="K532" s="27" t="n">
        <v>1491047</v>
      </c>
      <c r="L532" s="9" t="n">
        <f aca="false">IF(AND(K532&lt;&gt;"",J532&lt;Assumptions!$B$3*K532),K532,J532)</f>
        <v>1491047</v>
      </c>
      <c r="M532" s="21" t="str">
        <f aca="false">IF(L532=J532,"FERC Form 1","EIA-861")</f>
        <v>FERC Form 1</v>
      </c>
      <c r="N532" s="28" t="n">
        <f aca="false">E532+F532+G532</f>
        <v>406.752567</v>
      </c>
    </row>
    <row r="533" customFormat="false" ht="15" hidden="false" customHeight="false" outlineLevel="0" collapsed="false">
      <c r="A533" s="7" t="n">
        <v>2020</v>
      </c>
      <c r="B533" s="15" t="s">
        <v>151</v>
      </c>
      <c r="C533" s="15" t="s">
        <v>135</v>
      </c>
      <c r="D533" s="15" t="s">
        <v>136</v>
      </c>
      <c r="E533" s="19" t="n">
        <v>102.836727</v>
      </c>
      <c r="F533" s="19" t="n">
        <v>193.391438</v>
      </c>
      <c r="G533" s="19" t="n">
        <v>122.002867</v>
      </c>
      <c r="H533" s="19" t="n">
        <v>291.692656</v>
      </c>
      <c r="I533" s="19" t="n">
        <v>4554.113969</v>
      </c>
      <c r="J533" s="27" t="n">
        <v>1504894</v>
      </c>
      <c r="K533" s="27" t="n">
        <v>1504893</v>
      </c>
      <c r="L533" s="9" t="n">
        <f aca="false">IF(AND(K533&lt;&gt;"",J533&lt;Assumptions!$B$3*K533),K533,J533)</f>
        <v>1504894</v>
      </c>
      <c r="M533" s="21" t="str">
        <f aca="false">IF(L533=J533,"FERC Form 1","EIA-861")</f>
        <v>FERC Form 1</v>
      </c>
      <c r="N533" s="28" t="n">
        <f aca="false">E533+F533+G533</f>
        <v>418.231032</v>
      </c>
    </row>
    <row r="534" customFormat="false" ht="15" hidden="false" customHeight="false" outlineLevel="0" collapsed="false">
      <c r="A534" s="7" t="n">
        <v>2021</v>
      </c>
      <c r="B534" s="15" t="s">
        <v>151</v>
      </c>
      <c r="C534" s="15" t="s">
        <v>135</v>
      </c>
      <c r="D534" s="15" t="s">
        <v>136</v>
      </c>
      <c r="E534" s="19" t="n">
        <v>115.243272</v>
      </c>
      <c r="F534" s="19" t="n">
        <v>199.170057</v>
      </c>
      <c r="G534" s="19" t="n">
        <v>130.351881</v>
      </c>
      <c r="H534" s="19" t="n">
        <v>257.531705</v>
      </c>
      <c r="I534" s="19" t="n">
        <v>4778.338628</v>
      </c>
      <c r="J534" s="27" t="n">
        <v>1522746</v>
      </c>
      <c r="K534" s="27" t="n">
        <v>1522745</v>
      </c>
      <c r="L534" s="9" t="n">
        <f aca="false">IF(AND(K534&lt;&gt;"",J534&lt;Assumptions!$B$3*K534),K534,J534)</f>
        <v>1522746</v>
      </c>
      <c r="M534" s="21" t="str">
        <f aca="false">IF(L534=J534,"FERC Form 1","EIA-861")</f>
        <v>FERC Form 1</v>
      </c>
      <c r="N534" s="28" t="n">
        <f aca="false">E534+F534+G534</f>
        <v>444.76521</v>
      </c>
    </row>
    <row r="535" customFormat="false" ht="15" hidden="false" customHeight="false" outlineLevel="0" collapsed="false">
      <c r="A535" s="7" t="n">
        <v>2022</v>
      </c>
      <c r="B535" s="15" t="s">
        <v>151</v>
      </c>
      <c r="C535" s="15" t="s">
        <v>135</v>
      </c>
      <c r="D535" s="15" t="s">
        <v>136</v>
      </c>
      <c r="E535" s="19" t="n">
        <v>114.48265</v>
      </c>
      <c r="F535" s="19" t="n">
        <v>203.815916</v>
      </c>
      <c r="G535" s="19" t="n">
        <v>140.040844</v>
      </c>
      <c r="H535" s="19" t="n">
        <v>418.23802</v>
      </c>
      <c r="I535" s="19" t="n">
        <v>5162.167854</v>
      </c>
      <c r="J535" s="27" t="n">
        <v>1538707</v>
      </c>
      <c r="K535" s="27" t="n">
        <v>1538707</v>
      </c>
      <c r="L535" s="9" t="n">
        <f aca="false">IF(AND(K535&lt;&gt;"",J535&lt;Assumptions!$B$3*K535),K535,J535)</f>
        <v>1538707</v>
      </c>
      <c r="M535" s="21" t="str">
        <f aca="false">IF(L535=J535,"FERC Form 1","EIA-861")</f>
        <v>FERC Form 1</v>
      </c>
      <c r="N535" s="28" t="n">
        <f aca="false">E535+F535+G535</f>
        <v>458.33941</v>
      </c>
    </row>
    <row r="536" customFormat="false" ht="15" hidden="false" customHeight="false" outlineLevel="0" collapsed="false">
      <c r="A536" s="7" t="n">
        <v>2023</v>
      </c>
      <c r="B536" s="15" t="s">
        <v>151</v>
      </c>
      <c r="C536" s="15" t="s">
        <v>135</v>
      </c>
      <c r="D536" s="15" t="s">
        <v>136</v>
      </c>
      <c r="E536" s="19" t="n">
        <v>113.896841</v>
      </c>
      <c r="F536" s="19" t="n">
        <v>171.324482</v>
      </c>
      <c r="G536" s="19" t="n">
        <v>170.21086</v>
      </c>
      <c r="H536" s="19" t="n">
        <v>473.057136</v>
      </c>
      <c r="I536" s="19" t="n">
        <v>5601.847282</v>
      </c>
      <c r="J536" s="27" t="n">
        <v>1556301</v>
      </c>
      <c r="K536" s="27" t="n">
        <v>1556302</v>
      </c>
      <c r="L536" s="9" t="n">
        <f aca="false">IF(AND(K536&lt;&gt;"",J536&lt;Assumptions!$B$3*K536),K536,J536)</f>
        <v>1556301</v>
      </c>
      <c r="M536" s="21" t="str">
        <f aca="false">IF(L536=J536,"FERC Form 1","EIA-861")</f>
        <v>FERC Form 1</v>
      </c>
      <c r="N536" s="28" t="n">
        <f aca="false">E536+F536+G536</f>
        <v>455.432183</v>
      </c>
    </row>
    <row r="537" customFormat="false" ht="15" hidden="false" customHeight="false" outlineLevel="0" collapsed="false">
      <c r="A537" s="7" t="n">
        <v>2024</v>
      </c>
      <c r="B537" s="15" t="s">
        <v>151</v>
      </c>
      <c r="C537" s="15" t="s">
        <v>135</v>
      </c>
      <c r="D537" s="15" t="s">
        <v>136</v>
      </c>
      <c r="E537" s="19" t="n">
        <v>123.465788</v>
      </c>
      <c r="F537" s="19" t="n">
        <v>229.692224</v>
      </c>
      <c r="G537" s="19" t="n">
        <v>191.019628</v>
      </c>
      <c r="H537" s="19" t="n">
        <v>673.210101</v>
      </c>
      <c r="I537" s="19" t="n">
        <v>6262.21355</v>
      </c>
      <c r="J537" s="27" t="n">
        <v>1577476</v>
      </c>
      <c r="K537" s="27" t="n">
        <v>1577476</v>
      </c>
      <c r="L537" s="9" t="n">
        <f aca="false">IF(AND(K537&lt;&gt;"",J537&lt;Assumptions!$B$3*K537),K537,J537)</f>
        <v>1577476</v>
      </c>
      <c r="M537" s="21" t="str">
        <f aca="false">IF(L537=J537,"FERC Form 1","EIA-861")</f>
        <v>FERC Form 1</v>
      </c>
      <c r="N537" s="28" t="n">
        <f aca="false">E537+F537+G537</f>
        <v>544.17764</v>
      </c>
    </row>
    <row r="538" customFormat="false" ht="15" hidden="false" customHeight="false" outlineLevel="0" collapsed="false">
      <c r="A538" s="7" t="n">
        <v>2025</v>
      </c>
      <c r="B538" s="15" t="s">
        <v>151</v>
      </c>
      <c r="C538" s="15" t="s">
        <v>135</v>
      </c>
      <c r="D538" s="15" t="s">
        <v>136</v>
      </c>
      <c r="E538" s="19" t="n">
        <v>134.067379</v>
      </c>
      <c r="F538" s="19" t="n">
        <v>179.19534</v>
      </c>
      <c r="G538" s="19" t="n">
        <v>229.580407</v>
      </c>
      <c r="H538" s="19" t="n">
        <v>552.695783</v>
      </c>
      <c r="I538" s="19" t="n">
        <v>6965.641322</v>
      </c>
      <c r="J538" s="27" t="n">
        <v>1594258</v>
      </c>
      <c r="K538" s="27" t="n">
        <v>1594256</v>
      </c>
      <c r="L538" s="9" t="n">
        <f aca="false">IF(AND(K538&lt;&gt;"",J538&lt;Assumptions!$B$3*K538),K538,J538)</f>
        <v>1594258</v>
      </c>
      <c r="M538" s="21" t="str">
        <f aca="false">IF(L538=J538,"FERC Form 1","EIA-861")</f>
        <v>FERC Form 1</v>
      </c>
      <c r="N538" s="28" t="n">
        <f aca="false">E538+F538+G538</f>
        <v>542.843126</v>
      </c>
    </row>
    <row r="539" customFormat="false" ht="15" hidden="false" customHeight="false" outlineLevel="0" collapsed="false">
      <c r="A539" s="7" t="n">
        <v>2000</v>
      </c>
      <c r="B539" s="15" t="s">
        <v>152</v>
      </c>
      <c r="C539" s="15" t="s">
        <v>135</v>
      </c>
      <c r="D539" s="15" t="s">
        <v>148</v>
      </c>
      <c r="E539" s="19" t="n">
        <v>20.995437</v>
      </c>
      <c r="F539" s="19" t="n">
        <v>15.537866</v>
      </c>
      <c r="G539" s="19" t="n">
        <v>14.103997</v>
      </c>
      <c r="H539" s="19" t="n">
        <v>28.581677</v>
      </c>
      <c r="I539" s="19" t="n">
        <v>418.981386</v>
      </c>
      <c r="J539" s="27" t="n">
        <v>224465</v>
      </c>
      <c r="K539" s="27"/>
      <c r="L539" s="9" t="n">
        <f aca="false">IF(AND(K539&lt;&gt;"",J539&lt;Assumptions!$B$3*K539),K539,J539)</f>
        <v>224465</v>
      </c>
      <c r="M539" s="21" t="str">
        <f aca="false">IF(L539=J539,"FERC Form 1","EIA-861")</f>
        <v>FERC Form 1</v>
      </c>
      <c r="N539" s="28" t="n">
        <f aca="false">E539+F539+G539</f>
        <v>50.6373</v>
      </c>
    </row>
    <row r="540" customFormat="false" ht="15" hidden="false" customHeight="false" outlineLevel="0" collapsed="false">
      <c r="A540" s="7" t="n">
        <v>2001</v>
      </c>
      <c r="B540" s="15" t="s">
        <v>152</v>
      </c>
      <c r="C540" s="15" t="s">
        <v>135</v>
      </c>
      <c r="D540" s="15" t="s">
        <v>148</v>
      </c>
      <c r="E540" s="19" t="n">
        <v>21.601344</v>
      </c>
      <c r="F540" s="19" t="n">
        <v>15.032043</v>
      </c>
      <c r="G540" s="19" t="n">
        <v>15.546313</v>
      </c>
      <c r="H540" s="19" t="n">
        <v>21.52949</v>
      </c>
      <c r="I540" s="19" t="n">
        <v>438.884625</v>
      </c>
      <c r="J540" s="27" t="n">
        <v>227544</v>
      </c>
      <c r="K540" s="27"/>
      <c r="L540" s="9" t="n">
        <f aca="false">IF(AND(K540&lt;&gt;"",J540&lt;Assumptions!$B$3*K540),K540,J540)</f>
        <v>227544</v>
      </c>
      <c r="M540" s="21" t="str">
        <f aca="false">IF(L540=J540,"FERC Form 1","EIA-861")</f>
        <v>FERC Form 1</v>
      </c>
      <c r="N540" s="28" t="n">
        <f aca="false">E540+F540+G540</f>
        <v>52.1797</v>
      </c>
    </row>
    <row r="541" customFormat="false" ht="15" hidden="false" customHeight="false" outlineLevel="0" collapsed="false">
      <c r="A541" s="7" t="n">
        <v>2002</v>
      </c>
      <c r="B541" s="15" t="s">
        <v>152</v>
      </c>
      <c r="C541" s="15" t="s">
        <v>135</v>
      </c>
      <c r="D541" s="15" t="s">
        <v>148</v>
      </c>
      <c r="E541" s="19" t="n">
        <v>19.965734</v>
      </c>
      <c r="F541" s="19" t="n">
        <v>14.616009</v>
      </c>
      <c r="G541" s="19" t="n">
        <v>16.170434</v>
      </c>
      <c r="H541" s="19" t="n">
        <v>15.716188</v>
      </c>
      <c r="I541" s="19" t="n">
        <v>450.838393</v>
      </c>
      <c r="J541" s="27" t="n">
        <v>231648</v>
      </c>
      <c r="K541" s="27"/>
      <c r="L541" s="9" t="n">
        <f aca="false">IF(AND(K541&lt;&gt;"",J541&lt;Assumptions!$B$3*K541),K541,J541)</f>
        <v>231648</v>
      </c>
      <c r="M541" s="21" t="str">
        <f aca="false">IF(L541=J541,"FERC Form 1","EIA-861")</f>
        <v>FERC Form 1</v>
      </c>
      <c r="N541" s="28" t="n">
        <f aca="false">E541+F541+G541</f>
        <v>50.752177</v>
      </c>
    </row>
    <row r="542" customFormat="false" ht="15" hidden="false" customHeight="false" outlineLevel="0" collapsed="false">
      <c r="A542" s="7" t="n">
        <v>2003</v>
      </c>
      <c r="B542" s="15" t="s">
        <v>152</v>
      </c>
      <c r="C542" s="15" t="s">
        <v>135</v>
      </c>
      <c r="D542" s="15" t="s">
        <v>148</v>
      </c>
      <c r="E542" s="19" t="n">
        <v>16.867097</v>
      </c>
      <c r="F542" s="19" t="n">
        <v>18.182569</v>
      </c>
      <c r="G542" s="19" t="n">
        <v>16.748021</v>
      </c>
      <c r="H542" s="19" t="n">
        <v>23.772271</v>
      </c>
      <c r="I542" s="19" t="n">
        <v>472.491426</v>
      </c>
      <c r="J542" s="27" t="n">
        <v>233917</v>
      </c>
      <c r="K542" s="27"/>
      <c r="L542" s="9" t="n">
        <f aca="false">IF(AND(K542&lt;&gt;"",J542&lt;Assumptions!$B$3*K542),K542,J542)</f>
        <v>233917</v>
      </c>
      <c r="M542" s="21" t="str">
        <f aca="false">IF(L542=J542,"FERC Form 1","EIA-861")</f>
        <v>FERC Form 1</v>
      </c>
      <c r="N542" s="28" t="n">
        <f aca="false">E542+F542+G542</f>
        <v>51.797687</v>
      </c>
    </row>
    <row r="543" customFormat="false" ht="15" hidden="false" customHeight="false" outlineLevel="0" collapsed="false">
      <c r="A543" s="7" t="n">
        <v>2004</v>
      </c>
      <c r="B543" s="15" t="s">
        <v>152</v>
      </c>
      <c r="C543" s="15" t="s">
        <v>135</v>
      </c>
      <c r="D543" s="15" t="s">
        <v>148</v>
      </c>
      <c r="E543" s="19" t="n">
        <v>19.068671</v>
      </c>
      <c r="F543" s="19" t="n">
        <v>17.635325</v>
      </c>
      <c r="G543" s="19" t="n">
        <v>17.600906</v>
      </c>
      <c r="H543" s="19" t="n">
        <v>26.800702</v>
      </c>
      <c r="I543" s="19" t="n">
        <v>496.752025</v>
      </c>
      <c r="J543" s="27" t="n">
        <v>238065</v>
      </c>
      <c r="K543" s="27"/>
      <c r="L543" s="9" t="n">
        <f aca="false">IF(AND(K543&lt;&gt;"",J543&lt;Assumptions!$B$3*K543),K543,J543)</f>
        <v>238065</v>
      </c>
      <c r="M543" s="21" t="str">
        <f aca="false">IF(L543=J543,"FERC Form 1","EIA-861")</f>
        <v>FERC Form 1</v>
      </c>
      <c r="N543" s="28" t="n">
        <f aca="false">E543+F543+G543</f>
        <v>54.304902</v>
      </c>
    </row>
    <row r="544" customFormat="false" ht="15" hidden="false" customHeight="false" outlineLevel="0" collapsed="false">
      <c r="A544" s="7" t="n">
        <v>2005</v>
      </c>
      <c r="B544" s="15" t="s">
        <v>152</v>
      </c>
      <c r="C544" s="15" t="s">
        <v>135</v>
      </c>
      <c r="D544" s="15" t="s">
        <v>148</v>
      </c>
      <c r="E544" s="19" t="n">
        <v>18.723959</v>
      </c>
      <c r="F544" s="19" t="n">
        <v>16.569128</v>
      </c>
      <c r="G544" s="19" t="n">
        <v>17.912355</v>
      </c>
      <c r="H544" s="19" t="n">
        <v>24.126188</v>
      </c>
      <c r="I544" s="19" t="n">
        <v>517.163982</v>
      </c>
      <c r="J544" s="27" t="n">
        <v>249846</v>
      </c>
      <c r="K544" s="27"/>
      <c r="L544" s="9" t="n">
        <f aca="false">IF(AND(K544&lt;&gt;"",J544&lt;Assumptions!$B$3*K544),K544,J544)</f>
        <v>249846</v>
      </c>
      <c r="M544" s="21" t="str">
        <f aca="false">IF(L544=J544,"FERC Form 1","EIA-861")</f>
        <v>FERC Form 1</v>
      </c>
      <c r="N544" s="28" t="n">
        <f aca="false">E544+F544+G544</f>
        <v>53.205442</v>
      </c>
    </row>
    <row r="545" customFormat="false" ht="15" hidden="false" customHeight="false" outlineLevel="0" collapsed="false">
      <c r="A545" s="7" t="n">
        <v>2006</v>
      </c>
      <c r="B545" s="15" t="s">
        <v>152</v>
      </c>
      <c r="C545" s="15" t="s">
        <v>135</v>
      </c>
      <c r="D545" s="15" t="s">
        <v>148</v>
      </c>
      <c r="E545" s="19" t="n">
        <v>19.436068</v>
      </c>
      <c r="F545" s="19" t="n">
        <v>19.914569</v>
      </c>
      <c r="G545" s="19" t="n">
        <v>18.155969</v>
      </c>
      <c r="H545" s="19" t="n">
        <v>10.5558</v>
      </c>
      <c r="I545" s="19" t="n">
        <v>526.214764</v>
      </c>
      <c r="J545" s="27" t="n">
        <v>255125</v>
      </c>
      <c r="K545" s="27"/>
      <c r="L545" s="9" t="n">
        <f aca="false">IF(AND(K545&lt;&gt;"",J545&lt;Assumptions!$B$3*K545),K545,J545)</f>
        <v>255125</v>
      </c>
      <c r="M545" s="21" t="str">
        <f aca="false">IF(L545=J545,"FERC Form 1","EIA-861")</f>
        <v>FERC Form 1</v>
      </c>
      <c r="N545" s="28" t="n">
        <f aca="false">E545+F545+G545</f>
        <v>57.506606</v>
      </c>
    </row>
    <row r="546" customFormat="false" ht="15" hidden="false" customHeight="false" outlineLevel="0" collapsed="false">
      <c r="A546" s="7" t="n">
        <v>2007</v>
      </c>
      <c r="B546" s="15" t="s">
        <v>152</v>
      </c>
      <c r="C546" s="15" t="s">
        <v>135</v>
      </c>
      <c r="D546" s="15" t="s">
        <v>148</v>
      </c>
      <c r="E546" s="19" t="n">
        <v>20.750545</v>
      </c>
      <c r="F546" s="19" t="n">
        <v>18.457928</v>
      </c>
      <c r="G546" s="19" t="n">
        <v>18.778629</v>
      </c>
      <c r="H546" s="19" t="n">
        <v>26.720651</v>
      </c>
      <c r="I546" s="19" t="n">
        <v>549.964021</v>
      </c>
      <c r="J546" s="27" t="n">
        <v>255876</v>
      </c>
      <c r="K546" s="27"/>
      <c r="L546" s="9" t="n">
        <f aca="false">IF(AND(K546&lt;&gt;"",J546&lt;Assumptions!$B$3*K546),K546,J546)</f>
        <v>255876</v>
      </c>
      <c r="M546" s="21" t="str">
        <f aca="false">IF(L546=J546,"FERC Form 1","EIA-861")</f>
        <v>FERC Form 1</v>
      </c>
      <c r="N546" s="28" t="n">
        <f aca="false">E546+F546+G546</f>
        <v>57.987102</v>
      </c>
    </row>
    <row r="547" customFormat="false" ht="15" hidden="false" customHeight="false" outlineLevel="0" collapsed="false">
      <c r="A547" s="7" t="n">
        <v>2008</v>
      </c>
      <c r="B547" s="15" t="s">
        <v>152</v>
      </c>
      <c r="C547" s="15" t="s">
        <v>135</v>
      </c>
      <c r="D547" s="15" t="s">
        <v>148</v>
      </c>
      <c r="E547" s="19" t="n">
        <v>19.805087</v>
      </c>
      <c r="F547" s="19" t="n">
        <v>19.957747</v>
      </c>
      <c r="G547" s="19" t="n">
        <v>19.740846</v>
      </c>
      <c r="H547" s="19" t="n">
        <v>27.124695</v>
      </c>
      <c r="I547" s="19" t="n">
        <v>574.338222</v>
      </c>
      <c r="J547" s="27" t="n">
        <v>259571</v>
      </c>
      <c r="K547" s="27"/>
      <c r="L547" s="9" t="n">
        <f aca="false">IF(AND(K547&lt;&gt;"",J547&lt;Assumptions!$B$3*K547),K547,J547)</f>
        <v>259571</v>
      </c>
      <c r="M547" s="21" t="str">
        <f aca="false">IF(L547=J547,"FERC Form 1","EIA-861")</f>
        <v>FERC Form 1</v>
      </c>
      <c r="N547" s="28" t="n">
        <f aca="false">E547+F547+G547</f>
        <v>59.50368</v>
      </c>
    </row>
    <row r="548" customFormat="false" ht="15" hidden="false" customHeight="false" outlineLevel="0" collapsed="false">
      <c r="A548" s="7" t="n">
        <v>2009</v>
      </c>
      <c r="B548" s="15" t="s">
        <v>152</v>
      </c>
      <c r="C548" s="15" t="s">
        <v>135</v>
      </c>
      <c r="D548" s="15" t="s">
        <v>148</v>
      </c>
      <c r="E548" s="19" t="n">
        <v>19.40793</v>
      </c>
      <c r="F548" s="19" t="n">
        <v>20.78169</v>
      </c>
      <c r="G548" s="19" t="n">
        <v>20.750212</v>
      </c>
      <c r="H548" s="19" t="n">
        <v>26.184492</v>
      </c>
      <c r="I548" s="19" t="n">
        <v>596.953767</v>
      </c>
      <c r="J548" s="27" t="n">
        <v>261029</v>
      </c>
      <c r="K548" s="27"/>
      <c r="L548" s="9" t="n">
        <f aca="false">IF(AND(K548&lt;&gt;"",J548&lt;Assumptions!$B$3*K548),K548,J548)</f>
        <v>261029</v>
      </c>
      <c r="M548" s="21" t="str">
        <f aca="false">IF(L548=J548,"FERC Form 1","EIA-861")</f>
        <v>FERC Form 1</v>
      </c>
      <c r="N548" s="28" t="n">
        <f aca="false">E548+F548+G548</f>
        <v>60.939832</v>
      </c>
    </row>
    <row r="549" customFormat="false" ht="15" hidden="false" customHeight="false" outlineLevel="0" collapsed="false">
      <c r="A549" s="7" t="n">
        <v>2010</v>
      </c>
      <c r="B549" s="15" t="s">
        <v>152</v>
      </c>
      <c r="C549" s="15" t="s">
        <v>135</v>
      </c>
      <c r="D549" s="15" t="s">
        <v>148</v>
      </c>
      <c r="E549" s="19" t="n">
        <v>21.26231</v>
      </c>
      <c r="F549" s="19" t="n">
        <v>21.160244</v>
      </c>
      <c r="G549" s="19" t="n">
        <v>21.834183</v>
      </c>
      <c r="H549" s="19" t="n">
        <v>33.093093</v>
      </c>
      <c r="I549" s="19" t="n">
        <v>627.186428</v>
      </c>
      <c r="J549" s="27" t="n">
        <v>260448</v>
      </c>
      <c r="K549" s="27"/>
      <c r="L549" s="9" t="n">
        <f aca="false">IF(AND(K549&lt;&gt;"",J549&lt;Assumptions!$B$3*K549),K549,J549)</f>
        <v>260448</v>
      </c>
      <c r="M549" s="21" t="str">
        <f aca="false">IF(L549=J549,"FERC Form 1","EIA-861")</f>
        <v>FERC Form 1</v>
      </c>
      <c r="N549" s="28" t="n">
        <f aca="false">E549+F549+G549</f>
        <v>64.256737</v>
      </c>
    </row>
    <row r="550" customFormat="false" ht="15" hidden="false" customHeight="false" outlineLevel="0" collapsed="false">
      <c r="A550" s="7" t="n">
        <v>2011</v>
      </c>
      <c r="B550" s="15" t="s">
        <v>152</v>
      </c>
      <c r="C550" s="15" t="s">
        <v>135</v>
      </c>
      <c r="D550" s="15" t="s">
        <v>148</v>
      </c>
      <c r="E550" s="19" t="n">
        <v>24.021194</v>
      </c>
      <c r="F550" s="19" t="n">
        <v>20.244998</v>
      </c>
      <c r="G550" s="19" t="n">
        <v>22.960936</v>
      </c>
      <c r="H550" s="19" t="n">
        <v>39.203377</v>
      </c>
      <c r="I550" s="19" t="n">
        <v>664.927989</v>
      </c>
      <c r="J550" s="27" t="n">
        <v>250123</v>
      </c>
      <c r="K550" s="27"/>
      <c r="L550" s="9" t="n">
        <f aca="false">IF(AND(K550&lt;&gt;"",J550&lt;Assumptions!$B$3*K550),K550,J550)</f>
        <v>250123</v>
      </c>
      <c r="M550" s="21" t="str">
        <f aca="false">IF(L550=J550,"FERC Form 1","EIA-861")</f>
        <v>FERC Form 1</v>
      </c>
      <c r="N550" s="28" t="n">
        <f aca="false">E550+F550+G550</f>
        <v>67.227128</v>
      </c>
    </row>
    <row r="551" customFormat="false" ht="15" hidden="false" customHeight="false" outlineLevel="0" collapsed="false">
      <c r="A551" s="7" t="n">
        <v>2012</v>
      </c>
      <c r="B551" s="15" t="s">
        <v>152</v>
      </c>
      <c r="C551" s="15" t="s">
        <v>135</v>
      </c>
      <c r="D551" s="15" t="s">
        <v>148</v>
      </c>
      <c r="E551" s="19" t="n">
        <v>22.188323</v>
      </c>
      <c r="F551" s="19" t="n">
        <v>21.677929</v>
      </c>
      <c r="G551" s="19" t="n">
        <v>24.20506</v>
      </c>
      <c r="H551" s="19" t="n">
        <v>39.996011</v>
      </c>
      <c r="I551" s="19" t="n">
        <v>699.828857</v>
      </c>
      <c r="J551" s="27" t="n">
        <v>250838</v>
      </c>
      <c r="K551" s="27"/>
      <c r="L551" s="9" t="n">
        <f aca="false">IF(AND(K551&lt;&gt;"",J551&lt;Assumptions!$B$3*K551),K551,J551)</f>
        <v>250838</v>
      </c>
      <c r="M551" s="21" t="str">
        <f aca="false">IF(L551=J551,"FERC Form 1","EIA-861")</f>
        <v>FERC Form 1</v>
      </c>
      <c r="N551" s="28" t="n">
        <f aca="false">E551+F551+G551</f>
        <v>68.071312</v>
      </c>
    </row>
    <row r="552" customFormat="false" ht="15" hidden="false" customHeight="false" outlineLevel="0" collapsed="false">
      <c r="A552" s="7" t="n">
        <v>2013</v>
      </c>
      <c r="B552" s="15" t="s">
        <v>152</v>
      </c>
      <c r="C552" s="15" t="s">
        <v>135</v>
      </c>
      <c r="D552" s="15" t="s">
        <v>148</v>
      </c>
      <c r="E552" s="19" t="n">
        <v>25.725435</v>
      </c>
      <c r="F552" s="19" t="n">
        <v>20.585896</v>
      </c>
      <c r="G552" s="19" t="n">
        <v>25.411269</v>
      </c>
      <c r="H552" s="19" t="n">
        <v>37.741146</v>
      </c>
      <c r="I552" s="19" t="n">
        <v>733.866069</v>
      </c>
      <c r="J552" s="27" t="n">
        <v>253021</v>
      </c>
      <c r="K552" s="27"/>
      <c r="L552" s="9" t="n">
        <f aca="false">IF(AND(K552&lt;&gt;"",J552&lt;Assumptions!$B$3*K552),K552,J552)</f>
        <v>253021</v>
      </c>
      <c r="M552" s="21" t="str">
        <f aca="false">IF(L552=J552,"FERC Form 1","EIA-861")</f>
        <v>FERC Form 1</v>
      </c>
      <c r="N552" s="28" t="n">
        <f aca="false">E552+F552+G552</f>
        <v>71.7226</v>
      </c>
    </row>
    <row r="553" customFormat="false" ht="15" hidden="false" customHeight="false" outlineLevel="0" collapsed="false">
      <c r="A553" s="7" t="n">
        <v>2014</v>
      </c>
      <c r="B553" s="15" t="s">
        <v>152</v>
      </c>
      <c r="C553" s="15" t="s">
        <v>135</v>
      </c>
      <c r="D553" s="15" t="s">
        <v>148</v>
      </c>
      <c r="E553" s="19" t="n">
        <v>24.835995</v>
      </c>
      <c r="F553" s="19" t="n">
        <v>21.518682</v>
      </c>
      <c r="G553" s="19" t="n">
        <v>25.675121</v>
      </c>
      <c r="H553" s="19" t="n">
        <v>47.92956</v>
      </c>
      <c r="I553" s="19" t="n">
        <v>779.331443</v>
      </c>
      <c r="J553" s="27" t="n">
        <v>254118</v>
      </c>
      <c r="K553" s="27"/>
      <c r="L553" s="9" t="n">
        <f aca="false">IF(AND(K553&lt;&gt;"",J553&lt;Assumptions!$B$3*K553),K553,J553)</f>
        <v>254118</v>
      </c>
      <c r="M553" s="21" t="str">
        <f aca="false">IF(L553=J553,"FERC Form 1","EIA-861")</f>
        <v>FERC Form 1</v>
      </c>
      <c r="N553" s="28" t="n">
        <f aca="false">E553+F553+G553</f>
        <v>72.029798</v>
      </c>
    </row>
    <row r="554" customFormat="false" ht="15" hidden="false" customHeight="false" outlineLevel="0" collapsed="false">
      <c r="A554" s="7" t="n">
        <v>2015</v>
      </c>
      <c r="B554" s="15" t="s">
        <v>152</v>
      </c>
      <c r="C554" s="15" t="s">
        <v>135</v>
      </c>
      <c r="D554" s="15" t="s">
        <v>148</v>
      </c>
      <c r="E554" s="19" t="n">
        <v>24.951094</v>
      </c>
      <c r="F554" s="19" t="n">
        <v>20.993462</v>
      </c>
      <c r="G554" s="19" t="n">
        <v>26.959499</v>
      </c>
      <c r="H554" s="19" t="n">
        <v>46.18022</v>
      </c>
      <c r="I554" s="19" t="n">
        <v>820.543771</v>
      </c>
      <c r="J554" s="27" t="n">
        <v>255036</v>
      </c>
      <c r="K554" s="27"/>
      <c r="L554" s="9" t="n">
        <f aca="false">IF(AND(K554&lt;&gt;"",J554&lt;Assumptions!$B$3*K554),K554,J554)</f>
        <v>255036</v>
      </c>
      <c r="M554" s="21" t="str">
        <f aca="false">IF(L554=J554,"FERC Form 1","EIA-861")</f>
        <v>FERC Form 1</v>
      </c>
      <c r="N554" s="28" t="n">
        <f aca="false">E554+F554+G554</f>
        <v>72.904055</v>
      </c>
    </row>
    <row r="555" customFormat="false" ht="15" hidden="false" customHeight="false" outlineLevel="0" collapsed="false">
      <c r="A555" s="7" t="n">
        <v>2016</v>
      </c>
      <c r="B555" s="15" t="s">
        <v>152</v>
      </c>
      <c r="C555" s="15" t="s">
        <v>135</v>
      </c>
      <c r="D555" s="15" t="s">
        <v>148</v>
      </c>
      <c r="E555" s="19" t="n">
        <v>25.09604</v>
      </c>
      <c r="F555" s="19" t="n">
        <v>21.653971</v>
      </c>
      <c r="G555" s="19" t="n">
        <v>28.549473</v>
      </c>
      <c r="H555" s="19" t="n">
        <v>45.147789</v>
      </c>
      <c r="I555" s="19" t="n">
        <v>861.944923</v>
      </c>
      <c r="J555" s="27" t="n">
        <v>256540</v>
      </c>
      <c r="K555" s="27"/>
      <c r="L555" s="9" t="n">
        <f aca="false">IF(AND(K555&lt;&gt;"",J555&lt;Assumptions!$B$3*K555),K555,J555)</f>
        <v>256540</v>
      </c>
      <c r="M555" s="21" t="str">
        <f aca="false">IF(L555=J555,"FERC Form 1","EIA-861")</f>
        <v>FERC Form 1</v>
      </c>
      <c r="N555" s="28" t="n">
        <f aca="false">E555+F555+G555</f>
        <v>75.299484</v>
      </c>
    </row>
    <row r="556" customFormat="false" ht="15" hidden="false" customHeight="false" outlineLevel="0" collapsed="false">
      <c r="A556" s="7" t="n">
        <v>2017</v>
      </c>
      <c r="B556" s="15" t="s">
        <v>152</v>
      </c>
      <c r="C556" s="15" t="s">
        <v>135</v>
      </c>
      <c r="D556" s="15" t="s">
        <v>148</v>
      </c>
      <c r="E556" s="19" t="n">
        <v>26.245787</v>
      </c>
      <c r="F556" s="19" t="n">
        <v>21.915406</v>
      </c>
      <c r="G556" s="19" t="n">
        <v>30.203772</v>
      </c>
      <c r="H556" s="19" t="n">
        <v>45.576187</v>
      </c>
      <c r="I556" s="19" t="n">
        <v>904.273979</v>
      </c>
      <c r="J556" s="27" t="n">
        <v>257668</v>
      </c>
      <c r="K556" s="27"/>
      <c r="L556" s="9" t="n">
        <f aca="false">IF(AND(K556&lt;&gt;"",J556&lt;Assumptions!$B$3*K556),K556,J556)</f>
        <v>257668</v>
      </c>
      <c r="M556" s="21" t="str">
        <f aca="false">IF(L556=J556,"FERC Form 1","EIA-861")</f>
        <v>FERC Form 1</v>
      </c>
      <c r="N556" s="28" t="n">
        <f aca="false">E556+F556+G556</f>
        <v>78.364965</v>
      </c>
    </row>
    <row r="557" customFormat="false" ht="15" hidden="false" customHeight="false" outlineLevel="0" collapsed="false">
      <c r="A557" s="7" t="n">
        <v>2018</v>
      </c>
      <c r="B557" s="15" t="s">
        <v>152</v>
      </c>
      <c r="C557" s="15" t="s">
        <v>135</v>
      </c>
      <c r="D557" s="15" t="s">
        <v>148</v>
      </c>
      <c r="E557" s="19" t="n">
        <v>30.057036</v>
      </c>
      <c r="F557" s="19" t="n">
        <v>21.180564</v>
      </c>
      <c r="G557" s="19" t="n">
        <v>31.882144</v>
      </c>
      <c r="H557" s="19" t="n">
        <v>64.829072</v>
      </c>
      <c r="I557" s="19" t="n">
        <v>963.869715</v>
      </c>
      <c r="J557" s="27" t="n">
        <v>259379</v>
      </c>
      <c r="K557" s="27"/>
      <c r="L557" s="9" t="n">
        <f aca="false">IF(AND(K557&lt;&gt;"",J557&lt;Assumptions!$B$3*K557),K557,J557)</f>
        <v>259379</v>
      </c>
      <c r="M557" s="21" t="str">
        <f aca="false">IF(L557=J557,"FERC Form 1","EIA-861")</f>
        <v>FERC Form 1</v>
      </c>
      <c r="N557" s="28" t="n">
        <f aca="false">E557+F557+G557</f>
        <v>83.119744</v>
      </c>
    </row>
    <row r="558" customFormat="false" ht="15" hidden="false" customHeight="false" outlineLevel="0" collapsed="false">
      <c r="A558" s="7" t="n">
        <v>2019</v>
      </c>
      <c r="B558" s="15" t="s">
        <v>152</v>
      </c>
      <c r="C558" s="15" t="s">
        <v>135</v>
      </c>
      <c r="D558" s="15" t="s">
        <v>148</v>
      </c>
      <c r="E558" s="19" t="n">
        <v>28.213051</v>
      </c>
      <c r="F558" s="19" t="n">
        <v>22.435221</v>
      </c>
      <c r="G558" s="19" t="n">
        <v>34.111571</v>
      </c>
      <c r="H558" s="19" t="n">
        <v>61.768032</v>
      </c>
      <c r="I558" s="19" t="n">
        <v>1021.278724</v>
      </c>
      <c r="J558" s="27" t="n">
        <v>261093</v>
      </c>
      <c r="K558" s="27"/>
      <c r="L558" s="9" t="n">
        <f aca="false">IF(AND(K558&lt;&gt;"",J558&lt;Assumptions!$B$3*K558),K558,J558)</f>
        <v>261093</v>
      </c>
      <c r="M558" s="21" t="str">
        <f aca="false">IF(L558=J558,"FERC Form 1","EIA-861")</f>
        <v>FERC Form 1</v>
      </c>
      <c r="N558" s="28" t="n">
        <f aca="false">E558+F558+G558</f>
        <v>84.759843</v>
      </c>
    </row>
    <row r="559" customFormat="false" ht="15" hidden="false" customHeight="false" outlineLevel="0" collapsed="false">
      <c r="A559" s="7" t="n">
        <v>2020</v>
      </c>
      <c r="B559" s="15" t="s">
        <v>152</v>
      </c>
      <c r="C559" s="15" t="s">
        <v>135</v>
      </c>
      <c r="D559" s="15" t="s">
        <v>148</v>
      </c>
      <c r="E559" s="19" t="n">
        <v>22.662341</v>
      </c>
      <c r="F559" s="19" t="n">
        <v>22.018149</v>
      </c>
      <c r="G559" s="19" t="n">
        <v>36.627136</v>
      </c>
      <c r="H559" s="19" t="n">
        <v>87.773304</v>
      </c>
      <c r="I559" s="19" t="n">
        <v>1104.890677</v>
      </c>
      <c r="J559" s="27" t="n">
        <v>263133</v>
      </c>
      <c r="K559" s="27"/>
      <c r="L559" s="9" t="n">
        <f aca="false">IF(AND(K559&lt;&gt;"",J559&lt;Assumptions!$B$3*K559),K559,J559)</f>
        <v>263133</v>
      </c>
      <c r="M559" s="21" t="str">
        <f aca="false">IF(L559=J559,"FERC Form 1","EIA-861")</f>
        <v>FERC Form 1</v>
      </c>
      <c r="N559" s="28" t="n">
        <f aca="false">E559+F559+G559</f>
        <v>81.307626</v>
      </c>
    </row>
    <row r="560" customFormat="false" ht="15" hidden="false" customHeight="false" outlineLevel="0" collapsed="false">
      <c r="A560" s="7" t="n">
        <v>2021</v>
      </c>
      <c r="B560" s="15" t="s">
        <v>152</v>
      </c>
      <c r="C560" s="15" t="s">
        <v>135</v>
      </c>
      <c r="D560" s="15" t="s">
        <v>148</v>
      </c>
      <c r="E560" s="19" t="n">
        <v>25.343633</v>
      </c>
      <c r="F560" s="19" t="n">
        <v>21.961899</v>
      </c>
      <c r="G560" s="19" t="n">
        <v>39.216788</v>
      </c>
      <c r="H560" s="19" t="n">
        <v>68.935103</v>
      </c>
      <c r="I560" s="19" t="n">
        <v>1170.533426</v>
      </c>
      <c r="J560" s="27" t="n">
        <v>265235</v>
      </c>
      <c r="K560" s="27"/>
      <c r="L560" s="9" t="n">
        <f aca="false">IF(AND(K560&lt;&gt;"",J560&lt;Assumptions!$B$3*K560),K560,J560)</f>
        <v>265235</v>
      </c>
      <c r="M560" s="21" t="str">
        <f aca="false">IF(L560=J560,"FERC Form 1","EIA-861")</f>
        <v>FERC Form 1</v>
      </c>
      <c r="N560" s="28" t="n">
        <f aca="false">E560+F560+G560</f>
        <v>86.52232</v>
      </c>
    </row>
    <row r="561" customFormat="false" ht="15" hidden="false" customHeight="false" outlineLevel="0" collapsed="false">
      <c r="A561" s="7" t="n">
        <v>2022</v>
      </c>
      <c r="B561" s="15" t="s">
        <v>152</v>
      </c>
      <c r="C561" s="15" t="s">
        <v>135</v>
      </c>
      <c r="D561" s="15" t="s">
        <v>148</v>
      </c>
      <c r="E561" s="19" t="n">
        <v>29.251678</v>
      </c>
      <c r="F561" s="19" t="n">
        <v>24.955249</v>
      </c>
      <c r="G561" s="19" t="n">
        <v>38.469419</v>
      </c>
      <c r="H561" s="19" t="n">
        <v>89.078384</v>
      </c>
      <c r="I561" s="19" t="n">
        <v>1255.516395</v>
      </c>
      <c r="J561" s="27" t="n">
        <v>266952</v>
      </c>
      <c r="K561" s="27"/>
      <c r="L561" s="9" t="n">
        <f aca="false">IF(AND(K561&lt;&gt;"",J561&lt;Assumptions!$B$3*K561),K561,J561)</f>
        <v>266952</v>
      </c>
      <c r="M561" s="21" t="str">
        <f aca="false">IF(L561=J561,"FERC Form 1","EIA-861")</f>
        <v>FERC Form 1</v>
      </c>
      <c r="N561" s="28" t="n">
        <f aca="false">E561+F561+G561</f>
        <v>92.676346</v>
      </c>
    </row>
    <row r="562" customFormat="false" ht="15" hidden="false" customHeight="false" outlineLevel="0" collapsed="false">
      <c r="A562" s="7" t="n">
        <v>2023</v>
      </c>
      <c r="B562" s="15" t="s">
        <v>152</v>
      </c>
      <c r="C562" s="15" t="s">
        <v>135</v>
      </c>
      <c r="D562" s="15" t="s">
        <v>148</v>
      </c>
      <c r="E562" s="19" t="n">
        <v>39.231157</v>
      </c>
      <c r="F562" s="19" t="n">
        <v>27.512805</v>
      </c>
      <c r="G562" s="19" t="n">
        <v>41.793473</v>
      </c>
      <c r="H562" s="19" t="n">
        <v>109.482285</v>
      </c>
      <c r="I562" s="19" t="n">
        <v>1361.703294</v>
      </c>
      <c r="J562" s="27" t="n">
        <v>268830</v>
      </c>
      <c r="K562" s="27"/>
      <c r="L562" s="9" t="n">
        <f aca="false">IF(AND(K562&lt;&gt;"",J562&lt;Assumptions!$B$3*K562),K562,J562)</f>
        <v>268830</v>
      </c>
      <c r="M562" s="21" t="str">
        <f aca="false">IF(L562=J562,"FERC Form 1","EIA-861")</f>
        <v>FERC Form 1</v>
      </c>
      <c r="N562" s="28" t="n">
        <f aca="false">E562+F562+G562</f>
        <v>108.537435</v>
      </c>
    </row>
    <row r="563" customFormat="false" ht="15" hidden="false" customHeight="false" outlineLevel="0" collapsed="false">
      <c r="A563" s="7" t="n">
        <v>2024</v>
      </c>
      <c r="B563" s="15" t="s">
        <v>152</v>
      </c>
      <c r="C563" s="15" t="s">
        <v>135</v>
      </c>
      <c r="D563" s="15" t="s">
        <v>148</v>
      </c>
      <c r="E563" s="19" t="n">
        <v>24.114335</v>
      </c>
      <c r="F563" s="19" t="n">
        <v>24.048349</v>
      </c>
      <c r="G563" s="19" t="n">
        <v>45.635035</v>
      </c>
      <c r="H563" s="19" t="n">
        <v>151.067276</v>
      </c>
      <c r="I563" s="19" t="n">
        <v>1490.670488</v>
      </c>
      <c r="J563" s="27" t="n">
        <v>271318</v>
      </c>
      <c r="K563" s="27"/>
      <c r="L563" s="9" t="n">
        <f aca="false">IF(AND(K563&lt;&gt;"",J563&lt;Assumptions!$B$3*K563),K563,J563)</f>
        <v>271318</v>
      </c>
      <c r="M563" s="21" t="str">
        <f aca="false">IF(L563=J563,"FERC Form 1","EIA-861")</f>
        <v>FERC Form 1</v>
      </c>
      <c r="N563" s="28" t="n">
        <f aca="false">E563+F563+G563</f>
        <v>93.797719</v>
      </c>
    </row>
    <row r="564" customFormat="false" ht="15" hidden="false" customHeight="false" outlineLevel="0" collapsed="false">
      <c r="A564" s="7" t="n">
        <v>2025</v>
      </c>
      <c r="B564" s="15" t="s">
        <v>152</v>
      </c>
      <c r="C564" s="15" t="s">
        <v>135</v>
      </c>
      <c r="D564" s="15" t="s">
        <v>148</v>
      </c>
      <c r="E564" s="19" t="n">
        <v>26.646229</v>
      </c>
      <c r="F564" s="19" t="n">
        <v>24.21183</v>
      </c>
      <c r="G564" s="19" t="n">
        <v>56.75885</v>
      </c>
      <c r="H564" s="19" t="n">
        <v>190.174774</v>
      </c>
      <c r="I564" s="19" t="n">
        <v>1718.852705</v>
      </c>
      <c r="J564" s="27" t="n">
        <v>274010</v>
      </c>
      <c r="K564" s="27"/>
      <c r="L564" s="9" t="n">
        <f aca="false">IF(AND(K564&lt;&gt;"",J564&lt;Assumptions!$B$3*K564),K564,J564)</f>
        <v>274010</v>
      </c>
      <c r="M564" s="21" t="str">
        <f aca="false">IF(L564=J564,"FERC Form 1","EIA-861")</f>
        <v>FERC Form 1</v>
      </c>
      <c r="N564" s="28" t="n">
        <f aca="false">E564+F564+G564</f>
        <v>107.616909</v>
      </c>
    </row>
    <row r="565" customFormat="false" ht="15" hidden="false" customHeight="false" outlineLevel="0" collapsed="false">
      <c r="A565" s="7" t="n">
        <v>2000</v>
      </c>
      <c r="B565" s="15" t="s">
        <v>153</v>
      </c>
      <c r="C565" s="15" t="s">
        <v>135</v>
      </c>
      <c r="D565" s="15" t="s">
        <v>136</v>
      </c>
      <c r="E565" s="19" t="n">
        <v>11.970706</v>
      </c>
      <c r="F565" s="19" t="n">
        <v>12.935284</v>
      </c>
      <c r="G565" s="19" t="n">
        <v>7.13261</v>
      </c>
      <c r="H565" s="19" t="n">
        <v>11.480056</v>
      </c>
      <c r="I565" s="19" t="n">
        <v>251.729894</v>
      </c>
      <c r="J565" s="27" t="n">
        <v>126470</v>
      </c>
      <c r="K565" s="27"/>
      <c r="L565" s="9" t="n">
        <f aca="false">IF(AND(K565&lt;&gt;"",J565&lt;Assumptions!$B$3*K565),K565,J565)</f>
        <v>126470</v>
      </c>
      <c r="M565" s="21" t="str">
        <f aca="false">IF(L565=J565,"FERC Form 1","EIA-861")</f>
        <v>FERC Form 1</v>
      </c>
      <c r="N565" s="28" t="n">
        <f aca="false">E565+F565+G565</f>
        <v>32.0386</v>
      </c>
    </row>
    <row r="566" customFormat="false" ht="15" hidden="false" customHeight="false" outlineLevel="0" collapsed="false">
      <c r="A566" s="7" t="n">
        <v>2001</v>
      </c>
      <c r="B566" s="15" t="s">
        <v>153</v>
      </c>
      <c r="C566" s="15" t="s">
        <v>135</v>
      </c>
      <c r="D566" s="15" t="s">
        <v>136</v>
      </c>
      <c r="E566" s="19" t="n">
        <v>10.795122</v>
      </c>
      <c r="F566" s="19" t="n">
        <v>12.668819</v>
      </c>
      <c r="G566" s="19" t="n">
        <v>7.449458</v>
      </c>
      <c r="H566" s="19" t="n">
        <v>8.558796</v>
      </c>
      <c r="I566" s="19" t="n">
        <v>258.750932</v>
      </c>
      <c r="J566" s="27" t="n">
        <v>126629</v>
      </c>
      <c r="K566" s="27" t="n">
        <v>126629</v>
      </c>
      <c r="L566" s="9" t="n">
        <f aca="false">IF(AND(K566&lt;&gt;"",J566&lt;Assumptions!$B$3*K566),K566,J566)</f>
        <v>126629</v>
      </c>
      <c r="M566" s="21" t="str">
        <f aca="false">IF(L566=J566,"FERC Form 1","EIA-861")</f>
        <v>FERC Form 1</v>
      </c>
      <c r="N566" s="28" t="n">
        <f aca="false">E566+F566+G566</f>
        <v>30.913399</v>
      </c>
    </row>
    <row r="567" customFormat="false" ht="15" hidden="false" customHeight="false" outlineLevel="0" collapsed="false">
      <c r="A567" s="7" t="n">
        <v>2002</v>
      </c>
      <c r="B567" s="15" t="s">
        <v>153</v>
      </c>
      <c r="C567" s="15" t="s">
        <v>135</v>
      </c>
      <c r="D567" s="15" t="s">
        <v>136</v>
      </c>
      <c r="E567" s="19" t="n">
        <v>8.364057</v>
      </c>
      <c r="F567" s="19" t="n">
        <v>12.48904</v>
      </c>
      <c r="G567" s="19" t="n">
        <v>7.592973</v>
      </c>
      <c r="H567" s="19" t="n">
        <v>11.339903</v>
      </c>
      <c r="I567" s="19" t="n">
        <v>268.376844</v>
      </c>
      <c r="J567" s="27" t="n">
        <v>126832</v>
      </c>
      <c r="K567" s="27" t="n">
        <v>125291</v>
      </c>
      <c r="L567" s="9" t="n">
        <f aca="false">IF(AND(K567&lt;&gt;"",J567&lt;Assumptions!$B$3*K567),K567,J567)</f>
        <v>126832</v>
      </c>
      <c r="M567" s="21" t="str">
        <f aca="false">IF(L567=J567,"FERC Form 1","EIA-861")</f>
        <v>FERC Form 1</v>
      </c>
      <c r="N567" s="28" t="n">
        <f aca="false">E567+F567+G567</f>
        <v>28.44607</v>
      </c>
    </row>
    <row r="568" customFormat="false" ht="15" hidden="false" customHeight="false" outlineLevel="0" collapsed="false">
      <c r="A568" s="7" t="n">
        <v>2003</v>
      </c>
      <c r="B568" s="15" t="s">
        <v>153</v>
      </c>
      <c r="C568" s="15" t="s">
        <v>135</v>
      </c>
      <c r="D568" s="15" t="s">
        <v>136</v>
      </c>
      <c r="E568" s="19" t="n">
        <v>10.009428</v>
      </c>
      <c r="F568" s="19" t="n">
        <v>12.705448</v>
      </c>
      <c r="G568" s="19" t="n">
        <v>7.895518</v>
      </c>
      <c r="H568" s="19" t="n">
        <v>9.693251</v>
      </c>
      <c r="I568" s="19" t="n">
        <v>272.892962</v>
      </c>
      <c r="J568" s="27" t="n">
        <v>127295</v>
      </c>
      <c r="K568" s="27" t="n">
        <v>125688</v>
      </c>
      <c r="L568" s="9" t="n">
        <f aca="false">IF(AND(K568&lt;&gt;"",J568&lt;Assumptions!$B$3*K568),K568,J568)</f>
        <v>127295</v>
      </c>
      <c r="M568" s="21" t="str">
        <f aca="false">IF(L568=J568,"FERC Form 1","EIA-861")</f>
        <v>FERC Form 1</v>
      </c>
      <c r="N568" s="28" t="n">
        <f aca="false">E568+F568+G568</f>
        <v>30.610394</v>
      </c>
    </row>
    <row r="569" customFormat="false" ht="15" hidden="false" customHeight="false" outlineLevel="0" collapsed="false">
      <c r="A569" s="7" t="n">
        <v>2004</v>
      </c>
      <c r="B569" s="15" t="s">
        <v>153</v>
      </c>
      <c r="C569" s="15" t="s">
        <v>135</v>
      </c>
      <c r="D569" s="15" t="s">
        <v>136</v>
      </c>
      <c r="E569" s="19" t="n">
        <v>10.753775</v>
      </c>
      <c r="F569" s="19" t="n">
        <v>13.486687</v>
      </c>
      <c r="G569" s="19" t="n">
        <v>7.6631</v>
      </c>
      <c r="H569" s="19" t="n">
        <v>14.896683</v>
      </c>
      <c r="I569" s="19" t="n">
        <v>285.237056</v>
      </c>
      <c r="J569" s="27" t="n">
        <v>127824</v>
      </c>
      <c r="K569" s="27" t="n">
        <v>127382</v>
      </c>
      <c r="L569" s="9" t="n">
        <f aca="false">IF(AND(K569&lt;&gt;"",J569&lt;Assumptions!$B$3*K569),K569,J569)</f>
        <v>127824</v>
      </c>
      <c r="M569" s="21" t="str">
        <f aca="false">IF(L569=J569,"FERC Form 1","EIA-861")</f>
        <v>FERC Form 1</v>
      </c>
      <c r="N569" s="28" t="n">
        <f aca="false">E569+F569+G569</f>
        <v>31.903562</v>
      </c>
    </row>
    <row r="570" customFormat="false" ht="15" hidden="false" customHeight="false" outlineLevel="0" collapsed="false">
      <c r="A570" s="7" t="n">
        <v>2005</v>
      </c>
      <c r="B570" s="15" t="s">
        <v>153</v>
      </c>
      <c r="C570" s="15" t="s">
        <v>135</v>
      </c>
      <c r="D570" s="15" t="s">
        <v>136</v>
      </c>
      <c r="E570" s="19" t="n">
        <v>11.911636</v>
      </c>
      <c r="F570" s="19" t="n">
        <v>13.76779</v>
      </c>
      <c r="G570" s="19" t="n">
        <v>8.112038</v>
      </c>
      <c r="H570" s="19" t="n">
        <v>14.607704</v>
      </c>
      <c r="I570" s="19" t="n">
        <v>296.287065</v>
      </c>
      <c r="J570" s="27" t="n">
        <v>128289</v>
      </c>
      <c r="K570" s="27" t="n">
        <v>127876</v>
      </c>
      <c r="L570" s="9" t="n">
        <f aca="false">IF(AND(K570&lt;&gt;"",J570&lt;Assumptions!$B$3*K570),K570,J570)</f>
        <v>128289</v>
      </c>
      <c r="M570" s="21" t="str">
        <f aca="false">IF(L570=J570,"FERC Form 1","EIA-861")</f>
        <v>FERC Form 1</v>
      </c>
      <c r="N570" s="28" t="n">
        <f aca="false">E570+F570+G570</f>
        <v>33.791464</v>
      </c>
    </row>
    <row r="571" customFormat="false" ht="15" hidden="false" customHeight="false" outlineLevel="0" collapsed="false">
      <c r="A571" s="7" t="n">
        <v>2006</v>
      </c>
      <c r="B571" s="15" t="s">
        <v>153</v>
      </c>
      <c r="C571" s="15" t="s">
        <v>135</v>
      </c>
      <c r="D571" s="15" t="s">
        <v>136</v>
      </c>
      <c r="E571" s="19" t="n">
        <v>12.987222</v>
      </c>
      <c r="F571" s="19" t="n">
        <v>14.784031</v>
      </c>
      <c r="G571" s="19" t="n">
        <v>8.467199</v>
      </c>
      <c r="H571" s="19" t="n">
        <v>14.459656</v>
      </c>
      <c r="I571" s="19" t="n">
        <v>307.792404</v>
      </c>
      <c r="J571" s="27" t="n">
        <v>128726</v>
      </c>
      <c r="K571" s="27" t="n">
        <v>127053</v>
      </c>
      <c r="L571" s="9" t="n">
        <f aca="false">IF(AND(K571&lt;&gt;"",J571&lt;Assumptions!$B$3*K571),K571,J571)</f>
        <v>128726</v>
      </c>
      <c r="M571" s="21" t="str">
        <f aca="false">IF(L571=J571,"FERC Form 1","EIA-861")</f>
        <v>FERC Form 1</v>
      </c>
      <c r="N571" s="28" t="n">
        <f aca="false">E571+F571+G571</f>
        <v>36.238452</v>
      </c>
    </row>
    <row r="572" customFormat="false" ht="15" hidden="false" customHeight="false" outlineLevel="0" collapsed="false">
      <c r="A572" s="7" t="n">
        <v>2007</v>
      </c>
      <c r="B572" s="15" t="s">
        <v>153</v>
      </c>
      <c r="C572" s="15" t="s">
        <v>135</v>
      </c>
      <c r="D572" s="15" t="s">
        <v>136</v>
      </c>
      <c r="E572" s="19" t="n">
        <v>14.686349</v>
      </c>
      <c r="F572" s="19" t="n">
        <v>15.748959</v>
      </c>
      <c r="G572" s="19" t="n">
        <v>8.775975</v>
      </c>
      <c r="H572" s="19" t="n">
        <v>17.492091</v>
      </c>
      <c r="I572" s="19" t="n">
        <v>322.406327</v>
      </c>
      <c r="J572" s="27" t="n">
        <v>129175</v>
      </c>
      <c r="K572" s="27" t="n">
        <v>127533</v>
      </c>
      <c r="L572" s="9" t="n">
        <f aca="false">IF(AND(K572&lt;&gt;"",J572&lt;Assumptions!$B$3*K572),K572,J572)</f>
        <v>129175</v>
      </c>
      <c r="M572" s="21" t="str">
        <f aca="false">IF(L572=J572,"FERC Form 1","EIA-861")</f>
        <v>FERC Form 1</v>
      </c>
      <c r="N572" s="28" t="n">
        <f aca="false">E572+F572+G572</f>
        <v>39.211283</v>
      </c>
    </row>
    <row r="573" customFormat="false" ht="15" hidden="false" customHeight="false" outlineLevel="0" collapsed="false">
      <c r="A573" s="7" t="n">
        <v>2008</v>
      </c>
      <c r="B573" s="15" t="s">
        <v>153</v>
      </c>
      <c r="C573" s="15" t="s">
        <v>135</v>
      </c>
      <c r="D573" s="15" t="s">
        <v>136</v>
      </c>
      <c r="E573" s="19" t="n">
        <v>14.781081</v>
      </c>
      <c r="F573" s="19" t="n">
        <v>16.418869</v>
      </c>
      <c r="G573" s="19" t="n">
        <v>9.224741</v>
      </c>
      <c r="H573" s="19" t="n">
        <v>21.967182</v>
      </c>
      <c r="I573" s="19" t="n">
        <v>341.670641</v>
      </c>
      <c r="J573" s="27" t="n">
        <v>129281</v>
      </c>
      <c r="K573" s="27" t="n">
        <v>127816</v>
      </c>
      <c r="L573" s="9" t="n">
        <f aca="false">IF(AND(K573&lt;&gt;"",J573&lt;Assumptions!$B$3*K573),K573,J573)</f>
        <v>129281</v>
      </c>
      <c r="M573" s="21" t="str">
        <f aca="false">IF(L573=J573,"FERC Form 1","EIA-861")</f>
        <v>FERC Form 1</v>
      </c>
      <c r="N573" s="28" t="n">
        <f aca="false">E573+F573+G573</f>
        <v>40.424691</v>
      </c>
    </row>
    <row r="574" customFormat="false" ht="15" hidden="false" customHeight="false" outlineLevel="0" collapsed="false">
      <c r="A574" s="7" t="n">
        <v>2009</v>
      </c>
      <c r="B574" s="15" t="s">
        <v>153</v>
      </c>
      <c r="C574" s="15" t="s">
        <v>135</v>
      </c>
      <c r="D574" s="15" t="s">
        <v>136</v>
      </c>
      <c r="E574" s="19" t="n">
        <v>14.334018</v>
      </c>
      <c r="F574" s="19" t="n">
        <v>16.348406</v>
      </c>
      <c r="G574" s="19" t="n">
        <v>9.463184</v>
      </c>
      <c r="H574" s="19" t="n">
        <v>15.864063</v>
      </c>
      <c r="I574" s="19" t="n">
        <v>357.601361</v>
      </c>
      <c r="J574" s="27" t="n">
        <v>129267</v>
      </c>
      <c r="K574" s="27" t="n">
        <v>127792</v>
      </c>
      <c r="L574" s="9" t="n">
        <f aca="false">IF(AND(K574&lt;&gt;"",J574&lt;Assumptions!$B$3*K574),K574,J574)</f>
        <v>129267</v>
      </c>
      <c r="M574" s="21" t="str">
        <f aca="false">IF(L574=J574,"FERC Form 1","EIA-861")</f>
        <v>FERC Form 1</v>
      </c>
      <c r="N574" s="28" t="n">
        <f aca="false">E574+F574+G574</f>
        <v>40.145608</v>
      </c>
    </row>
    <row r="575" customFormat="false" ht="15" hidden="false" customHeight="false" outlineLevel="0" collapsed="false">
      <c r="A575" s="7" t="n">
        <v>2010</v>
      </c>
      <c r="B575" s="15" t="s">
        <v>153</v>
      </c>
      <c r="C575" s="15" t="s">
        <v>135</v>
      </c>
      <c r="D575" s="15" t="s">
        <v>136</v>
      </c>
      <c r="E575" s="19" t="n">
        <v>15.688219</v>
      </c>
      <c r="F575" s="19" t="n">
        <v>18.80738</v>
      </c>
      <c r="G575" s="19" t="n">
        <v>9.795258</v>
      </c>
      <c r="H575" s="19" t="n">
        <v>16.934338</v>
      </c>
      <c r="I575" s="19" t="n">
        <v>373.159175</v>
      </c>
      <c r="J575" s="27" t="n">
        <v>129240</v>
      </c>
      <c r="K575" s="27" t="n">
        <v>127958</v>
      </c>
      <c r="L575" s="9" t="n">
        <f aca="false">IF(AND(K575&lt;&gt;"",J575&lt;Assumptions!$B$3*K575),K575,J575)</f>
        <v>129240</v>
      </c>
      <c r="M575" s="21" t="str">
        <f aca="false">IF(L575=J575,"FERC Form 1","EIA-861")</f>
        <v>FERC Form 1</v>
      </c>
      <c r="N575" s="28" t="n">
        <f aca="false">E575+F575+G575</f>
        <v>44.290857</v>
      </c>
    </row>
    <row r="576" customFormat="false" ht="15" hidden="false" customHeight="false" outlineLevel="0" collapsed="false">
      <c r="A576" s="7" t="n">
        <v>2011</v>
      </c>
      <c r="B576" s="15" t="s">
        <v>153</v>
      </c>
      <c r="C576" s="15" t="s">
        <v>135</v>
      </c>
      <c r="D576" s="15" t="s">
        <v>136</v>
      </c>
      <c r="E576" s="19" t="n">
        <v>15.086326</v>
      </c>
      <c r="F576" s="19" t="n">
        <v>19.806028</v>
      </c>
      <c r="G576" s="19" t="n">
        <v>10.204736</v>
      </c>
      <c r="H576" s="19" t="n">
        <v>20.642461</v>
      </c>
      <c r="I576" s="19" t="n">
        <v>390.362038</v>
      </c>
      <c r="J576" s="27" t="n">
        <v>129250</v>
      </c>
      <c r="K576" s="27" t="n">
        <v>127988</v>
      </c>
      <c r="L576" s="9" t="n">
        <f aca="false">IF(AND(K576&lt;&gt;"",J576&lt;Assumptions!$B$3*K576),K576,J576)</f>
        <v>129250</v>
      </c>
      <c r="M576" s="21" t="str">
        <f aca="false">IF(L576=J576,"FERC Form 1","EIA-861")</f>
        <v>FERC Form 1</v>
      </c>
      <c r="N576" s="28" t="n">
        <f aca="false">E576+F576+G576</f>
        <v>45.09709</v>
      </c>
    </row>
    <row r="577" customFormat="false" ht="15" hidden="false" customHeight="false" outlineLevel="0" collapsed="false">
      <c r="A577" s="7" t="n">
        <v>2012</v>
      </c>
      <c r="B577" s="15" t="s">
        <v>153</v>
      </c>
      <c r="C577" s="15" t="s">
        <v>135</v>
      </c>
      <c r="D577" s="15" t="s">
        <v>136</v>
      </c>
      <c r="E577" s="19" t="n">
        <v>15.868156</v>
      </c>
      <c r="F577" s="19" t="n">
        <v>20.320287</v>
      </c>
      <c r="G577" s="19" t="n">
        <v>10.631154</v>
      </c>
      <c r="H577" s="19" t="n">
        <v>17.788927</v>
      </c>
      <c r="I577" s="19" t="n">
        <v>405.439275</v>
      </c>
      <c r="J577" s="27" t="n">
        <v>129523</v>
      </c>
      <c r="K577" s="27" t="n">
        <v>128403</v>
      </c>
      <c r="L577" s="9" t="n">
        <f aca="false">IF(AND(K577&lt;&gt;"",J577&lt;Assumptions!$B$3*K577),K577,J577)</f>
        <v>129523</v>
      </c>
      <c r="M577" s="21" t="str">
        <f aca="false">IF(L577=J577,"FERC Form 1","EIA-861")</f>
        <v>FERC Form 1</v>
      </c>
      <c r="N577" s="28" t="n">
        <f aca="false">E577+F577+G577</f>
        <v>46.819597</v>
      </c>
    </row>
    <row r="578" customFormat="false" ht="15" hidden="false" customHeight="false" outlineLevel="0" collapsed="false">
      <c r="A578" s="7" t="n">
        <v>2013</v>
      </c>
      <c r="B578" s="15" t="s">
        <v>153</v>
      </c>
      <c r="C578" s="15" t="s">
        <v>135</v>
      </c>
      <c r="D578" s="15" t="s">
        <v>136</v>
      </c>
      <c r="E578" s="19" t="n">
        <v>16.698686</v>
      </c>
      <c r="F578" s="19" t="n">
        <v>21.554055</v>
      </c>
      <c r="G578" s="19" t="n">
        <v>10.942847</v>
      </c>
      <c r="H578" s="19" t="n">
        <v>18.909867</v>
      </c>
      <c r="I578" s="19" t="n">
        <v>421.781711</v>
      </c>
      <c r="J578" s="27" t="n">
        <v>129988</v>
      </c>
      <c r="K578" s="27" t="n">
        <v>128971</v>
      </c>
      <c r="L578" s="9" t="n">
        <f aca="false">IF(AND(K578&lt;&gt;"",J578&lt;Assumptions!$B$3*K578),K578,J578)</f>
        <v>129988</v>
      </c>
      <c r="M578" s="21" t="str">
        <f aca="false">IF(L578=J578,"FERC Form 1","EIA-861")</f>
        <v>FERC Form 1</v>
      </c>
      <c r="N578" s="28" t="n">
        <f aca="false">E578+F578+G578</f>
        <v>49.195588</v>
      </c>
    </row>
    <row r="579" customFormat="false" ht="15" hidden="false" customHeight="false" outlineLevel="0" collapsed="false">
      <c r="A579" s="7" t="n">
        <v>2014</v>
      </c>
      <c r="B579" s="15" t="s">
        <v>153</v>
      </c>
      <c r="C579" s="15" t="s">
        <v>135</v>
      </c>
      <c r="D579" s="15" t="s">
        <v>136</v>
      </c>
      <c r="E579" s="19" t="n">
        <v>16.511225</v>
      </c>
      <c r="F579" s="19" t="n">
        <v>21.387153</v>
      </c>
      <c r="G579" s="19" t="n">
        <v>10.437274</v>
      </c>
      <c r="H579" s="19" t="n">
        <v>20.041382</v>
      </c>
      <c r="I579" s="19" t="n">
        <v>438.467881</v>
      </c>
      <c r="J579" s="27" t="n">
        <v>130340</v>
      </c>
      <c r="K579" s="27" t="n">
        <v>130489</v>
      </c>
      <c r="L579" s="9" t="n">
        <f aca="false">IF(AND(K579&lt;&gt;"",J579&lt;Assumptions!$B$3*K579),K579,J579)</f>
        <v>130340</v>
      </c>
      <c r="M579" s="21" t="str">
        <f aca="false">IF(L579=J579,"FERC Form 1","EIA-861")</f>
        <v>FERC Form 1</v>
      </c>
      <c r="N579" s="28" t="n">
        <f aca="false">E579+F579+G579</f>
        <v>48.335652</v>
      </c>
    </row>
    <row r="580" customFormat="false" ht="15" hidden="false" customHeight="false" outlineLevel="0" collapsed="false">
      <c r="A580" s="7" t="n">
        <v>2015</v>
      </c>
      <c r="B580" s="15" t="s">
        <v>153</v>
      </c>
      <c r="C580" s="15" t="s">
        <v>135</v>
      </c>
      <c r="D580" s="15" t="s">
        <v>136</v>
      </c>
      <c r="E580" s="19" t="n">
        <v>15.514298</v>
      </c>
      <c r="F580" s="19" t="n">
        <v>21.65547</v>
      </c>
      <c r="G580" s="19" t="n">
        <v>10.779201</v>
      </c>
      <c r="H580" s="19" t="n">
        <v>16.797259</v>
      </c>
      <c r="I580" s="19" t="n">
        <v>451.799099</v>
      </c>
      <c r="J580" s="27" t="n">
        <v>130822</v>
      </c>
      <c r="K580" s="27" t="n">
        <v>129986</v>
      </c>
      <c r="L580" s="9" t="n">
        <f aca="false">IF(AND(K580&lt;&gt;"",J580&lt;Assumptions!$B$3*K580),K580,J580)</f>
        <v>130822</v>
      </c>
      <c r="M580" s="21" t="str">
        <f aca="false">IF(L580=J580,"FERC Form 1","EIA-861")</f>
        <v>FERC Form 1</v>
      </c>
      <c r="N580" s="28" t="n">
        <f aca="false">E580+F580+G580</f>
        <v>47.948969</v>
      </c>
    </row>
    <row r="581" customFormat="false" ht="15" hidden="false" customHeight="false" outlineLevel="0" collapsed="false">
      <c r="A581" s="7" t="n">
        <v>2016</v>
      </c>
      <c r="B581" s="15" t="s">
        <v>153</v>
      </c>
      <c r="C581" s="15" t="s">
        <v>135</v>
      </c>
      <c r="D581" s="15" t="s">
        <v>136</v>
      </c>
      <c r="E581" s="19" t="n">
        <v>16.790847</v>
      </c>
      <c r="F581" s="19" t="n">
        <v>23.256887</v>
      </c>
      <c r="G581" s="19" t="n">
        <v>11.027172</v>
      </c>
      <c r="H581" s="19" t="n">
        <v>17.137189</v>
      </c>
      <c r="I581" s="19" t="n">
        <v>466.263471</v>
      </c>
      <c r="J581" s="27" t="n">
        <v>131354</v>
      </c>
      <c r="K581" s="27" t="n">
        <v>132940</v>
      </c>
      <c r="L581" s="9" t="n">
        <f aca="false">IF(AND(K581&lt;&gt;"",J581&lt;Assumptions!$B$3*K581),K581,J581)</f>
        <v>131354</v>
      </c>
      <c r="M581" s="21" t="str">
        <f aca="false">IF(L581=J581,"FERC Form 1","EIA-861")</f>
        <v>FERC Form 1</v>
      </c>
      <c r="N581" s="28" t="n">
        <f aca="false">E581+F581+G581</f>
        <v>51.074906</v>
      </c>
    </row>
    <row r="582" customFormat="false" ht="15" hidden="false" customHeight="false" outlineLevel="0" collapsed="false">
      <c r="A582" s="7" t="n">
        <v>2017</v>
      </c>
      <c r="B582" s="15" t="s">
        <v>153</v>
      </c>
      <c r="C582" s="15" t="s">
        <v>135</v>
      </c>
      <c r="D582" s="15" t="s">
        <v>136</v>
      </c>
      <c r="E582" s="19" t="n">
        <v>17.761845</v>
      </c>
      <c r="F582" s="19" t="n">
        <v>22.270154</v>
      </c>
      <c r="G582" s="19" t="n">
        <v>11.275012</v>
      </c>
      <c r="H582" s="19" t="n">
        <v>19.432612</v>
      </c>
      <c r="I582" s="19" t="n">
        <v>482.845878</v>
      </c>
      <c r="J582" s="27" t="n">
        <v>131852</v>
      </c>
      <c r="K582" s="27" t="n">
        <v>131047</v>
      </c>
      <c r="L582" s="9" t="n">
        <f aca="false">IF(AND(K582&lt;&gt;"",J582&lt;Assumptions!$B$3*K582),K582,J582)</f>
        <v>131852</v>
      </c>
      <c r="M582" s="21" t="str">
        <f aca="false">IF(L582=J582,"FERC Form 1","EIA-861")</f>
        <v>FERC Form 1</v>
      </c>
      <c r="N582" s="28" t="n">
        <f aca="false">E582+F582+G582</f>
        <v>51.307011</v>
      </c>
    </row>
    <row r="583" customFormat="false" ht="15" hidden="false" customHeight="false" outlineLevel="0" collapsed="false">
      <c r="A583" s="7" t="n">
        <v>2018</v>
      </c>
      <c r="B583" s="15" t="s">
        <v>153</v>
      </c>
      <c r="C583" s="15" t="s">
        <v>135</v>
      </c>
      <c r="D583" s="15" t="s">
        <v>136</v>
      </c>
      <c r="E583" s="19" t="n">
        <v>18.267828</v>
      </c>
      <c r="F583" s="19" t="n">
        <v>24.624185</v>
      </c>
      <c r="G583" s="19" t="n">
        <v>11.511131</v>
      </c>
      <c r="H583" s="19" t="n">
        <v>24.284636</v>
      </c>
      <c r="I583" s="19" t="n">
        <v>502.452137</v>
      </c>
      <c r="J583" s="27" t="n">
        <v>132150</v>
      </c>
      <c r="K583" s="27" t="n">
        <v>131170</v>
      </c>
      <c r="L583" s="9" t="n">
        <f aca="false">IF(AND(K583&lt;&gt;"",J583&lt;Assumptions!$B$3*K583),K583,J583)</f>
        <v>132150</v>
      </c>
      <c r="M583" s="21" t="str">
        <f aca="false">IF(L583=J583,"FERC Form 1","EIA-861")</f>
        <v>FERC Form 1</v>
      </c>
      <c r="N583" s="28" t="n">
        <f aca="false">E583+F583+G583</f>
        <v>54.403144</v>
      </c>
    </row>
    <row r="584" customFormat="false" ht="15" hidden="false" customHeight="false" outlineLevel="0" collapsed="false">
      <c r="A584" s="7" t="n">
        <v>2019</v>
      </c>
      <c r="B584" s="15" t="s">
        <v>153</v>
      </c>
      <c r="C584" s="15" t="s">
        <v>135</v>
      </c>
      <c r="D584" s="15" t="s">
        <v>136</v>
      </c>
      <c r="E584" s="19" t="n">
        <v>18.329595</v>
      </c>
      <c r="F584" s="19" t="n">
        <v>25.167979</v>
      </c>
      <c r="G584" s="19" t="n">
        <v>11.984078</v>
      </c>
      <c r="H584" s="19" t="n">
        <v>27.826373</v>
      </c>
      <c r="I584" s="19" t="n">
        <v>526.708017</v>
      </c>
      <c r="J584" s="27" t="n">
        <v>132583</v>
      </c>
      <c r="K584" s="27" t="n">
        <v>132583</v>
      </c>
      <c r="L584" s="9" t="n">
        <f aca="false">IF(AND(K584&lt;&gt;"",J584&lt;Assumptions!$B$3*K584),K584,J584)</f>
        <v>132583</v>
      </c>
      <c r="M584" s="21" t="str">
        <f aca="false">IF(L584=J584,"FERC Form 1","EIA-861")</f>
        <v>FERC Form 1</v>
      </c>
      <c r="N584" s="28" t="n">
        <f aca="false">E584+F584+G584</f>
        <v>55.481652</v>
      </c>
    </row>
    <row r="585" customFormat="false" ht="15" hidden="false" customHeight="false" outlineLevel="0" collapsed="false">
      <c r="A585" s="7" t="n">
        <v>2020</v>
      </c>
      <c r="B585" s="15" t="s">
        <v>153</v>
      </c>
      <c r="C585" s="15" t="s">
        <v>135</v>
      </c>
      <c r="D585" s="15" t="s">
        <v>136</v>
      </c>
      <c r="E585" s="19" t="n">
        <v>17.070455</v>
      </c>
      <c r="F585" s="19" t="n">
        <v>27.540322</v>
      </c>
      <c r="G585" s="19" t="n">
        <v>12.364103</v>
      </c>
      <c r="H585" s="19" t="n">
        <v>22.177273</v>
      </c>
      <c r="I585" s="19" t="n">
        <v>545.990362</v>
      </c>
      <c r="J585" s="27" t="n">
        <v>132806</v>
      </c>
      <c r="K585" s="27" t="n">
        <v>133491</v>
      </c>
      <c r="L585" s="9" t="n">
        <f aca="false">IF(AND(K585&lt;&gt;"",J585&lt;Assumptions!$B$3*K585),K585,J585)</f>
        <v>132806</v>
      </c>
      <c r="M585" s="21" t="str">
        <f aca="false">IF(L585=J585,"FERC Form 1","EIA-861")</f>
        <v>FERC Form 1</v>
      </c>
      <c r="N585" s="28" t="n">
        <f aca="false">E585+F585+G585</f>
        <v>56.97488</v>
      </c>
    </row>
    <row r="586" customFormat="false" ht="15" hidden="false" customHeight="false" outlineLevel="0" collapsed="false">
      <c r="A586" s="7" t="n">
        <v>2021</v>
      </c>
      <c r="B586" s="15" t="s">
        <v>153</v>
      </c>
      <c r="C586" s="15" t="s">
        <v>135</v>
      </c>
      <c r="D586" s="15" t="s">
        <v>136</v>
      </c>
      <c r="E586" s="19" t="n">
        <v>17.123074</v>
      </c>
      <c r="F586" s="19" t="n">
        <v>25.071903</v>
      </c>
      <c r="G586" s="19" t="n">
        <v>12.97104</v>
      </c>
      <c r="H586" s="19" t="n">
        <v>32.797403</v>
      </c>
      <c r="I586" s="19" t="n">
        <v>575.352333</v>
      </c>
      <c r="J586" s="27" t="n">
        <v>134424</v>
      </c>
      <c r="K586" s="27" t="n">
        <v>133943</v>
      </c>
      <c r="L586" s="9" t="n">
        <f aca="false">IF(AND(K586&lt;&gt;"",J586&lt;Assumptions!$B$3*K586),K586,J586)</f>
        <v>134424</v>
      </c>
      <c r="M586" s="21" t="str">
        <f aca="false">IF(L586=J586,"FERC Form 1","EIA-861")</f>
        <v>FERC Form 1</v>
      </c>
      <c r="N586" s="28" t="n">
        <f aca="false">E586+F586+G586</f>
        <v>55.166017</v>
      </c>
    </row>
    <row r="587" customFormat="false" ht="15" hidden="false" customHeight="false" outlineLevel="0" collapsed="false">
      <c r="A587" s="7" t="n">
        <v>2022</v>
      </c>
      <c r="B587" s="15" t="s">
        <v>153</v>
      </c>
      <c r="C587" s="15" t="s">
        <v>135</v>
      </c>
      <c r="D587" s="15" t="s">
        <v>136</v>
      </c>
      <c r="E587" s="19" t="n">
        <v>17.303697</v>
      </c>
      <c r="F587" s="19" t="n">
        <v>24.892147</v>
      </c>
      <c r="G587" s="19" t="n">
        <v>13.81423</v>
      </c>
      <c r="H587" s="19" t="n">
        <v>43.770622</v>
      </c>
      <c r="I587" s="19" t="n">
        <v>613.171368</v>
      </c>
      <c r="J587" s="27" t="n">
        <v>134701</v>
      </c>
      <c r="K587" s="27" t="n">
        <v>134122</v>
      </c>
      <c r="L587" s="9" t="n">
        <f aca="false">IF(AND(K587&lt;&gt;"",J587&lt;Assumptions!$B$3*K587),K587,J587)</f>
        <v>134701</v>
      </c>
      <c r="M587" s="21" t="str">
        <f aca="false">IF(L587=J587,"FERC Form 1","EIA-861")</f>
        <v>FERC Form 1</v>
      </c>
      <c r="N587" s="28" t="n">
        <f aca="false">E587+F587+G587</f>
        <v>56.010074</v>
      </c>
    </row>
    <row r="588" customFormat="false" ht="15" hidden="false" customHeight="false" outlineLevel="0" collapsed="false">
      <c r="A588" s="7" t="n">
        <v>2023</v>
      </c>
      <c r="B588" s="15" t="s">
        <v>153</v>
      </c>
      <c r="C588" s="15" t="s">
        <v>135</v>
      </c>
      <c r="D588" s="15" t="s">
        <v>136</v>
      </c>
      <c r="E588" s="19" t="n">
        <v>20.136041</v>
      </c>
      <c r="F588" s="19" t="n">
        <v>25.639818</v>
      </c>
      <c r="G588" s="19" t="n">
        <v>14.840562</v>
      </c>
      <c r="H588" s="19" t="n">
        <v>45.997795</v>
      </c>
      <c r="I588" s="19" t="n">
        <v>654.605387</v>
      </c>
      <c r="J588" s="27" t="n">
        <v>135435</v>
      </c>
      <c r="K588" s="27" t="n">
        <v>134339</v>
      </c>
      <c r="L588" s="9" t="n">
        <f aca="false">IF(AND(K588&lt;&gt;"",J588&lt;Assumptions!$B$3*K588),K588,J588)</f>
        <v>135435</v>
      </c>
      <c r="M588" s="21" t="str">
        <f aca="false">IF(L588=J588,"FERC Form 1","EIA-861")</f>
        <v>FERC Form 1</v>
      </c>
      <c r="N588" s="28" t="n">
        <f aca="false">E588+F588+G588</f>
        <v>60.616421</v>
      </c>
    </row>
    <row r="589" customFormat="false" ht="15" hidden="false" customHeight="false" outlineLevel="0" collapsed="false">
      <c r="A589" s="7" t="n">
        <v>2024</v>
      </c>
      <c r="B589" s="15" t="s">
        <v>153</v>
      </c>
      <c r="C589" s="15" t="s">
        <v>135</v>
      </c>
      <c r="D589" s="15" t="s">
        <v>136</v>
      </c>
      <c r="E589" s="19" t="n">
        <v>19.319587</v>
      </c>
      <c r="F589" s="19" t="n">
        <v>23.497363</v>
      </c>
      <c r="G589" s="19" t="n">
        <v>17.222056</v>
      </c>
      <c r="H589" s="19" t="n">
        <v>76.241296</v>
      </c>
      <c r="I589" s="19" t="n">
        <v>725.382063</v>
      </c>
      <c r="J589" s="27" t="n">
        <v>135519</v>
      </c>
      <c r="K589" s="27" t="n">
        <v>134397</v>
      </c>
      <c r="L589" s="9" t="n">
        <f aca="false">IF(AND(K589&lt;&gt;"",J589&lt;Assumptions!$B$3*K589),K589,J589)</f>
        <v>135519</v>
      </c>
      <c r="M589" s="21" t="str">
        <f aca="false">IF(L589=J589,"FERC Form 1","EIA-861")</f>
        <v>FERC Form 1</v>
      </c>
      <c r="N589" s="28" t="n">
        <f aca="false">E589+F589+G589</f>
        <v>60.039006</v>
      </c>
    </row>
    <row r="590" customFormat="false" ht="15" hidden="false" customHeight="false" outlineLevel="0" collapsed="false">
      <c r="A590" s="7" t="n">
        <v>2025</v>
      </c>
      <c r="B590" s="15" t="s">
        <v>153</v>
      </c>
      <c r="C590" s="15" t="s">
        <v>135</v>
      </c>
      <c r="D590" s="15" t="s">
        <v>136</v>
      </c>
      <c r="E590" s="19" t="n">
        <v>18.997339</v>
      </c>
      <c r="F590" s="19" t="n">
        <v>20.345731</v>
      </c>
      <c r="G590" s="19" t="n">
        <v>23.79822</v>
      </c>
      <c r="H590" s="19" t="n">
        <v>84.968449</v>
      </c>
      <c r="I590" s="19" t="n">
        <v>822.602947</v>
      </c>
      <c r="J590" s="27" t="n">
        <v>134230</v>
      </c>
      <c r="K590" s="27" t="n">
        <v>134544</v>
      </c>
      <c r="L590" s="9" t="n">
        <f aca="false">IF(AND(K590&lt;&gt;"",J590&lt;Assumptions!$B$3*K590),K590,J590)</f>
        <v>134230</v>
      </c>
      <c r="M590" s="21" t="str">
        <f aca="false">IF(L590=J590,"FERC Form 1","EIA-861")</f>
        <v>FERC Form 1</v>
      </c>
      <c r="N590" s="28" t="n">
        <f aca="false">E590+F590+G590</f>
        <v>63.14129</v>
      </c>
    </row>
    <row r="591" customFormat="false" ht="15" hidden="false" customHeight="false" outlineLevel="0" collapsed="false">
      <c r="A591" s="7" t="n">
        <v>2000</v>
      </c>
      <c r="B591" s="15" t="s">
        <v>154</v>
      </c>
      <c r="C591" s="15" t="s">
        <v>135</v>
      </c>
      <c r="D591" s="15" t="s">
        <v>141</v>
      </c>
      <c r="E591" s="19" t="n">
        <v>7.176931</v>
      </c>
      <c r="F591" s="19" t="n">
        <v>2.728008</v>
      </c>
      <c r="G591" s="19" t="n">
        <v>8.31612</v>
      </c>
      <c r="H591" s="19" t="n">
        <v>13.138408</v>
      </c>
      <c r="I591" s="19" t="n">
        <v>252.182356</v>
      </c>
      <c r="J591" s="27" t="n">
        <v>129144</v>
      </c>
      <c r="K591" s="27"/>
      <c r="L591" s="9" t="n">
        <f aca="false">IF(AND(K591&lt;&gt;"",J591&lt;Assumptions!$B$3*K591),K591,J591)</f>
        <v>129144</v>
      </c>
      <c r="M591" s="21" t="str">
        <f aca="false">IF(L591=J591,"FERC Form 1","EIA-861")</f>
        <v>FERC Form 1</v>
      </c>
      <c r="N591" s="28" t="n">
        <f aca="false">E591+F591+G591</f>
        <v>18.221059</v>
      </c>
    </row>
    <row r="592" customFormat="false" ht="15" hidden="false" customHeight="false" outlineLevel="0" collapsed="false">
      <c r="A592" s="7" t="n">
        <v>2001</v>
      </c>
      <c r="B592" s="15" t="s">
        <v>154</v>
      </c>
      <c r="C592" s="15" t="s">
        <v>135</v>
      </c>
      <c r="D592" s="15" t="s">
        <v>141</v>
      </c>
      <c r="E592" s="19" t="n">
        <v>7.858199</v>
      </c>
      <c r="F592" s="19" t="n">
        <v>5.088536</v>
      </c>
      <c r="G592" s="19" t="n">
        <v>8.556217</v>
      </c>
      <c r="H592" s="19" t="n">
        <v>10.290901</v>
      </c>
      <c r="I592" s="19" t="n">
        <v>261.662939</v>
      </c>
      <c r="J592" s="27" t="n">
        <v>132659</v>
      </c>
      <c r="K592" s="27" t="n">
        <v>132663</v>
      </c>
      <c r="L592" s="9" t="n">
        <f aca="false">IF(AND(K592&lt;&gt;"",J592&lt;Assumptions!$B$3*K592),K592,J592)</f>
        <v>132659</v>
      </c>
      <c r="M592" s="21" t="str">
        <f aca="false">IF(L592=J592,"FERC Form 1","EIA-861")</f>
        <v>FERC Form 1</v>
      </c>
      <c r="N592" s="28" t="n">
        <f aca="false">E592+F592+G592</f>
        <v>21.502952</v>
      </c>
    </row>
    <row r="593" customFormat="false" ht="15" hidden="false" customHeight="false" outlineLevel="0" collapsed="false">
      <c r="A593" s="7" t="n">
        <v>2002</v>
      </c>
      <c r="B593" s="15" t="s">
        <v>154</v>
      </c>
      <c r="C593" s="15" t="s">
        <v>135</v>
      </c>
      <c r="D593" s="15" t="s">
        <v>141</v>
      </c>
      <c r="E593" s="19" t="n">
        <v>7.758286</v>
      </c>
      <c r="F593" s="19" t="n">
        <v>4.322094</v>
      </c>
      <c r="G593" s="19" t="n">
        <v>9.13561</v>
      </c>
      <c r="H593" s="19" t="n">
        <v>21.943043</v>
      </c>
      <c r="I593" s="19" t="n">
        <v>282.24573</v>
      </c>
      <c r="J593" s="27" t="n">
        <v>133488</v>
      </c>
      <c r="K593" s="27" t="n">
        <v>133492</v>
      </c>
      <c r="L593" s="9" t="n">
        <f aca="false">IF(AND(K593&lt;&gt;"",J593&lt;Assumptions!$B$3*K593),K593,J593)</f>
        <v>133488</v>
      </c>
      <c r="M593" s="21" t="str">
        <f aca="false">IF(L593=J593,"FERC Form 1","EIA-861")</f>
        <v>FERC Form 1</v>
      </c>
      <c r="N593" s="28" t="n">
        <f aca="false">E593+F593+G593</f>
        <v>21.21599</v>
      </c>
    </row>
    <row r="594" customFormat="false" ht="15" hidden="false" customHeight="false" outlineLevel="0" collapsed="false">
      <c r="A594" s="7" t="n">
        <v>2003</v>
      </c>
      <c r="B594" s="15" t="s">
        <v>154</v>
      </c>
      <c r="C594" s="15" t="s">
        <v>135</v>
      </c>
      <c r="D594" s="15" t="s">
        <v>141</v>
      </c>
      <c r="E594" s="19" t="n">
        <v>9.13296</v>
      </c>
      <c r="F594" s="19" t="n">
        <v>4.288734</v>
      </c>
      <c r="G594" s="19" t="n">
        <v>9.730335</v>
      </c>
      <c r="H594" s="19" t="n">
        <v>15.135928</v>
      </c>
      <c r="I594" s="19" t="n">
        <v>295.686848</v>
      </c>
      <c r="J594" s="27" t="n">
        <v>134247</v>
      </c>
      <c r="K594" s="27" t="n">
        <v>134247</v>
      </c>
      <c r="L594" s="9" t="n">
        <f aca="false">IF(AND(K594&lt;&gt;"",J594&lt;Assumptions!$B$3*K594),K594,J594)</f>
        <v>134247</v>
      </c>
      <c r="M594" s="21" t="str">
        <f aca="false">IF(L594=J594,"FERC Form 1","EIA-861")</f>
        <v>FERC Form 1</v>
      </c>
      <c r="N594" s="28" t="n">
        <f aca="false">E594+F594+G594</f>
        <v>23.152029</v>
      </c>
    </row>
    <row r="595" customFormat="false" ht="15" hidden="false" customHeight="false" outlineLevel="0" collapsed="false">
      <c r="A595" s="7" t="n">
        <v>2004</v>
      </c>
      <c r="B595" s="15" t="s">
        <v>154</v>
      </c>
      <c r="C595" s="15" t="s">
        <v>135</v>
      </c>
      <c r="D595" s="15" t="s">
        <v>141</v>
      </c>
      <c r="E595" s="19" t="n">
        <v>8.896149</v>
      </c>
      <c r="F595" s="19" t="n">
        <v>5.711235</v>
      </c>
      <c r="G595" s="19" t="n">
        <v>10.139892</v>
      </c>
      <c r="H595" s="19" t="n">
        <v>16.528484</v>
      </c>
      <c r="I595" s="19" t="n">
        <v>310.999035</v>
      </c>
      <c r="J595" s="27" t="n">
        <v>135449</v>
      </c>
      <c r="K595" s="27" t="n">
        <v>135449</v>
      </c>
      <c r="L595" s="9" t="n">
        <f aca="false">IF(AND(K595&lt;&gt;"",J595&lt;Assumptions!$B$3*K595),K595,J595)</f>
        <v>135449</v>
      </c>
      <c r="M595" s="21" t="str">
        <f aca="false">IF(L595=J595,"FERC Form 1","EIA-861")</f>
        <v>FERC Form 1</v>
      </c>
      <c r="N595" s="28" t="n">
        <f aca="false">E595+F595+G595</f>
        <v>24.747276</v>
      </c>
    </row>
    <row r="596" customFormat="false" ht="15" hidden="false" customHeight="false" outlineLevel="0" collapsed="false">
      <c r="A596" s="7" t="n">
        <v>2005</v>
      </c>
      <c r="B596" s="15" t="s">
        <v>154</v>
      </c>
      <c r="C596" s="15" t="s">
        <v>135</v>
      </c>
      <c r="D596" s="15" t="s">
        <v>141</v>
      </c>
      <c r="E596" s="19" t="n">
        <v>8.676268</v>
      </c>
      <c r="F596" s="19" t="n">
        <v>6.703534</v>
      </c>
      <c r="G596" s="19" t="n">
        <v>10.676819</v>
      </c>
      <c r="H596" s="19" t="n">
        <v>20.877674</v>
      </c>
      <c r="I596" s="19" t="n">
        <v>331.278404</v>
      </c>
      <c r="J596" s="27" t="n">
        <v>144632</v>
      </c>
      <c r="K596" s="27" t="n">
        <v>144632</v>
      </c>
      <c r="L596" s="9" t="n">
        <f aca="false">IF(AND(K596&lt;&gt;"",J596&lt;Assumptions!$B$3*K596),K596,J596)</f>
        <v>144632</v>
      </c>
      <c r="M596" s="21" t="str">
        <f aca="false">IF(L596=J596,"FERC Form 1","EIA-861")</f>
        <v>FERC Form 1</v>
      </c>
      <c r="N596" s="28" t="n">
        <f aca="false">E596+F596+G596</f>
        <v>26.056621</v>
      </c>
    </row>
    <row r="597" customFormat="false" ht="15" hidden="false" customHeight="false" outlineLevel="0" collapsed="false">
      <c r="A597" s="7" t="n">
        <v>2006</v>
      </c>
      <c r="B597" s="15" t="s">
        <v>154</v>
      </c>
      <c r="C597" s="15" t="s">
        <v>135</v>
      </c>
      <c r="D597" s="15" t="s">
        <v>141</v>
      </c>
      <c r="E597" s="19" t="n">
        <v>9.725133</v>
      </c>
      <c r="F597" s="19" t="n">
        <v>6.721403</v>
      </c>
      <c r="G597" s="19" t="n">
        <v>11.78878</v>
      </c>
      <c r="H597" s="19" t="n">
        <v>35.83854</v>
      </c>
      <c r="I597" s="19" t="n">
        <v>365.455105</v>
      </c>
      <c r="J597" s="27" t="n">
        <v>145726</v>
      </c>
      <c r="K597" s="27" t="n">
        <v>145726</v>
      </c>
      <c r="L597" s="9" t="n">
        <f aca="false">IF(AND(K597&lt;&gt;"",J597&lt;Assumptions!$B$3*K597),K597,J597)</f>
        <v>145726</v>
      </c>
      <c r="M597" s="21" t="str">
        <f aca="false">IF(L597=J597,"FERC Form 1","EIA-861")</f>
        <v>FERC Form 1</v>
      </c>
      <c r="N597" s="28" t="n">
        <f aca="false">E597+F597+G597</f>
        <v>28.235316</v>
      </c>
    </row>
    <row r="598" customFormat="false" ht="15" hidden="false" customHeight="false" outlineLevel="0" collapsed="false">
      <c r="A598" s="7" t="n">
        <v>2007</v>
      </c>
      <c r="B598" s="15" t="s">
        <v>154</v>
      </c>
      <c r="C598" s="15" t="s">
        <v>135</v>
      </c>
      <c r="D598" s="15" t="s">
        <v>141</v>
      </c>
      <c r="E598" s="19" t="n">
        <v>9.584084</v>
      </c>
      <c r="F598" s="19" t="n">
        <v>6.978753</v>
      </c>
      <c r="G598" s="19" t="n">
        <v>12.252209</v>
      </c>
      <c r="H598" s="19" t="n">
        <v>24.934755</v>
      </c>
      <c r="I598" s="19" t="n">
        <v>390.230401</v>
      </c>
      <c r="J598" s="27" t="n">
        <v>146473</v>
      </c>
      <c r="K598" s="27" t="n">
        <v>146473</v>
      </c>
      <c r="L598" s="9" t="n">
        <f aca="false">IF(AND(K598&lt;&gt;"",J598&lt;Assumptions!$B$3*K598),K598,J598)</f>
        <v>146473</v>
      </c>
      <c r="M598" s="21" t="str">
        <f aca="false">IF(L598=J598,"FERC Form 1","EIA-861")</f>
        <v>FERC Form 1</v>
      </c>
      <c r="N598" s="28" t="n">
        <f aca="false">E598+F598+G598</f>
        <v>28.815046</v>
      </c>
    </row>
    <row r="599" customFormat="false" ht="15" hidden="false" customHeight="false" outlineLevel="0" collapsed="false">
      <c r="A599" s="7" t="n">
        <v>2008</v>
      </c>
      <c r="B599" s="15" t="s">
        <v>154</v>
      </c>
      <c r="C599" s="15" t="s">
        <v>135</v>
      </c>
      <c r="D599" s="15" t="s">
        <v>141</v>
      </c>
      <c r="E599" s="19" t="n">
        <v>15.835333</v>
      </c>
      <c r="F599" s="19" t="n">
        <v>7.238338</v>
      </c>
      <c r="G599" s="19" t="n">
        <v>12.073168</v>
      </c>
      <c r="H599" s="19" t="n">
        <v>34.373955</v>
      </c>
      <c r="I599" s="19" t="n">
        <v>423.288828</v>
      </c>
      <c r="J599" s="27" t="n">
        <v>146339</v>
      </c>
      <c r="K599" s="27" t="n">
        <v>146339</v>
      </c>
      <c r="L599" s="9" t="n">
        <f aca="false">IF(AND(K599&lt;&gt;"",J599&lt;Assumptions!$B$3*K599),K599,J599)</f>
        <v>146339</v>
      </c>
      <c r="M599" s="21" t="str">
        <f aca="false">IF(L599=J599,"FERC Form 1","EIA-861")</f>
        <v>FERC Form 1</v>
      </c>
      <c r="N599" s="28" t="n">
        <f aca="false">E599+F599+G599</f>
        <v>35.146839</v>
      </c>
    </row>
    <row r="600" customFormat="false" ht="15" hidden="false" customHeight="false" outlineLevel="0" collapsed="false">
      <c r="A600" s="7" t="n">
        <v>2009</v>
      </c>
      <c r="B600" s="15" t="s">
        <v>154</v>
      </c>
      <c r="C600" s="15" t="s">
        <v>135</v>
      </c>
      <c r="D600" s="15" t="s">
        <v>141</v>
      </c>
      <c r="E600" s="19" t="n">
        <v>16.35913</v>
      </c>
      <c r="F600" s="19" t="n">
        <v>8.122629</v>
      </c>
      <c r="G600" s="19" t="n">
        <v>13.706596</v>
      </c>
      <c r="H600" s="19" t="n">
        <v>56.631744</v>
      </c>
      <c r="I600" s="19" t="n">
        <v>478.397893</v>
      </c>
      <c r="J600" s="27" t="n">
        <v>145945</v>
      </c>
      <c r="K600" s="27" t="n">
        <v>145945</v>
      </c>
      <c r="L600" s="9" t="n">
        <f aca="false">IF(AND(K600&lt;&gt;"",J600&lt;Assumptions!$B$3*K600),K600,J600)</f>
        <v>145945</v>
      </c>
      <c r="M600" s="21" t="str">
        <f aca="false">IF(L600=J600,"FERC Form 1","EIA-861")</f>
        <v>FERC Form 1</v>
      </c>
      <c r="N600" s="28" t="n">
        <f aca="false">E600+F600+G600</f>
        <v>38.188355</v>
      </c>
    </row>
    <row r="601" customFormat="false" ht="15" hidden="false" customHeight="false" outlineLevel="0" collapsed="false">
      <c r="A601" s="7" t="n">
        <v>2010</v>
      </c>
      <c r="B601" s="15" t="s">
        <v>154</v>
      </c>
      <c r="C601" s="15" t="s">
        <v>135</v>
      </c>
      <c r="D601" s="15" t="s">
        <v>141</v>
      </c>
      <c r="E601" s="19" t="n">
        <v>15.69921</v>
      </c>
      <c r="F601" s="19" t="n">
        <v>7.996869</v>
      </c>
      <c r="G601" s="19" t="n">
        <v>14.69252</v>
      </c>
      <c r="H601" s="19" t="n">
        <v>19.767533</v>
      </c>
      <c r="I601" s="19" t="n">
        <v>496.406852</v>
      </c>
      <c r="J601" s="27" t="n">
        <v>146240</v>
      </c>
      <c r="K601" s="27" t="n">
        <v>146240</v>
      </c>
      <c r="L601" s="9" t="n">
        <f aca="false">IF(AND(K601&lt;&gt;"",J601&lt;Assumptions!$B$3*K601),K601,J601)</f>
        <v>146240</v>
      </c>
      <c r="M601" s="21" t="str">
        <f aca="false">IF(L601=J601,"FERC Form 1","EIA-861")</f>
        <v>FERC Form 1</v>
      </c>
      <c r="N601" s="28" t="n">
        <f aca="false">E601+F601+G601</f>
        <v>38.388599</v>
      </c>
    </row>
    <row r="602" customFormat="false" ht="15" hidden="false" customHeight="false" outlineLevel="0" collapsed="false">
      <c r="A602" s="7" t="n">
        <v>2011</v>
      </c>
      <c r="B602" s="15" t="s">
        <v>154</v>
      </c>
      <c r="C602" s="15" t="s">
        <v>135</v>
      </c>
      <c r="D602" s="15" t="s">
        <v>141</v>
      </c>
      <c r="E602" s="19" t="n">
        <v>16.208824</v>
      </c>
      <c r="F602" s="19" t="n">
        <v>7.887525</v>
      </c>
      <c r="G602" s="19" t="n">
        <v>15.283797</v>
      </c>
      <c r="H602" s="19" t="n">
        <v>25.049487</v>
      </c>
      <c r="I602" s="19" t="n">
        <v>520.346687</v>
      </c>
      <c r="J602" s="27" t="n">
        <v>146136</v>
      </c>
      <c r="K602" s="27" t="n">
        <v>146136</v>
      </c>
      <c r="L602" s="9" t="n">
        <f aca="false">IF(AND(K602&lt;&gt;"",J602&lt;Assumptions!$B$3*K602),K602,J602)</f>
        <v>146136</v>
      </c>
      <c r="M602" s="21" t="str">
        <f aca="false">IF(L602=J602,"FERC Form 1","EIA-861")</f>
        <v>FERC Form 1</v>
      </c>
      <c r="N602" s="28" t="n">
        <f aca="false">E602+F602+G602</f>
        <v>39.380146</v>
      </c>
    </row>
    <row r="603" customFormat="false" ht="15" hidden="false" customHeight="false" outlineLevel="0" collapsed="false">
      <c r="A603" s="7" t="n">
        <v>2012</v>
      </c>
      <c r="B603" s="15" t="s">
        <v>154</v>
      </c>
      <c r="C603" s="15" t="s">
        <v>135</v>
      </c>
      <c r="D603" s="15" t="s">
        <v>141</v>
      </c>
      <c r="E603" s="19" t="n">
        <v>15.860228</v>
      </c>
      <c r="F603" s="19" t="n">
        <v>7.187684</v>
      </c>
      <c r="G603" s="19" t="n">
        <v>16.199215</v>
      </c>
      <c r="H603" s="19" t="n">
        <v>30.247663</v>
      </c>
      <c r="I603" s="19" t="n">
        <v>548.37545</v>
      </c>
      <c r="J603" s="27" t="n">
        <v>146320</v>
      </c>
      <c r="K603" s="27" t="n">
        <v>146320</v>
      </c>
      <c r="L603" s="9" t="n">
        <f aca="false">IF(AND(K603&lt;&gt;"",J603&lt;Assumptions!$B$3*K603),K603,J603)</f>
        <v>146320</v>
      </c>
      <c r="M603" s="21" t="str">
        <f aca="false">IF(L603=J603,"FERC Form 1","EIA-861")</f>
        <v>FERC Form 1</v>
      </c>
      <c r="N603" s="28" t="n">
        <f aca="false">E603+F603+G603</f>
        <v>39.247127</v>
      </c>
    </row>
    <row r="604" customFormat="false" ht="15" hidden="false" customHeight="false" outlineLevel="0" collapsed="false">
      <c r="A604" s="7" t="n">
        <v>2013</v>
      </c>
      <c r="B604" s="15" t="s">
        <v>154</v>
      </c>
      <c r="C604" s="15" t="s">
        <v>135</v>
      </c>
      <c r="D604" s="15" t="s">
        <v>141</v>
      </c>
      <c r="E604" s="19" t="n">
        <v>15.196421</v>
      </c>
      <c r="F604" s="19" t="n">
        <v>7.045966</v>
      </c>
      <c r="G604" s="19" t="n">
        <v>16.887799</v>
      </c>
      <c r="H604" s="19" t="n">
        <v>22.237849</v>
      </c>
      <c r="I604" s="19" t="n">
        <v>568.551681</v>
      </c>
      <c r="J604" s="27" t="n">
        <v>146713</v>
      </c>
      <c r="K604" s="27" t="n">
        <v>146713</v>
      </c>
      <c r="L604" s="9" t="n">
        <f aca="false">IF(AND(K604&lt;&gt;"",J604&lt;Assumptions!$B$3*K604),K604,J604)</f>
        <v>146713</v>
      </c>
      <c r="M604" s="21" t="str">
        <f aca="false">IF(L604=J604,"FERC Form 1","EIA-861")</f>
        <v>FERC Form 1</v>
      </c>
      <c r="N604" s="28" t="n">
        <f aca="false">E604+F604+G604</f>
        <v>39.130186</v>
      </c>
    </row>
    <row r="605" customFormat="false" ht="15" hidden="false" customHeight="false" outlineLevel="0" collapsed="false">
      <c r="A605" s="7" t="n">
        <v>2014</v>
      </c>
      <c r="B605" s="15" t="s">
        <v>154</v>
      </c>
      <c r="C605" s="15" t="s">
        <v>135</v>
      </c>
      <c r="D605" s="15" t="s">
        <v>141</v>
      </c>
      <c r="E605" s="19" t="n">
        <v>15.880729</v>
      </c>
      <c r="F605" s="19" t="n">
        <v>6.472015</v>
      </c>
      <c r="G605" s="19" t="n">
        <v>17.569106</v>
      </c>
      <c r="H605" s="19" t="n">
        <v>27.089677</v>
      </c>
      <c r="I605" s="19" t="n">
        <v>593.788595</v>
      </c>
      <c r="J605" s="27" t="n">
        <v>147171</v>
      </c>
      <c r="K605" s="27" t="n">
        <v>147171</v>
      </c>
      <c r="L605" s="9" t="n">
        <f aca="false">IF(AND(K605&lt;&gt;"",J605&lt;Assumptions!$B$3*K605),K605,J605)</f>
        <v>147171</v>
      </c>
      <c r="M605" s="21" t="str">
        <f aca="false">IF(L605=J605,"FERC Form 1","EIA-861")</f>
        <v>FERC Form 1</v>
      </c>
      <c r="N605" s="28" t="n">
        <f aca="false">E605+F605+G605</f>
        <v>39.92185</v>
      </c>
    </row>
    <row r="606" customFormat="false" ht="15" hidden="false" customHeight="false" outlineLevel="0" collapsed="false">
      <c r="A606" s="7" t="n">
        <v>2015</v>
      </c>
      <c r="B606" s="15" t="s">
        <v>154</v>
      </c>
      <c r="C606" s="15" t="s">
        <v>135</v>
      </c>
      <c r="D606" s="15" t="s">
        <v>141</v>
      </c>
      <c r="E606" s="19" t="n">
        <v>15.461276</v>
      </c>
      <c r="F606" s="19" t="n">
        <v>6.51151</v>
      </c>
      <c r="G606" s="19" t="n">
        <v>18.332795</v>
      </c>
      <c r="H606" s="19" t="n">
        <v>31.882907</v>
      </c>
      <c r="I606" s="19" t="n">
        <v>621.003801</v>
      </c>
      <c r="J606" s="27" t="n">
        <v>147771</v>
      </c>
      <c r="K606" s="27" t="n">
        <v>147771</v>
      </c>
      <c r="L606" s="9" t="n">
        <f aca="false">IF(AND(K606&lt;&gt;"",J606&lt;Assumptions!$B$3*K606),K606,J606)</f>
        <v>147771</v>
      </c>
      <c r="M606" s="21" t="str">
        <f aca="false">IF(L606=J606,"FERC Form 1","EIA-861")</f>
        <v>FERC Form 1</v>
      </c>
      <c r="N606" s="28" t="n">
        <f aca="false">E606+F606+G606</f>
        <v>40.305581</v>
      </c>
    </row>
    <row r="607" customFormat="false" ht="15" hidden="false" customHeight="false" outlineLevel="0" collapsed="false">
      <c r="A607" s="7" t="n">
        <v>2016</v>
      </c>
      <c r="B607" s="15" t="s">
        <v>154</v>
      </c>
      <c r="C607" s="15" t="s">
        <v>135</v>
      </c>
      <c r="D607" s="15" t="s">
        <v>141</v>
      </c>
      <c r="E607" s="19" t="n">
        <v>15.350234</v>
      </c>
      <c r="F607" s="19" t="n">
        <v>6.524443</v>
      </c>
      <c r="G607" s="19" t="n">
        <v>19.144054</v>
      </c>
      <c r="H607" s="19" t="n">
        <v>31.886171</v>
      </c>
      <c r="I607" s="19" t="n">
        <v>650.853553</v>
      </c>
      <c r="J607" s="27" t="n">
        <v>148429</v>
      </c>
      <c r="K607" s="27" t="n">
        <v>144400</v>
      </c>
      <c r="L607" s="9" t="n">
        <f aca="false">IF(AND(K607&lt;&gt;"",J607&lt;Assumptions!$B$3*K607),K607,J607)</f>
        <v>148429</v>
      </c>
      <c r="M607" s="21" t="str">
        <f aca="false">IF(L607=J607,"FERC Form 1","EIA-861")</f>
        <v>FERC Form 1</v>
      </c>
      <c r="N607" s="28" t="n">
        <f aca="false">E607+F607+G607</f>
        <v>41.018731</v>
      </c>
    </row>
    <row r="608" customFormat="false" ht="15" hidden="false" customHeight="false" outlineLevel="0" collapsed="false">
      <c r="A608" s="7" t="n">
        <v>2017</v>
      </c>
      <c r="B608" s="15" t="s">
        <v>154</v>
      </c>
      <c r="C608" s="15" t="s">
        <v>135</v>
      </c>
      <c r="D608" s="15" t="s">
        <v>141</v>
      </c>
      <c r="E608" s="19" t="n">
        <v>16.054551</v>
      </c>
      <c r="F608" s="19" t="n">
        <v>6.954544</v>
      </c>
      <c r="G608" s="19" t="n">
        <v>19.981904</v>
      </c>
      <c r="H608" s="19" t="n">
        <v>46.974908</v>
      </c>
      <c r="I608" s="19" t="n">
        <v>694.90984</v>
      </c>
      <c r="J608" s="27" t="n">
        <v>145277</v>
      </c>
      <c r="K608" s="27" t="n">
        <v>141341</v>
      </c>
      <c r="L608" s="9" t="n">
        <f aca="false">IF(AND(K608&lt;&gt;"",J608&lt;Assumptions!$B$3*K608),K608,J608)</f>
        <v>145277</v>
      </c>
      <c r="M608" s="21" t="str">
        <f aca="false">IF(L608=J608,"FERC Form 1","EIA-861")</f>
        <v>FERC Form 1</v>
      </c>
      <c r="N608" s="28" t="n">
        <f aca="false">E608+F608+G608</f>
        <v>42.990999</v>
      </c>
    </row>
    <row r="609" customFormat="false" ht="15" hidden="false" customHeight="false" outlineLevel="0" collapsed="false">
      <c r="A609" s="7" t="n">
        <v>2018</v>
      </c>
      <c r="B609" s="15" t="s">
        <v>154</v>
      </c>
      <c r="C609" s="15" t="s">
        <v>135</v>
      </c>
      <c r="D609" s="15" t="s">
        <v>141</v>
      </c>
      <c r="E609" s="19" t="n">
        <v>17.091477</v>
      </c>
      <c r="F609" s="19" t="n">
        <v>6.509251</v>
      </c>
      <c r="G609" s="19" t="n">
        <v>20.344949</v>
      </c>
      <c r="H609" s="19" t="n">
        <v>67.001214</v>
      </c>
      <c r="I609" s="19" t="n">
        <v>747.908729</v>
      </c>
      <c r="J609" s="27" t="n">
        <v>146305</v>
      </c>
      <c r="K609" s="27" t="n">
        <v>142453</v>
      </c>
      <c r="L609" s="9" t="n">
        <f aca="false">IF(AND(K609&lt;&gt;"",J609&lt;Assumptions!$B$3*K609),K609,J609)</f>
        <v>146305</v>
      </c>
      <c r="M609" s="21" t="str">
        <f aca="false">IF(L609=J609,"FERC Form 1","EIA-861")</f>
        <v>FERC Form 1</v>
      </c>
      <c r="N609" s="28" t="n">
        <f aca="false">E609+F609+G609</f>
        <v>43.945677</v>
      </c>
    </row>
    <row r="610" customFormat="false" ht="15" hidden="false" customHeight="false" outlineLevel="0" collapsed="false">
      <c r="A610" s="7" t="n">
        <v>2019</v>
      </c>
      <c r="B610" s="15" t="s">
        <v>154</v>
      </c>
      <c r="C610" s="15" t="s">
        <v>135</v>
      </c>
      <c r="D610" s="15" t="s">
        <v>141</v>
      </c>
      <c r="E610" s="19" t="n">
        <v>17.552837</v>
      </c>
      <c r="F610" s="19" t="n">
        <v>5.37082</v>
      </c>
      <c r="G610" s="19" t="n">
        <v>21.835392</v>
      </c>
      <c r="H610" s="19" t="n">
        <v>89.11206</v>
      </c>
      <c r="I610" s="19" t="n">
        <v>830.449043</v>
      </c>
      <c r="J610" s="27" t="n">
        <v>147287</v>
      </c>
      <c r="K610" s="27" t="n">
        <v>143533</v>
      </c>
      <c r="L610" s="9" t="n">
        <f aca="false">IF(AND(K610&lt;&gt;"",J610&lt;Assumptions!$B$3*K610),K610,J610)</f>
        <v>147287</v>
      </c>
      <c r="M610" s="21" t="str">
        <f aca="false">IF(L610=J610,"FERC Form 1","EIA-861")</f>
        <v>FERC Form 1</v>
      </c>
      <c r="N610" s="28" t="n">
        <f aca="false">E610+F610+G610</f>
        <v>44.759049</v>
      </c>
    </row>
    <row r="611" customFormat="false" ht="15" hidden="false" customHeight="false" outlineLevel="0" collapsed="false">
      <c r="A611" s="7" t="n">
        <v>2020</v>
      </c>
      <c r="B611" s="15" t="s">
        <v>154</v>
      </c>
      <c r="C611" s="15" t="s">
        <v>135</v>
      </c>
      <c r="D611" s="15" t="s">
        <v>141</v>
      </c>
      <c r="E611" s="19" t="n">
        <v>19.729444</v>
      </c>
      <c r="F611" s="19" t="n">
        <v>4.614816</v>
      </c>
      <c r="G611" s="19" t="n">
        <v>24.075059</v>
      </c>
      <c r="H611" s="19" t="n">
        <v>78.62293</v>
      </c>
      <c r="I611" s="19" t="n">
        <v>904.554102</v>
      </c>
      <c r="J611" s="27" t="n">
        <v>148706</v>
      </c>
      <c r="K611" s="27" t="n">
        <v>148707</v>
      </c>
      <c r="L611" s="9" t="n">
        <f aca="false">IF(AND(K611&lt;&gt;"",J611&lt;Assumptions!$B$3*K611),K611,J611)</f>
        <v>148706</v>
      </c>
      <c r="M611" s="21" t="str">
        <f aca="false">IF(L611=J611,"FERC Form 1","EIA-861")</f>
        <v>FERC Form 1</v>
      </c>
      <c r="N611" s="28" t="n">
        <f aca="false">E611+F611+G611</f>
        <v>48.419319</v>
      </c>
    </row>
    <row r="612" customFormat="false" ht="15" hidden="false" customHeight="false" outlineLevel="0" collapsed="false">
      <c r="A612" s="7" t="n">
        <v>2021</v>
      </c>
      <c r="B612" s="15" t="s">
        <v>154</v>
      </c>
      <c r="C612" s="15" t="s">
        <v>135</v>
      </c>
      <c r="D612" s="15" t="s">
        <v>141</v>
      </c>
      <c r="E612" s="19" t="n">
        <v>19.275324</v>
      </c>
      <c r="F612" s="19" t="n">
        <v>3.669069</v>
      </c>
      <c r="G612" s="19" t="n">
        <v>26.692821</v>
      </c>
      <c r="H612" s="19" t="n">
        <v>54.381226</v>
      </c>
      <c r="I612" s="19" t="n">
        <v>955.066045</v>
      </c>
      <c r="J612" s="27" t="n">
        <v>153433</v>
      </c>
      <c r="K612" s="27" t="n">
        <v>149852</v>
      </c>
      <c r="L612" s="9" t="n">
        <f aca="false">IF(AND(K612&lt;&gt;"",J612&lt;Assumptions!$B$3*K612),K612,J612)</f>
        <v>153433</v>
      </c>
      <c r="M612" s="21" t="str">
        <f aca="false">IF(L612=J612,"FERC Form 1","EIA-861")</f>
        <v>FERC Form 1</v>
      </c>
      <c r="N612" s="28" t="n">
        <f aca="false">E612+F612+G612</f>
        <v>49.637214</v>
      </c>
    </row>
    <row r="613" customFormat="false" ht="15" hidden="false" customHeight="false" outlineLevel="0" collapsed="false">
      <c r="A613" s="7" t="n">
        <v>2022</v>
      </c>
      <c r="B613" s="15" t="s">
        <v>154</v>
      </c>
      <c r="C613" s="15" t="s">
        <v>135</v>
      </c>
      <c r="D613" s="15" t="s">
        <v>141</v>
      </c>
      <c r="E613" s="19" t="n">
        <v>21.355155</v>
      </c>
      <c r="F613" s="19" t="n">
        <v>4.111256</v>
      </c>
      <c r="G613" s="19" t="n">
        <v>28.036509</v>
      </c>
      <c r="H613" s="19" t="n">
        <v>94.258358</v>
      </c>
      <c r="I613" s="19" t="n">
        <v>1046.308505</v>
      </c>
      <c r="J613" s="27" t="n">
        <v>154505</v>
      </c>
      <c r="K613" s="27" t="n">
        <v>151007</v>
      </c>
      <c r="L613" s="9" t="n">
        <f aca="false">IF(AND(K613&lt;&gt;"",J613&lt;Assumptions!$B$3*K613),K613,J613)</f>
        <v>154505</v>
      </c>
      <c r="M613" s="21" t="str">
        <f aca="false">IF(L613=J613,"FERC Form 1","EIA-861")</f>
        <v>FERC Form 1</v>
      </c>
      <c r="N613" s="28" t="n">
        <f aca="false">E613+F613+G613</f>
        <v>53.50292</v>
      </c>
    </row>
    <row r="614" customFormat="false" ht="15" hidden="false" customHeight="false" outlineLevel="0" collapsed="false">
      <c r="A614" s="7" t="n">
        <v>2023</v>
      </c>
      <c r="B614" s="15" t="s">
        <v>154</v>
      </c>
      <c r="C614" s="15" t="s">
        <v>135</v>
      </c>
      <c r="D614" s="15" t="s">
        <v>141</v>
      </c>
      <c r="E614" s="19" t="n">
        <v>22.804499</v>
      </c>
      <c r="F614" s="19" t="n">
        <v>3.445079</v>
      </c>
      <c r="G614" s="19" t="n">
        <v>30.306768</v>
      </c>
      <c r="H614" s="19" t="n">
        <v>133.489011</v>
      </c>
      <c r="I614" s="19" t="n">
        <v>1175.062334</v>
      </c>
      <c r="J614" s="27" t="n">
        <v>155182</v>
      </c>
      <c r="K614" s="27" t="n">
        <v>151780</v>
      </c>
      <c r="L614" s="9" t="n">
        <f aca="false">IF(AND(K614&lt;&gt;"",J614&lt;Assumptions!$B$3*K614),K614,J614)</f>
        <v>155182</v>
      </c>
      <c r="M614" s="21" t="str">
        <f aca="false">IF(L614=J614,"FERC Form 1","EIA-861")</f>
        <v>FERC Form 1</v>
      </c>
      <c r="N614" s="28" t="n">
        <f aca="false">E614+F614+G614</f>
        <v>56.556346</v>
      </c>
    </row>
    <row r="615" customFormat="false" ht="15" hidden="false" customHeight="false" outlineLevel="0" collapsed="false">
      <c r="A615" s="7" t="n">
        <v>2024</v>
      </c>
      <c r="B615" s="15" t="s">
        <v>154</v>
      </c>
      <c r="C615" s="15" t="s">
        <v>135</v>
      </c>
      <c r="D615" s="15" t="s">
        <v>141</v>
      </c>
      <c r="E615" s="19" t="n">
        <v>22.772611</v>
      </c>
      <c r="F615" s="19" t="n">
        <v>3.734713</v>
      </c>
      <c r="G615" s="19" t="n">
        <v>34.805757</v>
      </c>
      <c r="H615" s="19" t="n">
        <v>125.191207</v>
      </c>
      <c r="I615" s="19" t="n">
        <v>1284.95718</v>
      </c>
      <c r="J615" s="27" t="n">
        <v>156686</v>
      </c>
      <c r="K615" s="27" t="n">
        <v>153371</v>
      </c>
      <c r="L615" s="9" t="n">
        <f aca="false">IF(AND(K615&lt;&gt;"",J615&lt;Assumptions!$B$3*K615),K615,J615)</f>
        <v>156686</v>
      </c>
      <c r="M615" s="21" t="str">
        <f aca="false">IF(L615=J615,"FERC Form 1","EIA-861")</f>
        <v>FERC Form 1</v>
      </c>
      <c r="N615" s="28" t="n">
        <f aca="false">E615+F615+G615</f>
        <v>61.313081</v>
      </c>
    </row>
    <row r="616" customFormat="false" ht="15" hidden="false" customHeight="false" outlineLevel="0" collapsed="false">
      <c r="A616" s="7" t="n">
        <v>2025</v>
      </c>
      <c r="B616" s="15" t="s">
        <v>154</v>
      </c>
      <c r="C616" s="15" t="s">
        <v>135</v>
      </c>
      <c r="D616" s="15" t="s">
        <v>141</v>
      </c>
      <c r="E616" s="19" t="n">
        <v>25.274553</v>
      </c>
      <c r="F616" s="19" t="n">
        <v>5.332556</v>
      </c>
      <c r="G616" s="19" t="n">
        <v>40.926956</v>
      </c>
      <c r="H616" s="19" t="n">
        <v>161.226451</v>
      </c>
      <c r="I616" s="19" t="n">
        <v>1446.112416</v>
      </c>
      <c r="J616" s="27" t="n">
        <v>157708</v>
      </c>
      <c r="K616" s="27" t="n">
        <v>154465</v>
      </c>
      <c r="L616" s="9" t="n">
        <f aca="false">IF(AND(K616&lt;&gt;"",J616&lt;Assumptions!$B$3*K616),K616,J616)</f>
        <v>157708</v>
      </c>
      <c r="M616" s="21" t="str">
        <f aca="false">IF(L616=J616,"FERC Form 1","EIA-861")</f>
        <v>FERC Form 1</v>
      </c>
      <c r="N616" s="28" t="n">
        <f aca="false">E616+F616+G616</f>
        <v>71.534065</v>
      </c>
    </row>
    <row r="617" customFormat="false" ht="15" hidden="false" customHeight="false" outlineLevel="0" collapsed="false">
      <c r="A617" s="7" t="n">
        <v>2000</v>
      </c>
      <c r="B617" s="15" t="s">
        <v>155</v>
      </c>
      <c r="C617" s="15" t="s">
        <v>135</v>
      </c>
      <c r="D617" s="15" t="s">
        <v>148</v>
      </c>
      <c r="E617" s="19" t="n">
        <v>71.58933</v>
      </c>
      <c r="F617" s="19" t="n">
        <v>69.492021</v>
      </c>
      <c r="G617" s="19" t="n">
        <v>67.956764</v>
      </c>
      <c r="H617" s="19" t="n">
        <v>151.430269</v>
      </c>
      <c r="I617" s="19" t="n">
        <v>2175.845285</v>
      </c>
      <c r="J617" s="27" t="n">
        <v>1017232</v>
      </c>
      <c r="K617" s="27"/>
      <c r="L617" s="9" t="n">
        <f aca="false">IF(AND(K617&lt;&gt;"",J617&lt;Assumptions!$B$3*K617),K617,J617)</f>
        <v>1017232</v>
      </c>
      <c r="M617" s="21" t="str">
        <f aca="false">IF(L617=J617,"FERC Form 1","EIA-861")</f>
        <v>FERC Form 1</v>
      </c>
      <c r="N617" s="28" t="n">
        <f aca="false">E617+F617+G617</f>
        <v>209.038115</v>
      </c>
    </row>
    <row r="618" customFormat="false" ht="15" hidden="false" customHeight="false" outlineLevel="0" collapsed="false">
      <c r="A618" s="7" t="n">
        <v>2001</v>
      </c>
      <c r="B618" s="15" t="s">
        <v>155</v>
      </c>
      <c r="C618" s="15" t="s">
        <v>135</v>
      </c>
      <c r="D618" s="15" t="s">
        <v>148</v>
      </c>
      <c r="E618" s="19" t="n">
        <v>71.683385</v>
      </c>
      <c r="F618" s="19" t="n">
        <v>69.319035</v>
      </c>
      <c r="G618" s="19" t="n">
        <v>70.818111</v>
      </c>
      <c r="H618" s="19" t="n">
        <v>158.959964</v>
      </c>
      <c r="I618" s="19" t="n">
        <v>2282.460831</v>
      </c>
      <c r="J618" s="27" t="n">
        <v>1035127</v>
      </c>
      <c r="K618" s="27" t="n">
        <v>1035127</v>
      </c>
      <c r="L618" s="9" t="n">
        <f aca="false">IF(AND(K618&lt;&gt;"",J618&lt;Assumptions!$B$3*K618),K618,J618)</f>
        <v>1035127</v>
      </c>
      <c r="M618" s="21" t="str">
        <f aca="false">IF(L618=J618,"FERC Form 1","EIA-861")</f>
        <v>FERC Form 1</v>
      </c>
      <c r="N618" s="28" t="n">
        <f aca="false">E618+F618+G618</f>
        <v>211.820531</v>
      </c>
    </row>
    <row r="619" customFormat="false" ht="15" hidden="false" customHeight="false" outlineLevel="0" collapsed="false">
      <c r="A619" s="7" t="n">
        <v>2002</v>
      </c>
      <c r="B619" s="15" t="s">
        <v>155</v>
      </c>
      <c r="C619" s="15" t="s">
        <v>135</v>
      </c>
      <c r="D619" s="15" t="s">
        <v>148</v>
      </c>
      <c r="E619" s="19" t="n">
        <v>72.968897</v>
      </c>
      <c r="F619" s="19" t="n">
        <v>75.130968</v>
      </c>
      <c r="G619" s="19" t="n">
        <v>75.326504</v>
      </c>
      <c r="H619" s="19" t="n">
        <v>157.220617</v>
      </c>
      <c r="I619" s="19" t="n">
        <v>2432.772369</v>
      </c>
      <c r="J619" s="27" t="n">
        <v>1050345</v>
      </c>
      <c r="K619" s="27" t="n">
        <v>1050345</v>
      </c>
      <c r="L619" s="9" t="n">
        <f aca="false">IF(AND(K619&lt;&gt;"",J619&lt;Assumptions!$B$3*K619),K619,J619)</f>
        <v>1050345</v>
      </c>
      <c r="M619" s="21" t="str">
        <f aca="false">IF(L619=J619,"FERC Form 1","EIA-861")</f>
        <v>FERC Form 1</v>
      </c>
      <c r="N619" s="28" t="n">
        <f aca="false">E619+F619+G619</f>
        <v>223.426369</v>
      </c>
    </row>
    <row r="620" customFormat="false" ht="15" hidden="false" customHeight="false" outlineLevel="0" collapsed="false">
      <c r="A620" s="7" t="n">
        <v>2003</v>
      </c>
      <c r="B620" s="15" t="s">
        <v>155</v>
      </c>
      <c r="C620" s="15" t="s">
        <v>135</v>
      </c>
      <c r="D620" s="15" t="s">
        <v>148</v>
      </c>
      <c r="E620" s="19" t="n">
        <v>72.423717</v>
      </c>
      <c r="F620" s="19" t="n">
        <v>70.823183</v>
      </c>
      <c r="G620" s="19" t="n">
        <v>79.874314</v>
      </c>
      <c r="H620" s="19" t="n">
        <v>176.693647</v>
      </c>
      <c r="I620" s="19" t="n">
        <v>2588.865429</v>
      </c>
      <c r="J620" s="27" t="n">
        <v>1060679</v>
      </c>
      <c r="K620" s="27" t="n">
        <v>1060679</v>
      </c>
      <c r="L620" s="9" t="n">
        <f aca="false">IF(AND(K620&lt;&gt;"",J620&lt;Assumptions!$B$3*K620),K620,J620)</f>
        <v>1060679</v>
      </c>
      <c r="M620" s="21" t="str">
        <f aca="false">IF(L620=J620,"FERC Form 1","EIA-861")</f>
        <v>FERC Form 1</v>
      </c>
      <c r="N620" s="28" t="n">
        <f aca="false">E620+F620+G620</f>
        <v>223.121214</v>
      </c>
    </row>
    <row r="621" customFormat="false" ht="15" hidden="false" customHeight="false" outlineLevel="0" collapsed="false">
      <c r="A621" s="7" t="n">
        <v>2004</v>
      </c>
      <c r="B621" s="15" t="s">
        <v>155</v>
      </c>
      <c r="C621" s="15" t="s">
        <v>135</v>
      </c>
      <c r="D621" s="15" t="s">
        <v>148</v>
      </c>
      <c r="E621" s="19" t="n">
        <v>65.222303</v>
      </c>
      <c r="F621" s="19" t="n">
        <v>61.497391</v>
      </c>
      <c r="G621" s="19" t="n">
        <v>84.600169</v>
      </c>
      <c r="H621" s="19" t="n">
        <v>155.071499</v>
      </c>
      <c r="I621" s="19" t="n">
        <v>2721.064034</v>
      </c>
      <c r="J621" s="27" t="n">
        <v>1074129</v>
      </c>
      <c r="K621" s="27" t="n">
        <v>1074128</v>
      </c>
      <c r="L621" s="9" t="n">
        <f aca="false">IF(AND(K621&lt;&gt;"",J621&lt;Assumptions!$B$3*K621),K621,J621)</f>
        <v>1074129</v>
      </c>
      <c r="M621" s="21" t="str">
        <f aca="false">IF(L621=J621,"FERC Form 1","EIA-861")</f>
        <v>FERC Form 1</v>
      </c>
      <c r="N621" s="28" t="n">
        <f aca="false">E621+F621+G621</f>
        <v>211.319863</v>
      </c>
    </row>
    <row r="622" customFormat="false" ht="15" hidden="false" customHeight="false" outlineLevel="0" collapsed="false">
      <c r="A622" s="7" t="n">
        <v>2005</v>
      </c>
      <c r="B622" s="15" t="s">
        <v>155</v>
      </c>
      <c r="C622" s="15" t="s">
        <v>135</v>
      </c>
      <c r="D622" s="15" t="s">
        <v>148</v>
      </c>
      <c r="E622" s="19" t="n">
        <v>67.158161</v>
      </c>
      <c r="F622" s="19" t="n">
        <v>71.985715</v>
      </c>
      <c r="G622" s="19" t="n">
        <v>88.169205</v>
      </c>
      <c r="H622" s="19" t="n">
        <v>162.93994</v>
      </c>
      <c r="I622" s="19" t="n">
        <v>2862.217956</v>
      </c>
      <c r="J622" s="27" t="n">
        <v>1086855</v>
      </c>
      <c r="K622" s="27" t="n">
        <v>1086855</v>
      </c>
      <c r="L622" s="9" t="n">
        <f aca="false">IF(AND(K622&lt;&gt;"",J622&lt;Assumptions!$B$3*K622),K622,J622)</f>
        <v>1086855</v>
      </c>
      <c r="M622" s="21" t="str">
        <f aca="false">IF(L622=J622,"FERC Form 1","EIA-861")</f>
        <v>FERC Form 1</v>
      </c>
      <c r="N622" s="28" t="n">
        <f aca="false">E622+F622+G622</f>
        <v>227.313081</v>
      </c>
    </row>
    <row r="623" customFormat="false" ht="15" hidden="false" customHeight="false" outlineLevel="0" collapsed="false">
      <c r="A623" s="7" t="n">
        <v>2006</v>
      </c>
      <c r="B623" s="15" t="s">
        <v>155</v>
      </c>
      <c r="C623" s="15" t="s">
        <v>135</v>
      </c>
      <c r="D623" s="15" t="s">
        <v>148</v>
      </c>
      <c r="E623" s="19" t="n">
        <v>70.100467</v>
      </c>
      <c r="F623" s="19" t="n">
        <v>78.493068</v>
      </c>
      <c r="G623" s="19" t="n">
        <v>86.412181</v>
      </c>
      <c r="H623" s="19" t="n">
        <v>176.198152</v>
      </c>
      <c r="I623" s="19" t="n">
        <v>3006.945998</v>
      </c>
      <c r="J623" s="27" t="n">
        <v>1097510</v>
      </c>
      <c r="K623" s="27" t="n">
        <v>1097510</v>
      </c>
      <c r="L623" s="9" t="n">
        <f aca="false">IF(AND(K623&lt;&gt;"",J623&lt;Assumptions!$B$3*K623),K623,J623)</f>
        <v>1097510</v>
      </c>
      <c r="M623" s="21" t="str">
        <f aca="false">IF(L623=J623,"FERC Form 1","EIA-861")</f>
        <v>FERC Form 1</v>
      </c>
      <c r="N623" s="28" t="n">
        <f aca="false">E623+F623+G623</f>
        <v>235.005716</v>
      </c>
    </row>
    <row r="624" customFormat="false" ht="15" hidden="false" customHeight="false" outlineLevel="0" collapsed="false">
      <c r="A624" s="7" t="n">
        <v>2007</v>
      </c>
      <c r="B624" s="15" t="s">
        <v>155</v>
      </c>
      <c r="C624" s="15" t="s">
        <v>135</v>
      </c>
      <c r="D624" s="15" t="s">
        <v>148</v>
      </c>
      <c r="E624" s="19" t="n">
        <v>73.13665</v>
      </c>
      <c r="F624" s="19" t="n">
        <v>78.756553</v>
      </c>
      <c r="G624" s="19" t="n">
        <v>90.619748</v>
      </c>
      <c r="H624" s="19" t="n">
        <v>168.79718</v>
      </c>
      <c r="I624" s="19" t="n">
        <v>3144.981288</v>
      </c>
      <c r="J624" s="27" t="n">
        <v>1105477</v>
      </c>
      <c r="K624" s="27" t="n">
        <v>1105477</v>
      </c>
      <c r="L624" s="9" t="n">
        <f aca="false">IF(AND(K624&lt;&gt;"",J624&lt;Assumptions!$B$3*K624),K624,J624)</f>
        <v>1105477</v>
      </c>
      <c r="M624" s="21" t="str">
        <f aca="false">IF(L624=J624,"FERC Form 1","EIA-861")</f>
        <v>FERC Form 1</v>
      </c>
      <c r="N624" s="28" t="n">
        <f aca="false">E624+F624+G624</f>
        <v>242.512951</v>
      </c>
    </row>
    <row r="625" customFormat="false" ht="15" hidden="false" customHeight="false" outlineLevel="0" collapsed="false">
      <c r="A625" s="7" t="n">
        <v>2008</v>
      </c>
      <c r="B625" s="15" t="s">
        <v>155</v>
      </c>
      <c r="C625" s="15" t="s">
        <v>135</v>
      </c>
      <c r="D625" s="15" t="s">
        <v>148</v>
      </c>
      <c r="E625" s="19" t="n">
        <v>91.488259</v>
      </c>
      <c r="F625" s="19" t="n">
        <v>145.801732</v>
      </c>
      <c r="G625" s="19" t="n">
        <v>94.236597</v>
      </c>
      <c r="H625" s="19" t="n">
        <v>157.0996</v>
      </c>
      <c r="I625" s="19" t="n">
        <v>3273.12337</v>
      </c>
      <c r="J625" s="27" t="n">
        <v>1111797</v>
      </c>
      <c r="K625" s="27" t="n">
        <v>1111797</v>
      </c>
      <c r="L625" s="9" t="n">
        <f aca="false">IF(AND(K625&lt;&gt;"",J625&lt;Assumptions!$B$3*K625),K625,J625)</f>
        <v>1111797</v>
      </c>
      <c r="M625" s="21" t="str">
        <f aca="false">IF(L625=J625,"FERC Form 1","EIA-861")</f>
        <v>FERC Form 1</v>
      </c>
      <c r="N625" s="28" t="n">
        <f aca="false">E625+F625+G625</f>
        <v>331.526588</v>
      </c>
    </row>
    <row r="626" customFormat="false" ht="15" hidden="false" customHeight="false" outlineLevel="0" collapsed="false">
      <c r="A626" s="7" t="n">
        <v>2009</v>
      </c>
      <c r="B626" s="15" t="s">
        <v>155</v>
      </c>
      <c r="C626" s="15" t="s">
        <v>135</v>
      </c>
      <c r="D626" s="15" t="s">
        <v>148</v>
      </c>
      <c r="E626" s="19" t="n">
        <v>81.73798</v>
      </c>
      <c r="F626" s="19" t="n">
        <v>101.918098</v>
      </c>
      <c r="G626" s="19" t="n">
        <v>97.488403</v>
      </c>
      <c r="H626" s="19" t="n">
        <v>146.773266</v>
      </c>
      <c r="I626" s="19" t="n">
        <v>3389.240328</v>
      </c>
      <c r="J626" s="27" t="n">
        <v>1115500</v>
      </c>
      <c r="K626" s="27" t="n">
        <v>1115500</v>
      </c>
      <c r="L626" s="9" t="n">
        <f aca="false">IF(AND(K626&lt;&gt;"",J626&lt;Assumptions!$B$3*K626),K626,J626)</f>
        <v>1115500</v>
      </c>
      <c r="M626" s="21" t="str">
        <f aca="false">IF(L626=J626,"FERC Form 1","EIA-861")</f>
        <v>FERC Form 1</v>
      </c>
      <c r="N626" s="28" t="n">
        <f aca="false">E626+F626+G626</f>
        <v>281.144481</v>
      </c>
    </row>
    <row r="627" customFormat="false" ht="15" hidden="false" customHeight="false" outlineLevel="0" collapsed="false">
      <c r="A627" s="7" t="n">
        <v>2010</v>
      </c>
      <c r="B627" s="15" t="s">
        <v>155</v>
      </c>
      <c r="C627" s="15" t="s">
        <v>135</v>
      </c>
      <c r="D627" s="15" t="s">
        <v>148</v>
      </c>
      <c r="E627" s="19" t="n">
        <v>89.884165</v>
      </c>
      <c r="F627" s="19" t="n">
        <v>133.071879</v>
      </c>
      <c r="G627" s="19" t="n">
        <v>88.01492</v>
      </c>
      <c r="H627" s="19" t="n">
        <v>136.456767</v>
      </c>
      <c r="I627" s="19" t="n">
        <v>3488.803035</v>
      </c>
      <c r="J627" s="27" t="n">
        <v>1118695</v>
      </c>
      <c r="K627" s="27" t="n">
        <v>1118695</v>
      </c>
      <c r="L627" s="9" t="n">
        <f aca="false">IF(AND(K627&lt;&gt;"",J627&lt;Assumptions!$B$3*K627),K627,J627)</f>
        <v>1118695</v>
      </c>
      <c r="M627" s="21" t="str">
        <f aca="false">IF(L627=J627,"FERC Form 1","EIA-861")</f>
        <v>FERC Form 1</v>
      </c>
      <c r="N627" s="28" t="n">
        <f aca="false">E627+F627+G627</f>
        <v>310.970964</v>
      </c>
    </row>
    <row r="628" customFormat="false" ht="15" hidden="false" customHeight="false" outlineLevel="0" collapsed="false">
      <c r="A628" s="7" t="n">
        <v>2011</v>
      </c>
      <c r="B628" s="15" t="s">
        <v>155</v>
      </c>
      <c r="C628" s="15" t="s">
        <v>135</v>
      </c>
      <c r="D628" s="15" t="s">
        <v>148</v>
      </c>
      <c r="E628" s="19" t="n">
        <v>94.070178</v>
      </c>
      <c r="F628" s="19" t="n">
        <v>132.4947</v>
      </c>
      <c r="G628" s="19" t="n">
        <v>90.838057</v>
      </c>
      <c r="H628" s="19" t="n">
        <v>157.155139</v>
      </c>
      <c r="I628" s="19" t="n">
        <v>3614.330829</v>
      </c>
      <c r="J628" s="27" t="n">
        <v>1120964</v>
      </c>
      <c r="K628" s="27" t="n">
        <v>1120964</v>
      </c>
      <c r="L628" s="9" t="n">
        <f aca="false">IF(AND(K628&lt;&gt;"",J628&lt;Assumptions!$B$3*K628),K628,J628)</f>
        <v>1120964</v>
      </c>
      <c r="M628" s="21" t="str">
        <f aca="false">IF(L628=J628,"FERC Form 1","EIA-861")</f>
        <v>FERC Form 1</v>
      </c>
      <c r="N628" s="28" t="n">
        <f aca="false">E628+F628+G628</f>
        <v>317.402935</v>
      </c>
    </row>
    <row r="629" customFormat="false" ht="15" hidden="false" customHeight="false" outlineLevel="0" collapsed="false">
      <c r="A629" s="7" t="n">
        <v>2012</v>
      </c>
      <c r="B629" s="15" t="s">
        <v>155</v>
      </c>
      <c r="C629" s="15" t="s">
        <v>135</v>
      </c>
      <c r="D629" s="15" t="s">
        <v>148</v>
      </c>
      <c r="E629" s="19" t="n">
        <v>91.142009</v>
      </c>
      <c r="F629" s="19" t="n">
        <v>7.146178</v>
      </c>
      <c r="G629" s="19" t="n">
        <v>94.355596</v>
      </c>
      <c r="H629" s="19" t="n">
        <v>180.454378</v>
      </c>
      <c r="I629" s="19" t="n">
        <v>3755.987375</v>
      </c>
      <c r="J629" s="27" t="n">
        <v>1123784</v>
      </c>
      <c r="K629" s="27" t="n">
        <v>1123784</v>
      </c>
      <c r="L629" s="9" t="n">
        <f aca="false">IF(AND(K629&lt;&gt;"",J629&lt;Assumptions!$B$3*K629),K629,J629)</f>
        <v>1123784</v>
      </c>
      <c r="M629" s="21" t="str">
        <f aca="false">IF(L629=J629,"FERC Form 1","EIA-861")</f>
        <v>FERC Form 1</v>
      </c>
      <c r="N629" s="28" t="n">
        <f aca="false">E629+F629+G629</f>
        <v>192.643783</v>
      </c>
    </row>
    <row r="630" customFormat="false" ht="15" hidden="false" customHeight="false" outlineLevel="0" collapsed="false">
      <c r="A630" s="7" t="n">
        <v>2013</v>
      </c>
      <c r="B630" s="15" t="s">
        <v>155</v>
      </c>
      <c r="C630" s="15" t="s">
        <v>135</v>
      </c>
      <c r="D630" s="15" t="s">
        <v>148</v>
      </c>
      <c r="E630" s="19" t="n">
        <v>92.451789</v>
      </c>
      <c r="F630" s="19" t="n">
        <v>105.702636</v>
      </c>
      <c r="G630" s="19" t="n">
        <v>98.000086</v>
      </c>
      <c r="H630" s="19" t="n">
        <v>190.113047</v>
      </c>
      <c r="I630" s="19" t="n">
        <v>3911.845862</v>
      </c>
      <c r="J630" s="27" t="n">
        <v>1126869</v>
      </c>
      <c r="K630" s="27" t="n">
        <v>1126915</v>
      </c>
      <c r="L630" s="9" t="n">
        <f aca="false">IF(AND(K630&lt;&gt;"",J630&lt;Assumptions!$B$3*K630),K630,J630)</f>
        <v>1126869</v>
      </c>
      <c r="M630" s="21" t="str">
        <f aca="false">IF(L630=J630,"FERC Form 1","EIA-861")</f>
        <v>FERC Form 1</v>
      </c>
      <c r="N630" s="28" t="n">
        <f aca="false">E630+F630+G630</f>
        <v>296.154511</v>
      </c>
    </row>
    <row r="631" customFormat="false" ht="15" hidden="false" customHeight="false" outlineLevel="0" collapsed="false">
      <c r="A631" s="7" t="n">
        <v>2014</v>
      </c>
      <c r="B631" s="15" t="s">
        <v>155</v>
      </c>
      <c r="C631" s="15" t="s">
        <v>135</v>
      </c>
      <c r="D631" s="15" t="s">
        <v>148</v>
      </c>
      <c r="E631" s="19" t="n">
        <v>80.130744</v>
      </c>
      <c r="F631" s="19" t="n">
        <v>103.648228</v>
      </c>
      <c r="G631" s="19" t="n">
        <v>102.234096</v>
      </c>
      <c r="H631" s="19" t="n">
        <v>216.010361</v>
      </c>
      <c r="I631" s="19" t="n">
        <v>4087.850098</v>
      </c>
      <c r="J631" s="27" t="n">
        <v>1130631</v>
      </c>
      <c r="K631" s="27" t="n">
        <v>1130682</v>
      </c>
      <c r="L631" s="9" t="n">
        <f aca="false">IF(AND(K631&lt;&gt;"",J631&lt;Assumptions!$B$3*K631),K631,J631)</f>
        <v>1130631</v>
      </c>
      <c r="M631" s="21" t="str">
        <f aca="false">IF(L631=J631,"FERC Form 1","EIA-861")</f>
        <v>FERC Form 1</v>
      </c>
      <c r="N631" s="28" t="n">
        <f aca="false">E631+F631+G631</f>
        <v>286.013068</v>
      </c>
    </row>
    <row r="632" customFormat="false" ht="15" hidden="false" customHeight="false" outlineLevel="0" collapsed="false">
      <c r="A632" s="7" t="n">
        <v>2015</v>
      </c>
      <c r="B632" s="15" t="s">
        <v>155</v>
      </c>
      <c r="C632" s="15" t="s">
        <v>135</v>
      </c>
      <c r="D632" s="15" t="s">
        <v>148</v>
      </c>
      <c r="E632" s="19" t="n">
        <v>80.602343</v>
      </c>
      <c r="F632" s="19" t="n">
        <v>119.892426</v>
      </c>
      <c r="G632" s="19" t="n">
        <v>104.675698</v>
      </c>
      <c r="H632" s="19" t="n">
        <v>238.644336</v>
      </c>
      <c r="I632" s="19" t="n">
        <v>4293.928838</v>
      </c>
      <c r="J632" s="27" t="n">
        <v>1136446</v>
      </c>
      <c r="K632" s="27" t="n">
        <v>1136495</v>
      </c>
      <c r="L632" s="9" t="n">
        <f aca="false">IF(AND(K632&lt;&gt;"",J632&lt;Assumptions!$B$3*K632),K632,J632)</f>
        <v>1136446</v>
      </c>
      <c r="M632" s="21" t="str">
        <f aca="false">IF(L632=J632,"FERC Form 1","EIA-861")</f>
        <v>FERC Form 1</v>
      </c>
      <c r="N632" s="28" t="n">
        <f aca="false">E632+F632+G632</f>
        <v>305.170467</v>
      </c>
    </row>
    <row r="633" customFormat="false" ht="15" hidden="false" customHeight="false" outlineLevel="0" collapsed="false">
      <c r="A633" s="7" t="n">
        <v>2016</v>
      </c>
      <c r="B633" s="15" t="s">
        <v>155</v>
      </c>
      <c r="C633" s="15" t="s">
        <v>135</v>
      </c>
      <c r="D633" s="15" t="s">
        <v>148</v>
      </c>
      <c r="E633" s="19" t="n">
        <v>92.874207</v>
      </c>
      <c r="F633" s="19" t="n">
        <v>100.418856</v>
      </c>
      <c r="G633" s="19" t="n">
        <v>110.497249</v>
      </c>
      <c r="H633" s="19" t="n">
        <v>252.001758</v>
      </c>
      <c r="I633" s="19" t="n">
        <v>4500.722578</v>
      </c>
      <c r="J633" s="27" t="n">
        <v>1142983</v>
      </c>
      <c r="K633" s="27" t="n">
        <v>1143041</v>
      </c>
      <c r="L633" s="9" t="n">
        <f aca="false">IF(AND(K633&lt;&gt;"",J633&lt;Assumptions!$B$3*K633),K633,J633)</f>
        <v>1142983</v>
      </c>
      <c r="M633" s="21" t="str">
        <f aca="false">IF(L633=J633,"FERC Form 1","EIA-861")</f>
        <v>FERC Form 1</v>
      </c>
      <c r="N633" s="28" t="n">
        <f aca="false">E633+F633+G633</f>
        <v>303.790312</v>
      </c>
    </row>
    <row r="634" customFormat="false" ht="15" hidden="false" customHeight="false" outlineLevel="0" collapsed="false">
      <c r="A634" s="7" t="n">
        <v>2017</v>
      </c>
      <c r="B634" s="15" t="s">
        <v>155</v>
      </c>
      <c r="C634" s="15" t="s">
        <v>135</v>
      </c>
      <c r="D634" s="15" t="s">
        <v>148</v>
      </c>
      <c r="E634" s="19" t="n">
        <v>78.375895</v>
      </c>
      <c r="F634" s="19" t="n">
        <v>98.498734</v>
      </c>
      <c r="G634" s="19" t="n">
        <v>113.271011</v>
      </c>
      <c r="H634" s="19" t="n">
        <v>287.16356</v>
      </c>
      <c r="I634" s="19" t="n">
        <v>4600.231347</v>
      </c>
      <c r="J634" s="27" t="n">
        <v>1122771</v>
      </c>
      <c r="K634" s="27" t="n">
        <v>1122771</v>
      </c>
      <c r="L634" s="9" t="n">
        <f aca="false">IF(AND(K634&lt;&gt;"",J634&lt;Assumptions!$B$3*K634),K634,J634)</f>
        <v>1122771</v>
      </c>
      <c r="M634" s="21" t="str">
        <f aca="false">IF(L634=J634,"FERC Form 1","EIA-861")</f>
        <v>FERC Form 1</v>
      </c>
      <c r="N634" s="28" t="n">
        <f aca="false">E634+F634+G634</f>
        <v>290.14564</v>
      </c>
    </row>
    <row r="635" customFormat="false" ht="15" hidden="false" customHeight="false" outlineLevel="0" collapsed="false">
      <c r="A635" s="7" t="n">
        <v>2018</v>
      </c>
      <c r="B635" s="15" t="s">
        <v>155</v>
      </c>
      <c r="C635" s="15" t="s">
        <v>135</v>
      </c>
      <c r="D635" s="15" t="s">
        <v>148</v>
      </c>
      <c r="E635" s="19" t="n">
        <v>79.197247</v>
      </c>
      <c r="F635" s="19" t="n">
        <v>114.874678</v>
      </c>
      <c r="G635" s="19" t="n">
        <v>119.779517</v>
      </c>
      <c r="H635" s="19" t="n">
        <v>288.385377</v>
      </c>
      <c r="I635" s="19" t="n">
        <v>4835.220234</v>
      </c>
      <c r="J635" s="27" t="n">
        <v>1130435</v>
      </c>
      <c r="K635" s="27" t="n">
        <v>1130435</v>
      </c>
      <c r="L635" s="9" t="n">
        <f aca="false">IF(AND(K635&lt;&gt;"",J635&lt;Assumptions!$B$3*K635),K635,J635)</f>
        <v>1130435</v>
      </c>
      <c r="M635" s="21" t="str">
        <f aca="false">IF(L635=J635,"FERC Form 1","EIA-861")</f>
        <v>FERC Form 1</v>
      </c>
      <c r="N635" s="28" t="n">
        <f aca="false">E635+F635+G635</f>
        <v>313.851442</v>
      </c>
    </row>
    <row r="636" customFormat="false" ht="15" hidden="false" customHeight="false" outlineLevel="0" collapsed="false">
      <c r="A636" s="7" t="n">
        <v>2019</v>
      </c>
      <c r="B636" s="15" t="s">
        <v>155</v>
      </c>
      <c r="C636" s="15" t="s">
        <v>135</v>
      </c>
      <c r="D636" s="15" t="s">
        <v>148</v>
      </c>
      <c r="E636" s="19" t="n">
        <v>79.6709</v>
      </c>
      <c r="F636" s="19" t="n">
        <v>108.47317</v>
      </c>
      <c r="G636" s="19" t="n">
        <v>126.586809</v>
      </c>
      <c r="H636" s="19" t="n">
        <v>285.465741</v>
      </c>
      <c r="I636" s="19" t="n">
        <v>5081.256318</v>
      </c>
      <c r="J636" s="27" t="n">
        <v>1138054</v>
      </c>
      <c r="K636" s="27" t="n">
        <v>1138055</v>
      </c>
      <c r="L636" s="9" t="n">
        <f aca="false">IF(AND(K636&lt;&gt;"",J636&lt;Assumptions!$B$3*K636),K636,J636)</f>
        <v>1138054</v>
      </c>
      <c r="M636" s="21" t="str">
        <f aca="false">IF(L636=J636,"FERC Form 1","EIA-861")</f>
        <v>FERC Form 1</v>
      </c>
      <c r="N636" s="28" t="n">
        <f aca="false">E636+F636+G636</f>
        <v>314.730879</v>
      </c>
    </row>
    <row r="637" customFormat="false" ht="15" hidden="false" customHeight="false" outlineLevel="0" collapsed="false">
      <c r="A637" s="7" t="n">
        <v>2020</v>
      </c>
      <c r="B637" s="15" t="s">
        <v>155</v>
      </c>
      <c r="C637" s="15" t="s">
        <v>135</v>
      </c>
      <c r="D637" s="15" t="s">
        <v>148</v>
      </c>
      <c r="E637" s="19" t="n">
        <v>65.80055</v>
      </c>
      <c r="F637" s="19" t="n">
        <v>78.41957</v>
      </c>
      <c r="G637" s="19" t="n">
        <v>134.327963</v>
      </c>
      <c r="H637" s="19" t="n">
        <v>297.758313</v>
      </c>
      <c r="I637" s="19" t="n">
        <v>5317.189178</v>
      </c>
      <c r="J637" s="27" t="n">
        <v>1144981</v>
      </c>
      <c r="K637" s="27" t="n">
        <v>1144981</v>
      </c>
      <c r="L637" s="9" t="n">
        <f aca="false">IF(AND(K637&lt;&gt;"",J637&lt;Assumptions!$B$3*K637),K637,J637)</f>
        <v>1144981</v>
      </c>
      <c r="M637" s="21" t="str">
        <f aca="false">IF(L637=J637,"FERC Form 1","EIA-861")</f>
        <v>FERC Form 1</v>
      </c>
      <c r="N637" s="28" t="n">
        <f aca="false">E637+F637+G637</f>
        <v>278.548083</v>
      </c>
    </row>
    <row r="638" customFormat="false" ht="15" hidden="false" customHeight="false" outlineLevel="0" collapsed="false">
      <c r="A638" s="7" t="n">
        <v>2021</v>
      </c>
      <c r="B638" s="15" t="s">
        <v>155</v>
      </c>
      <c r="C638" s="15" t="s">
        <v>135</v>
      </c>
      <c r="D638" s="15" t="s">
        <v>148</v>
      </c>
      <c r="E638" s="19" t="n">
        <v>80.781324</v>
      </c>
      <c r="F638" s="19" t="n">
        <v>83.073596</v>
      </c>
      <c r="G638" s="19" t="n">
        <v>139.872775</v>
      </c>
      <c r="H638" s="19" t="n">
        <v>291.949771</v>
      </c>
      <c r="I638" s="19" t="n">
        <v>5549.991393</v>
      </c>
      <c r="J638" s="27" t="n">
        <v>1144822</v>
      </c>
      <c r="K638" s="27" t="n">
        <v>1144822</v>
      </c>
      <c r="L638" s="9" t="n">
        <f aca="false">IF(AND(K638&lt;&gt;"",J638&lt;Assumptions!$B$3*K638),K638,J638)</f>
        <v>1144822</v>
      </c>
      <c r="M638" s="21" t="str">
        <f aca="false">IF(L638=J638,"FERC Form 1","EIA-861")</f>
        <v>FERC Form 1</v>
      </c>
      <c r="N638" s="28" t="n">
        <f aca="false">E638+F638+G638</f>
        <v>303.727695</v>
      </c>
    </row>
    <row r="639" customFormat="false" ht="15" hidden="false" customHeight="false" outlineLevel="0" collapsed="false">
      <c r="A639" s="7" t="n">
        <v>2022</v>
      </c>
      <c r="B639" s="15" t="s">
        <v>155</v>
      </c>
      <c r="C639" s="15" t="s">
        <v>135</v>
      </c>
      <c r="D639" s="15" t="s">
        <v>148</v>
      </c>
      <c r="E639" s="19" t="n">
        <v>94.440853</v>
      </c>
      <c r="F639" s="19" t="n">
        <v>88.616041</v>
      </c>
      <c r="G639" s="19" t="n">
        <v>146.116638</v>
      </c>
      <c r="H639" s="19" t="n">
        <v>285.599708</v>
      </c>
      <c r="I639" s="19" t="n">
        <v>5798.525008</v>
      </c>
      <c r="J639" s="27" t="n">
        <v>1148141</v>
      </c>
      <c r="K639" s="27" t="n">
        <v>1148141</v>
      </c>
      <c r="L639" s="9" t="n">
        <f aca="false">IF(AND(K639&lt;&gt;"",J639&lt;Assumptions!$B$3*K639),K639,J639)</f>
        <v>1148141</v>
      </c>
      <c r="M639" s="21" t="str">
        <f aca="false">IF(L639=J639,"FERC Form 1","EIA-861")</f>
        <v>FERC Form 1</v>
      </c>
      <c r="N639" s="28" t="n">
        <f aca="false">E639+F639+G639</f>
        <v>329.173532</v>
      </c>
    </row>
    <row r="640" customFormat="false" ht="15" hidden="false" customHeight="false" outlineLevel="0" collapsed="false">
      <c r="A640" s="7" t="n">
        <v>2023</v>
      </c>
      <c r="B640" s="15" t="s">
        <v>155</v>
      </c>
      <c r="C640" s="15" t="s">
        <v>135</v>
      </c>
      <c r="D640" s="15" t="s">
        <v>148</v>
      </c>
      <c r="E640" s="19" t="n">
        <v>88.33853</v>
      </c>
      <c r="F640" s="19" t="n">
        <v>92.667314</v>
      </c>
      <c r="G640" s="19" t="n">
        <v>163.22434</v>
      </c>
      <c r="H640" s="19" t="n">
        <v>323.079268</v>
      </c>
      <c r="I640" s="19" t="n">
        <v>6087.434454</v>
      </c>
      <c r="J640" s="27" t="n">
        <v>1159300</v>
      </c>
      <c r="K640" s="27" t="n">
        <v>1159300</v>
      </c>
      <c r="L640" s="9" t="n">
        <f aca="false">IF(AND(K640&lt;&gt;"",J640&lt;Assumptions!$B$3*K640),K640,J640)</f>
        <v>1159300</v>
      </c>
      <c r="M640" s="21" t="str">
        <f aca="false">IF(L640=J640,"FERC Form 1","EIA-861")</f>
        <v>FERC Form 1</v>
      </c>
      <c r="N640" s="28" t="n">
        <f aca="false">E640+F640+G640</f>
        <v>344.230184</v>
      </c>
    </row>
    <row r="641" customFormat="false" ht="15" hidden="false" customHeight="false" outlineLevel="0" collapsed="false">
      <c r="A641" s="7" t="n">
        <v>2024</v>
      </c>
      <c r="B641" s="15" t="s">
        <v>155</v>
      </c>
      <c r="C641" s="15" t="s">
        <v>135</v>
      </c>
      <c r="D641" s="15" t="s">
        <v>148</v>
      </c>
      <c r="E641" s="19" t="n">
        <v>89.085158</v>
      </c>
      <c r="F641" s="19" t="n">
        <v>98.248359</v>
      </c>
      <c r="G641" s="19" t="n">
        <v>173.757196</v>
      </c>
      <c r="H641" s="19" t="n">
        <v>455.19367</v>
      </c>
      <c r="I641" s="19" t="n">
        <v>6503.213294</v>
      </c>
      <c r="J641" s="27" t="n">
        <v>1170318</v>
      </c>
      <c r="K641" s="27" t="n">
        <v>1170318</v>
      </c>
      <c r="L641" s="9" t="n">
        <f aca="false">IF(AND(K641&lt;&gt;"",J641&lt;Assumptions!$B$3*K641),K641,J641)</f>
        <v>1170318</v>
      </c>
      <c r="M641" s="21" t="str">
        <f aca="false">IF(L641=J641,"FERC Form 1","EIA-861")</f>
        <v>FERC Form 1</v>
      </c>
      <c r="N641" s="28" t="n">
        <f aca="false">E641+F641+G641</f>
        <v>361.090713</v>
      </c>
    </row>
    <row r="642" customFormat="false" ht="15" hidden="false" customHeight="false" outlineLevel="0" collapsed="false">
      <c r="A642" s="7" t="n">
        <v>2025</v>
      </c>
      <c r="B642" s="15" t="s">
        <v>155</v>
      </c>
      <c r="C642" s="15" t="s">
        <v>135</v>
      </c>
      <c r="D642" s="15" t="s">
        <v>148</v>
      </c>
      <c r="E642" s="19" t="n">
        <v>108.179565</v>
      </c>
      <c r="F642" s="19" t="n">
        <v>133.107294</v>
      </c>
      <c r="G642" s="19" t="n">
        <v>192.508395</v>
      </c>
      <c r="H642" s="19" t="n">
        <v>513.66815</v>
      </c>
      <c r="I642" s="19" t="n">
        <v>7020.958597</v>
      </c>
      <c r="J642" s="27" t="n">
        <v>1179163</v>
      </c>
      <c r="K642" s="27" t="n">
        <v>1179163</v>
      </c>
      <c r="L642" s="9" t="n">
        <f aca="false">IF(AND(K642&lt;&gt;"",J642&lt;Assumptions!$B$3*K642),K642,J642)</f>
        <v>1179163</v>
      </c>
      <c r="M642" s="21" t="str">
        <f aca="false">IF(L642=J642,"FERC Form 1","EIA-861")</f>
        <v>FERC Form 1</v>
      </c>
      <c r="N642" s="28" t="n">
        <f aca="false">E642+F642+G642</f>
        <v>433.795254</v>
      </c>
    </row>
    <row r="643" customFormat="false" ht="15" hidden="false" customHeight="false" outlineLevel="0" collapsed="false">
      <c r="A643" s="7" t="n">
        <v>2000</v>
      </c>
      <c r="B643" s="15" t="s">
        <v>156</v>
      </c>
      <c r="C643" s="15" t="s">
        <v>135</v>
      </c>
      <c r="D643" s="15" t="s">
        <v>148</v>
      </c>
      <c r="E643" s="19" t="n">
        <v>20.678526</v>
      </c>
      <c r="F643" s="19" t="n">
        <v>26.527228</v>
      </c>
      <c r="G643" s="19" t="n">
        <v>27.32744</v>
      </c>
      <c r="H643" s="19" t="n">
        <v>56.857542</v>
      </c>
      <c r="I643" s="19" t="n">
        <v>794.049366</v>
      </c>
      <c r="J643" s="27" t="n">
        <v>402878</v>
      </c>
      <c r="K643" s="27"/>
      <c r="L643" s="9" t="n">
        <f aca="false">IF(AND(K643&lt;&gt;"",J643&lt;Assumptions!$B$3*K643),K643,J643)</f>
        <v>402878</v>
      </c>
      <c r="M643" s="21" t="str">
        <f aca="false">IF(L643=J643,"FERC Form 1","EIA-861")</f>
        <v>FERC Form 1</v>
      </c>
      <c r="N643" s="28" t="n">
        <f aca="false">E643+F643+G643</f>
        <v>74.533194</v>
      </c>
    </row>
    <row r="644" customFormat="false" ht="15" hidden="false" customHeight="false" outlineLevel="0" collapsed="false">
      <c r="A644" s="7" t="n">
        <v>2001</v>
      </c>
      <c r="B644" s="15" t="s">
        <v>156</v>
      </c>
      <c r="C644" s="15" t="s">
        <v>135</v>
      </c>
      <c r="D644" s="15" t="s">
        <v>148</v>
      </c>
      <c r="E644" s="19" t="n">
        <v>21.349013</v>
      </c>
      <c r="F644" s="19" t="n">
        <v>28.84842</v>
      </c>
      <c r="G644" s="19" t="n">
        <v>28.965333</v>
      </c>
      <c r="H644" s="19" t="n">
        <v>49.411149</v>
      </c>
      <c r="I644" s="19" t="n">
        <v>842.756863</v>
      </c>
      <c r="J644" s="27" t="n">
        <v>409776</v>
      </c>
      <c r="K644" s="27" t="n">
        <v>409776</v>
      </c>
      <c r="L644" s="9" t="n">
        <f aca="false">IF(AND(K644&lt;&gt;"",J644&lt;Assumptions!$B$3*K644),K644,J644)</f>
        <v>409776</v>
      </c>
      <c r="M644" s="21" t="str">
        <f aca="false">IF(L644=J644,"FERC Form 1","EIA-861")</f>
        <v>FERC Form 1</v>
      </c>
      <c r="N644" s="28" t="n">
        <f aca="false">E644+F644+G644</f>
        <v>79.162766</v>
      </c>
    </row>
    <row r="645" customFormat="false" ht="15" hidden="false" customHeight="false" outlineLevel="0" collapsed="false">
      <c r="A645" s="7" t="n">
        <v>2002</v>
      </c>
      <c r="B645" s="15" t="s">
        <v>156</v>
      </c>
      <c r="C645" s="15" t="s">
        <v>135</v>
      </c>
      <c r="D645" s="15" t="s">
        <v>148</v>
      </c>
      <c r="E645" s="19" t="n">
        <v>23.068633</v>
      </c>
      <c r="F645" s="19" t="n">
        <v>33.792162</v>
      </c>
      <c r="G645" s="19" t="n">
        <v>30.003179</v>
      </c>
      <c r="H645" s="19" t="n">
        <v>35.175746</v>
      </c>
      <c r="I645" s="19" t="n">
        <v>873.50033</v>
      </c>
      <c r="J645" s="27" t="n">
        <v>417714</v>
      </c>
      <c r="K645" s="27" t="n">
        <v>417930</v>
      </c>
      <c r="L645" s="9" t="n">
        <f aca="false">IF(AND(K645&lt;&gt;"",J645&lt;Assumptions!$B$3*K645),K645,J645)</f>
        <v>417714</v>
      </c>
      <c r="M645" s="21" t="str">
        <f aca="false">IF(L645=J645,"FERC Form 1","EIA-861")</f>
        <v>FERC Form 1</v>
      </c>
      <c r="N645" s="28" t="n">
        <f aca="false">E645+F645+G645</f>
        <v>86.863974</v>
      </c>
    </row>
    <row r="646" customFormat="false" ht="15" hidden="false" customHeight="false" outlineLevel="0" collapsed="false">
      <c r="A646" s="7" t="n">
        <v>2003</v>
      </c>
      <c r="B646" s="15" t="s">
        <v>156</v>
      </c>
      <c r="C646" s="15" t="s">
        <v>135</v>
      </c>
      <c r="D646" s="15" t="s">
        <v>148</v>
      </c>
      <c r="E646" s="19" t="n">
        <v>26.331707</v>
      </c>
      <c r="F646" s="19" t="n">
        <v>52.376304</v>
      </c>
      <c r="G646" s="19" t="n">
        <v>31.798305</v>
      </c>
      <c r="H646" s="19" t="n">
        <v>91.035575</v>
      </c>
      <c r="I646" s="19" t="n">
        <v>955.72472</v>
      </c>
      <c r="J646" s="27" t="n">
        <v>424438</v>
      </c>
      <c r="K646" s="27" t="n">
        <v>424438</v>
      </c>
      <c r="L646" s="9" t="n">
        <f aca="false">IF(AND(K646&lt;&gt;"",J646&lt;Assumptions!$B$3*K646),K646,J646)</f>
        <v>424438</v>
      </c>
      <c r="M646" s="21" t="str">
        <f aca="false">IF(L646=J646,"FERC Form 1","EIA-861")</f>
        <v>FERC Form 1</v>
      </c>
      <c r="N646" s="28" t="n">
        <f aca="false">E646+F646+G646</f>
        <v>110.506316</v>
      </c>
    </row>
    <row r="647" customFormat="false" ht="15" hidden="false" customHeight="false" outlineLevel="0" collapsed="false">
      <c r="A647" s="7" t="n">
        <v>2004</v>
      </c>
      <c r="B647" s="15" t="s">
        <v>156</v>
      </c>
      <c r="C647" s="15" t="s">
        <v>135</v>
      </c>
      <c r="D647" s="15" t="s">
        <v>148</v>
      </c>
      <c r="E647" s="19" t="n">
        <v>25.248446</v>
      </c>
      <c r="F647" s="19" t="n">
        <v>41.781984</v>
      </c>
      <c r="G647" s="19" t="n">
        <v>34.781554</v>
      </c>
      <c r="H647" s="19" t="n">
        <v>101.579881</v>
      </c>
      <c r="I647" s="19" t="n">
        <v>1050.408923</v>
      </c>
      <c r="J647" s="27" t="n">
        <v>431669</v>
      </c>
      <c r="K647" s="27" t="n">
        <v>431669</v>
      </c>
      <c r="L647" s="9" t="n">
        <f aca="false">IF(AND(K647&lt;&gt;"",J647&lt;Assumptions!$B$3*K647),K647,J647)</f>
        <v>431669</v>
      </c>
      <c r="M647" s="21" t="str">
        <f aca="false">IF(L647=J647,"FERC Form 1","EIA-861")</f>
        <v>FERC Form 1</v>
      </c>
      <c r="N647" s="28" t="n">
        <f aca="false">E647+F647+G647</f>
        <v>101.811984</v>
      </c>
    </row>
    <row r="648" customFormat="false" ht="15" hidden="false" customHeight="false" outlineLevel="0" collapsed="false">
      <c r="A648" s="7" t="n">
        <v>2005</v>
      </c>
      <c r="B648" s="15" t="s">
        <v>156</v>
      </c>
      <c r="C648" s="15" t="s">
        <v>135</v>
      </c>
      <c r="D648" s="15" t="s">
        <v>148</v>
      </c>
      <c r="E648" s="19" t="n">
        <v>24.160431</v>
      </c>
      <c r="F648" s="19" t="n">
        <v>41.648438</v>
      </c>
      <c r="G648" s="19" t="n">
        <v>37.668662</v>
      </c>
      <c r="H648" s="19" t="n">
        <v>101.77714</v>
      </c>
      <c r="I648" s="19" t="n">
        <v>1143.13464</v>
      </c>
      <c r="J648" s="27" t="n">
        <v>439565</v>
      </c>
      <c r="K648" s="27" t="n">
        <v>439565</v>
      </c>
      <c r="L648" s="9" t="n">
        <f aca="false">IF(AND(K648&lt;&gt;"",J648&lt;Assumptions!$B$3*K648),K648,J648)</f>
        <v>439565</v>
      </c>
      <c r="M648" s="21" t="str">
        <f aca="false">IF(L648=J648,"FERC Form 1","EIA-861")</f>
        <v>FERC Form 1</v>
      </c>
      <c r="N648" s="28" t="n">
        <f aca="false">E648+F648+G648</f>
        <v>103.477531</v>
      </c>
    </row>
    <row r="649" customFormat="false" ht="15" hidden="false" customHeight="false" outlineLevel="0" collapsed="false">
      <c r="A649" s="7" t="n">
        <v>2006</v>
      </c>
      <c r="B649" s="15" t="s">
        <v>156</v>
      </c>
      <c r="C649" s="15" t="s">
        <v>135</v>
      </c>
      <c r="D649" s="15" t="s">
        <v>148</v>
      </c>
      <c r="E649" s="19" t="n">
        <v>26.212058</v>
      </c>
      <c r="F649" s="19" t="n">
        <v>42.144029</v>
      </c>
      <c r="G649" s="19" t="n">
        <v>40.864808</v>
      </c>
      <c r="H649" s="19" t="n">
        <v>82.297616</v>
      </c>
      <c r="I649" s="19" t="n">
        <v>1206.47594</v>
      </c>
      <c r="J649" s="27" t="n">
        <v>445600</v>
      </c>
      <c r="K649" s="27" t="n">
        <v>445600</v>
      </c>
      <c r="L649" s="9" t="n">
        <f aca="false">IF(AND(K649&lt;&gt;"",J649&lt;Assumptions!$B$3*K649),K649,J649)</f>
        <v>445600</v>
      </c>
      <c r="M649" s="21" t="str">
        <f aca="false">IF(L649=J649,"FERC Form 1","EIA-861")</f>
        <v>FERC Form 1</v>
      </c>
      <c r="N649" s="28" t="n">
        <f aca="false">E649+F649+G649</f>
        <v>109.220895</v>
      </c>
    </row>
    <row r="650" customFormat="false" ht="15" hidden="false" customHeight="false" outlineLevel="0" collapsed="false">
      <c r="A650" s="7" t="n">
        <v>2007</v>
      </c>
      <c r="B650" s="15" t="s">
        <v>156</v>
      </c>
      <c r="C650" s="15" t="s">
        <v>135</v>
      </c>
      <c r="D650" s="15" t="s">
        <v>148</v>
      </c>
      <c r="E650" s="19" t="n">
        <v>25.543023</v>
      </c>
      <c r="F650" s="19" t="n">
        <v>48.458264</v>
      </c>
      <c r="G650" s="19" t="n">
        <v>43.02305</v>
      </c>
      <c r="H650" s="19" t="n">
        <v>99.134447</v>
      </c>
      <c r="I650" s="19" t="n">
        <v>1297.38461</v>
      </c>
      <c r="J650" s="27" t="n">
        <v>450393</v>
      </c>
      <c r="K650" s="27" t="n">
        <v>450393</v>
      </c>
      <c r="L650" s="9" t="n">
        <f aca="false">IF(AND(K650&lt;&gt;"",J650&lt;Assumptions!$B$3*K650),K650,J650)</f>
        <v>450393</v>
      </c>
      <c r="M650" s="21" t="str">
        <f aca="false">IF(L650=J650,"FERC Form 1","EIA-861")</f>
        <v>FERC Form 1</v>
      </c>
      <c r="N650" s="28" t="n">
        <f aca="false">E650+F650+G650</f>
        <v>117.024337</v>
      </c>
    </row>
    <row r="651" customFormat="false" ht="15" hidden="false" customHeight="false" outlineLevel="0" collapsed="false">
      <c r="A651" s="7" t="n">
        <v>2008</v>
      </c>
      <c r="B651" s="15" t="s">
        <v>156</v>
      </c>
      <c r="C651" s="15" t="s">
        <v>135</v>
      </c>
      <c r="D651" s="15" t="s">
        <v>148</v>
      </c>
      <c r="E651" s="19" t="n">
        <v>22.134597</v>
      </c>
      <c r="F651" s="19" t="n">
        <v>48.871993</v>
      </c>
      <c r="G651" s="19" t="n">
        <v>41.964791</v>
      </c>
      <c r="H651" s="19" t="n">
        <v>111.796521</v>
      </c>
      <c r="I651" s="19" t="n">
        <v>1400.881597</v>
      </c>
      <c r="J651" s="27" t="n">
        <v>453880</v>
      </c>
      <c r="K651" s="27" t="n">
        <v>453880</v>
      </c>
      <c r="L651" s="9" t="n">
        <f aca="false">IF(AND(K651&lt;&gt;"",J651&lt;Assumptions!$B$3*K651),K651,J651)</f>
        <v>453880</v>
      </c>
      <c r="M651" s="21" t="str">
        <f aca="false">IF(L651=J651,"FERC Form 1","EIA-861")</f>
        <v>FERC Form 1</v>
      </c>
      <c r="N651" s="28" t="n">
        <f aca="false">E651+F651+G651</f>
        <v>112.971381</v>
      </c>
    </row>
    <row r="652" customFormat="false" ht="15" hidden="false" customHeight="false" outlineLevel="0" collapsed="false">
      <c r="A652" s="7" t="n">
        <v>2009</v>
      </c>
      <c r="B652" s="15" t="s">
        <v>156</v>
      </c>
      <c r="C652" s="15" t="s">
        <v>135</v>
      </c>
      <c r="D652" s="15" t="s">
        <v>148</v>
      </c>
      <c r="E652" s="19" t="n">
        <v>19.413395</v>
      </c>
      <c r="F652" s="19" t="n">
        <v>45.387728</v>
      </c>
      <c r="G652" s="19" t="n">
        <v>43.887393</v>
      </c>
      <c r="H652" s="19" t="n">
        <v>153.047337</v>
      </c>
      <c r="I652" s="19" t="n">
        <v>1520.347454</v>
      </c>
      <c r="J652" s="27" t="n">
        <v>455794</v>
      </c>
      <c r="K652" s="27" t="n">
        <v>455794</v>
      </c>
      <c r="L652" s="9" t="n">
        <f aca="false">IF(AND(K652&lt;&gt;"",J652&lt;Assumptions!$B$3*K652),K652,J652)</f>
        <v>455794</v>
      </c>
      <c r="M652" s="21" t="str">
        <f aca="false">IF(L652=J652,"FERC Form 1","EIA-861")</f>
        <v>FERC Form 1</v>
      </c>
      <c r="N652" s="28" t="n">
        <f aca="false">E652+F652+G652</f>
        <v>108.688516</v>
      </c>
    </row>
    <row r="653" customFormat="false" ht="15" hidden="false" customHeight="false" outlineLevel="0" collapsed="false">
      <c r="A653" s="7" t="n">
        <v>2010</v>
      </c>
      <c r="B653" s="15" t="s">
        <v>156</v>
      </c>
      <c r="C653" s="15" t="s">
        <v>135</v>
      </c>
      <c r="D653" s="15" t="s">
        <v>148</v>
      </c>
      <c r="E653" s="19" t="n">
        <v>25.712284</v>
      </c>
      <c r="F653" s="19" t="n">
        <v>46.85738</v>
      </c>
      <c r="G653" s="19" t="n">
        <v>40.005178</v>
      </c>
      <c r="H653" s="19" t="n">
        <v>116.799338</v>
      </c>
      <c r="I653" s="19" t="n">
        <v>1620.276603</v>
      </c>
      <c r="J653" s="27" t="n">
        <v>456421</v>
      </c>
      <c r="K653" s="27" t="n">
        <v>456452</v>
      </c>
      <c r="L653" s="9" t="n">
        <f aca="false">IF(AND(K653&lt;&gt;"",J653&lt;Assumptions!$B$3*K653),K653,J653)</f>
        <v>456421</v>
      </c>
      <c r="M653" s="21" t="str">
        <f aca="false">IF(L653=J653,"FERC Form 1","EIA-861")</f>
        <v>FERC Form 1</v>
      </c>
      <c r="N653" s="28" t="n">
        <f aca="false">E653+F653+G653</f>
        <v>112.574842</v>
      </c>
    </row>
    <row r="654" customFormat="false" ht="15" hidden="false" customHeight="false" outlineLevel="0" collapsed="false">
      <c r="A654" s="7" t="n">
        <v>2011</v>
      </c>
      <c r="B654" s="15" t="s">
        <v>156</v>
      </c>
      <c r="C654" s="15" t="s">
        <v>135</v>
      </c>
      <c r="D654" s="15" t="s">
        <v>148</v>
      </c>
      <c r="E654" s="19" t="n">
        <v>23.980501</v>
      </c>
      <c r="F654" s="19" t="n">
        <v>49.15279</v>
      </c>
      <c r="G654" s="19" t="n">
        <v>48.027533</v>
      </c>
      <c r="H654" s="19" t="n">
        <v>103.241845</v>
      </c>
      <c r="I654" s="19" t="n">
        <v>1705.71559</v>
      </c>
      <c r="J654" s="27" t="n">
        <v>458041</v>
      </c>
      <c r="K654" s="27" t="n">
        <v>457863</v>
      </c>
      <c r="L654" s="9" t="n">
        <f aca="false">IF(AND(K654&lt;&gt;"",J654&lt;Assumptions!$B$3*K654),K654,J654)</f>
        <v>458041</v>
      </c>
      <c r="M654" s="21" t="str">
        <f aca="false">IF(L654=J654,"FERC Form 1","EIA-861")</f>
        <v>FERC Form 1</v>
      </c>
      <c r="N654" s="28" t="n">
        <f aca="false">E654+F654+G654</f>
        <v>121.160824</v>
      </c>
    </row>
    <row r="655" customFormat="false" ht="15" hidden="false" customHeight="false" outlineLevel="0" collapsed="false">
      <c r="A655" s="7" t="n">
        <v>2012</v>
      </c>
      <c r="B655" s="15" t="s">
        <v>156</v>
      </c>
      <c r="C655" s="15" t="s">
        <v>135</v>
      </c>
      <c r="D655" s="15" t="s">
        <v>148</v>
      </c>
      <c r="E655" s="19" t="n">
        <v>26.41721</v>
      </c>
      <c r="F655" s="19" t="n">
        <v>48.243431</v>
      </c>
      <c r="G655" s="19" t="n">
        <v>49.81425</v>
      </c>
      <c r="H655" s="19" t="n">
        <v>84.748339</v>
      </c>
      <c r="I655" s="19" t="n">
        <v>1773.888468</v>
      </c>
      <c r="J655" s="27" t="n">
        <v>459614</v>
      </c>
      <c r="K655" s="27" t="n">
        <v>459407</v>
      </c>
      <c r="L655" s="9" t="n">
        <f aca="false">IF(AND(K655&lt;&gt;"",J655&lt;Assumptions!$B$3*K655),K655,J655)</f>
        <v>459614</v>
      </c>
      <c r="M655" s="21" t="str">
        <f aca="false">IF(L655=J655,"FERC Form 1","EIA-861")</f>
        <v>FERC Form 1</v>
      </c>
      <c r="N655" s="28" t="n">
        <f aca="false">E655+F655+G655</f>
        <v>124.474891</v>
      </c>
    </row>
    <row r="656" customFormat="false" ht="15" hidden="false" customHeight="false" outlineLevel="0" collapsed="false">
      <c r="A656" s="7" t="n">
        <v>2013</v>
      </c>
      <c r="B656" s="15" t="s">
        <v>156</v>
      </c>
      <c r="C656" s="15" t="s">
        <v>135</v>
      </c>
      <c r="D656" s="15" t="s">
        <v>148</v>
      </c>
      <c r="E656" s="19" t="n">
        <v>26.106242</v>
      </c>
      <c r="F656" s="19" t="n">
        <v>30.777653</v>
      </c>
      <c r="G656" s="19" t="n">
        <v>48.14335</v>
      </c>
      <c r="H656" s="19" t="n">
        <v>105.645239</v>
      </c>
      <c r="I656" s="19" t="n">
        <v>1866.017381</v>
      </c>
      <c r="J656" s="27" t="n">
        <v>461836</v>
      </c>
      <c r="K656" s="27" t="n">
        <v>459156</v>
      </c>
      <c r="L656" s="9" t="n">
        <f aca="false">IF(AND(K656&lt;&gt;"",J656&lt;Assumptions!$B$3*K656),K656,J656)</f>
        <v>461836</v>
      </c>
      <c r="M656" s="21" t="str">
        <f aca="false">IF(L656=J656,"FERC Form 1","EIA-861")</f>
        <v>FERC Form 1</v>
      </c>
      <c r="N656" s="28" t="n">
        <f aca="false">E656+F656+G656</f>
        <v>105.027245</v>
      </c>
    </row>
    <row r="657" customFormat="false" ht="15" hidden="false" customHeight="false" outlineLevel="0" collapsed="false">
      <c r="A657" s="7" t="n">
        <v>2014</v>
      </c>
      <c r="B657" s="15" t="s">
        <v>156</v>
      </c>
      <c r="C657" s="15" t="s">
        <v>135</v>
      </c>
      <c r="D657" s="15" t="s">
        <v>148</v>
      </c>
      <c r="E657" s="19" t="n">
        <v>26.389465</v>
      </c>
      <c r="F657" s="19" t="n">
        <v>54.042377</v>
      </c>
      <c r="G657" s="19" t="n">
        <v>50.712948</v>
      </c>
      <c r="H657" s="19" t="n">
        <v>109.817324</v>
      </c>
      <c r="I657" s="19" t="n">
        <v>1960.705642</v>
      </c>
      <c r="J657" s="27" t="n">
        <v>464047</v>
      </c>
      <c r="K657" s="27" t="n">
        <v>463862</v>
      </c>
      <c r="L657" s="9" t="n">
        <f aca="false">IF(AND(K657&lt;&gt;"",J657&lt;Assumptions!$B$3*K657),K657,J657)</f>
        <v>464047</v>
      </c>
      <c r="M657" s="21" t="str">
        <f aca="false">IF(L657=J657,"FERC Form 1","EIA-861")</f>
        <v>FERC Form 1</v>
      </c>
      <c r="N657" s="28" t="n">
        <f aca="false">E657+F657+G657</f>
        <v>131.14479</v>
      </c>
    </row>
    <row r="658" customFormat="false" ht="15" hidden="false" customHeight="false" outlineLevel="0" collapsed="false">
      <c r="A658" s="7" t="n">
        <v>2015</v>
      </c>
      <c r="B658" s="15" t="s">
        <v>156</v>
      </c>
      <c r="C658" s="15" t="s">
        <v>135</v>
      </c>
      <c r="D658" s="15" t="s">
        <v>148</v>
      </c>
      <c r="E658" s="19" t="n">
        <v>28.778281</v>
      </c>
      <c r="F658" s="19" t="n">
        <v>19.8227</v>
      </c>
      <c r="G658" s="19" t="n">
        <v>53.282292</v>
      </c>
      <c r="H658" s="19" t="n">
        <v>96.376025</v>
      </c>
      <c r="I658" s="19" t="n">
        <v>2038.953683</v>
      </c>
      <c r="J658" s="27" t="n">
        <v>465746</v>
      </c>
      <c r="K658" s="27" t="n">
        <v>465594</v>
      </c>
      <c r="L658" s="9" t="n">
        <f aca="false">IF(AND(K658&lt;&gt;"",J658&lt;Assumptions!$B$3*K658),K658,J658)</f>
        <v>465746</v>
      </c>
      <c r="M658" s="21" t="str">
        <f aca="false">IF(L658=J658,"FERC Form 1","EIA-861")</f>
        <v>FERC Form 1</v>
      </c>
      <c r="N658" s="28" t="n">
        <f aca="false">E658+F658+G658</f>
        <v>101.883273</v>
      </c>
    </row>
    <row r="659" customFormat="false" ht="15" hidden="false" customHeight="false" outlineLevel="0" collapsed="false">
      <c r="A659" s="7" t="n">
        <v>2016</v>
      </c>
      <c r="B659" s="15" t="s">
        <v>156</v>
      </c>
      <c r="C659" s="15" t="s">
        <v>135</v>
      </c>
      <c r="D659" s="15" t="s">
        <v>148</v>
      </c>
      <c r="E659" s="19" t="n">
        <v>26.421125</v>
      </c>
      <c r="F659" s="19" t="n">
        <v>3.824419</v>
      </c>
      <c r="G659" s="19" t="n">
        <v>54.863954</v>
      </c>
      <c r="H659" s="19" t="n">
        <v>124.142884</v>
      </c>
      <c r="I659" s="19" t="n">
        <v>2146.69317</v>
      </c>
      <c r="J659" s="27" t="n">
        <v>466052</v>
      </c>
      <c r="K659" s="27" t="n">
        <v>465994</v>
      </c>
      <c r="L659" s="9" t="n">
        <f aca="false">IF(AND(K659&lt;&gt;"",J659&lt;Assumptions!$B$3*K659),K659,J659)</f>
        <v>466052</v>
      </c>
      <c r="M659" s="21" t="str">
        <f aca="false">IF(L659=J659,"FERC Form 1","EIA-861")</f>
        <v>FERC Form 1</v>
      </c>
      <c r="N659" s="28" t="n">
        <f aca="false">E659+F659+G659</f>
        <v>85.109498</v>
      </c>
    </row>
    <row r="660" customFormat="false" ht="15" hidden="false" customHeight="false" outlineLevel="0" collapsed="false">
      <c r="A660" s="7" t="n">
        <v>2017</v>
      </c>
      <c r="B660" s="15" t="s">
        <v>156</v>
      </c>
      <c r="C660" s="15" t="s">
        <v>135</v>
      </c>
      <c r="D660" s="15" t="s">
        <v>148</v>
      </c>
      <c r="E660" s="19" t="n">
        <v>28.540488</v>
      </c>
      <c r="F660" s="19" t="n">
        <v>35.136553</v>
      </c>
      <c r="G660" s="19" t="n">
        <v>58.354146</v>
      </c>
      <c r="H660" s="19" t="n">
        <v>178.661065</v>
      </c>
      <c r="I660" s="19" t="n">
        <v>2299.018357</v>
      </c>
      <c r="J660" s="27" t="n">
        <v>469631</v>
      </c>
      <c r="K660" s="27" t="n">
        <v>471449</v>
      </c>
      <c r="L660" s="9" t="n">
        <f aca="false">IF(AND(K660&lt;&gt;"",J660&lt;Assumptions!$B$3*K660),K660,J660)</f>
        <v>469631</v>
      </c>
      <c r="M660" s="21" t="str">
        <f aca="false">IF(L660=J660,"FERC Form 1","EIA-861")</f>
        <v>FERC Form 1</v>
      </c>
      <c r="N660" s="28" t="n">
        <f aca="false">E660+F660+G660</f>
        <v>122.031187</v>
      </c>
    </row>
    <row r="661" customFormat="false" ht="15" hidden="false" customHeight="false" outlineLevel="0" collapsed="false">
      <c r="A661" s="7" t="n">
        <v>2018</v>
      </c>
      <c r="B661" s="15" t="s">
        <v>156</v>
      </c>
      <c r="C661" s="15" t="s">
        <v>135</v>
      </c>
      <c r="D661" s="15" t="s">
        <v>148</v>
      </c>
      <c r="E661" s="19" t="n">
        <v>29.448515</v>
      </c>
      <c r="F661" s="19" t="n">
        <v>26.289496</v>
      </c>
      <c r="G661" s="19" t="n">
        <v>61.201258</v>
      </c>
      <c r="H661" s="19" t="n">
        <v>152.212149</v>
      </c>
      <c r="I661" s="19" t="n">
        <v>2426.226634</v>
      </c>
      <c r="J661" s="27" t="n">
        <v>473646</v>
      </c>
      <c r="K661" s="27" t="n">
        <v>474704</v>
      </c>
      <c r="L661" s="9" t="n">
        <f aca="false">IF(AND(K661&lt;&gt;"",J661&lt;Assumptions!$B$3*K661),K661,J661)</f>
        <v>473646</v>
      </c>
      <c r="M661" s="21" t="str">
        <f aca="false">IF(L661=J661,"FERC Form 1","EIA-861")</f>
        <v>FERC Form 1</v>
      </c>
      <c r="N661" s="28" t="n">
        <f aca="false">E661+F661+G661</f>
        <v>116.939269</v>
      </c>
    </row>
    <row r="662" customFormat="false" ht="15" hidden="false" customHeight="false" outlineLevel="0" collapsed="false">
      <c r="A662" s="7" t="n">
        <v>2019</v>
      </c>
      <c r="B662" s="15" t="s">
        <v>156</v>
      </c>
      <c r="C662" s="15" t="s">
        <v>135</v>
      </c>
      <c r="D662" s="15" t="s">
        <v>148</v>
      </c>
      <c r="E662" s="19" t="n">
        <v>29.839988</v>
      </c>
      <c r="F662" s="19" t="n">
        <v>37.261567</v>
      </c>
      <c r="G662" s="19" t="n">
        <v>63.98327</v>
      </c>
      <c r="H662" s="19" t="n">
        <v>190.397179</v>
      </c>
      <c r="I662" s="19" t="n">
        <v>2593.292116</v>
      </c>
      <c r="J662" s="27" t="n">
        <v>476494</v>
      </c>
      <c r="K662" s="27" t="n">
        <v>475545</v>
      </c>
      <c r="L662" s="9" t="n">
        <f aca="false">IF(AND(K662&lt;&gt;"",J662&lt;Assumptions!$B$3*K662),K662,J662)</f>
        <v>476494</v>
      </c>
      <c r="M662" s="21" t="str">
        <f aca="false">IF(L662=J662,"FERC Form 1","EIA-861")</f>
        <v>FERC Form 1</v>
      </c>
      <c r="N662" s="28" t="n">
        <f aca="false">E662+F662+G662</f>
        <v>131.084825</v>
      </c>
    </row>
    <row r="663" customFormat="false" ht="15" hidden="false" customHeight="false" outlineLevel="0" collapsed="false">
      <c r="A663" s="7" t="n">
        <v>2020</v>
      </c>
      <c r="B663" s="15" t="s">
        <v>156</v>
      </c>
      <c r="C663" s="15" t="s">
        <v>135</v>
      </c>
      <c r="D663" s="15" t="s">
        <v>148</v>
      </c>
      <c r="E663" s="19" t="n">
        <v>21.332355</v>
      </c>
      <c r="F663" s="19" t="n">
        <v>32.79666</v>
      </c>
      <c r="G663" s="19" t="n">
        <v>68.299186</v>
      </c>
      <c r="H663" s="19" t="n">
        <v>189.358138</v>
      </c>
      <c r="I663" s="19" t="n">
        <v>2747.586441</v>
      </c>
      <c r="J663" s="27" t="n">
        <v>480772</v>
      </c>
      <c r="K663" s="27" t="n">
        <v>479907</v>
      </c>
      <c r="L663" s="9" t="n">
        <f aca="false">IF(AND(K663&lt;&gt;"",J663&lt;Assumptions!$B$3*K663),K663,J663)</f>
        <v>480772</v>
      </c>
      <c r="M663" s="21" t="str">
        <f aca="false">IF(L663=J663,"FERC Form 1","EIA-861")</f>
        <v>FERC Form 1</v>
      </c>
      <c r="N663" s="28" t="n">
        <f aca="false">E663+F663+G663</f>
        <v>122.428201</v>
      </c>
    </row>
    <row r="664" customFormat="false" ht="15" hidden="false" customHeight="false" outlineLevel="0" collapsed="false">
      <c r="A664" s="7" t="n">
        <v>2021</v>
      </c>
      <c r="B664" s="15" t="s">
        <v>156</v>
      </c>
      <c r="C664" s="15" t="s">
        <v>135</v>
      </c>
      <c r="D664" s="15" t="s">
        <v>148</v>
      </c>
      <c r="E664" s="19" t="n">
        <v>27.679166</v>
      </c>
      <c r="F664" s="19" t="n">
        <v>33.189798</v>
      </c>
      <c r="G664" s="19" t="n">
        <v>71.814403</v>
      </c>
      <c r="H664" s="19" t="n">
        <v>164.113356</v>
      </c>
      <c r="I664" s="19" t="n">
        <v>2888.038621</v>
      </c>
      <c r="J664" s="27" t="n">
        <v>485194</v>
      </c>
      <c r="K664" s="27" t="n">
        <v>487076</v>
      </c>
      <c r="L664" s="9" t="n">
        <f aca="false">IF(AND(K664&lt;&gt;"",J664&lt;Assumptions!$B$3*K664),K664,J664)</f>
        <v>485194</v>
      </c>
      <c r="M664" s="21" t="str">
        <f aca="false">IF(L664=J664,"FERC Form 1","EIA-861")</f>
        <v>FERC Form 1</v>
      </c>
      <c r="N664" s="28" t="n">
        <f aca="false">E664+F664+G664</f>
        <v>132.683367</v>
      </c>
    </row>
    <row r="665" customFormat="false" ht="15" hidden="false" customHeight="false" outlineLevel="0" collapsed="false">
      <c r="A665" s="7" t="n">
        <v>2022</v>
      </c>
      <c r="B665" s="15" t="s">
        <v>156</v>
      </c>
      <c r="C665" s="15" t="s">
        <v>135</v>
      </c>
      <c r="D665" s="15" t="s">
        <v>148</v>
      </c>
      <c r="E665" s="19" t="n">
        <v>32.097968</v>
      </c>
      <c r="F665" s="19" t="n">
        <v>35.273789</v>
      </c>
      <c r="G665" s="19" t="n">
        <v>74.895323</v>
      </c>
      <c r="H665" s="19" t="n">
        <v>169.475381</v>
      </c>
      <c r="I665" s="19" t="n">
        <v>3038.290907</v>
      </c>
      <c r="J665" s="27" t="n">
        <v>490592</v>
      </c>
      <c r="K665" s="27" t="n">
        <v>492811</v>
      </c>
      <c r="L665" s="9" t="n">
        <f aca="false">IF(AND(K665&lt;&gt;"",J665&lt;Assumptions!$B$3*K665),K665,J665)</f>
        <v>490592</v>
      </c>
      <c r="M665" s="21" t="str">
        <f aca="false">IF(L665=J665,"FERC Form 1","EIA-861")</f>
        <v>FERC Form 1</v>
      </c>
      <c r="N665" s="28" t="n">
        <f aca="false">E665+F665+G665</f>
        <v>142.26708</v>
      </c>
    </row>
    <row r="666" customFormat="false" ht="15" hidden="false" customHeight="false" outlineLevel="0" collapsed="false">
      <c r="A666" s="7" t="n">
        <v>2023</v>
      </c>
      <c r="B666" s="15" t="s">
        <v>156</v>
      </c>
      <c r="C666" s="15" t="s">
        <v>135</v>
      </c>
      <c r="D666" s="15" t="s">
        <v>148</v>
      </c>
      <c r="E666" s="19" t="n">
        <v>30.847957</v>
      </c>
      <c r="F666" s="19" t="n">
        <v>34.66376</v>
      </c>
      <c r="G666" s="19" t="n">
        <v>82.825036</v>
      </c>
      <c r="H666" s="19" t="n">
        <v>202.828424</v>
      </c>
      <c r="I666" s="19" t="n">
        <v>3227.5469</v>
      </c>
      <c r="J666" s="27" t="n">
        <v>495097</v>
      </c>
      <c r="K666" s="27" t="n">
        <v>497000</v>
      </c>
      <c r="L666" s="9" t="n">
        <f aca="false">IF(AND(K666&lt;&gt;"",J666&lt;Assumptions!$B$3*K666),K666,J666)</f>
        <v>495097</v>
      </c>
      <c r="M666" s="21" t="str">
        <f aca="false">IF(L666=J666,"FERC Form 1","EIA-861")</f>
        <v>FERC Form 1</v>
      </c>
      <c r="N666" s="28" t="n">
        <f aca="false">E666+F666+G666</f>
        <v>148.336753</v>
      </c>
    </row>
    <row r="667" customFormat="false" ht="15" hidden="false" customHeight="false" outlineLevel="0" collapsed="false">
      <c r="A667" s="7" t="n">
        <v>2024</v>
      </c>
      <c r="B667" s="15" t="s">
        <v>156</v>
      </c>
      <c r="C667" s="15" t="s">
        <v>135</v>
      </c>
      <c r="D667" s="15" t="s">
        <v>148</v>
      </c>
      <c r="E667" s="19" t="n">
        <v>25.414815</v>
      </c>
      <c r="F667" s="19" t="n">
        <v>42.284651</v>
      </c>
      <c r="G667" s="19" t="n">
        <v>88.907431</v>
      </c>
      <c r="H667" s="19" t="n">
        <v>272.225981</v>
      </c>
      <c r="I667" s="19" t="n">
        <v>3473.803469</v>
      </c>
      <c r="J667" s="27" t="n">
        <v>499391</v>
      </c>
      <c r="K667" s="27" t="n">
        <v>501644</v>
      </c>
      <c r="L667" s="9" t="n">
        <f aca="false">IF(AND(K667&lt;&gt;"",J667&lt;Assumptions!$B$3*K667),K667,J667)</f>
        <v>499391</v>
      </c>
      <c r="M667" s="21" t="str">
        <f aca="false">IF(L667=J667,"FERC Form 1","EIA-861")</f>
        <v>FERC Form 1</v>
      </c>
      <c r="N667" s="28" t="n">
        <f aca="false">E667+F667+G667</f>
        <v>156.606897</v>
      </c>
    </row>
    <row r="668" customFormat="false" ht="15" hidden="false" customHeight="false" outlineLevel="0" collapsed="false">
      <c r="A668" s="7" t="n">
        <v>2025</v>
      </c>
      <c r="B668" s="15" t="s">
        <v>156</v>
      </c>
      <c r="C668" s="15" t="s">
        <v>135</v>
      </c>
      <c r="D668" s="15" t="s">
        <v>148</v>
      </c>
      <c r="E668" s="19" t="n">
        <v>23.444695</v>
      </c>
      <c r="F668" s="19" t="n">
        <v>42.377518</v>
      </c>
      <c r="G668" s="19" t="n">
        <v>96.331703</v>
      </c>
      <c r="H668" s="19" t="n">
        <v>289.71288</v>
      </c>
      <c r="I668" s="19" t="n">
        <v>3734.813202</v>
      </c>
      <c r="J668" s="27" t="n">
        <v>502200</v>
      </c>
      <c r="K668" s="27" t="n">
        <v>505706</v>
      </c>
      <c r="L668" s="9" t="n">
        <f aca="false">IF(AND(K668&lt;&gt;"",J668&lt;Assumptions!$B$3*K668),K668,J668)</f>
        <v>502200</v>
      </c>
      <c r="M668" s="21" t="str">
        <f aca="false">IF(L668=J668,"FERC Form 1","EIA-861")</f>
        <v>FERC Form 1</v>
      </c>
      <c r="N668" s="28" t="n">
        <f aca="false">E668+F668+G668</f>
        <v>162.153916</v>
      </c>
    </row>
    <row r="669" customFormat="false" ht="15" hidden="false" customHeight="false" outlineLevel="0" collapsed="false">
      <c r="A669" s="7" t="n">
        <v>2000</v>
      </c>
      <c r="B669" s="15" t="s">
        <v>157</v>
      </c>
      <c r="C669" s="15" t="s">
        <v>135</v>
      </c>
      <c r="D669" s="15" t="s">
        <v>148</v>
      </c>
      <c r="E669" s="19" t="n">
        <v>36.245288</v>
      </c>
      <c r="F669" s="19" t="n">
        <v>30.361847</v>
      </c>
      <c r="G669" s="19" t="n">
        <v>16.419316</v>
      </c>
      <c r="H669" s="19" t="n">
        <v>53.899451</v>
      </c>
      <c r="I669" s="19" t="n">
        <v>598.564487</v>
      </c>
      <c r="J669" s="27" t="n">
        <v>391387</v>
      </c>
      <c r="K669" s="27"/>
      <c r="L669" s="9" t="n">
        <f aca="false">IF(AND(K669&lt;&gt;"",J669&lt;Assumptions!$B$3*K669),K669,J669)</f>
        <v>391387</v>
      </c>
      <c r="M669" s="21" t="str">
        <f aca="false">IF(L669=J669,"FERC Form 1","EIA-861")</f>
        <v>FERC Form 1</v>
      </c>
      <c r="N669" s="28" t="n">
        <f aca="false">E669+F669+G669</f>
        <v>83.026451</v>
      </c>
    </row>
    <row r="670" customFormat="false" ht="15" hidden="false" customHeight="false" outlineLevel="0" collapsed="false">
      <c r="A670" s="7" t="n">
        <v>2001</v>
      </c>
      <c r="B670" s="15" t="s">
        <v>157</v>
      </c>
      <c r="C670" s="15" t="s">
        <v>135</v>
      </c>
      <c r="D670" s="15" t="s">
        <v>148</v>
      </c>
      <c r="E670" s="19" t="n">
        <v>35.323164</v>
      </c>
      <c r="F670" s="19" t="n">
        <v>37.909279</v>
      </c>
      <c r="G670" s="19" t="n">
        <v>18.379473</v>
      </c>
      <c r="H670" s="19" t="n">
        <v>52.123351</v>
      </c>
      <c r="I670" s="19" t="n">
        <v>652.274453</v>
      </c>
      <c r="J670" s="27" t="n">
        <v>397502</v>
      </c>
      <c r="K670" s="27" t="n">
        <v>397502</v>
      </c>
      <c r="L670" s="9" t="n">
        <f aca="false">IF(AND(K670&lt;&gt;"",J670&lt;Assumptions!$B$3*K670),K670,J670)</f>
        <v>397502</v>
      </c>
      <c r="M670" s="21" t="str">
        <f aca="false">IF(L670=J670,"FERC Form 1","EIA-861")</f>
        <v>FERC Form 1</v>
      </c>
      <c r="N670" s="28" t="n">
        <f aca="false">E670+F670+G670</f>
        <v>91.611916</v>
      </c>
    </row>
    <row r="671" customFormat="false" ht="15" hidden="false" customHeight="false" outlineLevel="0" collapsed="false">
      <c r="A671" s="7" t="n">
        <v>2002</v>
      </c>
      <c r="B671" s="15" t="s">
        <v>157</v>
      </c>
      <c r="C671" s="15" t="s">
        <v>135</v>
      </c>
      <c r="D671" s="15" t="s">
        <v>148</v>
      </c>
      <c r="E671" s="19" t="n">
        <v>38.166273</v>
      </c>
      <c r="F671" s="19" t="n">
        <v>40.2879</v>
      </c>
      <c r="G671" s="19" t="n">
        <v>20.603973</v>
      </c>
      <c r="H671" s="19" t="n">
        <v>41.842336</v>
      </c>
      <c r="I671" s="19" t="n">
        <v>687.003124</v>
      </c>
      <c r="J671" s="27" t="n">
        <v>403850</v>
      </c>
      <c r="K671" s="27" t="n">
        <v>403850</v>
      </c>
      <c r="L671" s="9" t="n">
        <f aca="false">IF(AND(K671&lt;&gt;"",J671&lt;Assumptions!$B$3*K671),K671,J671)</f>
        <v>403850</v>
      </c>
      <c r="M671" s="21" t="str">
        <f aca="false">IF(L671=J671,"FERC Form 1","EIA-861")</f>
        <v>FERC Form 1</v>
      </c>
      <c r="N671" s="28" t="n">
        <f aca="false">E671+F671+G671</f>
        <v>99.058146</v>
      </c>
    </row>
    <row r="672" customFormat="false" ht="15" hidden="false" customHeight="false" outlineLevel="0" collapsed="false">
      <c r="A672" s="7" t="n">
        <v>2003</v>
      </c>
      <c r="B672" s="15" t="s">
        <v>157</v>
      </c>
      <c r="C672" s="15" t="s">
        <v>135</v>
      </c>
      <c r="D672" s="15" t="s">
        <v>148</v>
      </c>
      <c r="E672" s="19" t="n">
        <v>36.574873</v>
      </c>
      <c r="F672" s="19" t="n">
        <v>33.49812</v>
      </c>
      <c r="G672" s="19" t="n">
        <v>21.912784</v>
      </c>
      <c r="H672" s="19" t="n">
        <v>49.642474</v>
      </c>
      <c r="I672" s="19" t="n">
        <v>726.443932</v>
      </c>
      <c r="J672" s="27" t="n">
        <v>410629</v>
      </c>
      <c r="K672" s="27" t="n">
        <v>411549</v>
      </c>
      <c r="L672" s="9" t="n">
        <f aca="false">IF(AND(K672&lt;&gt;"",J672&lt;Assumptions!$B$3*K672),K672,J672)</f>
        <v>410629</v>
      </c>
      <c r="M672" s="21" t="str">
        <f aca="false">IF(L672=J672,"FERC Form 1","EIA-861")</f>
        <v>FERC Form 1</v>
      </c>
      <c r="N672" s="28" t="n">
        <f aca="false">E672+F672+G672</f>
        <v>91.985777</v>
      </c>
    </row>
    <row r="673" customFormat="false" ht="15" hidden="false" customHeight="false" outlineLevel="0" collapsed="false">
      <c r="A673" s="7" t="n">
        <v>2004</v>
      </c>
      <c r="B673" s="15" t="s">
        <v>157</v>
      </c>
      <c r="C673" s="15" t="s">
        <v>135</v>
      </c>
      <c r="D673" s="15" t="s">
        <v>148</v>
      </c>
      <c r="E673" s="19" t="n">
        <v>39.393288</v>
      </c>
      <c r="F673" s="19" t="n">
        <v>34.8184</v>
      </c>
      <c r="G673" s="19" t="n">
        <v>22.674674</v>
      </c>
      <c r="H673" s="19" t="n">
        <v>69.352618</v>
      </c>
      <c r="I673" s="19" t="n">
        <v>777.255449</v>
      </c>
      <c r="J673" s="27" t="n">
        <v>417226</v>
      </c>
      <c r="K673" s="27" t="n">
        <v>418125</v>
      </c>
      <c r="L673" s="9" t="n">
        <f aca="false">IF(AND(K673&lt;&gt;"",J673&lt;Assumptions!$B$3*K673),K673,J673)</f>
        <v>417226</v>
      </c>
      <c r="M673" s="21" t="str">
        <f aca="false">IF(L673=J673,"FERC Form 1","EIA-861")</f>
        <v>FERC Form 1</v>
      </c>
      <c r="N673" s="28" t="n">
        <f aca="false">E673+F673+G673</f>
        <v>96.886362</v>
      </c>
    </row>
    <row r="674" customFormat="false" ht="15" hidden="false" customHeight="false" outlineLevel="0" collapsed="false">
      <c r="A674" s="7" t="n">
        <v>2005</v>
      </c>
      <c r="B674" s="15" t="s">
        <v>157</v>
      </c>
      <c r="C674" s="15" t="s">
        <v>135</v>
      </c>
      <c r="D674" s="15" t="s">
        <v>148</v>
      </c>
      <c r="E674" s="19" t="n">
        <v>42.250113</v>
      </c>
      <c r="F674" s="19" t="n">
        <v>35.286302</v>
      </c>
      <c r="G674" s="19" t="n">
        <v>23.828327</v>
      </c>
      <c r="H674" s="19" t="n">
        <v>46.154237</v>
      </c>
      <c r="I674" s="19" t="n">
        <v>813.637426</v>
      </c>
      <c r="J674" s="27" t="n">
        <v>422165</v>
      </c>
      <c r="K674" s="27" t="n">
        <v>422164</v>
      </c>
      <c r="L674" s="9" t="n">
        <f aca="false">IF(AND(K674&lt;&gt;"",J674&lt;Assumptions!$B$3*K674),K674,J674)</f>
        <v>422165</v>
      </c>
      <c r="M674" s="21" t="str">
        <f aca="false">IF(L674=J674,"FERC Form 1","EIA-861")</f>
        <v>FERC Form 1</v>
      </c>
      <c r="N674" s="28" t="n">
        <f aca="false">E674+F674+G674</f>
        <v>101.364742</v>
      </c>
    </row>
    <row r="675" customFormat="false" ht="15" hidden="false" customHeight="false" outlineLevel="0" collapsed="false">
      <c r="A675" s="7" t="n">
        <v>2006</v>
      </c>
      <c r="B675" s="15" t="s">
        <v>157</v>
      </c>
      <c r="C675" s="15" t="s">
        <v>135</v>
      </c>
      <c r="D675" s="15" t="s">
        <v>148</v>
      </c>
      <c r="E675" s="19" t="n">
        <v>42.900899</v>
      </c>
      <c r="F675" s="19" t="n">
        <v>38.247662</v>
      </c>
      <c r="G675" s="19" t="n">
        <v>26.065406</v>
      </c>
      <c r="H675" s="19" t="n">
        <v>48.749129</v>
      </c>
      <c r="I675" s="19" t="n">
        <v>851.60266</v>
      </c>
      <c r="J675" s="27" t="n">
        <v>425928</v>
      </c>
      <c r="K675" s="27" t="n">
        <v>425220</v>
      </c>
      <c r="L675" s="9" t="n">
        <f aca="false">IF(AND(K675&lt;&gt;"",J675&lt;Assumptions!$B$3*K675),K675,J675)</f>
        <v>425928</v>
      </c>
      <c r="M675" s="21" t="str">
        <f aca="false">IF(L675=J675,"FERC Form 1","EIA-861")</f>
        <v>FERC Form 1</v>
      </c>
      <c r="N675" s="28" t="n">
        <f aca="false">E675+F675+G675</f>
        <v>107.213967</v>
      </c>
    </row>
    <row r="676" customFormat="false" ht="15" hidden="false" customHeight="false" outlineLevel="0" collapsed="false">
      <c r="A676" s="7" t="n">
        <v>2007</v>
      </c>
      <c r="B676" s="15" t="s">
        <v>157</v>
      </c>
      <c r="C676" s="15" t="s">
        <v>135</v>
      </c>
      <c r="D676" s="15" t="s">
        <v>148</v>
      </c>
      <c r="E676" s="19" t="n">
        <v>44.840486</v>
      </c>
      <c r="F676" s="19" t="n">
        <v>39.851746</v>
      </c>
      <c r="G676" s="19" t="n">
        <v>26.970303</v>
      </c>
      <c r="H676" s="19" t="n">
        <v>37.318483</v>
      </c>
      <c r="I676" s="19" t="n">
        <v>876.685325</v>
      </c>
      <c r="J676" s="27" t="n">
        <v>430278</v>
      </c>
      <c r="K676" s="27" t="n">
        <v>432810</v>
      </c>
      <c r="L676" s="9" t="n">
        <f aca="false">IF(AND(K676&lt;&gt;"",J676&lt;Assumptions!$B$3*K676),K676,J676)</f>
        <v>430278</v>
      </c>
      <c r="M676" s="21" t="str">
        <f aca="false">IF(L676=J676,"FERC Form 1","EIA-861")</f>
        <v>FERC Form 1</v>
      </c>
      <c r="N676" s="28" t="n">
        <f aca="false">E676+F676+G676</f>
        <v>111.662535</v>
      </c>
    </row>
    <row r="677" customFormat="false" ht="15" hidden="false" customHeight="false" outlineLevel="0" collapsed="false">
      <c r="A677" s="7" t="n">
        <v>2008</v>
      </c>
      <c r="B677" s="15" t="s">
        <v>157</v>
      </c>
      <c r="C677" s="15" t="s">
        <v>135</v>
      </c>
      <c r="D677" s="15" t="s">
        <v>148</v>
      </c>
      <c r="E677" s="19" t="n">
        <v>43.363465</v>
      </c>
      <c r="F677" s="19" t="n">
        <v>36.265317</v>
      </c>
      <c r="G677" s="19" t="n">
        <v>27.789753</v>
      </c>
      <c r="H677" s="19" t="n">
        <v>40.618597</v>
      </c>
      <c r="I677" s="19" t="n">
        <v>909.388261</v>
      </c>
      <c r="J677" s="27" t="n">
        <v>433574</v>
      </c>
      <c r="K677" s="27" t="n">
        <v>435380</v>
      </c>
      <c r="L677" s="9" t="n">
        <f aca="false">IF(AND(K677&lt;&gt;"",J677&lt;Assumptions!$B$3*K677),K677,J677)</f>
        <v>433574</v>
      </c>
      <c r="M677" s="21" t="str">
        <f aca="false">IF(L677=J677,"FERC Form 1","EIA-861")</f>
        <v>FERC Form 1</v>
      </c>
      <c r="N677" s="28" t="n">
        <f aca="false">E677+F677+G677</f>
        <v>107.418535</v>
      </c>
    </row>
    <row r="678" customFormat="false" ht="15" hidden="false" customHeight="false" outlineLevel="0" collapsed="false">
      <c r="A678" s="7" t="n">
        <v>2009</v>
      </c>
      <c r="B678" s="15" t="s">
        <v>157</v>
      </c>
      <c r="C678" s="15" t="s">
        <v>135</v>
      </c>
      <c r="D678" s="15" t="s">
        <v>148</v>
      </c>
      <c r="E678" s="19" t="n">
        <v>42.743813</v>
      </c>
      <c r="F678" s="19" t="n">
        <v>36.183424</v>
      </c>
      <c r="G678" s="19" t="n">
        <v>28.644604</v>
      </c>
      <c r="H678" s="19" t="n">
        <v>25.940954</v>
      </c>
      <c r="I678" s="19" t="n">
        <v>927.854459</v>
      </c>
      <c r="J678" s="27" t="n">
        <v>435630</v>
      </c>
      <c r="K678" s="27" t="n">
        <v>437319</v>
      </c>
      <c r="L678" s="9" t="n">
        <f aca="false">IF(AND(K678&lt;&gt;"",J678&lt;Assumptions!$B$3*K678),K678,J678)</f>
        <v>435630</v>
      </c>
      <c r="M678" s="21" t="str">
        <f aca="false">IF(L678=J678,"FERC Form 1","EIA-861")</f>
        <v>FERC Form 1</v>
      </c>
      <c r="N678" s="28" t="n">
        <f aca="false">E678+F678+G678</f>
        <v>107.571841</v>
      </c>
    </row>
    <row r="679" customFormat="false" ht="15" hidden="false" customHeight="false" outlineLevel="0" collapsed="false">
      <c r="A679" s="7" t="n">
        <v>2010</v>
      </c>
      <c r="B679" s="15" t="s">
        <v>157</v>
      </c>
      <c r="C679" s="15" t="s">
        <v>135</v>
      </c>
      <c r="D679" s="15" t="s">
        <v>148</v>
      </c>
      <c r="E679" s="19" t="n">
        <v>44.928173</v>
      </c>
      <c r="F679" s="19" t="n">
        <v>46.358656</v>
      </c>
      <c r="G679" s="19" t="n">
        <v>29.192346</v>
      </c>
      <c r="H679" s="19" t="n">
        <v>25.038212</v>
      </c>
      <c r="I679" s="19" t="n">
        <v>945.797853</v>
      </c>
      <c r="J679" s="27" t="n">
        <v>437757</v>
      </c>
      <c r="K679" s="27" t="n">
        <v>437760</v>
      </c>
      <c r="L679" s="9" t="n">
        <f aca="false">IF(AND(K679&lt;&gt;"",J679&lt;Assumptions!$B$3*K679),K679,J679)</f>
        <v>437757</v>
      </c>
      <c r="M679" s="21" t="str">
        <f aca="false">IF(L679=J679,"FERC Form 1","EIA-861")</f>
        <v>FERC Form 1</v>
      </c>
      <c r="N679" s="28" t="n">
        <f aca="false">E679+F679+G679</f>
        <v>120.479175</v>
      </c>
    </row>
    <row r="680" customFormat="false" ht="15" hidden="false" customHeight="false" outlineLevel="0" collapsed="false">
      <c r="A680" s="7" t="n">
        <v>2011</v>
      </c>
      <c r="B680" s="15" t="s">
        <v>157</v>
      </c>
      <c r="C680" s="15" t="s">
        <v>135</v>
      </c>
      <c r="D680" s="15" t="s">
        <v>148</v>
      </c>
      <c r="E680" s="19" t="n">
        <v>45.022993</v>
      </c>
      <c r="F680" s="19" t="n">
        <v>50.842169</v>
      </c>
      <c r="G680" s="19" t="n">
        <v>20.34476</v>
      </c>
      <c r="H680" s="19" t="n">
        <v>25.989977</v>
      </c>
      <c r="I680" s="19" t="n">
        <v>964.827743</v>
      </c>
      <c r="J680" s="27" t="n">
        <v>439481</v>
      </c>
      <c r="K680" s="27" t="n">
        <v>440830</v>
      </c>
      <c r="L680" s="9" t="n">
        <f aca="false">IF(AND(K680&lt;&gt;"",J680&lt;Assumptions!$B$3*K680),K680,J680)</f>
        <v>439481</v>
      </c>
      <c r="M680" s="21" t="str">
        <f aca="false">IF(L680=J680,"FERC Form 1","EIA-861")</f>
        <v>FERC Form 1</v>
      </c>
      <c r="N680" s="28" t="n">
        <f aca="false">E680+F680+G680</f>
        <v>116.209922</v>
      </c>
    </row>
    <row r="681" customFormat="false" ht="15" hidden="false" customHeight="false" outlineLevel="0" collapsed="false">
      <c r="A681" s="7" t="n">
        <v>2012</v>
      </c>
      <c r="B681" s="15" t="s">
        <v>157</v>
      </c>
      <c r="C681" s="15" t="s">
        <v>135</v>
      </c>
      <c r="D681" s="15" t="s">
        <v>148</v>
      </c>
      <c r="E681" s="19" t="n">
        <v>44.021629</v>
      </c>
      <c r="F681" s="19" t="n">
        <v>37.938639</v>
      </c>
      <c r="G681" s="19" t="n">
        <v>20.790383</v>
      </c>
      <c r="H681" s="19" t="n">
        <v>30.499667</v>
      </c>
      <c r="I681" s="19" t="n">
        <v>987.936217</v>
      </c>
      <c r="J681" s="27" t="n">
        <v>441571</v>
      </c>
      <c r="K681" s="27" t="n">
        <v>443117</v>
      </c>
      <c r="L681" s="9" t="n">
        <f aca="false">IF(AND(K681&lt;&gt;"",J681&lt;Assumptions!$B$3*K681),K681,J681)</f>
        <v>441571</v>
      </c>
      <c r="M681" s="21" t="str">
        <f aca="false">IF(L681=J681,"FERC Form 1","EIA-861")</f>
        <v>FERC Form 1</v>
      </c>
      <c r="N681" s="28" t="n">
        <f aca="false">E681+F681+G681</f>
        <v>102.750651</v>
      </c>
    </row>
    <row r="682" customFormat="false" ht="15" hidden="false" customHeight="false" outlineLevel="0" collapsed="false">
      <c r="A682" s="7" t="n">
        <v>2013</v>
      </c>
      <c r="B682" s="15" t="s">
        <v>157</v>
      </c>
      <c r="C682" s="15" t="s">
        <v>135</v>
      </c>
      <c r="D682" s="15" t="s">
        <v>148</v>
      </c>
      <c r="E682" s="19" t="n">
        <v>46.235827</v>
      </c>
      <c r="F682" s="19" t="n">
        <v>40.991688</v>
      </c>
      <c r="G682" s="19" t="n">
        <v>21.316236</v>
      </c>
      <c r="H682" s="19" t="n">
        <v>37.797935</v>
      </c>
      <c r="I682" s="19" t="n">
        <v>1017.954111</v>
      </c>
      <c r="J682" s="27" t="n">
        <v>443744</v>
      </c>
      <c r="K682" s="27" t="n">
        <v>445266</v>
      </c>
      <c r="L682" s="9" t="n">
        <f aca="false">IF(AND(K682&lt;&gt;"",J682&lt;Assumptions!$B$3*K682),K682,J682)</f>
        <v>443744</v>
      </c>
      <c r="M682" s="21" t="str">
        <f aca="false">IF(L682=J682,"FERC Form 1","EIA-861")</f>
        <v>FERC Form 1</v>
      </c>
      <c r="N682" s="28" t="n">
        <f aca="false">E682+F682+G682</f>
        <v>108.543751</v>
      </c>
    </row>
    <row r="683" customFormat="false" ht="15" hidden="false" customHeight="false" outlineLevel="0" collapsed="false">
      <c r="A683" s="7" t="n">
        <v>2014</v>
      </c>
      <c r="B683" s="15" t="s">
        <v>157</v>
      </c>
      <c r="C683" s="15" t="s">
        <v>135</v>
      </c>
      <c r="D683" s="15" t="s">
        <v>148</v>
      </c>
      <c r="E683" s="19" t="n">
        <v>51.622136</v>
      </c>
      <c r="F683" s="19" t="n">
        <v>40.453055</v>
      </c>
      <c r="G683" s="19" t="n">
        <v>21.884603</v>
      </c>
      <c r="H683" s="19" t="n">
        <v>62.709968</v>
      </c>
      <c r="I683" s="19" t="n">
        <v>1074.96793</v>
      </c>
      <c r="J683" s="27" t="n">
        <v>445682</v>
      </c>
      <c r="K683" s="27" t="n">
        <v>447077</v>
      </c>
      <c r="L683" s="9" t="n">
        <f aca="false">IF(AND(K683&lt;&gt;"",J683&lt;Assumptions!$B$3*K683),K683,J683)</f>
        <v>445682</v>
      </c>
      <c r="M683" s="21" t="str">
        <f aca="false">IF(L683=J683,"FERC Form 1","EIA-861")</f>
        <v>FERC Form 1</v>
      </c>
      <c r="N683" s="28" t="n">
        <f aca="false">E683+F683+G683</f>
        <v>113.959794</v>
      </c>
    </row>
    <row r="684" customFormat="false" ht="15" hidden="false" customHeight="false" outlineLevel="0" collapsed="false">
      <c r="A684" s="7" t="n">
        <v>2015</v>
      </c>
      <c r="B684" s="15" t="s">
        <v>157</v>
      </c>
      <c r="C684" s="15" t="s">
        <v>135</v>
      </c>
      <c r="D684" s="15" t="s">
        <v>148</v>
      </c>
      <c r="E684" s="19" t="n">
        <v>52.051598</v>
      </c>
      <c r="F684" s="19" t="n">
        <v>41.41589</v>
      </c>
      <c r="G684" s="19" t="n">
        <v>23.362721</v>
      </c>
      <c r="H684" s="19" t="n">
        <v>94.857082</v>
      </c>
      <c r="I684" s="19" t="n">
        <v>1156.240392</v>
      </c>
      <c r="J684" s="27" t="n">
        <v>447732</v>
      </c>
      <c r="K684" s="27" t="n">
        <v>449143</v>
      </c>
      <c r="L684" s="9" t="n">
        <f aca="false">IF(AND(K684&lt;&gt;"",J684&lt;Assumptions!$B$3*K684),K684,J684)</f>
        <v>447732</v>
      </c>
      <c r="M684" s="21" t="str">
        <f aca="false">IF(L684=J684,"FERC Form 1","EIA-861")</f>
        <v>FERC Form 1</v>
      </c>
      <c r="N684" s="28" t="n">
        <f aca="false">E684+F684+G684</f>
        <v>116.830209</v>
      </c>
    </row>
    <row r="685" customFormat="false" ht="15" hidden="false" customHeight="false" outlineLevel="0" collapsed="false">
      <c r="A685" s="7" t="n">
        <v>2016</v>
      </c>
      <c r="B685" s="15" t="s">
        <v>157</v>
      </c>
      <c r="C685" s="15" t="s">
        <v>135</v>
      </c>
      <c r="D685" s="15" t="s">
        <v>148</v>
      </c>
      <c r="E685" s="19" t="n">
        <v>37.347829</v>
      </c>
      <c r="F685" s="19" t="n">
        <v>37.157954</v>
      </c>
      <c r="G685" s="19" t="n">
        <v>25.276958</v>
      </c>
      <c r="H685" s="19" t="n">
        <v>112.113833</v>
      </c>
      <c r="I685" s="19" t="n">
        <v>1259.018392</v>
      </c>
      <c r="J685" s="27" t="n">
        <v>449877</v>
      </c>
      <c r="K685" s="27" t="n">
        <v>450709</v>
      </c>
      <c r="L685" s="9" t="n">
        <f aca="false">IF(AND(K685&lt;&gt;"",J685&lt;Assumptions!$B$3*K685),K685,J685)</f>
        <v>449877</v>
      </c>
      <c r="M685" s="21" t="str">
        <f aca="false">IF(L685=J685,"FERC Form 1","EIA-861")</f>
        <v>FERC Form 1</v>
      </c>
      <c r="N685" s="28" t="n">
        <f aca="false">E685+F685+G685</f>
        <v>99.782741</v>
      </c>
    </row>
    <row r="686" customFormat="false" ht="15" hidden="false" customHeight="false" outlineLevel="0" collapsed="false">
      <c r="A686" s="7" t="n">
        <v>2017</v>
      </c>
      <c r="B686" s="15" t="s">
        <v>157</v>
      </c>
      <c r="C686" s="15" t="s">
        <v>135</v>
      </c>
      <c r="D686" s="15" t="s">
        <v>148</v>
      </c>
      <c r="E686" s="19" t="n">
        <v>32.802783</v>
      </c>
      <c r="F686" s="19" t="n">
        <v>35.813843</v>
      </c>
      <c r="G686" s="19" t="n">
        <v>27.012593</v>
      </c>
      <c r="H686" s="19" t="n">
        <v>148.710708</v>
      </c>
      <c r="I686" s="19" t="n">
        <v>1361.57885</v>
      </c>
      <c r="J686" s="27" t="n">
        <v>442246</v>
      </c>
      <c r="K686" s="27" t="n">
        <v>442246</v>
      </c>
      <c r="L686" s="9" t="n">
        <f aca="false">IF(AND(K686&lt;&gt;"",J686&lt;Assumptions!$B$3*K686),K686,J686)</f>
        <v>442246</v>
      </c>
      <c r="M686" s="21" t="str">
        <f aca="false">IF(L686=J686,"FERC Form 1","EIA-861")</f>
        <v>FERC Form 1</v>
      </c>
      <c r="N686" s="28" t="n">
        <f aca="false">E686+F686+G686</f>
        <v>95.629219</v>
      </c>
    </row>
    <row r="687" customFormat="false" ht="15" hidden="false" customHeight="false" outlineLevel="0" collapsed="false">
      <c r="A687" s="7" t="n">
        <v>2018</v>
      </c>
      <c r="B687" s="15" t="s">
        <v>157</v>
      </c>
      <c r="C687" s="15" t="s">
        <v>135</v>
      </c>
      <c r="D687" s="15" t="s">
        <v>148</v>
      </c>
      <c r="E687" s="19" t="n">
        <v>29.632337</v>
      </c>
      <c r="F687" s="19" t="n">
        <v>33.339929</v>
      </c>
      <c r="G687" s="19" t="n">
        <v>29.093394</v>
      </c>
      <c r="H687" s="19" t="n">
        <v>160.448171</v>
      </c>
      <c r="I687" s="19" t="n">
        <v>1508.745487</v>
      </c>
      <c r="J687" s="27" t="n">
        <v>444647</v>
      </c>
      <c r="K687" s="27" t="n">
        <v>444647</v>
      </c>
      <c r="L687" s="9" t="n">
        <f aca="false">IF(AND(K687&lt;&gt;"",J687&lt;Assumptions!$B$3*K687),K687,J687)</f>
        <v>444647</v>
      </c>
      <c r="M687" s="21" t="str">
        <f aca="false">IF(L687=J687,"FERC Form 1","EIA-861")</f>
        <v>FERC Form 1</v>
      </c>
      <c r="N687" s="28" t="n">
        <f aca="false">E687+F687+G687</f>
        <v>92.06566</v>
      </c>
    </row>
    <row r="688" customFormat="false" ht="15" hidden="false" customHeight="false" outlineLevel="0" collapsed="false">
      <c r="A688" s="7" t="n">
        <v>2019</v>
      </c>
      <c r="B688" s="15" t="s">
        <v>157</v>
      </c>
      <c r="C688" s="15" t="s">
        <v>135</v>
      </c>
      <c r="D688" s="15" t="s">
        <v>148</v>
      </c>
      <c r="E688" s="19" t="n">
        <v>41.250865</v>
      </c>
      <c r="F688" s="19" t="n">
        <v>32.849427</v>
      </c>
      <c r="G688" s="19" t="n">
        <v>33.37977</v>
      </c>
      <c r="H688" s="19" t="n">
        <v>272.509749</v>
      </c>
      <c r="I688" s="19" t="n">
        <v>1734.835131</v>
      </c>
      <c r="J688" s="27" t="n">
        <v>447493</v>
      </c>
      <c r="K688" s="27" t="n">
        <v>447493</v>
      </c>
      <c r="L688" s="9" t="n">
        <f aca="false">IF(AND(K688&lt;&gt;"",J688&lt;Assumptions!$B$3*K688),K688,J688)</f>
        <v>447493</v>
      </c>
      <c r="M688" s="21" t="str">
        <f aca="false">IF(L688=J688,"FERC Form 1","EIA-861")</f>
        <v>FERC Form 1</v>
      </c>
      <c r="N688" s="28" t="n">
        <f aca="false">E688+F688+G688</f>
        <v>107.480062</v>
      </c>
    </row>
    <row r="689" customFormat="false" ht="15" hidden="false" customHeight="false" outlineLevel="0" collapsed="false">
      <c r="A689" s="7" t="n">
        <v>2020</v>
      </c>
      <c r="B689" s="15" t="s">
        <v>157</v>
      </c>
      <c r="C689" s="15" t="s">
        <v>135</v>
      </c>
      <c r="D689" s="15" t="s">
        <v>148</v>
      </c>
      <c r="E689" s="19" t="n">
        <v>24.564716</v>
      </c>
      <c r="F689" s="19" t="n">
        <v>21.062939</v>
      </c>
      <c r="G689" s="19" t="n">
        <v>37.745174</v>
      </c>
      <c r="H689" s="19" t="n">
        <v>203.328763</v>
      </c>
      <c r="I689" s="19" t="n">
        <v>1912.980609</v>
      </c>
      <c r="J689" s="27" t="n">
        <v>451063</v>
      </c>
      <c r="K689" s="27" t="n">
        <v>451063</v>
      </c>
      <c r="L689" s="9" t="n">
        <f aca="false">IF(AND(K689&lt;&gt;"",J689&lt;Assumptions!$B$3*K689),K689,J689)</f>
        <v>451063</v>
      </c>
      <c r="M689" s="21" t="str">
        <f aca="false">IF(L689=J689,"FERC Form 1","EIA-861")</f>
        <v>FERC Form 1</v>
      </c>
      <c r="N689" s="28" t="n">
        <f aca="false">E689+F689+G689</f>
        <v>83.372829</v>
      </c>
    </row>
    <row r="690" customFormat="false" ht="15" hidden="false" customHeight="false" outlineLevel="0" collapsed="false">
      <c r="A690" s="7" t="n">
        <v>2021</v>
      </c>
      <c r="B690" s="15" t="s">
        <v>157</v>
      </c>
      <c r="C690" s="15" t="s">
        <v>135</v>
      </c>
      <c r="D690" s="15" t="s">
        <v>148</v>
      </c>
      <c r="E690" s="19" t="n">
        <v>31.570154</v>
      </c>
      <c r="F690" s="19" t="n">
        <v>22.720597</v>
      </c>
      <c r="G690" s="19" t="n">
        <v>40.491889</v>
      </c>
      <c r="H690" s="19" t="n">
        <v>174.730202</v>
      </c>
      <c r="I690" s="19" t="n">
        <v>2064.47656</v>
      </c>
      <c r="J690" s="27" t="n">
        <v>454892</v>
      </c>
      <c r="K690" s="27" t="n">
        <v>454892</v>
      </c>
      <c r="L690" s="9" t="n">
        <f aca="false">IF(AND(K690&lt;&gt;"",J690&lt;Assumptions!$B$3*K690),K690,J690)</f>
        <v>454892</v>
      </c>
      <c r="M690" s="21" t="str">
        <f aca="false">IF(L690=J690,"FERC Form 1","EIA-861")</f>
        <v>FERC Form 1</v>
      </c>
      <c r="N690" s="28" t="n">
        <f aca="false">E690+F690+G690</f>
        <v>94.78264</v>
      </c>
    </row>
    <row r="691" customFormat="false" ht="15" hidden="false" customHeight="false" outlineLevel="0" collapsed="false">
      <c r="A691" s="7" t="n">
        <v>2022</v>
      </c>
      <c r="B691" s="15" t="s">
        <v>157</v>
      </c>
      <c r="C691" s="15" t="s">
        <v>135</v>
      </c>
      <c r="D691" s="15" t="s">
        <v>148</v>
      </c>
      <c r="E691" s="19" t="n">
        <v>42.058602</v>
      </c>
      <c r="F691" s="19" t="n">
        <v>26.156318</v>
      </c>
      <c r="G691" s="19" t="n">
        <v>43.195416</v>
      </c>
      <c r="H691" s="19" t="n">
        <v>145.867126</v>
      </c>
      <c r="I691" s="19" t="n">
        <v>2166.641101</v>
      </c>
      <c r="J691" s="27" t="n">
        <v>458948</v>
      </c>
      <c r="K691" s="27" t="n">
        <v>458948</v>
      </c>
      <c r="L691" s="9" t="n">
        <f aca="false">IF(AND(K691&lt;&gt;"",J691&lt;Assumptions!$B$3*K691),K691,J691)</f>
        <v>458948</v>
      </c>
      <c r="M691" s="21" t="str">
        <f aca="false">IF(L691=J691,"FERC Form 1","EIA-861")</f>
        <v>FERC Form 1</v>
      </c>
      <c r="N691" s="28" t="n">
        <f aca="false">E691+F691+G691</f>
        <v>111.410336</v>
      </c>
    </row>
    <row r="692" customFormat="false" ht="15" hidden="false" customHeight="false" outlineLevel="0" collapsed="false">
      <c r="A692" s="7" t="n">
        <v>2023</v>
      </c>
      <c r="B692" s="15" t="s">
        <v>157</v>
      </c>
      <c r="C692" s="15" t="s">
        <v>135</v>
      </c>
      <c r="D692" s="15" t="s">
        <v>148</v>
      </c>
      <c r="E692" s="19" t="n">
        <v>31.561722</v>
      </c>
      <c r="F692" s="19" t="n">
        <v>38.97397</v>
      </c>
      <c r="G692" s="19" t="n">
        <v>56.068807</v>
      </c>
      <c r="H692" s="19" t="n">
        <v>161.315428</v>
      </c>
      <c r="I692" s="19" t="n">
        <v>2315.110461</v>
      </c>
      <c r="J692" s="27" t="n">
        <v>463129</v>
      </c>
      <c r="K692" s="27" t="n">
        <v>463129</v>
      </c>
      <c r="L692" s="9" t="n">
        <f aca="false">IF(AND(K692&lt;&gt;"",J692&lt;Assumptions!$B$3*K692),K692,J692)</f>
        <v>463129</v>
      </c>
      <c r="M692" s="21" t="str">
        <f aca="false">IF(L692=J692,"FERC Form 1","EIA-861")</f>
        <v>FERC Form 1</v>
      </c>
      <c r="N692" s="28" t="n">
        <f aca="false">E692+F692+G692</f>
        <v>126.604499</v>
      </c>
    </row>
    <row r="693" customFormat="false" ht="15" hidden="false" customHeight="false" outlineLevel="0" collapsed="false">
      <c r="A693" s="7" t="n">
        <v>2024</v>
      </c>
      <c r="B693" s="15" t="s">
        <v>157</v>
      </c>
      <c r="C693" s="15" t="s">
        <v>135</v>
      </c>
      <c r="D693" s="15" t="s">
        <v>148</v>
      </c>
      <c r="E693" s="19" t="n">
        <v>35.353155</v>
      </c>
      <c r="F693" s="19" t="n">
        <v>40.642412</v>
      </c>
      <c r="G693" s="19" t="n">
        <v>60.21519</v>
      </c>
      <c r="H693" s="19" t="n">
        <v>186.713256</v>
      </c>
      <c r="I693" s="19" t="n">
        <v>2488.113671</v>
      </c>
      <c r="J693" s="27" t="n">
        <v>467910</v>
      </c>
      <c r="K693" s="27" t="n">
        <v>467910</v>
      </c>
      <c r="L693" s="9" t="n">
        <f aca="false">IF(AND(K693&lt;&gt;"",J693&lt;Assumptions!$B$3*K693),K693,J693)</f>
        <v>467910</v>
      </c>
      <c r="M693" s="21" t="str">
        <f aca="false">IF(L693=J693,"FERC Form 1","EIA-861")</f>
        <v>FERC Form 1</v>
      </c>
      <c r="N693" s="28" t="n">
        <f aca="false">E693+F693+G693</f>
        <v>136.210757</v>
      </c>
    </row>
    <row r="694" customFormat="false" ht="15" hidden="false" customHeight="false" outlineLevel="0" collapsed="false">
      <c r="A694" s="7" t="n">
        <v>2025</v>
      </c>
      <c r="B694" s="15" t="s">
        <v>157</v>
      </c>
      <c r="C694" s="15" t="s">
        <v>135</v>
      </c>
      <c r="D694" s="15" t="s">
        <v>148</v>
      </c>
      <c r="E694" s="19" t="n">
        <v>45.865031</v>
      </c>
      <c r="F694" s="19" t="n">
        <v>41.917457</v>
      </c>
      <c r="G694" s="19" t="n">
        <v>66.353524</v>
      </c>
      <c r="H694" s="19" t="n">
        <v>211.63783</v>
      </c>
      <c r="I694" s="19" t="n">
        <v>2700.486243</v>
      </c>
      <c r="J694" s="27" t="n">
        <v>472199</v>
      </c>
      <c r="K694" s="27" t="n">
        <v>472199</v>
      </c>
      <c r="L694" s="9" t="n">
        <f aca="false">IF(AND(K694&lt;&gt;"",J694&lt;Assumptions!$B$3*K694),K694,J694)</f>
        <v>472199</v>
      </c>
      <c r="M694" s="21" t="str">
        <f aca="false">IF(L694=J694,"FERC Form 1","EIA-861")</f>
        <v>FERC Form 1</v>
      </c>
      <c r="N694" s="28" t="n">
        <f aca="false">E694+F694+G694</f>
        <v>154.136012</v>
      </c>
    </row>
    <row r="695" customFormat="false" ht="15" hidden="false" customHeight="false" outlineLevel="0" collapsed="false">
      <c r="A695" s="7" t="n">
        <v>2000</v>
      </c>
      <c r="B695" s="15" t="s">
        <v>117</v>
      </c>
      <c r="C695" s="15" t="s">
        <v>118</v>
      </c>
      <c r="D695" s="15" t="s">
        <v>103</v>
      </c>
      <c r="E695" s="19" t="n">
        <v>98.937796</v>
      </c>
      <c r="F695" s="19" t="n">
        <v>76.065082</v>
      </c>
      <c r="G695" s="19" t="n">
        <v>78.984041</v>
      </c>
      <c r="H695" s="19" t="n">
        <v>145.202089</v>
      </c>
      <c r="I695" s="19" t="n">
        <v>2135.205715</v>
      </c>
      <c r="J695" s="27" t="n">
        <v>1354690</v>
      </c>
      <c r="K695" s="27"/>
      <c r="L695" s="9" t="n">
        <f aca="false">IF(AND(K695&lt;&gt;"",J695&lt;Assumptions!$B$3*K695),K695,J695)</f>
        <v>1354690</v>
      </c>
      <c r="M695" s="21" t="str">
        <f aca="false">IF(L695=J695,"FERC Form 1","EIA-861")</f>
        <v>FERC Form 1</v>
      </c>
      <c r="N695" s="28" t="n">
        <f aca="false">E695+F695+G695</f>
        <v>253.986919</v>
      </c>
    </row>
    <row r="696" customFormat="false" ht="15" hidden="false" customHeight="false" outlineLevel="0" collapsed="false">
      <c r="A696" s="7" t="n">
        <v>2001</v>
      </c>
      <c r="B696" s="15" t="s">
        <v>117</v>
      </c>
      <c r="C696" s="15" t="s">
        <v>118</v>
      </c>
      <c r="D696" s="15" t="s">
        <v>103</v>
      </c>
      <c r="E696" s="19" t="n">
        <v>101.181507</v>
      </c>
      <c r="F696" s="19" t="n">
        <v>85.498352</v>
      </c>
      <c r="G696" s="19" t="n">
        <v>82.625357</v>
      </c>
      <c r="H696" s="19" t="n">
        <v>133.763007</v>
      </c>
      <c r="I696" s="19" t="n">
        <v>2238.099619</v>
      </c>
      <c r="J696" s="27" t="n">
        <v>1370116</v>
      </c>
      <c r="K696" s="27" t="n">
        <v>1370117</v>
      </c>
      <c r="L696" s="9" t="n">
        <f aca="false">IF(AND(K696&lt;&gt;"",J696&lt;Assumptions!$B$3*K696),K696,J696)</f>
        <v>1370116</v>
      </c>
      <c r="M696" s="21" t="str">
        <f aca="false">IF(L696=J696,"FERC Form 1","EIA-861")</f>
        <v>FERC Form 1</v>
      </c>
      <c r="N696" s="28" t="n">
        <f aca="false">E696+F696+G696</f>
        <v>269.305216</v>
      </c>
    </row>
    <row r="697" customFormat="false" ht="15" hidden="false" customHeight="false" outlineLevel="0" collapsed="false">
      <c r="A697" s="7" t="n">
        <v>2002</v>
      </c>
      <c r="B697" s="15" t="s">
        <v>117</v>
      </c>
      <c r="C697" s="15" t="s">
        <v>118</v>
      </c>
      <c r="D697" s="15" t="s">
        <v>103</v>
      </c>
      <c r="E697" s="19" t="n">
        <v>100.228964</v>
      </c>
      <c r="F697" s="19" t="n">
        <v>83.462876</v>
      </c>
      <c r="G697" s="19" t="n">
        <v>86.975338</v>
      </c>
      <c r="H697" s="19" t="n">
        <v>116.494436</v>
      </c>
      <c r="I697" s="19" t="n">
        <v>2321.45025</v>
      </c>
      <c r="J697" s="27" t="n">
        <v>1383319</v>
      </c>
      <c r="K697" s="27" t="n">
        <v>1383319</v>
      </c>
      <c r="L697" s="9" t="n">
        <f aca="false">IF(AND(K697&lt;&gt;"",J697&lt;Assumptions!$B$3*K697),K697,J697)</f>
        <v>1383319</v>
      </c>
      <c r="M697" s="21" t="str">
        <f aca="false">IF(L697=J697,"FERC Form 1","EIA-861")</f>
        <v>FERC Form 1</v>
      </c>
      <c r="N697" s="28" t="n">
        <f aca="false">E697+F697+G697</f>
        <v>270.667178</v>
      </c>
    </row>
    <row r="698" customFormat="false" ht="15" hidden="false" customHeight="false" outlineLevel="0" collapsed="false">
      <c r="A698" s="7" t="n">
        <v>2003</v>
      </c>
      <c r="B698" s="15" t="s">
        <v>117</v>
      </c>
      <c r="C698" s="15" t="s">
        <v>118</v>
      </c>
      <c r="D698" s="15" t="s">
        <v>103</v>
      </c>
      <c r="E698" s="19" t="n">
        <v>115.757544</v>
      </c>
      <c r="F698" s="19" t="n">
        <v>87.940149</v>
      </c>
      <c r="G698" s="19" t="n">
        <v>89.319661</v>
      </c>
      <c r="H698" s="19" t="n">
        <v>117.534517</v>
      </c>
      <c r="I698" s="19" t="n">
        <v>2409.24178</v>
      </c>
      <c r="J698" s="27" t="n">
        <v>1394407</v>
      </c>
      <c r="K698" s="27" t="n">
        <v>1394407</v>
      </c>
      <c r="L698" s="9" t="n">
        <f aca="false">IF(AND(K698&lt;&gt;"",J698&lt;Assumptions!$B$3*K698),K698,J698)</f>
        <v>1394407</v>
      </c>
      <c r="M698" s="21" t="str">
        <f aca="false">IF(L698=J698,"FERC Form 1","EIA-861")</f>
        <v>FERC Form 1</v>
      </c>
      <c r="N698" s="28" t="n">
        <f aca="false">E698+F698+G698</f>
        <v>293.017354</v>
      </c>
    </row>
    <row r="699" customFormat="false" ht="15" hidden="false" customHeight="false" outlineLevel="0" collapsed="false">
      <c r="A699" s="7" t="n">
        <v>2004</v>
      </c>
      <c r="B699" s="15" t="s">
        <v>117</v>
      </c>
      <c r="C699" s="15" t="s">
        <v>118</v>
      </c>
      <c r="D699" s="15" t="s">
        <v>103</v>
      </c>
      <c r="E699" s="19" t="n">
        <v>141.914051</v>
      </c>
      <c r="F699" s="19" t="n">
        <v>96.147976</v>
      </c>
      <c r="G699" s="19" t="n">
        <v>92.67209</v>
      </c>
      <c r="H699" s="19" t="n">
        <v>129.389811</v>
      </c>
      <c r="I699" s="19" t="n">
        <v>2501.397374</v>
      </c>
      <c r="J699" s="27" t="n">
        <v>1410135</v>
      </c>
      <c r="K699" s="27" t="n">
        <v>1410135</v>
      </c>
      <c r="L699" s="9" t="n">
        <f aca="false">IF(AND(K699&lt;&gt;"",J699&lt;Assumptions!$B$3*K699),K699,J699)</f>
        <v>1410135</v>
      </c>
      <c r="M699" s="21" t="str">
        <f aca="false">IF(L699=J699,"FERC Form 1","EIA-861")</f>
        <v>FERC Form 1</v>
      </c>
      <c r="N699" s="28" t="n">
        <f aca="false">E699+F699+G699</f>
        <v>330.734117</v>
      </c>
    </row>
    <row r="700" customFormat="false" ht="15" hidden="false" customHeight="false" outlineLevel="0" collapsed="false">
      <c r="A700" s="7" t="n">
        <v>2005</v>
      </c>
      <c r="B700" s="15" t="s">
        <v>117</v>
      </c>
      <c r="C700" s="15" t="s">
        <v>118</v>
      </c>
      <c r="D700" s="15" t="s">
        <v>103</v>
      </c>
      <c r="E700" s="19" t="n">
        <v>139.96691</v>
      </c>
      <c r="F700" s="19" t="n">
        <v>93.40766</v>
      </c>
      <c r="G700" s="19" t="n">
        <v>95.987474</v>
      </c>
      <c r="H700" s="19" t="n">
        <v>134.440739</v>
      </c>
      <c r="I700" s="19" t="n">
        <v>2594.529443</v>
      </c>
      <c r="J700" s="27" t="n">
        <v>1418128</v>
      </c>
      <c r="K700" s="27" t="n">
        <v>1418128</v>
      </c>
      <c r="L700" s="9" t="n">
        <f aca="false">IF(AND(K700&lt;&gt;"",J700&lt;Assumptions!$B$3*K700),K700,J700)</f>
        <v>1418128</v>
      </c>
      <c r="M700" s="21" t="str">
        <f aca="false">IF(L700=J700,"FERC Form 1","EIA-861")</f>
        <v>FERC Form 1</v>
      </c>
      <c r="N700" s="28" t="n">
        <f aca="false">E700+F700+G700</f>
        <v>329.362044</v>
      </c>
    </row>
    <row r="701" customFormat="false" ht="15" hidden="false" customHeight="false" outlineLevel="0" collapsed="false">
      <c r="A701" s="7" t="n">
        <v>2006</v>
      </c>
      <c r="B701" s="15" t="s">
        <v>117</v>
      </c>
      <c r="C701" s="15" t="s">
        <v>118</v>
      </c>
      <c r="D701" s="15" t="s">
        <v>103</v>
      </c>
      <c r="E701" s="19" t="n">
        <v>113.73831</v>
      </c>
      <c r="F701" s="19" t="n">
        <v>95.901185</v>
      </c>
      <c r="G701" s="19" t="n">
        <v>102.185367</v>
      </c>
      <c r="H701" s="19" t="n">
        <v>250.291918</v>
      </c>
      <c r="I701" s="19" t="n">
        <v>2795.466692</v>
      </c>
      <c r="J701" s="27" t="n">
        <v>1450161</v>
      </c>
      <c r="K701" s="27" t="n">
        <v>1450293</v>
      </c>
      <c r="L701" s="9" t="n">
        <f aca="false">IF(AND(K701&lt;&gt;"",J701&lt;Assumptions!$B$3*K701),K701,J701)</f>
        <v>1450161</v>
      </c>
      <c r="M701" s="21" t="str">
        <f aca="false">IF(L701=J701,"FERC Form 1","EIA-861")</f>
        <v>FERC Form 1</v>
      </c>
      <c r="N701" s="28" t="n">
        <f aca="false">E701+F701+G701</f>
        <v>311.824862</v>
      </c>
    </row>
    <row r="702" customFormat="false" ht="15" hidden="false" customHeight="false" outlineLevel="0" collapsed="false">
      <c r="A702" s="7" t="n">
        <v>2007</v>
      </c>
      <c r="B702" s="15" t="s">
        <v>117</v>
      </c>
      <c r="C702" s="15" t="s">
        <v>118</v>
      </c>
      <c r="D702" s="15" t="s">
        <v>103</v>
      </c>
      <c r="E702" s="19" t="n">
        <v>128.857366</v>
      </c>
      <c r="F702" s="19" t="n">
        <v>94.402228</v>
      </c>
      <c r="G702" s="19" t="n">
        <v>108.221271</v>
      </c>
      <c r="H702" s="19" t="n">
        <v>198.161195</v>
      </c>
      <c r="I702" s="19" t="n">
        <v>2945.592662</v>
      </c>
      <c r="J702" s="27" t="n">
        <v>1456539</v>
      </c>
      <c r="K702" s="27" t="n">
        <v>1456539</v>
      </c>
      <c r="L702" s="9" t="n">
        <f aca="false">IF(AND(K702&lt;&gt;"",J702&lt;Assumptions!$B$3*K702),K702,J702)</f>
        <v>1456539</v>
      </c>
      <c r="M702" s="21" t="str">
        <f aca="false">IF(L702=J702,"FERC Form 1","EIA-861")</f>
        <v>FERC Form 1</v>
      </c>
      <c r="N702" s="28" t="n">
        <f aca="false">E702+F702+G702</f>
        <v>331.480865</v>
      </c>
    </row>
    <row r="703" customFormat="false" ht="15" hidden="false" customHeight="false" outlineLevel="0" collapsed="false">
      <c r="A703" s="7" t="n">
        <v>2008</v>
      </c>
      <c r="B703" s="15" t="s">
        <v>117</v>
      </c>
      <c r="C703" s="15" t="s">
        <v>118</v>
      </c>
      <c r="D703" s="15" t="s">
        <v>103</v>
      </c>
      <c r="E703" s="19" t="n">
        <v>131.914826</v>
      </c>
      <c r="F703" s="19" t="n">
        <v>119.408004</v>
      </c>
      <c r="G703" s="19" t="n">
        <v>112.204358</v>
      </c>
      <c r="H703" s="19" t="n">
        <v>201.187267</v>
      </c>
      <c r="I703" s="19" t="n">
        <v>3095.333768</v>
      </c>
      <c r="J703" s="27" t="n">
        <v>1458546</v>
      </c>
      <c r="K703" s="27" t="n">
        <v>1458546</v>
      </c>
      <c r="L703" s="9" t="n">
        <f aca="false">IF(AND(K703&lt;&gt;"",J703&lt;Assumptions!$B$3*K703),K703,J703)</f>
        <v>1458546</v>
      </c>
      <c r="M703" s="21" t="str">
        <f aca="false">IF(L703=J703,"FERC Form 1","EIA-861")</f>
        <v>FERC Form 1</v>
      </c>
      <c r="N703" s="28" t="n">
        <f aca="false">E703+F703+G703</f>
        <v>363.527188</v>
      </c>
    </row>
    <row r="704" customFormat="false" ht="15" hidden="false" customHeight="false" outlineLevel="0" collapsed="false">
      <c r="A704" s="7" t="n">
        <v>2009</v>
      </c>
      <c r="B704" s="15" t="s">
        <v>117</v>
      </c>
      <c r="C704" s="15" t="s">
        <v>118</v>
      </c>
      <c r="D704" s="15" t="s">
        <v>103</v>
      </c>
      <c r="E704" s="19" t="n">
        <v>153.805118</v>
      </c>
      <c r="F704" s="19" t="n">
        <v>102.722086</v>
      </c>
      <c r="G704" s="19" t="n">
        <v>119.629866</v>
      </c>
      <c r="H704" s="19" t="n">
        <v>269.128448</v>
      </c>
      <c r="I704" s="19" t="n">
        <v>3309.752567</v>
      </c>
      <c r="J704" s="27" t="n">
        <v>1459353</v>
      </c>
      <c r="K704" s="27" t="n">
        <v>1459356</v>
      </c>
      <c r="L704" s="9" t="n">
        <f aca="false">IF(AND(K704&lt;&gt;"",J704&lt;Assumptions!$B$3*K704),K704,J704)</f>
        <v>1459353</v>
      </c>
      <c r="M704" s="21" t="str">
        <f aca="false">IF(L704=J704,"FERC Form 1","EIA-861")</f>
        <v>FERC Form 1</v>
      </c>
      <c r="N704" s="28" t="n">
        <f aca="false">E704+F704+G704</f>
        <v>376.15707</v>
      </c>
    </row>
    <row r="705" customFormat="false" ht="15" hidden="false" customHeight="false" outlineLevel="0" collapsed="false">
      <c r="A705" s="7" t="n">
        <v>2010</v>
      </c>
      <c r="B705" s="15" t="s">
        <v>117</v>
      </c>
      <c r="C705" s="15" t="s">
        <v>118</v>
      </c>
      <c r="D705" s="15" t="s">
        <v>103</v>
      </c>
      <c r="E705" s="19" t="n">
        <v>178.627286</v>
      </c>
      <c r="F705" s="19" t="n">
        <v>179.15741</v>
      </c>
      <c r="G705" s="19" t="n">
        <v>124.038506</v>
      </c>
      <c r="H705" s="19" t="n">
        <v>160.331328</v>
      </c>
      <c r="I705" s="19" t="n">
        <v>3417.861901</v>
      </c>
      <c r="J705" s="27" t="n">
        <v>1458547</v>
      </c>
      <c r="K705" s="27" t="n">
        <v>1458570</v>
      </c>
      <c r="L705" s="9" t="n">
        <f aca="false">IF(AND(K705&lt;&gt;"",J705&lt;Assumptions!$B$3*K705),K705,J705)</f>
        <v>1458547</v>
      </c>
      <c r="M705" s="21" t="str">
        <f aca="false">IF(L705=J705,"FERC Form 1","EIA-861")</f>
        <v>FERC Form 1</v>
      </c>
      <c r="N705" s="28" t="n">
        <f aca="false">E705+F705+G705</f>
        <v>481.823202</v>
      </c>
    </row>
    <row r="706" customFormat="false" ht="15" hidden="false" customHeight="false" outlineLevel="0" collapsed="false">
      <c r="A706" s="7" t="n">
        <v>2011</v>
      </c>
      <c r="B706" s="15" t="s">
        <v>117</v>
      </c>
      <c r="C706" s="15" t="s">
        <v>118</v>
      </c>
      <c r="D706" s="15" t="s">
        <v>103</v>
      </c>
      <c r="E706" s="19" t="n">
        <v>141.745304</v>
      </c>
      <c r="F706" s="19" t="n">
        <v>236.187195</v>
      </c>
      <c r="G706" s="19" t="n">
        <v>126.973126</v>
      </c>
      <c r="H706" s="19" t="n">
        <v>163.892825</v>
      </c>
      <c r="I706" s="19" t="n">
        <v>3540.883305</v>
      </c>
      <c r="J706" s="27" t="n">
        <v>1459875</v>
      </c>
      <c r="K706" s="27" t="n">
        <v>1459876</v>
      </c>
      <c r="L706" s="9" t="n">
        <f aca="false">IF(AND(K706&lt;&gt;"",J706&lt;Assumptions!$B$3*K706),K706,J706)</f>
        <v>1459875</v>
      </c>
      <c r="M706" s="21" t="str">
        <f aca="false">IF(L706=J706,"FERC Form 1","EIA-861")</f>
        <v>FERC Form 1</v>
      </c>
      <c r="N706" s="28" t="n">
        <f aca="false">E706+F706+G706</f>
        <v>504.905625</v>
      </c>
    </row>
    <row r="707" customFormat="false" ht="15" hidden="false" customHeight="false" outlineLevel="0" collapsed="false">
      <c r="A707" s="7" t="n">
        <v>2012</v>
      </c>
      <c r="B707" s="15" t="s">
        <v>117</v>
      </c>
      <c r="C707" s="15" t="s">
        <v>118</v>
      </c>
      <c r="D707" s="15" t="s">
        <v>103</v>
      </c>
      <c r="E707" s="19" t="n">
        <v>155.564708</v>
      </c>
      <c r="F707" s="19" t="n">
        <v>237.86413</v>
      </c>
      <c r="G707" s="19" t="n">
        <v>94.896667</v>
      </c>
      <c r="H707" s="19" t="n">
        <v>230.563222</v>
      </c>
      <c r="I707" s="19" t="n">
        <v>3718.113471</v>
      </c>
      <c r="J707" s="27" t="n">
        <v>1460393</v>
      </c>
      <c r="K707" s="27" t="n">
        <v>1460393</v>
      </c>
      <c r="L707" s="9" t="n">
        <f aca="false">IF(AND(K707&lt;&gt;"",J707&lt;Assumptions!$B$3*K707),K707,J707)</f>
        <v>1460393</v>
      </c>
      <c r="M707" s="21" t="str">
        <f aca="false">IF(L707=J707,"FERC Form 1","EIA-861")</f>
        <v>FERC Form 1</v>
      </c>
      <c r="N707" s="28" t="n">
        <f aca="false">E707+F707+G707</f>
        <v>488.325505</v>
      </c>
    </row>
    <row r="708" customFormat="false" ht="15" hidden="false" customHeight="false" outlineLevel="0" collapsed="false">
      <c r="A708" s="7" t="n">
        <v>2013</v>
      </c>
      <c r="B708" s="15" t="s">
        <v>117</v>
      </c>
      <c r="C708" s="15" t="s">
        <v>118</v>
      </c>
      <c r="D708" s="15" t="s">
        <v>103</v>
      </c>
      <c r="E708" s="19" t="n">
        <v>136.595522</v>
      </c>
      <c r="F708" s="19" t="n">
        <v>327.017069</v>
      </c>
      <c r="G708" s="19" t="n">
        <v>102.265955</v>
      </c>
      <c r="H708" s="19" t="n">
        <v>210.569966</v>
      </c>
      <c r="I708" s="19" t="n">
        <v>3872.948452</v>
      </c>
      <c r="J708" s="27" t="n">
        <v>1460980</v>
      </c>
      <c r="K708" s="27" t="n">
        <v>1460980</v>
      </c>
      <c r="L708" s="9" t="n">
        <f aca="false">IF(AND(K708&lt;&gt;"",J708&lt;Assumptions!$B$3*K708),K708,J708)</f>
        <v>1460980</v>
      </c>
      <c r="M708" s="21" t="str">
        <f aca="false">IF(L708=J708,"FERC Form 1","EIA-861")</f>
        <v>FERC Form 1</v>
      </c>
      <c r="N708" s="28" t="n">
        <f aca="false">E708+F708+G708</f>
        <v>565.878546</v>
      </c>
    </row>
    <row r="709" customFormat="false" ht="15" hidden="false" customHeight="false" outlineLevel="0" collapsed="false">
      <c r="A709" s="7" t="n">
        <v>2014</v>
      </c>
      <c r="B709" s="15" t="s">
        <v>117</v>
      </c>
      <c r="C709" s="15" t="s">
        <v>118</v>
      </c>
      <c r="D709" s="15" t="s">
        <v>103</v>
      </c>
      <c r="E709" s="19" t="n">
        <v>187.98058</v>
      </c>
      <c r="F709" s="19" t="n">
        <v>320.620625</v>
      </c>
      <c r="G709" s="19" t="n">
        <v>118.870055</v>
      </c>
      <c r="H709" s="19" t="n">
        <v>255.519611</v>
      </c>
      <c r="I709" s="19" t="n">
        <v>4083.984333</v>
      </c>
      <c r="J709" s="27" t="n">
        <v>1463881</v>
      </c>
      <c r="K709" s="27" t="n">
        <v>1463883</v>
      </c>
      <c r="L709" s="9" t="n">
        <f aca="false">IF(AND(K709&lt;&gt;"",J709&lt;Assumptions!$B$3*K709),K709,J709)</f>
        <v>1463881</v>
      </c>
      <c r="M709" s="21" t="str">
        <f aca="false">IF(L709=J709,"FERC Form 1","EIA-861")</f>
        <v>FERC Form 1</v>
      </c>
      <c r="N709" s="28" t="n">
        <f aca="false">E709+F709+G709</f>
        <v>627.47126</v>
      </c>
    </row>
    <row r="710" customFormat="false" ht="15" hidden="false" customHeight="false" outlineLevel="0" collapsed="false">
      <c r="A710" s="7" t="n">
        <v>2015</v>
      </c>
      <c r="B710" s="15" t="s">
        <v>117</v>
      </c>
      <c r="C710" s="15" t="s">
        <v>118</v>
      </c>
      <c r="D710" s="15" t="s">
        <v>103</v>
      </c>
      <c r="E710" s="19" t="n">
        <v>189.705305</v>
      </c>
      <c r="F710" s="19" t="n">
        <v>293.193701</v>
      </c>
      <c r="G710" s="19" t="n">
        <v>109.935954</v>
      </c>
      <c r="H710" s="19" t="n">
        <v>271.496682</v>
      </c>
      <c r="I710" s="19" t="n">
        <v>4284.075232</v>
      </c>
      <c r="J710" s="27" t="n">
        <v>1464068</v>
      </c>
      <c r="K710" s="27" t="n">
        <v>1464068</v>
      </c>
      <c r="L710" s="9" t="n">
        <f aca="false">IF(AND(K710&lt;&gt;"",J710&lt;Assumptions!$B$3*K710),K710,J710)</f>
        <v>1464068</v>
      </c>
      <c r="M710" s="21" t="str">
        <f aca="false">IF(L710=J710,"FERC Form 1","EIA-861")</f>
        <v>FERC Form 1</v>
      </c>
      <c r="N710" s="28" t="n">
        <f aca="false">E710+F710+G710</f>
        <v>592.83496</v>
      </c>
    </row>
    <row r="711" customFormat="false" ht="15" hidden="false" customHeight="false" outlineLevel="0" collapsed="false">
      <c r="A711" s="7" t="n">
        <v>2016</v>
      </c>
      <c r="B711" s="15" t="s">
        <v>117</v>
      </c>
      <c r="C711" s="15" t="s">
        <v>118</v>
      </c>
      <c r="D711" s="15" t="s">
        <v>103</v>
      </c>
      <c r="E711" s="19" t="n">
        <v>192.51348</v>
      </c>
      <c r="F711" s="19" t="n">
        <v>313.450651</v>
      </c>
      <c r="G711" s="19" t="n">
        <v>127.553063</v>
      </c>
      <c r="H711" s="19" t="n">
        <v>229.540882</v>
      </c>
      <c r="I711" s="19" t="n">
        <v>4454.773907</v>
      </c>
      <c r="J711" s="27" t="n">
        <v>1467725</v>
      </c>
      <c r="K711" s="27" t="n">
        <v>1467725</v>
      </c>
      <c r="L711" s="9" t="n">
        <f aca="false">IF(AND(K711&lt;&gt;"",J711&lt;Assumptions!$B$3*K711),K711,J711)</f>
        <v>1467725</v>
      </c>
      <c r="M711" s="21" t="str">
        <f aca="false">IF(L711=J711,"FERC Form 1","EIA-861")</f>
        <v>FERC Form 1</v>
      </c>
      <c r="N711" s="28" t="n">
        <f aca="false">E711+F711+G711</f>
        <v>633.517194</v>
      </c>
    </row>
    <row r="712" customFormat="false" ht="15" hidden="false" customHeight="false" outlineLevel="0" collapsed="false">
      <c r="A712" s="7" t="n">
        <v>2017</v>
      </c>
      <c r="B712" s="15" t="s">
        <v>117</v>
      </c>
      <c r="C712" s="15" t="s">
        <v>118</v>
      </c>
      <c r="D712" s="15" t="s">
        <v>103</v>
      </c>
      <c r="E712" s="19" t="n">
        <v>177.92899</v>
      </c>
      <c r="F712" s="19" t="n">
        <v>123.96677</v>
      </c>
      <c r="G712" s="19" t="n">
        <v>119.759386</v>
      </c>
      <c r="H712" s="19" t="n">
        <v>224.80352</v>
      </c>
      <c r="I712" s="19" t="n">
        <v>4623.848247</v>
      </c>
      <c r="J712" s="27" t="n">
        <v>1472768</v>
      </c>
      <c r="K712" s="27" t="n">
        <v>1472768</v>
      </c>
      <c r="L712" s="9" t="n">
        <f aca="false">IF(AND(K712&lt;&gt;"",J712&lt;Assumptions!$B$3*K712),K712,J712)</f>
        <v>1472768</v>
      </c>
      <c r="M712" s="21" t="str">
        <f aca="false">IF(L712=J712,"FERC Form 1","EIA-861")</f>
        <v>FERC Form 1</v>
      </c>
      <c r="N712" s="28" t="n">
        <f aca="false">E712+F712+G712</f>
        <v>421.655146</v>
      </c>
    </row>
    <row r="713" customFormat="false" ht="15" hidden="false" customHeight="false" outlineLevel="0" collapsed="false">
      <c r="A713" s="7" t="n">
        <v>2018</v>
      </c>
      <c r="B713" s="15" t="s">
        <v>117</v>
      </c>
      <c r="C713" s="15" t="s">
        <v>118</v>
      </c>
      <c r="D713" s="15" t="s">
        <v>103</v>
      </c>
      <c r="E713" s="19" t="n">
        <v>194.083311</v>
      </c>
      <c r="F713" s="19" t="n">
        <v>200.629287</v>
      </c>
      <c r="G713" s="19" t="n">
        <v>143.04313</v>
      </c>
      <c r="H713" s="19" t="n">
        <v>407.686236</v>
      </c>
      <c r="I713" s="19" t="n">
        <v>4939.75548</v>
      </c>
      <c r="J713" s="27" t="n">
        <v>1484322</v>
      </c>
      <c r="K713" s="27" t="n">
        <v>1484321</v>
      </c>
      <c r="L713" s="9" t="n">
        <f aca="false">IF(AND(K713&lt;&gt;"",J713&lt;Assumptions!$B$3*K713),K713,J713)</f>
        <v>1484322</v>
      </c>
      <c r="M713" s="21" t="str">
        <f aca="false">IF(L713=J713,"FERC Form 1","EIA-861")</f>
        <v>FERC Form 1</v>
      </c>
      <c r="N713" s="28" t="n">
        <f aca="false">E713+F713+G713</f>
        <v>537.755728</v>
      </c>
    </row>
    <row r="714" customFormat="false" ht="15" hidden="false" customHeight="false" outlineLevel="0" collapsed="false">
      <c r="A714" s="7" t="n">
        <v>2019</v>
      </c>
      <c r="B714" s="15" t="s">
        <v>117</v>
      </c>
      <c r="C714" s="15" t="s">
        <v>118</v>
      </c>
      <c r="D714" s="15" t="s">
        <v>103</v>
      </c>
      <c r="E714" s="19" t="n">
        <v>179.542678</v>
      </c>
      <c r="F714" s="19" t="n">
        <v>210.875099</v>
      </c>
      <c r="G714" s="19" t="n">
        <v>137.859619</v>
      </c>
      <c r="H714" s="19" t="n">
        <v>475.966231</v>
      </c>
      <c r="I714" s="19" t="n">
        <v>5320.952421</v>
      </c>
      <c r="J714" s="27" t="n">
        <v>1490120</v>
      </c>
      <c r="K714" s="27" t="n">
        <v>1490119</v>
      </c>
      <c r="L714" s="9" t="n">
        <f aca="false">IF(AND(K714&lt;&gt;"",J714&lt;Assumptions!$B$3*K714),K714,J714)</f>
        <v>1490120</v>
      </c>
      <c r="M714" s="21" t="str">
        <f aca="false">IF(L714=J714,"FERC Form 1","EIA-861")</f>
        <v>FERC Form 1</v>
      </c>
      <c r="N714" s="28" t="n">
        <f aca="false">E714+F714+G714</f>
        <v>528.277396</v>
      </c>
    </row>
    <row r="715" customFormat="false" ht="15" hidden="false" customHeight="false" outlineLevel="0" collapsed="false">
      <c r="A715" s="7" t="n">
        <v>2020</v>
      </c>
      <c r="B715" s="15" t="s">
        <v>117</v>
      </c>
      <c r="C715" s="15" t="s">
        <v>118</v>
      </c>
      <c r="D715" s="15" t="s">
        <v>103</v>
      </c>
      <c r="E715" s="19" t="n">
        <v>172.757354</v>
      </c>
      <c r="F715" s="19" t="n">
        <v>222.986653</v>
      </c>
      <c r="G715" s="19" t="n">
        <v>171.933838</v>
      </c>
      <c r="H715" s="19" t="n">
        <v>447.014415</v>
      </c>
      <c r="I715" s="19" t="n">
        <v>5706.016684</v>
      </c>
      <c r="J715" s="27" t="n">
        <v>1501568</v>
      </c>
      <c r="K715" s="27" t="n">
        <v>1501570</v>
      </c>
      <c r="L715" s="9" t="n">
        <f aca="false">IF(AND(K715&lt;&gt;"",J715&lt;Assumptions!$B$3*K715),K715,J715)</f>
        <v>1501568</v>
      </c>
      <c r="M715" s="21" t="str">
        <f aca="false">IF(L715=J715,"FERC Form 1","EIA-861")</f>
        <v>FERC Form 1</v>
      </c>
      <c r="N715" s="28" t="n">
        <f aca="false">E715+F715+G715</f>
        <v>567.677845</v>
      </c>
    </row>
    <row r="716" customFormat="false" ht="15" hidden="false" customHeight="false" outlineLevel="0" collapsed="false">
      <c r="A716" s="7" t="n">
        <v>2021</v>
      </c>
      <c r="B716" s="15" t="s">
        <v>117</v>
      </c>
      <c r="C716" s="15" t="s">
        <v>118</v>
      </c>
      <c r="D716" s="15" t="s">
        <v>103</v>
      </c>
      <c r="E716" s="19" t="n">
        <v>187.848983</v>
      </c>
      <c r="F716" s="19" t="n">
        <v>116.844983</v>
      </c>
      <c r="G716" s="19" t="n">
        <v>179.242741</v>
      </c>
      <c r="H716" s="19" t="n">
        <v>434.32266</v>
      </c>
      <c r="I716" s="19" t="n">
        <v>6068.306961</v>
      </c>
      <c r="J716" s="27" t="n">
        <v>1511444</v>
      </c>
      <c r="K716" s="27" t="n">
        <v>1511448</v>
      </c>
      <c r="L716" s="9" t="n">
        <f aca="false">IF(AND(K716&lt;&gt;"",J716&lt;Assumptions!$B$3*K716),K716,J716)</f>
        <v>1511444</v>
      </c>
      <c r="M716" s="21" t="str">
        <f aca="false">IF(L716=J716,"FERC Form 1","EIA-861")</f>
        <v>FERC Form 1</v>
      </c>
      <c r="N716" s="28" t="n">
        <f aca="false">E716+F716+G716</f>
        <v>483.936707</v>
      </c>
    </row>
    <row r="717" customFormat="false" ht="15" hidden="false" customHeight="false" outlineLevel="0" collapsed="false">
      <c r="A717" s="7" t="n">
        <v>2022</v>
      </c>
      <c r="B717" s="15" t="s">
        <v>117</v>
      </c>
      <c r="C717" s="15" t="s">
        <v>118</v>
      </c>
      <c r="D717" s="15" t="s">
        <v>103</v>
      </c>
      <c r="E717" s="19" t="n">
        <v>214.65905</v>
      </c>
      <c r="F717" s="19" t="n">
        <v>129.922896</v>
      </c>
      <c r="G717" s="19" t="n">
        <v>164.726559</v>
      </c>
      <c r="H717" s="19" t="n">
        <v>455.761279</v>
      </c>
      <c r="I717" s="19" t="n">
        <v>6447.761252</v>
      </c>
      <c r="J717" s="27" t="n">
        <v>1519057</v>
      </c>
      <c r="K717" s="27" t="n">
        <v>1519059</v>
      </c>
      <c r="L717" s="9" t="n">
        <f aca="false">IF(AND(K717&lt;&gt;"",J717&lt;Assumptions!$B$3*K717),K717,J717)</f>
        <v>1519057</v>
      </c>
      <c r="M717" s="21" t="str">
        <f aca="false">IF(L717=J717,"FERC Form 1","EIA-861")</f>
        <v>FERC Form 1</v>
      </c>
      <c r="N717" s="28" t="n">
        <f aca="false">E717+F717+G717</f>
        <v>509.308505</v>
      </c>
    </row>
    <row r="718" customFormat="false" ht="15" hidden="false" customHeight="false" outlineLevel="0" collapsed="false">
      <c r="A718" s="7" t="n">
        <v>2023</v>
      </c>
      <c r="B718" s="15" t="s">
        <v>117</v>
      </c>
      <c r="C718" s="15" t="s">
        <v>118</v>
      </c>
      <c r="D718" s="15" t="s">
        <v>103</v>
      </c>
      <c r="E718" s="19" t="n">
        <v>246.568141</v>
      </c>
      <c r="F718" s="19" t="n">
        <v>224.004858</v>
      </c>
      <c r="G718" s="19" t="n">
        <v>174.153363</v>
      </c>
      <c r="H718" s="19" t="n">
        <v>456.551303</v>
      </c>
      <c r="I718" s="19" t="n">
        <v>6837.295441</v>
      </c>
      <c r="J718" s="27" t="n">
        <v>1523794</v>
      </c>
      <c r="K718" s="27" t="n">
        <v>1523794</v>
      </c>
      <c r="L718" s="9" t="n">
        <f aca="false">IF(AND(K718&lt;&gt;"",J718&lt;Assumptions!$B$3*K718),K718,J718)</f>
        <v>1523794</v>
      </c>
      <c r="M718" s="21" t="str">
        <f aca="false">IF(L718=J718,"FERC Form 1","EIA-861")</f>
        <v>FERC Form 1</v>
      </c>
      <c r="N718" s="28" t="n">
        <f aca="false">E718+F718+G718</f>
        <v>644.726362</v>
      </c>
    </row>
    <row r="719" customFormat="false" ht="15" hidden="false" customHeight="false" outlineLevel="0" collapsed="false">
      <c r="A719" s="7" t="n">
        <v>2024</v>
      </c>
      <c r="B719" s="15" t="s">
        <v>117</v>
      </c>
      <c r="C719" s="15" t="s">
        <v>118</v>
      </c>
      <c r="D719" s="15" t="s">
        <v>103</v>
      </c>
      <c r="E719" s="19" t="n">
        <v>279.979135</v>
      </c>
      <c r="F719" s="19" t="n">
        <v>240.964008</v>
      </c>
      <c r="G719" s="19" t="n">
        <v>235.344751</v>
      </c>
      <c r="H719" s="19" t="n">
        <v>464.668493</v>
      </c>
      <c r="I719" s="19" t="n">
        <v>7288.126983</v>
      </c>
      <c r="J719" s="27" t="n">
        <v>1533266</v>
      </c>
      <c r="K719" s="27" t="n">
        <v>1533265</v>
      </c>
      <c r="L719" s="9" t="n">
        <f aca="false">IF(AND(K719&lt;&gt;"",J719&lt;Assumptions!$B$3*K719),K719,J719)</f>
        <v>1533266</v>
      </c>
      <c r="M719" s="21" t="str">
        <f aca="false">IF(L719=J719,"FERC Form 1","EIA-861")</f>
        <v>FERC Form 1</v>
      </c>
      <c r="N719" s="28" t="n">
        <f aca="false">E719+F719+G719</f>
        <v>756.287894</v>
      </c>
    </row>
    <row r="720" customFormat="false" ht="15" hidden="false" customHeight="false" outlineLevel="0" collapsed="false">
      <c r="A720" s="7" t="n">
        <v>2025</v>
      </c>
      <c r="B720" s="15" t="s">
        <v>117</v>
      </c>
      <c r="C720" s="15" t="s">
        <v>118</v>
      </c>
      <c r="D720" s="15" t="s">
        <v>103</v>
      </c>
      <c r="E720" s="19" t="n">
        <v>274.032055</v>
      </c>
      <c r="F720" s="19" t="n">
        <v>212.585713</v>
      </c>
      <c r="G720" s="19" t="n">
        <v>226.097659</v>
      </c>
      <c r="H720" s="19" t="n">
        <v>552.369448</v>
      </c>
      <c r="I720" s="19" t="n">
        <v>7736.288905</v>
      </c>
      <c r="J720" s="27" t="n">
        <v>1543034</v>
      </c>
      <c r="K720" s="27" t="n">
        <v>1543033</v>
      </c>
      <c r="L720" s="9" t="n">
        <f aca="false">IF(AND(K720&lt;&gt;"",J720&lt;Assumptions!$B$3*K720),K720,J720)</f>
        <v>1543034</v>
      </c>
      <c r="M720" s="21" t="str">
        <f aca="false">IF(L720=J720,"FERC Form 1","EIA-861")</f>
        <v>FERC Form 1</v>
      </c>
      <c r="N720" s="28" t="n">
        <f aca="false">E720+F720+G720</f>
        <v>712.715427</v>
      </c>
    </row>
    <row r="721" customFormat="false" ht="15" hidden="false" customHeight="false" outlineLevel="0" collapsed="false">
      <c r="A721" s="7" t="n">
        <v>2000</v>
      </c>
      <c r="B721" s="15" t="s">
        <v>119</v>
      </c>
      <c r="C721" s="15" t="s">
        <v>118</v>
      </c>
      <c r="D721" s="15" t="s">
        <v>103</v>
      </c>
      <c r="E721" s="19" t="n">
        <v>23.561136</v>
      </c>
      <c r="F721" s="19" t="n">
        <v>34.003834</v>
      </c>
      <c r="G721" s="19" t="n">
        <v>30.277266</v>
      </c>
      <c r="H721" s="19" t="n">
        <v>25.959165</v>
      </c>
      <c r="I721" s="19" t="n">
        <v>833.277872</v>
      </c>
      <c r="J721" s="27" t="n">
        <v>496623</v>
      </c>
      <c r="K721" s="27"/>
      <c r="L721" s="9" t="n">
        <f aca="false">IF(AND(K721&lt;&gt;"",J721&lt;Assumptions!$B$3*K721),K721,J721)</f>
        <v>496623</v>
      </c>
      <c r="M721" s="21" t="str">
        <f aca="false">IF(L721=J721,"FERC Form 1","EIA-861")</f>
        <v>FERC Form 1</v>
      </c>
      <c r="N721" s="28" t="n">
        <f aca="false">E721+F721+G721</f>
        <v>87.842236</v>
      </c>
    </row>
    <row r="722" customFormat="false" ht="15" hidden="false" customHeight="false" outlineLevel="0" collapsed="false">
      <c r="A722" s="7" t="n">
        <v>2001</v>
      </c>
      <c r="B722" s="15" t="s">
        <v>119</v>
      </c>
      <c r="C722" s="15" t="s">
        <v>118</v>
      </c>
      <c r="D722" s="15" t="s">
        <v>103</v>
      </c>
      <c r="E722" s="19" t="n">
        <v>22.184488</v>
      </c>
      <c r="F722" s="19" t="n">
        <v>29.964885</v>
      </c>
      <c r="G722" s="19" t="n">
        <v>31.602066</v>
      </c>
      <c r="H722" s="19" t="n">
        <v>41.834015</v>
      </c>
      <c r="I722" s="19" t="n">
        <v>865.24365</v>
      </c>
      <c r="J722" s="27" t="n">
        <v>500502</v>
      </c>
      <c r="K722" s="27" t="n">
        <v>500502</v>
      </c>
      <c r="L722" s="9" t="n">
        <f aca="false">IF(AND(K722&lt;&gt;"",J722&lt;Assumptions!$B$3*K722),K722,J722)</f>
        <v>500502</v>
      </c>
      <c r="M722" s="21" t="str">
        <f aca="false">IF(L722=J722,"FERC Form 1","EIA-861")</f>
        <v>FERC Form 1</v>
      </c>
      <c r="N722" s="28" t="n">
        <f aca="false">E722+F722+G722</f>
        <v>83.751439</v>
      </c>
    </row>
    <row r="723" customFormat="false" ht="15" hidden="false" customHeight="false" outlineLevel="0" collapsed="false">
      <c r="A723" s="7" t="n">
        <v>2002</v>
      </c>
      <c r="B723" s="15" t="s">
        <v>119</v>
      </c>
      <c r="C723" s="15" t="s">
        <v>118</v>
      </c>
      <c r="D723" s="15" t="s">
        <v>103</v>
      </c>
      <c r="E723" s="19" t="n">
        <v>19.510397</v>
      </c>
      <c r="F723" s="19" t="n">
        <v>26.531385</v>
      </c>
      <c r="G723" s="19" t="n">
        <v>32.500553</v>
      </c>
      <c r="H723" s="19" t="n">
        <v>26.759272</v>
      </c>
      <c r="I723" s="19" t="n">
        <v>891.685676</v>
      </c>
      <c r="J723" s="27" t="n">
        <v>503158</v>
      </c>
      <c r="K723" s="27" t="n">
        <v>504720</v>
      </c>
      <c r="L723" s="9" t="n">
        <f aca="false">IF(AND(K723&lt;&gt;"",J723&lt;Assumptions!$B$3*K723),K723,J723)</f>
        <v>503158</v>
      </c>
      <c r="M723" s="21" t="str">
        <f aca="false">IF(L723=J723,"FERC Form 1","EIA-861")</f>
        <v>FERC Form 1</v>
      </c>
      <c r="N723" s="28" t="n">
        <f aca="false">E723+F723+G723</f>
        <v>78.542335</v>
      </c>
    </row>
    <row r="724" customFormat="false" ht="15" hidden="false" customHeight="false" outlineLevel="0" collapsed="false">
      <c r="A724" s="7" t="n">
        <v>2003</v>
      </c>
      <c r="B724" s="15" t="s">
        <v>119</v>
      </c>
      <c r="C724" s="15" t="s">
        <v>118</v>
      </c>
      <c r="D724" s="15" t="s">
        <v>103</v>
      </c>
      <c r="E724" s="19" t="n">
        <v>21.494521</v>
      </c>
      <c r="F724" s="19" t="n">
        <v>24.624711</v>
      </c>
      <c r="G724" s="19" t="n">
        <v>32.350031</v>
      </c>
      <c r="H724" s="19" t="n">
        <v>12.510899</v>
      </c>
      <c r="I724" s="19" t="n">
        <v>903.995106</v>
      </c>
      <c r="J724" s="27" t="n">
        <v>505326</v>
      </c>
      <c r="K724" s="27" t="n">
        <v>505326</v>
      </c>
      <c r="L724" s="9" t="n">
        <f aca="false">IF(AND(K724&lt;&gt;"",J724&lt;Assumptions!$B$3*K724),K724,J724)</f>
        <v>505326</v>
      </c>
      <c r="M724" s="21" t="str">
        <f aca="false">IF(L724=J724,"FERC Form 1","EIA-861")</f>
        <v>FERC Form 1</v>
      </c>
      <c r="N724" s="28" t="n">
        <f aca="false">E724+F724+G724</f>
        <v>78.469263</v>
      </c>
    </row>
    <row r="725" customFormat="false" ht="15" hidden="false" customHeight="false" outlineLevel="0" collapsed="false">
      <c r="A725" s="7" t="n">
        <v>2004</v>
      </c>
      <c r="B725" s="15" t="s">
        <v>119</v>
      </c>
      <c r="C725" s="15" t="s">
        <v>118</v>
      </c>
      <c r="D725" s="15" t="s">
        <v>103</v>
      </c>
      <c r="E725" s="19" t="n">
        <v>22.413126</v>
      </c>
      <c r="F725" s="19" t="n">
        <v>25.684846</v>
      </c>
      <c r="G725" s="19" t="n">
        <v>32.81611</v>
      </c>
      <c r="H725" s="19" t="n">
        <v>41.412608</v>
      </c>
      <c r="I725" s="19" t="n">
        <v>947.668592</v>
      </c>
      <c r="J725" s="27" t="n">
        <v>507757</v>
      </c>
      <c r="K725" s="27" t="n">
        <v>507757</v>
      </c>
      <c r="L725" s="9" t="n">
        <f aca="false">IF(AND(K725&lt;&gt;"",J725&lt;Assumptions!$B$3*K725),K725,J725)</f>
        <v>507757</v>
      </c>
      <c r="M725" s="21" t="str">
        <f aca="false">IF(L725=J725,"FERC Form 1","EIA-861")</f>
        <v>FERC Form 1</v>
      </c>
      <c r="N725" s="28" t="n">
        <f aca="false">E725+F725+G725</f>
        <v>80.914082</v>
      </c>
    </row>
    <row r="726" customFormat="false" ht="15" hidden="false" customHeight="false" outlineLevel="0" collapsed="false">
      <c r="A726" s="7" t="n">
        <v>2005</v>
      </c>
      <c r="B726" s="15" t="s">
        <v>119</v>
      </c>
      <c r="C726" s="15" t="s">
        <v>118</v>
      </c>
      <c r="D726" s="15" t="s">
        <v>103</v>
      </c>
      <c r="E726" s="19" t="n">
        <v>25.03519</v>
      </c>
      <c r="F726" s="19" t="n">
        <v>22.986685</v>
      </c>
      <c r="G726" s="19" t="n">
        <v>32.690639</v>
      </c>
      <c r="H726" s="19" t="n">
        <v>43.215651</v>
      </c>
      <c r="I726" s="19" t="n">
        <v>986.859819</v>
      </c>
      <c r="J726" s="27" t="n">
        <v>511595</v>
      </c>
      <c r="K726" s="27" t="n">
        <v>511596</v>
      </c>
      <c r="L726" s="9" t="n">
        <f aca="false">IF(AND(K726&lt;&gt;"",J726&lt;Assumptions!$B$3*K726),K726,J726)</f>
        <v>511595</v>
      </c>
      <c r="M726" s="21" t="str">
        <f aca="false">IF(L726=J726,"FERC Form 1","EIA-861")</f>
        <v>FERC Form 1</v>
      </c>
      <c r="N726" s="28" t="n">
        <f aca="false">E726+F726+G726</f>
        <v>80.712514</v>
      </c>
    </row>
    <row r="727" customFormat="false" ht="15" hidden="false" customHeight="false" outlineLevel="0" collapsed="false">
      <c r="A727" s="7" t="n">
        <v>2006</v>
      </c>
      <c r="B727" s="15" t="s">
        <v>119</v>
      </c>
      <c r="C727" s="15" t="s">
        <v>118</v>
      </c>
      <c r="D727" s="15" t="s">
        <v>103</v>
      </c>
      <c r="E727" s="19" t="n">
        <v>28.102864</v>
      </c>
      <c r="F727" s="19" t="n">
        <v>31.238514</v>
      </c>
      <c r="G727" s="19" t="n">
        <v>39.705411</v>
      </c>
      <c r="H727" s="19" t="n">
        <v>93.791626</v>
      </c>
      <c r="I727" s="19" t="n">
        <v>1068.932645</v>
      </c>
      <c r="J727" s="27" t="n">
        <v>513925</v>
      </c>
      <c r="K727" s="27" t="n">
        <v>513925</v>
      </c>
      <c r="L727" s="9" t="n">
        <f aca="false">IF(AND(K727&lt;&gt;"",J727&lt;Assumptions!$B$3*K727),K727,J727)</f>
        <v>513925</v>
      </c>
      <c r="M727" s="21" t="str">
        <f aca="false">IF(L727=J727,"FERC Form 1","EIA-861")</f>
        <v>FERC Form 1</v>
      </c>
      <c r="N727" s="28" t="n">
        <f aca="false">E727+F727+G727</f>
        <v>99.046789</v>
      </c>
    </row>
    <row r="728" customFormat="false" ht="15" hidden="false" customHeight="false" outlineLevel="0" collapsed="false">
      <c r="A728" s="7" t="n">
        <v>2007</v>
      </c>
      <c r="B728" s="15" t="s">
        <v>119</v>
      </c>
      <c r="C728" s="15" t="s">
        <v>118</v>
      </c>
      <c r="D728" s="15" t="s">
        <v>103</v>
      </c>
      <c r="E728" s="19" t="n">
        <v>29.176565</v>
      </c>
      <c r="F728" s="19" t="n">
        <v>31.148792</v>
      </c>
      <c r="G728" s="19" t="n">
        <v>40.130134</v>
      </c>
      <c r="H728" s="19" t="n">
        <v>73.858838</v>
      </c>
      <c r="I728" s="19" t="n">
        <v>1124.442014</v>
      </c>
      <c r="J728" s="27" t="n">
        <v>514405</v>
      </c>
      <c r="K728" s="27" t="n">
        <v>514406</v>
      </c>
      <c r="L728" s="9" t="n">
        <f aca="false">IF(AND(K728&lt;&gt;"",J728&lt;Assumptions!$B$3*K728),K728,J728)</f>
        <v>514405</v>
      </c>
      <c r="M728" s="21" t="str">
        <f aca="false">IF(L728=J728,"FERC Form 1","EIA-861")</f>
        <v>FERC Form 1</v>
      </c>
      <c r="N728" s="28" t="n">
        <f aca="false">E728+F728+G728</f>
        <v>100.455491</v>
      </c>
    </row>
    <row r="729" customFormat="false" ht="15" hidden="false" customHeight="false" outlineLevel="0" collapsed="false">
      <c r="A729" s="7" t="n">
        <v>2008</v>
      </c>
      <c r="B729" s="15" t="s">
        <v>119</v>
      </c>
      <c r="C729" s="15" t="s">
        <v>118</v>
      </c>
      <c r="D729" s="15" t="s">
        <v>103</v>
      </c>
      <c r="E729" s="19" t="n">
        <v>29.957086</v>
      </c>
      <c r="F729" s="19" t="n">
        <v>29.85048</v>
      </c>
      <c r="G729" s="19" t="n">
        <v>41.989571</v>
      </c>
      <c r="H729" s="19" t="n">
        <v>42.411533</v>
      </c>
      <c r="I729" s="19" t="n">
        <v>1166.164597</v>
      </c>
      <c r="J729" s="27" t="n">
        <v>514882</v>
      </c>
      <c r="K729" s="27" t="n">
        <v>514882</v>
      </c>
      <c r="L729" s="9" t="n">
        <f aca="false">IF(AND(K729&lt;&gt;"",J729&lt;Assumptions!$B$3*K729),K729,J729)</f>
        <v>514882</v>
      </c>
      <c r="M729" s="21" t="str">
        <f aca="false">IF(L729=J729,"FERC Form 1","EIA-861")</f>
        <v>FERC Form 1</v>
      </c>
      <c r="N729" s="28" t="n">
        <f aca="false">E729+F729+G729</f>
        <v>101.797137</v>
      </c>
    </row>
    <row r="730" customFormat="false" ht="15" hidden="false" customHeight="false" outlineLevel="0" collapsed="false">
      <c r="A730" s="7" t="n">
        <v>2009</v>
      </c>
      <c r="B730" s="15" t="s">
        <v>119</v>
      </c>
      <c r="C730" s="15" t="s">
        <v>118</v>
      </c>
      <c r="D730" s="15" t="s">
        <v>103</v>
      </c>
      <c r="E730" s="19" t="n">
        <v>30.542437</v>
      </c>
      <c r="F730" s="19" t="n">
        <v>45.395446</v>
      </c>
      <c r="G730" s="19" t="n">
        <v>44.485047</v>
      </c>
      <c r="H730" s="19" t="n">
        <v>67.944851</v>
      </c>
      <c r="I730" s="19" t="n">
        <v>1228.340149</v>
      </c>
      <c r="J730" s="27" t="n">
        <v>514570</v>
      </c>
      <c r="K730" s="27" t="n">
        <v>514570</v>
      </c>
      <c r="L730" s="9" t="n">
        <f aca="false">IF(AND(K730&lt;&gt;"",J730&lt;Assumptions!$B$3*K730),K730,J730)</f>
        <v>514570</v>
      </c>
      <c r="M730" s="21" t="str">
        <f aca="false">IF(L730=J730,"FERC Form 1","EIA-861")</f>
        <v>FERC Form 1</v>
      </c>
      <c r="N730" s="28" t="n">
        <f aca="false">E730+F730+G730</f>
        <v>120.42293</v>
      </c>
    </row>
    <row r="731" customFormat="false" ht="15" hidden="false" customHeight="false" outlineLevel="0" collapsed="false">
      <c r="A731" s="7" t="n">
        <v>2010</v>
      </c>
      <c r="B731" s="15" t="s">
        <v>119</v>
      </c>
      <c r="C731" s="15" t="s">
        <v>118</v>
      </c>
      <c r="D731" s="15" t="s">
        <v>103</v>
      </c>
      <c r="E731" s="19" t="n">
        <v>32.391892</v>
      </c>
      <c r="F731" s="19" t="n">
        <v>54.024849</v>
      </c>
      <c r="G731" s="19" t="n">
        <v>43.151268</v>
      </c>
      <c r="H731" s="19" t="n">
        <v>60.276702</v>
      </c>
      <c r="I731" s="19" t="n">
        <v>1278.652158</v>
      </c>
      <c r="J731" s="27" t="n">
        <v>514246</v>
      </c>
      <c r="K731" s="27" t="n">
        <v>514253</v>
      </c>
      <c r="L731" s="9" t="n">
        <f aca="false">IF(AND(K731&lt;&gt;"",J731&lt;Assumptions!$B$3*K731),K731,J731)</f>
        <v>514246</v>
      </c>
      <c r="M731" s="21" t="str">
        <f aca="false">IF(L731=J731,"FERC Form 1","EIA-861")</f>
        <v>FERC Form 1</v>
      </c>
      <c r="N731" s="28" t="n">
        <f aca="false">E731+F731+G731</f>
        <v>129.568009</v>
      </c>
    </row>
    <row r="732" customFormat="false" ht="15" hidden="false" customHeight="false" outlineLevel="0" collapsed="false">
      <c r="A732" s="7" t="n">
        <v>2011</v>
      </c>
      <c r="B732" s="15" t="s">
        <v>119</v>
      </c>
      <c r="C732" s="15" t="s">
        <v>118</v>
      </c>
      <c r="D732" s="15" t="s">
        <v>103</v>
      </c>
      <c r="E732" s="19" t="n">
        <v>41.415438</v>
      </c>
      <c r="F732" s="19" t="n">
        <v>67.758437</v>
      </c>
      <c r="G732" s="19" t="n">
        <v>46.888092</v>
      </c>
      <c r="H732" s="19" t="n">
        <v>125.669098</v>
      </c>
      <c r="I732" s="19" t="n">
        <v>1393.66752</v>
      </c>
      <c r="J732" s="27" t="n">
        <v>513539</v>
      </c>
      <c r="K732" s="27" t="n">
        <v>513526</v>
      </c>
      <c r="L732" s="9" t="n">
        <f aca="false">IF(AND(K732&lt;&gt;"",J732&lt;Assumptions!$B$3*K732),K732,J732)</f>
        <v>513539</v>
      </c>
      <c r="M732" s="21" t="str">
        <f aca="false">IF(L732=J732,"FERC Form 1","EIA-861")</f>
        <v>FERC Form 1</v>
      </c>
      <c r="N732" s="28" t="n">
        <f aca="false">E732+F732+G732</f>
        <v>156.061967</v>
      </c>
    </row>
    <row r="733" customFormat="false" ht="15" hidden="false" customHeight="false" outlineLevel="0" collapsed="false">
      <c r="A733" s="7" t="n">
        <v>2012</v>
      </c>
      <c r="B733" s="15" t="s">
        <v>119</v>
      </c>
      <c r="C733" s="15" t="s">
        <v>118</v>
      </c>
      <c r="D733" s="15" t="s">
        <v>103</v>
      </c>
      <c r="E733" s="19" t="n">
        <v>30.487006</v>
      </c>
      <c r="F733" s="19" t="n">
        <v>95.846716</v>
      </c>
      <c r="G733" s="19" t="n">
        <v>50.590534</v>
      </c>
      <c r="H733" s="19" t="n">
        <v>118.753266</v>
      </c>
      <c r="I733" s="19" t="n">
        <v>1503.519404</v>
      </c>
      <c r="J733" s="27" t="n">
        <v>406484</v>
      </c>
      <c r="K733" s="27" t="n">
        <v>513074</v>
      </c>
      <c r="L733" s="9" t="n">
        <f aca="false">IF(AND(K733&lt;&gt;"",J733&lt;Assumptions!$B$3*K733),K733,J733)</f>
        <v>513074</v>
      </c>
      <c r="M733" s="21" t="str">
        <f aca="false">IF(L733=J733,"FERC Form 1","EIA-861")</f>
        <v>EIA-861</v>
      </c>
      <c r="N733" s="28" t="n">
        <f aca="false">E733+F733+G733</f>
        <v>176.924256</v>
      </c>
    </row>
    <row r="734" customFormat="false" ht="15" hidden="false" customHeight="false" outlineLevel="0" collapsed="false">
      <c r="A734" s="7" t="n">
        <v>2013</v>
      </c>
      <c r="B734" s="15" t="s">
        <v>119</v>
      </c>
      <c r="C734" s="15" t="s">
        <v>118</v>
      </c>
      <c r="D734" s="15" t="s">
        <v>103</v>
      </c>
      <c r="E734" s="19" t="n">
        <v>33.217977</v>
      </c>
      <c r="F734" s="19" t="n">
        <v>92.116025</v>
      </c>
      <c r="G734" s="19" t="n">
        <v>54.066554</v>
      </c>
      <c r="H734" s="19" t="n">
        <v>76.614466</v>
      </c>
      <c r="I734" s="19" t="n">
        <v>1552.138798</v>
      </c>
      <c r="J734" s="27" t="n">
        <v>323798</v>
      </c>
      <c r="K734" s="27" t="n">
        <v>513769</v>
      </c>
      <c r="L734" s="9" t="n">
        <f aca="false">IF(AND(K734&lt;&gt;"",J734&lt;Assumptions!$B$3*K734),K734,J734)</f>
        <v>513769</v>
      </c>
      <c r="M734" s="21" t="str">
        <f aca="false">IF(L734=J734,"FERC Form 1","EIA-861")</f>
        <v>EIA-861</v>
      </c>
      <c r="N734" s="28" t="n">
        <f aca="false">E734+F734+G734</f>
        <v>179.400556</v>
      </c>
    </row>
    <row r="735" customFormat="false" ht="15" hidden="false" customHeight="false" outlineLevel="0" collapsed="false">
      <c r="A735" s="7" t="n">
        <v>2014</v>
      </c>
      <c r="B735" s="15" t="s">
        <v>119</v>
      </c>
      <c r="C735" s="15" t="s">
        <v>118</v>
      </c>
      <c r="D735" s="15" t="s">
        <v>103</v>
      </c>
      <c r="E735" s="19" t="n">
        <v>37.766676</v>
      </c>
      <c r="F735" s="19" t="n">
        <v>87.090231</v>
      </c>
      <c r="G735" s="19" t="n">
        <v>54.788403</v>
      </c>
      <c r="H735" s="19" t="n">
        <v>47.364487</v>
      </c>
      <c r="I735" s="19" t="n">
        <v>1592.743262</v>
      </c>
      <c r="J735" s="27" t="n">
        <v>280473</v>
      </c>
      <c r="K735" s="27" t="n">
        <v>514952</v>
      </c>
      <c r="L735" s="9" t="n">
        <f aca="false">IF(AND(K735&lt;&gt;"",J735&lt;Assumptions!$B$3*K735),K735,J735)</f>
        <v>514952</v>
      </c>
      <c r="M735" s="21" t="str">
        <f aca="false">IF(L735=J735,"FERC Form 1","EIA-861")</f>
        <v>EIA-861</v>
      </c>
      <c r="N735" s="28" t="n">
        <f aca="false">E735+F735+G735</f>
        <v>179.64531</v>
      </c>
    </row>
    <row r="736" customFormat="false" ht="15" hidden="false" customHeight="false" outlineLevel="0" collapsed="false">
      <c r="A736" s="7" t="n">
        <v>2015</v>
      </c>
      <c r="B736" s="15" t="s">
        <v>119</v>
      </c>
      <c r="C736" s="15" t="s">
        <v>118</v>
      </c>
      <c r="D736" s="15" t="s">
        <v>103</v>
      </c>
      <c r="E736" s="19" t="n">
        <v>53.049383</v>
      </c>
      <c r="F736" s="19" t="n">
        <v>72.891159</v>
      </c>
      <c r="G736" s="19" t="n">
        <v>53.981325</v>
      </c>
      <c r="H736" s="19" t="n">
        <v>84.045772</v>
      </c>
      <c r="I736" s="19" t="n">
        <v>1666.308025</v>
      </c>
      <c r="J736" s="27" t="n">
        <v>277686</v>
      </c>
      <c r="K736" s="27" t="n">
        <v>515822</v>
      </c>
      <c r="L736" s="9" t="n">
        <f aca="false">IF(AND(K736&lt;&gt;"",J736&lt;Assumptions!$B$3*K736),K736,J736)</f>
        <v>515822</v>
      </c>
      <c r="M736" s="21" t="str">
        <f aca="false">IF(L736=J736,"FERC Form 1","EIA-861")</f>
        <v>EIA-861</v>
      </c>
      <c r="N736" s="28" t="n">
        <f aca="false">E736+F736+G736</f>
        <v>179.921867</v>
      </c>
    </row>
    <row r="737" customFormat="false" ht="15" hidden="false" customHeight="false" outlineLevel="0" collapsed="false">
      <c r="A737" s="7" t="n">
        <v>2016</v>
      </c>
      <c r="B737" s="15" t="s">
        <v>119</v>
      </c>
      <c r="C737" s="15" t="s">
        <v>118</v>
      </c>
      <c r="D737" s="15" t="s">
        <v>103</v>
      </c>
      <c r="E737" s="19" t="n">
        <v>36.2512</v>
      </c>
      <c r="F737" s="19" t="n">
        <v>93.025295</v>
      </c>
      <c r="G737" s="19" t="n">
        <v>53.604591</v>
      </c>
      <c r="H737" s="19" t="n">
        <v>85.476014</v>
      </c>
      <c r="I737" s="19" t="n">
        <v>1724.661676</v>
      </c>
      <c r="J737" s="27" t="n">
        <v>271323</v>
      </c>
      <c r="K737" s="27" t="n">
        <v>517570</v>
      </c>
      <c r="L737" s="9" t="n">
        <f aca="false">IF(AND(K737&lt;&gt;"",J737&lt;Assumptions!$B$3*K737),K737,J737)</f>
        <v>517570</v>
      </c>
      <c r="M737" s="21" t="str">
        <f aca="false">IF(L737=J737,"FERC Form 1","EIA-861")</f>
        <v>EIA-861</v>
      </c>
      <c r="N737" s="28" t="n">
        <f aca="false">E737+F737+G737</f>
        <v>182.881086</v>
      </c>
    </row>
    <row r="738" customFormat="false" ht="15" hidden="false" customHeight="false" outlineLevel="0" collapsed="false">
      <c r="A738" s="7" t="n">
        <v>2017</v>
      </c>
      <c r="B738" s="15" t="s">
        <v>119</v>
      </c>
      <c r="C738" s="15" t="s">
        <v>118</v>
      </c>
      <c r="D738" s="15" t="s">
        <v>103</v>
      </c>
      <c r="E738" s="19" t="n">
        <v>34.572914</v>
      </c>
      <c r="F738" s="19" t="n">
        <v>57.709544</v>
      </c>
      <c r="G738" s="19" t="n">
        <v>58.811021</v>
      </c>
      <c r="H738" s="19" t="n">
        <v>69.271131</v>
      </c>
      <c r="I738" s="19" t="n">
        <v>1764.256724</v>
      </c>
      <c r="J738" s="27" t="n">
        <v>261210</v>
      </c>
      <c r="K738" s="27" t="n">
        <v>520023</v>
      </c>
      <c r="L738" s="9" t="n">
        <f aca="false">IF(AND(K738&lt;&gt;"",J738&lt;Assumptions!$B$3*K738),K738,J738)</f>
        <v>520023</v>
      </c>
      <c r="M738" s="21" t="str">
        <f aca="false">IF(L738=J738,"FERC Form 1","EIA-861")</f>
        <v>EIA-861</v>
      </c>
      <c r="N738" s="28" t="n">
        <f aca="false">E738+F738+G738</f>
        <v>151.093479</v>
      </c>
    </row>
    <row r="739" customFormat="false" ht="15" hidden="false" customHeight="false" outlineLevel="0" collapsed="false">
      <c r="A739" s="7" t="n">
        <v>2018</v>
      </c>
      <c r="B739" s="15" t="s">
        <v>119</v>
      </c>
      <c r="C739" s="15" t="s">
        <v>118</v>
      </c>
      <c r="D739" s="15" t="s">
        <v>103</v>
      </c>
      <c r="E739" s="19" t="n">
        <v>38.848651</v>
      </c>
      <c r="F739" s="19" t="n">
        <v>14.914992</v>
      </c>
      <c r="G739" s="19" t="n">
        <v>57.897428</v>
      </c>
      <c r="H739" s="19" t="n">
        <v>62.449089</v>
      </c>
      <c r="I739" s="19" t="n">
        <v>1826.132233</v>
      </c>
      <c r="J739" s="27" t="n">
        <v>264944</v>
      </c>
      <c r="K739" s="27" t="n">
        <v>523492</v>
      </c>
      <c r="L739" s="9" t="n">
        <f aca="false">IF(AND(K739&lt;&gt;"",J739&lt;Assumptions!$B$3*K739),K739,J739)</f>
        <v>523492</v>
      </c>
      <c r="M739" s="21" t="str">
        <f aca="false">IF(L739=J739,"FERC Form 1","EIA-861")</f>
        <v>EIA-861</v>
      </c>
      <c r="N739" s="28" t="n">
        <f aca="false">E739+F739+G739</f>
        <v>111.661071</v>
      </c>
    </row>
    <row r="740" customFormat="false" ht="15" hidden="false" customHeight="false" outlineLevel="0" collapsed="false">
      <c r="A740" s="7" t="n">
        <v>2019</v>
      </c>
      <c r="B740" s="15" t="s">
        <v>119</v>
      </c>
      <c r="C740" s="15" t="s">
        <v>118</v>
      </c>
      <c r="D740" s="15" t="s">
        <v>103</v>
      </c>
      <c r="E740" s="19" t="n">
        <v>49.572557</v>
      </c>
      <c r="F740" s="19" t="n">
        <v>56.029417</v>
      </c>
      <c r="G740" s="19" t="n">
        <v>55.61213</v>
      </c>
      <c r="H740" s="19" t="n">
        <v>80.764401</v>
      </c>
      <c r="I740" s="19" t="n">
        <v>1882.094471</v>
      </c>
      <c r="J740" s="27" t="n">
        <v>267768</v>
      </c>
      <c r="K740" s="27" t="n">
        <v>525077</v>
      </c>
      <c r="L740" s="9" t="n">
        <f aca="false">IF(AND(K740&lt;&gt;"",J740&lt;Assumptions!$B$3*K740),K740,J740)</f>
        <v>525077</v>
      </c>
      <c r="M740" s="21" t="str">
        <f aca="false">IF(L740=J740,"FERC Form 1","EIA-861")</f>
        <v>EIA-861</v>
      </c>
      <c r="N740" s="28" t="n">
        <f aca="false">E740+F740+G740</f>
        <v>161.214104</v>
      </c>
    </row>
    <row r="741" customFormat="false" ht="15" hidden="false" customHeight="false" outlineLevel="0" collapsed="false">
      <c r="A741" s="7" t="n">
        <v>2020</v>
      </c>
      <c r="B741" s="15" t="s">
        <v>119</v>
      </c>
      <c r="C741" s="15" t="s">
        <v>118</v>
      </c>
      <c r="D741" s="15" t="s">
        <v>103</v>
      </c>
      <c r="E741" s="19" t="n">
        <v>50.381368</v>
      </c>
      <c r="F741" s="19" t="n">
        <v>49.639576</v>
      </c>
      <c r="G741" s="19" t="n">
        <v>58.725359</v>
      </c>
      <c r="H741" s="19" t="n">
        <v>101.290728</v>
      </c>
      <c r="I741" s="19" t="n">
        <v>1952.680211</v>
      </c>
      <c r="J741" s="27" t="n">
        <v>281989</v>
      </c>
      <c r="K741" s="27" t="n">
        <v>528541</v>
      </c>
      <c r="L741" s="9" t="n">
        <f aca="false">IF(AND(K741&lt;&gt;"",J741&lt;Assumptions!$B$3*K741),K741,J741)</f>
        <v>528541</v>
      </c>
      <c r="M741" s="21" t="str">
        <f aca="false">IF(L741=J741,"FERC Form 1","EIA-861")</f>
        <v>EIA-861</v>
      </c>
      <c r="N741" s="28" t="n">
        <f aca="false">E741+F741+G741</f>
        <v>158.746303</v>
      </c>
    </row>
    <row r="742" customFormat="false" ht="15" hidden="false" customHeight="false" outlineLevel="0" collapsed="false">
      <c r="A742" s="7" t="n">
        <v>2021</v>
      </c>
      <c r="B742" s="15" t="s">
        <v>119</v>
      </c>
      <c r="C742" s="15" t="s">
        <v>118</v>
      </c>
      <c r="D742" s="15" t="s">
        <v>103</v>
      </c>
      <c r="E742" s="19" t="n">
        <v>46.869013</v>
      </c>
      <c r="F742" s="19" t="n">
        <v>26.364185</v>
      </c>
      <c r="G742" s="19" t="n">
        <v>61.012545</v>
      </c>
      <c r="H742" s="19" t="n">
        <v>94.640231</v>
      </c>
      <c r="I742" s="19" t="n">
        <v>2033.177085</v>
      </c>
      <c r="J742" s="27" t="n">
        <v>534192</v>
      </c>
      <c r="K742" s="27" t="n">
        <v>532418</v>
      </c>
      <c r="L742" s="9" t="n">
        <f aca="false">IF(AND(K742&lt;&gt;"",J742&lt;Assumptions!$B$3*K742),K742,J742)</f>
        <v>534192</v>
      </c>
      <c r="M742" s="21" t="str">
        <f aca="false">IF(L742=J742,"FERC Form 1","EIA-861")</f>
        <v>FERC Form 1</v>
      </c>
      <c r="N742" s="28" t="n">
        <f aca="false">E742+F742+G742</f>
        <v>134.245743</v>
      </c>
    </row>
    <row r="743" customFormat="false" ht="15" hidden="false" customHeight="false" outlineLevel="0" collapsed="false">
      <c r="A743" s="7" t="n">
        <v>2022</v>
      </c>
      <c r="B743" s="15" t="s">
        <v>119</v>
      </c>
      <c r="C743" s="15" t="s">
        <v>118</v>
      </c>
      <c r="D743" s="15" t="s">
        <v>103</v>
      </c>
      <c r="E743" s="19" t="n">
        <v>54.605824</v>
      </c>
      <c r="F743" s="19" t="n">
        <v>37.891139</v>
      </c>
      <c r="G743" s="19" t="n">
        <v>64.683274</v>
      </c>
      <c r="H743" s="19" t="n">
        <v>133.320887</v>
      </c>
      <c r="I743" s="19" t="n">
        <v>2140.907245</v>
      </c>
      <c r="J743" s="27" t="n">
        <v>536317</v>
      </c>
      <c r="K743" s="27" t="n">
        <v>534482</v>
      </c>
      <c r="L743" s="9" t="n">
        <f aca="false">IF(AND(K743&lt;&gt;"",J743&lt;Assumptions!$B$3*K743),K743,J743)</f>
        <v>536317</v>
      </c>
      <c r="M743" s="21" t="str">
        <f aca="false">IF(L743=J743,"FERC Form 1","EIA-861")</f>
        <v>FERC Form 1</v>
      </c>
      <c r="N743" s="28" t="n">
        <f aca="false">E743+F743+G743</f>
        <v>157.180237</v>
      </c>
    </row>
    <row r="744" customFormat="false" ht="15" hidden="false" customHeight="false" outlineLevel="0" collapsed="false">
      <c r="A744" s="7" t="n">
        <v>2023</v>
      </c>
      <c r="B744" s="15" t="s">
        <v>119</v>
      </c>
      <c r="C744" s="15" t="s">
        <v>118</v>
      </c>
      <c r="D744" s="15" t="s">
        <v>103</v>
      </c>
      <c r="E744" s="19" t="n">
        <v>61.298849</v>
      </c>
      <c r="F744" s="19" t="n">
        <v>68.160215</v>
      </c>
      <c r="G744" s="19" t="n">
        <v>65.206808</v>
      </c>
      <c r="H744" s="19" t="n">
        <v>210.265277</v>
      </c>
      <c r="I744" s="19" t="n">
        <v>2322.389664</v>
      </c>
      <c r="J744" s="27" t="n">
        <v>539127</v>
      </c>
      <c r="K744" s="27" t="n">
        <v>537687</v>
      </c>
      <c r="L744" s="9" t="n">
        <f aca="false">IF(AND(K744&lt;&gt;"",J744&lt;Assumptions!$B$3*K744),K744,J744)</f>
        <v>539127</v>
      </c>
      <c r="M744" s="21" t="str">
        <f aca="false">IF(L744=J744,"FERC Form 1","EIA-861")</f>
        <v>FERC Form 1</v>
      </c>
      <c r="N744" s="28" t="n">
        <f aca="false">E744+F744+G744</f>
        <v>194.665872</v>
      </c>
    </row>
    <row r="745" customFormat="false" ht="15" hidden="false" customHeight="false" outlineLevel="0" collapsed="false">
      <c r="A745" s="7" t="n">
        <v>2024</v>
      </c>
      <c r="B745" s="15" t="s">
        <v>119</v>
      </c>
      <c r="C745" s="15" t="s">
        <v>118</v>
      </c>
      <c r="D745" s="15" t="s">
        <v>103</v>
      </c>
      <c r="E745" s="19" t="n">
        <v>85.168308</v>
      </c>
      <c r="F745" s="19" t="n">
        <v>62.745004</v>
      </c>
      <c r="G745" s="19" t="n">
        <v>72.610837</v>
      </c>
      <c r="H745" s="19" t="n">
        <v>217.142701</v>
      </c>
      <c r="I745" s="19" t="n">
        <v>2498.300706</v>
      </c>
      <c r="J745" s="27" t="n">
        <v>537339</v>
      </c>
      <c r="K745" s="27" t="n">
        <v>540836</v>
      </c>
      <c r="L745" s="9" t="n">
        <f aca="false">IF(AND(K745&lt;&gt;"",J745&lt;Assumptions!$B$3*K745),K745,J745)</f>
        <v>537339</v>
      </c>
      <c r="M745" s="21" t="str">
        <f aca="false">IF(L745=J745,"FERC Form 1","EIA-861")</f>
        <v>FERC Form 1</v>
      </c>
      <c r="N745" s="28" t="n">
        <f aca="false">E745+F745+G745</f>
        <v>220.524149</v>
      </c>
    </row>
    <row r="746" customFormat="false" ht="15" hidden="false" customHeight="false" outlineLevel="0" collapsed="false">
      <c r="A746" s="7" t="n">
        <v>2025</v>
      </c>
      <c r="B746" s="15" t="s">
        <v>119</v>
      </c>
      <c r="C746" s="15" t="s">
        <v>118</v>
      </c>
      <c r="D746" s="15" t="s">
        <v>103</v>
      </c>
      <c r="E746" s="19" t="n">
        <v>104.464018</v>
      </c>
      <c r="F746" s="19" t="n">
        <v>62.366647</v>
      </c>
      <c r="G746" s="19" t="n">
        <v>93.548313</v>
      </c>
      <c r="H746" s="19" t="n">
        <v>239.363537</v>
      </c>
      <c r="I746" s="19" t="n">
        <v>2775.429771</v>
      </c>
      <c r="J746" s="27" t="n">
        <v>541224</v>
      </c>
      <c r="K746" s="27" t="n">
        <v>528722</v>
      </c>
      <c r="L746" s="9" t="n">
        <f aca="false">IF(AND(K746&lt;&gt;"",J746&lt;Assumptions!$B$3*K746),K746,J746)</f>
        <v>541224</v>
      </c>
      <c r="M746" s="21" t="str">
        <f aca="false">IF(L746=J746,"FERC Form 1","EIA-861")</f>
        <v>FERC Form 1</v>
      </c>
      <c r="N746" s="28" t="n">
        <f aca="false">E746+F746+G746</f>
        <v>260.378978</v>
      </c>
    </row>
    <row r="747" customFormat="false" ht="15" hidden="false" customHeight="false" outlineLevel="0" collapsed="false">
      <c r="A747" s="7" t="n">
        <v>2000</v>
      </c>
      <c r="B747" s="15" t="s">
        <v>120</v>
      </c>
      <c r="C747" s="15" t="s">
        <v>118</v>
      </c>
      <c r="D747" s="15" t="s">
        <v>121</v>
      </c>
      <c r="E747" s="19" t="n">
        <v>82.825598</v>
      </c>
      <c r="F747" s="19" t="n">
        <v>55.866952</v>
      </c>
      <c r="G747" s="19" t="n">
        <v>57.675755</v>
      </c>
      <c r="H747" s="19" t="n">
        <v>103.676486</v>
      </c>
      <c r="I747" s="19" t="n">
        <v>1816.42574</v>
      </c>
      <c r="J747" s="27" t="n">
        <v>903150</v>
      </c>
      <c r="K747" s="27"/>
      <c r="L747" s="9" t="n">
        <f aca="false">IF(AND(K747&lt;&gt;"",J747&lt;Assumptions!$B$3*K747),K747,J747)</f>
        <v>903150</v>
      </c>
      <c r="M747" s="21" t="str">
        <f aca="false">IF(L747=J747,"FERC Form 1","EIA-861")</f>
        <v>FERC Form 1</v>
      </c>
      <c r="N747" s="28" t="n">
        <f aca="false">E747+F747+G747</f>
        <v>196.368305</v>
      </c>
    </row>
    <row r="748" customFormat="false" ht="15" hidden="false" customHeight="false" outlineLevel="0" collapsed="false">
      <c r="A748" s="7" t="n">
        <v>2001</v>
      </c>
      <c r="B748" s="15" t="s">
        <v>120</v>
      </c>
      <c r="C748" s="15" t="s">
        <v>118</v>
      </c>
      <c r="D748" s="15" t="s">
        <v>121</v>
      </c>
      <c r="E748" s="19" t="n">
        <v>82.84652</v>
      </c>
      <c r="F748" s="19" t="n">
        <v>49.402724</v>
      </c>
      <c r="G748" s="19" t="n">
        <v>60.081884</v>
      </c>
      <c r="H748" s="19" t="n">
        <v>97.135616</v>
      </c>
      <c r="I748" s="19" t="n">
        <v>1886.778385</v>
      </c>
      <c r="J748" s="27" t="n">
        <v>911957</v>
      </c>
      <c r="K748" s="27" t="n">
        <v>911959</v>
      </c>
      <c r="L748" s="9" t="n">
        <f aca="false">IF(AND(K748&lt;&gt;"",J748&lt;Assumptions!$B$3*K748),K748,J748)</f>
        <v>911957</v>
      </c>
      <c r="M748" s="21" t="str">
        <f aca="false">IF(L748=J748,"FERC Form 1","EIA-861")</f>
        <v>FERC Form 1</v>
      </c>
      <c r="N748" s="28" t="n">
        <f aca="false">E748+F748+G748</f>
        <v>192.331128</v>
      </c>
    </row>
    <row r="749" customFormat="false" ht="15" hidden="false" customHeight="false" outlineLevel="0" collapsed="false">
      <c r="A749" s="7" t="n">
        <v>2002</v>
      </c>
      <c r="B749" s="15" t="s">
        <v>120</v>
      </c>
      <c r="C749" s="15" t="s">
        <v>118</v>
      </c>
      <c r="D749" s="15" t="s">
        <v>121</v>
      </c>
      <c r="E749" s="19" t="n">
        <v>81.451702</v>
      </c>
      <c r="F749" s="19" t="n">
        <v>45.739458</v>
      </c>
      <c r="G749" s="19" t="n">
        <v>62.248196</v>
      </c>
      <c r="H749" s="19" t="n">
        <v>84.574306</v>
      </c>
      <c r="I749" s="19" t="n">
        <v>1951.804008</v>
      </c>
      <c r="J749" s="27" t="n">
        <v>920813</v>
      </c>
      <c r="K749" s="27" t="n">
        <v>920811</v>
      </c>
      <c r="L749" s="9" t="n">
        <f aca="false">IF(AND(K749&lt;&gt;"",J749&lt;Assumptions!$B$3*K749),K749,J749)</f>
        <v>920813</v>
      </c>
      <c r="M749" s="21" t="str">
        <f aca="false">IF(L749=J749,"FERC Form 1","EIA-861")</f>
        <v>FERC Form 1</v>
      </c>
      <c r="N749" s="28" t="n">
        <f aca="false">E749+F749+G749</f>
        <v>189.439356</v>
      </c>
    </row>
    <row r="750" customFormat="false" ht="15" hidden="false" customHeight="false" outlineLevel="0" collapsed="false">
      <c r="A750" s="7" t="n">
        <v>2003</v>
      </c>
      <c r="B750" s="15" t="s">
        <v>120</v>
      </c>
      <c r="C750" s="15" t="s">
        <v>118</v>
      </c>
      <c r="D750" s="15" t="s">
        <v>121</v>
      </c>
      <c r="E750" s="19" t="n">
        <v>90.683805</v>
      </c>
      <c r="F750" s="19" t="n">
        <v>45.131146</v>
      </c>
      <c r="G750" s="19" t="n">
        <v>64.361784</v>
      </c>
      <c r="H750" s="19" t="n">
        <v>79.997026</v>
      </c>
      <c r="I750" s="19" t="n">
        <v>2006.328748</v>
      </c>
      <c r="J750" s="27" t="n">
        <v>925079</v>
      </c>
      <c r="K750" s="27" t="n">
        <v>925080</v>
      </c>
      <c r="L750" s="9" t="n">
        <f aca="false">IF(AND(K750&lt;&gt;"",J750&lt;Assumptions!$B$3*K750),K750,J750)</f>
        <v>925079</v>
      </c>
      <c r="M750" s="21" t="str">
        <f aca="false">IF(L750=J750,"FERC Form 1","EIA-861")</f>
        <v>FERC Form 1</v>
      </c>
      <c r="N750" s="28" t="n">
        <f aca="false">E750+F750+G750</f>
        <v>200.176735</v>
      </c>
    </row>
    <row r="751" customFormat="false" ht="15" hidden="false" customHeight="false" outlineLevel="0" collapsed="false">
      <c r="A751" s="7" t="n">
        <v>2004</v>
      </c>
      <c r="B751" s="15" t="s">
        <v>120</v>
      </c>
      <c r="C751" s="15" t="s">
        <v>118</v>
      </c>
      <c r="D751" s="15" t="s">
        <v>121</v>
      </c>
      <c r="E751" s="19" t="n">
        <v>93.941718</v>
      </c>
      <c r="F751" s="19" t="n">
        <v>47.589438</v>
      </c>
      <c r="G751" s="19" t="n">
        <v>66.219052</v>
      </c>
      <c r="H751" s="19" t="n">
        <v>93.605445</v>
      </c>
      <c r="I751" s="19" t="n">
        <v>2070.377381</v>
      </c>
      <c r="J751" s="27" t="n">
        <v>930609</v>
      </c>
      <c r="K751" s="27" t="n">
        <v>930609</v>
      </c>
      <c r="L751" s="9" t="n">
        <f aca="false">IF(AND(K751&lt;&gt;"",J751&lt;Assumptions!$B$3*K751),K751,J751)</f>
        <v>930609</v>
      </c>
      <c r="M751" s="21" t="str">
        <f aca="false">IF(L751=J751,"FERC Form 1","EIA-861")</f>
        <v>FERC Form 1</v>
      </c>
      <c r="N751" s="28" t="n">
        <f aca="false">E751+F751+G751</f>
        <v>207.750208</v>
      </c>
    </row>
    <row r="752" customFormat="false" ht="15" hidden="false" customHeight="false" outlineLevel="0" collapsed="false">
      <c r="A752" s="7" t="n">
        <v>2005</v>
      </c>
      <c r="B752" s="15" t="s">
        <v>120</v>
      </c>
      <c r="C752" s="15" t="s">
        <v>118</v>
      </c>
      <c r="D752" s="15" t="s">
        <v>121</v>
      </c>
      <c r="E752" s="19" t="n">
        <v>95.804957</v>
      </c>
      <c r="F752" s="19" t="n">
        <v>46.896584</v>
      </c>
      <c r="G752" s="19" t="n">
        <v>67.83134</v>
      </c>
      <c r="H752" s="19" t="n">
        <v>116.440136</v>
      </c>
      <c r="I752" s="19" t="n">
        <v>2141.152648</v>
      </c>
      <c r="J752" s="27" t="n">
        <v>938029</v>
      </c>
      <c r="K752" s="27" t="n">
        <v>938029</v>
      </c>
      <c r="L752" s="9" t="n">
        <f aca="false">IF(AND(K752&lt;&gt;"",J752&lt;Assumptions!$B$3*K752),K752,J752)</f>
        <v>938029</v>
      </c>
      <c r="M752" s="21" t="str">
        <f aca="false">IF(L752=J752,"FERC Form 1","EIA-861")</f>
        <v>FERC Form 1</v>
      </c>
      <c r="N752" s="28" t="n">
        <f aca="false">E752+F752+G752</f>
        <v>210.532881</v>
      </c>
    </row>
    <row r="753" customFormat="false" ht="15" hidden="false" customHeight="false" outlineLevel="0" collapsed="false">
      <c r="A753" s="7" t="n">
        <v>2006</v>
      </c>
      <c r="B753" s="15" t="s">
        <v>120</v>
      </c>
      <c r="C753" s="15" t="s">
        <v>118</v>
      </c>
      <c r="D753" s="15" t="s">
        <v>121</v>
      </c>
      <c r="E753" s="19" t="n">
        <v>98.203298</v>
      </c>
      <c r="F753" s="19" t="n">
        <v>46.475838</v>
      </c>
      <c r="G753" s="19" t="n">
        <v>71.642647</v>
      </c>
      <c r="H753" s="19" t="n">
        <v>188.806778</v>
      </c>
      <c r="I753" s="19" t="n">
        <v>2237.776506</v>
      </c>
      <c r="J753" s="27" t="n">
        <v>945080</v>
      </c>
      <c r="K753" s="27" t="n">
        <v>945080</v>
      </c>
      <c r="L753" s="9" t="n">
        <f aca="false">IF(AND(K753&lt;&gt;"",J753&lt;Assumptions!$B$3*K753),K753,J753)</f>
        <v>945080</v>
      </c>
      <c r="M753" s="21" t="str">
        <f aca="false">IF(L753=J753,"FERC Form 1","EIA-861")</f>
        <v>FERC Form 1</v>
      </c>
      <c r="N753" s="28" t="n">
        <f aca="false">E753+F753+G753</f>
        <v>216.321783</v>
      </c>
    </row>
    <row r="754" customFormat="false" ht="15" hidden="false" customHeight="false" outlineLevel="0" collapsed="false">
      <c r="A754" s="7" t="n">
        <v>2007</v>
      </c>
      <c r="B754" s="15" t="s">
        <v>120</v>
      </c>
      <c r="C754" s="15" t="s">
        <v>118</v>
      </c>
      <c r="D754" s="15" t="s">
        <v>121</v>
      </c>
      <c r="E754" s="19" t="n">
        <v>96.712036</v>
      </c>
      <c r="F754" s="19" t="n">
        <v>52.073221</v>
      </c>
      <c r="G754" s="19" t="n">
        <v>72.354846</v>
      </c>
      <c r="H754" s="19" t="n">
        <v>176.976552</v>
      </c>
      <c r="I754" s="19" t="n">
        <v>2372.576807</v>
      </c>
      <c r="J754" s="27" t="n">
        <v>951693</v>
      </c>
      <c r="K754" s="27" t="n">
        <v>951692</v>
      </c>
      <c r="L754" s="9" t="n">
        <f aca="false">IF(AND(K754&lt;&gt;"",J754&lt;Assumptions!$B$3*K754),K754,J754)</f>
        <v>951693</v>
      </c>
      <c r="M754" s="21" t="str">
        <f aca="false">IF(L754=J754,"FERC Form 1","EIA-861")</f>
        <v>FERC Form 1</v>
      </c>
      <c r="N754" s="28" t="n">
        <f aca="false">E754+F754+G754</f>
        <v>221.140103</v>
      </c>
    </row>
    <row r="755" customFormat="false" ht="15" hidden="false" customHeight="false" outlineLevel="0" collapsed="false">
      <c r="A755" s="7" t="n">
        <v>2008</v>
      </c>
      <c r="B755" s="15" t="s">
        <v>120</v>
      </c>
      <c r="C755" s="15" t="s">
        <v>118</v>
      </c>
      <c r="D755" s="15" t="s">
        <v>121</v>
      </c>
      <c r="E755" s="19" t="n">
        <v>117.537838</v>
      </c>
      <c r="F755" s="19" t="n">
        <v>47.918143</v>
      </c>
      <c r="G755" s="19" t="n">
        <v>77.12774</v>
      </c>
      <c r="H755" s="19" t="n">
        <v>168.892625</v>
      </c>
      <c r="I755" s="19" t="n">
        <v>2499.383288</v>
      </c>
      <c r="J755" s="27" t="n">
        <v>957875</v>
      </c>
      <c r="K755" s="27" t="n">
        <v>957874</v>
      </c>
      <c r="L755" s="9" t="n">
        <f aca="false">IF(AND(K755&lt;&gt;"",J755&lt;Assumptions!$B$3*K755),K755,J755)</f>
        <v>957875</v>
      </c>
      <c r="M755" s="21" t="str">
        <f aca="false">IF(L755=J755,"FERC Form 1","EIA-861")</f>
        <v>FERC Form 1</v>
      </c>
      <c r="N755" s="28" t="n">
        <f aca="false">E755+F755+G755</f>
        <v>242.583721</v>
      </c>
    </row>
    <row r="756" customFormat="false" ht="15" hidden="false" customHeight="false" outlineLevel="0" collapsed="false">
      <c r="A756" s="7" t="n">
        <v>2009</v>
      </c>
      <c r="B756" s="15" t="s">
        <v>120</v>
      </c>
      <c r="C756" s="15" t="s">
        <v>118</v>
      </c>
      <c r="D756" s="15" t="s">
        <v>121</v>
      </c>
      <c r="E756" s="19" t="n">
        <v>156.770294</v>
      </c>
      <c r="F756" s="19" t="n">
        <v>43.272877</v>
      </c>
      <c r="G756" s="19" t="n">
        <v>84.578421</v>
      </c>
      <c r="H756" s="19" t="n">
        <v>172.83787</v>
      </c>
      <c r="I756" s="19" t="n">
        <v>2639.835336</v>
      </c>
      <c r="J756" s="27" t="n">
        <v>959814</v>
      </c>
      <c r="K756" s="27" t="n">
        <v>959814</v>
      </c>
      <c r="L756" s="9" t="n">
        <f aca="false">IF(AND(K756&lt;&gt;"",J756&lt;Assumptions!$B$3*K756),K756,J756)</f>
        <v>959814</v>
      </c>
      <c r="M756" s="21" t="str">
        <f aca="false">IF(L756=J756,"FERC Form 1","EIA-861")</f>
        <v>FERC Form 1</v>
      </c>
      <c r="N756" s="28" t="n">
        <f aca="false">E756+F756+G756</f>
        <v>284.621592</v>
      </c>
    </row>
    <row r="757" customFormat="false" ht="15" hidden="false" customHeight="false" outlineLevel="0" collapsed="false">
      <c r="A757" s="7" t="n">
        <v>2010</v>
      </c>
      <c r="B757" s="15" t="s">
        <v>120</v>
      </c>
      <c r="C757" s="15" t="s">
        <v>118</v>
      </c>
      <c r="D757" s="15" t="s">
        <v>121</v>
      </c>
      <c r="E757" s="19" t="n">
        <v>109.730607</v>
      </c>
      <c r="F757" s="19" t="n">
        <v>43.508135</v>
      </c>
      <c r="G757" s="19" t="n">
        <v>88.729108</v>
      </c>
      <c r="H757" s="19" t="n">
        <v>125.193661</v>
      </c>
      <c r="I757" s="19" t="n">
        <v>2738.28516</v>
      </c>
      <c r="J757" s="27" t="n">
        <v>961229</v>
      </c>
      <c r="K757" s="27" t="n">
        <v>961229</v>
      </c>
      <c r="L757" s="9" t="n">
        <f aca="false">IF(AND(K757&lt;&gt;"",J757&lt;Assumptions!$B$3*K757),K757,J757)</f>
        <v>961229</v>
      </c>
      <c r="M757" s="21" t="str">
        <f aca="false">IF(L757=J757,"FERC Form 1","EIA-861")</f>
        <v>FERC Form 1</v>
      </c>
      <c r="N757" s="28" t="n">
        <f aca="false">E757+F757+G757</f>
        <v>241.96785</v>
      </c>
    </row>
    <row r="758" customFormat="false" ht="15" hidden="false" customHeight="false" outlineLevel="0" collapsed="false">
      <c r="A758" s="7" t="n">
        <v>2011</v>
      </c>
      <c r="B758" s="15" t="s">
        <v>120</v>
      </c>
      <c r="C758" s="15" t="s">
        <v>118</v>
      </c>
      <c r="D758" s="15" t="s">
        <v>121</v>
      </c>
      <c r="E758" s="19" t="n">
        <v>90.355092</v>
      </c>
      <c r="F758" s="19" t="n">
        <v>44.143309</v>
      </c>
      <c r="G758" s="19" t="n">
        <v>89.436509</v>
      </c>
      <c r="H758" s="19" t="n">
        <v>130.112573</v>
      </c>
      <c r="I758" s="19" t="n">
        <v>2841.967051</v>
      </c>
      <c r="J758" s="27" t="n">
        <v>961129</v>
      </c>
      <c r="K758" s="27" t="n">
        <v>961129</v>
      </c>
      <c r="L758" s="9" t="n">
        <f aca="false">IF(AND(K758&lt;&gt;"",J758&lt;Assumptions!$B$3*K758),K758,J758)</f>
        <v>961129</v>
      </c>
      <c r="M758" s="21" t="str">
        <f aca="false">IF(L758=J758,"FERC Form 1","EIA-861")</f>
        <v>FERC Form 1</v>
      </c>
      <c r="N758" s="28" t="n">
        <f aca="false">E758+F758+G758</f>
        <v>223.93491</v>
      </c>
    </row>
    <row r="759" customFormat="false" ht="15" hidden="false" customHeight="false" outlineLevel="0" collapsed="false">
      <c r="A759" s="7" t="n">
        <v>2012</v>
      </c>
      <c r="B759" s="15" t="s">
        <v>120</v>
      </c>
      <c r="C759" s="15" t="s">
        <v>118</v>
      </c>
      <c r="D759" s="15" t="s">
        <v>121</v>
      </c>
      <c r="E759" s="19" t="n">
        <v>115.706381</v>
      </c>
      <c r="F759" s="19" t="n">
        <v>53.414598</v>
      </c>
      <c r="G759" s="19" t="n">
        <v>101.779757</v>
      </c>
      <c r="H759" s="19" t="n">
        <v>176.423453</v>
      </c>
      <c r="I759" s="19" t="n">
        <v>2988.920393</v>
      </c>
      <c r="J759" s="27" t="n">
        <v>960176</v>
      </c>
      <c r="K759" s="27" t="n">
        <v>960176</v>
      </c>
      <c r="L759" s="9" t="n">
        <f aca="false">IF(AND(K759&lt;&gt;"",J759&lt;Assumptions!$B$3*K759),K759,J759)</f>
        <v>960176</v>
      </c>
      <c r="M759" s="21" t="str">
        <f aca="false">IF(L759=J759,"FERC Form 1","EIA-861")</f>
        <v>FERC Form 1</v>
      </c>
      <c r="N759" s="28" t="n">
        <f aca="false">E759+F759+G759</f>
        <v>270.900736</v>
      </c>
    </row>
    <row r="760" customFormat="false" ht="15" hidden="false" customHeight="false" outlineLevel="0" collapsed="false">
      <c r="A760" s="7" t="n">
        <v>2013</v>
      </c>
      <c r="B760" s="15" t="s">
        <v>120</v>
      </c>
      <c r="C760" s="15" t="s">
        <v>118</v>
      </c>
      <c r="D760" s="15" t="s">
        <v>121</v>
      </c>
      <c r="E760" s="19" t="n">
        <v>168.578963</v>
      </c>
      <c r="F760" s="19" t="n">
        <v>42.533589</v>
      </c>
      <c r="G760" s="19" t="n">
        <v>107.596422</v>
      </c>
      <c r="H760" s="19" t="n">
        <v>185.627864</v>
      </c>
      <c r="I760" s="19" t="n">
        <v>3136.652594</v>
      </c>
      <c r="J760" s="27" t="n">
        <v>959302</v>
      </c>
      <c r="K760" s="27" t="n">
        <v>959300</v>
      </c>
      <c r="L760" s="9" t="n">
        <f aca="false">IF(AND(K760&lt;&gt;"",J760&lt;Assumptions!$B$3*K760),K760,J760)</f>
        <v>959302</v>
      </c>
      <c r="M760" s="21" t="str">
        <f aca="false">IF(L760=J760,"FERC Form 1","EIA-861")</f>
        <v>FERC Form 1</v>
      </c>
      <c r="N760" s="28" t="n">
        <f aca="false">E760+F760+G760</f>
        <v>318.708974</v>
      </c>
    </row>
    <row r="761" customFormat="false" ht="15" hidden="false" customHeight="false" outlineLevel="0" collapsed="false">
      <c r="A761" s="7" t="n">
        <v>2014</v>
      </c>
      <c r="B761" s="15" t="s">
        <v>120</v>
      </c>
      <c r="C761" s="15" t="s">
        <v>118</v>
      </c>
      <c r="D761" s="15" t="s">
        <v>121</v>
      </c>
      <c r="E761" s="19" t="n">
        <v>123.922789</v>
      </c>
      <c r="F761" s="19" t="n">
        <v>49.606707</v>
      </c>
      <c r="G761" s="19" t="n">
        <v>111.56981</v>
      </c>
      <c r="H761" s="19" t="n">
        <v>147.799652</v>
      </c>
      <c r="I761" s="19" t="n">
        <v>3256.229906</v>
      </c>
      <c r="J761" s="27" t="n">
        <v>958029</v>
      </c>
      <c r="K761" s="27" t="n">
        <v>958029</v>
      </c>
      <c r="L761" s="9" t="n">
        <f aca="false">IF(AND(K761&lt;&gt;"",J761&lt;Assumptions!$B$3*K761),K761,J761)</f>
        <v>958029</v>
      </c>
      <c r="M761" s="21" t="str">
        <f aca="false">IF(L761=J761,"FERC Form 1","EIA-861")</f>
        <v>FERC Form 1</v>
      </c>
      <c r="N761" s="28" t="n">
        <f aca="false">E761+F761+G761</f>
        <v>285.099306</v>
      </c>
    </row>
    <row r="762" customFormat="false" ht="15" hidden="false" customHeight="false" outlineLevel="0" collapsed="false">
      <c r="A762" s="7" t="n">
        <v>2015</v>
      </c>
      <c r="B762" s="15" t="s">
        <v>120</v>
      </c>
      <c r="C762" s="15" t="s">
        <v>118</v>
      </c>
      <c r="D762" s="15" t="s">
        <v>121</v>
      </c>
      <c r="E762" s="19" t="n">
        <v>139.749367</v>
      </c>
      <c r="F762" s="19" t="n">
        <v>48.815819</v>
      </c>
      <c r="G762" s="19" t="n">
        <v>121.892441</v>
      </c>
      <c r="H762" s="19" t="n">
        <v>175.404254</v>
      </c>
      <c r="I762" s="19" t="n">
        <v>3400.127773</v>
      </c>
      <c r="J762" s="27" t="n">
        <v>956606</v>
      </c>
      <c r="K762" s="27" t="n">
        <v>956605</v>
      </c>
      <c r="L762" s="9" t="n">
        <f aca="false">IF(AND(K762&lt;&gt;"",J762&lt;Assumptions!$B$3*K762),K762,J762)</f>
        <v>956606</v>
      </c>
      <c r="M762" s="21" t="str">
        <f aca="false">IF(L762=J762,"FERC Form 1","EIA-861")</f>
        <v>FERC Form 1</v>
      </c>
      <c r="N762" s="28" t="n">
        <f aca="false">E762+F762+G762</f>
        <v>310.457627</v>
      </c>
    </row>
    <row r="763" customFormat="false" ht="15" hidden="false" customHeight="false" outlineLevel="0" collapsed="false">
      <c r="A763" s="7" t="n">
        <v>2016</v>
      </c>
      <c r="B763" s="15" t="s">
        <v>120</v>
      </c>
      <c r="C763" s="15" t="s">
        <v>118</v>
      </c>
      <c r="D763" s="15" t="s">
        <v>121</v>
      </c>
      <c r="E763" s="19" t="n">
        <v>158.709477</v>
      </c>
      <c r="F763" s="19" t="n">
        <v>54.266921</v>
      </c>
      <c r="G763" s="19" t="n">
        <v>131.046174</v>
      </c>
      <c r="H763" s="19" t="n">
        <v>202.717992</v>
      </c>
      <c r="I763" s="19" t="n">
        <v>3566.941043</v>
      </c>
      <c r="J763" s="27" t="n">
        <v>956718</v>
      </c>
      <c r="K763" s="27" t="n">
        <v>956716</v>
      </c>
      <c r="L763" s="9" t="n">
        <f aca="false">IF(AND(K763&lt;&gt;"",J763&lt;Assumptions!$B$3*K763),K763,J763)</f>
        <v>956718</v>
      </c>
      <c r="M763" s="21" t="str">
        <f aca="false">IF(L763=J763,"FERC Form 1","EIA-861")</f>
        <v>FERC Form 1</v>
      </c>
      <c r="N763" s="28" t="n">
        <f aca="false">E763+F763+G763</f>
        <v>344.022572</v>
      </c>
    </row>
    <row r="764" customFormat="false" ht="15" hidden="false" customHeight="false" outlineLevel="0" collapsed="false">
      <c r="A764" s="7" t="n">
        <v>2017</v>
      </c>
      <c r="B764" s="15" t="s">
        <v>120</v>
      </c>
      <c r="C764" s="15" t="s">
        <v>118</v>
      </c>
      <c r="D764" s="15" t="s">
        <v>121</v>
      </c>
      <c r="E764" s="19" t="n">
        <v>148.297623</v>
      </c>
      <c r="F764" s="19" t="n">
        <v>57.726434</v>
      </c>
      <c r="G764" s="19" t="n">
        <v>136.176533</v>
      </c>
      <c r="H764" s="19" t="n">
        <v>238.726925</v>
      </c>
      <c r="I764" s="19" t="n">
        <v>3761.628851</v>
      </c>
      <c r="J764" s="27" t="n">
        <v>955861</v>
      </c>
      <c r="K764" s="27" t="n">
        <v>955860</v>
      </c>
      <c r="L764" s="9" t="n">
        <f aca="false">IF(AND(K764&lt;&gt;"",J764&lt;Assumptions!$B$3*K764),K764,J764)</f>
        <v>955861</v>
      </c>
      <c r="M764" s="21" t="str">
        <f aca="false">IF(L764=J764,"FERC Form 1","EIA-861")</f>
        <v>FERC Form 1</v>
      </c>
      <c r="N764" s="28" t="n">
        <f aca="false">E764+F764+G764</f>
        <v>342.20059</v>
      </c>
    </row>
    <row r="765" customFormat="false" ht="15" hidden="false" customHeight="false" outlineLevel="0" collapsed="false">
      <c r="A765" s="7" t="n">
        <v>2018</v>
      </c>
      <c r="B765" s="15" t="s">
        <v>120</v>
      </c>
      <c r="C765" s="15" t="s">
        <v>118</v>
      </c>
      <c r="D765" s="15" t="s">
        <v>121</v>
      </c>
      <c r="E765" s="19" t="n">
        <v>202.680331</v>
      </c>
      <c r="F765" s="19" t="n">
        <v>59.765001</v>
      </c>
      <c r="G765" s="19" t="n">
        <v>143.254449</v>
      </c>
      <c r="H765" s="19" t="n">
        <v>267.0419</v>
      </c>
      <c r="I765" s="19" t="n">
        <v>3986.944489</v>
      </c>
      <c r="J765" s="27" t="n">
        <v>955578</v>
      </c>
      <c r="K765" s="27" t="n">
        <v>955577</v>
      </c>
      <c r="L765" s="9" t="n">
        <f aca="false">IF(AND(K765&lt;&gt;"",J765&lt;Assumptions!$B$3*K765),K765,J765)</f>
        <v>955578</v>
      </c>
      <c r="M765" s="21" t="str">
        <f aca="false">IF(L765=J765,"FERC Form 1","EIA-861")</f>
        <v>FERC Form 1</v>
      </c>
      <c r="N765" s="28" t="n">
        <f aca="false">E765+F765+G765</f>
        <v>405.699781</v>
      </c>
    </row>
    <row r="766" customFormat="false" ht="15" hidden="false" customHeight="false" outlineLevel="0" collapsed="false">
      <c r="A766" s="7" t="n">
        <v>2019</v>
      </c>
      <c r="B766" s="15" t="s">
        <v>120</v>
      </c>
      <c r="C766" s="15" t="s">
        <v>118</v>
      </c>
      <c r="D766" s="15" t="s">
        <v>121</v>
      </c>
      <c r="E766" s="19" t="n">
        <v>148.746971</v>
      </c>
      <c r="F766" s="19" t="n">
        <v>58.664017</v>
      </c>
      <c r="G766" s="19" t="n">
        <v>154.429316</v>
      </c>
      <c r="H766" s="19" t="n">
        <v>277.21864</v>
      </c>
      <c r="I766" s="19" t="n">
        <v>4199.018353</v>
      </c>
      <c r="J766" s="27" t="n">
        <v>954688</v>
      </c>
      <c r="K766" s="27" t="n">
        <v>954687</v>
      </c>
      <c r="L766" s="9" t="n">
        <f aca="false">IF(AND(K766&lt;&gt;"",J766&lt;Assumptions!$B$3*K766),K766,J766)</f>
        <v>954688</v>
      </c>
      <c r="M766" s="21" t="str">
        <f aca="false">IF(L766=J766,"FERC Form 1","EIA-861")</f>
        <v>FERC Form 1</v>
      </c>
      <c r="N766" s="28" t="n">
        <f aca="false">E766+F766+G766</f>
        <v>361.840304</v>
      </c>
    </row>
    <row r="767" customFormat="false" ht="15" hidden="false" customHeight="false" outlineLevel="0" collapsed="false">
      <c r="A767" s="7" t="n">
        <v>2020</v>
      </c>
      <c r="B767" s="15" t="s">
        <v>120</v>
      </c>
      <c r="C767" s="15" t="s">
        <v>118</v>
      </c>
      <c r="D767" s="15" t="s">
        <v>121</v>
      </c>
      <c r="E767" s="19" t="n">
        <v>138.571504</v>
      </c>
      <c r="F767" s="19" t="n">
        <v>47.856758</v>
      </c>
      <c r="G767" s="19" t="n">
        <v>179.230089</v>
      </c>
      <c r="H767" s="19" t="n">
        <v>316.622875</v>
      </c>
      <c r="I767" s="19" t="n">
        <v>4462.596917</v>
      </c>
      <c r="J767" s="27" t="n">
        <v>960162</v>
      </c>
      <c r="K767" s="27" t="n">
        <v>960162</v>
      </c>
      <c r="L767" s="9" t="n">
        <f aca="false">IF(AND(K767&lt;&gt;"",J767&lt;Assumptions!$B$3*K767),K767,J767)</f>
        <v>960162</v>
      </c>
      <c r="M767" s="21" t="str">
        <f aca="false">IF(L767=J767,"FERC Form 1","EIA-861")</f>
        <v>FERC Form 1</v>
      </c>
      <c r="N767" s="28" t="n">
        <f aca="false">E767+F767+G767</f>
        <v>365.658351</v>
      </c>
    </row>
    <row r="768" customFormat="false" ht="15" hidden="false" customHeight="false" outlineLevel="0" collapsed="false">
      <c r="A768" s="7" t="n">
        <v>2021</v>
      </c>
      <c r="B768" s="15" t="s">
        <v>120</v>
      </c>
      <c r="C768" s="15" t="s">
        <v>118</v>
      </c>
      <c r="D768" s="15" t="s">
        <v>121</v>
      </c>
      <c r="E768" s="19" t="n">
        <v>161.769073</v>
      </c>
      <c r="F768" s="19" t="n">
        <v>50.25959</v>
      </c>
      <c r="G768" s="19" t="n">
        <v>162.137505</v>
      </c>
      <c r="H768" s="19" t="n">
        <v>272.142613</v>
      </c>
      <c r="I768" s="19" t="n">
        <v>4682.118773</v>
      </c>
      <c r="J768" s="27" t="n">
        <v>964442</v>
      </c>
      <c r="K768" s="27" t="n">
        <v>964443</v>
      </c>
      <c r="L768" s="9" t="n">
        <f aca="false">IF(AND(K768&lt;&gt;"",J768&lt;Assumptions!$B$3*K768),K768,J768)</f>
        <v>964442</v>
      </c>
      <c r="M768" s="21" t="str">
        <f aca="false">IF(L768=J768,"FERC Form 1","EIA-861")</f>
        <v>FERC Form 1</v>
      </c>
      <c r="N768" s="28" t="n">
        <f aca="false">E768+F768+G768</f>
        <v>374.166168</v>
      </c>
    </row>
    <row r="769" customFormat="false" ht="15" hidden="false" customHeight="false" outlineLevel="0" collapsed="false">
      <c r="A769" s="7" t="n">
        <v>2022</v>
      </c>
      <c r="B769" s="15" t="s">
        <v>120</v>
      </c>
      <c r="C769" s="15" t="s">
        <v>118</v>
      </c>
      <c r="D769" s="15" t="s">
        <v>121</v>
      </c>
      <c r="E769" s="19" t="n">
        <v>191.330439</v>
      </c>
      <c r="F769" s="19" t="n">
        <v>57.535653</v>
      </c>
      <c r="G769" s="19" t="n">
        <v>179.053317</v>
      </c>
      <c r="H769" s="19" t="n">
        <v>309.059253</v>
      </c>
      <c r="I769" s="19" t="n">
        <v>4931.835811</v>
      </c>
      <c r="J769" s="27" t="n">
        <v>963755</v>
      </c>
      <c r="K769" s="27" t="n">
        <v>963756</v>
      </c>
      <c r="L769" s="9" t="n">
        <f aca="false">IF(AND(K769&lt;&gt;"",J769&lt;Assumptions!$B$3*K769),K769,J769)</f>
        <v>963755</v>
      </c>
      <c r="M769" s="21" t="str">
        <f aca="false">IF(L769=J769,"FERC Form 1","EIA-861")</f>
        <v>FERC Form 1</v>
      </c>
      <c r="N769" s="28" t="n">
        <f aca="false">E769+F769+G769</f>
        <v>427.919409</v>
      </c>
    </row>
    <row r="770" customFormat="false" ht="15" hidden="false" customHeight="false" outlineLevel="0" collapsed="false">
      <c r="A770" s="7" t="n">
        <v>2023</v>
      </c>
      <c r="B770" s="15" t="s">
        <v>120</v>
      </c>
      <c r="C770" s="15" t="s">
        <v>118</v>
      </c>
      <c r="D770" s="15" t="s">
        <v>121</v>
      </c>
      <c r="E770" s="19" t="n">
        <v>176.765629</v>
      </c>
      <c r="F770" s="19" t="n">
        <v>61.148439</v>
      </c>
      <c r="G770" s="19" t="n">
        <v>177.35396</v>
      </c>
      <c r="H770" s="19" t="n">
        <v>316.604771</v>
      </c>
      <c r="I770" s="19" t="n">
        <v>5175.188138</v>
      </c>
      <c r="J770" s="27" t="n">
        <v>965517</v>
      </c>
      <c r="K770" s="27" t="n">
        <v>965516</v>
      </c>
      <c r="L770" s="9" t="n">
        <f aca="false">IF(AND(K770&lt;&gt;"",J770&lt;Assumptions!$B$3*K770),K770,J770)</f>
        <v>965517</v>
      </c>
      <c r="M770" s="21" t="str">
        <f aca="false">IF(L770=J770,"FERC Form 1","EIA-861")</f>
        <v>FERC Form 1</v>
      </c>
      <c r="N770" s="28" t="n">
        <f aca="false">E770+F770+G770</f>
        <v>415.268028</v>
      </c>
    </row>
    <row r="771" customFormat="false" ht="15" hidden="false" customHeight="false" outlineLevel="0" collapsed="false">
      <c r="A771" s="7" t="n">
        <v>2024</v>
      </c>
      <c r="B771" s="15" t="s">
        <v>120</v>
      </c>
      <c r="C771" s="15" t="s">
        <v>118</v>
      </c>
      <c r="D771" s="15" t="s">
        <v>121</v>
      </c>
      <c r="E771" s="19" t="n">
        <v>231.430219</v>
      </c>
      <c r="F771" s="19" t="n">
        <v>71.820802</v>
      </c>
      <c r="G771" s="19" t="n">
        <v>189.07226</v>
      </c>
      <c r="H771" s="19" t="n">
        <v>446.17687</v>
      </c>
      <c r="I771" s="19" t="n">
        <v>5637.97425</v>
      </c>
      <c r="J771" s="27" t="n">
        <v>967408</v>
      </c>
      <c r="K771" s="27" t="n">
        <v>967408</v>
      </c>
      <c r="L771" s="9" t="n">
        <f aca="false">IF(AND(K771&lt;&gt;"",J771&lt;Assumptions!$B$3*K771),K771,J771)</f>
        <v>967408</v>
      </c>
      <c r="M771" s="21" t="str">
        <f aca="false">IF(L771=J771,"FERC Form 1","EIA-861")</f>
        <v>FERC Form 1</v>
      </c>
      <c r="N771" s="28" t="n">
        <f aca="false">E771+F771+G771</f>
        <v>492.323281</v>
      </c>
    </row>
    <row r="772" customFormat="false" ht="15" hidden="false" customHeight="false" outlineLevel="0" collapsed="false">
      <c r="A772" s="7" t="n">
        <v>2025</v>
      </c>
      <c r="B772" s="15" t="s">
        <v>120</v>
      </c>
      <c r="C772" s="15" t="s">
        <v>118</v>
      </c>
      <c r="D772" s="15" t="s">
        <v>121</v>
      </c>
      <c r="E772" s="19" t="n">
        <v>252.044402</v>
      </c>
      <c r="F772" s="19" t="n">
        <v>96.903907</v>
      </c>
      <c r="G772" s="19" t="n">
        <v>197.797272</v>
      </c>
      <c r="H772" s="19" t="n">
        <v>452.438883</v>
      </c>
      <c r="I772" s="19" t="n">
        <v>6053.040517</v>
      </c>
      <c r="J772" s="27" t="n">
        <v>968644</v>
      </c>
      <c r="K772" s="27" t="n">
        <v>968643</v>
      </c>
      <c r="L772" s="9" t="n">
        <f aca="false">IF(AND(K772&lt;&gt;"",J772&lt;Assumptions!$B$3*K772),K772,J772)</f>
        <v>968644</v>
      </c>
      <c r="M772" s="21" t="str">
        <f aca="false">IF(L772=J772,"FERC Form 1","EIA-861")</f>
        <v>FERC Form 1</v>
      </c>
      <c r="N772" s="28" t="n">
        <f aca="false">E772+F772+G772</f>
        <v>546.745581</v>
      </c>
    </row>
    <row r="773" customFormat="false" ht="15" hidden="false" customHeight="false" outlineLevel="0" collapsed="false">
      <c r="A773" s="7" t="n">
        <v>2000</v>
      </c>
      <c r="B773" s="15" t="s">
        <v>122</v>
      </c>
      <c r="C773" s="15" t="s">
        <v>118</v>
      </c>
      <c r="D773" s="15" t="s">
        <v>105</v>
      </c>
      <c r="E773" s="19" t="n">
        <v>39.012646</v>
      </c>
      <c r="F773" s="19" t="n">
        <v>41.303685</v>
      </c>
      <c r="G773" s="19" t="n">
        <v>30.55559</v>
      </c>
      <c r="H773" s="19" t="n">
        <v>30.504788</v>
      </c>
      <c r="I773" s="19" t="n">
        <v>832.678457</v>
      </c>
      <c r="J773" s="27" t="n">
        <v>497299</v>
      </c>
      <c r="K773" s="27"/>
      <c r="L773" s="9" t="n">
        <f aca="false">IF(AND(K773&lt;&gt;"",J773&lt;Assumptions!$B$3*K773),K773,J773)</f>
        <v>497299</v>
      </c>
      <c r="M773" s="21" t="str">
        <f aca="false">IF(L773=J773,"FERC Form 1","EIA-861")</f>
        <v>FERC Form 1</v>
      </c>
      <c r="N773" s="28" t="n">
        <f aca="false">E773+F773+G773</f>
        <v>110.871921</v>
      </c>
    </row>
    <row r="774" customFormat="false" ht="15" hidden="false" customHeight="false" outlineLevel="0" collapsed="false">
      <c r="A774" s="7" t="n">
        <v>2001</v>
      </c>
      <c r="B774" s="15" t="s">
        <v>122</v>
      </c>
      <c r="C774" s="15" t="s">
        <v>118</v>
      </c>
      <c r="D774" s="15" t="s">
        <v>105</v>
      </c>
      <c r="E774" s="19" t="n">
        <v>41.472334</v>
      </c>
      <c r="F774" s="19" t="n">
        <v>50.99432</v>
      </c>
      <c r="G774" s="19" t="n">
        <v>31.287783</v>
      </c>
      <c r="H774" s="19" t="n">
        <v>26.37738</v>
      </c>
      <c r="I774" s="19" t="n">
        <v>854.164985</v>
      </c>
      <c r="J774" s="27" t="n">
        <v>505302</v>
      </c>
      <c r="K774" s="27" t="n">
        <v>505302</v>
      </c>
      <c r="L774" s="9" t="n">
        <f aca="false">IF(AND(K774&lt;&gt;"",J774&lt;Assumptions!$B$3*K774),K774,J774)</f>
        <v>505302</v>
      </c>
      <c r="M774" s="21" t="str">
        <f aca="false">IF(L774=J774,"FERC Form 1","EIA-861")</f>
        <v>FERC Form 1</v>
      </c>
      <c r="N774" s="28" t="n">
        <f aca="false">E774+F774+G774</f>
        <v>123.754437</v>
      </c>
    </row>
    <row r="775" customFormat="false" ht="15" hidden="false" customHeight="false" outlineLevel="0" collapsed="false">
      <c r="A775" s="7" t="n">
        <v>2002</v>
      </c>
      <c r="B775" s="15" t="s">
        <v>122</v>
      </c>
      <c r="C775" s="15" t="s">
        <v>118</v>
      </c>
      <c r="D775" s="15" t="s">
        <v>105</v>
      </c>
      <c r="E775" s="19" t="n">
        <v>36.334177</v>
      </c>
      <c r="F775" s="19" t="n">
        <v>48.328401</v>
      </c>
      <c r="G775" s="19" t="n">
        <v>33.323833</v>
      </c>
      <c r="H775" s="19" t="n">
        <v>84.92646</v>
      </c>
      <c r="I775" s="19" t="n">
        <v>933.41673</v>
      </c>
      <c r="J775" s="27" t="n">
        <v>511926</v>
      </c>
      <c r="K775" s="27" t="n">
        <v>511925</v>
      </c>
      <c r="L775" s="9" t="n">
        <f aca="false">IF(AND(K775&lt;&gt;"",J775&lt;Assumptions!$B$3*K775),K775,J775)</f>
        <v>511926</v>
      </c>
      <c r="M775" s="21" t="str">
        <f aca="false">IF(L775=J775,"FERC Form 1","EIA-861")</f>
        <v>FERC Form 1</v>
      </c>
      <c r="N775" s="28" t="n">
        <f aca="false">E775+F775+G775</f>
        <v>117.986411</v>
      </c>
    </row>
    <row r="776" customFormat="false" ht="15" hidden="false" customHeight="false" outlineLevel="0" collapsed="false">
      <c r="A776" s="7" t="n">
        <v>2003</v>
      </c>
      <c r="B776" s="15" t="s">
        <v>122</v>
      </c>
      <c r="C776" s="15" t="s">
        <v>118</v>
      </c>
      <c r="D776" s="15" t="s">
        <v>105</v>
      </c>
      <c r="E776" s="19" t="n">
        <v>37.55859</v>
      </c>
      <c r="F776" s="19" t="n">
        <v>44.172059</v>
      </c>
      <c r="G776" s="19" t="n">
        <v>35.780895</v>
      </c>
      <c r="H776" s="19" t="n">
        <v>53.327973</v>
      </c>
      <c r="I776" s="19" t="n">
        <v>981.283587</v>
      </c>
      <c r="J776" s="27" t="n">
        <v>518011</v>
      </c>
      <c r="K776" s="27" t="n">
        <v>518012</v>
      </c>
      <c r="L776" s="9" t="n">
        <f aca="false">IF(AND(K776&lt;&gt;"",J776&lt;Assumptions!$B$3*K776),K776,J776)</f>
        <v>518011</v>
      </c>
      <c r="M776" s="21" t="str">
        <f aca="false">IF(L776=J776,"FERC Form 1","EIA-861")</f>
        <v>FERC Form 1</v>
      </c>
      <c r="N776" s="28" t="n">
        <f aca="false">E776+F776+G776</f>
        <v>117.511544</v>
      </c>
    </row>
    <row r="777" customFormat="false" ht="15" hidden="false" customHeight="false" outlineLevel="0" collapsed="false">
      <c r="A777" s="7" t="n">
        <v>2004</v>
      </c>
      <c r="B777" s="15" t="s">
        <v>122</v>
      </c>
      <c r="C777" s="15" t="s">
        <v>118</v>
      </c>
      <c r="D777" s="15" t="s">
        <v>105</v>
      </c>
      <c r="E777" s="19" t="n">
        <v>34.577927</v>
      </c>
      <c r="F777" s="19" t="n">
        <v>44.733269</v>
      </c>
      <c r="G777" s="19" t="n">
        <v>37.24222</v>
      </c>
      <c r="H777" s="19" t="n">
        <v>77.773357</v>
      </c>
      <c r="I777" s="19" t="n">
        <v>1039.45045</v>
      </c>
      <c r="J777" s="27" t="n">
        <v>520850</v>
      </c>
      <c r="K777" s="27" t="n">
        <v>520850</v>
      </c>
      <c r="L777" s="9" t="n">
        <f aca="false">IF(AND(K777&lt;&gt;"",J777&lt;Assumptions!$B$3*K777),K777,J777)</f>
        <v>520850</v>
      </c>
      <c r="M777" s="21" t="str">
        <f aca="false">IF(L777=J777,"FERC Form 1","EIA-861")</f>
        <v>FERC Form 1</v>
      </c>
      <c r="N777" s="28" t="n">
        <f aca="false">E777+F777+G777</f>
        <v>116.553416</v>
      </c>
    </row>
    <row r="778" customFormat="false" ht="15" hidden="false" customHeight="false" outlineLevel="0" collapsed="false">
      <c r="A778" s="7" t="n">
        <v>2005</v>
      </c>
      <c r="B778" s="15" t="s">
        <v>122</v>
      </c>
      <c r="C778" s="15" t="s">
        <v>118</v>
      </c>
      <c r="D778" s="15" t="s">
        <v>105</v>
      </c>
      <c r="E778" s="19" t="n">
        <v>33.788731</v>
      </c>
      <c r="F778" s="19" t="n">
        <v>43.0024</v>
      </c>
      <c r="G778" s="19" t="n">
        <v>34.621102</v>
      </c>
      <c r="H778" s="19" t="n">
        <v>57.13173</v>
      </c>
      <c r="I778" s="19" t="n">
        <v>1089.907634</v>
      </c>
      <c r="J778" s="27" t="n">
        <v>528271</v>
      </c>
      <c r="K778" s="27" t="n">
        <v>528271</v>
      </c>
      <c r="L778" s="9" t="n">
        <f aca="false">IF(AND(K778&lt;&gt;"",J778&lt;Assumptions!$B$3*K778),K778,J778)</f>
        <v>528271</v>
      </c>
      <c r="M778" s="21" t="str">
        <f aca="false">IF(L778=J778,"FERC Form 1","EIA-861")</f>
        <v>FERC Form 1</v>
      </c>
      <c r="N778" s="28" t="n">
        <f aca="false">E778+F778+G778</f>
        <v>111.412233</v>
      </c>
    </row>
    <row r="779" customFormat="false" ht="15" hidden="false" customHeight="false" outlineLevel="0" collapsed="false">
      <c r="A779" s="7" t="n">
        <v>2006</v>
      </c>
      <c r="B779" s="15" t="s">
        <v>122</v>
      </c>
      <c r="C779" s="15" t="s">
        <v>118</v>
      </c>
      <c r="D779" s="15" t="s">
        <v>105</v>
      </c>
      <c r="E779" s="19" t="n">
        <v>32.600896</v>
      </c>
      <c r="F779" s="19" t="n">
        <v>46.290224</v>
      </c>
      <c r="G779" s="19" t="n">
        <v>30.507953</v>
      </c>
      <c r="H779" s="19" t="n">
        <v>59.564617</v>
      </c>
      <c r="I779" s="19" t="n">
        <v>1188.020201</v>
      </c>
      <c r="J779" s="27" t="n">
        <v>536415</v>
      </c>
      <c r="K779" s="27" t="n">
        <v>536415</v>
      </c>
      <c r="L779" s="9" t="n">
        <f aca="false">IF(AND(K779&lt;&gt;"",J779&lt;Assumptions!$B$3*K779),K779,J779)</f>
        <v>536415</v>
      </c>
      <c r="M779" s="21" t="str">
        <f aca="false">IF(L779=J779,"FERC Form 1","EIA-861")</f>
        <v>FERC Form 1</v>
      </c>
      <c r="N779" s="28" t="n">
        <f aca="false">E779+F779+G779</f>
        <v>109.399073</v>
      </c>
    </row>
    <row r="780" customFormat="false" ht="15" hidden="false" customHeight="false" outlineLevel="0" collapsed="false">
      <c r="A780" s="7" t="n">
        <v>2007</v>
      </c>
      <c r="B780" s="15" t="s">
        <v>122</v>
      </c>
      <c r="C780" s="15" t="s">
        <v>118</v>
      </c>
      <c r="D780" s="15" t="s">
        <v>105</v>
      </c>
      <c r="E780" s="19" t="n">
        <v>36.032133</v>
      </c>
      <c r="F780" s="19" t="n">
        <v>61.552704</v>
      </c>
      <c r="G780" s="19" t="n">
        <v>33.071641</v>
      </c>
      <c r="H780" s="19" t="n">
        <v>63.395039</v>
      </c>
      <c r="I780" s="19" t="n">
        <v>1242.718762</v>
      </c>
      <c r="J780" s="27" t="n">
        <v>542126</v>
      </c>
      <c r="K780" s="27" t="n">
        <v>542126</v>
      </c>
      <c r="L780" s="9" t="n">
        <f aca="false">IF(AND(K780&lt;&gt;"",J780&lt;Assumptions!$B$3*K780),K780,J780)</f>
        <v>542126</v>
      </c>
      <c r="M780" s="21" t="str">
        <f aca="false">IF(L780=J780,"FERC Form 1","EIA-861")</f>
        <v>FERC Form 1</v>
      </c>
      <c r="N780" s="28" t="n">
        <f aca="false">E780+F780+G780</f>
        <v>130.656478</v>
      </c>
    </row>
    <row r="781" customFormat="false" ht="15" hidden="false" customHeight="false" outlineLevel="0" collapsed="false">
      <c r="A781" s="7" t="n">
        <v>2008</v>
      </c>
      <c r="B781" s="15" t="s">
        <v>122</v>
      </c>
      <c r="C781" s="15" t="s">
        <v>118</v>
      </c>
      <c r="D781" s="15" t="s">
        <v>105</v>
      </c>
      <c r="E781" s="19" t="n">
        <v>39.308678</v>
      </c>
      <c r="F781" s="19" t="n">
        <v>71.857007</v>
      </c>
      <c r="G781" s="19" t="n">
        <v>20.01903</v>
      </c>
      <c r="H781" s="19" t="n">
        <v>84.225203</v>
      </c>
      <c r="I781" s="19" t="n">
        <v>1315.924088</v>
      </c>
      <c r="J781" s="27" t="n">
        <v>545011</v>
      </c>
      <c r="K781" s="27" t="n">
        <v>545011</v>
      </c>
      <c r="L781" s="9" t="n">
        <f aca="false">IF(AND(K781&lt;&gt;"",J781&lt;Assumptions!$B$3*K781),K781,J781)</f>
        <v>545011</v>
      </c>
      <c r="M781" s="21" t="str">
        <f aca="false">IF(L781=J781,"FERC Form 1","EIA-861")</f>
        <v>FERC Form 1</v>
      </c>
      <c r="N781" s="28" t="n">
        <f aca="false">E781+F781+G781</f>
        <v>131.184715</v>
      </c>
    </row>
    <row r="782" customFormat="false" ht="15" hidden="false" customHeight="false" outlineLevel="0" collapsed="false">
      <c r="A782" s="7" t="n">
        <v>2009</v>
      </c>
      <c r="B782" s="15" t="s">
        <v>122</v>
      </c>
      <c r="C782" s="15" t="s">
        <v>118</v>
      </c>
      <c r="D782" s="15" t="s">
        <v>105</v>
      </c>
      <c r="E782" s="19" t="n">
        <v>41.515007</v>
      </c>
      <c r="F782" s="19" t="n">
        <v>74.966167</v>
      </c>
      <c r="G782" s="19" t="n">
        <v>22.593974</v>
      </c>
      <c r="H782" s="19" t="n">
        <v>76.346122</v>
      </c>
      <c r="I782" s="19" t="n">
        <v>1412.858927</v>
      </c>
      <c r="J782" s="27" t="n">
        <v>546236</v>
      </c>
      <c r="K782" s="27" t="n">
        <v>546236</v>
      </c>
      <c r="L782" s="9" t="n">
        <f aca="false">IF(AND(K782&lt;&gt;"",J782&lt;Assumptions!$B$3*K782),K782,J782)</f>
        <v>546236</v>
      </c>
      <c r="M782" s="21" t="str">
        <f aca="false">IF(L782=J782,"FERC Form 1","EIA-861")</f>
        <v>FERC Form 1</v>
      </c>
      <c r="N782" s="28" t="n">
        <f aca="false">E782+F782+G782</f>
        <v>139.075148</v>
      </c>
    </row>
    <row r="783" customFormat="false" ht="15" hidden="false" customHeight="false" outlineLevel="0" collapsed="false">
      <c r="A783" s="7" t="n">
        <v>2010</v>
      </c>
      <c r="B783" s="15" t="s">
        <v>122</v>
      </c>
      <c r="C783" s="15" t="s">
        <v>118</v>
      </c>
      <c r="D783" s="15" t="s">
        <v>105</v>
      </c>
      <c r="E783" s="19" t="n">
        <v>49.447143</v>
      </c>
      <c r="F783" s="19" t="n">
        <v>81.219049</v>
      </c>
      <c r="G783" s="19" t="n">
        <v>24.499962</v>
      </c>
      <c r="H783" s="19" t="n">
        <v>109.173154</v>
      </c>
      <c r="I783" s="19" t="n">
        <v>1511.365463</v>
      </c>
      <c r="J783" s="27" t="n">
        <v>547400</v>
      </c>
      <c r="K783" s="27" t="n">
        <v>547400</v>
      </c>
      <c r="L783" s="9" t="n">
        <f aca="false">IF(AND(K783&lt;&gt;"",J783&lt;Assumptions!$B$3*K783),K783,J783)</f>
        <v>547400</v>
      </c>
      <c r="M783" s="21" t="str">
        <f aca="false">IF(L783=J783,"FERC Form 1","EIA-861")</f>
        <v>FERC Form 1</v>
      </c>
      <c r="N783" s="28" t="n">
        <f aca="false">E783+F783+G783</f>
        <v>155.166154</v>
      </c>
    </row>
    <row r="784" customFormat="false" ht="15" hidden="false" customHeight="false" outlineLevel="0" collapsed="false">
      <c r="A784" s="7" t="n">
        <v>2011</v>
      </c>
      <c r="B784" s="15" t="s">
        <v>122</v>
      </c>
      <c r="C784" s="15" t="s">
        <v>118</v>
      </c>
      <c r="D784" s="15" t="s">
        <v>105</v>
      </c>
      <c r="E784" s="19" t="n">
        <v>58.740977</v>
      </c>
      <c r="F784" s="19" t="n">
        <v>90.186502</v>
      </c>
      <c r="G784" s="19" t="n">
        <v>26.905576</v>
      </c>
      <c r="H784" s="19" t="n">
        <v>91.218697</v>
      </c>
      <c r="I784" s="19" t="n">
        <v>1590.964185</v>
      </c>
      <c r="J784" s="27" t="n">
        <v>547762</v>
      </c>
      <c r="K784" s="27" t="n">
        <v>547763</v>
      </c>
      <c r="L784" s="9" t="n">
        <f aca="false">IF(AND(K784&lt;&gt;"",J784&lt;Assumptions!$B$3*K784),K784,J784)</f>
        <v>547762</v>
      </c>
      <c r="M784" s="21" t="str">
        <f aca="false">IF(L784=J784,"FERC Form 1","EIA-861")</f>
        <v>FERC Form 1</v>
      </c>
      <c r="N784" s="28" t="n">
        <f aca="false">E784+F784+G784</f>
        <v>175.833055</v>
      </c>
    </row>
    <row r="785" customFormat="false" ht="15" hidden="false" customHeight="false" outlineLevel="0" collapsed="false">
      <c r="A785" s="7" t="n">
        <v>2012</v>
      </c>
      <c r="B785" s="15" t="s">
        <v>122</v>
      </c>
      <c r="C785" s="15" t="s">
        <v>118</v>
      </c>
      <c r="D785" s="15" t="s">
        <v>105</v>
      </c>
      <c r="E785" s="19" t="n">
        <v>51.609498</v>
      </c>
      <c r="F785" s="19" t="n">
        <v>95.699859</v>
      </c>
      <c r="G785" s="19" t="n">
        <v>30.018562</v>
      </c>
      <c r="H785" s="19" t="n">
        <v>127.364372</v>
      </c>
      <c r="I785" s="19" t="n">
        <v>1707.433738</v>
      </c>
      <c r="J785" s="27" t="n">
        <v>546795</v>
      </c>
      <c r="K785" s="27" t="n">
        <v>546796</v>
      </c>
      <c r="L785" s="9" t="n">
        <f aca="false">IF(AND(K785&lt;&gt;"",J785&lt;Assumptions!$B$3*K785),K785,J785)</f>
        <v>546795</v>
      </c>
      <c r="M785" s="21" t="str">
        <f aca="false">IF(L785=J785,"FERC Form 1","EIA-861")</f>
        <v>FERC Form 1</v>
      </c>
      <c r="N785" s="28" t="n">
        <f aca="false">E785+F785+G785</f>
        <v>177.327919</v>
      </c>
    </row>
    <row r="786" customFormat="false" ht="15" hidden="false" customHeight="false" outlineLevel="0" collapsed="false">
      <c r="A786" s="7" t="n">
        <v>2013</v>
      </c>
      <c r="B786" s="15" t="s">
        <v>122</v>
      </c>
      <c r="C786" s="15" t="s">
        <v>118</v>
      </c>
      <c r="D786" s="15" t="s">
        <v>105</v>
      </c>
      <c r="E786" s="19" t="n">
        <v>59.421373</v>
      </c>
      <c r="F786" s="19" t="n">
        <v>91.387334</v>
      </c>
      <c r="G786" s="19" t="n">
        <v>35.228694</v>
      </c>
      <c r="H786" s="19" t="n">
        <v>130.11391</v>
      </c>
      <c r="I786" s="19" t="n">
        <v>1821.464405</v>
      </c>
      <c r="J786" s="27" t="n">
        <v>543918</v>
      </c>
      <c r="K786" s="27" t="n">
        <v>543918</v>
      </c>
      <c r="L786" s="9" t="n">
        <f aca="false">IF(AND(K786&lt;&gt;"",J786&lt;Assumptions!$B$3*K786),K786,J786)</f>
        <v>543918</v>
      </c>
      <c r="M786" s="21" t="str">
        <f aca="false">IF(L786=J786,"FERC Form 1","EIA-861")</f>
        <v>FERC Form 1</v>
      </c>
      <c r="N786" s="28" t="n">
        <f aca="false">E786+F786+G786</f>
        <v>186.037401</v>
      </c>
    </row>
    <row r="787" customFormat="false" ht="15" hidden="false" customHeight="false" outlineLevel="0" collapsed="false">
      <c r="A787" s="7" t="n">
        <v>2014</v>
      </c>
      <c r="B787" s="15" t="s">
        <v>122</v>
      </c>
      <c r="C787" s="15" t="s">
        <v>118</v>
      </c>
      <c r="D787" s="15" t="s">
        <v>105</v>
      </c>
      <c r="E787" s="19" t="n">
        <v>66.772164</v>
      </c>
      <c r="F787" s="19" t="n">
        <v>95.196152</v>
      </c>
      <c r="G787" s="19" t="n">
        <v>45.676416</v>
      </c>
      <c r="H787" s="19" t="n">
        <v>123.263658</v>
      </c>
      <c r="I787" s="19" t="n">
        <v>1930.544115</v>
      </c>
      <c r="J787" s="27" t="n">
        <v>545281</v>
      </c>
      <c r="K787" s="27" t="n">
        <v>545281</v>
      </c>
      <c r="L787" s="9" t="n">
        <f aca="false">IF(AND(K787&lt;&gt;"",J787&lt;Assumptions!$B$3*K787),K787,J787)</f>
        <v>545281</v>
      </c>
      <c r="M787" s="21" t="str">
        <f aca="false">IF(L787=J787,"FERC Form 1","EIA-861")</f>
        <v>FERC Form 1</v>
      </c>
      <c r="N787" s="28" t="n">
        <f aca="false">E787+F787+G787</f>
        <v>207.644732</v>
      </c>
    </row>
    <row r="788" customFormat="false" ht="15" hidden="false" customHeight="false" outlineLevel="0" collapsed="false">
      <c r="A788" s="7" t="n">
        <v>2015</v>
      </c>
      <c r="B788" s="15" t="s">
        <v>122</v>
      </c>
      <c r="C788" s="15" t="s">
        <v>118</v>
      </c>
      <c r="D788" s="15" t="s">
        <v>105</v>
      </c>
      <c r="E788" s="19" t="n">
        <v>72.952725</v>
      </c>
      <c r="F788" s="19" t="n">
        <v>116.34189</v>
      </c>
      <c r="G788" s="19" t="n">
        <v>47.731621</v>
      </c>
      <c r="H788" s="19" t="n">
        <v>90.122996</v>
      </c>
      <c r="I788" s="19" t="n">
        <v>2012.376878</v>
      </c>
      <c r="J788" s="27" t="n">
        <v>545783</v>
      </c>
      <c r="K788" s="27" t="n">
        <v>545783</v>
      </c>
      <c r="L788" s="9" t="n">
        <f aca="false">IF(AND(K788&lt;&gt;"",J788&lt;Assumptions!$B$3*K788),K788,J788)</f>
        <v>545783</v>
      </c>
      <c r="M788" s="21" t="str">
        <f aca="false">IF(L788=J788,"FERC Form 1","EIA-861")</f>
        <v>FERC Form 1</v>
      </c>
      <c r="N788" s="28" t="n">
        <f aca="false">E788+F788+G788</f>
        <v>237.026236</v>
      </c>
    </row>
    <row r="789" customFormat="false" ht="15" hidden="false" customHeight="false" outlineLevel="0" collapsed="false">
      <c r="A789" s="7" t="n">
        <v>2016</v>
      </c>
      <c r="B789" s="15" t="s">
        <v>122</v>
      </c>
      <c r="C789" s="15" t="s">
        <v>118</v>
      </c>
      <c r="D789" s="15" t="s">
        <v>105</v>
      </c>
      <c r="E789" s="19" t="n">
        <v>87.419284</v>
      </c>
      <c r="F789" s="19" t="n">
        <v>126.062251</v>
      </c>
      <c r="G789" s="19" t="n">
        <v>49.66273</v>
      </c>
      <c r="H789" s="19" t="n">
        <v>84.929513</v>
      </c>
      <c r="I789" s="19" t="n">
        <v>2084.878616</v>
      </c>
      <c r="J789" s="27" t="n">
        <v>548442</v>
      </c>
      <c r="K789" s="27" t="n">
        <v>548442</v>
      </c>
      <c r="L789" s="9" t="n">
        <f aca="false">IF(AND(K789&lt;&gt;"",J789&lt;Assumptions!$B$3*K789),K789,J789)</f>
        <v>548442</v>
      </c>
      <c r="M789" s="21" t="str">
        <f aca="false">IF(L789=J789,"FERC Form 1","EIA-861")</f>
        <v>FERC Form 1</v>
      </c>
      <c r="N789" s="28" t="n">
        <f aca="false">E789+F789+G789</f>
        <v>263.144265</v>
      </c>
    </row>
    <row r="790" customFormat="false" ht="15" hidden="false" customHeight="false" outlineLevel="0" collapsed="false">
      <c r="A790" s="7" t="n">
        <v>2017</v>
      </c>
      <c r="B790" s="15" t="s">
        <v>122</v>
      </c>
      <c r="C790" s="15" t="s">
        <v>118</v>
      </c>
      <c r="D790" s="15" t="s">
        <v>105</v>
      </c>
      <c r="E790" s="19" t="n">
        <v>91.244974</v>
      </c>
      <c r="F790" s="19" t="n">
        <v>100.967056</v>
      </c>
      <c r="G790" s="19" t="n">
        <v>52.210549</v>
      </c>
      <c r="H790" s="19" t="n">
        <v>129.933047</v>
      </c>
      <c r="I790" s="19" t="n">
        <v>2197.953535</v>
      </c>
      <c r="J790" s="27" t="n">
        <v>551332</v>
      </c>
      <c r="K790" s="27" t="n">
        <v>551332</v>
      </c>
      <c r="L790" s="9" t="n">
        <f aca="false">IF(AND(K790&lt;&gt;"",J790&lt;Assumptions!$B$3*K790),K790,J790)</f>
        <v>551332</v>
      </c>
      <c r="M790" s="21" t="str">
        <f aca="false">IF(L790=J790,"FERC Form 1","EIA-861")</f>
        <v>FERC Form 1</v>
      </c>
      <c r="N790" s="28" t="n">
        <f aca="false">E790+F790+G790</f>
        <v>244.422579</v>
      </c>
    </row>
    <row r="791" customFormat="false" ht="15" hidden="false" customHeight="false" outlineLevel="0" collapsed="false">
      <c r="A791" s="7" t="n">
        <v>2018</v>
      </c>
      <c r="B791" s="15" t="s">
        <v>122</v>
      </c>
      <c r="C791" s="15" t="s">
        <v>118</v>
      </c>
      <c r="D791" s="15" t="s">
        <v>105</v>
      </c>
      <c r="E791" s="19" t="n">
        <v>99.099054</v>
      </c>
      <c r="F791" s="19" t="n">
        <v>105.122147</v>
      </c>
      <c r="G791" s="19" t="n">
        <v>55.35075</v>
      </c>
      <c r="H791" s="19" t="n">
        <v>158.350185</v>
      </c>
      <c r="I791" s="19" t="n">
        <v>2341.688273</v>
      </c>
      <c r="J791" s="27" t="n">
        <v>554881</v>
      </c>
      <c r="K791" s="27" t="n">
        <v>554882</v>
      </c>
      <c r="L791" s="9" t="n">
        <f aca="false">IF(AND(K791&lt;&gt;"",J791&lt;Assumptions!$B$3*K791),K791,J791)</f>
        <v>554881</v>
      </c>
      <c r="M791" s="21" t="str">
        <f aca="false">IF(L791=J791,"FERC Form 1","EIA-861")</f>
        <v>FERC Form 1</v>
      </c>
      <c r="N791" s="28" t="n">
        <f aca="false">E791+F791+G791</f>
        <v>259.571951</v>
      </c>
    </row>
    <row r="792" customFormat="false" ht="15" hidden="false" customHeight="false" outlineLevel="0" collapsed="false">
      <c r="A792" s="7" t="n">
        <v>2019</v>
      </c>
      <c r="B792" s="15" t="s">
        <v>122</v>
      </c>
      <c r="C792" s="15" t="s">
        <v>118</v>
      </c>
      <c r="D792" s="15" t="s">
        <v>105</v>
      </c>
      <c r="E792" s="19" t="n">
        <v>106.456413</v>
      </c>
      <c r="F792" s="19" t="n">
        <v>93.852983</v>
      </c>
      <c r="G792" s="19" t="n">
        <v>73.077281</v>
      </c>
      <c r="H792" s="19" t="n">
        <v>136.47445</v>
      </c>
      <c r="I792" s="19" t="n">
        <v>2462.065702</v>
      </c>
      <c r="J792" s="27" t="n">
        <v>558559</v>
      </c>
      <c r="K792" s="27" t="n">
        <v>558559</v>
      </c>
      <c r="L792" s="9" t="n">
        <f aca="false">IF(AND(K792&lt;&gt;"",J792&lt;Assumptions!$B$3*K792),K792,J792)</f>
        <v>558559</v>
      </c>
      <c r="M792" s="21" t="str">
        <f aca="false">IF(L792=J792,"FERC Form 1","EIA-861")</f>
        <v>FERC Form 1</v>
      </c>
      <c r="N792" s="28" t="n">
        <f aca="false">E792+F792+G792</f>
        <v>273.386677</v>
      </c>
    </row>
    <row r="793" customFormat="false" ht="15" hidden="false" customHeight="false" outlineLevel="0" collapsed="false">
      <c r="A793" s="7" t="n">
        <v>2020</v>
      </c>
      <c r="B793" s="15" t="s">
        <v>122</v>
      </c>
      <c r="C793" s="15" t="s">
        <v>118</v>
      </c>
      <c r="D793" s="15" t="s">
        <v>105</v>
      </c>
      <c r="E793" s="19" t="n">
        <v>109.477363</v>
      </c>
      <c r="F793" s="19" t="n">
        <v>115.961362</v>
      </c>
      <c r="G793" s="19" t="n">
        <v>82.088333</v>
      </c>
      <c r="H793" s="19" t="n">
        <v>178.797616</v>
      </c>
      <c r="I793" s="19" t="n">
        <v>2619.66373</v>
      </c>
      <c r="J793" s="27" t="n">
        <v>562054</v>
      </c>
      <c r="K793" s="27" t="n">
        <v>562054</v>
      </c>
      <c r="L793" s="9" t="n">
        <f aca="false">IF(AND(K793&lt;&gt;"",J793&lt;Assumptions!$B$3*K793),K793,J793)</f>
        <v>562054</v>
      </c>
      <c r="M793" s="21" t="str">
        <f aca="false">IF(L793=J793,"FERC Form 1","EIA-861")</f>
        <v>FERC Form 1</v>
      </c>
      <c r="N793" s="28" t="n">
        <f aca="false">E793+F793+G793</f>
        <v>307.527058</v>
      </c>
    </row>
    <row r="794" customFormat="false" ht="15" hidden="false" customHeight="false" outlineLevel="0" collapsed="false">
      <c r="A794" s="7" t="n">
        <v>2021</v>
      </c>
      <c r="B794" s="15" t="s">
        <v>122</v>
      </c>
      <c r="C794" s="15" t="s">
        <v>118</v>
      </c>
      <c r="D794" s="15" t="s">
        <v>105</v>
      </c>
      <c r="E794" s="19" t="n">
        <v>102.317965</v>
      </c>
      <c r="F794" s="19" t="n">
        <v>107.266083</v>
      </c>
      <c r="G794" s="19" t="n">
        <v>86.975746</v>
      </c>
      <c r="H794" s="19" t="n">
        <v>166.637258</v>
      </c>
      <c r="I794" s="19" t="n">
        <v>2766.677071</v>
      </c>
      <c r="J794" s="27" t="n">
        <v>564929</v>
      </c>
      <c r="K794" s="27" t="n">
        <v>564929</v>
      </c>
      <c r="L794" s="9" t="n">
        <f aca="false">IF(AND(K794&lt;&gt;"",J794&lt;Assumptions!$B$3*K794),K794,J794)</f>
        <v>564929</v>
      </c>
      <c r="M794" s="21" t="str">
        <f aca="false">IF(L794=J794,"FERC Form 1","EIA-861")</f>
        <v>FERC Form 1</v>
      </c>
      <c r="N794" s="28" t="n">
        <f aca="false">E794+F794+G794</f>
        <v>296.559794</v>
      </c>
    </row>
    <row r="795" customFormat="false" ht="15" hidden="false" customHeight="false" outlineLevel="0" collapsed="false">
      <c r="A795" s="7" t="n">
        <v>2022</v>
      </c>
      <c r="B795" s="15" t="s">
        <v>122</v>
      </c>
      <c r="C795" s="15" t="s">
        <v>118</v>
      </c>
      <c r="D795" s="15" t="s">
        <v>105</v>
      </c>
      <c r="E795" s="19" t="n">
        <v>106.512937</v>
      </c>
      <c r="F795" s="19" t="n">
        <v>110.683687</v>
      </c>
      <c r="G795" s="19" t="n">
        <v>92.379675</v>
      </c>
      <c r="H795" s="19" t="n">
        <v>164.418306</v>
      </c>
      <c r="I795" s="19" t="n">
        <v>2940.585507</v>
      </c>
      <c r="J795" s="27" t="n">
        <v>567212</v>
      </c>
      <c r="K795" s="27" t="n">
        <v>567226</v>
      </c>
      <c r="L795" s="9" t="n">
        <f aca="false">IF(AND(K795&lt;&gt;"",J795&lt;Assumptions!$B$3*K795),K795,J795)</f>
        <v>567212</v>
      </c>
      <c r="M795" s="21" t="str">
        <f aca="false">IF(L795=J795,"FERC Form 1","EIA-861")</f>
        <v>FERC Form 1</v>
      </c>
      <c r="N795" s="28" t="n">
        <f aca="false">E795+F795+G795</f>
        <v>309.576299</v>
      </c>
    </row>
    <row r="796" customFormat="false" ht="15" hidden="false" customHeight="false" outlineLevel="0" collapsed="false">
      <c r="A796" s="7" t="n">
        <v>2023</v>
      </c>
      <c r="B796" s="15" t="s">
        <v>122</v>
      </c>
      <c r="C796" s="15" t="s">
        <v>118</v>
      </c>
      <c r="D796" s="15" t="s">
        <v>105</v>
      </c>
      <c r="E796" s="19" t="n">
        <v>151.161538</v>
      </c>
      <c r="F796" s="19" t="n">
        <v>113.094592</v>
      </c>
      <c r="G796" s="19" t="n">
        <v>96.267699</v>
      </c>
      <c r="H796" s="19" t="n">
        <v>213.689192</v>
      </c>
      <c r="I796" s="19" t="n">
        <v>3115.342242</v>
      </c>
      <c r="J796" s="27" t="n">
        <v>569973</v>
      </c>
      <c r="K796" s="27" t="n">
        <v>569973</v>
      </c>
      <c r="L796" s="9" t="n">
        <f aca="false">IF(AND(K796&lt;&gt;"",J796&lt;Assumptions!$B$3*K796),K796,J796)</f>
        <v>569973</v>
      </c>
      <c r="M796" s="21" t="str">
        <f aca="false">IF(L796=J796,"FERC Form 1","EIA-861")</f>
        <v>FERC Form 1</v>
      </c>
      <c r="N796" s="28" t="n">
        <f aca="false">E796+F796+G796</f>
        <v>360.523829</v>
      </c>
    </row>
    <row r="797" customFormat="false" ht="15" hidden="false" customHeight="false" outlineLevel="0" collapsed="false">
      <c r="A797" s="7" t="n">
        <v>2024</v>
      </c>
      <c r="B797" s="15" t="s">
        <v>122</v>
      </c>
      <c r="C797" s="15" t="s">
        <v>118</v>
      </c>
      <c r="D797" s="15" t="s">
        <v>105</v>
      </c>
      <c r="E797" s="19" t="n">
        <v>113.870219</v>
      </c>
      <c r="F797" s="19" t="n">
        <v>112.594343</v>
      </c>
      <c r="G797" s="19" t="n">
        <v>103.063403</v>
      </c>
      <c r="H797" s="19" t="n">
        <v>190.824287</v>
      </c>
      <c r="I797" s="19" t="n">
        <v>3304.091648</v>
      </c>
      <c r="J797" s="27" t="n">
        <v>572774</v>
      </c>
      <c r="K797" s="27" t="n">
        <v>572775</v>
      </c>
      <c r="L797" s="9" t="n">
        <f aca="false">IF(AND(K797&lt;&gt;"",J797&lt;Assumptions!$B$3*K797),K797,J797)</f>
        <v>572774</v>
      </c>
      <c r="M797" s="21" t="str">
        <f aca="false">IF(L797=J797,"FERC Form 1","EIA-861")</f>
        <v>FERC Form 1</v>
      </c>
      <c r="N797" s="28" t="n">
        <f aca="false">E797+F797+G797</f>
        <v>329.527965</v>
      </c>
    </row>
    <row r="798" customFormat="false" ht="15" hidden="false" customHeight="false" outlineLevel="0" collapsed="false">
      <c r="A798" s="7" t="n">
        <v>2025</v>
      </c>
      <c r="B798" s="15" t="s">
        <v>122</v>
      </c>
      <c r="C798" s="15" t="s">
        <v>118</v>
      </c>
      <c r="D798" s="15" t="s">
        <v>105</v>
      </c>
      <c r="E798" s="19" t="n">
        <v>73.550388</v>
      </c>
      <c r="F798" s="19" t="n">
        <v>107.636786</v>
      </c>
      <c r="G798" s="19" t="n">
        <v>126.887053</v>
      </c>
      <c r="H798" s="19" t="n">
        <v>199.52968</v>
      </c>
      <c r="I798" s="19" t="n">
        <v>3568.358465</v>
      </c>
      <c r="J798" s="27" t="n">
        <v>575421</v>
      </c>
      <c r="K798" s="27" t="n">
        <v>575422</v>
      </c>
      <c r="L798" s="9" t="n">
        <f aca="false">IF(AND(K798&lt;&gt;"",J798&lt;Assumptions!$B$3*K798),K798,J798)</f>
        <v>575421</v>
      </c>
      <c r="M798" s="21" t="str">
        <f aca="false">IF(L798=J798,"FERC Form 1","EIA-861")</f>
        <v>FERC Form 1</v>
      </c>
      <c r="N798" s="28" t="n">
        <f aca="false">E798+F798+G798</f>
        <v>308.074227</v>
      </c>
    </row>
    <row r="799" customFormat="false" ht="15" hidden="false" customHeight="false" outlineLevel="0" collapsed="false">
      <c r="A799" s="7" t="n">
        <v>2000</v>
      </c>
      <c r="B799" s="15" t="s">
        <v>123</v>
      </c>
      <c r="C799" s="15" t="s">
        <v>118</v>
      </c>
      <c r="D799" s="15" t="s">
        <v>124</v>
      </c>
      <c r="E799" s="19" t="n">
        <v>85.996568</v>
      </c>
      <c r="F799" s="19" t="n">
        <v>51.742818</v>
      </c>
      <c r="G799" s="19" t="n">
        <v>91.641267</v>
      </c>
      <c r="H799" s="19" t="n">
        <v>136.551513</v>
      </c>
      <c r="I799" s="19" t="n">
        <v>2635.308616</v>
      </c>
      <c r="J799" s="27" t="n">
        <v>1140309</v>
      </c>
      <c r="K799" s="27"/>
      <c r="L799" s="9" t="n">
        <f aca="false">IF(AND(K799&lt;&gt;"",J799&lt;Assumptions!$B$3*K799),K799,J799)</f>
        <v>1140309</v>
      </c>
      <c r="M799" s="21" t="str">
        <f aca="false">IF(L799=J799,"FERC Form 1","EIA-861")</f>
        <v>FERC Form 1</v>
      </c>
      <c r="N799" s="28" t="n">
        <f aca="false">E799+F799+G799</f>
        <v>229.380653</v>
      </c>
    </row>
    <row r="800" customFormat="false" ht="15" hidden="false" customHeight="false" outlineLevel="0" collapsed="false">
      <c r="A800" s="7" t="n">
        <v>2001</v>
      </c>
      <c r="B800" s="15" t="s">
        <v>123</v>
      </c>
      <c r="C800" s="15" t="s">
        <v>118</v>
      </c>
      <c r="D800" s="15" t="s">
        <v>124</v>
      </c>
      <c r="E800" s="19" t="n">
        <v>88.459584</v>
      </c>
      <c r="F800" s="19" t="n">
        <v>65.491775</v>
      </c>
      <c r="G800" s="19" t="n">
        <v>95.26302</v>
      </c>
      <c r="H800" s="19" t="n">
        <v>115.697673</v>
      </c>
      <c r="I800" s="19" t="n">
        <v>2727.335338</v>
      </c>
      <c r="J800" s="27" t="n">
        <v>1153343</v>
      </c>
      <c r="K800" s="27" t="n">
        <v>1156145</v>
      </c>
      <c r="L800" s="9" t="n">
        <f aca="false">IF(AND(K800&lt;&gt;"",J800&lt;Assumptions!$B$3*K800),K800,J800)</f>
        <v>1153343</v>
      </c>
      <c r="M800" s="21" t="str">
        <f aca="false">IF(L800=J800,"FERC Form 1","EIA-861")</f>
        <v>FERC Form 1</v>
      </c>
      <c r="N800" s="28" t="n">
        <f aca="false">E800+F800+G800</f>
        <v>249.214379</v>
      </c>
    </row>
    <row r="801" customFormat="false" ht="15" hidden="false" customHeight="false" outlineLevel="0" collapsed="false">
      <c r="A801" s="7" t="n">
        <v>2002</v>
      </c>
      <c r="B801" s="15" t="s">
        <v>123</v>
      </c>
      <c r="C801" s="15" t="s">
        <v>118</v>
      </c>
      <c r="D801" s="15" t="s">
        <v>124</v>
      </c>
      <c r="E801" s="19" t="n">
        <v>76.157699</v>
      </c>
      <c r="F801" s="19" t="n">
        <v>46.378975</v>
      </c>
      <c r="G801" s="19" t="n">
        <v>97.956878</v>
      </c>
      <c r="H801" s="19" t="n">
        <v>84.873424</v>
      </c>
      <c r="I801" s="19" t="n">
        <v>2790.260101</v>
      </c>
      <c r="J801" s="27" t="n">
        <v>1162033</v>
      </c>
      <c r="K801" s="27" t="n">
        <v>1162568</v>
      </c>
      <c r="L801" s="9" t="n">
        <f aca="false">IF(AND(K801&lt;&gt;"",J801&lt;Assumptions!$B$3*K801),K801,J801)</f>
        <v>1162033</v>
      </c>
      <c r="M801" s="21" t="str">
        <f aca="false">IF(L801=J801,"FERC Form 1","EIA-861")</f>
        <v>FERC Form 1</v>
      </c>
      <c r="N801" s="28" t="n">
        <f aca="false">E801+F801+G801</f>
        <v>220.493552</v>
      </c>
    </row>
    <row r="802" customFormat="false" ht="15" hidden="false" customHeight="false" outlineLevel="0" collapsed="false">
      <c r="A802" s="7" t="n">
        <v>2003</v>
      </c>
      <c r="B802" s="15" t="s">
        <v>123</v>
      </c>
      <c r="C802" s="15" t="s">
        <v>118</v>
      </c>
      <c r="D802" s="15" t="s">
        <v>124</v>
      </c>
      <c r="E802" s="19" t="n">
        <v>116.122128</v>
      </c>
      <c r="F802" s="19" t="n">
        <v>32.217712</v>
      </c>
      <c r="G802" s="19" t="n">
        <v>101.565648</v>
      </c>
      <c r="H802" s="19" t="n">
        <v>164.407151</v>
      </c>
      <c r="I802" s="19" t="n">
        <v>2931.873617</v>
      </c>
      <c r="J802" s="27" t="n">
        <v>1174278</v>
      </c>
      <c r="K802" s="27" t="n">
        <v>1175508</v>
      </c>
      <c r="L802" s="9" t="n">
        <f aca="false">IF(AND(K802&lt;&gt;"",J802&lt;Assumptions!$B$3*K802),K802,J802)</f>
        <v>1174278</v>
      </c>
      <c r="M802" s="21" t="str">
        <f aca="false">IF(L802=J802,"FERC Form 1","EIA-861")</f>
        <v>FERC Form 1</v>
      </c>
      <c r="N802" s="28" t="n">
        <f aca="false">E802+F802+G802</f>
        <v>249.905488</v>
      </c>
    </row>
    <row r="803" customFormat="false" ht="15" hidden="false" customHeight="false" outlineLevel="0" collapsed="false">
      <c r="A803" s="7" t="n">
        <v>2004</v>
      </c>
      <c r="B803" s="15" t="s">
        <v>123</v>
      </c>
      <c r="C803" s="15" t="s">
        <v>118</v>
      </c>
      <c r="D803" s="15" t="s">
        <v>124</v>
      </c>
      <c r="E803" s="19" t="n">
        <v>93.995958</v>
      </c>
      <c r="F803" s="19" t="n">
        <v>40.691472</v>
      </c>
      <c r="G803" s="19" t="n">
        <v>104.246738</v>
      </c>
      <c r="H803" s="19" t="n">
        <v>157.839166</v>
      </c>
      <c r="I803" s="19" t="n">
        <v>2990.886623</v>
      </c>
      <c r="J803" s="27" t="n">
        <v>1186350</v>
      </c>
      <c r="K803" s="27" t="n">
        <v>1184370</v>
      </c>
      <c r="L803" s="9" t="n">
        <f aca="false">IF(AND(K803&lt;&gt;"",J803&lt;Assumptions!$B$3*K803),K803,J803)</f>
        <v>1186350</v>
      </c>
      <c r="M803" s="21" t="str">
        <f aca="false">IF(L803=J803,"FERC Form 1","EIA-861")</f>
        <v>FERC Form 1</v>
      </c>
      <c r="N803" s="28" t="n">
        <f aca="false">E803+F803+G803</f>
        <v>238.934168</v>
      </c>
    </row>
    <row r="804" customFormat="false" ht="15" hidden="false" customHeight="false" outlineLevel="0" collapsed="false">
      <c r="A804" s="7" t="n">
        <v>2005</v>
      </c>
      <c r="B804" s="15" t="s">
        <v>123</v>
      </c>
      <c r="C804" s="15" t="s">
        <v>118</v>
      </c>
      <c r="D804" s="15" t="s">
        <v>124</v>
      </c>
      <c r="E804" s="19" t="n">
        <v>103.750059</v>
      </c>
      <c r="F804" s="19" t="n">
        <v>44.084881</v>
      </c>
      <c r="G804" s="19" t="n">
        <v>108.847224</v>
      </c>
      <c r="H804" s="19" t="n">
        <v>171.636824</v>
      </c>
      <c r="I804" s="19" t="n">
        <v>3140.881647</v>
      </c>
      <c r="J804" s="27" t="n">
        <v>1198259</v>
      </c>
      <c r="K804" s="27" t="n">
        <v>1198261</v>
      </c>
      <c r="L804" s="9" t="n">
        <f aca="false">IF(AND(K804&lt;&gt;"",J804&lt;Assumptions!$B$3*K804),K804,J804)</f>
        <v>1198259</v>
      </c>
      <c r="M804" s="21" t="str">
        <f aca="false">IF(L804=J804,"FERC Form 1","EIA-861")</f>
        <v>FERC Form 1</v>
      </c>
      <c r="N804" s="28" t="n">
        <f aca="false">E804+F804+G804</f>
        <v>256.682164</v>
      </c>
    </row>
    <row r="805" customFormat="false" ht="15" hidden="false" customHeight="false" outlineLevel="0" collapsed="false">
      <c r="A805" s="7" t="n">
        <v>2006</v>
      </c>
      <c r="B805" s="15" t="s">
        <v>123</v>
      </c>
      <c r="C805" s="15" t="s">
        <v>118</v>
      </c>
      <c r="D805" s="15" t="s">
        <v>124</v>
      </c>
      <c r="E805" s="19" t="n">
        <v>111.737693</v>
      </c>
      <c r="F805" s="19" t="n">
        <v>46.872145</v>
      </c>
      <c r="G805" s="19" t="n">
        <v>114.046553</v>
      </c>
      <c r="H805" s="19" t="n">
        <v>191.462196</v>
      </c>
      <c r="I805" s="19" t="n">
        <v>3288.112188</v>
      </c>
      <c r="J805" s="27" t="n">
        <v>1209559</v>
      </c>
      <c r="K805" s="27" t="n">
        <v>1210386</v>
      </c>
      <c r="L805" s="9" t="n">
        <f aca="false">IF(AND(K805&lt;&gt;"",J805&lt;Assumptions!$B$3*K805),K805,J805)</f>
        <v>1209559</v>
      </c>
      <c r="M805" s="21" t="str">
        <f aca="false">IF(L805=J805,"FERC Form 1","EIA-861")</f>
        <v>FERC Form 1</v>
      </c>
      <c r="N805" s="28" t="n">
        <f aca="false">E805+F805+G805</f>
        <v>272.656391</v>
      </c>
    </row>
    <row r="806" customFormat="false" ht="15" hidden="false" customHeight="false" outlineLevel="0" collapsed="false">
      <c r="A806" s="7" t="n">
        <v>2007</v>
      </c>
      <c r="B806" s="15" t="s">
        <v>123</v>
      </c>
      <c r="C806" s="15" t="s">
        <v>118</v>
      </c>
      <c r="D806" s="15" t="s">
        <v>124</v>
      </c>
      <c r="E806" s="19" t="n">
        <v>124.29505</v>
      </c>
      <c r="F806" s="19" t="n">
        <v>58.807165</v>
      </c>
      <c r="G806" s="19" t="n">
        <v>120.078305</v>
      </c>
      <c r="H806" s="19" t="n">
        <v>203.749927</v>
      </c>
      <c r="I806" s="19" t="n">
        <v>3468.999987</v>
      </c>
      <c r="J806" s="27" t="n">
        <v>1221284</v>
      </c>
      <c r="K806" s="27" t="n">
        <v>1221284</v>
      </c>
      <c r="L806" s="9" t="n">
        <f aca="false">IF(AND(K806&lt;&gt;"",J806&lt;Assumptions!$B$3*K806),K806,J806)</f>
        <v>1221284</v>
      </c>
      <c r="M806" s="21" t="str">
        <f aca="false">IF(L806=J806,"FERC Form 1","EIA-861")</f>
        <v>FERC Form 1</v>
      </c>
      <c r="N806" s="28" t="n">
        <f aca="false">E806+F806+G806</f>
        <v>303.18052</v>
      </c>
    </row>
    <row r="807" customFormat="false" ht="15" hidden="false" customHeight="false" outlineLevel="0" collapsed="false">
      <c r="A807" s="7" t="n">
        <v>2008</v>
      </c>
      <c r="B807" s="15" t="s">
        <v>123</v>
      </c>
      <c r="C807" s="15" t="s">
        <v>118</v>
      </c>
      <c r="D807" s="15" t="s">
        <v>124</v>
      </c>
      <c r="E807" s="19" t="n">
        <v>133.042191</v>
      </c>
      <c r="F807" s="19" t="n">
        <v>75.837149</v>
      </c>
      <c r="G807" s="19" t="n">
        <v>112.955118</v>
      </c>
      <c r="H807" s="19" t="n">
        <v>221.507912</v>
      </c>
      <c r="I807" s="19" t="n">
        <v>3672.215254</v>
      </c>
      <c r="J807" s="27" t="n">
        <v>1229181</v>
      </c>
      <c r="K807" s="27" t="n">
        <v>1231480</v>
      </c>
      <c r="L807" s="9" t="n">
        <f aca="false">IF(AND(K807&lt;&gt;"",J807&lt;Assumptions!$B$3*K807),K807,J807)</f>
        <v>1229181</v>
      </c>
      <c r="M807" s="21" t="str">
        <f aca="false">IF(L807=J807,"FERC Form 1","EIA-861")</f>
        <v>FERC Form 1</v>
      </c>
      <c r="N807" s="28" t="n">
        <f aca="false">E807+F807+G807</f>
        <v>321.834458</v>
      </c>
    </row>
    <row r="808" customFormat="false" ht="15" hidden="false" customHeight="false" outlineLevel="0" collapsed="false">
      <c r="A808" s="7" t="n">
        <v>2009</v>
      </c>
      <c r="B808" s="15" t="s">
        <v>123</v>
      </c>
      <c r="C808" s="15" t="s">
        <v>118</v>
      </c>
      <c r="D808" s="15" t="s">
        <v>124</v>
      </c>
      <c r="E808" s="19" t="n">
        <v>130.272738</v>
      </c>
      <c r="F808" s="19" t="n">
        <v>78.879212</v>
      </c>
      <c r="G808" s="19" t="n">
        <v>107.87303</v>
      </c>
      <c r="H808" s="19" t="n">
        <v>186.971054</v>
      </c>
      <c r="I808" s="19" t="n">
        <v>3842.982541</v>
      </c>
      <c r="J808" s="27" t="n">
        <v>1234644</v>
      </c>
      <c r="K808" s="27" t="n">
        <v>1234645</v>
      </c>
      <c r="L808" s="9" t="n">
        <f aca="false">IF(AND(K808&lt;&gt;"",J808&lt;Assumptions!$B$3*K808),K808,J808)</f>
        <v>1234644</v>
      </c>
      <c r="M808" s="21" t="str">
        <f aca="false">IF(L808=J808,"FERC Form 1","EIA-861")</f>
        <v>FERC Form 1</v>
      </c>
      <c r="N808" s="28" t="n">
        <f aca="false">E808+F808+G808</f>
        <v>317.02498</v>
      </c>
    </row>
    <row r="809" customFormat="false" ht="15" hidden="false" customHeight="false" outlineLevel="0" collapsed="false">
      <c r="A809" s="7" t="n">
        <v>2010</v>
      </c>
      <c r="B809" s="15" t="s">
        <v>123</v>
      </c>
      <c r="C809" s="15" t="s">
        <v>118</v>
      </c>
      <c r="D809" s="15" t="s">
        <v>124</v>
      </c>
      <c r="E809" s="19" t="n">
        <v>170.183921</v>
      </c>
      <c r="F809" s="19" t="n">
        <v>77.07123</v>
      </c>
      <c r="G809" s="19" t="n">
        <v>116.669813</v>
      </c>
      <c r="H809" s="19" t="n">
        <v>243.647376</v>
      </c>
      <c r="I809" s="19" t="n">
        <v>4141.181705</v>
      </c>
      <c r="J809" s="27" t="n">
        <v>1236939</v>
      </c>
      <c r="K809" s="27" t="n">
        <v>1236939</v>
      </c>
      <c r="L809" s="9" t="n">
        <f aca="false">IF(AND(K809&lt;&gt;"",J809&lt;Assumptions!$B$3*K809),K809,J809)</f>
        <v>1236939</v>
      </c>
      <c r="M809" s="21" t="str">
        <f aca="false">IF(L809=J809,"FERC Form 1","EIA-861")</f>
        <v>FERC Form 1</v>
      </c>
      <c r="N809" s="28" t="n">
        <f aca="false">E809+F809+G809</f>
        <v>363.924964</v>
      </c>
    </row>
    <row r="810" customFormat="false" ht="15" hidden="false" customHeight="false" outlineLevel="0" collapsed="false">
      <c r="A810" s="7" t="n">
        <v>2011</v>
      </c>
      <c r="B810" s="15" t="s">
        <v>123</v>
      </c>
      <c r="C810" s="15" t="s">
        <v>118</v>
      </c>
      <c r="D810" s="15" t="s">
        <v>124</v>
      </c>
      <c r="E810" s="19" t="n">
        <v>205.584349</v>
      </c>
      <c r="F810" s="19" t="n">
        <v>81.079843</v>
      </c>
      <c r="G810" s="19" t="n">
        <v>125.441886</v>
      </c>
      <c r="H810" s="19" t="n">
        <v>257.170683</v>
      </c>
      <c r="I810" s="19" t="n">
        <v>4390.511006</v>
      </c>
      <c r="J810" s="27" t="n">
        <v>1240291</v>
      </c>
      <c r="K810" s="27" t="n">
        <v>1240290</v>
      </c>
      <c r="L810" s="9" t="n">
        <f aca="false">IF(AND(K810&lt;&gt;"",J810&lt;Assumptions!$B$3*K810),K810,J810)</f>
        <v>1240291</v>
      </c>
      <c r="M810" s="21" t="str">
        <f aca="false">IF(L810=J810,"FERC Form 1","EIA-861")</f>
        <v>FERC Form 1</v>
      </c>
      <c r="N810" s="28" t="n">
        <f aca="false">E810+F810+G810</f>
        <v>412.106078</v>
      </c>
    </row>
    <row r="811" customFormat="false" ht="15" hidden="false" customHeight="false" outlineLevel="0" collapsed="false">
      <c r="A811" s="7" t="n">
        <v>2012</v>
      </c>
      <c r="B811" s="15" t="s">
        <v>123</v>
      </c>
      <c r="C811" s="15" t="s">
        <v>118</v>
      </c>
      <c r="D811" s="15" t="s">
        <v>124</v>
      </c>
      <c r="E811" s="19" t="n">
        <v>218.785273</v>
      </c>
      <c r="F811" s="19" t="n">
        <v>88.022116</v>
      </c>
      <c r="G811" s="19" t="n">
        <v>132.560314</v>
      </c>
      <c r="H811" s="19" t="n">
        <v>275.977197</v>
      </c>
      <c r="I811" s="19" t="n">
        <v>4621.286671</v>
      </c>
      <c r="J811" s="27" t="n">
        <v>1240986</v>
      </c>
      <c r="K811" s="27" t="n">
        <v>1240986</v>
      </c>
      <c r="L811" s="9" t="n">
        <f aca="false">IF(AND(K811&lt;&gt;"",J811&lt;Assumptions!$B$3*K811),K811,J811)</f>
        <v>1240986</v>
      </c>
      <c r="M811" s="21" t="str">
        <f aca="false">IF(L811=J811,"FERC Form 1","EIA-861")</f>
        <v>FERC Form 1</v>
      </c>
      <c r="N811" s="28" t="n">
        <f aca="false">E811+F811+G811</f>
        <v>439.367703</v>
      </c>
    </row>
    <row r="812" customFormat="false" ht="15" hidden="false" customHeight="false" outlineLevel="0" collapsed="false">
      <c r="A812" s="7" t="n">
        <v>2013</v>
      </c>
      <c r="B812" s="15" t="s">
        <v>123</v>
      </c>
      <c r="C812" s="15" t="s">
        <v>118</v>
      </c>
      <c r="D812" s="15" t="s">
        <v>124</v>
      </c>
      <c r="E812" s="19" t="n">
        <v>173.988748</v>
      </c>
      <c r="F812" s="19" t="n">
        <v>80.873218</v>
      </c>
      <c r="G812" s="19" t="n">
        <v>142.097478</v>
      </c>
      <c r="H812" s="19" t="n">
        <v>361.673001</v>
      </c>
      <c r="I812" s="19" t="n">
        <v>4932.03573</v>
      </c>
      <c r="J812" s="27" t="n">
        <v>1243697</v>
      </c>
      <c r="K812" s="27" t="n">
        <v>1243697</v>
      </c>
      <c r="L812" s="9" t="n">
        <f aca="false">IF(AND(K812&lt;&gt;"",J812&lt;Assumptions!$B$3*K812),K812,J812)</f>
        <v>1243697</v>
      </c>
      <c r="M812" s="21" t="str">
        <f aca="false">IF(L812=J812,"FERC Form 1","EIA-861")</f>
        <v>FERC Form 1</v>
      </c>
      <c r="N812" s="28" t="n">
        <f aca="false">E812+F812+G812</f>
        <v>396.959444</v>
      </c>
    </row>
    <row r="813" customFormat="false" ht="15" hidden="false" customHeight="false" outlineLevel="0" collapsed="false">
      <c r="A813" s="7" t="n">
        <v>2014</v>
      </c>
      <c r="B813" s="15" t="s">
        <v>123</v>
      </c>
      <c r="C813" s="15" t="s">
        <v>118</v>
      </c>
      <c r="D813" s="15" t="s">
        <v>124</v>
      </c>
      <c r="E813" s="19" t="n">
        <v>208.530136</v>
      </c>
      <c r="F813" s="19" t="n">
        <v>91.913329</v>
      </c>
      <c r="G813" s="19" t="n">
        <v>153.052038</v>
      </c>
      <c r="H813" s="19" t="n">
        <v>238.478452</v>
      </c>
      <c r="I813" s="19" t="n">
        <v>5121.957812</v>
      </c>
      <c r="J813" s="27" t="n">
        <v>1248747</v>
      </c>
      <c r="K813" s="27" t="n">
        <v>1248746</v>
      </c>
      <c r="L813" s="9" t="n">
        <f aca="false">IF(AND(K813&lt;&gt;"",J813&lt;Assumptions!$B$3*K813),K813,J813)</f>
        <v>1248747</v>
      </c>
      <c r="M813" s="21" t="str">
        <f aca="false">IF(L813=J813,"FERC Form 1","EIA-861")</f>
        <v>FERC Form 1</v>
      </c>
      <c r="N813" s="28" t="n">
        <f aca="false">E813+F813+G813</f>
        <v>453.495503</v>
      </c>
    </row>
    <row r="814" customFormat="false" ht="15" hidden="false" customHeight="false" outlineLevel="0" collapsed="false">
      <c r="A814" s="7" t="n">
        <v>2015</v>
      </c>
      <c r="B814" s="15" t="s">
        <v>123</v>
      </c>
      <c r="C814" s="15" t="s">
        <v>118</v>
      </c>
      <c r="D814" s="15" t="s">
        <v>124</v>
      </c>
      <c r="E814" s="19" t="n">
        <v>187.276453</v>
      </c>
      <c r="F814" s="19" t="n">
        <v>61.018301</v>
      </c>
      <c r="G814" s="19" t="n">
        <v>133.693889</v>
      </c>
      <c r="H814" s="19" t="n">
        <v>245.153345</v>
      </c>
      <c r="I814" s="19" t="n">
        <v>5337.101777</v>
      </c>
      <c r="J814" s="27" t="n">
        <v>1257765</v>
      </c>
      <c r="K814" s="27" t="n">
        <v>1257765</v>
      </c>
      <c r="L814" s="9" t="n">
        <f aca="false">IF(AND(K814&lt;&gt;"",J814&lt;Assumptions!$B$3*K814),K814,J814)</f>
        <v>1257765</v>
      </c>
      <c r="M814" s="21" t="str">
        <f aca="false">IF(L814=J814,"FERC Form 1","EIA-861")</f>
        <v>FERC Form 1</v>
      </c>
      <c r="N814" s="28" t="n">
        <f aca="false">E814+F814+G814</f>
        <v>381.988643</v>
      </c>
    </row>
    <row r="815" customFormat="false" ht="15" hidden="false" customHeight="false" outlineLevel="0" collapsed="false">
      <c r="A815" s="7" t="n">
        <v>2016</v>
      </c>
      <c r="B815" s="15" t="s">
        <v>123</v>
      </c>
      <c r="C815" s="15" t="s">
        <v>118</v>
      </c>
      <c r="D815" s="15" t="s">
        <v>124</v>
      </c>
      <c r="E815" s="19" t="n">
        <v>235.526684</v>
      </c>
      <c r="F815" s="19" t="n">
        <v>42.554351</v>
      </c>
      <c r="G815" s="19" t="n">
        <v>136.505375</v>
      </c>
      <c r="H815" s="19" t="n">
        <v>233.268623</v>
      </c>
      <c r="I815" s="19" t="n">
        <v>5544.012842</v>
      </c>
      <c r="J815" s="27" t="n">
        <v>1268995</v>
      </c>
      <c r="K815" s="27" t="n">
        <v>1268995</v>
      </c>
      <c r="L815" s="9" t="n">
        <f aca="false">IF(AND(K815&lt;&gt;"",J815&lt;Assumptions!$B$3*K815),K815,J815)</f>
        <v>1268995</v>
      </c>
      <c r="M815" s="21" t="str">
        <f aca="false">IF(L815=J815,"FERC Form 1","EIA-861")</f>
        <v>FERC Form 1</v>
      </c>
      <c r="N815" s="28" t="n">
        <f aca="false">E815+F815+G815</f>
        <v>414.58641</v>
      </c>
    </row>
    <row r="816" customFormat="false" ht="15" hidden="false" customHeight="false" outlineLevel="0" collapsed="false">
      <c r="A816" s="7" t="n">
        <v>2017</v>
      </c>
      <c r="B816" s="15" t="s">
        <v>123</v>
      </c>
      <c r="C816" s="15" t="s">
        <v>118</v>
      </c>
      <c r="D816" s="15" t="s">
        <v>124</v>
      </c>
      <c r="E816" s="19" t="n">
        <v>199.723129</v>
      </c>
      <c r="F816" s="19" t="n">
        <v>57.425955</v>
      </c>
      <c r="G816" s="19" t="n">
        <v>139.174758</v>
      </c>
      <c r="H816" s="19" t="n">
        <v>196.634868</v>
      </c>
      <c r="I816" s="19" t="n">
        <v>5714.287732</v>
      </c>
      <c r="J816" s="27" t="n">
        <v>1281044</v>
      </c>
      <c r="K816" s="27" t="n">
        <v>1281044</v>
      </c>
      <c r="L816" s="9" t="n">
        <f aca="false">IF(AND(K816&lt;&gt;"",J816&lt;Assumptions!$B$3*K816),K816,J816)</f>
        <v>1281044</v>
      </c>
      <c r="M816" s="21" t="str">
        <f aca="false">IF(L816=J816,"FERC Form 1","EIA-861")</f>
        <v>FERC Form 1</v>
      </c>
      <c r="N816" s="28" t="n">
        <f aca="false">E816+F816+G816</f>
        <v>396.323842</v>
      </c>
    </row>
    <row r="817" customFormat="false" ht="15" hidden="false" customHeight="false" outlineLevel="0" collapsed="false">
      <c r="A817" s="7" t="n">
        <v>2018</v>
      </c>
      <c r="B817" s="15" t="s">
        <v>123</v>
      </c>
      <c r="C817" s="15" t="s">
        <v>118</v>
      </c>
      <c r="D817" s="15" t="s">
        <v>124</v>
      </c>
      <c r="E817" s="19" t="n">
        <v>235.303888</v>
      </c>
      <c r="F817" s="19" t="n">
        <v>55.248128</v>
      </c>
      <c r="G817" s="19" t="n">
        <v>145.207065</v>
      </c>
      <c r="H817" s="19" t="n">
        <v>288.304495</v>
      </c>
      <c r="I817" s="19" t="n">
        <v>5980.480775</v>
      </c>
      <c r="J817" s="27" t="n">
        <v>1282599</v>
      </c>
      <c r="K817" s="27" t="n">
        <v>1290931</v>
      </c>
      <c r="L817" s="9" t="n">
        <f aca="false">IF(AND(K817&lt;&gt;"",J817&lt;Assumptions!$B$3*K817),K817,J817)</f>
        <v>1282599</v>
      </c>
      <c r="M817" s="21" t="str">
        <f aca="false">IF(L817=J817,"FERC Form 1","EIA-861")</f>
        <v>FERC Form 1</v>
      </c>
      <c r="N817" s="28" t="n">
        <f aca="false">E817+F817+G817</f>
        <v>435.759081</v>
      </c>
    </row>
    <row r="818" customFormat="false" ht="15" hidden="false" customHeight="false" outlineLevel="0" collapsed="false">
      <c r="A818" s="7" t="n">
        <v>2019</v>
      </c>
      <c r="B818" s="15" t="s">
        <v>123</v>
      </c>
      <c r="C818" s="15" t="s">
        <v>118</v>
      </c>
      <c r="D818" s="15" t="s">
        <v>124</v>
      </c>
      <c r="E818" s="19" t="n">
        <v>211.799927</v>
      </c>
      <c r="F818" s="19" t="n">
        <v>57.551629</v>
      </c>
      <c r="G818" s="19" t="n">
        <v>147.789244</v>
      </c>
      <c r="H818" s="19" t="n">
        <v>269.038761</v>
      </c>
      <c r="I818" s="19" t="n">
        <v>6195.537843</v>
      </c>
      <c r="J818" s="27" t="n">
        <v>1299421</v>
      </c>
      <c r="K818" s="27" t="n">
        <v>1299419</v>
      </c>
      <c r="L818" s="9" t="n">
        <f aca="false">IF(AND(K818&lt;&gt;"",J818&lt;Assumptions!$B$3*K818),K818,J818)</f>
        <v>1299421</v>
      </c>
      <c r="M818" s="21" t="str">
        <f aca="false">IF(L818=J818,"FERC Form 1","EIA-861")</f>
        <v>FERC Form 1</v>
      </c>
      <c r="N818" s="28" t="n">
        <f aca="false">E818+F818+G818</f>
        <v>417.1408</v>
      </c>
    </row>
    <row r="819" customFormat="false" ht="15" hidden="false" customHeight="false" outlineLevel="0" collapsed="false">
      <c r="A819" s="7" t="n">
        <v>2020</v>
      </c>
      <c r="B819" s="15" t="s">
        <v>123</v>
      </c>
      <c r="C819" s="15" t="s">
        <v>118</v>
      </c>
      <c r="D819" s="15" t="s">
        <v>124</v>
      </c>
      <c r="E819" s="19" t="n">
        <v>209.250183</v>
      </c>
      <c r="F819" s="19" t="n">
        <v>60.374745</v>
      </c>
      <c r="G819" s="19" t="n">
        <v>158.513951</v>
      </c>
      <c r="H819" s="19" t="n">
        <v>333.452292</v>
      </c>
      <c r="I819" s="19" t="n">
        <v>6506.904638</v>
      </c>
      <c r="J819" s="27" t="n">
        <v>1312219</v>
      </c>
      <c r="K819" s="27" t="n">
        <v>1312220</v>
      </c>
      <c r="L819" s="9" t="n">
        <f aca="false">IF(AND(K819&lt;&gt;"",J819&lt;Assumptions!$B$3*K819),K819,J819)</f>
        <v>1312219</v>
      </c>
      <c r="M819" s="21" t="str">
        <f aca="false">IF(L819=J819,"FERC Form 1","EIA-861")</f>
        <v>FERC Form 1</v>
      </c>
      <c r="N819" s="28" t="n">
        <f aca="false">E819+F819+G819</f>
        <v>428.138879</v>
      </c>
    </row>
    <row r="820" customFormat="false" ht="15" hidden="false" customHeight="false" outlineLevel="0" collapsed="false">
      <c r="A820" s="7" t="n">
        <v>2021</v>
      </c>
      <c r="B820" s="15" t="s">
        <v>123</v>
      </c>
      <c r="C820" s="15" t="s">
        <v>118</v>
      </c>
      <c r="D820" s="15" t="s">
        <v>124</v>
      </c>
      <c r="E820" s="19" t="n">
        <v>232.971354</v>
      </c>
      <c r="F820" s="19" t="n">
        <v>58.409083</v>
      </c>
      <c r="G820" s="19" t="n">
        <v>166.78289</v>
      </c>
      <c r="H820" s="19" t="n">
        <v>331.140122</v>
      </c>
      <c r="I820" s="19" t="n">
        <v>6818.186648</v>
      </c>
      <c r="J820" s="27" t="n">
        <v>1320806</v>
      </c>
      <c r="K820" s="27" t="n">
        <v>1320805</v>
      </c>
      <c r="L820" s="9" t="n">
        <f aca="false">IF(AND(K820&lt;&gt;"",J820&lt;Assumptions!$B$3*K820),K820,J820)</f>
        <v>1320806</v>
      </c>
      <c r="M820" s="21" t="str">
        <f aca="false">IF(L820=J820,"FERC Form 1","EIA-861")</f>
        <v>FERC Form 1</v>
      </c>
      <c r="N820" s="28" t="n">
        <f aca="false">E820+F820+G820</f>
        <v>458.163327</v>
      </c>
    </row>
    <row r="821" customFormat="false" ht="15" hidden="false" customHeight="false" outlineLevel="0" collapsed="false">
      <c r="A821" s="7" t="n">
        <v>2022</v>
      </c>
      <c r="B821" s="15" t="s">
        <v>123</v>
      </c>
      <c r="C821" s="15" t="s">
        <v>118</v>
      </c>
      <c r="D821" s="15" t="s">
        <v>124</v>
      </c>
      <c r="E821" s="19" t="n">
        <v>240.972681</v>
      </c>
      <c r="F821" s="19" t="n">
        <v>67.909425</v>
      </c>
      <c r="G821" s="19" t="n">
        <v>174.703487</v>
      </c>
      <c r="H821" s="19" t="n">
        <v>373.783335</v>
      </c>
      <c r="I821" s="19" t="n">
        <v>7161.097329</v>
      </c>
      <c r="J821" s="27" t="n">
        <v>1329040</v>
      </c>
      <c r="K821" s="27" t="n">
        <v>1329038</v>
      </c>
      <c r="L821" s="9" t="n">
        <f aca="false">IF(AND(K821&lt;&gt;"",J821&lt;Assumptions!$B$3*K821),K821,J821)</f>
        <v>1329040</v>
      </c>
      <c r="M821" s="21" t="str">
        <f aca="false">IF(L821=J821,"FERC Form 1","EIA-861")</f>
        <v>FERC Form 1</v>
      </c>
      <c r="N821" s="28" t="n">
        <f aca="false">E821+F821+G821</f>
        <v>483.585593</v>
      </c>
    </row>
    <row r="822" customFormat="false" ht="15" hidden="false" customHeight="false" outlineLevel="0" collapsed="false">
      <c r="A822" s="7" t="n">
        <v>2023</v>
      </c>
      <c r="B822" s="15" t="s">
        <v>123</v>
      </c>
      <c r="C822" s="15" t="s">
        <v>118</v>
      </c>
      <c r="D822" s="15" t="s">
        <v>124</v>
      </c>
      <c r="E822" s="19" t="n">
        <v>231.196571</v>
      </c>
      <c r="F822" s="19" t="n">
        <v>77.501192</v>
      </c>
      <c r="G822" s="19" t="n">
        <v>182.259483</v>
      </c>
      <c r="H822" s="19" t="n">
        <v>422.300801</v>
      </c>
      <c r="I822" s="19" t="n">
        <v>7522.209551</v>
      </c>
      <c r="J822" s="27" t="n">
        <v>1336794</v>
      </c>
      <c r="K822" s="27" t="n">
        <v>1336792</v>
      </c>
      <c r="L822" s="9" t="n">
        <f aca="false">IF(AND(K822&lt;&gt;"",J822&lt;Assumptions!$B$3*K822),K822,J822)</f>
        <v>1336794</v>
      </c>
      <c r="M822" s="21" t="str">
        <f aca="false">IF(L822=J822,"FERC Form 1","EIA-861")</f>
        <v>FERC Form 1</v>
      </c>
      <c r="N822" s="28" t="n">
        <f aca="false">E822+F822+G822</f>
        <v>490.957246</v>
      </c>
    </row>
    <row r="823" customFormat="false" ht="15" hidden="false" customHeight="false" outlineLevel="0" collapsed="false">
      <c r="A823" s="7" t="n">
        <v>2024</v>
      </c>
      <c r="B823" s="15" t="s">
        <v>123</v>
      </c>
      <c r="C823" s="15" t="s">
        <v>118</v>
      </c>
      <c r="D823" s="15" t="s">
        <v>124</v>
      </c>
      <c r="E823" s="19" t="n">
        <v>317.219864</v>
      </c>
      <c r="F823" s="19" t="n">
        <v>93.008382</v>
      </c>
      <c r="G823" s="19" t="n">
        <v>162.856813</v>
      </c>
      <c r="H823" s="19" t="n">
        <v>571.653924</v>
      </c>
      <c r="I823" s="19" t="n">
        <v>8125.610343</v>
      </c>
      <c r="J823" s="27" t="n">
        <v>1342757</v>
      </c>
      <c r="K823" s="27" t="n">
        <v>1342757</v>
      </c>
      <c r="L823" s="9" t="n">
        <f aca="false">IF(AND(K823&lt;&gt;"",J823&lt;Assumptions!$B$3*K823),K823,J823)</f>
        <v>1342757</v>
      </c>
      <c r="M823" s="21" t="str">
        <f aca="false">IF(L823=J823,"FERC Form 1","EIA-861")</f>
        <v>FERC Form 1</v>
      </c>
      <c r="N823" s="28" t="n">
        <f aca="false">E823+F823+G823</f>
        <v>573.085059</v>
      </c>
    </row>
    <row r="824" customFormat="false" ht="15" hidden="false" customHeight="false" outlineLevel="0" collapsed="false">
      <c r="A824" s="7" t="n">
        <v>2025</v>
      </c>
      <c r="B824" s="15" t="s">
        <v>123</v>
      </c>
      <c r="C824" s="15" t="s">
        <v>118</v>
      </c>
      <c r="D824" s="15" t="s">
        <v>124</v>
      </c>
      <c r="E824" s="19" t="n">
        <v>360.32216</v>
      </c>
      <c r="F824" s="19" t="n">
        <v>88.541847</v>
      </c>
      <c r="G824" s="19" t="n">
        <v>196.527189</v>
      </c>
      <c r="H824" s="19" t="n">
        <v>511.032069</v>
      </c>
      <c r="I824" s="19" t="n">
        <v>8646.452447</v>
      </c>
      <c r="J824" s="27" t="n">
        <v>1349561</v>
      </c>
      <c r="K824" s="27" t="n">
        <v>1349562</v>
      </c>
      <c r="L824" s="9" t="n">
        <f aca="false">IF(AND(K824&lt;&gt;"",J824&lt;Assumptions!$B$3*K824),K824,J824)</f>
        <v>1349561</v>
      </c>
      <c r="M824" s="21" t="str">
        <f aca="false">IF(L824=J824,"FERC Form 1","EIA-861")</f>
        <v>FERC Form 1</v>
      </c>
      <c r="N824" s="28" t="n">
        <f aca="false">E824+F824+G824</f>
        <v>645.391196</v>
      </c>
    </row>
    <row r="825" customFormat="false" ht="15" hidden="false" customHeight="false" outlineLevel="0" collapsed="false">
      <c r="A825" s="7" t="n">
        <v>2000</v>
      </c>
      <c r="B825" s="15" t="s">
        <v>125</v>
      </c>
      <c r="C825" s="15" t="s">
        <v>118</v>
      </c>
      <c r="D825" s="15" t="s">
        <v>126</v>
      </c>
      <c r="E825" s="19" t="n">
        <v>37.267162</v>
      </c>
      <c r="F825" s="19" t="n">
        <v>62.963665</v>
      </c>
      <c r="G825" s="19" t="n">
        <v>30.866316</v>
      </c>
      <c r="H825" s="19" t="n">
        <v>33.98422</v>
      </c>
      <c r="I825" s="19" t="n">
        <v>972.832193</v>
      </c>
      <c r="J825" s="27" t="n">
        <v>470916</v>
      </c>
      <c r="K825" s="27"/>
      <c r="L825" s="9" t="n">
        <f aca="false">IF(AND(K825&lt;&gt;"",J825&lt;Assumptions!$B$3*K825),K825,J825)</f>
        <v>470916</v>
      </c>
      <c r="M825" s="21" t="str">
        <f aca="false">IF(L825=J825,"FERC Form 1","EIA-861")</f>
        <v>FERC Form 1</v>
      </c>
      <c r="N825" s="28" t="n">
        <f aca="false">E825+F825+G825</f>
        <v>131.097143</v>
      </c>
    </row>
    <row r="826" customFormat="false" ht="15" hidden="false" customHeight="false" outlineLevel="0" collapsed="false">
      <c r="A826" s="7" t="n">
        <v>2001</v>
      </c>
      <c r="B826" s="15" t="s">
        <v>125</v>
      </c>
      <c r="C826" s="15" t="s">
        <v>118</v>
      </c>
      <c r="D826" s="15" t="s">
        <v>126</v>
      </c>
      <c r="E826" s="19" t="n">
        <v>39.737771</v>
      </c>
      <c r="F826" s="19" t="n">
        <v>51.807983</v>
      </c>
      <c r="G826" s="19" t="n">
        <v>31.65948</v>
      </c>
      <c r="H826" s="19" t="n">
        <v>30.309474</v>
      </c>
      <c r="I826" s="19" t="n">
        <v>1000.518464</v>
      </c>
      <c r="J826" s="27" t="n">
        <v>476373</v>
      </c>
      <c r="K826" s="27" t="n">
        <v>476373</v>
      </c>
      <c r="L826" s="9" t="n">
        <f aca="false">IF(AND(K826&lt;&gt;"",J826&lt;Assumptions!$B$3*K826),K826,J826)</f>
        <v>476373</v>
      </c>
      <c r="M826" s="21" t="str">
        <f aca="false">IF(L826=J826,"FERC Form 1","EIA-861")</f>
        <v>FERC Form 1</v>
      </c>
      <c r="N826" s="28" t="n">
        <f aca="false">E826+F826+G826</f>
        <v>123.205234</v>
      </c>
    </row>
    <row r="827" customFormat="false" ht="15" hidden="false" customHeight="false" outlineLevel="0" collapsed="false">
      <c r="A827" s="7" t="n">
        <v>2002</v>
      </c>
      <c r="B827" s="15" t="s">
        <v>125</v>
      </c>
      <c r="C827" s="15" t="s">
        <v>118</v>
      </c>
      <c r="D827" s="15" t="s">
        <v>126</v>
      </c>
      <c r="E827" s="19" t="n">
        <v>38.038845</v>
      </c>
      <c r="F827" s="19" t="n">
        <v>42.937938</v>
      </c>
      <c r="G827" s="19" t="n">
        <v>33.027301</v>
      </c>
      <c r="H827" s="19" t="n">
        <v>58.893326</v>
      </c>
      <c r="I827" s="19" t="n">
        <v>1053.419095</v>
      </c>
      <c r="J827" s="27" t="n">
        <v>482698</v>
      </c>
      <c r="K827" s="27" t="n">
        <v>482699</v>
      </c>
      <c r="L827" s="9" t="n">
        <f aca="false">IF(AND(K827&lt;&gt;"",J827&lt;Assumptions!$B$3*K827),K827,J827)</f>
        <v>482698</v>
      </c>
      <c r="M827" s="21" t="str">
        <f aca="false">IF(L827=J827,"FERC Form 1","EIA-861")</f>
        <v>FERC Form 1</v>
      </c>
      <c r="N827" s="28" t="n">
        <f aca="false">E827+F827+G827</f>
        <v>114.004084</v>
      </c>
    </row>
    <row r="828" customFormat="false" ht="15" hidden="false" customHeight="false" outlineLevel="0" collapsed="false">
      <c r="A828" s="7" t="n">
        <v>2003</v>
      </c>
      <c r="B828" s="15" t="s">
        <v>125</v>
      </c>
      <c r="C828" s="15" t="s">
        <v>118</v>
      </c>
      <c r="D828" s="15" t="s">
        <v>126</v>
      </c>
      <c r="E828" s="19" t="n">
        <v>46.117506</v>
      </c>
      <c r="F828" s="19" t="n">
        <v>44.065263</v>
      </c>
      <c r="G828" s="19" t="n">
        <v>34.747073</v>
      </c>
      <c r="H828" s="19" t="n">
        <v>63.675203</v>
      </c>
      <c r="I828" s="19" t="n">
        <v>1112.166847</v>
      </c>
      <c r="J828" s="27" t="n">
        <v>488901</v>
      </c>
      <c r="K828" s="27" t="n">
        <v>488902</v>
      </c>
      <c r="L828" s="9" t="n">
        <f aca="false">IF(AND(K828&lt;&gt;"",J828&lt;Assumptions!$B$3*K828),K828,J828)</f>
        <v>488901</v>
      </c>
      <c r="M828" s="21" t="str">
        <f aca="false">IF(L828=J828,"FERC Form 1","EIA-861")</f>
        <v>FERC Form 1</v>
      </c>
      <c r="N828" s="28" t="n">
        <f aca="false">E828+F828+G828</f>
        <v>124.929842</v>
      </c>
    </row>
    <row r="829" customFormat="false" ht="15" hidden="false" customHeight="false" outlineLevel="0" collapsed="false">
      <c r="A829" s="7" t="n">
        <v>2004</v>
      </c>
      <c r="B829" s="15" t="s">
        <v>125</v>
      </c>
      <c r="C829" s="15" t="s">
        <v>118</v>
      </c>
      <c r="D829" s="15" t="s">
        <v>126</v>
      </c>
      <c r="E829" s="19" t="n">
        <v>39.35244</v>
      </c>
      <c r="F829" s="19" t="n">
        <v>34.796479</v>
      </c>
      <c r="G829" s="19" t="n">
        <v>36.634474</v>
      </c>
      <c r="H829" s="19" t="n">
        <v>65.891097</v>
      </c>
      <c r="I829" s="19" t="n">
        <v>1172.58932</v>
      </c>
      <c r="J829" s="27" t="n">
        <v>497416</v>
      </c>
      <c r="K829" s="27" t="n">
        <v>497415</v>
      </c>
      <c r="L829" s="9" t="n">
        <f aca="false">IF(AND(K829&lt;&gt;"",J829&lt;Assumptions!$B$3*K829),K829,J829)</f>
        <v>497416</v>
      </c>
      <c r="M829" s="21" t="str">
        <f aca="false">IF(L829=J829,"FERC Form 1","EIA-861")</f>
        <v>FERC Form 1</v>
      </c>
      <c r="N829" s="28" t="n">
        <f aca="false">E829+F829+G829</f>
        <v>110.783393</v>
      </c>
    </row>
    <row r="830" customFormat="false" ht="15" hidden="false" customHeight="false" outlineLevel="0" collapsed="false">
      <c r="A830" s="7" t="n">
        <v>2005</v>
      </c>
      <c r="B830" s="15" t="s">
        <v>125</v>
      </c>
      <c r="C830" s="15" t="s">
        <v>118</v>
      </c>
      <c r="D830" s="15" t="s">
        <v>126</v>
      </c>
      <c r="E830" s="19" t="n">
        <v>32.621788</v>
      </c>
      <c r="F830" s="19" t="n">
        <v>37.790393</v>
      </c>
      <c r="G830" s="19" t="n">
        <v>38.63251</v>
      </c>
      <c r="H830" s="19" t="n">
        <v>67.728496</v>
      </c>
      <c r="I830" s="19" t="n">
        <v>1232.277908</v>
      </c>
      <c r="J830" s="27" t="n">
        <v>505820</v>
      </c>
      <c r="K830" s="27" t="n">
        <v>505820</v>
      </c>
      <c r="L830" s="9" t="n">
        <f aca="false">IF(AND(K830&lt;&gt;"",J830&lt;Assumptions!$B$3*K830),K830,J830)</f>
        <v>505820</v>
      </c>
      <c r="M830" s="21" t="str">
        <f aca="false">IF(L830=J830,"FERC Form 1","EIA-861")</f>
        <v>FERC Form 1</v>
      </c>
      <c r="N830" s="28" t="n">
        <f aca="false">E830+F830+G830</f>
        <v>109.044691</v>
      </c>
    </row>
    <row r="831" customFormat="false" ht="15" hidden="false" customHeight="false" outlineLevel="0" collapsed="false">
      <c r="A831" s="7" t="n">
        <v>2006</v>
      </c>
      <c r="B831" s="15" t="s">
        <v>125</v>
      </c>
      <c r="C831" s="15" t="s">
        <v>118</v>
      </c>
      <c r="D831" s="15" t="s">
        <v>126</v>
      </c>
      <c r="E831" s="19" t="n">
        <v>35.523678</v>
      </c>
      <c r="F831" s="19" t="n">
        <v>36.113499</v>
      </c>
      <c r="G831" s="19" t="n">
        <v>37.51537</v>
      </c>
      <c r="H831" s="19" t="n">
        <v>57.763414</v>
      </c>
      <c r="I831" s="19" t="n">
        <v>1273.115872</v>
      </c>
      <c r="J831" s="27" t="n">
        <v>512673</v>
      </c>
      <c r="K831" s="27" t="n">
        <v>512673</v>
      </c>
      <c r="L831" s="9" t="n">
        <f aca="false">IF(AND(K831&lt;&gt;"",J831&lt;Assumptions!$B$3*K831),K831,J831)</f>
        <v>512673</v>
      </c>
      <c r="M831" s="21" t="str">
        <f aca="false">IF(L831=J831,"FERC Form 1","EIA-861")</f>
        <v>FERC Form 1</v>
      </c>
      <c r="N831" s="28" t="n">
        <f aca="false">E831+F831+G831</f>
        <v>109.152547</v>
      </c>
    </row>
    <row r="832" customFormat="false" ht="15" hidden="false" customHeight="false" outlineLevel="0" collapsed="false">
      <c r="A832" s="7" t="n">
        <v>2007</v>
      </c>
      <c r="B832" s="15" t="s">
        <v>125</v>
      </c>
      <c r="C832" s="15" t="s">
        <v>118</v>
      </c>
      <c r="D832" s="15" t="s">
        <v>126</v>
      </c>
      <c r="E832" s="19" t="n">
        <v>40.573526</v>
      </c>
      <c r="F832" s="19" t="n">
        <v>52.063359</v>
      </c>
      <c r="G832" s="19" t="n">
        <v>37.240347</v>
      </c>
      <c r="H832" s="19" t="n">
        <v>73.890907</v>
      </c>
      <c r="I832" s="19" t="n">
        <v>1337.826137</v>
      </c>
      <c r="J832" s="27" t="n">
        <v>516058</v>
      </c>
      <c r="K832" s="27" t="n">
        <v>516058</v>
      </c>
      <c r="L832" s="9" t="n">
        <f aca="false">IF(AND(K832&lt;&gt;"",J832&lt;Assumptions!$B$3*K832),K832,J832)</f>
        <v>516058</v>
      </c>
      <c r="M832" s="21" t="str">
        <f aca="false">IF(L832=J832,"FERC Form 1","EIA-861")</f>
        <v>FERC Form 1</v>
      </c>
      <c r="N832" s="28" t="n">
        <f aca="false">E832+F832+G832</f>
        <v>129.877232</v>
      </c>
    </row>
    <row r="833" customFormat="false" ht="15" hidden="false" customHeight="false" outlineLevel="0" collapsed="false">
      <c r="A833" s="7" t="n">
        <v>2008</v>
      </c>
      <c r="B833" s="15" t="s">
        <v>125</v>
      </c>
      <c r="C833" s="15" t="s">
        <v>118</v>
      </c>
      <c r="D833" s="15" t="s">
        <v>126</v>
      </c>
      <c r="E833" s="19" t="n">
        <v>42.908802</v>
      </c>
      <c r="F833" s="19" t="n">
        <v>55.755664</v>
      </c>
      <c r="G833" s="19" t="n">
        <v>36.130199</v>
      </c>
      <c r="H833" s="19" t="n">
        <v>91.164289</v>
      </c>
      <c r="I833" s="19" t="n">
        <v>1357.440113</v>
      </c>
      <c r="J833" s="27" t="n">
        <v>496682</v>
      </c>
      <c r="K833" s="27" t="n">
        <v>496683</v>
      </c>
      <c r="L833" s="9" t="n">
        <f aca="false">IF(AND(K833&lt;&gt;"",J833&lt;Assumptions!$B$3*K833),K833,J833)</f>
        <v>496682</v>
      </c>
      <c r="M833" s="21" t="str">
        <f aca="false">IF(L833=J833,"FERC Form 1","EIA-861")</f>
        <v>FERC Form 1</v>
      </c>
      <c r="N833" s="28" t="n">
        <f aca="false">E833+F833+G833</f>
        <v>134.794665</v>
      </c>
    </row>
    <row r="834" customFormat="false" ht="15" hidden="false" customHeight="false" outlineLevel="0" collapsed="false">
      <c r="A834" s="7" t="n">
        <v>2009</v>
      </c>
      <c r="B834" s="15" t="s">
        <v>125</v>
      </c>
      <c r="C834" s="15" t="s">
        <v>118</v>
      </c>
      <c r="D834" s="15" t="s">
        <v>126</v>
      </c>
      <c r="E834" s="19" t="n">
        <v>49.277498</v>
      </c>
      <c r="F834" s="19" t="n">
        <v>55.151615</v>
      </c>
      <c r="G834" s="19" t="n">
        <v>37.901042</v>
      </c>
      <c r="H834" s="19" t="n">
        <v>89.273656</v>
      </c>
      <c r="I834" s="19" t="n">
        <v>1430.496536</v>
      </c>
      <c r="J834" s="27" t="n">
        <v>498046</v>
      </c>
      <c r="K834" s="27" t="n">
        <v>498046</v>
      </c>
      <c r="L834" s="9" t="n">
        <f aca="false">IF(AND(K834&lt;&gt;"",J834&lt;Assumptions!$B$3*K834),K834,J834)</f>
        <v>498046</v>
      </c>
      <c r="M834" s="21" t="str">
        <f aca="false">IF(L834=J834,"FERC Form 1","EIA-861")</f>
        <v>FERC Form 1</v>
      </c>
      <c r="N834" s="28" t="n">
        <f aca="false">E834+F834+G834</f>
        <v>142.330155</v>
      </c>
    </row>
    <row r="835" customFormat="false" ht="15" hidden="false" customHeight="false" outlineLevel="0" collapsed="false">
      <c r="A835" s="7" t="n">
        <v>2010</v>
      </c>
      <c r="B835" s="15" t="s">
        <v>125</v>
      </c>
      <c r="C835" s="15" t="s">
        <v>118</v>
      </c>
      <c r="D835" s="15" t="s">
        <v>126</v>
      </c>
      <c r="E835" s="19" t="n">
        <v>56.125233</v>
      </c>
      <c r="F835" s="19" t="n">
        <v>54.831145</v>
      </c>
      <c r="G835" s="19" t="n">
        <v>39.714603</v>
      </c>
      <c r="H835" s="19" t="n">
        <v>122.47186</v>
      </c>
      <c r="I835" s="19" t="n">
        <v>1514.925961</v>
      </c>
      <c r="J835" s="27" t="n">
        <v>499689</v>
      </c>
      <c r="K835" s="27" t="n">
        <v>499689</v>
      </c>
      <c r="L835" s="9" t="n">
        <f aca="false">IF(AND(K835&lt;&gt;"",J835&lt;Assumptions!$B$3*K835),K835,J835)</f>
        <v>499689</v>
      </c>
      <c r="M835" s="21" t="str">
        <f aca="false">IF(L835=J835,"FERC Form 1","EIA-861")</f>
        <v>FERC Form 1</v>
      </c>
      <c r="N835" s="28" t="n">
        <f aca="false">E835+F835+G835</f>
        <v>150.670981</v>
      </c>
    </row>
    <row r="836" customFormat="false" ht="15" hidden="false" customHeight="false" outlineLevel="0" collapsed="false">
      <c r="A836" s="7" t="n">
        <v>2011</v>
      </c>
      <c r="B836" s="15" t="s">
        <v>125</v>
      </c>
      <c r="C836" s="15" t="s">
        <v>118</v>
      </c>
      <c r="D836" s="15" t="s">
        <v>126</v>
      </c>
      <c r="E836" s="19" t="n">
        <v>66.564492</v>
      </c>
      <c r="F836" s="19" t="n">
        <v>55.119727</v>
      </c>
      <c r="G836" s="19" t="n">
        <v>41.659282</v>
      </c>
      <c r="H836" s="19" t="n">
        <v>84.658689</v>
      </c>
      <c r="I836" s="19" t="n">
        <v>1579.968649</v>
      </c>
      <c r="J836" s="27" t="n">
        <v>500998</v>
      </c>
      <c r="K836" s="27" t="n">
        <v>500999</v>
      </c>
      <c r="L836" s="9" t="n">
        <f aca="false">IF(AND(K836&lt;&gt;"",J836&lt;Assumptions!$B$3*K836),K836,J836)</f>
        <v>500998</v>
      </c>
      <c r="M836" s="21" t="str">
        <f aca="false">IF(L836=J836,"FERC Form 1","EIA-861")</f>
        <v>FERC Form 1</v>
      </c>
      <c r="N836" s="28" t="n">
        <f aca="false">E836+F836+G836</f>
        <v>163.343501</v>
      </c>
    </row>
    <row r="837" customFormat="false" ht="15" hidden="false" customHeight="false" outlineLevel="0" collapsed="false">
      <c r="A837" s="7" t="n">
        <v>2012</v>
      </c>
      <c r="B837" s="15" t="s">
        <v>125</v>
      </c>
      <c r="C837" s="15" t="s">
        <v>118</v>
      </c>
      <c r="D837" s="15" t="s">
        <v>126</v>
      </c>
      <c r="E837" s="19" t="n">
        <v>65.09948</v>
      </c>
      <c r="F837" s="19" t="n">
        <v>59.847366</v>
      </c>
      <c r="G837" s="19" t="n">
        <v>41.616889</v>
      </c>
      <c r="H837" s="19" t="n">
        <v>97.160796</v>
      </c>
      <c r="I837" s="19" t="n">
        <v>1664.361256</v>
      </c>
      <c r="J837" s="27" t="n">
        <v>501965</v>
      </c>
      <c r="K837" s="27" t="n">
        <v>501965</v>
      </c>
      <c r="L837" s="9" t="n">
        <f aca="false">IF(AND(K837&lt;&gt;"",J837&lt;Assumptions!$B$3*K837),K837,J837)</f>
        <v>501965</v>
      </c>
      <c r="M837" s="21" t="str">
        <f aca="false">IF(L837=J837,"FERC Form 1","EIA-861")</f>
        <v>FERC Form 1</v>
      </c>
      <c r="N837" s="28" t="n">
        <f aca="false">E837+F837+G837</f>
        <v>166.563735</v>
      </c>
    </row>
    <row r="838" customFormat="false" ht="15" hidden="false" customHeight="false" outlineLevel="0" collapsed="false">
      <c r="A838" s="7" t="n">
        <v>2013</v>
      </c>
      <c r="B838" s="15" t="s">
        <v>125</v>
      </c>
      <c r="C838" s="15" t="s">
        <v>118</v>
      </c>
      <c r="D838" s="15" t="s">
        <v>126</v>
      </c>
      <c r="E838" s="19" t="n">
        <v>56.785317</v>
      </c>
      <c r="F838" s="19" t="n">
        <v>56.488379</v>
      </c>
      <c r="G838" s="19" t="n">
        <v>41.724303</v>
      </c>
      <c r="H838" s="19" t="n">
        <v>165.494331</v>
      </c>
      <c r="I838" s="19" t="n">
        <v>1788.215303</v>
      </c>
      <c r="J838" s="27" t="n">
        <v>504496</v>
      </c>
      <c r="K838" s="27" t="n">
        <v>504496</v>
      </c>
      <c r="L838" s="9" t="n">
        <f aca="false">IF(AND(K838&lt;&gt;"",J838&lt;Assumptions!$B$3*K838),K838,J838)</f>
        <v>504496</v>
      </c>
      <c r="M838" s="21" t="str">
        <f aca="false">IF(L838=J838,"FERC Form 1","EIA-861")</f>
        <v>FERC Form 1</v>
      </c>
      <c r="N838" s="28" t="n">
        <f aca="false">E838+F838+G838</f>
        <v>154.997999</v>
      </c>
    </row>
    <row r="839" customFormat="false" ht="15" hidden="false" customHeight="false" outlineLevel="0" collapsed="false">
      <c r="A839" s="7" t="n">
        <v>2014</v>
      </c>
      <c r="B839" s="15" t="s">
        <v>125</v>
      </c>
      <c r="C839" s="15" t="s">
        <v>118</v>
      </c>
      <c r="D839" s="15" t="s">
        <v>126</v>
      </c>
      <c r="E839" s="19" t="n">
        <v>72.681307</v>
      </c>
      <c r="F839" s="19" t="n">
        <v>62.376017</v>
      </c>
      <c r="G839" s="19" t="n">
        <v>45.082536</v>
      </c>
      <c r="H839" s="19" t="n">
        <v>160.97999</v>
      </c>
      <c r="I839" s="19" t="n">
        <v>1927.574215</v>
      </c>
      <c r="J839" s="27" t="n">
        <v>507922</v>
      </c>
      <c r="K839" s="27" t="n">
        <v>507920</v>
      </c>
      <c r="L839" s="9" t="n">
        <f aca="false">IF(AND(K839&lt;&gt;"",J839&lt;Assumptions!$B$3*K839),K839,J839)</f>
        <v>507922</v>
      </c>
      <c r="M839" s="21" t="str">
        <f aca="false">IF(L839=J839,"FERC Form 1","EIA-861")</f>
        <v>FERC Form 1</v>
      </c>
      <c r="N839" s="28" t="n">
        <f aca="false">E839+F839+G839</f>
        <v>180.13986</v>
      </c>
    </row>
    <row r="840" customFormat="false" ht="15" hidden="false" customHeight="false" outlineLevel="0" collapsed="false">
      <c r="A840" s="7" t="n">
        <v>2015</v>
      </c>
      <c r="B840" s="15" t="s">
        <v>125</v>
      </c>
      <c r="C840" s="15" t="s">
        <v>118</v>
      </c>
      <c r="D840" s="15" t="s">
        <v>126</v>
      </c>
      <c r="E840" s="19" t="n">
        <v>75.338422</v>
      </c>
      <c r="F840" s="19" t="n">
        <v>79.480109</v>
      </c>
      <c r="G840" s="19" t="n">
        <v>47.869133</v>
      </c>
      <c r="H840" s="19" t="n">
        <v>134.679991</v>
      </c>
      <c r="I840" s="19" t="n">
        <v>2043.588041</v>
      </c>
      <c r="J840" s="27" t="n">
        <v>511765</v>
      </c>
      <c r="K840" s="27" t="n">
        <v>511765</v>
      </c>
      <c r="L840" s="9" t="n">
        <f aca="false">IF(AND(K840&lt;&gt;"",J840&lt;Assumptions!$B$3*K840),K840,J840)</f>
        <v>511765</v>
      </c>
      <c r="M840" s="21" t="str">
        <f aca="false">IF(L840=J840,"FERC Form 1","EIA-861")</f>
        <v>FERC Form 1</v>
      </c>
      <c r="N840" s="28" t="n">
        <f aca="false">E840+F840+G840</f>
        <v>202.687664</v>
      </c>
    </row>
    <row r="841" customFormat="false" ht="15" hidden="false" customHeight="false" outlineLevel="0" collapsed="false">
      <c r="A841" s="7" t="n">
        <v>2016</v>
      </c>
      <c r="B841" s="15" t="s">
        <v>125</v>
      </c>
      <c r="C841" s="15" t="s">
        <v>118</v>
      </c>
      <c r="D841" s="15" t="s">
        <v>126</v>
      </c>
      <c r="E841" s="19" t="n">
        <v>83.795657</v>
      </c>
      <c r="F841" s="19" t="n">
        <v>78.866043</v>
      </c>
      <c r="G841" s="19" t="n">
        <v>50.307788</v>
      </c>
      <c r="H841" s="19" t="n">
        <v>119.135208</v>
      </c>
      <c r="I841" s="19" t="n">
        <v>2131.207612</v>
      </c>
      <c r="J841" s="27" t="n">
        <v>516709</v>
      </c>
      <c r="K841" s="27" t="n">
        <v>516709</v>
      </c>
      <c r="L841" s="9" t="n">
        <f aca="false">IF(AND(K841&lt;&gt;"",J841&lt;Assumptions!$B$3*K841),K841,J841)</f>
        <v>516709</v>
      </c>
      <c r="M841" s="21" t="str">
        <f aca="false">IF(L841=J841,"FERC Form 1","EIA-861")</f>
        <v>FERC Form 1</v>
      </c>
      <c r="N841" s="28" t="n">
        <f aca="false">E841+F841+G841</f>
        <v>212.969488</v>
      </c>
    </row>
    <row r="842" customFormat="false" ht="15" hidden="false" customHeight="false" outlineLevel="0" collapsed="false">
      <c r="A842" s="7" t="n">
        <v>2017</v>
      </c>
      <c r="B842" s="15" t="s">
        <v>125</v>
      </c>
      <c r="C842" s="15" t="s">
        <v>118</v>
      </c>
      <c r="D842" s="15" t="s">
        <v>126</v>
      </c>
      <c r="E842" s="19" t="n">
        <v>84.76521</v>
      </c>
      <c r="F842" s="19" t="n">
        <v>62.560053</v>
      </c>
      <c r="G842" s="19" t="n">
        <v>62.765482</v>
      </c>
      <c r="H842" s="19" t="n">
        <v>142.450288</v>
      </c>
      <c r="I842" s="19" t="n">
        <v>2256.017313</v>
      </c>
      <c r="J842" s="27" t="n">
        <v>520657</v>
      </c>
      <c r="K842" s="27" t="n">
        <v>520657</v>
      </c>
      <c r="L842" s="9" t="n">
        <f aca="false">IF(AND(K842&lt;&gt;"",J842&lt;Assumptions!$B$3*K842),K842,J842)</f>
        <v>520657</v>
      </c>
      <c r="M842" s="21" t="str">
        <f aca="false">IF(L842=J842,"FERC Form 1","EIA-861")</f>
        <v>FERC Form 1</v>
      </c>
      <c r="N842" s="28" t="n">
        <f aca="false">E842+F842+G842</f>
        <v>210.090745</v>
      </c>
    </row>
    <row r="843" customFormat="false" ht="15" hidden="false" customHeight="false" outlineLevel="0" collapsed="false">
      <c r="A843" s="7" t="n">
        <v>2018</v>
      </c>
      <c r="B843" s="15" t="s">
        <v>125</v>
      </c>
      <c r="C843" s="15" t="s">
        <v>118</v>
      </c>
      <c r="D843" s="15" t="s">
        <v>126</v>
      </c>
      <c r="E843" s="19" t="n">
        <v>80.736882</v>
      </c>
      <c r="F843" s="19" t="n">
        <v>60.873172</v>
      </c>
      <c r="G843" s="19" t="n">
        <v>66.955696</v>
      </c>
      <c r="H843" s="19" t="n">
        <v>138.777257</v>
      </c>
      <c r="I843" s="19" t="n">
        <v>2379.040688</v>
      </c>
      <c r="J843" s="27" t="n">
        <v>525355</v>
      </c>
      <c r="K843" s="27" t="n">
        <v>525194</v>
      </c>
      <c r="L843" s="9" t="n">
        <f aca="false">IF(AND(K843&lt;&gt;"",J843&lt;Assumptions!$B$3*K843),K843,J843)</f>
        <v>525355</v>
      </c>
      <c r="M843" s="21" t="str">
        <f aca="false">IF(L843=J843,"FERC Form 1","EIA-861")</f>
        <v>FERC Form 1</v>
      </c>
      <c r="N843" s="28" t="n">
        <f aca="false">E843+F843+G843</f>
        <v>208.56575</v>
      </c>
    </row>
    <row r="844" customFormat="false" ht="15" hidden="false" customHeight="false" outlineLevel="0" collapsed="false">
      <c r="A844" s="7" t="n">
        <v>2019</v>
      </c>
      <c r="B844" s="15" t="s">
        <v>125</v>
      </c>
      <c r="C844" s="15" t="s">
        <v>118</v>
      </c>
      <c r="D844" s="15" t="s">
        <v>126</v>
      </c>
      <c r="E844" s="19" t="n">
        <v>86.862307</v>
      </c>
      <c r="F844" s="19" t="n">
        <v>56.26712</v>
      </c>
      <c r="G844" s="19" t="n">
        <v>69.785468</v>
      </c>
      <c r="H844" s="19" t="n">
        <v>121.827339</v>
      </c>
      <c r="I844" s="19" t="n">
        <v>2489.392226</v>
      </c>
      <c r="J844" s="27" t="n">
        <v>529284</v>
      </c>
      <c r="K844" s="27" t="n">
        <v>529583</v>
      </c>
      <c r="L844" s="9" t="n">
        <f aca="false">IF(AND(K844&lt;&gt;"",J844&lt;Assumptions!$B$3*K844),K844,J844)</f>
        <v>529284</v>
      </c>
      <c r="M844" s="21" t="str">
        <f aca="false">IF(L844=J844,"FERC Form 1","EIA-861")</f>
        <v>FERC Form 1</v>
      </c>
      <c r="N844" s="28" t="n">
        <f aca="false">E844+F844+G844</f>
        <v>212.914895</v>
      </c>
    </row>
    <row r="845" customFormat="false" ht="15" hidden="false" customHeight="false" outlineLevel="0" collapsed="false">
      <c r="A845" s="7" t="n">
        <v>2020</v>
      </c>
      <c r="B845" s="15" t="s">
        <v>125</v>
      </c>
      <c r="C845" s="15" t="s">
        <v>118</v>
      </c>
      <c r="D845" s="15" t="s">
        <v>126</v>
      </c>
      <c r="E845" s="19" t="n">
        <v>106.365708</v>
      </c>
      <c r="F845" s="19" t="n">
        <v>68.079756</v>
      </c>
      <c r="G845" s="19" t="n">
        <v>72.138121</v>
      </c>
      <c r="H845" s="19" t="n">
        <v>143.443679</v>
      </c>
      <c r="I845" s="19" t="n">
        <v>2614.389411</v>
      </c>
      <c r="J845" s="27" t="n">
        <v>534749</v>
      </c>
      <c r="K845" s="27" t="n">
        <v>534750</v>
      </c>
      <c r="L845" s="9" t="n">
        <f aca="false">IF(AND(K845&lt;&gt;"",J845&lt;Assumptions!$B$3*K845),K845,J845)</f>
        <v>534749</v>
      </c>
      <c r="M845" s="21" t="str">
        <f aca="false">IF(L845=J845,"FERC Form 1","EIA-861")</f>
        <v>FERC Form 1</v>
      </c>
      <c r="N845" s="28" t="n">
        <f aca="false">E845+F845+G845</f>
        <v>246.583585</v>
      </c>
    </row>
    <row r="846" customFormat="false" ht="15" hidden="false" customHeight="false" outlineLevel="0" collapsed="false">
      <c r="A846" s="7" t="n">
        <v>2021</v>
      </c>
      <c r="B846" s="15" t="s">
        <v>125</v>
      </c>
      <c r="C846" s="15" t="s">
        <v>118</v>
      </c>
      <c r="D846" s="15" t="s">
        <v>126</v>
      </c>
      <c r="E846" s="19" t="n">
        <v>95.264267</v>
      </c>
      <c r="F846" s="19" t="n">
        <v>61.915364</v>
      </c>
      <c r="G846" s="19" t="n">
        <v>75.062381</v>
      </c>
      <c r="H846" s="19" t="n">
        <v>149.856617</v>
      </c>
      <c r="I846" s="19" t="n">
        <v>2751.928906</v>
      </c>
      <c r="J846" s="27" t="n">
        <v>539708</v>
      </c>
      <c r="K846" s="27" t="n">
        <v>539709</v>
      </c>
      <c r="L846" s="9" t="n">
        <f aca="false">IF(AND(K846&lt;&gt;"",J846&lt;Assumptions!$B$3*K846),K846,J846)</f>
        <v>539708</v>
      </c>
      <c r="M846" s="21" t="str">
        <f aca="false">IF(L846=J846,"FERC Form 1","EIA-861")</f>
        <v>FERC Form 1</v>
      </c>
      <c r="N846" s="28" t="n">
        <f aca="false">E846+F846+G846</f>
        <v>232.242012</v>
      </c>
    </row>
    <row r="847" customFormat="false" ht="15" hidden="false" customHeight="false" outlineLevel="0" collapsed="false">
      <c r="A847" s="7" t="n">
        <v>2022</v>
      </c>
      <c r="B847" s="15" t="s">
        <v>125</v>
      </c>
      <c r="C847" s="15" t="s">
        <v>118</v>
      </c>
      <c r="D847" s="15" t="s">
        <v>126</v>
      </c>
      <c r="E847" s="19" t="n">
        <v>93.010742</v>
      </c>
      <c r="F847" s="19" t="n">
        <v>67.439766</v>
      </c>
      <c r="G847" s="19" t="n">
        <v>84.91141</v>
      </c>
      <c r="H847" s="19" t="n">
        <v>162.247793</v>
      </c>
      <c r="I847" s="19" t="n">
        <v>2932.374574</v>
      </c>
      <c r="J847" s="27" t="n">
        <v>544897</v>
      </c>
      <c r="K847" s="27" t="n">
        <v>544898</v>
      </c>
      <c r="L847" s="9" t="n">
        <f aca="false">IF(AND(K847&lt;&gt;"",J847&lt;Assumptions!$B$3*K847),K847,J847)</f>
        <v>544897</v>
      </c>
      <c r="M847" s="21" t="str">
        <f aca="false">IF(L847=J847,"FERC Form 1","EIA-861")</f>
        <v>FERC Form 1</v>
      </c>
      <c r="N847" s="28" t="n">
        <f aca="false">E847+F847+G847</f>
        <v>245.361918</v>
      </c>
    </row>
    <row r="848" customFormat="false" ht="15" hidden="false" customHeight="false" outlineLevel="0" collapsed="false">
      <c r="A848" s="7" t="n">
        <v>2023</v>
      </c>
      <c r="B848" s="15" t="s">
        <v>125</v>
      </c>
      <c r="C848" s="15" t="s">
        <v>118</v>
      </c>
      <c r="D848" s="15" t="s">
        <v>126</v>
      </c>
      <c r="E848" s="19" t="n">
        <v>100.066734</v>
      </c>
      <c r="F848" s="19" t="n">
        <v>71.228313</v>
      </c>
      <c r="G848" s="19" t="n">
        <v>90.044259</v>
      </c>
      <c r="H848" s="19" t="n">
        <v>185.48472</v>
      </c>
      <c r="I848" s="19" t="n">
        <v>3106.32717</v>
      </c>
      <c r="J848" s="27" t="n">
        <v>549745</v>
      </c>
      <c r="K848" s="27" t="n">
        <v>549746</v>
      </c>
      <c r="L848" s="9" t="n">
        <f aca="false">IF(AND(K848&lt;&gt;"",J848&lt;Assumptions!$B$3*K848),K848,J848)</f>
        <v>549745</v>
      </c>
      <c r="M848" s="21" t="str">
        <f aca="false">IF(L848=J848,"FERC Form 1","EIA-861")</f>
        <v>FERC Form 1</v>
      </c>
      <c r="N848" s="28" t="n">
        <f aca="false">E848+F848+G848</f>
        <v>261.339306</v>
      </c>
    </row>
    <row r="849" customFormat="false" ht="15" hidden="false" customHeight="false" outlineLevel="0" collapsed="false">
      <c r="A849" s="7" t="n">
        <v>2024</v>
      </c>
      <c r="B849" s="15" t="s">
        <v>125</v>
      </c>
      <c r="C849" s="15" t="s">
        <v>118</v>
      </c>
      <c r="D849" s="15" t="s">
        <v>126</v>
      </c>
      <c r="E849" s="19" t="n">
        <v>90.194646</v>
      </c>
      <c r="F849" s="19" t="n">
        <v>82.592119</v>
      </c>
      <c r="G849" s="19" t="n">
        <v>94.59554</v>
      </c>
      <c r="H849" s="19" t="n">
        <v>248.448522</v>
      </c>
      <c r="I849" s="19" t="n">
        <v>3406.104717</v>
      </c>
      <c r="J849" s="27" t="n">
        <v>554789</v>
      </c>
      <c r="K849" s="27" t="n">
        <v>554699</v>
      </c>
      <c r="L849" s="9" t="n">
        <f aca="false">IF(AND(K849&lt;&gt;"",J849&lt;Assumptions!$B$3*K849),K849,J849)</f>
        <v>554789</v>
      </c>
      <c r="M849" s="21" t="str">
        <f aca="false">IF(L849=J849,"FERC Form 1","EIA-861")</f>
        <v>FERC Form 1</v>
      </c>
      <c r="N849" s="28" t="n">
        <f aca="false">E849+F849+G849</f>
        <v>267.382305</v>
      </c>
    </row>
    <row r="850" customFormat="false" ht="15" hidden="false" customHeight="false" outlineLevel="0" collapsed="false">
      <c r="A850" s="7" t="n">
        <v>2025</v>
      </c>
      <c r="B850" s="15" t="s">
        <v>125</v>
      </c>
      <c r="C850" s="15" t="s">
        <v>118</v>
      </c>
      <c r="D850" s="15" t="s">
        <v>126</v>
      </c>
      <c r="E850" s="19" t="n">
        <v>82.389489</v>
      </c>
      <c r="F850" s="19" t="n">
        <v>102.845124</v>
      </c>
      <c r="G850" s="19" t="n">
        <v>107.09911</v>
      </c>
      <c r="H850" s="19" t="n">
        <v>249.133743</v>
      </c>
      <c r="I850" s="19" t="n">
        <v>3682.997945</v>
      </c>
      <c r="J850" s="27" t="n">
        <v>560224</v>
      </c>
      <c r="K850" s="27" t="n">
        <v>560223</v>
      </c>
      <c r="L850" s="9" t="n">
        <f aca="false">IF(AND(K850&lt;&gt;"",J850&lt;Assumptions!$B$3*K850),K850,J850)</f>
        <v>560224</v>
      </c>
      <c r="M850" s="21" t="str">
        <f aca="false">IF(L850=J850,"FERC Form 1","EIA-861")</f>
        <v>FERC Form 1</v>
      </c>
      <c r="N850" s="28" t="n">
        <f aca="false">E850+F850+G850</f>
        <v>292.333723</v>
      </c>
    </row>
    <row r="851" customFormat="false" ht="15" hidden="false" customHeight="false" outlineLevel="0" collapsed="false">
      <c r="A851" s="7" t="n">
        <v>2000</v>
      </c>
      <c r="B851" s="15" t="s">
        <v>127</v>
      </c>
      <c r="C851" s="15" t="s">
        <v>118</v>
      </c>
      <c r="D851" s="15" t="s">
        <v>103</v>
      </c>
      <c r="E851" s="19" t="n">
        <v>32.510727</v>
      </c>
      <c r="F851" s="19" t="n">
        <v>37.399295</v>
      </c>
      <c r="G851" s="19" t="n">
        <v>30.001245</v>
      </c>
      <c r="H851" s="19" t="n">
        <v>61.624265</v>
      </c>
      <c r="I851" s="19" t="n">
        <v>1211.927762</v>
      </c>
      <c r="J851" s="27" t="n">
        <v>643563</v>
      </c>
      <c r="K851" s="27"/>
      <c r="L851" s="9" t="n">
        <f aca="false">IF(AND(K851&lt;&gt;"",J851&lt;Assumptions!$B$3*K851),K851,J851)</f>
        <v>643563</v>
      </c>
      <c r="M851" s="21" t="str">
        <f aca="false">IF(L851=J851,"FERC Form 1","EIA-861")</f>
        <v>FERC Form 1</v>
      </c>
      <c r="N851" s="28" t="n">
        <f aca="false">E851+F851+G851</f>
        <v>99.911267</v>
      </c>
    </row>
    <row r="852" customFormat="false" ht="15" hidden="false" customHeight="false" outlineLevel="0" collapsed="false">
      <c r="A852" s="7" t="n">
        <v>2001</v>
      </c>
      <c r="B852" s="15" t="s">
        <v>127</v>
      </c>
      <c r="C852" s="15" t="s">
        <v>118</v>
      </c>
      <c r="D852" s="15" t="s">
        <v>103</v>
      </c>
      <c r="E852" s="19" t="n">
        <v>35.71515</v>
      </c>
      <c r="F852" s="19" t="n">
        <v>30.993205</v>
      </c>
      <c r="G852" s="19" t="n">
        <v>31.560448</v>
      </c>
      <c r="H852" s="19" t="n">
        <v>61.082285</v>
      </c>
      <c r="I852" s="19" t="n">
        <v>1266.135513</v>
      </c>
      <c r="J852" s="27" t="n">
        <v>659127</v>
      </c>
      <c r="K852" s="27" t="n">
        <v>659127</v>
      </c>
      <c r="L852" s="9" t="n">
        <f aca="false">IF(AND(K852&lt;&gt;"",J852&lt;Assumptions!$B$3*K852),K852,J852)</f>
        <v>659127</v>
      </c>
      <c r="M852" s="21" t="str">
        <f aca="false">IF(L852=J852,"FERC Form 1","EIA-861")</f>
        <v>FERC Form 1</v>
      </c>
      <c r="N852" s="28" t="n">
        <f aca="false">E852+F852+G852</f>
        <v>98.268803</v>
      </c>
    </row>
    <row r="853" customFormat="false" ht="15" hidden="false" customHeight="false" outlineLevel="0" collapsed="false">
      <c r="A853" s="7" t="n">
        <v>2002</v>
      </c>
      <c r="B853" s="15" t="s">
        <v>127</v>
      </c>
      <c r="C853" s="15" t="s">
        <v>118</v>
      </c>
      <c r="D853" s="15" t="s">
        <v>103</v>
      </c>
      <c r="E853" s="19" t="n">
        <v>33.389151</v>
      </c>
      <c r="F853" s="19" t="n">
        <v>30.430828</v>
      </c>
      <c r="G853" s="19" t="n">
        <v>32.980961</v>
      </c>
      <c r="H853" s="19" t="n">
        <v>57.705099</v>
      </c>
      <c r="I853" s="19" t="n">
        <v>1328.919545</v>
      </c>
      <c r="J853" s="27" t="n">
        <v>659442</v>
      </c>
      <c r="K853" s="27" t="n">
        <v>659442</v>
      </c>
      <c r="L853" s="9" t="n">
        <f aca="false">IF(AND(K853&lt;&gt;"",J853&lt;Assumptions!$B$3*K853),K853,J853)</f>
        <v>659442</v>
      </c>
      <c r="M853" s="21" t="str">
        <f aca="false">IF(L853=J853,"FERC Form 1","EIA-861")</f>
        <v>FERC Form 1</v>
      </c>
      <c r="N853" s="28" t="n">
        <f aca="false">E853+F853+G853</f>
        <v>96.80094</v>
      </c>
    </row>
    <row r="854" customFormat="false" ht="15" hidden="false" customHeight="false" outlineLevel="0" collapsed="false">
      <c r="A854" s="7" t="n">
        <v>2003</v>
      </c>
      <c r="B854" s="15" t="s">
        <v>127</v>
      </c>
      <c r="C854" s="15" t="s">
        <v>118</v>
      </c>
      <c r="D854" s="15" t="s">
        <v>103</v>
      </c>
      <c r="E854" s="19" t="n">
        <v>34.495679</v>
      </c>
      <c r="F854" s="19" t="n">
        <v>33.441531</v>
      </c>
      <c r="G854" s="19" t="n">
        <v>34.550244</v>
      </c>
      <c r="H854" s="19" t="n">
        <v>59.802833</v>
      </c>
      <c r="I854" s="19" t="n">
        <v>1392.412072</v>
      </c>
      <c r="J854" s="27" t="n">
        <v>664815</v>
      </c>
      <c r="K854" s="27" t="n">
        <v>664815</v>
      </c>
      <c r="L854" s="9" t="n">
        <f aca="false">IF(AND(K854&lt;&gt;"",J854&lt;Assumptions!$B$3*K854),K854,J854)</f>
        <v>664815</v>
      </c>
      <c r="M854" s="21" t="str">
        <f aca="false">IF(L854=J854,"FERC Form 1","EIA-861")</f>
        <v>FERC Form 1</v>
      </c>
      <c r="N854" s="28" t="n">
        <f aca="false">E854+F854+G854</f>
        <v>102.487454</v>
      </c>
    </row>
    <row r="855" customFormat="false" ht="15" hidden="false" customHeight="false" outlineLevel="0" collapsed="false">
      <c r="A855" s="7" t="n">
        <v>2004</v>
      </c>
      <c r="B855" s="15" t="s">
        <v>127</v>
      </c>
      <c r="C855" s="15" t="s">
        <v>118</v>
      </c>
      <c r="D855" s="15" t="s">
        <v>103</v>
      </c>
      <c r="E855" s="19" t="n">
        <v>39.700793</v>
      </c>
      <c r="F855" s="19" t="n">
        <v>35.832507</v>
      </c>
      <c r="G855" s="19" t="n">
        <v>35.840828</v>
      </c>
      <c r="H855" s="19" t="n">
        <v>76.94043</v>
      </c>
      <c r="I855" s="19" t="n">
        <v>1457.510198</v>
      </c>
      <c r="J855" s="27" t="n">
        <v>671381</v>
      </c>
      <c r="K855" s="27" t="n">
        <v>671381</v>
      </c>
      <c r="L855" s="9" t="n">
        <f aca="false">IF(AND(K855&lt;&gt;"",J855&lt;Assumptions!$B$3*K855),K855,J855)</f>
        <v>671381</v>
      </c>
      <c r="M855" s="21" t="str">
        <f aca="false">IF(L855=J855,"FERC Form 1","EIA-861")</f>
        <v>FERC Form 1</v>
      </c>
      <c r="N855" s="28" t="n">
        <f aca="false">E855+F855+G855</f>
        <v>111.374128</v>
      </c>
    </row>
    <row r="856" customFormat="false" ht="15" hidden="false" customHeight="false" outlineLevel="0" collapsed="false">
      <c r="A856" s="7" t="n">
        <v>2005</v>
      </c>
      <c r="B856" s="15" t="s">
        <v>127</v>
      </c>
      <c r="C856" s="15" t="s">
        <v>118</v>
      </c>
      <c r="D856" s="15" t="s">
        <v>103</v>
      </c>
      <c r="E856" s="19" t="n">
        <v>36.516975</v>
      </c>
      <c r="F856" s="19" t="n">
        <v>47.855797</v>
      </c>
      <c r="G856" s="19" t="n">
        <v>37.174303</v>
      </c>
      <c r="H856" s="19" t="n">
        <v>59.084933</v>
      </c>
      <c r="I856" s="19" t="n">
        <v>1499.074301</v>
      </c>
      <c r="J856" s="27" t="n">
        <v>677662</v>
      </c>
      <c r="K856" s="27" t="n">
        <v>677660</v>
      </c>
      <c r="L856" s="9" t="n">
        <f aca="false">IF(AND(K856&lt;&gt;"",J856&lt;Assumptions!$B$3*K856),K856,J856)</f>
        <v>677662</v>
      </c>
      <c r="M856" s="21" t="str">
        <f aca="false">IF(L856=J856,"FERC Form 1","EIA-861")</f>
        <v>FERC Form 1</v>
      </c>
      <c r="N856" s="28" t="n">
        <f aca="false">E856+F856+G856</f>
        <v>121.547075</v>
      </c>
    </row>
    <row r="857" customFormat="false" ht="15" hidden="false" customHeight="false" outlineLevel="0" collapsed="false">
      <c r="A857" s="7" t="n">
        <v>2006</v>
      </c>
      <c r="B857" s="15" t="s">
        <v>127</v>
      </c>
      <c r="C857" s="15" t="s">
        <v>118</v>
      </c>
      <c r="D857" s="15" t="s">
        <v>103</v>
      </c>
      <c r="E857" s="19" t="n">
        <v>35.007478</v>
      </c>
      <c r="F857" s="19" t="n">
        <v>47.409204</v>
      </c>
      <c r="G857" s="19" t="n">
        <v>37.935981</v>
      </c>
      <c r="H857" s="19" t="n">
        <v>50.545755</v>
      </c>
      <c r="I857" s="19" t="n">
        <v>1537.988714</v>
      </c>
      <c r="J857" s="27" t="n">
        <v>682853</v>
      </c>
      <c r="K857" s="27" t="n">
        <v>682853</v>
      </c>
      <c r="L857" s="9" t="n">
        <f aca="false">IF(AND(K857&lt;&gt;"",J857&lt;Assumptions!$B$3*K857),K857,J857)</f>
        <v>682853</v>
      </c>
      <c r="M857" s="21" t="str">
        <f aca="false">IF(L857=J857,"FERC Form 1","EIA-861")</f>
        <v>FERC Form 1</v>
      </c>
      <c r="N857" s="28" t="n">
        <f aca="false">E857+F857+G857</f>
        <v>120.352663</v>
      </c>
    </row>
    <row r="858" customFormat="false" ht="15" hidden="false" customHeight="false" outlineLevel="0" collapsed="false">
      <c r="A858" s="7" t="n">
        <v>2007</v>
      </c>
      <c r="B858" s="15" t="s">
        <v>127</v>
      </c>
      <c r="C858" s="15" t="s">
        <v>118</v>
      </c>
      <c r="D858" s="15" t="s">
        <v>103</v>
      </c>
      <c r="E858" s="19" t="n">
        <v>49.379271</v>
      </c>
      <c r="F858" s="19" t="n">
        <v>49.381001</v>
      </c>
      <c r="G858" s="19" t="n">
        <v>39.075946</v>
      </c>
      <c r="H858" s="19" t="n">
        <v>105.802913</v>
      </c>
      <c r="I858" s="19" t="n">
        <v>1627.976822</v>
      </c>
      <c r="J858" s="27" t="n">
        <v>686578</v>
      </c>
      <c r="K858" s="27" t="n">
        <v>686578</v>
      </c>
      <c r="L858" s="9" t="n">
        <f aca="false">IF(AND(K858&lt;&gt;"",J858&lt;Assumptions!$B$3*K858),K858,J858)</f>
        <v>686578</v>
      </c>
      <c r="M858" s="21" t="str">
        <f aca="false">IF(L858=J858,"FERC Form 1","EIA-861")</f>
        <v>FERC Form 1</v>
      </c>
      <c r="N858" s="28" t="n">
        <f aca="false">E858+F858+G858</f>
        <v>137.836218</v>
      </c>
    </row>
    <row r="859" customFormat="false" ht="15" hidden="false" customHeight="false" outlineLevel="0" collapsed="false">
      <c r="A859" s="7" t="n">
        <v>2008</v>
      </c>
      <c r="B859" s="15" t="s">
        <v>127</v>
      </c>
      <c r="C859" s="15" t="s">
        <v>118</v>
      </c>
      <c r="D859" s="15" t="s">
        <v>103</v>
      </c>
      <c r="E859" s="19" t="n">
        <v>53.627205</v>
      </c>
      <c r="F859" s="19" t="n">
        <v>61.359893</v>
      </c>
      <c r="G859" s="19" t="n">
        <v>39.757554</v>
      </c>
      <c r="H859" s="19" t="n">
        <v>75.705765</v>
      </c>
      <c r="I859" s="19" t="n">
        <v>1693.326884</v>
      </c>
      <c r="J859" s="27" t="n">
        <v>687930</v>
      </c>
      <c r="K859" s="27" t="n">
        <v>687930</v>
      </c>
      <c r="L859" s="9" t="n">
        <f aca="false">IF(AND(K859&lt;&gt;"",J859&lt;Assumptions!$B$3*K859),K859,J859)</f>
        <v>687930</v>
      </c>
      <c r="M859" s="21" t="str">
        <f aca="false">IF(L859=J859,"FERC Form 1","EIA-861")</f>
        <v>FERC Form 1</v>
      </c>
      <c r="N859" s="28" t="n">
        <f aca="false">E859+F859+G859</f>
        <v>154.744652</v>
      </c>
    </row>
    <row r="860" customFormat="false" ht="15" hidden="false" customHeight="false" outlineLevel="0" collapsed="false">
      <c r="A860" s="7" t="n">
        <v>2009</v>
      </c>
      <c r="B860" s="15" t="s">
        <v>127</v>
      </c>
      <c r="C860" s="15" t="s">
        <v>118</v>
      </c>
      <c r="D860" s="15" t="s">
        <v>103</v>
      </c>
      <c r="E860" s="19" t="n">
        <v>57.405551</v>
      </c>
      <c r="F860" s="19" t="n">
        <v>46.916198</v>
      </c>
      <c r="G860" s="19" t="n">
        <v>41.528564</v>
      </c>
      <c r="H860" s="19" t="n">
        <v>93.882867</v>
      </c>
      <c r="I860" s="19" t="n">
        <v>1765.233093</v>
      </c>
      <c r="J860" s="27" t="n">
        <v>683606</v>
      </c>
      <c r="K860" s="27" t="n">
        <v>683606</v>
      </c>
      <c r="L860" s="9" t="n">
        <f aca="false">IF(AND(K860&lt;&gt;"",J860&lt;Assumptions!$B$3*K860),K860,J860)</f>
        <v>683606</v>
      </c>
      <c r="M860" s="21" t="str">
        <f aca="false">IF(L860=J860,"FERC Form 1","EIA-861")</f>
        <v>FERC Form 1</v>
      </c>
      <c r="N860" s="28" t="n">
        <f aca="false">E860+F860+G860</f>
        <v>145.850313</v>
      </c>
    </row>
    <row r="861" customFormat="false" ht="15" hidden="false" customHeight="false" outlineLevel="0" collapsed="false">
      <c r="A861" s="7" t="n">
        <v>2010</v>
      </c>
      <c r="B861" s="15" t="s">
        <v>127</v>
      </c>
      <c r="C861" s="15" t="s">
        <v>118</v>
      </c>
      <c r="D861" s="15" t="s">
        <v>103</v>
      </c>
      <c r="E861" s="19" t="n">
        <v>65.674991</v>
      </c>
      <c r="F861" s="19" t="n">
        <v>59.506928</v>
      </c>
      <c r="G861" s="19" t="n">
        <v>42.678072</v>
      </c>
      <c r="H861" s="19" t="n">
        <v>93.289187</v>
      </c>
      <c r="I861" s="19" t="n">
        <v>1844.361344</v>
      </c>
      <c r="J861" s="27" t="n">
        <v>684529</v>
      </c>
      <c r="K861" s="27" t="n">
        <v>684529</v>
      </c>
      <c r="L861" s="9" t="n">
        <f aca="false">IF(AND(K861&lt;&gt;"",J861&lt;Assumptions!$B$3*K861),K861,J861)</f>
        <v>684529</v>
      </c>
      <c r="M861" s="21" t="str">
        <f aca="false">IF(L861=J861,"FERC Form 1","EIA-861")</f>
        <v>FERC Form 1</v>
      </c>
      <c r="N861" s="28" t="n">
        <f aca="false">E861+F861+G861</f>
        <v>167.859991</v>
      </c>
    </row>
    <row r="862" customFormat="false" ht="15" hidden="false" customHeight="false" outlineLevel="0" collapsed="false">
      <c r="A862" s="7" t="n">
        <v>2011</v>
      </c>
      <c r="B862" s="15" t="s">
        <v>127</v>
      </c>
      <c r="C862" s="15" t="s">
        <v>118</v>
      </c>
      <c r="D862" s="15" t="s">
        <v>103</v>
      </c>
      <c r="E862" s="19" t="n">
        <v>60.235598</v>
      </c>
      <c r="F862" s="19" t="n">
        <v>50.300185</v>
      </c>
      <c r="G862" s="19" t="n">
        <v>44.577513</v>
      </c>
      <c r="H862" s="19" t="n">
        <v>108.519322</v>
      </c>
      <c r="I862" s="19" t="n">
        <v>1925.591877</v>
      </c>
      <c r="J862" s="27" t="n">
        <v>685859</v>
      </c>
      <c r="K862" s="27" t="n">
        <v>685859</v>
      </c>
      <c r="L862" s="9" t="n">
        <f aca="false">IF(AND(K862&lt;&gt;"",J862&lt;Assumptions!$B$3*K862),K862,J862)</f>
        <v>685859</v>
      </c>
      <c r="M862" s="21" t="str">
        <f aca="false">IF(L862=J862,"FERC Form 1","EIA-861")</f>
        <v>FERC Form 1</v>
      </c>
      <c r="N862" s="28" t="n">
        <f aca="false">E862+F862+G862</f>
        <v>155.113296</v>
      </c>
    </row>
    <row r="863" customFormat="false" ht="15" hidden="false" customHeight="false" outlineLevel="0" collapsed="false">
      <c r="A863" s="7" t="n">
        <v>2012</v>
      </c>
      <c r="B863" s="15" t="s">
        <v>127</v>
      </c>
      <c r="C863" s="15" t="s">
        <v>118</v>
      </c>
      <c r="D863" s="15" t="s">
        <v>103</v>
      </c>
      <c r="E863" s="19" t="n">
        <v>68.01384</v>
      </c>
      <c r="F863" s="19" t="n">
        <v>35.823271</v>
      </c>
      <c r="G863" s="19" t="n">
        <v>47.291815</v>
      </c>
      <c r="H863" s="19" t="n">
        <v>141.800282</v>
      </c>
      <c r="I863" s="19" t="n">
        <v>2039.524866</v>
      </c>
      <c r="J863" s="27" t="n">
        <v>689044</v>
      </c>
      <c r="K863" s="27" t="n">
        <v>689045</v>
      </c>
      <c r="L863" s="9" t="n">
        <f aca="false">IF(AND(K863&lt;&gt;"",J863&lt;Assumptions!$B$3*K863),K863,J863)</f>
        <v>689044</v>
      </c>
      <c r="M863" s="21" t="str">
        <f aca="false">IF(L863=J863,"FERC Form 1","EIA-861")</f>
        <v>FERC Form 1</v>
      </c>
      <c r="N863" s="28" t="n">
        <f aca="false">E863+F863+G863</f>
        <v>151.128926</v>
      </c>
    </row>
    <row r="864" customFormat="false" ht="15" hidden="false" customHeight="false" outlineLevel="0" collapsed="false">
      <c r="A864" s="7" t="n">
        <v>2013</v>
      </c>
      <c r="B864" s="15" t="s">
        <v>127</v>
      </c>
      <c r="C864" s="15" t="s">
        <v>118</v>
      </c>
      <c r="D864" s="15" t="s">
        <v>103</v>
      </c>
      <c r="E864" s="19" t="n">
        <v>57.544402</v>
      </c>
      <c r="F864" s="19" t="n">
        <v>37.272243</v>
      </c>
      <c r="G864" s="19" t="n">
        <v>48.280412</v>
      </c>
      <c r="H864" s="19" t="n">
        <v>113.700274</v>
      </c>
      <c r="I864" s="19" t="n">
        <v>2118.397113</v>
      </c>
      <c r="J864" s="27" t="n">
        <v>691985</v>
      </c>
      <c r="K864" s="27" t="n">
        <v>691984</v>
      </c>
      <c r="L864" s="9" t="n">
        <f aca="false">IF(AND(K864&lt;&gt;"",J864&lt;Assumptions!$B$3*K864),K864,J864)</f>
        <v>691985</v>
      </c>
      <c r="M864" s="21" t="str">
        <f aca="false">IF(L864=J864,"FERC Form 1","EIA-861")</f>
        <v>FERC Form 1</v>
      </c>
      <c r="N864" s="28" t="n">
        <f aca="false">E864+F864+G864</f>
        <v>143.097057</v>
      </c>
    </row>
    <row r="865" customFormat="false" ht="15" hidden="false" customHeight="false" outlineLevel="0" collapsed="false">
      <c r="A865" s="7" t="n">
        <v>2014</v>
      </c>
      <c r="B865" s="15" t="s">
        <v>127</v>
      </c>
      <c r="C865" s="15" t="s">
        <v>118</v>
      </c>
      <c r="D865" s="15" t="s">
        <v>103</v>
      </c>
      <c r="E865" s="19" t="n">
        <v>62.767833</v>
      </c>
      <c r="F865" s="19" t="n">
        <v>31.599269</v>
      </c>
      <c r="G865" s="19" t="n">
        <v>41.37206</v>
      </c>
      <c r="H865" s="19" t="n">
        <v>80.946353</v>
      </c>
      <c r="I865" s="19" t="n">
        <v>2160.621705</v>
      </c>
      <c r="J865" s="27" t="n">
        <v>696157</v>
      </c>
      <c r="K865" s="27" t="n">
        <v>696157</v>
      </c>
      <c r="L865" s="9" t="n">
        <f aca="false">IF(AND(K865&lt;&gt;"",J865&lt;Assumptions!$B$3*K865),K865,J865)</f>
        <v>696157</v>
      </c>
      <c r="M865" s="21" t="str">
        <f aca="false">IF(L865=J865,"FERC Form 1","EIA-861")</f>
        <v>FERC Form 1</v>
      </c>
      <c r="N865" s="28" t="n">
        <f aca="false">E865+F865+G865</f>
        <v>135.739162</v>
      </c>
    </row>
    <row r="866" customFormat="false" ht="15" hidden="false" customHeight="false" outlineLevel="0" collapsed="false">
      <c r="A866" s="7" t="n">
        <v>2015</v>
      </c>
      <c r="B866" s="15" t="s">
        <v>127</v>
      </c>
      <c r="C866" s="15" t="s">
        <v>118</v>
      </c>
      <c r="D866" s="15" t="s">
        <v>103</v>
      </c>
      <c r="E866" s="19" t="n">
        <v>68.230608</v>
      </c>
      <c r="F866" s="19" t="n">
        <v>32.878737</v>
      </c>
      <c r="G866" s="19" t="n">
        <v>44.914225</v>
      </c>
      <c r="H866" s="19" t="n">
        <v>105.919659</v>
      </c>
      <c r="I866" s="19" t="n">
        <v>2260.439245</v>
      </c>
      <c r="J866" s="27" t="n">
        <v>701129</v>
      </c>
      <c r="K866" s="27" t="n">
        <v>701129</v>
      </c>
      <c r="L866" s="9" t="n">
        <f aca="false">IF(AND(K866&lt;&gt;"",J866&lt;Assumptions!$B$3*K866),K866,J866)</f>
        <v>701129</v>
      </c>
      <c r="M866" s="21" t="str">
        <f aca="false">IF(L866=J866,"FERC Form 1","EIA-861")</f>
        <v>FERC Form 1</v>
      </c>
      <c r="N866" s="28" t="n">
        <f aca="false">E866+F866+G866</f>
        <v>146.02357</v>
      </c>
    </row>
    <row r="867" customFormat="false" ht="15" hidden="false" customHeight="false" outlineLevel="0" collapsed="false">
      <c r="A867" s="7" t="n">
        <v>2016</v>
      </c>
      <c r="B867" s="15" t="s">
        <v>127</v>
      </c>
      <c r="C867" s="15" t="s">
        <v>118</v>
      </c>
      <c r="D867" s="15" t="s">
        <v>103</v>
      </c>
      <c r="E867" s="19" t="n">
        <v>82.036444</v>
      </c>
      <c r="F867" s="19" t="n">
        <v>26.72548</v>
      </c>
      <c r="G867" s="19" t="n">
        <v>45.839525</v>
      </c>
      <c r="H867" s="19" t="n">
        <v>180.887611</v>
      </c>
      <c r="I867" s="19" t="n">
        <v>2389.088376</v>
      </c>
      <c r="J867" s="27" t="n">
        <v>706793</v>
      </c>
      <c r="K867" s="27" t="n">
        <v>706793</v>
      </c>
      <c r="L867" s="9" t="n">
        <f aca="false">IF(AND(K867&lt;&gt;"",J867&lt;Assumptions!$B$3*K867),K867,J867)</f>
        <v>706793</v>
      </c>
      <c r="M867" s="21" t="str">
        <f aca="false">IF(L867=J867,"FERC Form 1","EIA-861")</f>
        <v>FERC Form 1</v>
      </c>
      <c r="N867" s="28" t="n">
        <f aca="false">E867+F867+G867</f>
        <v>154.601449</v>
      </c>
    </row>
    <row r="868" customFormat="false" ht="15" hidden="false" customHeight="false" outlineLevel="0" collapsed="false">
      <c r="A868" s="7" t="n">
        <v>2017</v>
      </c>
      <c r="B868" s="15" t="s">
        <v>127</v>
      </c>
      <c r="C868" s="15" t="s">
        <v>118</v>
      </c>
      <c r="D868" s="15" t="s">
        <v>103</v>
      </c>
      <c r="E868" s="19" t="n">
        <v>94.32997</v>
      </c>
      <c r="F868" s="19" t="n">
        <v>25.057455</v>
      </c>
      <c r="G868" s="19" t="n">
        <v>67.499844</v>
      </c>
      <c r="H868" s="19" t="n">
        <v>205.811462</v>
      </c>
      <c r="I868" s="19" t="n">
        <v>2553.244981</v>
      </c>
      <c r="J868" s="27" t="n">
        <v>712328</v>
      </c>
      <c r="K868" s="27" t="n">
        <v>712329</v>
      </c>
      <c r="L868" s="9" t="n">
        <f aca="false">IF(AND(K868&lt;&gt;"",J868&lt;Assumptions!$B$3*K868),K868,J868)</f>
        <v>712328</v>
      </c>
      <c r="M868" s="21" t="str">
        <f aca="false">IF(L868=J868,"FERC Form 1","EIA-861")</f>
        <v>FERC Form 1</v>
      </c>
      <c r="N868" s="28" t="n">
        <f aca="false">E868+F868+G868</f>
        <v>186.887269</v>
      </c>
    </row>
    <row r="869" customFormat="false" ht="15" hidden="false" customHeight="false" outlineLevel="0" collapsed="false">
      <c r="A869" s="7" t="n">
        <v>2018</v>
      </c>
      <c r="B869" s="15" t="s">
        <v>127</v>
      </c>
      <c r="C869" s="15" t="s">
        <v>118</v>
      </c>
      <c r="D869" s="15" t="s">
        <v>103</v>
      </c>
      <c r="E869" s="19" t="n">
        <v>79.573593</v>
      </c>
      <c r="F869" s="19" t="n">
        <v>25.07161</v>
      </c>
      <c r="G869" s="19" t="n">
        <v>76.127965</v>
      </c>
      <c r="H869" s="19" t="n">
        <v>207.51757</v>
      </c>
      <c r="I869" s="19" t="n">
        <v>2692.790384</v>
      </c>
      <c r="J869" s="27" t="n">
        <v>718099</v>
      </c>
      <c r="K869" s="27" t="n">
        <v>718099</v>
      </c>
      <c r="L869" s="9" t="n">
        <f aca="false">IF(AND(K869&lt;&gt;"",J869&lt;Assumptions!$B$3*K869),K869,J869)</f>
        <v>718099</v>
      </c>
      <c r="M869" s="21" t="str">
        <f aca="false">IF(L869=J869,"FERC Form 1","EIA-861")</f>
        <v>FERC Form 1</v>
      </c>
      <c r="N869" s="28" t="n">
        <f aca="false">E869+F869+G869</f>
        <v>180.773168</v>
      </c>
    </row>
    <row r="870" customFormat="false" ht="15" hidden="false" customHeight="false" outlineLevel="0" collapsed="false">
      <c r="A870" s="7" t="n">
        <v>2019</v>
      </c>
      <c r="B870" s="15" t="s">
        <v>127</v>
      </c>
      <c r="C870" s="15" t="s">
        <v>118</v>
      </c>
      <c r="D870" s="15" t="s">
        <v>103</v>
      </c>
      <c r="E870" s="19" t="n">
        <v>83.15528</v>
      </c>
      <c r="F870" s="19" t="n">
        <v>27.044714</v>
      </c>
      <c r="G870" s="19" t="n">
        <v>70.969014</v>
      </c>
      <c r="H870" s="19" t="n">
        <v>278.443824</v>
      </c>
      <c r="I870" s="19" t="n">
        <v>2898.316398</v>
      </c>
      <c r="J870" s="27" t="n">
        <v>722911</v>
      </c>
      <c r="K870" s="27" t="n">
        <v>722911</v>
      </c>
      <c r="L870" s="9" t="n">
        <f aca="false">IF(AND(K870&lt;&gt;"",J870&lt;Assumptions!$B$3*K870),K870,J870)</f>
        <v>722911</v>
      </c>
      <c r="M870" s="21" t="str">
        <f aca="false">IF(L870=J870,"FERC Form 1","EIA-861")</f>
        <v>FERC Form 1</v>
      </c>
      <c r="N870" s="28" t="n">
        <f aca="false">E870+F870+G870</f>
        <v>181.169008</v>
      </c>
    </row>
    <row r="871" customFormat="false" ht="15" hidden="false" customHeight="false" outlineLevel="0" collapsed="false">
      <c r="A871" s="7" t="n">
        <v>2020</v>
      </c>
      <c r="B871" s="15" t="s">
        <v>127</v>
      </c>
      <c r="C871" s="15" t="s">
        <v>118</v>
      </c>
      <c r="D871" s="15" t="s">
        <v>103</v>
      </c>
      <c r="E871" s="19" t="n">
        <v>78.105299</v>
      </c>
      <c r="F871" s="19" t="n">
        <v>13.723892</v>
      </c>
      <c r="G871" s="19" t="n">
        <v>77.809161</v>
      </c>
      <c r="H871" s="19" t="n">
        <v>221.132657</v>
      </c>
      <c r="I871" s="19" t="n">
        <v>3055.478337</v>
      </c>
      <c r="J871" s="27" t="n">
        <v>731414</v>
      </c>
      <c r="K871" s="27" t="n">
        <v>731414</v>
      </c>
      <c r="L871" s="9" t="n">
        <f aca="false">IF(AND(K871&lt;&gt;"",J871&lt;Assumptions!$B$3*K871),K871,J871)</f>
        <v>731414</v>
      </c>
      <c r="M871" s="21" t="str">
        <f aca="false">IF(L871=J871,"FERC Form 1","EIA-861")</f>
        <v>FERC Form 1</v>
      </c>
      <c r="N871" s="28" t="n">
        <f aca="false">E871+F871+G871</f>
        <v>169.638352</v>
      </c>
    </row>
    <row r="872" customFormat="false" ht="15" hidden="false" customHeight="false" outlineLevel="0" collapsed="false">
      <c r="A872" s="7" t="n">
        <v>2021</v>
      </c>
      <c r="B872" s="15" t="s">
        <v>127</v>
      </c>
      <c r="C872" s="15" t="s">
        <v>118</v>
      </c>
      <c r="D872" s="15" t="s">
        <v>103</v>
      </c>
      <c r="E872" s="19" t="n">
        <v>66.752532</v>
      </c>
      <c r="F872" s="19" t="n">
        <v>23.144178</v>
      </c>
      <c r="G872" s="19" t="n">
        <v>82.922</v>
      </c>
      <c r="H872" s="19" t="n">
        <v>203.229123</v>
      </c>
      <c r="I872" s="19" t="n">
        <v>3235.300497</v>
      </c>
      <c r="J872" s="27" t="n">
        <v>735922</v>
      </c>
      <c r="K872" s="27" t="n">
        <v>735921</v>
      </c>
      <c r="L872" s="9" t="n">
        <f aca="false">IF(AND(K872&lt;&gt;"",J872&lt;Assumptions!$B$3*K872),K872,J872)</f>
        <v>735922</v>
      </c>
      <c r="M872" s="21" t="str">
        <f aca="false">IF(L872=J872,"FERC Form 1","EIA-861")</f>
        <v>FERC Form 1</v>
      </c>
      <c r="N872" s="28" t="n">
        <f aca="false">E872+F872+G872</f>
        <v>172.81871</v>
      </c>
    </row>
    <row r="873" customFormat="false" ht="15" hidden="false" customHeight="false" outlineLevel="0" collapsed="false">
      <c r="A873" s="7" t="n">
        <v>2022</v>
      </c>
      <c r="B873" s="15" t="s">
        <v>127</v>
      </c>
      <c r="C873" s="15" t="s">
        <v>118</v>
      </c>
      <c r="D873" s="15" t="s">
        <v>103</v>
      </c>
      <c r="E873" s="19" t="n">
        <v>71.337425</v>
      </c>
      <c r="F873" s="19" t="n">
        <v>23.006343</v>
      </c>
      <c r="G873" s="19" t="n">
        <v>71.443141</v>
      </c>
      <c r="H873" s="19" t="n">
        <v>196.638804</v>
      </c>
      <c r="I873" s="19" t="n">
        <v>3411.0804</v>
      </c>
      <c r="J873" s="27" t="n">
        <v>746993</v>
      </c>
      <c r="K873" s="27" t="n">
        <v>750370</v>
      </c>
      <c r="L873" s="9" t="n">
        <f aca="false">IF(AND(K873&lt;&gt;"",J873&lt;Assumptions!$B$3*K873),K873,J873)</f>
        <v>746993</v>
      </c>
      <c r="M873" s="21" t="str">
        <f aca="false">IF(L873=J873,"FERC Form 1","EIA-861")</f>
        <v>FERC Form 1</v>
      </c>
      <c r="N873" s="28" t="n">
        <f aca="false">E873+F873+G873</f>
        <v>165.786909</v>
      </c>
    </row>
    <row r="874" customFormat="false" ht="15" hidden="false" customHeight="false" outlineLevel="0" collapsed="false">
      <c r="A874" s="7" t="n">
        <v>2023</v>
      </c>
      <c r="B874" s="15" t="s">
        <v>127</v>
      </c>
      <c r="C874" s="15" t="s">
        <v>118</v>
      </c>
      <c r="D874" s="15" t="s">
        <v>103</v>
      </c>
      <c r="E874" s="19" t="n">
        <v>67.914556</v>
      </c>
      <c r="F874" s="19" t="n">
        <v>29.159681</v>
      </c>
      <c r="G874" s="19" t="n">
        <v>95.668059</v>
      </c>
      <c r="H874" s="19" t="n">
        <v>225.619656</v>
      </c>
      <c r="I874" s="19" t="n">
        <v>3603.271061</v>
      </c>
      <c r="J874" s="27" t="n">
        <v>752909</v>
      </c>
      <c r="K874" s="27" t="n">
        <v>752890</v>
      </c>
      <c r="L874" s="9" t="n">
        <f aca="false">IF(AND(K874&lt;&gt;"",J874&lt;Assumptions!$B$3*K874),K874,J874)</f>
        <v>752909</v>
      </c>
      <c r="M874" s="21" t="str">
        <f aca="false">IF(L874=J874,"FERC Form 1","EIA-861")</f>
        <v>FERC Form 1</v>
      </c>
      <c r="N874" s="28" t="n">
        <f aca="false">E874+F874+G874</f>
        <v>192.742296</v>
      </c>
    </row>
    <row r="875" customFormat="false" ht="15" hidden="false" customHeight="false" outlineLevel="0" collapsed="false">
      <c r="A875" s="7" t="n">
        <v>2024</v>
      </c>
      <c r="B875" s="15" t="s">
        <v>127</v>
      </c>
      <c r="C875" s="15" t="s">
        <v>118</v>
      </c>
      <c r="D875" s="15" t="s">
        <v>103</v>
      </c>
      <c r="E875" s="19" t="n">
        <v>81.230978</v>
      </c>
      <c r="F875" s="19" t="n">
        <v>39.59548</v>
      </c>
      <c r="G875" s="19" t="n">
        <v>100.684514</v>
      </c>
      <c r="H875" s="19" t="n">
        <v>235.318001</v>
      </c>
      <c r="I875" s="19" t="n">
        <v>3812.41204</v>
      </c>
      <c r="J875" s="27" t="n">
        <v>759801</v>
      </c>
      <c r="K875" s="27" t="n">
        <v>759800</v>
      </c>
      <c r="L875" s="9" t="n">
        <f aca="false">IF(AND(K875&lt;&gt;"",J875&lt;Assumptions!$B$3*K875),K875,J875)</f>
        <v>759801</v>
      </c>
      <c r="M875" s="21" t="str">
        <f aca="false">IF(L875=J875,"FERC Form 1","EIA-861")</f>
        <v>FERC Form 1</v>
      </c>
      <c r="N875" s="28" t="n">
        <f aca="false">E875+F875+G875</f>
        <v>221.510972</v>
      </c>
    </row>
    <row r="876" customFormat="false" ht="15" hidden="false" customHeight="false" outlineLevel="0" collapsed="false">
      <c r="A876" s="7" t="n">
        <v>2025</v>
      </c>
      <c r="B876" s="15" t="s">
        <v>127</v>
      </c>
      <c r="C876" s="15" t="s">
        <v>118</v>
      </c>
      <c r="D876" s="15" t="s">
        <v>103</v>
      </c>
      <c r="E876" s="19" t="n">
        <v>73.650254</v>
      </c>
      <c r="F876" s="19" t="n">
        <v>33.276271</v>
      </c>
      <c r="G876" s="19" t="n">
        <v>113.949599</v>
      </c>
      <c r="H876" s="19" t="n">
        <v>240.727718</v>
      </c>
      <c r="I876" s="19" t="n">
        <v>4113.238569</v>
      </c>
      <c r="J876" s="27" t="n">
        <v>764114</v>
      </c>
      <c r="K876" s="27" t="n">
        <v>766538</v>
      </c>
      <c r="L876" s="9" t="n">
        <f aca="false">IF(AND(K876&lt;&gt;"",J876&lt;Assumptions!$B$3*K876),K876,J876)</f>
        <v>764114</v>
      </c>
      <c r="M876" s="21" t="str">
        <f aca="false">IF(L876=J876,"FERC Form 1","EIA-861")</f>
        <v>FERC Form 1</v>
      </c>
      <c r="N876" s="28" t="n">
        <f aca="false">E876+F876+G876</f>
        <v>220.876124</v>
      </c>
    </row>
    <row r="877" customFormat="false" ht="15" hidden="false" customHeight="false" outlineLevel="0" collapsed="false">
      <c r="A877" s="7" t="n">
        <v>2000</v>
      </c>
      <c r="B877" s="15" t="s">
        <v>128</v>
      </c>
      <c r="C877" s="15" t="s">
        <v>118</v>
      </c>
      <c r="D877" s="15" t="s">
        <v>107</v>
      </c>
      <c r="E877" s="19" t="n">
        <v>36.874613</v>
      </c>
      <c r="F877" s="19" t="n">
        <v>39.719021</v>
      </c>
      <c r="G877" s="19" t="n">
        <v>28.698999</v>
      </c>
      <c r="H877" s="19" t="n">
        <v>67.116131</v>
      </c>
      <c r="I877" s="19" t="n">
        <v>1346.472282</v>
      </c>
      <c r="J877" s="27" t="n">
        <v>584250</v>
      </c>
      <c r="K877" s="27"/>
      <c r="L877" s="9" t="n">
        <f aca="false">IF(AND(K877&lt;&gt;"",J877&lt;Assumptions!$B$3*K877),K877,J877)</f>
        <v>584250</v>
      </c>
      <c r="M877" s="21" t="str">
        <f aca="false">IF(L877=J877,"FERC Form 1","EIA-861")</f>
        <v>FERC Form 1</v>
      </c>
      <c r="N877" s="28" t="n">
        <f aca="false">E877+F877+G877</f>
        <v>105.292633</v>
      </c>
    </row>
    <row r="878" customFormat="false" ht="15" hidden="false" customHeight="false" outlineLevel="0" collapsed="false">
      <c r="A878" s="7" t="n">
        <v>2001</v>
      </c>
      <c r="B878" s="15" t="s">
        <v>128</v>
      </c>
      <c r="C878" s="15" t="s">
        <v>118</v>
      </c>
      <c r="D878" s="15" t="s">
        <v>107</v>
      </c>
      <c r="E878" s="19" t="n">
        <v>24.374056</v>
      </c>
      <c r="F878" s="19" t="n">
        <v>29.374081</v>
      </c>
      <c r="G878" s="19" t="n">
        <v>31.903749</v>
      </c>
      <c r="H878" s="19" t="n">
        <v>51.958102</v>
      </c>
      <c r="I878" s="19" t="n">
        <v>1391.106251</v>
      </c>
      <c r="J878" s="27" t="n">
        <v>585667</v>
      </c>
      <c r="K878" s="27" t="n">
        <v>583669</v>
      </c>
      <c r="L878" s="9" t="n">
        <f aca="false">IF(AND(K878&lt;&gt;"",J878&lt;Assumptions!$B$3*K878),K878,J878)</f>
        <v>585667</v>
      </c>
      <c r="M878" s="21" t="str">
        <f aca="false">IF(L878=J878,"FERC Form 1","EIA-861")</f>
        <v>FERC Form 1</v>
      </c>
      <c r="N878" s="28" t="n">
        <f aca="false">E878+F878+G878</f>
        <v>85.651886</v>
      </c>
    </row>
    <row r="879" customFormat="false" ht="15" hidden="false" customHeight="false" outlineLevel="0" collapsed="false">
      <c r="A879" s="7" t="n">
        <v>2002</v>
      </c>
      <c r="B879" s="15" t="s">
        <v>128</v>
      </c>
      <c r="C879" s="15" t="s">
        <v>118</v>
      </c>
      <c r="D879" s="15" t="s">
        <v>107</v>
      </c>
      <c r="E879" s="19" t="n">
        <v>27.096318</v>
      </c>
      <c r="F879" s="19" t="n">
        <v>42.225019</v>
      </c>
      <c r="G879" s="19" t="n">
        <v>33.360369</v>
      </c>
      <c r="H879" s="19" t="n">
        <v>50.720924</v>
      </c>
      <c r="I879" s="19" t="n">
        <v>1468.460852</v>
      </c>
      <c r="J879" s="27" t="n">
        <v>586184</v>
      </c>
      <c r="K879" s="27" t="n">
        <v>586184</v>
      </c>
      <c r="L879" s="9" t="n">
        <f aca="false">IF(AND(K879&lt;&gt;"",J879&lt;Assumptions!$B$3*K879),K879,J879)</f>
        <v>586184</v>
      </c>
      <c r="M879" s="21" t="str">
        <f aca="false">IF(L879=J879,"FERC Form 1","EIA-861")</f>
        <v>FERC Form 1</v>
      </c>
      <c r="N879" s="28" t="n">
        <f aca="false">E879+F879+G879</f>
        <v>102.681706</v>
      </c>
    </row>
    <row r="880" customFormat="false" ht="15" hidden="false" customHeight="false" outlineLevel="0" collapsed="false">
      <c r="A880" s="7" t="n">
        <v>2003</v>
      </c>
      <c r="B880" s="15" t="s">
        <v>128</v>
      </c>
      <c r="C880" s="15" t="s">
        <v>118</v>
      </c>
      <c r="D880" s="15" t="s">
        <v>107</v>
      </c>
      <c r="E880" s="19" t="n">
        <v>28.622845</v>
      </c>
      <c r="F880" s="19" t="n">
        <v>28.033582</v>
      </c>
      <c r="G880" s="19" t="n">
        <v>39.396089</v>
      </c>
      <c r="H880" s="19" t="n">
        <v>53.632167</v>
      </c>
      <c r="I880" s="19" t="n">
        <v>1511.628941</v>
      </c>
      <c r="J880" s="27" t="n">
        <v>587202</v>
      </c>
      <c r="K880" s="27" t="n">
        <v>587202</v>
      </c>
      <c r="L880" s="9" t="n">
        <f aca="false">IF(AND(K880&lt;&gt;"",J880&lt;Assumptions!$B$3*K880),K880,J880)</f>
        <v>587202</v>
      </c>
      <c r="M880" s="21" t="str">
        <f aca="false">IF(L880=J880,"FERC Form 1","EIA-861")</f>
        <v>FERC Form 1</v>
      </c>
      <c r="N880" s="28" t="n">
        <f aca="false">E880+F880+G880</f>
        <v>96.052516</v>
      </c>
    </row>
    <row r="881" customFormat="false" ht="15" hidden="false" customHeight="false" outlineLevel="0" collapsed="false">
      <c r="A881" s="7" t="n">
        <v>2004</v>
      </c>
      <c r="B881" s="15" t="s">
        <v>128</v>
      </c>
      <c r="C881" s="15" t="s">
        <v>118</v>
      </c>
      <c r="D881" s="15" t="s">
        <v>107</v>
      </c>
      <c r="E881" s="19" t="n">
        <v>27.614486</v>
      </c>
      <c r="F881" s="19" t="n">
        <v>28.556941</v>
      </c>
      <c r="G881" s="19" t="n">
        <v>39.016724</v>
      </c>
      <c r="H881" s="19" t="n">
        <v>62.15366</v>
      </c>
      <c r="I881" s="19" t="n">
        <v>1527.368098</v>
      </c>
      <c r="J881" s="27" t="n">
        <v>586772</v>
      </c>
      <c r="K881" s="27" t="n">
        <v>586977</v>
      </c>
      <c r="L881" s="9" t="n">
        <f aca="false">IF(AND(K881&lt;&gt;"",J881&lt;Assumptions!$B$3*K881),K881,J881)</f>
        <v>586772</v>
      </c>
      <c r="M881" s="21" t="str">
        <f aca="false">IF(L881=J881,"FERC Form 1","EIA-861")</f>
        <v>FERC Form 1</v>
      </c>
      <c r="N881" s="28" t="n">
        <f aca="false">E881+F881+G881</f>
        <v>95.188151</v>
      </c>
    </row>
    <row r="882" customFormat="false" ht="15" hidden="false" customHeight="false" outlineLevel="0" collapsed="false">
      <c r="A882" s="7" t="n">
        <v>2005</v>
      </c>
      <c r="B882" s="15" t="s">
        <v>128</v>
      </c>
      <c r="C882" s="15" t="s">
        <v>118</v>
      </c>
      <c r="D882" s="15" t="s">
        <v>107</v>
      </c>
      <c r="E882" s="19" t="n">
        <v>30.410493</v>
      </c>
      <c r="F882" s="19" t="n">
        <v>33.535273</v>
      </c>
      <c r="G882" s="19" t="n">
        <v>39.948761</v>
      </c>
      <c r="H882" s="19" t="n">
        <v>130.700853</v>
      </c>
      <c r="I882" s="19" t="n">
        <v>1587.202836</v>
      </c>
      <c r="J882" s="27" t="n">
        <v>586050</v>
      </c>
      <c r="K882" s="27" t="n">
        <v>586048</v>
      </c>
      <c r="L882" s="9" t="n">
        <f aca="false">IF(AND(K882&lt;&gt;"",J882&lt;Assumptions!$B$3*K882),K882,J882)</f>
        <v>586050</v>
      </c>
      <c r="M882" s="21" t="str">
        <f aca="false">IF(L882=J882,"FERC Form 1","EIA-861")</f>
        <v>FERC Form 1</v>
      </c>
      <c r="N882" s="28" t="n">
        <f aca="false">E882+F882+G882</f>
        <v>103.894527</v>
      </c>
    </row>
    <row r="883" customFormat="false" ht="15" hidden="false" customHeight="false" outlineLevel="0" collapsed="false">
      <c r="A883" s="7" t="n">
        <v>2006</v>
      </c>
      <c r="B883" s="15" t="s">
        <v>128</v>
      </c>
      <c r="C883" s="15" t="s">
        <v>118</v>
      </c>
      <c r="D883" s="15" t="s">
        <v>107</v>
      </c>
      <c r="E883" s="19" t="n">
        <v>28.995899</v>
      </c>
      <c r="F883" s="19" t="n">
        <v>31.365762</v>
      </c>
      <c r="G883" s="19" t="n">
        <v>41.950003</v>
      </c>
      <c r="H883" s="19" t="n">
        <v>105.432993</v>
      </c>
      <c r="I883" s="19" t="n">
        <v>1676.825367</v>
      </c>
      <c r="J883" s="27" t="n">
        <v>585678</v>
      </c>
      <c r="K883" s="27" t="n">
        <v>585677</v>
      </c>
      <c r="L883" s="9" t="n">
        <f aca="false">IF(AND(K883&lt;&gt;"",J883&lt;Assumptions!$B$3*K883),K883,J883)</f>
        <v>585678</v>
      </c>
      <c r="M883" s="21" t="str">
        <f aca="false">IF(L883=J883,"FERC Form 1","EIA-861")</f>
        <v>FERC Form 1</v>
      </c>
      <c r="N883" s="28" t="n">
        <f aca="false">E883+F883+G883</f>
        <v>102.311664</v>
      </c>
    </row>
    <row r="884" customFormat="false" ht="15" hidden="false" customHeight="false" outlineLevel="0" collapsed="false">
      <c r="A884" s="7" t="n">
        <v>2007</v>
      </c>
      <c r="B884" s="15" t="s">
        <v>128</v>
      </c>
      <c r="C884" s="15" t="s">
        <v>118</v>
      </c>
      <c r="D884" s="15" t="s">
        <v>107</v>
      </c>
      <c r="E884" s="19" t="n">
        <v>27.17608</v>
      </c>
      <c r="F884" s="19" t="n">
        <v>36.281543</v>
      </c>
      <c r="G884" s="19" t="n">
        <v>46.442542</v>
      </c>
      <c r="H884" s="19" t="n">
        <v>59.094616</v>
      </c>
      <c r="I884" s="19" t="n">
        <v>1717.039999</v>
      </c>
      <c r="J884" s="27" t="n">
        <v>585944</v>
      </c>
      <c r="K884" s="27" t="n">
        <v>585942</v>
      </c>
      <c r="L884" s="9" t="n">
        <f aca="false">IF(AND(K884&lt;&gt;"",J884&lt;Assumptions!$B$3*K884),K884,J884)</f>
        <v>585944</v>
      </c>
      <c r="M884" s="21" t="str">
        <f aca="false">IF(L884=J884,"FERC Form 1","EIA-861")</f>
        <v>FERC Form 1</v>
      </c>
      <c r="N884" s="28" t="n">
        <f aca="false">E884+F884+G884</f>
        <v>109.900165</v>
      </c>
    </row>
    <row r="885" customFormat="false" ht="15" hidden="false" customHeight="false" outlineLevel="0" collapsed="false">
      <c r="A885" s="7" t="n">
        <v>2008</v>
      </c>
      <c r="B885" s="15" t="s">
        <v>128</v>
      </c>
      <c r="C885" s="15" t="s">
        <v>118</v>
      </c>
      <c r="D885" s="15" t="s">
        <v>107</v>
      </c>
      <c r="E885" s="19" t="n">
        <v>28.418547</v>
      </c>
      <c r="F885" s="19" t="n">
        <v>22.00157</v>
      </c>
      <c r="G885" s="19" t="n">
        <v>48.524931</v>
      </c>
      <c r="H885" s="19" t="n">
        <v>74.241312</v>
      </c>
      <c r="I885" s="19" t="n">
        <v>1779.820298</v>
      </c>
      <c r="J885" s="27" t="n">
        <v>586996</v>
      </c>
      <c r="K885" s="27" t="n">
        <v>586997</v>
      </c>
      <c r="L885" s="9" t="n">
        <f aca="false">IF(AND(K885&lt;&gt;"",J885&lt;Assumptions!$B$3*K885),K885,J885)</f>
        <v>586996</v>
      </c>
      <c r="M885" s="21" t="str">
        <f aca="false">IF(L885=J885,"FERC Form 1","EIA-861")</f>
        <v>FERC Form 1</v>
      </c>
      <c r="N885" s="28" t="n">
        <f aca="false">E885+F885+G885</f>
        <v>98.945048</v>
      </c>
    </row>
    <row r="886" customFormat="false" ht="15" hidden="false" customHeight="false" outlineLevel="0" collapsed="false">
      <c r="A886" s="7" t="n">
        <v>2009</v>
      </c>
      <c r="B886" s="15" t="s">
        <v>128</v>
      </c>
      <c r="C886" s="15" t="s">
        <v>118</v>
      </c>
      <c r="D886" s="15" t="s">
        <v>107</v>
      </c>
      <c r="E886" s="19" t="n">
        <v>28.136345</v>
      </c>
      <c r="F886" s="19" t="n">
        <v>27.07624</v>
      </c>
      <c r="G886" s="19" t="n">
        <v>50.14049</v>
      </c>
      <c r="H886" s="19" t="n">
        <v>103.893675</v>
      </c>
      <c r="I886" s="19" t="n">
        <v>1846.375157</v>
      </c>
      <c r="J886" s="27" t="n">
        <v>586835</v>
      </c>
      <c r="K886" s="27" t="n">
        <v>586836</v>
      </c>
      <c r="L886" s="9" t="n">
        <f aca="false">IF(AND(K886&lt;&gt;"",J886&lt;Assumptions!$B$3*K886),K886,J886)</f>
        <v>586835</v>
      </c>
      <c r="M886" s="21" t="str">
        <f aca="false">IF(L886=J886,"FERC Form 1","EIA-861")</f>
        <v>FERC Form 1</v>
      </c>
      <c r="N886" s="28" t="n">
        <f aca="false">E886+F886+G886</f>
        <v>105.353075</v>
      </c>
    </row>
    <row r="887" customFormat="false" ht="15" hidden="false" customHeight="false" outlineLevel="0" collapsed="false">
      <c r="A887" s="7" t="n">
        <v>2010</v>
      </c>
      <c r="B887" s="15" t="s">
        <v>128</v>
      </c>
      <c r="C887" s="15" t="s">
        <v>118</v>
      </c>
      <c r="D887" s="15" t="s">
        <v>107</v>
      </c>
      <c r="E887" s="19" t="n">
        <v>39.585689</v>
      </c>
      <c r="F887" s="19" t="n">
        <v>54.596928</v>
      </c>
      <c r="G887" s="19" t="n">
        <v>52.888029</v>
      </c>
      <c r="H887" s="19" t="n">
        <v>157.428075</v>
      </c>
      <c r="I887" s="19" t="n">
        <v>1986.667946</v>
      </c>
      <c r="J887" s="27" t="n">
        <v>587094</v>
      </c>
      <c r="K887" s="27" t="n">
        <v>587095</v>
      </c>
      <c r="L887" s="9" t="n">
        <f aca="false">IF(AND(K887&lt;&gt;"",J887&lt;Assumptions!$B$3*K887),K887,J887)</f>
        <v>587094</v>
      </c>
      <c r="M887" s="21" t="str">
        <f aca="false">IF(L887=J887,"FERC Form 1","EIA-861")</f>
        <v>FERC Form 1</v>
      </c>
      <c r="N887" s="28" t="n">
        <f aca="false">E887+F887+G887</f>
        <v>147.070646</v>
      </c>
    </row>
    <row r="888" customFormat="false" ht="15" hidden="false" customHeight="false" outlineLevel="0" collapsed="false">
      <c r="A888" s="7" t="n">
        <v>2011</v>
      </c>
      <c r="B888" s="15" t="s">
        <v>128</v>
      </c>
      <c r="C888" s="15" t="s">
        <v>118</v>
      </c>
      <c r="D888" s="15" t="s">
        <v>107</v>
      </c>
      <c r="E888" s="19" t="n">
        <v>33.497765</v>
      </c>
      <c r="F888" s="19" t="n">
        <v>47.903454</v>
      </c>
      <c r="G888" s="19" t="n">
        <v>63.258696</v>
      </c>
      <c r="H888" s="19" t="n">
        <v>106.786145</v>
      </c>
      <c r="I888" s="19" t="n">
        <v>2053.646721</v>
      </c>
      <c r="J888" s="27" t="n">
        <v>587610</v>
      </c>
      <c r="K888" s="27" t="n">
        <v>587610</v>
      </c>
      <c r="L888" s="9" t="n">
        <f aca="false">IF(AND(K888&lt;&gt;"",J888&lt;Assumptions!$B$3*K888),K888,J888)</f>
        <v>587610</v>
      </c>
      <c r="M888" s="21" t="str">
        <f aca="false">IF(L888=J888,"FERC Form 1","EIA-861")</f>
        <v>FERC Form 1</v>
      </c>
      <c r="N888" s="28" t="n">
        <f aca="false">E888+F888+G888</f>
        <v>144.659915</v>
      </c>
    </row>
    <row r="889" customFormat="false" ht="15" hidden="false" customHeight="false" outlineLevel="0" collapsed="false">
      <c r="A889" s="7" t="n">
        <v>2012</v>
      </c>
      <c r="B889" s="15" t="s">
        <v>128</v>
      </c>
      <c r="C889" s="15" t="s">
        <v>118</v>
      </c>
      <c r="D889" s="15" t="s">
        <v>107</v>
      </c>
      <c r="E889" s="19" t="n">
        <v>34.887692</v>
      </c>
      <c r="F889" s="19" t="n">
        <v>46.526644</v>
      </c>
      <c r="G889" s="19" t="n">
        <v>66.002103</v>
      </c>
      <c r="H889" s="19" t="n">
        <v>122.522913</v>
      </c>
      <c r="I889" s="19" t="n">
        <v>2155.211747</v>
      </c>
      <c r="J889" s="27" t="n">
        <v>588676</v>
      </c>
      <c r="K889" s="27" t="n">
        <v>588676</v>
      </c>
      <c r="L889" s="9" t="n">
        <f aca="false">IF(AND(K889&lt;&gt;"",J889&lt;Assumptions!$B$3*K889),K889,J889)</f>
        <v>588676</v>
      </c>
      <c r="M889" s="21" t="str">
        <f aca="false">IF(L889=J889,"FERC Form 1","EIA-861")</f>
        <v>FERC Form 1</v>
      </c>
      <c r="N889" s="28" t="n">
        <f aca="false">E889+F889+G889</f>
        <v>147.416439</v>
      </c>
    </row>
    <row r="890" customFormat="false" ht="15" hidden="false" customHeight="false" outlineLevel="0" collapsed="false">
      <c r="A890" s="7" t="n">
        <v>2013</v>
      </c>
      <c r="B890" s="15" t="s">
        <v>128</v>
      </c>
      <c r="C890" s="15" t="s">
        <v>118</v>
      </c>
      <c r="D890" s="15" t="s">
        <v>107</v>
      </c>
      <c r="E890" s="19" t="n">
        <v>39.294365</v>
      </c>
      <c r="F890" s="19" t="n">
        <v>49.3458</v>
      </c>
      <c r="G890" s="19" t="n">
        <v>67.919951</v>
      </c>
      <c r="H890" s="19" t="n">
        <v>118.855848</v>
      </c>
      <c r="I890" s="19" t="n">
        <v>2260.183199</v>
      </c>
      <c r="J890" s="27" t="n">
        <v>590346</v>
      </c>
      <c r="K890" s="27" t="n">
        <v>590346</v>
      </c>
      <c r="L890" s="9" t="n">
        <f aca="false">IF(AND(K890&lt;&gt;"",J890&lt;Assumptions!$B$3*K890),K890,J890)</f>
        <v>590346</v>
      </c>
      <c r="M890" s="21" t="str">
        <f aca="false">IF(L890=J890,"FERC Form 1","EIA-861")</f>
        <v>FERC Form 1</v>
      </c>
      <c r="N890" s="28" t="n">
        <f aca="false">E890+F890+G890</f>
        <v>156.560116</v>
      </c>
    </row>
    <row r="891" customFormat="false" ht="15" hidden="false" customHeight="false" outlineLevel="0" collapsed="false">
      <c r="A891" s="7" t="n">
        <v>2014</v>
      </c>
      <c r="B891" s="15" t="s">
        <v>128</v>
      </c>
      <c r="C891" s="15" t="s">
        <v>118</v>
      </c>
      <c r="D891" s="15" t="s">
        <v>107</v>
      </c>
      <c r="E891" s="19" t="n">
        <v>42.058934</v>
      </c>
      <c r="F891" s="19" t="n">
        <v>49.845097</v>
      </c>
      <c r="G891" s="19" t="n">
        <v>68.934209</v>
      </c>
      <c r="H891" s="19" t="n">
        <v>120.190463</v>
      </c>
      <c r="I891" s="19" t="n">
        <v>2360.760642</v>
      </c>
      <c r="J891" s="27" t="n">
        <v>591422</v>
      </c>
      <c r="K891" s="27" t="n">
        <v>591205</v>
      </c>
      <c r="L891" s="9" t="n">
        <f aca="false">IF(AND(K891&lt;&gt;"",J891&lt;Assumptions!$B$3*K891),K891,J891)</f>
        <v>591422</v>
      </c>
      <c r="M891" s="21" t="str">
        <f aca="false">IF(L891=J891,"FERC Form 1","EIA-861")</f>
        <v>FERC Form 1</v>
      </c>
      <c r="N891" s="28" t="n">
        <f aca="false">E891+F891+G891</f>
        <v>160.83824</v>
      </c>
    </row>
    <row r="892" customFormat="false" ht="15" hidden="false" customHeight="false" outlineLevel="0" collapsed="false">
      <c r="A892" s="7" t="n">
        <v>2015</v>
      </c>
      <c r="B892" s="15" t="s">
        <v>128</v>
      </c>
      <c r="C892" s="15" t="s">
        <v>118</v>
      </c>
      <c r="D892" s="15" t="s">
        <v>107</v>
      </c>
      <c r="E892" s="19" t="n">
        <v>43.206368</v>
      </c>
      <c r="F892" s="19" t="n">
        <v>73.262154</v>
      </c>
      <c r="G892" s="19" t="n">
        <v>69.207353</v>
      </c>
      <c r="H892" s="19" t="n">
        <v>122.883044</v>
      </c>
      <c r="I892" s="19" t="n">
        <v>2421.961853</v>
      </c>
      <c r="J892" s="27" t="n">
        <v>587359</v>
      </c>
      <c r="K892" s="27" t="n">
        <v>586149</v>
      </c>
      <c r="L892" s="9" t="n">
        <f aca="false">IF(AND(K892&lt;&gt;"",J892&lt;Assumptions!$B$3*K892),K892,J892)</f>
        <v>587359</v>
      </c>
      <c r="M892" s="21" t="str">
        <f aca="false">IF(L892=J892,"FERC Form 1","EIA-861")</f>
        <v>FERC Form 1</v>
      </c>
      <c r="N892" s="28" t="n">
        <f aca="false">E892+F892+G892</f>
        <v>185.675875</v>
      </c>
    </row>
    <row r="893" customFormat="false" ht="15" hidden="false" customHeight="false" outlineLevel="0" collapsed="false">
      <c r="A893" s="7" t="n">
        <v>2016</v>
      </c>
      <c r="B893" s="15" t="s">
        <v>128</v>
      </c>
      <c r="C893" s="15" t="s">
        <v>118</v>
      </c>
      <c r="D893" s="15" t="s">
        <v>107</v>
      </c>
      <c r="E893" s="19" t="n">
        <v>47.866544</v>
      </c>
      <c r="F893" s="19" t="n">
        <v>63.095147</v>
      </c>
      <c r="G893" s="19" t="n">
        <v>70.423689</v>
      </c>
      <c r="H893" s="19" t="n">
        <v>125.143241</v>
      </c>
      <c r="I893" s="19" t="n">
        <v>2495.813491</v>
      </c>
      <c r="J893" s="27" t="n">
        <v>587954</v>
      </c>
      <c r="K893" s="27" t="n">
        <v>592977</v>
      </c>
      <c r="L893" s="9" t="n">
        <f aca="false">IF(AND(K893&lt;&gt;"",J893&lt;Assumptions!$B$3*K893),K893,J893)</f>
        <v>587954</v>
      </c>
      <c r="M893" s="21" t="str">
        <f aca="false">IF(L893=J893,"FERC Form 1","EIA-861")</f>
        <v>FERC Form 1</v>
      </c>
      <c r="N893" s="28" t="n">
        <f aca="false">E893+F893+G893</f>
        <v>181.38538</v>
      </c>
    </row>
    <row r="894" customFormat="false" ht="15" hidden="false" customHeight="false" outlineLevel="0" collapsed="false">
      <c r="A894" s="7" t="n">
        <v>2017</v>
      </c>
      <c r="B894" s="15" t="s">
        <v>128</v>
      </c>
      <c r="C894" s="15" t="s">
        <v>118</v>
      </c>
      <c r="D894" s="15" t="s">
        <v>107</v>
      </c>
      <c r="E894" s="19" t="n">
        <v>41.523391</v>
      </c>
      <c r="F894" s="19" t="n">
        <v>63.374153</v>
      </c>
      <c r="G894" s="19" t="n">
        <v>70.699694</v>
      </c>
      <c r="H894" s="19" t="n">
        <v>166.433779</v>
      </c>
      <c r="I894" s="19" t="n">
        <v>2621.71948</v>
      </c>
      <c r="J894" s="27" t="n">
        <v>594106</v>
      </c>
      <c r="K894" s="27" t="n">
        <v>594785</v>
      </c>
      <c r="L894" s="9" t="n">
        <f aca="false">IF(AND(K894&lt;&gt;"",J894&lt;Assumptions!$B$3*K894),K894,J894)</f>
        <v>594106</v>
      </c>
      <c r="M894" s="21" t="str">
        <f aca="false">IF(L894=J894,"FERC Form 1","EIA-861")</f>
        <v>FERC Form 1</v>
      </c>
      <c r="N894" s="28" t="n">
        <f aca="false">E894+F894+G894</f>
        <v>175.597238</v>
      </c>
    </row>
    <row r="895" customFormat="false" ht="15" hidden="false" customHeight="false" outlineLevel="0" collapsed="false">
      <c r="A895" s="7" t="n">
        <v>2018</v>
      </c>
      <c r="B895" s="15" t="s">
        <v>128</v>
      </c>
      <c r="C895" s="15" t="s">
        <v>118</v>
      </c>
      <c r="D895" s="15" t="s">
        <v>107</v>
      </c>
      <c r="E895" s="19" t="n">
        <v>44.504233</v>
      </c>
      <c r="F895" s="19" t="n">
        <v>66.847004</v>
      </c>
      <c r="G895" s="19" t="n">
        <v>73.978886</v>
      </c>
      <c r="H895" s="19" t="n">
        <v>216.864049</v>
      </c>
      <c r="I895" s="19" t="n">
        <v>2771.538874</v>
      </c>
      <c r="J895" s="27" t="n">
        <v>597498</v>
      </c>
      <c r="K895" s="27" t="n">
        <v>599717</v>
      </c>
      <c r="L895" s="9" t="n">
        <f aca="false">IF(AND(K895&lt;&gt;"",J895&lt;Assumptions!$B$3*K895),K895,J895)</f>
        <v>597498</v>
      </c>
      <c r="M895" s="21" t="str">
        <f aca="false">IF(L895=J895,"FERC Form 1","EIA-861")</f>
        <v>FERC Form 1</v>
      </c>
      <c r="N895" s="28" t="n">
        <f aca="false">E895+F895+G895</f>
        <v>185.330123</v>
      </c>
    </row>
    <row r="896" customFormat="false" ht="15" hidden="false" customHeight="false" outlineLevel="0" collapsed="false">
      <c r="A896" s="7" t="n">
        <v>2019</v>
      </c>
      <c r="B896" s="15" t="s">
        <v>128</v>
      </c>
      <c r="C896" s="15" t="s">
        <v>118</v>
      </c>
      <c r="D896" s="15" t="s">
        <v>107</v>
      </c>
      <c r="E896" s="19" t="n">
        <v>48.889798</v>
      </c>
      <c r="F896" s="19" t="n">
        <v>45.7427</v>
      </c>
      <c r="G896" s="19" t="n">
        <v>78.074262</v>
      </c>
      <c r="H896" s="19" t="n">
        <v>181.399257</v>
      </c>
      <c r="I896" s="19" t="n">
        <v>2918.899873</v>
      </c>
      <c r="J896" s="27" t="n">
        <v>600804</v>
      </c>
      <c r="K896" s="27" t="n">
        <v>605816</v>
      </c>
      <c r="L896" s="9" t="n">
        <f aca="false">IF(AND(K896&lt;&gt;"",J896&lt;Assumptions!$B$3*K896),K896,J896)</f>
        <v>600804</v>
      </c>
      <c r="M896" s="21" t="str">
        <f aca="false">IF(L896=J896,"FERC Form 1","EIA-861")</f>
        <v>FERC Form 1</v>
      </c>
      <c r="N896" s="28" t="n">
        <f aca="false">E896+F896+G896</f>
        <v>172.70676</v>
      </c>
    </row>
    <row r="897" customFormat="false" ht="15" hidden="false" customHeight="false" outlineLevel="0" collapsed="false">
      <c r="A897" s="7" t="n">
        <v>2020</v>
      </c>
      <c r="B897" s="15" t="s">
        <v>128</v>
      </c>
      <c r="C897" s="15" t="s">
        <v>118</v>
      </c>
      <c r="D897" s="15" t="s">
        <v>107</v>
      </c>
      <c r="E897" s="19" t="n">
        <v>56.186138</v>
      </c>
      <c r="F897" s="19" t="n">
        <v>54.603277</v>
      </c>
      <c r="G897" s="19" t="n">
        <v>87.051094</v>
      </c>
      <c r="H897" s="19" t="n">
        <v>179.394955</v>
      </c>
      <c r="I897" s="19" t="n">
        <v>3076.685101</v>
      </c>
      <c r="J897" s="27" t="n">
        <v>603791</v>
      </c>
      <c r="K897" s="27" t="n">
        <v>605733</v>
      </c>
      <c r="L897" s="9" t="n">
        <f aca="false">IF(AND(K897&lt;&gt;"",J897&lt;Assumptions!$B$3*K897),K897,J897)</f>
        <v>603791</v>
      </c>
      <c r="M897" s="21" t="str">
        <f aca="false">IF(L897=J897,"FERC Form 1","EIA-861")</f>
        <v>FERC Form 1</v>
      </c>
      <c r="N897" s="28" t="n">
        <f aca="false">E897+F897+G897</f>
        <v>197.840509</v>
      </c>
    </row>
    <row r="898" customFormat="false" ht="15" hidden="false" customHeight="false" outlineLevel="0" collapsed="false">
      <c r="A898" s="7" t="n">
        <v>2021</v>
      </c>
      <c r="B898" s="15" t="s">
        <v>128</v>
      </c>
      <c r="C898" s="15" t="s">
        <v>118</v>
      </c>
      <c r="D898" s="15" t="s">
        <v>107</v>
      </c>
      <c r="E898" s="19" t="n">
        <v>55.502606</v>
      </c>
      <c r="F898" s="19" t="n">
        <v>45.473553</v>
      </c>
      <c r="G898" s="19" t="n">
        <v>94.066495</v>
      </c>
      <c r="H898" s="19" t="n">
        <v>211.898417</v>
      </c>
      <c r="I898" s="19" t="n">
        <v>3262.545565</v>
      </c>
      <c r="J898" s="27" t="n">
        <v>606085</v>
      </c>
      <c r="K898" s="27" t="n">
        <v>607350</v>
      </c>
      <c r="L898" s="9" t="n">
        <f aca="false">IF(AND(K898&lt;&gt;"",J898&lt;Assumptions!$B$3*K898),K898,J898)</f>
        <v>606085</v>
      </c>
      <c r="M898" s="21" t="str">
        <f aca="false">IF(L898=J898,"FERC Form 1","EIA-861")</f>
        <v>FERC Form 1</v>
      </c>
      <c r="N898" s="28" t="n">
        <f aca="false">E898+F898+G898</f>
        <v>195.042654</v>
      </c>
    </row>
    <row r="899" customFormat="false" ht="15" hidden="false" customHeight="false" outlineLevel="0" collapsed="false">
      <c r="A899" s="7" t="n">
        <v>2022</v>
      </c>
      <c r="B899" s="15" t="s">
        <v>128</v>
      </c>
      <c r="C899" s="15" t="s">
        <v>118</v>
      </c>
      <c r="D899" s="15" t="s">
        <v>107</v>
      </c>
      <c r="E899" s="19" t="n">
        <v>58.57108</v>
      </c>
      <c r="F899" s="19" t="n">
        <v>46.671062</v>
      </c>
      <c r="G899" s="19" t="n">
        <v>98.242688</v>
      </c>
      <c r="H899" s="19" t="n">
        <v>187.408302</v>
      </c>
      <c r="I899" s="19" t="n">
        <v>3434.001208</v>
      </c>
      <c r="J899" s="27" t="n">
        <v>609008</v>
      </c>
      <c r="K899" s="27" t="n">
        <v>616608</v>
      </c>
      <c r="L899" s="9" t="n">
        <f aca="false">IF(AND(K899&lt;&gt;"",J899&lt;Assumptions!$B$3*K899),K899,J899)</f>
        <v>609008</v>
      </c>
      <c r="M899" s="21" t="str">
        <f aca="false">IF(L899=J899,"FERC Form 1","EIA-861")</f>
        <v>FERC Form 1</v>
      </c>
      <c r="N899" s="28" t="n">
        <f aca="false">E899+F899+G899</f>
        <v>203.48483</v>
      </c>
    </row>
    <row r="900" customFormat="false" ht="15" hidden="false" customHeight="false" outlineLevel="0" collapsed="false">
      <c r="A900" s="7" t="n">
        <v>2023</v>
      </c>
      <c r="B900" s="15" t="s">
        <v>128</v>
      </c>
      <c r="C900" s="15" t="s">
        <v>118</v>
      </c>
      <c r="D900" s="15" t="s">
        <v>107</v>
      </c>
      <c r="E900" s="19" t="n">
        <v>50.410822</v>
      </c>
      <c r="F900" s="19" t="n">
        <v>73.700229</v>
      </c>
      <c r="G900" s="19" t="n">
        <v>105.144306</v>
      </c>
      <c r="H900" s="19" t="n">
        <v>293.628265</v>
      </c>
      <c r="I900" s="19" t="n">
        <v>3709.851941</v>
      </c>
      <c r="J900" s="27" t="n">
        <v>611282</v>
      </c>
      <c r="K900" s="27" t="n">
        <v>611284</v>
      </c>
      <c r="L900" s="9" t="n">
        <f aca="false">IF(AND(K900&lt;&gt;"",J900&lt;Assumptions!$B$3*K900),K900,J900)</f>
        <v>611282</v>
      </c>
      <c r="M900" s="21" t="str">
        <f aca="false">IF(L900=J900,"FERC Form 1","EIA-861")</f>
        <v>FERC Form 1</v>
      </c>
      <c r="N900" s="28" t="n">
        <f aca="false">E900+F900+G900</f>
        <v>229.255357</v>
      </c>
    </row>
    <row r="901" customFormat="false" ht="15" hidden="false" customHeight="false" outlineLevel="0" collapsed="false">
      <c r="A901" s="7" t="n">
        <v>2024</v>
      </c>
      <c r="B901" s="15" t="s">
        <v>128</v>
      </c>
      <c r="C901" s="15" t="s">
        <v>118</v>
      </c>
      <c r="D901" s="15" t="s">
        <v>107</v>
      </c>
      <c r="E901" s="19" t="n">
        <v>52.88965</v>
      </c>
      <c r="F901" s="19" t="n">
        <v>73.764245</v>
      </c>
      <c r="G901" s="19" t="n">
        <v>112.092572</v>
      </c>
      <c r="H901" s="19" t="n">
        <v>216.374115</v>
      </c>
      <c r="I901" s="19" t="n">
        <v>4001.763811</v>
      </c>
      <c r="J901" s="27" t="n">
        <v>613787</v>
      </c>
      <c r="K901" s="27" t="n">
        <v>613788</v>
      </c>
      <c r="L901" s="9" t="n">
        <f aca="false">IF(AND(K901&lt;&gt;"",J901&lt;Assumptions!$B$3*K901),K901,J901)</f>
        <v>613787</v>
      </c>
      <c r="M901" s="21" t="str">
        <f aca="false">IF(L901=J901,"FERC Form 1","EIA-861")</f>
        <v>FERC Form 1</v>
      </c>
      <c r="N901" s="28" t="n">
        <f aca="false">E901+F901+G901</f>
        <v>238.746467</v>
      </c>
    </row>
    <row r="902" customFormat="false" ht="15" hidden="false" customHeight="false" outlineLevel="0" collapsed="false">
      <c r="A902" s="7" t="n">
        <v>2025</v>
      </c>
      <c r="B902" s="15" t="s">
        <v>128</v>
      </c>
      <c r="C902" s="15" t="s">
        <v>118</v>
      </c>
      <c r="D902" s="15" t="s">
        <v>107</v>
      </c>
      <c r="E902" s="19" t="n">
        <v>49.890312</v>
      </c>
      <c r="F902" s="19" t="n">
        <v>57.889973</v>
      </c>
      <c r="G902" s="19" t="n">
        <v>131.007085</v>
      </c>
      <c r="H902" s="19" t="n">
        <v>473.493915</v>
      </c>
      <c r="I902" s="19" t="n">
        <v>4415.060415</v>
      </c>
      <c r="J902" s="27" t="n">
        <v>616506</v>
      </c>
      <c r="K902" s="27" t="n">
        <v>616508</v>
      </c>
      <c r="L902" s="9" t="n">
        <f aca="false">IF(AND(K902&lt;&gt;"",J902&lt;Assumptions!$B$3*K902),K902,J902)</f>
        <v>616506</v>
      </c>
      <c r="M902" s="21" t="str">
        <f aca="false">IF(L902=J902,"FERC Form 1","EIA-861")</f>
        <v>FERC Form 1</v>
      </c>
      <c r="N902" s="28" t="n">
        <f aca="false">E902+F902+G902</f>
        <v>238.78737</v>
      </c>
    </row>
    <row r="903" customFormat="false" ht="15" hidden="false" customHeight="false" outlineLevel="0" collapsed="false">
      <c r="A903" s="7" t="n">
        <v>2000</v>
      </c>
      <c r="B903" s="15" t="s">
        <v>129</v>
      </c>
      <c r="C903" s="15" t="s">
        <v>118</v>
      </c>
      <c r="D903" s="15" t="s">
        <v>107</v>
      </c>
      <c r="E903" s="19" t="n">
        <v>114.074952</v>
      </c>
      <c r="F903" s="19" t="n">
        <v>166.304142</v>
      </c>
      <c r="G903" s="19" t="n">
        <v>78.237012</v>
      </c>
      <c r="H903" s="19" t="n">
        <v>41.831145</v>
      </c>
      <c r="I903" s="19" t="n">
        <v>2997.245331</v>
      </c>
      <c r="J903" s="27" t="n">
        <v>1253848</v>
      </c>
      <c r="K903" s="27"/>
      <c r="L903" s="9" t="n">
        <f aca="false">IF(AND(K903&lt;&gt;"",J903&lt;Assumptions!$B$3*K903),K903,J903)</f>
        <v>1253848</v>
      </c>
      <c r="M903" s="21" t="str">
        <f aca="false">IF(L903=J903,"FERC Form 1","EIA-861")</f>
        <v>FERC Form 1</v>
      </c>
      <c r="N903" s="28" t="n">
        <f aca="false">E903+F903+G903</f>
        <v>358.616106</v>
      </c>
    </row>
    <row r="904" customFormat="false" ht="15" hidden="false" customHeight="false" outlineLevel="0" collapsed="false">
      <c r="A904" s="7" t="n">
        <v>2001</v>
      </c>
      <c r="B904" s="15" t="s">
        <v>129</v>
      </c>
      <c r="C904" s="15" t="s">
        <v>118</v>
      </c>
      <c r="D904" s="15" t="s">
        <v>107</v>
      </c>
      <c r="E904" s="19" t="n">
        <v>157.771303</v>
      </c>
      <c r="F904" s="19" t="n">
        <v>146.377116</v>
      </c>
      <c r="G904" s="19" t="n">
        <v>70.58817</v>
      </c>
      <c r="H904" s="19" t="n">
        <v>213.430544</v>
      </c>
      <c r="I904" s="19" t="n">
        <v>3157.71614</v>
      </c>
      <c r="J904" s="27" t="n">
        <v>1523075</v>
      </c>
      <c r="K904" s="27" t="n">
        <v>1522640</v>
      </c>
      <c r="L904" s="9" t="n">
        <f aca="false">IF(AND(K904&lt;&gt;"",J904&lt;Assumptions!$B$3*K904),K904,J904)</f>
        <v>1523075</v>
      </c>
      <c r="M904" s="21" t="str">
        <f aca="false">IF(L904=J904,"FERC Form 1","EIA-861")</f>
        <v>FERC Form 1</v>
      </c>
      <c r="N904" s="28" t="n">
        <f aca="false">E904+F904+G904</f>
        <v>374.736589</v>
      </c>
    </row>
    <row r="905" customFormat="false" ht="15" hidden="false" customHeight="false" outlineLevel="0" collapsed="false">
      <c r="A905" s="7" t="n">
        <v>2002</v>
      </c>
      <c r="B905" s="15" t="s">
        <v>129</v>
      </c>
      <c r="C905" s="15" t="s">
        <v>118</v>
      </c>
      <c r="D905" s="15" t="s">
        <v>107</v>
      </c>
      <c r="E905" s="19" t="n">
        <v>150.717201</v>
      </c>
      <c r="F905" s="19" t="n">
        <v>128.713868</v>
      </c>
      <c r="G905" s="19" t="n">
        <v>73.840457</v>
      </c>
      <c r="H905" s="19" t="n">
        <v>134.313035</v>
      </c>
      <c r="I905" s="19" t="n">
        <v>3352.293228</v>
      </c>
      <c r="J905" s="27" t="n">
        <v>1528884</v>
      </c>
      <c r="K905" s="27" t="n">
        <v>1528907</v>
      </c>
      <c r="L905" s="9" t="n">
        <f aca="false">IF(AND(K905&lt;&gt;"",J905&lt;Assumptions!$B$3*K905),K905,J905)</f>
        <v>1528884</v>
      </c>
      <c r="M905" s="21" t="str">
        <f aca="false">IF(L905=J905,"FERC Form 1","EIA-861")</f>
        <v>FERC Form 1</v>
      </c>
      <c r="N905" s="28" t="n">
        <f aca="false">E905+F905+G905</f>
        <v>353.271526</v>
      </c>
    </row>
    <row r="906" customFormat="false" ht="15" hidden="false" customHeight="false" outlineLevel="0" collapsed="false">
      <c r="A906" s="7" t="n">
        <v>2003</v>
      </c>
      <c r="B906" s="15" t="s">
        <v>129</v>
      </c>
      <c r="C906" s="15" t="s">
        <v>118</v>
      </c>
      <c r="D906" s="15" t="s">
        <v>107</v>
      </c>
      <c r="E906" s="19" t="n">
        <v>158.397047</v>
      </c>
      <c r="F906" s="19" t="n">
        <v>125.468934</v>
      </c>
      <c r="G906" s="19" t="n">
        <v>74.455805</v>
      </c>
      <c r="H906" s="19" t="n">
        <v>133.697076</v>
      </c>
      <c r="I906" s="19" t="n">
        <v>3404.804918</v>
      </c>
      <c r="J906" s="27" t="n">
        <v>1530715</v>
      </c>
      <c r="K906" s="27" t="n">
        <v>1531026</v>
      </c>
      <c r="L906" s="9" t="n">
        <f aca="false">IF(AND(K906&lt;&gt;"",J906&lt;Assumptions!$B$3*K906),K906,J906)</f>
        <v>1530715</v>
      </c>
      <c r="M906" s="21" t="str">
        <f aca="false">IF(L906=J906,"FERC Form 1","EIA-861")</f>
        <v>FERC Form 1</v>
      </c>
      <c r="N906" s="28" t="n">
        <f aca="false">E906+F906+G906</f>
        <v>358.321786</v>
      </c>
    </row>
    <row r="907" customFormat="false" ht="15" hidden="false" customHeight="false" outlineLevel="0" collapsed="false">
      <c r="A907" s="7" t="n">
        <v>2004</v>
      </c>
      <c r="B907" s="15" t="s">
        <v>129</v>
      </c>
      <c r="C907" s="15" t="s">
        <v>118</v>
      </c>
      <c r="D907" s="15" t="s">
        <v>107</v>
      </c>
      <c r="E907" s="19" t="n">
        <v>131.505399</v>
      </c>
      <c r="F907" s="19" t="n">
        <v>119.71254</v>
      </c>
      <c r="G907" s="19" t="n">
        <v>74.422897</v>
      </c>
      <c r="H907" s="19" t="n">
        <v>135.798208</v>
      </c>
      <c r="I907" s="19" t="n">
        <v>3535.773885</v>
      </c>
      <c r="J907" s="27" t="n">
        <v>1536985</v>
      </c>
      <c r="K907" s="27" t="n">
        <v>1537072</v>
      </c>
      <c r="L907" s="9" t="n">
        <f aca="false">IF(AND(K907&lt;&gt;"",J907&lt;Assumptions!$B$3*K907),K907,J907)</f>
        <v>1536985</v>
      </c>
      <c r="M907" s="21" t="str">
        <f aca="false">IF(L907=J907,"FERC Form 1","EIA-861")</f>
        <v>FERC Form 1</v>
      </c>
      <c r="N907" s="28" t="n">
        <f aca="false">E907+F907+G907</f>
        <v>325.640836</v>
      </c>
    </row>
    <row r="908" customFormat="false" ht="15" hidden="false" customHeight="false" outlineLevel="0" collapsed="false">
      <c r="A908" s="7" t="n">
        <v>2005</v>
      </c>
      <c r="B908" s="15" t="s">
        <v>129</v>
      </c>
      <c r="C908" s="15" t="s">
        <v>118</v>
      </c>
      <c r="D908" s="15" t="s">
        <v>107</v>
      </c>
      <c r="E908" s="19" t="n">
        <v>129.796103</v>
      </c>
      <c r="F908" s="19" t="n">
        <v>122.89005</v>
      </c>
      <c r="G908" s="19" t="n">
        <v>75.792813</v>
      </c>
      <c r="H908" s="19" t="n">
        <v>147.158056</v>
      </c>
      <c r="I908" s="19" t="n">
        <v>3597.658591</v>
      </c>
      <c r="J908" s="27" t="n">
        <v>1543543</v>
      </c>
      <c r="K908" s="27" t="n">
        <v>1543254</v>
      </c>
      <c r="L908" s="9" t="n">
        <f aca="false">IF(AND(K908&lt;&gt;"",J908&lt;Assumptions!$B$3*K908),K908,J908)</f>
        <v>1543543</v>
      </c>
      <c r="M908" s="21" t="str">
        <f aca="false">IF(L908=J908,"FERC Form 1","EIA-861")</f>
        <v>FERC Form 1</v>
      </c>
      <c r="N908" s="28" t="n">
        <f aca="false">E908+F908+G908</f>
        <v>328.478966</v>
      </c>
    </row>
    <row r="909" customFormat="false" ht="15" hidden="false" customHeight="false" outlineLevel="0" collapsed="false">
      <c r="A909" s="7" t="n">
        <v>2006</v>
      </c>
      <c r="B909" s="15" t="s">
        <v>129</v>
      </c>
      <c r="C909" s="15" t="s">
        <v>118</v>
      </c>
      <c r="D909" s="15" t="s">
        <v>107</v>
      </c>
      <c r="E909" s="19" t="n">
        <v>186.339705</v>
      </c>
      <c r="F909" s="19" t="n">
        <v>141.586124</v>
      </c>
      <c r="G909" s="19" t="n">
        <v>76.629478</v>
      </c>
      <c r="H909" s="19" t="n">
        <v>191.168007</v>
      </c>
      <c r="I909" s="19" t="n">
        <v>3757.691437</v>
      </c>
      <c r="J909" s="27" t="n">
        <v>1551632</v>
      </c>
      <c r="K909" s="27" t="n">
        <v>1554541</v>
      </c>
      <c r="L909" s="9" t="n">
        <f aca="false">IF(AND(K909&lt;&gt;"",J909&lt;Assumptions!$B$3*K909),K909,J909)</f>
        <v>1551632</v>
      </c>
      <c r="M909" s="21" t="str">
        <f aca="false">IF(L909=J909,"FERC Form 1","EIA-861")</f>
        <v>FERC Form 1</v>
      </c>
      <c r="N909" s="28" t="n">
        <f aca="false">E909+F909+G909</f>
        <v>404.555307</v>
      </c>
    </row>
    <row r="910" customFormat="false" ht="15" hidden="false" customHeight="false" outlineLevel="0" collapsed="false">
      <c r="A910" s="7" t="n">
        <v>2007</v>
      </c>
      <c r="B910" s="15" t="s">
        <v>129</v>
      </c>
      <c r="C910" s="15" t="s">
        <v>118</v>
      </c>
      <c r="D910" s="15" t="s">
        <v>107</v>
      </c>
      <c r="E910" s="19" t="n">
        <v>158.529536</v>
      </c>
      <c r="F910" s="19" t="n">
        <v>164.273815</v>
      </c>
      <c r="G910" s="19" t="n">
        <v>80.284973</v>
      </c>
      <c r="H910" s="19" t="n">
        <v>211.056888</v>
      </c>
      <c r="I910" s="19" t="n">
        <v>3941.010931</v>
      </c>
      <c r="J910" s="27" t="n">
        <v>1555342</v>
      </c>
      <c r="K910" s="27" t="n">
        <v>1554586</v>
      </c>
      <c r="L910" s="9" t="n">
        <f aca="false">IF(AND(K910&lt;&gt;"",J910&lt;Assumptions!$B$3*K910),K910,J910)</f>
        <v>1555342</v>
      </c>
      <c r="M910" s="21" t="str">
        <f aca="false">IF(L910=J910,"FERC Form 1","EIA-861")</f>
        <v>FERC Form 1</v>
      </c>
      <c r="N910" s="28" t="n">
        <f aca="false">E910+F910+G910</f>
        <v>403.088324</v>
      </c>
    </row>
    <row r="911" customFormat="false" ht="15" hidden="false" customHeight="false" outlineLevel="0" collapsed="false">
      <c r="A911" s="7" t="n">
        <v>2008</v>
      </c>
      <c r="B911" s="15" t="s">
        <v>129</v>
      </c>
      <c r="C911" s="15" t="s">
        <v>118</v>
      </c>
      <c r="D911" s="15" t="s">
        <v>107</v>
      </c>
      <c r="E911" s="19" t="n">
        <v>168.495904</v>
      </c>
      <c r="F911" s="19" t="n">
        <v>248.961437</v>
      </c>
      <c r="G911" s="19" t="n">
        <v>84.896217</v>
      </c>
      <c r="H911" s="19" t="n">
        <v>221.69787</v>
      </c>
      <c r="I911" s="19" t="n">
        <v>4135.239648</v>
      </c>
      <c r="J911" s="27" t="n">
        <v>1567250</v>
      </c>
      <c r="K911" s="27" t="n">
        <v>1570505</v>
      </c>
      <c r="L911" s="9" t="n">
        <f aca="false">IF(AND(K911&lt;&gt;"",J911&lt;Assumptions!$B$3*K911),K911,J911)</f>
        <v>1567250</v>
      </c>
      <c r="M911" s="21" t="str">
        <f aca="false">IF(L911=J911,"FERC Form 1","EIA-861")</f>
        <v>FERC Form 1</v>
      </c>
      <c r="N911" s="28" t="n">
        <f aca="false">E911+F911+G911</f>
        <v>502.353558</v>
      </c>
    </row>
    <row r="912" customFormat="false" ht="15" hidden="false" customHeight="false" outlineLevel="0" collapsed="false">
      <c r="A912" s="7" t="n">
        <v>2009</v>
      </c>
      <c r="B912" s="15" t="s">
        <v>129</v>
      </c>
      <c r="C912" s="15" t="s">
        <v>118</v>
      </c>
      <c r="D912" s="15" t="s">
        <v>107</v>
      </c>
      <c r="E912" s="19" t="n">
        <v>171.033598</v>
      </c>
      <c r="F912" s="19" t="n">
        <v>167.689102</v>
      </c>
      <c r="G912" s="19" t="n">
        <v>88.373386</v>
      </c>
      <c r="H912" s="19" t="n">
        <v>190.057833</v>
      </c>
      <c r="I912" s="19" t="n">
        <v>4322.385718</v>
      </c>
      <c r="J912" s="27" t="n">
        <v>1564433</v>
      </c>
      <c r="K912" s="27" t="n">
        <v>1567204</v>
      </c>
      <c r="L912" s="9" t="n">
        <f aca="false">IF(AND(K912&lt;&gt;"",J912&lt;Assumptions!$B$3*K912),K912,J912)</f>
        <v>1564433</v>
      </c>
      <c r="M912" s="21" t="str">
        <f aca="false">IF(L912=J912,"FERC Form 1","EIA-861")</f>
        <v>FERC Form 1</v>
      </c>
      <c r="N912" s="28" t="n">
        <f aca="false">E912+F912+G912</f>
        <v>427.096086</v>
      </c>
    </row>
    <row r="913" customFormat="false" ht="15" hidden="false" customHeight="false" outlineLevel="0" collapsed="false">
      <c r="A913" s="7" t="n">
        <v>2010</v>
      </c>
      <c r="B913" s="15" t="s">
        <v>129</v>
      </c>
      <c r="C913" s="15" t="s">
        <v>118</v>
      </c>
      <c r="D913" s="15" t="s">
        <v>107</v>
      </c>
      <c r="E913" s="19" t="n">
        <v>204.150806</v>
      </c>
      <c r="F913" s="19" t="n">
        <v>219.810024</v>
      </c>
      <c r="G913" s="19" t="n">
        <v>90.585025</v>
      </c>
      <c r="H913" s="19" t="n">
        <v>186.647512</v>
      </c>
      <c r="I913" s="19" t="n">
        <v>4489.936826</v>
      </c>
      <c r="J913" s="27" t="n">
        <v>1566872</v>
      </c>
      <c r="K913" s="27" t="n">
        <v>1566872</v>
      </c>
      <c r="L913" s="9" t="n">
        <f aca="false">IF(AND(K913&lt;&gt;"",J913&lt;Assumptions!$B$3*K913),K913,J913)</f>
        <v>1566872</v>
      </c>
      <c r="M913" s="21" t="str">
        <f aca="false">IF(L913=J913,"FERC Form 1","EIA-861")</f>
        <v>FERC Form 1</v>
      </c>
      <c r="N913" s="28" t="n">
        <f aca="false">E913+F913+G913</f>
        <v>514.545855</v>
      </c>
    </row>
    <row r="914" customFormat="false" ht="15" hidden="false" customHeight="false" outlineLevel="0" collapsed="false">
      <c r="A914" s="7" t="n">
        <v>2011</v>
      </c>
      <c r="B914" s="15" t="s">
        <v>129</v>
      </c>
      <c r="C914" s="15" t="s">
        <v>118</v>
      </c>
      <c r="D914" s="15" t="s">
        <v>107</v>
      </c>
      <c r="E914" s="19" t="n">
        <v>222.327446</v>
      </c>
      <c r="F914" s="19" t="n">
        <v>230.350431</v>
      </c>
      <c r="G914" s="19" t="n">
        <v>102.044977</v>
      </c>
      <c r="H914" s="19" t="n">
        <v>255.265877</v>
      </c>
      <c r="I914" s="19" t="n">
        <v>4723.42579</v>
      </c>
      <c r="J914" s="27" t="n">
        <v>1573976</v>
      </c>
      <c r="K914" s="27" t="n">
        <v>1574521</v>
      </c>
      <c r="L914" s="9" t="n">
        <f aca="false">IF(AND(K914&lt;&gt;"",J914&lt;Assumptions!$B$3*K914),K914,J914)</f>
        <v>1573976</v>
      </c>
      <c r="M914" s="21" t="str">
        <f aca="false">IF(L914=J914,"FERC Form 1","EIA-861")</f>
        <v>FERC Form 1</v>
      </c>
      <c r="N914" s="28" t="n">
        <f aca="false">E914+F914+G914</f>
        <v>554.722854</v>
      </c>
    </row>
    <row r="915" customFormat="false" ht="15" hidden="false" customHeight="false" outlineLevel="0" collapsed="false">
      <c r="A915" s="7" t="n">
        <v>2012</v>
      </c>
      <c r="B915" s="15" t="s">
        <v>129</v>
      </c>
      <c r="C915" s="15" t="s">
        <v>118</v>
      </c>
      <c r="D915" s="15" t="s">
        <v>107</v>
      </c>
      <c r="E915" s="19" t="n">
        <v>233.081966</v>
      </c>
      <c r="F915" s="19" t="n">
        <v>229.963684</v>
      </c>
      <c r="G915" s="19" t="n">
        <v>105.306292</v>
      </c>
      <c r="H915" s="19" t="n">
        <v>223.782857</v>
      </c>
      <c r="I915" s="19" t="n">
        <v>4895.539085</v>
      </c>
      <c r="J915" s="27" t="n">
        <v>1578200</v>
      </c>
      <c r="K915" s="27" t="n">
        <v>1579058</v>
      </c>
      <c r="L915" s="9" t="n">
        <f aca="false">IF(AND(K915&lt;&gt;"",J915&lt;Assumptions!$B$3*K915),K915,J915)</f>
        <v>1578200</v>
      </c>
      <c r="M915" s="21" t="str">
        <f aca="false">IF(L915=J915,"FERC Form 1","EIA-861")</f>
        <v>FERC Form 1</v>
      </c>
      <c r="N915" s="28" t="n">
        <f aca="false">E915+F915+G915</f>
        <v>568.351942</v>
      </c>
    </row>
    <row r="916" customFormat="false" ht="15" hidden="false" customHeight="false" outlineLevel="0" collapsed="false">
      <c r="A916" s="7" t="n">
        <v>2013</v>
      </c>
      <c r="B916" s="15" t="s">
        <v>129</v>
      </c>
      <c r="C916" s="15" t="s">
        <v>118</v>
      </c>
      <c r="D916" s="15" t="s">
        <v>107</v>
      </c>
      <c r="E916" s="19" t="n">
        <v>200.354146</v>
      </c>
      <c r="F916" s="19" t="n">
        <v>214.637444</v>
      </c>
      <c r="G916" s="19" t="n">
        <v>112.3633</v>
      </c>
      <c r="H916" s="19" t="n">
        <v>306.219588</v>
      </c>
      <c r="I916" s="19" t="n">
        <v>5140.507977</v>
      </c>
      <c r="J916" s="27" t="n">
        <v>1582153</v>
      </c>
      <c r="K916" s="27" t="n">
        <v>1582929</v>
      </c>
      <c r="L916" s="9" t="n">
        <f aca="false">IF(AND(K916&lt;&gt;"",J916&lt;Assumptions!$B$3*K916),K916,J916)</f>
        <v>1582153</v>
      </c>
      <c r="M916" s="21" t="str">
        <f aca="false">IF(L916=J916,"FERC Form 1","EIA-861")</f>
        <v>FERC Form 1</v>
      </c>
      <c r="N916" s="28" t="n">
        <f aca="false">E916+F916+G916</f>
        <v>527.35489</v>
      </c>
    </row>
    <row r="917" customFormat="false" ht="15" hidden="false" customHeight="false" outlineLevel="0" collapsed="false">
      <c r="A917" s="7" t="n">
        <v>2014</v>
      </c>
      <c r="B917" s="15" t="s">
        <v>129</v>
      </c>
      <c r="C917" s="15" t="s">
        <v>118</v>
      </c>
      <c r="D917" s="15" t="s">
        <v>107</v>
      </c>
      <c r="E917" s="19" t="n">
        <v>315.412482</v>
      </c>
      <c r="F917" s="19" t="n">
        <v>213.239882</v>
      </c>
      <c r="G917" s="19" t="n">
        <v>119.303039</v>
      </c>
      <c r="H917" s="19" t="n">
        <v>329.378974</v>
      </c>
      <c r="I917" s="19" t="n">
        <v>5290.49483</v>
      </c>
      <c r="J917" s="27" t="n">
        <v>1590478</v>
      </c>
      <c r="K917" s="27" t="n">
        <v>1591389</v>
      </c>
      <c r="L917" s="9" t="n">
        <f aca="false">IF(AND(K917&lt;&gt;"",J917&lt;Assumptions!$B$3*K917),K917,J917)</f>
        <v>1590478</v>
      </c>
      <c r="M917" s="21" t="str">
        <f aca="false">IF(L917=J917,"FERC Form 1","EIA-861")</f>
        <v>FERC Form 1</v>
      </c>
      <c r="N917" s="28" t="n">
        <f aca="false">E917+F917+G917</f>
        <v>647.955403</v>
      </c>
    </row>
    <row r="918" customFormat="false" ht="15" hidden="false" customHeight="false" outlineLevel="0" collapsed="false">
      <c r="A918" s="7" t="n">
        <v>2015</v>
      </c>
      <c r="B918" s="15" t="s">
        <v>129</v>
      </c>
      <c r="C918" s="15" t="s">
        <v>118</v>
      </c>
      <c r="D918" s="15" t="s">
        <v>107</v>
      </c>
      <c r="E918" s="19" t="n">
        <v>248.455524</v>
      </c>
      <c r="F918" s="19" t="n">
        <v>191.171257</v>
      </c>
      <c r="G918" s="19" t="n">
        <v>124.27537</v>
      </c>
      <c r="H918" s="19" t="n">
        <v>272.950714</v>
      </c>
      <c r="I918" s="19" t="n">
        <v>5538.991662</v>
      </c>
      <c r="J918" s="27" t="n">
        <v>1601219</v>
      </c>
      <c r="K918" s="27" t="n">
        <v>1601669</v>
      </c>
      <c r="L918" s="9" t="n">
        <f aca="false">IF(AND(K918&lt;&gt;"",J918&lt;Assumptions!$B$3*K918),K918,J918)</f>
        <v>1601219</v>
      </c>
      <c r="M918" s="21" t="str">
        <f aca="false">IF(L918=J918,"FERC Form 1","EIA-861")</f>
        <v>FERC Form 1</v>
      </c>
      <c r="N918" s="28" t="n">
        <f aca="false">E918+F918+G918</f>
        <v>563.902151</v>
      </c>
    </row>
    <row r="919" customFormat="false" ht="15" hidden="false" customHeight="false" outlineLevel="0" collapsed="false">
      <c r="A919" s="7" t="n">
        <v>2016</v>
      </c>
      <c r="B919" s="15" t="s">
        <v>129</v>
      </c>
      <c r="C919" s="15" t="s">
        <v>118</v>
      </c>
      <c r="D919" s="15" t="s">
        <v>107</v>
      </c>
      <c r="E919" s="19" t="n">
        <v>261.731016</v>
      </c>
      <c r="F919" s="19" t="n">
        <v>181.480259</v>
      </c>
      <c r="G919" s="19" t="n">
        <v>123.11499</v>
      </c>
      <c r="H919" s="19" t="n">
        <v>261.060508</v>
      </c>
      <c r="I919" s="19" t="n">
        <v>5771.083168</v>
      </c>
      <c r="J919" s="27" t="n">
        <v>1613041</v>
      </c>
      <c r="K919" s="27" t="n">
        <v>1613290</v>
      </c>
      <c r="L919" s="9" t="n">
        <f aca="false">IF(AND(K919&lt;&gt;"",J919&lt;Assumptions!$B$3*K919),K919,J919)</f>
        <v>1613041</v>
      </c>
      <c r="M919" s="21" t="str">
        <f aca="false">IF(L919=J919,"FERC Form 1","EIA-861")</f>
        <v>FERC Form 1</v>
      </c>
      <c r="N919" s="28" t="n">
        <f aca="false">E919+F919+G919</f>
        <v>566.326265</v>
      </c>
    </row>
    <row r="920" customFormat="false" ht="15" hidden="false" customHeight="false" outlineLevel="0" collapsed="false">
      <c r="A920" s="7" t="n">
        <v>2017</v>
      </c>
      <c r="B920" s="15" t="s">
        <v>129</v>
      </c>
      <c r="C920" s="15" t="s">
        <v>118</v>
      </c>
      <c r="D920" s="15" t="s">
        <v>107</v>
      </c>
      <c r="E920" s="19" t="n">
        <v>262.334828</v>
      </c>
      <c r="F920" s="19" t="n">
        <v>166.316921</v>
      </c>
      <c r="G920" s="19" t="n">
        <v>127.346289</v>
      </c>
      <c r="H920" s="19" t="n">
        <v>281.031703</v>
      </c>
      <c r="I920" s="19" t="n">
        <v>6019.876133</v>
      </c>
      <c r="J920" s="27" t="n">
        <v>1626898</v>
      </c>
      <c r="K920" s="27" t="n">
        <v>1626679</v>
      </c>
      <c r="L920" s="9" t="n">
        <f aca="false">IF(AND(K920&lt;&gt;"",J920&lt;Assumptions!$B$3*K920),K920,J920)</f>
        <v>1626898</v>
      </c>
      <c r="M920" s="21" t="str">
        <f aca="false">IF(L920=J920,"FERC Form 1","EIA-861")</f>
        <v>FERC Form 1</v>
      </c>
      <c r="N920" s="28" t="n">
        <f aca="false">E920+F920+G920</f>
        <v>555.998038</v>
      </c>
    </row>
    <row r="921" customFormat="false" ht="15" hidden="false" customHeight="false" outlineLevel="0" collapsed="false">
      <c r="A921" s="7" t="n">
        <v>2018</v>
      </c>
      <c r="B921" s="15" t="s">
        <v>129</v>
      </c>
      <c r="C921" s="15" t="s">
        <v>118</v>
      </c>
      <c r="D921" s="15" t="s">
        <v>107</v>
      </c>
      <c r="E921" s="19" t="n">
        <v>334.461898</v>
      </c>
      <c r="F921" s="19" t="n">
        <v>180.027846</v>
      </c>
      <c r="G921" s="19" t="n">
        <v>133.974454</v>
      </c>
      <c r="H921" s="19" t="n">
        <v>340.861545</v>
      </c>
      <c r="I921" s="19" t="n">
        <v>6320.071117</v>
      </c>
      <c r="J921" s="27" t="n">
        <v>1640278</v>
      </c>
      <c r="K921" s="27" t="n">
        <v>1640812</v>
      </c>
      <c r="L921" s="9" t="n">
        <f aca="false">IF(AND(K921&lt;&gt;"",J921&lt;Assumptions!$B$3*K921),K921,J921)</f>
        <v>1640278</v>
      </c>
      <c r="M921" s="21" t="str">
        <f aca="false">IF(L921=J921,"FERC Form 1","EIA-861")</f>
        <v>FERC Form 1</v>
      </c>
      <c r="N921" s="28" t="n">
        <f aca="false">E921+F921+G921</f>
        <v>648.464198</v>
      </c>
    </row>
    <row r="922" customFormat="false" ht="15" hidden="false" customHeight="false" outlineLevel="0" collapsed="false">
      <c r="A922" s="7" t="n">
        <v>2019</v>
      </c>
      <c r="B922" s="15" t="s">
        <v>129</v>
      </c>
      <c r="C922" s="15" t="s">
        <v>118</v>
      </c>
      <c r="D922" s="15" t="s">
        <v>107</v>
      </c>
      <c r="E922" s="19" t="n">
        <v>315.741932</v>
      </c>
      <c r="F922" s="19" t="n">
        <v>189.091378</v>
      </c>
      <c r="G922" s="19" t="n">
        <v>143.296367</v>
      </c>
      <c r="H922" s="19" t="n">
        <v>518.700227</v>
      </c>
      <c r="I922" s="19" t="n">
        <v>6794.556779</v>
      </c>
      <c r="J922" s="27" t="n">
        <v>1654006</v>
      </c>
      <c r="K922" s="27" t="n">
        <v>1654391</v>
      </c>
      <c r="L922" s="9" t="n">
        <f aca="false">IF(AND(K922&lt;&gt;"",J922&lt;Assumptions!$B$3*K922),K922,J922)</f>
        <v>1654006</v>
      </c>
      <c r="M922" s="21" t="str">
        <f aca="false">IF(L922=J922,"FERC Form 1","EIA-861")</f>
        <v>FERC Form 1</v>
      </c>
      <c r="N922" s="28" t="n">
        <f aca="false">E922+F922+G922</f>
        <v>648.129677</v>
      </c>
    </row>
    <row r="923" customFormat="false" ht="15" hidden="false" customHeight="false" outlineLevel="0" collapsed="false">
      <c r="A923" s="7" t="n">
        <v>2020</v>
      </c>
      <c r="B923" s="15" t="s">
        <v>129</v>
      </c>
      <c r="C923" s="15" t="s">
        <v>118</v>
      </c>
      <c r="D923" s="15" t="s">
        <v>107</v>
      </c>
      <c r="E923" s="19" t="n">
        <v>411.616941</v>
      </c>
      <c r="F923" s="19" t="n">
        <v>182.7798</v>
      </c>
      <c r="G923" s="19" t="n">
        <v>150.085204</v>
      </c>
      <c r="H923" s="19" t="n">
        <v>492.752793</v>
      </c>
      <c r="I923" s="19" t="n">
        <v>7222.986645</v>
      </c>
      <c r="J923" s="27" t="n">
        <v>1668979</v>
      </c>
      <c r="K923" s="27" t="n">
        <v>1669748</v>
      </c>
      <c r="L923" s="9" t="n">
        <f aca="false">IF(AND(K923&lt;&gt;"",J923&lt;Assumptions!$B$3*K923),K923,J923)</f>
        <v>1668979</v>
      </c>
      <c r="M923" s="21" t="str">
        <f aca="false">IF(L923=J923,"FERC Form 1","EIA-861")</f>
        <v>FERC Form 1</v>
      </c>
      <c r="N923" s="28" t="n">
        <f aca="false">E923+F923+G923</f>
        <v>744.481945</v>
      </c>
    </row>
    <row r="924" customFormat="false" ht="15" hidden="false" customHeight="false" outlineLevel="0" collapsed="false">
      <c r="A924" s="7" t="n">
        <v>2021</v>
      </c>
      <c r="B924" s="15" t="s">
        <v>129</v>
      </c>
      <c r="C924" s="15" t="s">
        <v>118</v>
      </c>
      <c r="D924" s="15" t="s">
        <v>107</v>
      </c>
      <c r="E924" s="19" t="n">
        <v>358.282399</v>
      </c>
      <c r="F924" s="19" t="n">
        <v>190.245794</v>
      </c>
      <c r="G924" s="19" t="n">
        <v>158.588363</v>
      </c>
      <c r="H924" s="19" t="n">
        <v>592.154304</v>
      </c>
      <c r="I924" s="19" t="n">
        <v>7755.823316</v>
      </c>
      <c r="J924" s="27" t="n">
        <v>1681439</v>
      </c>
      <c r="K924" s="27" t="n">
        <v>1682172</v>
      </c>
      <c r="L924" s="9" t="n">
        <f aca="false">IF(AND(K924&lt;&gt;"",J924&lt;Assumptions!$B$3*K924),K924,J924)</f>
        <v>1681439</v>
      </c>
      <c r="M924" s="21" t="str">
        <f aca="false">IF(L924=J924,"FERC Form 1","EIA-861")</f>
        <v>FERC Form 1</v>
      </c>
      <c r="N924" s="28" t="n">
        <f aca="false">E924+F924+G924</f>
        <v>707.116556</v>
      </c>
    </row>
    <row r="925" customFormat="false" ht="15" hidden="false" customHeight="false" outlineLevel="0" collapsed="false">
      <c r="A925" s="7" t="n">
        <v>2022</v>
      </c>
      <c r="B925" s="15" t="s">
        <v>129</v>
      </c>
      <c r="C925" s="15" t="s">
        <v>118</v>
      </c>
      <c r="D925" s="15" t="s">
        <v>107</v>
      </c>
      <c r="E925" s="19" t="n">
        <v>349.747819</v>
      </c>
      <c r="F925" s="19" t="n">
        <v>210.526964</v>
      </c>
      <c r="G925" s="19" t="n">
        <v>168.769889</v>
      </c>
      <c r="H925" s="19" t="n">
        <v>625.152923</v>
      </c>
      <c r="I925" s="19" t="n">
        <v>8297.078373</v>
      </c>
      <c r="J925" s="27" t="n">
        <v>1690627</v>
      </c>
      <c r="K925" s="27" t="n">
        <v>1691292</v>
      </c>
      <c r="L925" s="9" t="n">
        <f aca="false">IF(AND(K925&lt;&gt;"",J925&lt;Assumptions!$B$3*K925),K925,J925)</f>
        <v>1690627</v>
      </c>
      <c r="M925" s="21" t="str">
        <f aca="false">IF(L925=J925,"FERC Form 1","EIA-861")</f>
        <v>FERC Form 1</v>
      </c>
      <c r="N925" s="28" t="n">
        <f aca="false">E925+F925+G925</f>
        <v>729.044672</v>
      </c>
    </row>
    <row r="926" customFormat="false" ht="15" hidden="false" customHeight="false" outlineLevel="0" collapsed="false">
      <c r="A926" s="7" t="n">
        <v>2023</v>
      </c>
      <c r="B926" s="15" t="s">
        <v>129</v>
      </c>
      <c r="C926" s="15" t="s">
        <v>118</v>
      </c>
      <c r="D926" s="15" t="s">
        <v>107</v>
      </c>
      <c r="E926" s="19" t="n">
        <v>356.03365</v>
      </c>
      <c r="F926" s="19" t="n">
        <v>234.779156</v>
      </c>
      <c r="G926" s="19" t="n">
        <v>181.4192</v>
      </c>
      <c r="H926" s="19" t="n">
        <v>639.987041</v>
      </c>
      <c r="I926" s="19" t="n">
        <v>8859.033727</v>
      </c>
      <c r="J926" s="27" t="n">
        <v>1700223</v>
      </c>
      <c r="K926" s="27" t="n">
        <v>1700250</v>
      </c>
      <c r="L926" s="9" t="n">
        <f aca="false">IF(AND(K926&lt;&gt;"",J926&lt;Assumptions!$B$3*K926),K926,J926)</f>
        <v>1700223</v>
      </c>
      <c r="M926" s="21" t="str">
        <f aca="false">IF(L926=J926,"FERC Form 1","EIA-861")</f>
        <v>FERC Form 1</v>
      </c>
      <c r="N926" s="28" t="n">
        <f aca="false">E926+F926+G926</f>
        <v>772.232006</v>
      </c>
    </row>
    <row r="927" customFormat="false" ht="15" hidden="false" customHeight="false" outlineLevel="0" collapsed="false">
      <c r="A927" s="7" t="n">
        <v>2024</v>
      </c>
      <c r="B927" s="15" t="s">
        <v>129</v>
      </c>
      <c r="C927" s="15" t="s">
        <v>118</v>
      </c>
      <c r="D927" s="15" t="s">
        <v>107</v>
      </c>
      <c r="E927" s="19" t="n">
        <v>366.073189</v>
      </c>
      <c r="F927" s="19" t="n">
        <v>307.712013</v>
      </c>
      <c r="G927" s="19" t="n">
        <v>195.581765</v>
      </c>
      <c r="H927" s="19" t="n">
        <v>906.03683</v>
      </c>
      <c r="I927" s="19" t="n">
        <v>9625.395061</v>
      </c>
      <c r="J927" s="27" t="n">
        <v>1704093</v>
      </c>
      <c r="K927" s="27" t="n">
        <v>1706299</v>
      </c>
      <c r="L927" s="9" t="n">
        <f aca="false">IF(AND(K927&lt;&gt;"",J927&lt;Assumptions!$B$3*K927),K927,J927)</f>
        <v>1704093</v>
      </c>
      <c r="M927" s="21" t="str">
        <f aca="false">IF(L927=J927,"FERC Form 1","EIA-861")</f>
        <v>FERC Form 1</v>
      </c>
      <c r="N927" s="28" t="n">
        <f aca="false">E927+F927+G927</f>
        <v>869.366967</v>
      </c>
    </row>
    <row r="928" customFormat="false" ht="15" hidden="false" customHeight="false" outlineLevel="0" collapsed="false">
      <c r="A928" s="7" t="n">
        <v>2025</v>
      </c>
      <c r="B928" s="15" t="s">
        <v>129</v>
      </c>
      <c r="C928" s="15" t="s">
        <v>118</v>
      </c>
      <c r="D928" s="15" t="s">
        <v>107</v>
      </c>
      <c r="E928" s="19" t="n">
        <v>400.00124</v>
      </c>
      <c r="F928" s="19" t="n">
        <v>294.04298</v>
      </c>
      <c r="G928" s="19" t="n">
        <v>252.57866</v>
      </c>
      <c r="H928" s="19" t="n">
        <v>1118.322034</v>
      </c>
      <c r="I928" s="19" t="n">
        <v>10893.095623</v>
      </c>
      <c r="J928" s="27" t="n">
        <v>1706342</v>
      </c>
      <c r="K928" s="27" t="n">
        <v>1708048</v>
      </c>
      <c r="L928" s="9" t="n">
        <f aca="false">IF(AND(K928&lt;&gt;"",J928&lt;Assumptions!$B$3*K928),K928,J928)</f>
        <v>1706342</v>
      </c>
      <c r="M928" s="21" t="str">
        <f aca="false">IF(L928=J928,"FERC Form 1","EIA-861")</f>
        <v>FERC Form 1</v>
      </c>
      <c r="N928" s="28" t="n">
        <f aca="false">E928+F928+G928</f>
        <v>946.62288</v>
      </c>
    </row>
    <row r="929" customFormat="false" ht="15" hidden="false" customHeight="false" outlineLevel="0" collapsed="false">
      <c r="A929" s="7" t="n">
        <v>2000</v>
      </c>
      <c r="B929" s="15" t="s">
        <v>130</v>
      </c>
      <c r="C929" s="15" t="s">
        <v>118</v>
      </c>
      <c r="D929" s="15" t="s">
        <v>107</v>
      </c>
      <c r="E929" s="19" t="n">
        <v>109.780592</v>
      </c>
      <c r="F929" s="19" t="n">
        <v>68.518118</v>
      </c>
      <c r="G929" s="19" t="n">
        <v>80.830281</v>
      </c>
      <c r="H929" s="19" t="n">
        <v>110.995037</v>
      </c>
      <c r="I929" s="19" t="n">
        <v>3138.386287</v>
      </c>
      <c r="J929" s="27" t="n">
        <v>1273336</v>
      </c>
      <c r="K929" s="27"/>
      <c r="L929" s="9" t="n">
        <f aca="false">IF(AND(K929&lt;&gt;"",J929&lt;Assumptions!$B$3*K929),K929,J929)</f>
        <v>1273336</v>
      </c>
      <c r="M929" s="21" t="str">
        <f aca="false">IF(L929=J929,"FERC Form 1","EIA-861")</f>
        <v>FERC Form 1</v>
      </c>
      <c r="N929" s="28" t="n">
        <f aca="false">E929+F929+G929</f>
        <v>259.128991</v>
      </c>
    </row>
    <row r="930" customFormat="false" ht="15" hidden="false" customHeight="false" outlineLevel="0" collapsed="false">
      <c r="A930" s="7" t="n">
        <v>2001</v>
      </c>
      <c r="B930" s="15" t="s">
        <v>130</v>
      </c>
      <c r="C930" s="15" t="s">
        <v>118</v>
      </c>
      <c r="D930" s="15" t="s">
        <v>107</v>
      </c>
      <c r="E930" s="19" t="n">
        <v>101.222537</v>
      </c>
      <c r="F930" s="19" t="n">
        <v>54.564902</v>
      </c>
      <c r="G930" s="19" t="n">
        <v>75.771522</v>
      </c>
      <c r="H930" s="19" t="n">
        <v>112.681261</v>
      </c>
      <c r="I930" s="19" t="n">
        <v>3003.641684</v>
      </c>
      <c r="J930" s="27" t="n">
        <v>1291209</v>
      </c>
      <c r="K930" s="27"/>
      <c r="L930" s="9" t="n">
        <f aca="false">IF(AND(K930&lt;&gt;"",J930&lt;Assumptions!$B$3*K930),K930,J930)</f>
        <v>1291209</v>
      </c>
      <c r="M930" s="21" t="str">
        <f aca="false">IF(L930=J930,"FERC Form 1","EIA-861")</f>
        <v>FERC Form 1</v>
      </c>
      <c r="N930" s="28" t="n">
        <f aca="false">E930+F930+G930</f>
        <v>231.558961</v>
      </c>
    </row>
    <row r="931" customFormat="false" ht="15" hidden="false" customHeight="false" outlineLevel="0" collapsed="false">
      <c r="A931" s="7" t="n">
        <v>2002</v>
      </c>
      <c r="B931" s="15" t="s">
        <v>130</v>
      </c>
      <c r="C931" s="15" t="s">
        <v>118</v>
      </c>
      <c r="D931" s="15" t="s">
        <v>107</v>
      </c>
      <c r="E931" s="19" t="n">
        <v>117.875976</v>
      </c>
      <c r="F931" s="19" t="n">
        <v>62.553687</v>
      </c>
      <c r="G931" s="19" t="n">
        <v>70.367207</v>
      </c>
      <c r="H931" s="19" t="n">
        <v>168.624584</v>
      </c>
      <c r="I931" s="19" t="n">
        <v>2805.791132</v>
      </c>
      <c r="J931" s="27" t="n">
        <v>1299183</v>
      </c>
      <c r="K931" s="27"/>
      <c r="L931" s="9" t="n">
        <f aca="false">IF(AND(K931&lt;&gt;"",J931&lt;Assumptions!$B$3*K931),K931,J931)</f>
        <v>1299183</v>
      </c>
      <c r="M931" s="21" t="str">
        <f aca="false">IF(L931=J931,"FERC Form 1","EIA-861")</f>
        <v>FERC Form 1</v>
      </c>
      <c r="N931" s="28" t="n">
        <f aca="false">E931+F931+G931</f>
        <v>250.79687</v>
      </c>
    </row>
    <row r="932" customFormat="false" ht="15" hidden="false" customHeight="false" outlineLevel="0" collapsed="false">
      <c r="A932" s="7" t="n">
        <v>2003</v>
      </c>
      <c r="B932" s="15" t="s">
        <v>130</v>
      </c>
      <c r="C932" s="15" t="s">
        <v>118</v>
      </c>
      <c r="D932" s="15" t="s">
        <v>107</v>
      </c>
      <c r="E932" s="19" t="n">
        <v>122.9535</v>
      </c>
      <c r="F932" s="19" t="n">
        <v>66.0862</v>
      </c>
      <c r="G932" s="19" t="n">
        <v>73.574671</v>
      </c>
      <c r="H932" s="19" t="n">
        <v>187.18689</v>
      </c>
      <c r="I932" s="19" t="n">
        <v>2966.082916</v>
      </c>
      <c r="J932" s="27" t="n">
        <v>1317327</v>
      </c>
      <c r="K932" s="27"/>
      <c r="L932" s="9" t="n">
        <f aca="false">IF(AND(K932&lt;&gt;"",J932&lt;Assumptions!$B$3*K932),K932,J932)</f>
        <v>1317327</v>
      </c>
      <c r="M932" s="21" t="str">
        <f aca="false">IF(L932=J932,"FERC Form 1","EIA-861")</f>
        <v>FERC Form 1</v>
      </c>
      <c r="N932" s="28" t="n">
        <f aca="false">E932+F932+G932</f>
        <v>262.614371</v>
      </c>
    </row>
    <row r="933" customFormat="false" ht="15" hidden="false" customHeight="false" outlineLevel="0" collapsed="false">
      <c r="A933" s="7" t="n">
        <v>2004</v>
      </c>
      <c r="B933" s="15" t="s">
        <v>130</v>
      </c>
      <c r="C933" s="15" t="s">
        <v>118</v>
      </c>
      <c r="D933" s="15" t="s">
        <v>107</v>
      </c>
      <c r="E933" s="19" t="n">
        <v>124.537112</v>
      </c>
      <c r="F933" s="19" t="n">
        <v>62.525557</v>
      </c>
      <c r="G933" s="19" t="n">
        <v>78.405784</v>
      </c>
      <c r="H933" s="19" t="n">
        <v>133.765313</v>
      </c>
      <c r="I933" s="19" t="n">
        <v>3085.123432</v>
      </c>
      <c r="J933" s="27" t="n">
        <v>1344373</v>
      </c>
      <c r="K933" s="27"/>
      <c r="L933" s="9" t="n">
        <f aca="false">IF(AND(K933&lt;&gt;"",J933&lt;Assumptions!$B$3*K933),K933,J933)</f>
        <v>1344373</v>
      </c>
      <c r="M933" s="21" t="str">
        <f aca="false">IF(L933=J933,"FERC Form 1","EIA-861")</f>
        <v>FERC Form 1</v>
      </c>
      <c r="N933" s="28" t="n">
        <f aca="false">E933+F933+G933</f>
        <v>265.468453</v>
      </c>
    </row>
    <row r="934" customFormat="false" ht="15" hidden="false" customHeight="false" outlineLevel="0" collapsed="false">
      <c r="A934" s="7" t="n">
        <v>2005</v>
      </c>
      <c r="B934" s="15" t="s">
        <v>130</v>
      </c>
      <c r="C934" s="15" t="s">
        <v>118</v>
      </c>
      <c r="D934" s="15" t="s">
        <v>107</v>
      </c>
      <c r="E934" s="19" t="n">
        <v>126.359453</v>
      </c>
      <c r="F934" s="19" t="n">
        <v>60.916004</v>
      </c>
      <c r="G934" s="19" t="n">
        <v>81.40615</v>
      </c>
      <c r="H934" s="19" t="n">
        <v>129.976016</v>
      </c>
      <c r="I934" s="19" t="n">
        <v>3185.387772</v>
      </c>
      <c r="J934" s="27" t="n">
        <v>1361407</v>
      </c>
      <c r="K934" s="27"/>
      <c r="L934" s="9" t="n">
        <f aca="false">IF(AND(K934&lt;&gt;"",J934&lt;Assumptions!$B$3*K934),K934,J934)</f>
        <v>1361407</v>
      </c>
      <c r="M934" s="21" t="str">
        <f aca="false">IF(L934=J934,"FERC Form 1","EIA-861")</f>
        <v>FERC Form 1</v>
      </c>
      <c r="N934" s="28" t="n">
        <f aca="false">E934+F934+G934</f>
        <v>268.681607</v>
      </c>
    </row>
    <row r="935" customFormat="false" ht="15" hidden="false" customHeight="false" outlineLevel="0" collapsed="false">
      <c r="A935" s="7" t="n">
        <v>2006</v>
      </c>
      <c r="B935" s="15" t="s">
        <v>130</v>
      </c>
      <c r="C935" s="15" t="s">
        <v>118</v>
      </c>
      <c r="D935" s="15" t="s">
        <v>107</v>
      </c>
      <c r="E935" s="19" t="n">
        <v>141.934559</v>
      </c>
      <c r="F935" s="19" t="n">
        <v>65.085134</v>
      </c>
      <c r="G935" s="19" t="n">
        <v>84.208877</v>
      </c>
      <c r="H935" s="19" t="n">
        <v>144.409705</v>
      </c>
      <c r="I935" s="19" t="n">
        <v>3305.258645</v>
      </c>
      <c r="J935" s="27" t="n">
        <v>1374143</v>
      </c>
      <c r="K935" s="27"/>
      <c r="L935" s="9" t="n">
        <f aca="false">IF(AND(K935&lt;&gt;"",J935&lt;Assumptions!$B$3*K935),K935,J935)</f>
        <v>1374143</v>
      </c>
      <c r="M935" s="21" t="str">
        <f aca="false">IF(L935=J935,"FERC Form 1","EIA-861")</f>
        <v>FERC Form 1</v>
      </c>
      <c r="N935" s="28" t="n">
        <f aca="false">E935+F935+G935</f>
        <v>291.22857</v>
      </c>
    </row>
    <row r="936" customFormat="false" ht="15" hidden="false" customHeight="false" outlineLevel="0" collapsed="false">
      <c r="A936" s="7" t="n">
        <v>2007</v>
      </c>
      <c r="B936" s="15" t="s">
        <v>130</v>
      </c>
      <c r="C936" s="15" t="s">
        <v>118</v>
      </c>
      <c r="D936" s="15" t="s">
        <v>107</v>
      </c>
      <c r="E936" s="19" t="n">
        <v>148.145878</v>
      </c>
      <c r="F936" s="19" t="n">
        <v>71.933615</v>
      </c>
      <c r="G936" s="19" t="n">
        <v>88.261024</v>
      </c>
      <c r="H936" s="19" t="n">
        <v>141.163104</v>
      </c>
      <c r="I936" s="19" t="n">
        <v>3414.497034</v>
      </c>
      <c r="J936" s="27" t="n">
        <v>1385081</v>
      </c>
      <c r="K936" s="27"/>
      <c r="L936" s="9" t="n">
        <f aca="false">IF(AND(K936&lt;&gt;"",J936&lt;Assumptions!$B$3*K936),K936,J936)</f>
        <v>1385081</v>
      </c>
      <c r="M936" s="21" t="str">
        <f aca="false">IF(L936=J936,"FERC Form 1","EIA-861")</f>
        <v>FERC Form 1</v>
      </c>
      <c r="N936" s="28" t="n">
        <f aca="false">E936+F936+G936</f>
        <v>308.340517</v>
      </c>
    </row>
    <row r="937" customFormat="false" ht="15" hidden="false" customHeight="false" outlineLevel="0" collapsed="false">
      <c r="A937" s="7" t="n">
        <v>2008</v>
      </c>
      <c r="B937" s="15" t="s">
        <v>130</v>
      </c>
      <c r="C937" s="15" t="s">
        <v>118</v>
      </c>
      <c r="D937" s="15" t="s">
        <v>107</v>
      </c>
      <c r="E937" s="19" t="n">
        <v>147.16041</v>
      </c>
      <c r="F937" s="19" t="n">
        <v>81.454825</v>
      </c>
      <c r="G937" s="19" t="n">
        <v>89.724206</v>
      </c>
      <c r="H937" s="19" t="n">
        <v>159.97897</v>
      </c>
      <c r="I937" s="19" t="n">
        <v>3538.289927</v>
      </c>
      <c r="J937" s="27" t="n">
        <v>1392441</v>
      </c>
      <c r="K937" s="27"/>
      <c r="L937" s="9" t="n">
        <f aca="false">IF(AND(K937&lt;&gt;"",J937&lt;Assumptions!$B$3*K937),K937,J937)</f>
        <v>1392441</v>
      </c>
      <c r="M937" s="21" t="str">
        <f aca="false">IF(L937=J937,"FERC Form 1","EIA-861")</f>
        <v>FERC Form 1</v>
      </c>
      <c r="N937" s="28" t="n">
        <f aca="false">E937+F937+G937</f>
        <v>318.339441</v>
      </c>
    </row>
    <row r="938" customFormat="false" ht="15" hidden="false" customHeight="false" outlineLevel="0" collapsed="false">
      <c r="A938" s="7" t="n">
        <v>2009</v>
      </c>
      <c r="B938" s="15" t="s">
        <v>130</v>
      </c>
      <c r="C938" s="15" t="s">
        <v>118</v>
      </c>
      <c r="D938" s="15" t="s">
        <v>107</v>
      </c>
      <c r="E938" s="19" t="n">
        <v>126.151294</v>
      </c>
      <c r="F938" s="19" t="n">
        <v>89.705587</v>
      </c>
      <c r="G938" s="19" t="n">
        <v>87.089871</v>
      </c>
      <c r="H938" s="19" t="n">
        <v>147.671452</v>
      </c>
      <c r="I938" s="19" t="n">
        <v>3660.881066</v>
      </c>
      <c r="J938" s="27" t="n">
        <v>1397730</v>
      </c>
      <c r="K938" s="27"/>
      <c r="L938" s="9" t="n">
        <f aca="false">IF(AND(K938&lt;&gt;"",J938&lt;Assumptions!$B$3*K938),K938,J938)</f>
        <v>1397730</v>
      </c>
      <c r="M938" s="21" t="str">
        <f aca="false">IF(L938=J938,"FERC Form 1","EIA-861")</f>
        <v>FERC Form 1</v>
      </c>
      <c r="N938" s="28" t="n">
        <f aca="false">E938+F938+G938</f>
        <v>302.946752</v>
      </c>
    </row>
    <row r="939" customFormat="false" ht="15" hidden="false" customHeight="false" outlineLevel="0" collapsed="false">
      <c r="A939" s="7" t="n">
        <v>2010</v>
      </c>
      <c r="B939" s="15" t="s">
        <v>130</v>
      </c>
      <c r="C939" s="15" t="s">
        <v>118</v>
      </c>
      <c r="D939" s="15" t="s">
        <v>107</v>
      </c>
      <c r="E939" s="19" t="n">
        <v>142.377661</v>
      </c>
      <c r="F939" s="19" t="n">
        <v>154.577971</v>
      </c>
      <c r="G939" s="19" t="n">
        <v>90.964177</v>
      </c>
      <c r="H939" s="19" t="n">
        <v>195.761274</v>
      </c>
      <c r="I939" s="19" t="n">
        <v>3834.167137</v>
      </c>
      <c r="J939" s="27" t="n">
        <v>1401657</v>
      </c>
      <c r="K939" s="27"/>
      <c r="L939" s="9" t="n">
        <f aca="false">IF(AND(K939&lt;&gt;"",J939&lt;Assumptions!$B$3*K939),K939,J939)</f>
        <v>1401657</v>
      </c>
      <c r="M939" s="21" t="str">
        <f aca="false">IF(L939=J939,"FERC Form 1","EIA-861")</f>
        <v>FERC Form 1</v>
      </c>
      <c r="N939" s="28" t="n">
        <f aca="false">E939+F939+G939</f>
        <v>387.919809</v>
      </c>
    </row>
    <row r="940" customFormat="false" ht="15" hidden="false" customHeight="false" outlineLevel="0" collapsed="false">
      <c r="A940" s="7" t="n">
        <v>2011</v>
      </c>
      <c r="B940" s="15" t="s">
        <v>130</v>
      </c>
      <c r="C940" s="15" t="s">
        <v>118</v>
      </c>
      <c r="D940" s="15" t="s">
        <v>107</v>
      </c>
      <c r="E940" s="19" t="n">
        <v>152.304415</v>
      </c>
      <c r="F940" s="19" t="n">
        <v>187.679686</v>
      </c>
      <c r="G940" s="19" t="n">
        <v>94.680054</v>
      </c>
      <c r="H940" s="19" t="n">
        <v>243.940328</v>
      </c>
      <c r="I940" s="19" t="n">
        <v>4053.958972</v>
      </c>
      <c r="J940" s="27" t="n">
        <v>1403889</v>
      </c>
      <c r="K940" s="27"/>
      <c r="L940" s="9" t="n">
        <f aca="false">IF(AND(K940&lt;&gt;"",J940&lt;Assumptions!$B$3*K940),K940,J940)</f>
        <v>1403889</v>
      </c>
      <c r="M940" s="21" t="str">
        <f aca="false">IF(L940=J940,"FERC Form 1","EIA-861")</f>
        <v>FERC Form 1</v>
      </c>
      <c r="N940" s="28" t="n">
        <f aca="false">E940+F940+G940</f>
        <v>434.664155</v>
      </c>
    </row>
    <row r="941" customFormat="false" ht="15" hidden="false" customHeight="false" outlineLevel="0" collapsed="false">
      <c r="A941" s="7" t="n">
        <v>2012</v>
      </c>
      <c r="B941" s="15" t="s">
        <v>130</v>
      </c>
      <c r="C941" s="15" t="s">
        <v>118</v>
      </c>
      <c r="D941" s="15" t="s">
        <v>107</v>
      </c>
      <c r="E941" s="19" t="n">
        <v>157.299767</v>
      </c>
      <c r="F941" s="19" t="n">
        <v>183.008198</v>
      </c>
      <c r="G941" s="19" t="n">
        <v>100.791828</v>
      </c>
      <c r="H941" s="19" t="n">
        <v>215.230174</v>
      </c>
      <c r="I941" s="19" t="n">
        <v>4239.947807</v>
      </c>
      <c r="J941" s="27" t="n">
        <v>1407031</v>
      </c>
      <c r="K941" s="27"/>
      <c r="L941" s="9" t="n">
        <f aca="false">IF(AND(K941&lt;&gt;"",J941&lt;Assumptions!$B$3*K941),K941,J941)</f>
        <v>1407031</v>
      </c>
      <c r="M941" s="21" t="str">
        <f aca="false">IF(L941=J941,"FERC Form 1","EIA-861")</f>
        <v>FERC Form 1</v>
      </c>
      <c r="N941" s="28" t="n">
        <f aca="false">E941+F941+G941</f>
        <v>441.099793</v>
      </c>
    </row>
    <row r="942" customFormat="false" ht="15" hidden="false" customHeight="false" outlineLevel="0" collapsed="false">
      <c r="A942" s="7" t="n">
        <v>2013</v>
      </c>
      <c r="B942" s="15" t="s">
        <v>130</v>
      </c>
      <c r="C942" s="15" t="s">
        <v>118</v>
      </c>
      <c r="D942" s="15" t="s">
        <v>107</v>
      </c>
      <c r="E942" s="19" t="n">
        <v>166.293992</v>
      </c>
      <c r="F942" s="19" t="n">
        <v>156.484841</v>
      </c>
      <c r="G942" s="19" t="n">
        <v>108.551327</v>
      </c>
      <c r="H942" s="19" t="n">
        <v>279.496248</v>
      </c>
      <c r="I942" s="19" t="n">
        <v>4500.713713</v>
      </c>
      <c r="J942" s="27" t="n">
        <v>1410556</v>
      </c>
      <c r="K942" s="27"/>
      <c r="L942" s="9" t="n">
        <f aca="false">IF(AND(K942&lt;&gt;"",J942&lt;Assumptions!$B$3*K942),K942,J942)</f>
        <v>1410556</v>
      </c>
      <c r="M942" s="21" t="str">
        <f aca="false">IF(L942=J942,"FERC Form 1","EIA-861")</f>
        <v>FERC Form 1</v>
      </c>
      <c r="N942" s="28" t="n">
        <f aca="false">E942+F942+G942</f>
        <v>431.33016</v>
      </c>
    </row>
    <row r="943" customFormat="false" ht="15" hidden="false" customHeight="false" outlineLevel="0" collapsed="false">
      <c r="A943" s="7" t="n">
        <v>2014</v>
      </c>
      <c r="B943" s="15" t="s">
        <v>130</v>
      </c>
      <c r="C943" s="15" t="s">
        <v>118</v>
      </c>
      <c r="D943" s="15" t="s">
        <v>107</v>
      </c>
      <c r="E943" s="19" t="n">
        <v>176.100791</v>
      </c>
      <c r="F943" s="19" t="n">
        <v>170.263029</v>
      </c>
      <c r="G943" s="19" t="n">
        <v>108.314318</v>
      </c>
      <c r="H943" s="19" t="n">
        <v>259.358214</v>
      </c>
      <c r="I943" s="19" t="n">
        <v>4731.91177</v>
      </c>
      <c r="J943" s="27" t="n">
        <v>1414297</v>
      </c>
      <c r="K943" s="27"/>
      <c r="L943" s="9" t="n">
        <f aca="false">IF(AND(K943&lt;&gt;"",J943&lt;Assumptions!$B$3*K943),K943,J943)</f>
        <v>1414297</v>
      </c>
      <c r="M943" s="21" t="str">
        <f aca="false">IF(L943=J943,"FERC Form 1","EIA-861")</f>
        <v>FERC Form 1</v>
      </c>
      <c r="N943" s="28" t="n">
        <f aca="false">E943+F943+G943</f>
        <v>454.678138</v>
      </c>
    </row>
    <row r="944" customFormat="false" ht="15" hidden="false" customHeight="false" outlineLevel="0" collapsed="false">
      <c r="A944" s="7" t="n">
        <v>2015</v>
      </c>
      <c r="B944" s="15" t="s">
        <v>130</v>
      </c>
      <c r="C944" s="15" t="s">
        <v>118</v>
      </c>
      <c r="D944" s="15" t="s">
        <v>107</v>
      </c>
      <c r="E944" s="19" t="n">
        <v>157.934642</v>
      </c>
      <c r="F944" s="19" t="n">
        <v>192.50032</v>
      </c>
      <c r="G944" s="19" t="n">
        <v>116.443538</v>
      </c>
      <c r="H944" s="19" t="n">
        <v>266.973187</v>
      </c>
      <c r="I944" s="19" t="n">
        <v>4954.005331</v>
      </c>
      <c r="J944" s="27" t="n">
        <v>1418528</v>
      </c>
      <c r="K944" s="27"/>
      <c r="L944" s="9" t="n">
        <f aca="false">IF(AND(K944&lt;&gt;"",J944&lt;Assumptions!$B$3*K944),K944,J944)</f>
        <v>1418528</v>
      </c>
      <c r="M944" s="21" t="str">
        <f aca="false">IF(L944=J944,"FERC Form 1","EIA-861")</f>
        <v>FERC Form 1</v>
      </c>
      <c r="N944" s="28" t="n">
        <f aca="false">E944+F944+G944</f>
        <v>466.8785</v>
      </c>
    </row>
    <row r="945" customFormat="false" ht="15" hidden="false" customHeight="false" outlineLevel="0" collapsed="false">
      <c r="A945" s="7" t="n">
        <v>2016</v>
      </c>
      <c r="B945" s="15" t="s">
        <v>130</v>
      </c>
      <c r="C945" s="15" t="s">
        <v>118</v>
      </c>
      <c r="D945" s="15" t="s">
        <v>107</v>
      </c>
      <c r="E945" s="19" t="n">
        <v>166.677161</v>
      </c>
      <c r="F945" s="19" t="n">
        <v>177.006866</v>
      </c>
      <c r="G945" s="19" t="n">
        <v>126.822374</v>
      </c>
      <c r="H945" s="19" t="n">
        <v>317.766448</v>
      </c>
      <c r="I945" s="19" t="n">
        <v>5227.72556</v>
      </c>
      <c r="J945" s="27" t="n">
        <v>1426676</v>
      </c>
      <c r="K945" s="27"/>
      <c r="L945" s="9" t="n">
        <f aca="false">IF(AND(K945&lt;&gt;"",J945&lt;Assumptions!$B$3*K945),K945,J945)</f>
        <v>1426676</v>
      </c>
      <c r="M945" s="21" t="str">
        <f aca="false">IF(L945=J945,"FERC Form 1","EIA-861")</f>
        <v>FERC Form 1</v>
      </c>
      <c r="N945" s="28" t="n">
        <f aca="false">E945+F945+G945</f>
        <v>470.506401</v>
      </c>
    </row>
    <row r="946" customFormat="false" ht="15" hidden="false" customHeight="false" outlineLevel="0" collapsed="false">
      <c r="A946" s="7" t="n">
        <v>2017</v>
      </c>
      <c r="B946" s="15" t="s">
        <v>130</v>
      </c>
      <c r="C946" s="15" t="s">
        <v>118</v>
      </c>
      <c r="D946" s="15" t="s">
        <v>107</v>
      </c>
      <c r="E946" s="19" t="n">
        <v>156.584694</v>
      </c>
      <c r="F946" s="19" t="n">
        <v>168.959078</v>
      </c>
      <c r="G946" s="19" t="n">
        <v>141.217251</v>
      </c>
      <c r="H946" s="19" t="n">
        <v>426.951014</v>
      </c>
      <c r="I946" s="19" t="n">
        <v>5512.560284</v>
      </c>
      <c r="J946" s="27" t="n">
        <v>1429090</v>
      </c>
      <c r="K946" s="27"/>
      <c r="L946" s="9" t="n">
        <f aca="false">IF(AND(K946&lt;&gt;"",J946&lt;Assumptions!$B$3*K946),K946,J946)</f>
        <v>1429090</v>
      </c>
      <c r="M946" s="21" t="str">
        <f aca="false">IF(L946=J946,"FERC Form 1","EIA-861")</f>
        <v>FERC Form 1</v>
      </c>
      <c r="N946" s="28" t="n">
        <f aca="false">E946+F946+G946</f>
        <v>466.761023</v>
      </c>
    </row>
    <row r="947" customFormat="false" ht="15" hidden="false" customHeight="false" outlineLevel="0" collapsed="false">
      <c r="A947" s="7" t="n">
        <v>2018</v>
      </c>
      <c r="B947" s="15" t="s">
        <v>130</v>
      </c>
      <c r="C947" s="15" t="s">
        <v>118</v>
      </c>
      <c r="D947" s="15" t="s">
        <v>107</v>
      </c>
      <c r="E947" s="19" t="n">
        <v>188.325829</v>
      </c>
      <c r="F947" s="19" t="n">
        <v>176.029241</v>
      </c>
      <c r="G947" s="19" t="n">
        <v>150.043715</v>
      </c>
      <c r="H947" s="19" t="n">
        <v>397.025957</v>
      </c>
      <c r="I947" s="19" t="n">
        <v>5752.227874</v>
      </c>
      <c r="J947" s="27" t="n">
        <v>1440560</v>
      </c>
      <c r="K947" s="27"/>
      <c r="L947" s="9" t="n">
        <f aca="false">IF(AND(K947&lt;&gt;"",J947&lt;Assumptions!$B$3*K947),K947,J947)</f>
        <v>1440560</v>
      </c>
      <c r="M947" s="21" t="str">
        <f aca="false">IF(L947=J947,"FERC Form 1","EIA-861")</f>
        <v>FERC Form 1</v>
      </c>
      <c r="N947" s="28" t="n">
        <f aca="false">E947+F947+G947</f>
        <v>514.398785</v>
      </c>
    </row>
    <row r="948" customFormat="false" ht="15" hidden="false" customHeight="false" outlineLevel="0" collapsed="false">
      <c r="A948" s="7" t="n">
        <v>2019</v>
      </c>
      <c r="B948" s="15" t="s">
        <v>130</v>
      </c>
      <c r="C948" s="15" t="s">
        <v>118</v>
      </c>
      <c r="D948" s="15" t="s">
        <v>107</v>
      </c>
      <c r="E948" s="19" t="n">
        <v>185.498705</v>
      </c>
      <c r="F948" s="19" t="n">
        <v>172.405438</v>
      </c>
      <c r="G948" s="19" t="n">
        <v>157.157221</v>
      </c>
      <c r="H948" s="19" t="n">
        <v>283.894969</v>
      </c>
      <c r="I948" s="19" t="n">
        <v>5982.297823</v>
      </c>
      <c r="J948" s="27" t="n">
        <v>1450006</v>
      </c>
      <c r="K948" s="27"/>
      <c r="L948" s="9" t="n">
        <f aca="false">IF(AND(K948&lt;&gt;"",J948&lt;Assumptions!$B$3*K948),K948,J948)</f>
        <v>1450006</v>
      </c>
      <c r="M948" s="21" t="str">
        <f aca="false">IF(L948=J948,"FERC Form 1","EIA-861")</f>
        <v>FERC Form 1</v>
      </c>
      <c r="N948" s="28" t="n">
        <f aca="false">E948+F948+G948</f>
        <v>515.061364</v>
      </c>
    </row>
    <row r="949" customFormat="false" ht="15" hidden="false" customHeight="false" outlineLevel="0" collapsed="false">
      <c r="A949" s="7" t="n">
        <v>2020</v>
      </c>
      <c r="B949" s="15" t="s">
        <v>130</v>
      </c>
      <c r="C949" s="15" t="s">
        <v>118</v>
      </c>
      <c r="D949" s="15" t="s">
        <v>107</v>
      </c>
      <c r="E949" s="19" t="n">
        <v>160.931451</v>
      </c>
      <c r="F949" s="19" t="n">
        <v>134.639465</v>
      </c>
      <c r="G949" s="19" t="n">
        <v>150.651489</v>
      </c>
      <c r="H949" s="19" t="n">
        <v>260.689698</v>
      </c>
      <c r="I949" s="19" t="n">
        <v>6221.783475</v>
      </c>
      <c r="J949" s="27" t="n">
        <v>1457376</v>
      </c>
      <c r="K949" s="27"/>
      <c r="L949" s="9" t="n">
        <f aca="false">IF(AND(K949&lt;&gt;"",J949&lt;Assumptions!$B$3*K949),K949,J949)</f>
        <v>1457376</v>
      </c>
      <c r="M949" s="21" t="str">
        <f aca="false">IF(L949=J949,"FERC Form 1","EIA-861")</f>
        <v>FERC Form 1</v>
      </c>
      <c r="N949" s="28" t="n">
        <f aca="false">E949+F949+G949</f>
        <v>446.222405</v>
      </c>
    </row>
    <row r="950" customFormat="false" ht="15" hidden="false" customHeight="false" outlineLevel="0" collapsed="false">
      <c r="A950" s="7" t="n">
        <v>2021</v>
      </c>
      <c r="B950" s="15" t="s">
        <v>130</v>
      </c>
      <c r="C950" s="15" t="s">
        <v>118</v>
      </c>
      <c r="D950" s="15" t="s">
        <v>107</v>
      </c>
      <c r="E950" s="19" t="n">
        <v>192.709488</v>
      </c>
      <c r="F950" s="19" t="n">
        <v>141.796702</v>
      </c>
      <c r="G950" s="19" t="n">
        <v>157.763596</v>
      </c>
      <c r="H950" s="19" t="n">
        <v>270.209836</v>
      </c>
      <c r="I950" s="19" t="n">
        <v>6462.171072</v>
      </c>
      <c r="J950" s="27" t="n">
        <v>1466253</v>
      </c>
      <c r="K950" s="27"/>
      <c r="L950" s="9" t="n">
        <f aca="false">IF(AND(K950&lt;&gt;"",J950&lt;Assumptions!$B$3*K950),K950,J950)</f>
        <v>1466253</v>
      </c>
      <c r="M950" s="21" t="str">
        <f aca="false">IF(L950=J950,"FERC Form 1","EIA-861")</f>
        <v>FERC Form 1</v>
      </c>
      <c r="N950" s="28" t="n">
        <f aca="false">E950+F950+G950</f>
        <v>492.269786</v>
      </c>
    </row>
    <row r="951" customFormat="false" ht="15" hidden="false" customHeight="false" outlineLevel="0" collapsed="false">
      <c r="A951" s="7" t="n">
        <v>2022</v>
      </c>
      <c r="B951" s="15" t="s">
        <v>130</v>
      </c>
      <c r="C951" s="15" t="s">
        <v>118</v>
      </c>
      <c r="D951" s="15" t="s">
        <v>107</v>
      </c>
      <c r="E951" s="19" t="n">
        <v>188.704484</v>
      </c>
      <c r="F951" s="19" t="n">
        <v>165.949934</v>
      </c>
      <c r="G951" s="19" t="n">
        <v>160.811545</v>
      </c>
      <c r="H951" s="19" t="n">
        <v>259.38727</v>
      </c>
      <c r="I951" s="19" t="n">
        <v>6695.14011</v>
      </c>
      <c r="J951" s="27" t="n">
        <v>1472759</v>
      </c>
      <c r="K951" s="27"/>
      <c r="L951" s="9" t="n">
        <f aca="false">IF(AND(K951&lt;&gt;"",J951&lt;Assumptions!$B$3*K951),K951,J951)</f>
        <v>1472759</v>
      </c>
      <c r="M951" s="21" t="str">
        <f aca="false">IF(L951=J951,"FERC Form 1","EIA-861")</f>
        <v>FERC Form 1</v>
      </c>
      <c r="N951" s="28" t="n">
        <f aca="false">E951+F951+G951</f>
        <v>515.465963</v>
      </c>
    </row>
    <row r="952" customFormat="false" ht="15" hidden="false" customHeight="false" outlineLevel="0" collapsed="false">
      <c r="A952" s="7" t="n">
        <v>2023</v>
      </c>
      <c r="B952" s="15" t="s">
        <v>130</v>
      </c>
      <c r="C952" s="15" t="s">
        <v>118</v>
      </c>
      <c r="D952" s="15" t="s">
        <v>107</v>
      </c>
      <c r="E952" s="19" t="n">
        <v>151.825344</v>
      </c>
      <c r="F952" s="19" t="n">
        <v>202.022619</v>
      </c>
      <c r="G952" s="19" t="n">
        <v>156.790926</v>
      </c>
      <c r="H952" s="19" t="n">
        <v>217.872592</v>
      </c>
      <c r="I952" s="19" t="n">
        <v>6902.358325</v>
      </c>
      <c r="J952" s="27" t="n">
        <v>1472437</v>
      </c>
      <c r="K952" s="27"/>
      <c r="L952" s="9" t="n">
        <f aca="false">IF(AND(K952&lt;&gt;"",J952&lt;Assumptions!$B$3*K952),K952,J952)</f>
        <v>1472437</v>
      </c>
      <c r="M952" s="21" t="str">
        <f aca="false">IF(L952=J952,"FERC Form 1","EIA-861")</f>
        <v>FERC Form 1</v>
      </c>
      <c r="N952" s="28" t="n">
        <f aca="false">E952+F952+G952</f>
        <v>510.638889</v>
      </c>
    </row>
    <row r="953" customFormat="false" ht="15" hidden="false" customHeight="false" outlineLevel="0" collapsed="false">
      <c r="A953" s="7" t="n">
        <v>2024</v>
      </c>
      <c r="B953" s="15" t="s">
        <v>130</v>
      </c>
      <c r="C953" s="15" t="s">
        <v>118</v>
      </c>
      <c r="D953" s="15" t="s">
        <v>107</v>
      </c>
      <c r="E953" s="19" t="n">
        <v>229.268901</v>
      </c>
      <c r="F953" s="19" t="n">
        <v>220.770001</v>
      </c>
      <c r="G953" s="19" t="n">
        <v>158.286514</v>
      </c>
      <c r="H953" s="19" t="n">
        <v>415.290082</v>
      </c>
      <c r="I953" s="19" t="n">
        <v>7300.220948</v>
      </c>
      <c r="J953" s="27" t="n">
        <v>1487306</v>
      </c>
      <c r="K953" s="27"/>
      <c r="L953" s="9" t="n">
        <f aca="false">IF(AND(K953&lt;&gt;"",J953&lt;Assumptions!$B$3*K953),K953,J953)</f>
        <v>1487306</v>
      </c>
      <c r="M953" s="21" t="str">
        <f aca="false">IF(L953=J953,"FERC Form 1","EIA-861")</f>
        <v>FERC Form 1</v>
      </c>
      <c r="N953" s="28" t="n">
        <f aca="false">E953+F953+G953</f>
        <v>608.325416</v>
      </c>
    </row>
    <row r="954" customFormat="false" ht="15" hidden="false" customHeight="false" outlineLevel="0" collapsed="false">
      <c r="A954" s="7" t="n">
        <v>2025</v>
      </c>
      <c r="B954" s="15" t="s">
        <v>130</v>
      </c>
      <c r="C954" s="15" t="s">
        <v>118</v>
      </c>
      <c r="D954" s="15" t="s">
        <v>107</v>
      </c>
      <c r="E954" s="19" t="n">
        <v>183.978146</v>
      </c>
      <c r="F954" s="19" t="n">
        <v>190.885231</v>
      </c>
      <c r="G954" s="19" t="n">
        <v>178.257553</v>
      </c>
      <c r="H954" s="19" t="n">
        <v>485.905586</v>
      </c>
      <c r="I954" s="19" t="n">
        <v>7810.58505</v>
      </c>
      <c r="J954" s="27" t="n">
        <v>1495743</v>
      </c>
      <c r="K954" s="27"/>
      <c r="L954" s="9" t="n">
        <f aca="false">IF(AND(K954&lt;&gt;"",J954&lt;Assumptions!$B$3*K954),K954,J954)</f>
        <v>1495743</v>
      </c>
      <c r="M954" s="21" t="str">
        <f aca="false">IF(L954=J954,"FERC Form 1","EIA-861")</f>
        <v>FERC Form 1</v>
      </c>
      <c r="N954" s="28" t="n">
        <f aca="false">E954+F954+G954</f>
        <v>553.12093</v>
      </c>
    </row>
    <row r="955" customFormat="false" ht="15" hidden="false" customHeight="false" outlineLevel="0" collapsed="false">
      <c r="A955" s="7" t="n">
        <v>2000</v>
      </c>
      <c r="B955" s="15" t="s">
        <v>131</v>
      </c>
      <c r="C955" s="15" t="s">
        <v>118</v>
      </c>
      <c r="D955" s="15" t="s">
        <v>132</v>
      </c>
      <c r="E955" s="19" t="n">
        <v>63.710745</v>
      </c>
      <c r="F955" s="19" t="n">
        <v>49.513469</v>
      </c>
      <c r="G955" s="19" t="n">
        <v>101.951988</v>
      </c>
      <c r="H955" s="19" t="n">
        <v>121.031791</v>
      </c>
      <c r="I955" s="19" t="n">
        <v>2976.778542</v>
      </c>
      <c r="J955" s="27" t="n">
        <v>711382</v>
      </c>
      <c r="K955" s="27"/>
      <c r="L955" s="9" t="n">
        <f aca="false">IF(AND(K955&lt;&gt;"",J955&lt;Assumptions!$B$3*K955),K955,J955)</f>
        <v>711382</v>
      </c>
      <c r="M955" s="21" t="str">
        <f aca="false">IF(L955=J955,"FERC Form 1","EIA-861")</f>
        <v>FERC Form 1</v>
      </c>
      <c r="N955" s="28" t="n">
        <f aca="false">E955+F955+G955</f>
        <v>215.176202</v>
      </c>
    </row>
    <row r="956" customFormat="false" ht="15" hidden="false" customHeight="false" outlineLevel="0" collapsed="false">
      <c r="A956" s="7" t="n">
        <v>2001</v>
      </c>
      <c r="B956" s="15" t="s">
        <v>131</v>
      </c>
      <c r="C956" s="15" t="s">
        <v>118</v>
      </c>
      <c r="D956" s="15" t="s">
        <v>132</v>
      </c>
      <c r="E956" s="19" t="n">
        <v>61.329995</v>
      </c>
      <c r="F956" s="19" t="n">
        <v>51.838626</v>
      </c>
      <c r="G956" s="19" t="n">
        <v>105.75287</v>
      </c>
      <c r="H956" s="19" t="n">
        <v>146.454331</v>
      </c>
      <c r="I956" s="19" t="n">
        <v>3095.257067</v>
      </c>
      <c r="J956" s="27" t="n">
        <v>710070</v>
      </c>
      <c r="K956" s="27" t="n">
        <v>741901</v>
      </c>
      <c r="L956" s="9" t="n">
        <f aca="false">IF(AND(K956&lt;&gt;"",J956&lt;Assumptions!$B$3*K956),K956,J956)</f>
        <v>710070</v>
      </c>
      <c r="M956" s="21" t="str">
        <f aca="false">IF(L956=J956,"FERC Form 1","EIA-861")</f>
        <v>FERC Form 1</v>
      </c>
      <c r="N956" s="28" t="n">
        <f aca="false">E956+F956+G956</f>
        <v>218.921491</v>
      </c>
    </row>
    <row r="957" customFormat="false" ht="15" hidden="false" customHeight="false" outlineLevel="0" collapsed="false">
      <c r="A957" s="7" t="n">
        <v>2002</v>
      </c>
      <c r="B957" s="15" t="s">
        <v>131</v>
      </c>
      <c r="C957" s="15" t="s">
        <v>118</v>
      </c>
      <c r="D957" s="15" t="s">
        <v>132</v>
      </c>
      <c r="E957" s="19" t="n">
        <v>61.816647</v>
      </c>
      <c r="F957" s="19" t="n">
        <v>53.810726</v>
      </c>
      <c r="G957" s="19" t="n">
        <v>110.859432</v>
      </c>
      <c r="H957" s="19" t="n">
        <v>162.778322</v>
      </c>
      <c r="I957" s="19" t="n">
        <v>3246.856505</v>
      </c>
      <c r="J957" s="27" t="n">
        <v>717628</v>
      </c>
      <c r="K957" s="27" t="n">
        <v>717628</v>
      </c>
      <c r="L957" s="9" t="n">
        <f aca="false">IF(AND(K957&lt;&gt;"",J957&lt;Assumptions!$B$3*K957),K957,J957)</f>
        <v>717628</v>
      </c>
      <c r="M957" s="21" t="str">
        <f aca="false">IF(L957=J957,"FERC Form 1","EIA-861")</f>
        <v>FERC Form 1</v>
      </c>
      <c r="N957" s="28" t="n">
        <f aca="false">E957+F957+G957</f>
        <v>226.486805</v>
      </c>
    </row>
    <row r="958" customFormat="false" ht="15" hidden="false" customHeight="false" outlineLevel="0" collapsed="false">
      <c r="A958" s="7" t="n">
        <v>2003</v>
      </c>
      <c r="B958" s="15" t="s">
        <v>131</v>
      </c>
      <c r="C958" s="15" t="s">
        <v>118</v>
      </c>
      <c r="D958" s="15" t="s">
        <v>132</v>
      </c>
      <c r="E958" s="19" t="n">
        <v>65.126761</v>
      </c>
      <c r="F958" s="19" t="n">
        <v>51.842405</v>
      </c>
      <c r="G958" s="19" t="n">
        <v>116.437611</v>
      </c>
      <c r="H958" s="19" t="n">
        <v>182.735859</v>
      </c>
      <c r="I958" s="19" t="n">
        <v>3386.152746</v>
      </c>
      <c r="J958" s="27" t="n">
        <v>723517</v>
      </c>
      <c r="K958" s="27" t="n">
        <v>723517</v>
      </c>
      <c r="L958" s="9" t="n">
        <f aca="false">IF(AND(K958&lt;&gt;"",J958&lt;Assumptions!$B$3*K958),K958,J958)</f>
        <v>723517</v>
      </c>
      <c r="M958" s="21" t="str">
        <f aca="false">IF(L958=J958,"FERC Form 1","EIA-861")</f>
        <v>FERC Form 1</v>
      </c>
      <c r="N958" s="28" t="n">
        <f aca="false">E958+F958+G958</f>
        <v>233.406777</v>
      </c>
    </row>
    <row r="959" customFormat="false" ht="15" hidden="false" customHeight="false" outlineLevel="0" collapsed="false">
      <c r="A959" s="7" t="n">
        <v>2004</v>
      </c>
      <c r="B959" s="15" t="s">
        <v>131</v>
      </c>
      <c r="C959" s="15" t="s">
        <v>118</v>
      </c>
      <c r="D959" s="15" t="s">
        <v>132</v>
      </c>
      <c r="E959" s="19" t="n">
        <v>76.882456</v>
      </c>
      <c r="F959" s="19" t="n">
        <v>55.841464</v>
      </c>
      <c r="G959" s="19" t="n">
        <v>119.470836</v>
      </c>
      <c r="H959" s="19" t="n">
        <v>47.213768</v>
      </c>
      <c r="I959" s="19" t="n">
        <v>3425.220542</v>
      </c>
      <c r="J959" s="27" t="n">
        <v>732345</v>
      </c>
      <c r="K959" s="27" t="n">
        <v>732347</v>
      </c>
      <c r="L959" s="9" t="n">
        <f aca="false">IF(AND(K959&lt;&gt;"",J959&lt;Assumptions!$B$3*K959),K959,J959)</f>
        <v>732345</v>
      </c>
      <c r="M959" s="21" t="str">
        <f aca="false">IF(L959=J959,"FERC Form 1","EIA-861")</f>
        <v>FERC Form 1</v>
      </c>
      <c r="N959" s="28" t="n">
        <f aca="false">E959+F959+G959</f>
        <v>252.194756</v>
      </c>
    </row>
    <row r="960" customFormat="false" ht="15" hidden="false" customHeight="false" outlineLevel="0" collapsed="false">
      <c r="A960" s="7" t="n">
        <v>2005</v>
      </c>
      <c r="B960" s="15" t="s">
        <v>131</v>
      </c>
      <c r="C960" s="15" t="s">
        <v>118</v>
      </c>
      <c r="D960" s="15" t="s">
        <v>132</v>
      </c>
      <c r="E960" s="19" t="n">
        <v>74.954531</v>
      </c>
      <c r="F960" s="19" t="n">
        <v>48.66581</v>
      </c>
      <c r="G960" s="19" t="n">
        <v>122.757379</v>
      </c>
      <c r="H960" s="19" t="n">
        <v>184.411444</v>
      </c>
      <c r="I960" s="19" t="n">
        <v>3583.545607</v>
      </c>
      <c r="J960" s="27" t="n">
        <v>741453</v>
      </c>
      <c r="K960" s="27" t="n">
        <v>741454</v>
      </c>
      <c r="L960" s="9" t="n">
        <f aca="false">IF(AND(K960&lt;&gt;"",J960&lt;Assumptions!$B$3*K960),K960,J960)</f>
        <v>741453</v>
      </c>
      <c r="M960" s="21" t="str">
        <f aca="false">IF(L960=J960,"FERC Form 1","EIA-861")</f>
        <v>FERC Form 1</v>
      </c>
      <c r="N960" s="28" t="n">
        <f aca="false">E960+F960+G960</f>
        <v>246.37772</v>
      </c>
    </row>
    <row r="961" customFormat="false" ht="15" hidden="false" customHeight="false" outlineLevel="0" collapsed="false">
      <c r="A961" s="7" t="n">
        <v>2006</v>
      </c>
      <c r="B961" s="15" t="s">
        <v>131</v>
      </c>
      <c r="C961" s="15" t="s">
        <v>118</v>
      </c>
      <c r="D961" s="15" t="s">
        <v>132</v>
      </c>
      <c r="E961" s="19" t="n">
        <v>77.513601</v>
      </c>
      <c r="F961" s="19" t="n">
        <v>60.045379</v>
      </c>
      <c r="G961" s="19" t="n">
        <v>128.374102</v>
      </c>
      <c r="H961" s="19" t="n">
        <v>178.399231</v>
      </c>
      <c r="I961" s="19" t="n">
        <v>3748.155039</v>
      </c>
      <c r="J961" s="27" t="n">
        <v>750260</v>
      </c>
      <c r="K961" s="27" t="n">
        <v>750261</v>
      </c>
      <c r="L961" s="9" t="n">
        <f aca="false">IF(AND(K961&lt;&gt;"",J961&lt;Assumptions!$B$3*K961),K961,J961)</f>
        <v>750260</v>
      </c>
      <c r="M961" s="21" t="str">
        <f aca="false">IF(L961=J961,"FERC Form 1","EIA-861")</f>
        <v>FERC Form 1</v>
      </c>
      <c r="N961" s="28" t="n">
        <f aca="false">E961+F961+G961</f>
        <v>265.933082</v>
      </c>
    </row>
    <row r="962" customFormat="false" ht="15" hidden="false" customHeight="false" outlineLevel="0" collapsed="false">
      <c r="A962" s="7" t="n">
        <v>2007</v>
      </c>
      <c r="B962" s="15" t="s">
        <v>131</v>
      </c>
      <c r="C962" s="15" t="s">
        <v>118</v>
      </c>
      <c r="D962" s="15" t="s">
        <v>132</v>
      </c>
      <c r="E962" s="19" t="n">
        <v>94.165137</v>
      </c>
      <c r="F962" s="19" t="n">
        <v>66.186825</v>
      </c>
      <c r="G962" s="19" t="n">
        <v>112.430732</v>
      </c>
      <c r="H962" s="19" t="n">
        <v>112.10554</v>
      </c>
      <c r="I962" s="19" t="n">
        <v>3839.199872</v>
      </c>
      <c r="J962" s="27" t="n">
        <v>756711</v>
      </c>
      <c r="K962" s="27" t="n">
        <v>756713</v>
      </c>
      <c r="L962" s="9" t="n">
        <f aca="false">IF(AND(K962&lt;&gt;"",J962&lt;Assumptions!$B$3*K962),K962,J962)</f>
        <v>756711</v>
      </c>
      <c r="M962" s="21" t="str">
        <f aca="false">IF(L962=J962,"FERC Form 1","EIA-861")</f>
        <v>FERC Form 1</v>
      </c>
      <c r="N962" s="28" t="n">
        <f aca="false">E962+F962+G962</f>
        <v>272.782694</v>
      </c>
    </row>
    <row r="963" customFormat="false" ht="15" hidden="false" customHeight="false" outlineLevel="0" collapsed="false">
      <c r="A963" s="7" t="n">
        <v>2008</v>
      </c>
      <c r="B963" s="15" t="s">
        <v>131</v>
      </c>
      <c r="C963" s="15" t="s">
        <v>118</v>
      </c>
      <c r="D963" s="15" t="s">
        <v>132</v>
      </c>
      <c r="E963" s="19" t="n">
        <v>87.935155</v>
      </c>
      <c r="F963" s="19" t="n">
        <v>71.71125</v>
      </c>
      <c r="G963" s="19" t="n">
        <v>101.936561</v>
      </c>
      <c r="H963" s="19" t="n">
        <v>302.904188</v>
      </c>
      <c r="I963" s="19" t="n">
        <v>4124.646324</v>
      </c>
      <c r="J963" s="27" t="n">
        <v>762093</v>
      </c>
      <c r="K963" s="27" t="n">
        <v>762093</v>
      </c>
      <c r="L963" s="9" t="n">
        <f aca="false">IF(AND(K963&lt;&gt;"",J963&lt;Assumptions!$B$3*K963),K963,J963)</f>
        <v>762093</v>
      </c>
      <c r="M963" s="21" t="str">
        <f aca="false">IF(L963=J963,"FERC Form 1","EIA-861")</f>
        <v>FERC Form 1</v>
      </c>
      <c r="N963" s="28" t="n">
        <f aca="false">E963+F963+G963</f>
        <v>261.582966</v>
      </c>
    </row>
    <row r="964" customFormat="false" ht="15" hidden="false" customHeight="false" outlineLevel="0" collapsed="false">
      <c r="A964" s="7" t="n">
        <v>2009</v>
      </c>
      <c r="B964" s="15" t="s">
        <v>131</v>
      </c>
      <c r="C964" s="15" t="s">
        <v>118</v>
      </c>
      <c r="D964" s="15" t="s">
        <v>132</v>
      </c>
      <c r="E964" s="19" t="n">
        <v>93.848087</v>
      </c>
      <c r="F964" s="19" t="n">
        <v>76.247122</v>
      </c>
      <c r="G964" s="19" t="n">
        <v>107.246873</v>
      </c>
      <c r="H964" s="19" t="n">
        <v>199.36539</v>
      </c>
      <c r="I964" s="19" t="n">
        <v>4310.057761</v>
      </c>
      <c r="J964" s="27" t="n">
        <v>769966</v>
      </c>
      <c r="K964" s="27" t="n">
        <v>769966</v>
      </c>
      <c r="L964" s="9" t="n">
        <f aca="false">IF(AND(K964&lt;&gt;"",J964&lt;Assumptions!$B$3*K964),K964,J964)</f>
        <v>769966</v>
      </c>
      <c r="M964" s="21" t="str">
        <f aca="false">IF(L964=J964,"FERC Form 1","EIA-861")</f>
        <v>FERC Form 1</v>
      </c>
      <c r="N964" s="28" t="n">
        <f aca="false">E964+F964+G964</f>
        <v>277.342082</v>
      </c>
    </row>
    <row r="965" customFormat="false" ht="15" hidden="false" customHeight="false" outlineLevel="0" collapsed="false">
      <c r="A965" s="7" t="n">
        <v>2010</v>
      </c>
      <c r="B965" s="15" t="s">
        <v>131</v>
      </c>
      <c r="C965" s="15" t="s">
        <v>118</v>
      </c>
      <c r="D965" s="15" t="s">
        <v>132</v>
      </c>
      <c r="E965" s="19" t="n">
        <v>121.606654</v>
      </c>
      <c r="F965" s="19" t="n">
        <v>84.938128</v>
      </c>
      <c r="G965" s="19" t="n">
        <v>111.980637</v>
      </c>
      <c r="H965" s="19" t="n">
        <v>169.65416</v>
      </c>
      <c r="I965" s="19" t="n">
        <v>4465.154633</v>
      </c>
      <c r="J965" s="27" t="n">
        <v>783069</v>
      </c>
      <c r="K965" s="27" t="n">
        <v>783069</v>
      </c>
      <c r="L965" s="9" t="n">
        <f aca="false">IF(AND(K965&lt;&gt;"",J965&lt;Assumptions!$B$3*K965),K965,J965)</f>
        <v>783069</v>
      </c>
      <c r="M965" s="21" t="str">
        <f aca="false">IF(L965=J965,"FERC Form 1","EIA-861")</f>
        <v>FERC Form 1</v>
      </c>
      <c r="N965" s="28" t="n">
        <f aca="false">E965+F965+G965</f>
        <v>318.525419</v>
      </c>
    </row>
    <row r="966" customFormat="false" ht="15" hidden="false" customHeight="false" outlineLevel="0" collapsed="false">
      <c r="A966" s="7" t="n">
        <v>2011</v>
      </c>
      <c r="B966" s="15" t="s">
        <v>131</v>
      </c>
      <c r="C966" s="15" t="s">
        <v>118</v>
      </c>
      <c r="D966" s="15" t="s">
        <v>132</v>
      </c>
      <c r="E966" s="19" t="n">
        <v>148.028374</v>
      </c>
      <c r="F966" s="19" t="n">
        <v>91.312902</v>
      </c>
      <c r="G966" s="19" t="n">
        <v>116.056598</v>
      </c>
      <c r="H966" s="19" t="n">
        <v>201.805971</v>
      </c>
      <c r="I966" s="19" t="n">
        <v>4584.885865</v>
      </c>
      <c r="J966" s="27" t="n">
        <v>787137</v>
      </c>
      <c r="K966" s="27" t="n">
        <v>787137</v>
      </c>
      <c r="L966" s="9" t="n">
        <f aca="false">IF(AND(K966&lt;&gt;"",J966&lt;Assumptions!$B$3*K966),K966,J966)</f>
        <v>787137</v>
      </c>
      <c r="M966" s="21" t="str">
        <f aca="false">IF(L966=J966,"FERC Form 1","EIA-861")</f>
        <v>FERC Form 1</v>
      </c>
      <c r="N966" s="28" t="n">
        <f aca="false">E966+F966+G966</f>
        <v>355.397874</v>
      </c>
    </row>
    <row r="967" customFormat="false" ht="15" hidden="false" customHeight="false" outlineLevel="0" collapsed="false">
      <c r="A967" s="7" t="n">
        <v>2012</v>
      </c>
      <c r="B967" s="15" t="s">
        <v>131</v>
      </c>
      <c r="C967" s="15" t="s">
        <v>118</v>
      </c>
      <c r="D967" s="15" t="s">
        <v>132</v>
      </c>
      <c r="E967" s="19" t="n">
        <v>123.307805</v>
      </c>
      <c r="F967" s="19" t="n">
        <v>87.223277</v>
      </c>
      <c r="G967" s="19" t="n">
        <v>113.373134</v>
      </c>
      <c r="H967" s="19" t="n">
        <v>395.240437</v>
      </c>
      <c r="I967" s="19" t="n">
        <v>4872.684885</v>
      </c>
      <c r="J967" s="27" t="n">
        <v>791715</v>
      </c>
      <c r="K967" s="27" t="n">
        <v>791715</v>
      </c>
      <c r="L967" s="9" t="n">
        <f aca="false">IF(AND(K967&lt;&gt;"",J967&lt;Assumptions!$B$3*K967),K967,J967)</f>
        <v>791715</v>
      </c>
      <c r="M967" s="21" t="str">
        <f aca="false">IF(L967=J967,"FERC Form 1","EIA-861")</f>
        <v>FERC Form 1</v>
      </c>
      <c r="N967" s="28" t="n">
        <f aca="false">E967+F967+G967</f>
        <v>323.904216</v>
      </c>
    </row>
    <row r="968" customFormat="false" ht="15" hidden="false" customHeight="false" outlineLevel="0" collapsed="false">
      <c r="A968" s="7" t="n">
        <v>2013</v>
      </c>
      <c r="B968" s="15" t="s">
        <v>131</v>
      </c>
      <c r="C968" s="15" t="s">
        <v>118</v>
      </c>
      <c r="D968" s="15" t="s">
        <v>132</v>
      </c>
      <c r="E968" s="19" t="n">
        <v>124.163835</v>
      </c>
      <c r="F968" s="19" t="n">
        <v>84.752762</v>
      </c>
      <c r="G968" s="19" t="n">
        <v>108.888033</v>
      </c>
      <c r="H968" s="19" t="n">
        <v>385.984966</v>
      </c>
      <c r="I968" s="19" t="n">
        <v>5216.855881</v>
      </c>
      <c r="J968" s="27" t="n">
        <v>795251</v>
      </c>
      <c r="K968" s="27" t="n">
        <v>795251</v>
      </c>
      <c r="L968" s="9" t="n">
        <f aca="false">IF(AND(K968&lt;&gt;"",J968&lt;Assumptions!$B$3*K968),K968,J968)</f>
        <v>795251</v>
      </c>
      <c r="M968" s="21" t="str">
        <f aca="false">IF(L968=J968,"FERC Form 1","EIA-861")</f>
        <v>FERC Form 1</v>
      </c>
      <c r="N968" s="28" t="n">
        <f aca="false">E968+F968+G968</f>
        <v>317.80463</v>
      </c>
    </row>
    <row r="969" customFormat="false" ht="15" hidden="false" customHeight="false" outlineLevel="0" collapsed="false">
      <c r="A969" s="7" t="n">
        <v>2014</v>
      </c>
      <c r="B969" s="15" t="s">
        <v>131</v>
      </c>
      <c r="C969" s="15" t="s">
        <v>118</v>
      </c>
      <c r="D969" s="15" t="s">
        <v>132</v>
      </c>
      <c r="E969" s="19" t="n">
        <v>121.59625</v>
      </c>
      <c r="F969" s="19" t="n">
        <v>93.844619</v>
      </c>
      <c r="G969" s="19" t="n">
        <v>116.967784</v>
      </c>
      <c r="H969" s="19" t="n">
        <v>406.470755</v>
      </c>
      <c r="I969" s="19" t="n">
        <v>5591.963341</v>
      </c>
      <c r="J969" s="27" t="n">
        <v>804892</v>
      </c>
      <c r="K969" s="27" t="n">
        <v>804892</v>
      </c>
      <c r="L969" s="9" t="n">
        <f aca="false">IF(AND(K969&lt;&gt;"",J969&lt;Assumptions!$B$3*K969),K969,J969)</f>
        <v>804892</v>
      </c>
      <c r="M969" s="21" t="str">
        <f aca="false">IF(L969=J969,"FERC Form 1","EIA-861")</f>
        <v>FERC Form 1</v>
      </c>
      <c r="N969" s="28" t="n">
        <f aca="false">E969+F969+G969</f>
        <v>332.408653</v>
      </c>
    </row>
    <row r="970" customFormat="false" ht="15" hidden="false" customHeight="false" outlineLevel="0" collapsed="false">
      <c r="A970" s="7" t="n">
        <v>2015</v>
      </c>
      <c r="B970" s="15" t="s">
        <v>131</v>
      </c>
      <c r="C970" s="15" t="s">
        <v>118</v>
      </c>
      <c r="D970" s="15" t="s">
        <v>132</v>
      </c>
      <c r="E970" s="19" t="n">
        <v>134.875889</v>
      </c>
      <c r="F970" s="19" t="n">
        <v>119.577483</v>
      </c>
      <c r="G970" s="19" t="n">
        <v>124.897187</v>
      </c>
      <c r="H970" s="19" t="n">
        <v>353.222777</v>
      </c>
      <c r="I970" s="19" t="n">
        <v>5920.032065</v>
      </c>
      <c r="J970" s="27" t="n">
        <v>817447</v>
      </c>
      <c r="K970" s="27" t="n">
        <v>817447</v>
      </c>
      <c r="L970" s="9" t="n">
        <f aca="false">IF(AND(K970&lt;&gt;"",J970&lt;Assumptions!$B$3*K970),K970,J970)</f>
        <v>817447</v>
      </c>
      <c r="M970" s="21" t="str">
        <f aca="false">IF(L970=J970,"FERC Form 1","EIA-861")</f>
        <v>FERC Form 1</v>
      </c>
      <c r="N970" s="28" t="n">
        <f aca="false">E970+F970+G970</f>
        <v>379.350559</v>
      </c>
    </row>
    <row r="971" customFormat="false" ht="15" hidden="false" customHeight="false" outlineLevel="0" collapsed="false">
      <c r="A971" s="7" t="n">
        <v>2016</v>
      </c>
      <c r="B971" s="15" t="s">
        <v>131</v>
      </c>
      <c r="C971" s="15" t="s">
        <v>118</v>
      </c>
      <c r="D971" s="15" t="s">
        <v>132</v>
      </c>
      <c r="E971" s="19" t="n">
        <v>158.377809</v>
      </c>
      <c r="F971" s="19" t="n">
        <v>118.842586</v>
      </c>
      <c r="G971" s="19" t="n">
        <v>133.633363</v>
      </c>
      <c r="H971" s="19" t="n">
        <v>276.138956</v>
      </c>
      <c r="I971" s="19" t="n">
        <v>6192.178994</v>
      </c>
      <c r="J971" s="27" t="n">
        <v>848171</v>
      </c>
      <c r="K971" s="27" t="n">
        <v>848172</v>
      </c>
      <c r="L971" s="9" t="n">
        <f aca="false">IF(AND(K971&lt;&gt;"",J971&lt;Assumptions!$B$3*K971),K971,J971)</f>
        <v>848171</v>
      </c>
      <c r="M971" s="21" t="str">
        <f aca="false">IF(L971=J971,"FERC Form 1","EIA-861")</f>
        <v>FERC Form 1</v>
      </c>
      <c r="N971" s="28" t="n">
        <f aca="false">E971+F971+G971</f>
        <v>410.853758</v>
      </c>
    </row>
    <row r="972" customFormat="false" ht="15" hidden="false" customHeight="false" outlineLevel="0" collapsed="false">
      <c r="A972" s="7" t="n">
        <v>2017</v>
      </c>
      <c r="B972" s="15" t="s">
        <v>131</v>
      </c>
      <c r="C972" s="15" t="s">
        <v>118</v>
      </c>
      <c r="D972" s="15" t="s">
        <v>132</v>
      </c>
      <c r="E972" s="19" t="n">
        <v>155.656644</v>
      </c>
      <c r="F972" s="19" t="n">
        <v>98.707501</v>
      </c>
      <c r="G972" s="19" t="n">
        <v>160.439203</v>
      </c>
      <c r="H972" s="19" t="n">
        <v>434.471263</v>
      </c>
      <c r="I972" s="19" t="n">
        <v>6612.87655</v>
      </c>
      <c r="J972" s="27" t="n">
        <v>862921</v>
      </c>
      <c r="K972" s="27" t="n">
        <v>862921</v>
      </c>
      <c r="L972" s="9" t="n">
        <f aca="false">IF(AND(K972&lt;&gt;"",J972&lt;Assumptions!$B$3*K972),K972,J972)</f>
        <v>862921</v>
      </c>
      <c r="M972" s="21" t="str">
        <f aca="false">IF(L972=J972,"FERC Form 1","EIA-861")</f>
        <v>FERC Form 1</v>
      </c>
      <c r="N972" s="28" t="n">
        <f aca="false">E972+F972+G972</f>
        <v>414.803348</v>
      </c>
    </row>
    <row r="973" customFormat="false" ht="15" hidden="false" customHeight="false" outlineLevel="0" collapsed="false">
      <c r="A973" s="7" t="n">
        <v>2018</v>
      </c>
      <c r="B973" s="15" t="s">
        <v>131</v>
      </c>
      <c r="C973" s="15" t="s">
        <v>118</v>
      </c>
      <c r="D973" s="15" t="s">
        <v>132</v>
      </c>
      <c r="E973" s="19" t="n">
        <v>176.805232</v>
      </c>
      <c r="F973" s="19" t="n">
        <v>99.572399</v>
      </c>
      <c r="G973" s="19" t="n">
        <v>171.258735</v>
      </c>
      <c r="H973" s="19" t="n">
        <v>548.419647</v>
      </c>
      <c r="I973" s="19" t="n">
        <v>7145.922724</v>
      </c>
      <c r="J973" s="27" t="n">
        <v>875876</v>
      </c>
      <c r="K973" s="27" t="n">
        <v>875877</v>
      </c>
      <c r="L973" s="9" t="n">
        <f aca="false">IF(AND(K973&lt;&gt;"",J973&lt;Assumptions!$B$3*K973),K973,J973)</f>
        <v>875876</v>
      </c>
      <c r="M973" s="21" t="str">
        <f aca="false">IF(L973=J973,"FERC Form 1","EIA-861")</f>
        <v>FERC Form 1</v>
      </c>
      <c r="N973" s="28" t="n">
        <f aca="false">E973+F973+G973</f>
        <v>447.636366</v>
      </c>
    </row>
    <row r="974" customFormat="false" ht="15" hidden="false" customHeight="false" outlineLevel="0" collapsed="false">
      <c r="A974" s="7" t="n">
        <v>2019</v>
      </c>
      <c r="B974" s="15" t="s">
        <v>131</v>
      </c>
      <c r="C974" s="15" t="s">
        <v>118</v>
      </c>
      <c r="D974" s="15" t="s">
        <v>132</v>
      </c>
      <c r="E974" s="19" t="n">
        <v>198.17356</v>
      </c>
      <c r="F974" s="19" t="n">
        <v>92.724389</v>
      </c>
      <c r="G974" s="19" t="n">
        <v>180.715926</v>
      </c>
      <c r="H974" s="19" t="n">
        <v>365.636905</v>
      </c>
      <c r="I974" s="19" t="n">
        <v>7458.708275</v>
      </c>
      <c r="J974" s="27" t="n">
        <v>889380</v>
      </c>
      <c r="K974" s="27" t="n">
        <v>889378</v>
      </c>
      <c r="L974" s="9" t="n">
        <f aca="false">IF(AND(K974&lt;&gt;"",J974&lt;Assumptions!$B$3*K974),K974,J974)</f>
        <v>889380</v>
      </c>
      <c r="M974" s="21" t="str">
        <f aca="false">IF(L974=J974,"FERC Form 1","EIA-861")</f>
        <v>FERC Form 1</v>
      </c>
      <c r="N974" s="28" t="n">
        <f aca="false">E974+F974+G974</f>
        <v>471.613875</v>
      </c>
    </row>
    <row r="975" customFormat="false" ht="15" hidden="false" customHeight="false" outlineLevel="0" collapsed="false">
      <c r="A975" s="7" t="n">
        <v>2020</v>
      </c>
      <c r="B975" s="15" t="s">
        <v>131</v>
      </c>
      <c r="C975" s="15" t="s">
        <v>118</v>
      </c>
      <c r="D975" s="15" t="s">
        <v>132</v>
      </c>
      <c r="E975" s="19" t="n">
        <v>176.861528</v>
      </c>
      <c r="F975" s="19" t="n">
        <v>109.892329</v>
      </c>
      <c r="G975" s="19" t="n">
        <v>190.133251</v>
      </c>
      <c r="H975" s="19" t="n">
        <v>444.698881</v>
      </c>
      <c r="I975" s="19" t="n">
        <v>7860.853002</v>
      </c>
      <c r="J975" s="27" t="n">
        <v>901712</v>
      </c>
      <c r="K975" s="27" t="n">
        <v>901712</v>
      </c>
      <c r="L975" s="9" t="n">
        <f aca="false">IF(AND(K975&lt;&gt;"",J975&lt;Assumptions!$B$3*K975),K975,J975)</f>
        <v>901712</v>
      </c>
      <c r="M975" s="21" t="str">
        <f aca="false">IF(L975=J975,"FERC Form 1","EIA-861")</f>
        <v>FERC Form 1</v>
      </c>
      <c r="N975" s="28" t="n">
        <f aca="false">E975+F975+G975</f>
        <v>476.887108</v>
      </c>
    </row>
    <row r="976" customFormat="false" ht="15" hidden="false" customHeight="false" outlineLevel="0" collapsed="false">
      <c r="A976" s="7" t="n">
        <v>2021</v>
      </c>
      <c r="B976" s="15" t="s">
        <v>131</v>
      </c>
      <c r="C976" s="15" t="s">
        <v>118</v>
      </c>
      <c r="D976" s="15" t="s">
        <v>132</v>
      </c>
      <c r="E976" s="19" t="n">
        <v>185.472122</v>
      </c>
      <c r="F976" s="19" t="n">
        <v>103.326933</v>
      </c>
      <c r="G976" s="19" t="n">
        <v>200.172948</v>
      </c>
      <c r="H976" s="19" t="n">
        <v>434.482369</v>
      </c>
      <c r="I976" s="19" t="n">
        <v>8277.118172</v>
      </c>
      <c r="J976" s="27" t="n">
        <v>914279</v>
      </c>
      <c r="K976" s="27" t="n">
        <v>914279</v>
      </c>
      <c r="L976" s="9" t="n">
        <f aca="false">IF(AND(K976&lt;&gt;"",J976&lt;Assumptions!$B$3*K976),K976,J976)</f>
        <v>914279</v>
      </c>
      <c r="M976" s="21" t="str">
        <f aca="false">IF(L976=J976,"FERC Form 1","EIA-861")</f>
        <v>FERC Form 1</v>
      </c>
      <c r="N976" s="28" t="n">
        <f aca="false">E976+F976+G976</f>
        <v>488.972003</v>
      </c>
    </row>
    <row r="977" customFormat="false" ht="15" hidden="false" customHeight="false" outlineLevel="0" collapsed="false">
      <c r="A977" s="7" t="n">
        <v>2022</v>
      </c>
      <c r="B977" s="15" t="s">
        <v>131</v>
      </c>
      <c r="C977" s="15" t="s">
        <v>118</v>
      </c>
      <c r="D977" s="15" t="s">
        <v>132</v>
      </c>
      <c r="E977" s="19" t="n">
        <v>198.041264</v>
      </c>
      <c r="F977" s="19" t="n">
        <v>128.933191</v>
      </c>
      <c r="G977" s="19" t="n">
        <v>211.213663</v>
      </c>
      <c r="H977" s="19" t="n">
        <v>395.92428</v>
      </c>
      <c r="I977" s="19" t="n">
        <v>8678.771729</v>
      </c>
      <c r="J977" s="27" t="n">
        <v>927425</v>
      </c>
      <c r="K977" s="27" t="n">
        <v>927660</v>
      </c>
      <c r="L977" s="9" t="n">
        <f aca="false">IF(AND(K977&lt;&gt;"",J977&lt;Assumptions!$B$3*K977),K977,J977)</f>
        <v>927425</v>
      </c>
      <c r="M977" s="21" t="str">
        <f aca="false">IF(L977=J977,"FERC Form 1","EIA-861")</f>
        <v>FERC Form 1</v>
      </c>
      <c r="N977" s="28" t="n">
        <f aca="false">E977+F977+G977</f>
        <v>538.188118</v>
      </c>
    </row>
    <row r="978" customFormat="false" ht="15" hidden="false" customHeight="false" outlineLevel="0" collapsed="false">
      <c r="A978" s="7" t="n">
        <v>2023</v>
      </c>
      <c r="B978" s="15" t="s">
        <v>131</v>
      </c>
      <c r="C978" s="15" t="s">
        <v>118</v>
      </c>
      <c r="D978" s="15" t="s">
        <v>132</v>
      </c>
      <c r="E978" s="19" t="n">
        <v>220.243352</v>
      </c>
      <c r="F978" s="19" t="n">
        <v>138.931914</v>
      </c>
      <c r="G978" s="19" t="n">
        <v>223.053126</v>
      </c>
      <c r="H978" s="19" t="n">
        <v>618.001078</v>
      </c>
      <c r="I978" s="19" t="n">
        <v>9269.888329</v>
      </c>
      <c r="J978" s="27" t="n">
        <v>938263</v>
      </c>
      <c r="K978" s="27" t="n">
        <v>937972</v>
      </c>
      <c r="L978" s="9" t="n">
        <f aca="false">IF(AND(K978&lt;&gt;"",J978&lt;Assumptions!$B$3*K978),K978,J978)</f>
        <v>938263</v>
      </c>
      <c r="M978" s="21" t="str">
        <f aca="false">IF(L978=J978,"FERC Form 1","EIA-861")</f>
        <v>FERC Form 1</v>
      </c>
      <c r="N978" s="28" t="n">
        <f aca="false">E978+F978+G978</f>
        <v>582.228392</v>
      </c>
    </row>
    <row r="979" customFormat="false" ht="15" hidden="false" customHeight="false" outlineLevel="0" collapsed="false">
      <c r="A979" s="7" t="n">
        <v>2024</v>
      </c>
      <c r="B979" s="15" t="s">
        <v>131</v>
      </c>
      <c r="C979" s="15" t="s">
        <v>118</v>
      </c>
      <c r="D979" s="15" t="s">
        <v>132</v>
      </c>
      <c r="E979" s="19" t="n">
        <v>125.568345</v>
      </c>
      <c r="F979" s="19" t="n">
        <v>170.45423</v>
      </c>
      <c r="G979" s="19" t="n">
        <v>239.880493</v>
      </c>
      <c r="H979" s="19" t="n">
        <v>615.137747</v>
      </c>
      <c r="I979" s="19" t="n">
        <v>9977.697077</v>
      </c>
      <c r="J979" s="27" t="n">
        <v>949732</v>
      </c>
      <c r="K979" s="27" t="n">
        <v>949732</v>
      </c>
      <c r="L979" s="9" t="n">
        <f aca="false">IF(AND(K979&lt;&gt;"",J979&lt;Assumptions!$B$3*K979),K979,J979)</f>
        <v>949732</v>
      </c>
      <c r="M979" s="21" t="str">
        <f aca="false">IF(L979=J979,"FERC Form 1","EIA-861")</f>
        <v>FERC Form 1</v>
      </c>
      <c r="N979" s="28" t="n">
        <f aca="false">E979+F979+G979</f>
        <v>535.903068</v>
      </c>
    </row>
    <row r="980" customFormat="false" ht="15" hidden="false" customHeight="false" outlineLevel="0" collapsed="false">
      <c r="A980" s="7" t="n">
        <v>2025</v>
      </c>
      <c r="B980" s="15" t="s">
        <v>131</v>
      </c>
      <c r="C980" s="15" t="s">
        <v>118</v>
      </c>
      <c r="D980" s="15" t="s">
        <v>132</v>
      </c>
      <c r="E980" s="19" t="n">
        <v>146.454632</v>
      </c>
      <c r="F980" s="19" t="n">
        <v>229.225743</v>
      </c>
      <c r="G980" s="19" t="n">
        <v>273.73815</v>
      </c>
      <c r="H980" s="19" t="n">
        <v>643.551173</v>
      </c>
      <c r="I980" s="19" t="n">
        <v>10676.567218</v>
      </c>
      <c r="J980" s="27" t="n">
        <v>960926</v>
      </c>
      <c r="K980" s="27" t="n">
        <v>960938</v>
      </c>
      <c r="L980" s="9" t="n">
        <f aca="false">IF(AND(K980&lt;&gt;"",J980&lt;Assumptions!$B$3*K980),K980,J980)</f>
        <v>960926</v>
      </c>
      <c r="M980" s="21" t="str">
        <f aca="false">IF(L980=J980,"FERC Form 1","EIA-861")</f>
        <v>FERC Form 1</v>
      </c>
      <c r="N980" s="28" t="n">
        <f aca="false">E980+F980+G980</f>
        <v>649.418525</v>
      </c>
    </row>
    <row r="981" customFormat="false" ht="15" hidden="false" customHeight="false" outlineLevel="0" collapsed="false">
      <c r="A981" s="7" t="n">
        <v>2000</v>
      </c>
      <c r="B981" s="15" t="s">
        <v>133</v>
      </c>
      <c r="C981" s="15" t="s">
        <v>118</v>
      </c>
      <c r="D981" s="15" t="s">
        <v>105</v>
      </c>
      <c r="E981" s="19" t="n">
        <v>123.633904</v>
      </c>
      <c r="F981" s="19" t="n">
        <v>163.652429</v>
      </c>
      <c r="G981" s="19" t="n">
        <v>4.478765</v>
      </c>
      <c r="H981" s="19" t="n">
        <v>173.61147</v>
      </c>
      <c r="I981" s="19" t="n">
        <v>3868.931875</v>
      </c>
      <c r="J981" s="27" t="n">
        <v>1981851</v>
      </c>
      <c r="K981" s="27"/>
      <c r="L981" s="9" t="n">
        <f aca="false">IF(AND(K981&lt;&gt;"",J981&lt;Assumptions!$B$3*K981),K981,J981)</f>
        <v>1981851</v>
      </c>
      <c r="M981" s="21" t="str">
        <f aca="false">IF(L981=J981,"FERC Form 1","EIA-861")</f>
        <v>FERC Form 1</v>
      </c>
      <c r="N981" s="28" t="n">
        <f aca="false">E981+F981+G981</f>
        <v>291.765098</v>
      </c>
    </row>
    <row r="982" customFormat="false" ht="15" hidden="false" customHeight="false" outlineLevel="0" collapsed="false">
      <c r="A982" s="7" t="n">
        <v>2001</v>
      </c>
      <c r="B982" s="15" t="s">
        <v>133</v>
      </c>
      <c r="C982" s="15" t="s">
        <v>118</v>
      </c>
      <c r="D982" s="15" t="s">
        <v>105</v>
      </c>
      <c r="E982" s="19" t="n">
        <v>213.4433</v>
      </c>
      <c r="F982" s="19" t="n">
        <v>189.693111</v>
      </c>
      <c r="G982" s="19" t="n">
        <v>12.227077</v>
      </c>
      <c r="H982" s="19" t="n">
        <v>156.665654</v>
      </c>
      <c r="I982" s="19" t="n">
        <v>4020.376093</v>
      </c>
      <c r="J982" s="27" t="n">
        <v>2027772</v>
      </c>
      <c r="K982" s="27" t="n">
        <v>2000752</v>
      </c>
      <c r="L982" s="9" t="n">
        <f aca="false">IF(AND(K982&lt;&gt;"",J982&lt;Assumptions!$B$3*K982),K982,J982)</f>
        <v>2027772</v>
      </c>
      <c r="M982" s="21" t="str">
        <f aca="false">IF(L982=J982,"FERC Form 1","EIA-861")</f>
        <v>FERC Form 1</v>
      </c>
      <c r="N982" s="28" t="n">
        <f aca="false">E982+F982+G982</f>
        <v>415.363488</v>
      </c>
    </row>
    <row r="983" customFormat="false" ht="15" hidden="false" customHeight="false" outlineLevel="0" collapsed="false">
      <c r="A983" s="7" t="n">
        <v>2002</v>
      </c>
      <c r="B983" s="15" t="s">
        <v>133</v>
      </c>
      <c r="C983" s="15" t="s">
        <v>118</v>
      </c>
      <c r="D983" s="15" t="s">
        <v>105</v>
      </c>
      <c r="E983" s="19" t="n">
        <v>132.636659</v>
      </c>
      <c r="F983" s="19" t="n">
        <v>201.519485</v>
      </c>
      <c r="G983" s="19" t="n">
        <v>-4.164678</v>
      </c>
      <c r="H983" s="19" t="n">
        <v>190.770481</v>
      </c>
      <c r="I983" s="19" t="n">
        <v>4194.532067</v>
      </c>
      <c r="J983" s="27" t="n">
        <v>2048139</v>
      </c>
      <c r="K983" s="27" t="n">
        <v>2021273</v>
      </c>
      <c r="L983" s="9" t="n">
        <f aca="false">IF(AND(K983&lt;&gt;"",J983&lt;Assumptions!$B$3*K983),K983,J983)</f>
        <v>2048139</v>
      </c>
      <c r="M983" s="21" t="str">
        <f aca="false">IF(L983=J983,"FERC Form 1","EIA-861")</f>
        <v>FERC Form 1</v>
      </c>
      <c r="N983" s="28" t="n">
        <f aca="false">E983+F983+G983</f>
        <v>329.991466</v>
      </c>
    </row>
    <row r="984" customFormat="false" ht="15" hidden="false" customHeight="false" outlineLevel="0" collapsed="false">
      <c r="A984" s="7" t="n">
        <v>2003</v>
      </c>
      <c r="B984" s="15" t="s">
        <v>133</v>
      </c>
      <c r="C984" s="15" t="s">
        <v>118</v>
      </c>
      <c r="D984" s="15" t="s">
        <v>105</v>
      </c>
      <c r="E984" s="19" t="n">
        <v>149.857118</v>
      </c>
      <c r="F984" s="19" t="n">
        <v>186.702557</v>
      </c>
      <c r="G984" s="19" t="n">
        <v>-40.75262</v>
      </c>
      <c r="H984" s="19" t="n">
        <v>182.83376</v>
      </c>
      <c r="I984" s="19" t="n">
        <v>4369.571203</v>
      </c>
      <c r="J984" s="27" t="n">
        <v>2061994</v>
      </c>
      <c r="K984" s="27" t="n">
        <v>2035289</v>
      </c>
      <c r="L984" s="9" t="n">
        <f aca="false">IF(AND(K984&lt;&gt;"",J984&lt;Assumptions!$B$3*K984),K984,J984)</f>
        <v>2061994</v>
      </c>
      <c r="M984" s="21" t="str">
        <f aca="false">IF(L984=J984,"FERC Form 1","EIA-861")</f>
        <v>FERC Form 1</v>
      </c>
      <c r="N984" s="28" t="n">
        <f aca="false">E984+F984+G984</f>
        <v>295.807055</v>
      </c>
    </row>
    <row r="985" customFormat="false" ht="15" hidden="false" customHeight="false" outlineLevel="0" collapsed="false">
      <c r="A985" s="7" t="n">
        <v>2004</v>
      </c>
      <c r="B985" s="15" t="s">
        <v>133</v>
      </c>
      <c r="C985" s="15" t="s">
        <v>118</v>
      </c>
      <c r="D985" s="15" t="s">
        <v>105</v>
      </c>
      <c r="E985" s="19" t="n">
        <v>141.037524</v>
      </c>
      <c r="F985" s="19" t="n">
        <v>183.280598</v>
      </c>
      <c r="G985" s="19" t="n">
        <v>110.787831</v>
      </c>
      <c r="H985" s="19" t="n">
        <v>190.268683</v>
      </c>
      <c r="I985" s="19" t="n">
        <v>4562.415942</v>
      </c>
      <c r="J985" s="27" t="n">
        <v>2082450</v>
      </c>
      <c r="K985" s="27" t="n">
        <v>2054975</v>
      </c>
      <c r="L985" s="9" t="n">
        <f aca="false">IF(AND(K985&lt;&gt;"",J985&lt;Assumptions!$B$3*K985),K985,J985)</f>
        <v>2082450</v>
      </c>
      <c r="M985" s="21" t="str">
        <f aca="false">IF(L985=J985,"FERC Form 1","EIA-861")</f>
        <v>FERC Form 1</v>
      </c>
      <c r="N985" s="28" t="n">
        <f aca="false">E985+F985+G985</f>
        <v>435.105953</v>
      </c>
    </row>
    <row r="986" customFormat="false" ht="15" hidden="false" customHeight="false" outlineLevel="0" collapsed="false">
      <c r="A986" s="7" t="n">
        <v>2005</v>
      </c>
      <c r="B986" s="15" t="s">
        <v>133</v>
      </c>
      <c r="C986" s="15" t="s">
        <v>118</v>
      </c>
      <c r="D986" s="15" t="s">
        <v>105</v>
      </c>
      <c r="E986" s="19" t="n">
        <v>144.413231</v>
      </c>
      <c r="F986" s="19" t="n">
        <v>190.480781</v>
      </c>
      <c r="G986" s="19" t="n">
        <v>115.466611</v>
      </c>
      <c r="H986" s="19" t="n">
        <v>186.095241</v>
      </c>
      <c r="I986" s="19" t="n">
        <v>4840.744153</v>
      </c>
      <c r="J986" s="27" t="n">
        <v>2094997</v>
      </c>
      <c r="K986" s="27" t="n">
        <v>2068836</v>
      </c>
      <c r="L986" s="9" t="n">
        <f aca="false">IF(AND(K986&lt;&gt;"",J986&lt;Assumptions!$B$3*K986),K986,J986)</f>
        <v>2094997</v>
      </c>
      <c r="M986" s="21" t="str">
        <f aca="false">IF(L986=J986,"FERC Form 1","EIA-861")</f>
        <v>FERC Form 1</v>
      </c>
      <c r="N986" s="28" t="n">
        <f aca="false">E986+F986+G986</f>
        <v>450.360623</v>
      </c>
    </row>
    <row r="987" customFormat="false" ht="15" hidden="false" customHeight="false" outlineLevel="0" collapsed="false">
      <c r="A987" s="7" t="n">
        <v>2006</v>
      </c>
      <c r="B987" s="15" t="s">
        <v>133</v>
      </c>
      <c r="C987" s="15" t="s">
        <v>118</v>
      </c>
      <c r="D987" s="15" t="s">
        <v>105</v>
      </c>
      <c r="E987" s="19" t="n">
        <v>161.52874</v>
      </c>
      <c r="F987" s="19" t="n">
        <v>192.366341</v>
      </c>
      <c r="G987" s="19" t="n">
        <v>120.105162</v>
      </c>
      <c r="H987" s="19" t="n">
        <v>209.880317</v>
      </c>
      <c r="I987" s="19" t="n">
        <v>5058.405112</v>
      </c>
      <c r="J987" s="27" t="n">
        <v>2082778</v>
      </c>
      <c r="K987" s="27" t="n">
        <v>2082778</v>
      </c>
      <c r="L987" s="9" t="n">
        <f aca="false">IF(AND(K987&lt;&gt;"",J987&lt;Assumptions!$B$3*K987),K987,J987)</f>
        <v>2082778</v>
      </c>
      <c r="M987" s="21" t="str">
        <f aca="false">IF(L987=J987,"FERC Form 1","EIA-861")</f>
        <v>FERC Form 1</v>
      </c>
      <c r="N987" s="28" t="n">
        <f aca="false">E987+F987+G987</f>
        <v>474.000243</v>
      </c>
    </row>
    <row r="988" customFormat="false" ht="15" hidden="false" customHeight="false" outlineLevel="0" collapsed="false">
      <c r="A988" s="7" t="n">
        <v>2007</v>
      </c>
      <c r="B988" s="15" t="s">
        <v>133</v>
      </c>
      <c r="C988" s="15" t="s">
        <v>118</v>
      </c>
      <c r="D988" s="15" t="s">
        <v>105</v>
      </c>
      <c r="E988" s="19" t="n">
        <v>158.629646</v>
      </c>
      <c r="F988" s="19" t="n">
        <v>293.597218</v>
      </c>
      <c r="G988" s="19" t="n">
        <v>125.93664</v>
      </c>
      <c r="H988" s="19" t="n">
        <v>223.188313</v>
      </c>
      <c r="I988" s="19" t="n">
        <v>5294.236352</v>
      </c>
      <c r="J988" s="27" t="n">
        <v>2099626</v>
      </c>
      <c r="K988" s="27" t="n">
        <v>2099626</v>
      </c>
      <c r="L988" s="9" t="n">
        <f aca="false">IF(AND(K988&lt;&gt;"",J988&lt;Assumptions!$B$3*K988),K988,J988)</f>
        <v>2099626</v>
      </c>
      <c r="M988" s="21" t="str">
        <f aca="false">IF(L988=J988,"FERC Form 1","EIA-861")</f>
        <v>FERC Form 1</v>
      </c>
      <c r="N988" s="28" t="n">
        <f aca="false">E988+F988+G988</f>
        <v>578.163504</v>
      </c>
    </row>
    <row r="989" customFormat="false" ht="15" hidden="false" customHeight="false" outlineLevel="0" collapsed="false">
      <c r="A989" s="7" t="n">
        <v>2008</v>
      </c>
      <c r="B989" s="15" t="s">
        <v>133</v>
      </c>
      <c r="C989" s="15" t="s">
        <v>118</v>
      </c>
      <c r="D989" s="15" t="s">
        <v>105</v>
      </c>
      <c r="E989" s="19" t="n">
        <v>163.697101</v>
      </c>
      <c r="F989" s="19" t="n">
        <v>332.142236</v>
      </c>
      <c r="G989" s="19" t="n">
        <v>131.702577</v>
      </c>
      <c r="H989" s="19" t="n">
        <v>263.937915</v>
      </c>
      <c r="I989" s="19" t="n">
        <v>5567.333069</v>
      </c>
      <c r="J989" s="27" t="n">
        <v>2110003</v>
      </c>
      <c r="K989" s="27" t="n">
        <v>2110003</v>
      </c>
      <c r="L989" s="9" t="n">
        <f aca="false">IF(AND(K989&lt;&gt;"",J989&lt;Assumptions!$B$3*K989),K989,J989)</f>
        <v>2110003</v>
      </c>
      <c r="M989" s="21" t="str">
        <f aca="false">IF(L989=J989,"FERC Form 1","EIA-861")</f>
        <v>FERC Form 1</v>
      </c>
      <c r="N989" s="28" t="n">
        <f aca="false">E989+F989+G989</f>
        <v>627.541914</v>
      </c>
    </row>
    <row r="990" customFormat="false" ht="15" hidden="false" customHeight="false" outlineLevel="0" collapsed="false">
      <c r="A990" s="7" t="n">
        <v>2009</v>
      </c>
      <c r="B990" s="15" t="s">
        <v>133</v>
      </c>
      <c r="C990" s="15" t="s">
        <v>118</v>
      </c>
      <c r="D990" s="15" t="s">
        <v>105</v>
      </c>
      <c r="E990" s="19" t="n">
        <v>161.065497</v>
      </c>
      <c r="F990" s="19" t="n">
        <v>391.543879</v>
      </c>
      <c r="G990" s="19" t="n">
        <v>134.09771</v>
      </c>
      <c r="H990" s="19" t="n">
        <v>307.226505</v>
      </c>
      <c r="I990" s="19" t="n">
        <v>5804.214973</v>
      </c>
      <c r="J990" s="27" t="n">
        <v>2132180</v>
      </c>
      <c r="K990" s="27" t="n">
        <v>2132178</v>
      </c>
      <c r="L990" s="9" t="n">
        <f aca="false">IF(AND(K990&lt;&gt;"",J990&lt;Assumptions!$B$3*K990),K990,J990)</f>
        <v>2132180</v>
      </c>
      <c r="M990" s="21" t="str">
        <f aca="false">IF(L990=J990,"FERC Form 1","EIA-861")</f>
        <v>FERC Form 1</v>
      </c>
      <c r="N990" s="28" t="n">
        <f aca="false">E990+F990+G990</f>
        <v>686.707086</v>
      </c>
    </row>
    <row r="991" customFormat="false" ht="15" hidden="false" customHeight="false" outlineLevel="0" collapsed="false">
      <c r="A991" s="7" t="n">
        <v>2010</v>
      </c>
      <c r="B991" s="15" t="s">
        <v>133</v>
      </c>
      <c r="C991" s="15" t="s">
        <v>118</v>
      </c>
      <c r="D991" s="15" t="s">
        <v>105</v>
      </c>
      <c r="E991" s="19" t="n">
        <v>147.024564</v>
      </c>
      <c r="F991" s="19" t="n">
        <v>405.018583</v>
      </c>
      <c r="G991" s="19" t="n">
        <v>146.82711</v>
      </c>
      <c r="H991" s="19" t="n">
        <v>444.209842</v>
      </c>
      <c r="I991" s="19" t="n">
        <v>6208.006802</v>
      </c>
      <c r="J991" s="27" t="n">
        <v>2154826</v>
      </c>
      <c r="K991" s="27" t="n">
        <v>2154826</v>
      </c>
      <c r="L991" s="9" t="n">
        <f aca="false">IF(AND(K991&lt;&gt;"",J991&lt;Assumptions!$B$3*K991),K991,J991)</f>
        <v>2154826</v>
      </c>
      <c r="M991" s="21" t="str">
        <f aca="false">IF(L991=J991,"FERC Form 1","EIA-861")</f>
        <v>FERC Form 1</v>
      </c>
      <c r="N991" s="28" t="n">
        <f aca="false">E991+F991+G991</f>
        <v>698.870257</v>
      </c>
    </row>
    <row r="992" customFormat="false" ht="15" hidden="false" customHeight="false" outlineLevel="0" collapsed="false">
      <c r="A992" s="7" t="n">
        <v>2011</v>
      </c>
      <c r="B992" s="15" t="s">
        <v>133</v>
      </c>
      <c r="C992" s="15" t="s">
        <v>118</v>
      </c>
      <c r="D992" s="15" t="s">
        <v>105</v>
      </c>
      <c r="E992" s="19" t="n">
        <v>148.115188</v>
      </c>
      <c r="F992" s="19" t="n">
        <v>386.812301</v>
      </c>
      <c r="G992" s="19" t="n">
        <v>156.678801</v>
      </c>
      <c r="H992" s="19" t="n">
        <v>339.01426</v>
      </c>
      <c r="I992" s="19" t="n">
        <v>6522.652726</v>
      </c>
      <c r="J992" s="27" t="n">
        <v>2157075</v>
      </c>
      <c r="K992" s="27" t="n">
        <v>2157077</v>
      </c>
      <c r="L992" s="9" t="n">
        <f aca="false">IF(AND(K992&lt;&gt;"",J992&lt;Assumptions!$B$3*K992),K992,J992)</f>
        <v>2157075</v>
      </c>
      <c r="M992" s="21" t="str">
        <f aca="false">IF(L992=J992,"FERC Form 1","EIA-861")</f>
        <v>FERC Form 1</v>
      </c>
      <c r="N992" s="28" t="n">
        <f aca="false">E992+F992+G992</f>
        <v>691.60629</v>
      </c>
    </row>
    <row r="993" customFormat="false" ht="15" hidden="false" customHeight="false" outlineLevel="0" collapsed="false">
      <c r="A993" s="7" t="n">
        <v>2012</v>
      </c>
      <c r="B993" s="15" t="s">
        <v>133</v>
      </c>
      <c r="C993" s="15" t="s">
        <v>118</v>
      </c>
      <c r="D993" s="15" t="s">
        <v>105</v>
      </c>
      <c r="E993" s="19" t="n">
        <v>172.15904</v>
      </c>
      <c r="F993" s="19" t="n">
        <v>427.848848</v>
      </c>
      <c r="G993" s="19" t="n">
        <v>158.803706</v>
      </c>
      <c r="H993" s="19" t="n">
        <v>325.15345</v>
      </c>
      <c r="I993" s="19" t="n">
        <v>6815.168244</v>
      </c>
      <c r="J993" s="27" t="n">
        <v>2164583</v>
      </c>
      <c r="K993" s="27" t="n">
        <v>2164585</v>
      </c>
      <c r="L993" s="9" t="n">
        <f aca="false">IF(AND(K993&lt;&gt;"",J993&lt;Assumptions!$B$3*K993),K993,J993)</f>
        <v>2164583</v>
      </c>
      <c r="M993" s="21" t="str">
        <f aca="false">IF(L993=J993,"FERC Form 1","EIA-861")</f>
        <v>FERC Form 1</v>
      </c>
      <c r="N993" s="28" t="n">
        <f aca="false">E993+F993+G993</f>
        <v>758.811594</v>
      </c>
    </row>
    <row r="994" customFormat="false" ht="15" hidden="false" customHeight="false" outlineLevel="0" collapsed="false">
      <c r="A994" s="7" t="n">
        <v>2013</v>
      </c>
      <c r="B994" s="15" t="s">
        <v>133</v>
      </c>
      <c r="C994" s="15" t="s">
        <v>118</v>
      </c>
      <c r="D994" s="15" t="s">
        <v>105</v>
      </c>
      <c r="E994" s="19" t="n">
        <v>161.707275</v>
      </c>
      <c r="F994" s="19" t="n">
        <v>510.747312</v>
      </c>
      <c r="G994" s="19" t="n">
        <v>168.085332</v>
      </c>
      <c r="H994" s="19" t="n">
        <v>367.724915</v>
      </c>
      <c r="I994" s="19" t="n">
        <v>7127.939233</v>
      </c>
      <c r="J994" s="27" t="n">
        <v>2194066</v>
      </c>
      <c r="K994" s="27" t="n">
        <v>2167513</v>
      </c>
      <c r="L994" s="9" t="n">
        <f aca="false">IF(AND(K994&lt;&gt;"",J994&lt;Assumptions!$B$3*K994),K994,J994)</f>
        <v>2194066</v>
      </c>
      <c r="M994" s="21" t="str">
        <f aca="false">IF(L994=J994,"FERC Form 1","EIA-861")</f>
        <v>FERC Form 1</v>
      </c>
      <c r="N994" s="28" t="n">
        <f aca="false">E994+F994+G994</f>
        <v>840.539919</v>
      </c>
    </row>
    <row r="995" customFormat="false" ht="15" hidden="false" customHeight="false" outlineLevel="0" collapsed="false">
      <c r="A995" s="7" t="n">
        <v>2014</v>
      </c>
      <c r="B995" s="15" t="s">
        <v>133</v>
      </c>
      <c r="C995" s="15" t="s">
        <v>118</v>
      </c>
      <c r="D995" s="15" t="s">
        <v>105</v>
      </c>
      <c r="E995" s="19" t="n">
        <v>169.243218</v>
      </c>
      <c r="F995" s="19" t="n">
        <v>507.422154</v>
      </c>
      <c r="G995" s="19" t="n">
        <v>176.262648</v>
      </c>
      <c r="H995" s="19" t="n">
        <v>215.302794</v>
      </c>
      <c r="I995" s="19" t="n">
        <v>7321.945415</v>
      </c>
      <c r="J995" s="27" t="n">
        <v>2201077</v>
      </c>
      <c r="K995" s="27" t="n">
        <v>2201077</v>
      </c>
      <c r="L995" s="9" t="n">
        <f aca="false">IF(AND(K995&lt;&gt;"",J995&lt;Assumptions!$B$3*K995),K995,J995)</f>
        <v>2201077</v>
      </c>
      <c r="M995" s="21" t="str">
        <f aca="false">IF(L995=J995,"FERC Form 1","EIA-861")</f>
        <v>FERC Form 1</v>
      </c>
      <c r="N995" s="28" t="n">
        <f aca="false">E995+F995+G995</f>
        <v>852.92802</v>
      </c>
    </row>
    <row r="996" customFormat="false" ht="15" hidden="false" customHeight="false" outlineLevel="0" collapsed="false">
      <c r="A996" s="7" t="n">
        <v>2015</v>
      </c>
      <c r="B996" s="15" t="s">
        <v>133</v>
      </c>
      <c r="C996" s="15" t="s">
        <v>118</v>
      </c>
      <c r="D996" s="15" t="s">
        <v>105</v>
      </c>
      <c r="E996" s="19" t="n">
        <v>169.001131</v>
      </c>
      <c r="F996" s="19" t="n">
        <v>464.959888</v>
      </c>
      <c r="G996" s="19" t="n">
        <v>184.87607</v>
      </c>
      <c r="H996" s="19" t="n">
        <v>374.844759</v>
      </c>
      <c r="I996" s="19" t="n">
        <v>7601.744387</v>
      </c>
      <c r="J996" s="27" t="n">
        <v>2216274</v>
      </c>
      <c r="K996" s="27" t="n">
        <v>2214633</v>
      </c>
      <c r="L996" s="9" t="n">
        <f aca="false">IF(AND(K996&lt;&gt;"",J996&lt;Assumptions!$B$3*K996),K996,J996)</f>
        <v>2216274</v>
      </c>
      <c r="M996" s="21" t="str">
        <f aca="false">IF(L996=J996,"FERC Form 1","EIA-861")</f>
        <v>FERC Form 1</v>
      </c>
      <c r="N996" s="28" t="n">
        <f aca="false">E996+F996+G996</f>
        <v>818.837089</v>
      </c>
    </row>
    <row r="997" customFormat="false" ht="15" hidden="false" customHeight="false" outlineLevel="0" collapsed="false">
      <c r="A997" s="7" t="n">
        <v>2016</v>
      </c>
      <c r="B997" s="15" t="s">
        <v>133</v>
      </c>
      <c r="C997" s="15" t="s">
        <v>118</v>
      </c>
      <c r="D997" s="15" t="s">
        <v>105</v>
      </c>
      <c r="E997" s="19" t="n">
        <v>176.53177</v>
      </c>
      <c r="F997" s="19" t="n">
        <v>393.734328</v>
      </c>
      <c r="G997" s="19" t="n">
        <v>194.420229</v>
      </c>
      <c r="H997" s="19" t="n">
        <v>486.743227</v>
      </c>
      <c r="I997" s="19" t="n">
        <v>7999.780624</v>
      </c>
      <c r="J997" s="27" t="n">
        <v>2227065</v>
      </c>
      <c r="K997" s="27" t="n">
        <v>2227066</v>
      </c>
      <c r="L997" s="9" t="n">
        <f aca="false">IF(AND(K997&lt;&gt;"",J997&lt;Assumptions!$B$3*K997),K997,J997)</f>
        <v>2227065</v>
      </c>
      <c r="M997" s="21" t="str">
        <f aca="false">IF(L997=J997,"FERC Form 1","EIA-861")</f>
        <v>FERC Form 1</v>
      </c>
      <c r="N997" s="28" t="n">
        <f aca="false">E997+F997+G997</f>
        <v>764.686327</v>
      </c>
    </row>
    <row r="998" customFormat="false" ht="15" hidden="false" customHeight="false" outlineLevel="0" collapsed="false">
      <c r="A998" s="7" t="n">
        <v>2017</v>
      </c>
      <c r="B998" s="15" t="s">
        <v>133</v>
      </c>
      <c r="C998" s="15" t="s">
        <v>118</v>
      </c>
      <c r="D998" s="15" t="s">
        <v>105</v>
      </c>
      <c r="E998" s="19" t="n">
        <v>169.334213</v>
      </c>
      <c r="F998" s="19" t="n">
        <v>362.677648</v>
      </c>
      <c r="G998" s="19" t="n">
        <v>205.881323</v>
      </c>
      <c r="H998" s="19" t="n">
        <v>558.015867</v>
      </c>
      <c r="I998" s="19" t="n">
        <v>8478.887662</v>
      </c>
      <c r="J998" s="27" t="n">
        <v>2243761</v>
      </c>
      <c r="K998" s="27" t="n">
        <v>2243761</v>
      </c>
      <c r="L998" s="9" t="n">
        <f aca="false">IF(AND(K998&lt;&gt;"",J998&lt;Assumptions!$B$3*K998),K998,J998)</f>
        <v>2243761</v>
      </c>
      <c r="M998" s="21" t="str">
        <f aca="false">IF(L998=J998,"FERC Form 1","EIA-861")</f>
        <v>FERC Form 1</v>
      </c>
      <c r="N998" s="28" t="n">
        <f aca="false">E998+F998+G998</f>
        <v>737.893184</v>
      </c>
    </row>
    <row r="999" customFormat="false" ht="15" hidden="false" customHeight="false" outlineLevel="0" collapsed="false">
      <c r="A999" s="7" t="n">
        <v>2018</v>
      </c>
      <c r="B999" s="15" t="s">
        <v>133</v>
      </c>
      <c r="C999" s="15" t="s">
        <v>118</v>
      </c>
      <c r="D999" s="15" t="s">
        <v>105</v>
      </c>
      <c r="E999" s="19" t="n">
        <v>197.808296</v>
      </c>
      <c r="F999" s="19" t="n">
        <v>387.472788</v>
      </c>
      <c r="G999" s="19" t="n">
        <v>217.918872</v>
      </c>
      <c r="H999" s="19" t="n">
        <v>636.450939</v>
      </c>
      <c r="I999" s="19" t="n">
        <v>9014.020482</v>
      </c>
      <c r="J999" s="27" t="n">
        <v>2266833</v>
      </c>
      <c r="K999" s="27" t="n">
        <v>2266387</v>
      </c>
      <c r="L999" s="9" t="n">
        <f aca="false">IF(AND(K999&lt;&gt;"",J999&lt;Assumptions!$B$3*K999),K999,J999)</f>
        <v>2266833</v>
      </c>
      <c r="M999" s="21" t="str">
        <f aca="false">IF(L999=J999,"FERC Form 1","EIA-861")</f>
        <v>FERC Form 1</v>
      </c>
      <c r="N999" s="28" t="n">
        <f aca="false">E999+F999+G999</f>
        <v>803.199956</v>
      </c>
    </row>
    <row r="1000" customFormat="false" ht="15" hidden="false" customHeight="false" outlineLevel="0" collapsed="false">
      <c r="A1000" s="7" t="n">
        <v>2019</v>
      </c>
      <c r="B1000" s="15" t="s">
        <v>133</v>
      </c>
      <c r="C1000" s="15" t="s">
        <v>118</v>
      </c>
      <c r="D1000" s="15" t="s">
        <v>105</v>
      </c>
      <c r="E1000" s="19" t="n">
        <v>172.783365</v>
      </c>
      <c r="F1000" s="19" t="n">
        <v>429.666384</v>
      </c>
      <c r="G1000" s="19" t="n">
        <v>229.027684</v>
      </c>
      <c r="H1000" s="19" t="n">
        <v>364.048875</v>
      </c>
      <c r="I1000" s="19" t="n">
        <v>9278.94868</v>
      </c>
      <c r="J1000" s="27" t="n">
        <v>2285737</v>
      </c>
      <c r="K1000" s="27" t="n">
        <v>2285737</v>
      </c>
      <c r="L1000" s="9" t="n">
        <f aca="false">IF(AND(K1000&lt;&gt;"",J1000&lt;Assumptions!$B$3*K1000),K1000,J1000)</f>
        <v>2285737</v>
      </c>
      <c r="M1000" s="21" t="str">
        <f aca="false">IF(L1000=J1000,"FERC Form 1","EIA-861")</f>
        <v>FERC Form 1</v>
      </c>
      <c r="N1000" s="28" t="n">
        <f aca="false">E1000+F1000+G1000</f>
        <v>831.477433</v>
      </c>
    </row>
    <row r="1001" customFormat="false" ht="15" hidden="false" customHeight="false" outlineLevel="0" collapsed="false">
      <c r="A1001" s="7" t="n">
        <v>2020</v>
      </c>
      <c r="B1001" s="15" t="s">
        <v>133</v>
      </c>
      <c r="C1001" s="15" t="s">
        <v>118</v>
      </c>
      <c r="D1001" s="15" t="s">
        <v>105</v>
      </c>
      <c r="E1001" s="19" t="n">
        <v>189.467643</v>
      </c>
      <c r="F1001" s="19" t="n">
        <v>429.288408</v>
      </c>
      <c r="G1001" s="19" t="n">
        <v>237.11525</v>
      </c>
      <c r="H1001" s="19" t="n">
        <v>423.540716</v>
      </c>
      <c r="I1001" s="19" t="n">
        <v>9645.302358</v>
      </c>
      <c r="J1001" s="27" t="n">
        <v>2299414</v>
      </c>
      <c r="K1001" s="27" t="n">
        <v>2299415</v>
      </c>
      <c r="L1001" s="9" t="n">
        <f aca="false">IF(AND(K1001&lt;&gt;"",J1001&lt;Assumptions!$B$3*K1001),K1001,J1001)</f>
        <v>2299414</v>
      </c>
      <c r="M1001" s="21" t="str">
        <f aca="false">IF(L1001=J1001,"FERC Form 1","EIA-861")</f>
        <v>FERC Form 1</v>
      </c>
      <c r="N1001" s="28" t="n">
        <f aca="false">E1001+F1001+G1001</f>
        <v>855.871301</v>
      </c>
    </row>
    <row r="1002" customFormat="false" ht="15" hidden="false" customHeight="false" outlineLevel="0" collapsed="false">
      <c r="A1002" s="7" t="n">
        <v>2021</v>
      </c>
      <c r="B1002" s="15" t="s">
        <v>133</v>
      </c>
      <c r="C1002" s="15" t="s">
        <v>118</v>
      </c>
      <c r="D1002" s="15" t="s">
        <v>105</v>
      </c>
      <c r="E1002" s="19" t="n">
        <v>178.36226</v>
      </c>
      <c r="F1002" s="19" t="n">
        <v>478.167396</v>
      </c>
      <c r="G1002" s="19" t="n">
        <v>247.985586</v>
      </c>
      <c r="H1002" s="19" t="n">
        <v>646.217011</v>
      </c>
      <c r="I1002" s="19" t="n">
        <v>10245.962222</v>
      </c>
      <c r="J1002" s="27" t="n">
        <v>2323747</v>
      </c>
      <c r="K1002" s="27" t="n">
        <v>2323293</v>
      </c>
      <c r="L1002" s="9" t="n">
        <f aca="false">IF(AND(K1002&lt;&gt;"",J1002&lt;Assumptions!$B$3*K1002),K1002,J1002)</f>
        <v>2323747</v>
      </c>
      <c r="M1002" s="21" t="str">
        <f aca="false">IF(L1002=J1002,"FERC Form 1","EIA-861")</f>
        <v>FERC Form 1</v>
      </c>
      <c r="N1002" s="28" t="n">
        <f aca="false">E1002+F1002+G1002</f>
        <v>904.515242</v>
      </c>
    </row>
    <row r="1003" customFormat="false" ht="15" hidden="false" customHeight="false" outlineLevel="0" collapsed="false">
      <c r="A1003" s="7" t="n">
        <v>2022</v>
      </c>
      <c r="B1003" s="15" t="s">
        <v>133</v>
      </c>
      <c r="C1003" s="15" t="s">
        <v>118</v>
      </c>
      <c r="D1003" s="15" t="s">
        <v>105</v>
      </c>
      <c r="E1003" s="19" t="n">
        <v>178.009259</v>
      </c>
      <c r="F1003" s="19" t="n">
        <v>548.924291</v>
      </c>
      <c r="G1003" s="19" t="n">
        <v>257.769144</v>
      </c>
      <c r="H1003" s="19" t="n">
        <v>653.15202</v>
      </c>
      <c r="I1003" s="19" t="n">
        <v>10807.519439</v>
      </c>
      <c r="J1003" s="27" t="n">
        <v>2346606</v>
      </c>
      <c r="K1003" s="27" t="n">
        <v>2346142</v>
      </c>
      <c r="L1003" s="9" t="n">
        <f aca="false">IF(AND(K1003&lt;&gt;"",J1003&lt;Assumptions!$B$3*K1003),K1003,J1003)</f>
        <v>2346606</v>
      </c>
      <c r="M1003" s="21" t="str">
        <f aca="false">IF(L1003=J1003,"FERC Form 1","EIA-861")</f>
        <v>FERC Form 1</v>
      </c>
      <c r="N1003" s="28" t="n">
        <f aca="false">E1003+F1003+G1003</f>
        <v>984.702694</v>
      </c>
    </row>
    <row r="1004" customFormat="false" ht="15" hidden="false" customHeight="false" outlineLevel="0" collapsed="false">
      <c r="A1004" s="7" t="n">
        <v>2023</v>
      </c>
      <c r="B1004" s="15" t="s">
        <v>133</v>
      </c>
      <c r="C1004" s="15" t="s">
        <v>118</v>
      </c>
      <c r="D1004" s="15" t="s">
        <v>105</v>
      </c>
      <c r="E1004" s="19" t="n">
        <v>190.773603</v>
      </c>
      <c r="F1004" s="19" t="n">
        <v>535.247039</v>
      </c>
      <c r="G1004" s="19" t="n">
        <v>263.882536</v>
      </c>
      <c r="H1004" s="19" t="n">
        <v>933.561793</v>
      </c>
      <c r="I1004" s="19" t="n">
        <v>11574.29916</v>
      </c>
      <c r="J1004" s="27" t="n">
        <v>2369557</v>
      </c>
      <c r="K1004" s="27" t="n">
        <v>2368500</v>
      </c>
      <c r="L1004" s="9" t="n">
        <f aca="false">IF(AND(K1004&lt;&gt;"",J1004&lt;Assumptions!$B$3*K1004),K1004,J1004)</f>
        <v>2369557</v>
      </c>
      <c r="M1004" s="21" t="str">
        <f aca="false">IF(L1004=J1004,"FERC Form 1","EIA-861")</f>
        <v>FERC Form 1</v>
      </c>
      <c r="N1004" s="28" t="n">
        <f aca="false">E1004+F1004+G1004</f>
        <v>989.903178</v>
      </c>
    </row>
    <row r="1005" customFormat="false" ht="15" hidden="false" customHeight="false" outlineLevel="0" collapsed="false">
      <c r="A1005" s="7" t="n">
        <v>2024</v>
      </c>
      <c r="B1005" s="15" t="s">
        <v>133</v>
      </c>
      <c r="C1005" s="15" t="s">
        <v>118</v>
      </c>
      <c r="D1005" s="15" t="s">
        <v>105</v>
      </c>
      <c r="E1005" s="19" t="n">
        <v>206.061557</v>
      </c>
      <c r="F1005" s="19" t="n">
        <v>522.035651</v>
      </c>
      <c r="G1005" s="19" t="n">
        <v>270.972735</v>
      </c>
      <c r="H1005" s="19" t="n">
        <v>1088.774348</v>
      </c>
      <c r="I1005" s="19" t="n">
        <v>12539.321232</v>
      </c>
      <c r="J1005" s="27" t="n">
        <v>2390225</v>
      </c>
      <c r="K1005" s="27" t="n">
        <v>2389765</v>
      </c>
      <c r="L1005" s="9" t="n">
        <f aca="false">IF(AND(K1005&lt;&gt;"",J1005&lt;Assumptions!$B$3*K1005),K1005,J1005)</f>
        <v>2390225</v>
      </c>
      <c r="M1005" s="21" t="str">
        <f aca="false">IF(L1005=J1005,"FERC Form 1","EIA-861")</f>
        <v>FERC Form 1</v>
      </c>
      <c r="N1005" s="28" t="n">
        <f aca="false">E1005+F1005+G1005</f>
        <v>999.069943</v>
      </c>
    </row>
    <row r="1006" customFormat="false" ht="15" hidden="false" customHeight="false" outlineLevel="0" collapsed="false">
      <c r="A1006" s="7" t="n">
        <v>2025</v>
      </c>
      <c r="B1006" s="15" t="s">
        <v>133</v>
      </c>
      <c r="C1006" s="15" t="s">
        <v>118</v>
      </c>
      <c r="D1006" s="15" t="s">
        <v>105</v>
      </c>
      <c r="E1006" s="19" t="n">
        <v>223.895789</v>
      </c>
      <c r="F1006" s="19" t="n">
        <v>695.236726</v>
      </c>
      <c r="G1006" s="19" t="n">
        <v>351.71308</v>
      </c>
      <c r="H1006" s="19" t="n">
        <v>972.603799</v>
      </c>
      <c r="I1006" s="19" t="n">
        <v>13768.811402</v>
      </c>
      <c r="J1006" s="27" t="n">
        <v>2409123</v>
      </c>
      <c r="K1006" s="27" t="n">
        <v>2405805</v>
      </c>
      <c r="L1006" s="9" t="n">
        <f aca="false">IF(AND(K1006&lt;&gt;"",J1006&lt;Assumptions!$B$3*K1006),K1006,J1006)</f>
        <v>2409123</v>
      </c>
      <c r="M1006" s="21" t="str">
        <f aca="false">IF(L1006=J1006,"FERC Form 1","EIA-861")</f>
        <v>FERC Form 1</v>
      </c>
      <c r="N1006" s="28" t="n">
        <f aca="false">E1006+F1006+G1006</f>
        <v>1270.845595</v>
      </c>
    </row>
  </sheetData>
  <autoFilter ref="A1:N100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2026-10-24T18:25:25Z</dcterms:created>
  <dc:creator>openpyxl</dc:creator>
  <dc:description/>
  <dc:language>en-US</dc:language>
  <cp:lastModifiedBy/>
  <dcterms:modified xsi:type="dcterms:W3CDTF">2026-10-24T18:25:25Z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