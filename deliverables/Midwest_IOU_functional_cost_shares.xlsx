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es" sheetId="1" state="visible" r:id="rId3"/>
    <sheet name="Peer Shares" sheetId="2" state="visible" r:id="rId4"/>
    <sheet name="Utility Shares" sheetId="3" state="visible" r:id="rId5"/>
    <sheet name="Reconciliation" sheetId="4" state="visible" r:id="rId6"/>
    <sheet name="Transmission Transfers" sheetId="5" state="visible" r:id="rId7"/>
    <sheet name="Peer Group" sheetId="6" state="visible" r:id="rId8"/>
    <sheet name="Category Map" sheetId="7" state="visible" r:id="rId9"/>
    <sheet name="Data" sheetId="8" state="visible" r:id="rId10"/>
  </sheets>
  <definedNames>
    <definedName function="false" hidden="true" localSheetId="7" name="_xlnm._FilterDatabase" vbProcedure="false">Data!$A$1:$G$2657</definedName>
    <definedName function="false" hidden="true" localSheetId="3" name="_xlnm._FilterDatabase" vbProcedure="false">Reconciliation!$A$5:$M$590</definedName>
    <definedName function="false" hidden="true" localSheetId="2" name="_xlnm._FilterDatabase" vbProcedure="false">'Utility Shares'!$A$1:$K$584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<sst xmlns="http://schemas.openxmlformats.org/spreadsheetml/2006/main" count="10031" uniqueCount="238">
  <si>
    <t xml:space="preserve">Midwest IOU peer group: functional shares of non-generation O&amp;M plus depreciation, 1995–2025</t>
  </si>
  <si>
    <t xml:space="preserve">Prepared 2026-10-25. Generation is excluded from this version. Supersedes the earlier 2026-10-25 version, which included generation, the version of 2026-10-24, which had 17 peers (no Illinois utilities), and the version of 2026-10-14, which used an earlier PUDL download (see Source and version).</t>
  </si>
  <si>
    <t xml:space="preserve">Measure</t>
  </si>
  <si>
    <t xml:space="preserve">Cost = operation and maintenance expense (FERC Form 1 pp. 320–323) plus depreciation and amortization expense (FERC Form 1 p. 336), electric utility only, nominal dollars, for transmission, distribution, regional market operation, customer accounts, service and sales, and administrative and general. Generation is excluded: O&amp;M accounts 500–557 (including fuel and purchased power) and 577–578, and depreciation of production and energy-storage plant. Ohio and Illinois are retail-choice states in which the distribution utilities do not own generation, so the comparison is limited to the functions all peers perform.</t>
  </si>
  <si>
    <t xml:space="preserve">Not included: return on rate base, income and other taxes, interest.</t>
  </si>
  <si>
    <t xml:space="preserve">Account 565 (transmission of electricity by others) is included in Transmission.</t>
  </si>
  <si>
    <t xml:space="preserve">Shares are dollar-weighted: each category’s peer-group total divided by the peer-group non-generation total for the year. Utility Shares gives the same calculation for each utility.</t>
  </si>
  <si>
    <t xml:space="preserve">Sheets</t>
  </si>
  <si>
    <t xml:space="preserve">Peer Shares – aggregate shares of non-generation cost by year, with the O&amp;M and depreciation portions of each year’s total.</t>
  </si>
  <si>
    <t xml:space="preserve">Utility Shares – shares of non-generation cost by utility and year.</t>
  </si>
  <si>
    <t xml:space="preserve">Reconciliation – line items compared with reported total O&amp;M and total depreciation for every utility-year, with the tolerance in a labeled input cell.</t>
  </si>
  <si>
    <t xml:space="preserve">Transmission Transfers – transfers of peer transmission systems to transmission-only companies, with sources and the corresponding change in account 565.</t>
  </si>
  <si>
    <t xml:space="preserve">Peer Group – selection criteria, included utilities, and excluded FERC Form 1 respondents in the six states, with plant in service.</t>
  </si>
  <si>
    <t xml:space="preserve">Category Map – assignment of FERC accounts and p. 336 plant functions to categories.</t>
  </si>
  <si>
    <t xml:space="preserve">Data – input amounts ($ millions) by utility, year and category. Peer Shares, Utility Shares and the calculated columns of Transmission Transfers calculate from this sheet by formula.</t>
  </si>
  <si>
    <t xml:space="preserve">Source and version</t>
  </si>
  <si>
    <t xml:space="preserve">Catalyst Cooperative, Public Utility Data Liberation (PUDL), data release v2026.10.0 (datapackage created 2026-10-14T17:10:33Z; git SHA 90561c620a8292583c59b063fe7fd69f59035c24; DOI https://doi.org/10.5281/zenodo.22172378). Documentation: https://docs.catalyst.coop/pudl/en/v2026.10.0/data_sources/ferc1.html. License: CC-BY-4.0 (PUDL); underlying FERC data are U.S. Government works.</t>
  </si>
  <si>
    <t xml:space="preserve">Files, downloaded 2026-10-24 from the versioned path https://s3.us-west-2.amazonaws.com/pudl.catalyst.coop/v2026.10.0/ ; SHA-256 hashes match the release’s pudl_parquet_datapackage.json:</t>
  </si>
  <si>
    <t xml:space="preserve">   core_ferc1__yearly_operating_expenses_sched320.parquet  ab3b33ae585652f5a784afa8fa4f1a63a760069b95b2a406a87be221da36800b  (O&amp;M, FERC Form 1 Schedule 320)</t>
  </si>
  <si>
    <t xml:space="preserve">   core_ferc1__yearly_depreciation_summary_sched336.parquet  feacae25fd95f9679674770462f3fb66e016f6805f86f16bb225784fbf0980a3  (depreciation, Schedule 336 Section A; row ferc_account_label = depreciation_amortization_total)</t>
  </si>
  <si>
    <t xml:space="preserve">   core_ferc1__yearly_plant_in_service_sched204.parquet  1f0b03cc12aa1ca12531c7b8efdad34c34cb09a1c1d01782eab8d77d09ba0922  (plant in service, Schedule 204; Peer Group sheet only)</t>
  </si>
  <si>
    <t xml:space="preserve">   out_ferc1__yearly_rate_base.parquet  ccb899408adfc522b322690f70a2e536922a078c9b5c3f86a48bafcccef6e72d  (respondent names only)</t>
  </si>
  <si>
    <t xml:space="preserve">PUDL values are Catalyst’s standardized extraction of FERC Form 1 filings (Visual FoxPro data through 2020, XBRL from 2021); they are not the filings as submitted. PUDL documents that some columns contain subtotals and that FERC data contain unlabeled total rows.</t>
  </si>
  <si>
    <t xml:space="preserve">Version history: the 2026-10-14 workbook used files downloaded 2026-10-14 between 13:36 and 13:45 GMT from the unversioned “stable” path, before v2026.10.0 was published to that path (17:41 GMT the same day). The version number of those earlier files was not recorded. Rerunning the analysis on v2026.10.0 produced identical amounts for all 2,900 utility-year-category records.</t>
  </si>
  <si>
    <t xml:space="preserve">Data treatment</t>
  </si>
  <si>
    <t xml:space="preserve">1. O&amp;M uses line-item rows only (generation lines are then set aside) (PUDL row_type_xbrl = reported_value), plus unnumbered energy-storage O&amp;M rows in 2021–2024 that PUDL leaves untyped; subtotal and total rows are excluded. The PUDL row administrative_and_general_expenses, a total tagged as reported, is excluded.</t>
  </si>
  <si>
    <t xml:space="preserve">2. Accounts 504, 522, 922 and 929 are credit accounts that PUDL stores as positive amounts; they are entered as negative amounts, as in FERC’s totals. With this treatment, line items reconcile to reported total electric O&amp;M in every included utility-year: the largest difference is $0.95 million (Duke Energy Indiana, 2024; 0.06% of its reported total). Depreciation function rows reconcile to reported total depreciation in every utility-year that has a reported total, with differences below $0.01 million (Reconciliation sheet).</t>
  </si>
  <si>
    <t xml:space="preserve">3. 2024–2025 rows whose PUDL account number does not match the line label (new renewable, storage, computer and communication lines) are assigned by label.</t>
  </si>
  <si>
    <t xml:space="preserve">4. Two utility-years are excluded because O&amp;M line items do not reconcile to the reported total electric O&amp;M: Madison Gas &amp; Electric 2006 (line items $398.2 million against $233.6 million; account 935 reported at $110.3 million) and Ameren Illinois 2006 (Illinois Power Company line items $1,280.2 million against $925.7 million; accounts 935 and 931 reported at $240.6 million and $120.3 million). Both discrepancies are present in v2026.10.0.</t>
  </si>
  <si>
    <t xml:space="preserve">5. Missing years: PUDL contains no FERC Form 1 O&amp;M data for Consumers Energy for 2002–2004 or for Commonwealth Edison for 1997, under any respondent ID. The number of utilities in each year is on the Peer Shares sheets (column B).</t>
  </si>
  <si>
    <t xml:space="preserve">6. MidAmerican Energy 2024–2025: a pumped-storage depreciation row duplicates the other-production row ($485.2 million in 2024, $27.7 million in 2025) and is removed; the remaining rows reconcile to reported total depreciation. The duplicate is present in v2026.10.0.</t>
  </si>
  <si>
    <t xml:space="preserve">7. Interstate Power &amp; Light 1995–2001 is the sum of IES Utilities Inc. (FERC ID 19) and Interstate Power Company (FERC ID 21), which merged into Interstate Power and Light Company (FERC ID 220) in 2002. Ameren Illinois 1995–2009 is the sum of Central Illinois Light Company (ID 6), Central Illinois Public Service Company (ID 7) and Illinois Power Company (ID 20); from 2010 it is Ameren Illinois Company (ID 222), whose 2010 report covers the merged company for the full year (1,197,805 average customers). IDs 6 and 20 also filed partial-year 2010 reports, which are not used.</t>
  </si>
  <si>
    <t xml:space="preserve">8. The Reconciliation sheet compares all electric O&amp;M and depreciation, generation included, with the reported totals; generation is excluded only after that check.</t>
  </si>
  <si>
    <t xml:space="preserve">9. DTE Electric 2006 has no reported total depreciation in PUDL; its p. 336 function rows ($866.5 million) are used without that check. Its O&amp;M reconciles to the reported total.</t>
  </si>
  <si>
    <t xml:space="preserve">10. Amounts are nominal dollars. Shares require no inflation adjustment.</t>
  </si>
  <si>
    <t xml:space="preserve">11. Overheads at integrated utilities: 17 of the 19 peers own generating plant in 2025 (all except Commonwealth Edison, with none, and Ameren Illinois, with $19 million of production plant), and their administrative and general expenses, general plant and customer costs also support generation; no functional split of those overheads is reported. Excluding generation O&amp;M and depreciation therefore leaves A&amp;G a larger share of non-generation cost at integrated peers than at Commonwealth Edison and Ameren Illinois, which own little or no generation. Commonwealth Edison and the Ameren Illinois predecessors transferred or sold their generating plant between 1999 and 2005 (production plant in PUDL: Commonwealth Edison $17,292 million in 1995, none from 2001; Illinois Power $4,353 million in 1995, $1 million from 1999).</t>
  </si>
  <si>
    <t xml:space="preserve">Calculation code</t>
  </si>
  <si>
    <t xml:space="preserve">Three files accompany this workbook: download_pudl.sh (downloads the four PUDL files above and checks their SHA-256 hashes), peer_shares.py (builds the category tables from the PUDL files and prints reconciliation checks: python peer_shares.py &lt;dir&gt; check), and build_workbook.py (writes this workbook: python build_workbook.py &lt;dir&gt; peer_shares.py &lt;output.xlsx&gt;). Requirements: Python 3, duckdb, openpyxl. The workbook’s formulas were recalculated with LibreOffice before delivery.</t>
  </si>
  <si>
    <t xml:space="preserve">Formatting</t>
  </si>
  <si>
    <t xml:space="preserve">Blue text: input values taken from PUDL or from the sources named on the sheet. Black text: formulas that refer only to cells on the same sheet. Green text: formulas that refer to another sheet. Yellow fill: the reconciliation tolerance, an adjustable input.</t>
  </si>
  <si>
    <t xml:space="preserve">Peer-group aggregate shares of non-generation O&amp;M plus depreciation</t>
  </si>
  <si>
    <t xml:space="preserve">Generation is excluded (O&amp;M accounts 500–557 and 577–578, production depreciation). Dollar-weighted: each share is the category’s peer-group total divided by the peer-group non-generation total. Account 565 is included in Transmission. Source: Data sheet (PUDL v2026.10.0); see Notes.</t>
  </si>
  <si>
    <t xml:space="preserve">Year</t>
  </si>
  <si>
    <t xml:space="preserve">Utilities reporting</t>
  </si>
  <si>
    <t xml:space="preserve">Non-generation total ($mm)</t>
  </si>
  <si>
    <t xml:space="preserve">Transmission</t>
  </si>
  <si>
    <t xml:space="preserve">Distribution</t>
  </si>
  <si>
    <t xml:space="preserve">RTO/market operation</t>
  </si>
  <si>
    <t xml:space="preserve">Customer accounts, service &amp; sales</t>
  </si>
  <si>
    <t xml:space="preserve">A&amp;G and general</t>
  </si>
  <si>
    <t xml:space="preserve">Acct 565 (incl. in Transmission)</t>
  </si>
  <si>
    <t xml:space="preserve">Check: shares sum</t>
  </si>
  <si>
    <t xml:space="preserve">O&amp;M portion of total</t>
  </si>
  <si>
    <t xml:space="preserve">Depreciation portion of total</t>
  </si>
  <si>
    <t xml:space="preserve">Utility</t>
  </si>
  <si>
    <t xml:space="preserve">State</t>
  </si>
  <si>
    <t xml:space="preserve">ALLETE (Minnesota Power)</t>
  </si>
  <si>
    <t xml:space="preserve">MN</t>
  </si>
  <si>
    <t xml:space="preserve">Ameren Illinois</t>
  </si>
  <si>
    <t xml:space="preserve">IL</t>
  </si>
  <si>
    <t xml:space="preserve">Commonwealth Edison (ComEd)</t>
  </si>
  <si>
    <t xml:space="preserve">Consumers Energy</t>
  </si>
  <si>
    <t xml:space="preserve">MI</t>
  </si>
  <si>
    <t xml:space="preserve">DTE Electric</t>
  </si>
  <si>
    <t xml:space="preserve">Duke Energy Indiana</t>
  </si>
  <si>
    <t xml:space="preserve">IN</t>
  </si>
  <si>
    <t xml:space="preserve">Indiana Michigan Power</t>
  </si>
  <si>
    <t xml:space="preserve">IN/MI</t>
  </si>
  <si>
    <t xml:space="preserve">Indianapolis Power &amp; Light (AES Indiana)</t>
  </si>
  <si>
    <t xml:space="preserve">Interstate Power &amp; Light</t>
  </si>
  <si>
    <t xml:space="preserve">IA</t>
  </si>
  <si>
    <t xml:space="preserve">Madison Gas &amp; Electric</t>
  </si>
  <si>
    <t xml:space="preserve">WI</t>
  </si>
  <si>
    <t xml:space="preserve">MidAmerican Energy</t>
  </si>
  <si>
    <t xml:space="preserve">NIPSCO</t>
  </si>
  <si>
    <t xml:space="preserve">NSP-Minnesota</t>
  </si>
  <si>
    <t xml:space="preserve">NSP-Wisconsin</t>
  </si>
  <si>
    <t xml:space="preserve">Otter Tail Power</t>
  </si>
  <si>
    <t xml:space="preserve">Southern Indiana Gas &amp; Electric</t>
  </si>
  <si>
    <t xml:space="preserve">Wisconsin Electric Power</t>
  </si>
  <si>
    <t xml:space="preserve">Wisconsin Power &amp; Light</t>
  </si>
  <si>
    <t xml:space="preserve">Wisconsin Public Service</t>
  </si>
  <si>
    <t xml:space="preserve">Reconciliation of line items to reported totals, by utility and year</t>
  </si>
  <si>
    <t xml:space="preserve">Tolerance (share of reported total):</t>
  </si>
  <si>
    <t xml:space="preserve">Line-item O&amp;M: sum of the O&amp;M line items used in this workbook (credit accounts 504, 522, 922, 929 as negative). Reported O&amp;M: PUDL row operations_and_maintenance_expenses_electric. Depreciation function rows: p. 336 depreciation_amortization_total for each plant function, after removing duplicate rows (column H). Reported depreciation: the p. 336 total-function row.</t>
  </si>
  <si>
    <t xml:space="preserve">Line-item O&amp;M ($mm)</t>
  </si>
  <si>
    <t xml:space="preserve">Reported total electric O&amp;M ($mm)</t>
  </si>
  <si>
    <t xml:space="preserve">O&amp;M difference ($mm)</t>
  </si>
  <si>
    <t xml:space="preserve">O&amp;M difference (%)</t>
  </si>
  <si>
    <t xml:space="preserve">Depreciation function rows ($mm)</t>
  </si>
  <si>
    <t xml:space="preserve">Duplicate row removed ($mm)</t>
  </si>
  <si>
    <t xml:space="preserve">Reported total depreciation ($mm)</t>
  </si>
  <si>
    <t xml:space="preserve">Depreciation difference ($mm)</t>
  </si>
  <si>
    <t xml:space="preserve">Depreciation difference (%)</t>
  </si>
  <si>
    <t xml:space="preserve">Status</t>
  </si>
  <si>
    <t xml:space="preserve">Helper: absolute O&amp;M difference, included rows ($mm)</t>
  </si>
  <si>
    <t xml:space="preserve">Excluded from analysis (Notes, data treatment 4)</t>
  </si>
  <si>
    <t xml:space="preserve">Utility-years outside tolerance (excluding the excluded row):</t>
  </si>
  <si>
    <t xml:space="preserve">Utility-years with no reported total:</t>
  </si>
  <si>
    <t xml:space="preserve">Largest absolute O&amp;M difference, included utility-years ($mm):</t>
  </si>
  <si>
    <t xml:space="preserve">Transfers of peer utilities’ transmission systems to transmission-only companies</t>
  </si>
  <si>
    <t xml:space="preserve">Context from outside the FERC Form 1 data. Dates and parties are taken from web search results (2026-10-24) that summarize the cited documents; the documents themselves could not be opened from the analysis environment, whose network policy blocks sec.gov and the publishers listed. Verify against the cited filings before relying on the dates. Columns F–I calculate from the Data sheet.</t>
  </si>
  <si>
    <t xml:space="preserve">Transferred to</t>
  </si>
  <si>
    <t xml:space="preserve">Date (per sources)</t>
  </si>
  <si>
    <t xml:space="preserve">Sources (as identified by search)</t>
  </si>
  <si>
    <t xml:space="preserve">Year compared</t>
  </si>
  <si>
    <t xml:space="preserve">Acct 565, year before ($mm)</t>
  </si>
  <si>
    <t xml:space="preserve">Acct 565, year of change ($mm)</t>
  </si>
  <si>
    <t xml:space="preserve">Own transmission O&amp;M + depreciation excl. 565, year before ($mm)</t>
  </si>
  <si>
    <t xml:space="preserve">Own transmission O&amp;M + depreciation excl. 565, year of change ($mm)</t>
  </si>
  <si>
    <t xml:space="preserve">American Transmission Company LLC</t>
  </si>
  <si>
    <t xml:space="preserve">Began operations 2001-01-01</t>
  </si>
  <si>
    <t xml:space="preserve">U.S. Department of Energy, joint transmission paper, 2009 update: https://www.energy.gov/sites/prod/files/2015/03/f20/Paper%20Joint%20Transmission%202009%20update.pdf ; SEC 10-K405 for fiscal 2001: https://www.sec.gov/Archives/edgar/data/61339/000006133902000004/yearend.htm. Per the DOE summary, the four utilities listed contributed transmission assets; NSP-Wisconsin is not among them.</t>
  </si>
  <si>
    <t xml:space="preserve">Michigan Electric Transmission Company (Trans-Elect)</t>
  </si>
  <si>
    <t xml:space="preserve">Sale closed 2002-05-01 (merger into METC LLC 2002-04-30)</t>
  </si>
  <si>
    <t xml:space="preserve">Renewable Energy World, “Trans-Elect finalizes purchases of Consumers Energy, AltaLink transmission systems”: https://www.renewableenergyworld.com/power-grid/transmission/trans-elect-finalizes-purchases-of-consumers-energy-altalink-transmission-systems/ ; CMS Energy SEC filing U-3A-2 amendment: https://www.sec.gov/Archives/edgar/data/201533/000020153302000008/u3a2cons-amendtxt.txt. The change in the Form 1 data appears in 2001, the year before the sale closed; the reason is not established from these data.</t>
  </si>
  <si>
    <t xml:space="preserve">International Transmission Company (KKR and Trimaran affiliates)</t>
  </si>
  <si>
    <t xml:space="preserve">Sale closed 2003-02-28</t>
  </si>
  <si>
    <t xml:space="preserve">Renewable Energy World, “DTE Energy to sell transmission business to KKR and Trimaran Capital Partners”: https://www.renewableenergyworld.com/energy-business/dte-energy-to-sell-transmission-business-to-kkr-and-trimaran-capital-partners/ ; DTE Energy SEC 8-K, July 14, 2003: https://www.sec.gov/Archives/edgar/data/936340/000095012403002308/k78162e8vk.htm. The change in the Form 1 data appears in 2002, the year before the sale closed; the reason is not established from these data.</t>
  </si>
  <si>
    <t xml:space="preserve">ITC Midwest LLC</t>
  </si>
  <si>
    <t xml:space="preserve">Sale closed 2007-12-20</t>
  </si>
  <si>
    <t xml:space="preserve">Renewable Energy World, “Interstate Power and Light closes transmission assets sale with ITC Midwest”: https://www.renewableenergyworld.com/power-grid/transmission/interstate-power-and-light-closes-transmission-assets-sale-with-itc-midwest/ ; Alliant Energy SEC 8-K exhibit, February 6, 2008: https://www.sec.gov/Archives/edgar/data/352541/000010783208000017/form8k020608exh99pt1.htm</t>
  </si>
  <si>
    <t xml:space="preserve">Peer group and selection criteria</t>
  </si>
  <si>
    <t xml:space="preserve">Selection criteria. The peer group was chosen on 2026-10-14 as the major investor-owned electric utilities in Michigan, Minnesota, Indiana, Wisconsin and Iowa; Commonwealth Edison and Ameren Illinois (Illinois) were added on 2026-10-25. The criteria below describe that selection in terms of the FERC Form 1 data; criterion 3 was set after the selection, at a level that separates the included and excluded utilities.</t>
  </si>
  <si>
    <t xml:space="preserve">1. Investor-owned electric utility filing FERC Form 1, present in PUDL, with its service territory principally in one or more of the six states (Michigan, Minnesota, Indiana, Wisconsin, Iowa, Illinois).</t>
  </si>
  <si>
    <t xml:space="preserve">2. Reports distribution plant (accounts 360–374) in service. Production and transmission plant are not required: Commonwealth Edison and Ameren Illinois have owned little or no generating plant since 2001–2005, and several peers transferred their transmission systems (see Transmission Transfers sheet). The 2026-10-24 version required production plant; the requirement was dropped when the two Illinois distribution utilities were added.</t>
  </si>
  <si>
    <t xml:space="preserve">3. Distribution plant in service of at least $800 million at the end of 2025. Included utilities range from $823 million (Otter Tail Power) to $29,386 million (Commonwealth Edison); the largest excluded utility with distribution plant is Upper Peninsula Power at $286 million.</t>
  </si>
  <si>
    <t xml:space="preserve">Utility (series name)</t>
  </si>
  <si>
    <t xml:space="preserve">FERC respondent ID(s)</t>
  </si>
  <si>
    <t xml:space="preserve">PUDL respondent name</t>
  </si>
  <si>
    <t xml:space="preserve">Plant data year</t>
  </si>
  <si>
    <t xml:space="preserve">Production plant ($mm)</t>
  </si>
  <si>
    <t xml:space="preserve">Transmission plant ($mm)</t>
  </si>
  <si>
    <t xml:space="preserve">Distribution plant ($mm)</t>
  </si>
  <si>
    <t xml:space="preserve">307</t>
  </si>
  <si>
    <t xml:space="preserve">ALLETE, Inc.</t>
  </si>
  <si>
    <t xml:space="preserve">6, 7, 20, 222</t>
  </si>
  <si>
    <t xml:space="preserve">Central Illinois Light Company; Central Illinois Public Service Company; Illinois Power Company; Ameren Illinois Company</t>
  </si>
  <si>
    <t xml:space="preserve">165</t>
  </si>
  <si>
    <t xml:space="preserve">Commonwealth Edison Company</t>
  </si>
  <si>
    <t xml:space="preserve">163</t>
  </si>
  <si>
    <t xml:space="preserve">Consumers Energy Company</t>
  </si>
  <si>
    <t xml:space="preserve">184</t>
  </si>
  <si>
    <t xml:space="preserve">DTE Electric Company</t>
  </si>
  <si>
    <t xml:space="preserve">169</t>
  </si>
  <si>
    <t xml:space="preserve">Duke Energy Indiana, Inc.</t>
  </si>
  <si>
    <t xml:space="preserve">201</t>
  </si>
  <si>
    <t xml:space="preserve">Indiana Michigan Power Company</t>
  </si>
  <si>
    <t xml:space="preserve">279</t>
  </si>
  <si>
    <t xml:space="preserve">Indianapolis Power &amp; Light Company</t>
  </si>
  <si>
    <t xml:space="preserve">19, 21, 220</t>
  </si>
  <si>
    <t xml:space="preserve">IES Utilities Inc.; Interstate Power Company; Interstate Power and Light Company</t>
  </si>
  <si>
    <t xml:space="preserve">335</t>
  </si>
  <si>
    <t xml:space="preserve">Madison Gas and Electric Company</t>
  </si>
  <si>
    <t xml:space="preserve">251</t>
  </si>
  <si>
    <t xml:space="preserve">MidAmerican Energy Company</t>
  </si>
  <si>
    <t xml:space="preserve">208</t>
  </si>
  <si>
    <t xml:space="preserve">Northern Indiana Public Service Company</t>
  </si>
  <si>
    <t xml:space="preserve">229</t>
  </si>
  <si>
    <t xml:space="preserve">Northern States Power Company (Minnesota)</t>
  </si>
  <si>
    <t xml:space="preserve">228</t>
  </si>
  <si>
    <t xml:space="preserve">Northern States Power Company (Wisconsin)</t>
  </si>
  <si>
    <t xml:space="preserve">272</t>
  </si>
  <si>
    <t xml:space="preserve">Otter Tail Power Company</t>
  </si>
  <si>
    <t xml:space="preserve">242</t>
  </si>
  <si>
    <t xml:space="preserve">Southern Indiana Gas and Electric Company</t>
  </si>
  <si>
    <t xml:space="preserve">280</t>
  </si>
  <si>
    <t xml:space="preserve">Wisconsin Electric Power Company</t>
  </si>
  <si>
    <t xml:space="preserve">219</t>
  </si>
  <si>
    <t xml:space="preserve">Wisconsin Power and Light Company</t>
  </si>
  <si>
    <t xml:space="preserve">187</t>
  </si>
  <si>
    <t xml:space="preserve">Wisconsin Public Service Corporation</t>
  </si>
  <si>
    <t xml:space="preserve">Excluded FERC Form 1 respondents in the six states considered</t>
  </si>
  <si>
    <t xml:space="preserve">Respondent</t>
  </si>
  <si>
    <t xml:space="preserve">Reason excluded</t>
  </si>
  <si>
    <t xml:space="preserve">Plant data year (latest)</t>
  </si>
  <si>
    <t xml:space="preserve">Upper Peninsula Power Company</t>
  </si>
  <si>
    <t xml:space="preserve">Criterion 3</t>
  </si>
  <si>
    <t xml:space="preserve">188</t>
  </si>
  <si>
    <t xml:space="preserve">Upper Michigan Energy Resources Company</t>
  </si>
  <si>
    <t xml:space="preserve">368</t>
  </si>
  <si>
    <t xml:space="preserve">upper michigan energy resources company (pudl determined)</t>
  </si>
  <si>
    <t xml:space="preserve">Edison Sault Electric Company</t>
  </si>
  <si>
    <t xml:space="preserve">Criterion 3; last year in PUDL is 2009</t>
  </si>
  <si>
    <t xml:space="preserve">14</t>
  </si>
  <si>
    <t xml:space="preserve">Northwestern Wisconsin Electric Company</t>
  </si>
  <si>
    <t xml:space="preserve">399</t>
  </si>
  <si>
    <t xml:space="preserve">Superior Water, Light and Power Company</t>
  </si>
  <si>
    <t xml:space="preserve">395</t>
  </si>
  <si>
    <t xml:space="preserve">Michigan Electric Transmission Company</t>
  </si>
  <si>
    <t xml:space="preserve">Criterion 2: transmission plant only</t>
  </si>
  <si>
    <t xml:space="preserve">324, 100, 95, 91</t>
  </si>
  <si>
    <t xml:space="preserve">Michigan Electric Transmission Company LLC (10/06); Michigan Electric Transmission Company, LLC; Michigan Electric Transmission Company LLC (12/9/03); Michigan Electric Transmission Company (04/02)</t>
  </si>
  <si>
    <t xml:space="preserve">AEP Indiana Michigan Transmission Company</t>
  </si>
  <si>
    <t xml:space="preserve">192</t>
  </si>
  <si>
    <t xml:space="preserve">AEP Indiana Michigan Transmission Company, Inc.</t>
  </si>
  <si>
    <t xml:space="preserve">Commonwealth Edison Company of Indiana</t>
  </si>
  <si>
    <t xml:space="preserve">166</t>
  </si>
  <si>
    <t xml:space="preserve">Commonwealth Edison Company of Indiana, Inc.</t>
  </si>
  <si>
    <t xml:space="preserve">Indiana-Kentucky Electric Corporation</t>
  </si>
  <si>
    <t xml:space="preserve">Criterion 2: no distribution plant</t>
  </si>
  <si>
    <t xml:space="preserve">444, 409</t>
  </si>
  <si>
    <t xml:space="preserve">indiana-kentucky electric corporation; Indiana-Kentucky Electric Corporation</t>
  </si>
  <si>
    <t xml:space="preserve">Wisconsin River Power Company</t>
  </si>
  <si>
    <t xml:space="preserve">189</t>
  </si>
  <si>
    <t xml:space="preserve">Mt. Carmel Public Utility Co</t>
  </si>
  <si>
    <t xml:space="preserve">397</t>
  </si>
  <si>
    <t xml:space="preserve">Ameren Transmission Company of Illinois</t>
  </si>
  <si>
    <t xml:space="preserve">328</t>
  </si>
  <si>
    <t xml:space="preserve">Electric Energy, Inc.</t>
  </si>
  <si>
    <t xml:space="preserve">Criterion 2: no distribution plant; last year in PUDL is 2012</t>
  </si>
  <si>
    <t xml:space="preserve">321</t>
  </si>
  <si>
    <t xml:space="preserve">Illinois Power Generating Company</t>
  </si>
  <si>
    <t xml:space="preserve">Criterion 2: no distribution plant; last year in PUDL is 2013</t>
  </si>
  <si>
    <t xml:space="preserve">223</t>
  </si>
  <si>
    <t xml:space="preserve">South Beloit Water, Gas and Electric Company</t>
  </si>
  <si>
    <t xml:space="preserve">Criterion 1: no electric plant reported in PUDL; last year in PUDL is 2007</t>
  </si>
  <si>
    <t xml:space="preserve">36</t>
  </si>
  <si>
    <t xml:space="preserve">Plant figures: PUDL v2026.10.0 core_ferc1__yearly_plant_in_service_sched204, ending balance of reported line items, by account range. For Michigan Electric Transmission Company, Indiana-Kentucky Electric Corporation and other multi-ID respondents, the latest year across their IDs is shown. Blank = no amount reported.</t>
  </si>
  <si>
    <t xml:space="preserve">Category</t>
  </si>
  <si>
    <t xml:space="preserve">O&amp;M accounts (FERC Form 1 pp. 320–323)</t>
  </si>
  <si>
    <t xml:space="preserve">Depreciation: p. 336 plant function</t>
  </si>
  <si>
    <t xml:space="preserve">560–573 incl. 561.1–561.8, 565 transmission of electricity by others, 569.1–569.4; load dispatching 1994–2011 (unnumbered in PUDL); energy storage lines labeled transmission</t>
  </si>
  <si>
    <t xml:space="preserve">transmission</t>
  </si>
  <si>
    <t xml:space="preserve">580–598; energy storage lines labeled distribution</t>
  </si>
  <si>
    <t xml:space="preserve">distribution</t>
  </si>
  <si>
    <t xml:space="preserve">575.1–575.8, 576.1–576.5</t>
  </si>
  <si>
    <t xml:space="preserve">regional transmission and market operation</t>
  </si>
  <si>
    <t xml:space="preserve">901–905, 907–910, 911–916</t>
  </si>
  <si>
    <t xml:space="preserve">(none)</t>
  </si>
  <si>
    <t xml:space="preserve">920–935 (922 and 929 as credits)</t>
  </si>
  <si>
    <t xml:space="preserve">general, intangible, common plant – electric</t>
  </si>
  <si>
    <t xml:space="preserve">Excluded: generation</t>
  </si>
  <si>
    <t xml:space="preserve">500–557 (steam, nuclear, hydraulic, other generation, other power supply incl. fuel 501, 518, 547 and purchased power 555, 555.1, 556, 557); 577–578 energy storage; 2024–25 solar, wind, other renewable and storage generation lines</t>
  </si>
  <si>
    <t xml:space="preserve">steam, nuclear, hydraulic conventional, hydraulic pumped storage, other production, solar, wind, other renewable, energy storage</t>
  </si>
  <si>
    <t xml:space="preserve">O&amp;M ($mm)</t>
  </si>
  <si>
    <t xml:space="preserve">of which acct 565 ($mm)</t>
  </si>
  <si>
    <t xml:space="preserve">Depreciation &amp; amortization ($mm)</t>
  </si>
</sst>
</file>

<file path=xl/styles.xml><?xml version="1.0" encoding="utf-8"?>
<styleSheet xmlns="http://schemas.openxmlformats.org/spreadsheetml/2006/main">
  <numFmts count="9">
    <numFmt numFmtId="164" formatCode="General"/>
    <numFmt numFmtId="165" formatCode="0"/>
    <numFmt numFmtId="166" formatCode="General"/>
    <numFmt numFmtId="167" formatCode="#,##0.0;\(#,##0.0\);\-"/>
    <numFmt numFmtId="168" formatCode="0.0%;\(0.0%\);\-"/>
    <numFmt numFmtId="169" formatCode="0.0%"/>
    <numFmt numFmtId="170" formatCode="0.00%"/>
    <numFmt numFmtId="171" formatCode="0.000"/>
    <numFmt numFmtId="172" formatCode="#,##0;\(#,##0\);\-"/>
  </numFmts>
  <fonts count="11">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1"/>
      <name val="Arial"/>
      <family val="0"/>
      <charset val="1"/>
    </font>
    <font>
      <b val="true"/>
      <sz val="11"/>
      <name val="Arial"/>
      <family val="0"/>
      <charset val="1"/>
    </font>
    <font>
      <i val="true"/>
      <sz val="11"/>
      <name val="Arial"/>
      <family val="0"/>
      <charset val="1"/>
    </font>
    <font>
      <b val="true"/>
      <sz val="11"/>
      <color rgb="FFFFFFFF"/>
      <name val="Arial"/>
      <family val="0"/>
      <charset val="1"/>
    </font>
    <font>
      <sz val="11"/>
      <color rgb="FF0000FF"/>
      <name val="Arial"/>
      <family val="0"/>
      <charset val="1"/>
    </font>
    <font>
      <sz val="11"/>
      <color rgb="FF00800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9"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008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0</v>
      </c>
    </row>
    <row r="2" customFormat="false" ht="26.85" hidden="false" customHeight="false" outlineLevel="0" collapsed="false">
      <c r="A2" s="2" t="s">
        <v>1</v>
      </c>
    </row>
    <row r="3" customFormat="false" ht="15" hidden="false" customHeight="false" outlineLevel="0" collapsed="false">
      <c r="A3" s="3" t="s">
        <v>2</v>
      </c>
    </row>
    <row r="4" customFormat="false" ht="64.9" hidden="false" customHeight="false" outlineLevel="0" collapsed="false">
      <c r="A4" s="2" t="s">
        <v>3</v>
      </c>
    </row>
    <row r="5" customFormat="false" ht="15" hidden="false" customHeight="false" outlineLevel="0" collapsed="false">
      <c r="A5" s="2" t="s">
        <v>4</v>
      </c>
    </row>
    <row r="6" customFormat="false" ht="15" hidden="false" customHeight="false" outlineLevel="0" collapsed="false">
      <c r="A6" s="2" t="s">
        <v>5</v>
      </c>
    </row>
    <row r="7" customFormat="false" ht="26.85" hidden="false" customHeight="false" outlineLevel="0" collapsed="false">
      <c r="A7" s="2" t="s">
        <v>6</v>
      </c>
    </row>
    <row r="8" customFormat="false" ht="15" hidden="false" customHeight="false" outlineLevel="0" collapsed="false">
      <c r="A8" s="3" t="s">
        <v>7</v>
      </c>
    </row>
    <row r="9" customFormat="false" ht="15" hidden="false" customHeight="false" outlineLevel="0" collapsed="false">
      <c r="A9" s="2" t="s">
        <v>8</v>
      </c>
    </row>
    <row r="10" customFormat="false" ht="15" hidden="false" customHeight="false" outlineLevel="0" collapsed="false">
      <c r="A10" s="2" t="s">
        <v>9</v>
      </c>
    </row>
    <row r="11" customFormat="false" ht="15" hidden="false" customHeight="false" outlineLevel="0" collapsed="false">
      <c r="A11" s="2" t="s">
        <v>10</v>
      </c>
    </row>
    <row r="12" customFormat="false" ht="26.85" hidden="false" customHeight="false" outlineLevel="0" collapsed="false">
      <c r="A12" s="2" t="s">
        <v>11</v>
      </c>
    </row>
    <row r="13" customFormat="false" ht="15" hidden="false" customHeight="false" outlineLevel="0" collapsed="false">
      <c r="A13" s="2" t="s">
        <v>12</v>
      </c>
    </row>
    <row r="14" customFormat="false" ht="15" hidden="false" customHeight="false" outlineLevel="0" collapsed="false">
      <c r="A14" s="2" t="s">
        <v>13</v>
      </c>
    </row>
    <row r="15" customFormat="false" ht="26.85" hidden="false" customHeight="false" outlineLevel="0" collapsed="false">
      <c r="A15" s="2" t="s">
        <v>14</v>
      </c>
    </row>
    <row r="16" customFormat="false" ht="15" hidden="false" customHeight="false" outlineLevel="0" collapsed="false">
      <c r="A16" s="3" t="s">
        <v>15</v>
      </c>
    </row>
    <row r="17" customFormat="false" ht="52.2" hidden="false" customHeight="false" outlineLevel="0" collapsed="false">
      <c r="A17" s="2" t="s">
        <v>16</v>
      </c>
    </row>
    <row r="18" customFormat="false" ht="26.85" hidden="false" customHeight="false" outlineLevel="0" collapsed="false">
      <c r="A18" s="2" t="s">
        <v>17</v>
      </c>
    </row>
    <row r="19" customFormat="false" ht="26.85" hidden="false" customHeight="false" outlineLevel="0" collapsed="false">
      <c r="A19" s="2" t="s">
        <v>18</v>
      </c>
    </row>
    <row r="20" customFormat="false" ht="26.85" hidden="false" customHeight="false" outlineLevel="0" collapsed="false">
      <c r="A20" s="2" t="s">
        <v>19</v>
      </c>
    </row>
    <row r="21" customFormat="false" ht="26.85" hidden="false" customHeight="false" outlineLevel="0" collapsed="false">
      <c r="A21" s="2" t="s">
        <v>20</v>
      </c>
    </row>
    <row r="22" customFormat="false" ht="15" hidden="false" customHeight="false" outlineLevel="0" collapsed="false">
      <c r="A22" s="2" t="s">
        <v>21</v>
      </c>
    </row>
    <row r="23" customFormat="false" ht="26.85" hidden="false" customHeight="false" outlineLevel="0" collapsed="false">
      <c r="A23" s="2" t="s">
        <v>22</v>
      </c>
    </row>
    <row r="24" customFormat="false" ht="39.55" hidden="false" customHeight="false" outlineLevel="0" collapsed="false">
      <c r="A24" s="2" t="s">
        <v>23</v>
      </c>
    </row>
    <row r="25" customFormat="false" ht="15" hidden="false" customHeight="false" outlineLevel="0" collapsed="false">
      <c r="A25" s="3" t="s">
        <v>24</v>
      </c>
    </row>
    <row r="26" customFormat="false" ht="39.55" hidden="false" customHeight="false" outlineLevel="0" collapsed="false">
      <c r="A26" s="2" t="s">
        <v>25</v>
      </c>
    </row>
    <row r="27" customFormat="false" ht="52.2" hidden="false" customHeight="false" outlineLevel="0" collapsed="false">
      <c r="A27" s="2" t="s">
        <v>26</v>
      </c>
    </row>
    <row r="28" customFormat="false" ht="26.85" hidden="false" customHeight="false" outlineLevel="0" collapsed="false">
      <c r="A28" s="2" t="s">
        <v>27</v>
      </c>
    </row>
    <row r="29" customFormat="false" ht="39.55" hidden="false" customHeight="false" outlineLevel="0" collapsed="false">
      <c r="A29" s="2" t="s">
        <v>28</v>
      </c>
    </row>
    <row r="30" customFormat="false" ht="26.85" hidden="false" customHeight="false" outlineLevel="0" collapsed="false">
      <c r="A30" s="2" t="s">
        <v>29</v>
      </c>
    </row>
    <row r="31" customFormat="false" ht="26.85" hidden="false" customHeight="false" outlineLevel="0" collapsed="false">
      <c r="A31" s="2" t="s">
        <v>30</v>
      </c>
    </row>
    <row r="32" customFormat="false" ht="52.2" hidden="false" customHeight="false" outlineLevel="0" collapsed="false">
      <c r="A32" s="2" t="s">
        <v>31</v>
      </c>
    </row>
    <row r="33" customFormat="false" ht="26.85" hidden="false" customHeight="false" outlineLevel="0" collapsed="false">
      <c r="A33" s="2" t="s">
        <v>32</v>
      </c>
    </row>
    <row r="34" customFormat="false" ht="26.85" hidden="false" customHeight="false" outlineLevel="0" collapsed="false">
      <c r="A34" s="2" t="s">
        <v>33</v>
      </c>
    </row>
    <row r="35" customFormat="false" ht="15" hidden="false" customHeight="false" outlineLevel="0" collapsed="false">
      <c r="A35" s="2" t="s">
        <v>34</v>
      </c>
    </row>
    <row r="36" customFormat="false" ht="77.6" hidden="false" customHeight="false" outlineLevel="0" collapsed="false">
      <c r="A36" s="2" t="s">
        <v>35</v>
      </c>
    </row>
    <row r="37" customFormat="false" ht="15" hidden="false" customHeight="false" outlineLevel="0" collapsed="false">
      <c r="A37" s="3" t="s">
        <v>36</v>
      </c>
    </row>
    <row r="38" customFormat="false" ht="52.2" hidden="false" customHeight="false" outlineLevel="0" collapsed="false">
      <c r="A38" s="2" t="s">
        <v>37</v>
      </c>
    </row>
    <row r="39" customFormat="false" ht="15" hidden="false" customHeight="false" outlineLevel="0" collapsed="false">
      <c r="A39" s="3" t="s">
        <v>38</v>
      </c>
    </row>
    <row r="40" customFormat="false" ht="26.85" hidden="false" customHeight="false" outlineLevel="0" collapsed="false">
      <c r="A40" s="2"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14"/>
    <col collapsed="false" customWidth="true" hidden="false" outlineLevel="0" max="8" min="4" style="0" width="13"/>
    <col collapsed="false" customWidth="true" hidden="false" outlineLevel="0" max="9" min="9" style="0" width="14"/>
    <col collapsed="false" customWidth="true" hidden="false" outlineLevel="0" max="10" min="10" style="0" width="11"/>
    <col collapsed="false" customWidth="true" hidden="false" outlineLevel="0" max="12" min="11" style="0" width="13"/>
  </cols>
  <sheetData>
    <row r="1" customFormat="false" ht="15" hidden="false" customHeight="false" outlineLevel="0" collapsed="false">
      <c r="A1" s="4" t="s">
        <v>40</v>
      </c>
    </row>
    <row r="2" customFormat="false" ht="15" hidden="false" customHeight="false" outlineLevel="0" collapsed="false">
      <c r="A2" s="5" t="s">
        <v>41</v>
      </c>
    </row>
    <row r="4" customFormat="false" ht="48" hidden="false" customHeight="true" outlineLevel="0" collapsed="false">
      <c r="A4" s="6" t="s">
        <v>42</v>
      </c>
      <c r="B4" s="6" t="s">
        <v>43</v>
      </c>
      <c r="C4" s="6" t="s">
        <v>44</v>
      </c>
      <c r="D4" s="6" t="s">
        <v>45</v>
      </c>
      <c r="E4" s="6" t="s">
        <v>46</v>
      </c>
      <c r="F4" s="6" t="s">
        <v>47</v>
      </c>
      <c r="G4" s="6" t="s">
        <v>48</v>
      </c>
      <c r="H4" s="6" t="s">
        <v>49</v>
      </c>
      <c r="I4" s="6" t="s">
        <v>50</v>
      </c>
      <c r="J4" s="6" t="s">
        <v>51</v>
      </c>
      <c r="K4" s="6" t="s">
        <v>52</v>
      </c>
      <c r="L4" s="6" t="s">
        <v>53</v>
      </c>
    </row>
    <row r="5" customFormat="false" ht="15" hidden="false" customHeight="false" outlineLevel="0" collapsed="false">
      <c r="A5" s="7" t="n">
        <v>1995</v>
      </c>
      <c r="B5" s="8" t="n">
        <f aca="false">COUNTIFS('Utility Shares'!$A:$A,$A5)</f>
        <v>19</v>
      </c>
      <c r="C5" s="9" t="n">
        <f aca="false">SUMIFS(Data!$E$2:$E$2657,Data!$A$2:$A$2657,$A5)+SUMIFS(Data!$G$2:$G$2657,Data!$A$2:$A$2657,$A5)</f>
        <v>5553.498063</v>
      </c>
      <c r="D5" s="10" t="n">
        <f aca="false">IFERROR((SUMIFS(Data!$E$2:$E$2657,Data!$A$2:$A$2657,$A5,Data!$D$2:$D$2657,"Transmission")+SUMIFS(Data!$G$2:$G$2657,Data!$A$2:$A$2657,$A5,Data!$D$2:$D$2657,"Transmission"))/$C5,0)</f>
        <v>0.0871936029340072</v>
      </c>
      <c r="E5" s="10" t="n">
        <f aca="false">IFERROR((SUMIFS(Data!$E$2:$E$2657,Data!$A$2:$A$2657,$A5,Data!$D$2:$D$2657,"Distribution")+SUMIFS(Data!$G$2:$G$2657,Data!$A$2:$A$2657,$A5,Data!$D$2:$D$2657,"Distribution"))/$C5,0)</f>
        <v>0.313444849760093</v>
      </c>
      <c r="F5" s="10" t="n">
        <f aca="false">IFERROR((SUMIFS(Data!$E$2:$E$2657,Data!$A$2:$A$2657,$A5,Data!$D$2:$D$2657,"RTO/market operation")+SUMIFS(Data!$G$2:$G$2657,Data!$A$2:$A$2657,$A5,Data!$D$2:$D$2657,"RTO/market operation"))/$C5,0)</f>
        <v>0</v>
      </c>
      <c r="G5" s="10" t="n">
        <f aca="false">IFERROR((SUMIFS(Data!$E$2:$E$2657,Data!$A$2:$A$2657,$A5,Data!$D$2:$D$2657,"Customer accounts, service &amp; sales")+SUMIFS(Data!$G$2:$G$2657,Data!$A$2:$A$2657,$A5,Data!$D$2:$D$2657,"Customer accounts, service &amp; sales"))/$C5,0)</f>
        <v>0.154436009929333</v>
      </c>
      <c r="H5" s="10" t="n">
        <f aca="false">IFERROR((SUMIFS(Data!$E$2:$E$2657,Data!$A$2:$A$2657,$A5,Data!$D$2:$D$2657,"A&amp;G and general")+SUMIFS(Data!$G$2:$G$2657,Data!$A$2:$A$2657,$A5,Data!$D$2:$D$2657,"A&amp;G and general"))/$C5,0)</f>
        <v>0.444925537376567</v>
      </c>
      <c r="I5" s="10" t="n">
        <f aca="false">IFERROR(SUMIFS(Data!$F$2:$F$2657,Data!$A$2:$A$2657,$A5)/$C5,0)</f>
        <v>-0.00623769984377863</v>
      </c>
      <c r="J5" s="11" t="n">
        <f aca="false">SUM(D5:H5)</f>
        <v>1</v>
      </c>
      <c r="K5" s="10" t="n">
        <f aca="false">IFERROR(SUMIFS(Data!$E$2:$E$2657,Data!$A$2:$A$2657,$A5)/$C5,0)</f>
        <v>0.771381464511731</v>
      </c>
      <c r="L5" s="10" t="n">
        <f aca="false">IFERROR(SUMIFS(Data!$G$2:$G$2657,Data!$A$2:$A$2657,$A5)/$C5,0)</f>
        <v>0.228618535488269</v>
      </c>
    </row>
    <row r="6" customFormat="false" ht="15" hidden="false" customHeight="false" outlineLevel="0" collapsed="false">
      <c r="A6" s="7" t="n">
        <v>1996</v>
      </c>
      <c r="B6" s="8" t="n">
        <f aca="false">COUNTIFS('Utility Shares'!$A:$A,$A6)</f>
        <v>19</v>
      </c>
      <c r="C6" s="9" t="n">
        <f aca="false">SUMIFS(Data!$E$2:$E$2657,Data!$A$2:$A$2657,$A6)+SUMIFS(Data!$G$2:$G$2657,Data!$A$2:$A$2657,$A6)</f>
        <v>5584.260996</v>
      </c>
      <c r="D6" s="10" t="n">
        <f aca="false">IFERROR((SUMIFS(Data!$E$2:$E$2657,Data!$A$2:$A$2657,$A6,Data!$D$2:$D$2657,"Transmission")+SUMIFS(Data!$G$2:$G$2657,Data!$A$2:$A$2657,$A6,Data!$D$2:$D$2657,"Transmission"))/$C6,0)</f>
        <v>0.0929867372552871</v>
      </c>
      <c r="E6" s="10" t="n">
        <f aca="false">IFERROR((SUMIFS(Data!$E$2:$E$2657,Data!$A$2:$A$2657,$A6,Data!$D$2:$D$2657,"Distribution")+SUMIFS(Data!$G$2:$G$2657,Data!$A$2:$A$2657,$A6,Data!$D$2:$D$2657,"Distribution"))/$C6,0)</f>
        <v>0.324538775013946</v>
      </c>
      <c r="F6" s="10" t="n">
        <f aca="false">IFERROR((SUMIFS(Data!$E$2:$E$2657,Data!$A$2:$A$2657,$A6,Data!$D$2:$D$2657,"RTO/market operation")+SUMIFS(Data!$G$2:$G$2657,Data!$A$2:$A$2657,$A6,Data!$D$2:$D$2657,"RTO/market operation"))/$C6,0)</f>
        <v>0</v>
      </c>
      <c r="G6" s="10" t="n">
        <f aca="false">IFERROR((SUMIFS(Data!$E$2:$E$2657,Data!$A$2:$A$2657,$A6,Data!$D$2:$D$2657,"Customer accounts, service &amp; sales")+SUMIFS(Data!$G$2:$G$2657,Data!$A$2:$A$2657,$A6,Data!$D$2:$D$2657,"Customer accounts, service &amp; sales"))/$C6,0)</f>
        <v>0.169477423723195</v>
      </c>
      <c r="H6" s="10" t="n">
        <f aca="false">IFERROR((SUMIFS(Data!$E$2:$E$2657,Data!$A$2:$A$2657,$A6,Data!$D$2:$D$2657,"A&amp;G and general")+SUMIFS(Data!$G$2:$G$2657,Data!$A$2:$A$2657,$A6,Data!$D$2:$D$2657,"A&amp;G and general"))/$C6,0)</f>
        <v>0.412997064007572</v>
      </c>
      <c r="I6" s="10" t="n">
        <f aca="false">IFERROR(SUMIFS(Data!$F$2:$F$2657,Data!$A$2:$A$2657,$A6)/$C6,0)</f>
        <v>-0.00391646504625516</v>
      </c>
      <c r="J6" s="11" t="n">
        <f aca="false">SUM(D6:H6)</f>
        <v>1</v>
      </c>
      <c r="K6" s="10" t="n">
        <f aca="false">IFERROR(SUMIFS(Data!$E$2:$E$2657,Data!$A$2:$A$2657,$A6)/$C6,0)</f>
        <v>0.757292468605814</v>
      </c>
      <c r="L6" s="10" t="n">
        <f aca="false">IFERROR(SUMIFS(Data!$G$2:$G$2657,Data!$A$2:$A$2657,$A6)/$C6,0)</f>
        <v>0.242707531394186</v>
      </c>
    </row>
    <row r="7" customFormat="false" ht="15" hidden="false" customHeight="false" outlineLevel="0" collapsed="false">
      <c r="A7" s="7" t="n">
        <v>1997</v>
      </c>
      <c r="B7" s="8" t="n">
        <f aca="false">COUNTIFS('Utility Shares'!$A:$A,$A7)</f>
        <v>18</v>
      </c>
      <c r="C7" s="9" t="n">
        <f aca="false">SUMIFS(Data!$E$2:$E$2657,Data!$A$2:$A$2657,$A7)+SUMIFS(Data!$G$2:$G$2657,Data!$A$2:$A$2657,$A7)</f>
        <v>4605.820508</v>
      </c>
      <c r="D7" s="10" t="n">
        <f aca="false">IFERROR((SUMIFS(Data!$E$2:$E$2657,Data!$A$2:$A$2657,$A7,Data!$D$2:$D$2657,"Transmission")+SUMIFS(Data!$G$2:$G$2657,Data!$A$2:$A$2657,$A7,Data!$D$2:$D$2657,"Transmission"))/$C7,0)</f>
        <v>0.0981759799832825</v>
      </c>
      <c r="E7" s="10" t="n">
        <f aca="false">IFERROR((SUMIFS(Data!$E$2:$E$2657,Data!$A$2:$A$2657,$A7,Data!$D$2:$D$2657,"Distribution")+SUMIFS(Data!$G$2:$G$2657,Data!$A$2:$A$2657,$A7,Data!$D$2:$D$2657,"Distribution"))/$C7,0)</f>
        <v>0.310433299890114</v>
      </c>
      <c r="F7" s="10" t="n">
        <f aca="false">IFERROR((SUMIFS(Data!$E$2:$E$2657,Data!$A$2:$A$2657,$A7,Data!$D$2:$D$2657,"RTO/market operation")+SUMIFS(Data!$G$2:$G$2657,Data!$A$2:$A$2657,$A7,Data!$D$2:$D$2657,"RTO/market operation"))/$C7,0)</f>
        <v>0</v>
      </c>
      <c r="G7" s="10" t="n">
        <f aca="false">IFERROR((SUMIFS(Data!$E$2:$E$2657,Data!$A$2:$A$2657,$A7,Data!$D$2:$D$2657,"Customer accounts, service &amp; sales")+SUMIFS(Data!$G$2:$G$2657,Data!$A$2:$A$2657,$A7,Data!$D$2:$D$2657,"Customer accounts, service &amp; sales"))/$C7,0)</f>
        <v>0.170364293536208</v>
      </c>
      <c r="H7" s="10" t="n">
        <f aca="false">IFERROR((SUMIFS(Data!$E$2:$E$2657,Data!$A$2:$A$2657,$A7,Data!$D$2:$D$2657,"A&amp;G and general")+SUMIFS(Data!$G$2:$G$2657,Data!$A$2:$A$2657,$A7,Data!$D$2:$D$2657,"A&amp;G and general"))/$C7,0)</f>
        <v>0.421026426590396</v>
      </c>
      <c r="I7" s="10" t="n">
        <f aca="false">IFERROR(SUMIFS(Data!$F$2:$F$2657,Data!$A$2:$A$2657,$A7)/$C7,0)</f>
        <v>0.00295533813711526</v>
      </c>
      <c r="J7" s="11" t="n">
        <f aca="false">SUM(D7:H7)</f>
        <v>1</v>
      </c>
      <c r="K7" s="10" t="n">
        <f aca="false">IFERROR(SUMIFS(Data!$E$2:$E$2657,Data!$A$2:$A$2657,$A7)/$C7,0)</f>
        <v>0.751575097854421</v>
      </c>
      <c r="L7" s="10" t="n">
        <f aca="false">IFERROR(SUMIFS(Data!$G$2:$G$2657,Data!$A$2:$A$2657,$A7)/$C7,0)</f>
        <v>0.248424902145579</v>
      </c>
    </row>
    <row r="8" customFormat="false" ht="15" hidden="false" customHeight="false" outlineLevel="0" collapsed="false">
      <c r="A8" s="7" t="n">
        <v>1998</v>
      </c>
      <c r="B8" s="8" t="n">
        <f aca="false">COUNTIFS('Utility Shares'!$A:$A,$A8)</f>
        <v>19</v>
      </c>
      <c r="C8" s="9" t="n">
        <f aca="false">SUMIFS(Data!$E$2:$E$2657,Data!$A$2:$A$2657,$A8)+SUMIFS(Data!$G$2:$G$2657,Data!$A$2:$A$2657,$A8)</f>
        <v>6337.76897</v>
      </c>
      <c r="D8" s="10" t="n">
        <f aca="false">IFERROR((SUMIFS(Data!$E$2:$E$2657,Data!$A$2:$A$2657,$A8,Data!$D$2:$D$2657,"Transmission")+SUMIFS(Data!$G$2:$G$2657,Data!$A$2:$A$2657,$A8,Data!$D$2:$D$2657,"Transmission"))/$C8,0)</f>
        <v>0.0936759706468127</v>
      </c>
      <c r="E8" s="10" t="n">
        <f aca="false">IFERROR((SUMIFS(Data!$E$2:$E$2657,Data!$A$2:$A$2657,$A8,Data!$D$2:$D$2657,"Distribution")+SUMIFS(Data!$G$2:$G$2657,Data!$A$2:$A$2657,$A8,Data!$D$2:$D$2657,"Distribution"))/$C8,0)</f>
        <v>0.322317686029505</v>
      </c>
      <c r="F8" s="10" t="n">
        <f aca="false">IFERROR((SUMIFS(Data!$E$2:$E$2657,Data!$A$2:$A$2657,$A8,Data!$D$2:$D$2657,"RTO/market operation")+SUMIFS(Data!$G$2:$G$2657,Data!$A$2:$A$2657,$A8,Data!$D$2:$D$2657,"RTO/market operation"))/$C8,0)</f>
        <v>0</v>
      </c>
      <c r="G8" s="10" t="n">
        <f aca="false">IFERROR((SUMIFS(Data!$E$2:$E$2657,Data!$A$2:$A$2657,$A8,Data!$D$2:$D$2657,"Customer accounts, service &amp; sales")+SUMIFS(Data!$G$2:$G$2657,Data!$A$2:$A$2657,$A8,Data!$D$2:$D$2657,"Customer accounts, service &amp; sales"))/$C8,0)</f>
        <v>0.173696609202844</v>
      </c>
      <c r="H8" s="10" t="n">
        <f aca="false">IFERROR((SUMIFS(Data!$E$2:$E$2657,Data!$A$2:$A$2657,$A8,Data!$D$2:$D$2657,"A&amp;G and general")+SUMIFS(Data!$G$2:$G$2657,Data!$A$2:$A$2657,$A8,Data!$D$2:$D$2657,"A&amp;G and general"))/$C8,0)</f>
        <v>0.410309734120838</v>
      </c>
      <c r="I8" s="10" t="n">
        <f aca="false">IFERROR(SUMIFS(Data!$F$2:$F$2657,Data!$A$2:$A$2657,$A8)/$C8,0)</f>
        <v>0.00651067200387394</v>
      </c>
      <c r="J8" s="11" t="n">
        <f aca="false">SUM(D8:H8)</f>
        <v>1</v>
      </c>
      <c r="K8" s="10" t="n">
        <f aca="false">IFERROR(SUMIFS(Data!$E$2:$E$2657,Data!$A$2:$A$2657,$A8)/$C8,0)</f>
        <v>0.756198110200284</v>
      </c>
      <c r="L8" s="10" t="n">
        <f aca="false">IFERROR(SUMIFS(Data!$G$2:$G$2657,Data!$A$2:$A$2657,$A8)/$C8,0)</f>
        <v>0.243801889799716</v>
      </c>
    </row>
    <row r="9" customFormat="false" ht="15" hidden="false" customHeight="false" outlineLevel="0" collapsed="false">
      <c r="A9" s="7" t="n">
        <v>1999</v>
      </c>
      <c r="B9" s="8" t="n">
        <f aca="false">COUNTIFS('Utility Shares'!$A:$A,$A9)</f>
        <v>19</v>
      </c>
      <c r="C9" s="9" t="n">
        <f aca="false">SUMIFS(Data!$E$2:$E$2657,Data!$A$2:$A$2657,$A9)+SUMIFS(Data!$G$2:$G$2657,Data!$A$2:$A$2657,$A9)</f>
        <v>6608.773376</v>
      </c>
      <c r="D9" s="10" t="n">
        <f aca="false">IFERROR((SUMIFS(Data!$E$2:$E$2657,Data!$A$2:$A$2657,$A9,Data!$D$2:$D$2657,"Transmission")+SUMIFS(Data!$G$2:$G$2657,Data!$A$2:$A$2657,$A9,Data!$D$2:$D$2657,"Transmission"))/$C9,0)</f>
        <v>0.0902505531761784</v>
      </c>
      <c r="E9" s="10" t="n">
        <f aca="false">IFERROR((SUMIFS(Data!$E$2:$E$2657,Data!$A$2:$A$2657,$A9,Data!$D$2:$D$2657,"Distribution")+SUMIFS(Data!$G$2:$G$2657,Data!$A$2:$A$2657,$A9,Data!$D$2:$D$2657,"Distribution"))/$C9,0)</f>
        <v>0.329749313528284</v>
      </c>
      <c r="F9" s="10" t="n">
        <f aca="false">IFERROR((SUMIFS(Data!$E$2:$E$2657,Data!$A$2:$A$2657,$A9,Data!$D$2:$D$2657,"RTO/market operation")+SUMIFS(Data!$G$2:$G$2657,Data!$A$2:$A$2657,$A9,Data!$D$2:$D$2657,"RTO/market operation"))/$C9,0)</f>
        <v>0</v>
      </c>
      <c r="G9" s="10" t="n">
        <f aca="false">IFERROR((SUMIFS(Data!$E$2:$E$2657,Data!$A$2:$A$2657,$A9,Data!$D$2:$D$2657,"Customer accounts, service &amp; sales")+SUMIFS(Data!$G$2:$G$2657,Data!$A$2:$A$2657,$A9,Data!$D$2:$D$2657,"Customer accounts, service &amp; sales"))/$C9,0)</f>
        <v>0.174445284231819</v>
      </c>
      <c r="H9" s="10" t="n">
        <f aca="false">IFERROR((SUMIFS(Data!$E$2:$E$2657,Data!$A$2:$A$2657,$A9,Data!$D$2:$D$2657,"A&amp;G and general")+SUMIFS(Data!$G$2:$G$2657,Data!$A$2:$A$2657,$A9,Data!$D$2:$D$2657,"A&amp;G and general"))/$C9,0)</f>
        <v>0.405554849063718</v>
      </c>
      <c r="I9" s="10" t="n">
        <f aca="false">IFERROR(SUMIFS(Data!$F$2:$F$2657,Data!$A$2:$A$2657,$A9)/$C9,0)</f>
        <v>0.00344919877004419</v>
      </c>
      <c r="J9" s="11" t="n">
        <f aca="false">SUM(D9:H9)</f>
        <v>1</v>
      </c>
      <c r="K9" s="10" t="n">
        <f aca="false">IFERROR(SUMIFS(Data!$E$2:$E$2657,Data!$A$2:$A$2657,$A9)/$C9,0)</f>
        <v>0.753945482242543</v>
      </c>
      <c r="L9" s="10" t="n">
        <f aca="false">IFERROR(SUMIFS(Data!$G$2:$G$2657,Data!$A$2:$A$2657,$A9)/$C9,0)</f>
        <v>0.246054517757457</v>
      </c>
    </row>
    <row r="10" customFormat="false" ht="15" hidden="false" customHeight="false" outlineLevel="0" collapsed="false">
      <c r="A10" s="7" t="n">
        <v>2000</v>
      </c>
      <c r="B10" s="8" t="n">
        <f aca="false">COUNTIFS('Utility Shares'!$A:$A,$A10)</f>
        <v>19</v>
      </c>
      <c r="C10" s="9" t="n">
        <f aca="false">SUMIFS(Data!$E$2:$E$2657,Data!$A$2:$A$2657,$A10)+SUMIFS(Data!$G$2:$G$2657,Data!$A$2:$A$2657,$A10)</f>
        <v>6638.920077</v>
      </c>
      <c r="D10" s="10" t="n">
        <f aca="false">IFERROR((SUMIFS(Data!$E$2:$E$2657,Data!$A$2:$A$2657,$A10,Data!$D$2:$D$2657,"Transmission")+SUMIFS(Data!$G$2:$G$2657,Data!$A$2:$A$2657,$A10,Data!$D$2:$D$2657,"Transmission"))/$C10,0)</f>
        <v>0.0897663621625189</v>
      </c>
      <c r="E10" s="10" t="n">
        <f aca="false">IFERROR((SUMIFS(Data!$E$2:$E$2657,Data!$A$2:$A$2657,$A10,Data!$D$2:$D$2657,"Distribution")+SUMIFS(Data!$G$2:$G$2657,Data!$A$2:$A$2657,$A10,Data!$D$2:$D$2657,"Distribution"))/$C10,0)</f>
        <v>0.360598479456586</v>
      </c>
      <c r="F10" s="10" t="n">
        <f aca="false">IFERROR((SUMIFS(Data!$E$2:$E$2657,Data!$A$2:$A$2657,$A10,Data!$D$2:$D$2657,"RTO/market operation")+SUMIFS(Data!$G$2:$G$2657,Data!$A$2:$A$2657,$A10,Data!$D$2:$D$2657,"RTO/market operation"))/$C10,0)</f>
        <v>0</v>
      </c>
      <c r="G10" s="10" t="n">
        <f aca="false">IFERROR((SUMIFS(Data!$E$2:$E$2657,Data!$A$2:$A$2657,$A10,Data!$D$2:$D$2657,"Customer accounts, service &amp; sales")+SUMIFS(Data!$G$2:$G$2657,Data!$A$2:$A$2657,$A10,Data!$D$2:$D$2657,"Customer accounts, service &amp; sales"))/$C10,0)</f>
        <v>0.150730551715301</v>
      </c>
      <c r="H10" s="10" t="n">
        <f aca="false">IFERROR((SUMIFS(Data!$E$2:$E$2657,Data!$A$2:$A$2657,$A10,Data!$D$2:$D$2657,"A&amp;G and general")+SUMIFS(Data!$G$2:$G$2657,Data!$A$2:$A$2657,$A10,Data!$D$2:$D$2657,"A&amp;G and general"))/$C10,0)</f>
        <v>0.398904606665594</v>
      </c>
      <c r="I10" s="10" t="n">
        <f aca="false">IFERROR(SUMIFS(Data!$F$2:$F$2657,Data!$A$2:$A$2657,$A10)/$C10,0)</f>
        <v>0.00595594758505782</v>
      </c>
      <c r="J10" s="11" t="n">
        <f aca="false">SUM(D10:H10)</f>
        <v>1</v>
      </c>
      <c r="K10" s="10" t="n">
        <f aca="false">IFERROR(SUMIFS(Data!$E$2:$E$2657,Data!$A$2:$A$2657,$A10)/$C10,0)</f>
        <v>0.738636904063456</v>
      </c>
      <c r="L10" s="10" t="n">
        <f aca="false">IFERROR(SUMIFS(Data!$G$2:$G$2657,Data!$A$2:$A$2657,$A10)/$C10,0)</f>
        <v>0.261363095936544</v>
      </c>
    </row>
    <row r="11" customFormat="false" ht="15" hidden="false" customHeight="false" outlineLevel="0" collapsed="false">
      <c r="A11" s="7" t="n">
        <v>2001</v>
      </c>
      <c r="B11" s="8" t="n">
        <f aca="false">COUNTIFS('Utility Shares'!$A:$A,$A11)</f>
        <v>19</v>
      </c>
      <c r="C11" s="9" t="n">
        <f aca="false">SUMIFS(Data!$E$2:$E$2657,Data!$A$2:$A$2657,$A11)+SUMIFS(Data!$G$2:$G$2657,Data!$A$2:$A$2657,$A11)</f>
        <v>6724.575501</v>
      </c>
      <c r="D11" s="10" t="n">
        <f aca="false">IFERROR((SUMIFS(Data!$E$2:$E$2657,Data!$A$2:$A$2657,$A11,Data!$D$2:$D$2657,"Transmission")+SUMIFS(Data!$G$2:$G$2657,Data!$A$2:$A$2657,$A11,Data!$D$2:$D$2657,"Transmission"))/$C11,0)</f>
        <v>0.10953391271917</v>
      </c>
      <c r="E11" s="10" t="n">
        <f aca="false">IFERROR((SUMIFS(Data!$E$2:$E$2657,Data!$A$2:$A$2657,$A11,Data!$D$2:$D$2657,"Distribution")+SUMIFS(Data!$G$2:$G$2657,Data!$A$2:$A$2657,$A11,Data!$D$2:$D$2657,"Distribution"))/$C11,0)</f>
        <v>0.35710191009721</v>
      </c>
      <c r="F11" s="10" t="n">
        <f aca="false">IFERROR((SUMIFS(Data!$E$2:$E$2657,Data!$A$2:$A$2657,$A11,Data!$D$2:$D$2657,"RTO/market operation")+SUMIFS(Data!$G$2:$G$2657,Data!$A$2:$A$2657,$A11,Data!$D$2:$D$2657,"RTO/market operation"))/$C11,0)</f>
        <v>0</v>
      </c>
      <c r="G11" s="10" t="n">
        <f aca="false">IFERROR((SUMIFS(Data!$E$2:$E$2657,Data!$A$2:$A$2657,$A11,Data!$D$2:$D$2657,"Customer accounts, service &amp; sales")+SUMIFS(Data!$G$2:$G$2657,Data!$A$2:$A$2657,$A11,Data!$D$2:$D$2657,"Customer accounts, service &amp; sales"))/$C11,0)</f>
        <v>0.14121191856033</v>
      </c>
      <c r="H11" s="10" t="n">
        <f aca="false">IFERROR((SUMIFS(Data!$E$2:$E$2657,Data!$A$2:$A$2657,$A11,Data!$D$2:$D$2657,"A&amp;G and general")+SUMIFS(Data!$G$2:$G$2657,Data!$A$2:$A$2657,$A11,Data!$D$2:$D$2657,"A&amp;G and general"))/$C11,0)</f>
        <v>0.392152258623291</v>
      </c>
      <c r="I11" s="10" t="n">
        <f aca="false">IFERROR(SUMIFS(Data!$F$2:$F$2657,Data!$A$2:$A$2657,$A11)/$C11,0)</f>
        <v>0.0430971369058021</v>
      </c>
      <c r="J11" s="11" t="n">
        <f aca="false">SUM(D11:H11)</f>
        <v>1</v>
      </c>
      <c r="K11" s="10" t="n">
        <f aca="false">IFERROR(SUMIFS(Data!$E$2:$E$2657,Data!$A$2:$A$2657,$A11)/$C11,0)</f>
        <v>0.742012146381283</v>
      </c>
      <c r="L11" s="10" t="n">
        <f aca="false">IFERROR(SUMIFS(Data!$G$2:$G$2657,Data!$A$2:$A$2657,$A11)/$C11,0)</f>
        <v>0.257987853618717</v>
      </c>
    </row>
    <row r="12" customFormat="false" ht="15" hidden="false" customHeight="false" outlineLevel="0" collapsed="false">
      <c r="A12" s="7" t="n">
        <v>2002</v>
      </c>
      <c r="B12" s="8" t="n">
        <f aca="false">COUNTIFS('Utility Shares'!$A:$A,$A12)</f>
        <v>18</v>
      </c>
      <c r="C12" s="9" t="n">
        <f aca="false">SUMIFS(Data!$E$2:$E$2657,Data!$A$2:$A$2657,$A12)+SUMIFS(Data!$G$2:$G$2657,Data!$A$2:$A$2657,$A12)</f>
        <v>6291.065983</v>
      </c>
      <c r="D12" s="10" t="n">
        <f aca="false">IFERROR((SUMIFS(Data!$E$2:$E$2657,Data!$A$2:$A$2657,$A12,Data!$D$2:$D$2657,"Transmission")+SUMIFS(Data!$G$2:$G$2657,Data!$A$2:$A$2657,$A12,Data!$D$2:$D$2657,"Transmission"))/$C12,0)</f>
        <v>0.116258792067417</v>
      </c>
      <c r="E12" s="10" t="n">
        <f aca="false">IFERROR((SUMIFS(Data!$E$2:$E$2657,Data!$A$2:$A$2657,$A12,Data!$D$2:$D$2657,"Distribution")+SUMIFS(Data!$G$2:$G$2657,Data!$A$2:$A$2657,$A12,Data!$D$2:$D$2657,"Distribution"))/$C12,0)</f>
        <v>0.344677858547267</v>
      </c>
      <c r="F12" s="10" t="n">
        <f aca="false">IFERROR((SUMIFS(Data!$E$2:$E$2657,Data!$A$2:$A$2657,$A12,Data!$D$2:$D$2657,"RTO/market operation")+SUMIFS(Data!$G$2:$G$2657,Data!$A$2:$A$2657,$A12,Data!$D$2:$D$2657,"RTO/market operation"))/$C12,0)</f>
        <v>0</v>
      </c>
      <c r="G12" s="10" t="n">
        <f aca="false">IFERROR((SUMIFS(Data!$E$2:$E$2657,Data!$A$2:$A$2657,$A12,Data!$D$2:$D$2657,"Customer accounts, service &amp; sales")+SUMIFS(Data!$G$2:$G$2657,Data!$A$2:$A$2657,$A12,Data!$D$2:$D$2657,"Customer accounts, service &amp; sales"))/$C12,0)</f>
        <v>0.153422321687323</v>
      </c>
      <c r="H12" s="10" t="n">
        <f aca="false">IFERROR((SUMIFS(Data!$E$2:$E$2657,Data!$A$2:$A$2657,$A12,Data!$D$2:$D$2657,"A&amp;G and general")+SUMIFS(Data!$G$2:$G$2657,Data!$A$2:$A$2657,$A12,Data!$D$2:$D$2657,"A&amp;G and general"))/$C12,0)</f>
        <v>0.385641027697992</v>
      </c>
      <c r="I12" s="10" t="n">
        <f aca="false">IFERROR(SUMIFS(Data!$F$2:$F$2657,Data!$A$2:$A$2657,$A12)/$C12,0)</f>
        <v>0.0498321312869943</v>
      </c>
      <c r="J12" s="11" t="n">
        <f aca="false">SUM(D12:H12)</f>
        <v>1</v>
      </c>
      <c r="K12" s="10" t="n">
        <f aca="false">IFERROR(SUMIFS(Data!$E$2:$E$2657,Data!$A$2:$A$2657,$A12)/$C12,0)</f>
        <v>0.742704183937344</v>
      </c>
      <c r="L12" s="10" t="n">
        <f aca="false">IFERROR(SUMIFS(Data!$G$2:$G$2657,Data!$A$2:$A$2657,$A12)/$C12,0)</f>
        <v>0.257295816062656</v>
      </c>
    </row>
    <row r="13" customFormat="false" ht="15" hidden="false" customHeight="false" outlineLevel="0" collapsed="false">
      <c r="A13" s="7" t="n">
        <v>2003</v>
      </c>
      <c r="B13" s="8" t="n">
        <f aca="false">COUNTIFS('Utility Shares'!$A:$A,$A13)</f>
        <v>18</v>
      </c>
      <c r="C13" s="9" t="n">
        <f aca="false">SUMIFS(Data!$E$2:$E$2657,Data!$A$2:$A$2657,$A13)+SUMIFS(Data!$G$2:$G$2657,Data!$A$2:$A$2657,$A13)</f>
        <v>6769.06142</v>
      </c>
      <c r="D13" s="10" t="n">
        <f aca="false">IFERROR((SUMIFS(Data!$E$2:$E$2657,Data!$A$2:$A$2657,$A13,Data!$D$2:$D$2657,"Transmission")+SUMIFS(Data!$G$2:$G$2657,Data!$A$2:$A$2657,$A13,Data!$D$2:$D$2657,"Transmission"))/$C13,0)</f>
        <v>0.116384513615478</v>
      </c>
      <c r="E13" s="10" t="n">
        <f aca="false">IFERROR((SUMIFS(Data!$E$2:$E$2657,Data!$A$2:$A$2657,$A13,Data!$D$2:$D$2657,"Distribution")+SUMIFS(Data!$G$2:$G$2657,Data!$A$2:$A$2657,$A13,Data!$D$2:$D$2657,"Distribution"))/$C13,0)</f>
        <v>0.324443855171874</v>
      </c>
      <c r="F13" s="10" t="n">
        <f aca="false">IFERROR((SUMIFS(Data!$E$2:$E$2657,Data!$A$2:$A$2657,$A13,Data!$D$2:$D$2657,"RTO/market operation")+SUMIFS(Data!$G$2:$G$2657,Data!$A$2:$A$2657,$A13,Data!$D$2:$D$2657,"RTO/market operation"))/$C13,0)</f>
        <v>0</v>
      </c>
      <c r="G13" s="10" t="n">
        <f aca="false">IFERROR((SUMIFS(Data!$E$2:$E$2657,Data!$A$2:$A$2657,$A13,Data!$D$2:$D$2657,"Customer accounts, service &amp; sales")+SUMIFS(Data!$G$2:$G$2657,Data!$A$2:$A$2657,$A13,Data!$D$2:$D$2657,"Customer accounts, service &amp; sales"))/$C13,0)</f>
        <v>0.139215236578545</v>
      </c>
      <c r="H13" s="10" t="n">
        <f aca="false">IFERROR((SUMIFS(Data!$E$2:$E$2657,Data!$A$2:$A$2657,$A13,Data!$D$2:$D$2657,"A&amp;G and general")+SUMIFS(Data!$G$2:$G$2657,Data!$A$2:$A$2657,$A13,Data!$D$2:$D$2657,"A&amp;G and general"))/$C13,0)</f>
        <v>0.419956394634103</v>
      </c>
      <c r="I13" s="10" t="n">
        <f aca="false">IFERROR(SUMIFS(Data!$F$2:$F$2657,Data!$A$2:$A$2657,$A13)/$C13,0)</f>
        <v>0.0555128960552407</v>
      </c>
      <c r="J13" s="11" t="n">
        <f aca="false">SUM(D13:H13)</f>
        <v>1</v>
      </c>
      <c r="K13" s="10" t="n">
        <f aca="false">IFERROR(SUMIFS(Data!$E$2:$E$2657,Data!$A$2:$A$2657,$A13)/$C13,0)</f>
        <v>0.757497843770488</v>
      </c>
      <c r="L13" s="10" t="n">
        <f aca="false">IFERROR(SUMIFS(Data!$G$2:$G$2657,Data!$A$2:$A$2657,$A13)/$C13,0)</f>
        <v>0.242502156229512</v>
      </c>
    </row>
    <row r="14" customFormat="false" ht="15" hidden="false" customHeight="false" outlineLevel="0" collapsed="false">
      <c r="A14" s="7" t="n">
        <v>2004</v>
      </c>
      <c r="B14" s="8" t="n">
        <f aca="false">COUNTIFS('Utility Shares'!$A:$A,$A14)</f>
        <v>18</v>
      </c>
      <c r="C14" s="9" t="n">
        <f aca="false">SUMIFS(Data!$E$2:$E$2657,Data!$A$2:$A$2657,$A14)+SUMIFS(Data!$G$2:$G$2657,Data!$A$2:$A$2657,$A14)</f>
        <v>6962.002096</v>
      </c>
      <c r="D14" s="10" t="n">
        <f aca="false">IFERROR((SUMIFS(Data!$E$2:$E$2657,Data!$A$2:$A$2657,$A14,Data!$D$2:$D$2657,"Transmission")+SUMIFS(Data!$G$2:$G$2657,Data!$A$2:$A$2657,$A14,Data!$D$2:$D$2657,"Transmission"))/$C14,0)</f>
        <v>0.141133286582107</v>
      </c>
      <c r="E14" s="10" t="n">
        <f aca="false">IFERROR((SUMIFS(Data!$E$2:$E$2657,Data!$A$2:$A$2657,$A14,Data!$D$2:$D$2657,"Distribution")+SUMIFS(Data!$G$2:$G$2657,Data!$A$2:$A$2657,$A14,Data!$D$2:$D$2657,"Distribution"))/$C14,0)</f>
        <v>0.31915067596383</v>
      </c>
      <c r="F14" s="10" t="n">
        <f aca="false">IFERROR((SUMIFS(Data!$E$2:$E$2657,Data!$A$2:$A$2657,$A14,Data!$D$2:$D$2657,"RTO/market operation")+SUMIFS(Data!$G$2:$G$2657,Data!$A$2:$A$2657,$A14,Data!$D$2:$D$2657,"RTO/market operation"))/$C14,0)</f>
        <v>0</v>
      </c>
      <c r="G14" s="10" t="n">
        <f aca="false">IFERROR((SUMIFS(Data!$E$2:$E$2657,Data!$A$2:$A$2657,$A14,Data!$D$2:$D$2657,"Customer accounts, service &amp; sales")+SUMIFS(Data!$G$2:$G$2657,Data!$A$2:$A$2657,$A14,Data!$D$2:$D$2657,"Customer accounts, service &amp; sales"))/$C14,0)</f>
        <v>0.131347063731191</v>
      </c>
      <c r="H14" s="10" t="n">
        <f aca="false">IFERROR((SUMIFS(Data!$E$2:$E$2657,Data!$A$2:$A$2657,$A14,Data!$D$2:$D$2657,"A&amp;G and general")+SUMIFS(Data!$G$2:$G$2657,Data!$A$2:$A$2657,$A14,Data!$D$2:$D$2657,"A&amp;G and general"))/$C14,0)</f>
        <v>0.408368973722871</v>
      </c>
      <c r="I14" s="10" t="n">
        <f aca="false">IFERROR(SUMIFS(Data!$F$2:$F$2657,Data!$A$2:$A$2657,$A14)/$C14,0)</f>
        <v>0.0527850982996889</v>
      </c>
      <c r="J14" s="11" t="n">
        <f aca="false">SUM(D14:H14)</f>
        <v>1</v>
      </c>
      <c r="K14" s="10" t="n">
        <f aca="false">IFERROR(SUMIFS(Data!$E$2:$E$2657,Data!$A$2:$A$2657,$A14)/$C14,0)</f>
        <v>0.750044105416196</v>
      </c>
      <c r="L14" s="10" t="n">
        <f aca="false">IFERROR(SUMIFS(Data!$G$2:$G$2657,Data!$A$2:$A$2657,$A14)/$C14,0)</f>
        <v>0.249955894583804</v>
      </c>
    </row>
    <row r="15" customFormat="false" ht="15" hidden="false" customHeight="false" outlineLevel="0" collapsed="false">
      <c r="A15" s="7" t="n">
        <v>2005</v>
      </c>
      <c r="B15" s="8" t="n">
        <f aca="false">COUNTIFS('Utility Shares'!$A:$A,$A15)</f>
        <v>19</v>
      </c>
      <c r="C15" s="9" t="n">
        <f aca="false">SUMIFS(Data!$E$2:$E$2657,Data!$A$2:$A$2657,$A15)+SUMIFS(Data!$G$2:$G$2657,Data!$A$2:$A$2657,$A15)</f>
        <v>7824.255821</v>
      </c>
      <c r="D15" s="10" t="n">
        <f aca="false">IFERROR((SUMIFS(Data!$E$2:$E$2657,Data!$A$2:$A$2657,$A15,Data!$D$2:$D$2657,"Transmission")+SUMIFS(Data!$G$2:$G$2657,Data!$A$2:$A$2657,$A15,Data!$D$2:$D$2657,"Transmission"))/$C15,0)</f>
        <v>0.172568077129594</v>
      </c>
      <c r="E15" s="10" t="n">
        <f aca="false">IFERROR((SUMIFS(Data!$E$2:$E$2657,Data!$A$2:$A$2657,$A15,Data!$D$2:$D$2657,"Distribution")+SUMIFS(Data!$G$2:$G$2657,Data!$A$2:$A$2657,$A15,Data!$D$2:$D$2657,"Distribution"))/$C15,0)</f>
        <v>0.331963908954607</v>
      </c>
      <c r="F15" s="10" t="n">
        <f aca="false">IFERROR((SUMIFS(Data!$E$2:$E$2657,Data!$A$2:$A$2657,$A15,Data!$D$2:$D$2657,"RTO/market operation")+SUMIFS(Data!$G$2:$G$2657,Data!$A$2:$A$2657,$A15,Data!$D$2:$D$2657,"RTO/market operation"))/$C15,0)</f>
        <v>0</v>
      </c>
      <c r="G15" s="10" t="n">
        <f aca="false">IFERROR((SUMIFS(Data!$E$2:$E$2657,Data!$A$2:$A$2657,$A15,Data!$D$2:$D$2657,"Customer accounts, service &amp; sales")+SUMIFS(Data!$G$2:$G$2657,Data!$A$2:$A$2657,$A15,Data!$D$2:$D$2657,"Customer accounts, service &amp; sales"))/$C15,0)</f>
        <v>0.128272621315151</v>
      </c>
      <c r="H15" s="10" t="n">
        <f aca="false">IFERROR((SUMIFS(Data!$E$2:$E$2657,Data!$A$2:$A$2657,$A15,Data!$D$2:$D$2657,"A&amp;G and general")+SUMIFS(Data!$G$2:$G$2657,Data!$A$2:$A$2657,$A15,Data!$D$2:$D$2657,"A&amp;G and general"))/$C15,0)</f>
        <v>0.367195392600648</v>
      </c>
      <c r="I15" s="10" t="n">
        <f aca="false">IFERROR(SUMIFS(Data!$F$2:$F$2657,Data!$A$2:$A$2657,$A15)/$C15,0)</f>
        <v>0.068429875281298</v>
      </c>
      <c r="J15" s="11" t="n">
        <f aca="false">SUM(D15:H15)</f>
        <v>1</v>
      </c>
      <c r="K15" s="10" t="n">
        <f aca="false">IFERROR(SUMIFS(Data!$E$2:$E$2657,Data!$A$2:$A$2657,$A15)/$C15,0)</f>
        <v>0.758800122698595</v>
      </c>
      <c r="L15" s="10" t="n">
        <f aca="false">IFERROR(SUMIFS(Data!$G$2:$G$2657,Data!$A$2:$A$2657,$A15)/$C15,0)</f>
        <v>0.241199877301405</v>
      </c>
    </row>
    <row r="16" customFormat="false" ht="15" hidden="false" customHeight="false" outlineLevel="0" collapsed="false">
      <c r="A16" s="7" t="n">
        <v>2006</v>
      </c>
      <c r="B16" s="8" t="n">
        <f aca="false">COUNTIFS('Utility Shares'!$A:$A,$A16)</f>
        <v>17</v>
      </c>
      <c r="C16" s="9" t="n">
        <f aca="false">SUMIFS(Data!$E$2:$E$2657,Data!$A$2:$A$2657,$A16)+SUMIFS(Data!$G$2:$G$2657,Data!$A$2:$A$2657,$A16)</f>
        <v>8136.572223</v>
      </c>
      <c r="D16" s="10" t="n">
        <f aca="false">IFERROR((SUMIFS(Data!$E$2:$E$2657,Data!$A$2:$A$2657,$A16,Data!$D$2:$D$2657,"Transmission")+SUMIFS(Data!$G$2:$G$2657,Data!$A$2:$A$2657,$A16,Data!$D$2:$D$2657,"Transmission"))/$C16,0)</f>
        <v>0.187199314681238</v>
      </c>
      <c r="E16" s="10" t="n">
        <f aca="false">IFERROR((SUMIFS(Data!$E$2:$E$2657,Data!$A$2:$A$2657,$A16,Data!$D$2:$D$2657,"Distribution")+SUMIFS(Data!$G$2:$G$2657,Data!$A$2:$A$2657,$A16,Data!$D$2:$D$2657,"Distribution"))/$C16,0)</f>
        <v>0.302383816374809</v>
      </c>
      <c r="F16" s="10" t="n">
        <f aca="false">IFERROR((SUMIFS(Data!$E$2:$E$2657,Data!$A$2:$A$2657,$A16,Data!$D$2:$D$2657,"RTO/market operation")+SUMIFS(Data!$G$2:$G$2657,Data!$A$2:$A$2657,$A16,Data!$D$2:$D$2657,"RTO/market operation"))/$C16,0)</f>
        <v>0.0037363274320929</v>
      </c>
      <c r="G16" s="10" t="n">
        <f aca="false">IFERROR((SUMIFS(Data!$E$2:$E$2657,Data!$A$2:$A$2657,$A16,Data!$D$2:$D$2657,"Customer accounts, service &amp; sales")+SUMIFS(Data!$G$2:$G$2657,Data!$A$2:$A$2657,$A16,Data!$D$2:$D$2657,"Customer accounts, service &amp; sales"))/$C16,0)</f>
        <v>0.12527128280368</v>
      </c>
      <c r="H16" s="10" t="n">
        <f aca="false">IFERROR((SUMIFS(Data!$E$2:$E$2657,Data!$A$2:$A$2657,$A16,Data!$D$2:$D$2657,"A&amp;G and general")+SUMIFS(Data!$G$2:$G$2657,Data!$A$2:$A$2657,$A16,Data!$D$2:$D$2657,"A&amp;G and general"))/$C16,0)</f>
        <v>0.38140925870818</v>
      </c>
      <c r="I16" s="10" t="n">
        <f aca="false">IFERROR(SUMIFS(Data!$F$2:$F$2657,Data!$A$2:$A$2657,$A16)/$C16,0)</f>
        <v>0.0850850511770846</v>
      </c>
      <c r="J16" s="11" t="n">
        <f aca="false">SUM(D16:H16)</f>
        <v>1</v>
      </c>
      <c r="K16" s="10" t="n">
        <f aca="false">IFERROR(SUMIFS(Data!$E$2:$E$2657,Data!$A$2:$A$2657,$A16)/$C16,0)</f>
        <v>0.727609090504352</v>
      </c>
      <c r="L16" s="10" t="n">
        <f aca="false">IFERROR(SUMIFS(Data!$G$2:$G$2657,Data!$A$2:$A$2657,$A16)/$C16,0)</f>
        <v>0.272390909495648</v>
      </c>
    </row>
    <row r="17" customFormat="false" ht="15" hidden="false" customHeight="false" outlineLevel="0" collapsed="false">
      <c r="A17" s="7" t="n">
        <v>2007</v>
      </c>
      <c r="B17" s="8" t="n">
        <f aca="false">COUNTIFS('Utility Shares'!$A:$A,$A17)</f>
        <v>19</v>
      </c>
      <c r="C17" s="9" t="n">
        <f aca="false">SUMIFS(Data!$E$2:$E$2657,Data!$A$2:$A$2657,$A17)+SUMIFS(Data!$G$2:$G$2657,Data!$A$2:$A$2657,$A17)</f>
        <v>8781.672098</v>
      </c>
      <c r="D17" s="10" t="n">
        <f aca="false">IFERROR((SUMIFS(Data!$E$2:$E$2657,Data!$A$2:$A$2657,$A17,Data!$D$2:$D$2657,"Transmission")+SUMIFS(Data!$G$2:$G$2657,Data!$A$2:$A$2657,$A17,Data!$D$2:$D$2657,"Transmission"))/$C17,0)</f>
        <v>0.177009406141915</v>
      </c>
      <c r="E17" s="10" t="n">
        <f aca="false">IFERROR((SUMIFS(Data!$E$2:$E$2657,Data!$A$2:$A$2657,$A17,Data!$D$2:$D$2657,"Distribution")+SUMIFS(Data!$G$2:$G$2657,Data!$A$2:$A$2657,$A17,Data!$D$2:$D$2657,"Distribution"))/$C17,0)</f>
        <v>0.333592959439602</v>
      </c>
      <c r="F17" s="10" t="n">
        <f aca="false">IFERROR((SUMIFS(Data!$E$2:$E$2657,Data!$A$2:$A$2657,$A17,Data!$D$2:$D$2657,"RTO/market operation")+SUMIFS(Data!$G$2:$G$2657,Data!$A$2:$A$2657,$A17,Data!$D$2:$D$2657,"RTO/market operation"))/$C17,0)</f>
        <v>0.00554211788562274</v>
      </c>
      <c r="G17" s="10" t="n">
        <f aca="false">IFERROR((SUMIFS(Data!$E$2:$E$2657,Data!$A$2:$A$2657,$A17,Data!$D$2:$D$2657,"Customer accounts, service &amp; sales")+SUMIFS(Data!$G$2:$G$2657,Data!$A$2:$A$2657,$A17,Data!$D$2:$D$2657,"Customer accounts, service &amp; sales"))/$C17,0)</f>
        <v>0.137028705190901</v>
      </c>
      <c r="H17" s="10" t="n">
        <f aca="false">IFERROR((SUMIFS(Data!$E$2:$E$2657,Data!$A$2:$A$2657,$A17,Data!$D$2:$D$2657,"A&amp;G and general")+SUMIFS(Data!$G$2:$G$2657,Data!$A$2:$A$2657,$A17,Data!$D$2:$D$2657,"A&amp;G and general"))/$C17,0)</f>
        <v>0.34682681134196</v>
      </c>
      <c r="I17" s="10" t="n">
        <f aca="false">IFERROR(SUMIFS(Data!$F$2:$F$2657,Data!$A$2:$A$2657,$A17)/$C17,0)</f>
        <v>0.0963207206509842</v>
      </c>
      <c r="J17" s="11" t="n">
        <f aca="false">SUM(D17:H17)</f>
        <v>1</v>
      </c>
      <c r="K17" s="10" t="n">
        <f aca="false">IFERROR(SUMIFS(Data!$E$2:$E$2657,Data!$A$2:$A$2657,$A17)/$C17,0)</f>
        <v>0.773433842348414</v>
      </c>
      <c r="L17" s="10" t="n">
        <f aca="false">IFERROR(SUMIFS(Data!$G$2:$G$2657,Data!$A$2:$A$2657,$A17)/$C17,0)</f>
        <v>0.226566157651586</v>
      </c>
    </row>
    <row r="18" customFormat="false" ht="15" hidden="false" customHeight="false" outlineLevel="0" collapsed="false">
      <c r="A18" s="7" t="n">
        <v>2008</v>
      </c>
      <c r="B18" s="8" t="n">
        <f aca="false">COUNTIFS('Utility Shares'!$A:$A,$A18)</f>
        <v>19</v>
      </c>
      <c r="C18" s="9" t="n">
        <f aca="false">SUMIFS(Data!$E$2:$E$2657,Data!$A$2:$A$2657,$A18)+SUMIFS(Data!$G$2:$G$2657,Data!$A$2:$A$2657,$A18)</f>
        <v>9442.0853</v>
      </c>
      <c r="D18" s="10" t="n">
        <f aca="false">IFERROR((SUMIFS(Data!$E$2:$E$2657,Data!$A$2:$A$2657,$A18,Data!$D$2:$D$2657,"Transmission")+SUMIFS(Data!$G$2:$G$2657,Data!$A$2:$A$2657,$A18,Data!$D$2:$D$2657,"Transmission"))/$C18,0)</f>
        <v>0.205286498629704</v>
      </c>
      <c r="E18" s="10" t="n">
        <f aca="false">IFERROR((SUMIFS(Data!$E$2:$E$2657,Data!$A$2:$A$2657,$A18,Data!$D$2:$D$2657,"Distribution")+SUMIFS(Data!$G$2:$G$2657,Data!$A$2:$A$2657,$A18,Data!$D$2:$D$2657,"Distribution"))/$C18,0)</f>
        <v>0.329900792148107</v>
      </c>
      <c r="F18" s="10" t="n">
        <f aca="false">IFERROR((SUMIFS(Data!$E$2:$E$2657,Data!$A$2:$A$2657,$A18,Data!$D$2:$D$2657,"RTO/market operation")+SUMIFS(Data!$G$2:$G$2657,Data!$A$2:$A$2657,$A18,Data!$D$2:$D$2657,"RTO/market operation"))/$C18,0)</f>
        <v>0.00558209773851545</v>
      </c>
      <c r="G18" s="10" t="n">
        <f aca="false">IFERROR((SUMIFS(Data!$E$2:$E$2657,Data!$A$2:$A$2657,$A18,Data!$D$2:$D$2657,"Customer accounts, service &amp; sales")+SUMIFS(Data!$G$2:$G$2657,Data!$A$2:$A$2657,$A18,Data!$D$2:$D$2657,"Customer accounts, service &amp; sales"))/$C18,0)</f>
        <v>0.141237550459325</v>
      </c>
      <c r="H18" s="10" t="n">
        <f aca="false">IFERROR((SUMIFS(Data!$E$2:$E$2657,Data!$A$2:$A$2657,$A18,Data!$D$2:$D$2657,"A&amp;G and general")+SUMIFS(Data!$G$2:$G$2657,Data!$A$2:$A$2657,$A18,Data!$D$2:$D$2657,"A&amp;G and general"))/$C18,0)</f>
        <v>0.317993061024348</v>
      </c>
      <c r="I18" s="10" t="n">
        <f aca="false">IFERROR(SUMIFS(Data!$F$2:$F$2657,Data!$A$2:$A$2657,$A18)/$C18,0)</f>
        <v>0.111581220940675</v>
      </c>
      <c r="J18" s="11" t="n">
        <f aca="false">SUM(D18:H18)</f>
        <v>1</v>
      </c>
      <c r="K18" s="10" t="n">
        <f aca="false">IFERROR(SUMIFS(Data!$E$2:$E$2657,Data!$A$2:$A$2657,$A18)/$C18,0)</f>
        <v>0.784005483725084</v>
      </c>
      <c r="L18" s="10" t="n">
        <f aca="false">IFERROR(SUMIFS(Data!$G$2:$G$2657,Data!$A$2:$A$2657,$A18)/$C18,0)</f>
        <v>0.215994516274917</v>
      </c>
    </row>
    <row r="19" customFormat="false" ht="15" hidden="false" customHeight="false" outlineLevel="0" collapsed="false">
      <c r="A19" s="7" t="n">
        <v>2009</v>
      </c>
      <c r="B19" s="8" t="n">
        <f aca="false">COUNTIFS('Utility Shares'!$A:$A,$A19)</f>
        <v>19</v>
      </c>
      <c r="C19" s="9" t="n">
        <f aca="false">SUMIFS(Data!$E$2:$E$2657,Data!$A$2:$A$2657,$A19)+SUMIFS(Data!$G$2:$G$2657,Data!$A$2:$A$2657,$A19)</f>
        <v>9715.70758</v>
      </c>
      <c r="D19" s="10" t="n">
        <f aca="false">IFERROR((SUMIFS(Data!$E$2:$E$2657,Data!$A$2:$A$2657,$A19,Data!$D$2:$D$2657,"Transmission")+SUMIFS(Data!$G$2:$G$2657,Data!$A$2:$A$2657,$A19,Data!$D$2:$D$2657,"Transmission"))/$C19,0)</f>
        <v>0.215360301220593</v>
      </c>
      <c r="E19" s="10" t="n">
        <f aca="false">IFERROR((SUMIFS(Data!$E$2:$E$2657,Data!$A$2:$A$2657,$A19,Data!$D$2:$D$2657,"Distribution")+SUMIFS(Data!$G$2:$G$2657,Data!$A$2:$A$2657,$A19,Data!$D$2:$D$2657,"Distribution"))/$C19,0)</f>
        <v>0.306983426625526</v>
      </c>
      <c r="F19" s="10" t="n">
        <f aca="false">IFERROR((SUMIFS(Data!$E$2:$E$2657,Data!$A$2:$A$2657,$A19,Data!$D$2:$D$2657,"RTO/market operation")+SUMIFS(Data!$G$2:$G$2657,Data!$A$2:$A$2657,$A19,Data!$D$2:$D$2657,"RTO/market operation"))/$C19,0)</f>
        <v>0.00683658245712661</v>
      </c>
      <c r="G19" s="10" t="n">
        <f aca="false">IFERROR((SUMIFS(Data!$E$2:$E$2657,Data!$A$2:$A$2657,$A19,Data!$D$2:$D$2657,"Customer accounts, service &amp; sales")+SUMIFS(Data!$G$2:$G$2657,Data!$A$2:$A$2657,$A19,Data!$D$2:$D$2657,"Customer accounts, service &amp; sales"))/$C19,0)</f>
        <v>0.139355254144032</v>
      </c>
      <c r="H19" s="10" t="n">
        <f aca="false">IFERROR((SUMIFS(Data!$E$2:$E$2657,Data!$A$2:$A$2657,$A19,Data!$D$2:$D$2657,"A&amp;G and general")+SUMIFS(Data!$G$2:$G$2657,Data!$A$2:$A$2657,$A19,Data!$D$2:$D$2657,"A&amp;G and general"))/$C19,0)</f>
        <v>0.331464435552722</v>
      </c>
      <c r="I19" s="10" t="n">
        <f aca="false">IFERROR(SUMIFS(Data!$F$2:$F$2657,Data!$A$2:$A$2657,$A19)/$C19,0)</f>
        <v>0.122293045382084</v>
      </c>
      <c r="J19" s="11" t="n">
        <f aca="false">SUM(D19:H19)</f>
        <v>1</v>
      </c>
      <c r="K19" s="10" t="n">
        <f aca="false">IFERROR(SUMIFS(Data!$E$2:$E$2657,Data!$A$2:$A$2657,$A19)/$C19,0)</f>
        <v>0.778808921912819</v>
      </c>
      <c r="L19" s="10" t="n">
        <f aca="false">IFERROR(SUMIFS(Data!$G$2:$G$2657,Data!$A$2:$A$2657,$A19)/$C19,0)</f>
        <v>0.221191078087181</v>
      </c>
    </row>
    <row r="20" customFormat="false" ht="15" hidden="false" customHeight="false" outlineLevel="0" collapsed="false">
      <c r="A20" s="7" t="n">
        <v>2010</v>
      </c>
      <c r="B20" s="8" t="n">
        <f aca="false">COUNTIFS('Utility Shares'!$A:$A,$A20)</f>
        <v>19</v>
      </c>
      <c r="C20" s="9" t="n">
        <f aca="false">SUMIFS(Data!$E$2:$E$2657,Data!$A$2:$A$2657,$A20)+SUMIFS(Data!$G$2:$G$2657,Data!$A$2:$A$2657,$A20)</f>
        <v>10239.136906</v>
      </c>
      <c r="D20" s="10" t="n">
        <f aca="false">IFERROR((SUMIFS(Data!$E$2:$E$2657,Data!$A$2:$A$2657,$A20,Data!$D$2:$D$2657,"Transmission")+SUMIFS(Data!$G$2:$G$2657,Data!$A$2:$A$2657,$A20,Data!$D$2:$D$2657,"Transmission"))/$C20,0)</f>
        <v>0.227408826776752</v>
      </c>
      <c r="E20" s="10" t="n">
        <f aca="false">IFERROR((SUMIFS(Data!$E$2:$E$2657,Data!$A$2:$A$2657,$A20,Data!$D$2:$D$2657,"Distribution")+SUMIFS(Data!$G$2:$G$2657,Data!$A$2:$A$2657,$A20,Data!$D$2:$D$2657,"Distribution"))/$C20,0)</f>
        <v>0.300503103557194</v>
      </c>
      <c r="F20" s="10" t="n">
        <f aca="false">IFERROR((SUMIFS(Data!$E$2:$E$2657,Data!$A$2:$A$2657,$A20,Data!$D$2:$D$2657,"RTO/market operation")+SUMIFS(Data!$G$2:$G$2657,Data!$A$2:$A$2657,$A20,Data!$D$2:$D$2657,"RTO/market operation"))/$C20,0)</f>
        <v>0.00696054966881405</v>
      </c>
      <c r="G20" s="10" t="n">
        <f aca="false">IFERROR((SUMIFS(Data!$E$2:$E$2657,Data!$A$2:$A$2657,$A20,Data!$D$2:$D$2657,"Customer accounts, service &amp; sales")+SUMIFS(Data!$G$2:$G$2657,Data!$A$2:$A$2657,$A20,Data!$D$2:$D$2657,"Customer accounts, service &amp; sales"))/$C20,0)</f>
        <v>0.145233542890573</v>
      </c>
      <c r="H20" s="10" t="n">
        <f aca="false">IFERROR((SUMIFS(Data!$E$2:$E$2657,Data!$A$2:$A$2657,$A20,Data!$D$2:$D$2657,"A&amp;G and general")+SUMIFS(Data!$G$2:$G$2657,Data!$A$2:$A$2657,$A20,Data!$D$2:$D$2657,"A&amp;G and general"))/$C20,0)</f>
        <v>0.319893977106668</v>
      </c>
      <c r="I20" s="10" t="n">
        <f aca="false">IFERROR(SUMIFS(Data!$F$2:$F$2657,Data!$A$2:$A$2657,$A20)/$C20,0)</f>
        <v>0.134187509124414</v>
      </c>
      <c r="J20" s="11" t="n">
        <f aca="false">SUM(D20:H20)</f>
        <v>1</v>
      </c>
      <c r="K20" s="10" t="n">
        <f aca="false">IFERROR(SUMIFS(Data!$E$2:$E$2657,Data!$A$2:$A$2657,$A20)/$C20,0)</f>
        <v>0.783677662645368</v>
      </c>
      <c r="L20" s="10" t="n">
        <f aca="false">IFERROR(SUMIFS(Data!$G$2:$G$2657,Data!$A$2:$A$2657,$A20)/$C20,0)</f>
        <v>0.216322337354633</v>
      </c>
    </row>
    <row r="21" customFormat="false" ht="15" hidden="false" customHeight="false" outlineLevel="0" collapsed="false">
      <c r="A21" s="7" t="n">
        <v>2011</v>
      </c>
      <c r="B21" s="8" t="n">
        <f aca="false">COUNTIFS('Utility Shares'!$A:$A,$A21)</f>
        <v>19</v>
      </c>
      <c r="C21" s="9" t="n">
        <f aca="false">SUMIFS(Data!$E$2:$E$2657,Data!$A$2:$A$2657,$A21)+SUMIFS(Data!$G$2:$G$2657,Data!$A$2:$A$2657,$A21)</f>
        <v>10573.652331</v>
      </c>
      <c r="D21" s="10" t="n">
        <f aca="false">IFERROR((SUMIFS(Data!$E$2:$E$2657,Data!$A$2:$A$2657,$A21,Data!$D$2:$D$2657,"Transmission")+SUMIFS(Data!$G$2:$G$2657,Data!$A$2:$A$2657,$A21,Data!$D$2:$D$2657,"Transmission"))/$C21,0)</f>
        <v>0.223825326094883</v>
      </c>
      <c r="E21" s="10" t="n">
        <f aca="false">IFERROR((SUMIFS(Data!$E$2:$E$2657,Data!$A$2:$A$2657,$A21,Data!$D$2:$D$2657,"Distribution")+SUMIFS(Data!$G$2:$G$2657,Data!$A$2:$A$2657,$A21,Data!$D$2:$D$2657,"Distribution"))/$C21,0)</f>
        <v>0.31434599587271</v>
      </c>
      <c r="F21" s="10" t="n">
        <f aca="false">IFERROR((SUMIFS(Data!$E$2:$E$2657,Data!$A$2:$A$2657,$A21,Data!$D$2:$D$2657,"RTO/market operation")+SUMIFS(Data!$G$2:$G$2657,Data!$A$2:$A$2657,$A21,Data!$D$2:$D$2657,"RTO/market operation"))/$C21,0)</f>
        <v>0.00697369780012677</v>
      </c>
      <c r="G21" s="10" t="n">
        <f aca="false">IFERROR((SUMIFS(Data!$E$2:$E$2657,Data!$A$2:$A$2657,$A21,Data!$D$2:$D$2657,"Customer accounts, service &amp; sales")+SUMIFS(Data!$G$2:$G$2657,Data!$A$2:$A$2657,$A21,Data!$D$2:$D$2657,"Customer accounts, service &amp; sales"))/$C21,0)</f>
        <v>0.151789691466828</v>
      </c>
      <c r="H21" s="10" t="n">
        <f aca="false">IFERROR((SUMIFS(Data!$E$2:$E$2657,Data!$A$2:$A$2657,$A21,Data!$D$2:$D$2657,"A&amp;G and general")+SUMIFS(Data!$G$2:$G$2657,Data!$A$2:$A$2657,$A21,Data!$D$2:$D$2657,"A&amp;G and general"))/$C21,0)</f>
        <v>0.303065288765451</v>
      </c>
      <c r="I21" s="10" t="n">
        <f aca="false">IFERROR(SUMIFS(Data!$F$2:$F$2657,Data!$A$2:$A$2657,$A21)/$C21,0)</f>
        <v>0.136230799151287</v>
      </c>
      <c r="J21" s="11" t="n">
        <f aca="false">SUM(D21:H21)</f>
        <v>1</v>
      </c>
      <c r="K21" s="10" t="n">
        <f aca="false">IFERROR(SUMIFS(Data!$E$2:$E$2657,Data!$A$2:$A$2657,$A21)/$C21,0)</f>
        <v>0.786389136384023</v>
      </c>
      <c r="L21" s="10" t="n">
        <f aca="false">IFERROR(SUMIFS(Data!$G$2:$G$2657,Data!$A$2:$A$2657,$A21)/$C21,0)</f>
        <v>0.213610863615977</v>
      </c>
    </row>
    <row r="22" customFormat="false" ht="15" hidden="false" customHeight="false" outlineLevel="0" collapsed="false">
      <c r="A22" s="7" t="n">
        <v>2012</v>
      </c>
      <c r="B22" s="8" t="n">
        <f aca="false">COUNTIFS('Utility Shares'!$A:$A,$A22)</f>
        <v>19</v>
      </c>
      <c r="C22" s="9" t="n">
        <f aca="false">SUMIFS(Data!$E$2:$E$2657,Data!$A$2:$A$2657,$A22)+SUMIFS(Data!$G$2:$G$2657,Data!$A$2:$A$2657,$A22)</f>
        <v>10846.566834</v>
      </c>
      <c r="D22" s="10" t="n">
        <f aca="false">IFERROR((SUMIFS(Data!$E$2:$E$2657,Data!$A$2:$A$2657,$A22,Data!$D$2:$D$2657,"Transmission")+SUMIFS(Data!$G$2:$G$2657,Data!$A$2:$A$2657,$A22,Data!$D$2:$D$2657,"Transmission"))/$C22,0)</f>
        <v>0.220929422523669</v>
      </c>
      <c r="E22" s="10" t="n">
        <f aca="false">IFERROR((SUMIFS(Data!$E$2:$E$2657,Data!$A$2:$A$2657,$A22,Data!$D$2:$D$2657,"Distribution")+SUMIFS(Data!$G$2:$G$2657,Data!$A$2:$A$2657,$A22,Data!$D$2:$D$2657,"Distribution"))/$C22,0)</f>
        <v>0.306914523088071</v>
      </c>
      <c r="F22" s="10" t="n">
        <f aca="false">IFERROR((SUMIFS(Data!$E$2:$E$2657,Data!$A$2:$A$2657,$A22,Data!$D$2:$D$2657,"RTO/market operation")+SUMIFS(Data!$G$2:$G$2657,Data!$A$2:$A$2657,$A22,Data!$D$2:$D$2657,"RTO/market operation"))/$C22,0)</f>
        <v>0.00729446766067841</v>
      </c>
      <c r="G22" s="10" t="n">
        <f aca="false">IFERROR((SUMIFS(Data!$E$2:$E$2657,Data!$A$2:$A$2657,$A22,Data!$D$2:$D$2657,"Customer accounts, service &amp; sales")+SUMIFS(Data!$G$2:$G$2657,Data!$A$2:$A$2657,$A22,Data!$D$2:$D$2657,"Customer accounts, service &amp; sales"))/$C22,0)</f>
        <v>0.140447366555175</v>
      </c>
      <c r="H22" s="10" t="n">
        <f aca="false">IFERROR((SUMIFS(Data!$E$2:$E$2657,Data!$A$2:$A$2657,$A22,Data!$D$2:$D$2657,"A&amp;G and general")+SUMIFS(Data!$G$2:$G$2657,Data!$A$2:$A$2657,$A22,Data!$D$2:$D$2657,"A&amp;G and general"))/$C22,0)</f>
        <v>0.324414220172407</v>
      </c>
      <c r="I22" s="10" t="n">
        <f aca="false">IFERROR(SUMIFS(Data!$F$2:$F$2657,Data!$A$2:$A$2657,$A22)/$C22,0)</f>
        <v>0.134090447996957</v>
      </c>
      <c r="J22" s="11" t="n">
        <f aca="false">SUM(D22:H22)</f>
        <v>1</v>
      </c>
      <c r="K22" s="10" t="n">
        <f aca="false">IFERROR(SUMIFS(Data!$E$2:$E$2657,Data!$A$2:$A$2657,$A22)/$C22,0)</f>
        <v>0.780214338464473</v>
      </c>
      <c r="L22" s="10" t="n">
        <f aca="false">IFERROR(SUMIFS(Data!$G$2:$G$2657,Data!$A$2:$A$2657,$A22)/$C22,0)</f>
        <v>0.219785661535527</v>
      </c>
    </row>
    <row r="23" customFormat="false" ht="15" hidden="false" customHeight="false" outlineLevel="0" collapsed="false">
      <c r="A23" s="7" t="n">
        <v>2013</v>
      </c>
      <c r="B23" s="8" t="n">
        <f aca="false">COUNTIFS('Utility Shares'!$A:$A,$A23)</f>
        <v>19</v>
      </c>
      <c r="C23" s="9" t="n">
        <f aca="false">SUMIFS(Data!$E$2:$E$2657,Data!$A$2:$A$2657,$A23)+SUMIFS(Data!$G$2:$G$2657,Data!$A$2:$A$2657,$A23)</f>
        <v>11185.886014</v>
      </c>
      <c r="D23" s="10" t="n">
        <f aca="false">IFERROR((SUMIFS(Data!$E$2:$E$2657,Data!$A$2:$A$2657,$A23,Data!$D$2:$D$2657,"Transmission")+SUMIFS(Data!$G$2:$G$2657,Data!$A$2:$A$2657,$A23,Data!$D$2:$D$2657,"Transmission"))/$C23,0)</f>
        <v>0.224072175048359</v>
      </c>
      <c r="E23" s="10" t="n">
        <f aca="false">IFERROR((SUMIFS(Data!$E$2:$E$2657,Data!$A$2:$A$2657,$A23,Data!$D$2:$D$2657,"Distribution")+SUMIFS(Data!$G$2:$G$2657,Data!$A$2:$A$2657,$A23,Data!$D$2:$D$2657,"Distribution"))/$C23,0)</f>
        <v>0.314814359416196</v>
      </c>
      <c r="F23" s="10" t="n">
        <f aca="false">IFERROR((SUMIFS(Data!$E$2:$E$2657,Data!$A$2:$A$2657,$A23,Data!$D$2:$D$2657,"RTO/market operation")+SUMIFS(Data!$G$2:$G$2657,Data!$A$2:$A$2657,$A23,Data!$D$2:$D$2657,"RTO/market operation"))/$C23,0)</f>
        <v>0.00638570435194853</v>
      </c>
      <c r="G23" s="10" t="n">
        <f aca="false">IFERROR((SUMIFS(Data!$E$2:$E$2657,Data!$A$2:$A$2657,$A23,Data!$D$2:$D$2657,"Customer accounts, service &amp; sales")+SUMIFS(Data!$G$2:$G$2657,Data!$A$2:$A$2657,$A23,Data!$D$2:$D$2657,"Customer accounts, service &amp; sales"))/$C23,0)</f>
        <v>0.146043776233316</v>
      </c>
      <c r="H23" s="10" t="n">
        <f aca="false">IFERROR((SUMIFS(Data!$E$2:$E$2657,Data!$A$2:$A$2657,$A23,Data!$D$2:$D$2657,"A&amp;G and general")+SUMIFS(Data!$G$2:$G$2657,Data!$A$2:$A$2657,$A23,Data!$D$2:$D$2657,"A&amp;G and general"))/$C23,0)</f>
        <v>0.30868398495018</v>
      </c>
      <c r="I23" s="10" t="n">
        <f aca="false">IFERROR(SUMIFS(Data!$F$2:$F$2657,Data!$A$2:$A$2657,$A23)/$C23,0)</f>
        <v>0.145367538786365</v>
      </c>
      <c r="J23" s="11" t="n">
        <f aca="false">SUM(D23:H23)</f>
        <v>1</v>
      </c>
      <c r="K23" s="10" t="n">
        <f aca="false">IFERROR(SUMIFS(Data!$E$2:$E$2657,Data!$A$2:$A$2657,$A23)/$C23,0)</f>
        <v>0.776737790830844</v>
      </c>
      <c r="L23" s="10" t="n">
        <f aca="false">IFERROR(SUMIFS(Data!$G$2:$G$2657,Data!$A$2:$A$2657,$A23)/$C23,0)</f>
        <v>0.223262209169156</v>
      </c>
    </row>
    <row r="24" customFormat="false" ht="15" hidden="false" customHeight="false" outlineLevel="0" collapsed="false">
      <c r="A24" s="7" t="n">
        <v>2014</v>
      </c>
      <c r="B24" s="8" t="n">
        <f aca="false">COUNTIFS('Utility Shares'!$A:$A,$A24)</f>
        <v>19</v>
      </c>
      <c r="C24" s="9" t="n">
        <f aca="false">SUMIFS(Data!$E$2:$E$2657,Data!$A$2:$A$2657,$A24)+SUMIFS(Data!$G$2:$G$2657,Data!$A$2:$A$2657,$A24)</f>
        <v>11567.356958</v>
      </c>
      <c r="D24" s="10" t="n">
        <f aca="false">IFERROR((SUMIFS(Data!$E$2:$E$2657,Data!$A$2:$A$2657,$A24,Data!$D$2:$D$2657,"Transmission")+SUMIFS(Data!$G$2:$G$2657,Data!$A$2:$A$2657,$A24,Data!$D$2:$D$2657,"Transmission"))/$C24,0)</f>
        <v>0.23981843337872</v>
      </c>
      <c r="E24" s="10" t="n">
        <f aca="false">IFERROR((SUMIFS(Data!$E$2:$E$2657,Data!$A$2:$A$2657,$A24,Data!$D$2:$D$2657,"Distribution")+SUMIFS(Data!$G$2:$G$2657,Data!$A$2:$A$2657,$A24,Data!$D$2:$D$2657,"Distribution"))/$C24,0)</f>
        <v>0.312136476734463</v>
      </c>
      <c r="F24" s="10" t="n">
        <f aca="false">IFERROR((SUMIFS(Data!$E$2:$E$2657,Data!$A$2:$A$2657,$A24,Data!$D$2:$D$2657,"RTO/market operation")+SUMIFS(Data!$G$2:$G$2657,Data!$A$2:$A$2657,$A24,Data!$D$2:$D$2657,"RTO/market operation"))/$C24,0)</f>
        <v>0.00516446706165528</v>
      </c>
      <c r="G24" s="10" t="n">
        <f aca="false">IFERROR((SUMIFS(Data!$E$2:$E$2657,Data!$A$2:$A$2657,$A24,Data!$D$2:$D$2657,"Customer accounts, service &amp; sales")+SUMIFS(Data!$G$2:$G$2657,Data!$A$2:$A$2657,$A24,Data!$D$2:$D$2657,"Customer accounts, service &amp; sales"))/$C24,0)</f>
        <v>0.159680378474234</v>
      </c>
      <c r="H24" s="10" t="n">
        <f aca="false">IFERROR((SUMIFS(Data!$E$2:$E$2657,Data!$A$2:$A$2657,$A24,Data!$D$2:$D$2657,"A&amp;G and general")+SUMIFS(Data!$G$2:$G$2657,Data!$A$2:$A$2657,$A24,Data!$D$2:$D$2657,"A&amp;G and general"))/$C24,0)</f>
        <v>0.283200244350927</v>
      </c>
      <c r="I24" s="10" t="n">
        <f aca="false">IFERROR(SUMIFS(Data!$F$2:$F$2657,Data!$A$2:$A$2657,$A24)/$C24,0)</f>
        <v>0.155667622304563</v>
      </c>
      <c r="J24" s="11" t="n">
        <f aca="false">SUM(D24:H24)</f>
        <v>1</v>
      </c>
      <c r="K24" s="10" t="n">
        <f aca="false">IFERROR(SUMIFS(Data!$E$2:$E$2657,Data!$A$2:$A$2657,$A24)/$C24,0)</f>
        <v>0.769915190422189</v>
      </c>
      <c r="L24" s="10" t="n">
        <f aca="false">IFERROR(SUMIFS(Data!$G$2:$G$2657,Data!$A$2:$A$2657,$A24)/$C24,0)</f>
        <v>0.230084809577811</v>
      </c>
    </row>
    <row r="25" customFormat="false" ht="15" hidden="false" customHeight="false" outlineLevel="0" collapsed="false">
      <c r="A25" s="7" t="n">
        <v>2015</v>
      </c>
      <c r="B25" s="8" t="n">
        <f aca="false">COUNTIFS('Utility Shares'!$A:$A,$A25)</f>
        <v>19</v>
      </c>
      <c r="C25" s="9" t="n">
        <f aca="false">SUMIFS(Data!$E$2:$E$2657,Data!$A$2:$A$2657,$A25)+SUMIFS(Data!$G$2:$G$2657,Data!$A$2:$A$2657,$A25)</f>
        <v>11895.423152</v>
      </c>
      <c r="D25" s="10" t="n">
        <f aca="false">IFERROR((SUMIFS(Data!$E$2:$E$2657,Data!$A$2:$A$2657,$A25,Data!$D$2:$D$2657,"Transmission")+SUMIFS(Data!$G$2:$G$2657,Data!$A$2:$A$2657,$A25,Data!$D$2:$D$2657,"Transmission"))/$C25,0)</f>
        <v>0.253541403652624</v>
      </c>
      <c r="E25" s="10" t="n">
        <f aca="false">IFERROR((SUMIFS(Data!$E$2:$E$2657,Data!$A$2:$A$2657,$A25,Data!$D$2:$D$2657,"Distribution")+SUMIFS(Data!$G$2:$G$2657,Data!$A$2:$A$2657,$A25,Data!$D$2:$D$2657,"Distribution"))/$C25,0)</f>
        <v>0.308166768525899</v>
      </c>
      <c r="F25" s="10" t="n">
        <f aca="false">IFERROR((SUMIFS(Data!$E$2:$E$2657,Data!$A$2:$A$2657,$A25,Data!$D$2:$D$2657,"RTO/market operation")+SUMIFS(Data!$G$2:$G$2657,Data!$A$2:$A$2657,$A25,Data!$D$2:$D$2657,"RTO/market operation"))/$C25,0)</f>
        <v>0.00525204485806761</v>
      </c>
      <c r="G25" s="10" t="n">
        <f aca="false">IFERROR((SUMIFS(Data!$E$2:$E$2657,Data!$A$2:$A$2657,$A25,Data!$D$2:$D$2657,"Customer accounts, service &amp; sales")+SUMIFS(Data!$G$2:$G$2657,Data!$A$2:$A$2657,$A25,Data!$D$2:$D$2657,"Customer accounts, service &amp; sales"))/$C25,0)</f>
        <v>0.148701126340562</v>
      </c>
      <c r="H25" s="10" t="n">
        <f aca="false">IFERROR((SUMIFS(Data!$E$2:$E$2657,Data!$A$2:$A$2657,$A25,Data!$D$2:$D$2657,"A&amp;G and general")+SUMIFS(Data!$G$2:$G$2657,Data!$A$2:$A$2657,$A25,Data!$D$2:$D$2657,"A&amp;G and general"))/$C25,0)</f>
        <v>0.284338656622848</v>
      </c>
      <c r="I25" s="10" t="n">
        <f aca="false">IFERROR(SUMIFS(Data!$F$2:$F$2657,Data!$A$2:$A$2657,$A25)/$C25,0)</f>
        <v>0.161793816698014</v>
      </c>
      <c r="J25" s="11" t="n">
        <f aca="false">SUM(D25:H25)</f>
        <v>1</v>
      </c>
      <c r="K25" s="10" t="n">
        <f aca="false">IFERROR(SUMIFS(Data!$E$2:$E$2657,Data!$A$2:$A$2657,$A25)/$C25,0)</f>
        <v>0.759287202362484</v>
      </c>
      <c r="L25" s="10" t="n">
        <f aca="false">IFERROR(SUMIFS(Data!$G$2:$G$2657,Data!$A$2:$A$2657,$A25)/$C25,0)</f>
        <v>0.240712797637516</v>
      </c>
    </row>
    <row r="26" customFormat="false" ht="15" hidden="false" customHeight="false" outlineLevel="0" collapsed="false">
      <c r="A26" s="7" t="n">
        <v>2016</v>
      </c>
      <c r="B26" s="8" t="n">
        <f aca="false">COUNTIFS('Utility Shares'!$A:$A,$A26)</f>
        <v>19</v>
      </c>
      <c r="C26" s="9" t="n">
        <f aca="false">SUMIFS(Data!$E$2:$E$2657,Data!$A$2:$A$2657,$A26)+SUMIFS(Data!$G$2:$G$2657,Data!$A$2:$A$2657,$A26)</f>
        <v>12534.512878</v>
      </c>
      <c r="D26" s="10" t="n">
        <f aca="false">IFERROR((SUMIFS(Data!$E$2:$E$2657,Data!$A$2:$A$2657,$A26,Data!$D$2:$D$2657,"Transmission")+SUMIFS(Data!$G$2:$G$2657,Data!$A$2:$A$2657,$A26,Data!$D$2:$D$2657,"Transmission"))/$C26,0)</f>
        <v>0.272273207201375</v>
      </c>
      <c r="E26" s="10" t="n">
        <f aca="false">IFERROR((SUMIFS(Data!$E$2:$E$2657,Data!$A$2:$A$2657,$A26,Data!$D$2:$D$2657,"Distribution")+SUMIFS(Data!$G$2:$G$2657,Data!$A$2:$A$2657,$A26,Data!$D$2:$D$2657,"Distribution"))/$C26,0)</f>
        <v>0.301266024994705</v>
      </c>
      <c r="F26" s="10" t="n">
        <f aca="false">IFERROR((SUMIFS(Data!$E$2:$E$2657,Data!$A$2:$A$2657,$A26,Data!$D$2:$D$2657,"RTO/market operation")+SUMIFS(Data!$G$2:$G$2657,Data!$A$2:$A$2657,$A26,Data!$D$2:$D$2657,"RTO/market operation"))/$C26,0)</f>
        <v>0.00523228701732082</v>
      </c>
      <c r="G26" s="10" t="n">
        <f aca="false">IFERROR((SUMIFS(Data!$E$2:$E$2657,Data!$A$2:$A$2657,$A26,Data!$D$2:$D$2657,"Customer accounts, service &amp; sales")+SUMIFS(Data!$G$2:$G$2657,Data!$A$2:$A$2657,$A26,Data!$D$2:$D$2657,"Customer accounts, service &amp; sales"))/$C26,0)</f>
        <v>0.136882683331988</v>
      </c>
      <c r="H26" s="10" t="n">
        <f aca="false">IFERROR((SUMIFS(Data!$E$2:$E$2657,Data!$A$2:$A$2657,$A26,Data!$D$2:$D$2657,"A&amp;G and general")+SUMIFS(Data!$G$2:$G$2657,Data!$A$2:$A$2657,$A26,Data!$D$2:$D$2657,"A&amp;G and general"))/$C26,0)</f>
        <v>0.284345797454611</v>
      </c>
      <c r="I26" s="10" t="n">
        <f aca="false">IFERROR(SUMIFS(Data!$F$2:$F$2657,Data!$A$2:$A$2657,$A26)/$C26,0)</f>
        <v>0.170955550076543</v>
      </c>
      <c r="J26" s="11" t="n">
        <f aca="false">SUM(D26:H26)</f>
        <v>1</v>
      </c>
      <c r="K26" s="10" t="n">
        <f aca="false">IFERROR(SUMIFS(Data!$E$2:$E$2657,Data!$A$2:$A$2657,$A26)/$C26,0)</f>
        <v>0.756675394673443</v>
      </c>
      <c r="L26" s="10" t="n">
        <f aca="false">IFERROR(SUMIFS(Data!$G$2:$G$2657,Data!$A$2:$A$2657,$A26)/$C26,0)</f>
        <v>0.243324605326557</v>
      </c>
    </row>
    <row r="27" customFormat="false" ht="15" hidden="false" customHeight="false" outlineLevel="0" collapsed="false">
      <c r="A27" s="7" t="n">
        <v>2017</v>
      </c>
      <c r="B27" s="8" t="n">
        <f aca="false">COUNTIFS('Utility Shares'!$A:$A,$A27)</f>
        <v>19</v>
      </c>
      <c r="C27" s="9" t="n">
        <f aca="false">SUMIFS(Data!$E$2:$E$2657,Data!$A$2:$A$2657,$A27)+SUMIFS(Data!$G$2:$G$2657,Data!$A$2:$A$2657,$A27)</f>
        <v>12707.941937</v>
      </c>
      <c r="D27" s="10" t="n">
        <f aca="false">IFERROR((SUMIFS(Data!$E$2:$E$2657,Data!$A$2:$A$2657,$A27,Data!$D$2:$D$2657,"Transmission")+SUMIFS(Data!$G$2:$G$2657,Data!$A$2:$A$2657,$A27,Data!$D$2:$D$2657,"Transmission"))/$C27,0)</f>
        <v>0.274246641846299</v>
      </c>
      <c r="E27" s="10" t="n">
        <f aca="false">IFERROR((SUMIFS(Data!$E$2:$E$2657,Data!$A$2:$A$2657,$A27,Data!$D$2:$D$2657,"Distribution")+SUMIFS(Data!$G$2:$G$2657,Data!$A$2:$A$2657,$A27,Data!$D$2:$D$2657,"Distribution"))/$C27,0)</f>
        <v>0.307246873518667</v>
      </c>
      <c r="F27" s="10" t="n">
        <f aca="false">IFERROR((SUMIFS(Data!$E$2:$E$2657,Data!$A$2:$A$2657,$A27,Data!$D$2:$D$2657,"RTO/market operation")+SUMIFS(Data!$G$2:$G$2657,Data!$A$2:$A$2657,$A27,Data!$D$2:$D$2657,"RTO/market operation"))/$C27,0)</f>
        <v>0.00554128342331912</v>
      </c>
      <c r="G27" s="10" t="n">
        <f aca="false">IFERROR((SUMIFS(Data!$E$2:$E$2657,Data!$A$2:$A$2657,$A27,Data!$D$2:$D$2657,"Customer accounts, service &amp; sales")+SUMIFS(Data!$G$2:$G$2657,Data!$A$2:$A$2657,$A27,Data!$D$2:$D$2657,"Customer accounts, service &amp; sales"))/$C27,0)</f>
        <v>0.130808034002745</v>
      </c>
      <c r="H27" s="10" t="n">
        <f aca="false">IFERROR((SUMIFS(Data!$E$2:$E$2657,Data!$A$2:$A$2657,$A27,Data!$D$2:$D$2657,"A&amp;G and general")+SUMIFS(Data!$G$2:$G$2657,Data!$A$2:$A$2657,$A27,Data!$D$2:$D$2657,"A&amp;G and general"))/$C27,0)</f>
        <v>0.282157167208971</v>
      </c>
      <c r="I27" s="10" t="n">
        <f aca="false">IFERROR(SUMIFS(Data!$F$2:$F$2657,Data!$A$2:$A$2657,$A27)/$C27,0)</f>
        <v>0.165852542956893</v>
      </c>
      <c r="J27" s="11" t="n">
        <f aca="false">SUM(D27:H27)</f>
        <v>1</v>
      </c>
      <c r="K27" s="10" t="n">
        <f aca="false">IFERROR(SUMIFS(Data!$E$2:$E$2657,Data!$A$2:$A$2657,$A27)/$C27,0)</f>
        <v>0.745998485671237</v>
      </c>
      <c r="L27" s="10" t="n">
        <f aca="false">IFERROR(SUMIFS(Data!$G$2:$G$2657,Data!$A$2:$A$2657,$A27)/$C27,0)</f>
        <v>0.254001514328764</v>
      </c>
    </row>
    <row r="28" customFormat="false" ht="15" hidden="false" customHeight="false" outlineLevel="0" collapsed="false">
      <c r="A28" s="7" t="n">
        <v>2018</v>
      </c>
      <c r="B28" s="8" t="n">
        <f aca="false">COUNTIFS('Utility Shares'!$A:$A,$A28)</f>
        <v>19</v>
      </c>
      <c r="C28" s="9" t="n">
        <f aca="false">SUMIFS(Data!$E$2:$E$2657,Data!$A$2:$A$2657,$A28)+SUMIFS(Data!$G$2:$G$2657,Data!$A$2:$A$2657,$A28)</f>
        <v>13078.014519</v>
      </c>
      <c r="D28" s="10" t="n">
        <f aca="false">IFERROR((SUMIFS(Data!$E$2:$E$2657,Data!$A$2:$A$2657,$A28,Data!$D$2:$D$2657,"Transmission")+SUMIFS(Data!$G$2:$G$2657,Data!$A$2:$A$2657,$A28,Data!$D$2:$D$2657,"Transmission"))/$C28,0)</f>
        <v>0.279843559944285</v>
      </c>
      <c r="E28" s="10" t="n">
        <f aca="false">IFERROR((SUMIFS(Data!$E$2:$E$2657,Data!$A$2:$A$2657,$A28,Data!$D$2:$D$2657,"Distribution")+SUMIFS(Data!$G$2:$G$2657,Data!$A$2:$A$2657,$A28,Data!$D$2:$D$2657,"Distribution"))/$C28,0)</f>
        <v>0.313350390615207</v>
      </c>
      <c r="F28" s="10" t="n">
        <f aca="false">IFERROR((SUMIFS(Data!$E$2:$E$2657,Data!$A$2:$A$2657,$A28,Data!$D$2:$D$2657,"RTO/market operation")+SUMIFS(Data!$G$2:$G$2657,Data!$A$2:$A$2657,$A28,Data!$D$2:$D$2657,"RTO/market operation"))/$C28,0)</f>
        <v>0.00610688471739874</v>
      </c>
      <c r="G28" s="10" t="n">
        <f aca="false">IFERROR((SUMIFS(Data!$E$2:$E$2657,Data!$A$2:$A$2657,$A28,Data!$D$2:$D$2657,"Customer accounts, service &amp; sales")+SUMIFS(Data!$G$2:$G$2657,Data!$A$2:$A$2657,$A28,Data!$D$2:$D$2657,"Customer accounts, service &amp; sales"))/$C28,0)</f>
        <v>0.124822409596531</v>
      </c>
      <c r="H28" s="10" t="n">
        <f aca="false">IFERROR((SUMIFS(Data!$E$2:$E$2657,Data!$A$2:$A$2657,$A28,Data!$D$2:$D$2657,"A&amp;G and general")+SUMIFS(Data!$G$2:$G$2657,Data!$A$2:$A$2657,$A28,Data!$D$2:$D$2657,"A&amp;G and general"))/$C28,0)</f>
        <v>0.275876755126578</v>
      </c>
      <c r="I28" s="10" t="n">
        <f aca="false">IFERROR(SUMIFS(Data!$F$2:$F$2657,Data!$A$2:$A$2657,$A28)/$C28,0)</f>
        <v>0.189894375510289</v>
      </c>
      <c r="J28" s="11" t="n">
        <f aca="false">SUM(D28:H28)</f>
        <v>1</v>
      </c>
      <c r="K28" s="10" t="n">
        <f aca="false">IFERROR(SUMIFS(Data!$E$2:$E$2657,Data!$A$2:$A$2657,$A28)/$C28,0)</f>
        <v>0.732838006570193</v>
      </c>
      <c r="L28" s="10" t="n">
        <f aca="false">IFERROR(SUMIFS(Data!$G$2:$G$2657,Data!$A$2:$A$2657,$A28)/$C28,0)</f>
        <v>0.267161993429807</v>
      </c>
    </row>
    <row r="29" customFormat="false" ht="15" hidden="false" customHeight="false" outlineLevel="0" collapsed="false">
      <c r="A29" s="7" t="n">
        <v>2019</v>
      </c>
      <c r="B29" s="8" t="n">
        <f aca="false">COUNTIFS('Utility Shares'!$A:$A,$A29)</f>
        <v>19</v>
      </c>
      <c r="C29" s="9" t="n">
        <f aca="false">SUMIFS(Data!$E$2:$E$2657,Data!$A$2:$A$2657,$A29)+SUMIFS(Data!$G$2:$G$2657,Data!$A$2:$A$2657,$A29)</f>
        <v>13376.188393</v>
      </c>
      <c r="D29" s="10" t="n">
        <f aca="false">IFERROR((SUMIFS(Data!$E$2:$E$2657,Data!$A$2:$A$2657,$A29,Data!$D$2:$D$2657,"Transmission")+SUMIFS(Data!$G$2:$G$2657,Data!$A$2:$A$2657,$A29,Data!$D$2:$D$2657,"Transmission"))/$C29,0)</f>
        <v>0.285390742253431</v>
      </c>
      <c r="E29" s="10" t="n">
        <f aca="false">IFERROR((SUMIFS(Data!$E$2:$E$2657,Data!$A$2:$A$2657,$A29,Data!$D$2:$D$2657,"Distribution")+SUMIFS(Data!$G$2:$G$2657,Data!$A$2:$A$2657,$A29,Data!$D$2:$D$2657,"Distribution"))/$C29,0)</f>
        <v>0.325377401179371</v>
      </c>
      <c r="F29" s="10" t="n">
        <f aca="false">IFERROR((SUMIFS(Data!$E$2:$E$2657,Data!$A$2:$A$2657,$A29,Data!$D$2:$D$2657,"RTO/market operation")+SUMIFS(Data!$G$2:$G$2657,Data!$A$2:$A$2657,$A29,Data!$D$2:$D$2657,"RTO/market operation"))/$C29,0)</f>
        <v>0.00582015800859542</v>
      </c>
      <c r="G29" s="10" t="n">
        <f aca="false">IFERROR((SUMIFS(Data!$E$2:$E$2657,Data!$A$2:$A$2657,$A29,Data!$D$2:$D$2657,"Customer accounts, service &amp; sales")+SUMIFS(Data!$G$2:$G$2657,Data!$A$2:$A$2657,$A29,Data!$D$2:$D$2657,"Customer accounts, service &amp; sales"))/$C29,0)</f>
        <v>0.117329427329336</v>
      </c>
      <c r="H29" s="10" t="n">
        <f aca="false">IFERROR((SUMIFS(Data!$E$2:$E$2657,Data!$A$2:$A$2657,$A29,Data!$D$2:$D$2657,"A&amp;G and general")+SUMIFS(Data!$G$2:$G$2657,Data!$A$2:$A$2657,$A29,Data!$D$2:$D$2657,"A&amp;G and general"))/$C29,0)</f>
        <v>0.266082271229267</v>
      </c>
      <c r="I29" s="10" t="n">
        <f aca="false">IFERROR(SUMIFS(Data!$F$2:$F$2657,Data!$A$2:$A$2657,$A29)/$C29,0)</f>
        <v>0.193439767142789</v>
      </c>
      <c r="J29" s="11" t="n">
        <f aca="false">SUM(D29:H29)</f>
        <v>1</v>
      </c>
      <c r="K29" s="10" t="n">
        <f aca="false">IFERROR(SUMIFS(Data!$E$2:$E$2657,Data!$A$2:$A$2657,$A29)/$C29,0)</f>
        <v>0.717436306520777</v>
      </c>
      <c r="L29" s="10" t="n">
        <f aca="false">IFERROR(SUMIFS(Data!$G$2:$G$2657,Data!$A$2:$A$2657,$A29)/$C29,0)</f>
        <v>0.282563693479224</v>
      </c>
    </row>
    <row r="30" customFormat="false" ht="15" hidden="false" customHeight="false" outlineLevel="0" collapsed="false">
      <c r="A30" s="7" t="n">
        <v>2020</v>
      </c>
      <c r="B30" s="8" t="n">
        <f aca="false">COUNTIFS('Utility Shares'!$A:$A,$A30)</f>
        <v>19</v>
      </c>
      <c r="C30" s="9" t="n">
        <f aca="false">SUMIFS(Data!$E$2:$E$2657,Data!$A$2:$A$2657,$A30)+SUMIFS(Data!$G$2:$G$2657,Data!$A$2:$A$2657,$A30)</f>
        <v>13577.390336</v>
      </c>
      <c r="D30" s="10" t="n">
        <f aca="false">IFERROR((SUMIFS(Data!$E$2:$E$2657,Data!$A$2:$A$2657,$A30,Data!$D$2:$D$2657,"Transmission")+SUMIFS(Data!$G$2:$G$2657,Data!$A$2:$A$2657,$A30,Data!$D$2:$D$2657,"Transmission"))/$C30,0)</f>
        <v>0.277908301715043</v>
      </c>
      <c r="E30" s="10" t="n">
        <f aca="false">IFERROR((SUMIFS(Data!$E$2:$E$2657,Data!$A$2:$A$2657,$A30,Data!$D$2:$D$2657,"Distribution")+SUMIFS(Data!$G$2:$G$2657,Data!$A$2:$A$2657,$A30,Data!$D$2:$D$2657,"Distribution"))/$C30,0)</f>
        <v>0.33177290447754</v>
      </c>
      <c r="F30" s="10" t="n">
        <f aca="false">IFERROR((SUMIFS(Data!$E$2:$E$2657,Data!$A$2:$A$2657,$A30,Data!$D$2:$D$2657,"RTO/market operation")+SUMIFS(Data!$G$2:$G$2657,Data!$A$2:$A$2657,$A30,Data!$D$2:$D$2657,"RTO/market operation"))/$C30,0)</f>
        <v>0.00573751863003079</v>
      </c>
      <c r="G30" s="10" t="n">
        <f aca="false">IFERROR((SUMIFS(Data!$E$2:$E$2657,Data!$A$2:$A$2657,$A30,Data!$D$2:$D$2657,"Customer accounts, service &amp; sales")+SUMIFS(Data!$G$2:$G$2657,Data!$A$2:$A$2657,$A30,Data!$D$2:$D$2657,"Customer accounts, service &amp; sales"))/$C30,0)</f>
        <v>0.117112184863977</v>
      </c>
      <c r="H30" s="10" t="n">
        <f aca="false">IFERROR((SUMIFS(Data!$E$2:$E$2657,Data!$A$2:$A$2657,$A30,Data!$D$2:$D$2657,"A&amp;G and general")+SUMIFS(Data!$G$2:$G$2657,Data!$A$2:$A$2657,$A30,Data!$D$2:$D$2657,"A&amp;G and general"))/$C30,0)</f>
        <v>0.26746909031341</v>
      </c>
      <c r="I30" s="10" t="n">
        <f aca="false">IFERROR(SUMIFS(Data!$F$2:$F$2657,Data!$A$2:$A$2657,$A30)/$C30,0)</f>
        <v>0.179792742315691</v>
      </c>
      <c r="J30" s="11" t="n">
        <f aca="false">SUM(D30:H30)</f>
        <v>1</v>
      </c>
      <c r="K30" s="10" t="n">
        <f aca="false">IFERROR(SUMIFS(Data!$E$2:$E$2657,Data!$A$2:$A$2657,$A30)/$C30,0)</f>
        <v>0.701012896400536</v>
      </c>
      <c r="L30" s="10" t="n">
        <f aca="false">IFERROR(SUMIFS(Data!$G$2:$G$2657,Data!$A$2:$A$2657,$A30)/$C30,0)</f>
        <v>0.298987103599465</v>
      </c>
    </row>
    <row r="31" customFormat="false" ht="15" hidden="false" customHeight="false" outlineLevel="0" collapsed="false">
      <c r="A31" s="7" t="n">
        <v>2021</v>
      </c>
      <c r="B31" s="8" t="n">
        <f aca="false">COUNTIFS('Utility Shares'!$A:$A,$A31)</f>
        <v>19</v>
      </c>
      <c r="C31" s="9" t="n">
        <f aca="false">SUMIFS(Data!$E$2:$E$2657,Data!$A$2:$A$2657,$A31)+SUMIFS(Data!$G$2:$G$2657,Data!$A$2:$A$2657,$A31)</f>
        <v>14341.91361</v>
      </c>
      <c r="D31" s="10" t="n">
        <f aca="false">IFERROR((SUMIFS(Data!$E$2:$E$2657,Data!$A$2:$A$2657,$A31,Data!$D$2:$D$2657,"Transmission")+SUMIFS(Data!$G$2:$G$2657,Data!$A$2:$A$2657,$A31,Data!$D$2:$D$2657,"Transmission"))/$C31,0)</f>
        <v>0.290867471276031</v>
      </c>
      <c r="E31" s="10" t="n">
        <f aca="false">IFERROR((SUMIFS(Data!$E$2:$E$2657,Data!$A$2:$A$2657,$A31,Data!$D$2:$D$2657,"Distribution")+SUMIFS(Data!$G$2:$G$2657,Data!$A$2:$A$2657,$A31,Data!$D$2:$D$2657,"Distribution"))/$C31,0)</f>
        <v>0.335984619000923</v>
      </c>
      <c r="F31" s="10" t="n">
        <f aca="false">IFERROR((SUMIFS(Data!$E$2:$E$2657,Data!$A$2:$A$2657,$A31,Data!$D$2:$D$2657,"RTO/market operation")+SUMIFS(Data!$G$2:$G$2657,Data!$A$2:$A$2657,$A31,Data!$D$2:$D$2657,"RTO/market operation"))/$C31,0)</f>
        <v>0.00537777155108662</v>
      </c>
      <c r="G31" s="10" t="n">
        <f aca="false">IFERROR((SUMIFS(Data!$E$2:$E$2657,Data!$A$2:$A$2657,$A31,Data!$D$2:$D$2657,"Customer accounts, service &amp; sales")+SUMIFS(Data!$G$2:$G$2657,Data!$A$2:$A$2657,$A31,Data!$D$2:$D$2657,"Customer accounts, service &amp; sales"))/$C31,0)</f>
        <v>0.10915229993496</v>
      </c>
      <c r="H31" s="10" t="n">
        <f aca="false">IFERROR((SUMIFS(Data!$E$2:$E$2657,Data!$A$2:$A$2657,$A31,Data!$D$2:$D$2657,"A&amp;G and general")+SUMIFS(Data!$G$2:$G$2657,Data!$A$2:$A$2657,$A31,Data!$D$2:$D$2657,"A&amp;G and general"))/$C31,0)</f>
        <v>0.258617838236999</v>
      </c>
      <c r="I31" s="10" t="n">
        <f aca="false">IFERROR(SUMIFS(Data!$F$2:$F$2657,Data!$A$2:$A$2657,$A31)/$C31,0)</f>
        <v>0.19051356431926</v>
      </c>
      <c r="J31" s="11" t="n">
        <f aca="false">SUM(D31:H31)</f>
        <v>1</v>
      </c>
      <c r="K31" s="10" t="n">
        <f aca="false">IFERROR(SUMIFS(Data!$E$2:$E$2657,Data!$A$2:$A$2657,$A31)/$C31,0)</f>
        <v>0.697884563815888</v>
      </c>
      <c r="L31" s="10" t="n">
        <f aca="false">IFERROR(SUMIFS(Data!$G$2:$G$2657,Data!$A$2:$A$2657,$A31)/$C31,0)</f>
        <v>0.302115436184112</v>
      </c>
    </row>
    <row r="32" customFormat="false" ht="15" hidden="false" customHeight="false" outlineLevel="0" collapsed="false">
      <c r="A32" s="7" t="n">
        <v>2022</v>
      </c>
      <c r="B32" s="8" t="n">
        <f aca="false">COUNTIFS('Utility Shares'!$A:$A,$A32)</f>
        <v>19</v>
      </c>
      <c r="C32" s="9" t="n">
        <f aca="false">SUMIFS(Data!$E$2:$E$2657,Data!$A$2:$A$2657,$A32)+SUMIFS(Data!$G$2:$G$2657,Data!$A$2:$A$2657,$A32)</f>
        <v>14929.686276</v>
      </c>
      <c r="D32" s="10" t="n">
        <f aca="false">IFERROR((SUMIFS(Data!$E$2:$E$2657,Data!$A$2:$A$2657,$A32,Data!$D$2:$D$2657,"Transmission")+SUMIFS(Data!$G$2:$G$2657,Data!$A$2:$A$2657,$A32,Data!$D$2:$D$2657,"Transmission"))/$C32,0)</f>
        <v>0.288805582199764</v>
      </c>
      <c r="E32" s="10" t="n">
        <f aca="false">IFERROR((SUMIFS(Data!$E$2:$E$2657,Data!$A$2:$A$2657,$A32,Data!$D$2:$D$2657,"Distribution")+SUMIFS(Data!$G$2:$G$2657,Data!$A$2:$A$2657,$A32,Data!$D$2:$D$2657,"Distribution"))/$C32,0)</f>
        <v>0.34042480016276</v>
      </c>
      <c r="F32" s="10" t="n">
        <f aca="false">IFERROR((SUMIFS(Data!$E$2:$E$2657,Data!$A$2:$A$2657,$A32,Data!$D$2:$D$2657,"RTO/market operation")+SUMIFS(Data!$G$2:$G$2657,Data!$A$2:$A$2657,$A32,Data!$D$2:$D$2657,"RTO/market operation"))/$C32,0)</f>
        <v>0.0051419596219786</v>
      </c>
      <c r="G32" s="10" t="n">
        <f aca="false">IFERROR((SUMIFS(Data!$E$2:$E$2657,Data!$A$2:$A$2657,$A32,Data!$D$2:$D$2657,"Customer accounts, service &amp; sales")+SUMIFS(Data!$G$2:$G$2657,Data!$A$2:$A$2657,$A32,Data!$D$2:$D$2657,"Customer accounts, service &amp; sales"))/$C32,0)</f>
        <v>0.115796168388287</v>
      </c>
      <c r="H32" s="10" t="n">
        <f aca="false">IFERROR((SUMIFS(Data!$E$2:$E$2657,Data!$A$2:$A$2657,$A32,Data!$D$2:$D$2657,"A&amp;G and general")+SUMIFS(Data!$G$2:$G$2657,Data!$A$2:$A$2657,$A32,Data!$D$2:$D$2657,"A&amp;G and general"))/$C32,0)</f>
        <v>0.24983148962721</v>
      </c>
      <c r="I32" s="10" t="n">
        <f aca="false">IFERROR(SUMIFS(Data!$F$2:$F$2657,Data!$A$2:$A$2657,$A32)/$C32,0)</f>
        <v>0.187551993272708</v>
      </c>
      <c r="J32" s="11" t="n">
        <f aca="false">SUM(D32:H32)</f>
        <v>1</v>
      </c>
      <c r="K32" s="10" t="n">
        <f aca="false">IFERROR(SUMIFS(Data!$E$2:$E$2657,Data!$A$2:$A$2657,$A32)/$C32,0)</f>
        <v>0.689459854260102</v>
      </c>
      <c r="L32" s="10" t="n">
        <f aca="false">IFERROR(SUMIFS(Data!$G$2:$G$2657,Data!$A$2:$A$2657,$A32)/$C32,0)</f>
        <v>0.310540145739898</v>
      </c>
    </row>
    <row r="33" customFormat="false" ht="15" hidden="false" customHeight="false" outlineLevel="0" collapsed="false">
      <c r="A33" s="7" t="n">
        <v>2023</v>
      </c>
      <c r="B33" s="8" t="n">
        <f aca="false">COUNTIFS('Utility Shares'!$A:$A,$A33)</f>
        <v>19</v>
      </c>
      <c r="C33" s="9" t="n">
        <f aca="false">SUMIFS(Data!$E$2:$E$2657,Data!$A$2:$A$2657,$A33)+SUMIFS(Data!$G$2:$G$2657,Data!$A$2:$A$2657,$A33)</f>
        <v>15664.851453</v>
      </c>
      <c r="D33" s="10" t="n">
        <f aca="false">IFERROR((SUMIFS(Data!$E$2:$E$2657,Data!$A$2:$A$2657,$A33,Data!$D$2:$D$2657,"Transmission")+SUMIFS(Data!$G$2:$G$2657,Data!$A$2:$A$2657,$A33,Data!$D$2:$D$2657,"Transmission"))/$C33,0)</f>
        <v>0.284974278076865</v>
      </c>
      <c r="E33" s="10" t="n">
        <f aca="false">IFERROR((SUMIFS(Data!$E$2:$E$2657,Data!$A$2:$A$2657,$A33,Data!$D$2:$D$2657,"Distribution")+SUMIFS(Data!$G$2:$G$2657,Data!$A$2:$A$2657,$A33,Data!$D$2:$D$2657,"Distribution"))/$C33,0)</f>
        <v>0.347016102406701</v>
      </c>
      <c r="F33" s="10" t="n">
        <f aca="false">IFERROR((SUMIFS(Data!$E$2:$E$2657,Data!$A$2:$A$2657,$A33,Data!$D$2:$D$2657,"RTO/market operation")+SUMIFS(Data!$G$2:$G$2657,Data!$A$2:$A$2657,$A33,Data!$D$2:$D$2657,"RTO/market operation"))/$C33,0)</f>
        <v>0.00517308135625383</v>
      </c>
      <c r="G33" s="10" t="n">
        <f aca="false">IFERROR((SUMIFS(Data!$E$2:$E$2657,Data!$A$2:$A$2657,$A33,Data!$D$2:$D$2657,"Customer accounts, service &amp; sales")+SUMIFS(Data!$G$2:$G$2657,Data!$A$2:$A$2657,$A33,Data!$D$2:$D$2657,"Customer accounts, service &amp; sales"))/$C33,0)</f>
        <v>0.115457298106305</v>
      </c>
      <c r="H33" s="10" t="n">
        <f aca="false">IFERROR((SUMIFS(Data!$E$2:$E$2657,Data!$A$2:$A$2657,$A33,Data!$D$2:$D$2657,"A&amp;G and general")+SUMIFS(Data!$G$2:$G$2657,Data!$A$2:$A$2657,$A33,Data!$D$2:$D$2657,"A&amp;G and general"))/$C33,0)</f>
        <v>0.247379240053876</v>
      </c>
      <c r="I33" s="10" t="n">
        <f aca="false">IFERROR(SUMIFS(Data!$F$2:$F$2657,Data!$A$2:$A$2657,$A33)/$C33,0)</f>
        <v>0.186271812519562</v>
      </c>
      <c r="J33" s="11" t="n">
        <f aca="false">SUM(D33:H33)</f>
        <v>1</v>
      </c>
      <c r="K33" s="10" t="n">
        <f aca="false">IFERROR(SUMIFS(Data!$E$2:$E$2657,Data!$A$2:$A$2657,$A33)/$C33,0)</f>
        <v>0.679756432095673</v>
      </c>
      <c r="L33" s="10" t="n">
        <f aca="false">IFERROR(SUMIFS(Data!$G$2:$G$2657,Data!$A$2:$A$2657,$A33)/$C33,0)</f>
        <v>0.320243567904327</v>
      </c>
    </row>
    <row r="34" customFormat="false" ht="15" hidden="false" customHeight="false" outlineLevel="0" collapsed="false">
      <c r="A34" s="7" t="n">
        <v>2024</v>
      </c>
      <c r="B34" s="8" t="n">
        <f aca="false">COUNTIFS('Utility Shares'!$A:$A,$A34)</f>
        <v>19</v>
      </c>
      <c r="C34" s="9" t="n">
        <f aca="false">SUMIFS(Data!$E$2:$E$2657,Data!$A$2:$A$2657,$A34)+SUMIFS(Data!$G$2:$G$2657,Data!$A$2:$A$2657,$A34)</f>
        <v>16655.861813</v>
      </c>
      <c r="D34" s="10" t="n">
        <f aca="false">IFERROR((SUMIFS(Data!$E$2:$E$2657,Data!$A$2:$A$2657,$A34,Data!$D$2:$D$2657,"Transmission")+SUMIFS(Data!$G$2:$G$2657,Data!$A$2:$A$2657,$A34,Data!$D$2:$D$2657,"Transmission"))/$C34,0)</f>
        <v>0.284648296631494</v>
      </c>
      <c r="E34" s="10" t="n">
        <f aca="false">IFERROR((SUMIFS(Data!$E$2:$E$2657,Data!$A$2:$A$2657,$A34,Data!$D$2:$D$2657,"Distribution")+SUMIFS(Data!$G$2:$G$2657,Data!$A$2:$A$2657,$A34,Data!$D$2:$D$2657,"Distribution"))/$C34,0)</f>
        <v>0.336171136616286</v>
      </c>
      <c r="F34" s="10" t="n">
        <f aca="false">IFERROR((SUMIFS(Data!$E$2:$E$2657,Data!$A$2:$A$2657,$A34,Data!$D$2:$D$2657,"RTO/market operation")+SUMIFS(Data!$G$2:$G$2657,Data!$A$2:$A$2657,$A34,Data!$D$2:$D$2657,"RTO/market operation"))/$C34,0)</f>
        <v>0.00526904563602361</v>
      </c>
      <c r="G34" s="10" t="n">
        <f aca="false">IFERROR((SUMIFS(Data!$E$2:$E$2657,Data!$A$2:$A$2657,$A34,Data!$D$2:$D$2657,"Customer accounts, service &amp; sales")+SUMIFS(Data!$G$2:$G$2657,Data!$A$2:$A$2657,$A34,Data!$D$2:$D$2657,"Customer accounts, service &amp; sales"))/$C34,0)</f>
        <v>0.120622989044728</v>
      </c>
      <c r="H34" s="10" t="n">
        <f aca="false">IFERROR((SUMIFS(Data!$E$2:$E$2657,Data!$A$2:$A$2657,$A34,Data!$D$2:$D$2657,"A&amp;G and general")+SUMIFS(Data!$G$2:$G$2657,Data!$A$2:$A$2657,$A34,Data!$D$2:$D$2657,"A&amp;G and general"))/$C34,0)</f>
        <v>0.253288532071469</v>
      </c>
      <c r="I34" s="10" t="n">
        <f aca="false">IFERROR(SUMIFS(Data!$F$2:$F$2657,Data!$A$2:$A$2657,$A34)/$C34,0)</f>
        <v>0.184457610989667</v>
      </c>
      <c r="J34" s="11" t="n">
        <f aca="false">SUM(D34:H34)</f>
        <v>1</v>
      </c>
      <c r="K34" s="10" t="n">
        <f aca="false">IFERROR(SUMIFS(Data!$E$2:$E$2657,Data!$A$2:$A$2657,$A34)/$C34,0)</f>
        <v>0.677773369684716</v>
      </c>
      <c r="L34" s="10" t="n">
        <f aca="false">IFERROR(SUMIFS(Data!$G$2:$G$2657,Data!$A$2:$A$2657,$A34)/$C34,0)</f>
        <v>0.322226630315284</v>
      </c>
    </row>
    <row r="35" customFormat="false" ht="15" hidden="false" customHeight="false" outlineLevel="0" collapsed="false">
      <c r="A35" s="7" t="n">
        <v>2025</v>
      </c>
      <c r="B35" s="8" t="n">
        <f aca="false">COUNTIFS('Utility Shares'!$A:$A,$A35)</f>
        <v>19</v>
      </c>
      <c r="C35" s="9" t="n">
        <f aca="false">SUMIFS(Data!$E$2:$E$2657,Data!$A$2:$A$2657,$A35)+SUMIFS(Data!$G$2:$G$2657,Data!$A$2:$A$2657,$A35)</f>
        <v>17691.271394</v>
      </c>
      <c r="D35" s="10" t="n">
        <f aca="false">IFERROR((SUMIFS(Data!$E$2:$E$2657,Data!$A$2:$A$2657,$A35,Data!$D$2:$D$2657,"Transmission")+SUMIFS(Data!$G$2:$G$2657,Data!$A$2:$A$2657,$A35,Data!$D$2:$D$2657,"Transmission"))/$C35,0)</f>
        <v>0.293285998357343</v>
      </c>
      <c r="E35" s="10" t="n">
        <f aca="false">IFERROR((SUMIFS(Data!$E$2:$E$2657,Data!$A$2:$A$2657,$A35,Data!$D$2:$D$2657,"Distribution")+SUMIFS(Data!$G$2:$G$2657,Data!$A$2:$A$2657,$A35,Data!$D$2:$D$2657,"Distribution"))/$C35,0)</f>
        <v>0.351074851358984</v>
      </c>
      <c r="F35" s="10" t="n">
        <f aca="false">IFERROR((SUMIFS(Data!$E$2:$E$2657,Data!$A$2:$A$2657,$A35,Data!$D$2:$D$2657,"RTO/market operation")+SUMIFS(Data!$G$2:$G$2657,Data!$A$2:$A$2657,$A35,Data!$D$2:$D$2657,"RTO/market operation"))/$C35,0)</f>
        <v>0.00476015635759005</v>
      </c>
      <c r="G35" s="10" t="n">
        <f aca="false">IFERROR((SUMIFS(Data!$E$2:$E$2657,Data!$A$2:$A$2657,$A35,Data!$D$2:$D$2657,"Customer accounts, service &amp; sales")+SUMIFS(Data!$G$2:$G$2657,Data!$A$2:$A$2657,$A35,Data!$D$2:$D$2657,"Customer accounts, service &amp; sales"))/$C35,0)</f>
        <v>0.119467870902529</v>
      </c>
      <c r="H35" s="10" t="n">
        <f aca="false">IFERROR((SUMIFS(Data!$E$2:$E$2657,Data!$A$2:$A$2657,$A35,Data!$D$2:$D$2657,"A&amp;G and general")+SUMIFS(Data!$G$2:$G$2657,Data!$A$2:$A$2657,$A35,Data!$D$2:$D$2657,"A&amp;G and general"))/$C35,0)</f>
        <v>0.231411123023553</v>
      </c>
      <c r="I35" s="10" t="n">
        <f aca="false">IFERROR(SUMIFS(Data!$F$2:$F$2657,Data!$A$2:$A$2657,$A35)/$C35,0)</f>
        <v>0.186451640390227</v>
      </c>
      <c r="J35" s="11" t="n">
        <f aca="false">SUM(D35:H35)</f>
        <v>1</v>
      </c>
      <c r="K35" s="10" t="n">
        <f aca="false">IFERROR(SUMIFS(Data!$E$2:$E$2657,Data!$A$2:$A$2657,$A35)/$C35,0)</f>
        <v>0.67575031470347</v>
      </c>
      <c r="L35" s="10" t="n">
        <f aca="false">IFERROR(SUMIFS(Data!$G$2:$G$2657,Data!$A$2:$A$2657,$A35)/$C35,0)</f>
        <v>0.32424968529653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8"/>
    <col collapsed="false" customWidth="true" hidden="false" outlineLevel="0" max="4" min="4" style="0" width="14"/>
    <col collapsed="false" customWidth="true" hidden="false" outlineLevel="0" max="9" min="5" style="0" width="13"/>
    <col collapsed="false" customWidth="true" hidden="false" outlineLevel="0" max="10" min="10" style="0" width="14"/>
    <col collapsed="false" customWidth="true" hidden="false" outlineLevel="0" max="11" min="11" style="0" width="11"/>
  </cols>
  <sheetData>
    <row r="1" customFormat="false" ht="48" hidden="false" customHeight="true" outlineLevel="0" collapsed="false">
      <c r="A1" s="6" t="s">
        <v>42</v>
      </c>
      <c r="B1" s="6" t="s">
        <v>54</v>
      </c>
      <c r="C1" s="6" t="s">
        <v>55</v>
      </c>
      <c r="D1" s="6" t="s">
        <v>44</v>
      </c>
      <c r="E1" s="6" t="s">
        <v>45</v>
      </c>
      <c r="F1" s="6" t="s">
        <v>46</v>
      </c>
      <c r="G1" s="6" t="s">
        <v>47</v>
      </c>
      <c r="H1" s="6" t="s">
        <v>48</v>
      </c>
      <c r="I1" s="6" t="s">
        <v>49</v>
      </c>
      <c r="J1" s="6" t="s">
        <v>50</v>
      </c>
      <c r="K1" s="6" t="s">
        <v>51</v>
      </c>
    </row>
    <row r="2" customFormat="false" ht="15" hidden="false" customHeight="false" outlineLevel="0" collapsed="false">
      <c r="A2" s="7" t="n">
        <v>1995</v>
      </c>
      <c r="B2" s="12" t="s">
        <v>56</v>
      </c>
      <c r="C2" s="12" t="s">
        <v>57</v>
      </c>
      <c r="D2" s="9" t="n">
        <f aca="false">SUMIFS(Data!$E$2:$E$2657,Data!$A$2:$A$2657,$A2,Data!$B$2:$B$2657,$B2)+SUMIFS(Data!$G$2:$G$2657,Data!$A$2:$A$2657,$A2,Data!$B$2:$B$2657,$B2)</f>
        <v>89.718785</v>
      </c>
      <c r="E2" s="10" t="n">
        <f aca="false">IFERROR((SUMIFS(Data!$E$2:$E$2657,Data!$A$2:$A$2657,$A2,Data!$B$2:$B$2657,$B2,Data!$D$2:$D$2657,"Transmission")+SUMIFS(Data!$G$2:$G$2657,Data!$A$2:$A$2657,$A2,Data!$B$2:$B$2657,$B2,Data!$D$2:$D$2657,"Transmission"))/$D2,0)</f>
        <v>0.106221055044381</v>
      </c>
      <c r="F2" s="10" t="n">
        <f aca="false">IFERROR((SUMIFS(Data!$E$2:$E$2657,Data!$A$2:$A$2657,$A2,Data!$B$2:$B$2657,$B2,Data!$D$2:$D$2657,"Distribution")+SUMIFS(Data!$G$2:$G$2657,Data!$A$2:$A$2657,$A2,Data!$B$2:$B$2657,$B2,Data!$D$2:$D$2657,"Distribution"))/$D2,0)</f>
        <v>0.240842004269229</v>
      </c>
      <c r="G2" s="10" t="n">
        <f aca="false">IFERROR((SUMIFS(Data!$E$2:$E$2657,Data!$A$2:$A$2657,$A2,Data!$B$2:$B$2657,$B2,Data!$D$2:$D$2657,"RTO/market operation")+SUMIFS(Data!$G$2:$G$2657,Data!$A$2:$A$2657,$A2,Data!$B$2:$B$2657,$B2,Data!$D$2:$D$2657,"RTO/market operation"))/$D2,0)</f>
        <v>0</v>
      </c>
      <c r="H2" s="10" t="n">
        <f aca="false">IFERROR((SUMIFS(Data!$E$2:$E$2657,Data!$A$2:$A$2657,$A2,Data!$B$2:$B$2657,$B2,Data!$D$2:$D$2657,"Customer accounts, service &amp; sales")+SUMIFS(Data!$G$2:$G$2657,Data!$A$2:$A$2657,$A2,Data!$B$2:$B$2657,$B2,Data!$D$2:$D$2657,"Customer accounts, service &amp; sales"))/$D2,0)</f>
        <v>0.230028337989642</v>
      </c>
      <c r="I2" s="10" t="n">
        <f aca="false">IFERROR((SUMIFS(Data!$E$2:$E$2657,Data!$A$2:$A$2657,$A2,Data!$B$2:$B$2657,$B2,Data!$D$2:$D$2657,"A&amp;G and general")+SUMIFS(Data!$G$2:$G$2657,Data!$A$2:$A$2657,$A2,Data!$B$2:$B$2657,$B2,Data!$D$2:$D$2657,"A&amp;G and general"))/$D2,0)</f>
        <v>0.422908602696749</v>
      </c>
      <c r="J2" s="10" t="n">
        <f aca="false">IFERROR(SUMIFS(Data!$F$2:$F$2657,Data!$A$2:$A$2657,$A2,Data!$B$2:$B$2657,$B2)/$D2,0)</f>
        <v>0.00271458201312022</v>
      </c>
      <c r="K2" s="11" t="n">
        <f aca="false">SUM(E2:I2)</f>
        <v>1</v>
      </c>
    </row>
    <row r="3" customFormat="false" ht="15" hidden="false" customHeight="false" outlineLevel="0" collapsed="false">
      <c r="A3" s="7" t="n">
        <v>1995</v>
      </c>
      <c r="B3" s="12" t="s">
        <v>58</v>
      </c>
      <c r="C3" s="12" t="s">
        <v>59</v>
      </c>
      <c r="D3" s="9" t="n">
        <f aca="false">SUMIFS(Data!$E$2:$E$2657,Data!$A$2:$A$2657,$A3,Data!$B$2:$B$2657,$B3)+SUMIFS(Data!$G$2:$G$2657,Data!$A$2:$A$2657,$A3,Data!$B$2:$B$2657,$B3)</f>
        <v>466.971252</v>
      </c>
      <c r="E3" s="10" t="n">
        <f aca="false">IFERROR((SUMIFS(Data!$E$2:$E$2657,Data!$A$2:$A$2657,$A3,Data!$B$2:$B$2657,$B3,Data!$D$2:$D$2657,"Transmission")+SUMIFS(Data!$G$2:$G$2657,Data!$A$2:$A$2657,$A3,Data!$B$2:$B$2657,$B3,Data!$D$2:$D$2657,"Transmission"))/$D3,0)</f>
        <v>0.0748270902123971</v>
      </c>
      <c r="F3" s="10" t="n">
        <f aca="false">IFERROR((SUMIFS(Data!$E$2:$E$2657,Data!$A$2:$A$2657,$A3,Data!$B$2:$B$2657,$B3,Data!$D$2:$D$2657,"Distribution")+SUMIFS(Data!$G$2:$G$2657,Data!$A$2:$A$2657,$A3,Data!$B$2:$B$2657,$B3,Data!$D$2:$D$2657,"Distribution"))/$D3,0)</f>
        <v>0.303350303457224</v>
      </c>
      <c r="G3" s="10" t="n">
        <f aca="false">IFERROR((SUMIFS(Data!$E$2:$E$2657,Data!$A$2:$A$2657,$A3,Data!$B$2:$B$2657,$B3,Data!$D$2:$D$2657,"RTO/market operation")+SUMIFS(Data!$G$2:$G$2657,Data!$A$2:$A$2657,$A3,Data!$B$2:$B$2657,$B3,Data!$D$2:$D$2657,"RTO/market operation"))/$D3,0)</f>
        <v>0</v>
      </c>
      <c r="H3" s="10" t="n">
        <f aca="false">IFERROR((SUMIFS(Data!$E$2:$E$2657,Data!$A$2:$A$2657,$A3,Data!$B$2:$B$2657,$B3,Data!$D$2:$D$2657,"Customer accounts, service &amp; sales")+SUMIFS(Data!$G$2:$G$2657,Data!$A$2:$A$2657,$A3,Data!$B$2:$B$2657,$B3,Data!$D$2:$D$2657,"Customer accounts, service &amp; sales"))/$D3,0)</f>
        <v>0.1032193647758</v>
      </c>
      <c r="I3" s="10" t="n">
        <f aca="false">IFERROR((SUMIFS(Data!$E$2:$E$2657,Data!$A$2:$A$2657,$A3,Data!$B$2:$B$2657,$B3,Data!$D$2:$D$2657,"A&amp;G and general")+SUMIFS(Data!$G$2:$G$2657,Data!$A$2:$A$2657,$A3,Data!$B$2:$B$2657,$B3,Data!$D$2:$D$2657,"A&amp;G and general"))/$D3,0)</f>
        <v>0.518603241554579</v>
      </c>
      <c r="J3" s="10" t="n">
        <f aca="false">IFERROR(SUMIFS(Data!$F$2:$F$2657,Data!$A$2:$A$2657,$A3,Data!$B$2:$B$2657,$B3)/$D3,0)</f>
        <v>1.57782732201253E-005</v>
      </c>
      <c r="K3" s="11" t="n">
        <f aca="false">SUM(E3:I3)</f>
        <v>1</v>
      </c>
    </row>
    <row r="4" customFormat="false" ht="15" hidden="false" customHeight="false" outlineLevel="0" collapsed="false">
      <c r="A4" s="7" t="n">
        <v>1995</v>
      </c>
      <c r="B4" s="12" t="s">
        <v>60</v>
      </c>
      <c r="C4" s="12" t="s">
        <v>59</v>
      </c>
      <c r="D4" s="9" t="n">
        <f aca="false">SUMIFS(Data!$E$2:$E$2657,Data!$A$2:$A$2657,$A4,Data!$B$2:$B$2657,$B4)+SUMIFS(Data!$G$2:$G$2657,Data!$A$2:$A$2657,$A4,Data!$B$2:$B$2657,$B4)</f>
        <v>1233.244588</v>
      </c>
      <c r="E4" s="10" t="n">
        <f aca="false">IFERROR((SUMIFS(Data!$E$2:$E$2657,Data!$A$2:$A$2657,$A4,Data!$B$2:$B$2657,$B4,Data!$D$2:$D$2657,"Transmission")+SUMIFS(Data!$G$2:$G$2657,Data!$A$2:$A$2657,$A4,Data!$B$2:$B$2657,$B4,Data!$D$2:$D$2657,"Transmission"))/$D4,0)</f>
        <v>0.0806427532443386</v>
      </c>
      <c r="F4" s="10" t="n">
        <f aca="false">IFERROR((SUMIFS(Data!$E$2:$E$2657,Data!$A$2:$A$2657,$A4,Data!$B$2:$B$2657,$B4,Data!$D$2:$D$2657,"Distribution")+SUMIFS(Data!$G$2:$G$2657,Data!$A$2:$A$2657,$A4,Data!$B$2:$B$2657,$B4,Data!$D$2:$D$2657,"Distribution"))/$D4,0)</f>
        <v>0.304752178648928</v>
      </c>
      <c r="G4" s="10" t="n">
        <f aca="false">IFERROR((SUMIFS(Data!$E$2:$E$2657,Data!$A$2:$A$2657,$A4,Data!$B$2:$B$2657,$B4,Data!$D$2:$D$2657,"RTO/market operation")+SUMIFS(Data!$G$2:$G$2657,Data!$A$2:$A$2657,$A4,Data!$B$2:$B$2657,$B4,Data!$D$2:$D$2657,"RTO/market operation"))/$D4,0)</f>
        <v>0</v>
      </c>
      <c r="H4" s="10" t="n">
        <f aca="false">IFERROR((SUMIFS(Data!$E$2:$E$2657,Data!$A$2:$A$2657,$A4,Data!$B$2:$B$2657,$B4,Data!$D$2:$D$2657,"Customer accounts, service &amp; sales")+SUMIFS(Data!$G$2:$G$2657,Data!$A$2:$A$2657,$A4,Data!$B$2:$B$2657,$B4,Data!$D$2:$D$2657,"Customer accounts, service &amp; sales"))/$D4,0)</f>
        <v>0.136211686339061</v>
      </c>
      <c r="I4" s="10" t="n">
        <f aca="false">IFERROR((SUMIFS(Data!$E$2:$E$2657,Data!$A$2:$A$2657,$A4,Data!$B$2:$B$2657,$B4,Data!$D$2:$D$2657,"A&amp;G and general")+SUMIFS(Data!$G$2:$G$2657,Data!$A$2:$A$2657,$A4,Data!$B$2:$B$2657,$B4,Data!$D$2:$D$2657,"A&amp;G and general"))/$D4,0)</f>
        <v>0.478393381767673</v>
      </c>
      <c r="J4" s="10" t="n">
        <f aca="false">IFERROR(SUMIFS(Data!$F$2:$F$2657,Data!$A$2:$A$2657,$A4,Data!$B$2:$B$2657,$B4)/$D4,0)</f>
        <v>0.000180097283346035</v>
      </c>
      <c r="K4" s="11" t="n">
        <f aca="false">SUM(E4:I4)</f>
        <v>1</v>
      </c>
    </row>
    <row r="5" customFormat="false" ht="15" hidden="false" customHeight="false" outlineLevel="0" collapsed="false">
      <c r="A5" s="7" t="n">
        <v>1995</v>
      </c>
      <c r="B5" s="12" t="s">
        <v>61</v>
      </c>
      <c r="C5" s="12" t="s">
        <v>62</v>
      </c>
      <c r="D5" s="9" t="n">
        <f aca="false">SUMIFS(Data!$E$2:$E$2657,Data!$A$2:$A$2657,$A5,Data!$B$2:$B$2657,$B5)+SUMIFS(Data!$G$2:$G$2657,Data!$A$2:$A$2657,$A5,Data!$B$2:$B$2657,$B5)</f>
        <v>447.910988</v>
      </c>
      <c r="E5" s="10" t="n">
        <f aca="false">IFERROR((SUMIFS(Data!$E$2:$E$2657,Data!$A$2:$A$2657,$A5,Data!$B$2:$B$2657,$B5,Data!$D$2:$D$2657,"Transmission")+SUMIFS(Data!$G$2:$G$2657,Data!$A$2:$A$2657,$A5,Data!$B$2:$B$2657,$B5,Data!$D$2:$D$2657,"Transmission"))/$D5,0)</f>
        <v>0.0864351579604473</v>
      </c>
      <c r="F5" s="10" t="n">
        <f aca="false">IFERROR((SUMIFS(Data!$E$2:$E$2657,Data!$A$2:$A$2657,$A5,Data!$B$2:$B$2657,$B5,Data!$D$2:$D$2657,"Distribution")+SUMIFS(Data!$G$2:$G$2657,Data!$A$2:$A$2657,$A5,Data!$B$2:$B$2657,$B5,Data!$D$2:$D$2657,"Distribution"))/$D5,0)</f>
        <v>0.383111516790921</v>
      </c>
      <c r="G5" s="10" t="n">
        <f aca="false">IFERROR((SUMIFS(Data!$E$2:$E$2657,Data!$A$2:$A$2657,$A5,Data!$B$2:$B$2657,$B5,Data!$D$2:$D$2657,"RTO/market operation")+SUMIFS(Data!$G$2:$G$2657,Data!$A$2:$A$2657,$A5,Data!$B$2:$B$2657,$B5,Data!$D$2:$D$2657,"RTO/market operation"))/$D5,0)</f>
        <v>0</v>
      </c>
      <c r="H5" s="10" t="n">
        <f aca="false">IFERROR((SUMIFS(Data!$E$2:$E$2657,Data!$A$2:$A$2657,$A5,Data!$B$2:$B$2657,$B5,Data!$D$2:$D$2657,"Customer accounts, service &amp; sales")+SUMIFS(Data!$G$2:$G$2657,Data!$A$2:$A$2657,$A5,Data!$B$2:$B$2657,$B5,Data!$D$2:$D$2657,"Customer accounts, service &amp; sales"))/$D5,0)</f>
        <v>0.172173478807356</v>
      </c>
      <c r="I5" s="10" t="n">
        <f aca="false">IFERROR((SUMIFS(Data!$E$2:$E$2657,Data!$A$2:$A$2657,$A5,Data!$B$2:$B$2657,$B5,Data!$D$2:$D$2657,"A&amp;G and general")+SUMIFS(Data!$G$2:$G$2657,Data!$A$2:$A$2657,$A5,Data!$B$2:$B$2657,$B5,Data!$D$2:$D$2657,"A&amp;G and general"))/$D5,0)</f>
        <v>0.358279846441276</v>
      </c>
      <c r="J5" s="10" t="n">
        <f aca="false">IFERROR(SUMIFS(Data!$F$2:$F$2657,Data!$A$2:$A$2657,$A5,Data!$B$2:$B$2657,$B5)/$D5,0)</f>
        <v>0</v>
      </c>
      <c r="K5" s="11" t="n">
        <f aca="false">SUM(E5:I5)</f>
        <v>1</v>
      </c>
    </row>
    <row r="6" customFormat="false" ht="15" hidden="false" customHeight="false" outlineLevel="0" collapsed="false">
      <c r="A6" s="7" t="n">
        <v>1995</v>
      </c>
      <c r="B6" s="12" t="s">
        <v>63</v>
      </c>
      <c r="C6" s="12" t="s">
        <v>62</v>
      </c>
      <c r="D6" s="9" t="n">
        <f aca="false">SUMIFS(Data!$E$2:$E$2657,Data!$A$2:$A$2657,$A6,Data!$B$2:$B$2657,$B6)+SUMIFS(Data!$G$2:$G$2657,Data!$A$2:$A$2657,$A6,Data!$B$2:$B$2657,$B6)</f>
        <v>756.039479</v>
      </c>
      <c r="E6" s="10" t="n">
        <f aca="false">IFERROR((SUMIFS(Data!$E$2:$E$2657,Data!$A$2:$A$2657,$A6,Data!$B$2:$B$2657,$B6,Data!$D$2:$D$2657,"Transmission")+SUMIFS(Data!$G$2:$G$2657,Data!$A$2:$A$2657,$A6,Data!$B$2:$B$2657,$B6,Data!$D$2:$D$2657,"Transmission"))/$D6,0)</f>
        <v>0.0802497510847578</v>
      </c>
      <c r="F6" s="10" t="n">
        <f aca="false">IFERROR((SUMIFS(Data!$E$2:$E$2657,Data!$A$2:$A$2657,$A6,Data!$B$2:$B$2657,$B6,Data!$D$2:$D$2657,"Distribution")+SUMIFS(Data!$G$2:$G$2657,Data!$A$2:$A$2657,$A6,Data!$B$2:$B$2657,$B6,Data!$D$2:$D$2657,"Distribution"))/$D6,0)</f>
        <v>0.332224601990659</v>
      </c>
      <c r="G6" s="10" t="n">
        <f aca="false">IFERROR((SUMIFS(Data!$E$2:$E$2657,Data!$A$2:$A$2657,$A6,Data!$B$2:$B$2657,$B6,Data!$D$2:$D$2657,"RTO/market operation")+SUMIFS(Data!$G$2:$G$2657,Data!$A$2:$A$2657,$A6,Data!$B$2:$B$2657,$B6,Data!$D$2:$D$2657,"RTO/market operation"))/$D6,0)</f>
        <v>0</v>
      </c>
      <c r="H6" s="10" t="n">
        <f aca="false">IFERROR((SUMIFS(Data!$E$2:$E$2657,Data!$A$2:$A$2657,$A6,Data!$B$2:$B$2657,$B6,Data!$D$2:$D$2657,"Customer accounts, service &amp; sales")+SUMIFS(Data!$G$2:$G$2657,Data!$A$2:$A$2657,$A6,Data!$B$2:$B$2657,$B6,Data!$D$2:$D$2657,"Customer accounts, service &amp; sales"))/$D6,0)</f>
        <v>0.114241441616569</v>
      </c>
      <c r="I6" s="10" t="n">
        <f aca="false">IFERROR((SUMIFS(Data!$E$2:$E$2657,Data!$A$2:$A$2657,$A6,Data!$B$2:$B$2657,$B6,Data!$D$2:$D$2657,"A&amp;G and general")+SUMIFS(Data!$G$2:$G$2657,Data!$A$2:$A$2657,$A6,Data!$B$2:$B$2657,$B6,Data!$D$2:$D$2657,"A&amp;G and general"))/$D6,0)</f>
        <v>0.473284205308014</v>
      </c>
      <c r="J6" s="10" t="n">
        <f aca="false">IFERROR(SUMIFS(Data!$F$2:$F$2657,Data!$A$2:$A$2657,$A6,Data!$B$2:$B$2657,$B6)/$D6,0)</f>
        <v>-1.90730780607821E-006</v>
      </c>
      <c r="K6" s="11" t="n">
        <f aca="false">SUM(E6:I6)</f>
        <v>1</v>
      </c>
    </row>
    <row r="7" customFormat="false" ht="15" hidden="false" customHeight="false" outlineLevel="0" collapsed="false">
      <c r="A7" s="7" t="n">
        <v>1995</v>
      </c>
      <c r="B7" s="12" t="s">
        <v>64</v>
      </c>
      <c r="C7" s="12" t="s">
        <v>65</v>
      </c>
      <c r="D7" s="9" t="n">
        <f aca="false">SUMIFS(Data!$E$2:$E$2657,Data!$A$2:$A$2657,$A7,Data!$B$2:$B$2657,$B7)+SUMIFS(Data!$G$2:$G$2657,Data!$A$2:$A$2657,$A7,Data!$B$2:$B$2657,$B7)</f>
        <v>281.87085</v>
      </c>
      <c r="E7" s="10" t="n">
        <f aca="false">IFERROR((SUMIFS(Data!$E$2:$E$2657,Data!$A$2:$A$2657,$A7,Data!$B$2:$B$2657,$B7,Data!$D$2:$D$2657,"Transmission")+SUMIFS(Data!$G$2:$G$2657,Data!$A$2:$A$2657,$A7,Data!$B$2:$B$2657,$B7,Data!$D$2:$D$2657,"Transmission"))/$D7,0)</f>
        <v>0.0847192038481453</v>
      </c>
      <c r="F7" s="10" t="n">
        <f aca="false">IFERROR((SUMIFS(Data!$E$2:$E$2657,Data!$A$2:$A$2657,$A7,Data!$B$2:$B$2657,$B7,Data!$D$2:$D$2657,"Distribution")+SUMIFS(Data!$G$2:$G$2657,Data!$A$2:$A$2657,$A7,Data!$B$2:$B$2657,$B7,Data!$D$2:$D$2657,"Distribution"))/$D7,0)</f>
        <v>0.258878429607035</v>
      </c>
      <c r="G7" s="10" t="n">
        <f aca="false">IFERROR((SUMIFS(Data!$E$2:$E$2657,Data!$A$2:$A$2657,$A7,Data!$B$2:$B$2657,$B7,Data!$D$2:$D$2657,"RTO/market operation")+SUMIFS(Data!$G$2:$G$2657,Data!$A$2:$A$2657,$A7,Data!$B$2:$B$2657,$B7,Data!$D$2:$D$2657,"RTO/market operation"))/$D7,0)</f>
        <v>0</v>
      </c>
      <c r="H7" s="10" t="n">
        <f aca="false">IFERROR((SUMIFS(Data!$E$2:$E$2657,Data!$A$2:$A$2657,$A7,Data!$B$2:$B$2657,$B7,Data!$D$2:$D$2657,"Customer accounts, service &amp; sales")+SUMIFS(Data!$G$2:$G$2657,Data!$A$2:$A$2657,$A7,Data!$B$2:$B$2657,$B7,Data!$D$2:$D$2657,"Customer accounts, service &amp; sales"))/$D7,0)</f>
        <v>0.181682593286961</v>
      </c>
      <c r="I7" s="10" t="n">
        <f aca="false">IFERROR((SUMIFS(Data!$E$2:$E$2657,Data!$A$2:$A$2657,$A7,Data!$B$2:$B$2657,$B7,Data!$D$2:$D$2657,"A&amp;G and general")+SUMIFS(Data!$G$2:$G$2657,Data!$A$2:$A$2657,$A7,Data!$B$2:$B$2657,$B7,Data!$D$2:$D$2657,"A&amp;G and general"))/$D7,0)</f>
        <v>0.474719773257859</v>
      </c>
      <c r="J7" s="10" t="n">
        <f aca="false">IFERROR(SUMIFS(Data!$F$2:$F$2657,Data!$A$2:$A$2657,$A7,Data!$B$2:$B$2657,$B7)/$D7,0)</f>
        <v>0.0015607892763654</v>
      </c>
      <c r="K7" s="11" t="n">
        <f aca="false">SUM(E7:I7)</f>
        <v>1</v>
      </c>
    </row>
    <row r="8" customFormat="false" ht="15" hidden="false" customHeight="false" outlineLevel="0" collapsed="false">
      <c r="A8" s="7" t="n">
        <v>1995</v>
      </c>
      <c r="B8" s="12" t="s">
        <v>66</v>
      </c>
      <c r="C8" s="12" t="s">
        <v>67</v>
      </c>
      <c r="D8" s="9" t="n">
        <f aca="false">SUMIFS(Data!$E$2:$E$2657,Data!$A$2:$A$2657,$A8,Data!$B$2:$B$2657,$B8)+SUMIFS(Data!$G$2:$G$2657,Data!$A$2:$A$2657,$A8,Data!$B$2:$B$2657,$B8)</f>
        <v>182.461512</v>
      </c>
      <c r="E8" s="10" t="n">
        <f aca="false">IFERROR((SUMIFS(Data!$E$2:$E$2657,Data!$A$2:$A$2657,$A8,Data!$B$2:$B$2657,$B8,Data!$D$2:$D$2657,"Transmission")+SUMIFS(Data!$G$2:$G$2657,Data!$A$2:$A$2657,$A8,Data!$B$2:$B$2657,$B8,Data!$D$2:$D$2657,"Transmission"))/$D8,0)</f>
        <v>-0.0608945189492894</v>
      </c>
      <c r="F8" s="10" t="n">
        <f aca="false">IFERROR((SUMIFS(Data!$E$2:$E$2657,Data!$A$2:$A$2657,$A8,Data!$B$2:$B$2657,$B8,Data!$D$2:$D$2657,"Distribution")+SUMIFS(Data!$G$2:$G$2657,Data!$A$2:$A$2657,$A8,Data!$B$2:$B$2657,$B8,Data!$D$2:$D$2657,"Distribution"))/$D8,0)</f>
        <v>0.370534247244427</v>
      </c>
      <c r="G8" s="10" t="n">
        <f aca="false">IFERROR((SUMIFS(Data!$E$2:$E$2657,Data!$A$2:$A$2657,$A8,Data!$B$2:$B$2657,$B8,Data!$D$2:$D$2657,"RTO/market operation")+SUMIFS(Data!$G$2:$G$2657,Data!$A$2:$A$2657,$A8,Data!$B$2:$B$2657,$B8,Data!$D$2:$D$2657,"RTO/market operation"))/$D8,0)</f>
        <v>0</v>
      </c>
      <c r="H8" s="10" t="n">
        <f aca="false">IFERROR((SUMIFS(Data!$E$2:$E$2657,Data!$A$2:$A$2657,$A8,Data!$B$2:$B$2657,$B8,Data!$D$2:$D$2657,"Customer accounts, service &amp; sales")+SUMIFS(Data!$G$2:$G$2657,Data!$A$2:$A$2657,$A8,Data!$B$2:$B$2657,$B8,Data!$D$2:$D$2657,"Customer accounts, service &amp; sales"))/$D8,0)</f>
        <v>0.146204554087001</v>
      </c>
      <c r="I8" s="10" t="n">
        <f aca="false">IFERROR((SUMIFS(Data!$E$2:$E$2657,Data!$A$2:$A$2657,$A8,Data!$B$2:$B$2657,$B8,Data!$D$2:$D$2657,"A&amp;G and general")+SUMIFS(Data!$G$2:$G$2657,Data!$A$2:$A$2657,$A8,Data!$B$2:$B$2657,$B8,Data!$D$2:$D$2657,"A&amp;G and general"))/$D8,0)</f>
        <v>0.544155717617861</v>
      </c>
      <c r="J8" s="10" t="n">
        <f aca="false">IFERROR(SUMIFS(Data!$F$2:$F$2657,Data!$A$2:$A$2657,$A8,Data!$B$2:$B$2657,$B8)/$D8,0)</f>
        <v>-0.255772773602797</v>
      </c>
      <c r="K8" s="11" t="n">
        <f aca="false">SUM(E8:I8)</f>
        <v>1</v>
      </c>
    </row>
    <row r="9" customFormat="false" ht="15" hidden="false" customHeight="false" outlineLevel="0" collapsed="false">
      <c r="A9" s="7" t="n">
        <v>1995</v>
      </c>
      <c r="B9" s="12" t="s">
        <v>68</v>
      </c>
      <c r="C9" s="12" t="s">
        <v>65</v>
      </c>
      <c r="D9" s="9" t="n">
        <f aca="false">SUMIFS(Data!$E$2:$E$2657,Data!$A$2:$A$2657,$A9,Data!$B$2:$B$2657,$B9)+SUMIFS(Data!$G$2:$G$2657,Data!$A$2:$A$2657,$A9,Data!$B$2:$B$2657,$B9)</f>
        <v>152.43452</v>
      </c>
      <c r="E9" s="10" t="n">
        <f aca="false">IFERROR((SUMIFS(Data!$E$2:$E$2657,Data!$A$2:$A$2657,$A9,Data!$B$2:$B$2657,$B9,Data!$D$2:$D$2657,"Transmission")+SUMIFS(Data!$G$2:$G$2657,Data!$A$2:$A$2657,$A9,Data!$B$2:$B$2657,$B9,Data!$D$2:$D$2657,"Transmission"))/$D9,0)</f>
        <v>0.0740713192785991</v>
      </c>
      <c r="F9" s="10" t="n">
        <f aca="false">IFERROR((SUMIFS(Data!$E$2:$E$2657,Data!$A$2:$A$2657,$A9,Data!$B$2:$B$2657,$B9,Data!$D$2:$D$2657,"Distribution")+SUMIFS(Data!$G$2:$G$2657,Data!$A$2:$A$2657,$A9,Data!$B$2:$B$2657,$B9,Data!$D$2:$D$2657,"Distribution"))/$D9,0)</f>
        <v>0.38204587123704</v>
      </c>
      <c r="G9" s="10" t="n">
        <f aca="false">IFERROR((SUMIFS(Data!$E$2:$E$2657,Data!$A$2:$A$2657,$A9,Data!$B$2:$B$2657,$B9,Data!$D$2:$D$2657,"RTO/market operation")+SUMIFS(Data!$G$2:$G$2657,Data!$A$2:$A$2657,$A9,Data!$B$2:$B$2657,$B9,Data!$D$2:$D$2657,"RTO/market operation"))/$D9,0)</f>
        <v>0</v>
      </c>
      <c r="H9" s="10" t="n">
        <f aca="false">IFERROR((SUMIFS(Data!$E$2:$E$2657,Data!$A$2:$A$2657,$A9,Data!$B$2:$B$2657,$B9,Data!$D$2:$D$2657,"Customer accounts, service &amp; sales")+SUMIFS(Data!$G$2:$G$2657,Data!$A$2:$A$2657,$A9,Data!$B$2:$B$2657,$B9,Data!$D$2:$D$2657,"Customer accounts, service &amp; sales"))/$D9,0)</f>
        <v>0.116788126468991</v>
      </c>
      <c r="I9" s="10" t="n">
        <f aca="false">IFERROR((SUMIFS(Data!$E$2:$E$2657,Data!$A$2:$A$2657,$A9,Data!$B$2:$B$2657,$B9,Data!$D$2:$D$2657,"A&amp;G and general")+SUMIFS(Data!$G$2:$G$2657,Data!$A$2:$A$2657,$A9,Data!$B$2:$B$2657,$B9,Data!$D$2:$D$2657,"A&amp;G and general"))/$D9,0)</f>
        <v>0.427094683015369</v>
      </c>
      <c r="J9" s="10" t="n">
        <f aca="false">IFERROR(SUMIFS(Data!$F$2:$F$2657,Data!$A$2:$A$2657,$A9,Data!$B$2:$B$2657,$B9)/$D9,0)</f>
        <v>0</v>
      </c>
      <c r="K9" s="11" t="n">
        <f aca="false">SUM(E9:I9)</f>
        <v>1</v>
      </c>
    </row>
    <row r="10" customFormat="false" ht="15" hidden="false" customHeight="false" outlineLevel="0" collapsed="false">
      <c r="A10" s="7" t="n">
        <v>1995</v>
      </c>
      <c r="B10" s="12" t="s">
        <v>69</v>
      </c>
      <c r="C10" s="12" t="s">
        <v>70</v>
      </c>
      <c r="D10" s="9" t="n">
        <f aca="false">SUMIFS(Data!$E$2:$E$2657,Data!$A$2:$A$2657,$A10,Data!$B$2:$B$2657,$B10)+SUMIFS(Data!$G$2:$G$2657,Data!$A$2:$A$2657,$A10,Data!$B$2:$B$2657,$B10)</f>
        <v>180.856644</v>
      </c>
      <c r="E10" s="10" t="n">
        <f aca="false">IFERROR((SUMIFS(Data!$E$2:$E$2657,Data!$A$2:$A$2657,$A10,Data!$B$2:$B$2657,$B10,Data!$D$2:$D$2657,"Transmission")+SUMIFS(Data!$G$2:$G$2657,Data!$A$2:$A$2657,$A10,Data!$B$2:$B$2657,$B10,Data!$D$2:$D$2657,"Transmission"))/$D10,0)</f>
        <v>0.131042197155887</v>
      </c>
      <c r="F10" s="10" t="n">
        <f aca="false">IFERROR((SUMIFS(Data!$E$2:$E$2657,Data!$A$2:$A$2657,$A10,Data!$B$2:$B$2657,$B10,Data!$D$2:$D$2657,"Distribution")+SUMIFS(Data!$G$2:$G$2657,Data!$A$2:$A$2657,$A10,Data!$B$2:$B$2657,$B10,Data!$D$2:$D$2657,"Distribution"))/$D10,0)</f>
        <v>0.327806729621722</v>
      </c>
      <c r="G10" s="10" t="n">
        <f aca="false">IFERROR((SUMIFS(Data!$E$2:$E$2657,Data!$A$2:$A$2657,$A10,Data!$B$2:$B$2657,$B10,Data!$D$2:$D$2657,"RTO/market operation")+SUMIFS(Data!$G$2:$G$2657,Data!$A$2:$A$2657,$A10,Data!$B$2:$B$2657,$B10,Data!$D$2:$D$2657,"RTO/market operation"))/$D10,0)</f>
        <v>0</v>
      </c>
      <c r="H10" s="10" t="n">
        <f aca="false">IFERROR((SUMIFS(Data!$E$2:$E$2657,Data!$A$2:$A$2657,$A10,Data!$B$2:$B$2657,$B10,Data!$D$2:$D$2657,"Customer accounts, service &amp; sales")+SUMIFS(Data!$G$2:$G$2657,Data!$A$2:$A$2657,$A10,Data!$B$2:$B$2657,$B10,Data!$D$2:$D$2657,"Customer accounts, service &amp; sales"))/$D10,0)</f>
        <v>0.0942877774509628</v>
      </c>
      <c r="I10" s="10" t="n">
        <f aca="false">IFERROR((SUMIFS(Data!$E$2:$E$2657,Data!$A$2:$A$2657,$A10,Data!$B$2:$B$2657,$B10,Data!$D$2:$D$2657,"A&amp;G and general")+SUMIFS(Data!$G$2:$G$2657,Data!$A$2:$A$2657,$A10,Data!$B$2:$B$2657,$B10,Data!$D$2:$D$2657,"A&amp;G and general"))/$D10,0)</f>
        <v>0.446863295771429</v>
      </c>
      <c r="J10" s="10" t="n">
        <f aca="false">IFERROR(SUMIFS(Data!$F$2:$F$2657,Data!$A$2:$A$2657,$A10,Data!$B$2:$B$2657,$B10)/$D10,0)</f>
        <v>0.0225484002677834</v>
      </c>
      <c r="K10" s="11" t="n">
        <f aca="false">SUM(E10:I10)</f>
        <v>1</v>
      </c>
    </row>
    <row r="11" customFormat="false" ht="15" hidden="false" customHeight="false" outlineLevel="0" collapsed="false">
      <c r="A11" s="7" t="n">
        <v>1995</v>
      </c>
      <c r="B11" s="12" t="s">
        <v>71</v>
      </c>
      <c r="C11" s="12" t="s">
        <v>72</v>
      </c>
      <c r="D11" s="9" t="n">
        <f aca="false">SUMIFS(Data!$E$2:$E$2657,Data!$A$2:$A$2657,$A11,Data!$B$2:$B$2657,$B11)+SUMIFS(Data!$G$2:$G$2657,Data!$A$2:$A$2657,$A11,Data!$B$2:$B$2657,$B11)</f>
        <v>42.807555</v>
      </c>
      <c r="E11" s="10" t="n">
        <f aca="false">IFERROR((SUMIFS(Data!$E$2:$E$2657,Data!$A$2:$A$2657,$A11,Data!$B$2:$B$2657,$B11,Data!$D$2:$D$2657,"Transmission")+SUMIFS(Data!$G$2:$G$2657,Data!$A$2:$A$2657,$A11,Data!$B$2:$B$2657,$B11,Data!$D$2:$D$2657,"Transmission"))/$D11,0)</f>
        <v>0.103107921020016</v>
      </c>
      <c r="F11" s="10" t="n">
        <f aca="false">IFERROR((SUMIFS(Data!$E$2:$E$2657,Data!$A$2:$A$2657,$A11,Data!$B$2:$B$2657,$B11,Data!$D$2:$D$2657,"Distribution")+SUMIFS(Data!$G$2:$G$2657,Data!$A$2:$A$2657,$A11,Data!$B$2:$B$2657,$B11,Data!$D$2:$D$2657,"Distribution"))/$D11,0)</f>
        <v>0.261628256974733</v>
      </c>
      <c r="G11" s="10" t="n">
        <f aca="false">IFERROR((SUMIFS(Data!$E$2:$E$2657,Data!$A$2:$A$2657,$A11,Data!$B$2:$B$2657,$B11,Data!$D$2:$D$2657,"RTO/market operation")+SUMIFS(Data!$G$2:$G$2657,Data!$A$2:$A$2657,$A11,Data!$B$2:$B$2657,$B11,Data!$D$2:$D$2657,"RTO/market operation"))/$D11,0)</f>
        <v>0</v>
      </c>
      <c r="H11" s="10" t="n">
        <f aca="false">IFERROR((SUMIFS(Data!$E$2:$E$2657,Data!$A$2:$A$2657,$A11,Data!$B$2:$B$2657,$B11,Data!$D$2:$D$2657,"Customer accounts, service &amp; sales")+SUMIFS(Data!$G$2:$G$2657,Data!$A$2:$A$2657,$A11,Data!$B$2:$B$2657,$B11,Data!$D$2:$D$2657,"Customer accounts, service &amp; sales"))/$D11,0)</f>
        <v>0.206573045342113</v>
      </c>
      <c r="I11" s="10" t="n">
        <f aca="false">IFERROR((SUMIFS(Data!$E$2:$E$2657,Data!$A$2:$A$2657,$A11,Data!$B$2:$B$2657,$B11,Data!$D$2:$D$2657,"A&amp;G and general")+SUMIFS(Data!$G$2:$G$2657,Data!$A$2:$A$2657,$A11,Data!$B$2:$B$2657,$B11,Data!$D$2:$D$2657,"A&amp;G and general"))/$D11,0)</f>
        <v>0.428690776663138</v>
      </c>
      <c r="J11" s="10" t="n">
        <f aca="false">IFERROR(SUMIFS(Data!$F$2:$F$2657,Data!$A$2:$A$2657,$A11,Data!$B$2:$B$2657,$B11)/$D11,0)</f>
        <v>0.00542081882508824</v>
      </c>
      <c r="K11" s="11" t="n">
        <f aca="false">SUM(E11:I11)</f>
        <v>1</v>
      </c>
    </row>
    <row r="12" customFormat="false" ht="15" hidden="false" customHeight="false" outlineLevel="0" collapsed="false">
      <c r="A12" s="7" t="n">
        <v>1995</v>
      </c>
      <c r="B12" s="12" t="s">
        <v>73</v>
      </c>
      <c r="C12" s="12" t="s">
        <v>70</v>
      </c>
      <c r="D12" s="9" t="n">
        <f aca="false">SUMIFS(Data!$E$2:$E$2657,Data!$A$2:$A$2657,$A12,Data!$B$2:$B$2657,$B12)+SUMIFS(Data!$G$2:$G$2657,Data!$A$2:$A$2657,$A12,Data!$B$2:$B$2657,$B12)</f>
        <v>261.540701</v>
      </c>
      <c r="E12" s="10" t="n">
        <f aca="false">IFERROR((SUMIFS(Data!$E$2:$E$2657,Data!$A$2:$A$2657,$A12,Data!$B$2:$B$2657,$B12,Data!$D$2:$D$2657,"Transmission")+SUMIFS(Data!$G$2:$G$2657,Data!$A$2:$A$2657,$A12,Data!$B$2:$B$2657,$B12,Data!$D$2:$D$2657,"Transmission"))/$D12,0)</f>
        <v>0.0844502477646873</v>
      </c>
      <c r="F12" s="10" t="n">
        <f aca="false">IFERROR((SUMIFS(Data!$E$2:$E$2657,Data!$A$2:$A$2657,$A12,Data!$B$2:$B$2657,$B12,Data!$D$2:$D$2657,"Distribution")+SUMIFS(Data!$G$2:$G$2657,Data!$A$2:$A$2657,$A12,Data!$B$2:$B$2657,$B12,Data!$D$2:$D$2657,"Distribution"))/$D12,0)</f>
        <v>0.301727905822199</v>
      </c>
      <c r="G12" s="10" t="n">
        <f aca="false">IFERROR((SUMIFS(Data!$E$2:$E$2657,Data!$A$2:$A$2657,$A12,Data!$B$2:$B$2657,$B12,Data!$D$2:$D$2657,"RTO/market operation")+SUMIFS(Data!$G$2:$G$2657,Data!$A$2:$A$2657,$A12,Data!$B$2:$B$2657,$B12,Data!$D$2:$D$2657,"RTO/market operation"))/$D12,0)</f>
        <v>0</v>
      </c>
      <c r="H12" s="10" t="n">
        <f aca="false">IFERROR((SUMIFS(Data!$E$2:$E$2657,Data!$A$2:$A$2657,$A12,Data!$B$2:$B$2657,$B12,Data!$D$2:$D$2657,"Customer accounts, service &amp; sales")+SUMIFS(Data!$G$2:$G$2657,Data!$A$2:$A$2657,$A12,Data!$B$2:$B$2657,$B12,Data!$D$2:$D$2657,"Customer accounts, service &amp; sales"))/$D12,0)</f>
        <v>0.128611030219729</v>
      </c>
      <c r="I12" s="10" t="n">
        <f aca="false">IFERROR((SUMIFS(Data!$E$2:$E$2657,Data!$A$2:$A$2657,$A12,Data!$B$2:$B$2657,$B12,Data!$D$2:$D$2657,"A&amp;G and general")+SUMIFS(Data!$G$2:$G$2657,Data!$A$2:$A$2657,$A12,Data!$B$2:$B$2657,$B12,Data!$D$2:$D$2657,"A&amp;G and general"))/$D12,0)</f>
        <v>0.485210816193385</v>
      </c>
      <c r="J12" s="10" t="n">
        <f aca="false">IFERROR(SUMIFS(Data!$F$2:$F$2657,Data!$A$2:$A$2657,$A12,Data!$B$2:$B$2657,$B12)/$D12,0)</f>
        <v>0.00189810610012856</v>
      </c>
      <c r="K12" s="11" t="n">
        <f aca="false">SUM(E12:I12)</f>
        <v>1</v>
      </c>
    </row>
    <row r="13" customFormat="false" ht="15" hidden="false" customHeight="false" outlineLevel="0" collapsed="false">
      <c r="A13" s="7" t="n">
        <v>1995</v>
      </c>
      <c r="B13" s="12" t="s">
        <v>74</v>
      </c>
      <c r="C13" s="12" t="s">
        <v>65</v>
      </c>
      <c r="D13" s="9" t="n">
        <f aca="false">SUMIFS(Data!$E$2:$E$2657,Data!$A$2:$A$2657,$A13,Data!$B$2:$B$2657,$B13)+SUMIFS(Data!$G$2:$G$2657,Data!$A$2:$A$2657,$A13,Data!$B$2:$B$2657,$B13)</f>
        <v>197.633799</v>
      </c>
      <c r="E13" s="10" t="n">
        <f aca="false">IFERROR((SUMIFS(Data!$E$2:$E$2657,Data!$A$2:$A$2657,$A13,Data!$B$2:$B$2657,$B13,Data!$D$2:$D$2657,"Transmission")+SUMIFS(Data!$G$2:$G$2657,Data!$A$2:$A$2657,$A13,Data!$B$2:$B$2657,$B13,Data!$D$2:$D$2657,"Transmission"))/$D13,0)</f>
        <v>0.139371358236149</v>
      </c>
      <c r="F13" s="10" t="n">
        <f aca="false">IFERROR((SUMIFS(Data!$E$2:$E$2657,Data!$A$2:$A$2657,$A13,Data!$B$2:$B$2657,$B13,Data!$D$2:$D$2657,"Distribution")+SUMIFS(Data!$G$2:$G$2657,Data!$A$2:$A$2657,$A13,Data!$B$2:$B$2657,$B13,Data!$D$2:$D$2657,"Distribution"))/$D13,0)</f>
        <v>0.275898430713261</v>
      </c>
      <c r="G13" s="10" t="n">
        <f aca="false">IFERROR((SUMIFS(Data!$E$2:$E$2657,Data!$A$2:$A$2657,$A13,Data!$B$2:$B$2657,$B13,Data!$D$2:$D$2657,"RTO/market operation")+SUMIFS(Data!$G$2:$G$2657,Data!$A$2:$A$2657,$A13,Data!$B$2:$B$2657,$B13,Data!$D$2:$D$2657,"RTO/market operation"))/$D13,0)</f>
        <v>0</v>
      </c>
      <c r="H13" s="10" t="n">
        <f aca="false">IFERROR((SUMIFS(Data!$E$2:$E$2657,Data!$A$2:$A$2657,$A13,Data!$B$2:$B$2657,$B13,Data!$D$2:$D$2657,"Customer accounts, service &amp; sales")+SUMIFS(Data!$G$2:$G$2657,Data!$A$2:$A$2657,$A13,Data!$B$2:$B$2657,$B13,Data!$D$2:$D$2657,"Customer accounts, service &amp; sales"))/$D13,0)</f>
        <v>0.122473732339679</v>
      </c>
      <c r="I13" s="10" t="n">
        <f aca="false">IFERROR((SUMIFS(Data!$E$2:$E$2657,Data!$A$2:$A$2657,$A13,Data!$B$2:$B$2657,$B13,Data!$D$2:$D$2657,"A&amp;G and general")+SUMIFS(Data!$G$2:$G$2657,Data!$A$2:$A$2657,$A13,Data!$B$2:$B$2657,$B13,Data!$D$2:$D$2657,"A&amp;G and general"))/$D13,0)</f>
        <v>0.462256478710911</v>
      </c>
      <c r="J13" s="10" t="n">
        <f aca="false">IFERROR(SUMIFS(Data!$F$2:$F$2657,Data!$A$2:$A$2657,$A13,Data!$B$2:$B$2657,$B13)/$D13,0)</f>
        <v>0.00103562245443655</v>
      </c>
      <c r="K13" s="11" t="n">
        <f aca="false">SUM(E13:I13)</f>
        <v>1</v>
      </c>
    </row>
    <row r="14" customFormat="false" ht="15" hidden="false" customHeight="false" outlineLevel="0" collapsed="false">
      <c r="A14" s="7" t="n">
        <v>1995</v>
      </c>
      <c r="B14" s="12" t="s">
        <v>75</v>
      </c>
      <c r="C14" s="12" t="s">
        <v>57</v>
      </c>
      <c r="D14" s="9" t="n">
        <f aca="false">SUMIFS(Data!$E$2:$E$2657,Data!$A$2:$A$2657,$A14,Data!$B$2:$B$2657,$B14)+SUMIFS(Data!$G$2:$G$2657,Data!$A$2:$A$2657,$A14,Data!$B$2:$B$2657,$B14)</f>
        <v>459.958579</v>
      </c>
      <c r="E14" s="10" t="n">
        <f aca="false">IFERROR((SUMIFS(Data!$E$2:$E$2657,Data!$A$2:$A$2657,$A14,Data!$B$2:$B$2657,$B14,Data!$D$2:$D$2657,"Transmission")+SUMIFS(Data!$G$2:$G$2657,Data!$A$2:$A$2657,$A14,Data!$B$2:$B$2657,$B14,Data!$D$2:$D$2657,"Transmission"))/$D14,0)</f>
        <v>0.142804974184425</v>
      </c>
      <c r="F14" s="10" t="n">
        <f aca="false">IFERROR((SUMIFS(Data!$E$2:$E$2657,Data!$A$2:$A$2657,$A14,Data!$B$2:$B$2657,$B14,Data!$D$2:$D$2657,"Distribution")+SUMIFS(Data!$G$2:$G$2657,Data!$A$2:$A$2657,$A14,Data!$B$2:$B$2657,$B14,Data!$D$2:$D$2657,"Distribution"))/$D14,0)</f>
        <v>0.279309439731094</v>
      </c>
      <c r="G14" s="10" t="n">
        <f aca="false">IFERROR((SUMIFS(Data!$E$2:$E$2657,Data!$A$2:$A$2657,$A14,Data!$B$2:$B$2657,$B14,Data!$D$2:$D$2657,"RTO/market operation")+SUMIFS(Data!$G$2:$G$2657,Data!$A$2:$A$2657,$A14,Data!$B$2:$B$2657,$B14,Data!$D$2:$D$2657,"RTO/market operation"))/$D14,0)</f>
        <v>0</v>
      </c>
      <c r="H14" s="10" t="n">
        <f aca="false">IFERROR((SUMIFS(Data!$E$2:$E$2657,Data!$A$2:$A$2657,$A14,Data!$B$2:$B$2657,$B14,Data!$D$2:$D$2657,"Customer accounts, service &amp; sales")+SUMIFS(Data!$G$2:$G$2657,Data!$A$2:$A$2657,$A14,Data!$B$2:$B$2657,$B14,Data!$D$2:$D$2657,"Customer accounts, service &amp; sales"))/$D14,0)</f>
        <v>0.198868061552125</v>
      </c>
      <c r="I14" s="10" t="n">
        <f aca="false">IFERROR((SUMIFS(Data!$E$2:$E$2657,Data!$A$2:$A$2657,$A14,Data!$B$2:$B$2657,$B14,Data!$D$2:$D$2657,"A&amp;G and general")+SUMIFS(Data!$G$2:$G$2657,Data!$A$2:$A$2657,$A14,Data!$B$2:$B$2657,$B14,Data!$D$2:$D$2657,"A&amp;G and general"))/$D14,0)</f>
        <v>0.379017524532356</v>
      </c>
      <c r="J14" s="10" t="n">
        <f aca="false">IFERROR(SUMIFS(Data!$F$2:$F$2657,Data!$A$2:$A$2657,$A14,Data!$B$2:$B$2657,$B14)/$D14,0)</f>
        <v>0.00739742045337522</v>
      </c>
      <c r="K14" s="11" t="n">
        <f aca="false">SUM(E14:I14)</f>
        <v>1</v>
      </c>
    </row>
    <row r="15" customFormat="false" ht="15" hidden="false" customHeight="false" outlineLevel="0" collapsed="false">
      <c r="A15" s="7" t="n">
        <v>1995</v>
      </c>
      <c r="B15" s="12" t="s">
        <v>76</v>
      </c>
      <c r="C15" s="12" t="s">
        <v>72</v>
      </c>
      <c r="D15" s="9" t="n">
        <f aca="false">SUMIFS(Data!$E$2:$E$2657,Data!$A$2:$A$2657,$A15,Data!$B$2:$B$2657,$B15)+SUMIFS(Data!$G$2:$G$2657,Data!$A$2:$A$2657,$A15,Data!$B$2:$B$2657,$B15)</f>
        <v>93.790631</v>
      </c>
      <c r="E15" s="10" t="n">
        <f aca="false">IFERROR((SUMIFS(Data!$E$2:$E$2657,Data!$A$2:$A$2657,$A15,Data!$B$2:$B$2657,$B15,Data!$D$2:$D$2657,"Transmission")+SUMIFS(Data!$G$2:$G$2657,Data!$A$2:$A$2657,$A15,Data!$B$2:$B$2657,$B15,Data!$D$2:$D$2657,"Transmission"))/$D15,0)</f>
        <v>0.250127797946044</v>
      </c>
      <c r="F15" s="10" t="n">
        <f aca="false">IFERROR((SUMIFS(Data!$E$2:$E$2657,Data!$A$2:$A$2657,$A15,Data!$B$2:$B$2657,$B15,Data!$D$2:$D$2657,"Distribution")+SUMIFS(Data!$G$2:$G$2657,Data!$A$2:$A$2657,$A15,Data!$B$2:$B$2657,$B15,Data!$D$2:$D$2657,"Distribution"))/$D15,0)</f>
        <v>0.309134182069849</v>
      </c>
      <c r="G15" s="10" t="n">
        <f aca="false">IFERROR((SUMIFS(Data!$E$2:$E$2657,Data!$A$2:$A$2657,$A15,Data!$B$2:$B$2657,$B15,Data!$D$2:$D$2657,"RTO/market operation")+SUMIFS(Data!$G$2:$G$2657,Data!$A$2:$A$2657,$A15,Data!$B$2:$B$2657,$B15,Data!$D$2:$D$2657,"RTO/market operation"))/$D15,0)</f>
        <v>0</v>
      </c>
      <c r="H15" s="10" t="n">
        <f aca="false">IFERROR((SUMIFS(Data!$E$2:$E$2657,Data!$A$2:$A$2657,$A15,Data!$B$2:$B$2657,$B15,Data!$D$2:$D$2657,"Customer accounts, service &amp; sales")+SUMIFS(Data!$G$2:$G$2657,Data!$A$2:$A$2657,$A15,Data!$B$2:$B$2657,$B15,Data!$D$2:$D$2657,"Customer accounts, service &amp; sales"))/$D15,0)</f>
        <v>0.158494604860906</v>
      </c>
      <c r="I15" s="10" t="n">
        <f aca="false">IFERROR((SUMIFS(Data!$E$2:$E$2657,Data!$A$2:$A$2657,$A15,Data!$B$2:$B$2657,$B15,Data!$D$2:$D$2657,"A&amp;G and general")+SUMIFS(Data!$G$2:$G$2657,Data!$A$2:$A$2657,$A15,Data!$B$2:$B$2657,$B15,Data!$D$2:$D$2657,"A&amp;G and general"))/$D15,0)</f>
        <v>0.282243415123201</v>
      </c>
      <c r="J15" s="10" t="n">
        <f aca="false">IFERROR(SUMIFS(Data!$F$2:$F$2657,Data!$A$2:$A$2657,$A15,Data!$B$2:$B$2657,$B15)/$D15,0)</f>
        <v>0</v>
      </c>
      <c r="K15" s="11" t="n">
        <f aca="false">SUM(E15:I15)</f>
        <v>1</v>
      </c>
    </row>
    <row r="16" customFormat="false" ht="15" hidden="false" customHeight="false" outlineLevel="0" collapsed="false">
      <c r="A16" s="7" t="n">
        <v>1995</v>
      </c>
      <c r="B16" s="12" t="s">
        <v>77</v>
      </c>
      <c r="C16" s="12" t="s">
        <v>57</v>
      </c>
      <c r="D16" s="9" t="n">
        <f aca="false">SUMIFS(Data!$E$2:$E$2657,Data!$A$2:$A$2657,$A16,Data!$B$2:$B$2657,$B16)+SUMIFS(Data!$G$2:$G$2657,Data!$A$2:$A$2657,$A16,Data!$B$2:$B$2657,$B16)</f>
        <v>62.299813</v>
      </c>
      <c r="E16" s="10" t="n">
        <f aca="false">IFERROR((SUMIFS(Data!$E$2:$E$2657,Data!$A$2:$A$2657,$A16,Data!$B$2:$B$2657,$B16,Data!$D$2:$D$2657,"Transmission")+SUMIFS(Data!$G$2:$G$2657,Data!$A$2:$A$2657,$A16,Data!$B$2:$B$2657,$B16,Data!$D$2:$D$2657,"Transmission"))/$D16,0)</f>
        <v>0.0970470970755562</v>
      </c>
      <c r="F16" s="10" t="n">
        <f aca="false">IFERROR((SUMIFS(Data!$E$2:$E$2657,Data!$A$2:$A$2657,$A16,Data!$B$2:$B$2657,$B16,Data!$D$2:$D$2657,"Distribution")+SUMIFS(Data!$G$2:$G$2657,Data!$A$2:$A$2657,$A16,Data!$B$2:$B$2657,$B16,Data!$D$2:$D$2657,"Distribution"))/$D16,0)</f>
        <v>0.243234839244221</v>
      </c>
      <c r="G16" s="10" t="n">
        <f aca="false">IFERROR((SUMIFS(Data!$E$2:$E$2657,Data!$A$2:$A$2657,$A16,Data!$B$2:$B$2657,$B16,Data!$D$2:$D$2657,"RTO/market operation")+SUMIFS(Data!$G$2:$G$2657,Data!$A$2:$A$2657,$A16,Data!$B$2:$B$2657,$B16,Data!$D$2:$D$2657,"RTO/market operation"))/$D16,0)</f>
        <v>0</v>
      </c>
      <c r="H16" s="10" t="n">
        <f aca="false">IFERROR((SUMIFS(Data!$E$2:$E$2657,Data!$A$2:$A$2657,$A16,Data!$B$2:$B$2657,$B16,Data!$D$2:$D$2657,"Customer accounts, service &amp; sales")+SUMIFS(Data!$G$2:$G$2657,Data!$A$2:$A$2657,$A16,Data!$B$2:$B$2657,$B16,Data!$D$2:$D$2657,"Customer accounts, service &amp; sales"))/$D16,0)</f>
        <v>0.209575749448879</v>
      </c>
      <c r="I16" s="10" t="n">
        <f aca="false">IFERROR((SUMIFS(Data!$E$2:$E$2657,Data!$A$2:$A$2657,$A16,Data!$B$2:$B$2657,$B16,Data!$D$2:$D$2657,"A&amp;G and general")+SUMIFS(Data!$G$2:$G$2657,Data!$A$2:$A$2657,$A16,Data!$B$2:$B$2657,$B16,Data!$D$2:$D$2657,"A&amp;G and general"))/$D16,0)</f>
        <v>0.450142314231345</v>
      </c>
      <c r="J16" s="10" t="n">
        <f aca="false">IFERROR(SUMIFS(Data!$F$2:$F$2657,Data!$A$2:$A$2657,$A16,Data!$B$2:$B$2657,$B16)/$D16,0)</f>
        <v>0</v>
      </c>
      <c r="K16" s="11" t="n">
        <f aca="false">SUM(E16:I16)</f>
        <v>1</v>
      </c>
    </row>
    <row r="17" customFormat="false" ht="15" hidden="false" customHeight="false" outlineLevel="0" collapsed="false">
      <c r="A17" s="7" t="n">
        <v>1995</v>
      </c>
      <c r="B17" s="12" t="s">
        <v>78</v>
      </c>
      <c r="C17" s="12" t="s">
        <v>65</v>
      </c>
      <c r="D17" s="9" t="n">
        <f aca="false">SUMIFS(Data!$E$2:$E$2657,Data!$A$2:$A$2657,$A17,Data!$B$2:$B$2657,$B17)+SUMIFS(Data!$G$2:$G$2657,Data!$A$2:$A$2657,$A17,Data!$B$2:$B$2657,$B17)</f>
        <v>44.981895</v>
      </c>
      <c r="E17" s="10" t="n">
        <f aca="false">IFERROR((SUMIFS(Data!$E$2:$E$2657,Data!$A$2:$A$2657,$A17,Data!$B$2:$B$2657,$B17,Data!$D$2:$D$2657,"Transmission")+SUMIFS(Data!$G$2:$G$2657,Data!$A$2:$A$2657,$A17,Data!$B$2:$B$2657,$B17,Data!$D$2:$D$2657,"Transmission"))/$D17,0)</f>
        <v>0.0955430623809868</v>
      </c>
      <c r="F17" s="10" t="n">
        <f aca="false">IFERROR((SUMIFS(Data!$E$2:$E$2657,Data!$A$2:$A$2657,$A17,Data!$B$2:$B$2657,$B17,Data!$D$2:$D$2657,"Distribution")+SUMIFS(Data!$G$2:$G$2657,Data!$A$2:$A$2657,$A17,Data!$B$2:$B$2657,$B17,Data!$D$2:$D$2657,"Distribution"))/$D17,0)</f>
        <v>0.332776331455133</v>
      </c>
      <c r="G17" s="10" t="n">
        <f aca="false">IFERROR((SUMIFS(Data!$E$2:$E$2657,Data!$A$2:$A$2657,$A17,Data!$B$2:$B$2657,$B17,Data!$D$2:$D$2657,"RTO/market operation")+SUMIFS(Data!$G$2:$G$2657,Data!$A$2:$A$2657,$A17,Data!$B$2:$B$2657,$B17,Data!$D$2:$D$2657,"RTO/market operation"))/$D17,0)</f>
        <v>0</v>
      </c>
      <c r="H17" s="10" t="n">
        <f aca="false">IFERROR((SUMIFS(Data!$E$2:$E$2657,Data!$A$2:$A$2657,$A17,Data!$B$2:$B$2657,$B17,Data!$D$2:$D$2657,"Customer accounts, service &amp; sales")+SUMIFS(Data!$G$2:$G$2657,Data!$A$2:$A$2657,$A17,Data!$B$2:$B$2657,$B17,Data!$D$2:$D$2657,"Customer accounts, service &amp; sales"))/$D17,0)</f>
        <v>0.123469564810464</v>
      </c>
      <c r="I17" s="10" t="n">
        <f aca="false">IFERROR((SUMIFS(Data!$E$2:$E$2657,Data!$A$2:$A$2657,$A17,Data!$B$2:$B$2657,$B17,Data!$D$2:$D$2657,"A&amp;G and general")+SUMIFS(Data!$G$2:$G$2657,Data!$A$2:$A$2657,$A17,Data!$B$2:$B$2657,$B17,Data!$D$2:$D$2657,"A&amp;G and general"))/$D17,0)</f>
        <v>0.448211041353416</v>
      </c>
      <c r="J17" s="10" t="n">
        <f aca="false">IFERROR(SUMIFS(Data!$F$2:$F$2657,Data!$A$2:$A$2657,$A17,Data!$B$2:$B$2657,$B17)/$D17,0)</f>
        <v>0.000158352599418055</v>
      </c>
      <c r="K17" s="11" t="n">
        <f aca="false">SUM(E17:I17)</f>
        <v>1</v>
      </c>
    </row>
    <row r="18" customFormat="false" ht="15" hidden="false" customHeight="false" outlineLevel="0" collapsed="false">
      <c r="A18" s="7" t="n">
        <v>1995</v>
      </c>
      <c r="B18" s="12" t="s">
        <v>79</v>
      </c>
      <c r="C18" s="12" t="s">
        <v>72</v>
      </c>
      <c r="D18" s="9" t="n">
        <f aca="false">SUMIFS(Data!$E$2:$E$2657,Data!$A$2:$A$2657,$A18,Data!$B$2:$B$2657,$B18)+SUMIFS(Data!$G$2:$G$2657,Data!$A$2:$A$2657,$A18,Data!$B$2:$B$2657,$B18)</f>
        <v>354.63277</v>
      </c>
      <c r="E18" s="10" t="n">
        <f aca="false">IFERROR((SUMIFS(Data!$E$2:$E$2657,Data!$A$2:$A$2657,$A18,Data!$B$2:$B$2657,$B18,Data!$D$2:$D$2657,"Transmission")+SUMIFS(Data!$G$2:$G$2657,Data!$A$2:$A$2657,$A18,Data!$B$2:$B$2657,$B18,Data!$D$2:$D$2657,"Transmission"))/$D18,0)</f>
        <v>0.0494657417023249</v>
      </c>
      <c r="F18" s="10" t="n">
        <f aca="false">IFERROR((SUMIFS(Data!$E$2:$E$2657,Data!$A$2:$A$2657,$A18,Data!$B$2:$B$2657,$B18,Data!$D$2:$D$2657,"Distribution")+SUMIFS(Data!$G$2:$G$2657,Data!$A$2:$A$2657,$A18,Data!$B$2:$B$2657,$B18,Data!$D$2:$D$2657,"Distribution"))/$D18,0)</f>
        <v>0.307378624372474</v>
      </c>
      <c r="G18" s="10" t="n">
        <f aca="false">IFERROR((SUMIFS(Data!$E$2:$E$2657,Data!$A$2:$A$2657,$A18,Data!$B$2:$B$2657,$B18,Data!$D$2:$D$2657,"RTO/market operation")+SUMIFS(Data!$G$2:$G$2657,Data!$A$2:$A$2657,$A18,Data!$B$2:$B$2657,$B18,Data!$D$2:$D$2657,"RTO/market operation"))/$D18,0)</f>
        <v>0</v>
      </c>
      <c r="H18" s="10" t="n">
        <f aca="false">IFERROR((SUMIFS(Data!$E$2:$E$2657,Data!$A$2:$A$2657,$A18,Data!$B$2:$B$2657,$B18,Data!$D$2:$D$2657,"Customer accounts, service &amp; sales")+SUMIFS(Data!$G$2:$G$2657,Data!$A$2:$A$2657,$A18,Data!$B$2:$B$2657,$B18,Data!$D$2:$D$2657,"Customer accounts, service &amp; sales"))/$D18,0)</f>
        <v>0.272996113698122</v>
      </c>
      <c r="I18" s="10" t="n">
        <f aca="false">IFERROR((SUMIFS(Data!$E$2:$E$2657,Data!$A$2:$A$2657,$A18,Data!$B$2:$B$2657,$B18,Data!$D$2:$D$2657,"A&amp;G and general")+SUMIFS(Data!$G$2:$G$2657,Data!$A$2:$A$2657,$A18,Data!$B$2:$B$2657,$B18,Data!$D$2:$D$2657,"A&amp;G and general"))/$D18,0)</f>
        <v>0.370159520227079</v>
      </c>
      <c r="J18" s="10" t="n">
        <f aca="false">IFERROR(SUMIFS(Data!$F$2:$F$2657,Data!$A$2:$A$2657,$A18,Data!$B$2:$B$2657,$B18)/$D18,0)</f>
        <v>0.00199717865892653</v>
      </c>
      <c r="K18" s="11" t="n">
        <f aca="false">SUM(E18:I18)</f>
        <v>1</v>
      </c>
    </row>
    <row r="19" customFormat="false" ht="15" hidden="false" customHeight="false" outlineLevel="0" collapsed="false">
      <c r="A19" s="7" t="n">
        <v>1995</v>
      </c>
      <c r="B19" s="12" t="s">
        <v>80</v>
      </c>
      <c r="C19" s="12" t="s">
        <v>72</v>
      </c>
      <c r="D19" s="9" t="n">
        <f aca="false">SUMIFS(Data!$E$2:$E$2657,Data!$A$2:$A$2657,$A19,Data!$B$2:$B$2657,$B19)+SUMIFS(Data!$G$2:$G$2657,Data!$A$2:$A$2657,$A19,Data!$B$2:$B$2657,$B19)</f>
        <v>126.469053</v>
      </c>
      <c r="E19" s="10" t="n">
        <f aca="false">IFERROR((SUMIFS(Data!$E$2:$E$2657,Data!$A$2:$A$2657,$A19,Data!$B$2:$B$2657,$B19,Data!$D$2:$D$2657,"Transmission")+SUMIFS(Data!$G$2:$G$2657,Data!$A$2:$A$2657,$A19,Data!$B$2:$B$2657,$B19,Data!$D$2:$D$2657,"Transmission"))/$D19,0)</f>
        <v>0.0898072590137921</v>
      </c>
      <c r="F19" s="10" t="n">
        <f aca="false">IFERROR((SUMIFS(Data!$E$2:$E$2657,Data!$A$2:$A$2657,$A19,Data!$B$2:$B$2657,$B19,Data!$D$2:$D$2657,"Distribution")+SUMIFS(Data!$G$2:$G$2657,Data!$A$2:$A$2657,$A19,Data!$B$2:$B$2657,$B19,Data!$D$2:$D$2657,"Distribution"))/$D19,0)</f>
        <v>0.305288717548949</v>
      </c>
      <c r="G19" s="10" t="n">
        <f aca="false">IFERROR((SUMIFS(Data!$E$2:$E$2657,Data!$A$2:$A$2657,$A19,Data!$B$2:$B$2657,$B19,Data!$D$2:$D$2657,"RTO/market operation")+SUMIFS(Data!$G$2:$G$2657,Data!$A$2:$A$2657,$A19,Data!$B$2:$B$2657,$B19,Data!$D$2:$D$2657,"RTO/market operation"))/$D19,0)</f>
        <v>0</v>
      </c>
      <c r="H19" s="10" t="n">
        <f aca="false">IFERROR((SUMIFS(Data!$E$2:$E$2657,Data!$A$2:$A$2657,$A19,Data!$B$2:$B$2657,$B19,Data!$D$2:$D$2657,"Customer accounts, service &amp; sales")+SUMIFS(Data!$G$2:$G$2657,Data!$A$2:$A$2657,$A19,Data!$B$2:$B$2657,$B19,Data!$D$2:$D$2657,"Customer accounts, service &amp; sales"))/$D19,0)</f>
        <v>0.209726453791031</v>
      </c>
      <c r="I19" s="10" t="n">
        <f aca="false">IFERROR((SUMIFS(Data!$E$2:$E$2657,Data!$A$2:$A$2657,$A19,Data!$B$2:$B$2657,$B19,Data!$D$2:$D$2657,"A&amp;G and general")+SUMIFS(Data!$G$2:$G$2657,Data!$A$2:$A$2657,$A19,Data!$B$2:$B$2657,$B19,Data!$D$2:$D$2657,"A&amp;G and general"))/$D19,0)</f>
        <v>0.395177569646228</v>
      </c>
      <c r="J19" s="10" t="n">
        <f aca="false">IFERROR(SUMIFS(Data!$F$2:$F$2657,Data!$A$2:$A$2657,$A19,Data!$B$2:$B$2657,$B19)/$D19,0)</f>
        <v>0.00731652509487835</v>
      </c>
      <c r="K19" s="11" t="n">
        <f aca="false">SUM(E19:I19)</f>
        <v>1</v>
      </c>
    </row>
    <row r="20" customFormat="false" ht="15" hidden="false" customHeight="false" outlineLevel="0" collapsed="false">
      <c r="A20" s="7" t="n">
        <v>1995</v>
      </c>
      <c r="B20" s="12" t="s">
        <v>81</v>
      </c>
      <c r="C20" s="12" t="s">
        <v>72</v>
      </c>
      <c r="D20" s="9" t="n">
        <f aca="false">SUMIFS(Data!$E$2:$E$2657,Data!$A$2:$A$2657,$A20,Data!$B$2:$B$2657,$B20)+SUMIFS(Data!$G$2:$G$2657,Data!$A$2:$A$2657,$A20,Data!$B$2:$B$2657,$B20)</f>
        <v>117.874649</v>
      </c>
      <c r="E20" s="10" t="n">
        <f aca="false">IFERROR((SUMIFS(Data!$E$2:$E$2657,Data!$A$2:$A$2657,$A20,Data!$B$2:$B$2657,$B20,Data!$D$2:$D$2657,"Transmission")+SUMIFS(Data!$G$2:$G$2657,Data!$A$2:$A$2657,$A20,Data!$B$2:$B$2657,$B20,Data!$D$2:$D$2657,"Transmission"))/$D20,0)</f>
        <v>0.0909851277690761</v>
      </c>
      <c r="F20" s="10" t="n">
        <f aca="false">IFERROR((SUMIFS(Data!$E$2:$E$2657,Data!$A$2:$A$2657,$A20,Data!$B$2:$B$2657,$B20,Data!$D$2:$D$2657,"Distribution")+SUMIFS(Data!$G$2:$G$2657,Data!$A$2:$A$2657,$A20,Data!$B$2:$B$2657,$B20,Data!$D$2:$D$2657,"Distribution"))/$D20,0)</f>
        <v>0.346956316281374</v>
      </c>
      <c r="G20" s="10" t="n">
        <f aca="false">IFERROR((SUMIFS(Data!$E$2:$E$2657,Data!$A$2:$A$2657,$A20,Data!$B$2:$B$2657,$B20,Data!$D$2:$D$2657,"RTO/market operation")+SUMIFS(Data!$G$2:$G$2657,Data!$A$2:$A$2657,$A20,Data!$B$2:$B$2657,$B20,Data!$D$2:$D$2657,"RTO/market operation"))/$D20,0)</f>
        <v>0</v>
      </c>
      <c r="H20" s="10" t="n">
        <f aca="false">IFERROR((SUMIFS(Data!$E$2:$E$2657,Data!$A$2:$A$2657,$A20,Data!$B$2:$B$2657,$B20,Data!$D$2:$D$2657,"Customer accounts, service &amp; sales")+SUMIFS(Data!$G$2:$G$2657,Data!$A$2:$A$2657,$A20,Data!$B$2:$B$2657,$B20,Data!$D$2:$D$2657,"Customer accounts, service &amp; sales"))/$D20,0)</f>
        <v>0.251438347867318</v>
      </c>
      <c r="I20" s="10" t="n">
        <f aca="false">IFERROR((SUMIFS(Data!$E$2:$E$2657,Data!$A$2:$A$2657,$A20,Data!$B$2:$B$2657,$B20,Data!$D$2:$D$2657,"A&amp;G and general")+SUMIFS(Data!$G$2:$G$2657,Data!$A$2:$A$2657,$A20,Data!$B$2:$B$2657,$B20,Data!$D$2:$D$2657,"A&amp;G and general"))/$D20,0)</f>
        <v>0.310620208082231</v>
      </c>
      <c r="J20" s="10" t="n">
        <f aca="false">IFERROR(SUMIFS(Data!$F$2:$F$2657,Data!$A$2:$A$2657,$A20,Data!$B$2:$B$2657,$B20)/$D20,0)</f>
        <v>0.00900717846464171</v>
      </c>
      <c r="K20" s="11" t="n">
        <f aca="false">SUM(E20:I20)</f>
        <v>1</v>
      </c>
    </row>
    <row r="21" customFormat="false" ht="15" hidden="false" customHeight="false" outlineLevel="0" collapsed="false">
      <c r="A21" s="7" t="n">
        <v>1996</v>
      </c>
      <c r="B21" s="12" t="s">
        <v>56</v>
      </c>
      <c r="C21" s="12" t="s">
        <v>57</v>
      </c>
      <c r="D21" s="9" t="n">
        <f aca="false">SUMIFS(Data!$E$2:$E$2657,Data!$A$2:$A$2657,$A21,Data!$B$2:$B$2657,$B21)+SUMIFS(Data!$G$2:$G$2657,Data!$A$2:$A$2657,$A21,Data!$B$2:$B$2657,$B21)</f>
        <v>99.348871</v>
      </c>
      <c r="E21" s="10" t="n">
        <f aca="false">IFERROR((SUMIFS(Data!$E$2:$E$2657,Data!$A$2:$A$2657,$A21,Data!$B$2:$B$2657,$B21,Data!$D$2:$D$2657,"Transmission")+SUMIFS(Data!$G$2:$G$2657,Data!$A$2:$A$2657,$A21,Data!$B$2:$B$2657,$B21,Data!$D$2:$D$2657,"Transmission"))/$D21,0)</f>
        <v>0.0976868775891776</v>
      </c>
      <c r="F21" s="10" t="n">
        <f aca="false">IFERROR((SUMIFS(Data!$E$2:$E$2657,Data!$A$2:$A$2657,$A21,Data!$B$2:$B$2657,$B21,Data!$D$2:$D$2657,"Distribution")+SUMIFS(Data!$G$2:$G$2657,Data!$A$2:$A$2657,$A21,Data!$B$2:$B$2657,$B21,Data!$D$2:$D$2657,"Distribution"))/$D21,0)</f>
        <v>0.227104513346709</v>
      </c>
      <c r="G21" s="10" t="n">
        <f aca="false">IFERROR((SUMIFS(Data!$E$2:$E$2657,Data!$A$2:$A$2657,$A21,Data!$B$2:$B$2657,$B21,Data!$D$2:$D$2657,"RTO/market operation")+SUMIFS(Data!$G$2:$G$2657,Data!$A$2:$A$2657,$A21,Data!$B$2:$B$2657,$B21,Data!$D$2:$D$2657,"RTO/market operation"))/$D21,0)</f>
        <v>0</v>
      </c>
      <c r="H21" s="10" t="n">
        <f aca="false">IFERROR((SUMIFS(Data!$E$2:$E$2657,Data!$A$2:$A$2657,$A21,Data!$B$2:$B$2657,$B21,Data!$D$2:$D$2657,"Customer accounts, service &amp; sales")+SUMIFS(Data!$G$2:$G$2657,Data!$A$2:$A$2657,$A21,Data!$B$2:$B$2657,$B21,Data!$D$2:$D$2657,"Customer accounts, service &amp; sales"))/$D21,0)</f>
        <v>0.236087796105906</v>
      </c>
      <c r="I21" s="10" t="n">
        <f aca="false">IFERROR((SUMIFS(Data!$E$2:$E$2657,Data!$A$2:$A$2657,$A21,Data!$B$2:$B$2657,$B21,Data!$D$2:$D$2657,"A&amp;G and general")+SUMIFS(Data!$G$2:$G$2657,Data!$A$2:$A$2657,$A21,Data!$B$2:$B$2657,$B21,Data!$D$2:$D$2657,"A&amp;G and general"))/$D21,0)</f>
        <v>0.439120812958207</v>
      </c>
      <c r="J21" s="10" t="n">
        <f aca="false">IFERROR(SUMIFS(Data!$F$2:$F$2657,Data!$A$2:$A$2657,$A21,Data!$B$2:$B$2657,$B21)/$D21,0)</f>
        <v>0.00146504936125545</v>
      </c>
      <c r="K21" s="11" t="n">
        <f aca="false">SUM(E21:I21)</f>
        <v>1</v>
      </c>
    </row>
    <row r="22" customFormat="false" ht="15" hidden="false" customHeight="false" outlineLevel="0" collapsed="false">
      <c r="A22" s="7" t="n">
        <v>1996</v>
      </c>
      <c r="B22" s="12" t="s">
        <v>58</v>
      </c>
      <c r="C22" s="12" t="s">
        <v>59</v>
      </c>
      <c r="D22" s="9" t="n">
        <f aca="false">SUMIFS(Data!$E$2:$E$2657,Data!$A$2:$A$2657,$A22,Data!$B$2:$B$2657,$B22)+SUMIFS(Data!$G$2:$G$2657,Data!$A$2:$A$2657,$A22,Data!$B$2:$B$2657,$B22)</f>
        <v>432.073845</v>
      </c>
      <c r="E22" s="10" t="n">
        <f aca="false">IFERROR((SUMIFS(Data!$E$2:$E$2657,Data!$A$2:$A$2657,$A22,Data!$B$2:$B$2657,$B22,Data!$D$2:$D$2657,"Transmission")+SUMIFS(Data!$G$2:$G$2657,Data!$A$2:$A$2657,$A22,Data!$B$2:$B$2657,$B22,Data!$D$2:$D$2657,"Transmission"))/$D22,0)</f>
        <v>0.095874252698633</v>
      </c>
      <c r="F22" s="10" t="n">
        <f aca="false">IFERROR((SUMIFS(Data!$E$2:$E$2657,Data!$A$2:$A$2657,$A22,Data!$B$2:$B$2657,$B22,Data!$D$2:$D$2657,"Distribution")+SUMIFS(Data!$G$2:$G$2657,Data!$A$2:$A$2657,$A22,Data!$B$2:$B$2657,$B22,Data!$D$2:$D$2657,"Distribution"))/$D22,0)</f>
        <v>0.331735458321945</v>
      </c>
      <c r="G22" s="10" t="n">
        <f aca="false">IFERROR((SUMIFS(Data!$E$2:$E$2657,Data!$A$2:$A$2657,$A22,Data!$B$2:$B$2657,$B22,Data!$D$2:$D$2657,"RTO/market operation")+SUMIFS(Data!$G$2:$G$2657,Data!$A$2:$A$2657,$A22,Data!$B$2:$B$2657,$B22,Data!$D$2:$D$2657,"RTO/market operation"))/$D22,0)</f>
        <v>0</v>
      </c>
      <c r="H22" s="10" t="n">
        <f aca="false">IFERROR((SUMIFS(Data!$E$2:$E$2657,Data!$A$2:$A$2657,$A22,Data!$B$2:$B$2657,$B22,Data!$D$2:$D$2657,"Customer accounts, service &amp; sales")+SUMIFS(Data!$G$2:$G$2657,Data!$A$2:$A$2657,$A22,Data!$B$2:$B$2657,$B22,Data!$D$2:$D$2657,"Customer accounts, service &amp; sales"))/$D22,0)</f>
        <v>0.113336138177954</v>
      </c>
      <c r="I22" s="10" t="n">
        <f aca="false">IFERROR((SUMIFS(Data!$E$2:$E$2657,Data!$A$2:$A$2657,$A22,Data!$B$2:$B$2657,$B22,Data!$D$2:$D$2657,"A&amp;G and general")+SUMIFS(Data!$G$2:$G$2657,Data!$A$2:$A$2657,$A22,Data!$B$2:$B$2657,$B22,Data!$D$2:$D$2657,"A&amp;G and general"))/$D22,0)</f>
        <v>0.459054150801468</v>
      </c>
      <c r="J22" s="10" t="n">
        <f aca="false">IFERROR(SUMIFS(Data!$F$2:$F$2657,Data!$A$2:$A$2657,$A22,Data!$B$2:$B$2657,$B22)/$D22,0)</f>
        <v>1.71382741299696E-005</v>
      </c>
      <c r="K22" s="11" t="n">
        <f aca="false">SUM(E22:I22)</f>
        <v>1</v>
      </c>
    </row>
    <row r="23" customFormat="false" ht="15" hidden="false" customHeight="false" outlineLevel="0" collapsed="false">
      <c r="A23" s="7" t="n">
        <v>1996</v>
      </c>
      <c r="B23" s="12" t="s">
        <v>60</v>
      </c>
      <c r="C23" s="12" t="s">
        <v>59</v>
      </c>
      <c r="D23" s="9" t="n">
        <f aca="false">SUMIFS(Data!$E$2:$E$2657,Data!$A$2:$A$2657,$A23,Data!$B$2:$B$2657,$B23)+SUMIFS(Data!$G$2:$G$2657,Data!$A$2:$A$2657,$A23,Data!$B$2:$B$2657,$B23)</f>
        <v>1175.297408</v>
      </c>
      <c r="E23" s="10" t="n">
        <f aca="false">IFERROR((SUMIFS(Data!$E$2:$E$2657,Data!$A$2:$A$2657,$A23,Data!$B$2:$B$2657,$B23,Data!$D$2:$D$2657,"Transmission")+SUMIFS(Data!$G$2:$G$2657,Data!$A$2:$A$2657,$A23,Data!$B$2:$B$2657,$B23,Data!$D$2:$D$2657,"Transmission"))/$D23,0)</f>
        <v>0.0880678756674328</v>
      </c>
      <c r="F23" s="10" t="n">
        <f aca="false">IFERROR((SUMIFS(Data!$E$2:$E$2657,Data!$A$2:$A$2657,$A23,Data!$B$2:$B$2657,$B23,Data!$D$2:$D$2657,"Distribution")+SUMIFS(Data!$G$2:$G$2657,Data!$A$2:$A$2657,$A23,Data!$B$2:$B$2657,$B23,Data!$D$2:$D$2657,"Distribution"))/$D23,0)</f>
        <v>0.341260739851815</v>
      </c>
      <c r="G23" s="10" t="n">
        <f aca="false">IFERROR((SUMIFS(Data!$E$2:$E$2657,Data!$A$2:$A$2657,$A23,Data!$B$2:$B$2657,$B23,Data!$D$2:$D$2657,"RTO/market operation")+SUMIFS(Data!$G$2:$G$2657,Data!$A$2:$A$2657,$A23,Data!$B$2:$B$2657,$B23,Data!$D$2:$D$2657,"RTO/market operation"))/$D23,0)</f>
        <v>0</v>
      </c>
      <c r="H23" s="10" t="n">
        <f aca="false">IFERROR((SUMIFS(Data!$E$2:$E$2657,Data!$A$2:$A$2657,$A23,Data!$B$2:$B$2657,$B23,Data!$D$2:$D$2657,"Customer accounts, service &amp; sales")+SUMIFS(Data!$G$2:$G$2657,Data!$A$2:$A$2657,$A23,Data!$B$2:$B$2657,$B23,Data!$D$2:$D$2657,"Customer accounts, service &amp; sales"))/$D23,0)</f>
        <v>0.157896595990791</v>
      </c>
      <c r="I23" s="10" t="n">
        <f aca="false">IFERROR((SUMIFS(Data!$E$2:$E$2657,Data!$A$2:$A$2657,$A23,Data!$B$2:$B$2657,$B23,Data!$D$2:$D$2657,"A&amp;G and general")+SUMIFS(Data!$G$2:$G$2657,Data!$A$2:$A$2657,$A23,Data!$B$2:$B$2657,$B23,Data!$D$2:$D$2657,"A&amp;G and general"))/$D23,0)</f>
        <v>0.412774788489962</v>
      </c>
      <c r="J23" s="10" t="n">
        <f aca="false">IFERROR(SUMIFS(Data!$F$2:$F$2657,Data!$A$2:$A$2657,$A23,Data!$B$2:$B$2657,$B23)/$D23,0)</f>
        <v>0.00246443919665311</v>
      </c>
      <c r="K23" s="11" t="n">
        <f aca="false">SUM(E23:I23)</f>
        <v>1</v>
      </c>
    </row>
    <row r="24" customFormat="false" ht="15" hidden="false" customHeight="false" outlineLevel="0" collapsed="false">
      <c r="A24" s="7" t="n">
        <v>1996</v>
      </c>
      <c r="B24" s="12" t="s">
        <v>61</v>
      </c>
      <c r="C24" s="12" t="s">
        <v>62</v>
      </c>
      <c r="D24" s="9" t="n">
        <f aca="false">SUMIFS(Data!$E$2:$E$2657,Data!$A$2:$A$2657,$A24,Data!$B$2:$B$2657,$B24)+SUMIFS(Data!$G$2:$G$2657,Data!$A$2:$A$2657,$A24,Data!$B$2:$B$2657,$B24)</f>
        <v>453.471963</v>
      </c>
      <c r="E24" s="10" t="n">
        <f aca="false">IFERROR((SUMIFS(Data!$E$2:$E$2657,Data!$A$2:$A$2657,$A24,Data!$B$2:$B$2657,$B24,Data!$D$2:$D$2657,"Transmission")+SUMIFS(Data!$G$2:$G$2657,Data!$A$2:$A$2657,$A24,Data!$B$2:$B$2657,$B24,Data!$D$2:$D$2657,"Transmission"))/$D24,0)</f>
        <v>0.0899575769362394</v>
      </c>
      <c r="F24" s="10" t="n">
        <f aca="false">IFERROR((SUMIFS(Data!$E$2:$E$2657,Data!$A$2:$A$2657,$A24,Data!$B$2:$B$2657,$B24,Data!$D$2:$D$2657,"Distribution")+SUMIFS(Data!$G$2:$G$2657,Data!$A$2:$A$2657,$A24,Data!$B$2:$B$2657,$B24,Data!$D$2:$D$2657,"Distribution"))/$D24,0)</f>
        <v>0.366709853239593</v>
      </c>
      <c r="G24" s="10" t="n">
        <f aca="false">IFERROR((SUMIFS(Data!$E$2:$E$2657,Data!$A$2:$A$2657,$A24,Data!$B$2:$B$2657,$B24,Data!$D$2:$D$2657,"RTO/market operation")+SUMIFS(Data!$G$2:$G$2657,Data!$A$2:$A$2657,$A24,Data!$B$2:$B$2657,$B24,Data!$D$2:$D$2657,"RTO/market operation"))/$D24,0)</f>
        <v>0</v>
      </c>
      <c r="H24" s="10" t="n">
        <f aca="false">IFERROR((SUMIFS(Data!$E$2:$E$2657,Data!$A$2:$A$2657,$A24,Data!$B$2:$B$2657,$B24,Data!$D$2:$D$2657,"Customer accounts, service &amp; sales")+SUMIFS(Data!$G$2:$G$2657,Data!$A$2:$A$2657,$A24,Data!$B$2:$B$2657,$B24,Data!$D$2:$D$2657,"Customer accounts, service &amp; sales"))/$D24,0)</f>
        <v>0.184752703222801</v>
      </c>
      <c r="I24" s="10" t="n">
        <f aca="false">IFERROR((SUMIFS(Data!$E$2:$E$2657,Data!$A$2:$A$2657,$A24,Data!$B$2:$B$2657,$B24,Data!$D$2:$D$2657,"A&amp;G and general")+SUMIFS(Data!$G$2:$G$2657,Data!$A$2:$A$2657,$A24,Data!$B$2:$B$2657,$B24,Data!$D$2:$D$2657,"A&amp;G and general"))/$D24,0)</f>
        <v>0.358579866601367</v>
      </c>
      <c r="J24" s="10" t="n">
        <f aca="false">IFERROR(SUMIFS(Data!$F$2:$F$2657,Data!$A$2:$A$2657,$A24,Data!$B$2:$B$2657,$B24)/$D24,0)</f>
        <v>0</v>
      </c>
      <c r="K24" s="11" t="n">
        <f aca="false">SUM(E24:I24)</f>
        <v>1</v>
      </c>
    </row>
    <row r="25" customFormat="false" ht="15" hidden="false" customHeight="false" outlineLevel="0" collapsed="false">
      <c r="A25" s="7" t="n">
        <v>1996</v>
      </c>
      <c r="B25" s="12" t="s">
        <v>63</v>
      </c>
      <c r="C25" s="12" t="s">
        <v>62</v>
      </c>
      <c r="D25" s="9" t="n">
        <f aca="false">SUMIFS(Data!$E$2:$E$2657,Data!$A$2:$A$2657,$A25,Data!$B$2:$B$2657,$B25)+SUMIFS(Data!$G$2:$G$2657,Data!$A$2:$A$2657,$A25,Data!$B$2:$B$2657,$B25)</f>
        <v>816.991943</v>
      </c>
      <c r="E25" s="10" t="n">
        <f aca="false">IFERROR((SUMIFS(Data!$E$2:$E$2657,Data!$A$2:$A$2657,$A25,Data!$B$2:$B$2657,$B25,Data!$D$2:$D$2657,"Transmission")+SUMIFS(Data!$G$2:$G$2657,Data!$A$2:$A$2657,$A25,Data!$B$2:$B$2657,$B25,Data!$D$2:$D$2657,"Transmission"))/$D25,0)</f>
        <v>0.0782042840782336</v>
      </c>
      <c r="F25" s="10" t="n">
        <f aca="false">IFERROR((SUMIFS(Data!$E$2:$E$2657,Data!$A$2:$A$2657,$A25,Data!$B$2:$B$2657,$B25,Data!$D$2:$D$2657,"Distribution")+SUMIFS(Data!$G$2:$G$2657,Data!$A$2:$A$2657,$A25,Data!$B$2:$B$2657,$B25,Data!$D$2:$D$2657,"Distribution"))/$D25,0)</f>
        <v>0.340063646135614</v>
      </c>
      <c r="G25" s="10" t="n">
        <f aca="false">IFERROR((SUMIFS(Data!$E$2:$E$2657,Data!$A$2:$A$2657,$A25,Data!$B$2:$B$2657,$B25,Data!$D$2:$D$2657,"RTO/market operation")+SUMIFS(Data!$G$2:$G$2657,Data!$A$2:$A$2657,$A25,Data!$B$2:$B$2657,$B25,Data!$D$2:$D$2657,"RTO/market operation"))/$D25,0)</f>
        <v>0</v>
      </c>
      <c r="H25" s="10" t="n">
        <f aca="false">IFERROR((SUMIFS(Data!$E$2:$E$2657,Data!$A$2:$A$2657,$A25,Data!$B$2:$B$2657,$B25,Data!$D$2:$D$2657,"Customer accounts, service &amp; sales")+SUMIFS(Data!$G$2:$G$2657,Data!$A$2:$A$2657,$A25,Data!$B$2:$B$2657,$B25,Data!$D$2:$D$2657,"Customer accounts, service &amp; sales"))/$D25,0)</f>
        <v>0.116860633471388</v>
      </c>
      <c r="I25" s="10" t="n">
        <f aca="false">IFERROR((SUMIFS(Data!$E$2:$E$2657,Data!$A$2:$A$2657,$A25,Data!$B$2:$B$2657,$B25,Data!$D$2:$D$2657,"A&amp;G and general")+SUMIFS(Data!$G$2:$G$2657,Data!$A$2:$A$2657,$A25,Data!$B$2:$B$2657,$B25,Data!$D$2:$D$2657,"A&amp;G and general"))/$D25,0)</f>
        <v>0.464871436314764</v>
      </c>
      <c r="J25" s="10" t="n">
        <f aca="false">IFERROR(SUMIFS(Data!$F$2:$F$2657,Data!$A$2:$A$2657,$A25,Data!$B$2:$B$2657,$B25)/$D25,0)</f>
        <v>0</v>
      </c>
      <c r="K25" s="11" t="n">
        <f aca="false">SUM(E25:I25)</f>
        <v>1</v>
      </c>
    </row>
    <row r="26" customFormat="false" ht="15" hidden="false" customHeight="false" outlineLevel="0" collapsed="false">
      <c r="A26" s="7" t="n">
        <v>1996</v>
      </c>
      <c r="B26" s="12" t="s">
        <v>64</v>
      </c>
      <c r="C26" s="12" t="s">
        <v>65</v>
      </c>
      <c r="D26" s="9" t="n">
        <f aca="false">SUMIFS(Data!$E$2:$E$2657,Data!$A$2:$A$2657,$A26,Data!$B$2:$B$2657,$B26)+SUMIFS(Data!$G$2:$G$2657,Data!$A$2:$A$2657,$A26,Data!$B$2:$B$2657,$B26)</f>
        <v>312.296981</v>
      </c>
      <c r="E26" s="10" t="n">
        <f aca="false">IFERROR((SUMIFS(Data!$E$2:$E$2657,Data!$A$2:$A$2657,$A26,Data!$B$2:$B$2657,$B26,Data!$D$2:$D$2657,"Transmission")+SUMIFS(Data!$G$2:$G$2657,Data!$A$2:$A$2657,$A26,Data!$B$2:$B$2657,$B26,Data!$D$2:$D$2657,"Transmission"))/$D26,0)</f>
        <v>0.0986945787990182</v>
      </c>
      <c r="F26" s="10" t="n">
        <f aca="false">IFERROR((SUMIFS(Data!$E$2:$E$2657,Data!$A$2:$A$2657,$A26,Data!$B$2:$B$2657,$B26,Data!$D$2:$D$2657,"Distribution")+SUMIFS(Data!$G$2:$G$2657,Data!$A$2:$A$2657,$A26,Data!$B$2:$B$2657,$B26,Data!$D$2:$D$2657,"Distribution"))/$D26,0)</f>
        <v>0.251819408398316</v>
      </c>
      <c r="G26" s="10" t="n">
        <f aca="false">IFERROR((SUMIFS(Data!$E$2:$E$2657,Data!$A$2:$A$2657,$A26,Data!$B$2:$B$2657,$B26,Data!$D$2:$D$2657,"RTO/market operation")+SUMIFS(Data!$G$2:$G$2657,Data!$A$2:$A$2657,$A26,Data!$B$2:$B$2657,$B26,Data!$D$2:$D$2657,"RTO/market operation"))/$D26,0)</f>
        <v>0</v>
      </c>
      <c r="H26" s="10" t="n">
        <f aca="false">IFERROR((SUMIFS(Data!$E$2:$E$2657,Data!$A$2:$A$2657,$A26,Data!$B$2:$B$2657,$B26,Data!$D$2:$D$2657,"Customer accounts, service &amp; sales")+SUMIFS(Data!$G$2:$G$2657,Data!$A$2:$A$2657,$A26,Data!$B$2:$B$2657,$B26,Data!$D$2:$D$2657,"Customer accounts, service &amp; sales"))/$D26,0)</f>
        <v>0.193513375654438</v>
      </c>
      <c r="I26" s="10" t="n">
        <f aca="false">IFERROR((SUMIFS(Data!$E$2:$E$2657,Data!$A$2:$A$2657,$A26,Data!$B$2:$B$2657,$B26,Data!$D$2:$D$2657,"A&amp;G and general")+SUMIFS(Data!$G$2:$G$2657,Data!$A$2:$A$2657,$A26,Data!$B$2:$B$2657,$B26,Data!$D$2:$D$2657,"A&amp;G and general"))/$D26,0)</f>
        <v>0.455972637148228</v>
      </c>
      <c r="J26" s="10" t="n">
        <f aca="false">IFERROR(SUMIFS(Data!$F$2:$F$2657,Data!$A$2:$A$2657,$A26,Data!$B$2:$B$2657,$B26)/$D26,0)</f>
        <v>0.0100508560471803</v>
      </c>
      <c r="K26" s="11" t="n">
        <f aca="false">SUM(E26:I26)</f>
        <v>1</v>
      </c>
    </row>
    <row r="27" customFormat="false" ht="15" hidden="false" customHeight="false" outlineLevel="0" collapsed="false">
      <c r="A27" s="7" t="n">
        <v>1996</v>
      </c>
      <c r="B27" s="12" t="s">
        <v>66</v>
      </c>
      <c r="C27" s="12" t="s">
        <v>67</v>
      </c>
      <c r="D27" s="9" t="n">
        <f aca="false">SUMIFS(Data!$E$2:$E$2657,Data!$A$2:$A$2657,$A27,Data!$B$2:$B$2657,$B27)+SUMIFS(Data!$G$2:$G$2657,Data!$A$2:$A$2657,$A27,Data!$B$2:$B$2657,$B27)</f>
        <v>178.411484</v>
      </c>
      <c r="E27" s="10" t="n">
        <f aca="false">IFERROR((SUMIFS(Data!$E$2:$E$2657,Data!$A$2:$A$2657,$A27,Data!$B$2:$B$2657,$B27,Data!$D$2:$D$2657,"Transmission")+SUMIFS(Data!$G$2:$G$2657,Data!$A$2:$A$2657,$A27,Data!$B$2:$B$2657,$B27,Data!$D$2:$D$2657,"Transmission"))/$D27,0)</f>
        <v>-0.0597930736342062</v>
      </c>
      <c r="F27" s="10" t="n">
        <f aca="false">IFERROR((SUMIFS(Data!$E$2:$E$2657,Data!$A$2:$A$2657,$A27,Data!$B$2:$B$2657,$B27,Data!$D$2:$D$2657,"Distribution")+SUMIFS(Data!$G$2:$G$2657,Data!$A$2:$A$2657,$A27,Data!$B$2:$B$2657,$B27,Data!$D$2:$D$2657,"Distribution"))/$D27,0)</f>
        <v>0.368211375899995</v>
      </c>
      <c r="G27" s="10" t="n">
        <f aca="false">IFERROR((SUMIFS(Data!$E$2:$E$2657,Data!$A$2:$A$2657,$A27,Data!$B$2:$B$2657,$B27,Data!$D$2:$D$2657,"RTO/market operation")+SUMIFS(Data!$G$2:$G$2657,Data!$A$2:$A$2657,$A27,Data!$B$2:$B$2657,$B27,Data!$D$2:$D$2657,"RTO/market operation"))/$D27,0)</f>
        <v>0</v>
      </c>
      <c r="H27" s="10" t="n">
        <f aca="false">IFERROR((SUMIFS(Data!$E$2:$E$2657,Data!$A$2:$A$2657,$A27,Data!$B$2:$B$2657,$B27,Data!$D$2:$D$2657,"Customer accounts, service &amp; sales")+SUMIFS(Data!$G$2:$G$2657,Data!$A$2:$A$2657,$A27,Data!$B$2:$B$2657,$B27,Data!$D$2:$D$2657,"Customer accounts, service &amp; sales"))/$D27,0)</f>
        <v>0.173279086675833</v>
      </c>
      <c r="I27" s="10" t="n">
        <f aca="false">IFERROR((SUMIFS(Data!$E$2:$E$2657,Data!$A$2:$A$2657,$A27,Data!$B$2:$B$2657,$B27,Data!$D$2:$D$2657,"A&amp;G and general")+SUMIFS(Data!$G$2:$G$2657,Data!$A$2:$A$2657,$A27,Data!$B$2:$B$2657,$B27,Data!$D$2:$D$2657,"A&amp;G and general"))/$D27,0)</f>
        <v>0.518302611058378</v>
      </c>
      <c r="J27" s="10" t="n">
        <f aca="false">IFERROR(SUMIFS(Data!$F$2:$F$2657,Data!$A$2:$A$2657,$A27,Data!$B$2:$B$2657,$B27)/$D27,0)</f>
        <v>-0.255852392326942</v>
      </c>
      <c r="K27" s="11" t="n">
        <f aca="false">SUM(E27:I27)</f>
        <v>1</v>
      </c>
    </row>
    <row r="28" customFormat="false" ht="15" hidden="false" customHeight="false" outlineLevel="0" collapsed="false">
      <c r="A28" s="7" t="n">
        <v>1996</v>
      </c>
      <c r="B28" s="12" t="s">
        <v>68</v>
      </c>
      <c r="C28" s="12" t="s">
        <v>65</v>
      </c>
      <c r="D28" s="9" t="n">
        <f aca="false">SUMIFS(Data!$E$2:$E$2657,Data!$A$2:$A$2657,$A28,Data!$B$2:$B$2657,$B28)+SUMIFS(Data!$G$2:$G$2657,Data!$A$2:$A$2657,$A28,Data!$B$2:$B$2657,$B28)</f>
        <v>173.959978</v>
      </c>
      <c r="E28" s="10" t="n">
        <f aca="false">IFERROR((SUMIFS(Data!$E$2:$E$2657,Data!$A$2:$A$2657,$A28,Data!$B$2:$B$2657,$B28,Data!$D$2:$D$2657,"Transmission")+SUMIFS(Data!$G$2:$G$2657,Data!$A$2:$A$2657,$A28,Data!$B$2:$B$2657,$B28,Data!$D$2:$D$2657,"Transmission"))/$D28,0)</f>
        <v>0.0667711857264089</v>
      </c>
      <c r="F28" s="10" t="n">
        <f aca="false">IFERROR((SUMIFS(Data!$E$2:$E$2657,Data!$A$2:$A$2657,$A28,Data!$B$2:$B$2657,$B28,Data!$D$2:$D$2657,"Distribution")+SUMIFS(Data!$G$2:$G$2657,Data!$A$2:$A$2657,$A28,Data!$B$2:$B$2657,$B28,Data!$D$2:$D$2657,"Distribution"))/$D28,0)</f>
        <v>0.35148473058556</v>
      </c>
      <c r="G28" s="10" t="n">
        <f aca="false">IFERROR((SUMIFS(Data!$E$2:$E$2657,Data!$A$2:$A$2657,$A28,Data!$B$2:$B$2657,$B28,Data!$D$2:$D$2657,"RTO/market operation")+SUMIFS(Data!$G$2:$G$2657,Data!$A$2:$A$2657,$A28,Data!$B$2:$B$2657,$B28,Data!$D$2:$D$2657,"RTO/market operation"))/$D28,0)</f>
        <v>0</v>
      </c>
      <c r="H28" s="10" t="n">
        <f aca="false">IFERROR((SUMIFS(Data!$E$2:$E$2657,Data!$A$2:$A$2657,$A28,Data!$B$2:$B$2657,$B28,Data!$D$2:$D$2657,"Customer accounts, service &amp; sales")+SUMIFS(Data!$G$2:$G$2657,Data!$A$2:$A$2657,$A28,Data!$B$2:$B$2657,$B28,Data!$D$2:$D$2657,"Customer accounts, service &amp; sales"))/$D28,0)</f>
        <v>0.125815697677313</v>
      </c>
      <c r="I28" s="10" t="n">
        <f aca="false">IFERROR((SUMIFS(Data!$E$2:$E$2657,Data!$A$2:$A$2657,$A28,Data!$B$2:$B$2657,$B28,Data!$D$2:$D$2657,"A&amp;G and general")+SUMIFS(Data!$G$2:$G$2657,Data!$A$2:$A$2657,$A28,Data!$B$2:$B$2657,$B28,Data!$D$2:$D$2657,"A&amp;G and general"))/$D28,0)</f>
        <v>0.455928386010718</v>
      </c>
      <c r="J28" s="10" t="n">
        <f aca="false">IFERROR(SUMIFS(Data!$F$2:$F$2657,Data!$A$2:$A$2657,$A28,Data!$B$2:$B$2657,$B28)/$D28,0)</f>
        <v>0</v>
      </c>
      <c r="K28" s="11" t="n">
        <f aca="false">SUM(E28:I28)</f>
        <v>1</v>
      </c>
    </row>
    <row r="29" customFormat="false" ht="15" hidden="false" customHeight="false" outlineLevel="0" collapsed="false">
      <c r="A29" s="7" t="n">
        <v>1996</v>
      </c>
      <c r="B29" s="12" t="s">
        <v>69</v>
      </c>
      <c r="C29" s="12" t="s">
        <v>70</v>
      </c>
      <c r="D29" s="9" t="n">
        <f aca="false">SUMIFS(Data!$E$2:$E$2657,Data!$A$2:$A$2657,$A29,Data!$B$2:$B$2657,$B29)+SUMIFS(Data!$G$2:$G$2657,Data!$A$2:$A$2657,$A29,Data!$B$2:$B$2657,$B29)</f>
        <v>192.157526</v>
      </c>
      <c r="E29" s="10" t="n">
        <f aca="false">IFERROR((SUMIFS(Data!$E$2:$E$2657,Data!$A$2:$A$2657,$A29,Data!$B$2:$B$2657,$B29,Data!$D$2:$D$2657,"Transmission")+SUMIFS(Data!$G$2:$G$2657,Data!$A$2:$A$2657,$A29,Data!$B$2:$B$2657,$B29,Data!$D$2:$D$2657,"Transmission"))/$D29,0)</f>
        <v>0.133015903837147</v>
      </c>
      <c r="F29" s="10" t="n">
        <f aca="false">IFERROR((SUMIFS(Data!$E$2:$E$2657,Data!$A$2:$A$2657,$A29,Data!$B$2:$B$2657,$B29,Data!$D$2:$D$2657,"Distribution")+SUMIFS(Data!$G$2:$G$2657,Data!$A$2:$A$2657,$A29,Data!$B$2:$B$2657,$B29,Data!$D$2:$D$2657,"Distribution"))/$D29,0)</f>
        <v>0.322893983345726</v>
      </c>
      <c r="G29" s="10" t="n">
        <f aca="false">IFERROR((SUMIFS(Data!$E$2:$E$2657,Data!$A$2:$A$2657,$A29,Data!$B$2:$B$2657,$B29,Data!$D$2:$D$2657,"RTO/market operation")+SUMIFS(Data!$G$2:$G$2657,Data!$A$2:$A$2657,$A29,Data!$B$2:$B$2657,$B29,Data!$D$2:$D$2657,"RTO/market operation"))/$D29,0)</f>
        <v>0</v>
      </c>
      <c r="H29" s="10" t="n">
        <f aca="false">IFERROR((SUMIFS(Data!$E$2:$E$2657,Data!$A$2:$A$2657,$A29,Data!$B$2:$B$2657,$B29,Data!$D$2:$D$2657,"Customer accounts, service &amp; sales")+SUMIFS(Data!$G$2:$G$2657,Data!$A$2:$A$2657,$A29,Data!$B$2:$B$2657,$B29,Data!$D$2:$D$2657,"Customer accounts, service &amp; sales"))/$D29,0)</f>
        <v>0.0978012175281649</v>
      </c>
      <c r="I29" s="10" t="n">
        <f aca="false">IFERROR((SUMIFS(Data!$E$2:$E$2657,Data!$A$2:$A$2657,$A29,Data!$B$2:$B$2657,$B29,Data!$D$2:$D$2657,"A&amp;G and general")+SUMIFS(Data!$G$2:$G$2657,Data!$A$2:$A$2657,$A29,Data!$B$2:$B$2657,$B29,Data!$D$2:$D$2657,"A&amp;G and general"))/$D29,0)</f>
        <v>0.446288895288962</v>
      </c>
      <c r="J29" s="10" t="n">
        <f aca="false">IFERROR(SUMIFS(Data!$F$2:$F$2657,Data!$A$2:$A$2657,$A29,Data!$B$2:$B$2657,$B29)/$D29,0)</f>
        <v>0.0229946341003578</v>
      </c>
      <c r="K29" s="11" t="n">
        <f aca="false">SUM(E29:I29)</f>
        <v>1</v>
      </c>
    </row>
    <row r="30" customFormat="false" ht="15" hidden="false" customHeight="false" outlineLevel="0" collapsed="false">
      <c r="A30" s="7" t="n">
        <v>1996</v>
      </c>
      <c r="B30" s="12" t="s">
        <v>71</v>
      </c>
      <c r="C30" s="12" t="s">
        <v>72</v>
      </c>
      <c r="D30" s="9" t="n">
        <f aca="false">SUMIFS(Data!$E$2:$E$2657,Data!$A$2:$A$2657,$A30,Data!$B$2:$B$2657,$B30)+SUMIFS(Data!$G$2:$G$2657,Data!$A$2:$A$2657,$A30,Data!$B$2:$B$2657,$B30)</f>
        <v>41.516122</v>
      </c>
      <c r="E30" s="10" t="n">
        <f aca="false">IFERROR((SUMIFS(Data!$E$2:$E$2657,Data!$A$2:$A$2657,$A30,Data!$B$2:$B$2657,$B30,Data!$D$2:$D$2657,"Transmission")+SUMIFS(Data!$G$2:$G$2657,Data!$A$2:$A$2657,$A30,Data!$B$2:$B$2657,$B30,Data!$D$2:$D$2657,"Transmission"))/$D30,0)</f>
        <v>0.107445945938785</v>
      </c>
      <c r="F30" s="10" t="n">
        <f aca="false">IFERROR((SUMIFS(Data!$E$2:$E$2657,Data!$A$2:$A$2657,$A30,Data!$B$2:$B$2657,$B30,Data!$D$2:$D$2657,"Distribution")+SUMIFS(Data!$G$2:$G$2657,Data!$A$2:$A$2657,$A30,Data!$B$2:$B$2657,$B30,Data!$D$2:$D$2657,"Distribution"))/$D30,0)</f>
        <v>0.269234467516017</v>
      </c>
      <c r="G30" s="10" t="n">
        <f aca="false">IFERROR((SUMIFS(Data!$E$2:$E$2657,Data!$A$2:$A$2657,$A30,Data!$B$2:$B$2657,$B30,Data!$D$2:$D$2657,"RTO/market operation")+SUMIFS(Data!$G$2:$G$2657,Data!$A$2:$A$2657,$A30,Data!$B$2:$B$2657,$B30,Data!$D$2:$D$2657,"RTO/market operation"))/$D30,0)</f>
        <v>0</v>
      </c>
      <c r="H30" s="10" t="n">
        <f aca="false">IFERROR((SUMIFS(Data!$E$2:$E$2657,Data!$A$2:$A$2657,$A30,Data!$B$2:$B$2657,$B30,Data!$D$2:$D$2657,"Customer accounts, service &amp; sales")+SUMIFS(Data!$G$2:$G$2657,Data!$A$2:$A$2657,$A30,Data!$B$2:$B$2657,$B30,Data!$D$2:$D$2657,"Customer accounts, service &amp; sales"))/$D30,0)</f>
        <v>0.20365119844286</v>
      </c>
      <c r="I30" s="10" t="n">
        <f aca="false">IFERROR((SUMIFS(Data!$E$2:$E$2657,Data!$A$2:$A$2657,$A30,Data!$B$2:$B$2657,$B30,Data!$D$2:$D$2657,"A&amp;G and general")+SUMIFS(Data!$G$2:$G$2657,Data!$A$2:$A$2657,$A30,Data!$B$2:$B$2657,$B30,Data!$D$2:$D$2657,"A&amp;G and general"))/$D30,0)</f>
        <v>0.419668388102338</v>
      </c>
      <c r="J30" s="10" t="n">
        <f aca="false">IFERROR(SUMIFS(Data!$F$2:$F$2657,Data!$A$2:$A$2657,$A30,Data!$B$2:$B$2657,$B30)/$D30,0)</f>
        <v>0.0111886895408969</v>
      </c>
      <c r="K30" s="11" t="n">
        <f aca="false">SUM(E30:I30)</f>
        <v>1</v>
      </c>
    </row>
    <row r="31" customFormat="false" ht="15" hidden="false" customHeight="false" outlineLevel="0" collapsed="false">
      <c r="A31" s="7" t="n">
        <v>1996</v>
      </c>
      <c r="B31" s="12" t="s">
        <v>73</v>
      </c>
      <c r="C31" s="12" t="s">
        <v>70</v>
      </c>
      <c r="D31" s="9" t="n">
        <f aca="false">SUMIFS(Data!$E$2:$E$2657,Data!$A$2:$A$2657,$A31,Data!$B$2:$B$2657,$B31)+SUMIFS(Data!$G$2:$G$2657,Data!$A$2:$A$2657,$A31,Data!$B$2:$B$2657,$B31)</f>
        <v>234.554493</v>
      </c>
      <c r="E31" s="10" t="n">
        <f aca="false">IFERROR((SUMIFS(Data!$E$2:$E$2657,Data!$A$2:$A$2657,$A31,Data!$B$2:$B$2657,$B31,Data!$D$2:$D$2657,"Transmission")+SUMIFS(Data!$G$2:$G$2657,Data!$A$2:$A$2657,$A31,Data!$B$2:$B$2657,$B31,Data!$D$2:$D$2657,"Transmission"))/$D31,0)</f>
        <v>0.0936517766896923</v>
      </c>
      <c r="F31" s="10" t="n">
        <f aca="false">IFERROR((SUMIFS(Data!$E$2:$E$2657,Data!$A$2:$A$2657,$A31,Data!$B$2:$B$2657,$B31,Data!$D$2:$D$2657,"Distribution")+SUMIFS(Data!$G$2:$G$2657,Data!$A$2:$A$2657,$A31,Data!$B$2:$B$2657,$B31,Data!$D$2:$D$2657,"Distribution"))/$D31,0)</f>
        <v>0.345602857413607</v>
      </c>
      <c r="G31" s="10" t="n">
        <f aca="false">IFERROR((SUMIFS(Data!$E$2:$E$2657,Data!$A$2:$A$2657,$A31,Data!$B$2:$B$2657,$B31,Data!$D$2:$D$2657,"RTO/market operation")+SUMIFS(Data!$G$2:$G$2657,Data!$A$2:$A$2657,$A31,Data!$B$2:$B$2657,$B31,Data!$D$2:$D$2657,"RTO/market operation"))/$D31,0)</f>
        <v>0</v>
      </c>
      <c r="H31" s="10" t="n">
        <f aca="false">IFERROR((SUMIFS(Data!$E$2:$E$2657,Data!$A$2:$A$2657,$A31,Data!$B$2:$B$2657,$B31,Data!$D$2:$D$2657,"Customer accounts, service &amp; sales")+SUMIFS(Data!$G$2:$G$2657,Data!$A$2:$A$2657,$A31,Data!$B$2:$B$2657,$B31,Data!$D$2:$D$2657,"Customer accounts, service &amp; sales"))/$D31,0)</f>
        <v>0.142810643154041</v>
      </c>
      <c r="I31" s="10" t="n">
        <f aca="false">IFERROR((SUMIFS(Data!$E$2:$E$2657,Data!$A$2:$A$2657,$A31,Data!$B$2:$B$2657,$B31,Data!$D$2:$D$2657,"A&amp;G and general")+SUMIFS(Data!$G$2:$G$2657,Data!$A$2:$A$2657,$A31,Data!$B$2:$B$2657,$B31,Data!$D$2:$D$2657,"A&amp;G and general"))/$D31,0)</f>
        <v>0.417934722742659</v>
      </c>
      <c r="J31" s="10" t="n">
        <f aca="false">IFERROR(SUMIFS(Data!$F$2:$F$2657,Data!$A$2:$A$2657,$A31,Data!$B$2:$B$2657,$B31)/$D31,0)</f>
        <v>0.00166653384038992</v>
      </c>
      <c r="K31" s="11" t="n">
        <f aca="false">SUM(E31:I31)</f>
        <v>1</v>
      </c>
    </row>
    <row r="32" customFormat="false" ht="15" hidden="false" customHeight="false" outlineLevel="0" collapsed="false">
      <c r="A32" s="7" t="n">
        <v>1996</v>
      </c>
      <c r="B32" s="12" t="s">
        <v>74</v>
      </c>
      <c r="C32" s="12" t="s">
        <v>65</v>
      </c>
      <c r="D32" s="9" t="n">
        <f aca="false">SUMIFS(Data!$E$2:$E$2657,Data!$A$2:$A$2657,$A32,Data!$B$2:$B$2657,$B32)+SUMIFS(Data!$G$2:$G$2657,Data!$A$2:$A$2657,$A32,Data!$B$2:$B$2657,$B32)</f>
        <v>199.281677</v>
      </c>
      <c r="E32" s="10" t="n">
        <f aca="false">IFERROR((SUMIFS(Data!$E$2:$E$2657,Data!$A$2:$A$2657,$A32,Data!$B$2:$B$2657,$B32,Data!$D$2:$D$2657,"Transmission")+SUMIFS(Data!$G$2:$G$2657,Data!$A$2:$A$2657,$A32,Data!$B$2:$B$2657,$B32,Data!$D$2:$D$2657,"Transmission"))/$D32,0)</f>
        <v>0.135986415850967</v>
      </c>
      <c r="F32" s="10" t="n">
        <f aca="false">IFERROR((SUMIFS(Data!$E$2:$E$2657,Data!$A$2:$A$2657,$A32,Data!$B$2:$B$2657,$B32,Data!$D$2:$D$2657,"Distribution")+SUMIFS(Data!$G$2:$G$2657,Data!$A$2:$A$2657,$A32,Data!$B$2:$B$2657,$B32,Data!$D$2:$D$2657,"Distribution"))/$D32,0)</f>
        <v>0.29295340584674</v>
      </c>
      <c r="G32" s="10" t="n">
        <f aca="false">IFERROR((SUMIFS(Data!$E$2:$E$2657,Data!$A$2:$A$2657,$A32,Data!$B$2:$B$2657,$B32,Data!$D$2:$D$2657,"RTO/market operation")+SUMIFS(Data!$G$2:$G$2657,Data!$A$2:$A$2657,$A32,Data!$B$2:$B$2657,$B32,Data!$D$2:$D$2657,"RTO/market operation"))/$D32,0)</f>
        <v>0</v>
      </c>
      <c r="H32" s="10" t="n">
        <f aca="false">IFERROR((SUMIFS(Data!$E$2:$E$2657,Data!$A$2:$A$2657,$A32,Data!$B$2:$B$2657,$B32,Data!$D$2:$D$2657,"Customer accounts, service &amp; sales")+SUMIFS(Data!$G$2:$G$2657,Data!$A$2:$A$2657,$A32,Data!$B$2:$B$2657,$B32,Data!$D$2:$D$2657,"Customer accounts, service &amp; sales"))/$D32,0)</f>
        <v>0.121175144466493</v>
      </c>
      <c r="I32" s="10" t="n">
        <f aca="false">IFERROR((SUMIFS(Data!$E$2:$E$2657,Data!$A$2:$A$2657,$A32,Data!$B$2:$B$2657,$B32,Data!$D$2:$D$2657,"A&amp;G and general")+SUMIFS(Data!$G$2:$G$2657,Data!$A$2:$A$2657,$A32,Data!$B$2:$B$2657,$B32,Data!$D$2:$D$2657,"A&amp;G and general"))/$D32,0)</f>
        <v>0.4498850338358</v>
      </c>
      <c r="J32" s="10" t="n">
        <f aca="false">IFERROR(SUMIFS(Data!$F$2:$F$2657,Data!$A$2:$A$2657,$A32,Data!$B$2:$B$2657,$B32)/$D32,0)</f>
        <v>0.00106230037395761</v>
      </c>
      <c r="K32" s="11" t="n">
        <f aca="false">SUM(E32:I32)</f>
        <v>1</v>
      </c>
    </row>
    <row r="33" customFormat="false" ht="15" hidden="false" customHeight="false" outlineLevel="0" collapsed="false">
      <c r="A33" s="7" t="n">
        <v>1996</v>
      </c>
      <c r="B33" s="12" t="s">
        <v>75</v>
      </c>
      <c r="C33" s="12" t="s">
        <v>57</v>
      </c>
      <c r="D33" s="9" t="n">
        <f aca="false">SUMIFS(Data!$E$2:$E$2657,Data!$A$2:$A$2657,$A33,Data!$B$2:$B$2657,$B33)+SUMIFS(Data!$G$2:$G$2657,Data!$A$2:$A$2657,$A33,Data!$B$2:$B$2657,$B33)</f>
        <v>454.32737</v>
      </c>
      <c r="E33" s="10" t="n">
        <f aca="false">IFERROR((SUMIFS(Data!$E$2:$E$2657,Data!$A$2:$A$2657,$A33,Data!$B$2:$B$2657,$B33,Data!$D$2:$D$2657,"Transmission")+SUMIFS(Data!$G$2:$G$2657,Data!$A$2:$A$2657,$A33,Data!$B$2:$B$2657,$B33,Data!$D$2:$D$2657,"Transmission"))/$D33,0)</f>
        <v>0.149292293352258</v>
      </c>
      <c r="F33" s="10" t="n">
        <f aca="false">IFERROR((SUMIFS(Data!$E$2:$E$2657,Data!$A$2:$A$2657,$A33,Data!$B$2:$B$2657,$B33,Data!$D$2:$D$2657,"Distribution")+SUMIFS(Data!$G$2:$G$2657,Data!$A$2:$A$2657,$A33,Data!$B$2:$B$2657,$B33,Data!$D$2:$D$2657,"Distribution"))/$D33,0)</f>
        <v>0.284729856799074</v>
      </c>
      <c r="G33" s="10" t="n">
        <f aca="false">IFERROR((SUMIFS(Data!$E$2:$E$2657,Data!$A$2:$A$2657,$A33,Data!$B$2:$B$2657,$B33,Data!$D$2:$D$2657,"RTO/market operation")+SUMIFS(Data!$G$2:$G$2657,Data!$A$2:$A$2657,$A33,Data!$B$2:$B$2657,$B33,Data!$D$2:$D$2657,"RTO/market operation"))/$D33,0)</f>
        <v>0</v>
      </c>
      <c r="H33" s="10" t="n">
        <f aca="false">IFERROR((SUMIFS(Data!$E$2:$E$2657,Data!$A$2:$A$2657,$A33,Data!$B$2:$B$2657,$B33,Data!$D$2:$D$2657,"Customer accounts, service &amp; sales")+SUMIFS(Data!$G$2:$G$2657,Data!$A$2:$A$2657,$A33,Data!$B$2:$B$2657,$B33,Data!$D$2:$D$2657,"Customer accounts, service &amp; sales"))/$D33,0)</f>
        <v>0.252694122302163</v>
      </c>
      <c r="I33" s="10" t="n">
        <f aca="false">IFERROR((SUMIFS(Data!$E$2:$E$2657,Data!$A$2:$A$2657,$A33,Data!$B$2:$B$2657,$B33,Data!$D$2:$D$2657,"A&amp;G and general")+SUMIFS(Data!$G$2:$G$2657,Data!$A$2:$A$2657,$A33,Data!$B$2:$B$2657,$B33,Data!$D$2:$D$2657,"A&amp;G and general"))/$D33,0)</f>
        <v>0.313283727546505</v>
      </c>
      <c r="J33" s="10" t="n">
        <f aca="false">IFERROR(SUMIFS(Data!$F$2:$F$2657,Data!$A$2:$A$2657,$A33,Data!$B$2:$B$2657,$B33)/$D33,0)</f>
        <v>0.0152077674739252</v>
      </c>
      <c r="K33" s="11" t="n">
        <f aca="false">SUM(E33:I33)</f>
        <v>1</v>
      </c>
    </row>
    <row r="34" customFormat="false" ht="15" hidden="false" customHeight="false" outlineLevel="0" collapsed="false">
      <c r="A34" s="7" t="n">
        <v>1996</v>
      </c>
      <c r="B34" s="12" t="s">
        <v>76</v>
      </c>
      <c r="C34" s="12" t="s">
        <v>72</v>
      </c>
      <c r="D34" s="9" t="n">
        <f aca="false">SUMIFS(Data!$E$2:$E$2657,Data!$A$2:$A$2657,$A34,Data!$B$2:$B$2657,$B34)+SUMIFS(Data!$G$2:$G$2657,Data!$A$2:$A$2657,$A34,Data!$B$2:$B$2657,$B34)</f>
        <v>92.547691</v>
      </c>
      <c r="E34" s="10" t="n">
        <f aca="false">IFERROR((SUMIFS(Data!$E$2:$E$2657,Data!$A$2:$A$2657,$A34,Data!$B$2:$B$2657,$B34,Data!$D$2:$D$2657,"Transmission")+SUMIFS(Data!$G$2:$G$2657,Data!$A$2:$A$2657,$A34,Data!$B$2:$B$2657,$B34,Data!$D$2:$D$2657,"Transmission"))/$D34,0)</f>
        <v>0.252223105166395</v>
      </c>
      <c r="F34" s="10" t="n">
        <f aca="false">IFERROR((SUMIFS(Data!$E$2:$E$2657,Data!$A$2:$A$2657,$A34,Data!$B$2:$B$2657,$B34,Data!$D$2:$D$2657,"Distribution")+SUMIFS(Data!$G$2:$G$2657,Data!$A$2:$A$2657,$A34,Data!$B$2:$B$2657,$B34,Data!$D$2:$D$2657,"Distribution"))/$D34,0)</f>
        <v>0.309063583228673</v>
      </c>
      <c r="G34" s="10" t="n">
        <f aca="false">IFERROR((SUMIFS(Data!$E$2:$E$2657,Data!$A$2:$A$2657,$A34,Data!$B$2:$B$2657,$B34,Data!$D$2:$D$2657,"RTO/market operation")+SUMIFS(Data!$G$2:$G$2657,Data!$A$2:$A$2657,$A34,Data!$B$2:$B$2657,$B34,Data!$D$2:$D$2657,"RTO/market operation"))/$D34,0)</f>
        <v>0</v>
      </c>
      <c r="H34" s="10" t="n">
        <f aca="false">IFERROR((SUMIFS(Data!$E$2:$E$2657,Data!$A$2:$A$2657,$A34,Data!$B$2:$B$2657,$B34,Data!$D$2:$D$2657,"Customer accounts, service &amp; sales")+SUMIFS(Data!$G$2:$G$2657,Data!$A$2:$A$2657,$A34,Data!$B$2:$B$2657,$B34,Data!$D$2:$D$2657,"Customer accounts, service &amp; sales"))/$D34,0)</f>
        <v>0.170426650622758</v>
      </c>
      <c r="I34" s="10" t="n">
        <f aca="false">IFERROR((SUMIFS(Data!$E$2:$E$2657,Data!$A$2:$A$2657,$A34,Data!$B$2:$B$2657,$B34,Data!$D$2:$D$2657,"A&amp;G and general")+SUMIFS(Data!$G$2:$G$2657,Data!$A$2:$A$2657,$A34,Data!$B$2:$B$2657,$B34,Data!$D$2:$D$2657,"A&amp;G and general"))/$D34,0)</f>
        <v>0.268286660982174</v>
      </c>
      <c r="J34" s="10" t="n">
        <f aca="false">IFERROR(SUMIFS(Data!$F$2:$F$2657,Data!$A$2:$A$2657,$A34,Data!$B$2:$B$2657,$B34)/$D34,0)</f>
        <v>0</v>
      </c>
      <c r="K34" s="11" t="n">
        <f aca="false">SUM(E34:I34)</f>
        <v>1</v>
      </c>
    </row>
    <row r="35" customFormat="false" ht="15" hidden="false" customHeight="false" outlineLevel="0" collapsed="false">
      <c r="A35" s="7" t="n">
        <v>1996</v>
      </c>
      <c r="B35" s="12" t="s">
        <v>77</v>
      </c>
      <c r="C35" s="12" t="s">
        <v>57</v>
      </c>
      <c r="D35" s="9" t="n">
        <f aca="false">SUMIFS(Data!$E$2:$E$2657,Data!$A$2:$A$2657,$A35,Data!$B$2:$B$2657,$B35)+SUMIFS(Data!$G$2:$G$2657,Data!$A$2:$A$2657,$A35,Data!$B$2:$B$2657,$B35)</f>
        <v>65.399281</v>
      </c>
      <c r="E35" s="10" t="n">
        <f aca="false">IFERROR((SUMIFS(Data!$E$2:$E$2657,Data!$A$2:$A$2657,$A35,Data!$B$2:$B$2657,$B35,Data!$D$2:$D$2657,"Transmission")+SUMIFS(Data!$G$2:$G$2657,Data!$A$2:$A$2657,$A35,Data!$B$2:$B$2657,$B35,Data!$D$2:$D$2657,"Transmission"))/$D35,0)</f>
        <v>0.110605206806479</v>
      </c>
      <c r="F35" s="10" t="n">
        <f aca="false">IFERROR((SUMIFS(Data!$E$2:$E$2657,Data!$A$2:$A$2657,$A35,Data!$B$2:$B$2657,$B35,Data!$D$2:$D$2657,"Distribution")+SUMIFS(Data!$G$2:$G$2657,Data!$A$2:$A$2657,$A35,Data!$B$2:$B$2657,$B35,Data!$D$2:$D$2657,"Distribution"))/$D35,0)</f>
        <v>0.233340929237433</v>
      </c>
      <c r="G35" s="10" t="n">
        <f aca="false">IFERROR((SUMIFS(Data!$E$2:$E$2657,Data!$A$2:$A$2657,$A35,Data!$B$2:$B$2657,$B35,Data!$D$2:$D$2657,"RTO/market operation")+SUMIFS(Data!$G$2:$G$2657,Data!$A$2:$A$2657,$A35,Data!$B$2:$B$2657,$B35,Data!$D$2:$D$2657,"RTO/market operation"))/$D35,0)</f>
        <v>0</v>
      </c>
      <c r="H35" s="10" t="n">
        <f aca="false">IFERROR((SUMIFS(Data!$E$2:$E$2657,Data!$A$2:$A$2657,$A35,Data!$B$2:$B$2657,$B35,Data!$D$2:$D$2657,"Customer accounts, service &amp; sales")+SUMIFS(Data!$G$2:$G$2657,Data!$A$2:$A$2657,$A35,Data!$B$2:$B$2657,$B35,Data!$D$2:$D$2657,"Customer accounts, service &amp; sales"))/$D35,0)</f>
        <v>0.198275956581235</v>
      </c>
      <c r="I35" s="10" t="n">
        <f aca="false">IFERROR((SUMIFS(Data!$E$2:$E$2657,Data!$A$2:$A$2657,$A35,Data!$B$2:$B$2657,$B35,Data!$D$2:$D$2657,"A&amp;G and general")+SUMIFS(Data!$G$2:$G$2657,Data!$A$2:$A$2657,$A35,Data!$B$2:$B$2657,$B35,Data!$D$2:$D$2657,"A&amp;G and general"))/$D35,0)</f>
        <v>0.457777907374853</v>
      </c>
      <c r="J35" s="10" t="n">
        <f aca="false">IFERROR(SUMIFS(Data!$F$2:$F$2657,Data!$A$2:$A$2657,$A35,Data!$B$2:$B$2657,$B35)/$D35,0)</f>
        <v>0.0179960541156408</v>
      </c>
      <c r="K35" s="11" t="n">
        <f aca="false">SUM(E35:I35)</f>
        <v>1</v>
      </c>
    </row>
    <row r="36" customFormat="false" ht="15" hidden="false" customHeight="false" outlineLevel="0" collapsed="false">
      <c r="A36" s="7" t="n">
        <v>1996</v>
      </c>
      <c r="B36" s="12" t="s">
        <v>78</v>
      </c>
      <c r="C36" s="12" t="s">
        <v>65</v>
      </c>
      <c r="D36" s="9" t="n">
        <f aca="false">SUMIFS(Data!$E$2:$E$2657,Data!$A$2:$A$2657,$A36,Data!$B$2:$B$2657,$B36)+SUMIFS(Data!$G$2:$G$2657,Data!$A$2:$A$2657,$A36,Data!$B$2:$B$2657,$B36)</f>
        <v>47.297277</v>
      </c>
      <c r="E36" s="10" t="n">
        <f aca="false">IFERROR((SUMIFS(Data!$E$2:$E$2657,Data!$A$2:$A$2657,$A36,Data!$B$2:$B$2657,$B36,Data!$D$2:$D$2657,"Transmission")+SUMIFS(Data!$G$2:$G$2657,Data!$A$2:$A$2657,$A36,Data!$B$2:$B$2657,$B36,Data!$D$2:$D$2657,"Transmission"))/$D36,0)</f>
        <v>0.082556655428599</v>
      </c>
      <c r="F36" s="10" t="n">
        <f aca="false">IFERROR((SUMIFS(Data!$E$2:$E$2657,Data!$A$2:$A$2657,$A36,Data!$B$2:$B$2657,$B36,Data!$D$2:$D$2657,"Distribution")+SUMIFS(Data!$G$2:$G$2657,Data!$A$2:$A$2657,$A36,Data!$B$2:$B$2657,$B36,Data!$D$2:$D$2657,"Distribution"))/$D36,0)</f>
        <v>0.307620796013267</v>
      </c>
      <c r="G36" s="10" t="n">
        <f aca="false">IFERROR((SUMIFS(Data!$E$2:$E$2657,Data!$A$2:$A$2657,$A36,Data!$B$2:$B$2657,$B36,Data!$D$2:$D$2657,"RTO/market operation")+SUMIFS(Data!$G$2:$G$2657,Data!$A$2:$A$2657,$A36,Data!$B$2:$B$2657,$B36,Data!$D$2:$D$2657,"RTO/market operation"))/$D36,0)</f>
        <v>0</v>
      </c>
      <c r="H36" s="10" t="n">
        <f aca="false">IFERROR((SUMIFS(Data!$E$2:$E$2657,Data!$A$2:$A$2657,$A36,Data!$B$2:$B$2657,$B36,Data!$D$2:$D$2657,"Customer accounts, service &amp; sales")+SUMIFS(Data!$G$2:$G$2657,Data!$A$2:$A$2657,$A36,Data!$B$2:$B$2657,$B36,Data!$D$2:$D$2657,"Customer accounts, service &amp; sales"))/$D36,0)</f>
        <v>0.103445743821573</v>
      </c>
      <c r="I36" s="10" t="n">
        <f aca="false">IFERROR((SUMIFS(Data!$E$2:$E$2657,Data!$A$2:$A$2657,$A36,Data!$B$2:$B$2657,$B36,Data!$D$2:$D$2657,"A&amp;G and general")+SUMIFS(Data!$G$2:$G$2657,Data!$A$2:$A$2657,$A36,Data!$B$2:$B$2657,$B36,Data!$D$2:$D$2657,"A&amp;G and general"))/$D36,0)</f>
        <v>0.50637680473656</v>
      </c>
      <c r="J36" s="10" t="n">
        <f aca="false">IFERROR(SUMIFS(Data!$F$2:$F$2657,Data!$A$2:$A$2657,$A36,Data!$B$2:$B$2657,$B36)/$D36,0)</f>
        <v>0.000162948069928</v>
      </c>
      <c r="K36" s="11" t="n">
        <f aca="false">SUM(E36:I36)</f>
        <v>1</v>
      </c>
    </row>
    <row r="37" customFormat="false" ht="15" hidden="false" customHeight="false" outlineLevel="0" collapsed="false">
      <c r="A37" s="7" t="n">
        <v>1996</v>
      </c>
      <c r="B37" s="12" t="s">
        <v>79</v>
      </c>
      <c r="C37" s="12" t="s">
        <v>72</v>
      </c>
      <c r="D37" s="9" t="n">
        <f aca="false">SUMIFS(Data!$E$2:$E$2657,Data!$A$2:$A$2657,$A37,Data!$B$2:$B$2657,$B37)+SUMIFS(Data!$G$2:$G$2657,Data!$A$2:$A$2657,$A37,Data!$B$2:$B$2657,$B37)</f>
        <v>350.87909</v>
      </c>
      <c r="E37" s="10" t="n">
        <f aca="false">IFERROR((SUMIFS(Data!$E$2:$E$2657,Data!$A$2:$A$2657,$A37,Data!$B$2:$B$2657,$B37,Data!$D$2:$D$2657,"Transmission")+SUMIFS(Data!$G$2:$G$2657,Data!$A$2:$A$2657,$A37,Data!$B$2:$B$2657,$B37,Data!$D$2:$D$2657,"Transmission"))/$D37,0)</f>
        <v>0.0471967366308434</v>
      </c>
      <c r="F37" s="10" t="n">
        <f aca="false">IFERROR((SUMIFS(Data!$E$2:$E$2657,Data!$A$2:$A$2657,$A37,Data!$B$2:$B$2657,$B37,Data!$D$2:$D$2657,"Distribution")+SUMIFS(Data!$G$2:$G$2657,Data!$A$2:$A$2657,$A37,Data!$B$2:$B$2657,$B37,Data!$D$2:$D$2657,"Distribution"))/$D37,0)</f>
        <v>0.312600813573701</v>
      </c>
      <c r="G37" s="10" t="n">
        <f aca="false">IFERROR((SUMIFS(Data!$E$2:$E$2657,Data!$A$2:$A$2657,$A37,Data!$B$2:$B$2657,$B37,Data!$D$2:$D$2657,"RTO/market operation")+SUMIFS(Data!$G$2:$G$2657,Data!$A$2:$A$2657,$A37,Data!$B$2:$B$2657,$B37,Data!$D$2:$D$2657,"RTO/market operation"))/$D37,0)</f>
        <v>0</v>
      </c>
      <c r="H37" s="10" t="n">
        <f aca="false">IFERROR((SUMIFS(Data!$E$2:$E$2657,Data!$A$2:$A$2657,$A37,Data!$B$2:$B$2657,$B37,Data!$D$2:$D$2657,"Customer accounts, service &amp; sales")+SUMIFS(Data!$G$2:$G$2657,Data!$A$2:$A$2657,$A37,Data!$B$2:$B$2657,$B37,Data!$D$2:$D$2657,"Customer accounts, service &amp; sales"))/$D37,0)</f>
        <v>0.281225928852016</v>
      </c>
      <c r="I37" s="10" t="n">
        <f aca="false">IFERROR((SUMIFS(Data!$E$2:$E$2657,Data!$A$2:$A$2657,$A37,Data!$B$2:$B$2657,$B37,Data!$D$2:$D$2657,"A&amp;G and general")+SUMIFS(Data!$G$2:$G$2657,Data!$A$2:$A$2657,$A37,Data!$B$2:$B$2657,$B37,Data!$D$2:$D$2657,"A&amp;G and general"))/$D37,0)</f>
        <v>0.35897652094344</v>
      </c>
      <c r="J37" s="10" t="n">
        <f aca="false">IFERROR(SUMIFS(Data!$F$2:$F$2657,Data!$A$2:$A$2657,$A37,Data!$B$2:$B$2657,$B37)/$D37,0)</f>
        <v>-0.000812713006067133</v>
      </c>
      <c r="K37" s="11" t="n">
        <f aca="false">SUM(E37:I37)</f>
        <v>1</v>
      </c>
    </row>
    <row r="38" customFormat="false" ht="15" hidden="false" customHeight="false" outlineLevel="0" collapsed="false">
      <c r="A38" s="7" t="n">
        <v>1996</v>
      </c>
      <c r="B38" s="12" t="s">
        <v>80</v>
      </c>
      <c r="C38" s="12" t="s">
        <v>72</v>
      </c>
      <c r="D38" s="9" t="n">
        <f aca="false">SUMIFS(Data!$E$2:$E$2657,Data!$A$2:$A$2657,$A38,Data!$B$2:$B$2657,$B38)+SUMIFS(Data!$G$2:$G$2657,Data!$A$2:$A$2657,$A38,Data!$B$2:$B$2657,$B38)</f>
        <v>140.068173</v>
      </c>
      <c r="E38" s="10" t="n">
        <f aca="false">IFERROR((SUMIFS(Data!$E$2:$E$2657,Data!$A$2:$A$2657,$A38,Data!$B$2:$B$2657,$B38,Data!$D$2:$D$2657,"Transmission")+SUMIFS(Data!$G$2:$G$2657,Data!$A$2:$A$2657,$A38,Data!$B$2:$B$2657,$B38,Data!$D$2:$D$2657,"Transmission"))/$D38,0)</f>
        <v>0.131535120401692</v>
      </c>
      <c r="F38" s="10" t="n">
        <f aca="false">IFERROR((SUMIFS(Data!$E$2:$E$2657,Data!$A$2:$A$2657,$A38,Data!$B$2:$B$2657,$B38,Data!$D$2:$D$2657,"Distribution")+SUMIFS(Data!$G$2:$G$2657,Data!$A$2:$A$2657,$A38,Data!$B$2:$B$2657,$B38,Data!$D$2:$D$2657,"Distribution"))/$D38,0)</f>
        <v>0.294115466188026</v>
      </c>
      <c r="G38" s="10" t="n">
        <f aca="false">IFERROR((SUMIFS(Data!$E$2:$E$2657,Data!$A$2:$A$2657,$A38,Data!$B$2:$B$2657,$B38,Data!$D$2:$D$2657,"RTO/market operation")+SUMIFS(Data!$G$2:$G$2657,Data!$A$2:$A$2657,$A38,Data!$B$2:$B$2657,$B38,Data!$D$2:$D$2657,"RTO/market operation"))/$D38,0)</f>
        <v>0</v>
      </c>
      <c r="H38" s="10" t="n">
        <f aca="false">IFERROR((SUMIFS(Data!$E$2:$E$2657,Data!$A$2:$A$2657,$A38,Data!$B$2:$B$2657,$B38,Data!$D$2:$D$2657,"Customer accounts, service &amp; sales")+SUMIFS(Data!$G$2:$G$2657,Data!$A$2:$A$2657,$A38,Data!$B$2:$B$2657,$B38,Data!$D$2:$D$2657,"Customer accounts, service &amp; sales"))/$D38,0)</f>
        <v>0.201229140041685</v>
      </c>
      <c r="I38" s="10" t="n">
        <f aca="false">IFERROR((SUMIFS(Data!$E$2:$E$2657,Data!$A$2:$A$2657,$A38,Data!$B$2:$B$2657,$B38,Data!$D$2:$D$2657,"A&amp;G and general")+SUMIFS(Data!$G$2:$G$2657,Data!$A$2:$A$2657,$A38,Data!$B$2:$B$2657,$B38,Data!$D$2:$D$2657,"A&amp;G and general"))/$D38,0)</f>
        <v>0.373120273368598</v>
      </c>
      <c r="J38" s="10" t="n">
        <f aca="false">IFERROR(SUMIFS(Data!$F$2:$F$2657,Data!$A$2:$A$2657,$A38,Data!$B$2:$B$2657,$B38)/$D38,0)</f>
        <v>0.0303639571282193</v>
      </c>
      <c r="K38" s="11" t="n">
        <f aca="false">SUM(E38:I38)</f>
        <v>1</v>
      </c>
    </row>
    <row r="39" customFormat="false" ht="15" hidden="false" customHeight="false" outlineLevel="0" collapsed="false">
      <c r="A39" s="7" t="n">
        <v>1996</v>
      </c>
      <c r="B39" s="12" t="s">
        <v>81</v>
      </c>
      <c r="C39" s="12" t="s">
        <v>72</v>
      </c>
      <c r="D39" s="9" t="n">
        <f aca="false">SUMIFS(Data!$E$2:$E$2657,Data!$A$2:$A$2657,$A39,Data!$B$2:$B$2657,$B39)+SUMIFS(Data!$G$2:$G$2657,Data!$A$2:$A$2657,$A39,Data!$B$2:$B$2657,$B39)</f>
        <v>124.379823</v>
      </c>
      <c r="E39" s="10" t="n">
        <f aca="false">IFERROR((SUMIFS(Data!$E$2:$E$2657,Data!$A$2:$A$2657,$A39,Data!$B$2:$B$2657,$B39,Data!$D$2:$D$2657,"Transmission")+SUMIFS(Data!$G$2:$G$2657,Data!$A$2:$A$2657,$A39,Data!$B$2:$B$2657,$B39,Data!$D$2:$D$2657,"Transmission"))/$D39,0)</f>
        <v>0.0948038332551736</v>
      </c>
      <c r="F39" s="10" t="n">
        <f aca="false">IFERROR((SUMIFS(Data!$E$2:$E$2657,Data!$A$2:$A$2657,$A39,Data!$B$2:$B$2657,$B39,Data!$D$2:$D$2657,"Distribution")+SUMIFS(Data!$G$2:$G$2657,Data!$A$2:$A$2657,$A39,Data!$B$2:$B$2657,$B39,Data!$D$2:$D$2657,"Distribution"))/$D39,0)</f>
        <v>0.357018034991093</v>
      </c>
      <c r="G39" s="10" t="n">
        <f aca="false">IFERROR((SUMIFS(Data!$E$2:$E$2657,Data!$A$2:$A$2657,$A39,Data!$B$2:$B$2657,$B39,Data!$D$2:$D$2657,"RTO/market operation")+SUMIFS(Data!$G$2:$G$2657,Data!$A$2:$A$2657,$A39,Data!$B$2:$B$2657,$B39,Data!$D$2:$D$2657,"RTO/market operation"))/$D39,0)</f>
        <v>0</v>
      </c>
      <c r="H39" s="10" t="n">
        <f aca="false">IFERROR((SUMIFS(Data!$E$2:$E$2657,Data!$A$2:$A$2657,$A39,Data!$B$2:$B$2657,$B39,Data!$D$2:$D$2657,"Customer accounts, service &amp; sales")+SUMIFS(Data!$G$2:$G$2657,Data!$A$2:$A$2657,$A39,Data!$B$2:$B$2657,$B39,Data!$D$2:$D$2657,"Customer accounts, service &amp; sales"))/$D39,0)</f>
        <v>0.287208327993842</v>
      </c>
      <c r="I39" s="10" t="n">
        <f aca="false">IFERROR((SUMIFS(Data!$E$2:$E$2657,Data!$A$2:$A$2657,$A39,Data!$B$2:$B$2657,$B39,Data!$D$2:$D$2657,"A&amp;G and general")+SUMIFS(Data!$G$2:$G$2657,Data!$A$2:$A$2657,$A39,Data!$B$2:$B$2657,$B39,Data!$D$2:$D$2657,"A&amp;G and general"))/$D39,0)</f>
        <v>0.260969803759891</v>
      </c>
      <c r="J39" s="10" t="n">
        <f aca="false">IFERROR(SUMIFS(Data!$F$2:$F$2657,Data!$A$2:$A$2657,$A39,Data!$B$2:$B$2657,$B39)/$D39,0)</f>
        <v>0.000327151132865015</v>
      </c>
      <c r="K39" s="11" t="n">
        <f aca="false">SUM(E39:I39)</f>
        <v>1</v>
      </c>
    </row>
    <row r="40" customFormat="false" ht="15" hidden="false" customHeight="false" outlineLevel="0" collapsed="false">
      <c r="A40" s="7" t="n">
        <v>1997</v>
      </c>
      <c r="B40" s="12" t="s">
        <v>56</v>
      </c>
      <c r="C40" s="12" t="s">
        <v>57</v>
      </c>
      <c r="D40" s="9" t="n">
        <f aca="false">SUMIFS(Data!$E$2:$E$2657,Data!$A$2:$A$2657,$A40,Data!$B$2:$B$2657,$B40)+SUMIFS(Data!$G$2:$G$2657,Data!$A$2:$A$2657,$A40,Data!$B$2:$B$2657,$B40)</f>
        <v>109.622514</v>
      </c>
      <c r="E40" s="10" t="n">
        <f aca="false">IFERROR((SUMIFS(Data!$E$2:$E$2657,Data!$A$2:$A$2657,$A40,Data!$B$2:$B$2657,$B40,Data!$D$2:$D$2657,"Transmission")+SUMIFS(Data!$G$2:$G$2657,Data!$A$2:$A$2657,$A40,Data!$B$2:$B$2657,$B40,Data!$D$2:$D$2657,"Transmission"))/$D40,0)</f>
        <v>0.0970625067036868</v>
      </c>
      <c r="F40" s="10" t="n">
        <f aca="false">IFERROR((SUMIFS(Data!$E$2:$E$2657,Data!$A$2:$A$2657,$A40,Data!$B$2:$B$2657,$B40,Data!$D$2:$D$2657,"Distribution")+SUMIFS(Data!$G$2:$G$2657,Data!$A$2:$A$2657,$A40,Data!$B$2:$B$2657,$B40,Data!$D$2:$D$2657,"Distribution"))/$D40,0)</f>
        <v>0.176954261421153</v>
      </c>
      <c r="G40" s="10" t="n">
        <f aca="false">IFERROR((SUMIFS(Data!$E$2:$E$2657,Data!$A$2:$A$2657,$A40,Data!$B$2:$B$2657,$B40,Data!$D$2:$D$2657,"RTO/market operation")+SUMIFS(Data!$G$2:$G$2657,Data!$A$2:$A$2657,$A40,Data!$B$2:$B$2657,$B40,Data!$D$2:$D$2657,"RTO/market operation"))/$D40,0)</f>
        <v>0</v>
      </c>
      <c r="H40" s="10" t="n">
        <f aca="false">IFERROR((SUMIFS(Data!$E$2:$E$2657,Data!$A$2:$A$2657,$A40,Data!$B$2:$B$2657,$B40,Data!$D$2:$D$2657,"Customer accounts, service &amp; sales")+SUMIFS(Data!$G$2:$G$2657,Data!$A$2:$A$2657,$A40,Data!$B$2:$B$2657,$B40,Data!$D$2:$D$2657,"Customer accounts, service &amp; sales"))/$D40,0)</f>
        <v>0.244771169907671</v>
      </c>
      <c r="I40" s="10" t="n">
        <f aca="false">IFERROR((SUMIFS(Data!$E$2:$E$2657,Data!$A$2:$A$2657,$A40,Data!$B$2:$B$2657,$B40,Data!$D$2:$D$2657,"A&amp;G and general")+SUMIFS(Data!$G$2:$G$2657,Data!$A$2:$A$2657,$A40,Data!$B$2:$B$2657,$B40,Data!$D$2:$D$2657,"A&amp;G and general"))/$D40,0)</f>
        <v>0.48121206196749</v>
      </c>
      <c r="J40" s="10" t="n">
        <f aca="false">IFERROR(SUMIFS(Data!$F$2:$F$2657,Data!$A$2:$A$2657,$A40,Data!$B$2:$B$2657,$B40)/$D40,0)</f>
        <v>0.000542425071550539</v>
      </c>
      <c r="K40" s="11" t="n">
        <f aca="false">SUM(E40:I40)</f>
        <v>1</v>
      </c>
    </row>
    <row r="41" customFormat="false" ht="15" hidden="false" customHeight="false" outlineLevel="0" collapsed="false">
      <c r="A41" s="7" t="n">
        <v>1997</v>
      </c>
      <c r="B41" s="12" t="s">
        <v>58</v>
      </c>
      <c r="C41" s="12" t="s">
        <v>59</v>
      </c>
      <c r="D41" s="9" t="n">
        <f aca="false">SUMIFS(Data!$E$2:$E$2657,Data!$A$2:$A$2657,$A41,Data!$B$2:$B$2657,$B41)+SUMIFS(Data!$G$2:$G$2657,Data!$A$2:$A$2657,$A41,Data!$B$2:$B$2657,$B41)</f>
        <v>435.113959</v>
      </c>
      <c r="E41" s="10" t="n">
        <f aca="false">IFERROR((SUMIFS(Data!$E$2:$E$2657,Data!$A$2:$A$2657,$A41,Data!$B$2:$B$2657,$B41,Data!$D$2:$D$2657,"Transmission")+SUMIFS(Data!$G$2:$G$2657,Data!$A$2:$A$2657,$A41,Data!$B$2:$B$2657,$B41,Data!$D$2:$D$2657,"Transmission"))/$D41,0)</f>
        <v>0.0984257115042361</v>
      </c>
      <c r="F41" s="10" t="n">
        <f aca="false">IFERROR((SUMIFS(Data!$E$2:$E$2657,Data!$A$2:$A$2657,$A41,Data!$B$2:$B$2657,$B41,Data!$D$2:$D$2657,"Distribution")+SUMIFS(Data!$G$2:$G$2657,Data!$A$2:$A$2657,$A41,Data!$B$2:$B$2657,$B41,Data!$D$2:$D$2657,"Distribution"))/$D41,0)</f>
        <v>0.340852484578643</v>
      </c>
      <c r="G41" s="10" t="n">
        <f aca="false">IFERROR((SUMIFS(Data!$E$2:$E$2657,Data!$A$2:$A$2657,$A41,Data!$B$2:$B$2657,$B41,Data!$D$2:$D$2657,"RTO/market operation")+SUMIFS(Data!$G$2:$G$2657,Data!$A$2:$A$2657,$A41,Data!$B$2:$B$2657,$B41,Data!$D$2:$D$2657,"RTO/market operation"))/$D41,0)</f>
        <v>0</v>
      </c>
      <c r="H41" s="10" t="n">
        <f aca="false">IFERROR((SUMIFS(Data!$E$2:$E$2657,Data!$A$2:$A$2657,$A41,Data!$B$2:$B$2657,$B41,Data!$D$2:$D$2657,"Customer accounts, service &amp; sales")+SUMIFS(Data!$G$2:$G$2657,Data!$A$2:$A$2657,$A41,Data!$B$2:$B$2657,$B41,Data!$D$2:$D$2657,"Customer accounts, service &amp; sales"))/$D41,0)</f>
        <v>0.119189439748588</v>
      </c>
      <c r="I41" s="10" t="n">
        <f aca="false">IFERROR((SUMIFS(Data!$E$2:$E$2657,Data!$A$2:$A$2657,$A41,Data!$B$2:$B$2657,$B41,Data!$D$2:$D$2657,"A&amp;G and general")+SUMIFS(Data!$G$2:$G$2657,Data!$A$2:$A$2657,$A41,Data!$B$2:$B$2657,$B41,Data!$D$2:$D$2657,"A&amp;G and general"))/$D41,0)</f>
        <v>0.441532364168533</v>
      </c>
      <c r="J41" s="10" t="n">
        <f aca="false">IFERROR(SUMIFS(Data!$F$2:$F$2657,Data!$A$2:$A$2657,$A41,Data!$B$2:$B$2657,$B41)/$D41,0)</f>
        <v>1.70185300812195E-005</v>
      </c>
      <c r="K41" s="11" t="n">
        <f aca="false">SUM(E41:I41)</f>
        <v>1</v>
      </c>
    </row>
    <row r="42" customFormat="false" ht="15" hidden="false" customHeight="false" outlineLevel="0" collapsed="false">
      <c r="A42" s="7" t="n">
        <v>1997</v>
      </c>
      <c r="B42" s="12" t="s">
        <v>61</v>
      </c>
      <c r="C42" s="12" t="s">
        <v>62</v>
      </c>
      <c r="D42" s="9" t="n">
        <f aca="false">SUMIFS(Data!$E$2:$E$2657,Data!$A$2:$A$2657,$A42,Data!$B$2:$B$2657,$B42)+SUMIFS(Data!$G$2:$G$2657,Data!$A$2:$A$2657,$A42,Data!$B$2:$B$2657,$B42)</f>
        <v>427.707143</v>
      </c>
      <c r="E42" s="10" t="n">
        <f aca="false">IFERROR((SUMIFS(Data!$E$2:$E$2657,Data!$A$2:$A$2657,$A42,Data!$B$2:$B$2657,$B42,Data!$D$2:$D$2657,"Transmission")+SUMIFS(Data!$G$2:$G$2657,Data!$A$2:$A$2657,$A42,Data!$B$2:$B$2657,$B42,Data!$D$2:$D$2657,"Transmission"))/$D42,0)</f>
        <v>0.0878149795127457</v>
      </c>
      <c r="F42" s="10" t="n">
        <f aca="false">IFERROR((SUMIFS(Data!$E$2:$E$2657,Data!$A$2:$A$2657,$A42,Data!$B$2:$B$2657,$B42,Data!$D$2:$D$2657,"Distribution")+SUMIFS(Data!$G$2:$G$2657,Data!$A$2:$A$2657,$A42,Data!$B$2:$B$2657,$B42,Data!$D$2:$D$2657,"Distribution"))/$D42,0)</f>
        <v>0.391178811806751</v>
      </c>
      <c r="G42" s="10" t="n">
        <f aca="false">IFERROR((SUMIFS(Data!$E$2:$E$2657,Data!$A$2:$A$2657,$A42,Data!$B$2:$B$2657,$B42,Data!$D$2:$D$2657,"RTO/market operation")+SUMIFS(Data!$G$2:$G$2657,Data!$A$2:$A$2657,$A42,Data!$B$2:$B$2657,$B42,Data!$D$2:$D$2657,"RTO/market operation"))/$D42,0)</f>
        <v>0</v>
      </c>
      <c r="H42" s="10" t="n">
        <f aca="false">IFERROR((SUMIFS(Data!$E$2:$E$2657,Data!$A$2:$A$2657,$A42,Data!$B$2:$B$2657,$B42,Data!$D$2:$D$2657,"Customer accounts, service &amp; sales")+SUMIFS(Data!$G$2:$G$2657,Data!$A$2:$A$2657,$A42,Data!$B$2:$B$2657,$B42,Data!$D$2:$D$2657,"Customer accounts, service &amp; sales"))/$D42,0)</f>
        <v>0.160200976582708</v>
      </c>
      <c r="I42" s="10" t="n">
        <f aca="false">IFERROR((SUMIFS(Data!$E$2:$E$2657,Data!$A$2:$A$2657,$A42,Data!$B$2:$B$2657,$B42,Data!$D$2:$D$2657,"A&amp;G and general")+SUMIFS(Data!$G$2:$G$2657,Data!$A$2:$A$2657,$A42,Data!$B$2:$B$2657,$B42,Data!$D$2:$D$2657,"A&amp;G and general"))/$D42,0)</f>
        <v>0.360805232097795</v>
      </c>
      <c r="J42" s="10" t="n">
        <f aca="false">IFERROR(SUMIFS(Data!$F$2:$F$2657,Data!$A$2:$A$2657,$A42,Data!$B$2:$B$2657,$B42)/$D42,0)</f>
        <v>0.000141669366508569</v>
      </c>
      <c r="K42" s="11" t="n">
        <f aca="false">SUM(E42:I42)</f>
        <v>1</v>
      </c>
    </row>
    <row r="43" customFormat="false" ht="15" hidden="false" customHeight="false" outlineLevel="0" collapsed="false">
      <c r="A43" s="7" t="n">
        <v>1997</v>
      </c>
      <c r="B43" s="12" t="s">
        <v>63</v>
      </c>
      <c r="C43" s="12" t="s">
        <v>62</v>
      </c>
      <c r="D43" s="9" t="n">
        <f aca="false">SUMIFS(Data!$E$2:$E$2657,Data!$A$2:$A$2657,$A43,Data!$B$2:$B$2657,$B43)+SUMIFS(Data!$G$2:$G$2657,Data!$A$2:$A$2657,$A43,Data!$B$2:$B$2657,$B43)</f>
        <v>827.191266</v>
      </c>
      <c r="E43" s="10" t="n">
        <f aca="false">IFERROR((SUMIFS(Data!$E$2:$E$2657,Data!$A$2:$A$2657,$A43,Data!$B$2:$B$2657,$B43,Data!$D$2:$D$2657,"Transmission")+SUMIFS(Data!$G$2:$G$2657,Data!$A$2:$A$2657,$A43,Data!$B$2:$B$2657,$B43,Data!$D$2:$D$2657,"Transmission"))/$D43,0)</f>
        <v>0.0725393611687385</v>
      </c>
      <c r="F43" s="10" t="n">
        <f aca="false">IFERROR((SUMIFS(Data!$E$2:$E$2657,Data!$A$2:$A$2657,$A43,Data!$B$2:$B$2657,$B43,Data!$D$2:$D$2657,"Distribution")+SUMIFS(Data!$G$2:$G$2657,Data!$A$2:$A$2657,$A43,Data!$B$2:$B$2657,$B43,Data!$D$2:$D$2657,"Distribution"))/$D43,0)</f>
        <v>0.317478718398364</v>
      </c>
      <c r="G43" s="10" t="n">
        <f aca="false">IFERROR((SUMIFS(Data!$E$2:$E$2657,Data!$A$2:$A$2657,$A43,Data!$B$2:$B$2657,$B43,Data!$D$2:$D$2657,"RTO/market operation")+SUMIFS(Data!$G$2:$G$2657,Data!$A$2:$A$2657,$A43,Data!$B$2:$B$2657,$B43,Data!$D$2:$D$2657,"RTO/market operation"))/$D43,0)</f>
        <v>0</v>
      </c>
      <c r="H43" s="10" t="n">
        <f aca="false">IFERROR((SUMIFS(Data!$E$2:$E$2657,Data!$A$2:$A$2657,$A43,Data!$B$2:$B$2657,$B43,Data!$D$2:$D$2657,"Customer accounts, service &amp; sales")+SUMIFS(Data!$G$2:$G$2657,Data!$A$2:$A$2657,$A43,Data!$B$2:$B$2657,$B43,Data!$D$2:$D$2657,"Customer accounts, service &amp; sales"))/$D43,0)</f>
        <v>0.116148722730832</v>
      </c>
      <c r="I43" s="10" t="n">
        <f aca="false">IFERROR((SUMIFS(Data!$E$2:$E$2657,Data!$A$2:$A$2657,$A43,Data!$B$2:$B$2657,$B43,Data!$D$2:$D$2657,"A&amp;G and general")+SUMIFS(Data!$G$2:$G$2657,Data!$A$2:$A$2657,$A43,Data!$B$2:$B$2657,$B43,Data!$D$2:$D$2657,"A&amp;G and general"))/$D43,0)</f>
        <v>0.493833197702066</v>
      </c>
      <c r="J43" s="10" t="n">
        <f aca="false">IFERROR(SUMIFS(Data!$F$2:$F$2657,Data!$A$2:$A$2657,$A43,Data!$B$2:$B$2657,$B43)/$D43,0)</f>
        <v>0</v>
      </c>
      <c r="K43" s="11" t="n">
        <f aca="false">SUM(E43:I43)</f>
        <v>1</v>
      </c>
    </row>
    <row r="44" customFormat="false" ht="15" hidden="false" customHeight="false" outlineLevel="0" collapsed="false">
      <c r="A44" s="7" t="n">
        <v>1997</v>
      </c>
      <c r="B44" s="12" t="s">
        <v>64</v>
      </c>
      <c r="C44" s="12" t="s">
        <v>65</v>
      </c>
      <c r="D44" s="9" t="n">
        <f aca="false">SUMIFS(Data!$E$2:$E$2657,Data!$A$2:$A$2657,$A44,Data!$B$2:$B$2657,$B44)+SUMIFS(Data!$G$2:$G$2657,Data!$A$2:$A$2657,$A44,Data!$B$2:$B$2657,$B44)</f>
        <v>344.662786</v>
      </c>
      <c r="E44" s="10" t="n">
        <f aca="false">IFERROR((SUMIFS(Data!$E$2:$E$2657,Data!$A$2:$A$2657,$A44,Data!$B$2:$B$2657,$B44,Data!$D$2:$D$2657,"Transmission")+SUMIFS(Data!$G$2:$G$2657,Data!$A$2:$A$2657,$A44,Data!$B$2:$B$2657,$B44,Data!$D$2:$D$2657,"Transmission"))/$D44,0)</f>
        <v>0.0853276570450516</v>
      </c>
      <c r="F44" s="10" t="n">
        <f aca="false">IFERROR((SUMIFS(Data!$E$2:$E$2657,Data!$A$2:$A$2657,$A44,Data!$B$2:$B$2657,$B44,Data!$D$2:$D$2657,"Distribution")+SUMIFS(Data!$G$2:$G$2657,Data!$A$2:$A$2657,$A44,Data!$B$2:$B$2657,$B44,Data!$D$2:$D$2657,"Distribution"))/$D44,0)</f>
        <v>0.222647080326218</v>
      </c>
      <c r="G44" s="10" t="n">
        <f aca="false">IFERROR((SUMIFS(Data!$E$2:$E$2657,Data!$A$2:$A$2657,$A44,Data!$B$2:$B$2657,$B44,Data!$D$2:$D$2657,"RTO/market operation")+SUMIFS(Data!$G$2:$G$2657,Data!$A$2:$A$2657,$A44,Data!$B$2:$B$2657,$B44,Data!$D$2:$D$2657,"RTO/market operation"))/$D44,0)</f>
        <v>0</v>
      </c>
      <c r="H44" s="10" t="n">
        <f aca="false">IFERROR((SUMIFS(Data!$E$2:$E$2657,Data!$A$2:$A$2657,$A44,Data!$B$2:$B$2657,$B44,Data!$D$2:$D$2657,"Customer accounts, service &amp; sales")+SUMIFS(Data!$G$2:$G$2657,Data!$A$2:$A$2657,$A44,Data!$B$2:$B$2657,$B44,Data!$D$2:$D$2657,"Customer accounts, service &amp; sales"))/$D44,0)</f>
        <v>0.22234457305176</v>
      </c>
      <c r="I44" s="10" t="n">
        <f aca="false">IFERROR((SUMIFS(Data!$E$2:$E$2657,Data!$A$2:$A$2657,$A44,Data!$B$2:$B$2657,$B44,Data!$D$2:$D$2657,"A&amp;G and general")+SUMIFS(Data!$G$2:$G$2657,Data!$A$2:$A$2657,$A44,Data!$B$2:$B$2657,$B44,Data!$D$2:$D$2657,"A&amp;G and general"))/$D44,0)</f>
        <v>0.469680689576971</v>
      </c>
      <c r="J44" s="10" t="n">
        <f aca="false">IFERROR(SUMIFS(Data!$F$2:$F$2657,Data!$A$2:$A$2657,$A44,Data!$B$2:$B$2657,$B44)/$D44,0)</f>
        <v>0.013722218330818</v>
      </c>
      <c r="K44" s="11" t="n">
        <f aca="false">SUM(E44:I44)</f>
        <v>1</v>
      </c>
    </row>
    <row r="45" customFormat="false" ht="15" hidden="false" customHeight="false" outlineLevel="0" collapsed="false">
      <c r="A45" s="7" t="n">
        <v>1997</v>
      </c>
      <c r="B45" s="12" t="s">
        <v>66</v>
      </c>
      <c r="C45" s="12" t="s">
        <v>67</v>
      </c>
      <c r="D45" s="9" t="n">
        <f aca="false">SUMIFS(Data!$E$2:$E$2657,Data!$A$2:$A$2657,$A45,Data!$B$2:$B$2657,$B45)+SUMIFS(Data!$G$2:$G$2657,Data!$A$2:$A$2657,$A45,Data!$B$2:$B$2657,$B45)</f>
        <v>198.649998</v>
      </c>
      <c r="E45" s="10" t="n">
        <f aca="false">IFERROR((SUMIFS(Data!$E$2:$E$2657,Data!$A$2:$A$2657,$A45,Data!$B$2:$B$2657,$B45,Data!$D$2:$D$2657,"Transmission")+SUMIFS(Data!$G$2:$G$2657,Data!$A$2:$A$2657,$A45,Data!$B$2:$B$2657,$B45,Data!$D$2:$D$2657,"Transmission"))/$D45,0)</f>
        <v>-0.0541521425034195</v>
      </c>
      <c r="F45" s="10" t="n">
        <f aca="false">IFERROR((SUMIFS(Data!$E$2:$E$2657,Data!$A$2:$A$2657,$A45,Data!$B$2:$B$2657,$B45,Data!$D$2:$D$2657,"Distribution")+SUMIFS(Data!$G$2:$G$2657,Data!$A$2:$A$2657,$A45,Data!$B$2:$B$2657,$B45,Data!$D$2:$D$2657,"Distribution"))/$D45,0)</f>
        <v>0.356512699285303</v>
      </c>
      <c r="G45" s="10" t="n">
        <f aca="false">IFERROR((SUMIFS(Data!$E$2:$E$2657,Data!$A$2:$A$2657,$A45,Data!$B$2:$B$2657,$B45,Data!$D$2:$D$2657,"RTO/market operation")+SUMIFS(Data!$G$2:$G$2657,Data!$A$2:$A$2657,$A45,Data!$B$2:$B$2657,$B45,Data!$D$2:$D$2657,"RTO/market operation"))/$D45,0)</f>
        <v>0</v>
      </c>
      <c r="H45" s="10" t="n">
        <f aca="false">IFERROR((SUMIFS(Data!$E$2:$E$2657,Data!$A$2:$A$2657,$A45,Data!$B$2:$B$2657,$B45,Data!$D$2:$D$2657,"Customer accounts, service &amp; sales")+SUMIFS(Data!$G$2:$G$2657,Data!$A$2:$A$2657,$A45,Data!$B$2:$B$2657,$B45,Data!$D$2:$D$2657,"Customer accounts, service &amp; sales"))/$D45,0)</f>
        <v>0.168610824753192</v>
      </c>
      <c r="I45" s="10" t="n">
        <f aca="false">IFERROR((SUMIFS(Data!$E$2:$E$2657,Data!$A$2:$A$2657,$A45,Data!$B$2:$B$2657,$B45,Data!$D$2:$D$2657,"A&amp;G and general")+SUMIFS(Data!$G$2:$G$2657,Data!$A$2:$A$2657,$A45,Data!$B$2:$B$2657,$B45,Data!$D$2:$D$2657,"A&amp;G and general"))/$D45,0)</f>
        <v>0.529028618464924</v>
      </c>
      <c r="J45" s="10" t="n">
        <f aca="false">IFERROR(SUMIFS(Data!$F$2:$F$2657,Data!$A$2:$A$2657,$A45,Data!$B$2:$B$2657,$B45)/$D45,0)</f>
        <v>-0.228521723921689</v>
      </c>
      <c r="K45" s="11" t="n">
        <f aca="false">SUM(E45:I45)</f>
        <v>1</v>
      </c>
    </row>
    <row r="46" customFormat="false" ht="15" hidden="false" customHeight="false" outlineLevel="0" collapsed="false">
      <c r="A46" s="7" t="n">
        <v>1997</v>
      </c>
      <c r="B46" s="12" t="s">
        <v>68</v>
      </c>
      <c r="C46" s="12" t="s">
        <v>65</v>
      </c>
      <c r="D46" s="9" t="n">
        <f aca="false">SUMIFS(Data!$E$2:$E$2657,Data!$A$2:$A$2657,$A46,Data!$B$2:$B$2657,$B46)+SUMIFS(Data!$G$2:$G$2657,Data!$A$2:$A$2657,$A46,Data!$B$2:$B$2657,$B46)</f>
        <v>185.686981</v>
      </c>
      <c r="E46" s="10" t="n">
        <f aca="false">IFERROR((SUMIFS(Data!$E$2:$E$2657,Data!$A$2:$A$2657,$A46,Data!$B$2:$B$2657,$B46,Data!$D$2:$D$2657,"Transmission")+SUMIFS(Data!$G$2:$G$2657,Data!$A$2:$A$2657,$A46,Data!$B$2:$B$2657,$B46,Data!$D$2:$D$2657,"Transmission"))/$D46,0)</f>
        <v>0.0660396702771531</v>
      </c>
      <c r="F46" s="10" t="n">
        <f aca="false">IFERROR((SUMIFS(Data!$E$2:$E$2657,Data!$A$2:$A$2657,$A46,Data!$B$2:$B$2657,$B46,Data!$D$2:$D$2657,"Distribution")+SUMIFS(Data!$G$2:$G$2657,Data!$A$2:$A$2657,$A46,Data!$B$2:$B$2657,$B46,Data!$D$2:$D$2657,"Distribution"))/$D46,0)</f>
        <v>0.335150335606997</v>
      </c>
      <c r="G46" s="10" t="n">
        <f aca="false">IFERROR((SUMIFS(Data!$E$2:$E$2657,Data!$A$2:$A$2657,$A46,Data!$B$2:$B$2657,$B46,Data!$D$2:$D$2657,"RTO/market operation")+SUMIFS(Data!$G$2:$G$2657,Data!$A$2:$A$2657,$A46,Data!$B$2:$B$2657,$B46,Data!$D$2:$D$2657,"RTO/market operation"))/$D46,0)</f>
        <v>0</v>
      </c>
      <c r="H46" s="10" t="n">
        <f aca="false">IFERROR((SUMIFS(Data!$E$2:$E$2657,Data!$A$2:$A$2657,$A46,Data!$B$2:$B$2657,$B46,Data!$D$2:$D$2657,"Customer accounts, service &amp; sales")+SUMIFS(Data!$G$2:$G$2657,Data!$A$2:$A$2657,$A46,Data!$B$2:$B$2657,$B46,Data!$D$2:$D$2657,"Customer accounts, service &amp; sales"))/$D46,0)</f>
        <v>0.13440092496307</v>
      </c>
      <c r="I46" s="10" t="n">
        <f aca="false">IFERROR((SUMIFS(Data!$E$2:$E$2657,Data!$A$2:$A$2657,$A46,Data!$B$2:$B$2657,$B46,Data!$D$2:$D$2657,"A&amp;G and general")+SUMIFS(Data!$G$2:$G$2657,Data!$A$2:$A$2657,$A46,Data!$B$2:$B$2657,$B46,Data!$D$2:$D$2657,"A&amp;G and general"))/$D46,0)</f>
        <v>0.46440906915278</v>
      </c>
      <c r="J46" s="10" t="n">
        <f aca="false">IFERROR(SUMIFS(Data!$F$2:$F$2657,Data!$A$2:$A$2657,$A46,Data!$B$2:$B$2657,$B46)/$D46,0)</f>
        <v>0</v>
      </c>
      <c r="K46" s="11" t="n">
        <f aca="false">SUM(E46:I46)</f>
        <v>1</v>
      </c>
    </row>
    <row r="47" customFormat="false" ht="15" hidden="false" customHeight="false" outlineLevel="0" collapsed="false">
      <c r="A47" s="7" t="n">
        <v>1997</v>
      </c>
      <c r="B47" s="12" t="s">
        <v>69</v>
      </c>
      <c r="C47" s="12" t="s">
        <v>70</v>
      </c>
      <c r="D47" s="9" t="n">
        <f aca="false">SUMIFS(Data!$E$2:$E$2657,Data!$A$2:$A$2657,$A47,Data!$B$2:$B$2657,$B47)+SUMIFS(Data!$G$2:$G$2657,Data!$A$2:$A$2657,$A47,Data!$B$2:$B$2657,$B47)</f>
        <v>211.206201</v>
      </c>
      <c r="E47" s="10" t="n">
        <f aca="false">IFERROR((SUMIFS(Data!$E$2:$E$2657,Data!$A$2:$A$2657,$A47,Data!$B$2:$B$2657,$B47,Data!$D$2:$D$2657,"Transmission")+SUMIFS(Data!$G$2:$G$2657,Data!$A$2:$A$2657,$A47,Data!$B$2:$B$2657,$B47,Data!$D$2:$D$2657,"Transmission"))/$D47,0)</f>
        <v>0.138379081019501</v>
      </c>
      <c r="F47" s="10" t="n">
        <f aca="false">IFERROR((SUMIFS(Data!$E$2:$E$2657,Data!$A$2:$A$2657,$A47,Data!$B$2:$B$2657,$B47,Data!$D$2:$D$2657,"Distribution")+SUMIFS(Data!$G$2:$G$2657,Data!$A$2:$A$2657,$A47,Data!$B$2:$B$2657,$B47,Data!$D$2:$D$2657,"Distribution"))/$D47,0)</f>
        <v>0.311269127936258</v>
      </c>
      <c r="G47" s="10" t="n">
        <f aca="false">IFERROR((SUMIFS(Data!$E$2:$E$2657,Data!$A$2:$A$2657,$A47,Data!$B$2:$B$2657,$B47,Data!$D$2:$D$2657,"RTO/market operation")+SUMIFS(Data!$G$2:$G$2657,Data!$A$2:$A$2657,$A47,Data!$B$2:$B$2657,$B47,Data!$D$2:$D$2657,"RTO/market operation"))/$D47,0)</f>
        <v>0</v>
      </c>
      <c r="H47" s="10" t="n">
        <f aca="false">IFERROR((SUMIFS(Data!$E$2:$E$2657,Data!$A$2:$A$2657,$A47,Data!$B$2:$B$2657,$B47,Data!$D$2:$D$2657,"Customer accounts, service &amp; sales")+SUMIFS(Data!$G$2:$G$2657,Data!$A$2:$A$2657,$A47,Data!$B$2:$B$2657,$B47,Data!$D$2:$D$2657,"Customer accounts, service &amp; sales"))/$D47,0)</f>
        <v>0.118748857189094</v>
      </c>
      <c r="I47" s="10" t="n">
        <f aca="false">IFERROR((SUMIFS(Data!$E$2:$E$2657,Data!$A$2:$A$2657,$A47,Data!$B$2:$B$2657,$B47,Data!$D$2:$D$2657,"A&amp;G and general")+SUMIFS(Data!$G$2:$G$2657,Data!$A$2:$A$2657,$A47,Data!$B$2:$B$2657,$B47,Data!$D$2:$D$2657,"A&amp;G and general"))/$D47,0)</f>
        <v>0.431602933855148</v>
      </c>
      <c r="J47" s="10" t="n">
        <f aca="false">IFERROR(SUMIFS(Data!$F$2:$F$2657,Data!$A$2:$A$2657,$A47,Data!$B$2:$B$2657,$B47)/$D47,0)</f>
        <v>0.0250518638891668</v>
      </c>
      <c r="K47" s="11" t="n">
        <f aca="false">SUM(E47:I47)</f>
        <v>1</v>
      </c>
    </row>
    <row r="48" customFormat="false" ht="15" hidden="false" customHeight="false" outlineLevel="0" collapsed="false">
      <c r="A48" s="7" t="n">
        <v>1997</v>
      </c>
      <c r="B48" s="12" t="s">
        <v>71</v>
      </c>
      <c r="C48" s="12" t="s">
        <v>72</v>
      </c>
      <c r="D48" s="9" t="n">
        <f aca="false">SUMIFS(Data!$E$2:$E$2657,Data!$A$2:$A$2657,$A48,Data!$B$2:$B$2657,$B48)+SUMIFS(Data!$G$2:$G$2657,Data!$A$2:$A$2657,$A48,Data!$B$2:$B$2657,$B48)</f>
        <v>42.709978</v>
      </c>
      <c r="E48" s="10" t="n">
        <f aca="false">IFERROR((SUMIFS(Data!$E$2:$E$2657,Data!$A$2:$A$2657,$A48,Data!$B$2:$B$2657,$B48,Data!$D$2:$D$2657,"Transmission")+SUMIFS(Data!$G$2:$G$2657,Data!$A$2:$A$2657,$A48,Data!$B$2:$B$2657,$B48,Data!$D$2:$D$2657,"Transmission"))/$D48,0)</f>
        <v>0.111959107073293</v>
      </c>
      <c r="F48" s="10" t="n">
        <f aca="false">IFERROR((SUMIFS(Data!$E$2:$E$2657,Data!$A$2:$A$2657,$A48,Data!$B$2:$B$2657,$B48,Data!$D$2:$D$2657,"Distribution")+SUMIFS(Data!$G$2:$G$2657,Data!$A$2:$A$2657,$A48,Data!$B$2:$B$2657,$B48,Data!$D$2:$D$2657,"Distribution"))/$D48,0)</f>
        <v>0.259455460267388</v>
      </c>
      <c r="G48" s="10" t="n">
        <f aca="false">IFERROR((SUMIFS(Data!$E$2:$E$2657,Data!$A$2:$A$2657,$A48,Data!$B$2:$B$2657,$B48,Data!$D$2:$D$2657,"RTO/market operation")+SUMIFS(Data!$G$2:$G$2657,Data!$A$2:$A$2657,$A48,Data!$B$2:$B$2657,$B48,Data!$D$2:$D$2657,"RTO/market operation"))/$D48,0)</f>
        <v>0</v>
      </c>
      <c r="H48" s="10" t="n">
        <f aca="false">IFERROR((SUMIFS(Data!$E$2:$E$2657,Data!$A$2:$A$2657,$A48,Data!$B$2:$B$2657,$B48,Data!$D$2:$D$2657,"Customer accounts, service &amp; sales")+SUMIFS(Data!$G$2:$G$2657,Data!$A$2:$A$2657,$A48,Data!$B$2:$B$2657,$B48,Data!$D$2:$D$2657,"Customer accounts, service &amp; sales"))/$D48,0)</f>
        <v>0.198575658362549</v>
      </c>
      <c r="I48" s="10" t="n">
        <f aca="false">IFERROR((SUMIFS(Data!$E$2:$E$2657,Data!$A$2:$A$2657,$A48,Data!$B$2:$B$2657,$B48,Data!$D$2:$D$2657,"A&amp;G and general")+SUMIFS(Data!$G$2:$G$2657,Data!$A$2:$A$2657,$A48,Data!$B$2:$B$2657,$B48,Data!$D$2:$D$2657,"A&amp;G and general"))/$D48,0)</f>
        <v>0.43000977429677</v>
      </c>
      <c r="J48" s="10" t="n">
        <f aca="false">IFERROR(SUMIFS(Data!$F$2:$F$2657,Data!$A$2:$A$2657,$A48,Data!$B$2:$B$2657,$B48)/$D48,0)</f>
        <v>0.0121910154109656</v>
      </c>
      <c r="K48" s="11" t="n">
        <f aca="false">SUM(E48:I48)</f>
        <v>1</v>
      </c>
    </row>
    <row r="49" customFormat="false" ht="15" hidden="false" customHeight="false" outlineLevel="0" collapsed="false">
      <c r="A49" s="7" t="n">
        <v>1997</v>
      </c>
      <c r="B49" s="12" t="s">
        <v>73</v>
      </c>
      <c r="C49" s="12" t="s">
        <v>70</v>
      </c>
      <c r="D49" s="9" t="n">
        <f aca="false">SUMIFS(Data!$E$2:$E$2657,Data!$A$2:$A$2657,$A49,Data!$B$2:$B$2657,$B49)+SUMIFS(Data!$G$2:$G$2657,Data!$A$2:$A$2657,$A49,Data!$B$2:$B$2657,$B49)</f>
        <v>289.280498</v>
      </c>
      <c r="E49" s="10" t="n">
        <f aca="false">IFERROR((SUMIFS(Data!$E$2:$E$2657,Data!$A$2:$A$2657,$A49,Data!$B$2:$B$2657,$B49,Data!$D$2:$D$2657,"Transmission")+SUMIFS(Data!$G$2:$G$2657,Data!$A$2:$A$2657,$A49,Data!$B$2:$B$2657,$B49,Data!$D$2:$D$2657,"Transmission"))/$D49,0)</f>
        <v>0.0915065072931394</v>
      </c>
      <c r="F49" s="10" t="n">
        <f aca="false">IFERROR((SUMIFS(Data!$E$2:$E$2657,Data!$A$2:$A$2657,$A49,Data!$B$2:$B$2657,$B49,Data!$D$2:$D$2657,"Distribution")+SUMIFS(Data!$G$2:$G$2657,Data!$A$2:$A$2657,$A49,Data!$B$2:$B$2657,$B49,Data!$D$2:$D$2657,"Distribution"))/$D49,0)</f>
        <v>0.302829138520081</v>
      </c>
      <c r="G49" s="10" t="n">
        <f aca="false">IFERROR((SUMIFS(Data!$E$2:$E$2657,Data!$A$2:$A$2657,$A49,Data!$B$2:$B$2657,$B49,Data!$D$2:$D$2657,"RTO/market operation")+SUMIFS(Data!$G$2:$G$2657,Data!$A$2:$A$2657,$A49,Data!$B$2:$B$2657,$B49,Data!$D$2:$D$2657,"RTO/market operation"))/$D49,0)</f>
        <v>0</v>
      </c>
      <c r="H49" s="10" t="n">
        <f aca="false">IFERROR((SUMIFS(Data!$E$2:$E$2657,Data!$A$2:$A$2657,$A49,Data!$B$2:$B$2657,$B49,Data!$D$2:$D$2657,"Customer accounts, service &amp; sales")+SUMIFS(Data!$G$2:$G$2657,Data!$A$2:$A$2657,$A49,Data!$B$2:$B$2657,$B49,Data!$D$2:$D$2657,"Customer accounts, service &amp; sales"))/$D49,0)</f>
        <v>0.169074926716975</v>
      </c>
      <c r="I49" s="10" t="n">
        <f aca="false">IFERROR((SUMIFS(Data!$E$2:$E$2657,Data!$A$2:$A$2657,$A49,Data!$B$2:$B$2657,$B49,Data!$D$2:$D$2657,"A&amp;G and general")+SUMIFS(Data!$G$2:$G$2657,Data!$A$2:$A$2657,$A49,Data!$B$2:$B$2657,$B49,Data!$D$2:$D$2657,"A&amp;G and general"))/$D49,0)</f>
        <v>0.436589427469805</v>
      </c>
      <c r="J49" s="10" t="n">
        <f aca="false">IFERROR(SUMIFS(Data!$F$2:$F$2657,Data!$A$2:$A$2657,$A49,Data!$B$2:$B$2657,$B49)/$D49,0)</f>
        <v>0.0103094678715604</v>
      </c>
      <c r="K49" s="11" t="n">
        <f aca="false">SUM(E49:I49)</f>
        <v>1</v>
      </c>
    </row>
    <row r="50" customFormat="false" ht="15" hidden="false" customHeight="false" outlineLevel="0" collapsed="false">
      <c r="A50" s="7" t="n">
        <v>1997</v>
      </c>
      <c r="B50" s="12" t="s">
        <v>74</v>
      </c>
      <c r="C50" s="12" t="s">
        <v>65</v>
      </c>
      <c r="D50" s="9" t="n">
        <f aca="false">SUMIFS(Data!$E$2:$E$2657,Data!$A$2:$A$2657,$A50,Data!$B$2:$B$2657,$B50)+SUMIFS(Data!$G$2:$G$2657,Data!$A$2:$A$2657,$A50,Data!$B$2:$B$2657,$B50)</f>
        <v>189.336544</v>
      </c>
      <c r="E50" s="10" t="n">
        <f aca="false">IFERROR((SUMIFS(Data!$E$2:$E$2657,Data!$A$2:$A$2657,$A50,Data!$B$2:$B$2657,$B50,Data!$D$2:$D$2657,"Transmission")+SUMIFS(Data!$G$2:$G$2657,Data!$A$2:$A$2657,$A50,Data!$B$2:$B$2657,$B50,Data!$D$2:$D$2657,"Transmission"))/$D50,0)</f>
        <v>0.14390245762593</v>
      </c>
      <c r="F50" s="10" t="n">
        <f aca="false">IFERROR((SUMIFS(Data!$E$2:$E$2657,Data!$A$2:$A$2657,$A50,Data!$B$2:$B$2657,$B50,Data!$D$2:$D$2657,"Distribution")+SUMIFS(Data!$G$2:$G$2657,Data!$A$2:$A$2657,$A50,Data!$B$2:$B$2657,$B50,Data!$D$2:$D$2657,"Distribution"))/$D50,0)</f>
        <v>0.327968382057296</v>
      </c>
      <c r="G50" s="10" t="n">
        <f aca="false">IFERROR((SUMIFS(Data!$E$2:$E$2657,Data!$A$2:$A$2657,$A50,Data!$B$2:$B$2657,$B50,Data!$D$2:$D$2657,"RTO/market operation")+SUMIFS(Data!$G$2:$G$2657,Data!$A$2:$A$2657,$A50,Data!$B$2:$B$2657,$B50,Data!$D$2:$D$2657,"RTO/market operation"))/$D50,0)</f>
        <v>0</v>
      </c>
      <c r="H50" s="10" t="n">
        <f aca="false">IFERROR((SUMIFS(Data!$E$2:$E$2657,Data!$A$2:$A$2657,$A50,Data!$B$2:$B$2657,$B50,Data!$D$2:$D$2657,"Customer accounts, service &amp; sales")+SUMIFS(Data!$G$2:$G$2657,Data!$A$2:$A$2657,$A50,Data!$B$2:$B$2657,$B50,Data!$D$2:$D$2657,"Customer accounts, service &amp; sales"))/$D50,0)</f>
        <v>0.105744858213954</v>
      </c>
      <c r="I50" s="10" t="n">
        <f aca="false">IFERROR((SUMIFS(Data!$E$2:$E$2657,Data!$A$2:$A$2657,$A50,Data!$B$2:$B$2657,$B50,Data!$D$2:$D$2657,"A&amp;G and general")+SUMIFS(Data!$G$2:$G$2657,Data!$A$2:$A$2657,$A50,Data!$B$2:$B$2657,$B50,Data!$D$2:$D$2657,"A&amp;G and general"))/$D50,0)</f>
        <v>0.422384302102821</v>
      </c>
      <c r="J50" s="10" t="n">
        <f aca="false">IFERROR(SUMIFS(Data!$F$2:$F$2657,Data!$A$2:$A$2657,$A50,Data!$B$2:$B$2657,$B50)/$D50,0)</f>
        <v>0.00105496802561264</v>
      </c>
      <c r="K50" s="11" t="n">
        <f aca="false">SUM(E50:I50)</f>
        <v>1</v>
      </c>
    </row>
    <row r="51" customFormat="false" ht="15" hidden="false" customHeight="false" outlineLevel="0" collapsed="false">
      <c r="A51" s="7" t="n">
        <v>1997</v>
      </c>
      <c r="B51" s="12" t="s">
        <v>75</v>
      </c>
      <c r="C51" s="12" t="s">
        <v>57</v>
      </c>
      <c r="D51" s="9" t="n">
        <f aca="false">SUMIFS(Data!$E$2:$E$2657,Data!$A$2:$A$2657,$A51,Data!$B$2:$B$2657,$B51)+SUMIFS(Data!$G$2:$G$2657,Data!$A$2:$A$2657,$A51,Data!$B$2:$B$2657,$B51)</f>
        <v>498.684807</v>
      </c>
      <c r="E51" s="10" t="n">
        <f aca="false">IFERROR((SUMIFS(Data!$E$2:$E$2657,Data!$A$2:$A$2657,$A51,Data!$B$2:$B$2657,$B51,Data!$D$2:$D$2657,"Transmission")+SUMIFS(Data!$G$2:$G$2657,Data!$A$2:$A$2657,$A51,Data!$B$2:$B$2657,$B51,Data!$D$2:$D$2657,"Transmission"))/$D51,0)</f>
        <v>0.174521956110045</v>
      </c>
      <c r="F51" s="10" t="n">
        <f aca="false">IFERROR((SUMIFS(Data!$E$2:$E$2657,Data!$A$2:$A$2657,$A51,Data!$B$2:$B$2657,$B51,Data!$D$2:$D$2657,"Distribution")+SUMIFS(Data!$G$2:$G$2657,Data!$A$2:$A$2657,$A51,Data!$B$2:$B$2657,$B51,Data!$D$2:$D$2657,"Distribution"))/$D51,0)</f>
        <v>0.283516046639857</v>
      </c>
      <c r="G51" s="10" t="n">
        <f aca="false">IFERROR((SUMIFS(Data!$E$2:$E$2657,Data!$A$2:$A$2657,$A51,Data!$B$2:$B$2657,$B51,Data!$D$2:$D$2657,"RTO/market operation")+SUMIFS(Data!$G$2:$G$2657,Data!$A$2:$A$2657,$A51,Data!$B$2:$B$2657,$B51,Data!$D$2:$D$2657,"RTO/market operation"))/$D51,0)</f>
        <v>0</v>
      </c>
      <c r="H51" s="10" t="n">
        <f aca="false">IFERROR((SUMIFS(Data!$E$2:$E$2657,Data!$A$2:$A$2657,$A51,Data!$B$2:$B$2657,$B51,Data!$D$2:$D$2657,"Customer accounts, service &amp; sales")+SUMIFS(Data!$G$2:$G$2657,Data!$A$2:$A$2657,$A51,Data!$B$2:$B$2657,$B51,Data!$D$2:$D$2657,"Customer accounts, service &amp; sales"))/$D51,0)</f>
        <v>0.246702266187147</v>
      </c>
      <c r="I51" s="10" t="n">
        <f aca="false">IFERROR((SUMIFS(Data!$E$2:$E$2657,Data!$A$2:$A$2657,$A51,Data!$B$2:$B$2657,$B51,Data!$D$2:$D$2657,"A&amp;G and general")+SUMIFS(Data!$G$2:$G$2657,Data!$A$2:$A$2657,$A51,Data!$B$2:$B$2657,$B51,Data!$D$2:$D$2657,"A&amp;G and general"))/$D51,0)</f>
        <v>0.295259731062952</v>
      </c>
      <c r="J51" s="10" t="n">
        <f aca="false">IFERROR(SUMIFS(Data!$F$2:$F$2657,Data!$A$2:$A$2657,$A51,Data!$B$2:$B$2657,$B51)/$D51,0)</f>
        <v>0.052395141446529</v>
      </c>
      <c r="K51" s="11" t="n">
        <f aca="false">SUM(E51:I51)</f>
        <v>1</v>
      </c>
    </row>
    <row r="52" customFormat="false" ht="15" hidden="false" customHeight="false" outlineLevel="0" collapsed="false">
      <c r="A52" s="7" t="n">
        <v>1997</v>
      </c>
      <c r="B52" s="12" t="s">
        <v>76</v>
      </c>
      <c r="C52" s="12" t="s">
        <v>72</v>
      </c>
      <c r="D52" s="9" t="n">
        <f aca="false">SUMIFS(Data!$E$2:$E$2657,Data!$A$2:$A$2657,$A52,Data!$B$2:$B$2657,$B52)+SUMIFS(Data!$G$2:$G$2657,Data!$A$2:$A$2657,$A52,Data!$B$2:$B$2657,$B52)</f>
        <v>89.72271</v>
      </c>
      <c r="E52" s="10" t="n">
        <f aca="false">IFERROR((SUMIFS(Data!$E$2:$E$2657,Data!$A$2:$A$2657,$A52,Data!$B$2:$B$2657,$B52,Data!$D$2:$D$2657,"Transmission")+SUMIFS(Data!$G$2:$G$2657,Data!$A$2:$A$2657,$A52,Data!$B$2:$B$2657,$B52,Data!$D$2:$D$2657,"Transmission"))/$D52,0)</f>
        <v>0.244068430389586</v>
      </c>
      <c r="F52" s="10" t="n">
        <f aca="false">IFERROR((SUMIFS(Data!$E$2:$E$2657,Data!$A$2:$A$2657,$A52,Data!$B$2:$B$2657,$B52,Data!$D$2:$D$2657,"Distribution")+SUMIFS(Data!$G$2:$G$2657,Data!$A$2:$A$2657,$A52,Data!$B$2:$B$2657,$B52,Data!$D$2:$D$2657,"Distribution"))/$D52,0)</f>
        <v>0.331543452042409</v>
      </c>
      <c r="G52" s="10" t="n">
        <f aca="false">IFERROR((SUMIFS(Data!$E$2:$E$2657,Data!$A$2:$A$2657,$A52,Data!$B$2:$B$2657,$B52,Data!$D$2:$D$2657,"RTO/market operation")+SUMIFS(Data!$G$2:$G$2657,Data!$A$2:$A$2657,$A52,Data!$B$2:$B$2657,$B52,Data!$D$2:$D$2657,"RTO/market operation"))/$D52,0)</f>
        <v>0</v>
      </c>
      <c r="H52" s="10" t="n">
        <f aca="false">IFERROR((SUMIFS(Data!$E$2:$E$2657,Data!$A$2:$A$2657,$A52,Data!$B$2:$B$2657,$B52,Data!$D$2:$D$2657,"Customer accounts, service &amp; sales")+SUMIFS(Data!$G$2:$G$2657,Data!$A$2:$A$2657,$A52,Data!$B$2:$B$2657,$B52,Data!$D$2:$D$2657,"Customer accounts, service &amp; sales"))/$D52,0)</f>
        <v>0.177956717981434</v>
      </c>
      <c r="I52" s="10" t="n">
        <f aca="false">IFERROR((SUMIFS(Data!$E$2:$E$2657,Data!$A$2:$A$2657,$A52,Data!$B$2:$B$2657,$B52,Data!$D$2:$D$2657,"A&amp;G and general")+SUMIFS(Data!$G$2:$G$2657,Data!$A$2:$A$2657,$A52,Data!$B$2:$B$2657,$B52,Data!$D$2:$D$2657,"A&amp;G and general"))/$D52,0)</f>
        <v>0.246431399586571</v>
      </c>
      <c r="J52" s="10" t="n">
        <f aca="false">IFERROR(SUMIFS(Data!$F$2:$F$2657,Data!$A$2:$A$2657,$A52,Data!$B$2:$B$2657,$B52)/$D52,0)</f>
        <v>0</v>
      </c>
      <c r="K52" s="11" t="n">
        <f aca="false">SUM(E52:I52)</f>
        <v>1</v>
      </c>
    </row>
    <row r="53" customFormat="false" ht="15" hidden="false" customHeight="false" outlineLevel="0" collapsed="false">
      <c r="A53" s="7" t="n">
        <v>1997</v>
      </c>
      <c r="B53" s="12" t="s">
        <v>77</v>
      </c>
      <c r="C53" s="12" t="s">
        <v>57</v>
      </c>
      <c r="D53" s="9" t="n">
        <f aca="false">SUMIFS(Data!$E$2:$E$2657,Data!$A$2:$A$2657,$A53,Data!$B$2:$B$2657,$B53)+SUMIFS(Data!$G$2:$G$2657,Data!$A$2:$A$2657,$A53,Data!$B$2:$B$2657,$B53)</f>
        <v>67.456274</v>
      </c>
      <c r="E53" s="10" t="n">
        <f aca="false">IFERROR((SUMIFS(Data!$E$2:$E$2657,Data!$A$2:$A$2657,$A53,Data!$B$2:$B$2657,$B53,Data!$D$2:$D$2657,"Transmission")+SUMIFS(Data!$G$2:$G$2657,Data!$A$2:$A$2657,$A53,Data!$B$2:$B$2657,$B53,Data!$D$2:$D$2657,"Transmission"))/$D53,0)</f>
        <v>0.0917556905084915</v>
      </c>
      <c r="F53" s="10" t="n">
        <f aca="false">IFERROR((SUMIFS(Data!$E$2:$E$2657,Data!$A$2:$A$2657,$A53,Data!$B$2:$B$2657,$B53,Data!$D$2:$D$2657,"Distribution")+SUMIFS(Data!$G$2:$G$2657,Data!$A$2:$A$2657,$A53,Data!$B$2:$B$2657,$B53,Data!$D$2:$D$2657,"Distribution"))/$D53,0)</f>
        <v>0.234895867506705</v>
      </c>
      <c r="G53" s="10" t="n">
        <f aca="false">IFERROR((SUMIFS(Data!$E$2:$E$2657,Data!$A$2:$A$2657,$A53,Data!$B$2:$B$2657,$B53,Data!$D$2:$D$2657,"RTO/market operation")+SUMIFS(Data!$G$2:$G$2657,Data!$A$2:$A$2657,$A53,Data!$B$2:$B$2657,$B53,Data!$D$2:$D$2657,"RTO/market operation"))/$D53,0)</f>
        <v>0</v>
      </c>
      <c r="H53" s="10" t="n">
        <f aca="false">IFERROR((SUMIFS(Data!$E$2:$E$2657,Data!$A$2:$A$2657,$A53,Data!$B$2:$B$2657,$B53,Data!$D$2:$D$2657,"Customer accounts, service &amp; sales")+SUMIFS(Data!$G$2:$G$2657,Data!$A$2:$A$2657,$A53,Data!$B$2:$B$2657,$B53,Data!$D$2:$D$2657,"Customer accounts, service &amp; sales"))/$D53,0)</f>
        <v>0.24434979910097</v>
      </c>
      <c r="I53" s="10" t="n">
        <f aca="false">IFERROR((SUMIFS(Data!$E$2:$E$2657,Data!$A$2:$A$2657,$A53,Data!$B$2:$B$2657,$B53,Data!$D$2:$D$2657,"A&amp;G and general")+SUMIFS(Data!$G$2:$G$2657,Data!$A$2:$A$2657,$A53,Data!$B$2:$B$2657,$B53,Data!$D$2:$D$2657,"A&amp;G and general"))/$D53,0)</f>
        <v>0.428998642883833</v>
      </c>
      <c r="J53" s="10" t="n">
        <f aca="false">IFERROR(SUMIFS(Data!$F$2:$F$2657,Data!$A$2:$A$2657,$A53,Data!$B$2:$B$2657,$B53)/$D53,0)</f>
        <v>0</v>
      </c>
      <c r="K53" s="11" t="n">
        <f aca="false">SUM(E53:I53)</f>
        <v>1</v>
      </c>
    </row>
    <row r="54" customFormat="false" ht="15" hidden="false" customHeight="false" outlineLevel="0" collapsed="false">
      <c r="A54" s="7" t="n">
        <v>1997</v>
      </c>
      <c r="B54" s="12" t="s">
        <v>78</v>
      </c>
      <c r="C54" s="12" t="s">
        <v>65</v>
      </c>
      <c r="D54" s="9" t="n">
        <f aca="false">SUMIFS(Data!$E$2:$E$2657,Data!$A$2:$A$2657,$A54,Data!$B$2:$B$2657,$B54)+SUMIFS(Data!$G$2:$G$2657,Data!$A$2:$A$2657,$A54,Data!$B$2:$B$2657,$B54)</f>
        <v>47.088944</v>
      </c>
      <c r="E54" s="10" t="n">
        <f aca="false">IFERROR((SUMIFS(Data!$E$2:$E$2657,Data!$A$2:$A$2657,$A54,Data!$B$2:$B$2657,$B54,Data!$D$2:$D$2657,"Transmission")+SUMIFS(Data!$G$2:$G$2657,Data!$A$2:$A$2657,$A54,Data!$B$2:$B$2657,$B54,Data!$D$2:$D$2657,"Transmission"))/$D54,0)</f>
        <v>0.0866918145371873</v>
      </c>
      <c r="F54" s="10" t="n">
        <f aca="false">IFERROR((SUMIFS(Data!$E$2:$E$2657,Data!$A$2:$A$2657,$A54,Data!$B$2:$B$2657,$B54,Data!$D$2:$D$2657,"Distribution")+SUMIFS(Data!$G$2:$G$2657,Data!$A$2:$A$2657,$A54,Data!$B$2:$B$2657,$B54,Data!$D$2:$D$2657,"Distribution"))/$D54,0)</f>
        <v>0.300093542127426</v>
      </c>
      <c r="G54" s="10" t="n">
        <f aca="false">IFERROR((SUMIFS(Data!$E$2:$E$2657,Data!$A$2:$A$2657,$A54,Data!$B$2:$B$2657,$B54,Data!$D$2:$D$2657,"RTO/market operation")+SUMIFS(Data!$G$2:$G$2657,Data!$A$2:$A$2657,$A54,Data!$B$2:$B$2657,$B54,Data!$D$2:$D$2657,"RTO/market operation"))/$D54,0)</f>
        <v>0</v>
      </c>
      <c r="H54" s="10" t="n">
        <f aca="false">IFERROR((SUMIFS(Data!$E$2:$E$2657,Data!$A$2:$A$2657,$A54,Data!$B$2:$B$2657,$B54,Data!$D$2:$D$2657,"Customer accounts, service &amp; sales")+SUMIFS(Data!$G$2:$G$2657,Data!$A$2:$A$2657,$A54,Data!$B$2:$B$2657,$B54,Data!$D$2:$D$2657,"Customer accounts, service &amp; sales"))/$D54,0)</f>
        <v>0.13070403532515</v>
      </c>
      <c r="I54" s="10" t="n">
        <f aca="false">IFERROR((SUMIFS(Data!$E$2:$E$2657,Data!$A$2:$A$2657,$A54,Data!$B$2:$B$2657,$B54,Data!$D$2:$D$2657,"A&amp;G and general")+SUMIFS(Data!$G$2:$G$2657,Data!$A$2:$A$2657,$A54,Data!$B$2:$B$2657,$B54,Data!$D$2:$D$2657,"A&amp;G and general"))/$D54,0)</f>
        <v>0.482510608010237</v>
      </c>
      <c r="J54" s="10" t="n">
        <f aca="false">IFERROR(SUMIFS(Data!$F$2:$F$2657,Data!$A$2:$A$2657,$A54,Data!$B$2:$B$2657,$B54)/$D54,0)</f>
        <v>0.000198687827868894</v>
      </c>
      <c r="K54" s="11" t="n">
        <f aca="false">SUM(E54:I54)</f>
        <v>1</v>
      </c>
    </row>
    <row r="55" customFormat="false" ht="15" hidden="false" customHeight="false" outlineLevel="0" collapsed="false">
      <c r="A55" s="7" t="n">
        <v>1997</v>
      </c>
      <c r="B55" s="12" t="s">
        <v>79</v>
      </c>
      <c r="C55" s="12" t="s">
        <v>72</v>
      </c>
      <c r="D55" s="9" t="n">
        <f aca="false">SUMIFS(Data!$E$2:$E$2657,Data!$A$2:$A$2657,$A55,Data!$B$2:$B$2657,$B55)+SUMIFS(Data!$G$2:$G$2657,Data!$A$2:$A$2657,$A55,Data!$B$2:$B$2657,$B55)</f>
        <v>381.107389</v>
      </c>
      <c r="E55" s="10" t="n">
        <f aca="false">IFERROR((SUMIFS(Data!$E$2:$E$2657,Data!$A$2:$A$2657,$A55,Data!$B$2:$B$2657,$B55,Data!$D$2:$D$2657,"Transmission")+SUMIFS(Data!$G$2:$G$2657,Data!$A$2:$A$2657,$A55,Data!$B$2:$B$2657,$B55,Data!$D$2:$D$2657,"Transmission"))/$D55,0)</f>
        <v>0.0630466154514784</v>
      </c>
      <c r="F55" s="10" t="n">
        <f aca="false">IFERROR((SUMIFS(Data!$E$2:$E$2657,Data!$A$2:$A$2657,$A55,Data!$B$2:$B$2657,$B55,Data!$D$2:$D$2657,"Distribution")+SUMIFS(Data!$G$2:$G$2657,Data!$A$2:$A$2657,$A55,Data!$B$2:$B$2657,$B55,Data!$D$2:$D$2657,"Distribution"))/$D55,0)</f>
        <v>0.284302944858411</v>
      </c>
      <c r="G55" s="10" t="n">
        <f aca="false">IFERROR((SUMIFS(Data!$E$2:$E$2657,Data!$A$2:$A$2657,$A55,Data!$B$2:$B$2657,$B55,Data!$D$2:$D$2657,"RTO/market operation")+SUMIFS(Data!$G$2:$G$2657,Data!$A$2:$A$2657,$A55,Data!$B$2:$B$2657,$B55,Data!$D$2:$D$2657,"RTO/market operation"))/$D55,0)</f>
        <v>0</v>
      </c>
      <c r="H55" s="10" t="n">
        <f aca="false">IFERROR((SUMIFS(Data!$E$2:$E$2657,Data!$A$2:$A$2657,$A55,Data!$B$2:$B$2657,$B55,Data!$D$2:$D$2657,"Customer accounts, service &amp; sales")+SUMIFS(Data!$G$2:$G$2657,Data!$A$2:$A$2657,$A55,Data!$B$2:$B$2657,$B55,Data!$D$2:$D$2657,"Customer accounts, service &amp; sales"))/$D55,0)</f>
        <v>0.241786763152997</v>
      </c>
      <c r="I55" s="10" t="n">
        <f aca="false">IFERROR((SUMIFS(Data!$E$2:$E$2657,Data!$A$2:$A$2657,$A55,Data!$B$2:$B$2657,$B55,Data!$D$2:$D$2657,"A&amp;G and general")+SUMIFS(Data!$G$2:$G$2657,Data!$A$2:$A$2657,$A55,Data!$B$2:$B$2657,$B55,Data!$D$2:$D$2657,"A&amp;G and general"))/$D55,0)</f>
        <v>0.410863676537114</v>
      </c>
      <c r="J55" s="10" t="n">
        <f aca="false">IFERROR(SUMIFS(Data!$F$2:$F$2657,Data!$A$2:$A$2657,$A55,Data!$B$2:$B$2657,$B55)/$D55,0)</f>
        <v>0.0141461728520829</v>
      </c>
      <c r="K55" s="11" t="n">
        <f aca="false">SUM(E55:I55)</f>
        <v>1</v>
      </c>
    </row>
    <row r="56" customFormat="false" ht="15" hidden="false" customHeight="false" outlineLevel="0" collapsed="false">
      <c r="A56" s="7" t="n">
        <v>1997</v>
      </c>
      <c r="B56" s="12" t="s">
        <v>80</v>
      </c>
      <c r="C56" s="12" t="s">
        <v>72</v>
      </c>
      <c r="D56" s="9" t="n">
        <f aca="false">SUMIFS(Data!$E$2:$E$2657,Data!$A$2:$A$2657,$A56,Data!$B$2:$B$2657,$B56)+SUMIFS(Data!$G$2:$G$2657,Data!$A$2:$A$2657,$A56,Data!$B$2:$B$2657,$B56)</f>
        <v>148.981126</v>
      </c>
      <c r="E56" s="10" t="n">
        <f aca="false">IFERROR((SUMIFS(Data!$E$2:$E$2657,Data!$A$2:$A$2657,$A56,Data!$B$2:$B$2657,$B56,Data!$D$2:$D$2657,"Transmission")+SUMIFS(Data!$G$2:$G$2657,Data!$A$2:$A$2657,$A56,Data!$B$2:$B$2657,$B56,Data!$D$2:$D$2657,"Transmission"))/$D56,0)</f>
        <v>0.183326598028263</v>
      </c>
      <c r="F56" s="10" t="n">
        <f aca="false">IFERROR((SUMIFS(Data!$E$2:$E$2657,Data!$A$2:$A$2657,$A56,Data!$B$2:$B$2657,$B56,Data!$D$2:$D$2657,"Distribution")+SUMIFS(Data!$G$2:$G$2657,Data!$A$2:$A$2657,$A56,Data!$B$2:$B$2657,$B56,Data!$D$2:$D$2657,"Distribution"))/$D56,0)</f>
        <v>0.291825858531906</v>
      </c>
      <c r="G56" s="10" t="n">
        <f aca="false">IFERROR((SUMIFS(Data!$E$2:$E$2657,Data!$A$2:$A$2657,$A56,Data!$B$2:$B$2657,$B56,Data!$D$2:$D$2657,"RTO/market operation")+SUMIFS(Data!$G$2:$G$2657,Data!$A$2:$A$2657,$A56,Data!$B$2:$B$2657,$B56,Data!$D$2:$D$2657,"RTO/market operation"))/$D56,0)</f>
        <v>0</v>
      </c>
      <c r="H56" s="10" t="n">
        <f aca="false">IFERROR((SUMIFS(Data!$E$2:$E$2657,Data!$A$2:$A$2657,$A56,Data!$B$2:$B$2657,$B56,Data!$D$2:$D$2657,"Customer accounts, service &amp; sales")+SUMIFS(Data!$G$2:$G$2657,Data!$A$2:$A$2657,$A56,Data!$B$2:$B$2657,$B56,Data!$D$2:$D$2657,"Customer accounts, service &amp; sales"))/$D56,0)</f>
        <v>0.145762309515636</v>
      </c>
      <c r="I56" s="10" t="n">
        <f aca="false">IFERROR((SUMIFS(Data!$E$2:$E$2657,Data!$A$2:$A$2657,$A56,Data!$B$2:$B$2657,$B56,Data!$D$2:$D$2657,"A&amp;G and general")+SUMIFS(Data!$G$2:$G$2657,Data!$A$2:$A$2657,$A56,Data!$B$2:$B$2657,$B56,Data!$D$2:$D$2657,"A&amp;G and general"))/$D56,0)</f>
        <v>0.379085233924195</v>
      </c>
      <c r="J56" s="10" t="n">
        <f aca="false">IFERROR(SUMIFS(Data!$F$2:$F$2657,Data!$A$2:$A$2657,$A56,Data!$B$2:$B$2657,$B56)/$D56,0)</f>
        <v>0.0849667225632326</v>
      </c>
      <c r="K56" s="11" t="n">
        <f aca="false">SUM(E56:I56)</f>
        <v>1</v>
      </c>
    </row>
    <row r="57" customFormat="false" ht="15" hidden="false" customHeight="false" outlineLevel="0" collapsed="false">
      <c r="A57" s="7" t="n">
        <v>1997</v>
      </c>
      <c r="B57" s="12" t="s">
        <v>81</v>
      </c>
      <c r="C57" s="12" t="s">
        <v>72</v>
      </c>
      <c r="D57" s="9" t="n">
        <f aca="false">SUMIFS(Data!$E$2:$E$2657,Data!$A$2:$A$2657,$A57,Data!$B$2:$B$2657,$B57)+SUMIFS(Data!$G$2:$G$2657,Data!$A$2:$A$2657,$A57,Data!$B$2:$B$2657,$B57)</f>
        <v>111.61139</v>
      </c>
      <c r="E57" s="10" t="n">
        <f aca="false">IFERROR((SUMIFS(Data!$E$2:$E$2657,Data!$A$2:$A$2657,$A57,Data!$B$2:$B$2657,$B57,Data!$D$2:$D$2657,"Transmission")+SUMIFS(Data!$G$2:$G$2657,Data!$A$2:$A$2657,$A57,Data!$B$2:$B$2657,$B57,Data!$D$2:$D$2657,"Transmission"))/$D57,0)</f>
        <v>0.107246348244565</v>
      </c>
      <c r="F57" s="10" t="n">
        <f aca="false">IFERROR((SUMIFS(Data!$E$2:$E$2657,Data!$A$2:$A$2657,$A57,Data!$B$2:$B$2657,$B57,Data!$D$2:$D$2657,"Distribution")+SUMIFS(Data!$G$2:$G$2657,Data!$A$2:$A$2657,$A57,Data!$B$2:$B$2657,$B57,Data!$D$2:$D$2657,"Distribution"))/$D57,0)</f>
        <v>0.384521472226087</v>
      </c>
      <c r="G57" s="10" t="n">
        <f aca="false">IFERROR((SUMIFS(Data!$E$2:$E$2657,Data!$A$2:$A$2657,$A57,Data!$B$2:$B$2657,$B57,Data!$D$2:$D$2657,"RTO/market operation")+SUMIFS(Data!$G$2:$G$2657,Data!$A$2:$A$2657,$A57,Data!$B$2:$B$2657,$B57,Data!$D$2:$D$2657,"RTO/market operation"))/$D57,0)</f>
        <v>0</v>
      </c>
      <c r="H57" s="10" t="n">
        <f aca="false">IFERROR((SUMIFS(Data!$E$2:$E$2657,Data!$A$2:$A$2657,$A57,Data!$B$2:$B$2657,$B57,Data!$D$2:$D$2657,"Customer accounts, service &amp; sales")+SUMIFS(Data!$G$2:$G$2657,Data!$A$2:$A$2657,$A57,Data!$B$2:$B$2657,$B57,Data!$D$2:$D$2657,"Customer accounts, service &amp; sales"))/$D57,0)</f>
        <v>0.253611696799045</v>
      </c>
      <c r="I57" s="10" t="n">
        <f aca="false">IFERROR((SUMIFS(Data!$E$2:$E$2657,Data!$A$2:$A$2657,$A57,Data!$B$2:$B$2657,$B57,Data!$D$2:$D$2657,"A&amp;G and general")+SUMIFS(Data!$G$2:$G$2657,Data!$A$2:$A$2657,$A57,Data!$B$2:$B$2657,$B57,Data!$D$2:$D$2657,"A&amp;G and general"))/$D57,0)</f>
        <v>0.254620482730302</v>
      </c>
      <c r="J57" s="10" t="n">
        <f aca="false">IFERROR(SUMIFS(Data!$F$2:$F$2657,Data!$A$2:$A$2657,$A57,Data!$B$2:$B$2657,$B57)/$D57,0)</f>
        <v>0.00868257262990811</v>
      </c>
      <c r="K57" s="11" t="n">
        <f aca="false">SUM(E57:I57)</f>
        <v>1</v>
      </c>
    </row>
    <row r="58" customFormat="false" ht="15" hidden="false" customHeight="false" outlineLevel="0" collapsed="false">
      <c r="A58" s="7" t="n">
        <v>1998</v>
      </c>
      <c r="B58" s="12" t="s">
        <v>56</v>
      </c>
      <c r="C58" s="12" t="s">
        <v>57</v>
      </c>
      <c r="D58" s="9" t="n">
        <f aca="false">SUMIFS(Data!$E$2:$E$2657,Data!$A$2:$A$2657,$A58,Data!$B$2:$B$2657,$B58)+SUMIFS(Data!$G$2:$G$2657,Data!$A$2:$A$2657,$A58,Data!$B$2:$B$2657,$B58)</f>
        <v>106.505538</v>
      </c>
      <c r="E58" s="10" t="n">
        <f aca="false">IFERROR((SUMIFS(Data!$E$2:$E$2657,Data!$A$2:$A$2657,$A58,Data!$B$2:$B$2657,$B58,Data!$D$2:$D$2657,"Transmission")+SUMIFS(Data!$G$2:$G$2657,Data!$A$2:$A$2657,$A58,Data!$B$2:$B$2657,$B58,Data!$D$2:$D$2657,"Transmission"))/$D58,0)</f>
        <v>0.108704366152303</v>
      </c>
      <c r="F58" s="10" t="n">
        <f aca="false">IFERROR((SUMIFS(Data!$E$2:$E$2657,Data!$A$2:$A$2657,$A58,Data!$B$2:$B$2657,$B58,Data!$D$2:$D$2657,"Distribution")+SUMIFS(Data!$G$2:$G$2657,Data!$A$2:$A$2657,$A58,Data!$B$2:$B$2657,$B58,Data!$D$2:$D$2657,"Distribution"))/$D58,0)</f>
        <v>0.180065228157432</v>
      </c>
      <c r="G58" s="10" t="n">
        <f aca="false">IFERROR((SUMIFS(Data!$E$2:$E$2657,Data!$A$2:$A$2657,$A58,Data!$B$2:$B$2657,$B58,Data!$D$2:$D$2657,"RTO/market operation")+SUMIFS(Data!$G$2:$G$2657,Data!$A$2:$A$2657,$A58,Data!$B$2:$B$2657,$B58,Data!$D$2:$D$2657,"RTO/market operation"))/$D58,0)</f>
        <v>0</v>
      </c>
      <c r="H58" s="10" t="n">
        <f aca="false">IFERROR((SUMIFS(Data!$E$2:$E$2657,Data!$A$2:$A$2657,$A58,Data!$B$2:$B$2657,$B58,Data!$D$2:$D$2657,"Customer accounts, service &amp; sales")+SUMIFS(Data!$G$2:$G$2657,Data!$A$2:$A$2657,$A58,Data!$B$2:$B$2657,$B58,Data!$D$2:$D$2657,"Customer accounts, service &amp; sales"))/$D58,0)</f>
        <v>0.269371682813339</v>
      </c>
      <c r="I58" s="10" t="n">
        <f aca="false">IFERROR((SUMIFS(Data!$E$2:$E$2657,Data!$A$2:$A$2657,$A58,Data!$B$2:$B$2657,$B58,Data!$D$2:$D$2657,"A&amp;G and general")+SUMIFS(Data!$G$2:$G$2657,Data!$A$2:$A$2657,$A58,Data!$B$2:$B$2657,$B58,Data!$D$2:$D$2657,"A&amp;G and general"))/$D58,0)</f>
        <v>0.441858722876927</v>
      </c>
      <c r="J58" s="10" t="n">
        <f aca="false">IFERROR(SUMIFS(Data!$F$2:$F$2657,Data!$A$2:$A$2657,$A58,Data!$B$2:$B$2657,$B58)/$D58,0)</f>
        <v>0.000529493593093723</v>
      </c>
      <c r="K58" s="11" t="n">
        <f aca="false">SUM(E58:I58)</f>
        <v>1</v>
      </c>
    </row>
    <row r="59" customFormat="false" ht="15" hidden="false" customHeight="false" outlineLevel="0" collapsed="false">
      <c r="A59" s="7" t="n">
        <v>1998</v>
      </c>
      <c r="B59" s="12" t="s">
        <v>58</v>
      </c>
      <c r="C59" s="12" t="s">
        <v>59</v>
      </c>
      <c r="D59" s="9" t="n">
        <f aca="false">SUMIFS(Data!$E$2:$E$2657,Data!$A$2:$A$2657,$A59,Data!$B$2:$B$2657,$B59)+SUMIFS(Data!$G$2:$G$2657,Data!$A$2:$A$2657,$A59,Data!$B$2:$B$2657,$B59)</f>
        <v>497.192469</v>
      </c>
      <c r="E59" s="10" t="n">
        <f aca="false">IFERROR((SUMIFS(Data!$E$2:$E$2657,Data!$A$2:$A$2657,$A59,Data!$B$2:$B$2657,$B59,Data!$D$2:$D$2657,"Transmission")+SUMIFS(Data!$G$2:$G$2657,Data!$A$2:$A$2657,$A59,Data!$B$2:$B$2657,$B59,Data!$D$2:$D$2657,"Transmission"))/$D59,0)</f>
        <v>0.0835084290063935</v>
      </c>
      <c r="F59" s="10" t="n">
        <f aca="false">IFERROR((SUMIFS(Data!$E$2:$E$2657,Data!$A$2:$A$2657,$A59,Data!$B$2:$B$2657,$B59,Data!$D$2:$D$2657,"Distribution")+SUMIFS(Data!$G$2:$G$2657,Data!$A$2:$A$2657,$A59,Data!$B$2:$B$2657,$B59,Data!$D$2:$D$2657,"Distribution"))/$D59,0)</f>
        <v>0.35235586402255</v>
      </c>
      <c r="G59" s="10" t="n">
        <f aca="false">IFERROR((SUMIFS(Data!$E$2:$E$2657,Data!$A$2:$A$2657,$A59,Data!$B$2:$B$2657,$B59,Data!$D$2:$D$2657,"RTO/market operation")+SUMIFS(Data!$G$2:$G$2657,Data!$A$2:$A$2657,$A59,Data!$B$2:$B$2657,$B59,Data!$D$2:$D$2657,"RTO/market operation"))/$D59,0)</f>
        <v>0</v>
      </c>
      <c r="H59" s="10" t="n">
        <f aca="false">IFERROR((SUMIFS(Data!$E$2:$E$2657,Data!$A$2:$A$2657,$A59,Data!$B$2:$B$2657,$B59,Data!$D$2:$D$2657,"Customer accounts, service &amp; sales")+SUMIFS(Data!$G$2:$G$2657,Data!$A$2:$A$2657,$A59,Data!$B$2:$B$2657,$B59,Data!$D$2:$D$2657,"Customer accounts, service &amp; sales"))/$D59,0)</f>
        <v>0.128965179478614</v>
      </c>
      <c r="I59" s="10" t="n">
        <f aca="false">IFERROR((SUMIFS(Data!$E$2:$E$2657,Data!$A$2:$A$2657,$A59,Data!$B$2:$B$2657,$B59,Data!$D$2:$D$2657,"A&amp;G and general")+SUMIFS(Data!$G$2:$G$2657,Data!$A$2:$A$2657,$A59,Data!$B$2:$B$2657,$B59,Data!$D$2:$D$2657,"A&amp;G and general"))/$D59,0)</f>
        <v>0.435170527492443</v>
      </c>
      <c r="J59" s="10" t="n">
        <f aca="false">IFERROR(SUMIFS(Data!$F$2:$F$2657,Data!$A$2:$A$2657,$A59,Data!$B$2:$B$2657,$B59)/$D59,0)</f>
        <v>0.000456859293256914</v>
      </c>
      <c r="K59" s="11" t="n">
        <f aca="false">SUM(E59:I59)</f>
        <v>1</v>
      </c>
    </row>
    <row r="60" customFormat="false" ht="15" hidden="false" customHeight="false" outlineLevel="0" collapsed="false">
      <c r="A60" s="7" t="n">
        <v>1998</v>
      </c>
      <c r="B60" s="12" t="s">
        <v>60</v>
      </c>
      <c r="C60" s="12" t="s">
        <v>59</v>
      </c>
      <c r="D60" s="9" t="n">
        <f aca="false">SUMIFS(Data!$E$2:$E$2657,Data!$A$2:$A$2657,$A60,Data!$B$2:$B$2657,$B60)+SUMIFS(Data!$G$2:$G$2657,Data!$A$2:$A$2657,$A60,Data!$B$2:$B$2657,$B60)</f>
        <v>1348.083738</v>
      </c>
      <c r="E60" s="10" t="n">
        <f aca="false">IFERROR((SUMIFS(Data!$E$2:$E$2657,Data!$A$2:$A$2657,$A60,Data!$B$2:$B$2657,$B60,Data!$D$2:$D$2657,"Transmission")+SUMIFS(Data!$G$2:$G$2657,Data!$A$2:$A$2657,$A60,Data!$B$2:$B$2657,$B60,Data!$D$2:$D$2657,"Transmission"))/$D60,0)</f>
        <v>0.0763968714234279</v>
      </c>
      <c r="F60" s="10" t="n">
        <f aca="false">IFERROR((SUMIFS(Data!$E$2:$E$2657,Data!$A$2:$A$2657,$A60,Data!$B$2:$B$2657,$B60,Data!$D$2:$D$2657,"Distribution")+SUMIFS(Data!$G$2:$G$2657,Data!$A$2:$A$2657,$A60,Data!$B$2:$B$2657,$B60,Data!$D$2:$D$2657,"Distribution"))/$D60,0)</f>
        <v>0.355156245494299</v>
      </c>
      <c r="G60" s="10" t="n">
        <f aca="false">IFERROR((SUMIFS(Data!$E$2:$E$2657,Data!$A$2:$A$2657,$A60,Data!$B$2:$B$2657,$B60,Data!$D$2:$D$2657,"RTO/market operation")+SUMIFS(Data!$G$2:$G$2657,Data!$A$2:$A$2657,$A60,Data!$B$2:$B$2657,$B60,Data!$D$2:$D$2657,"RTO/market operation"))/$D60,0)</f>
        <v>0</v>
      </c>
      <c r="H60" s="10" t="n">
        <f aca="false">IFERROR((SUMIFS(Data!$E$2:$E$2657,Data!$A$2:$A$2657,$A60,Data!$B$2:$B$2657,$B60,Data!$D$2:$D$2657,"Customer accounts, service &amp; sales")+SUMIFS(Data!$G$2:$G$2657,Data!$A$2:$A$2657,$A60,Data!$B$2:$B$2657,$B60,Data!$D$2:$D$2657,"Customer accounts, service &amp; sales"))/$D60,0)</f>
        <v>0.179448225789665</v>
      </c>
      <c r="I60" s="10" t="n">
        <f aca="false">IFERROR((SUMIFS(Data!$E$2:$E$2657,Data!$A$2:$A$2657,$A60,Data!$B$2:$B$2657,$B60,Data!$D$2:$D$2657,"A&amp;G and general")+SUMIFS(Data!$G$2:$G$2657,Data!$A$2:$A$2657,$A60,Data!$B$2:$B$2657,$B60,Data!$D$2:$D$2657,"A&amp;G and general"))/$D60,0)</f>
        <v>0.388998657292608</v>
      </c>
      <c r="J60" s="10" t="n">
        <f aca="false">IFERROR(SUMIFS(Data!$F$2:$F$2657,Data!$A$2:$A$2657,$A60,Data!$B$2:$B$2657,$B60)/$D60,0)</f>
        <v>0.00210132866390233</v>
      </c>
      <c r="K60" s="11" t="n">
        <f aca="false">SUM(E60:I60)</f>
        <v>1</v>
      </c>
    </row>
    <row r="61" customFormat="false" ht="15" hidden="false" customHeight="false" outlineLevel="0" collapsed="false">
      <c r="A61" s="7" t="n">
        <v>1998</v>
      </c>
      <c r="B61" s="12" t="s">
        <v>61</v>
      </c>
      <c r="C61" s="12" t="s">
        <v>62</v>
      </c>
      <c r="D61" s="9" t="n">
        <f aca="false">SUMIFS(Data!$E$2:$E$2657,Data!$A$2:$A$2657,$A61,Data!$B$2:$B$2657,$B61)+SUMIFS(Data!$G$2:$G$2657,Data!$A$2:$A$2657,$A61,Data!$B$2:$B$2657,$B61)</f>
        <v>434.340137</v>
      </c>
      <c r="E61" s="10" t="n">
        <f aca="false">IFERROR((SUMIFS(Data!$E$2:$E$2657,Data!$A$2:$A$2657,$A61,Data!$B$2:$B$2657,$B61,Data!$D$2:$D$2657,"Transmission")+SUMIFS(Data!$G$2:$G$2657,Data!$A$2:$A$2657,$A61,Data!$B$2:$B$2657,$B61,Data!$D$2:$D$2657,"Transmission"))/$D61,0)</f>
        <v>0.0925975441224305</v>
      </c>
      <c r="F61" s="10" t="n">
        <f aca="false">IFERROR((SUMIFS(Data!$E$2:$E$2657,Data!$A$2:$A$2657,$A61,Data!$B$2:$B$2657,$B61,Data!$D$2:$D$2657,"Distribution")+SUMIFS(Data!$G$2:$G$2657,Data!$A$2:$A$2657,$A61,Data!$B$2:$B$2657,$B61,Data!$D$2:$D$2657,"Distribution"))/$D61,0)</f>
        <v>0.392248847128765</v>
      </c>
      <c r="G61" s="10" t="n">
        <f aca="false">IFERROR((SUMIFS(Data!$E$2:$E$2657,Data!$A$2:$A$2657,$A61,Data!$B$2:$B$2657,$B61,Data!$D$2:$D$2657,"RTO/market operation")+SUMIFS(Data!$G$2:$G$2657,Data!$A$2:$A$2657,$A61,Data!$B$2:$B$2657,$B61,Data!$D$2:$D$2657,"RTO/market operation"))/$D61,0)</f>
        <v>0</v>
      </c>
      <c r="H61" s="10" t="n">
        <f aca="false">IFERROR((SUMIFS(Data!$E$2:$E$2657,Data!$A$2:$A$2657,$A61,Data!$B$2:$B$2657,$B61,Data!$D$2:$D$2657,"Customer accounts, service &amp; sales")+SUMIFS(Data!$G$2:$G$2657,Data!$A$2:$A$2657,$A61,Data!$B$2:$B$2657,$B61,Data!$D$2:$D$2657,"Customer accounts, service &amp; sales"))/$D61,0)</f>
        <v>0.158891329907187</v>
      </c>
      <c r="I61" s="10" t="n">
        <f aca="false">IFERROR((SUMIFS(Data!$E$2:$E$2657,Data!$A$2:$A$2657,$A61,Data!$B$2:$B$2657,$B61,Data!$D$2:$D$2657,"A&amp;G and general")+SUMIFS(Data!$G$2:$G$2657,Data!$A$2:$A$2657,$A61,Data!$B$2:$B$2657,$B61,Data!$D$2:$D$2657,"A&amp;G and general"))/$D61,0)</f>
        <v>0.356262278841617</v>
      </c>
      <c r="J61" s="10" t="n">
        <f aca="false">IFERROR(SUMIFS(Data!$F$2:$F$2657,Data!$A$2:$A$2657,$A61,Data!$B$2:$B$2657,$B61)/$D61,0)</f>
        <v>0.00537747907925903</v>
      </c>
      <c r="K61" s="11" t="n">
        <f aca="false">SUM(E61:I61)</f>
        <v>1</v>
      </c>
    </row>
    <row r="62" customFormat="false" ht="15" hidden="false" customHeight="false" outlineLevel="0" collapsed="false">
      <c r="A62" s="7" t="n">
        <v>1998</v>
      </c>
      <c r="B62" s="12" t="s">
        <v>63</v>
      </c>
      <c r="C62" s="12" t="s">
        <v>62</v>
      </c>
      <c r="D62" s="9" t="n">
        <f aca="false">SUMIFS(Data!$E$2:$E$2657,Data!$A$2:$A$2657,$A62,Data!$B$2:$B$2657,$B62)+SUMIFS(Data!$G$2:$G$2657,Data!$A$2:$A$2657,$A62,Data!$B$2:$B$2657,$B62)</f>
        <v>886.891887</v>
      </c>
      <c r="E62" s="10" t="n">
        <f aca="false">IFERROR((SUMIFS(Data!$E$2:$E$2657,Data!$A$2:$A$2657,$A62,Data!$B$2:$B$2657,$B62,Data!$D$2:$D$2657,"Transmission")+SUMIFS(Data!$G$2:$G$2657,Data!$A$2:$A$2657,$A62,Data!$B$2:$B$2657,$B62,Data!$D$2:$D$2657,"Transmission"))/$D62,0)</f>
        <v>0.0661872149925304</v>
      </c>
      <c r="F62" s="10" t="n">
        <f aca="false">IFERROR((SUMIFS(Data!$E$2:$E$2657,Data!$A$2:$A$2657,$A62,Data!$B$2:$B$2657,$B62,Data!$D$2:$D$2657,"Distribution")+SUMIFS(Data!$G$2:$G$2657,Data!$A$2:$A$2657,$A62,Data!$B$2:$B$2657,$B62,Data!$D$2:$D$2657,"Distribution"))/$D62,0)</f>
        <v>0.36867189427791</v>
      </c>
      <c r="G62" s="10" t="n">
        <f aca="false">IFERROR((SUMIFS(Data!$E$2:$E$2657,Data!$A$2:$A$2657,$A62,Data!$B$2:$B$2657,$B62,Data!$D$2:$D$2657,"RTO/market operation")+SUMIFS(Data!$G$2:$G$2657,Data!$A$2:$A$2657,$A62,Data!$B$2:$B$2657,$B62,Data!$D$2:$D$2657,"RTO/market operation"))/$D62,0)</f>
        <v>0</v>
      </c>
      <c r="H62" s="10" t="n">
        <f aca="false">IFERROR((SUMIFS(Data!$E$2:$E$2657,Data!$A$2:$A$2657,$A62,Data!$B$2:$B$2657,$B62,Data!$D$2:$D$2657,"Customer accounts, service &amp; sales")+SUMIFS(Data!$G$2:$G$2657,Data!$A$2:$A$2657,$A62,Data!$B$2:$B$2657,$B62,Data!$D$2:$D$2657,"Customer accounts, service &amp; sales"))/$D62,0)</f>
        <v>0.11941280842949</v>
      </c>
      <c r="I62" s="10" t="n">
        <f aca="false">IFERROR((SUMIFS(Data!$E$2:$E$2657,Data!$A$2:$A$2657,$A62,Data!$B$2:$B$2657,$B62,Data!$D$2:$D$2657,"A&amp;G and general")+SUMIFS(Data!$G$2:$G$2657,Data!$A$2:$A$2657,$A62,Data!$B$2:$B$2657,$B62,Data!$D$2:$D$2657,"A&amp;G and general"))/$D62,0)</f>
        <v>0.44572808230007</v>
      </c>
      <c r="J62" s="10" t="n">
        <f aca="false">IFERROR(SUMIFS(Data!$F$2:$F$2657,Data!$A$2:$A$2657,$A62,Data!$B$2:$B$2657,$B62)/$D62,0)</f>
        <v>0</v>
      </c>
      <c r="K62" s="11" t="n">
        <f aca="false">SUM(E62:I62)</f>
        <v>1</v>
      </c>
    </row>
    <row r="63" customFormat="false" ht="15" hidden="false" customHeight="false" outlineLevel="0" collapsed="false">
      <c r="A63" s="7" t="n">
        <v>1998</v>
      </c>
      <c r="B63" s="12" t="s">
        <v>64</v>
      </c>
      <c r="C63" s="12" t="s">
        <v>65</v>
      </c>
      <c r="D63" s="9" t="n">
        <f aca="false">SUMIFS(Data!$E$2:$E$2657,Data!$A$2:$A$2657,$A63,Data!$B$2:$B$2657,$B63)+SUMIFS(Data!$G$2:$G$2657,Data!$A$2:$A$2657,$A63,Data!$B$2:$B$2657,$B63)</f>
        <v>416.675994</v>
      </c>
      <c r="E63" s="10" t="n">
        <f aca="false">IFERROR((SUMIFS(Data!$E$2:$E$2657,Data!$A$2:$A$2657,$A63,Data!$B$2:$B$2657,$B63,Data!$D$2:$D$2657,"Transmission")+SUMIFS(Data!$G$2:$G$2657,Data!$A$2:$A$2657,$A63,Data!$B$2:$B$2657,$B63,Data!$D$2:$D$2657,"Transmission"))/$D63,0)</f>
        <v>0.106821500736613</v>
      </c>
      <c r="F63" s="10" t="n">
        <f aca="false">IFERROR((SUMIFS(Data!$E$2:$E$2657,Data!$A$2:$A$2657,$A63,Data!$B$2:$B$2657,$B63,Data!$D$2:$D$2657,"Distribution")+SUMIFS(Data!$G$2:$G$2657,Data!$A$2:$A$2657,$A63,Data!$B$2:$B$2657,$B63,Data!$D$2:$D$2657,"Distribution"))/$D63,0)</f>
        <v>0.197481412860084</v>
      </c>
      <c r="G63" s="10" t="n">
        <f aca="false">IFERROR((SUMIFS(Data!$E$2:$E$2657,Data!$A$2:$A$2657,$A63,Data!$B$2:$B$2657,$B63,Data!$D$2:$D$2657,"RTO/market operation")+SUMIFS(Data!$G$2:$G$2657,Data!$A$2:$A$2657,$A63,Data!$B$2:$B$2657,$B63,Data!$D$2:$D$2657,"RTO/market operation"))/$D63,0)</f>
        <v>0</v>
      </c>
      <c r="H63" s="10" t="n">
        <f aca="false">IFERROR((SUMIFS(Data!$E$2:$E$2657,Data!$A$2:$A$2657,$A63,Data!$B$2:$B$2657,$B63,Data!$D$2:$D$2657,"Customer accounts, service &amp; sales")+SUMIFS(Data!$G$2:$G$2657,Data!$A$2:$A$2657,$A63,Data!$B$2:$B$2657,$B63,Data!$D$2:$D$2657,"Customer accounts, service &amp; sales"))/$D63,0)</f>
        <v>0.166673626510866</v>
      </c>
      <c r="I63" s="10" t="n">
        <f aca="false">IFERROR((SUMIFS(Data!$E$2:$E$2657,Data!$A$2:$A$2657,$A63,Data!$B$2:$B$2657,$B63,Data!$D$2:$D$2657,"A&amp;G and general")+SUMIFS(Data!$G$2:$G$2657,Data!$A$2:$A$2657,$A63,Data!$B$2:$B$2657,$B63,Data!$D$2:$D$2657,"A&amp;G and general"))/$D63,0)</f>
        <v>0.529023459892436</v>
      </c>
      <c r="J63" s="10" t="n">
        <f aca="false">IFERROR(SUMIFS(Data!$F$2:$F$2657,Data!$A$2:$A$2657,$A63,Data!$B$2:$B$2657,$B63)/$D63,0)</f>
        <v>0.0440905602063554</v>
      </c>
      <c r="K63" s="11" t="n">
        <f aca="false">SUM(E63:I63)</f>
        <v>1</v>
      </c>
    </row>
    <row r="64" customFormat="false" ht="15" hidden="false" customHeight="false" outlineLevel="0" collapsed="false">
      <c r="A64" s="7" t="n">
        <v>1998</v>
      </c>
      <c r="B64" s="12" t="s">
        <v>66</v>
      </c>
      <c r="C64" s="12" t="s">
        <v>67</v>
      </c>
      <c r="D64" s="9" t="n">
        <f aca="false">SUMIFS(Data!$E$2:$E$2657,Data!$A$2:$A$2657,$A64,Data!$B$2:$B$2657,$B64)+SUMIFS(Data!$G$2:$G$2657,Data!$A$2:$A$2657,$A64,Data!$B$2:$B$2657,$B64)</f>
        <v>184.234318</v>
      </c>
      <c r="E64" s="10" t="n">
        <f aca="false">IFERROR((SUMIFS(Data!$E$2:$E$2657,Data!$A$2:$A$2657,$A64,Data!$B$2:$B$2657,$B64,Data!$D$2:$D$2657,"Transmission")+SUMIFS(Data!$G$2:$G$2657,Data!$A$2:$A$2657,$A64,Data!$B$2:$B$2657,$B64,Data!$D$2:$D$2657,"Transmission"))/$D64,0)</f>
        <v>-0.0373093193201931</v>
      </c>
      <c r="F64" s="10" t="n">
        <f aca="false">IFERROR((SUMIFS(Data!$E$2:$E$2657,Data!$A$2:$A$2657,$A64,Data!$B$2:$B$2657,$B64,Data!$D$2:$D$2657,"Distribution")+SUMIFS(Data!$G$2:$G$2657,Data!$A$2:$A$2657,$A64,Data!$B$2:$B$2657,$B64,Data!$D$2:$D$2657,"Distribution"))/$D64,0)</f>
        <v>0.410418144788855</v>
      </c>
      <c r="G64" s="10" t="n">
        <f aca="false">IFERROR((SUMIFS(Data!$E$2:$E$2657,Data!$A$2:$A$2657,$A64,Data!$B$2:$B$2657,$B64,Data!$D$2:$D$2657,"RTO/market operation")+SUMIFS(Data!$G$2:$G$2657,Data!$A$2:$A$2657,$A64,Data!$B$2:$B$2657,$B64,Data!$D$2:$D$2657,"RTO/market operation"))/$D64,0)</f>
        <v>0</v>
      </c>
      <c r="H64" s="10" t="n">
        <f aca="false">IFERROR((SUMIFS(Data!$E$2:$E$2657,Data!$A$2:$A$2657,$A64,Data!$B$2:$B$2657,$B64,Data!$D$2:$D$2657,"Customer accounts, service &amp; sales")+SUMIFS(Data!$G$2:$G$2657,Data!$A$2:$A$2657,$A64,Data!$B$2:$B$2657,$B64,Data!$D$2:$D$2657,"Customer accounts, service &amp; sales"))/$D64,0)</f>
        <v>0.179233241442021</v>
      </c>
      <c r="I64" s="10" t="n">
        <f aca="false">IFERROR((SUMIFS(Data!$E$2:$E$2657,Data!$A$2:$A$2657,$A64,Data!$B$2:$B$2657,$B64,Data!$D$2:$D$2657,"A&amp;G and general")+SUMIFS(Data!$G$2:$G$2657,Data!$A$2:$A$2657,$A64,Data!$B$2:$B$2657,$B64,Data!$D$2:$D$2657,"A&amp;G and general"))/$D64,0)</f>
        <v>0.447657933089317</v>
      </c>
      <c r="J64" s="10" t="n">
        <f aca="false">IFERROR(SUMIFS(Data!$F$2:$F$2657,Data!$A$2:$A$2657,$A64,Data!$B$2:$B$2657,$B64)/$D64,0)</f>
        <v>-0.230581492423143</v>
      </c>
      <c r="K64" s="11" t="n">
        <f aca="false">SUM(E64:I64)</f>
        <v>1</v>
      </c>
    </row>
    <row r="65" customFormat="false" ht="15" hidden="false" customHeight="false" outlineLevel="0" collapsed="false">
      <c r="A65" s="7" t="n">
        <v>1998</v>
      </c>
      <c r="B65" s="12" t="s">
        <v>68</v>
      </c>
      <c r="C65" s="12" t="s">
        <v>65</v>
      </c>
      <c r="D65" s="9" t="n">
        <f aca="false">SUMIFS(Data!$E$2:$E$2657,Data!$A$2:$A$2657,$A65,Data!$B$2:$B$2657,$B65)+SUMIFS(Data!$G$2:$G$2657,Data!$A$2:$A$2657,$A65,Data!$B$2:$B$2657,$B65)</f>
        <v>197.957715</v>
      </c>
      <c r="E65" s="10" t="n">
        <f aca="false">IFERROR((SUMIFS(Data!$E$2:$E$2657,Data!$A$2:$A$2657,$A65,Data!$B$2:$B$2657,$B65,Data!$D$2:$D$2657,"Transmission")+SUMIFS(Data!$G$2:$G$2657,Data!$A$2:$A$2657,$A65,Data!$B$2:$B$2657,$B65,Data!$D$2:$D$2657,"Transmission"))/$D65,0)</f>
        <v>0.0620044942426215</v>
      </c>
      <c r="F65" s="10" t="n">
        <f aca="false">IFERROR((SUMIFS(Data!$E$2:$E$2657,Data!$A$2:$A$2657,$A65,Data!$B$2:$B$2657,$B65,Data!$D$2:$D$2657,"Distribution")+SUMIFS(Data!$G$2:$G$2657,Data!$A$2:$A$2657,$A65,Data!$B$2:$B$2657,$B65,Data!$D$2:$D$2657,"Distribution"))/$D65,0)</f>
        <v>0.330734419721909</v>
      </c>
      <c r="G65" s="10" t="n">
        <f aca="false">IFERROR((SUMIFS(Data!$E$2:$E$2657,Data!$A$2:$A$2657,$A65,Data!$B$2:$B$2657,$B65,Data!$D$2:$D$2657,"RTO/market operation")+SUMIFS(Data!$G$2:$G$2657,Data!$A$2:$A$2657,$A65,Data!$B$2:$B$2657,$B65,Data!$D$2:$D$2657,"RTO/market operation"))/$D65,0)</f>
        <v>0</v>
      </c>
      <c r="H65" s="10" t="n">
        <f aca="false">IFERROR((SUMIFS(Data!$E$2:$E$2657,Data!$A$2:$A$2657,$A65,Data!$B$2:$B$2657,$B65,Data!$D$2:$D$2657,"Customer accounts, service &amp; sales")+SUMIFS(Data!$G$2:$G$2657,Data!$A$2:$A$2657,$A65,Data!$B$2:$B$2657,$B65,Data!$D$2:$D$2657,"Customer accounts, service &amp; sales"))/$D65,0)</f>
        <v>0.131743564528415</v>
      </c>
      <c r="I65" s="10" t="n">
        <f aca="false">IFERROR((SUMIFS(Data!$E$2:$E$2657,Data!$A$2:$A$2657,$A65,Data!$B$2:$B$2657,$B65,Data!$D$2:$D$2657,"A&amp;G and general")+SUMIFS(Data!$G$2:$G$2657,Data!$A$2:$A$2657,$A65,Data!$B$2:$B$2657,$B65,Data!$D$2:$D$2657,"A&amp;G and general"))/$D65,0)</f>
        <v>0.475517521507055</v>
      </c>
      <c r="J65" s="10" t="n">
        <f aca="false">IFERROR(SUMIFS(Data!$F$2:$F$2657,Data!$A$2:$A$2657,$A65,Data!$B$2:$B$2657,$B65)/$D65,0)</f>
        <v>0</v>
      </c>
      <c r="K65" s="11" t="n">
        <f aca="false">SUM(E65:I65)</f>
        <v>1</v>
      </c>
    </row>
    <row r="66" customFormat="false" ht="15" hidden="false" customHeight="false" outlineLevel="0" collapsed="false">
      <c r="A66" s="7" t="n">
        <v>1998</v>
      </c>
      <c r="B66" s="12" t="s">
        <v>69</v>
      </c>
      <c r="C66" s="12" t="s">
        <v>70</v>
      </c>
      <c r="D66" s="9" t="n">
        <f aca="false">SUMIFS(Data!$E$2:$E$2657,Data!$A$2:$A$2657,$A66,Data!$B$2:$B$2657,$B66)+SUMIFS(Data!$G$2:$G$2657,Data!$A$2:$A$2657,$A66,Data!$B$2:$B$2657,$B66)</f>
        <v>263.45839</v>
      </c>
      <c r="E66" s="10" t="n">
        <f aca="false">IFERROR((SUMIFS(Data!$E$2:$E$2657,Data!$A$2:$A$2657,$A66,Data!$B$2:$B$2657,$B66,Data!$D$2:$D$2657,"Transmission")+SUMIFS(Data!$G$2:$G$2657,Data!$A$2:$A$2657,$A66,Data!$B$2:$B$2657,$B66,Data!$D$2:$D$2657,"Transmission"))/$D66,0)</f>
        <v>0.126139630626301</v>
      </c>
      <c r="F66" s="10" t="n">
        <f aca="false">IFERROR((SUMIFS(Data!$E$2:$E$2657,Data!$A$2:$A$2657,$A66,Data!$B$2:$B$2657,$B66,Data!$D$2:$D$2657,"Distribution")+SUMIFS(Data!$G$2:$G$2657,Data!$A$2:$A$2657,$A66,Data!$B$2:$B$2657,$B66,Data!$D$2:$D$2657,"Distribution"))/$D66,0)</f>
        <v>0.265700238280512</v>
      </c>
      <c r="G66" s="10" t="n">
        <f aca="false">IFERROR((SUMIFS(Data!$E$2:$E$2657,Data!$A$2:$A$2657,$A66,Data!$B$2:$B$2657,$B66,Data!$D$2:$D$2657,"RTO/market operation")+SUMIFS(Data!$G$2:$G$2657,Data!$A$2:$A$2657,$A66,Data!$B$2:$B$2657,$B66,Data!$D$2:$D$2657,"RTO/market operation"))/$D66,0)</f>
        <v>0</v>
      </c>
      <c r="H66" s="10" t="n">
        <f aca="false">IFERROR((SUMIFS(Data!$E$2:$E$2657,Data!$A$2:$A$2657,$A66,Data!$B$2:$B$2657,$B66,Data!$D$2:$D$2657,"Customer accounts, service &amp; sales")+SUMIFS(Data!$G$2:$G$2657,Data!$A$2:$A$2657,$A66,Data!$B$2:$B$2657,$B66,Data!$D$2:$D$2657,"Customer accounts, service &amp; sales"))/$D66,0)</f>
        <v>0.238449320213336</v>
      </c>
      <c r="I66" s="10" t="n">
        <f aca="false">IFERROR((SUMIFS(Data!$E$2:$E$2657,Data!$A$2:$A$2657,$A66,Data!$B$2:$B$2657,$B66,Data!$D$2:$D$2657,"A&amp;G and general")+SUMIFS(Data!$G$2:$G$2657,Data!$A$2:$A$2657,$A66,Data!$B$2:$B$2657,$B66,Data!$D$2:$D$2657,"A&amp;G and general"))/$D66,0)</f>
        <v>0.369710810879851</v>
      </c>
      <c r="J66" s="10" t="n">
        <f aca="false">IFERROR(SUMIFS(Data!$F$2:$F$2657,Data!$A$2:$A$2657,$A66,Data!$B$2:$B$2657,$B66)/$D66,0)</f>
        <v>0.0249958446948681</v>
      </c>
      <c r="K66" s="11" t="n">
        <f aca="false">SUM(E66:I66)</f>
        <v>1</v>
      </c>
    </row>
    <row r="67" customFormat="false" ht="15" hidden="false" customHeight="false" outlineLevel="0" collapsed="false">
      <c r="A67" s="7" t="n">
        <v>1998</v>
      </c>
      <c r="B67" s="12" t="s">
        <v>71</v>
      </c>
      <c r="C67" s="12" t="s">
        <v>72</v>
      </c>
      <c r="D67" s="9" t="n">
        <f aca="false">SUMIFS(Data!$E$2:$E$2657,Data!$A$2:$A$2657,$A67,Data!$B$2:$B$2657,$B67)+SUMIFS(Data!$G$2:$G$2657,Data!$A$2:$A$2657,$A67,Data!$B$2:$B$2657,$B67)</f>
        <v>44.272037</v>
      </c>
      <c r="E67" s="10" t="n">
        <f aca="false">IFERROR((SUMIFS(Data!$E$2:$E$2657,Data!$A$2:$A$2657,$A67,Data!$B$2:$B$2657,$B67,Data!$D$2:$D$2657,"Transmission")+SUMIFS(Data!$G$2:$G$2657,Data!$A$2:$A$2657,$A67,Data!$B$2:$B$2657,$B67,Data!$D$2:$D$2657,"Transmission"))/$D67,0)</f>
        <v>0.103547415268017</v>
      </c>
      <c r="F67" s="10" t="n">
        <f aca="false">IFERROR((SUMIFS(Data!$E$2:$E$2657,Data!$A$2:$A$2657,$A67,Data!$B$2:$B$2657,$B67,Data!$D$2:$D$2657,"Distribution")+SUMIFS(Data!$G$2:$G$2657,Data!$A$2:$A$2657,$A67,Data!$B$2:$B$2657,$B67,Data!$D$2:$D$2657,"Distribution"))/$D67,0)</f>
        <v>0.276726955211029</v>
      </c>
      <c r="G67" s="10" t="n">
        <f aca="false">IFERROR((SUMIFS(Data!$E$2:$E$2657,Data!$A$2:$A$2657,$A67,Data!$B$2:$B$2657,$B67,Data!$D$2:$D$2657,"RTO/market operation")+SUMIFS(Data!$G$2:$G$2657,Data!$A$2:$A$2657,$A67,Data!$B$2:$B$2657,$B67,Data!$D$2:$D$2657,"RTO/market operation"))/$D67,0)</f>
        <v>0</v>
      </c>
      <c r="H67" s="10" t="n">
        <f aca="false">IFERROR((SUMIFS(Data!$E$2:$E$2657,Data!$A$2:$A$2657,$A67,Data!$B$2:$B$2657,$B67,Data!$D$2:$D$2657,"Customer accounts, service &amp; sales")+SUMIFS(Data!$G$2:$G$2657,Data!$A$2:$A$2657,$A67,Data!$B$2:$B$2657,$B67,Data!$D$2:$D$2657,"Customer accounts, service &amp; sales"))/$D67,0)</f>
        <v>0.210560268550553</v>
      </c>
      <c r="I67" s="10" t="n">
        <f aca="false">IFERROR((SUMIFS(Data!$E$2:$E$2657,Data!$A$2:$A$2657,$A67,Data!$B$2:$B$2657,$B67,Data!$D$2:$D$2657,"A&amp;G and general")+SUMIFS(Data!$G$2:$G$2657,Data!$A$2:$A$2657,$A67,Data!$B$2:$B$2657,$B67,Data!$D$2:$D$2657,"A&amp;G and general"))/$D67,0)</f>
        <v>0.409165360970402</v>
      </c>
      <c r="J67" s="10" t="n">
        <f aca="false">IFERROR(SUMIFS(Data!$F$2:$F$2657,Data!$A$2:$A$2657,$A67,Data!$B$2:$B$2657,$B67)/$D67,0)</f>
        <v>0.0102652154903105</v>
      </c>
      <c r="K67" s="11" t="n">
        <f aca="false">SUM(E67:I67)</f>
        <v>1</v>
      </c>
    </row>
    <row r="68" customFormat="false" ht="15" hidden="false" customHeight="false" outlineLevel="0" collapsed="false">
      <c r="A68" s="7" t="n">
        <v>1998</v>
      </c>
      <c r="B68" s="12" t="s">
        <v>73</v>
      </c>
      <c r="C68" s="12" t="s">
        <v>70</v>
      </c>
      <c r="D68" s="9" t="n">
        <f aca="false">SUMIFS(Data!$E$2:$E$2657,Data!$A$2:$A$2657,$A68,Data!$B$2:$B$2657,$B68)+SUMIFS(Data!$G$2:$G$2657,Data!$A$2:$A$2657,$A68,Data!$B$2:$B$2657,$B68)</f>
        <v>316.364128</v>
      </c>
      <c r="E68" s="10" t="n">
        <f aca="false">IFERROR((SUMIFS(Data!$E$2:$E$2657,Data!$A$2:$A$2657,$A68,Data!$B$2:$B$2657,$B68,Data!$D$2:$D$2657,"Transmission")+SUMIFS(Data!$G$2:$G$2657,Data!$A$2:$A$2657,$A68,Data!$B$2:$B$2657,$B68,Data!$D$2:$D$2657,"Transmission"))/$D68,0)</f>
        <v>0.0850282905652312</v>
      </c>
      <c r="F68" s="10" t="n">
        <f aca="false">IFERROR((SUMIFS(Data!$E$2:$E$2657,Data!$A$2:$A$2657,$A68,Data!$B$2:$B$2657,$B68,Data!$D$2:$D$2657,"Distribution")+SUMIFS(Data!$G$2:$G$2657,Data!$A$2:$A$2657,$A68,Data!$B$2:$B$2657,$B68,Data!$D$2:$D$2657,"Distribution"))/$D68,0)</f>
        <v>0.294125091198709</v>
      </c>
      <c r="G68" s="10" t="n">
        <f aca="false">IFERROR((SUMIFS(Data!$E$2:$E$2657,Data!$A$2:$A$2657,$A68,Data!$B$2:$B$2657,$B68,Data!$D$2:$D$2657,"RTO/market operation")+SUMIFS(Data!$G$2:$G$2657,Data!$A$2:$A$2657,$A68,Data!$B$2:$B$2657,$B68,Data!$D$2:$D$2657,"RTO/market operation"))/$D68,0)</f>
        <v>0</v>
      </c>
      <c r="H68" s="10" t="n">
        <f aca="false">IFERROR((SUMIFS(Data!$E$2:$E$2657,Data!$A$2:$A$2657,$A68,Data!$B$2:$B$2657,$B68,Data!$D$2:$D$2657,"Customer accounts, service &amp; sales")+SUMIFS(Data!$G$2:$G$2657,Data!$A$2:$A$2657,$A68,Data!$B$2:$B$2657,$B68,Data!$D$2:$D$2657,"Customer accounts, service &amp; sales"))/$D68,0)</f>
        <v>0.243785825174212</v>
      </c>
      <c r="I68" s="10" t="n">
        <f aca="false">IFERROR((SUMIFS(Data!$E$2:$E$2657,Data!$A$2:$A$2657,$A68,Data!$B$2:$B$2657,$B68,Data!$D$2:$D$2657,"A&amp;G and general")+SUMIFS(Data!$G$2:$G$2657,Data!$A$2:$A$2657,$A68,Data!$B$2:$B$2657,$B68,Data!$D$2:$D$2657,"A&amp;G and general"))/$D68,0)</f>
        <v>0.377060793061848</v>
      </c>
      <c r="J68" s="10" t="n">
        <f aca="false">IFERROR(SUMIFS(Data!$F$2:$F$2657,Data!$A$2:$A$2657,$A68,Data!$B$2:$B$2657,$B68)/$D68,0)</f>
        <v>0.00539724276198596</v>
      </c>
      <c r="K68" s="11" t="n">
        <f aca="false">SUM(E68:I68)</f>
        <v>1</v>
      </c>
    </row>
    <row r="69" customFormat="false" ht="15" hidden="false" customHeight="false" outlineLevel="0" collapsed="false">
      <c r="A69" s="7" t="n">
        <v>1998</v>
      </c>
      <c r="B69" s="12" t="s">
        <v>74</v>
      </c>
      <c r="C69" s="12" t="s">
        <v>65</v>
      </c>
      <c r="D69" s="9" t="n">
        <f aca="false">SUMIFS(Data!$E$2:$E$2657,Data!$A$2:$A$2657,$A69,Data!$B$2:$B$2657,$B69)+SUMIFS(Data!$G$2:$G$2657,Data!$A$2:$A$2657,$A69,Data!$B$2:$B$2657,$B69)</f>
        <v>182.114579</v>
      </c>
      <c r="E69" s="10" t="n">
        <f aca="false">IFERROR((SUMIFS(Data!$E$2:$E$2657,Data!$A$2:$A$2657,$A69,Data!$B$2:$B$2657,$B69,Data!$D$2:$D$2657,"Transmission")+SUMIFS(Data!$G$2:$G$2657,Data!$A$2:$A$2657,$A69,Data!$B$2:$B$2657,$B69,Data!$D$2:$D$2657,"Transmission"))/$D69,0)</f>
        <v>0.145193729931968</v>
      </c>
      <c r="F69" s="10" t="n">
        <f aca="false">IFERROR((SUMIFS(Data!$E$2:$E$2657,Data!$A$2:$A$2657,$A69,Data!$B$2:$B$2657,$B69,Data!$D$2:$D$2657,"Distribution")+SUMIFS(Data!$G$2:$G$2657,Data!$A$2:$A$2657,$A69,Data!$B$2:$B$2657,$B69,Data!$D$2:$D$2657,"Distribution"))/$D69,0)</f>
        <v>0.331427062739442</v>
      </c>
      <c r="G69" s="10" t="n">
        <f aca="false">IFERROR((SUMIFS(Data!$E$2:$E$2657,Data!$A$2:$A$2657,$A69,Data!$B$2:$B$2657,$B69,Data!$D$2:$D$2657,"RTO/market operation")+SUMIFS(Data!$G$2:$G$2657,Data!$A$2:$A$2657,$A69,Data!$B$2:$B$2657,$B69,Data!$D$2:$D$2657,"RTO/market operation"))/$D69,0)</f>
        <v>0</v>
      </c>
      <c r="H69" s="10" t="n">
        <f aca="false">IFERROR((SUMIFS(Data!$E$2:$E$2657,Data!$A$2:$A$2657,$A69,Data!$B$2:$B$2657,$B69,Data!$D$2:$D$2657,"Customer accounts, service &amp; sales")+SUMIFS(Data!$G$2:$G$2657,Data!$A$2:$A$2657,$A69,Data!$B$2:$B$2657,$B69,Data!$D$2:$D$2657,"Customer accounts, service &amp; sales"))/$D69,0)</f>
        <v>0.108933129400914</v>
      </c>
      <c r="I69" s="10" t="n">
        <f aca="false">IFERROR((SUMIFS(Data!$E$2:$E$2657,Data!$A$2:$A$2657,$A69,Data!$B$2:$B$2657,$B69,Data!$D$2:$D$2657,"A&amp;G and general")+SUMIFS(Data!$G$2:$G$2657,Data!$A$2:$A$2657,$A69,Data!$B$2:$B$2657,$B69,Data!$D$2:$D$2657,"A&amp;G and general"))/$D69,0)</f>
        <v>0.414446077927677</v>
      </c>
      <c r="J69" s="10" t="n">
        <f aca="false">IFERROR(SUMIFS(Data!$F$2:$F$2657,Data!$A$2:$A$2657,$A69,Data!$B$2:$B$2657,$B69)/$D69,0)</f>
        <v>0.00102682608403361</v>
      </c>
      <c r="K69" s="11" t="n">
        <f aca="false">SUM(E69:I69)</f>
        <v>1</v>
      </c>
    </row>
    <row r="70" customFormat="false" ht="15" hidden="false" customHeight="false" outlineLevel="0" collapsed="false">
      <c r="A70" s="7" t="n">
        <v>1998</v>
      </c>
      <c r="B70" s="12" t="s">
        <v>75</v>
      </c>
      <c r="C70" s="12" t="s">
        <v>57</v>
      </c>
      <c r="D70" s="9" t="n">
        <f aca="false">SUMIFS(Data!$E$2:$E$2657,Data!$A$2:$A$2657,$A70,Data!$B$2:$B$2657,$B70)+SUMIFS(Data!$G$2:$G$2657,Data!$A$2:$A$2657,$A70,Data!$B$2:$B$2657,$B70)</f>
        <v>524.30561</v>
      </c>
      <c r="E70" s="10" t="n">
        <f aca="false">IFERROR((SUMIFS(Data!$E$2:$E$2657,Data!$A$2:$A$2657,$A70,Data!$B$2:$B$2657,$B70,Data!$D$2:$D$2657,"Transmission")+SUMIFS(Data!$G$2:$G$2657,Data!$A$2:$A$2657,$A70,Data!$B$2:$B$2657,$B70,Data!$D$2:$D$2657,"Transmission"))/$D70,0)</f>
        <v>0.179273813225077</v>
      </c>
      <c r="F70" s="10" t="n">
        <f aca="false">IFERROR((SUMIFS(Data!$E$2:$E$2657,Data!$A$2:$A$2657,$A70,Data!$B$2:$B$2657,$B70,Data!$D$2:$D$2657,"Distribution")+SUMIFS(Data!$G$2:$G$2657,Data!$A$2:$A$2657,$A70,Data!$B$2:$B$2657,$B70,Data!$D$2:$D$2657,"Distribution"))/$D70,0)</f>
        <v>0.290744043345254</v>
      </c>
      <c r="G70" s="10" t="n">
        <f aca="false">IFERROR((SUMIFS(Data!$E$2:$E$2657,Data!$A$2:$A$2657,$A70,Data!$B$2:$B$2657,$B70,Data!$D$2:$D$2657,"RTO/market operation")+SUMIFS(Data!$G$2:$G$2657,Data!$A$2:$A$2657,$A70,Data!$B$2:$B$2657,$B70,Data!$D$2:$D$2657,"RTO/market operation"))/$D70,0)</f>
        <v>0</v>
      </c>
      <c r="H70" s="10" t="n">
        <f aca="false">IFERROR((SUMIFS(Data!$E$2:$E$2657,Data!$A$2:$A$2657,$A70,Data!$B$2:$B$2657,$B70,Data!$D$2:$D$2657,"Customer accounts, service &amp; sales")+SUMIFS(Data!$G$2:$G$2657,Data!$A$2:$A$2657,$A70,Data!$B$2:$B$2657,$B70,Data!$D$2:$D$2657,"Customer accounts, service &amp; sales"))/$D70,0)</f>
        <v>0.242417390880101</v>
      </c>
      <c r="I70" s="10" t="n">
        <f aca="false">IFERROR((SUMIFS(Data!$E$2:$E$2657,Data!$A$2:$A$2657,$A70,Data!$B$2:$B$2657,$B70,Data!$D$2:$D$2657,"A&amp;G and general")+SUMIFS(Data!$G$2:$G$2657,Data!$A$2:$A$2657,$A70,Data!$B$2:$B$2657,$B70,Data!$D$2:$D$2657,"A&amp;G and general"))/$D70,0)</f>
        <v>0.287564752549567</v>
      </c>
      <c r="J70" s="10" t="n">
        <f aca="false">IFERROR(SUMIFS(Data!$F$2:$F$2657,Data!$A$2:$A$2657,$A70,Data!$B$2:$B$2657,$B70)/$D70,0)</f>
        <v>0.0483279684915063</v>
      </c>
      <c r="K70" s="11" t="n">
        <f aca="false">SUM(E70:I70)</f>
        <v>1</v>
      </c>
    </row>
    <row r="71" customFormat="false" ht="15" hidden="false" customHeight="false" outlineLevel="0" collapsed="false">
      <c r="A71" s="7" t="n">
        <v>1998</v>
      </c>
      <c r="B71" s="12" t="s">
        <v>76</v>
      </c>
      <c r="C71" s="12" t="s">
        <v>72</v>
      </c>
      <c r="D71" s="9" t="n">
        <f aca="false">SUMIFS(Data!$E$2:$E$2657,Data!$A$2:$A$2657,$A71,Data!$B$2:$B$2657,$B71)+SUMIFS(Data!$G$2:$G$2657,Data!$A$2:$A$2657,$A71,Data!$B$2:$B$2657,$B71)</f>
        <v>97.668538</v>
      </c>
      <c r="E71" s="10" t="n">
        <f aca="false">IFERROR((SUMIFS(Data!$E$2:$E$2657,Data!$A$2:$A$2657,$A71,Data!$B$2:$B$2657,$B71,Data!$D$2:$D$2657,"Transmission")+SUMIFS(Data!$G$2:$G$2657,Data!$A$2:$A$2657,$A71,Data!$B$2:$B$2657,$B71,Data!$D$2:$D$2657,"Transmission"))/$D71,0)</f>
        <v>0.264370333873535</v>
      </c>
      <c r="F71" s="10" t="n">
        <f aca="false">IFERROR((SUMIFS(Data!$E$2:$E$2657,Data!$A$2:$A$2657,$A71,Data!$B$2:$B$2657,$B71,Data!$D$2:$D$2657,"Distribution")+SUMIFS(Data!$G$2:$G$2657,Data!$A$2:$A$2657,$A71,Data!$B$2:$B$2657,$B71,Data!$D$2:$D$2657,"Distribution"))/$D71,0)</f>
        <v>0.321477239681831</v>
      </c>
      <c r="G71" s="10" t="n">
        <f aca="false">IFERROR((SUMIFS(Data!$E$2:$E$2657,Data!$A$2:$A$2657,$A71,Data!$B$2:$B$2657,$B71,Data!$D$2:$D$2657,"RTO/market operation")+SUMIFS(Data!$G$2:$G$2657,Data!$A$2:$A$2657,$A71,Data!$B$2:$B$2657,$B71,Data!$D$2:$D$2657,"RTO/market operation"))/$D71,0)</f>
        <v>0</v>
      </c>
      <c r="H71" s="10" t="n">
        <f aca="false">IFERROR((SUMIFS(Data!$E$2:$E$2657,Data!$A$2:$A$2657,$A71,Data!$B$2:$B$2657,$B71,Data!$D$2:$D$2657,"Customer accounts, service &amp; sales")+SUMIFS(Data!$G$2:$G$2657,Data!$A$2:$A$2657,$A71,Data!$B$2:$B$2657,$B71,Data!$D$2:$D$2657,"Customer accounts, service &amp; sales"))/$D71,0)</f>
        <v>0.153919361422201</v>
      </c>
      <c r="I71" s="10" t="n">
        <f aca="false">IFERROR((SUMIFS(Data!$E$2:$E$2657,Data!$A$2:$A$2657,$A71,Data!$B$2:$B$2657,$B71,Data!$D$2:$D$2657,"A&amp;G and general")+SUMIFS(Data!$G$2:$G$2657,Data!$A$2:$A$2657,$A71,Data!$B$2:$B$2657,$B71,Data!$D$2:$D$2657,"A&amp;G and general"))/$D71,0)</f>
        <v>0.260233065022433</v>
      </c>
      <c r="J71" s="10" t="n">
        <f aca="false">IFERROR(SUMIFS(Data!$F$2:$F$2657,Data!$A$2:$A$2657,$A71,Data!$B$2:$B$2657,$B71)/$D71,0)</f>
        <v>0</v>
      </c>
      <c r="K71" s="11" t="n">
        <f aca="false">SUM(E71:I71)</f>
        <v>1</v>
      </c>
    </row>
    <row r="72" customFormat="false" ht="15" hidden="false" customHeight="false" outlineLevel="0" collapsed="false">
      <c r="A72" s="7" t="n">
        <v>1998</v>
      </c>
      <c r="B72" s="12" t="s">
        <v>77</v>
      </c>
      <c r="C72" s="12" t="s">
        <v>57</v>
      </c>
      <c r="D72" s="9" t="n">
        <f aca="false">SUMIFS(Data!$E$2:$E$2657,Data!$A$2:$A$2657,$A72,Data!$B$2:$B$2657,$B72)+SUMIFS(Data!$G$2:$G$2657,Data!$A$2:$A$2657,$A72,Data!$B$2:$B$2657,$B72)</f>
        <v>71.208356</v>
      </c>
      <c r="E72" s="10" t="n">
        <f aca="false">IFERROR((SUMIFS(Data!$E$2:$E$2657,Data!$A$2:$A$2657,$A72,Data!$B$2:$B$2657,$B72,Data!$D$2:$D$2657,"Transmission")+SUMIFS(Data!$G$2:$G$2657,Data!$A$2:$A$2657,$A72,Data!$B$2:$B$2657,$B72,Data!$D$2:$D$2657,"Transmission"))/$D72,0)</f>
        <v>0.0754820122514835</v>
      </c>
      <c r="F72" s="10" t="n">
        <f aca="false">IFERROR((SUMIFS(Data!$E$2:$E$2657,Data!$A$2:$A$2657,$A72,Data!$B$2:$B$2657,$B72,Data!$D$2:$D$2657,"Distribution")+SUMIFS(Data!$G$2:$G$2657,Data!$A$2:$A$2657,$A72,Data!$B$2:$B$2657,$B72,Data!$D$2:$D$2657,"Distribution"))/$D72,0)</f>
        <v>0.23999381477084</v>
      </c>
      <c r="G72" s="10" t="n">
        <f aca="false">IFERROR((SUMIFS(Data!$E$2:$E$2657,Data!$A$2:$A$2657,$A72,Data!$B$2:$B$2657,$B72,Data!$D$2:$D$2657,"RTO/market operation")+SUMIFS(Data!$G$2:$G$2657,Data!$A$2:$A$2657,$A72,Data!$B$2:$B$2657,$B72,Data!$D$2:$D$2657,"RTO/market operation"))/$D72,0)</f>
        <v>0</v>
      </c>
      <c r="H72" s="10" t="n">
        <f aca="false">IFERROR((SUMIFS(Data!$E$2:$E$2657,Data!$A$2:$A$2657,$A72,Data!$B$2:$B$2657,$B72,Data!$D$2:$D$2657,"Customer accounts, service &amp; sales")+SUMIFS(Data!$G$2:$G$2657,Data!$A$2:$A$2657,$A72,Data!$B$2:$B$2657,$B72,Data!$D$2:$D$2657,"Customer accounts, service &amp; sales"))/$D72,0)</f>
        <v>0.227319010145382</v>
      </c>
      <c r="I72" s="10" t="n">
        <f aca="false">IFERROR((SUMIFS(Data!$E$2:$E$2657,Data!$A$2:$A$2657,$A72,Data!$B$2:$B$2657,$B72,Data!$D$2:$D$2657,"A&amp;G and general")+SUMIFS(Data!$G$2:$G$2657,Data!$A$2:$A$2657,$A72,Data!$B$2:$B$2657,$B72,Data!$D$2:$D$2657,"A&amp;G and general"))/$D72,0)</f>
        <v>0.457205162832295</v>
      </c>
      <c r="J72" s="10" t="n">
        <f aca="false">IFERROR(SUMIFS(Data!$F$2:$F$2657,Data!$A$2:$A$2657,$A72,Data!$B$2:$B$2657,$B72)/$D72,0)</f>
        <v>0</v>
      </c>
      <c r="K72" s="11" t="n">
        <f aca="false">SUM(E72:I72)</f>
        <v>1</v>
      </c>
    </row>
    <row r="73" customFormat="false" ht="15" hidden="false" customHeight="false" outlineLevel="0" collapsed="false">
      <c r="A73" s="7" t="n">
        <v>1998</v>
      </c>
      <c r="B73" s="12" t="s">
        <v>78</v>
      </c>
      <c r="C73" s="12" t="s">
        <v>65</v>
      </c>
      <c r="D73" s="9" t="n">
        <f aca="false">SUMIFS(Data!$E$2:$E$2657,Data!$A$2:$A$2657,$A73,Data!$B$2:$B$2657,$B73)+SUMIFS(Data!$G$2:$G$2657,Data!$A$2:$A$2657,$A73,Data!$B$2:$B$2657,$B73)</f>
        <v>72.505658</v>
      </c>
      <c r="E73" s="10" t="n">
        <f aca="false">IFERROR((SUMIFS(Data!$E$2:$E$2657,Data!$A$2:$A$2657,$A73,Data!$B$2:$B$2657,$B73,Data!$D$2:$D$2657,"Transmission")+SUMIFS(Data!$G$2:$G$2657,Data!$A$2:$A$2657,$A73,Data!$B$2:$B$2657,$B73,Data!$D$2:$D$2657,"Transmission"))/$D73,0)</f>
        <v>0.0563138534650634</v>
      </c>
      <c r="F73" s="10" t="n">
        <f aca="false">IFERROR((SUMIFS(Data!$E$2:$E$2657,Data!$A$2:$A$2657,$A73,Data!$B$2:$B$2657,$B73,Data!$D$2:$D$2657,"Distribution")+SUMIFS(Data!$G$2:$G$2657,Data!$A$2:$A$2657,$A73,Data!$B$2:$B$2657,$B73,Data!$D$2:$D$2657,"Distribution"))/$D73,0)</f>
        <v>0.211464945259858</v>
      </c>
      <c r="G73" s="10" t="n">
        <f aca="false">IFERROR((SUMIFS(Data!$E$2:$E$2657,Data!$A$2:$A$2657,$A73,Data!$B$2:$B$2657,$B73,Data!$D$2:$D$2657,"RTO/market operation")+SUMIFS(Data!$G$2:$G$2657,Data!$A$2:$A$2657,$A73,Data!$B$2:$B$2657,$B73,Data!$D$2:$D$2657,"RTO/market operation"))/$D73,0)</f>
        <v>0</v>
      </c>
      <c r="H73" s="10" t="n">
        <f aca="false">IFERROR((SUMIFS(Data!$E$2:$E$2657,Data!$A$2:$A$2657,$A73,Data!$B$2:$B$2657,$B73,Data!$D$2:$D$2657,"Customer accounts, service &amp; sales")+SUMIFS(Data!$G$2:$G$2657,Data!$A$2:$A$2657,$A73,Data!$B$2:$B$2657,$B73,Data!$D$2:$D$2657,"Customer accounts, service &amp; sales"))/$D73,0)</f>
        <v>0.0948028911067878</v>
      </c>
      <c r="I73" s="10" t="n">
        <f aca="false">IFERROR((SUMIFS(Data!$E$2:$E$2657,Data!$A$2:$A$2657,$A73,Data!$B$2:$B$2657,$B73,Data!$D$2:$D$2657,"A&amp;G and general")+SUMIFS(Data!$G$2:$G$2657,Data!$A$2:$A$2657,$A73,Data!$B$2:$B$2657,$B73,Data!$D$2:$D$2657,"A&amp;G and general"))/$D73,0)</f>
        <v>0.637418310168291</v>
      </c>
      <c r="J73" s="10" t="n">
        <f aca="false">IFERROR(SUMIFS(Data!$F$2:$F$2657,Data!$A$2:$A$2657,$A73,Data!$B$2:$B$2657,$B73)/$D73,0)</f>
        <v>0.000459715847279119</v>
      </c>
      <c r="K73" s="11" t="n">
        <f aca="false">SUM(E73:I73)</f>
        <v>1</v>
      </c>
    </row>
    <row r="74" customFormat="false" ht="15" hidden="false" customHeight="false" outlineLevel="0" collapsed="false">
      <c r="A74" s="7" t="n">
        <v>1998</v>
      </c>
      <c r="B74" s="12" t="s">
        <v>79</v>
      </c>
      <c r="C74" s="12" t="s">
        <v>72</v>
      </c>
      <c r="D74" s="9" t="n">
        <f aca="false">SUMIFS(Data!$E$2:$E$2657,Data!$A$2:$A$2657,$A74,Data!$B$2:$B$2657,$B74)+SUMIFS(Data!$G$2:$G$2657,Data!$A$2:$A$2657,$A74,Data!$B$2:$B$2657,$B74)</f>
        <v>406.894095</v>
      </c>
      <c r="E74" s="10" t="n">
        <f aca="false">IFERROR((SUMIFS(Data!$E$2:$E$2657,Data!$A$2:$A$2657,$A74,Data!$B$2:$B$2657,$B74,Data!$D$2:$D$2657,"Transmission")+SUMIFS(Data!$G$2:$G$2657,Data!$A$2:$A$2657,$A74,Data!$B$2:$B$2657,$B74,Data!$D$2:$D$2657,"Transmission"))/$D74,0)</f>
        <v>0.0614599924336577</v>
      </c>
      <c r="F74" s="10" t="n">
        <f aca="false">IFERROR((SUMIFS(Data!$E$2:$E$2657,Data!$A$2:$A$2657,$A74,Data!$B$2:$B$2657,$B74,Data!$D$2:$D$2657,"Distribution")+SUMIFS(Data!$G$2:$G$2657,Data!$A$2:$A$2657,$A74,Data!$B$2:$B$2657,$B74,Data!$D$2:$D$2657,"Distribution"))/$D74,0)</f>
        <v>0.260584671301263</v>
      </c>
      <c r="G74" s="10" t="n">
        <f aca="false">IFERROR((SUMIFS(Data!$E$2:$E$2657,Data!$A$2:$A$2657,$A74,Data!$B$2:$B$2657,$B74,Data!$D$2:$D$2657,"RTO/market operation")+SUMIFS(Data!$G$2:$G$2657,Data!$A$2:$A$2657,$A74,Data!$B$2:$B$2657,$B74,Data!$D$2:$D$2657,"RTO/market operation"))/$D74,0)</f>
        <v>0</v>
      </c>
      <c r="H74" s="10" t="n">
        <f aca="false">IFERROR((SUMIFS(Data!$E$2:$E$2657,Data!$A$2:$A$2657,$A74,Data!$B$2:$B$2657,$B74,Data!$D$2:$D$2657,"Customer accounts, service &amp; sales")+SUMIFS(Data!$G$2:$G$2657,Data!$A$2:$A$2657,$A74,Data!$B$2:$B$2657,$B74,Data!$D$2:$D$2657,"Customer accounts, service &amp; sales"))/$D74,0)</f>
        <v>0.202226245136342</v>
      </c>
      <c r="I74" s="10" t="n">
        <f aca="false">IFERROR((SUMIFS(Data!$E$2:$E$2657,Data!$A$2:$A$2657,$A74,Data!$B$2:$B$2657,$B74,Data!$D$2:$D$2657,"A&amp;G and general")+SUMIFS(Data!$G$2:$G$2657,Data!$A$2:$A$2657,$A74,Data!$B$2:$B$2657,$B74,Data!$D$2:$D$2657,"A&amp;G and general"))/$D74,0)</f>
        <v>0.475729091128737</v>
      </c>
      <c r="J74" s="10" t="n">
        <f aca="false">IFERROR(SUMIFS(Data!$F$2:$F$2657,Data!$A$2:$A$2657,$A74,Data!$B$2:$B$2657,$B74)/$D74,0)</f>
        <v>0.0170471557224245</v>
      </c>
      <c r="K74" s="11" t="n">
        <f aca="false">SUM(E74:I74)</f>
        <v>1</v>
      </c>
    </row>
    <row r="75" customFormat="false" ht="15" hidden="false" customHeight="false" outlineLevel="0" collapsed="false">
      <c r="A75" s="7" t="n">
        <v>1998</v>
      </c>
      <c r="B75" s="12" t="s">
        <v>80</v>
      </c>
      <c r="C75" s="12" t="s">
        <v>72</v>
      </c>
      <c r="D75" s="9" t="n">
        <f aca="false">SUMIFS(Data!$E$2:$E$2657,Data!$A$2:$A$2657,$A75,Data!$B$2:$B$2657,$B75)+SUMIFS(Data!$G$2:$G$2657,Data!$A$2:$A$2657,$A75,Data!$B$2:$B$2657,$B75)</f>
        <v>172.295991</v>
      </c>
      <c r="E75" s="10" t="n">
        <f aca="false">IFERROR((SUMIFS(Data!$E$2:$E$2657,Data!$A$2:$A$2657,$A75,Data!$B$2:$B$2657,$B75,Data!$D$2:$D$2657,"Transmission")+SUMIFS(Data!$G$2:$G$2657,Data!$A$2:$A$2657,$A75,Data!$B$2:$B$2657,$B75,Data!$D$2:$D$2657,"Transmission"))/$D75,0)</f>
        <v>0.181511925022098</v>
      </c>
      <c r="F75" s="10" t="n">
        <f aca="false">IFERROR((SUMIFS(Data!$E$2:$E$2657,Data!$A$2:$A$2657,$A75,Data!$B$2:$B$2657,$B75,Data!$D$2:$D$2657,"Distribution")+SUMIFS(Data!$G$2:$G$2657,Data!$A$2:$A$2657,$A75,Data!$B$2:$B$2657,$B75,Data!$D$2:$D$2657,"Distribution"))/$D75,0)</f>
        <v>0.261853109513152</v>
      </c>
      <c r="G75" s="10" t="n">
        <f aca="false">IFERROR((SUMIFS(Data!$E$2:$E$2657,Data!$A$2:$A$2657,$A75,Data!$B$2:$B$2657,$B75,Data!$D$2:$D$2657,"RTO/market operation")+SUMIFS(Data!$G$2:$G$2657,Data!$A$2:$A$2657,$A75,Data!$B$2:$B$2657,$B75,Data!$D$2:$D$2657,"RTO/market operation"))/$D75,0)</f>
        <v>0</v>
      </c>
      <c r="H75" s="10" t="n">
        <f aca="false">IFERROR((SUMIFS(Data!$E$2:$E$2657,Data!$A$2:$A$2657,$A75,Data!$B$2:$B$2657,$B75,Data!$D$2:$D$2657,"Customer accounts, service &amp; sales")+SUMIFS(Data!$G$2:$G$2657,Data!$A$2:$A$2657,$A75,Data!$B$2:$B$2657,$B75,Data!$D$2:$D$2657,"Customer accounts, service &amp; sales"))/$D75,0)</f>
        <v>0.111341766506918</v>
      </c>
      <c r="I75" s="10" t="n">
        <f aca="false">IFERROR((SUMIFS(Data!$E$2:$E$2657,Data!$A$2:$A$2657,$A75,Data!$B$2:$B$2657,$B75,Data!$D$2:$D$2657,"A&amp;G and general")+SUMIFS(Data!$G$2:$G$2657,Data!$A$2:$A$2657,$A75,Data!$B$2:$B$2657,$B75,Data!$D$2:$D$2657,"A&amp;G and general"))/$D75,0)</f>
        <v>0.445293198957833</v>
      </c>
      <c r="J75" s="10" t="n">
        <f aca="false">IFERROR(SUMIFS(Data!$F$2:$F$2657,Data!$A$2:$A$2657,$A75,Data!$B$2:$B$2657,$B75)/$D75,0)</f>
        <v>0.100485698474551</v>
      </c>
      <c r="K75" s="11" t="n">
        <f aca="false">SUM(E75:I75)</f>
        <v>1</v>
      </c>
    </row>
    <row r="76" customFormat="false" ht="15" hidden="false" customHeight="false" outlineLevel="0" collapsed="false">
      <c r="A76" s="7" t="n">
        <v>1998</v>
      </c>
      <c r="B76" s="12" t="s">
        <v>81</v>
      </c>
      <c r="C76" s="12" t="s">
        <v>72</v>
      </c>
      <c r="D76" s="9" t="n">
        <f aca="false">SUMIFS(Data!$E$2:$E$2657,Data!$A$2:$A$2657,$A76,Data!$B$2:$B$2657,$B76)+SUMIFS(Data!$G$2:$G$2657,Data!$A$2:$A$2657,$A76,Data!$B$2:$B$2657,$B76)</f>
        <v>114.799792</v>
      </c>
      <c r="E76" s="10" t="n">
        <f aca="false">IFERROR((SUMIFS(Data!$E$2:$E$2657,Data!$A$2:$A$2657,$A76,Data!$B$2:$B$2657,$B76,Data!$D$2:$D$2657,"Transmission")+SUMIFS(Data!$G$2:$G$2657,Data!$A$2:$A$2657,$A76,Data!$B$2:$B$2657,$B76,Data!$D$2:$D$2657,"Transmission"))/$D76,0)</f>
        <v>0.10510966779452</v>
      </c>
      <c r="F76" s="10" t="n">
        <f aca="false">IFERROR((SUMIFS(Data!$E$2:$E$2657,Data!$A$2:$A$2657,$A76,Data!$B$2:$B$2657,$B76,Data!$D$2:$D$2657,"Distribution")+SUMIFS(Data!$G$2:$G$2657,Data!$A$2:$A$2657,$A76,Data!$B$2:$B$2657,$B76,Data!$D$2:$D$2657,"Distribution"))/$D76,0)</f>
        <v>0.399392204473681</v>
      </c>
      <c r="G76" s="10" t="n">
        <f aca="false">IFERROR((SUMIFS(Data!$E$2:$E$2657,Data!$A$2:$A$2657,$A76,Data!$B$2:$B$2657,$B76,Data!$D$2:$D$2657,"RTO/market operation")+SUMIFS(Data!$G$2:$G$2657,Data!$A$2:$A$2657,$A76,Data!$B$2:$B$2657,$B76,Data!$D$2:$D$2657,"RTO/market operation"))/$D76,0)</f>
        <v>0</v>
      </c>
      <c r="H76" s="10" t="n">
        <f aca="false">IFERROR((SUMIFS(Data!$E$2:$E$2657,Data!$A$2:$A$2657,$A76,Data!$B$2:$B$2657,$B76,Data!$D$2:$D$2657,"Customer accounts, service &amp; sales")+SUMIFS(Data!$G$2:$G$2657,Data!$A$2:$A$2657,$A76,Data!$B$2:$B$2657,$B76,Data!$D$2:$D$2657,"Customer accounts, service &amp; sales"))/$D76,0)</f>
        <v>0.234226940062749</v>
      </c>
      <c r="I76" s="10" t="n">
        <f aca="false">IFERROR((SUMIFS(Data!$E$2:$E$2657,Data!$A$2:$A$2657,$A76,Data!$B$2:$B$2657,$B76,Data!$D$2:$D$2657,"A&amp;G and general")+SUMIFS(Data!$G$2:$G$2657,Data!$A$2:$A$2657,$A76,Data!$B$2:$B$2657,$B76,Data!$D$2:$D$2657,"A&amp;G and general"))/$D76,0)</f>
        <v>0.261271187669051</v>
      </c>
      <c r="J76" s="10" t="n">
        <f aca="false">IFERROR(SUMIFS(Data!$F$2:$F$2657,Data!$A$2:$A$2657,$A76,Data!$B$2:$B$2657,$B76)/$D76,0)</f>
        <v>0.0118882619578265</v>
      </c>
      <c r="K76" s="11" t="n">
        <f aca="false">SUM(E76:I76)</f>
        <v>1</v>
      </c>
    </row>
    <row r="77" customFormat="false" ht="15" hidden="false" customHeight="false" outlineLevel="0" collapsed="false">
      <c r="A77" s="7" t="n">
        <v>1999</v>
      </c>
      <c r="B77" s="12" t="s">
        <v>56</v>
      </c>
      <c r="C77" s="12" t="s">
        <v>57</v>
      </c>
      <c r="D77" s="9" t="n">
        <f aca="false">SUMIFS(Data!$E$2:$E$2657,Data!$A$2:$A$2657,$A77,Data!$B$2:$B$2657,$B77)+SUMIFS(Data!$G$2:$G$2657,Data!$A$2:$A$2657,$A77,Data!$B$2:$B$2657,$B77)</f>
        <v>112.089468</v>
      </c>
      <c r="E77" s="10" t="n">
        <f aca="false">IFERROR((SUMIFS(Data!$E$2:$E$2657,Data!$A$2:$A$2657,$A77,Data!$B$2:$B$2657,$B77,Data!$D$2:$D$2657,"Transmission")+SUMIFS(Data!$G$2:$G$2657,Data!$A$2:$A$2657,$A77,Data!$B$2:$B$2657,$B77,Data!$D$2:$D$2657,"Transmission"))/$D77,0)</f>
        <v>0.105249433425806</v>
      </c>
      <c r="F77" s="10" t="n">
        <f aca="false">IFERROR((SUMIFS(Data!$E$2:$E$2657,Data!$A$2:$A$2657,$A77,Data!$B$2:$B$2657,$B77,Data!$D$2:$D$2657,"Distribution")+SUMIFS(Data!$G$2:$G$2657,Data!$A$2:$A$2657,$A77,Data!$B$2:$B$2657,$B77,Data!$D$2:$D$2657,"Distribution"))/$D77,0)</f>
        <v>0.203599913597592</v>
      </c>
      <c r="G77" s="10" t="n">
        <f aca="false">IFERROR((SUMIFS(Data!$E$2:$E$2657,Data!$A$2:$A$2657,$A77,Data!$B$2:$B$2657,$B77,Data!$D$2:$D$2657,"RTO/market operation")+SUMIFS(Data!$G$2:$G$2657,Data!$A$2:$A$2657,$A77,Data!$B$2:$B$2657,$B77,Data!$D$2:$D$2657,"RTO/market operation"))/$D77,0)</f>
        <v>0</v>
      </c>
      <c r="H77" s="10" t="n">
        <f aca="false">IFERROR((SUMIFS(Data!$E$2:$E$2657,Data!$A$2:$A$2657,$A77,Data!$B$2:$B$2657,$B77,Data!$D$2:$D$2657,"Customer accounts, service &amp; sales")+SUMIFS(Data!$G$2:$G$2657,Data!$A$2:$A$2657,$A77,Data!$B$2:$B$2657,$B77,Data!$D$2:$D$2657,"Customer accounts, service &amp; sales"))/$D77,0)</f>
        <v>0.261959616045283</v>
      </c>
      <c r="I77" s="10" t="n">
        <f aca="false">IFERROR((SUMIFS(Data!$E$2:$E$2657,Data!$A$2:$A$2657,$A77,Data!$B$2:$B$2657,$B77,Data!$D$2:$D$2657,"A&amp;G and general")+SUMIFS(Data!$G$2:$G$2657,Data!$A$2:$A$2657,$A77,Data!$B$2:$B$2657,$B77,Data!$D$2:$D$2657,"A&amp;G and general"))/$D77,0)</f>
        <v>0.42919103693132</v>
      </c>
      <c r="J77" s="10" t="n">
        <f aca="false">IFERROR(SUMIFS(Data!$F$2:$F$2657,Data!$A$2:$A$2657,$A77,Data!$B$2:$B$2657,$B77)/$D77,0)</f>
        <v>0.000425392330348111</v>
      </c>
      <c r="K77" s="11" t="n">
        <f aca="false">SUM(E77:I77)</f>
        <v>1</v>
      </c>
    </row>
    <row r="78" customFormat="false" ht="15" hidden="false" customHeight="false" outlineLevel="0" collapsed="false">
      <c r="A78" s="7" t="n">
        <v>1999</v>
      </c>
      <c r="B78" s="12" t="s">
        <v>58</v>
      </c>
      <c r="C78" s="12" t="s">
        <v>59</v>
      </c>
      <c r="D78" s="9" t="n">
        <f aca="false">SUMIFS(Data!$E$2:$E$2657,Data!$A$2:$A$2657,$A78,Data!$B$2:$B$2657,$B78)+SUMIFS(Data!$G$2:$G$2657,Data!$A$2:$A$2657,$A78,Data!$B$2:$B$2657,$B78)</f>
        <v>546.07666</v>
      </c>
      <c r="E78" s="10" t="n">
        <f aca="false">IFERROR((SUMIFS(Data!$E$2:$E$2657,Data!$A$2:$A$2657,$A78,Data!$B$2:$B$2657,$B78,Data!$D$2:$D$2657,"Transmission")+SUMIFS(Data!$G$2:$G$2657,Data!$A$2:$A$2657,$A78,Data!$B$2:$B$2657,$B78,Data!$D$2:$D$2657,"Transmission"))/$D78,0)</f>
        <v>0.0834301030188692</v>
      </c>
      <c r="F78" s="10" t="n">
        <f aca="false">IFERROR((SUMIFS(Data!$E$2:$E$2657,Data!$A$2:$A$2657,$A78,Data!$B$2:$B$2657,$B78,Data!$D$2:$D$2657,"Distribution")+SUMIFS(Data!$G$2:$G$2657,Data!$A$2:$A$2657,$A78,Data!$B$2:$B$2657,$B78,Data!$D$2:$D$2657,"Distribution"))/$D78,0)</f>
        <v>0.331025896620449</v>
      </c>
      <c r="G78" s="10" t="n">
        <f aca="false">IFERROR((SUMIFS(Data!$E$2:$E$2657,Data!$A$2:$A$2657,$A78,Data!$B$2:$B$2657,$B78,Data!$D$2:$D$2657,"RTO/market operation")+SUMIFS(Data!$G$2:$G$2657,Data!$A$2:$A$2657,$A78,Data!$B$2:$B$2657,$B78,Data!$D$2:$D$2657,"RTO/market operation"))/$D78,0)</f>
        <v>0</v>
      </c>
      <c r="H78" s="10" t="n">
        <f aca="false">IFERROR((SUMIFS(Data!$E$2:$E$2657,Data!$A$2:$A$2657,$A78,Data!$B$2:$B$2657,$B78,Data!$D$2:$D$2657,"Customer accounts, service &amp; sales")+SUMIFS(Data!$G$2:$G$2657,Data!$A$2:$A$2657,$A78,Data!$B$2:$B$2657,$B78,Data!$D$2:$D$2657,"Customer accounts, service &amp; sales"))/$D78,0)</f>
        <v>0.121430692533169</v>
      </c>
      <c r="I78" s="10" t="n">
        <f aca="false">IFERROR((SUMIFS(Data!$E$2:$E$2657,Data!$A$2:$A$2657,$A78,Data!$B$2:$B$2657,$B78,Data!$D$2:$D$2657,"A&amp;G and general")+SUMIFS(Data!$G$2:$G$2657,Data!$A$2:$A$2657,$A78,Data!$B$2:$B$2657,$B78,Data!$D$2:$D$2657,"A&amp;G and general"))/$D78,0)</f>
        <v>0.464113307827513</v>
      </c>
      <c r="J78" s="10" t="n">
        <f aca="false">IFERROR(SUMIFS(Data!$F$2:$F$2657,Data!$A$2:$A$2657,$A78,Data!$B$2:$B$2657,$B78)/$D78,0)</f>
        <v>0.00100156999934771</v>
      </c>
      <c r="K78" s="11" t="n">
        <f aca="false">SUM(E78:I78)</f>
        <v>1</v>
      </c>
    </row>
    <row r="79" customFormat="false" ht="15" hidden="false" customHeight="false" outlineLevel="0" collapsed="false">
      <c r="A79" s="7" t="n">
        <v>1999</v>
      </c>
      <c r="B79" s="12" t="s">
        <v>60</v>
      </c>
      <c r="C79" s="12" t="s">
        <v>59</v>
      </c>
      <c r="D79" s="9" t="n">
        <f aca="false">SUMIFS(Data!$E$2:$E$2657,Data!$A$2:$A$2657,$A79,Data!$B$2:$B$2657,$B79)+SUMIFS(Data!$G$2:$G$2657,Data!$A$2:$A$2657,$A79,Data!$B$2:$B$2657,$B79)</f>
        <v>1575.040931</v>
      </c>
      <c r="E79" s="10" t="n">
        <f aca="false">IFERROR((SUMIFS(Data!$E$2:$E$2657,Data!$A$2:$A$2657,$A79,Data!$B$2:$B$2657,$B79,Data!$D$2:$D$2657,"Transmission")+SUMIFS(Data!$G$2:$G$2657,Data!$A$2:$A$2657,$A79,Data!$B$2:$B$2657,$B79,Data!$D$2:$D$2657,"Transmission"))/$D79,0)</f>
        <v>0.0845835789901767</v>
      </c>
      <c r="F79" s="10" t="n">
        <f aca="false">IFERROR((SUMIFS(Data!$E$2:$E$2657,Data!$A$2:$A$2657,$A79,Data!$B$2:$B$2657,$B79,Data!$D$2:$D$2657,"Distribution")+SUMIFS(Data!$G$2:$G$2657,Data!$A$2:$A$2657,$A79,Data!$B$2:$B$2657,$B79,Data!$D$2:$D$2657,"Distribution"))/$D79,0)</f>
        <v>0.345868045888898</v>
      </c>
      <c r="G79" s="10" t="n">
        <f aca="false">IFERROR((SUMIFS(Data!$E$2:$E$2657,Data!$A$2:$A$2657,$A79,Data!$B$2:$B$2657,$B79,Data!$D$2:$D$2657,"RTO/market operation")+SUMIFS(Data!$G$2:$G$2657,Data!$A$2:$A$2657,$A79,Data!$B$2:$B$2657,$B79,Data!$D$2:$D$2657,"RTO/market operation"))/$D79,0)</f>
        <v>0</v>
      </c>
      <c r="H79" s="10" t="n">
        <f aca="false">IFERROR((SUMIFS(Data!$E$2:$E$2657,Data!$A$2:$A$2657,$A79,Data!$B$2:$B$2657,$B79,Data!$D$2:$D$2657,"Customer accounts, service &amp; sales")+SUMIFS(Data!$G$2:$G$2657,Data!$A$2:$A$2657,$A79,Data!$B$2:$B$2657,$B79,Data!$D$2:$D$2657,"Customer accounts, service &amp; sales"))/$D79,0)</f>
        <v>0.195034185432226</v>
      </c>
      <c r="I79" s="10" t="n">
        <f aca="false">IFERROR((SUMIFS(Data!$E$2:$E$2657,Data!$A$2:$A$2657,$A79,Data!$B$2:$B$2657,$B79,Data!$D$2:$D$2657,"A&amp;G and general")+SUMIFS(Data!$G$2:$G$2657,Data!$A$2:$A$2657,$A79,Data!$B$2:$B$2657,$B79,Data!$D$2:$D$2657,"A&amp;G and general"))/$D79,0)</f>
        <v>0.3745141896887</v>
      </c>
      <c r="J79" s="10" t="n">
        <f aca="false">IFERROR(SUMIFS(Data!$F$2:$F$2657,Data!$A$2:$A$2657,$A79,Data!$B$2:$B$2657,$B79)/$D79,0)</f>
        <v>0.00308851402160799</v>
      </c>
      <c r="K79" s="11" t="n">
        <f aca="false">SUM(E79:I79)</f>
        <v>1</v>
      </c>
    </row>
    <row r="80" customFormat="false" ht="15" hidden="false" customHeight="false" outlineLevel="0" collapsed="false">
      <c r="A80" s="7" t="n">
        <v>1999</v>
      </c>
      <c r="B80" s="12" t="s">
        <v>61</v>
      </c>
      <c r="C80" s="12" t="s">
        <v>62</v>
      </c>
      <c r="D80" s="9" t="n">
        <f aca="false">SUMIFS(Data!$E$2:$E$2657,Data!$A$2:$A$2657,$A80,Data!$B$2:$B$2657,$B80)+SUMIFS(Data!$G$2:$G$2657,Data!$A$2:$A$2657,$A80,Data!$B$2:$B$2657,$B80)</f>
        <v>456.017131</v>
      </c>
      <c r="E80" s="10" t="n">
        <f aca="false">IFERROR((SUMIFS(Data!$E$2:$E$2657,Data!$A$2:$A$2657,$A80,Data!$B$2:$B$2657,$B80,Data!$D$2:$D$2657,"Transmission")+SUMIFS(Data!$G$2:$G$2657,Data!$A$2:$A$2657,$A80,Data!$B$2:$B$2657,$B80,Data!$D$2:$D$2657,"Transmission"))/$D80,0)</f>
        <v>0.0900554830252638</v>
      </c>
      <c r="F80" s="10" t="n">
        <f aca="false">IFERROR((SUMIFS(Data!$E$2:$E$2657,Data!$A$2:$A$2657,$A80,Data!$B$2:$B$2657,$B80,Data!$D$2:$D$2657,"Distribution")+SUMIFS(Data!$G$2:$G$2657,Data!$A$2:$A$2657,$A80,Data!$B$2:$B$2657,$B80,Data!$D$2:$D$2657,"Distribution"))/$D80,0)</f>
        <v>0.40253513633899</v>
      </c>
      <c r="G80" s="10" t="n">
        <f aca="false">IFERROR((SUMIFS(Data!$E$2:$E$2657,Data!$A$2:$A$2657,$A80,Data!$B$2:$B$2657,$B80,Data!$D$2:$D$2657,"RTO/market operation")+SUMIFS(Data!$G$2:$G$2657,Data!$A$2:$A$2657,$A80,Data!$B$2:$B$2657,$B80,Data!$D$2:$D$2657,"RTO/market operation"))/$D80,0)</f>
        <v>0</v>
      </c>
      <c r="H80" s="10" t="n">
        <f aca="false">IFERROR((SUMIFS(Data!$E$2:$E$2657,Data!$A$2:$A$2657,$A80,Data!$B$2:$B$2657,$B80,Data!$D$2:$D$2657,"Customer accounts, service &amp; sales")+SUMIFS(Data!$G$2:$G$2657,Data!$A$2:$A$2657,$A80,Data!$B$2:$B$2657,$B80,Data!$D$2:$D$2657,"Customer accounts, service &amp; sales"))/$D80,0)</f>
        <v>0.154120056511649</v>
      </c>
      <c r="I80" s="10" t="n">
        <f aca="false">IFERROR((SUMIFS(Data!$E$2:$E$2657,Data!$A$2:$A$2657,$A80,Data!$B$2:$B$2657,$B80,Data!$D$2:$D$2657,"A&amp;G and general")+SUMIFS(Data!$G$2:$G$2657,Data!$A$2:$A$2657,$A80,Data!$B$2:$B$2657,$B80,Data!$D$2:$D$2657,"A&amp;G and general"))/$D80,0)</f>
        <v>0.353289324124097</v>
      </c>
      <c r="J80" s="10" t="n">
        <f aca="false">IFERROR(SUMIFS(Data!$F$2:$F$2657,Data!$A$2:$A$2657,$A80,Data!$B$2:$B$2657,$B80)/$D80,0)</f>
        <v>0.0138972915032878</v>
      </c>
      <c r="K80" s="11" t="n">
        <f aca="false">SUM(E80:I80)</f>
        <v>1</v>
      </c>
    </row>
    <row r="81" customFormat="false" ht="15" hidden="false" customHeight="false" outlineLevel="0" collapsed="false">
      <c r="A81" s="7" t="n">
        <v>1999</v>
      </c>
      <c r="B81" s="12" t="s">
        <v>63</v>
      </c>
      <c r="C81" s="12" t="s">
        <v>62</v>
      </c>
      <c r="D81" s="9" t="n">
        <f aca="false">SUMIFS(Data!$E$2:$E$2657,Data!$A$2:$A$2657,$A81,Data!$B$2:$B$2657,$B81)+SUMIFS(Data!$G$2:$G$2657,Data!$A$2:$A$2657,$A81,Data!$B$2:$B$2657,$B81)</f>
        <v>959.200503</v>
      </c>
      <c r="E81" s="10" t="n">
        <f aca="false">IFERROR((SUMIFS(Data!$E$2:$E$2657,Data!$A$2:$A$2657,$A81,Data!$B$2:$B$2657,$B81,Data!$D$2:$D$2657,"Transmission")+SUMIFS(Data!$G$2:$G$2657,Data!$A$2:$A$2657,$A81,Data!$B$2:$B$2657,$B81,Data!$D$2:$D$2657,"Transmission"))/$D81,0)</f>
        <v>0.0428286410104187</v>
      </c>
      <c r="F81" s="10" t="n">
        <f aca="false">IFERROR((SUMIFS(Data!$E$2:$E$2657,Data!$A$2:$A$2657,$A81,Data!$B$2:$B$2657,$B81,Data!$D$2:$D$2657,"Distribution")+SUMIFS(Data!$G$2:$G$2657,Data!$A$2:$A$2657,$A81,Data!$B$2:$B$2657,$B81,Data!$D$2:$D$2657,"Distribution"))/$D81,0)</f>
        <v>0.379994336804471</v>
      </c>
      <c r="G81" s="10" t="n">
        <f aca="false">IFERROR((SUMIFS(Data!$E$2:$E$2657,Data!$A$2:$A$2657,$A81,Data!$B$2:$B$2657,$B81,Data!$D$2:$D$2657,"RTO/market operation")+SUMIFS(Data!$G$2:$G$2657,Data!$A$2:$A$2657,$A81,Data!$B$2:$B$2657,$B81,Data!$D$2:$D$2657,"RTO/market operation"))/$D81,0)</f>
        <v>0</v>
      </c>
      <c r="H81" s="10" t="n">
        <f aca="false">IFERROR((SUMIFS(Data!$E$2:$E$2657,Data!$A$2:$A$2657,$A81,Data!$B$2:$B$2657,$B81,Data!$D$2:$D$2657,"Customer accounts, service &amp; sales")+SUMIFS(Data!$G$2:$G$2657,Data!$A$2:$A$2657,$A81,Data!$B$2:$B$2657,$B81,Data!$D$2:$D$2657,"Customer accounts, service &amp; sales"))/$D81,0)</f>
        <v>0.118770183755836</v>
      </c>
      <c r="I81" s="10" t="n">
        <f aca="false">IFERROR((SUMIFS(Data!$E$2:$E$2657,Data!$A$2:$A$2657,$A81,Data!$B$2:$B$2657,$B81,Data!$D$2:$D$2657,"A&amp;G and general")+SUMIFS(Data!$G$2:$G$2657,Data!$A$2:$A$2657,$A81,Data!$B$2:$B$2657,$B81,Data!$D$2:$D$2657,"A&amp;G and general"))/$D81,0)</f>
        <v>0.458406838429275</v>
      </c>
      <c r="J81" s="10" t="n">
        <f aca="false">IFERROR(SUMIFS(Data!$F$2:$F$2657,Data!$A$2:$A$2657,$A81,Data!$B$2:$B$2657,$B81)/$D81,0)</f>
        <v>0</v>
      </c>
      <c r="K81" s="11" t="n">
        <f aca="false">SUM(E81:I81)</f>
        <v>1</v>
      </c>
    </row>
    <row r="82" customFormat="false" ht="15" hidden="false" customHeight="false" outlineLevel="0" collapsed="false">
      <c r="A82" s="7" t="n">
        <v>1999</v>
      </c>
      <c r="B82" s="12" t="s">
        <v>64</v>
      </c>
      <c r="C82" s="12" t="s">
        <v>65</v>
      </c>
      <c r="D82" s="9" t="n">
        <f aca="false">SUMIFS(Data!$E$2:$E$2657,Data!$A$2:$A$2657,$A82,Data!$B$2:$B$2657,$B82)+SUMIFS(Data!$G$2:$G$2657,Data!$A$2:$A$2657,$A82,Data!$B$2:$B$2657,$B82)</f>
        <v>348.711085</v>
      </c>
      <c r="E82" s="10" t="n">
        <f aca="false">IFERROR((SUMIFS(Data!$E$2:$E$2657,Data!$A$2:$A$2657,$A82,Data!$B$2:$B$2657,$B82,Data!$D$2:$D$2657,"Transmission")+SUMIFS(Data!$G$2:$G$2657,Data!$A$2:$A$2657,$A82,Data!$B$2:$B$2657,$B82,Data!$D$2:$D$2657,"Transmission"))/$D82,0)</f>
        <v>0.121874964198514</v>
      </c>
      <c r="F82" s="10" t="n">
        <f aca="false">IFERROR((SUMIFS(Data!$E$2:$E$2657,Data!$A$2:$A$2657,$A82,Data!$B$2:$B$2657,$B82,Data!$D$2:$D$2657,"Distribution")+SUMIFS(Data!$G$2:$G$2657,Data!$A$2:$A$2657,$A82,Data!$B$2:$B$2657,$B82,Data!$D$2:$D$2657,"Distribution"))/$D82,0)</f>
        <v>0.235512114563264</v>
      </c>
      <c r="G82" s="10" t="n">
        <f aca="false">IFERROR((SUMIFS(Data!$E$2:$E$2657,Data!$A$2:$A$2657,$A82,Data!$B$2:$B$2657,$B82,Data!$D$2:$D$2657,"RTO/market operation")+SUMIFS(Data!$G$2:$G$2657,Data!$A$2:$A$2657,$A82,Data!$B$2:$B$2657,$B82,Data!$D$2:$D$2657,"RTO/market operation"))/$D82,0)</f>
        <v>0</v>
      </c>
      <c r="H82" s="10" t="n">
        <f aca="false">IFERROR((SUMIFS(Data!$E$2:$E$2657,Data!$A$2:$A$2657,$A82,Data!$B$2:$B$2657,$B82,Data!$D$2:$D$2657,"Customer accounts, service &amp; sales")+SUMIFS(Data!$G$2:$G$2657,Data!$A$2:$A$2657,$A82,Data!$B$2:$B$2657,$B82,Data!$D$2:$D$2657,"Customer accounts, service &amp; sales"))/$D82,0)</f>
        <v>0.214306393500511</v>
      </c>
      <c r="I82" s="10" t="n">
        <f aca="false">IFERROR((SUMIFS(Data!$E$2:$E$2657,Data!$A$2:$A$2657,$A82,Data!$B$2:$B$2657,$B82,Data!$D$2:$D$2657,"A&amp;G and general")+SUMIFS(Data!$G$2:$G$2657,Data!$A$2:$A$2657,$A82,Data!$B$2:$B$2657,$B82,Data!$D$2:$D$2657,"A&amp;G and general"))/$D82,0)</f>
        <v>0.428306527737712</v>
      </c>
      <c r="J82" s="10" t="n">
        <f aca="false">IFERROR(SUMIFS(Data!$F$2:$F$2657,Data!$A$2:$A$2657,$A82,Data!$B$2:$B$2657,$B82)/$D82,0)</f>
        <v>0.0458359647500165</v>
      </c>
      <c r="K82" s="11" t="n">
        <f aca="false">SUM(E82:I82)</f>
        <v>1</v>
      </c>
    </row>
    <row r="83" customFormat="false" ht="15" hidden="false" customHeight="false" outlineLevel="0" collapsed="false">
      <c r="A83" s="7" t="n">
        <v>1999</v>
      </c>
      <c r="B83" s="12" t="s">
        <v>66</v>
      </c>
      <c r="C83" s="12" t="s">
        <v>67</v>
      </c>
      <c r="D83" s="9" t="n">
        <f aca="false">SUMIFS(Data!$E$2:$E$2657,Data!$A$2:$A$2657,$A83,Data!$B$2:$B$2657,$B83)+SUMIFS(Data!$G$2:$G$2657,Data!$A$2:$A$2657,$A83,Data!$B$2:$B$2657,$B83)</f>
        <v>202.779325</v>
      </c>
      <c r="E83" s="10" t="n">
        <f aca="false">IFERROR((SUMIFS(Data!$E$2:$E$2657,Data!$A$2:$A$2657,$A83,Data!$B$2:$B$2657,$B83,Data!$D$2:$D$2657,"Transmission")+SUMIFS(Data!$G$2:$G$2657,Data!$A$2:$A$2657,$A83,Data!$B$2:$B$2657,$B83,Data!$D$2:$D$2657,"Transmission"))/$D83,0)</f>
        <v>-0.0398634624116635</v>
      </c>
      <c r="F83" s="10" t="n">
        <f aca="false">IFERROR((SUMIFS(Data!$E$2:$E$2657,Data!$A$2:$A$2657,$A83,Data!$B$2:$B$2657,$B83,Data!$D$2:$D$2657,"Distribution")+SUMIFS(Data!$G$2:$G$2657,Data!$A$2:$A$2657,$A83,Data!$B$2:$B$2657,$B83,Data!$D$2:$D$2657,"Distribution"))/$D83,0)</f>
        <v>0.362462371348756</v>
      </c>
      <c r="G83" s="10" t="n">
        <f aca="false">IFERROR((SUMIFS(Data!$E$2:$E$2657,Data!$A$2:$A$2657,$A83,Data!$B$2:$B$2657,$B83,Data!$D$2:$D$2657,"RTO/market operation")+SUMIFS(Data!$G$2:$G$2657,Data!$A$2:$A$2657,$A83,Data!$B$2:$B$2657,$B83,Data!$D$2:$D$2657,"RTO/market operation"))/$D83,0)</f>
        <v>0</v>
      </c>
      <c r="H83" s="10" t="n">
        <f aca="false">IFERROR((SUMIFS(Data!$E$2:$E$2657,Data!$A$2:$A$2657,$A83,Data!$B$2:$B$2657,$B83,Data!$D$2:$D$2657,"Customer accounts, service &amp; sales")+SUMIFS(Data!$G$2:$G$2657,Data!$A$2:$A$2657,$A83,Data!$B$2:$B$2657,$B83,Data!$D$2:$D$2657,"Customer accounts, service &amp; sales"))/$D83,0)</f>
        <v>0.15633575069845</v>
      </c>
      <c r="I83" s="10" t="n">
        <f aca="false">IFERROR((SUMIFS(Data!$E$2:$E$2657,Data!$A$2:$A$2657,$A83,Data!$B$2:$B$2657,$B83,Data!$D$2:$D$2657,"A&amp;G and general")+SUMIFS(Data!$G$2:$G$2657,Data!$A$2:$A$2657,$A83,Data!$B$2:$B$2657,$B83,Data!$D$2:$D$2657,"A&amp;G and general"))/$D83,0)</f>
        <v>0.521065340364458</v>
      </c>
      <c r="J83" s="10" t="n">
        <f aca="false">IFERROR(SUMIFS(Data!$F$2:$F$2657,Data!$A$2:$A$2657,$A83,Data!$B$2:$B$2657,$B83)/$D83,0)</f>
        <v>-0.210386196916278</v>
      </c>
      <c r="K83" s="11" t="n">
        <f aca="false">SUM(E83:I83)</f>
        <v>1</v>
      </c>
    </row>
    <row r="84" customFormat="false" ht="15" hidden="false" customHeight="false" outlineLevel="0" collapsed="false">
      <c r="A84" s="7" t="n">
        <v>1999</v>
      </c>
      <c r="B84" s="12" t="s">
        <v>68</v>
      </c>
      <c r="C84" s="12" t="s">
        <v>65</v>
      </c>
      <c r="D84" s="9" t="n">
        <f aca="false">SUMIFS(Data!$E$2:$E$2657,Data!$A$2:$A$2657,$A84,Data!$B$2:$B$2657,$B84)+SUMIFS(Data!$G$2:$G$2657,Data!$A$2:$A$2657,$A84,Data!$B$2:$B$2657,$B84)</f>
        <v>193.257102</v>
      </c>
      <c r="E84" s="10" t="n">
        <f aca="false">IFERROR((SUMIFS(Data!$E$2:$E$2657,Data!$A$2:$A$2657,$A84,Data!$B$2:$B$2657,$B84,Data!$D$2:$D$2657,"Transmission")+SUMIFS(Data!$G$2:$G$2657,Data!$A$2:$A$2657,$A84,Data!$B$2:$B$2657,$B84,Data!$D$2:$D$2657,"Transmission"))/$D84,0)</f>
        <v>0.0642375357569007</v>
      </c>
      <c r="F84" s="10" t="n">
        <f aca="false">IFERROR((SUMIFS(Data!$E$2:$E$2657,Data!$A$2:$A$2657,$A84,Data!$B$2:$B$2657,$B84,Data!$D$2:$D$2657,"Distribution")+SUMIFS(Data!$G$2:$G$2657,Data!$A$2:$A$2657,$A84,Data!$B$2:$B$2657,$B84,Data!$D$2:$D$2657,"Distribution"))/$D84,0)</f>
        <v>0.349197117733867</v>
      </c>
      <c r="G84" s="10" t="n">
        <f aca="false">IFERROR((SUMIFS(Data!$E$2:$E$2657,Data!$A$2:$A$2657,$A84,Data!$B$2:$B$2657,$B84,Data!$D$2:$D$2657,"RTO/market operation")+SUMIFS(Data!$G$2:$G$2657,Data!$A$2:$A$2657,$A84,Data!$B$2:$B$2657,$B84,Data!$D$2:$D$2657,"RTO/market operation"))/$D84,0)</f>
        <v>0</v>
      </c>
      <c r="H84" s="10" t="n">
        <f aca="false">IFERROR((SUMIFS(Data!$E$2:$E$2657,Data!$A$2:$A$2657,$A84,Data!$B$2:$B$2657,$B84,Data!$D$2:$D$2657,"Customer accounts, service &amp; sales")+SUMIFS(Data!$G$2:$G$2657,Data!$A$2:$A$2657,$A84,Data!$B$2:$B$2657,$B84,Data!$D$2:$D$2657,"Customer accounts, service &amp; sales"))/$D84,0)</f>
        <v>0.12203928215792</v>
      </c>
      <c r="I84" s="10" t="n">
        <f aca="false">IFERROR((SUMIFS(Data!$E$2:$E$2657,Data!$A$2:$A$2657,$A84,Data!$B$2:$B$2657,$B84,Data!$D$2:$D$2657,"A&amp;G and general")+SUMIFS(Data!$G$2:$G$2657,Data!$A$2:$A$2657,$A84,Data!$B$2:$B$2657,$B84,Data!$D$2:$D$2657,"A&amp;G and general"))/$D84,0)</f>
        <v>0.464526064351312</v>
      </c>
      <c r="J84" s="10" t="n">
        <f aca="false">IFERROR(SUMIFS(Data!$F$2:$F$2657,Data!$A$2:$A$2657,$A84,Data!$B$2:$B$2657,$B84)/$D84,0)</f>
        <v>0</v>
      </c>
      <c r="K84" s="11" t="n">
        <f aca="false">SUM(E84:I84)</f>
        <v>1</v>
      </c>
    </row>
    <row r="85" customFormat="false" ht="15" hidden="false" customHeight="false" outlineLevel="0" collapsed="false">
      <c r="A85" s="7" t="n">
        <v>1999</v>
      </c>
      <c r="B85" s="12" t="s">
        <v>69</v>
      </c>
      <c r="C85" s="12" t="s">
        <v>70</v>
      </c>
      <c r="D85" s="9" t="n">
        <f aca="false">SUMIFS(Data!$E$2:$E$2657,Data!$A$2:$A$2657,$A85,Data!$B$2:$B$2657,$B85)+SUMIFS(Data!$G$2:$G$2657,Data!$A$2:$A$2657,$A85,Data!$B$2:$B$2657,$B85)</f>
        <v>235.46919</v>
      </c>
      <c r="E85" s="10" t="n">
        <f aca="false">IFERROR((SUMIFS(Data!$E$2:$E$2657,Data!$A$2:$A$2657,$A85,Data!$B$2:$B$2657,$B85,Data!$D$2:$D$2657,"Transmission")+SUMIFS(Data!$G$2:$G$2657,Data!$A$2:$A$2657,$A85,Data!$B$2:$B$2657,$B85,Data!$D$2:$D$2657,"Transmission"))/$D85,0)</f>
        <v>0.12915864279314</v>
      </c>
      <c r="F85" s="10" t="n">
        <f aca="false">IFERROR((SUMIFS(Data!$E$2:$E$2657,Data!$A$2:$A$2657,$A85,Data!$B$2:$B$2657,$B85,Data!$D$2:$D$2657,"Distribution")+SUMIFS(Data!$G$2:$G$2657,Data!$A$2:$A$2657,$A85,Data!$B$2:$B$2657,$B85,Data!$D$2:$D$2657,"Distribution"))/$D85,0)</f>
        <v>0.280900435424269</v>
      </c>
      <c r="G85" s="10" t="n">
        <f aca="false">IFERROR((SUMIFS(Data!$E$2:$E$2657,Data!$A$2:$A$2657,$A85,Data!$B$2:$B$2657,$B85,Data!$D$2:$D$2657,"RTO/market operation")+SUMIFS(Data!$G$2:$G$2657,Data!$A$2:$A$2657,$A85,Data!$B$2:$B$2657,$B85,Data!$D$2:$D$2657,"RTO/market operation"))/$D85,0)</f>
        <v>0</v>
      </c>
      <c r="H85" s="10" t="n">
        <f aca="false">IFERROR((SUMIFS(Data!$E$2:$E$2657,Data!$A$2:$A$2657,$A85,Data!$B$2:$B$2657,$B85,Data!$D$2:$D$2657,"Customer accounts, service &amp; sales")+SUMIFS(Data!$G$2:$G$2657,Data!$A$2:$A$2657,$A85,Data!$B$2:$B$2657,$B85,Data!$D$2:$D$2657,"Customer accounts, service &amp; sales"))/$D85,0)</f>
        <v>0.213717208608056</v>
      </c>
      <c r="I85" s="10" t="n">
        <f aca="false">IFERROR((SUMIFS(Data!$E$2:$E$2657,Data!$A$2:$A$2657,$A85,Data!$B$2:$B$2657,$B85,Data!$D$2:$D$2657,"A&amp;G and general")+SUMIFS(Data!$G$2:$G$2657,Data!$A$2:$A$2657,$A85,Data!$B$2:$B$2657,$B85,Data!$D$2:$D$2657,"A&amp;G and general"))/$D85,0)</f>
        <v>0.376223713174535</v>
      </c>
      <c r="J85" s="10" t="n">
        <f aca="false">IFERROR(SUMIFS(Data!$F$2:$F$2657,Data!$A$2:$A$2657,$A85,Data!$B$2:$B$2657,$B85)/$D85,0)</f>
        <v>0.0200390038289086</v>
      </c>
      <c r="K85" s="11" t="n">
        <f aca="false">SUM(E85:I85)</f>
        <v>1</v>
      </c>
    </row>
    <row r="86" customFormat="false" ht="15" hidden="false" customHeight="false" outlineLevel="0" collapsed="false">
      <c r="A86" s="7" t="n">
        <v>1999</v>
      </c>
      <c r="B86" s="12" t="s">
        <v>71</v>
      </c>
      <c r="C86" s="12" t="s">
        <v>72</v>
      </c>
      <c r="D86" s="9" t="n">
        <f aca="false">SUMIFS(Data!$E$2:$E$2657,Data!$A$2:$A$2657,$A86,Data!$B$2:$B$2657,$B86)+SUMIFS(Data!$G$2:$G$2657,Data!$A$2:$A$2657,$A86,Data!$B$2:$B$2657,$B86)</f>
        <v>48.203162</v>
      </c>
      <c r="E86" s="10" t="n">
        <f aca="false">IFERROR((SUMIFS(Data!$E$2:$E$2657,Data!$A$2:$A$2657,$A86,Data!$B$2:$B$2657,$B86,Data!$D$2:$D$2657,"Transmission")+SUMIFS(Data!$G$2:$G$2657,Data!$A$2:$A$2657,$A86,Data!$B$2:$B$2657,$B86,Data!$D$2:$D$2657,"Transmission"))/$D86,0)</f>
        <v>0.12506443042056</v>
      </c>
      <c r="F86" s="10" t="n">
        <f aca="false">IFERROR((SUMIFS(Data!$E$2:$E$2657,Data!$A$2:$A$2657,$A86,Data!$B$2:$B$2657,$B86,Data!$D$2:$D$2657,"Distribution")+SUMIFS(Data!$G$2:$G$2657,Data!$A$2:$A$2657,$A86,Data!$B$2:$B$2657,$B86,Data!$D$2:$D$2657,"Distribution"))/$D86,0)</f>
        <v>0.266657859498927</v>
      </c>
      <c r="G86" s="10" t="n">
        <f aca="false">IFERROR((SUMIFS(Data!$E$2:$E$2657,Data!$A$2:$A$2657,$A86,Data!$B$2:$B$2657,$B86,Data!$D$2:$D$2657,"RTO/market operation")+SUMIFS(Data!$G$2:$G$2657,Data!$A$2:$A$2657,$A86,Data!$B$2:$B$2657,$B86,Data!$D$2:$D$2657,"RTO/market operation"))/$D86,0)</f>
        <v>0</v>
      </c>
      <c r="H86" s="10" t="n">
        <f aca="false">IFERROR((SUMIFS(Data!$E$2:$E$2657,Data!$A$2:$A$2657,$A86,Data!$B$2:$B$2657,$B86,Data!$D$2:$D$2657,"Customer accounts, service &amp; sales")+SUMIFS(Data!$G$2:$G$2657,Data!$A$2:$A$2657,$A86,Data!$B$2:$B$2657,$B86,Data!$D$2:$D$2657,"Customer accounts, service &amp; sales"))/$D86,0)</f>
        <v>0.201284824427078</v>
      </c>
      <c r="I86" s="10" t="n">
        <f aca="false">IFERROR((SUMIFS(Data!$E$2:$E$2657,Data!$A$2:$A$2657,$A86,Data!$B$2:$B$2657,$B86,Data!$D$2:$D$2657,"A&amp;G and general")+SUMIFS(Data!$G$2:$G$2657,Data!$A$2:$A$2657,$A86,Data!$B$2:$B$2657,$B86,Data!$D$2:$D$2657,"A&amp;G and general"))/$D86,0)</f>
        <v>0.406992885653435</v>
      </c>
      <c r="J86" s="10" t="n">
        <f aca="false">IFERROR(SUMIFS(Data!$F$2:$F$2657,Data!$A$2:$A$2657,$A86,Data!$B$2:$B$2657,$B86)/$D86,0)</f>
        <v>0.0306038844505678</v>
      </c>
      <c r="K86" s="11" t="n">
        <f aca="false">SUM(E86:I86)</f>
        <v>1</v>
      </c>
    </row>
    <row r="87" customFormat="false" ht="15" hidden="false" customHeight="false" outlineLevel="0" collapsed="false">
      <c r="A87" s="7" t="n">
        <v>1999</v>
      </c>
      <c r="B87" s="12" t="s">
        <v>73</v>
      </c>
      <c r="C87" s="12" t="s">
        <v>70</v>
      </c>
      <c r="D87" s="9" t="n">
        <f aca="false">SUMIFS(Data!$E$2:$E$2657,Data!$A$2:$A$2657,$A87,Data!$B$2:$B$2657,$B87)+SUMIFS(Data!$G$2:$G$2657,Data!$A$2:$A$2657,$A87,Data!$B$2:$B$2657,$B87)</f>
        <v>312.924159</v>
      </c>
      <c r="E87" s="10" t="n">
        <f aca="false">IFERROR((SUMIFS(Data!$E$2:$E$2657,Data!$A$2:$A$2657,$A87,Data!$B$2:$B$2657,$B87,Data!$D$2:$D$2657,"Transmission")+SUMIFS(Data!$G$2:$G$2657,Data!$A$2:$A$2657,$A87,Data!$B$2:$B$2657,$B87,Data!$D$2:$D$2657,"Transmission"))/$D87,0)</f>
        <v>0.0850584502170061</v>
      </c>
      <c r="F87" s="10" t="n">
        <f aca="false">IFERROR((SUMIFS(Data!$E$2:$E$2657,Data!$A$2:$A$2657,$A87,Data!$B$2:$B$2657,$B87,Data!$D$2:$D$2657,"Distribution")+SUMIFS(Data!$G$2:$G$2657,Data!$A$2:$A$2657,$A87,Data!$B$2:$B$2657,$B87,Data!$D$2:$D$2657,"Distribution"))/$D87,0)</f>
        <v>0.297720461397805</v>
      </c>
      <c r="G87" s="10" t="n">
        <f aca="false">IFERROR((SUMIFS(Data!$E$2:$E$2657,Data!$A$2:$A$2657,$A87,Data!$B$2:$B$2657,$B87,Data!$D$2:$D$2657,"RTO/market operation")+SUMIFS(Data!$G$2:$G$2657,Data!$A$2:$A$2657,$A87,Data!$B$2:$B$2657,$B87,Data!$D$2:$D$2657,"RTO/market operation"))/$D87,0)</f>
        <v>0</v>
      </c>
      <c r="H87" s="10" t="n">
        <f aca="false">IFERROR((SUMIFS(Data!$E$2:$E$2657,Data!$A$2:$A$2657,$A87,Data!$B$2:$B$2657,$B87,Data!$D$2:$D$2657,"Customer accounts, service &amp; sales")+SUMIFS(Data!$G$2:$G$2657,Data!$A$2:$A$2657,$A87,Data!$B$2:$B$2657,$B87,Data!$D$2:$D$2657,"Customer accounts, service &amp; sales"))/$D87,0)</f>
        <v>0.211900766025547</v>
      </c>
      <c r="I87" s="10" t="n">
        <f aca="false">IFERROR((SUMIFS(Data!$E$2:$E$2657,Data!$A$2:$A$2657,$A87,Data!$B$2:$B$2657,$B87,Data!$D$2:$D$2657,"A&amp;G and general")+SUMIFS(Data!$G$2:$G$2657,Data!$A$2:$A$2657,$A87,Data!$B$2:$B$2657,$B87,Data!$D$2:$D$2657,"A&amp;G and general"))/$D87,0)</f>
        <v>0.405320322359642</v>
      </c>
      <c r="J87" s="10" t="n">
        <f aca="false">IFERROR(SUMIFS(Data!$F$2:$F$2657,Data!$A$2:$A$2657,$A87,Data!$B$2:$B$2657,$B87)/$D87,0)</f>
        <v>0.00292980894453726</v>
      </c>
      <c r="K87" s="11" t="n">
        <f aca="false">SUM(E87:I87)</f>
        <v>1</v>
      </c>
    </row>
    <row r="88" customFormat="false" ht="15" hidden="false" customHeight="false" outlineLevel="0" collapsed="false">
      <c r="A88" s="7" t="n">
        <v>1999</v>
      </c>
      <c r="B88" s="12" t="s">
        <v>74</v>
      </c>
      <c r="C88" s="12" t="s">
        <v>65</v>
      </c>
      <c r="D88" s="9" t="n">
        <f aca="false">SUMIFS(Data!$E$2:$E$2657,Data!$A$2:$A$2657,$A88,Data!$B$2:$B$2657,$B88)+SUMIFS(Data!$G$2:$G$2657,Data!$A$2:$A$2657,$A88,Data!$B$2:$B$2657,$B88)</f>
        <v>198.093348</v>
      </c>
      <c r="E88" s="10" t="n">
        <f aca="false">IFERROR((SUMIFS(Data!$E$2:$E$2657,Data!$A$2:$A$2657,$A88,Data!$B$2:$B$2657,$B88,Data!$D$2:$D$2657,"Transmission")+SUMIFS(Data!$G$2:$G$2657,Data!$A$2:$A$2657,$A88,Data!$B$2:$B$2657,$B88,Data!$D$2:$D$2657,"Transmission"))/$D88,0)</f>
        <v>0.133578190621525</v>
      </c>
      <c r="F88" s="10" t="n">
        <f aca="false">IFERROR((SUMIFS(Data!$E$2:$E$2657,Data!$A$2:$A$2657,$A88,Data!$B$2:$B$2657,$B88,Data!$D$2:$D$2657,"Distribution")+SUMIFS(Data!$G$2:$G$2657,Data!$A$2:$A$2657,$A88,Data!$B$2:$B$2657,$B88,Data!$D$2:$D$2657,"Distribution"))/$D88,0)</f>
        <v>0.306433066091649</v>
      </c>
      <c r="G88" s="10" t="n">
        <f aca="false">IFERROR((SUMIFS(Data!$E$2:$E$2657,Data!$A$2:$A$2657,$A88,Data!$B$2:$B$2657,$B88,Data!$D$2:$D$2657,"RTO/market operation")+SUMIFS(Data!$G$2:$G$2657,Data!$A$2:$A$2657,$A88,Data!$B$2:$B$2657,$B88,Data!$D$2:$D$2657,"RTO/market operation"))/$D88,0)</f>
        <v>0</v>
      </c>
      <c r="H88" s="10" t="n">
        <f aca="false">IFERROR((SUMIFS(Data!$E$2:$E$2657,Data!$A$2:$A$2657,$A88,Data!$B$2:$B$2657,$B88,Data!$D$2:$D$2657,"Customer accounts, service &amp; sales")+SUMIFS(Data!$G$2:$G$2657,Data!$A$2:$A$2657,$A88,Data!$B$2:$B$2657,$B88,Data!$D$2:$D$2657,"Customer accounts, service &amp; sales"))/$D88,0)</f>
        <v>0.096410834552607</v>
      </c>
      <c r="I88" s="10" t="n">
        <f aca="false">IFERROR((SUMIFS(Data!$E$2:$E$2657,Data!$A$2:$A$2657,$A88,Data!$B$2:$B$2657,$B88,Data!$D$2:$D$2657,"A&amp;G and general")+SUMIFS(Data!$G$2:$G$2657,Data!$A$2:$A$2657,$A88,Data!$B$2:$B$2657,$B88,Data!$D$2:$D$2657,"A&amp;G and general"))/$D88,0)</f>
        <v>0.46357790873422</v>
      </c>
      <c r="J88" s="10" t="n">
        <f aca="false">IFERROR(SUMIFS(Data!$F$2:$F$2657,Data!$A$2:$A$2657,$A88,Data!$B$2:$B$2657,$B88)/$D88,0)</f>
        <v>0.000916153933649503</v>
      </c>
      <c r="K88" s="11" t="n">
        <f aca="false">SUM(E88:I88)</f>
        <v>1</v>
      </c>
    </row>
    <row r="89" customFormat="false" ht="15" hidden="false" customHeight="false" outlineLevel="0" collapsed="false">
      <c r="A89" s="7" t="n">
        <v>1999</v>
      </c>
      <c r="B89" s="12" t="s">
        <v>75</v>
      </c>
      <c r="C89" s="12" t="s">
        <v>57</v>
      </c>
      <c r="D89" s="9" t="n">
        <f aca="false">SUMIFS(Data!$E$2:$E$2657,Data!$A$2:$A$2657,$A89,Data!$B$2:$B$2657,$B89)+SUMIFS(Data!$G$2:$G$2657,Data!$A$2:$A$2657,$A89,Data!$B$2:$B$2657,$B89)</f>
        <v>492.167127</v>
      </c>
      <c r="E89" s="10" t="n">
        <f aca="false">IFERROR((SUMIFS(Data!$E$2:$E$2657,Data!$A$2:$A$2657,$A89,Data!$B$2:$B$2657,$B89,Data!$D$2:$D$2657,"Transmission")+SUMIFS(Data!$G$2:$G$2657,Data!$A$2:$A$2657,$A89,Data!$B$2:$B$2657,$B89,Data!$D$2:$D$2657,"Transmission"))/$D89,0)</f>
        <v>0.164798615247621</v>
      </c>
      <c r="F89" s="10" t="n">
        <f aca="false">IFERROR((SUMIFS(Data!$E$2:$E$2657,Data!$A$2:$A$2657,$A89,Data!$B$2:$B$2657,$B89,Data!$D$2:$D$2657,"Distribution")+SUMIFS(Data!$G$2:$G$2657,Data!$A$2:$A$2657,$A89,Data!$B$2:$B$2657,$B89,Data!$D$2:$D$2657,"Distribution"))/$D89,0)</f>
        <v>0.320740562178993</v>
      </c>
      <c r="G89" s="10" t="n">
        <f aca="false">IFERROR((SUMIFS(Data!$E$2:$E$2657,Data!$A$2:$A$2657,$A89,Data!$B$2:$B$2657,$B89,Data!$D$2:$D$2657,"RTO/market operation")+SUMIFS(Data!$G$2:$G$2657,Data!$A$2:$A$2657,$A89,Data!$B$2:$B$2657,$B89,Data!$D$2:$D$2657,"RTO/market operation"))/$D89,0)</f>
        <v>0</v>
      </c>
      <c r="H89" s="10" t="n">
        <f aca="false">IFERROR((SUMIFS(Data!$E$2:$E$2657,Data!$A$2:$A$2657,$A89,Data!$B$2:$B$2657,$B89,Data!$D$2:$D$2657,"Customer accounts, service &amp; sales")+SUMIFS(Data!$G$2:$G$2657,Data!$A$2:$A$2657,$A89,Data!$B$2:$B$2657,$B89,Data!$D$2:$D$2657,"Customer accounts, service &amp; sales"))/$D89,0)</f>
        <v>0.245365542262232</v>
      </c>
      <c r="I89" s="10" t="n">
        <f aca="false">IFERROR((SUMIFS(Data!$E$2:$E$2657,Data!$A$2:$A$2657,$A89,Data!$B$2:$B$2657,$B89,Data!$D$2:$D$2657,"A&amp;G and general")+SUMIFS(Data!$G$2:$G$2657,Data!$A$2:$A$2657,$A89,Data!$B$2:$B$2657,$B89,Data!$D$2:$D$2657,"A&amp;G and general"))/$D89,0)</f>
        <v>0.269095280311153</v>
      </c>
      <c r="J89" s="10" t="n">
        <f aca="false">IFERROR(SUMIFS(Data!$F$2:$F$2657,Data!$A$2:$A$2657,$A89,Data!$B$2:$B$2657,$B89)/$D89,0)</f>
        <v>0.0213851056330302</v>
      </c>
      <c r="K89" s="11" t="n">
        <f aca="false">SUM(E89:I89)</f>
        <v>1</v>
      </c>
    </row>
    <row r="90" customFormat="false" ht="15" hidden="false" customHeight="false" outlineLevel="0" collapsed="false">
      <c r="A90" s="7" t="n">
        <v>1999</v>
      </c>
      <c r="B90" s="12" t="s">
        <v>76</v>
      </c>
      <c r="C90" s="12" t="s">
        <v>72</v>
      </c>
      <c r="D90" s="9" t="n">
        <f aca="false">SUMIFS(Data!$E$2:$E$2657,Data!$A$2:$A$2657,$A90,Data!$B$2:$B$2657,$B90)+SUMIFS(Data!$G$2:$G$2657,Data!$A$2:$A$2657,$A90,Data!$B$2:$B$2657,$B90)</f>
        <v>99.960658</v>
      </c>
      <c r="E90" s="10" t="n">
        <f aca="false">IFERROR((SUMIFS(Data!$E$2:$E$2657,Data!$A$2:$A$2657,$A90,Data!$B$2:$B$2657,$B90,Data!$D$2:$D$2657,"Transmission")+SUMIFS(Data!$G$2:$G$2657,Data!$A$2:$A$2657,$A90,Data!$B$2:$B$2657,$B90,Data!$D$2:$D$2657,"Transmission"))/$D90,0)</f>
        <v>0.291829851700256</v>
      </c>
      <c r="F90" s="10" t="n">
        <f aca="false">IFERROR((SUMIFS(Data!$E$2:$E$2657,Data!$A$2:$A$2657,$A90,Data!$B$2:$B$2657,$B90,Data!$D$2:$D$2657,"Distribution")+SUMIFS(Data!$G$2:$G$2657,Data!$A$2:$A$2657,$A90,Data!$B$2:$B$2657,$B90,Data!$D$2:$D$2657,"Distribution"))/$D90,0)</f>
        <v>0.337927897593471</v>
      </c>
      <c r="G90" s="10" t="n">
        <f aca="false">IFERROR((SUMIFS(Data!$E$2:$E$2657,Data!$A$2:$A$2657,$A90,Data!$B$2:$B$2657,$B90,Data!$D$2:$D$2657,"RTO/market operation")+SUMIFS(Data!$G$2:$G$2657,Data!$A$2:$A$2657,$A90,Data!$B$2:$B$2657,$B90,Data!$D$2:$D$2657,"RTO/market operation"))/$D90,0)</f>
        <v>0</v>
      </c>
      <c r="H90" s="10" t="n">
        <f aca="false">IFERROR((SUMIFS(Data!$E$2:$E$2657,Data!$A$2:$A$2657,$A90,Data!$B$2:$B$2657,$B90,Data!$D$2:$D$2657,"Customer accounts, service &amp; sales")+SUMIFS(Data!$G$2:$G$2657,Data!$A$2:$A$2657,$A90,Data!$B$2:$B$2657,$B90,Data!$D$2:$D$2657,"Customer accounts, service &amp; sales"))/$D90,0)</f>
        <v>0.141114187143506</v>
      </c>
      <c r="I90" s="10" t="n">
        <f aca="false">IFERROR((SUMIFS(Data!$E$2:$E$2657,Data!$A$2:$A$2657,$A90,Data!$B$2:$B$2657,$B90,Data!$D$2:$D$2657,"A&amp;G and general")+SUMIFS(Data!$G$2:$G$2657,Data!$A$2:$A$2657,$A90,Data!$B$2:$B$2657,$B90,Data!$D$2:$D$2657,"A&amp;G and general"))/$D90,0)</f>
        <v>0.229128063562767</v>
      </c>
      <c r="J90" s="10" t="n">
        <f aca="false">IFERROR(SUMIFS(Data!$F$2:$F$2657,Data!$A$2:$A$2657,$A90,Data!$B$2:$B$2657,$B90)/$D90,0)</f>
        <v>0</v>
      </c>
      <c r="K90" s="11" t="n">
        <f aca="false">SUM(E90:I90)</f>
        <v>1</v>
      </c>
    </row>
    <row r="91" customFormat="false" ht="15" hidden="false" customHeight="false" outlineLevel="0" collapsed="false">
      <c r="A91" s="7" t="n">
        <v>1999</v>
      </c>
      <c r="B91" s="12" t="s">
        <v>77</v>
      </c>
      <c r="C91" s="12" t="s">
        <v>57</v>
      </c>
      <c r="D91" s="9" t="n">
        <f aca="false">SUMIFS(Data!$E$2:$E$2657,Data!$A$2:$A$2657,$A91,Data!$B$2:$B$2657,$B91)+SUMIFS(Data!$G$2:$G$2657,Data!$A$2:$A$2657,$A91,Data!$B$2:$B$2657,$B91)</f>
        <v>68.078165</v>
      </c>
      <c r="E91" s="10" t="n">
        <f aca="false">IFERROR((SUMIFS(Data!$E$2:$E$2657,Data!$A$2:$A$2657,$A91,Data!$B$2:$B$2657,$B91,Data!$D$2:$D$2657,"Transmission")+SUMIFS(Data!$G$2:$G$2657,Data!$A$2:$A$2657,$A91,Data!$B$2:$B$2657,$B91,Data!$D$2:$D$2657,"Transmission"))/$D91,0)</f>
        <v>0.107617442391404</v>
      </c>
      <c r="F91" s="10" t="n">
        <f aca="false">IFERROR((SUMIFS(Data!$E$2:$E$2657,Data!$A$2:$A$2657,$A91,Data!$B$2:$B$2657,$B91,Data!$D$2:$D$2657,"Distribution")+SUMIFS(Data!$G$2:$G$2657,Data!$A$2:$A$2657,$A91,Data!$B$2:$B$2657,$B91,Data!$D$2:$D$2657,"Distribution"))/$D91,0)</f>
        <v>0.261394398629869</v>
      </c>
      <c r="G91" s="10" t="n">
        <f aca="false">IFERROR((SUMIFS(Data!$E$2:$E$2657,Data!$A$2:$A$2657,$A91,Data!$B$2:$B$2657,$B91,Data!$D$2:$D$2657,"RTO/market operation")+SUMIFS(Data!$G$2:$G$2657,Data!$A$2:$A$2657,$A91,Data!$B$2:$B$2657,$B91,Data!$D$2:$D$2657,"RTO/market operation"))/$D91,0)</f>
        <v>0</v>
      </c>
      <c r="H91" s="10" t="n">
        <f aca="false">IFERROR((SUMIFS(Data!$E$2:$E$2657,Data!$A$2:$A$2657,$A91,Data!$B$2:$B$2657,$B91,Data!$D$2:$D$2657,"Customer accounts, service &amp; sales")+SUMIFS(Data!$G$2:$G$2657,Data!$A$2:$A$2657,$A91,Data!$B$2:$B$2657,$B91,Data!$D$2:$D$2657,"Customer accounts, service &amp; sales"))/$D91,0)</f>
        <v>0.228352952815341</v>
      </c>
      <c r="I91" s="10" t="n">
        <f aca="false">IFERROR((SUMIFS(Data!$E$2:$E$2657,Data!$A$2:$A$2657,$A91,Data!$B$2:$B$2657,$B91,Data!$D$2:$D$2657,"A&amp;G and general")+SUMIFS(Data!$G$2:$G$2657,Data!$A$2:$A$2657,$A91,Data!$B$2:$B$2657,$B91,Data!$D$2:$D$2657,"A&amp;G and general"))/$D91,0)</f>
        <v>0.402635206163386</v>
      </c>
      <c r="J91" s="10" t="n">
        <f aca="false">IFERROR(SUMIFS(Data!$F$2:$F$2657,Data!$A$2:$A$2657,$A91,Data!$B$2:$B$2657,$B91)/$D91,0)</f>
        <v>0</v>
      </c>
      <c r="K91" s="11" t="n">
        <f aca="false">SUM(E91:I91)</f>
        <v>1</v>
      </c>
    </row>
    <row r="92" customFormat="false" ht="15" hidden="false" customHeight="false" outlineLevel="0" collapsed="false">
      <c r="A92" s="7" t="n">
        <v>1999</v>
      </c>
      <c r="B92" s="12" t="s">
        <v>78</v>
      </c>
      <c r="C92" s="12" t="s">
        <v>65</v>
      </c>
      <c r="D92" s="9" t="n">
        <f aca="false">SUMIFS(Data!$E$2:$E$2657,Data!$A$2:$A$2657,$A92,Data!$B$2:$B$2657,$B92)+SUMIFS(Data!$G$2:$G$2657,Data!$A$2:$A$2657,$A92,Data!$B$2:$B$2657,$B92)</f>
        <v>53.226378</v>
      </c>
      <c r="E92" s="10" t="n">
        <f aca="false">IFERROR((SUMIFS(Data!$E$2:$E$2657,Data!$A$2:$A$2657,$A92,Data!$B$2:$B$2657,$B92,Data!$D$2:$D$2657,"Transmission")+SUMIFS(Data!$G$2:$G$2657,Data!$A$2:$A$2657,$A92,Data!$B$2:$B$2657,$B92,Data!$D$2:$D$2657,"Transmission"))/$D92,0)</f>
        <v>0.0886932603229173</v>
      </c>
      <c r="F92" s="10" t="n">
        <f aca="false">IFERROR((SUMIFS(Data!$E$2:$E$2657,Data!$A$2:$A$2657,$A92,Data!$B$2:$B$2657,$B92,Data!$D$2:$D$2657,"Distribution")+SUMIFS(Data!$G$2:$G$2657,Data!$A$2:$A$2657,$A92,Data!$B$2:$B$2657,$B92,Data!$D$2:$D$2657,"Distribution"))/$D92,0)</f>
        <v>0.279963179159025</v>
      </c>
      <c r="G92" s="10" t="n">
        <f aca="false">IFERROR((SUMIFS(Data!$E$2:$E$2657,Data!$A$2:$A$2657,$A92,Data!$B$2:$B$2657,$B92,Data!$D$2:$D$2657,"RTO/market operation")+SUMIFS(Data!$G$2:$G$2657,Data!$A$2:$A$2657,$A92,Data!$B$2:$B$2657,$B92,Data!$D$2:$D$2657,"RTO/market operation"))/$D92,0)</f>
        <v>0</v>
      </c>
      <c r="H92" s="10" t="n">
        <f aca="false">IFERROR((SUMIFS(Data!$E$2:$E$2657,Data!$A$2:$A$2657,$A92,Data!$B$2:$B$2657,$B92,Data!$D$2:$D$2657,"Customer accounts, service &amp; sales")+SUMIFS(Data!$G$2:$G$2657,Data!$A$2:$A$2657,$A92,Data!$B$2:$B$2657,$B92,Data!$D$2:$D$2657,"Customer accounts, service &amp; sales"))/$D92,0)</f>
        <v>0.0956408869301608</v>
      </c>
      <c r="I92" s="10" t="n">
        <f aca="false">IFERROR((SUMIFS(Data!$E$2:$E$2657,Data!$A$2:$A$2657,$A92,Data!$B$2:$B$2657,$B92,Data!$D$2:$D$2657,"A&amp;G and general")+SUMIFS(Data!$G$2:$G$2657,Data!$A$2:$A$2657,$A92,Data!$B$2:$B$2657,$B92,Data!$D$2:$D$2657,"A&amp;G and general"))/$D92,0)</f>
        <v>0.535702673587897</v>
      </c>
      <c r="J92" s="10" t="n">
        <f aca="false">IFERROR(SUMIFS(Data!$F$2:$F$2657,Data!$A$2:$A$2657,$A92,Data!$B$2:$B$2657,$B92)/$D92,0)</f>
        <v>0.0026302559982571</v>
      </c>
      <c r="K92" s="11" t="n">
        <f aca="false">SUM(E92:I92)</f>
        <v>1</v>
      </c>
    </row>
    <row r="93" customFormat="false" ht="15" hidden="false" customHeight="false" outlineLevel="0" collapsed="false">
      <c r="A93" s="7" t="n">
        <v>1999</v>
      </c>
      <c r="B93" s="12" t="s">
        <v>79</v>
      </c>
      <c r="C93" s="12" t="s">
        <v>72</v>
      </c>
      <c r="D93" s="9" t="n">
        <f aca="false">SUMIFS(Data!$E$2:$E$2657,Data!$A$2:$A$2657,$A93,Data!$B$2:$B$2657,$B93)+SUMIFS(Data!$G$2:$G$2657,Data!$A$2:$A$2657,$A93,Data!$B$2:$B$2657,$B93)</f>
        <v>419.092032</v>
      </c>
      <c r="E93" s="10" t="n">
        <f aca="false">IFERROR((SUMIFS(Data!$E$2:$E$2657,Data!$A$2:$A$2657,$A93,Data!$B$2:$B$2657,$B93,Data!$D$2:$D$2657,"Transmission")+SUMIFS(Data!$G$2:$G$2657,Data!$A$2:$A$2657,$A93,Data!$B$2:$B$2657,$B93,Data!$D$2:$D$2657,"Transmission"))/$D93,0)</f>
        <v>0.0682951471623302</v>
      </c>
      <c r="F93" s="10" t="n">
        <f aca="false">IFERROR((SUMIFS(Data!$E$2:$E$2657,Data!$A$2:$A$2657,$A93,Data!$B$2:$B$2657,$B93,Data!$D$2:$D$2657,"Distribution")+SUMIFS(Data!$G$2:$G$2657,Data!$A$2:$A$2657,$A93,Data!$B$2:$B$2657,$B93,Data!$D$2:$D$2657,"Distribution"))/$D93,0)</f>
        <v>0.257802064344664</v>
      </c>
      <c r="G93" s="10" t="n">
        <f aca="false">IFERROR((SUMIFS(Data!$E$2:$E$2657,Data!$A$2:$A$2657,$A93,Data!$B$2:$B$2657,$B93,Data!$D$2:$D$2657,"RTO/market operation")+SUMIFS(Data!$G$2:$G$2657,Data!$A$2:$A$2657,$A93,Data!$B$2:$B$2657,$B93,Data!$D$2:$D$2657,"RTO/market operation"))/$D93,0)</f>
        <v>0</v>
      </c>
      <c r="H93" s="10" t="n">
        <f aca="false">IFERROR((SUMIFS(Data!$E$2:$E$2657,Data!$A$2:$A$2657,$A93,Data!$B$2:$B$2657,$B93,Data!$D$2:$D$2657,"Customer accounts, service &amp; sales")+SUMIFS(Data!$G$2:$G$2657,Data!$A$2:$A$2657,$A93,Data!$B$2:$B$2657,$B93,Data!$D$2:$D$2657,"Customer accounts, service &amp; sales"))/$D93,0)</f>
        <v>0.198722928714617</v>
      </c>
      <c r="I93" s="10" t="n">
        <f aca="false">IFERROR((SUMIFS(Data!$E$2:$E$2657,Data!$A$2:$A$2657,$A93,Data!$B$2:$B$2657,$B93,Data!$D$2:$D$2657,"A&amp;G and general")+SUMIFS(Data!$G$2:$G$2657,Data!$A$2:$A$2657,$A93,Data!$B$2:$B$2657,$B93,Data!$D$2:$D$2657,"A&amp;G and general"))/$D93,0)</f>
        <v>0.475179859778389</v>
      </c>
      <c r="J93" s="10" t="n">
        <f aca="false">IFERROR(SUMIFS(Data!$F$2:$F$2657,Data!$A$2:$A$2657,$A93,Data!$B$2:$B$2657,$B93)/$D93,0)</f>
        <v>0.0201736643850103</v>
      </c>
      <c r="K93" s="11" t="n">
        <f aca="false">SUM(E93:I93)</f>
        <v>1</v>
      </c>
    </row>
    <row r="94" customFormat="false" ht="15" hidden="false" customHeight="false" outlineLevel="0" collapsed="false">
      <c r="A94" s="7" t="n">
        <v>1999</v>
      </c>
      <c r="B94" s="12" t="s">
        <v>80</v>
      </c>
      <c r="C94" s="12" t="s">
        <v>72</v>
      </c>
      <c r="D94" s="9" t="n">
        <f aca="false">SUMIFS(Data!$E$2:$E$2657,Data!$A$2:$A$2657,$A94,Data!$B$2:$B$2657,$B94)+SUMIFS(Data!$G$2:$G$2657,Data!$A$2:$A$2657,$A94,Data!$B$2:$B$2657,$B94)</f>
        <v>157.26527</v>
      </c>
      <c r="E94" s="10" t="n">
        <f aca="false">IFERROR((SUMIFS(Data!$E$2:$E$2657,Data!$A$2:$A$2657,$A94,Data!$B$2:$B$2657,$B94,Data!$D$2:$D$2657,"Transmission")+SUMIFS(Data!$G$2:$G$2657,Data!$A$2:$A$2657,$A94,Data!$B$2:$B$2657,$B94,Data!$D$2:$D$2657,"Transmission"))/$D94,0)</f>
        <v>0.151059111779734</v>
      </c>
      <c r="F94" s="10" t="n">
        <f aca="false">IFERROR((SUMIFS(Data!$E$2:$E$2657,Data!$A$2:$A$2657,$A94,Data!$B$2:$B$2657,$B94,Data!$D$2:$D$2657,"Distribution")+SUMIFS(Data!$G$2:$G$2657,Data!$A$2:$A$2657,$A94,Data!$B$2:$B$2657,$B94,Data!$D$2:$D$2657,"Distribution"))/$D94,0)</f>
        <v>0.280177110941278</v>
      </c>
      <c r="G94" s="10" t="n">
        <f aca="false">IFERROR((SUMIFS(Data!$E$2:$E$2657,Data!$A$2:$A$2657,$A94,Data!$B$2:$B$2657,$B94,Data!$D$2:$D$2657,"RTO/market operation")+SUMIFS(Data!$G$2:$G$2657,Data!$A$2:$A$2657,$A94,Data!$B$2:$B$2657,$B94,Data!$D$2:$D$2657,"RTO/market operation"))/$D94,0)</f>
        <v>0</v>
      </c>
      <c r="H94" s="10" t="n">
        <f aca="false">IFERROR((SUMIFS(Data!$E$2:$E$2657,Data!$A$2:$A$2657,$A94,Data!$B$2:$B$2657,$B94,Data!$D$2:$D$2657,"Customer accounts, service &amp; sales")+SUMIFS(Data!$G$2:$G$2657,Data!$A$2:$A$2657,$A94,Data!$B$2:$B$2657,$B94,Data!$D$2:$D$2657,"Customer accounts, service &amp; sales"))/$D94,0)</f>
        <v>0.148831404416245</v>
      </c>
      <c r="I94" s="10" t="n">
        <f aca="false">IFERROR((SUMIFS(Data!$E$2:$E$2657,Data!$A$2:$A$2657,$A94,Data!$B$2:$B$2657,$B94,Data!$D$2:$D$2657,"A&amp;G and general")+SUMIFS(Data!$G$2:$G$2657,Data!$A$2:$A$2657,$A94,Data!$B$2:$B$2657,$B94,Data!$D$2:$D$2657,"A&amp;G and general"))/$D94,0)</f>
        <v>0.419932372862743</v>
      </c>
      <c r="J94" s="10" t="n">
        <f aca="false">IFERROR(SUMIFS(Data!$F$2:$F$2657,Data!$A$2:$A$2657,$A94,Data!$B$2:$B$2657,$B94)/$D94,0)</f>
        <v>0.0657921739491497</v>
      </c>
      <c r="K94" s="11" t="n">
        <f aca="false">SUM(E94:I94)</f>
        <v>1</v>
      </c>
    </row>
    <row r="95" customFormat="false" ht="15" hidden="false" customHeight="false" outlineLevel="0" collapsed="false">
      <c r="A95" s="7" t="n">
        <v>1999</v>
      </c>
      <c r="B95" s="12" t="s">
        <v>81</v>
      </c>
      <c r="C95" s="12" t="s">
        <v>72</v>
      </c>
      <c r="D95" s="9" t="n">
        <f aca="false">SUMIFS(Data!$E$2:$E$2657,Data!$A$2:$A$2657,$A95,Data!$B$2:$B$2657,$B95)+SUMIFS(Data!$G$2:$G$2657,Data!$A$2:$A$2657,$A95,Data!$B$2:$B$2657,$B95)</f>
        <v>131.121682</v>
      </c>
      <c r="E95" s="10" t="n">
        <f aca="false">IFERROR((SUMIFS(Data!$E$2:$E$2657,Data!$A$2:$A$2657,$A95,Data!$B$2:$B$2657,$B95,Data!$D$2:$D$2657,"Transmission")+SUMIFS(Data!$G$2:$G$2657,Data!$A$2:$A$2657,$A95,Data!$B$2:$B$2657,$B95,Data!$D$2:$D$2657,"Transmission"))/$D95,0)</f>
        <v>0.096578093011345</v>
      </c>
      <c r="F95" s="10" t="n">
        <f aca="false">IFERROR((SUMIFS(Data!$E$2:$E$2657,Data!$A$2:$A$2657,$A95,Data!$B$2:$B$2657,$B95,Data!$D$2:$D$2657,"Distribution")+SUMIFS(Data!$G$2:$G$2657,Data!$A$2:$A$2657,$A95,Data!$B$2:$B$2657,$B95,Data!$D$2:$D$2657,"Distribution"))/$D95,0)</f>
        <v>0.384594616472354</v>
      </c>
      <c r="G95" s="10" t="n">
        <f aca="false">IFERROR((SUMIFS(Data!$E$2:$E$2657,Data!$A$2:$A$2657,$A95,Data!$B$2:$B$2657,$B95,Data!$D$2:$D$2657,"RTO/market operation")+SUMIFS(Data!$G$2:$G$2657,Data!$A$2:$A$2657,$A95,Data!$B$2:$B$2657,$B95,Data!$D$2:$D$2657,"RTO/market operation"))/$D95,0)</f>
        <v>0</v>
      </c>
      <c r="H95" s="10" t="n">
        <f aca="false">IFERROR((SUMIFS(Data!$E$2:$E$2657,Data!$A$2:$A$2657,$A95,Data!$B$2:$B$2657,$B95,Data!$D$2:$D$2657,"Customer accounts, service &amp; sales")+SUMIFS(Data!$G$2:$G$2657,Data!$A$2:$A$2657,$A95,Data!$B$2:$B$2657,$B95,Data!$D$2:$D$2657,"Customer accounts, service &amp; sales"))/$D95,0)</f>
        <v>0.214760164531752</v>
      </c>
      <c r="I95" s="10" t="n">
        <f aca="false">IFERROR((SUMIFS(Data!$E$2:$E$2657,Data!$A$2:$A$2657,$A95,Data!$B$2:$B$2657,$B95,Data!$D$2:$D$2657,"A&amp;G and general")+SUMIFS(Data!$G$2:$G$2657,Data!$A$2:$A$2657,$A95,Data!$B$2:$B$2657,$B95,Data!$D$2:$D$2657,"A&amp;G and general"))/$D95,0)</f>
        <v>0.304067125984549</v>
      </c>
      <c r="J95" s="10" t="n">
        <f aca="false">IFERROR(SUMIFS(Data!$F$2:$F$2657,Data!$A$2:$A$2657,$A95,Data!$B$2:$B$2657,$B95)/$D95,0)</f>
        <v>0.00700360905986548</v>
      </c>
      <c r="K95" s="11" t="n">
        <f aca="false">SUM(E95:I95)</f>
        <v>1</v>
      </c>
    </row>
    <row r="96" customFormat="false" ht="15" hidden="false" customHeight="false" outlineLevel="0" collapsed="false">
      <c r="A96" s="7" t="n">
        <v>2000</v>
      </c>
      <c r="B96" s="12" t="s">
        <v>56</v>
      </c>
      <c r="C96" s="12" t="s">
        <v>57</v>
      </c>
      <c r="D96" s="9" t="n">
        <f aca="false">SUMIFS(Data!$E$2:$E$2657,Data!$A$2:$A$2657,$A96,Data!$B$2:$B$2657,$B96)+SUMIFS(Data!$G$2:$G$2657,Data!$A$2:$A$2657,$A96,Data!$B$2:$B$2657,$B96)</f>
        <v>104.249508</v>
      </c>
      <c r="E96" s="10" t="n">
        <f aca="false">IFERROR((SUMIFS(Data!$E$2:$E$2657,Data!$A$2:$A$2657,$A96,Data!$B$2:$B$2657,$B96,Data!$D$2:$D$2657,"Transmission")+SUMIFS(Data!$G$2:$G$2657,Data!$A$2:$A$2657,$A96,Data!$B$2:$B$2657,$B96,Data!$D$2:$D$2657,"Transmission"))/$D96,0)</f>
        <v>0.101903377807788</v>
      </c>
      <c r="F96" s="10" t="n">
        <f aca="false">IFERROR((SUMIFS(Data!$E$2:$E$2657,Data!$A$2:$A$2657,$A96,Data!$B$2:$B$2657,$B96,Data!$D$2:$D$2657,"Distribution")+SUMIFS(Data!$G$2:$G$2657,Data!$A$2:$A$2657,$A96,Data!$B$2:$B$2657,$B96,Data!$D$2:$D$2657,"Distribution"))/$D96,0)</f>
        <v>0.216363169790691</v>
      </c>
      <c r="G96" s="10" t="n">
        <f aca="false">IFERROR((SUMIFS(Data!$E$2:$E$2657,Data!$A$2:$A$2657,$A96,Data!$B$2:$B$2657,$B96,Data!$D$2:$D$2657,"RTO/market operation")+SUMIFS(Data!$G$2:$G$2657,Data!$A$2:$A$2657,$A96,Data!$B$2:$B$2657,$B96,Data!$D$2:$D$2657,"RTO/market operation"))/$D96,0)</f>
        <v>0</v>
      </c>
      <c r="H96" s="10" t="n">
        <f aca="false">IFERROR((SUMIFS(Data!$E$2:$E$2657,Data!$A$2:$A$2657,$A96,Data!$B$2:$B$2657,$B96,Data!$D$2:$D$2657,"Customer accounts, service &amp; sales")+SUMIFS(Data!$G$2:$G$2657,Data!$A$2:$A$2657,$A96,Data!$B$2:$B$2657,$B96,Data!$D$2:$D$2657,"Customer accounts, service &amp; sales"))/$D96,0)</f>
        <v>0.258184777236551</v>
      </c>
      <c r="I96" s="10" t="n">
        <f aca="false">IFERROR((SUMIFS(Data!$E$2:$E$2657,Data!$A$2:$A$2657,$A96,Data!$B$2:$B$2657,$B96,Data!$D$2:$D$2657,"A&amp;G and general")+SUMIFS(Data!$G$2:$G$2657,Data!$A$2:$A$2657,$A96,Data!$B$2:$B$2657,$B96,Data!$D$2:$D$2657,"A&amp;G and general"))/$D96,0)</f>
        <v>0.423548675164971</v>
      </c>
      <c r="J96" s="10" t="n">
        <f aca="false">IFERROR(SUMIFS(Data!$F$2:$F$2657,Data!$A$2:$A$2657,$A96,Data!$B$2:$B$2657,$B96)/$D96,0)</f>
        <v>0</v>
      </c>
      <c r="K96" s="11" t="n">
        <f aca="false">SUM(E96:I96)</f>
        <v>1</v>
      </c>
    </row>
    <row r="97" customFormat="false" ht="15" hidden="false" customHeight="false" outlineLevel="0" collapsed="false">
      <c r="A97" s="7" t="n">
        <v>2000</v>
      </c>
      <c r="B97" s="12" t="s">
        <v>58</v>
      </c>
      <c r="C97" s="12" t="s">
        <v>59</v>
      </c>
      <c r="D97" s="9" t="n">
        <f aca="false">SUMIFS(Data!$E$2:$E$2657,Data!$A$2:$A$2657,$A97,Data!$B$2:$B$2657,$B97)+SUMIFS(Data!$G$2:$G$2657,Data!$A$2:$A$2657,$A97,Data!$B$2:$B$2657,$B97)</f>
        <v>452.98286</v>
      </c>
      <c r="E97" s="10" t="n">
        <f aca="false">IFERROR((SUMIFS(Data!$E$2:$E$2657,Data!$A$2:$A$2657,$A97,Data!$B$2:$B$2657,$B97,Data!$D$2:$D$2657,"Transmission")+SUMIFS(Data!$G$2:$G$2657,Data!$A$2:$A$2657,$A97,Data!$B$2:$B$2657,$B97,Data!$D$2:$D$2657,"Transmission"))/$D97,0)</f>
        <v>0.106834607384483</v>
      </c>
      <c r="F97" s="10" t="n">
        <f aca="false">IFERROR((SUMIFS(Data!$E$2:$E$2657,Data!$A$2:$A$2657,$A97,Data!$B$2:$B$2657,$B97,Data!$D$2:$D$2657,"Distribution")+SUMIFS(Data!$G$2:$G$2657,Data!$A$2:$A$2657,$A97,Data!$B$2:$B$2657,$B97,Data!$D$2:$D$2657,"Distribution"))/$D97,0)</f>
        <v>0.407086480049157</v>
      </c>
      <c r="G97" s="10" t="n">
        <f aca="false">IFERROR((SUMIFS(Data!$E$2:$E$2657,Data!$A$2:$A$2657,$A97,Data!$B$2:$B$2657,$B97,Data!$D$2:$D$2657,"RTO/market operation")+SUMIFS(Data!$G$2:$G$2657,Data!$A$2:$A$2657,$A97,Data!$B$2:$B$2657,$B97,Data!$D$2:$D$2657,"RTO/market operation"))/$D97,0)</f>
        <v>0</v>
      </c>
      <c r="H97" s="10" t="n">
        <f aca="false">IFERROR((SUMIFS(Data!$E$2:$E$2657,Data!$A$2:$A$2657,$A97,Data!$B$2:$B$2657,$B97,Data!$D$2:$D$2657,"Customer accounts, service &amp; sales")+SUMIFS(Data!$G$2:$G$2657,Data!$A$2:$A$2657,$A97,Data!$B$2:$B$2657,$B97,Data!$D$2:$D$2657,"Customer accounts, service &amp; sales"))/$D97,0)</f>
        <v>0.111891332930345</v>
      </c>
      <c r="I97" s="10" t="n">
        <f aca="false">IFERROR((SUMIFS(Data!$E$2:$E$2657,Data!$A$2:$A$2657,$A97,Data!$B$2:$B$2657,$B97,Data!$D$2:$D$2657,"A&amp;G and general")+SUMIFS(Data!$G$2:$G$2657,Data!$A$2:$A$2657,$A97,Data!$B$2:$B$2657,$B97,Data!$D$2:$D$2657,"A&amp;G and general"))/$D97,0)</f>
        <v>0.374187579636015</v>
      </c>
      <c r="J97" s="10" t="n">
        <f aca="false">IFERROR(SUMIFS(Data!$F$2:$F$2657,Data!$A$2:$A$2657,$A97,Data!$B$2:$B$2657,$B97)/$D97,0)</f>
        <v>0.000581452463786378</v>
      </c>
      <c r="K97" s="11" t="n">
        <f aca="false">SUM(E97:I97)</f>
        <v>1</v>
      </c>
    </row>
    <row r="98" customFormat="false" ht="15" hidden="false" customHeight="false" outlineLevel="0" collapsed="false">
      <c r="A98" s="7" t="n">
        <v>2000</v>
      </c>
      <c r="B98" s="12" t="s">
        <v>60</v>
      </c>
      <c r="C98" s="12" t="s">
        <v>59</v>
      </c>
      <c r="D98" s="9" t="n">
        <f aca="false">SUMIFS(Data!$E$2:$E$2657,Data!$A$2:$A$2657,$A98,Data!$B$2:$B$2657,$B98)+SUMIFS(Data!$G$2:$G$2657,Data!$A$2:$A$2657,$A98,Data!$B$2:$B$2657,$B98)</f>
        <v>1568.603647</v>
      </c>
      <c r="E98" s="10" t="n">
        <f aca="false">IFERROR((SUMIFS(Data!$E$2:$E$2657,Data!$A$2:$A$2657,$A98,Data!$B$2:$B$2657,$B98,Data!$D$2:$D$2657,"Transmission")+SUMIFS(Data!$G$2:$G$2657,Data!$A$2:$A$2657,$A98,Data!$B$2:$B$2657,$B98,Data!$D$2:$D$2657,"Transmission"))/$D98,0)</f>
        <v>0.0670592563017291</v>
      </c>
      <c r="F98" s="10" t="n">
        <f aca="false">IFERROR((SUMIFS(Data!$E$2:$E$2657,Data!$A$2:$A$2657,$A98,Data!$B$2:$B$2657,$B98,Data!$D$2:$D$2657,"Distribution")+SUMIFS(Data!$G$2:$G$2657,Data!$A$2:$A$2657,$A98,Data!$B$2:$B$2657,$B98,Data!$D$2:$D$2657,"Distribution"))/$D98,0)</f>
        <v>0.441083501446175</v>
      </c>
      <c r="G98" s="10" t="n">
        <f aca="false">IFERROR((SUMIFS(Data!$E$2:$E$2657,Data!$A$2:$A$2657,$A98,Data!$B$2:$B$2657,$B98,Data!$D$2:$D$2657,"RTO/market operation")+SUMIFS(Data!$G$2:$G$2657,Data!$A$2:$A$2657,$A98,Data!$B$2:$B$2657,$B98,Data!$D$2:$D$2657,"RTO/market operation"))/$D98,0)</f>
        <v>0</v>
      </c>
      <c r="H98" s="10" t="n">
        <f aca="false">IFERROR((SUMIFS(Data!$E$2:$E$2657,Data!$A$2:$A$2657,$A98,Data!$B$2:$B$2657,$B98,Data!$D$2:$D$2657,"Customer accounts, service &amp; sales")+SUMIFS(Data!$G$2:$G$2657,Data!$A$2:$A$2657,$A98,Data!$B$2:$B$2657,$B98,Data!$D$2:$D$2657,"Customer accounts, service &amp; sales"))/$D98,0)</f>
        <v>0.155433790088593</v>
      </c>
      <c r="I98" s="10" t="n">
        <f aca="false">IFERROR((SUMIFS(Data!$E$2:$E$2657,Data!$A$2:$A$2657,$A98,Data!$B$2:$B$2657,$B98,Data!$D$2:$D$2657,"A&amp;G and general")+SUMIFS(Data!$G$2:$G$2657,Data!$A$2:$A$2657,$A98,Data!$B$2:$B$2657,$B98,Data!$D$2:$D$2657,"A&amp;G and general"))/$D98,0)</f>
        <v>0.336423452163503</v>
      </c>
      <c r="J98" s="10" t="n">
        <f aca="false">IFERROR(SUMIFS(Data!$F$2:$F$2657,Data!$A$2:$A$2657,$A98,Data!$B$2:$B$2657,$B98)/$D98,0)</f>
        <v>0.00264711994514443</v>
      </c>
      <c r="K98" s="11" t="n">
        <f aca="false">SUM(E98:I98)</f>
        <v>1</v>
      </c>
    </row>
    <row r="99" customFormat="false" ht="15" hidden="false" customHeight="false" outlineLevel="0" collapsed="false">
      <c r="A99" s="7" t="n">
        <v>2000</v>
      </c>
      <c r="B99" s="12" t="s">
        <v>61</v>
      </c>
      <c r="C99" s="12" t="s">
        <v>62</v>
      </c>
      <c r="D99" s="9" t="n">
        <f aca="false">SUMIFS(Data!$E$2:$E$2657,Data!$A$2:$A$2657,$A99,Data!$B$2:$B$2657,$B99)+SUMIFS(Data!$G$2:$G$2657,Data!$A$2:$A$2657,$A99,Data!$B$2:$B$2657,$B99)</f>
        <v>428.9184</v>
      </c>
      <c r="E99" s="10" t="n">
        <f aca="false">IFERROR((SUMIFS(Data!$E$2:$E$2657,Data!$A$2:$A$2657,$A99,Data!$B$2:$B$2657,$B99,Data!$D$2:$D$2657,"Transmission")+SUMIFS(Data!$G$2:$G$2657,Data!$A$2:$A$2657,$A99,Data!$B$2:$B$2657,$B99,Data!$D$2:$D$2657,"Transmission"))/$D99,0)</f>
        <v>0.0909608074636108</v>
      </c>
      <c r="F99" s="10" t="n">
        <f aca="false">IFERROR((SUMIFS(Data!$E$2:$E$2657,Data!$A$2:$A$2657,$A99,Data!$B$2:$B$2657,$B99,Data!$D$2:$D$2657,"Distribution")+SUMIFS(Data!$G$2:$G$2657,Data!$A$2:$A$2657,$A99,Data!$B$2:$B$2657,$B99,Data!$D$2:$D$2657,"Distribution"))/$D99,0)</f>
        <v>0.443496725717526</v>
      </c>
      <c r="G99" s="10" t="n">
        <f aca="false">IFERROR((SUMIFS(Data!$E$2:$E$2657,Data!$A$2:$A$2657,$A99,Data!$B$2:$B$2657,$B99,Data!$D$2:$D$2657,"RTO/market operation")+SUMIFS(Data!$G$2:$G$2657,Data!$A$2:$A$2657,$A99,Data!$B$2:$B$2657,$B99,Data!$D$2:$D$2657,"RTO/market operation"))/$D99,0)</f>
        <v>0</v>
      </c>
      <c r="H99" s="10" t="n">
        <f aca="false">IFERROR((SUMIFS(Data!$E$2:$E$2657,Data!$A$2:$A$2657,$A99,Data!$B$2:$B$2657,$B99,Data!$D$2:$D$2657,"Customer accounts, service &amp; sales")+SUMIFS(Data!$G$2:$G$2657,Data!$A$2:$A$2657,$A99,Data!$B$2:$B$2657,$B99,Data!$D$2:$D$2657,"Customer accounts, service &amp; sales"))/$D99,0)</f>
        <v>0.131124668468408</v>
      </c>
      <c r="I99" s="10" t="n">
        <f aca="false">IFERROR((SUMIFS(Data!$E$2:$E$2657,Data!$A$2:$A$2657,$A99,Data!$B$2:$B$2657,$B99,Data!$D$2:$D$2657,"A&amp;G and general")+SUMIFS(Data!$G$2:$G$2657,Data!$A$2:$A$2657,$A99,Data!$B$2:$B$2657,$B99,Data!$D$2:$D$2657,"A&amp;G and general"))/$D99,0)</f>
        <v>0.334417798350456</v>
      </c>
      <c r="J99" s="10" t="n">
        <f aca="false">IFERROR(SUMIFS(Data!$F$2:$F$2657,Data!$A$2:$A$2657,$A99,Data!$B$2:$B$2657,$B99)/$D99,0)</f>
        <v>0.02577996653909</v>
      </c>
      <c r="K99" s="11" t="n">
        <f aca="false">SUM(E99:I99)</f>
        <v>1</v>
      </c>
    </row>
    <row r="100" customFormat="false" ht="15" hidden="false" customHeight="false" outlineLevel="0" collapsed="false">
      <c r="A100" s="7" t="n">
        <v>2000</v>
      </c>
      <c r="B100" s="12" t="s">
        <v>63</v>
      </c>
      <c r="C100" s="12" t="s">
        <v>62</v>
      </c>
      <c r="D100" s="9" t="n">
        <f aca="false">SUMIFS(Data!$E$2:$E$2657,Data!$A$2:$A$2657,$A100,Data!$B$2:$B$2657,$B100)+SUMIFS(Data!$G$2:$G$2657,Data!$A$2:$A$2657,$A100,Data!$B$2:$B$2657,$B100)</f>
        <v>922.142006</v>
      </c>
      <c r="E100" s="10" t="n">
        <f aca="false">IFERROR((SUMIFS(Data!$E$2:$E$2657,Data!$A$2:$A$2657,$A100,Data!$B$2:$B$2657,$B100,Data!$D$2:$D$2657,"Transmission")+SUMIFS(Data!$G$2:$G$2657,Data!$A$2:$A$2657,$A100,Data!$B$2:$B$2657,$B100,Data!$D$2:$D$2657,"Transmission"))/$D100,0)</f>
        <v>0.0473791864113389</v>
      </c>
      <c r="F100" s="10" t="n">
        <f aca="false">IFERROR((SUMIFS(Data!$E$2:$E$2657,Data!$A$2:$A$2657,$A100,Data!$B$2:$B$2657,$B100,Data!$D$2:$D$2657,"Distribution")+SUMIFS(Data!$G$2:$G$2657,Data!$A$2:$A$2657,$A100,Data!$B$2:$B$2657,$B100,Data!$D$2:$D$2657,"Distribution"))/$D100,0)</f>
        <v>0.371398145591038</v>
      </c>
      <c r="G100" s="10" t="n">
        <f aca="false">IFERROR((SUMIFS(Data!$E$2:$E$2657,Data!$A$2:$A$2657,$A100,Data!$B$2:$B$2657,$B100,Data!$D$2:$D$2657,"RTO/market operation")+SUMIFS(Data!$G$2:$G$2657,Data!$A$2:$A$2657,$A100,Data!$B$2:$B$2657,$B100,Data!$D$2:$D$2657,"RTO/market operation"))/$D100,0)</f>
        <v>0</v>
      </c>
      <c r="H100" s="10" t="n">
        <f aca="false">IFERROR((SUMIFS(Data!$E$2:$E$2657,Data!$A$2:$A$2657,$A100,Data!$B$2:$B$2657,$B100,Data!$D$2:$D$2657,"Customer accounts, service &amp; sales")+SUMIFS(Data!$G$2:$G$2657,Data!$A$2:$A$2657,$A100,Data!$B$2:$B$2657,$B100,Data!$D$2:$D$2657,"Customer accounts, service &amp; sales"))/$D100,0)</f>
        <v>0.120409752811976</v>
      </c>
      <c r="I100" s="10" t="n">
        <f aca="false">IFERROR((SUMIFS(Data!$E$2:$E$2657,Data!$A$2:$A$2657,$A100,Data!$B$2:$B$2657,$B100,Data!$D$2:$D$2657,"A&amp;G and general")+SUMIFS(Data!$G$2:$G$2657,Data!$A$2:$A$2657,$A100,Data!$B$2:$B$2657,$B100,Data!$D$2:$D$2657,"A&amp;G and general"))/$D100,0)</f>
        <v>0.460812915185647</v>
      </c>
      <c r="J100" s="10" t="n">
        <f aca="false">IFERROR(SUMIFS(Data!$F$2:$F$2657,Data!$A$2:$A$2657,$A100,Data!$B$2:$B$2657,$B100)/$D100,0)</f>
        <v>0</v>
      </c>
      <c r="K100" s="11" t="n">
        <f aca="false">SUM(E100:I100)</f>
        <v>1</v>
      </c>
    </row>
    <row r="101" customFormat="false" ht="15" hidden="false" customHeight="false" outlineLevel="0" collapsed="false">
      <c r="A101" s="7" t="n">
        <v>2000</v>
      </c>
      <c r="B101" s="12" t="s">
        <v>64</v>
      </c>
      <c r="C101" s="12" t="s">
        <v>65</v>
      </c>
      <c r="D101" s="9" t="n">
        <f aca="false">SUMIFS(Data!$E$2:$E$2657,Data!$A$2:$A$2657,$A101,Data!$B$2:$B$2657,$B101)+SUMIFS(Data!$G$2:$G$2657,Data!$A$2:$A$2657,$A101,Data!$B$2:$B$2657,$B101)</f>
        <v>362.803521</v>
      </c>
      <c r="E101" s="10" t="n">
        <f aca="false">IFERROR((SUMIFS(Data!$E$2:$E$2657,Data!$A$2:$A$2657,$A101,Data!$B$2:$B$2657,$B101,Data!$D$2:$D$2657,"Transmission")+SUMIFS(Data!$G$2:$G$2657,Data!$A$2:$A$2657,$A101,Data!$B$2:$B$2657,$B101,Data!$D$2:$D$2657,"Transmission"))/$D101,0)</f>
        <v>0.144782508877581</v>
      </c>
      <c r="F101" s="10" t="n">
        <f aca="false">IFERROR((SUMIFS(Data!$E$2:$E$2657,Data!$A$2:$A$2657,$A101,Data!$B$2:$B$2657,$B101,Data!$D$2:$D$2657,"Distribution")+SUMIFS(Data!$G$2:$G$2657,Data!$A$2:$A$2657,$A101,Data!$B$2:$B$2657,$B101,Data!$D$2:$D$2657,"Distribution"))/$D101,0)</f>
        <v>0.237620455728708</v>
      </c>
      <c r="G101" s="10" t="n">
        <f aca="false">IFERROR((SUMIFS(Data!$E$2:$E$2657,Data!$A$2:$A$2657,$A101,Data!$B$2:$B$2657,$B101,Data!$D$2:$D$2657,"RTO/market operation")+SUMIFS(Data!$G$2:$G$2657,Data!$A$2:$A$2657,$A101,Data!$B$2:$B$2657,$B101,Data!$D$2:$D$2657,"RTO/market operation"))/$D101,0)</f>
        <v>0</v>
      </c>
      <c r="H101" s="10" t="n">
        <f aca="false">IFERROR((SUMIFS(Data!$E$2:$E$2657,Data!$A$2:$A$2657,$A101,Data!$B$2:$B$2657,$B101,Data!$D$2:$D$2657,"Customer accounts, service &amp; sales")+SUMIFS(Data!$G$2:$G$2657,Data!$A$2:$A$2657,$A101,Data!$B$2:$B$2657,$B101,Data!$D$2:$D$2657,"Customer accounts, service &amp; sales"))/$D101,0)</f>
        <v>0.138517473208315</v>
      </c>
      <c r="I101" s="10" t="n">
        <f aca="false">IFERROR((SUMIFS(Data!$E$2:$E$2657,Data!$A$2:$A$2657,$A101,Data!$B$2:$B$2657,$B101,Data!$D$2:$D$2657,"A&amp;G and general")+SUMIFS(Data!$G$2:$G$2657,Data!$A$2:$A$2657,$A101,Data!$B$2:$B$2657,$B101,Data!$D$2:$D$2657,"A&amp;G and general"))/$D101,0)</f>
        <v>0.479079562185396</v>
      </c>
      <c r="J101" s="10" t="n">
        <f aca="false">IFERROR(SUMIFS(Data!$F$2:$F$2657,Data!$A$2:$A$2657,$A101,Data!$B$2:$B$2657,$B101)/$D101,0)</f>
        <v>0.0511560002197443</v>
      </c>
      <c r="K101" s="11" t="n">
        <f aca="false">SUM(E101:I101)</f>
        <v>1</v>
      </c>
    </row>
    <row r="102" customFormat="false" ht="15" hidden="false" customHeight="false" outlineLevel="0" collapsed="false">
      <c r="A102" s="7" t="n">
        <v>2000</v>
      </c>
      <c r="B102" s="12" t="s">
        <v>66</v>
      </c>
      <c r="C102" s="12" t="s">
        <v>67</v>
      </c>
      <c r="D102" s="9" t="n">
        <f aca="false">SUMIFS(Data!$E$2:$E$2657,Data!$A$2:$A$2657,$A102,Data!$B$2:$B$2657,$B102)+SUMIFS(Data!$G$2:$G$2657,Data!$A$2:$A$2657,$A102,Data!$B$2:$B$2657,$B102)</f>
        <v>207.698015</v>
      </c>
      <c r="E102" s="10" t="n">
        <f aca="false">IFERROR((SUMIFS(Data!$E$2:$E$2657,Data!$A$2:$A$2657,$A102,Data!$B$2:$B$2657,$B102,Data!$D$2:$D$2657,"Transmission")+SUMIFS(Data!$G$2:$G$2657,Data!$A$2:$A$2657,$A102,Data!$B$2:$B$2657,$B102,Data!$D$2:$D$2657,"Transmission"))/$D102,0)</f>
        <v>-0.0187157542165244</v>
      </c>
      <c r="F102" s="10" t="n">
        <f aca="false">IFERROR((SUMIFS(Data!$E$2:$E$2657,Data!$A$2:$A$2657,$A102,Data!$B$2:$B$2657,$B102,Data!$D$2:$D$2657,"Distribution")+SUMIFS(Data!$G$2:$G$2657,Data!$A$2:$A$2657,$A102,Data!$B$2:$B$2657,$B102,Data!$D$2:$D$2657,"Distribution"))/$D102,0)</f>
        <v>0.37669755774989</v>
      </c>
      <c r="G102" s="10" t="n">
        <f aca="false">IFERROR((SUMIFS(Data!$E$2:$E$2657,Data!$A$2:$A$2657,$A102,Data!$B$2:$B$2657,$B102,Data!$D$2:$D$2657,"RTO/market operation")+SUMIFS(Data!$G$2:$G$2657,Data!$A$2:$A$2657,$A102,Data!$B$2:$B$2657,$B102,Data!$D$2:$D$2657,"RTO/market operation"))/$D102,0)</f>
        <v>0</v>
      </c>
      <c r="H102" s="10" t="n">
        <f aca="false">IFERROR((SUMIFS(Data!$E$2:$E$2657,Data!$A$2:$A$2657,$A102,Data!$B$2:$B$2657,$B102,Data!$D$2:$D$2657,"Customer accounts, service &amp; sales")+SUMIFS(Data!$G$2:$G$2657,Data!$A$2:$A$2657,$A102,Data!$B$2:$B$2657,$B102,Data!$D$2:$D$2657,"Customer accounts, service &amp; sales"))/$D102,0)</f>
        <v>0.136682529199906</v>
      </c>
      <c r="I102" s="10" t="n">
        <f aca="false">IFERROR((SUMIFS(Data!$E$2:$E$2657,Data!$A$2:$A$2657,$A102,Data!$B$2:$B$2657,$B102,Data!$D$2:$D$2657,"A&amp;G and general")+SUMIFS(Data!$G$2:$G$2657,Data!$A$2:$A$2657,$A102,Data!$B$2:$B$2657,$B102,Data!$D$2:$D$2657,"A&amp;G and general"))/$D102,0)</f>
        <v>0.505335667266729</v>
      </c>
      <c r="J102" s="10" t="n">
        <f aca="false">IFERROR(SUMIFS(Data!$F$2:$F$2657,Data!$A$2:$A$2657,$A102,Data!$B$2:$B$2657,$B102)/$D102,0)</f>
        <v>-0.190029481023206</v>
      </c>
      <c r="K102" s="11" t="n">
        <f aca="false">SUM(E102:I102)</f>
        <v>1</v>
      </c>
    </row>
    <row r="103" customFormat="false" ht="15" hidden="false" customHeight="false" outlineLevel="0" collapsed="false">
      <c r="A103" s="7" t="n">
        <v>2000</v>
      </c>
      <c r="B103" s="12" t="s">
        <v>68</v>
      </c>
      <c r="C103" s="12" t="s">
        <v>65</v>
      </c>
      <c r="D103" s="9" t="n">
        <f aca="false">SUMIFS(Data!$E$2:$E$2657,Data!$A$2:$A$2657,$A103,Data!$B$2:$B$2657,$B103)+SUMIFS(Data!$G$2:$G$2657,Data!$A$2:$A$2657,$A103,Data!$B$2:$B$2657,$B103)</f>
        <v>265.677584</v>
      </c>
      <c r="E103" s="10" t="n">
        <f aca="false">IFERROR((SUMIFS(Data!$E$2:$E$2657,Data!$A$2:$A$2657,$A103,Data!$B$2:$B$2657,$B103,Data!$D$2:$D$2657,"Transmission")+SUMIFS(Data!$G$2:$G$2657,Data!$A$2:$A$2657,$A103,Data!$B$2:$B$2657,$B103,Data!$D$2:$D$2657,"Transmission"))/$D103,0)</f>
        <v>0.042698431042643</v>
      </c>
      <c r="F103" s="10" t="n">
        <f aca="false">IFERROR((SUMIFS(Data!$E$2:$E$2657,Data!$A$2:$A$2657,$A103,Data!$B$2:$B$2657,$B103,Data!$D$2:$D$2657,"Distribution")+SUMIFS(Data!$G$2:$G$2657,Data!$A$2:$A$2657,$A103,Data!$B$2:$B$2657,$B103,Data!$D$2:$D$2657,"Distribution"))/$D103,0)</f>
        <v>0.264069764350161</v>
      </c>
      <c r="G103" s="10" t="n">
        <f aca="false">IFERROR((SUMIFS(Data!$E$2:$E$2657,Data!$A$2:$A$2657,$A103,Data!$B$2:$B$2657,$B103,Data!$D$2:$D$2657,"RTO/market operation")+SUMIFS(Data!$G$2:$G$2657,Data!$A$2:$A$2657,$A103,Data!$B$2:$B$2657,$B103,Data!$D$2:$D$2657,"RTO/market operation"))/$D103,0)</f>
        <v>0</v>
      </c>
      <c r="H103" s="10" t="n">
        <f aca="false">IFERROR((SUMIFS(Data!$E$2:$E$2657,Data!$A$2:$A$2657,$A103,Data!$B$2:$B$2657,$B103,Data!$D$2:$D$2657,"Customer accounts, service &amp; sales")+SUMIFS(Data!$G$2:$G$2657,Data!$A$2:$A$2657,$A103,Data!$B$2:$B$2657,$B103,Data!$D$2:$D$2657,"Customer accounts, service &amp; sales"))/$D103,0)</f>
        <v>0.0957943896388338</v>
      </c>
      <c r="I103" s="10" t="n">
        <f aca="false">IFERROR((SUMIFS(Data!$E$2:$E$2657,Data!$A$2:$A$2657,$A103,Data!$B$2:$B$2657,$B103,Data!$D$2:$D$2657,"A&amp;G and general")+SUMIFS(Data!$G$2:$G$2657,Data!$A$2:$A$2657,$A103,Data!$B$2:$B$2657,$B103,Data!$D$2:$D$2657,"A&amp;G and general"))/$D103,0)</f>
        <v>0.597437414968363</v>
      </c>
      <c r="J103" s="10" t="n">
        <f aca="false">IFERROR(SUMIFS(Data!$F$2:$F$2657,Data!$A$2:$A$2657,$A103,Data!$B$2:$B$2657,$B103)/$D103,0)</f>
        <v>0</v>
      </c>
      <c r="K103" s="11" t="n">
        <f aca="false">SUM(E103:I103)</f>
        <v>1</v>
      </c>
    </row>
    <row r="104" customFormat="false" ht="15" hidden="false" customHeight="false" outlineLevel="0" collapsed="false">
      <c r="A104" s="7" t="n">
        <v>2000</v>
      </c>
      <c r="B104" s="12" t="s">
        <v>69</v>
      </c>
      <c r="C104" s="12" t="s">
        <v>70</v>
      </c>
      <c r="D104" s="9" t="n">
        <f aca="false">SUMIFS(Data!$E$2:$E$2657,Data!$A$2:$A$2657,$A104,Data!$B$2:$B$2657,$B104)+SUMIFS(Data!$G$2:$G$2657,Data!$A$2:$A$2657,$A104,Data!$B$2:$B$2657,$B104)</f>
        <v>236.990991</v>
      </c>
      <c r="E104" s="10" t="n">
        <f aca="false">IFERROR((SUMIFS(Data!$E$2:$E$2657,Data!$A$2:$A$2657,$A104,Data!$B$2:$B$2657,$B104,Data!$D$2:$D$2657,"Transmission")+SUMIFS(Data!$G$2:$G$2657,Data!$A$2:$A$2657,$A104,Data!$B$2:$B$2657,$B104,Data!$D$2:$D$2657,"Transmission"))/$D104,0)</f>
        <v>0.137229828284907</v>
      </c>
      <c r="F104" s="10" t="n">
        <f aca="false">IFERROR((SUMIFS(Data!$E$2:$E$2657,Data!$A$2:$A$2657,$A104,Data!$B$2:$B$2657,$B104,Data!$D$2:$D$2657,"Distribution")+SUMIFS(Data!$G$2:$G$2657,Data!$A$2:$A$2657,$A104,Data!$B$2:$B$2657,$B104,Data!$D$2:$D$2657,"Distribution"))/$D104,0)</f>
        <v>0.286305752441028</v>
      </c>
      <c r="G104" s="10" t="n">
        <f aca="false">IFERROR((SUMIFS(Data!$E$2:$E$2657,Data!$A$2:$A$2657,$A104,Data!$B$2:$B$2657,$B104,Data!$D$2:$D$2657,"RTO/market operation")+SUMIFS(Data!$G$2:$G$2657,Data!$A$2:$A$2657,$A104,Data!$B$2:$B$2657,$B104,Data!$D$2:$D$2657,"RTO/market operation"))/$D104,0)</f>
        <v>0</v>
      </c>
      <c r="H104" s="10" t="n">
        <f aca="false">IFERROR((SUMIFS(Data!$E$2:$E$2657,Data!$A$2:$A$2657,$A104,Data!$B$2:$B$2657,$B104,Data!$D$2:$D$2657,"Customer accounts, service &amp; sales")+SUMIFS(Data!$G$2:$G$2657,Data!$A$2:$A$2657,$A104,Data!$B$2:$B$2657,$B104,Data!$D$2:$D$2657,"Customer accounts, service &amp; sales"))/$D104,0)</f>
        <v>0.222869948672437</v>
      </c>
      <c r="I104" s="10" t="n">
        <f aca="false">IFERROR((SUMIFS(Data!$E$2:$E$2657,Data!$A$2:$A$2657,$A104,Data!$B$2:$B$2657,$B104,Data!$D$2:$D$2657,"A&amp;G and general")+SUMIFS(Data!$G$2:$G$2657,Data!$A$2:$A$2657,$A104,Data!$B$2:$B$2657,$B104,Data!$D$2:$D$2657,"A&amp;G and general"))/$D104,0)</f>
        <v>0.353594470601627</v>
      </c>
      <c r="J104" s="10" t="n">
        <f aca="false">IFERROR(SUMIFS(Data!$F$2:$F$2657,Data!$A$2:$A$2657,$A104,Data!$B$2:$B$2657,$B104)/$D104,0)</f>
        <v>0.0287738195077635</v>
      </c>
      <c r="K104" s="11" t="n">
        <f aca="false">SUM(E104:I104)</f>
        <v>1</v>
      </c>
    </row>
    <row r="105" customFormat="false" ht="15" hidden="false" customHeight="false" outlineLevel="0" collapsed="false">
      <c r="A105" s="7" t="n">
        <v>2000</v>
      </c>
      <c r="B105" s="12" t="s">
        <v>71</v>
      </c>
      <c r="C105" s="12" t="s">
        <v>72</v>
      </c>
      <c r="D105" s="9" t="n">
        <f aca="false">SUMIFS(Data!$E$2:$E$2657,Data!$A$2:$A$2657,$A105,Data!$B$2:$B$2657,$B105)+SUMIFS(Data!$G$2:$G$2657,Data!$A$2:$A$2657,$A105,Data!$B$2:$B$2657,$B105)</f>
        <v>47.685543</v>
      </c>
      <c r="E105" s="10" t="n">
        <f aca="false">IFERROR((SUMIFS(Data!$E$2:$E$2657,Data!$A$2:$A$2657,$A105,Data!$B$2:$B$2657,$B105,Data!$D$2:$D$2657,"Transmission")+SUMIFS(Data!$G$2:$G$2657,Data!$A$2:$A$2657,$A105,Data!$B$2:$B$2657,$B105,Data!$D$2:$D$2657,"Transmission"))/$D105,0)</f>
        <v>0.139648530373241</v>
      </c>
      <c r="F105" s="10" t="n">
        <f aca="false">IFERROR((SUMIFS(Data!$E$2:$E$2657,Data!$A$2:$A$2657,$A105,Data!$B$2:$B$2657,$B105,Data!$D$2:$D$2657,"Distribution")+SUMIFS(Data!$G$2:$G$2657,Data!$A$2:$A$2657,$A105,Data!$B$2:$B$2657,$B105,Data!$D$2:$D$2657,"Distribution"))/$D105,0)</f>
        <v>0.280019061542405</v>
      </c>
      <c r="G105" s="10" t="n">
        <f aca="false">IFERROR((SUMIFS(Data!$E$2:$E$2657,Data!$A$2:$A$2657,$A105,Data!$B$2:$B$2657,$B105,Data!$D$2:$D$2657,"RTO/market operation")+SUMIFS(Data!$G$2:$G$2657,Data!$A$2:$A$2657,$A105,Data!$B$2:$B$2657,$B105,Data!$D$2:$D$2657,"RTO/market operation"))/$D105,0)</f>
        <v>0</v>
      </c>
      <c r="H105" s="10" t="n">
        <f aca="false">IFERROR((SUMIFS(Data!$E$2:$E$2657,Data!$A$2:$A$2657,$A105,Data!$B$2:$B$2657,$B105,Data!$D$2:$D$2657,"Customer accounts, service &amp; sales")+SUMIFS(Data!$G$2:$G$2657,Data!$A$2:$A$2657,$A105,Data!$B$2:$B$2657,$B105,Data!$D$2:$D$2657,"Customer accounts, service &amp; sales"))/$D105,0)</f>
        <v>0.212960435409113</v>
      </c>
      <c r="I105" s="10" t="n">
        <f aca="false">IFERROR((SUMIFS(Data!$E$2:$E$2657,Data!$A$2:$A$2657,$A105,Data!$B$2:$B$2657,$B105,Data!$D$2:$D$2657,"A&amp;G and general")+SUMIFS(Data!$G$2:$G$2657,Data!$A$2:$A$2657,$A105,Data!$B$2:$B$2657,$B105,Data!$D$2:$D$2657,"A&amp;G and general"))/$D105,0)</f>
        <v>0.36737197267524</v>
      </c>
      <c r="J105" s="10" t="n">
        <f aca="false">IFERROR(SUMIFS(Data!$F$2:$F$2657,Data!$A$2:$A$2657,$A105,Data!$B$2:$B$2657,$B105)/$D105,0)</f>
        <v>0.045022576339332</v>
      </c>
      <c r="K105" s="11" t="n">
        <f aca="false">SUM(E105:I105)</f>
        <v>1</v>
      </c>
    </row>
    <row r="106" customFormat="false" ht="15" hidden="false" customHeight="false" outlineLevel="0" collapsed="false">
      <c r="A106" s="7" t="n">
        <v>2000</v>
      </c>
      <c r="B106" s="12" t="s">
        <v>73</v>
      </c>
      <c r="C106" s="12" t="s">
        <v>70</v>
      </c>
      <c r="D106" s="9" t="n">
        <f aca="false">SUMIFS(Data!$E$2:$E$2657,Data!$A$2:$A$2657,$A106,Data!$B$2:$B$2657,$B106)+SUMIFS(Data!$G$2:$G$2657,Data!$A$2:$A$2657,$A106,Data!$B$2:$B$2657,$B106)</f>
        <v>296.447266</v>
      </c>
      <c r="E106" s="10" t="n">
        <f aca="false">IFERROR((SUMIFS(Data!$E$2:$E$2657,Data!$A$2:$A$2657,$A106,Data!$B$2:$B$2657,$B106,Data!$D$2:$D$2657,"Transmission")+SUMIFS(Data!$G$2:$G$2657,Data!$A$2:$A$2657,$A106,Data!$B$2:$B$2657,$B106,Data!$D$2:$D$2657,"Transmission"))/$D106,0)</f>
        <v>0.0717205366299448</v>
      </c>
      <c r="F106" s="10" t="n">
        <f aca="false">IFERROR((SUMIFS(Data!$E$2:$E$2657,Data!$A$2:$A$2657,$A106,Data!$B$2:$B$2657,$B106,Data!$D$2:$D$2657,"Distribution")+SUMIFS(Data!$G$2:$G$2657,Data!$A$2:$A$2657,$A106,Data!$B$2:$B$2657,$B106,Data!$D$2:$D$2657,"Distribution"))/$D106,0)</f>
        <v>0.367910925513477</v>
      </c>
      <c r="G106" s="10" t="n">
        <f aca="false">IFERROR((SUMIFS(Data!$E$2:$E$2657,Data!$A$2:$A$2657,$A106,Data!$B$2:$B$2657,$B106,Data!$D$2:$D$2657,"RTO/market operation")+SUMIFS(Data!$G$2:$G$2657,Data!$A$2:$A$2657,$A106,Data!$B$2:$B$2657,$B106,Data!$D$2:$D$2657,"RTO/market operation"))/$D106,0)</f>
        <v>0</v>
      </c>
      <c r="H106" s="10" t="n">
        <f aca="false">IFERROR((SUMIFS(Data!$E$2:$E$2657,Data!$A$2:$A$2657,$A106,Data!$B$2:$B$2657,$B106,Data!$D$2:$D$2657,"Customer accounts, service &amp; sales")+SUMIFS(Data!$G$2:$G$2657,Data!$A$2:$A$2657,$A106,Data!$B$2:$B$2657,$B106,Data!$D$2:$D$2657,"Customer accounts, service &amp; sales"))/$D106,0)</f>
        <v>0.216243502141119</v>
      </c>
      <c r="I106" s="10" t="n">
        <f aca="false">IFERROR((SUMIFS(Data!$E$2:$E$2657,Data!$A$2:$A$2657,$A106,Data!$B$2:$B$2657,$B106,Data!$D$2:$D$2657,"A&amp;G and general")+SUMIFS(Data!$G$2:$G$2657,Data!$A$2:$A$2657,$A106,Data!$B$2:$B$2657,$B106,Data!$D$2:$D$2657,"A&amp;G and general"))/$D106,0)</f>
        <v>0.344125035715458</v>
      </c>
      <c r="J106" s="10" t="n">
        <f aca="false">IFERROR(SUMIFS(Data!$F$2:$F$2657,Data!$A$2:$A$2657,$A106,Data!$B$2:$B$2657,$B106)/$D106,0)</f>
        <v>0.00472701610275603</v>
      </c>
      <c r="K106" s="11" t="n">
        <f aca="false">SUM(E106:I106)</f>
        <v>1</v>
      </c>
    </row>
    <row r="107" customFormat="false" ht="15" hidden="false" customHeight="false" outlineLevel="0" collapsed="false">
      <c r="A107" s="7" t="n">
        <v>2000</v>
      </c>
      <c r="B107" s="12" t="s">
        <v>74</v>
      </c>
      <c r="C107" s="12" t="s">
        <v>65</v>
      </c>
      <c r="D107" s="9" t="n">
        <f aca="false">SUMIFS(Data!$E$2:$E$2657,Data!$A$2:$A$2657,$A107,Data!$B$2:$B$2657,$B107)+SUMIFS(Data!$G$2:$G$2657,Data!$A$2:$A$2657,$A107,Data!$B$2:$B$2657,$B107)</f>
        <v>207.551315</v>
      </c>
      <c r="E107" s="10" t="n">
        <f aca="false">IFERROR((SUMIFS(Data!$E$2:$E$2657,Data!$A$2:$A$2657,$A107,Data!$B$2:$B$2657,$B107,Data!$D$2:$D$2657,"Transmission")+SUMIFS(Data!$G$2:$G$2657,Data!$A$2:$A$2657,$A107,Data!$B$2:$B$2657,$B107,Data!$D$2:$D$2657,"Transmission"))/$D107,0)</f>
        <v>0.133797624939163</v>
      </c>
      <c r="F107" s="10" t="n">
        <f aca="false">IFERROR((SUMIFS(Data!$E$2:$E$2657,Data!$A$2:$A$2657,$A107,Data!$B$2:$B$2657,$B107,Data!$D$2:$D$2657,"Distribution")+SUMIFS(Data!$G$2:$G$2657,Data!$A$2:$A$2657,$A107,Data!$B$2:$B$2657,$B107,Data!$D$2:$D$2657,"Distribution"))/$D107,0)</f>
        <v>0.319902087828256</v>
      </c>
      <c r="G107" s="10" t="n">
        <f aca="false">IFERROR((SUMIFS(Data!$E$2:$E$2657,Data!$A$2:$A$2657,$A107,Data!$B$2:$B$2657,$B107,Data!$D$2:$D$2657,"RTO/market operation")+SUMIFS(Data!$G$2:$G$2657,Data!$A$2:$A$2657,$A107,Data!$B$2:$B$2657,$B107,Data!$D$2:$D$2657,"RTO/market operation"))/$D107,0)</f>
        <v>0</v>
      </c>
      <c r="H107" s="10" t="n">
        <f aca="false">IFERROR((SUMIFS(Data!$E$2:$E$2657,Data!$A$2:$A$2657,$A107,Data!$B$2:$B$2657,$B107,Data!$D$2:$D$2657,"Customer accounts, service &amp; sales")+SUMIFS(Data!$G$2:$G$2657,Data!$A$2:$A$2657,$A107,Data!$B$2:$B$2657,$B107,Data!$D$2:$D$2657,"Customer accounts, service &amp; sales"))/$D107,0)</f>
        <v>0.0845334754925547</v>
      </c>
      <c r="I107" s="10" t="n">
        <f aca="false">IFERROR((SUMIFS(Data!$E$2:$E$2657,Data!$A$2:$A$2657,$A107,Data!$B$2:$B$2657,$B107,Data!$D$2:$D$2657,"A&amp;G and general")+SUMIFS(Data!$G$2:$G$2657,Data!$A$2:$A$2657,$A107,Data!$B$2:$B$2657,$B107,Data!$D$2:$D$2657,"A&amp;G and general"))/$D107,0)</f>
        <v>0.461766811740027</v>
      </c>
      <c r="J107" s="10" t="n">
        <f aca="false">IFERROR(SUMIFS(Data!$F$2:$F$2657,Data!$A$2:$A$2657,$A107,Data!$B$2:$B$2657,$B107)/$D107,0)</f>
        <v>0.000836231753096818</v>
      </c>
      <c r="K107" s="11" t="n">
        <f aca="false">SUM(E107:I107)</f>
        <v>1</v>
      </c>
    </row>
    <row r="108" customFormat="false" ht="15" hidden="false" customHeight="false" outlineLevel="0" collapsed="false">
      <c r="A108" s="7" t="n">
        <v>2000</v>
      </c>
      <c r="B108" s="12" t="s">
        <v>75</v>
      </c>
      <c r="C108" s="12" t="s">
        <v>57</v>
      </c>
      <c r="D108" s="9" t="n">
        <f aca="false">SUMIFS(Data!$E$2:$E$2657,Data!$A$2:$A$2657,$A108,Data!$B$2:$B$2657,$B108)+SUMIFS(Data!$G$2:$G$2657,Data!$A$2:$A$2657,$A108,Data!$B$2:$B$2657,$B108)</f>
        <v>520.221438</v>
      </c>
      <c r="E108" s="10" t="n">
        <f aca="false">IFERROR((SUMIFS(Data!$E$2:$E$2657,Data!$A$2:$A$2657,$A108,Data!$B$2:$B$2657,$B108,Data!$D$2:$D$2657,"Transmission")+SUMIFS(Data!$G$2:$G$2657,Data!$A$2:$A$2657,$A108,Data!$B$2:$B$2657,$B108,Data!$D$2:$D$2657,"Transmission"))/$D108,0)</f>
        <v>0.180184248769848</v>
      </c>
      <c r="F108" s="10" t="n">
        <f aca="false">IFERROR((SUMIFS(Data!$E$2:$E$2657,Data!$A$2:$A$2657,$A108,Data!$B$2:$B$2657,$B108,Data!$D$2:$D$2657,"Distribution")+SUMIFS(Data!$G$2:$G$2657,Data!$A$2:$A$2657,$A108,Data!$B$2:$B$2657,$B108,Data!$D$2:$D$2657,"Distribution"))/$D108,0)</f>
        <v>0.309961889728966</v>
      </c>
      <c r="G108" s="10" t="n">
        <f aca="false">IFERROR((SUMIFS(Data!$E$2:$E$2657,Data!$A$2:$A$2657,$A108,Data!$B$2:$B$2657,$B108,Data!$D$2:$D$2657,"RTO/market operation")+SUMIFS(Data!$G$2:$G$2657,Data!$A$2:$A$2657,$A108,Data!$B$2:$B$2657,$B108,Data!$D$2:$D$2657,"RTO/market operation"))/$D108,0)</f>
        <v>0</v>
      </c>
      <c r="H108" s="10" t="n">
        <f aca="false">IFERROR((SUMIFS(Data!$E$2:$E$2657,Data!$A$2:$A$2657,$A108,Data!$B$2:$B$2657,$B108,Data!$D$2:$D$2657,"Customer accounts, service &amp; sales")+SUMIFS(Data!$G$2:$G$2657,Data!$A$2:$A$2657,$A108,Data!$B$2:$B$2657,$B108,Data!$D$2:$D$2657,"Customer accounts, service &amp; sales"))/$D108,0)</f>
        <v>0.196398374878199</v>
      </c>
      <c r="I108" s="10" t="n">
        <f aca="false">IFERROR((SUMIFS(Data!$E$2:$E$2657,Data!$A$2:$A$2657,$A108,Data!$B$2:$B$2657,$B108,Data!$D$2:$D$2657,"A&amp;G and general")+SUMIFS(Data!$G$2:$G$2657,Data!$A$2:$A$2657,$A108,Data!$B$2:$B$2657,$B108,Data!$D$2:$D$2657,"A&amp;G and general"))/$D108,0)</f>
        <v>0.313455486622987</v>
      </c>
      <c r="J108" s="10" t="n">
        <f aca="false">IFERROR(SUMIFS(Data!$F$2:$F$2657,Data!$A$2:$A$2657,$A108,Data!$B$2:$B$2657,$B108)/$D108,0)</f>
        <v>0.0345401105903675</v>
      </c>
      <c r="K108" s="11" t="n">
        <f aca="false">SUM(E108:I108)</f>
        <v>1</v>
      </c>
    </row>
    <row r="109" customFormat="false" ht="15" hidden="false" customHeight="false" outlineLevel="0" collapsed="false">
      <c r="A109" s="7" t="n">
        <v>2000</v>
      </c>
      <c r="B109" s="12" t="s">
        <v>76</v>
      </c>
      <c r="C109" s="12" t="s">
        <v>72</v>
      </c>
      <c r="D109" s="9" t="n">
        <f aca="false">SUMIFS(Data!$E$2:$E$2657,Data!$A$2:$A$2657,$A109,Data!$B$2:$B$2657,$B109)+SUMIFS(Data!$G$2:$G$2657,Data!$A$2:$A$2657,$A109,Data!$B$2:$B$2657,$B109)</f>
        <v>104.56326</v>
      </c>
      <c r="E109" s="10" t="n">
        <f aca="false">IFERROR((SUMIFS(Data!$E$2:$E$2657,Data!$A$2:$A$2657,$A109,Data!$B$2:$B$2657,$B109,Data!$D$2:$D$2657,"Transmission")+SUMIFS(Data!$G$2:$G$2657,Data!$A$2:$A$2657,$A109,Data!$B$2:$B$2657,$B109,Data!$D$2:$D$2657,"Transmission"))/$D109,0)</f>
        <v>0.278434518969665</v>
      </c>
      <c r="F109" s="10" t="n">
        <f aca="false">IFERROR((SUMIFS(Data!$E$2:$E$2657,Data!$A$2:$A$2657,$A109,Data!$B$2:$B$2657,$B109,Data!$D$2:$D$2657,"Distribution")+SUMIFS(Data!$G$2:$G$2657,Data!$A$2:$A$2657,$A109,Data!$B$2:$B$2657,$B109,Data!$D$2:$D$2657,"Distribution"))/$D109,0)</f>
        <v>0.335676546427493</v>
      </c>
      <c r="G109" s="10" t="n">
        <f aca="false">IFERROR((SUMIFS(Data!$E$2:$E$2657,Data!$A$2:$A$2657,$A109,Data!$B$2:$B$2657,$B109,Data!$D$2:$D$2657,"RTO/market operation")+SUMIFS(Data!$G$2:$G$2657,Data!$A$2:$A$2657,$A109,Data!$B$2:$B$2657,$B109,Data!$D$2:$D$2657,"RTO/market operation"))/$D109,0)</f>
        <v>0</v>
      </c>
      <c r="H109" s="10" t="n">
        <f aca="false">IFERROR((SUMIFS(Data!$E$2:$E$2657,Data!$A$2:$A$2657,$A109,Data!$B$2:$B$2657,$B109,Data!$D$2:$D$2657,"Customer accounts, service &amp; sales")+SUMIFS(Data!$G$2:$G$2657,Data!$A$2:$A$2657,$A109,Data!$B$2:$B$2657,$B109,Data!$D$2:$D$2657,"Customer accounts, service &amp; sales"))/$D109,0)</f>
        <v>0.151501081737505</v>
      </c>
      <c r="I109" s="10" t="n">
        <f aca="false">IFERROR((SUMIFS(Data!$E$2:$E$2657,Data!$A$2:$A$2657,$A109,Data!$B$2:$B$2657,$B109,Data!$D$2:$D$2657,"A&amp;G and general")+SUMIFS(Data!$G$2:$G$2657,Data!$A$2:$A$2657,$A109,Data!$B$2:$B$2657,$B109,Data!$D$2:$D$2657,"A&amp;G and general"))/$D109,0)</f>
        <v>0.234387852865337</v>
      </c>
      <c r="J109" s="10" t="n">
        <f aca="false">IFERROR(SUMIFS(Data!$F$2:$F$2657,Data!$A$2:$A$2657,$A109,Data!$B$2:$B$2657,$B109)/$D109,0)</f>
        <v>0</v>
      </c>
      <c r="K109" s="11" t="n">
        <f aca="false">SUM(E109:I109)</f>
        <v>1</v>
      </c>
    </row>
    <row r="110" customFormat="false" ht="15" hidden="false" customHeight="false" outlineLevel="0" collapsed="false">
      <c r="A110" s="7" t="n">
        <v>2000</v>
      </c>
      <c r="B110" s="12" t="s">
        <v>77</v>
      </c>
      <c r="C110" s="12" t="s">
        <v>57</v>
      </c>
      <c r="D110" s="9" t="n">
        <f aca="false">SUMIFS(Data!$E$2:$E$2657,Data!$A$2:$A$2657,$A110,Data!$B$2:$B$2657,$B110)+SUMIFS(Data!$G$2:$G$2657,Data!$A$2:$A$2657,$A110,Data!$B$2:$B$2657,$B110)</f>
        <v>69.952826</v>
      </c>
      <c r="E110" s="10" t="n">
        <f aca="false">IFERROR((SUMIFS(Data!$E$2:$E$2657,Data!$A$2:$A$2657,$A110,Data!$B$2:$B$2657,$B110,Data!$D$2:$D$2657,"Transmission")+SUMIFS(Data!$G$2:$G$2657,Data!$A$2:$A$2657,$A110,Data!$B$2:$B$2657,$B110,Data!$D$2:$D$2657,"Transmission"))/$D110,0)</f>
        <v>0.115986793728677</v>
      </c>
      <c r="F110" s="10" t="n">
        <f aca="false">IFERROR((SUMIFS(Data!$E$2:$E$2657,Data!$A$2:$A$2657,$A110,Data!$B$2:$B$2657,$B110,Data!$D$2:$D$2657,"Distribution")+SUMIFS(Data!$G$2:$G$2657,Data!$A$2:$A$2657,$A110,Data!$B$2:$B$2657,$B110,Data!$D$2:$D$2657,"Distribution"))/$D110,0)</f>
        <v>0.273088552562551</v>
      </c>
      <c r="G110" s="10" t="n">
        <f aca="false">IFERROR((SUMIFS(Data!$E$2:$E$2657,Data!$A$2:$A$2657,$A110,Data!$B$2:$B$2657,$B110,Data!$D$2:$D$2657,"RTO/market operation")+SUMIFS(Data!$G$2:$G$2657,Data!$A$2:$A$2657,$A110,Data!$B$2:$B$2657,$B110,Data!$D$2:$D$2657,"RTO/market operation"))/$D110,0)</f>
        <v>0</v>
      </c>
      <c r="H110" s="10" t="n">
        <f aca="false">IFERROR((SUMIFS(Data!$E$2:$E$2657,Data!$A$2:$A$2657,$A110,Data!$B$2:$B$2657,$B110,Data!$D$2:$D$2657,"Customer accounts, service &amp; sales")+SUMIFS(Data!$G$2:$G$2657,Data!$A$2:$A$2657,$A110,Data!$B$2:$B$2657,$B110,Data!$D$2:$D$2657,"Customer accounts, service &amp; sales"))/$D110,0)</f>
        <v>0.214781701599875</v>
      </c>
      <c r="I110" s="10" t="n">
        <f aca="false">IFERROR((SUMIFS(Data!$E$2:$E$2657,Data!$A$2:$A$2657,$A110,Data!$B$2:$B$2657,$B110,Data!$D$2:$D$2657,"A&amp;G and general")+SUMIFS(Data!$G$2:$G$2657,Data!$A$2:$A$2657,$A110,Data!$B$2:$B$2657,$B110,Data!$D$2:$D$2657,"A&amp;G and general"))/$D110,0)</f>
        <v>0.396142952108897</v>
      </c>
      <c r="J110" s="10" t="n">
        <f aca="false">IFERROR(SUMIFS(Data!$F$2:$F$2657,Data!$A$2:$A$2657,$A110,Data!$B$2:$B$2657,$B110)/$D110,0)</f>
        <v>0</v>
      </c>
      <c r="K110" s="11" t="n">
        <f aca="false">SUM(E110:I110)</f>
        <v>1</v>
      </c>
    </row>
    <row r="111" customFormat="false" ht="15" hidden="false" customHeight="false" outlineLevel="0" collapsed="false">
      <c r="A111" s="7" t="n">
        <v>2000</v>
      </c>
      <c r="B111" s="12" t="s">
        <v>78</v>
      </c>
      <c r="C111" s="12" t="s">
        <v>65</v>
      </c>
      <c r="D111" s="9" t="n">
        <f aca="false">SUMIFS(Data!$E$2:$E$2657,Data!$A$2:$A$2657,$A111,Data!$B$2:$B$2657,$B111)+SUMIFS(Data!$G$2:$G$2657,Data!$A$2:$A$2657,$A111,Data!$B$2:$B$2657,$B111)</f>
        <v>69.182677</v>
      </c>
      <c r="E111" s="10" t="n">
        <f aca="false">IFERROR((SUMIFS(Data!$E$2:$E$2657,Data!$A$2:$A$2657,$A111,Data!$B$2:$B$2657,$B111,Data!$D$2:$D$2657,"Transmission")+SUMIFS(Data!$G$2:$G$2657,Data!$A$2:$A$2657,$A111,Data!$B$2:$B$2657,$B111,Data!$D$2:$D$2657,"Transmission"))/$D111,0)</f>
        <v>0.0733444732125645</v>
      </c>
      <c r="F111" s="10" t="n">
        <f aca="false">IFERROR((SUMIFS(Data!$E$2:$E$2657,Data!$A$2:$A$2657,$A111,Data!$B$2:$B$2657,$B111,Data!$D$2:$D$2657,"Distribution")+SUMIFS(Data!$G$2:$G$2657,Data!$A$2:$A$2657,$A111,Data!$B$2:$B$2657,$B111,Data!$D$2:$D$2657,"Distribution"))/$D111,0)</f>
        <v>0.223944080683666</v>
      </c>
      <c r="G111" s="10" t="n">
        <f aca="false">IFERROR((SUMIFS(Data!$E$2:$E$2657,Data!$A$2:$A$2657,$A111,Data!$B$2:$B$2657,$B111,Data!$D$2:$D$2657,"RTO/market operation")+SUMIFS(Data!$G$2:$G$2657,Data!$A$2:$A$2657,$A111,Data!$B$2:$B$2657,$B111,Data!$D$2:$D$2657,"RTO/market operation"))/$D111,0)</f>
        <v>0</v>
      </c>
      <c r="H111" s="10" t="n">
        <f aca="false">IFERROR((SUMIFS(Data!$E$2:$E$2657,Data!$A$2:$A$2657,$A111,Data!$B$2:$B$2657,$B111,Data!$D$2:$D$2657,"Customer accounts, service &amp; sales")+SUMIFS(Data!$G$2:$G$2657,Data!$A$2:$A$2657,$A111,Data!$B$2:$B$2657,$B111,Data!$D$2:$D$2657,"Customer accounts, service &amp; sales"))/$D111,0)</f>
        <v>0.0528779046812542</v>
      </c>
      <c r="I111" s="10" t="n">
        <f aca="false">IFERROR((SUMIFS(Data!$E$2:$E$2657,Data!$A$2:$A$2657,$A111,Data!$B$2:$B$2657,$B111,Data!$D$2:$D$2657,"A&amp;G and general")+SUMIFS(Data!$G$2:$G$2657,Data!$A$2:$A$2657,$A111,Data!$B$2:$B$2657,$B111,Data!$D$2:$D$2657,"A&amp;G and general"))/$D111,0)</f>
        <v>0.649833541422515</v>
      </c>
      <c r="J111" s="10" t="n">
        <f aca="false">IFERROR(SUMIFS(Data!$F$2:$F$2657,Data!$A$2:$A$2657,$A111,Data!$B$2:$B$2657,$B111)/$D111,0)</f>
        <v>0.00088185370450467</v>
      </c>
      <c r="K111" s="11" t="n">
        <f aca="false">SUM(E111:I111)</f>
        <v>1</v>
      </c>
    </row>
    <row r="112" customFormat="false" ht="15" hidden="false" customHeight="false" outlineLevel="0" collapsed="false">
      <c r="A112" s="7" t="n">
        <v>2000</v>
      </c>
      <c r="B112" s="12" t="s">
        <v>79</v>
      </c>
      <c r="C112" s="12" t="s">
        <v>72</v>
      </c>
      <c r="D112" s="9" t="n">
        <f aca="false">SUMIFS(Data!$E$2:$E$2657,Data!$A$2:$A$2657,$A112,Data!$B$2:$B$2657,$B112)+SUMIFS(Data!$G$2:$G$2657,Data!$A$2:$A$2657,$A112,Data!$B$2:$B$2657,$B112)</f>
        <v>476.727783</v>
      </c>
      <c r="E112" s="10" t="n">
        <f aca="false">IFERROR((SUMIFS(Data!$E$2:$E$2657,Data!$A$2:$A$2657,$A112,Data!$B$2:$B$2657,$B112,Data!$D$2:$D$2657,"Transmission")+SUMIFS(Data!$G$2:$G$2657,Data!$A$2:$A$2657,$A112,Data!$B$2:$B$2657,$B112,Data!$D$2:$D$2657,"Transmission"))/$D112,0)</f>
        <v>0.0551603702106869</v>
      </c>
      <c r="F112" s="10" t="n">
        <f aca="false">IFERROR((SUMIFS(Data!$E$2:$E$2657,Data!$A$2:$A$2657,$A112,Data!$B$2:$B$2657,$B112,Data!$D$2:$D$2657,"Distribution")+SUMIFS(Data!$G$2:$G$2657,Data!$A$2:$A$2657,$A112,Data!$B$2:$B$2657,$B112,Data!$D$2:$D$2657,"Distribution"))/$D112,0)</f>
        <v>0.292716512391727</v>
      </c>
      <c r="G112" s="10" t="n">
        <f aca="false">IFERROR((SUMIFS(Data!$E$2:$E$2657,Data!$A$2:$A$2657,$A112,Data!$B$2:$B$2657,$B112,Data!$D$2:$D$2657,"RTO/market operation")+SUMIFS(Data!$G$2:$G$2657,Data!$A$2:$A$2657,$A112,Data!$B$2:$B$2657,$B112,Data!$D$2:$D$2657,"RTO/market operation"))/$D112,0)</f>
        <v>0</v>
      </c>
      <c r="H112" s="10" t="n">
        <f aca="false">IFERROR((SUMIFS(Data!$E$2:$E$2657,Data!$A$2:$A$2657,$A112,Data!$B$2:$B$2657,$B112,Data!$D$2:$D$2657,"Customer accounts, service &amp; sales")+SUMIFS(Data!$G$2:$G$2657,Data!$A$2:$A$2657,$A112,Data!$B$2:$B$2657,$B112,Data!$D$2:$D$2657,"Customer accounts, service &amp; sales"))/$D112,0)</f>
        <v>0.145769857512164</v>
      </c>
      <c r="I112" s="10" t="n">
        <f aca="false">IFERROR((SUMIFS(Data!$E$2:$E$2657,Data!$A$2:$A$2657,$A112,Data!$B$2:$B$2657,$B112,Data!$D$2:$D$2657,"A&amp;G and general")+SUMIFS(Data!$G$2:$G$2657,Data!$A$2:$A$2657,$A112,Data!$B$2:$B$2657,$B112,Data!$D$2:$D$2657,"A&amp;G and general"))/$D112,0)</f>
        <v>0.506353259885422</v>
      </c>
      <c r="J112" s="10" t="n">
        <f aca="false">IFERROR(SUMIFS(Data!$F$2:$F$2657,Data!$A$2:$A$2657,$A112,Data!$B$2:$B$2657,$B112)/$D112,0)</f>
        <v>0.00809083744968143</v>
      </c>
      <c r="K112" s="11" t="n">
        <f aca="false">SUM(E112:I112)</f>
        <v>1</v>
      </c>
    </row>
    <row r="113" customFormat="false" ht="15" hidden="false" customHeight="false" outlineLevel="0" collapsed="false">
      <c r="A113" s="7" t="n">
        <v>2000</v>
      </c>
      <c r="B113" s="12" t="s">
        <v>80</v>
      </c>
      <c r="C113" s="12" t="s">
        <v>72</v>
      </c>
      <c r="D113" s="9" t="n">
        <f aca="false">SUMIFS(Data!$E$2:$E$2657,Data!$A$2:$A$2657,$A113,Data!$B$2:$B$2657,$B113)+SUMIFS(Data!$G$2:$G$2657,Data!$A$2:$A$2657,$A113,Data!$B$2:$B$2657,$B113)</f>
        <v>162.988731</v>
      </c>
      <c r="E113" s="10" t="n">
        <f aca="false">IFERROR((SUMIFS(Data!$E$2:$E$2657,Data!$A$2:$A$2657,$A113,Data!$B$2:$B$2657,$B113,Data!$D$2:$D$2657,"Transmission")+SUMIFS(Data!$G$2:$G$2657,Data!$A$2:$A$2657,$A113,Data!$B$2:$B$2657,$B113,Data!$D$2:$D$2657,"Transmission"))/$D113,0)</f>
        <v>0.146853287666863</v>
      </c>
      <c r="F113" s="10" t="n">
        <f aca="false">IFERROR((SUMIFS(Data!$E$2:$E$2657,Data!$A$2:$A$2657,$A113,Data!$B$2:$B$2657,$B113,Data!$D$2:$D$2657,"Distribution")+SUMIFS(Data!$G$2:$G$2657,Data!$A$2:$A$2657,$A113,Data!$B$2:$B$2657,$B113,Data!$D$2:$D$2657,"Distribution"))/$D113,0)</f>
        <v>0.294535491536528</v>
      </c>
      <c r="G113" s="10" t="n">
        <f aca="false">IFERROR((SUMIFS(Data!$E$2:$E$2657,Data!$A$2:$A$2657,$A113,Data!$B$2:$B$2657,$B113,Data!$D$2:$D$2657,"RTO/market operation")+SUMIFS(Data!$G$2:$G$2657,Data!$A$2:$A$2657,$A113,Data!$B$2:$B$2657,$B113,Data!$D$2:$D$2657,"RTO/market operation"))/$D113,0)</f>
        <v>0</v>
      </c>
      <c r="H113" s="10" t="n">
        <f aca="false">IFERROR((SUMIFS(Data!$E$2:$E$2657,Data!$A$2:$A$2657,$A113,Data!$B$2:$B$2657,$B113,Data!$D$2:$D$2657,"Customer accounts, service &amp; sales")+SUMIFS(Data!$G$2:$G$2657,Data!$A$2:$A$2657,$A113,Data!$B$2:$B$2657,$B113,Data!$D$2:$D$2657,"Customer accounts, service &amp; sales"))/$D113,0)</f>
        <v>0.163229198956092</v>
      </c>
      <c r="I113" s="10" t="n">
        <f aca="false">IFERROR((SUMIFS(Data!$E$2:$E$2657,Data!$A$2:$A$2657,$A113,Data!$B$2:$B$2657,$B113,Data!$D$2:$D$2657,"A&amp;G and general")+SUMIFS(Data!$G$2:$G$2657,Data!$A$2:$A$2657,$A113,Data!$B$2:$B$2657,$B113,Data!$D$2:$D$2657,"A&amp;G and general"))/$D113,0)</f>
        <v>0.395382021840516</v>
      </c>
      <c r="J113" s="10" t="n">
        <f aca="false">IFERROR(SUMIFS(Data!$F$2:$F$2657,Data!$A$2:$A$2657,$A113,Data!$B$2:$B$2657,$B113)/$D113,0)</f>
        <v>0.0647946943031295</v>
      </c>
      <c r="K113" s="11" t="n">
        <f aca="false">SUM(E113:I113)</f>
        <v>1</v>
      </c>
    </row>
    <row r="114" customFormat="false" ht="15" hidden="false" customHeight="false" outlineLevel="0" collapsed="false">
      <c r="A114" s="7" t="n">
        <v>2000</v>
      </c>
      <c r="B114" s="12" t="s">
        <v>81</v>
      </c>
      <c r="C114" s="12" t="s">
        <v>72</v>
      </c>
      <c r="D114" s="9" t="n">
        <f aca="false">SUMIFS(Data!$E$2:$E$2657,Data!$A$2:$A$2657,$A114,Data!$B$2:$B$2657,$B114)+SUMIFS(Data!$G$2:$G$2657,Data!$A$2:$A$2657,$A114,Data!$B$2:$B$2657,$B114)</f>
        <v>133.532706</v>
      </c>
      <c r="E114" s="10" t="n">
        <f aca="false">IFERROR((SUMIFS(Data!$E$2:$E$2657,Data!$A$2:$A$2657,$A114,Data!$B$2:$B$2657,$B114,Data!$D$2:$D$2657,"Transmission")+SUMIFS(Data!$G$2:$G$2657,Data!$A$2:$A$2657,$A114,Data!$B$2:$B$2657,$B114,Data!$D$2:$D$2657,"Transmission"))/$D114,0)</f>
        <v>0.109135045911524</v>
      </c>
      <c r="F114" s="10" t="n">
        <f aca="false">IFERROR((SUMIFS(Data!$E$2:$E$2657,Data!$A$2:$A$2657,$A114,Data!$B$2:$B$2657,$B114,Data!$D$2:$D$2657,"Distribution")+SUMIFS(Data!$G$2:$G$2657,Data!$A$2:$A$2657,$A114,Data!$B$2:$B$2657,$B114,Data!$D$2:$D$2657,"Distribution"))/$D114,0)</f>
        <v>0.394394793437347</v>
      </c>
      <c r="G114" s="10" t="n">
        <f aca="false">IFERROR((SUMIFS(Data!$E$2:$E$2657,Data!$A$2:$A$2657,$A114,Data!$B$2:$B$2657,$B114,Data!$D$2:$D$2657,"RTO/market operation")+SUMIFS(Data!$G$2:$G$2657,Data!$A$2:$A$2657,$A114,Data!$B$2:$B$2657,$B114,Data!$D$2:$D$2657,"RTO/market operation"))/$D114,0)</f>
        <v>0</v>
      </c>
      <c r="H114" s="10" t="n">
        <f aca="false">IFERROR((SUMIFS(Data!$E$2:$E$2657,Data!$A$2:$A$2657,$A114,Data!$B$2:$B$2657,$B114,Data!$D$2:$D$2657,"Customer accounts, service &amp; sales")+SUMIFS(Data!$G$2:$G$2657,Data!$A$2:$A$2657,$A114,Data!$B$2:$B$2657,$B114,Data!$D$2:$D$2657,"Customer accounts, service &amp; sales"))/$D114,0)</f>
        <v>0.228319068139007</v>
      </c>
      <c r="I114" s="10" t="n">
        <f aca="false">IFERROR((SUMIFS(Data!$E$2:$E$2657,Data!$A$2:$A$2657,$A114,Data!$B$2:$B$2657,$B114,Data!$D$2:$D$2657,"A&amp;G and general")+SUMIFS(Data!$G$2:$G$2657,Data!$A$2:$A$2657,$A114,Data!$B$2:$B$2657,$B114,Data!$D$2:$D$2657,"A&amp;G and general"))/$D114,0)</f>
        <v>0.268151092512122</v>
      </c>
      <c r="J114" s="10" t="n">
        <f aca="false">IFERROR(SUMIFS(Data!$F$2:$F$2657,Data!$A$2:$A$2657,$A114,Data!$B$2:$B$2657,$B114)/$D114,0)</f>
        <v>0.0148928008693241</v>
      </c>
      <c r="K114" s="11" t="n">
        <f aca="false">SUM(E114:I114)</f>
        <v>1</v>
      </c>
    </row>
    <row r="115" customFormat="false" ht="15" hidden="false" customHeight="false" outlineLevel="0" collapsed="false">
      <c r="A115" s="7" t="n">
        <v>2001</v>
      </c>
      <c r="B115" s="12" t="s">
        <v>56</v>
      </c>
      <c r="C115" s="12" t="s">
        <v>57</v>
      </c>
      <c r="D115" s="9" t="n">
        <f aca="false">SUMIFS(Data!$E$2:$E$2657,Data!$A$2:$A$2657,$A115,Data!$B$2:$B$2657,$B115)+SUMIFS(Data!$G$2:$G$2657,Data!$A$2:$A$2657,$A115,Data!$B$2:$B$2657,$B115)</f>
        <v>105.448527</v>
      </c>
      <c r="E115" s="10" t="n">
        <f aca="false">IFERROR((SUMIFS(Data!$E$2:$E$2657,Data!$A$2:$A$2657,$A115,Data!$B$2:$B$2657,$B115,Data!$D$2:$D$2657,"Transmission")+SUMIFS(Data!$G$2:$G$2657,Data!$A$2:$A$2657,$A115,Data!$B$2:$B$2657,$B115,Data!$D$2:$D$2657,"Transmission"))/$D115,0)</f>
        <v>0.107382287094442</v>
      </c>
      <c r="F115" s="10" t="n">
        <f aca="false">IFERROR((SUMIFS(Data!$E$2:$E$2657,Data!$A$2:$A$2657,$A115,Data!$B$2:$B$2657,$B115,Data!$D$2:$D$2657,"Distribution")+SUMIFS(Data!$G$2:$G$2657,Data!$A$2:$A$2657,$A115,Data!$B$2:$B$2657,$B115,Data!$D$2:$D$2657,"Distribution"))/$D115,0)</f>
        <v>0.225113376880077</v>
      </c>
      <c r="G115" s="10" t="n">
        <f aca="false">IFERROR((SUMIFS(Data!$E$2:$E$2657,Data!$A$2:$A$2657,$A115,Data!$B$2:$B$2657,$B115,Data!$D$2:$D$2657,"RTO/market operation")+SUMIFS(Data!$G$2:$G$2657,Data!$A$2:$A$2657,$A115,Data!$B$2:$B$2657,$B115,Data!$D$2:$D$2657,"RTO/market operation"))/$D115,0)</f>
        <v>0</v>
      </c>
      <c r="H115" s="10" t="n">
        <f aca="false">IFERROR((SUMIFS(Data!$E$2:$E$2657,Data!$A$2:$A$2657,$A115,Data!$B$2:$B$2657,$B115,Data!$D$2:$D$2657,"Customer accounts, service &amp; sales")+SUMIFS(Data!$G$2:$G$2657,Data!$A$2:$A$2657,$A115,Data!$B$2:$B$2657,$B115,Data!$D$2:$D$2657,"Customer accounts, service &amp; sales"))/$D115,0)</f>
        <v>0.186431328718323</v>
      </c>
      <c r="I115" s="10" t="n">
        <f aca="false">IFERROR((SUMIFS(Data!$E$2:$E$2657,Data!$A$2:$A$2657,$A115,Data!$B$2:$B$2657,$B115,Data!$D$2:$D$2657,"A&amp;G and general")+SUMIFS(Data!$G$2:$G$2657,Data!$A$2:$A$2657,$A115,Data!$B$2:$B$2657,$B115,Data!$D$2:$D$2657,"A&amp;G and general"))/$D115,0)</f>
        <v>0.481073007307158</v>
      </c>
      <c r="J115" s="10" t="n">
        <f aca="false">IFERROR(SUMIFS(Data!$F$2:$F$2657,Data!$A$2:$A$2657,$A115,Data!$B$2:$B$2657,$B115)/$D115,0)</f>
        <v>0.00192570731689785</v>
      </c>
      <c r="K115" s="11" t="n">
        <f aca="false">SUM(E115:I115)</f>
        <v>1</v>
      </c>
    </row>
    <row r="116" customFormat="false" ht="15" hidden="false" customHeight="false" outlineLevel="0" collapsed="false">
      <c r="A116" s="7" t="n">
        <v>2001</v>
      </c>
      <c r="B116" s="12" t="s">
        <v>58</v>
      </c>
      <c r="C116" s="12" t="s">
        <v>59</v>
      </c>
      <c r="D116" s="9" t="n">
        <f aca="false">SUMIFS(Data!$E$2:$E$2657,Data!$A$2:$A$2657,$A116,Data!$B$2:$B$2657,$B116)+SUMIFS(Data!$G$2:$G$2657,Data!$A$2:$A$2657,$A116,Data!$B$2:$B$2657,$B116)</f>
        <v>444.834768</v>
      </c>
      <c r="E116" s="10" t="n">
        <f aca="false">IFERROR((SUMIFS(Data!$E$2:$E$2657,Data!$A$2:$A$2657,$A116,Data!$B$2:$B$2657,$B116,Data!$D$2:$D$2657,"Transmission")+SUMIFS(Data!$G$2:$G$2657,Data!$A$2:$A$2657,$A116,Data!$B$2:$B$2657,$B116,Data!$D$2:$D$2657,"Transmission"))/$D116,0)</f>
        <v>0.0871009817290181</v>
      </c>
      <c r="F116" s="10" t="n">
        <f aca="false">IFERROR((SUMIFS(Data!$E$2:$E$2657,Data!$A$2:$A$2657,$A116,Data!$B$2:$B$2657,$B116,Data!$D$2:$D$2657,"Distribution")+SUMIFS(Data!$G$2:$G$2657,Data!$A$2:$A$2657,$A116,Data!$B$2:$B$2657,$B116,Data!$D$2:$D$2657,"Distribution"))/$D116,0)</f>
        <v>0.442142463108909</v>
      </c>
      <c r="G116" s="10" t="n">
        <f aca="false">IFERROR((SUMIFS(Data!$E$2:$E$2657,Data!$A$2:$A$2657,$A116,Data!$B$2:$B$2657,$B116,Data!$D$2:$D$2657,"RTO/market operation")+SUMIFS(Data!$G$2:$G$2657,Data!$A$2:$A$2657,$A116,Data!$B$2:$B$2657,$B116,Data!$D$2:$D$2657,"RTO/market operation"))/$D116,0)</f>
        <v>0</v>
      </c>
      <c r="H116" s="10" t="n">
        <f aca="false">IFERROR((SUMIFS(Data!$E$2:$E$2657,Data!$A$2:$A$2657,$A116,Data!$B$2:$B$2657,$B116,Data!$D$2:$D$2657,"Customer accounts, service &amp; sales")+SUMIFS(Data!$G$2:$G$2657,Data!$A$2:$A$2657,$A116,Data!$B$2:$B$2657,$B116,Data!$D$2:$D$2657,"Customer accounts, service &amp; sales"))/$D116,0)</f>
        <v>0.127365377159548</v>
      </c>
      <c r="I116" s="10" t="n">
        <f aca="false">IFERROR((SUMIFS(Data!$E$2:$E$2657,Data!$A$2:$A$2657,$A116,Data!$B$2:$B$2657,$B116,Data!$D$2:$D$2657,"A&amp;G and general")+SUMIFS(Data!$G$2:$G$2657,Data!$A$2:$A$2657,$A116,Data!$B$2:$B$2657,$B116,Data!$D$2:$D$2657,"A&amp;G and general"))/$D116,0)</f>
        <v>0.343391178002525</v>
      </c>
      <c r="J116" s="10" t="n">
        <f aca="false">IFERROR(SUMIFS(Data!$F$2:$F$2657,Data!$A$2:$A$2657,$A116,Data!$B$2:$B$2657,$B116)/$D116,0)</f>
        <v>3.10250029736884E-005</v>
      </c>
      <c r="K116" s="11" t="n">
        <f aca="false">SUM(E116:I116)</f>
        <v>1</v>
      </c>
    </row>
    <row r="117" customFormat="false" ht="15" hidden="false" customHeight="false" outlineLevel="0" collapsed="false">
      <c r="A117" s="7" t="n">
        <v>2001</v>
      </c>
      <c r="B117" s="12" t="s">
        <v>60</v>
      </c>
      <c r="C117" s="12" t="s">
        <v>59</v>
      </c>
      <c r="D117" s="9" t="n">
        <f aca="false">SUMIFS(Data!$E$2:$E$2657,Data!$A$2:$A$2657,$A117,Data!$B$2:$B$2657,$B117)+SUMIFS(Data!$G$2:$G$2657,Data!$A$2:$A$2657,$A117,Data!$B$2:$B$2657,$B117)</f>
        <v>1304.548057</v>
      </c>
      <c r="E117" s="10" t="n">
        <f aca="false">IFERROR((SUMIFS(Data!$E$2:$E$2657,Data!$A$2:$A$2657,$A117,Data!$B$2:$B$2657,$B117,Data!$D$2:$D$2657,"Transmission")+SUMIFS(Data!$G$2:$G$2657,Data!$A$2:$A$2657,$A117,Data!$B$2:$B$2657,$B117,Data!$D$2:$D$2657,"Transmission"))/$D117,0)</f>
        <v>0.0776364660976227</v>
      </c>
      <c r="F117" s="10" t="n">
        <f aca="false">IFERROR((SUMIFS(Data!$E$2:$E$2657,Data!$A$2:$A$2657,$A117,Data!$B$2:$B$2657,$B117,Data!$D$2:$D$2657,"Distribution")+SUMIFS(Data!$G$2:$G$2657,Data!$A$2:$A$2657,$A117,Data!$B$2:$B$2657,$B117,Data!$D$2:$D$2657,"Distribution"))/$D117,0)</f>
        <v>0.488400835508661</v>
      </c>
      <c r="G117" s="10" t="n">
        <f aca="false">IFERROR((SUMIFS(Data!$E$2:$E$2657,Data!$A$2:$A$2657,$A117,Data!$B$2:$B$2657,$B117,Data!$D$2:$D$2657,"RTO/market operation")+SUMIFS(Data!$G$2:$G$2657,Data!$A$2:$A$2657,$A117,Data!$B$2:$B$2657,$B117,Data!$D$2:$D$2657,"RTO/market operation"))/$D117,0)</f>
        <v>0</v>
      </c>
      <c r="H117" s="10" t="n">
        <f aca="false">IFERROR((SUMIFS(Data!$E$2:$E$2657,Data!$A$2:$A$2657,$A117,Data!$B$2:$B$2657,$B117,Data!$D$2:$D$2657,"Customer accounts, service &amp; sales")+SUMIFS(Data!$G$2:$G$2657,Data!$A$2:$A$2657,$A117,Data!$B$2:$B$2657,$B117,Data!$D$2:$D$2657,"Customer accounts, service &amp; sales"))/$D117,0)</f>
        <v>0.140389253594205</v>
      </c>
      <c r="I117" s="10" t="n">
        <f aca="false">IFERROR((SUMIFS(Data!$E$2:$E$2657,Data!$A$2:$A$2657,$A117,Data!$B$2:$B$2657,$B117,Data!$D$2:$D$2657,"A&amp;G and general")+SUMIFS(Data!$G$2:$G$2657,Data!$A$2:$A$2657,$A117,Data!$B$2:$B$2657,$B117,Data!$D$2:$D$2657,"A&amp;G and general"))/$D117,0)</f>
        <v>0.293573444799512</v>
      </c>
      <c r="J117" s="10" t="n">
        <f aca="false">IFERROR(SUMIFS(Data!$F$2:$F$2657,Data!$A$2:$A$2657,$A117,Data!$B$2:$B$2657,$B117)/$D117,0)</f>
        <v>0.00117747061272117</v>
      </c>
      <c r="K117" s="11" t="n">
        <f aca="false">SUM(E117:I117)</f>
        <v>1</v>
      </c>
    </row>
    <row r="118" customFormat="false" ht="15" hidden="false" customHeight="false" outlineLevel="0" collapsed="false">
      <c r="A118" s="7" t="n">
        <v>2001</v>
      </c>
      <c r="B118" s="12" t="s">
        <v>61</v>
      </c>
      <c r="C118" s="12" t="s">
        <v>62</v>
      </c>
      <c r="D118" s="9" t="n">
        <f aca="false">SUMIFS(Data!$E$2:$E$2657,Data!$A$2:$A$2657,$A118,Data!$B$2:$B$2657,$B118)+SUMIFS(Data!$G$2:$G$2657,Data!$A$2:$A$2657,$A118,Data!$B$2:$B$2657,$B118)</f>
        <v>494.508762</v>
      </c>
      <c r="E118" s="10" t="n">
        <f aca="false">IFERROR((SUMIFS(Data!$E$2:$E$2657,Data!$A$2:$A$2657,$A118,Data!$B$2:$B$2657,$B118,Data!$D$2:$D$2657,"Transmission")+SUMIFS(Data!$G$2:$G$2657,Data!$A$2:$A$2657,$A118,Data!$B$2:$B$2657,$B118,Data!$D$2:$D$2657,"Transmission"))/$D118,0)</f>
        <v>0.163242569602842</v>
      </c>
      <c r="F118" s="10" t="n">
        <f aca="false">IFERROR((SUMIFS(Data!$E$2:$E$2657,Data!$A$2:$A$2657,$A118,Data!$B$2:$B$2657,$B118,Data!$D$2:$D$2657,"Distribution")+SUMIFS(Data!$G$2:$G$2657,Data!$A$2:$A$2657,$A118,Data!$B$2:$B$2657,$B118,Data!$D$2:$D$2657,"Distribution"))/$D118,0)</f>
        <v>0.41813493488716</v>
      </c>
      <c r="G118" s="10" t="n">
        <f aca="false">IFERROR((SUMIFS(Data!$E$2:$E$2657,Data!$A$2:$A$2657,$A118,Data!$B$2:$B$2657,$B118,Data!$D$2:$D$2657,"RTO/market operation")+SUMIFS(Data!$G$2:$G$2657,Data!$A$2:$A$2657,$A118,Data!$B$2:$B$2657,$B118,Data!$D$2:$D$2657,"RTO/market operation"))/$D118,0)</f>
        <v>0</v>
      </c>
      <c r="H118" s="10" t="n">
        <f aca="false">IFERROR((SUMIFS(Data!$E$2:$E$2657,Data!$A$2:$A$2657,$A118,Data!$B$2:$B$2657,$B118,Data!$D$2:$D$2657,"Customer accounts, service &amp; sales")+SUMIFS(Data!$G$2:$G$2657,Data!$A$2:$A$2657,$A118,Data!$B$2:$B$2657,$B118,Data!$D$2:$D$2657,"Customer accounts, service &amp; sales"))/$D118,0)</f>
        <v>0.118264418133809</v>
      </c>
      <c r="I118" s="10" t="n">
        <f aca="false">IFERROR((SUMIFS(Data!$E$2:$E$2657,Data!$A$2:$A$2657,$A118,Data!$B$2:$B$2657,$B118,Data!$D$2:$D$2657,"A&amp;G and general")+SUMIFS(Data!$G$2:$G$2657,Data!$A$2:$A$2657,$A118,Data!$B$2:$B$2657,$B118,Data!$D$2:$D$2657,"A&amp;G and general"))/$D118,0)</f>
        <v>0.30035807737619</v>
      </c>
      <c r="J118" s="10" t="n">
        <f aca="false">IFERROR(SUMIFS(Data!$F$2:$F$2657,Data!$A$2:$A$2657,$A118,Data!$B$2:$B$2657,$B118)/$D118,0)</f>
        <v>0.150255141485238</v>
      </c>
      <c r="K118" s="11" t="n">
        <f aca="false">SUM(E118:I118)</f>
        <v>1</v>
      </c>
    </row>
    <row r="119" customFormat="false" ht="15" hidden="false" customHeight="false" outlineLevel="0" collapsed="false">
      <c r="A119" s="7" t="n">
        <v>2001</v>
      </c>
      <c r="B119" s="12" t="s">
        <v>63</v>
      </c>
      <c r="C119" s="12" t="s">
        <v>62</v>
      </c>
      <c r="D119" s="9" t="n">
        <f aca="false">SUMIFS(Data!$E$2:$E$2657,Data!$A$2:$A$2657,$A119,Data!$B$2:$B$2657,$B119)+SUMIFS(Data!$G$2:$G$2657,Data!$A$2:$A$2657,$A119,Data!$B$2:$B$2657,$B119)</f>
        <v>1174.022359</v>
      </c>
      <c r="E119" s="10" t="n">
        <f aca="false">IFERROR((SUMIFS(Data!$E$2:$E$2657,Data!$A$2:$A$2657,$A119,Data!$B$2:$B$2657,$B119,Data!$D$2:$D$2657,"Transmission")+SUMIFS(Data!$G$2:$G$2657,Data!$A$2:$A$2657,$A119,Data!$B$2:$B$2657,$B119,Data!$D$2:$D$2657,"Transmission"))/$D119,0)</f>
        <v>0.0655046826071564</v>
      </c>
      <c r="F119" s="10" t="n">
        <f aca="false">IFERROR((SUMIFS(Data!$E$2:$E$2657,Data!$A$2:$A$2657,$A119,Data!$B$2:$B$2657,$B119,Data!$D$2:$D$2657,"Distribution")+SUMIFS(Data!$G$2:$G$2657,Data!$A$2:$A$2657,$A119,Data!$B$2:$B$2657,$B119,Data!$D$2:$D$2657,"Distribution"))/$D119,0)</f>
        <v>0.286191980437402</v>
      </c>
      <c r="G119" s="10" t="n">
        <f aca="false">IFERROR((SUMIFS(Data!$E$2:$E$2657,Data!$A$2:$A$2657,$A119,Data!$B$2:$B$2657,$B119,Data!$D$2:$D$2657,"RTO/market operation")+SUMIFS(Data!$G$2:$G$2657,Data!$A$2:$A$2657,$A119,Data!$B$2:$B$2657,$B119,Data!$D$2:$D$2657,"RTO/market operation"))/$D119,0)</f>
        <v>0</v>
      </c>
      <c r="H119" s="10" t="n">
        <f aca="false">IFERROR((SUMIFS(Data!$E$2:$E$2657,Data!$A$2:$A$2657,$A119,Data!$B$2:$B$2657,$B119,Data!$D$2:$D$2657,"Customer accounts, service &amp; sales")+SUMIFS(Data!$G$2:$G$2657,Data!$A$2:$A$2657,$A119,Data!$B$2:$B$2657,$B119,Data!$D$2:$D$2657,"Customer accounts, service &amp; sales"))/$D119,0)</f>
        <v>0.121385005922191</v>
      </c>
      <c r="I119" s="10" t="n">
        <f aca="false">IFERROR((SUMIFS(Data!$E$2:$E$2657,Data!$A$2:$A$2657,$A119,Data!$B$2:$B$2657,$B119,Data!$D$2:$D$2657,"A&amp;G and general")+SUMIFS(Data!$G$2:$G$2657,Data!$A$2:$A$2657,$A119,Data!$B$2:$B$2657,$B119,Data!$D$2:$D$2657,"A&amp;G and general"))/$D119,0)</f>
        <v>0.526918331033251</v>
      </c>
      <c r="J119" s="10" t="n">
        <f aca="false">IFERROR(SUMIFS(Data!$F$2:$F$2657,Data!$A$2:$A$2657,$A119,Data!$B$2:$B$2657,$B119)/$D119,0)</f>
        <v>0.0484645131021734</v>
      </c>
      <c r="K119" s="11" t="n">
        <f aca="false">SUM(E119:I119)</f>
        <v>1</v>
      </c>
    </row>
    <row r="120" customFormat="false" ht="15" hidden="false" customHeight="false" outlineLevel="0" collapsed="false">
      <c r="A120" s="7" t="n">
        <v>2001</v>
      </c>
      <c r="B120" s="12" t="s">
        <v>64</v>
      </c>
      <c r="C120" s="12" t="s">
        <v>65</v>
      </c>
      <c r="D120" s="9" t="n">
        <f aca="false">SUMIFS(Data!$E$2:$E$2657,Data!$A$2:$A$2657,$A120,Data!$B$2:$B$2657,$B120)+SUMIFS(Data!$G$2:$G$2657,Data!$A$2:$A$2657,$A120,Data!$B$2:$B$2657,$B120)</f>
        <v>316.486072</v>
      </c>
      <c r="E120" s="10" t="n">
        <f aca="false">IFERROR((SUMIFS(Data!$E$2:$E$2657,Data!$A$2:$A$2657,$A120,Data!$B$2:$B$2657,$B120,Data!$D$2:$D$2657,"Transmission")+SUMIFS(Data!$G$2:$G$2657,Data!$A$2:$A$2657,$A120,Data!$B$2:$B$2657,$B120,Data!$D$2:$D$2657,"Transmission"))/$D120,0)</f>
        <v>0.115731661644813</v>
      </c>
      <c r="F120" s="10" t="n">
        <f aca="false">IFERROR((SUMIFS(Data!$E$2:$E$2657,Data!$A$2:$A$2657,$A120,Data!$B$2:$B$2657,$B120,Data!$D$2:$D$2657,"Distribution")+SUMIFS(Data!$G$2:$G$2657,Data!$A$2:$A$2657,$A120,Data!$B$2:$B$2657,$B120,Data!$D$2:$D$2657,"Distribution"))/$D120,0)</f>
        <v>0.285699492014296</v>
      </c>
      <c r="G120" s="10" t="n">
        <f aca="false">IFERROR((SUMIFS(Data!$E$2:$E$2657,Data!$A$2:$A$2657,$A120,Data!$B$2:$B$2657,$B120,Data!$D$2:$D$2657,"RTO/market operation")+SUMIFS(Data!$G$2:$G$2657,Data!$A$2:$A$2657,$A120,Data!$B$2:$B$2657,$B120,Data!$D$2:$D$2657,"RTO/market operation"))/$D120,0)</f>
        <v>0</v>
      </c>
      <c r="H120" s="10" t="n">
        <f aca="false">IFERROR((SUMIFS(Data!$E$2:$E$2657,Data!$A$2:$A$2657,$A120,Data!$B$2:$B$2657,$B120,Data!$D$2:$D$2657,"Customer accounts, service &amp; sales")+SUMIFS(Data!$G$2:$G$2657,Data!$A$2:$A$2657,$A120,Data!$B$2:$B$2657,$B120,Data!$D$2:$D$2657,"Customer accounts, service &amp; sales"))/$D120,0)</f>
        <v>0.0893467501470333</v>
      </c>
      <c r="I120" s="10" t="n">
        <f aca="false">IFERROR((SUMIFS(Data!$E$2:$E$2657,Data!$A$2:$A$2657,$A120,Data!$B$2:$B$2657,$B120,Data!$D$2:$D$2657,"A&amp;G and general")+SUMIFS(Data!$G$2:$G$2657,Data!$A$2:$A$2657,$A120,Data!$B$2:$B$2657,$B120,Data!$D$2:$D$2657,"A&amp;G and general"))/$D120,0)</f>
        <v>0.509222096193857</v>
      </c>
      <c r="J120" s="10" t="n">
        <f aca="false">IFERROR(SUMIFS(Data!$F$2:$F$2657,Data!$A$2:$A$2657,$A120,Data!$B$2:$B$2657,$B120)/$D120,0)</f>
        <v>0.0539595214793528</v>
      </c>
      <c r="K120" s="11" t="n">
        <f aca="false">SUM(E120:I120)</f>
        <v>1</v>
      </c>
    </row>
    <row r="121" customFormat="false" ht="15" hidden="false" customHeight="false" outlineLevel="0" collapsed="false">
      <c r="A121" s="7" t="n">
        <v>2001</v>
      </c>
      <c r="B121" s="12" t="s">
        <v>66</v>
      </c>
      <c r="C121" s="12" t="s">
        <v>67</v>
      </c>
      <c r="D121" s="9" t="n">
        <f aca="false">SUMIFS(Data!$E$2:$E$2657,Data!$A$2:$A$2657,$A121,Data!$B$2:$B$2657,$B121)+SUMIFS(Data!$G$2:$G$2657,Data!$A$2:$A$2657,$A121,Data!$B$2:$B$2657,$B121)</f>
        <v>220.3985</v>
      </c>
      <c r="E121" s="10" t="n">
        <f aca="false">IFERROR((SUMIFS(Data!$E$2:$E$2657,Data!$A$2:$A$2657,$A121,Data!$B$2:$B$2657,$B121,Data!$D$2:$D$2657,"Transmission")+SUMIFS(Data!$G$2:$G$2657,Data!$A$2:$A$2657,$A121,Data!$B$2:$B$2657,$B121,Data!$D$2:$D$2657,"Transmission"))/$D121,0)</f>
        <v>-0.00611650260777638</v>
      </c>
      <c r="F121" s="10" t="n">
        <f aca="false">IFERROR((SUMIFS(Data!$E$2:$E$2657,Data!$A$2:$A$2657,$A121,Data!$B$2:$B$2657,$B121,Data!$D$2:$D$2657,"Distribution")+SUMIFS(Data!$G$2:$G$2657,Data!$A$2:$A$2657,$A121,Data!$B$2:$B$2657,$B121,Data!$D$2:$D$2657,"Distribution"))/$D121,0)</f>
        <v>0.410657586145096</v>
      </c>
      <c r="G121" s="10" t="n">
        <f aca="false">IFERROR((SUMIFS(Data!$E$2:$E$2657,Data!$A$2:$A$2657,$A121,Data!$B$2:$B$2657,$B121,Data!$D$2:$D$2657,"RTO/market operation")+SUMIFS(Data!$G$2:$G$2657,Data!$A$2:$A$2657,$A121,Data!$B$2:$B$2657,$B121,Data!$D$2:$D$2657,"RTO/market operation"))/$D121,0)</f>
        <v>0</v>
      </c>
      <c r="H121" s="10" t="n">
        <f aca="false">IFERROR((SUMIFS(Data!$E$2:$E$2657,Data!$A$2:$A$2657,$A121,Data!$B$2:$B$2657,$B121,Data!$D$2:$D$2657,"Customer accounts, service &amp; sales")+SUMIFS(Data!$G$2:$G$2657,Data!$A$2:$A$2657,$A121,Data!$B$2:$B$2657,$B121,Data!$D$2:$D$2657,"Customer accounts, service &amp; sales"))/$D121,0)</f>
        <v>0.127289700247506</v>
      </c>
      <c r="I121" s="10" t="n">
        <f aca="false">IFERROR((SUMIFS(Data!$E$2:$E$2657,Data!$A$2:$A$2657,$A121,Data!$B$2:$B$2657,$B121,Data!$D$2:$D$2657,"A&amp;G and general")+SUMIFS(Data!$G$2:$G$2657,Data!$A$2:$A$2657,$A121,Data!$B$2:$B$2657,$B121,Data!$D$2:$D$2657,"A&amp;G and general"))/$D121,0)</f>
        <v>0.468169216215174</v>
      </c>
      <c r="J121" s="10" t="n">
        <f aca="false">IFERROR(SUMIFS(Data!$F$2:$F$2657,Data!$A$2:$A$2657,$A121,Data!$B$2:$B$2657,$B121)/$D121,0)</f>
        <v>-0.169668836221662</v>
      </c>
      <c r="K121" s="11" t="n">
        <f aca="false">SUM(E121:I121)</f>
        <v>1</v>
      </c>
    </row>
    <row r="122" customFormat="false" ht="15" hidden="false" customHeight="false" outlineLevel="0" collapsed="false">
      <c r="A122" s="7" t="n">
        <v>2001</v>
      </c>
      <c r="B122" s="12" t="s">
        <v>68</v>
      </c>
      <c r="C122" s="12" t="s">
        <v>65</v>
      </c>
      <c r="D122" s="9" t="n">
        <f aca="false">SUMIFS(Data!$E$2:$E$2657,Data!$A$2:$A$2657,$A122,Data!$B$2:$B$2657,$B122)+SUMIFS(Data!$G$2:$G$2657,Data!$A$2:$A$2657,$A122,Data!$B$2:$B$2657,$B122)</f>
        <v>264.428959</v>
      </c>
      <c r="E122" s="10" t="n">
        <f aca="false">IFERROR((SUMIFS(Data!$E$2:$E$2657,Data!$A$2:$A$2657,$A122,Data!$B$2:$B$2657,$B122,Data!$D$2:$D$2657,"Transmission")+SUMIFS(Data!$G$2:$G$2657,Data!$A$2:$A$2657,$A122,Data!$B$2:$B$2657,$B122,Data!$D$2:$D$2657,"Transmission"))/$D122,0)</f>
        <v>0.0432775746018045</v>
      </c>
      <c r="F122" s="10" t="n">
        <f aca="false">IFERROR((SUMIFS(Data!$E$2:$E$2657,Data!$A$2:$A$2657,$A122,Data!$B$2:$B$2657,$B122,Data!$D$2:$D$2657,"Distribution")+SUMIFS(Data!$G$2:$G$2657,Data!$A$2:$A$2657,$A122,Data!$B$2:$B$2657,$B122,Data!$D$2:$D$2657,"Distribution"))/$D122,0)</f>
        <v>0.262029315026725</v>
      </c>
      <c r="G122" s="10" t="n">
        <f aca="false">IFERROR((SUMIFS(Data!$E$2:$E$2657,Data!$A$2:$A$2657,$A122,Data!$B$2:$B$2657,$B122,Data!$D$2:$D$2657,"RTO/market operation")+SUMIFS(Data!$G$2:$G$2657,Data!$A$2:$A$2657,$A122,Data!$B$2:$B$2657,$B122,Data!$D$2:$D$2657,"RTO/market operation"))/$D122,0)</f>
        <v>0</v>
      </c>
      <c r="H122" s="10" t="n">
        <f aca="false">IFERROR((SUMIFS(Data!$E$2:$E$2657,Data!$A$2:$A$2657,$A122,Data!$B$2:$B$2657,$B122,Data!$D$2:$D$2657,"Customer accounts, service &amp; sales")+SUMIFS(Data!$G$2:$G$2657,Data!$A$2:$A$2657,$A122,Data!$B$2:$B$2657,$B122,Data!$D$2:$D$2657,"Customer accounts, service &amp; sales"))/$D122,0)</f>
        <v>0.093311126335448</v>
      </c>
      <c r="I122" s="10" t="n">
        <f aca="false">IFERROR((SUMIFS(Data!$E$2:$E$2657,Data!$A$2:$A$2657,$A122,Data!$B$2:$B$2657,$B122,Data!$D$2:$D$2657,"A&amp;G and general")+SUMIFS(Data!$G$2:$G$2657,Data!$A$2:$A$2657,$A122,Data!$B$2:$B$2657,$B122,Data!$D$2:$D$2657,"A&amp;G and general"))/$D122,0)</f>
        <v>0.601381984036022</v>
      </c>
      <c r="J122" s="10" t="n">
        <f aca="false">IFERROR(SUMIFS(Data!$F$2:$F$2657,Data!$A$2:$A$2657,$A122,Data!$B$2:$B$2657,$B122)/$D122,0)</f>
        <v>0</v>
      </c>
      <c r="K122" s="11" t="n">
        <f aca="false">SUM(E122:I122)</f>
        <v>1</v>
      </c>
    </row>
    <row r="123" customFormat="false" ht="15" hidden="false" customHeight="false" outlineLevel="0" collapsed="false">
      <c r="A123" s="7" t="n">
        <v>2001</v>
      </c>
      <c r="B123" s="12" t="s">
        <v>69</v>
      </c>
      <c r="C123" s="12" t="s">
        <v>70</v>
      </c>
      <c r="D123" s="9" t="n">
        <f aca="false">SUMIFS(Data!$E$2:$E$2657,Data!$A$2:$A$2657,$A123,Data!$B$2:$B$2657,$B123)+SUMIFS(Data!$G$2:$G$2657,Data!$A$2:$A$2657,$A123,Data!$B$2:$B$2657,$B123)</f>
        <v>249.65901</v>
      </c>
      <c r="E123" s="10" t="n">
        <f aca="false">IFERROR((SUMIFS(Data!$E$2:$E$2657,Data!$A$2:$A$2657,$A123,Data!$B$2:$B$2657,$B123,Data!$D$2:$D$2657,"Transmission")+SUMIFS(Data!$G$2:$G$2657,Data!$A$2:$A$2657,$A123,Data!$B$2:$B$2657,$B123,Data!$D$2:$D$2657,"Transmission"))/$D123,0)</f>
        <v>0.17964964693243</v>
      </c>
      <c r="F123" s="10" t="n">
        <f aca="false">IFERROR((SUMIFS(Data!$E$2:$E$2657,Data!$A$2:$A$2657,$A123,Data!$B$2:$B$2657,$B123,Data!$D$2:$D$2657,"Distribution")+SUMIFS(Data!$G$2:$G$2657,Data!$A$2:$A$2657,$A123,Data!$B$2:$B$2657,$B123,Data!$D$2:$D$2657,"Distribution"))/$D123,0)</f>
        <v>0.298651644897575</v>
      </c>
      <c r="G123" s="10" t="n">
        <f aca="false">IFERROR((SUMIFS(Data!$E$2:$E$2657,Data!$A$2:$A$2657,$A123,Data!$B$2:$B$2657,$B123,Data!$D$2:$D$2657,"RTO/market operation")+SUMIFS(Data!$G$2:$G$2657,Data!$A$2:$A$2657,$A123,Data!$B$2:$B$2657,$B123,Data!$D$2:$D$2657,"RTO/market operation"))/$D123,0)</f>
        <v>0</v>
      </c>
      <c r="H123" s="10" t="n">
        <f aca="false">IFERROR((SUMIFS(Data!$E$2:$E$2657,Data!$A$2:$A$2657,$A123,Data!$B$2:$B$2657,$B123,Data!$D$2:$D$2657,"Customer accounts, service &amp; sales")+SUMIFS(Data!$G$2:$G$2657,Data!$A$2:$A$2657,$A123,Data!$B$2:$B$2657,$B123,Data!$D$2:$D$2657,"Customer accounts, service &amp; sales"))/$D123,0)</f>
        <v>0.215346620176055</v>
      </c>
      <c r="I123" s="10" t="n">
        <f aca="false">IFERROR((SUMIFS(Data!$E$2:$E$2657,Data!$A$2:$A$2657,$A123,Data!$B$2:$B$2657,$B123,Data!$D$2:$D$2657,"A&amp;G and general")+SUMIFS(Data!$G$2:$G$2657,Data!$A$2:$A$2657,$A123,Data!$B$2:$B$2657,$B123,Data!$D$2:$D$2657,"A&amp;G and general"))/$D123,0)</f>
        <v>0.30635208799394</v>
      </c>
      <c r="J123" s="10" t="n">
        <f aca="false">IFERROR(SUMIFS(Data!$F$2:$F$2657,Data!$A$2:$A$2657,$A123,Data!$B$2:$B$2657,$B123)/$D123,0)</f>
        <v>0.0426340791786365</v>
      </c>
      <c r="K123" s="11" t="n">
        <f aca="false">SUM(E123:I123)</f>
        <v>1</v>
      </c>
    </row>
    <row r="124" customFormat="false" ht="15" hidden="false" customHeight="false" outlineLevel="0" collapsed="false">
      <c r="A124" s="7" t="n">
        <v>2001</v>
      </c>
      <c r="B124" s="12" t="s">
        <v>71</v>
      </c>
      <c r="C124" s="12" t="s">
        <v>72</v>
      </c>
      <c r="D124" s="9" t="n">
        <f aca="false">SUMIFS(Data!$E$2:$E$2657,Data!$A$2:$A$2657,$A124,Data!$B$2:$B$2657,$B124)+SUMIFS(Data!$G$2:$G$2657,Data!$A$2:$A$2657,$A124,Data!$B$2:$B$2657,$B124)</f>
        <v>54.353487</v>
      </c>
      <c r="E124" s="10" t="n">
        <f aca="false">IFERROR((SUMIFS(Data!$E$2:$E$2657,Data!$A$2:$A$2657,$A124,Data!$B$2:$B$2657,$B124,Data!$D$2:$D$2657,"Transmission")+SUMIFS(Data!$G$2:$G$2657,Data!$A$2:$A$2657,$A124,Data!$B$2:$B$2657,$B124,Data!$D$2:$D$2657,"Transmission"))/$D124,0)</f>
        <v>0.197868041106544</v>
      </c>
      <c r="F124" s="10" t="n">
        <f aca="false">IFERROR((SUMIFS(Data!$E$2:$E$2657,Data!$A$2:$A$2657,$A124,Data!$B$2:$B$2657,$B124,Data!$D$2:$D$2657,"Distribution")+SUMIFS(Data!$G$2:$G$2657,Data!$A$2:$A$2657,$A124,Data!$B$2:$B$2657,$B124,Data!$D$2:$D$2657,"Distribution"))/$D124,0)</f>
        <v>0.28642946127817</v>
      </c>
      <c r="G124" s="10" t="n">
        <f aca="false">IFERROR((SUMIFS(Data!$E$2:$E$2657,Data!$A$2:$A$2657,$A124,Data!$B$2:$B$2657,$B124,Data!$D$2:$D$2657,"RTO/market operation")+SUMIFS(Data!$G$2:$G$2657,Data!$A$2:$A$2657,$A124,Data!$B$2:$B$2657,$B124,Data!$D$2:$D$2657,"RTO/market operation"))/$D124,0)</f>
        <v>0</v>
      </c>
      <c r="H124" s="10" t="n">
        <f aca="false">IFERROR((SUMIFS(Data!$E$2:$E$2657,Data!$A$2:$A$2657,$A124,Data!$B$2:$B$2657,$B124,Data!$D$2:$D$2657,"Customer accounts, service &amp; sales")+SUMIFS(Data!$G$2:$G$2657,Data!$A$2:$A$2657,$A124,Data!$B$2:$B$2657,$B124,Data!$D$2:$D$2657,"Customer accounts, service &amp; sales"))/$D124,0)</f>
        <v>0.179050425964391</v>
      </c>
      <c r="I124" s="10" t="n">
        <f aca="false">IFERROR((SUMIFS(Data!$E$2:$E$2657,Data!$A$2:$A$2657,$A124,Data!$B$2:$B$2657,$B124,Data!$D$2:$D$2657,"A&amp;G and general")+SUMIFS(Data!$G$2:$G$2657,Data!$A$2:$A$2657,$A124,Data!$B$2:$B$2657,$B124,Data!$D$2:$D$2657,"A&amp;G and general"))/$D124,0)</f>
        <v>0.336652071650895</v>
      </c>
      <c r="J124" s="10" t="n">
        <f aca="false">IFERROR(SUMIFS(Data!$F$2:$F$2657,Data!$A$2:$A$2657,$A124,Data!$B$2:$B$2657,$B124)/$D124,0)</f>
        <v>0.179225667711071</v>
      </c>
      <c r="K124" s="11" t="n">
        <f aca="false">SUM(E124:I124)</f>
        <v>1</v>
      </c>
    </row>
    <row r="125" customFormat="false" ht="15" hidden="false" customHeight="false" outlineLevel="0" collapsed="false">
      <c r="A125" s="7" t="n">
        <v>2001</v>
      </c>
      <c r="B125" s="12" t="s">
        <v>73</v>
      </c>
      <c r="C125" s="12" t="s">
        <v>70</v>
      </c>
      <c r="D125" s="9" t="n">
        <f aca="false">SUMIFS(Data!$E$2:$E$2657,Data!$A$2:$A$2657,$A125,Data!$B$2:$B$2657,$B125)+SUMIFS(Data!$G$2:$G$2657,Data!$A$2:$A$2657,$A125,Data!$B$2:$B$2657,$B125)</f>
        <v>323.030146</v>
      </c>
      <c r="E125" s="10" t="n">
        <f aca="false">IFERROR((SUMIFS(Data!$E$2:$E$2657,Data!$A$2:$A$2657,$A125,Data!$B$2:$B$2657,$B125,Data!$D$2:$D$2657,"Transmission")+SUMIFS(Data!$G$2:$G$2657,Data!$A$2:$A$2657,$A125,Data!$B$2:$B$2657,$B125,Data!$D$2:$D$2657,"Transmission"))/$D125,0)</f>
        <v>0.0556439676685779</v>
      </c>
      <c r="F125" s="10" t="n">
        <f aca="false">IFERROR((SUMIFS(Data!$E$2:$E$2657,Data!$A$2:$A$2657,$A125,Data!$B$2:$B$2657,$B125,Data!$D$2:$D$2657,"Distribution")+SUMIFS(Data!$G$2:$G$2657,Data!$A$2:$A$2657,$A125,Data!$B$2:$B$2657,$B125,Data!$D$2:$D$2657,"Distribution"))/$D125,0)</f>
        <v>0.355592948281675</v>
      </c>
      <c r="G125" s="10" t="n">
        <f aca="false">IFERROR((SUMIFS(Data!$E$2:$E$2657,Data!$A$2:$A$2657,$A125,Data!$B$2:$B$2657,$B125,Data!$D$2:$D$2657,"RTO/market operation")+SUMIFS(Data!$G$2:$G$2657,Data!$A$2:$A$2657,$A125,Data!$B$2:$B$2657,$B125,Data!$D$2:$D$2657,"RTO/market operation"))/$D125,0)</f>
        <v>0</v>
      </c>
      <c r="H125" s="10" t="n">
        <f aca="false">IFERROR((SUMIFS(Data!$E$2:$E$2657,Data!$A$2:$A$2657,$A125,Data!$B$2:$B$2657,$B125,Data!$D$2:$D$2657,"Customer accounts, service &amp; sales")+SUMIFS(Data!$G$2:$G$2657,Data!$A$2:$A$2657,$A125,Data!$B$2:$B$2657,$B125,Data!$D$2:$D$2657,"Customer accounts, service &amp; sales"))/$D125,0)</f>
        <v>0.201476675802264</v>
      </c>
      <c r="I125" s="10" t="n">
        <f aca="false">IFERROR((SUMIFS(Data!$E$2:$E$2657,Data!$A$2:$A$2657,$A125,Data!$B$2:$B$2657,$B125,Data!$D$2:$D$2657,"A&amp;G and general")+SUMIFS(Data!$G$2:$G$2657,Data!$A$2:$A$2657,$A125,Data!$B$2:$B$2657,$B125,Data!$D$2:$D$2657,"A&amp;G and general"))/$D125,0)</f>
        <v>0.387286408247483</v>
      </c>
      <c r="J125" s="10" t="n">
        <f aca="false">IFERROR(SUMIFS(Data!$F$2:$F$2657,Data!$A$2:$A$2657,$A125,Data!$B$2:$B$2657,$B125)/$D125,0)</f>
        <v>0.00249855318456872</v>
      </c>
      <c r="K125" s="11" t="n">
        <f aca="false">SUM(E125:I125)</f>
        <v>1</v>
      </c>
    </row>
    <row r="126" customFormat="false" ht="15" hidden="false" customHeight="false" outlineLevel="0" collapsed="false">
      <c r="A126" s="7" t="n">
        <v>2001</v>
      </c>
      <c r="B126" s="12" t="s">
        <v>74</v>
      </c>
      <c r="C126" s="12" t="s">
        <v>65</v>
      </c>
      <c r="D126" s="9" t="n">
        <f aca="false">SUMIFS(Data!$E$2:$E$2657,Data!$A$2:$A$2657,$A126,Data!$B$2:$B$2657,$B126)+SUMIFS(Data!$G$2:$G$2657,Data!$A$2:$A$2657,$A126,Data!$B$2:$B$2657,$B126)</f>
        <v>205.161809</v>
      </c>
      <c r="E126" s="10" t="n">
        <f aca="false">IFERROR((SUMIFS(Data!$E$2:$E$2657,Data!$A$2:$A$2657,$A126,Data!$B$2:$B$2657,$B126,Data!$D$2:$D$2657,"Transmission")+SUMIFS(Data!$G$2:$G$2657,Data!$A$2:$A$2657,$A126,Data!$B$2:$B$2657,$B126,Data!$D$2:$D$2657,"Transmission"))/$D126,0)</f>
        <v>0.1343091881199</v>
      </c>
      <c r="F126" s="10" t="n">
        <f aca="false">IFERROR((SUMIFS(Data!$E$2:$E$2657,Data!$A$2:$A$2657,$A126,Data!$B$2:$B$2657,$B126,Data!$D$2:$D$2657,"Distribution")+SUMIFS(Data!$G$2:$G$2657,Data!$A$2:$A$2657,$A126,Data!$B$2:$B$2657,$B126,Data!$D$2:$D$2657,"Distribution"))/$D126,0)</f>
        <v>0.332846446094653</v>
      </c>
      <c r="G126" s="10" t="n">
        <f aca="false">IFERROR((SUMIFS(Data!$E$2:$E$2657,Data!$A$2:$A$2657,$A126,Data!$B$2:$B$2657,$B126,Data!$D$2:$D$2657,"RTO/market operation")+SUMIFS(Data!$G$2:$G$2657,Data!$A$2:$A$2657,$A126,Data!$B$2:$B$2657,$B126,Data!$D$2:$D$2657,"RTO/market operation"))/$D126,0)</f>
        <v>0</v>
      </c>
      <c r="H126" s="10" t="n">
        <f aca="false">IFERROR((SUMIFS(Data!$E$2:$E$2657,Data!$A$2:$A$2657,$A126,Data!$B$2:$B$2657,$B126,Data!$D$2:$D$2657,"Customer accounts, service &amp; sales")+SUMIFS(Data!$G$2:$G$2657,Data!$A$2:$A$2657,$A126,Data!$B$2:$B$2657,$B126,Data!$D$2:$D$2657,"Customer accounts, service &amp; sales"))/$D126,0)</f>
        <v>0.140423630208876</v>
      </c>
      <c r="I126" s="10" t="n">
        <f aca="false">IFERROR((SUMIFS(Data!$E$2:$E$2657,Data!$A$2:$A$2657,$A126,Data!$B$2:$B$2657,$B126,Data!$D$2:$D$2657,"A&amp;G and general")+SUMIFS(Data!$G$2:$G$2657,Data!$A$2:$A$2657,$A126,Data!$B$2:$B$2657,$B126,Data!$D$2:$D$2657,"A&amp;G and general"))/$D126,0)</f>
        <v>0.392420735576571</v>
      </c>
      <c r="J126" s="10" t="n">
        <f aca="false">IFERROR(SUMIFS(Data!$F$2:$F$2657,Data!$A$2:$A$2657,$A126,Data!$B$2:$B$2657,$B126)/$D126,0)</f>
        <v>0.000386616789872427</v>
      </c>
      <c r="K126" s="11" t="n">
        <f aca="false">SUM(E126:I126)</f>
        <v>1</v>
      </c>
    </row>
    <row r="127" customFormat="false" ht="15" hidden="false" customHeight="false" outlineLevel="0" collapsed="false">
      <c r="A127" s="7" t="n">
        <v>2001</v>
      </c>
      <c r="B127" s="12" t="s">
        <v>75</v>
      </c>
      <c r="C127" s="12" t="s">
        <v>57</v>
      </c>
      <c r="D127" s="9" t="n">
        <f aca="false">SUMIFS(Data!$E$2:$E$2657,Data!$A$2:$A$2657,$A127,Data!$B$2:$B$2657,$B127)+SUMIFS(Data!$G$2:$G$2657,Data!$A$2:$A$2657,$A127,Data!$B$2:$B$2657,$B127)</f>
        <v>533.491351</v>
      </c>
      <c r="E127" s="10" t="n">
        <f aca="false">IFERROR((SUMIFS(Data!$E$2:$E$2657,Data!$A$2:$A$2657,$A127,Data!$B$2:$B$2657,$B127,Data!$D$2:$D$2657,"Transmission")+SUMIFS(Data!$G$2:$G$2657,Data!$A$2:$A$2657,$A127,Data!$B$2:$B$2657,$B127,Data!$D$2:$D$2657,"Transmission"))/$D127,0)</f>
        <v>0.194826652400593</v>
      </c>
      <c r="F127" s="10" t="n">
        <f aca="false">IFERROR((SUMIFS(Data!$E$2:$E$2657,Data!$A$2:$A$2657,$A127,Data!$B$2:$B$2657,$B127,Data!$D$2:$D$2657,"Distribution")+SUMIFS(Data!$G$2:$G$2657,Data!$A$2:$A$2657,$A127,Data!$B$2:$B$2657,$B127,Data!$D$2:$D$2657,"Distribution"))/$D127,0)</f>
        <v>0.298421662697208</v>
      </c>
      <c r="G127" s="10" t="n">
        <f aca="false">IFERROR((SUMIFS(Data!$E$2:$E$2657,Data!$A$2:$A$2657,$A127,Data!$B$2:$B$2657,$B127,Data!$D$2:$D$2657,"RTO/market operation")+SUMIFS(Data!$G$2:$G$2657,Data!$A$2:$A$2657,$A127,Data!$B$2:$B$2657,$B127,Data!$D$2:$D$2657,"RTO/market operation"))/$D127,0)</f>
        <v>0</v>
      </c>
      <c r="H127" s="10" t="n">
        <f aca="false">IFERROR((SUMIFS(Data!$E$2:$E$2657,Data!$A$2:$A$2657,$A127,Data!$B$2:$B$2657,$B127,Data!$D$2:$D$2657,"Customer accounts, service &amp; sales")+SUMIFS(Data!$G$2:$G$2657,Data!$A$2:$A$2657,$A127,Data!$B$2:$B$2657,$B127,Data!$D$2:$D$2657,"Customer accounts, service &amp; sales"))/$D127,0)</f>
        <v>0.148880861613069</v>
      </c>
      <c r="I127" s="10" t="n">
        <f aca="false">IFERROR((SUMIFS(Data!$E$2:$E$2657,Data!$A$2:$A$2657,$A127,Data!$B$2:$B$2657,$B127,Data!$D$2:$D$2657,"A&amp;G and general")+SUMIFS(Data!$G$2:$G$2657,Data!$A$2:$A$2657,$A127,Data!$B$2:$B$2657,$B127,Data!$D$2:$D$2657,"A&amp;G and general"))/$D127,0)</f>
        <v>0.35787082328913</v>
      </c>
      <c r="J127" s="10" t="n">
        <f aca="false">IFERROR(SUMIFS(Data!$F$2:$F$2657,Data!$A$2:$A$2657,$A127,Data!$B$2:$B$2657,$B127)/$D127,0)</f>
        <v>0.0470635614859293</v>
      </c>
      <c r="K127" s="11" t="n">
        <f aca="false">SUM(E127:I127)</f>
        <v>1</v>
      </c>
    </row>
    <row r="128" customFormat="false" ht="15" hidden="false" customHeight="false" outlineLevel="0" collapsed="false">
      <c r="A128" s="7" t="n">
        <v>2001</v>
      </c>
      <c r="B128" s="12" t="s">
        <v>76</v>
      </c>
      <c r="C128" s="12" t="s">
        <v>72</v>
      </c>
      <c r="D128" s="9" t="n">
        <f aca="false">SUMIFS(Data!$E$2:$E$2657,Data!$A$2:$A$2657,$A128,Data!$B$2:$B$2657,$B128)+SUMIFS(Data!$G$2:$G$2657,Data!$A$2:$A$2657,$A128,Data!$B$2:$B$2657,$B128)</f>
        <v>107.33454</v>
      </c>
      <c r="E128" s="10" t="n">
        <f aca="false">IFERROR((SUMIFS(Data!$E$2:$E$2657,Data!$A$2:$A$2657,$A128,Data!$B$2:$B$2657,$B128,Data!$D$2:$D$2657,"Transmission")+SUMIFS(Data!$G$2:$G$2657,Data!$A$2:$A$2657,$A128,Data!$B$2:$B$2657,$B128,Data!$D$2:$D$2657,"Transmission"))/$D128,0)</f>
        <v>0.286010738015927</v>
      </c>
      <c r="F128" s="10" t="n">
        <f aca="false">IFERROR((SUMIFS(Data!$E$2:$E$2657,Data!$A$2:$A$2657,$A128,Data!$B$2:$B$2657,$B128,Data!$D$2:$D$2657,"Distribution")+SUMIFS(Data!$G$2:$G$2657,Data!$A$2:$A$2657,$A128,Data!$B$2:$B$2657,$B128,Data!$D$2:$D$2657,"Distribution"))/$D128,0)</f>
        <v>0.346092292378576</v>
      </c>
      <c r="G128" s="10" t="n">
        <f aca="false">IFERROR((SUMIFS(Data!$E$2:$E$2657,Data!$A$2:$A$2657,$A128,Data!$B$2:$B$2657,$B128,Data!$D$2:$D$2657,"RTO/market operation")+SUMIFS(Data!$G$2:$G$2657,Data!$A$2:$A$2657,$A128,Data!$B$2:$B$2657,$B128,Data!$D$2:$D$2657,"RTO/market operation"))/$D128,0)</f>
        <v>0</v>
      </c>
      <c r="H128" s="10" t="n">
        <f aca="false">IFERROR((SUMIFS(Data!$E$2:$E$2657,Data!$A$2:$A$2657,$A128,Data!$B$2:$B$2657,$B128,Data!$D$2:$D$2657,"Customer accounts, service &amp; sales")+SUMIFS(Data!$G$2:$G$2657,Data!$A$2:$A$2657,$A128,Data!$B$2:$B$2657,$B128,Data!$D$2:$D$2657,"Customer accounts, service &amp; sales"))/$D128,0)</f>
        <v>0.142926629209945</v>
      </c>
      <c r="I128" s="10" t="n">
        <f aca="false">IFERROR((SUMIFS(Data!$E$2:$E$2657,Data!$A$2:$A$2657,$A128,Data!$B$2:$B$2657,$B128,Data!$D$2:$D$2657,"A&amp;G and general")+SUMIFS(Data!$G$2:$G$2657,Data!$A$2:$A$2657,$A128,Data!$B$2:$B$2657,$B128,Data!$D$2:$D$2657,"A&amp;G and general"))/$D128,0)</f>
        <v>0.224970340395552</v>
      </c>
      <c r="J128" s="10" t="n">
        <f aca="false">IFERROR(SUMIFS(Data!$F$2:$F$2657,Data!$A$2:$A$2657,$A128,Data!$B$2:$B$2657,$B128)/$D128,0)</f>
        <v>0</v>
      </c>
      <c r="K128" s="11" t="n">
        <f aca="false">SUM(E128:I128)</f>
        <v>1</v>
      </c>
    </row>
    <row r="129" customFormat="false" ht="15" hidden="false" customHeight="false" outlineLevel="0" collapsed="false">
      <c r="A129" s="7" t="n">
        <v>2001</v>
      </c>
      <c r="B129" s="12" t="s">
        <v>77</v>
      </c>
      <c r="C129" s="12" t="s">
        <v>57</v>
      </c>
      <c r="D129" s="9" t="n">
        <f aca="false">SUMIFS(Data!$E$2:$E$2657,Data!$A$2:$A$2657,$A129,Data!$B$2:$B$2657,$B129)+SUMIFS(Data!$G$2:$G$2657,Data!$A$2:$A$2657,$A129,Data!$B$2:$B$2657,$B129)</f>
        <v>70.758053</v>
      </c>
      <c r="E129" s="10" t="n">
        <f aca="false">IFERROR((SUMIFS(Data!$E$2:$E$2657,Data!$A$2:$A$2657,$A129,Data!$B$2:$B$2657,$B129,Data!$D$2:$D$2657,"Transmission")+SUMIFS(Data!$G$2:$G$2657,Data!$A$2:$A$2657,$A129,Data!$B$2:$B$2657,$B129,Data!$D$2:$D$2657,"Transmission"))/$D129,0)</f>
        <v>0.0997437705076481</v>
      </c>
      <c r="F129" s="10" t="n">
        <f aca="false">IFERROR((SUMIFS(Data!$E$2:$E$2657,Data!$A$2:$A$2657,$A129,Data!$B$2:$B$2657,$B129,Data!$D$2:$D$2657,"Distribution")+SUMIFS(Data!$G$2:$G$2657,Data!$A$2:$A$2657,$A129,Data!$B$2:$B$2657,$B129,Data!$D$2:$D$2657,"Distribution"))/$D129,0)</f>
        <v>0.257844573535679</v>
      </c>
      <c r="G129" s="10" t="n">
        <f aca="false">IFERROR((SUMIFS(Data!$E$2:$E$2657,Data!$A$2:$A$2657,$A129,Data!$B$2:$B$2657,$B129,Data!$D$2:$D$2657,"RTO/market operation")+SUMIFS(Data!$G$2:$G$2657,Data!$A$2:$A$2657,$A129,Data!$B$2:$B$2657,$B129,Data!$D$2:$D$2657,"RTO/market operation"))/$D129,0)</f>
        <v>0</v>
      </c>
      <c r="H129" s="10" t="n">
        <f aca="false">IFERROR((SUMIFS(Data!$E$2:$E$2657,Data!$A$2:$A$2657,$A129,Data!$B$2:$B$2657,$B129,Data!$D$2:$D$2657,"Customer accounts, service &amp; sales")+SUMIFS(Data!$G$2:$G$2657,Data!$A$2:$A$2657,$A129,Data!$B$2:$B$2657,$B129,Data!$D$2:$D$2657,"Customer accounts, service &amp; sales"))/$D129,0)</f>
        <v>0.195238766674374</v>
      </c>
      <c r="I129" s="10" t="n">
        <f aca="false">IFERROR((SUMIFS(Data!$E$2:$E$2657,Data!$A$2:$A$2657,$A129,Data!$B$2:$B$2657,$B129,Data!$D$2:$D$2657,"A&amp;G and general")+SUMIFS(Data!$G$2:$G$2657,Data!$A$2:$A$2657,$A129,Data!$B$2:$B$2657,$B129,Data!$D$2:$D$2657,"A&amp;G and general"))/$D129,0)</f>
        <v>0.447172889282298</v>
      </c>
      <c r="J129" s="10" t="n">
        <f aca="false">IFERROR(SUMIFS(Data!$F$2:$F$2657,Data!$A$2:$A$2657,$A129,Data!$B$2:$B$2657,$B129)/$D129,0)</f>
        <v>0</v>
      </c>
      <c r="K129" s="11" t="n">
        <f aca="false">SUM(E129:I129)</f>
        <v>1</v>
      </c>
    </row>
    <row r="130" customFormat="false" ht="15" hidden="false" customHeight="false" outlineLevel="0" collapsed="false">
      <c r="A130" s="7" t="n">
        <v>2001</v>
      </c>
      <c r="B130" s="12" t="s">
        <v>78</v>
      </c>
      <c r="C130" s="12" t="s">
        <v>65</v>
      </c>
      <c r="D130" s="9" t="n">
        <f aca="false">SUMIFS(Data!$E$2:$E$2657,Data!$A$2:$A$2657,$A130,Data!$B$2:$B$2657,$B130)+SUMIFS(Data!$G$2:$G$2657,Data!$A$2:$A$2657,$A130,Data!$B$2:$B$2657,$B130)</f>
        <v>59.978956</v>
      </c>
      <c r="E130" s="10" t="n">
        <f aca="false">IFERROR((SUMIFS(Data!$E$2:$E$2657,Data!$A$2:$A$2657,$A130,Data!$B$2:$B$2657,$B130,Data!$D$2:$D$2657,"Transmission")+SUMIFS(Data!$G$2:$G$2657,Data!$A$2:$A$2657,$A130,Data!$B$2:$B$2657,$B130,Data!$D$2:$D$2657,"Transmission"))/$D130,0)</f>
        <v>0.0817524399724463</v>
      </c>
      <c r="F130" s="10" t="n">
        <f aca="false">IFERROR((SUMIFS(Data!$E$2:$E$2657,Data!$A$2:$A$2657,$A130,Data!$B$2:$B$2657,$B130,Data!$D$2:$D$2657,"Distribution")+SUMIFS(Data!$G$2:$G$2657,Data!$A$2:$A$2657,$A130,Data!$B$2:$B$2657,$B130,Data!$D$2:$D$2657,"Distribution"))/$D130,0)</f>
        <v>0.273669585045795</v>
      </c>
      <c r="G130" s="10" t="n">
        <f aca="false">IFERROR((SUMIFS(Data!$E$2:$E$2657,Data!$A$2:$A$2657,$A130,Data!$B$2:$B$2657,$B130,Data!$D$2:$D$2657,"RTO/market operation")+SUMIFS(Data!$G$2:$G$2657,Data!$A$2:$A$2657,$A130,Data!$B$2:$B$2657,$B130,Data!$D$2:$D$2657,"RTO/market operation"))/$D130,0)</f>
        <v>0</v>
      </c>
      <c r="H130" s="10" t="n">
        <f aca="false">IFERROR((SUMIFS(Data!$E$2:$E$2657,Data!$A$2:$A$2657,$A130,Data!$B$2:$B$2657,$B130,Data!$D$2:$D$2657,"Customer accounts, service &amp; sales")+SUMIFS(Data!$G$2:$G$2657,Data!$A$2:$A$2657,$A130,Data!$B$2:$B$2657,$B130,Data!$D$2:$D$2657,"Customer accounts, service &amp; sales"))/$D130,0)</f>
        <v>0.100147274987581</v>
      </c>
      <c r="I130" s="10" t="n">
        <f aca="false">IFERROR((SUMIFS(Data!$E$2:$E$2657,Data!$A$2:$A$2657,$A130,Data!$B$2:$B$2657,$B130,Data!$D$2:$D$2657,"A&amp;G and general")+SUMIFS(Data!$G$2:$G$2657,Data!$A$2:$A$2657,$A130,Data!$B$2:$B$2657,$B130,Data!$D$2:$D$2657,"A&amp;G and general"))/$D130,0)</f>
        <v>0.544430699994178</v>
      </c>
      <c r="J130" s="10" t="n">
        <f aca="false">IFERROR(SUMIFS(Data!$F$2:$F$2657,Data!$A$2:$A$2657,$A130,Data!$B$2:$B$2657,$B130)/$D130,0)</f>
        <v>0.0010862809949543</v>
      </c>
      <c r="K130" s="11" t="n">
        <f aca="false">SUM(E130:I130)</f>
        <v>1</v>
      </c>
    </row>
    <row r="131" customFormat="false" ht="15" hidden="false" customHeight="false" outlineLevel="0" collapsed="false">
      <c r="A131" s="7" t="n">
        <v>2001</v>
      </c>
      <c r="B131" s="12" t="s">
        <v>79</v>
      </c>
      <c r="C131" s="12" t="s">
        <v>72</v>
      </c>
      <c r="D131" s="9" t="n">
        <f aca="false">SUMIFS(Data!$E$2:$E$2657,Data!$A$2:$A$2657,$A131,Data!$B$2:$B$2657,$B131)+SUMIFS(Data!$G$2:$G$2657,Data!$A$2:$A$2657,$A131,Data!$B$2:$B$2657,$B131)</f>
        <v>454.897108</v>
      </c>
      <c r="E131" s="10" t="n">
        <f aca="false">IFERROR((SUMIFS(Data!$E$2:$E$2657,Data!$A$2:$A$2657,$A131,Data!$B$2:$B$2657,$B131,Data!$D$2:$D$2657,"Transmission")+SUMIFS(Data!$G$2:$G$2657,Data!$A$2:$A$2657,$A131,Data!$B$2:$B$2657,$B131,Data!$D$2:$D$2657,"Transmission"))/$D131,0)</f>
        <v>0.133647886369944</v>
      </c>
      <c r="F131" s="10" t="n">
        <f aca="false">IFERROR((SUMIFS(Data!$E$2:$E$2657,Data!$A$2:$A$2657,$A131,Data!$B$2:$B$2657,$B131,Data!$D$2:$D$2657,"Distribution")+SUMIFS(Data!$G$2:$G$2657,Data!$A$2:$A$2657,$A131,Data!$B$2:$B$2657,$B131,Data!$D$2:$D$2657,"Distribution"))/$D131,0)</f>
        <v>0.313260940757619</v>
      </c>
      <c r="G131" s="10" t="n">
        <f aca="false">IFERROR((SUMIFS(Data!$E$2:$E$2657,Data!$A$2:$A$2657,$A131,Data!$B$2:$B$2657,$B131,Data!$D$2:$D$2657,"RTO/market operation")+SUMIFS(Data!$G$2:$G$2657,Data!$A$2:$A$2657,$A131,Data!$B$2:$B$2657,$B131,Data!$D$2:$D$2657,"RTO/market operation"))/$D131,0)</f>
        <v>0</v>
      </c>
      <c r="H131" s="10" t="n">
        <f aca="false">IFERROR((SUMIFS(Data!$E$2:$E$2657,Data!$A$2:$A$2657,$A131,Data!$B$2:$B$2657,$B131,Data!$D$2:$D$2657,"Customer accounts, service &amp; sales")+SUMIFS(Data!$G$2:$G$2657,Data!$A$2:$A$2657,$A131,Data!$B$2:$B$2657,$B131,Data!$D$2:$D$2657,"Customer accounts, service &amp; sales"))/$D131,0)</f>
        <v>0.152241005234089</v>
      </c>
      <c r="I131" s="10" t="n">
        <f aca="false">IFERROR((SUMIFS(Data!$E$2:$E$2657,Data!$A$2:$A$2657,$A131,Data!$B$2:$B$2657,$B131,Data!$D$2:$D$2657,"A&amp;G and general")+SUMIFS(Data!$G$2:$G$2657,Data!$A$2:$A$2657,$A131,Data!$B$2:$B$2657,$B131,Data!$D$2:$D$2657,"A&amp;G and general"))/$D131,0)</f>
        <v>0.400850167638349</v>
      </c>
      <c r="J131" s="10" t="n">
        <f aca="false">IFERROR(SUMIFS(Data!$F$2:$F$2657,Data!$A$2:$A$2657,$A131,Data!$B$2:$B$2657,$B131)/$D131,0)</f>
        <v>0.131149787393241</v>
      </c>
      <c r="K131" s="11" t="n">
        <f aca="false">SUM(E131:I131)</f>
        <v>1</v>
      </c>
    </row>
    <row r="132" customFormat="false" ht="15" hidden="false" customHeight="false" outlineLevel="0" collapsed="false">
      <c r="A132" s="7" t="n">
        <v>2001</v>
      </c>
      <c r="B132" s="12" t="s">
        <v>80</v>
      </c>
      <c r="C132" s="12" t="s">
        <v>72</v>
      </c>
      <c r="D132" s="9" t="n">
        <f aca="false">SUMIFS(Data!$E$2:$E$2657,Data!$A$2:$A$2657,$A132,Data!$B$2:$B$2657,$B132)+SUMIFS(Data!$G$2:$G$2657,Data!$A$2:$A$2657,$A132,Data!$B$2:$B$2657,$B132)</f>
        <v>184.254076</v>
      </c>
      <c r="E132" s="10" t="n">
        <f aca="false">IFERROR((SUMIFS(Data!$E$2:$E$2657,Data!$A$2:$A$2657,$A132,Data!$B$2:$B$2657,$B132,Data!$D$2:$D$2657,"Transmission")+SUMIFS(Data!$G$2:$G$2657,Data!$A$2:$A$2657,$A132,Data!$B$2:$B$2657,$B132,Data!$D$2:$D$2657,"Transmission"))/$D132,0)</f>
        <v>0.241199581386737</v>
      </c>
      <c r="F132" s="10" t="n">
        <f aca="false">IFERROR((SUMIFS(Data!$E$2:$E$2657,Data!$A$2:$A$2657,$A132,Data!$B$2:$B$2657,$B132,Data!$D$2:$D$2657,"Distribution")+SUMIFS(Data!$G$2:$G$2657,Data!$A$2:$A$2657,$A132,Data!$B$2:$B$2657,$B132,Data!$D$2:$D$2657,"Distribution"))/$D132,0)</f>
        <v>0.273070463852317</v>
      </c>
      <c r="G132" s="10" t="n">
        <f aca="false">IFERROR((SUMIFS(Data!$E$2:$E$2657,Data!$A$2:$A$2657,$A132,Data!$B$2:$B$2657,$B132,Data!$D$2:$D$2657,"RTO/market operation")+SUMIFS(Data!$G$2:$G$2657,Data!$A$2:$A$2657,$A132,Data!$B$2:$B$2657,$B132,Data!$D$2:$D$2657,"RTO/market operation"))/$D132,0)</f>
        <v>0</v>
      </c>
      <c r="H132" s="10" t="n">
        <f aca="false">IFERROR((SUMIFS(Data!$E$2:$E$2657,Data!$A$2:$A$2657,$A132,Data!$B$2:$B$2657,$B132,Data!$D$2:$D$2657,"Customer accounts, service &amp; sales")+SUMIFS(Data!$G$2:$G$2657,Data!$A$2:$A$2657,$A132,Data!$B$2:$B$2657,$B132,Data!$D$2:$D$2657,"Customer accounts, service &amp; sales"))/$D132,0)</f>
        <v>0.156735517753214</v>
      </c>
      <c r="I132" s="10" t="n">
        <f aca="false">IFERROR((SUMIFS(Data!$E$2:$E$2657,Data!$A$2:$A$2657,$A132,Data!$B$2:$B$2657,$B132,Data!$D$2:$D$2657,"A&amp;G and general")+SUMIFS(Data!$G$2:$G$2657,Data!$A$2:$A$2657,$A132,Data!$B$2:$B$2657,$B132,Data!$D$2:$D$2657,"A&amp;G and general"))/$D132,0)</f>
        <v>0.328994437007733</v>
      </c>
      <c r="J132" s="10" t="n">
        <f aca="false">IFERROR(SUMIFS(Data!$F$2:$F$2657,Data!$A$2:$A$2657,$A132,Data!$B$2:$B$2657,$B132)/$D132,0)</f>
        <v>0.239775949379812</v>
      </c>
      <c r="K132" s="11" t="n">
        <f aca="false">SUM(E132:I132)</f>
        <v>1</v>
      </c>
    </row>
    <row r="133" customFormat="false" ht="15" hidden="false" customHeight="false" outlineLevel="0" collapsed="false">
      <c r="A133" s="7" t="n">
        <v>2001</v>
      </c>
      <c r="B133" s="12" t="s">
        <v>81</v>
      </c>
      <c r="C133" s="12" t="s">
        <v>72</v>
      </c>
      <c r="D133" s="9" t="n">
        <f aca="false">SUMIFS(Data!$E$2:$E$2657,Data!$A$2:$A$2657,$A133,Data!$B$2:$B$2657,$B133)+SUMIFS(Data!$G$2:$G$2657,Data!$A$2:$A$2657,$A133,Data!$B$2:$B$2657,$B133)</f>
        <v>156.980961</v>
      </c>
      <c r="E133" s="10" t="n">
        <f aca="false">IFERROR((SUMIFS(Data!$E$2:$E$2657,Data!$A$2:$A$2657,$A133,Data!$B$2:$B$2657,$B133,Data!$D$2:$D$2657,"Transmission")+SUMIFS(Data!$G$2:$G$2657,Data!$A$2:$A$2657,$A133,Data!$B$2:$B$2657,$B133,Data!$D$2:$D$2657,"Transmission"))/$D133,0)</f>
        <v>0.177700294496222</v>
      </c>
      <c r="F133" s="10" t="n">
        <f aca="false">IFERROR((SUMIFS(Data!$E$2:$E$2657,Data!$A$2:$A$2657,$A133,Data!$B$2:$B$2657,$B133,Data!$D$2:$D$2657,"Distribution")+SUMIFS(Data!$G$2:$G$2657,Data!$A$2:$A$2657,$A133,Data!$B$2:$B$2657,$B133,Data!$D$2:$D$2657,"Distribution"))/$D133,0)</f>
        <v>0.342096497931364</v>
      </c>
      <c r="G133" s="10" t="n">
        <f aca="false">IFERROR((SUMIFS(Data!$E$2:$E$2657,Data!$A$2:$A$2657,$A133,Data!$B$2:$B$2657,$B133,Data!$D$2:$D$2657,"RTO/market operation")+SUMIFS(Data!$G$2:$G$2657,Data!$A$2:$A$2657,$A133,Data!$B$2:$B$2657,$B133,Data!$D$2:$D$2657,"RTO/market operation"))/$D133,0)</f>
        <v>0</v>
      </c>
      <c r="H133" s="10" t="n">
        <f aca="false">IFERROR((SUMIFS(Data!$E$2:$E$2657,Data!$A$2:$A$2657,$A133,Data!$B$2:$B$2657,$B133,Data!$D$2:$D$2657,"Customer accounts, service &amp; sales")+SUMIFS(Data!$G$2:$G$2657,Data!$A$2:$A$2657,$A133,Data!$B$2:$B$2657,$B133,Data!$D$2:$D$2657,"Customer accounts, service &amp; sales"))/$D133,0)</f>
        <v>0.242214340884306</v>
      </c>
      <c r="I133" s="10" t="n">
        <f aca="false">IFERROR((SUMIFS(Data!$E$2:$E$2657,Data!$A$2:$A$2657,$A133,Data!$B$2:$B$2657,$B133,Data!$D$2:$D$2657,"A&amp;G and general")+SUMIFS(Data!$G$2:$G$2657,Data!$A$2:$A$2657,$A133,Data!$B$2:$B$2657,$B133,Data!$D$2:$D$2657,"A&amp;G and general"))/$D133,0)</f>
        <v>0.237988866688107</v>
      </c>
      <c r="J133" s="10" t="n">
        <f aca="false">IFERROR(SUMIFS(Data!$F$2:$F$2657,Data!$A$2:$A$2657,$A133,Data!$B$2:$B$2657,$B133)/$D133,0)</f>
        <v>0.171288115633335</v>
      </c>
      <c r="K133" s="11" t="n">
        <f aca="false">SUM(E133:I133)</f>
        <v>1</v>
      </c>
    </row>
    <row r="134" customFormat="false" ht="15" hidden="false" customHeight="false" outlineLevel="0" collapsed="false">
      <c r="A134" s="7" t="n">
        <v>2002</v>
      </c>
      <c r="B134" s="12" t="s">
        <v>56</v>
      </c>
      <c r="C134" s="12" t="s">
        <v>57</v>
      </c>
      <c r="D134" s="9" t="n">
        <f aca="false">SUMIFS(Data!$E$2:$E$2657,Data!$A$2:$A$2657,$A134,Data!$B$2:$B$2657,$B134)+SUMIFS(Data!$G$2:$G$2657,Data!$A$2:$A$2657,$A134,Data!$B$2:$B$2657,$B134)</f>
        <v>89.370328</v>
      </c>
      <c r="E134" s="10" t="n">
        <f aca="false">IFERROR((SUMIFS(Data!$E$2:$E$2657,Data!$A$2:$A$2657,$A134,Data!$B$2:$B$2657,$B134,Data!$D$2:$D$2657,"Transmission")+SUMIFS(Data!$G$2:$G$2657,Data!$A$2:$A$2657,$A134,Data!$B$2:$B$2657,$B134,Data!$D$2:$D$2657,"Transmission"))/$D134,0)</f>
        <v>0.141754789128669</v>
      </c>
      <c r="F134" s="10" t="n">
        <f aca="false">IFERROR((SUMIFS(Data!$E$2:$E$2657,Data!$A$2:$A$2657,$A134,Data!$B$2:$B$2657,$B134,Data!$D$2:$D$2657,"Distribution")+SUMIFS(Data!$G$2:$G$2657,Data!$A$2:$A$2657,$A134,Data!$B$2:$B$2657,$B134,Data!$D$2:$D$2657,"Distribution"))/$D134,0)</f>
        <v>0.262244108581542</v>
      </c>
      <c r="G134" s="10" t="n">
        <f aca="false">IFERROR((SUMIFS(Data!$E$2:$E$2657,Data!$A$2:$A$2657,$A134,Data!$B$2:$B$2657,$B134,Data!$D$2:$D$2657,"RTO/market operation")+SUMIFS(Data!$G$2:$G$2657,Data!$A$2:$A$2657,$A134,Data!$B$2:$B$2657,$B134,Data!$D$2:$D$2657,"RTO/market operation"))/$D134,0)</f>
        <v>0</v>
      </c>
      <c r="H134" s="10" t="n">
        <f aca="false">IFERROR((SUMIFS(Data!$E$2:$E$2657,Data!$A$2:$A$2657,$A134,Data!$B$2:$B$2657,$B134,Data!$D$2:$D$2657,"Customer accounts, service &amp; sales")+SUMIFS(Data!$G$2:$G$2657,Data!$A$2:$A$2657,$A134,Data!$B$2:$B$2657,$B134,Data!$D$2:$D$2657,"Customer accounts, service &amp; sales"))/$D134,0)</f>
        <v>0.18791606091006</v>
      </c>
      <c r="I134" s="10" t="n">
        <f aca="false">IFERROR((SUMIFS(Data!$E$2:$E$2657,Data!$A$2:$A$2657,$A134,Data!$B$2:$B$2657,$B134,Data!$D$2:$D$2657,"A&amp;G and general")+SUMIFS(Data!$G$2:$G$2657,Data!$A$2:$A$2657,$A134,Data!$B$2:$B$2657,$B134,Data!$D$2:$D$2657,"A&amp;G and general"))/$D134,0)</f>
        <v>0.40808504137973</v>
      </c>
      <c r="J134" s="10" t="n">
        <f aca="false">IFERROR(SUMIFS(Data!$F$2:$F$2657,Data!$A$2:$A$2657,$A134,Data!$B$2:$B$2657,$B134)/$D134,0)</f>
        <v>0.00260654744380036</v>
      </c>
      <c r="K134" s="11" t="n">
        <f aca="false">SUM(E134:I134)</f>
        <v>1</v>
      </c>
    </row>
    <row r="135" customFormat="false" ht="15" hidden="false" customHeight="false" outlineLevel="0" collapsed="false">
      <c r="A135" s="7" t="n">
        <v>2002</v>
      </c>
      <c r="B135" s="12" t="s">
        <v>58</v>
      </c>
      <c r="C135" s="12" t="s">
        <v>59</v>
      </c>
      <c r="D135" s="9" t="n">
        <f aca="false">SUMIFS(Data!$E$2:$E$2657,Data!$A$2:$A$2657,$A135,Data!$B$2:$B$2657,$B135)+SUMIFS(Data!$G$2:$G$2657,Data!$A$2:$A$2657,$A135,Data!$B$2:$B$2657,$B135)</f>
        <v>457.702148</v>
      </c>
      <c r="E135" s="10" t="n">
        <f aca="false">IFERROR((SUMIFS(Data!$E$2:$E$2657,Data!$A$2:$A$2657,$A135,Data!$B$2:$B$2657,$B135,Data!$D$2:$D$2657,"Transmission")+SUMIFS(Data!$G$2:$G$2657,Data!$A$2:$A$2657,$A135,Data!$B$2:$B$2657,$B135,Data!$D$2:$D$2657,"Transmission"))/$D135,0)</f>
        <v>0.0893306841111875</v>
      </c>
      <c r="F135" s="10" t="n">
        <f aca="false">IFERROR((SUMIFS(Data!$E$2:$E$2657,Data!$A$2:$A$2657,$A135,Data!$B$2:$B$2657,$B135,Data!$D$2:$D$2657,"Distribution")+SUMIFS(Data!$G$2:$G$2657,Data!$A$2:$A$2657,$A135,Data!$B$2:$B$2657,$B135,Data!$D$2:$D$2657,"Distribution"))/$D135,0)</f>
        <v>0.443702272072361</v>
      </c>
      <c r="G135" s="10" t="n">
        <f aca="false">IFERROR((SUMIFS(Data!$E$2:$E$2657,Data!$A$2:$A$2657,$A135,Data!$B$2:$B$2657,$B135,Data!$D$2:$D$2657,"RTO/market operation")+SUMIFS(Data!$G$2:$G$2657,Data!$A$2:$A$2657,$A135,Data!$B$2:$B$2657,$B135,Data!$D$2:$D$2657,"RTO/market operation"))/$D135,0)</f>
        <v>0</v>
      </c>
      <c r="H135" s="10" t="n">
        <f aca="false">IFERROR((SUMIFS(Data!$E$2:$E$2657,Data!$A$2:$A$2657,$A135,Data!$B$2:$B$2657,$B135,Data!$D$2:$D$2657,"Customer accounts, service &amp; sales")+SUMIFS(Data!$G$2:$G$2657,Data!$A$2:$A$2657,$A135,Data!$B$2:$B$2657,$B135,Data!$D$2:$D$2657,"Customer accounts, service &amp; sales"))/$D135,0)</f>
        <v>0.114531112054121</v>
      </c>
      <c r="I135" s="10" t="n">
        <f aca="false">IFERROR((SUMIFS(Data!$E$2:$E$2657,Data!$A$2:$A$2657,$A135,Data!$B$2:$B$2657,$B135,Data!$D$2:$D$2657,"A&amp;G and general")+SUMIFS(Data!$G$2:$G$2657,Data!$A$2:$A$2657,$A135,Data!$B$2:$B$2657,$B135,Data!$D$2:$D$2657,"A&amp;G and general"))/$D135,0)</f>
        <v>0.35243593176233</v>
      </c>
      <c r="J135" s="10" t="n">
        <f aca="false">IFERROR(SUMIFS(Data!$F$2:$F$2657,Data!$A$2:$A$2657,$A135,Data!$B$2:$B$2657,$B135)/$D135,0)</f>
        <v>2.1476849175722E-006</v>
      </c>
      <c r="K135" s="11" t="n">
        <f aca="false">SUM(E135:I135)</f>
        <v>1</v>
      </c>
    </row>
    <row r="136" customFormat="false" ht="15" hidden="false" customHeight="false" outlineLevel="0" collapsed="false">
      <c r="A136" s="7" t="n">
        <v>2002</v>
      </c>
      <c r="B136" s="12" t="s">
        <v>60</v>
      </c>
      <c r="C136" s="12" t="s">
        <v>59</v>
      </c>
      <c r="D136" s="9" t="n">
        <f aca="false">SUMIFS(Data!$E$2:$E$2657,Data!$A$2:$A$2657,$A136,Data!$B$2:$B$2657,$B136)+SUMIFS(Data!$G$2:$G$2657,Data!$A$2:$A$2657,$A136,Data!$B$2:$B$2657,$B136)</f>
        <v>1283.527139</v>
      </c>
      <c r="E136" s="10" t="n">
        <f aca="false">IFERROR((SUMIFS(Data!$E$2:$E$2657,Data!$A$2:$A$2657,$A136,Data!$B$2:$B$2657,$B136,Data!$D$2:$D$2657,"Transmission")+SUMIFS(Data!$G$2:$G$2657,Data!$A$2:$A$2657,$A136,Data!$B$2:$B$2657,$B136,Data!$D$2:$D$2657,"Transmission"))/$D136,0)</f>
        <v>0.0669311963804141</v>
      </c>
      <c r="F136" s="10" t="n">
        <f aca="false">IFERROR((SUMIFS(Data!$E$2:$E$2657,Data!$A$2:$A$2657,$A136,Data!$B$2:$B$2657,$B136,Data!$D$2:$D$2657,"Distribution")+SUMIFS(Data!$G$2:$G$2657,Data!$A$2:$A$2657,$A136,Data!$B$2:$B$2657,$B136,Data!$D$2:$D$2657,"Distribution"))/$D136,0)</f>
        <v>0.452775999308262</v>
      </c>
      <c r="G136" s="10" t="n">
        <f aca="false">IFERROR((SUMIFS(Data!$E$2:$E$2657,Data!$A$2:$A$2657,$A136,Data!$B$2:$B$2657,$B136,Data!$D$2:$D$2657,"RTO/market operation")+SUMIFS(Data!$G$2:$G$2657,Data!$A$2:$A$2657,$A136,Data!$B$2:$B$2657,$B136,Data!$D$2:$D$2657,"RTO/market operation"))/$D136,0)</f>
        <v>0</v>
      </c>
      <c r="H136" s="10" t="n">
        <f aca="false">IFERROR((SUMIFS(Data!$E$2:$E$2657,Data!$A$2:$A$2657,$A136,Data!$B$2:$B$2657,$B136,Data!$D$2:$D$2657,"Customer accounts, service &amp; sales")+SUMIFS(Data!$G$2:$G$2657,Data!$A$2:$A$2657,$A136,Data!$B$2:$B$2657,$B136,Data!$D$2:$D$2657,"Customer accounts, service &amp; sales"))/$D136,0)</f>
        <v>0.173120647977199</v>
      </c>
      <c r="I136" s="10" t="n">
        <f aca="false">IFERROR((SUMIFS(Data!$E$2:$E$2657,Data!$A$2:$A$2657,$A136,Data!$B$2:$B$2657,$B136,Data!$D$2:$D$2657,"A&amp;G and general")+SUMIFS(Data!$G$2:$G$2657,Data!$A$2:$A$2657,$A136,Data!$B$2:$B$2657,$B136,Data!$D$2:$D$2657,"A&amp;G and general"))/$D136,0)</f>
        <v>0.307172156334125</v>
      </c>
      <c r="J136" s="10" t="n">
        <f aca="false">IFERROR(SUMIFS(Data!$F$2:$F$2657,Data!$A$2:$A$2657,$A136,Data!$B$2:$B$2657,$B136)/$D136,0)</f>
        <v>0.00126582909751782</v>
      </c>
      <c r="K136" s="11" t="n">
        <f aca="false">SUM(E136:I136)</f>
        <v>1</v>
      </c>
    </row>
    <row r="137" customFormat="false" ht="15" hidden="false" customHeight="false" outlineLevel="0" collapsed="false">
      <c r="A137" s="7" t="n">
        <v>2002</v>
      </c>
      <c r="B137" s="12" t="s">
        <v>63</v>
      </c>
      <c r="C137" s="12" t="s">
        <v>62</v>
      </c>
      <c r="D137" s="9" t="n">
        <f aca="false">SUMIFS(Data!$E$2:$E$2657,Data!$A$2:$A$2657,$A137,Data!$B$2:$B$2657,$B137)+SUMIFS(Data!$G$2:$G$2657,Data!$A$2:$A$2657,$A137,Data!$B$2:$B$2657,$B137)</f>
        <v>1151.99371</v>
      </c>
      <c r="E137" s="10" t="n">
        <f aca="false">IFERROR((SUMIFS(Data!$E$2:$E$2657,Data!$A$2:$A$2657,$A137,Data!$B$2:$B$2657,$B137,Data!$D$2:$D$2657,"Transmission")+SUMIFS(Data!$G$2:$G$2657,Data!$A$2:$A$2657,$A137,Data!$B$2:$B$2657,$B137,Data!$D$2:$D$2657,"Transmission"))/$D137,0)</f>
        <v>0.108826792118509</v>
      </c>
      <c r="F137" s="10" t="n">
        <f aca="false">IFERROR((SUMIFS(Data!$E$2:$E$2657,Data!$A$2:$A$2657,$A137,Data!$B$2:$B$2657,$B137,Data!$D$2:$D$2657,"Distribution")+SUMIFS(Data!$G$2:$G$2657,Data!$A$2:$A$2657,$A137,Data!$B$2:$B$2657,$B137,Data!$D$2:$D$2657,"Distribution"))/$D137,0)</f>
        <v>0.317667022678449</v>
      </c>
      <c r="G137" s="10" t="n">
        <f aca="false">IFERROR((SUMIFS(Data!$E$2:$E$2657,Data!$A$2:$A$2657,$A137,Data!$B$2:$B$2657,$B137,Data!$D$2:$D$2657,"RTO/market operation")+SUMIFS(Data!$G$2:$G$2657,Data!$A$2:$A$2657,$A137,Data!$B$2:$B$2657,$B137,Data!$D$2:$D$2657,"RTO/market operation"))/$D137,0)</f>
        <v>0</v>
      </c>
      <c r="H137" s="10" t="n">
        <f aca="false">IFERROR((SUMIFS(Data!$E$2:$E$2657,Data!$A$2:$A$2657,$A137,Data!$B$2:$B$2657,$B137,Data!$D$2:$D$2657,"Customer accounts, service &amp; sales")+SUMIFS(Data!$G$2:$G$2657,Data!$A$2:$A$2657,$A137,Data!$B$2:$B$2657,$B137,Data!$D$2:$D$2657,"Customer accounts, service &amp; sales"))/$D137,0)</f>
        <v>0.139175801576208</v>
      </c>
      <c r="I137" s="10" t="n">
        <f aca="false">IFERROR((SUMIFS(Data!$E$2:$E$2657,Data!$A$2:$A$2657,$A137,Data!$B$2:$B$2657,$B137,Data!$D$2:$D$2657,"A&amp;G and general")+SUMIFS(Data!$G$2:$G$2657,Data!$A$2:$A$2657,$A137,Data!$B$2:$B$2657,$B137,Data!$D$2:$D$2657,"A&amp;G and general"))/$D137,0)</f>
        <v>0.434330383626834</v>
      </c>
      <c r="J137" s="10" t="n">
        <f aca="false">IFERROR(SUMIFS(Data!$F$2:$F$2657,Data!$A$2:$A$2657,$A137,Data!$B$2:$B$2657,$B137)/$D137,0)</f>
        <v>0.101300722379812</v>
      </c>
      <c r="K137" s="11" t="n">
        <f aca="false">SUM(E137:I137)</f>
        <v>1</v>
      </c>
    </row>
    <row r="138" customFormat="false" ht="15" hidden="false" customHeight="false" outlineLevel="0" collapsed="false">
      <c r="A138" s="7" t="n">
        <v>2002</v>
      </c>
      <c r="B138" s="12" t="s">
        <v>64</v>
      </c>
      <c r="C138" s="12" t="s">
        <v>65</v>
      </c>
      <c r="D138" s="9" t="n">
        <f aca="false">SUMIFS(Data!$E$2:$E$2657,Data!$A$2:$A$2657,$A138,Data!$B$2:$B$2657,$B138)+SUMIFS(Data!$G$2:$G$2657,Data!$A$2:$A$2657,$A138,Data!$B$2:$B$2657,$B138)</f>
        <v>402.440834</v>
      </c>
      <c r="E138" s="10" t="n">
        <f aca="false">IFERROR((SUMIFS(Data!$E$2:$E$2657,Data!$A$2:$A$2657,$A138,Data!$B$2:$B$2657,$B138,Data!$D$2:$D$2657,"Transmission")+SUMIFS(Data!$G$2:$G$2657,Data!$A$2:$A$2657,$A138,Data!$B$2:$B$2657,$B138,Data!$D$2:$D$2657,"Transmission"))/$D138,0)</f>
        <v>0.118309455645348</v>
      </c>
      <c r="F138" s="10" t="n">
        <f aca="false">IFERROR((SUMIFS(Data!$E$2:$E$2657,Data!$A$2:$A$2657,$A138,Data!$B$2:$B$2657,$B138,Data!$D$2:$D$2657,"Distribution")+SUMIFS(Data!$G$2:$G$2657,Data!$A$2:$A$2657,$A138,Data!$B$2:$B$2657,$B138,Data!$D$2:$D$2657,"Distribution"))/$D138,0)</f>
        <v>0.227582581741693</v>
      </c>
      <c r="G138" s="10" t="n">
        <f aca="false">IFERROR((SUMIFS(Data!$E$2:$E$2657,Data!$A$2:$A$2657,$A138,Data!$B$2:$B$2657,$B138,Data!$D$2:$D$2657,"RTO/market operation")+SUMIFS(Data!$G$2:$G$2657,Data!$A$2:$A$2657,$A138,Data!$B$2:$B$2657,$B138,Data!$D$2:$D$2657,"RTO/market operation"))/$D138,0)</f>
        <v>0</v>
      </c>
      <c r="H138" s="10" t="n">
        <f aca="false">IFERROR((SUMIFS(Data!$E$2:$E$2657,Data!$A$2:$A$2657,$A138,Data!$B$2:$B$2657,$B138,Data!$D$2:$D$2657,"Customer accounts, service &amp; sales")+SUMIFS(Data!$G$2:$G$2657,Data!$A$2:$A$2657,$A138,Data!$B$2:$B$2657,$B138,Data!$D$2:$D$2657,"Customer accounts, service &amp; sales"))/$D138,0)</f>
        <v>0.123879583750192</v>
      </c>
      <c r="I138" s="10" t="n">
        <f aca="false">IFERROR((SUMIFS(Data!$E$2:$E$2657,Data!$A$2:$A$2657,$A138,Data!$B$2:$B$2657,$B138,Data!$D$2:$D$2657,"A&amp;G and general")+SUMIFS(Data!$G$2:$G$2657,Data!$A$2:$A$2657,$A138,Data!$B$2:$B$2657,$B138,Data!$D$2:$D$2657,"A&amp;G and general"))/$D138,0)</f>
        <v>0.530228378862767</v>
      </c>
      <c r="J138" s="10" t="n">
        <f aca="false">IFERROR(SUMIFS(Data!$F$2:$F$2657,Data!$A$2:$A$2657,$A138,Data!$B$2:$B$2657,$B138)/$D138,0)</f>
        <v>0.0484748945729498</v>
      </c>
      <c r="K138" s="11" t="n">
        <f aca="false">SUM(E138:I138)</f>
        <v>1</v>
      </c>
    </row>
    <row r="139" customFormat="false" ht="15" hidden="false" customHeight="false" outlineLevel="0" collapsed="false">
      <c r="A139" s="7" t="n">
        <v>2002</v>
      </c>
      <c r="B139" s="12" t="s">
        <v>66</v>
      </c>
      <c r="C139" s="12" t="s">
        <v>67</v>
      </c>
      <c r="D139" s="9" t="n">
        <f aca="false">SUMIFS(Data!$E$2:$E$2657,Data!$A$2:$A$2657,$A139,Data!$B$2:$B$2657,$B139)+SUMIFS(Data!$G$2:$G$2657,Data!$A$2:$A$2657,$A139,Data!$B$2:$B$2657,$B139)</f>
        <v>236.882657</v>
      </c>
      <c r="E139" s="10" t="n">
        <f aca="false">IFERROR((SUMIFS(Data!$E$2:$E$2657,Data!$A$2:$A$2657,$A139,Data!$B$2:$B$2657,$B139,Data!$D$2:$D$2657,"Transmission")+SUMIFS(Data!$G$2:$G$2657,Data!$A$2:$A$2657,$A139,Data!$B$2:$B$2657,$B139,Data!$D$2:$D$2657,"Transmission"))/$D139,0)</f>
        <v>-0.016625450971702</v>
      </c>
      <c r="F139" s="10" t="n">
        <f aca="false">IFERROR((SUMIFS(Data!$E$2:$E$2657,Data!$A$2:$A$2657,$A139,Data!$B$2:$B$2657,$B139,Data!$D$2:$D$2657,"Distribution")+SUMIFS(Data!$G$2:$G$2657,Data!$A$2:$A$2657,$A139,Data!$B$2:$B$2657,$B139,Data!$D$2:$D$2657,"Distribution"))/$D139,0)</f>
        <v>0.34400555123797</v>
      </c>
      <c r="G139" s="10" t="n">
        <f aca="false">IFERROR((SUMIFS(Data!$E$2:$E$2657,Data!$A$2:$A$2657,$A139,Data!$B$2:$B$2657,$B139,Data!$D$2:$D$2657,"RTO/market operation")+SUMIFS(Data!$G$2:$G$2657,Data!$A$2:$A$2657,$A139,Data!$B$2:$B$2657,$B139,Data!$D$2:$D$2657,"RTO/market operation"))/$D139,0)</f>
        <v>0</v>
      </c>
      <c r="H139" s="10" t="n">
        <f aca="false">IFERROR((SUMIFS(Data!$E$2:$E$2657,Data!$A$2:$A$2657,$A139,Data!$B$2:$B$2657,$B139,Data!$D$2:$D$2657,"Customer accounts, service &amp; sales")+SUMIFS(Data!$G$2:$G$2657,Data!$A$2:$A$2657,$A139,Data!$B$2:$B$2657,$B139,Data!$D$2:$D$2657,"Customer accounts, service &amp; sales"))/$D139,0)</f>
        <v>0.0957946364135894</v>
      </c>
      <c r="I139" s="10" t="n">
        <f aca="false">IFERROR((SUMIFS(Data!$E$2:$E$2657,Data!$A$2:$A$2657,$A139,Data!$B$2:$B$2657,$B139,Data!$D$2:$D$2657,"A&amp;G and general")+SUMIFS(Data!$G$2:$G$2657,Data!$A$2:$A$2657,$A139,Data!$B$2:$B$2657,$B139,Data!$D$2:$D$2657,"A&amp;G and general"))/$D139,0)</f>
        <v>0.576825263320143</v>
      </c>
      <c r="J139" s="10" t="n">
        <f aca="false">IFERROR(SUMIFS(Data!$F$2:$F$2657,Data!$A$2:$A$2657,$A139,Data!$B$2:$B$2657,$B139)/$D139,0)</f>
        <v>-0.152242563709508</v>
      </c>
      <c r="K139" s="11" t="n">
        <f aca="false">SUM(E139:I139)</f>
        <v>1</v>
      </c>
    </row>
    <row r="140" customFormat="false" ht="15" hidden="false" customHeight="false" outlineLevel="0" collapsed="false">
      <c r="A140" s="7" t="n">
        <v>2002</v>
      </c>
      <c r="B140" s="12" t="s">
        <v>68</v>
      </c>
      <c r="C140" s="12" t="s">
        <v>65</v>
      </c>
      <c r="D140" s="9" t="n">
        <f aca="false">SUMIFS(Data!$E$2:$E$2657,Data!$A$2:$A$2657,$A140,Data!$B$2:$B$2657,$B140)+SUMIFS(Data!$G$2:$G$2657,Data!$A$2:$A$2657,$A140,Data!$B$2:$B$2657,$B140)</f>
        <v>178.574032</v>
      </c>
      <c r="E140" s="10" t="n">
        <f aca="false">IFERROR((SUMIFS(Data!$E$2:$E$2657,Data!$A$2:$A$2657,$A140,Data!$B$2:$B$2657,$B140,Data!$D$2:$D$2657,"Transmission")+SUMIFS(Data!$G$2:$G$2657,Data!$A$2:$A$2657,$A140,Data!$B$2:$B$2657,$B140,Data!$D$2:$D$2657,"Transmission"))/$D140,0)</f>
        <v>0.070129015175062</v>
      </c>
      <c r="F140" s="10" t="n">
        <f aca="false">IFERROR((SUMIFS(Data!$E$2:$E$2657,Data!$A$2:$A$2657,$A140,Data!$B$2:$B$2657,$B140,Data!$D$2:$D$2657,"Distribution")+SUMIFS(Data!$G$2:$G$2657,Data!$A$2:$A$2657,$A140,Data!$B$2:$B$2657,$B140,Data!$D$2:$D$2657,"Distribution"))/$D140,0)</f>
        <v>0.447409357929489</v>
      </c>
      <c r="G140" s="10" t="n">
        <f aca="false">IFERROR((SUMIFS(Data!$E$2:$E$2657,Data!$A$2:$A$2657,$A140,Data!$B$2:$B$2657,$B140,Data!$D$2:$D$2657,"RTO/market operation")+SUMIFS(Data!$G$2:$G$2657,Data!$A$2:$A$2657,$A140,Data!$B$2:$B$2657,$B140,Data!$D$2:$D$2657,"RTO/market operation"))/$D140,0)</f>
        <v>0</v>
      </c>
      <c r="H140" s="10" t="n">
        <f aca="false">IFERROR((SUMIFS(Data!$E$2:$E$2657,Data!$A$2:$A$2657,$A140,Data!$B$2:$B$2657,$B140,Data!$D$2:$D$2657,"Customer accounts, service &amp; sales")+SUMIFS(Data!$G$2:$G$2657,Data!$A$2:$A$2657,$A140,Data!$B$2:$B$2657,$B140,Data!$D$2:$D$2657,"Customer accounts, service &amp; sales"))/$D140,0)</f>
        <v>0.103939547044556</v>
      </c>
      <c r="I140" s="10" t="n">
        <f aca="false">IFERROR((SUMIFS(Data!$E$2:$E$2657,Data!$A$2:$A$2657,$A140,Data!$B$2:$B$2657,$B140,Data!$D$2:$D$2657,"A&amp;G and general")+SUMIFS(Data!$G$2:$G$2657,Data!$A$2:$A$2657,$A140,Data!$B$2:$B$2657,$B140,Data!$D$2:$D$2657,"A&amp;G and general"))/$D140,0)</f>
        <v>0.378522079850893</v>
      </c>
      <c r="J140" s="10" t="n">
        <f aca="false">IFERROR(SUMIFS(Data!$F$2:$F$2657,Data!$A$2:$A$2657,$A140,Data!$B$2:$B$2657,$B140)/$D140,0)</f>
        <v>0</v>
      </c>
      <c r="K140" s="11" t="n">
        <f aca="false">SUM(E140:I140)</f>
        <v>1</v>
      </c>
    </row>
    <row r="141" customFormat="false" ht="15" hidden="false" customHeight="false" outlineLevel="0" collapsed="false">
      <c r="A141" s="7" t="n">
        <v>2002</v>
      </c>
      <c r="B141" s="12" t="s">
        <v>69</v>
      </c>
      <c r="C141" s="12" t="s">
        <v>70</v>
      </c>
      <c r="D141" s="9" t="n">
        <f aca="false">SUMIFS(Data!$E$2:$E$2657,Data!$A$2:$A$2657,$A141,Data!$B$2:$B$2657,$B141)+SUMIFS(Data!$G$2:$G$2657,Data!$A$2:$A$2657,$A141,Data!$B$2:$B$2657,$B141)</f>
        <v>242.933806</v>
      </c>
      <c r="E141" s="10" t="n">
        <f aca="false">IFERROR((SUMIFS(Data!$E$2:$E$2657,Data!$A$2:$A$2657,$A141,Data!$B$2:$B$2657,$B141,Data!$D$2:$D$2657,"Transmission")+SUMIFS(Data!$G$2:$G$2657,Data!$A$2:$A$2657,$A141,Data!$B$2:$B$2657,$B141,Data!$D$2:$D$2657,"Transmission"))/$D141,0)</f>
        <v>0.166576454163815</v>
      </c>
      <c r="F141" s="10" t="n">
        <f aca="false">IFERROR((SUMIFS(Data!$E$2:$E$2657,Data!$A$2:$A$2657,$A141,Data!$B$2:$B$2657,$B141,Data!$D$2:$D$2657,"Distribution")+SUMIFS(Data!$G$2:$G$2657,Data!$A$2:$A$2657,$A141,Data!$B$2:$B$2657,$B141,Data!$D$2:$D$2657,"Distribution"))/$D141,0)</f>
        <v>0.30610932757543</v>
      </c>
      <c r="G141" s="10" t="n">
        <f aca="false">IFERROR((SUMIFS(Data!$E$2:$E$2657,Data!$A$2:$A$2657,$A141,Data!$B$2:$B$2657,$B141,Data!$D$2:$D$2657,"RTO/market operation")+SUMIFS(Data!$G$2:$G$2657,Data!$A$2:$A$2657,$A141,Data!$B$2:$B$2657,$B141,Data!$D$2:$D$2657,"RTO/market operation"))/$D141,0)</f>
        <v>0</v>
      </c>
      <c r="H141" s="10" t="n">
        <f aca="false">IFERROR((SUMIFS(Data!$E$2:$E$2657,Data!$A$2:$A$2657,$A141,Data!$B$2:$B$2657,$B141,Data!$D$2:$D$2657,"Customer accounts, service &amp; sales")+SUMIFS(Data!$G$2:$G$2657,Data!$A$2:$A$2657,$A141,Data!$B$2:$B$2657,$B141,Data!$D$2:$D$2657,"Customer accounts, service &amp; sales"))/$D141,0)</f>
        <v>0.184192997824272</v>
      </c>
      <c r="I141" s="10" t="n">
        <f aca="false">IFERROR((SUMIFS(Data!$E$2:$E$2657,Data!$A$2:$A$2657,$A141,Data!$B$2:$B$2657,$B141,Data!$D$2:$D$2657,"A&amp;G and general")+SUMIFS(Data!$G$2:$G$2657,Data!$A$2:$A$2657,$A141,Data!$B$2:$B$2657,$B141,Data!$D$2:$D$2657,"A&amp;G and general"))/$D141,0)</f>
        <v>0.343121220436484</v>
      </c>
      <c r="J141" s="10" t="n">
        <f aca="false">IFERROR(SUMIFS(Data!$F$2:$F$2657,Data!$A$2:$A$2657,$A141,Data!$B$2:$B$2657,$B141)/$D141,0)</f>
        <v>0.0424756651612333</v>
      </c>
      <c r="K141" s="11" t="n">
        <f aca="false">SUM(E141:I141)</f>
        <v>1</v>
      </c>
    </row>
    <row r="142" customFormat="false" ht="15" hidden="false" customHeight="false" outlineLevel="0" collapsed="false">
      <c r="A142" s="7" t="n">
        <v>2002</v>
      </c>
      <c r="B142" s="12" t="s">
        <v>71</v>
      </c>
      <c r="C142" s="12" t="s">
        <v>72</v>
      </c>
      <c r="D142" s="9" t="n">
        <f aca="false">SUMIFS(Data!$E$2:$E$2657,Data!$A$2:$A$2657,$A142,Data!$B$2:$B$2657,$B142)+SUMIFS(Data!$G$2:$G$2657,Data!$A$2:$A$2657,$A142,Data!$B$2:$B$2657,$B142)</f>
        <v>58.213543</v>
      </c>
      <c r="E142" s="10" t="n">
        <f aca="false">IFERROR((SUMIFS(Data!$E$2:$E$2657,Data!$A$2:$A$2657,$A142,Data!$B$2:$B$2657,$B142,Data!$D$2:$D$2657,"Transmission")+SUMIFS(Data!$G$2:$G$2657,Data!$A$2:$A$2657,$A142,Data!$B$2:$B$2657,$B142,Data!$D$2:$D$2657,"Transmission"))/$D142,0)</f>
        <v>0.192867474154597</v>
      </c>
      <c r="F142" s="10" t="n">
        <f aca="false">IFERROR((SUMIFS(Data!$E$2:$E$2657,Data!$A$2:$A$2657,$A142,Data!$B$2:$B$2657,$B142,Data!$D$2:$D$2657,"Distribution")+SUMIFS(Data!$G$2:$G$2657,Data!$A$2:$A$2657,$A142,Data!$B$2:$B$2657,$B142,Data!$D$2:$D$2657,"Distribution"))/$D142,0)</f>
        <v>0.250969675561579</v>
      </c>
      <c r="G142" s="10" t="n">
        <f aca="false">IFERROR((SUMIFS(Data!$E$2:$E$2657,Data!$A$2:$A$2657,$A142,Data!$B$2:$B$2657,$B142,Data!$D$2:$D$2657,"RTO/market operation")+SUMIFS(Data!$G$2:$G$2657,Data!$A$2:$A$2657,$A142,Data!$B$2:$B$2657,$B142,Data!$D$2:$D$2657,"RTO/market operation"))/$D142,0)</f>
        <v>0</v>
      </c>
      <c r="H142" s="10" t="n">
        <f aca="false">IFERROR((SUMIFS(Data!$E$2:$E$2657,Data!$A$2:$A$2657,$A142,Data!$B$2:$B$2657,$B142,Data!$D$2:$D$2657,"Customer accounts, service &amp; sales")+SUMIFS(Data!$G$2:$G$2657,Data!$A$2:$A$2657,$A142,Data!$B$2:$B$2657,$B142,Data!$D$2:$D$2657,"Customer accounts, service &amp; sales"))/$D142,0)</f>
        <v>0.164694219006735</v>
      </c>
      <c r="I142" s="10" t="n">
        <f aca="false">IFERROR((SUMIFS(Data!$E$2:$E$2657,Data!$A$2:$A$2657,$A142,Data!$B$2:$B$2657,$B142,Data!$D$2:$D$2657,"A&amp;G and general")+SUMIFS(Data!$G$2:$G$2657,Data!$A$2:$A$2657,$A142,Data!$B$2:$B$2657,$B142,Data!$D$2:$D$2657,"A&amp;G and general"))/$D142,0)</f>
        <v>0.39146863127709</v>
      </c>
      <c r="J142" s="10" t="n">
        <f aca="false">IFERROR(SUMIFS(Data!$F$2:$F$2657,Data!$A$2:$A$2657,$A142,Data!$B$2:$B$2657,$B142)/$D142,0)</f>
        <v>0.176818425224522</v>
      </c>
      <c r="K142" s="11" t="n">
        <f aca="false">SUM(E142:I142)</f>
        <v>1</v>
      </c>
    </row>
    <row r="143" customFormat="false" ht="15" hidden="false" customHeight="false" outlineLevel="0" collapsed="false">
      <c r="A143" s="7" t="n">
        <v>2002</v>
      </c>
      <c r="B143" s="12" t="s">
        <v>73</v>
      </c>
      <c r="C143" s="12" t="s">
        <v>70</v>
      </c>
      <c r="D143" s="9" t="n">
        <f aca="false">SUMIFS(Data!$E$2:$E$2657,Data!$A$2:$A$2657,$A143,Data!$B$2:$B$2657,$B143)+SUMIFS(Data!$G$2:$G$2657,Data!$A$2:$A$2657,$A143,Data!$B$2:$B$2657,$B143)</f>
        <v>317.207375</v>
      </c>
      <c r="E143" s="10" t="n">
        <f aca="false">IFERROR((SUMIFS(Data!$E$2:$E$2657,Data!$A$2:$A$2657,$A143,Data!$B$2:$B$2657,$B143,Data!$D$2:$D$2657,"Transmission")+SUMIFS(Data!$G$2:$G$2657,Data!$A$2:$A$2657,$A143,Data!$B$2:$B$2657,$B143,Data!$D$2:$D$2657,"Transmission"))/$D143,0)</f>
        <v>0.0628683365259083</v>
      </c>
      <c r="F143" s="10" t="n">
        <f aca="false">IFERROR((SUMIFS(Data!$E$2:$E$2657,Data!$A$2:$A$2657,$A143,Data!$B$2:$B$2657,$B143,Data!$D$2:$D$2657,"Distribution")+SUMIFS(Data!$G$2:$G$2657,Data!$A$2:$A$2657,$A143,Data!$B$2:$B$2657,$B143,Data!$D$2:$D$2657,"Distribution"))/$D143,0)</f>
        <v>0.351388040709961</v>
      </c>
      <c r="G143" s="10" t="n">
        <f aca="false">IFERROR((SUMIFS(Data!$E$2:$E$2657,Data!$A$2:$A$2657,$A143,Data!$B$2:$B$2657,$B143,Data!$D$2:$D$2657,"RTO/market operation")+SUMIFS(Data!$G$2:$G$2657,Data!$A$2:$A$2657,$A143,Data!$B$2:$B$2657,$B143,Data!$D$2:$D$2657,"RTO/market operation"))/$D143,0)</f>
        <v>0</v>
      </c>
      <c r="H143" s="10" t="n">
        <f aca="false">IFERROR((SUMIFS(Data!$E$2:$E$2657,Data!$A$2:$A$2657,$A143,Data!$B$2:$B$2657,$B143,Data!$D$2:$D$2657,"Customer accounts, service &amp; sales")+SUMIFS(Data!$G$2:$G$2657,Data!$A$2:$A$2657,$A143,Data!$B$2:$B$2657,$B143,Data!$D$2:$D$2657,"Customer accounts, service &amp; sales"))/$D143,0)</f>
        <v>0.157035730963065</v>
      </c>
      <c r="I143" s="10" t="n">
        <f aca="false">IFERROR((SUMIFS(Data!$E$2:$E$2657,Data!$A$2:$A$2657,$A143,Data!$B$2:$B$2657,$B143,Data!$D$2:$D$2657,"A&amp;G and general")+SUMIFS(Data!$G$2:$G$2657,Data!$A$2:$A$2657,$A143,Data!$B$2:$B$2657,$B143,Data!$D$2:$D$2657,"A&amp;G and general"))/$D143,0)</f>
        <v>0.428707891801065</v>
      </c>
      <c r="J143" s="10" t="n">
        <f aca="false">IFERROR(SUMIFS(Data!$F$2:$F$2657,Data!$A$2:$A$2657,$A143,Data!$B$2:$B$2657,$B143)/$D143,0)</f>
        <v>0.00863326396493776</v>
      </c>
      <c r="K143" s="11" t="n">
        <f aca="false">SUM(E143:I143)</f>
        <v>1</v>
      </c>
    </row>
    <row r="144" customFormat="false" ht="15" hidden="false" customHeight="false" outlineLevel="0" collapsed="false">
      <c r="A144" s="7" t="n">
        <v>2002</v>
      </c>
      <c r="B144" s="12" t="s">
        <v>74</v>
      </c>
      <c r="C144" s="12" t="s">
        <v>65</v>
      </c>
      <c r="D144" s="9" t="n">
        <f aca="false">SUMIFS(Data!$E$2:$E$2657,Data!$A$2:$A$2657,$A144,Data!$B$2:$B$2657,$B144)+SUMIFS(Data!$G$2:$G$2657,Data!$A$2:$A$2657,$A144,Data!$B$2:$B$2657,$B144)</f>
        <v>210.134863</v>
      </c>
      <c r="E144" s="10" t="n">
        <f aca="false">IFERROR((SUMIFS(Data!$E$2:$E$2657,Data!$A$2:$A$2657,$A144,Data!$B$2:$B$2657,$B144,Data!$D$2:$D$2657,"Transmission")+SUMIFS(Data!$G$2:$G$2657,Data!$A$2:$A$2657,$A144,Data!$B$2:$B$2657,$B144,Data!$D$2:$D$2657,"Transmission"))/$D144,0)</f>
        <v>0.135553404101251</v>
      </c>
      <c r="F144" s="10" t="n">
        <f aca="false">IFERROR((SUMIFS(Data!$E$2:$E$2657,Data!$A$2:$A$2657,$A144,Data!$B$2:$B$2657,$B144,Data!$D$2:$D$2657,"Distribution")+SUMIFS(Data!$G$2:$G$2657,Data!$A$2:$A$2657,$A144,Data!$B$2:$B$2657,$B144,Data!$D$2:$D$2657,"Distribution"))/$D144,0)</f>
        <v>0.30897174354167</v>
      </c>
      <c r="G144" s="10" t="n">
        <f aca="false">IFERROR((SUMIFS(Data!$E$2:$E$2657,Data!$A$2:$A$2657,$A144,Data!$B$2:$B$2657,$B144,Data!$D$2:$D$2657,"RTO/market operation")+SUMIFS(Data!$G$2:$G$2657,Data!$A$2:$A$2657,$A144,Data!$B$2:$B$2657,$B144,Data!$D$2:$D$2657,"RTO/market operation"))/$D144,0)</f>
        <v>0</v>
      </c>
      <c r="H144" s="10" t="n">
        <f aca="false">IFERROR((SUMIFS(Data!$E$2:$E$2657,Data!$A$2:$A$2657,$A144,Data!$B$2:$B$2657,$B144,Data!$D$2:$D$2657,"Customer accounts, service &amp; sales")+SUMIFS(Data!$G$2:$G$2657,Data!$A$2:$A$2657,$A144,Data!$B$2:$B$2657,$B144,Data!$D$2:$D$2657,"Customer accounts, service &amp; sales"))/$D144,0)</f>
        <v>0.132328755938038</v>
      </c>
      <c r="I144" s="10" t="n">
        <f aca="false">IFERROR((SUMIFS(Data!$E$2:$E$2657,Data!$A$2:$A$2657,$A144,Data!$B$2:$B$2657,$B144,Data!$D$2:$D$2657,"A&amp;G and general")+SUMIFS(Data!$G$2:$G$2657,Data!$A$2:$A$2657,$A144,Data!$B$2:$B$2657,$B144,Data!$D$2:$D$2657,"A&amp;G and general"))/$D144,0)</f>
        <v>0.423146096419041</v>
      </c>
      <c r="J144" s="10" t="n">
        <f aca="false">IFERROR(SUMIFS(Data!$F$2:$F$2657,Data!$A$2:$A$2657,$A144,Data!$B$2:$B$2657,$B144)/$D144,0)</f>
        <v>0</v>
      </c>
      <c r="K144" s="11" t="n">
        <f aca="false">SUM(E144:I144)</f>
        <v>1</v>
      </c>
    </row>
    <row r="145" customFormat="false" ht="15" hidden="false" customHeight="false" outlineLevel="0" collapsed="false">
      <c r="A145" s="7" t="n">
        <v>2002</v>
      </c>
      <c r="B145" s="12" t="s">
        <v>75</v>
      </c>
      <c r="C145" s="12" t="s">
        <v>57</v>
      </c>
      <c r="D145" s="9" t="n">
        <f aca="false">SUMIFS(Data!$E$2:$E$2657,Data!$A$2:$A$2657,$A145,Data!$B$2:$B$2657,$B145)+SUMIFS(Data!$G$2:$G$2657,Data!$A$2:$A$2657,$A145,Data!$B$2:$B$2657,$B145)</f>
        <v>547.483216</v>
      </c>
      <c r="E145" s="10" t="n">
        <f aca="false">IFERROR((SUMIFS(Data!$E$2:$E$2657,Data!$A$2:$A$2657,$A145,Data!$B$2:$B$2657,$B145,Data!$D$2:$D$2657,"Transmission")+SUMIFS(Data!$G$2:$G$2657,Data!$A$2:$A$2657,$A145,Data!$B$2:$B$2657,$B145,Data!$D$2:$D$2657,"Transmission"))/$D145,0)</f>
        <v>0.207795098872949</v>
      </c>
      <c r="F145" s="10" t="n">
        <f aca="false">IFERROR((SUMIFS(Data!$E$2:$E$2657,Data!$A$2:$A$2657,$A145,Data!$B$2:$B$2657,$B145,Data!$D$2:$D$2657,"Distribution")+SUMIFS(Data!$G$2:$G$2657,Data!$A$2:$A$2657,$A145,Data!$B$2:$B$2657,$B145,Data!$D$2:$D$2657,"Distribution"))/$D145,0)</f>
        <v>0.269066989991525</v>
      </c>
      <c r="G145" s="10" t="n">
        <f aca="false">IFERROR((SUMIFS(Data!$E$2:$E$2657,Data!$A$2:$A$2657,$A145,Data!$B$2:$B$2657,$B145,Data!$D$2:$D$2657,"RTO/market operation")+SUMIFS(Data!$G$2:$G$2657,Data!$A$2:$A$2657,$A145,Data!$B$2:$B$2657,$B145,Data!$D$2:$D$2657,"RTO/market operation"))/$D145,0)</f>
        <v>0</v>
      </c>
      <c r="H145" s="10" t="n">
        <f aca="false">IFERROR((SUMIFS(Data!$E$2:$E$2657,Data!$A$2:$A$2657,$A145,Data!$B$2:$B$2657,$B145,Data!$D$2:$D$2657,"Customer accounts, service &amp; sales")+SUMIFS(Data!$G$2:$G$2657,Data!$A$2:$A$2657,$A145,Data!$B$2:$B$2657,$B145,Data!$D$2:$D$2657,"Customer accounts, service &amp; sales"))/$D145,0)</f>
        <v>0.197396816635928</v>
      </c>
      <c r="I145" s="10" t="n">
        <f aca="false">IFERROR((SUMIFS(Data!$E$2:$E$2657,Data!$A$2:$A$2657,$A145,Data!$B$2:$B$2657,$B145,Data!$D$2:$D$2657,"A&amp;G and general")+SUMIFS(Data!$G$2:$G$2657,Data!$A$2:$A$2657,$A145,Data!$B$2:$B$2657,$B145,Data!$D$2:$D$2657,"A&amp;G and general"))/$D145,0)</f>
        <v>0.325741094499598</v>
      </c>
      <c r="J145" s="10" t="n">
        <f aca="false">IFERROR(SUMIFS(Data!$F$2:$F$2657,Data!$A$2:$A$2657,$A145,Data!$B$2:$B$2657,$B145)/$D145,0)</f>
        <v>0.0637669539078619</v>
      </c>
      <c r="K145" s="11" t="n">
        <f aca="false">SUM(E145:I145)</f>
        <v>1</v>
      </c>
    </row>
    <row r="146" customFormat="false" ht="15" hidden="false" customHeight="false" outlineLevel="0" collapsed="false">
      <c r="A146" s="7" t="n">
        <v>2002</v>
      </c>
      <c r="B146" s="12" t="s">
        <v>76</v>
      </c>
      <c r="C146" s="12" t="s">
        <v>72</v>
      </c>
      <c r="D146" s="9" t="n">
        <f aca="false">SUMIFS(Data!$E$2:$E$2657,Data!$A$2:$A$2657,$A146,Data!$B$2:$B$2657,$B146)+SUMIFS(Data!$G$2:$G$2657,Data!$A$2:$A$2657,$A146,Data!$B$2:$B$2657,$B146)</f>
        <v>104.943716</v>
      </c>
      <c r="E146" s="10" t="n">
        <f aca="false">IFERROR((SUMIFS(Data!$E$2:$E$2657,Data!$A$2:$A$2657,$A146,Data!$B$2:$B$2657,$B146,Data!$D$2:$D$2657,"Transmission")+SUMIFS(Data!$G$2:$G$2657,Data!$A$2:$A$2657,$A146,Data!$B$2:$B$2657,$B146,Data!$D$2:$D$2657,"Transmission"))/$D146,0)</f>
        <v>0.273290741867765</v>
      </c>
      <c r="F146" s="10" t="n">
        <f aca="false">IFERROR((SUMIFS(Data!$E$2:$E$2657,Data!$A$2:$A$2657,$A146,Data!$B$2:$B$2657,$B146,Data!$D$2:$D$2657,"Distribution")+SUMIFS(Data!$G$2:$G$2657,Data!$A$2:$A$2657,$A146,Data!$B$2:$B$2657,$B146,Data!$D$2:$D$2657,"Distribution"))/$D146,0)</f>
        <v>0.344338559537953</v>
      </c>
      <c r="G146" s="10" t="n">
        <f aca="false">IFERROR((SUMIFS(Data!$E$2:$E$2657,Data!$A$2:$A$2657,$A146,Data!$B$2:$B$2657,$B146,Data!$D$2:$D$2657,"RTO/market operation")+SUMIFS(Data!$G$2:$G$2657,Data!$A$2:$A$2657,$A146,Data!$B$2:$B$2657,$B146,Data!$D$2:$D$2657,"RTO/market operation"))/$D146,0)</f>
        <v>0</v>
      </c>
      <c r="H146" s="10" t="n">
        <f aca="false">IFERROR((SUMIFS(Data!$E$2:$E$2657,Data!$A$2:$A$2657,$A146,Data!$B$2:$B$2657,$B146,Data!$D$2:$D$2657,"Customer accounts, service &amp; sales")+SUMIFS(Data!$G$2:$G$2657,Data!$A$2:$A$2657,$A146,Data!$B$2:$B$2657,$B146,Data!$D$2:$D$2657,"Customer accounts, service &amp; sales"))/$D146,0)</f>
        <v>0.141808252720916</v>
      </c>
      <c r="I146" s="10" t="n">
        <f aca="false">IFERROR((SUMIFS(Data!$E$2:$E$2657,Data!$A$2:$A$2657,$A146,Data!$B$2:$B$2657,$B146,Data!$D$2:$D$2657,"A&amp;G and general")+SUMIFS(Data!$G$2:$G$2657,Data!$A$2:$A$2657,$A146,Data!$B$2:$B$2657,$B146,Data!$D$2:$D$2657,"A&amp;G and general"))/$D146,0)</f>
        <v>0.240562445873367</v>
      </c>
      <c r="J146" s="10" t="n">
        <f aca="false">IFERROR(SUMIFS(Data!$F$2:$F$2657,Data!$A$2:$A$2657,$A146,Data!$B$2:$B$2657,$B146)/$D146,0)</f>
        <v>0</v>
      </c>
      <c r="K146" s="11" t="n">
        <f aca="false">SUM(E146:I146)</f>
        <v>1</v>
      </c>
    </row>
    <row r="147" customFormat="false" ht="15" hidden="false" customHeight="false" outlineLevel="0" collapsed="false">
      <c r="A147" s="7" t="n">
        <v>2002</v>
      </c>
      <c r="B147" s="12" t="s">
        <v>77</v>
      </c>
      <c r="C147" s="12" t="s">
        <v>57</v>
      </c>
      <c r="D147" s="9" t="n">
        <f aca="false">SUMIFS(Data!$E$2:$E$2657,Data!$A$2:$A$2657,$A147,Data!$B$2:$B$2657,$B147)+SUMIFS(Data!$G$2:$G$2657,Data!$A$2:$A$2657,$A147,Data!$B$2:$B$2657,$B147)</f>
        <v>70.567976</v>
      </c>
      <c r="E147" s="10" t="n">
        <f aca="false">IFERROR((SUMIFS(Data!$E$2:$E$2657,Data!$A$2:$A$2657,$A147,Data!$B$2:$B$2657,$B147,Data!$D$2:$D$2657,"Transmission")+SUMIFS(Data!$G$2:$G$2657,Data!$A$2:$A$2657,$A147,Data!$B$2:$B$2657,$B147,Data!$D$2:$D$2657,"Transmission"))/$D147,0)</f>
        <v>0.108070734521279</v>
      </c>
      <c r="F147" s="10" t="n">
        <f aca="false">IFERROR((SUMIFS(Data!$E$2:$E$2657,Data!$A$2:$A$2657,$A147,Data!$B$2:$B$2657,$B147,Data!$D$2:$D$2657,"Distribution")+SUMIFS(Data!$G$2:$G$2657,Data!$A$2:$A$2657,$A147,Data!$B$2:$B$2657,$B147,Data!$D$2:$D$2657,"Distribution"))/$D147,0)</f>
        <v>0.226122823757904</v>
      </c>
      <c r="G147" s="10" t="n">
        <f aca="false">IFERROR((SUMIFS(Data!$E$2:$E$2657,Data!$A$2:$A$2657,$A147,Data!$B$2:$B$2657,$B147,Data!$D$2:$D$2657,"RTO/market operation")+SUMIFS(Data!$G$2:$G$2657,Data!$A$2:$A$2657,$A147,Data!$B$2:$B$2657,$B147,Data!$D$2:$D$2657,"RTO/market operation"))/$D147,0)</f>
        <v>0</v>
      </c>
      <c r="H147" s="10" t="n">
        <f aca="false">IFERROR((SUMIFS(Data!$E$2:$E$2657,Data!$A$2:$A$2657,$A147,Data!$B$2:$B$2657,$B147,Data!$D$2:$D$2657,"Customer accounts, service &amp; sales")+SUMIFS(Data!$G$2:$G$2657,Data!$A$2:$A$2657,$A147,Data!$B$2:$B$2657,$B147,Data!$D$2:$D$2657,"Customer accounts, service &amp; sales"))/$D147,0)</f>
        <v>0.191668512640918</v>
      </c>
      <c r="I147" s="10" t="n">
        <f aca="false">IFERROR((SUMIFS(Data!$E$2:$E$2657,Data!$A$2:$A$2657,$A147,Data!$B$2:$B$2657,$B147,Data!$D$2:$D$2657,"A&amp;G and general")+SUMIFS(Data!$G$2:$G$2657,Data!$A$2:$A$2657,$A147,Data!$B$2:$B$2657,$B147,Data!$D$2:$D$2657,"A&amp;G and general"))/$D147,0)</f>
        <v>0.474137929079899</v>
      </c>
      <c r="J147" s="10" t="n">
        <f aca="false">IFERROR(SUMIFS(Data!$F$2:$F$2657,Data!$A$2:$A$2657,$A147,Data!$B$2:$B$2657,$B147)/$D147,0)</f>
        <v>0</v>
      </c>
      <c r="K147" s="11" t="n">
        <f aca="false">SUM(E147:I147)</f>
        <v>1</v>
      </c>
    </row>
    <row r="148" customFormat="false" ht="15" hidden="false" customHeight="false" outlineLevel="0" collapsed="false">
      <c r="A148" s="7" t="n">
        <v>2002</v>
      </c>
      <c r="B148" s="12" t="s">
        <v>78</v>
      </c>
      <c r="C148" s="12" t="s">
        <v>65</v>
      </c>
      <c r="D148" s="9" t="n">
        <f aca="false">SUMIFS(Data!$E$2:$E$2657,Data!$A$2:$A$2657,$A148,Data!$B$2:$B$2657,$B148)+SUMIFS(Data!$G$2:$G$2657,Data!$A$2:$A$2657,$A148,Data!$B$2:$B$2657,$B148)</f>
        <v>52.725316</v>
      </c>
      <c r="E148" s="10" t="n">
        <f aca="false">IFERROR((SUMIFS(Data!$E$2:$E$2657,Data!$A$2:$A$2657,$A148,Data!$B$2:$B$2657,$B148,Data!$D$2:$D$2657,"Transmission")+SUMIFS(Data!$G$2:$G$2657,Data!$A$2:$A$2657,$A148,Data!$B$2:$B$2657,$B148,Data!$D$2:$D$2657,"Transmission"))/$D148,0)</f>
        <v>0.0887234891109993</v>
      </c>
      <c r="F148" s="10" t="n">
        <f aca="false">IFERROR((SUMIFS(Data!$E$2:$E$2657,Data!$A$2:$A$2657,$A148,Data!$B$2:$B$2657,$B148,Data!$D$2:$D$2657,"Distribution")+SUMIFS(Data!$G$2:$G$2657,Data!$A$2:$A$2657,$A148,Data!$B$2:$B$2657,$B148,Data!$D$2:$D$2657,"Distribution"))/$D148,0)</f>
        <v>0.320413366512588</v>
      </c>
      <c r="G148" s="10" t="n">
        <f aca="false">IFERROR((SUMIFS(Data!$E$2:$E$2657,Data!$A$2:$A$2657,$A148,Data!$B$2:$B$2657,$B148,Data!$D$2:$D$2657,"RTO/market operation")+SUMIFS(Data!$G$2:$G$2657,Data!$A$2:$A$2657,$A148,Data!$B$2:$B$2657,$B148,Data!$D$2:$D$2657,"RTO/market operation"))/$D148,0)</f>
        <v>0</v>
      </c>
      <c r="H148" s="10" t="n">
        <f aca="false">IFERROR((SUMIFS(Data!$E$2:$E$2657,Data!$A$2:$A$2657,$A148,Data!$B$2:$B$2657,$B148,Data!$D$2:$D$2657,"Customer accounts, service &amp; sales")+SUMIFS(Data!$G$2:$G$2657,Data!$A$2:$A$2657,$A148,Data!$B$2:$B$2657,$B148,Data!$D$2:$D$2657,"Customer accounts, service &amp; sales"))/$D148,0)</f>
        <v>0.0863892973159232</v>
      </c>
      <c r="I148" s="10" t="n">
        <f aca="false">IFERROR((SUMIFS(Data!$E$2:$E$2657,Data!$A$2:$A$2657,$A148,Data!$B$2:$B$2657,$B148,Data!$D$2:$D$2657,"A&amp;G and general")+SUMIFS(Data!$G$2:$G$2657,Data!$A$2:$A$2657,$A148,Data!$B$2:$B$2657,$B148,Data!$D$2:$D$2657,"A&amp;G and general"))/$D148,0)</f>
        <v>0.50447384706049</v>
      </c>
      <c r="J148" s="10" t="n">
        <f aca="false">IFERROR(SUMIFS(Data!$F$2:$F$2657,Data!$A$2:$A$2657,$A148,Data!$B$2:$B$2657,$B148)/$D148,0)</f>
        <v>0</v>
      </c>
      <c r="K148" s="11" t="n">
        <f aca="false">SUM(E148:I148)</f>
        <v>1</v>
      </c>
    </row>
    <row r="149" customFormat="false" ht="15" hidden="false" customHeight="false" outlineLevel="0" collapsed="false">
      <c r="A149" s="7" t="n">
        <v>2002</v>
      </c>
      <c r="B149" s="12" t="s">
        <v>79</v>
      </c>
      <c r="C149" s="12" t="s">
        <v>72</v>
      </c>
      <c r="D149" s="9" t="n">
        <f aca="false">SUMIFS(Data!$E$2:$E$2657,Data!$A$2:$A$2657,$A149,Data!$B$2:$B$2657,$B149)+SUMIFS(Data!$G$2:$G$2657,Data!$A$2:$A$2657,$A149,Data!$B$2:$B$2657,$B149)</f>
        <v>486.575576</v>
      </c>
      <c r="E149" s="10" t="n">
        <f aca="false">IFERROR((SUMIFS(Data!$E$2:$E$2657,Data!$A$2:$A$2657,$A149,Data!$B$2:$B$2657,$B149,Data!$D$2:$D$2657,"Transmission")+SUMIFS(Data!$G$2:$G$2657,Data!$A$2:$A$2657,$A149,Data!$B$2:$B$2657,$B149,Data!$D$2:$D$2657,"Transmission"))/$D149,0)</f>
        <v>0.147742594461831</v>
      </c>
      <c r="F149" s="10" t="n">
        <f aca="false">IFERROR((SUMIFS(Data!$E$2:$E$2657,Data!$A$2:$A$2657,$A149,Data!$B$2:$B$2657,$B149,Data!$D$2:$D$2657,"Distribution")+SUMIFS(Data!$G$2:$G$2657,Data!$A$2:$A$2657,$A149,Data!$B$2:$B$2657,$B149,Data!$D$2:$D$2657,"Distribution"))/$D149,0)</f>
        <v>0.304773622669462</v>
      </c>
      <c r="G149" s="10" t="n">
        <f aca="false">IFERROR((SUMIFS(Data!$E$2:$E$2657,Data!$A$2:$A$2657,$A149,Data!$B$2:$B$2657,$B149,Data!$D$2:$D$2657,"RTO/market operation")+SUMIFS(Data!$G$2:$G$2657,Data!$A$2:$A$2657,$A149,Data!$B$2:$B$2657,$B149,Data!$D$2:$D$2657,"RTO/market operation"))/$D149,0)</f>
        <v>0</v>
      </c>
      <c r="H149" s="10" t="n">
        <f aca="false">IFERROR((SUMIFS(Data!$E$2:$E$2657,Data!$A$2:$A$2657,$A149,Data!$B$2:$B$2657,$B149,Data!$D$2:$D$2657,"Customer accounts, service &amp; sales")+SUMIFS(Data!$G$2:$G$2657,Data!$A$2:$A$2657,$A149,Data!$B$2:$B$2657,$B149,Data!$D$2:$D$2657,"Customer accounts, service &amp; sales"))/$D149,0)</f>
        <v>0.154430702456796</v>
      </c>
      <c r="I149" s="10" t="n">
        <f aca="false">IFERROR((SUMIFS(Data!$E$2:$E$2657,Data!$A$2:$A$2657,$A149,Data!$B$2:$B$2657,$B149,Data!$D$2:$D$2657,"A&amp;G and general")+SUMIFS(Data!$G$2:$G$2657,Data!$A$2:$A$2657,$A149,Data!$B$2:$B$2657,$B149,Data!$D$2:$D$2657,"A&amp;G and general"))/$D149,0)</f>
        <v>0.393053080411911</v>
      </c>
      <c r="J149" s="10" t="n">
        <f aca="false">IFERROR(SUMIFS(Data!$F$2:$F$2657,Data!$A$2:$A$2657,$A149,Data!$B$2:$B$2657,$B149)/$D149,0)</f>
        <v>0.145403574469591</v>
      </c>
      <c r="K149" s="11" t="n">
        <f aca="false">SUM(E149:I149)</f>
        <v>1</v>
      </c>
    </row>
    <row r="150" customFormat="false" ht="15" hidden="false" customHeight="false" outlineLevel="0" collapsed="false">
      <c r="A150" s="7" t="n">
        <v>2002</v>
      </c>
      <c r="B150" s="12" t="s">
        <v>80</v>
      </c>
      <c r="C150" s="12" t="s">
        <v>72</v>
      </c>
      <c r="D150" s="9" t="n">
        <f aca="false">SUMIFS(Data!$E$2:$E$2657,Data!$A$2:$A$2657,$A150,Data!$B$2:$B$2657,$B150)+SUMIFS(Data!$G$2:$G$2657,Data!$A$2:$A$2657,$A150,Data!$B$2:$B$2657,$B150)</f>
        <v>207.748088</v>
      </c>
      <c r="E150" s="10" t="n">
        <f aca="false">IFERROR((SUMIFS(Data!$E$2:$E$2657,Data!$A$2:$A$2657,$A150,Data!$B$2:$B$2657,$B150,Data!$D$2:$D$2657,"Transmission")+SUMIFS(Data!$G$2:$G$2657,Data!$A$2:$A$2657,$A150,Data!$B$2:$B$2657,$B150,Data!$D$2:$D$2657,"Transmission"))/$D150,0)</f>
        <v>0.223249833230715</v>
      </c>
      <c r="F150" s="10" t="n">
        <f aca="false">IFERROR((SUMIFS(Data!$E$2:$E$2657,Data!$A$2:$A$2657,$A150,Data!$B$2:$B$2657,$B150,Data!$D$2:$D$2657,"Distribution")+SUMIFS(Data!$G$2:$G$2657,Data!$A$2:$A$2657,$A150,Data!$B$2:$B$2657,$B150,Data!$D$2:$D$2657,"Distribution"))/$D150,0)</f>
        <v>0.255462336673828</v>
      </c>
      <c r="G150" s="10" t="n">
        <f aca="false">IFERROR((SUMIFS(Data!$E$2:$E$2657,Data!$A$2:$A$2657,$A150,Data!$B$2:$B$2657,$B150,Data!$D$2:$D$2657,"RTO/market operation")+SUMIFS(Data!$G$2:$G$2657,Data!$A$2:$A$2657,$A150,Data!$B$2:$B$2657,$B150,Data!$D$2:$D$2657,"RTO/market operation"))/$D150,0)</f>
        <v>0</v>
      </c>
      <c r="H150" s="10" t="n">
        <f aca="false">IFERROR((SUMIFS(Data!$E$2:$E$2657,Data!$A$2:$A$2657,$A150,Data!$B$2:$B$2657,$B150,Data!$D$2:$D$2657,"Customer accounts, service &amp; sales")+SUMIFS(Data!$G$2:$G$2657,Data!$A$2:$A$2657,$A150,Data!$B$2:$B$2657,$B150,Data!$D$2:$D$2657,"Customer accounts, service &amp; sales"))/$D150,0)</f>
        <v>0.162713925915891</v>
      </c>
      <c r="I150" s="10" t="n">
        <f aca="false">IFERROR((SUMIFS(Data!$E$2:$E$2657,Data!$A$2:$A$2657,$A150,Data!$B$2:$B$2657,$B150,Data!$D$2:$D$2657,"A&amp;G and general")+SUMIFS(Data!$G$2:$G$2657,Data!$A$2:$A$2657,$A150,Data!$B$2:$B$2657,$B150,Data!$D$2:$D$2657,"A&amp;G and general"))/$D150,0)</f>
        <v>0.358573904179566</v>
      </c>
      <c r="J150" s="10" t="n">
        <f aca="false">IFERROR(SUMIFS(Data!$F$2:$F$2657,Data!$A$2:$A$2657,$A150,Data!$B$2:$B$2657,$B150)/$D150,0)</f>
        <v>0.223261972933296</v>
      </c>
      <c r="K150" s="11" t="n">
        <f aca="false">SUM(E150:I150)</f>
        <v>1</v>
      </c>
    </row>
    <row r="151" customFormat="false" ht="15" hidden="false" customHeight="false" outlineLevel="0" collapsed="false">
      <c r="A151" s="7" t="n">
        <v>2002</v>
      </c>
      <c r="B151" s="12" t="s">
        <v>81</v>
      </c>
      <c r="C151" s="12" t="s">
        <v>72</v>
      </c>
      <c r="D151" s="9" t="n">
        <f aca="false">SUMIFS(Data!$E$2:$E$2657,Data!$A$2:$A$2657,$A151,Data!$B$2:$B$2657,$B151)+SUMIFS(Data!$G$2:$G$2657,Data!$A$2:$A$2657,$A151,Data!$B$2:$B$2657,$B151)</f>
        <v>192.04166</v>
      </c>
      <c r="E151" s="10" t="n">
        <f aca="false">IFERROR((SUMIFS(Data!$E$2:$E$2657,Data!$A$2:$A$2657,$A151,Data!$B$2:$B$2657,$B151,Data!$D$2:$D$2657,"Transmission")+SUMIFS(Data!$G$2:$G$2657,Data!$A$2:$A$2657,$A151,Data!$B$2:$B$2657,$B151,Data!$D$2:$D$2657,"Transmission"))/$D151,0)</f>
        <v>0.193838868087268</v>
      </c>
      <c r="F151" s="10" t="n">
        <f aca="false">IFERROR((SUMIFS(Data!$E$2:$E$2657,Data!$A$2:$A$2657,$A151,Data!$B$2:$B$2657,$B151,Data!$D$2:$D$2657,"Distribution")+SUMIFS(Data!$G$2:$G$2657,Data!$A$2:$A$2657,$A151,Data!$B$2:$B$2657,$B151,Data!$D$2:$D$2657,"Distribution"))/$D151,0)</f>
        <v>0.306028629413014</v>
      </c>
      <c r="G151" s="10" t="n">
        <f aca="false">IFERROR((SUMIFS(Data!$E$2:$E$2657,Data!$A$2:$A$2657,$A151,Data!$B$2:$B$2657,$B151,Data!$D$2:$D$2657,"RTO/market operation")+SUMIFS(Data!$G$2:$G$2657,Data!$A$2:$A$2657,$A151,Data!$B$2:$B$2657,$B151,Data!$D$2:$D$2657,"RTO/market operation"))/$D151,0)</f>
        <v>0</v>
      </c>
      <c r="H151" s="10" t="n">
        <f aca="false">IFERROR((SUMIFS(Data!$E$2:$E$2657,Data!$A$2:$A$2657,$A151,Data!$B$2:$B$2657,$B151,Data!$D$2:$D$2657,"Customer accounts, service &amp; sales")+SUMIFS(Data!$G$2:$G$2657,Data!$A$2:$A$2657,$A151,Data!$B$2:$B$2657,$B151,Data!$D$2:$D$2657,"Customer accounts, service &amp; sales"))/$D151,0)</f>
        <v>0.210367255729824</v>
      </c>
      <c r="I151" s="10" t="n">
        <f aca="false">IFERROR((SUMIFS(Data!$E$2:$E$2657,Data!$A$2:$A$2657,$A151,Data!$B$2:$B$2657,$B151,Data!$D$2:$D$2657,"A&amp;G and general")+SUMIFS(Data!$G$2:$G$2657,Data!$A$2:$A$2657,$A151,Data!$B$2:$B$2657,$B151,Data!$D$2:$D$2657,"A&amp;G and general"))/$D151,0)</f>
        <v>0.289765246769894</v>
      </c>
      <c r="J151" s="10" t="n">
        <f aca="false">IFERROR(SUMIFS(Data!$F$2:$F$2657,Data!$A$2:$A$2657,$A151,Data!$B$2:$B$2657,$B151)/$D151,0)</f>
        <v>0.187991345211242</v>
      </c>
      <c r="K151" s="11" t="n">
        <f aca="false">SUM(E151:I151)</f>
        <v>1</v>
      </c>
    </row>
    <row r="152" customFormat="false" ht="15" hidden="false" customHeight="false" outlineLevel="0" collapsed="false">
      <c r="A152" s="7" t="n">
        <v>2003</v>
      </c>
      <c r="B152" s="12" t="s">
        <v>56</v>
      </c>
      <c r="C152" s="12" t="s">
        <v>57</v>
      </c>
      <c r="D152" s="9" t="n">
        <f aca="false">SUMIFS(Data!$E$2:$E$2657,Data!$A$2:$A$2657,$A152,Data!$B$2:$B$2657,$B152)+SUMIFS(Data!$G$2:$G$2657,Data!$A$2:$A$2657,$A152,Data!$B$2:$B$2657,$B152)</f>
        <v>103.259232</v>
      </c>
      <c r="E152" s="10" t="n">
        <f aca="false">IFERROR((SUMIFS(Data!$E$2:$E$2657,Data!$A$2:$A$2657,$A152,Data!$B$2:$B$2657,$B152,Data!$D$2:$D$2657,"Transmission")+SUMIFS(Data!$G$2:$G$2657,Data!$A$2:$A$2657,$A152,Data!$B$2:$B$2657,$B152,Data!$D$2:$D$2657,"Transmission"))/$D152,0)</f>
        <v>0.117672500217705</v>
      </c>
      <c r="F152" s="10" t="n">
        <f aca="false">IFERROR((SUMIFS(Data!$E$2:$E$2657,Data!$A$2:$A$2657,$A152,Data!$B$2:$B$2657,$B152,Data!$D$2:$D$2657,"Distribution")+SUMIFS(Data!$G$2:$G$2657,Data!$A$2:$A$2657,$A152,Data!$B$2:$B$2657,$B152,Data!$D$2:$D$2657,"Distribution"))/$D152,0)</f>
        <v>0.225370822049112</v>
      </c>
      <c r="G152" s="10" t="n">
        <f aca="false">IFERROR((SUMIFS(Data!$E$2:$E$2657,Data!$A$2:$A$2657,$A152,Data!$B$2:$B$2657,$B152,Data!$D$2:$D$2657,"RTO/market operation")+SUMIFS(Data!$G$2:$G$2657,Data!$A$2:$A$2657,$A152,Data!$B$2:$B$2657,$B152,Data!$D$2:$D$2657,"RTO/market operation"))/$D152,0)</f>
        <v>0</v>
      </c>
      <c r="H152" s="10" t="n">
        <f aca="false">IFERROR((SUMIFS(Data!$E$2:$E$2657,Data!$A$2:$A$2657,$A152,Data!$B$2:$B$2657,$B152,Data!$D$2:$D$2657,"Customer accounts, service &amp; sales")+SUMIFS(Data!$G$2:$G$2657,Data!$A$2:$A$2657,$A152,Data!$B$2:$B$2657,$B152,Data!$D$2:$D$2657,"Customer accounts, service &amp; sales"))/$D152,0)</f>
        <v>0.140730428829841</v>
      </c>
      <c r="I152" s="10" t="n">
        <f aca="false">IFERROR((SUMIFS(Data!$E$2:$E$2657,Data!$A$2:$A$2657,$A152,Data!$B$2:$B$2657,$B152,Data!$D$2:$D$2657,"A&amp;G and general")+SUMIFS(Data!$G$2:$G$2657,Data!$A$2:$A$2657,$A152,Data!$B$2:$B$2657,$B152,Data!$D$2:$D$2657,"A&amp;G and general"))/$D152,0)</f>
        <v>0.516226248903343</v>
      </c>
      <c r="J152" s="10" t="n">
        <f aca="false">IFERROR(SUMIFS(Data!$F$2:$F$2657,Data!$A$2:$A$2657,$A152,Data!$B$2:$B$2657,$B152)/$D152,0)</f>
        <v>-0.000133150322094203</v>
      </c>
      <c r="K152" s="11" t="n">
        <f aca="false">SUM(E152:I152)</f>
        <v>1</v>
      </c>
    </row>
    <row r="153" customFormat="false" ht="15" hidden="false" customHeight="false" outlineLevel="0" collapsed="false">
      <c r="A153" s="7" t="n">
        <v>2003</v>
      </c>
      <c r="B153" s="12" t="s">
        <v>58</v>
      </c>
      <c r="C153" s="12" t="s">
        <v>59</v>
      </c>
      <c r="D153" s="9" t="n">
        <f aca="false">SUMIFS(Data!$E$2:$E$2657,Data!$A$2:$A$2657,$A153,Data!$B$2:$B$2657,$B153)+SUMIFS(Data!$G$2:$G$2657,Data!$A$2:$A$2657,$A153,Data!$B$2:$B$2657,$B153)</f>
        <v>512.707742</v>
      </c>
      <c r="E153" s="10" t="n">
        <f aca="false">IFERROR((SUMIFS(Data!$E$2:$E$2657,Data!$A$2:$A$2657,$A153,Data!$B$2:$B$2657,$B153,Data!$D$2:$D$2657,"Transmission")+SUMIFS(Data!$G$2:$G$2657,Data!$A$2:$A$2657,$A153,Data!$B$2:$B$2657,$B153,Data!$D$2:$D$2657,"Transmission"))/$D153,0)</f>
        <v>0.124997297193144</v>
      </c>
      <c r="F153" s="10" t="n">
        <f aca="false">IFERROR((SUMIFS(Data!$E$2:$E$2657,Data!$A$2:$A$2657,$A153,Data!$B$2:$B$2657,$B153,Data!$D$2:$D$2657,"Distribution")+SUMIFS(Data!$G$2:$G$2657,Data!$A$2:$A$2657,$A153,Data!$B$2:$B$2657,$B153,Data!$D$2:$D$2657,"Distribution"))/$D153,0)</f>
        <v>0.423653198901763</v>
      </c>
      <c r="G153" s="10" t="n">
        <f aca="false">IFERROR((SUMIFS(Data!$E$2:$E$2657,Data!$A$2:$A$2657,$A153,Data!$B$2:$B$2657,$B153,Data!$D$2:$D$2657,"RTO/market operation")+SUMIFS(Data!$G$2:$G$2657,Data!$A$2:$A$2657,$A153,Data!$B$2:$B$2657,$B153,Data!$D$2:$D$2657,"RTO/market operation"))/$D153,0)</f>
        <v>0</v>
      </c>
      <c r="H153" s="10" t="n">
        <f aca="false">IFERROR((SUMIFS(Data!$E$2:$E$2657,Data!$A$2:$A$2657,$A153,Data!$B$2:$B$2657,$B153,Data!$D$2:$D$2657,"Customer accounts, service &amp; sales")+SUMIFS(Data!$G$2:$G$2657,Data!$A$2:$A$2657,$A153,Data!$B$2:$B$2657,$B153,Data!$D$2:$D$2657,"Customer accounts, service &amp; sales"))/$D153,0)</f>
        <v>0.10016744393144</v>
      </c>
      <c r="I153" s="10" t="n">
        <f aca="false">IFERROR((SUMIFS(Data!$E$2:$E$2657,Data!$A$2:$A$2657,$A153,Data!$B$2:$B$2657,$B153,Data!$D$2:$D$2657,"A&amp;G and general")+SUMIFS(Data!$G$2:$G$2657,Data!$A$2:$A$2657,$A153,Data!$B$2:$B$2657,$B153,Data!$D$2:$D$2657,"A&amp;G and general"))/$D153,0)</f>
        <v>0.351182059973653</v>
      </c>
      <c r="J153" s="10" t="n">
        <f aca="false">IFERROR(SUMIFS(Data!$F$2:$F$2657,Data!$A$2:$A$2657,$A153,Data!$B$2:$B$2657,$B153)/$D153,0)</f>
        <v>0.0591260995625847</v>
      </c>
      <c r="K153" s="11" t="n">
        <f aca="false">SUM(E153:I153)</f>
        <v>1</v>
      </c>
    </row>
    <row r="154" customFormat="false" ht="15" hidden="false" customHeight="false" outlineLevel="0" collapsed="false">
      <c r="A154" s="7" t="n">
        <v>2003</v>
      </c>
      <c r="B154" s="12" t="s">
        <v>60</v>
      </c>
      <c r="C154" s="12" t="s">
        <v>59</v>
      </c>
      <c r="D154" s="9" t="n">
        <f aca="false">SUMIFS(Data!$E$2:$E$2657,Data!$A$2:$A$2657,$A154,Data!$B$2:$B$2657,$B154)+SUMIFS(Data!$G$2:$G$2657,Data!$A$2:$A$2657,$A154,Data!$B$2:$B$2657,$B154)</f>
        <v>1379.891643</v>
      </c>
      <c r="E154" s="10" t="n">
        <f aca="false">IFERROR((SUMIFS(Data!$E$2:$E$2657,Data!$A$2:$A$2657,$A154,Data!$B$2:$B$2657,$B154,Data!$D$2:$D$2657,"Transmission")+SUMIFS(Data!$G$2:$G$2657,Data!$A$2:$A$2657,$A154,Data!$B$2:$B$2657,$B154,Data!$D$2:$D$2657,"Transmission"))/$D154,0)</f>
        <v>0.0612127549496291</v>
      </c>
      <c r="F154" s="10" t="n">
        <f aca="false">IFERROR((SUMIFS(Data!$E$2:$E$2657,Data!$A$2:$A$2657,$A154,Data!$B$2:$B$2657,$B154,Data!$D$2:$D$2657,"Distribution")+SUMIFS(Data!$G$2:$G$2657,Data!$A$2:$A$2657,$A154,Data!$B$2:$B$2657,$B154,Data!$D$2:$D$2657,"Distribution"))/$D154,0)</f>
        <v>0.376454442372473</v>
      </c>
      <c r="G154" s="10" t="n">
        <f aca="false">IFERROR((SUMIFS(Data!$E$2:$E$2657,Data!$A$2:$A$2657,$A154,Data!$B$2:$B$2657,$B154,Data!$D$2:$D$2657,"RTO/market operation")+SUMIFS(Data!$G$2:$G$2657,Data!$A$2:$A$2657,$A154,Data!$B$2:$B$2657,$B154,Data!$D$2:$D$2657,"RTO/market operation"))/$D154,0)</f>
        <v>0</v>
      </c>
      <c r="H154" s="10" t="n">
        <f aca="false">IFERROR((SUMIFS(Data!$E$2:$E$2657,Data!$A$2:$A$2657,$A154,Data!$B$2:$B$2657,$B154,Data!$D$2:$D$2657,"Customer accounts, service &amp; sales")+SUMIFS(Data!$G$2:$G$2657,Data!$A$2:$A$2657,$A154,Data!$B$2:$B$2657,$B154,Data!$D$2:$D$2657,"Customer accounts, service &amp; sales"))/$D154,0)</f>
        <v>0.140657247969144</v>
      </c>
      <c r="I154" s="10" t="n">
        <f aca="false">IFERROR((SUMIFS(Data!$E$2:$E$2657,Data!$A$2:$A$2657,$A154,Data!$B$2:$B$2657,$B154,Data!$D$2:$D$2657,"A&amp;G and general")+SUMIFS(Data!$G$2:$G$2657,Data!$A$2:$A$2657,$A154,Data!$B$2:$B$2657,$B154,Data!$D$2:$D$2657,"A&amp;G and general"))/$D154,0)</f>
        <v>0.421675554708755</v>
      </c>
      <c r="J154" s="10" t="n">
        <f aca="false">IFERROR(SUMIFS(Data!$F$2:$F$2657,Data!$A$2:$A$2657,$A154,Data!$B$2:$B$2657,$B154)/$D154,0)</f>
        <v>0.0011590533272039</v>
      </c>
      <c r="K154" s="11" t="n">
        <f aca="false">SUM(E154:I154)</f>
        <v>1</v>
      </c>
    </row>
    <row r="155" customFormat="false" ht="15" hidden="false" customHeight="false" outlineLevel="0" collapsed="false">
      <c r="A155" s="7" t="n">
        <v>2003</v>
      </c>
      <c r="B155" s="12" t="s">
        <v>63</v>
      </c>
      <c r="C155" s="12" t="s">
        <v>62</v>
      </c>
      <c r="D155" s="9" t="n">
        <f aca="false">SUMIFS(Data!$E$2:$E$2657,Data!$A$2:$A$2657,$A155,Data!$B$2:$B$2657,$B155)+SUMIFS(Data!$G$2:$G$2657,Data!$A$2:$A$2657,$A155,Data!$B$2:$B$2657,$B155)</f>
        <v>1246.493546</v>
      </c>
      <c r="E155" s="10" t="n">
        <f aca="false">IFERROR((SUMIFS(Data!$E$2:$E$2657,Data!$A$2:$A$2657,$A155,Data!$B$2:$B$2657,$B155,Data!$D$2:$D$2657,"Transmission")+SUMIFS(Data!$G$2:$G$2657,Data!$A$2:$A$2657,$A155,Data!$B$2:$B$2657,$B155,Data!$D$2:$D$2657,"Transmission"))/$D155,0)</f>
        <v>0.0791597857178155</v>
      </c>
      <c r="F155" s="10" t="n">
        <f aca="false">IFERROR((SUMIFS(Data!$E$2:$E$2657,Data!$A$2:$A$2657,$A155,Data!$B$2:$B$2657,$B155,Data!$D$2:$D$2657,"Distribution")+SUMIFS(Data!$G$2:$G$2657,Data!$A$2:$A$2657,$A155,Data!$B$2:$B$2657,$B155,Data!$D$2:$D$2657,"Distribution"))/$D155,0)</f>
        <v>0.316399460924285</v>
      </c>
      <c r="G155" s="10" t="n">
        <f aca="false">IFERROR((SUMIFS(Data!$E$2:$E$2657,Data!$A$2:$A$2657,$A155,Data!$B$2:$B$2657,$B155,Data!$D$2:$D$2657,"RTO/market operation")+SUMIFS(Data!$G$2:$G$2657,Data!$A$2:$A$2657,$A155,Data!$B$2:$B$2657,$B155,Data!$D$2:$D$2657,"RTO/market operation"))/$D155,0)</f>
        <v>0</v>
      </c>
      <c r="H155" s="10" t="n">
        <f aca="false">IFERROR((SUMIFS(Data!$E$2:$E$2657,Data!$A$2:$A$2657,$A155,Data!$B$2:$B$2657,$B155,Data!$D$2:$D$2657,"Customer accounts, service &amp; sales")+SUMIFS(Data!$G$2:$G$2657,Data!$A$2:$A$2657,$A155,Data!$B$2:$B$2657,$B155,Data!$D$2:$D$2657,"Customer accounts, service &amp; sales"))/$D155,0)</f>
        <v>0.136675045407736</v>
      </c>
      <c r="I155" s="10" t="n">
        <f aca="false">IFERROR((SUMIFS(Data!$E$2:$E$2657,Data!$A$2:$A$2657,$A155,Data!$B$2:$B$2657,$B155,Data!$D$2:$D$2657,"A&amp;G and general")+SUMIFS(Data!$G$2:$G$2657,Data!$A$2:$A$2657,$A155,Data!$B$2:$B$2657,$B155,Data!$D$2:$D$2657,"A&amp;G and general"))/$D155,0)</f>
        <v>0.467765707950164</v>
      </c>
      <c r="J155" s="10" t="n">
        <f aca="false">IFERROR(SUMIFS(Data!$F$2:$F$2657,Data!$A$2:$A$2657,$A155,Data!$B$2:$B$2657,$B155)/$D155,0)</f>
        <v>0.07337123669311</v>
      </c>
      <c r="K155" s="11" t="n">
        <f aca="false">SUM(E155:I155)</f>
        <v>1</v>
      </c>
    </row>
    <row r="156" customFormat="false" ht="15" hidden="false" customHeight="false" outlineLevel="0" collapsed="false">
      <c r="A156" s="7" t="n">
        <v>2003</v>
      </c>
      <c r="B156" s="12" t="s">
        <v>64</v>
      </c>
      <c r="C156" s="12" t="s">
        <v>65</v>
      </c>
      <c r="D156" s="9" t="n">
        <f aca="false">SUMIFS(Data!$E$2:$E$2657,Data!$A$2:$A$2657,$A156,Data!$B$2:$B$2657,$B156)+SUMIFS(Data!$G$2:$G$2657,Data!$A$2:$A$2657,$A156,Data!$B$2:$B$2657,$B156)</f>
        <v>384.941136</v>
      </c>
      <c r="E156" s="10" t="n">
        <f aca="false">IFERROR((SUMIFS(Data!$E$2:$E$2657,Data!$A$2:$A$2657,$A156,Data!$B$2:$B$2657,$B156,Data!$D$2:$D$2657,"Transmission")+SUMIFS(Data!$G$2:$G$2657,Data!$A$2:$A$2657,$A156,Data!$B$2:$B$2657,$B156,Data!$D$2:$D$2657,"Transmission"))/$D156,0)</f>
        <v>0.0951258012601698</v>
      </c>
      <c r="F156" s="10" t="n">
        <f aca="false">IFERROR((SUMIFS(Data!$E$2:$E$2657,Data!$A$2:$A$2657,$A156,Data!$B$2:$B$2657,$B156,Data!$D$2:$D$2657,"Distribution")+SUMIFS(Data!$G$2:$G$2657,Data!$A$2:$A$2657,$A156,Data!$B$2:$B$2657,$B156,Data!$D$2:$D$2657,"Distribution"))/$D156,0)</f>
        <v>0.25810413777134</v>
      </c>
      <c r="G156" s="10" t="n">
        <f aca="false">IFERROR((SUMIFS(Data!$E$2:$E$2657,Data!$A$2:$A$2657,$A156,Data!$B$2:$B$2657,$B156,Data!$D$2:$D$2657,"RTO/market operation")+SUMIFS(Data!$G$2:$G$2657,Data!$A$2:$A$2657,$A156,Data!$B$2:$B$2657,$B156,Data!$D$2:$D$2657,"RTO/market operation"))/$D156,0)</f>
        <v>0</v>
      </c>
      <c r="H156" s="10" t="n">
        <f aca="false">IFERROR((SUMIFS(Data!$E$2:$E$2657,Data!$A$2:$A$2657,$A156,Data!$B$2:$B$2657,$B156,Data!$D$2:$D$2657,"Customer accounts, service &amp; sales")+SUMIFS(Data!$G$2:$G$2657,Data!$A$2:$A$2657,$A156,Data!$B$2:$B$2657,$B156,Data!$D$2:$D$2657,"Customer accounts, service &amp; sales"))/$D156,0)</f>
        <v>0.114172079546209</v>
      </c>
      <c r="I156" s="10" t="n">
        <f aca="false">IFERROR((SUMIFS(Data!$E$2:$E$2657,Data!$A$2:$A$2657,$A156,Data!$B$2:$B$2657,$B156,Data!$D$2:$D$2657,"A&amp;G and general")+SUMIFS(Data!$G$2:$G$2657,Data!$A$2:$A$2657,$A156,Data!$B$2:$B$2657,$B156,Data!$D$2:$D$2657,"A&amp;G and general"))/$D156,0)</f>
        <v>0.532597981422282</v>
      </c>
      <c r="J156" s="10" t="n">
        <f aca="false">IFERROR(SUMIFS(Data!$F$2:$F$2657,Data!$A$2:$A$2657,$A156,Data!$B$2:$B$2657,$B156)/$D156,0)</f>
        <v>0.0107841345384298</v>
      </c>
      <c r="K156" s="11" t="n">
        <f aca="false">SUM(E156:I156)</f>
        <v>1</v>
      </c>
    </row>
    <row r="157" customFormat="false" ht="15" hidden="false" customHeight="false" outlineLevel="0" collapsed="false">
      <c r="A157" s="7" t="n">
        <v>2003</v>
      </c>
      <c r="B157" s="12" t="s">
        <v>66</v>
      </c>
      <c r="C157" s="12" t="s">
        <v>67</v>
      </c>
      <c r="D157" s="9" t="n">
        <f aca="false">SUMIFS(Data!$E$2:$E$2657,Data!$A$2:$A$2657,$A157,Data!$B$2:$B$2657,$B157)+SUMIFS(Data!$G$2:$G$2657,Data!$A$2:$A$2657,$A157,Data!$B$2:$B$2657,$B157)</f>
        <v>224.802699</v>
      </c>
      <c r="E157" s="10" t="n">
        <f aca="false">IFERROR((SUMIFS(Data!$E$2:$E$2657,Data!$A$2:$A$2657,$A157,Data!$B$2:$B$2657,$B157,Data!$D$2:$D$2657,"Transmission")+SUMIFS(Data!$G$2:$G$2657,Data!$A$2:$A$2657,$A157,Data!$B$2:$B$2657,$B157,Data!$D$2:$D$2657,"Transmission"))/$D157,0)</f>
        <v>-0.0372254205008455</v>
      </c>
      <c r="F157" s="10" t="n">
        <f aca="false">IFERROR((SUMIFS(Data!$E$2:$E$2657,Data!$A$2:$A$2657,$A157,Data!$B$2:$B$2657,$B157,Data!$D$2:$D$2657,"Distribution")+SUMIFS(Data!$G$2:$G$2657,Data!$A$2:$A$2657,$A157,Data!$B$2:$B$2657,$B157,Data!$D$2:$D$2657,"Distribution"))/$D157,0)</f>
        <v>0.37329003776774</v>
      </c>
      <c r="G157" s="10" t="n">
        <f aca="false">IFERROR((SUMIFS(Data!$E$2:$E$2657,Data!$A$2:$A$2657,$A157,Data!$B$2:$B$2657,$B157,Data!$D$2:$D$2657,"RTO/market operation")+SUMIFS(Data!$G$2:$G$2657,Data!$A$2:$A$2657,$A157,Data!$B$2:$B$2657,$B157,Data!$D$2:$D$2657,"RTO/market operation"))/$D157,0)</f>
        <v>0</v>
      </c>
      <c r="H157" s="10" t="n">
        <f aca="false">IFERROR((SUMIFS(Data!$E$2:$E$2657,Data!$A$2:$A$2657,$A157,Data!$B$2:$B$2657,$B157,Data!$D$2:$D$2657,"Customer accounts, service &amp; sales")+SUMIFS(Data!$G$2:$G$2657,Data!$A$2:$A$2657,$A157,Data!$B$2:$B$2657,$B157,Data!$D$2:$D$2657,"Customer accounts, service &amp; sales"))/$D157,0)</f>
        <v>0.0967043327179982</v>
      </c>
      <c r="I157" s="10" t="n">
        <f aca="false">IFERROR((SUMIFS(Data!$E$2:$E$2657,Data!$A$2:$A$2657,$A157,Data!$B$2:$B$2657,$B157,Data!$D$2:$D$2657,"A&amp;G and general")+SUMIFS(Data!$G$2:$G$2657,Data!$A$2:$A$2657,$A157,Data!$B$2:$B$2657,$B157,Data!$D$2:$D$2657,"A&amp;G and general"))/$D157,0)</f>
        <v>0.567231050015107</v>
      </c>
      <c r="J157" s="10" t="n">
        <f aca="false">IFERROR(SUMIFS(Data!$F$2:$F$2657,Data!$A$2:$A$2657,$A157,Data!$B$2:$B$2657,$B157)/$D157,0)</f>
        <v>-0.176851942511598</v>
      </c>
      <c r="K157" s="11" t="n">
        <f aca="false">SUM(E157:I157)</f>
        <v>1</v>
      </c>
    </row>
    <row r="158" customFormat="false" ht="15" hidden="false" customHeight="false" outlineLevel="0" collapsed="false">
      <c r="A158" s="7" t="n">
        <v>2003</v>
      </c>
      <c r="B158" s="12" t="s">
        <v>68</v>
      </c>
      <c r="C158" s="12" t="s">
        <v>65</v>
      </c>
      <c r="D158" s="9" t="n">
        <f aca="false">SUMIFS(Data!$E$2:$E$2657,Data!$A$2:$A$2657,$A158,Data!$B$2:$B$2657,$B158)+SUMIFS(Data!$G$2:$G$2657,Data!$A$2:$A$2657,$A158,Data!$B$2:$B$2657,$B158)</f>
        <v>197.123614</v>
      </c>
      <c r="E158" s="10" t="n">
        <f aca="false">IFERROR((SUMIFS(Data!$E$2:$E$2657,Data!$A$2:$A$2657,$A158,Data!$B$2:$B$2657,$B158,Data!$D$2:$D$2657,"Transmission")+SUMIFS(Data!$G$2:$G$2657,Data!$A$2:$A$2657,$A158,Data!$B$2:$B$2657,$B158,Data!$D$2:$D$2657,"Transmission"))/$D158,0)</f>
        <v>0.0746962309650025</v>
      </c>
      <c r="F158" s="10" t="n">
        <f aca="false">IFERROR((SUMIFS(Data!$E$2:$E$2657,Data!$A$2:$A$2657,$A158,Data!$B$2:$B$2657,$B158,Data!$D$2:$D$2657,"Distribution")+SUMIFS(Data!$G$2:$G$2657,Data!$A$2:$A$2657,$A158,Data!$B$2:$B$2657,$B158,Data!$D$2:$D$2657,"Distribution"))/$D158,0)</f>
        <v>0.42889332883274</v>
      </c>
      <c r="G158" s="10" t="n">
        <f aca="false">IFERROR((SUMIFS(Data!$E$2:$E$2657,Data!$A$2:$A$2657,$A158,Data!$B$2:$B$2657,$B158,Data!$D$2:$D$2657,"RTO/market operation")+SUMIFS(Data!$G$2:$G$2657,Data!$A$2:$A$2657,$A158,Data!$B$2:$B$2657,$B158,Data!$D$2:$D$2657,"RTO/market operation"))/$D158,0)</f>
        <v>0</v>
      </c>
      <c r="H158" s="10" t="n">
        <f aca="false">IFERROR((SUMIFS(Data!$E$2:$E$2657,Data!$A$2:$A$2657,$A158,Data!$B$2:$B$2657,$B158,Data!$D$2:$D$2657,"Customer accounts, service &amp; sales")+SUMIFS(Data!$G$2:$G$2657,Data!$A$2:$A$2657,$A158,Data!$B$2:$B$2657,$B158,Data!$D$2:$D$2657,"Customer accounts, service &amp; sales"))/$D158,0)</f>
        <v>0.0965383629786739</v>
      </c>
      <c r="I158" s="10" t="n">
        <f aca="false">IFERROR((SUMIFS(Data!$E$2:$E$2657,Data!$A$2:$A$2657,$A158,Data!$B$2:$B$2657,$B158,Data!$D$2:$D$2657,"A&amp;G and general")+SUMIFS(Data!$G$2:$G$2657,Data!$A$2:$A$2657,$A158,Data!$B$2:$B$2657,$B158,Data!$D$2:$D$2657,"A&amp;G and general"))/$D158,0)</f>
        <v>0.399872077223584</v>
      </c>
      <c r="J158" s="10" t="n">
        <f aca="false">IFERROR(SUMIFS(Data!$F$2:$F$2657,Data!$A$2:$A$2657,$A158,Data!$B$2:$B$2657,$B158)/$D158,0)</f>
        <v>0.019267686518775</v>
      </c>
      <c r="K158" s="11" t="n">
        <f aca="false">SUM(E158:I158)</f>
        <v>1</v>
      </c>
    </row>
    <row r="159" customFormat="false" ht="15" hidden="false" customHeight="false" outlineLevel="0" collapsed="false">
      <c r="A159" s="7" t="n">
        <v>2003</v>
      </c>
      <c r="B159" s="12" t="s">
        <v>69</v>
      </c>
      <c r="C159" s="12" t="s">
        <v>70</v>
      </c>
      <c r="D159" s="9" t="n">
        <f aca="false">SUMIFS(Data!$E$2:$E$2657,Data!$A$2:$A$2657,$A159,Data!$B$2:$B$2657,$B159)+SUMIFS(Data!$G$2:$G$2657,Data!$A$2:$A$2657,$A159,Data!$B$2:$B$2657,$B159)</f>
        <v>256.307922</v>
      </c>
      <c r="E159" s="10" t="n">
        <f aca="false">IFERROR((SUMIFS(Data!$E$2:$E$2657,Data!$A$2:$A$2657,$A159,Data!$B$2:$B$2657,$B159,Data!$D$2:$D$2657,"Transmission")+SUMIFS(Data!$G$2:$G$2657,Data!$A$2:$A$2657,$A159,Data!$B$2:$B$2657,$B159,Data!$D$2:$D$2657,"Transmission"))/$D159,0)</f>
        <v>0.150415264963991</v>
      </c>
      <c r="F159" s="10" t="n">
        <f aca="false">IFERROR((SUMIFS(Data!$E$2:$E$2657,Data!$A$2:$A$2657,$A159,Data!$B$2:$B$2657,$B159,Data!$D$2:$D$2657,"Distribution")+SUMIFS(Data!$G$2:$G$2657,Data!$A$2:$A$2657,$A159,Data!$B$2:$B$2657,$B159,Data!$D$2:$D$2657,"Distribution"))/$D159,0)</f>
        <v>0.281131329994552</v>
      </c>
      <c r="G159" s="10" t="n">
        <f aca="false">IFERROR((SUMIFS(Data!$E$2:$E$2657,Data!$A$2:$A$2657,$A159,Data!$B$2:$B$2657,$B159,Data!$D$2:$D$2657,"RTO/market operation")+SUMIFS(Data!$G$2:$G$2657,Data!$A$2:$A$2657,$A159,Data!$B$2:$B$2657,$B159,Data!$D$2:$D$2657,"RTO/market operation"))/$D159,0)</f>
        <v>0</v>
      </c>
      <c r="H159" s="10" t="n">
        <f aca="false">IFERROR((SUMIFS(Data!$E$2:$E$2657,Data!$A$2:$A$2657,$A159,Data!$B$2:$B$2657,$B159,Data!$D$2:$D$2657,"Customer accounts, service &amp; sales")+SUMIFS(Data!$G$2:$G$2657,Data!$A$2:$A$2657,$A159,Data!$B$2:$B$2657,$B159,Data!$D$2:$D$2657,"Customer accounts, service &amp; sales"))/$D159,0)</f>
        <v>0.168477980169493</v>
      </c>
      <c r="I159" s="10" t="n">
        <f aca="false">IFERROR((SUMIFS(Data!$E$2:$E$2657,Data!$A$2:$A$2657,$A159,Data!$B$2:$B$2657,$B159,Data!$D$2:$D$2657,"A&amp;G and general")+SUMIFS(Data!$G$2:$G$2657,Data!$A$2:$A$2657,$A159,Data!$B$2:$B$2657,$B159,Data!$D$2:$D$2657,"A&amp;G and general"))/$D159,0)</f>
        <v>0.399975424871963</v>
      </c>
      <c r="J159" s="10" t="n">
        <f aca="false">IFERROR(SUMIFS(Data!$F$2:$F$2657,Data!$A$2:$A$2657,$A159,Data!$B$2:$B$2657,$B159)/$D159,0)</f>
        <v>0.0467084782498451</v>
      </c>
      <c r="K159" s="11" t="n">
        <f aca="false">SUM(E159:I159)</f>
        <v>1</v>
      </c>
    </row>
    <row r="160" customFormat="false" ht="15" hidden="false" customHeight="false" outlineLevel="0" collapsed="false">
      <c r="A160" s="7" t="n">
        <v>2003</v>
      </c>
      <c r="B160" s="12" t="s">
        <v>71</v>
      </c>
      <c r="C160" s="12" t="s">
        <v>72</v>
      </c>
      <c r="D160" s="9" t="n">
        <f aca="false">SUMIFS(Data!$E$2:$E$2657,Data!$A$2:$A$2657,$A160,Data!$B$2:$B$2657,$B160)+SUMIFS(Data!$G$2:$G$2657,Data!$A$2:$A$2657,$A160,Data!$B$2:$B$2657,$B160)</f>
        <v>73.952418</v>
      </c>
      <c r="E160" s="10" t="n">
        <f aca="false">IFERROR((SUMIFS(Data!$E$2:$E$2657,Data!$A$2:$A$2657,$A160,Data!$B$2:$B$2657,$B160,Data!$D$2:$D$2657,"Transmission")+SUMIFS(Data!$G$2:$G$2657,Data!$A$2:$A$2657,$A160,Data!$B$2:$B$2657,$B160,Data!$D$2:$D$2657,"Transmission"))/$D160,0)</f>
        <v>0.241253004059989</v>
      </c>
      <c r="F160" s="10" t="n">
        <f aca="false">IFERROR((SUMIFS(Data!$E$2:$E$2657,Data!$A$2:$A$2657,$A160,Data!$B$2:$B$2657,$B160,Data!$D$2:$D$2657,"Distribution")+SUMIFS(Data!$G$2:$G$2657,Data!$A$2:$A$2657,$A160,Data!$B$2:$B$2657,$B160,Data!$D$2:$D$2657,"Distribution"))/$D160,0)</f>
        <v>0.249426597518421</v>
      </c>
      <c r="G160" s="10" t="n">
        <f aca="false">IFERROR((SUMIFS(Data!$E$2:$E$2657,Data!$A$2:$A$2657,$A160,Data!$B$2:$B$2657,$B160,Data!$D$2:$D$2657,"RTO/market operation")+SUMIFS(Data!$G$2:$G$2657,Data!$A$2:$A$2657,$A160,Data!$B$2:$B$2657,$B160,Data!$D$2:$D$2657,"RTO/market operation"))/$D160,0)</f>
        <v>0</v>
      </c>
      <c r="H160" s="10" t="n">
        <f aca="false">IFERROR((SUMIFS(Data!$E$2:$E$2657,Data!$A$2:$A$2657,$A160,Data!$B$2:$B$2657,$B160,Data!$D$2:$D$2657,"Customer accounts, service &amp; sales")+SUMIFS(Data!$G$2:$G$2657,Data!$A$2:$A$2657,$A160,Data!$B$2:$B$2657,$B160,Data!$D$2:$D$2657,"Customer accounts, service &amp; sales"))/$D160,0)</f>
        <v>0.126261185942561</v>
      </c>
      <c r="I160" s="10" t="n">
        <f aca="false">IFERROR((SUMIFS(Data!$E$2:$E$2657,Data!$A$2:$A$2657,$A160,Data!$B$2:$B$2657,$B160,Data!$D$2:$D$2657,"A&amp;G and general")+SUMIFS(Data!$G$2:$G$2657,Data!$A$2:$A$2657,$A160,Data!$B$2:$B$2657,$B160,Data!$D$2:$D$2657,"A&amp;G and general"))/$D160,0)</f>
        <v>0.383059212479029</v>
      </c>
      <c r="J160" s="10" t="n">
        <f aca="false">IFERROR(SUMIFS(Data!$F$2:$F$2657,Data!$A$2:$A$2657,$A160,Data!$B$2:$B$2657,$B160)/$D160,0)</f>
        <v>0.229217332690866</v>
      </c>
      <c r="K160" s="11" t="n">
        <f aca="false">SUM(E160:I160)</f>
        <v>1</v>
      </c>
    </row>
    <row r="161" customFormat="false" ht="15" hidden="false" customHeight="false" outlineLevel="0" collapsed="false">
      <c r="A161" s="7" t="n">
        <v>2003</v>
      </c>
      <c r="B161" s="12" t="s">
        <v>73</v>
      </c>
      <c r="C161" s="12" t="s">
        <v>70</v>
      </c>
      <c r="D161" s="9" t="n">
        <f aca="false">SUMIFS(Data!$E$2:$E$2657,Data!$A$2:$A$2657,$A161,Data!$B$2:$B$2657,$B161)+SUMIFS(Data!$G$2:$G$2657,Data!$A$2:$A$2657,$A161,Data!$B$2:$B$2657,$B161)</f>
        <v>334.639345</v>
      </c>
      <c r="E161" s="10" t="n">
        <f aca="false">IFERROR((SUMIFS(Data!$E$2:$E$2657,Data!$A$2:$A$2657,$A161,Data!$B$2:$B$2657,$B161,Data!$D$2:$D$2657,"Transmission")+SUMIFS(Data!$G$2:$G$2657,Data!$A$2:$A$2657,$A161,Data!$B$2:$B$2657,$B161,Data!$D$2:$D$2657,"Transmission"))/$D161,0)</f>
        <v>0.0540814260797695</v>
      </c>
      <c r="F161" s="10" t="n">
        <f aca="false">IFERROR((SUMIFS(Data!$E$2:$E$2657,Data!$A$2:$A$2657,$A161,Data!$B$2:$B$2657,$B161,Data!$D$2:$D$2657,"Distribution")+SUMIFS(Data!$G$2:$G$2657,Data!$A$2:$A$2657,$A161,Data!$B$2:$B$2657,$B161,Data!$D$2:$D$2657,"Distribution"))/$D161,0)</f>
        <v>0.349324927706872</v>
      </c>
      <c r="G161" s="10" t="n">
        <f aca="false">IFERROR((SUMIFS(Data!$E$2:$E$2657,Data!$A$2:$A$2657,$A161,Data!$B$2:$B$2657,$B161,Data!$D$2:$D$2657,"RTO/market operation")+SUMIFS(Data!$G$2:$G$2657,Data!$A$2:$A$2657,$A161,Data!$B$2:$B$2657,$B161,Data!$D$2:$D$2657,"RTO/market operation"))/$D161,0)</f>
        <v>0</v>
      </c>
      <c r="H161" s="10" t="n">
        <f aca="false">IFERROR((SUMIFS(Data!$E$2:$E$2657,Data!$A$2:$A$2657,$A161,Data!$B$2:$B$2657,$B161,Data!$D$2:$D$2657,"Customer accounts, service &amp; sales")+SUMIFS(Data!$G$2:$G$2657,Data!$A$2:$A$2657,$A161,Data!$B$2:$B$2657,$B161,Data!$D$2:$D$2657,"Customer accounts, service &amp; sales"))/$D161,0)</f>
        <v>0.149044114941117</v>
      </c>
      <c r="I161" s="10" t="n">
        <f aca="false">IFERROR((SUMIFS(Data!$E$2:$E$2657,Data!$A$2:$A$2657,$A161,Data!$B$2:$B$2657,$B161,Data!$D$2:$D$2657,"A&amp;G and general")+SUMIFS(Data!$G$2:$G$2657,Data!$A$2:$A$2657,$A161,Data!$B$2:$B$2657,$B161,Data!$D$2:$D$2657,"A&amp;G and general"))/$D161,0)</f>
        <v>0.447549531272242</v>
      </c>
      <c r="J161" s="10" t="n">
        <f aca="false">IFERROR(SUMIFS(Data!$F$2:$F$2657,Data!$A$2:$A$2657,$A161,Data!$B$2:$B$2657,$B161)/$D161,0)</f>
        <v>0.00652118775812211</v>
      </c>
      <c r="K161" s="11" t="n">
        <f aca="false">SUM(E161:I161)</f>
        <v>1</v>
      </c>
    </row>
    <row r="162" customFormat="false" ht="15" hidden="false" customHeight="false" outlineLevel="0" collapsed="false">
      <c r="A162" s="7" t="n">
        <v>2003</v>
      </c>
      <c r="B162" s="12" t="s">
        <v>74</v>
      </c>
      <c r="C162" s="12" t="s">
        <v>65</v>
      </c>
      <c r="D162" s="9" t="n">
        <f aca="false">SUMIFS(Data!$E$2:$E$2657,Data!$A$2:$A$2657,$A162,Data!$B$2:$B$2657,$B162)+SUMIFS(Data!$G$2:$G$2657,Data!$A$2:$A$2657,$A162,Data!$B$2:$B$2657,$B162)</f>
        <v>217.854079</v>
      </c>
      <c r="E162" s="10" t="n">
        <f aca="false">IFERROR((SUMIFS(Data!$E$2:$E$2657,Data!$A$2:$A$2657,$A162,Data!$B$2:$B$2657,$B162,Data!$D$2:$D$2657,"Transmission")+SUMIFS(Data!$G$2:$G$2657,Data!$A$2:$A$2657,$A162,Data!$B$2:$B$2657,$B162,Data!$D$2:$D$2657,"Transmission"))/$D162,0)</f>
        <v>0.151710668681122</v>
      </c>
      <c r="F162" s="10" t="n">
        <f aca="false">IFERROR((SUMIFS(Data!$E$2:$E$2657,Data!$A$2:$A$2657,$A162,Data!$B$2:$B$2657,$B162,Data!$D$2:$D$2657,"Distribution")+SUMIFS(Data!$G$2:$G$2657,Data!$A$2:$A$2657,$A162,Data!$B$2:$B$2657,$B162,Data!$D$2:$D$2657,"Distribution"))/$D162,0)</f>
        <v>0.299449825770763</v>
      </c>
      <c r="G162" s="10" t="n">
        <f aca="false">IFERROR((SUMIFS(Data!$E$2:$E$2657,Data!$A$2:$A$2657,$A162,Data!$B$2:$B$2657,$B162,Data!$D$2:$D$2657,"RTO/market operation")+SUMIFS(Data!$G$2:$G$2657,Data!$A$2:$A$2657,$A162,Data!$B$2:$B$2657,$B162,Data!$D$2:$D$2657,"RTO/market operation"))/$D162,0)</f>
        <v>0</v>
      </c>
      <c r="H162" s="10" t="n">
        <f aca="false">IFERROR((SUMIFS(Data!$E$2:$E$2657,Data!$A$2:$A$2657,$A162,Data!$B$2:$B$2657,$B162,Data!$D$2:$D$2657,"Customer accounts, service &amp; sales")+SUMIFS(Data!$G$2:$G$2657,Data!$A$2:$A$2657,$A162,Data!$B$2:$B$2657,$B162,Data!$D$2:$D$2657,"Customer accounts, service &amp; sales"))/$D162,0)</f>
        <v>0.0964098725918279</v>
      </c>
      <c r="I162" s="10" t="n">
        <f aca="false">IFERROR((SUMIFS(Data!$E$2:$E$2657,Data!$A$2:$A$2657,$A162,Data!$B$2:$B$2657,$B162,Data!$D$2:$D$2657,"A&amp;G and general")+SUMIFS(Data!$G$2:$G$2657,Data!$A$2:$A$2657,$A162,Data!$B$2:$B$2657,$B162,Data!$D$2:$D$2657,"A&amp;G and general"))/$D162,0)</f>
        <v>0.452429632956287</v>
      </c>
      <c r="J162" s="10" t="n">
        <f aca="false">IFERROR(SUMIFS(Data!$F$2:$F$2657,Data!$A$2:$A$2657,$A162,Data!$B$2:$B$2657,$B162)/$D162,0)</f>
        <v>0.016029619532623</v>
      </c>
      <c r="K162" s="11" t="n">
        <f aca="false">SUM(E162:I162)</f>
        <v>1</v>
      </c>
    </row>
    <row r="163" customFormat="false" ht="15" hidden="false" customHeight="false" outlineLevel="0" collapsed="false">
      <c r="A163" s="7" t="n">
        <v>2003</v>
      </c>
      <c r="B163" s="12" t="s">
        <v>75</v>
      </c>
      <c r="C163" s="12" t="s">
        <v>57</v>
      </c>
      <c r="D163" s="9" t="n">
        <f aca="false">SUMIFS(Data!$E$2:$E$2657,Data!$A$2:$A$2657,$A163,Data!$B$2:$B$2657,$B163)+SUMIFS(Data!$G$2:$G$2657,Data!$A$2:$A$2657,$A163,Data!$B$2:$B$2657,$B163)</f>
        <v>603.253688</v>
      </c>
      <c r="E163" s="10" t="n">
        <f aca="false">IFERROR((SUMIFS(Data!$E$2:$E$2657,Data!$A$2:$A$2657,$A163,Data!$B$2:$B$2657,$B163,Data!$D$2:$D$2657,"Transmission")+SUMIFS(Data!$G$2:$G$2657,Data!$A$2:$A$2657,$A163,Data!$B$2:$B$2657,$B163,Data!$D$2:$D$2657,"Transmission"))/$D163,0)</f>
        <v>0.204997990828694</v>
      </c>
      <c r="F163" s="10" t="n">
        <f aca="false">IFERROR((SUMIFS(Data!$E$2:$E$2657,Data!$A$2:$A$2657,$A163,Data!$B$2:$B$2657,$B163,Data!$D$2:$D$2657,"Distribution")+SUMIFS(Data!$G$2:$G$2657,Data!$A$2:$A$2657,$A163,Data!$B$2:$B$2657,$B163,Data!$D$2:$D$2657,"Distribution"))/$D163,0)</f>
        <v>0.268693884885126</v>
      </c>
      <c r="G163" s="10" t="n">
        <f aca="false">IFERROR((SUMIFS(Data!$E$2:$E$2657,Data!$A$2:$A$2657,$A163,Data!$B$2:$B$2657,$B163,Data!$D$2:$D$2657,"RTO/market operation")+SUMIFS(Data!$G$2:$G$2657,Data!$A$2:$A$2657,$A163,Data!$B$2:$B$2657,$B163,Data!$D$2:$D$2657,"RTO/market operation"))/$D163,0)</f>
        <v>0</v>
      </c>
      <c r="H163" s="10" t="n">
        <f aca="false">IFERROR((SUMIFS(Data!$E$2:$E$2657,Data!$A$2:$A$2657,$A163,Data!$B$2:$B$2657,$B163,Data!$D$2:$D$2657,"Customer accounts, service &amp; sales")+SUMIFS(Data!$G$2:$G$2657,Data!$A$2:$A$2657,$A163,Data!$B$2:$B$2657,$B163,Data!$D$2:$D$2657,"Customer accounts, service &amp; sales"))/$D163,0)</f>
        <v>0.181980309749884</v>
      </c>
      <c r="I163" s="10" t="n">
        <f aca="false">IFERROR((SUMIFS(Data!$E$2:$E$2657,Data!$A$2:$A$2657,$A163,Data!$B$2:$B$2657,$B163,Data!$D$2:$D$2657,"A&amp;G and general")+SUMIFS(Data!$G$2:$G$2657,Data!$A$2:$A$2657,$A163,Data!$B$2:$B$2657,$B163,Data!$D$2:$D$2657,"A&amp;G and general"))/$D163,0)</f>
        <v>0.344327814536295</v>
      </c>
      <c r="J163" s="10" t="n">
        <f aca="false">IFERROR(SUMIFS(Data!$F$2:$F$2657,Data!$A$2:$A$2657,$A163,Data!$B$2:$B$2657,$B163)/$D163,0)</f>
        <v>0.0697647090058072</v>
      </c>
      <c r="K163" s="11" t="n">
        <f aca="false">SUM(E163:I163)</f>
        <v>1</v>
      </c>
    </row>
    <row r="164" customFormat="false" ht="15" hidden="false" customHeight="false" outlineLevel="0" collapsed="false">
      <c r="A164" s="7" t="n">
        <v>2003</v>
      </c>
      <c r="B164" s="12" t="s">
        <v>76</v>
      </c>
      <c r="C164" s="12" t="s">
        <v>72</v>
      </c>
      <c r="D164" s="9" t="n">
        <f aca="false">SUMIFS(Data!$E$2:$E$2657,Data!$A$2:$A$2657,$A164,Data!$B$2:$B$2657,$B164)+SUMIFS(Data!$G$2:$G$2657,Data!$A$2:$A$2657,$A164,Data!$B$2:$B$2657,$B164)</f>
        <v>110.947021</v>
      </c>
      <c r="E164" s="10" t="n">
        <f aca="false">IFERROR((SUMIFS(Data!$E$2:$E$2657,Data!$A$2:$A$2657,$A164,Data!$B$2:$B$2657,$B164,Data!$D$2:$D$2657,"Transmission")+SUMIFS(Data!$G$2:$G$2657,Data!$A$2:$A$2657,$A164,Data!$B$2:$B$2657,$B164,Data!$D$2:$D$2657,"Transmission"))/$D164,0)</f>
        <v>0.277956196768907</v>
      </c>
      <c r="F164" s="10" t="n">
        <f aca="false">IFERROR((SUMIFS(Data!$E$2:$E$2657,Data!$A$2:$A$2657,$A164,Data!$B$2:$B$2657,$B164,Data!$D$2:$D$2657,"Distribution")+SUMIFS(Data!$G$2:$G$2657,Data!$A$2:$A$2657,$A164,Data!$B$2:$B$2657,$B164,Data!$D$2:$D$2657,"Distribution"))/$D164,0)</f>
        <v>0.302983511382428</v>
      </c>
      <c r="G164" s="10" t="n">
        <f aca="false">IFERROR((SUMIFS(Data!$E$2:$E$2657,Data!$A$2:$A$2657,$A164,Data!$B$2:$B$2657,$B164,Data!$D$2:$D$2657,"RTO/market operation")+SUMIFS(Data!$G$2:$G$2657,Data!$A$2:$A$2657,$A164,Data!$B$2:$B$2657,$B164,Data!$D$2:$D$2657,"RTO/market operation"))/$D164,0)</f>
        <v>0</v>
      </c>
      <c r="H164" s="10" t="n">
        <f aca="false">IFERROR((SUMIFS(Data!$E$2:$E$2657,Data!$A$2:$A$2657,$A164,Data!$B$2:$B$2657,$B164,Data!$D$2:$D$2657,"Customer accounts, service &amp; sales")+SUMIFS(Data!$G$2:$G$2657,Data!$A$2:$A$2657,$A164,Data!$B$2:$B$2657,$B164,Data!$D$2:$D$2657,"Customer accounts, service &amp; sales"))/$D164,0)</f>
        <v>0.166480405093527</v>
      </c>
      <c r="I164" s="10" t="n">
        <f aca="false">IFERROR((SUMIFS(Data!$E$2:$E$2657,Data!$A$2:$A$2657,$A164,Data!$B$2:$B$2657,$B164,Data!$D$2:$D$2657,"A&amp;G and general")+SUMIFS(Data!$G$2:$G$2657,Data!$A$2:$A$2657,$A164,Data!$B$2:$B$2657,$B164,Data!$D$2:$D$2657,"A&amp;G and general"))/$D164,0)</f>
        <v>0.252579886755139</v>
      </c>
      <c r="J164" s="10" t="n">
        <f aca="false">IFERROR(SUMIFS(Data!$F$2:$F$2657,Data!$A$2:$A$2657,$A164,Data!$B$2:$B$2657,$B164)/$D164,0)</f>
        <v>0</v>
      </c>
      <c r="K164" s="11" t="n">
        <f aca="false">SUM(E164:I164)</f>
        <v>1</v>
      </c>
    </row>
    <row r="165" customFormat="false" ht="15" hidden="false" customHeight="false" outlineLevel="0" collapsed="false">
      <c r="A165" s="7" t="n">
        <v>2003</v>
      </c>
      <c r="B165" s="12" t="s">
        <v>77</v>
      </c>
      <c r="C165" s="12" t="s">
        <v>57</v>
      </c>
      <c r="D165" s="9" t="n">
        <f aca="false">SUMIFS(Data!$E$2:$E$2657,Data!$A$2:$A$2657,$A165,Data!$B$2:$B$2657,$B165)+SUMIFS(Data!$G$2:$G$2657,Data!$A$2:$A$2657,$A165,Data!$B$2:$B$2657,$B165)</f>
        <v>75.035732</v>
      </c>
      <c r="E165" s="10" t="n">
        <f aca="false">IFERROR((SUMIFS(Data!$E$2:$E$2657,Data!$A$2:$A$2657,$A165,Data!$B$2:$B$2657,$B165,Data!$D$2:$D$2657,"Transmission")+SUMIFS(Data!$G$2:$G$2657,Data!$A$2:$A$2657,$A165,Data!$B$2:$B$2657,$B165,Data!$D$2:$D$2657,"Transmission"))/$D165,0)</f>
        <v>0.1221095437571</v>
      </c>
      <c r="F165" s="10" t="n">
        <f aca="false">IFERROR((SUMIFS(Data!$E$2:$E$2657,Data!$A$2:$A$2657,$A165,Data!$B$2:$B$2657,$B165,Data!$D$2:$D$2657,"Distribution")+SUMIFS(Data!$G$2:$G$2657,Data!$A$2:$A$2657,$A165,Data!$B$2:$B$2657,$B165,Data!$D$2:$D$2657,"Distribution"))/$D165,0)</f>
        <v>0.238618928912428</v>
      </c>
      <c r="G165" s="10" t="n">
        <f aca="false">IFERROR((SUMIFS(Data!$E$2:$E$2657,Data!$A$2:$A$2657,$A165,Data!$B$2:$B$2657,$B165,Data!$D$2:$D$2657,"RTO/market operation")+SUMIFS(Data!$G$2:$G$2657,Data!$A$2:$A$2657,$A165,Data!$B$2:$B$2657,$B165,Data!$D$2:$D$2657,"RTO/market operation"))/$D165,0)</f>
        <v>0</v>
      </c>
      <c r="H165" s="10" t="n">
        <f aca="false">IFERROR((SUMIFS(Data!$E$2:$E$2657,Data!$A$2:$A$2657,$A165,Data!$B$2:$B$2657,$B165,Data!$D$2:$D$2657,"Customer accounts, service &amp; sales")+SUMIFS(Data!$G$2:$G$2657,Data!$A$2:$A$2657,$A165,Data!$B$2:$B$2657,$B165,Data!$D$2:$D$2657,"Customer accounts, service &amp; sales"))/$D165,0)</f>
        <v>0.189653377406913</v>
      </c>
      <c r="I165" s="10" t="n">
        <f aca="false">IFERROR((SUMIFS(Data!$E$2:$E$2657,Data!$A$2:$A$2657,$A165,Data!$B$2:$B$2657,$B165,Data!$D$2:$D$2657,"A&amp;G and general")+SUMIFS(Data!$G$2:$G$2657,Data!$A$2:$A$2657,$A165,Data!$B$2:$B$2657,$B165,Data!$D$2:$D$2657,"A&amp;G and general"))/$D165,0)</f>
        <v>0.449618149923559</v>
      </c>
      <c r="J165" s="10" t="n">
        <f aca="false">IFERROR(SUMIFS(Data!$F$2:$F$2657,Data!$A$2:$A$2657,$A165,Data!$B$2:$B$2657,$B165)/$D165,0)</f>
        <v>0</v>
      </c>
      <c r="K165" s="11" t="n">
        <f aca="false">SUM(E165:I165)</f>
        <v>1</v>
      </c>
    </row>
    <row r="166" customFormat="false" ht="15" hidden="false" customHeight="false" outlineLevel="0" collapsed="false">
      <c r="A166" s="7" t="n">
        <v>2003</v>
      </c>
      <c r="B166" s="12" t="s">
        <v>78</v>
      </c>
      <c r="C166" s="12" t="s">
        <v>65</v>
      </c>
      <c r="D166" s="9" t="n">
        <f aca="false">SUMIFS(Data!$E$2:$E$2657,Data!$A$2:$A$2657,$A166,Data!$B$2:$B$2657,$B166)+SUMIFS(Data!$G$2:$G$2657,Data!$A$2:$A$2657,$A166,Data!$B$2:$B$2657,$B166)</f>
        <v>56.847525</v>
      </c>
      <c r="E166" s="10" t="n">
        <f aca="false">IFERROR((SUMIFS(Data!$E$2:$E$2657,Data!$A$2:$A$2657,$A166,Data!$B$2:$B$2657,$B166,Data!$D$2:$D$2657,"Transmission")+SUMIFS(Data!$G$2:$G$2657,Data!$A$2:$A$2657,$A166,Data!$B$2:$B$2657,$B166,Data!$D$2:$D$2657,"Transmission"))/$D166,0)</f>
        <v>0.0863633728996997</v>
      </c>
      <c r="F166" s="10" t="n">
        <f aca="false">IFERROR((SUMIFS(Data!$E$2:$E$2657,Data!$A$2:$A$2657,$A166,Data!$B$2:$B$2657,$B166,Data!$D$2:$D$2657,"Distribution")+SUMIFS(Data!$G$2:$G$2657,Data!$A$2:$A$2657,$A166,Data!$B$2:$B$2657,$B166,Data!$D$2:$D$2657,"Distribution"))/$D166,0)</f>
        <v>0.331822625523275</v>
      </c>
      <c r="G166" s="10" t="n">
        <f aca="false">IFERROR((SUMIFS(Data!$E$2:$E$2657,Data!$A$2:$A$2657,$A166,Data!$B$2:$B$2657,$B166,Data!$D$2:$D$2657,"RTO/market operation")+SUMIFS(Data!$G$2:$G$2657,Data!$A$2:$A$2657,$A166,Data!$B$2:$B$2657,$B166,Data!$D$2:$D$2657,"RTO/market operation"))/$D166,0)</f>
        <v>0</v>
      </c>
      <c r="H166" s="10" t="n">
        <f aca="false">IFERROR((SUMIFS(Data!$E$2:$E$2657,Data!$A$2:$A$2657,$A166,Data!$B$2:$B$2657,$B166,Data!$D$2:$D$2657,"Customer accounts, service &amp; sales")+SUMIFS(Data!$G$2:$G$2657,Data!$A$2:$A$2657,$A166,Data!$B$2:$B$2657,$B166,Data!$D$2:$D$2657,"Customer accounts, service &amp; sales"))/$D166,0)</f>
        <v>0.0809374902425391</v>
      </c>
      <c r="I166" s="10" t="n">
        <f aca="false">IFERROR((SUMIFS(Data!$E$2:$E$2657,Data!$A$2:$A$2657,$A166,Data!$B$2:$B$2657,$B166,Data!$D$2:$D$2657,"A&amp;G and general")+SUMIFS(Data!$G$2:$G$2657,Data!$A$2:$A$2657,$A166,Data!$B$2:$B$2657,$B166,Data!$D$2:$D$2657,"A&amp;G and general"))/$D166,0)</f>
        <v>0.500876511334486</v>
      </c>
      <c r="J166" s="10" t="n">
        <f aca="false">IFERROR(SUMIFS(Data!$F$2:$F$2657,Data!$A$2:$A$2657,$A166,Data!$B$2:$B$2657,$B166)/$D166,0)</f>
        <v>0</v>
      </c>
      <c r="K166" s="11" t="n">
        <f aca="false">SUM(E166:I166)</f>
        <v>1</v>
      </c>
    </row>
    <row r="167" customFormat="false" ht="15" hidden="false" customHeight="false" outlineLevel="0" collapsed="false">
      <c r="A167" s="7" t="n">
        <v>2003</v>
      </c>
      <c r="B167" s="12" t="s">
        <v>79</v>
      </c>
      <c r="C167" s="12" t="s">
        <v>72</v>
      </c>
      <c r="D167" s="9" t="n">
        <f aca="false">SUMIFS(Data!$E$2:$E$2657,Data!$A$2:$A$2657,$A167,Data!$B$2:$B$2657,$B167)+SUMIFS(Data!$G$2:$G$2657,Data!$A$2:$A$2657,$A167,Data!$B$2:$B$2657,$B167)</f>
        <v>533.923571</v>
      </c>
      <c r="E167" s="10" t="n">
        <f aca="false">IFERROR((SUMIFS(Data!$E$2:$E$2657,Data!$A$2:$A$2657,$A167,Data!$B$2:$B$2657,$B167,Data!$D$2:$D$2657,"Transmission")+SUMIFS(Data!$G$2:$G$2657,Data!$A$2:$A$2657,$A167,Data!$B$2:$B$2657,$B167,Data!$D$2:$D$2657,"Transmission"))/$D167,0)</f>
        <v>0.201668129763089</v>
      </c>
      <c r="F167" s="10" t="n">
        <f aca="false">IFERROR((SUMIFS(Data!$E$2:$E$2657,Data!$A$2:$A$2657,$A167,Data!$B$2:$B$2657,$B167,Data!$D$2:$D$2657,"Distribution")+SUMIFS(Data!$G$2:$G$2657,Data!$A$2:$A$2657,$A167,Data!$B$2:$B$2657,$B167,Data!$D$2:$D$2657,"Distribution"))/$D167,0)</f>
        <v>0.285243130800082</v>
      </c>
      <c r="G167" s="10" t="n">
        <f aca="false">IFERROR((SUMIFS(Data!$E$2:$E$2657,Data!$A$2:$A$2657,$A167,Data!$B$2:$B$2657,$B167,Data!$D$2:$D$2657,"RTO/market operation")+SUMIFS(Data!$G$2:$G$2657,Data!$A$2:$A$2657,$A167,Data!$B$2:$B$2657,$B167,Data!$D$2:$D$2657,"RTO/market operation"))/$D167,0)</f>
        <v>0</v>
      </c>
      <c r="H167" s="10" t="n">
        <f aca="false">IFERROR((SUMIFS(Data!$E$2:$E$2657,Data!$A$2:$A$2657,$A167,Data!$B$2:$B$2657,$B167,Data!$D$2:$D$2657,"Customer accounts, service &amp; sales")+SUMIFS(Data!$G$2:$G$2657,Data!$A$2:$A$2657,$A167,Data!$B$2:$B$2657,$B167,Data!$D$2:$D$2657,"Customer accounts, service &amp; sales"))/$D167,0)</f>
        <v>0.132646668637148</v>
      </c>
      <c r="I167" s="10" t="n">
        <f aca="false">IFERROR((SUMIFS(Data!$E$2:$E$2657,Data!$A$2:$A$2657,$A167,Data!$B$2:$B$2657,$B167,Data!$D$2:$D$2657,"A&amp;G and general")+SUMIFS(Data!$G$2:$G$2657,Data!$A$2:$A$2657,$A167,Data!$B$2:$B$2657,$B167,Data!$D$2:$D$2657,"A&amp;G and general"))/$D167,0)</f>
        <v>0.38044207079968</v>
      </c>
      <c r="J167" s="10" t="n">
        <f aca="false">IFERROR(SUMIFS(Data!$F$2:$F$2657,Data!$A$2:$A$2657,$A167,Data!$B$2:$B$2657,$B167)/$D167,0)</f>
        <v>0.201091536001882</v>
      </c>
      <c r="K167" s="11" t="n">
        <f aca="false">SUM(E167:I167)</f>
        <v>1</v>
      </c>
    </row>
    <row r="168" customFormat="false" ht="15" hidden="false" customHeight="false" outlineLevel="0" collapsed="false">
      <c r="A168" s="7" t="n">
        <v>2003</v>
      </c>
      <c r="B168" s="12" t="s">
        <v>80</v>
      </c>
      <c r="C168" s="12" t="s">
        <v>72</v>
      </c>
      <c r="D168" s="9" t="n">
        <f aca="false">SUMIFS(Data!$E$2:$E$2657,Data!$A$2:$A$2657,$A168,Data!$B$2:$B$2657,$B168)+SUMIFS(Data!$G$2:$G$2657,Data!$A$2:$A$2657,$A168,Data!$B$2:$B$2657,$B168)</f>
        <v>248.213016</v>
      </c>
      <c r="E168" s="10" t="n">
        <f aca="false">IFERROR((SUMIFS(Data!$E$2:$E$2657,Data!$A$2:$A$2657,$A168,Data!$B$2:$B$2657,$B168,Data!$D$2:$D$2657,"Transmission")+SUMIFS(Data!$G$2:$G$2657,Data!$A$2:$A$2657,$A168,Data!$B$2:$B$2657,$B168,Data!$D$2:$D$2657,"Transmission"))/$D168,0)</f>
        <v>0.240121996664349</v>
      </c>
      <c r="F168" s="10" t="n">
        <f aca="false">IFERROR((SUMIFS(Data!$E$2:$E$2657,Data!$A$2:$A$2657,$A168,Data!$B$2:$B$2657,$B168,Data!$D$2:$D$2657,"Distribution")+SUMIFS(Data!$G$2:$G$2657,Data!$A$2:$A$2657,$A168,Data!$B$2:$B$2657,$B168,Data!$D$2:$D$2657,"Distribution"))/$D168,0)</f>
        <v>0.234194052095963</v>
      </c>
      <c r="G168" s="10" t="n">
        <f aca="false">IFERROR((SUMIFS(Data!$E$2:$E$2657,Data!$A$2:$A$2657,$A168,Data!$B$2:$B$2657,$B168,Data!$D$2:$D$2657,"RTO/market operation")+SUMIFS(Data!$G$2:$G$2657,Data!$A$2:$A$2657,$A168,Data!$B$2:$B$2657,$B168,Data!$D$2:$D$2657,"RTO/market operation"))/$D168,0)</f>
        <v>0</v>
      </c>
      <c r="H168" s="10" t="n">
        <f aca="false">IFERROR((SUMIFS(Data!$E$2:$E$2657,Data!$A$2:$A$2657,$A168,Data!$B$2:$B$2657,$B168,Data!$D$2:$D$2657,"Customer accounts, service &amp; sales")+SUMIFS(Data!$G$2:$G$2657,Data!$A$2:$A$2657,$A168,Data!$B$2:$B$2657,$B168,Data!$D$2:$D$2657,"Customer accounts, service &amp; sales"))/$D168,0)</f>
        <v>0.211016004897987</v>
      </c>
      <c r="I168" s="10" t="n">
        <f aca="false">IFERROR((SUMIFS(Data!$E$2:$E$2657,Data!$A$2:$A$2657,$A168,Data!$B$2:$B$2657,$B168,Data!$D$2:$D$2657,"A&amp;G and general")+SUMIFS(Data!$G$2:$G$2657,Data!$A$2:$A$2657,$A168,Data!$B$2:$B$2657,$B168,Data!$D$2:$D$2657,"A&amp;G and general"))/$D168,0)</f>
        <v>0.314667946341702</v>
      </c>
      <c r="J168" s="10" t="n">
        <f aca="false">IFERROR(SUMIFS(Data!$F$2:$F$2657,Data!$A$2:$A$2657,$A168,Data!$B$2:$B$2657,$B168)/$D168,0)</f>
        <v>0.238608006761418</v>
      </c>
      <c r="K168" s="11" t="n">
        <f aca="false">SUM(E168:I168)</f>
        <v>1</v>
      </c>
    </row>
    <row r="169" customFormat="false" ht="15" hidden="false" customHeight="false" outlineLevel="0" collapsed="false">
      <c r="A169" s="7" t="n">
        <v>2003</v>
      </c>
      <c r="B169" s="12" t="s">
        <v>81</v>
      </c>
      <c r="C169" s="12" t="s">
        <v>72</v>
      </c>
      <c r="D169" s="9" t="n">
        <f aca="false">SUMIFS(Data!$E$2:$E$2657,Data!$A$2:$A$2657,$A169,Data!$B$2:$B$2657,$B169)+SUMIFS(Data!$G$2:$G$2657,Data!$A$2:$A$2657,$A169,Data!$B$2:$B$2657,$B169)</f>
        <v>208.867491</v>
      </c>
      <c r="E169" s="10" t="n">
        <f aca="false">IFERROR((SUMIFS(Data!$E$2:$E$2657,Data!$A$2:$A$2657,$A169,Data!$B$2:$B$2657,$B169,Data!$D$2:$D$2657,"Transmission")+SUMIFS(Data!$G$2:$G$2657,Data!$A$2:$A$2657,$A169,Data!$B$2:$B$2657,$B169,Data!$D$2:$D$2657,"Transmission"))/$D169,0)</f>
        <v>0.201407867727965</v>
      </c>
      <c r="F169" s="10" t="n">
        <f aca="false">IFERROR((SUMIFS(Data!$E$2:$E$2657,Data!$A$2:$A$2657,$A169,Data!$B$2:$B$2657,$B169,Data!$D$2:$D$2657,"Distribution")+SUMIFS(Data!$G$2:$G$2657,Data!$A$2:$A$2657,$A169,Data!$B$2:$B$2657,$B169,Data!$D$2:$D$2657,"Distribution"))/$D169,0)</f>
        <v>0.280022787270423</v>
      </c>
      <c r="G169" s="10" t="n">
        <f aca="false">IFERROR((SUMIFS(Data!$E$2:$E$2657,Data!$A$2:$A$2657,$A169,Data!$B$2:$B$2657,$B169,Data!$D$2:$D$2657,"RTO/market operation")+SUMIFS(Data!$G$2:$G$2657,Data!$A$2:$A$2657,$A169,Data!$B$2:$B$2657,$B169,Data!$D$2:$D$2657,"RTO/market operation"))/$D169,0)</f>
        <v>0</v>
      </c>
      <c r="H169" s="10" t="n">
        <f aca="false">IFERROR((SUMIFS(Data!$E$2:$E$2657,Data!$A$2:$A$2657,$A169,Data!$B$2:$B$2657,$B169,Data!$D$2:$D$2657,"Customer accounts, service &amp; sales")+SUMIFS(Data!$G$2:$G$2657,Data!$A$2:$A$2657,$A169,Data!$B$2:$B$2657,$B169,Data!$D$2:$D$2657,"Customer accounts, service &amp; sales"))/$D169,0)</f>
        <v>0.160921461923435</v>
      </c>
      <c r="I169" s="10" t="n">
        <f aca="false">IFERROR((SUMIFS(Data!$E$2:$E$2657,Data!$A$2:$A$2657,$A169,Data!$B$2:$B$2657,$B169,Data!$D$2:$D$2657,"A&amp;G and general")+SUMIFS(Data!$G$2:$G$2657,Data!$A$2:$A$2657,$A169,Data!$B$2:$B$2657,$B169,Data!$D$2:$D$2657,"A&amp;G and general"))/$D169,0)</f>
        <v>0.357647883078176</v>
      </c>
      <c r="J169" s="10" t="n">
        <f aca="false">IFERROR(SUMIFS(Data!$F$2:$F$2657,Data!$A$2:$A$2657,$A169,Data!$B$2:$B$2657,$B169)/$D169,0)</f>
        <v>0.196031406342694</v>
      </c>
      <c r="K169" s="11" t="n">
        <f aca="false">SUM(E169:I169)</f>
        <v>1</v>
      </c>
    </row>
    <row r="170" customFormat="false" ht="15" hidden="false" customHeight="false" outlineLevel="0" collapsed="false">
      <c r="A170" s="7" t="n">
        <v>2004</v>
      </c>
      <c r="B170" s="12" t="s">
        <v>56</v>
      </c>
      <c r="C170" s="12" t="s">
        <v>57</v>
      </c>
      <c r="D170" s="9" t="n">
        <f aca="false">SUMIFS(Data!$E$2:$E$2657,Data!$A$2:$A$2657,$A170,Data!$B$2:$B$2657,$B170)+SUMIFS(Data!$G$2:$G$2657,Data!$A$2:$A$2657,$A170,Data!$B$2:$B$2657,$B170)</f>
        <v>107.673464</v>
      </c>
      <c r="E170" s="10" t="n">
        <f aca="false">IFERROR((SUMIFS(Data!$E$2:$E$2657,Data!$A$2:$A$2657,$A170,Data!$B$2:$B$2657,$B170,Data!$D$2:$D$2657,"Transmission")+SUMIFS(Data!$G$2:$G$2657,Data!$A$2:$A$2657,$A170,Data!$B$2:$B$2657,$B170,Data!$D$2:$D$2657,"Transmission"))/$D170,0)</f>
        <v>0.119288351306316</v>
      </c>
      <c r="F170" s="10" t="n">
        <f aca="false">IFERROR((SUMIFS(Data!$E$2:$E$2657,Data!$A$2:$A$2657,$A170,Data!$B$2:$B$2657,$B170,Data!$D$2:$D$2657,"Distribution")+SUMIFS(Data!$G$2:$G$2657,Data!$A$2:$A$2657,$A170,Data!$B$2:$B$2657,$B170,Data!$D$2:$D$2657,"Distribution"))/$D170,0)</f>
        <v>0.238521851586385</v>
      </c>
      <c r="G170" s="10" t="n">
        <f aca="false">IFERROR((SUMIFS(Data!$E$2:$E$2657,Data!$A$2:$A$2657,$A170,Data!$B$2:$B$2657,$B170,Data!$D$2:$D$2657,"RTO/market operation")+SUMIFS(Data!$G$2:$G$2657,Data!$A$2:$A$2657,$A170,Data!$B$2:$B$2657,$B170,Data!$D$2:$D$2657,"RTO/market operation"))/$D170,0)</f>
        <v>0</v>
      </c>
      <c r="H170" s="10" t="n">
        <f aca="false">IFERROR((SUMIFS(Data!$E$2:$E$2657,Data!$A$2:$A$2657,$A170,Data!$B$2:$B$2657,$B170,Data!$D$2:$D$2657,"Customer accounts, service &amp; sales")+SUMIFS(Data!$G$2:$G$2657,Data!$A$2:$A$2657,$A170,Data!$B$2:$B$2657,$B170,Data!$D$2:$D$2657,"Customer accounts, service &amp; sales"))/$D170,0)</f>
        <v>0.154881187810583</v>
      </c>
      <c r="I170" s="10" t="n">
        <f aca="false">IFERROR((SUMIFS(Data!$E$2:$E$2657,Data!$A$2:$A$2657,$A170,Data!$B$2:$B$2657,$B170,Data!$D$2:$D$2657,"A&amp;G and general")+SUMIFS(Data!$G$2:$G$2657,Data!$A$2:$A$2657,$A170,Data!$B$2:$B$2657,$B170,Data!$D$2:$D$2657,"A&amp;G and general"))/$D170,0)</f>
        <v>0.487308609296716</v>
      </c>
      <c r="J170" s="10" t="n">
        <f aca="false">IFERROR(SUMIFS(Data!$F$2:$F$2657,Data!$A$2:$A$2657,$A170,Data!$B$2:$B$2657,$B170)/$D170,0)</f>
        <v>0.00306482198808055</v>
      </c>
      <c r="K170" s="11" t="n">
        <f aca="false">SUM(E170:I170)</f>
        <v>1</v>
      </c>
    </row>
    <row r="171" customFormat="false" ht="15" hidden="false" customHeight="false" outlineLevel="0" collapsed="false">
      <c r="A171" s="7" t="n">
        <v>2004</v>
      </c>
      <c r="B171" s="12" t="s">
        <v>58</v>
      </c>
      <c r="C171" s="12" t="s">
        <v>59</v>
      </c>
      <c r="D171" s="9" t="n">
        <f aca="false">SUMIFS(Data!$E$2:$E$2657,Data!$A$2:$A$2657,$A171,Data!$B$2:$B$2657,$B171)+SUMIFS(Data!$G$2:$G$2657,Data!$A$2:$A$2657,$A171,Data!$B$2:$B$2657,$B171)</f>
        <v>466.155019</v>
      </c>
      <c r="E171" s="10" t="n">
        <f aca="false">IFERROR((SUMIFS(Data!$E$2:$E$2657,Data!$A$2:$A$2657,$A171,Data!$B$2:$B$2657,$B171,Data!$D$2:$D$2657,"Transmission")+SUMIFS(Data!$G$2:$G$2657,Data!$A$2:$A$2657,$A171,Data!$B$2:$B$2657,$B171,Data!$D$2:$D$2657,"Transmission"))/$D171,0)</f>
        <v>0.0737559301061607</v>
      </c>
      <c r="F171" s="10" t="n">
        <f aca="false">IFERROR((SUMIFS(Data!$E$2:$E$2657,Data!$A$2:$A$2657,$A171,Data!$B$2:$B$2657,$B171,Data!$D$2:$D$2657,"Distribution")+SUMIFS(Data!$G$2:$G$2657,Data!$A$2:$A$2657,$A171,Data!$B$2:$B$2657,$B171,Data!$D$2:$D$2657,"Distribution"))/$D171,0)</f>
        <v>0.457851161739825</v>
      </c>
      <c r="G171" s="10" t="n">
        <f aca="false">IFERROR((SUMIFS(Data!$E$2:$E$2657,Data!$A$2:$A$2657,$A171,Data!$B$2:$B$2657,$B171,Data!$D$2:$D$2657,"RTO/market operation")+SUMIFS(Data!$G$2:$G$2657,Data!$A$2:$A$2657,$A171,Data!$B$2:$B$2657,$B171,Data!$D$2:$D$2657,"RTO/market operation"))/$D171,0)</f>
        <v>0</v>
      </c>
      <c r="H171" s="10" t="n">
        <f aca="false">IFERROR((SUMIFS(Data!$E$2:$E$2657,Data!$A$2:$A$2657,$A171,Data!$B$2:$B$2657,$B171,Data!$D$2:$D$2657,"Customer accounts, service &amp; sales")+SUMIFS(Data!$G$2:$G$2657,Data!$A$2:$A$2657,$A171,Data!$B$2:$B$2657,$B171,Data!$D$2:$D$2657,"Customer accounts, service &amp; sales"))/$D171,0)</f>
        <v>0.0843234297558856</v>
      </c>
      <c r="I171" s="10" t="n">
        <f aca="false">IFERROR((SUMIFS(Data!$E$2:$E$2657,Data!$A$2:$A$2657,$A171,Data!$B$2:$B$2657,$B171,Data!$D$2:$D$2657,"A&amp;G and general")+SUMIFS(Data!$G$2:$G$2657,Data!$A$2:$A$2657,$A171,Data!$B$2:$B$2657,$B171,Data!$D$2:$D$2657,"A&amp;G and general"))/$D171,0)</f>
        <v>0.384069478398129</v>
      </c>
      <c r="J171" s="10" t="n">
        <f aca="false">IFERROR(SUMIFS(Data!$F$2:$F$2657,Data!$A$2:$A$2657,$A171,Data!$B$2:$B$2657,$B171)/$D171,0)</f>
        <v>0.00498278663819342</v>
      </c>
      <c r="K171" s="11" t="n">
        <f aca="false">SUM(E171:I171)</f>
        <v>1</v>
      </c>
    </row>
    <row r="172" customFormat="false" ht="15" hidden="false" customHeight="false" outlineLevel="0" collapsed="false">
      <c r="A172" s="7" t="n">
        <v>2004</v>
      </c>
      <c r="B172" s="12" t="s">
        <v>60</v>
      </c>
      <c r="C172" s="12" t="s">
        <v>59</v>
      </c>
      <c r="D172" s="9" t="n">
        <f aca="false">SUMIFS(Data!$E$2:$E$2657,Data!$A$2:$A$2657,$A172,Data!$B$2:$B$2657,$B172)+SUMIFS(Data!$G$2:$G$2657,Data!$A$2:$A$2657,$A172,Data!$B$2:$B$2657,$B172)</f>
        <v>1392.607132</v>
      </c>
      <c r="E172" s="10" t="n">
        <f aca="false">IFERROR((SUMIFS(Data!$E$2:$E$2657,Data!$A$2:$A$2657,$A172,Data!$B$2:$B$2657,$B172,Data!$D$2:$D$2657,"Transmission")+SUMIFS(Data!$G$2:$G$2657,Data!$A$2:$A$2657,$A172,Data!$B$2:$B$2657,$B172,Data!$D$2:$D$2657,"Transmission"))/$D172,0)</f>
        <v>0.183348946829895</v>
      </c>
      <c r="F172" s="10" t="n">
        <f aca="false">IFERROR((SUMIFS(Data!$E$2:$E$2657,Data!$A$2:$A$2657,$A172,Data!$B$2:$B$2657,$B172,Data!$D$2:$D$2657,"Distribution")+SUMIFS(Data!$G$2:$G$2657,Data!$A$2:$A$2657,$A172,Data!$B$2:$B$2657,$B172,Data!$D$2:$D$2657,"Distribution"))/$D172,0)</f>
        <v>0.373487001501296</v>
      </c>
      <c r="G172" s="10" t="n">
        <f aca="false">IFERROR((SUMIFS(Data!$E$2:$E$2657,Data!$A$2:$A$2657,$A172,Data!$B$2:$B$2657,$B172,Data!$D$2:$D$2657,"RTO/market operation")+SUMIFS(Data!$G$2:$G$2657,Data!$A$2:$A$2657,$A172,Data!$B$2:$B$2657,$B172,Data!$D$2:$D$2657,"RTO/market operation"))/$D172,0)</f>
        <v>0</v>
      </c>
      <c r="H172" s="10" t="n">
        <f aca="false">IFERROR((SUMIFS(Data!$E$2:$E$2657,Data!$A$2:$A$2657,$A172,Data!$B$2:$B$2657,$B172,Data!$D$2:$D$2657,"Customer accounts, service &amp; sales")+SUMIFS(Data!$G$2:$G$2657,Data!$A$2:$A$2657,$A172,Data!$B$2:$B$2657,$B172,Data!$D$2:$D$2657,"Customer accounts, service &amp; sales"))/$D172,0)</f>
        <v>0.128369835176171</v>
      </c>
      <c r="I172" s="10" t="n">
        <f aca="false">IFERROR((SUMIFS(Data!$E$2:$E$2657,Data!$A$2:$A$2657,$A172,Data!$B$2:$B$2657,$B172,Data!$D$2:$D$2657,"A&amp;G and general")+SUMIFS(Data!$G$2:$G$2657,Data!$A$2:$A$2657,$A172,Data!$B$2:$B$2657,$B172,Data!$D$2:$D$2657,"A&amp;G and general"))/$D172,0)</f>
        <v>0.314794216492638</v>
      </c>
      <c r="J172" s="10" t="n">
        <f aca="false">IFERROR(SUMIFS(Data!$F$2:$F$2657,Data!$A$2:$A$2657,$A172,Data!$B$2:$B$2657,$B172)/$D172,0)</f>
        <v>0.000546368737109125</v>
      </c>
      <c r="K172" s="11" t="n">
        <f aca="false">SUM(E172:I172)</f>
        <v>1</v>
      </c>
    </row>
    <row r="173" customFormat="false" ht="15" hidden="false" customHeight="false" outlineLevel="0" collapsed="false">
      <c r="A173" s="7" t="n">
        <v>2004</v>
      </c>
      <c r="B173" s="12" t="s">
        <v>63</v>
      </c>
      <c r="C173" s="12" t="s">
        <v>62</v>
      </c>
      <c r="D173" s="9" t="n">
        <f aca="false">SUMIFS(Data!$E$2:$E$2657,Data!$A$2:$A$2657,$A173,Data!$B$2:$B$2657,$B173)+SUMIFS(Data!$G$2:$G$2657,Data!$A$2:$A$2657,$A173,Data!$B$2:$B$2657,$B173)</f>
        <v>1271.583282</v>
      </c>
      <c r="E173" s="10" t="n">
        <f aca="false">IFERROR((SUMIFS(Data!$E$2:$E$2657,Data!$A$2:$A$2657,$A173,Data!$B$2:$B$2657,$B173,Data!$D$2:$D$2657,"Transmission")+SUMIFS(Data!$G$2:$G$2657,Data!$A$2:$A$2657,$A173,Data!$B$2:$B$2657,$B173,Data!$D$2:$D$2657,"Transmission"))/$D173,0)</f>
        <v>0.0854983307337946</v>
      </c>
      <c r="F173" s="10" t="n">
        <f aca="false">IFERROR((SUMIFS(Data!$E$2:$E$2657,Data!$A$2:$A$2657,$A173,Data!$B$2:$B$2657,$B173,Data!$D$2:$D$2657,"Distribution")+SUMIFS(Data!$G$2:$G$2657,Data!$A$2:$A$2657,$A173,Data!$B$2:$B$2657,$B173,Data!$D$2:$D$2657,"Distribution"))/$D173,0)</f>
        <v>0.303026874805987</v>
      </c>
      <c r="G173" s="10" t="n">
        <f aca="false">IFERROR((SUMIFS(Data!$E$2:$E$2657,Data!$A$2:$A$2657,$A173,Data!$B$2:$B$2657,$B173,Data!$D$2:$D$2657,"RTO/market operation")+SUMIFS(Data!$G$2:$G$2657,Data!$A$2:$A$2657,$A173,Data!$B$2:$B$2657,$B173,Data!$D$2:$D$2657,"RTO/market operation"))/$D173,0)</f>
        <v>0</v>
      </c>
      <c r="H173" s="10" t="n">
        <f aca="false">IFERROR((SUMIFS(Data!$E$2:$E$2657,Data!$A$2:$A$2657,$A173,Data!$B$2:$B$2657,$B173,Data!$D$2:$D$2657,"Customer accounts, service &amp; sales")+SUMIFS(Data!$G$2:$G$2657,Data!$A$2:$A$2657,$A173,Data!$B$2:$B$2657,$B173,Data!$D$2:$D$2657,"Customer accounts, service &amp; sales"))/$D173,0)</f>
        <v>0.140478710697614</v>
      </c>
      <c r="I173" s="10" t="n">
        <f aca="false">IFERROR((SUMIFS(Data!$E$2:$E$2657,Data!$A$2:$A$2657,$A173,Data!$B$2:$B$2657,$B173,Data!$D$2:$D$2657,"A&amp;G and general")+SUMIFS(Data!$G$2:$G$2657,Data!$A$2:$A$2657,$A173,Data!$B$2:$B$2657,$B173,Data!$D$2:$D$2657,"A&amp;G and general"))/$D173,0)</f>
        <v>0.470996083762605</v>
      </c>
      <c r="J173" s="10" t="n">
        <f aca="false">IFERROR(SUMIFS(Data!$F$2:$F$2657,Data!$A$2:$A$2657,$A173,Data!$B$2:$B$2657,$B173)/$D173,0)</f>
        <v>0.0732853115632579</v>
      </c>
      <c r="K173" s="11" t="n">
        <f aca="false">SUM(E173:I173)</f>
        <v>1</v>
      </c>
    </row>
    <row r="174" customFormat="false" ht="15" hidden="false" customHeight="false" outlineLevel="0" collapsed="false">
      <c r="A174" s="7" t="n">
        <v>2004</v>
      </c>
      <c r="B174" s="12" t="s">
        <v>64</v>
      </c>
      <c r="C174" s="12" t="s">
        <v>65</v>
      </c>
      <c r="D174" s="9" t="n">
        <f aca="false">SUMIFS(Data!$E$2:$E$2657,Data!$A$2:$A$2657,$A174,Data!$B$2:$B$2657,$B174)+SUMIFS(Data!$G$2:$G$2657,Data!$A$2:$A$2657,$A174,Data!$B$2:$B$2657,$B174)</f>
        <v>420.455888</v>
      </c>
      <c r="E174" s="10" t="n">
        <f aca="false">IFERROR((SUMIFS(Data!$E$2:$E$2657,Data!$A$2:$A$2657,$A174,Data!$B$2:$B$2657,$B174,Data!$D$2:$D$2657,"Transmission")+SUMIFS(Data!$G$2:$G$2657,Data!$A$2:$A$2657,$A174,Data!$B$2:$B$2657,$B174,Data!$D$2:$D$2657,"Transmission"))/$D174,0)</f>
        <v>0.105766947899181</v>
      </c>
      <c r="F174" s="10" t="n">
        <f aca="false">IFERROR((SUMIFS(Data!$E$2:$E$2657,Data!$A$2:$A$2657,$A174,Data!$B$2:$B$2657,$B174,Data!$D$2:$D$2657,"Distribution")+SUMIFS(Data!$G$2:$G$2657,Data!$A$2:$A$2657,$A174,Data!$B$2:$B$2657,$B174,Data!$D$2:$D$2657,"Distribution"))/$D174,0)</f>
        <v>0.249894864119491</v>
      </c>
      <c r="G174" s="10" t="n">
        <f aca="false">IFERROR((SUMIFS(Data!$E$2:$E$2657,Data!$A$2:$A$2657,$A174,Data!$B$2:$B$2657,$B174,Data!$D$2:$D$2657,"RTO/market operation")+SUMIFS(Data!$G$2:$G$2657,Data!$A$2:$A$2657,$A174,Data!$B$2:$B$2657,$B174,Data!$D$2:$D$2657,"RTO/market operation"))/$D174,0)</f>
        <v>0</v>
      </c>
      <c r="H174" s="10" t="n">
        <f aca="false">IFERROR((SUMIFS(Data!$E$2:$E$2657,Data!$A$2:$A$2657,$A174,Data!$B$2:$B$2657,$B174,Data!$D$2:$D$2657,"Customer accounts, service &amp; sales")+SUMIFS(Data!$G$2:$G$2657,Data!$A$2:$A$2657,$A174,Data!$B$2:$B$2657,$B174,Data!$D$2:$D$2657,"Customer accounts, service &amp; sales"))/$D174,0)</f>
        <v>0.103207849475995</v>
      </c>
      <c r="I174" s="10" t="n">
        <f aca="false">IFERROR((SUMIFS(Data!$E$2:$E$2657,Data!$A$2:$A$2657,$A174,Data!$B$2:$B$2657,$B174,Data!$D$2:$D$2657,"A&amp;G and general")+SUMIFS(Data!$G$2:$G$2657,Data!$A$2:$A$2657,$A174,Data!$B$2:$B$2657,$B174,Data!$D$2:$D$2657,"A&amp;G and general"))/$D174,0)</f>
        <v>0.541130338505332</v>
      </c>
      <c r="J174" s="10" t="n">
        <f aca="false">IFERROR(SUMIFS(Data!$F$2:$F$2657,Data!$A$2:$A$2657,$A174,Data!$B$2:$B$2657,$B174)/$D174,0)</f>
        <v>0.00948149880588662</v>
      </c>
      <c r="K174" s="11" t="n">
        <f aca="false">SUM(E174:I174)</f>
        <v>1</v>
      </c>
    </row>
    <row r="175" customFormat="false" ht="15" hidden="false" customHeight="false" outlineLevel="0" collapsed="false">
      <c r="A175" s="7" t="n">
        <v>2004</v>
      </c>
      <c r="B175" s="12" t="s">
        <v>66</v>
      </c>
      <c r="C175" s="12" t="s">
        <v>67</v>
      </c>
      <c r="D175" s="9" t="n">
        <f aca="false">SUMIFS(Data!$E$2:$E$2657,Data!$A$2:$A$2657,$A175,Data!$B$2:$B$2657,$B175)+SUMIFS(Data!$G$2:$G$2657,Data!$A$2:$A$2657,$A175,Data!$B$2:$B$2657,$B175)</f>
        <v>248.668411</v>
      </c>
      <c r="E175" s="10" t="n">
        <f aca="false">IFERROR((SUMIFS(Data!$E$2:$E$2657,Data!$A$2:$A$2657,$A175,Data!$B$2:$B$2657,$B175,Data!$D$2:$D$2657,"Transmission")+SUMIFS(Data!$G$2:$G$2657,Data!$A$2:$A$2657,$A175,Data!$B$2:$B$2657,$B175,Data!$D$2:$D$2657,"Transmission"))/$D175,0)</f>
        <v>-0.0354682927539196</v>
      </c>
      <c r="F175" s="10" t="n">
        <f aca="false">IFERROR((SUMIFS(Data!$E$2:$E$2657,Data!$A$2:$A$2657,$A175,Data!$B$2:$B$2657,$B175,Data!$D$2:$D$2657,"Distribution")+SUMIFS(Data!$G$2:$G$2657,Data!$A$2:$A$2657,$A175,Data!$B$2:$B$2657,$B175,Data!$D$2:$D$2657,"Distribution"))/$D175,0)</f>
        <v>0.3702410958825</v>
      </c>
      <c r="G175" s="10" t="n">
        <f aca="false">IFERROR((SUMIFS(Data!$E$2:$E$2657,Data!$A$2:$A$2657,$A175,Data!$B$2:$B$2657,$B175,Data!$D$2:$D$2657,"RTO/market operation")+SUMIFS(Data!$G$2:$G$2657,Data!$A$2:$A$2657,$A175,Data!$B$2:$B$2657,$B175,Data!$D$2:$D$2657,"RTO/market operation"))/$D175,0)</f>
        <v>0</v>
      </c>
      <c r="H175" s="10" t="n">
        <f aca="false">IFERROR((SUMIFS(Data!$E$2:$E$2657,Data!$A$2:$A$2657,$A175,Data!$B$2:$B$2657,$B175,Data!$D$2:$D$2657,"Customer accounts, service &amp; sales")+SUMIFS(Data!$G$2:$G$2657,Data!$A$2:$A$2657,$A175,Data!$B$2:$B$2657,$B175,Data!$D$2:$D$2657,"Customer accounts, service &amp; sales"))/$D175,0)</f>
        <v>0.103088514125745</v>
      </c>
      <c r="I175" s="10" t="n">
        <f aca="false">IFERROR((SUMIFS(Data!$E$2:$E$2657,Data!$A$2:$A$2657,$A175,Data!$B$2:$B$2657,$B175,Data!$D$2:$D$2657,"A&amp;G and general")+SUMIFS(Data!$G$2:$G$2657,Data!$A$2:$A$2657,$A175,Data!$B$2:$B$2657,$B175,Data!$D$2:$D$2657,"A&amp;G and general"))/$D175,0)</f>
        <v>0.562138682745675</v>
      </c>
      <c r="J175" s="10" t="n">
        <f aca="false">IFERROR(SUMIFS(Data!$F$2:$F$2657,Data!$A$2:$A$2657,$A175,Data!$B$2:$B$2657,$B175)/$D175,0)</f>
        <v>-0.164035197860335</v>
      </c>
      <c r="K175" s="11" t="n">
        <f aca="false">SUM(E175:I175)</f>
        <v>1</v>
      </c>
    </row>
    <row r="176" customFormat="false" ht="15" hidden="false" customHeight="false" outlineLevel="0" collapsed="false">
      <c r="A176" s="7" t="n">
        <v>2004</v>
      </c>
      <c r="B176" s="12" t="s">
        <v>68</v>
      </c>
      <c r="C176" s="12" t="s">
        <v>65</v>
      </c>
      <c r="D176" s="9" t="n">
        <f aca="false">SUMIFS(Data!$E$2:$E$2657,Data!$A$2:$A$2657,$A176,Data!$B$2:$B$2657,$B176)+SUMIFS(Data!$G$2:$G$2657,Data!$A$2:$A$2657,$A176,Data!$B$2:$B$2657,$B176)</f>
        <v>199.266082</v>
      </c>
      <c r="E176" s="10" t="n">
        <f aca="false">IFERROR((SUMIFS(Data!$E$2:$E$2657,Data!$A$2:$A$2657,$A176,Data!$B$2:$B$2657,$B176,Data!$D$2:$D$2657,"Transmission")+SUMIFS(Data!$G$2:$G$2657,Data!$A$2:$A$2657,$A176,Data!$B$2:$B$2657,$B176,Data!$D$2:$D$2657,"Transmission"))/$D176,0)</f>
        <v>0.0708296005940439</v>
      </c>
      <c r="F176" s="10" t="n">
        <f aca="false">IFERROR((SUMIFS(Data!$E$2:$E$2657,Data!$A$2:$A$2657,$A176,Data!$B$2:$B$2657,$B176,Data!$D$2:$D$2657,"Distribution")+SUMIFS(Data!$G$2:$G$2657,Data!$A$2:$A$2657,$A176,Data!$B$2:$B$2657,$B176,Data!$D$2:$D$2657,"Distribution"))/$D176,0)</f>
        <v>0.402244366906356</v>
      </c>
      <c r="G176" s="10" t="n">
        <f aca="false">IFERROR((SUMIFS(Data!$E$2:$E$2657,Data!$A$2:$A$2657,$A176,Data!$B$2:$B$2657,$B176,Data!$D$2:$D$2657,"RTO/market operation")+SUMIFS(Data!$G$2:$G$2657,Data!$A$2:$A$2657,$A176,Data!$B$2:$B$2657,$B176,Data!$D$2:$D$2657,"RTO/market operation"))/$D176,0)</f>
        <v>0</v>
      </c>
      <c r="H176" s="10" t="n">
        <f aca="false">IFERROR((SUMIFS(Data!$E$2:$E$2657,Data!$A$2:$A$2657,$A176,Data!$B$2:$B$2657,$B176,Data!$D$2:$D$2657,"Customer accounts, service &amp; sales")+SUMIFS(Data!$G$2:$G$2657,Data!$A$2:$A$2657,$A176,Data!$B$2:$B$2657,$B176,Data!$D$2:$D$2657,"Customer accounts, service &amp; sales"))/$D176,0)</f>
        <v>0.102653651814161</v>
      </c>
      <c r="I176" s="10" t="n">
        <f aca="false">IFERROR((SUMIFS(Data!$E$2:$E$2657,Data!$A$2:$A$2657,$A176,Data!$B$2:$B$2657,$B176,Data!$D$2:$D$2657,"A&amp;G and general")+SUMIFS(Data!$G$2:$G$2657,Data!$A$2:$A$2657,$A176,Data!$B$2:$B$2657,$B176,Data!$D$2:$D$2657,"A&amp;G and general"))/$D176,0)</f>
        <v>0.424272380685439</v>
      </c>
      <c r="J176" s="10" t="n">
        <f aca="false">IFERROR(SUMIFS(Data!$F$2:$F$2657,Data!$A$2:$A$2657,$A176,Data!$B$2:$B$2657,$B176)/$D176,0)</f>
        <v>0.0116195188702511</v>
      </c>
      <c r="K176" s="11" t="n">
        <f aca="false">SUM(E176:I176)</f>
        <v>1</v>
      </c>
    </row>
    <row r="177" customFormat="false" ht="15" hidden="false" customHeight="false" outlineLevel="0" collapsed="false">
      <c r="A177" s="7" t="n">
        <v>2004</v>
      </c>
      <c r="B177" s="12" t="s">
        <v>69</v>
      </c>
      <c r="C177" s="12" t="s">
        <v>70</v>
      </c>
      <c r="D177" s="9" t="n">
        <f aca="false">SUMIFS(Data!$E$2:$E$2657,Data!$A$2:$A$2657,$A177,Data!$B$2:$B$2657,$B177)+SUMIFS(Data!$G$2:$G$2657,Data!$A$2:$A$2657,$A177,Data!$B$2:$B$2657,$B177)</f>
        <v>274.935985</v>
      </c>
      <c r="E177" s="10" t="n">
        <f aca="false">IFERROR((SUMIFS(Data!$E$2:$E$2657,Data!$A$2:$A$2657,$A177,Data!$B$2:$B$2657,$B177,Data!$D$2:$D$2657,"Transmission")+SUMIFS(Data!$G$2:$G$2657,Data!$A$2:$A$2657,$A177,Data!$B$2:$B$2657,$B177,Data!$D$2:$D$2657,"Transmission"))/$D177,0)</f>
        <v>0.133310850523987</v>
      </c>
      <c r="F177" s="10" t="n">
        <f aca="false">IFERROR((SUMIFS(Data!$E$2:$E$2657,Data!$A$2:$A$2657,$A177,Data!$B$2:$B$2657,$B177,Data!$D$2:$D$2657,"Distribution")+SUMIFS(Data!$G$2:$G$2657,Data!$A$2:$A$2657,$A177,Data!$B$2:$B$2657,$B177,Data!$D$2:$D$2657,"Distribution"))/$D177,0)</f>
        <v>0.260594036098985</v>
      </c>
      <c r="G177" s="10" t="n">
        <f aca="false">IFERROR((SUMIFS(Data!$E$2:$E$2657,Data!$A$2:$A$2657,$A177,Data!$B$2:$B$2657,$B177,Data!$D$2:$D$2657,"RTO/market operation")+SUMIFS(Data!$G$2:$G$2657,Data!$A$2:$A$2657,$A177,Data!$B$2:$B$2657,$B177,Data!$D$2:$D$2657,"RTO/market operation"))/$D177,0)</f>
        <v>0</v>
      </c>
      <c r="H177" s="10" t="n">
        <f aca="false">IFERROR((SUMIFS(Data!$E$2:$E$2657,Data!$A$2:$A$2657,$A177,Data!$B$2:$B$2657,$B177,Data!$D$2:$D$2657,"Customer accounts, service &amp; sales")+SUMIFS(Data!$G$2:$G$2657,Data!$A$2:$A$2657,$A177,Data!$B$2:$B$2657,$B177,Data!$D$2:$D$2657,"Customer accounts, service &amp; sales"))/$D177,0)</f>
        <v>0.155622349689874</v>
      </c>
      <c r="I177" s="10" t="n">
        <f aca="false">IFERROR((SUMIFS(Data!$E$2:$E$2657,Data!$A$2:$A$2657,$A177,Data!$B$2:$B$2657,$B177,Data!$D$2:$D$2657,"A&amp;G and general")+SUMIFS(Data!$G$2:$G$2657,Data!$A$2:$A$2657,$A177,Data!$B$2:$B$2657,$B177,Data!$D$2:$D$2657,"A&amp;G and general"))/$D177,0)</f>
        <v>0.450472763687154</v>
      </c>
      <c r="J177" s="10" t="n">
        <f aca="false">IFERROR(SUMIFS(Data!$F$2:$F$2657,Data!$A$2:$A$2657,$A177,Data!$B$2:$B$2657,$B177)/$D177,0)</f>
        <v>0.0389727121387912</v>
      </c>
      <c r="K177" s="11" t="n">
        <f aca="false">SUM(E177:I177)</f>
        <v>1</v>
      </c>
    </row>
    <row r="178" customFormat="false" ht="15" hidden="false" customHeight="false" outlineLevel="0" collapsed="false">
      <c r="A178" s="7" t="n">
        <v>2004</v>
      </c>
      <c r="B178" s="12" t="s">
        <v>71</v>
      </c>
      <c r="C178" s="12" t="s">
        <v>72</v>
      </c>
      <c r="D178" s="9" t="n">
        <f aca="false">SUMIFS(Data!$E$2:$E$2657,Data!$A$2:$A$2657,$A178,Data!$B$2:$B$2657,$B178)+SUMIFS(Data!$G$2:$G$2657,Data!$A$2:$A$2657,$A178,Data!$B$2:$B$2657,$B178)</f>
        <v>74.087847</v>
      </c>
      <c r="E178" s="10" t="n">
        <f aca="false">IFERROR((SUMIFS(Data!$E$2:$E$2657,Data!$A$2:$A$2657,$A178,Data!$B$2:$B$2657,$B178,Data!$D$2:$D$2657,"Transmission")+SUMIFS(Data!$G$2:$G$2657,Data!$A$2:$A$2657,$A178,Data!$B$2:$B$2657,$B178,Data!$D$2:$D$2657,"Transmission"))/$D178,0)</f>
        <v>0.230323483418272</v>
      </c>
      <c r="F178" s="10" t="n">
        <f aca="false">IFERROR((SUMIFS(Data!$E$2:$E$2657,Data!$A$2:$A$2657,$A178,Data!$B$2:$B$2657,$B178,Data!$D$2:$D$2657,"Distribution")+SUMIFS(Data!$G$2:$G$2657,Data!$A$2:$A$2657,$A178,Data!$B$2:$B$2657,$B178,Data!$D$2:$D$2657,"Distribution"))/$D178,0)</f>
        <v>0.258067075427364</v>
      </c>
      <c r="G178" s="10" t="n">
        <f aca="false">IFERROR((SUMIFS(Data!$E$2:$E$2657,Data!$A$2:$A$2657,$A178,Data!$B$2:$B$2657,$B178,Data!$D$2:$D$2657,"RTO/market operation")+SUMIFS(Data!$G$2:$G$2657,Data!$A$2:$A$2657,$A178,Data!$B$2:$B$2657,$B178,Data!$D$2:$D$2657,"RTO/market operation"))/$D178,0)</f>
        <v>0</v>
      </c>
      <c r="H178" s="10" t="n">
        <f aca="false">IFERROR((SUMIFS(Data!$E$2:$E$2657,Data!$A$2:$A$2657,$A178,Data!$B$2:$B$2657,$B178,Data!$D$2:$D$2657,"Customer accounts, service &amp; sales")+SUMIFS(Data!$G$2:$G$2657,Data!$A$2:$A$2657,$A178,Data!$B$2:$B$2657,$B178,Data!$D$2:$D$2657,"Customer accounts, service &amp; sales"))/$D178,0)</f>
        <v>0.120969340626135</v>
      </c>
      <c r="I178" s="10" t="n">
        <f aca="false">IFERROR((SUMIFS(Data!$E$2:$E$2657,Data!$A$2:$A$2657,$A178,Data!$B$2:$B$2657,$B178,Data!$D$2:$D$2657,"A&amp;G and general")+SUMIFS(Data!$G$2:$G$2657,Data!$A$2:$A$2657,$A178,Data!$B$2:$B$2657,$B178,Data!$D$2:$D$2657,"A&amp;G and general"))/$D178,0)</f>
        <v>0.390640100528228</v>
      </c>
      <c r="J178" s="10" t="n">
        <f aca="false">IFERROR(SUMIFS(Data!$F$2:$F$2657,Data!$A$2:$A$2657,$A178,Data!$B$2:$B$2657,$B178)/$D178,0)</f>
        <v>0.218596485871698</v>
      </c>
      <c r="K178" s="11" t="n">
        <f aca="false">SUM(E178:I178)</f>
        <v>1</v>
      </c>
    </row>
    <row r="179" customFormat="false" ht="15" hidden="false" customHeight="false" outlineLevel="0" collapsed="false">
      <c r="A179" s="7" t="n">
        <v>2004</v>
      </c>
      <c r="B179" s="12" t="s">
        <v>73</v>
      </c>
      <c r="C179" s="12" t="s">
        <v>70</v>
      </c>
      <c r="D179" s="9" t="n">
        <f aca="false">SUMIFS(Data!$E$2:$E$2657,Data!$A$2:$A$2657,$A179,Data!$B$2:$B$2657,$B179)+SUMIFS(Data!$G$2:$G$2657,Data!$A$2:$A$2657,$A179,Data!$B$2:$B$2657,$B179)</f>
        <v>336.065638</v>
      </c>
      <c r="E179" s="10" t="n">
        <f aca="false">IFERROR((SUMIFS(Data!$E$2:$E$2657,Data!$A$2:$A$2657,$A179,Data!$B$2:$B$2657,$B179,Data!$D$2:$D$2657,"Transmission")+SUMIFS(Data!$G$2:$G$2657,Data!$A$2:$A$2657,$A179,Data!$B$2:$B$2657,$B179,Data!$D$2:$D$2657,"Transmission"))/$D179,0)</f>
        <v>0.0668097254263169</v>
      </c>
      <c r="F179" s="10" t="n">
        <f aca="false">IFERROR((SUMIFS(Data!$E$2:$E$2657,Data!$A$2:$A$2657,$A179,Data!$B$2:$B$2657,$B179,Data!$D$2:$D$2657,"Distribution")+SUMIFS(Data!$G$2:$G$2657,Data!$A$2:$A$2657,$A179,Data!$B$2:$B$2657,$B179,Data!$D$2:$D$2657,"Distribution"))/$D179,0)</f>
        <v>0.37433281113971</v>
      </c>
      <c r="G179" s="10" t="n">
        <f aca="false">IFERROR((SUMIFS(Data!$E$2:$E$2657,Data!$A$2:$A$2657,$A179,Data!$B$2:$B$2657,$B179,Data!$D$2:$D$2657,"RTO/market operation")+SUMIFS(Data!$G$2:$G$2657,Data!$A$2:$A$2657,$A179,Data!$B$2:$B$2657,$B179,Data!$D$2:$D$2657,"RTO/market operation"))/$D179,0)</f>
        <v>0</v>
      </c>
      <c r="H179" s="10" t="n">
        <f aca="false">IFERROR((SUMIFS(Data!$E$2:$E$2657,Data!$A$2:$A$2657,$A179,Data!$B$2:$B$2657,$B179,Data!$D$2:$D$2657,"Customer accounts, service &amp; sales")+SUMIFS(Data!$G$2:$G$2657,Data!$A$2:$A$2657,$A179,Data!$B$2:$B$2657,$B179,Data!$D$2:$D$2657,"Customer accounts, service &amp; sales"))/$D179,0)</f>
        <v>0.166053665385451</v>
      </c>
      <c r="I179" s="10" t="n">
        <f aca="false">IFERROR((SUMIFS(Data!$E$2:$E$2657,Data!$A$2:$A$2657,$A179,Data!$B$2:$B$2657,$B179,Data!$D$2:$D$2657,"A&amp;G and general")+SUMIFS(Data!$G$2:$G$2657,Data!$A$2:$A$2657,$A179,Data!$B$2:$B$2657,$B179,Data!$D$2:$D$2657,"A&amp;G and general"))/$D179,0)</f>
        <v>0.392803798048523</v>
      </c>
      <c r="J179" s="10" t="n">
        <f aca="false">IFERROR(SUMIFS(Data!$F$2:$F$2657,Data!$A$2:$A$2657,$A179,Data!$B$2:$B$2657,$B179)/$D179,0)</f>
        <v>0.0180882700063492</v>
      </c>
      <c r="K179" s="11" t="n">
        <f aca="false">SUM(E179:I179)</f>
        <v>1</v>
      </c>
    </row>
    <row r="180" customFormat="false" ht="15" hidden="false" customHeight="false" outlineLevel="0" collapsed="false">
      <c r="A180" s="7" t="n">
        <v>2004</v>
      </c>
      <c r="B180" s="12" t="s">
        <v>74</v>
      </c>
      <c r="C180" s="12" t="s">
        <v>65</v>
      </c>
      <c r="D180" s="9" t="n">
        <f aca="false">SUMIFS(Data!$E$2:$E$2657,Data!$A$2:$A$2657,$A180,Data!$B$2:$B$2657,$B180)+SUMIFS(Data!$G$2:$G$2657,Data!$A$2:$A$2657,$A180,Data!$B$2:$B$2657,$B180)</f>
        <v>236.3898</v>
      </c>
      <c r="E180" s="10" t="n">
        <f aca="false">IFERROR((SUMIFS(Data!$E$2:$E$2657,Data!$A$2:$A$2657,$A180,Data!$B$2:$B$2657,$B180,Data!$D$2:$D$2657,"Transmission")+SUMIFS(Data!$G$2:$G$2657,Data!$A$2:$A$2657,$A180,Data!$B$2:$B$2657,$B180,Data!$D$2:$D$2657,"Transmission"))/$D180,0)</f>
        <v>0.181364948910655</v>
      </c>
      <c r="F180" s="10" t="n">
        <f aca="false">IFERROR((SUMIFS(Data!$E$2:$E$2657,Data!$A$2:$A$2657,$A180,Data!$B$2:$B$2657,$B180,Data!$D$2:$D$2657,"Distribution")+SUMIFS(Data!$G$2:$G$2657,Data!$A$2:$A$2657,$A180,Data!$B$2:$B$2657,$B180,Data!$D$2:$D$2657,"Distribution"))/$D180,0)</f>
        <v>0.299216818999805</v>
      </c>
      <c r="G180" s="10" t="n">
        <f aca="false">IFERROR((SUMIFS(Data!$E$2:$E$2657,Data!$A$2:$A$2657,$A180,Data!$B$2:$B$2657,$B180,Data!$D$2:$D$2657,"RTO/market operation")+SUMIFS(Data!$G$2:$G$2657,Data!$A$2:$A$2657,$A180,Data!$B$2:$B$2657,$B180,Data!$D$2:$D$2657,"RTO/market operation"))/$D180,0)</f>
        <v>0</v>
      </c>
      <c r="H180" s="10" t="n">
        <f aca="false">IFERROR((SUMIFS(Data!$E$2:$E$2657,Data!$A$2:$A$2657,$A180,Data!$B$2:$B$2657,$B180,Data!$D$2:$D$2657,"Customer accounts, service &amp; sales")+SUMIFS(Data!$G$2:$G$2657,Data!$A$2:$A$2657,$A180,Data!$B$2:$B$2657,$B180,Data!$D$2:$D$2657,"Customer accounts, service &amp; sales"))/$D180,0)</f>
        <v>0.0888648621894853</v>
      </c>
      <c r="I180" s="10" t="n">
        <f aca="false">IFERROR((SUMIFS(Data!$E$2:$E$2657,Data!$A$2:$A$2657,$A180,Data!$B$2:$B$2657,$B180,Data!$D$2:$D$2657,"A&amp;G and general")+SUMIFS(Data!$G$2:$G$2657,Data!$A$2:$A$2657,$A180,Data!$B$2:$B$2657,$B180,Data!$D$2:$D$2657,"A&amp;G and general"))/$D180,0)</f>
        <v>0.430553369900055</v>
      </c>
      <c r="J180" s="10" t="n">
        <f aca="false">IFERROR(SUMIFS(Data!$F$2:$F$2657,Data!$A$2:$A$2657,$A180,Data!$B$2:$B$2657,$B180)/$D180,0)</f>
        <v>0.0352004485811148</v>
      </c>
      <c r="K180" s="11" t="n">
        <f aca="false">SUM(E180:I180)</f>
        <v>1</v>
      </c>
    </row>
    <row r="181" customFormat="false" ht="15" hidden="false" customHeight="false" outlineLevel="0" collapsed="false">
      <c r="A181" s="7" t="n">
        <v>2004</v>
      </c>
      <c r="B181" s="12" t="s">
        <v>75</v>
      </c>
      <c r="C181" s="12" t="s">
        <v>57</v>
      </c>
      <c r="D181" s="9" t="n">
        <f aca="false">SUMIFS(Data!$E$2:$E$2657,Data!$A$2:$A$2657,$A181,Data!$B$2:$B$2657,$B181)+SUMIFS(Data!$G$2:$G$2657,Data!$A$2:$A$2657,$A181,Data!$B$2:$B$2657,$B181)</f>
        <v>599.964079</v>
      </c>
      <c r="E181" s="10" t="n">
        <f aca="false">IFERROR((SUMIFS(Data!$E$2:$E$2657,Data!$A$2:$A$2657,$A181,Data!$B$2:$B$2657,$B181,Data!$D$2:$D$2657,"Transmission")+SUMIFS(Data!$G$2:$G$2657,Data!$A$2:$A$2657,$A181,Data!$B$2:$B$2657,$B181,Data!$D$2:$D$2657,"Transmission"))/$D181,0)</f>
        <v>0.218746492654604</v>
      </c>
      <c r="F181" s="10" t="n">
        <f aca="false">IFERROR((SUMIFS(Data!$E$2:$E$2657,Data!$A$2:$A$2657,$A181,Data!$B$2:$B$2657,$B181,Data!$D$2:$D$2657,"Distribution")+SUMIFS(Data!$G$2:$G$2657,Data!$A$2:$A$2657,$A181,Data!$B$2:$B$2657,$B181,Data!$D$2:$D$2657,"Distribution"))/$D181,0)</f>
        <v>0.277914779961352</v>
      </c>
      <c r="G181" s="10" t="n">
        <f aca="false">IFERROR((SUMIFS(Data!$E$2:$E$2657,Data!$A$2:$A$2657,$A181,Data!$B$2:$B$2657,$B181,Data!$D$2:$D$2657,"RTO/market operation")+SUMIFS(Data!$G$2:$G$2657,Data!$A$2:$A$2657,$A181,Data!$B$2:$B$2657,$B181,Data!$D$2:$D$2657,"RTO/market operation"))/$D181,0)</f>
        <v>0</v>
      </c>
      <c r="H181" s="10" t="n">
        <f aca="false">IFERROR((SUMIFS(Data!$E$2:$E$2657,Data!$A$2:$A$2657,$A181,Data!$B$2:$B$2657,$B181,Data!$D$2:$D$2657,"Customer accounts, service &amp; sales")+SUMIFS(Data!$G$2:$G$2657,Data!$A$2:$A$2657,$A181,Data!$B$2:$B$2657,$B181,Data!$D$2:$D$2657,"Customer accounts, service &amp; sales"))/$D181,0)</f>
        <v>0.177304644933584</v>
      </c>
      <c r="I181" s="10" t="n">
        <f aca="false">IFERROR((SUMIFS(Data!$E$2:$E$2657,Data!$A$2:$A$2657,$A181,Data!$B$2:$B$2657,$B181,Data!$D$2:$D$2657,"A&amp;G and general")+SUMIFS(Data!$G$2:$G$2657,Data!$A$2:$A$2657,$A181,Data!$B$2:$B$2657,$B181,Data!$D$2:$D$2657,"A&amp;G and general"))/$D181,0)</f>
        <v>0.326034082450459</v>
      </c>
      <c r="J181" s="10" t="n">
        <f aca="false">IFERROR(SUMIFS(Data!$F$2:$F$2657,Data!$A$2:$A$2657,$A181,Data!$B$2:$B$2657,$B181)/$D181,0)</f>
        <v>0.0727920946080507</v>
      </c>
      <c r="K181" s="11" t="n">
        <f aca="false">SUM(E181:I181)</f>
        <v>1</v>
      </c>
    </row>
    <row r="182" customFormat="false" ht="15" hidden="false" customHeight="false" outlineLevel="0" collapsed="false">
      <c r="A182" s="7" t="n">
        <v>2004</v>
      </c>
      <c r="B182" s="12" t="s">
        <v>76</v>
      </c>
      <c r="C182" s="12" t="s">
        <v>72</v>
      </c>
      <c r="D182" s="9" t="n">
        <f aca="false">SUMIFS(Data!$E$2:$E$2657,Data!$A$2:$A$2657,$A182,Data!$B$2:$B$2657,$B182)+SUMIFS(Data!$G$2:$G$2657,Data!$A$2:$A$2657,$A182,Data!$B$2:$B$2657,$B182)</f>
        <v>119.600888</v>
      </c>
      <c r="E182" s="10" t="n">
        <f aca="false">IFERROR((SUMIFS(Data!$E$2:$E$2657,Data!$A$2:$A$2657,$A182,Data!$B$2:$B$2657,$B182,Data!$D$2:$D$2657,"Transmission")+SUMIFS(Data!$G$2:$G$2657,Data!$A$2:$A$2657,$A182,Data!$B$2:$B$2657,$B182,Data!$D$2:$D$2657,"Transmission"))/$D182,0)</f>
        <v>0.286963488097179</v>
      </c>
      <c r="F182" s="10" t="n">
        <f aca="false">IFERROR((SUMIFS(Data!$E$2:$E$2657,Data!$A$2:$A$2657,$A182,Data!$B$2:$B$2657,$B182,Data!$D$2:$D$2657,"Distribution")+SUMIFS(Data!$G$2:$G$2657,Data!$A$2:$A$2657,$A182,Data!$B$2:$B$2657,$B182,Data!$D$2:$D$2657,"Distribution"))/$D182,0)</f>
        <v>0.306599537956608</v>
      </c>
      <c r="G182" s="10" t="n">
        <f aca="false">IFERROR((SUMIFS(Data!$E$2:$E$2657,Data!$A$2:$A$2657,$A182,Data!$B$2:$B$2657,$B182,Data!$D$2:$D$2657,"RTO/market operation")+SUMIFS(Data!$G$2:$G$2657,Data!$A$2:$A$2657,$A182,Data!$B$2:$B$2657,$B182,Data!$D$2:$D$2657,"RTO/market operation"))/$D182,0)</f>
        <v>0</v>
      </c>
      <c r="H182" s="10" t="n">
        <f aca="false">IFERROR((SUMIFS(Data!$E$2:$E$2657,Data!$A$2:$A$2657,$A182,Data!$B$2:$B$2657,$B182,Data!$D$2:$D$2657,"Customer accounts, service &amp; sales")+SUMIFS(Data!$G$2:$G$2657,Data!$A$2:$A$2657,$A182,Data!$B$2:$B$2657,$B182,Data!$D$2:$D$2657,"Customer accounts, service &amp; sales"))/$D182,0)</f>
        <v>0.149716003780842</v>
      </c>
      <c r="I182" s="10" t="n">
        <f aca="false">IFERROR((SUMIFS(Data!$E$2:$E$2657,Data!$A$2:$A$2657,$A182,Data!$B$2:$B$2657,$B182,Data!$D$2:$D$2657,"A&amp;G and general")+SUMIFS(Data!$G$2:$G$2657,Data!$A$2:$A$2657,$A182,Data!$B$2:$B$2657,$B182,Data!$D$2:$D$2657,"A&amp;G and general"))/$D182,0)</f>
        <v>0.256720970165372</v>
      </c>
      <c r="J182" s="10" t="n">
        <f aca="false">IFERROR(SUMIFS(Data!$F$2:$F$2657,Data!$A$2:$A$2657,$A182,Data!$B$2:$B$2657,$B182)/$D182,0)</f>
        <v>0</v>
      </c>
      <c r="K182" s="11" t="n">
        <f aca="false">SUM(E182:I182)</f>
        <v>1</v>
      </c>
    </row>
    <row r="183" customFormat="false" ht="15" hidden="false" customHeight="false" outlineLevel="0" collapsed="false">
      <c r="A183" s="7" t="n">
        <v>2004</v>
      </c>
      <c r="B183" s="12" t="s">
        <v>77</v>
      </c>
      <c r="C183" s="12" t="s">
        <v>57</v>
      </c>
      <c r="D183" s="9" t="n">
        <f aca="false">SUMIFS(Data!$E$2:$E$2657,Data!$A$2:$A$2657,$A183,Data!$B$2:$B$2657,$B183)+SUMIFS(Data!$G$2:$G$2657,Data!$A$2:$A$2657,$A183,Data!$B$2:$B$2657,$B183)</f>
        <v>76.811293</v>
      </c>
      <c r="E183" s="10" t="n">
        <f aca="false">IFERROR((SUMIFS(Data!$E$2:$E$2657,Data!$A$2:$A$2657,$A183,Data!$B$2:$B$2657,$B183,Data!$D$2:$D$2657,"Transmission")+SUMIFS(Data!$G$2:$G$2657,Data!$A$2:$A$2657,$A183,Data!$B$2:$B$2657,$B183,Data!$D$2:$D$2657,"Transmission"))/$D183,0)</f>
        <v>0.128480677964892</v>
      </c>
      <c r="F183" s="10" t="n">
        <f aca="false">IFERROR((SUMIFS(Data!$E$2:$E$2657,Data!$A$2:$A$2657,$A183,Data!$B$2:$B$2657,$B183,Data!$D$2:$D$2657,"Distribution")+SUMIFS(Data!$G$2:$G$2657,Data!$A$2:$A$2657,$A183,Data!$B$2:$B$2657,$B183,Data!$D$2:$D$2657,"Distribution"))/$D183,0)</f>
        <v>0.239767803414011</v>
      </c>
      <c r="G183" s="10" t="n">
        <f aca="false">IFERROR((SUMIFS(Data!$E$2:$E$2657,Data!$A$2:$A$2657,$A183,Data!$B$2:$B$2657,$B183,Data!$D$2:$D$2657,"RTO/market operation")+SUMIFS(Data!$G$2:$G$2657,Data!$A$2:$A$2657,$A183,Data!$B$2:$B$2657,$B183,Data!$D$2:$D$2657,"RTO/market operation"))/$D183,0)</f>
        <v>0</v>
      </c>
      <c r="H183" s="10" t="n">
        <f aca="false">IFERROR((SUMIFS(Data!$E$2:$E$2657,Data!$A$2:$A$2657,$A183,Data!$B$2:$B$2657,$B183,Data!$D$2:$D$2657,"Customer accounts, service &amp; sales")+SUMIFS(Data!$G$2:$G$2657,Data!$A$2:$A$2657,$A183,Data!$B$2:$B$2657,$B183,Data!$D$2:$D$2657,"Customer accounts, service &amp; sales"))/$D183,0)</f>
        <v>0.190939228167921</v>
      </c>
      <c r="I183" s="10" t="n">
        <f aca="false">IFERROR((SUMIFS(Data!$E$2:$E$2657,Data!$A$2:$A$2657,$A183,Data!$B$2:$B$2657,$B183,Data!$D$2:$D$2657,"A&amp;G and general")+SUMIFS(Data!$G$2:$G$2657,Data!$A$2:$A$2657,$A183,Data!$B$2:$B$2657,$B183,Data!$D$2:$D$2657,"A&amp;G and general"))/$D183,0)</f>
        <v>0.440812290453176</v>
      </c>
      <c r="J183" s="10" t="n">
        <f aca="false">IFERROR(SUMIFS(Data!$F$2:$F$2657,Data!$A$2:$A$2657,$A183,Data!$B$2:$B$2657,$B183)/$D183,0)</f>
        <v>0</v>
      </c>
      <c r="K183" s="11" t="n">
        <f aca="false">SUM(E183:I183)</f>
        <v>1</v>
      </c>
    </row>
    <row r="184" customFormat="false" ht="15" hidden="false" customHeight="false" outlineLevel="0" collapsed="false">
      <c r="A184" s="7" t="n">
        <v>2004</v>
      </c>
      <c r="B184" s="12" t="s">
        <v>78</v>
      </c>
      <c r="C184" s="12" t="s">
        <v>65</v>
      </c>
      <c r="D184" s="9" t="n">
        <f aca="false">SUMIFS(Data!$E$2:$E$2657,Data!$A$2:$A$2657,$A184,Data!$B$2:$B$2657,$B184)+SUMIFS(Data!$G$2:$G$2657,Data!$A$2:$A$2657,$A184,Data!$B$2:$B$2657,$B184)</f>
        <v>91.176591</v>
      </c>
      <c r="E184" s="10" t="n">
        <f aca="false">IFERROR((SUMIFS(Data!$E$2:$E$2657,Data!$A$2:$A$2657,$A184,Data!$B$2:$B$2657,$B184,Data!$D$2:$D$2657,"Transmission")+SUMIFS(Data!$G$2:$G$2657,Data!$A$2:$A$2657,$A184,Data!$B$2:$B$2657,$B184,Data!$D$2:$D$2657,"Transmission"))/$D184,0)</f>
        <v>0.0530167551449692</v>
      </c>
      <c r="F184" s="10" t="n">
        <f aca="false">IFERROR((SUMIFS(Data!$E$2:$E$2657,Data!$A$2:$A$2657,$A184,Data!$B$2:$B$2657,$B184,Data!$D$2:$D$2657,"Distribution")+SUMIFS(Data!$G$2:$G$2657,Data!$A$2:$A$2657,$A184,Data!$B$2:$B$2657,$B184,Data!$D$2:$D$2657,"Distribution"))/$D184,0)</f>
        <v>0.208782109434208</v>
      </c>
      <c r="G184" s="10" t="n">
        <f aca="false">IFERROR((SUMIFS(Data!$E$2:$E$2657,Data!$A$2:$A$2657,$A184,Data!$B$2:$B$2657,$B184,Data!$D$2:$D$2657,"RTO/market operation")+SUMIFS(Data!$G$2:$G$2657,Data!$A$2:$A$2657,$A184,Data!$B$2:$B$2657,$B184,Data!$D$2:$D$2657,"RTO/market operation"))/$D184,0)</f>
        <v>0</v>
      </c>
      <c r="H184" s="10" t="n">
        <f aca="false">IFERROR((SUMIFS(Data!$E$2:$E$2657,Data!$A$2:$A$2657,$A184,Data!$B$2:$B$2657,$B184,Data!$D$2:$D$2657,"Customer accounts, service &amp; sales")+SUMIFS(Data!$G$2:$G$2657,Data!$A$2:$A$2657,$A184,Data!$B$2:$B$2657,$B184,Data!$D$2:$D$2657,"Customer accounts, service &amp; sales"))/$D184,0)</f>
        <v>0.0645524463620273</v>
      </c>
      <c r="I184" s="10" t="n">
        <f aca="false">IFERROR((SUMIFS(Data!$E$2:$E$2657,Data!$A$2:$A$2657,$A184,Data!$B$2:$B$2657,$B184,Data!$D$2:$D$2657,"A&amp;G and general")+SUMIFS(Data!$G$2:$G$2657,Data!$A$2:$A$2657,$A184,Data!$B$2:$B$2657,$B184,Data!$D$2:$D$2657,"A&amp;G and general"))/$D184,0)</f>
        <v>0.673648689058796</v>
      </c>
      <c r="J184" s="10" t="n">
        <f aca="false">IFERROR(SUMIFS(Data!$F$2:$F$2657,Data!$A$2:$A$2657,$A184,Data!$B$2:$B$2657,$B184)/$D184,0)</f>
        <v>0</v>
      </c>
      <c r="K184" s="11" t="n">
        <f aca="false">SUM(E184:I184)</f>
        <v>1</v>
      </c>
    </row>
    <row r="185" customFormat="false" ht="15" hidden="false" customHeight="false" outlineLevel="0" collapsed="false">
      <c r="A185" s="7" t="n">
        <v>2004</v>
      </c>
      <c r="B185" s="12" t="s">
        <v>79</v>
      </c>
      <c r="C185" s="12" t="s">
        <v>72</v>
      </c>
      <c r="D185" s="9" t="n">
        <f aca="false">SUMIFS(Data!$E$2:$E$2657,Data!$A$2:$A$2657,$A185,Data!$B$2:$B$2657,$B185)+SUMIFS(Data!$G$2:$G$2657,Data!$A$2:$A$2657,$A185,Data!$B$2:$B$2657,$B185)</f>
        <v>554.816855</v>
      </c>
      <c r="E185" s="10" t="n">
        <f aca="false">IFERROR((SUMIFS(Data!$E$2:$E$2657,Data!$A$2:$A$2657,$A185,Data!$B$2:$B$2657,$B185,Data!$D$2:$D$2657,"Transmission")+SUMIFS(Data!$G$2:$G$2657,Data!$A$2:$A$2657,$A185,Data!$B$2:$B$2657,$B185,Data!$D$2:$D$2657,"Transmission"))/$D185,0)</f>
        <v>0.196161052100697</v>
      </c>
      <c r="F185" s="10" t="n">
        <f aca="false">IFERROR((SUMIFS(Data!$E$2:$E$2657,Data!$A$2:$A$2657,$A185,Data!$B$2:$B$2657,$B185,Data!$D$2:$D$2657,"Distribution")+SUMIFS(Data!$G$2:$G$2657,Data!$A$2:$A$2657,$A185,Data!$B$2:$B$2657,$B185,Data!$D$2:$D$2657,"Distribution"))/$D185,0)</f>
        <v>0.270039510605712</v>
      </c>
      <c r="G185" s="10" t="n">
        <f aca="false">IFERROR((SUMIFS(Data!$E$2:$E$2657,Data!$A$2:$A$2657,$A185,Data!$B$2:$B$2657,$B185,Data!$D$2:$D$2657,"RTO/market operation")+SUMIFS(Data!$G$2:$G$2657,Data!$A$2:$A$2657,$A185,Data!$B$2:$B$2657,$B185,Data!$D$2:$D$2657,"RTO/market operation"))/$D185,0)</f>
        <v>0</v>
      </c>
      <c r="H185" s="10" t="n">
        <f aca="false">IFERROR((SUMIFS(Data!$E$2:$E$2657,Data!$A$2:$A$2657,$A185,Data!$B$2:$B$2657,$B185,Data!$D$2:$D$2657,"Customer accounts, service &amp; sales")+SUMIFS(Data!$G$2:$G$2657,Data!$A$2:$A$2657,$A185,Data!$B$2:$B$2657,$B185,Data!$D$2:$D$2657,"Customer accounts, service &amp; sales"))/$D185,0)</f>
        <v>0.110842686998037</v>
      </c>
      <c r="I185" s="10" t="n">
        <f aca="false">IFERROR((SUMIFS(Data!$E$2:$E$2657,Data!$A$2:$A$2657,$A185,Data!$B$2:$B$2657,$B185,Data!$D$2:$D$2657,"A&amp;G and general")+SUMIFS(Data!$G$2:$G$2657,Data!$A$2:$A$2657,$A185,Data!$B$2:$B$2657,$B185,Data!$D$2:$D$2657,"A&amp;G and general"))/$D185,0)</f>
        <v>0.422956750295555</v>
      </c>
      <c r="J185" s="10" t="n">
        <f aca="false">IFERROR(SUMIFS(Data!$F$2:$F$2657,Data!$A$2:$A$2657,$A185,Data!$B$2:$B$2657,$B185)/$D185,0)</f>
        <v>0.194913808088977</v>
      </c>
      <c r="K185" s="11" t="n">
        <f aca="false">SUM(E185:I185)</f>
        <v>1</v>
      </c>
    </row>
    <row r="186" customFormat="false" ht="15" hidden="false" customHeight="false" outlineLevel="0" collapsed="false">
      <c r="A186" s="7" t="n">
        <v>2004</v>
      </c>
      <c r="B186" s="12" t="s">
        <v>80</v>
      </c>
      <c r="C186" s="12" t="s">
        <v>72</v>
      </c>
      <c r="D186" s="9" t="n">
        <f aca="false">SUMIFS(Data!$E$2:$E$2657,Data!$A$2:$A$2657,$A186,Data!$B$2:$B$2657,$B186)+SUMIFS(Data!$G$2:$G$2657,Data!$A$2:$A$2657,$A186,Data!$B$2:$B$2657,$B186)</f>
        <v>251.311772</v>
      </c>
      <c r="E186" s="10" t="n">
        <f aca="false">IFERROR((SUMIFS(Data!$E$2:$E$2657,Data!$A$2:$A$2657,$A186,Data!$B$2:$B$2657,$B186,Data!$D$2:$D$2657,"Transmission")+SUMIFS(Data!$G$2:$G$2657,Data!$A$2:$A$2657,$A186,Data!$B$2:$B$2657,$B186,Data!$D$2:$D$2657,"Transmission"))/$D186,0)</f>
        <v>0.230554408728613</v>
      </c>
      <c r="F186" s="10" t="n">
        <f aca="false">IFERROR((SUMIFS(Data!$E$2:$E$2657,Data!$A$2:$A$2657,$A186,Data!$B$2:$B$2657,$B186,Data!$D$2:$D$2657,"Distribution")+SUMIFS(Data!$G$2:$G$2657,Data!$A$2:$A$2657,$A186,Data!$B$2:$B$2657,$B186,Data!$D$2:$D$2657,"Distribution"))/$D186,0)</f>
        <v>0.238866645689801</v>
      </c>
      <c r="G186" s="10" t="n">
        <f aca="false">IFERROR((SUMIFS(Data!$E$2:$E$2657,Data!$A$2:$A$2657,$A186,Data!$B$2:$B$2657,$B186,Data!$D$2:$D$2657,"RTO/market operation")+SUMIFS(Data!$G$2:$G$2657,Data!$A$2:$A$2657,$A186,Data!$B$2:$B$2657,$B186,Data!$D$2:$D$2657,"RTO/market operation"))/$D186,0)</f>
        <v>0</v>
      </c>
      <c r="H186" s="10" t="n">
        <f aca="false">IFERROR((SUMIFS(Data!$E$2:$E$2657,Data!$A$2:$A$2657,$A186,Data!$B$2:$B$2657,$B186,Data!$D$2:$D$2657,"Customer accounts, service &amp; sales")+SUMIFS(Data!$G$2:$G$2657,Data!$A$2:$A$2657,$A186,Data!$B$2:$B$2657,$B186,Data!$D$2:$D$2657,"Customer accounts, service &amp; sales"))/$D186,0)</f>
        <v>0.166255809138937</v>
      </c>
      <c r="I186" s="10" t="n">
        <f aca="false">IFERROR((SUMIFS(Data!$E$2:$E$2657,Data!$A$2:$A$2657,$A186,Data!$B$2:$B$2657,$B186,Data!$D$2:$D$2657,"A&amp;G and general")+SUMIFS(Data!$G$2:$G$2657,Data!$A$2:$A$2657,$A186,Data!$B$2:$B$2657,$B186,Data!$D$2:$D$2657,"A&amp;G and general"))/$D186,0)</f>
        <v>0.364323136442649</v>
      </c>
      <c r="J186" s="10" t="n">
        <f aca="false">IFERROR(SUMIFS(Data!$F$2:$F$2657,Data!$A$2:$A$2657,$A186,Data!$B$2:$B$2657,$B186)/$D186,0)</f>
        <v>0.230510710019585</v>
      </c>
      <c r="K186" s="11" t="n">
        <f aca="false">SUM(E186:I186)</f>
        <v>1</v>
      </c>
    </row>
    <row r="187" customFormat="false" ht="15" hidden="false" customHeight="false" outlineLevel="0" collapsed="false">
      <c r="A187" s="7" t="n">
        <v>2004</v>
      </c>
      <c r="B187" s="12" t="s">
        <v>81</v>
      </c>
      <c r="C187" s="12" t="s">
        <v>72</v>
      </c>
      <c r="D187" s="9" t="n">
        <f aca="false">SUMIFS(Data!$E$2:$E$2657,Data!$A$2:$A$2657,$A187,Data!$B$2:$B$2657,$B187)+SUMIFS(Data!$G$2:$G$2657,Data!$A$2:$A$2657,$A187,Data!$B$2:$B$2657,$B187)</f>
        <v>240.43207</v>
      </c>
      <c r="E187" s="10" t="n">
        <f aca="false">IFERROR((SUMIFS(Data!$E$2:$E$2657,Data!$A$2:$A$2657,$A187,Data!$B$2:$B$2657,$B187,Data!$D$2:$D$2657,"Transmission")+SUMIFS(Data!$G$2:$G$2657,Data!$A$2:$A$2657,$A187,Data!$B$2:$B$2657,$B187,Data!$D$2:$D$2657,"Transmission"))/$D187,0)</f>
        <v>0.230622100454403</v>
      </c>
      <c r="F187" s="10" t="n">
        <f aca="false">IFERROR((SUMIFS(Data!$E$2:$E$2657,Data!$A$2:$A$2657,$A187,Data!$B$2:$B$2657,$B187,Data!$D$2:$D$2657,"Distribution")+SUMIFS(Data!$G$2:$G$2657,Data!$A$2:$A$2657,$A187,Data!$B$2:$B$2657,$B187,Data!$D$2:$D$2657,"Distribution"))/$D187,0)</f>
        <v>0.258151759871302</v>
      </c>
      <c r="G187" s="10" t="n">
        <f aca="false">IFERROR((SUMIFS(Data!$E$2:$E$2657,Data!$A$2:$A$2657,$A187,Data!$B$2:$B$2657,$B187,Data!$D$2:$D$2657,"RTO/market operation")+SUMIFS(Data!$G$2:$G$2657,Data!$A$2:$A$2657,$A187,Data!$B$2:$B$2657,$B187,Data!$D$2:$D$2657,"RTO/market operation"))/$D187,0)</f>
        <v>0</v>
      </c>
      <c r="H187" s="10" t="n">
        <f aca="false">IFERROR((SUMIFS(Data!$E$2:$E$2657,Data!$A$2:$A$2657,$A187,Data!$B$2:$B$2657,$B187,Data!$D$2:$D$2657,"Customer accounts, service &amp; sales")+SUMIFS(Data!$G$2:$G$2657,Data!$A$2:$A$2657,$A187,Data!$B$2:$B$2657,$B187,Data!$D$2:$D$2657,"Customer accounts, service &amp; sales"))/$D187,0)</f>
        <v>0.145139647967927</v>
      </c>
      <c r="I187" s="10" t="n">
        <f aca="false">IFERROR((SUMIFS(Data!$E$2:$E$2657,Data!$A$2:$A$2657,$A187,Data!$B$2:$B$2657,$B187,Data!$D$2:$D$2657,"A&amp;G and general")+SUMIFS(Data!$G$2:$G$2657,Data!$A$2:$A$2657,$A187,Data!$B$2:$B$2657,$B187,Data!$D$2:$D$2657,"A&amp;G and general"))/$D187,0)</f>
        <v>0.366086491706368</v>
      </c>
      <c r="J187" s="10" t="n">
        <f aca="false">IFERROR(SUMIFS(Data!$F$2:$F$2657,Data!$A$2:$A$2657,$A187,Data!$B$2:$B$2657,$B187)/$D187,0)</f>
        <v>0.225935017737027</v>
      </c>
      <c r="K187" s="11" t="n">
        <f aca="false">SUM(E187:I187)</f>
        <v>1</v>
      </c>
    </row>
    <row r="188" customFormat="false" ht="15" hidden="false" customHeight="false" outlineLevel="0" collapsed="false">
      <c r="A188" s="7" t="n">
        <v>2005</v>
      </c>
      <c r="B188" s="12" t="s">
        <v>56</v>
      </c>
      <c r="C188" s="12" t="s">
        <v>57</v>
      </c>
      <c r="D188" s="9" t="n">
        <f aca="false">SUMIFS(Data!$E$2:$E$2657,Data!$A$2:$A$2657,$A188,Data!$B$2:$B$2657,$B188)+SUMIFS(Data!$G$2:$G$2657,Data!$A$2:$A$2657,$A188,Data!$B$2:$B$2657,$B188)</f>
        <v>118.822581</v>
      </c>
      <c r="E188" s="10" t="n">
        <f aca="false">IFERROR((SUMIFS(Data!$E$2:$E$2657,Data!$A$2:$A$2657,$A188,Data!$B$2:$B$2657,$B188,Data!$D$2:$D$2657,"Transmission")+SUMIFS(Data!$G$2:$G$2657,Data!$A$2:$A$2657,$A188,Data!$B$2:$B$2657,$B188,Data!$D$2:$D$2657,"Transmission"))/$D188,0)</f>
        <v>0.186088265495596</v>
      </c>
      <c r="F188" s="10" t="n">
        <f aca="false">IFERROR((SUMIFS(Data!$E$2:$E$2657,Data!$A$2:$A$2657,$A188,Data!$B$2:$B$2657,$B188,Data!$D$2:$D$2657,"Distribution")+SUMIFS(Data!$G$2:$G$2657,Data!$A$2:$A$2657,$A188,Data!$B$2:$B$2657,$B188,Data!$D$2:$D$2657,"Distribution"))/$D188,0)</f>
        <v>0.236198572390883</v>
      </c>
      <c r="G188" s="10" t="n">
        <f aca="false">IFERROR((SUMIFS(Data!$E$2:$E$2657,Data!$A$2:$A$2657,$A188,Data!$B$2:$B$2657,$B188,Data!$D$2:$D$2657,"RTO/market operation")+SUMIFS(Data!$G$2:$G$2657,Data!$A$2:$A$2657,$A188,Data!$B$2:$B$2657,$B188,Data!$D$2:$D$2657,"RTO/market operation"))/$D188,0)</f>
        <v>0</v>
      </c>
      <c r="H188" s="10" t="n">
        <f aca="false">IFERROR((SUMIFS(Data!$E$2:$E$2657,Data!$A$2:$A$2657,$A188,Data!$B$2:$B$2657,$B188,Data!$D$2:$D$2657,"Customer accounts, service &amp; sales")+SUMIFS(Data!$G$2:$G$2657,Data!$A$2:$A$2657,$A188,Data!$B$2:$B$2657,$B188,Data!$D$2:$D$2657,"Customer accounts, service &amp; sales"))/$D188,0)</f>
        <v>0.140558148623282</v>
      </c>
      <c r="I188" s="10" t="n">
        <f aca="false">IFERROR((SUMIFS(Data!$E$2:$E$2657,Data!$A$2:$A$2657,$A188,Data!$B$2:$B$2657,$B188,Data!$D$2:$D$2657,"A&amp;G and general")+SUMIFS(Data!$G$2:$G$2657,Data!$A$2:$A$2657,$A188,Data!$B$2:$B$2657,$B188,Data!$D$2:$D$2657,"A&amp;G and general"))/$D188,0)</f>
        <v>0.437155013490239</v>
      </c>
      <c r="J188" s="10" t="n">
        <f aca="false">IFERROR(SUMIFS(Data!$F$2:$F$2657,Data!$A$2:$A$2657,$A188,Data!$B$2:$B$2657,$B188)/$D188,0)</f>
        <v>0.0687118301192262</v>
      </c>
      <c r="K188" s="11" t="n">
        <f aca="false">SUM(E188:I188)</f>
        <v>1</v>
      </c>
    </row>
    <row r="189" customFormat="false" ht="15" hidden="false" customHeight="false" outlineLevel="0" collapsed="false">
      <c r="A189" s="7" t="n">
        <v>2005</v>
      </c>
      <c r="B189" s="12" t="s">
        <v>58</v>
      </c>
      <c r="C189" s="12" t="s">
        <v>59</v>
      </c>
      <c r="D189" s="9" t="n">
        <f aca="false">SUMIFS(Data!$E$2:$E$2657,Data!$A$2:$A$2657,$A189,Data!$B$2:$B$2657,$B189)+SUMIFS(Data!$G$2:$G$2657,Data!$A$2:$A$2657,$A189,Data!$B$2:$B$2657,$B189)</f>
        <v>503.531563</v>
      </c>
      <c r="E189" s="10" t="n">
        <f aca="false">IFERROR((SUMIFS(Data!$E$2:$E$2657,Data!$A$2:$A$2657,$A189,Data!$B$2:$B$2657,$B189,Data!$D$2:$D$2657,"Transmission")+SUMIFS(Data!$G$2:$G$2657,Data!$A$2:$A$2657,$A189,Data!$B$2:$B$2657,$B189,Data!$D$2:$D$2657,"Transmission"))/$D189,0)</f>
        <v>0.0997454393936374</v>
      </c>
      <c r="F189" s="10" t="n">
        <f aca="false">IFERROR((SUMIFS(Data!$E$2:$E$2657,Data!$A$2:$A$2657,$A189,Data!$B$2:$B$2657,$B189,Data!$D$2:$D$2657,"Distribution")+SUMIFS(Data!$G$2:$G$2657,Data!$A$2:$A$2657,$A189,Data!$B$2:$B$2657,$B189,Data!$D$2:$D$2657,"Distribution"))/$D189,0)</f>
        <v>0.482576326600603</v>
      </c>
      <c r="G189" s="10" t="n">
        <f aca="false">IFERROR((SUMIFS(Data!$E$2:$E$2657,Data!$A$2:$A$2657,$A189,Data!$B$2:$B$2657,$B189,Data!$D$2:$D$2657,"RTO/market operation")+SUMIFS(Data!$G$2:$G$2657,Data!$A$2:$A$2657,$A189,Data!$B$2:$B$2657,$B189,Data!$D$2:$D$2657,"RTO/market operation"))/$D189,0)</f>
        <v>0</v>
      </c>
      <c r="H189" s="10" t="n">
        <f aca="false">IFERROR((SUMIFS(Data!$E$2:$E$2657,Data!$A$2:$A$2657,$A189,Data!$B$2:$B$2657,$B189,Data!$D$2:$D$2657,"Customer accounts, service &amp; sales")+SUMIFS(Data!$G$2:$G$2657,Data!$A$2:$A$2657,$A189,Data!$B$2:$B$2657,$B189,Data!$D$2:$D$2657,"Customer accounts, service &amp; sales"))/$D189,0)</f>
        <v>0.103631672439966</v>
      </c>
      <c r="I189" s="10" t="n">
        <f aca="false">IFERROR((SUMIFS(Data!$E$2:$E$2657,Data!$A$2:$A$2657,$A189,Data!$B$2:$B$2657,$B189,Data!$D$2:$D$2657,"A&amp;G and general")+SUMIFS(Data!$G$2:$G$2657,Data!$A$2:$A$2657,$A189,Data!$B$2:$B$2657,$B189,Data!$D$2:$D$2657,"A&amp;G and general"))/$D189,0)</f>
        <v>0.314046561565794</v>
      </c>
      <c r="J189" s="10" t="n">
        <f aca="false">IFERROR(SUMIFS(Data!$F$2:$F$2657,Data!$A$2:$A$2657,$A189,Data!$B$2:$B$2657,$B189)/$D189,0)</f>
        <v>0.0342393293029776</v>
      </c>
      <c r="K189" s="11" t="n">
        <f aca="false">SUM(E189:I189)</f>
        <v>1</v>
      </c>
    </row>
    <row r="190" customFormat="false" ht="15" hidden="false" customHeight="false" outlineLevel="0" collapsed="false">
      <c r="A190" s="7" t="n">
        <v>2005</v>
      </c>
      <c r="B190" s="12" t="s">
        <v>60</v>
      </c>
      <c r="C190" s="12" t="s">
        <v>59</v>
      </c>
      <c r="D190" s="9" t="n">
        <f aca="false">SUMIFS(Data!$E$2:$E$2657,Data!$A$2:$A$2657,$A190,Data!$B$2:$B$2657,$B190)+SUMIFS(Data!$G$2:$G$2657,Data!$A$2:$A$2657,$A190,Data!$B$2:$B$2657,$B190)</f>
        <v>1500.11917</v>
      </c>
      <c r="E190" s="10" t="n">
        <f aca="false">IFERROR((SUMIFS(Data!$E$2:$E$2657,Data!$A$2:$A$2657,$A190,Data!$B$2:$B$2657,$B190,Data!$D$2:$D$2657,"Transmission")+SUMIFS(Data!$G$2:$G$2657,Data!$A$2:$A$2657,$A190,Data!$B$2:$B$2657,$B190,Data!$D$2:$D$2657,"Transmission"))/$D190,0)</f>
        <v>0.280879647714921</v>
      </c>
      <c r="F190" s="10" t="n">
        <f aca="false">IFERROR((SUMIFS(Data!$E$2:$E$2657,Data!$A$2:$A$2657,$A190,Data!$B$2:$B$2657,$B190,Data!$D$2:$D$2657,"Distribution")+SUMIFS(Data!$G$2:$G$2657,Data!$A$2:$A$2657,$A190,Data!$B$2:$B$2657,$B190,Data!$D$2:$D$2657,"Distribution"))/$D190,0)</f>
        <v>0.357525317138638</v>
      </c>
      <c r="G190" s="10" t="n">
        <f aca="false">IFERROR((SUMIFS(Data!$E$2:$E$2657,Data!$A$2:$A$2657,$A190,Data!$B$2:$B$2657,$B190,Data!$D$2:$D$2657,"RTO/market operation")+SUMIFS(Data!$G$2:$G$2657,Data!$A$2:$A$2657,$A190,Data!$B$2:$B$2657,$B190,Data!$D$2:$D$2657,"RTO/market operation"))/$D190,0)</f>
        <v>0</v>
      </c>
      <c r="H190" s="10" t="n">
        <f aca="false">IFERROR((SUMIFS(Data!$E$2:$E$2657,Data!$A$2:$A$2657,$A190,Data!$B$2:$B$2657,$B190,Data!$D$2:$D$2657,"Customer accounts, service &amp; sales")+SUMIFS(Data!$G$2:$G$2657,Data!$A$2:$A$2657,$A190,Data!$B$2:$B$2657,$B190,Data!$D$2:$D$2657,"Customer accounts, service &amp; sales"))/$D190,0)</f>
        <v>0.117253461936627</v>
      </c>
      <c r="I190" s="10" t="n">
        <f aca="false">IFERROR((SUMIFS(Data!$E$2:$E$2657,Data!$A$2:$A$2657,$A190,Data!$B$2:$B$2657,$B190,Data!$D$2:$D$2657,"A&amp;G and general")+SUMIFS(Data!$G$2:$G$2657,Data!$A$2:$A$2657,$A190,Data!$B$2:$B$2657,$B190,Data!$D$2:$D$2657,"A&amp;G and general"))/$D190,0)</f>
        <v>0.244341573209814</v>
      </c>
      <c r="J190" s="10" t="n">
        <f aca="false">IFERROR(SUMIFS(Data!$F$2:$F$2657,Data!$A$2:$A$2657,$A190,Data!$B$2:$B$2657,$B190)/$D190,0)</f>
        <v>0.0011770931505395</v>
      </c>
      <c r="K190" s="11" t="n">
        <f aca="false">SUM(E190:I190)</f>
        <v>1</v>
      </c>
    </row>
    <row r="191" customFormat="false" ht="15" hidden="false" customHeight="false" outlineLevel="0" collapsed="false">
      <c r="A191" s="7" t="n">
        <v>2005</v>
      </c>
      <c r="B191" s="12" t="s">
        <v>61</v>
      </c>
      <c r="C191" s="12" t="s">
        <v>62</v>
      </c>
      <c r="D191" s="9" t="n">
        <f aca="false">SUMIFS(Data!$E$2:$E$2657,Data!$A$2:$A$2657,$A191,Data!$B$2:$B$2657,$B191)+SUMIFS(Data!$G$2:$G$2657,Data!$A$2:$A$2657,$A191,Data!$B$2:$B$2657,$B191)</f>
        <v>550.151115</v>
      </c>
      <c r="E191" s="10" t="n">
        <f aca="false">IFERROR((SUMIFS(Data!$E$2:$E$2657,Data!$A$2:$A$2657,$A191,Data!$B$2:$B$2657,$B191,Data!$D$2:$D$2657,"Transmission")+SUMIFS(Data!$G$2:$G$2657,Data!$A$2:$A$2657,$A191,Data!$B$2:$B$2657,$B191,Data!$D$2:$D$2657,"Transmission"))/$D191,0)</f>
        <v>0.110569798627055</v>
      </c>
      <c r="F191" s="10" t="n">
        <f aca="false">IFERROR((SUMIFS(Data!$E$2:$E$2657,Data!$A$2:$A$2657,$A191,Data!$B$2:$B$2657,$B191,Data!$D$2:$D$2657,"Distribution")+SUMIFS(Data!$G$2:$G$2657,Data!$A$2:$A$2657,$A191,Data!$B$2:$B$2657,$B191,Data!$D$2:$D$2657,"Distribution"))/$D191,0)</f>
        <v>0.437335925421145</v>
      </c>
      <c r="G191" s="10" t="n">
        <f aca="false">IFERROR((SUMIFS(Data!$E$2:$E$2657,Data!$A$2:$A$2657,$A191,Data!$B$2:$B$2657,$B191,Data!$D$2:$D$2657,"RTO/market operation")+SUMIFS(Data!$G$2:$G$2657,Data!$A$2:$A$2657,$A191,Data!$B$2:$B$2657,$B191,Data!$D$2:$D$2657,"RTO/market operation"))/$D191,0)</f>
        <v>0</v>
      </c>
      <c r="H191" s="10" t="n">
        <f aca="false">IFERROR((SUMIFS(Data!$E$2:$E$2657,Data!$A$2:$A$2657,$A191,Data!$B$2:$B$2657,$B191,Data!$D$2:$D$2657,"Customer accounts, service &amp; sales")+SUMIFS(Data!$G$2:$G$2657,Data!$A$2:$A$2657,$A191,Data!$B$2:$B$2657,$B191,Data!$D$2:$D$2657,"Customer accounts, service &amp; sales"))/$D191,0)</f>
        <v>0.105171683601877</v>
      </c>
      <c r="I191" s="10" t="n">
        <f aca="false">IFERROR((SUMIFS(Data!$E$2:$E$2657,Data!$A$2:$A$2657,$A191,Data!$B$2:$B$2657,$B191,Data!$D$2:$D$2657,"A&amp;G and general")+SUMIFS(Data!$G$2:$G$2657,Data!$A$2:$A$2657,$A191,Data!$B$2:$B$2657,$B191,Data!$D$2:$D$2657,"A&amp;G and general"))/$D191,0)</f>
        <v>0.346922592349922</v>
      </c>
      <c r="J191" s="10" t="n">
        <f aca="false">IFERROR(SUMIFS(Data!$F$2:$F$2657,Data!$A$2:$A$2657,$A191,Data!$B$2:$B$2657,$B191)/$D191,0)</f>
        <v>0.110569798627055</v>
      </c>
      <c r="K191" s="11" t="n">
        <f aca="false">SUM(E191:I191)</f>
        <v>1</v>
      </c>
    </row>
    <row r="192" customFormat="false" ht="15" hidden="false" customHeight="false" outlineLevel="0" collapsed="false">
      <c r="A192" s="7" t="n">
        <v>2005</v>
      </c>
      <c r="B192" s="12" t="s">
        <v>63</v>
      </c>
      <c r="C192" s="12" t="s">
        <v>62</v>
      </c>
      <c r="D192" s="9" t="n">
        <f aca="false">SUMIFS(Data!$E$2:$E$2657,Data!$A$2:$A$2657,$A192,Data!$B$2:$B$2657,$B192)+SUMIFS(Data!$G$2:$G$2657,Data!$A$2:$A$2657,$A192,Data!$B$2:$B$2657,$B192)</f>
        <v>1325.729295</v>
      </c>
      <c r="E192" s="10" t="n">
        <f aca="false">IFERROR((SUMIFS(Data!$E$2:$E$2657,Data!$A$2:$A$2657,$A192,Data!$B$2:$B$2657,$B192,Data!$D$2:$D$2657,"Transmission")+SUMIFS(Data!$G$2:$G$2657,Data!$A$2:$A$2657,$A192,Data!$B$2:$B$2657,$B192,Data!$D$2:$D$2657,"Transmission"))/$D192,0)</f>
        <v>0.139267503325406</v>
      </c>
      <c r="F192" s="10" t="n">
        <f aca="false">IFERROR((SUMIFS(Data!$E$2:$E$2657,Data!$A$2:$A$2657,$A192,Data!$B$2:$B$2657,$B192,Data!$D$2:$D$2657,"Distribution")+SUMIFS(Data!$G$2:$G$2657,Data!$A$2:$A$2657,$A192,Data!$B$2:$B$2657,$B192,Data!$D$2:$D$2657,"Distribution"))/$D192,0)</f>
        <v>0.309833854127814</v>
      </c>
      <c r="G192" s="10" t="n">
        <f aca="false">IFERROR((SUMIFS(Data!$E$2:$E$2657,Data!$A$2:$A$2657,$A192,Data!$B$2:$B$2657,$B192,Data!$D$2:$D$2657,"RTO/market operation")+SUMIFS(Data!$G$2:$G$2657,Data!$A$2:$A$2657,$A192,Data!$B$2:$B$2657,$B192,Data!$D$2:$D$2657,"RTO/market operation"))/$D192,0)</f>
        <v>0</v>
      </c>
      <c r="H192" s="10" t="n">
        <f aca="false">IFERROR((SUMIFS(Data!$E$2:$E$2657,Data!$A$2:$A$2657,$A192,Data!$B$2:$B$2657,$B192,Data!$D$2:$D$2657,"Customer accounts, service &amp; sales")+SUMIFS(Data!$G$2:$G$2657,Data!$A$2:$A$2657,$A192,Data!$B$2:$B$2657,$B192,Data!$D$2:$D$2657,"Customer accounts, service &amp; sales"))/$D192,0)</f>
        <v>0.124558068244241</v>
      </c>
      <c r="I192" s="10" t="n">
        <f aca="false">IFERROR((SUMIFS(Data!$E$2:$E$2657,Data!$A$2:$A$2657,$A192,Data!$B$2:$B$2657,$B192,Data!$D$2:$D$2657,"A&amp;G and general")+SUMIFS(Data!$G$2:$G$2657,Data!$A$2:$A$2657,$A192,Data!$B$2:$B$2657,$B192,Data!$D$2:$D$2657,"A&amp;G and general"))/$D192,0)</f>
        <v>0.426340574302539</v>
      </c>
      <c r="J192" s="10" t="n">
        <f aca="false">IFERROR(SUMIFS(Data!$F$2:$F$2657,Data!$A$2:$A$2657,$A192,Data!$B$2:$B$2657,$B192)/$D192,0)</f>
        <v>0.117375550639846</v>
      </c>
      <c r="K192" s="11" t="n">
        <f aca="false">SUM(E192:I192)</f>
        <v>1</v>
      </c>
    </row>
    <row r="193" customFormat="false" ht="15" hidden="false" customHeight="false" outlineLevel="0" collapsed="false">
      <c r="A193" s="7" t="n">
        <v>2005</v>
      </c>
      <c r="B193" s="12" t="s">
        <v>64</v>
      </c>
      <c r="C193" s="12" t="s">
        <v>65</v>
      </c>
      <c r="D193" s="9" t="n">
        <f aca="false">SUMIFS(Data!$E$2:$E$2657,Data!$A$2:$A$2657,$A193,Data!$B$2:$B$2657,$B193)+SUMIFS(Data!$G$2:$G$2657,Data!$A$2:$A$2657,$A193,Data!$B$2:$B$2657,$B193)</f>
        <v>442.512643</v>
      </c>
      <c r="E193" s="10" t="n">
        <f aca="false">IFERROR((SUMIFS(Data!$E$2:$E$2657,Data!$A$2:$A$2657,$A193,Data!$B$2:$B$2657,$B193,Data!$D$2:$D$2657,"Transmission")+SUMIFS(Data!$G$2:$G$2657,Data!$A$2:$A$2657,$A193,Data!$B$2:$B$2657,$B193,Data!$D$2:$D$2657,"Transmission"))/$D193,0)</f>
        <v>0.105888631073531</v>
      </c>
      <c r="F193" s="10" t="n">
        <f aca="false">IFERROR((SUMIFS(Data!$E$2:$E$2657,Data!$A$2:$A$2657,$A193,Data!$B$2:$B$2657,$B193,Data!$D$2:$D$2657,"Distribution")+SUMIFS(Data!$G$2:$G$2657,Data!$A$2:$A$2657,$A193,Data!$B$2:$B$2657,$B193,Data!$D$2:$D$2657,"Distribution"))/$D193,0)</f>
        <v>0.257278565484964</v>
      </c>
      <c r="G193" s="10" t="n">
        <f aca="false">IFERROR((SUMIFS(Data!$E$2:$E$2657,Data!$A$2:$A$2657,$A193,Data!$B$2:$B$2657,$B193,Data!$D$2:$D$2657,"RTO/market operation")+SUMIFS(Data!$G$2:$G$2657,Data!$A$2:$A$2657,$A193,Data!$B$2:$B$2657,$B193,Data!$D$2:$D$2657,"RTO/market operation"))/$D193,0)</f>
        <v>0</v>
      </c>
      <c r="H193" s="10" t="n">
        <f aca="false">IFERROR((SUMIFS(Data!$E$2:$E$2657,Data!$A$2:$A$2657,$A193,Data!$B$2:$B$2657,$B193,Data!$D$2:$D$2657,"Customer accounts, service &amp; sales")+SUMIFS(Data!$G$2:$G$2657,Data!$A$2:$A$2657,$A193,Data!$B$2:$B$2657,$B193,Data!$D$2:$D$2657,"Customer accounts, service &amp; sales"))/$D193,0)</f>
        <v>0.0966315757898018</v>
      </c>
      <c r="I193" s="10" t="n">
        <f aca="false">IFERROR((SUMIFS(Data!$E$2:$E$2657,Data!$A$2:$A$2657,$A193,Data!$B$2:$B$2657,$B193,Data!$D$2:$D$2657,"A&amp;G and general")+SUMIFS(Data!$G$2:$G$2657,Data!$A$2:$A$2657,$A193,Data!$B$2:$B$2657,$B193,Data!$D$2:$D$2657,"A&amp;G and general"))/$D193,0)</f>
        <v>0.540201227651703</v>
      </c>
      <c r="J193" s="10" t="n">
        <f aca="false">IFERROR(SUMIFS(Data!$F$2:$F$2657,Data!$A$2:$A$2657,$A193,Data!$B$2:$B$2657,$B193)/$D193,0)</f>
        <v>0.00538365634900063</v>
      </c>
      <c r="K193" s="11" t="n">
        <f aca="false">SUM(E193:I193)</f>
        <v>1</v>
      </c>
    </row>
    <row r="194" customFormat="false" ht="15" hidden="false" customHeight="false" outlineLevel="0" collapsed="false">
      <c r="A194" s="7" t="n">
        <v>2005</v>
      </c>
      <c r="B194" s="12" t="s">
        <v>66</v>
      </c>
      <c r="C194" s="12" t="s">
        <v>67</v>
      </c>
      <c r="D194" s="9" t="n">
        <f aca="false">SUMIFS(Data!$E$2:$E$2657,Data!$A$2:$A$2657,$A194,Data!$B$2:$B$2657,$B194)+SUMIFS(Data!$G$2:$G$2657,Data!$A$2:$A$2657,$A194,Data!$B$2:$B$2657,$B194)</f>
        <v>258.659417</v>
      </c>
      <c r="E194" s="10" t="n">
        <f aca="false">IFERROR((SUMIFS(Data!$E$2:$E$2657,Data!$A$2:$A$2657,$A194,Data!$B$2:$B$2657,$B194,Data!$D$2:$D$2657,"Transmission")+SUMIFS(Data!$G$2:$G$2657,Data!$A$2:$A$2657,$A194,Data!$B$2:$B$2657,$B194,Data!$D$2:$D$2657,"Transmission"))/$D194,0)</f>
        <v>-0.0404898345533656</v>
      </c>
      <c r="F194" s="10" t="n">
        <f aca="false">IFERROR((SUMIFS(Data!$E$2:$E$2657,Data!$A$2:$A$2657,$A194,Data!$B$2:$B$2657,$B194,Data!$D$2:$D$2657,"Distribution")+SUMIFS(Data!$G$2:$G$2657,Data!$A$2:$A$2657,$A194,Data!$B$2:$B$2657,$B194,Data!$D$2:$D$2657,"Distribution"))/$D194,0)</f>
        <v>0.435570312137524</v>
      </c>
      <c r="G194" s="10" t="n">
        <f aca="false">IFERROR((SUMIFS(Data!$E$2:$E$2657,Data!$A$2:$A$2657,$A194,Data!$B$2:$B$2657,$B194,Data!$D$2:$D$2657,"RTO/market operation")+SUMIFS(Data!$G$2:$G$2657,Data!$A$2:$A$2657,$A194,Data!$B$2:$B$2657,$B194,Data!$D$2:$D$2657,"RTO/market operation"))/$D194,0)</f>
        <v>0</v>
      </c>
      <c r="H194" s="10" t="n">
        <f aca="false">IFERROR((SUMIFS(Data!$E$2:$E$2657,Data!$A$2:$A$2657,$A194,Data!$B$2:$B$2657,$B194,Data!$D$2:$D$2657,"Customer accounts, service &amp; sales")+SUMIFS(Data!$G$2:$G$2657,Data!$A$2:$A$2657,$A194,Data!$B$2:$B$2657,$B194,Data!$D$2:$D$2657,"Customer accounts, service &amp; sales"))/$D194,0)</f>
        <v>0.0989347857379575</v>
      </c>
      <c r="I194" s="10" t="n">
        <f aca="false">IFERROR((SUMIFS(Data!$E$2:$E$2657,Data!$A$2:$A$2657,$A194,Data!$B$2:$B$2657,$B194,Data!$D$2:$D$2657,"A&amp;G and general")+SUMIFS(Data!$G$2:$G$2657,Data!$A$2:$A$2657,$A194,Data!$B$2:$B$2657,$B194,Data!$D$2:$D$2657,"A&amp;G and general"))/$D194,0)</f>
        <v>0.505984736677884</v>
      </c>
      <c r="J194" s="10" t="n">
        <f aca="false">IFERROR(SUMIFS(Data!$F$2:$F$2657,Data!$A$2:$A$2657,$A194,Data!$B$2:$B$2657,$B194)/$D194,0)</f>
        <v>-0.181580645873025</v>
      </c>
      <c r="K194" s="11" t="n">
        <f aca="false">SUM(E194:I194)</f>
        <v>1</v>
      </c>
    </row>
    <row r="195" customFormat="false" ht="15" hidden="false" customHeight="false" outlineLevel="0" collapsed="false">
      <c r="A195" s="7" t="n">
        <v>2005</v>
      </c>
      <c r="B195" s="12" t="s">
        <v>68</v>
      </c>
      <c r="C195" s="12" t="s">
        <v>65</v>
      </c>
      <c r="D195" s="9" t="n">
        <f aca="false">SUMIFS(Data!$E$2:$E$2657,Data!$A$2:$A$2657,$A195,Data!$B$2:$B$2657,$B195)+SUMIFS(Data!$G$2:$G$2657,Data!$A$2:$A$2657,$A195,Data!$B$2:$B$2657,$B195)</f>
        <v>214.957944</v>
      </c>
      <c r="E195" s="10" t="n">
        <f aca="false">IFERROR((SUMIFS(Data!$E$2:$E$2657,Data!$A$2:$A$2657,$A195,Data!$B$2:$B$2657,$B195,Data!$D$2:$D$2657,"Transmission")+SUMIFS(Data!$G$2:$G$2657,Data!$A$2:$A$2657,$A195,Data!$B$2:$B$2657,$B195,Data!$D$2:$D$2657,"Transmission"))/$D195,0)</f>
        <v>0.0562819348514052</v>
      </c>
      <c r="F195" s="10" t="n">
        <f aca="false">IFERROR((SUMIFS(Data!$E$2:$E$2657,Data!$A$2:$A$2657,$A195,Data!$B$2:$B$2657,$B195,Data!$D$2:$D$2657,"Distribution")+SUMIFS(Data!$G$2:$G$2657,Data!$A$2:$A$2657,$A195,Data!$B$2:$B$2657,$B195,Data!$D$2:$D$2657,"Distribution"))/$D195,0)</f>
        <v>0.392452162642568</v>
      </c>
      <c r="G195" s="10" t="n">
        <f aca="false">IFERROR((SUMIFS(Data!$E$2:$E$2657,Data!$A$2:$A$2657,$A195,Data!$B$2:$B$2657,$B195,Data!$D$2:$D$2657,"RTO/market operation")+SUMIFS(Data!$G$2:$G$2657,Data!$A$2:$A$2657,$A195,Data!$B$2:$B$2657,$B195,Data!$D$2:$D$2657,"RTO/market operation"))/$D195,0)</f>
        <v>0</v>
      </c>
      <c r="H195" s="10" t="n">
        <f aca="false">IFERROR((SUMIFS(Data!$E$2:$E$2657,Data!$A$2:$A$2657,$A195,Data!$B$2:$B$2657,$B195,Data!$D$2:$D$2657,"Customer accounts, service &amp; sales")+SUMIFS(Data!$G$2:$G$2657,Data!$A$2:$A$2657,$A195,Data!$B$2:$B$2657,$B195,Data!$D$2:$D$2657,"Customer accounts, service &amp; sales"))/$D195,0)</f>
        <v>0.0924325411299989</v>
      </c>
      <c r="I195" s="10" t="n">
        <f aca="false">IFERROR((SUMIFS(Data!$E$2:$E$2657,Data!$A$2:$A$2657,$A195,Data!$B$2:$B$2657,$B195,Data!$D$2:$D$2657,"A&amp;G and general")+SUMIFS(Data!$G$2:$G$2657,Data!$A$2:$A$2657,$A195,Data!$B$2:$B$2657,$B195,Data!$D$2:$D$2657,"A&amp;G and general"))/$D195,0)</f>
        <v>0.458833361376028</v>
      </c>
      <c r="J195" s="10" t="n">
        <f aca="false">IFERROR(SUMIFS(Data!$F$2:$F$2657,Data!$A$2:$A$2657,$A195,Data!$B$2:$B$2657,$B195)/$D195,0)</f>
        <v>0.003888825806782</v>
      </c>
      <c r="K195" s="11" t="n">
        <f aca="false">SUM(E195:I195)</f>
        <v>1</v>
      </c>
    </row>
    <row r="196" customFormat="false" ht="15" hidden="false" customHeight="false" outlineLevel="0" collapsed="false">
      <c r="A196" s="7" t="n">
        <v>2005</v>
      </c>
      <c r="B196" s="12" t="s">
        <v>69</v>
      </c>
      <c r="C196" s="12" t="s">
        <v>70</v>
      </c>
      <c r="D196" s="9" t="n">
        <f aca="false">SUMIFS(Data!$E$2:$E$2657,Data!$A$2:$A$2657,$A196,Data!$B$2:$B$2657,$B196)+SUMIFS(Data!$G$2:$G$2657,Data!$A$2:$A$2657,$A196,Data!$B$2:$B$2657,$B196)</f>
        <v>273.514496</v>
      </c>
      <c r="E196" s="10" t="n">
        <f aca="false">IFERROR((SUMIFS(Data!$E$2:$E$2657,Data!$A$2:$A$2657,$A196,Data!$B$2:$B$2657,$B196,Data!$D$2:$D$2657,"Transmission")+SUMIFS(Data!$G$2:$G$2657,Data!$A$2:$A$2657,$A196,Data!$B$2:$B$2657,$B196,Data!$D$2:$D$2657,"Transmission"))/$D196,0)</f>
        <v>0.153727866767252</v>
      </c>
      <c r="F196" s="10" t="n">
        <f aca="false">IFERROR((SUMIFS(Data!$E$2:$E$2657,Data!$A$2:$A$2657,$A196,Data!$B$2:$B$2657,$B196,Data!$D$2:$D$2657,"Distribution")+SUMIFS(Data!$G$2:$G$2657,Data!$A$2:$A$2657,$A196,Data!$B$2:$B$2657,$B196,Data!$D$2:$D$2657,"Distribution"))/$D196,0)</f>
        <v>0.26166624090008</v>
      </c>
      <c r="G196" s="10" t="n">
        <f aca="false">IFERROR((SUMIFS(Data!$E$2:$E$2657,Data!$A$2:$A$2657,$A196,Data!$B$2:$B$2657,$B196,Data!$D$2:$D$2657,"RTO/market operation")+SUMIFS(Data!$G$2:$G$2657,Data!$A$2:$A$2657,$A196,Data!$B$2:$B$2657,$B196,Data!$D$2:$D$2657,"RTO/market operation"))/$D196,0)</f>
        <v>0</v>
      </c>
      <c r="H196" s="10" t="n">
        <f aca="false">IFERROR((SUMIFS(Data!$E$2:$E$2657,Data!$A$2:$A$2657,$A196,Data!$B$2:$B$2657,$B196,Data!$D$2:$D$2657,"Customer accounts, service &amp; sales")+SUMIFS(Data!$G$2:$G$2657,Data!$A$2:$A$2657,$A196,Data!$B$2:$B$2657,$B196,Data!$D$2:$D$2657,"Customer accounts, service &amp; sales"))/$D196,0)</f>
        <v>0.173729804799816</v>
      </c>
      <c r="I196" s="10" t="n">
        <f aca="false">IFERROR((SUMIFS(Data!$E$2:$E$2657,Data!$A$2:$A$2657,$A196,Data!$B$2:$B$2657,$B196,Data!$D$2:$D$2657,"A&amp;G and general")+SUMIFS(Data!$G$2:$G$2657,Data!$A$2:$A$2657,$A196,Data!$B$2:$B$2657,$B196,Data!$D$2:$D$2657,"A&amp;G and general"))/$D196,0)</f>
        <v>0.410876087532852</v>
      </c>
      <c r="J196" s="10" t="n">
        <f aca="false">IFERROR(SUMIFS(Data!$F$2:$F$2657,Data!$A$2:$A$2657,$A196,Data!$B$2:$B$2657,$B196)/$D196,0)</f>
        <v>0.0549214839421162</v>
      </c>
      <c r="K196" s="11" t="n">
        <f aca="false">SUM(E196:I196)</f>
        <v>1</v>
      </c>
    </row>
    <row r="197" customFormat="false" ht="15" hidden="false" customHeight="false" outlineLevel="0" collapsed="false">
      <c r="A197" s="7" t="n">
        <v>2005</v>
      </c>
      <c r="B197" s="12" t="s">
        <v>71</v>
      </c>
      <c r="C197" s="12" t="s">
        <v>72</v>
      </c>
      <c r="D197" s="9" t="n">
        <f aca="false">SUMIFS(Data!$E$2:$E$2657,Data!$A$2:$A$2657,$A197,Data!$B$2:$B$2657,$B197)+SUMIFS(Data!$G$2:$G$2657,Data!$A$2:$A$2657,$A197,Data!$B$2:$B$2657,$B197)</f>
        <v>78.050827</v>
      </c>
      <c r="E197" s="10" t="n">
        <f aca="false">IFERROR((SUMIFS(Data!$E$2:$E$2657,Data!$A$2:$A$2657,$A197,Data!$B$2:$B$2657,$B197,Data!$D$2:$D$2657,"Transmission")+SUMIFS(Data!$G$2:$G$2657,Data!$A$2:$A$2657,$A197,Data!$B$2:$B$2657,$B197,Data!$D$2:$D$2657,"Transmission"))/$D197,0)</f>
        <v>0.268871206194907</v>
      </c>
      <c r="F197" s="10" t="n">
        <f aca="false">IFERROR((SUMIFS(Data!$E$2:$E$2657,Data!$A$2:$A$2657,$A197,Data!$B$2:$B$2657,$B197,Data!$D$2:$D$2657,"Distribution")+SUMIFS(Data!$G$2:$G$2657,Data!$A$2:$A$2657,$A197,Data!$B$2:$B$2657,$B197,Data!$D$2:$D$2657,"Distribution"))/$D197,0)</f>
        <v>0.239764647208671</v>
      </c>
      <c r="G197" s="10" t="n">
        <f aca="false">IFERROR((SUMIFS(Data!$E$2:$E$2657,Data!$A$2:$A$2657,$A197,Data!$B$2:$B$2657,$B197,Data!$D$2:$D$2657,"RTO/market operation")+SUMIFS(Data!$G$2:$G$2657,Data!$A$2:$A$2657,$A197,Data!$B$2:$B$2657,$B197,Data!$D$2:$D$2657,"RTO/market operation"))/$D197,0)</f>
        <v>0</v>
      </c>
      <c r="H197" s="10" t="n">
        <f aca="false">IFERROR((SUMIFS(Data!$E$2:$E$2657,Data!$A$2:$A$2657,$A197,Data!$B$2:$B$2657,$B197,Data!$D$2:$D$2657,"Customer accounts, service &amp; sales")+SUMIFS(Data!$G$2:$G$2657,Data!$A$2:$A$2657,$A197,Data!$B$2:$B$2657,$B197,Data!$D$2:$D$2657,"Customer accounts, service &amp; sales"))/$D197,0)</f>
        <v>0.134148610622665</v>
      </c>
      <c r="I197" s="10" t="n">
        <f aca="false">IFERROR((SUMIFS(Data!$E$2:$E$2657,Data!$A$2:$A$2657,$A197,Data!$B$2:$B$2657,$B197,Data!$D$2:$D$2657,"A&amp;G and general")+SUMIFS(Data!$G$2:$G$2657,Data!$A$2:$A$2657,$A197,Data!$B$2:$B$2657,$B197,Data!$D$2:$D$2657,"A&amp;G and general"))/$D197,0)</f>
        <v>0.357215535973757</v>
      </c>
      <c r="J197" s="10" t="n">
        <f aca="false">IFERROR(SUMIFS(Data!$F$2:$F$2657,Data!$A$2:$A$2657,$A197,Data!$B$2:$B$2657,$B197)/$D197,0)</f>
        <v>0.253409038189948</v>
      </c>
      <c r="K197" s="11" t="n">
        <f aca="false">SUM(E197:I197)</f>
        <v>1</v>
      </c>
    </row>
    <row r="198" customFormat="false" ht="15" hidden="false" customHeight="false" outlineLevel="0" collapsed="false">
      <c r="A198" s="7" t="n">
        <v>2005</v>
      </c>
      <c r="B198" s="12" t="s">
        <v>73</v>
      </c>
      <c r="C198" s="12" t="s">
        <v>70</v>
      </c>
      <c r="D198" s="9" t="n">
        <f aca="false">SUMIFS(Data!$E$2:$E$2657,Data!$A$2:$A$2657,$A198,Data!$B$2:$B$2657,$B198)+SUMIFS(Data!$G$2:$G$2657,Data!$A$2:$A$2657,$A198,Data!$B$2:$B$2657,$B198)</f>
        <v>341.80599</v>
      </c>
      <c r="E198" s="10" t="n">
        <f aca="false">IFERROR((SUMIFS(Data!$E$2:$E$2657,Data!$A$2:$A$2657,$A198,Data!$B$2:$B$2657,$B198,Data!$D$2:$D$2657,"Transmission")+SUMIFS(Data!$G$2:$G$2657,Data!$A$2:$A$2657,$A198,Data!$B$2:$B$2657,$B198,Data!$D$2:$D$2657,"Transmission"))/$D198,0)</f>
        <v>0.0773827076582245</v>
      </c>
      <c r="F198" s="10" t="n">
        <f aca="false">IFERROR((SUMIFS(Data!$E$2:$E$2657,Data!$A$2:$A$2657,$A198,Data!$B$2:$B$2657,$B198,Data!$D$2:$D$2657,"Distribution")+SUMIFS(Data!$G$2:$G$2657,Data!$A$2:$A$2657,$A198,Data!$B$2:$B$2657,$B198,Data!$D$2:$D$2657,"Distribution"))/$D198,0)</f>
        <v>0.397389235337859</v>
      </c>
      <c r="G198" s="10" t="n">
        <f aca="false">IFERROR((SUMIFS(Data!$E$2:$E$2657,Data!$A$2:$A$2657,$A198,Data!$B$2:$B$2657,$B198,Data!$D$2:$D$2657,"RTO/market operation")+SUMIFS(Data!$G$2:$G$2657,Data!$A$2:$A$2657,$A198,Data!$B$2:$B$2657,$B198,Data!$D$2:$D$2657,"RTO/market operation"))/$D198,0)</f>
        <v>0</v>
      </c>
      <c r="H198" s="10" t="n">
        <f aca="false">IFERROR((SUMIFS(Data!$E$2:$E$2657,Data!$A$2:$A$2657,$A198,Data!$B$2:$B$2657,$B198,Data!$D$2:$D$2657,"Customer accounts, service &amp; sales")+SUMIFS(Data!$G$2:$G$2657,Data!$A$2:$A$2657,$A198,Data!$B$2:$B$2657,$B198,Data!$D$2:$D$2657,"Customer accounts, service &amp; sales"))/$D198,0)</f>
        <v>0.174831002815369</v>
      </c>
      <c r="I198" s="10" t="n">
        <f aca="false">IFERROR((SUMIFS(Data!$E$2:$E$2657,Data!$A$2:$A$2657,$A198,Data!$B$2:$B$2657,$B198,Data!$D$2:$D$2657,"A&amp;G and general")+SUMIFS(Data!$G$2:$G$2657,Data!$A$2:$A$2657,$A198,Data!$B$2:$B$2657,$B198,Data!$D$2:$D$2657,"A&amp;G and general"))/$D198,0)</f>
        <v>0.350397054188547</v>
      </c>
      <c r="J198" s="10" t="n">
        <f aca="false">IFERROR(SUMIFS(Data!$F$2:$F$2657,Data!$A$2:$A$2657,$A198,Data!$B$2:$B$2657,$B198)/$D198,0)</f>
        <v>0.0252244730994913</v>
      </c>
      <c r="K198" s="11" t="n">
        <f aca="false">SUM(E198:I198)</f>
        <v>1</v>
      </c>
    </row>
    <row r="199" customFormat="false" ht="15" hidden="false" customHeight="false" outlineLevel="0" collapsed="false">
      <c r="A199" s="7" t="n">
        <v>2005</v>
      </c>
      <c r="B199" s="12" t="s">
        <v>74</v>
      </c>
      <c r="C199" s="12" t="s">
        <v>65</v>
      </c>
      <c r="D199" s="9" t="n">
        <f aca="false">SUMIFS(Data!$E$2:$E$2657,Data!$A$2:$A$2657,$A199,Data!$B$2:$B$2657,$B199)+SUMIFS(Data!$G$2:$G$2657,Data!$A$2:$A$2657,$A199,Data!$B$2:$B$2657,$B199)</f>
        <v>261.848939</v>
      </c>
      <c r="E199" s="10" t="n">
        <f aca="false">IFERROR((SUMIFS(Data!$E$2:$E$2657,Data!$A$2:$A$2657,$A199,Data!$B$2:$B$2657,$B199,Data!$D$2:$D$2657,"Transmission")+SUMIFS(Data!$G$2:$G$2657,Data!$A$2:$A$2657,$A199,Data!$B$2:$B$2657,$B199,Data!$D$2:$D$2657,"Transmission"))/$D199,0)</f>
        <v>0.180011521833969</v>
      </c>
      <c r="F199" s="10" t="n">
        <f aca="false">IFERROR((SUMIFS(Data!$E$2:$E$2657,Data!$A$2:$A$2657,$A199,Data!$B$2:$B$2657,$B199,Data!$D$2:$D$2657,"Distribution")+SUMIFS(Data!$G$2:$G$2657,Data!$A$2:$A$2657,$A199,Data!$B$2:$B$2657,$B199,Data!$D$2:$D$2657,"Distribution"))/$D199,0)</f>
        <v>0.279102872362603</v>
      </c>
      <c r="G199" s="10" t="n">
        <f aca="false">IFERROR((SUMIFS(Data!$E$2:$E$2657,Data!$A$2:$A$2657,$A199,Data!$B$2:$B$2657,$B199,Data!$D$2:$D$2657,"RTO/market operation")+SUMIFS(Data!$G$2:$G$2657,Data!$A$2:$A$2657,$A199,Data!$B$2:$B$2657,$B199,Data!$D$2:$D$2657,"RTO/market operation"))/$D199,0)</f>
        <v>0</v>
      </c>
      <c r="H199" s="10" t="n">
        <f aca="false">IFERROR((SUMIFS(Data!$E$2:$E$2657,Data!$A$2:$A$2657,$A199,Data!$B$2:$B$2657,$B199,Data!$D$2:$D$2657,"Customer accounts, service &amp; sales")+SUMIFS(Data!$G$2:$G$2657,Data!$A$2:$A$2657,$A199,Data!$B$2:$B$2657,$B199,Data!$D$2:$D$2657,"Customer accounts, service &amp; sales"))/$D199,0)</f>
        <v>0.097141856282259</v>
      </c>
      <c r="I199" s="10" t="n">
        <f aca="false">IFERROR((SUMIFS(Data!$E$2:$E$2657,Data!$A$2:$A$2657,$A199,Data!$B$2:$B$2657,$B199,Data!$D$2:$D$2657,"A&amp;G and general")+SUMIFS(Data!$G$2:$G$2657,Data!$A$2:$A$2657,$A199,Data!$B$2:$B$2657,$B199,Data!$D$2:$D$2657,"A&amp;G and general"))/$D199,0)</f>
        <v>0.44374374952117</v>
      </c>
      <c r="J199" s="10" t="n">
        <f aca="false">IFERROR(SUMIFS(Data!$F$2:$F$2657,Data!$A$2:$A$2657,$A199,Data!$B$2:$B$2657,$B199)/$D199,0)</f>
        <v>0.0398091893738779</v>
      </c>
      <c r="K199" s="11" t="n">
        <f aca="false">SUM(E199:I199)</f>
        <v>1</v>
      </c>
    </row>
    <row r="200" customFormat="false" ht="15" hidden="false" customHeight="false" outlineLevel="0" collapsed="false">
      <c r="A200" s="7" t="n">
        <v>2005</v>
      </c>
      <c r="B200" s="12" t="s">
        <v>75</v>
      </c>
      <c r="C200" s="12" t="s">
        <v>57</v>
      </c>
      <c r="D200" s="9" t="n">
        <f aca="false">SUMIFS(Data!$E$2:$E$2657,Data!$A$2:$A$2657,$A200,Data!$B$2:$B$2657,$B200)+SUMIFS(Data!$G$2:$G$2657,Data!$A$2:$A$2657,$A200,Data!$B$2:$B$2657,$B200)</f>
        <v>623.988593</v>
      </c>
      <c r="E200" s="10" t="n">
        <f aca="false">IFERROR((SUMIFS(Data!$E$2:$E$2657,Data!$A$2:$A$2657,$A200,Data!$B$2:$B$2657,$B200,Data!$D$2:$D$2657,"Transmission")+SUMIFS(Data!$G$2:$G$2657,Data!$A$2:$A$2657,$A200,Data!$B$2:$B$2657,$B200,Data!$D$2:$D$2657,"Transmission"))/$D200,0)</f>
        <v>0.206778887382642</v>
      </c>
      <c r="F200" s="10" t="n">
        <f aca="false">IFERROR((SUMIFS(Data!$E$2:$E$2657,Data!$A$2:$A$2657,$A200,Data!$B$2:$B$2657,$B200,Data!$D$2:$D$2657,"Distribution")+SUMIFS(Data!$G$2:$G$2657,Data!$A$2:$A$2657,$A200,Data!$B$2:$B$2657,$B200,Data!$D$2:$D$2657,"Distribution"))/$D200,0)</f>
        <v>0.271330198819836</v>
      </c>
      <c r="G200" s="10" t="n">
        <f aca="false">IFERROR((SUMIFS(Data!$E$2:$E$2657,Data!$A$2:$A$2657,$A200,Data!$B$2:$B$2657,$B200,Data!$D$2:$D$2657,"RTO/market operation")+SUMIFS(Data!$G$2:$G$2657,Data!$A$2:$A$2657,$A200,Data!$B$2:$B$2657,$B200,Data!$D$2:$D$2657,"RTO/market operation"))/$D200,0)</f>
        <v>0</v>
      </c>
      <c r="H200" s="10" t="n">
        <f aca="false">IFERROR((SUMIFS(Data!$E$2:$E$2657,Data!$A$2:$A$2657,$A200,Data!$B$2:$B$2657,$B200,Data!$D$2:$D$2657,"Customer accounts, service &amp; sales")+SUMIFS(Data!$G$2:$G$2657,Data!$A$2:$A$2657,$A200,Data!$B$2:$B$2657,$B200,Data!$D$2:$D$2657,"Customer accounts, service &amp; sales"))/$D200,0)</f>
        <v>0.186526231898601</v>
      </c>
      <c r="I200" s="10" t="n">
        <f aca="false">IFERROR((SUMIFS(Data!$E$2:$E$2657,Data!$A$2:$A$2657,$A200,Data!$B$2:$B$2657,$B200,Data!$D$2:$D$2657,"A&amp;G and general")+SUMIFS(Data!$G$2:$G$2657,Data!$A$2:$A$2657,$A200,Data!$B$2:$B$2657,$B200,Data!$D$2:$D$2657,"A&amp;G and general"))/$D200,0)</f>
        <v>0.335364681898921</v>
      </c>
      <c r="J200" s="10" t="n">
        <f aca="false">IFERROR(SUMIFS(Data!$F$2:$F$2657,Data!$A$2:$A$2657,$A200,Data!$B$2:$B$2657,$B200)/$D200,0)</f>
        <v>0.067198045718121</v>
      </c>
      <c r="K200" s="11" t="n">
        <f aca="false">SUM(E200:I200)</f>
        <v>1</v>
      </c>
    </row>
    <row r="201" customFormat="false" ht="15" hidden="false" customHeight="false" outlineLevel="0" collapsed="false">
      <c r="A201" s="7" t="n">
        <v>2005</v>
      </c>
      <c r="B201" s="12" t="s">
        <v>76</v>
      </c>
      <c r="C201" s="12" t="s">
        <v>72</v>
      </c>
      <c r="D201" s="9" t="n">
        <f aca="false">SUMIFS(Data!$E$2:$E$2657,Data!$A$2:$A$2657,$A201,Data!$B$2:$B$2657,$B201)+SUMIFS(Data!$G$2:$G$2657,Data!$A$2:$A$2657,$A201,Data!$B$2:$B$2657,$B201)</f>
        <v>125.926619</v>
      </c>
      <c r="E201" s="10" t="n">
        <f aca="false">IFERROR((SUMIFS(Data!$E$2:$E$2657,Data!$A$2:$A$2657,$A201,Data!$B$2:$B$2657,$B201,Data!$D$2:$D$2657,"Transmission")+SUMIFS(Data!$G$2:$G$2657,Data!$A$2:$A$2657,$A201,Data!$B$2:$B$2657,$B201,Data!$D$2:$D$2657,"Transmission"))/$D201,0)</f>
        <v>0.284991166164796</v>
      </c>
      <c r="F201" s="10" t="n">
        <f aca="false">IFERROR((SUMIFS(Data!$E$2:$E$2657,Data!$A$2:$A$2657,$A201,Data!$B$2:$B$2657,$B201,Data!$D$2:$D$2657,"Distribution")+SUMIFS(Data!$G$2:$G$2657,Data!$A$2:$A$2657,$A201,Data!$B$2:$B$2657,$B201,Data!$D$2:$D$2657,"Distribution"))/$D201,0)</f>
        <v>0.290933833457404</v>
      </c>
      <c r="G201" s="10" t="n">
        <f aca="false">IFERROR((SUMIFS(Data!$E$2:$E$2657,Data!$A$2:$A$2657,$A201,Data!$B$2:$B$2657,$B201,Data!$D$2:$D$2657,"RTO/market operation")+SUMIFS(Data!$G$2:$G$2657,Data!$A$2:$A$2657,$A201,Data!$B$2:$B$2657,$B201,Data!$D$2:$D$2657,"RTO/market operation"))/$D201,0)</f>
        <v>0</v>
      </c>
      <c r="H201" s="10" t="n">
        <f aca="false">IFERROR((SUMIFS(Data!$E$2:$E$2657,Data!$A$2:$A$2657,$A201,Data!$B$2:$B$2657,$B201,Data!$D$2:$D$2657,"Customer accounts, service &amp; sales")+SUMIFS(Data!$G$2:$G$2657,Data!$A$2:$A$2657,$A201,Data!$B$2:$B$2657,$B201,Data!$D$2:$D$2657,"Customer accounts, service &amp; sales"))/$D201,0)</f>
        <v>0.134313135175971</v>
      </c>
      <c r="I201" s="10" t="n">
        <f aca="false">IFERROR((SUMIFS(Data!$E$2:$E$2657,Data!$A$2:$A$2657,$A201,Data!$B$2:$B$2657,$B201,Data!$D$2:$D$2657,"A&amp;G and general")+SUMIFS(Data!$G$2:$G$2657,Data!$A$2:$A$2657,$A201,Data!$B$2:$B$2657,$B201,Data!$D$2:$D$2657,"A&amp;G and general"))/$D201,0)</f>
        <v>0.289761865201828</v>
      </c>
      <c r="J201" s="10" t="n">
        <f aca="false">IFERROR(SUMIFS(Data!$F$2:$F$2657,Data!$A$2:$A$2657,$A201,Data!$B$2:$B$2657,$B201)/$D201,0)</f>
        <v>0</v>
      </c>
      <c r="K201" s="11" t="n">
        <f aca="false">SUM(E201:I201)</f>
        <v>1</v>
      </c>
    </row>
    <row r="202" customFormat="false" ht="15" hidden="false" customHeight="false" outlineLevel="0" collapsed="false">
      <c r="A202" s="7" t="n">
        <v>2005</v>
      </c>
      <c r="B202" s="12" t="s">
        <v>77</v>
      </c>
      <c r="C202" s="12" t="s">
        <v>57</v>
      </c>
      <c r="D202" s="9" t="n">
        <f aca="false">SUMIFS(Data!$E$2:$E$2657,Data!$A$2:$A$2657,$A202,Data!$B$2:$B$2657,$B202)+SUMIFS(Data!$G$2:$G$2657,Data!$A$2:$A$2657,$A202,Data!$B$2:$B$2657,$B202)</f>
        <v>85.091993</v>
      </c>
      <c r="E202" s="10" t="n">
        <f aca="false">IFERROR((SUMIFS(Data!$E$2:$E$2657,Data!$A$2:$A$2657,$A202,Data!$B$2:$B$2657,$B202,Data!$D$2:$D$2657,"Transmission")+SUMIFS(Data!$G$2:$G$2657,Data!$A$2:$A$2657,$A202,Data!$B$2:$B$2657,$B202,Data!$D$2:$D$2657,"Transmission"))/$D202,0)</f>
        <v>0.132908933041444</v>
      </c>
      <c r="F202" s="10" t="n">
        <f aca="false">IFERROR((SUMIFS(Data!$E$2:$E$2657,Data!$A$2:$A$2657,$A202,Data!$B$2:$B$2657,$B202,Data!$D$2:$D$2657,"Distribution")+SUMIFS(Data!$G$2:$G$2657,Data!$A$2:$A$2657,$A202,Data!$B$2:$B$2657,$B202,Data!$D$2:$D$2657,"Distribution"))/$D202,0)</f>
        <v>0.235317957589735</v>
      </c>
      <c r="G202" s="10" t="n">
        <f aca="false">IFERROR((SUMIFS(Data!$E$2:$E$2657,Data!$A$2:$A$2657,$A202,Data!$B$2:$B$2657,$B202,Data!$D$2:$D$2657,"RTO/market operation")+SUMIFS(Data!$G$2:$G$2657,Data!$A$2:$A$2657,$A202,Data!$B$2:$B$2657,$B202,Data!$D$2:$D$2657,"RTO/market operation"))/$D202,0)</f>
        <v>0</v>
      </c>
      <c r="H202" s="10" t="n">
        <f aca="false">IFERROR((SUMIFS(Data!$E$2:$E$2657,Data!$A$2:$A$2657,$A202,Data!$B$2:$B$2657,$B202,Data!$D$2:$D$2657,"Customer accounts, service &amp; sales")+SUMIFS(Data!$G$2:$G$2657,Data!$A$2:$A$2657,$A202,Data!$B$2:$B$2657,$B202,Data!$D$2:$D$2657,"Customer accounts, service &amp; sales"))/$D202,0)</f>
        <v>0.179291522764075</v>
      </c>
      <c r="I202" s="10" t="n">
        <f aca="false">IFERROR((SUMIFS(Data!$E$2:$E$2657,Data!$A$2:$A$2657,$A202,Data!$B$2:$B$2657,$B202,Data!$D$2:$D$2657,"A&amp;G and general")+SUMIFS(Data!$G$2:$G$2657,Data!$A$2:$A$2657,$A202,Data!$B$2:$B$2657,$B202,Data!$D$2:$D$2657,"A&amp;G and general"))/$D202,0)</f>
        <v>0.452481586604747</v>
      </c>
      <c r="J202" s="10" t="n">
        <f aca="false">IFERROR(SUMIFS(Data!$F$2:$F$2657,Data!$A$2:$A$2657,$A202,Data!$B$2:$B$2657,$B202)/$D202,0)</f>
        <v>0</v>
      </c>
      <c r="K202" s="11" t="n">
        <f aca="false">SUM(E202:I202)</f>
        <v>1</v>
      </c>
    </row>
    <row r="203" customFormat="false" ht="15" hidden="false" customHeight="false" outlineLevel="0" collapsed="false">
      <c r="A203" s="7" t="n">
        <v>2005</v>
      </c>
      <c r="B203" s="12" t="s">
        <v>78</v>
      </c>
      <c r="C203" s="12" t="s">
        <v>65</v>
      </c>
      <c r="D203" s="9" t="n">
        <f aca="false">SUMIFS(Data!$E$2:$E$2657,Data!$A$2:$A$2657,$A203,Data!$B$2:$B$2657,$B203)+SUMIFS(Data!$G$2:$G$2657,Data!$A$2:$A$2657,$A203,Data!$B$2:$B$2657,$B203)</f>
        <v>63.826858</v>
      </c>
      <c r="E203" s="10" t="n">
        <f aca="false">IFERROR((SUMIFS(Data!$E$2:$E$2657,Data!$A$2:$A$2657,$A203,Data!$B$2:$B$2657,$B203,Data!$D$2:$D$2657,"Transmission")+SUMIFS(Data!$G$2:$G$2657,Data!$A$2:$A$2657,$A203,Data!$B$2:$B$2657,$B203,Data!$D$2:$D$2657,"Transmission"))/$D203,0)</f>
        <v>0.100837174219041</v>
      </c>
      <c r="F203" s="10" t="n">
        <f aca="false">IFERROR((SUMIFS(Data!$E$2:$E$2657,Data!$A$2:$A$2657,$A203,Data!$B$2:$B$2657,$B203,Data!$D$2:$D$2657,"Distribution")+SUMIFS(Data!$G$2:$G$2657,Data!$A$2:$A$2657,$A203,Data!$B$2:$B$2657,$B203,Data!$D$2:$D$2657,"Distribution"))/$D203,0)</f>
        <v>0.303212277815712</v>
      </c>
      <c r="G203" s="10" t="n">
        <f aca="false">IFERROR((SUMIFS(Data!$E$2:$E$2657,Data!$A$2:$A$2657,$A203,Data!$B$2:$B$2657,$B203,Data!$D$2:$D$2657,"RTO/market operation")+SUMIFS(Data!$G$2:$G$2657,Data!$A$2:$A$2657,$A203,Data!$B$2:$B$2657,$B203,Data!$D$2:$D$2657,"RTO/market operation"))/$D203,0)</f>
        <v>0</v>
      </c>
      <c r="H203" s="10" t="n">
        <f aca="false">IFERROR((SUMIFS(Data!$E$2:$E$2657,Data!$A$2:$A$2657,$A203,Data!$B$2:$B$2657,$B203,Data!$D$2:$D$2657,"Customer accounts, service &amp; sales")+SUMIFS(Data!$G$2:$G$2657,Data!$A$2:$A$2657,$A203,Data!$B$2:$B$2657,$B203,Data!$D$2:$D$2657,"Customer accounts, service &amp; sales"))/$D203,0)</f>
        <v>0.108200187450869</v>
      </c>
      <c r="I203" s="10" t="n">
        <f aca="false">IFERROR((SUMIFS(Data!$E$2:$E$2657,Data!$A$2:$A$2657,$A203,Data!$B$2:$B$2657,$B203,Data!$D$2:$D$2657,"A&amp;G and general")+SUMIFS(Data!$G$2:$G$2657,Data!$A$2:$A$2657,$A203,Data!$B$2:$B$2657,$B203,Data!$D$2:$D$2657,"A&amp;G and general"))/$D203,0)</f>
        <v>0.487750360514378</v>
      </c>
      <c r="J203" s="10" t="n">
        <f aca="false">IFERROR(SUMIFS(Data!$F$2:$F$2657,Data!$A$2:$A$2657,$A203,Data!$B$2:$B$2657,$B203)/$D203,0)</f>
        <v>0</v>
      </c>
      <c r="K203" s="11" t="n">
        <f aca="false">SUM(E203:I203)</f>
        <v>1</v>
      </c>
    </row>
    <row r="204" customFormat="false" ht="15" hidden="false" customHeight="false" outlineLevel="0" collapsed="false">
      <c r="A204" s="7" t="n">
        <v>2005</v>
      </c>
      <c r="B204" s="12" t="s">
        <v>79</v>
      </c>
      <c r="C204" s="12" t="s">
        <v>72</v>
      </c>
      <c r="D204" s="9" t="n">
        <f aca="false">SUMIFS(Data!$E$2:$E$2657,Data!$A$2:$A$2657,$A204,Data!$B$2:$B$2657,$B204)+SUMIFS(Data!$G$2:$G$2657,Data!$A$2:$A$2657,$A204,Data!$B$2:$B$2657,$B204)</f>
        <v>535.765256</v>
      </c>
      <c r="E204" s="10" t="n">
        <f aca="false">IFERROR((SUMIFS(Data!$E$2:$E$2657,Data!$A$2:$A$2657,$A204,Data!$B$2:$B$2657,$B204,Data!$D$2:$D$2657,"Transmission")+SUMIFS(Data!$G$2:$G$2657,Data!$A$2:$A$2657,$A204,Data!$B$2:$B$2657,$B204,Data!$D$2:$D$2657,"Transmission"))/$D204,0)</f>
        <v>0.217548642235957</v>
      </c>
      <c r="F204" s="10" t="n">
        <f aca="false">IFERROR((SUMIFS(Data!$E$2:$E$2657,Data!$A$2:$A$2657,$A204,Data!$B$2:$B$2657,$B204,Data!$D$2:$D$2657,"Distribution")+SUMIFS(Data!$G$2:$G$2657,Data!$A$2:$A$2657,$A204,Data!$B$2:$B$2657,$B204,Data!$D$2:$D$2657,"Distribution"))/$D204,0)</f>
        <v>0.289916832531597</v>
      </c>
      <c r="G204" s="10" t="n">
        <f aca="false">IFERROR((SUMIFS(Data!$E$2:$E$2657,Data!$A$2:$A$2657,$A204,Data!$B$2:$B$2657,$B204,Data!$D$2:$D$2657,"RTO/market operation")+SUMIFS(Data!$G$2:$G$2657,Data!$A$2:$A$2657,$A204,Data!$B$2:$B$2657,$B204,Data!$D$2:$D$2657,"RTO/market operation"))/$D204,0)</f>
        <v>0</v>
      </c>
      <c r="H204" s="10" t="n">
        <f aca="false">IFERROR((SUMIFS(Data!$E$2:$E$2657,Data!$A$2:$A$2657,$A204,Data!$B$2:$B$2657,$B204,Data!$D$2:$D$2657,"Customer accounts, service &amp; sales")+SUMIFS(Data!$G$2:$G$2657,Data!$A$2:$A$2657,$A204,Data!$B$2:$B$2657,$B204,Data!$D$2:$D$2657,"Customer accounts, service &amp; sales"))/$D204,0)</f>
        <v>0.134360550994744</v>
      </c>
      <c r="I204" s="10" t="n">
        <f aca="false">IFERROR((SUMIFS(Data!$E$2:$E$2657,Data!$A$2:$A$2657,$A204,Data!$B$2:$B$2657,$B204,Data!$D$2:$D$2657,"A&amp;G and general")+SUMIFS(Data!$G$2:$G$2657,Data!$A$2:$A$2657,$A204,Data!$B$2:$B$2657,$B204,Data!$D$2:$D$2657,"A&amp;G and general"))/$D204,0)</f>
        <v>0.358173974237702</v>
      </c>
      <c r="J204" s="10" t="n">
        <f aca="false">IFERROR(SUMIFS(Data!$F$2:$F$2657,Data!$A$2:$A$2657,$A204,Data!$B$2:$B$2657,$B204)/$D204,0)</f>
        <v>0.213933835231749</v>
      </c>
      <c r="K204" s="11" t="n">
        <f aca="false">SUM(E204:I204)</f>
        <v>1</v>
      </c>
    </row>
    <row r="205" customFormat="false" ht="15" hidden="false" customHeight="false" outlineLevel="0" collapsed="false">
      <c r="A205" s="7" t="n">
        <v>2005</v>
      </c>
      <c r="B205" s="12" t="s">
        <v>80</v>
      </c>
      <c r="C205" s="12" t="s">
        <v>72</v>
      </c>
      <c r="D205" s="9" t="n">
        <f aca="false">SUMIFS(Data!$E$2:$E$2657,Data!$A$2:$A$2657,$A205,Data!$B$2:$B$2657,$B205)+SUMIFS(Data!$G$2:$G$2657,Data!$A$2:$A$2657,$A205,Data!$B$2:$B$2657,$B205)</f>
        <v>256.310421</v>
      </c>
      <c r="E205" s="10" t="n">
        <f aca="false">IFERROR((SUMIFS(Data!$E$2:$E$2657,Data!$A$2:$A$2657,$A205,Data!$B$2:$B$2657,$B205,Data!$D$2:$D$2657,"Transmission")+SUMIFS(Data!$G$2:$G$2657,Data!$A$2:$A$2657,$A205,Data!$B$2:$B$2657,$B205,Data!$D$2:$D$2657,"Transmission"))/$D205,0)</f>
        <v>0.25213241329739</v>
      </c>
      <c r="F205" s="10" t="n">
        <f aca="false">IFERROR((SUMIFS(Data!$E$2:$E$2657,Data!$A$2:$A$2657,$A205,Data!$B$2:$B$2657,$B205,Data!$D$2:$D$2657,"Distribution")+SUMIFS(Data!$G$2:$G$2657,Data!$A$2:$A$2657,$A205,Data!$B$2:$B$2657,$B205,Data!$D$2:$D$2657,"Distribution"))/$D205,0)</f>
        <v>0.24122738653689</v>
      </c>
      <c r="G205" s="10" t="n">
        <f aca="false">IFERROR((SUMIFS(Data!$E$2:$E$2657,Data!$A$2:$A$2657,$A205,Data!$B$2:$B$2657,$B205,Data!$D$2:$D$2657,"RTO/market operation")+SUMIFS(Data!$G$2:$G$2657,Data!$A$2:$A$2657,$A205,Data!$B$2:$B$2657,$B205,Data!$D$2:$D$2657,"RTO/market operation"))/$D205,0)</f>
        <v>0</v>
      </c>
      <c r="H205" s="10" t="n">
        <f aca="false">IFERROR((SUMIFS(Data!$E$2:$E$2657,Data!$A$2:$A$2657,$A205,Data!$B$2:$B$2657,$B205,Data!$D$2:$D$2657,"Customer accounts, service &amp; sales")+SUMIFS(Data!$G$2:$G$2657,Data!$A$2:$A$2657,$A205,Data!$B$2:$B$2657,$B205,Data!$D$2:$D$2657,"Customer accounts, service &amp; sales"))/$D205,0)</f>
        <v>0.162492175844852</v>
      </c>
      <c r="I205" s="10" t="n">
        <f aca="false">IFERROR((SUMIFS(Data!$E$2:$E$2657,Data!$A$2:$A$2657,$A205,Data!$B$2:$B$2657,$B205,Data!$D$2:$D$2657,"A&amp;G and general")+SUMIFS(Data!$G$2:$G$2657,Data!$A$2:$A$2657,$A205,Data!$B$2:$B$2657,$B205,Data!$D$2:$D$2657,"A&amp;G and general"))/$D205,0)</f>
        <v>0.344148024320868</v>
      </c>
      <c r="J205" s="10" t="n">
        <f aca="false">IFERROR(SUMIFS(Data!$F$2:$F$2657,Data!$A$2:$A$2657,$A205,Data!$B$2:$B$2657,$B205)/$D205,0)</f>
        <v>0.252611371583678</v>
      </c>
      <c r="K205" s="11" t="n">
        <f aca="false">SUM(E205:I205)</f>
        <v>1</v>
      </c>
    </row>
    <row r="206" customFormat="false" ht="15" hidden="false" customHeight="false" outlineLevel="0" collapsed="false">
      <c r="A206" s="7" t="n">
        <v>2005</v>
      </c>
      <c r="B206" s="12" t="s">
        <v>81</v>
      </c>
      <c r="C206" s="12" t="s">
        <v>72</v>
      </c>
      <c r="D206" s="9" t="n">
        <f aca="false">SUMIFS(Data!$E$2:$E$2657,Data!$A$2:$A$2657,$A206,Data!$B$2:$B$2657,$B206)+SUMIFS(Data!$G$2:$G$2657,Data!$A$2:$A$2657,$A206,Data!$B$2:$B$2657,$B206)</f>
        <v>263.642101</v>
      </c>
      <c r="E206" s="10" t="n">
        <f aca="false">IFERROR((SUMIFS(Data!$E$2:$E$2657,Data!$A$2:$A$2657,$A206,Data!$B$2:$B$2657,$B206,Data!$D$2:$D$2657,"Transmission")+SUMIFS(Data!$G$2:$G$2657,Data!$A$2:$A$2657,$A206,Data!$B$2:$B$2657,$B206,Data!$D$2:$D$2657,"Transmission"))/$D206,0)</f>
        <v>0.235643323901443</v>
      </c>
      <c r="F206" s="10" t="n">
        <f aca="false">IFERROR((SUMIFS(Data!$E$2:$E$2657,Data!$A$2:$A$2657,$A206,Data!$B$2:$B$2657,$B206,Data!$D$2:$D$2657,"Distribution")+SUMIFS(Data!$G$2:$G$2657,Data!$A$2:$A$2657,$A206,Data!$B$2:$B$2657,$B206,Data!$D$2:$D$2657,"Distribution"))/$D206,0)</f>
        <v>0.25063690415667</v>
      </c>
      <c r="G206" s="10" t="n">
        <f aca="false">IFERROR((SUMIFS(Data!$E$2:$E$2657,Data!$A$2:$A$2657,$A206,Data!$B$2:$B$2657,$B206,Data!$D$2:$D$2657,"RTO/market operation")+SUMIFS(Data!$G$2:$G$2657,Data!$A$2:$A$2657,$A206,Data!$B$2:$B$2657,$B206,Data!$D$2:$D$2657,"RTO/market operation"))/$D206,0)</f>
        <v>0</v>
      </c>
      <c r="H206" s="10" t="n">
        <f aca="false">IFERROR((SUMIFS(Data!$E$2:$E$2657,Data!$A$2:$A$2657,$A206,Data!$B$2:$B$2657,$B206,Data!$D$2:$D$2657,"Customer accounts, service &amp; sales")+SUMIFS(Data!$G$2:$G$2657,Data!$A$2:$A$2657,$A206,Data!$B$2:$B$2657,$B206,Data!$D$2:$D$2657,"Customer accounts, service &amp; sales"))/$D206,0)</f>
        <v>0.134145388258759</v>
      </c>
      <c r="I206" s="10" t="n">
        <f aca="false">IFERROR((SUMIFS(Data!$E$2:$E$2657,Data!$A$2:$A$2657,$A206,Data!$B$2:$B$2657,$B206,Data!$D$2:$D$2657,"A&amp;G and general")+SUMIFS(Data!$G$2:$G$2657,Data!$A$2:$A$2657,$A206,Data!$B$2:$B$2657,$B206,Data!$D$2:$D$2657,"A&amp;G and general"))/$D206,0)</f>
        <v>0.379574383683128</v>
      </c>
      <c r="J206" s="10" t="n">
        <f aca="false">IFERROR(SUMIFS(Data!$F$2:$F$2657,Data!$A$2:$A$2657,$A206,Data!$B$2:$B$2657,$B206)/$D206,0)</f>
        <v>0.229137932715837</v>
      </c>
      <c r="K206" s="11" t="n">
        <f aca="false">SUM(E206:I206)</f>
        <v>1</v>
      </c>
    </row>
    <row r="207" customFormat="false" ht="15" hidden="false" customHeight="false" outlineLevel="0" collapsed="false">
      <c r="A207" s="7" t="n">
        <v>2006</v>
      </c>
      <c r="B207" s="12" t="s">
        <v>56</v>
      </c>
      <c r="C207" s="12" t="s">
        <v>57</v>
      </c>
      <c r="D207" s="9" t="n">
        <f aca="false">SUMIFS(Data!$E$2:$E$2657,Data!$A$2:$A$2657,$A207,Data!$B$2:$B$2657,$B207)+SUMIFS(Data!$G$2:$G$2657,Data!$A$2:$A$2657,$A207,Data!$B$2:$B$2657,$B207)</f>
        <v>128.329521</v>
      </c>
      <c r="E207" s="10" t="n">
        <f aca="false">IFERROR((SUMIFS(Data!$E$2:$E$2657,Data!$A$2:$A$2657,$A207,Data!$B$2:$B$2657,$B207,Data!$D$2:$D$2657,"Transmission")+SUMIFS(Data!$G$2:$G$2657,Data!$A$2:$A$2657,$A207,Data!$B$2:$B$2657,$B207,Data!$D$2:$D$2657,"Transmission"))/$D207,0)</f>
        <v>0.183903850151517</v>
      </c>
      <c r="F207" s="10" t="n">
        <f aca="false">IFERROR((SUMIFS(Data!$E$2:$E$2657,Data!$A$2:$A$2657,$A207,Data!$B$2:$B$2657,$B207,Data!$D$2:$D$2657,"Distribution")+SUMIFS(Data!$G$2:$G$2657,Data!$A$2:$A$2657,$A207,Data!$B$2:$B$2657,$B207,Data!$D$2:$D$2657,"Distribution"))/$D207,0)</f>
        <v>0.226901727467681</v>
      </c>
      <c r="G207" s="10" t="n">
        <f aca="false">IFERROR((SUMIFS(Data!$E$2:$E$2657,Data!$A$2:$A$2657,$A207,Data!$B$2:$B$2657,$B207,Data!$D$2:$D$2657,"RTO/market operation")+SUMIFS(Data!$G$2:$G$2657,Data!$A$2:$A$2657,$A207,Data!$B$2:$B$2657,$B207,Data!$D$2:$D$2657,"RTO/market operation"))/$D207,0)</f>
        <v>0.000450356235647447</v>
      </c>
      <c r="H207" s="10" t="n">
        <f aca="false">IFERROR((SUMIFS(Data!$E$2:$E$2657,Data!$A$2:$A$2657,$A207,Data!$B$2:$B$2657,$B207,Data!$D$2:$D$2657,"Customer accounts, service &amp; sales")+SUMIFS(Data!$G$2:$G$2657,Data!$A$2:$A$2657,$A207,Data!$B$2:$B$2657,$B207,Data!$D$2:$D$2657,"Customer accounts, service &amp; sales"))/$D207,0)</f>
        <v>0.120585605552132</v>
      </c>
      <c r="I207" s="10" t="n">
        <f aca="false">IFERROR((SUMIFS(Data!$E$2:$E$2657,Data!$A$2:$A$2657,$A207,Data!$B$2:$B$2657,$B207,Data!$D$2:$D$2657,"A&amp;G and general")+SUMIFS(Data!$G$2:$G$2657,Data!$A$2:$A$2657,$A207,Data!$B$2:$B$2657,$B207,Data!$D$2:$D$2657,"A&amp;G and general"))/$D207,0)</f>
        <v>0.468158460593023</v>
      </c>
      <c r="J207" s="10" t="n">
        <f aca="false">IFERROR(SUMIFS(Data!$F$2:$F$2657,Data!$A$2:$A$2657,$A207,Data!$B$2:$B$2657,$B207)/$D207,0)</f>
        <v>0.0539798243305217</v>
      </c>
      <c r="K207" s="11" t="n">
        <f aca="false">SUM(E207:I207)</f>
        <v>1</v>
      </c>
    </row>
    <row r="208" customFormat="false" ht="15" hidden="false" customHeight="false" outlineLevel="0" collapsed="false">
      <c r="A208" s="7" t="n">
        <v>2006</v>
      </c>
      <c r="B208" s="12" t="s">
        <v>60</v>
      </c>
      <c r="C208" s="12" t="s">
        <v>59</v>
      </c>
      <c r="D208" s="9" t="n">
        <f aca="false">SUMIFS(Data!$E$2:$E$2657,Data!$A$2:$A$2657,$A208,Data!$B$2:$B$2657,$B208)+SUMIFS(Data!$G$2:$G$2657,Data!$A$2:$A$2657,$A208,Data!$B$2:$B$2657,$B208)</f>
        <v>1460.884554</v>
      </c>
      <c r="E208" s="10" t="n">
        <f aca="false">IFERROR((SUMIFS(Data!$E$2:$E$2657,Data!$A$2:$A$2657,$A208,Data!$B$2:$B$2657,$B208,Data!$D$2:$D$2657,"Transmission")+SUMIFS(Data!$G$2:$G$2657,Data!$A$2:$A$2657,$A208,Data!$B$2:$B$2657,$B208,Data!$D$2:$D$2657,"Transmission"))/$D208,0)</f>
        <v>0.301452630048137</v>
      </c>
      <c r="F208" s="10" t="n">
        <f aca="false">IFERROR((SUMIFS(Data!$E$2:$E$2657,Data!$A$2:$A$2657,$A208,Data!$B$2:$B$2657,$B208,Data!$D$2:$D$2657,"Distribution")+SUMIFS(Data!$G$2:$G$2657,Data!$A$2:$A$2657,$A208,Data!$B$2:$B$2657,$B208,Data!$D$2:$D$2657,"Distribution"))/$D208,0)</f>
        <v>0.39615017861295</v>
      </c>
      <c r="G208" s="10" t="n">
        <f aca="false">IFERROR((SUMIFS(Data!$E$2:$E$2657,Data!$A$2:$A$2657,$A208,Data!$B$2:$B$2657,$B208,Data!$D$2:$D$2657,"RTO/market operation")+SUMIFS(Data!$G$2:$G$2657,Data!$A$2:$A$2657,$A208,Data!$B$2:$B$2657,$B208,Data!$D$2:$D$2657,"RTO/market operation"))/$D208,0)</f>
        <v>0.00216818570045611</v>
      </c>
      <c r="H208" s="10" t="n">
        <f aca="false">IFERROR((SUMIFS(Data!$E$2:$E$2657,Data!$A$2:$A$2657,$A208,Data!$B$2:$B$2657,$B208,Data!$D$2:$D$2657,"Customer accounts, service &amp; sales")+SUMIFS(Data!$G$2:$G$2657,Data!$A$2:$A$2657,$A208,Data!$B$2:$B$2657,$B208,Data!$D$2:$D$2657,"Customer accounts, service &amp; sales"))/$D208,0)</f>
        <v>0.122714861012898</v>
      </c>
      <c r="I208" s="10" t="n">
        <f aca="false">IFERROR((SUMIFS(Data!$E$2:$E$2657,Data!$A$2:$A$2657,$A208,Data!$B$2:$B$2657,$B208,Data!$D$2:$D$2657,"A&amp;G and general")+SUMIFS(Data!$G$2:$G$2657,Data!$A$2:$A$2657,$A208,Data!$B$2:$B$2657,$B208,Data!$D$2:$D$2657,"A&amp;G and general"))/$D208,0)</f>
        <v>0.177514144625558</v>
      </c>
      <c r="J208" s="10" t="n">
        <f aca="false">IFERROR(SUMIFS(Data!$F$2:$F$2657,Data!$A$2:$A$2657,$A208,Data!$B$2:$B$2657,$B208)/$D208,0)</f>
        <v>0.00147045089505409</v>
      </c>
      <c r="K208" s="11" t="n">
        <f aca="false">SUM(E208:I208)</f>
        <v>1</v>
      </c>
    </row>
    <row r="209" customFormat="false" ht="15" hidden="false" customHeight="false" outlineLevel="0" collapsed="false">
      <c r="A209" s="7" t="n">
        <v>2006</v>
      </c>
      <c r="B209" s="12" t="s">
        <v>61</v>
      </c>
      <c r="C209" s="12" t="s">
        <v>62</v>
      </c>
      <c r="D209" s="9" t="n">
        <f aca="false">SUMIFS(Data!$E$2:$E$2657,Data!$A$2:$A$2657,$A209,Data!$B$2:$B$2657,$B209)+SUMIFS(Data!$G$2:$G$2657,Data!$A$2:$A$2657,$A209,Data!$B$2:$B$2657,$B209)</f>
        <v>725.675581</v>
      </c>
      <c r="E209" s="10" t="n">
        <f aca="false">IFERROR((SUMIFS(Data!$E$2:$E$2657,Data!$A$2:$A$2657,$A209,Data!$B$2:$B$2657,$B209,Data!$D$2:$D$2657,"Transmission")+SUMIFS(Data!$G$2:$G$2657,Data!$A$2:$A$2657,$A209,Data!$B$2:$B$2657,$B209,Data!$D$2:$D$2657,"Transmission"))/$D209,0)</f>
        <v>0.190766193082085</v>
      </c>
      <c r="F209" s="10" t="n">
        <f aca="false">IFERROR((SUMIFS(Data!$E$2:$E$2657,Data!$A$2:$A$2657,$A209,Data!$B$2:$B$2657,$B209,Data!$D$2:$D$2657,"Distribution")+SUMIFS(Data!$G$2:$G$2657,Data!$A$2:$A$2657,$A209,Data!$B$2:$B$2657,$B209,Data!$D$2:$D$2657,"Distribution"))/$D209,0)</f>
        <v>0.414701936897612</v>
      </c>
      <c r="G209" s="10" t="n">
        <f aca="false">IFERROR((SUMIFS(Data!$E$2:$E$2657,Data!$A$2:$A$2657,$A209,Data!$B$2:$B$2657,$B209,Data!$D$2:$D$2657,"RTO/market operation")+SUMIFS(Data!$G$2:$G$2657,Data!$A$2:$A$2657,$A209,Data!$B$2:$B$2657,$B209,Data!$D$2:$D$2657,"RTO/market operation"))/$D209,0)</f>
        <v>0</v>
      </c>
      <c r="H209" s="10" t="n">
        <f aca="false">IFERROR((SUMIFS(Data!$E$2:$E$2657,Data!$A$2:$A$2657,$A209,Data!$B$2:$B$2657,$B209,Data!$D$2:$D$2657,"Customer accounts, service &amp; sales")+SUMIFS(Data!$G$2:$G$2657,Data!$A$2:$A$2657,$A209,Data!$B$2:$B$2657,$B209,Data!$D$2:$D$2657,"Customer accounts, service &amp; sales"))/$D209,0)</f>
        <v>0.118736602492898</v>
      </c>
      <c r="I209" s="10" t="n">
        <f aca="false">IFERROR((SUMIFS(Data!$E$2:$E$2657,Data!$A$2:$A$2657,$A209,Data!$B$2:$B$2657,$B209,Data!$D$2:$D$2657,"A&amp;G and general")+SUMIFS(Data!$G$2:$G$2657,Data!$A$2:$A$2657,$A209,Data!$B$2:$B$2657,$B209,Data!$D$2:$D$2657,"A&amp;G and general"))/$D209,0)</f>
        <v>0.275795267527405</v>
      </c>
      <c r="J209" s="10" t="n">
        <f aca="false">IFERROR(SUMIFS(Data!$F$2:$F$2657,Data!$A$2:$A$2657,$A209,Data!$B$2:$B$2657,$B209)/$D209,0)</f>
        <v>0.190766193082085</v>
      </c>
      <c r="K209" s="11" t="n">
        <f aca="false">SUM(E209:I209)</f>
        <v>1</v>
      </c>
    </row>
    <row r="210" customFormat="false" ht="15" hidden="false" customHeight="false" outlineLevel="0" collapsed="false">
      <c r="A210" s="7" t="n">
        <v>2006</v>
      </c>
      <c r="B210" s="12" t="s">
        <v>63</v>
      </c>
      <c r="C210" s="12" t="s">
        <v>62</v>
      </c>
      <c r="D210" s="9" t="n">
        <f aca="false">SUMIFS(Data!$E$2:$E$2657,Data!$A$2:$A$2657,$A210,Data!$B$2:$B$2657,$B210)+SUMIFS(Data!$G$2:$G$2657,Data!$A$2:$A$2657,$A210,Data!$B$2:$B$2657,$B210)</f>
        <v>1799.869394</v>
      </c>
      <c r="E210" s="10" t="n">
        <f aca="false">IFERROR((SUMIFS(Data!$E$2:$E$2657,Data!$A$2:$A$2657,$A210,Data!$B$2:$B$2657,$B210,Data!$D$2:$D$2657,"Transmission")+SUMIFS(Data!$G$2:$G$2657,Data!$A$2:$A$2657,$A210,Data!$B$2:$B$2657,$B210,Data!$D$2:$D$2657,"Transmission"))/$D210,0)</f>
        <v>0.118960883336183</v>
      </c>
      <c r="F210" s="10" t="n">
        <f aca="false">IFERROR((SUMIFS(Data!$E$2:$E$2657,Data!$A$2:$A$2657,$A210,Data!$B$2:$B$2657,$B210,Data!$D$2:$D$2657,"Distribution")+SUMIFS(Data!$G$2:$G$2657,Data!$A$2:$A$2657,$A210,Data!$B$2:$B$2657,$B210,Data!$D$2:$D$2657,"Distribution"))/$D210,0)</f>
        <v>0.231568969609358</v>
      </c>
      <c r="G210" s="10" t="n">
        <f aca="false">IFERROR((SUMIFS(Data!$E$2:$E$2657,Data!$A$2:$A$2657,$A210,Data!$B$2:$B$2657,$B210,Data!$D$2:$D$2657,"RTO/market operation")+SUMIFS(Data!$G$2:$G$2657,Data!$A$2:$A$2657,$A210,Data!$B$2:$B$2657,$B210,Data!$D$2:$D$2657,"RTO/market operation"))/$D210,0)</f>
        <v>0.00601641876688304</v>
      </c>
      <c r="H210" s="10" t="n">
        <f aca="false">IFERROR((SUMIFS(Data!$E$2:$E$2657,Data!$A$2:$A$2657,$A210,Data!$B$2:$B$2657,$B210,Data!$D$2:$D$2657,"Customer accounts, service &amp; sales")+SUMIFS(Data!$G$2:$G$2657,Data!$A$2:$A$2657,$A210,Data!$B$2:$B$2657,$B210,Data!$D$2:$D$2657,"Customer accounts, service &amp; sales"))/$D210,0)</f>
        <v>0.0966814795451764</v>
      </c>
      <c r="I210" s="10" t="n">
        <f aca="false">IFERROR((SUMIFS(Data!$E$2:$E$2657,Data!$A$2:$A$2657,$A210,Data!$B$2:$B$2657,$B210,Data!$D$2:$D$2657,"A&amp;G and general")+SUMIFS(Data!$G$2:$G$2657,Data!$A$2:$A$2657,$A210,Data!$B$2:$B$2657,$B210,Data!$D$2:$D$2657,"A&amp;G and general"))/$D210,0)</f>
        <v>0.5467722487424</v>
      </c>
      <c r="J210" s="10" t="n">
        <f aca="false">IFERROR(SUMIFS(Data!$F$2:$F$2657,Data!$A$2:$A$2657,$A210,Data!$B$2:$B$2657,$B210)/$D210,0)</f>
        <v>0.107772730425128</v>
      </c>
      <c r="K210" s="11" t="n">
        <f aca="false">SUM(E210:I210)</f>
        <v>1</v>
      </c>
    </row>
    <row r="211" customFormat="false" ht="15" hidden="false" customHeight="false" outlineLevel="0" collapsed="false">
      <c r="A211" s="7" t="n">
        <v>2006</v>
      </c>
      <c r="B211" s="12" t="s">
        <v>64</v>
      </c>
      <c r="C211" s="12" t="s">
        <v>65</v>
      </c>
      <c r="D211" s="9" t="n">
        <f aca="false">SUMIFS(Data!$E$2:$E$2657,Data!$A$2:$A$2657,$A211,Data!$B$2:$B$2657,$B211)+SUMIFS(Data!$G$2:$G$2657,Data!$A$2:$A$2657,$A211,Data!$B$2:$B$2657,$B211)</f>
        <v>517.9903</v>
      </c>
      <c r="E211" s="10" t="n">
        <f aca="false">IFERROR((SUMIFS(Data!$E$2:$E$2657,Data!$A$2:$A$2657,$A211,Data!$B$2:$B$2657,$B211,Data!$D$2:$D$2657,"Transmission")+SUMIFS(Data!$G$2:$G$2657,Data!$A$2:$A$2657,$A211,Data!$B$2:$B$2657,$B211,Data!$D$2:$D$2657,"Transmission"))/$D211,0)</f>
        <v>0.0983248508707596</v>
      </c>
      <c r="F211" s="10" t="n">
        <f aca="false">IFERROR((SUMIFS(Data!$E$2:$E$2657,Data!$A$2:$A$2657,$A211,Data!$B$2:$B$2657,$B211,Data!$D$2:$D$2657,"Distribution")+SUMIFS(Data!$G$2:$G$2657,Data!$A$2:$A$2657,$A211,Data!$B$2:$B$2657,$B211,Data!$D$2:$D$2657,"Distribution"))/$D211,0)</f>
        <v>0.22480353396579</v>
      </c>
      <c r="G211" s="10" t="n">
        <f aca="false">IFERROR((SUMIFS(Data!$E$2:$E$2657,Data!$A$2:$A$2657,$A211,Data!$B$2:$B$2657,$B211,Data!$D$2:$D$2657,"RTO/market operation")+SUMIFS(Data!$G$2:$G$2657,Data!$A$2:$A$2657,$A211,Data!$B$2:$B$2657,$B211,Data!$D$2:$D$2657,"RTO/market operation"))/$D211,0)</f>
        <v>-0.000114529171685261</v>
      </c>
      <c r="H211" s="10" t="n">
        <f aca="false">IFERROR((SUMIFS(Data!$E$2:$E$2657,Data!$A$2:$A$2657,$A211,Data!$B$2:$B$2657,$B211,Data!$D$2:$D$2657,"Customer accounts, service &amp; sales")+SUMIFS(Data!$G$2:$G$2657,Data!$A$2:$A$2657,$A211,Data!$B$2:$B$2657,$B211,Data!$D$2:$D$2657,"Customer accounts, service &amp; sales"))/$D211,0)</f>
        <v>0.101990516038621</v>
      </c>
      <c r="I211" s="10" t="n">
        <f aca="false">IFERROR((SUMIFS(Data!$E$2:$E$2657,Data!$A$2:$A$2657,$A211,Data!$B$2:$B$2657,$B211,Data!$D$2:$D$2657,"A&amp;G and general")+SUMIFS(Data!$G$2:$G$2657,Data!$A$2:$A$2657,$A211,Data!$B$2:$B$2657,$B211,Data!$D$2:$D$2657,"A&amp;G and general"))/$D211,0)</f>
        <v>0.574995628296515</v>
      </c>
      <c r="J211" s="10" t="n">
        <f aca="false">IFERROR(SUMIFS(Data!$F$2:$F$2657,Data!$A$2:$A$2657,$A211,Data!$B$2:$B$2657,$B211)/$D211,0)</f>
        <v>0.00319928384759329</v>
      </c>
      <c r="K211" s="11" t="n">
        <f aca="false">SUM(E211:I211)</f>
        <v>1</v>
      </c>
    </row>
    <row r="212" customFormat="false" ht="15" hidden="false" customHeight="false" outlineLevel="0" collapsed="false">
      <c r="A212" s="7" t="n">
        <v>2006</v>
      </c>
      <c r="B212" s="12" t="s">
        <v>66</v>
      </c>
      <c r="C212" s="12" t="s">
        <v>67</v>
      </c>
      <c r="D212" s="9" t="n">
        <f aca="false">SUMIFS(Data!$E$2:$E$2657,Data!$A$2:$A$2657,$A212,Data!$B$2:$B$2657,$B212)+SUMIFS(Data!$G$2:$G$2657,Data!$A$2:$A$2657,$A212,Data!$B$2:$B$2657,$B212)</f>
        <v>274.325351</v>
      </c>
      <c r="E212" s="10" t="n">
        <f aca="false">IFERROR((SUMIFS(Data!$E$2:$E$2657,Data!$A$2:$A$2657,$A212,Data!$B$2:$B$2657,$B212,Data!$D$2:$D$2657,"Transmission")+SUMIFS(Data!$G$2:$G$2657,Data!$A$2:$A$2657,$A212,Data!$B$2:$B$2657,$B212,Data!$D$2:$D$2657,"Transmission"))/$D212,0)</f>
        <v>0.0021470928510723</v>
      </c>
      <c r="F212" s="10" t="n">
        <f aca="false">IFERROR((SUMIFS(Data!$E$2:$E$2657,Data!$A$2:$A$2657,$A212,Data!$B$2:$B$2657,$B212,Data!$D$2:$D$2657,"Distribution")+SUMIFS(Data!$G$2:$G$2657,Data!$A$2:$A$2657,$A212,Data!$B$2:$B$2657,$B212,Data!$D$2:$D$2657,"Distribution"))/$D212,0)</f>
        <v>0.376391535173867</v>
      </c>
      <c r="G212" s="10" t="n">
        <f aca="false">IFERROR((SUMIFS(Data!$E$2:$E$2657,Data!$A$2:$A$2657,$A212,Data!$B$2:$B$2657,$B212,Data!$D$2:$D$2657,"RTO/market operation")+SUMIFS(Data!$G$2:$G$2657,Data!$A$2:$A$2657,$A212,Data!$B$2:$B$2657,$B212,Data!$D$2:$D$2657,"RTO/market operation"))/$D212,0)</f>
        <v>0.00986365638515122</v>
      </c>
      <c r="H212" s="10" t="n">
        <f aca="false">IFERROR((SUMIFS(Data!$E$2:$E$2657,Data!$A$2:$A$2657,$A212,Data!$B$2:$B$2657,$B212,Data!$D$2:$D$2657,"Customer accounts, service &amp; sales")+SUMIFS(Data!$G$2:$G$2657,Data!$A$2:$A$2657,$A212,Data!$B$2:$B$2657,$B212,Data!$D$2:$D$2657,"Customer accounts, service &amp; sales"))/$D212,0)</f>
        <v>0.0888168407009529</v>
      </c>
      <c r="I212" s="10" t="n">
        <f aca="false">IFERROR((SUMIFS(Data!$E$2:$E$2657,Data!$A$2:$A$2657,$A212,Data!$B$2:$B$2657,$B212,Data!$D$2:$D$2657,"A&amp;G and general")+SUMIFS(Data!$G$2:$G$2657,Data!$A$2:$A$2657,$A212,Data!$B$2:$B$2657,$B212,Data!$D$2:$D$2657,"A&amp;G and general"))/$D212,0)</f>
        <v>0.522780874888956</v>
      </c>
      <c r="J212" s="10" t="n">
        <f aca="false">IFERROR(SUMIFS(Data!$F$2:$F$2657,Data!$A$2:$A$2657,$A212,Data!$B$2:$B$2657,$B212)/$D212,0)</f>
        <v>-0.136007331673842</v>
      </c>
      <c r="K212" s="11" t="n">
        <f aca="false">SUM(E212:I212)</f>
        <v>1</v>
      </c>
    </row>
    <row r="213" customFormat="false" ht="15" hidden="false" customHeight="false" outlineLevel="0" collapsed="false">
      <c r="A213" s="7" t="n">
        <v>2006</v>
      </c>
      <c r="B213" s="12" t="s">
        <v>68</v>
      </c>
      <c r="C213" s="12" t="s">
        <v>65</v>
      </c>
      <c r="D213" s="9" t="n">
        <f aca="false">SUMIFS(Data!$E$2:$E$2657,Data!$A$2:$A$2657,$A213,Data!$B$2:$B$2657,$B213)+SUMIFS(Data!$G$2:$G$2657,Data!$A$2:$A$2657,$A213,Data!$B$2:$B$2657,$B213)</f>
        <v>227.129504</v>
      </c>
      <c r="E213" s="10" t="n">
        <f aca="false">IFERROR((SUMIFS(Data!$E$2:$E$2657,Data!$A$2:$A$2657,$A213,Data!$B$2:$B$2657,$B213,Data!$D$2:$D$2657,"Transmission")+SUMIFS(Data!$G$2:$G$2657,Data!$A$2:$A$2657,$A213,Data!$B$2:$B$2657,$B213,Data!$D$2:$D$2657,"Transmission"))/$D213,0)</f>
        <v>0.0726612338307224</v>
      </c>
      <c r="F213" s="10" t="n">
        <f aca="false">IFERROR((SUMIFS(Data!$E$2:$E$2657,Data!$A$2:$A$2657,$A213,Data!$B$2:$B$2657,$B213,Data!$D$2:$D$2657,"Distribution")+SUMIFS(Data!$G$2:$G$2657,Data!$A$2:$A$2657,$A213,Data!$B$2:$B$2657,$B213,Data!$D$2:$D$2657,"Distribution"))/$D213,0)</f>
        <v>0.375857497579883</v>
      </c>
      <c r="G213" s="10" t="n">
        <f aca="false">IFERROR((SUMIFS(Data!$E$2:$E$2657,Data!$A$2:$A$2657,$A213,Data!$B$2:$B$2657,$B213,Data!$D$2:$D$2657,"RTO/market operation")+SUMIFS(Data!$G$2:$G$2657,Data!$A$2:$A$2657,$A213,Data!$B$2:$B$2657,$B213,Data!$D$2:$D$2657,"RTO/market operation"))/$D213,0)</f>
        <v>0.00168554500079391</v>
      </c>
      <c r="H213" s="10" t="n">
        <f aca="false">IFERROR((SUMIFS(Data!$E$2:$E$2657,Data!$A$2:$A$2657,$A213,Data!$B$2:$B$2657,$B213,Data!$D$2:$D$2657,"Customer accounts, service &amp; sales")+SUMIFS(Data!$G$2:$G$2657,Data!$A$2:$A$2657,$A213,Data!$B$2:$B$2657,$B213,Data!$D$2:$D$2657,"Customer accounts, service &amp; sales"))/$D213,0)</f>
        <v>0.0896489960194691</v>
      </c>
      <c r="I213" s="10" t="n">
        <f aca="false">IFERROR((SUMIFS(Data!$E$2:$E$2657,Data!$A$2:$A$2657,$A213,Data!$B$2:$B$2657,$B213,Data!$D$2:$D$2657,"A&amp;G and general")+SUMIFS(Data!$G$2:$G$2657,Data!$A$2:$A$2657,$A213,Data!$B$2:$B$2657,$B213,Data!$D$2:$D$2657,"A&amp;G and general"))/$D213,0)</f>
        <v>0.460146727569132</v>
      </c>
      <c r="J213" s="10" t="n">
        <f aca="false">IFERROR(SUMIFS(Data!$F$2:$F$2657,Data!$A$2:$A$2657,$A213,Data!$B$2:$B$2657,$B213)/$D213,0)</f>
        <v>0.0182143443592427</v>
      </c>
      <c r="K213" s="11" t="n">
        <f aca="false">SUM(E213:I213)</f>
        <v>1</v>
      </c>
    </row>
    <row r="214" customFormat="false" ht="15" hidden="false" customHeight="false" outlineLevel="0" collapsed="false">
      <c r="A214" s="7" t="n">
        <v>2006</v>
      </c>
      <c r="B214" s="12" t="s">
        <v>69</v>
      </c>
      <c r="C214" s="12" t="s">
        <v>70</v>
      </c>
      <c r="D214" s="9" t="n">
        <f aca="false">SUMIFS(Data!$E$2:$E$2657,Data!$A$2:$A$2657,$A214,Data!$B$2:$B$2657,$B214)+SUMIFS(Data!$G$2:$G$2657,Data!$A$2:$A$2657,$A214,Data!$B$2:$B$2657,$B214)</f>
        <v>270.558424</v>
      </c>
      <c r="E214" s="10" t="n">
        <f aca="false">IFERROR((SUMIFS(Data!$E$2:$E$2657,Data!$A$2:$A$2657,$A214,Data!$B$2:$B$2657,$B214,Data!$D$2:$D$2657,"Transmission")+SUMIFS(Data!$G$2:$G$2657,Data!$A$2:$A$2657,$A214,Data!$B$2:$B$2657,$B214,Data!$D$2:$D$2657,"Transmission"))/$D214,0)</f>
        <v>0.135469646289779</v>
      </c>
      <c r="F214" s="10" t="n">
        <f aca="false">IFERROR((SUMIFS(Data!$E$2:$E$2657,Data!$A$2:$A$2657,$A214,Data!$B$2:$B$2657,$B214,Data!$D$2:$D$2657,"Distribution")+SUMIFS(Data!$G$2:$G$2657,Data!$A$2:$A$2657,$A214,Data!$B$2:$B$2657,$B214,Data!$D$2:$D$2657,"Distribution"))/$D214,0)</f>
        <v>0.225278825544903</v>
      </c>
      <c r="G214" s="10" t="n">
        <f aca="false">IFERROR((SUMIFS(Data!$E$2:$E$2657,Data!$A$2:$A$2657,$A214,Data!$B$2:$B$2657,$B214,Data!$D$2:$D$2657,"RTO/market operation")+SUMIFS(Data!$G$2:$G$2657,Data!$A$2:$A$2657,$A214,Data!$B$2:$B$2657,$B214,Data!$D$2:$D$2657,"RTO/market operation"))/$D214,0)</f>
        <v>0.00832393228310644</v>
      </c>
      <c r="H214" s="10" t="n">
        <f aca="false">IFERROR((SUMIFS(Data!$E$2:$E$2657,Data!$A$2:$A$2657,$A214,Data!$B$2:$B$2657,$B214,Data!$D$2:$D$2657,"Customer accounts, service &amp; sales")+SUMIFS(Data!$G$2:$G$2657,Data!$A$2:$A$2657,$A214,Data!$B$2:$B$2657,$B214,Data!$D$2:$D$2657,"Customer accounts, service &amp; sales"))/$D214,0)</f>
        <v>0.194282174706931</v>
      </c>
      <c r="I214" s="10" t="n">
        <f aca="false">IFERROR((SUMIFS(Data!$E$2:$E$2657,Data!$A$2:$A$2657,$A214,Data!$B$2:$B$2657,$B214,Data!$D$2:$D$2657,"A&amp;G and general")+SUMIFS(Data!$G$2:$G$2657,Data!$A$2:$A$2657,$A214,Data!$B$2:$B$2657,$B214,Data!$D$2:$D$2657,"A&amp;G and general"))/$D214,0)</f>
        <v>0.43664542117528</v>
      </c>
      <c r="J214" s="10" t="n">
        <f aca="false">IFERROR(SUMIFS(Data!$F$2:$F$2657,Data!$A$2:$A$2657,$A214,Data!$B$2:$B$2657,$B214)/$D214,0)</f>
        <v>0.0354667574497699</v>
      </c>
      <c r="K214" s="11" t="n">
        <f aca="false">SUM(E214:I214)</f>
        <v>1</v>
      </c>
    </row>
    <row r="215" customFormat="false" ht="15" hidden="false" customHeight="false" outlineLevel="0" collapsed="false">
      <c r="A215" s="7" t="n">
        <v>2006</v>
      </c>
      <c r="B215" s="12" t="s">
        <v>73</v>
      </c>
      <c r="C215" s="12" t="s">
        <v>70</v>
      </c>
      <c r="D215" s="9" t="n">
        <f aca="false">SUMIFS(Data!$E$2:$E$2657,Data!$A$2:$A$2657,$A215,Data!$B$2:$B$2657,$B215)+SUMIFS(Data!$G$2:$G$2657,Data!$A$2:$A$2657,$A215,Data!$B$2:$B$2657,$B215)</f>
        <v>365.907894</v>
      </c>
      <c r="E215" s="10" t="n">
        <f aca="false">IFERROR((SUMIFS(Data!$E$2:$E$2657,Data!$A$2:$A$2657,$A215,Data!$B$2:$B$2657,$B215,Data!$D$2:$D$2657,"Transmission")+SUMIFS(Data!$G$2:$G$2657,Data!$A$2:$A$2657,$A215,Data!$B$2:$B$2657,$B215,Data!$D$2:$D$2657,"Transmission"))/$D215,0)</f>
        <v>0.127769148374809</v>
      </c>
      <c r="F215" s="10" t="n">
        <f aca="false">IFERROR((SUMIFS(Data!$E$2:$E$2657,Data!$A$2:$A$2657,$A215,Data!$B$2:$B$2657,$B215,Data!$D$2:$D$2657,"Distribution")+SUMIFS(Data!$G$2:$G$2657,Data!$A$2:$A$2657,$A215,Data!$B$2:$B$2657,$B215,Data!$D$2:$D$2657,"Distribution"))/$D215,0)</f>
        <v>0.382730800008376</v>
      </c>
      <c r="G215" s="10" t="n">
        <f aca="false">IFERROR((SUMIFS(Data!$E$2:$E$2657,Data!$A$2:$A$2657,$A215,Data!$B$2:$B$2657,$B215,Data!$D$2:$D$2657,"RTO/market operation")+SUMIFS(Data!$G$2:$G$2657,Data!$A$2:$A$2657,$A215,Data!$B$2:$B$2657,$B215,Data!$D$2:$D$2657,"RTO/market operation"))/$D215,0)</f>
        <v>0</v>
      </c>
      <c r="H215" s="10" t="n">
        <f aca="false">IFERROR((SUMIFS(Data!$E$2:$E$2657,Data!$A$2:$A$2657,$A215,Data!$B$2:$B$2657,$B215,Data!$D$2:$D$2657,"Customer accounts, service &amp; sales")+SUMIFS(Data!$G$2:$G$2657,Data!$A$2:$A$2657,$A215,Data!$B$2:$B$2657,$B215,Data!$D$2:$D$2657,"Customer accounts, service &amp; sales"))/$D215,0)</f>
        <v>0.18567719667726</v>
      </c>
      <c r="I215" s="10" t="n">
        <f aca="false">IFERROR((SUMIFS(Data!$E$2:$E$2657,Data!$A$2:$A$2657,$A215,Data!$B$2:$B$2657,$B215,Data!$D$2:$D$2657,"A&amp;G and general")+SUMIFS(Data!$G$2:$G$2657,Data!$A$2:$A$2657,$A215,Data!$B$2:$B$2657,$B215,Data!$D$2:$D$2657,"A&amp;G and general"))/$D215,0)</f>
        <v>0.303822854939555</v>
      </c>
      <c r="J215" s="10" t="n">
        <f aca="false">IFERROR(SUMIFS(Data!$F$2:$F$2657,Data!$A$2:$A$2657,$A215,Data!$B$2:$B$2657,$B215)/$D215,0)</f>
        <v>0.0698941712364369</v>
      </c>
      <c r="K215" s="11" t="n">
        <f aca="false">SUM(E215:I215)</f>
        <v>1</v>
      </c>
    </row>
    <row r="216" customFormat="false" ht="15" hidden="false" customHeight="false" outlineLevel="0" collapsed="false">
      <c r="A216" s="7" t="n">
        <v>2006</v>
      </c>
      <c r="B216" s="12" t="s">
        <v>74</v>
      </c>
      <c r="C216" s="12" t="s">
        <v>65</v>
      </c>
      <c r="D216" s="9" t="n">
        <f aca="false">SUMIFS(Data!$E$2:$E$2657,Data!$A$2:$A$2657,$A216,Data!$B$2:$B$2657,$B216)+SUMIFS(Data!$G$2:$G$2657,Data!$A$2:$A$2657,$A216,Data!$B$2:$B$2657,$B216)</f>
        <v>245.037716</v>
      </c>
      <c r="E216" s="10" t="n">
        <f aca="false">IFERROR((SUMIFS(Data!$E$2:$E$2657,Data!$A$2:$A$2657,$A216,Data!$B$2:$B$2657,$B216,Data!$D$2:$D$2657,"Transmission")+SUMIFS(Data!$G$2:$G$2657,Data!$A$2:$A$2657,$A216,Data!$B$2:$B$2657,$B216,Data!$D$2:$D$2657,"Transmission"))/$D216,0)</f>
        <v>0.168476003098233</v>
      </c>
      <c r="F216" s="10" t="n">
        <f aca="false">IFERROR((SUMIFS(Data!$E$2:$E$2657,Data!$A$2:$A$2657,$A216,Data!$B$2:$B$2657,$B216,Data!$D$2:$D$2657,"Distribution")+SUMIFS(Data!$G$2:$G$2657,Data!$A$2:$A$2657,$A216,Data!$B$2:$B$2657,$B216,Data!$D$2:$D$2657,"Distribution"))/$D216,0)</f>
        <v>0.307893577493189</v>
      </c>
      <c r="G216" s="10" t="n">
        <f aca="false">IFERROR((SUMIFS(Data!$E$2:$E$2657,Data!$A$2:$A$2657,$A216,Data!$B$2:$B$2657,$B216,Data!$D$2:$D$2657,"RTO/market operation")+SUMIFS(Data!$G$2:$G$2657,Data!$A$2:$A$2657,$A216,Data!$B$2:$B$2657,$B216,Data!$D$2:$D$2657,"RTO/market operation"))/$D216,0)</f>
        <v>0</v>
      </c>
      <c r="H216" s="10" t="n">
        <f aca="false">IFERROR((SUMIFS(Data!$E$2:$E$2657,Data!$A$2:$A$2657,$A216,Data!$B$2:$B$2657,$B216,Data!$D$2:$D$2657,"Customer accounts, service &amp; sales")+SUMIFS(Data!$G$2:$G$2657,Data!$A$2:$A$2657,$A216,Data!$B$2:$B$2657,$B216,Data!$D$2:$D$2657,"Customer accounts, service &amp; sales"))/$D216,0)</f>
        <v>0.0906127120447042</v>
      </c>
      <c r="I216" s="10" t="n">
        <f aca="false">IFERROR((SUMIFS(Data!$E$2:$E$2657,Data!$A$2:$A$2657,$A216,Data!$B$2:$B$2657,$B216,Data!$D$2:$D$2657,"A&amp;G and general")+SUMIFS(Data!$G$2:$G$2657,Data!$A$2:$A$2657,$A216,Data!$B$2:$B$2657,$B216,Data!$D$2:$D$2657,"A&amp;G and general"))/$D216,0)</f>
        <v>0.433017707363874</v>
      </c>
      <c r="J216" s="10" t="n">
        <f aca="false">IFERROR(SUMIFS(Data!$F$2:$F$2657,Data!$A$2:$A$2657,$A216,Data!$B$2:$B$2657,$B216)/$D216,0)</f>
        <v>0.0132682554060372</v>
      </c>
      <c r="K216" s="11" t="n">
        <f aca="false">SUM(E216:I216)</f>
        <v>1</v>
      </c>
    </row>
    <row r="217" customFormat="false" ht="15" hidden="false" customHeight="false" outlineLevel="0" collapsed="false">
      <c r="A217" s="7" t="n">
        <v>2006</v>
      </c>
      <c r="B217" s="12" t="s">
        <v>75</v>
      </c>
      <c r="C217" s="12" t="s">
        <v>57</v>
      </c>
      <c r="D217" s="9" t="n">
        <f aca="false">SUMIFS(Data!$E$2:$E$2657,Data!$A$2:$A$2657,$A217,Data!$B$2:$B$2657,$B217)+SUMIFS(Data!$G$2:$G$2657,Data!$A$2:$A$2657,$A217,Data!$B$2:$B$2657,$B217)</f>
        <v>659.822895</v>
      </c>
      <c r="E217" s="10" t="n">
        <f aca="false">IFERROR((SUMIFS(Data!$E$2:$E$2657,Data!$A$2:$A$2657,$A217,Data!$B$2:$B$2657,$B217,Data!$D$2:$D$2657,"Transmission")+SUMIFS(Data!$G$2:$G$2657,Data!$A$2:$A$2657,$A217,Data!$B$2:$B$2657,$B217,Data!$D$2:$D$2657,"Transmission"))/$D217,0)</f>
        <v>0.213873297015557</v>
      </c>
      <c r="F217" s="10" t="n">
        <f aca="false">IFERROR((SUMIFS(Data!$E$2:$E$2657,Data!$A$2:$A$2657,$A217,Data!$B$2:$B$2657,$B217,Data!$D$2:$D$2657,"Distribution")+SUMIFS(Data!$G$2:$G$2657,Data!$A$2:$A$2657,$A217,Data!$B$2:$B$2657,$B217,Data!$D$2:$D$2657,"Distribution"))/$D217,0)</f>
        <v>0.273045652651989</v>
      </c>
      <c r="G217" s="10" t="n">
        <f aca="false">IFERROR((SUMIFS(Data!$E$2:$E$2657,Data!$A$2:$A$2657,$A217,Data!$B$2:$B$2657,$B217,Data!$D$2:$D$2657,"RTO/market operation")+SUMIFS(Data!$G$2:$G$2657,Data!$A$2:$A$2657,$A217,Data!$B$2:$B$2657,$B217,Data!$D$2:$D$2657,"RTO/market operation"))/$D217,0)</f>
        <v>0.0108114511546314</v>
      </c>
      <c r="H217" s="10" t="n">
        <f aca="false">IFERROR((SUMIFS(Data!$E$2:$E$2657,Data!$A$2:$A$2657,$A217,Data!$B$2:$B$2657,$B217,Data!$D$2:$D$2657,"Customer accounts, service &amp; sales")+SUMIFS(Data!$G$2:$G$2657,Data!$A$2:$A$2657,$A217,Data!$B$2:$B$2657,$B217,Data!$D$2:$D$2657,"Customer accounts, service &amp; sales"))/$D217,0)</f>
        <v>0.183513479022276</v>
      </c>
      <c r="I217" s="10" t="n">
        <f aca="false">IFERROR((SUMIFS(Data!$E$2:$E$2657,Data!$A$2:$A$2657,$A217,Data!$B$2:$B$2657,$B217,Data!$D$2:$D$2657,"A&amp;G and general")+SUMIFS(Data!$G$2:$G$2657,Data!$A$2:$A$2657,$A217,Data!$B$2:$B$2657,$B217,Data!$D$2:$D$2657,"A&amp;G and general"))/$D217,0)</f>
        <v>0.318756120155546</v>
      </c>
      <c r="J217" s="10" t="n">
        <f aca="false">IFERROR(SUMIFS(Data!$F$2:$F$2657,Data!$A$2:$A$2657,$A217,Data!$B$2:$B$2657,$B217)/$D217,0)</f>
        <v>0.0621925963936126</v>
      </c>
      <c r="K217" s="11" t="n">
        <f aca="false">SUM(E217:I217)</f>
        <v>1</v>
      </c>
    </row>
    <row r="218" customFormat="false" ht="15" hidden="false" customHeight="false" outlineLevel="0" collapsed="false">
      <c r="A218" s="7" t="n">
        <v>2006</v>
      </c>
      <c r="B218" s="12" t="s">
        <v>76</v>
      </c>
      <c r="C218" s="12" t="s">
        <v>72</v>
      </c>
      <c r="D218" s="9" t="n">
        <f aca="false">SUMIFS(Data!$E$2:$E$2657,Data!$A$2:$A$2657,$A218,Data!$B$2:$B$2657,$B218)+SUMIFS(Data!$G$2:$G$2657,Data!$A$2:$A$2657,$A218,Data!$B$2:$B$2657,$B218)</f>
        <v>136.87947</v>
      </c>
      <c r="E218" s="10" t="n">
        <f aca="false">IFERROR((SUMIFS(Data!$E$2:$E$2657,Data!$A$2:$A$2657,$A218,Data!$B$2:$B$2657,$B218,Data!$D$2:$D$2657,"Transmission")+SUMIFS(Data!$G$2:$G$2657,Data!$A$2:$A$2657,$A218,Data!$B$2:$B$2657,$B218,Data!$D$2:$D$2657,"Transmission"))/$D218,0)</f>
        <v>0.301645571830458</v>
      </c>
      <c r="F218" s="10" t="n">
        <f aca="false">IFERROR((SUMIFS(Data!$E$2:$E$2657,Data!$A$2:$A$2657,$A218,Data!$B$2:$B$2657,$B218,Data!$D$2:$D$2657,"Distribution")+SUMIFS(Data!$G$2:$G$2657,Data!$A$2:$A$2657,$A218,Data!$B$2:$B$2657,$B218,Data!$D$2:$D$2657,"Distribution"))/$D218,0)</f>
        <v>0.274636050241866</v>
      </c>
      <c r="G218" s="10" t="n">
        <f aca="false">IFERROR((SUMIFS(Data!$E$2:$E$2657,Data!$A$2:$A$2657,$A218,Data!$B$2:$B$2657,$B218,Data!$D$2:$D$2657,"RTO/market operation")+SUMIFS(Data!$G$2:$G$2657,Data!$A$2:$A$2657,$A218,Data!$B$2:$B$2657,$B218,Data!$D$2:$D$2657,"RTO/market operation"))/$D218,0)</f>
        <v>0</v>
      </c>
      <c r="H218" s="10" t="n">
        <f aca="false">IFERROR((SUMIFS(Data!$E$2:$E$2657,Data!$A$2:$A$2657,$A218,Data!$B$2:$B$2657,$B218,Data!$D$2:$D$2657,"Customer accounts, service &amp; sales")+SUMIFS(Data!$G$2:$G$2657,Data!$A$2:$A$2657,$A218,Data!$B$2:$B$2657,$B218,Data!$D$2:$D$2657,"Customer accounts, service &amp; sales"))/$D218,0)</f>
        <v>0.151693493553124</v>
      </c>
      <c r="I218" s="10" t="n">
        <f aca="false">IFERROR((SUMIFS(Data!$E$2:$E$2657,Data!$A$2:$A$2657,$A218,Data!$B$2:$B$2657,$B218,Data!$D$2:$D$2657,"A&amp;G and general")+SUMIFS(Data!$G$2:$G$2657,Data!$A$2:$A$2657,$A218,Data!$B$2:$B$2657,$B218,Data!$D$2:$D$2657,"A&amp;G and general"))/$D218,0)</f>
        <v>0.272024884374552</v>
      </c>
      <c r="J218" s="10" t="n">
        <f aca="false">IFERROR(SUMIFS(Data!$F$2:$F$2657,Data!$A$2:$A$2657,$A218,Data!$B$2:$B$2657,$B218)/$D218,0)</f>
        <v>0</v>
      </c>
      <c r="K218" s="11" t="n">
        <f aca="false">SUM(E218:I218)</f>
        <v>1</v>
      </c>
    </row>
    <row r="219" customFormat="false" ht="15" hidden="false" customHeight="false" outlineLevel="0" collapsed="false">
      <c r="A219" s="7" t="n">
        <v>2006</v>
      </c>
      <c r="B219" s="12" t="s">
        <v>77</v>
      </c>
      <c r="C219" s="12" t="s">
        <v>57</v>
      </c>
      <c r="D219" s="9" t="n">
        <f aca="false">SUMIFS(Data!$E$2:$E$2657,Data!$A$2:$A$2657,$A219,Data!$B$2:$B$2657,$B219)+SUMIFS(Data!$G$2:$G$2657,Data!$A$2:$A$2657,$A219,Data!$B$2:$B$2657,$B219)</f>
        <v>88.107556</v>
      </c>
      <c r="E219" s="10" t="n">
        <f aca="false">IFERROR((SUMIFS(Data!$E$2:$E$2657,Data!$A$2:$A$2657,$A219,Data!$B$2:$B$2657,$B219,Data!$D$2:$D$2657,"Transmission")+SUMIFS(Data!$G$2:$G$2657,Data!$A$2:$A$2657,$A219,Data!$B$2:$B$2657,$B219,Data!$D$2:$D$2657,"Transmission"))/$D219,0)</f>
        <v>0.147815733306687</v>
      </c>
      <c r="F219" s="10" t="n">
        <f aca="false">IFERROR((SUMIFS(Data!$E$2:$E$2657,Data!$A$2:$A$2657,$A219,Data!$B$2:$B$2657,$B219,Data!$D$2:$D$2657,"Distribution")+SUMIFS(Data!$G$2:$G$2657,Data!$A$2:$A$2657,$A219,Data!$B$2:$B$2657,$B219,Data!$D$2:$D$2657,"Distribution"))/$D219,0)</f>
        <v>0.243502623089443</v>
      </c>
      <c r="G219" s="10" t="n">
        <f aca="false">IFERROR((SUMIFS(Data!$E$2:$E$2657,Data!$A$2:$A$2657,$A219,Data!$B$2:$B$2657,$B219,Data!$D$2:$D$2657,"RTO/market operation")+SUMIFS(Data!$G$2:$G$2657,Data!$A$2:$A$2657,$A219,Data!$B$2:$B$2657,$B219,Data!$D$2:$D$2657,"RTO/market operation"))/$D219,0)</f>
        <v>0.0100228634193417</v>
      </c>
      <c r="H219" s="10" t="n">
        <f aca="false">IFERROR((SUMIFS(Data!$E$2:$E$2657,Data!$A$2:$A$2657,$A219,Data!$B$2:$B$2657,$B219,Data!$D$2:$D$2657,"Customer accounts, service &amp; sales")+SUMIFS(Data!$G$2:$G$2657,Data!$A$2:$A$2657,$A219,Data!$B$2:$B$2657,$B219,Data!$D$2:$D$2657,"Customer accounts, service &amp; sales"))/$D219,0)</f>
        <v>0.18278780766544</v>
      </c>
      <c r="I219" s="10" t="n">
        <f aca="false">IFERROR((SUMIFS(Data!$E$2:$E$2657,Data!$A$2:$A$2657,$A219,Data!$B$2:$B$2657,$B219,Data!$D$2:$D$2657,"A&amp;G and general")+SUMIFS(Data!$G$2:$G$2657,Data!$A$2:$A$2657,$A219,Data!$B$2:$B$2657,$B219,Data!$D$2:$D$2657,"A&amp;G and general"))/$D219,0)</f>
        <v>0.415870972519088</v>
      </c>
      <c r="J219" s="10" t="n">
        <f aca="false">IFERROR(SUMIFS(Data!$F$2:$F$2657,Data!$A$2:$A$2657,$A219,Data!$B$2:$B$2657,$B219)/$D219,0)</f>
        <v>0</v>
      </c>
      <c r="K219" s="11" t="n">
        <f aca="false">SUM(E219:I219)</f>
        <v>1</v>
      </c>
    </row>
    <row r="220" customFormat="false" ht="15" hidden="false" customHeight="false" outlineLevel="0" collapsed="false">
      <c r="A220" s="7" t="n">
        <v>2006</v>
      </c>
      <c r="B220" s="12" t="s">
        <v>78</v>
      </c>
      <c r="C220" s="12" t="s">
        <v>65</v>
      </c>
      <c r="D220" s="9" t="n">
        <f aca="false">SUMIFS(Data!$E$2:$E$2657,Data!$A$2:$A$2657,$A220,Data!$B$2:$B$2657,$B220)+SUMIFS(Data!$G$2:$G$2657,Data!$A$2:$A$2657,$A220,Data!$B$2:$B$2657,$B220)</f>
        <v>65.942364</v>
      </c>
      <c r="E220" s="10" t="n">
        <f aca="false">IFERROR((SUMIFS(Data!$E$2:$E$2657,Data!$A$2:$A$2657,$A220,Data!$B$2:$B$2657,$B220,Data!$D$2:$D$2657,"Transmission")+SUMIFS(Data!$G$2:$G$2657,Data!$A$2:$A$2657,$A220,Data!$B$2:$B$2657,$B220,Data!$D$2:$D$2657,"Transmission"))/$D220,0)</f>
        <v>0.111716998802166</v>
      </c>
      <c r="F220" s="10" t="n">
        <f aca="false">IFERROR((SUMIFS(Data!$E$2:$E$2657,Data!$A$2:$A$2657,$A220,Data!$B$2:$B$2657,$B220,Data!$D$2:$D$2657,"Distribution")+SUMIFS(Data!$G$2:$G$2657,Data!$A$2:$A$2657,$A220,Data!$B$2:$B$2657,$B220,Data!$D$2:$D$2657,"Distribution"))/$D220,0)</f>
        <v>0.326253286885499</v>
      </c>
      <c r="G220" s="10" t="n">
        <f aca="false">IFERROR((SUMIFS(Data!$E$2:$E$2657,Data!$A$2:$A$2657,$A220,Data!$B$2:$B$2657,$B220,Data!$D$2:$D$2657,"RTO/market operation")+SUMIFS(Data!$G$2:$G$2657,Data!$A$2:$A$2657,$A220,Data!$B$2:$B$2657,$B220,Data!$D$2:$D$2657,"RTO/market operation"))/$D220,0)</f>
        <v>0</v>
      </c>
      <c r="H220" s="10" t="n">
        <f aca="false">IFERROR((SUMIFS(Data!$E$2:$E$2657,Data!$A$2:$A$2657,$A220,Data!$B$2:$B$2657,$B220,Data!$D$2:$D$2657,"Customer accounts, service &amp; sales")+SUMIFS(Data!$G$2:$G$2657,Data!$A$2:$A$2657,$A220,Data!$B$2:$B$2657,$B220,Data!$D$2:$D$2657,"Customer accounts, service &amp; sales"))/$D220,0)</f>
        <v>0.105709464707695</v>
      </c>
      <c r="I220" s="10" t="n">
        <f aca="false">IFERROR((SUMIFS(Data!$E$2:$E$2657,Data!$A$2:$A$2657,$A220,Data!$B$2:$B$2657,$B220,Data!$D$2:$D$2657,"A&amp;G and general")+SUMIFS(Data!$G$2:$G$2657,Data!$A$2:$A$2657,$A220,Data!$B$2:$B$2657,$B220,Data!$D$2:$D$2657,"A&amp;G and general"))/$D220,0)</f>
        <v>0.45632024960464</v>
      </c>
      <c r="J220" s="10" t="n">
        <f aca="false">IFERROR(SUMIFS(Data!$F$2:$F$2657,Data!$A$2:$A$2657,$A220,Data!$B$2:$B$2657,$B220)/$D220,0)</f>
        <v>0</v>
      </c>
      <c r="K220" s="11" t="n">
        <f aca="false">SUM(E220:I220)</f>
        <v>1</v>
      </c>
    </row>
    <row r="221" customFormat="false" ht="15" hidden="false" customHeight="false" outlineLevel="0" collapsed="false">
      <c r="A221" s="7" t="n">
        <v>2006</v>
      </c>
      <c r="B221" s="12" t="s">
        <v>79</v>
      </c>
      <c r="C221" s="12" t="s">
        <v>72</v>
      </c>
      <c r="D221" s="9" t="n">
        <f aca="false">SUMIFS(Data!$E$2:$E$2657,Data!$A$2:$A$2657,$A221,Data!$B$2:$B$2657,$B221)+SUMIFS(Data!$G$2:$G$2657,Data!$A$2:$A$2657,$A221,Data!$B$2:$B$2657,$B221)</f>
        <v>616.044564</v>
      </c>
      <c r="E221" s="10" t="n">
        <f aca="false">IFERROR((SUMIFS(Data!$E$2:$E$2657,Data!$A$2:$A$2657,$A221,Data!$B$2:$B$2657,$B221,Data!$D$2:$D$2657,"Transmission")+SUMIFS(Data!$G$2:$G$2657,Data!$A$2:$A$2657,$A221,Data!$B$2:$B$2657,$B221,Data!$D$2:$D$2657,"Transmission"))/$D221,0)</f>
        <v>0.277875210664143</v>
      </c>
      <c r="F221" s="10" t="n">
        <f aca="false">IFERROR((SUMIFS(Data!$E$2:$E$2657,Data!$A$2:$A$2657,$A221,Data!$B$2:$B$2657,$B221,Data!$D$2:$D$2657,"Distribution")+SUMIFS(Data!$G$2:$G$2657,Data!$A$2:$A$2657,$A221,Data!$B$2:$B$2657,$B221,Data!$D$2:$D$2657,"Distribution"))/$D221,0)</f>
        <v>0.254060594226751</v>
      </c>
      <c r="G221" s="10" t="n">
        <f aca="false">IFERROR((SUMIFS(Data!$E$2:$E$2657,Data!$A$2:$A$2657,$A221,Data!$B$2:$B$2657,$B221,Data!$D$2:$D$2657,"RTO/market operation")+SUMIFS(Data!$G$2:$G$2657,Data!$A$2:$A$2657,$A221,Data!$B$2:$B$2657,$B221,Data!$D$2:$D$2657,"RTO/market operation"))/$D221,0)</f>
        <v>2.62724499911341E-005</v>
      </c>
      <c r="H221" s="10" t="n">
        <f aca="false">IFERROR((SUMIFS(Data!$E$2:$E$2657,Data!$A$2:$A$2657,$A221,Data!$B$2:$B$2657,$B221,Data!$D$2:$D$2657,"Customer accounts, service &amp; sales")+SUMIFS(Data!$G$2:$G$2657,Data!$A$2:$A$2657,$A221,Data!$B$2:$B$2657,$B221,Data!$D$2:$D$2657,"Customer accounts, service &amp; sales"))/$D221,0)</f>
        <v>0.127795848873037</v>
      </c>
      <c r="I221" s="10" t="n">
        <f aca="false">IFERROR((SUMIFS(Data!$E$2:$E$2657,Data!$A$2:$A$2657,$A221,Data!$B$2:$B$2657,$B221,Data!$D$2:$D$2657,"A&amp;G and general")+SUMIFS(Data!$G$2:$G$2657,Data!$A$2:$A$2657,$A221,Data!$B$2:$B$2657,$B221,Data!$D$2:$D$2657,"A&amp;G and general"))/$D221,0)</f>
        <v>0.340242073786078</v>
      </c>
      <c r="J221" s="10" t="n">
        <f aca="false">IFERROR(SUMIFS(Data!$F$2:$F$2657,Data!$A$2:$A$2657,$A221,Data!$B$2:$B$2657,$B221)/$D221,0)</f>
        <v>0.273223977348496</v>
      </c>
      <c r="K221" s="11" t="n">
        <f aca="false">SUM(E221:I221)</f>
        <v>1</v>
      </c>
    </row>
    <row r="222" customFormat="false" ht="15" hidden="false" customHeight="false" outlineLevel="0" collapsed="false">
      <c r="A222" s="7" t="n">
        <v>2006</v>
      </c>
      <c r="B222" s="12" t="s">
        <v>80</v>
      </c>
      <c r="C222" s="12" t="s">
        <v>72</v>
      </c>
      <c r="D222" s="9" t="n">
        <f aca="false">SUMIFS(Data!$E$2:$E$2657,Data!$A$2:$A$2657,$A222,Data!$B$2:$B$2657,$B222)+SUMIFS(Data!$G$2:$G$2657,Data!$A$2:$A$2657,$A222,Data!$B$2:$B$2657,$B222)</f>
        <v>280.080619</v>
      </c>
      <c r="E222" s="10" t="n">
        <f aca="false">IFERROR((SUMIFS(Data!$E$2:$E$2657,Data!$A$2:$A$2657,$A222,Data!$B$2:$B$2657,$B222,Data!$D$2:$D$2657,"Transmission")+SUMIFS(Data!$G$2:$G$2657,Data!$A$2:$A$2657,$A222,Data!$B$2:$B$2657,$B222,Data!$D$2:$D$2657,"Transmission"))/$D222,0)</f>
        <v>0.25783840830486</v>
      </c>
      <c r="F222" s="10" t="n">
        <f aca="false">IFERROR((SUMIFS(Data!$E$2:$E$2657,Data!$A$2:$A$2657,$A222,Data!$B$2:$B$2657,$B222,Data!$D$2:$D$2657,"Distribution")+SUMIFS(Data!$G$2:$G$2657,Data!$A$2:$A$2657,$A222,Data!$B$2:$B$2657,$B222,Data!$D$2:$D$2657,"Distribution"))/$D222,0)</f>
        <v>0.239491280187438</v>
      </c>
      <c r="G222" s="10" t="n">
        <f aca="false">IFERROR((SUMIFS(Data!$E$2:$E$2657,Data!$A$2:$A$2657,$A222,Data!$B$2:$B$2657,$B222,Data!$D$2:$D$2657,"RTO/market operation")+SUMIFS(Data!$G$2:$G$2657,Data!$A$2:$A$2657,$A222,Data!$B$2:$B$2657,$B222,Data!$D$2:$D$2657,"RTO/market operation"))/$D222,0)</f>
        <v>0.00499707193234959</v>
      </c>
      <c r="H222" s="10" t="n">
        <f aca="false">IFERROR((SUMIFS(Data!$E$2:$E$2657,Data!$A$2:$A$2657,$A222,Data!$B$2:$B$2657,$B222,Data!$D$2:$D$2657,"Customer accounts, service &amp; sales")+SUMIFS(Data!$G$2:$G$2657,Data!$A$2:$A$2657,$A222,Data!$B$2:$B$2657,$B222,Data!$D$2:$D$2657,"Customer accounts, service &amp; sales"))/$D222,0)</f>
        <v>0.150471064904352</v>
      </c>
      <c r="I222" s="10" t="n">
        <f aca="false">IFERROR((SUMIFS(Data!$E$2:$E$2657,Data!$A$2:$A$2657,$A222,Data!$B$2:$B$2657,$B222,Data!$D$2:$D$2657,"A&amp;G and general")+SUMIFS(Data!$G$2:$G$2657,Data!$A$2:$A$2657,$A222,Data!$B$2:$B$2657,$B222,Data!$D$2:$D$2657,"A&amp;G and general"))/$D222,0)</f>
        <v>0.347202174671001</v>
      </c>
      <c r="J222" s="10" t="n">
        <f aca="false">IFERROR(SUMIFS(Data!$F$2:$F$2657,Data!$A$2:$A$2657,$A222,Data!$B$2:$B$2657,$B222)/$D222,0)</f>
        <v>0.250156209487669</v>
      </c>
      <c r="K222" s="11" t="n">
        <f aca="false">SUM(E222:I222)</f>
        <v>1</v>
      </c>
    </row>
    <row r="223" customFormat="false" ht="15" hidden="false" customHeight="false" outlineLevel="0" collapsed="false">
      <c r="A223" s="7" t="n">
        <v>2006</v>
      </c>
      <c r="B223" s="12" t="s">
        <v>81</v>
      </c>
      <c r="C223" s="12" t="s">
        <v>72</v>
      </c>
      <c r="D223" s="9" t="n">
        <f aca="false">SUMIFS(Data!$E$2:$E$2657,Data!$A$2:$A$2657,$A223,Data!$B$2:$B$2657,$B223)+SUMIFS(Data!$G$2:$G$2657,Data!$A$2:$A$2657,$A223,Data!$B$2:$B$2657,$B223)</f>
        <v>273.986516</v>
      </c>
      <c r="E223" s="10" t="n">
        <f aca="false">IFERROR((SUMIFS(Data!$E$2:$E$2657,Data!$A$2:$A$2657,$A223,Data!$B$2:$B$2657,$B223,Data!$D$2:$D$2657,"Transmission")+SUMIFS(Data!$G$2:$G$2657,Data!$A$2:$A$2657,$A223,Data!$B$2:$B$2657,$B223,Data!$D$2:$D$2657,"Transmission"))/$D223,0)</f>
        <v>0.247152071527491</v>
      </c>
      <c r="F223" s="10" t="n">
        <f aca="false">IFERROR((SUMIFS(Data!$E$2:$E$2657,Data!$A$2:$A$2657,$A223,Data!$B$2:$B$2657,$B223,Data!$D$2:$D$2657,"Distribution")+SUMIFS(Data!$G$2:$G$2657,Data!$A$2:$A$2657,$A223,Data!$B$2:$B$2657,$B223,Data!$D$2:$D$2657,"Distribution"))/$D223,0)</f>
        <v>0.251714230345555</v>
      </c>
      <c r="G223" s="10" t="n">
        <f aca="false">IFERROR((SUMIFS(Data!$E$2:$E$2657,Data!$A$2:$A$2657,$A223,Data!$B$2:$B$2657,$B223,Data!$D$2:$D$2657,"RTO/market operation")+SUMIFS(Data!$G$2:$G$2657,Data!$A$2:$A$2657,$A223,Data!$B$2:$B$2657,$B223,Data!$D$2:$D$2657,"RTO/market operation"))/$D223,0)</f>
        <v>0.00595975679328686</v>
      </c>
      <c r="H223" s="10" t="n">
        <f aca="false">IFERROR((SUMIFS(Data!$E$2:$E$2657,Data!$A$2:$A$2657,$A223,Data!$B$2:$B$2657,$B223,Data!$D$2:$D$2657,"Customer accounts, service &amp; sales")+SUMIFS(Data!$G$2:$G$2657,Data!$A$2:$A$2657,$A223,Data!$B$2:$B$2657,$B223,Data!$D$2:$D$2657,"Customer accounts, service &amp; sales"))/$D223,0)</f>
        <v>0.139751778879512</v>
      </c>
      <c r="I223" s="10" t="n">
        <f aca="false">IFERROR((SUMIFS(Data!$E$2:$E$2657,Data!$A$2:$A$2657,$A223,Data!$B$2:$B$2657,$B223,Data!$D$2:$D$2657,"A&amp;G and general")+SUMIFS(Data!$G$2:$G$2657,Data!$A$2:$A$2657,$A223,Data!$B$2:$B$2657,$B223,Data!$D$2:$D$2657,"A&amp;G and general"))/$D223,0)</f>
        <v>0.355422162454155</v>
      </c>
      <c r="J223" s="10" t="n">
        <f aca="false">IFERROR(SUMIFS(Data!$F$2:$F$2657,Data!$A$2:$A$2657,$A223,Data!$B$2:$B$2657,$B223)/$D223,0)</f>
        <v>0.235376933659027</v>
      </c>
      <c r="K223" s="11" t="n">
        <f aca="false">SUM(E223:I223)</f>
        <v>1</v>
      </c>
    </row>
    <row r="224" customFormat="false" ht="15" hidden="false" customHeight="false" outlineLevel="0" collapsed="false">
      <c r="A224" s="7" t="n">
        <v>2007</v>
      </c>
      <c r="B224" s="12" t="s">
        <v>56</v>
      </c>
      <c r="C224" s="12" t="s">
        <v>57</v>
      </c>
      <c r="D224" s="9" t="n">
        <f aca="false">SUMIFS(Data!$E$2:$E$2657,Data!$A$2:$A$2657,$A224,Data!$B$2:$B$2657,$B224)+SUMIFS(Data!$G$2:$G$2657,Data!$A$2:$A$2657,$A224,Data!$B$2:$B$2657,$B224)</f>
        <v>122.135033</v>
      </c>
      <c r="E224" s="10" t="n">
        <f aca="false">IFERROR((SUMIFS(Data!$E$2:$E$2657,Data!$A$2:$A$2657,$A224,Data!$B$2:$B$2657,$B224,Data!$D$2:$D$2657,"Transmission")+SUMIFS(Data!$G$2:$G$2657,Data!$A$2:$A$2657,$A224,Data!$B$2:$B$2657,$B224,Data!$D$2:$D$2657,"Transmission"))/$D224,0)</f>
        <v>0.191607759257739</v>
      </c>
      <c r="F224" s="10" t="n">
        <f aca="false">IFERROR((SUMIFS(Data!$E$2:$E$2657,Data!$A$2:$A$2657,$A224,Data!$B$2:$B$2657,$B224,Data!$D$2:$D$2657,"Distribution")+SUMIFS(Data!$G$2:$G$2657,Data!$A$2:$A$2657,$A224,Data!$B$2:$B$2657,$B224,Data!$D$2:$D$2657,"Distribution"))/$D224,0)</f>
        <v>0.263989039082668</v>
      </c>
      <c r="G224" s="10" t="n">
        <f aca="false">IFERROR((SUMIFS(Data!$E$2:$E$2657,Data!$A$2:$A$2657,$A224,Data!$B$2:$B$2657,$B224,Data!$D$2:$D$2657,"RTO/market operation")+SUMIFS(Data!$G$2:$G$2657,Data!$A$2:$A$2657,$A224,Data!$B$2:$B$2657,$B224,Data!$D$2:$D$2657,"RTO/market operation"))/$D224,0)</f>
        <v>0.000474065455077087</v>
      </c>
      <c r="H224" s="10" t="n">
        <f aca="false">IFERROR((SUMIFS(Data!$E$2:$E$2657,Data!$A$2:$A$2657,$A224,Data!$B$2:$B$2657,$B224,Data!$D$2:$D$2657,"Customer accounts, service &amp; sales")+SUMIFS(Data!$G$2:$G$2657,Data!$A$2:$A$2657,$A224,Data!$B$2:$B$2657,$B224,Data!$D$2:$D$2657,"Customer accounts, service &amp; sales"))/$D224,0)</f>
        <v>0.111433097168771</v>
      </c>
      <c r="I224" s="10" t="n">
        <f aca="false">IFERROR((SUMIFS(Data!$E$2:$E$2657,Data!$A$2:$A$2657,$A224,Data!$B$2:$B$2657,$B224,Data!$D$2:$D$2657,"A&amp;G and general")+SUMIFS(Data!$G$2:$G$2657,Data!$A$2:$A$2657,$A224,Data!$B$2:$B$2657,$B224,Data!$D$2:$D$2657,"A&amp;G and general"))/$D224,0)</f>
        <v>0.432496039035745</v>
      </c>
      <c r="J224" s="10" t="n">
        <f aca="false">IFERROR(SUMIFS(Data!$F$2:$F$2657,Data!$A$2:$A$2657,$A224,Data!$B$2:$B$2657,$B224)/$D224,0)</f>
        <v>0.0484481467328052</v>
      </c>
      <c r="K224" s="11" t="n">
        <f aca="false">SUM(E224:I224)</f>
        <v>1</v>
      </c>
    </row>
    <row r="225" customFormat="false" ht="15" hidden="false" customHeight="false" outlineLevel="0" collapsed="false">
      <c r="A225" s="7" t="n">
        <v>2007</v>
      </c>
      <c r="B225" s="12" t="s">
        <v>58</v>
      </c>
      <c r="C225" s="12" t="s">
        <v>59</v>
      </c>
      <c r="D225" s="9" t="n">
        <f aca="false">SUMIFS(Data!$E$2:$E$2657,Data!$A$2:$A$2657,$A225,Data!$B$2:$B$2657,$B225)+SUMIFS(Data!$G$2:$G$2657,Data!$A$2:$A$2657,$A225,Data!$B$2:$B$2657,$B225)</f>
        <v>567.046645</v>
      </c>
      <c r="E225" s="10" t="n">
        <f aca="false">IFERROR((SUMIFS(Data!$E$2:$E$2657,Data!$A$2:$A$2657,$A225,Data!$B$2:$B$2657,$B225,Data!$D$2:$D$2657,"Transmission")+SUMIFS(Data!$G$2:$G$2657,Data!$A$2:$A$2657,$A225,Data!$B$2:$B$2657,$B225,Data!$D$2:$D$2657,"Transmission"))/$D225,0)</f>
        <v>0.118667156561697</v>
      </c>
      <c r="F225" s="10" t="n">
        <f aca="false">IFERROR((SUMIFS(Data!$E$2:$E$2657,Data!$A$2:$A$2657,$A225,Data!$B$2:$B$2657,$B225,Data!$D$2:$D$2657,"Distribution")+SUMIFS(Data!$G$2:$G$2657,Data!$A$2:$A$2657,$A225,Data!$B$2:$B$2657,$B225,Data!$D$2:$D$2657,"Distribution"))/$D225,0)</f>
        <v>0.501297712465965</v>
      </c>
      <c r="G225" s="10" t="n">
        <f aca="false">IFERROR((SUMIFS(Data!$E$2:$E$2657,Data!$A$2:$A$2657,$A225,Data!$B$2:$B$2657,$B225,Data!$D$2:$D$2657,"RTO/market operation")+SUMIFS(Data!$G$2:$G$2657,Data!$A$2:$A$2657,$A225,Data!$B$2:$B$2657,$B225,Data!$D$2:$D$2657,"RTO/market operation"))/$D225,0)</f>
        <v>0.000356279332187919</v>
      </c>
      <c r="H225" s="10" t="n">
        <f aca="false">IFERROR((SUMIFS(Data!$E$2:$E$2657,Data!$A$2:$A$2657,$A225,Data!$B$2:$B$2657,$B225,Data!$D$2:$D$2657,"Customer accounts, service &amp; sales")+SUMIFS(Data!$G$2:$G$2657,Data!$A$2:$A$2657,$A225,Data!$B$2:$B$2657,$B225,Data!$D$2:$D$2657,"Customer accounts, service &amp; sales"))/$D225,0)</f>
        <v>0.128698199069673</v>
      </c>
      <c r="I225" s="10" t="n">
        <f aca="false">IFERROR((SUMIFS(Data!$E$2:$E$2657,Data!$A$2:$A$2657,$A225,Data!$B$2:$B$2657,$B225,Data!$D$2:$D$2657,"A&amp;G and general")+SUMIFS(Data!$G$2:$G$2657,Data!$A$2:$A$2657,$A225,Data!$B$2:$B$2657,$B225,Data!$D$2:$D$2657,"A&amp;G and general"))/$D225,0)</f>
        <v>0.250980652570478</v>
      </c>
      <c r="J225" s="10" t="n">
        <f aca="false">IFERROR(SUMIFS(Data!$F$2:$F$2657,Data!$A$2:$A$2657,$A225,Data!$B$2:$B$2657,$B225)/$D225,0)</f>
        <v>0.0849319565236119</v>
      </c>
      <c r="K225" s="11" t="n">
        <f aca="false">SUM(E225:I225)</f>
        <v>1</v>
      </c>
    </row>
    <row r="226" customFormat="false" ht="15" hidden="false" customHeight="false" outlineLevel="0" collapsed="false">
      <c r="A226" s="7" t="n">
        <v>2007</v>
      </c>
      <c r="B226" s="12" t="s">
        <v>60</v>
      </c>
      <c r="C226" s="12" t="s">
        <v>59</v>
      </c>
      <c r="D226" s="9" t="n">
        <f aca="false">SUMIFS(Data!$E$2:$E$2657,Data!$A$2:$A$2657,$A226,Data!$B$2:$B$2657,$B226)+SUMIFS(Data!$G$2:$G$2657,Data!$A$2:$A$2657,$A226,Data!$B$2:$B$2657,$B226)</f>
        <v>1653.973596</v>
      </c>
      <c r="E226" s="10" t="n">
        <f aca="false">IFERROR((SUMIFS(Data!$E$2:$E$2657,Data!$A$2:$A$2657,$A226,Data!$B$2:$B$2657,$B226,Data!$D$2:$D$2657,"Transmission")+SUMIFS(Data!$G$2:$G$2657,Data!$A$2:$A$2657,$A226,Data!$B$2:$B$2657,$B226,Data!$D$2:$D$2657,"Transmission"))/$D226,0)</f>
        <v>0.17033899131241</v>
      </c>
      <c r="F226" s="10" t="n">
        <f aca="false">IFERROR((SUMIFS(Data!$E$2:$E$2657,Data!$A$2:$A$2657,$A226,Data!$B$2:$B$2657,$B226,Data!$D$2:$D$2657,"Distribution")+SUMIFS(Data!$G$2:$G$2657,Data!$A$2:$A$2657,$A226,Data!$B$2:$B$2657,$B226,Data!$D$2:$D$2657,"Distribution"))/$D226,0)</f>
        <v>0.391706598319844</v>
      </c>
      <c r="G226" s="10" t="n">
        <f aca="false">IFERROR((SUMIFS(Data!$E$2:$E$2657,Data!$A$2:$A$2657,$A226,Data!$B$2:$B$2657,$B226,Data!$D$2:$D$2657,"RTO/market operation")+SUMIFS(Data!$G$2:$G$2657,Data!$A$2:$A$2657,$A226,Data!$B$2:$B$2657,$B226,Data!$D$2:$D$2657,"RTO/market operation"))/$D226,0)</f>
        <v>0.000246183494697094</v>
      </c>
      <c r="H226" s="10" t="n">
        <f aca="false">IFERROR((SUMIFS(Data!$E$2:$E$2657,Data!$A$2:$A$2657,$A226,Data!$B$2:$B$2657,$B226,Data!$D$2:$D$2657,"Customer accounts, service &amp; sales")+SUMIFS(Data!$G$2:$G$2657,Data!$A$2:$A$2657,$A226,Data!$B$2:$B$2657,$B226,Data!$D$2:$D$2657,"Customer accounts, service &amp; sales"))/$D226,0)</f>
        <v>0.139925565655765</v>
      </c>
      <c r="I226" s="10" t="n">
        <f aca="false">IFERROR((SUMIFS(Data!$E$2:$E$2657,Data!$A$2:$A$2657,$A226,Data!$B$2:$B$2657,$B226,Data!$D$2:$D$2657,"A&amp;G and general")+SUMIFS(Data!$G$2:$G$2657,Data!$A$2:$A$2657,$A226,Data!$B$2:$B$2657,$B226,Data!$D$2:$D$2657,"A&amp;G and general"))/$D226,0)</f>
        <v>0.297782661217284</v>
      </c>
      <c r="J226" s="10" t="n">
        <f aca="false">IFERROR(SUMIFS(Data!$F$2:$F$2657,Data!$A$2:$A$2657,$A226,Data!$B$2:$B$2657,$B226)/$D226,0)</f>
        <v>0.00123379720506735</v>
      </c>
      <c r="K226" s="11" t="n">
        <f aca="false">SUM(E226:I226)</f>
        <v>1</v>
      </c>
    </row>
    <row r="227" customFormat="false" ht="15" hidden="false" customHeight="false" outlineLevel="0" collapsed="false">
      <c r="A227" s="7" t="n">
        <v>2007</v>
      </c>
      <c r="B227" s="12" t="s">
        <v>61</v>
      </c>
      <c r="C227" s="12" t="s">
        <v>62</v>
      </c>
      <c r="D227" s="9" t="n">
        <f aca="false">SUMIFS(Data!$E$2:$E$2657,Data!$A$2:$A$2657,$A227,Data!$B$2:$B$2657,$B227)+SUMIFS(Data!$G$2:$G$2657,Data!$A$2:$A$2657,$A227,Data!$B$2:$B$2657,$B227)</f>
        <v>692.414585</v>
      </c>
      <c r="E227" s="10" t="n">
        <f aca="false">IFERROR((SUMIFS(Data!$E$2:$E$2657,Data!$A$2:$A$2657,$A227,Data!$B$2:$B$2657,$B227,Data!$D$2:$D$2657,"Transmission")+SUMIFS(Data!$G$2:$G$2657,Data!$A$2:$A$2657,$A227,Data!$B$2:$B$2657,$B227,Data!$D$2:$D$2657,"Transmission"))/$D227,0)</f>
        <v>0.173523241137389</v>
      </c>
      <c r="F227" s="10" t="n">
        <f aca="false">IFERROR((SUMIFS(Data!$E$2:$E$2657,Data!$A$2:$A$2657,$A227,Data!$B$2:$B$2657,$B227,Data!$D$2:$D$2657,"Distribution")+SUMIFS(Data!$G$2:$G$2657,Data!$A$2:$A$2657,$A227,Data!$B$2:$B$2657,$B227,Data!$D$2:$D$2657,"Distribution"))/$D227,0)</f>
        <v>0.407769732349009</v>
      </c>
      <c r="G227" s="10" t="n">
        <f aca="false">IFERROR((SUMIFS(Data!$E$2:$E$2657,Data!$A$2:$A$2657,$A227,Data!$B$2:$B$2657,$B227,Data!$D$2:$D$2657,"RTO/market operation")+SUMIFS(Data!$G$2:$G$2657,Data!$A$2:$A$2657,$A227,Data!$B$2:$B$2657,$B227,Data!$D$2:$D$2657,"RTO/market operation"))/$D227,0)</f>
        <v>0.0132729526487372</v>
      </c>
      <c r="H227" s="10" t="n">
        <f aca="false">IFERROR((SUMIFS(Data!$E$2:$E$2657,Data!$A$2:$A$2657,$A227,Data!$B$2:$B$2657,$B227,Data!$D$2:$D$2657,"Customer accounts, service &amp; sales")+SUMIFS(Data!$G$2:$G$2657,Data!$A$2:$A$2657,$A227,Data!$B$2:$B$2657,$B227,Data!$D$2:$D$2657,"Customer accounts, service &amp; sales"))/$D227,0)</f>
        <v>0.125988001826969</v>
      </c>
      <c r="I227" s="10" t="n">
        <f aca="false">IFERROR((SUMIFS(Data!$E$2:$E$2657,Data!$A$2:$A$2657,$A227,Data!$B$2:$B$2657,$B227,Data!$D$2:$D$2657,"A&amp;G and general")+SUMIFS(Data!$G$2:$G$2657,Data!$A$2:$A$2657,$A227,Data!$B$2:$B$2657,$B227,Data!$D$2:$D$2657,"A&amp;G and general"))/$D227,0)</f>
        <v>0.279446072037896</v>
      </c>
      <c r="J227" s="10" t="n">
        <f aca="false">IFERROR(SUMIFS(Data!$F$2:$F$2657,Data!$A$2:$A$2657,$A227,Data!$B$2:$B$2657,$B227)/$D227,0)</f>
        <v>0.173523241137389</v>
      </c>
      <c r="K227" s="11" t="n">
        <f aca="false">SUM(E227:I227)</f>
        <v>1</v>
      </c>
    </row>
    <row r="228" customFormat="false" ht="15" hidden="false" customHeight="false" outlineLevel="0" collapsed="false">
      <c r="A228" s="7" t="n">
        <v>2007</v>
      </c>
      <c r="B228" s="12" t="s">
        <v>63</v>
      </c>
      <c r="C228" s="12" t="s">
        <v>62</v>
      </c>
      <c r="D228" s="9" t="n">
        <f aca="false">SUMIFS(Data!$E$2:$E$2657,Data!$A$2:$A$2657,$A228,Data!$B$2:$B$2657,$B228)+SUMIFS(Data!$G$2:$G$2657,Data!$A$2:$A$2657,$A228,Data!$B$2:$B$2657,$B228)</f>
        <v>1518.614743</v>
      </c>
      <c r="E228" s="10" t="n">
        <f aca="false">IFERROR((SUMIFS(Data!$E$2:$E$2657,Data!$A$2:$A$2657,$A228,Data!$B$2:$B$2657,$B228,Data!$D$2:$D$2657,"Transmission")+SUMIFS(Data!$G$2:$G$2657,Data!$A$2:$A$2657,$A228,Data!$B$2:$B$2657,$B228,Data!$D$2:$D$2657,"Transmission"))/$D228,0)</f>
        <v>0.175847949739021</v>
      </c>
      <c r="F228" s="10" t="n">
        <f aca="false">IFERROR((SUMIFS(Data!$E$2:$E$2657,Data!$A$2:$A$2657,$A228,Data!$B$2:$B$2657,$B228,Data!$D$2:$D$2657,"Distribution")+SUMIFS(Data!$G$2:$G$2657,Data!$A$2:$A$2657,$A228,Data!$B$2:$B$2657,$B228,Data!$D$2:$D$2657,"Distribution"))/$D228,0)</f>
        <v>0.306845683638935</v>
      </c>
      <c r="G228" s="10" t="n">
        <f aca="false">IFERROR((SUMIFS(Data!$E$2:$E$2657,Data!$A$2:$A$2657,$A228,Data!$B$2:$B$2657,$B228,Data!$D$2:$D$2657,"RTO/market operation")+SUMIFS(Data!$G$2:$G$2657,Data!$A$2:$A$2657,$A228,Data!$B$2:$B$2657,$B228,Data!$D$2:$D$2657,"RTO/market operation"))/$D228,0)</f>
        <v>0.00649092210215689</v>
      </c>
      <c r="H228" s="10" t="n">
        <f aca="false">IFERROR((SUMIFS(Data!$E$2:$E$2657,Data!$A$2:$A$2657,$A228,Data!$B$2:$B$2657,$B228,Data!$D$2:$D$2657,"Customer accounts, service &amp; sales")+SUMIFS(Data!$G$2:$G$2657,Data!$A$2:$A$2657,$A228,Data!$B$2:$B$2657,$B228,Data!$D$2:$D$2657,"Customer accounts, service &amp; sales"))/$D228,0)</f>
        <v>0.131435651418538</v>
      </c>
      <c r="I228" s="10" t="n">
        <f aca="false">IFERROR((SUMIFS(Data!$E$2:$E$2657,Data!$A$2:$A$2657,$A228,Data!$B$2:$B$2657,$B228,Data!$D$2:$D$2657,"A&amp;G and general")+SUMIFS(Data!$G$2:$G$2657,Data!$A$2:$A$2657,$A228,Data!$B$2:$B$2657,$B228,Data!$D$2:$D$2657,"A&amp;G and general"))/$D228,0)</f>
        <v>0.37937979310135</v>
      </c>
      <c r="J228" s="10" t="n">
        <f aca="false">IFERROR(SUMIFS(Data!$F$2:$F$2657,Data!$A$2:$A$2657,$A228,Data!$B$2:$B$2657,$B228)/$D228,0)</f>
        <v>0.167011829148296</v>
      </c>
      <c r="K228" s="11" t="n">
        <f aca="false">SUM(E228:I228)</f>
        <v>1</v>
      </c>
    </row>
    <row r="229" customFormat="false" ht="15" hidden="false" customHeight="false" outlineLevel="0" collapsed="false">
      <c r="A229" s="7" t="n">
        <v>2007</v>
      </c>
      <c r="B229" s="12" t="s">
        <v>64</v>
      </c>
      <c r="C229" s="12" t="s">
        <v>65</v>
      </c>
      <c r="D229" s="9" t="n">
        <f aca="false">SUMIFS(Data!$E$2:$E$2657,Data!$A$2:$A$2657,$A229,Data!$B$2:$B$2657,$B229)+SUMIFS(Data!$G$2:$G$2657,Data!$A$2:$A$2657,$A229,Data!$B$2:$B$2657,$B229)</f>
        <v>529.369982</v>
      </c>
      <c r="E229" s="10" t="n">
        <f aca="false">IFERROR((SUMIFS(Data!$E$2:$E$2657,Data!$A$2:$A$2657,$A229,Data!$B$2:$B$2657,$B229,Data!$D$2:$D$2657,"Transmission")+SUMIFS(Data!$G$2:$G$2657,Data!$A$2:$A$2657,$A229,Data!$B$2:$B$2657,$B229,Data!$D$2:$D$2657,"Transmission"))/$D229,0)</f>
        <v>0.100389906505881</v>
      </c>
      <c r="F229" s="10" t="n">
        <f aca="false">IFERROR((SUMIFS(Data!$E$2:$E$2657,Data!$A$2:$A$2657,$A229,Data!$B$2:$B$2657,$B229,Data!$D$2:$D$2657,"Distribution")+SUMIFS(Data!$G$2:$G$2657,Data!$A$2:$A$2657,$A229,Data!$B$2:$B$2657,$B229,Data!$D$2:$D$2657,"Distribution"))/$D229,0)</f>
        <v>0.226536879833885</v>
      </c>
      <c r="G229" s="10" t="n">
        <f aca="false">IFERROR((SUMIFS(Data!$E$2:$E$2657,Data!$A$2:$A$2657,$A229,Data!$B$2:$B$2657,$B229,Data!$D$2:$D$2657,"RTO/market operation")+SUMIFS(Data!$G$2:$G$2657,Data!$A$2:$A$2657,$A229,Data!$B$2:$B$2657,$B229,Data!$D$2:$D$2657,"RTO/market operation"))/$D229,0)</f>
        <v>0.013283473258973</v>
      </c>
      <c r="H229" s="10" t="n">
        <f aca="false">IFERROR((SUMIFS(Data!$E$2:$E$2657,Data!$A$2:$A$2657,$A229,Data!$B$2:$B$2657,$B229,Data!$D$2:$D$2657,"Customer accounts, service &amp; sales")+SUMIFS(Data!$G$2:$G$2657,Data!$A$2:$A$2657,$A229,Data!$B$2:$B$2657,$B229,Data!$D$2:$D$2657,"Customer accounts, service &amp; sales"))/$D229,0)</f>
        <v>0.115018733721853</v>
      </c>
      <c r="I229" s="10" t="n">
        <f aca="false">IFERROR((SUMIFS(Data!$E$2:$E$2657,Data!$A$2:$A$2657,$A229,Data!$B$2:$B$2657,$B229,Data!$D$2:$D$2657,"A&amp;G and general")+SUMIFS(Data!$G$2:$G$2657,Data!$A$2:$A$2657,$A229,Data!$B$2:$B$2657,$B229,Data!$D$2:$D$2657,"A&amp;G and general"))/$D229,0)</f>
        <v>0.544771006679408</v>
      </c>
      <c r="J229" s="10" t="n">
        <f aca="false">IFERROR(SUMIFS(Data!$F$2:$F$2657,Data!$A$2:$A$2657,$A229,Data!$B$2:$B$2657,$B229)/$D229,0)</f>
        <v>0.00340593547293356</v>
      </c>
      <c r="K229" s="11" t="n">
        <f aca="false">SUM(E229:I229)</f>
        <v>1</v>
      </c>
    </row>
    <row r="230" customFormat="false" ht="15" hidden="false" customHeight="false" outlineLevel="0" collapsed="false">
      <c r="A230" s="7" t="n">
        <v>2007</v>
      </c>
      <c r="B230" s="12" t="s">
        <v>66</v>
      </c>
      <c r="C230" s="12" t="s">
        <v>67</v>
      </c>
      <c r="D230" s="9" t="n">
        <f aca="false">SUMIFS(Data!$E$2:$E$2657,Data!$A$2:$A$2657,$A230,Data!$B$2:$B$2657,$B230)+SUMIFS(Data!$G$2:$G$2657,Data!$A$2:$A$2657,$A230,Data!$B$2:$B$2657,$B230)</f>
        <v>283.314449</v>
      </c>
      <c r="E230" s="10" t="n">
        <f aca="false">IFERROR((SUMIFS(Data!$E$2:$E$2657,Data!$A$2:$A$2657,$A230,Data!$B$2:$B$2657,$B230,Data!$D$2:$D$2657,"Transmission")+SUMIFS(Data!$G$2:$G$2657,Data!$A$2:$A$2657,$A230,Data!$B$2:$B$2657,$B230,Data!$D$2:$D$2657,"Transmission"))/$D230,0)</f>
        <v>0.029082611314328</v>
      </c>
      <c r="F230" s="10" t="n">
        <f aca="false">IFERROR((SUMIFS(Data!$E$2:$E$2657,Data!$A$2:$A$2657,$A230,Data!$B$2:$B$2657,$B230,Data!$D$2:$D$2657,"Distribution")+SUMIFS(Data!$G$2:$G$2657,Data!$A$2:$A$2657,$A230,Data!$B$2:$B$2657,$B230,Data!$D$2:$D$2657,"Distribution"))/$D230,0)</f>
        <v>0.346862990387052</v>
      </c>
      <c r="G230" s="10" t="n">
        <f aca="false">IFERROR((SUMIFS(Data!$E$2:$E$2657,Data!$A$2:$A$2657,$A230,Data!$B$2:$B$2657,$B230,Data!$D$2:$D$2657,"RTO/market operation")+SUMIFS(Data!$G$2:$G$2657,Data!$A$2:$A$2657,$A230,Data!$B$2:$B$2657,$B230,Data!$D$2:$D$2657,"RTO/market operation"))/$D230,0)</f>
        <v>0.0115100165611391</v>
      </c>
      <c r="H230" s="10" t="n">
        <f aca="false">IFERROR((SUMIFS(Data!$E$2:$E$2657,Data!$A$2:$A$2657,$A230,Data!$B$2:$B$2657,$B230,Data!$D$2:$D$2657,"Customer accounts, service &amp; sales")+SUMIFS(Data!$G$2:$G$2657,Data!$A$2:$A$2657,$A230,Data!$B$2:$B$2657,$B230,Data!$D$2:$D$2657,"Customer accounts, service &amp; sales"))/$D230,0)</f>
        <v>0.0886164581037658</v>
      </c>
      <c r="I230" s="10" t="n">
        <f aca="false">IFERROR((SUMIFS(Data!$E$2:$E$2657,Data!$A$2:$A$2657,$A230,Data!$B$2:$B$2657,$B230,Data!$D$2:$D$2657,"A&amp;G and general")+SUMIFS(Data!$G$2:$G$2657,Data!$A$2:$A$2657,$A230,Data!$B$2:$B$2657,$B230,Data!$D$2:$D$2657,"A&amp;G and general"))/$D230,0)</f>
        <v>0.523927923633715</v>
      </c>
      <c r="J230" s="10" t="n">
        <f aca="false">IFERROR(SUMIFS(Data!$F$2:$F$2657,Data!$A$2:$A$2657,$A230,Data!$B$2:$B$2657,$B230)/$D230,0)</f>
        <v>-0.121920544899565</v>
      </c>
      <c r="K230" s="11" t="n">
        <f aca="false">SUM(E230:I230)</f>
        <v>1</v>
      </c>
    </row>
    <row r="231" customFormat="false" ht="15" hidden="false" customHeight="false" outlineLevel="0" collapsed="false">
      <c r="A231" s="7" t="n">
        <v>2007</v>
      </c>
      <c r="B231" s="12" t="s">
        <v>68</v>
      </c>
      <c r="C231" s="12" t="s">
        <v>65</v>
      </c>
      <c r="D231" s="9" t="n">
        <f aca="false">SUMIFS(Data!$E$2:$E$2657,Data!$A$2:$A$2657,$A231,Data!$B$2:$B$2657,$B231)+SUMIFS(Data!$G$2:$G$2657,Data!$A$2:$A$2657,$A231,Data!$B$2:$B$2657,$B231)</f>
        <v>224.883635</v>
      </c>
      <c r="E231" s="10" t="n">
        <f aca="false">IFERROR((SUMIFS(Data!$E$2:$E$2657,Data!$A$2:$A$2657,$A231,Data!$B$2:$B$2657,$B231,Data!$D$2:$D$2657,"Transmission")+SUMIFS(Data!$G$2:$G$2657,Data!$A$2:$A$2657,$A231,Data!$B$2:$B$2657,$B231,Data!$D$2:$D$2657,"Transmission"))/$D231,0)</f>
        <v>0.0701336849166459</v>
      </c>
      <c r="F231" s="10" t="n">
        <f aca="false">IFERROR((SUMIFS(Data!$E$2:$E$2657,Data!$A$2:$A$2657,$A231,Data!$B$2:$B$2657,$B231,Data!$D$2:$D$2657,"Distribution")+SUMIFS(Data!$G$2:$G$2657,Data!$A$2:$A$2657,$A231,Data!$B$2:$B$2657,$B231,Data!$D$2:$D$2657,"Distribution"))/$D231,0)</f>
        <v>0.381428568601713</v>
      </c>
      <c r="G231" s="10" t="n">
        <f aca="false">IFERROR((SUMIFS(Data!$E$2:$E$2657,Data!$A$2:$A$2657,$A231,Data!$B$2:$B$2657,$B231,Data!$D$2:$D$2657,"RTO/market operation")+SUMIFS(Data!$G$2:$G$2657,Data!$A$2:$A$2657,$A231,Data!$B$2:$B$2657,$B231,Data!$D$2:$D$2657,"RTO/market operation"))/$D231,0)</f>
        <v>0.000521909920212736</v>
      </c>
      <c r="H231" s="10" t="n">
        <f aca="false">IFERROR((SUMIFS(Data!$E$2:$E$2657,Data!$A$2:$A$2657,$A231,Data!$B$2:$B$2657,$B231,Data!$D$2:$D$2657,"Customer accounts, service &amp; sales")+SUMIFS(Data!$G$2:$G$2657,Data!$A$2:$A$2657,$A231,Data!$B$2:$B$2657,$B231,Data!$D$2:$D$2657,"Customer accounts, service &amp; sales"))/$D231,0)</f>
        <v>0.0899057639298653</v>
      </c>
      <c r="I231" s="10" t="n">
        <f aca="false">IFERROR((SUMIFS(Data!$E$2:$E$2657,Data!$A$2:$A$2657,$A231,Data!$B$2:$B$2657,$B231,Data!$D$2:$D$2657,"A&amp;G and general")+SUMIFS(Data!$G$2:$G$2657,Data!$A$2:$A$2657,$A231,Data!$B$2:$B$2657,$B231,Data!$D$2:$D$2657,"A&amp;G and general"))/$D231,0)</f>
        <v>0.458010072631563</v>
      </c>
      <c r="J231" s="10" t="n">
        <f aca="false">IFERROR(SUMIFS(Data!$F$2:$F$2657,Data!$A$2:$A$2657,$A231,Data!$B$2:$B$2657,$B231)/$D231,0)</f>
        <v>0.0165590217358413</v>
      </c>
      <c r="K231" s="11" t="n">
        <f aca="false">SUM(E231:I231)</f>
        <v>1</v>
      </c>
    </row>
    <row r="232" customFormat="false" ht="15" hidden="false" customHeight="false" outlineLevel="0" collapsed="false">
      <c r="A232" s="7" t="n">
        <v>2007</v>
      </c>
      <c r="B232" s="12" t="s">
        <v>69</v>
      </c>
      <c r="C232" s="12" t="s">
        <v>70</v>
      </c>
      <c r="D232" s="9" t="n">
        <f aca="false">SUMIFS(Data!$E$2:$E$2657,Data!$A$2:$A$2657,$A232,Data!$B$2:$B$2657,$B232)+SUMIFS(Data!$G$2:$G$2657,Data!$A$2:$A$2657,$A232,Data!$B$2:$B$2657,$B232)</f>
        <v>269.252713</v>
      </c>
      <c r="E232" s="10" t="n">
        <f aca="false">IFERROR((SUMIFS(Data!$E$2:$E$2657,Data!$A$2:$A$2657,$A232,Data!$B$2:$B$2657,$B232,Data!$D$2:$D$2657,"Transmission")+SUMIFS(Data!$G$2:$G$2657,Data!$A$2:$A$2657,$A232,Data!$B$2:$B$2657,$B232,Data!$D$2:$D$2657,"Transmission"))/$D232,0)</f>
        <v>0.151612841873203</v>
      </c>
      <c r="F232" s="10" t="n">
        <f aca="false">IFERROR((SUMIFS(Data!$E$2:$E$2657,Data!$A$2:$A$2657,$A232,Data!$B$2:$B$2657,$B232,Data!$D$2:$D$2657,"Distribution")+SUMIFS(Data!$G$2:$G$2657,Data!$A$2:$A$2657,$A232,Data!$B$2:$B$2657,$B232,Data!$D$2:$D$2657,"Distribution"))/$D232,0)</f>
        <v>0.273020829320297</v>
      </c>
      <c r="G232" s="10" t="n">
        <f aca="false">IFERROR((SUMIFS(Data!$E$2:$E$2657,Data!$A$2:$A$2657,$A232,Data!$B$2:$B$2657,$B232,Data!$D$2:$D$2657,"RTO/market operation")+SUMIFS(Data!$G$2:$G$2657,Data!$A$2:$A$2657,$A232,Data!$B$2:$B$2657,$B232,Data!$D$2:$D$2657,"RTO/market operation"))/$D232,0)</f>
        <v>0.0118440737865471</v>
      </c>
      <c r="H232" s="10" t="n">
        <f aca="false">IFERROR((SUMIFS(Data!$E$2:$E$2657,Data!$A$2:$A$2657,$A232,Data!$B$2:$B$2657,$B232,Data!$D$2:$D$2657,"Customer accounts, service &amp; sales")+SUMIFS(Data!$G$2:$G$2657,Data!$A$2:$A$2657,$A232,Data!$B$2:$B$2657,$B232,Data!$D$2:$D$2657,"Customer accounts, service &amp; sales"))/$D232,0)</f>
        <v>0.185673794863489</v>
      </c>
      <c r="I232" s="10" t="n">
        <f aca="false">IFERROR((SUMIFS(Data!$E$2:$E$2657,Data!$A$2:$A$2657,$A232,Data!$B$2:$B$2657,$B232,Data!$D$2:$D$2657,"A&amp;G and general")+SUMIFS(Data!$G$2:$G$2657,Data!$A$2:$A$2657,$A232,Data!$B$2:$B$2657,$B232,Data!$D$2:$D$2657,"A&amp;G and general"))/$D232,0)</f>
        <v>0.377848460156463</v>
      </c>
      <c r="J232" s="10" t="n">
        <f aca="false">IFERROR(SUMIFS(Data!$F$2:$F$2657,Data!$A$2:$A$2657,$A232,Data!$B$2:$B$2657,$B232)/$D232,0)</f>
        <v>0.0437668310513922</v>
      </c>
      <c r="K232" s="11" t="n">
        <f aca="false">SUM(E232:I232)</f>
        <v>1</v>
      </c>
    </row>
    <row r="233" customFormat="false" ht="15" hidden="false" customHeight="false" outlineLevel="0" collapsed="false">
      <c r="A233" s="7" t="n">
        <v>2007</v>
      </c>
      <c r="B233" s="12" t="s">
        <v>71</v>
      </c>
      <c r="C233" s="12" t="s">
        <v>72</v>
      </c>
      <c r="D233" s="9" t="n">
        <f aca="false">SUMIFS(Data!$E$2:$E$2657,Data!$A$2:$A$2657,$A233,Data!$B$2:$B$2657,$B233)+SUMIFS(Data!$G$2:$G$2657,Data!$A$2:$A$2657,$A233,Data!$B$2:$B$2657,$B233)</f>
        <v>85.587815</v>
      </c>
      <c r="E233" s="10" t="n">
        <f aca="false">IFERROR((SUMIFS(Data!$E$2:$E$2657,Data!$A$2:$A$2657,$A233,Data!$B$2:$B$2657,$B233,Data!$D$2:$D$2657,"Transmission")+SUMIFS(Data!$G$2:$G$2657,Data!$A$2:$A$2657,$A233,Data!$B$2:$B$2657,$B233,Data!$D$2:$D$2657,"Transmission"))/$D233,0)</f>
        <v>0.23796167713827</v>
      </c>
      <c r="F233" s="10" t="n">
        <f aca="false">IFERROR((SUMIFS(Data!$E$2:$E$2657,Data!$A$2:$A$2657,$A233,Data!$B$2:$B$2657,$B233,Data!$D$2:$D$2657,"Distribution")+SUMIFS(Data!$G$2:$G$2657,Data!$A$2:$A$2657,$A233,Data!$B$2:$B$2657,$B233,Data!$D$2:$D$2657,"Distribution"))/$D233,0)</f>
        <v>0.265026359184424</v>
      </c>
      <c r="G233" s="10" t="n">
        <f aca="false">IFERROR((SUMIFS(Data!$E$2:$E$2657,Data!$A$2:$A$2657,$A233,Data!$B$2:$B$2657,$B233,Data!$D$2:$D$2657,"RTO/market operation")+SUMIFS(Data!$G$2:$G$2657,Data!$A$2:$A$2657,$A233,Data!$B$2:$B$2657,$B233,Data!$D$2:$D$2657,"RTO/market operation"))/$D233,0)</f>
        <v>0</v>
      </c>
      <c r="H233" s="10" t="n">
        <f aca="false">IFERROR((SUMIFS(Data!$E$2:$E$2657,Data!$A$2:$A$2657,$A233,Data!$B$2:$B$2657,$B233,Data!$D$2:$D$2657,"Customer accounts, service &amp; sales")+SUMIFS(Data!$G$2:$G$2657,Data!$A$2:$A$2657,$A233,Data!$B$2:$B$2657,$B233,Data!$D$2:$D$2657,"Customer accounts, service &amp; sales"))/$D233,0)</f>
        <v>0.131708877017131</v>
      </c>
      <c r="I233" s="10" t="n">
        <f aca="false">IFERROR((SUMIFS(Data!$E$2:$E$2657,Data!$A$2:$A$2657,$A233,Data!$B$2:$B$2657,$B233,Data!$D$2:$D$2657,"A&amp;G and general")+SUMIFS(Data!$G$2:$G$2657,Data!$A$2:$A$2657,$A233,Data!$B$2:$B$2657,$B233,Data!$D$2:$D$2657,"A&amp;G and general"))/$D233,0)</f>
        <v>0.365303086660175</v>
      </c>
      <c r="J233" s="10" t="n">
        <f aca="false">IFERROR(SUMIFS(Data!$F$2:$F$2657,Data!$A$2:$A$2657,$A233,Data!$B$2:$B$2657,$B233)/$D233,0)</f>
        <v>0.23145645206622</v>
      </c>
      <c r="K233" s="11" t="n">
        <f aca="false">SUM(E233:I233)</f>
        <v>1</v>
      </c>
    </row>
    <row r="234" customFormat="false" ht="15" hidden="false" customHeight="false" outlineLevel="0" collapsed="false">
      <c r="A234" s="7" t="n">
        <v>2007</v>
      </c>
      <c r="B234" s="12" t="s">
        <v>73</v>
      </c>
      <c r="C234" s="12" t="s">
        <v>70</v>
      </c>
      <c r="D234" s="9" t="n">
        <f aca="false">SUMIFS(Data!$E$2:$E$2657,Data!$A$2:$A$2657,$A234,Data!$B$2:$B$2657,$B234)+SUMIFS(Data!$G$2:$G$2657,Data!$A$2:$A$2657,$A234,Data!$B$2:$B$2657,$B234)</f>
        <v>387.182566</v>
      </c>
      <c r="E234" s="10" t="n">
        <f aca="false">IFERROR((SUMIFS(Data!$E$2:$E$2657,Data!$A$2:$A$2657,$A234,Data!$B$2:$B$2657,$B234,Data!$D$2:$D$2657,"Transmission")+SUMIFS(Data!$G$2:$G$2657,Data!$A$2:$A$2657,$A234,Data!$B$2:$B$2657,$B234,Data!$D$2:$D$2657,"Transmission"))/$D234,0)</f>
        <v>0.121096557844498</v>
      </c>
      <c r="F234" s="10" t="n">
        <f aca="false">IFERROR((SUMIFS(Data!$E$2:$E$2657,Data!$A$2:$A$2657,$A234,Data!$B$2:$B$2657,$B234,Data!$D$2:$D$2657,"Distribution")+SUMIFS(Data!$G$2:$G$2657,Data!$A$2:$A$2657,$A234,Data!$B$2:$B$2657,$B234,Data!$D$2:$D$2657,"Distribution"))/$D234,0)</f>
        <v>0.412650837176383</v>
      </c>
      <c r="G234" s="10" t="n">
        <f aca="false">IFERROR((SUMIFS(Data!$E$2:$E$2657,Data!$A$2:$A$2657,$A234,Data!$B$2:$B$2657,$B234,Data!$D$2:$D$2657,"RTO/market operation")+SUMIFS(Data!$G$2:$G$2657,Data!$A$2:$A$2657,$A234,Data!$B$2:$B$2657,$B234,Data!$D$2:$D$2657,"RTO/market operation"))/$D234,0)</f>
        <v>0</v>
      </c>
      <c r="H234" s="10" t="n">
        <f aca="false">IFERROR((SUMIFS(Data!$E$2:$E$2657,Data!$A$2:$A$2657,$A234,Data!$B$2:$B$2657,$B234,Data!$D$2:$D$2657,"Customer accounts, service &amp; sales")+SUMIFS(Data!$G$2:$G$2657,Data!$A$2:$A$2657,$A234,Data!$B$2:$B$2657,$B234,Data!$D$2:$D$2657,"Customer accounts, service &amp; sales"))/$D234,0)</f>
        <v>0.18212309951993</v>
      </c>
      <c r="I234" s="10" t="n">
        <f aca="false">IFERROR((SUMIFS(Data!$E$2:$E$2657,Data!$A$2:$A$2657,$A234,Data!$B$2:$B$2657,$B234,Data!$D$2:$D$2657,"A&amp;G and general")+SUMIFS(Data!$G$2:$G$2657,Data!$A$2:$A$2657,$A234,Data!$B$2:$B$2657,$B234,Data!$D$2:$D$2657,"A&amp;G and general"))/$D234,0)</f>
        <v>0.284129505459189</v>
      </c>
      <c r="J234" s="10" t="n">
        <f aca="false">IFERROR(SUMIFS(Data!$F$2:$F$2657,Data!$A$2:$A$2657,$A234,Data!$B$2:$B$2657,$B234)/$D234,0)</f>
        <v>0.0636463522998605</v>
      </c>
      <c r="K234" s="11" t="n">
        <f aca="false">SUM(E234:I234)</f>
        <v>1</v>
      </c>
    </row>
    <row r="235" customFormat="false" ht="15" hidden="false" customHeight="false" outlineLevel="0" collapsed="false">
      <c r="A235" s="7" t="n">
        <v>2007</v>
      </c>
      <c r="B235" s="12" t="s">
        <v>74</v>
      </c>
      <c r="C235" s="12" t="s">
        <v>65</v>
      </c>
      <c r="D235" s="9" t="n">
        <f aca="false">SUMIFS(Data!$E$2:$E$2657,Data!$A$2:$A$2657,$A235,Data!$B$2:$B$2657,$B235)+SUMIFS(Data!$G$2:$G$2657,Data!$A$2:$A$2657,$A235,Data!$B$2:$B$2657,$B235)</f>
        <v>258.980404</v>
      </c>
      <c r="E235" s="10" t="n">
        <f aca="false">IFERROR((SUMIFS(Data!$E$2:$E$2657,Data!$A$2:$A$2657,$A235,Data!$B$2:$B$2657,$B235,Data!$D$2:$D$2657,"Transmission")+SUMIFS(Data!$G$2:$G$2657,Data!$A$2:$A$2657,$A235,Data!$B$2:$B$2657,$B235,Data!$D$2:$D$2657,"Transmission"))/$D235,0)</f>
        <v>0.13879043527942</v>
      </c>
      <c r="F235" s="10" t="n">
        <f aca="false">IFERROR((SUMIFS(Data!$E$2:$E$2657,Data!$A$2:$A$2657,$A235,Data!$B$2:$B$2657,$B235,Data!$D$2:$D$2657,"Distribution")+SUMIFS(Data!$G$2:$G$2657,Data!$A$2:$A$2657,$A235,Data!$B$2:$B$2657,$B235,Data!$D$2:$D$2657,"Distribution"))/$D235,0)</f>
        <v>0.331891744210886</v>
      </c>
      <c r="G235" s="10" t="n">
        <f aca="false">IFERROR((SUMIFS(Data!$E$2:$E$2657,Data!$A$2:$A$2657,$A235,Data!$B$2:$B$2657,$B235,Data!$D$2:$D$2657,"RTO/market operation")+SUMIFS(Data!$G$2:$G$2657,Data!$A$2:$A$2657,$A235,Data!$B$2:$B$2657,$B235,Data!$D$2:$D$2657,"RTO/market operation"))/$D235,0)</f>
        <v>0</v>
      </c>
      <c r="H235" s="10" t="n">
        <f aca="false">IFERROR((SUMIFS(Data!$E$2:$E$2657,Data!$A$2:$A$2657,$A235,Data!$B$2:$B$2657,$B235,Data!$D$2:$D$2657,"Customer accounts, service &amp; sales")+SUMIFS(Data!$G$2:$G$2657,Data!$A$2:$A$2657,$A235,Data!$B$2:$B$2657,$B235,Data!$D$2:$D$2657,"Customer accounts, service &amp; sales"))/$D235,0)</f>
        <v>0.0676038176232052</v>
      </c>
      <c r="I235" s="10" t="n">
        <f aca="false">IFERROR((SUMIFS(Data!$E$2:$E$2657,Data!$A$2:$A$2657,$A235,Data!$B$2:$B$2657,$B235,Data!$D$2:$D$2657,"A&amp;G and general")+SUMIFS(Data!$G$2:$G$2657,Data!$A$2:$A$2657,$A235,Data!$B$2:$B$2657,$B235,Data!$D$2:$D$2657,"A&amp;G and general"))/$D235,0)</f>
        <v>0.461714002886489</v>
      </c>
      <c r="J235" s="10" t="n">
        <f aca="false">IFERROR(SUMIFS(Data!$F$2:$F$2657,Data!$A$2:$A$2657,$A235,Data!$B$2:$B$2657,$B235)/$D235,0)</f>
        <v>0.00076158657934598</v>
      </c>
      <c r="K235" s="11" t="n">
        <f aca="false">SUM(E235:I235)</f>
        <v>1</v>
      </c>
    </row>
    <row r="236" customFormat="false" ht="15" hidden="false" customHeight="false" outlineLevel="0" collapsed="false">
      <c r="A236" s="7" t="n">
        <v>2007</v>
      </c>
      <c r="B236" s="12" t="s">
        <v>75</v>
      </c>
      <c r="C236" s="12" t="s">
        <v>57</v>
      </c>
      <c r="D236" s="9" t="n">
        <f aca="false">SUMIFS(Data!$E$2:$E$2657,Data!$A$2:$A$2657,$A236,Data!$B$2:$B$2657,$B236)+SUMIFS(Data!$G$2:$G$2657,Data!$A$2:$A$2657,$A236,Data!$B$2:$B$2657,$B236)</f>
        <v>699.518815</v>
      </c>
      <c r="E236" s="10" t="n">
        <f aca="false">IFERROR((SUMIFS(Data!$E$2:$E$2657,Data!$A$2:$A$2657,$A236,Data!$B$2:$B$2657,$B236,Data!$D$2:$D$2657,"Transmission")+SUMIFS(Data!$G$2:$G$2657,Data!$A$2:$A$2657,$A236,Data!$B$2:$B$2657,$B236,Data!$D$2:$D$2657,"Transmission"))/$D236,0)</f>
        <v>0.240206661203244</v>
      </c>
      <c r="F236" s="10" t="n">
        <f aca="false">IFERROR((SUMIFS(Data!$E$2:$E$2657,Data!$A$2:$A$2657,$A236,Data!$B$2:$B$2657,$B236,Data!$D$2:$D$2657,"Distribution")+SUMIFS(Data!$G$2:$G$2657,Data!$A$2:$A$2657,$A236,Data!$B$2:$B$2657,$B236,Data!$D$2:$D$2657,"Distribution"))/$D236,0)</f>
        <v>0.260112401694299</v>
      </c>
      <c r="G236" s="10" t="n">
        <f aca="false">IFERROR((SUMIFS(Data!$E$2:$E$2657,Data!$A$2:$A$2657,$A236,Data!$B$2:$B$2657,$B236,Data!$D$2:$D$2657,"RTO/market operation")+SUMIFS(Data!$G$2:$G$2657,Data!$A$2:$A$2657,$A236,Data!$B$2:$B$2657,$B236,Data!$D$2:$D$2657,"RTO/market operation"))/$D236,0)</f>
        <v>0.0138851504658956</v>
      </c>
      <c r="H236" s="10" t="n">
        <f aca="false">IFERROR((SUMIFS(Data!$E$2:$E$2657,Data!$A$2:$A$2657,$A236,Data!$B$2:$B$2657,$B236,Data!$D$2:$D$2657,"Customer accounts, service &amp; sales")+SUMIFS(Data!$G$2:$G$2657,Data!$A$2:$A$2657,$A236,Data!$B$2:$B$2657,$B236,Data!$D$2:$D$2657,"Customer accounts, service &amp; sales"))/$D236,0)</f>
        <v>0.188900866090357</v>
      </c>
      <c r="I236" s="10" t="n">
        <f aca="false">IFERROR((SUMIFS(Data!$E$2:$E$2657,Data!$A$2:$A$2657,$A236,Data!$B$2:$B$2657,$B236,Data!$D$2:$D$2657,"A&amp;G and general")+SUMIFS(Data!$G$2:$G$2657,Data!$A$2:$A$2657,$A236,Data!$B$2:$B$2657,$B236,Data!$D$2:$D$2657,"A&amp;G and general"))/$D236,0)</f>
        <v>0.296894920546204</v>
      </c>
      <c r="J236" s="10" t="n">
        <f aca="false">IFERROR(SUMIFS(Data!$F$2:$F$2657,Data!$A$2:$A$2657,$A236,Data!$B$2:$B$2657,$B236)/$D236,0)</f>
        <v>0.0805232293859029</v>
      </c>
      <c r="K236" s="11" t="n">
        <f aca="false">SUM(E236:I236)</f>
        <v>1</v>
      </c>
    </row>
    <row r="237" customFormat="false" ht="15" hidden="false" customHeight="false" outlineLevel="0" collapsed="false">
      <c r="A237" s="7" t="n">
        <v>2007</v>
      </c>
      <c r="B237" s="12" t="s">
        <v>76</v>
      </c>
      <c r="C237" s="12" t="s">
        <v>72</v>
      </c>
      <c r="D237" s="9" t="n">
        <f aca="false">SUMIFS(Data!$E$2:$E$2657,Data!$A$2:$A$2657,$A237,Data!$B$2:$B$2657,$B237)+SUMIFS(Data!$G$2:$G$2657,Data!$A$2:$A$2657,$A237,Data!$B$2:$B$2657,$B237)</f>
        <v>141.339692</v>
      </c>
      <c r="E237" s="10" t="n">
        <f aca="false">IFERROR((SUMIFS(Data!$E$2:$E$2657,Data!$A$2:$A$2657,$A237,Data!$B$2:$B$2657,$B237,Data!$D$2:$D$2657,"Transmission")+SUMIFS(Data!$G$2:$G$2657,Data!$A$2:$A$2657,$A237,Data!$B$2:$B$2657,$B237,Data!$D$2:$D$2657,"Transmission"))/$D237,0)</f>
        <v>0.318237646930772</v>
      </c>
      <c r="F237" s="10" t="n">
        <f aca="false">IFERROR((SUMIFS(Data!$E$2:$E$2657,Data!$A$2:$A$2657,$A237,Data!$B$2:$B$2657,$B237,Data!$D$2:$D$2657,"Distribution")+SUMIFS(Data!$G$2:$G$2657,Data!$A$2:$A$2657,$A237,Data!$B$2:$B$2657,$B237,Data!$D$2:$D$2657,"Distribution"))/$D237,0)</f>
        <v>0.279674969151624</v>
      </c>
      <c r="G237" s="10" t="n">
        <f aca="false">IFERROR((SUMIFS(Data!$E$2:$E$2657,Data!$A$2:$A$2657,$A237,Data!$B$2:$B$2657,$B237,Data!$D$2:$D$2657,"RTO/market operation")+SUMIFS(Data!$G$2:$G$2657,Data!$A$2:$A$2657,$A237,Data!$B$2:$B$2657,$B237,Data!$D$2:$D$2657,"RTO/market operation"))/$D237,0)</f>
        <v>0</v>
      </c>
      <c r="H237" s="10" t="n">
        <f aca="false">IFERROR((SUMIFS(Data!$E$2:$E$2657,Data!$A$2:$A$2657,$A237,Data!$B$2:$B$2657,$B237,Data!$D$2:$D$2657,"Customer accounts, service &amp; sales")+SUMIFS(Data!$G$2:$G$2657,Data!$A$2:$A$2657,$A237,Data!$B$2:$B$2657,$B237,Data!$D$2:$D$2657,"Customer accounts, service &amp; sales"))/$D237,0)</f>
        <v>0.132501640091306</v>
      </c>
      <c r="I237" s="10" t="n">
        <f aca="false">IFERROR((SUMIFS(Data!$E$2:$E$2657,Data!$A$2:$A$2657,$A237,Data!$B$2:$B$2657,$B237,Data!$D$2:$D$2657,"A&amp;G and general")+SUMIFS(Data!$G$2:$G$2657,Data!$A$2:$A$2657,$A237,Data!$B$2:$B$2657,$B237,Data!$D$2:$D$2657,"A&amp;G and general"))/$D237,0)</f>
        <v>0.269585743826299</v>
      </c>
      <c r="J237" s="10" t="n">
        <f aca="false">IFERROR(SUMIFS(Data!$F$2:$F$2657,Data!$A$2:$A$2657,$A237,Data!$B$2:$B$2657,$B237)/$D237,0)</f>
        <v>0</v>
      </c>
      <c r="K237" s="11" t="n">
        <f aca="false">SUM(E237:I237)</f>
        <v>1</v>
      </c>
    </row>
    <row r="238" customFormat="false" ht="15" hidden="false" customHeight="false" outlineLevel="0" collapsed="false">
      <c r="A238" s="7" t="n">
        <v>2007</v>
      </c>
      <c r="B238" s="12" t="s">
        <v>77</v>
      </c>
      <c r="C238" s="12" t="s">
        <v>57</v>
      </c>
      <c r="D238" s="9" t="n">
        <f aca="false">SUMIFS(Data!$E$2:$E$2657,Data!$A$2:$A$2657,$A238,Data!$B$2:$B$2657,$B238)+SUMIFS(Data!$G$2:$G$2657,Data!$A$2:$A$2657,$A238,Data!$B$2:$B$2657,$B238)</f>
        <v>90.605316</v>
      </c>
      <c r="E238" s="10" t="n">
        <f aca="false">IFERROR((SUMIFS(Data!$E$2:$E$2657,Data!$A$2:$A$2657,$A238,Data!$B$2:$B$2657,$B238,Data!$D$2:$D$2657,"Transmission")+SUMIFS(Data!$G$2:$G$2657,Data!$A$2:$A$2657,$A238,Data!$B$2:$B$2657,$B238,Data!$D$2:$D$2657,"Transmission"))/$D238,0)</f>
        <v>0.142903634925792</v>
      </c>
      <c r="F238" s="10" t="n">
        <f aca="false">IFERROR((SUMIFS(Data!$E$2:$E$2657,Data!$A$2:$A$2657,$A238,Data!$B$2:$B$2657,$B238,Data!$D$2:$D$2657,"Distribution")+SUMIFS(Data!$G$2:$G$2657,Data!$A$2:$A$2657,$A238,Data!$B$2:$B$2657,$B238,Data!$D$2:$D$2657,"Distribution"))/$D238,0)</f>
        <v>0.258950854495116</v>
      </c>
      <c r="G238" s="10" t="n">
        <f aca="false">IFERROR((SUMIFS(Data!$E$2:$E$2657,Data!$A$2:$A$2657,$A238,Data!$B$2:$B$2657,$B238,Data!$D$2:$D$2657,"RTO/market operation")+SUMIFS(Data!$G$2:$G$2657,Data!$A$2:$A$2657,$A238,Data!$B$2:$B$2657,$B238,Data!$D$2:$D$2657,"RTO/market operation"))/$D238,0)</f>
        <v>0.01645788642247</v>
      </c>
      <c r="H238" s="10" t="n">
        <f aca="false">IFERROR((SUMIFS(Data!$E$2:$E$2657,Data!$A$2:$A$2657,$A238,Data!$B$2:$B$2657,$B238,Data!$D$2:$D$2657,"Customer accounts, service &amp; sales")+SUMIFS(Data!$G$2:$G$2657,Data!$A$2:$A$2657,$A238,Data!$B$2:$B$2657,$B238,Data!$D$2:$D$2657,"Customer accounts, service &amp; sales"))/$D238,0)</f>
        <v>0.189505414891992</v>
      </c>
      <c r="I238" s="10" t="n">
        <f aca="false">IFERROR((SUMIFS(Data!$E$2:$E$2657,Data!$A$2:$A$2657,$A238,Data!$B$2:$B$2657,$B238,Data!$D$2:$D$2657,"A&amp;G and general")+SUMIFS(Data!$G$2:$G$2657,Data!$A$2:$A$2657,$A238,Data!$B$2:$B$2657,$B238,Data!$D$2:$D$2657,"A&amp;G and general"))/$D238,0)</f>
        <v>0.392182209264631</v>
      </c>
      <c r="J238" s="10" t="n">
        <f aca="false">IFERROR(SUMIFS(Data!$F$2:$F$2657,Data!$A$2:$A$2657,$A238,Data!$B$2:$B$2657,$B238)/$D238,0)</f>
        <v>0.000113492237033862</v>
      </c>
      <c r="K238" s="11" t="n">
        <f aca="false">SUM(E238:I238)</f>
        <v>1</v>
      </c>
    </row>
    <row r="239" customFormat="false" ht="15" hidden="false" customHeight="false" outlineLevel="0" collapsed="false">
      <c r="A239" s="7" t="n">
        <v>2007</v>
      </c>
      <c r="B239" s="12" t="s">
        <v>78</v>
      </c>
      <c r="C239" s="12" t="s">
        <v>65</v>
      </c>
      <c r="D239" s="9" t="n">
        <f aca="false">SUMIFS(Data!$E$2:$E$2657,Data!$A$2:$A$2657,$A239,Data!$B$2:$B$2657,$B239)+SUMIFS(Data!$G$2:$G$2657,Data!$A$2:$A$2657,$A239,Data!$B$2:$B$2657,$B239)</f>
        <v>73.416268</v>
      </c>
      <c r="E239" s="10" t="n">
        <f aca="false">IFERROR((SUMIFS(Data!$E$2:$E$2657,Data!$A$2:$A$2657,$A239,Data!$B$2:$B$2657,$B239,Data!$D$2:$D$2657,"Transmission")+SUMIFS(Data!$G$2:$G$2657,Data!$A$2:$A$2657,$A239,Data!$B$2:$B$2657,$B239,Data!$D$2:$D$2657,"Transmission"))/$D239,0)</f>
        <v>0.123155551845812</v>
      </c>
      <c r="F239" s="10" t="n">
        <f aca="false">IFERROR((SUMIFS(Data!$E$2:$E$2657,Data!$A$2:$A$2657,$A239,Data!$B$2:$B$2657,$B239,Data!$D$2:$D$2657,"Distribution")+SUMIFS(Data!$G$2:$G$2657,Data!$A$2:$A$2657,$A239,Data!$B$2:$B$2657,$B239,Data!$D$2:$D$2657,"Distribution"))/$D239,0)</f>
        <v>0.297431258695961</v>
      </c>
      <c r="G239" s="10" t="n">
        <f aca="false">IFERROR((SUMIFS(Data!$E$2:$E$2657,Data!$A$2:$A$2657,$A239,Data!$B$2:$B$2657,$B239,Data!$D$2:$D$2657,"RTO/market operation")+SUMIFS(Data!$G$2:$G$2657,Data!$A$2:$A$2657,$A239,Data!$B$2:$B$2657,$B239,Data!$D$2:$D$2657,"RTO/market operation"))/$D239,0)</f>
        <v>0</v>
      </c>
      <c r="H239" s="10" t="n">
        <f aca="false">IFERROR((SUMIFS(Data!$E$2:$E$2657,Data!$A$2:$A$2657,$A239,Data!$B$2:$B$2657,$B239,Data!$D$2:$D$2657,"Customer accounts, service &amp; sales")+SUMIFS(Data!$G$2:$G$2657,Data!$A$2:$A$2657,$A239,Data!$B$2:$B$2657,$B239,Data!$D$2:$D$2657,"Customer accounts, service &amp; sales"))/$D239,0)</f>
        <v>0.103067156723357</v>
      </c>
      <c r="I239" s="10" t="n">
        <f aca="false">IFERROR((SUMIFS(Data!$E$2:$E$2657,Data!$A$2:$A$2657,$A239,Data!$B$2:$B$2657,$B239,Data!$D$2:$D$2657,"A&amp;G and general")+SUMIFS(Data!$G$2:$G$2657,Data!$A$2:$A$2657,$A239,Data!$B$2:$B$2657,$B239,Data!$D$2:$D$2657,"A&amp;G and general"))/$D239,0)</f>
        <v>0.47634603273487</v>
      </c>
      <c r="J239" s="10" t="n">
        <f aca="false">IFERROR(SUMIFS(Data!$F$2:$F$2657,Data!$A$2:$A$2657,$A239,Data!$B$2:$B$2657,$B239)/$D239,0)</f>
        <v>0</v>
      </c>
      <c r="K239" s="11" t="n">
        <f aca="false">SUM(E239:I239)</f>
        <v>1</v>
      </c>
    </row>
    <row r="240" customFormat="false" ht="15" hidden="false" customHeight="false" outlineLevel="0" collapsed="false">
      <c r="A240" s="7" t="n">
        <v>2007</v>
      </c>
      <c r="B240" s="12" t="s">
        <v>79</v>
      </c>
      <c r="C240" s="12" t="s">
        <v>72</v>
      </c>
      <c r="D240" s="9" t="n">
        <f aca="false">SUMIFS(Data!$E$2:$E$2657,Data!$A$2:$A$2657,$A240,Data!$B$2:$B$2657,$B240)+SUMIFS(Data!$G$2:$G$2657,Data!$A$2:$A$2657,$A240,Data!$B$2:$B$2657,$B240)</f>
        <v>599.865568</v>
      </c>
      <c r="E240" s="10" t="n">
        <f aca="false">IFERROR((SUMIFS(Data!$E$2:$E$2657,Data!$A$2:$A$2657,$A240,Data!$B$2:$B$2657,$B240,Data!$D$2:$D$2657,"Transmission")+SUMIFS(Data!$G$2:$G$2657,Data!$A$2:$A$2657,$A240,Data!$B$2:$B$2657,$B240,Data!$D$2:$D$2657,"Transmission"))/$D240,0)</f>
        <v>0.289676117899802</v>
      </c>
      <c r="F240" s="10" t="n">
        <f aca="false">IFERROR((SUMIFS(Data!$E$2:$E$2657,Data!$A$2:$A$2657,$A240,Data!$B$2:$B$2657,$B240,Data!$D$2:$D$2657,"Distribution")+SUMIFS(Data!$G$2:$G$2657,Data!$A$2:$A$2657,$A240,Data!$B$2:$B$2657,$B240,Data!$D$2:$D$2657,"Distribution"))/$D240,0)</f>
        <v>0.272988493982038</v>
      </c>
      <c r="G240" s="10" t="n">
        <f aca="false">IFERROR((SUMIFS(Data!$E$2:$E$2657,Data!$A$2:$A$2657,$A240,Data!$B$2:$B$2657,$B240,Data!$D$2:$D$2657,"RTO/market operation")+SUMIFS(Data!$G$2:$G$2657,Data!$A$2:$A$2657,$A240,Data!$B$2:$B$2657,$B240,Data!$D$2:$D$2657,"RTO/market operation"))/$D240,0)</f>
        <v>4.81807950677376E-005</v>
      </c>
      <c r="H240" s="10" t="n">
        <f aca="false">IFERROR((SUMIFS(Data!$E$2:$E$2657,Data!$A$2:$A$2657,$A240,Data!$B$2:$B$2657,$B240,Data!$D$2:$D$2657,"Customer accounts, service &amp; sales")+SUMIFS(Data!$G$2:$G$2657,Data!$A$2:$A$2657,$A240,Data!$B$2:$B$2657,$B240,Data!$D$2:$D$2657,"Customer accounts, service &amp; sales"))/$D240,0)</f>
        <v>0.131724383287157</v>
      </c>
      <c r="I240" s="10" t="n">
        <f aca="false">IFERROR((SUMIFS(Data!$E$2:$E$2657,Data!$A$2:$A$2657,$A240,Data!$B$2:$B$2657,$B240,Data!$D$2:$D$2657,"A&amp;G and general")+SUMIFS(Data!$G$2:$G$2657,Data!$A$2:$A$2657,$A240,Data!$B$2:$B$2657,$B240,Data!$D$2:$D$2657,"A&amp;G and general"))/$D240,0)</f>
        <v>0.305562824035935</v>
      </c>
      <c r="J240" s="10" t="n">
        <f aca="false">IFERROR(SUMIFS(Data!$F$2:$F$2657,Data!$A$2:$A$2657,$A240,Data!$B$2:$B$2657,$B240)/$D240,0)</f>
        <v>0.286201596088276</v>
      </c>
      <c r="K240" s="11" t="n">
        <f aca="false">SUM(E240:I240)</f>
        <v>1</v>
      </c>
    </row>
    <row r="241" customFormat="false" ht="15" hidden="false" customHeight="false" outlineLevel="0" collapsed="false">
      <c r="A241" s="7" t="n">
        <v>2007</v>
      </c>
      <c r="B241" s="12" t="s">
        <v>80</v>
      </c>
      <c r="C241" s="12" t="s">
        <v>72</v>
      </c>
      <c r="D241" s="9" t="n">
        <f aca="false">SUMIFS(Data!$E$2:$E$2657,Data!$A$2:$A$2657,$A241,Data!$B$2:$B$2657,$B241)+SUMIFS(Data!$G$2:$G$2657,Data!$A$2:$A$2657,$A241,Data!$B$2:$B$2657,$B241)</f>
        <v>289.133859</v>
      </c>
      <c r="E241" s="10" t="n">
        <f aca="false">IFERROR((SUMIFS(Data!$E$2:$E$2657,Data!$A$2:$A$2657,$A241,Data!$B$2:$B$2657,$B241,Data!$D$2:$D$2657,"Transmission")+SUMIFS(Data!$G$2:$G$2657,Data!$A$2:$A$2657,$A241,Data!$B$2:$B$2657,$B241,Data!$D$2:$D$2657,"Transmission"))/$D241,0)</f>
        <v>0.288768652999578</v>
      </c>
      <c r="F241" s="10" t="n">
        <f aca="false">IFERROR((SUMIFS(Data!$E$2:$E$2657,Data!$A$2:$A$2657,$A241,Data!$B$2:$B$2657,$B241,Data!$D$2:$D$2657,"Distribution")+SUMIFS(Data!$G$2:$G$2657,Data!$A$2:$A$2657,$A241,Data!$B$2:$B$2657,$B241,Data!$D$2:$D$2657,"Distribution"))/$D241,0)</f>
        <v>0.237143007868892</v>
      </c>
      <c r="G241" s="10" t="n">
        <f aca="false">IFERROR((SUMIFS(Data!$E$2:$E$2657,Data!$A$2:$A$2657,$A241,Data!$B$2:$B$2657,$B241,Data!$D$2:$D$2657,"RTO/market operation")+SUMIFS(Data!$G$2:$G$2657,Data!$A$2:$A$2657,$A241,Data!$B$2:$B$2657,$B241,Data!$D$2:$D$2657,"RTO/market operation"))/$D241,0)</f>
        <v>0.00719139919202614</v>
      </c>
      <c r="H241" s="10" t="n">
        <f aca="false">IFERROR((SUMIFS(Data!$E$2:$E$2657,Data!$A$2:$A$2657,$A241,Data!$B$2:$B$2657,$B241,Data!$D$2:$D$2657,"Customer accounts, service &amp; sales")+SUMIFS(Data!$G$2:$G$2657,Data!$A$2:$A$2657,$A241,Data!$B$2:$B$2657,$B241,Data!$D$2:$D$2657,"Customer accounts, service &amp; sales"))/$D241,0)</f>
        <v>0.167598025937184</v>
      </c>
      <c r="I241" s="10" t="n">
        <f aca="false">IFERROR((SUMIFS(Data!$E$2:$E$2657,Data!$A$2:$A$2657,$A241,Data!$B$2:$B$2657,$B241,Data!$D$2:$D$2657,"A&amp;G and general")+SUMIFS(Data!$G$2:$G$2657,Data!$A$2:$A$2657,$A241,Data!$B$2:$B$2657,$B241,Data!$D$2:$D$2657,"A&amp;G and general"))/$D241,0)</f>
        <v>0.29929891400232</v>
      </c>
      <c r="J241" s="10" t="n">
        <f aca="false">IFERROR(SUMIFS(Data!$F$2:$F$2657,Data!$A$2:$A$2657,$A241,Data!$B$2:$B$2657,$B241)/$D241,0)</f>
        <v>0.280213024099678</v>
      </c>
      <c r="K241" s="11" t="n">
        <f aca="false">SUM(E241:I241)</f>
        <v>1</v>
      </c>
    </row>
    <row r="242" customFormat="false" ht="15" hidden="false" customHeight="false" outlineLevel="0" collapsed="false">
      <c r="A242" s="7" t="n">
        <v>2007</v>
      </c>
      <c r="B242" s="12" t="s">
        <v>81</v>
      </c>
      <c r="C242" s="12" t="s">
        <v>72</v>
      </c>
      <c r="D242" s="9" t="n">
        <f aca="false">SUMIFS(Data!$E$2:$E$2657,Data!$A$2:$A$2657,$A242,Data!$B$2:$B$2657,$B242)+SUMIFS(Data!$G$2:$G$2657,Data!$A$2:$A$2657,$A242,Data!$B$2:$B$2657,$B242)</f>
        <v>295.036414</v>
      </c>
      <c r="E242" s="10" t="n">
        <f aca="false">IFERROR((SUMIFS(Data!$E$2:$E$2657,Data!$A$2:$A$2657,$A242,Data!$B$2:$B$2657,$B242,Data!$D$2:$D$2657,"Transmission")+SUMIFS(Data!$G$2:$G$2657,Data!$A$2:$A$2657,$A242,Data!$B$2:$B$2657,$B242,Data!$D$2:$D$2657,"Transmission"))/$D242,0)</f>
        <v>0.275842042331765</v>
      </c>
      <c r="F242" s="10" t="n">
        <f aca="false">IFERROR((SUMIFS(Data!$E$2:$E$2657,Data!$A$2:$A$2657,$A242,Data!$B$2:$B$2657,$B242,Data!$D$2:$D$2657,"Distribution")+SUMIFS(Data!$G$2:$G$2657,Data!$A$2:$A$2657,$A242,Data!$B$2:$B$2657,$B242,Data!$D$2:$D$2657,"Distribution"))/$D242,0)</f>
        <v>0.243396359203308</v>
      </c>
      <c r="G242" s="10" t="n">
        <f aca="false">IFERROR((SUMIFS(Data!$E$2:$E$2657,Data!$A$2:$A$2657,$A242,Data!$B$2:$B$2657,$B242,Data!$D$2:$D$2657,"RTO/market operation")+SUMIFS(Data!$G$2:$G$2657,Data!$A$2:$A$2657,$A242,Data!$B$2:$B$2657,$B242,Data!$D$2:$D$2657,"RTO/market operation"))/$D242,0)</f>
        <v>0.0069240232834446</v>
      </c>
      <c r="H242" s="10" t="n">
        <f aca="false">IFERROR((SUMIFS(Data!$E$2:$E$2657,Data!$A$2:$A$2657,$A242,Data!$B$2:$B$2657,$B242,Data!$D$2:$D$2657,"Customer accounts, service &amp; sales")+SUMIFS(Data!$G$2:$G$2657,Data!$A$2:$A$2657,$A242,Data!$B$2:$B$2657,$B242,Data!$D$2:$D$2657,"Customer accounts, service &amp; sales"))/$D242,0)</f>
        <v>0.135249698364352</v>
      </c>
      <c r="I242" s="10" t="n">
        <f aca="false">IFERROR((SUMIFS(Data!$E$2:$E$2657,Data!$A$2:$A$2657,$A242,Data!$B$2:$B$2657,$B242,Data!$D$2:$D$2657,"A&amp;G and general")+SUMIFS(Data!$G$2:$G$2657,Data!$A$2:$A$2657,$A242,Data!$B$2:$B$2657,$B242,Data!$D$2:$D$2657,"A&amp;G and general"))/$D242,0)</f>
        <v>0.338587876817131</v>
      </c>
      <c r="J242" s="10" t="n">
        <f aca="false">IFERROR(SUMIFS(Data!$F$2:$F$2657,Data!$A$2:$A$2657,$A242,Data!$B$2:$B$2657,$B242)/$D242,0)</f>
        <v>0.269470239019377</v>
      </c>
      <c r="K242" s="11" t="n">
        <f aca="false">SUM(E242:I242)</f>
        <v>1</v>
      </c>
    </row>
    <row r="243" customFormat="false" ht="15" hidden="false" customHeight="false" outlineLevel="0" collapsed="false">
      <c r="A243" s="7" t="n">
        <v>2008</v>
      </c>
      <c r="B243" s="12" t="s">
        <v>56</v>
      </c>
      <c r="C243" s="12" t="s">
        <v>57</v>
      </c>
      <c r="D243" s="9" t="n">
        <f aca="false">SUMIFS(Data!$E$2:$E$2657,Data!$A$2:$A$2657,$A243,Data!$B$2:$B$2657,$B243)+SUMIFS(Data!$G$2:$G$2657,Data!$A$2:$A$2657,$A243,Data!$B$2:$B$2657,$B243)</f>
        <v>157.96917</v>
      </c>
      <c r="E243" s="10" t="n">
        <f aca="false">IFERROR((SUMIFS(Data!$E$2:$E$2657,Data!$A$2:$A$2657,$A243,Data!$B$2:$B$2657,$B243,Data!$D$2:$D$2657,"Transmission")+SUMIFS(Data!$G$2:$G$2657,Data!$A$2:$A$2657,$A243,Data!$B$2:$B$2657,$B243,Data!$D$2:$D$2657,"Transmission"))/$D243,0)</f>
        <v>0.165024903277013</v>
      </c>
      <c r="F243" s="10" t="n">
        <f aca="false">IFERROR((SUMIFS(Data!$E$2:$E$2657,Data!$A$2:$A$2657,$A243,Data!$B$2:$B$2657,$B243,Data!$D$2:$D$2657,"Distribution")+SUMIFS(Data!$G$2:$G$2657,Data!$A$2:$A$2657,$A243,Data!$B$2:$B$2657,$B243,Data!$D$2:$D$2657,"Distribution"))/$D243,0)</f>
        <v>0.221653079521783</v>
      </c>
      <c r="G243" s="10" t="n">
        <f aca="false">IFERROR((SUMIFS(Data!$E$2:$E$2657,Data!$A$2:$A$2657,$A243,Data!$B$2:$B$2657,$B243,Data!$D$2:$D$2657,"RTO/market operation")+SUMIFS(Data!$G$2:$G$2657,Data!$A$2:$A$2657,$A243,Data!$B$2:$B$2657,$B243,Data!$D$2:$D$2657,"RTO/market operation"))/$D243,0)</f>
        <v>0.000531008677199481</v>
      </c>
      <c r="H243" s="10" t="n">
        <f aca="false">IFERROR((SUMIFS(Data!$E$2:$E$2657,Data!$A$2:$A$2657,$A243,Data!$B$2:$B$2657,$B243,Data!$D$2:$D$2657,"Customer accounts, service &amp; sales")+SUMIFS(Data!$G$2:$G$2657,Data!$A$2:$A$2657,$A243,Data!$B$2:$B$2657,$B243,Data!$D$2:$D$2657,"Customer accounts, service &amp; sales"))/$D243,0)</f>
        <v>0.0963978477572554</v>
      </c>
      <c r="I243" s="10" t="n">
        <f aca="false">IFERROR((SUMIFS(Data!$E$2:$E$2657,Data!$A$2:$A$2657,$A243,Data!$B$2:$B$2657,$B243,Data!$D$2:$D$2657,"A&amp;G and general")+SUMIFS(Data!$G$2:$G$2657,Data!$A$2:$A$2657,$A243,Data!$B$2:$B$2657,$B243,Data!$D$2:$D$2657,"A&amp;G and general"))/$D243,0)</f>
        <v>0.51639316076675</v>
      </c>
      <c r="J243" s="10" t="n">
        <f aca="false">IFERROR(SUMIFS(Data!$F$2:$F$2657,Data!$A$2:$A$2657,$A243,Data!$B$2:$B$2657,$B243)/$D243,0)</f>
        <v>0.0482966391480059</v>
      </c>
      <c r="K243" s="11" t="n">
        <f aca="false">SUM(E243:I243)</f>
        <v>1</v>
      </c>
    </row>
    <row r="244" customFormat="false" ht="15" hidden="false" customHeight="false" outlineLevel="0" collapsed="false">
      <c r="A244" s="7" t="n">
        <v>2008</v>
      </c>
      <c r="B244" s="12" t="s">
        <v>58</v>
      </c>
      <c r="C244" s="12" t="s">
        <v>59</v>
      </c>
      <c r="D244" s="9" t="n">
        <f aca="false">SUMIFS(Data!$E$2:$E$2657,Data!$A$2:$A$2657,$A244,Data!$B$2:$B$2657,$B244)+SUMIFS(Data!$G$2:$G$2657,Data!$A$2:$A$2657,$A244,Data!$B$2:$B$2657,$B244)</f>
        <v>611.662429</v>
      </c>
      <c r="E244" s="10" t="n">
        <f aca="false">IFERROR((SUMIFS(Data!$E$2:$E$2657,Data!$A$2:$A$2657,$A244,Data!$B$2:$B$2657,$B244,Data!$D$2:$D$2657,"Transmission")+SUMIFS(Data!$G$2:$G$2657,Data!$A$2:$A$2657,$A244,Data!$B$2:$B$2657,$B244,Data!$D$2:$D$2657,"Transmission"))/$D244,0)</f>
        <v>0.0611988757609306</v>
      </c>
      <c r="F244" s="10" t="n">
        <f aca="false">IFERROR((SUMIFS(Data!$E$2:$E$2657,Data!$A$2:$A$2657,$A244,Data!$B$2:$B$2657,$B244,Data!$D$2:$D$2657,"Distribution")+SUMIFS(Data!$G$2:$G$2657,Data!$A$2:$A$2657,$A244,Data!$B$2:$B$2657,$B244,Data!$D$2:$D$2657,"Distribution"))/$D244,0)</f>
        <v>0.535712895650159</v>
      </c>
      <c r="G244" s="10" t="n">
        <f aca="false">IFERROR((SUMIFS(Data!$E$2:$E$2657,Data!$A$2:$A$2657,$A244,Data!$B$2:$B$2657,$B244,Data!$D$2:$D$2657,"RTO/market operation")+SUMIFS(Data!$G$2:$G$2657,Data!$A$2:$A$2657,$A244,Data!$B$2:$B$2657,$B244,Data!$D$2:$D$2657,"RTO/market operation"))/$D244,0)</f>
        <v>0.000861125311981521</v>
      </c>
      <c r="H244" s="10" t="n">
        <f aca="false">IFERROR((SUMIFS(Data!$E$2:$E$2657,Data!$A$2:$A$2657,$A244,Data!$B$2:$B$2657,$B244,Data!$D$2:$D$2657,"Customer accounts, service &amp; sales")+SUMIFS(Data!$G$2:$G$2657,Data!$A$2:$A$2657,$A244,Data!$B$2:$B$2657,$B244,Data!$D$2:$D$2657,"Customer accounts, service &amp; sales"))/$D244,0)</f>
        <v>0.122900422579331</v>
      </c>
      <c r="I244" s="10" t="n">
        <f aca="false">IFERROR((SUMIFS(Data!$E$2:$E$2657,Data!$A$2:$A$2657,$A244,Data!$B$2:$B$2657,$B244,Data!$D$2:$D$2657,"A&amp;G and general")+SUMIFS(Data!$G$2:$G$2657,Data!$A$2:$A$2657,$A244,Data!$B$2:$B$2657,$B244,Data!$D$2:$D$2657,"A&amp;G and general"))/$D244,0)</f>
        <v>0.279326680697598</v>
      </c>
      <c r="J244" s="10" t="n">
        <f aca="false">IFERROR(SUMIFS(Data!$F$2:$F$2657,Data!$A$2:$A$2657,$A244,Data!$B$2:$B$2657,$B244)/$D244,0)</f>
        <v>0.00698463040632499</v>
      </c>
      <c r="K244" s="11" t="n">
        <f aca="false">SUM(E244:I244)</f>
        <v>1</v>
      </c>
    </row>
    <row r="245" customFormat="false" ht="15" hidden="false" customHeight="false" outlineLevel="0" collapsed="false">
      <c r="A245" s="7" t="n">
        <v>2008</v>
      </c>
      <c r="B245" s="12" t="s">
        <v>60</v>
      </c>
      <c r="C245" s="12" t="s">
        <v>59</v>
      </c>
      <c r="D245" s="9" t="n">
        <f aca="false">SUMIFS(Data!$E$2:$E$2657,Data!$A$2:$A$2657,$A245,Data!$B$2:$B$2657,$B245)+SUMIFS(Data!$G$2:$G$2657,Data!$A$2:$A$2657,$A245,Data!$B$2:$B$2657,$B245)</f>
        <v>1825.923507</v>
      </c>
      <c r="E245" s="10" t="n">
        <f aca="false">IFERROR((SUMIFS(Data!$E$2:$E$2657,Data!$A$2:$A$2657,$A245,Data!$B$2:$B$2657,$B245,Data!$D$2:$D$2657,"Transmission")+SUMIFS(Data!$G$2:$G$2657,Data!$A$2:$A$2657,$A245,Data!$B$2:$B$2657,$B245,Data!$D$2:$D$2657,"Transmission"))/$D245,0)</f>
        <v>0.240902532506801</v>
      </c>
      <c r="F245" s="10" t="n">
        <f aca="false">IFERROR((SUMIFS(Data!$E$2:$E$2657,Data!$A$2:$A$2657,$A245,Data!$B$2:$B$2657,$B245,Data!$D$2:$D$2657,"Distribution")+SUMIFS(Data!$G$2:$G$2657,Data!$A$2:$A$2657,$A245,Data!$B$2:$B$2657,$B245,Data!$D$2:$D$2657,"Distribution"))/$D245,0)</f>
        <v>0.373929165368919</v>
      </c>
      <c r="G245" s="10" t="n">
        <f aca="false">IFERROR((SUMIFS(Data!$E$2:$E$2657,Data!$A$2:$A$2657,$A245,Data!$B$2:$B$2657,$B245,Data!$D$2:$D$2657,"RTO/market operation")+SUMIFS(Data!$G$2:$G$2657,Data!$A$2:$A$2657,$A245,Data!$B$2:$B$2657,$B245,Data!$D$2:$D$2657,"RTO/market operation"))/$D245,0)</f>
        <v>0.000351447909805567</v>
      </c>
      <c r="H245" s="10" t="n">
        <f aca="false">IFERROR((SUMIFS(Data!$E$2:$E$2657,Data!$A$2:$A$2657,$A245,Data!$B$2:$B$2657,$B245,Data!$D$2:$D$2657,"Customer accounts, service &amp; sales")+SUMIFS(Data!$G$2:$G$2657,Data!$A$2:$A$2657,$A245,Data!$B$2:$B$2657,$B245,Data!$D$2:$D$2657,"Customer accounts, service &amp; sales"))/$D245,0)</f>
        <v>0.143073360411039</v>
      </c>
      <c r="I245" s="10" t="n">
        <f aca="false">IFERROR((SUMIFS(Data!$E$2:$E$2657,Data!$A$2:$A$2657,$A245,Data!$B$2:$B$2657,$B245,Data!$D$2:$D$2657,"A&amp;G and general")+SUMIFS(Data!$G$2:$G$2657,Data!$A$2:$A$2657,$A245,Data!$B$2:$B$2657,$B245,Data!$D$2:$D$2657,"A&amp;G and general"))/$D245,0)</f>
        <v>0.241743493803435</v>
      </c>
      <c r="J245" s="10" t="n">
        <f aca="false">IFERROR(SUMIFS(Data!$F$2:$F$2657,Data!$A$2:$A$2657,$A245,Data!$B$2:$B$2657,$B245)/$D245,0)</f>
        <v>0.00130174675493676</v>
      </c>
      <c r="K245" s="11" t="n">
        <f aca="false">SUM(E245:I245)</f>
        <v>1</v>
      </c>
    </row>
    <row r="246" customFormat="false" ht="15" hidden="false" customHeight="false" outlineLevel="0" collapsed="false">
      <c r="A246" s="7" t="n">
        <v>2008</v>
      </c>
      <c r="B246" s="12" t="s">
        <v>61</v>
      </c>
      <c r="C246" s="12" t="s">
        <v>62</v>
      </c>
      <c r="D246" s="9" t="n">
        <f aca="false">SUMIFS(Data!$E$2:$E$2657,Data!$A$2:$A$2657,$A246,Data!$B$2:$B$2657,$B246)+SUMIFS(Data!$G$2:$G$2657,Data!$A$2:$A$2657,$A246,Data!$B$2:$B$2657,$B246)</f>
        <v>804.054031</v>
      </c>
      <c r="E246" s="10" t="n">
        <f aca="false">IFERROR((SUMIFS(Data!$E$2:$E$2657,Data!$A$2:$A$2657,$A246,Data!$B$2:$B$2657,$B246,Data!$D$2:$D$2657,"Transmission")+SUMIFS(Data!$G$2:$G$2657,Data!$A$2:$A$2657,$A246,Data!$B$2:$B$2657,$B246,Data!$D$2:$D$2657,"Transmission"))/$D246,0)</f>
        <v>0.209540361100435</v>
      </c>
      <c r="F246" s="10" t="n">
        <f aca="false">IFERROR((SUMIFS(Data!$E$2:$E$2657,Data!$A$2:$A$2657,$A246,Data!$B$2:$B$2657,$B246,Data!$D$2:$D$2657,"Distribution")+SUMIFS(Data!$G$2:$G$2657,Data!$A$2:$A$2657,$A246,Data!$B$2:$B$2657,$B246,Data!$D$2:$D$2657,"Distribution"))/$D246,0)</f>
        <v>0.363425796941251</v>
      </c>
      <c r="G246" s="10" t="n">
        <f aca="false">IFERROR((SUMIFS(Data!$E$2:$E$2657,Data!$A$2:$A$2657,$A246,Data!$B$2:$B$2657,$B246,Data!$D$2:$D$2657,"RTO/market operation")+SUMIFS(Data!$G$2:$G$2657,Data!$A$2:$A$2657,$A246,Data!$B$2:$B$2657,$B246,Data!$D$2:$D$2657,"RTO/market operation"))/$D246,0)</f>
        <v>0.00899920741769156</v>
      </c>
      <c r="H246" s="10" t="n">
        <f aca="false">IFERROR((SUMIFS(Data!$E$2:$E$2657,Data!$A$2:$A$2657,$A246,Data!$B$2:$B$2657,$B246,Data!$D$2:$D$2657,"Customer accounts, service &amp; sales")+SUMIFS(Data!$G$2:$G$2657,Data!$A$2:$A$2657,$A246,Data!$B$2:$B$2657,$B246,Data!$D$2:$D$2657,"Customer accounts, service &amp; sales"))/$D246,0)</f>
        <v>0.120545650246233</v>
      </c>
      <c r="I246" s="10" t="n">
        <f aca="false">IFERROR((SUMIFS(Data!$E$2:$E$2657,Data!$A$2:$A$2657,$A246,Data!$B$2:$B$2657,$B246,Data!$D$2:$D$2657,"A&amp;G and general")+SUMIFS(Data!$G$2:$G$2657,Data!$A$2:$A$2657,$A246,Data!$B$2:$B$2657,$B246,Data!$D$2:$D$2657,"A&amp;G and general"))/$D246,0)</f>
        <v>0.29748898429439</v>
      </c>
      <c r="J246" s="10" t="n">
        <f aca="false">IFERROR(SUMIFS(Data!$F$2:$F$2657,Data!$A$2:$A$2657,$A246,Data!$B$2:$B$2657,$B246)/$D246,0)</f>
        <v>0.202441702577572</v>
      </c>
      <c r="K246" s="11" t="n">
        <f aca="false">SUM(E246:I246)</f>
        <v>1</v>
      </c>
    </row>
    <row r="247" customFormat="false" ht="15" hidden="false" customHeight="false" outlineLevel="0" collapsed="false">
      <c r="A247" s="7" t="n">
        <v>2008</v>
      </c>
      <c r="B247" s="12" t="s">
        <v>63</v>
      </c>
      <c r="C247" s="12" t="s">
        <v>62</v>
      </c>
      <c r="D247" s="9" t="n">
        <f aca="false">SUMIFS(Data!$E$2:$E$2657,Data!$A$2:$A$2657,$A247,Data!$B$2:$B$2657,$B247)+SUMIFS(Data!$G$2:$G$2657,Data!$A$2:$A$2657,$A247,Data!$B$2:$B$2657,$B247)</f>
        <v>1476.595485</v>
      </c>
      <c r="E247" s="10" t="n">
        <f aca="false">IFERROR((SUMIFS(Data!$E$2:$E$2657,Data!$A$2:$A$2657,$A247,Data!$B$2:$B$2657,$B247,Data!$D$2:$D$2657,"Transmission")+SUMIFS(Data!$G$2:$G$2657,Data!$A$2:$A$2657,$A247,Data!$B$2:$B$2657,$B247,Data!$D$2:$D$2657,"Transmission"))/$D247,0)</f>
        <v>0.186524318134428</v>
      </c>
      <c r="F247" s="10" t="n">
        <f aca="false">IFERROR((SUMIFS(Data!$E$2:$E$2657,Data!$A$2:$A$2657,$A247,Data!$B$2:$B$2657,$B247,Data!$D$2:$D$2657,"Distribution")+SUMIFS(Data!$G$2:$G$2657,Data!$A$2:$A$2657,$A247,Data!$B$2:$B$2657,$B247,Data!$D$2:$D$2657,"Distribution"))/$D247,0)</f>
        <v>0.308779049937296</v>
      </c>
      <c r="G247" s="10" t="n">
        <f aca="false">IFERROR((SUMIFS(Data!$E$2:$E$2657,Data!$A$2:$A$2657,$A247,Data!$B$2:$B$2657,$B247,Data!$D$2:$D$2657,"RTO/market operation")+SUMIFS(Data!$G$2:$G$2657,Data!$A$2:$A$2657,$A247,Data!$B$2:$B$2657,$B247,Data!$D$2:$D$2657,"RTO/market operation"))/$D247,0)</f>
        <v>0.00680703760922038</v>
      </c>
      <c r="H247" s="10" t="n">
        <f aca="false">IFERROR((SUMIFS(Data!$E$2:$E$2657,Data!$A$2:$A$2657,$A247,Data!$B$2:$B$2657,$B247,Data!$D$2:$D$2657,"Customer accounts, service &amp; sales")+SUMIFS(Data!$G$2:$G$2657,Data!$A$2:$A$2657,$A247,Data!$B$2:$B$2657,$B247,Data!$D$2:$D$2657,"Customer accounts, service &amp; sales"))/$D247,0)</f>
        <v>0.153728344225568</v>
      </c>
      <c r="I247" s="10" t="n">
        <f aca="false">IFERROR((SUMIFS(Data!$E$2:$E$2657,Data!$A$2:$A$2657,$A247,Data!$B$2:$B$2657,$B247,Data!$D$2:$D$2657,"A&amp;G and general")+SUMIFS(Data!$G$2:$G$2657,Data!$A$2:$A$2657,$A247,Data!$B$2:$B$2657,$B247,Data!$D$2:$D$2657,"A&amp;G and general"))/$D247,0)</f>
        <v>0.344161250093488</v>
      </c>
      <c r="J247" s="10" t="n">
        <f aca="false">IFERROR(SUMIFS(Data!$F$2:$F$2657,Data!$A$2:$A$2657,$A247,Data!$B$2:$B$2657,$B247)/$D247,0)</f>
        <v>0.178709176399791</v>
      </c>
      <c r="K247" s="11" t="n">
        <f aca="false">SUM(E247:I247)</f>
        <v>1</v>
      </c>
    </row>
    <row r="248" customFormat="false" ht="15" hidden="false" customHeight="false" outlineLevel="0" collapsed="false">
      <c r="A248" s="7" t="n">
        <v>2008</v>
      </c>
      <c r="B248" s="12" t="s">
        <v>64</v>
      </c>
      <c r="C248" s="12" t="s">
        <v>65</v>
      </c>
      <c r="D248" s="9" t="n">
        <f aca="false">SUMIFS(Data!$E$2:$E$2657,Data!$A$2:$A$2657,$A248,Data!$B$2:$B$2657,$B248)+SUMIFS(Data!$G$2:$G$2657,Data!$A$2:$A$2657,$A248,Data!$B$2:$B$2657,$B248)</f>
        <v>522.188884</v>
      </c>
      <c r="E248" s="10" t="n">
        <f aca="false">IFERROR((SUMIFS(Data!$E$2:$E$2657,Data!$A$2:$A$2657,$A248,Data!$B$2:$B$2657,$B248,Data!$D$2:$D$2657,"Transmission")+SUMIFS(Data!$G$2:$G$2657,Data!$A$2:$A$2657,$A248,Data!$B$2:$B$2657,$B248,Data!$D$2:$D$2657,"Transmission"))/$D248,0)</f>
        <v>0.109170677022684</v>
      </c>
      <c r="F248" s="10" t="n">
        <f aca="false">IFERROR((SUMIFS(Data!$E$2:$E$2657,Data!$A$2:$A$2657,$A248,Data!$B$2:$B$2657,$B248,Data!$D$2:$D$2657,"Distribution")+SUMIFS(Data!$G$2:$G$2657,Data!$A$2:$A$2657,$A248,Data!$B$2:$B$2657,$B248,Data!$D$2:$D$2657,"Distribution"))/$D248,0)</f>
        <v>0.309814727883024</v>
      </c>
      <c r="G248" s="10" t="n">
        <f aca="false">IFERROR((SUMIFS(Data!$E$2:$E$2657,Data!$A$2:$A$2657,$A248,Data!$B$2:$B$2657,$B248,Data!$D$2:$D$2657,"RTO/market operation")+SUMIFS(Data!$G$2:$G$2657,Data!$A$2:$A$2657,$A248,Data!$B$2:$B$2657,$B248,Data!$D$2:$D$2657,"RTO/market operation"))/$D248,0)</f>
        <v>0.012687696354716</v>
      </c>
      <c r="H248" s="10" t="n">
        <f aca="false">IFERROR((SUMIFS(Data!$E$2:$E$2657,Data!$A$2:$A$2657,$A248,Data!$B$2:$B$2657,$B248,Data!$D$2:$D$2657,"Customer accounts, service &amp; sales")+SUMIFS(Data!$G$2:$G$2657,Data!$A$2:$A$2657,$A248,Data!$B$2:$B$2657,$B248,Data!$D$2:$D$2657,"Customer accounts, service &amp; sales"))/$D248,0)</f>
        <v>0.0924960555077614</v>
      </c>
      <c r="I248" s="10" t="n">
        <f aca="false">IFERROR((SUMIFS(Data!$E$2:$E$2657,Data!$A$2:$A$2657,$A248,Data!$B$2:$B$2657,$B248,Data!$D$2:$D$2657,"A&amp;G and general")+SUMIFS(Data!$G$2:$G$2657,Data!$A$2:$A$2657,$A248,Data!$B$2:$B$2657,$B248,Data!$D$2:$D$2657,"A&amp;G and general"))/$D248,0)</f>
        <v>0.475830843231814</v>
      </c>
      <c r="J248" s="10" t="n">
        <f aca="false">IFERROR(SUMIFS(Data!$F$2:$F$2657,Data!$A$2:$A$2657,$A248,Data!$B$2:$B$2657,$B248)/$D248,0)</f>
        <v>0.0116505907850769</v>
      </c>
      <c r="K248" s="11" t="n">
        <f aca="false">SUM(E248:I248)</f>
        <v>1</v>
      </c>
    </row>
    <row r="249" customFormat="false" ht="15" hidden="false" customHeight="false" outlineLevel="0" collapsed="false">
      <c r="A249" s="7" t="n">
        <v>2008</v>
      </c>
      <c r="B249" s="12" t="s">
        <v>66</v>
      </c>
      <c r="C249" s="12" t="s">
        <v>67</v>
      </c>
      <c r="D249" s="9" t="n">
        <f aca="false">SUMIFS(Data!$E$2:$E$2657,Data!$A$2:$A$2657,$A249,Data!$B$2:$B$2657,$B249)+SUMIFS(Data!$G$2:$G$2657,Data!$A$2:$A$2657,$A249,Data!$B$2:$B$2657,$B249)</f>
        <v>278.139581</v>
      </c>
      <c r="E249" s="10" t="n">
        <f aca="false">IFERROR((SUMIFS(Data!$E$2:$E$2657,Data!$A$2:$A$2657,$A249,Data!$B$2:$B$2657,$B249,Data!$D$2:$D$2657,"Transmission")+SUMIFS(Data!$G$2:$G$2657,Data!$A$2:$A$2657,$A249,Data!$B$2:$B$2657,$B249,Data!$D$2:$D$2657,"Transmission"))/$D249,0)</f>
        <v>0.0119280542095877</v>
      </c>
      <c r="F249" s="10" t="n">
        <f aca="false">IFERROR((SUMIFS(Data!$E$2:$E$2657,Data!$A$2:$A$2657,$A249,Data!$B$2:$B$2657,$B249,Data!$D$2:$D$2657,"Distribution")+SUMIFS(Data!$G$2:$G$2657,Data!$A$2:$A$2657,$A249,Data!$B$2:$B$2657,$B249,Data!$D$2:$D$2657,"Distribution"))/$D249,0)</f>
        <v>0.363274952226235</v>
      </c>
      <c r="G249" s="10" t="n">
        <f aca="false">IFERROR((SUMIFS(Data!$E$2:$E$2657,Data!$A$2:$A$2657,$A249,Data!$B$2:$B$2657,$B249,Data!$D$2:$D$2657,"RTO/market operation")+SUMIFS(Data!$G$2:$G$2657,Data!$A$2:$A$2657,$A249,Data!$B$2:$B$2657,$B249,Data!$D$2:$D$2657,"RTO/market operation"))/$D249,0)</f>
        <v>0.0082939256315339</v>
      </c>
      <c r="H249" s="10" t="n">
        <f aca="false">IFERROR((SUMIFS(Data!$E$2:$E$2657,Data!$A$2:$A$2657,$A249,Data!$B$2:$B$2657,$B249,Data!$D$2:$D$2657,"Customer accounts, service &amp; sales")+SUMIFS(Data!$G$2:$G$2657,Data!$A$2:$A$2657,$A249,Data!$B$2:$B$2657,$B249,Data!$D$2:$D$2657,"Customer accounts, service &amp; sales"))/$D249,0)</f>
        <v>0.088164251602867</v>
      </c>
      <c r="I249" s="10" t="n">
        <f aca="false">IFERROR((SUMIFS(Data!$E$2:$E$2657,Data!$A$2:$A$2657,$A249,Data!$B$2:$B$2657,$B249,Data!$D$2:$D$2657,"A&amp;G and general")+SUMIFS(Data!$G$2:$G$2657,Data!$A$2:$A$2657,$A249,Data!$B$2:$B$2657,$B249,Data!$D$2:$D$2657,"A&amp;G and general"))/$D249,0)</f>
        <v>0.528338816329776</v>
      </c>
      <c r="J249" s="10" t="n">
        <f aca="false">IFERROR(SUMIFS(Data!$F$2:$F$2657,Data!$A$2:$A$2657,$A249,Data!$B$2:$B$2657,$B249)/$D249,0)</f>
        <v>-0.130941733891517</v>
      </c>
      <c r="K249" s="11" t="n">
        <f aca="false">SUM(E249:I249)</f>
        <v>1</v>
      </c>
    </row>
    <row r="250" customFormat="false" ht="15" hidden="false" customHeight="false" outlineLevel="0" collapsed="false">
      <c r="A250" s="7" t="n">
        <v>2008</v>
      </c>
      <c r="B250" s="12" t="s">
        <v>68</v>
      </c>
      <c r="C250" s="12" t="s">
        <v>65</v>
      </c>
      <c r="D250" s="9" t="n">
        <f aca="false">SUMIFS(Data!$E$2:$E$2657,Data!$A$2:$A$2657,$A250,Data!$B$2:$B$2657,$B250)+SUMIFS(Data!$G$2:$G$2657,Data!$A$2:$A$2657,$A250,Data!$B$2:$B$2657,$B250)</f>
        <v>240.456846</v>
      </c>
      <c r="E250" s="10" t="n">
        <f aca="false">IFERROR((SUMIFS(Data!$E$2:$E$2657,Data!$A$2:$A$2657,$A250,Data!$B$2:$B$2657,$B250,Data!$D$2:$D$2657,"Transmission")+SUMIFS(Data!$G$2:$G$2657,Data!$A$2:$A$2657,$A250,Data!$B$2:$B$2657,$B250,Data!$D$2:$D$2657,"Transmission"))/$D250,0)</f>
        <v>0.0640734886791287</v>
      </c>
      <c r="F250" s="10" t="n">
        <f aca="false">IFERROR((SUMIFS(Data!$E$2:$E$2657,Data!$A$2:$A$2657,$A250,Data!$B$2:$B$2657,$B250,Data!$D$2:$D$2657,"Distribution")+SUMIFS(Data!$G$2:$G$2657,Data!$A$2:$A$2657,$A250,Data!$B$2:$B$2657,$B250,Data!$D$2:$D$2657,"Distribution"))/$D250,0)</f>
        <v>0.400546882329148</v>
      </c>
      <c r="G250" s="10" t="n">
        <f aca="false">IFERROR((SUMIFS(Data!$E$2:$E$2657,Data!$A$2:$A$2657,$A250,Data!$B$2:$B$2657,$B250,Data!$D$2:$D$2657,"RTO/market operation")+SUMIFS(Data!$G$2:$G$2657,Data!$A$2:$A$2657,$A250,Data!$B$2:$B$2657,$B250,Data!$D$2:$D$2657,"RTO/market operation"))/$D250,0)</f>
        <v>0.000369263763860564</v>
      </c>
      <c r="H250" s="10" t="n">
        <f aca="false">IFERROR((SUMIFS(Data!$E$2:$E$2657,Data!$A$2:$A$2657,$A250,Data!$B$2:$B$2657,$B250,Data!$D$2:$D$2657,"Customer accounts, service &amp; sales")+SUMIFS(Data!$G$2:$G$2657,Data!$A$2:$A$2657,$A250,Data!$B$2:$B$2657,$B250,Data!$D$2:$D$2657,"Customer accounts, service &amp; sales"))/$D250,0)</f>
        <v>0.0872928192695333</v>
      </c>
      <c r="I250" s="10" t="n">
        <f aca="false">IFERROR((SUMIFS(Data!$E$2:$E$2657,Data!$A$2:$A$2657,$A250,Data!$B$2:$B$2657,$B250,Data!$D$2:$D$2657,"A&amp;G and general")+SUMIFS(Data!$G$2:$G$2657,Data!$A$2:$A$2657,$A250,Data!$B$2:$B$2657,$B250,Data!$D$2:$D$2657,"A&amp;G and general"))/$D250,0)</f>
        <v>0.44771754595833</v>
      </c>
      <c r="J250" s="10" t="n">
        <f aca="false">IFERROR(SUMIFS(Data!$F$2:$F$2657,Data!$A$2:$A$2657,$A250,Data!$B$2:$B$2657,$B250)/$D250,0)</f>
        <v>0.0144051128409128</v>
      </c>
      <c r="K250" s="11" t="n">
        <f aca="false">SUM(E250:I250)</f>
        <v>1</v>
      </c>
    </row>
    <row r="251" customFormat="false" ht="15" hidden="false" customHeight="false" outlineLevel="0" collapsed="false">
      <c r="A251" s="7" t="n">
        <v>2008</v>
      </c>
      <c r="B251" s="12" t="s">
        <v>69</v>
      </c>
      <c r="C251" s="12" t="s">
        <v>70</v>
      </c>
      <c r="D251" s="9" t="n">
        <f aca="false">SUMIFS(Data!$E$2:$E$2657,Data!$A$2:$A$2657,$A251,Data!$B$2:$B$2657,$B251)+SUMIFS(Data!$G$2:$G$2657,Data!$A$2:$A$2657,$A251,Data!$B$2:$B$2657,$B251)</f>
        <v>316.504483</v>
      </c>
      <c r="E251" s="10" t="n">
        <f aca="false">IFERROR((SUMIFS(Data!$E$2:$E$2657,Data!$A$2:$A$2657,$A251,Data!$B$2:$B$2657,$B251,Data!$D$2:$D$2657,"Transmission")+SUMIFS(Data!$G$2:$G$2657,Data!$A$2:$A$2657,$A251,Data!$B$2:$B$2657,$B251,Data!$D$2:$D$2657,"Transmission"))/$D251,0)</f>
        <v>0.291327990447453</v>
      </c>
      <c r="F251" s="10" t="n">
        <f aca="false">IFERROR((SUMIFS(Data!$E$2:$E$2657,Data!$A$2:$A$2657,$A251,Data!$B$2:$B$2657,$B251,Data!$D$2:$D$2657,"Distribution")+SUMIFS(Data!$G$2:$G$2657,Data!$A$2:$A$2657,$A251,Data!$B$2:$B$2657,$B251,Data!$D$2:$D$2657,"Distribution"))/$D251,0)</f>
        <v>0.231839338591612</v>
      </c>
      <c r="G251" s="10" t="n">
        <f aca="false">IFERROR((SUMIFS(Data!$E$2:$E$2657,Data!$A$2:$A$2657,$A251,Data!$B$2:$B$2657,$B251,Data!$D$2:$D$2657,"RTO/market operation")+SUMIFS(Data!$G$2:$G$2657,Data!$A$2:$A$2657,$A251,Data!$B$2:$B$2657,$B251,Data!$D$2:$D$2657,"RTO/market operation"))/$D251,0)</f>
        <v>0.00986518412126251</v>
      </c>
      <c r="H251" s="10" t="n">
        <f aca="false">IFERROR((SUMIFS(Data!$E$2:$E$2657,Data!$A$2:$A$2657,$A251,Data!$B$2:$B$2657,$B251,Data!$D$2:$D$2657,"Customer accounts, service &amp; sales")+SUMIFS(Data!$G$2:$G$2657,Data!$A$2:$A$2657,$A251,Data!$B$2:$B$2657,$B251,Data!$D$2:$D$2657,"Customer accounts, service &amp; sales"))/$D251,0)</f>
        <v>0.164904754287477</v>
      </c>
      <c r="I251" s="10" t="n">
        <f aca="false">IFERROR((SUMIFS(Data!$E$2:$E$2657,Data!$A$2:$A$2657,$A251,Data!$B$2:$B$2657,$B251,Data!$D$2:$D$2657,"A&amp;G and general")+SUMIFS(Data!$G$2:$G$2657,Data!$A$2:$A$2657,$A251,Data!$B$2:$B$2657,$B251,Data!$D$2:$D$2657,"A&amp;G and general"))/$D251,0)</f>
        <v>0.302062732552196</v>
      </c>
      <c r="J251" s="10" t="n">
        <f aca="false">IFERROR(SUMIFS(Data!$F$2:$F$2657,Data!$A$2:$A$2657,$A251,Data!$B$2:$B$2657,$B251)/$D251,0)</f>
        <v>0.281277008010026</v>
      </c>
      <c r="K251" s="11" t="n">
        <f aca="false">SUM(E251:I251)</f>
        <v>1</v>
      </c>
    </row>
    <row r="252" customFormat="false" ht="15" hidden="false" customHeight="false" outlineLevel="0" collapsed="false">
      <c r="A252" s="7" t="n">
        <v>2008</v>
      </c>
      <c r="B252" s="12" t="s">
        <v>71</v>
      </c>
      <c r="C252" s="12" t="s">
        <v>72</v>
      </c>
      <c r="D252" s="9" t="n">
        <f aca="false">SUMIFS(Data!$E$2:$E$2657,Data!$A$2:$A$2657,$A252,Data!$B$2:$B$2657,$B252)+SUMIFS(Data!$G$2:$G$2657,Data!$A$2:$A$2657,$A252,Data!$B$2:$B$2657,$B252)</f>
        <v>98.311579</v>
      </c>
      <c r="E252" s="10" t="n">
        <f aca="false">IFERROR((SUMIFS(Data!$E$2:$E$2657,Data!$A$2:$A$2657,$A252,Data!$B$2:$B$2657,$B252,Data!$D$2:$D$2657,"Transmission")+SUMIFS(Data!$G$2:$G$2657,Data!$A$2:$A$2657,$A252,Data!$B$2:$B$2657,$B252,Data!$D$2:$D$2657,"Transmission"))/$D252,0)</f>
        <v>0.245552794956126</v>
      </c>
      <c r="F252" s="10" t="n">
        <f aca="false">IFERROR((SUMIFS(Data!$E$2:$E$2657,Data!$A$2:$A$2657,$A252,Data!$B$2:$B$2657,$B252,Data!$D$2:$D$2657,"Distribution")+SUMIFS(Data!$G$2:$G$2657,Data!$A$2:$A$2657,$A252,Data!$B$2:$B$2657,$B252,Data!$D$2:$D$2657,"Distribution"))/$D252,0)</f>
        <v>0.247981989995299</v>
      </c>
      <c r="G252" s="10" t="n">
        <f aca="false">IFERROR((SUMIFS(Data!$E$2:$E$2657,Data!$A$2:$A$2657,$A252,Data!$B$2:$B$2657,$B252,Data!$D$2:$D$2657,"RTO/market operation")+SUMIFS(Data!$G$2:$G$2657,Data!$A$2:$A$2657,$A252,Data!$B$2:$B$2657,$B252,Data!$D$2:$D$2657,"RTO/market operation"))/$D252,0)</f>
        <v>0</v>
      </c>
      <c r="H252" s="10" t="n">
        <f aca="false">IFERROR((SUMIFS(Data!$E$2:$E$2657,Data!$A$2:$A$2657,$A252,Data!$B$2:$B$2657,$B252,Data!$D$2:$D$2657,"Customer accounts, service &amp; sales")+SUMIFS(Data!$G$2:$G$2657,Data!$A$2:$A$2657,$A252,Data!$B$2:$B$2657,$B252,Data!$D$2:$D$2657,"Customer accounts, service &amp; sales"))/$D252,0)</f>
        <v>0.164474369799309</v>
      </c>
      <c r="I252" s="10" t="n">
        <f aca="false">IFERROR((SUMIFS(Data!$E$2:$E$2657,Data!$A$2:$A$2657,$A252,Data!$B$2:$B$2657,$B252,Data!$D$2:$D$2657,"A&amp;G and general")+SUMIFS(Data!$G$2:$G$2657,Data!$A$2:$A$2657,$A252,Data!$B$2:$B$2657,$B252,Data!$D$2:$D$2657,"A&amp;G and general"))/$D252,0)</f>
        <v>0.341990845249266</v>
      </c>
      <c r="J252" s="10" t="n">
        <f aca="false">IFERROR(SUMIFS(Data!$F$2:$F$2657,Data!$A$2:$A$2657,$A252,Data!$B$2:$B$2657,$B252)/$D252,0)</f>
        <v>0.250006888812151</v>
      </c>
      <c r="K252" s="11" t="n">
        <f aca="false">SUM(E252:I252)</f>
        <v>1</v>
      </c>
    </row>
    <row r="253" customFormat="false" ht="15" hidden="false" customHeight="false" outlineLevel="0" collapsed="false">
      <c r="A253" s="7" t="n">
        <v>2008</v>
      </c>
      <c r="B253" s="12" t="s">
        <v>73</v>
      </c>
      <c r="C253" s="12" t="s">
        <v>70</v>
      </c>
      <c r="D253" s="9" t="n">
        <f aca="false">SUMIFS(Data!$E$2:$E$2657,Data!$A$2:$A$2657,$A253,Data!$B$2:$B$2657,$B253)+SUMIFS(Data!$G$2:$G$2657,Data!$A$2:$A$2657,$A253,Data!$B$2:$B$2657,$B253)</f>
        <v>402.54232</v>
      </c>
      <c r="E253" s="10" t="n">
        <f aca="false">IFERROR((SUMIFS(Data!$E$2:$E$2657,Data!$A$2:$A$2657,$A253,Data!$B$2:$B$2657,$B253,Data!$D$2:$D$2657,"Transmission")+SUMIFS(Data!$G$2:$G$2657,Data!$A$2:$A$2657,$A253,Data!$B$2:$B$2657,$B253,Data!$D$2:$D$2657,"Transmission"))/$D253,0)</f>
        <v>0.145637432605844</v>
      </c>
      <c r="F253" s="10" t="n">
        <f aca="false">IFERROR((SUMIFS(Data!$E$2:$E$2657,Data!$A$2:$A$2657,$A253,Data!$B$2:$B$2657,$B253,Data!$D$2:$D$2657,"Distribution")+SUMIFS(Data!$G$2:$G$2657,Data!$A$2:$A$2657,$A253,Data!$B$2:$B$2657,$B253,Data!$D$2:$D$2657,"Distribution"))/$D253,0)</f>
        <v>0.418701815004196</v>
      </c>
      <c r="G253" s="10" t="n">
        <f aca="false">IFERROR((SUMIFS(Data!$E$2:$E$2657,Data!$A$2:$A$2657,$A253,Data!$B$2:$B$2657,$B253,Data!$D$2:$D$2657,"RTO/market operation")+SUMIFS(Data!$G$2:$G$2657,Data!$A$2:$A$2657,$A253,Data!$B$2:$B$2657,$B253,Data!$D$2:$D$2657,"RTO/market operation"))/$D253,0)</f>
        <v>0.0021128412038764</v>
      </c>
      <c r="H253" s="10" t="n">
        <f aca="false">IFERROR((SUMIFS(Data!$E$2:$E$2657,Data!$A$2:$A$2657,$A253,Data!$B$2:$B$2657,$B253,Data!$D$2:$D$2657,"Customer accounts, service &amp; sales")+SUMIFS(Data!$G$2:$G$2657,Data!$A$2:$A$2657,$A253,Data!$B$2:$B$2657,$B253,Data!$D$2:$D$2657,"Customer accounts, service &amp; sales"))/$D253,0)</f>
        <v>0.17906228592313</v>
      </c>
      <c r="I253" s="10" t="n">
        <f aca="false">IFERROR((SUMIFS(Data!$E$2:$E$2657,Data!$A$2:$A$2657,$A253,Data!$B$2:$B$2657,$B253,Data!$D$2:$D$2657,"A&amp;G and general")+SUMIFS(Data!$G$2:$G$2657,Data!$A$2:$A$2657,$A253,Data!$B$2:$B$2657,$B253,Data!$D$2:$D$2657,"A&amp;G and general"))/$D253,0)</f>
        <v>0.254485625262954</v>
      </c>
      <c r="J253" s="10" t="n">
        <f aca="false">IFERROR(SUMIFS(Data!$F$2:$F$2657,Data!$A$2:$A$2657,$A253,Data!$B$2:$B$2657,$B253)/$D253,0)</f>
        <v>0.0756169264389394</v>
      </c>
      <c r="K253" s="11" t="n">
        <f aca="false">SUM(E253:I253)</f>
        <v>1</v>
      </c>
    </row>
    <row r="254" customFormat="false" ht="15" hidden="false" customHeight="false" outlineLevel="0" collapsed="false">
      <c r="A254" s="7" t="n">
        <v>2008</v>
      </c>
      <c r="B254" s="12" t="s">
        <v>74</v>
      </c>
      <c r="C254" s="12" t="s">
        <v>65</v>
      </c>
      <c r="D254" s="9" t="n">
        <f aca="false">SUMIFS(Data!$E$2:$E$2657,Data!$A$2:$A$2657,$A254,Data!$B$2:$B$2657,$B254)+SUMIFS(Data!$G$2:$G$2657,Data!$A$2:$A$2657,$A254,Data!$B$2:$B$2657,$B254)</f>
        <v>273.592366</v>
      </c>
      <c r="E254" s="10" t="n">
        <f aca="false">IFERROR((SUMIFS(Data!$E$2:$E$2657,Data!$A$2:$A$2657,$A254,Data!$B$2:$B$2657,$B254,Data!$D$2:$D$2657,"Transmission")+SUMIFS(Data!$G$2:$G$2657,Data!$A$2:$A$2657,$A254,Data!$B$2:$B$2657,$B254,Data!$D$2:$D$2657,"Transmission"))/$D254,0)</f>
        <v>0.135879460174704</v>
      </c>
      <c r="F254" s="10" t="n">
        <f aca="false">IFERROR((SUMIFS(Data!$E$2:$E$2657,Data!$A$2:$A$2657,$A254,Data!$B$2:$B$2657,$B254,Data!$D$2:$D$2657,"Distribution")+SUMIFS(Data!$G$2:$G$2657,Data!$A$2:$A$2657,$A254,Data!$B$2:$B$2657,$B254,Data!$D$2:$D$2657,"Distribution"))/$D254,0)</f>
        <v>0.343798174544095</v>
      </c>
      <c r="G254" s="10" t="n">
        <f aca="false">IFERROR((SUMIFS(Data!$E$2:$E$2657,Data!$A$2:$A$2657,$A254,Data!$B$2:$B$2657,$B254,Data!$D$2:$D$2657,"RTO/market operation")+SUMIFS(Data!$G$2:$G$2657,Data!$A$2:$A$2657,$A254,Data!$B$2:$B$2657,$B254,Data!$D$2:$D$2657,"RTO/market operation"))/$D254,0)</f>
        <v>8.29774614398415E-005</v>
      </c>
      <c r="H254" s="10" t="n">
        <f aca="false">IFERROR((SUMIFS(Data!$E$2:$E$2657,Data!$A$2:$A$2657,$A254,Data!$B$2:$B$2657,$B254,Data!$D$2:$D$2657,"Customer accounts, service &amp; sales")+SUMIFS(Data!$G$2:$G$2657,Data!$A$2:$A$2657,$A254,Data!$B$2:$B$2657,$B254,Data!$D$2:$D$2657,"Customer accounts, service &amp; sales"))/$D254,0)</f>
        <v>0.0750567287392807</v>
      </c>
      <c r="I254" s="10" t="n">
        <f aca="false">IFERROR((SUMIFS(Data!$E$2:$E$2657,Data!$A$2:$A$2657,$A254,Data!$B$2:$B$2657,$B254,Data!$D$2:$D$2657,"A&amp;G and general")+SUMIFS(Data!$G$2:$G$2657,Data!$A$2:$A$2657,$A254,Data!$B$2:$B$2657,$B254,Data!$D$2:$D$2657,"A&amp;G and general"))/$D254,0)</f>
        <v>0.44518265908048</v>
      </c>
      <c r="J254" s="10" t="n">
        <f aca="false">IFERROR(SUMIFS(Data!$F$2:$F$2657,Data!$A$2:$A$2657,$A254,Data!$B$2:$B$2657,$B254)/$D254,0)</f>
        <v>0.000466507899566174</v>
      </c>
      <c r="K254" s="11" t="n">
        <f aca="false">SUM(E254:I254)</f>
        <v>1</v>
      </c>
    </row>
    <row r="255" customFormat="false" ht="15" hidden="false" customHeight="false" outlineLevel="0" collapsed="false">
      <c r="A255" s="7" t="n">
        <v>2008</v>
      </c>
      <c r="B255" s="12" t="s">
        <v>75</v>
      </c>
      <c r="C255" s="12" t="s">
        <v>57</v>
      </c>
      <c r="D255" s="9" t="n">
        <f aca="false">SUMIFS(Data!$E$2:$E$2657,Data!$A$2:$A$2657,$A255,Data!$B$2:$B$2657,$B255)+SUMIFS(Data!$G$2:$G$2657,Data!$A$2:$A$2657,$A255,Data!$B$2:$B$2657,$B255)</f>
        <v>734.724728</v>
      </c>
      <c r="E255" s="10" t="n">
        <f aca="false">IFERROR((SUMIFS(Data!$E$2:$E$2657,Data!$A$2:$A$2657,$A255,Data!$B$2:$B$2657,$B255,Data!$D$2:$D$2657,"Transmission")+SUMIFS(Data!$G$2:$G$2657,Data!$A$2:$A$2657,$A255,Data!$B$2:$B$2657,$B255,Data!$D$2:$D$2657,"Transmission"))/$D255,0)</f>
        <v>0.253475486672336</v>
      </c>
      <c r="F255" s="10" t="n">
        <f aca="false">IFERROR((SUMIFS(Data!$E$2:$E$2657,Data!$A$2:$A$2657,$A255,Data!$B$2:$B$2657,$B255,Data!$D$2:$D$2657,"Distribution")+SUMIFS(Data!$G$2:$G$2657,Data!$A$2:$A$2657,$A255,Data!$B$2:$B$2657,$B255,Data!$D$2:$D$2657,"Distribution"))/$D255,0)</f>
        <v>0.257785634240964</v>
      </c>
      <c r="G255" s="10" t="n">
        <f aca="false">IFERROR((SUMIFS(Data!$E$2:$E$2657,Data!$A$2:$A$2657,$A255,Data!$B$2:$B$2657,$B255,Data!$D$2:$D$2657,"RTO/market operation")+SUMIFS(Data!$G$2:$G$2657,Data!$A$2:$A$2657,$A255,Data!$B$2:$B$2657,$B255,Data!$D$2:$D$2657,"RTO/market operation"))/$D255,0)</f>
        <v>0.0136169610450351</v>
      </c>
      <c r="H255" s="10" t="n">
        <f aca="false">IFERROR((SUMIFS(Data!$E$2:$E$2657,Data!$A$2:$A$2657,$A255,Data!$B$2:$B$2657,$B255,Data!$D$2:$D$2657,"Customer accounts, service &amp; sales")+SUMIFS(Data!$G$2:$G$2657,Data!$A$2:$A$2657,$A255,Data!$B$2:$B$2657,$B255,Data!$D$2:$D$2657,"Customer accounts, service &amp; sales"))/$D255,0)</f>
        <v>0.171177857784038</v>
      </c>
      <c r="I255" s="10" t="n">
        <f aca="false">IFERROR((SUMIFS(Data!$E$2:$E$2657,Data!$A$2:$A$2657,$A255,Data!$B$2:$B$2657,$B255,Data!$D$2:$D$2657,"A&amp;G and general")+SUMIFS(Data!$G$2:$G$2657,Data!$A$2:$A$2657,$A255,Data!$B$2:$B$2657,$B255,Data!$D$2:$D$2657,"A&amp;G and general"))/$D255,0)</f>
        <v>0.303944060257626</v>
      </c>
      <c r="J255" s="10" t="n">
        <f aca="false">IFERROR(SUMIFS(Data!$F$2:$F$2657,Data!$A$2:$A$2657,$A255,Data!$B$2:$B$2657,$B255)/$D255,0)</f>
        <v>0.0925097269898884</v>
      </c>
      <c r="K255" s="11" t="n">
        <f aca="false">SUM(E255:I255)</f>
        <v>1</v>
      </c>
    </row>
    <row r="256" customFormat="false" ht="15" hidden="false" customHeight="false" outlineLevel="0" collapsed="false">
      <c r="A256" s="7" t="n">
        <v>2008</v>
      </c>
      <c r="B256" s="12" t="s">
        <v>76</v>
      </c>
      <c r="C256" s="12" t="s">
        <v>72</v>
      </c>
      <c r="D256" s="9" t="n">
        <f aca="false">SUMIFS(Data!$E$2:$E$2657,Data!$A$2:$A$2657,$A256,Data!$B$2:$B$2657,$B256)+SUMIFS(Data!$G$2:$G$2657,Data!$A$2:$A$2657,$A256,Data!$B$2:$B$2657,$B256)</f>
        <v>146.007698</v>
      </c>
      <c r="E256" s="10" t="n">
        <f aca="false">IFERROR((SUMIFS(Data!$E$2:$E$2657,Data!$A$2:$A$2657,$A256,Data!$B$2:$B$2657,$B256,Data!$D$2:$D$2657,"Transmission")+SUMIFS(Data!$G$2:$G$2657,Data!$A$2:$A$2657,$A256,Data!$B$2:$B$2657,$B256,Data!$D$2:$D$2657,"Transmission"))/$D256,0)</f>
        <v>0.343866985698247</v>
      </c>
      <c r="F256" s="10" t="n">
        <f aca="false">IFERROR((SUMIFS(Data!$E$2:$E$2657,Data!$A$2:$A$2657,$A256,Data!$B$2:$B$2657,$B256,Data!$D$2:$D$2657,"Distribution")+SUMIFS(Data!$G$2:$G$2657,Data!$A$2:$A$2657,$A256,Data!$B$2:$B$2657,$B256,Data!$D$2:$D$2657,"Distribution"))/$D256,0)</f>
        <v>0.270848274041003</v>
      </c>
      <c r="G256" s="10" t="n">
        <f aca="false">IFERROR((SUMIFS(Data!$E$2:$E$2657,Data!$A$2:$A$2657,$A256,Data!$B$2:$B$2657,$B256,Data!$D$2:$D$2657,"RTO/market operation")+SUMIFS(Data!$G$2:$G$2657,Data!$A$2:$A$2657,$A256,Data!$B$2:$B$2657,$B256,Data!$D$2:$D$2657,"RTO/market operation"))/$D256,0)</f>
        <v>0</v>
      </c>
      <c r="H256" s="10" t="n">
        <f aca="false">IFERROR((SUMIFS(Data!$E$2:$E$2657,Data!$A$2:$A$2657,$A256,Data!$B$2:$B$2657,$B256,Data!$D$2:$D$2657,"Customer accounts, service &amp; sales")+SUMIFS(Data!$G$2:$G$2657,Data!$A$2:$A$2657,$A256,Data!$B$2:$B$2657,$B256,Data!$D$2:$D$2657,"Customer accounts, service &amp; sales"))/$D256,0)</f>
        <v>0.138485348902631</v>
      </c>
      <c r="I256" s="10" t="n">
        <f aca="false">IFERROR((SUMIFS(Data!$E$2:$E$2657,Data!$A$2:$A$2657,$A256,Data!$B$2:$B$2657,$B256,Data!$D$2:$D$2657,"A&amp;G and general")+SUMIFS(Data!$G$2:$G$2657,Data!$A$2:$A$2657,$A256,Data!$B$2:$B$2657,$B256,Data!$D$2:$D$2657,"A&amp;G and general"))/$D256,0)</f>
        <v>0.246799391358119</v>
      </c>
      <c r="J256" s="10" t="n">
        <f aca="false">IFERROR(SUMIFS(Data!$F$2:$F$2657,Data!$A$2:$A$2657,$A256,Data!$B$2:$B$2657,$B256)/$D256,0)</f>
        <v>0</v>
      </c>
      <c r="K256" s="11" t="n">
        <f aca="false">SUM(E256:I256)</f>
        <v>1</v>
      </c>
    </row>
    <row r="257" customFormat="false" ht="15" hidden="false" customHeight="false" outlineLevel="0" collapsed="false">
      <c r="A257" s="7" t="n">
        <v>2008</v>
      </c>
      <c r="B257" s="12" t="s">
        <v>77</v>
      </c>
      <c r="C257" s="12" t="s">
        <v>57</v>
      </c>
      <c r="D257" s="9" t="n">
        <f aca="false">SUMIFS(Data!$E$2:$E$2657,Data!$A$2:$A$2657,$A257,Data!$B$2:$B$2657,$B257)+SUMIFS(Data!$G$2:$G$2657,Data!$A$2:$A$2657,$A257,Data!$B$2:$B$2657,$B257)</f>
        <v>95.051905</v>
      </c>
      <c r="E257" s="10" t="n">
        <f aca="false">IFERROR((SUMIFS(Data!$E$2:$E$2657,Data!$A$2:$A$2657,$A257,Data!$B$2:$B$2657,$B257,Data!$D$2:$D$2657,"Transmission")+SUMIFS(Data!$G$2:$G$2657,Data!$A$2:$A$2657,$A257,Data!$B$2:$B$2657,$B257,Data!$D$2:$D$2657,"Transmission"))/$D257,0)</f>
        <v>0.14128165027308</v>
      </c>
      <c r="F257" s="10" t="n">
        <f aca="false">IFERROR((SUMIFS(Data!$E$2:$E$2657,Data!$A$2:$A$2657,$A257,Data!$B$2:$B$2657,$B257,Data!$D$2:$D$2657,"Distribution")+SUMIFS(Data!$G$2:$G$2657,Data!$A$2:$A$2657,$A257,Data!$B$2:$B$2657,$B257,Data!$D$2:$D$2657,"Distribution"))/$D257,0)</f>
        <v>0.25255487514953</v>
      </c>
      <c r="G257" s="10" t="n">
        <f aca="false">IFERROR((SUMIFS(Data!$E$2:$E$2657,Data!$A$2:$A$2657,$A257,Data!$B$2:$B$2657,$B257,Data!$D$2:$D$2657,"RTO/market operation")+SUMIFS(Data!$G$2:$G$2657,Data!$A$2:$A$2657,$A257,Data!$B$2:$B$2657,$B257,Data!$D$2:$D$2657,"RTO/market operation"))/$D257,0)</f>
        <v>0.0158040283358866</v>
      </c>
      <c r="H257" s="10" t="n">
        <f aca="false">IFERROR((SUMIFS(Data!$E$2:$E$2657,Data!$A$2:$A$2657,$A257,Data!$B$2:$B$2657,$B257,Data!$D$2:$D$2657,"Customer accounts, service &amp; sales")+SUMIFS(Data!$G$2:$G$2657,Data!$A$2:$A$2657,$A257,Data!$B$2:$B$2657,$B257,Data!$D$2:$D$2657,"Customer accounts, service &amp; sales"))/$D257,0)</f>
        <v>0.183857009493918</v>
      </c>
      <c r="I257" s="10" t="n">
        <f aca="false">IFERROR((SUMIFS(Data!$E$2:$E$2657,Data!$A$2:$A$2657,$A257,Data!$B$2:$B$2657,$B257,Data!$D$2:$D$2657,"A&amp;G and general")+SUMIFS(Data!$G$2:$G$2657,Data!$A$2:$A$2657,$A257,Data!$B$2:$B$2657,$B257,Data!$D$2:$D$2657,"A&amp;G and general"))/$D257,0)</f>
        <v>0.406502436747585</v>
      </c>
      <c r="J257" s="10" t="n">
        <f aca="false">IFERROR(SUMIFS(Data!$F$2:$F$2657,Data!$A$2:$A$2657,$A257,Data!$B$2:$B$2657,$B257)/$D257,0)</f>
        <v>0.000438297370263121</v>
      </c>
      <c r="K257" s="11" t="n">
        <f aca="false">SUM(E257:I257)</f>
        <v>1</v>
      </c>
    </row>
    <row r="258" customFormat="false" ht="15" hidden="false" customHeight="false" outlineLevel="0" collapsed="false">
      <c r="A258" s="7" t="n">
        <v>2008</v>
      </c>
      <c r="B258" s="12" t="s">
        <v>78</v>
      </c>
      <c r="C258" s="12" t="s">
        <v>65</v>
      </c>
      <c r="D258" s="9" t="n">
        <f aca="false">SUMIFS(Data!$E$2:$E$2657,Data!$A$2:$A$2657,$A258,Data!$B$2:$B$2657,$B258)+SUMIFS(Data!$G$2:$G$2657,Data!$A$2:$A$2657,$A258,Data!$B$2:$B$2657,$B258)</f>
        <v>84.948091</v>
      </c>
      <c r="E258" s="10" t="n">
        <f aca="false">IFERROR((SUMIFS(Data!$E$2:$E$2657,Data!$A$2:$A$2657,$A258,Data!$B$2:$B$2657,$B258,Data!$D$2:$D$2657,"Transmission")+SUMIFS(Data!$G$2:$G$2657,Data!$A$2:$A$2657,$A258,Data!$B$2:$B$2657,$B258,Data!$D$2:$D$2657,"Transmission"))/$D258,0)</f>
        <v>0.165298229009054</v>
      </c>
      <c r="F258" s="10" t="n">
        <f aca="false">IFERROR((SUMIFS(Data!$E$2:$E$2657,Data!$A$2:$A$2657,$A258,Data!$B$2:$B$2657,$B258,Data!$D$2:$D$2657,"Distribution")+SUMIFS(Data!$G$2:$G$2657,Data!$A$2:$A$2657,$A258,Data!$B$2:$B$2657,$B258,Data!$D$2:$D$2657,"Distribution"))/$D258,0)</f>
        <v>0.328535940848865</v>
      </c>
      <c r="G258" s="10" t="n">
        <f aca="false">IFERROR((SUMIFS(Data!$E$2:$E$2657,Data!$A$2:$A$2657,$A258,Data!$B$2:$B$2657,$B258,Data!$D$2:$D$2657,"RTO/market operation")+SUMIFS(Data!$G$2:$G$2657,Data!$A$2:$A$2657,$A258,Data!$B$2:$B$2657,$B258,Data!$D$2:$D$2657,"RTO/market operation"))/$D258,0)</f>
        <v>0</v>
      </c>
      <c r="H258" s="10" t="n">
        <f aca="false">IFERROR((SUMIFS(Data!$E$2:$E$2657,Data!$A$2:$A$2657,$A258,Data!$B$2:$B$2657,$B258,Data!$D$2:$D$2657,"Customer accounts, service &amp; sales")+SUMIFS(Data!$G$2:$G$2657,Data!$A$2:$A$2657,$A258,Data!$B$2:$B$2657,$B258,Data!$D$2:$D$2657,"Customer accounts, service &amp; sales"))/$D258,0)</f>
        <v>0.100576739270103</v>
      </c>
      <c r="I258" s="10" t="n">
        <f aca="false">IFERROR((SUMIFS(Data!$E$2:$E$2657,Data!$A$2:$A$2657,$A258,Data!$B$2:$B$2657,$B258,Data!$D$2:$D$2657,"A&amp;G and general")+SUMIFS(Data!$G$2:$G$2657,Data!$A$2:$A$2657,$A258,Data!$B$2:$B$2657,$B258,Data!$D$2:$D$2657,"A&amp;G and general"))/$D258,0)</f>
        <v>0.405589090871977</v>
      </c>
      <c r="J258" s="10" t="n">
        <f aca="false">IFERROR(SUMIFS(Data!$F$2:$F$2657,Data!$A$2:$A$2657,$A258,Data!$B$2:$B$2657,$B258)/$D258,0)</f>
        <v>0</v>
      </c>
      <c r="K258" s="11" t="n">
        <f aca="false">SUM(E258:I258)</f>
        <v>1</v>
      </c>
    </row>
    <row r="259" customFormat="false" ht="15" hidden="false" customHeight="false" outlineLevel="0" collapsed="false">
      <c r="A259" s="7" t="n">
        <v>2008</v>
      </c>
      <c r="B259" s="12" t="s">
        <v>79</v>
      </c>
      <c r="C259" s="12" t="s">
        <v>72</v>
      </c>
      <c r="D259" s="9" t="n">
        <f aca="false">SUMIFS(Data!$E$2:$E$2657,Data!$A$2:$A$2657,$A259,Data!$B$2:$B$2657,$B259)+SUMIFS(Data!$G$2:$G$2657,Data!$A$2:$A$2657,$A259,Data!$B$2:$B$2657,$B259)</f>
        <v>780.841704</v>
      </c>
      <c r="E259" s="10" t="n">
        <f aca="false">IFERROR((SUMIFS(Data!$E$2:$E$2657,Data!$A$2:$A$2657,$A259,Data!$B$2:$B$2657,$B259,Data!$D$2:$D$2657,"Transmission")+SUMIFS(Data!$G$2:$G$2657,Data!$A$2:$A$2657,$A259,Data!$B$2:$B$2657,$B259,Data!$D$2:$D$2657,"Transmission"))/$D259,0)</f>
        <v>0.319579581522966</v>
      </c>
      <c r="F259" s="10" t="n">
        <f aca="false">IFERROR((SUMIFS(Data!$E$2:$E$2657,Data!$A$2:$A$2657,$A259,Data!$B$2:$B$2657,$B259,Data!$D$2:$D$2657,"Distribution")+SUMIFS(Data!$G$2:$G$2657,Data!$A$2:$A$2657,$A259,Data!$B$2:$B$2657,$B259,Data!$D$2:$D$2657,"Distribution"))/$D259,0)</f>
        <v>0.237852121689443</v>
      </c>
      <c r="G259" s="10" t="n">
        <f aca="false">IFERROR((SUMIFS(Data!$E$2:$E$2657,Data!$A$2:$A$2657,$A259,Data!$B$2:$B$2657,$B259,Data!$D$2:$D$2657,"RTO/market operation")+SUMIFS(Data!$G$2:$G$2657,Data!$A$2:$A$2657,$A259,Data!$B$2:$B$2657,$B259,Data!$D$2:$D$2657,"RTO/market operation"))/$D259,0)</f>
        <v>0.00710526854749039</v>
      </c>
      <c r="H259" s="10" t="n">
        <f aca="false">IFERROR((SUMIFS(Data!$E$2:$E$2657,Data!$A$2:$A$2657,$A259,Data!$B$2:$B$2657,$B259,Data!$D$2:$D$2657,"Customer accounts, service &amp; sales")+SUMIFS(Data!$G$2:$G$2657,Data!$A$2:$A$2657,$A259,Data!$B$2:$B$2657,$B259,Data!$D$2:$D$2657,"Customer accounts, service &amp; sales"))/$D259,0)</f>
        <v>0.187078310817272</v>
      </c>
      <c r="I259" s="10" t="n">
        <f aca="false">IFERROR((SUMIFS(Data!$E$2:$E$2657,Data!$A$2:$A$2657,$A259,Data!$B$2:$B$2657,$B259,Data!$D$2:$D$2657,"A&amp;G and general")+SUMIFS(Data!$G$2:$G$2657,Data!$A$2:$A$2657,$A259,Data!$B$2:$B$2657,$B259,Data!$D$2:$D$2657,"A&amp;G and general"))/$D259,0)</f>
        <v>0.248384717422829</v>
      </c>
      <c r="J259" s="10" t="n">
        <f aca="false">IFERROR(SUMIFS(Data!$F$2:$F$2657,Data!$A$2:$A$2657,$A259,Data!$B$2:$B$2657,$B259)/$D259,0)</f>
        <v>0.311566816620748</v>
      </c>
      <c r="K259" s="11" t="n">
        <f aca="false">SUM(E259:I259)</f>
        <v>1</v>
      </c>
    </row>
    <row r="260" customFormat="false" ht="15" hidden="false" customHeight="false" outlineLevel="0" collapsed="false">
      <c r="A260" s="7" t="n">
        <v>2008</v>
      </c>
      <c r="B260" s="12" t="s">
        <v>80</v>
      </c>
      <c r="C260" s="12" t="s">
        <v>72</v>
      </c>
      <c r="D260" s="9" t="n">
        <f aca="false">SUMIFS(Data!$E$2:$E$2657,Data!$A$2:$A$2657,$A260,Data!$B$2:$B$2657,$B260)+SUMIFS(Data!$G$2:$G$2657,Data!$A$2:$A$2657,$A260,Data!$B$2:$B$2657,$B260)</f>
        <v>291.082588</v>
      </c>
      <c r="E260" s="10" t="n">
        <f aca="false">IFERROR((SUMIFS(Data!$E$2:$E$2657,Data!$A$2:$A$2657,$A260,Data!$B$2:$B$2657,$B260,Data!$D$2:$D$2657,"Transmission")+SUMIFS(Data!$G$2:$G$2657,Data!$A$2:$A$2657,$A260,Data!$B$2:$B$2657,$B260,Data!$D$2:$D$2657,"Transmission"))/$D260,0)</f>
        <v>0.328597885765671</v>
      </c>
      <c r="F260" s="10" t="n">
        <f aca="false">IFERROR((SUMIFS(Data!$E$2:$E$2657,Data!$A$2:$A$2657,$A260,Data!$B$2:$B$2657,$B260,Data!$D$2:$D$2657,"Distribution")+SUMIFS(Data!$G$2:$G$2657,Data!$A$2:$A$2657,$A260,Data!$B$2:$B$2657,$B260,Data!$D$2:$D$2657,"Distribution"))/$D260,0)</f>
        <v>0.220210313644731</v>
      </c>
      <c r="G260" s="10" t="n">
        <f aca="false">IFERROR((SUMIFS(Data!$E$2:$E$2657,Data!$A$2:$A$2657,$A260,Data!$B$2:$B$2657,$B260,Data!$D$2:$D$2657,"RTO/market operation")+SUMIFS(Data!$G$2:$G$2657,Data!$A$2:$A$2657,$A260,Data!$B$2:$B$2657,$B260,Data!$D$2:$D$2657,"RTO/market operation"))/$D260,0)</f>
        <v>0.00631468207229214</v>
      </c>
      <c r="H260" s="10" t="n">
        <f aca="false">IFERROR((SUMIFS(Data!$E$2:$E$2657,Data!$A$2:$A$2657,$A260,Data!$B$2:$B$2657,$B260,Data!$D$2:$D$2657,"Customer accounts, service &amp; sales")+SUMIFS(Data!$G$2:$G$2657,Data!$A$2:$A$2657,$A260,Data!$B$2:$B$2657,$B260,Data!$D$2:$D$2657,"Customer accounts, service &amp; sales"))/$D260,0)</f>
        <v>0.167897342591993</v>
      </c>
      <c r="I260" s="10" t="n">
        <f aca="false">IFERROR((SUMIFS(Data!$E$2:$E$2657,Data!$A$2:$A$2657,$A260,Data!$B$2:$B$2657,$B260,Data!$D$2:$D$2657,"A&amp;G and general")+SUMIFS(Data!$G$2:$G$2657,Data!$A$2:$A$2657,$A260,Data!$B$2:$B$2657,$B260,Data!$D$2:$D$2657,"A&amp;G and general"))/$D260,0)</f>
        <v>0.276979775925312</v>
      </c>
      <c r="J260" s="10" t="n">
        <f aca="false">IFERROR(SUMIFS(Data!$F$2:$F$2657,Data!$A$2:$A$2657,$A260,Data!$B$2:$B$2657,$B260)/$D260,0)</f>
        <v>0.320135857799918</v>
      </c>
      <c r="K260" s="11" t="n">
        <f aca="false">SUM(E260:I260)</f>
        <v>1</v>
      </c>
    </row>
    <row r="261" customFormat="false" ht="15" hidden="false" customHeight="false" outlineLevel="0" collapsed="false">
      <c r="A261" s="7" t="n">
        <v>2008</v>
      </c>
      <c r="B261" s="12" t="s">
        <v>81</v>
      </c>
      <c r="C261" s="12" t="s">
        <v>72</v>
      </c>
      <c r="D261" s="9" t="n">
        <f aca="false">SUMIFS(Data!$E$2:$E$2657,Data!$A$2:$A$2657,$A261,Data!$B$2:$B$2657,$B261)+SUMIFS(Data!$G$2:$G$2657,Data!$A$2:$A$2657,$A261,Data!$B$2:$B$2657,$B261)</f>
        <v>301.487905</v>
      </c>
      <c r="E261" s="10" t="n">
        <f aca="false">IFERROR((SUMIFS(Data!$E$2:$E$2657,Data!$A$2:$A$2657,$A261,Data!$B$2:$B$2657,$B261,Data!$D$2:$D$2657,"Transmission")+SUMIFS(Data!$G$2:$G$2657,Data!$A$2:$A$2657,$A261,Data!$B$2:$B$2657,$B261,Data!$D$2:$D$2657,"Transmission"))/$D261,0)</f>
        <v>0.31203578796967</v>
      </c>
      <c r="F261" s="10" t="n">
        <f aca="false">IFERROR((SUMIFS(Data!$E$2:$E$2657,Data!$A$2:$A$2657,$A261,Data!$B$2:$B$2657,$B261,Data!$D$2:$D$2657,"Distribution")+SUMIFS(Data!$G$2:$G$2657,Data!$A$2:$A$2657,$A261,Data!$B$2:$B$2657,$B261,Data!$D$2:$D$2657,"Distribution"))/$D261,0)</f>
        <v>0.236006873973933</v>
      </c>
      <c r="G261" s="10" t="n">
        <f aca="false">IFERROR((SUMIFS(Data!$E$2:$E$2657,Data!$A$2:$A$2657,$A261,Data!$B$2:$B$2657,$B261,Data!$D$2:$D$2657,"RTO/market operation")+SUMIFS(Data!$G$2:$G$2657,Data!$A$2:$A$2657,$A261,Data!$B$2:$B$2657,$B261,Data!$D$2:$D$2657,"RTO/market operation"))/$D261,0)</f>
        <v>0.00748789574162187</v>
      </c>
      <c r="H261" s="10" t="n">
        <f aca="false">IFERROR((SUMIFS(Data!$E$2:$E$2657,Data!$A$2:$A$2657,$A261,Data!$B$2:$B$2657,$B261,Data!$D$2:$D$2657,"Customer accounts, service &amp; sales")+SUMIFS(Data!$G$2:$G$2657,Data!$A$2:$A$2657,$A261,Data!$B$2:$B$2657,$B261,Data!$D$2:$D$2657,"Customer accounts, service &amp; sales"))/$D261,0)</f>
        <v>0.120288205259843</v>
      </c>
      <c r="I261" s="10" t="n">
        <f aca="false">IFERROR((SUMIFS(Data!$E$2:$E$2657,Data!$A$2:$A$2657,$A261,Data!$B$2:$B$2657,$B261,Data!$D$2:$D$2657,"A&amp;G and general")+SUMIFS(Data!$G$2:$G$2657,Data!$A$2:$A$2657,$A261,Data!$B$2:$B$2657,$B261,Data!$D$2:$D$2657,"A&amp;G and general"))/$D261,0)</f>
        <v>0.324181237054933</v>
      </c>
      <c r="J261" s="10" t="n">
        <f aca="false">IFERROR(SUMIFS(Data!$F$2:$F$2657,Data!$A$2:$A$2657,$A261,Data!$B$2:$B$2657,$B261)/$D261,0)</f>
        <v>0.301326505950546</v>
      </c>
      <c r="K261" s="11" t="n">
        <f aca="false">SUM(E261:I261)</f>
        <v>1</v>
      </c>
    </row>
    <row r="262" customFormat="false" ht="15" hidden="false" customHeight="false" outlineLevel="0" collapsed="false">
      <c r="A262" s="7" t="n">
        <v>2009</v>
      </c>
      <c r="B262" s="12" t="s">
        <v>56</v>
      </c>
      <c r="C262" s="12" t="s">
        <v>57</v>
      </c>
      <c r="D262" s="9" t="n">
        <f aca="false">SUMIFS(Data!$E$2:$E$2657,Data!$A$2:$A$2657,$A262,Data!$B$2:$B$2657,$B262)+SUMIFS(Data!$G$2:$G$2657,Data!$A$2:$A$2657,$A262,Data!$B$2:$B$2657,$B262)</f>
        <v>138.847162</v>
      </c>
      <c r="E262" s="10" t="n">
        <f aca="false">IFERROR((SUMIFS(Data!$E$2:$E$2657,Data!$A$2:$A$2657,$A262,Data!$B$2:$B$2657,$B262,Data!$D$2:$D$2657,"Transmission")+SUMIFS(Data!$G$2:$G$2657,Data!$A$2:$A$2657,$A262,Data!$B$2:$B$2657,$B262,Data!$D$2:$D$2657,"Transmission"))/$D262,0)</f>
        <v>0.198810970295525</v>
      </c>
      <c r="F262" s="10" t="n">
        <f aca="false">IFERROR((SUMIFS(Data!$E$2:$E$2657,Data!$A$2:$A$2657,$A262,Data!$B$2:$B$2657,$B262,Data!$D$2:$D$2657,"Distribution")+SUMIFS(Data!$G$2:$G$2657,Data!$A$2:$A$2657,$A262,Data!$B$2:$B$2657,$B262,Data!$D$2:$D$2657,"Distribution"))/$D262,0)</f>
        <v>0.255188089476399</v>
      </c>
      <c r="G262" s="10" t="n">
        <f aca="false">IFERROR((SUMIFS(Data!$E$2:$E$2657,Data!$A$2:$A$2657,$A262,Data!$B$2:$B$2657,$B262,Data!$D$2:$D$2657,"RTO/market operation")+SUMIFS(Data!$G$2:$G$2657,Data!$A$2:$A$2657,$A262,Data!$B$2:$B$2657,$B262,Data!$D$2:$D$2657,"RTO/market operation"))/$D262,0)</f>
        <v>0.000498937097468366</v>
      </c>
      <c r="H262" s="10" t="n">
        <f aca="false">IFERROR((SUMIFS(Data!$E$2:$E$2657,Data!$A$2:$A$2657,$A262,Data!$B$2:$B$2657,$B262,Data!$D$2:$D$2657,"Customer accounts, service &amp; sales")+SUMIFS(Data!$G$2:$G$2657,Data!$A$2:$A$2657,$A262,Data!$B$2:$B$2657,$B262,Data!$D$2:$D$2657,"Customer accounts, service &amp; sales"))/$D262,0)</f>
        <v>0.121735883949864</v>
      </c>
      <c r="I262" s="10" t="n">
        <f aca="false">IFERROR((SUMIFS(Data!$E$2:$E$2657,Data!$A$2:$A$2657,$A262,Data!$B$2:$B$2657,$B262,Data!$D$2:$D$2657,"A&amp;G and general")+SUMIFS(Data!$G$2:$G$2657,Data!$A$2:$A$2657,$A262,Data!$B$2:$B$2657,$B262,Data!$D$2:$D$2657,"A&amp;G and general"))/$D262,0)</f>
        <v>0.423766119180744</v>
      </c>
      <c r="J262" s="10" t="n">
        <f aca="false">IFERROR(SUMIFS(Data!$F$2:$F$2657,Data!$A$2:$A$2657,$A262,Data!$B$2:$B$2657,$B262)/$D262,0)</f>
        <v>0.0666387621232042</v>
      </c>
      <c r="K262" s="11" t="n">
        <f aca="false">SUM(E262:I262)</f>
        <v>1</v>
      </c>
    </row>
    <row r="263" customFormat="false" ht="15" hidden="false" customHeight="false" outlineLevel="0" collapsed="false">
      <c r="A263" s="7" t="n">
        <v>2009</v>
      </c>
      <c r="B263" s="12" t="s">
        <v>58</v>
      </c>
      <c r="C263" s="12" t="s">
        <v>59</v>
      </c>
      <c r="D263" s="9" t="n">
        <f aca="false">SUMIFS(Data!$E$2:$E$2657,Data!$A$2:$A$2657,$A263,Data!$B$2:$B$2657,$B263)+SUMIFS(Data!$G$2:$G$2657,Data!$A$2:$A$2657,$A263,Data!$B$2:$B$2657,$B263)</f>
        <v>664.388383</v>
      </c>
      <c r="E263" s="10" t="n">
        <f aca="false">IFERROR((SUMIFS(Data!$E$2:$E$2657,Data!$A$2:$A$2657,$A263,Data!$B$2:$B$2657,$B263,Data!$D$2:$D$2657,"Transmission")+SUMIFS(Data!$G$2:$G$2657,Data!$A$2:$A$2657,$A263,Data!$B$2:$B$2657,$B263,Data!$D$2:$D$2657,"Transmission"))/$D263,0)</f>
        <v>0.0633584663385061</v>
      </c>
      <c r="F263" s="10" t="n">
        <f aca="false">IFERROR((SUMIFS(Data!$E$2:$E$2657,Data!$A$2:$A$2657,$A263,Data!$B$2:$B$2657,$B263,Data!$D$2:$D$2657,"Distribution")+SUMIFS(Data!$G$2:$G$2657,Data!$A$2:$A$2657,$A263,Data!$B$2:$B$2657,$B263,Data!$D$2:$D$2657,"Distribution"))/$D263,0)</f>
        <v>0.496609736778013</v>
      </c>
      <c r="G263" s="10" t="n">
        <f aca="false">IFERROR((SUMIFS(Data!$E$2:$E$2657,Data!$A$2:$A$2657,$A263,Data!$B$2:$B$2657,$B263,Data!$D$2:$D$2657,"RTO/market operation")+SUMIFS(Data!$G$2:$G$2657,Data!$A$2:$A$2657,$A263,Data!$B$2:$B$2657,$B263,Data!$D$2:$D$2657,"RTO/market operation"))/$D263,0)</f>
        <v>0.00178484758364597</v>
      </c>
      <c r="H263" s="10" t="n">
        <f aca="false">IFERROR((SUMIFS(Data!$E$2:$E$2657,Data!$A$2:$A$2657,$A263,Data!$B$2:$B$2657,$B263,Data!$D$2:$D$2657,"Customer accounts, service &amp; sales")+SUMIFS(Data!$G$2:$G$2657,Data!$A$2:$A$2657,$A263,Data!$B$2:$B$2657,$B263,Data!$D$2:$D$2657,"Customer accounts, service &amp; sales"))/$D263,0)</f>
        <v>0.0929110164769392</v>
      </c>
      <c r="I263" s="10" t="n">
        <f aca="false">IFERROR((SUMIFS(Data!$E$2:$E$2657,Data!$A$2:$A$2657,$A263,Data!$B$2:$B$2657,$B263,Data!$D$2:$D$2657,"A&amp;G and general")+SUMIFS(Data!$G$2:$G$2657,Data!$A$2:$A$2657,$A263,Data!$B$2:$B$2657,$B263,Data!$D$2:$D$2657,"A&amp;G and general"))/$D263,0)</f>
        <v>0.345335932822895</v>
      </c>
      <c r="J263" s="10" t="n">
        <f aca="false">IFERROR(SUMIFS(Data!$F$2:$F$2657,Data!$A$2:$A$2657,$A263,Data!$B$2:$B$2657,$B263)/$D263,0)</f>
        <v>0.00920776485039775</v>
      </c>
      <c r="K263" s="11" t="n">
        <f aca="false">SUM(E263:I263)</f>
        <v>1</v>
      </c>
    </row>
    <row r="264" customFormat="false" ht="15" hidden="false" customHeight="false" outlineLevel="0" collapsed="false">
      <c r="A264" s="7" t="n">
        <v>2009</v>
      </c>
      <c r="B264" s="12" t="s">
        <v>60</v>
      </c>
      <c r="C264" s="12" t="s">
        <v>59</v>
      </c>
      <c r="D264" s="9" t="n">
        <f aca="false">SUMIFS(Data!$E$2:$E$2657,Data!$A$2:$A$2657,$A264,Data!$B$2:$B$2657,$B264)+SUMIFS(Data!$G$2:$G$2657,Data!$A$2:$A$2657,$A264,Data!$B$2:$B$2657,$B264)</f>
        <v>1864.635208</v>
      </c>
      <c r="E264" s="10" t="n">
        <f aca="false">IFERROR((SUMIFS(Data!$E$2:$E$2657,Data!$A$2:$A$2657,$A264,Data!$B$2:$B$2657,$B264,Data!$D$2:$D$2657,"Transmission")+SUMIFS(Data!$G$2:$G$2657,Data!$A$2:$A$2657,$A264,Data!$B$2:$B$2657,$B264,Data!$D$2:$D$2657,"Transmission"))/$D264,0)</f>
        <v>0.238339409817687</v>
      </c>
      <c r="F264" s="10" t="n">
        <f aca="false">IFERROR((SUMIFS(Data!$E$2:$E$2657,Data!$A$2:$A$2657,$A264,Data!$B$2:$B$2657,$B264,Data!$D$2:$D$2657,"Distribution")+SUMIFS(Data!$G$2:$G$2657,Data!$A$2:$A$2657,$A264,Data!$B$2:$B$2657,$B264,Data!$D$2:$D$2657,"Distribution"))/$D264,0)</f>
        <v>0.320654076161797</v>
      </c>
      <c r="G264" s="10" t="n">
        <f aca="false">IFERROR((SUMIFS(Data!$E$2:$E$2657,Data!$A$2:$A$2657,$A264,Data!$B$2:$B$2657,$B264,Data!$D$2:$D$2657,"RTO/market operation")+SUMIFS(Data!$G$2:$G$2657,Data!$A$2:$A$2657,$A264,Data!$B$2:$B$2657,$B264,Data!$D$2:$D$2657,"RTO/market operation"))/$D264,0)</f>
        <v>0.00046325039680362</v>
      </c>
      <c r="H264" s="10" t="n">
        <f aca="false">IFERROR((SUMIFS(Data!$E$2:$E$2657,Data!$A$2:$A$2657,$A264,Data!$B$2:$B$2657,$B264,Data!$D$2:$D$2657,"Customer accounts, service &amp; sales")+SUMIFS(Data!$G$2:$G$2657,Data!$A$2:$A$2657,$A264,Data!$B$2:$B$2657,$B264,Data!$D$2:$D$2657,"Customer accounts, service &amp; sales"))/$D264,0)</f>
        <v>0.16868074283407</v>
      </c>
      <c r="I264" s="10" t="n">
        <f aca="false">IFERROR((SUMIFS(Data!$E$2:$E$2657,Data!$A$2:$A$2657,$A264,Data!$B$2:$B$2657,$B264,Data!$D$2:$D$2657,"A&amp;G and general")+SUMIFS(Data!$G$2:$G$2657,Data!$A$2:$A$2657,$A264,Data!$B$2:$B$2657,$B264,Data!$D$2:$D$2657,"A&amp;G and general"))/$D264,0)</f>
        <v>0.271862520789643</v>
      </c>
      <c r="J264" s="10" t="n">
        <f aca="false">IFERROR(SUMIFS(Data!$F$2:$F$2657,Data!$A$2:$A$2657,$A264,Data!$B$2:$B$2657,$B264)/$D264,0)</f>
        <v>0.00117826961036338</v>
      </c>
      <c r="K264" s="11" t="n">
        <f aca="false">SUM(E264:I264)</f>
        <v>1</v>
      </c>
    </row>
    <row r="265" customFormat="false" ht="15" hidden="false" customHeight="false" outlineLevel="0" collapsed="false">
      <c r="A265" s="7" t="n">
        <v>2009</v>
      </c>
      <c r="B265" s="12" t="s">
        <v>61</v>
      </c>
      <c r="C265" s="12" t="s">
        <v>62</v>
      </c>
      <c r="D265" s="9" t="n">
        <f aca="false">SUMIFS(Data!$E$2:$E$2657,Data!$A$2:$A$2657,$A265,Data!$B$2:$B$2657,$B265)+SUMIFS(Data!$G$2:$G$2657,Data!$A$2:$A$2657,$A265,Data!$B$2:$B$2657,$B265)</f>
        <v>886.340859</v>
      </c>
      <c r="E265" s="10" t="n">
        <f aca="false">IFERROR((SUMIFS(Data!$E$2:$E$2657,Data!$A$2:$A$2657,$A265,Data!$B$2:$B$2657,$B265,Data!$D$2:$D$2657,"Transmission")+SUMIFS(Data!$G$2:$G$2657,Data!$A$2:$A$2657,$A265,Data!$B$2:$B$2657,$B265,Data!$D$2:$D$2657,"Transmission"))/$D265,0)</f>
        <v>0.25407229026322</v>
      </c>
      <c r="F265" s="10" t="n">
        <f aca="false">IFERROR((SUMIFS(Data!$E$2:$E$2657,Data!$A$2:$A$2657,$A265,Data!$B$2:$B$2657,$B265,Data!$D$2:$D$2657,"Distribution")+SUMIFS(Data!$G$2:$G$2657,Data!$A$2:$A$2657,$A265,Data!$B$2:$B$2657,$B265,Data!$D$2:$D$2657,"Distribution"))/$D265,0)</f>
        <v>0.324548100292418</v>
      </c>
      <c r="G265" s="10" t="n">
        <f aca="false">IFERROR((SUMIFS(Data!$E$2:$E$2657,Data!$A$2:$A$2657,$A265,Data!$B$2:$B$2657,$B265,Data!$D$2:$D$2657,"RTO/market operation")+SUMIFS(Data!$G$2:$G$2657,Data!$A$2:$A$2657,$A265,Data!$B$2:$B$2657,$B265,Data!$D$2:$D$2657,"RTO/market operation"))/$D265,0)</f>
        <v>0.00971258846141042</v>
      </c>
      <c r="H265" s="10" t="n">
        <f aca="false">IFERROR((SUMIFS(Data!$E$2:$E$2657,Data!$A$2:$A$2657,$A265,Data!$B$2:$B$2657,$B265,Data!$D$2:$D$2657,"Customer accounts, service &amp; sales")+SUMIFS(Data!$G$2:$G$2657,Data!$A$2:$A$2657,$A265,Data!$B$2:$B$2657,$B265,Data!$D$2:$D$2657,"Customer accounts, service &amp; sales"))/$D265,0)</f>
        <v>0.128572206553326</v>
      </c>
      <c r="I265" s="10" t="n">
        <f aca="false">IFERROR((SUMIFS(Data!$E$2:$E$2657,Data!$A$2:$A$2657,$A265,Data!$B$2:$B$2657,$B265,Data!$D$2:$D$2657,"A&amp;G and general")+SUMIFS(Data!$G$2:$G$2657,Data!$A$2:$A$2657,$A265,Data!$B$2:$B$2657,$B265,Data!$D$2:$D$2657,"A&amp;G and general"))/$D265,0)</f>
        <v>0.283094814429626</v>
      </c>
      <c r="J265" s="10" t="n">
        <f aca="false">IFERROR(SUMIFS(Data!$F$2:$F$2657,Data!$A$2:$A$2657,$A265,Data!$B$2:$B$2657,$B265)/$D265,0)</f>
        <v>0.24577213922618</v>
      </c>
      <c r="K265" s="11" t="n">
        <f aca="false">SUM(E265:I265)</f>
        <v>1</v>
      </c>
    </row>
    <row r="266" customFormat="false" ht="15" hidden="false" customHeight="false" outlineLevel="0" collapsed="false">
      <c r="A266" s="7" t="n">
        <v>2009</v>
      </c>
      <c r="B266" s="12" t="s">
        <v>63</v>
      </c>
      <c r="C266" s="12" t="s">
        <v>62</v>
      </c>
      <c r="D266" s="9" t="n">
        <f aca="false">SUMIFS(Data!$E$2:$E$2657,Data!$A$2:$A$2657,$A266,Data!$B$2:$B$2657,$B266)+SUMIFS(Data!$G$2:$G$2657,Data!$A$2:$A$2657,$A266,Data!$B$2:$B$2657,$B266)</f>
        <v>1461.791457</v>
      </c>
      <c r="E266" s="10" t="n">
        <f aca="false">IFERROR((SUMIFS(Data!$E$2:$E$2657,Data!$A$2:$A$2657,$A266,Data!$B$2:$B$2657,$B266,Data!$D$2:$D$2657,"Transmission")+SUMIFS(Data!$G$2:$G$2657,Data!$A$2:$A$2657,$A266,Data!$B$2:$B$2657,$B266,Data!$D$2:$D$2657,"Transmission"))/$D266,0)</f>
        <v>0.190778239717131</v>
      </c>
      <c r="F266" s="10" t="n">
        <f aca="false">IFERROR((SUMIFS(Data!$E$2:$E$2657,Data!$A$2:$A$2657,$A266,Data!$B$2:$B$2657,$B266,Data!$D$2:$D$2657,"Distribution")+SUMIFS(Data!$G$2:$G$2657,Data!$A$2:$A$2657,$A266,Data!$B$2:$B$2657,$B266,Data!$D$2:$D$2657,"Distribution"))/$D266,0)</f>
        <v>0.302347060439826</v>
      </c>
      <c r="G266" s="10" t="n">
        <f aca="false">IFERROR((SUMIFS(Data!$E$2:$E$2657,Data!$A$2:$A$2657,$A266,Data!$B$2:$B$2657,$B266,Data!$D$2:$D$2657,"RTO/market operation")+SUMIFS(Data!$G$2:$G$2657,Data!$A$2:$A$2657,$A266,Data!$B$2:$B$2657,$B266,Data!$D$2:$D$2657,"RTO/market operation"))/$D266,0)</f>
        <v>0.00837221611974436</v>
      </c>
      <c r="H266" s="10" t="n">
        <f aca="false">IFERROR((SUMIFS(Data!$E$2:$E$2657,Data!$A$2:$A$2657,$A266,Data!$B$2:$B$2657,$B266,Data!$D$2:$D$2657,"Customer accounts, service &amp; sales")+SUMIFS(Data!$G$2:$G$2657,Data!$A$2:$A$2657,$A266,Data!$B$2:$B$2657,$B266,Data!$D$2:$D$2657,"Customer accounts, service &amp; sales"))/$D266,0)</f>
        <v>0.156574096054524</v>
      </c>
      <c r="I266" s="10" t="n">
        <f aca="false">IFERROR((SUMIFS(Data!$E$2:$E$2657,Data!$A$2:$A$2657,$A266,Data!$B$2:$B$2657,$B266,Data!$D$2:$D$2657,"A&amp;G and general")+SUMIFS(Data!$G$2:$G$2657,Data!$A$2:$A$2657,$A266,Data!$B$2:$B$2657,$B266,Data!$D$2:$D$2657,"A&amp;G and general"))/$D266,0)</f>
        <v>0.341928387668775</v>
      </c>
      <c r="J266" s="10" t="n">
        <f aca="false">IFERROR(SUMIFS(Data!$F$2:$F$2657,Data!$A$2:$A$2657,$A266,Data!$B$2:$B$2657,$B266)/$D266,0)</f>
        <v>0.182690811826245</v>
      </c>
      <c r="K266" s="11" t="n">
        <f aca="false">SUM(E266:I266)</f>
        <v>1</v>
      </c>
    </row>
    <row r="267" customFormat="false" ht="15" hidden="false" customHeight="false" outlineLevel="0" collapsed="false">
      <c r="A267" s="7" t="n">
        <v>2009</v>
      </c>
      <c r="B267" s="12" t="s">
        <v>64</v>
      </c>
      <c r="C267" s="12" t="s">
        <v>65</v>
      </c>
      <c r="D267" s="9" t="n">
        <f aca="false">SUMIFS(Data!$E$2:$E$2657,Data!$A$2:$A$2657,$A267,Data!$B$2:$B$2657,$B267)+SUMIFS(Data!$G$2:$G$2657,Data!$A$2:$A$2657,$A267,Data!$B$2:$B$2657,$B267)</f>
        <v>514.094334</v>
      </c>
      <c r="E267" s="10" t="n">
        <f aca="false">IFERROR((SUMIFS(Data!$E$2:$E$2657,Data!$A$2:$A$2657,$A267,Data!$B$2:$B$2657,$B267,Data!$D$2:$D$2657,"Transmission")+SUMIFS(Data!$G$2:$G$2657,Data!$A$2:$A$2657,$A267,Data!$B$2:$B$2657,$B267,Data!$D$2:$D$2657,"Transmission"))/$D267,0)</f>
        <v>0.102553674516864</v>
      </c>
      <c r="F267" s="10" t="n">
        <f aca="false">IFERROR((SUMIFS(Data!$E$2:$E$2657,Data!$A$2:$A$2657,$A267,Data!$B$2:$B$2657,$B267,Data!$D$2:$D$2657,"Distribution")+SUMIFS(Data!$G$2:$G$2657,Data!$A$2:$A$2657,$A267,Data!$B$2:$B$2657,$B267,Data!$D$2:$D$2657,"Distribution"))/$D267,0)</f>
        <v>0.32248325071017</v>
      </c>
      <c r="G267" s="10" t="n">
        <f aca="false">IFERROR((SUMIFS(Data!$E$2:$E$2657,Data!$A$2:$A$2657,$A267,Data!$B$2:$B$2657,$B267,Data!$D$2:$D$2657,"RTO/market operation")+SUMIFS(Data!$G$2:$G$2657,Data!$A$2:$A$2657,$A267,Data!$B$2:$B$2657,$B267,Data!$D$2:$D$2657,"RTO/market operation"))/$D267,0)</f>
        <v>0.0135943104947739</v>
      </c>
      <c r="H267" s="10" t="n">
        <f aca="false">IFERROR((SUMIFS(Data!$E$2:$E$2657,Data!$A$2:$A$2657,$A267,Data!$B$2:$B$2657,$B267,Data!$D$2:$D$2657,"Customer accounts, service &amp; sales")+SUMIFS(Data!$G$2:$G$2657,Data!$A$2:$A$2657,$A267,Data!$B$2:$B$2657,$B267,Data!$D$2:$D$2657,"Customer accounts, service &amp; sales"))/$D267,0)</f>
        <v>0.0963579322389497</v>
      </c>
      <c r="I267" s="10" t="n">
        <f aca="false">IFERROR((SUMIFS(Data!$E$2:$E$2657,Data!$A$2:$A$2657,$A267,Data!$B$2:$B$2657,$B267,Data!$D$2:$D$2657,"A&amp;G and general")+SUMIFS(Data!$G$2:$G$2657,Data!$A$2:$A$2657,$A267,Data!$B$2:$B$2657,$B267,Data!$D$2:$D$2657,"A&amp;G and general"))/$D267,0)</f>
        <v>0.465010832039242</v>
      </c>
      <c r="J267" s="10" t="n">
        <f aca="false">IFERROR(SUMIFS(Data!$F$2:$F$2657,Data!$A$2:$A$2657,$A267,Data!$B$2:$B$2657,$B267)/$D267,0)</f>
        <v>0.0141302880027462</v>
      </c>
      <c r="K267" s="11" t="n">
        <f aca="false">SUM(E267:I267)</f>
        <v>1</v>
      </c>
    </row>
    <row r="268" customFormat="false" ht="15" hidden="false" customHeight="false" outlineLevel="0" collapsed="false">
      <c r="A268" s="7" t="n">
        <v>2009</v>
      </c>
      <c r="B268" s="12" t="s">
        <v>66</v>
      </c>
      <c r="C268" s="12" t="s">
        <v>67</v>
      </c>
      <c r="D268" s="9" t="n">
        <f aca="false">SUMIFS(Data!$E$2:$E$2657,Data!$A$2:$A$2657,$A268,Data!$B$2:$B$2657,$B268)+SUMIFS(Data!$G$2:$G$2657,Data!$A$2:$A$2657,$A268,Data!$B$2:$B$2657,$B268)</f>
        <v>289.736902</v>
      </c>
      <c r="E268" s="10" t="n">
        <f aca="false">IFERROR((SUMIFS(Data!$E$2:$E$2657,Data!$A$2:$A$2657,$A268,Data!$B$2:$B$2657,$B268,Data!$D$2:$D$2657,"Transmission")+SUMIFS(Data!$G$2:$G$2657,Data!$A$2:$A$2657,$A268,Data!$B$2:$B$2657,$B268,Data!$D$2:$D$2657,"Transmission"))/$D268,0)</f>
        <v>0.0128402422139517</v>
      </c>
      <c r="F268" s="10" t="n">
        <f aca="false">IFERROR((SUMIFS(Data!$E$2:$E$2657,Data!$A$2:$A$2657,$A268,Data!$B$2:$B$2657,$B268,Data!$D$2:$D$2657,"Distribution")+SUMIFS(Data!$G$2:$G$2657,Data!$A$2:$A$2657,$A268,Data!$B$2:$B$2657,$B268,Data!$D$2:$D$2657,"Distribution"))/$D268,0)</f>
        <v>0.344150328493538</v>
      </c>
      <c r="G268" s="10" t="n">
        <f aca="false">IFERROR((SUMIFS(Data!$E$2:$E$2657,Data!$A$2:$A$2657,$A268,Data!$B$2:$B$2657,$B268,Data!$D$2:$D$2657,"RTO/market operation")+SUMIFS(Data!$G$2:$G$2657,Data!$A$2:$A$2657,$A268,Data!$B$2:$B$2657,$B268,Data!$D$2:$D$2657,"RTO/market operation"))/$D268,0)</f>
        <v>0.00868096877766713</v>
      </c>
      <c r="H268" s="10" t="n">
        <f aca="false">IFERROR((SUMIFS(Data!$E$2:$E$2657,Data!$A$2:$A$2657,$A268,Data!$B$2:$B$2657,$B268,Data!$D$2:$D$2657,"Customer accounts, service &amp; sales")+SUMIFS(Data!$G$2:$G$2657,Data!$A$2:$A$2657,$A268,Data!$B$2:$B$2657,$B268,Data!$D$2:$D$2657,"Customer accounts, service &amp; sales"))/$D268,0)</f>
        <v>0.0843006425187773</v>
      </c>
      <c r="I268" s="10" t="n">
        <f aca="false">IFERROR((SUMIFS(Data!$E$2:$E$2657,Data!$A$2:$A$2657,$A268,Data!$B$2:$B$2657,$B268,Data!$D$2:$D$2657,"A&amp;G and general")+SUMIFS(Data!$G$2:$G$2657,Data!$A$2:$A$2657,$A268,Data!$B$2:$B$2657,$B268,Data!$D$2:$D$2657,"A&amp;G and general"))/$D268,0)</f>
        <v>0.550027817996066</v>
      </c>
      <c r="J268" s="10" t="n">
        <f aca="false">IFERROR(SUMIFS(Data!$F$2:$F$2657,Data!$A$2:$A$2657,$A268,Data!$B$2:$B$2657,$B268)/$D268,0)</f>
        <v>-0.124984966533535</v>
      </c>
      <c r="K268" s="11" t="n">
        <f aca="false">SUM(E268:I268)</f>
        <v>1</v>
      </c>
    </row>
    <row r="269" customFormat="false" ht="15" hidden="false" customHeight="false" outlineLevel="0" collapsed="false">
      <c r="A269" s="7" t="n">
        <v>2009</v>
      </c>
      <c r="B269" s="12" t="s">
        <v>68</v>
      </c>
      <c r="C269" s="12" t="s">
        <v>65</v>
      </c>
      <c r="D269" s="9" t="n">
        <f aca="false">SUMIFS(Data!$E$2:$E$2657,Data!$A$2:$A$2657,$A269,Data!$B$2:$B$2657,$B269)+SUMIFS(Data!$G$2:$G$2657,Data!$A$2:$A$2657,$A269,Data!$B$2:$B$2657,$B269)</f>
        <v>252.617026</v>
      </c>
      <c r="E269" s="10" t="n">
        <f aca="false">IFERROR((SUMIFS(Data!$E$2:$E$2657,Data!$A$2:$A$2657,$A269,Data!$B$2:$B$2657,$B269,Data!$D$2:$D$2657,"Transmission")+SUMIFS(Data!$G$2:$G$2657,Data!$A$2:$A$2657,$A269,Data!$B$2:$B$2657,$B269,Data!$D$2:$D$2657,"Transmission"))/$D269,0)</f>
        <v>0.0630622300177028</v>
      </c>
      <c r="F269" s="10" t="n">
        <f aca="false">IFERROR((SUMIFS(Data!$E$2:$E$2657,Data!$A$2:$A$2657,$A269,Data!$B$2:$B$2657,$B269,Data!$D$2:$D$2657,"Distribution")+SUMIFS(Data!$G$2:$G$2657,Data!$A$2:$A$2657,$A269,Data!$B$2:$B$2657,$B269,Data!$D$2:$D$2657,"Distribution"))/$D269,0)</f>
        <v>0.372612335322165</v>
      </c>
      <c r="G269" s="10" t="n">
        <f aca="false">IFERROR((SUMIFS(Data!$E$2:$E$2657,Data!$A$2:$A$2657,$A269,Data!$B$2:$B$2657,$B269,Data!$D$2:$D$2657,"RTO/market operation")+SUMIFS(Data!$G$2:$G$2657,Data!$A$2:$A$2657,$A269,Data!$B$2:$B$2657,$B269,Data!$D$2:$D$2657,"RTO/market operation"))/$D269,0)</f>
        <v>0.000739304879632302</v>
      </c>
      <c r="H269" s="10" t="n">
        <f aca="false">IFERROR((SUMIFS(Data!$E$2:$E$2657,Data!$A$2:$A$2657,$A269,Data!$B$2:$B$2657,$B269,Data!$D$2:$D$2657,"Customer accounts, service &amp; sales")+SUMIFS(Data!$G$2:$G$2657,Data!$A$2:$A$2657,$A269,Data!$B$2:$B$2657,$B269,Data!$D$2:$D$2657,"Customer accounts, service &amp; sales"))/$D269,0)</f>
        <v>0.0817969529892257</v>
      </c>
      <c r="I269" s="10" t="n">
        <f aca="false">IFERROR((SUMIFS(Data!$E$2:$E$2657,Data!$A$2:$A$2657,$A269,Data!$B$2:$B$2657,$B269,Data!$D$2:$D$2657,"A&amp;G and general")+SUMIFS(Data!$G$2:$G$2657,Data!$A$2:$A$2657,$A269,Data!$B$2:$B$2657,$B269,Data!$D$2:$D$2657,"A&amp;G and general"))/$D269,0)</f>
        <v>0.481789176791275</v>
      </c>
      <c r="J269" s="10" t="n">
        <f aca="false">IFERROR(SUMIFS(Data!$F$2:$F$2657,Data!$A$2:$A$2657,$A269,Data!$B$2:$B$2657,$B269)/$D269,0)</f>
        <v>0.0143884284347485</v>
      </c>
      <c r="K269" s="11" t="n">
        <f aca="false">SUM(E269:I269)</f>
        <v>1</v>
      </c>
    </row>
    <row r="270" customFormat="false" ht="15" hidden="false" customHeight="false" outlineLevel="0" collapsed="false">
      <c r="A270" s="7" t="n">
        <v>2009</v>
      </c>
      <c r="B270" s="12" t="s">
        <v>69</v>
      </c>
      <c r="C270" s="12" t="s">
        <v>70</v>
      </c>
      <c r="D270" s="9" t="n">
        <f aca="false">SUMIFS(Data!$E$2:$E$2657,Data!$A$2:$A$2657,$A270,Data!$B$2:$B$2657,$B270)+SUMIFS(Data!$G$2:$G$2657,Data!$A$2:$A$2657,$A270,Data!$B$2:$B$2657,$B270)</f>
        <v>364.474609</v>
      </c>
      <c r="E270" s="10" t="n">
        <f aca="false">IFERROR((SUMIFS(Data!$E$2:$E$2657,Data!$A$2:$A$2657,$A270,Data!$B$2:$B$2657,$B270,Data!$D$2:$D$2657,"Transmission")+SUMIFS(Data!$G$2:$G$2657,Data!$A$2:$A$2657,$A270,Data!$B$2:$B$2657,$B270,Data!$D$2:$D$2657,"Transmission"))/$D270,0)</f>
        <v>0.368617710760752</v>
      </c>
      <c r="F270" s="10" t="n">
        <f aca="false">IFERROR((SUMIFS(Data!$E$2:$E$2657,Data!$A$2:$A$2657,$A270,Data!$B$2:$B$2657,$B270,Data!$D$2:$D$2657,"Distribution")+SUMIFS(Data!$G$2:$G$2657,Data!$A$2:$A$2657,$A270,Data!$B$2:$B$2657,$B270,Data!$D$2:$D$2657,"Distribution"))/$D270,0)</f>
        <v>0.192763504686276</v>
      </c>
      <c r="G270" s="10" t="n">
        <f aca="false">IFERROR((SUMIFS(Data!$E$2:$E$2657,Data!$A$2:$A$2657,$A270,Data!$B$2:$B$2657,$B270,Data!$D$2:$D$2657,"RTO/market operation")+SUMIFS(Data!$G$2:$G$2657,Data!$A$2:$A$2657,$A270,Data!$B$2:$B$2657,$B270,Data!$D$2:$D$2657,"RTO/market operation"))/$D270,0)</f>
        <v>0.0107972157808118</v>
      </c>
      <c r="H270" s="10" t="n">
        <f aca="false">IFERROR((SUMIFS(Data!$E$2:$E$2657,Data!$A$2:$A$2657,$A270,Data!$B$2:$B$2657,$B270,Data!$D$2:$D$2657,"Customer accounts, service &amp; sales")+SUMIFS(Data!$G$2:$G$2657,Data!$A$2:$A$2657,$A270,Data!$B$2:$B$2657,$B270,Data!$D$2:$D$2657,"Customer accounts, service &amp; sales"))/$D270,0)</f>
        <v>0.155077074244149</v>
      </c>
      <c r="I270" s="10" t="n">
        <f aca="false">IFERROR((SUMIFS(Data!$E$2:$E$2657,Data!$A$2:$A$2657,$A270,Data!$B$2:$B$2657,$B270,Data!$D$2:$D$2657,"A&amp;G and general")+SUMIFS(Data!$G$2:$G$2657,Data!$A$2:$A$2657,$A270,Data!$B$2:$B$2657,$B270,Data!$D$2:$D$2657,"A&amp;G and general"))/$D270,0)</f>
        <v>0.272744494528012</v>
      </c>
      <c r="J270" s="10" t="n">
        <f aca="false">IFERROR(SUMIFS(Data!$F$2:$F$2657,Data!$A$2:$A$2657,$A270,Data!$B$2:$B$2657,$B270)/$D270,0)</f>
        <v>0.360138126933281</v>
      </c>
      <c r="K270" s="11" t="n">
        <f aca="false">SUM(E270:I270)</f>
        <v>1</v>
      </c>
    </row>
    <row r="271" customFormat="false" ht="15" hidden="false" customHeight="false" outlineLevel="0" collapsed="false">
      <c r="A271" s="7" t="n">
        <v>2009</v>
      </c>
      <c r="B271" s="12" t="s">
        <v>71</v>
      </c>
      <c r="C271" s="12" t="s">
        <v>72</v>
      </c>
      <c r="D271" s="9" t="n">
        <f aca="false">SUMIFS(Data!$E$2:$E$2657,Data!$A$2:$A$2657,$A271,Data!$B$2:$B$2657,$B271)+SUMIFS(Data!$G$2:$G$2657,Data!$A$2:$A$2657,$A271,Data!$B$2:$B$2657,$B271)</f>
        <v>98.311398</v>
      </c>
      <c r="E271" s="10" t="n">
        <f aca="false">IFERROR((SUMIFS(Data!$E$2:$E$2657,Data!$A$2:$A$2657,$A271,Data!$B$2:$B$2657,$B271,Data!$D$2:$D$2657,"Transmission")+SUMIFS(Data!$G$2:$G$2657,Data!$A$2:$A$2657,$A271,Data!$B$2:$B$2657,$B271,Data!$D$2:$D$2657,"Transmission"))/$D271,0)</f>
        <v>0.253319610000867</v>
      </c>
      <c r="F271" s="10" t="n">
        <f aca="false">IFERROR((SUMIFS(Data!$E$2:$E$2657,Data!$A$2:$A$2657,$A271,Data!$B$2:$B$2657,$B271,Data!$D$2:$D$2657,"Distribution")+SUMIFS(Data!$G$2:$G$2657,Data!$A$2:$A$2657,$A271,Data!$B$2:$B$2657,$B271,Data!$D$2:$D$2657,"Distribution"))/$D271,0)</f>
        <v>0.239630210527573</v>
      </c>
      <c r="G271" s="10" t="n">
        <f aca="false">IFERROR((SUMIFS(Data!$E$2:$E$2657,Data!$A$2:$A$2657,$A271,Data!$B$2:$B$2657,$B271,Data!$D$2:$D$2657,"RTO/market operation")+SUMIFS(Data!$G$2:$G$2657,Data!$A$2:$A$2657,$A271,Data!$B$2:$B$2657,$B271,Data!$D$2:$D$2657,"RTO/market operation"))/$D271,0)</f>
        <v>0.00746686564257788</v>
      </c>
      <c r="H271" s="10" t="n">
        <f aca="false">IFERROR((SUMIFS(Data!$E$2:$E$2657,Data!$A$2:$A$2657,$A271,Data!$B$2:$B$2657,$B271,Data!$D$2:$D$2657,"Customer accounts, service &amp; sales")+SUMIFS(Data!$G$2:$G$2657,Data!$A$2:$A$2657,$A271,Data!$B$2:$B$2657,$B271,Data!$D$2:$D$2657,"Customer accounts, service &amp; sales"))/$D271,0)</f>
        <v>0.157237434463092</v>
      </c>
      <c r="I271" s="10" t="n">
        <f aca="false">IFERROR((SUMIFS(Data!$E$2:$E$2657,Data!$A$2:$A$2657,$A271,Data!$B$2:$B$2657,$B271,Data!$D$2:$D$2657,"A&amp;G and general")+SUMIFS(Data!$G$2:$G$2657,Data!$A$2:$A$2657,$A271,Data!$B$2:$B$2657,$B271,Data!$D$2:$D$2657,"A&amp;G and general"))/$D271,0)</f>
        <v>0.34234587936589</v>
      </c>
      <c r="J271" s="10" t="n">
        <f aca="false">IFERROR(SUMIFS(Data!$F$2:$F$2657,Data!$A$2:$A$2657,$A271,Data!$B$2:$B$2657,$B271)/$D271,0)</f>
        <v>0.254861587870005</v>
      </c>
      <c r="K271" s="11" t="n">
        <f aca="false">SUM(E271:I271)</f>
        <v>1</v>
      </c>
    </row>
    <row r="272" customFormat="false" ht="15" hidden="false" customHeight="false" outlineLevel="0" collapsed="false">
      <c r="A272" s="7" t="n">
        <v>2009</v>
      </c>
      <c r="B272" s="12" t="s">
        <v>73</v>
      </c>
      <c r="C272" s="12" t="s">
        <v>70</v>
      </c>
      <c r="D272" s="9" t="n">
        <f aca="false">SUMIFS(Data!$E$2:$E$2657,Data!$A$2:$A$2657,$A272,Data!$B$2:$B$2657,$B272)+SUMIFS(Data!$G$2:$G$2657,Data!$A$2:$A$2657,$A272,Data!$B$2:$B$2657,$B272)</f>
        <v>394.313855</v>
      </c>
      <c r="E272" s="10" t="n">
        <f aca="false">IFERROR((SUMIFS(Data!$E$2:$E$2657,Data!$A$2:$A$2657,$A272,Data!$B$2:$B$2657,$B272,Data!$D$2:$D$2657,"Transmission")+SUMIFS(Data!$G$2:$G$2657,Data!$A$2:$A$2657,$A272,Data!$B$2:$B$2657,$B272,Data!$D$2:$D$2657,"Transmission"))/$D272,0)</f>
        <v>0.16443867537954</v>
      </c>
      <c r="F272" s="10" t="n">
        <f aca="false">IFERROR((SUMIFS(Data!$E$2:$E$2657,Data!$A$2:$A$2657,$A272,Data!$B$2:$B$2657,$B272,Data!$D$2:$D$2657,"Distribution")+SUMIFS(Data!$G$2:$G$2657,Data!$A$2:$A$2657,$A272,Data!$B$2:$B$2657,$B272,Data!$D$2:$D$2657,"Distribution"))/$D272,0)</f>
        <v>0.375709859345419</v>
      </c>
      <c r="G272" s="10" t="n">
        <f aca="false">IFERROR((SUMIFS(Data!$E$2:$E$2657,Data!$A$2:$A$2657,$A272,Data!$B$2:$B$2657,$B272,Data!$D$2:$D$2657,"RTO/market operation")+SUMIFS(Data!$G$2:$G$2657,Data!$A$2:$A$2657,$A272,Data!$B$2:$B$2657,$B272,Data!$D$2:$D$2657,"RTO/market operation"))/$D272,0)</f>
        <v>0.00822078138745594</v>
      </c>
      <c r="H272" s="10" t="n">
        <f aca="false">IFERROR((SUMIFS(Data!$E$2:$E$2657,Data!$A$2:$A$2657,$A272,Data!$B$2:$B$2657,$B272,Data!$D$2:$D$2657,"Customer accounts, service &amp; sales")+SUMIFS(Data!$G$2:$G$2657,Data!$A$2:$A$2657,$A272,Data!$B$2:$B$2657,$B272,Data!$D$2:$D$2657,"Customer accounts, service &amp; sales"))/$D272,0)</f>
        <v>0.192770099341298</v>
      </c>
      <c r="I272" s="10" t="n">
        <f aca="false">IFERROR((SUMIFS(Data!$E$2:$E$2657,Data!$A$2:$A$2657,$A272,Data!$B$2:$B$2657,$B272,Data!$D$2:$D$2657,"A&amp;G and general")+SUMIFS(Data!$G$2:$G$2657,Data!$A$2:$A$2657,$A272,Data!$B$2:$B$2657,$B272,Data!$D$2:$D$2657,"A&amp;G and general"))/$D272,0)</f>
        <v>0.258860584546287</v>
      </c>
      <c r="J272" s="10" t="n">
        <f aca="false">IFERROR(SUMIFS(Data!$F$2:$F$2657,Data!$A$2:$A$2657,$A272,Data!$B$2:$B$2657,$B272)/$D272,0)</f>
        <v>0.0905365067631215</v>
      </c>
      <c r="K272" s="11" t="n">
        <f aca="false">SUM(E272:I272)</f>
        <v>1</v>
      </c>
    </row>
    <row r="273" customFormat="false" ht="15" hidden="false" customHeight="false" outlineLevel="0" collapsed="false">
      <c r="A273" s="7" t="n">
        <v>2009</v>
      </c>
      <c r="B273" s="12" t="s">
        <v>74</v>
      </c>
      <c r="C273" s="12" t="s">
        <v>65</v>
      </c>
      <c r="D273" s="9" t="n">
        <f aca="false">SUMIFS(Data!$E$2:$E$2657,Data!$A$2:$A$2657,$A273,Data!$B$2:$B$2657,$B273)+SUMIFS(Data!$G$2:$G$2657,Data!$A$2:$A$2657,$A273,Data!$B$2:$B$2657,$B273)</f>
        <v>324.817312</v>
      </c>
      <c r="E273" s="10" t="n">
        <f aca="false">IFERROR((SUMIFS(Data!$E$2:$E$2657,Data!$A$2:$A$2657,$A273,Data!$B$2:$B$2657,$B273,Data!$D$2:$D$2657,"Transmission")+SUMIFS(Data!$G$2:$G$2657,Data!$A$2:$A$2657,$A273,Data!$B$2:$B$2657,$B273,Data!$D$2:$D$2657,"Transmission"))/$D273,0)</f>
        <v>0.1159665098146</v>
      </c>
      <c r="F273" s="10" t="n">
        <f aca="false">IFERROR((SUMIFS(Data!$E$2:$E$2657,Data!$A$2:$A$2657,$A273,Data!$B$2:$B$2657,$B273,Data!$D$2:$D$2657,"Distribution")+SUMIFS(Data!$G$2:$G$2657,Data!$A$2:$A$2657,$A273,Data!$B$2:$B$2657,$B273,Data!$D$2:$D$2657,"Distribution"))/$D273,0)</f>
        <v>0.27642843741038</v>
      </c>
      <c r="G273" s="10" t="n">
        <f aca="false">IFERROR((SUMIFS(Data!$E$2:$E$2657,Data!$A$2:$A$2657,$A273,Data!$B$2:$B$2657,$B273,Data!$D$2:$D$2657,"RTO/market operation")+SUMIFS(Data!$G$2:$G$2657,Data!$A$2:$A$2657,$A273,Data!$B$2:$B$2657,$B273,Data!$D$2:$D$2657,"RTO/market operation"))/$D273,0)</f>
        <v>1.01811075882556E-005</v>
      </c>
      <c r="H273" s="10" t="n">
        <f aca="false">IFERROR((SUMIFS(Data!$E$2:$E$2657,Data!$A$2:$A$2657,$A273,Data!$B$2:$B$2657,$B273,Data!$D$2:$D$2657,"Customer accounts, service &amp; sales")+SUMIFS(Data!$G$2:$G$2657,Data!$A$2:$A$2657,$A273,Data!$B$2:$B$2657,$B273,Data!$D$2:$D$2657,"Customer accounts, service &amp; sales"))/$D273,0)</f>
        <v>0.0657619412847059</v>
      </c>
      <c r="I273" s="10" t="n">
        <f aca="false">IFERROR((SUMIFS(Data!$E$2:$E$2657,Data!$A$2:$A$2657,$A273,Data!$B$2:$B$2657,$B273,Data!$D$2:$D$2657,"A&amp;G and general")+SUMIFS(Data!$G$2:$G$2657,Data!$A$2:$A$2657,$A273,Data!$B$2:$B$2657,$B273,Data!$D$2:$D$2657,"A&amp;G and general"))/$D273,0)</f>
        <v>0.541832930382725</v>
      </c>
      <c r="J273" s="10" t="n">
        <f aca="false">IFERROR(SUMIFS(Data!$F$2:$F$2657,Data!$A$2:$A$2657,$A273,Data!$B$2:$B$2657,$B273)/$D273,0)</f>
        <v>0.000235661700199034</v>
      </c>
      <c r="K273" s="11" t="n">
        <f aca="false">SUM(E273:I273)</f>
        <v>1</v>
      </c>
    </row>
    <row r="274" customFormat="false" ht="15" hidden="false" customHeight="false" outlineLevel="0" collapsed="false">
      <c r="A274" s="7" t="n">
        <v>2009</v>
      </c>
      <c r="B274" s="12" t="s">
        <v>75</v>
      </c>
      <c r="C274" s="12" t="s">
        <v>57</v>
      </c>
      <c r="D274" s="9" t="n">
        <f aca="false">SUMIFS(Data!$E$2:$E$2657,Data!$A$2:$A$2657,$A274,Data!$B$2:$B$2657,$B274)+SUMIFS(Data!$G$2:$G$2657,Data!$A$2:$A$2657,$A274,Data!$B$2:$B$2657,$B274)</f>
        <v>770.459531</v>
      </c>
      <c r="E274" s="10" t="n">
        <f aca="false">IFERROR((SUMIFS(Data!$E$2:$E$2657,Data!$A$2:$A$2657,$A274,Data!$B$2:$B$2657,$B274,Data!$D$2:$D$2657,"Transmission")+SUMIFS(Data!$G$2:$G$2657,Data!$A$2:$A$2657,$A274,Data!$B$2:$B$2657,$B274,Data!$D$2:$D$2657,"Transmission"))/$D274,0)</f>
        <v>0.265942527486236</v>
      </c>
      <c r="F274" s="10" t="n">
        <f aca="false">IFERROR((SUMIFS(Data!$E$2:$E$2657,Data!$A$2:$A$2657,$A274,Data!$B$2:$B$2657,$B274,Data!$D$2:$D$2657,"Distribution")+SUMIFS(Data!$G$2:$G$2657,Data!$A$2:$A$2657,$A274,Data!$B$2:$B$2657,$B274,Data!$D$2:$D$2657,"Distribution"))/$D274,0)</f>
        <v>0.247046047639847</v>
      </c>
      <c r="G274" s="10" t="n">
        <f aca="false">IFERROR((SUMIFS(Data!$E$2:$E$2657,Data!$A$2:$A$2657,$A274,Data!$B$2:$B$2657,$B274,Data!$D$2:$D$2657,"RTO/market operation")+SUMIFS(Data!$G$2:$G$2657,Data!$A$2:$A$2657,$A274,Data!$B$2:$B$2657,$B274,Data!$D$2:$D$2657,"RTO/market operation"))/$D274,0)</f>
        <v>0.0160097623608994</v>
      </c>
      <c r="H274" s="10" t="n">
        <f aca="false">IFERROR((SUMIFS(Data!$E$2:$E$2657,Data!$A$2:$A$2657,$A274,Data!$B$2:$B$2657,$B274,Data!$D$2:$D$2657,"Customer accounts, service &amp; sales")+SUMIFS(Data!$G$2:$G$2657,Data!$A$2:$A$2657,$A274,Data!$B$2:$B$2657,$B274,Data!$D$2:$D$2657,"Customer accounts, service &amp; sales"))/$D274,0)</f>
        <v>0.159303479367302</v>
      </c>
      <c r="I274" s="10" t="n">
        <f aca="false">IFERROR((SUMIFS(Data!$E$2:$E$2657,Data!$A$2:$A$2657,$A274,Data!$B$2:$B$2657,$B274,Data!$D$2:$D$2657,"A&amp;G and general")+SUMIFS(Data!$G$2:$G$2657,Data!$A$2:$A$2657,$A274,Data!$B$2:$B$2657,$B274,Data!$D$2:$D$2657,"A&amp;G and general"))/$D274,0)</f>
        <v>0.311698183145715</v>
      </c>
      <c r="J274" s="10" t="n">
        <f aca="false">IFERROR(SUMIFS(Data!$F$2:$F$2657,Data!$A$2:$A$2657,$A274,Data!$B$2:$B$2657,$B274)/$D274,0)</f>
        <v>0.102240090271529</v>
      </c>
      <c r="K274" s="11" t="n">
        <f aca="false">SUM(E274:I274)</f>
        <v>1</v>
      </c>
    </row>
    <row r="275" customFormat="false" ht="15" hidden="false" customHeight="false" outlineLevel="0" collapsed="false">
      <c r="A275" s="7" t="n">
        <v>2009</v>
      </c>
      <c r="B275" s="12" t="s">
        <v>76</v>
      </c>
      <c r="C275" s="12" t="s">
        <v>72</v>
      </c>
      <c r="D275" s="9" t="n">
        <f aca="false">SUMIFS(Data!$E$2:$E$2657,Data!$A$2:$A$2657,$A275,Data!$B$2:$B$2657,$B275)+SUMIFS(Data!$G$2:$G$2657,Data!$A$2:$A$2657,$A275,Data!$B$2:$B$2657,$B275)</f>
        <v>155.620184</v>
      </c>
      <c r="E275" s="10" t="n">
        <f aca="false">IFERROR((SUMIFS(Data!$E$2:$E$2657,Data!$A$2:$A$2657,$A275,Data!$B$2:$B$2657,$B275,Data!$D$2:$D$2657,"Transmission")+SUMIFS(Data!$G$2:$G$2657,Data!$A$2:$A$2657,$A275,Data!$B$2:$B$2657,$B275,Data!$D$2:$D$2657,"Transmission"))/$D275,0)</f>
        <v>0.356972724052299</v>
      </c>
      <c r="F275" s="10" t="n">
        <f aca="false">IFERROR((SUMIFS(Data!$E$2:$E$2657,Data!$A$2:$A$2657,$A275,Data!$B$2:$B$2657,$B275,Data!$D$2:$D$2657,"Distribution")+SUMIFS(Data!$G$2:$G$2657,Data!$A$2:$A$2657,$A275,Data!$B$2:$B$2657,$B275,Data!$D$2:$D$2657,"Distribution"))/$D275,0)</f>
        <v>0.258052271677047</v>
      </c>
      <c r="G275" s="10" t="n">
        <f aca="false">IFERROR((SUMIFS(Data!$E$2:$E$2657,Data!$A$2:$A$2657,$A275,Data!$B$2:$B$2657,$B275,Data!$D$2:$D$2657,"RTO/market operation")+SUMIFS(Data!$G$2:$G$2657,Data!$A$2:$A$2657,$A275,Data!$B$2:$B$2657,$B275,Data!$D$2:$D$2657,"RTO/market operation"))/$D275,0)</f>
        <v>0</v>
      </c>
      <c r="H275" s="10" t="n">
        <f aca="false">IFERROR((SUMIFS(Data!$E$2:$E$2657,Data!$A$2:$A$2657,$A275,Data!$B$2:$B$2657,$B275,Data!$D$2:$D$2657,"Customer accounts, service &amp; sales")+SUMIFS(Data!$G$2:$G$2657,Data!$A$2:$A$2657,$A275,Data!$B$2:$B$2657,$B275,Data!$D$2:$D$2657,"Customer accounts, service &amp; sales"))/$D275,0)</f>
        <v>0.134771373872685</v>
      </c>
      <c r="I275" s="10" t="n">
        <f aca="false">IFERROR((SUMIFS(Data!$E$2:$E$2657,Data!$A$2:$A$2657,$A275,Data!$B$2:$B$2657,$B275,Data!$D$2:$D$2657,"A&amp;G and general")+SUMIFS(Data!$G$2:$G$2657,Data!$A$2:$A$2657,$A275,Data!$B$2:$B$2657,$B275,Data!$D$2:$D$2657,"A&amp;G and general"))/$D275,0)</f>
        <v>0.250203630397969</v>
      </c>
      <c r="J275" s="10" t="n">
        <f aca="false">IFERROR(SUMIFS(Data!$F$2:$F$2657,Data!$A$2:$A$2657,$A275,Data!$B$2:$B$2657,$B275)/$D275,0)</f>
        <v>0</v>
      </c>
      <c r="K275" s="11" t="n">
        <f aca="false">SUM(E275:I275)</f>
        <v>1</v>
      </c>
    </row>
    <row r="276" customFormat="false" ht="15" hidden="false" customHeight="false" outlineLevel="0" collapsed="false">
      <c r="A276" s="7" t="n">
        <v>2009</v>
      </c>
      <c r="B276" s="12" t="s">
        <v>77</v>
      </c>
      <c r="C276" s="12" t="s">
        <v>57</v>
      </c>
      <c r="D276" s="9" t="n">
        <f aca="false">SUMIFS(Data!$E$2:$E$2657,Data!$A$2:$A$2657,$A276,Data!$B$2:$B$2657,$B276)+SUMIFS(Data!$G$2:$G$2657,Data!$A$2:$A$2657,$A276,Data!$B$2:$B$2657,$B276)</f>
        <v>92.254456</v>
      </c>
      <c r="E276" s="10" t="n">
        <f aca="false">IFERROR((SUMIFS(Data!$E$2:$E$2657,Data!$A$2:$A$2657,$A276,Data!$B$2:$B$2657,$B276,Data!$D$2:$D$2657,"Transmission")+SUMIFS(Data!$G$2:$G$2657,Data!$A$2:$A$2657,$A276,Data!$B$2:$B$2657,$B276,Data!$D$2:$D$2657,"Transmission"))/$D276,0)</f>
        <v>0.142934624209372</v>
      </c>
      <c r="F276" s="10" t="n">
        <f aca="false">IFERROR((SUMIFS(Data!$E$2:$E$2657,Data!$A$2:$A$2657,$A276,Data!$B$2:$B$2657,$B276,Data!$D$2:$D$2657,"Distribution")+SUMIFS(Data!$G$2:$G$2657,Data!$A$2:$A$2657,$A276,Data!$B$2:$B$2657,$B276,Data!$D$2:$D$2657,"Distribution"))/$D276,0)</f>
        <v>0.257951789342295</v>
      </c>
      <c r="G276" s="10" t="n">
        <f aca="false">IFERROR((SUMIFS(Data!$E$2:$E$2657,Data!$A$2:$A$2657,$A276,Data!$B$2:$B$2657,$B276,Data!$D$2:$D$2657,"RTO/market operation")+SUMIFS(Data!$G$2:$G$2657,Data!$A$2:$A$2657,$A276,Data!$B$2:$B$2657,$B276,Data!$D$2:$D$2657,"RTO/market operation"))/$D276,0)</f>
        <v>0.0185831999269499</v>
      </c>
      <c r="H276" s="10" t="n">
        <f aca="false">IFERROR((SUMIFS(Data!$E$2:$E$2657,Data!$A$2:$A$2657,$A276,Data!$B$2:$B$2657,$B276,Data!$D$2:$D$2657,"Customer accounts, service &amp; sales")+SUMIFS(Data!$G$2:$G$2657,Data!$A$2:$A$2657,$A276,Data!$B$2:$B$2657,$B276,Data!$D$2:$D$2657,"Customer accounts, service &amp; sales"))/$D276,0)</f>
        <v>0.187236961215185</v>
      </c>
      <c r="I276" s="10" t="n">
        <f aca="false">IFERROR((SUMIFS(Data!$E$2:$E$2657,Data!$A$2:$A$2657,$A276,Data!$B$2:$B$2657,$B276,Data!$D$2:$D$2657,"A&amp;G and general")+SUMIFS(Data!$G$2:$G$2657,Data!$A$2:$A$2657,$A276,Data!$B$2:$B$2657,$B276,Data!$D$2:$D$2657,"A&amp;G and general"))/$D276,0)</f>
        <v>0.393293425306199</v>
      </c>
      <c r="J276" s="10" t="n">
        <f aca="false">IFERROR(SUMIFS(Data!$F$2:$F$2657,Data!$A$2:$A$2657,$A276,Data!$B$2:$B$2657,$B276)/$D276,0)</f>
        <v>0.00150471864470156</v>
      </c>
      <c r="K276" s="11" t="n">
        <f aca="false">SUM(E276:I276)</f>
        <v>1</v>
      </c>
    </row>
    <row r="277" customFormat="false" ht="15" hidden="false" customHeight="false" outlineLevel="0" collapsed="false">
      <c r="A277" s="7" t="n">
        <v>2009</v>
      </c>
      <c r="B277" s="12" t="s">
        <v>78</v>
      </c>
      <c r="C277" s="12" t="s">
        <v>65</v>
      </c>
      <c r="D277" s="9" t="n">
        <f aca="false">SUMIFS(Data!$E$2:$E$2657,Data!$A$2:$A$2657,$A277,Data!$B$2:$B$2657,$B277)+SUMIFS(Data!$G$2:$G$2657,Data!$A$2:$A$2657,$A277,Data!$B$2:$B$2657,$B277)</f>
        <v>95.293312</v>
      </c>
      <c r="E277" s="10" t="n">
        <f aca="false">IFERROR((SUMIFS(Data!$E$2:$E$2657,Data!$A$2:$A$2657,$A277,Data!$B$2:$B$2657,$B277,Data!$D$2:$D$2657,"Transmission")+SUMIFS(Data!$G$2:$G$2657,Data!$A$2:$A$2657,$A277,Data!$B$2:$B$2657,$B277,Data!$D$2:$D$2657,"Transmission"))/$D277,0)</f>
        <v>0.165992341624143</v>
      </c>
      <c r="F277" s="10" t="n">
        <f aca="false">IFERROR((SUMIFS(Data!$E$2:$E$2657,Data!$A$2:$A$2657,$A277,Data!$B$2:$B$2657,$B277,Data!$D$2:$D$2657,"Distribution")+SUMIFS(Data!$G$2:$G$2657,Data!$A$2:$A$2657,$A277,Data!$B$2:$B$2657,$B277,Data!$D$2:$D$2657,"Distribution"))/$D277,0)</f>
        <v>0.315507199497904</v>
      </c>
      <c r="G277" s="10" t="n">
        <f aca="false">IFERROR((SUMIFS(Data!$E$2:$E$2657,Data!$A$2:$A$2657,$A277,Data!$B$2:$B$2657,$B277,Data!$D$2:$D$2657,"RTO/market operation")+SUMIFS(Data!$G$2:$G$2657,Data!$A$2:$A$2657,$A277,Data!$B$2:$B$2657,$B277,Data!$D$2:$D$2657,"RTO/market operation"))/$D277,0)</f>
        <v>0</v>
      </c>
      <c r="H277" s="10" t="n">
        <f aca="false">IFERROR((SUMIFS(Data!$E$2:$E$2657,Data!$A$2:$A$2657,$A277,Data!$B$2:$B$2657,$B277,Data!$D$2:$D$2657,"Customer accounts, service &amp; sales")+SUMIFS(Data!$G$2:$G$2657,Data!$A$2:$A$2657,$A277,Data!$B$2:$B$2657,$B277,Data!$D$2:$D$2657,"Customer accounts, service &amp; sales"))/$D277,0)</f>
        <v>0.0995539645006777</v>
      </c>
      <c r="I277" s="10" t="n">
        <f aca="false">IFERROR((SUMIFS(Data!$E$2:$E$2657,Data!$A$2:$A$2657,$A277,Data!$B$2:$B$2657,$B277,Data!$D$2:$D$2657,"A&amp;G and general")+SUMIFS(Data!$G$2:$G$2657,Data!$A$2:$A$2657,$A277,Data!$B$2:$B$2657,$B277,Data!$D$2:$D$2657,"A&amp;G and general"))/$D277,0)</f>
        <v>0.418946494377276</v>
      </c>
      <c r="J277" s="10" t="n">
        <f aca="false">IFERROR(SUMIFS(Data!$F$2:$F$2657,Data!$A$2:$A$2657,$A277,Data!$B$2:$B$2657,$B277)/$D277,0)</f>
        <v>0</v>
      </c>
      <c r="K277" s="11" t="n">
        <f aca="false">SUM(E277:I277)</f>
        <v>1</v>
      </c>
    </row>
    <row r="278" customFormat="false" ht="15" hidden="false" customHeight="false" outlineLevel="0" collapsed="false">
      <c r="A278" s="7" t="n">
        <v>2009</v>
      </c>
      <c r="B278" s="12" t="s">
        <v>79</v>
      </c>
      <c r="C278" s="12" t="s">
        <v>72</v>
      </c>
      <c r="D278" s="9" t="n">
        <f aca="false">SUMIFS(Data!$E$2:$E$2657,Data!$A$2:$A$2657,$A278,Data!$B$2:$B$2657,$B278)+SUMIFS(Data!$G$2:$G$2657,Data!$A$2:$A$2657,$A278,Data!$B$2:$B$2657,$B278)</f>
        <v>736.092187</v>
      </c>
      <c r="E278" s="10" t="n">
        <f aca="false">IFERROR((SUMIFS(Data!$E$2:$E$2657,Data!$A$2:$A$2657,$A278,Data!$B$2:$B$2657,$B278,Data!$D$2:$D$2657,"Transmission")+SUMIFS(Data!$G$2:$G$2657,Data!$A$2:$A$2657,$A278,Data!$B$2:$B$2657,$B278,Data!$D$2:$D$2657,"Transmission"))/$D278,0)</f>
        <v>0.350201326073849</v>
      </c>
      <c r="F278" s="10" t="n">
        <f aca="false">IFERROR((SUMIFS(Data!$E$2:$E$2657,Data!$A$2:$A$2657,$A278,Data!$B$2:$B$2657,$B278,Data!$D$2:$D$2657,"Distribution")+SUMIFS(Data!$G$2:$G$2657,Data!$A$2:$A$2657,$A278,Data!$B$2:$B$2657,$B278,Data!$D$2:$D$2657,"Distribution"))/$D278,0)</f>
        <v>0.243483610022341</v>
      </c>
      <c r="G278" s="10" t="n">
        <f aca="false">IFERROR((SUMIFS(Data!$E$2:$E$2657,Data!$A$2:$A$2657,$A278,Data!$B$2:$B$2657,$B278,Data!$D$2:$D$2657,"RTO/market operation")+SUMIFS(Data!$G$2:$G$2657,Data!$A$2:$A$2657,$A278,Data!$B$2:$B$2657,$B278,Data!$D$2:$D$2657,"RTO/market operation"))/$D278,0)</f>
        <v>0.00867107967279647</v>
      </c>
      <c r="H278" s="10" t="n">
        <f aca="false">IFERROR((SUMIFS(Data!$E$2:$E$2657,Data!$A$2:$A$2657,$A278,Data!$B$2:$B$2657,$B278,Data!$D$2:$D$2657,"Customer accounts, service &amp; sales")+SUMIFS(Data!$G$2:$G$2657,Data!$A$2:$A$2657,$A278,Data!$B$2:$B$2657,$B278,Data!$D$2:$D$2657,"Customer accounts, service &amp; sales"))/$D278,0)</f>
        <v>0.138458789265753</v>
      </c>
      <c r="I278" s="10" t="n">
        <f aca="false">IFERROR((SUMIFS(Data!$E$2:$E$2657,Data!$A$2:$A$2657,$A278,Data!$B$2:$B$2657,$B278,Data!$D$2:$D$2657,"A&amp;G and general")+SUMIFS(Data!$G$2:$G$2657,Data!$A$2:$A$2657,$A278,Data!$B$2:$B$2657,$B278,Data!$D$2:$D$2657,"A&amp;G and general"))/$D278,0)</f>
        <v>0.259185194965261</v>
      </c>
      <c r="J278" s="10" t="n">
        <f aca="false">IFERROR(SUMIFS(Data!$F$2:$F$2657,Data!$A$2:$A$2657,$A278,Data!$B$2:$B$2657,$B278)/$D278,0)</f>
        <v>0.341838326019347</v>
      </c>
      <c r="K278" s="11" t="n">
        <f aca="false">SUM(E278:I278)</f>
        <v>1</v>
      </c>
    </row>
    <row r="279" customFormat="false" ht="15" hidden="false" customHeight="false" outlineLevel="0" collapsed="false">
      <c r="A279" s="7" t="n">
        <v>2009</v>
      </c>
      <c r="B279" s="12" t="s">
        <v>80</v>
      </c>
      <c r="C279" s="12" t="s">
        <v>72</v>
      </c>
      <c r="D279" s="9" t="n">
        <f aca="false">SUMIFS(Data!$E$2:$E$2657,Data!$A$2:$A$2657,$A279,Data!$B$2:$B$2657,$B279)+SUMIFS(Data!$G$2:$G$2657,Data!$A$2:$A$2657,$A279,Data!$B$2:$B$2657,$B279)</f>
        <v>288.440417</v>
      </c>
      <c r="E279" s="10" t="n">
        <f aca="false">IFERROR((SUMIFS(Data!$E$2:$E$2657,Data!$A$2:$A$2657,$A279,Data!$B$2:$B$2657,$B279,Data!$D$2:$D$2657,"Transmission")+SUMIFS(Data!$G$2:$G$2657,Data!$A$2:$A$2657,$A279,Data!$B$2:$B$2657,$B279,Data!$D$2:$D$2657,"Transmission"))/$D279,0)</f>
        <v>0.334482778119129</v>
      </c>
      <c r="F279" s="10" t="n">
        <f aca="false">IFERROR((SUMIFS(Data!$E$2:$E$2657,Data!$A$2:$A$2657,$A279,Data!$B$2:$B$2657,$B279,Data!$D$2:$D$2657,"Distribution")+SUMIFS(Data!$G$2:$G$2657,Data!$A$2:$A$2657,$A279,Data!$B$2:$B$2657,$B279,Data!$D$2:$D$2657,"Distribution"))/$D279,0)</f>
        <v>0.219458800740813</v>
      </c>
      <c r="G279" s="10" t="n">
        <f aca="false">IFERROR((SUMIFS(Data!$E$2:$E$2657,Data!$A$2:$A$2657,$A279,Data!$B$2:$B$2657,$B279,Data!$D$2:$D$2657,"RTO/market operation")+SUMIFS(Data!$G$2:$G$2657,Data!$A$2:$A$2657,$A279,Data!$B$2:$B$2657,$B279,Data!$D$2:$D$2657,"RTO/market operation"))/$D279,0)</f>
        <v>0.00955830333583244</v>
      </c>
      <c r="H279" s="10" t="n">
        <f aca="false">IFERROR((SUMIFS(Data!$E$2:$E$2657,Data!$A$2:$A$2657,$A279,Data!$B$2:$B$2657,$B279,Data!$D$2:$D$2657,"Customer accounts, service &amp; sales")+SUMIFS(Data!$G$2:$G$2657,Data!$A$2:$A$2657,$A279,Data!$B$2:$B$2657,$B279,Data!$D$2:$D$2657,"Customer accounts, service &amp; sales"))/$D279,0)</f>
        <v>0.157355645481542</v>
      </c>
      <c r="I279" s="10" t="n">
        <f aca="false">IFERROR((SUMIFS(Data!$E$2:$E$2657,Data!$A$2:$A$2657,$A279,Data!$B$2:$B$2657,$B279,Data!$D$2:$D$2657,"A&amp;G and general")+SUMIFS(Data!$G$2:$G$2657,Data!$A$2:$A$2657,$A279,Data!$B$2:$B$2657,$B279,Data!$D$2:$D$2657,"A&amp;G and general"))/$D279,0)</f>
        <v>0.279144472322684</v>
      </c>
      <c r="J279" s="10" t="n">
        <f aca="false">IFERROR(SUMIFS(Data!$F$2:$F$2657,Data!$A$2:$A$2657,$A279,Data!$B$2:$B$2657,$B279)/$D279,0)</f>
        <v>0.326538759649623</v>
      </c>
      <c r="K279" s="11" t="n">
        <f aca="false">SUM(E279:I279)</f>
        <v>1</v>
      </c>
    </row>
    <row r="280" customFormat="false" ht="15" hidden="false" customHeight="false" outlineLevel="0" collapsed="false">
      <c r="A280" s="7" t="n">
        <v>2009</v>
      </c>
      <c r="B280" s="12" t="s">
        <v>81</v>
      </c>
      <c r="C280" s="12" t="s">
        <v>72</v>
      </c>
      <c r="D280" s="9" t="n">
        <f aca="false">SUMIFS(Data!$E$2:$E$2657,Data!$A$2:$A$2657,$A280,Data!$B$2:$B$2657,$B280)+SUMIFS(Data!$G$2:$G$2657,Data!$A$2:$A$2657,$A280,Data!$B$2:$B$2657,$B280)</f>
        <v>323.178988</v>
      </c>
      <c r="E280" s="10" t="n">
        <f aca="false">IFERROR((SUMIFS(Data!$E$2:$E$2657,Data!$A$2:$A$2657,$A280,Data!$B$2:$B$2657,$B280,Data!$D$2:$D$2657,"Transmission")+SUMIFS(Data!$G$2:$G$2657,Data!$A$2:$A$2657,$A280,Data!$B$2:$B$2657,$B280,Data!$D$2:$D$2657,"Transmission"))/$D280,0)</f>
        <v>0.298098786051029</v>
      </c>
      <c r="F280" s="10" t="n">
        <f aca="false">IFERROR((SUMIFS(Data!$E$2:$E$2657,Data!$A$2:$A$2657,$A280,Data!$B$2:$B$2657,$B280,Data!$D$2:$D$2657,"Distribution")+SUMIFS(Data!$G$2:$G$2657,Data!$A$2:$A$2657,$A280,Data!$B$2:$B$2657,$B280,Data!$D$2:$D$2657,"Distribution"))/$D280,0)</f>
        <v>0.220894363961558</v>
      </c>
      <c r="G280" s="10" t="n">
        <f aca="false">IFERROR((SUMIFS(Data!$E$2:$E$2657,Data!$A$2:$A$2657,$A280,Data!$B$2:$B$2657,$B280,Data!$D$2:$D$2657,"RTO/market operation")+SUMIFS(Data!$G$2:$G$2657,Data!$A$2:$A$2657,$A280,Data!$B$2:$B$2657,$B280,Data!$D$2:$D$2657,"RTO/market operation"))/$D280,0)</f>
        <v>0.00823780350472537</v>
      </c>
      <c r="H280" s="10" t="n">
        <f aca="false">IFERROR((SUMIFS(Data!$E$2:$E$2657,Data!$A$2:$A$2657,$A280,Data!$B$2:$B$2657,$B280,Data!$D$2:$D$2657,"Customer accounts, service &amp; sales")+SUMIFS(Data!$G$2:$G$2657,Data!$A$2:$A$2657,$A280,Data!$B$2:$B$2657,$B280,Data!$D$2:$D$2657,"Customer accounts, service &amp; sales"))/$D280,0)</f>
        <v>0.111960942213236</v>
      </c>
      <c r="I280" s="10" t="n">
        <f aca="false">IFERROR((SUMIFS(Data!$E$2:$E$2657,Data!$A$2:$A$2657,$A280,Data!$B$2:$B$2657,$B280,Data!$D$2:$D$2657,"A&amp;G and general")+SUMIFS(Data!$G$2:$G$2657,Data!$A$2:$A$2657,$A280,Data!$B$2:$B$2657,$B280,Data!$D$2:$D$2657,"A&amp;G and general"))/$D280,0)</f>
        <v>0.360808104269452</v>
      </c>
      <c r="J280" s="10" t="n">
        <f aca="false">IFERROR(SUMIFS(Data!$F$2:$F$2657,Data!$A$2:$A$2657,$A280,Data!$B$2:$B$2657,$B280)/$D280,0)</f>
        <v>0.291481552012286</v>
      </c>
      <c r="K280" s="11" t="n">
        <f aca="false">SUM(E280:I280)</f>
        <v>1</v>
      </c>
    </row>
    <row r="281" customFormat="false" ht="15" hidden="false" customHeight="false" outlineLevel="0" collapsed="false">
      <c r="A281" s="7" t="n">
        <v>2010</v>
      </c>
      <c r="B281" s="12" t="s">
        <v>56</v>
      </c>
      <c r="C281" s="12" t="s">
        <v>57</v>
      </c>
      <c r="D281" s="9" t="n">
        <f aca="false">SUMIFS(Data!$E$2:$E$2657,Data!$A$2:$A$2657,$A281,Data!$B$2:$B$2657,$B281)+SUMIFS(Data!$G$2:$G$2657,Data!$A$2:$A$2657,$A281,Data!$B$2:$B$2657,$B281)</f>
        <v>176.256696</v>
      </c>
      <c r="E281" s="10" t="n">
        <f aca="false">IFERROR((SUMIFS(Data!$E$2:$E$2657,Data!$A$2:$A$2657,$A281,Data!$B$2:$B$2657,$B281,Data!$D$2:$D$2657,"Transmission")+SUMIFS(Data!$G$2:$G$2657,Data!$A$2:$A$2657,$A281,Data!$B$2:$B$2657,$B281,Data!$D$2:$D$2657,"Transmission"))/$D281,0)</f>
        <v>0.302213902840888</v>
      </c>
      <c r="F281" s="10" t="n">
        <f aca="false">IFERROR((SUMIFS(Data!$E$2:$E$2657,Data!$A$2:$A$2657,$A281,Data!$B$2:$B$2657,$B281,Data!$D$2:$D$2657,"Distribution")+SUMIFS(Data!$G$2:$G$2657,Data!$A$2:$A$2657,$A281,Data!$B$2:$B$2657,$B281,Data!$D$2:$D$2657,"Distribution"))/$D281,0)</f>
        <v>0.212570687243564</v>
      </c>
      <c r="G281" s="10" t="n">
        <f aca="false">IFERROR((SUMIFS(Data!$E$2:$E$2657,Data!$A$2:$A$2657,$A281,Data!$B$2:$B$2657,$B281,Data!$D$2:$D$2657,"RTO/market operation")+SUMIFS(Data!$G$2:$G$2657,Data!$A$2:$A$2657,$A281,Data!$B$2:$B$2657,$B281,Data!$D$2:$D$2657,"RTO/market operation"))/$D281,0)</f>
        <v>0.000237897344904275</v>
      </c>
      <c r="H281" s="10" t="n">
        <f aca="false">IFERROR((SUMIFS(Data!$E$2:$E$2657,Data!$A$2:$A$2657,$A281,Data!$B$2:$B$2657,$B281,Data!$D$2:$D$2657,"Customer accounts, service &amp; sales")+SUMIFS(Data!$G$2:$G$2657,Data!$A$2:$A$2657,$A281,Data!$B$2:$B$2657,$B281,Data!$D$2:$D$2657,"Customer accounts, service &amp; sales"))/$D281,0)</f>
        <v>0.101830417835587</v>
      </c>
      <c r="I281" s="10" t="n">
        <f aca="false">IFERROR((SUMIFS(Data!$E$2:$E$2657,Data!$A$2:$A$2657,$A281,Data!$B$2:$B$2657,$B281,Data!$D$2:$D$2657,"A&amp;G and general")+SUMIFS(Data!$G$2:$G$2657,Data!$A$2:$A$2657,$A281,Data!$B$2:$B$2657,$B281,Data!$D$2:$D$2657,"A&amp;G and general"))/$D281,0)</f>
        <v>0.383147094735056</v>
      </c>
      <c r="J281" s="10" t="n">
        <f aca="false">IFERROR(SUMIFS(Data!$F$2:$F$2657,Data!$A$2:$A$2657,$A281,Data!$B$2:$B$2657,$B281)/$D281,0)</f>
        <v>0.150496710774608</v>
      </c>
      <c r="K281" s="11" t="n">
        <f aca="false">SUM(E281:I281)</f>
        <v>1</v>
      </c>
    </row>
    <row r="282" customFormat="false" ht="15" hidden="false" customHeight="false" outlineLevel="0" collapsed="false">
      <c r="A282" s="7" t="n">
        <v>2010</v>
      </c>
      <c r="B282" s="12" t="s">
        <v>58</v>
      </c>
      <c r="C282" s="12" t="s">
        <v>59</v>
      </c>
      <c r="D282" s="9" t="n">
        <f aca="false">SUMIFS(Data!$E$2:$E$2657,Data!$A$2:$A$2657,$A282,Data!$B$2:$B$2657,$B282)+SUMIFS(Data!$G$2:$G$2657,Data!$A$2:$A$2657,$A282,Data!$B$2:$B$2657,$B282)</f>
        <v>595.272425</v>
      </c>
      <c r="E282" s="10" t="n">
        <f aca="false">IFERROR((SUMIFS(Data!$E$2:$E$2657,Data!$A$2:$A$2657,$A282,Data!$B$2:$B$2657,$B282,Data!$D$2:$D$2657,"Transmission")+SUMIFS(Data!$G$2:$G$2657,Data!$A$2:$A$2657,$A282,Data!$B$2:$B$2657,$B282,Data!$D$2:$D$2657,"Transmission"))/$D282,0)</f>
        <v>0.0808172560655737</v>
      </c>
      <c r="F282" s="10" t="n">
        <f aca="false">IFERROR((SUMIFS(Data!$E$2:$E$2657,Data!$A$2:$A$2657,$A282,Data!$B$2:$B$2657,$B282,Data!$D$2:$D$2657,"Distribution")+SUMIFS(Data!$G$2:$G$2657,Data!$A$2:$A$2657,$A282,Data!$B$2:$B$2657,$B282,Data!$D$2:$D$2657,"Distribution"))/$D282,0)</f>
        <v>0.53289608367127</v>
      </c>
      <c r="G282" s="10" t="n">
        <f aca="false">IFERROR((SUMIFS(Data!$E$2:$E$2657,Data!$A$2:$A$2657,$A282,Data!$B$2:$B$2657,$B282,Data!$D$2:$D$2657,"RTO/market operation")+SUMIFS(Data!$G$2:$G$2657,Data!$A$2:$A$2657,$A282,Data!$B$2:$B$2657,$B282,Data!$D$2:$D$2657,"RTO/market operation"))/$D282,0)</f>
        <v>0.00292989046149752</v>
      </c>
      <c r="H282" s="10" t="n">
        <f aca="false">IFERROR((SUMIFS(Data!$E$2:$E$2657,Data!$A$2:$A$2657,$A282,Data!$B$2:$B$2657,$B282,Data!$D$2:$D$2657,"Customer accounts, service &amp; sales")+SUMIFS(Data!$G$2:$G$2657,Data!$A$2:$A$2657,$A282,Data!$B$2:$B$2657,$B282,Data!$D$2:$D$2657,"Customer accounts, service &amp; sales"))/$D282,0)</f>
        <v>0.153591975976378</v>
      </c>
      <c r="I282" s="10" t="n">
        <f aca="false">IFERROR((SUMIFS(Data!$E$2:$E$2657,Data!$A$2:$A$2657,$A282,Data!$B$2:$B$2657,$B282,Data!$D$2:$D$2657,"A&amp;G and general")+SUMIFS(Data!$G$2:$G$2657,Data!$A$2:$A$2657,$A282,Data!$B$2:$B$2657,$B282,Data!$D$2:$D$2657,"A&amp;G and general"))/$D282,0)</f>
        <v>0.229764793825281</v>
      </c>
      <c r="J282" s="10" t="n">
        <f aca="false">IFERROR(SUMIFS(Data!$F$2:$F$2657,Data!$A$2:$A$2657,$A282,Data!$B$2:$B$2657,$B282)/$D282,0)</f>
        <v>0.0200984650011295</v>
      </c>
      <c r="K282" s="11" t="n">
        <f aca="false">SUM(E282:I282)</f>
        <v>1</v>
      </c>
    </row>
    <row r="283" customFormat="false" ht="15" hidden="false" customHeight="false" outlineLevel="0" collapsed="false">
      <c r="A283" s="7" t="n">
        <v>2010</v>
      </c>
      <c r="B283" s="12" t="s">
        <v>60</v>
      </c>
      <c r="C283" s="12" t="s">
        <v>59</v>
      </c>
      <c r="D283" s="9" t="n">
        <f aca="false">SUMIFS(Data!$E$2:$E$2657,Data!$A$2:$A$2657,$A283,Data!$B$2:$B$2657,$B283)+SUMIFS(Data!$G$2:$G$2657,Data!$A$2:$A$2657,$A283,Data!$B$2:$B$2657,$B283)</f>
        <v>1893.160915</v>
      </c>
      <c r="E283" s="10" t="n">
        <f aca="false">IFERROR((SUMIFS(Data!$E$2:$E$2657,Data!$A$2:$A$2657,$A283,Data!$B$2:$B$2657,$B283,Data!$D$2:$D$2657,"Transmission")+SUMIFS(Data!$G$2:$G$2657,Data!$A$2:$A$2657,$A283,Data!$B$2:$B$2657,$B283,Data!$D$2:$D$2657,"Transmission"))/$D283,0)</f>
        <v>0.236294737259564</v>
      </c>
      <c r="F283" s="10" t="n">
        <f aca="false">IFERROR((SUMIFS(Data!$E$2:$E$2657,Data!$A$2:$A$2657,$A283,Data!$B$2:$B$2657,$B283,Data!$D$2:$D$2657,"Distribution")+SUMIFS(Data!$G$2:$G$2657,Data!$A$2:$A$2657,$A283,Data!$B$2:$B$2657,$B283,Data!$D$2:$D$2657,"Distribution"))/$D283,0)</f>
        <v>0.331385941907638</v>
      </c>
      <c r="G283" s="10" t="n">
        <f aca="false">IFERROR((SUMIFS(Data!$E$2:$E$2657,Data!$A$2:$A$2657,$A283,Data!$B$2:$B$2657,$B283,Data!$D$2:$D$2657,"RTO/market operation")+SUMIFS(Data!$G$2:$G$2657,Data!$A$2:$A$2657,$A283,Data!$B$2:$B$2657,$B283,Data!$D$2:$D$2657,"RTO/market operation"))/$D283,0)</f>
        <v>0.00091268945302518</v>
      </c>
      <c r="H283" s="10" t="n">
        <f aca="false">IFERROR((SUMIFS(Data!$E$2:$E$2657,Data!$A$2:$A$2657,$A283,Data!$B$2:$B$2657,$B283,Data!$D$2:$D$2657,"Customer accounts, service &amp; sales")+SUMIFS(Data!$G$2:$G$2657,Data!$A$2:$A$2657,$A283,Data!$B$2:$B$2657,$B283,Data!$D$2:$D$2657,"Customer accounts, service &amp; sales"))/$D283,0)</f>
        <v>0.167250966091279</v>
      </c>
      <c r="I283" s="10" t="n">
        <f aca="false">IFERROR((SUMIFS(Data!$E$2:$E$2657,Data!$A$2:$A$2657,$A283,Data!$B$2:$B$2657,$B283,Data!$D$2:$D$2657,"A&amp;G and general")+SUMIFS(Data!$G$2:$G$2657,Data!$A$2:$A$2657,$A283,Data!$B$2:$B$2657,$B283,Data!$D$2:$D$2657,"A&amp;G and general"))/$D283,0)</f>
        <v>0.264155665288495</v>
      </c>
      <c r="J283" s="10" t="n">
        <f aca="false">IFERROR(SUMIFS(Data!$F$2:$F$2657,Data!$A$2:$A$2657,$A283,Data!$B$2:$B$2657,$B283)/$D283,0)</f>
        <v>0.00122758978467501</v>
      </c>
      <c r="K283" s="11" t="n">
        <f aca="false">SUM(E283:I283)</f>
        <v>1</v>
      </c>
    </row>
    <row r="284" customFormat="false" ht="15" hidden="false" customHeight="false" outlineLevel="0" collapsed="false">
      <c r="A284" s="7" t="n">
        <v>2010</v>
      </c>
      <c r="B284" s="12" t="s">
        <v>61</v>
      </c>
      <c r="C284" s="12" t="s">
        <v>62</v>
      </c>
      <c r="D284" s="9" t="n">
        <f aca="false">SUMIFS(Data!$E$2:$E$2657,Data!$A$2:$A$2657,$A284,Data!$B$2:$B$2657,$B284)+SUMIFS(Data!$G$2:$G$2657,Data!$A$2:$A$2657,$A284,Data!$B$2:$B$2657,$B284)</f>
        <v>960.038455</v>
      </c>
      <c r="E284" s="10" t="n">
        <f aca="false">IFERROR((SUMIFS(Data!$E$2:$E$2657,Data!$A$2:$A$2657,$A284,Data!$B$2:$B$2657,$B284,Data!$D$2:$D$2657,"Transmission")+SUMIFS(Data!$G$2:$G$2657,Data!$A$2:$A$2657,$A284,Data!$B$2:$B$2657,$B284,Data!$D$2:$D$2657,"Transmission"))/$D284,0)</f>
        <v>0.250948557055457</v>
      </c>
      <c r="F284" s="10" t="n">
        <f aca="false">IFERROR((SUMIFS(Data!$E$2:$E$2657,Data!$A$2:$A$2657,$A284,Data!$B$2:$B$2657,$B284,Data!$D$2:$D$2657,"Distribution")+SUMIFS(Data!$G$2:$G$2657,Data!$A$2:$A$2657,$A284,Data!$B$2:$B$2657,$B284,Data!$D$2:$D$2657,"Distribution"))/$D284,0)</f>
        <v>0.297581929673848</v>
      </c>
      <c r="G284" s="10" t="n">
        <f aca="false">IFERROR((SUMIFS(Data!$E$2:$E$2657,Data!$A$2:$A$2657,$A284,Data!$B$2:$B$2657,$B284,Data!$D$2:$D$2657,"RTO/market operation")+SUMIFS(Data!$G$2:$G$2657,Data!$A$2:$A$2657,$A284,Data!$B$2:$B$2657,$B284,Data!$D$2:$D$2657,"RTO/market operation"))/$D284,0)</f>
        <v>0.00828060371810835</v>
      </c>
      <c r="H284" s="10" t="n">
        <f aca="false">IFERROR((SUMIFS(Data!$E$2:$E$2657,Data!$A$2:$A$2657,$A284,Data!$B$2:$B$2657,$B284,Data!$D$2:$D$2657,"Customer accounts, service &amp; sales")+SUMIFS(Data!$G$2:$G$2657,Data!$A$2:$A$2657,$A284,Data!$B$2:$B$2657,$B284,Data!$D$2:$D$2657,"Customer accounts, service &amp; sales"))/$D284,0)</f>
        <v>0.139451428536787</v>
      </c>
      <c r="I284" s="10" t="n">
        <f aca="false">IFERROR((SUMIFS(Data!$E$2:$E$2657,Data!$A$2:$A$2657,$A284,Data!$B$2:$B$2657,$B284,Data!$D$2:$D$2657,"A&amp;G and general")+SUMIFS(Data!$G$2:$G$2657,Data!$A$2:$A$2657,$A284,Data!$B$2:$B$2657,$B284,Data!$D$2:$D$2657,"A&amp;G and general"))/$D284,0)</f>
        <v>0.3037374810158</v>
      </c>
      <c r="J284" s="10" t="n">
        <f aca="false">IFERROR(SUMIFS(Data!$F$2:$F$2657,Data!$A$2:$A$2657,$A284,Data!$B$2:$B$2657,$B284)/$D284,0)</f>
        <v>0.23970945205523</v>
      </c>
      <c r="K284" s="11" t="n">
        <f aca="false">SUM(E284:I284)</f>
        <v>1</v>
      </c>
    </row>
    <row r="285" customFormat="false" ht="15" hidden="false" customHeight="false" outlineLevel="0" collapsed="false">
      <c r="A285" s="7" t="n">
        <v>2010</v>
      </c>
      <c r="B285" s="12" t="s">
        <v>63</v>
      </c>
      <c r="C285" s="12" t="s">
        <v>62</v>
      </c>
      <c r="D285" s="9" t="n">
        <f aca="false">SUMIFS(Data!$E$2:$E$2657,Data!$A$2:$A$2657,$A285,Data!$B$2:$B$2657,$B285)+SUMIFS(Data!$G$2:$G$2657,Data!$A$2:$A$2657,$A285,Data!$B$2:$B$2657,$B285)</f>
        <v>1546.830213</v>
      </c>
      <c r="E285" s="10" t="n">
        <f aca="false">IFERROR((SUMIFS(Data!$E$2:$E$2657,Data!$A$2:$A$2657,$A285,Data!$B$2:$B$2657,$B285,Data!$D$2:$D$2657,"Transmission")+SUMIFS(Data!$G$2:$G$2657,Data!$A$2:$A$2657,$A285,Data!$B$2:$B$2657,$B285,Data!$D$2:$D$2657,"Transmission"))/$D285,0)</f>
        <v>0.206083637571152</v>
      </c>
      <c r="F285" s="10" t="n">
        <f aca="false">IFERROR((SUMIFS(Data!$E$2:$E$2657,Data!$A$2:$A$2657,$A285,Data!$B$2:$B$2657,$B285,Data!$D$2:$D$2657,"Distribution")+SUMIFS(Data!$G$2:$G$2657,Data!$A$2:$A$2657,$A285,Data!$B$2:$B$2657,$B285,Data!$D$2:$D$2657,"Distribution"))/$D285,0)</f>
        <v>0.316259059261083</v>
      </c>
      <c r="G285" s="10" t="n">
        <f aca="false">IFERROR((SUMIFS(Data!$E$2:$E$2657,Data!$A$2:$A$2657,$A285,Data!$B$2:$B$2657,$B285,Data!$D$2:$D$2657,"RTO/market operation")+SUMIFS(Data!$G$2:$G$2657,Data!$A$2:$A$2657,$A285,Data!$B$2:$B$2657,$B285,Data!$D$2:$D$2657,"RTO/market operation"))/$D285,0)</f>
        <v>0.00743591177837952</v>
      </c>
      <c r="H285" s="10" t="n">
        <f aca="false">IFERROR((SUMIFS(Data!$E$2:$E$2657,Data!$A$2:$A$2657,$A285,Data!$B$2:$B$2657,$B285,Data!$D$2:$D$2657,"Customer accounts, service &amp; sales")+SUMIFS(Data!$G$2:$G$2657,Data!$A$2:$A$2657,$A285,Data!$B$2:$B$2657,$B285,Data!$D$2:$D$2657,"Customer accounts, service &amp; sales"))/$D285,0)</f>
        <v>0.144609626266719</v>
      </c>
      <c r="I285" s="10" t="n">
        <f aca="false">IFERROR((SUMIFS(Data!$E$2:$E$2657,Data!$A$2:$A$2657,$A285,Data!$B$2:$B$2657,$B285,Data!$D$2:$D$2657,"A&amp;G and general")+SUMIFS(Data!$G$2:$G$2657,Data!$A$2:$A$2657,$A285,Data!$B$2:$B$2657,$B285,Data!$D$2:$D$2657,"A&amp;G and general"))/$D285,0)</f>
        <v>0.325611765122666</v>
      </c>
      <c r="J285" s="10" t="n">
        <f aca="false">IFERROR(SUMIFS(Data!$F$2:$F$2657,Data!$A$2:$A$2657,$A285,Data!$B$2:$B$2657,$B285)/$D285,0)</f>
        <v>0.198138683498808</v>
      </c>
      <c r="K285" s="11" t="n">
        <f aca="false">SUM(E285:I285)</f>
        <v>1</v>
      </c>
    </row>
    <row r="286" customFormat="false" ht="15" hidden="false" customHeight="false" outlineLevel="0" collapsed="false">
      <c r="A286" s="7" t="n">
        <v>2010</v>
      </c>
      <c r="B286" s="12" t="s">
        <v>64</v>
      </c>
      <c r="C286" s="12" t="s">
        <v>65</v>
      </c>
      <c r="D286" s="9" t="n">
        <f aca="false">SUMIFS(Data!$E$2:$E$2657,Data!$A$2:$A$2657,$A286,Data!$B$2:$B$2657,$B286)+SUMIFS(Data!$G$2:$G$2657,Data!$A$2:$A$2657,$A286,Data!$B$2:$B$2657,$B286)</f>
        <v>533.952526</v>
      </c>
      <c r="E286" s="10" t="n">
        <f aca="false">IFERROR((SUMIFS(Data!$E$2:$E$2657,Data!$A$2:$A$2657,$A286,Data!$B$2:$B$2657,$B286,Data!$D$2:$D$2657,"Transmission")+SUMIFS(Data!$G$2:$G$2657,Data!$A$2:$A$2657,$A286,Data!$B$2:$B$2657,$B286,Data!$D$2:$D$2657,"Transmission"))/$D286,0)</f>
        <v>0.119682068888649</v>
      </c>
      <c r="F286" s="10" t="n">
        <f aca="false">IFERROR((SUMIFS(Data!$E$2:$E$2657,Data!$A$2:$A$2657,$A286,Data!$B$2:$B$2657,$B286,Data!$D$2:$D$2657,"Distribution")+SUMIFS(Data!$G$2:$G$2657,Data!$A$2:$A$2657,$A286,Data!$B$2:$B$2657,$B286,Data!$D$2:$D$2657,"Distribution"))/$D286,0)</f>
        <v>0.26396939079187</v>
      </c>
      <c r="G286" s="10" t="n">
        <f aca="false">IFERROR((SUMIFS(Data!$E$2:$E$2657,Data!$A$2:$A$2657,$A286,Data!$B$2:$B$2657,$B286,Data!$D$2:$D$2657,"RTO/market operation")+SUMIFS(Data!$G$2:$G$2657,Data!$A$2:$A$2657,$A286,Data!$B$2:$B$2657,$B286,Data!$D$2:$D$2657,"RTO/market operation"))/$D286,0)</f>
        <v>0.0144578733578273</v>
      </c>
      <c r="H286" s="10" t="n">
        <f aca="false">IFERROR((SUMIFS(Data!$E$2:$E$2657,Data!$A$2:$A$2657,$A286,Data!$B$2:$B$2657,$B286,Data!$D$2:$D$2657,"Customer accounts, service &amp; sales")+SUMIFS(Data!$G$2:$G$2657,Data!$A$2:$A$2657,$A286,Data!$B$2:$B$2657,$B286,Data!$D$2:$D$2657,"Customer accounts, service &amp; sales"))/$D286,0)</f>
        <v>0.111149819712624</v>
      </c>
      <c r="I286" s="10" t="n">
        <f aca="false">IFERROR((SUMIFS(Data!$E$2:$E$2657,Data!$A$2:$A$2657,$A286,Data!$B$2:$B$2657,$B286,Data!$D$2:$D$2657,"A&amp;G and general")+SUMIFS(Data!$G$2:$G$2657,Data!$A$2:$A$2657,$A286,Data!$B$2:$B$2657,$B286,Data!$D$2:$D$2657,"A&amp;G and general"))/$D286,0)</f>
        <v>0.49074084724903</v>
      </c>
      <c r="J286" s="10" t="n">
        <f aca="false">IFERROR(SUMIFS(Data!$F$2:$F$2657,Data!$A$2:$A$2657,$A286,Data!$B$2:$B$2657,$B286)/$D286,0)</f>
        <v>0.0164532473810228</v>
      </c>
      <c r="K286" s="11" t="n">
        <f aca="false">SUM(E286:I286)</f>
        <v>1</v>
      </c>
    </row>
    <row r="287" customFormat="false" ht="15" hidden="false" customHeight="false" outlineLevel="0" collapsed="false">
      <c r="A287" s="7" t="n">
        <v>2010</v>
      </c>
      <c r="B287" s="12" t="s">
        <v>66</v>
      </c>
      <c r="C287" s="12" t="s">
        <v>67</v>
      </c>
      <c r="D287" s="9" t="n">
        <f aca="false">SUMIFS(Data!$E$2:$E$2657,Data!$A$2:$A$2657,$A287,Data!$B$2:$B$2657,$B287)+SUMIFS(Data!$G$2:$G$2657,Data!$A$2:$A$2657,$A287,Data!$B$2:$B$2657,$B287)</f>
        <v>334.275494</v>
      </c>
      <c r="E287" s="10" t="n">
        <f aca="false">IFERROR((SUMIFS(Data!$E$2:$E$2657,Data!$A$2:$A$2657,$A287,Data!$B$2:$B$2657,$B287,Data!$D$2:$D$2657,"Transmission")+SUMIFS(Data!$G$2:$G$2657,Data!$A$2:$A$2657,$A287,Data!$B$2:$B$2657,$B287,Data!$D$2:$D$2657,"Transmission"))/$D287,0)</f>
        <v>0.0756483124066522</v>
      </c>
      <c r="F287" s="10" t="n">
        <f aca="false">IFERROR((SUMIFS(Data!$E$2:$E$2657,Data!$A$2:$A$2657,$A287,Data!$B$2:$B$2657,$B287,Data!$D$2:$D$2657,"Distribution")+SUMIFS(Data!$G$2:$G$2657,Data!$A$2:$A$2657,$A287,Data!$B$2:$B$2657,$B287,Data!$D$2:$D$2657,"Distribution"))/$D287,0)</f>
        <v>0.316242733605832</v>
      </c>
      <c r="G287" s="10" t="n">
        <f aca="false">IFERROR((SUMIFS(Data!$E$2:$E$2657,Data!$A$2:$A$2657,$A287,Data!$B$2:$B$2657,$B287,Data!$D$2:$D$2657,"RTO/market operation")+SUMIFS(Data!$G$2:$G$2657,Data!$A$2:$A$2657,$A287,Data!$B$2:$B$2657,$B287,Data!$D$2:$D$2657,"RTO/market operation"))/$D287,0)</f>
        <v>0.010178023998373</v>
      </c>
      <c r="H287" s="10" t="n">
        <f aca="false">IFERROR((SUMIFS(Data!$E$2:$E$2657,Data!$A$2:$A$2657,$A287,Data!$B$2:$B$2657,$B287,Data!$D$2:$D$2657,"Customer accounts, service &amp; sales")+SUMIFS(Data!$G$2:$G$2657,Data!$A$2:$A$2657,$A287,Data!$B$2:$B$2657,$B287,Data!$D$2:$D$2657,"Customer accounts, service &amp; sales"))/$D287,0)</f>
        <v>0.082662475999512</v>
      </c>
      <c r="I287" s="10" t="n">
        <f aca="false">IFERROR((SUMIFS(Data!$E$2:$E$2657,Data!$A$2:$A$2657,$A287,Data!$B$2:$B$2657,$B287,Data!$D$2:$D$2657,"A&amp;G and general")+SUMIFS(Data!$G$2:$G$2657,Data!$A$2:$A$2657,$A287,Data!$B$2:$B$2657,$B287,Data!$D$2:$D$2657,"A&amp;G and general"))/$D287,0)</f>
        <v>0.515268453989631</v>
      </c>
      <c r="J287" s="10" t="n">
        <f aca="false">IFERROR(SUMIFS(Data!$F$2:$F$2657,Data!$A$2:$A$2657,$A287,Data!$B$2:$B$2657,$B287)/$D287,0)</f>
        <v>-0.0584004402069629</v>
      </c>
      <c r="K287" s="11" t="n">
        <f aca="false">SUM(E287:I287)</f>
        <v>1</v>
      </c>
    </row>
    <row r="288" customFormat="false" ht="15" hidden="false" customHeight="false" outlineLevel="0" collapsed="false">
      <c r="A288" s="7" t="n">
        <v>2010</v>
      </c>
      <c r="B288" s="12" t="s">
        <v>68</v>
      </c>
      <c r="C288" s="12" t="s">
        <v>65</v>
      </c>
      <c r="D288" s="9" t="n">
        <f aca="false">SUMIFS(Data!$E$2:$E$2657,Data!$A$2:$A$2657,$A288,Data!$B$2:$B$2657,$B288)+SUMIFS(Data!$G$2:$G$2657,Data!$A$2:$A$2657,$A288,Data!$B$2:$B$2657,$B288)</f>
        <v>249.470776</v>
      </c>
      <c r="E288" s="10" t="n">
        <f aca="false">IFERROR((SUMIFS(Data!$E$2:$E$2657,Data!$A$2:$A$2657,$A288,Data!$B$2:$B$2657,$B288,Data!$D$2:$D$2657,"Transmission")+SUMIFS(Data!$G$2:$G$2657,Data!$A$2:$A$2657,$A288,Data!$B$2:$B$2657,$B288,Data!$D$2:$D$2657,"Transmission"))/$D288,0)</f>
        <v>0.0663154188448911</v>
      </c>
      <c r="F288" s="10" t="n">
        <f aca="false">IFERROR((SUMIFS(Data!$E$2:$E$2657,Data!$A$2:$A$2657,$A288,Data!$B$2:$B$2657,$B288,Data!$D$2:$D$2657,"Distribution")+SUMIFS(Data!$G$2:$G$2657,Data!$A$2:$A$2657,$A288,Data!$B$2:$B$2657,$B288,Data!$D$2:$D$2657,"Distribution"))/$D288,0)</f>
        <v>0.383232968337742</v>
      </c>
      <c r="G288" s="10" t="n">
        <f aca="false">IFERROR((SUMIFS(Data!$E$2:$E$2657,Data!$A$2:$A$2657,$A288,Data!$B$2:$B$2657,$B288,Data!$D$2:$D$2657,"RTO/market operation")+SUMIFS(Data!$G$2:$G$2657,Data!$A$2:$A$2657,$A288,Data!$B$2:$B$2657,$B288,Data!$D$2:$D$2657,"RTO/market operation"))/$D288,0)</f>
        <v>0.000751061919974146</v>
      </c>
      <c r="H288" s="10" t="n">
        <f aca="false">IFERROR((SUMIFS(Data!$E$2:$E$2657,Data!$A$2:$A$2657,$A288,Data!$B$2:$B$2657,$B288,Data!$D$2:$D$2657,"Customer accounts, service &amp; sales")+SUMIFS(Data!$G$2:$G$2657,Data!$A$2:$A$2657,$A288,Data!$B$2:$B$2657,$B288,Data!$D$2:$D$2657,"Customer accounts, service &amp; sales"))/$D288,0)</f>
        <v>0.0863455525548211</v>
      </c>
      <c r="I288" s="10" t="n">
        <f aca="false">IFERROR((SUMIFS(Data!$E$2:$E$2657,Data!$A$2:$A$2657,$A288,Data!$B$2:$B$2657,$B288,Data!$D$2:$D$2657,"A&amp;G and general")+SUMIFS(Data!$G$2:$G$2657,Data!$A$2:$A$2657,$A288,Data!$B$2:$B$2657,$B288,Data!$D$2:$D$2657,"A&amp;G and general"))/$D288,0)</f>
        <v>0.463354998342571</v>
      </c>
      <c r="J288" s="10" t="n">
        <f aca="false">IFERROR(SUMIFS(Data!$F$2:$F$2657,Data!$A$2:$A$2657,$A288,Data!$B$2:$B$2657,$B288)/$D288,0)</f>
        <v>0.0136794940662709</v>
      </c>
      <c r="K288" s="11" t="n">
        <f aca="false">SUM(E288:I288)</f>
        <v>1</v>
      </c>
    </row>
    <row r="289" customFormat="false" ht="15" hidden="false" customHeight="false" outlineLevel="0" collapsed="false">
      <c r="A289" s="7" t="n">
        <v>2010</v>
      </c>
      <c r="B289" s="12" t="s">
        <v>69</v>
      </c>
      <c r="C289" s="12" t="s">
        <v>70</v>
      </c>
      <c r="D289" s="9" t="n">
        <f aca="false">SUMIFS(Data!$E$2:$E$2657,Data!$A$2:$A$2657,$A289,Data!$B$2:$B$2657,$B289)+SUMIFS(Data!$G$2:$G$2657,Data!$A$2:$A$2657,$A289,Data!$B$2:$B$2657,$B289)</f>
        <v>435.981372</v>
      </c>
      <c r="E289" s="10" t="n">
        <f aca="false">IFERROR((SUMIFS(Data!$E$2:$E$2657,Data!$A$2:$A$2657,$A289,Data!$B$2:$B$2657,$B289,Data!$D$2:$D$2657,"Transmission")+SUMIFS(Data!$G$2:$G$2657,Data!$A$2:$A$2657,$A289,Data!$B$2:$B$2657,$B289,Data!$D$2:$D$2657,"Transmission"))/$D289,0)</f>
        <v>0.417436357808425</v>
      </c>
      <c r="F289" s="10" t="n">
        <f aca="false">IFERROR((SUMIFS(Data!$E$2:$E$2657,Data!$A$2:$A$2657,$A289,Data!$B$2:$B$2657,$B289,Data!$D$2:$D$2657,"Distribution")+SUMIFS(Data!$G$2:$G$2657,Data!$A$2:$A$2657,$A289,Data!$B$2:$B$2657,$B289,Data!$D$2:$D$2657,"Distribution"))/$D289,0)</f>
        <v>0.173716573376901</v>
      </c>
      <c r="G289" s="10" t="n">
        <f aca="false">IFERROR((SUMIFS(Data!$E$2:$E$2657,Data!$A$2:$A$2657,$A289,Data!$B$2:$B$2657,$B289,Data!$D$2:$D$2657,"RTO/market operation")+SUMIFS(Data!$G$2:$G$2657,Data!$A$2:$A$2657,$A289,Data!$B$2:$B$2657,$B289,Data!$D$2:$D$2657,"RTO/market operation"))/$D289,0)</f>
        <v>0.00903067941168826</v>
      </c>
      <c r="H289" s="10" t="n">
        <f aca="false">IFERROR((SUMIFS(Data!$E$2:$E$2657,Data!$A$2:$A$2657,$A289,Data!$B$2:$B$2657,$B289,Data!$D$2:$D$2657,"Customer accounts, service &amp; sales")+SUMIFS(Data!$G$2:$G$2657,Data!$A$2:$A$2657,$A289,Data!$B$2:$B$2657,$B289,Data!$D$2:$D$2657,"Customer accounts, service &amp; sales"))/$D289,0)</f>
        <v>0.145746912783237</v>
      </c>
      <c r="I289" s="10" t="n">
        <f aca="false">IFERROR((SUMIFS(Data!$E$2:$E$2657,Data!$A$2:$A$2657,$A289,Data!$B$2:$B$2657,$B289,Data!$D$2:$D$2657,"A&amp;G and general")+SUMIFS(Data!$G$2:$G$2657,Data!$A$2:$A$2657,$A289,Data!$B$2:$B$2657,$B289,Data!$D$2:$D$2657,"A&amp;G and general"))/$D289,0)</f>
        <v>0.254069476619749</v>
      </c>
      <c r="J289" s="10" t="n">
        <f aca="false">IFERROR(SUMIFS(Data!$F$2:$F$2657,Data!$A$2:$A$2657,$A289,Data!$B$2:$B$2657,$B289)/$D289,0)</f>
        <v>0.410946160791475</v>
      </c>
      <c r="K289" s="11" t="n">
        <f aca="false">SUM(E289:I289)</f>
        <v>1</v>
      </c>
    </row>
    <row r="290" customFormat="false" ht="15" hidden="false" customHeight="false" outlineLevel="0" collapsed="false">
      <c r="A290" s="7" t="n">
        <v>2010</v>
      </c>
      <c r="B290" s="12" t="s">
        <v>71</v>
      </c>
      <c r="C290" s="12" t="s">
        <v>72</v>
      </c>
      <c r="D290" s="9" t="n">
        <f aca="false">SUMIFS(Data!$E$2:$E$2657,Data!$A$2:$A$2657,$A290,Data!$B$2:$B$2657,$B290)+SUMIFS(Data!$G$2:$G$2657,Data!$A$2:$A$2657,$A290,Data!$B$2:$B$2657,$B290)</f>
        <v>108.74245</v>
      </c>
      <c r="E290" s="10" t="n">
        <f aca="false">IFERROR((SUMIFS(Data!$E$2:$E$2657,Data!$A$2:$A$2657,$A290,Data!$B$2:$B$2657,$B290,Data!$D$2:$D$2657,"Transmission")+SUMIFS(Data!$G$2:$G$2657,Data!$A$2:$A$2657,$A290,Data!$B$2:$B$2657,$B290,Data!$D$2:$D$2657,"Transmission"))/$D290,0)</f>
        <v>0.273262152912685</v>
      </c>
      <c r="F290" s="10" t="n">
        <f aca="false">IFERROR((SUMIFS(Data!$E$2:$E$2657,Data!$A$2:$A$2657,$A290,Data!$B$2:$B$2657,$B290,Data!$D$2:$D$2657,"Distribution")+SUMIFS(Data!$G$2:$G$2657,Data!$A$2:$A$2657,$A290,Data!$B$2:$B$2657,$B290,Data!$D$2:$D$2657,"Distribution"))/$D290,0)</f>
        <v>0.210296907969243</v>
      </c>
      <c r="G290" s="10" t="n">
        <f aca="false">IFERROR((SUMIFS(Data!$E$2:$E$2657,Data!$A$2:$A$2657,$A290,Data!$B$2:$B$2657,$B290,Data!$D$2:$D$2657,"RTO/market operation")+SUMIFS(Data!$G$2:$G$2657,Data!$A$2:$A$2657,$A290,Data!$B$2:$B$2657,$B290,Data!$D$2:$D$2657,"RTO/market operation"))/$D290,0)</f>
        <v>0.00682689234976773</v>
      </c>
      <c r="H290" s="10" t="n">
        <f aca="false">IFERROR((SUMIFS(Data!$E$2:$E$2657,Data!$A$2:$A$2657,$A290,Data!$B$2:$B$2657,$B290,Data!$D$2:$D$2657,"Customer accounts, service &amp; sales")+SUMIFS(Data!$G$2:$G$2657,Data!$A$2:$A$2657,$A290,Data!$B$2:$B$2657,$B290,Data!$D$2:$D$2657,"Customer accounts, service &amp; sales"))/$D290,0)</f>
        <v>0.144426505012532</v>
      </c>
      <c r="I290" s="10" t="n">
        <f aca="false">IFERROR((SUMIFS(Data!$E$2:$E$2657,Data!$A$2:$A$2657,$A290,Data!$B$2:$B$2657,$B290,Data!$D$2:$D$2657,"A&amp;G and general")+SUMIFS(Data!$G$2:$G$2657,Data!$A$2:$A$2657,$A290,Data!$B$2:$B$2657,$B290,Data!$D$2:$D$2657,"A&amp;G and general"))/$D290,0)</f>
        <v>0.365187541755773</v>
      </c>
      <c r="J290" s="10" t="n">
        <f aca="false">IFERROR(SUMIFS(Data!$F$2:$F$2657,Data!$A$2:$A$2657,$A290,Data!$B$2:$B$2657,$B290)/$D290,0)</f>
        <v>0.272872102844841</v>
      </c>
      <c r="K290" s="11" t="n">
        <f aca="false">SUM(E290:I290)</f>
        <v>1</v>
      </c>
    </row>
    <row r="291" customFormat="false" ht="15" hidden="false" customHeight="false" outlineLevel="0" collapsed="false">
      <c r="A291" s="7" t="n">
        <v>2010</v>
      </c>
      <c r="B291" s="12" t="s">
        <v>73</v>
      </c>
      <c r="C291" s="12" t="s">
        <v>70</v>
      </c>
      <c r="D291" s="9" t="n">
        <f aca="false">SUMIFS(Data!$E$2:$E$2657,Data!$A$2:$A$2657,$A291,Data!$B$2:$B$2657,$B291)+SUMIFS(Data!$G$2:$G$2657,Data!$A$2:$A$2657,$A291,Data!$B$2:$B$2657,$B291)</f>
        <v>419.622622</v>
      </c>
      <c r="E291" s="10" t="n">
        <f aca="false">IFERROR((SUMIFS(Data!$E$2:$E$2657,Data!$A$2:$A$2657,$A291,Data!$B$2:$B$2657,$B291,Data!$D$2:$D$2657,"Transmission")+SUMIFS(Data!$G$2:$G$2657,Data!$A$2:$A$2657,$A291,Data!$B$2:$B$2657,$B291,Data!$D$2:$D$2657,"Transmission"))/$D291,0)</f>
        <v>0.170140576930097</v>
      </c>
      <c r="F291" s="10" t="n">
        <f aca="false">IFERROR((SUMIFS(Data!$E$2:$E$2657,Data!$A$2:$A$2657,$A291,Data!$B$2:$B$2657,$B291,Data!$D$2:$D$2657,"Distribution")+SUMIFS(Data!$G$2:$G$2657,Data!$A$2:$A$2657,$A291,Data!$B$2:$B$2657,$B291,Data!$D$2:$D$2657,"Distribution"))/$D291,0)</f>
        <v>0.388373551509813</v>
      </c>
      <c r="G291" s="10" t="n">
        <f aca="false">IFERROR((SUMIFS(Data!$E$2:$E$2657,Data!$A$2:$A$2657,$A291,Data!$B$2:$B$2657,$B291,Data!$D$2:$D$2657,"RTO/market operation")+SUMIFS(Data!$G$2:$G$2657,Data!$A$2:$A$2657,$A291,Data!$B$2:$B$2657,$B291,Data!$D$2:$D$2657,"RTO/market operation"))/$D291,0)</f>
        <v>0.0179400980912797</v>
      </c>
      <c r="H291" s="10" t="n">
        <f aca="false">IFERROR((SUMIFS(Data!$E$2:$E$2657,Data!$A$2:$A$2657,$A291,Data!$B$2:$B$2657,$B291,Data!$D$2:$D$2657,"Customer accounts, service &amp; sales")+SUMIFS(Data!$G$2:$G$2657,Data!$A$2:$A$2657,$A291,Data!$B$2:$B$2657,$B291,Data!$D$2:$D$2657,"Customer accounts, service &amp; sales"))/$D291,0)</f>
        <v>0.189410517529248</v>
      </c>
      <c r="I291" s="10" t="n">
        <f aca="false">IFERROR((SUMIFS(Data!$E$2:$E$2657,Data!$A$2:$A$2657,$A291,Data!$B$2:$B$2657,$B291,Data!$D$2:$D$2657,"A&amp;G and general")+SUMIFS(Data!$G$2:$G$2657,Data!$A$2:$A$2657,$A291,Data!$B$2:$B$2657,$B291,Data!$D$2:$D$2657,"A&amp;G and general"))/$D291,0)</f>
        <v>0.234135255939562</v>
      </c>
      <c r="J291" s="10" t="n">
        <f aca="false">IFERROR(SUMIFS(Data!$F$2:$F$2657,Data!$A$2:$A$2657,$A291,Data!$B$2:$B$2657,$B291)/$D291,0)</f>
        <v>0.0950538648509755</v>
      </c>
      <c r="K291" s="11" t="n">
        <f aca="false">SUM(E291:I291)</f>
        <v>1</v>
      </c>
    </row>
    <row r="292" customFormat="false" ht="15" hidden="false" customHeight="false" outlineLevel="0" collapsed="false">
      <c r="A292" s="7" t="n">
        <v>2010</v>
      </c>
      <c r="B292" s="12" t="s">
        <v>74</v>
      </c>
      <c r="C292" s="12" t="s">
        <v>65</v>
      </c>
      <c r="D292" s="9" t="n">
        <f aca="false">SUMIFS(Data!$E$2:$E$2657,Data!$A$2:$A$2657,$A292,Data!$B$2:$B$2657,$B292)+SUMIFS(Data!$G$2:$G$2657,Data!$A$2:$A$2657,$A292,Data!$B$2:$B$2657,$B292)</f>
        <v>312.328278</v>
      </c>
      <c r="E292" s="10" t="n">
        <f aca="false">IFERROR((SUMIFS(Data!$E$2:$E$2657,Data!$A$2:$A$2657,$A292,Data!$B$2:$B$2657,$B292,Data!$D$2:$D$2657,"Transmission")+SUMIFS(Data!$G$2:$G$2657,Data!$A$2:$A$2657,$A292,Data!$B$2:$B$2657,$B292,Data!$D$2:$D$2657,"Transmission"))/$D292,0)</f>
        <v>0.125823835906398</v>
      </c>
      <c r="F292" s="10" t="n">
        <f aca="false">IFERROR((SUMIFS(Data!$E$2:$E$2657,Data!$A$2:$A$2657,$A292,Data!$B$2:$B$2657,$B292,Data!$D$2:$D$2657,"Distribution")+SUMIFS(Data!$G$2:$G$2657,Data!$A$2:$A$2657,$A292,Data!$B$2:$B$2657,$B292,Data!$D$2:$D$2657,"Distribution"))/$D292,0)</f>
        <v>0.311997858868226</v>
      </c>
      <c r="G292" s="10" t="n">
        <f aca="false">IFERROR((SUMIFS(Data!$E$2:$E$2657,Data!$A$2:$A$2657,$A292,Data!$B$2:$B$2657,$B292,Data!$D$2:$D$2657,"RTO/market operation")+SUMIFS(Data!$G$2:$G$2657,Data!$A$2:$A$2657,$A292,Data!$B$2:$B$2657,$B292,Data!$D$2:$D$2657,"RTO/market operation"))/$D292,0)</f>
        <v>3.20175940008865E-005</v>
      </c>
      <c r="H292" s="10" t="n">
        <f aca="false">IFERROR((SUMIFS(Data!$E$2:$E$2657,Data!$A$2:$A$2657,$A292,Data!$B$2:$B$2657,$B292,Data!$D$2:$D$2657,"Customer accounts, service &amp; sales")+SUMIFS(Data!$G$2:$G$2657,Data!$A$2:$A$2657,$A292,Data!$B$2:$B$2657,$B292,Data!$D$2:$D$2657,"Customer accounts, service &amp; sales"))/$D292,0)</f>
        <v>0.0610716619133667</v>
      </c>
      <c r="I292" s="10" t="n">
        <f aca="false">IFERROR((SUMIFS(Data!$E$2:$E$2657,Data!$A$2:$A$2657,$A292,Data!$B$2:$B$2657,$B292,Data!$D$2:$D$2657,"A&amp;G and general")+SUMIFS(Data!$G$2:$G$2657,Data!$A$2:$A$2657,$A292,Data!$B$2:$B$2657,$B292,Data!$D$2:$D$2657,"A&amp;G and general"))/$D292,0)</f>
        <v>0.501074625718008</v>
      </c>
      <c r="J292" s="10" t="n">
        <f aca="false">IFERROR(SUMIFS(Data!$F$2:$F$2657,Data!$A$2:$A$2657,$A292,Data!$B$2:$B$2657,$B292)/$D292,0)</f>
        <v>8.87047441794559E-005</v>
      </c>
      <c r="K292" s="11" t="n">
        <f aca="false">SUM(E292:I292)</f>
        <v>1</v>
      </c>
    </row>
    <row r="293" customFormat="false" ht="15" hidden="false" customHeight="false" outlineLevel="0" collapsed="false">
      <c r="A293" s="7" t="n">
        <v>2010</v>
      </c>
      <c r="B293" s="12" t="s">
        <v>75</v>
      </c>
      <c r="C293" s="12" t="s">
        <v>57</v>
      </c>
      <c r="D293" s="9" t="n">
        <f aca="false">SUMIFS(Data!$E$2:$E$2657,Data!$A$2:$A$2657,$A293,Data!$B$2:$B$2657,$B293)+SUMIFS(Data!$G$2:$G$2657,Data!$A$2:$A$2657,$A293,Data!$B$2:$B$2657,$B293)</f>
        <v>823.125265</v>
      </c>
      <c r="E293" s="10" t="n">
        <f aca="false">IFERROR((SUMIFS(Data!$E$2:$E$2657,Data!$A$2:$A$2657,$A293,Data!$B$2:$B$2657,$B293,Data!$D$2:$D$2657,"Transmission")+SUMIFS(Data!$G$2:$G$2657,Data!$A$2:$A$2657,$A293,Data!$B$2:$B$2657,$B293,Data!$D$2:$D$2657,"Transmission"))/$D293,0)</f>
        <v>0.264945277800457</v>
      </c>
      <c r="F293" s="10" t="n">
        <f aca="false">IFERROR((SUMIFS(Data!$E$2:$E$2657,Data!$A$2:$A$2657,$A293,Data!$B$2:$B$2657,$B293,Data!$D$2:$D$2657,"Distribution")+SUMIFS(Data!$G$2:$G$2657,Data!$A$2:$A$2657,$A293,Data!$B$2:$B$2657,$B293,Data!$D$2:$D$2657,"Distribution"))/$D293,0)</f>
        <v>0.245352699749776</v>
      </c>
      <c r="G293" s="10" t="n">
        <f aca="false">IFERROR((SUMIFS(Data!$E$2:$E$2657,Data!$A$2:$A$2657,$A293,Data!$B$2:$B$2657,$B293,Data!$D$2:$D$2657,"RTO/market operation")+SUMIFS(Data!$G$2:$G$2657,Data!$A$2:$A$2657,$A293,Data!$B$2:$B$2657,$B293,Data!$D$2:$D$2657,"RTO/market operation"))/$D293,0)</f>
        <v>0.0147884149807988</v>
      </c>
      <c r="H293" s="10" t="n">
        <f aca="false">IFERROR((SUMIFS(Data!$E$2:$E$2657,Data!$A$2:$A$2657,$A293,Data!$B$2:$B$2657,$B293,Data!$D$2:$D$2657,"Customer accounts, service &amp; sales")+SUMIFS(Data!$G$2:$G$2657,Data!$A$2:$A$2657,$A293,Data!$B$2:$B$2657,$B293,Data!$D$2:$D$2657,"Customer accounts, service &amp; sales"))/$D293,0)</f>
        <v>0.16909903986485</v>
      </c>
      <c r="I293" s="10" t="n">
        <f aca="false">IFERROR((SUMIFS(Data!$E$2:$E$2657,Data!$A$2:$A$2657,$A293,Data!$B$2:$B$2657,$B293,Data!$D$2:$D$2657,"A&amp;G and general")+SUMIFS(Data!$G$2:$G$2657,Data!$A$2:$A$2657,$A293,Data!$B$2:$B$2657,$B293,Data!$D$2:$D$2657,"A&amp;G and general"))/$D293,0)</f>
        <v>0.305814567604118</v>
      </c>
      <c r="J293" s="10" t="n">
        <f aca="false">IFERROR(SUMIFS(Data!$F$2:$F$2657,Data!$A$2:$A$2657,$A293,Data!$B$2:$B$2657,$B293)/$D293,0)</f>
        <v>0.100784526398907</v>
      </c>
      <c r="K293" s="11" t="n">
        <f aca="false">SUM(E293:I293)</f>
        <v>1</v>
      </c>
    </row>
    <row r="294" customFormat="false" ht="15" hidden="false" customHeight="false" outlineLevel="0" collapsed="false">
      <c r="A294" s="7" t="n">
        <v>2010</v>
      </c>
      <c r="B294" s="12" t="s">
        <v>76</v>
      </c>
      <c r="C294" s="12" t="s">
        <v>72</v>
      </c>
      <c r="D294" s="9" t="n">
        <f aca="false">SUMIFS(Data!$E$2:$E$2657,Data!$A$2:$A$2657,$A294,Data!$B$2:$B$2657,$B294)+SUMIFS(Data!$G$2:$G$2657,Data!$A$2:$A$2657,$A294,Data!$B$2:$B$2657,$B294)</f>
        <v>172.18252</v>
      </c>
      <c r="E294" s="10" t="n">
        <f aca="false">IFERROR((SUMIFS(Data!$E$2:$E$2657,Data!$A$2:$A$2657,$A294,Data!$B$2:$B$2657,$B294,Data!$D$2:$D$2657,"Transmission")+SUMIFS(Data!$G$2:$G$2657,Data!$A$2:$A$2657,$A294,Data!$B$2:$B$2657,$B294,Data!$D$2:$D$2657,"Transmission"))/$D294,0)</f>
        <v>0.354534502108576</v>
      </c>
      <c r="F294" s="10" t="n">
        <f aca="false">IFERROR((SUMIFS(Data!$E$2:$E$2657,Data!$A$2:$A$2657,$A294,Data!$B$2:$B$2657,$B294,Data!$D$2:$D$2657,"Distribution")+SUMIFS(Data!$G$2:$G$2657,Data!$A$2:$A$2657,$A294,Data!$B$2:$B$2657,$B294,Data!$D$2:$D$2657,"Distribution"))/$D294,0)</f>
        <v>0.250295401647043</v>
      </c>
      <c r="G294" s="10" t="n">
        <f aca="false">IFERROR((SUMIFS(Data!$E$2:$E$2657,Data!$A$2:$A$2657,$A294,Data!$B$2:$B$2657,$B294,Data!$D$2:$D$2657,"RTO/market operation")+SUMIFS(Data!$G$2:$G$2657,Data!$A$2:$A$2657,$A294,Data!$B$2:$B$2657,$B294,Data!$D$2:$D$2657,"RTO/market operation"))/$D294,0)</f>
        <v>0</v>
      </c>
      <c r="H294" s="10" t="n">
        <f aca="false">IFERROR((SUMIFS(Data!$E$2:$E$2657,Data!$A$2:$A$2657,$A294,Data!$B$2:$B$2657,$B294,Data!$D$2:$D$2657,"Customer accounts, service &amp; sales")+SUMIFS(Data!$G$2:$G$2657,Data!$A$2:$A$2657,$A294,Data!$B$2:$B$2657,$B294,Data!$D$2:$D$2657,"Customer accounts, service &amp; sales"))/$D294,0)</f>
        <v>0.12382656497303</v>
      </c>
      <c r="I294" s="10" t="n">
        <f aca="false">IFERROR((SUMIFS(Data!$E$2:$E$2657,Data!$A$2:$A$2657,$A294,Data!$B$2:$B$2657,$B294,Data!$D$2:$D$2657,"A&amp;G and general")+SUMIFS(Data!$G$2:$G$2657,Data!$A$2:$A$2657,$A294,Data!$B$2:$B$2657,$B294,Data!$D$2:$D$2657,"A&amp;G and general"))/$D294,0)</f>
        <v>0.271343531271351</v>
      </c>
      <c r="J294" s="10" t="n">
        <f aca="false">IFERROR(SUMIFS(Data!$F$2:$F$2657,Data!$A$2:$A$2657,$A294,Data!$B$2:$B$2657,$B294)/$D294,0)</f>
        <v>0</v>
      </c>
      <c r="K294" s="11" t="n">
        <f aca="false">SUM(E294:I294)</f>
        <v>1</v>
      </c>
    </row>
    <row r="295" customFormat="false" ht="15" hidden="false" customHeight="false" outlineLevel="0" collapsed="false">
      <c r="A295" s="7" t="n">
        <v>2010</v>
      </c>
      <c r="B295" s="12" t="s">
        <v>77</v>
      </c>
      <c r="C295" s="12" t="s">
        <v>57</v>
      </c>
      <c r="D295" s="9" t="n">
        <f aca="false">SUMIFS(Data!$E$2:$E$2657,Data!$A$2:$A$2657,$A295,Data!$B$2:$B$2657,$B295)+SUMIFS(Data!$G$2:$G$2657,Data!$A$2:$A$2657,$A295,Data!$B$2:$B$2657,$B295)</f>
        <v>98.892425</v>
      </c>
      <c r="E295" s="10" t="n">
        <f aca="false">IFERROR((SUMIFS(Data!$E$2:$E$2657,Data!$A$2:$A$2657,$A295,Data!$B$2:$B$2657,$B295,Data!$D$2:$D$2657,"Transmission")+SUMIFS(Data!$G$2:$G$2657,Data!$A$2:$A$2657,$A295,Data!$B$2:$B$2657,$B295,Data!$D$2:$D$2657,"Transmission"))/$D295,0)</f>
        <v>0.144715543177347</v>
      </c>
      <c r="F295" s="10" t="n">
        <f aca="false">IFERROR((SUMIFS(Data!$E$2:$E$2657,Data!$A$2:$A$2657,$A295,Data!$B$2:$B$2657,$B295,Data!$D$2:$D$2657,"Distribution")+SUMIFS(Data!$G$2:$G$2657,Data!$A$2:$A$2657,$A295,Data!$B$2:$B$2657,$B295,Data!$D$2:$D$2657,"Distribution"))/$D295,0)</f>
        <v>0.257688867473924</v>
      </c>
      <c r="G295" s="10" t="n">
        <f aca="false">IFERROR((SUMIFS(Data!$E$2:$E$2657,Data!$A$2:$A$2657,$A295,Data!$B$2:$B$2657,$B295,Data!$D$2:$D$2657,"RTO/market operation")+SUMIFS(Data!$G$2:$G$2657,Data!$A$2:$A$2657,$A295,Data!$B$2:$B$2657,$B295,Data!$D$2:$D$2657,"RTO/market operation"))/$D295,0)</f>
        <v>0.0174931194173871</v>
      </c>
      <c r="H295" s="10" t="n">
        <f aca="false">IFERROR((SUMIFS(Data!$E$2:$E$2657,Data!$A$2:$A$2657,$A295,Data!$B$2:$B$2657,$B295,Data!$D$2:$D$2657,"Customer accounts, service &amp; sales")+SUMIFS(Data!$G$2:$G$2657,Data!$A$2:$A$2657,$A295,Data!$B$2:$B$2657,$B295,Data!$D$2:$D$2657,"Customer accounts, service &amp; sales"))/$D295,0)</f>
        <v>0.200739874666841</v>
      </c>
      <c r="I295" s="10" t="n">
        <f aca="false">IFERROR((SUMIFS(Data!$E$2:$E$2657,Data!$A$2:$A$2657,$A295,Data!$B$2:$B$2657,$B295,Data!$D$2:$D$2657,"A&amp;G and general")+SUMIFS(Data!$G$2:$G$2657,Data!$A$2:$A$2657,$A295,Data!$B$2:$B$2657,$B295,Data!$D$2:$D$2657,"A&amp;G and general"))/$D295,0)</f>
        <v>0.379362595264501</v>
      </c>
      <c r="J295" s="10" t="n">
        <f aca="false">IFERROR(SUMIFS(Data!$F$2:$F$2657,Data!$A$2:$A$2657,$A295,Data!$B$2:$B$2657,$B295)/$D295,0)</f>
        <v>0.0089840248128206</v>
      </c>
      <c r="K295" s="11" t="n">
        <f aca="false">SUM(E295:I295)</f>
        <v>1</v>
      </c>
    </row>
    <row r="296" customFormat="false" ht="15" hidden="false" customHeight="false" outlineLevel="0" collapsed="false">
      <c r="A296" s="7" t="n">
        <v>2010</v>
      </c>
      <c r="B296" s="12" t="s">
        <v>78</v>
      </c>
      <c r="C296" s="12" t="s">
        <v>65</v>
      </c>
      <c r="D296" s="9" t="n">
        <f aca="false">SUMIFS(Data!$E$2:$E$2657,Data!$A$2:$A$2657,$A296,Data!$B$2:$B$2657,$B296)+SUMIFS(Data!$G$2:$G$2657,Data!$A$2:$A$2657,$A296,Data!$B$2:$B$2657,$B296)</f>
        <v>100.759789</v>
      </c>
      <c r="E296" s="10" t="n">
        <f aca="false">IFERROR((SUMIFS(Data!$E$2:$E$2657,Data!$A$2:$A$2657,$A296,Data!$B$2:$B$2657,$B296,Data!$D$2:$D$2657,"Transmission")+SUMIFS(Data!$G$2:$G$2657,Data!$A$2:$A$2657,$A296,Data!$B$2:$B$2657,$B296,Data!$D$2:$D$2657,"Transmission"))/$D296,0)</f>
        <v>0.194678603386119</v>
      </c>
      <c r="F296" s="10" t="n">
        <f aca="false">IFERROR((SUMIFS(Data!$E$2:$E$2657,Data!$A$2:$A$2657,$A296,Data!$B$2:$B$2657,$B296,Data!$D$2:$D$2657,"Distribution")+SUMIFS(Data!$G$2:$G$2657,Data!$A$2:$A$2657,$A296,Data!$B$2:$B$2657,$B296,Data!$D$2:$D$2657,"Distribution"))/$D296,0)</f>
        <v>0.301625582006727</v>
      </c>
      <c r="G296" s="10" t="n">
        <f aca="false">IFERROR((SUMIFS(Data!$E$2:$E$2657,Data!$A$2:$A$2657,$A296,Data!$B$2:$B$2657,$B296,Data!$D$2:$D$2657,"RTO/market operation")+SUMIFS(Data!$G$2:$G$2657,Data!$A$2:$A$2657,$A296,Data!$B$2:$B$2657,$B296,Data!$D$2:$D$2657,"RTO/market operation"))/$D296,0)</f>
        <v>0</v>
      </c>
      <c r="H296" s="10" t="n">
        <f aca="false">IFERROR((SUMIFS(Data!$E$2:$E$2657,Data!$A$2:$A$2657,$A296,Data!$B$2:$B$2657,$B296,Data!$D$2:$D$2657,"Customer accounts, service &amp; sales")+SUMIFS(Data!$G$2:$G$2657,Data!$A$2:$A$2657,$A296,Data!$B$2:$B$2657,$B296,Data!$D$2:$D$2657,"Customer accounts, service &amp; sales"))/$D296,0)</f>
        <v>0.102049270865385</v>
      </c>
      <c r="I296" s="10" t="n">
        <f aca="false">IFERROR((SUMIFS(Data!$E$2:$E$2657,Data!$A$2:$A$2657,$A296,Data!$B$2:$B$2657,$B296,Data!$D$2:$D$2657,"A&amp;G and general")+SUMIFS(Data!$G$2:$G$2657,Data!$A$2:$A$2657,$A296,Data!$B$2:$B$2657,$B296,Data!$D$2:$D$2657,"A&amp;G and general"))/$D296,0)</f>
        <v>0.40164654374177</v>
      </c>
      <c r="J296" s="10" t="n">
        <f aca="false">IFERROR(SUMIFS(Data!$F$2:$F$2657,Data!$A$2:$A$2657,$A296,Data!$B$2:$B$2657,$B296)/$D296,0)</f>
        <v>0</v>
      </c>
      <c r="K296" s="11" t="n">
        <f aca="false">SUM(E296:I296)</f>
        <v>1</v>
      </c>
    </row>
    <row r="297" customFormat="false" ht="15" hidden="false" customHeight="false" outlineLevel="0" collapsed="false">
      <c r="A297" s="7" t="n">
        <v>2010</v>
      </c>
      <c r="B297" s="12" t="s">
        <v>79</v>
      </c>
      <c r="C297" s="12" t="s">
        <v>72</v>
      </c>
      <c r="D297" s="9" t="n">
        <f aca="false">SUMIFS(Data!$E$2:$E$2657,Data!$A$2:$A$2657,$A297,Data!$B$2:$B$2657,$B297)+SUMIFS(Data!$G$2:$G$2657,Data!$A$2:$A$2657,$A297,Data!$B$2:$B$2657,$B297)</f>
        <v>832.943967</v>
      </c>
      <c r="E297" s="10" t="n">
        <f aca="false">IFERROR((SUMIFS(Data!$E$2:$E$2657,Data!$A$2:$A$2657,$A297,Data!$B$2:$B$2657,$B297,Data!$D$2:$D$2657,"Transmission")+SUMIFS(Data!$G$2:$G$2657,Data!$A$2:$A$2657,$A297,Data!$B$2:$B$2657,$B297,Data!$D$2:$D$2657,"Transmission"))/$D297,0)</f>
        <v>0.320004892958184</v>
      </c>
      <c r="F297" s="10" t="n">
        <f aca="false">IFERROR((SUMIFS(Data!$E$2:$E$2657,Data!$A$2:$A$2657,$A297,Data!$B$2:$B$2657,$B297,Data!$D$2:$D$2657,"Distribution")+SUMIFS(Data!$G$2:$G$2657,Data!$A$2:$A$2657,$A297,Data!$B$2:$B$2657,$B297,Data!$D$2:$D$2657,"Distribution"))/$D297,0)</f>
        <v>0.213578694423751</v>
      </c>
      <c r="G297" s="10" t="n">
        <f aca="false">IFERROR((SUMIFS(Data!$E$2:$E$2657,Data!$A$2:$A$2657,$A297,Data!$B$2:$B$2657,$B297,Data!$D$2:$D$2657,"RTO/market operation")+SUMIFS(Data!$G$2:$G$2657,Data!$A$2:$A$2657,$A297,Data!$B$2:$B$2657,$B297,Data!$D$2:$D$2657,"RTO/market operation"))/$D297,0)</f>
        <v>0.00665357601419544</v>
      </c>
      <c r="H297" s="10" t="n">
        <f aca="false">IFERROR((SUMIFS(Data!$E$2:$E$2657,Data!$A$2:$A$2657,$A297,Data!$B$2:$B$2657,$B297,Data!$D$2:$D$2657,"Customer accounts, service &amp; sales")+SUMIFS(Data!$G$2:$G$2657,Data!$A$2:$A$2657,$A297,Data!$B$2:$B$2657,$B297,Data!$D$2:$D$2657,"Customer accounts, service &amp; sales"))/$D297,0)</f>
        <v>0.160040602106912</v>
      </c>
      <c r="I297" s="10" t="n">
        <f aca="false">IFERROR((SUMIFS(Data!$E$2:$E$2657,Data!$A$2:$A$2657,$A297,Data!$B$2:$B$2657,$B297,Data!$D$2:$D$2657,"A&amp;G and general")+SUMIFS(Data!$G$2:$G$2657,Data!$A$2:$A$2657,$A297,Data!$B$2:$B$2657,$B297,Data!$D$2:$D$2657,"A&amp;G and general"))/$D297,0)</f>
        <v>0.299722234496957</v>
      </c>
      <c r="J297" s="10" t="n">
        <f aca="false">IFERROR(SUMIFS(Data!$F$2:$F$2657,Data!$A$2:$A$2657,$A297,Data!$B$2:$B$2657,$B297)/$D297,0)</f>
        <v>0.315966404016226</v>
      </c>
      <c r="K297" s="11" t="n">
        <f aca="false">SUM(E297:I297)</f>
        <v>1</v>
      </c>
    </row>
    <row r="298" customFormat="false" ht="15" hidden="false" customHeight="false" outlineLevel="0" collapsed="false">
      <c r="A298" s="7" t="n">
        <v>2010</v>
      </c>
      <c r="B298" s="12" t="s">
        <v>80</v>
      </c>
      <c r="C298" s="12" t="s">
        <v>72</v>
      </c>
      <c r="D298" s="9" t="n">
        <f aca="false">SUMIFS(Data!$E$2:$E$2657,Data!$A$2:$A$2657,$A298,Data!$B$2:$B$2657,$B298)+SUMIFS(Data!$G$2:$G$2657,Data!$A$2:$A$2657,$A298,Data!$B$2:$B$2657,$B298)</f>
        <v>307.083466</v>
      </c>
      <c r="E298" s="10" t="n">
        <f aca="false">IFERROR((SUMIFS(Data!$E$2:$E$2657,Data!$A$2:$A$2657,$A298,Data!$B$2:$B$2657,$B298,Data!$D$2:$D$2657,"Transmission")+SUMIFS(Data!$G$2:$G$2657,Data!$A$2:$A$2657,$A298,Data!$B$2:$B$2657,$B298,Data!$D$2:$D$2657,"Transmission"))/$D298,0)</f>
        <v>0.33399621391534</v>
      </c>
      <c r="F298" s="10" t="n">
        <f aca="false">IFERROR((SUMIFS(Data!$E$2:$E$2657,Data!$A$2:$A$2657,$A298,Data!$B$2:$B$2657,$B298,Data!$D$2:$D$2657,"Distribution")+SUMIFS(Data!$G$2:$G$2657,Data!$A$2:$A$2657,$A298,Data!$B$2:$B$2657,$B298,Data!$D$2:$D$2657,"Distribution"))/$D298,0)</f>
        <v>0.214005211208603</v>
      </c>
      <c r="G298" s="10" t="n">
        <f aca="false">IFERROR((SUMIFS(Data!$E$2:$E$2657,Data!$A$2:$A$2657,$A298,Data!$B$2:$B$2657,$B298,Data!$D$2:$D$2657,"RTO/market operation")+SUMIFS(Data!$G$2:$G$2657,Data!$A$2:$A$2657,$A298,Data!$B$2:$B$2657,$B298,Data!$D$2:$D$2657,"RTO/market operation"))/$D298,0)</f>
        <v>0.00860746765180773</v>
      </c>
      <c r="H298" s="10" t="n">
        <f aca="false">IFERROR((SUMIFS(Data!$E$2:$E$2657,Data!$A$2:$A$2657,$A298,Data!$B$2:$B$2657,$B298,Data!$D$2:$D$2657,"Customer accounts, service &amp; sales")+SUMIFS(Data!$G$2:$G$2657,Data!$A$2:$A$2657,$A298,Data!$B$2:$B$2657,$B298,Data!$D$2:$D$2657,"Customer accounts, service &amp; sales"))/$D298,0)</f>
        <v>0.15258841711784</v>
      </c>
      <c r="I298" s="10" t="n">
        <f aca="false">IFERROR((SUMIFS(Data!$E$2:$E$2657,Data!$A$2:$A$2657,$A298,Data!$B$2:$B$2657,$B298,Data!$D$2:$D$2657,"A&amp;G and general")+SUMIFS(Data!$G$2:$G$2657,Data!$A$2:$A$2657,$A298,Data!$B$2:$B$2657,$B298,Data!$D$2:$D$2657,"A&amp;G and general"))/$D298,0)</f>
        <v>0.290802690106409</v>
      </c>
      <c r="J298" s="10" t="n">
        <f aca="false">IFERROR(SUMIFS(Data!$F$2:$F$2657,Data!$A$2:$A$2657,$A298,Data!$B$2:$B$2657,$B298)/$D298,0)</f>
        <v>0.326888032454343</v>
      </c>
      <c r="K298" s="11" t="n">
        <f aca="false">SUM(E298:I298)</f>
        <v>1</v>
      </c>
    </row>
    <row r="299" customFormat="false" ht="15" hidden="false" customHeight="false" outlineLevel="0" collapsed="false">
      <c r="A299" s="7" t="n">
        <v>2010</v>
      </c>
      <c r="B299" s="12" t="s">
        <v>81</v>
      </c>
      <c r="C299" s="12" t="s">
        <v>72</v>
      </c>
      <c r="D299" s="9" t="n">
        <f aca="false">SUMIFS(Data!$E$2:$E$2657,Data!$A$2:$A$2657,$A299,Data!$B$2:$B$2657,$B299)+SUMIFS(Data!$G$2:$G$2657,Data!$A$2:$A$2657,$A299,Data!$B$2:$B$2657,$B299)</f>
        <v>338.217252</v>
      </c>
      <c r="E299" s="10" t="n">
        <f aca="false">IFERROR((SUMIFS(Data!$E$2:$E$2657,Data!$A$2:$A$2657,$A299,Data!$B$2:$B$2657,$B299,Data!$D$2:$D$2657,"Transmission")+SUMIFS(Data!$G$2:$G$2657,Data!$A$2:$A$2657,$A299,Data!$B$2:$B$2657,$B299,Data!$D$2:$D$2657,"Transmission"))/$D299,0)</f>
        <v>0.324494830914184</v>
      </c>
      <c r="F299" s="10" t="n">
        <f aca="false">IFERROR((SUMIFS(Data!$E$2:$E$2657,Data!$A$2:$A$2657,$A299,Data!$B$2:$B$2657,$B299,Data!$D$2:$D$2657,"Distribution")+SUMIFS(Data!$G$2:$G$2657,Data!$A$2:$A$2657,$A299,Data!$B$2:$B$2657,$B299,Data!$D$2:$D$2657,"Distribution"))/$D299,0)</f>
        <v>0.219150615652214</v>
      </c>
      <c r="G299" s="10" t="n">
        <f aca="false">IFERROR((SUMIFS(Data!$E$2:$E$2657,Data!$A$2:$A$2657,$A299,Data!$B$2:$B$2657,$B299,Data!$D$2:$D$2657,"RTO/market operation")+SUMIFS(Data!$G$2:$G$2657,Data!$A$2:$A$2657,$A299,Data!$B$2:$B$2657,$B299,Data!$D$2:$D$2657,"RTO/market operation"))/$D299,0)</f>
        <v>0.00795146901613405</v>
      </c>
      <c r="H299" s="10" t="n">
        <f aca="false">IFERROR((SUMIFS(Data!$E$2:$E$2657,Data!$A$2:$A$2657,$A299,Data!$B$2:$B$2657,$B299,Data!$D$2:$D$2657,"Customer accounts, service &amp; sales")+SUMIFS(Data!$G$2:$G$2657,Data!$A$2:$A$2657,$A299,Data!$B$2:$B$2657,$B299,Data!$D$2:$D$2657,"Customer accounts, service &amp; sales"))/$D299,0)</f>
        <v>0.137067685713442</v>
      </c>
      <c r="I299" s="10" t="n">
        <f aca="false">IFERROR((SUMIFS(Data!$E$2:$E$2657,Data!$A$2:$A$2657,$A299,Data!$B$2:$B$2657,$B299,Data!$D$2:$D$2657,"A&amp;G and general")+SUMIFS(Data!$G$2:$G$2657,Data!$A$2:$A$2657,$A299,Data!$B$2:$B$2657,$B299,Data!$D$2:$D$2657,"A&amp;G and general"))/$D299,0)</f>
        <v>0.311335398704026</v>
      </c>
      <c r="J299" s="10" t="n">
        <f aca="false">IFERROR(SUMIFS(Data!$F$2:$F$2657,Data!$A$2:$A$2657,$A299,Data!$B$2:$B$2657,$B299)/$D299,0)</f>
        <v>0.31841610788086</v>
      </c>
      <c r="K299" s="11" t="n">
        <f aca="false">SUM(E299:I299)</f>
        <v>1</v>
      </c>
    </row>
    <row r="300" customFormat="false" ht="15" hidden="false" customHeight="false" outlineLevel="0" collapsed="false">
      <c r="A300" s="7" t="n">
        <v>2011</v>
      </c>
      <c r="B300" s="12" t="s">
        <v>56</v>
      </c>
      <c r="C300" s="12" t="s">
        <v>57</v>
      </c>
      <c r="D300" s="9" t="n">
        <f aca="false">SUMIFS(Data!$E$2:$E$2657,Data!$A$2:$A$2657,$A300,Data!$B$2:$B$2657,$B300)+SUMIFS(Data!$G$2:$G$2657,Data!$A$2:$A$2657,$A300,Data!$B$2:$B$2657,$B300)</f>
        <v>181.872276</v>
      </c>
      <c r="E300" s="10" t="n">
        <f aca="false">IFERROR((SUMIFS(Data!$E$2:$E$2657,Data!$A$2:$A$2657,$A300,Data!$B$2:$B$2657,$B300,Data!$D$2:$D$2657,"Transmission")+SUMIFS(Data!$G$2:$G$2657,Data!$A$2:$A$2657,$A300,Data!$B$2:$B$2657,$B300,Data!$D$2:$D$2657,"Transmission"))/$D300,0)</f>
        <v>0.271542700658785</v>
      </c>
      <c r="F300" s="10" t="n">
        <f aca="false">IFERROR((SUMIFS(Data!$E$2:$E$2657,Data!$A$2:$A$2657,$A300,Data!$B$2:$B$2657,$B300,Data!$D$2:$D$2657,"Distribution")+SUMIFS(Data!$G$2:$G$2657,Data!$A$2:$A$2657,$A300,Data!$B$2:$B$2657,$B300,Data!$D$2:$D$2657,"Distribution"))/$D300,0)</f>
        <v>0.214803437110998</v>
      </c>
      <c r="G300" s="10" t="n">
        <f aca="false">IFERROR((SUMIFS(Data!$E$2:$E$2657,Data!$A$2:$A$2657,$A300,Data!$B$2:$B$2657,$B300,Data!$D$2:$D$2657,"RTO/market operation")+SUMIFS(Data!$G$2:$G$2657,Data!$A$2:$A$2657,$A300,Data!$B$2:$B$2657,$B300,Data!$D$2:$D$2657,"RTO/market operation"))/$D300,0)</f>
        <v>0.000164956422495092</v>
      </c>
      <c r="H300" s="10" t="n">
        <f aca="false">IFERROR((SUMIFS(Data!$E$2:$E$2657,Data!$A$2:$A$2657,$A300,Data!$B$2:$B$2657,$B300,Data!$D$2:$D$2657,"Customer accounts, service &amp; sales")+SUMIFS(Data!$G$2:$G$2657,Data!$A$2:$A$2657,$A300,Data!$B$2:$B$2657,$B300,Data!$D$2:$D$2657,"Customer accounts, service &amp; sales"))/$D300,0)</f>
        <v>0.110262968282203</v>
      </c>
      <c r="I300" s="10" t="n">
        <f aca="false">IFERROR((SUMIFS(Data!$E$2:$E$2657,Data!$A$2:$A$2657,$A300,Data!$B$2:$B$2657,$B300,Data!$D$2:$D$2657,"A&amp;G and general")+SUMIFS(Data!$G$2:$G$2657,Data!$A$2:$A$2657,$A300,Data!$B$2:$B$2657,$B300,Data!$D$2:$D$2657,"A&amp;G and general"))/$D300,0)</f>
        <v>0.403225937525519</v>
      </c>
      <c r="J300" s="10" t="n">
        <f aca="false">IFERROR(SUMIFS(Data!$F$2:$F$2657,Data!$A$2:$A$2657,$A300,Data!$B$2:$B$2657,$B300)/$D300,0)</f>
        <v>0.118418785279841</v>
      </c>
      <c r="K300" s="11" t="n">
        <f aca="false">SUM(E300:I300)</f>
        <v>1</v>
      </c>
    </row>
    <row r="301" customFormat="false" ht="15" hidden="false" customHeight="false" outlineLevel="0" collapsed="false">
      <c r="A301" s="7" t="n">
        <v>2011</v>
      </c>
      <c r="B301" s="12" t="s">
        <v>58</v>
      </c>
      <c r="C301" s="12" t="s">
        <v>59</v>
      </c>
      <c r="D301" s="9" t="n">
        <f aca="false">SUMIFS(Data!$E$2:$E$2657,Data!$A$2:$A$2657,$A301,Data!$B$2:$B$2657,$B301)+SUMIFS(Data!$G$2:$G$2657,Data!$A$2:$A$2657,$A301,Data!$B$2:$B$2657,$B301)</f>
        <v>644.393223</v>
      </c>
      <c r="E301" s="10" t="n">
        <f aca="false">IFERROR((SUMIFS(Data!$E$2:$E$2657,Data!$A$2:$A$2657,$A301,Data!$B$2:$B$2657,$B301,Data!$D$2:$D$2657,"Transmission")+SUMIFS(Data!$G$2:$G$2657,Data!$A$2:$A$2657,$A301,Data!$B$2:$B$2657,$B301,Data!$D$2:$D$2657,"Transmission"))/$D301,0)</f>
        <v>0.0898043802052835</v>
      </c>
      <c r="F301" s="10" t="n">
        <f aca="false">IFERROR((SUMIFS(Data!$E$2:$E$2657,Data!$A$2:$A$2657,$A301,Data!$B$2:$B$2657,$B301,Data!$D$2:$D$2657,"Distribution")+SUMIFS(Data!$G$2:$G$2657,Data!$A$2:$A$2657,$A301,Data!$B$2:$B$2657,$B301,Data!$D$2:$D$2657,"Distribution"))/$D301,0)</f>
        <v>0.51185719096242</v>
      </c>
      <c r="G301" s="10" t="n">
        <f aca="false">IFERROR((SUMIFS(Data!$E$2:$E$2657,Data!$A$2:$A$2657,$A301,Data!$B$2:$B$2657,$B301,Data!$D$2:$D$2657,"RTO/market operation")+SUMIFS(Data!$G$2:$G$2657,Data!$A$2:$A$2657,$A301,Data!$B$2:$B$2657,$B301,Data!$D$2:$D$2657,"RTO/market operation"))/$D301,0)</f>
        <v>0.002748301715147</v>
      </c>
      <c r="H301" s="10" t="n">
        <f aca="false">IFERROR((SUMIFS(Data!$E$2:$E$2657,Data!$A$2:$A$2657,$A301,Data!$B$2:$B$2657,$B301,Data!$D$2:$D$2657,"Customer accounts, service &amp; sales")+SUMIFS(Data!$G$2:$G$2657,Data!$A$2:$A$2657,$A301,Data!$B$2:$B$2657,$B301,Data!$D$2:$D$2657,"Customer accounts, service &amp; sales"))/$D301,0)</f>
        <v>0.156249244104791</v>
      </c>
      <c r="I301" s="10" t="n">
        <f aca="false">IFERROR((SUMIFS(Data!$E$2:$E$2657,Data!$A$2:$A$2657,$A301,Data!$B$2:$B$2657,$B301,Data!$D$2:$D$2657,"A&amp;G and general")+SUMIFS(Data!$G$2:$G$2657,Data!$A$2:$A$2657,$A301,Data!$B$2:$B$2657,$B301,Data!$D$2:$D$2657,"A&amp;G and general"))/$D301,0)</f>
        <v>0.239340883012359</v>
      </c>
      <c r="J301" s="10" t="n">
        <f aca="false">IFERROR(SUMIFS(Data!$F$2:$F$2657,Data!$A$2:$A$2657,$A301,Data!$B$2:$B$2657,$B301)/$D301,0)</f>
        <v>0.0242677986698814</v>
      </c>
      <c r="K301" s="11" t="n">
        <f aca="false">SUM(E301:I301)</f>
        <v>1</v>
      </c>
    </row>
    <row r="302" customFormat="false" ht="15" hidden="false" customHeight="false" outlineLevel="0" collapsed="false">
      <c r="A302" s="7" t="n">
        <v>2011</v>
      </c>
      <c r="B302" s="12" t="s">
        <v>60</v>
      </c>
      <c r="C302" s="12" t="s">
        <v>59</v>
      </c>
      <c r="D302" s="9" t="n">
        <f aca="false">SUMIFS(Data!$E$2:$E$2657,Data!$A$2:$A$2657,$A302,Data!$B$2:$B$2657,$B302)+SUMIFS(Data!$G$2:$G$2657,Data!$A$2:$A$2657,$A302,Data!$B$2:$B$2657,$B302)</f>
        <v>2026.193694</v>
      </c>
      <c r="E302" s="10" t="n">
        <f aca="false">IFERROR((SUMIFS(Data!$E$2:$E$2657,Data!$A$2:$A$2657,$A302,Data!$B$2:$B$2657,$B302,Data!$D$2:$D$2657,"Transmission")+SUMIFS(Data!$G$2:$G$2657,Data!$A$2:$A$2657,$A302,Data!$B$2:$B$2657,$B302,Data!$D$2:$D$2657,"Transmission"))/$D302,0)</f>
        <v>0.198682761767592</v>
      </c>
      <c r="F302" s="10" t="n">
        <f aca="false">IFERROR((SUMIFS(Data!$E$2:$E$2657,Data!$A$2:$A$2657,$A302,Data!$B$2:$B$2657,$B302,Data!$D$2:$D$2657,"Distribution")+SUMIFS(Data!$G$2:$G$2657,Data!$A$2:$A$2657,$A302,Data!$B$2:$B$2657,$B302,Data!$D$2:$D$2657,"Distribution"))/$D302,0)</f>
        <v>0.365642871752023</v>
      </c>
      <c r="G302" s="10" t="n">
        <f aca="false">IFERROR((SUMIFS(Data!$E$2:$E$2657,Data!$A$2:$A$2657,$A302,Data!$B$2:$B$2657,$B302,Data!$D$2:$D$2657,"RTO/market operation")+SUMIFS(Data!$G$2:$G$2657,Data!$A$2:$A$2657,$A302,Data!$B$2:$B$2657,$B302,Data!$D$2:$D$2657,"RTO/market operation"))/$D302,0)</f>
        <v>0.00278309818883485</v>
      </c>
      <c r="H302" s="10" t="n">
        <f aca="false">IFERROR((SUMIFS(Data!$E$2:$E$2657,Data!$A$2:$A$2657,$A302,Data!$B$2:$B$2657,$B302,Data!$D$2:$D$2657,"Customer accounts, service &amp; sales")+SUMIFS(Data!$G$2:$G$2657,Data!$A$2:$A$2657,$A302,Data!$B$2:$B$2657,$B302,Data!$D$2:$D$2657,"Customer accounts, service &amp; sales"))/$D302,0)</f>
        <v>0.174072357467321</v>
      </c>
      <c r="I302" s="10" t="n">
        <f aca="false">IFERROR((SUMIFS(Data!$E$2:$E$2657,Data!$A$2:$A$2657,$A302,Data!$B$2:$B$2657,$B302,Data!$D$2:$D$2657,"A&amp;G and general")+SUMIFS(Data!$G$2:$G$2657,Data!$A$2:$A$2657,$A302,Data!$B$2:$B$2657,$B302,Data!$D$2:$D$2657,"A&amp;G and general"))/$D302,0)</f>
        <v>0.258818910824228</v>
      </c>
      <c r="J302" s="10" t="n">
        <f aca="false">IFERROR(SUMIFS(Data!$F$2:$F$2657,Data!$A$2:$A$2657,$A302,Data!$B$2:$B$2657,$B302)/$D302,0)</f>
        <v>0.00125683097698951</v>
      </c>
      <c r="K302" s="11" t="n">
        <f aca="false">SUM(E302:I302)</f>
        <v>1</v>
      </c>
    </row>
    <row r="303" customFormat="false" ht="15" hidden="false" customHeight="false" outlineLevel="0" collapsed="false">
      <c r="A303" s="7" t="n">
        <v>2011</v>
      </c>
      <c r="B303" s="12" t="s">
        <v>61</v>
      </c>
      <c r="C303" s="12" t="s">
        <v>62</v>
      </c>
      <c r="D303" s="9" t="n">
        <f aca="false">SUMIFS(Data!$E$2:$E$2657,Data!$A$2:$A$2657,$A303,Data!$B$2:$B$2657,$B303)+SUMIFS(Data!$G$2:$G$2657,Data!$A$2:$A$2657,$A303,Data!$B$2:$B$2657,$B303)</f>
        <v>996.603458</v>
      </c>
      <c r="E303" s="10" t="n">
        <f aca="false">IFERROR((SUMIFS(Data!$E$2:$E$2657,Data!$A$2:$A$2657,$A303,Data!$B$2:$B$2657,$B303,Data!$D$2:$D$2657,"Transmission")+SUMIFS(Data!$G$2:$G$2657,Data!$A$2:$A$2657,$A303,Data!$B$2:$B$2657,$B303,Data!$D$2:$D$2657,"Transmission"))/$D303,0)</f>
        <v>0.260122971598198</v>
      </c>
      <c r="F303" s="10" t="n">
        <f aca="false">IFERROR((SUMIFS(Data!$E$2:$E$2657,Data!$A$2:$A$2657,$A303,Data!$B$2:$B$2657,$B303,Data!$D$2:$D$2657,"Distribution")+SUMIFS(Data!$G$2:$G$2657,Data!$A$2:$A$2657,$A303,Data!$B$2:$B$2657,$B303,Data!$D$2:$D$2657,"Distribution"))/$D303,0)</f>
        <v>0.337868701234227</v>
      </c>
      <c r="G303" s="10" t="n">
        <f aca="false">IFERROR((SUMIFS(Data!$E$2:$E$2657,Data!$A$2:$A$2657,$A303,Data!$B$2:$B$2657,$B303,Data!$D$2:$D$2657,"RTO/market operation")+SUMIFS(Data!$G$2:$G$2657,Data!$A$2:$A$2657,$A303,Data!$B$2:$B$2657,$B303,Data!$D$2:$D$2657,"RTO/market operation"))/$D303,0)</f>
        <v>0.00855088644494749</v>
      </c>
      <c r="H303" s="10" t="n">
        <f aca="false">IFERROR((SUMIFS(Data!$E$2:$E$2657,Data!$A$2:$A$2657,$A303,Data!$B$2:$B$2657,$B303,Data!$D$2:$D$2657,"Customer accounts, service &amp; sales")+SUMIFS(Data!$G$2:$G$2657,Data!$A$2:$A$2657,$A303,Data!$B$2:$B$2657,$B303,Data!$D$2:$D$2657,"Customer accounts, service &amp; sales"))/$D303,0)</f>
        <v>0.163718664319545</v>
      </c>
      <c r="I303" s="10" t="n">
        <f aca="false">IFERROR((SUMIFS(Data!$E$2:$E$2657,Data!$A$2:$A$2657,$A303,Data!$B$2:$B$2657,$B303,Data!$D$2:$D$2657,"A&amp;G and general")+SUMIFS(Data!$G$2:$G$2657,Data!$A$2:$A$2657,$A303,Data!$B$2:$B$2657,$B303,Data!$D$2:$D$2657,"A&amp;G and general"))/$D303,0)</f>
        <v>0.229738776403082</v>
      </c>
      <c r="J303" s="10" t="n">
        <f aca="false">IFERROR(SUMIFS(Data!$F$2:$F$2657,Data!$A$2:$A$2657,$A303,Data!$B$2:$B$2657,$B303)/$D303,0)</f>
        <v>0.249324753998596</v>
      </c>
      <c r="K303" s="11" t="n">
        <f aca="false">SUM(E303:I303)</f>
        <v>1</v>
      </c>
    </row>
    <row r="304" customFormat="false" ht="15" hidden="false" customHeight="false" outlineLevel="0" collapsed="false">
      <c r="A304" s="7" t="n">
        <v>2011</v>
      </c>
      <c r="B304" s="12" t="s">
        <v>63</v>
      </c>
      <c r="C304" s="12" t="s">
        <v>62</v>
      </c>
      <c r="D304" s="9" t="n">
        <f aca="false">SUMIFS(Data!$E$2:$E$2657,Data!$A$2:$A$2657,$A304,Data!$B$2:$B$2657,$B304)+SUMIFS(Data!$G$2:$G$2657,Data!$A$2:$A$2657,$A304,Data!$B$2:$B$2657,$B304)</f>
        <v>1568.843078</v>
      </c>
      <c r="E304" s="10" t="n">
        <f aca="false">IFERROR((SUMIFS(Data!$E$2:$E$2657,Data!$A$2:$A$2657,$A304,Data!$B$2:$B$2657,$B304,Data!$D$2:$D$2657,"Transmission")+SUMIFS(Data!$G$2:$G$2657,Data!$A$2:$A$2657,$A304,Data!$B$2:$B$2657,$B304,Data!$D$2:$D$2657,"Transmission"))/$D304,0)</f>
        <v>0.190287506880914</v>
      </c>
      <c r="F304" s="10" t="n">
        <f aca="false">IFERROR((SUMIFS(Data!$E$2:$E$2657,Data!$A$2:$A$2657,$A304,Data!$B$2:$B$2657,$B304,Data!$D$2:$D$2657,"Distribution")+SUMIFS(Data!$G$2:$G$2657,Data!$A$2:$A$2657,$A304,Data!$B$2:$B$2657,$B304,Data!$D$2:$D$2657,"Distribution"))/$D304,0)</f>
        <v>0.3399270134014</v>
      </c>
      <c r="G304" s="10" t="n">
        <f aca="false">IFERROR((SUMIFS(Data!$E$2:$E$2657,Data!$A$2:$A$2657,$A304,Data!$B$2:$B$2657,$B304,Data!$D$2:$D$2657,"RTO/market operation")+SUMIFS(Data!$G$2:$G$2657,Data!$A$2:$A$2657,$A304,Data!$B$2:$B$2657,$B304,Data!$D$2:$D$2657,"RTO/market operation"))/$D304,0)</f>
        <v>0.00699245077715797</v>
      </c>
      <c r="H304" s="10" t="n">
        <f aca="false">IFERROR((SUMIFS(Data!$E$2:$E$2657,Data!$A$2:$A$2657,$A304,Data!$B$2:$B$2657,$B304,Data!$D$2:$D$2657,"Customer accounts, service &amp; sales")+SUMIFS(Data!$G$2:$G$2657,Data!$A$2:$A$2657,$A304,Data!$B$2:$B$2657,$B304,Data!$D$2:$D$2657,"Customer accounts, service &amp; sales"))/$D304,0)</f>
        <v>0.134124843300612</v>
      </c>
      <c r="I304" s="10" t="n">
        <f aca="false">IFERROR((SUMIFS(Data!$E$2:$E$2657,Data!$A$2:$A$2657,$A304,Data!$B$2:$B$2657,$B304,Data!$D$2:$D$2657,"A&amp;G and general")+SUMIFS(Data!$G$2:$G$2657,Data!$A$2:$A$2657,$A304,Data!$B$2:$B$2657,$B304,Data!$D$2:$D$2657,"A&amp;G and general"))/$D304,0)</f>
        <v>0.328668185639915</v>
      </c>
      <c r="J304" s="10" t="n">
        <f aca="false">IFERROR(SUMIFS(Data!$F$2:$F$2657,Data!$A$2:$A$2657,$A304,Data!$B$2:$B$2657,$B304)/$D304,0)</f>
        <v>0.182055470687426</v>
      </c>
      <c r="K304" s="11" t="n">
        <f aca="false">SUM(E304:I304)</f>
        <v>1</v>
      </c>
    </row>
    <row r="305" customFormat="false" ht="15" hidden="false" customHeight="false" outlineLevel="0" collapsed="false">
      <c r="A305" s="7" t="n">
        <v>2011</v>
      </c>
      <c r="B305" s="12" t="s">
        <v>64</v>
      </c>
      <c r="C305" s="12" t="s">
        <v>65</v>
      </c>
      <c r="D305" s="9" t="n">
        <f aca="false">SUMIFS(Data!$E$2:$E$2657,Data!$A$2:$A$2657,$A305,Data!$B$2:$B$2657,$B305)+SUMIFS(Data!$G$2:$G$2657,Data!$A$2:$A$2657,$A305,Data!$B$2:$B$2657,$B305)</f>
        <v>553.516125</v>
      </c>
      <c r="E305" s="10" t="n">
        <f aca="false">IFERROR((SUMIFS(Data!$E$2:$E$2657,Data!$A$2:$A$2657,$A305,Data!$B$2:$B$2657,$B305,Data!$D$2:$D$2657,"Transmission")+SUMIFS(Data!$G$2:$G$2657,Data!$A$2:$A$2657,$A305,Data!$B$2:$B$2657,$B305,Data!$D$2:$D$2657,"Transmission"))/$D305,0)</f>
        <v>0.106795562640564</v>
      </c>
      <c r="F305" s="10" t="n">
        <f aca="false">IFERROR((SUMIFS(Data!$E$2:$E$2657,Data!$A$2:$A$2657,$A305,Data!$B$2:$B$2657,$B305,Data!$D$2:$D$2657,"Distribution")+SUMIFS(Data!$G$2:$G$2657,Data!$A$2:$A$2657,$A305,Data!$B$2:$B$2657,$B305,Data!$D$2:$D$2657,"Distribution"))/$D305,0)</f>
        <v>0.345839977109971</v>
      </c>
      <c r="G305" s="10" t="n">
        <f aca="false">IFERROR((SUMIFS(Data!$E$2:$E$2657,Data!$A$2:$A$2657,$A305,Data!$B$2:$B$2657,$B305,Data!$D$2:$D$2657,"RTO/market operation")+SUMIFS(Data!$G$2:$G$2657,Data!$A$2:$A$2657,$A305,Data!$B$2:$B$2657,$B305,Data!$D$2:$D$2657,"RTO/market operation"))/$D305,0)</f>
        <v>0.0126406236132687</v>
      </c>
      <c r="H305" s="10" t="n">
        <f aca="false">IFERROR((SUMIFS(Data!$E$2:$E$2657,Data!$A$2:$A$2657,$A305,Data!$B$2:$B$2657,$B305,Data!$D$2:$D$2657,"Customer accounts, service &amp; sales")+SUMIFS(Data!$G$2:$G$2657,Data!$A$2:$A$2657,$A305,Data!$B$2:$B$2657,$B305,Data!$D$2:$D$2657,"Customer accounts, service &amp; sales"))/$D305,0)</f>
        <v>0.118993429504877</v>
      </c>
      <c r="I305" s="10" t="n">
        <f aca="false">IFERROR((SUMIFS(Data!$E$2:$E$2657,Data!$A$2:$A$2657,$A305,Data!$B$2:$B$2657,$B305,Data!$D$2:$D$2657,"A&amp;G and general")+SUMIFS(Data!$G$2:$G$2657,Data!$A$2:$A$2657,$A305,Data!$B$2:$B$2657,$B305,Data!$D$2:$D$2657,"A&amp;G and general"))/$D305,0)</f>
        <v>0.415730407131319</v>
      </c>
      <c r="J305" s="10" t="n">
        <f aca="false">IFERROR(SUMIFS(Data!$F$2:$F$2657,Data!$A$2:$A$2657,$A305,Data!$B$2:$B$2657,$B305)/$D305,0)</f>
        <v>0.022397063861509</v>
      </c>
      <c r="K305" s="11" t="n">
        <f aca="false">SUM(E305:I305)</f>
        <v>1</v>
      </c>
    </row>
    <row r="306" customFormat="false" ht="15" hidden="false" customHeight="false" outlineLevel="0" collapsed="false">
      <c r="A306" s="7" t="n">
        <v>2011</v>
      </c>
      <c r="B306" s="12" t="s">
        <v>66</v>
      </c>
      <c r="C306" s="12" t="s">
        <v>67</v>
      </c>
      <c r="D306" s="9" t="n">
        <f aca="false">SUMIFS(Data!$E$2:$E$2657,Data!$A$2:$A$2657,$A306,Data!$B$2:$B$2657,$B306)+SUMIFS(Data!$G$2:$G$2657,Data!$A$2:$A$2657,$A306,Data!$B$2:$B$2657,$B306)</f>
        <v>326.239486</v>
      </c>
      <c r="E306" s="10" t="n">
        <f aca="false">IFERROR((SUMIFS(Data!$E$2:$E$2657,Data!$A$2:$A$2657,$A306,Data!$B$2:$B$2657,$B306,Data!$D$2:$D$2657,"Transmission")+SUMIFS(Data!$G$2:$G$2657,Data!$A$2:$A$2657,$A306,Data!$B$2:$B$2657,$B306,Data!$D$2:$D$2657,"Transmission"))/$D306,0)</f>
        <v>0.1585350799627</v>
      </c>
      <c r="F306" s="10" t="n">
        <f aca="false">IFERROR((SUMIFS(Data!$E$2:$E$2657,Data!$A$2:$A$2657,$A306,Data!$B$2:$B$2657,$B306,Data!$D$2:$D$2657,"Distribution")+SUMIFS(Data!$G$2:$G$2657,Data!$A$2:$A$2657,$A306,Data!$B$2:$B$2657,$B306,Data!$D$2:$D$2657,"Distribution"))/$D306,0)</f>
        <v>0.263947034909196</v>
      </c>
      <c r="G306" s="10" t="n">
        <f aca="false">IFERROR((SUMIFS(Data!$E$2:$E$2657,Data!$A$2:$A$2657,$A306,Data!$B$2:$B$2657,$B306,Data!$D$2:$D$2657,"RTO/market operation")+SUMIFS(Data!$G$2:$G$2657,Data!$A$2:$A$2657,$A306,Data!$B$2:$B$2657,$B306,Data!$D$2:$D$2657,"RTO/market operation"))/$D306,0)</f>
        <v>0.0160892081591865</v>
      </c>
      <c r="H306" s="10" t="n">
        <f aca="false">IFERROR((SUMIFS(Data!$E$2:$E$2657,Data!$A$2:$A$2657,$A306,Data!$B$2:$B$2657,$B306,Data!$D$2:$D$2657,"Customer accounts, service &amp; sales")+SUMIFS(Data!$G$2:$G$2657,Data!$A$2:$A$2657,$A306,Data!$B$2:$B$2657,$B306,Data!$D$2:$D$2657,"Customer accounts, service &amp; sales"))/$D306,0)</f>
        <v>0.112107382979386</v>
      </c>
      <c r="I306" s="10" t="n">
        <f aca="false">IFERROR((SUMIFS(Data!$E$2:$E$2657,Data!$A$2:$A$2657,$A306,Data!$B$2:$B$2657,$B306,Data!$D$2:$D$2657,"A&amp;G and general")+SUMIFS(Data!$G$2:$G$2657,Data!$A$2:$A$2657,$A306,Data!$B$2:$B$2657,$B306,Data!$D$2:$D$2657,"A&amp;G and general"))/$D306,0)</f>
        <v>0.449321293989533</v>
      </c>
      <c r="J306" s="10" t="n">
        <f aca="false">IFERROR(SUMIFS(Data!$F$2:$F$2657,Data!$A$2:$A$2657,$A306,Data!$B$2:$B$2657,$B306)/$D306,0)</f>
        <v>0.0239585406899519</v>
      </c>
      <c r="K306" s="11" t="n">
        <f aca="false">SUM(E306:I306)</f>
        <v>1</v>
      </c>
    </row>
    <row r="307" customFormat="false" ht="15" hidden="false" customHeight="false" outlineLevel="0" collapsed="false">
      <c r="A307" s="7" t="n">
        <v>2011</v>
      </c>
      <c r="B307" s="12" t="s">
        <v>68</v>
      </c>
      <c r="C307" s="12" t="s">
        <v>65</v>
      </c>
      <c r="D307" s="9" t="n">
        <f aca="false">SUMIFS(Data!$E$2:$E$2657,Data!$A$2:$A$2657,$A307,Data!$B$2:$B$2657,$B307)+SUMIFS(Data!$G$2:$G$2657,Data!$A$2:$A$2657,$A307,Data!$B$2:$B$2657,$B307)</f>
        <v>257.3958</v>
      </c>
      <c r="E307" s="10" t="n">
        <f aca="false">IFERROR((SUMIFS(Data!$E$2:$E$2657,Data!$A$2:$A$2657,$A307,Data!$B$2:$B$2657,$B307,Data!$D$2:$D$2657,"Transmission")+SUMIFS(Data!$G$2:$G$2657,Data!$A$2:$A$2657,$A307,Data!$B$2:$B$2657,$B307,Data!$D$2:$D$2657,"Transmission"))/$D307,0)</f>
        <v>0.0668349289304643</v>
      </c>
      <c r="F307" s="10" t="n">
        <f aca="false">IFERROR((SUMIFS(Data!$E$2:$E$2657,Data!$A$2:$A$2657,$A307,Data!$B$2:$B$2657,$B307,Data!$D$2:$D$2657,"Distribution")+SUMIFS(Data!$G$2:$G$2657,Data!$A$2:$A$2657,$A307,Data!$B$2:$B$2657,$B307,Data!$D$2:$D$2657,"Distribution"))/$D307,0)</f>
        <v>0.375443577556433</v>
      </c>
      <c r="G307" s="10" t="n">
        <f aca="false">IFERROR((SUMIFS(Data!$E$2:$E$2657,Data!$A$2:$A$2657,$A307,Data!$B$2:$B$2657,$B307,Data!$D$2:$D$2657,"RTO/market operation")+SUMIFS(Data!$G$2:$G$2657,Data!$A$2:$A$2657,$A307,Data!$B$2:$B$2657,$B307,Data!$D$2:$D$2657,"RTO/market operation"))/$D307,0)</f>
        <v>0.000509697516431892</v>
      </c>
      <c r="H307" s="10" t="n">
        <f aca="false">IFERROR((SUMIFS(Data!$E$2:$E$2657,Data!$A$2:$A$2657,$A307,Data!$B$2:$B$2657,$B307,Data!$D$2:$D$2657,"Customer accounts, service &amp; sales")+SUMIFS(Data!$G$2:$G$2657,Data!$A$2:$A$2657,$A307,Data!$B$2:$B$2657,$B307,Data!$D$2:$D$2657,"Customer accounts, service &amp; sales"))/$D307,0)</f>
        <v>0.0843634589220181</v>
      </c>
      <c r="I307" s="10" t="n">
        <f aca="false">IFERROR((SUMIFS(Data!$E$2:$E$2657,Data!$A$2:$A$2657,$A307,Data!$B$2:$B$2657,$B307,Data!$D$2:$D$2657,"A&amp;G and general")+SUMIFS(Data!$G$2:$G$2657,Data!$A$2:$A$2657,$A307,Data!$B$2:$B$2657,$B307,Data!$D$2:$D$2657,"A&amp;G and general"))/$D307,0)</f>
        <v>0.472848337074653</v>
      </c>
      <c r="J307" s="10" t="n">
        <f aca="false">IFERROR(SUMIFS(Data!$F$2:$F$2657,Data!$A$2:$A$2657,$A307,Data!$B$2:$B$2657,$B307)/$D307,0)</f>
        <v>0.014381236989881</v>
      </c>
      <c r="K307" s="11" t="n">
        <f aca="false">SUM(E307:I307)</f>
        <v>1</v>
      </c>
    </row>
    <row r="308" customFormat="false" ht="15" hidden="false" customHeight="false" outlineLevel="0" collapsed="false">
      <c r="A308" s="7" t="n">
        <v>2011</v>
      </c>
      <c r="B308" s="12" t="s">
        <v>69</v>
      </c>
      <c r="C308" s="12" t="s">
        <v>70</v>
      </c>
      <c r="D308" s="9" t="n">
        <f aca="false">SUMIFS(Data!$E$2:$E$2657,Data!$A$2:$A$2657,$A308,Data!$B$2:$B$2657,$B308)+SUMIFS(Data!$G$2:$G$2657,Data!$A$2:$A$2657,$A308,Data!$B$2:$B$2657,$B308)</f>
        <v>471.191608</v>
      </c>
      <c r="E308" s="10" t="n">
        <f aca="false">IFERROR((SUMIFS(Data!$E$2:$E$2657,Data!$A$2:$A$2657,$A308,Data!$B$2:$B$2657,$B308,Data!$D$2:$D$2657,"Transmission")+SUMIFS(Data!$G$2:$G$2657,Data!$A$2:$A$2657,$A308,Data!$B$2:$B$2657,$B308,Data!$D$2:$D$2657,"Transmission"))/$D308,0)</f>
        <v>0.471509934022424</v>
      </c>
      <c r="F308" s="10" t="n">
        <f aca="false">IFERROR((SUMIFS(Data!$E$2:$E$2657,Data!$A$2:$A$2657,$A308,Data!$B$2:$B$2657,$B308,Data!$D$2:$D$2657,"Distribution")+SUMIFS(Data!$G$2:$G$2657,Data!$A$2:$A$2657,$A308,Data!$B$2:$B$2657,$B308,Data!$D$2:$D$2657,"Distribution"))/$D308,0)</f>
        <v>0.15431234505348</v>
      </c>
      <c r="G308" s="10" t="n">
        <f aca="false">IFERROR((SUMIFS(Data!$E$2:$E$2657,Data!$A$2:$A$2657,$A308,Data!$B$2:$B$2657,$B308,Data!$D$2:$D$2657,"RTO/market operation")+SUMIFS(Data!$G$2:$G$2657,Data!$A$2:$A$2657,$A308,Data!$B$2:$B$2657,$B308,Data!$D$2:$D$2657,"RTO/market operation"))/$D308,0)</f>
        <v>0.00800444009605536</v>
      </c>
      <c r="H308" s="10" t="n">
        <f aca="false">IFERROR((SUMIFS(Data!$E$2:$E$2657,Data!$A$2:$A$2657,$A308,Data!$B$2:$B$2657,$B308,Data!$D$2:$D$2657,"Customer accounts, service &amp; sales")+SUMIFS(Data!$G$2:$G$2657,Data!$A$2:$A$2657,$A308,Data!$B$2:$B$2657,$B308,Data!$D$2:$D$2657,"Customer accounts, service &amp; sales"))/$D308,0)</f>
        <v>0.130575689285196</v>
      </c>
      <c r="I308" s="10" t="n">
        <f aca="false">IFERROR((SUMIFS(Data!$E$2:$E$2657,Data!$A$2:$A$2657,$A308,Data!$B$2:$B$2657,$B308,Data!$D$2:$D$2657,"A&amp;G and general")+SUMIFS(Data!$G$2:$G$2657,Data!$A$2:$A$2657,$A308,Data!$B$2:$B$2657,$B308,Data!$D$2:$D$2657,"A&amp;G and general"))/$D308,0)</f>
        <v>0.235597591542844</v>
      </c>
      <c r="J308" s="10" t="n">
        <f aca="false">IFERROR(SUMIFS(Data!$F$2:$F$2657,Data!$A$2:$A$2657,$A308,Data!$B$2:$B$2657,$B308)/$D308,0)</f>
        <v>0.465099754068625</v>
      </c>
      <c r="K308" s="11" t="n">
        <f aca="false">SUM(E308:I308)</f>
        <v>1</v>
      </c>
    </row>
    <row r="309" customFormat="false" ht="15" hidden="false" customHeight="false" outlineLevel="0" collapsed="false">
      <c r="A309" s="7" t="n">
        <v>2011</v>
      </c>
      <c r="B309" s="12" t="s">
        <v>71</v>
      </c>
      <c r="C309" s="12" t="s">
        <v>72</v>
      </c>
      <c r="D309" s="9" t="n">
        <f aca="false">SUMIFS(Data!$E$2:$E$2657,Data!$A$2:$A$2657,$A309,Data!$B$2:$B$2657,$B309)+SUMIFS(Data!$G$2:$G$2657,Data!$A$2:$A$2657,$A309,Data!$B$2:$B$2657,$B309)</f>
        <v>109.248131</v>
      </c>
      <c r="E309" s="10" t="n">
        <f aca="false">IFERROR((SUMIFS(Data!$E$2:$E$2657,Data!$A$2:$A$2657,$A309,Data!$B$2:$B$2657,$B309,Data!$D$2:$D$2657,"Transmission")+SUMIFS(Data!$G$2:$G$2657,Data!$A$2:$A$2657,$A309,Data!$B$2:$B$2657,$B309,Data!$D$2:$D$2657,"Transmission"))/$D309,0)</f>
        <v>0.266248124647551</v>
      </c>
      <c r="F309" s="10" t="n">
        <f aca="false">IFERROR((SUMIFS(Data!$E$2:$E$2657,Data!$A$2:$A$2657,$A309,Data!$B$2:$B$2657,$B309,Data!$D$2:$D$2657,"Distribution")+SUMIFS(Data!$G$2:$G$2657,Data!$A$2:$A$2657,$A309,Data!$B$2:$B$2657,$B309,Data!$D$2:$D$2657,"Distribution"))/$D309,0)</f>
        <v>0.222171141765345</v>
      </c>
      <c r="G309" s="10" t="n">
        <f aca="false">IFERROR((SUMIFS(Data!$E$2:$E$2657,Data!$A$2:$A$2657,$A309,Data!$B$2:$B$2657,$B309,Data!$D$2:$D$2657,"RTO/market operation")+SUMIFS(Data!$G$2:$G$2657,Data!$A$2:$A$2657,$A309,Data!$B$2:$B$2657,$B309,Data!$D$2:$D$2657,"RTO/market operation"))/$D309,0)</f>
        <v>0.00685243759456169</v>
      </c>
      <c r="H309" s="10" t="n">
        <f aca="false">IFERROR((SUMIFS(Data!$E$2:$E$2657,Data!$A$2:$A$2657,$A309,Data!$B$2:$B$2657,$B309,Data!$D$2:$D$2657,"Customer accounts, service &amp; sales")+SUMIFS(Data!$G$2:$G$2657,Data!$A$2:$A$2657,$A309,Data!$B$2:$B$2657,$B309,Data!$D$2:$D$2657,"Customer accounts, service &amp; sales"))/$D309,0)</f>
        <v>0.140368689694106</v>
      </c>
      <c r="I309" s="10" t="n">
        <f aca="false">IFERROR((SUMIFS(Data!$E$2:$E$2657,Data!$A$2:$A$2657,$A309,Data!$B$2:$B$2657,$B309,Data!$D$2:$D$2657,"A&amp;G and general")+SUMIFS(Data!$G$2:$G$2657,Data!$A$2:$A$2657,$A309,Data!$B$2:$B$2657,$B309,Data!$D$2:$D$2657,"A&amp;G and general"))/$D309,0)</f>
        <v>0.364359606298436</v>
      </c>
      <c r="J309" s="10" t="n">
        <f aca="false">IFERROR(SUMIFS(Data!$F$2:$F$2657,Data!$A$2:$A$2657,$A309,Data!$B$2:$B$2657,$B309)/$D309,0)</f>
        <v>0.266025731826936</v>
      </c>
      <c r="K309" s="11" t="n">
        <f aca="false">SUM(E309:I309)</f>
        <v>1</v>
      </c>
    </row>
    <row r="310" customFormat="false" ht="15" hidden="false" customHeight="false" outlineLevel="0" collapsed="false">
      <c r="A310" s="7" t="n">
        <v>2011</v>
      </c>
      <c r="B310" s="12" t="s">
        <v>73</v>
      </c>
      <c r="C310" s="12" t="s">
        <v>70</v>
      </c>
      <c r="D310" s="9" t="n">
        <f aca="false">SUMIFS(Data!$E$2:$E$2657,Data!$A$2:$A$2657,$A310,Data!$B$2:$B$2657,$B310)+SUMIFS(Data!$G$2:$G$2657,Data!$A$2:$A$2657,$A310,Data!$B$2:$B$2657,$B310)</f>
        <v>387.070876</v>
      </c>
      <c r="E310" s="10" t="n">
        <f aca="false">IFERROR((SUMIFS(Data!$E$2:$E$2657,Data!$A$2:$A$2657,$A310,Data!$B$2:$B$2657,$B310,Data!$D$2:$D$2657,"Transmission")+SUMIFS(Data!$G$2:$G$2657,Data!$A$2:$A$2657,$A310,Data!$B$2:$B$2657,$B310,Data!$D$2:$D$2657,"Transmission"))/$D310,0)</f>
        <v>0.128346254085001</v>
      </c>
      <c r="F310" s="10" t="n">
        <f aca="false">IFERROR((SUMIFS(Data!$E$2:$E$2657,Data!$A$2:$A$2657,$A310,Data!$B$2:$B$2657,$B310,Data!$D$2:$D$2657,"Distribution")+SUMIFS(Data!$G$2:$G$2657,Data!$A$2:$A$2657,$A310,Data!$B$2:$B$2657,$B310,Data!$D$2:$D$2657,"Distribution"))/$D310,0)</f>
        <v>0.413899716908694</v>
      </c>
      <c r="G310" s="10" t="n">
        <f aca="false">IFERROR((SUMIFS(Data!$E$2:$E$2657,Data!$A$2:$A$2657,$A310,Data!$B$2:$B$2657,$B310,Data!$D$2:$D$2657,"RTO/market operation")+SUMIFS(Data!$G$2:$G$2657,Data!$A$2:$A$2657,$A310,Data!$B$2:$B$2657,$B310,Data!$D$2:$D$2657,"RTO/market operation"))/$D310,0)</f>
        <v>0.0163145470030145</v>
      </c>
      <c r="H310" s="10" t="n">
        <f aca="false">IFERROR((SUMIFS(Data!$E$2:$E$2657,Data!$A$2:$A$2657,$A310,Data!$B$2:$B$2657,$B310,Data!$D$2:$D$2657,"Customer accounts, service &amp; sales")+SUMIFS(Data!$G$2:$G$2657,Data!$A$2:$A$2657,$A310,Data!$B$2:$B$2657,$B310,Data!$D$2:$D$2657,"Customer accounts, service &amp; sales"))/$D310,0)</f>
        <v>0.198174553437598</v>
      </c>
      <c r="I310" s="10" t="n">
        <f aca="false">IFERROR((SUMIFS(Data!$E$2:$E$2657,Data!$A$2:$A$2657,$A310,Data!$B$2:$B$2657,$B310,Data!$D$2:$D$2657,"A&amp;G and general")+SUMIFS(Data!$G$2:$G$2657,Data!$A$2:$A$2657,$A310,Data!$B$2:$B$2657,$B310,Data!$D$2:$D$2657,"A&amp;G and general"))/$D310,0)</f>
        <v>0.243264928565692</v>
      </c>
      <c r="J310" s="10" t="n">
        <f aca="false">IFERROR(SUMIFS(Data!$F$2:$F$2657,Data!$A$2:$A$2657,$A310,Data!$B$2:$B$2657,$B310)/$D310,0)</f>
        <v>0.0480775567314964</v>
      </c>
      <c r="K310" s="11" t="n">
        <f aca="false">SUM(E310:I310)</f>
        <v>1</v>
      </c>
    </row>
    <row r="311" customFormat="false" ht="15" hidden="false" customHeight="false" outlineLevel="0" collapsed="false">
      <c r="A311" s="7" t="n">
        <v>2011</v>
      </c>
      <c r="B311" s="12" t="s">
        <v>74</v>
      </c>
      <c r="C311" s="12" t="s">
        <v>65</v>
      </c>
      <c r="D311" s="9" t="n">
        <f aca="false">SUMIFS(Data!$E$2:$E$2657,Data!$A$2:$A$2657,$A311,Data!$B$2:$B$2657,$B311)+SUMIFS(Data!$G$2:$G$2657,Data!$A$2:$A$2657,$A311,Data!$B$2:$B$2657,$B311)</f>
        <v>336.862035</v>
      </c>
      <c r="E311" s="10" t="n">
        <f aca="false">IFERROR((SUMIFS(Data!$E$2:$E$2657,Data!$A$2:$A$2657,$A311,Data!$B$2:$B$2657,$B311,Data!$D$2:$D$2657,"Transmission")+SUMIFS(Data!$G$2:$G$2657,Data!$A$2:$A$2657,$A311,Data!$B$2:$B$2657,$B311,Data!$D$2:$D$2657,"Transmission"))/$D311,0)</f>
        <v>0.123721430941305</v>
      </c>
      <c r="F311" s="10" t="n">
        <f aca="false">IFERROR((SUMIFS(Data!$E$2:$E$2657,Data!$A$2:$A$2657,$A311,Data!$B$2:$B$2657,$B311,Data!$D$2:$D$2657,"Distribution")+SUMIFS(Data!$G$2:$G$2657,Data!$A$2:$A$2657,$A311,Data!$B$2:$B$2657,$B311,Data!$D$2:$D$2657,"Distribution"))/$D311,0)</f>
        <v>0.299787985903487</v>
      </c>
      <c r="G311" s="10" t="n">
        <f aca="false">IFERROR((SUMIFS(Data!$E$2:$E$2657,Data!$A$2:$A$2657,$A311,Data!$B$2:$B$2657,$B311,Data!$D$2:$D$2657,"RTO/market operation")+SUMIFS(Data!$G$2:$G$2657,Data!$A$2:$A$2657,$A311,Data!$B$2:$B$2657,$B311,Data!$D$2:$D$2657,"RTO/market operation"))/$D311,0)</f>
        <v>0.000259106075874653</v>
      </c>
      <c r="H311" s="10" t="n">
        <f aca="false">IFERROR((SUMIFS(Data!$E$2:$E$2657,Data!$A$2:$A$2657,$A311,Data!$B$2:$B$2657,$B311,Data!$D$2:$D$2657,"Customer accounts, service &amp; sales")+SUMIFS(Data!$G$2:$G$2657,Data!$A$2:$A$2657,$A311,Data!$B$2:$B$2657,$B311,Data!$D$2:$D$2657,"Customer accounts, service &amp; sales"))/$D311,0)</f>
        <v>0.0555387994375798</v>
      </c>
      <c r="I311" s="10" t="n">
        <f aca="false">IFERROR((SUMIFS(Data!$E$2:$E$2657,Data!$A$2:$A$2657,$A311,Data!$B$2:$B$2657,$B311,Data!$D$2:$D$2657,"A&amp;G and general")+SUMIFS(Data!$G$2:$G$2657,Data!$A$2:$A$2657,$A311,Data!$B$2:$B$2657,$B311,Data!$D$2:$D$2657,"A&amp;G and general"))/$D311,0)</f>
        <v>0.520692677641753</v>
      </c>
      <c r="J311" s="10" t="n">
        <f aca="false">IFERROR(SUMIFS(Data!$F$2:$F$2657,Data!$A$2:$A$2657,$A311,Data!$B$2:$B$2657,$B311)/$D311,0)</f>
        <v>6.21203870599428E-005</v>
      </c>
      <c r="K311" s="11" t="n">
        <f aca="false">SUM(E311:I311)</f>
        <v>1</v>
      </c>
    </row>
    <row r="312" customFormat="false" ht="15" hidden="false" customHeight="false" outlineLevel="0" collapsed="false">
      <c r="A312" s="7" t="n">
        <v>2011</v>
      </c>
      <c r="B312" s="12" t="s">
        <v>75</v>
      </c>
      <c r="C312" s="12" t="s">
        <v>57</v>
      </c>
      <c r="D312" s="9" t="n">
        <f aca="false">SUMIFS(Data!$E$2:$E$2657,Data!$A$2:$A$2657,$A312,Data!$B$2:$B$2657,$B312)+SUMIFS(Data!$G$2:$G$2657,Data!$A$2:$A$2657,$A312,Data!$B$2:$B$2657,$B312)</f>
        <v>853.469111</v>
      </c>
      <c r="E312" s="10" t="n">
        <f aca="false">IFERROR((SUMIFS(Data!$E$2:$E$2657,Data!$A$2:$A$2657,$A312,Data!$B$2:$B$2657,$B312,Data!$D$2:$D$2657,"Transmission")+SUMIFS(Data!$G$2:$G$2657,Data!$A$2:$A$2657,$A312,Data!$B$2:$B$2657,$B312,Data!$D$2:$D$2657,"Transmission"))/$D312,0)</f>
        <v>0.276975904521048</v>
      </c>
      <c r="F312" s="10" t="n">
        <f aca="false">IFERROR((SUMIFS(Data!$E$2:$E$2657,Data!$A$2:$A$2657,$A312,Data!$B$2:$B$2657,$B312,Data!$D$2:$D$2657,"Distribution")+SUMIFS(Data!$G$2:$G$2657,Data!$A$2:$A$2657,$A312,Data!$B$2:$B$2657,$B312,Data!$D$2:$D$2657,"Distribution"))/$D312,0)</f>
        <v>0.217466655333939</v>
      </c>
      <c r="G312" s="10" t="n">
        <f aca="false">IFERROR((SUMIFS(Data!$E$2:$E$2657,Data!$A$2:$A$2657,$A312,Data!$B$2:$B$2657,$B312,Data!$D$2:$D$2657,"RTO/market operation")+SUMIFS(Data!$G$2:$G$2657,Data!$A$2:$A$2657,$A312,Data!$B$2:$B$2657,$B312,Data!$D$2:$D$2657,"RTO/market operation"))/$D312,0)</f>
        <v>0.0133373426797634</v>
      </c>
      <c r="H312" s="10" t="n">
        <f aca="false">IFERROR((SUMIFS(Data!$E$2:$E$2657,Data!$A$2:$A$2657,$A312,Data!$B$2:$B$2657,$B312,Data!$D$2:$D$2657,"Customer accounts, service &amp; sales")+SUMIFS(Data!$G$2:$G$2657,Data!$A$2:$A$2657,$A312,Data!$B$2:$B$2657,$B312,Data!$D$2:$D$2657,"Customer accounts, service &amp; sales"))/$D312,0)</f>
        <v>0.205777367612312</v>
      </c>
      <c r="I312" s="10" t="n">
        <f aca="false">IFERROR((SUMIFS(Data!$E$2:$E$2657,Data!$A$2:$A$2657,$A312,Data!$B$2:$B$2657,$B312,Data!$D$2:$D$2657,"A&amp;G and general")+SUMIFS(Data!$G$2:$G$2657,Data!$A$2:$A$2657,$A312,Data!$B$2:$B$2657,$B312,Data!$D$2:$D$2657,"A&amp;G and general"))/$D312,0)</f>
        <v>0.286442729852938</v>
      </c>
      <c r="J312" s="10" t="n">
        <f aca="false">IFERROR(SUMIFS(Data!$F$2:$F$2657,Data!$A$2:$A$2657,$A312,Data!$B$2:$B$2657,$B312)/$D312,0)</f>
        <v>0.109164585805379</v>
      </c>
      <c r="K312" s="11" t="n">
        <f aca="false">SUM(E312:I312)</f>
        <v>1</v>
      </c>
    </row>
    <row r="313" customFormat="false" ht="15" hidden="false" customHeight="false" outlineLevel="0" collapsed="false">
      <c r="A313" s="7" t="n">
        <v>2011</v>
      </c>
      <c r="B313" s="12" t="s">
        <v>76</v>
      </c>
      <c r="C313" s="12" t="s">
        <v>72</v>
      </c>
      <c r="D313" s="9" t="n">
        <f aca="false">SUMIFS(Data!$E$2:$E$2657,Data!$A$2:$A$2657,$A313,Data!$B$2:$B$2657,$B313)+SUMIFS(Data!$G$2:$G$2657,Data!$A$2:$A$2657,$A313,Data!$B$2:$B$2657,$B313)</f>
        <v>177.566096</v>
      </c>
      <c r="E313" s="10" t="n">
        <f aca="false">IFERROR((SUMIFS(Data!$E$2:$E$2657,Data!$A$2:$A$2657,$A313,Data!$B$2:$B$2657,$B313,Data!$D$2:$D$2657,"Transmission")+SUMIFS(Data!$G$2:$G$2657,Data!$A$2:$A$2657,$A313,Data!$B$2:$B$2657,$B313,Data!$D$2:$D$2657,"Transmission"))/$D313,0)</f>
        <v>0.363378541588255</v>
      </c>
      <c r="F313" s="10" t="n">
        <f aca="false">IFERROR((SUMIFS(Data!$E$2:$E$2657,Data!$A$2:$A$2657,$A313,Data!$B$2:$B$2657,$B313,Data!$D$2:$D$2657,"Distribution")+SUMIFS(Data!$G$2:$G$2657,Data!$A$2:$A$2657,$A313,Data!$B$2:$B$2657,$B313,Data!$D$2:$D$2657,"Distribution"))/$D313,0)</f>
        <v>0.26458953065004</v>
      </c>
      <c r="G313" s="10" t="n">
        <f aca="false">IFERROR((SUMIFS(Data!$E$2:$E$2657,Data!$A$2:$A$2657,$A313,Data!$B$2:$B$2657,$B313,Data!$D$2:$D$2657,"RTO/market operation")+SUMIFS(Data!$G$2:$G$2657,Data!$A$2:$A$2657,$A313,Data!$B$2:$B$2657,$B313,Data!$D$2:$D$2657,"RTO/market operation"))/$D313,0)</f>
        <v>0</v>
      </c>
      <c r="H313" s="10" t="n">
        <f aca="false">IFERROR((SUMIFS(Data!$E$2:$E$2657,Data!$A$2:$A$2657,$A313,Data!$B$2:$B$2657,$B313,Data!$D$2:$D$2657,"Customer accounts, service &amp; sales")+SUMIFS(Data!$G$2:$G$2657,Data!$A$2:$A$2657,$A313,Data!$B$2:$B$2657,$B313,Data!$D$2:$D$2657,"Customer accounts, service &amp; sales"))/$D313,0)</f>
        <v>0.114455717942912</v>
      </c>
      <c r="I313" s="10" t="n">
        <f aca="false">IFERROR((SUMIFS(Data!$E$2:$E$2657,Data!$A$2:$A$2657,$A313,Data!$B$2:$B$2657,$B313,Data!$D$2:$D$2657,"A&amp;G and general")+SUMIFS(Data!$G$2:$G$2657,Data!$A$2:$A$2657,$A313,Data!$B$2:$B$2657,$B313,Data!$D$2:$D$2657,"A&amp;G and general"))/$D313,0)</f>
        <v>0.257576209818793</v>
      </c>
      <c r="J313" s="10" t="n">
        <f aca="false">IFERROR(SUMIFS(Data!$F$2:$F$2657,Data!$A$2:$A$2657,$A313,Data!$B$2:$B$2657,$B313)/$D313,0)</f>
        <v>0</v>
      </c>
      <c r="K313" s="11" t="n">
        <f aca="false">SUM(E313:I313)</f>
        <v>1</v>
      </c>
    </row>
    <row r="314" customFormat="false" ht="15" hidden="false" customHeight="false" outlineLevel="0" collapsed="false">
      <c r="A314" s="7" t="n">
        <v>2011</v>
      </c>
      <c r="B314" s="12" t="s">
        <v>77</v>
      </c>
      <c r="C314" s="12" t="s">
        <v>57</v>
      </c>
      <c r="D314" s="9" t="n">
        <f aca="false">SUMIFS(Data!$E$2:$E$2657,Data!$A$2:$A$2657,$A314,Data!$B$2:$B$2657,$B314)+SUMIFS(Data!$G$2:$G$2657,Data!$A$2:$A$2657,$A314,Data!$B$2:$B$2657,$B314)</f>
        <v>99.931052</v>
      </c>
      <c r="E314" s="10" t="n">
        <f aca="false">IFERROR((SUMIFS(Data!$E$2:$E$2657,Data!$A$2:$A$2657,$A314,Data!$B$2:$B$2657,$B314,Data!$D$2:$D$2657,"Transmission")+SUMIFS(Data!$G$2:$G$2657,Data!$A$2:$A$2657,$A314,Data!$B$2:$B$2657,$B314,Data!$D$2:$D$2657,"Transmission"))/$D314,0)</f>
        <v>0.159005200905921</v>
      </c>
      <c r="F314" s="10" t="n">
        <f aca="false">IFERROR((SUMIFS(Data!$E$2:$E$2657,Data!$A$2:$A$2657,$A314,Data!$B$2:$B$2657,$B314,Data!$D$2:$D$2657,"Distribution")+SUMIFS(Data!$G$2:$G$2657,Data!$A$2:$A$2657,$A314,Data!$B$2:$B$2657,$B314,Data!$D$2:$D$2657,"Distribution"))/$D314,0)</f>
        <v>0.253085117126556</v>
      </c>
      <c r="G314" s="10" t="n">
        <f aca="false">IFERROR((SUMIFS(Data!$E$2:$E$2657,Data!$A$2:$A$2657,$A314,Data!$B$2:$B$2657,$B314,Data!$D$2:$D$2657,"RTO/market operation")+SUMIFS(Data!$G$2:$G$2657,Data!$A$2:$A$2657,$A314,Data!$B$2:$B$2657,$B314,Data!$D$2:$D$2657,"RTO/market operation"))/$D314,0)</f>
        <v>0.0173637319459021</v>
      </c>
      <c r="H314" s="10" t="n">
        <f aca="false">IFERROR((SUMIFS(Data!$E$2:$E$2657,Data!$A$2:$A$2657,$A314,Data!$B$2:$B$2657,$B314,Data!$D$2:$D$2657,"Customer accounts, service &amp; sales")+SUMIFS(Data!$G$2:$G$2657,Data!$A$2:$A$2657,$A314,Data!$B$2:$B$2657,$B314,Data!$D$2:$D$2657,"Customer accounts, service &amp; sales"))/$D314,0)</f>
        <v>0.205737011554727</v>
      </c>
      <c r="I314" s="10" t="n">
        <f aca="false">IFERROR((SUMIFS(Data!$E$2:$E$2657,Data!$A$2:$A$2657,$A314,Data!$B$2:$B$2657,$B314,Data!$D$2:$D$2657,"A&amp;G and general")+SUMIFS(Data!$G$2:$G$2657,Data!$A$2:$A$2657,$A314,Data!$B$2:$B$2657,$B314,Data!$D$2:$D$2657,"A&amp;G and general"))/$D314,0)</f>
        <v>0.364808938466894</v>
      </c>
      <c r="J314" s="10" t="n">
        <f aca="false">IFERROR(SUMIFS(Data!$F$2:$F$2657,Data!$A$2:$A$2657,$A314,Data!$B$2:$B$2657,$B314)/$D314,0)</f>
        <v>0.0252525211082537</v>
      </c>
      <c r="K314" s="11" t="n">
        <f aca="false">SUM(E314:I314)</f>
        <v>1</v>
      </c>
    </row>
    <row r="315" customFormat="false" ht="15" hidden="false" customHeight="false" outlineLevel="0" collapsed="false">
      <c r="A315" s="7" t="n">
        <v>2011</v>
      </c>
      <c r="B315" s="12" t="s">
        <v>78</v>
      </c>
      <c r="C315" s="12" t="s">
        <v>65</v>
      </c>
      <c r="D315" s="9" t="n">
        <f aca="false">SUMIFS(Data!$E$2:$E$2657,Data!$A$2:$A$2657,$A315,Data!$B$2:$B$2657,$B315)+SUMIFS(Data!$G$2:$G$2657,Data!$A$2:$A$2657,$A315,Data!$B$2:$B$2657,$B315)</f>
        <v>104.32462</v>
      </c>
      <c r="E315" s="10" t="n">
        <f aca="false">IFERROR((SUMIFS(Data!$E$2:$E$2657,Data!$A$2:$A$2657,$A315,Data!$B$2:$B$2657,$B315,Data!$D$2:$D$2657,"Transmission")+SUMIFS(Data!$G$2:$G$2657,Data!$A$2:$A$2657,$A315,Data!$B$2:$B$2657,$B315,Data!$D$2:$D$2657,"Transmission"))/$D315,0)</f>
        <v>0.203306410318101</v>
      </c>
      <c r="F315" s="10" t="n">
        <f aca="false">IFERROR((SUMIFS(Data!$E$2:$E$2657,Data!$A$2:$A$2657,$A315,Data!$B$2:$B$2657,$B315,Data!$D$2:$D$2657,"Distribution")+SUMIFS(Data!$G$2:$G$2657,Data!$A$2:$A$2657,$A315,Data!$B$2:$B$2657,$B315,Data!$D$2:$D$2657,"Distribution"))/$D315,0)</f>
        <v>0.301871418271162</v>
      </c>
      <c r="G315" s="10" t="n">
        <f aca="false">IFERROR((SUMIFS(Data!$E$2:$E$2657,Data!$A$2:$A$2657,$A315,Data!$B$2:$B$2657,$B315,Data!$D$2:$D$2657,"RTO/market operation")+SUMIFS(Data!$G$2:$G$2657,Data!$A$2:$A$2657,$A315,Data!$B$2:$B$2657,$B315,Data!$D$2:$D$2657,"RTO/market operation"))/$D315,0)</f>
        <v>0</v>
      </c>
      <c r="H315" s="10" t="n">
        <f aca="false">IFERROR((SUMIFS(Data!$E$2:$E$2657,Data!$A$2:$A$2657,$A315,Data!$B$2:$B$2657,$B315,Data!$D$2:$D$2657,"Customer accounts, service &amp; sales")+SUMIFS(Data!$G$2:$G$2657,Data!$A$2:$A$2657,$A315,Data!$B$2:$B$2657,$B315,Data!$D$2:$D$2657,"Customer accounts, service &amp; sales"))/$D315,0)</f>
        <v>0.112844513596119</v>
      </c>
      <c r="I315" s="10" t="n">
        <f aca="false">IFERROR((SUMIFS(Data!$E$2:$E$2657,Data!$A$2:$A$2657,$A315,Data!$B$2:$B$2657,$B315,Data!$D$2:$D$2657,"A&amp;G and general")+SUMIFS(Data!$G$2:$G$2657,Data!$A$2:$A$2657,$A315,Data!$B$2:$B$2657,$B315,Data!$D$2:$D$2657,"A&amp;G and general"))/$D315,0)</f>
        <v>0.381977657814617</v>
      </c>
      <c r="J315" s="10" t="n">
        <f aca="false">IFERROR(SUMIFS(Data!$F$2:$F$2657,Data!$A$2:$A$2657,$A315,Data!$B$2:$B$2657,$B315)/$D315,0)</f>
        <v>0</v>
      </c>
      <c r="K315" s="11" t="n">
        <f aca="false">SUM(E315:I315)</f>
        <v>1</v>
      </c>
    </row>
    <row r="316" customFormat="false" ht="15" hidden="false" customHeight="false" outlineLevel="0" collapsed="false">
      <c r="A316" s="7" t="n">
        <v>2011</v>
      </c>
      <c r="B316" s="12" t="s">
        <v>79</v>
      </c>
      <c r="C316" s="12" t="s">
        <v>72</v>
      </c>
      <c r="D316" s="9" t="n">
        <f aca="false">SUMIFS(Data!$E$2:$E$2657,Data!$A$2:$A$2657,$A316,Data!$B$2:$B$2657,$B316)+SUMIFS(Data!$G$2:$G$2657,Data!$A$2:$A$2657,$A316,Data!$B$2:$B$2657,$B316)</f>
        <v>832.002129</v>
      </c>
      <c r="E316" s="10" t="n">
        <f aca="false">IFERROR((SUMIFS(Data!$E$2:$E$2657,Data!$A$2:$A$2657,$A316,Data!$B$2:$B$2657,$B316,Data!$D$2:$D$2657,"Transmission")+SUMIFS(Data!$G$2:$G$2657,Data!$A$2:$A$2657,$A316,Data!$B$2:$B$2657,$B316,Data!$D$2:$D$2657,"Transmission"))/$D316,0)</f>
        <v>0.326284296082613</v>
      </c>
      <c r="F316" s="10" t="n">
        <f aca="false">IFERROR((SUMIFS(Data!$E$2:$E$2657,Data!$A$2:$A$2657,$A316,Data!$B$2:$B$2657,$B316,Data!$D$2:$D$2657,"Distribution")+SUMIFS(Data!$G$2:$G$2657,Data!$A$2:$A$2657,$A316,Data!$B$2:$B$2657,$B316,Data!$D$2:$D$2657,"Distribution"))/$D316,0)</f>
        <v>0.222244906058407</v>
      </c>
      <c r="G316" s="10" t="n">
        <f aca="false">IFERROR((SUMIFS(Data!$E$2:$E$2657,Data!$A$2:$A$2657,$A316,Data!$B$2:$B$2657,$B316,Data!$D$2:$D$2657,"RTO/market operation")+SUMIFS(Data!$G$2:$G$2657,Data!$A$2:$A$2657,$A316,Data!$B$2:$B$2657,$B316,Data!$D$2:$D$2657,"RTO/market operation"))/$D316,0)</f>
        <v>0.0064818584136099</v>
      </c>
      <c r="H316" s="10" t="n">
        <f aca="false">IFERROR((SUMIFS(Data!$E$2:$E$2657,Data!$A$2:$A$2657,$A316,Data!$B$2:$B$2657,$B316,Data!$D$2:$D$2657,"Customer accounts, service &amp; sales")+SUMIFS(Data!$G$2:$G$2657,Data!$A$2:$A$2657,$A316,Data!$B$2:$B$2657,$B316,Data!$D$2:$D$2657,"Customer accounts, service &amp; sales"))/$D316,0)</f>
        <v>0.160141188773328</v>
      </c>
      <c r="I316" s="10" t="n">
        <f aca="false">IFERROR((SUMIFS(Data!$E$2:$E$2657,Data!$A$2:$A$2657,$A316,Data!$B$2:$B$2657,$B316,Data!$D$2:$D$2657,"A&amp;G and general")+SUMIFS(Data!$G$2:$G$2657,Data!$A$2:$A$2657,$A316,Data!$B$2:$B$2657,$B316,Data!$D$2:$D$2657,"A&amp;G and general"))/$D316,0)</f>
        <v>0.284847750672042</v>
      </c>
      <c r="J316" s="10" t="n">
        <f aca="false">IFERROR(SUMIFS(Data!$F$2:$F$2657,Data!$A$2:$A$2657,$A316,Data!$B$2:$B$2657,$B316)/$D316,0)</f>
        <v>0.319277771944259</v>
      </c>
      <c r="K316" s="11" t="n">
        <f aca="false">SUM(E316:I316)</f>
        <v>1</v>
      </c>
    </row>
    <row r="317" customFormat="false" ht="15" hidden="false" customHeight="false" outlineLevel="0" collapsed="false">
      <c r="A317" s="7" t="n">
        <v>2011</v>
      </c>
      <c r="B317" s="12" t="s">
        <v>80</v>
      </c>
      <c r="C317" s="12" t="s">
        <v>72</v>
      </c>
      <c r="D317" s="9" t="n">
        <f aca="false">SUMIFS(Data!$E$2:$E$2657,Data!$A$2:$A$2657,$A317,Data!$B$2:$B$2657,$B317)+SUMIFS(Data!$G$2:$G$2657,Data!$A$2:$A$2657,$A317,Data!$B$2:$B$2657,$B317)</f>
        <v>319.667405</v>
      </c>
      <c r="E317" s="10" t="n">
        <f aca="false">IFERROR((SUMIFS(Data!$E$2:$E$2657,Data!$A$2:$A$2657,$A317,Data!$B$2:$B$2657,$B317,Data!$D$2:$D$2657,"Transmission")+SUMIFS(Data!$G$2:$G$2657,Data!$A$2:$A$2657,$A317,Data!$B$2:$B$2657,$B317,Data!$D$2:$D$2657,"Transmission"))/$D317,0)</f>
        <v>0.334644368887094</v>
      </c>
      <c r="F317" s="10" t="n">
        <f aca="false">IFERROR((SUMIFS(Data!$E$2:$E$2657,Data!$A$2:$A$2657,$A317,Data!$B$2:$B$2657,$B317,Data!$D$2:$D$2657,"Distribution")+SUMIFS(Data!$G$2:$G$2657,Data!$A$2:$A$2657,$A317,Data!$B$2:$B$2657,$B317,Data!$D$2:$D$2657,"Distribution"))/$D317,0)</f>
        <v>0.225259231544111</v>
      </c>
      <c r="G317" s="10" t="n">
        <f aca="false">IFERROR((SUMIFS(Data!$E$2:$E$2657,Data!$A$2:$A$2657,$A317,Data!$B$2:$B$2657,$B317,Data!$D$2:$D$2657,"RTO/market operation")+SUMIFS(Data!$G$2:$G$2657,Data!$A$2:$A$2657,$A317,Data!$B$2:$B$2657,$B317,Data!$D$2:$D$2657,"RTO/market operation"))/$D317,0)</f>
        <v>0.00803523900098604</v>
      </c>
      <c r="H317" s="10" t="n">
        <f aca="false">IFERROR((SUMIFS(Data!$E$2:$E$2657,Data!$A$2:$A$2657,$A317,Data!$B$2:$B$2657,$B317,Data!$D$2:$D$2657,"Customer accounts, service &amp; sales")+SUMIFS(Data!$G$2:$G$2657,Data!$A$2:$A$2657,$A317,Data!$B$2:$B$2657,$B317,Data!$D$2:$D$2657,"Customer accounts, service &amp; sales"))/$D317,0)</f>
        <v>0.153762283020379</v>
      </c>
      <c r="I317" s="10" t="n">
        <f aca="false">IFERROR((SUMIFS(Data!$E$2:$E$2657,Data!$A$2:$A$2657,$A317,Data!$B$2:$B$2657,$B317,Data!$D$2:$D$2657,"A&amp;G and general")+SUMIFS(Data!$G$2:$G$2657,Data!$A$2:$A$2657,$A317,Data!$B$2:$B$2657,$B317,Data!$D$2:$D$2657,"A&amp;G and general"))/$D317,0)</f>
        <v>0.278298877547431</v>
      </c>
      <c r="J317" s="10" t="n">
        <f aca="false">IFERROR(SUMIFS(Data!$F$2:$F$2657,Data!$A$2:$A$2657,$A317,Data!$B$2:$B$2657,$B317)/$D317,0)</f>
        <v>0.327314147027283</v>
      </c>
      <c r="K317" s="11" t="n">
        <f aca="false">SUM(E317:I317)</f>
        <v>1</v>
      </c>
    </row>
    <row r="318" customFormat="false" ht="15" hidden="false" customHeight="false" outlineLevel="0" collapsed="false">
      <c r="A318" s="7" t="n">
        <v>2011</v>
      </c>
      <c r="B318" s="12" t="s">
        <v>81</v>
      </c>
      <c r="C318" s="12" t="s">
        <v>72</v>
      </c>
      <c r="D318" s="9" t="n">
        <f aca="false">SUMIFS(Data!$E$2:$E$2657,Data!$A$2:$A$2657,$A318,Data!$B$2:$B$2657,$B318)+SUMIFS(Data!$G$2:$G$2657,Data!$A$2:$A$2657,$A318,Data!$B$2:$B$2657,$B318)</f>
        <v>327.262128</v>
      </c>
      <c r="E318" s="10" t="n">
        <f aca="false">IFERROR((SUMIFS(Data!$E$2:$E$2657,Data!$A$2:$A$2657,$A318,Data!$B$2:$B$2657,$B318,Data!$D$2:$D$2657,"Transmission")+SUMIFS(Data!$G$2:$G$2657,Data!$A$2:$A$2657,$A318,Data!$B$2:$B$2657,$B318,Data!$D$2:$D$2657,"Transmission"))/$D318,0)</f>
        <v>0.342069492379515</v>
      </c>
      <c r="F318" s="10" t="n">
        <f aca="false">IFERROR((SUMIFS(Data!$E$2:$E$2657,Data!$A$2:$A$2657,$A318,Data!$B$2:$B$2657,$B318,Data!$D$2:$D$2657,"Distribution")+SUMIFS(Data!$G$2:$G$2657,Data!$A$2:$A$2657,$A318,Data!$B$2:$B$2657,$B318,Data!$D$2:$D$2657,"Distribution"))/$D318,0)</f>
        <v>0.199741269787257</v>
      </c>
      <c r="G318" s="10" t="n">
        <f aca="false">IFERROR((SUMIFS(Data!$E$2:$E$2657,Data!$A$2:$A$2657,$A318,Data!$B$2:$B$2657,$B318,Data!$D$2:$D$2657,"RTO/market operation")+SUMIFS(Data!$G$2:$G$2657,Data!$A$2:$A$2657,$A318,Data!$B$2:$B$2657,$B318,Data!$D$2:$D$2657,"RTO/market operation"))/$D318,0)</f>
        <v>0.00741434095912253</v>
      </c>
      <c r="H318" s="10" t="n">
        <f aca="false">IFERROR((SUMIFS(Data!$E$2:$E$2657,Data!$A$2:$A$2657,$A318,Data!$B$2:$B$2657,$B318,Data!$D$2:$D$2657,"Customer accounts, service &amp; sales")+SUMIFS(Data!$G$2:$G$2657,Data!$A$2:$A$2657,$A318,Data!$B$2:$B$2657,$B318,Data!$D$2:$D$2657,"Customer accounts, service &amp; sales"))/$D318,0)</f>
        <v>0.15535610341078</v>
      </c>
      <c r="I318" s="10" t="n">
        <f aca="false">IFERROR((SUMIFS(Data!$E$2:$E$2657,Data!$A$2:$A$2657,$A318,Data!$B$2:$B$2657,$B318,Data!$D$2:$D$2657,"A&amp;G and general")+SUMIFS(Data!$G$2:$G$2657,Data!$A$2:$A$2657,$A318,Data!$B$2:$B$2657,$B318,Data!$D$2:$D$2657,"A&amp;G and general"))/$D318,0)</f>
        <v>0.295418793463324</v>
      </c>
      <c r="J318" s="10" t="n">
        <f aca="false">IFERROR(SUMIFS(Data!$F$2:$F$2657,Data!$A$2:$A$2657,$A318,Data!$B$2:$B$2657,$B318)/$D318,0)</f>
        <v>0.335872026108686</v>
      </c>
      <c r="K318" s="11" t="n">
        <f aca="false">SUM(E318:I318)</f>
        <v>1</v>
      </c>
    </row>
    <row r="319" customFormat="false" ht="15" hidden="false" customHeight="false" outlineLevel="0" collapsed="false">
      <c r="A319" s="7" t="n">
        <v>2012</v>
      </c>
      <c r="B319" s="12" t="s">
        <v>56</v>
      </c>
      <c r="C319" s="12" t="s">
        <v>57</v>
      </c>
      <c r="D319" s="9" t="n">
        <f aca="false">SUMIFS(Data!$E$2:$E$2657,Data!$A$2:$A$2657,$A319,Data!$B$2:$B$2657,$B319)+SUMIFS(Data!$G$2:$G$2657,Data!$A$2:$A$2657,$A319,Data!$B$2:$B$2657,$B319)</f>
        <v>189.954045</v>
      </c>
      <c r="E319" s="10" t="n">
        <f aca="false">IFERROR((SUMIFS(Data!$E$2:$E$2657,Data!$A$2:$A$2657,$A319,Data!$B$2:$B$2657,$B319,Data!$D$2:$D$2657,"Transmission")+SUMIFS(Data!$G$2:$G$2657,Data!$A$2:$A$2657,$A319,Data!$B$2:$B$2657,$B319,Data!$D$2:$D$2657,"Transmission"))/$D319,0)</f>
        <v>0.314257535289654</v>
      </c>
      <c r="F319" s="10" t="n">
        <f aca="false">IFERROR((SUMIFS(Data!$E$2:$E$2657,Data!$A$2:$A$2657,$A319,Data!$B$2:$B$2657,$B319,Data!$D$2:$D$2657,"Distribution")+SUMIFS(Data!$G$2:$G$2657,Data!$A$2:$A$2657,$A319,Data!$B$2:$B$2657,$B319,Data!$D$2:$D$2657,"Distribution"))/$D319,0)</f>
        <v>0.214222787411555</v>
      </c>
      <c r="G319" s="10" t="n">
        <f aca="false">IFERROR((SUMIFS(Data!$E$2:$E$2657,Data!$A$2:$A$2657,$A319,Data!$B$2:$B$2657,$B319,Data!$D$2:$D$2657,"RTO/market operation")+SUMIFS(Data!$G$2:$G$2657,Data!$A$2:$A$2657,$A319,Data!$B$2:$B$2657,$B319,Data!$D$2:$D$2657,"RTO/market operation"))/$D319,0)</f>
        <v>-8.67525616524776E-005</v>
      </c>
      <c r="H319" s="10" t="n">
        <f aca="false">IFERROR((SUMIFS(Data!$E$2:$E$2657,Data!$A$2:$A$2657,$A319,Data!$B$2:$B$2657,$B319,Data!$D$2:$D$2657,"Customer accounts, service &amp; sales")+SUMIFS(Data!$G$2:$G$2657,Data!$A$2:$A$2657,$A319,Data!$B$2:$B$2657,$B319,Data!$D$2:$D$2657,"Customer accounts, service &amp; sales"))/$D319,0)</f>
        <v>0.0875942915561498</v>
      </c>
      <c r="I319" s="10" t="n">
        <f aca="false">IFERROR((SUMIFS(Data!$E$2:$E$2657,Data!$A$2:$A$2657,$A319,Data!$B$2:$B$2657,$B319,Data!$D$2:$D$2657,"A&amp;G and general")+SUMIFS(Data!$G$2:$G$2657,Data!$A$2:$A$2657,$A319,Data!$B$2:$B$2657,$B319,Data!$D$2:$D$2657,"A&amp;G and general"))/$D319,0)</f>
        <v>0.384012138304294</v>
      </c>
      <c r="J319" s="10" t="n">
        <f aca="false">IFERROR(SUMIFS(Data!$F$2:$F$2657,Data!$A$2:$A$2657,$A319,Data!$B$2:$B$2657,$B319)/$D319,0)</f>
        <v>0.145810093172799</v>
      </c>
      <c r="K319" s="11" t="n">
        <f aca="false">SUM(E319:I319)</f>
        <v>1</v>
      </c>
    </row>
    <row r="320" customFormat="false" ht="15" hidden="false" customHeight="false" outlineLevel="0" collapsed="false">
      <c r="A320" s="7" t="n">
        <v>2012</v>
      </c>
      <c r="B320" s="12" t="s">
        <v>58</v>
      </c>
      <c r="C320" s="12" t="s">
        <v>59</v>
      </c>
      <c r="D320" s="9" t="n">
        <f aca="false">SUMIFS(Data!$E$2:$E$2657,Data!$A$2:$A$2657,$A320,Data!$B$2:$B$2657,$B320)+SUMIFS(Data!$G$2:$G$2657,Data!$A$2:$A$2657,$A320,Data!$B$2:$B$2657,$B320)</f>
        <v>669.24598</v>
      </c>
      <c r="E320" s="10" t="n">
        <f aca="false">IFERROR((SUMIFS(Data!$E$2:$E$2657,Data!$A$2:$A$2657,$A320,Data!$B$2:$B$2657,$B320,Data!$D$2:$D$2657,"Transmission")+SUMIFS(Data!$G$2:$G$2657,Data!$A$2:$A$2657,$A320,Data!$B$2:$B$2657,$B320,Data!$D$2:$D$2657,"Transmission"))/$D320,0)</f>
        <v>0.09308917328125</v>
      </c>
      <c r="F320" s="10" t="n">
        <f aca="false">IFERROR((SUMIFS(Data!$E$2:$E$2657,Data!$A$2:$A$2657,$A320,Data!$B$2:$B$2657,$B320,Data!$D$2:$D$2657,"Distribution")+SUMIFS(Data!$G$2:$G$2657,Data!$A$2:$A$2657,$A320,Data!$B$2:$B$2657,$B320,Data!$D$2:$D$2657,"Distribution"))/$D320,0)</f>
        <v>0.516536359321875</v>
      </c>
      <c r="G320" s="10" t="n">
        <f aca="false">IFERROR((SUMIFS(Data!$E$2:$E$2657,Data!$A$2:$A$2657,$A320,Data!$B$2:$B$2657,$B320,Data!$D$2:$D$2657,"RTO/market operation")+SUMIFS(Data!$G$2:$G$2657,Data!$A$2:$A$2657,$A320,Data!$B$2:$B$2657,$B320,Data!$D$2:$D$2657,"RTO/market operation"))/$D320,0)</f>
        <v>0.00190090346153443</v>
      </c>
      <c r="H320" s="10" t="n">
        <f aca="false">IFERROR((SUMIFS(Data!$E$2:$E$2657,Data!$A$2:$A$2657,$A320,Data!$B$2:$B$2657,$B320,Data!$D$2:$D$2657,"Customer accounts, service &amp; sales")+SUMIFS(Data!$G$2:$G$2657,Data!$A$2:$A$2657,$A320,Data!$B$2:$B$2657,$B320,Data!$D$2:$D$2657,"Customer accounts, service &amp; sales"))/$D320,0)</f>
        <v>0.163863708228774</v>
      </c>
      <c r="I320" s="10" t="n">
        <f aca="false">IFERROR((SUMIFS(Data!$E$2:$E$2657,Data!$A$2:$A$2657,$A320,Data!$B$2:$B$2657,$B320,Data!$D$2:$D$2657,"A&amp;G and general")+SUMIFS(Data!$G$2:$G$2657,Data!$A$2:$A$2657,$A320,Data!$B$2:$B$2657,$B320,Data!$D$2:$D$2657,"A&amp;G and general"))/$D320,0)</f>
        <v>0.224609855706567</v>
      </c>
      <c r="J320" s="10" t="n">
        <f aca="false">IFERROR(SUMIFS(Data!$F$2:$F$2657,Data!$A$2:$A$2657,$A320,Data!$B$2:$B$2657,$B320)/$D320,0)</f>
        <v>0.0197447850191046</v>
      </c>
      <c r="K320" s="11" t="n">
        <f aca="false">SUM(E320:I320)</f>
        <v>1</v>
      </c>
    </row>
    <row r="321" customFormat="false" ht="15" hidden="false" customHeight="false" outlineLevel="0" collapsed="false">
      <c r="A321" s="7" t="n">
        <v>2012</v>
      </c>
      <c r="B321" s="12" t="s">
        <v>60</v>
      </c>
      <c r="C321" s="12" t="s">
        <v>59</v>
      </c>
      <c r="D321" s="9" t="n">
        <f aca="false">SUMIFS(Data!$E$2:$E$2657,Data!$A$2:$A$2657,$A321,Data!$B$2:$B$2657,$B321)+SUMIFS(Data!$G$2:$G$2657,Data!$A$2:$A$2657,$A321,Data!$B$2:$B$2657,$B321)</f>
        <v>2170.101005</v>
      </c>
      <c r="E321" s="10" t="n">
        <f aca="false">IFERROR((SUMIFS(Data!$E$2:$E$2657,Data!$A$2:$A$2657,$A321,Data!$B$2:$B$2657,$B321,Data!$D$2:$D$2657,"Transmission")+SUMIFS(Data!$G$2:$G$2657,Data!$A$2:$A$2657,$A321,Data!$B$2:$B$2657,$B321,Data!$D$2:$D$2657,"Transmission"))/$D321,0)</f>
        <v>0.176031661254403</v>
      </c>
      <c r="F321" s="10" t="n">
        <f aca="false">IFERROR((SUMIFS(Data!$E$2:$E$2657,Data!$A$2:$A$2657,$A321,Data!$B$2:$B$2657,$B321,Data!$D$2:$D$2657,"Distribution")+SUMIFS(Data!$G$2:$G$2657,Data!$A$2:$A$2657,$A321,Data!$B$2:$B$2657,$B321,Data!$D$2:$D$2657,"Distribution"))/$D321,0)</f>
        <v>0.345425996427295</v>
      </c>
      <c r="G321" s="10" t="n">
        <f aca="false">IFERROR((SUMIFS(Data!$E$2:$E$2657,Data!$A$2:$A$2657,$A321,Data!$B$2:$B$2657,$B321,Data!$D$2:$D$2657,"RTO/market operation")+SUMIFS(Data!$G$2:$G$2657,Data!$A$2:$A$2657,$A321,Data!$B$2:$B$2657,$B321,Data!$D$2:$D$2657,"RTO/market operation"))/$D321,0)</f>
        <v>0.00242487883645766</v>
      </c>
      <c r="H321" s="10" t="n">
        <f aca="false">IFERROR((SUMIFS(Data!$E$2:$E$2657,Data!$A$2:$A$2657,$A321,Data!$B$2:$B$2657,$B321,Data!$D$2:$D$2657,"Customer accounts, service &amp; sales")+SUMIFS(Data!$G$2:$G$2657,Data!$A$2:$A$2657,$A321,Data!$B$2:$B$2657,$B321,Data!$D$2:$D$2657,"Customer accounts, service &amp; sales"))/$D321,0)</f>
        <v>0.181644313371488</v>
      </c>
      <c r="I321" s="10" t="n">
        <f aca="false">IFERROR((SUMIFS(Data!$E$2:$E$2657,Data!$A$2:$A$2657,$A321,Data!$B$2:$B$2657,$B321,Data!$D$2:$D$2657,"A&amp;G and general")+SUMIFS(Data!$G$2:$G$2657,Data!$A$2:$A$2657,$A321,Data!$B$2:$B$2657,$B321,Data!$D$2:$D$2657,"A&amp;G and general"))/$D321,0)</f>
        <v>0.294473150110356</v>
      </c>
      <c r="J321" s="10" t="n">
        <f aca="false">IFERROR(SUMIFS(Data!$F$2:$F$2657,Data!$A$2:$A$2657,$A321,Data!$B$2:$B$2657,$B321)/$D321,0)</f>
        <v>0.00226321355028357</v>
      </c>
      <c r="K321" s="11" t="n">
        <f aca="false">SUM(E321:I321)</f>
        <v>1</v>
      </c>
    </row>
    <row r="322" customFormat="false" ht="15" hidden="false" customHeight="false" outlineLevel="0" collapsed="false">
      <c r="A322" s="7" t="n">
        <v>2012</v>
      </c>
      <c r="B322" s="12" t="s">
        <v>61</v>
      </c>
      <c r="C322" s="12" t="s">
        <v>62</v>
      </c>
      <c r="D322" s="9" t="n">
        <f aca="false">SUMIFS(Data!$E$2:$E$2657,Data!$A$2:$A$2657,$A322,Data!$B$2:$B$2657,$B322)+SUMIFS(Data!$G$2:$G$2657,Data!$A$2:$A$2657,$A322,Data!$B$2:$B$2657,$B322)</f>
        <v>1023.131444</v>
      </c>
      <c r="E322" s="10" t="n">
        <f aca="false">IFERROR((SUMIFS(Data!$E$2:$E$2657,Data!$A$2:$A$2657,$A322,Data!$B$2:$B$2657,$B322,Data!$D$2:$D$2657,"Transmission")+SUMIFS(Data!$G$2:$G$2657,Data!$A$2:$A$2657,$A322,Data!$B$2:$B$2657,$B322,Data!$D$2:$D$2657,"Transmission"))/$D322,0)</f>
        <v>0.267466704893883</v>
      </c>
      <c r="F322" s="10" t="n">
        <f aca="false">IFERROR((SUMIFS(Data!$E$2:$E$2657,Data!$A$2:$A$2657,$A322,Data!$B$2:$B$2657,$B322,Data!$D$2:$D$2657,"Distribution")+SUMIFS(Data!$G$2:$G$2657,Data!$A$2:$A$2657,$A322,Data!$B$2:$B$2657,$B322,Data!$D$2:$D$2657,"Distribution"))/$D322,0)</f>
        <v>0.341117634539243</v>
      </c>
      <c r="G322" s="10" t="n">
        <f aca="false">IFERROR((SUMIFS(Data!$E$2:$E$2657,Data!$A$2:$A$2657,$A322,Data!$B$2:$B$2657,$B322,Data!$D$2:$D$2657,"RTO/market operation")+SUMIFS(Data!$G$2:$G$2657,Data!$A$2:$A$2657,$A322,Data!$B$2:$B$2657,$B322,Data!$D$2:$D$2657,"RTO/market operation"))/$D322,0)</f>
        <v>0.00811246301604235</v>
      </c>
      <c r="H322" s="10" t="n">
        <f aca="false">IFERROR((SUMIFS(Data!$E$2:$E$2657,Data!$A$2:$A$2657,$A322,Data!$B$2:$B$2657,$B322,Data!$D$2:$D$2657,"Customer accounts, service &amp; sales")+SUMIFS(Data!$G$2:$G$2657,Data!$A$2:$A$2657,$A322,Data!$B$2:$B$2657,$B322,Data!$D$2:$D$2657,"Customer accounts, service &amp; sales"))/$D322,0)</f>
        <v>0.157888585036978</v>
      </c>
      <c r="I322" s="10" t="n">
        <f aca="false">IFERROR((SUMIFS(Data!$E$2:$E$2657,Data!$A$2:$A$2657,$A322,Data!$B$2:$B$2657,$B322,Data!$D$2:$D$2657,"A&amp;G and general")+SUMIFS(Data!$G$2:$G$2657,Data!$A$2:$A$2657,$A322,Data!$B$2:$B$2657,$B322,Data!$D$2:$D$2657,"A&amp;G and general"))/$D322,0)</f>
        <v>0.225414612513854</v>
      </c>
      <c r="J322" s="10" t="n">
        <f aca="false">IFERROR(SUMIFS(Data!$F$2:$F$2657,Data!$A$2:$A$2657,$A322,Data!$B$2:$B$2657,$B322)/$D322,0)</f>
        <v>0.256471080562352</v>
      </c>
      <c r="K322" s="11" t="n">
        <f aca="false">SUM(E322:I322)</f>
        <v>1</v>
      </c>
    </row>
    <row r="323" customFormat="false" ht="15" hidden="false" customHeight="false" outlineLevel="0" collapsed="false">
      <c r="A323" s="7" t="n">
        <v>2012</v>
      </c>
      <c r="B323" s="12" t="s">
        <v>63</v>
      </c>
      <c r="C323" s="12" t="s">
        <v>62</v>
      </c>
      <c r="D323" s="9" t="n">
        <f aca="false">SUMIFS(Data!$E$2:$E$2657,Data!$A$2:$A$2657,$A323,Data!$B$2:$B$2657,$B323)+SUMIFS(Data!$G$2:$G$2657,Data!$A$2:$A$2657,$A323,Data!$B$2:$B$2657,$B323)</f>
        <v>1586.413422</v>
      </c>
      <c r="E323" s="10" t="n">
        <f aca="false">IFERROR((SUMIFS(Data!$E$2:$E$2657,Data!$A$2:$A$2657,$A323,Data!$B$2:$B$2657,$B323,Data!$D$2:$D$2657,"Transmission")+SUMIFS(Data!$G$2:$G$2657,Data!$A$2:$A$2657,$A323,Data!$B$2:$B$2657,$B323,Data!$D$2:$D$2657,"Transmission"))/$D323,0)</f>
        <v>0.163366924035014</v>
      </c>
      <c r="F323" s="10" t="n">
        <f aca="false">IFERROR((SUMIFS(Data!$E$2:$E$2657,Data!$A$2:$A$2657,$A323,Data!$B$2:$B$2657,$B323,Data!$D$2:$D$2657,"Distribution")+SUMIFS(Data!$G$2:$G$2657,Data!$A$2:$A$2657,$A323,Data!$B$2:$B$2657,$B323,Data!$D$2:$D$2657,"Distribution"))/$D323,0)</f>
        <v>0.329793210108128</v>
      </c>
      <c r="G323" s="10" t="n">
        <f aca="false">IFERROR((SUMIFS(Data!$E$2:$E$2657,Data!$A$2:$A$2657,$A323,Data!$B$2:$B$2657,$B323,Data!$D$2:$D$2657,"RTO/market operation")+SUMIFS(Data!$G$2:$G$2657,Data!$A$2:$A$2657,$A323,Data!$B$2:$B$2657,$B323,Data!$D$2:$D$2657,"RTO/market operation"))/$D323,0)</f>
        <v>0.0062077840892095</v>
      </c>
      <c r="H323" s="10" t="n">
        <f aca="false">IFERROR((SUMIFS(Data!$E$2:$E$2657,Data!$A$2:$A$2657,$A323,Data!$B$2:$B$2657,$B323,Data!$D$2:$D$2657,"Customer accounts, service &amp; sales")+SUMIFS(Data!$G$2:$G$2657,Data!$A$2:$A$2657,$A323,Data!$B$2:$B$2657,$B323,Data!$D$2:$D$2657,"Customer accounts, service &amp; sales"))/$D323,0)</f>
        <v>0.140616233389382</v>
      </c>
      <c r="I323" s="10" t="n">
        <f aca="false">IFERROR((SUMIFS(Data!$E$2:$E$2657,Data!$A$2:$A$2657,$A323,Data!$B$2:$B$2657,$B323,Data!$D$2:$D$2657,"A&amp;G and general")+SUMIFS(Data!$G$2:$G$2657,Data!$A$2:$A$2657,$A323,Data!$B$2:$B$2657,$B323,Data!$D$2:$D$2657,"A&amp;G and general"))/$D323,0)</f>
        <v>0.360015848378267</v>
      </c>
      <c r="J323" s="10" t="n">
        <f aca="false">IFERROR(SUMIFS(Data!$F$2:$F$2657,Data!$A$2:$A$2657,$A323,Data!$B$2:$B$2657,$B323)/$D323,0)</f>
        <v>0.155440472565543</v>
      </c>
      <c r="K323" s="11" t="n">
        <f aca="false">SUM(E323:I323)</f>
        <v>1</v>
      </c>
    </row>
    <row r="324" customFormat="false" ht="15" hidden="false" customHeight="false" outlineLevel="0" collapsed="false">
      <c r="A324" s="7" t="n">
        <v>2012</v>
      </c>
      <c r="B324" s="12" t="s">
        <v>64</v>
      </c>
      <c r="C324" s="12" t="s">
        <v>65</v>
      </c>
      <c r="D324" s="9" t="n">
        <f aca="false">SUMIFS(Data!$E$2:$E$2657,Data!$A$2:$A$2657,$A324,Data!$B$2:$B$2657,$B324)+SUMIFS(Data!$G$2:$G$2657,Data!$A$2:$A$2657,$A324,Data!$B$2:$B$2657,$B324)</f>
        <v>536.143189</v>
      </c>
      <c r="E324" s="10" t="n">
        <f aca="false">IFERROR((SUMIFS(Data!$E$2:$E$2657,Data!$A$2:$A$2657,$A324,Data!$B$2:$B$2657,$B324,Data!$D$2:$D$2657,"Transmission")+SUMIFS(Data!$G$2:$G$2657,Data!$A$2:$A$2657,$A324,Data!$B$2:$B$2657,$B324,Data!$D$2:$D$2657,"Transmission"))/$D324,0)</f>
        <v>0.117987622146217</v>
      </c>
      <c r="F324" s="10" t="n">
        <f aca="false">IFERROR((SUMIFS(Data!$E$2:$E$2657,Data!$A$2:$A$2657,$A324,Data!$B$2:$B$2657,$B324,Data!$D$2:$D$2657,"Distribution")+SUMIFS(Data!$G$2:$G$2657,Data!$A$2:$A$2657,$A324,Data!$B$2:$B$2657,$B324,Data!$D$2:$D$2657,"Distribution"))/$D324,0)</f>
        <v>0.300347967303936</v>
      </c>
      <c r="G324" s="10" t="n">
        <f aca="false">IFERROR((SUMIFS(Data!$E$2:$E$2657,Data!$A$2:$A$2657,$A324,Data!$B$2:$B$2657,$B324,Data!$D$2:$D$2657,"RTO/market operation")+SUMIFS(Data!$G$2:$G$2657,Data!$A$2:$A$2657,$A324,Data!$B$2:$B$2657,$B324,Data!$D$2:$D$2657,"RTO/market operation"))/$D324,0)</f>
        <v>0.0133046006110879</v>
      </c>
      <c r="H324" s="10" t="n">
        <f aca="false">IFERROR((SUMIFS(Data!$E$2:$E$2657,Data!$A$2:$A$2657,$A324,Data!$B$2:$B$2657,$B324,Data!$D$2:$D$2657,"Customer accounts, service &amp; sales")+SUMIFS(Data!$G$2:$G$2657,Data!$A$2:$A$2657,$A324,Data!$B$2:$B$2657,$B324,Data!$D$2:$D$2657,"Customer accounts, service &amp; sales"))/$D324,0)</f>
        <v>0.109014254399117</v>
      </c>
      <c r="I324" s="10" t="n">
        <f aca="false">IFERROR((SUMIFS(Data!$E$2:$E$2657,Data!$A$2:$A$2657,$A324,Data!$B$2:$B$2657,$B324,Data!$D$2:$D$2657,"A&amp;G and general")+SUMIFS(Data!$G$2:$G$2657,Data!$A$2:$A$2657,$A324,Data!$B$2:$B$2657,$B324,Data!$D$2:$D$2657,"A&amp;G and general"))/$D324,0)</f>
        <v>0.459345555539641</v>
      </c>
      <c r="J324" s="10" t="n">
        <f aca="false">IFERROR(SUMIFS(Data!$F$2:$F$2657,Data!$A$2:$A$2657,$A324,Data!$B$2:$B$2657,$B324)/$D324,0)</f>
        <v>0.0228946338437958</v>
      </c>
      <c r="K324" s="11" t="n">
        <f aca="false">SUM(E324:I324)</f>
        <v>1</v>
      </c>
    </row>
    <row r="325" customFormat="false" ht="15" hidden="false" customHeight="false" outlineLevel="0" collapsed="false">
      <c r="A325" s="7" t="n">
        <v>2012</v>
      </c>
      <c r="B325" s="12" t="s">
        <v>66</v>
      </c>
      <c r="C325" s="12" t="s">
        <v>67</v>
      </c>
      <c r="D325" s="9" t="n">
        <f aca="false">SUMIFS(Data!$E$2:$E$2657,Data!$A$2:$A$2657,$A325,Data!$B$2:$B$2657,$B325)+SUMIFS(Data!$G$2:$G$2657,Data!$A$2:$A$2657,$A325,Data!$B$2:$B$2657,$B325)</f>
        <v>342.740907</v>
      </c>
      <c r="E325" s="10" t="n">
        <f aca="false">IFERROR((SUMIFS(Data!$E$2:$E$2657,Data!$A$2:$A$2657,$A325,Data!$B$2:$B$2657,$B325,Data!$D$2:$D$2657,"Transmission")+SUMIFS(Data!$G$2:$G$2657,Data!$A$2:$A$2657,$A325,Data!$B$2:$B$2657,$B325,Data!$D$2:$D$2657,"Transmission"))/$D325,0)</f>
        <v>0.171386069769606</v>
      </c>
      <c r="F325" s="10" t="n">
        <f aca="false">IFERROR((SUMIFS(Data!$E$2:$E$2657,Data!$A$2:$A$2657,$A325,Data!$B$2:$B$2657,$B325,Data!$D$2:$D$2657,"Distribution")+SUMIFS(Data!$G$2:$G$2657,Data!$A$2:$A$2657,$A325,Data!$B$2:$B$2657,$B325,Data!$D$2:$D$2657,"Distribution"))/$D325,0)</f>
        <v>0.271174744834296</v>
      </c>
      <c r="G325" s="10" t="n">
        <f aca="false">IFERROR((SUMIFS(Data!$E$2:$E$2657,Data!$A$2:$A$2657,$A325,Data!$B$2:$B$2657,$B325,Data!$D$2:$D$2657,"RTO/market operation")+SUMIFS(Data!$G$2:$G$2657,Data!$A$2:$A$2657,$A325,Data!$B$2:$B$2657,$B325,Data!$D$2:$D$2657,"RTO/market operation"))/$D325,0)</f>
        <v>0.0163466743699783</v>
      </c>
      <c r="H325" s="10" t="n">
        <f aca="false">IFERROR((SUMIFS(Data!$E$2:$E$2657,Data!$A$2:$A$2657,$A325,Data!$B$2:$B$2657,$B325,Data!$D$2:$D$2657,"Customer accounts, service &amp; sales")+SUMIFS(Data!$G$2:$G$2657,Data!$A$2:$A$2657,$A325,Data!$B$2:$B$2657,$B325,Data!$D$2:$D$2657,"Customer accounts, service &amp; sales"))/$D325,0)</f>
        <v>0.114823752275359</v>
      </c>
      <c r="I325" s="10" t="n">
        <f aca="false">IFERROR((SUMIFS(Data!$E$2:$E$2657,Data!$A$2:$A$2657,$A325,Data!$B$2:$B$2657,$B325,Data!$D$2:$D$2657,"A&amp;G and general")+SUMIFS(Data!$G$2:$G$2657,Data!$A$2:$A$2657,$A325,Data!$B$2:$B$2657,$B325,Data!$D$2:$D$2657,"A&amp;G and general"))/$D325,0)</f>
        <v>0.426268758750761</v>
      </c>
      <c r="J325" s="10" t="n">
        <f aca="false">IFERROR(SUMIFS(Data!$F$2:$F$2657,Data!$A$2:$A$2657,$A325,Data!$B$2:$B$2657,$B325)/$D325,0)</f>
        <v>0.0398781782998549</v>
      </c>
      <c r="K325" s="11" t="n">
        <f aca="false">SUM(E325:I325)</f>
        <v>1</v>
      </c>
    </row>
    <row r="326" customFormat="false" ht="15" hidden="false" customHeight="false" outlineLevel="0" collapsed="false">
      <c r="A326" s="7" t="n">
        <v>2012</v>
      </c>
      <c r="B326" s="12" t="s">
        <v>68</v>
      </c>
      <c r="C326" s="12" t="s">
        <v>65</v>
      </c>
      <c r="D326" s="9" t="n">
        <f aca="false">SUMIFS(Data!$E$2:$E$2657,Data!$A$2:$A$2657,$A326,Data!$B$2:$B$2657,$B326)+SUMIFS(Data!$G$2:$G$2657,Data!$A$2:$A$2657,$A326,Data!$B$2:$B$2657,$B326)</f>
        <v>276.425186</v>
      </c>
      <c r="E326" s="10" t="n">
        <f aca="false">IFERROR((SUMIFS(Data!$E$2:$E$2657,Data!$A$2:$A$2657,$A326,Data!$B$2:$B$2657,$B326,Data!$D$2:$D$2657,"Transmission")+SUMIFS(Data!$G$2:$G$2657,Data!$A$2:$A$2657,$A326,Data!$B$2:$B$2657,$B326,Data!$D$2:$D$2657,"Transmission"))/$D326,0)</f>
        <v>0.0596433097814756</v>
      </c>
      <c r="F326" s="10" t="n">
        <f aca="false">IFERROR((SUMIFS(Data!$E$2:$E$2657,Data!$A$2:$A$2657,$A326,Data!$B$2:$B$2657,$B326,Data!$D$2:$D$2657,"Distribution")+SUMIFS(Data!$G$2:$G$2657,Data!$A$2:$A$2657,$A326,Data!$B$2:$B$2657,$B326,Data!$D$2:$D$2657,"Distribution"))/$D326,0)</f>
        <v>0.365894665618494</v>
      </c>
      <c r="G326" s="10" t="n">
        <f aca="false">IFERROR((SUMIFS(Data!$E$2:$E$2657,Data!$A$2:$A$2657,$A326,Data!$B$2:$B$2657,$B326,Data!$D$2:$D$2657,"RTO/market operation")+SUMIFS(Data!$G$2:$G$2657,Data!$A$2:$A$2657,$A326,Data!$B$2:$B$2657,$B326,Data!$D$2:$D$2657,"RTO/market operation"))/$D326,0)</f>
        <v>0.000436953671797475</v>
      </c>
      <c r="H326" s="10" t="n">
        <f aca="false">IFERROR((SUMIFS(Data!$E$2:$E$2657,Data!$A$2:$A$2657,$A326,Data!$B$2:$B$2657,$B326,Data!$D$2:$D$2657,"Customer accounts, service &amp; sales")+SUMIFS(Data!$G$2:$G$2657,Data!$A$2:$A$2657,$A326,Data!$B$2:$B$2657,$B326,Data!$D$2:$D$2657,"Customer accounts, service &amp; sales"))/$D326,0)</f>
        <v>0.0780890710877554</v>
      </c>
      <c r="I326" s="10" t="n">
        <f aca="false">IFERROR((SUMIFS(Data!$E$2:$E$2657,Data!$A$2:$A$2657,$A326,Data!$B$2:$B$2657,$B326,Data!$D$2:$D$2657,"A&amp;G and general")+SUMIFS(Data!$G$2:$G$2657,Data!$A$2:$A$2657,$A326,Data!$B$2:$B$2657,$B326,Data!$D$2:$D$2657,"A&amp;G and general"))/$D326,0)</f>
        <v>0.495935999840478</v>
      </c>
      <c r="J326" s="10" t="n">
        <f aca="false">IFERROR(SUMIFS(Data!$F$2:$F$2657,Data!$A$2:$A$2657,$A326,Data!$B$2:$B$2657,$B326)/$D326,0)</f>
        <v>0.011573489544473</v>
      </c>
      <c r="K326" s="11" t="n">
        <f aca="false">SUM(E326:I326)</f>
        <v>1</v>
      </c>
    </row>
    <row r="327" customFormat="false" ht="15" hidden="false" customHeight="false" outlineLevel="0" collapsed="false">
      <c r="A327" s="7" t="n">
        <v>2012</v>
      </c>
      <c r="B327" s="12" t="s">
        <v>69</v>
      </c>
      <c r="C327" s="12" t="s">
        <v>70</v>
      </c>
      <c r="D327" s="9" t="n">
        <f aca="false">SUMIFS(Data!$E$2:$E$2657,Data!$A$2:$A$2657,$A327,Data!$B$2:$B$2657,$B327)+SUMIFS(Data!$G$2:$G$2657,Data!$A$2:$A$2657,$A327,Data!$B$2:$B$2657,$B327)</f>
        <v>497.876665</v>
      </c>
      <c r="E327" s="10" t="n">
        <f aca="false">IFERROR((SUMIFS(Data!$E$2:$E$2657,Data!$A$2:$A$2657,$A327,Data!$B$2:$B$2657,$B327,Data!$D$2:$D$2657,"Transmission")+SUMIFS(Data!$G$2:$G$2657,Data!$A$2:$A$2657,$A327,Data!$B$2:$B$2657,$B327,Data!$D$2:$D$2657,"Transmission"))/$D327,0)</f>
        <v>0.478680654776219</v>
      </c>
      <c r="F327" s="10" t="n">
        <f aca="false">IFERROR((SUMIFS(Data!$E$2:$E$2657,Data!$A$2:$A$2657,$A327,Data!$B$2:$B$2657,$B327,Data!$D$2:$D$2657,"Distribution")+SUMIFS(Data!$G$2:$G$2657,Data!$A$2:$A$2657,$A327,Data!$B$2:$B$2657,$B327,Data!$D$2:$D$2657,"Distribution"))/$D327,0)</f>
        <v>0.158873089583341</v>
      </c>
      <c r="G327" s="10" t="n">
        <f aca="false">IFERROR((SUMIFS(Data!$E$2:$E$2657,Data!$A$2:$A$2657,$A327,Data!$B$2:$B$2657,$B327,Data!$D$2:$D$2657,"RTO/market operation")+SUMIFS(Data!$G$2:$G$2657,Data!$A$2:$A$2657,$A327,Data!$B$2:$B$2657,$B327,Data!$D$2:$D$2657,"RTO/market operation"))/$D327,0)</f>
        <v>0.00669992637634463</v>
      </c>
      <c r="H327" s="10" t="n">
        <f aca="false">IFERROR((SUMIFS(Data!$E$2:$E$2657,Data!$A$2:$A$2657,$A327,Data!$B$2:$B$2657,$B327,Data!$D$2:$D$2657,"Customer accounts, service &amp; sales")+SUMIFS(Data!$G$2:$G$2657,Data!$A$2:$A$2657,$A327,Data!$B$2:$B$2657,$B327,Data!$D$2:$D$2657,"Customer accounts, service &amp; sales"))/$D327,0)</f>
        <v>0.130403293755493</v>
      </c>
      <c r="I327" s="10" t="n">
        <f aca="false">IFERROR((SUMIFS(Data!$E$2:$E$2657,Data!$A$2:$A$2657,$A327,Data!$B$2:$B$2657,$B327,Data!$D$2:$D$2657,"A&amp;G and general")+SUMIFS(Data!$G$2:$G$2657,Data!$A$2:$A$2657,$A327,Data!$B$2:$B$2657,$B327,Data!$D$2:$D$2657,"A&amp;G and general"))/$D327,0)</f>
        <v>0.225343035508603</v>
      </c>
      <c r="J327" s="10" t="n">
        <f aca="false">IFERROR(SUMIFS(Data!$F$2:$F$2657,Data!$A$2:$A$2657,$A327,Data!$B$2:$B$2657,$B327)/$D327,0)</f>
        <v>0.472063160461638</v>
      </c>
      <c r="K327" s="11" t="n">
        <f aca="false">SUM(E327:I327)</f>
        <v>1</v>
      </c>
    </row>
    <row r="328" customFormat="false" ht="15" hidden="false" customHeight="false" outlineLevel="0" collapsed="false">
      <c r="A328" s="7" t="n">
        <v>2012</v>
      </c>
      <c r="B328" s="12" t="s">
        <v>71</v>
      </c>
      <c r="C328" s="12" t="s">
        <v>72</v>
      </c>
      <c r="D328" s="9" t="n">
        <f aca="false">SUMIFS(Data!$E$2:$E$2657,Data!$A$2:$A$2657,$A328,Data!$B$2:$B$2657,$B328)+SUMIFS(Data!$G$2:$G$2657,Data!$A$2:$A$2657,$A328,Data!$B$2:$B$2657,$B328)</f>
        <v>115.953716</v>
      </c>
      <c r="E328" s="10" t="n">
        <f aca="false">IFERROR((SUMIFS(Data!$E$2:$E$2657,Data!$A$2:$A$2657,$A328,Data!$B$2:$B$2657,$B328,Data!$D$2:$D$2657,"Transmission")+SUMIFS(Data!$G$2:$G$2657,Data!$A$2:$A$2657,$A328,Data!$B$2:$B$2657,$B328,Data!$D$2:$D$2657,"Transmission"))/$D328,0)</f>
        <v>0.256190978821239</v>
      </c>
      <c r="F328" s="10" t="n">
        <f aca="false">IFERROR((SUMIFS(Data!$E$2:$E$2657,Data!$A$2:$A$2657,$A328,Data!$B$2:$B$2657,$B328,Data!$D$2:$D$2657,"Distribution")+SUMIFS(Data!$G$2:$G$2657,Data!$A$2:$A$2657,$A328,Data!$B$2:$B$2657,$B328,Data!$D$2:$D$2657,"Distribution"))/$D328,0)</f>
        <v>0.21665931775744</v>
      </c>
      <c r="G328" s="10" t="n">
        <f aca="false">IFERROR((SUMIFS(Data!$E$2:$E$2657,Data!$A$2:$A$2657,$A328,Data!$B$2:$B$2657,$B328,Data!$D$2:$D$2657,"RTO/market operation")+SUMIFS(Data!$G$2:$G$2657,Data!$A$2:$A$2657,$A328,Data!$B$2:$B$2657,$B328,Data!$D$2:$D$2657,"RTO/market operation"))/$D328,0)</f>
        <v>0.00570494868831974</v>
      </c>
      <c r="H328" s="10" t="n">
        <f aca="false">IFERROR((SUMIFS(Data!$E$2:$E$2657,Data!$A$2:$A$2657,$A328,Data!$B$2:$B$2657,$B328,Data!$D$2:$D$2657,"Customer accounts, service &amp; sales")+SUMIFS(Data!$G$2:$G$2657,Data!$A$2:$A$2657,$A328,Data!$B$2:$B$2657,$B328,Data!$D$2:$D$2657,"Customer accounts, service &amp; sales"))/$D328,0)</f>
        <v>0.14113325182265</v>
      </c>
      <c r="I328" s="10" t="n">
        <f aca="false">IFERROR((SUMIFS(Data!$E$2:$E$2657,Data!$A$2:$A$2657,$A328,Data!$B$2:$B$2657,$B328,Data!$D$2:$D$2657,"A&amp;G and general")+SUMIFS(Data!$G$2:$G$2657,Data!$A$2:$A$2657,$A328,Data!$B$2:$B$2657,$B328,Data!$D$2:$D$2657,"A&amp;G and general"))/$D328,0)</f>
        <v>0.380311502910351</v>
      </c>
      <c r="J328" s="10" t="n">
        <f aca="false">IFERROR(SUMIFS(Data!$F$2:$F$2657,Data!$A$2:$A$2657,$A328,Data!$B$2:$B$2657,$B328)/$D328,0)</f>
        <v>0.256159492120115</v>
      </c>
      <c r="K328" s="11" t="n">
        <f aca="false">SUM(E328:I328)</f>
        <v>1</v>
      </c>
    </row>
    <row r="329" customFormat="false" ht="15" hidden="false" customHeight="false" outlineLevel="0" collapsed="false">
      <c r="A329" s="7" t="n">
        <v>2012</v>
      </c>
      <c r="B329" s="12" t="s">
        <v>73</v>
      </c>
      <c r="C329" s="12" t="s">
        <v>70</v>
      </c>
      <c r="D329" s="9" t="n">
        <f aca="false">SUMIFS(Data!$E$2:$E$2657,Data!$A$2:$A$2657,$A329,Data!$B$2:$B$2657,$B329)+SUMIFS(Data!$G$2:$G$2657,Data!$A$2:$A$2657,$A329,Data!$B$2:$B$2657,$B329)</f>
        <v>399.55367</v>
      </c>
      <c r="E329" s="10" t="n">
        <f aca="false">IFERROR((SUMIFS(Data!$E$2:$E$2657,Data!$A$2:$A$2657,$A329,Data!$B$2:$B$2657,$B329,Data!$D$2:$D$2657,"Transmission")+SUMIFS(Data!$G$2:$G$2657,Data!$A$2:$A$2657,$A329,Data!$B$2:$B$2657,$B329,Data!$D$2:$D$2657,"Transmission"))/$D329,0)</f>
        <v>0.145428840636103</v>
      </c>
      <c r="F329" s="10" t="n">
        <f aca="false">IFERROR((SUMIFS(Data!$E$2:$E$2657,Data!$A$2:$A$2657,$A329,Data!$B$2:$B$2657,$B329,Data!$D$2:$D$2657,"Distribution")+SUMIFS(Data!$G$2:$G$2657,Data!$A$2:$A$2657,$A329,Data!$B$2:$B$2657,$B329,Data!$D$2:$D$2657,"Distribution"))/$D329,0)</f>
        <v>0.394898612744566</v>
      </c>
      <c r="G329" s="10" t="n">
        <f aca="false">IFERROR((SUMIFS(Data!$E$2:$E$2657,Data!$A$2:$A$2657,$A329,Data!$B$2:$B$2657,$B329,Data!$D$2:$D$2657,"RTO/market operation")+SUMIFS(Data!$G$2:$G$2657,Data!$A$2:$A$2657,$A329,Data!$B$2:$B$2657,$B329,Data!$D$2:$D$2657,"RTO/market operation"))/$D329,0)</f>
        <v>0.014981591834709</v>
      </c>
      <c r="H329" s="10" t="n">
        <f aca="false">IFERROR((SUMIFS(Data!$E$2:$E$2657,Data!$A$2:$A$2657,$A329,Data!$B$2:$B$2657,$B329,Data!$D$2:$D$2657,"Customer accounts, service &amp; sales")+SUMIFS(Data!$G$2:$G$2657,Data!$A$2:$A$2657,$A329,Data!$B$2:$B$2657,$B329,Data!$D$2:$D$2657,"Customer accounts, service &amp; sales"))/$D329,0)</f>
        <v>0.212630540973382</v>
      </c>
      <c r="I329" s="10" t="n">
        <f aca="false">IFERROR((SUMIFS(Data!$E$2:$E$2657,Data!$A$2:$A$2657,$A329,Data!$B$2:$B$2657,$B329,Data!$D$2:$D$2657,"A&amp;G and general")+SUMIFS(Data!$G$2:$G$2657,Data!$A$2:$A$2657,$A329,Data!$B$2:$B$2657,$B329,Data!$D$2:$D$2657,"A&amp;G and general"))/$D329,0)</f>
        <v>0.232060413811241</v>
      </c>
      <c r="J329" s="10" t="n">
        <f aca="false">IFERROR(SUMIFS(Data!$F$2:$F$2657,Data!$A$2:$A$2657,$A329,Data!$B$2:$B$2657,$B329)/$D329,0)</f>
        <v>0.0503395301061807</v>
      </c>
      <c r="K329" s="11" t="n">
        <f aca="false">SUM(E329:I329)</f>
        <v>1</v>
      </c>
    </row>
    <row r="330" customFormat="false" ht="15" hidden="false" customHeight="false" outlineLevel="0" collapsed="false">
      <c r="A330" s="7" t="n">
        <v>2012</v>
      </c>
      <c r="B330" s="12" t="s">
        <v>74</v>
      </c>
      <c r="C330" s="12" t="s">
        <v>65</v>
      </c>
      <c r="D330" s="9" t="n">
        <f aca="false">SUMIFS(Data!$E$2:$E$2657,Data!$A$2:$A$2657,$A330,Data!$B$2:$B$2657,$B330)+SUMIFS(Data!$G$2:$G$2657,Data!$A$2:$A$2657,$A330,Data!$B$2:$B$2657,$B330)</f>
        <v>387.800972</v>
      </c>
      <c r="E330" s="10" t="n">
        <f aca="false">IFERROR((SUMIFS(Data!$E$2:$E$2657,Data!$A$2:$A$2657,$A330,Data!$B$2:$B$2657,$B330,Data!$D$2:$D$2657,"Transmission")+SUMIFS(Data!$G$2:$G$2657,Data!$A$2:$A$2657,$A330,Data!$B$2:$B$2657,$B330,Data!$D$2:$D$2657,"Transmission"))/$D330,0)</f>
        <v>0.112107014007175</v>
      </c>
      <c r="F330" s="10" t="n">
        <f aca="false">IFERROR((SUMIFS(Data!$E$2:$E$2657,Data!$A$2:$A$2657,$A330,Data!$B$2:$B$2657,$B330,Data!$D$2:$D$2657,"Distribution")+SUMIFS(Data!$G$2:$G$2657,Data!$A$2:$A$2657,$A330,Data!$B$2:$B$2657,$B330,Data!$D$2:$D$2657,"Distribution"))/$D330,0)</f>
        <v>0.227925632945551</v>
      </c>
      <c r="G330" s="10" t="n">
        <f aca="false">IFERROR((SUMIFS(Data!$E$2:$E$2657,Data!$A$2:$A$2657,$A330,Data!$B$2:$B$2657,$B330,Data!$D$2:$D$2657,"RTO/market operation")+SUMIFS(Data!$G$2:$G$2657,Data!$A$2:$A$2657,$A330,Data!$B$2:$B$2657,$B330,Data!$D$2:$D$2657,"RTO/market operation"))/$D330,0)</f>
        <v>0.0256103122918423</v>
      </c>
      <c r="H330" s="10" t="n">
        <f aca="false">IFERROR((SUMIFS(Data!$E$2:$E$2657,Data!$A$2:$A$2657,$A330,Data!$B$2:$B$2657,$B330,Data!$D$2:$D$2657,"Customer accounts, service &amp; sales")+SUMIFS(Data!$G$2:$G$2657,Data!$A$2:$A$2657,$A330,Data!$B$2:$B$2657,$B330,Data!$D$2:$D$2657,"Customer accounts, service &amp; sales"))/$D330,0)</f>
        <v>0.0546458687060743</v>
      </c>
      <c r="I330" s="10" t="n">
        <f aca="false">IFERROR((SUMIFS(Data!$E$2:$E$2657,Data!$A$2:$A$2657,$A330,Data!$B$2:$B$2657,$B330,Data!$D$2:$D$2657,"A&amp;G and general")+SUMIFS(Data!$G$2:$G$2657,Data!$A$2:$A$2657,$A330,Data!$B$2:$B$2657,$B330,Data!$D$2:$D$2657,"A&amp;G and general"))/$D330,0)</f>
        <v>0.579711172049357</v>
      </c>
      <c r="J330" s="10" t="n">
        <f aca="false">IFERROR(SUMIFS(Data!$F$2:$F$2657,Data!$A$2:$A$2657,$A330,Data!$B$2:$B$2657,$B330)/$D330,0)</f>
        <v>0</v>
      </c>
      <c r="K330" s="11" t="n">
        <f aca="false">SUM(E330:I330)</f>
        <v>1</v>
      </c>
    </row>
    <row r="331" customFormat="false" ht="15" hidden="false" customHeight="false" outlineLevel="0" collapsed="false">
      <c r="A331" s="7" t="n">
        <v>2012</v>
      </c>
      <c r="B331" s="12" t="s">
        <v>75</v>
      </c>
      <c r="C331" s="12" t="s">
        <v>57</v>
      </c>
      <c r="D331" s="9" t="n">
        <f aca="false">SUMIFS(Data!$E$2:$E$2657,Data!$A$2:$A$2657,$A331,Data!$B$2:$B$2657,$B331)+SUMIFS(Data!$G$2:$G$2657,Data!$A$2:$A$2657,$A331,Data!$B$2:$B$2657,$B331)</f>
        <v>894.902565</v>
      </c>
      <c r="E331" s="10" t="n">
        <f aca="false">IFERROR((SUMIFS(Data!$E$2:$E$2657,Data!$A$2:$A$2657,$A331,Data!$B$2:$B$2657,$B331,Data!$D$2:$D$2657,"Transmission")+SUMIFS(Data!$G$2:$G$2657,Data!$A$2:$A$2657,$A331,Data!$B$2:$B$2657,$B331,Data!$D$2:$D$2657,"Transmission"))/$D331,0)</f>
        <v>0.288933146593451</v>
      </c>
      <c r="F331" s="10" t="n">
        <f aca="false">IFERROR((SUMIFS(Data!$E$2:$E$2657,Data!$A$2:$A$2657,$A331,Data!$B$2:$B$2657,$B331,Data!$D$2:$D$2657,"Distribution")+SUMIFS(Data!$G$2:$G$2657,Data!$A$2:$A$2657,$A331,Data!$B$2:$B$2657,$B331,Data!$D$2:$D$2657,"Distribution"))/$D331,0)</f>
        <v>0.205361046205069</v>
      </c>
      <c r="G331" s="10" t="n">
        <f aca="false">IFERROR((SUMIFS(Data!$E$2:$E$2657,Data!$A$2:$A$2657,$A331,Data!$B$2:$B$2657,$B331,Data!$D$2:$D$2657,"RTO/market operation")+SUMIFS(Data!$G$2:$G$2657,Data!$A$2:$A$2657,$A331,Data!$B$2:$B$2657,$B331,Data!$D$2:$D$2657,"RTO/market operation"))/$D331,0)</f>
        <v>0.0118036928411307</v>
      </c>
      <c r="H331" s="10" t="n">
        <f aca="false">IFERROR((SUMIFS(Data!$E$2:$E$2657,Data!$A$2:$A$2657,$A331,Data!$B$2:$B$2657,$B331,Data!$D$2:$D$2657,"Customer accounts, service &amp; sales")+SUMIFS(Data!$G$2:$G$2657,Data!$A$2:$A$2657,$A331,Data!$B$2:$B$2657,$B331,Data!$D$2:$D$2657,"Customer accounts, service &amp; sales"))/$D331,0)</f>
        <v>0.176806129726536</v>
      </c>
      <c r="I331" s="10" t="n">
        <f aca="false">IFERROR((SUMIFS(Data!$E$2:$E$2657,Data!$A$2:$A$2657,$A331,Data!$B$2:$B$2657,$B331,Data!$D$2:$D$2657,"A&amp;G and general")+SUMIFS(Data!$G$2:$G$2657,Data!$A$2:$A$2657,$A331,Data!$B$2:$B$2657,$B331,Data!$D$2:$D$2657,"A&amp;G and general"))/$D331,0)</f>
        <v>0.317095984633813</v>
      </c>
      <c r="J331" s="10" t="n">
        <f aca="false">IFERROR(SUMIFS(Data!$F$2:$F$2657,Data!$A$2:$A$2657,$A331,Data!$B$2:$B$2657,$B331)/$D331,0)</f>
        <v>0.117747958404835</v>
      </c>
      <c r="K331" s="11" t="n">
        <f aca="false">SUM(E331:I331)</f>
        <v>1</v>
      </c>
    </row>
    <row r="332" customFormat="false" ht="15" hidden="false" customHeight="false" outlineLevel="0" collapsed="false">
      <c r="A332" s="7" t="n">
        <v>2012</v>
      </c>
      <c r="B332" s="12" t="s">
        <v>76</v>
      </c>
      <c r="C332" s="12" t="s">
        <v>72</v>
      </c>
      <c r="D332" s="9" t="n">
        <f aca="false">SUMIFS(Data!$E$2:$E$2657,Data!$A$2:$A$2657,$A332,Data!$B$2:$B$2657,$B332)+SUMIFS(Data!$G$2:$G$2657,Data!$A$2:$A$2657,$A332,Data!$B$2:$B$2657,$B332)</f>
        <v>182.177602</v>
      </c>
      <c r="E332" s="10" t="n">
        <f aca="false">IFERROR((SUMIFS(Data!$E$2:$E$2657,Data!$A$2:$A$2657,$A332,Data!$B$2:$B$2657,$B332,Data!$D$2:$D$2657,"Transmission")+SUMIFS(Data!$G$2:$G$2657,Data!$A$2:$A$2657,$A332,Data!$B$2:$B$2657,$B332,Data!$D$2:$D$2657,"Transmission"))/$D332,0)</f>
        <v>0.37828835292277</v>
      </c>
      <c r="F332" s="10" t="n">
        <f aca="false">IFERROR((SUMIFS(Data!$E$2:$E$2657,Data!$A$2:$A$2657,$A332,Data!$B$2:$B$2657,$B332,Data!$D$2:$D$2657,"Distribution")+SUMIFS(Data!$G$2:$G$2657,Data!$A$2:$A$2657,$A332,Data!$B$2:$B$2657,$B332,Data!$D$2:$D$2657,"Distribution"))/$D332,0)</f>
        <v>0.254660191432315</v>
      </c>
      <c r="G332" s="10" t="n">
        <f aca="false">IFERROR((SUMIFS(Data!$E$2:$E$2657,Data!$A$2:$A$2657,$A332,Data!$B$2:$B$2657,$B332,Data!$D$2:$D$2657,"RTO/market operation")+SUMIFS(Data!$G$2:$G$2657,Data!$A$2:$A$2657,$A332,Data!$B$2:$B$2657,$B332,Data!$D$2:$D$2657,"RTO/market operation"))/$D332,0)</f>
        <v>0</v>
      </c>
      <c r="H332" s="10" t="n">
        <f aca="false">IFERROR((SUMIFS(Data!$E$2:$E$2657,Data!$A$2:$A$2657,$A332,Data!$B$2:$B$2657,$B332,Data!$D$2:$D$2657,"Customer accounts, service &amp; sales")+SUMIFS(Data!$G$2:$G$2657,Data!$A$2:$A$2657,$A332,Data!$B$2:$B$2657,$B332,Data!$D$2:$D$2657,"Customer accounts, service &amp; sales"))/$D332,0)</f>
        <v>0.119385087745309</v>
      </c>
      <c r="I332" s="10" t="n">
        <f aca="false">IFERROR((SUMIFS(Data!$E$2:$E$2657,Data!$A$2:$A$2657,$A332,Data!$B$2:$B$2657,$B332,Data!$D$2:$D$2657,"A&amp;G and general")+SUMIFS(Data!$G$2:$G$2657,Data!$A$2:$A$2657,$A332,Data!$B$2:$B$2657,$B332,Data!$D$2:$D$2657,"A&amp;G and general"))/$D332,0)</f>
        <v>0.247666367899606</v>
      </c>
      <c r="J332" s="10" t="n">
        <f aca="false">IFERROR(SUMIFS(Data!$F$2:$F$2657,Data!$A$2:$A$2657,$A332,Data!$B$2:$B$2657,$B332)/$D332,0)</f>
        <v>0</v>
      </c>
      <c r="K332" s="11" t="n">
        <f aca="false">SUM(E332:I332)</f>
        <v>1</v>
      </c>
    </row>
    <row r="333" customFormat="false" ht="15" hidden="false" customHeight="false" outlineLevel="0" collapsed="false">
      <c r="A333" s="7" t="n">
        <v>2012</v>
      </c>
      <c r="B333" s="12" t="s">
        <v>77</v>
      </c>
      <c r="C333" s="12" t="s">
        <v>57</v>
      </c>
      <c r="D333" s="9" t="n">
        <f aca="false">SUMIFS(Data!$E$2:$E$2657,Data!$A$2:$A$2657,$A333,Data!$B$2:$B$2657,$B333)+SUMIFS(Data!$G$2:$G$2657,Data!$A$2:$A$2657,$A333,Data!$B$2:$B$2657,$B333)</f>
        <v>105.15462</v>
      </c>
      <c r="E333" s="10" t="n">
        <f aca="false">IFERROR((SUMIFS(Data!$E$2:$E$2657,Data!$A$2:$A$2657,$A333,Data!$B$2:$B$2657,$B333,Data!$D$2:$D$2657,"Transmission")+SUMIFS(Data!$G$2:$G$2657,Data!$A$2:$A$2657,$A333,Data!$B$2:$B$2657,$B333,Data!$D$2:$D$2657,"Transmission"))/$D333,0)</f>
        <v>0.191537300025429</v>
      </c>
      <c r="F333" s="10" t="n">
        <f aca="false">IFERROR((SUMIFS(Data!$E$2:$E$2657,Data!$A$2:$A$2657,$A333,Data!$B$2:$B$2657,$B333,Data!$D$2:$D$2657,"Distribution")+SUMIFS(Data!$G$2:$G$2657,Data!$A$2:$A$2657,$A333,Data!$B$2:$B$2657,$B333,Data!$D$2:$D$2657,"Distribution"))/$D333,0)</f>
        <v>0.252003288110404</v>
      </c>
      <c r="G333" s="10" t="n">
        <f aca="false">IFERROR((SUMIFS(Data!$E$2:$E$2657,Data!$A$2:$A$2657,$A333,Data!$B$2:$B$2657,$B333,Data!$D$2:$D$2657,"RTO/market operation")+SUMIFS(Data!$G$2:$G$2657,Data!$A$2:$A$2657,$A333,Data!$B$2:$B$2657,$B333,Data!$D$2:$D$2657,"RTO/market operation"))/$D333,0)</f>
        <v>0.01776662784764</v>
      </c>
      <c r="H333" s="10" t="n">
        <f aca="false">IFERROR((SUMIFS(Data!$E$2:$E$2657,Data!$A$2:$A$2657,$A333,Data!$B$2:$B$2657,$B333,Data!$D$2:$D$2657,"Customer accounts, service &amp; sales")+SUMIFS(Data!$G$2:$G$2657,Data!$A$2:$A$2657,$A333,Data!$B$2:$B$2657,$B333,Data!$D$2:$D$2657,"Customer accounts, service &amp; sales"))/$D333,0)</f>
        <v>0.198390275196658</v>
      </c>
      <c r="I333" s="10" t="n">
        <f aca="false">IFERROR((SUMIFS(Data!$E$2:$E$2657,Data!$A$2:$A$2657,$A333,Data!$B$2:$B$2657,$B333,Data!$D$2:$D$2657,"A&amp;G and general")+SUMIFS(Data!$G$2:$G$2657,Data!$A$2:$A$2657,$A333,Data!$B$2:$B$2657,$B333,Data!$D$2:$D$2657,"A&amp;G and general"))/$D333,0)</f>
        <v>0.340302508819869</v>
      </c>
      <c r="J333" s="10" t="n">
        <f aca="false">IFERROR(SUMIFS(Data!$F$2:$F$2657,Data!$A$2:$A$2657,$A333,Data!$B$2:$B$2657,$B333)/$D333,0)</f>
        <v>0.0546392540812757</v>
      </c>
      <c r="K333" s="11" t="n">
        <f aca="false">SUM(E333:I333)</f>
        <v>1</v>
      </c>
    </row>
    <row r="334" customFormat="false" ht="15" hidden="false" customHeight="false" outlineLevel="0" collapsed="false">
      <c r="A334" s="7" t="n">
        <v>2012</v>
      </c>
      <c r="B334" s="12" t="s">
        <v>78</v>
      </c>
      <c r="C334" s="12" t="s">
        <v>65</v>
      </c>
      <c r="D334" s="9" t="n">
        <f aca="false">SUMIFS(Data!$E$2:$E$2657,Data!$A$2:$A$2657,$A334,Data!$B$2:$B$2657,$B334)+SUMIFS(Data!$G$2:$G$2657,Data!$A$2:$A$2657,$A334,Data!$B$2:$B$2657,$B334)</f>
        <v>108.13137</v>
      </c>
      <c r="E334" s="10" t="n">
        <f aca="false">IFERROR((SUMIFS(Data!$E$2:$E$2657,Data!$A$2:$A$2657,$A334,Data!$B$2:$B$2657,$B334,Data!$D$2:$D$2657,"Transmission")+SUMIFS(Data!$G$2:$G$2657,Data!$A$2:$A$2657,$A334,Data!$B$2:$B$2657,$B334,Data!$D$2:$D$2657,"Transmission"))/$D334,0)</f>
        <v>0.184095041059778</v>
      </c>
      <c r="F334" s="10" t="n">
        <f aca="false">IFERROR((SUMIFS(Data!$E$2:$E$2657,Data!$A$2:$A$2657,$A334,Data!$B$2:$B$2657,$B334,Data!$D$2:$D$2657,"Distribution")+SUMIFS(Data!$G$2:$G$2657,Data!$A$2:$A$2657,$A334,Data!$B$2:$B$2657,$B334,Data!$D$2:$D$2657,"Distribution"))/$D334,0)</f>
        <v>0.296486052104953</v>
      </c>
      <c r="G334" s="10" t="n">
        <f aca="false">IFERROR((SUMIFS(Data!$E$2:$E$2657,Data!$A$2:$A$2657,$A334,Data!$B$2:$B$2657,$B334,Data!$D$2:$D$2657,"RTO/market operation")+SUMIFS(Data!$G$2:$G$2657,Data!$A$2:$A$2657,$A334,Data!$B$2:$B$2657,$B334,Data!$D$2:$D$2657,"RTO/market operation"))/$D334,0)</f>
        <v>0</v>
      </c>
      <c r="H334" s="10" t="n">
        <f aca="false">IFERROR((SUMIFS(Data!$E$2:$E$2657,Data!$A$2:$A$2657,$A334,Data!$B$2:$B$2657,$B334,Data!$D$2:$D$2657,"Customer accounts, service &amp; sales")+SUMIFS(Data!$G$2:$G$2657,Data!$A$2:$A$2657,$A334,Data!$B$2:$B$2657,$B334,Data!$D$2:$D$2657,"Customer accounts, service &amp; sales"))/$D334,0)</f>
        <v>0.151903467051236</v>
      </c>
      <c r="I334" s="10" t="n">
        <f aca="false">IFERROR((SUMIFS(Data!$E$2:$E$2657,Data!$A$2:$A$2657,$A334,Data!$B$2:$B$2657,$B334,Data!$D$2:$D$2657,"A&amp;G and general")+SUMIFS(Data!$G$2:$G$2657,Data!$A$2:$A$2657,$A334,Data!$B$2:$B$2657,$B334,Data!$D$2:$D$2657,"A&amp;G and general"))/$D334,0)</f>
        <v>0.367515439784033</v>
      </c>
      <c r="J334" s="10" t="n">
        <f aca="false">IFERROR(SUMIFS(Data!$F$2:$F$2657,Data!$A$2:$A$2657,$A334,Data!$B$2:$B$2657,$B334)/$D334,0)</f>
        <v>0</v>
      </c>
      <c r="K334" s="11" t="n">
        <f aca="false">SUM(E334:I334)</f>
        <v>1</v>
      </c>
    </row>
    <row r="335" customFormat="false" ht="15" hidden="false" customHeight="false" outlineLevel="0" collapsed="false">
      <c r="A335" s="7" t="n">
        <v>2012</v>
      </c>
      <c r="B335" s="12" t="s">
        <v>79</v>
      </c>
      <c r="C335" s="12" t="s">
        <v>72</v>
      </c>
      <c r="D335" s="9" t="n">
        <f aca="false">SUMIFS(Data!$E$2:$E$2657,Data!$A$2:$A$2657,$A335,Data!$B$2:$B$2657,$B335)+SUMIFS(Data!$G$2:$G$2657,Data!$A$2:$A$2657,$A335,Data!$B$2:$B$2657,$B335)</f>
        <v>716.803476</v>
      </c>
      <c r="E335" s="10" t="n">
        <f aca="false">IFERROR((SUMIFS(Data!$E$2:$E$2657,Data!$A$2:$A$2657,$A335,Data!$B$2:$B$2657,$B335,Data!$D$2:$D$2657,"Transmission")+SUMIFS(Data!$G$2:$G$2657,Data!$A$2:$A$2657,$A335,Data!$B$2:$B$2657,$B335,Data!$D$2:$D$2657,"Transmission"))/$D335,0)</f>
        <v>0.367564869342235</v>
      </c>
      <c r="F335" s="10" t="n">
        <f aca="false">IFERROR((SUMIFS(Data!$E$2:$E$2657,Data!$A$2:$A$2657,$A335,Data!$B$2:$B$2657,$B335,Data!$D$2:$D$2657,"Distribution")+SUMIFS(Data!$G$2:$G$2657,Data!$A$2:$A$2657,$A335,Data!$B$2:$B$2657,$B335,Data!$D$2:$D$2657,"Distribution"))/$D335,0)</f>
        <v>0.258784466329792</v>
      </c>
      <c r="G335" s="10" t="n">
        <f aca="false">IFERROR((SUMIFS(Data!$E$2:$E$2657,Data!$A$2:$A$2657,$A335,Data!$B$2:$B$2657,$B335,Data!$D$2:$D$2657,"RTO/market operation")+SUMIFS(Data!$G$2:$G$2657,Data!$A$2:$A$2657,$A335,Data!$B$2:$B$2657,$B335,Data!$D$2:$D$2657,"RTO/market operation"))/$D335,0)</f>
        <v>0.00679117381958678</v>
      </c>
      <c r="H335" s="10" t="n">
        <f aca="false">IFERROR((SUMIFS(Data!$E$2:$E$2657,Data!$A$2:$A$2657,$A335,Data!$B$2:$B$2657,$B335,Data!$D$2:$D$2657,"Customer accounts, service &amp; sales")+SUMIFS(Data!$G$2:$G$2657,Data!$A$2:$A$2657,$A335,Data!$B$2:$B$2657,$B335,Data!$D$2:$D$2657,"Customer accounts, service &amp; sales"))/$D335,0)</f>
        <v>0.011134786963561</v>
      </c>
      <c r="I335" s="10" t="n">
        <f aca="false">IFERROR((SUMIFS(Data!$E$2:$E$2657,Data!$A$2:$A$2657,$A335,Data!$B$2:$B$2657,$B335,Data!$D$2:$D$2657,"A&amp;G and general")+SUMIFS(Data!$G$2:$G$2657,Data!$A$2:$A$2657,$A335,Data!$B$2:$B$2657,$B335,Data!$D$2:$D$2657,"A&amp;G and general"))/$D335,0)</f>
        <v>0.355724703544825</v>
      </c>
      <c r="J335" s="10" t="n">
        <f aca="false">IFERROR(SUMIFS(Data!$F$2:$F$2657,Data!$A$2:$A$2657,$A335,Data!$B$2:$B$2657,$B335)/$D335,0)</f>
        <v>0.361324581523095</v>
      </c>
      <c r="K335" s="11" t="n">
        <f aca="false">SUM(E335:I335)</f>
        <v>1</v>
      </c>
    </row>
    <row r="336" customFormat="false" ht="15" hidden="false" customHeight="false" outlineLevel="0" collapsed="false">
      <c r="A336" s="7" t="n">
        <v>2012</v>
      </c>
      <c r="B336" s="12" t="s">
        <v>80</v>
      </c>
      <c r="C336" s="12" t="s">
        <v>72</v>
      </c>
      <c r="D336" s="9" t="n">
        <f aca="false">SUMIFS(Data!$E$2:$E$2657,Data!$A$2:$A$2657,$A336,Data!$B$2:$B$2657,$B336)+SUMIFS(Data!$G$2:$G$2657,Data!$A$2:$A$2657,$A336,Data!$B$2:$B$2657,$B336)</f>
        <v>328.382095</v>
      </c>
      <c r="E336" s="10" t="n">
        <f aca="false">IFERROR((SUMIFS(Data!$E$2:$E$2657,Data!$A$2:$A$2657,$A336,Data!$B$2:$B$2657,$B336,Data!$D$2:$D$2657,"Transmission")+SUMIFS(Data!$G$2:$G$2657,Data!$A$2:$A$2657,$A336,Data!$B$2:$B$2657,$B336,Data!$D$2:$D$2657,"Transmission"))/$D336,0)</f>
        <v>0.331627590718672</v>
      </c>
      <c r="F336" s="10" t="n">
        <f aca="false">IFERROR((SUMIFS(Data!$E$2:$E$2657,Data!$A$2:$A$2657,$A336,Data!$B$2:$B$2657,$B336,Data!$D$2:$D$2657,"Distribution")+SUMIFS(Data!$G$2:$G$2657,Data!$A$2:$A$2657,$A336,Data!$B$2:$B$2657,$B336,Data!$D$2:$D$2657,"Distribution"))/$D336,0)</f>
        <v>0.23214255941695</v>
      </c>
      <c r="G336" s="10" t="n">
        <f aca="false">IFERROR((SUMIFS(Data!$E$2:$E$2657,Data!$A$2:$A$2657,$A336,Data!$B$2:$B$2657,$B336,Data!$D$2:$D$2657,"RTO/market operation")+SUMIFS(Data!$G$2:$G$2657,Data!$A$2:$A$2657,$A336,Data!$B$2:$B$2657,$B336,Data!$D$2:$D$2657,"RTO/market operation"))/$D336,0)</f>
        <v>0.006968811743527</v>
      </c>
      <c r="H336" s="10" t="n">
        <f aca="false">IFERROR((SUMIFS(Data!$E$2:$E$2657,Data!$A$2:$A$2657,$A336,Data!$B$2:$B$2657,$B336,Data!$D$2:$D$2657,"Customer accounts, service &amp; sales")+SUMIFS(Data!$G$2:$G$2657,Data!$A$2:$A$2657,$A336,Data!$B$2:$B$2657,$B336,Data!$D$2:$D$2657,"Customer accounts, service &amp; sales"))/$D336,0)</f>
        <v>0.146912489245189</v>
      </c>
      <c r="I336" s="10" t="n">
        <f aca="false">IFERROR((SUMIFS(Data!$E$2:$E$2657,Data!$A$2:$A$2657,$A336,Data!$B$2:$B$2657,$B336,Data!$D$2:$D$2657,"A&amp;G and general")+SUMIFS(Data!$G$2:$G$2657,Data!$A$2:$A$2657,$A336,Data!$B$2:$B$2657,$B336,Data!$D$2:$D$2657,"A&amp;G and general"))/$D336,0)</f>
        <v>0.282348548875663</v>
      </c>
      <c r="J336" s="10" t="n">
        <f aca="false">IFERROR(SUMIFS(Data!$F$2:$F$2657,Data!$A$2:$A$2657,$A336,Data!$B$2:$B$2657,$B336)/$D336,0)</f>
        <v>0.323507382459449</v>
      </c>
      <c r="K336" s="11" t="n">
        <f aca="false">SUM(E336:I336)</f>
        <v>1</v>
      </c>
    </row>
    <row r="337" customFormat="false" ht="15" hidden="false" customHeight="false" outlineLevel="0" collapsed="false">
      <c r="A337" s="7" t="n">
        <v>2012</v>
      </c>
      <c r="B337" s="12" t="s">
        <v>81</v>
      </c>
      <c r="C337" s="12" t="s">
        <v>72</v>
      </c>
      <c r="D337" s="9" t="n">
        <f aca="false">SUMIFS(Data!$E$2:$E$2657,Data!$A$2:$A$2657,$A337,Data!$B$2:$B$2657,$B337)+SUMIFS(Data!$G$2:$G$2657,Data!$A$2:$A$2657,$A337,Data!$B$2:$B$2657,$B337)</f>
        <v>315.674905</v>
      </c>
      <c r="E337" s="10" t="n">
        <f aca="false">IFERROR((SUMIFS(Data!$E$2:$E$2657,Data!$A$2:$A$2657,$A337,Data!$B$2:$B$2657,$B337,Data!$D$2:$D$2657,"Transmission")+SUMIFS(Data!$G$2:$G$2657,Data!$A$2:$A$2657,$A337,Data!$B$2:$B$2657,$B337,Data!$D$2:$D$2657,"Transmission"))/$D337,0)</f>
        <v>0.353222220816064</v>
      </c>
      <c r="F337" s="10" t="n">
        <f aca="false">IFERROR((SUMIFS(Data!$E$2:$E$2657,Data!$A$2:$A$2657,$A337,Data!$B$2:$B$2657,$B337,Data!$D$2:$D$2657,"Distribution")+SUMIFS(Data!$G$2:$G$2657,Data!$A$2:$A$2657,$A337,Data!$B$2:$B$2657,$B337,Data!$D$2:$D$2657,"Distribution"))/$D337,0)</f>
        <v>0.205312525555365</v>
      </c>
      <c r="G337" s="10" t="n">
        <f aca="false">IFERROR((SUMIFS(Data!$E$2:$E$2657,Data!$A$2:$A$2657,$A337,Data!$B$2:$B$2657,$B337,Data!$D$2:$D$2657,"RTO/market operation")+SUMIFS(Data!$G$2:$G$2657,Data!$A$2:$A$2657,$A337,Data!$B$2:$B$2657,$B337,Data!$D$2:$D$2657,"RTO/market operation"))/$D337,0)</f>
        <v>0.00663492398928575</v>
      </c>
      <c r="H337" s="10" t="n">
        <f aca="false">IFERROR((SUMIFS(Data!$E$2:$E$2657,Data!$A$2:$A$2657,$A337,Data!$B$2:$B$2657,$B337,Data!$D$2:$D$2657,"Customer accounts, service &amp; sales")+SUMIFS(Data!$G$2:$G$2657,Data!$A$2:$A$2657,$A337,Data!$B$2:$B$2657,$B337,Data!$D$2:$D$2657,"Customer accounts, service &amp; sales"))/$D337,0)</f>
        <v>0.120227488466338</v>
      </c>
      <c r="I337" s="10" t="n">
        <f aca="false">IFERROR((SUMIFS(Data!$E$2:$E$2657,Data!$A$2:$A$2657,$A337,Data!$B$2:$B$2657,$B337,Data!$D$2:$D$2657,"A&amp;G and general")+SUMIFS(Data!$G$2:$G$2657,Data!$A$2:$A$2657,$A337,Data!$B$2:$B$2657,$B337,Data!$D$2:$D$2657,"A&amp;G and general"))/$D337,0)</f>
        <v>0.314602841172947</v>
      </c>
      <c r="J337" s="10" t="n">
        <f aca="false">IFERROR(SUMIFS(Data!$F$2:$F$2657,Data!$A$2:$A$2657,$A337,Data!$B$2:$B$2657,$B337)/$D337,0)</f>
        <v>0.346126379605626</v>
      </c>
      <c r="K337" s="11" t="n">
        <f aca="false">SUM(E337:I337)</f>
        <v>1</v>
      </c>
    </row>
    <row r="338" customFormat="false" ht="15" hidden="false" customHeight="false" outlineLevel="0" collapsed="false">
      <c r="A338" s="7" t="n">
        <v>2013</v>
      </c>
      <c r="B338" s="12" t="s">
        <v>56</v>
      </c>
      <c r="C338" s="12" t="s">
        <v>57</v>
      </c>
      <c r="D338" s="9" t="n">
        <f aca="false">SUMIFS(Data!$E$2:$E$2657,Data!$A$2:$A$2657,$A338,Data!$B$2:$B$2657,$B338)+SUMIFS(Data!$G$2:$G$2657,Data!$A$2:$A$2657,$A338,Data!$B$2:$B$2657,$B338)</f>
        <v>203.954255</v>
      </c>
      <c r="E338" s="10" t="n">
        <f aca="false">IFERROR((SUMIFS(Data!$E$2:$E$2657,Data!$A$2:$A$2657,$A338,Data!$B$2:$B$2657,$B338,Data!$D$2:$D$2657,"Transmission")+SUMIFS(Data!$G$2:$G$2657,Data!$A$2:$A$2657,$A338,Data!$B$2:$B$2657,$B338,Data!$D$2:$D$2657,"Transmission"))/$D338,0)</f>
        <v>0.31386458203581</v>
      </c>
      <c r="F338" s="10" t="n">
        <f aca="false">IFERROR((SUMIFS(Data!$E$2:$E$2657,Data!$A$2:$A$2657,$A338,Data!$B$2:$B$2657,$B338,Data!$D$2:$D$2657,"Distribution")+SUMIFS(Data!$G$2:$G$2657,Data!$A$2:$A$2657,$A338,Data!$B$2:$B$2657,$B338,Data!$D$2:$D$2657,"Distribution"))/$D338,0)</f>
        <v>0.189741631033881</v>
      </c>
      <c r="G338" s="10" t="n">
        <f aca="false">IFERROR((SUMIFS(Data!$E$2:$E$2657,Data!$A$2:$A$2657,$A338,Data!$B$2:$B$2657,$B338,Data!$D$2:$D$2657,"RTO/market operation")+SUMIFS(Data!$G$2:$G$2657,Data!$A$2:$A$2657,$A338,Data!$B$2:$B$2657,$B338,Data!$D$2:$D$2657,"RTO/market operation"))/$D338,0)</f>
        <v>3.16982845001199E-005</v>
      </c>
      <c r="H338" s="10" t="n">
        <f aca="false">IFERROR((SUMIFS(Data!$E$2:$E$2657,Data!$A$2:$A$2657,$A338,Data!$B$2:$B$2657,$B338,Data!$D$2:$D$2657,"Customer accounts, service &amp; sales")+SUMIFS(Data!$G$2:$G$2657,Data!$A$2:$A$2657,$A338,Data!$B$2:$B$2657,$B338,Data!$D$2:$D$2657,"Customer accounts, service &amp; sales"))/$D338,0)</f>
        <v>0.0956103269333606</v>
      </c>
      <c r="I338" s="10" t="n">
        <f aca="false">IFERROR((SUMIFS(Data!$E$2:$E$2657,Data!$A$2:$A$2657,$A338,Data!$B$2:$B$2657,$B338,Data!$D$2:$D$2657,"A&amp;G and general")+SUMIFS(Data!$G$2:$G$2657,Data!$A$2:$A$2657,$A338,Data!$B$2:$B$2657,$B338,Data!$D$2:$D$2657,"A&amp;G and general"))/$D338,0)</f>
        <v>0.400751761712449</v>
      </c>
      <c r="J338" s="10" t="n">
        <f aca="false">IFERROR(SUMIFS(Data!$F$2:$F$2657,Data!$A$2:$A$2657,$A338,Data!$B$2:$B$2657,$B338)/$D338,0)</f>
        <v>0.146969500587276</v>
      </c>
      <c r="K338" s="11" t="n">
        <f aca="false">SUM(E338:I338)</f>
        <v>1</v>
      </c>
    </row>
    <row r="339" customFormat="false" ht="15" hidden="false" customHeight="false" outlineLevel="0" collapsed="false">
      <c r="A339" s="7" t="n">
        <v>2013</v>
      </c>
      <c r="B339" s="12" t="s">
        <v>58</v>
      </c>
      <c r="C339" s="12" t="s">
        <v>59</v>
      </c>
      <c r="D339" s="9" t="n">
        <f aca="false">SUMIFS(Data!$E$2:$E$2657,Data!$A$2:$A$2657,$A339,Data!$B$2:$B$2657,$B339)+SUMIFS(Data!$G$2:$G$2657,Data!$A$2:$A$2657,$A339,Data!$B$2:$B$2657,$B339)</f>
        <v>709.075462</v>
      </c>
      <c r="E339" s="10" t="n">
        <f aca="false">IFERROR((SUMIFS(Data!$E$2:$E$2657,Data!$A$2:$A$2657,$A339,Data!$B$2:$B$2657,$B339,Data!$D$2:$D$2657,"Transmission")+SUMIFS(Data!$G$2:$G$2657,Data!$A$2:$A$2657,$A339,Data!$B$2:$B$2657,$B339,Data!$D$2:$D$2657,"Transmission"))/$D339,0)</f>
        <v>0.085739445599374</v>
      </c>
      <c r="F339" s="10" t="n">
        <f aca="false">IFERROR((SUMIFS(Data!$E$2:$E$2657,Data!$A$2:$A$2657,$A339,Data!$B$2:$B$2657,$B339,Data!$D$2:$D$2657,"Distribution")+SUMIFS(Data!$G$2:$G$2657,Data!$A$2:$A$2657,$A339,Data!$B$2:$B$2657,$B339,Data!$D$2:$D$2657,"Distribution"))/$D339,0)</f>
        <v>0.532178112518016</v>
      </c>
      <c r="G339" s="10" t="n">
        <f aca="false">IFERROR((SUMIFS(Data!$E$2:$E$2657,Data!$A$2:$A$2657,$A339,Data!$B$2:$B$2657,$B339,Data!$D$2:$D$2657,"RTO/market operation")+SUMIFS(Data!$G$2:$G$2657,Data!$A$2:$A$2657,$A339,Data!$B$2:$B$2657,$B339,Data!$D$2:$D$2657,"RTO/market operation"))/$D339,0)</f>
        <v>0.00173604935718393</v>
      </c>
      <c r="H339" s="10" t="n">
        <f aca="false">IFERROR((SUMIFS(Data!$E$2:$E$2657,Data!$A$2:$A$2657,$A339,Data!$B$2:$B$2657,$B339,Data!$D$2:$D$2657,"Customer accounts, service &amp; sales")+SUMIFS(Data!$G$2:$G$2657,Data!$A$2:$A$2657,$A339,Data!$B$2:$B$2657,$B339,Data!$D$2:$D$2657,"Customer accounts, service &amp; sales"))/$D339,0)</f>
        <v>0.158229596161092</v>
      </c>
      <c r="I339" s="10" t="n">
        <f aca="false">IFERROR((SUMIFS(Data!$E$2:$E$2657,Data!$A$2:$A$2657,$A339,Data!$B$2:$B$2657,$B339,Data!$D$2:$D$2657,"A&amp;G and general")+SUMIFS(Data!$G$2:$G$2657,Data!$A$2:$A$2657,$A339,Data!$B$2:$B$2657,$B339,Data!$D$2:$D$2657,"A&amp;G and general"))/$D339,0)</f>
        <v>0.222116796364334</v>
      </c>
      <c r="J339" s="10" t="n">
        <f aca="false">IFERROR(SUMIFS(Data!$F$2:$F$2657,Data!$A$2:$A$2657,$A339,Data!$B$2:$B$2657,$B339)/$D339,0)</f>
        <v>0.0168415840626001</v>
      </c>
      <c r="K339" s="11" t="n">
        <f aca="false">SUM(E339:I339)</f>
        <v>1</v>
      </c>
    </row>
    <row r="340" customFormat="false" ht="15" hidden="false" customHeight="false" outlineLevel="0" collapsed="false">
      <c r="A340" s="7" t="n">
        <v>2013</v>
      </c>
      <c r="B340" s="12" t="s">
        <v>60</v>
      </c>
      <c r="C340" s="12" t="s">
        <v>59</v>
      </c>
      <c r="D340" s="9" t="n">
        <f aca="false">SUMIFS(Data!$E$2:$E$2657,Data!$A$2:$A$2657,$A340,Data!$B$2:$B$2657,$B340)+SUMIFS(Data!$G$2:$G$2657,Data!$A$2:$A$2657,$A340,Data!$B$2:$B$2657,$B340)</f>
        <v>2142.581254</v>
      </c>
      <c r="E340" s="10" t="n">
        <f aca="false">IFERROR((SUMIFS(Data!$E$2:$E$2657,Data!$A$2:$A$2657,$A340,Data!$B$2:$B$2657,$B340,Data!$D$2:$D$2657,"Transmission")+SUMIFS(Data!$G$2:$G$2657,Data!$A$2:$A$2657,$A340,Data!$B$2:$B$2657,$B340,Data!$D$2:$D$2657,"Transmission"))/$D340,0)</f>
        <v>0.137530753827831</v>
      </c>
      <c r="F340" s="10" t="n">
        <f aca="false">IFERROR((SUMIFS(Data!$E$2:$E$2657,Data!$A$2:$A$2657,$A340,Data!$B$2:$B$2657,$B340,Data!$D$2:$D$2657,"Distribution")+SUMIFS(Data!$G$2:$G$2657,Data!$A$2:$A$2657,$A340,Data!$B$2:$B$2657,$B340,Data!$D$2:$D$2657,"Distribution"))/$D340,0)</f>
        <v>0.369463620818182</v>
      </c>
      <c r="G340" s="10" t="n">
        <f aca="false">IFERROR((SUMIFS(Data!$E$2:$E$2657,Data!$A$2:$A$2657,$A340,Data!$B$2:$B$2657,$B340,Data!$D$2:$D$2657,"RTO/market operation")+SUMIFS(Data!$G$2:$G$2657,Data!$A$2:$A$2657,$A340,Data!$B$2:$B$2657,$B340,Data!$D$2:$D$2657,"RTO/market operation"))/$D340,0)</f>
        <v>0.00131992567129965</v>
      </c>
      <c r="H340" s="10" t="n">
        <f aca="false">IFERROR((SUMIFS(Data!$E$2:$E$2657,Data!$A$2:$A$2657,$A340,Data!$B$2:$B$2657,$B340,Data!$D$2:$D$2657,"Customer accounts, service &amp; sales")+SUMIFS(Data!$G$2:$G$2657,Data!$A$2:$A$2657,$A340,Data!$B$2:$B$2657,$B340,Data!$D$2:$D$2657,"Customer accounts, service &amp; sales"))/$D340,0)</f>
        <v>0.194948207551152</v>
      </c>
      <c r="I340" s="10" t="n">
        <f aca="false">IFERROR((SUMIFS(Data!$E$2:$E$2657,Data!$A$2:$A$2657,$A340,Data!$B$2:$B$2657,$B340,Data!$D$2:$D$2657,"A&amp;G and general")+SUMIFS(Data!$G$2:$G$2657,Data!$A$2:$A$2657,$A340,Data!$B$2:$B$2657,$B340,Data!$D$2:$D$2657,"A&amp;G and general"))/$D340,0)</f>
        <v>0.296737492131535</v>
      </c>
      <c r="J340" s="10" t="n">
        <f aca="false">IFERROR(SUMIFS(Data!$F$2:$F$2657,Data!$A$2:$A$2657,$A340,Data!$B$2:$B$2657,$B340)/$D340,0)</f>
        <v>0.00279754571212168</v>
      </c>
      <c r="K340" s="11" t="n">
        <f aca="false">SUM(E340:I340)</f>
        <v>1</v>
      </c>
    </row>
    <row r="341" customFormat="false" ht="15" hidden="false" customHeight="false" outlineLevel="0" collapsed="false">
      <c r="A341" s="7" t="n">
        <v>2013</v>
      </c>
      <c r="B341" s="12" t="s">
        <v>61</v>
      </c>
      <c r="C341" s="12" t="s">
        <v>62</v>
      </c>
      <c r="D341" s="9" t="n">
        <f aca="false">SUMIFS(Data!$E$2:$E$2657,Data!$A$2:$A$2657,$A341,Data!$B$2:$B$2657,$B341)+SUMIFS(Data!$G$2:$G$2657,Data!$A$2:$A$2657,$A341,Data!$B$2:$B$2657,$B341)</f>
        <v>1091.39117</v>
      </c>
      <c r="E341" s="10" t="n">
        <f aca="false">IFERROR((SUMIFS(Data!$E$2:$E$2657,Data!$A$2:$A$2657,$A341,Data!$B$2:$B$2657,$B341,Data!$D$2:$D$2657,"Transmission")+SUMIFS(Data!$G$2:$G$2657,Data!$A$2:$A$2657,$A341,Data!$B$2:$B$2657,$B341,Data!$D$2:$D$2657,"Transmission"))/$D341,0)</f>
        <v>0.277191423493008</v>
      </c>
      <c r="F341" s="10" t="n">
        <f aca="false">IFERROR((SUMIFS(Data!$E$2:$E$2657,Data!$A$2:$A$2657,$A341,Data!$B$2:$B$2657,$B341,Data!$D$2:$D$2657,"Distribution")+SUMIFS(Data!$G$2:$G$2657,Data!$A$2:$A$2657,$A341,Data!$B$2:$B$2657,$B341,Data!$D$2:$D$2657,"Distribution"))/$D341,0)</f>
        <v>0.351190032992479</v>
      </c>
      <c r="G341" s="10" t="n">
        <f aca="false">IFERROR((SUMIFS(Data!$E$2:$E$2657,Data!$A$2:$A$2657,$A341,Data!$B$2:$B$2657,$B341,Data!$D$2:$D$2657,"RTO/market operation")+SUMIFS(Data!$G$2:$G$2657,Data!$A$2:$A$2657,$A341,Data!$B$2:$B$2657,$B341,Data!$D$2:$D$2657,"RTO/market operation"))/$D341,0)</f>
        <v>0.00751786181301064</v>
      </c>
      <c r="H341" s="10" t="n">
        <f aca="false">IFERROR((SUMIFS(Data!$E$2:$E$2657,Data!$A$2:$A$2657,$A341,Data!$B$2:$B$2657,$B341,Data!$D$2:$D$2657,"Customer accounts, service &amp; sales")+SUMIFS(Data!$G$2:$G$2657,Data!$A$2:$A$2657,$A341,Data!$B$2:$B$2657,$B341,Data!$D$2:$D$2657,"Customer accounts, service &amp; sales"))/$D341,0)</f>
        <v>0.151841739749461</v>
      </c>
      <c r="I341" s="10" t="n">
        <f aca="false">IFERROR((SUMIFS(Data!$E$2:$E$2657,Data!$A$2:$A$2657,$A341,Data!$B$2:$B$2657,$B341,Data!$D$2:$D$2657,"A&amp;G and general")+SUMIFS(Data!$G$2:$G$2657,Data!$A$2:$A$2657,$A341,Data!$B$2:$B$2657,$B341,Data!$D$2:$D$2657,"A&amp;G and general"))/$D341,0)</f>
        <v>0.212258941952041</v>
      </c>
      <c r="J341" s="10" t="n">
        <f aca="false">IFERROR(SUMIFS(Data!$F$2:$F$2657,Data!$A$2:$A$2657,$A341,Data!$B$2:$B$2657,$B341)/$D341,0)</f>
        <v>0.267527921267679</v>
      </c>
      <c r="K341" s="11" t="n">
        <f aca="false">SUM(E341:I341)</f>
        <v>1</v>
      </c>
    </row>
    <row r="342" customFormat="false" ht="15" hidden="false" customHeight="false" outlineLevel="0" collapsed="false">
      <c r="A342" s="7" t="n">
        <v>2013</v>
      </c>
      <c r="B342" s="12" t="s">
        <v>63</v>
      </c>
      <c r="C342" s="12" t="s">
        <v>62</v>
      </c>
      <c r="D342" s="9" t="n">
        <f aca="false">SUMIFS(Data!$E$2:$E$2657,Data!$A$2:$A$2657,$A342,Data!$B$2:$B$2657,$B342)+SUMIFS(Data!$G$2:$G$2657,Data!$A$2:$A$2657,$A342,Data!$B$2:$B$2657,$B342)</f>
        <v>1550.02421</v>
      </c>
      <c r="E342" s="10" t="n">
        <f aca="false">IFERROR((SUMIFS(Data!$E$2:$E$2657,Data!$A$2:$A$2657,$A342,Data!$B$2:$B$2657,$B342,Data!$D$2:$D$2657,"Transmission")+SUMIFS(Data!$G$2:$G$2657,Data!$A$2:$A$2657,$A342,Data!$B$2:$B$2657,$B342,Data!$D$2:$D$2657,"Transmission"))/$D342,0)</f>
        <v>0.167750543715701</v>
      </c>
      <c r="F342" s="10" t="n">
        <f aca="false">IFERROR((SUMIFS(Data!$E$2:$E$2657,Data!$A$2:$A$2657,$A342,Data!$B$2:$B$2657,$B342,Data!$D$2:$D$2657,"Distribution")+SUMIFS(Data!$G$2:$G$2657,Data!$A$2:$A$2657,$A342,Data!$B$2:$B$2657,$B342,Data!$D$2:$D$2657,"Distribution"))/$D342,0)</f>
        <v>0.36459394721325</v>
      </c>
      <c r="G342" s="10" t="n">
        <f aca="false">IFERROR((SUMIFS(Data!$E$2:$E$2657,Data!$A$2:$A$2657,$A342,Data!$B$2:$B$2657,$B342,Data!$D$2:$D$2657,"RTO/market operation")+SUMIFS(Data!$G$2:$G$2657,Data!$A$2:$A$2657,$A342,Data!$B$2:$B$2657,$B342,Data!$D$2:$D$2657,"RTO/market operation"))/$D342,0)</f>
        <v>0.006727789109823</v>
      </c>
      <c r="H342" s="10" t="n">
        <f aca="false">IFERROR((SUMIFS(Data!$E$2:$E$2657,Data!$A$2:$A$2657,$A342,Data!$B$2:$B$2657,$B342,Data!$D$2:$D$2657,"Customer accounts, service &amp; sales")+SUMIFS(Data!$G$2:$G$2657,Data!$A$2:$A$2657,$A342,Data!$B$2:$B$2657,$B342,Data!$D$2:$D$2657,"Customer accounts, service &amp; sales"))/$D342,0)</f>
        <v>0.147605878362377</v>
      </c>
      <c r="I342" s="10" t="n">
        <f aca="false">IFERROR((SUMIFS(Data!$E$2:$E$2657,Data!$A$2:$A$2657,$A342,Data!$B$2:$B$2657,$B342,Data!$D$2:$D$2657,"A&amp;G and general")+SUMIFS(Data!$G$2:$G$2657,Data!$A$2:$A$2657,$A342,Data!$B$2:$B$2657,$B342,Data!$D$2:$D$2657,"A&amp;G and general"))/$D342,0)</f>
        <v>0.313321841598848</v>
      </c>
      <c r="J342" s="10" t="n">
        <f aca="false">IFERROR(SUMIFS(Data!$F$2:$F$2657,Data!$A$2:$A$2657,$A342,Data!$B$2:$B$2657,$B342)/$D342,0)</f>
        <v>0.160077119053515</v>
      </c>
      <c r="K342" s="11" t="n">
        <f aca="false">SUM(E342:I342)</f>
        <v>1</v>
      </c>
    </row>
    <row r="343" customFormat="false" ht="15" hidden="false" customHeight="false" outlineLevel="0" collapsed="false">
      <c r="A343" s="7" t="n">
        <v>2013</v>
      </c>
      <c r="B343" s="12" t="s">
        <v>64</v>
      </c>
      <c r="C343" s="12" t="s">
        <v>65</v>
      </c>
      <c r="D343" s="9" t="n">
        <f aca="false">SUMIFS(Data!$E$2:$E$2657,Data!$A$2:$A$2657,$A343,Data!$B$2:$B$2657,$B343)+SUMIFS(Data!$G$2:$G$2657,Data!$A$2:$A$2657,$A343,Data!$B$2:$B$2657,$B343)</f>
        <v>502.460967</v>
      </c>
      <c r="E343" s="10" t="n">
        <f aca="false">IFERROR((SUMIFS(Data!$E$2:$E$2657,Data!$A$2:$A$2657,$A343,Data!$B$2:$B$2657,$B343,Data!$D$2:$D$2657,"Transmission")+SUMIFS(Data!$G$2:$G$2657,Data!$A$2:$A$2657,$A343,Data!$B$2:$B$2657,$B343,Data!$D$2:$D$2657,"Transmission"))/$D343,0)</f>
        <v>0.145449136947587</v>
      </c>
      <c r="F343" s="10" t="n">
        <f aca="false">IFERROR((SUMIFS(Data!$E$2:$E$2657,Data!$A$2:$A$2657,$A343,Data!$B$2:$B$2657,$B343,Data!$D$2:$D$2657,"Distribution")+SUMIFS(Data!$G$2:$G$2657,Data!$A$2:$A$2657,$A343,Data!$B$2:$B$2657,$B343,Data!$D$2:$D$2657,"Distribution"))/$D343,0)</f>
        <v>0.30048360950593</v>
      </c>
      <c r="G343" s="10" t="n">
        <f aca="false">IFERROR((SUMIFS(Data!$E$2:$E$2657,Data!$A$2:$A$2657,$A343,Data!$B$2:$B$2657,$B343,Data!$D$2:$D$2657,"RTO/market operation")+SUMIFS(Data!$G$2:$G$2657,Data!$A$2:$A$2657,$A343,Data!$B$2:$B$2657,$B343,Data!$D$2:$D$2657,"RTO/market operation"))/$D343,0)</f>
        <v>0.0130547951598398</v>
      </c>
      <c r="H343" s="10" t="n">
        <f aca="false">IFERROR((SUMIFS(Data!$E$2:$E$2657,Data!$A$2:$A$2657,$A343,Data!$B$2:$B$2657,$B343,Data!$D$2:$D$2657,"Customer accounts, service &amp; sales")+SUMIFS(Data!$G$2:$G$2657,Data!$A$2:$A$2657,$A343,Data!$B$2:$B$2657,$B343,Data!$D$2:$D$2657,"Customer accounts, service &amp; sales"))/$D343,0)</f>
        <v>0.100823015770696</v>
      </c>
      <c r="I343" s="10" t="n">
        <f aca="false">IFERROR((SUMIFS(Data!$E$2:$E$2657,Data!$A$2:$A$2657,$A343,Data!$B$2:$B$2657,$B343,Data!$D$2:$D$2657,"A&amp;G and general")+SUMIFS(Data!$G$2:$G$2657,Data!$A$2:$A$2657,$A343,Data!$B$2:$B$2657,$B343,Data!$D$2:$D$2657,"A&amp;G and general"))/$D343,0)</f>
        <v>0.440189442615948</v>
      </c>
      <c r="J343" s="10" t="n">
        <f aca="false">IFERROR(SUMIFS(Data!$F$2:$F$2657,Data!$A$2:$A$2657,$A343,Data!$B$2:$B$2657,$B343)/$D343,0)</f>
        <v>0.0320388847239551</v>
      </c>
      <c r="K343" s="11" t="n">
        <f aca="false">SUM(E343:I343)</f>
        <v>1</v>
      </c>
    </row>
    <row r="344" customFormat="false" ht="15" hidden="false" customHeight="false" outlineLevel="0" collapsed="false">
      <c r="A344" s="7" t="n">
        <v>2013</v>
      </c>
      <c r="B344" s="12" t="s">
        <v>66</v>
      </c>
      <c r="C344" s="12" t="s">
        <v>67</v>
      </c>
      <c r="D344" s="9" t="n">
        <f aca="false">SUMIFS(Data!$E$2:$E$2657,Data!$A$2:$A$2657,$A344,Data!$B$2:$B$2657,$B344)+SUMIFS(Data!$G$2:$G$2657,Data!$A$2:$A$2657,$A344,Data!$B$2:$B$2657,$B344)</f>
        <v>361.207729</v>
      </c>
      <c r="E344" s="10" t="n">
        <f aca="false">IFERROR((SUMIFS(Data!$E$2:$E$2657,Data!$A$2:$A$2657,$A344,Data!$B$2:$B$2657,$B344,Data!$D$2:$D$2657,"Transmission")+SUMIFS(Data!$G$2:$G$2657,Data!$A$2:$A$2657,$A344,Data!$B$2:$B$2657,$B344,Data!$D$2:$D$2657,"Transmission"))/$D344,0)</f>
        <v>0.208140011865582</v>
      </c>
      <c r="F344" s="10" t="n">
        <f aca="false">IFERROR((SUMIFS(Data!$E$2:$E$2657,Data!$A$2:$A$2657,$A344,Data!$B$2:$B$2657,$B344,Data!$D$2:$D$2657,"Distribution")+SUMIFS(Data!$G$2:$G$2657,Data!$A$2:$A$2657,$A344,Data!$B$2:$B$2657,$B344,Data!$D$2:$D$2657,"Distribution"))/$D344,0)</f>
        <v>0.278798879190096</v>
      </c>
      <c r="G344" s="10" t="n">
        <f aca="false">IFERROR((SUMIFS(Data!$E$2:$E$2657,Data!$A$2:$A$2657,$A344,Data!$B$2:$B$2657,$B344,Data!$D$2:$D$2657,"RTO/market operation")+SUMIFS(Data!$G$2:$G$2657,Data!$A$2:$A$2657,$A344,Data!$B$2:$B$2657,$B344,Data!$D$2:$D$2657,"RTO/market operation"))/$D344,0)</f>
        <v>0.00902100298080831</v>
      </c>
      <c r="H344" s="10" t="n">
        <f aca="false">IFERROR((SUMIFS(Data!$E$2:$E$2657,Data!$A$2:$A$2657,$A344,Data!$B$2:$B$2657,$B344,Data!$D$2:$D$2657,"Customer accounts, service &amp; sales")+SUMIFS(Data!$G$2:$G$2657,Data!$A$2:$A$2657,$A344,Data!$B$2:$B$2657,$B344,Data!$D$2:$D$2657,"Customer accounts, service &amp; sales"))/$D344,0)</f>
        <v>0.130189979960257</v>
      </c>
      <c r="I344" s="10" t="n">
        <f aca="false">IFERROR((SUMIFS(Data!$E$2:$E$2657,Data!$A$2:$A$2657,$A344,Data!$B$2:$B$2657,$B344,Data!$D$2:$D$2657,"A&amp;G and general")+SUMIFS(Data!$G$2:$G$2657,Data!$A$2:$A$2657,$A344,Data!$B$2:$B$2657,$B344,Data!$D$2:$D$2657,"A&amp;G and general"))/$D344,0)</f>
        <v>0.373850126003256</v>
      </c>
      <c r="J344" s="10" t="n">
        <f aca="false">IFERROR(SUMIFS(Data!$F$2:$F$2657,Data!$A$2:$A$2657,$A344,Data!$B$2:$B$2657,$B344)/$D344,0)</f>
        <v>0.0801323855392917</v>
      </c>
      <c r="K344" s="11" t="n">
        <f aca="false">SUM(E344:I344)</f>
        <v>1</v>
      </c>
    </row>
    <row r="345" customFormat="false" ht="15" hidden="false" customHeight="false" outlineLevel="0" collapsed="false">
      <c r="A345" s="7" t="n">
        <v>2013</v>
      </c>
      <c r="B345" s="12" t="s">
        <v>68</v>
      </c>
      <c r="C345" s="12" t="s">
        <v>65</v>
      </c>
      <c r="D345" s="9" t="n">
        <f aca="false">SUMIFS(Data!$E$2:$E$2657,Data!$A$2:$A$2657,$A345,Data!$B$2:$B$2657,$B345)+SUMIFS(Data!$G$2:$G$2657,Data!$A$2:$A$2657,$A345,Data!$B$2:$B$2657,$B345)</f>
        <v>296.179797</v>
      </c>
      <c r="E345" s="10" t="n">
        <f aca="false">IFERROR((SUMIFS(Data!$E$2:$E$2657,Data!$A$2:$A$2657,$A345,Data!$B$2:$B$2657,$B345,Data!$D$2:$D$2657,"Transmission")+SUMIFS(Data!$G$2:$G$2657,Data!$A$2:$A$2657,$A345,Data!$B$2:$B$2657,$B345,Data!$D$2:$D$2657,"Transmission"))/$D345,0)</f>
        <v>0.0606466719943089</v>
      </c>
      <c r="F345" s="10" t="n">
        <f aca="false">IFERROR((SUMIFS(Data!$E$2:$E$2657,Data!$A$2:$A$2657,$A345,Data!$B$2:$B$2657,$B345,Data!$D$2:$D$2657,"Distribution")+SUMIFS(Data!$G$2:$G$2657,Data!$A$2:$A$2657,$A345,Data!$B$2:$B$2657,$B345,Data!$D$2:$D$2657,"Distribution"))/$D345,0)</f>
        <v>0.342403894618106</v>
      </c>
      <c r="G345" s="10" t="n">
        <f aca="false">IFERROR((SUMIFS(Data!$E$2:$E$2657,Data!$A$2:$A$2657,$A345,Data!$B$2:$B$2657,$B345,Data!$D$2:$D$2657,"RTO/market operation")+SUMIFS(Data!$G$2:$G$2657,Data!$A$2:$A$2657,$A345,Data!$B$2:$B$2657,$B345,Data!$D$2:$D$2657,"RTO/market operation"))/$D345,0)</f>
        <v>0.000634796842675937</v>
      </c>
      <c r="H345" s="10" t="n">
        <f aca="false">IFERROR((SUMIFS(Data!$E$2:$E$2657,Data!$A$2:$A$2657,$A345,Data!$B$2:$B$2657,$B345,Data!$D$2:$D$2657,"Customer accounts, service &amp; sales")+SUMIFS(Data!$G$2:$G$2657,Data!$A$2:$A$2657,$A345,Data!$B$2:$B$2657,$B345,Data!$D$2:$D$2657,"Customer accounts, service &amp; sales"))/$D345,0)</f>
        <v>0.0753805128713759</v>
      </c>
      <c r="I345" s="10" t="n">
        <f aca="false">IFERROR((SUMIFS(Data!$E$2:$E$2657,Data!$A$2:$A$2657,$A345,Data!$B$2:$B$2657,$B345,Data!$D$2:$D$2657,"A&amp;G and general")+SUMIFS(Data!$G$2:$G$2657,Data!$A$2:$A$2657,$A345,Data!$B$2:$B$2657,$B345,Data!$D$2:$D$2657,"A&amp;G and general"))/$D345,0)</f>
        <v>0.520934123673533</v>
      </c>
      <c r="J345" s="10" t="n">
        <f aca="false">IFERROR(SUMIFS(Data!$F$2:$F$2657,Data!$A$2:$A$2657,$A345,Data!$B$2:$B$2657,$B345)/$D345,0)</f>
        <v>0.0110096199437938</v>
      </c>
      <c r="K345" s="11" t="n">
        <f aca="false">SUM(E345:I345)</f>
        <v>1</v>
      </c>
    </row>
    <row r="346" customFormat="false" ht="15" hidden="false" customHeight="false" outlineLevel="0" collapsed="false">
      <c r="A346" s="7" t="n">
        <v>2013</v>
      </c>
      <c r="B346" s="12" t="s">
        <v>69</v>
      </c>
      <c r="C346" s="12" t="s">
        <v>70</v>
      </c>
      <c r="D346" s="9" t="n">
        <f aca="false">SUMIFS(Data!$E$2:$E$2657,Data!$A$2:$A$2657,$A346,Data!$B$2:$B$2657,$B346)+SUMIFS(Data!$G$2:$G$2657,Data!$A$2:$A$2657,$A346,Data!$B$2:$B$2657,$B346)</f>
        <v>573.230138</v>
      </c>
      <c r="E346" s="10" t="n">
        <f aca="false">IFERROR((SUMIFS(Data!$E$2:$E$2657,Data!$A$2:$A$2657,$A346,Data!$B$2:$B$2657,$B346,Data!$D$2:$D$2657,"Transmission")+SUMIFS(Data!$G$2:$G$2657,Data!$A$2:$A$2657,$A346,Data!$B$2:$B$2657,$B346,Data!$D$2:$D$2657,"Transmission"))/$D346,0)</f>
        <v>0.531124202684542</v>
      </c>
      <c r="F346" s="10" t="n">
        <f aca="false">IFERROR((SUMIFS(Data!$E$2:$E$2657,Data!$A$2:$A$2657,$A346,Data!$B$2:$B$2657,$B346,Data!$D$2:$D$2657,"Distribution")+SUMIFS(Data!$G$2:$G$2657,Data!$A$2:$A$2657,$A346,Data!$B$2:$B$2657,$B346,Data!$D$2:$D$2657,"Distribution"))/$D346,0)</f>
        <v>0.151264736886531</v>
      </c>
      <c r="G346" s="10" t="n">
        <f aca="false">IFERROR((SUMIFS(Data!$E$2:$E$2657,Data!$A$2:$A$2657,$A346,Data!$B$2:$B$2657,$B346,Data!$D$2:$D$2657,"RTO/market operation")+SUMIFS(Data!$G$2:$G$2657,Data!$A$2:$A$2657,$A346,Data!$B$2:$B$2657,$B346,Data!$D$2:$D$2657,"RTO/market operation"))/$D346,0)</f>
        <v>0.00593824499855589</v>
      </c>
      <c r="H346" s="10" t="n">
        <f aca="false">IFERROR((SUMIFS(Data!$E$2:$E$2657,Data!$A$2:$A$2657,$A346,Data!$B$2:$B$2657,$B346,Data!$D$2:$D$2657,"Customer accounts, service &amp; sales")+SUMIFS(Data!$G$2:$G$2657,Data!$A$2:$A$2657,$A346,Data!$B$2:$B$2657,$B346,Data!$D$2:$D$2657,"Customer accounts, service &amp; sales"))/$D346,0)</f>
        <v>0.107305099509614</v>
      </c>
      <c r="I346" s="10" t="n">
        <f aca="false">IFERROR((SUMIFS(Data!$E$2:$E$2657,Data!$A$2:$A$2657,$A346,Data!$B$2:$B$2657,$B346,Data!$D$2:$D$2657,"A&amp;G and general")+SUMIFS(Data!$G$2:$G$2657,Data!$A$2:$A$2657,$A346,Data!$B$2:$B$2657,$B346,Data!$D$2:$D$2657,"A&amp;G and general"))/$D346,0)</f>
        <v>0.204367715920756</v>
      </c>
      <c r="J346" s="10" t="n">
        <f aca="false">IFERROR(SUMIFS(Data!$F$2:$F$2657,Data!$A$2:$A$2657,$A346,Data!$B$2:$B$2657,$B346)/$D346,0)</f>
        <v>0.525788241092097</v>
      </c>
      <c r="K346" s="11" t="n">
        <f aca="false">SUM(E346:I346)</f>
        <v>1</v>
      </c>
    </row>
    <row r="347" customFormat="false" ht="15" hidden="false" customHeight="false" outlineLevel="0" collapsed="false">
      <c r="A347" s="7" t="n">
        <v>2013</v>
      </c>
      <c r="B347" s="12" t="s">
        <v>71</v>
      </c>
      <c r="C347" s="12" t="s">
        <v>72</v>
      </c>
      <c r="D347" s="9" t="n">
        <f aca="false">SUMIFS(Data!$E$2:$E$2657,Data!$A$2:$A$2657,$A347,Data!$B$2:$B$2657,$B347)+SUMIFS(Data!$G$2:$G$2657,Data!$A$2:$A$2657,$A347,Data!$B$2:$B$2657,$B347)</f>
        <v>116.889156</v>
      </c>
      <c r="E347" s="10" t="n">
        <f aca="false">IFERROR((SUMIFS(Data!$E$2:$E$2657,Data!$A$2:$A$2657,$A347,Data!$B$2:$B$2657,$B347,Data!$D$2:$D$2657,"Transmission")+SUMIFS(Data!$G$2:$G$2657,Data!$A$2:$A$2657,$A347,Data!$B$2:$B$2657,$B347,Data!$D$2:$D$2657,"Transmission"))/$D347,0)</f>
        <v>0.282826663578613</v>
      </c>
      <c r="F347" s="10" t="n">
        <f aca="false">IFERROR((SUMIFS(Data!$E$2:$E$2657,Data!$A$2:$A$2657,$A347,Data!$B$2:$B$2657,$B347,Data!$D$2:$D$2657,"Distribution")+SUMIFS(Data!$G$2:$G$2657,Data!$A$2:$A$2657,$A347,Data!$B$2:$B$2657,$B347,Data!$D$2:$D$2657,"Distribution"))/$D347,0)</f>
        <v>0.227994913403259</v>
      </c>
      <c r="G347" s="10" t="n">
        <f aca="false">IFERROR((SUMIFS(Data!$E$2:$E$2657,Data!$A$2:$A$2657,$A347,Data!$B$2:$B$2657,$B347,Data!$D$2:$D$2657,"RTO/market operation")+SUMIFS(Data!$G$2:$G$2657,Data!$A$2:$A$2657,$A347,Data!$B$2:$B$2657,$B347,Data!$D$2:$D$2657,"RTO/market operation"))/$D347,0)</f>
        <v>0.00583063496497485</v>
      </c>
      <c r="H347" s="10" t="n">
        <f aca="false">IFERROR((SUMIFS(Data!$E$2:$E$2657,Data!$A$2:$A$2657,$A347,Data!$B$2:$B$2657,$B347,Data!$D$2:$D$2657,"Customer accounts, service &amp; sales")+SUMIFS(Data!$G$2:$G$2657,Data!$A$2:$A$2657,$A347,Data!$B$2:$B$2657,$B347,Data!$D$2:$D$2657,"Customer accounts, service &amp; sales"))/$D347,0)</f>
        <v>0.134586873054332</v>
      </c>
      <c r="I347" s="10" t="n">
        <f aca="false">IFERROR((SUMIFS(Data!$E$2:$E$2657,Data!$A$2:$A$2657,$A347,Data!$B$2:$B$2657,$B347,Data!$D$2:$D$2657,"A&amp;G and general")+SUMIFS(Data!$G$2:$G$2657,Data!$A$2:$A$2657,$A347,Data!$B$2:$B$2657,$B347,Data!$D$2:$D$2657,"A&amp;G and general"))/$D347,0)</f>
        <v>0.348760914998822</v>
      </c>
      <c r="J347" s="10" t="n">
        <f aca="false">IFERROR(SUMIFS(Data!$F$2:$F$2657,Data!$A$2:$A$2657,$A347,Data!$B$2:$B$2657,$B347)/$D347,0)</f>
        <v>0.282918785041103</v>
      </c>
      <c r="K347" s="11" t="n">
        <f aca="false">SUM(E347:I347)</f>
        <v>1</v>
      </c>
    </row>
    <row r="348" customFormat="false" ht="15" hidden="false" customHeight="false" outlineLevel="0" collapsed="false">
      <c r="A348" s="7" t="n">
        <v>2013</v>
      </c>
      <c r="B348" s="12" t="s">
        <v>73</v>
      </c>
      <c r="C348" s="12" t="s">
        <v>70</v>
      </c>
      <c r="D348" s="9" t="n">
        <f aca="false">SUMIFS(Data!$E$2:$E$2657,Data!$A$2:$A$2657,$A348,Data!$B$2:$B$2657,$B348)+SUMIFS(Data!$G$2:$G$2657,Data!$A$2:$A$2657,$A348,Data!$B$2:$B$2657,$B348)</f>
        <v>405.892003</v>
      </c>
      <c r="E348" s="10" t="n">
        <f aca="false">IFERROR((SUMIFS(Data!$E$2:$E$2657,Data!$A$2:$A$2657,$A348,Data!$B$2:$B$2657,$B348,Data!$D$2:$D$2657,"Transmission")+SUMIFS(Data!$G$2:$G$2657,Data!$A$2:$A$2657,$A348,Data!$B$2:$B$2657,$B348,Data!$D$2:$D$2657,"Transmission"))/$D348,0)</f>
        <v>0.16785308775842</v>
      </c>
      <c r="F348" s="10" t="n">
        <f aca="false">IFERROR((SUMIFS(Data!$E$2:$E$2657,Data!$A$2:$A$2657,$A348,Data!$B$2:$B$2657,$B348,Data!$D$2:$D$2657,"Distribution")+SUMIFS(Data!$G$2:$G$2657,Data!$A$2:$A$2657,$A348,Data!$B$2:$B$2657,$B348,Data!$D$2:$D$2657,"Distribution"))/$D348,0)</f>
        <v>0.370281170580244</v>
      </c>
      <c r="G348" s="10" t="n">
        <f aca="false">IFERROR((SUMIFS(Data!$E$2:$E$2657,Data!$A$2:$A$2657,$A348,Data!$B$2:$B$2657,$B348,Data!$D$2:$D$2657,"RTO/market operation")+SUMIFS(Data!$G$2:$G$2657,Data!$A$2:$A$2657,$A348,Data!$B$2:$B$2657,$B348,Data!$D$2:$D$2657,"RTO/market operation"))/$D348,0)</f>
        <v>0.0151782468106424</v>
      </c>
      <c r="H348" s="10" t="n">
        <f aca="false">IFERROR((SUMIFS(Data!$E$2:$E$2657,Data!$A$2:$A$2657,$A348,Data!$B$2:$B$2657,$B348,Data!$D$2:$D$2657,"Customer accounts, service &amp; sales")+SUMIFS(Data!$G$2:$G$2657,Data!$A$2:$A$2657,$A348,Data!$B$2:$B$2657,$B348,Data!$D$2:$D$2657,"Customer accounts, service &amp; sales"))/$D348,0)</f>
        <v>0.217925793921099</v>
      </c>
      <c r="I348" s="10" t="n">
        <f aca="false">IFERROR((SUMIFS(Data!$E$2:$E$2657,Data!$A$2:$A$2657,$A348,Data!$B$2:$B$2657,$B348,Data!$D$2:$D$2657,"A&amp;G and general")+SUMIFS(Data!$G$2:$G$2657,Data!$A$2:$A$2657,$A348,Data!$B$2:$B$2657,$B348,Data!$D$2:$D$2657,"A&amp;G and general"))/$D348,0)</f>
        <v>0.228761700929594</v>
      </c>
      <c r="J348" s="10" t="n">
        <f aca="false">IFERROR(SUMIFS(Data!$F$2:$F$2657,Data!$A$2:$A$2657,$A348,Data!$B$2:$B$2657,$B348)/$D348,0)</f>
        <v>0.0637831561318048</v>
      </c>
      <c r="K348" s="11" t="n">
        <f aca="false">SUM(E348:I348)</f>
        <v>1</v>
      </c>
    </row>
    <row r="349" customFormat="false" ht="15" hidden="false" customHeight="false" outlineLevel="0" collapsed="false">
      <c r="A349" s="7" t="n">
        <v>2013</v>
      </c>
      <c r="B349" s="12" t="s">
        <v>74</v>
      </c>
      <c r="C349" s="12" t="s">
        <v>65</v>
      </c>
      <c r="D349" s="9" t="n">
        <f aca="false">SUMIFS(Data!$E$2:$E$2657,Data!$A$2:$A$2657,$A349,Data!$B$2:$B$2657,$B349)+SUMIFS(Data!$G$2:$G$2657,Data!$A$2:$A$2657,$A349,Data!$B$2:$B$2657,$B349)</f>
        <v>402.517466</v>
      </c>
      <c r="E349" s="10" t="n">
        <f aca="false">IFERROR((SUMIFS(Data!$E$2:$E$2657,Data!$A$2:$A$2657,$A349,Data!$B$2:$B$2657,$B349,Data!$D$2:$D$2657,"Transmission")+SUMIFS(Data!$G$2:$G$2657,Data!$A$2:$A$2657,$A349,Data!$B$2:$B$2657,$B349,Data!$D$2:$D$2657,"Transmission"))/$D349,0)</f>
        <v>0.126731668334611</v>
      </c>
      <c r="F349" s="10" t="n">
        <f aca="false">IFERROR((SUMIFS(Data!$E$2:$E$2657,Data!$A$2:$A$2657,$A349,Data!$B$2:$B$2657,$B349,Data!$D$2:$D$2657,"Distribution")+SUMIFS(Data!$G$2:$G$2657,Data!$A$2:$A$2657,$A349,Data!$B$2:$B$2657,$B349,Data!$D$2:$D$2657,"Distribution"))/$D349,0)</f>
        <v>0.224826792981947</v>
      </c>
      <c r="G349" s="10" t="n">
        <f aca="false">IFERROR((SUMIFS(Data!$E$2:$E$2657,Data!$A$2:$A$2657,$A349,Data!$B$2:$B$2657,$B349,Data!$D$2:$D$2657,"RTO/market operation")+SUMIFS(Data!$G$2:$G$2657,Data!$A$2:$A$2657,$A349,Data!$B$2:$B$2657,$B349,Data!$D$2:$D$2657,"RTO/market operation"))/$D349,0)</f>
        <v>0.0147687081981183</v>
      </c>
      <c r="H349" s="10" t="n">
        <f aca="false">IFERROR((SUMIFS(Data!$E$2:$E$2657,Data!$A$2:$A$2657,$A349,Data!$B$2:$B$2657,$B349,Data!$D$2:$D$2657,"Customer accounts, service &amp; sales")+SUMIFS(Data!$G$2:$G$2657,Data!$A$2:$A$2657,$A349,Data!$B$2:$B$2657,$B349,Data!$D$2:$D$2657,"Customer accounts, service &amp; sales"))/$D349,0)</f>
        <v>0.0561861581430109</v>
      </c>
      <c r="I349" s="10" t="n">
        <f aca="false">IFERROR((SUMIFS(Data!$E$2:$E$2657,Data!$A$2:$A$2657,$A349,Data!$B$2:$B$2657,$B349,Data!$D$2:$D$2657,"A&amp;G and general")+SUMIFS(Data!$G$2:$G$2657,Data!$A$2:$A$2657,$A349,Data!$B$2:$B$2657,$B349,Data!$D$2:$D$2657,"A&amp;G and general"))/$D349,0)</f>
        <v>0.577486672342313</v>
      </c>
      <c r="J349" s="10" t="n">
        <f aca="false">IFERROR(SUMIFS(Data!$F$2:$F$2657,Data!$A$2:$A$2657,$A349,Data!$B$2:$B$2657,$B349)/$D349,0)</f>
        <v>0</v>
      </c>
      <c r="K349" s="11" t="n">
        <f aca="false">SUM(E349:I349)</f>
        <v>1</v>
      </c>
    </row>
    <row r="350" customFormat="false" ht="15" hidden="false" customHeight="false" outlineLevel="0" collapsed="false">
      <c r="A350" s="7" t="n">
        <v>2013</v>
      </c>
      <c r="B350" s="12" t="s">
        <v>75</v>
      </c>
      <c r="C350" s="12" t="s">
        <v>57</v>
      </c>
      <c r="D350" s="9" t="n">
        <f aca="false">SUMIFS(Data!$E$2:$E$2657,Data!$A$2:$A$2657,$A350,Data!$B$2:$B$2657,$B350)+SUMIFS(Data!$G$2:$G$2657,Data!$A$2:$A$2657,$A350,Data!$B$2:$B$2657,$B350)</f>
        <v>959.725813</v>
      </c>
      <c r="E350" s="10" t="n">
        <f aca="false">IFERROR((SUMIFS(Data!$E$2:$E$2657,Data!$A$2:$A$2657,$A350,Data!$B$2:$B$2657,$B350,Data!$D$2:$D$2657,"Transmission")+SUMIFS(Data!$G$2:$G$2657,Data!$A$2:$A$2657,$A350,Data!$B$2:$B$2657,$B350,Data!$D$2:$D$2657,"Transmission"))/$D350,0)</f>
        <v>0.298538047137011</v>
      </c>
      <c r="F350" s="10" t="n">
        <f aca="false">IFERROR((SUMIFS(Data!$E$2:$E$2657,Data!$A$2:$A$2657,$A350,Data!$B$2:$B$2657,$B350,Data!$D$2:$D$2657,"Distribution")+SUMIFS(Data!$G$2:$G$2657,Data!$A$2:$A$2657,$A350,Data!$B$2:$B$2657,$B350,Data!$D$2:$D$2657,"Distribution"))/$D350,0)</f>
        <v>0.224062221821265</v>
      </c>
      <c r="G350" s="10" t="n">
        <f aca="false">IFERROR((SUMIFS(Data!$E$2:$E$2657,Data!$A$2:$A$2657,$A350,Data!$B$2:$B$2657,$B350,Data!$D$2:$D$2657,"RTO/market operation")+SUMIFS(Data!$G$2:$G$2657,Data!$A$2:$A$2657,$A350,Data!$B$2:$B$2657,$B350,Data!$D$2:$D$2657,"RTO/market operation"))/$D350,0)</f>
        <v>0.0113114244224251</v>
      </c>
      <c r="H350" s="10" t="n">
        <f aca="false">IFERROR((SUMIFS(Data!$E$2:$E$2657,Data!$A$2:$A$2657,$A350,Data!$B$2:$B$2657,$B350,Data!$D$2:$D$2657,"Customer accounts, service &amp; sales")+SUMIFS(Data!$G$2:$G$2657,Data!$A$2:$A$2657,$A350,Data!$B$2:$B$2657,$B350,Data!$D$2:$D$2657,"Customer accounts, service &amp; sales"))/$D350,0)</f>
        <v>0.145807324450905</v>
      </c>
      <c r="I350" s="10" t="n">
        <f aca="false">IFERROR((SUMIFS(Data!$E$2:$E$2657,Data!$A$2:$A$2657,$A350,Data!$B$2:$B$2657,$B350,Data!$D$2:$D$2657,"A&amp;G and general")+SUMIFS(Data!$G$2:$G$2657,Data!$A$2:$A$2657,$A350,Data!$B$2:$B$2657,$B350,Data!$D$2:$D$2657,"A&amp;G and general"))/$D350,0)</f>
        <v>0.320280982168394</v>
      </c>
      <c r="J350" s="10" t="n">
        <f aca="false">IFERROR(SUMIFS(Data!$F$2:$F$2657,Data!$A$2:$A$2657,$A350,Data!$B$2:$B$2657,$B350)/$D350,0)</f>
        <v>0.130408378418806</v>
      </c>
      <c r="K350" s="11" t="n">
        <f aca="false">SUM(E350:I350)</f>
        <v>1</v>
      </c>
    </row>
    <row r="351" customFormat="false" ht="15" hidden="false" customHeight="false" outlineLevel="0" collapsed="false">
      <c r="A351" s="7" t="n">
        <v>2013</v>
      </c>
      <c r="B351" s="12" t="s">
        <v>76</v>
      </c>
      <c r="C351" s="12" t="s">
        <v>72</v>
      </c>
      <c r="D351" s="9" t="n">
        <f aca="false">SUMIFS(Data!$E$2:$E$2657,Data!$A$2:$A$2657,$A351,Data!$B$2:$B$2657,$B351)+SUMIFS(Data!$G$2:$G$2657,Data!$A$2:$A$2657,$A351,Data!$B$2:$B$2657,$B351)</f>
        <v>186.511679</v>
      </c>
      <c r="E351" s="10" t="n">
        <f aca="false">IFERROR((SUMIFS(Data!$E$2:$E$2657,Data!$A$2:$A$2657,$A351,Data!$B$2:$B$2657,$B351,Data!$D$2:$D$2657,"Transmission")+SUMIFS(Data!$G$2:$G$2657,Data!$A$2:$A$2657,$A351,Data!$B$2:$B$2657,$B351,Data!$D$2:$D$2657,"Transmission"))/$D351,0)</f>
        <v>0.348607140038668</v>
      </c>
      <c r="F351" s="10" t="n">
        <f aca="false">IFERROR((SUMIFS(Data!$E$2:$E$2657,Data!$A$2:$A$2657,$A351,Data!$B$2:$B$2657,$B351,Data!$D$2:$D$2657,"Distribution")+SUMIFS(Data!$G$2:$G$2657,Data!$A$2:$A$2657,$A351,Data!$B$2:$B$2657,$B351,Data!$D$2:$D$2657,"Distribution"))/$D351,0)</f>
        <v>0.274174273022334</v>
      </c>
      <c r="G351" s="10" t="n">
        <f aca="false">IFERROR((SUMIFS(Data!$E$2:$E$2657,Data!$A$2:$A$2657,$A351,Data!$B$2:$B$2657,$B351,Data!$D$2:$D$2657,"RTO/market operation")+SUMIFS(Data!$G$2:$G$2657,Data!$A$2:$A$2657,$A351,Data!$B$2:$B$2657,$B351,Data!$D$2:$D$2657,"RTO/market operation"))/$D351,0)</f>
        <v>0</v>
      </c>
      <c r="H351" s="10" t="n">
        <f aca="false">IFERROR((SUMIFS(Data!$E$2:$E$2657,Data!$A$2:$A$2657,$A351,Data!$B$2:$B$2657,$B351,Data!$D$2:$D$2657,"Customer accounts, service &amp; sales")+SUMIFS(Data!$G$2:$G$2657,Data!$A$2:$A$2657,$A351,Data!$B$2:$B$2657,$B351,Data!$D$2:$D$2657,"Customer accounts, service &amp; sales"))/$D351,0)</f>
        <v>0.110811446826341</v>
      </c>
      <c r="I351" s="10" t="n">
        <f aca="false">IFERROR((SUMIFS(Data!$E$2:$E$2657,Data!$A$2:$A$2657,$A351,Data!$B$2:$B$2657,$B351,Data!$D$2:$D$2657,"A&amp;G and general")+SUMIFS(Data!$G$2:$G$2657,Data!$A$2:$A$2657,$A351,Data!$B$2:$B$2657,$B351,Data!$D$2:$D$2657,"A&amp;G and general"))/$D351,0)</f>
        <v>0.266407140112658</v>
      </c>
      <c r="J351" s="10" t="n">
        <f aca="false">IFERROR(SUMIFS(Data!$F$2:$F$2657,Data!$A$2:$A$2657,$A351,Data!$B$2:$B$2657,$B351)/$D351,0)</f>
        <v>0</v>
      </c>
      <c r="K351" s="11" t="n">
        <f aca="false">SUM(E351:I351)</f>
        <v>1</v>
      </c>
    </row>
    <row r="352" customFormat="false" ht="15" hidden="false" customHeight="false" outlineLevel="0" collapsed="false">
      <c r="A352" s="7" t="n">
        <v>2013</v>
      </c>
      <c r="B352" s="12" t="s">
        <v>77</v>
      </c>
      <c r="C352" s="12" t="s">
        <v>57</v>
      </c>
      <c r="D352" s="9" t="n">
        <f aca="false">SUMIFS(Data!$E$2:$E$2657,Data!$A$2:$A$2657,$A352,Data!$B$2:$B$2657,$B352)+SUMIFS(Data!$G$2:$G$2657,Data!$A$2:$A$2657,$A352,Data!$B$2:$B$2657,$B352)</f>
        <v>119.360351</v>
      </c>
      <c r="E352" s="10" t="n">
        <f aca="false">IFERROR((SUMIFS(Data!$E$2:$E$2657,Data!$A$2:$A$2657,$A352,Data!$B$2:$B$2657,$B352,Data!$D$2:$D$2657,"Transmission")+SUMIFS(Data!$G$2:$G$2657,Data!$A$2:$A$2657,$A352,Data!$B$2:$B$2657,$B352,Data!$D$2:$D$2657,"Transmission"))/$D352,0)</f>
        <v>0.205742064213601</v>
      </c>
      <c r="F352" s="10" t="n">
        <f aca="false">IFERROR((SUMIFS(Data!$E$2:$E$2657,Data!$A$2:$A$2657,$A352,Data!$B$2:$B$2657,$B352,Data!$D$2:$D$2657,"Distribution")+SUMIFS(Data!$G$2:$G$2657,Data!$A$2:$A$2657,$A352,Data!$B$2:$B$2657,$B352,Data!$D$2:$D$2657,"Distribution"))/$D352,0)</f>
        <v>0.231580527104851</v>
      </c>
      <c r="G352" s="10" t="n">
        <f aca="false">IFERROR((SUMIFS(Data!$E$2:$E$2657,Data!$A$2:$A$2657,$A352,Data!$B$2:$B$2657,$B352,Data!$D$2:$D$2657,"RTO/market operation")+SUMIFS(Data!$G$2:$G$2657,Data!$A$2:$A$2657,$A352,Data!$B$2:$B$2657,$B352,Data!$D$2:$D$2657,"RTO/market operation"))/$D352,0)</f>
        <v>0.0147412937818857</v>
      </c>
      <c r="H352" s="10" t="n">
        <f aca="false">IFERROR((SUMIFS(Data!$E$2:$E$2657,Data!$A$2:$A$2657,$A352,Data!$B$2:$B$2657,$B352,Data!$D$2:$D$2657,"Customer accounts, service &amp; sales")+SUMIFS(Data!$G$2:$G$2657,Data!$A$2:$A$2657,$A352,Data!$B$2:$B$2657,$B352,Data!$D$2:$D$2657,"Customer accounts, service &amp; sales"))/$D352,0)</f>
        <v>0.185801883240105</v>
      </c>
      <c r="I352" s="10" t="n">
        <f aca="false">IFERROR((SUMIFS(Data!$E$2:$E$2657,Data!$A$2:$A$2657,$A352,Data!$B$2:$B$2657,$B352,Data!$D$2:$D$2657,"A&amp;G and general")+SUMIFS(Data!$G$2:$G$2657,Data!$A$2:$A$2657,$A352,Data!$B$2:$B$2657,$B352,Data!$D$2:$D$2657,"A&amp;G and general"))/$D352,0)</f>
        <v>0.362134231659557</v>
      </c>
      <c r="J352" s="10" t="n">
        <f aca="false">IFERROR(SUMIFS(Data!$F$2:$F$2657,Data!$A$2:$A$2657,$A352,Data!$B$2:$B$2657,$B352)/$D352,0)</f>
        <v>0.0828794395887794</v>
      </c>
      <c r="K352" s="11" t="n">
        <f aca="false">SUM(E352:I352)</f>
        <v>1</v>
      </c>
    </row>
    <row r="353" customFormat="false" ht="15" hidden="false" customHeight="false" outlineLevel="0" collapsed="false">
      <c r="A353" s="7" t="n">
        <v>2013</v>
      </c>
      <c r="B353" s="12" t="s">
        <v>78</v>
      </c>
      <c r="C353" s="12" t="s">
        <v>65</v>
      </c>
      <c r="D353" s="9" t="n">
        <f aca="false">SUMIFS(Data!$E$2:$E$2657,Data!$A$2:$A$2657,$A353,Data!$B$2:$B$2657,$B353)+SUMIFS(Data!$G$2:$G$2657,Data!$A$2:$A$2657,$A353,Data!$B$2:$B$2657,$B353)</f>
        <v>116.959899</v>
      </c>
      <c r="E353" s="10" t="n">
        <f aca="false">IFERROR((SUMIFS(Data!$E$2:$E$2657,Data!$A$2:$A$2657,$A353,Data!$B$2:$B$2657,$B353,Data!$D$2:$D$2657,"Transmission")+SUMIFS(Data!$G$2:$G$2657,Data!$A$2:$A$2657,$A353,Data!$B$2:$B$2657,$B353,Data!$D$2:$D$2657,"Transmission"))/$D353,0)</f>
        <v>0.193295772254386</v>
      </c>
      <c r="F353" s="10" t="n">
        <f aca="false">IFERROR((SUMIFS(Data!$E$2:$E$2657,Data!$A$2:$A$2657,$A353,Data!$B$2:$B$2657,$B353,Data!$D$2:$D$2657,"Distribution")+SUMIFS(Data!$G$2:$G$2657,Data!$A$2:$A$2657,$A353,Data!$B$2:$B$2657,$B353,Data!$D$2:$D$2657,"Distribution"))/$D353,0)</f>
        <v>0.274318123342429</v>
      </c>
      <c r="G353" s="10" t="n">
        <f aca="false">IFERROR((SUMIFS(Data!$E$2:$E$2657,Data!$A$2:$A$2657,$A353,Data!$B$2:$B$2657,$B353,Data!$D$2:$D$2657,"RTO/market operation")+SUMIFS(Data!$G$2:$G$2657,Data!$A$2:$A$2657,$A353,Data!$B$2:$B$2657,$B353,Data!$D$2:$D$2657,"RTO/market operation"))/$D353,0)</f>
        <v>0</v>
      </c>
      <c r="H353" s="10" t="n">
        <f aca="false">IFERROR((SUMIFS(Data!$E$2:$E$2657,Data!$A$2:$A$2657,$A353,Data!$B$2:$B$2657,$B353,Data!$D$2:$D$2657,"Customer accounts, service &amp; sales")+SUMIFS(Data!$G$2:$G$2657,Data!$A$2:$A$2657,$A353,Data!$B$2:$B$2657,$B353,Data!$D$2:$D$2657,"Customer accounts, service &amp; sales"))/$D353,0)</f>
        <v>0.173604912227224</v>
      </c>
      <c r="I353" s="10" t="n">
        <f aca="false">IFERROR((SUMIFS(Data!$E$2:$E$2657,Data!$A$2:$A$2657,$A353,Data!$B$2:$B$2657,$B353,Data!$D$2:$D$2657,"A&amp;G and general")+SUMIFS(Data!$G$2:$G$2657,Data!$A$2:$A$2657,$A353,Data!$B$2:$B$2657,$B353,Data!$D$2:$D$2657,"A&amp;G and general"))/$D353,0)</f>
        <v>0.358781192175961</v>
      </c>
      <c r="J353" s="10" t="n">
        <f aca="false">IFERROR(SUMIFS(Data!$F$2:$F$2657,Data!$A$2:$A$2657,$A353,Data!$B$2:$B$2657,$B353)/$D353,0)</f>
        <v>0</v>
      </c>
      <c r="K353" s="11" t="n">
        <f aca="false">SUM(E353:I353)</f>
        <v>1</v>
      </c>
    </row>
    <row r="354" customFormat="false" ht="15" hidden="false" customHeight="false" outlineLevel="0" collapsed="false">
      <c r="A354" s="7" t="n">
        <v>2013</v>
      </c>
      <c r="B354" s="12" t="s">
        <v>79</v>
      </c>
      <c r="C354" s="12" t="s">
        <v>72</v>
      </c>
      <c r="D354" s="9" t="n">
        <f aca="false">SUMIFS(Data!$E$2:$E$2657,Data!$A$2:$A$2657,$A354,Data!$B$2:$B$2657,$B354)+SUMIFS(Data!$G$2:$G$2657,Data!$A$2:$A$2657,$A354,Data!$B$2:$B$2657,$B354)</f>
        <v>786.626567</v>
      </c>
      <c r="E354" s="10" t="n">
        <f aca="false">IFERROR((SUMIFS(Data!$E$2:$E$2657,Data!$A$2:$A$2657,$A354,Data!$B$2:$B$2657,$B354,Data!$D$2:$D$2657,"Transmission")+SUMIFS(Data!$G$2:$G$2657,Data!$A$2:$A$2657,$A354,Data!$B$2:$B$2657,$B354,Data!$D$2:$D$2657,"Transmission"))/$D354,0)</f>
        <v>0.334959565381676</v>
      </c>
      <c r="F354" s="10" t="n">
        <f aca="false">IFERROR((SUMIFS(Data!$E$2:$E$2657,Data!$A$2:$A$2657,$A354,Data!$B$2:$B$2657,$B354,Data!$D$2:$D$2657,"Distribution")+SUMIFS(Data!$G$2:$G$2657,Data!$A$2:$A$2657,$A354,Data!$B$2:$B$2657,$B354,Data!$D$2:$D$2657,"Distribution"))/$D354,0)</f>
        <v>0.242112182565021</v>
      </c>
      <c r="G354" s="10" t="n">
        <f aca="false">IFERROR((SUMIFS(Data!$E$2:$E$2657,Data!$A$2:$A$2657,$A354,Data!$B$2:$B$2657,$B354,Data!$D$2:$D$2657,"RTO/market operation")+SUMIFS(Data!$G$2:$G$2657,Data!$A$2:$A$2657,$A354,Data!$B$2:$B$2657,$B354,Data!$D$2:$D$2657,"RTO/market operation"))/$D354,0)</f>
        <v>0.0063344822168967</v>
      </c>
      <c r="H354" s="10" t="n">
        <f aca="false">IFERROR((SUMIFS(Data!$E$2:$E$2657,Data!$A$2:$A$2657,$A354,Data!$B$2:$B$2657,$B354,Data!$D$2:$D$2657,"Customer accounts, service &amp; sales")+SUMIFS(Data!$G$2:$G$2657,Data!$A$2:$A$2657,$A354,Data!$B$2:$B$2657,$B354,Data!$D$2:$D$2657,"Customer accounts, service &amp; sales"))/$D354,0)</f>
        <v>0.135449010330718</v>
      </c>
      <c r="I354" s="10" t="n">
        <f aca="false">IFERROR((SUMIFS(Data!$E$2:$E$2657,Data!$A$2:$A$2657,$A354,Data!$B$2:$B$2657,$B354,Data!$D$2:$D$2657,"A&amp;G and general")+SUMIFS(Data!$G$2:$G$2657,Data!$A$2:$A$2657,$A354,Data!$B$2:$B$2657,$B354,Data!$D$2:$D$2657,"A&amp;G and general"))/$D354,0)</f>
        <v>0.281144759505688</v>
      </c>
      <c r="J354" s="10" t="n">
        <f aca="false">IFERROR(SUMIFS(Data!$F$2:$F$2657,Data!$A$2:$A$2657,$A354,Data!$B$2:$B$2657,$B354)/$D354,0)</f>
        <v>0.329369785955882</v>
      </c>
      <c r="K354" s="11" t="n">
        <f aca="false">SUM(E354:I354)</f>
        <v>1</v>
      </c>
    </row>
    <row r="355" customFormat="false" ht="15" hidden="false" customHeight="false" outlineLevel="0" collapsed="false">
      <c r="A355" s="7" t="n">
        <v>2013</v>
      </c>
      <c r="B355" s="12" t="s">
        <v>80</v>
      </c>
      <c r="C355" s="12" t="s">
        <v>72</v>
      </c>
      <c r="D355" s="9" t="n">
        <f aca="false">SUMIFS(Data!$E$2:$E$2657,Data!$A$2:$A$2657,$A355,Data!$B$2:$B$2657,$B355)+SUMIFS(Data!$G$2:$G$2657,Data!$A$2:$A$2657,$A355,Data!$B$2:$B$2657,$B355)</f>
        <v>328.787501</v>
      </c>
      <c r="E355" s="10" t="n">
        <f aca="false">IFERROR((SUMIFS(Data!$E$2:$E$2657,Data!$A$2:$A$2657,$A355,Data!$B$2:$B$2657,$B355,Data!$D$2:$D$2657,"Transmission")+SUMIFS(Data!$G$2:$G$2657,Data!$A$2:$A$2657,$A355,Data!$B$2:$B$2657,$B355,Data!$D$2:$D$2657,"Transmission"))/$D355,0)</f>
        <v>0.362682987149198</v>
      </c>
      <c r="F355" s="10" t="n">
        <f aca="false">IFERROR((SUMIFS(Data!$E$2:$E$2657,Data!$A$2:$A$2657,$A355,Data!$B$2:$B$2657,$B355,Data!$D$2:$D$2657,"Distribution")+SUMIFS(Data!$G$2:$G$2657,Data!$A$2:$A$2657,$A355,Data!$B$2:$B$2657,$B355,Data!$D$2:$D$2657,"Distribution"))/$D355,0)</f>
        <v>0.225828511650143</v>
      </c>
      <c r="G355" s="10" t="n">
        <f aca="false">IFERROR((SUMIFS(Data!$E$2:$E$2657,Data!$A$2:$A$2657,$A355,Data!$B$2:$B$2657,$B355,Data!$D$2:$D$2657,"RTO/market operation")+SUMIFS(Data!$G$2:$G$2657,Data!$A$2:$A$2657,$A355,Data!$B$2:$B$2657,$B355,Data!$D$2:$D$2657,"RTO/market operation"))/$D355,0)</f>
        <v>0.00768239361994482</v>
      </c>
      <c r="H355" s="10" t="n">
        <f aca="false">IFERROR((SUMIFS(Data!$E$2:$E$2657,Data!$A$2:$A$2657,$A355,Data!$B$2:$B$2657,$B355,Data!$D$2:$D$2657,"Customer accounts, service &amp; sales")+SUMIFS(Data!$G$2:$G$2657,Data!$A$2:$A$2657,$A355,Data!$B$2:$B$2657,$B355,Data!$D$2:$D$2657,"Customer accounts, service &amp; sales"))/$D355,0)</f>
        <v>0.0936095590811404</v>
      </c>
      <c r="I355" s="10" t="n">
        <f aca="false">IFERROR((SUMIFS(Data!$E$2:$E$2657,Data!$A$2:$A$2657,$A355,Data!$B$2:$B$2657,$B355,Data!$D$2:$D$2657,"A&amp;G and general")+SUMIFS(Data!$G$2:$G$2657,Data!$A$2:$A$2657,$A355,Data!$B$2:$B$2657,$B355,Data!$D$2:$D$2657,"A&amp;G and general"))/$D355,0)</f>
        <v>0.310196548499573</v>
      </c>
      <c r="J355" s="10" t="n">
        <f aca="false">IFERROR(SUMIFS(Data!$F$2:$F$2657,Data!$A$2:$A$2657,$A355,Data!$B$2:$B$2657,$B355)/$D355,0)</f>
        <v>0.355479872697472</v>
      </c>
      <c r="K355" s="11" t="n">
        <f aca="false">SUM(E355:I355)</f>
        <v>1</v>
      </c>
    </row>
    <row r="356" customFormat="false" ht="15" hidden="false" customHeight="false" outlineLevel="0" collapsed="false">
      <c r="A356" s="7" t="n">
        <v>2013</v>
      </c>
      <c r="B356" s="12" t="s">
        <v>81</v>
      </c>
      <c r="C356" s="12" t="s">
        <v>72</v>
      </c>
      <c r="D356" s="9" t="n">
        <f aca="false">SUMIFS(Data!$E$2:$E$2657,Data!$A$2:$A$2657,$A356,Data!$B$2:$B$2657,$B356)+SUMIFS(Data!$G$2:$G$2657,Data!$A$2:$A$2657,$A356,Data!$B$2:$B$2657,$B356)</f>
        <v>332.510597</v>
      </c>
      <c r="E356" s="10" t="n">
        <f aca="false">IFERROR((SUMIFS(Data!$E$2:$E$2657,Data!$A$2:$A$2657,$A356,Data!$B$2:$B$2657,$B356,Data!$D$2:$D$2657,"Transmission")+SUMIFS(Data!$G$2:$G$2657,Data!$A$2:$A$2657,$A356,Data!$B$2:$B$2657,$B356,Data!$D$2:$D$2657,"Transmission"))/$D356,0)</f>
        <v>0.361210280465137</v>
      </c>
      <c r="F356" s="10" t="n">
        <f aca="false">IFERROR((SUMIFS(Data!$E$2:$E$2657,Data!$A$2:$A$2657,$A356,Data!$B$2:$B$2657,$B356,Data!$D$2:$D$2657,"Distribution")+SUMIFS(Data!$G$2:$G$2657,Data!$A$2:$A$2657,$A356,Data!$B$2:$B$2657,$B356,Data!$D$2:$D$2657,"Distribution"))/$D356,0)</f>
        <v>0.203157624477153</v>
      </c>
      <c r="G356" s="10" t="n">
        <f aca="false">IFERROR((SUMIFS(Data!$E$2:$E$2657,Data!$A$2:$A$2657,$A356,Data!$B$2:$B$2657,$B356,Data!$D$2:$D$2657,"RTO/market operation")+SUMIFS(Data!$G$2:$G$2657,Data!$A$2:$A$2657,$A356,Data!$B$2:$B$2657,$B356,Data!$D$2:$D$2657,"RTO/market operation"))/$D356,0)</f>
        <v>0.00724803666933959</v>
      </c>
      <c r="H356" s="10" t="n">
        <f aca="false">IFERROR((SUMIFS(Data!$E$2:$E$2657,Data!$A$2:$A$2657,$A356,Data!$B$2:$B$2657,$B356,Data!$D$2:$D$2657,"Customer accounts, service &amp; sales")+SUMIFS(Data!$G$2:$G$2657,Data!$A$2:$A$2657,$A356,Data!$B$2:$B$2657,$B356,Data!$D$2:$D$2657,"Customer accounts, service &amp; sales"))/$D356,0)</f>
        <v>0.123286642199857</v>
      </c>
      <c r="I356" s="10" t="n">
        <f aca="false">IFERROR((SUMIFS(Data!$E$2:$E$2657,Data!$A$2:$A$2657,$A356,Data!$B$2:$B$2657,$B356,Data!$D$2:$D$2657,"A&amp;G and general")+SUMIFS(Data!$G$2:$G$2657,Data!$A$2:$A$2657,$A356,Data!$B$2:$B$2657,$B356,Data!$D$2:$D$2657,"A&amp;G and general"))/$D356,0)</f>
        <v>0.305097416188513</v>
      </c>
      <c r="J356" s="10" t="n">
        <f aca="false">IFERROR(SUMIFS(Data!$F$2:$F$2657,Data!$A$2:$A$2657,$A356,Data!$B$2:$B$2657,$B356)/$D356,0)</f>
        <v>0.356004055413608</v>
      </c>
      <c r="K356" s="11" t="n">
        <f aca="false">SUM(E356:I356)</f>
        <v>1</v>
      </c>
    </row>
    <row r="357" customFormat="false" ht="15" hidden="false" customHeight="false" outlineLevel="0" collapsed="false">
      <c r="A357" s="7" t="n">
        <v>2014</v>
      </c>
      <c r="B357" s="12" t="s">
        <v>56</v>
      </c>
      <c r="C357" s="12" t="s">
        <v>57</v>
      </c>
      <c r="D357" s="9" t="n">
        <f aca="false">SUMIFS(Data!$E$2:$E$2657,Data!$A$2:$A$2657,$A357,Data!$B$2:$B$2657,$B357)+SUMIFS(Data!$G$2:$G$2657,Data!$A$2:$A$2657,$A357,Data!$B$2:$B$2657,$B357)</f>
        <v>231.090217</v>
      </c>
      <c r="E357" s="10" t="n">
        <f aca="false">IFERROR((SUMIFS(Data!$E$2:$E$2657,Data!$A$2:$A$2657,$A357,Data!$B$2:$B$2657,$B357,Data!$D$2:$D$2657,"Transmission")+SUMIFS(Data!$G$2:$G$2657,Data!$A$2:$A$2657,$A357,Data!$B$2:$B$2657,$B357,Data!$D$2:$D$2657,"Transmission"))/$D357,0)</f>
        <v>0.341488302812923</v>
      </c>
      <c r="F357" s="10" t="n">
        <f aca="false">IFERROR((SUMIFS(Data!$E$2:$E$2657,Data!$A$2:$A$2657,$A357,Data!$B$2:$B$2657,$B357,Data!$D$2:$D$2657,"Distribution")+SUMIFS(Data!$G$2:$G$2657,Data!$A$2:$A$2657,$A357,Data!$B$2:$B$2657,$B357,Data!$D$2:$D$2657,"Distribution"))/$D357,0)</f>
        <v>0.1806259544081</v>
      </c>
      <c r="G357" s="10" t="n">
        <f aca="false">IFERROR((SUMIFS(Data!$E$2:$E$2657,Data!$A$2:$A$2657,$A357,Data!$B$2:$B$2657,$B357,Data!$D$2:$D$2657,"RTO/market operation")+SUMIFS(Data!$G$2:$G$2657,Data!$A$2:$A$2657,$A357,Data!$B$2:$B$2657,$B357,Data!$D$2:$D$2657,"RTO/market operation"))/$D357,0)</f>
        <v>0</v>
      </c>
      <c r="H357" s="10" t="n">
        <f aca="false">IFERROR((SUMIFS(Data!$E$2:$E$2657,Data!$A$2:$A$2657,$A357,Data!$B$2:$B$2657,$B357,Data!$D$2:$D$2657,"Customer accounts, service &amp; sales")+SUMIFS(Data!$G$2:$G$2657,Data!$A$2:$A$2657,$A357,Data!$B$2:$B$2657,$B357,Data!$D$2:$D$2657,"Customer accounts, service &amp; sales"))/$D357,0)</f>
        <v>0.0757906034594273</v>
      </c>
      <c r="I357" s="10" t="n">
        <f aca="false">IFERROR((SUMIFS(Data!$E$2:$E$2657,Data!$A$2:$A$2657,$A357,Data!$B$2:$B$2657,$B357,Data!$D$2:$D$2657,"A&amp;G and general")+SUMIFS(Data!$G$2:$G$2657,Data!$A$2:$A$2657,$A357,Data!$B$2:$B$2657,$B357,Data!$D$2:$D$2657,"A&amp;G and general"))/$D357,0)</f>
        <v>0.40209513931955</v>
      </c>
      <c r="J357" s="10" t="n">
        <f aca="false">IFERROR(SUMIFS(Data!$F$2:$F$2657,Data!$A$2:$A$2657,$A357,Data!$B$2:$B$2657,$B357)/$D357,0)</f>
        <v>0.18500295060089</v>
      </c>
      <c r="K357" s="11" t="n">
        <f aca="false">SUM(E357:I357)</f>
        <v>1</v>
      </c>
    </row>
    <row r="358" customFormat="false" ht="15" hidden="false" customHeight="false" outlineLevel="0" collapsed="false">
      <c r="A358" s="7" t="n">
        <v>2014</v>
      </c>
      <c r="B358" s="12" t="s">
        <v>58</v>
      </c>
      <c r="C358" s="12" t="s">
        <v>59</v>
      </c>
      <c r="D358" s="9" t="n">
        <f aca="false">SUMIFS(Data!$E$2:$E$2657,Data!$A$2:$A$2657,$A358,Data!$B$2:$B$2657,$B358)+SUMIFS(Data!$G$2:$G$2657,Data!$A$2:$A$2657,$A358,Data!$B$2:$B$2657,$B358)</f>
        <v>784.107828</v>
      </c>
      <c r="E358" s="10" t="n">
        <f aca="false">IFERROR((SUMIFS(Data!$E$2:$E$2657,Data!$A$2:$A$2657,$A358,Data!$B$2:$B$2657,$B358,Data!$D$2:$D$2657,"Transmission")+SUMIFS(Data!$G$2:$G$2657,Data!$A$2:$A$2657,$A358,Data!$B$2:$B$2657,$B358,Data!$D$2:$D$2657,"Transmission"))/$D358,0)</f>
        <v>0.0897829819905841</v>
      </c>
      <c r="F358" s="10" t="n">
        <f aca="false">IFERROR((SUMIFS(Data!$E$2:$E$2657,Data!$A$2:$A$2657,$A358,Data!$B$2:$B$2657,$B358,Data!$D$2:$D$2657,"Distribution")+SUMIFS(Data!$G$2:$G$2657,Data!$A$2:$A$2657,$A358,Data!$B$2:$B$2657,$B358,Data!$D$2:$D$2657,"Distribution"))/$D358,0)</f>
        <v>0.51252267436871</v>
      </c>
      <c r="G358" s="10" t="n">
        <f aca="false">IFERROR((SUMIFS(Data!$E$2:$E$2657,Data!$A$2:$A$2657,$A358,Data!$B$2:$B$2657,$B358,Data!$D$2:$D$2657,"RTO/market operation")+SUMIFS(Data!$G$2:$G$2657,Data!$A$2:$A$2657,$A358,Data!$B$2:$B$2657,$B358,Data!$D$2:$D$2657,"RTO/market operation"))/$D358,0)</f>
        <v>0.00107792700164192</v>
      </c>
      <c r="H358" s="10" t="n">
        <f aca="false">IFERROR((SUMIFS(Data!$E$2:$E$2657,Data!$A$2:$A$2657,$A358,Data!$B$2:$B$2657,$B358,Data!$D$2:$D$2657,"Customer accounts, service &amp; sales")+SUMIFS(Data!$G$2:$G$2657,Data!$A$2:$A$2657,$A358,Data!$B$2:$B$2657,$B358,Data!$D$2:$D$2657,"Customer accounts, service &amp; sales"))/$D358,0)</f>
        <v>0.175374324920016</v>
      </c>
      <c r="I358" s="10" t="n">
        <f aca="false">IFERROR((SUMIFS(Data!$E$2:$E$2657,Data!$A$2:$A$2657,$A358,Data!$B$2:$B$2657,$B358,Data!$D$2:$D$2657,"A&amp;G and general")+SUMIFS(Data!$G$2:$G$2657,Data!$A$2:$A$2657,$A358,Data!$B$2:$B$2657,$B358,Data!$D$2:$D$2657,"A&amp;G and general"))/$D358,0)</f>
        <v>0.221242091719049</v>
      </c>
      <c r="J358" s="10" t="n">
        <f aca="false">IFERROR(SUMIFS(Data!$F$2:$F$2657,Data!$A$2:$A$2657,$A358,Data!$B$2:$B$2657,$B358)/$D358,0)</f>
        <v>0.0191626182821376</v>
      </c>
      <c r="K358" s="11" t="n">
        <f aca="false">SUM(E358:I358)</f>
        <v>1</v>
      </c>
    </row>
    <row r="359" customFormat="false" ht="15" hidden="false" customHeight="false" outlineLevel="0" collapsed="false">
      <c r="A359" s="7" t="n">
        <v>2014</v>
      </c>
      <c r="B359" s="12" t="s">
        <v>60</v>
      </c>
      <c r="C359" s="12" t="s">
        <v>59</v>
      </c>
      <c r="D359" s="9" t="n">
        <f aca="false">SUMIFS(Data!$E$2:$E$2657,Data!$A$2:$A$2657,$A359,Data!$B$2:$B$2657,$B359)+SUMIFS(Data!$G$2:$G$2657,Data!$A$2:$A$2657,$A359,Data!$B$2:$B$2657,$B359)</f>
        <v>2223.17093</v>
      </c>
      <c r="E359" s="10" t="n">
        <f aca="false">IFERROR((SUMIFS(Data!$E$2:$E$2657,Data!$A$2:$A$2657,$A359,Data!$B$2:$B$2657,$B359,Data!$D$2:$D$2657,"Transmission")+SUMIFS(Data!$G$2:$G$2657,Data!$A$2:$A$2657,$A359,Data!$B$2:$B$2657,$B359,Data!$D$2:$D$2657,"Transmission"))/$D359,0)</f>
        <v>0.146660948827718</v>
      </c>
      <c r="F359" s="10" t="n">
        <f aca="false">IFERROR((SUMIFS(Data!$E$2:$E$2657,Data!$A$2:$A$2657,$A359,Data!$B$2:$B$2657,$B359,Data!$D$2:$D$2657,"Distribution")+SUMIFS(Data!$G$2:$G$2657,Data!$A$2:$A$2657,$A359,Data!$B$2:$B$2657,$B359,Data!$D$2:$D$2657,"Distribution"))/$D359,0)</f>
        <v>0.377683370032191</v>
      </c>
      <c r="G359" s="10" t="n">
        <f aca="false">IFERROR((SUMIFS(Data!$E$2:$E$2657,Data!$A$2:$A$2657,$A359,Data!$B$2:$B$2657,$B359,Data!$D$2:$D$2657,"RTO/market operation")+SUMIFS(Data!$G$2:$G$2657,Data!$A$2:$A$2657,$A359,Data!$B$2:$B$2657,$B359,Data!$D$2:$D$2657,"RTO/market operation"))/$D359,0)</f>
        <v>0.00130832855033778</v>
      </c>
      <c r="H359" s="10" t="n">
        <f aca="false">IFERROR((SUMIFS(Data!$E$2:$E$2657,Data!$A$2:$A$2657,$A359,Data!$B$2:$B$2657,$B359,Data!$D$2:$D$2657,"Customer accounts, service &amp; sales")+SUMIFS(Data!$G$2:$G$2657,Data!$A$2:$A$2657,$A359,Data!$B$2:$B$2657,$B359,Data!$D$2:$D$2657,"Customer accounts, service &amp; sales"))/$D359,0)</f>
        <v>0.223344991741143</v>
      </c>
      <c r="I359" s="10" t="n">
        <f aca="false">IFERROR((SUMIFS(Data!$E$2:$E$2657,Data!$A$2:$A$2657,$A359,Data!$B$2:$B$2657,$B359,Data!$D$2:$D$2657,"A&amp;G and general")+SUMIFS(Data!$G$2:$G$2657,Data!$A$2:$A$2657,$A359,Data!$B$2:$B$2657,$B359,Data!$D$2:$D$2657,"A&amp;G and general"))/$D359,0)</f>
        <v>0.25100236084861</v>
      </c>
      <c r="J359" s="10" t="n">
        <f aca="false">IFERROR(SUMIFS(Data!$F$2:$F$2657,Data!$A$2:$A$2657,$A359,Data!$B$2:$B$2657,$B359)/$D359,0)</f>
        <v>0.00296405953814806</v>
      </c>
      <c r="K359" s="11" t="n">
        <f aca="false">SUM(E359:I359)</f>
        <v>1</v>
      </c>
    </row>
    <row r="360" customFormat="false" ht="15" hidden="false" customHeight="false" outlineLevel="0" collapsed="false">
      <c r="A360" s="7" t="n">
        <v>2014</v>
      </c>
      <c r="B360" s="12" t="s">
        <v>61</v>
      </c>
      <c r="C360" s="12" t="s">
        <v>62</v>
      </c>
      <c r="D360" s="9" t="n">
        <f aca="false">SUMIFS(Data!$E$2:$E$2657,Data!$A$2:$A$2657,$A360,Data!$B$2:$B$2657,$B360)+SUMIFS(Data!$G$2:$G$2657,Data!$A$2:$A$2657,$A360,Data!$B$2:$B$2657,$B360)</f>
        <v>1118.905128</v>
      </c>
      <c r="E360" s="10" t="n">
        <f aca="false">IFERROR((SUMIFS(Data!$E$2:$E$2657,Data!$A$2:$A$2657,$A360,Data!$B$2:$B$2657,$B360,Data!$D$2:$D$2657,"Transmission")+SUMIFS(Data!$G$2:$G$2657,Data!$A$2:$A$2657,$A360,Data!$B$2:$B$2657,$B360,Data!$D$2:$D$2657,"Transmission"))/$D360,0)</f>
        <v>0.30164636978945</v>
      </c>
      <c r="F360" s="10" t="n">
        <f aca="false">IFERROR((SUMIFS(Data!$E$2:$E$2657,Data!$A$2:$A$2657,$A360,Data!$B$2:$B$2657,$B360,Data!$D$2:$D$2657,"Distribution")+SUMIFS(Data!$G$2:$G$2657,Data!$A$2:$A$2657,$A360,Data!$B$2:$B$2657,$B360,Data!$D$2:$D$2657,"Distribution"))/$D360,0)</f>
        <v>0.333965718494768</v>
      </c>
      <c r="G360" s="10" t="n">
        <f aca="false">IFERROR((SUMIFS(Data!$E$2:$E$2657,Data!$A$2:$A$2657,$A360,Data!$B$2:$B$2657,$B360,Data!$D$2:$D$2657,"RTO/market operation")+SUMIFS(Data!$G$2:$G$2657,Data!$A$2:$A$2657,$A360,Data!$B$2:$B$2657,$B360,Data!$D$2:$D$2657,"RTO/market operation"))/$D360,0)</f>
        <v>0.00552351566307238</v>
      </c>
      <c r="H360" s="10" t="n">
        <f aca="false">IFERROR((SUMIFS(Data!$E$2:$E$2657,Data!$A$2:$A$2657,$A360,Data!$B$2:$B$2657,$B360,Data!$D$2:$D$2657,"Customer accounts, service &amp; sales")+SUMIFS(Data!$G$2:$G$2657,Data!$A$2:$A$2657,$A360,Data!$B$2:$B$2657,$B360,Data!$D$2:$D$2657,"Customer accounts, service &amp; sales"))/$D360,0)</f>
        <v>0.169597052736003</v>
      </c>
      <c r="I360" s="10" t="n">
        <f aca="false">IFERROR((SUMIFS(Data!$E$2:$E$2657,Data!$A$2:$A$2657,$A360,Data!$B$2:$B$2657,$B360,Data!$D$2:$D$2657,"A&amp;G and general")+SUMIFS(Data!$G$2:$G$2657,Data!$A$2:$A$2657,$A360,Data!$B$2:$B$2657,$B360,Data!$D$2:$D$2657,"A&amp;G and general"))/$D360,0)</f>
        <v>0.189267343316707</v>
      </c>
      <c r="J360" s="10" t="n">
        <f aca="false">IFERROR(SUMIFS(Data!$F$2:$F$2657,Data!$A$2:$A$2657,$A360,Data!$B$2:$B$2657,$B360)/$D360,0)</f>
        <v>0.292770058696165</v>
      </c>
      <c r="K360" s="11" t="n">
        <f aca="false">SUM(E360:I360)</f>
        <v>1</v>
      </c>
    </row>
    <row r="361" customFormat="false" ht="15" hidden="false" customHeight="false" outlineLevel="0" collapsed="false">
      <c r="A361" s="7" t="n">
        <v>2014</v>
      </c>
      <c r="B361" s="12" t="s">
        <v>63</v>
      </c>
      <c r="C361" s="12" t="s">
        <v>62</v>
      </c>
      <c r="D361" s="9" t="n">
        <f aca="false">SUMIFS(Data!$E$2:$E$2657,Data!$A$2:$A$2657,$A361,Data!$B$2:$B$2657,$B361)+SUMIFS(Data!$G$2:$G$2657,Data!$A$2:$A$2657,$A361,Data!$B$2:$B$2657,$B361)</f>
        <v>1540.879302</v>
      </c>
      <c r="E361" s="10" t="n">
        <f aca="false">IFERROR((SUMIFS(Data!$E$2:$E$2657,Data!$A$2:$A$2657,$A361,Data!$B$2:$B$2657,$B361,Data!$D$2:$D$2657,"Transmission")+SUMIFS(Data!$G$2:$G$2657,Data!$A$2:$A$2657,$A361,Data!$B$2:$B$2657,$B361,Data!$D$2:$D$2657,"Transmission"))/$D361,0)</f>
        <v>0.188606520071226</v>
      </c>
      <c r="F361" s="10" t="n">
        <f aca="false">IFERROR((SUMIFS(Data!$E$2:$E$2657,Data!$A$2:$A$2657,$A361,Data!$B$2:$B$2657,$B361,Data!$D$2:$D$2657,"Distribution")+SUMIFS(Data!$G$2:$G$2657,Data!$A$2:$A$2657,$A361,Data!$B$2:$B$2657,$B361,Data!$D$2:$D$2657,"Distribution"))/$D361,0)</f>
        <v>0.364416844506358</v>
      </c>
      <c r="G361" s="10" t="n">
        <f aca="false">IFERROR((SUMIFS(Data!$E$2:$E$2657,Data!$A$2:$A$2657,$A361,Data!$B$2:$B$2657,$B361,Data!$D$2:$D$2657,"RTO/market operation")+SUMIFS(Data!$G$2:$G$2657,Data!$A$2:$A$2657,$A361,Data!$B$2:$B$2657,$B361,Data!$D$2:$D$2657,"RTO/market operation"))/$D361,0)</f>
        <v>0.00500601571452609</v>
      </c>
      <c r="H361" s="10" t="n">
        <f aca="false">IFERROR((SUMIFS(Data!$E$2:$E$2657,Data!$A$2:$A$2657,$A361,Data!$B$2:$B$2657,$B361,Data!$D$2:$D$2657,"Customer accounts, service &amp; sales")+SUMIFS(Data!$G$2:$G$2657,Data!$A$2:$A$2657,$A361,Data!$B$2:$B$2657,$B361,Data!$D$2:$D$2657,"Customer accounts, service &amp; sales"))/$D361,0)</f>
        <v>0.160056193681029</v>
      </c>
      <c r="I361" s="10" t="n">
        <f aca="false">IFERROR((SUMIFS(Data!$E$2:$E$2657,Data!$A$2:$A$2657,$A361,Data!$B$2:$B$2657,$B361,Data!$D$2:$D$2657,"A&amp;G and general")+SUMIFS(Data!$G$2:$G$2657,Data!$A$2:$A$2657,$A361,Data!$B$2:$B$2657,$B361,Data!$D$2:$D$2657,"A&amp;G and general"))/$D361,0)</f>
        <v>0.281914426026861</v>
      </c>
      <c r="J361" s="10" t="n">
        <f aca="false">IFERROR(SUMIFS(Data!$F$2:$F$2657,Data!$A$2:$A$2657,$A361,Data!$B$2:$B$2657,$B361)/$D361,0)</f>
        <v>0.171655825123154</v>
      </c>
      <c r="K361" s="11" t="n">
        <f aca="false">SUM(E361:I361)</f>
        <v>1</v>
      </c>
    </row>
    <row r="362" customFormat="false" ht="15" hidden="false" customHeight="false" outlineLevel="0" collapsed="false">
      <c r="A362" s="7" t="n">
        <v>2014</v>
      </c>
      <c r="B362" s="12" t="s">
        <v>64</v>
      </c>
      <c r="C362" s="12" t="s">
        <v>65</v>
      </c>
      <c r="D362" s="9" t="n">
        <f aca="false">SUMIFS(Data!$E$2:$E$2657,Data!$A$2:$A$2657,$A362,Data!$B$2:$B$2657,$B362)+SUMIFS(Data!$G$2:$G$2657,Data!$A$2:$A$2657,$A362,Data!$B$2:$B$2657,$B362)</f>
        <v>471.317771</v>
      </c>
      <c r="E362" s="10" t="n">
        <f aca="false">IFERROR((SUMIFS(Data!$E$2:$E$2657,Data!$A$2:$A$2657,$A362,Data!$B$2:$B$2657,$B362,Data!$D$2:$D$2657,"Transmission")+SUMIFS(Data!$G$2:$G$2657,Data!$A$2:$A$2657,$A362,Data!$B$2:$B$2657,$B362,Data!$D$2:$D$2657,"Transmission"))/$D362,0)</f>
        <v>0.168078043889417</v>
      </c>
      <c r="F362" s="10" t="n">
        <f aca="false">IFERROR((SUMIFS(Data!$E$2:$E$2657,Data!$A$2:$A$2657,$A362,Data!$B$2:$B$2657,$B362,Data!$D$2:$D$2657,"Distribution")+SUMIFS(Data!$G$2:$G$2657,Data!$A$2:$A$2657,$A362,Data!$B$2:$B$2657,$B362,Data!$D$2:$D$2657,"Distribution"))/$D362,0)</f>
        <v>0.33361595228286</v>
      </c>
      <c r="G362" s="10" t="n">
        <f aca="false">IFERROR((SUMIFS(Data!$E$2:$E$2657,Data!$A$2:$A$2657,$A362,Data!$B$2:$B$2657,$B362,Data!$D$2:$D$2657,"RTO/market operation")+SUMIFS(Data!$G$2:$G$2657,Data!$A$2:$A$2657,$A362,Data!$B$2:$B$2657,$B362,Data!$D$2:$D$2657,"RTO/market operation"))/$D362,0)</f>
        <v>0.0128725530274987</v>
      </c>
      <c r="H362" s="10" t="n">
        <f aca="false">IFERROR((SUMIFS(Data!$E$2:$E$2657,Data!$A$2:$A$2657,$A362,Data!$B$2:$B$2657,$B362,Data!$D$2:$D$2657,"Customer accounts, service &amp; sales")+SUMIFS(Data!$G$2:$G$2657,Data!$A$2:$A$2657,$A362,Data!$B$2:$B$2657,$B362,Data!$D$2:$D$2657,"Customer accounts, service &amp; sales"))/$D362,0)</f>
        <v>0.104700420897136</v>
      </c>
      <c r="I362" s="10" t="n">
        <f aca="false">IFERROR((SUMIFS(Data!$E$2:$E$2657,Data!$A$2:$A$2657,$A362,Data!$B$2:$B$2657,$B362,Data!$D$2:$D$2657,"A&amp;G and general")+SUMIFS(Data!$G$2:$G$2657,Data!$A$2:$A$2657,$A362,Data!$B$2:$B$2657,$B362,Data!$D$2:$D$2657,"A&amp;G and general"))/$D362,0)</f>
        <v>0.380733029903088</v>
      </c>
      <c r="J362" s="10" t="n">
        <f aca="false">IFERROR(SUMIFS(Data!$F$2:$F$2657,Data!$A$2:$A$2657,$A362,Data!$B$2:$B$2657,$B362)/$D362,0)</f>
        <v>0.0461300259353047</v>
      </c>
      <c r="K362" s="11" t="n">
        <f aca="false">SUM(E362:I362)</f>
        <v>1</v>
      </c>
    </row>
    <row r="363" customFormat="false" ht="15" hidden="false" customHeight="false" outlineLevel="0" collapsed="false">
      <c r="A363" s="7" t="n">
        <v>2014</v>
      </c>
      <c r="B363" s="12" t="s">
        <v>66</v>
      </c>
      <c r="C363" s="12" t="s">
        <v>67</v>
      </c>
      <c r="D363" s="9" t="n">
        <f aca="false">SUMIFS(Data!$E$2:$E$2657,Data!$A$2:$A$2657,$A363,Data!$B$2:$B$2657,$B363)+SUMIFS(Data!$G$2:$G$2657,Data!$A$2:$A$2657,$A363,Data!$B$2:$B$2657,$B363)</f>
        <v>400.621769</v>
      </c>
      <c r="E363" s="10" t="n">
        <f aca="false">IFERROR((SUMIFS(Data!$E$2:$E$2657,Data!$A$2:$A$2657,$A363,Data!$B$2:$B$2657,$B363,Data!$D$2:$D$2657,"Transmission")+SUMIFS(Data!$G$2:$G$2657,Data!$A$2:$A$2657,$A363,Data!$B$2:$B$2657,$B363,Data!$D$2:$D$2657,"Transmission"))/$D363,0)</f>
        <v>0.263811305770556</v>
      </c>
      <c r="F363" s="10" t="n">
        <f aca="false">IFERROR((SUMIFS(Data!$E$2:$E$2657,Data!$A$2:$A$2657,$A363,Data!$B$2:$B$2657,$B363,Data!$D$2:$D$2657,"Distribution")+SUMIFS(Data!$G$2:$G$2657,Data!$A$2:$A$2657,$A363,Data!$B$2:$B$2657,$B363,Data!$D$2:$D$2657,"Distribution"))/$D363,0)</f>
        <v>0.280498704003276</v>
      </c>
      <c r="G363" s="10" t="n">
        <f aca="false">IFERROR((SUMIFS(Data!$E$2:$E$2657,Data!$A$2:$A$2657,$A363,Data!$B$2:$B$2657,$B363,Data!$D$2:$D$2657,"RTO/market operation")+SUMIFS(Data!$G$2:$G$2657,Data!$A$2:$A$2657,$A363,Data!$B$2:$B$2657,$B363,Data!$D$2:$D$2657,"RTO/market operation"))/$D363,0)</f>
        <v>0.0106856949153954</v>
      </c>
      <c r="H363" s="10" t="n">
        <f aca="false">IFERROR((SUMIFS(Data!$E$2:$E$2657,Data!$A$2:$A$2657,$A363,Data!$B$2:$B$2657,$B363,Data!$D$2:$D$2657,"Customer accounts, service &amp; sales")+SUMIFS(Data!$G$2:$G$2657,Data!$A$2:$A$2657,$A363,Data!$B$2:$B$2657,$B363,Data!$D$2:$D$2657,"Customer accounts, service &amp; sales"))/$D363,0)</f>
        <v>0.0763378237691322</v>
      </c>
      <c r="I363" s="10" t="n">
        <f aca="false">IFERROR((SUMIFS(Data!$E$2:$E$2657,Data!$A$2:$A$2657,$A363,Data!$B$2:$B$2657,$B363,Data!$D$2:$D$2657,"A&amp;G and general")+SUMIFS(Data!$G$2:$G$2657,Data!$A$2:$A$2657,$A363,Data!$B$2:$B$2657,$B363,Data!$D$2:$D$2657,"A&amp;G and general"))/$D363,0)</f>
        <v>0.36866647154164</v>
      </c>
      <c r="J363" s="10" t="n">
        <f aca="false">IFERROR(SUMIFS(Data!$F$2:$F$2657,Data!$A$2:$A$2657,$A363,Data!$B$2:$B$2657,$B363)/$D363,0)</f>
        <v>0.127945546064423</v>
      </c>
      <c r="K363" s="11" t="n">
        <f aca="false">SUM(E363:I363)</f>
        <v>1</v>
      </c>
    </row>
    <row r="364" customFormat="false" ht="15" hidden="false" customHeight="false" outlineLevel="0" collapsed="false">
      <c r="A364" s="7" t="n">
        <v>2014</v>
      </c>
      <c r="B364" s="12" t="s">
        <v>68</v>
      </c>
      <c r="C364" s="12" t="s">
        <v>65</v>
      </c>
      <c r="D364" s="9" t="n">
        <f aca="false">SUMIFS(Data!$E$2:$E$2657,Data!$A$2:$A$2657,$A364,Data!$B$2:$B$2657,$B364)+SUMIFS(Data!$G$2:$G$2657,Data!$A$2:$A$2657,$A364,Data!$B$2:$B$2657,$B364)</f>
        <v>286.936752</v>
      </c>
      <c r="E364" s="10" t="n">
        <f aca="false">IFERROR((SUMIFS(Data!$E$2:$E$2657,Data!$A$2:$A$2657,$A364,Data!$B$2:$B$2657,$B364,Data!$D$2:$D$2657,"Transmission")+SUMIFS(Data!$G$2:$G$2657,Data!$A$2:$A$2657,$A364,Data!$B$2:$B$2657,$B364,Data!$D$2:$D$2657,"Transmission"))/$D364,0)</f>
        <v>0.0626071664740946</v>
      </c>
      <c r="F364" s="10" t="n">
        <f aca="false">IFERROR((SUMIFS(Data!$E$2:$E$2657,Data!$A$2:$A$2657,$A364,Data!$B$2:$B$2657,$B364,Data!$D$2:$D$2657,"Distribution")+SUMIFS(Data!$G$2:$G$2657,Data!$A$2:$A$2657,$A364,Data!$B$2:$B$2657,$B364,Data!$D$2:$D$2657,"Distribution"))/$D364,0)</f>
        <v>0.362901121150211</v>
      </c>
      <c r="G364" s="10" t="n">
        <f aca="false">IFERROR((SUMIFS(Data!$E$2:$E$2657,Data!$A$2:$A$2657,$A364,Data!$B$2:$B$2657,$B364,Data!$D$2:$D$2657,"RTO/market operation")+SUMIFS(Data!$G$2:$G$2657,Data!$A$2:$A$2657,$A364,Data!$B$2:$B$2657,$B364,Data!$D$2:$D$2657,"RTO/market operation"))/$D364,0)</f>
        <v>0.000565619422638477</v>
      </c>
      <c r="H364" s="10" t="n">
        <f aca="false">IFERROR((SUMIFS(Data!$E$2:$E$2657,Data!$A$2:$A$2657,$A364,Data!$B$2:$B$2657,$B364,Data!$D$2:$D$2657,"Customer accounts, service &amp; sales")+SUMIFS(Data!$G$2:$G$2657,Data!$A$2:$A$2657,$A364,Data!$B$2:$B$2657,$B364,Data!$D$2:$D$2657,"Customer accounts, service &amp; sales"))/$D364,0)</f>
        <v>0.0814197060403054</v>
      </c>
      <c r="I364" s="10" t="n">
        <f aca="false">IFERROR((SUMIFS(Data!$E$2:$E$2657,Data!$A$2:$A$2657,$A364,Data!$B$2:$B$2657,$B364,Data!$D$2:$D$2657,"A&amp;G and general")+SUMIFS(Data!$G$2:$G$2657,Data!$A$2:$A$2657,$A364,Data!$B$2:$B$2657,$B364,Data!$D$2:$D$2657,"A&amp;G and general"))/$D364,0)</f>
        <v>0.492506386912751</v>
      </c>
      <c r="J364" s="10" t="n">
        <f aca="false">IFERROR(SUMIFS(Data!$F$2:$F$2657,Data!$A$2:$A$2657,$A364,Data!$B$2:$B$2657,$B364)/$D364,0)</f>
        <v>0.0119359823240768</v>
      </c>
      <c r="K364" s="11" t="n">
        <f aca="false">SUM(E364:I364)</f>
        <v>1</v>
      </c>
    </row>
    <row r="365" customFormat="false" ht="15" hidden="false" customHeight="false" outlineLevel="0" collapsed="false">
      <c r="A365" s="7" t="n">
        <v>2014</v>
      </c>
      <c r="B365" s="12" t="s">
        <v>69</v>
      </c>
      <c r="C365" s="12" t="s">
        <v>70</v>
      </c>
      <c r="D365" s="9" t="n">
        <f aca="false">SUMIFS(Data!$E$2:$E$2657,Data!$A$2:$A$2657,$A365,Data!$B$2:$B$2657,$B365)+SUMIFS(Data!$G$2:$G$2657,Data!$A$2:$A$2657,$A365,Data!$B$2:$B$2657,$B365)</f>
        <v>607.039965</v>
      </c>
      <c r="E365" s="10" t="n">
        <f aca="false">IFERROR((SUMIFS(Data!$E$2:$E$2657,Data!$A$2:$A$2657,$A365,Data!$B$2:$B$2657,$B365,Data!$D$2:$D$2657,"Transmission")+SUMIFS(Data!$G$2:$G$2657,Data!$A$2:$A$2657,$A365,Data!$B$2:$B$2657,$B365,Data!$D$2:$D$2657,"Transmission"))/$D365,0)</f>
        <v>0.537599815195034</v>
      </c>
      <c r="F365" s="10" t="n">
        <f aca="false">IFERROR((SUMIFS(Data!$E$2:$E$2657,Data!$A$2:$A$2657,$A365,Data!$B$2:$B$2657,$B365,Data!$D$2:$D$2657,"Distribution")+SUMIFS(Data!$G$2:$G$2657,Data!$A$2:$A$2657,$A365,Data!$B$2:$B$2657,$B365,Data!$D$2:$D$2657,"Distribution"))/$D365,0)</f>
        <v>0.150160686702069</v>
      </c>
      <c r="G365" s="10" t="n">
        <f aca="false">IFERROR((SUMIFS(Data!$E$2:$E$2657,Data!$A$2:$A$2657,$A365,Data!$B$2:$B$2657,$B365,Data!$D$2:$D$2657,"RTO/market operation")+SUMIFS(Data!$G$2:$G$2657,Data!$A$2:$A$2657,$A365,Data!$B$2:$B$2657,$B365,Data!$D$2:$D$2657,"RTO/market operation"))/$D365,0)</f>
        <v>0.00422651085254329</v>
      </c>
      <c r="H365" s="10" t="n">
        <f aca="false">IFERROR((SUMIFS(Data!$E$2:$E$2657,Data!$A$2:$A$2657,$A365,Data!$B$2:$B$2657,$B365,Data!$D$2:$D$2657,"Customer accounts, service &amp; sales")+SUMIFS(Data!$G$2:$G$2657,Data!$A$2:$A$2657,$A365,Data!$B$2:$B$2657,$B365,Data!$D$2:$D$2657,"Customer accounts, service &amp; sales"))/$D365,0)</f>
        <v>0.10743961643448</v>
      </c>
      <c r="I365" s="10" t="n">
        <f aca="false">IFERROR((SUMIFS(Data!$E$2:$E$2657,Data!$A$2:$A$2657,$A365,Data!$B$2:$B$2657,$B365,Data!$D$2:$D$2657,"A&amp;G and general")+SUMIFS(Data!$G$2:$G$2657,Data!$A$2:$A$2657,$A365,Data!$B$2:$B$2657,$B365,Data!$D$2:$D$2657,"A&amp;G and general"))/$D365,0)</f>
        <v>0.200573370815874</v>
      </c>
      <c r="J365" s="10" t="n">
        <f aca="false">IFERROR(SUMIFS(Data!$F$2:$F$2657,Data!$A$2:$A$2657,$A365,Data!$B$2:$B$2657,$B365)/$D365,0)</f>
        <v>0.532654712445498</v>
      </c>
      <c r="K365" s="11" t="n">
        <f aca="false">SUM(E365:I365)</f>
        <v>1</v>
      </c>
    </row>
    <row r="366" customFormat="false" ht="15" hidden="false" customHeight="false" outlineLevel="0" collapsed="false">
      <c r="A366" s="7" t="n">
        <v>2014</v>
      </c>
      <c r="B366" s="12" t="s">
        <v>71</v>
      </c>
      <c r="C366" s="12" t="s">
        <v>72</v>
      </c>
      <c r="D366" s="9" t="n">
        <f aca="false">SUMIFS(Data!$E$2:$E$2657,Data!$A$2:$A$2657,$A366,Data!$B$2:$B$2657,$B366)+SUMIFS(Data!$G$2:$G$2657,Data!$A$2:$A$2657,$A366,Data!$B$2:$B$2657,$B366)</f>
        <v>110.498082</v>
      </c>
      <c r="E366" s="10" t="n">
        <f aca="false">IFERROR((SUMIFS(Data!$E$2:$E$2657,Data!$A$2:$A$2657,$A366,Data!$B$2:$B$2657,$B366,Data!$D$2:$D$2657,"Transmission")+SUMIFS(Data!$G$2:$G$2657,Data!$A$2:$A$2657,$A366,Data!$B$2:$B$2657,$B366,Data!$D$2:$D$2657,"Transmission"))/$D366,0)</f>
        <v>0.299968844708092</v>
      </c>
      <c r="F366" s="10" t="n">
        <f aca="false">IFERROR((SUMIFS(Data!$E$2:$E$2657,Data!$A$2:$A$2657,$A366,Data!$B$2:$B$2657,$B366,Data!$D$2:$D$2657,"Distribution")+SUMIFS(Data!$G$2:$G$2657,Data!$A$2:$A$2657,$A366,Data!$B$2:$B$2657,$B366,Data!$D$2:$D$2657,"Distribution"))/$D366,0)</f>
        <v>0.244025683631323</v>
      </c>
      <c r="G366" s="10" t="n">
        <f aca="false">IFERROR((SUMIFS(Data!$E$2:$E$2657,Data!$A$2:$A$2657,$A366,Data!$B$2:$B$2657,$B366,Data!$D$2:$D$2657,"RTO/market operation")+SUMIFS(Data!$G$2:$G$2657,Data!$A$2:$A$2657,$A366,Data!$B$2:$B$2657,$B366,Data!$D$2:$D$2657,"RTO/market operation"))/$D366,0)</f>
        <v>0.0042990881959381</v>
      </c>
      <c r="H366" s="10" t="n">
        <f aca="false">IFERROR((SUMIFS(Data!$E$2:$E$2657,Data!$A$2:$A$2657,$A366,Data!$B$2:$B$2657,$B366,Data!$D$2:$D$2657,"Customer accounts, service &amp; sales")+SUMIFS(Data!$G$2:$G$2657,Data!$A$2:$A$2657,$A366,Data!$B$2:$B$2657,$B366,Data!$D$2:$D$2657,"Customer accounts, service &amp; sales"))/$D366,0)</f>
        <v>0.133273254462462</v>
      </c>
      <c r="I366" s="10" t="n">
        <f aca="false">IFERROR((SUMIFS(Data!$E$2:$E$2657,Data!$A$2:$A$2657,$A366,Data!$B$2:$B$2657,$B366,Data!$D$2:$D$2657,"A&amp;G and general")+SUMIFS(Data!$G$2:$G$2657,Data!$A$2:$A$2657,$A366,Data!$B$2:$B$2657,$B366,Data!$D$2:$D$2657,"A&amp;G and general"))/$D366,0)</f>
        <v>0.318433129002185</v>
      </c>
      <c r="J366" s="10" t="n">
        <f aca="false">IFERROR(SUMIFS(Data!$F$2:$F$2657,Data!$A$2:$A$2657,$A366,Data!$B$2:$B$2657,$B366)/$D366,0)</f>
        <v>0.300163544920173</v>
      </c>
      <c r="K366" s="11" t="n">
        <f aca="false">SUM(E366:I366)</f>
        <v>1</v>
      </c>
    </row>
    <row r="367" customFormat="false" ht="15" hidden="false" customHeight="false" outlineLevel="0" collapsed="false">
      <c r="A367" s="7" t="n">
        <v>2014</v>
      </c>
      <c r="B367" s="12" t="s">
        <v>73</v>
      </c>
      <c r="C367" s="12" t="s">
        <v>70</v>
      </c>
      <c r="D367" s="9" t="n">
        <f aca="false">SUMIFS(Data!$E$2:$E$2657,Data!$A$2:$A$2657,$A367,Data!$B$2:$B$2657,$B367)+SUMIFS(Data!$G$2:$G$2657,Data!$A$2:$A$2657,$A367,Data!$B$2:$B$2657,$B367)</f>
        <v>432.535949</v>
      </c>
      <c r="E367" s="10" t="n">
        <f aca="false">IFERROR((SUMIFS(Data!$E$2:$E$2657,Data!$A$2:$A$2657,$A367,Data!$B$2:$B$2657,$B367,Data!$D$2:$D$2657,"Transmission")+SUMIFS(Data!$G$2:$G$2657,Data!$A$2:$A$2657,$A367,Data!$B$2:$B$2657,$B367,Data!$D$2:$D$2657,"Transmission"))/$D367,0)</f>
        <v>0.170109943855788</v>
      </c>
      <c r="F367" s="10" t="n">
        <f aca="false">IFERROR((SUMIFS(Data!$E$2:$E$2657,Data!$A$2:$A$2657,$A367,Data!$B$2:$B$2657,$B367,Data!$D$2:$D$2657,"Distribution")+SUMIFS(Data!$G$2:$G$2657,Data!$A$2:$A$2657,$A367,Data!$B$2:$B$2657,$B367,Data!$D$2:$D$2657,"Distribution"))/$D367,0)</f>
        <v>0.354165722766317</v>
      </c>
      <c r="G367" s="10" t="n">
        <f aca="false">IFERROR((SUMIFS(Data!$E$2:$E$2657,Data!$A$2:$A$2657,$A367,Data!$B$2:$B$2657,$B367,Data!$D$2:$D$2657,"RTO/market operation")+SUMIFS(Data!$G$2:$G$2657,Data!$A$2:$A$2657,$A367,Data!$B$2:$B$2657,$B367,Data!$D$2:$D$2657,"RTO/market operation"))/$D367,0)</f>
        <v>0.010319849738085</v>
      </c>
      <c r="H367" s="10" t="n">
        <f aca="false">IFERROR((SUMIFS(Data!$E$2:$E$2657,Data!$A$2:$A$2657,$A367,Data!$B$2:$B$2657,$B367,Data!$D$2:$D$2657,"Customer accounts, service &amp; sales")+SUMIFS(Data!$G$2:$G$2657,Data!$A$2:$A$2657,$A367,Data!$B$2:$B$2657,$B367,Data!$D$2:$D$2657,"Customer accounts, service &amp; sales"))/$D367,0)</f>
        <v>0.255980362455376</v>
      </c>
      <c r="I367" s="10" t="n">
        <f aca="false">IFERROR((SUMIFS(Data!$E$2:$E$2657,Data!$A$2:$A$2657,$A367,Data!$B$2:$B$2657,$B367,Data!$D$2:$D$2657,"A&amp;G and general")+SUMIFS(Data!$G$2:$G$2657,Data!$A$2:$A$2657,$A367,Data!$B$2:$B$2657,$B367,Data!$D$2:$D$2657,"A&amp;G and general"))/$D367,0)</f>
        <v>0.209424121184434</v>
      </c>
      <c r="J367" s="10" t="n">
        <f aca="false">IFERROR(SUMIFS(Data!$F$2:$F$2657,Data!$A$2:$A$2657,$A367,Data!$B$2:$B$2657,$B367)/$D367,0)</f>
        <v>0.0760976540241283</v>
      </c>
      <c r="K367" s="11" t="n">
        <f aca="false">SUM(E367:I367)</f>
        <v>1</v>
      </c>
    </row>
    <row r="368" customFormat="false" ht="15" hidden="false" customHeight="false" outlineLevel="0" collapsed="false">
      <c r="A368" s="7" t="n">
        <v>2014</v>
      </c>
      <c r="B368" s="12" t="s">
        <v>74</v>
      </c>
      <c r="C368" s="12" t="s">
        <v>65</v>
      </c>
      <c r="D368" s="9" t="n">
        <f aca="false">SUMIFS(Data!$E$2:$E$2657,Data!$A$2:$A$2657,$A368,Data!$B$2:$B$2657,$B368)+SUMIFS(Data!$G$2:$G$2657,Data!$A$2:$A$2657,$A368,Data!$B$2:$B$2657,$B368)</f>
        <v>419.639613</v>
      </c>
      <c r="E368" s="10" t="n">
        <f aca="false">IFERROR((SUMIFS(Data!$E$2:$E$2657,Data!$A$2:$A$2657,$A368,Data!$B$2:$B$2657,$B368,Data!$D$2:$D$2657,"Transmission")+SUMIFS(Data!$G$2:$G$2657,Data!$A$2:$A$2657,$A368,Data!$B$2:$B$2657,$B368,Data!$D$2:$D$2657,"Transmission"))/$D368,0)</f>
        <v>0.128872152019643</v>
      </c>
      <c r="F368" s="10" t="n">
        <f aca="false">IFERROR((SUMIFS(Data!$E$2:$E$2657,Data!$A$2:$A$2657,$A368,Data!$B$2:$B$2657,$B368,Data!$D$2:$D$2657,"Distribution")+SUMIFS(Data!$G$2:$G$2657,Data!$A$2:$A$2657,$A368,Data!$B$2:$B$2657,$B368,Data!$D$2:$D$2657,"Distribution"))/$D368,0)</f>
        <v>0.208286792505454</v>
      </c>
      <c r="G368" s="10" t="n">
        <f aca="false">IFERROR((SUMIFS(Data!$E$2:$E$2657,Data!$A$2:$A$2657,$A368,Data!$B$2:$B$2657,$B368,Data!$D$2:$D$2657,"RTO/market operation")+SUMIFS(Data!$G$2:$G$2657,Data!$A$2:$A$2657,$A368,Data!$B$2:$B$2657,$B368,Data!$D$2:$D$2657,"RTO/market operation"))/$D368,0)</f>
        <v>0.0123106418935717</v>
      </c>
      <c r="H368" s="10" t="n">
        <f aca="false">IFERROR((SUMIFS(Data!$E$2:$E$2657,Data!$A$2:$A$2657,$A368,Data!$B$2:$B$2657,$B368,Data!$D$2:$D$2657,"Customer accounts, service &amp; sales")+SUMIFS(Data!$G$2:$G$2657,Data!$A$2:$A$2657,$A368,Data!$B$2:$B$2657,$B368,Data!$D$2:$D$2657,"Customer accounts, service &amp; sales"))/$D368,0)</f>
        <v>0.0519910402262238</v>
      </c>
      <c r="I368" s="10" t="n">
        <f aca="false">IFERROR((SUMIFS(Data!$E$2:$E$2657,Data!$A$2:$A$2657,$A368,Data!$B$2:$B$2657,$B368,Data!$D$2:$D$2657,"A&amp;G and general")+SUMIFS(Data!$G$2:$G$2657,Data!$A$2:$A$2657,$A368,Data!$B$2:$B$2657,$B368,Data!$D$2:$D$2657,"A&amp;G and general"))/$D368,0)</f>
        <v>0.598539373355108</v>
      </c>
      <c r="J368" s="10" t="n">
        <f aca="false">IFERROR(SUMIFS(Data!$F$2:$F$2657,Data!$A$2:$A$2657,$A368,Data!$B$2:$B$2657,$B368)/$D368,0)</f>
        <v>0</v>
      </c>
      <c r="K368" s="11" t="n">
        <f aca="false">SUM(E368:I368)</f>
        <v>1</v>
      </c>
    </row>
    <row r="369" customFormat="false" ht="15" hidden="false" customHeight="false" outlineLevel="0" collapsed="false">
      <c r="A369" s="7" t="n">
        <v>2014</v>
      </c>
      <c r="B369" s="12" t="s">
        <v>75</v>
      </c>
      <c r="C369" s="12" t="s">
        <v>57</v>
      </c>
      <c r="D369" s="9" t="n">
        <f aca="false">SUMIFS(Data!$E$2:$E$2657,Data!$A$2:$A$2657,$A369,Data!$B$2:$B$2657,$B369)+SUMIFS(Data!$G$2:$G$2657,Data!$A$2:$A$2657,$A369,Data!$B$2:$B$2657,$B369)</f>
        <v>1049.334918</v>
      </c>
      <c r="E369" s="10" t="n">
        <f aca="false">IFERROR((SUMIFS(Data!$E$2:$E$2657,Data!$A$2:$A$2657,$A369,Data!$B$2:$B$2657,$B369,Data!$D$2:$D$2657,"Transmission")+SUMIFS(Data!$G$2:$G$2657,Data!$A$2:$A$2657,$A369,Data!$B$2:$B$2657,$B369,Data!$D$2:$D$2657,"Transmission"))/$D369,0)</f>
        <v>0.307172566614237</v>
      </c>
      <c r="F369" s="10" t="n">
        <f aca="false">IFERROR((SUMIFS(Data!$E$2:$E$2657,Data!$A$2:$A$2657,$A369,Data!$B$2:$B$2657,$B369,Data!$D$2:$D$2657,"Distribution")+SUMIFS(Data!$G$2:$G$2657,Data!$A$2:$A$2657,$A369,Data!$B$2:$B$2657,$B369,Data!$D$2:$D$2657,"Distribution"))/$D369,0)</f>
        <v>0.205642892748948</v>
      </c>
      <c r="G369" s="10" t="n">
        <f aca="false">IFERROR((SUMIFS(Data!$E$2:$E$2657,Data!$A$2:$A$2657,$A369,Data!$B$2:$B$2657,$B369,Data!$D$2:$D$2657,"RTO/market operation")+SUMIFS(Data!$G$2:$G$2657,Data!$A$2:$A$2657,$A369,Data!$B$2:$B$2657,$B369,Data!$D$2:$D$2657,"RTO/market operation"))/$D369,0)</f>
        <v>0.00813564654483365</v>
      </c>
      <c r="H369" s="10" t="n">
        <f aca="false">IFERROR((SUMIFS(Data!$E$2:$E$2657,Data!$A$2:$A$2657,$A369,Data!$B$2:$B$2657,$B369,Data!$D$2:$D$2657,"Customer accounts, service &amp; sales")+SUMIFS(Data!$G$2:$G$2657,Data!$A$2:$A$2657,$A369,Data!$B$2:$B$2657,$B369,Data!$D$2:$D$2657,"Customer accounts, service &amp; sales"))/$D369,0)</f>
        <v>0.173572948803749</v>
      </c>
      <c r="I369" s="10" t="n">
        <f aca="false">IFERROR((SUMIFS(Data!$E$2:$E$2657,Data!$A$2:$A$2657,$A369,Data!$B$2:$B$2657,$B369,Data!$D$2:$D$2657,"A&amp;G and general")+SUMIFS(Data!$G$2:$G$2657,Data!$A$2:$A$2657,$A369,Data!$B$2:$B$2657,$B369,Data!$D$2:$D$2657,"A&amp;G and general"))/$D369,0)</f>
        <v>0.305475945288233</v>
      </c>
      <c r="J369" s="10" t="n">
        <f aca="false">IFERROR(SUMIFS(Data!$F$2:$F$2657,Data!$A$2:$A$2657,$A369,Data!$B$2:$B$2657,$B369)/$D369,0)</f>
        <v>0.13879537267052</v>
      </c>
      <c r="K369" s="11" t="n">
        <f aca="false">SUM(E369:I369)</f>
        <v>1</v>
      </c>
    </row>
    <row r="370" customFormat="false" ht="15" hidden="false" customHeight="false" outlineLevel="0" collapsed="false">
      <c r="A370" s="7" t="n">
        <v>2014</v>
      </c>
      <c r="B370" s="12" t="s">
        <v>76</v>
      </c>
      <c r="C370" s="12" t="s">
        <v>72</v>
      </c>
      <c r="D370" s="9" t="n">
        <f aca="false">SUMIFS(Data!$E$2:$E$2657,Data!$A$2:$A$2657,$A370,Data!$B$2:$B$2657,$B370)+SUMIFS(Data!$G$2:$G$2657,Data!$A$2:$A$2657,$A370,Data!$B$2:$B$2657,$B370)</f>
        <v>198.886582</v>
      </c>
      <c r="E370" s="10" t="n">
        <f aca="false">IFERROR((SUMIFS(Data!$E$2:$E$2657,Data!$A$2:$A$2657,$A370,Data!$B$2:$B$2657,$B370,Data!$D$2:$D$2657,"Transmission")+SUMIFS(Data!$G$2:$G$2657,Data!$A$2:$A$2657,$A370,Data!$B$2:$B$2657,$B370,Data!$D$2:$D$2657,"Transmission"))/$D370,0)</f>
        <v>0.384492398788371</v>
      </c>
      <c r="F370" s="10" t="n">
        <f aca="false">IFERROR((SUMIFS(Data!$E$2:$E$2657,Data!$A$2:$A$2657,$A370,Data!$B$2:$B$2657,$B370,Data!$D$2:$D$2657,"Distribution")+SUMIFS(Data!$G$2:$G$2657,Data!$A$2:$A$2657,$A370,Data!$B$2:$B$2657,$B370,Data!$D$2:$D$2657,"Distribution"))/$D370,0)</f>
        <v>0.253969450789797</v>
      </c>
      <c r="G370" s="10" t="n">
        <f aca="false">IFERROR((SUMIFS(Data!$E$2:$E$2657,Data!$A$2:$A$2657,$A370,Data!$B$2:$B$2657,$B370,Data!$D$2:$D$2657,"RTO/market operation")+SUMIFS(Data!$G$2:$G$2657,Data!$A$2:$A$2657,$A370,Data!$B$2:$B$2657,$B370,Data!$D$2:$D$2657,"RTO/market operation"))/$D370,0)</f>
        <v>0</v>
      </c>
      <c r="H370" s="10" t="n">
        <f aca="false">IFERROR((SUMIFS(Data!$E$2:$E$2657,Data!$A$2:$A$2657,$A370,Data!$B$2:$B$2657,$B370,Data!$D$2:$D$2657,"Customer accounts, service &amp; sales")+SUMIFS(Data!$G$2:$G$2657,Data!$A$2:$A$2657,$A370,Data!$B$2:$B$2657,$B370,Data!$D$2:$D$2657,"Customer accounts, service &amp; sales"))/$D370,0)</f>
        <v>0.108596883624859</v>
      </c>
      <c r="I370" s="10" t="n">
        <f aca="false">IFERROR((SUMIFS(Data!$E$2:$E$2657,Data!$A$2:$A$2657,$A370,Data!$B$2:$B$2657,$B370,Data!$D$2:$D$2657,"A&amp;G and general")+SUMIFS(Data!$G$2:$G$2657,Data!$A$2:$A$2657,$A370,Data!$B$2:$B$2657,$B370,Data!$D$2:$D$2657,"A&amp;G and general"))/$D370,0)</f>
        <v>0.252941266796973</v>
      </c>
      <c r="J370" s="10" t="n">
        <f aca="false">IFERROR(SUMIFS(Data!$F$2:$F$2657,Data!$A$2:$A$2657,$A370,Data!$B$2:$B$2657,$B370)/$D370,0)</f>
        <v>0</v>
      </c>
      <c r="K370" s="11" t="n">
        <f aca="false">SUM(E370:I370)</f>
        <v>1</v>
      </c>
    </row>
    <row r="371" customFormat="false" ht="15" hidden="false" customHeight="false" outlineLevel="0" collapsed="false">
      <c r="A371" s="7" t="n">
        <v>2014</v>
      </c>
      <c r="B371" s="12" t="s">
        <v>77</v>
      </c>
      <c r="C371" s="12" t="s">
        <v>57</v>
      </c>
      <c r="D371" s="9" t="n">
        <f aca="false">SUMIFS(Data!$E$2:$E$2657,Data!$A$2:$A$2657,$A371,Data!$B$2:$B$2657,$B371)+SUMIFS(Data!$G$2:$G$2657,Data!$A$2:$A$2657,$A371,Data!$B$2:$B$2657,$B371)</f>
        <v>125.209809</v>
      </c>
      <c r="E371" s="10" t="n">
        <f aca="false">IFERROR((SUMIFS(Data!$E$2:$E$2657,Data!$A$2:$A$2657,$A371,Data!$B$2:$B$2657,$B371,Data!$D$2:$D$2657,"Transmission")+SUMIFS(Data!$G$2:$G$2657,Data!$A$2:$A$2657,$A371,Data!$B$2:$B$2657,$B371,Data!$D$2:$D$2657,"Transmission"))/$D371,0)</f>
        <v>0.232411551717965</v>
      </c>
      <c r="F371" s="10" t="n">
        <f aca="false">IFERROR((SUMIFS(Data!$E$2:$E$2657,Data!$A$2:$A$2657,$A371,Data!$B$2:$B$2657,$B371,Data!$D$2:$D$2657,"Distribution")+SUMIFS(Data!$G$2:$G$2657,Data!$A$2:$A$2657,$A371,Data!$B$2:$B$2657,$B371,Data!$D$2:$D$2657,"Distribution"))/$D371,0)</f>
        <v>0.215226739943354</v>
      </c>
      <c r="G371" s="10" t="n">
        <f aca="false">IFERROR((SUMIFS(Data!$E$2:$E$2657,Data!$A$2:$A$2657,$A371,Data!$B$2:$B$2657,$B371,Data!$D$2:$D$2657,"RTO/market operation")+SUMIFS(Data!$G$2:$G$2657,Data!$A$2:$A$2657,$A371,Data!$B$2:$B$2657,$B371,Data!$D$2:$D$2657,"RTO/market operation"))/$D371,0)</f>
        <v>0.0118409333249602</v>
      </c>
      <c r="H371" s="10" t="n">
        <f aca="false">IFERROR((SUMIFS(Data!$E$2:$E$2657,Data!$A$2:$A$2657,$A371,Data!$B$2:$B$2657,$B371,Data!$D$2:$D$2657,"Customer accounts, service &amp; sales")+SUMIFS(Data!$G$2:$G$2657,Data!$A$2:$A$2657,$A371,Data!$B$2:$B$2657,$B371,Data!$D$2:$D$2657,"Customer accounts, service &amp; sales"))/$D371,0)</f>
        <v>0.17474478377329</v>
      </c>
      <c r="I371" s="10" t="n">
        <f aca="false">IFERROR((SUMIFS(Data!$E$2:$E$2657,Data!$A$2:$A$2657,$A371,Data!$B$2:$B$2657,$B371,Data!$D$2:$D$2657,"A&amp;G and general")+SUMIFS(Data!$G$2:$G$2657,Data!$A$2:$A$2657,$A371,Data!$B$2:$B$2657,$B371,Data!$D$2:$D$2657,"A&amp;G and general"))/$D371,0)</f>
        <v>0.365775991240431</v>
      </c>
      <c r="J371" s="10" t="n">
        <f aca="false">IFERROR(SUMIFS(Data!$F$2:$F$2657,Data!$A$2:$A$2657,$A371,Data!$B$2:$B$2657,$B371)/$D371,0)</f>
        <v>0.107247132690698</v>
      </c>
      <c r="K371" s="11" t="n">
        <f aca="false">SUM(E371:I371)</f>
        <v>1</v>
      </c>
    </row>
    <row r="372" customFormat="false" ht="15" hidden="false" customHeight="false" outlineLevel="0" collapsed="false">
      <c r="A372" s="7" t="n">
        <v>2014</v>
      </c>
      <c r="B372" s="12" t="s">
        <v>78</v>
      </c>
      <c r="C372" s="12" t="s">
        <v>65</v>
      </c>
      <c r="D372" s="9" t="n">
        <f aca="false">SUMIFS(Data!$E$2:$E$2657,Data!$A$2:$A$2657,$A372,Data!$B$2:$B$2657,$B372)+SUMIFS(Data!$G$2:$G$2657,Data!$A$2:$A$2657,$A372,Data!$B$2:$B$2657,$B372)</f>
        <v>119.163252</v>
      </c>
      <c r="E372" s="10" t="n">
        <f aca="false">IFERROR((SUMIFS(Data!$E$2:$E$2657,Data!$A$2:$A$2657,$A372,Data!$B$2:$B$2657,$B372,Data!$D$2:$D$2657,"Transmission")+SUMIFS(Data!$G$2:$G$2657,Data!$A$2:$A$2657,$A372,Data!$B$2:$B$2657,$B372,Data!$D$2:$D$2657,"Transmission"))/$D372,0)</f>
        <v>0.208106405152488</v>
      </c>
      <c r="F372" s="10" t="n">
        <f aca="false">IFERROR((SUMIFS(Data!$E$2:$E$2657,Data!$A$2:$A$2657,$A372,Data!$B$2:$B$2657,$B372,Data!$D$2:$D$2657,"Distribution")+SUMIFS(Data!$G$2:$G$2657,Data!$A$2:$A$2657,$A372,Data!$B$2:$B$2657,$B372,Data!$D$2:$D$2657,"Distribution"))/$D372,0)</f>
        <v>0.280705959585594</v>
      </c>
      <c r="G372" s="10" t="n">
        <f aca="false">IFERROR((SUMIFS(Data!$E$2:$E$2657,Data!$A$2:$A$2657,$A372,Data!$B$2:$B$2657,$B372,Data!$D$2:$D$2657,"RTO/market operation")+SUMIFS(Data!$G$2:$G$2657,Data!$A$2:$A$2657,$A372,Data!$B$2:$B$2657,$B372,Data!$D$2:$D$2657,"RTO/market operation"))/$D372,0)</f>
        <v>0</v>
      </c>
      <c r="H372" s="10" t="n">
        <f aca="false">IFERROR((SUMIFS(Data!$E$2:$E$2657,Data!$A$2:$A$2657,$A372,Data!$B$2:$B$2657,$B372,Data!$D$2:$D$2657,"Customer accounts, service &amp; sales")+SUMIFS(Data!$G$2:$G$2657,Data!$A$2:$A$2657,$A372,Data!$B$2:$B$2657,$B372,Data!$D$2:$D$2657,"Customer accounts, service &amp; sales"))/$D372,0)</f>
        <v>0.156922462975415</v>
      </c>
      <c r="I372" s="10" t="n">
        <f aca="false">IFERROR((SUMIFS(Data!$E$2:$E$2657,Data!$A$2:$A$2657,$A372,Data!$B$2:$B$2657,$B372,Data!$D$2:$D$2657,"A&amp;G and general")+SUMIFS(Data!$G$2:$G$2657,Data!$A$2:$A$2657,$A372,Data!$B$2:$B$2657,$B372,Data!$D$2:$D$2657,"A&amp;G and general"))/$D372,0)</f>
        <v>0.354265172286503</v>
      </c>
      <c r="J372" s="10" t="n">
        <f aca="false">IFERROR(SUMIFS(Data!$F$2:$F$2657,Data!$A$2:$A$2657,$A372,Data!$B$2:$B$2657,$B372)/$D372,0)</f>
        <v>0</v>
      </c>
      <c r="K372" s="11" t="n">
        <f aca="false">SUM(E372:I372)</f>
        <v>1</v>
      </c>
    </row>
    <row r="373" customFormat="false" ht="15" hidden="false" customHeight="false" outlineLevel="0" collapsed="false">
      <c r="A373" s="7" t="n">
        <v>2014</v>
      </c>
      <c r="B373" s="12" t="s">
        <v>79</v>
      </c>
      <c r="C373" s="12" t="s">
        <v>72</v>
      </c>
      <c r="D373" s="9" t="n">
        <f aca="false">SUMIFS(Data!$E$2:$E$2657,Data!$A$2:$A$2657,$A373,Data!$B$2:$B$2657,$B373)+SUMIFS(Data!$G$2:$G$2657,Data!$A$2:$A$2657,$A373,Data!$B$2:$B$2657,$B373)</f>
        <v>759.250889</v>
      </c>
      <c r="E373" s="10" t="n">
        <f aca="false">IFERROR((SUMIFS(Data!$E$2:$E$2657,Data!$A$2:$A$2657,$A373,Data!$B$2:$B$2657,$B373,Data!$D$2:$D$2657,"Transmission")+SUMIFS(Data!$G$2:$G$2657,Data!$A$2:$A$2657,$A373,Data!$B$2:$B$2657,$B373,Data!$D$2:$D$2657,"Transmission"))/$D373,0)</f>
        <v>0.363420148725042</v>
      </c>
      <c r="F373" s="10" t="n">
        <f aca="false">IFERROR((SUMIFS(Data!$E$2:$E$2657,Data!$A$2:$A$2657,$A373,Data!$B$2:$B$2657,$B373,Data!$D$2:$D$2657,"Distribution")+SUMIFS(Data!$G$2:$G$2657,Data!$A$2:$A$2657,$A373,Data!$B$2:$B$2657,$B373,Data!$D$2:$D$2657,"Distribution"))/$D373,0)</f>
        <v>0.240190485967281</v>
      </c>
      <c r="G373" s="10" t="n">
        <f aca="false">IFERROR((SUMIFS(Data!$E$2:$E$2657,Data!$A$2:$A$2657,$A373,Data!$B$2:$B$2657,$B373,Data!$D$2:$D$2657,"RTO/market operation")+SUMIFS(Data!$G$2:$G$2657,Data!$A$2:$A$2657,$A373,Data!$B$2:$B$2657,$B373,Data!$D$2:$D$2657,"RTO/market operation"))/$D373,0)</f>
        <v>0.00696707251402375</v>
      </c>
      <c r="H373" s="10" t="n">
        <f aca="false">IFERROR((SUMIFS(Data!$E$2:$E$2657,Data!$A$2:$A$2657,$A373,Data!$B$2:$B$2657,$B373,Data!$D$2:$D$2657,"Customer accounts, service &amp; sales")+SUMIFS(Data!$G$2:$G$2657,Data!$A$2:$A$2657,$A373,Data!$B$2:$B$2657,$B373,Data!$D$2:$D$2657,"Customer accounts, service &amp; sales"))/$D373,0)</f>
        <v>0.137690434762204</v>
      </c>
      <c r="I373" s="10" t="n">
        <f aca="false">IFERROR((SUMIFS(Data!$E$2:$E$2657,Data!$A$2:$A$2657,$A373,Data!$B$2:$B$2657,$B373,Data!$D$2:$D$2657,"A&amp;G and general")+SUMIFS(Data!$G$2:$G$2657,Data!$A$2:$A$2657,$A373,Data!$B$2:$B$2657,$B373,Data!$D$2:$D$2657,"A&amp;G and general"))/$D373,0)</f>
        <v>0.25173185803145</v>
      </c>
      <c r="J373" s="10" t="n">
        <f aca="false">IFERROR(SUMIFS(Data!$F$2:$F$2657,Data!$A$2:$A$2657,$A373,Data!$B$2:$B$2657,$B373)/$D373,0)</f>
        <v>0.357891910219416</v>
      </c>
      <c r="K373" s="11" t="n">
        <f aca="false">SUM(E373:I373)</f>
        <v>1</v>
      </c>
    </row>
    <row r="374" customFormat="false" ht="15" hidden="false" customHeight="false" outlineLevel="0" collapsed="false">
      <c r="A374" s="7" t="n">
        <v>2014</v>
      </c>
      <c r="B374" s="12" t="s">
        <v>80</v>
      </c>
      <c r="C374" s="12" t="s">
        <v>72</v>
      </c>
      <c r="D374" s="9" t="n">
        <f aca="false">SUMIFS(Data!$E$2:$E$2657,Data!$A$2:$A$2657,$A374,Data!$B$2:$B$2657,$B374)+SUMIFS(Data!$G$2:$G$2657,Data!$A$2:$A$2657,$A374,Data!$B$2:$B$2657,$B374)</f>
        <v>364.755127</v>
      </c>
      <c r="E374" s="10" t="n">
        <f aca="false">IFERROR((SUMIFS(Data!$E$2:$E$2657,Data!$A$2:$A$2657,$A374,Data!$B$2:$B$2657,$B374,Data!$D$2:$D$2657,"Transmission")+SUMIFS(Data!$G$2:$G$2657,Data!$A$2:$A$2657,$A374,Data!$B$2:$B$2657,$B374,Data!$D$2:$D$2657,"Transmission"))/$D374,0)</f>
        <v>0.346952439135969</v>
      </c>
      <c r="F374" s="10" t="n">
        <f aca="false">IFERROR((SUMIFS(Data!$E$2:$E$2657,Data!$A$2:$A$2657,$A374,Data!$B$2:$B$2657,$B374,Data!$D$2:$D$2657,"Distribution")+SUMIFS(Data!$G$2:$G$2657,Data!$A$2:$A$2657,$A374,Data!$B$2:$B$2657,$B374,Data!$D$2:$D$2657,"Distribution"))/$D374,0)</f>
        <v>0.21138130020034</v>
      </c>
      <c r="G374" s="10" t="n">
        <f aca="false">IFERROR((SUMIFS(Data!$E$2:$E$2657,Data!$A$2:$A$2657,$A374,Data!$B$2:$B$2657,$B374,Data!$D$2:$D$2657,"RTO/market operation")+SUMIFS(Data!$G$2:$G$2657,Data!$A$2:$A$2657,$A374,Data!$B$2:$B$2657,$B374,Data!$D$2:$D$2657,"RTO/market operation"))/$D374,0)</f>
        <v>0.00511652849227805</v>
      </c>
      <c r="H374" s="10" t="n">
        <f aca="false">IFERROR((SUMIFS(Data!$E$2:$E$2657,Data!$A$2:$A$2657,$A374,Data!$B$2:$B$2657,$B374,Data!$D$2:$D$2657,"Customer accounts, service &amp; sales")+SUMIFS(Data!$G$2:$G$2657,Data!$A$2:$A$2657,$A374,Data!$B$2:$B$2657,$B374,Data!$D$2:$D$2657,"Customer accounts, service &amp; sales"))/$D374,0)</f>
        <v>0.148160705634166</v>
      </c>
      <c r="I374" s="10" t="n">
        <f aca="false">IFERROR((SUMIFS(Data!$E$2:$E$2657,Data!$A$2:$A$2657,$A374,Data!$B$2:$B$2657,$B374,Data!$D$2:$D$2657,"A&amp;G and general")+SUMIFS(Data!$G$2:$G$2657,Data!$A$2:$A$2657,$A374,Data!$B$2:$B$2657,$B374,Data!$D$2:$D$2657,"A&amp;G and general"))/$D374,0)</f>
        <v>0.288389026537247</v>
      </c>
      <c r="J374" s="10" t="n">
        <f aca="false">IFERROR(SUMIFS(Data!$F$2:$F$2657,Data!$A$2:$A$2657,$A374,Data!$B$2:$B$2657,$B374)/$D374,0)</f>
        <v>0.340330662439188</v>
      </c>
      <c r="K374" s="11" t="n">
        <f aca="false">SUM(E374:I374)</f>
        <v>1</v>
      </c>
    </row>
    <row r="375" customFormat="false" ht="15" hidden="false" customHeight="false" outlineLevel="0" collapsed="false">
      <c r="A375" s="7" t="n">
        <v>2014</v>
      </c>
      <c r="B375" s="12" t="s">
        <v>81</v>
      </c>
      <c r="C375" s="12" t="s">
        <v>72</v>
      </c>
      <c r="D375" s="9" t="n">
        <f aca="false">SUMIFS(Data!$E$2:$E$2657,Data!$A$2:$A$2657,$A375,Data!$B$2:$B$2657,$B375)+SUMIFS(Data!$G$2:$G$2657,Data!$A$2:$A$2657,$A375,Data!$B$2:$B$2657,$B375)</f>
        <v>324.013075</v>
      </c>
      <c r="E375" s="10" t="n">
        <f aca="false">IFERROR((SUMIFS(Data!$E$2:$E$2657,Data!$A$2:$A$2657,$A375,Data!$B$2:$B$2657,$B375,Data!$D$2:$D$2657,"Transmission")+SUMIFS(Data!$G$2:$G$2657,Data!$A$2:$A$2657,$A375,Data!$B$2:$B$2657,$B375,Data!$D$2:$D$2657,"Transmission"))/$D375,0)</f>
        <v>0.386926965833092</v>
      </c>
      <c r="F375" s="10" t="n">
        <f aca="false">IFERROR((SUMIFS(Data!$E$2:$E$2657,Data!$A$2:$A$2657,$A375,Data!$B$2:$B$2657,$B375,Data!$D$2:$D$2657,"Distribution")+SUMIFS(Data!$G$2:$G$2657,Data!$A$2:$A$2657,$A375,Data!$B$2:$B$2657,$B375,Data!$D$2:$D$2657,"Distribution"))/$D375,0)</f>
        <v>0.226863496172184</v>
      </c>
      <c r="G375" s="10" t="n">
        <f aca="false">IFERROR((SUMIFS(Data!$E$2:$E$2657,Data!$A$2:$A$2657,$A375,Data!$B$2:$B$2657,$B375,Data!$D$2:$D$2657,"RTO/market operation")+SUMIFS(Data!$G$2:$G$2657,Data!$A$2:$A$2657,$A375,Data!$B$2:$B$2657,$B375,Data!$D$2:$D$2657,"RTO/market operation"))/$D375,0)</f>
        <v>0.00535487958317732</v>
      </c>
      <c r="H375" s="10" t="n">
        <f aca="false">IFERROR((SUMIFS(Data!$E$2:$E$2657,Data!$A$2:$A$2657,$A375,Data!$B$2:$B$2657,$B375,Data!$D$2:$D$2657,"Customer accounts, service &amp; sales")+SUMIFS(Data!$G$2:$G$2657,Data!$A$2:$A$2657,$A375,Data!$B$2:$B$2657,$B375,Data!$D$2:$D$2657,"Customer accounts, service &amp; sales"))/$D375,0)</f>
        <v>0.124853347353344</v>
      </c>
      <c r="I375" s="10" t="n">
        <f aca="false">IFERROR((SUMIFS(Data!$E$2:$E$2657,Data!$A$2:$A$2657,$A375,Data!$B$2:$B$2657,$B375,Data!$D$2:$D$2657,"A&amp;G and general")+SUMIFS(Data!$G$2:$G$2657,Data!$A$2:$A$2657,$A375,Data!$B$2:$B$2657,$B375,Data!$D$2:$D$2657,"A&amp;G and general"))/$D375,0)</f>
        <v>0.256001311058203</v>
      </c>
      <c r="J375" s="10" t="n">
        <f aca="false">IFERROR(SUMIFS(Data!$F$2:$F$2657,Data!$A$2:$A$2657,$A375,Data!$B$2:$B$2657,$B375)/$D375,0)</f>
        <v>0.380924584602026</v>
      </c>
      <c r="K375" s="11" t="n">
        <f aca="false">SUM(E375:I375)</f>
        <v>1</v>
      </c>
    </row>
    <row r="376" customFormat="false" ht="15" hidden="false" customHeight="false" outlineLevel="0" collapsed="false">
      <c r="A376" s="7" t="n">
        <v>2015</v>
      </c>
      <c r="B376" s="12" t="s">
        <v>56</v>
      </c>
      <c r="C376" s="12" t="s">
        <v>57</v>
      </c>
      <c r="D376" s="9" t="n">
        <f aca="false">SUMIFS(Data!$E$2:$E$2657,Data!$A$2:$A$2657,$A376,Data!$B$2:$B$2657,$B376)+SUMIFS(Data!$G$2:$G$2657,Data!$A$2:$A$2657,$A376,Data!$B$2:$B$2657,$B376)</f>
        <v>233.956952</v>
      </c>
      <c r="E376" s="10" t="n">
        <f aca="false">IFERROR((SUMIFS(Data!$E$2:$E$2657,Data!$A$2:$A$2657,$A376,Data!$B$2:$B$2657,$B376,Data!$D$2:$D$2657,"Transmission")+SUMIFS(Data!$G$2:$G$2657,Data!$A$2:$A$2657,$A376,Data!$B$2:$B$2657,$B376,Data!$D$2:$D$2657,"Transmission"))/$D376,0)</f>
        <v>0.386700434531221</v>
      </c>
      <c r="F376" s="10" t="n">
        <f aca="false">IFERROR((SUMIFS(Data!$E$2:$E$2657,Data!$A$2:$A$2657,$A376,Data!$B$2:$B$2657,$B376,Data!$D$2:$D$2657,"Distribution")+SUMIFS(Data!$G$2:$G$2657,Data!$A$2:$A$2657,$A376,Data!$B$2:$B$2657,$B376,Data!$D$2:$D$2657,"Distribution"))/$D376,0)</f>
        <v>0.178486326835032</v>
      </c>
      <c r="G376" s="10" t="n">
        <f aca="false">IFERROR((SUMIFS(Data!$E$2:$E$2657,Data!$A$2:$A$2657,$A376,Data!$B$2:$B$2657,$B376,Data!$D$2:$D$2657,"RTO/market operation")+SUMIFS(Data!$G$2:$G$2657,Data!$A$2:$A$2657,$A376,Data!$B$2:$B$2657,$B376,Data!$D$2:$D$2657,"RTO/market operation"))/$D376,0)</f>
        <v>0</v>
      </c>
      <c r="H376" s="10" t="n">
        <f aca="false">IFERROR((SUMIFS(Data!$E$2:$E$2657,Data!$A$2:$A$2657,$A376,Data!$B$2:$B$2657,$B376,Data!$D$2:$D$2657,"Customer accounts, service &amp; sales")+SUMIFS(Data!$G$2:$G$2657,Data!$A$2:$A$2657,$A376,Data!$B$2:$B$2657,$B376,Data!$D$2:$D$2657,"Customer accounts, service &amp; sales"))/$D376,0)</f>
        <v>0.0598459241339407</v>
      </c>
      <c r="I376" s="10" t="n">
        <f aca="false">IFERROR((SUMIFS(Data!$E$2:$E$2657,Data!$A$2:$A$2657,$A376,Data!$B$2:$B$2657,$B376,Data!$D$2:$D$2657,"A&amp;G and general")+SUMIFS(Data!$G$2:$G$2657,Data!$A$2:$A$2657,$A376,Data!$B$2:$B$2657,$B376,Data!$D$2:$D$2657,"A&amp;G and general"))/$D376,0)</f>
        <v>0.374967314499806</v>
      </c>
      <c r="J376" s="10" t="n">
        <f aca="false">IFERROR(SUMIFS(Data!$F$2:$F$2657,Data!$A$2:$A$2657,$A376,Data!$B$2:$B$2657,$B376)/$D376,0)</f>
        <v>0.216509291846134</v>
      </c>
      <c r="K376" s="11" t="n">
        <f aca="false">SUM(E376:I376)</f>
        <v>1</v>
      </c>
    </row>
    <row r="377" customFormat="false" ht="15" hidden="false" customHeight="false" outlineLevel="0" collapsed="false">
      <c r="A377" s="7" t="n">
        <v>2015</v>
      </c>
      <c r="B377" s="12" t="s">
        <v>58</v>
      </c>
      <c r="C377" s="12" t="s">
        <v>59</v>
      </c>
      <c r="D377" s="9" t="n">
        <f aca="false">SUMIFS(Data!$E$2:$E$2657,Data!$A$2:$A$2657,$A377,Data!$B$2:$B$2657,$B377)+SUMIFS(Data!$G$2:$G$2657,Data!$A$2:$A$2657,$A377,Data!$B$2:$B$2657,$B377)</f>
        <v>829.135032</v>
      </c>
      <c r="E377" s="10" t="n">
        <f aca="false">IFERROR((SUMIFS(Data!$E$2:$E$2657,Data!$A$2:$A$2657,$A377,Data!$B$2:$B$2657,$B377,Data!$D$2:$D$2657,"Transmission")+SUMIFS(Data!$G$2:$G$2657,Data!$A$2:$A$2657,$A377,Data!$B$2:$B$2657,$B377,Data!$D$2:$D$2657,"Transmission"))/$D377,0)</f>
        <v>0.0978201980012346</v>
      </c>
      <c r="F377" s="10" t="n">
        <f aca="false">IFERROR((SUMIFS(Data!$E$2:$E$2657,Data!$A$2:$A$2657,$A377,Data!$B$2:$B$2657,$B377,Data!$D$2:$D$2657,"Distribution")+SUMIFS(Data!$G$2:$G$2657,Data!$A$2:$A$2657,$A377,Data!$B$2:$B$2657,$B377,Data!$D$2:$D$2657,"Distribution"))/$D377,0)</f>
        <v>0.514867684423205</v>
      </c>
      <c r="G377" s="10" t="n">
        <f aca="false">IFERROR((SUMIFS(Data!$E$2:$E$2657,Data!$A$2:$A$2657,$A377,Data!$B$2:$B$2657,$B377,Data!$D$2:$D$2657,"RTO/market operation")+SUMIFS(Data!$G$2:$G$2657,Data!$A$2:$A$2657,$A377,Data!$B$2:$B$2657,$B377,Data!$D$2:$D$2657,"RTO/market operation"))/$D377,0)</f>
        <v>0.00114374976740821</v>
      </c>
      <c r="H377" s="10" t="n">
        <f aca="false">IFERROR((SUMIFS(Data!$E$2:$E$2657,Data!$A$2:$A$2657,$A377,Data!$B$2:$B$2657,$B377,Data!$D$2:$D$2657,"Customer accounts, service &amp; sales")+SUMIFS(Data!$G$2:$G$2657,Data!$A$2:$A$2657,$A377,Data!$B$2:$B$2657,$B377,Data!$D$2:$D$2657,"Customer accounts, service &amp; sales"))/$D377,0)</f>
        <v>0.167500118364315</v>
      </c>
      <c r="I377" s="10" t="n">
        <f aca="false">IFERROR((SUMIFS(Data!$E$2:$E$2657,Data!$A$2:$A$2657,$A377,Data!$B$2:$B$2657,$B377,Data!$D$2:$D$2657,"A&amp;G and general")+SUMIFS(Data!$G$2:$G$2657,Data!$A$2:$A$2657,$A377,Data!$B$2:$B$2657,$B377,Data!$D$2:$D$2657,"A&amp;G and general"))/$D377,0)</f>
        <v>0.218668249443837</v>
      </c>
      <c r="J377" s="10" t="n">
        <f aca="false">IFERROR(SUMIFS(Data!$F$2:$F$2657,Data!$A$2:$A$2657,$A377,Data!$B$2:$B$2657,$B377)/$D377,0)</f>
        <v>0.0227935671158567</v>
      </c>
      <c r="K377" s="11" t="n">
        <f aca="false">SUM(E377:I377)</f>
        <v>1</v>
      </c>
    </row>
    <row r="378" customFormat="false" ht="15" hidden="false" customHeight="false" outlineLevel="0" collapsed="false">
      <c r="A378" s="7" t="n">
        <v>2015</v>
      </c>
      <c r="B378" s="12" t="s">
        <v>60</v>
      </c>
      <c r="C378" s="12" t="s">
        <v>59</v>
      </c>
      <c r="D378" s="9" t="n">
        <f aca="false">SUMIFS(Data!$E$2:$E$2657,Data!$A$2:$A$2657,$A378,Data!$B$2:$B$2657,$B378)+SUMIFS(Data!$G$2:$G$2657,Data!$A$2:$A$2657,$A378,Data!$B$2:$B$2657,$B378)</f>
        <v>2353.563846</v>
      </c>
      <c r="E378" s="10" t="n">
        <f aca="false">IFERROR((SUMIFS(Data!$E$2:$E$2657,Data!$A$2:$A$2657,$A378,Data!$B$2:$B$2657,$B378,Data!$D$2:$D$2657,"Transmission")+SUMIFS(Data!$G$2:$G$2657,Data!$A$2:$A$2657,$A378,Data!$B$2:$B$2657,$B378,Data!$D$2:$D$2657,"Transmission"))/$D378,0)</f>
        <v>0.162985776507378</v>
      </c>
      <c r="F378" s="10" t="n">
        <f aca="false">IFERROR((SUMIFS(Data!$E$2:$E$2657,Data!$A$2:$A$2657,$A378,Data!$B$2:$B$2657,$B378,Data!$D$2:$D$2657,"Distribution")+SUMIFS(Data!$G$2:$G$2657,Data!$A$2:$A$2657,$A378,Data!$B$2:$B$2657,$B378,Data!$D$2:$D$2657,"Distribution"))/$D378,0)</f>
        <v>0.369193723160209</v>
      </c>
      <c r="G378" s="10" t="n">
        <f aca="false">IFERROR((SUMIFS(Data!$E$2:$E$2657,Data!$A$2:$A$2657,$A378,Data!$B$2:$B$2657,$B378,Data!$D$2:$D$2657,"RTO/market operation")+SUMIFS(Data!$G$2:$G$2657,Data!$A$2:$A$2657,$A378,Data!$B$2:$B$2657,$B378,Data!$D$2:$D$2657,"RTO/market operation"))/$D378,0)</f>
        <v>0.00149610302944805</v>
      </c>
      <c r="H378" s="10" t="n">
        <f aca="false">IFERROR((SUMIFS(Data!$E$2:$E$2657,Data!$A$2:$A$2657,$A378,Data!$B$2:$B$2657,$B378,Data!$D$2:$D$2657,"Customer accounts, service &amp; sales")+SUMIFS(Data!$G$2:$G$2657,Data!$A$2:$A$2657,$A378,Data!$B$2:$B$2657,$B378,Data!$D$2:$D$2657,"Customer accounts, service &amp; sales"))/$D378,0)</f>
        <v>0.211961711957739</v>
      </c>
      <c r="I378" s="10" t="n">
        <f aca="false">IFERROR((SUMIFS(Data!$E$2:$E$2657,Data!$A$2:$A$2657,$A378,Data!$B$2:$B$2657,$B378,Data!$D$2:$D$2657,"A&amp;G and general")+SUMIFS(Data!$G$2:$G$2657,Data!$A$2:$A$2657,$A378,Data!$B$2:$B$2657,$B378,Data!$D$2:$D$2657,"A&amp;G and general"))/$D378,0)</f>
        <v>0.254362685345227</v>
      </c>
      <c r="J378" s="10" t="n">
        <f aca="false">IFERROR(SUMIFS(Data!$F$2:$F$2657,Data!$A$2:$A$2657,$A378,Data!$B$2:$B$2657,$B378)/$D378,0)</f>
        <v>0.0030477864504042</v>
      </c>
      <c r="K378" s="11" t="n">
        <f aca="false">SUM(E378:I378)</f>
        <v>1</v>
      </c>
    </row>
    <row r="379" customFormat="false" ht="15" hidden="false" customHeight="false" outlineLevel="0" collapsed="false">
      <c r="A379" s="7" t="n">
        <v>2015</v>
      </c>
      <c r="B379" s="12" t="s">
        <v>61</v>
      </c>
      <c r="C379" s="12" t="s">
        <v>62</v>
      </c>
      <c r="D379" s="9" t="n">
        <f aca="false">SUMIFS(Data!$E$2:$E$2657,Data!$A$2:$A$2657,$A379,Data!$B$2:$B$2657,$B379)+SUMIFS(Data!$G$2:$G$2657,Data!$A$2:$A$2657,$A379,Data!$B$2:$B$2657,$B379)</f>
        <v>1145.562715</v>
      </c>
      <c r="E379" s="10" t="n">
        <f aca="false">IFERROR((SUMIFS(Data!$E$2:$E$2657,Data!$A$2:$A$2657,$A379,Data!$B$2:$B$2657,$B379,Data!$D$2:$D$2657,"Transmission")+SUMIFS(Data!$G$2:$G$2657,Data!$A$2:$A$2657,$A379,Data!$B$2:$B$2657,$B379,Data!$D$2:$D$2657,"Transmission"))/$D379,0)</f>
        <v>0.302127429138613</v>
      </c>
      <c r="F379" s="10" t="n">
        <f aca="false">IFERROR((SUMIFS(Data!$E$2:$E$2657,Data!$A$2:$A$2657,$A379,Data!$B$2:$B$2657,$B379,Data!$D$2:$D$2657,"Distribution")+SUMIFS(Data!$G$2:$G$2657,Data!$A$2:$A$2657,$A379,Data!$B$2:$B$2657,$B379,Data!$D$2:$D$2657,"Distribution"))/$D379,0)</f>
        <v>0.324498206979441</v>
      </c>
      <c r="G379" s="10" t="n">
        <f aca="false">IFERROR((SUMIFS(Data!$E$2:$E$2657,Data!$A$2:$A$2657,$A379,Data!$B$2:$B$2657,$B379,Data!$D$2:$D$2657,"RTO/market operation")+SUMIFS(Data!$G$2:$G$2657,Data!$A$2:$A$2657,$A379,Data!$B$2:$B$2657,$B379,Data!$D$2:$D$2657,"RTO/market operation"))/$D379,0)</f>
        <v>0.00601217716831854</v>
      </c>
      <c r="H379" s="10" t="n">
        <f aca="false">IFERROR((SUMIFS(Data!$E$2:$E$2657,Data!$A$2:$A$2657,$A379,Data!$B$2:$B$2657,$B379,Data!$D$2:$D$2657,"Customer accounts, service &amp; sales")+SUMIFS(Data!$G$2:$G$2657,Data!$A$2:$A$2657,$A379,Data!$B$2:$B$2657,$B379,Data!$D$2:$D$2657,"Customer accounts, service &amp; sales"))/$D379,0)</f>
        <v>0.158594073131998</v>
      </c>
      <c r="I379" s="10" t="n">
        <f aca="false">IFERROR((SUMIFS(Data!$E$2:$E$2657,Data!$A$2:$A$2657,$A379,Data!$B$2:$B$2657,$B379,Data!$D$2:$D$2657,"A&amp;G and general")+SUMIFS(Data!$G$2:$G$2657,Data!$A$2:$A$2657,$A379,Data!$B$2:$B$2657,$B379,Data!$D$2:$D$2657,"A&amp;G and general"))/$D379,0)</f>
        <v>0.20876811358163</v>
      </c>
      <c r="J379" s="10" t="n">
        <f aca="false">IFERROR(SUMIFS(Data!$F$2:$F$2657,Data!$A$2:$A$2657,$A379,Data!$B$2:$B$2657,$B379)/$D379,0)</f>
        <v>0.293947298206192</v>
      </c>
      <c r="K379" s="11" t="n">
        <f aca="false">SUM(E379:I379)</f>
        <v>1</v>
      </c>
    </row>
    <row r="380" customFormat="false" ht="15" hidden="false" customHeight="false" outlineLevel="0" collapsed="false">
      <c r="A380" s="7" t="n">
        <v>2015</v>
      </c>
      <c r="B380" s="12" t="s">
        <v>63</v>
      </c>
      <c r="C380" s="12" t="s">
        <v>62</v>
      </c>
      <c r="D380" s="9" t="n">
        <f aca="false">SUMIFS(Data!$E$2:$E$2657,Data!$A$2:$A$2657,$A380,Data!$B$2:$B$2657,$B380)+SUMIFS(Data!$G$2:$G$2657,Data!$A$2:$A$2657,$A380,Data!$B$2:$B$2657,$B380)</f>
        <v>1577.989945</v>
      </c>
      <c r="E380" s="10" t="n">
        <f aca="false">IFERROR((SUMIFS(Data!$E$2:$E$2657,Data!$A$2:$A$2657,$A380,Data!$B$2:$B$2657,$B380,Data!$D$2:$D$2657,"Transmission")+SUMIFS(Data!$G$2:$G$2657,Data!$A$2:$A$2657,$A380,Data!$B$2:$B$2657,$B380,Data!$D$2:$D$2657,"Transmission"))/$D380,0)</f>
        <v>0.205167889076758</v>
      </c>
      <c r="F380" s="10" t="n">
        <f aca="false">IFERROR((SUMIFS(Data!$E$2:$E$2657,Data!$A$2:$A$2657,$A380,Data!$B$2:$B$2657,$B380,Data!$D$2:$D$2657,"Distribution")+SUMIFS(Data!$G$2:$G$2657,Data!$A$2:$A$2657,$A380,Data!$B$2:$B$2657,$B380,Data!$D$2:$D$2657,"Distribution"))/$D380,0)</f>
        <v>0.349630198689257</v>
      </c>
      <c r="G380" s="10" t="n">
        <f aca="false">IFERROR((SUMIFS(Data!$E$2:$E$2657,Data!$A$2:$A$2657,$A380,Data!$B$2:$B$2657,$B380,Data!$D$2:$D$2657,"RTO/market operation")+SUMIFS(Data!$G$2:$G$2657,Data!$A$2:$A$2657,$A380,Data!$B$2:$B$2657,$B380,Data!$D$2:$D$2657,"RTO/market operation"))/$D380,0)</f>
        <v>0.00560133670560239</v>
      </c>
      <c r="H380" s="10" t="n">
        <f aca="false">IFERROR((SUMIFS(Data!$E$2:$E$2657,Data!$A$2:$A$2657,$A380,Data!$B$2:$B$2657,$B380,Data!$D$2:$D$2657,"Customer accounts, service &amp; sales")+SUMIFS(Data!$G$2:$G$2657,Data!$A$2:$A$2657,$A380,Data!$B$2:$B$2657,$B380,Data!$D$2:$D$2657,"Customer accounts, service &amp; sales"))/$D380,0)</f>
        <v>0.159003575273098</v>
      </c>
      <c r="I380" s="10" t="n">
        <f aca="false">IFERROR((SUMIFS(Data!$E$2:$E$2657,Data!$A$2:$A$2657,$A380,Data!$B$2:$B$2657,$B380,Data!$D$2:$D$2657,"A&amp;G and general")+SUMIFS(Data!$G$2:$G$2657,Data!$A$2:$A$2657,$A380,Data!$B$2:$B$2657,$B380,Data!$D$2:$D$2657,"A&amp;G and general"))/$D380,0)</f>
        <v>0.280597000255284</v>
      </c>
      <c r="J380" s="10" t="n">
        <f aca="false">IFERROR(SUMIFS(Data!$F$2:$F$2657,Data!$A$2:$A$2657,$A380,Data!$B$2:$B$2657,$B380)/$D380,0)</f>
        <v>0.178848347477905</v>
      </c>
      <c r="K380" s="11" t="n">
        <f aca="false">SUM(E380:I380)</f>
        <v>1</v>
      </c>
    </row>
    <row r="381" customFormat="false" ht="15" hidden="false" customHeight="false" outlineLevel="0" collapsed="false">
      <c r="A381" s="7" t="n">
        <v>2015</v>
      </c>
      <c r="B381" s="12" t="s">
        <v>64</v>
      </c>
      <c r="C381" s="12" t="s">
        <v>65</v>
      </c>
      <c r="D381" s="9" t="n">
        <f aca="false">SUMIFS(Data!$E$2:$E$2657,Data!$A$2:$A$2657,$A381,Data!$B$2:$B$2657,$B381)+SUMIFS(Data!$G$2:$G$2657,Data!$A$2:$A$2657,$A381,Data!$B$2:$B$2657,$B381)</f>
        <v>503.550433</v>
      </c>
      <c r="E381" s="10" t="n">
        <f aca="false">IFERROR((SUMIFS(Data!$E$2:$E$2657,Data!$A$2:$A$2657,$A381,Data!$B$2:$B$2657,$B381,Data!$D$2:$D$2657,"Transmission")+SUMIFS(Data!$G$2:$G$2657,Data!$A$2:$A$2657,$A381,Data!$B$2:$B$2657,$B381,Data!$D$2:$D$2657,"Transmission"))/$D381,0)</f>
        <v>0.186963217247397</v>
      </c>
      <c r="F381" s="10" t="n">
        <f aca="false">IFERROR((SUMIFS(Data!$E$2:$E$2657,Data!$A$2:$A$2657,$A381,Data!$B$2:$B$2657,$B381,Data!$D$2:$D$2657,"Distribution")+SUMIFS(Data!$G$2:$G$2657,Data!$A$2:$A$2657,$A381,Data!$B$2:$B$2657,$B381,Data!$D$2:$D$2657,"Distribution"))/$D381,0)</f>
        <v>0.338628266058903</v>
      </c>
      <c r="G381" s="10" t="n">
        <f aca="false">IFERROR((SUMIFS(Data!$E$2:$E$2657,Data!$A$2:$A$2657,$A381,Data!$B$2:$B$2657,$B381,Data!$D$2:$D$2657,"RTO/market operation")+SUMIFS(Data!$G$2:$G$2657,Data!$A$2:$A$2657,$A381,Data!$B$2:$B$2657,$B381,Data!$D$2:$D$2657,"RTO/market operation"))/$D381,0)</f>
        <v>0.0106613591175286</v>
      </c>
      <c r="H381" s="10" t="n">
        <f aca="false">IFERROR((SUMIFS(Data!$E$2:$E$2657,Data!$A$2:$A$2657,$A381,Data!$B$2:$B$2657,$B381,Data!$D$2:$D$2657,"Customer accounts, service &amp; sales")+SUMIFS(Data!$G$2:$G$2657,Data!$A$2:$A$2657,$A381,Data!$B$2:$B$2657,$B381,Data!$D$2:$D$2657,"Customer accounts, service &amp; sales"))/$D381,0)</f>
        <v>0.0983986602986398</v>
      </c>
      <c r="I381" s="10" t="n">
        <f aca="false">IFERROR((SUMIFS(Data!$E$2:$E$2657,Data!$A$2:$A$2657,$A381,Data!$B$2:$B$2657,$B381,Data!$D$2:$D$2657,"A&amp;G and general")+SUMIFS(Data!$G$2:$G$2657,Data!$A$2:$A$2657,$A381,Data!$B$2:$B$2657,$B381,Data!$D$2:$D$2657,"A&amp;G and general"))/$D381,0)</f>
        <v>0.365348497277531</v>
      </c>
      <c r="J381" s="10" t="n">
        <f aca="false">IFERROR(SUMIFS(Data!$F$2:$F$2657,Data!$A$2:$A$2657,$A381,Data!$B$2:$B$2657,$B381)/$D381,0)</f>
        <v>0.0616972560522056</v>
      </c>
      <c r="K381" s="11" t="n">
        <f aca="false">SUM(E381:I381)</f>
        <v>1</v>
      </c>
    </row>
    <row r="382" customFormat="false" ht="15" hidden="false" customHeight="false" outlineLevel="0" collapsed="false">
      <c r="A382" s="7" t="n">
        <v>2015</v>
      </c>
      <c r="B382" s="12" t="s">
        <v>66</v>
      </c>
      <c r="C382" s="12" t="s">
        <v>67</v>
      </c>
      <c r="D382" s="9" t="n">
        <f aca="false">SUMIFS(Data!$E$2:$E$2657,Data!$A$2:$A$2657,$A382,Data!$B$2:$B$2657,$B382)+SUMIFS(Data!$G$2:$G$2657,Data!$A$2:$A$2657,$A382,Data!$B$2:$B$2657,$B382)</f>
        <v>396.17386</v>
      </c>
      <c r="E382" s="10" t="n">
        <f aca="false">IFERROR((SUMIFS(Data!$E$2:$E$2657,Data!$A$2:$A$2657,$A382,Data!$B$2:$B$2657,$B382,Data!$D$2:$D$2657,"Transmission")+SUMIFS(Data!$G$2:$G$2657,Data!$A$2:$A$2657,$A382,Data!$B$2:$B$2657,$B382,Data!$D$2:$D$2657,"Transmission"))/$D382,0)</f>
        <v>0.27861199625841</v>
      </c>
      <c r="F382" s="10" t="n">
        <f aca="false">IFERROR((SUMIFS(Data!$E$2:$E$2657,Data!$A$2:$A$2657,$A382,Data!$B$2:$B$2657,$B382,Data!$D$2:$D$2657,"Distribution")+SUMIFS(Data!$G$2:$G$2657,Data!$A$2:$A$2657,$A382,Data!$B$2:$B$2657,$B382,Data!$D$2:$D$2657,"Distribution"))/$D382,0)</f>
        <v>0.269144105065387</v>
      </c>
      <c r="G382" s="10" t="n">
        <f aca="false">IFERROR((SUMIFS(Data!$E$2:$E$2657,Data!$A$2:$A$2657,$A382,Data!$B$2:$B$2657,$B382,Data!$D$2:$D$2657,"RTO/market operation")+SUMIFS(Data!$G$2:$G$2657,Data!$A$2:$A$2657,$A382,Data!$B$2:$B$2657,$B382,Data!$D$2:$D$2657,"RTO/market operation"))/$D382,0)</f>
        <v>0.00973699526768374</v>
      </c>
      <c r="H382" s="10" t="n">
        <f aca="false">IFERROR((SUMIFS(Data!$E$2:$E$2657,Data!$A$2:$A$2657,$A382,Data!$B$2:$B$2657,$B382,Data!$D$2:$D$2657,"Customer accounts, service &amp; sales")+SUMIFS(Data!$G$2:$G$2657,Data!$A$2:$A$2657,$A382,Data!$B$2:$B$2657,$B382,Data!$D$2:$D$2657,"Customer accounts, service &amp; sales"))/$D382,0)</f>
        <v>0.0896464951019232</v>
      </c>
      <c r="I382" s="10" t="n">
        <f aca="false">IFERROR((SUMIFS(Data!$E$2:$E$2657,Data!$A$2:$A$2657,$A382,Data!$B$2:$B$2657,$B382,Data!$D$2:$D$2657,"A&amp;G and general")+SUMIFS(Data!$G$2:$G$2657,Data!$A$2:$A$2657,$A382,Data!$B$2:$B$2657,$B382,Data!$D$2:$D$2657,"A&amp;G and general"))/$D382,0)</f>
        <v>0.352860408306596</v>
      </c>
      <c r="J382" s="10" t="n">
        <f aca="false">IFERROR(SUMIFS(Data!$F$2:$F$2657,Data!$A$2:$A$2657,$A382,Data!$B$2:$B$2657,$B382)/$D382,0)</f>
        <v>0.133056817529556</v>
      </c>
      <c r="K382" s="11" t="n">
        <f aca="false">SUM(E382:I382)</f>
        <v>1</v>
      </c>
    </row>
    <row r="383" customFormat="false" ht="15" hidden="false" customHeight="false" outlineLevel="0" collapsed="false">
      <c r="A383" s="7" t="n">
        <v>2015</v>
      </c>
      <c r="B383" s="12" t="s">
        <v>68</v>
      </c>
      <c r="C383" s="12" t="s">
        <v>65</v>
      </c>
      <c r="D383" s="9" t="n">
        <f aca="false">SUMIFS(Data!$E$2:$E$2657,Data!$A$2:$A$2657,$A383,Data!$B$2:$B$2657,$B383)+SUMIFS(Data!$G$2:$G$2657,Data!$A$2:$A$2657,$A383,Data!$B$2:$B$2657,$B383)</f>
        <v>290.134364</v>
      </c>
      <c r="E383" s="10" t="n">
        <f aca="false">IFERROR((SUMIFS(Data!$E$2:$E$2657,Data!$A$2:$A$2657,$A383,Data!$B$2:$B$2657,$B383,Data!$D$2:$D$2657,"Transmission")+SUMIFS(Data!$G$2:$G$2657,Data!$A$2:$A$2657,$A383,Data!$B$2:$B$2657,$B383,Data!$D$2:$D$2657,"Transmission"))/$D383,0)</f>
        <v>0.0586300008226533</v>
      </c>
      <c r="F383" s="10" t="n">
        <f aca="false">IFERROR((SUMIFS(Data!$E$2:$E$2657,Data!$A$2:$A$2657,$A383,Data!$B$2:$B$2657,$B383,Data!$D$2:$D$2657,"Distribution")+SUMIFS(Data!$G$2:$G$2657,Data!$A$2:$A$2657,$A383,Data!$B$2:$B$2657,$B383,Data!$D$2:$D$2657,"Distribution"))/$D383,0)</f>
        <v>0.37243987409916</v>
      </c>
      <c r="G383" s="10" t="n">
        <f aca="false">IFERROR((SUMIFS(Data!$E$2:$E$2657,Data!$A$2:$A$2657,$A383,Data!$B$2:$B$2657,$B383,Data!$D$2:$D$2657,"RTO/market operation")+SUMIFS(Data!$G$2:$G$2657,Data!$A$2:$A$2657,$A383,Data!$B$2:$B$2657,$B383,Data!$D$2:$D$2657,"RTO/market operation"))/$D383,0)</f>
        <v>0.000185203845760235</v>
      </c>
      <c r="H383" s="10" t="n">
        <f aca="false">IFERROR((SUMIFS(Data!$E$2:$E$2657,Data!$A$2:$A$2657,$A383,Data!$B$2:$B$2657,$B383,Data!$D$2:$D$2657,"Customer accounts, service &amp; sales")+SUMIFS(Data!$G$2:$G$2657,Data!$A$2:$A$2657,$A383,Data!$B$2:$B$2657,$B383,Data!$D$2:$D$2657,"Customer accounts, service &amp; sales"))/$D383,0)</f>
        <v>0.0791022224447704</v>
      </c>
      <c r="I383" s="10" t="n">
        <f aca="false">IFERROR((SUMIFS(Data!$E$2:$E$2657,Data!$A$2:$A$2657,$A383,Data!$B$2:$B$2657,$B383,Data!$D$2:$D$2657,"A&amp;G and general")+SUMIFS(Data!$G$2:$G$2657,Data!$A$2:$A$2657,$A383,Data!$B$2:$B$2657,$B383,Data!$D$2:$D$2657,"A&amp;G and general"))/$D383,0)</f>
        <v>0.489642698787656</v>
      </c>
      <c r="J383" s="10" t="n">
        <f aca="false">IFERROR(SUMIFS(Data!$F$2:$F$2657,Data!$A$2:$A$2657,$A383,Data!$B$2:$B$2657,$B383)/$D383,0)</f>
        <v>0.0112636467977988</v>
      </c>
      <c r="K383" s="11" t="n">
        <f aca="false">SUM(E383:I383)</f>
        <v>1</v>
      </c>
    </row>
    <row r="384" customFormat="false" ht="15" hidden="false" customHeight="false" outlineLevel="0" collapsed="false">
      <c r="A384" s="7" t="n">
        <v>2015</v>
      </c>
      <c r="B384" s="12" t="s">
        <v>69</v>
      </c>
      <c r="C384" s="12" t="s">
        <v>70</v>
      </c>
      <c r="D384" s="9" t="n">
        <f aca="false">SUMIFS(Data!$E$2:$E$2657,Data!$A$2:$A$2657,$A384,Data!$B$2:$B$2657,$B384)+SUMIFS(Data!$G$2:$G$2657,Data!$A$2:$A$2657,$A384,Data!$B$2:$B$2657,$B384)</f>
        <v>620.176912</v>
      </c>
      <c r="E384" s="10" t="n">
        <f aca="false">IFERROR((SUMIFS(Data!$E$2:$E$2657,Data!$A$2:$A$2657,$A384,Data!$B$2:$B$2657,$B384,Data!$D$2:$D$2657,"Transmission")+SUMIFS(Data!$G$2:$G$2657,Data!$A$2:$A$2657,$A384,Data!$B$2:$B$2657,$B384,Data!$D$2:$D$2657,"Transmission"))/$D384,0)</f>
        <v>0.533504351093934</v>
      </c>
      <c r="F384" s="10" t="n">
        <f aca="false">IFERROR((SUMIFS(Data!$E$2:$E$2657,Data!$A$2:$A$2657,$A384,Data!$B$2:$B$2657,$B384,Data!$D$2:$D$2657,"Distribution")+SUMIFS(Data!$G$2:$G$2657,Data!$A$2:$A$2657,$A384,Data!$B$2:$B$2657,$B384,Data!$D$2:$D$2657,"Distribution"))/$D384,0)</f>
        <v>0.150098718928124</v>
      </c>
      <c r="G384" s="10" t="n">
        <f aca="false">IFERROR((SUMIFS(Data!$E$2:$E$2657,Data!$A$2:$A$2657,$A384,Data!$B$2:$B$2657,$B384,Data!$D$2:$D$2657,"RTO/market operation")+SUMIFS(Data!$G$2:$G$2657,Data!$A$2:$A$2657,$A384,Data!$B$2:$B$2657,$B384,Data!$D$2:$D$2657,"RTO/market operation"))/$D384,0)</f>
        <v>0.00458795376761784</v>
      </c>
      <c r="H384" s="10" t="n">
        <f aca="false">IFERROR((SUMIFS(Data!$E$2:$E$2657,Data!$A$2:$A$2657,$A384,Data!$B$2:$B$2657,$B384,Data!$D$2:$D$2657,"Customer accounts, service &amp; sales")+SUMIFS(Data!$G$2:$G$2657,Data!$A$2:$A$2657,$A384,Data!$B$2:$B$2657,$B384,Data!$D$2:$D$2657,"Customer accounts, service &amp; sales"))/$D384,0)</f>
        <v>0.107383936279137</v>
      </c>
      <c r="I384" s="10" t="n">
        <f aca="false">IFERROR((SUMIFS(Data!$E$2:$E$2657,Data!$A$2:$A$2657,$A384,Data!$B$2:$B$2657,$B384,Data!$D$2:$D$2657,"A&amp;G and general")+SUMIFS(Data!$G$2:$G$2657,Data!$A$2:$A$2657,$A384,Data!$B$2:$B$2657,$B384,Data!$D$2:$D$2657,"A&amp;G and general"))/$D384,0)</f>
        <v>0.204425039931187</v>
      </c>
      <c r="J384" s="10" t="n">
        <f aca="false">IFERROR(SUMIFS(Data!$F$2:$F$2657,Data!$A$2:$A$2657,$A384,Data!$B$2:$B$2657,$B384)/$D384,0)</f>
        <v>0.529142632771857</v>
      </c>
      <c r="K384" s="11" t="n">
        <f aca="false">SUM(E384:I384)</f>
        <v>1</v>
      </c>
    </row>
    <row r="385" customFormat="false" ht="15" hidden="false" customHeight="false" outlineLevel="0" collapsed="false">
      <c r="A385" s="7" t="n">
        <v>2015</v>
      </c>
      <c r="B385" s="12" t="s">
        <v>71</v>
      </c>
      <c r="C385" s="12" t="s">
        <v>72</v>
      </c>
      <c r="D385" s="9" t="n">
        <f aca="false">SUMIFS(Data!$E$2:$E$2657,Data!$A$2:$A$2657,$A385,Data!$B$2:$B$2657,$B385)+SUMIFS(Data!$G$2:$G$2657,Data!$A$2:$A$2657,$A385,Data!$B$2:$B$2657,$B385)</f>
        <v>115.36824</v>
      </c>
      <c r="E385" s="10" t="n">
        <f aca="false">IFERROR((SUMIFS(Data!$E$2:$E$2657,Data!$A$2:$A$2657,$A385,Data!$B$2:$B$2657,$B385,Data!$D$2:$D$2657,"Transmission")+SUMIFS(Data!$G$2:$G$2657,Data!$A$2:$A$2657,$A385,Data!$B$2:$B$2657,$B385,Data!$D$2:$D$2657,"Transmission"))/$D385,0)</f>
        <v>0.314918083174364</v>
      </c>
      <c r="F385" s="10" t="n">
        <f aca="false">IFERROR((SUMIFS(Data!$E$2:$E$2657,Data!$A$2:$A$2657,$A385,Data!$B$2:$B$2657,$B385,Data!$D$2:$D$2657,"Distribution")+SUMIFS(Data!$G$2:$G$2657,Data!$A$2:$A$2657,$A385,Data!$B$2:$B$2657,$B385,Data!$D$2:$D$2657,"Distribution"))/$D385,0)</f>
        <v>0.238462465926498</v>
      </c>
      <c r="G385" s="10" t="n">
        <f aca="false">IFERROR((SUMIFS(Data!$E$2:$E$2657,Data!$A$2:$A$2657,$A385,Data!$B$2:$B$2657,$B385,Data!$D$2:$D$2657,"RTO/market operation")+SUMIFS(Data!$G$2:$G$2657,Data!$A$2:$A$2657,$A385,Data!$B$2:$B$2657,$B385,Data!$D$2:$D$2657,"RTO/market operation"))/$D385,0)</f>
        <v>0.00486542916837424</v>
      </c>
      <c r="H385" s="10" t="n">
        <f aca="false">IFERROR((SUMIFS(Data!$E$2:$E$2657,Data!$A$2:$A$2657,$A385,Data!$B$2:$B$2657,$B385,Data!$D$2:$D$2657,"Customer accounts, service &amp; sales")+SUMIFS(Data!$G$2:$G$2657,Data!$A$2:$A$2657,$A385,Data!$B$2:$B$2657,$B385,Data!$D$2:$D$2657,"Customer accounts, service &amp; sales"))/$D385,0)</f>
        <v>0.119100031343115</v>
      </c>
      <c r="I385" s="10" t="n">
        <f aca="false">IFERROR((SUMIFS(Data!$E$2:$E$2657,Data!$A$2:$A$2657,$A385,Data!$B$2:$B$2657,$B385,Data!$D$2:$D$2657,"A&amp;G and general")+SUMIFS(Data!$G$2:$G$2657,Data!$A$2:$A$2657,$A385,Data!$B$2:$B$2657,$B385,Data!$D$2:$D$2657,"A&amp;G and general"))/$D385,0)</f>
        <v>0.322653990387649</v>
      </c>
      <c r="J385" s="10" t="n">
        <f aca="false">IFERROR(SUMIFS(Data!$F$2:$F$2657,Data!$A$2:$A$2657,$A385,Data!$B$2:$B$2657,$B385)/$D385,0)</f>
        <v>0.314825362682139</v>
      </c>
      <c r="K385" s="11" t="n">
        <f aca="false">SUM(E385:I385)</f>
        <v>1</v>
      </c>
    </row>
    <row r="386" customFormat="false" ht="15" hidden="false" customHeight="false" outlineLevel="0" collapsed="false">
      <c r="A386" s="7" t="n">
        <v>2015</v>
      </c>
      <c r="B386" s="12" t="s">
        <v>73</v>
      </c>
      <c r="C386" s="12" t="s">
        <v>70</v>
      </c>
      <c r="D386" s="9" t="n">
        <f aca="false">SUMIFS(Data!$E$2:$E$2657,Data!$A$2:$A$2657,$A386,Data!$B$2:$B$2657,$B386)+SUMIFS(Data!$G$2:$G$2657,Data!$A$2:$A$2657,$A386,Data!$B$2:$B$2657,$B386)</f>
        <v>430.738952</v>
      </c>
      <c r="E386" s="10" t="n">
        <f aca="false">IFERROR((SUMIFS(Data!$E$2:$E$2657,Data!$A$2:$A$2657,$A386,Data!$B$2:$B$2657,$B386,Data!$D$2:$D$2657,"Transmission")+SUMIFS(Data!$G$2:$G$2657,Data!$A$2:$A$2657,$A386,Data!$B$2:$B$2657,$B386,Data!$D$2:$D$2657,"Transmission"))/$D386,0)</f>
        <v>0.187874415871263</v>
      </c>
      <c r="F386" s="10" t="n">
        <f aca="false">IFERROR((SUMIFS(Data!$E$2:$E$2657,Data!$A$2:$A$2657,$A386,Data!$B$2:$B$2657,$B386,Data!$D$2:$D$2657,"Distribution")+SUMIFS(Data!$G$2:$G$2657,Data!$A$2:$A$2657,$A386,Data!$B$2:$B$2657,$B386,Data!$D$2:$D$2657,"Distribution"))/$D386,0)</f>
        <v>0.341728328298482</v>
      </c>
      <c r="G386" s="10" t="n">
        <f aca="false">IFERROR((SUMIFS(Data!$E$2:$E$2657,Data!$A$2:$A$2657,$A386,Data!$B$2:$B$2657,$B386,Data!$D$2:$D$2657,"RTO/market operation")+SUMIFS(Data!$G$2:$G$2657,Data!$A$2:$A$2657,$A386,Data!$B$2:$B$2657,$B386,Data!$D$2:$D$2657,"RTO/market operation"))/$D386,0)</f>
        <v>0.0116345990459669</v>
      </c>
      <c r="H386" s="10" t="n">
        <f aca="false">IFERROR((SUMIFS(Data!$E$2:$E$2657,Data!$A$2:$A$2657,$A386,Data!$B$2:$B$2657,$B386,Data!$D$2:$D$2657,"Customer accounts, service &amp; sales")+SUMIFS(Data!$G$2:$G$2657,Data!$A$2:$A$2657,$A386,Data!$B$2:$B$2657,$B386,Data!$D$2:$D$2657,"Customer accounts, service &amp; sales"))/$D386,0)</f>
        <v>0.258353038385068</v>
      </c>
      <c r="I386" s="10" t="n">
        <f aca="false">IFERROR((SUMIFS(Data!$E$2:$E$2657,Data!$A$2:$A$2657,$A386,Data!$B$2:$B$2657,$B386,Data!$D$2:$D$2657,"A&amp;G and general")+SUMIFS(Data!$G$2:$G$2657,Data!$A$2:$A$2657,$A386,Data!$B$2:$B$2657,$B386,Data!$D$2:$D$2657,"A&amp;G and general"))/$D386,0)</f>
        <v>0.20040961839922</v>
      </c>
      <c r="J386" s="10" t="n">
        <f aca="false">IFERROR(SUMIFS(Data!$F$2:$F$2657,Data!$A$2:$A$2657,$A386,Data!$B$2:$B$2657,$B386)/$D386,0)</f>
        <v>0.0872379101669913</v>
      </c>
      <c r="K386" s="11" t="n">
        <f aca="false">SUM(E386:I386)</f>
        <v>1</v>
      </c>
    </row>
    <row r="387" customFormat="false" ht="15" hidden="false" customHeight="false" outlineLevel="0" collapsed="false">
      <c r="A387" s="7" t="n">
        <v>2015</v>
      </c>
      <c r="B387" s="12" t="s">
        <v>74</v>
      </c>
      <c r="C387" s="12" t="s">
        <v>65</v>
      </c>
      <c r="D387" s="9" t="n">
        <f aca="false">SUMIFS(Data!$E$2:$E$2657,Data!$A$2:$A$2657,$A387,Data!$B$2:$B$2657,$B387)+SUMIFS(Data!$G$2:$G$2657,Data!$A$2:$A$2657,$A387,Data!$B$2:$B$2657,$B387)</f>
        <v>440.389658</v>
      </c>
      <c r="E387" s="10" t="n">
        <f aca="false">IFERROR((SUMIFS(Data!$E$2:$E$2657,Data!$A$2:$A$2657,$A387,Data!$B$2:$B$2657,$B387,Data!$D$2:$D$2657,"Transmission")+SUMIFS(Data!$G$2:$G$2657,Data!$A$2:$A$2657,$A387,Data!$B$2:$B$2657,$B387,Data!$D$2:$D$2657,"Transmission"))/$D387,0)</f>
        <v>0.135686558288796</v>
      </c>
      <c r="F387" s="10" t="n">
        <f aca="false">IFERROR((SUMIFS(Data!$E$2:$E$2657,Data!$A$2:$A$2657,$A387,Data!$B$2:$B$2657,$B387,Data!$D$2:$D$2657,"Distribution")+SUMIFS(Data!$G$2:$G$2657,Data!$A$2:$A$2657,$A387,Data!$B$2:$B$2657,$B387,Data!$D$2:$D$2657,"Distribution"))/$D387,0)</f>
        <v>0.198124691202444</v>
      </c>
      <c r="G387" s="10" t="n">
        <f aca="false">IFERROR((SUMIFS(Data!$E$2:$E$2657,Data!$A$2:$A$2657,$A387,Data!$B$2:$B$2657,$B387,Data!$D$2:$D$2657,"RTO/market operation")+SUMIFS(Data!$G$2:$G$2657,Data!$A$2:$A$2657,$A387,Data!$B$2:$B$2657,$B387,Data!$D$2:$D$2657,"RTO/market operation"))/$D387,0)</f>
        <v>0.0121003886063101</v>
      </c>
      <c r="H387" s="10" t="n">
        <f aca="false">IFERROR((SUMIFS(Data!$E$2:$E$2657,Data!$A$2:$A$2657,$A387,Data!$B$2:$B$2657,$B387,Data!$D$2:$D$2657,"Customer accounts, service &amp; sales")+SUMIFS(Data!$G$2:$G$2657,Data!$A$2:$A$2657,$A387,Data!$B$2:$B$2657,$B387,Data!$D$2:$D$2657,"Customer accounts, service &amp; sales"))/$D387,0)</f>
        <v>0.0464094867550228</v>
      </c>
      <c r="I387" s="10" t="n">
        <f aca="false">IFERROR((SUMIFS(Data!$E$2:$E$2657,Data!$A$2:$A$2657,$A387,Data!$B$2:$B$2657,$B387,Data!$D$2:$D$2657,"A&amp;G and general")+SUMIFS(Data!$G$2:$G$2657,Data!$A$2:$A$2657,$A387,Data!$B$2:$B$2657,$B387,Data!$D$2:$D$2657,"A&amp;G and general"))/$D387,0)</f>
        <v>0.607678875147427</v>
      </c>
      <c r="J387" s="10" t="n">
        <f aca="false">IFERROR(SUMIFS(Data!$F$2:$F$2657,Data!$A$2:$A$2657,$A387,Data!$B$2:$B$2657,$B387)/$D387,0)</f>
        <v>0</v>
      </c>
      <c r="K387" s="11" t="n">
        <f aca="false">SUM(E387:I387)</f>
        <v>1</v>
      </c>
    </row>
    <row r="388" customFormat="false" ht="15" hidden="false" customHeight="false" outlineLevel="0" collapsed="false">
      <c r="A388" s="7" t="n">
        <v>2015</v>
      </c>
      <c r="B388" s="12" t="s">
        <v>75</v>
      </c>
      <c r="C388" s="12" t="s">
        <v>57</v>
      </c>
      <c r="D388" s="9" t="n">
        <f aca="false">SUMIFS(Data!$E$2:$E$2657,Data!$A$2:$A$2657,$A388,Data!$B$2:$B$2657,$B388)+SUMIFS(Data!$G$2:$G$2657,Data!$A$2:$A$2657,$A388,Data!$B$2:$B$2657,$B388)</f>
        <v>1047.897259</v>
      </c>
      <c r="E388" s="10" t="n">
        <f aca="false">IFERROR((SUMIFS(Data!$E$2:$E$2657,Data!$A$2:$A$2657,$A388,Data!$B$2:$B$2657,$B388,Data!$D$2:$D$2657,"Transmission")+SUMIFS(Data!$G$2:$G$2657,Data!$A$2:$A$2657,$A388,Data!$B$2:$B$2657,$B388,Data!$D$2:$D$2657,"Transmission"))/$D388,0)</f>
        <v>0.35075291193218</v>
      </c>
      <c r="F388" s="10" t="n">
        <f aca="false">IFERROR((SUMIFS(Data!$E$2:$E$2657,Data!$A$2:$A$2657,$A388,Data!$B$2:$B$2657,$B388,Data!$D$2:$D$2657,"Distribution")+SUMIFS(Data!$G$2:$G$2657,Data!$A$2:$A$2657,$A388,Data!$B$2:$B$2657,$B388,Data!$D$2:$D$2657,"Distribution"))/$D388,0)</f>
        <v>0.20016722364573</v>
      </c>
      <c r="G388" s="10" t="n">
        <f aca="false">IFERROR((SUMIFS(Data!$E$2:$E$2657,Data!$A$2:$A$2657,$A388,Data!$B$2:$B$2657,$B388,Data!$D$2:$D$2657,"RTO/market operation")+SUMIFS(Data!$G$2:$G$2657,Data!$A$2:$A$2657,$A388,Data!$B$2:$B$2657,$B388,Data!$D$2:$D$2657,"RTO/market operation"))/$D388,0)</f>
        <v>0.00901694409337128</v>
      </c>
      <c r="H388" s="10" t="n">
        <f aca="false">IFERROR((SUMIFS(Data!$E$2:$E$2657,Data!$A$2:$A$2657,$A388,Data!$B$2:$B$2657,$B388,Data!$D$2:$D$2657,"Customer accounts, service &amp; sales")+SUMIFS(Data!$G$2:$G$2657,Data!$A$2:$A$2657,$A388,Data!$B$2:$B$2657,$B388,Data!$D$2:$D$2657,"Customer accounts, service &amp; sales"))/$D388,0)</f>
        <v>0.119101171348708</v>
      </c>
      <c r="I388" s="10" t="n">
        <f aca="false">IFERROR((SUMIFS(Data!$E$2:$E$2657,Data!$A$2:$A$2657,$A388,Data!$B$2:$B$2657,$B388,Data!$D$2:$D$2657,"A&amp;G and general")+SUMIFS(Data!$G$2:$G$2657,Data!$A$2:$A$2657,$A388,Data!$B$2:$B$2657,$B388,Data!$D$2:$D$2657,"A&amp;G and general"))/$D388,0)</f>
        <v>0.320961748980011</v>
      </c>
      <c r="J388" s="10" t="n">
        <f aca="false">IFERROR(SUMIFS(Data!$F$2:$F$2657,Data!$A$2:$A$2657,$A388,Data!$B$2:$B$2657,$B388)/$D388,0)</f>
        <v>0.15948816886828</v>
      </c>
      <c r="K388" s="11" t="n">
        <f aca="false">SUM(E388:I388)</f>
        <v>1</v>
      </c>
    </row>
    <row r="389" customFormat="false" ht="15" hidden="false" customHeight="false" outlineLevel="0" collapsed="false">
      <c r="A389" s="7" t="n">
        <v>2015</v>
      </c>
      <c r="B389" s="12" t="s">
        <v>76</v>
      </c>
      <c r="C389" s="12" t="s">
        <v>72</v>
      </c>
      <c r="D389" s="9" t="n">
        <f aca="false">SUMIFS(Data!$E$2:$E$2657,Data!$A$2:$A$2657,$A389,Data!$B$2:$B$2657,$B389)+SUMIFS(Data!$G$2:$G$2657,Data!$A$2:$A$2657,$A389,Data!$B$2:$B$2657,$B389)</f>
        <v>195.668265</v>
      </c>
      <c r="E389" s="10" t="n">
        <f aca="false">IFERROR((SUMIFS(Data!$E$2:$E$2657,Data!$A$2:$A$2657,$A389,Data!$B$2:$B$2657,$B389,Data!$D$2:$D$2657,"Transmission")+SUMIFS(Data!$G$2:$G$2657,Data!$A$2:$A$2657,$A389,Data!$B$2:$B$2657,$B389,Data!$D$2:$D$2657,"Transmission"))/$D389,0)</f>
        <v>0.346517193270968</v>
      </c>
      <c r="F389" s="10" t="n">
        <f aca="false">IFERROR((SUMIFS(Data!$E$2:$E$2657,Data!$A$2:$A$2657,$A389,Data!$B$2:$B$2657,$B389,Data!$D$2:$D$2657,"Distribution")+SUMIFS(Data!$G$2:$G$2657,Data!$A$2:$A$2657,$A389,Data!$B$2:$B$2657,$B389,Data!$D$2:$D$2657,"Distribution"))/$D389,0)</f>
        <v>0.265298989593433</v>
      </c>
      <c r="G389" s="10" t="n">
        <f aca="false">IFERROR((SUMIFS(Data!$E$2:$E$2657,Data!$A$2:$A$2657,$A389,Data!$B$2:$B$2657,$B389,Data!$D$2:$D$2657,"RTO/market operation")+SUMIFS(Data!$G$2:$G$2657,Data!$A$2:$A$2657,$A389,Data!$B$2:$B$2657,$B389,Data!$D$2:$D$2657,"RTO/market operation"))/$D389,0)</f>
        <v>0</v>
      </c>
      <c r="H389" s="10" t="n">
        <f aca="false">IFERROR((SUMIFS(Data!$E$2:$E$2657,Data!$A$2:$A$2657,$A389,Data!$B$2:$B$2657,$B389,Data!$D$2:$D$2657,"Customer accounts, service &amp; sales")+SUMIFS(Data!$G$2:$G$2657,Data!$A$2:$A$2657,$A389,Data!$B$2:$B$2657,$B389,Data!$D$2:$D$2657,"Customer accounts, service &amp; sales"))/$D389,0)</f>
        <v>0.107659394843615</v>
      </c>
      <c r="I389" s="10" t="n">
        <f aca="false">IFERROR((SUMIFS(Data!$E$2:$E$2657,Data!$A$2:$A$2657,$A389,Data!$B$2:$B$2657,$B389,Data!$D$2:$D$2657,"A&amp;G and general")+SUMIFS(Data!$G$2:$G$2657,Data!$A$2:$A$2657,$A389,Data!$B$2:$B$2657,$B389,Data!$D$2:$D$2657,"A&amp;G and general"))/$D389,0)</f>
        <v>0.280524422291985</v>
      </c>
      <c r="J389" s="10" t="n">
        <f aca="false">IFERROR(SUMIFS(Data!$F$2:$F$2657,Data!$A$2:$A$2657,$A389,Data!$B$2:$B$2657,$B389)/$D389,0)</f>
        <v>0</v>
      </c>
      <c r="K389" s="11" t="n">
        <f aca="false">SUM(E389:I389)</f>
        <v>1</v>
      </c>
    </row>
    <row r="390" customFormat="false" ht="15" hidden="false" customHeight="false" outlineLevel="0" collapsed="false">
      <c r="A390" s="7" t="n">
        <v>2015</v>
      </c>
      <c r="B390" s="12" t="s">
        <v>77</v>
      </c>
      <c r="C390" s="12" t="s">
        <v>57</v>
      </c>
      <c r="D390" s="9" t="n">
        <f aca="false">SUMIFS(Data!$E$2:$E$2657,Data!$A$2:$A$2657,$A390,Data!$B$2:$B$2657,$B390)+SUMIFS(Data!$G$2:$G$2657,Data!$A$2:$A$2657,$A390,Data!$B$2:$B$2657,$B390)</f>
        <v>129.0953</v>
      </c>
      <c r="E390" s="10" t="n">
        <f aca="false">IFERROR((SUMIFS(Data!$E$2:$E$2657,Data!$A$2:$A$2657,$A390,Data!$B$2:$B$2657,$B390,Data!$D$2:$D$2657,"Transmission")+SUMIFS(Data!$G$2:$G$2657,Data!$A$2:$A$2657,$A390,Data!$B$2:$B$2657,$B390,Data!$D$2:$D$2657,"Transmission"))/$D390,0)</f>
        <v>0.259261042036387</v>
      </c>
      <c r="F390" s="10" t="n">
        <f aca="false">IFERROR((SUMIFS(Data!$E$2:$E$2657,Data!$A$2:$A$2657,$A390,Data!$B$2:$B$2657,$B390,Data!$D$2:$D$2657,"Distribution")+SUMIFS(Data!$G$2:$G$2657,Data!$A$2:$A$2657,$A390,Data!$B$2:$B$2657,$B390,Data!$D$2:$D$2657,"Distribution"))/$D390,0)</f>
        <v>0.203675106684752</v>
      </c>
      <c r="G390" s="10" t="n">
        <f aca="false">IFERROR((SUMIFS(Data!$E$2:$E$2657,Data!$A$2:$A$2657,$A390,Data!$B$2:$B$2657,$B390,Data!$D$2:$D$2657,"RTO/market operation")+SUMIFS(Data!$G$2:$G$2657,Data!$A$2:$A$2657,$A390,Data!$B$2:$B$2657,$B390,Data!$D$2:$D$2657,"RTO/market operation"))/$D390,0)</f>
        <v>0.00793869335289511</v>
      </c>
      <c r="H390" s="10" t="n">
        <f aca="false">IFERROR((SUMIFS(Data!$E$2:$E$2657,Data!$A$2:$A$2657,$A390,Data!$B$2:$B$2657,$B390,Data!$D$2:$D$2657,"Customer accounts, service &amp; sales")+SUMIFS(Data!$G$2:$G$2657,Data!$A$2:$A$2657,$A390,Data!$B$2:$B$2657,$B390,Data!$D$2:$D$2657,"Customer accounts, service &amp; sales"))/$D390,0)</f>
        <v>0.170170703348611</v>
      </c>
      <c r="I390" s="10" t="n">
        <f aca="false">IFERROR((SUMIFS(Data!$E$2:$E$2657,Data!$A$2:$A$2657,$A390,Data!$B$2:$B$2657,$B390,Data!$D$2:$D$2657,"A&amp;G and general")+SUMIFS(Data!$G$2:$G$2657,Data!$A$2:$A$2657,$A390,Data!$B$2:$B$2657,$B390,Data!$D$2:$D$2657,"A&amp;G and general"))/$D390,0)</f>
        <v>0.358954454577355</v>
      </c>
      <c r="J390" s="10" t="n">
        <f aca="false">IFERROR(SUMIFS(Data!$F$2:$F$2657,Data!$A$2:$A$2657,$A390,Data!$B$2:$B$2657,$B390)/$D390,0)</f>
        <v>0.131651469883102</v>
      </c>
      <c r="K390" s="11" t="n">
        <f aca="false">SUM(E390:I390)</f>
        <v>1</v>
      </c>
    </row>
    <row r="391" customFormat="false" ht="15" hidden="false" customHeight="false" outlineLevel="0" collapsed="false">
      <c r="A391" s="7" t="n">
        <v>2015</v>
      </c>
      <c r="B391" s="12" t="s">
        <v>78</v>
      </c>
      <c r="C391" s="12" t="s">
        <v>65</v>
      </c>
      <c r="D391" s="9" t="n">
        <f aca="false">SUMIFS(Data!$E$2:$E$2657,Data!$A$2:$A$2657,$A391,Data!$B$2:$B$2657,$B391)+SUMIFS(Data!$G$2:$G$2657,Data!$A$2:$A$2657,$A391,Data!$B$2:$B$2657,$B391)</f>
        <v>115.25276</v>
      </c>
      <c r="E391" s="10" t="n">
        <f aca="false">IFERROR((SUMIFS(Data!$E$2:$E$2657,Data!$A$2:$A$2657,$A391,Data!$B$2:$B$2657,$B391,Data!$D$2:$D$2657,"Transmission")+SUMIFS(Data!$G$2:$G$2657,Data!$A$2:$A$2657,$A391,Data!$B$2:$B$2657,$B391,Data!$D$2:$D$2657,"Transmission"))/$D391,0)</f>
        <v>0.238361068316282</v>
      </c>
      <c r="F391" s="10" t="n">
        <f aca="false">IFERROR((SUMIFS(Data!$E$2:$E$2657,Data!$A$2:$A$2657,$A391,Data!$B$2:$B$2657,$B391,Data!$D$2:$D$2657,"Distribution")+SUMIFS(Data!$G$2:$G$2657,Data!$A$2:$A$2657,$A391,Data!$B$2:$B$2657,$B391,Data!$D$2:$D$2657,"Distribution"))/$D391,0)</f>
        <v>0.293217021440528</v>
      </c>
      <c r="G391" s="10" t="n">
        <f aca="false">IFERROR((SUMIFS(Data!$E$2:$E$2657,Data!$A$2:$A$2657,$A391,Data!$B$2:$B$2657,$B391,Data!$D$2:$D$2657,"RTO/market operation")+SUMIFS(Data!$G$2:$G$2657,Data!$A$2:$A$2657,$A391,Data!$B$2:$B$2657,$B391,Data!$D$2:$D$2657,"RTO/market operation"))/$D391,0)</f>
        <v>0</v>
      </c>
      <c r="H391" s="10" t="n">
        <f aca="false">IFERROR((SUMIFS(Data!$E$2:$E$2657,Data!$A$2:$A$2657,$A391,Data!$B$2:$B$2657,$B391,Data!$D$2:$D$2657,"Customer accounts, service &amp; sales")+SUMIFS(Data!$G$2:$G$2657,Data!$A$2:$A$2657,$A391,Data!$B$2:$B$2657,$B391,Data!$D$2:$D$2657,"Customer accounts, service &amp; sales"))/$D391,0)</f>
        <v>0.128458320651063</v>
      </c>
      <c r="I391" s="10" t="n">
        <f aca="false">IFERROR((SUMIFS(Data!$E$2:$E$2657,Data!$A$2:$A$2657,$A391,Data!$B$2:$B$2657,$B391,Data!$D$2:$D$2657,"A&amp;G and general")+SUMIFS(Data!$G$2:$G$2657,Data!$A$2:$A$2657,$A391,Data!$B$2:$B$2657,$B391,Data!$D$2:$D$2657,"A&amp;G and general"))/$D391,0)</f>
        <v>0.339963589592128</v>
      </c>
      <c r="J391" s="10" t="n">
        <f aca="false">IFERROR(SUMIFS(Data!$F$2:$F$2657,Data!$A$2:$A$2657,$A391,Data!$B$2:$B$2657,$B391)/$D391,0)</f>
        <v>0</v>
      </c>
      <c r="K391" s="11" t="n">
        <f aca="false">SUM(E391:I391)</f>
        <v>1</v>
      </c>
    </row>
    <row r="392" customFormat="false" ht="15" hidden="false" customHeight="false" outlineLevel="0" collapsed="false">
      <c r="A392" s="7" t="n">
        <v>2015</v>
      </c>
      <c r="B392" s="12" t="s">
        <v>79</v>
      </c>
      <c r="C392" s="12" t="s">
        <v>72</v>
      </c>
      <c r="D392" s="9" t="n">
        <f aca="false">SUMIFS(Data!$E$2:$E$2657,Data!$A$2:$A$2657,$A392,Data!$B$2:$B$2657,$B392)+SUMIFS(Data!$G$2:$G$2657,Data!$A$2:$A$2657,$A392,Data!$B$2:$B$2657,$B392)</f>
        <v>754.330509</v>
      </c>
      <c r="E392" s="10" t="n">
        <f aca="false">IFERROR((SUMIFS(Data!$E$2:$E$2657,Data!$A$2:$A$2657,$A392,Data!$B$2:$B$2657,$B392,Data!$D$2:$D$2657,"Transmission")+SUMIFS(Data!$G$2:$G$2657,Data!$A$2:$A$2657,$A392,Data!$B$2:$B$2657,$B392,Data!$D$2:$D$2657,"Transmission"))/$D392,0)</f>
        <v>0.358416854116661</v>
      </c>
      <c r="F392" s="10" t="n">
        <f aca="false">IFERROR((SUMIFS(Data!$E$2:$E$2657,Data!$A$2:$A$2657,$A392,Data!$B$2:$B$2657,$B392,Data!$D$2:$D$2657,"Distribution")+SUMIFS(Data!$G$2:$G$2657,Data!$A$2:$A$2657,$A392,Data!$B$2:$B$2657,$B392,Data!$D$2:$D$2657,"Distribution"))/$D392,0)</f>
        <v>0.245619179907782</v>
      </c>
      <c r="G392" s="10" t="n">
        <f aca="false">IFERROR((SUMIFS(Data!$E$2:$E$2657,Data!$A$2:$A$2657,$A392,Data!$B$2:$B$2657,$B392,Data!$D$2:$D$2657,"RTO/market operation")+SUMIFS(Data!$G$2:$G$2657,Data!$A$2:$A$2657,$A392,Data!$B$2:$B$2657,$B392,Data!$D$2:$D$2657,"RTO/market operation"))/$D392,0)</f>
        <v>0.00618346725254884</v>
      </c>
      <c r="H392" s="10" t="n">
        <f aca="false">IFERROR((SUMIFS(Data!$E$2:$E$2657,Data!$A$2:$A$2657,$A392,Data!$B$2:$B$2657,$B392,Data!$D$2:$D$2657,"Customer accounts, service &amp; sales")+SUMIFS(Data!$G$2:$G$2657,Data!$A$2:$A$2657,$A392,Data!$B$2:$B$2657,$B392,Data!$D$2:$D$2657,"Customer accounts, service &amp; sales"))/$D392,0)</f>
        <v>0.159839891879542</v>
      </c>
      <c r="I392" s="10" t="n">
        <f aca="false">IFERROR((SUMIFS(Data!$E$2:$E$2657,Data!$A$2:$A$2657,$A392,Data!$B$2:$B$2657,$B392,Data!$D$2:$D$2657,"A&amp;G and general")+SUMIFS(Data!$G$2:$G$2657,Data!$A$2:$A$2657,$A392,Data!$B$2:$B$2657,$B392,Data!$D$2:$D$2657,"A&amp;G and general"))/$D392,0)</f>
        <v>0.229940606843465</v>
      </c>
      <c r="J392" s="10" t="n">
        <f aca="false">IFERROR(SUMIFS(Data!$F$2:$F$2657,Data!$A$2:$A$2657,$A392,Data!$B$2:$B$2657,$B392)/$D392,0)</f>
        <v>0.352590563190385</v>
      </c>
      <c r="K392" s="11" t="n">
        <f aca="false">SUM(E392:I392)</f>
        <v>1</v>
      </c>
    </row>
    <row r="393" customFormat="false" ht="15" hidden="false" customHeight="false" outlineLevel="0" collapsed="false">
      <c r="A393" s="7" t="n">
        <v>2015</v>
      </c>
      <c r="B393" s="12" t="s">
        <v>80</v>
      </c>
      <c r="C393" s="12" t="s">
        <v>72</v>
      </c>
      <c r="D393" s="9" t="n">
        <f aca="false">SUMIFS(Data!$E$2:$E$2657,Data!$A$2:$A$2657,$A393,Data!$B$2:$B$2657,$B393)+SUMIFS(Data!$G$2:$G$2657,Data!$A$2:$A$2657,$A393,Data!$B$2:$B$2657,$B393)</f>
        <v>372.651513</v>
      </c>
      <c r="E393" s="10" t="n">
        <f aca="false">IFERROR((SUMIFS(Data!$E$2:$E$2657,Data!$A$2:$A$2657,$A393,Data!$B$2:$B$2657,$B393,Data!$D$2:$D$2657,"Transmission")+SUMIFS(Data!$G$2:$G$2657,Data!$A$2:$A$2657,$A393,Data!$B$2:$B$2657,$B393,Data!$D$2:$D$2657,"Transmission"))/$D393,0)</f>
        <v>0.427586869880762</v>
      </c>
      <c r="F393" s="10" t="n">
        <f aca="false">IFERROR((SUMIFS(Data!$E$2:$E$2657,Data!$A$2:$A$2657,$A393,Data!$B$2:$B$2657,$B393,Data!$D$2:$D$2657,"Distribution")+SUMIFS(Data!$G$2:$G$2657,Data!$A$2:$A$2657,$A393,Data!$B$2:$B$2657,$B393,Data!$D$2:$D$2657,"Distribution"))/$D393,0)</f>
        <v>0.220207271773508</v>
      </c>
      <c r="G393" s="10" t="n">
        <f aca="false">IFERROR((SUMIFS(Data!$E$2:$E$2657,Data!$A$2:$A$2657,$A393,Data!$B$2:$B$2657,$B393,Data!$D$2:$D$2657,"RTO/market operation")+SUMIFS(Data!$G$2:$G$2657,Data!$A$2:$A$2657,$A393,Data!$B$2:$B$2657,$B393,Data!$D$2:$D$2657,"RTO/market operation"))/$D393,0)</f>
        <v>0.00572875978099142</v>
      </c>
      <c r="H393" s="10" t="n">
        <f aca="false">IFERROR((SUMIFS(Data!$E$2:$E$2657,Data!$A$2:$A$2657,$A393,Data!$B$2:$B$2657,$B393,Data!$D$2:$D$2657,"Customer accounts, service &amp; sales")+SUMIFS(Data!$G$2:$G$2657,Data!$A$2:$A$2657,$A393,Data!$B$2:$B$2657,$B393,Data!$D$2:$D$2657,"Customer accounts, service &amp; sales"))/$D393,0)</f>
        <v>0.0531936656862574</v>
      </c>
      <c r="I393" s="10" t="n">
        <f aca="false">IFERROR((SUMIFS(Data!$E$2:$E$2657,Data!$A$2:$A$2657,$A393,Data!$B$2:$B$2657,$B393,Data!$D$2:$D$2657,"A&amp;G and general")+SUMIFS(Data!$G$2:$G$2657,Data!$A$2:$A$2657,$A393,Data!$B$2:$B$2657,$B393,Data!$D$2:$D$2657,"A&amp;G and general"))/$D393,0)</f>
        <v>0.293283432878481</v>
      </c>
      <c r="J393" s="10" t="n">
        <f aca="false">IFERROR(SUMIFS(Data!$F$2:$F$2657,Data!$A$2:$A$2657,$A393,Data!$B$2:$B$2657,$B393)/$D393,0)</f>
        <v>0.421586362913814</v>
      </c>
      <c r="K393" s="11" t="n">
        <f aca="false">SUM(E393:I393)</f>
        <v>1</v>
      </c>
    </row>
    <row r="394" customFormat="false" ht="15" hidden="false" customHeight="false" outlineLevel="0" collapsed="false">
      <c r="A394" s="7" t="n">
        <v>2015</v>
      </c>
      <c r="B394" s="12" t="s">
        <v>81</v>
      </c>
      <c r="C394" s="12" t="s">
        <v>72</v>
      </c>
      <c r="D394" s="9" t="n">
        <f aca="false">SUMIFS(Data!$E$2:$E$2657,Data!$A$2:$A$2657,$A394,Data!$B$2:$B$2657,$B394)+SUMIFS(Data!$G$2:$G$2657,Data!$A$2:$A$2657,$A394,Data!$B$2:$B$2657,$B394)</f>
        <v>343.786637</v>
      </c>
      <c r="E394" s="10" t="n">
        <f aca="false">IFERROR((SUMIFS(Data!$E$2:$E$2657,Data!$A$2:$A$2657,$A394,Data!$B$2:$B$2657,$B394,Data!$D$2:$D$2657,"Transmission")+SUMIFS(Data!$G$2:$G$2657,Data!$A$2:$A$2657,$A394,Data!$B$2:$B$2657,$B394,Data!$D$2:$D$2657,"Transmission"))/$D394,0)</f>
        <v>0.394236449044993</v>
      </c>
      <c r="F394" s="10" t="n">
        <f aca="false">IFERROR((SUMIFS(Data!$E$2:$E$2657,Data!$A$2:$A$2657,$A394,Data!$B$2:$B$2657,$B394,Data!$D$2:$D$2657,"Distribution")+SUMIFS(Data!$G$2:$G$2657,Data!$A$2:$A$2657,$A394,Data!$B$2:$B$2657,$B394,Data!$D$2:$D$2657,"Distribution"))/$D394,0)</f>
        <v>0.219363729952075</v>
      </c>
      <c r="G394" s="10" t="n">
        <f aca="false">IFERROR((SUMIFS(Data!$E$2:$E$2657,Data!$A$2:$A$2657,$A394,Data!$B$2:$B$2657,$B394,Data!$D$2:$D$2657,"RTO/market operation")+SUMIFS(Data!$G$2:$G$2657,Data!$A$2:$A$2657,$A394,Data!$B$2:$B$2657,$B394,Data!$D$2:$D$2657,"RTO/market operation"))/$D394,0)</f>
        <v>0.00575910401078213</v>
      </c>
      <c r="H394" s="10" t="n">
        <f aca="false">IFERROR((SUMIFS(Data!$E$2:$E$2657,Data!$A$2:$A$2657,$A394,Data!$B$2:$B$2657,$B394,Data!$D$2:$D$2657,"Customer accounts, service &amp; sales")+SUMIFS(Data!$G$2:$G$2657,Data!$A$2:$A$2657,$A394,Data!$B$2:$B$2657,$B394,Data!$D$2:$D$2657,"Customer accounts, service &amp; sales"))/$D394,0)</f>
        <v>0.12047542441273</v>
      </c>
      <c r="I394" s="10" t="n">
        <f aca="false">IFERROR((SUMIFS(Data!$E$2:$E$2657,Data!$A$2:$A$2657,$A394,Data!$B$2:$B$2657,$B394,Data!$D$2:$D$2657,"A&amp;G and general")+SUMIFS(Data!$G$2:$G$2657,Data!$A$2:$A$2657,$A394,Data!$B$2:$B$2657,$B394,Data!$D$2:$D$2657,"A&amp;G and general"))/$D394,0)</f>
        <v>0.26016529257942</v>
      </c>
      <c r="J394" s="10" t="n">
        <f aca="false">IFERROR(SUMIFS(Data!$F$2:$F$2657,Data!$A$2:$A$2657,$A394,Data!$B$2:$B$2657,$B394)/$D394,0)</f>
        <v>0.385755648204558</v>
      </c>
      <c r="K394" s="11" t="n">
        <f aca="false">SUM(E394:I394)</f>
        <v>1</v>
      </c>
    </row>
    <row r="395" customFormat="false" ht="15" hidden="false" customHeight="false" outlineLevel="0" collapsed="false">
      <c r="A395" s="7" t="n">
        <v>2016</v>
      </c>
      <c r="B395" s="12" t="s">
        <v>56</v>
      </c>
      <c r="C395" s="12" t="s">
        <v>57</v>
      </c>
      <c r="D395" s="9" t="n">
        <f aca="false">SUMIFS(Data!$E$2:$E$2657,Data!$A$2:$A$2657,$A395,Data!$B$2:$B$2657,$B395)+SUMIFS(Data!$G$2:$G$2657,Data!$A$2:$A$2657,$A395,Data!$B$2:$B$2657,$B395)</f>
        <v>233.215857</v>
      </c>
      <c r="E395" s="10" t="n">
        <f aca="false">IFERROR((SUMIFS(Data!$E$2:$E$2657,Data!$A$2:$A$2657,$A395,Data!$B$2:$B$2657,$B395,Data!$D$2:$D$2657,"Transmission")+SUMIFS(Data!$G$2:$G$2657,Data!$A$2:$A$2657,$A395,Data!$B$2:$B$2657,$B395,Data!$D$2:$D$2657,"Transmission"))/$D395,0)</f>
        <v>0.438618558428469</v>
      </c>
      <c r="F395" s="10" t="n">
        <f aca="false">IFERROR((SUMIFS(Data!$E$2:$E$2657,Data!$A$2:$A$2657,$A395,Data!$B$2:$B$2657,$B395,Data!$D$2:$D$2657,"Distribution")+SUMIFS(Data!$G$2:$G$2657,Data!$A$2:$A$2657,$A395,Data!$B$2:$B$2657,$B395,Data!$D$2:$D$2657,"Distribution"))/$D395,0)</f>
        <v>0.197292536587682</v>
      </c>
      <c r="G395" s="10" t="n">
        <f aca="false">IFERROR((SUMIFS(Data!$E$2:$E$2657,Data!$A$2:$A$2657,$A395,Data!$B$2:$B$2657,$B395,Data!$D$2:$D$2657,"RTO/market operation")+SUMIFS(Data!$G$2:$G$2657,Data!$A$2:$A$2657,$A395,Data!$B$2:$B$2657,$B395,Data!$D$2:$D$2657,"RTO/market operation"))/$D395,0)</f>
        <v>0</v>
      </c>
      <c r="H395" s="10" t="n">
        <f aca="false">IFERROR((SUMIFS(Data!$E$2:$E$2657,Data!$A$2:$A$2657,$A395,Data!$B$2:$B$2657,$B395,Data!$D$2:$D$2657,"Customer accounts, service &amp; sales")+SUMIFS(Data!$G$2:$G$2657,Data!$A$2:$A$2657,$A395,Data!$B$2:$B$2657,$B395,Data!$D$2:$D$2657,"Customer accounts, service &amp; sales"))/$D395,0)</f>
        <v>0.0428038390202601</v>
      </c>
      <c r="I395" s="10" t="n">
        <f aca="false">IFERROR((SUMIFS(Data!$E$2:$E$2657,Data!$A$2:$A$2657,$A395,Data!$B$2:$B$2657,$B395,Data!$D$2:$D$2657,"A&amp;G and general")+SUMIFS(Data!$G$2:$G$2657,Data!$A$2:$A$2657,$A395,Data!$B$2:$B$2657,$B395,Data!$D$2:$D$2657,"A&amp;G and general"))/$D395,0)</f>
        <v>0.321285065963589</v>
      </c>
      <c r="J395" s="10" t="n">
        <f aca="false">IFERROR(SUMIFS(Data!$F$2:$F$2657,Data!$A$2:$A$2657,$A395,Data!$B$2:$B$2657,$B395)/$D395,0)</f>
        <v>0.272737149258251</v>
      </c>
      <c r="K395" s="11" t="n">
        <f aca="false">SUM(E395:I395)</f>
        <v>1</v>
      </c>
    </row>
    <row r="396" customFormat="false" ht="15" hidden="false" customHeight="false" outlineLevel="0" collapsed="false">
      <c r="A396" s="7" t="n">
        <v>2016</v>
      </c>
      <c r="B396" s="12" t="s">
        <v>58</v>
      </c>
      <c r="C396" s="12" t="s">
        <v>59</v>
      </c>
      <c r="D396" s="9" t="n">
        <f aca="false">SUMIFS(Data!$E$2:$E$2657,Data!$A$2:$A$2657,$A396,Data!$B$2:$B$2657,$B396)+SUMIFS(Data!$G$2:$G$2657,Data!$A$2:$A$2657,$A396,Data!$B$2:$B$2657,$B396)</f>
        <v>869.48804</v>
      </c>
      <c r="E396" s="10" t="n">
        <f aca="false">IFERROR((SUMIFS(Data!$E$2:$E$2657,Data!$A$2:$A$2657,$A396,Data!$B$2:$B$2657,$B396,Data!$D$2:$D$2657,"Transmission")+SUMIFS(Data!$G$2:$G$2657,Data!$A$2:$A$2657,$A396,Data!$B$2:$B$2657,$B396,Data!$D$2:$D$2657,"Transmission"))/$D396,0)</f>
        <v>0.105992980651005</v>
      </c>
      <c r="F396" s="10" t="n">
        <f aca="false">IFERROR((SUMIFS(Data!$E$2:$E$2657,Data!$A$2:$A$2657,$A396,Data!$B$2:$B$2657,$B396,Data!$D$2:$D$2657,"Distribution")+SUMIFS(Data!$G$2:$G$2657,Data!$A$2:$A$2657,$A396,Data!$B$2:$B$2657,$B396,Data!$D$2:$D$2657,"Distribution"))/$D396,0)</f>
        <v>0.510431012944123</v>
      </c>
      <c r="G396" s="10" t="n">
        <f aca="false">IFERROR((SUMIFS(Data!$E$2:$E$2657,Data!$A$2:$A$2657,$A396,Data!$B$2:$B$2657,$B396,Data!$D$2:$D$2657,"RTO/market operation")+SUMIFS(Data!$G$2:$G$2657,Data!$A$2:$A$2657,$A396,Data!$B$2:$B$2657,$B396,Data!$D$2:$D$2657,"RTO/market operation"))/$D396,0)</f>
        <v>0.000869426565085358</v>
      </c>
      <c r="H396" s="10" t="n">
        <f aca="false">IFERROR((SUMIFS(Data!$E$2:$E$2657,Data!$A$2:$A$2657,$A396,Data!$B$2:$B$2657,$B396,Data!$D$2:$D$2657,"Customer accounts, service &amp; sales")+SUMIFS(Data!$G$2:$G$2657,Data!$A$2:$A$2657,$A396,Data!$B$2:$B$2657,$B396,Data!$D$2:$D$2657,"Customer accounts, service &amp; sales"))/$D396,0)</f>
        <v>0.167599790101771</v>
      </c>
      <c r="I396" s="10" t="n">
        <f aca="false">IFERROR((SUMIFS(Data!$E$2:$E$2657,Data!$A$2:$A$2657,$A396,Data!$B$2:$B$2657,$B396,Data!$D$2:$D$2657,"A&amp;G and general")+SUMIFS(Data!$G$2:$G$2657,Data!$A$2:$A$2657,$A396,Data!$B$2:$B$2657,$B396,Data!$D$2:$D$2657,"A&amp;G and general"))/$D396,0)</f>
        <v>0.215106789738016</v>
      </c>
      <c r="J396" s="10" t="n">
        <f aca="false">IFERROR(SUMIFS(Data!$F$2:$F$2657,Data!$A$2:$A$2657,$A396,Data!$B$2:$B$2657,$B396)/$D396,0)</f>
        <v>0.0238259309466752</v>
      </c>
      <c r="K396" s="11" t="n">
        <f aca="false">SUM(E396:I396)</f>
        <v>1</v>
      </c>
    </row>
    <row r="397" customFormat="false" ht="15" hidden="false" customHeight="false" outlineLevel="0" collapsed="false">
      <c r="A397" s="7" t="n">
        <v>2016</v>
      </c>
      <c r="B397" s="12" t="s">
        <v>60</v>
      </c>
      <c r="C397" s="12" t="s">
        <v>59</v>
      </c>
      <c r="D397" s="9" t="n">
        <f aca="false">SUMIFS(Data!$E$2:$E$2657,Data!$A$2:$A$2657,$A397,Data!$B$2:$B$2657,$B397)+SUMIFS(Data!$G$2:$G$2657,Data!$A$2:$A$2657,$A397,Data!$B$2:$B$2657,$B397)</f>
        <v>2509.75334</v>
      </c>
      <c r="E397" s="10" t="n">
        <f aca="false">IFERROR((SUMIFS(Data!$E$2:$E$2657,Data!$A$2:$A$2657,$A397,Data!$B$2:$B$2657,$B397,Data!$D$2:$D$2657,"Transmission")+SUMIFS(Data!$G$2:$G$2657,Data!$A$2:$A$2657,$A397,Data!$B$2:$B$2657,$B397,Data!$D$2:$D$2657,"Transmission"))/$D397,0)</f>
        <v>0.18665530135324</v>
      </c>
      <c r="F397" s="10" t="n">
        <f aca="false">IFERROR((SUMIFS(Data!$E$2:$E$2657,Data!$A$2:$A$2657,$A397,Data!$B$2:$B$2657,$B397,Data!$D$2:$D$2657,"Distribution")+SUMIFS(Data!$G$2:$G$2657,Data!$A$2:$A$2657,$A397,Data!$B$2:$B$2657,$B397,Data!$D$2:$D$2657,"Distribution"))/$D397,0)</f>
        <v>0.364150915723057</v>
      </c>
      <c r="G397" s="10" t="n">
        <f aca="false">IFERROR((SUMIFS(Data!$E$2:$E$2657,Data!$A$2:$A$2657,$A397,Data!$B$2:$B$2657,$B397,Data!$D$2:$D$2657,"RTO/market operation")+SUMIFS(Data!$G$2:$G$2657,Data!$A$2:$A$2657,$A397,Data!$B$2:$B$2657,$B397,Data!$D$2:$D$2657,"RTO/market operation"))/$D397,0)</f>
        <v>0.00170873126520075</v>
      </c>
      <c r="H397" s="10" t="n">
        <f aca="false">IFERROR((SUMIFS(Data!$E$2:$E$2657,Data!$A$2:$A$2657,$A397,Data!$B$2:$B$2657,$B397,Data!$D$2:$D$2657,"Customer accounts, service &amp; sales")+SUMIFS(Data!$G$2:$G$2657,Data!$A$2:$A$2657,$A397,Data!$B$2:$B$2657,$B397,Data!$D$2:$D$2657,"Customer accounts, service &amp; sales"))/$D397,0)</f>
        <v>0.187330421482774</v>
      </c>
      <c r="I397" s="10" t="n">
        <f aca="false">IFERROR((SUMIFS(Data!$E$2:$E$2657,Data!$A$2:$A$2657,$A397,Data!$B$2:$B$2657,$B397,Data!$D$2:$D$2657,"A&amp;G and general")+SUMIFS(Data!$G$2:$G$2657,Data!$A$2:$A$2657,$A397,Data!$B$2:$B$2657,$B397,Data!$D$2:$D$2657,"A&amp;G and general"))/$D397,0)</f>
        <v>0.260154630175729</v>
      </c>
      <c r="J397" s="10" t="n">
        <f aca="false">IFERROR(SUMIFS(Data!$F$2:$F$2657,Data!$A$2:$A$2657,$A397,Data!$B$2:$B$2657,$B397)/$D397,0)</f>
        <v>0.00282595300779638</v>
      </c>
      <c r="K397" s="11" t="n">
        <f aca="false">SUM(E397:I397)</f>
        <v>1</v>
      </c>
    </row>
    <row r="398" customFormat="false" ht="15" hidden="false" customHeight="false" outlineLevel="0" collapsed="false">
      <c r="A398" s="7" t="n">
        <v>2016</v>
      </c>
      <c r="B398" s="12" t="s">
        <v>61</v>
      </c>
      <c r="C398" s="12" t="s">
        <v>62</v>
      </c>
      <c r="D398" s="9" t="n">
        <f aca="false">SUMIFS(Data!$E$2:$E$2657,Data!$A$2:$A$2657,$A398,Data!$B$2:$B$2657,$B398)+SUMIFS(Data!$G$2:$G$2657,Data!$A$2:$A$2657,$A398,Data!$B$2:$B$2657,$B398)</f>
        <v>1175.732935</v>
      </c>
      <c r="E398" s="10" t="n">
        <f aca="false">IFERROR((SUMIFS(Data!$E$2:$E$2657,Data!$A$2:$A$2657,$A398,Data!$B$2:$B$2657,$B398,Data!$D$2:$D$2657,"Transmission")+SUMIFS(Data!$G$2:$G$2657,Data!$A$2:$A$2657,$A398,Data!$B$2:$B$2657,$B398,Data!$D$2:$D$2657,"Transmission"))/$D398,0)</f>
        <v>0.316892757622716</v>
      </c>
      <c r="F398" s="10" t="n">
        <f aca="false">IFERROR((SUMIFS(Data!$E$2:$E$2657,Data!$A$2:$A$2657,$A398,Data!$B$2:$B$2657,$B398,Data!$D$2:$D$2657,"Distribution")+SUMIFS(Data!$G$2:$G$2657,Data!$A$2:$A$2657,$A398,Data!$B$2:$B$2657,$B398,Data!$D$2:$D$2657,"Distribution"))/$D398,0)</f>
        <v>0.317359084612187</v>
      </c>
      <c r="G398" s="10" t="n">
        <f aca="false">IFERROR((SUMIFS(Data!$E$2:$E$2657,Data!$A$2:$A$2657,$A398,Data!$B$2:$B$2657,$B398,Data!$D$2:$D$2657,"RTO/market operation")+SUMIFS(Data!$G$2:$G$2657,Data!$A$2:$A$2657,$A398,Data!$B$2:$B$2657,$B398,Data!$D$2:$D$2657,"RTO/market operation"))/$D398,0)</f>
        <v>0.00588642521951637</v>
      </c>
      <c r="H398" s="10" t="n">
        <f aca="false">IFERROR((SUMIFS(Data!$E$2:$E$2657,Data!$A$2:$A$2657,$A398,Data!$B$2:$B$2657,$B398,Data!$D$2:$D$2657,"Customer accounts, service &amp; sales")+SUMIFS(Data!$G$2:$G$2657,Data!$A$2:$A$2657,$A398,Data!$B$2:$B$2657,$B398,Data!$D$2:$D$2657,"Customer accounts, service &amp; sales"))/$D398,0)</f>
        <v>0.150066763248407</v>
      </c>
      <c r="I398" s="10" t="n">
        <f aca="false">IFERROR((SUMIFS(Data!$E$2:$E$2657,Data!$A$2:$A$2657,$A398,Data!$B$2:$B$2657,$B398,Data!$D$2:$D$2657,"A&amp;G and general")+SUMIFS(Data!$G$2:$G$2657,Data!$A$2:$A$2657,$A398,Data!$B$2:$B$2657,$B398,Data!$D$2:$D$2657,"A&amp;G and general"))/$D398,0)</f>
        <v>0.209794969297173</v>
      </c>
      <c r="J398" s="10" t="n">
        <f aca="false">IFERROR(SUMIFS(Data!$F$2:$F$2657,Data!$A$2:$A$2657,$A398,Data!$B$2:$B$2657,$B398)/$D398,0)</f>
        <v>0.306219616957485</v>
      </c>
      <c r="K398" s="11" t="n">
        <f aca="false">SUM(E398:I398)</f>
        <v>1</v>
      </c>
    </row>
    <row r="399" customFormat="false" ht="15" hidden="false" customHeight="false" outlineLevel="0" collapsed="false">
      <c r="A399" s="7" t="n">
        <v>2016</v>
      </c>
      <c r="B399" s="12" t="s">
        <v>63</v>
      </c>
      <c r="C399" s="12" t="s">
        <v>62</v>
      </c>
      <c r="D399" s="9" t="n">
        <f aca="false">SUMIFS(Data!$E$2:$E$2657,Data!$A$2:$A$2657,$A399,Data!$B$2:$B$2657,$B399)+SUMIFS(Data!$G$2:$G$2657,Data!$A$2:$A$2657,$A399,Data!$B$2:$B$2657,$B399)</f>
        <v>1678.803547</v>
      </c>
      <c r="E399" s="10" t="n">
        <f aca="false">IFERROR((SUMIFS(Data!$E$2:$E$2657,Data!$A$2:$A$2657,$A399,Data!$B$2:$B$2657,$B399,Data!$D$2:$D$2657,"Transmission")+SUMIFS(Data!$G$2:$G$2657,Data!$A$2:$A$2657,$A399,Data!$B$2:$B$2657,$B399,Data!$D$2:$D$2657,"Transmission"))/$D399,0)</f>
        <v>0.212247984963306</v>
      </c>
      <c r="F399" s="10" t="n">
        <f aca="false">IFERROR((SUMIFS(Data!$E$2:$E$2657,Data!$A$2:$A$2657,$A399,Data!$B$2:$B$2657,$B399,Data!$D$2:$D$2657,"Distribution")+SUMIFS(Data!$G$2:$G$2657,Data!$A$2:$A$2657,$A399,Data!$B$2:$B$2657,$B399,Data!$D$2:$D$2657,"Distribution"))/$D399,0)</f>
        <v>0.346631046282868</v>
      </c>
      <c r="G399" s="10" t="n">
        <f aca="false">IFERROR((SUMIFS(Data!$E$2:$E$2657,Data!$A$2:$A$2657,$A399,Data!$B$2:$B$2657,$B399,Data!$D$2:$D$2657,"RTO/market operation")+SUMIFS(Data!$G$2:$G$2657,Data!$A$2:$A$2657,$A399,Data!$B$2:$B$2657,$B399,Data!$D$2:$D$2657,"RTO/market operation"))/$D399,0)</f>
        <v>0.00428279950495006</v>
      </c>
      <c r="H399" s="10" t="n">
        <f aca="false">IFERROR((SUMIFS(Data!$E$2:$E$2657,Data!$A$2:$A$2657,$A399,Data!$B$2:$B$2657,$B399,Data!$D$2:$D$2657,"Customer accounts, service &amp; sales")+SUMIFS(Data!$G$2:$G$2657,Data!$A$2:$A$2657,$A399,Data!$B$2:$B$2657,$B399,Data!$D$2:$D$2657,"Customer accounts, service &amp; sales"))/$D399,0)</f>
        <v>0.145779416797956</v>
      </c>
      <c r="I399" s="10" t="n">
        <f aca="false">IFERROR((SUMIFS(Data!$E$2:$E$2657,Data!$A$2:$A$2657,$A399,Data!$B$2:$B$2657,$B399,Data!$D$2:$D$2657,"A&amp;G and general")+SUMIFS(Data!$G$2:$G$2657,Data!$A$2:$A$2657,$A399,Data!$B$2:$B$2657,$B399,Data!$D$2:$D$2657,"A&amp;G and general"))/$D399,0)</f>
        <v>0.29105875245092</v>
      </c>
      <c r="J399" s="10" t="n">
        <f aca="false">IFERROR(SUMIFS(Data!$F$2:$F$2657,Data!$A$2:$A$2657,$A399,Data!$B$2:$B$2657,$B399)/$D399,0)</f>
        <v>0.189101089622608</v>
      </c>
      <c r="K399" s="11" t="n">
        <f aca="false">SUM(E399:I399)</f>
        <v>1</v>
      </c>
    </row>
    <row r="400" customFormat="false" ht="15" hidden="false" customHeight="false" outlineLevel="0" collapsed="false">
      <c r="A400" s="7" t="n">
        <v>2016</v>
      </c>
      <c r="B400" s="12" t="s">
        <v>64</v>
      </c>
      <c r="C400" s="12" t="s">
        <v>65</v>
      </c>
      <c r="D400" s="9" t="n">
        <f aca="false">SUMIFS(Data!$E$2:$E$2657,Data!$A$2:$A$2657,$A400,Data!$B$2:$B$2657,$B400)+SUMIFS(Data!$G$2:$G$2657,Data!$A$2:$A$2657,$A400,Data!$B$2:$B$2657,$B400)</f>
        <v>507.933577</v>
      </c>
      <c r="E400" s="10" t="n">
        <f aca="false">IFERROR((SUMIFS(Data!$E$2:$E$2657,Data!$A$2:$A$2657,$A400,Data!$B$2:$B$2657,$B400,Data!$D$2:$D$2657,"Transmission")+SUMIFS(Data!$G$2:$G$2657,Data!$A$2:$A$2657,$A400,Data!$B$2:$B$2657,$B400,Data!$D$2:$D$2657,"Transmission"))/$D400,0)</f>
        <v>0.215118076354303</v>
      </c>
      <c r="F400" s="10" t="n">
        <f aca="false">IFERROR((SUMIFS(Data!$E$2:$E$2657,Data!$A$2:$A$2657,$A400,Data!$B$2:$B$2657,$B400,Data!$D$2:$D$2657,"Distribution")+SUMIFS(Data!$G$2:$G$2657,Data!$A$2:$A$2657,$A400,Data!$B$2:$B$2657,$B400,Data!$D$2:$D$2657,"Distribution"))/$D400,0)</f>
        <v>0.357081368928678</v>
      </c>
      <c r="G400" s="10" t="n">
        <f aca="false">IFERROR((SUMIFS(Data!$E$2:$E$2657,Data!$A$2:$A$2657,$A400,Data!$B$2:$B$2657,$B400,Data!$D$2:$D$2657,"RTO/market operation")+SUMIFS(Data!$G$2:$G$2657,Data!$A$2:$A$2657,$A400,Data!$B$2:$B$2657,$B400,Data!$D$2:$D$2657,"RTO/market operation"))/$D400,0)</f>
        <v>0.0110423650925522</v>
      </c>
      <c r="H400" s="10" t="n">
        <f aca="false">IFERROR((SUMIFS(Data!$E$2:$E$2657,Data!$A$2:$A$2657,$A400,Data!$B$2:$B$2657,$B400,Data!$D$2:$D$2657,"Customer accounts, service &amp; sales")+SUMIFS(Data!$G$2:$G$2657,Data!$A$2:$A$2657,$A400,Data!$B$2:$B$2657,$B400,Data!$D$2:$D$2657,"Customer accounts, service &amp; sales"))/$D400,0)</f>
        <v>0.0711453793100983</v>
      </c>
      <c r="I400" s="10" t="n">
        <f aca="false">IFERROR((SUMIFS(Data!$E$2:$E$2657,Data!$A$2:$A$2657,$A400,Data!$B$2:$B$2657,$B400,Data!$D$2:$D$2657,"A&amp;G and general")+SUMIFS(Data!$G$2:$G$2657,Data!$A$2:$A$2657,$A400,Data!$B$2:$B$2657,$B400,Data!$D$2:$D$2657,"A&amp;G and general"))/$D400,0)</f>
        <v>0.345612810314369</v>
      </c>
      <c r="J400" s="10" t="n">
        <f aca="false">IFERROR(SUMIFS(Data!$F$2:$F$2657,Data!$A$2:$A$2657,$A400,Data!$B$2:$B$2657,$B400)/$D400,0)</f>
        <v>0.081584480484148</v>
      </c>
      <c r="K400" s="11" t="n">
        <f aca="false">SUM(E400:I400)</f>
        <v>1</v>
      </c>
    </row>
    <row r="401" customFormat="false" ht="15" hidden="false" customHeight="false" outlineLevel="0" collapsed="false">
      <c r="A401" s="7" t="n">
        <v>2016</v>
      </c>
      <c r="B401" s="12" t="s">
        <v>66</v>
      </c>
      <c r="C401" s="12" t="s">
        <v>67</v>
      </c>
      <c r="D401" s="9" t="n">
        <f aca="false">SUMIFS(Data!$E$2:$E$2657,Data!$A$2:$A$2657,$A401,Data!$B$2:$B$2657,$B401)+SUMIFS(Data!$G$2:$G$2657,Data!$A$2:$A$2657,$A401,Data!$B$2:$B$2657,$B401)</f>
        <v>418.636418</v>
      </c>
      <c r="E401" s="10" t="n">
        <f aca="false">IFERROR((SUMIFS(Data!$E$2:$E$2657,Data!$A$2:$A$2657,$A401,Data!$B$2:$B$2657,$B401,Data!$D$2:$D$2657,"Transmission")+SUMIFS(Data!$G$2:$G$2657,Data!$A$2:$A$2657,$A401,Data!$B$2:$B$2657,$B401,Data!$D$2:$D$2657,"Transmission"))/$D401,0)</f>
        <v>0.292419597857347</v>
      </c>
      <c r="F401" s="10" t="n">
        <f aca="false">IFERROR((SUMIFS(Data!$E$2:$E$2657,Data!$A$2:$A$2657,$A401,Data!$B$2:$B$2657,$B401,Data!$D$2:$D$2657,"Distribution")+SUMIFS(Data!$G$2:$G$2657,Data!$A$2:$A$2657,$A401,Data!$B$2:$B$2657,$B401,Data!$D$2:$D$2657,"Distribution"))/$D401,0)</f>
        <v>0.287277699285111</v>
      </c>
      <c r="G401" s="10" t="n">
        <f aca="false">IFERROR((SUMIFS(Data!$E$2:$E$2657,Data!$A$2:$A$2657,$A401,Data!$B$2:$B$2657,$B401,Data!$D$2:$D$2657,"RTO/market operation")+SUMIFS(Data!$G$2:$G$2657,Data!$A$2:$A$2657,$A401,Data!$B$2:$B$2657,$B401,Data!$D$2:$D$2657,"RTO/market operation"))/$D401,0)</f>
        <v>0.00957090168872981</v>
      </c>
      <c r="H401" s="10" t="n">
        <f aca="false">IFERROR((SUMIFS(Data!$E$2:$E$2657,Data!$A$2:$A$2657,$A401,Data!$B$2:$B$2657,$B401,Data!$D$2:$D$2657,"Customer accounts, service &amp; sales")+SUMIFS(Data!$G$2:$G$2657,Data!$A$2:$A$2657,$A401,Data!$B$2:$B$2657,$B401,Data!$D$2:$D$2657,"Customer accounts, service &amp; sales"))/$D401,0)</f>
        <v>0.0893229456210377</v>
      </c>
      <c r="I401" s="10" t="n">
        <f aca="false">IFERROR((SUMIFS(Data!$E$2:$E$2657,Data!$A$2:$A$2657,$A401,Data!$B$2:$B$2657,$B401,Data!$D$2:$D$2657,"A&amp;G and general")+SUMIFS(Data!$G$2:$G$2657,Data!$A$2:$A$2657,$A401,Data!$B$2:$B$2657,$B401,Data!$D$2:$D$2657,"A&amp;G and general"))/$D401,0)</f>
        <v>0.321408855547775</v>
      </c>
      <c r="J401" s="10" t="n">
        <f aca="false">IFERROR(SUMIFS(Data!$F$2:$F$2657,Data!$A$2:$A$2657,$A401,Data!$B$2:$B$2657,$B401)/$D401,0)</f>
        <v>0.161437240273731</v>
      </c>
      <c r="K401" s="11" t="n">
        <f aca="false">SUM(E401:I401)</f>
        <v>1</v>
      </c>
    </row>
    <row r="402" customFormat="false" ht="15" hidden="false" customHeight="false" outlineLevel="0" collapsed="false">
      <c r="A402" s="7" t="n">
        <v>2016</v>
      </c>
      <c r="B402" s="12" t="s">
        <v>68</v>
      </c>
      <c r="C402" s="12" t="s">
        <v>65</v>
      </c>
      <c r="D402" s="9" t="n">
        <f aca="false">SUMIFS(Data!$E$2:$E$2657,Data!$A$2:$A$2657,$A402,Data!$B$2:$B$2657,$B402)+SUMIFS(Data!$G$2:$G$2657,Data!$A$2:$A$2657,$A402,Data!$B$2:$B$2657,$B402)</f>
        <v>299.888816</v>
      </c>
      <c r="E402" s="10" t="n">
        <f aca="false">IFERROR((SUMIFS(Data!$E$2:$E$2657,Data!$A$2:$A$2657,$A402,Data!$B$2:$B$2657,$B402,Data!$D$2:$D$2657,"Transmission")+SUMIFS(Data!$G$2:$G$2657,Data!$A$2:$A$2657,$A402,Data!$B$2:$B$2657,$B402,Data!$D$2:$D$2657,"Transmission"))/$D402,0)</f>
        <v>0.11762846134282</v>
      </c>
      <c r="F402" s="10" t="n">
        <f aca="false">IFERROR((SUMIFS(Data!$E$2:$E$2657,Data!$A$2:$A$2657,$A402,Data!$B$2:$B$2657,$B402,Data!$D$2:$D$2657,"Distribution")+SUMIFS(Data!$G$2:$G$2657,Data!$A$2:$A$2657,$A402,Data!$B$2:$B$2657,$B402,Data!$D$2:$D$2657,"Distribution"))/$D402,0)</f>
        <v>0.26976801962498</v>
      </c>
      <c r="G402" s="10" t="n">
        <f aca="false">IFERROR((SUMIFS(Data!$E$2:$E$2657,Data!$A$2:$A$2657,$A402,Data!$B$2:$B$2657,$B402,Data!$D$2:$D$2657,"RTO/market operation")+SUMIFS(Data!$G$2:$G$2657,Data!$A$2:$A$2657,$A402,Data!$B$2:$B$2657,$B402,Data!$D$2:$D$2657,"RTO/market operation"))/$D402,0)</f>
        <v>0.0119468009770661</v>
      </c>
      <c r="H402" s="10" t="n">
        <f aca="false">IFERROR((SUMIFS(Data!$E$2:$E$2657,Data!$A$2:$A$2657,$A402,Data!$B$2:$B$2657,$B402,Data!$D$2:$D$2657,"Customer accounts, service &amp; sales")+SUMIFS(Data!$G$2:$G$2657,Data!$A$2:$A$2657,$A402,Data!$B$2:$B$2657,$B402,Data!$D$2:$D$2657,"Customer accounts, service &amp; sales"))/$D402,0)</f>
        <v>0.0748088518246042</v>
      </c>
      <c r="I402" s="10" t="n">
        <f aca="false">IFERROR((SUMIFS(Data!$E$2:$E$2657,Data!$A$2:$A$2657,$A402,Data!$B$2:$B$2657,$B402,Data!$D$2:$D$2657,"A&amp;G and general")+SUMIFS(Data!$G$2:$G$2657,Data!$A$2:$A$2657,$A402,Data!$B$2:$B$2657,$B402,Data!$D$2:$D$2657,"A&amp;G and general"))/$D402,0)</f>
        <v>0.52584786623053</v>
      </c>
      <c r="J402" s="10" t="n">
        <f aca="false">IFERROR(SUMIFS(Data!$F$2:$F$2657,Data!$A$2:$A$2657,$A402,Data!$B$2:$B$2657,$B402)/$D402,0)</f>
        <v>0.0250146340902556</v>
      </c>
      <c r="K402" s="11" t="n">
        <f aca="false">SUM(E402:I402)</f>
        <v>1</v>
      </c>
    </row>
    <row r="403" customFormat="false" ht="15" hidden="false" customHeight="false" outlineLevel="0" collapsed="false">
      <c r="A403" s="7" t="n">
        <v>2016</v>
      </c>
      <c r="B403" s="12" t="s">
        <v>69</v>
      </c>
      <c r="C403" s="12" t="s">
        <v>70</v>
      </c>
      <c r="D403" s="9" t="n">
        <f aca="false">SUMIFS(Data!$E$2:$E$2657,Data!$A$2:$A$2657,$A403,Data!$B$2:$B$2657,$B403)+SUMIFS(Data!$G$2:$G$2657,Data!$A$2:$A$2657,$A403,Data!$B$2:$B$2657,$B403)</f>
        <v>669.588505</v>
      </c>
      <c r="E403" s="10" t="n">
        <f aca="false">IFERROR((SUMIFS(Data!$E$2:$E$2657,Data!$A$2:$A$2657,$A403,Data!$B$2:$B$2657,$B403,Data!$D$2:$D$2657,"Transmission")+SUMIFS(Data!$G$2:$G$2657,Data!$A$2:$A$2657,$A403,Data!$B$2:$B$2657,$B403,Data!$D$2:$D$2657,"Transmission"))/$D403,0)</f>
        <v>0.541501934833843</v>
      </c>
      <c r="F403" s="10" t="n">
        <f aca="false">IFERROR((SUMIFS(Data!$E$2:$E$2657,Data!$A$2:$A$2657,$A403,Data!$B$2:$B$2657,$B403,Data!$D$2:$D$2657,"Distribution")+SUMIFS(Data!$G$2:$G$2657,Data!$A$2:$A$2657,$A403,Data!$B$2:$B$2657,$B403,Data!$D$2:$D$2657,"Distribution"))/$D403,0)</f>
        <v>0.134172509428011</v>
      </c>
      <c r="G403" s="10" t="n">
        <f aca="false">IFERROR((SUMIFS(Data!$E$2:$E$2657,Data!$A$2:$A$2657,$A403,Data!$B$2:$B$2657,$B403,Data!$D$2:$D$2657,"RTO/market operation")+SUMIFS(Data!$G$2:$G$2657,Data!$A$2:$A$2657,$A403,Data!$B$2:$B$2657,$B403,Data!$D$2:$D$2657,"RTO/market operation"))/$D403,0)</f>
        <v>0.00414100448155095</v>
      </c>
      <c r="H403" s="10" t="n">
        <f aca="false">IFERROR((SUMIFS(Data!$E$2:$E$2657,Data!$A$2:$A$2657,$A403,Data!$B$2:$B$2657,$B403,Data!$D$2:$D$2657,"Customer accounts, service &amp; sales")+SUMIFS(Data!$G$2:$G$2657,Data!$A$2:$A$2657,$A403,Data!$B$2:$B$2657,$B403,Data!$D$2:$D$2657,"Customer accounts, service &amp; sales"))/$D403,0)</f>
        <v>0.108420442492513</v>
      </c>
      <c r="I403" s="10" t="n">
        <f aca="false">IFERROR((SUMIFS(Data!$E$2:$E$2657,Data!$A$2:$A$2657,$A403,Data!$B$2:$B$2657,$B403,Data!$D$2:$D$2657,"A&amp;G and general")+SUMIFS(Data!$G$2:$G$2657,Data!$A$2:$A$2657,$A403,Data!$B$2:$B$2657,$B403,Data!$D$2:$D$2657,"A&amp;G and general"))/$D403,0)</f>
        <v>0.211764108764083</v>
      </c>
      <c r="J403" s="10" t="n">
        <f aca="false">IFERROR(SUMIFS(Data!$F$2:$F$2657,Data!$A$2:$A$2657,$A403,Data!$B$2:$B$2657,$B403)/$D403,0)</f>
        <v>0.537198654567704</v>
      </c>
      <c r="K403" s="11" t="n">
        <f aca="false">SUM(E403:I403)</f>
        <v>1</v>
      </c>
    </row>
    <row r="404" customFormat="false" ht="15" hidden="false" customHeight="false" outlineLevel="0" collapsed="false">
      <c r="A404" s="7" t="n">
        <v>2016</v>
      </c>
      <c r="B404" s="12" t="s">
        <v>71</v>
      </c>
      <c r="C404" s="12" t="s">
        <v>72</v>
      </c>
      <c r="D404" s="9" t="n">
        <f aca="false">SUMIFS(Data!$E$2:$E$2657,Data!$A$2:$A$2657,$A404,Data!$B$2:$B$2657,$B404)+SUMIFS(Data!$G$2:$G$2657,Data!$A$2:$A$2657,$A404,Data!$B$2:$B$2657,$B404)</f>
        <v>116.94047</v>
      </c>
      <c r="E404" s="10" t="n">
        <f aca="false">IFERROR((SUMIFS(Data!$E$2:$E$2657,Data!$A$2:$A$2657,$A404,Data!$B$2:$B$2657,$B404,Data!$D$2:$D$2657,"Transmission")+SUMIFS(Data!$G$2:$G$2657,Data!$A$2:$A$2657,$A404,Data!$B$2:$B$2657,$B404,Data!$D$2:$D$2657,"Transmission"))/$D404,0)</f>
        <v>0.31145531568327</v>
      </c>
      <c r="F404" s="10" t="n">
        <f aca="false">IFERROR((SUMIFS(Data!$E$2:$E$2657,Data!$A$2:$A$2657,$A404,Data!$B$2:$B$2657,$B404,Data!$D$2:$D$2657,"Distribution")+SUMIFS(Data!$G$2:$G$2657,Data!$A$2:$A$2657,$A404,Data!$B$2:$B$2657,$B404,Data!$D$2:$D$2657,"Distribution"))/$D404,0)</f>
        <v>0.239725161015686</v>
      </c>
      <c r="G404" s="10" t="n">
        <f aca="false">IFERROR((SUMIFS(Data!$E$2:$E$2657,Data!$A$2:$A$2657,$A404,Data!$B$2:$B$2657,$B404,Data!$D$2:$D$2657,"RTO/market operation")+SUMIFS(Data!$G$2:$G$2657,Data!$A$2:$A$2657,$A404,Data!$B$2:$B$2657,$B404,Data!$D$2:$D$2657,"RTO/market operation"))/$D404,0)</f>
        <v>0.00520088554458521</v>
      </c>
      <c r="H404" s="10" t="n">
        <f aca="false">IFERROR((SUMIFS(Data!$E$2:$E$2657,Data!$A$2:$A$2657,$A404,Data!$B$2:$B$2657,$B404,Data!$D$2:$D$2657,"Customer accounts, service &amp; sales")+SUMIFS(Data!$G$2:$G$2657,Data!$A$2:$A$2657,$A404,Data!$B$2:$B$2657,$B404,Data!$D$2:$D$2657,"Customer accounts, service &amp; sales"))/$D404,0)</f>
        <v>0.126128704630655</v>
      </c>
      <c r="I404" s="10" t="n">
        <f aca="false">IFERROR((SUMIFS(Data!$E$2:$E$2657,Data!$A$2:$A$2657,$A404,Data!$B$2:$B$2657,$B404,Data!$D$2:$D$2657,"A&amp;G and general")+SUMIFS(Data!$G$2:$G$2657,Data!$A$2:$A$2657,$A404,Data!$B$2:$B$2657,$B404,Data!$D$2:$D$2657,"A&amp;G and general"))/$D404,0)</f>
        <v>0.317489933125803</v>
      </c>
      <c r="J404" s="10" t="n">
        <f aca="false">IFERROR(SUMIFS(Data!$F$2:$F$2657,Data!$A$2:$A$2657,$A404,Data!$B$2:$B$2657,$B404)/$D404,0)</f>
        <v>0.311310849015743</v>
      </c>
      <c r="K404" s="11" t="n">
        <f aca="false">SUM(E404:I404)</f>
        <v>1</v>
      </c>
    </row>
    <row r="405" customFormat="false" ht="15" hidden="false" customHeight="false" outlineLevel="0" collapsed="false">
      <c r="A405" s="7" t="n">
        <v>2016</v>
      </c>
      <c r="B405" s="12" t="s">
        <v>73</v>
      </c>
      <c r="C405" s="12" t="s">
        <v>70</v>
      </c>
      <c r="D405" s="9" t="n">
        <f aca="false">SUMIFS(Data!$E$2:$E$2657,Data!$A$2:$A$2657,$A405,Data!$B$2:$B$2657,$B405)+SUMIFS(Data!$G$2:$G$2657,Data!$A$2:$A$2657,$A405,Data!$B$2:$B$2657,$B405)</f>
        <v>447.28324</v>
      </c>
      <c r="E405" s="10" t="n">
        <f aca="false">IFERROR((SUMIFS(Data!$E$2:$E$2657,Data!$A$2:$A$2657,$A405,Data!$B$2:$B$2657,$B405,Data!$D$2:$D$2657,"Transmission")+SUMIFS(Data!$G$2:$G$2657,Data!$A$2:$A$2657,$A405,Data!$B$2:$B$2657,$B405,Data!$D$2:$D$2657,"Transmission"))/$D405,0)</f>
        <v>0.212253220129598</v>
      </c>
      <c r="F405" s="10" t="n">
        <f aca="false">IFERROR((SUMIFS(Data!$E$2:$E$2657,Data!$A$2:$A$2657,$A405,Data!$B$2:$B$2657,$B405,Data!$D$2:$D$2657,"Distribution")+SUMIFS(Data!$G$2:$G$2657,Data!$A$2:$A$2657,$A405,Data!$B$2:$B$2657,$B405,Data!$D$2:$D$2657,"Distribution"))/$D405,0)</f>
        <v>0.32801912497325</v>
      </c>
      <c r="G405" s="10" t="n">
        <f aca="false">IFERROR((SUMIFS(Data!$E$2:$E$2657,Data!$A$2:$A$2657,$A405,Data!$B$2:$B$2657,$B405,Data!$D$2:$D$2657,"RTO/market operation")+SUMIFS(Data!$G$2:$G$2657,Data!$A$2:$A$2657,$A405,Data!$B$2:$B$2657,$B405,Data!$D$2:$D$2657,"RTO/market operation"))/$D405,0)</f>
        <v>0.0110275023942323</v>
      </c>
      <c r="H405" s="10" t="n">
        <f aca="false">IFERROR((SUMIFS(Data!$E$2:$E$2657,Data!$A$2:$A$2657,$A405,Data!$B$2:$B$2657,$B405,Data!$D$2:$D$2657,"Customer accounts, service &amp; sales")+SUMIFS(Data!$G$2:$G$2657,Data!$A$2:$A$2657,$A405,Data!$B$2:$B$2657,$B405,Data!$D$2:$D$2657,"Customer accounts, service &amp; sales"))/$D405,0)</f>
        <v>0.260304088299843</v>
      </c>
      <c r="I405" s="10" t="n">
        <f aca="false">IFERROR((SUMIFS(Data!$E$2:$E$2657,Data!$A$2:$A$2657,$A405,Data!$B$2:$B$2657,$B405,Data!$D$2:$D$2657,"A&amp;G and general")+SUMIFS(Data!$G$2:$G$2657,Data!$A$2:$A$2657,$A405,Data!$B$2:$B$2657,$B405,Data!$D$2:$D$2657,"A&amp;G and general"))/$D405,0)</f>
        <v>0.188396064203076</v>
      </c>
      <c r="J405" s="10" t="n">
        <f aca="false">IFERROR(SUMIFS(Data!$F$2:$F$2657,Data!$A$2:$A$2657,$A405,Data!$B$2:$B$2657,$B405)/$D405,0)</f>
        <v>0.106582149154527</v>
      </c>
      <c r="K405" s="11" t="n">
        <f aca="false">SUM(E405:I405)</f>
        <v>1</v>
      </c>
    </row>
    <row r="406" customFormat="false" ht="15" hidden="false" customHeight="false" outlineLevel="0" collapsed="false">
      <c r="A406" s="7" t="n">
        <v>2016</v>
      </c>
      <c r="B406" s="12" t="s">
        <v>74</v>
      </c>
      <c r="C406" s="12" t="s">
        <v>65</v>
      </c>
      <c r="D406" s="9" t="n">
        <f aca="false">SUMIFS(Data!$E$2:$E$2657,Data!$A$2:$A$2657,$A406,Data!$B$2:$B$2657,$B406)+SUMIFS(Data!$G$2:$G$2657,Data!$A$2:$A$2657,$A406,Data!$B$2:$B$2657,$B406)</f>
        <v>449.640273</v>
      </c>
      <c r="E406" s="10" t="n">
        <f aca="false">IFERROR((SUMIFS(Data!$E$2:$E$2657,Data!$A$2:$A$2657,$A406,Data!$B$2:$B$2657,$B406,Data!$D$2:$D$2657,"Transmission")+SUMIFS(Data!$G$2:$G$2657,Data!$A$2:$A$2657,$A406,Data!$B$2:$B$2657,$B406,Data!$D$2:$D$2657,"Transmission"))/$D406,0)</f>
        <v>0.14723392226034</v>
      </c>
      <c r="F406" s="10" t="n">
        <f aca="false">IFERROR((SUMIFS(Data!$E$2:$E$2657,Data!$A$2:$A$2657,$A406,Data!$B$2:$B$2657,$B406,Data!$D$2:$D$2657,"Distribution")+SUMIFS(Data!$G$2:$G$2657,Data!$A$2:$A$2657,$A406,Data!$B$2:$B$2657,$B406,Data!$D$2:$D$2657,"Distribution"))/$D406,0)</f>
        <v>0.197529452616447</v>
      </c>
      <c r="G406" s="10" t="n">
        <f aca="false">IFERROR((SUMIFS(Data!$E$2:$E$2657,Data!$A$2:$A$2657,$A406,Data!$B$2:$B$2657,$B406,Data!$D$2:$D$2657,"RTO/market operation")+SUMIFS(Data!$G$2:$G$2657,Data!$A$2:$A$2657,$A406,Data!$B$2:$B$2657,$B406,Data!$D$2:$D$2657,"RTO/market operation"))/$D406,0)</f>
        <v>0.0120851229889721</v>
      </c>
      <c r="H406" s="10" t="n">
        <f aca="false">IFERROR((SUMIFS(Data!$E$2:$E$2657,Data!$A$2:$A$2657,$A406,Data!$B$2:$B$2657,$B406,Data!$D$2:$D$2657,"Customer accounts, service &amp; sales")+SUMIFS(Data!$G$2:$G$2657,Data!$A$2:$A$2657,$A406,Data!$B$2:$B$2657,$B406,Data!$D$2:$D$2657,"Customer accounts, service &amp; sales"))/$D406,0)</f>
        <v>0.0422849934529775</v>
      </c>
      <c r="I406" s="10" t="n">
        <f aca="false">IFERROR((SUMIFS(Data!$E$2:$E$2657,Data!$A$2:$A$2657,$A406,Data!$B$2:$B$2657,$B406,Data!$D$2:$D$2657,"A&amp;G and general")+SUMIFS(Data!$G$2:$G$2657,Data!$A$2:$A$2657,$A406,Data!$B$2:$B$2657,$B406,Data!$D$2:$D$2657,"A&amp;G and general"))/$D406,0)</f>
        <v>0.600866508681263</v>
      </c>
      <c r="J406" s="10" t="n">
        <f aca="false">IFERROR(SUMIFS(Data!$F$2:$F$2657,Data!$A$2:$A$2657,$A406,Data!$B$2:$B$2657,$B406)/$D406,0)</f>
        <v>0</v>
      </c>
      <c r="K406" s="11" t="n">
        <f aca="false">SUM(E406:I406)</f>
        <v>1</v>
      </c>
    </row>
    <row r="407" customFormat="false" ht="15" hidden="false" customHeight="false" outlineLevel="0" collapsed="false">
      <c r="A407" s="7" t="n">
        <v>2016</v>
      </c>
      <c r="B407" s="12" t="s">
        <v>75</v>
      </c>
      <c r="C407" s="12" t="s">
        <v>57</v>
      </c>
      <c r="D407" s="9" t="n">
        <f aca="false">SUMIFS(Data!$E$2:$E$2657,Data!$A$2:$A$2657,$A407,Data!$B$2:$B$2657,$B407)+SUMIFS(Data!$G$2:$G$2657,Data!$A$2:$A$2657,$A407,Data!$B$2:$B$2657,$B407)</f>
        <v>1155.272282</v>
      </c>
      <c r="E407" s="10" t="n">
        <f aca="false">IFERROR((SUMIFS(Data!$E$2:$E$2657,Data!$A$2:$A$2657,$A407,Data!$B$2:$B$2657,$B407,Data!$D$2:$D$2657,"Transmission")+SUMIFS(Data!$G$2:$G$2657,Data!$A$2:$A$2657,$A407,Data!$B$2:$B$2657,$B407,Data!$D$2:$D$2657,"Transmission"))/$D407,0)</f>
        <v>0.362691582346819</v>
      </c>
      <c r="F407" s="10" t="n">
        <f aca="false">IFERROR((SUMIFS(Data!$E$2:$E$2657,Data!$A$2:$A$2657,$A407,Data!$B$2:$B$2657,$B407,Data!$D$2:$D$2657,"Distribution")+SUMIFS(Data!$G$2:$G$2657,Data!$A$2:$A$2657,$A407,Data!$B$2:$B$2657,$B407,Data!$D$2:$D$2657,"Distribution"))/$D407,0)</f>
        <v>0.188896465707813</v>
      </c>
      <c r="G407" s="10" t="n">
        <f aca="false">IFERROR((SUMIFS(Data!$E$2:$E$2657,Data!$A$2:$A$2657,$A407,Data!$B$2:$B$2657,$B407,Data!$D$2:$D$2657,"RTO/market operation")+SUMIFS(Data!$G$2:$G$2657,Data!$A$2:$A$2657,$A407,Data!$B$2:$B$2657,$B407,Data!$D$2:$D$2657,"RTO/market operation"))/$D407,0)</f>
        <v>0.00829526523687513</v>
      </c>
      <c r="H407" s="10" t="n">
        <f aca="false">IFERROR((SUMIFS(Data!$E$2:$E$2657,Data!$A$2:$A$2657,$A407,Data!$B$2:$B$2657,$B407,Data!$D$2:$D$2657,"Customer accounts, service &amp; sales")+SUMIFS(Data!$G$2:$G$2657,Data!$A$2:$A$2657,$A407,Data!$B$2:$B$2657,$B407,Data!$D$2:$D$2657,"Customer accounts, service &amp; sales"))/$D407,0)</f>
        <v>0.126319337245209</v>
      </c>
      <c r="I407" s="10" t="n">
        <f aca="false">IFERROR((SUMIFS(Data!$E$2:$E$2657,Data!$A$2:$A$2657,$A407,Data!$B$2:$B$2657,$B407,Data!$D$2:$D$2657,"A&amp;G and general")+SUMIFS(Data!$G$2:$G$2657,Data!$A$2:$A$2657,$A407,Data!$B$2:$B$2657,$B407,Data!$D$2:$D$2657,"A&amp;G and general"))/$D407,0)</f>
        <v>0.313797349463284</v>
      </c>
      <c r="J407" s="10" t="n">
        <f aca="false">IFERROR(SUMIFS(Data!$F$2:$F$2657,Data!$A$2:$A$2657,$A407,Data!$B$2:$B$2657,$B407)/$D407,0)</f>
        <v>0.167834482849646</v>
      </c>
      <c r="K407" s="11" t="n">
        <f aca="false">SUM(E407:I407)</f>
        <v>1</v>
      </c>
    </row>
    <row r="408" customFormat="false" ht="15" hidden="false" customHeight="false" outlineLevel="0" collapsed="false">
      <c r="A408" s="7" t="n">
        <v>2016</v>
      </c>
      <c r="B408" s="12" t="s">
        <v>76</v>
      </c>
      <c r="C408" s="12" t="s">
        <v>72</v>
      </c>
      <c r="D408" s="9" t="n">
        <f aca="false">SUMIFS(Data!$E$2:$E$2657,Data!$A$2:$A$2657,$A408,Data!$B$2:$B$2657,$B408)+SUMIFS(Data!$G$2:$G$2657,Data!$A$2:$A$2657,$A408,Data!$B$2:$B$2657,$B408)</f>
        <v>221.485307</v>
      </c>
      <c r="E408" s="10" t="n">
        <f aca="false">IFERROR((SUMIFS(Data!$E$2:$E$2657,Data!$A$2:$A$2657,$A408,Data!$B$2:$B$2657,$B408,Data!$D$2:$D$2657,"Transmission")+SUMIFS(Data!$G$2:$G$2657,Data!$A$2:$A$2657,$A408,Data!$B$2:$B$2657,$B408,Data!$D$2:$D$2657,"Transmission"))/$D408,0)</f>
        <v>0.415489371491356</v>
      </c>
      <c r="F408" s="10" t="n">
        <f aca="false">IFERROR((SUMIFS(Data!$E$2:$E$2657,Data!$A$2:$A$2657,$A408,Data!$B$2:$B$2657,$B408,Data!$D$2:$D$2657,"Distribution")+SUMIFS(Data!$G$2:$G$2657,Data!$A$2:$A$2657,$A408,Data!$B$2:$B$2657,$B408,Data!$D$2:$D$2657,"Distribution"))/$D408,0)</f>
        <v>0.242207998926087</v>
      </c>
      <c r="G408" s="10" t="n">
        <f aca="false">IFERROR((SUMIFS(Data!$E$2:$E$2657,Data!$A$2:$A$2657,$A408,Data!$B$2:$B$2657,$B408,Data!$D$2:$D$2657,"RTO/market operation")+SUMIFS(Data!$G$2:$G$2657,Data!$A$2:$A$2657,$A408,Data!$B$2:$B$2657,$B408,Data!$D$2:$D$2657,"RTO/market operation"))/$D408,0)</f>
        <v>0</v>
      </c>
      <c r="H408" s="10" t="n">
        <f aca="false">IFERROR((SUMIFS(Data!$E$2:$E$2657,Data!$A$2:$A$2657,$A408,Data!$B$2:$B$2657,$B408,Data!$D$2:$D$2657,"Customer accounts, service &amp; sales")+SUMIFS(Data!$G$2:$G$2657,Data!$A$2:$A$2657,$A408,Data!$B$2:$B$2657,$B408,Data!$D$2:$D$2657,"Customer accounts, service &amp; sales"))/$D408,0)</f>
        <v>0.0980138018816752</v>
      </c>
      <c r="I408" s="10" t="n">
        <f aca="false">IFERROR((SUMIFS(Data!$E$2:$E$2657,Data!$A$2:$A$2657,$A408,Data!$B$2:$B$2657,$B408,Data!$D$2:$D$2657,"A&amp;G and general")+SUMIFS(Data!$G$2:$G$2657,Data!$A$2:$A$2657,$A408,Data!$B$2:$B$2657,$B408,Data!$D$2:$D$2657,"A&amp;G and general"))/$D408,0)</f>
        <v>0.244288827700882</v>
      </c>
      <c r="J408" s="10" t="n">
        <f aca="false">IFERROR(SUMIFS(Data!$F$2:$F$2657,Data!$A$2:$A$2657,$A408,Data!$B$2:$B$2657,$B408)/$D408,0)</f>
        <v>0</v>
      </c>
      <c r="K408" s="11" t="n">
        <f aca="false">SUM(E408:I408)</f>
        <v>1</v>
      </c>
    </row>
    <row r="409" customFormat="false" ht="15" hidden="false" customHeight="false" outlineLevel="0" collapsed="false">
      <c r="A409" s="7" t="n">
        <v>2016</v>
      </c>
      <c r="B409" s="12" t="s">
        <v>77</v>
      </c>
      <c r="C409" s="12" t="s">
        <v>57</v>
      </c>
      <c r="D409" s="9" t="n">
        <f aca="false">SUMIFS(Data!$E$2:$E$2657,Data!$A$2:$A$2657,$A409,Data!$B$2:$B$2657,$B409)+SUMIFS(Data!$G$2:$G$2657,Data!$A$2:$A$2657,$A409,Data!$B$2:$B$2657,$B409)</f>
        <v>141.121677</v>
      </c>
      <c r="E409" s="10" t="n">
        <f aca="false">IFERROR((SUMIFS(Data!$E$2:$E$2657,Data!$A$2:$A$2657,$A409,Data!$B$2:$B$2657,$B409,Data!$D$2:$D$2657,"Transmission")+SUMIFS(Data!$G$2:$G$2657,Data!$A$2:$A$2657,$A409,Data!$B$2:$B$2657,$B409,Data!$D$2:$D$2657,"Transmission"))/$D409,0)</f>
        <v>0.279447309855877</v>
      </c>
      <c r="F409" s="10" t="n">
        <f aca="false">IFERROR((SUMIFS(Data!$E$2:$E$2657,Data!$A$2:$A$2657,$A409,Data!$B$2:$B$2657,$B409,Data!$D$2:$D$2657,"Distribution")+SUMIFS(Data!$G$2:$G$2657,Data!$A$2:$A$2657,$A409,Data!$B$2:$B$2657,$B409,Data!$D$2:$D$2657,"Distribution"))/$D409,0)</f>
        <v>0.197120808024411</v>
      </c>
      <c r="G409" s="10" t="n">
        <f aca="false">IFERROR((SUMIFS(Data!$E$2:$E$2657,Data!$A$2:$A$2657,$A409,Data!$B$2:$B$2657,$B409,Data!$D$2:$D$2657,"RTO/market operation")+SUMIFS(Data!$G$2:$G$2657,Data!$A$2:$A$2657,$A409,Data!$B$2:$B$2657,$B409,Data!$D$2:$D$2657,"RTO/market operation"))/$D409,0)</f>
        <v>0.00730702059329978</v>
      </c>
      <c r="H409" s="10" t="n">
        <f aca="false">IFERROR((SUMIFS(Data!$E$2:$E$2657,Data!$A$2:$A$2657,$A409,Data!$B$2:$B$2657,$B409,Data!$D$2:$D$2657,"Customer accounts, service &amp; sales")+SUMIFS(Data!$G$2:$G$2657,Data!$A$2:$A$2657,$A409,Data!$B$2:$B$2657,$B409,Data!$D$2:$D$2657,"Customer accounts, service &amp; sales"))/$D409,0)</f>
        <v>0.167242534965057</v>
      </c>
      <c r="I409" s="10" t="n">
        <f aca="false">IFERROR((SUMIFS(Data!$E$2:$E$2657,Data!$A$2:$A$2657,$A409,Data!$B$2:$B$2657,$B409,Data!$D$2:$D$2657,"A&amp;G and general")+SUMIFS(Data!$G$2:$G$2657,Data!$A$2:$A$2657,$A409,Data!$B$2:$B$2657,$B409,Data!$D$2:$D$2657,"A&amp;G and general"))/$D409,0)</f>
        <v>0.348882326561355</v>
      </c>
      <c r="J409" s="10" t="n">
        <f aca="false">IFERROR(SUMIFS(Data!$F$2:$F$2657,Data!$A$2:$A$2657,$A409,Data!$B$2:$B$2657,$B409)/$D409,0)</f>
        <v>0.156496248269499</v>
      </c>
      <c r="K409" s="11" t="n">
        <f aca="false">SUM(E409:I409)</f>
        <v>1</v>
      </c>
    </row>
    <row r="410" customFormat="false" ht="15" hidden="false" customHeight="false" outlineLevel="0" collapsed="false">
      <c r="A410" s="7" t="n">
        <v>2016</v>
      </c>
      <c r="B410" s="12" t="s">
        <v>78</v>
      </c>
      <c r="C410" s="12" t="s">
        <v>65</v>
      </c>
      <c r="D410" s="9" t="n">
        <f aca="false">SUMIFS(Data!$E$2:$E$2657,Data!$A$2:$A$2657,$A410,Data!$B$2:$B$2657,$B410)+SUMIFS(Data!$G$2:$G$2657,Data!$A$2:$A$2657,$A410,Data!$B$2:$B$2657,$B410)</f>
        <v>124.323712</v>
      </c>
      <c r="E410" s="10" t="n">
        <f aca="false">IFERROR((SUMIFS(Data!$E$2:$E$2657,Data!$A$2:$A$2657,$A410,Data!$B$2:$B$2657,$B410,Data!$D$2:$D$2657,"Transmission")+SUMIFS(Data!$G$2:$G$2657,Data!$A$2:$A$2657,$A410,Data!$B$2:$B$2657,$B410,Data!$D$2:$D$2657,"Transmission"))/$D410,0)</f>
        <v>0.248765352179961</v>
      </c>
      <c r="F410" s="10" t="n">
        <f aca="false">IFERROR((SUMIFS(Data!$E$2:$E$2657,Data!$A$2:$A$2657,$A410,Data!$B$2:$B$2657,$B410,Data!$D$2:$D$2657,"Distribution")+SUMIFS(Data!$G$2:$G$2657,Data!$A$2:$A$2657,$A410,Data!$B$2:$B$2657,$B410,Data!$D$2:$D$2657,"Distribution"))/$D410,0)</f>
        <v>0.277455422180445</v>
      </c>
      <c r="G410" s="10" t="n">
        <f aca="false">IFERROR((SUMIFS(Data!$E$2:$E$2657,Data!$A$2:$A$2657,$A410,Data!$B$2:$B$2657,$B410,Data!$D$2:$D$2657,"RTO/market operation")+SUMIFS(Data!$G$2:$G$2657,Data!$A$2:$A$2657,$A410,Data!$B$2:$B$2657,$B410,Data!$D$2:$D$2657,"RTO/market operation"))/$D410,0)</f>
        <v>0</v>
      </c>
      <c r="H410" s="10" t="n">
        <f aca="false">IFERROR((SUMIFS(Data!$E$2:$E$2657,Data!$A$2:$A$2657,$A410,Data!$B$2:$B$2657,$B410,Data!$D$2:$D$2657,"Customer accounts, service &amp; sales")+SUMIFS(Data!$G$2:$G$2657,Data!$A$2:$A$2657,$A410,Data!$B$2:$B$2657,$B410,Data!$D$2:$D$2657,"Customer accounts, service &amp; sales"))/$D410,0)</f>
        <v>0.13648628026808</v>
      </c>
      <c r="I410" s="10" t="n">
        <f aca="false">IFERROR((SUMIFS(Data!$E$2:$E$2657,Data!$A$2:$A$2657,$A410,Data!$B$2:$B$2657,$B410,Data!$D$2:$D$2657,"A&amp;G and general")+SUMIFS(Data!$G$2:$G$2657,Data!$A$2:$A$2657,$A410,Data!$B$2:$B$2657,$B410,Data!$D$2:$D$2657,"A&amp;G and general"))/$D410,0)</f>
        <v>0.337292945371515</v>
      </c>
      <c r="J410" s="10" t="n">
        <f aca="false">IFERROR(SUMIFS(Data!$F$2:$F$2657,Data!$A$2:$A$2657,$A410,Data!$B$2:$B$2657,$B410)/$D410,0)</f>
        <v>0</v>
      </c>
      <c r="K410" s="11" t="n">
        <f aca="false">SUM(E410:I410)</f>
        <v>1</v>
      </c>
    </row>
    <row r="411" customFormat="false" ht="15" hidden="false" customHeight="false" outlineLevel="0" collapsed="false">
      <c r="A411" s="7" t="n">
        <v>2016</v>
      </c>
      <c r="B411" s="12" t="s">
        <v>79</v>
      </c>
      <c r="C411" s="12" t="s">
        <v>72</v>
      </c>
      <c r="D411" s="9" t="n">
        <f aca="false">SUMIFS(Data!$E$2:$E$2657,Data!$A$2:$A$2657,$A411,Data!$B$2:$B$2657,$B411)+SUMIFS(Data!$G$2:$G$2657,Data!$A$2:$A$2657,$A411,Data!$B$2:$B$2657,$B411)</f>
        <v>769.558399</v>
      </c>
      <c r="E411" s="10" t="n">
        <f aca="false">IFERROR((SUMIFS(Data!$E$2:$E$2657,Data!$A$2:$A$2657,$A411,Data!$B$2:$B$2657,$B411,Data!$D$2:$D$2657,"Transmission")+SUMIFS(Data!$G$2:$G$2657,Data!$A$2:$A$2657,$A411,Data!$B$2:$B$2657,$B411,Data!$D$2:$D$2657,"Transmission"))/$D411,0)</f>
        <v>0.380897469744853</v>
      </c>
      <c r="F411" s="10" t="n">
        <f aca="false">IFERROR((SUMIFS(Data!$E$2:$E$2657,Data!$A$2:$A$2657,$A411,Data!$B$2:$B$2657,$B411,Data!$D$2:$D$2657,"Distribution")+SUMIFS(Data!$G$2:$G$2657,Data!$A$2:$A$2657,$A411,Data!$B$2:$B$2657,$B411,Data!$D$2:$D$2657,"Distribution"))/$D411,0)</f>
        <v>0.264270335122416</v>
      </c>
      <c r="G411" s="10" t="n">
        <f aca="false">IFERROR((SUMIFS(Data!$E$2:$E$2657,Data!$A$2:$A$2657,$A411,Data!$B$2:$B$2657,$B411,Data!$D$2:$D$2657,"RTO/market operation")+SUMIFS(Data!$G$2:$G$2657,Data!$A$2:$A$2657,$A411,Data!$B$2:$B$2657,$B411,Data!$D$2:$D$2657,"RTO/market operation"))/$D411,0)</f>
        <v>0.00656550173003829</v>
      </c>
      <c r="H411" s="10" t="n">
        <f aca="false">IFERROR((SUMIFS(Data!$E$2:$E$2657,Data!$A$2:$A$2657,$A411,Data!$B$2:$B$2657,$B411,Data!$D$2:$D$2657,"Customer accounts, service &amp; sales")+SUMIFS(Data!$G$2:$G$2657,Data!$A$2:$A$2657,$A411,Data!$B$2:$B$2657,$B411,Data!$D$2:$D$2657,"Customer accounts, service &amp; sales"))/$D411,0)</f>
        <v>0.130950097004919</v>
      </c>
      <c r="I411" s="10" t="n">
        <f aca="false">IFERROR((SUMIFS(Data!$E$2:$E$2657,Data!$A$2:$A$2657,$A411,Data!$B$2:$B$2657,$B411,Data!$D$2:$D$2657,"A&amp;G and general")+SUMIFS(Data!$G$2:$G$2657,Data!$A$2:$A$2657,$A411,Data!$B$2:$B$2657,$B411,Data!$D$2:$D$2657,"A&amp;G and general"))/$D411,0)</f>
        <v>0.217316596397774</v>
      </c>
      <c r="J411" s="10" t="n">
        <f aca="false">IFERROR(SUMIFS(Data!$F$2:$F$2657,Data!$A$2:$A$2657,$A411,Data!$B$2:$B$2657,$B411)/$D411,0)</f>
        <v>0.374097016385107</v>
      </c>
      <c r="K411" s="11" t="n">
        <f aca="false">SUM(E411:I411)</f>
        <v>1</v>
      </c>
    </row>
    <row r="412" customFormat="false" ht="15" hidden="false" customHeight="false" outlineLevel="0" collapsed="false">
      <c r="A412" s="7" t="n">
        <v>2016</v>
      </c>
      <c r="B412" s="12" t="s">
        <v>80</v>
      </c>
      <c r="C412" s="12" t="s">
        <v>72</v>
      </c>
      <c r="D412" s="9" t="n">
        <f aca="false">SUMIFS(Data!$E$2:$E$2657,Data!$A$2:$A$2657,$A412,Data!$B$2:$B$2657,$B412)+SUMIFS(Data!$G$2:$G$2657,Data!$A$2:$A$2657,$A412,Data!$B$2:$B$2657,$B412)</f>
        <v>372.576535</v>
      </c>
      <c r="E412" s="10" t="n">
        <f aca="false">IFERROR((SUMIFS(Data!$E$2:$E$2657,Data!$A$2:$A$2657,$A412,Data!$B$2:$B$2657,$B412,Data!$D$2:$D$2657,"Transmission")+SUMIFS(Data!$G$2:$G$2657,Data!$A$2:$A$2657,$A412,Data!$B$2:$B$2657,$B412,Data!$D$2:$D$2657,"Transmission"))/$D412,0)</f>
        <v>0.457517690962476</v>
      </c>
      <c r="F412" s="10" t="n">
        <f aca="false">IFERROR((SUMIFS(Data!$E$2:$E$2657,Data!$A$2:$A$2657,$A412,Data!$B$2:$B$2657,$B412,Data!$D$2:$D$2657,"Distribution")+SUMIFS(Data!$G$2:$G$2657,Data!$A$2:$A$2657,$A412,Data!$B$2:$B$2657,$B412,Data!$D$2:$D$2657,"Distribution"))/$D412,0)</f>
        <v>0.218170151268383</v>
      </c>
      <c r="G412" s="10" t="n">
        <f aca="false">IFERROR((SUMIFS(Data!$E$2:$E$2657,Data!$A$2:$A$2657,$A412,Data!$B$2:$B$2657,$B412,Data!$D$2:$D$2657,"RTO/market operation")+SUMIFS(Data!$G$2:$G$2657,Data!$A$2:$A$2657,$A412,Data!$B$2:$B$2657,$B412,Data!$D$2:$D$2657,"RTO/market operation"))/$D412,0)</f>
        <v>0.00521448297864491</v>
      </c>
      <c r="H412" s="10" t="n">
        <f aca="false">IFERROR((SUMIFS(Data!$E$2:$E$2657,Data!$A$2:$A$2657,$A412,Data!$B$2:$B$2657,$B412,Data!$D$2:$D$2657,"Customer accounts, service &amp; sales")+SUMIFS(Data!$G$2:$G$2657,Data!$A$2:$A$2657,$A412,Data!$B$2:$B$2657,$B412,Data!$D$2:$D$2657,"Customer accounts, service &amp; sales"))/$D412,0)</f>
        <v>0.0102647876093431</v>
      </c>
      <c r="I412" s="10" t="n">
        <f aca="false">IFERROR((SUMIFS(Data!$E$2:$E$2657,Data!$A$2:$A$2657,$A412,Data!$B$2:$B$2657,$B412,Data!$D$2:$D$2657,"A&amp;G and general")+SUMIFS(Data!$G$2:$G$2657,Data!$A$2:$A$2657,$A412,Data!$B$2:$B$2657,$B412,Data!$D$2:$D$2657,"A&amp;G and general"))/$D412,0)</f>
        <v>0.308832887181153</v>
      </c>
      <c r="J412" s="10" t="n">
        <f aca="false">IFERROR(SUMIFS(Data!$F$2:$F$2657,Data!$A$2:$A$2657,$A412,Data!$B$2:$B$2657,$B412)/$D412,0)</f>
        <v>0.451381545002559</v>
      </c>
      <c r="K412" s="11" t="n">
        <f aca="false">SUM(E412:I412)</f>
        <v>1</v>
      </c>
    </row>
    <row r="413" customFormat="false" ht="15" hidden="false" customHeight="false" outlineLevel="0" collapsed="false">
      <c r="A413" s="7" t="n">
        <v>2016</v>
      </c>
      <c r="B413" s="12" t="s">
        <v>81</v>
      </c>
      <c r="C413" s="12" t="s">
        <v>72</v>
      </c>
      <c r="D413" s="9" t="n">
        <f aca="false">SUMIFS(Data!$E$2:$E$2657,Data!$A$2:$A$2657,$A413,Data!$B$2:$B$2657,$B413)+SUMIFS(Data!$G$2:$G$2657,Data!$A$2:$A$2657,$A413,Data!$B$2:$B$2657,$B413)</f>
        <v>373.269948</v>
      </c>
      <c r="E413" s="10" t="n">
        <f aca="false">IFERROR((SUMIFS(Data!$E$2:$E$2657,Data!$A$2:$A$2657,$A413,Data!$B$2:$B$2657,$B413,Data!$D$2:$D$2657,"Transmission")+SUMIFS(Data!$G$2:$G$2657,Data!$A$2:$A$2657,$A413,Data!$B$2:$B$2657,$B413,Data!$D$2:$D$2657,"Transmission"))/$D413,0)</f>
        <v>0.398945625807519</v>
      </c>
      <c r="F413" s="10" t="n">
        <f aca="false">IFERROR((SUMIFS(Data!$E$2:$E$2657,Data!$A$2:$A$2657,$A413,Data!$B$2:$B$2657,$B413,Data!$D$2:$D$2657,"Distribution")+SUMIFS(Data!$G$2:$G$2657,Data!$A$2:$A$2657,$A413,Data!$B$2:$B$2657,$B413,Data!$D$2:$D$2657,"Distribution"))/$D413,0)</f>
        <v>0.167773450114446</v>
      </c>
      <c r="G413" s="10" t="n">
        <f aca="false">IFERROR((SUMIFS(Data!$E$2:$E$2657,Data!$A$2:$A$2657,$A413,Data!$B$2:$B$2657,$B413,Data!$D$2:$D$2657,"RTO/market operation")+SUMIFS(Data!$G$2:$G$2657,Data!$A$2:$A$2657,$A413,Data!$B$2:$B$2657,$B413,Data!$D$2:$D$2657,"RTO/market operation"))/$D413,0)</f>
        <v>0.00501918252470729</v>
      </c>
      <c r="H413" s="10" t="n">
        <f aca="false">IFERROR((SUMIFS(Data!$E$2:$E$2657,Data!$A$2:$A$2657,$A413,Data!$B$2:$B$2657,$B413,Data!$D$2:$D$2657,"Customer accounts, service &amp; sales")+SUMIFS(Data!$G$2:$G$2657,Data!$A$2:$A$2657,$A413,Data!$B$2:$B$2657,$B413,Data!$D$2:$D$2657,"Customer accounts, service &amp; sales"))/$D413,0)</f>
        <v>0.0995471352545102</v>
      </c>
      <c r="I413" s="10" t="n">
        <f aca="false">IFERROR((SUMIFS(Data!$E$2:$E$2657,Data!$A$2:$A$2657,$A413,Data!$B$2:$B$2657,$B413,Data!$D$2:$D$2657,"A&amp;G and general")+SUMIFS(Data!$G$2:$G$2657,Data!$A$2:$A$2657,$A413,Data!$B$2:$B$2657,$B413,Data!$D$2:$D$2657,"A&amp;G and general"))/$D413,0)</f>
        <v>0.328714606298817</v>
      </c>
      <c r="J413" s="10" t="n">
        <f aca="false">IFERROR(SUMIFS(Data!$F$2:$F$2657,Data!$A$2:$A$2657,$A413,Data!$B$2:$B$2657,$B413)/$D413,0)</f>
        <v>0.37931241118827</v>
      </c>
      <c r="K413" s="11" t="n">
        <f aca="false">SUM(E413:I413)</f>
        <v>1</v>
      </c>
    </row>
    <row r="414" customFormat="false" ht="15" hidden="false" customHeight="false" outlineLevel="0" collapsed="false">
      <c r="A414" s="7" t="n">
        <v>2017</v>
      </c>
      <c r="B414" s="12" t="s">
        <v>56</v>
      </c>
      <c r="C414" s="12" t="s">
        <v>57</v>
      </c>
      <c r="D414" s="9" t="n">
        <f aca="false">SUMIFS(Data!$E$2:$E$2657,Data!$A$2:$A$2657,$A414,Data!$B$2:$B$2657,$B414)+SUMIFS(Data!$G$2:$G$2657,Data!$A$2:$A$2657,$A414,Data!$B$2:$B$2657,$B414)</f>
        <v>277.007494</v>
      </c>
      <c r="E414" s="10" t="n">
        <f aca="false">IFERROR((SUMIFS(Data!$E$2:$E$2657,Data!$A$2:$A$2657,$A414,Data!$B$2:$B$2657,$B414,Data!$D$2:$D$2657,"Transmission")+SUMIFS(Data!$G$2:$G$2657,Data!$A$2:$A$2657,$A414,Data!$B$2:$B$2657,$B414,Data!$D$2:$D$2657,"Transmission"))/$D414,0)</f>
        <v>0.402286943182844</v>
      </c>
      <c r="F414" s="10" t="n">
        <f aca="false">IFERROR((SUMIFS(Data!$E$2:$E$2657,Data!$A$2:$A$2657,$A414,Data!$B$2:$B$2657,$B414,Data!$D$2:$D$2657,"Distribution")+SUMIFS(Data!$G$2:$G$2657,Data!$A$2:$A$2657,$A414,Data!$B$2:$B$2657,$B414,Data!$D$2:$D$2657,"Distribution"))/$D414,0)</f>
        <v>0.162237466398653</v>
      </c>
      <c r="G414" s="10" t="n">
        <f aca="false">IFERROR((SUMIFS(Data!$E$2:$E$2657,Data!$A$2:$A$2657,$A414,Data!$B$2:$B$2657,$B414,Data!$D$2:$D$2657,"RTO/market operation")+SUMIFS(Data!$G$2:$G$2657,Data!$A$2:$A$2657,$A414,Data!$B$2:$B$2657,$B414,Data!$D$2:$D$2657,"RTO/market operation"))/$D414,0)</f>
        <v>0</v>
      </c>
      <c r="H414" s="10" t="n">
        <f aca="false">IFERROR((SUMIFS(Data!$E$2:$E$2657,Data!$A$2:$A$2657,$A414,Data!$B$2:$B$2657,$B414,Data!$D$2:$D$2657,"Customer accounts, service &amp; sales")+SUMIFS(Data!$G$2:$G$2657,Data!$A$2:$A$2657,$A414,Data!$B$2:$B$2657,$B414,Data!$D$2:$D$2657,"Customer accounts, service &amp; sales"))/$D414,0)</f>
        <v>0.066636016713685</v>
      </c>
      <c r="I414" s="10" t="n">
        <f aca="false">IFERROR((SUMIFS(Data!$E$2:$E$2657,Data!$A$2:$A$2657,$A414,Data!$B$2:$B$2657,$B414,Data!$D$2:$D$2657,"A&amp;G and general")+SUMIFS(Data!$G$2:$G$2657,Data!$A$2:$A$2657,$A414,Data!$B$2:$B$2657,$B414,Data!$D$2:$D$2657,"A&amp;G and general"))/$D414,0)</f>
        <v>0.368839573704818</v>
      </c>
      <c r="J414" s="10" t="n">
        <f aca="false">IFERROR(SUMIFS(Data!$F$2:$F$2657,Data!$A$2:$A$2657,$A414,Data!$B$2:$B$2657,$B414)/$D414,0)</f>
        <v>0.250057603134737</v>
      </c>
      <c r="K414" s="11" t="n">
        <f aca="false">SUM(E414:I414)</f>
        <v>1</v>
      </c>
    </row>
    <row r="415" customFormat="false" ht="15" hidden="false" customHeight="false" outlineLevel="0" collapsed="false">
      <c r="A415" s="7" t="n">
        <v>2017</v>
      </c>
      <c r="B415" s="12" t="s">
        <v>58</v>
      </c>
      <c r="C415" s="12" t="s">
        <v>59</v>
      </c>
      <c r="D415" s="9" t="n">
        <f aca="false">SUMIFS(Data!$E$2:$E$2657,Data!$A$2:$A$2657,$A415,Data!$B$2:$B$2657,$B415)+SUMIFS(Data!$G$2:$G$2657,Data!$A$2:$A$2657,$A415,Data!$B$2:$B$2657,$B415)</f>
        <v>833.938818</v>
      </c>
      <c r="E415" s="10" t="n">
        <f aca="false">IFERROR((SUMIFS(Data!$E$2:$E$2657,Data!$A$2:$A$2657,$A415,Data!$B$2:$B$2657,$B415,Data!$D$2:$D$2657,"Transmission")+SUMIFS(Data!$G$2:$G$2657,Data!$A$2:$A$2657,$A415,Data!$B$2:$B$2657,$B415,Data!$D$2:$D$2657,"Transmission"))/$D415,0)</f>
        <v>0.1170307580046</v>
      </c>
      <c r="F415" s="10" t="n">
        <f aca="false">IFERROR((SUMIFS(Data!$E$2:$E$2657,Data!$A$2:$A$2657,$A415,Data!$B$2:$B$2657,$B415,Data!$D$2:$D$2657,"Distribution")+SUMIFS(Data!$G$2:$G$2657,Data!$A$2:$A$2657,$A415,Data!$B$2:$B$2657,$B415,Data!$D$2:$D$2657,"Distribution"))/$D415,0)</f>
        <v>0.529667852684128</v>
      </c>
      <c r="G415" s="10" t="n">
        <f aca="false">IFERROR((SUMIFS(Data!$E$2:$E$2657,Data!$A$2:$A$2657,$A415,Data!$B$2:$B$2657,$B415,Data!$D$2:$D$2657,"RTO/market operation")+SUMIFS(Data!$G$2:$G$2657,Data!$A$2:$A$2657,$A415,Data!$B$2:$B$2657,$B415,Data!$D$2:$D$2657,"RTO/market operation"))/$D415,0)</f>
        <v>0.000922067642616919</v>
      </c>
      <c r="H415" s="10" t="n">
        <f aca="false">IFERROR((SUMIFS(Data!$E$2:$E$2657,Data!$A$2:$A$2657,$A415,Data!$B$2:$B$2657,$B415,Data!$D$2:$D$2657,"Customer accounts, service &amp; sales")+SUMIFS(Data!$G$2:$G$2657,Data!$A$2:$A$2657,$A415,Data!$B$2:$B$2657,$B415,Data!$D$2:$D$2657,"Customer accounts, service &amp; sales"))/$D415,0)</f>
        <v>0.113952968669699</v>
      </c>
      <c r="I415" s="10" t="n">
        <f aca="false">IFERROR((SUMIFS(Data!$E$2:$E$2657,Data!$A$2:$A$2657,$A415,Data!$B$2:$B$2657,$B415,Data!$D$2:$D$2657,"A&amp;G and general")+SUMIFS(Data!$G$2:$G$2657,Data!$A$2:$A$2657,$A415,Data!$B$2:$B$2657,$B415,Data!$D$2:$D$2657,"A&amp;G and general"))/$D415,0)</f>
        <v>0.238426352998956</v>
      </c>
      <c r="J415" s="10" t="n">
        <f aca="false">IFERROR(SUMIFS(Data!$F$2:$F$2657,Data!$A$2:$A$2657,$A415,Data!$B$2:$B$2657,$B415)/$D415,0)</f>
        <v>0.0244444970782017</v>
      </c>
      <c r="K415" s="11" t="n">
        <f aca="false">SUM(E415:I415)</f>
        <v>1</v>
      </c>
    </row>
    <row r="416" customFormat="false" ht="15" hidden="false" customHeight="false" outlineLevel="0" collapsed="false">
      <c r="A416" s="7" t="n">
        <v>2017</v>
      </c>
      <c r="B416" s="12" t="s">
        <v>60</v>
      </c>
      <c r="C416" s="12" t="s">
        <v>59</v>
      </c>
      <c r="D416" s="9" t="n">
        <f aca="false">SUMIFS(Data!$E$2:$E$2657,Data!$A$2:$A$2657,$A416,Data!$B$2:$B$2657,$B416)+SUMIFS(Data!$G$2:$G$2657,Data!$A$2:$A$2657,$A416,Data!$B$2:$B$2657,$B416)</f>
        <v>2506.299836</v>
      </c>
      <c r="E416" s="10" t="n">
        <f aca="false">IFERROR((SUMIFS(Data!$E$2:$E$2657,Data!$A$2:$A$2657,$A416,Data!$B$2:$B$2657,$B416,Data!$D$2:$D$2657,"Transmission")+SUMIFS(Data!$G$2:$G$2657,Data!$A$2:$A$2657,$A416,Data!$B$2:$B$2657,$B416,Data!$D$2:$D$2657,"Transmission"))/$D416,0)</f>
        <v>0.214901145610577</v>
      </c>
      <c r="F416" s="10" t="n">
        <f aca="false">IFERROR((SUMIFS(Data!$E$2:$E$2657,Data!$A$2:$A$2657,$A416,Data!$B$2:$B$2657,$B416,Data!$D$2:$D$2657,"Distribution")+SUMIFS(Data!$G$2:$G$2657,Data!$A$2:$A$2657,$A416,Data!$B$2:$B$2657,$B416,Data!$D$2:$D$2657,"Distribution"))/$D416,0)</f>
        <v>0.378869741505262</v>
      </c>
      <c r="G416" s="10" t="n">
        <f aca="false">IFERROR((SUMIFS(Data!$E$2:$E$2657,Data!$A$2:$A$2657,$A416,Data!$B$2:$B$2657,$B416,Data!$D$2:$D$2657,"RTO/market operation")+SUMIFS(Data!$G$2:$G$2657,Data!$A$2:$A$2657,$A416,Data!$B$2:$B$2657,$B416,Data!$D$2:$D$2657,"RTO/market operation"))/$D416,0)</f>
        <v>0.0019342893178085</v>
      </c>
      <c r="H416" s="10" t="n">
        <f aca="false">IFERROR((SUMIFS(Data!$E$2:$E$2657,Data!$A$2:$A$2657,$A416,Data!$B$2:$B$2657,$B416,Data!$D$2:$D$2657,"Customer accounts, service &amp; sales")+SUMIFS(Data!$G$2:$G$2657,Data!$A$2:$A$2657,$A416,Data!$B$2:$B$2657,$B416,Data!$D$2:$D$2657,"Customer accounts, service &amp; sales"))/$D416,0)</f>
        <v>0.144505035988839</v>
      </c>
      <c r="I416" s="10" t="n">
        <f aca="false">IFERROR((SUMIFS(Data!$E$2:$E$2657,Data!$A$2:$A$2657,$A416,Data!$B$2:$B$2657,$B416,Data!$D$2:$D$2657,"A&amp;G and general")+SUMIFS(Data!$G$2:$G$2657,Data!$A$2:$A$2657,$A416,Data!$B$2:$B$2657,$B416,Data!$D$2:$D$2657,"A&amp;G and general"))/$D416,0)</f>
        <v>0.259789787577515</v>
      </c>
      <c r="J416" s="10" t="n">
        <f aca="false">IFERROR(SUMIFS(Data!$F$2:$F$2657,Data!$A$2:$A$2657,$A416,Data!$B$2:$B$2657,$B416)/$D416,0)</f>
        <v>0.00357004013305932</v>
      </c>
      <c r="K416" s="11" t="n">
        <f aca="false">SUM(E416:I416)</f>
        <v>1</v>
      </c>
    </row>
    <row r="417" customFormat="false" ht="15" hidden="false" customHeight="false" outlineLevel="0" collapsed="false">
      <c r="A417" s="7" t="n">
        <v>2017</v>
      </c>
      <c r="B417" s="12" t="s">
        <v>61</v>
      </c>
      <c r="C417" s="12" t="s">
        <v>62</v>
      </c>
      <c r="D417" s="9" t="n">
        <f aca="false">SUMIFS(Data!$E$2:$E$2657,Data!$A$2:$A$2657,$A417,Data!$B$2:$B$2657,$B417)+SUMIFS(Data!$G$2:$G$2657,Data!$A$2:$A$2657,$A417,Data!$B$2:$B$2657,$B417)</f>
        <v>1206.694897</v>
      </c>
      <c r="E417" s="10" t="n">
        <f aca="false">IFERROR((SUMIFS(Data!$E$2:$E$2657,Data!$A$2:$A$2657,$A417,Data!$B$2:$B$2657,$B417,Data!$D$2:$D$2657,"Transmission")+SUMIFS(Data!$G$2:$G$2657,Data!$A$2:$A$2657,$A417,Data!$B$2:$B$2657,$B417,Data!$D$2:$D$2657,"Transmission"))/$D417,0)</f>
        <v>0.292131116056257</v>
      </c>
      <c r="F417" s="10" t="n">
        <f aca="false">IFERROR((SUMIFS(Data!$E$2:$E$2657,Data!$A$2:$A$2657,$A417,Data!$B$2:$B$2657,$B417,Data!$D$2:$D$2657,"Distribution")+SUMIFS(Data!$G$2:$G$2657,Data!$A$2:$A$2657,$A417,Data!$B$2:$B$2657,$B417,Data!$D$2:$D$2657,"Distribution"))/$D417,0)</f>
        <v>0.336877466715599</v>
      </c>
      <c r="G417" s="10" t="n">
        <f aca="false">IFERROR((SUMIFS(Data!$E$2:$E$2657,Data!$A$2:$A$2657,$A417,Data!$B$2:$B$2657,$B417,Data!$D$2:$D$2657,"RTO/market operation")+SUMIFS(Data!$G$2:$G$2657,Data!$A$2:$A$2657,$A417,Data!$B$2:$B$2657,$B417,Data!$D$2:$D$2657,"RTO/market operation"))/$D417,0)</f>
        <v>0.00566022033985613</v>
      </c>
      <c r="H417" s="10" t="n">
        <f aca="false">IFERROR((SUMIFS(Data!$E$2:$E$2657,Data!$A$2:$A$2657,$A417,Data!$B$2:$B$2657,$B417,Data!$D$2:$D$2657,"Customer accounts, service &amp; sales")+SUMIFS(Data!$G$2:$G$2657,Data!$A$2:$A$2657,$A417,Data!$B$2:$B$2657,$B417,Data!$D$2:$D$2657,"Customer accounts, service &amp; sales"))/$D417,0)</f>
        <v>0.153482260893327</v>
      </c>
      <c r="I417" s="10" t="n">
        <f aca="false">IFERROR((SUMIFS(Data!$E$2:$E$2657,Data!$A$2:$A$2657,$A417,Data!$B$2:$B$2657,$B417,Data!$D$2:$D$2657,"A&amp;G and general")+SUMIFS(Data!$G$2:$G$2657,Data!$A$2:$A$2657,$A417,Data!$B$2:$B$2657,$B417,Data!$D$2:$D$2657,"A&amp;G and general"))/$D417,0)</f>
        <v>0.211848935994962</v>
      </c>
      <c r="J417" s="10" t="n">
        <f aca="false">IFERROR(SUMIFS(Data!$F$2:$F$2657,Data!$A$2:$A$2657,$A417,Data!$B$2:$B$2657,$B417)/$D417,0)</f>
        <v>0.280575758496806</v>
      </c>
      <c r="K417" s="11" t="n">
        <f aca="false">SUM(E417:I417)</f>
        <v>1</v>
      </c>
    </row>
    <row r="418" customFormat="false" ht="15" hidden="false" customHeight="false" outlineLevel="0" collapsed="false">
      <c r="A418" s="7" t="n">
        <v>2017</v>
      </c>
      <c r="B418" s="12" t="s">
        <v>63</v>
      </c>
      <c r="C418" s="12" t="s">
        <v>62</v>
      </c>
      <c r="D418" s="9" t="n">
        <f aca="false">SUMIFS(Data!$E$2:$E$2657,Data!$A$2:$A$2657,$A418,Data!$B$2:$B$2657,$B418)+SUMIFS(Data!$G$2:$G$2657,Data!$A$2:$A$2657,$A418,Data!$B$2:$B$2657,$B418)</f>
        <v>1761.499936</v>
      </c>
      <c r="E418" s="10" t="n">
        <f aca="false">IFERROR((SUMIFS(Data!$E$2:$E$2657,Data!$A$2:$A$2657,$A418,Data!$B$2:$B$2657,$B418,Data!$D$2:$D$2657,"Transmission")+SUMIFS(Data!$G$2:$G$2657,Data!$A$2:$A$2657,$A418,Data!$B$2:$B$2657,$B418,Data!$D$2:$D$2657,"Transmission"))/$D418,0)</f>
        <v>0.198933815913576</v>
      </c>
      <c r="F418" s="10" t="n">
        <f aca="false">IFERROR((SUMIFS(Data!$E$2:$E$2657,Data!$A$2:$A$2657,$A418,Data!$B$2:$B$2657,$B418,Data!$D$2:$D$2657,"Distribution")+SUMIFS(Data!$G$2:$G$2657,Data!$A$2:$A$2657,$A418,Data!$B$2:$B$2657,$B418,Data!$D$2:$D$2657,"Distribution"))/$D418,0)</f>
        <v>0.351850066147263</v>
      </c>
      <c r="G418" s="10" t="n">
        <f aca="false">IFERROR((SUMIFS(Data!$E$2:$E$2657,Data!$A$2:$A$2657,$A418,Data!$B$2:$B$2657,$B418,Data!$D$2:$D$2657,"RTO/market operation")+SUMIFS(Data!$G$2:$G$2657,Data!$A$2:$A$2657,$A418,Data!$B$2:$B$2657,$B418,Data!$D$2:$D$2657,"RTO/market operation"))/$D418,0)</f>
        <v>0.00441907254204975</v>
      </c>
      <c r="H418" s="10" t="n">
        <f aca="false">IFERROR((SUMIFS(Data!$E$2:$E$2657,Data!$A$2:$A$2657,$A418,Data!$B$2:$B$2657,$B418,Data!$D$2:$D$2657,"Customer accounts, service &amp; sales")+SUMIFS(Data!$G$2:$G$2657,Data!$A$2:$A$2657,$A418,Data!$B$2:$B$2657,$B418,Data!$D$2:$D$2657,"Customer accounts, service &amp; sales"))/$D418,0)</f>
        <v>0.150843809057056</v>
      </c>
      <c r="I418" s="10" t="n">
        <f aca="false">IFERROR((SUMIFS(Data!$E$2:$E$2657,Data!$A$2:$A$2657,$A418,Data!$B$2:$B$2657,$B418,Data!$D$2:$D$2657,"A&amp;G and general")+SUMIFS(Data!$G$2:$G$2657,Data!$A$2:$A$2657,$A418,Data!$B$2:$B$2657,$B418,Data!$D$2:$D$2657,"A&amp;G and general"))/$D418,0)</f>
        <v>0.293953236340055</v>
      </c>
      <c r="J418" s="10" t="n">
        <f aca="false">IFERROR(SUMIFS(Data!$F$2:$F$2657,Data!$A$2:$A$2657,$A418,Data!$B$2:$B$2657,$B418)/$D418,0)</f>
        <v>0.177265593724098</v>
      </c>
      <c r="K418" s="11" t="n">
        <f aca="false">SUM(E418:I418)</f>
        <v>1</v>
      </c>
    </row>
    <row r="419" customFormat="false" ht="15" hidden="false" customHeight="false" outlineLevel="0" collapsed="false">
      <c r="A419" s="7" t="n">
        <v>2017</v>
      </c>
      <c r="B419" s="12" t="s">
        <v>64</v>
      </c>
      <c r="C419" s="12" t="s">
        <v>65</v>
      </c>
      <c r="D419" s="9" t="n">
        <f aca="false">SUMIFS(Data!$E$2:$E$2657,Data!$A$2:$A$2657,$A419,Data!$B$2:$B$2657,$B419)+SUMIFS(Data!$G$2:$G$2657,Data!$A$2:$A$2657,$A419,Data!$B$2:$B$2657,$B419)</f>
        <v>513.482536</v>
      </c>
      <c r="E419" s="10" t="n">
        <f aca="false">IFERROR((SUMIFS(Data!$E$2:$E$2657,Data!$A$2:$A$2657,$A419,Data!$B$2:$B$2657,$B419,Data!$D$2:$D$2657,"Transmission")+SUMIFS(Data!$G$2:$G$2657,Data!$A$2:$A$2657,$A419,Data!$B$2:$B$2657,$B419,Data!$D$2:$D$2657,"Transmission"))/$D419,0)</f>
        <v>0.229414629984612</v>
      </c>
      <c r="F419" s="10" t="n">
        <f aca="false">IFERROR((SUMIFS(Data!$E$2:$E$2657,Data!$A$2:$A$2657,$A419,Data!$B$2:$B$2657,$B419,Data!$D$2:$D$2657,"Distribution")+SUMIFS(Data!$G$2:$G$2657,Data!$A$2:$A$2657,$A419,Data!$B$2:$B$2657,$B419,Data!$D$2:$D$2657,"Distribution"))/$D419,0)</f>
        <v>0.361326680056749</v>
      </c>
      <c r="G419" s="10" t="n">
        <f aca="false">IFERROR((SUMIFS(Data!$E$2:$E$2657,Data!$A$2:$A$2657,$A419,Data!$B$2:$B$2657,$B419,Data!$D$2:$D$2657,"RTO/market operation")+SUMIFS(Data!$G$2:$G$2657,Data!$A$2:$A$2657,$A419,Data!$B$2:$B$2657,$B419,Data!$D$2:$D$2657,"RTO/market operation"))/$D419,0)</f>
        <v>0.00993181002751766</v>
      </c>
      <c r="H419" s="10" t="n">
        <f aca="false">IFERROR((SUMIFS(Data!$E$2:$E$2657,Data!$A$2:$A$2657,$A419,Data!$B$2:$B$2657,$B419,Data!$D$2:$D$2657,"Customer accounts, service &amp; sales")+SUMIFS(Data!$G$2:$G$2657,Data!$A$2:$A$2657,$A419,Data!$B$2:$B$2657,$B419,Data!$D$2:$D$2657,"Customer accounts, service &amp; sales"))/$D419,0)</f>
        <v>0.0742728492717423</v>
      </c>
      <c r="I419" s="10" t="n">
        <f aca="false">IFERROR((SUMIFS(Data!$E$2:$E$2657,Data!$A$2:$A$2657,$A419,Data!$B$2:$B$2657,$B419,Data!$D$2:$D$2657,"A&amp;G and general")+SUMIFS(Data!$G$2:$G$2657,Data!$A$2:$A$2657,$A419,Data!$B$2:$B$2657,$B419,Data!$D$2:$D$2657,"A&amp;G and general"))/$D419,0)</f>
        <v>0.32505403065938</v>
      </c>
      <c r="J419" s="10" t="n">
        <f aca="false">IFERROR(SUMIFS(Data!$F$2:$F$2657,Data!$A$2:$A$2657,$A419,Data!$B$2:$B$2657,$B419)/$D419,0)</f>
        <v>0.0973545534565172</v>
      </c>
      <c r="K419" s="11" t="n">
        <f aca="false">SUM(E419:I419)</f>
        <v>1</v>
      </c>
    </row>
    <row r="420" customFormat="false" ht="15" hidden="false" customHeight="false" outlineLevel="0" collapsed="false">
      <c r="A420" s="7" t="n">
        <v>2017</v>
      </c>
      <c r="B420" s="12" t="s">
        <v>66</v>
      </c>
      <c r="C420" s="12" t="s">
        <v>67</v>
      </c>
      <c r="D420" s="9" t="n">
        <f aca="false">SUMIFS(Data!$E$2:$E$2657,Data!$A$2:$A$2657,$A420,Data!$B$2:$B$2657,$B420)+SUMIFS(Data!$G$2:$G$2657,Data!$A$2:$A$2657,$A420,Data!$B$2:$B$2657,$B420)</f>
        <v>467.072847</v>
      </c>
      <c r="E420" s="10" t="n">
        <f aca="false">IFERROR((SUMIFS(Data!$E$2:$E$2657,Data!$A$2:$A$2657,$A420,Data!$B$2:$B$2657,$B420,Data!$D$2:$D$2657,"Transmission")+SUMIFS(Data!$G$2:$G$2657,Data!$A$2:$A$2657,$A420,Data!$B$2:$B$2657,$B420,Data!$D$2:$D$2657,"Transmission"))/$D420,0)</f>
        <v>0.355209083691393</v>
      </c>
      <c r="F420" s="10" t="n">
        <f aca="false">IFERROR((SUMIFS(Data!$E$2:$E$2657,Data!$A$2:$A$2657,$A420,Data!$B$2:$B$2657,$B420,Data!$D$2:$D$2657,"Distribution")+SUMIFS(Data!$G$2:$G$2657,Data!$A$2:$A$2657,$A420,Data!$B$2:$B$2657,$B420,Data!$D$2:$D$2657,"Distribution"))/$D420,0)</f>
        <v>0.263063746456664</v>
      </c>
      <c r="G420" s="10" t="n">
        <f aca="false">IFERROR((SUMIFS(Data!$E$2:$E$2657,Data!$A$2:$A$2657,$A420,Data!$B$2:$B$2657,$B420,Data!$D$2:$D$2657,"RTO/market operation")+SUMIFS(Data!$G$2:$G$2657,Data!$A$2:$A$2657,$A420,Data!$B$2:$B$2657,$B420,Data!$D$2:$D$2657,"RTO/market operation"))/$D420,0)</f>
        <v>0.0105948954896109</v>
      </c>
      <c r="H420" s="10" t="n">
        <f aca="false">IFERROR((SUMIFS(Data!$E$2:$E$2657,Data!$A$2:$A$2657,$A420,Data!$B$2:$B$2657,$B420,Data!$D$2:$D$2657,"Customer accounts, service &amp; sales")+SUMIFS(Data!$G$2:$G$2657,Data!$A$2:$A$2657,$A420,Data!$B$2:$B$2657,$B420,Data!$D$2:$D$2657,"Customer accounts, service &amp; sales"))/$D420,0)</f>
        <v>0.0869659117649372</v>
      </c>
      <c r="I420" s="10" t="n">
        <f aca="false">IFERROR((SUMIFS(Data!$E$2:$E$2657,Data!$A$2:$A$2657,$A420,Data!$B$2:$B$2657,$B420,Data!$D$2:$D$2657,"A&amp;G and general")+SUMIFS(Data!$G$2:$G$2657,Data!$A$2:$A$2657,$A420,Data!$B$2:$B$2657,$B420,Data!$D$2:$D$2657,"A&amp;G and general"))/$D420,0)</f>
        <v>0.284166362597396</v>
      </c>
      <c r="J420" s="10" t="n">
        <f aca="false">IFERROR(SUMIFS(Data!$F$2:$F$2657,Data!$A$2:$A$2657,$A420,Data!$B$2:$B$2657,$B420)/$D420,0)</f>
        <v>0.251450673603383</v>
      </c>
      <c r="K420" s="11" t="n">
        <f aca="false">SUM(E420:I420)</f>
        <v>1</v>
      </c>
    </row>
    <row r="421" customFormat="false" ht="15" hidden="false" customHeight="false" outlineLevel="0" collapsed="false">
      <c r="A421" s="7" t="n">
        <v>2017</v>
      </c>
      <c r="B421" s="12" t="s">
        <v>68</v>
      </c>
      <c r="C421" s="12" t="s">
        <v>65</v>
      </c>
      <c r="D421" s="9" t="n">
        <f aca="false">SUMIFS(Data!$E$2:$E$2657,Data!$A$2:$A$2657,$A421,Data!$B$2:$B$2657,$B421)+SUMIFS(Data!$G$2:$G$2657,Data!$A$2:$A$2657,$A421,Data!$B$2:$B$2657,$B421)</f>
        <v>308.594295</v>
      </c>
      <c r="E421" s="10" t="n">
        <f aca="false">IFERROR((SUMIFS(Data!$E$2:$E$2657,Data!$A$2:$A$2657,$A421,Data!$B$2:$B$2657,$B421,Data!$D$2:$D$2657,"Transmission")+SUMIFS(Data!$G$2:$G$2657,Data!$A$2:$A$2657,$A421,Data!$B$2:$B$2657,$B421,Data!$D$2:$D$2657,"Transmission"))/$D421,0)</f>
        <v>0.157298014857987</v>
      </c>
      <c r="F421" s="10" t="n">
        <f aca="false">IFERROR((SUMIFS(Data!$E$2:$E$2657,Data!$A$2:$A$2657,$A421,Data!$B$2:$B$2657,$B421,Data!$D$2:$D$2657,"Distribution")+SUMIFS(Data!$G$2:$G$2657,Data!$A$2:$A$2657,$A421,Data!$B$2:$B$2657,$B421,Data!$D$2:$D$2657,"Distribution"))/$D421,0)</f>
        <v>0.240951272284538</v>
      </c>
      <c r="G421" s="10" t="n">
        <f aca="false">IFERROR((SUMIFS(Data!$E$2:$E$2657,Data!$A$2:$A$2657,$A421,Data!$B$2:$B$2657,$B421,Data!$D$2:$D$2657,"RTO/market operation")+SUMIFS(Data!$G$2:$G$2657,Data!$A$2:$A$2657,$A421,Data!$B$2:$B$2657,$B421,Data!$D$2:$D$2657,"RTO/market operation"))/$D421,0)</f>
        <v>0.0176430060056684</v>
      </c>
      <c r="H421" s="10" t="n">
        <f aca="false">IFERROR((SUMIFS(Data!$E$2:$E$2657,Data!$A$2:$A$2657,$A421,Data!$B$2:$B$2657,$B421,Data!$D$2:$D$2657,"Customer accounts, service &amp; sales")+SUMIFS(Data!$G$2:$G$2657,Data!$A$2:$A$2657,$A421,Data!$B$2:$B$2657,$B421,Data!$D$2:$D$2657,"Customer accounts, service &amp; sales"))/$D421,0)</f>
        <v>0.0771038460059672</v>
      </c>
      <c r="I421" s="10" t="n">
        <f aca="false">IFERROR((SUMIFS(Data!$E$2:$E$2657,Data!$A$2:$A$2657,$A421,Data!$B$2:$B$2657,$B421,Data!$D$2:$D$2657,"A&amp;G and general")+SUMIFS(Data!$G$2:$G$2657,Data!$A$2:$A$2657,$A421,Data!$B$2:$B$2657,$B421,Data!$D$2:$D$2657,"A&amp;G and general"))/$D421,0)</f>
        <v>0.50700386084584</v>
      </c>
      <c r="J421" s="10" t="n">
        <f aca="false">IFERROR(SUMIFS(Data!$F$2:$F$2657,Data!$A$2:$A$2657,$A421,Data!$B$2:$B$2657,$B421)/$D421,0)</f>
        <v>0.0333227223140985</v>
      </c>
      <c r="K421" s="11" t="n">
        <f aca="false">SUM(E421:I421)</f>
        <v>1</v>
      </c>
    </row>
    <row r="422" customFormat="false" ht="15" hidden="false" customHeight="false" outlineLevel="0" collapsed="false">
      <c r="A422" s="7" t="n">
        <v>2017</v>
      </c>
      <c r="B422" s="12" t="s">
        <v>69</v>
      </c>
      <c r="C422" s="12" t="s">
        <v>70</v>
      </c>
      <c r="D422" s="9" t="n">
        <f aca="false">SUMIFS(Data!$E$2:$E$2657,Data!$A$2:$A$2657,$A422,Data!$B$2:$B$2657,$B422)+SUMIFS(Data!$G$2:$G$2657,Data!$A$2:$A$2657,$A422,Data!$B$2:$B$2657,$B422)</f>
        <v>629.533575</v>
      </c>
      <c r="E422" s="10" t="n">
        <f aca="false">IFERROR((SUMIFS(Data!$E$2:$E$2657,Data!$A$2:$A$2657,$A422,Data!$B$2:$B$2657,$B422,Data!$D$2:$D$2657,"Transmission")+SUMIFS(Data!$G$2:$G$2657,Data!$A$2:$A$2657,$A422,Data!$B$2:$B$2657,$B422,Data!$D$2:$D$2657,"Transmission"))/$D422,0)</f>
        <v>0.497854607675214</v>
      </c>
      <c r="F422" s="10" t="n">
        <f aca="false">IFERROR((SUMIFS(Data!$E$2:$E$2657,Data!$A$2:$A$2657,$A422,Data!$B$2:$B$2657,$B422,Data!$D$2:$D$2657,"Distribution")+SUMIFS(Data!$G$2:$G$2657,Data!$A$2:$A$2657,$A422,Data!$B$2:$B$2657,$B422,Data!$D$2:$D$2657,"Distribution"))/$D422,0)</f>
        <v>0.156740126211696</v>
      </c>
      <c r="G422" s="10" t="n">
        <f aca="false">IFERROR((SUMIFS(Data!$E$2:$E$2657,Data!$A$2:$A$2657,$A422,Data!$B$2:$B$2657,$B422,Data!$D$2:$D$2657,"RTO/market operation")+SUMIFS(Data!$G$2:$G$2657,Data!$A$2:$A$2657,$A422,Data!$B$2:$B$2657,$B422,Data!$D$2:$D$2657,"RTO/market operation"))/$D422,0)</f>
        <v>0.00484709334208267</v>
      </c>
      <c r="H422" s="10" t="n">
        <f aca="false">IFERROR((SUMIFS(Data!$E$2:$E$2657,Data!$A$2:$A$2657,$A422,Data!$B$2:$B$2657,$B422,Data!$D$2:$D$2657,"Customer accounts, service &amp; sales")+SUMIFS(Data!$G$2:$G$2657,Data!$A$2:$A$2657,$A422,Data!$B$2:$B$2657,$B422,Data!$D$2:$D$2657,"Customer accounts, service &amp; sales"))/$D422,0)</f>
        <v>0.106898730540305</v>
      </c>
      <c r="I422" s="10" t="n">
        <f aca="false">IFERROR((SUMIFS(Data!$E$2:$E$2657,Data!$A$2:$A$2657,$A422,Data!$B$2:$B$2657,$B422,Data!$D$2:$D$2657,"A&amp;G and general")+SUMIFS(Data!$G$2:$G$2657,Data!$A$2:$A$2657,$A422,Data!$B$2:$B$2657,$B422,Data!$D$2:$D$2657,"A&amp;G and general"))/$D422,0)</f>
        <v>0.233659442230702</v>
      </c>
      <c r="J422" s="10" t="n">
        <f aca="false">IFERROR(SUMIFS(Data!$F$2:$F$2657,Data!$A$2:$A$2657,$A422,Data!$B$2:$B$2657,$B422)/$D422,0)</f>
        <v>0.493053588126733</v>
      </c>
      <c r="K422" s="11" t="n">
        <f aca="false">SUM(E422:I422)</f>
        <v>1</v>
      </c>
    </row>
    <row r="423" customFormat="false" ht="15" hidden="false" customHeight="false" outlineLevel="0" collapsed="false">
      <c r="A423" s="7" t="n">
        <v>2017</v>
      </c>
      <c r="B423" s="12" t="s">
        <v>71</v>
      </c>
      <c r="C423" s="12" t="s">
        <v>72</v>
      </c>
      <c r="D423" s="9" t="n">
        <f aca="false">SUMIFS(Data!$E$2:$E$2657,Data!$A$2:$A$2657,$A423,Data!$B$2:$B$2657,$B423)+SUMIFS(Data!$G$2:$G$2657,Data!$A$2:$A$2657,$A423,Data!$B$2:$B$2657,$B423)</f>
        <v>125.070984</v>
      </c>
      <c r="E423" s="10" t="n">
        <f aca="false">IFERROR((SUMIFS(Data!$E$2:$E$2657,Data!$A$2:$A$2657,$A423,Data!$B$2:$B$2657,$B423,Data!$D$2:$D$2657,"Transmission")+SUMIFS(Data!$G$2:$G$2657,Data!$A$2:$A$2657,$A423,Data!$B$2:$B$2657,$B423,Data!$D$2:$D$2657,"Transmission"))/$D423,0)</f>
        <v>0.332688139720721</v>
      </c>
      <c r="F423" s="10" t="n">
        <f aca="false">IFERROR((SUMIFS(Data!$E$2:$E$2657,Data!$A$2:$A$2657,$A423,Data!$B$2:$B$2657,$B423,Data!$D$2:$D$2657,"Distribution")+SUMIFS(Data!$G$2:$G$2657,Data!$A$2:$A$2657,$A423,Data!$B$2:$B$2657,$B423,Data!$D$2:$D$2657,"Distribution"))/$D423,0)</f>
        <v>0.225981703318173</v>
      </c>
      <c r="G423" s="10" t="n">
        <f aca="false">IFERROR((SUMIFS(Data!$E$2:$E$2657,Data!$A$2:$A$2657,$A423,Data!$B$2:$B$2657,$B423,Data!$D$2:$D$2657,"RTO/market operation")+SUMIFS(Data!$G$2:$G$2657,Data!$A$2:$A$2657,$A423,Data!$B$2:$B$2657,$B423,Data!$D$2:$D$2657,"RTO/market operation"))/$D423,0)</f>
        <v>0.00496804278760612</v>
      </c>
      <c r="H423" s="10" t="n">
        <f aca="false">IFERROR((SUMIFS(Data!$E$2:$E$2657,Data!$A$2:$A$2657,$A423,Data!$B$2:$B$2657,$B423,Data!$D$2:$D$2657,"Customer accounts, service &amp; sales")+SUMIFS(Data!$G$2:$G$2657,Data!$A$2:$A$2657,$A423,Data!$B$2:$B$2657,$B423,Data!$D$2:$D$2657,"Customer accounts, service &amp; sales"))/$D423,0)</f>
        <v>0.13413545223247</v>
      </c>
      <c r="I423" s="10" t="n">
        <f aca="false">IFERROR((SUMIFS(Data!$E$2:$E$2657,Data!$A$2:$A$2657,$A423,Data!$B$2:$B$2657,$B423,Data!$D$2:$D$2657,"A&amp;G and general")+SUMIFS(Data!$G$2:$G$2657,Data!$A$2:$A$2657,$A423,Data!$B$2:$B$2657,$B423,Data!$D$2:$D$2657,"A&amp;G and general"))/$D423,0)</f>
        <v>0.30222666194103</v>
      </c>
      <c r="J423" s="10" t="n">
        <f aca="false">IFERROR(SUMIFS(Data!$F$2:$F$2657,Data!$A$2:$A$2657,$A423,Data!$B$2:$B$2657,$B423)/$D423,0)</f>
        <v>0.332602572312056</v>
      </c>
      <c r="K423" s="11" t="n">
        <f aca="false">SUM(E423:I423)</f>
        <v>1</v>
      </c>
    </row>
    <row r="424" customFormat="false" ht="15" hidden="false" customHeight="false" outlineLevel="0" collapsed="false">
      <c r="A424" s="7" t="n">
        <v>2017</v>
      </c>
      <c r="B424" s="12" t="s">
        <v>73</v>
      </c>
      <c r="C424" s="12" t="s">
        <v>70</v>
      </c>
      <c r="D424" s="9" t="n">
        <f aca="false">SUMIFS(Data!$E$2:$E$2657,Data!$A$2:$A$2657,$A424,Data!$B$2:$B$2657,$B424)+SUMIFS(Data!$G$2:$G$2657,Data!$A$2:$A$2657,$A424,Data!$B$2:$B$2657,$B424)</f>
        <v>497.087249</v>
      </c>
      <c r="E424" s="10" t="n">
        <f aca="false">IFERROR((SUMIFS(Data!$E$2:$E$2657,Data!$A$2:$A$2657,$A424,Data!$B$2:$B$2657,$B424,Data!$D$2:$D$2657,"Transmission")+SUMIFS(Data!$G$2:$G$2657,Data!$A$2:$A$2657,$A424,Data!$B$2:$B$2657,$B424,Data!$D$2:$D$2657,"Transmission"))/$D424,0)</f>
        <v>0.227433878514152</v>
      </c>
      <c r="F424" s="10" t="n">
        <f aca="false">IFERROR((SUMIFS(Data!$E$2:$E$2657,Data!$A$2:$A$2657,$A424,Data!$B$2:$B$2657,$B424,Data!$D$2:$D$2657,"Distribution")+SUMIFS(Data!$G$2:$G$2657,Data!$A$2:$A$2657,$A424,Data!$B$2:$B$2657,$B424,Data!$D$2:$D$2657,"Distribution"))/$D424,0)</f>
        <v>0.316832548645801</v>
      </c>
      <c r="G424" s="10" t="n">
        <f aca="false">IFERROR((SUMIFS(Data!$E$2:$E$2657,Data!$A$2:$A$2657,$A424,Data!$B$2:$B$2657,$B424,Data!$D$2:$D$2657,"RTO/market operation")+SUMIFS(Data!$G$2:$G$2657,Data!$A$2:$A$2657,$A424,Data!$B$2:$B$2657,$B424,Data!$D$2:$D$2657,"RTO/market operation"))/$D424,0)</f>
        <v>0.0104665569484362</v>
      </c>
      <c r="H424" s="10" t="n">
        <f aca="false">IFERROR((SUMIFS(Data!$E$2:$E$2657,Data!$A$2:$A$2657,$A424,Data!$B$2:$B$2657,$B424,Data!$D$2:$D$2657,"Customer accounts, service &amp; sales")+SUMIFS(Data!$G$2:$G$2657,Data!$A$2:$A$2657,$A424,Data!$B$2:$B$2657,$B424,Data!$D$2:$D$2657,"Customer accounts, service &amp; sales"))/$D424,0)</f>
        <v>0.280016217032354</v>
      </c>
      <c r="I424" s="10" t="n">
        <f aca="false">IFERROR((SUMIFS(Data!$E$2:$E$2657,Data!$A$2:$A$2657,$A424,Data!$B$2:$B$2657,$B424,Data!$D$2:$D$2657,"A&amp;G and general")+SUMIFS(Data!$G$2:$G$2657,Data!$A$2:$A$2657,$A424,Data!$B$2:$B$2657,$B424,Data!$D$2:$D$2657,"A&amp;G and general"))/$D424,0)</f>
        <v>0.165250798859256</v>
      </c>
      <c r="J424" s="10" t="n">
        <f aca="false">IFERROR(SUMIFS(Data!$F$2:$F$2657,Data!$A$2:$A$2657,$A424,Data!$B$2:$B$2657,$B424)/$D424,0)</f>
        <v>0.105742919589555</v>
      </c>
      <c r="K424" s="11" t="n">
        <f aca="false">SUM(E424:I424)</f>
        <v>1</v>
      </c>
    </row>
    <row r="425" customFormat="false" ht="15" hidden="false" customHeight="false" outlineLevel="0" collapsed="false">
      <c r="A425" s="7" t="n">
        <v>2017</v>
      </c>
      <c r="B425" s="12" t="s">
        <v>74</v>
      </c>
      <c r="C425" s="12" t="s">
        <v>65</v>
      </c>
      <c r="D425" s="9" t="n">
        <f aca="false">SUMIFS(Data!$E$2:$E$2657,Data!$A$2:$A$2657,$A425,Data!$B$2:$B$2657,$B425)+SUMIFS(Data!$G$2:$G$2657,Data!$A$2:$A$2657,$A425,Data!$B$2:$B$2657,$B425)</f>
        <v>425.313817</v>
      </c>
      <c r="E425" s="10" t="n">
        <f aca="false">IFERROR((SUMIFS(Data!$E$2:$E$2657,Data!$A$2:$A$2657,$A425,Data!$B$2:$B$2657,$B425,Data!$D$2:$D$2657,"Transmission")+SUMIFS(Data!$G$2:$G$2657,Data!$A$2:$A$2657,$A425,Data!$B$2:$B$2657,$B425,Data!$D$2:$D$2657,"Transmission"))/$D425,0)</f>
        <v>0.156413909779</v>
      </c>
      <c r="F425" s="10" t="n">
        <f aca="false">IFERROR((SUMIFS(Data!$E$2:$E$2657,Data!$A$2:$A$2657,$A425,Data!$B$2:$B$2657,$B425,Data!$D$2:$D$2657,"Distribution")+SUMIFS(Data!$G$2:$G$2657,Data!$A$2:$A$2657,$A425,Data!$B$2:$B$2657,$B425,Data!$D$2:$D$2657,"Distribution"))/$D425,0)</f>
        <v>0.229592919620573</v>
      </c>
      <c r="G425" s="10" t="n">
        <f aca="false">IFERROR((SUMIFS(Data!$E$2:$E$2657,Data!$A$2:$A$2657,$A425,Data!$B$2:$B$2657,$B425,Data!$D$2:$D$2657,"RTO/market operation")+SUMIFS(Data!$G$2:$G$2657,Data!$A$2:$A$2657,$A425,Data!$B$2:$B$2657,$B425,Data!$D$2:$D$2657,"RTO/market operation"))/$D425,0)</f>
        <v>0.0133679339178393</v>
      </c>
      <c r="H425" s="10" t="n">
        <f aca="false">IFERROR((SUMIFS(Data!$E$2:$E$2657,Data!$A$2:$A$2657,$A425,Data!$B$2:$B$2657,$B425,Data!$D$2:$D$2657,"Customer accounts, service &amp; sales")+SUMIFS(Data!$G$2:$G$2657,Data!$A$2:$A$2657,$A425,Data!$B$2:$B$2657,$B425,Data!$D$2:$D$2657,"Customer accounts, service &amp; sales"))/$D425,0)</f>
        <v>0.0414856708029309</v>
      </c>
      <c r="I425" s="10" t="n">
        <f aca="false">IFERROR((SUMIFS(Data!$E$2:$E$2657,Data!$A$2:$A$2657,$A425,Data!$B$2:$B$2657,$B425,Data!$D$2:$D$2657,"A&amp;G and general")+SUMIFS(Data!$G$2:$G$2657,Data!$A$2:$A$2657,$A425,Data!$B$2:$B$2657,$B425,Data!$D$2:$D$2657,"A&amp;G and general"))/$D425,0)</f>
        <v>0.559139565879657</v>
      </c>
      <c r="J425" s="10" t="n">
        <f aca="false">IFERROR(SUMIFS(Data!$F$2:$F$2657,Data!$A$2:$A$2657,$A425,Data!$B$2:$B$2657,$B425)/$D425,0)</f>
        <v>0</v>
      </c>
      <c r="K425" s="11" t="n">
        <f aca="false">SUM(E425:I425)</f>
        <v>1</v>
      </c>
    </row>
    <row r="426" customFormat="false" ht="15" hidden="false" customHeight="false" outlineLevel="0" collapsed="false">
      <c r="A426" s="7" t="n">
        <v>2017</v>
      </c>
      <c r="B426" s="12" t="s">
        <v>75</v>
      </c>
      <c r="C426" s="12" t="s">
        <v>57</v>
      </c>
      <c r="D426" s="9" t="n">
        <f aca="false">SUMIFS(Data!$E$2:$E$2657,Data!$A$2:$A$2657,$A426,Data!$B$2:$B$2657,$B426)+SUMIFS(Data!$G$2:$G$2657,Data!$A$2:$A$2657,$A426,Data!$B$2:$B$2657,$B426)</f>
        <v>1199.640273</v>
      </c>
      <c r="E426" s="10" t="n">
        <f aca="false">IFERROR((SUMIFS(Data!$E$2:$E$2657,Data!$A$2:$A$2657,$A426,Data!$B$2:$B$2657,$B426,Data!$D$2:$D$2657,"Transmission")+SUMIFS(Data!$G$2:$G$2657,Data!$A$2:$A$2657,$A426,Data!$B$2:$B$2657,$B426,Data!$D$2:$D$2657,"Transmission"))/$D426,0)</f>
        <v>0.360235512033364</v>
      </c>
      <c r="F426" s="10" t="n">
        <f aca="false">IFERROR((SUMIFS(Data!$E$2:$E$2657,Data!$A$2:$A$2657,$A426,Data!$B$2:$B$2657,$B426,Data!$D$2:$D$2657,"Distribution")+SUMIFS(Data!$G$2:$G$2657,Data!$A$2:$A$2657,$A426,Data!$B$2:$B$2657,$B426,Data!$D$2:$D$2657,"Distribution"))/$D426,0)</f>
        <v>0.1810961684845</v>
      </c>
      <c r="G426" s="10" t="n">
        <f aca="false">IFERROR((SUMIFS(Data!$E$2:$E$2657,Data!$A$2:$A$2657,$A426,Data!$B$2:$B$2657,$B426,Data!$D$2:$D$2657,"RTO/market operation")+SUMIFS(Data!$G$2:$G$2657,Data!$A$2:$A$2657,$A426,Data!$B$2:$B$2657,$B426,Data!$D$2:$D$2657,"RTO/market operation"))/$D426,0)</f>
        <v>0.00849631696217655</v>
      </c>
      <c r="H426" s="10" t="n">
        <f aca="false">IFERROR((SUMIFS(Data!$E$2:$E$2657,Data!$A$2:$A$2657,$A426,Data!$B$2:$B$2657,$B426,Data!$D$2:$D$2657,"Customer accounts, service &amp; sales")+SUMIFS(Data!$G$2:$G$2657,Data!$A$2:$A$2657,$A426,Data!$B$2:$B$2657,$B426,Data!$D$2:$D$2657,"Customer accounts, service &amp; sales"))/$D426,0)</f>
        <v>0.13510896028413</v>
      </c>
      <c r="I426" s="10" t="n">
        <f aca="false">IFERROR((SUMIFS(Data!$E$2:$E$2657,Data!$A$2:$A$2657,$A426,Data!$B$2:$B$2657,$B426,Data!$D$2:$D$2657,"A&amp;G and general")+SUMIFS(Data!$G$2:$G$2657,Data!$A$2:$A$2657,$A426,Data!$B$2:$B$2657,$B426,Data!$D$2:$D$2657,"A&amp;G and general"))/$D426,0)</f>
        <v>0.315063042235829</v>
      </c>
      <c r="J426" s="10" t="n">
        <f aca="false">IFERROR(SUMIFS(Data!$F$2:$F$2657,Data!$A$2:$A$2657,$A426,Data!$B$2:$B$2657,$B426)/$D426,0)</f>
        <v>0.172491977517997</v>
      </c>
      <c r="K426" s="11" t="n">
        <f aca="false">SUM(E426:I426)</f>
        <v>1</v>
      </c>
    </row>
    <row r="427" customFormat="false" ht="15" hidden="false" customHeight="false" outlineLevel="0" collapsed="false">
      <c r="A427" s="7" t="n">
        <v>2017</v>
      </c>
      <c r="B427" s="12" t="s">
        <v>76</v>
      </c>
      <c r="C427" s="12" t="s">
        <v>72</v>
      </c>
      <c r="D427" s="9" t="n">
        <f aca="false">SUMIFS(Data!$E$2:$E$2657,Data!$A$2:$A$2657,$A427,Data!$B$2:$B$2657,$B427)+SUMIFS(Data!$G$2:$G$2657,Data!$A$2:$A$2657,$A427,Data!$B$2:$B$2657,$B427)</f>
        <v>245.938577</v>
      </c>
      <c r="E427" s="10" t="n">
        <f aca="false">IFERROR((SUMIFS(Data!$E$2:$E$2657,Data!$A$2:$A$2657,$A427,Data!$B$2:$B$2657,$B427,Data!$D$2:$D$2657,"Transmission")+SUMIFS(Data!$G$2:$G$2657,Data!$A$2:$A$2657,$A427,Data!$B$2:$B$2657,$B427,Data!$D$2:$D$2657,"Transmission"))/$D427,0)</f>
        <v>0.436893814344547</v>
      </c>
      <c r="F427" s="10" t="n">
        <f aca="false">IFERROR((SUMIFS(Data!$E$2:$E$2657,Data!$A$2:$A$2657,$A427,Data!$B$2:$B$2657,$B427,Data!$D$2:$D$2657,"Distribution")+SUMIFS(Data!$G$2:$G$2657,Data!$A$2:$A$2657,$A427,Data!$B$2:$B$2657,$B427,Data!$D$2:$D$2657,"Distribution"))/$D427,0)</f>
        <v>0.229527061954172</v>
      </c>
      <c r="G427" s="10" t="n">
        <f aca="false">IFERROR((SUMIFS(Data!$E$2:$E$2657,Data!$A$2:$A$2657,$A427,Data!$B$2:$B$2657,$B427,Data!$D$2:$D$2657,"RTO/market operation")+SUMIFS(Data!$G$2:$G$2657,Data!$A$2:$A$2657,$A427,Data!$B$2:$B$2657,$B427,Data!$D$2:$D$2657,"RTO/market operation"))/$D427,0)</f>
        <v>0</v>
      </c>
      <c r="H427" s="10" t="n">
        <f aca="false">IFERROR((SUMIFS(Data!$E$2:$E$2657,Data!$A$2:$A$2657,$A427,Data!$B$2:$B$2657,$B427,Data!$D$2:$D$2657,"Customer accounts, service &amp; sales")+SUMIFS(Data!$G$2:$G$2657,Data!$A$2:$A$2657,$A427,Data!$B$2:$B$2657,$B427,Data!$D$2:$D$2657,"Customer accounts, service &amp; sales"))/$D427,0)</f>
        <v>0.0893262304270387</v>
      </c>
      <c r="I427" s="10" t="n">
        <f aca="false">IFERROR((SUMIFS(Data!$E$2:$E$2657,Data!$A$2:$A$2657,$A427,Data!$B$2:$B$2657,$B427,Data!$D$2:$D$2657,"A&amp;G and general")+SUMIFS(Data!$G$2:$G$2657,Data!$A$2:$A$2657,$A427,Data!$B$2:$B$2657,$B427,Data!$D$2:$D$2657,"A&amp;G and general"))/$D427,0)</f>
        <v>0.244252893274242</v>
      </c>
      <c r="J427" s="10" t="n">
        <f aca="false">IFERROR(SUMIFS(Data!$F$2:$F$2657,Data!$A$2:$A$2657,$A427,Data!$B$2:$B$2657,$B427)/$D427,0)</f>
        <v>0</v>
      </c>
      <c r="K427" s="11" t="n">
        <f aca="false">SUM(E427:I427)</f>
        <v>1</v>
      </c>
    </row>
    <row r="428" customFormat="false" ht="15" hidden="false" customHeight="false" outlineLevel="0" collapsed="false">
      <c r="A428" s="7" t="n">
        <v>2017</v>
      </c>
      <c r="B428" s="12" t="s">
        <v>77</v>
      </c>
      <c r="C428" s="12" t="s">
        <v>57</v>
      </c>
      <c r="D428" s="9" t="n">
        <f aca="false">SUMIFS(Data!$E$2:$E$2657,Data!$A$2:$A$2657,$A428,Data!$B$2:$B$2657,$B428)+SUMIFS(Data!$G$2:$G$2657,Data!$A$2:$A$2657,$A428,Data!$B$2:$B$2657,$B428)</f>
        <v>141.053192</v>
      </c>
      <c r="E428" s="10" t="n">
        <f aca="false">IFERROR((SUMIFS(Data!$E$2:$E$2657,Data!$A$2:$A$2657,$A428,Data!$B$2:$B$2657,$B428,Data!$D$2:$D$2657,"Transmission")+SUMIFS(Data!$G$2:$G$2657,Data!$A$2:$A$2657,$A428,Data!$B$2:$B$2657,$B428,Data!$D$2:$D$2657,"Transmission"))/$D428,0)</f>
        <v>0.273105148871782</v>
      </c>
      <c r="F428" s="10" t="n">
        <f aca="false">IFERROR((SUMIFS(Data!$E$2:$E$2657,Data!$A$2:$A$2657,$A428,Data!$B$2:$B$2657,$B428,Data!$D$2:$D$2657,"Distribution")+SUMIFS(Data!$G$2:$G$2657,Data!$A$2:$A$2657,$A428,Data!$B$2:$B$2657,$B428,Data!$D$2:$D$2657,"Distribution"))/$D428,0)</f>
        <v>0.205857496652752</v>
      </c>
      <c r="G428" s="10" t="n">
        <f aca="false">IFERROR((SUMIFS(Data!$E$2:$E$2657,Data!$A$2:$A$2657,$A428,Data!$B$2:$B$2657,$B428,Data!$D$2:$D$2657,"RTO/market operation")+SUMIFS(Data!$G$2:$G$2657,Data!$A$2:$A$2657,$A428,Data!$B$2:$B$2657,$B428,Data!$D$2:$D$2657,"RTO/market operation"))/$D428,0)</f>
        <v>0.00713106868223159</v>
      </c>
      <c r="H428" s="10" t="n">
        <f aca="false">IFERROR((SUMIFS(Data!$E$2:$E$2657,Data!$A$2:$A$2657,$A428,Data!$B$2:$B$2657,$B428,Data!$D$2:$D$2657,"Customer accounts, service &amp; sales")+SUMIFS(Data!$G$2:$G$2657,Data!$A$2:$A$2657,$A428,Data!$B$2:$B$2657,$B428,Data!$D$2:$D$2657,"Customer accounts, service &amp; sales"))/$D428,0)</f>
        <v>0.160290091131011</v>
      </c>
      <c r="I428" s="10" t="n">
        <f aca="false">IFERROR((SUMIFS(Data!$E$2:$E$2657,Data!$A$2:$A$2657,$A428,Data!$B$2:$B$2657,$B428,Data!$D$2:$D$2657,"A&amp;G and general")+SUMIFS(Data!$G$2:$G$2657,Data!$A$2:$A$2657,$A428,Data!$B$2:$B$2657,$B428,Data!$D$2:$D$2657,"A&amp;G and general"))/$D428,0)</f>
        <v>0.353616194662224</v>
      </c>
      <c r="J428" s="10" t="n">
        <f aca="false">IFERROR(SUMIFS(Data!$F$2:$F$2657,Data!$A$2:$A$2657,$A428,Data!$B$2:$B$2657,$B428)/$D428,0)</f>
        <v>0.14751530046906</v>
      </c>
      <c r="K428" s="11" t="n">
        <f aca="false">SUM(E428:I428)</f>
        <v>1</v>
      </c>
    </row>
    <row r="429" customFormat="false" ht="15" hidden="false" customHeight="false" outlineLevel="0" collapsed="false">
      <c r="A429" s="7" t="n">
        <v>2017</v>
      </c>
      <c r="B429" s="12" t="s">
        <v>78</v>
      </c>
      <c r="C429" s="12" t="s">
        <v>65</v>
      </c>
      <c r="D429" s="9" t="n">
        <f aca="false">SUMIFS(Data!$E$2:$E$2657,Data!$A$2:$A$2657,$A429,Data!$B$2:$B$2657,$B429)+SUMIFS(Data!$G$2:$G$2657,Data!$A$2:$A$2657,$A429,Data!$B$2:$B$2657,$B429)</f>
        <v>126.059647</v>
      </c>
      <c r="E429" s="10" t="n">
        <f aca="false">IFERROR((SUMIFS(Data!$E$2:$E$2657,Data!$A$2:$A$2657,$A429,Data!$B$2:$B$2657,$B429,Data!$D$2:$D$2657,"Transmission")+SUMIFS(Data!$G$2:$G$2657,Data!$A$2:$A$2657,$A429,Data!$B$2:$B$2657,$B429,Data!$D$2:$D$2657,"Transmission"))/$D429,0)</f>
        <v>0.220277548452916</v>
      </c>
      <c r="F429" s="10" t="n">
        <f aca="false">IFERROR((SUMIFS(Data!$E$2:$E$2657,Data!$A$2:$A$2657,$A429,Data!$B$2:$B$2657,$B429,Data!$D$2:$D$2657,"Distribution")+SUMIFS(Data!$G$2:$G$2657,Data!$A$2:$A$2657,$A429,Data!$B$2:$B$2657,$B429,Data!$D$2:$D$2657,"Distribution"))/$D429,0)</f>
        <v>0.285868284241665</v>
      </c>
      <c r="G429" s="10" t="n">
        <f aca="false">IFERROR((SUMIFS(Data!$E$2:$E$2657,Data!$A$2:$A$2657,$A429,Data!$B$2:$B$2657,$B429,Data!$D$2:$D$2657,"RTO/market operation")+SUMIFS(Data!$G$2:$G$2657,Data!$A$2:$A$2657,$A429,Data!$B$2:$B$2657,$B429,Data!$D$2:$D$2657,"RTO/market operation"))/$D429,0)</f>
        <v>0</v>
      </c>
      <c r="H429" s="10" t="n">
        <f aca="false">IFERROR((SUMIFS(Data!$E$2:$E$2657,Data!$A$2:$A$2657,$A429,Data!$B$2:$B$2657,$B429,Data!$D$2:$D$2657,"Customer accounts, service &amp; sales")+SUMIFS(Data!$G$2:$G$2657,Data!$A$2:$A$2657,$A429,Data!$B$2:$B$2657,$B429,Data!$D$2:$D$2657,"Customer accounts, service &amp; sales"))/$D429,0)</f>
        <v>0.127493979100227</v>
      </c>
      <c r="I429" s="10" t="n">
        <f aca="false">IFERROR((SUMIFS(Data!$E$2:$E$2657,Data!$A$2:$A$2657,$A429,Data!$B$2:$B$2657,$B429,Data!$D$2:$D$2657,"A&amp;G and general")+SUMIFS(Data!$G$2:$G$2657,Data!$A$2:$A$2657,$A429,Data!$B$2:$B$2657,$B429,Data!$D$2:$D$2657,"A&amp;G and general"))/$D429,0)</f>
        <v>0.366360188205191</v>
      </c>
      <c r="J429" s="10" t="n">
        <f aca="false">IFERROR(SUMIFS(Data!$F$2:$F$2657,Data!$A$2:$A$2657,$A429,Data!$B$2:$B$2657,$B429)/$D429,0)</f>
        <v>0</v>
      </c>
      <c r="K429" s="11" t="n">
        <f aca="false">SUM(E429:I429)</f>
        <v>1</v>
      </c>
    </row>
    <row r="430" customFormat="false" ht="15" hidden="false" customHeight="false" outlineLevel="0" collapsed="false">
      <c r="A430" s="7" t="n">
        <v>2017</v>
      </c>
      <c r="B430" s="12" t="s">
        <v>79</v>
      </c>
      <c r="C430" s="12" t="s">
        <v>72</v>
      </c>
      <c r="D430" s="9" t="n">
        <f aca="false">SUMIFS(Data!$E$2:$E$2657,Data!$A$2:$A$2657,$A430,Data!$B$2:$B$2657,$B430)+SUMIFS(Data!$G$2:$G$2657,Data!$A$2:$A$2657,$A430,Data!$B$2:$B$2657,$B430)</f>
        <v>706.065151</v>
      </c>
      <c r="E430" s="10" t="n">
        <f aca="false">IFERROR((SUMIFS(Data!$E$2:$E$2657,Data!$A$2:$A$2657,$A430,Data!$B$2:$B$2657,$B430,Data!$D$2:$D$2657,"Transmission")+SUMIFS(Data!$G$2:$G$2657,Data!$A$2:$A$2657,$A430,Data!$B$2:$B$2657,$B430,Data!$D$2:$D$2657,"Transmission"))/$D430,0)</f>
        <v>0.353851598037587</v>
      </c>
      <c r="F430" s="10" t="n">
        <f aca="false">IFERROR((SUMIFS(Data!$E$2:$E$2657,Data!$A$2:$A$2657,$A430,Data!$B$2:$B$2657,$B430,Data!$D$2:$D$2657,"Distribution")+SUMIFS(Data!$G$2:$G$2657,Data!$A$2:$A$2657,$A430,Data!$B$2:$B$2657,$B430,Data!$D$2:$D$2657,"Distribution"))/$D430,0)</f>
        <v>0.27142949305538</v>
      </c>
      <c r="G430" s="10" t="n">
        <f aca="false">IFERROR((SUMIFS(Data!$E$2:$E$2657,Data!$A$2:$A$2657,$A430,Data!$B$2:$B$2657,$B430,Data!$D$2:$D$2657,"RTO/market operation")+SUMIFS(Data!$G$2:$G$2657,Data!$A$2:$A$2657,$A430,Data!$B$2:$B$2657,$B430,Data!$D$2:$D$2657,"RTO/market operation"))/$D430,0)</f>
        <v>0.0066127835276776</v>
      </c>
      <c r="H430" s="10" t="n">
        <f aca="false">IFERROR((SUMIFS(Data!$E$2:$E$2657,Data!$A$2:$A$2657,$A430,Data!$B$2:$B$2657,$B430,Data!$D$2:$D$2657,"Customer accounts, service &amp; sales")+SUMIFS(Data!$G$2:$G$2657,Data!$A$2:$A$2657,$A430,Data!$B$2:$B$2657,$B430,Data!$D$2:$D$2657,"Customer accounts, service &amp; sales"))/$D430,0)</f>
        <v>0.139616744800934</v>
      </c>
      <c r="I430" s="10" t="n">
        <f aca="false">IFERROR((SUMIFS(Data!$E$2:$E$2657,Data!$A$2:$A$2657,$A430,Data!$B$2:$B$2657,$B430,Data!$D$2:$D$2657,"A&amp;G and general")+SUMIFS(Data!$G$2:$G$2657,Data!$A$2:$A$2657,$A430,Data!$B$2:$B$2657,$B430,Data!$D$2:$D$2657,"A&amp;G and general"))/$D430,0)</f>
        <v>0.228489380578422</v>
      </c>
      <c r="J430" s="10" t="n">
        <f aca="false">IFERROR(SUMIFS(Data!$F$2:$F$2657,Data!$A$2:$A$2657,$A430,Data!$B$2:$B$2657,$B430)/$D430,0)</f>
        <v>0.347946616048184</v>
      </c>
      <c r="K430" s="11" t="n">
        <f aca="false">SUM(E430:I430)</f>
        <v>1</v>
      </c>
    </row>
    <row r="431" customFormat="false" ht="15" hidden="false" customHeight="false" outlineLevel="0" collapsed="false">
      <c r="A431" s="7" t="n">
        <v>2017</v>
      </c>
      <c r="B431" s="12" t="s">
        <v>80</v>
      </c>
      <c r="C431" s="12" t="s">
        <v>72</v>
      </c>
      <c r="D431" s="9" t="n">
        <f aca="false">SUMIFS(Data!$E$2:$E$2657,Data!$A$2:$A$2657,$A431,Data!$B$2:$B$2657,$B431)+SUMIFS(Data!$G$2:$G$2657,Data!$A$2:$A$2657,$A431,Data!$B$2:$B$2657,$B431)</f>
        <v>414.116136</v>
      </c>
      <c r="E431" s="10" t="n">
        <f aca="false">IFERROR((SUMIFS(Data!$E$2:$E$2657,Data!$A$2:$A$2657,$A431,Data!$B$2:$B$2657,$B431,Data!$D$2:$D$2657,"Transmission")+SUMIFS(Data!$G$2:$G$2657,Data!$A$2:$A$2657,$A431,Data!$B$2:$B$2657,$B431,Data!$D$2:$D$2657,"Transmission"))/$D431,0)</f>
        <v>0.417607306178477</v>
      </c>
      <c r="F431" s="10" t="n">
        <f aca="false">IFERROR((SUMIFS(Data!$E$2:$E$2657,Data!$A$2:$A$2657,$A431,Data!$B$2:$B$2657,$B431,Data!$D$2:$D$2657,"Distribution")+SUMIFS(Data!$G$2:$G$2657,Data!$A$2:$A$2657,$A431,Data!$B$2:$B$2657,$B431,Data!$D$2:$D$2657,"Distribution"))/$D431,0)</f>
        <v>0.209831557976287</v>
      </c>
      <c r="G431" s="10" t="n">
        <f aca="false">IFERROR((SUMIFS(Data!$E$2:$E$2657,Data!$A$2:$A$2657,$A431,Data!$B$2:$B$2657,$B431,Data!$D$2:$D$2657,"RTO/market operation")+SUMIFS(Data!$G$2:$G$2657,Data!$A$2:$A$2657,$A431,Data!$B$2:$B$2657,$B431,Data!$D$2:$D$2657,"RTO/market operation"))/$D431,0)</f>
        <v>0.00516750209414685</v>
      </c>
      <c r="H431" s="10" t="n">
        <f aca="false">IFERROR((SUMIFS(Data!$E$2:$E$2657,Data!$A$2:$A$2657,$A431,Data!$B$2:$B$2657,$B431,Data!$D$2:$D$2657,"Customer accounts, service &amp; sales")+SUMIFS(Data!$G$2:$G$2657,Data!$A$2:$A$2657,$A431,Data!$B$2:$B$2657,$B431,Data!$D$2:$D$2657,"Customer accounts, service &amp; sales"))/$D431,0)</f>
        <v>0.0848470995102688</v>
      </c>
      <c r="I431" s="10" t="n">
        <f aca="false">IFERROR((SUMIFS(Data!$E$2:$E$2657,Data!$A$2:$A$2657,$A431,Data!$B$2:$B$2657,$B431,Data!$D$2:$D$2657,"A&amp;G and general")+SUMIFS(Data!$G$2:$G$2657,Data!$A$2:$A$2657,$A431,Data!$B$2:$B$2657,$B431,Data!$D$2:$D$2657,"A&amp;G and general"))/$D431,0)</f>
        <v>0.28254653424082</v>
      </c>
      <c r="J431" s="10" t="n">
        <f aca="false">IFERROR(SUMIFS(Data!$F$2:$F$2657,Data!$A$2:$A$2657,$A431,Data!$B$2:$B$2657,$B431)/$D431,0)</f>
        <v>0.41173246869086</v>
      </c>
      <c r="K431" s="11" t="n">
        <f aca="false">SUM(E431:I431)</f>
        <v>1</v>
      </c>
    </row>
    <row r="432" customFormat="false" ht="15" hidden="false" customHeight="false" outlineLevel="0" collapsed="false">
      <c r="A432" s="7" t="n">
        <v>2017</v>
      </c>
      <c r="B432" s="12" t="s">
        <v>81</v>
      </c>
      <c r="C432" s="12" t="s">
        <v>72</v>
      </c>
      <c r="D432" s="9" t="n">
        <f aca="false">SUMIFS(Data!$E$2:$E$2657,Data!$A$2:$A$2657,$A432,Data!$B$2:$B$2657,$B432)+SUMIFS(Data!$G$2:$G$2657,Data!$A$2:$A$2657,$A432,Data!$B$2:$B$2657,$B432)</f>
        <v>323.472677</v>
      </c>
      <c r="E432" s="10" t="n">
        <f aca="false">IFERROR((SUMIFS(Data!$E$2:$E$2657,Data!$A$2:$A$2657,$A432,Data!$B$2:$B$2657,$B432,Data!$D$2:$D$2657,"Transmission")+SUMIFS(Data!$G$2:$G$2657,Data!$A$2:$A$2657,$A432,Data!$B$2:$B$2657,$B432,Data!$D$2:$D$2657,"Transmission"))/$D432,0)</f>
        <v>0.429734712956915</v>
      </c>
      <c r="F432" s="10" t="n">
        <f aca="false">IFERROR((SUMIFS(Data!$E$2:$E$2657,Data!$A$2:$A$2657,$A432,Data!$B$2:$B$2657,$B432,Data!$D$2:$D$2657,"Distribution")+SUMIFS(Data!$G$2:$G$2657,Data!$A$2:$A$2657,$A432,Data!$B$2:$B$2657,$B432,Data!$D$2:$D$2657,"Distribution"))/$D432,0)</f>
        <v>0.184916316749683</v>
      </c>
      <c r="G432" s="10" t="n">
        <f aca="false">IFERROR((SUMIFS(Data!$E$2:$E$2657,Data!$A$2:$A$2657,$A432,Data!$B$2:$B$2657,$B432,Data!$D$2:$D$2657,"RTO/market operation")+SUMIFS(Data!$G$2:$G$2657,Data!$A$2:$A$2657,$A432,Data!$B$2:$B$2657,$B432,Data!$D$2:$D$2657,"RTO/market operation"))/$D432,0)</f>
        <v>0.00657135873024602</v>
      </c>
      <c r="H432" s="10" t="n">
        <f aca="false">IFERROR((SUMIFS(Data!$E$2:$E$2657,Data!$A$2:$A$2657,$A432,Data!$B$2:$B$2657,$B432,Data!$D$2:$D$2657,"Customer accounts, service &amp; sales")+SUMIFS(Data!$G$2:$G$2657,Data!$A$2:$A$2657,$A432,Data!$B$2:$B$2657,$B432,Data!$D$2:$D$2657,"Customer accounts, service &amp; sales"))/$D432,0)</f>
        <v>0.110716748419527</v>
      </c>
      <c r="I432" s="10" t="n">
        <f aca="false">IFERROR((SUMIFS(Data!$E$2:$E$2657,Data!$A$2:$A$2657,$A432,Data!$B$2:$B$2657,$B432,Data!$D$2:$D$2657,"A&amp;G and general")+SUMIFS(Data!$G$2:$G$2657,Data!$A$2:$A$2657,$A432,Data!$B$2:$B$2657,$B432,Data!$D$2:$D$2657,"A&amp;G and general"))/$D432,0)</f>
        <v>0.268060863143628</v>
      </c>
      <c r="J432" s="10" t="n">
        <f aca="false">IFERROR(SUMIFS(Data!$F$2:$F$2657,Data!$A$2:$A$2657,$A432,Data!$B$2:$B$2657,$B432)/$D432,0)</f>
        <v>0.408171392479001</v>
      </c>
      <c r="K432" s="11" t="n">
        <f aca="false">SUM(E432:I432)</f>
        <v>1</v>
      </c>
    </row>
    <row r="433" customFormat="false" ht="15" hidden="false" customHeight="false" outlineLevel="0" collapsed="false">
      <c r="A433" s="7" t="n">
        <v>2018</v>
      </c>
      <c r="B433" s="12" t="s">
        <v>56</v>
      </c>
      <c r="C433" s="12" t="s">
        <v>57</v>
      </c>
      <c r="D433" s="9" t="n">
        <f aca="false">SUMIFS(Data!$E$2:$E$2657,Data!$A$2:$A$2657,$A433,Data!$B$2:$B$2657,$B433)+SUMIFS(Data!$G$2:$G$2657,Data!$A$2:$A$2657,$A433,Data!$B$2:$B$2657,$B433)</f>
        <v>252.715281</v>
      </c>
      <c r="E433" s="10" t="n">
        <f aca="false">IFERROR((SUMIFS(Data!$E$2:$E$2657,Data!$A$2:$A$2657,$A433,Data!$B$2:$B$2657,$B433,Data!$D$2:$D$2657,"Transmission")+SUMIFS(Data!$G$2:$G$2657,Data!$A$2:$A$2657,$A433,Data!$B$2:$B$2657,$B433,Data!$D$2:$D$2657,"Transmission"))/$D433,0)</f>
        <v>0.42252570393636</v>
      </c>
      <c r="F433" s="10" t="n">
        <f aca="false">IFERROR((SUMIFS(Data!$E$2:$E$2657,Data!$A$2:$A$2657,$A433,Data!$B$2:$B$2657,$B433,Data!$D$2:$D$2657,"Distribution")+SUMIFS(Data!$G$2:$G$2657,Data!$A$2:$A$2657,$A433,Data!$B$2:$B$2657,$B433,Data!$D$2:$D$2657,"Distribution"))/$D433,0)</f>
        <v>0.166656696949006</v>
      </c>
      <c r="G433" s="10" t="n">
        <f aca="false">IFERROR((SUMIFS(Data!$E$2:$E$2657,Data!$A$2:$A$2657,$A433,Data!$B$2:$B$2657,$B433,Data!$D$2:$D$2657,"RTO/market operation")+SUMIFS(Data!$G$2:$G$2657,Data!$A$2:$A$2657,$A433,Data!$B$2:$B$2657,$B433,Data!$D$2:$D$2657,"RTO/market operation"))/$D433,0)</f>
        <v>0</v>
      </c>
      <c r="H433" s="10" t="n">
        <f aca="false">IFERROR((SUMIFS(Data!$E$2:$E$2657,Data!$A$2:$A$2657,$A433,Data!$B$2:$B$2657,$B433,Data!$D$2:$D$2657,"Customer accounts, service &amp; sales")+SUMIFS(Data!$G$2:$G$2657,Data!$A$2:$A$2657,$A433,Data!$B$2:$B$2657,$B433,Data!$D$2:$D$2657,"Customer accounts, service &amp; sales"))/$D433,0)</f>
        <v>0.0844561631395768</v>
      </c>
      <c r="I433" s="10" t="n">
        <f aca="false">IFERROR((SUMIFS(Data!$E$2:$E$2657,Data!$A$2:$A$2657,$A433,Data!$B$2:$B$2657,$B433,Data!$D$2:$D$2657,"A&amp;G and general")+SUMIFS(Data!$G$2:$G$2657,Data!$A$2:$A$2657,$A433,Data!$B$2:$B$2657,$B433,Data!$D$2:$D$2657,"A&amp;G and general"))/$D433,0)</f>
        <v>0.326361435975057</v>
      </c>
      <c r="J433" s="10" t="n">
        <f aca="false">IFERROR(SUMIFS(Data!$F$2:$F$2657,Data!$A$2:$A$2657,$A433,Data!$B$2:$B$2657,$B433)/$D433,0)</f>
        <v>0.268700019766513</v>
      </c>
      <c r="K433" s="11" t="n">
        <f aca="false">SUM(E433:I433)</f>
        <v>1</v>
      </c>
    </row>
    <row r="434" customFormat="false" ht="15" hidden="false" customHeight="false" outlineLevel="0" collapsed="false">
      <c r="A434" s="7" t="n">
        <v>2018</v>
      </c>
      <c r="B434" s="12" t="s">
        <v>58</v>
      </c>
      <c r="C434" s="12" t="s">
        <v>59</v>
      </c>
      <c r="D434" s="9" t="n">
        <f aca="false">SUMIFS(Data!$E$2:$E$2657,Data!$A$2:$A$2657,$A434,Data!$B$2:$B$2657,$B434)+SUMIFS(Data!$G$2:$G$2657,Data!$A$2:$A$2657,$A434,Data!$B$2:$B$2657,$B434)</f>
        <v>833.994773</v>
      </c>
      <c r="E434" s="10" t="n">
        <f aca="false">IFERROR((SUMIFS(Data!$E$2:$E$2657,Data!$A$2:$A$2657,$A434,Data!$B$2:$B$2657,$B434,Data!$D$2:$D$2657,"Transmission")+SUMIFS(Data!$G$2:$G$2657,Data!$A$2:$A$2657,$A434,Data!$B$2:$B$2657,$B434,Data!$D$2:$D$2657,"Transmission"))/$D434,0)</f>
        <v>0.1246700283576</v>
      </c>
      <c r="F434" s="10" t="n">
        <f aca="false">IFERROR((SUMIFS(Data!$E$2:$E$2657,Data!$A$2:$A$2657,$A434,Data!$B$2:$B$2657,$B434,Data!$D$2:$D$2657,"Distribution")+SUMIFS(Data!$G$2:$G$2657,Data!$A$2:$A$2657,$A434,Data!$B$2:$B$2657,$B434,Data!$D$2:$D$2657,"Distribution"))/$D434,0)</f>
        <v>0.558706388918819</v>
      </c>
      <c r="G434" s="10" t="n">
        <f aca="false">IFERROR((SUMIFS(Data!$E$2:$E$2657,Data!$A$2:$A$2657,$A434,Data!$B$2:$B$2657,$B434,Data!$D$2:$D$2657,"RTO/market operation")+SUMIFS(Data!$G$2:$G$2657,Data!$A$2:$A$2657,$A434,Data!$B$2:$B$2657,$B434,Data!$D$2:$D$2657,"RTO/market operation"))/$D434,0)</f>
        <v>0.00107084124374962</v>
      </c>
      <c r="H434" s="10" t="n">
        <f aca="false">IFERROR((SUMIFS(Data!$E$2:$E$2657,Data!$A$2:$A$2657,$A434,Data!$B$2:$B$2657,$B434,Data!$D$2:$D$2657,"Customer accounts, service &amp; sales")+SUMIFS(Data!$G$2:$G$2657,Data!$A$2:$A$2657,$A434,Data!$B$2:$B$2657,$B434,Data!$D$2:$D$2657,"Customer accounts, service &amp; sales"))/$D434,0)</f>
        <v>0.0801249338285721</v>
      </c>
      <c r="I434" s="10" t="n">
        <f aca="false">IFERROR((SUMIFS(Data!$E$2:$E$2657,Data!$A$2:$A$2657,$A434,Data!$B$2:$B$2657,$B434,Data!$D$2:$D$2657,"A&amp;G and general")+SUMIFS(Data!$G$2:$G$2657,Data!$A$2:$A$2657,$A434,Data!$B$2:$B$2657,$B434,Data!$D$2:$D$2657,"A&amp;G and general"))/$D434,0)</f>
        <v>0.23542780765126</v>
      </c>
      <c r="J434" s="10" t="n">
        <f aca="false">IFERROR(SUMIFS(Data!$F$2:$F$2657,Data!$A$2:$A$2657,$A434,Data!$B$2:$B$2657,$B434)/$D434,0)</f>
        <v>0.028313260183946</v>
      </c>
      <c r="K434" s="11" t="n">
        <f aca="false">SUM(E434:I434)</f>
        <v>1</v>
      </c>
    </row>
    <row r="435" customFormat="false" ht="15" hidden="false" customHeight="false" outlineLevel="0" collapsed="false">
      <c r="A435" s="7" t="n">
        <v>2018</v>
      </c>
      <c r="B435" s="12" t="s">
        <v>60</v>
      </c>
      <c r="C435" s="12" t="s">
        <v>59</v>
      </c>
      <c r="D435" s="9" t="n">
        <f aca="false">SUMIFS(Data!$E$2:$E$2657,Data!$A$2:$A$2657,$A435,Data!$B$2:$B$2657,$B435)+SUMIFS(Data!$G$2:$G$2657,Data!$A$2:$A$2657,$A435,Data!$B$2:$B$2657,$B435)</f>
        <v>2404.012442</v>
      </c>
      <c r="E435" s="10" t="n">
        <f aca="false">IFERROR((SUMIFS(Data!$E$2:$E$2657,Data!$A$2:$A$2657,$A435,Data!$B$2:$B$2657,$B435,Data!$D$2:$D$2657,"Transmission")+SUMIFS(Data!$G$2:$G$2657,Data!$A$2:$A$2657,$A435,Data!$B$2:$B$2657,$B435,Data!$D$2:$D$2657,"Transmission"))/$D435,0)</f>
        <v>0.199476047470473</v>
      </c>
      <c r="F435" s="10" t="n">
        <f aca="false">IFERROR((SUMIFS(Data!$E$2:$E$2657,Data!$A$2:$A$2657,$A435,Data!$B$2:$B$2657,$B435,Data!$D$2:$D$2657,"Distribution")+SUMIFS(Data!$G$2:$G$2657,Data!$A$2:$A$2657,$A435,Data!$B$2:$B$2657,$B435,Data!$D$2:$D$2657,"Distribution"))/$D435,0)</f>
        <v>0.406170416151282</v>
      </c>
      <c r="G435" s="10" t="n">
        <f aca="false">IFERROR((SUMIFS(Data!$E$2:$E$2657,Data!$A$2:$A$2657,$A435,Data!$B$2:$B$2657,$B435,Data!$D$2:$D$2657,"RTO/market operation")+SUMIFS(Data!$G$2:$G$2657,Data!$A$2:$A$2657,$A435,Data!$B$2:$B$2657,$B435,Data!$D$2:$D$2657,"RTO/market operation"))/$D435,0)</f>
        <v>0.00221095278341326</v>
      </c>
      <c r="H435" s="10" t="n">
        <f aca="false">IFERROR((SUMIFS(Data!$E$2:$E$2657,Data!$A$2:$A$2657,$A435,Data!$B$2:$B$2657,$B435,Data!$D$2:$D$2657,"Customer accounts, service &amp; sales")+SUMIFS(Data!$G$2:$G$2657,Data!$A$2:$A$2657,$A435,Data!$B$2:$B$2657,$B435,Data!$D$2:$D$2657,"Customer accounts, service &amp; sales"))/$D435,0)</f>
        <v>0.109532448501363</v>
      </c>
      <c r="I435" s="10" t="n">
        <f aca="false">IFERROR((SUMIFS(Data!$E$2:$E$2657,Data!$A$2:$A$2657,$A435,Data!$B$2:$B$2657,$B435,Data!$D$2:$D$2657,"A&amp;G and general")+SUMIFS(Data!$G$2:$G$2657,Data!$A$2:$A$2657,$A435,Data!$B$2:$B$2657,$B435,Data!$D$2:$D$2657,"A&amp;G and general"))/$D435,0)</f>
        <v>0.282610135093469</v>
      </c>
      <c r="J435" s="10" t="n">
        <f aca="false">IFERROR(SUMIFS(Data!$F$2:$F$2657,Data!$A$2:$A$2657,$A435,Data!$B$2:$B$2657,$B435)/$D435,0)</f>
        <v>0.00381685919743672</v>
      </c>
      <c r="K435" s="11" t="n">
        <f aca="false">SUM(E435:I435)</f>
        <v>1</v>
      </c>
    </row>
    <row r="436" customFormat="false" ht="15" hidden="false" customHeight="false" outlineLevel="0" collapsed="false">
      <c r="A436" s="7" t="n">
        <v>2018</v>
      </c>
      <c r="B436" s="12" t="s">
        <v>61</v>
      </c>
      <c r="C436" s="12" t="s">
        <v>62</v>
      </c>
      <c r="D436" s="9" t="n">
        <f aca="false">SUMIFS(Data!$E$2:$E$2657,Data!$A$2:$A$2657,$A436,Data!$B$2:$B$2657,$B436)+SUMIFS(Data!$G$2:$G$2657,Data!$A$2:$A$2657,$A436,Data!$B$2:$B$2657,$B436)</f>
        <v>1271.188384</v>
      </c>
      <c r="E436" s="10" t="n">
        <f aca="false">IFERROR((SUMIFS(Data!$E$2:$E$2657,Data!$A$2:$A$2657,$A436,Data!$B$2:$B$2657,$B436,Data!$D$2:$D$2657,"Transmission")+SUMIFS(Data!$G$2:$G$2657,Data!$A$2:$A$2657,$A436,Data!$B$2:$B$2657,$B436,Data!$D$2:$D$2657,"Transmission"))/$D436,0)</f>
        <v>0.292245293990981</v>
      </c>
      <c r="F436" s="10" t="n">
        <f aca="false">IFERROR((SUMIFS(Data!$E$2:$E$2657,Data!$A$2:$A$2657,$A436,Data!$B$2:$B$2657,$B436,Data!$D$2:$D$2657,"Distribution")+SUMIFS(Data!$G$2:$G$2657,Data!$A$2:$A$2657,$A436,Data!$B$2:$B$2657,$B436,Data!$D$2:$D$2657,"Distribution"))/$D436,0)</f>
        <v>0.344268387367517</v>
      </c>
      <c r="G436" s="10" t="n">
        <f aca="false">IFERROR((SUMIFS(Data!$E$2:$E$2657,Data!$A$2:$A$2657,$A436,Data!$B$2:$B$2657,$B436,Data!$D$2:$D$2657,"RTO/market operation")+SUMIFS(Data!$G$2:$G$2657,Data!$A$2:$A$2657,$A436,Data!$B$2:$B$2657,$B436,Data!$D$2:$D$2657,"RTO/market operation"))/$D436,0)</f>
        <v>0.00623559348069059</v>
      </c>
      <c r="H436" s="10" t="n">
        <f aca="false">IFERROR((SUMIFS(Data!$E$2:$E$2657,Data!$A$2:$A$2657,$A436,Data!$B$2:$B$2657,$B436,Data!$D$2:$D$2657,"Customer accounts, service &amp; sales")+SUMIFS(Data!$G$2:$G$2657,Data!$A$2:$A$2657,$A436,Data!$B$2:$B$2657,$B436,Data!$D$2:$D$2657,"Customer accounts, service &amp; sales"))/$D436,0)</f>
        <v>0.176792808861916</v>
      </c>
      <c r="I436" s="10" t="n">
        <f aca="false">IFERROR((SUMIFS(Data!$E$2:$E$2657,Data!$A$2:$A$2657,$A436,Data!$B$2:$B$2657,$B436,Data!$D$2:$D$2657,"A&amp;G and general")+SUMIFS(Data!$G$2:$G$2657,Data!$A$2:$A$2657,$A436,Data!$B$2:$B$2657,$B436,Data!$D$2:$D$2657,"A&amp;G and general"))/$D436,0)</f>
        <v>0.180457916298895</v>
      </c>
      <c r="J436" s="10" t="n">
        <f aca="false">IFERROR(SUMIFS(Data!$F$2:$F$2657,Data!$A$2:$A$2657,$A436,Data!$B$2:$B$2657,$B436)/$D436,0)</f>
        <v>0.280825230542698</v>
      </c>
      <c r="K436" s="11" t="n">
        <f aca="false">SUM(E436:I436)</f>
        <v>1</v>
      </c>
    </row>
    <row r="437" customFormat="false" ht="15" hidden="false" customHeight="false" outlineLevel="0" collapsed="false">
      <c r="A437" s="7" t="n">
        <v>2018</v>
      </c>
      <c r="B437" s="12" t="s">
        <v>63</v>
      </c>
      <c r="C437" s="12" t="s">
        <v>62</v>
      </c>
      <c r="D437" s="9" t="n">
        <f aca="false">SUMIFS(Data!$E$2:$E$2657,Data!$A$2:$A$2657,$A437,Data!$B$2:$B$2657,$B437)+SUMIFS(Data!$G$2:$G$2657,Data!$A$2:$A$2657,$A437,Data!$B$2:$B$2657,$B437)</f>
        <v>1817.065133</v>
      </c>
      <c r="E437" s="10" t="n">
        <f aca="false">IFERROR((SUMIFS(Data!$E$2:$E$2657,Data!$A$2:$A$2657,$A437,Data!$B$2:$B$2657,$B437,Data!$D$2:$D$2657,"Transmission")+SUMIFS(Data!$G$2:$G$2657,Data!$A$2:$A$2657,$A437,Data!$B$2:$B$2657,$B437,Data!$D$2:$D$2657,"Transmission"))/$D437,0)</f>
        <v>0.190056564141886</v>
      </c>
      <c r="F437" s="10" t="n">
        <f aca="false">IFERROR((SUMIFS(Data!$E$2:$E$2657,Data!$A$2:$A$2657,$A437,Data!$B$2:$B$2657,$B437,Data!$D$2:$D$2657,"Distribution")+SUMIFS(Data!$G$2:$G$2657,Data!$A$2:$A$2657,$A437,Data!$B$2:$B$2657,$B437,Data!$D$2:$D$2657,"Distribution"))/$D437,0)</f>
        <v>0.341840146354291</v>
      </c>
      <c r="G437" s="10" t="n">
        <f aca="false">IFERROR((SUMIFS(Data!$E$2:$E$2657,Data!$A$2:$A$2657,$A437,Data!$B$2:$B$2657,$B437,Data!$D$2:$D$2657,"RTO/market operation")+SUMIFS(Data!$G$2:$G$2657,Data!$A$2:$A$2657,$A437,Data!$B$2:$B$2657,$B437,Data!$D$2:$D$2657,"RTO/market operation"))/$D437,0)</f>
        <v>0.00506636984707361</v>
      </c>
      <c r="H437" s="10" t="n">
        <f aca="false">IFERROR((SUMIFS(Data!$E$2:$E$2657,Data!$A$2:$A$2657,$A437,Data!$B$2:$B$2657,$B437,Data!$D$2:$D$2657,"Customer accounts, service &amp; sales")+SUMIFS(Data!$G$2:$G$2657,Data!$A$2:$A$2657,$A437,Data!$B$2:$B$2657,$B437,Data!$D$2:$D$2657,"Customer accounts, service &amp; sales"))/$D437,0)</f>
        <v>0.168741652366514</v>
      </c>
      <c r="I437" s="10" t="n">
        <f aca="false">IFERROR((SUMIFS(Data!$E$2:$E$2657,Data!$A$2:$A$2657,$A437,Data!$B$2:$B$2657,$B437,Data!$D$2:$D$2657,"A&amp;G and general")+SUMIFS(Data!$G$2:$G$2657,Data!$A$2:$A$2657,$A437,Data!$B$2:$B$2657,$B437,Data!$D$2:$D$2657,"A&amp;G and general"))/$D437,0)</f>
        <v>0.294295267290234</v>
      </c>
      <c r="J437" s="10" t="n">
        <f aca="false">IFERROR(SUMIFS(Data!$F$2:$F$2657,Data!$A$2:$A$2657,$A437,Data!$B$2:$B$2657,$B437)/$D437,0)</f>
        <v>0.170650795818226</v>
      </c>
      <c r="K437" s="11" t="n">
        <f aca="false">SUM(E437:I437)</f>
        <v>1</v>
      </c>
    </row>
    <row r="438" customFormat="false" ht="15" hidden="false" customHeight="false" outlineLevel="0" collapsed="false">
      <c r="A438" s="7" t="n">
        <v>2018</v>
      </c>
      <c r="B438" s="12" t="s">
        <v>64</v>
      </c>
      <c r="C438" s="12" t="s">
        <v>65</v>
      </c>
      <c r="D438" s="9" t="n">
        <f aca="false">SUMIFS(Data!$E$2:$E$2657,Data!$A$2:$A$2657,$A438,Data!$B$2:$B$2657,$B438)+SUMIFS(Data!$G$2:$G$2657,Data!$A$2:$A$2657,$A438,Data!$B$2:$B$2657,$B438)</f>
        <v>567.436064</v>
      </c>
      <c r="E438" s="10" t="n">
        <f aca="false">IFERROR((SUMIFS(Data!$E$2:$E$2657,Data!$A$2:$A$2657,$A438,Data!$B$2:$B$2657,$B438,Data!$D$2:$D$2657,"Transmission")+SUMIFS(Data!$G$2:$G$2657,Data!$A$2:$A$2657,$A438,Data!$B$2:$B$2657,$B438,Data!$D$2:$D$2657,"Transmission"))/$D438,0)</f>
        <v>0.229611891569867</v>
      </c>
      <c r="F438" s="10" t="n">
        <f aca="false">IFERROR((SUMIFS(Data!$E$2:$E$2657,Data!$A$2:$A$2657,$A438,Data!$B$2:$B$2657,$B438,Data!$D$2:$D$2657,"Distribution")+SUMIFS(Data!$G$2:$G$2657,Data!$A$2:$A$2657,$A438,Data!$B$2:$B$2657,$B438,Data!$D$2:$D$2657,"Distribution"))/$D438,0)</f>
        <v>0.371723285462519</v>
      </c>
      <c r="G438" s="10" t="n">
        <f aca="false">IFERROR((SUMIFS(Data!$E$2:$E$2657,Data!$A$2:$A$2657,$A438,Data!$B$2:$B$2657,$B438,Data!$D$2:$D$2657,"RTO/market operation")+SUMIFS(Data!$G$2:$G$2657,Data!$A$2:$A$2657,$A438,Data!$B$2:$B$2657,$B438,Data!$D$2:$D$2657,"RTO/market operation"))/$D438,0)</f>
        <v>0.0108186814153568</v>
      </c>
      <c r="H438" s="10" t="n">
        <f aca="false">IFERROR((SUMIFS(Data!$E$2:$E$2657,Data!$A$2:$A$2657,$A438,Data!$B$2:$B$2657,$B438,Data!$D$2:$D$2657,"Customer accounts, service &amp; sales")+SUMIFS(Data!$G$2:$G$2657,Data!$A$2:$A$2657,$A438,Data!$B$2:$B$2657,$B438,Data!$D$2:$D$2657,"Customer accounts, service &amp; sales"))/$D438,0)</f>
        <v>0.0698540126628258</v>
      </c>
      <c r="I438" s="10" t="n">
        <f aca="false">IFERROR((SUMIFS(Data!$E$2:$E$2657,Data!$A$2:$A$2657,$A438,Data!$B$2:$B$2657,$B438,Data!$D$2:$D$2657,"A&amp;G and general")+SUMIFS(Data!$G$2:$G$2657,Data!$A$2:$A$2657,$A438,Data!$B$2:$B$2657,$B438,Data!$D$2:$D$2657,"A&amp;G and general"))/$D438,0)</f>
        <v>0.317992128889432</v>
      </c>
      <c r="J438" s="10" t="n">
        <f aca="false">IFERROR(SUMIFS(Data!$F$2:$F$2657,Data!$A$2:$A$2657,$A438,Data!$B$2:$B$2657,$B438)/$D438,0)</f>
        <v>0.105271814376606</v>
      </c>
      <c r="K438" s="11" t="n">
        <f aca="false">SUM(E438:I438)</f>
        <v>1</v>
      </c>
    </row>
    <row r="439" customFormat="false" ht="15" hidden="false" customHeight="false" outlineLevel="0" collapsed="false">
      <c r="A439" s="7" t="n">
        <v>2018</v>
      </c>
      <c r="B439" s="12" t="s">
        <v>66</v>
      </c>
      <c r="C439" s="12" t="s">
        <v>67</v>
      </c>
      <c r="D439" s="9" t="n">
        <f aca="false">SUMIFS(Data!$E$2:$E$2657,Data!$A$2:$A$2657,$A439,Data!$B$2:$B$2657,$B439)+SUMIFS(Data!$G$2:$G$2657,Data!$A$2:$A$2657,$A439,Data!$B$2:$B$2657,$B439)</f>
        <v>474.09814</v>
      </c>
      <c r="E439" s="10" t="n">
        <f aca="false">IFERROR((SUMIFS(Data!$E$2:$E$2657,Data!$A$2:$A$2657,$A439,Data!$B$2:$B$2657,$B439,Data!$D$2:$D$2657,"Transmission")+SUMIFS(Data!$G$2:$G$2657,Data!$A$2:$A$2657,$A439,Data!$B$2:$B$2657,$B439,Data!$D$2:$D$2657,"Transmission"))/$D439,0)</f>
        <v>0.312528201439474</v>
      </c>
      <c r="F439" s="10" t="n">
        <f aca="false">IFERROR((SUMIFS(Data!$E$2:$E$2657,Data!$A$2:$A$2657,$A439,Data!$B$2:$B$2657,$B439,Data!$D$2:$D$2657,"Distribution")+SUMIFS(Data!$G$2:$G$2657,Data!$A$2:$A$2657,$A439,Data!$B$2:$B$2657,$B439,Data!$D$2:$D$2657,"Distribution"))/$D439,0)</f>
        <v>0.318824530718471</v>
      </c>
      <c r="G439" s="10" t="n">
        <f aca="false">IFERROR((SUMIFS(Data!$E$2:$E$2657,Data!$A$2:$A$2657,$A439,Data!$B$2:$B$2657,$B439,Data!$D$2:$D$2657,"RTO/market operation")+SUMIFS(Data!$G$2:$G$2657,Data!$A$2:$A$2657,$A439,Data!$B$2:$B$2657,$B439,Data!$D$2:$D$2657,"RTO/market operation"))/$D439,0)</f>
        <v>0.0104582397222651</v>
      </c>
      <c r="H439" s="10" t="n">
        <f aca="false">IFERROR((SUMIFS(Data!$E$2:$E$2657,Data!$A$2:$A$2657,$A439,Data!$B$2:$B$2657,$B439,Data!$D$2:$D$2657,"Customer accounts, service &amp; sales")+SUMIFS(Data!$G$2:$G$2657,Data!$A$2:$A$2657,$A439,Data!$B$2:$B$2657,$B439,Data!$D$2:$D$2657,"Customer accounts, service &amp; sales"))/$D439,0)</f>
        <v>0.0916022598190324</v>
      </c>
      <c r="I439" s="10" t="n">
        <f aca="false">IFERROR((SUMIFS(Data!$E$2:$E$2657,Data!$A$2:$A$2657,$A439,Data!$B$2:$B$2657,$B439,Data!$D$2:$D$2657,"A&amp;G and general")+SUMIFS(Data!$G$2:$G$2657,Data!$A$2:$A$2657,$A439,Data!$B$2:$B$2657,$B439,Data!$D$2:$D$2657,"A&amp;G and general"))/$D439,0)</f>
        <v>0.266586768300757</v>
      </c>
      <c r="J439" s="10" t="n">
        <f aca="false">IFERROR(SUMIFS(Data!$F$2:$F$2657,Data!$A$2:$A$2657,$A439,Data!$B$2:$B$2657,$B439)/$D439,0)</f>
        <v>0.181956988905293</v>
      </c>
      <c r="K439" s="11" t="n">
        <f aca="false">SUM(E439:I439)</f>
        <v>1</v>
      </c>
    </row>
    <row r="440" customFormat="false" ht="15" hidden="false" customHeight="false" outlineLevel="0" collapsed="false">
      <c r="A440" s="7" t="n">
        <v>2018</v>
      </c>
      <c r="B440" s="12" t="s">
        <v>68</v>
      </c>
      <c r="C440" s="12" t="s">
        <v>65</v>
      </c>
      <c r="D440" s="9" t="n">
        <f aca="false">SUMIFS(Data!$E$2:$E$2657,Data!$A$2:$A$2657,$A440,Data!$B$2:$B$2657,$B440)+SUMIFS(Data!$G$2:$G$2657,Data!$A$2:$A$2657,$A440,Data!$B$2:$B$2657,$B440)</f>
        <v>330.481886</v>
      </c>
      <c r="E440" s="10" t="n">
        <f aca="false">IFERROR((SUMIFS(Data!$E$2:$E$2657,Data!$A$2:$A$2657,$A440,Data!$B$2:$B$2657,$B440,Data!$D$2:$D$2657,"Transmission")+SUMIFS(Data!$G$2:$G$2657,Data!$A$2:$A$2657,$A440,Data!$B$2:$B$2657,$B440,Data!$D$2:$D$2657,"Transmission"))/$D440,0)</f>
        <v>0.168230960168268</v>
      </c>
      <c r="F440" s="10" t="n">
        <f aca="false">IFERROR((SUMIFS(Data!$E$2:$E$2657,Data!$A$2:$A$2657,$A440,Data!$B$2:$B$2657,$B440,Data!$D$2:$D$2657,"Distribution")+SUMIFS(Data!$G$2:$G$2657,Data!$A$2:$A$2657,$A440,Data!$B$2:$B$2657,$B440,Data!$D$2:$D$2657,"Distribution"))/$D440,0)</f>
        <v>0.231472704679493</v>
      </c>
      <c r="G440" s="10" t="n">
        <f aca="false">IFERROR((SUMIFS(Data!$E$2:$E$2657,Data!$A$2:$A$2657,$A440,Data!$B$2:$B$2657,$B440,Data!$D$2:$D$2657,"RTO/market operation")+SUMIFS(Data!$G$2:$G$2657,Data!$A$2:$A$2657,$A440,Data!$B$2:$B$2657,$B440,Data!$D$2:$D$2657,"RTO/market operation"))/$D440,0)</f>
        <v>0.0197809782530713</v>
      </c>
      <c r="H440" s="10" t="n">
        <f aca="false">IFERROR((SUMIFS(Data!$E$2:$E$2657,Data!$A$2:$A$2657,$A440,Data!$B$2:$B$2657,$B440,Data!$D$2:$D$2657,"Customer accounts, service &amp; sales")+SUMIFS(Data!$G$2:$G$2657,Data!$A$2:$A$2657,$A440,Data!$B$2:$B$2657,$B440,Data!$D$2:$D$2657,"Customer accounts, service &amp; sales"))/$D440,0)</f>
        <v>0.0680465615595041</v>
      </c>
      <c r="I440" s="10" t="n">
        <f aca="false">IFERROR((SUMIFS(Data!$E$2:$E$2657,Data!$A$2:$A$2657,$A440,Data!$B$2:$B$2657,$B440,Data!$D$2:$D$2657,"A&amp;G and general")+SUMIFS(Data!$G$2:$G$2657,Data!$A$2:$A$2657,$A440,Data!$B$2:$B$2657,$B440,Data!$D$2:$D$2657,"A&amp;G and general"))/$D440,0)</f>
        <v>0.512468795339663</v>
      </c>
      <c r="J440" s="10" t="n">
        <f aca="false">IFERROR(SUMIFS(Data!$F$2:$F$2657,Data!$A$2:$A$2657,$A440,Data!$B$2:$B$2657,$B440)/$D440,0)</f>
        <v>0.0342770707862639</v>
      </c>
      <c r="K440" s="11" t="n">
        <f aca="false">SUM(E440:I440)</f>
        <v>1</v>
      </c>
    </row>
    <row r="441" customFormat="false" ht="15" hidden="false" customHeight="false" outlineLevel="0" collapsed="false">
      <c r="A441" s="7" t="n">
        <v>2018</v>
      </c>
      <c r="B441" s="12" t="s">
        <v>69</v>
      </c>
      <c r="C441" s="12" t="s">
        <v>70</v>
      </c>
      <c r="D441" s="9" t="n">
        <f aca="false">SUMIFS(Data!$E$2:$E$2657,Data!$A$2:$A$2657,$A441,Data!$B$2:$B$2657,$B441)+SUMIFS(Data!$G$2:$G$2657,Data!$A$2:$A$2657,$A441,Data!$B$2:$B$2657,$B441)</f>
        <v>689.0673</v>
      </c>
      <c r="E441" s="10" t="n">
        <f aca="false">IFERROR((SUMIFS(Data!$E$2:$E$2657,Data!$A$2:$A$2657,$A441,Data!$B$2:$B$2657,$B441,Data!$D$2:$D$2657,"Transmission")+SUMIFS(Data!$G$2:$G$2657,Data!$A$2:$A$2657,$A441,Data!$B$2:$B$2657,$B441,Data!$D$2:$D$2657,"Transmission"))/$D441,0)</f>
        <v>0.516614993920042</v>
      </c>
      <c r="F441" s="10" t="n">
        <f aca="false">IFERROR((SUMIFS(Data!$E$2:$E$2657,Data!$A$2:$A$2657,$A441,Data!$B$2:$B$2657,$B441,Data!$D$2:$D$2657,"Distribution")+SUMIFS(Data!$G$2:$G$2657,Data!$A$2:$A$2657,$A441,Data!$B$2:$B$2657,$B441,Data!$D$2:$D$2657,"Distribution"))/$D441,0)</f>
        <v>0.164614904814087</v>
      </c>
      <c r="G441" s="10" t="n">
        <f aca="false">IFERROR((SUMIFS(Data!$E$2:$E$2657,Data!$A$2:$A$2657,$A441,Data!$B$2:$B$2657,$B441,Data!$D$2:$D$2657,"RTO/market operation")+SUMIFS(Data!$G$2:$G$2657,Data!$A$2:$A$2657,$A441,Data!$B$2:$B$2657,$B441,Data!$D$2:$D$2657,"RTO/market operation"))/$D441,0)</f>
        <v>0.00528095876846862</v>
      </c>
      <c r="H441" s="10" t="n">
        <f aca="false">IFERROR((SUMIFS(Data!$E$2:$E$2657,Data!$A$2:$A$2657,$A441,Data!$B$2:$B$2657,$B441,Data!$D$2:$D$2657,"Customer accounts, service &amp; sales")+SUMIFS(Data!$G$2:$G$2657,Data!$A$2:$A$2657,$A441,Data!$B$2:$B$2657,$B441,Data!$D$2:$D$2657,"Customer accounts, service &amp; sales"))/$D441,0)</f>
        <v>0.0926484118459837</v>
      </c>
      <c r="I441" s="10" t="n">
        <f aca="false">IFERROR((SUMIFS(Data!$E$2:$E$2657,Data!$A$2:$A$2657,$A441,Data!$B$2:$B$2657,$B441,Data!$D$2:$D$2657,"A&amp;G and general")+SUMIFS(Data!$G$2:$G$2657,Data!$A$2:$A$2657,$A441,Data!$B$2:$B$2657,$B441,Data!$D$2:$D$2657,"A&amp;G and general"))/$D441,0)</f>
        <v>0.220840730651418</v>
      </c>
      <c r="J441" s="10" t="n">
        <f aca="false">IFERROR(SUMIFS(Data!$F$2:$F$2657,Data!$A$2:$A$2657,$A441,Data!$B$2:$B$2657,$B441)/$D441,0)</f>
        <v>0.512205709079505</v>
      </c>
      <c r="K441" s="11" t="n">
        <f aca="false">SUM(E441:I441)</f>
        <v>1</v>
      </c>
    </row>
    <row r="442" customFormat="false" ht="15" hidden="false" customHeight="false" outlineLevel="0" collapsed="false">
      <c r="A442" s="7" t="n">
        <v>2018</v>
      </c>
      <c r="B442" s="12" t="s">
        <v>71</v>
      </c>
      <c r="C442" s="12" t="s">
        <v>72</v>
      </c>
      <c r="D442" s="9" t="n">
        <f aca="false">SUMIFS(Data!$E$2:$E$2657,Data!$A$2:$A$2657,$A442,Data!$B$2:$B$2657,$B442)+SUMIFS(Data!$G$2:$G$2657,Data!$A$2:$A$2657,$A442,Data!$B$2:$B$2657,$B442)</f>
        <v>123.268265</v>
      </c>
      <c r="E442" s="10" t="n">
        <f aca="false">IFERROR((SUMIFS(Data!$E$2:$E$2657,Data!$A$2:$A$2657,$A442,Data!$B$2:$B$2657,$B442,Data!$D$2:$D$2657,"Transmission")+SUMIFS(Data!$G$2:$G$2657,Data!$A$2:$A$2657,$A442,Data!$B$2:$B$2657,$B442,Data!$D$2:$D$2657,"Transmission"))/$D442,0)</f>
        <v>0.319906579361687</v>
      </c>
      <c r="F442" s="10" t="n">
        <f aca="false">IFERROR((SUMIFS(Data!$E$2:$E$2657,Data!$A$2:$A$2657,$A442,Data!$B$2:$B$2657,$B442,Data!$D$2:$D$2657,"Distribution")+SUMIFS(Data!$G$2:$G$2657,Data!$A$2:$A$2657,$A442,Data!$B$2:$B$2657,$B442,Data!$D$2:$D$2657,"Distribution"))/$D442,0)</f>
        <v>0.234831698166596</v>
      </c>
      <c r="G442" s="10" t="n">
        <f aca="false">IFERROR((SUMIFS(Data!$E$2:$E$2657,Data!$A$2:$A$2657,$A442,Data!$B$2:$B$2657,$B442,Data!$D$2:$D$2657,"RTO/market operation")+SUMIFS(Data!$G$2:$G$2657,Data!$A$2:$A$2657,$A442,Data!$B$2:$B$2657,$B442,Data!$D$2:$D$2657,"RTO/market operation"))/$D442,0)</f>
        <v>0.00554918169733305</v>
      </c>
      <c r="H442" s="10" t="n">
        <f aca="false">IFERROR((SUMIFS(Data!$E$2:$E$2657,Data!$A$2:$A$2657,$A442,Data!$B$2:$B$2657,$B442,Data!$D$2:$D$2657,"Customer accounts, service &amp; sales")+SUMIFS(Data!$G$2:$G$2657,Data!$A$2:$A$2657,$A442,Data!$B$2:$B$2657,$B442,Data!$D$2:$D$2657,"Customer accounts, service &amp; sales"))/$D442,0)</f>
        <v>0.130801930245388</v>
      </c>
      <c r="I442" s="10" t="n">
        <f aca="false">IFERROR((SUMIFS(Data!$E$2:$E$2657,Data!$A$2:$A$2657,$A442,Data!$B$2:$B$2657,$B442,Data!$D$2:$D$2657,"A&amp;G and general")+SUMIFS(Data!$G$2:$G$2657,Data!$A$2:$A$2657,$A442,Data!$B$2:$B$2657,$B442,Data!$D$2:$D$2657,"A&amp;G and general"))/$D442,0)</f>
        <v>0.308910610528995</v>
      </c>
      <c r="J442" s="10" t="n">
        <f aca="false">IFERROR(SUMIFS(Data!$F$2:$F$2657,Data!$A$2:$A$2657,$A442,Data!$B$2:$B$2657,$B442)/$D442,0)</f>
        <v>0.319756102675737</v>
      </c>
      <c r="K442" s="11" t="n">
        <f aca="false">SUM(E442:I442)</f>
        <v>1</v>
      </c>
    </row>
    <row r="443" customFormat="false" ht="15" hidden="false" customHeight="false" outlineLevel="0" collapsed="false">
      <c r="A443" s="7" t="n">
        <v>2018</v>
      </c>
      <c r="B443" s="12" t="s">
        <v>73</v>
      </c>
      <c r="C443" s="12" t="s">
        <v>70</v>
      </c>
      <c r="D443" s="9" t="n">
        <f aca="false">SUMIFS(Data!$E$2:$E$2657,Data!$A$2:$A$2657,$A443,Data!$B$2:$B$2657,$B443)+SUMIFS(Data!$G$2:$G$2657,Data!$A$2:$A$2657,$A443,Data!$B$2:$B$2657,$B443)</f>
        <v>502.323088</v>
      </c>
      <c r="E443" s="10" t="n">
        <f aca="false">IFERROR((SUMIFS(Data!$E$2:$E$2657,Data!$A$2:$A$2657,$A443,Data!$B$2:$B$2657,$B443,Data!$D$2:$D$2657,"Transmission")+SUMIFS(Data!$G$2:$G$2657,Data!$A$2:$A$2657,$A443,Data!$B$2:$B$2657,$B443,Data!$D$2:$D$2657,"Transmission"))/$D443,0)</f>
        <v>0.223851783217259</v>
      </c>
      <c r="F443" s="10" t="n">
        <f aca="false">IFERROR((SUMIFS(Data!$E$2:$E$2657,Data!$A$2:$A$2657,$A443,Data!$B$2:$B$2657,$B443,Data!$D$2:$D$2657,"Distribution")+SUMIFS(Data!$G$2:$G$2657,Data!$A$2:$A$2657,$A443,Data!$B$2:$B$2657,$B443,Data!$D$2:$D$2657,"Distribution"))/$D443,0)</f>
        <v>0.305624158370359</v>
      </c>
      <c r="G443" s="10" t="n">
        <f aca="false">IFERROR((SUMIFS(Data!$E$2:$E$2657,Data!$A$2:$A$2657,$A443,Data!$B$2:$B$2657,$B443,Data!$D$2:$D$2657,"RTO/market operation")+SUMIFS(Data!$G$2:$G$2657,Data!$A$2:$A$2657,$A443,Data!$B$2:$B$2657,$B443,Data!$D$2:$D$2657,"RTO/market operation"))/$D443,0)</f>
        <v>0.0127109646212399</v>
      </c>
      <c r="H443" s="10" t="n">
        <f aca="false">IFERROR((SUMIFS(Data!$E$2:$E$2657,Data!$A$2:$A$2657,$A443,Data!$B$2:$B$2657,$B443,Data!$D$2:$D$2657,"Customer accounts, service &amp; sales")+SUMIFS(Data!$G$2:$G$2657,Data!$A$2:$A$2657,$A443,Data!$B$2:$B$2657,$B443,Data!$D$2:$D$2657,"Customer accounts, service &amp; sales"))/$D443,0)</f>
        <v>0.297173001930582</v>
      </c>
      <c r="I443" s="10" t="n">
        <f aca="false">IFERROR((SUMIFS(Data!$E$2:$E$2657,Data!$A$2:$A$2657,$A443,Data!$B$2:$B$2657,$B443,Data!$D$2:$D$2657,"A&amp;G and general")+SUMIFS(Data!$G$2:$G$2657,Data!$A$2:$A$2657,$A443,Data!$B$2:$B$2657,$B443,Data!$D$2:$D$2657,"A&amp;G and general"))/$D443,0)</f>
        <v>0.16064009186056</v>
      </c>
      <c r="J443" s="10" t="n">
        <f aca="false">IFERROR(SUMIFS(Data!$F$2:$F$2657,Data!$A$2:$A$2657,$A443,Data!$B$2:$B$2657,$B443)/$D443,0)</f>
        <v>0.108352015466189</v>
      </c>
      <c r="K443" s="11" t="n">
        <f aca="false">SUM(E443:I443)</f>
        <v>1</v>
      </c>
    </row>
    <row r="444" customFormat="false" ht="15" hidden="false" customHeight="false" outlineLevel="0" collapsed="false">
      <c r="A444" s="7" t="n">
        <v>2018</v>
      </c>
      <c r="B444" s="12" t="s">
        <v>74</v>
      </c>
      <c r="C444" s="12" t="s">
        <v>65</v>
      </c>
      <c r="D444" s="9" t="n">
        <f aca="false">SUMIFS(Data!$E$2:$E$2657,Data!$A$2:$A$2657,$A444,Data!$B$2:$B$2657,$B444)+SUMIFS(Data!$G$2:$G$2657,Data!$A$2:$A$2657,$A444,Data!$B$2:$B$2657,$B444)</f>
        <v>407.017632</v>
      </c>
      <c r="E444" s="10" t="n">
        <f aca="false">IFERROR((SUMIFS(Data!$E$2:$E$2657,Data!$A$2:$A$2657,$A444,Data!$B$2:$B$2657,$B444,Data!$D$2:$D$2657,"Transmission")+SUMIFS(Data!$G$2:$G$2657,Data!$A$2:$A$2657,$A444,Data!$B$2:$B$2657,$B444,Data!$D$2:$D$2657,"Transmission"))/$D444,0)</f>
        <v>0.179654873035083</v>
      </c>
      <c r="F444" s="10" t="n">
        <f aca="false">IFERROR((SUMIFS(Data!$E$2:$E$2657,Data!$A$2:$A$2657,$A444,Data!$B$2:$B$2657,$B444,Data!$D$2:$D$2657,"Distribution")+SUMIFS(Data!$G$2:$G$2657,Data!$A$2:$A$2657,$A444,Data!$B$2:$B$2657,$B444,Data!$D$2:$D$2657,"Distribution"))/$D444,0)</f>
        <v>0.264022797911615</v>
      </c>
      <c r="G444" s="10" t="n">
        <f aca="false">IFERROR((SUMIFS(Data!$E$2:$E$2657,Data!$A$2:$A$2657,$A444,Data!$B$2:$B$2657,$B444,Data!$D$2:$D$2657,"RTO/market operation")+SUMIFS(Data!$G$2:$G$2657,Data!$A$2:$A$2657,$A444,Data!$B$2:$B$2657,$B444,Data!$D$2:$D$2657,"RTO/market operation"))/$D444,0)</f>
        <v>0.0147174238387786</v>
      </c>
      <c r="H444" s="10" t="n">
        <f aca="false">IFERROR((SUMIFS(Data!$E$2:$E$2657,Data!$A$2:$A$2657,$A444,Data!$B$2:$B$2657,$B444,Data!$D$2:$D$2657,"Customer accounts, service &amp; sales")+SUMIFS(Data!$G$2:$G$2657,Data!$A$2:$A$2657,$A444,Data!$B$2:$B$2657,$B444,Data!$D$2:$D$2657,"Customer accounts, service &amp; sales"))/$D444,0)</f>
        <v>0.0434810892909917</v>
      </c>
      <c r="I444" s="10" t="n">
        <f aca="false">IFERROR((SUMIFS(Data!$E$2:$E$2657,Data!$A$2:$A$2657,$A444,Data!$B$2:$B$2657,$B444,Data!$D$2:$D$2657,"A&amp;G and general")+SUMIFS(Data!$G$2:$G$2657,Data!$A$2:$A$2657,$A444,Data!$B$2:$B$2657,$B444,Data!$D$2:$D$2657,"A&amp;G and general"))/$D444,0)</f>
        <v>0.498123815923532</v>
      </c>
      <c r="J444" s="10" t="n">
        <f aca="false">IFERROR(SUMIFS(Data!$F$2:$F$2657,Data!$A$2:$A$2657,$A444,Data!$B$2:$B$2657,$B444)/$D444,0)</f>
        <v>0</v>
      </c>
      <c r="K444" s="11" t="n">
        <f aca="false">SUM(E444:I444)</f>
        <v>1</v>
      </c>
    </row>
    <row r="445" customFormat="false" ht="15" hidden="false" customHeight="false" outlineLevel="0" collapsed="false">
      <c r="A445" s="7" t="n">
        <v>2018</v>
      </c>
      <c r="B445" s="12" t="s">
        <v>75</v>
      </c>
      <c r="C445" s="12" t="s">
        <v>57</v>
      </c>
      <c r="D445" s="9" t="n">
        <f aca="false">SUMIFS(Data!$E$2:$E$2657,Data!$A$2:$A$2657,$A445,Data!$B$2:$B$2657,$B445)+SUMIFS(Data!$G$2:$G$2657,Data!$A$2:$A$2657,$A445,Data!$B$2:$B$2657,$B445)</f>
        <v>1226.224354</v>
      </c>
      <c r="E445" s="10" t="n">
        <f aca="false">IFERROR((SUMIFS(Data!$E$2:$E$2657,Data!$A$2:$A$2657,$A445,Data!$B$2:$B$2657,$B445,Data!$D$2:$D$2657,"Transmission")+SUMIFS(Data!$G$2:$G$2657,Data!$A$2:$A$2657,$A445,Data!$B$2:$B$2657,$B445,Data!$D$2:$D$2657,"Transmission"))/$D445,0)</f>
        <v>0.35034834253504</v>
      </c>
      <c r="F445" s="10" t="n">
        <f aca="false">IFERROR((SUMIFS(Data!$E$2:$E$2657,Data!$A$2:$A$2657,$A445,Data!$B$2:$B$2657,$B445,Data!$D$2:$D$2657,"Distribution")+SUMIFS(Data!$G$2:$G$2657,Data!$A$2:$A$2657,$A445,Data!$B$2:$B$2657,$B445,Data!$D$2:$D$2657,"Distribution"))/$D445,0)</f>
        <v>0.191858693910756</v>
      </c>
      <c r="G445" s="10" t="n">
        <f aca="false">IFERROR((SUMIFS(Data!$E$2:$E$2657,Data!$A$2:$A$2657,$A445,Data!$B$2:$B$2657,$B445,Data!$D$2:$D$2657,"RTO/market operation")+SUMIFS(Data!$G$2:$G$2657,Data!$A$2:$A$2657,$A445,Data!$B$2:$B$2657,$B445,Data!$D$2:$D$2657,"RTO/market operation"))/$D445,0)</f>
        <v>0.00881642577456099</v>
      </c>
      <c r="H445" s="10" t="n">
        <f aca="false">IFERROR((SUMIFS(Data!$E$2:$E$2657,Data!$A$2:$A$2657,$A445,Data!$B$2:$B$2657,$B445,Data!$D$2:$D$2657,"Customer accounts, service &amp; sales")+SUMIFS(Data!$G$2:$G$2657,Data!$A$2:$A$2657,$A445,Data!$B$2:$B$2657,$B445,Data!$D$2:$D$2657,"Customer accounts, service &amp; sales"))/$D445,0)</f>
        <v>0.129710239795156</v>
      </c>
      <c r="I445" s="10" t="n">
        <f aca="false">IFERROR((SUMIFS(Data!$E$2:$E$2657,Data!$A$2:$A$2657,$A445,Data!$B$2:$B$2657,$B445,Data!$D$2:$D$2657,"A&amp;G and general")+SUMIFS(Data!$G$2:$G$2657,Data!$A$2:$A$2657,$A445,Data!$B$2:$B$2657,$B445,Data!$D$2:$D$2657,"A&amp;G and general"))/$D445,0)</f>
        <v>0.319266297984488</v>
      </c>
      <c r="J445" s="10" t="n">
        <f aca="false">IFERROR(SUMIFS(Data!$F$2:$F$2657,Data!$A$2:$A$2657,$A445,Data!$B$2:$B$2657,$B445)/$D445,0)</f>
        <v>0.252637091238199</v>
      </c>
      <c r="K445" s="11" t="n">
        <f aca="false">SUM(E445:I445)</f>
        <v>1</v>
      </c>
    </row>
    <row r="446" customFormat="false" ht="15" hidden="false" customHeight="false" outlineLevel="0" collapsed="false">
      <c r="A446" s="7" t="n">
        <v>2018</v>
      </c>
      <c r="B446" s="12" t="s">
        <v>76</v>
      </c>
      <c r="C446" s="12" t="s">
        <v>72</v>
      </c>
      <c r="D446" s="9" t="n">
        <f aca="false">SUMIFS(Data!$E$2:$E$2657,Data!$A$2:$A$2657,$A446,Data!$B$2:$B$2657,$B446)+SUMIFS(Data!$G$2:$G$2657,Data!$A$2:$A$2657,$A446,Data!$B$2:$B$2657,$B446)</f>
        <v>251.3693</v>
      </c>
      <c r="E446" s="10" t="n">
        <f aca="false">IFERROR((SUMIFS(Data!$E$2:$E$2657,Data!$A$2:$A$2657,$A446,Data!$B$2:$B$2657,$B446,Data!$D$2:$D$2657,"Transmission")+SUMIFS(Data!$G$2:$G$2657,Data!$A$2:$A$2657,$A446,Data!$B$2:$B$2657,$B446,Data!$D$2:$D$2657,"Transmission"))/$D446,0)</f>
        <v>0.408216973990062</v>
      </c>
      <c r="F446" s="10" t="n">
        <f aca="false">IFERROR((SUMIFS(Data!$E$2:$E$2657,Data!$A$2:$A$2657,$A446,Data!$B$2:$B$2657,$B446,Data!$D$2:$D$2657,"Distribution")+SUMIFS(Data!$G$2:$G$2657,Data!$A$2:$A$2657,$A446,Data!$B$2:$B$2657,$B446,Data!$D$2:$D$2657,"Distribution"))/$D446,0)</f>
        <v>0.246407099037154</v>
      </c>
      <c r="G446" s="10" t="n">
        <f aca="false">IFERROR((SUMIFS(Data!$E$2:$E$2657,Data!$A$2:$A$2657,$A446,Data!$B$2:$B$2657,$B446,Data!$D$2:$D$2657,"RTO/market operation")+SUMIFS(Data!$G$2:$G$2657,Data!$A$2:$A$2657,$A446,Data!$B$2:$B$2657,$B446,Data!$D$2:$D$2657,"RTO/market operation"))/$D446,0)</f>
        <v>0</v>
      </c>
      <c r="H446" s="10" t="n">
        <f aca="false">IFERROR((SUMIFS(Data!$E$2:$E$2657,Data!$A$2:$A$2657,$A446,Data!$B$2:$B$2657,$B446,Data!$D$2:$D$2657,"Customer accounts, service &amp; sales")+SUMIFS(Data!$G$2:$G$2657,Data!$A$2:$A$2657,$A446,Data!$B$2:$B$2657,$B446,Data!$D$2:$D$2657,"Customer accounts, service &amp; sales"))/$D446,0)</f>
        <v>0.0842734216151296</v>
      </c>
      <c r="I446" s="10" t="n">
        <f aca="false">IFERROR((SUMIFS(Data!$E$2:$E$2657,Data!$A$2:$A$2657,$A446,Data!$B$2:$B$2657,$B446,Data!$D$2:$D$2657,"A&amp;G and general")+SUMIFS(Data!$G$2:$G$2657,Data!$A$2:$A$2657,$A446,Data!$B$2:$B$2657,$B446,Data!$D$2:$D$2657,"A&amp;G and general"))/$D446,0)</f>
        <v>0.261102505357655</v>
      </c>
      <c r="J446" s="10" t="n">
        <f aca="false">IFERROR(SUMIFS(Data!$F$2:$F$2657,Data!$A$2:$A$2657,$A446,Data!$B$2:$B$2657,$B446)/$D446,0)</f>
        <v>0.24860544227159</v>
      </c>
      <c r="K446" s="11" t="n">
        <f aca="false">SUM(E446:I446)</f>
        <v>1</v>
      </c>
    </row>
    <row r="447" customFormat="false" ht="15" hidden="false" customHeight="false" outlineLevel="0" collapsed="false">
      <c r="A447" s="7" t="n">
        <v>2018</v>
      </c>
      <c r="B447" s="12" t="s">
        <v>77</v>
      </c>
      <c r="C447" s="12" t="s">
        <v>57</v>
      </c>
      <c r="D447" s="9" t="n">
        <f aca="false">SUMIFS(Data!$E$2:$E$2657,Data!$A$2:$A$2657,$A447,Data!$B$2:$B$2657,$B447)+SUMIFS(Data!$G$2:$G$2657,Data!$A$2:$A$2657,$A447,Data!$B$2:$B$2657,$B447)</f>
        <v>146.234611</v>
      </c>
      <c r="E447" s="10" t="n">
        <f aca="false">IFERROR((SUMIFS(Data!$E$2:$E$2657,Data!$A$2:$A$2657,$A447,Data!$B$2:$B$2657,$B447,Data!$D$2:$D$2657,"Transmission")+SUMIFS(Data!$G$2:$G$2657,Data!$A$2:$A$2657,$A447,Data!$B$2:$B$2657,$B447,Data!$D$2:$D$2657,"Transmission"))/$D447,0)</f>
        <v>0.26118956886342</v>
      </c>
      <c r="F447" s="10" t="n">
        <f aca="false">IFERROR((SUMIFS(Data!$E$2:$E$2657,Data!$A$2:$A$2657,$A447,Data!$B$2:$B$2657,$B447,Data!$D$2:$D$2657,"Distribution")+SUMIFS(Data!$G$2:$G$2657,Data!$A$2:$A$2657,$A447,Data!$B$2:$B$2657,$B447,Data!$D$2:$D$2657,"Distribution"))/$D447,0)</f>
        <v>0.203638241291591</v>
      </c>
      <c r="G447" s="10" t="n">
        <f aca="false">IFERROR((SUMIFS(Data!$E$2:$E$2657,Data!$A$2:$A$2657,$A447,Data!$B$2:$B$2657,$B447,Data!$D$2:$D$2657,"RTO/market operation")+SUMIFS(Data!$G$2:$G$2657,Data!$A$2:$A$2657,$A447,Data!$B$2:$B$2657,$B447,Data!$D$2:$D$2657,"RTO/market operation"))/$D447,0)</f>
        <v>0.00751858942613798</v>
      </c>
      <c r="H447" s="10" t="n">
        <f aca="false">IFERROR((SUMIFS(Data!$E$2:$E$2657,Data!$A$2:$A$2657,$A447,Data!$B$2:$B$2657,$B447,Data!$D$2:$D$2657,"Customer accounts, service &amp; sales")+SUMIFS(Data!$G$2:$G$2657,Data!$A$2:$A$2657,$A447,Data!$B$2:$B$2657,$B447,Data!$D$2:$D$2657,"Customer accounts, service &amp; sales"))/$D447,0)</f>
        <v>0.170650647130316</v>
      </c>
      <c r="I447" s="10" t="n">
        <f aca="false">IFERROR((SUMIFS(Data!$E$2:$E$2657,Data!$A$2:$A$2657,$A447,Data!$B$2:$B$2657,$B447,Data!$D$2:$D$2657,"A&amp;G and general")+SUMIFS(Data!$G$2:$G$2657,Data!$A$2:$A$2657,$A447,Data!$B$2:$B$2657,$B447,Data!$D$2:$D$2657,"A&amp;G and general"))/$D447,0)</f>
        <v>0.357002953288534</v>
      </c>
      <c r="J447" s="10" t="n">
        <f aca="false">IFERROR(SUMIFS(Data!$F$2:$F$2657,Data!$A$2:$A$2657,$A447,Data!$B$2:$B$2657,$B447)/$D447,0)</f>
        <v>0.130429867933249</v>
      </c>
      <c r="K447" s="11" t="n">
        <f aca="false">SUM(E447:I447)</f>
        <v>1</v>
      </c>
    </row>
    <row r="448" customFormat="false" ht="15" hidden="false" customHeight="false" outlineLevel="0" collapsed="false">
      <c r="A448" s="7" t="n">
        <v>2018</v>
      </c>
      <c r="B448" s="12" t="s">
        <v>78</v>
      </c>
      <c r="C448" s="12" t="s">
        <v>65</v>
      </c>
      <c r="D448" s="9" t="n">
        <f aca="false">SUMIFS(Data!$E$2:$E$2657,Data!$A$2:$A$2657,$A448,Data!$B$2:$B$2657,$B448)+SUMIFS(Data!$G$2:$G$2657,Data!$A$2:$A$2657,$A448,Data!$B$2:$B$2657,$B448)</f>
        <v>131.008181</v>
      </c>
      <c r="E448" s="10" t="n">
        <f aca="false">IFERROR((SUMIFS(Data!$E$2:$E$2657,Data!$A$2:$A$2657,$A448,Data!$B$2:$B$2657,$B448,Data!$D$2:$D$2657,"Transmission")+SUMIFS(Data!$G$2:$G$2657,Data!$A$2:$A$2657,$A448,Data!$B$2:$B$2657,$B448,Data!$D$2:$D$2657,"Transmission"))/$D448,0)</f>
        <v>0.24398202277154</v>
      </c>
      <c r="F448" s="10" t="n">
        <f aca="false">IFERROR((SUMIFS(Data!$E$2:$E$2657,Data!$A$2:$A$2657,$A448,Data!$B$2:$B$2657,$B448,Data!$D$2:$D$2657,"Distribution")+SUMIFS(Data!$G$2:$G$2657,Data!$A$2:$A$2657,$A448,Data!$B$2:$B$2657,$B448,Data!$D$2:$D$2657,"Distribution"))/$D448,0)</f>
        <v>0.285756398678644</v>
      </c>
      <c r="G448" s="10" t="n">
        <f aca="false">IFERROR((SUMIFS(Data!$E$2:$E$2657,Data!$A$2:$A$2657,$A448,Data!$B$2:$B$2657,$B448,Data!$D$2:$D$2657,"RTO/market operation")+SUMIFS(Data!$G$2:$G$2657,Data!$A$2:$A$2657,$A448,Data!$B$2:$B$2657,$B448,Data!$D$2:$D$2657,"RTO/market operation"))/$D448,0)</f>
        <v>0</v>
      </c>
      <c r="H448" s="10" t="n">
        <f aca="false">IFERROR((SUMIFS(Data!$E$2:$E$2657,Data!$A$2:$A$2657,$A448,Data!$B$2:$B$2657,$B448,Data!$D$2:$D$2657,"Customer accounts, service &amp; sales")+SUMIFS(Data!$G$2:$G$2657,Data!$A$2:$A$2657,$A448,Data!$B$2:$B$2657,$B448,Data!$D$2:$D$2657,"Customer accounts, service &amp; sales"))/$D448,0)</f>
        <v>0.132363268214525</v>
      </c>
      <c r="I448" s="10" t="n">
        <f aca="false">IFERROR((SUMIFS(Data!$E$2:$E$2657,Data!$A$2:$A$2657,$A448,Data!$B$2:$B$2657,$B448,Data!$D$2:$D$2657,"A&amp;G and general")+SUMIFS(Data!$G$2:$G$2657,Data!$A$2:$A$2657,$A448,Data!$B$2:$B$2657,$B448,Data!$D$2:$D$2657,"A&amp;G and general"))/$D448,0)</f>
        <v>0.337898310335291</v>
      </c>
      <c r="J448" s="10" t="n">
        <f aca="false">IFERROR(SUMIFS(Data!$F$2:$F$2657,Data!$A$2:$A$2657,$A448,Data!$B$2:$B$2657,$B448)/$D448,0)</f>
        <v>0</v>
      </c>
      <c r="K448" s="11" t="n">
        <f aca="false">SUM(E448:I448)</f>
        <v>1</v>
      </c>
    </row>
    <row r="449" customFormat="false" ht="15" hidden="false" customHeight="false" outlineLevel="0" collapsed="false">
      <c r="A449" s="7" t="n">
        <v>2018</v>
      </c>
      <c r="B449" s="12" t="s">
        <v>79</v>
      </c>
      <c r="C449" s="12" t="s">
        <v>72</v>
      </c>
      <c r="D449" s="9" t="n">
        <f aca="false">SUMIFS(Data!$E$2:$E$2657,Data!$A$2:$A$2657,$A449,Data!$B$2:$B$2657,$B449)+SUMIFS(Data!$G$2:$G$2657,Data!$A$2:$A$2657,$A449,Data!$B$2:$B$2657,$B449)</f>
        <v>950.153409</v>
      </c>
      <c r="E449" s="10" t="n">
        <f aca="false">IFERROR((SUMIFS(Data!$E$2:$E$2657,Data!$A$2:$A$2657,$A449,Data!$B$2:$B$2657,$B449,Data!$D$2:$D$2657,"Transmission")+SUMIFS(Data!$G$2:$G$2657,Data!$A$2:$A$2657,$A449,Data!$B$2:$B$2657,$B449,Data!$D$2:$D$2657,"Transmission"))/$D449,0)</f>
        <v>0.469203098970305</v>
      </c>
      <c r="F449" s="10" t="n">
        <f aca="false">IFERROR((SUMIFS(Data!$E$2:$E$2657,Data!$A$2:$A$2657,$A449,Data!$B$2:$B$2657,$B449,Data!$D$2:$D$2657,"Distribution")+SUMIFS(Data!$G$2:$G$2657,Data!$A$2:$A$2657,$A449,Data!$B$2:$B$2657,$B449,Data!$D$2:$D$2657,"Distribution"))/$D449,0)</f>
        <v>0.20941540820173</v>
      </c>
      <c r="G449" s="10" t="n">
        <f aca="false">IFERROR((SUMIFS(Data!$E$2:$E$2657,Data!$A$2:$A$2657,$A449,Data!$B$2:$B$2657,$B449,Data!$D$2:$D$2657,"RTO/market operation")+SUMIFS(Data!$G$2:$G$2657,Data!$A$2:$A$2657,$A449,Data!$B$2:$B$2657,$B449,Data!$D$2:$D$2657,"RTO/market operation"))/$D449,0)</f>
        <v>0.00563539734666152</v>
      </c>
      <c r="H449" s="10" t="n">
        <f aca="false">IFERROR((SUMIFS(Data!$E$2:$E$2657,Data!$A$2:$A$2657,$A449,Data!$B$2:$B$2657,$B449,Data!$D$2:$D$2657,"Customer accounts, service &amp; sales")+SUMIFS(Data!$G$2:$G$2657,Data!$A$2:$A$2657,$A449,Data!$B$2:$B$2657,$B449,Data!$D$2:$D$2657,"Customer accounts, service &amp; sales"))/$D449,0)</f>
        <v>0.12096296757064</v>
      </c>
      <c r="I449" s="10" t="n">
        <f aca="false">IFERROR((SUMIFS(Data!$E$2:$E$2657,Data!$A$2:$A$2657,$A449,Data!$B$2:$B$2657,$B449,Data!$D$2:$D$2657,"A&amp;G and general")+SUMIFS(Data!$G$2:$G$2657,Data!$A$2:$A$2657,$A449,Data!$B$2:$B$2657,$B449,Data!$D$2:$D$2657,"A&amp;G and general"))/$D449,0)</f>
        <v>0.194783127910664</v>
      </c>
      <c r="J449" s="10" t="n">
        <f aca="false">IFERROR(SUMIFS(Data!$F$2:$F$2657,Data!$A$2:$A$2657,$A449,Data!$B$2:$B$2657,$B449)/$D449,0)</f>
        <v>0.463452938050765</v>
      </c>
      <c r="K449" s="11" t="n">
        <f aca="false">SUM(E449:I449)</f>
        <v>1</v>
      </c>
    </row>
    <row r="450" customFormat="false" ht="15" hidden="false" customHeight="false" outlineLevel="0" collapsed="false">
      <c r="A450" s="7" t="n">
        <v>2018</v>
      </c>
      <c r="B450" s="12" t="s">
        <v>80</v>
      </c>
      <c r="C450" s="12" t="s">
        <v>72</v>
      </c>
      <c r="D450" s="9" t="n">
        <f aca="false">SUMIFS(Data!$E$2:$E$2657,Data!$A$2:$A$2657,$A450,Data!$B$2:$B$2657,$B450)+SUMIFS(Data!$G$2:$G$2657,Data!$A$2:$A$2657,$A450,Data!$B$2:$B$2657,$B450)</f>
        <v>384.082895</v>
      </c>
      <c r="E450" s="10" t="n">
        <f aca="false">IFERROR((SUMIFS(Data!$E$2:$E$2657,Data!$A$2:$A$2657,$A450,Data!$B$2:$B$2657,$B450,Data!$D$2:$D$2657,"Transmission")+SUMIFS(Data!$G$2:$G$2657,Data!$A$2:$A$2657,$A450,Data!$B$2:$B$2657,$B450,Data!$D$2:$D$2657,"Transmission"))/$D450,0)</f>
        <v>0.378268295441795</v>
      </c>
      <c r="F450" s="10" t="n">
        <f aca="false">IFERROR((SUMIFS(Data!$E$2:$E$2657,Data!$A$2:$A$2657,$A450,Data!$B$2:$B$2657,$B450,Data!$D$2:$D$2657,"Distribution")+SUMIFS(Data!$G$2:$G$2657,Data!$A$2:$A$2657,$A450,Data!$B$2:$B$2657,$B450,Data!$D$2:$D$2657,"Distribution"))/$D450,0)</f>
        <v>0.236016167811899</v>
      </c>
      <c r="G450" s="10" t="n">
        <f aca="false">IFERROR((SUMIFS(Data!$E$2:$E$2657,Data!$A$2:$A$2657,$A450,Data!$B$2:$B$2657,$B450,Data!$D$2:$D$2657,"RTO/market operation")+SUMIFS(Data!$G$2:$G$2657,Data!$A$2:$A$2657,$A450,Data!$B$2:$B$2657,$B450,Data!$D$2:$D$2657,"RTO/market operation"))/$D450,0)</f>
        <v>0.00658600795018482</v>
      </c>
      <c r="H450" s="10" t="n">
        <f aca="false">IFERROR((SUMIFS(Data!$E$2:$E$2657,Data!$A$2:$A$2657,$A450,Data!$B$2:$B$2657,$B450,Data!$D$2:$D$2657,"Customer accounts, service &amp; sales")+SUMIFS(Data!$G$2:$G$2657,Data!$A$2:$A$2657,$A450,Data!$B$2:$B$2657,$B450,Data!$D$2:$D$2657,"Customer accounts, service &amp; sales"))/$D450,0)</f>
        <v>0.0684474532509447</v>
      </c>
      <c r="I450" s="10" t="n">
        <f aca="false">IFERROR((SUMIFS(Data!$E$2:$E$2657,Data!$A$2:$A$2657,$A450,Data!$B$2:$B$2657,$B450,Data!$D$2:$D$2657,"A&amp;G and general")+SUMIFS(Data!$G$2:$G$2657,Data!$A$2:$A$2657,$A450,Data!$B$2:$B$2657,$B450,Data!$D$2:$D$2657,"A&amp;G and general"))/$D450,0)</f>
        <v>0.310682075545176</v>
      </c>
      <c r="J450" s="10" t="n">
        <f aca="false">IFERROR(SUMIFS(Data!$F$2:$F$2657,Data!$A$2:$A$2657,$A450,Data!$B$2:$B$2657,$B450)/$D450,0)</f>
        <v>0.371675820137734</v>
      </c>
      <c r="K450" s="11" t="n">
        <f aca="false">SUM(E450:I450)</f>
        <v>1</v>
      </c>
    </row>
    <row r="451" customFormat="false" ht="15" hidden="false" customHeight="false" outlineLevel="0" collapsed="false">
      <c r="A451" s="7" t="n">
        <v>2018</v>
      </c>
      <c r="B451" s="12" t="s">
        <v>81</v>
      </c>
      <c r="C451" s="12" t="s">
        <v>72</v>
      </c>
      <c r="D451" s="9" t="n">
        <f aca="false">SUMIFS(Data!$E$2:$E$2657,Data!$A$2:$A$2657,$A451,Data!$B$2:$B$2657,$B451)+SUMIFS(Data!$G$2:$G$2657,Data!$A$2:$A$2657,$A451,Data!$B$2:$B$2657,$B451)</f>
        <v>316.273381</v>
      </c>
      <c r="E451" s="10" t="n">
        <f aca="false">IFERROR((SUMIFS(Data!$E$2:$E$2657,Data!$A$2:$A$2657,$A451,Data!$B$2:$B$2657,$B451,Data!$D$2:$D$2657,"Transmission")+SUMIFS(Data!$G$2:$G$2657,Data!$A$2:$A$2657,$A451,Data!$B$2:$B$2657,$B451,Data!$D$2:$D$2657,"Transmission"))/$D451,0)</f>
        <v>0.455737942738849</v>
      </c>
      <c r="F451" s="10" t="n">
        <f aca="false">IFERROR((SUMIFS(Data!$E$2:$E$2657,Data!$A$2:$A$2657,$A451,Data!$B$2:$B$2657,$B451,Data!$D$2:$D$2657,"Distribution")+SUMIFS(Data!$G$2:$G$2657,Data!$A$2:$A$2657,$A451,Data!$B$2:$B$2657,$B451,Data!$D$2:$D$2657,"Distribution"))/$D451,0)</f>
        <v>0.185680283349549</v>
      </c>
      <c r="G451" s="10" t="n">
        <f aca="false">IFERROR((SUMIFS(Data!$E$2:$E$2657,Data!$A$2:$A$2657,$A451,Data!$B$2:$B$2657,$B451,Data!$D$2:$D$2657,"RTO/market operation")+SUMIFS(Data!$G$2:$G$2657,Data!$A$2:$A$2657,$A451,Data!$B$2:$B$2657,$B451,Data!$D$2:$D$2657,"RTO/market operation"))/$D451,0)</f>
        <v>0.00758224733430854</v>
      </c>
      <c r="H451" s="10" t="n">
        <f aca="false">IFERROR((SUMIFS(Data!$E$2:$E$2657,Data!$A$2:$A$2657,$A451,Data!$B$2:$B$2657,$B451,Data!$D$2:$D$2657,"Customer accounts, service &amp; sales")+SUMIFS(Data!$G$2:$G$2657,Data!$A$2:$A$2657,$A451,Data!$B$2:$B$2657,$B451,Data!$D$2:$D$2657,"Customer accounts, service &amp; sales"))/$D451,0)</f>
        <v>0.105426539200275</v>
      </c>
      <c r="I451" s="10" t="n">
        <f aca="false">IFERROR((SUMIFS(Data!$E$2:$E$2657,Data!$A$2:$A$2657,$A451,Data!$B$2:$B$2657,$B451,Data!$D$2:$D$2657,"A&amp;G and general")+SUMIFS(Data!$G$2:$G$2657,Data!$A$2:$A$2657,$A451,Data!$B$2:$B$2657,$B451,Data!$D$2:$D$2657,"A&amp;G and general"))/$D451,0)</f>
        <v>0.245572987377019</v>
      </c>
      <c r="J451" s="10" t="n">
        <f aca="false">IFERROR(SUMIFS(Data!$F$2:$F$2657,Data!$A$2:$A$2657,$A451,Data!$B$2:$B$2657,$B451)/$D451,0)</f>
        <v>0.433503997606425</v>
      </c>
      <c r="K451" s="11" t="n">
        <f aca="false">SUM(E451:I451)</f>
        <v>1</v>
      </c>
    </row>
    <row r="452" customFormat="false" ht="15" hidden="false" customHeight="false" outlineLevel="0" collapsed="false">
      <c r="A452" s="7" t="n">
        <v>2019</v>
      </c>
      <c r="B452" s="12" t="s">
        <v>56</v>
      </c>
      <c r="C452" s="12" t="s">
        <v>57</v>
      </c>
      <c r="D452" s="9" t="n">
        <f aca="false">SUMIFS(Data!$E$2:$E$2657,Data!$A$2:$A$2657,$A452,Data!$B$2:$B$2657,$B452)+SUMIFS(Data!$G$2:$G$2657,Data!$A$2:$A$2657,$A452,Data!$B$2:$B$2657,$B452)</f>
        <v>244.25715</v>
      </c>
      <c r="E452" s="10" t="n">
        <f aca="false">IFERROR((SUMIFS(Data!$E$2:$E$2657,Data!$A$2:$A$2657,$A452,Data!$B$2:$B$2657,$B452,Data!$D$2:$D$2657,"Transmission")+SUMIFS(Data!$G$2:$G$2657,Data!$A$2:$A$2657,$A452,Data!$B$2:$B$2657,$B452,Data!$D$2:$D$2657,"Transmission"))/$D452,0)</f>
        <v>0.44045271960309</v>
      </c>
      <c r="F452" s="10" t="n">
        <f aca="false">IFERROR((SUMIFS(Data!$E$2:$E$2657,Data!$A$2:$A$2657,$A452,Data!$B$2:$B$2657,$B452,Data!$D$2:$D$2657,"Distribution")+SUMIFS(Data!$G$2:$G$2657,Data!$A$2:$A$2657,$A452,Data!$B$2:$B$2657,$B452,Data!$D$2:$D$2657,"Distribution"))/$D452,0)</f>
        <v>0.172092161887584</v>
      </c>
      <c r="G452" s="10" t="n">
        <f aca="false">IFERROR((SUMIFS(Data!$E$2:$E$2657,Data!$A$2:$A$2657,$A452,Data!$B$2:$B$2657,$B452,Data!$D$2:$D$2657,"RTO/market operation")+SUMIFS(Data!$G$2:$G$2657,Data!$A$2:$A$2657,$A452,Data!$B$2:$B$2657,$B452,Data!$D$2:$D$2657,"RTO/market operation"))/$D452,0)</f>
        <v>0</v>
      </c>
      <c r="H452" s="10" t="n">
        <f aca="false">IFERROR((SUMIFS(Data!$E$2:$E$2657,Data!$A$2:$A$2657,$A452,Data!$B$2:$B$2657,$B452,Data!$D$2:$D$2657,"Customer accounts, service &amp; sales")+SUMIFS(Data!$G$2:$G$2657,Data!$A$2:$A$2657,$A452,Data!$B$2:$B$2657,$B452,Data!$D$2:$D$2657,"Customer accounts, service &amp; sales"))/$D452,0)</f>
        <v>0.077764008136507</v>
      </c>
      <c r="I452" s="10" t="n">
        <f aca="false">IFERROR((SUMIFS(Data!$E$2:$E$2657,Data!$A$2:$A$2657,$A452,Data!$B$2:$B$2657,$B452,Data!$D$2:$D$2657,"A&amp;G and general")+SUMIFS(Data!$G$2:$G$2657,Data!$A$2:$A$2657,$A452,Data!$B$2:$B$2657,$B452,Data!$D$2:$D$2657,"A&amp;G and general"))/$D452,0)</f>
        <v>0.309691110372818</v>
      </c>
      <c r="J452" s="10" t="n">
        <f aca="false">IFERROR(SUMIFS(Data!$F$2:$F$2657,Data!$A$2:$A$2657,$A452,Data!$B$2:$B$2657,$B452)/$D452,0)</f>
        <v>0.277675519426965</v>
      </c>
      <c r="K452" s="11" t="n">
        <f aca="false">SUM(E452:I452)</f>
        <v>1</v>
      </c>
    </row>
    <row r="453" customFormat="false" ht="15" hidden="false" customHeight="false" outlineLevel="0" collapsed="false">
      <c r="A453" s="7" t="n">
        <v>2019</v>
      </c>
      <c r="B453" s="12" t="s">
        <v>58</v>
      </c>
      <c r="C453" s="12" t="s">
        <v>59</v>
      </c>
      <c r="D453" s="9" t="n">
        <f aca="false">SUMIFS(Data!$E$2:$E$2657,Data!$A$2:$A$2657,$A453,Data!$B$2:$B$2657,$B453)+SUMIFS(Data!$G$2:$G$2657,Data!$A$2:$A$2657,$A453,Data!$B$2:$B$2657,$B453)</f>
        <v>836.794526</v>
      </c>
      <c r="E453" s="10" t="n">
        <f aca="false">IFERROR((SUMIFS(Data!$E$2:$E$2657,Data!$A$2:$A$2657,$A453,Data!$B$2:$B$2657,$B453,Data!$D$2:$D$2657,"Transmission")+SUMIFS(Data!$G$2:$G$2657,Data!$A$2:$A$2657,$A453,Data!$B$2:$B$2657,$B453,Data!$D$2:$D$2657,"Transmission"))/$D453,0)</f>
        <v>0.134212921464546</v>
      </c>
      <c r="F453" s="10" t="n">
        <f aca="false">IFERROR((SUMIFS(Data!$E$2:$E$2657,Data!$A$2:$A$2657,$A453,Data!$B$2:$B$2657,$B453,Data!$D$2:$D$2657,"Distribution")+SUMIFS(Data!$G$2:$G$2657,Data!$A$2:$A$2657,$A453,Data!$B$2:$B$2657,$B453,Data!$D$2:$D$2657,"Distribution"))/$D453,0)</f>
        <v>0.568160926282159</v>
      </c>
      <c r="G453" s="10" t="n">
        <f aca="false">IFERROR((SUMIFS(Data!$E$2:$E$2657,Data!$A$2:$A$2657,$A453,Data!$B$2:$B$2657,$B453,Data!$D$2:$D$2657,"RTO/market operation")+SUMIFS(Data!$G$2:$G$2657,Data!$A$2:$A$2657,$A453,Data!$B$2:$B$2657,$B453,Data!$D$2:$D$2657,"RTO/market operation"))/$D453,0)</f>
        <v>0.000975232239987191</v>
      </c>
      <c r="H453" s="10" t="n">
        <f aca="false">IFERROR((SUMIFS(Data!$E$2:$E$2657,Data!$A$2:$A$2657,$A453,Data!$B$2:$B$2657,$B453,Data!$D$2:$D$2657,"Customer accounts, service &amp; sales")+SUMIFS(Data!$G$2:$G$2657,Data!$A$2:$A$2657,$A453,Data!$B$2:$B$2657,$B453,Data!$D$2:$D$2657,"Customer accounts, service &amp; sales"))/$D453,0)</f>
        <v>0.081240658115873</v>
      </c>
      <c r="I453" s="10" t="n">
        <f aca="false">IFERROR((SUMIFS(Data!$E$2:$E$2657,Data!$A$2:$A$2657,$A453,Data!$B$2:$B$2657,$B453,Data!$D$2:$D$2657,"A&amp;G and general")+SUMIFS(Data!$G$2:$G$2657,Data!$A$2:$A$2657,$A453,Data!$B$2:$B$2657,$B453,Data!$D$2:$D$2657,"A&amp;G and general"))/$D453,0)</f>
        <v>0.215410261897435</v>
      </c>
      <c r="J453" s="10" t="n">
        <f aca="false">IFERROR(SUMIFS(Data!$F$2:$F$2657,Data!$A$2:$A$2657,$A453,Data!$B$2:$B$2657,$B453)/$D453,0)</f>
        <v>0.0296145245099273</v>
      </c>
      <c r="K453" s="11" t="n">
        <f aca="false">SUM(E453:I453)</f>
        <v>1</v>
      </c>
    </row>
    <row r="454" customFormat="false" ht="15" hidden="false" customHeight="false" outlineLevel="0" collapsed="false">
      <c r="A454" s="7" t="n">
        <v>2019</v>
      </c>
      <c r="B454" s="12" t="s">
        <v>60</v>
      </c>
      <c r="C454" s="12" t="s">
        <v>59</v>
      </c>
      <c r="D454" s="9" t="n">
        <f aca="false">SUMIFS(Data!$E$2:$E$2657,Data!$A$2:$A$2657,$A454,Data!$B$2:$B$2657,$B454)+SUMIFS(Data!$G$2:$G$2657,Data!$A$2:$A$2657,$A454,Data!$B$2:$B$2657,$B454)</f>
        <v>2400.55259</v>
      </c>
      <c r="E454" s="10" t="n">
        <f aca="false">IFERROR((SUMIFS(Data!$E$2:$E$2657,Data!$A$2:$A$2657,$A454,Data!$B$2:$B$2657,$B454,Data!$D$2:$D$2657,"Transmission")+SUMIFS(Data!$G$2:$G$2657,Data!$A$2:$A$2657,$A454,Data!$B$2:$B$2657,$B454,Data!$D$2:$D$2657,"Transmission"))/$D454,0)</f>
        <v>0.209050495744399</v>
      </c>
      <c r="F454" s="10" t="n">
        <f aca="false">IFERROR((SUMIFS(Data!$E$2:$E$2657,Data!$A$2:$A$2657,$A454,Data!$B$2:$B$2657,$B454,Data!$D$2:$D$2657,"Distribution")+SUMIFS(Data!$G$2:$G$2657,Data!$A$2:$A$2657,$A454,Data!$B$2:$B$2657,$B454,Data!$D$2:$D$2657,"Distribution"))/$D454,0)</f>
        <v>0.427961959375362</v>
      </c>
      <c r="G454" s="10" t="n">
        <f aca="false">IFERROR((SUMIFS(Data!$E$2:$E$2657,Data!$A$2:$A$2657,$A454,Data!$B$2:$B$2657,$B454,Data!$D$2:$D$2657,"RTO/market operation")+SUMIFS(Data!$G$2:$G$2657,Data!$A$2:$A$2657,$A454,Data!$B$2:$B$2657,$B454,Data!$D$2:$D$2657,"RTO/market operation"))/$D454,0)</f>
        <v>0.00214649577829078</v>
      </c>
      <c r="H454" s="10" t="n">
        <f aca="false">IFERROR((SUMIFS(Data!$E$2:$E$2657,Data!$A$2:$A$2657,$A454,Data!$B$2:$B$2657,$B454,Data!$D$2:$D$2657,"Customer accounts, service &amp; sales")+SUMIFS(Data!$G$2:$G$2657,Data!$A$2:$A$2657,$A454,Data!$B$2:$B$2657,$B454,Data!$D$2:$D$2657,"Customer accounts, service &amp; sales"))/$D454,0)</f>
        <v>0.0988651596256011</v>
      </c>
      <c r="I454" s="10" t="n">
        <f aca="false">IFERROR((SUMIFS(Data!$E$2:$E$2657,Data!$A$2:$A$2657,$A454,Data!$B$2:$B$2657,$B454,Data!$D$2:$D$2657,"A&amp;G and general")+SUMIFS(Data!$G$2:$G$2657,Data!$A$2:$A$2657,$A454,Data!$B$2:$B$2657,$B454,Data!$D$2:$D$2657,"A&amp;G and general"))/$D454,0)</f>
        <v>0.261975889476348</v>
      </c>
      <c r="J454" s="10" t="n">
        <f aca="false">IFERROR(SUMIFS(Data!$F$2:$F$2657,Data!$A$2:$A$2657,$A454,Data!$B$2:$B$2657,$B454)/$D454,0)</f>
        <v>0.00411433894060201</v>
      </c>
      <c r="K454" s="11" t="n">
        <f aca="false">SUM(E454:I454)</f>
        <v>1</v>
      </c>
    </row>
    <row r="455" customFormat="false" ht="15" hidden="false" customHeight="false" outlineLevel="0" collapsed="false">
      <c r="A455" s="7" t="n">
        <v>2019</v>
      </c>
      <c r="B455" s="12" t="s">
        <v>61</v>
      </c>
      <c r="C455" s="12" t="s">
        <v>62</v>
      </c>
      <c r="D455" s="9" t="n">
        <f aca="false">SUMIFS(Data!$E$2:$E$2657,Data!$A$2:$A$2657,$A455,Data!$B$2:$B$2657,$B455)+SUMIFS(Data!$G$2:$G$2657,Data!$A$2:$A$2657,$A455,Data!$B$2:$B$2657,$B455)</f>
        <v>1318.985979</v>
      </c>
      <c r="E455" s="10" t="n">
        <f aca="false">IFERROR((SUMIFS(Data!$E$2:$E$2657,Data!$A$2:$A$2657,$A455,Data!$B$2:$B$2657,$B455,Data!$D$2:$D$2657,"Transmission")+SUMIFS(Data!$G$2:$G$2657,Data!$A$2:$A$2657,$A455,Data!$B$2:$B$2657,$B455,Data!$D$2:$D$2657,"Transmission"))/$D455,0)</f>
        <v>0.291977218963296</v>
      </c>
      <c r="F455" s="10" t="n">
        <f aca="false">IFERROR((SUMIFS(Data!$E$2:$E$2657,Data!$A$2:$A$2657,$A455,Data!$B$2:$B$2657,$B455,Data!$D$2:$D$2657,"Distribution")+SUMIFS(Data!$G$2:$G$2657,Data!$A$2:$A$2657,$A455,Data!$B$2:$B$2657,$B455,Data!$D$2:$D$2657,"Distribution"))/$D455,0)</f>
        <v>0.36892931975587</v>
      </c>
      <c r="G455" s="10" t="n">
        <f aca="false">IFERROR((SUMIFS(Data!$E$2:$E$2657,Data!$A$2:$A$2657,$A455,Data!$B$2:$B$2657,$B455,Data!$D$2:$D$2657,"RTO/market operation")+SUMIFS(Data!$G$2:$G$2657,Data!$A$2:$A$2657,$A455,Data!$B$2:$B$2657,$B455,Data!$D$2:$D$2657,"RTO/market operation"))/$D455,0)</f>
        <v>0.00564180978302879</v>
      </c>
      <c r="H455" s="10" t="n">
        <f aca="false">IFERROR((SUMIFS(Data!$E$2:$E$2657,Data!$A$2:$A$2657,$A455,Data!$B$2:$B$2657,$B455,Data!$D$2:$D$2657,"Customer accounts, service &amp; sales")+SUMIFS(Data!$G$2:$G$2657,Data!$A$2:$A$2657,$A455,Data!$B$2:$B$2657,$B455,Data!$D$2:$D$2657,"Customer accounts, service &amp; sales"))/$D455,0)</f>
        <v>0.172993920809525</v>
      </c>
      <c r="I455" s="10" t="n">
        <f aca="false">IFERROR((SUMIFS(Data!$E$2:$E$2657,Data!$A$2:$A$2657,$A455,Data!$B$2:$B$2657,$B455,Data!$D$2:$D$2657,"A&amp;G and general")+SUMIFS(Data!$G$2:$G$2657,Data!$A$2:$A$2657,$A455,Data!$B$2:$B$2657,$B455,Data!$D$2:$D$2657,"A&amp;G and general"))/$D455,0)</f>
        <v>0.160457730688281</v>
      </c>
      <c r="J455" s="10" t="n">
        <f aca="false">IFERROR(SUMIFS(Data!$F$2:$F$2657,Data!$A$2:$A$2657,$A455,Data!$B$2:$B$2657,$B455)/$D455,0)</f>
        <v>0.281625496338957</v>
      </c>
      <c r="K455" s="11" t="n">
        <f aca="false">SUM(E455:I455)</f>
        <v>1</v>
      </c>
    </row>
    <row r="456" customFormat="false" ht="15" hidden="false" customHeight="false" outlineLevel="0" collapsed="false">
      <c r="A456" s="7" t="n">
        <v>2019</v>
      </c>
      <c r="B456" s="12" t="s">
        <v>63</v>
      </c>
      <c r="C456" s="12" t="s">
        <v>62</v>
      </c>
      <c r="D456" s="9" t="n">
        <f aca="false">SUMIFS(Data!$E$2:$E$2657,Data!$A$2:$A$2657,$A456,Data!$B$2:$B$2657,$B456)+SUMIFS(Data!$G$2:$G$2657,Data!$A$2:$A$2657,$A456,Data!$B$2:$B$2657,$B456)</f>
        <v>1861.807681</v>
      </c>
      <c r="E456" s="10" t="n">
        <f aca="false">IFERROR((SUMIFS(Data!$E$2:$E$2657,Data!$A$2:$A$2657,$A456,Data!$B$2:$B$2657,$B456,Data!$D$2:$D$2657,"Transmission")+SUMIFS(Data!$G$2:$G$2657,Data!$A$2:$A$2657,$A456,Data!$B$2:$B$2657,$B456,Data!$D$2:$D$2657,"Transmission"))/$D456,0)</f>
        <v>0.1907375367628</v>
      </c>
      <c r="F456" s="10" t="n">
        <f aca="false">IFERROR((SUMIFS(Data!$E$2:$E$2657,Data!$A$2:$A$2657,$A456,Data!$B$2:$B$2657,$B456,Data!$D$2:$D$2657,"Distribution")+SUMIFS(Data!$G$2:$G$2657,Data!$A$2:$A$2657,$A456,Data!$B$2:$B$2657,$B456,Data!$D$2:$D$2657,"Distribution"))/$D456,0)</f>
        <v>0.360361960500473</v>
      </c>
      <c r="G456" s="10" t="n">
        <f aca="false">IFERROR((SUMIFS(Data!$E$2:$E$2657,Data!$A$2:$A$2657,$A456,Data!$B$2:$B$2657,$B456,Data!$D$2:$D$2657,"RTO/market operation")+SUMIFS(Data!$G$2:$G$2657,Data!$A$2:$A$2657,$A456,Data!$B$2:$B$2657,$B456,Data!$D$2:$D$2657,"RTO/market operation"))/$D456,0)</f>
        <v>0.0046760844789962</v>
      </c>
      <c r="H456" s="10" t="n">
        <f aca="false">IFERROR((SUMIFS(Data!$E$2:$E$2657,Data!$A$2:$A$2657,$A456,Data!$B$2:$B$2657,$B456,Data!$D$2:$D$2657,"Customer accounts, service &amp; sales")+SUMIFS(Data!$G$2:$G$2657,Data!$A$2:$A$2657,$A456,Data!$B$2:$B$2657,$B456,Data!$D$2:$D$2657,"Customer accounts, service &amp; sales"))/$D456,0)</f>
        <v>0.155446994312835</v>
      </c>
      <c r="I456" s="10" t="n">
        <f aca="false">IFERROR((SUMIFS(Data!$E$2:$E$2657,Data!$A$2:$A$2657,$A456,Data!$B$2:$B$2657,$B456,Data!$D$2:$D$2657,"A&amp;G and general")+SUMIFS(Data!$G$2:$G$2657,Data!$A$2:$A$2657,$A456,Data!$B$2:$B$2657,$B456,Data!$D$2:$D$2657,"A&amp;G and general"))/$D456,0)</f>
        <v>0.288777423944896</v>
      </c>
      <c r="J456" s="10" t="n">
        <f aca="false">IFERROR(SUMIFS(Data!$F$2:$F$2657,Data!$A$2:$A$2657,$A456,Data!$B$2:$B$2657,$B456)/$D456,0)</f>
        <v>0.175191638389207</v>
      </c>
      <c r="K456" s="11" t="n">
        <f aca="false">SUM(E456:I456)</f>
        <v>1</v>
      </c>
    </row>
    <row r="457" customFormat="false" ht="15" hidden="false" customHeight="false" outlineLevel="0" collapsed="false">
      <c r="A457" s="7" t="n">
        <v>2019</v>
      </c>
      <c r="B457" s="12" t="s">
        <v>64</v>
      </c>
      <c r="C457" s="12" t="s">
        <v>65</v>
      </c>
      <c r="D457" s="9" t="n">
        <f aca="false">SUMIFS(Data!$E$2:$E$2657,Data!$A$2:$A$2657,$A457,Data!$B$2:$B$2657,$B457)+SUMIFS(Data!$G$2:$G$2657,Data!$A$2:$A$2657,$A457,Data!$B$2:$B$2657,$B457)</f>
        <v>588.385043</v>
      </c>
      <c r="E457" s="10" t="n">
        <f aca="false">IFERROR((SUMIFS(Data!$E$2:$E$2657,Data!$A$2:$A$2657,$A457,Data!$B$2:$B$2657,$B457,Data!$D$2:$D$2657,"Transmission")+SUMIFS(Data!$G$2:$G$2657,Data!$A$2:$A$2657,$A457,Data!$B$2:$B$2657,$B457,Data!$D$2:$D$2657,"Transmission"))/$D457,0)</f>
        <v>0.254256677289467</v>
      </c>
      <c r="F457" s="10" t="n">
        <f aca="false">IFERROR((SUMIFS(Data!$E$2:$E$2657,Data!$A$2:$A$2657,$A457,Data!$B$2:$B$2657,$B457,Data!$D$2:$D$2657,"Distribution")+SUMIFS(Data!$G$2:$G$2657,Data!$A$2:$A$2657,$A457,Data!$B$2:$B$2657,$B457,Data!$D$2:$D$2657,"Distribution"))/$D457,0)</f>
        <v>0.362337859427878</v>
      </c>
      <c r="G457" s="10" t="n">
        <f aca="false">IFERROR((SUMIFS(Data!$E$2:$E$2657,Data!$A$2:$A$2657,$A457,Data!$B$2:$B$2657,$B457,Data!$D$2:$D$2657,"RTO/market operation")+SUMIFS(Data!$G$2:$G$2657,Data!$A$2:$A$2657,$A457,Data!$B$2:$B$2657,$B457,Data!$D$2:$D$2657,"RTO/market operation"))/$D457,0)</f>
        <v>0.0128181130532239</v>
      </c>
      <c r="H457" s="10" t="n">
        <f aca="false">IFERROR((SUMIFS(Data!$E$2:$E$2657,Data!$A$2:$A$2657,$A457,Data!$B$2:$B$2657,$B457,Data!$D$2:$D$2657,"Customer accounts, service &amp; sales")+SUMIFS(Data!$G$2:$G$2657,Data!$A$2:$A$2657,$A457,Data!$B$2:$B$2657,$B457,Data!$D$2:$D$2657,"Customer accounts, service &amp; sales"))/$D457,0)</f>
        <v>0.0599747553406112</v>
      </c>
      <c r="I457" s="10" t="n">
        <f aca="false">IFERROR((SUMIFS(Data!$E$2:$E$2657,Data!$A$2:$A$2657,$A457,Data!$B$2:$B$2657,$B457,Data!$D$2:$D$2657,"A&amp;G and general")+SUMIFS(Data!$G$2:$G$2657,Data!$A$2:$A$2657,$A457,Data!$B$2:$B$2657,$B457,Data!$D$2:$D$2657,"A&amp;G and general"))/$D457,0)</f>
        <v>0.31061259488882</v>
      </c>
      <c r="J457" s="10" t="n">
        <f aca="false">IFERROR(SUMIFS(Data!$F$2:$F$2657,Data!$A$2:$A$2657,$A457,Data!$B$2:$B$2657,$B457)/$D457,0)</f>
        <v>0.133388961758499</v>
      </c>
      <c r="K457" s="11" t="n">
        <f aca="false">SUM(E457:I457)</f>
        <v>1</v>
      </c>
    </row>
    <row r="458" customFormat="false" ht="15" hidden="false" customHeight="false" outlineLevel="0" collapsed="false">
      <c r="A458" s="7" t="n">
        <v>2019</v>
      </c>
      <c r="B458" s="12" t="s">
        <v>66</v>
      </c>
      <c r="C458" s="12" t="s">
        <v>67</v>
      </c>
      <c r="D458" s="9" t="n">
        <f aca="false">SUMIFS(Data!$E$2:$E$2657,Data!$A$2:$A$2657,$A458,Data!$B$2:$B$2657,$B458)+SUMIFS(Data!$G$2:$G$2657,Data!$A$2:$A$2657,$A458,Data!$B$2:$B$2657,$B458)</f>
        <v>552.33623</v>
      </c>
      <c r="E458" s="10" t="n">
        <f aca="false">IFERROR((SUMIFS(Data!$E$2:$E$2657,Data!$A$2:$A$2657,$A458,Data!$B$2:$B$2657,$B458,Data!$D$2:$D$2657,"Transmission")+SUMIFS(Data!$G$2:$G$2657,Data!$A$2:$A$2657,$A458,Data!$B$2:$B$2657,$B458,Data!$D$2:$D$2657,"Transmission"))/$D458,0)</f>
        <v>0.359390842422196</v>
      </c>
      <c r="F458" s="10" t="n">
        <f aca="false">IFERROR((SUMIFS(Data!$E$2:$E$2657,Data!$A$2:$A$2657,$A458,Data!$B$2:$B$2657,$B458,Data!$D$2:$D$2657,"Distribution")+SUMIFS(Data!$G$2:$G$2657,Data!$A$2:$A$2657,$A458,Data!$B$2:$B$2657,$B458,Data!$D$2:$D$2657,"Distribution"))/$D458,0)</f>
        <v>0.297907044772348</v>
      </c>
      <c r="G458" s="10" t="n">
        <f aca="false">IFERROR((SUMIFS(Data!$E$2:$E$2657,Data!$A$2:$A$2657,$A458,Data!$B$2:$B$2657,$B458,Data!$D$2:$D$2657,"RTO/market operation")+SUMIFS(Data!$G$2:$G$2657,Data!$A$2:$A$2657,$A458,Data!$B$2:$B$2657,$B458,Data!$D$2:$D$2657,"RTO/market operation"))/$D458,0)</f>
        <v>0.00806010136253419</v>
      </c>
      <c r="H458" s="10" t="n">
        <f aca="false">IFERROR((SUMIFS(Data!$E$2:$E$2657,Data!$A$2:$A$2657,$A458,Data!$B$2:$B$2657,$B458,Data!$D$2:$D$2657,"Customer accounts, service &amp; sales")+SUMIFS(Data!$G$2:$G$2657,Data!$A$2:$A$2657,$A458,Data!$B$2:$B$2657,$B458,Data!$D$2:$D$2657,"Customer accounts, service &amp; sales"))/$D458,0)</f>
        <v>0.0894442937411511</v>
      </c>
      <c r="I458" s="10" t="n">
        <f aca="false">IFERROR((SUMIFS(Data!$E$2:$E$2657,Data!$A$2:$A$2657,$A458,Data!$B$2:$B$2657,$B458,Data!$D$2:$D$2657,"A&amp;G and general")+SUMIFS(Data!$G$2:$G$2657,Data!$A$2:$A$2657,$A458,Data!$B$2:$B$2657,$B458,Data!$D$2:$D$2657,"A&amp;G and general"))/$D458,0)</f>
        <v>0.24519771770177</v>
      </c>
      <c r="J458" s="10" t="n">
        <f aca="false">IFERROR(SUMIFS(Data!$F$2:$F$2657,Data!$A$2:$A$2657,$A458,Data!$B$2:$B$2657,$B458)/$D458,0)</f>
        <v>0.24154957569957</v>
      </c>
      <c r="K458" s="11" t="n">
        <f aca="false">SUM(E458:I458)</f>
        <v>1</v>
      </c>
    </row>
    <row r="459" customFormat="false" ht="15" hidden="false" customHeight="false" outlineLevel="0" collapsed="false">
      <c r="A459" s="7" t="n">
        <v>2019</v>
      </c>
      <c r="B459" s="12" t="s">
        <v>68</v>
      </c>
      <c r="C459" s="12" t="s">
        <v>65</v>
      </c>
      <c r="D459" s="9" t="n">
        <f aca="false">SUMIFS(Data!$E$2:$E$2657,Data!$A$2:$A$2657,$A459,Data!$B$2:$B$2657,$B459)+SUMIFS(Data!$G$2:$G$2657,Data!$A$2:$A$2657,$A459,Data!$B$2:$B$2657,$B459)</f>
        <v>353.381645</v>
      </c>
      <c r="E459" s="10" t="n">
        <f aca="false">IFERROR((SUMIFS(Data!$E$2:$E$2657,Data!$A$2:$A$2657,$A459,Data!$B$2:$B$2657,$B459,Data!$D$2:$D$2657,"Transmission")+SUMIFS(Data!$G$2:$G$2657,Data!$A$2:$A$2657,$A459,Data!$B$2:$B$2657,$B459,Data!$D$2:$D$2657,"Transmission"))/$D459,0)</f>
        <v>0.157894788225348</v>
      </c>
      <c r="F459" s="10" t="n">
        <f aca="false">IFERROR((SUMIFS(Data!$E$2:$E$2657,Data!$A$2:$A$2657,$A459,Data!$B$2:$B$2657,$B459,Data!$D$2:$D$2657,"Distribution")+SUMIFS(Data!$G$2:$G$2657,Data!$A$2:$A$2657,$A459,Data!$B$2:$B$2657,$B459,Data!$D$2:$D$2657,"Distribution"))/$D459,0)</f>
        <v>0.277262459401365</v>
      </c>
      <c r="G459" s="10" t="n">
        <f aca="false">IFERROR((SUMIFS(Data!$E$2:$E$2657,Data!$A$2:$A$2657,$A459,Data!$B$2:$B$2657,$B459,Data!$D$2:$D$2657,"RTO/market operation")+SUMIFS(Data!$G$2:$G$2657,Data!$A$2:$A$2657,$A459,Data!$B$2:$B$2657,$B459,Data!$D$2:$D$2657,"RTO/market operation"))/$D459,0)</f>
        <v>0.017270155613204</v>
      </c>
      <c r="H459" s="10" t="n">
        <f aca="false">IFERROR((SUMIFS(Data!$E$2:$E$2657,Data!$A$2:$A$2657,$A459,Data!$B$2:$B$2657,$B459,Data!$D$2:$D$2657,"Customer accounts, service &amp; sales")+SUMIFS(Data!$G$2:$G$2657,Data!$A$2:$A$2657,$A459,Data!$B$2:$B$2657,$B459,Data!$D$2:$D$2657,"Customer accounts, service &amp; sales"))/$D459,0)</f>
        <v>0.067540338717932</v>
      </c>
      <c r="I459" s="10" t="n">
        <f aca="false">IFERROR((SUMIFS(Data!$E$2:$E$2657,Data!$A$2:$A$2657,$A459,Data!$B$2:$B$2657,$B459,Data!$D$2:$D$2657,"A&amp;G and general")+SUMIFS(Data!$G$2:$G$2657,Data!$A$2:$A$2657,$A459,Data!$B$2:$B$2657,$B459,Data!$D$2:$D$2657,"A&amp;G and general"))/$D459,0)</f>
        <v>0.480032258042152</v>
      </c>
      <c r="J459" s="10" t="n">
        <f aca="false">IFERROR(SUMIFS(Data!$F$2:$F$2657,Data!$A$2:$A$2657,$A459,Data!$B$2:$B$2657,$B459)/$D459,0)</f>
        <v>0.0288078799338885</v>
      </c>
      <c r="K459" s="11" t="n">
        <f aca="false">SUM(E459:I459)</f>
        <v>1</v>
      </c>
    </row>
    <row r="460" customFormat="false" ht="15" hidden="false" customHeight="false" outlineLevel="0" collapsed="false">
      <c r="A460" s="7" t="n">
        <v>2019</v>
      </c>
      <c r="B460" s="12" t="s">
        <v>69</v>
      </c>
      <c r="C460" s="12" t="s">
        <v>70</v>
      </c>
      <c r="D460" s="9" t="n">
        <f aca="false">SUMIFS(Data!$E$2:$E$2657,Data!$A$2:$A$2657,$A460,Data!$B$2:$B$2657,$B460)+SUMIFS(Data!$G$2:$G$2657,Data!$A$2:$A$2657,$A460,Data!$B$2:$B$2657,$B460)</f>
        <v>706.440158</v>
      </c>
      <c r="E460" s="10" t="n">
        <f aca="false">IFERROR((SUMIFS(Data!$E$2:$E$2657,Data!$A$2:$A$2657,$A460,Data!$B$2:$B$2657,$B460,Data!$D$2:$D$2657,"Transmission")+SUMIFS(Data!$G$2:$G$2657,Data!$A$2:$A$2657,$A460,Data!$B$2:$B$2657,$B460,Data!$D$2:$D$2657,"Transmission"))/$D460,0)</f>
        <v>0.485753992201559</v>
      </c>
      <c r="F460" s="10" t="n">
        <f aca="false">IFERROR((SUMIFS(Data!$E$2:$E$2657,Data!$A$2:$A$2657,$A460,Data!$B$2:$B$2657,$B460,Data!$D$2:$D$2657,"Distribution")+SUMIFS(Data!$G$2:$G$2657,Data!$A$2:$A$2657,$A460,Data!$B$2:$B$2657,$B460,Data!$D$2:$D$2657,"Distribution"))/$D460,0)</f>
        <v>0.171035370274066</v>
      </c>
      <c r="G460" s="10" t="n">
        <f aca="false">IFERROR((SUMIFS(Data!$E$2:$E$2657,Data!$A$2:$A$2657,$A460,Data!$B$2:$B$2657,$B460,Data!$D$2:$D$2657,"RTO/market operation")+SUMIFS(Data!$G$2:$G$2657,Data!$A$2:$A$2657,$A460,Data!$B$2:$B$2657,$B460,Data!$D$2:$D$2657,"RTO/market operation"))/$D460,0)</f>
        <v>0.0052138202483104</v>
      </c>
      <c r="H460" s="10" t="n">
        <f aca="false">IFERROR((SUMIFS(Data!$E$2:$E$2657,Data!$A$2:$A$2657,$A460,Data!$B$2:$B$2657,$B460,Data!$D$2:$D$2657,"Customer accounts, service &amp; sales")+SUMIFS(Data!$G$2:$G$2657,Data!$A$2:$A$2657,$A460,Data!$B$2:$B$2657,$B460,Data!$D$2:$D$2657,"Customer accounts, service &amp; sales"))/$D460,0)</f>
        <v>0.0966242734462443</v>
      </c>
      <c r="I460" s="10" t="n">
        <f aca="false">IFERROR((SUMIFS(Data!$E$2:$E$2657,Data!$A$2:$A$2657,$A460,Data!$B$2:$B$2657,$B460,Data!$D$2:$D$2657,"A&amp;G and general")+SUMIFS(Data!$G$2:$G$2657,Data!$A$2:$A$2657,$A460,Data!$B$2:$B$2657,$B460,Data!$D$2:$D$2657,"A&amp;G and general"))/$D460,0)</f>
        <v>0.24137254382982</v>
      </c>
      <c r="J460" s="10" t="n">
        <f aca="false">IFERROR(SUMIFS(Data!$F$2:$F$2657,Data!$A$2:$A$2657,$A460,Data!$B$2:$B$2657,$B460)/$D460,0)</f>
        <v>0.481631691158758</v>
      </c>
      <c r="K460" s="11" t="n">
        <f aca="false">SUM(E460:I460)</f>
        <v>1</v>
      </c>
    </row>
    <row r="461" customFormat="false" ht="15" hidden="false" customHeight="false" outlineLevel="0" collapsed="false">
      <c r="A461" s="7" t="n">
        <v>2019</v>
      </c>
      <c r="B461" s="12" t="s">
        <v>71</v>
      </c>
      <c r="C461" s="12" t="s">
        <v>72</v>
      </c>
      <c r="D461" s="9" t="n">
        <f aca="false">SUMIFS(Data!$E$2:$E$2657,Data!$A$2:$A$2657,$A461,Data!$B$2:$B$2657,$B461)+SUMIFS(Data!$G$2:$G$2657,Data!$A$2:$A$2657,$A461,Data!$B$2:$B$2657,$B461)</f>
        <v>133.710062</v>
      </c>
      <c r="E461" s="10" t="n">
        <f aca="false">IFERROR((SUMIFS(Data!$E$2:$E$2657,Data!$A$2:$A$2657,$A461,Data!$B$2:$B$2657,$B461,Data!$D$2:$D$2657,"Transmission")+SUMIFS(Data!$G$2:$G$2657,Data!$A$2:$A$2657,$A461,Data!$B$2:$B$2657,$B461,Data!$D$2:$D$2657,"Transmission"))/$D461,0)</f>
        <v>0.297282556042791</v>
      </c>
      <c r="F461" s="10" t="n">
        <f aca="false">IFERROR((SUMIFS(Data!$E$2:$E$2657,Data!$A$2:$A$2657,$A461,Data!$B$2:$B$2657,$B461,Data!$D$2:$D$2657,"Distribution")+SUMIFS(Data!$G$2:$G$2657,Data!$A$2:$A$2657,$A461,Data!$B$2:$B$2657,$B461,Data!$D$2:$D$2657,"Distribution"))/$D461,0)</f>
        <v>0.233464950453766</v>
      </c>
      <c r="G461" s="10" t="n">
        <f aca="false">IFERROR((SUMIFS(Data!$E$2:$E$2657,Data!$A$2:$A$2657,$A461,Data!$B$2:$B$2657,$B461,Data!$D$2:$D$2657,"RTO/market operation")+SUMIFS(Data!$G$2:$G$2657,Data!$A$2:$A$2657,$A461,Data!$B$2:$B$2657,$B461,Data!$D$2:$D$2657,"RTO/market operation"))/$D461,0)</f>
        <v>0.00490897237038152</v>
      </c>
      <c r="H461" s="10" t="n">
        <f aca="false">IFERROR((SUMIFS(Data!$E$2:$E$2657,Data!$A$2:$A$2657,$A461,Data!$B$2:$B$2657,$B461,Data!$D$2:$D$2657,"Customer accounts, service &amp; sales")+SUMIFS(Data!$G$2:$G$2657,Data!$A$2:$A$2657,$A461,Data!$B$2:$B$2657,$B461,Data!$D$2:$D$2657,"Customer accounts, service &amp; sales"))/$D461,0)</f>
        <v>0.132732366843118</v>
      </c>
      <c r="I461" s="10" t="n">
        <f aca="false">IFERROR((SUMIFS(Data!$E$2:$E$2657,Data!$A$2:$A$2657,$A461,Data!$B$2:$B$2657,$B461,Data!$D$2:$D$2657,"A&amp;G and general")+SUMIFS(Data!$G$2:$G$2657,Data!$A$2:$A$2657,$A461,Data!$B$2:$B$2657,$B461,Data!$D$2:$D$2657,"A&amp;G and general"))/$D461,0)</f>
        <v>0.331611154289944</v>
      </c>
      <c r="J461" s="10" t="n">
        <f aca="false">IFERROR(SUMIFS(Data!$F$2:$F$2657,Data!$A$2:$A$2657,$A461,Data!$B$2:$B$2657,$B461)/$D461,0)</f>
        <v>0.297330181478788</v>
      </c>
      <c r="K461" s="11" t="n">
        <f aca="false">SUM(E461:I461)</f>
        <v>1</v>
      </c>
    </row>
    <row r="462" customFormat="false" ht="15" hidden="false" customHeight="false" outlineLevel="0" collapsed="false">
      <c r="A462" s="7" t="n">
        <v>2019</v>
      </c>
      <c r="B462" s="12" t="s">
        <v>73</v>
      </c>
      <c r="C462" s="12" t="s">
        <v>70</v>
      </c>
      <c r="D462" s="9" t="n">
        <f aca="false">SUMIFS(Data!$E$2:$E$2657,Data!$A$2:$A$2657,$A462,Data!$B$2:$B$2657,$B462)+SUMIFS(Data!$G$2:$G$2657,Data!$A$2:$A$2657,$A462,Data!$B$2:$B$2657,$B462)</f>
        <v>490.003248</v>
      </c>
      <c r="E462" s="10" t="n">
        <f aca="false">IFERROR((SUMIFS(Data!$E$2:$E$2657,Data!$A$2:$A$2657,$A462,Data!$B$2:$B$2657,$B462,Data!$D$2:$D$2657,"Transmission")+SUMIFS(Data!$G$2:$G$2657,Data!$A$2:$A$2657,$A462,Data!$B$2:$B$2657,$B462,Data!$D$2:$D$2657,"Transmission"))/$D462,0)</f>
        <v>0.2496201188446</v>
      </c>
      <c r="F462" s="10" t="n">
        <f aca="false">IFERROR((SUMIFS(Data!$E$2:$E$2657,Data!$A$2:$A$2657,$A462,Data!$B$2:$B$2657,$B462,Data!$D$2:$D$2657,"Distribution")+SUMIFS(Data!$G$2:$G$2657,Data!$A$2:$A$2657,$A462,Data!$B$2:$B$2657,$B462,Data!$D$2:$D$2657,"Distribution"))/$D462,0)</f>
        <v>0.333095853274834</v>
      </c>
      <c r="G462" s="10" t="n">
        <f aca="false">IFERROR((SUMIFS(Data!$E$2:$E$2657,Data!$A$2:$A$2657,$A462,Data!$B$2:$B$2657,$B462,Data!$D$2:$D$2657,"RTO/market operation")+SUMIFS(Data!$G$2:$G$2657,Data!$A$2:$A$2657,$A462,Data!$B$2:$B$2657,$B462,Data!$D$2:$D$2657,"RTO/market operation"))/$D462,0)</f>
        <v>0.0125031599790539</v>
      </c>
      <c r="H462" s="10" t="n">
        <f aca="false">IFERROR((SUMIFS(Data!$E$2:$E$2657,Data!$A$2:$A$2657,$A462,Data!$B$2:$B$2657,$B462,Data!$D$2:$D$2657,"Customer accounts, service &amp; sales")+SUMIFS(Data!$G$2:$G$2657,Data!$A$2:$A$2657,$A462,Data!$B$2:$B$2657,$B462,Data!$D$2:$D$2657,"Customer accounts, service &amp; sales"))/$D462,0)</f>
        <v>0.209464315632455</v>
      </c>
      <c r="I462" s="10" t="n">
        <f aca="false">IFERROR((SUMIFS(Data!$E$2:$E$2657,Data!$A$2:$A$2657,$A462,Data!$B$2:$B$2657,$B462,Data!$D$2:$D$2657,"A&amp;G and general")+SUMIFS(Data!$G$2:$G$2657,Data!$A$2:$A$2657,$A462,Data!$B$2:$B$2657,$B462,Data!$D$2:$D$2657,"A&amp;G and general"))/$D462,0)</f>
        <v>0.195316552269058</v>
      </c>
      <c r="J462" s="10" t="n">
        <f aca="false">IFERROR(SUMIFS(Data!$F$2:$F$2657,Data!$A$2:$A$2657,$A462,Data!$B$2:$B$2657,$B462)/$D462,0)</f>
        <v>0.123498703829</v>
      </c>
      <c r="K462" s="11" t="n">
        <f aca="false">SUM(E462:I462)</f>
        <v>1</v>
      </c>
    </row>
    <row r="463" customFormat="false" ht="15" hidden="false" customHeight="false" outlineLevel="0" collapsed="false">
      <c r="A463" s="7" t="n">
        <v>2019</v>
      </c>
      <c r="B463" s="12" t="s">
        <v>74</v>
      </c>
      <c r="C463" s="12" t="s">
        <v>65</v>
      </c>
      <c r="D463" s="9" t="n">
        <f aca="false">SUMIFS(Data!$E$2:$E$2657,Data!$A$2:$A$2657,$A463,Data!$B$2:$B$2657,$B463)+SUMIFS(Data!$G$2:$G$2657,Data!$A$2:$A$2657,$A463,Data!$B$2:$B$2657,$B463)</f>
        <v>448.945891</v>
      </c>
      <c r="E463" s="10" t="n">
        <f aca="false">IFERROR((SUMIFS(Data!$E$2:$E$2657,Data!$A$2:$A$2657,$A463,Data!$B$2:$B$2657,$B463,Data!$D$2:$D$2657,"Transmission")+SUMIFS(Data!$G$2:$G$2657,Data!$A$2:$A$2657,$A463,Data!$B$2:$B$2657,$B463,Data!$D$2:$D$2657,"Transmission"))/$D463,0)</f>
        <v>0.196807483421204</v>
      </c>
      <c r="F463" s="10" t="n">
        <f aca="false">IFERROR((SUMIFS(Data!$E$2:$E$2657,Data!$A$2:$A$2657,$A463,Data!$B$2:$B$2657,$B463,Data!$D$2:$D$2657,"Distribution")+SUMIFS(Data!$G$2:$G$2657,Data!$A$2:$A$2657,$A463,Data!$B$2:$B$2657,$B463,Data!$D$2:$D$2657,"Distribution"))/$D463,0)</f>
        <v>0.254350070440894</v>
      </c>
      <c r="G463" s="10" t="n">
        <f aca="false">IFERROR((SUMIFS(Data!$E$2:$E$2657,Data!$A$2:$A$2657,$A463,Data!$B$2:$B$2657,$B463,Data!$D$2:$D$2657,"RTO/market operation")+SUMIFS(Data!$G$2:$G$2657,Data!$A$2:$A$2657,$A463,Data!$B$2:$B$2657,$B463,Data!$D$2:$D$2657,"RTO/market operation"))/$D463,0)</f>
        <v>0.0125648972695465</v>
      </c>
      <c r="H463" s="10" t="n">
        <f aca="false">IFERROR((SUMIFS(Data!$E$2:$E$2657,Data!$A$2:$A$2657,$A463,Data!$B$2:$B$2657,$B463,Data!$D$2:$D$2657,"Customer accounts, service &amp; sales")+SUMIFS(Data!$G$2:$G$2657,Data!$A$2:$A$2657,$A463,Data!$B$2:$B$2657,$B463,Data!$D$2:$D$2657,"Customer accounts, service &amp; sales"))/$D463,0)</f>
        <v>0.0413627619102098</v>
      </c>
      <c r="I463" s="10" t="n">
        <f aca="false">IFERROR((SUMIFS(Data!$E$2:$E$2657,Data!$A$2:$A$2657,$A463,Data!$B$2:$B$2657,$B463,Data!$D$2:$D$2657,"A&amp;G and general")+SUMIFS(Data!$G$2:$G$2657,Data!$A$2:$A$2657,$A463,Data!$B$2:$B$2657,$B463,Data!$D$2:$D$2657,"A&amp;G and general"))/$D463,0)</f>
        <v>0.494914786958146</v>
      </c>
      <c r="J463" s="10" t="n">
        <f aca="false">IFERROR(SUMIFS(Data!$F$2:$F$2657,Data!$A$2:$A$2657,$A463,Data!$B$2:$B$2657,$B463)/$D463,0)</f>
        <v>0</v>
      </c>
      <c r="K463" s="11" t="n">
        <f aca="false">SUM(E463:I463)</f>
        <v>1</v>
      </c>
    </row>
    <row r="464" customFormat="false" ht="15" hidden="false" customHeight="false" outlineLevel="0" collapsed="false">
      <c r="A464" s="7" t="n">
        <v>2019</v>
      </c>
      <c r="B464" s="12" t="s">
        <v>75</v>
      </c>
      <c r="C464" s="12" t="s">
        <v>57</v>
      </c>
      <c r="D464" s="9" t="n">
        <f aca="false">SUMIFS(Data!$E$2:$E$2657,Data!$A$2:$A$2657,$A464,Data!$B$2:$B$2657,$B464)+SUMIFS(Data!$G$2:$G$2657,Data!$A$2:$A$2657,$A464,Data!$B$2:$B$2657,$B464)</f>
        <v>1264.804751</v>
      </c>
      <c r="E464" s="10" t="n">
        <f aca="false">IFERROR((SUMIFS(Data!$E$2:$E$2657,Data!$A$2:$A$2657,$A464,Data!$B$2:$B$2657,$B464,Data!$D$2:$D$2657,"Transmission")+SUMIFS(Data!$G$2:$G$2657,Data!$A$2:$A$2657,$A464,Data!$B$2:$B$2657,$B464,Data!$D$2:$D$2657,"Transmission"))/$D464,0)</f>
        <v>0.363728330903463</v>
      </c>
      <c r="F464" s="10" t="n">
        <f aca="false">IFERROR((SUMIFS(Data!$E$2:$E$2657,Data!$A$2:$A$2657,$A464,Data!$B$2:$B$2657,$B464,Data!$D$2:$D$2657,"Distribution")+SUMIFS(Data!$G$2:$G$2657,Data!$A$2:$A$2657,$A464,Data!$B$2:$B$2657,$B464,Data!$D$2:$D$2657,"Distribution"))/$D464,0)</f>
        <v>0.188211903704337</v>
      </c>
      <c r="G464" s="10" t="n">
        <f aca="false">IFERROR((SUMIFS(Data!$E$2:$E$2657,Data!$A$2:$A$2657,$A464,Data!$B$2:$B$2657,$B464,Data!$D$2:$D$2657,"RTO/market operation")+SUMIFS(Data!$G$2:$G$2657,Data!$A$2:$A$2657,$A464,Data!$B$2:$B$2657,$B464,Data!$D$2:$D$2657,"RTO/market operation"))/$D464,0)</f>
        <v>0.00842126106150277</v>
      </c>
      <c r="H464" s="10" t="n">
        <f aca="false">IFERROR((SUMIFS(Data!$E$2:$E$2657,Data!$A$2:$A$2657,$A464,Data!$B$2:$B$2657,$B464,Data!$D$2:$D$2657,"Customer accounts, service &amp; sales")+SUMIFS(Data!$G$2:$G$2657,Data!$A$2:$A$2657,$A464,Data!$B$2:$B$2657,$B464,Data!$D$2:$D$2657,"Customer accounts, service &amp; sales"))/$D464,0)</f>
        <v>0.133417656651418</v>
      </c>
      <c r="I464" s="10" t="n">
        <f aca="false">IFERROR((SUMIFS(Data!$E$2:$E$2657,Data!$A$2:$A$2657,$A464,Data!$B$2:$B$2657,$B464,Data!$D$2:$D$2657,"A&amp;G and general")+SUMIFS(Data!$G$2:$G$2657,Data!$A$2:$A$2657,$A464,Data!$B$2:$B$2657,$B464,Data!$D$2:$D$2657,"A&amp;G and general"))/$D464,0)</f>
        <v>0.30622084767928</v>
      </c>
      <c r="J464" s="10" t="n">
        <f aca="false">IFERROR(SUMIFS(Data!$F$2:$F$2657,Data!$A$2:$A$2657,$A464,Data!$B$2:$B$2657,$B464)/$D464,0)</f>
        <v>0.266946520190609</v>
      </c>
      <c r="K464" s="11" t="n">
        <f aca="false">SUM(E464:I464)</f>
        <v>1</v>
      </c>
    </row>
    <row r="465" customFormat="false" ht="15" hidden="false" customHeight="false" outlineLevel="0" collapsed="false">
      <c r="A465" s="7" t="n">
        <v>2019</v>
      </c>
      <c r="B465" s="12" t="s">
        <v>76</v>
      </c>
      <c r="C465" s="12" t="s">
        <v>72</v>
      </c>
      <c r="D465" s="9" t="n">
        <f aca="false">SUMIFS(Data!$E$2:$E$2657,Data!$A$2:$A$2657,$A465,Data!$B$2:$B$2657,$B465)+SUMIFS(Data!$G$2:$G$2657,Data!$A$2:$A$2657,$A465,Data!$B$2:$B$2657,$B465)</f>
        <v>259.248587</v>
      </c>
      <c r="E465" s="10" t="n">
        <f aca="false">IFERROR((SUMIFS(Data!$E$2:$E$2657,Data!$A$2:$A$2657,$A465,Data!$B$2:$B$2657,$B465,Data!$D$2:$D$2657,"Transmission")+SUMIFS(Data!$G$2:$G$2657,Data!$A$2:$A$2657,$A465,Data!$B$2:$B$2657,$B465,Data!$D$2:$D$2657,"Transmission"))/$D465,0)</f>
        <v>0.415438387712408</v>
      </c>
      <c r="F465" s="10" t="n">
        <f aca="false">IFERROR((SUMIFS(Data!$E$2:$E$2657,Data!$A$2:$A$2657,$A465,Data!$B$2:$B$2657,$B465,Data!$D$2:$D$2657,"Distribution")+SUMIFS(Data!$G$2:$G$2657,Data!$A$2:$A$2657,$A465,Data!$B$2:$B$2657,$B465,Data!$D$2:$D$2657,"Distribution"))/$D465,0)</f>
        <v>0.240404866700392</v>
      </c>
      <c r="G465" s="10" t="n">
        <f aca="false">IFERROR((SUMIFS(Data!$E$2:$E$2657,Data!$A$2:$A$2657,$A465,Data!$B$2:$B$2657,$B465,Data!$D$2:$D$2657,"RTO/market operation")+SUMIFS(Data!$G$2:$G$2657,Data!$A$2:$A$2657,$A465,Data!$B$2:$B$2657,$B465,Data!$D$2:$D$2657,"RTO/market operation"))/$D465,0)</f>
        <v>0</v>
      </c>
      <c r="H465" s="10" t="n">
        <f aca="false">IFERROR((SUMIFS(Data!$E$2:$E$2657,Data!$A$2:$A$2657,$A465,Data!$B$2:$B$2657,$B465,Data!$D$2:$D$2657,"Customer accounts, service &amp; sales")+SUMIFS(Data!$G$2:$G$2657,Data!$A$2:$A$2657,$A465,Data!$B$2:$B$2657,$B465,Data!$D$2:$D$2657,"Customer accounts, service &amp; sales"))/$D465,0)</f>
        <v>0.0865562056081717</v>
      </c>
      <c r="I465" s="10" t="n">
        <f aca="false">IFERROR((SUMIFS(Data!$E$2:$E$2657,Data!$A$2:$A$2657,$A465,Data!$B$2:$B$2657,$B465,Data!$D$2:$D$2657,"A&amp;G and general")+SUMIFS(Data!$G$2:$G$2657,Data!$A$2:$A$2657,$A465,Data!$B$2:$B$2657,$B465,Data!$D$2:$D$2657,"A&amp;G and general"))/$D465,0)</f>
        <v>0.257600539979028</v>
      </c>
      <c r="J465" s="10" t="n">
        <f aca="false">IFERROR(SUMIFS(Data!$F$2:$F$2657,Data!$A$2:$A$2657,$A465,Data!$B$2:$B$2657,$B465)/$D465,0)</f>
        <v>0.236645779674008</v>
      </c>
      <c r="K465" s="11" t="n">
        <f aca="false">SUM(E465:I465)</f>
        <v>1</v>
      </c>
    </row>
    <row r="466" customFormat="false" ht="15" hidden="false" customHeight="false" outlineLevel="0" collapsed="false">
      <c r="A466" s="7" t="n">
        <v>2019</v>
      </c>
      <c r="B466" s="12" t="s">
        <v>77</v>
      </c>
      <c r="C466" s="12" t="s">
        <v>57</v>
      </c>
      <c r="D466" s="9" t="n">
        <f aca="false">SUMIFS(Data!$E$2:$E$2657,Data!$A$2:$A$2657,$A466,Data!$B$2:$B$2657,$B466)+SUMIFS(Data!$G$2:$G$2657,Data!$A$2:$A$2657,$A466,Data!$B$2:$B$2657,$B466)</f>
        <v>148.370463</v>
      </c>
      <c r="E466" s="10" t="n">
        <f aca="false">IFERROR((SUMIFS(Data!$E$2:$E$2657,Data!$A$2:$A$2657,$A466,Data!$B$2:$B$2657,$B466,Data!$D$2:$D$2657,"Transmission")+SUMIFS(Data!$G$2:$G$2657,Data!$A$2:$A$2657,$A466,Data!$B$2:$B$2657,$B466,Data!$D$2:$D$2657,"Transmission"))/$D466,0)</f>
        <v>0.270288702947567</v>
      </c>
      <c r="F466" s="10" t="n">
        <f aca="false">IFERROR((SUMIFS(Data!$E$2:$E$2657,Data!$A$2:$A$2657,$A466,Data!$B$2:$B$2657,$B466,Data!$D$2:$D$2657,"Distribution")+SUMIFS(Data!$G$2:$G$2657,Data!$A$2:$A$2657,$A466,Data!$B$2:$B$2657,$B466,Data!$D$2:$D$2657,"Distribution"))/$D466,0)</f>
        <v>0.204310698956301</v>
      </c>
      <c r="G466" s="10" t="n">
        <f aca="false">IFERROR((SUMIFS(Data!$E$2:$E$2657,Data!$A$2:$A$2657,$A466,Data!$B$2:$B$2657,$B466,Data!$D$2:$D$2657,"RTO/market operation")+SUMIFS(Data!$G$2:$G$2657,Data!$A$2:$A$2657,$A466,Data!$B$2:$B$2657,$B466,Data!$D$2:$D$2657,"RTO/market operation"))/$D466,0)</f>
        <v>0.00651083767258986</v>
      </c>
      <c r="H466" s="10" t="n">
        <f aca="false">IFERROR((SUMIFS(Data!$E$2:$E$2657,Data!$A$2:$A$2657,$A466,Data!$B$2:$B$2657,$B466,Data!$D$2:$D$2657,"Customer accounts, service &amp; sales")+SUMIFS(Data!$G$2:$G$2657,Data!$A$2:$A$2657,$A466,Data!$B$2:$B$2657,$B466,Data!$D$2:$D$2657,"Customer accounts, service &amp; sales"))/$D466,0)</f>
        <v>0.170962572247281</v>
      </c>
      <c r="I466" s="10" t="n">
        <f aca="false">IFERROR((SUMIFS(Data!$E$2:$E$2657,Data!$A$2:$A$2657,$A466,Data!$B$2:$B$2657,$B466,Data!$D$2:$D$2657,"A&amp;G and general")+SUMIFS(Data!$G$2:$G$2657,Data!$A$2:$A$2657,$A466,Data!$B$2:$B$2657,$B466,Data!$D$2:$D$2657,"A&amp;G and general"))/$D466,0)</f>
        <v>0.347927188176261</v>
      </c>
      <c r="J466" s="10" t="n">
        <f aca="false">IFERROR(SUMIFS(Data!$F$2:$F$2657,Data!$A$2:$A$2657,$A466,Data!$B$2:$B$2657,$B466)/$D466,0)</f>
        <v>0.142605351309041</v>
      </c>
      <c r="K466" s="11" t="n">
        <f aca="false">SUM(E466:I466)</f>
        <v>1</v>
      </c>
    </row>
    <row r="467" customFormat="false" ht="15" hidden="false" customHeight="false" outlineLevel="0" collapsed="false">
      <c r="A467" s="7" t="n">
        <v>2019</v>
      </c>
      <c r="B467" s="12" t="s">
        <v>78</v>
      </c>
      <c r="C467" s="12" t="s">
        <v>65</v>
      </c>
      <c r="D467" s="9" t="n">
        <f aca="false">SUMIFS(Data!$E$2:$E$2657,Data!$A$2:$A$2657,$A467,Data!$B$2:$B$2657,$B467)+SUMIFS(Data!$G$2:$G$2657,Data!$A$2:$A$2657,$A467,Data!$B$2:$B$2657,$B467)</f>
        <v>157.204213</v>
      </c>
      <c r="E467" s="10" t="n">
        <f aca="false">IFERROR((SUMIFS(Data!$E$2:$E$2657,Data!$A$2:$A$2657,$A467,Data!$B$2:$B$2657,$B467,Data!$D$2:$D$2657,"Transmission")+SUMIFS(Data!$G$2:$G$2657,Data!$A$2:$A$2657,$A467,Data!$B$2:$B$2657,$B467,Data!$D$2:$D$2657,"Transmission"))/$D467,0)</f>
        <v>0.200299962698837</v>
      </c>
      <c r="F467" s="10" t="n">
        <f aca="false">IFERROR((SUMIFS(Data!$E$2:$E$2657,Data!$A$2:$A$2657,$A467,Data!$B$2:$B$2657,$B467,Data!$D$2:$D$2657,"Distribution")+SUMIFS(Data!$G$2:$G$2657,Data!$A$2:$A$2657,$A467,Data!$B$2:$B$2657,$B467,Data!$D$2:$D$2657,"Distribution"))/$D467,0)</f>
        <v>0.250554538255282</v>
      </c>
      <c r="G467" s="10" t="n">
        <f aca="false">IFERROR((SUMIFS(Data!$E$2:$E$2657,Data!$A$2:$A$2657,$A467,Data!$B$2:$B$2657,$B467,Data!$D$2:$D$2657,"RTO/market operation")+SUMIFS(Data!$G$2:$G$2657,Data!$A$2:$A$2657,$A467,Data!$B$2:$B$2657,$B467,Data!$D$2:$D$2657,"RTO/market operation"))/$D467,0)</f>
        <v>0</v>
      </c>
      <c r="H467" s="10" t="n">
        <f aca="false">IFERROR((SUMIFS(Data!$E$2:$E$2657,Data!$A$2:$A$2657,$A467,Data!$B$2:$B$2657,$B467,Data!$D$2:$D$2657,"Customer accounts, service &amp; sales")+SUMIFS(Data!$G$2:$G$2657,Data!$A$2:$A$2657,$A467,Data!$B$2:$B$2657,$B467,Data!$D$2:$D$2657,"Customer accounts, service &amp; sales"))/$D467,0)</f>
        <v>0.105220411618358</v>
      </c>
      <c r="I467" s="10" t="n">
        <f aca="false">IFERROR((SUMIFS(Data!$E$2:$E$2657,Data!$A$2:$A$2657,$A467,Data!$B$2:$B$2657,$B467,Data!$D$2:$D$2657,"A&amp;G and general")+SUMIFS(Data!$G$2:$G$2657,Data!$A$2:$A$2657,$A467,Data!$B$2:$B$2657,$B467,Data!$D$2:$D$2657,"A&amp;G and general"))/$D467,0)</f>
        <v>0.443925087427523</v>
      </c>
      <c r="J467" s="10" t="n">
        <f aca="false">IFERROR(SUMIFS(Data!$F$2:$F$2657,Data!$A$2:$A$2657,$A467,Data!$B$2:$B$2657,$B467)/$D467,0)</f>
        <v>0</v>
      </c>
      <c r="K467" s="11" t="n">
        <f aca="false">SUM(E467:I467)</f>
        <v>1</v>
      </c>
    </row>
    <row r="468" customFormat="false" ht="15" hidden="false" customHeight="false" outlineLevel="0" collapsed="false">
      <c r="A468" s="7" t="n">
        <v>2019</v>
      </c>
      <c r="B468" s="12" t="s">
        <v>79</v>
      </c>
      <c r="C468" s="12" t="s">
        <v>72</v>
      </c>
      <c r="D468" s="9" t="n">
        <f aca="false">SUMIFS(Data!$E$2:$E$2657,Data!$A$2:$A$2657,$A468,Data!$B$2:$B$2657,$B468)+SUMIFS(Data!$G$2:$G$2657,Data!$A$2:$A$2657,$A468,Data!$B$2:$B$2657,$B468)</f>
        <v>907.848618</v>
      </c>
      <c r="E468" s="10" t="n">
        <f aca="false">IFERROR((SUMIFS(Data!$E$2:$E$2657,Data!$A$2:$A$2657,$A468,Data!$B$2:$B$2657,$B468,Data!$D$2:$D$2657,"Transmission")+SUMIFS(Data!$G$2:$G$2657,Data!$A$2:$A$2657,$A468,Data!$B$2:$B$2657,$B468,Data!$D$2:$D$2657,"Transmission"))/$D468,0)</f>
        <v>0.466813301906684</v>
      </c>
      <c r="F468" s="10" t="n">
        <f aca="false">IFERROR((SUMIFS(Data!$E$2:$E$2657,Data!$A$2:$A$2657,$A468,Data!$B$2:$B$2657,$B468,Data!$D$2:$D$2657,"Distribution")+SUMIFS(Data!$G$2:$G$2657,Data!$A$2:$A$2657,$A468,Data!$B$2:$B$2657,$B468,Data!$D$2:$D$2657,"Distribution"))/$D468,0)</f>
        <v>0.227193945015181</v>
      </c>
      <c r="G468" s="10" t="n">
        <f aca="false">IFERROR((SUMIFS(Data!$E$2:$E$2657,Data!$A$2:$A$2657,$A468,Data!$B$2:$B$2657,$B468,Data!$D$2:$D$2657,"RTO/market operation")+SUMIFS(Data!$G$2:$G$2657,Data!$A$2:$A$2657,$A468,Data!$B$2:$B$2657,$B468,Data!$D$2:$D$2657,"RTO/market operation"))/$D468,0)</f>
        <v>0.00585924667894356</v>
      </c>
      <c r="H468" s="10" t="n">
        <f aca="false">IFERROR((SUMIFS(Data!$E$2:$E$2657,Data!$A$2:$A$2657,$A468,Data!$B$2:$B$2657,$B468,Data!$D$2:$D$2657,"Customer accounts, service &amp; sales")+SUMIFS(Data!$G$2:$G$2657,Data!$A$2:$A$2657,$A468,Data!$B$2:$B$2657,$B468,Data!$D$2:$D$2657,"Customer accounts, service &amp; sales"))/$D468,0)</f>
        <v>0.119545630018242</v>
      </c>
      <c r="I468" s="10" t="n">
        <f aca="false">IFERROR((SUMIFS(Data!$E$2:$E$2657,Data!$A$2:$A$2657,$A468,Data!$B$2:$B$2657,$B468,Data!$D$2:$D$2657,"A&amp;G and general")+SUMIFS(Data!$G$2:$G$2657,Data!$A$2:$A$2657,$A468,Data!$B$2:$B$2657,$B468,Data!$D$2:$D$2657,"A&amp;G and general"))/$D468,0)</f>
        <v>0.18058787638095</v>
      </c>
      <c r="J468" s="10" t="n">
        <f aca="false">IFERROR(SUMIFS(Data!$F$2:$F$2657,Data!$A$2:$A$2657,$A468,Data!$B$2:$B$2657,$B468)/$D468,0)</f>
        <v>0.461049973201589</v>
      </c>
      <c r="K468" s="11" t="n">
        <f aca="false">SUM(E468:I468)</f>
        <v>1</v>
      </c>
    </row>
    <row r="469" customFormat="false" ht="15" hidden="false" customHeight="false" outlineLevel="0" collapsed="false">
      <c r="A469" s="7" t="n">
        <v>2019</v>
      </c>
      <c r="B469" s="12" t="s">
        <v>80</v>
      </c>
      <c r="C469" s="12" t="s">
        <v>72</v>
      </c>
      <c r="D469" s="9" t="n">
        <f aca="false">SUMIFS(Data!$E$2:$E$2657,Data!$A$2:$A$2657,$A469,Data!$B$2:$B$2657,$B469)+SUMIFS(Data!$G$2:$G$2657,Data!$A$2:$A$2657,$A469,Data!$B$2:$B$2657,$B469)</f>
        <v>412.083273</v>
      </c>
      <c r="E469" s="10" t="n">
        <f aca="false">IFERROR((SUMIFS(Data!$E$2:$E$2657,Data!$A$2:$A$2657,$A469,Data!$B$2:$B$2657,$B469,Data!$D$2:$D$2657,"Transmission")+SUMIFS(Data!$G$2:$G$2657,Data!$A$2:$A$2657,$A469,Data!$B$2:$B$2657,$B469,Data!$D$2:$D$2657,"Transmission"))/$D469,0)</f>
        <v>0.348378093473355</v>
      </c>
      <c r="F469" s="10" t="n">
        <f aca="false">IFERROR((SUMIFS(Data!$E$2:$E$2657,Data!$A$2:$A$2657,$A469,Data!$B$2:$B$2657,$B469,Data!$D$2:$D$2657,"Distribution")+SUMIFS(Data!$G$2:$G$2657,Data!$A$2:$A$2657,$A469,Data!$B$2:$B$2657,$B469,Data!$D$2:$D$2657,"Distribution"))/$D469,0)</f>
        <v>0.227680335862601</v>
      </c>
      <c r="G469" s="10" t="n">
        <f aca="false">IFERROR((SUMIFS(Data!$E$2:$E$2657,Data!$A$2:$A$2657,$A469,Data!$B$2:$B$2657,$B469,Data!$D$2:$D$2657,"RTO/market operation")+SUMIFS(Data!$G$2:$G$2657,Data!$A$2:$A$2657,$A469,Data!$B$2:$B$2657,$B469,Data!$D$2:$D$2657,"RTO/market operation"))/$D469,0)</f>
        <v>0.00571274583135045</v>
      </c>
      <c r="H469" s="10" t="n">
        <f aca="false">IFERROR((SUMIFS(Data!$E$2:$E$2657,Data!$A$2:$A$2657,$A469,Data!$B$2:$B$2657,$B469,Data!$D$2:$D$2657,"Customer accounts, service &amp; sales")+SUMIFS(Data!$G$2:$G$2657,Data!$A$2:$A$2657,$A469,Data!$B$2:$B$2657,$B469,Data!$D$2:$D$2657,"Customer accounts, service &amp; sales"))/$D469,0)</f>
        <v>0.0904224205188741</v>
      </c>
      <c r="I469" s="10" t="n">
        <f aca="false">IFERROR((SUMIFS(Data!$E$2:$E$2657,Data!$A$2:$A$2657,$A469,Data!$B$2:$B$2657,$B469,Data!$D$2:$D$2657,"A&amp;G and general")+SUMIFS(Data!$G$2:$G$2657,Data!$A$2:$A$2657,$A469,Data!$B$2:$B$2657,$B469,Data!$D$2:$D$2657,"A&amp;G and general"))/$D469,0)</f>
        <v>0.327806404313819</v>
      </c>
      <c r="J469" s="10" t="n">
        <f aca="false">IFERROR(SUMIFS(Data!$F$2:$F$2657,Data!$A$2:$A$2657,$A469,Data!$B$2:$B$2657,$B469)/$D469,0)</f>
        <v>0.342654306184372</v>
      </c>
      <c r="K469" s="11" t="n">
        <f aca="false">SUM(E469:I469)</f>
        <v>1</v>
      </c>
    </row>
    <row r="470" customFormat="false" ht="15" hidden="false" customHeight="false" outlineLevel="0" collapsed="false">
      <c r="A470" s="7" t="n">
        <v>2019</v>
      </c>
      <c r="B470" s="12" t="s">
        <v>81</v>
      </c>
      <c r="C470" s="12" t="s">
        <v>72</v>
      </c>
      <c r="D470" s="9" t="n">
        <f aca="false">SUMIFS(Data!$E$2:$E$2657,Data!$A$2:$A$2657,$A470,Data!$B$2:$B$2657,$B470)+SUMIFS(Data!$G$2:$G$2657,Data!$A$2:$A$2657,$A470,Data!$B$2:$B$2657,$B470)</f>
        <v>291.028285</v>
      </c>
      <c r="E470" s="10" t="n">
        <f aca="false">IFERROR((SUMIFS(Data!$E$2:$E$2657,Data!$A$2:$A$2657,$A470,Data!$B$2:$B$2657,$B470,Data!$D$2:$D$2657,"Transmission")+SUMIFS(Data!$G$2:$G$2657,Data!$A$2:$A$2657,$A470,Data!$B$2:$B$2657,$B470,Data!$D$2:$D$2657,"Transmission"))/$D470,0)</f>
        <v>0.519905812591378</v>
      </c>
      <c r="F470" s="10" t="n">
        <f aca="false">IFERROR((SUMIFS(Data!$E$2:$E$2657,Data!$A$2:$A$2657,$A470,Data!$B$2:$B$2657,$B470,Data!$D$2:$D$2657,"Distribution")+SUMIFS(Data!$G$2:$G$2657,Data!$A$2:$A$2657,$A470,Data!$B$2:$B$2657,$B470,Data!$D$2:$D$2657,"Distribution"))/$D470,0)</f>
        <v>0.256437737658386</v>
      </c>
      <c r="G470" s="10" t="n">
        <f aca="false">IFERROR((SUMIFS(Data!$E$2:$E$2657,Data!$A$2:$A$2657,$A470,Data!$B$2:$B$2657,$B470,Data!$D$2:$D$2657,"RTO/market operation")+SUMIFS(Data!$G$2:$G$2657,Data!$A$2:$A$2657,$A470,Data!$B$2:$B$2657,$B470,Data!$D$2:$D$2657,"RTO/market operation"))/$D470,0)</f>
        <v>0.007698691555015</v>
      </c>
      <c r="H470" s="10" t="n">
        <f aca="false">IFERROR((SUMIFS(Data!$E$2:$E$2657,Data!$A$2:$A$2657,$A470,Data!$B$2:$B$2657,$B470,Data!$D$2:$D$2657,"Customer accounts, service &amp; sales")+SUMIFS(Data!$G$2:$G$2657,Data!$A$2:$A$2657,$A470,Data!$B$2:$B$2657,$B470,Data!$D$2:$D$2657,"Customer accounts, service &amp; sales"))/$D470,0)</f>
        <v>0.112930246625341</v>
      </c>
      <c r="I470" s="10" t="n">
        <f aca="false">IFERROR((SUMIFS(Data!$E$2:$E$2657,Data!$A$2:$A$2657,$A470,Data!$B$2:$B$2657,$B470,Data!$D$2:$D$2657,"A&amp;G and general")+SUMIFS(Data!$G$2:$G$2657,Data!$A$2:$A$2657,$A470,Data!$B$2:$B$2657,$B470,Data!$D$2:$D$2657,"A&amp;G and general"))/$D470,0)</f>
        <v>0.103027511569881</v>
      </c>
      <c r="J470" s="10" t="n">
        <f aca="false">IFERROR(SUMIFS(Data!$F$2:$F$2657,Data!$A$2:$A$2657,$A470,Data!$B$2:$B$2657,$B470)/$D470,0)</f>
        <v>0.497774084055095</v>
      </c>
      <c r="K470" s="11" t="n">
        <f aca="false">SUM(E470:I470)</f>
        <v>1</v>
      </c>
    </row>
    <row r="471" customFormat="false" ht="15" hidden="false" customHeight="false" outlineLevel="0" collapsed="false">
      <c r="A471" s="7" t="n">
        <v>2020</v>
      </c>
      <c r="B471" s="12" t="s">
        <v>56</v>
      </c>
      <c r="C471" s="12" t="s">
        <v>57</v>
      </c>
      <c r="D471" s="9" t="n">
        <f aca="false">SUMIFS(Data!$E$2:$E$2657,Data!$A$2:$A$2657,$A471,Data!$B$2:$B$2657,$B471)+SUMIFS(Data!$G$2:$G$2657,Data!$A$2:$A$2657,$A471,Data!$B$2:$B$2657,$B471)</f>
        <v>246.963944</v>
      </c>
      <c r="E471" s="10" t="n">
        <f aca="false">IFERROR((SUMIFS(Data!$E$2:$E$2657,Data!$A$2:$A$2657,$A471,Data!$B$2:$B$2657,$B471,Data!$D$2:$D$2657,"Transmission")+SUMIFS(Data!$G$2:$G$2657,Data!$A$2:$A$2657,$A471,Data!$B$2:$B$2657,$B471,Data!$D$2:$D$2657,"Transmission"))/$D471,0)</f>
        <v>0.442577204711308</v>
      </c>
      <c r="F471" s="10" t="n">
        <f aca="false">IFERROR((SUMIFS(Data!$E$2:$E$2657,Data!$A$2:$A$2657,$A471,Data!$B$2:$B$2657,$B471,Data!$D$2:$D$2657,"Distribution")+SUMIFS(Data!$G$2:$G$2657,Data!$A$2:$A$2657,$A471,Data!$B$2:$B$2657,$B471,Data!$D$2:$D$2657,"Distribution"))/$D471,0)</f>
        <v>0.171985684679542</v>
      </c>
      <c r="G471" s="10" t="n">
        <f aca="false">IFERROR((SUMIFS(Data!$E$2:$E$2657,Data!$A$2:$A$2657,$A471,Data!$B$2:$B$2657,$B471,Data!$D$2:$D$2657,"RTO/market operation")+SUMIFS(Data!$G$2:$G$2657,Data!$A$2:$A$2657,$A471,Data!$B$2:$B$2657,$B471,Data!$D$2:$D$2657,"RTO/market operation"))/$D471,0)</f>
        <v>0</v>
      </c>
      <c r="H471" s="10" t="n">
        <f aca="false">IFERROR((SUMIFS(Data!$E$2:$E$2657,Data!$A$2:$A$2657,$A471,Data!$B$2:$B$2657,$B471,Data!$D$2:$D$2657,"Customer accounts, service &amp; sales")+SUMIFS(Data!$G$2:$G$2657,Data!$A$2:$A$2657,$A471,Data!$B$2:$B$2657,$B471,Data!$D$2:$D$2657,"Customer accounts, service &amp; sales"))/$D471,0)</f>
        <v>0.0511953599186123</v>
      </c>
      <c r="I471" s="10" t="n">
        <f aca="false">IFERROR((SUMIFS(Data!$E$2:$E$2657,Data!$A$2:$A$2657,$A471,Data!$B$2:$B$2657,$B471,Data!$D$2:$D$2657,"A&amp;G and general")+SUMIFS(Data!$G$2:$G$2657,Data!$A$2:$A$2657,$A471,Data!$B$2:$B$2657,$B471,Data!$D$2:$D$2657,"A&amp;G and general"))/$D471,0)</f>
        <v>0.334241750690538</v>
      </c>
      <c r="J471" s="10" t="n">
        <f aca="false">IFERROR(SUMIFS(Data!$F$2:$F$2657,Data!$A$2:$A$2657,$A471,Data!$B$2:$B$2657,$B471)/$D471,0)</f>
        <v>0.263623770116013</v>
      </c>
      <c r="K471" s="11" t="n">
        <f aca="false">SUM(E471:I471)</f>
        <v>1</v>
      </c>
    </row>
    <row r="472" customFormat="false" ht="15" hidden="false" customHeight="false" outlineLevel="0" collapsed="false">
      <c r="A472" s="7" t="n">
        <v>2020</v>
      </c>
      <c r="B472" s="12" t="s">
        <v>58</v>
      </c>
      <c r="C472" s="12" t="s">
        <v>59</v>
      </c>
      <c r="D472" s="9" t="n">
        <f aca="false">SUMIFS(Data!$E$2:$E$2657,Data!$A$2:$A$2657,$A472,Data!$B$2:$B$2657,$B472)+SUMIFS(Data!$G$2:$G$2657,Data!$A$2:$A$2657,$A472,Data!$B$2:$B$2657,$B472)</f>
        <v>887.773788</v>
      </c>
      <c r="E472" s="10" t="n">
        <f aca="false">IFERROR((SUMIFS(Data!$E$2:$E$2657,Data!$A$2:$A$2657,$A472,Data!$B$2:$B$2657,$B472,Data!$D$2:$D$2657,"Transmission")+SUMIFS(Data!$G$2:$G$2657,Data!$A$2:$A$2657,$A472,Data!$B$2:$B$2657,$B472,Data!$D$2:$D$2657,"Transmission"))/$D472,0)</f>
        <v>0.131565530069469</v>
      </c>
      <c r="F472" s="10" t="n">
        <f aca="false">IFERROR((SUMIFS(Data!$E$2:$E$2657,Data!$A$2:$A$2657,$A472,Data!$B$2:$B$2657,$B472,Data!$D$2:$D$2657,"Distribution")+SUMIFS(Data!$G$2:$G$2657,Data!$A$2:$A$2657,$A472,Data!$B$2:$B$2657,$B472,Data!$D$2:$D$2657,"Distribution"))/$D472,0)</f>
        <v>0.551940039932785</v>
      </c>
      <c r="G472" s="10" t="n">
        <f aca="false">IFERROR((SUMIFS(Data!$E$2:$E$2657,Data!$A$2:$A$2657,$A472,Data!$B$2:$B$2657,$B472,Data!$D$2:$D$2657,"RTO/market operation")+SUMIFS(Data!$G$2:$G$2657,Data!$A$2:$A$2657,$A472,Data!$B$2:$B$2657,$B472,Data!$D$2:$D$2657,"RTO/market operation"))/$D472,0)</f>
        <v>0.000948623412161387</v>
      </c>
      <c r="H472" s="10" t="n">
        <f aca="false">IFERROR((SUMIFS(Data!$E$2:$E$2657,Data!$A$2:$A$2657,$A472,Data!$B$2:$B$2657,$B472,Data!$D$2:$D$2657,"Customer accounts, service &amp; sales")+SUMIFS(Data!$G$2:$G$2657,Data!$A$2:$A$2657,$A472,Data!$B$2:$B$2657,$B472,Data!$D$2:$D$2657,"Customer accounts, service &amp; sales"))/$D472,0)</f>
        <v>0.0866663332934538</v>
      </c>
      <c r="I472" s="10" t="n">
        <f aca="false">IFERROR((SUMIFS(Data!$E$2:$E$2657,Data!$A$2:$A$2657,$A472,Data!$B$2:$B$2657,$B472,Data!$D$2:$D$2657,"A&amp;G and general")+SUMIFS(Data!$G$2:$G$2657,Data!$A$2:$A$2657,$A472,Data!$B$2:$B$2657,$B472,Data!$D$2:$D$2657,"A&amp;G and general"))/$D472,0)</f>
        <v>0.228879473292131</v>
      </c>
      <c r="J472" s="10" t="n">
        <f aca="false">IFERROR(SUMIFS(Data!$F$2:$F$2657,Data!$A$2:$A$2657,$A472,Data!$B$2:$B$2657,$B472)/$D472,0)</f>
        <v>0.0289360030080095</v>
      </c>
      <c r="K472" s="11" t="n">
        <f aca="false">SUM(E472:I472)</f>
        <v>1</v>
      </c>
    </row>
    <row r="473" customFormat="false" ht="15" hidden="false" customHeight="false" outlineLevel="0" collapsed="false">
      <c r="A473" s="7" t="n">
        <v>2020</v>
      </c>
      <c r="B473" s="12" t="s">
        <v>60</v>
      </c>
      <c r="C473" s="12" t="s">
        <v>59</v>
      </c>
      <c r="D473" s="9" t="n">
        <f aca="false">SUMIFS(Data!$E$2:$E$2657,Data!$A$2:$A$2657,$A473,Data!$B$2:$B$2657,$B473)+SUMIFS(Data!$G$2:$G$2657,Data!$A$2:$A$2657,$A473,Data!$B$2:$B$2657,$B473)</f>
        <v>2614.504235</v>
      </c>
      <c r="E473" s="10" t="n">
        <f aca="false">IFERROR((SUMIFS(Data!$E$2:$E$2657,Data!$A$2:$A$2657,$A473,Data!$B$2:$B$2657,$B473,Data!$D$2:$D$2657,"Transmission")+SUMIFS(Data!$G$2:$G$2657,Data!$A$2:$A$2657,$A473,Data!$B$2:$B$2657,$B473,Data!$D$2:$D$2657,"Transmission"))/$D473,0)</f>
        <v>0.219283641359258</v>
      </c>
      <c r="F473" s="10" t="n">
        <f aca="false">IFERROR((SUMIFS(Data!$E$2:$E$2657,Data!$A$2:$A$2657,$A473,Data!$B$2:$B$2657,$B473,Data!$D$2:$D$2657,"Distribution")+SUMIFS(Data!$G$2:$G$2657,Data!$A$2:$A$2657,$A473,Data!$B$2:$B$2657,$B473,Data!$D$2:$D$2657,"Distribution"))/$D473,0)</f>
        <v>0.437602480303498</v>
      </c>
      <c r="G473" s="10" t="n">
        <f aca="false">IFERROR((SUMIFS(Data!$E$2:$E$2657,Data!$A$2:$A$2657,$A473,Data!$B$2:$B$2657,$B473,Data!$D$2:$D$2657,"RTO/market operation")+SUMIFS(Data!$G$2:$G$2657,Data!$A$2:$A$2657,$A473,Data!$B$2:$B$2657,$B473,Data!$D$2:$D$2657,"RTO/market operation"))/$D473,0)</f>
        <v>0.00211514172590353</v>
      </c>
      <c r="H473" s="10" t="n">
        <f aca="false">IFERROR((SUMIFS(Data!$E$2:$E$2657,Data!$A$2:$A$2657,$A473,Data!$B$2:$B$2657,$B473,Data!$D$2:$D$2657,"Customer accounts, service &amp; sales")+SUMIFS(Data!$G$2:$G$2657,Data!$A$2:$A$2657,$A473,Data!$B$2:$B$2657,$B473,Data!$D$2:$D$2657,"Customer accounts, service &amp; sales"))/$D473,0)</f>
        <v>0.0988611139120989</v>
      </c>
      <c r="I473" s="10" t="n">
        <f aca="false">IFERROR((SUMIFS(Data!$E$2:$E$2657,Data!$A$2:$A$2657,$A473,Data!$B$2:$B$2657,$B473,Data!$D$2:$D$2657,"A&amp;G and general")+SUMIFS(Data!$G$2:$G$2657,Data!$A$2:$A$2657,$A473,Data!$B$2:$B$2657,$B473,Data!$D$2:$D$2657,"A&amp;G and general"))/$D473,0)</f>
        <v>0.242137622699242</v>
      </c>
      <c r="J473" s="10" t="n">
        <f aca="false">IFERROR(SUMIFS(Data!$F$2:$F$2657,Data!$A$2:$A$2657,$A473,Data!$B$2:$B$2657,$B473)/$D473,0)</f>
        <v>0.00395924965866426</v>
      </c>
      <c r="K473" s="11" t="n">
        <f aca="false">SUM(E473:I473)</f>
        <v>1</v>
      </c>
    </row>
    <row r="474" customFormat="false" ht="15" hidden="false" customHeight="false" outlineLevel="0" collapsed="false">
      <c r="A474" s="7" t="n">
        <v>2020</v>
      </c>
      <c r="B474" s="12" t="s">
        <v>61</v>
      </c>
      <c r="C474" s="12" t="s">
        <v>62</v>
      </c>
      <c r="D474" s="9" t="n">
        <f aca="false">SUMIFS(Data!$E$2:$E$2657,Data!$A$2:$A$2657,$A474,Data!$B$2:$B$2657,$B474)+SUMIFS(Data!$G$2:$G$2657,Data!$A$2:$A$2657,$A474,Data!$B$2:$B$2657,$B474)</f>
        <v>1294.373865</v>
      </c>
      <c r="E474" s="10" t="n">
        <f aca="false">IFERROR((SUMIFS(Data!$E$2:$E$2657,Data!$A$2:$A$2657,$A474,Data!$B$2:$B$2657,$B474,Data!$D$2:$D$2657,"Transmission")+SUMIFS(Data!$G$2:$G$2657,Data!$A$2:$A$2657,$A474,Data!$B$2:$B$2657,$B474,Data!$D$2:$D$2657,"Transmission"))/$D474,0)</f>
        <v>0.293179596143963</v>
      </c>
      <c r="F474" s="10" t="n">
        <f aca="false">IFERROR((SUMIFS(Data!$E$2:$E$2657,Data!$A$2:$A$2657,$A474,Data!$B$2:$B$2657,$B474,Data!$D$2:$D$2657,"Distribution")+SUMIFS(Data!$G$2:$G$2657,Data!$A$2:$A$2657,$A474,Data!$B$2:$B$2657,$B474,Data!$D$2:$D$2657,"Distribution"))/$D474,0)</f>
        <v>0.371193012306379</v>
      </c>
      <c r="G474" s="10" t="n">
        <f aca="false">IFERROR((SUMIFS(Data!$E$2:$E$2657,Data!$A$2:$A$2657,$A474,Data!$B$2:$B$2657,$B474,Data!$D$2:$D$2657,"RTO/market operation")+SUMIFS(Data!$G$2:$G$2657,Data!$A$2:$A$2657,$A474,Data!$B$2:$B$2657,$B474,Data!$D$2:$D$2657,"RTO/market operation"))/$D474,0)</f>
        <v>0.00609641480979686</v>
      </c>
      <c r="H474" s="10" t="n">
        <f aca="false">IFERROR((SUMIFS(Data!$E$2:$E$2657,Data!$A$2:$A$2657,$A474,Data!$B$2:$B$2657,$B474,Data!$D$2:$D$2657,"Customer accounts, service &amp; sales")+SUMIFS(Data!$G$2:$G$2657,Data!$A$2:$A$2657,$A474,Data!$B$2:$B$2657,$B474,Data!$D$2:$D$2657,"Customer accounts, service &amp; sales"))/$D474,0)</f>
        <v>0.191013513703786</v>
      </c>
      <c r="I474" s="10" t="n">
        <f aca="false">IFERROR((SUMIFS(Data!$E$2:$E$2657,Data!$A$2:$A$2657,$A474,Data!$B$2:$B$2657,$B474,Data!$D$2:$D$2657,"A&amp;G and general")+SUMIFS(Data!$G$2:$G$2657,Data!$A$2:$A$2657,$A474,Data!$B$2:$B$2657,$B474,Data!$D$2:$D$2657,"A&amp;G and general"))/$D474,0)</f>
        <v>0.138517463036076</v>
      </c>
      <c r="J474" s="10" t="n">
        <f aca="false">IFERROR(SUMIFS(Data!$F$2:$F$2657,Data!$A$2:$A$2657,$A474,Data!$B$2:$B$2657,$B474)/$D474,0)</f>
        <v>0.282965838467389</v>
      </c>
      <c r="K474" s="11" t="n">
        <f aca="false">SUM(E474:I474)</f>
        <v>1</v>
      </c>
    </row>
    <row r="475" customFormat="false" ht="15" hidden="false" customHeight="false" outlineLevel="0" collapsed="false">
      <c r="A475" s="7" t="n">
        <v>2020</v>
      </c>
      <c r="B475" s="12" t="s">
        <v>63</v>
      </c>
      <c r="C475" s="12" t="s">
        <v>62</v>
      </c>
      <c r="D475" s="9" t="n">
        <f aca="false">SUMIFS(Data!$E$2:$E$2657,Data!$A$2:$A$2657,$A475,Data!$B$2:$B$2657,$B475)+SUMIFS(Data!$G$2:$G$2657,Data!$A$2:$A$2657,$A475,Data!$B$2:$B$2657,$B475)</f>
        <v>1957.066371</v>
      </c>
      <c r="E475" s="10" t="n">
        <f aca="false">IFERROR((SUMIFS(Data!$E$2:$E$2657,Data!$A$2:$A$2657,$A475,Data!$B$2:$B$2657,$B475,Data!$D$2:$D$2657,"Transmission")+SUMIFS(Data!$G$2:$G$2657,Data!$A$2:$A$2657,$A475,Data!$B$2:$B$2657,$B475,Data!$D$2:$D$2657,"Transmission"))/$D475,0)</f>
        <v>0.181814331017392</v>
      </c>
      <c r="F475" s="10" t="n">
        <f aca="false">IFERROR((SUMIFS(Data!$E$2:$E$2657,Data!$A$2:$A$2657,$A475,Data!$B$2:$B$2657,$B475,Data!$D$2:$D$2657,"Distribution")+SUMIFS(Data!$G$2:$G$2657,Data!$A$2:$A$2657,$A475,Data!$B$2:$B$2657,$B475,Data!$D$2:$D$2657,"Distribution"))/$D475,0)</f>
        <v>0.358393906508958</v>
      </c>
      <c r="G475" s="10" t="n">
        <f aca="false">IFERROR((SUMIFS(Data!$E$2:$E$2657,Data!$A$2:$A$2657,$A475,Data!$B$2:$B$2657,$B475,Data!$D$2:$D$2657,"RTO/market operation")+SUMIFS(Data!$G$2:$G$2657,Data!$A$2:$A$2657,$A475,Data!$B$2:$B$2657,$B475,Data!$D$2:$D$2657,"RTO/market operation"))/$D475,0)</f>
        <v>0.00439680285119978</v>
      </c>
      <c r="H475" s="10" t="n">
        <f aca="false">IFERROR((SUMIFS(Data!$E$2:$E$2657,Data!$A$2:$A$2657,$A475,Data!$B$2:$B$2657,$B475,Data!$D$2:$D$2657,"Customer accounts, service &amp; sales")+SUMIFS(Data!$G$2:$G$2657,Data!$A$2:$A$2657,$A475,Data!$B$2:$B$2657,$B475,Data!$D$2:$D$2657,"Customer accounts, service &amp; sales"))/$D475,0)</f>
        <v>0.158473224820437</v>
      </c>
      <c r="I475" s="10" t="n">
        <f aca="false">IFERROR((SUMIFS(Data!$E$2:$E$2657,Data!$A$2:$A$2657,$A475,Data!$B$2:$B$2657,$B475,Data!$D$2:$D$2657,"A&amp;G and general")+SUMIFS(Data!$G$2:$G$2657,Data!$A$2:$A$2657,$A475,Data!$B$2:$B$2657,$B475,Data!$D$2:$D$2657,"A&amp;G and general"))/$D475,0)</f>
        <v>0.296921734802013</v>
      </c>
      <c r="J475" s="10" t="n">
        <f aca="false">IFERROR(SUMIFS(Data!$F$2:$F$2657,Data!$A$2:$A$2657,$A475,Data!$B$2:$B$2657,$B475)/$D475,0)</f>
        <v>0.168446385306572</v>
      </c>
      <c r="K475" s="11" t="n">
        <f aca="false">SUM(E475:I475)</f>
        <v>1</v>
      </c>
    </row>
    <row r="476" customFormat="false" ht="15" hidden="false" customHeight="false" outlineLevel="0" collapsed="false">
      <c r="A476" s="7" t="n">
        <v>2020</v>
      </c>
      <c r="B476" s="12" t="s">
        <v>64</v>
      </c>
      <c r="C476" s="12" t="s">
        <v>65</v>
      </c>
      <c r="D476" s="9" t="n">
        <f aca="false">SUMIFS(Data!$E$2:$E$2657,Data!$A$2:$A$2657,$A476,Data!$B$2:$B$2657,$B476)+SUMIFS(Data!$G$2:$G$2657,Data!$A$2:$A$2657,$A476,Data!$B$2:$B$2657,$B476)</f>
        <v>558.373176</v>
      </c>
      <c r="E476" s="10" t="n">
        <f aca="false">IFERROR((SUMIFS(Data!$E$2:$E$2657,Data!$A$2:$A$2657,$A476,Data!$B$2:$B$2657,$B476,Data!$D$2:$D$2657,"Transmission")+SUMIFS(Data!$G$2:$G$2657,Data!$A$2:$A$2657,$A476,Data!$B$2:$B$2657,$B476,Data!$D$2:$D$2657,"Transmission"))/$D476,0)</f>
        <v>0.26150557239519</v>
      </c>
      <c r="F476" s="10" t="n">
        <f aca="false">IFERROR((SUMIFS(Data!$E$2:$E$2657,Data!$A$2:$A$2657,$A476,Data!$B$2:$B$2657,$B476,Data!$D$2:$D$2657,"Distribution")+SUMIFS(Data!$G$2:$G$2657,Data!$A$2:$A$2657,$A476,Data!$B$2:$B$2657,$B476,Data!$D$2:$D$2657,"Distribution"))/$D476,0)</f>
        <v>0.365798687650425</v>
      </c>
      <c r="G476" s="10" t="n">
        <f aca="false">IFERROR((SUMIFS(Data!$E$2:$E$2657,Data!$A$2:$A$2657,$A476,Data!$B$2:$B$2657,$B476,Data!$D$2:$D$2657,"RTO/market operation")+SUMIFS(Data!$G$2:$G$2657,Data!$A$2:$A$2657,$A476,Data!$B$2:$B$2657,$B476,Data!$D$2:$D$2657,"RTO/market operation"))/$D476,0)</f>
        <v>0.0126848070509748</v>
      </c>
      <c r="H476" s="10" t="n">
        <f aca="false">IFERROR((SUMIFS(Data!$E$2:$E$2657,Data!$A$2:$A$2657,$A476,Data!$B$2:$B$2657,$B476,Data!$D$2:$D$2657,"Customer accounts, service &amp; sales")+SUMIFS(Data!$G$2:$G$2657,Data!$A$2:$A$2657,$A476,Data!$B$2:$B$2657,$B476,Data!$D$2:$D$2657,"Customer accounts, service &amp; sales"))/$D476,0)</f>
        <v>0.0502638203379598</v>
      </c>
      <c r="I476" s="10" t="n">
        <f aca="false">IFERROR((SUMIFS(Data!$E$2:$E$2657,Data!$A$2:$A$2657,$A476,Data!$B$2:$B$2657,$B476,Data!$D$2:$D$2657,"A&amp;G and general")+SUMIFS(Data!$G$2:$G$2657,Data!$A$2:$A$2657,$A476,Data!$B$2:$B$2657,$B476,Data!$D$2:$D$2657,"A&amp;G and general"))/$D476,0)</f>
        <v>0.30974711256545</v>
      </c>
      <c r="J476" s="10" t="n">
        <f aca="false">IFERROR(SUMIFS(Data!$F$2:$F$2657,Data!$A$2:$A$2657,$A476,Data!$B$2:$B$2657,$B476)/$D476,0)</f>
        <v>0.135332285374683</v>
      </c>
      <c r="K476" s="11" t="n">
        <f aca="false">SUM(E476:I476)</f>
        <v>1</v>
      </c>
    </row>
    <row r="477" customFormat="false" ht="15" hidden="false" customHeight="false" outlineLevel="0" collapsed="false">
      <c r="A477" s="7" t="n">
        <v>2020</v>
      </c>
      <c r="B477" s="12" t="s">
        <v>66</v>
      </c>
      <c r="C477" s="12" t="s">
        <v>67</v>
      </c>
      <c r="D477" s="9" t="n">
        <f aca="false">SUMIFS(Data!$E$2:$E$2657,Data!$A$2:$A$2657,$A477,Data!$B$2:$B$2657,$B477)+SUMIFS(Data!$G$2:$G$2657,Data!$A$2:$A$2657,$A477,Data!$B$2:$B$2657,$B477)</f>
        <v>579.72027</v>
      </c>
      <c r="E477" s="10" t="n">
        <f aca="false">IFERROR((SUMIFS(Data!$E$2:$E$2657,Data!$A$2:$A$2657,$A477,Data!$B$2:$B$2657,$B477,Data!$D$2:$D$2657,"Transmission")+SUMIFS(Data!$G$2:$G$2657,Data!$A$2:$A$2657,$A477,Data!$B$2:$B$2657,$B477,Data!$D$2:$D$2657,"Transmission"))/$D477,0)</f>
        <v>0.379878895730177</v>
      </c>
      <c r="F477" s="10" t="n">
        <f aca="false">IFERROR((SUMIFS(Data!$E$2:$E$2657,Data!$A$2:$A$2657,$A477,Data!$B$2:$B$2657,$B477,Data!$D$2:$D$2657,"Distribution")+SUMIFS(Data!$G$2:$G$2657,Data!$A$2:$A$2657,$A477,Data!$B$2:$B$2657,$B477,Data!$D$2:$D$2657,"Distribution"))/$D477,0)</f>
        <v>0.281206953484652</v>
      </c>
      <c r="G477" s="10" t="n">
        <f aca="false">IFERROR((SUMIFS(Data!$E$2:$E$2657,Data!$A$2:$A$2657,$A477,Data!$B$2:$B$2657,$B477,Data!$D$2:$D$2657,"RTO/market operation")+SUMIFS(Data!$G$2:$G$2657,Data!$A$2:$A$2657,$A477,Data!$B$2:$B$2657,$B477,Data!$D$2:$D$2657,"RTO/market operation"))/$D477,0)</f>
        <v>0.00725040199129142</v>
      </c>
      <c r="H477" s="10" t="n">
        <f aca="false">IFERROR((SUMIFS(Data!$E$2:$E$2657,Data!$A$2:$A$2657,$A477,Data!$B$2:$B$2657,$B477,Data!$D$2:$D$2657,"Customer accounts, service &amp; sales")+SUMIFS(Data!$G$2:$G$2657,Data!$A$2:$A$2657,$A477,Data!$B$2:$B$2657,$B477,Data!$D$2:$D$2657,"Customer accounts, service &amp; sales"))/$D477,0)</f>
        <v>0.0898890011211787</v>
      </c>
      <c r="I477" s="10" t="n">
        <f aca="false">IFERROR((SUMIFS(Data!$E$2:$E$2657,Data!$A$2:$A$2657,$A477,Data!$B$2:$B$2657,$B477,Data!$D$2:$D$2657,"A&amp;G and general")+SUMIFS(Data!$G$2:$G$2657,Data!$A$2:$A$2657,$A477,Data!$B$2:$B$2657,$B477,Data!$D$2:$D$2657,"A&amp;G and general"))/$D477,0)</f>
        <v>0.241774747672701</v>
      </c>
      <c r="J477" s="10" t="n">
        <f aca="false">IFERROR(SUMIFS(Data!$F$2:$F$2657,Data!$A$2:$A$2657,$A477,Data!$B$2:$B$2657,$B477)/$D477,0)</f>
        <v>0.262054642319131</v>
      </c>
      <c r="K477" s="11" t="n">
        <f aca="false">SUM(E477:I477)</f>
        <v>1</v>
      </c>
    </row>
    <row r="478" customFormat="false" ht="15" hidden="false" customHeight="false" outlineLevel="0" collapsed="false">
      <c r="A478" s="7" t="n">
        <v>2020</v>
      </c>
      <c r="B478" s="12" t="s">
        <v>68</v>
      </c>
      <c r="C478" s="12" t="s">
        <v>65</v>
      </c>
      <c r="D478" s="9" t="n">
        <f aca="false">SUMIFS(Data!$E$2:$E$2657,Data!$A$2:$A$2657,$A478,Data!$B$2:$B$2657,$B478)+SUMIFS(Data!$G$2:$G$2657,Data!$A$2:$A$2657,$A478,Data!$B$2:$B$2657,$B478)</f>
        <v>355.964187</v>
      </c>
      <c r="E478" s="10" t="n">
        <f aca="false">IFERROR((SUMIFS(Data!$E$2:$E$2657,Data!$A$2:$A$2657,$A478,Data!$B$2:$B$2657,$B478,Data!$D$2:$D$2657,"Transmission")+SUMIFS(Data!$G$2:$G$2657,Data!$A$2:$A$2657,$A478,Data!$B$2:$B$2657,$B478,Data!$D$2:$D$2657,"Transmission"))/$D478,0)</f>
        <v>0.147071533912483</v>
      </c>
      <c r="F478" s="10" t="n">
        <f aca="false">IFERROR((SUMIFS(Data!$E$2:$E$2657,Data!$A$2:$A$2657,$A478,Data!$B$2:$B$2657,$B478,Data!$D$2:$D$2657,"Distribution")+SUMIFS(Data!$G$2:$G$2657,Data!$A$2:$A$2657,$A478,Data!$B$2:$B$2657,$B478,Data!$D$2:$D$2657,"Distribution"))/$D478,0)</f>
        <v>0.291972293268929</v>
      </c>
      <c r="G478" s="10" t="n">
        <f aca="false">IFERROR((SUMIFS(Data!$E$2:$E$2657,Data!$A$2:$A$2657,$A478,Data!$B$2:$B$2657,$B478,Data!$D$2:$D$2657,"RTO/market operation")+SUMIFS(Data!$G$2:$G$2657,Data!$A$2:$A$2657,$A478,Data!$B$2:$B$2657,$B478,Data!$D$2:$D$2657,"RTO/market operation"))/$D478,0)</f>
        <v>0.0162272700764698</v>
      </c>
      <c r="H478" s="10" t="n">
        <f aca="false">IFERROR((SUMIFS(Data!$E$2:$E$2657,Data!$A$2:$A$2657,$A478,Data!$B$2:$B$2657,$B478,Data!$D$2:$D$2657,"Customer accounts, service &amp; sales")+SUMIFS(Data!$G$2:$G$2657,Data!$A$2:$A$2657,$A478,Data!$B$2:$B$2657,$B478,Data!$D$2:$D$2657,"Customer accounts, service &amp; sales"))/$D478,0)</f>
        <v>0.0580030765847801</v>
      </c>
      <c r="I478" s="10" t="n">
        <f aca="false">IFERROR((SUMIFS(Data!$E$2:$E$2657,Data!$A$2:$A$2657,$A478,Data!$B$2:$B$2657,$B478,Data!$D$2:$D$2657,"A&amp;G and general")+SUMIFS(Data!$G$2:$G$2657,Data!$A$2:$A$2657,$A478,Data!$B$2:$B$2657,$B478,Data!$D$2:$D$2657,"A&amp;G and general"))/$D478,0)</f>
        <v>0.486725826157337</v>
      </c>
      <c r="J478" s="10" t="n">
        <f aca="false">IFERROR(SUMIFS(Data!$F$2:$F$2657,Data!$A$2:$A$2657,$A478,Data!$B$2:$B$2657,$B478)/$D478,0)</f>
        <v>0.025574502527132</v>
      </c>
      <c r="K478" s="11" t="n">
        <f aca="false">SUM(E478:I478)</f>
        <v>1</v>
      </c>
    </row>
    <row r="479" customFormat="false" ht="15" hidden="false" customHeight="false" outlineLevel="0" collapsed="false">
      <c r="A479" s="7" t="n">
        <v>2020</v>
      </c>
      <c r="B479" s="12" t="s">
        <v>69</v>
      </c>
      <c r="C479" s="12" t="s">
        <v>70</v>
      </c>
      <c r="D479" s="9" t="n">
        <f aca="false">SUMIFS(Data!$E$2:$E$2657,Data!$A$2:$A$2657,$A479,Data!$B$2:$B$2657,$B479)+SUMIFS(Data!$G$2:$G$2657,Data!$A$2:$A$2657,$A479,Data!$B$2:$B$2657,$B479)</f>
        <v>663.18579</v>
      </c>
      <c r="E479" s="10" t="n">
        <f aca="false">IFERROR((SUMIFS(Data!$E$2:$E$2657,Data!$A$2:$A$2657,$A479,Data!$B$2:$B$2657,$B479,Data!$D$2:$D$2657,"Transmission")+SUMIFS(Data!$G$2:$G$2657,Data!$A$2:$A$2657,$A479,Data!$B$2:$B$2657,$B479,Data!$D$2:$D$2657,"Transmission"))/$D479,0)</f>
        <v>0.453899622909592</v>
      </c>
      <c r="F479" s="10" t="n">
        <f aca="false">IFERROR((SUMIFS(Data!$E$2:$E$2657,Data!$A$2:$A$2657,$A479,Data!$B$2:$B$2657,$B479,Data!$D$2:$D$2657,"Distribution")+SUMIFS(Data!$G$2:$G$2657,Data!$A$2:$A$2657,$A479,Data!$B$2:$B$2657,$B479,Data!$D$2:$D$2657,"Distribution"))/$D479,0)</f>
        <v>0.18409086539686</v>
      </c>
      <c r="G479" s="10" t="n">
        <f aca="false">IFERROR((SUMIFS(Data!$E$2:$E$2657,Data!$A$2:$A$2657,$A479,Data!$B$2:$B$2657,$B479,Data!$D$2:$D$2657,"RTO/market operation")+SUMIFS(Data!$G$2:$G$2657,Data!$A$2:$A$2657,$A479,Data!$B$2:$B$2657,$B479,Data!$D$2:$D$2657,"RTO/market operation"))/$D479,0)</f>
        <v>0.00583612474567647</v>
      </c>
      <c r="H479" s="10" t="n">
        <f aca="false">IFERROR((SUMIFS(Data!$E$2:$E$2657,Data!$A$2:$A$2657,$A479,Data!$B$2:$B$2657,$B479,Data!$D$2:$D$2657,"Customer accounts, service &amp; sales")+SUMIFS(Data!$G$2:$G$2657,Data!$A$2:$A$2657,$A479,Data!$B$2:$B$2657,$B479,Data!$D$2:$D$2657,"Customer accounts, service &amp; sales"))/$D479,0)</f>
        <v>0.119360176580382</v>
      </c>
      <c r="I479" s="10" t="n">
        <f aca="false">IFERROR((SUMIFS(Data!$E$2:$E$2657,Data!$A$2:$A$2657,$A479,Data!$B$2:$B$2657,$B479,Data!$D$2:$D$2657,"A&amp;G and general")+SUMIFS(Data!$G$2:$G$2657,Data!$A$2:$A$2657,$A479,Data!$B$2:$B$2657,$B479,Data!$D$2:$D$2657,"A&amp;G and general"))/$D479,0)</f>
        <v>0.23681321036749</v>
      </c>
      <c r="J479" s="10" t="n">
        <f aca="false">IFERROR(SUMIFS(Data!$F$2:$F$2657,Data!$A$2:$A$2657,$A479,Data!$B$2:$B$2657,$B479)/$D479,0)</f>
        <v>0.449277361627426</v>
      </c>
      <c r="K479" s="11" t="n">
        <f aca="false">SUM(E479:I479)</f>
        <v>1</v>
      </c>
    </row>
    <row r="480" customFormat="false" ht="15" hidden="false" customHeight="false" outlineLevel="0" collapsed="false">
      <c r="A480" s="7" t="n">
        <v>2020</v>
      </c>
      <c r="B480" s="12" t="s">
        <v>71</v>
      </c>
      <c r="C480" s="12" t="s">
        <v>72</v>
      </c>
      <c r="D480" s="9" t="n">
        <f aca="false">SUMIFS(Data!$E$2:$E$2657,Data!$A$2:$A$2657,$A480,Data!$B$2:$B$2657,$B480)+SUMIFS(Data!$G$2:$G$2657,Data!$A$2:$A$2657,$A480,Data!$B$2:$B$2657,$B480)</f>
        <v>129.590956</v>
      </c>
      <c r="E480" s="10" t="n">
        <f aca="false">IFERROR((SUMIFS(Data!$E$2:$E$2657,Data!$A$2:$A$2657,$A480,Data!$B$2:$B$2657,$B480,Data!$D$2:$D$2657,"Transmission")+SUMIFS(Data!$G$2:$G$2657,Data!$A$2:$A$2657,$A480,Data!$B$2:$B$2657,$B480,Data!$D$2:$D$2657,"Transmission"))/$D480,0)</f>
        <v>0.297594880000731</v>
      </c>
      <c r="F480" s="10" t="n">
        <f aca="false">IFERROR((SUMIFS(Data!$E$2:$E$2657,Data!$A$2:$A$2657,$A480,Data!$B$2:$B$2657,$B480,Data!$D$2:$D$2657,"Distribution")+SUMIFS(Data!$G$2:$G$2657,Data!$A$2:$A$2657,$A480,Data!$B$2:$B$2657,$B480,Data!$D$2:$D$2657,"Distribution"))/$D480,0)</f>
        <v>0.24535092556922</v>
      </c>
      <c r="G480" s="10" t="n">
        <f aca="false">IFERROR((SUMIFS(Data!$E$2:$E$2657,Data!$A$2:$A$2657,$A480,Data!$B$2:$B$2657,$B480,Data!$D$2:$D$2657,"RTO/market operation")+SUMIFS(Data!$G$2:$G$2657,Data!$A$2:$A$2657,$A480,Data!$B$2:$B$2657,$B480,Data!$D$2:$D$2657,"RTO/market operation"))/$D480,0)</f>
        <v>0.00530080972625898</v>
      </c>
      <c r="H480" s="10" t="n">
        <f aca="false">IFERROR((SUMIFS(Data!$E$2:$E$2657,Data!$A$2:$A$2657,$A480,Data!$B$2:$B$2657,$B480,Data!$D$2:$D$2657,"Customer accounts, service &amp; sales")+SUMIFS(Data!$G$2:$G$2657,Data!$A$2:$A$2657,$A480,Data!$B$2:$B$2657,$B480,Data!$D$2:$D$2657,"Customer accounts, service &amp; sales"))/$D480,0)</f>
        <v>0.131477006775072</v>
      </c>
      <c r="I480" s="10" t="n">
        <f aca="false">IFERROR((SUMIFS(Data!$E$2:$E$2657,Data!$A$2:$A$2657,$A480,Data!$B$2:$B$2657,$B480,Data!$D$2:$D$2657,"A&amp;G and general")+SUMIFS(Data!$G$2:$G$2657,Data!$A$2:$A$2657,$A480,Data!$B$2:$B$2657,$B480,Data!$D$2:$D$2657,"A&amp;G and general"))/$D480,0)</f>
        <v>0.320276377928719</v>
      </c>
      <c r="J480" s="10" t="n">
        <f aca="false">IFERROR(SUMIFS(Data!$F$2:$F$2657,Data!$A$2:$A$2657,$A480,Data!$B$2:$B$2657,$B480)/$D480,0)</f>
        <v>0.297423193637062</v>
      </c>
      <c r="K480" s="11" t="n">
        <f aca="false">SUM(E480:I480)</f>
        <v>1</v>
      </c>
    </row>
    <row r="481" customFormat="false" ht="15" hidden="false" customHeight="false" outlineLevel="0" collapsed="false">
      <c r="A481" s="7" t="n">
        <v>2020</v>
      </c>
      <c r="B481" s="12" t="s">
        <v>73</v>
      </c>
      <c r="C481" s="12" t="s">
        <v>70</v>
      </c>
      <c r="D481" s="9" t="n">
        <f aca="false">SUMIFS(Data!$E$2:$E$2657,Data!$A$2:$A$2657,$A481,Data!$B$2:$B$2657,$B481)+SUMIFS(Data!$G$2:$G$2657,Data!$A$2:$A$2657,$A481,Data!$B$2:$B$2657,$B481)</f>
        <v>475.354429</v>
      </c>
      <c r="E481" s="10" t="n">
        <f aca="false">IFERROR((SUMIFS(Data!$E$2:$E$2657,Data!$A$2:$A$2657,$A481,Data!$B$2:$B$2657,$B481,Data!$D$2:$D$2657,"Transmission")+SUMIFS(Data!$G$2:$G$2657,Data!$A$2:$A$2657,$A481,Data!$B$2:$B$2657,$B481,Data!$D$2:$D$2657,"Transmission"))/$D481,0)</f>
        <v>0.278343008769989</v>
      </c>
      <c r="F481" s="10" t="n">
        <f aca="false">IFERROR((SUMIFS(Data!$E$2:$E$2657,Data!$A$2:$A$2657,$A481,Data!$B$2:$B$2657,$B481,Data!$D$2:$D$2657,"Distribution")+SUMIFS(Data!$G$2:$G$2657,Data!$A$2:$A$2657,$A481,Data!$B$2:$B$2657,$B481,Data!$D$2:$D$2657,"Distribution"))/$D481,0)</f>
        <v>0.366329026041325</v>
      </c>
      <c r="G481" s="10" t="n">
        <f aca="false">IFERROR((SUMIFS(Data!$E$2:$E$2657,Data!$A$2:$A$2657,$A481,Data!$B$2:$B$2657,$B481,Data!$D$2:$D$2657,"RTO/market operation")+SUMIFS(Data!$G$2:$G$2657,Data!$A$2:$A$2657,$A481,Data!$B$2:$B$2657,$B481,Data!$D$2:$D$2657,"RTO/market operation"))/$D481,0)</f>
        <v>0.0136715313953665</v>
      </c>
      <c r="H481" s="10" t="n">
        <f aca="false">IFERROR((SUMIFS(Data!$E$2:$E$2657,Data!$A$2:$A$2657,$A481,Data!$B$2:$B$2657,$B481,Data!$D$2:$D$2657,"Customer accounts, service &amp; sales")+SUMIFS(Data!$G$2:$G$2657,Data!$A$2:$A$2657,$A481,Data!$B$2:$B$2657,$B481,Data!$D$2:$D$2657,"Customer accounts, service &amp; sales"))/$D481,0)</f>
        <v>0.164647101668217</v>
      </c>
      <c r="I481" s="10" t="n">
        <f aca="false">IFERROR((SUMIFS(Data!$E$2:$E$2657,Data!$A$2:$A$2657,$A481,Data!$B$2:$B$2657,$B481,Data!$D$2:$D$2657,"A&amp;G and general")+SUMIFS(Data!$G$2:$G$2657,Data!$A$2:$A$2657,$A481,Data!$B$2:$B$2657,$B481,Data!$D$2:$D$2657,"A&amp;G and general"))/$D481,0)</f>
        <v>0.177009332125104</v>
      </c>
      <c r="J481" s="10" t="n">
        <f aca="false">IFERROR(SUMIFS(Data!$F$2:$F$2657,Data!$A$2:$A$2657,$A481,Data!$B$2:$B$2657,$B481)/$D481,0)</f>
        <v>0.142579125943097</v>
      </c>
      <c r="K481" s="11" t="n">
        <f aca="false">SUM(E481:I481)</f>
        <v>1</v>
      </c>
    </row>
    <row r="482" customFormat="false" ht="15" hidden="false" customHeight="false" outlineLevel="0" collapsed="false">
      <c r="A482" s="7" t="n">
        <v>2020</v>
      </c>
      <c r="B482" s="12" t="s">
        <v>74</v>
      </c>
      <c r="C482" s="12" t="s">
        <v>65</v>
      </c>
      <c r="D482" s="9" t="n">
        <f aca="false">SUMIFS(Data!$E$2:$E$2657,Data!$A$2:$A$2657,$A482,Data!$B$2:$B$2657,$B482)+SUMIFS(Data!$G$2:$G$2657,Data!$A$2:$A$2657,$A482,Data!$B$2:$B$2657,$B482)</f>
        <v>481.930946</v>
      </c>
      <c r="E482" s="10" t="n">
        <f aca="false">IFERROR((SUMIFS(Data!$E$2:$E$2657,Data!$A$2:$A$2657,$A482,Data!$B$2:$B$2657,$B482,Data!$D$2:$D$2657,"Transmission")+SUMIFS(Data!$G$2:$G$2657,Data!$A$2:$A$2657,$A482,Data!$B$2:$B$2657,$B482,Data!$D$2:$D$2657,"Transmission"))/$D482,0)</f>
        <v>0.204008719124669</v>
      </c>
      <c r="F482" s="10" t="n">
        <f aca="false">IFERROR((SUMIFS(Data!$E$2:$E$2657,Data!$A$2:$A$2657,$A482,Data!$B$2:$B$2657,$B482,Data!$D$2:$D$2657,"Distribution")+SUMIFS(Data!$G$2:$G$2657,Data!$A$2:$A$2657,$A482,Data!$B$2:$B$2657,$B482,Data!$D$2:$D$2657,"Distribution"))/$D482,0)</f>
        <v>0.28531099142158</v>
      </c>
      <c r="G482" s="10" t="n">
        <f aca="false">IFERROR((SUMIFS(Data!$E$2:$E$2657,Data!$A$2:$A$2657,$A482,Data!$B$2:$B$2657,$B482,Data!$D$2:$D$2657,"RTO/market operation")+SUMIFS(Data!$G$2:$G$2657,Data!$A$2:$A$2657,$A482,Data!$B$2:$B$2657,$B482,Data!$D$2:$D$2657,"RTO/market operation"))/$D482,0)</f>
        <v>0.0108209631344155</v>
      </c>
      <c r="H482" s="10" t="n">
        <f aca="false">IFERROR((SUMIFS(Data!$E$2:$E$2657,Data!$A$2:$A$2657,$A482,Data!$B$2:$B$2657,$B482,Data!$D$2:$D$2657,"Customer accounts, service &amp; sales")+SUMIFS(Data!$G$2:$G$2657,Data!$A$2:$A$2657,$A482,Data!$B$2:$B$2657,$B482,Data!$D$2:$D$2657,"Customer accounts, service &amp; sales"))/$D482,0)</f>
        <v>0.0321552996930809</v>
      </c>
      <c r="I482" s="10" t="n">
        <f aca="false">IFERROR((SUMIFS(Data!$E$2:$E$2657,Data!$A$2:$A$2657,$A482,Data!$B$2:$B$2657,$B482,Data!$D$2:$D$2657,"A&amp;G and general")+SUMIFS(Data!$G$2:$G$2657,Data!$A$2:$A$2657,$A482,Data!$B$2:$B$2657,$B482,Data!$D$2:$D$2657,"A&amp;G and general"))/$D482,0)</f>
        <v>0.467704026626255</v>
      </c>
      <c r="J482" s="10" t="n">
        <f aca="false">IFERROR(SUMIFS(Data!$F$2:$F$2657,Data!$A$2:$A$2657,$A482,Data!$B$2:$B$2657,$B482)/$D482,0)</f>
        <v>0</v>
      </c>
      <c r="K482" s="11" t="n">
        <f aca="false">SUM(E482:I482)</f>
        <v>1</v>
      </c>
    </row>
    <row r="483" customFormat="false" ht="15" hidden="false" customHeight="false" outlineLevel="0" collapsed="false">
      <c r="A483" s="7" t="n">
        <v>2020</v>
      </c>
      <c r="B483" s="12" t="s">
        <v>75</v>
      </c>
      <c r="C483" s="12" t="s">
        <v>57</v>
      </c>
      <c r="D483" s="9" t="n">
        <f aca="false">SUMIFS(Data!$E$2:$E$2657,Data!$A$2:$A$2657,$A483,Data!$B$2:$B$2657,$B483)+SUMIFS(Data!$G$2:$G$2657,Data!$A$2:$A$2657,$A483,Data!$B$2:$B$2657,$B483)</f>
        <v>1274.489971</v>
      </c>
      <c r="E483" s="10" t="n">
        <f aca="false">IFERROR((SUMIFS(Data!$E$2:$E$2657,Data!$A$2:$A$2657,$A483,Data!$B$2:$B$2657,$B483,Data!$D$2:$D$2657,"Transmission")+SUMIFS(Data!$G$2:$G$2657,Data!$A$2:$A$2657,$A483,Data!$B$2:$B$2657,$B483,Data!$D$2:$D$2657,"Transmission"))/$D483,0)</f>
        <v>0.343643766499282</v>
      </c>
      <c r="F483" s="10" t="n">
        <f aca="false">IFERROR((SUMIFS(Data!$E$2:$E$2657,Data!$A$2:$A$2657,$A483,Data!$B$2:$B$2657,$B483,Data!$D$2:$D$2657,"Distribution")+SUMIFS(Data!$G$2:$G$2657,Data!$A$2:$A$2657,$A483,Data!$B$2:$B$2657,$B483,Data!$D$2:$D$2657,"Distribution"))/$D483,0)</f>
        <v>0.176415349760332</v>
      </c>
      <c r="G483" s="10" t="n">
        <f aca="false">IFERROR((SUMIFS(Data!$E$2:$E$2657,Data!$A$2:$A$2657,$A483,Data!$B$2:$B$2657,$B483,Data!$D$2:$D$2657,"RTO/market operation")+SUMIFS(Data!$G$2:$G$2657,Data!$A$2:$A$2657,$A483,Data!$B$2:$B$2657,$B483,Data!$D$2:$D$2657,"RTO/market operation"))/$D483,0)</f>
        <v>0.00874753293762874</v>
      </c>
      <c r="H483" s="10" t="n">
        <f aca="false">IFERROR((SUMIFS(Data!$E$2:$E$2657,Data!$A$2:$A$2657,$A483,Data!$B$2:$B$2657,$B483,Data!$D$2:$D$2657,"Customer accounts, service &amp; sales")+SUMIFS(Data!$G$2:$G$2657,Data!$A$2:$A$2657,$A483,Data!$B$2:$B$2657,$B483,Data!$D$2:$D$2657,"Customer accounts, service &amp; sales"))/$D483,0)</f>
        <v>0.153649453864553</v>
      </c>
      <c r="I483" s="10" t="n">
        <f aca="false">IFERROR((SUMIFS(Data!$E$2:$E$2657,Data!$A$2:$A$2657,$A483,Data!$B$2:$B$2657,$B483,Data!$D$2:$D$2657,"A&amp;G and general")+SUMIFS(Data!$G$2:$G$2657,Data!$A$2:$A$2657,$A483,Data!$B$2:$B$2657,$B483,Data!$D$2:$D$2657,"A&amp;G and general"))/$D483,0)</f>
        <v>0.317543896938205</v>
      </c>
      <c r="J483" s="10" t="n">
        <f aca="false">IFERROR(SUMIFS(Data!$F$2:$F$2657,Data!$A$2:$A$2657,$A483,Data!$B$2:$B$2657,$B483)/$D483,0)</f>
        <v>0.248038502611332</v>
      </c>
      <c r="K483" s="11" t="n">
        <f aca="false">SUM(E483:I483)</f>
        <v>1</v>
      </c>
    </row>
    <row r="484" customFormat="false" ht="15" hidden="false" customHeight="false" outlineLevel="0" collapsed="false">
      <c r="A484" s="7" t="n">
        <v>2020</v>
      </c>
      <c r="B484" s="12" t="s">
        <v>76</v>
      </c>
      <c r="C484" s="12" t="s">
        <v>72</v>
      </c>
      <c r="D484" s="9" t="n">
        <f aca="false">SUMIFS(Data!$E$2:$E$2657,Data!$A$2:$A$2657,$A484,Data!$B$2:$B$2657,$B484)+SUMIFS(Data!$G$2:$G$2657,Data!$A$2:$A$2657,$A484,Data!$B$2:$B$2657,$B484)</f>
        <v>255.245068</v>
      </c>
      <c r="E484" s="10" t="n">
        <f aca="false">IFERROR((SUMIFS(Data!$E$2:$E$2657,Data!$A$2:$A$2657,$A484,Data!$B$2:$B$2657,$B484,Data!$D$2:$D$2657,"Transmission")+SUMIFS(Data!$G$2:$G$2657,Data!$A$2:$A$2657,$A484,Data!$B$2:$B$2657,$B484,Data!$D$2:$D$2657,"Transmission"))/$D484,0)</f>
        <v>0.406629447586427</v>
      </c>
      <c r="F484" s="10" t="n">
        <f aca="false">IFERROR((SUMIFS(Data!$E$2:$E$2657,Data!$A$2:$A$2657,$A484,Data!$B$2:$B$2657,$B484,Data!$D$2:$D$2657,"Distribution")+SUMIFS(Data!$G$2:$G$2657,Data!$A$2:$A$2657,$A484,Data!$B$2:$B$2657,$B484,Data!$D$2:$D$2657,"Distribution"))/$D484,0)</f>
        <v>0.232284515679653</v>
      </c>
      <c r="G484" s="10" t="n">
        <f aca="false">IFERROR((SUMIFS(Data!$E$2:$E$2657,Data!$A$2:$A$2657,$A484,Data!$B$2:$B$2657,$B484,Data!$D$2:$D$2657,"RTO/market operation")+SUMIFS(Data!$G$2:$G$2657,Data!$A$2:$A$2657,$A484,Data!$B$2:$B$2657,$B484,Data!$D$2:$D$2657,"RTO/market operation"))/$D484,0)</f>
        <v>0</v>
      </c>
      <c r="H484" s="10" t="n">
        <f aca="false">IFERROR((SUMIFS(Data!$E$2:$E$2657,Data!$A$2:$A$2657,$A484,Data!$B$2:$B$2657,$B484,Data!$D$2:$D$2657,"Customer accounts, service &amp; sales")+SUMIFS(Data!$G$2:$G$2657,Data!$A$2:$A$2657,$A484,Data!$B$2:$B$2657,$B484,Data!$D$2:$D$2657,"Customer accounts, service &amp; sales"))/$D484,0)</f>
        <v>0.0868244984071543</v>
      </c>
      <c r="I484" s="10" t="n">
        <f aca="false">IFERROR((SUMIFS(Data!$E$2:$E$2657,Data!$A$2:$A$2657,$A484,Data!$B$2:$B$2657,$B484,Data!$D$2:$D$2657,"A&amp;G and general")+SUMIFS(Data!$G$2:$G$2657,Data!$A$2:$A$2657,$A484,Data!$B$2:$B$2657,$B484,Data!$D$2:$D$2657,"A&amp;G and general"))/$D484,0)</f>
        <v>0.274261538326766</v>
      </c>
      <c r="J484" s="10" t="n">
        <f aca="false">IFERROR(SUMIFS(Data!$F$2:$F$2657,Data!$A$2:$A$2657,$A484,Data!$B$2:$B$2657,$B484)/$D484,0)</f>
        <v>0.217362668100604</v>
      </c>
      <c r="K484" s="11" t="n">
        <f aca="false">SUM(E484:I484)</f>
        <v>1</v>
      </c>
    </row>
    <row r="485" customFormat="false" ht="15" hidden="false" customHeight="false" outlineLevel="0" collapsed="false">
      <c r="A485" s="7" t="n">
        <v>2020</v>
      </c>
      <c r="B485" s="12" t="s">
        <v>77</v>
      </c>
      <c r="C485" s="12" t="s">
        <v>57</v>
      </c>
      <c r="D485" s="9" t="n">
        <f aca="false">SUMIFS(Data!$E$2:$E$2657,Data!$A$2:$A$2657,$A485,Data!$B$2:$B$2657,$B485)+SUMIFS(Data!$G$2:$G$2657,Data!$A$2:$A$2657,$A485,Data!$B$2:$B$2657,$B485)</f>
        <v>151.55334</v>
      </c>
      <c r="E485" s="10" t="n">
        <f aca="false">IFERROR((SUMIFS(Data!$E$2:$E$2657,Data!$A$2:$A$2657,$A485,Data!$B$2:$B$2657,$B485,Data!$D$2:$D$2657,"Transmission")+SUMIFS(Data!$G$2:$G$2657,Data!$A$2:$A$2657,$A485,Data!$B$2:$B$2657,$B485,Data!$D$2:$D$2657,"Transmission"))/$D485,0)</f>
        <v>0.257550971822858</v>
      </c>
      <c r="F485" s="10" t="n">
        <f aca="false">IFERROR((SUMIFS(Data!$E$2:$E$2657,Data!$A$2:$A$2657,$A485,Data!$B$2:$B$2657,$B485,Data!$D$2:$D$2657,"Distribution")+SUMIFS(Data!$G$2:$G$2657,Data!$A$2:$A$2657,$A485,Data!$B$2:$B$2657,$B485,Data!$D$2:$D$2657,"Distribution"))/$D485,0)</f>
        <v>0.194219131033338</v>
      </c>
      <c r="G485" s="10" t="n">
        <f aca="false">IFERROR((SUMIFS(Data!$E$2:$E$2657,Data!$A$2:$A$2657,$A485,Data!$B$2:$B$2657,$B485,Data!$D$2:$D$2657,"RTO/market operation")+SUMIFS(Data!$G$2:$G$2657,Data!$A$2:$A$2657,$A485,Data!$B$2:$B$2657,$B485,Data!$D$2:$D$2657,"RTO/market operation"))/$D485,0)</f>
        <v>0.00725336043402277</v>
      </c>
      <c r="H485" s="10" t="n">
        <f aca="false">IFERROR((SUMIFS(Data!$E$2:$E$2657,Data!$A$2:$A$2657,$A485,Data!$B$2:$B$2657,$B485,Data!$D$2:$D$2657,"Customer accounts, service &amp; sales")+SUMIFS(Data!$G$2:$G$2657,Data!$A$2:$A$2657,$A485,Data!$B$2:$B$2657,$B485,Data!$D$2:$D$2657,"Customer accounts, service &amp; sales"))/$D485,0)</f>
        <v>0.183115931328204</v>
      </c>
      <c r="I485" s="10" t="n">
        <f aca="false">IFERROR((SUMIFS(Data!$E$2:$E$2657,Data!$A$2:$A$2657,$A485,Data!$B$2:$B$2657,$B485,Data!$D$2:$D$2657,"A&amp;G and general")+SUMIFS(Data!$G$2:$G$2657,Data!$A$2:$A$2657,$A485,Data!$B$2:$B$2657,$B485,Data!$D$2:$D$2657,"A&amp;G and general"))/$D485,0)</f>
        <v>0.357860605381577</v>
      </c>
      <c r="J485" s="10" t="n">
        <f aca="false">IFERROR(SUMIFS(Data!$F$2:$F$2657,Data!$A$2:$A$2657,$A485,Data!$B$2:$B$2657,$B485)/$D485,0)</f>
        <v>0.122314750700974</v>
      </c>
      <c r="K485" s="11" t="n">
        <f aca="false">SUM(E485:I485)</f>
        <v>1</v>
      </c>
    </row>
    <row r="486" customFormat="false" ht="15" hidden="false" customHeight="false" outlineLevel="0" collapsed="false">
      <c r="A486" s="7" t="n">
        <v>2020</v>
      </c>
      <c r="B486" s="12" t="s">
        <v>78</v>
      </c>
      <c r="C486" s="12" t="s">
        <v>65</v>
      </c>
      <c r="D486" s="9" t="n">
        <f aca="false">SUMIFS(Data!$E$2:$E$2657,Data!$A$2:$A$2657,$A486,Data!$B$2:$B$2657,$B486)+SUMIFS(Data!$G$2:$G$2657,Data!$A$2:$A$2657,$A486,Data!$B$2:$B$2657,$B486)</f>
        <v>146.399317</v>
      </c>
      <c r="E486" s="10" t="n">
        <f aca="false">IFERROR((SUMIFS(Data!$E$2:$E$2657,Data!$A$2:$A$2657,$A486,Data!$B$2:$B$2657,$B486,Data!$D$2:$D$2657,"Transmission")+SUMIFS(Data!$G$2:$G$2657,Data!$A$2:$A$2657,$A486,Data!$B$2:$B$2657,$B486,Data!$D$2:$D$2657,"Transmission"))/$D486,0)</f>
        <v>0.225978526935341</v>
      </c>
      <c r="F486" s="10" t="n">
        <f aca="false">IFERROR((SUMIFS(Data!$E$2:$E$2657,Data!$A$2:$A$2657,$A486,Data!$B$2:$B$2657,$B486,Data!$D$2:$D$2657,"Distribution")+SUMIFS(Data!$G$2:$G$2657,Data!$A$2:$A$2657,$A486,Data!$B$2:$B$2657,$B486,Data!$D$2:$D$2657,"Distribution"))/$D486,0)</f>
        <v>0.299212481981729</v>
      </c>
      <c r="G486" s="10" t="n">
        <f aca="false">IFERROR((SUMIFS(Data!$E$2:$E$2657,Data!$A$2:$A$2657,$A486,Data!$B$2:$B$2657,$B486,Data!$D$2:$D$2657,"RTO/market operation")+SUMIFS(Data!$G$2:$G$2657,Data!$A$2:$A$2657,$A486,Data!$B$2:$B$2657,$B486,Data!$D$2:$D$2657,"RTO/market operation"))/$D486,0)</f>
        <v>0</v>
      </c>
      <c r="H486" s="10" t="n">
        <f aca="false">IFERROR((SUMIFS(Data!$E$2:$E$2657,Data!$A$2:$A$2657,$A486,Data!$B$2:$B$2657,$B486,Data!$D$2:$D$2657,"Customer accounts, service &amp; sales")+SUMIFS(Data!$G$2:$G$2657,Data!$A$2:$A$2657,$A486,Data!$B$2:$B$2657,$B486,Data!$D$2:$D$2657,"Customer accounts, service &amp; sales"))/$D486,0)</f>
        <v>0.10771367191556</v>
      </c>
      <c r="I486" s="10" t="n">
        <f aca="false">IFERROR((SUMIFS(Data!$E$2:$E$2657,Data!$A$2:$A$2657,$A486,Data!$B$2:$B$2657,$B486,Data!$D$2:$D$2657,"A&amp;G and general")+SUMIFS(Data!$G$2:$G$2657,Data!$A$2:$A$2657,$A486,Data!$B$2:$B$2657,$B486,Data!$D$2:$D$2657,"A&amp;G and general"))/$D486,0)</f>
        <v>0.36709531916737</v>
      </c>
      <c r="J486" s="10" t="n">
        <f aca="false">IFERROR(SUMIFS(Data!$F$2:$F$2657,Data!$A$2:$A$2657,$A486,Data!$B$2:$B$2657,$B486)/$D486,0)</f>
        <v>0</v>
      </c>
      <c r="K486" s="11" t="n">
        <f aca="false">SUM(E486:I486)</f>
        <v>1</v>
      </c>
    </row>
    <row r="487" customFormat="false" ht="15" hidden="false" customHeight="false" outlineLevel="0" collapsed="false">
      <c r="A487" s="7" t="n">
        <v>2020</v>
      </c>
      <c r="B487" s="12" t="s">
        <v>79</v>
      </c>
      <c r="C487" s="12" t="s">
        <v>72</v>
      </c>
      <c r="D487" s="9" t="n">
        <f aca="false">SUMIFS(Data!$E$2:$E$2657,Data!$A$2:$A$2657,$A487,Data!$B$2:$B$2657,$B487)+SUMIFS(Data!$G$2:$G$2657,Data!$A$2:$A$2657,$A487,Data!$B$2:$B$2657,$B487)</f>
        <v>799.700639</v>
      </c>
      <c r="E487" s="10" t="n">
        <f aca="false">IFERROR((SUMIFS(Data!$E$2:$E$2657,Data!$A$2:$A$2657,$A487,Data!$B$2:$B$2657,$B487,Data!$D$2:$D$2657,"Transmission")+SUMIFS(Data!$G$2:$G$2657,Data!$A$2:$A$2657,$A487,Data!$B$2:$B$2657,$B487,Data!$D$2:$D$2657,"Transmission"))/$D487,0)</f>
        <v>0.420571315812091</v>
      </c>
      <c r="F487" s="10" t="n">
        <f aca="false">IFERROR((SUMIFS(Data!$E$2:$E$2657,Data!$A$2:$A$2657,$A487,Data!$B$2:$B$2657,$B487,Data!$D$2:$D$2657,"Distribution")+SUMIFS(Data!$G$2:$G$2657,Data!$A$2:$A$2657,$A487,Data!$B$2:$B$2657,$B487,Data!$D$2:$D$2657,"Distribution"))/$D487,0)</f>
        <v>0.250254286716907</v>
      </c>
      <c r="G487" s="10" t="n">
        <f aca="false">IFERROR((SUMIFS(Data!$E$2:$E$2657,Data!$A$2:$A$2657,$A487,Data!$B$2:$B$2657,$B487,Data!$D$2:$D$2657,"RTO/market operation")+SUMIFS(Data!$G$2:$G$2657,Data!$A$2:$A$2657,$A487,Data!$B$2:$B$2657,$B487,Data!$D$2:$D$2657,"RTO/market operation"))/$D487,0)</f>
        <v>0.00553309173984541</v>
      </c>
      <c r="H487" s="10" t="n">
        <f aca="false">IFERROR((SUMIFS(Data!$E$2:$E$2657,Data!$A$2:$A$2657,$A487,Data!$B$2:$B$2657,$B487,Data!$D$2:$D$2657,"Customer accounts, service &amp; sales")+SUMIFS(Data!$G$2:$G$2657,Data!$A$2:$A$2657,$A487,Data!$B$2:$B$2657,$B487,Data!$D$2:$D$2657,"Customer accounts, service &amp; sales"))/$D487,0)</f>
        <v>0.0981420961450551</v>
      </c>
      <c r="I487" s="10" t="n">
        <f aca="false">IFERROR((SUMIFS(Data!$E$2:$E$2657,Data!$A$2:$A$2657,$A487,Data!$B$2:$B$2657,$B487,Data!$D$2:$D$2657,"A&amp;G and general")+SUMIFS(Data!$G$2:$G$2657,Data!$A$2:$A$2657,$A487,Data!$B$2:$B$2657,$B487,Data!$D$2:$D$2657,"A&amp;G and general"))/$D487,0)</f>
        <v>0.225499209586101</v>
      </c>
      <c r="J487" s="10" t="n">
        <f aca="false">IFERROR(SUMIFS(Data!$F$2:$F$2657,Data!$A$2:$A$2657,$A487,Data!$B$2:$B$2657,$B487)/$D487,0)</f>
        <v>0.402717151011305</v>
      </c>
      <c r="K487" s="11" t="n">
        <f aca="false">SUM(E487:I487)</f>
        <v>1</v>
      </c>
    </row>
    <row r="488" customFormat="false" ht="15" hidden="false" customHeight="false" outlineLevel="0" collapsed="false">
      <c r="A488" s="7" t="n">
        <v>2020</v>
      </c>
      <c r="B488" s="12" t="s">
        <v>80</v>
      </c>
      <c r="C488" s="12" t="s">
        <v>72</v>
      </c>
      <c r="D488" s="9" t="n">
        <f aca="false">SUMIFS(Data!$E$2:$E$2657,Data!$A$2:$A$2657,$A488,Data!$B$2:$B$2657,$B488)+SUMIFS(Data!$G$2:$G$2657,Data!$A$2:$A$2657,$A488,Data!$B$2:$B$2657,$B488)</f>
        <v>403.766113</v>
      </c>
      <c r="E488" s="10" t="n">
        <f aca="false">IFERROR((SUMIFS(Data!$E$2:$E$2657,Data!$A$2:$A$2657,$A488,Data!$B$2:$B$2657,$B488,Data!$D$2:$D$2657,"Transmission")+SUMIFS(Data!$G$2:$G$2657,Data!$A$2:$A$2657,$A488,Data!$B$2:$B$2657,$B488,Data!$D$2:$D$2657,"Transmission"))/$D488,0)</f>
        <v>0.381293432121185</v>
      </c>
      <c r="F488" s="10" t="n">
        <f aca="false">IFERROR((SUMIFS(Data!$E$2:$E$2657,Data!$A$2:$A$2657,$A488,Data!$B$2:$B$2657,$B488,Data!$D$2:$D$2657,"Distribution")+SUMIFS(Data!$G$2:$G$2657,Data!$A$2:$A$2657,$A488,Data!$B$2:$B$2657,$B488,Data!$D$2:$D$2657,"Distribution"))/$D488,0)</f>
        <v>0.221988765560422</v>
      </c>
      <c r="G488" s="10" t="n">
        <f aca="false">IFERROR((SUMIFS(Data!$E$2:$E$2657,Data!$A$2:$A$2657,$A488,Data!$B$2:$B$2657,$B488,Data!$D$2:$D$2657,"RTO/market operation")+SUMIFS(Data!$G$2:$G$2657,Data!$A$2:$A$2657,$A488,Data!$B$2:$B$2657,$B488,Data!$D$2:$D$2657,"RTO/market operation"))/$D488,0)</f>
        <v>0.00665986300836494</v>
      </c>
      <c r="H488" s="10" t="n">
        <f aca="false">IFERROR((SUMIFS(Data!$E$2:$E$2657,Data!$A$2:$A$2657,$A488,Data!$B$2:$B$2657,$B488,Data!$D$2:$D$2657,"Customer accounts, service &amp; sales")+SUMIFS(Data!$G$2:$G$2657,Data!$A$2:$A$2657,$A488,Data!$B$2:$B$2657,$B488,Data!$D$2:$D$2657,"Customer accounts, service &amp; sales"))/$D488,0)</f>
        <v>0.0812268760157195</v>
      </c>
      <c r="I488" s="10" t="n">
        <f aca="false">IFERROR((SUMIFS(Data!$E$2:$E$2657,Data!$A$2:$A$2657,$A488,Data!$B$2:$B$2657,$B488,Data!$D$2:$D$2657,"A&amp;G and general")+SUMIFS(Data!$G$2:$G$2657,Data!$A$2:$A$2657,$A488,Data!$B$2:$B$2657,$B488,Data!$D$2:$D$2657,"A&amp;G and general"))/$D488,0)</f>
        <v>0.308831063294309</v>
      </c>
      <c r="J488" s="10" t="n">
        <f aca="false">IFERROR(SUMIFS(Data!$F$2:$F$2657,Data!$A$2:$A$2657,$A488,Data!$B$2:$B$2657,$B488)/$D488,0)</f>
        <v>0.374323354867574</v>
      </c>
      <c r="K488" s="11" t="n">
        <f aca="false">SUM(E488:I488)</f>
        <v>1</v>
      </c>
    </row>
    <row r="489" customFormat="false" ht="15" hidden="false" customHeight="false" outlineLevel="0" collapsed="false">
      <c r="A489" s="7" t="n">
        <v>2020</v>
      </c>
      <c r="B489" s="12" t="s">
        <v>81</v>
      </c>
      <c r="C489" s="12" t="s">
        <v>72</v>
      </c>
      <c r="D489" s="9" t="n">
        <f aca="false">SUMIFS(Data!$E$2:$E$2657,Data!$A$2:$A$2657,$A489,Data!$B$2:$B$2657,$B489)+SUMIFS(Data!$G$2:$G$2657,Data!$A$2:$A$2657,$A489,Data!$B$2:$B$2657,$B489)</f>
        <v>301.433931</v>
      </c>
      <c r="E489" s="10" t="n">
        <f aca="false">IFERROR((SUMIFS(Data!$E$2:$E$2657,Data!$A$2:$A$2657,$A489,Data!$B$2:$B$2657,$B489,Data!$D$2:$D$2657,"Transmission")+SUMIFS(Data!$G$2:$G$2657,Data!$A$2:$A$2657,$A489,Data!$B$2:$B$2657,$B489,Data!$D$2:$D$2657,"Transmission"))/$D489,0)</f>
        <v>0.482939068992867</v>
      </c>
      <c r="F489" s="10" t="n">
        <f aca="false">IFERROR((SUMIFS(Data!$E$2:$E$2657,Data!$A$2:$A$2657,$A489,Data!$B$2:$B$2657,$B489,Data!$D$2:$D$2657,"Distribution")+SUMIFS(Data!$G$2:$G$2657,Data!$A$2:$A$2657,$A489,Data!$B$2:$B$2657,$B489,Data!$D$2:$D$2657,"Distribution"))/$D489,0)</f>
        <v>0.206711599431718</v>
      </c>
      <c r="G489" s="10" t="n">
        <f aca="false">IFERROR((SUMIFS(Data!$E$2:$E$2657,Data!$A$2:$A$2657,$A489,Data!$B$2:$B$2657,$B489,Data!$D$2:$D$2657,"RTO/market operation")+SUMIFS(Data!$G$2:$G$2657,Data!$A$2:$A$2657,$A489,Data!$B$2:$B$2657,$B489,Data!$D$2:$D$2657,"RTO/market operation"))/$D489,0)</f>
        <v>0.0077534303860437</v>
      </c>
      <c r="H489" s="10" t="n">
        <f aca="false">IFERROR((SUMIFS(Data!$E$2:$E$2657,Data!$A$2:$A$2657,$A489,Data!$B$2:$B$2657,$B489,Data!$D$2:$D$2657,"Customer accounts, service &amp; sales")+SUMIFS(Data!$G$2:$G$2657,Data!$A$2:$A$2657,$A489,Data!$B$2:$B$2657,$B489,Data!$D$2:$D$2657,"Customer accounts, service &amp; sales"))/$D489,0)</f>
        <v>0.0698852346519676</v>
      </c>
      <c r="I489" s="10" t="n">
        <f aca="false">IFERROR((SUMIFS(Data!$E$2:$E$2657,Data!$A$2:$A$2657,$A489,Data!$B$2:$B$2657,$B489,Data!$D$2:$D$2657,"A&amp;G and general")+SUMIFS(Data!$G$2:$G$2657,Data!$A$2:$A$2657,$A489,Data!$B$2:$B$2657,$B489,Data!$D$2:$D$2657,"A&amp;G and general"))/$D489,0)</f>
        <v>0.232710666537405</v>
      </c>
      <c r="J489" s="10" t="n">
        <f aca="false">IFERROR(SUMIFS(Data!$F$2:$F$2657,Data!$A$2:$A$2657,$A489,Data!$B$2:$B$2657,$B489)/$D489,0)</f>
        <v>0.46395637191886</v>
      </c>
      <c r="K489" s="11" t="n">
        <f aca="false">SUM(E489:I489)</f>
        <v>1</v>
      </c>
    </row>
    <row r="490" customFormat="false" ht="15" hidden="false" customHeight="false" outlineLevel="0" collapsed="false">
      <c r="A490" s="7" t="n">
        <v>2021</v>
      </c>
      <c r="B490" s="12" t="s">
        <v>56</v>
      </c>
      <c r="C490" s="12" t="s">
        <v>57</v>
      </c>
      <c r="D490" s="9" t="n">
        <f aca="false">SUMIFS(Data!$E$2:$E$2657,Data!$A$2:$A$2657,$A490,Data!$B$2:$B$2657,$B490)+SUMIFS(Data!$G$2:$G$2657,Data!$A$2:$A$2657,$A490,Data!$B$2:$B$2657,$B490)</f>
        <v>267.774093</v>
      </c>
      <c r="E490" s="10" t="n">
        <f aca="false">IFERROR((SUMIFS(Data!$E$2:$E$2657,Data!$A$2:$A$2657,$A490,Data!$B$2:$B$2657,$B490,Data!$D$2:$D$2657,"Transmission")+SUMIFS(Data!$G$2:$G$2657,Data!$A$2:$A$2657,$A490,Data!$B$2:$B$2657,$B490,Data!$D$2:$D$2657,"Transmission"))/$D490,0)</f>
        <v>0.467229550096917</v>
      </c>
      <c r="F490" s="10" t="n">
        <f aca="false">IFERROR((SUMIFS(Data!$E$2:$E$2657,Data!$A$2:$A$2657,$A490,Data!$B$2:$B$2657,$B490,Data!$D$2:$D$2657,"Distribution")+SUMIFS(Data!$G$2:$G$2657,Data!$A$2:$A$2657,$A490,Data!$B$2:$B$2657,$B490,Data!$D$2:$D$2657,"Distribution"))/$D490,0)</f>
        <v>0.176929804781376</v>
      </c>
      <c r="G490" s="10" t="n">
        <f aca="false">IFERROR((SUMIFS(Data!$E$2:$E$2657,Data!$A$2:$A$2657,$A490,Data!$B$2:$B$2657,$B490,Data!$D$2:$D$2657,"RTO/market operation")+SUMIFS(Data!$G$2:$G$2657,Data!$A$2:$A$2657,$A490,Data!$B$2:$B$2657,$B490,Data!$D$2:$D$2657,"RTO/market operation"))/$D490,0)</f>
        <v>0</v>
      </c>
      <c r="H490" s="10" t="n">
        <f aca="false">IFERROR((SUMIFS(Data!$E$2:$E$2657,Data!$A$2:$A$2657,$A490,Data!$B$2:$B$2657,$B490,Data!$D$2:$D$2657,"Customer accounts, service &amp; sales")+SUMIFS(Data!$G$2:$G$2657,Data!$A$2:$A$2657,$A490,Data!$B$2:$B$2657,$B490,Data!$D$2:$D$2657,"Customer accounts, service &amp; sales"))/$D490,0)</f>
        <v>0.0474203902914536</v>
      </c>
      <c r="I490" s="10" t="n">
        <f aca="false">IFERROR((SUMIFS(Data!$E$2:$E$2657,Data!$A$2:$A$2657,$A490,Data!$B$2:$B$2657,$B490,Data!$D$2:$D$2657,"A&amp;G and general")+SUMIFS(Data!$G$2:$G$2657,Data!$A$2:$A$2657,$A490,Data!$B$2:$B$2657,$B490,Data!$D$2:$D$2657,"A&amp;G and general"))/$D490,0)</f>
        <v>0.308420254830254</v>
      </c>
      <c r="J490" s="10" t="n">
        <f aca="false">IFERROR(SUMIFS(Data!$F$2:$F$2657,Data!$A$2:$A$2657,$A490,Data!$B$2:$B$2657,$B490)/$D490,0)</f>
        <v>0.273755426369794</v>
      </c>
      <c r="K490" s="11" t="n">
        <f aca="false">SUM(E490:I490)</f>
        <v>1</v>
      </c>
    </row>
    <row r="491" customFormat="false" ht="15" hidden="false" customHeight="false" outlineLevel="0" collapsed="false">
      <c r="A491" s="7" t="n">
        <v>2021</v>
      </c>
      <c r="B491" s="12" t="s">
        <v>58</v>
      </c>
      <c r="C491" s="12" t="s">
        <v>59</v>
      </c>
      <c r="D491" s="9" t="n">
        <f aca="false">SUMIFS(Data!$E$2:$E$2657,Data!$A$2:$A$2657,$A491,Data!$B$2:$B$2657,$B491)+SUMIFS(Data!$G$2:$G$2657,Data!$A$2:$A$2657,$A491,Data!$B$2:$B$2657,$B491)</f>
        <v>917.904509</v>
      </c>
      <c r="E491" s="10" t="n">
        <f aca="false">IFERROR((SUMIFS(Data!$E$2:$E$2657,Data!$A$2:$A$2657,$A491,Data!$B$2:$B$2657,$B491,Data!$D$2:$D$2657,"Transmission")+SUMIFS(Data!$G$2:$G$2657,Data!$A$2:$A$2657,$A491,Data!$B$2:$B$2657,$B491,Data!$D$2:$D$2657,"Transmission"))/$D491,0)</f>
        <v>0.140197804606274</v>
      </c>
      <c r="F491" s="10" t="n">
        <f aca="false">IFERROR((SUMIFS(Data!$E$2:$E$2657,Data!$A$2:$A$2657,$A491,Data!$B$2:$B$2657,$B491,Data!$D$2:$D$2657,"Distribution")+SUMIFS(Data!$G$2:$G$2657,Data!$A$2:$A$2657,$A491,Data!$B$2:$B$2657,$B491,Data!$D$2:$D$2657,"Distribution"))/$D491,0)</f>
        <v>0.556650461992665</v>
      </c>
      <c r="G491" s="10" t="n">
        <f aca="false">IFERROR((SUMIFS(Data!$E$2:$E$2657,Data!$A$2:$A$2657,$A491,Data!$B$2:$B$2657,$B491,Data!$D$2:$D$2657,"RTO/market operation")+SUMIFS(Data!$G$2:$G$2657,Data!$A$2:$A$2657,$A491,Data!$B$2:$B$2657,$B491,Data!$D$2:$D$2657,"RTO/market operation"))/$D491,0)</f>
        <v>0.000857871371454392</v>
      </c>
      <c r="H491" s="10" t="n">
        <f aca="false">IFERROR((SUMIFS(Data!$E$2:$E$2657,Data!$A$2:$A$2657,$A491,Data!$B$2:$B$2657,$B491,Data!$D$2:$D$2657,"Customer accounts, service &amp; sales")+SUMIFS(Data!$G$2:$G$2657,Data!$A$2:$A$2657,$A491,Data!$B$2:$B$2657,$B491,Data!$D$2:$D$2657,"Customer accounts, service &amp; sales"))/$D491,0)</f>
        <v>0.0684544017203428</v>
      </c>
      <c r="I491" s="10" t="n">
        <f aca="false">IFERROR((SUMIFS(Data!$E$2:$E$2657,Data!$A$2:$A$2657,$A491,Data!$B$2:$B$2657,$B491,Data!$D$2:$D$2657,"A&amp;G and general")+SUMIFS(Data!$G$2:$G$2657,Data!$A$2:$A$2657,$A491,Data!$B$2:$B$2657,$B491,Data!$D$2:$D$2657,"A&amp;G and general"))/$D491,0)</f>
        <v>0.233839460309264</v>
      </c>
      <c r="J491" s="10" t="n">
        <f aca="false">IFERROR(SUMIFS(Data!$F$2:$F$2657,Data!$A$2:$A$2657,$A491,Data!$B$2:$B$2657,$B491)/$D491,0)</f>
        <v>0.0303379673233526</v>
      </c>
      <c r="K491" s="11" t="n">
        <f aca="false">SUM(E491:I491)</f>
        <v>1</v>
      </c>
    </row>
    <row r="492" customFormat="false" ht="15" hidden="false" customHeight="false" outlineLevel="0" collapsed="false">
      <c r="A492" s="7" t="n">
        <v>2021</v>
      </c>
      <c r="B492" s="12" t="s">
        <v>60</v>
      </c>
      <c r="C492" s="12" t="s">
        <v>59</v>
      </c>
      <c r="D492" s="9" t="n">
        <f aca="false">SUMIFS(Data!$E$2:$E$2657,Data!$A$2:$A$2657,$A492,Data!$B$2:$B$2657,$B492)+SUMIFS(Data!$G$2:$G$2657,Data!$A$2:$A$2657,$A492,Data!$B$2:$B$2657,$B492)</f>
        <v>2602.326578</v>
      </c>
      <c r="E492" s="10" t="n">
        <f aca="false">IFERROR((SUMIFS(Data!$E$2:$E$2657,Data!$A$2:$A$2657,$A492,Data!$B$2:$B$2657,$B492,Data!$D$2:$D$2657,"Transmission")+SUMIFS(Data!$G$2:$G$2657,Data!$A$2:$A$2657,$A492,Data!$B$2:$B$2657,$B492,Data!$D$2:$D$2657,"Transmission"))/$D492,0)</f>
        <v>0.238367819106215</v>
      </c>
      <c r="F492" s="10" t="n">
        <f aca="false">IFERROR((SUMIFS(Data!$E$2:$E$2657,Data!$A$2:$A$2657,$A492,Data!$B$2:$B$2657,$B492,Data!$D$2:$D$2657,"Distribution")+SUMIFS(Data!$G$2:$G$2657,Data!$A$2:$A$2657,$A492,Data!$B$2:$B$2657,$B492,Data!$D$2:$D$2657,"Distribution"))/$D492,0)</f>
        <v>0.425563343341452</v>
      </c>
      <c r="G492" s="10" t="n">
        <f aca="false">IFERROR((SUMIFS(Data!$E$2:$E$2657,Data!$A$2:$A$2657,$A492,Data!$B$2:$B$2657,$B492,Data!$D$2:$D$2657,"RTO/market operation")+SUMIFS(Data!$G$2:$G$2657,Data!$A$2:$A$2657,$A492,Data!$B$2:$B$2657,$B492,Data!$D$2:$D$2657,"RTO/market operation"))/$D492,0)</f>
        <v>0.0025369851946384</v>
      </c>
      <c r="H492" s="10" t="n">
        <f aca="false">IFERROR((SUMIFS(Data!$E$2:$E$2657,Data!$A$2:$A$2657,$A492,Data!$B$2:$B$2657,$B492,Data!$D$2:$D$2657,"Customer accounts, service &amp; sales")+SUMIFS(Data!$G$2:$G$2657,Data!$A$2:$A$2657,$A492,Data!$B$2:$B$2657,$B492,Data!$D$2:$D$2657,"Customer accounts, service &amp; sales"))/$D492,0)</f>
        <v>0.0899724834612975</v>
      </c>
      <c r="I492" s="10" t="n">
        <f aca="false">IFERROR((SUMIFS(Data!$E$2:$E$2657,Data!$A$2:$A$2657,$A492,Data!$B$2:$B$2657,$B492,Data!$D$2:$D$2657,"A&amp;G and general")+SUMIFS(Data!$G$2:$G$2657,Data!$A$2:$A$2657,$A492,Data!$B$2:$B$2657,$B492,Data!$D$2:$D$2657,"A&amp;G and general"))/$D492,0)</f>
        <v>0.243559368896397</v>
      </c>
      <c r="J492" s="10" t="n">
        <f aca="false">IFERROR(SUMIFS(Data!$F$2:$F$2657,Data!$A$2:$A$2657,$A492,Data!$B$2:$B$2657,$B492)/$D492,0)</f>
        <v>0.00343541624467089</v>
      </c>
      <c r="K492" s="11" t="n">
        <f aca="false">SUM(E492:I492)</f>
        <v>1</v>
      </c>
    </row>
    <row r="493" customFormat="false" ht="15" hidden="false" customHeight="false" outlineLevel="0" collapsed="false">
      <c r="A493" s="7" t="n">
        <v>2021</v>
      </c>
      <c r="B493" s="12" t="s">
        <v>61</v>
      </c>
      <c r="C493" s="12" t="s">
        <v>62</v>
      </c>
      <c r="D493" s="9" t="n">
        <f aca="false">SUMIFS(Data!$E$2:$E$2657,Data!$A$2:$A$2657,$A493,Data!$B$2:$B$2657,$B493)+SUMIFS(Data!$G$2:$G$2657,Data!$A$2:$A$2657,$A493,Data!$B$2:$B$2657,$B493)</f>
        <v>1529.17367</v>
      </c>
      <c r="E493" s="10" t="n">
        <f aca="false">IFERROR((SUMIFS(Data!$E$2:$E$2657,Data!$A$2:$A$2657,$A493,Data!$B$2:$B$2657,$B493,Data!$D$2:$D$2657,"Transmission")+SUMIFS(Data!$G$2:$G$2657,Data!$A$2:$A$2657,$A493,Data!$B$2:$B$2657,$B493,Data!$D$2:$D$2657,"Transmission"))/$D493,0)</f>
        <v>0.284467459474371</v>
      </c>
      <c r="F493" s="10" t="n">
        <f aca="false">IFERROR((SUMIFS(Data!$E$2:$E$2657,Data!$A$2:$A$2657,$A493,Data!$B$2:$B$2657,$B493,Data!$D$2:$D$2657,"Distribution")+SUMIFS(Data!$G$2:$G$2657,Data!$A$2:$A$2657,$A493,Data!$B$2:$B$2657,$B493,Data!$D$2:$D$2657,"Distribution"))/$D493,0)</f>
        <v>0.414773985743555</v>
      </c>
      <c r="G493" s="10" t="n">
        <f aca="false">IFERROR((SUMIFS(Data!$E$2:$E$2657,Data!$A$2:$A$2657,$A493,Data!$B$2:$B$2657,$B493,Data!$D$2:$D$2657,"RTO/market operation")+SUMIFS(Data!$G$2:$G$2657,Data!$A$2:$A$2657,$A493,Data!$B$2:$B$2657,$B493,Data!$D$2:$D$2657,"RTO/market operation"))/$D493,0)</f>
        <v>0.0048900508468734</v>
      </c>
      <c r="H493" s="10" t="n">
        <f aca="false">IFERROR((SUMIFS(Data!$E$2:$E$2657,Data!$A$2:$A$2657,$A493,Data!$B$2:$B$2657,$B493,Data!$D$2:$D$2657,"Customer accounts, service &amp; sales")+SUMIFS(Data!$G$2:$G$2657,Data!$A$2:$A$2657,$A493,Data!$B$2:$B$2657,$B493,Data!$D$2:$D$2657,"Customer accounts, service &amp; sales"))/$D493,0)</f>
        <v>0.188278075046898</v>
      </c>
      <c r="I493" s="10" t="n">
        <f aca="false">IFERROR((SUMIFS(Data!$E$2:$E$2657,Data!$A$2:$A$2657,$A493,Data!$B$2:$B$2657,$B493,Data!$D$2:$D$2657,"A&amp;G and general")+SUMIFS(Data!$G$2:$G$2657,Data!$A$2:$A$2657,$A493,Data!$B$2:$B$2657,$B493,Data!$D$2:$D$2657,"A&amp;G and general"))/$D493,0)</f>
        <v>0.107590428888303</v>
      </c>
      <c r="J493" s="10" t="n">
        <f aca="false">IFERROR(SUMIFS(Data!$F$2:$F$2657,Data!$A$2:$A$2657,$A493,Data!$B$2:$B$2657,$B493)/$D493,0)</f>
        <v>0.276088073109446</v>
      </c>
      <c r="K493" s="11" t="n">
        <f aca="false">SUM(E493:I493)</f>
        <v>1</v>
      </c>
    </row>
    <row r="494" customFormat="false" ht="15" hidden="false" customHeight="false" outlineLevel="0" collapsed="false">
      <c r="A494" s="7" t="n">
        <v>2021</v>
      </c>
      <c r="B494" s="12" t="s">
        <v>63</v>
      </c>
      <c r="C494" s="12" t="s">
        <v>62</v>
      </c>
      <c r="D494" s="9" t="n">
        <f aca="false">SUMIFS(Data!$E$2:$E$2657,Data!$A$2:$A$2657,$A494,Data!$B$2:$B$2657,$B494)+SUMIFS(Data!$G$2:$G$2657,Data!$A$2:$A$2657,$A494,Data!$B$2:$B$2657,$B494)</f>
        <v>2149.026568</v>
      </c>
      <c r="E494" s="10" t="n">
        <f aca="false">IFERROR((SUMIFS(Data!$E$2:$E$2657,Data!$A$2:$A$2657,$A494,Data!$B$2:$B$2657,$B494,Data!$D$2:$D$2657,"Transmission")+SUMIFS(Data!$G$2:$G$2657,Data!$A$2:$A$2657,$A494,Data!$B$2:$B$2657,$B494,Data!$D$2:$D$2657,"Transmission"))/$D494,0)</f>
        <v>0.187387124941305</v>
      </c>
      <c r="F494" s="10" t="n">
        <f aca="false">IFERROR((SUMIFS(Data!$E$2:$E$2657,Data!$A$2:$A$2657,$A494,Data!$B$2:$B$2657,$B494,Data!$D$2:$D$2657,"Distribution")+SUMIFS(Data!$G$2:$G$2657,Data!$A$2:$A$2657,$A494,Data!$B$2:$B$2657,$B494,Data!$D$2:$D$2657,"Distribution"))/$D494,0)</f>
        <v>0.355382966116964</v>
      </c>
      <c r="G494" s="10" t="n">
        <f aca="false">IFERROR((SUMIFS(Data!$E$2:$E$2657,Data!$A$2:$A$2657,$A494,Data!$B$2:$B$2657,$B494,Data!$D$2:$D$2657,"RTO/market operation")+SUMIFS(Data!$G$2:$G$2657,Data!$A$2:$A$2657,$A494,Data!$B$2:$B$2657,$B494,Data!$D$2:$D$2657,"RTO/market operation"))/$D494,0)</f>
        <v>0.00402898648575479</v>
      </c>
      <c r="H494" s="10" t="n">
        <f aca="false">IFERROR((SUMIFS(Data!$E$2:$E$2657,Data!$A$2:$A$2657,$A494,Data!$B$2:$B$2657,$B494,Data!$D$2:$D$2657,"Customer accounts, service &amp; sales")+SUMIFS(Data!$G$2:$G$2657,Data!$A$2:$A$2657,$A494,Data!$B$2:$B$2657,$B494,Data!$D$2:$D$2657,"Customer accounts, service &amp; sales"))/$D494,0)</f>
        <v>0.15523406595688</v>
      </c>
      <c r="I494" s="10" t="n">
        <f aca="false">IFERROR((SUMIFS(Data!$E$2:$E$2657,Data!$A$2:$A$2657,$A494,Data!$B$2:$B$2657,$B494,Data!$D$2:$D$2657,"A&amp;G and general")+SUMIFS(Data!$G$2:$G$2657,Data!$A$2:$A$2657,$A494,Data!$B$2:$B$2657,$B494,Data!$D$2:$D$2657,"A&amp;G and general"))/$D494,0)</f>
        <v>0.297966856499096</v>
      </c>
      <c r="J494" s="10" t="n">
        <f aca="false">IFERROR(SUMIFS(Data!$F$2:$F$2657,Data!$A$2:$A$2657,$A494,Data!$B$2:$B$2657,$B494)/$D494,0)</f>
        <v>0.175605945323985</v>
      </c>
      <c r="K494" s="11" t="n">
        <f aca="false">SUM(E494:I494)</f>
        <v>1</v>
      </c>
    </row>
    <row r="495" customFormat="false" ht="15" hidden="false" customHeight="false" outlineLevel="0" collapsed="false">
      <c r="A495" s="7" t="n">
        <v>2021</v>
      </c>
      <c r="B495" s="12" t="s">
        <v>64</v>
      </c>
      <c r="C495" s="12" t="s">
        <v>65</v>
      </c>
      <c r="D495" s="9" t="n">
        <f aca="false">SUMIFS(Data!$E$2:$E$2657,Data!$A$2:$A$2657,$A495,Data!$B$2:$B$2657,$B495)+SUMIFS(Data!$G$2:$G$2657,Data!$A$2:$A$2657,$A495,Data!$B$2:$B$2657,$B495)</f>
        <v>583.788675</v>
      </c>
      <c r="E495" s="10" t="n">
        <f aca="false">IFERROR((SUMIFS(Data!$E$2:$E$2657,Data!$A$2:$A$2657,$A495,Data!$B$2:$B$2657,$B495,Data!$D$2:$D$2657,"Transmission")+SUMIFS(Data!$G$2:$G$2657,Data!$A$2:$A$2657,$A495,Data!$B$2:$B$2657,$B495,Data!$D$2:$D$2657,"Transmission"))/$D495,0)</f>
        <v>0.25278817544722</v>
      </c>
      <c r="F495" s="10" t="n">
        <f aca="false">IFERROR((SUMIFS(Data!$E$2:$E$2657,Data!$A$2:$A$2657,$A495,Data!$B$2:$B$2657,$B495,Data!$D$2:$D$2657,"Distribution")+SUMIFS(Data!$G$2:$G$2657,Data!$A$2:$A$2657,$A495,Data!$B$2:$B$2657,$B495,Data!$D$2:$D$2657,"Distribution"))/$D495,0)</f>
        <v>0.358744103763232</v>
      </c>
      <c r="G495" s="10" t="n">
        <f aca="false">IFERROR((SUMIFS(Data!$E$2:$E$2657,Data!$A$2:$A$2657,$A495,Data!$B$2:$B$2657,$B495,Data!$D$2:$D$2657,"RTO/market operation")+SUMIFS(Data!$G$2:$G$2657,Data!$A$2:$A$2657,$A495,Data!$B$2:$B$2657,$B495,Data!$D$2:$D$2657,"RTO/market operation"))/$D495,0)</f>
        <v>0.00913439268070762</v>
      </c>
      <c r="H495" s="10" t="n">
        <f aca="false">IFERROR((SUMIFS(Data!$E$2:$E$2657,Data!$A$2:$A$2657,$A495,Data!$B$2:$B$2657,$B495,Data!$D$2:$D$2657,"Customer accounts, service &amp; sales")+SUMIFS(Data!$G$2:$G$2657,Data!$A$2:$A$2657,$A495,Data!$B$2:$B$2657,$B495,Data!$D$2:$D$2657,"Customer accounts, service &amp; sales"))/$D495,0)</f>
        <v>0.0502134235474849</v>
      </c>
      <c r="I495" s="10" t="n">
        <f aca="false">IFERROR((SUMIFS(Data!$E$2:$E$2657,Data!$A$2:$A$2657,$A495,Data!$B$2:$B$2657,$B495,Data!$D$2:$D$2657,"A&amp;G and general")+SUMIFS(Data!$G$2:$G$2657,Data!$A$2:$A$2657,$A495,Data!$B$2:$B$2657,$B495,Data!$D$2:$D$2657,"A&amp;G and general"))/$D495,0)</f>
        <v>0.329119904561355</v>
      </c>
      <c r="J495" s="10" t="n">
        <f aca="false">IFERROR(SUMIFS(Data!$F$2:$F$2657,Data!$A$2:$A$2657,$A495,Data!$B$2:$B$2657,$B495)/$D495,0)</f>
        <v>0.120010777872661</v>
      </c>
      <c r="K495" s="11" t="n">
        <f aca="false">SUM(E495:I495)</f>
        <v>1</v>
      </c>
    </row>
    <row r="496" customFormat="false" ht="15" hidden="false" customHeight="false" outlineLevel="0" collapsed="false">
      <c r="A496" s="7" t="n">
        <v>2021</v>
      </c>
      <c r="B496" s="12" t="s">
        <v>66</v>
      </c>
      <c r="C496" s="12" t="s">
        <v>67</v>
      </c>
      <c r="D496" s="9" t="n">
        <f aca="false">SUMIFS(Data!$E$2:$E$2657,Data!$A$2:$A$2657,$A496,Data!$B$2:$B$2657,$B496)+SUMIFS(Data!$G$2:$G$2657,Data!$A$2:$A$2657,$A496,Data!$B$2:$B$2657,$B496)</f>
        <v>636.642725</v>
      </c>
      <c r="E496" s="10" t="n">
        <f aca="false">IFERROR((SUMIFS(Data!$E$2:$E$2657,Data!$A$2:$A$2657,$A496,Data!$B$2:$B$2657,$B496,Data!$D$2:$D$2657,"Transmission")+SUMIFS(Data!$G$2:$G$2657,Data!$A$2:$A$2657,$A496,Data!$B$2:$B$2657,$B496,Data!$D$2:$D$2657,"Transmission"))/$D496,0)</f>
        <v>0.431959551567954</v>
      </c>
      <c r="F496" s="10" t="n">
        <f aca="false">IFERROR((SUMIFS(Data!$E$2:$E$2657,Data!$A$2:$A$2657,$A496,Data!$B$2:$B$2657,$B496,Data!$D$2:$D$2657,"Distribution")+SUMIFS(Data!$G$2:$G$2657,Data!$A$2:$A$2657,$A496,Data!$B$2:$B$2657,$B496,Data!$D$2:$D$2657,"Distribution"))/$D496,0)</f>
        <v>0.26927597264227</v>
      </c>
      <c r="G496" s="10" t="n">
        <f aca="false">IFERROR((SUMIFS(Data!$E$2:$E$2657,Data!$A$2:$A$2657,$A496,Data!$B$2:$B$2657,$B496,Data!$D$2:$D$2657,"RTO/market operation")+SUMIFS(Data!$G$2:$G$2657,Data!$A$2:$A$2657,$A496,Data!$B$2:$B$2657,$B496,Data!$D$2:$D$2657,"RTO/market operation"))/$D496,0)</f>
        <v>0.00758696488678167</v>
      </c>
      <c r="H496" s="10" t="n">
        <f aca="false">IFERROR((SUMIFS(Data!$E$2:$E$2657,Data!$A$2:$A$2657,$A496,Data!$B$2:$B$2657,$B496,Data!$D$2:$D$2657,"Customer accounts, service &amp; sales")+SUMIFS(Data!$G$2:$G$2657,Data!$A$2:$A$2657,$A496,Data!$B$2:$B$2657,$B496,Data!$D$2:$D$2657,"Customer accounts, service &amp; sales"))/$D496,0)</f>
        <v>0.037802327828375</v>
      </c>
      <c r="I496" s="10" t="n">
        <f aca="false">IFERROR((SUMIFS(Data!$E$2:$E$2657,Data!$A$2:$A$2657,$A496,Data!$B$2:$B$2657,$B496,Data!$D$2:$D$2657,"A&amp;G and general")+SUMIFS(Data!$G$2:$G$2657,Data!$A$2:$A$2657,$A496,Data!$B$2:$B$2657,$B496,Data!$D$2:$D$2657,"A&amp;G and general"))/$D496,0)</f>
        <v>0.25337518307462</v>
      </c>
      <c r="J496" s="10" t="n">
        <f aca="false">IFERROR(SUMIFS(Data!$F$2:$F$2657,Data!$A$2:$A$2657,$A496,Data!$B$2:$B$2657,$B496)/$D496,0)</f>
        <v>0.305994622022894</v>
      </c>
      <c r="K496" s="11" t="n">
        <f aca="false">SUM(E496:I496)</f>
        <v>1</v>
      </c>
    </row>
    <row r="497" customFormat="false" ht="15" hidden="false" customHeight="false" outlineLevel="0" collapsed="false">
      <c r="A497" s="7" t="n">
        <v>2021</v>
      </c>
      <c r="B497" s="12" t="s">
        <v>68</v>
      </c>
      <c r="C497" s="12" t="s">
        <v>65</v>
      </c>
      <c r="D497" s="9" t="n">
        <f aca="false">SUMIFS(Data!$E$2:$E$2657,Data!$A$2:$A$2657,$A497,Data!$B$2:$B$2657,$B497)+SUMIFS(Data!$G$2:$G$2657,Data!$A$2:$A$2657,$A497,Data!$B$2:$B$2657,$B497)</f>
        <v>366.731385</v>
      </c>
      <c r="E497" s="10" t="n">
        <f aca="false">IFERROR((SUMIFS(Data!$E$2:$E$2657,Data!$A$2:$A$2657,$A497,Data!$B$2:$B$2657,$B497,Data!$D$2:$D$2657,"Transmission")+SUMIFS(Data!$G$2:$G$2657,Data!$A$2:$A$2657,$A497,Data!$B$2:$B$2657,$B497,Data!$D$2:$D$2657,"Transmission"))/$D497,0)</f>
        <v>0.148968959937803</v>
      </c>
      <c r="F497" s="10" t="n">
        <f aca="false">IFERROR((SUMIFS(Data!$E$2:$E$2657,Data!$A$2:$A$2657,$A497,Data!$B$2:$B$2657,$B497,Data!$D$2:$D$2657,"Distribution")+SUMIFS(Data!$G$2:$G$2657,Data!$A$2:$A$2657,$A497,Data!$B$2:$B$2657,$B497,Data!$D$2:$D$2657,"Distribution"))/$D497,0)</f>
        <v>0.331213476588594</v>
      </c>
      <c r="G497" s="10" t="n">
        <f aca="false">IFERROR((SUMIFS(Data!$E$2:$E$2657,Data!$A$2:$A$2657,$A497,Data!$B$2:$B$2657,$B497,Data!$D$2:$D$2657,"RTO/market operation")+SUMIFS(Data!$G$2:$G$2657,Data!$A$2:$A$2657,$A497,Data!$B$2:$B$2657,$B497,Data!$D$2:$D$2657,"RTO/market operation"))/$D497,0)</f>
        <v>0.0146909678864818</v>
      </c>
      <c r="H497" s="10" t="n">
        <f aca="false">IFERROR((SUMIFS(Data!$E$2:$E$2657,Data!$A$2:$A$2657,$A497,Data!$B$2:$B$2657,$B497,Data!$D$2:$D$2657,"Customer accounts, service &amp; sales")+SUMIFS(Data!$G$2:$G$2657,Data!$A$2:$A$2657,$A497,Data!$B$2:$B$2657,$B497,Data!$D$2:$D$2657,"Customer accounts, service &amp; sales"))/$D497,0)</f>
        <v>0.0575525653469773</v>
      </c>
      <c r="I497" s="10" t="n">
        <f aca="false">IFERROR((SUMIFS(Data!$E$2:$E$2657,Data!$A$2:$A$2657,$A497,Data!$B$2:$B$2657,$B497,Data!$D$2:$D$2657,"A&amp;G and general")+SUMIFS(Data!$G$2:$G$2657,Data!$A$2:$A$2657,$A497,Data!$B$2:$B$2657,$B497,Data!$D$2:$D$2657,"A&amp;G and general"))/$D497,0)</f>
        <v>0.447574030240144</v>
      </c>
      <c r="J497" s="10" t="n">
        <f aca="false">IFERROR(SUMIFS(Data!$F$2:$F$2657,Data!$A$2:$A$2657,$A497,Data!$B$2:$B$2657,$B497)/$D497,0)</f>
        <v>0.0267582688620992</v>
      </c>
      <c r="K497" s="11" t="n">
        <f aca="false">SUM(E497:I497)</f>
        <v>1</v>
      </c>
    </row>
    <row r="498" customFormat="false" ht="15" hidden="false" customHeight="false" outlineLevel="0" collapsed="false">
      <c r="A498" s="7" t="n">
        <v>2021</v>
      </c>
      <c r="B498" s="12" t="s">
        <v>69</v>
      </c>
      <c r="C498" s="12" t="s">
        <v>70</v>
      </c>
      <c r="D498" s="9" t="n">
        <f aca="false">SUMIFS(Data!$E$2:$E$2657,Data!$A$2:$A$2657,$A498,Data!$B$2:$B$2657,$B498)+SUMIFS(Data!$G$2:$G$2657,Data!$A$2:$A$2657,$A498,Data!$B$2:$B$2657,$B498)</f>
        <v>706.975753</v>
      </c>
      <c r="E498" s="10" t="n">
        <f aca="false">IFERROR((SUMIFS(Data!$E$2:$E$2657,Data!$A$2:$A$2657,$A498,Data!$B$2:$B$2657,$B498,Data!$D$2:$D$2657,"Transmission")+SUMIFS(Data!$G$2:$G$2657,Data!$A$2:$A$2657,$A498,Data!$B$2:$B$2657,$B498,Data!$D$2:$D$2657,"Transmission"))/$D498,0)</f>
        <v>0.523459123498398</v>
      </c>
      <c r="F498" s="10" t="n">
        <f aca="false">IFERROR((SUMIFS(Data!$E$2:$E$2657,Data!$A$2:$A$2657,$A498,Data!$B$2:$B$2657,$B498,Data!$D$2:$D$2657,"Distribution")+SUMIFS(Data!$G$2:$G$2657,Data!$A$2:$A$2657,$A498,Data!$B$2:$B$2657,$B498,Data!$D$2:$D$2657,"Distribution"))/$D498,0)</f>
        <v>0.186419318400585</v>
      </c>
      <c r="G498" s="10" t="n">
        <f aca="false">IFERROR((SUMIFS(Data!$E$2:$E$2657,Data!$A$2:$A$2657,$A498,Data!$B$2:$B$2657,$B498,Data!$D$2:$D$2657,"RTO/market operation")+SUMIFS(Data!$G$2:$G$2657,Data!$A$2:$A$2657,$A498,Data!$B$2:$B$2657,$B498,Data!$D$2:$D$2657,"RTO/market operation"))/$D498,0)</f>
        <v>0.00505495695550396</v>
      </c>
      <c r="H498" s="10" t="n">
        <f aca="false">IFERROR((SUMIFS(Data!$E$2:$E$2657,Data!$A$2:$A$2657,$A498,Data!$B$2:$B$2657,$B498,Data!$D$2:$D$2657,"Customer accounts, service &amp; sales")+SUMIFS(Data!$G$2:$G$2657,Data!$A$2:$A$2657,$A498,Data!$B$2:$B$2657,$B498,Data!$D$2:$D$2657,"Customer accounts, service &amp; sales"))/$D498,0)</f>
        <v>0.0570189597435883</v>
      </c>
      <c r="I498" s="10" t="n">
        <f aca="false">IFERROR((SUMIFS(Data!$E$2:$E$2657,Data!$A$2:$A$2657,$A498,Data!$B$2:$B$2657,$B498,Data!$D$2:$D$2657,"A&amp;G and general")+SUMIFS(Data!$G$2:$G$2657,Data!$A$2:$A$2657,$A498,Data!$B$2:$B$2657,$B498,Data!$D$2:$D$2657,"A&amp;G and general"))/$D498,0)</f>
        <v>0.228047641401925</v>
      </c>
      <c r="J498" s="10" t="n">
        <f aca="false">IFERROR(SUMIFS(Data!$F$2:$F$2657,Data!$A$2:$A$2657,$A498,Data!$B$2:$B$2657,$B498)/$D498,0)</f>
        <v>0.518563791536426</v>
      </c>
      <c r="K498" s="11" t="n">
        <f aca="false">SUM(E498:I498)</f>
        <v>1</v>
      </c>
    </row>
    <row r="499" customFormat="false" ht="15" hidden="false" customHeight="false" outlineLevel="0" collapsed="false">
      <c r="A499" s="7" t="n">
        <v>2021</v>
      </c>
      <c r="B499" s="12" t="s">
        <v>71</v>
      </c>
      <c r="C499" s="12" t="s">
        <v>72</v>
      </c>
      <c r="D499" s="9" t="n">
        <f aca="false">SUMIFS(Data!$E$2:$E$2657,Data!$A$2:$A$2657,$A499,Data!$B$2:$B$2657,$B499)+SUMIFS(Data!$G$2:$G$2657,Data!$A$2:$A$2657,$A499,Data!$B$2:$B$2657,$B499)</f>
        <v>138.702935</v>
      </c>
      <c r="E499" s="10" t="n">
        <f aca="false">IFERROR((SUMIFS(Data!$E$2:$E$2657,Data!$A$2:$A$2657,$A499,Data!$B$2:$B$2657,$B499,Data!$D$2:$D$2657,"Transmission")+SUMIFS(Data!$G$2:$G$2657,Data!$A$2:$A$2657,$A499,Data!$B$2:$B$2657,$B499,Data!$D$2:$D$2657,"Transmission"))/$D499,0)</f>
        <v>0.307770935056277</v>
      </c>
      <c r="F499" s="10" t="n">
        <f aca="false">IFERROR((SUMIFS(Data!$E$2:$E$2657,Data!$A$2:$A$2657,$A499,Data!$B$2:$B$2657,$B499,Data!$D$2:$D$2657,"Distribution")+SUMIFS(Data!$G$2:$G$2657,Data!$A$2:$A$2657,$A499,Data!$B$2:$B$2657,$B499,Data!$D$2:$D$2657,"Distribution"))/$D499,0)</f>
        <v>0.22706980930144</v>
      </c>
      <c r="G499" s="10" t="n">
        <f aca="false">IFERROR((SUMIFS(Data!$E$2:$E$2657,Data!$A$2:$A$2657,$A499,Data!$B$2:$B$2657,$B499,Data!$D$2:$D$2657,"RTO/market operation")+SUMIFS(Data!$G$2:$G$2657,Data!$A$2:$A$2657,$A499,Data!$B$2:$B$2657,$B499,Data!$D$2:$D$2657,"RTO/market operation"))/$D499,0)</f>
        <v>0.00464099768328623</v>
      </c>
      <c r="H499" s="10" t="n">
        <f aca="false">IFERROR((SUMIFS(Data!$E$2:$E$2657,Data!$A$2:$A$2657,$A499,Data!$B$2:$B$2657,$B499,Data!$D$2:$D$2657,"Customer accounts, service &amp; sales")+SUMIFS(Data!$G$2:$G$2657,Data!$A$2:$A$2657,$A499,Data!$B$2:$B$2657,$B499,Data!$D$2:$D$2657,"Customer accounts, service &amp; sales"))/$D499,0)</f>
        <v>0.135681137533247</v>
      </c>
      <c r="I499" s="10" t="n">
        <f aca="false">IFERROR((SUMIFS(Data!$E$2:$E$2657,Data!$A$2:$A$2657,$A499,Data!$B$2:$B$2657,$B499,Data!$D$2:$D$2657,"A&amp;G and general")+SUMIFS(Data!$G$2:$G$2657,Data!$A$2:$A$2657,$A499,Data!$B$2:$B$2657,$B499,Data!$D$2:$D$2657,"A&amp;G and general"))/$D499,0)</f>
        <v>0.32483712042575</v>
      </c>
      <c r="J499" s="10" t="n">
        <f aca="false">IFERROR(SUMIFS(Data!$F$2:$F$2657,Data!$A$2:$A$2657,$A499,Data!$B$2:$B$2657,$B499)/$D499,0)</f>
        <v>0.307711195873397</v>
      </c>
      <c r="K499" s="11" t="n">
        <f aca="false">SUM(E499:I499)</f>
        <v>1</v>
      </c>
    </row>
    <row r="500" customFormat="false" ht="15" hidden="false" customHeight="false" outlineLevel="0" collapsed="false">
      <c r="A500" s="7" t="n">
        <v>2021</v>
      </c>
      <c r="B500" s="12" t="s">
        <v>73</v>
      </c>
      <c r="C500" s="12" t="s">
        <v>70</v>
      </c>
      <c r="D500" s="9" t="n">
        <f aca="false">SUMIFS(Data!$E$2:$E$2657,Data!$A$2:$A$2657,$A500,Data!$B$2:$B$2657,$B500)+SUMIFS(Data!$G$2:$G$2657,Data!$A$2:$A$2657,$A500,Data!$B$2:$B$2657,$B500)</f>
        <v>494.175996</v>
      </c>
      <c r="E500" s="10" t="n">
        <f aca="false">IFERROR((SUMIFS(Data!$E$2:$E$2657,Data!$A$2:$A$2657,$A500,Data!$B$2:$B$2657,$B500,Data!$D$2:$D$2657,"Transmission")+SUMIFS(Data!$G$2:$G$2657,Data!$A$2:$A$2657,$A500,Data!$B$2:$B$2657,$B500,Data!$D$2:$D$2657,"Transmission"))/$D500,0)</f>
        <v>0.278753169144217</v>
      </c>
      <c r="F500" s="10" t="n">
        <f aca="false">IFERROR((SUMIFS(Data!$E$2:$E$2657,Data!$A$2:$A$2657,$A500,Data!$B$2:$B$2657,$B500,Data!$D$2:$D$2657,"Distribution")+SUMIFS(Data!$G$2:$G$2657,Data!$A$2:$A$2657,$A500,Data!$B$2:$B$2657,$B500,Data!$D$2:$D$2657,"Distribution"))/$D500,0)</f>
        <v>0.341592113672798</v>
      </c>
      <c r="G500" s="10" t="n">
        <f aca="false">IFERROR((SUMIFS(Data!$E$2:$E$2657,Data!$A$2:$A$2657,$A500,Data!$B$2:$B$2657,$B500,Data!$D$2:$D$2657,"RTO/market operation")+SUMIFS(Data!$G$2:$G$2657,Data!$A$2:$A$2657,$A500,Data!$B$2:$B$2657,$B500,Data!$D$2:$D$2657,"RTO/market operation"))/$D500,0)</f>
        <v>0.014623842636015</v>
      </c>
      <c r="H500" s="10" t="n">
        <f aca="false">IFERROR((SUMIFS(Data!$E$2:$E$2657,Data!$A$2:$A$2657,$A500,Data!$B$2:$B$2657,$B500,Data!$D$2:$D$2657,"Customer accounts, service &amp; sales")+SUMIFS(Data!$G$2:$G$2657,Data!$A$2:$A$2657,$A500,Data!$B$2:$B$2657,$B500,Data!$D$2:$D$2657,"Customer accounts, service &amp; sales"))/$D500,0)</f>
        <v>0.164927409788637</v>
      </c>
      <c r="I500" s="10" t="n">
        <f aca="false">IFERROR((SUMIFS(Data!$E$2:$E$2657,Data!$A$2:$A$2657,$A500,Data!$B$2:$B$2657,$B500,Data!$D$2:$D$2657,"A&amp;G and general")+SUMIFS(Data!$G$2:$G$2657,Data!$A$2:$A$2657,$A500,Data!$B$2:$B$2657,$B500,Data!$D$2:$D$2657,"A&amp;G and general"))/$D500,0)</f>
        <v>0.200103464758333</v>
      </c>
      <c r="J500" s="10" t="n">
        <f aca="false">IFERROR(SUMIFS(Data!$F$2:$F$2657,Data!$A$2:$A$2657,$A500,Data!$B$2:$B$2657,$B500)/$D500,0)</f>
        <v>0.141702435097637</v>
      </c>
      <c r="K500" s="11" t="n">
        <f aca="false">SUM(E500:I500)</f>
        <v>1</v>
      </c>
    </row>
    <row r="501" customFormat="false" ht="15" hidden="false" customHeight="false" outlineLevel="0" collapsed="false">
      <c r="A501" s="7" t="n">
        <v>2021</v>
      </c>
      <c r="B501" s="12" t="s">
        <v>74</v>
      </c>
      <c r="C501" s="12" t="s">
        <v>65</v>
      </c>
      <c r="D501" s="9" t="n">
        <f aca="false">SUMIFS(Data!$E$2:$E$2657,Data!$A$2:$A$2657,$A501,Data!$B$2:$B$2657,$B501)+SUMIFS(Data!$G$2:$G$2657,Data!$A$2:$A$2657,$A501,Data!$B$2:$B$2657,$B501)</f>
        <v>476.765115</v>
      </c>
      <c r="E501" s="10" t="n">
        <f aca="false">IFERROR((SUMIFS(Data!$E$2:$E$2657,Data!$A$2:$A$2657,$A501,Data!$B$2:$B$2657,$B501,Data!$D$2:$D$2657,"Transmission")+SUMIFS(Data!$G$2:$G$2657,Data!$A$2:$A$2657,$A501,Data!$B$2:$B$2657,$B501,Data!$D$2:$D$2657,"Transmission"))/$D501,0)</f>
        <v>0.216275498680309</v>
      </c>
      <c r="F501" s="10" t="n">
        <f aca="false">IFERROR((SUMIFS(Data!$E$2:$E$2657,Data!$A$2:$A$2657,$A501,Data!$B$2:$B$2657,$B501,Data!$D$2:$D$2657,"Distribution")+SUMIFS(Data!$G$2:$G$2657,Data!$A$2:$A$2657,$A501,Data!$B$2:$B$2657,$B501,Data!$D$2:$D$2657,"Distribution"))/$D501,0)</f>
        <v>0.297917004686889</v>
      </c>
      <c r="G501" s="10" t="n">
        <f aca="false">IFERROR((SUMIFS(Data!$E$2:$E$2657,Data!$A$2:$A$2657,$A501,Data!$B$2:$B$2657,$B501,Data!$D$2:$D$2657,"RTO/market operation")+SUMIFS(Data!$G$2:$G$2657,Data!$A$2:$A$2657,$A501,Data!$B$2:$B$2657,$B501,Data!$D$2:$D$2657,"RTO/market operation"))/$D501,0)</f>
        <v>0.0117560153284286</v>
      </c>
      <c r="H501" s="10" t="n">
        <f aca="false">IFERROR((SUMIFS(Data!$E$2:$E$2657,Data!$A$2:$A$2657,$A501,Data!$B$2:$B$2657,$B501,Data!$D$2:$D$2657,"Customer accounts, service &amp; sales")+SUMIFS(Data!$G$2:$G$2657,Data!$A$2:$A$2657,$A501,Data!$B$2:$B$2657,$B501,Data!$D$2:$D$2657,"Customer accounts, service &amp; sales"))/$D501,0)</f>
        <v>0.0360745143863976</v>
      </c>
      <c r="I501" s="10" t="n">
        <f aca="false">IFERROR((SUMIFS(Data!$E$2:$E$2657,Data!$A$2:$A$2657,$A501,Data!$B$2:$B$2657,$B501,Data!$D$2:$D$2657,"A&amp;G and general")+SUMIFS(Data!$G$2:$G$2657,Data!$A$2:$A$2657,$A501,Data!$B$2:$B$2657,$B501,Data!$D$2:$D$2657,"A&amp;G and general"))/$D501,0)</f>
        <v>0.437976966917976</v>
      </c>
      <c r="J501" s="10" t="n">
        <f aca="false">IFERROR(SUMIFS(Data!$F$2:$F$2657,Data!$A$2:$A$2657,$A501,Data!$B$2:$B$2657,$B501)/$D501,0)</f>
        <v>0</v>
      </c>
      <c r="K501" s="11" t="n">
        <f aca="false">SUM(E501:I501)</f>
        <v>1</v>
      </c>
    </row>
    <row r="502" customFormat="false" ht="15" hidden="false" customHeight="false" outlineLevel="0" collapsed="false">
      <c r="A502" s="7" t="n">
        <v>2021</v>
      </c>
      <c r="B502" s="12" t="s">
        <v>75</v>
      </c>
      <c r="C502" s="12" t="s">
        <v>57</v>
      </c>
      <c r="D502" s="9" t="n">
        <f aca="false">SUMIFS(Data!$E$2:$E$2657,Data!$A$2:$A$2657,$A502,Data!$B$2:$B$2657,$B502)+SUMIFS(Data!$G$2:$G$2657,Data!$A$2:$A$2657,$A502,Data!$B$2:$B$2657,$B502)</f>
        <v>1340.871139</v>
      </c>
      <c r="E502" s="10" t="n">
        <f aca="false">IFERROR((SUMIFS(Data!$E$2:$E$2657,Data!$A$2:$A$2657,$A502,Data!$B$2:$B$2657,$B502,Data!$D$2:$D$2657,"Transmission")+SUMIFS(Data!$G$2:$G$2657,Data!$A$2:$A$2657,$A502,Data!$B$2:$B$2657,$B502,Data!$D$2:$D$2657,"Transmission"))/$D502,0)</f>
        <v>0.356155960188804</v>
      </c>
      <c r="F502" s="10" t="n">
        <f aca="false">IFERROR((SUMIFS(Data!$E$2:$E$2657,Data!$A$2:$A$2657,$A502,Data!$B$2:$B$2657,$B502,Data!$D$2:$D$2657,"Distribution")+SUMIFS(Data!$G$2:$G$2657,Data!$A$2:$A$2657,$A502,Data!$B$2:$B$2657,$B502,Data!$D$2:$D$2657,"Distribution"))/$D502,0)</f>
        <v>0.183160891346473</v>
      </c>
      <c r="G502" s="10" t="n">
        <f aca="false">IFERROR((SUMIFS(Data!$E$2:$E$2657,Data!$A$2:$A$2657,$A502,Data!$B$2:$B$2657,$B502,Data!$D$2:$D$2657,"RTO/market operation")+SUMIFS(Data!$G$2:$G$2657,Data!$A$2:$A$2657,$A502,Data!$B$2:$B$2657,$B502,Data!$D$2:$D$2657,"RTO/market operation"))/$D502,0)</f>
        <v>0.00795538861993509</v>
      </c>
      <c r="H502" s="10" t="n">
        <f aca="false">IFERROR((SUMIFS(Data!$E$2:$E$2657,Data!$A$2:$A$2657,$A502,Data!$B$2:$B$2657,$B502,Data!$D$2:$D$2657,"Customer accounts, service &amp; sales")+SUMIFS(Data!$G$2:$G$2657,Data!$A$2:$A$2657,$A502,Data!$B$2:$B$2657,$B502,Data!$D$2:$D$2657,"Customer accounts, service &amp; sales"))/$D502,0)</f>
        <v>0.150699909277412</v>
      </c>
      <c r="I502" s="10" t="n">
        <f aca="false">IFERROR((SUMIFS(Data!$E$2:$E$2657,Data!$A$2:$A$2657,$A502,Data!$B$2:$B$2657,$B502,Data!$D$2:$D$2657,"A&amp;G and general")+SUMIFS(Data!$G$2:$G$2657,Data!$A$2:$A$2657,$A502,Data!$B$2:$B$2657,$B502,Data!$D$2:$D$2657,"A&amp;G and general"))/$D502,0)</f>
        <v>0.302027850567377</v>
      </c>
      <c r="J502" s="10" t="n">
        <f aca="false">IFERROR(SUMIFS(Data!$F$2:$F$2657,Data!$A$2:$A$2657,$A502,Data!$B$2:$B$2657,$B502)/$D502,0)</f>
        <v>0.25998209064294</v>
      </c>
      <c r="K502" s="11" t="n">
        <f aca="false">SUM(E502:I502)</f>
        <v>1</v>
      </c>
    </row>
    <row r="503" customFormat="false" ht="15" hidden="false" customHeight="false" outlineLevel="0" collapsed="false">
      <c r="A503" s="7" t="n">
        <v>2021</v>
      </c>
      <c r="B503" s="12" t="s">
        <v>76</v>
      </c>
      <c r="C503" s="12" t="s">
        <v>72</v>
      </c>
      <c r="D503" s="9" t="n">
        <f aca="false">SUMIFS(Data!$E$2:$E$2657,Data!$A$2:$A$2657,$A503,Data!$B$2:$B$2657,$B503)+SUMIFS(Data!$G$2:$G$2657,Data!$A$2:$A$2657,$A503,Data!$B$2:$B$2657,$B503)</f>
        <v>268.72792</v>
      </c>
      <c r="E503" s="10" t="n">
        <f aca="false">IFERROR((SUMIFS(Data!$E$2:$E$2657,Data!$A$2:$A$2657,$A503,Data!$B$2:$B$2657,$B503,Data!$D$2:$D$2657,"Transmission")+SUMIFS(Data!$G$2:$G$2657,Data!$A$2:$A$2657,$A503,Data!$B$2:$B$2657,$B503,Data!$D$2:$D$2657,"Transmission"))/$D503,0)</f>
        <v>0.426049954169258</v>
      </c>
      <c r="F503" s="10" t="n">
        <f aca="false">IFERROR((SUMIFS(Data!$E$2:$E$2657,Data!$A$2:$A$2657,$A503,Data!$B$2:$B$2657,$B503,Data!$D$2:$D$2657,"Distribution")+SUMIFS(Data!$G$2:$G$2657,Data!$A$2:$A$2657,$A503,Data!$B$2:$B$2657,$B503,Data!$D$2:$D$2657,"Distribution"))/$D503,0)</f>
        <v>0.240244560371695</v>
      </c>
      <c r="G503" s="10" t="n">
        <f aca="false">IFERROR((SUMIFS(Data!$E$2:$E$2657,Data!$A$2:$A$2657,$A503,Data!$B$2:$B$2657,$B503,Data!$D$2:$D$2657,"RTO/market operation")+SUMIFS(Data!$G$2:$G$2657,Data!$A$2:$A$2657,$A503,Data!$B$2:$B$2657,$B503,Data!$D$2:$D$2657,"RTO/market operation"))/$D503,0)</f>
        <v>0</v>
      </c>
      <c r="H503" s="10" t="n">
        <f aca="false">IFERROR((SUMIFS(Data!$E$2:$E$2657,Data!$A$2:$A$2657,$A503,Data!$B$2:$B$2657,$B503,Data!$D$2:$D$2657,"Customer accounts, service &amp; sales")+SUMIFS(Data!$G$2:$G$2657,Data!$A$2:$A$2657,$A503,Data!$B$2:$B$2657,$B503,Data!$D$2:$D$2657,"Customer accounts, service &amp; sales"))/$D503,0)</f>
        <v>0.0824596193800778</v>
      </c>
      <c r="I503" s="10" t="n">
        <f aca="false">IFERROR((SUMIFS(Data!$E$2:$E$2657,Data!$A$2:$A$2657,$A503,Data!$B$2:$B$2657,$B503,Data!$D$2:$D$2657,"A&amp;G and general")+SUMIFS(Data!$G$2:$G$2657,Data!$A$2:$A$2657,$A503,Data!$B$2:$B$2657,$B503,Data!$D$2:$D$2657,"A&amp;G and general"))/$D503,0)</f>
        <v>0.251245866078969</v>
      </c>
      <c r="J503" s="10" t="n">
        <f aca="false">IFERROR(SUMIFS(Data!$F$2:$F$2657,Data!$A$2:$A$2657,$A503,Data!$B$2:$B$2657,$B503)/$D503,0)</f>
        <v>0.232142838005072</v>
      </c>
      <c r="K503" s="11" t="n">
        <f aca="false">SUM(E503:I503)</f>
        <v>1</v>
      </c>
    </row>
    <row r="504" customFormat="false" ht="15" hidden="false" customHeight="false" outlineLevel="0" collapsed="false">
      <c r="A504" s="7" t="n">
        <v>2021</v>
      </c>
      <c r="B504" s="12" t="s">
        <v>77</v>
      </c>
      <c r="C504" s="12" t="s">
        <v>57</v>
      </c>
      <c r="D504" s="9" t="n">
        <f aca="false">SUMIFS(Data!$E$2:$E$2657,Data!$A$2:$A$2657,$A504,Data!$B$2:$B$2657,$B504)+SUMIFS(Data!$G$2:$G$2657,Data!$A$2:$A$2657,$A504,Data!$B$2:$B$2657,$B504)</f>
        <v>156.312352</v>
      </c>
      <c r="E504" s="10" t="n">
        <f aca="false">IFERROR((SUMIFS(Data!$E$2:$E$2657,Data!$A$2:$A$2657,$A504,Data!$B$2:$B$2657,$B504,Data!$D$2:$D$2657,"Transmission")+SUMIFS(Data!$G$2:$G$2657,Data!$A$2:$A$2657,$A504,Data!$B$2:$B$2657,$B504,Data!$D$2:$D$2657,"Transmission"))/$D504,0)</f>
        <v>0.271850902736081</v>
      </c>
      <c r="F504" s="10" t="n">
        <f aca="false">IFERROR((SUMIFS(Data!$E$2:$E$2657,Data!$A$2:$A$2657,$A504,Data!$B$2:$B$2657,$B504,Data!$D$2:$D$2657,"Distribution")+SUMIFS(Data!$G$2:$G$2657,Data!$A$2:$A$2657,$A504,Data!$B$2:$B$2657,$B504,Data!$D$2:$D$2657,"Distribution"))/$D504,0)</f>
        <v>0.192525501759451</v>
      </c>
      <c r="G504" s="10" t="n">
        <f aca="false">IFERROR((SUMIFS(Data!$E$2:$E$2657,Data!$A$2:$A$2657,$A504,Data!$B$2:$B$2657,$B504,Data!$D$2:$D$2657,"RTO/market operation")+SUMIFS(Data!$G$2:$G$2657,Data!$A$2:$A$2657,$A504,Data!$B$2:$B$2657,$B504,Data!$D$2:$D$2657,"RTO/market operation"))/$D504,0)</f>
        <v>0.00713907113367471</v>
      </c>
      <c r="H504" s="10" t="n">
        <f aca="false">IFERROR((SUMIFS(Data!$E$2:$E$2657,Data!$A$2:$A$2657,$A504,Data!$B$2:$B$2657,$B504,Data!$D$2:$D$2657,"Customer accounts, service &amp; sales")+SUMIFS(Data!$G$2:$G$2657,Data!$A$2:$A$2657,$A504,Data!$B$2:$B$2657,$B504,Data!$D$2:$D$2657,"Customer accounts, service &amp; sales"))/$D504,0)</f>
        <v>0.162537270247204</v>
      </c>
      <c r="I504" s="10" t="n">
        <f aca="false">IFERROR((SUMIFS(Data!$E$2:$E$2657,Data!$A$2:$A$2657,$A504,Data!$B$2:$B$2657,$B504,Data!$D$2:$D$2657,"A&amp;G and general")+SUMIFS(Data!$G$2:$G$2657,Data!$A$2:$A$2657,$A504,Data!$B$2:$B$2657,$B504,Data!$D$2:$D$2657,"A&amp;G and general"))/$D504,0)</f>
        <v>0.36594725412359</v>
      </c>
      <c r="J504" s="10" t="n">
        <f aca="false">IFERROR(SUMIFS(Data!$F$2:$F$2657,Data!$A$2:$A$2657,$A504,Data!$B$2:$B$2657,$B504)/$D504,0)</f>
        <v>0.135872870750483</v>
      </c>
      <c r="K504" s="11" t="n">
        <f aca="false">SUM(E504:I504)</f>
        <v>1</v>
      </c>
    </row>
    <row r="505" customFormat="false" ht="15" hidden="false" customHeight="false" outlineLevel="0" collapsed="false">
      <c r="A505" s="7" t="n">
        <v>2021</v>
      </c>
      <c r="B505" s="12" t="s">
        <v>78</v>
      </c>
      <c r="C505" s="12" t="s">
        <v>65</v>
      </c>
      <c r="D505" s="9" t="n">
        <f aca="false">SUMIFS(Data!$E$2:$E$2657,Data!$A$2:$A$2657,$A505,Data!$B$2:$B$2657,$B505)+SUMIFS(Data!$G$2:$G$2657,Data!$A$2:$A$2657,$A505,Data!$B$2:$B$2657,$B505)</f>
        <v>146.581121</v>
      </c>
      <c r="E505" s="10" t="n">
        <f aca="false">IFERROR((SUMIFS(Data!$E$2:$E$2657,Data!$A$2:$A$2657,$A505,Data!$B$2:$B$2657,$B505,Data!$D$2:$D$2657,"Transmission")+SUMIFS(Data!$G$2:$G$2657,Data!$A$2:$A$2657,$A505,Data!$B$2:$B$2657,$B505,Data!$D$2:$D$2657,"Transmission"))/$D505,0)</f>
        <v>0.236361714002719</v>
      </c>
      <c r="F505" s="10" t="n">
        <f aca="false">IFERROR((SUMIFS(Data!$E$2:$E$2657,Data!$A$2:$A$2657,$A505,Data!$B$2:$B$2657,$B505,Data!$D$2:$D$2657,"Distribution")+SUMIFS(Data!$G$2:$G$2657,Data!$A$2:$A$2657,$A505,Data!$B$2:$B$2657,$B505,Data!$D$2:$D$2657,"Distribution"))/$D505,0)</f>
        <v>0.31360208385908</v>
      </c>
      <c r="G505" s="10" t="n">
        <f aca="false">IFERROR((SUMIFS(Data!$E$2:$E$2657,Data!$A$2:$A$2657,$A505,Data!$B$2:$B$2657,$B505,Data!$D$2:$D$2657,"RTO/market operation")+SUMIFS(Data!$G$2:$G$2657,Data!$A$2:$A$2657,$A505,Data!$B$2:$B$2657,$B505,Data!$D$2:$D$2657,"RTO/market operation"))/$D505,0)</f>
        <v>0</v>
      </c>
      <c r="H505" s="10" t="n">
        <f aca="false">IFERROR((SUMIFS(Data!$E$2:$E$2657,Data!$A$2:$A$2657,$A505,Data!$B$2:$B$2657,$B505,Data!$D$2:$D$2657,"Customer accounts, service &amp; sales")+SUMIFS(Data!$G$2:$G$2657,Data!$A$2:$A$2657,$A505,Data!$B$2:$B$2657,$B505,Data!$D$2:$D$2657,"Customer accounts, service &amp; sales"))/$D505,0)</f>
        <v>0.0895408897848448</v>
      </c>
      <c r="I505" s="10" t="n">
        <f aca="false">IFERROR((SUMIFS(Data!$E$2:$E$2657,Data!$A$2:$A$2657,$A505,Data!$B$2:$B$2657,$B505,Data!$D$2:$D$2657,"A&amp;G and general")+SUMIFS(Data!$G$2:$G$2657,Data!$A$2:$A$2657,$A505,Data!$B$2:$B$2657,$B505,Data!$D$2:$D$2657,"A&amp;G and general"))/$D505,0)</f>
        <v>0.360495312353356</v>
      </c>
      <c r="J505" s="10" t="n">
        <f aca="false">IFERROR(SUMIFS(Data!$F$2:$F$2657,Data!$A$2:$A$2657,$A505,Data!$B$2:$B$2657,$B505)/$D505,0)</f>
        <v>0</v>
      </c>
      <c r="K505" s="11" t="n">
        <f aca="false">SUM(E505:I505)</f>
        <v>1</v>
      </c>
    </row>
    <row r="506" customFormat="false" ht="15" hidden="false" customHeight="false" outlineLevel="0" collapsed="false">
      <c r="A506" s="7" t="n">
        <v>2021</v>
      </c>
      <c r="B506" s="12" t="s">
        <v>79</v>
      </c>
      <c r="C506" s="12" t="s">
        <v>72</v>
      </c>
      <c r="D506" s="9" t="n">
        <f aca="false">SUMIFS(Data!$E$2:$E$2657,Data!$A$2:$A$2657,$A506,Data!$B$2:$B$2657,$B506)+SUMIFS(Data!$G$2:$G$2657,Data!$A$2:$A$2657,$A506,Data!$B$2:$B$2657,$B506)</f>
        <v>805.904728</v>
      </c>
      <c r="E506" s="10" t="n">
        <f aca="false">IFERROR((SUMIFS(Data!$E$2:$E$2657,Data!$A$2:$A$2657,$A506,Data!$B$2:$B$2657,$B506,Data!$D$2:$D$2657,"Transmission")+SUMIFS(Data!$G$2:$G$2657,Data!$A$2:$A$2657,$A506,Data!$B$2:$B$2657,$B506,Data!$D$2:$D$2657,"Transmission"))/$D506,0)</f>
        <v>0.417163863567754</v>
      </c>
      <c r="F506" s="10" t="n">
        <f aca="false">IFERROR((SUMIFS(Data!$E$2:$E$2657,Data!$A$2:$A$2657,$A506,Data!$B$2:$B$2657,$B506,Data!$D$2:$D$2657,"Distribution")+SUMIFS(Data!$G$2:$G$2657,Data!$A$2:$A$2657,$A506,Data!$B$2:$B$2657,$B506,Data!$D$2:$D$2657,"Distribution"))/$D506,0)</f>
        <v>0.273796754546401</v>
      </c>
      <c r="G506" s="10" t="n">
        <f aca="false">IFERROR((SUMIFS(Data!$E$2:$E$2657,Data!$A$2:$A$2657,$A506,Data!$B$2:$B$2657,$B506,Data!$D$2:$D$2657,"RTO/market operation")+SUMIFS(Data!$G$2:$G$2657,Data!$A$2:$A$2657,$A506,Data!$B$2:$B$2657,$B506,Data!$D$2:$D$2657,"RTO/market operation"))/$D506,0)</f>
        <v>0.00549039340044671</v>
      </c>
      <c r="H506" s="10" t="n">
        <f aca="false">IFERROR((SUMIFS(Data!$E$2:$E$2657,Data!$A$2:$A$2657,$A506,Data!$B$2:$B$2657,$B506,Data!$D$2:$D$2657,"Customer accounts, service &amp; sales")+SUMIFS(Data!$G$2:$G$2657,Data!$A$2:$A$2657,$A506,Data!$B$2:$B$2657,$B506,Data!$D$2:$D$2657,"Customer accounts, service &amp; sales"))/$D506,0)</f>
        <v>0.103180752154614</v>
      </c>
      <c r="I506" s="10" t="n">
        <f aca="false">IFERROR((SUMIFS(Data!$E$2:$E$2657,Data!$A$2:$A$2657,$A506,Data!$B$2:$B$2657,$B506,Data!$D$2:$D$2657,"A&amp;G and general")+SUMIFS(Data!$G$2:$G$2657,Data!$A$2:$A$2657,$A506,Data!$B$2:$B$2657,$B506,Data!$D$2:$D$2657,"A&amp;G and general"))/$D506,0)</f>
        <v>0.200368236330784</v>
      </c>
      <c r="J506" s="10" t="n">
        <f aca="false">IFERROR(SUMIFS(Data!$F$2:$F$2657,Data!$A$2:$A$2657,$A506,Data!$B$2:$B$2657,$B506)/$D506,0)</f>
        <v>0.399623719542194</v>
      </c>
      <c r="K506" s="11" t="n">
        <f aca="false">SUM(E506:I506)</f>
        <v>1</v>
      </c>
    </row>
    <row r="507" customFormat="false" ht="15" hidden="false" customHeight="false" outlineLevel="0" collapsed="false">
      <c r="A507" s="7" t="n">
        <v>2021</v>
      </c>
      <c r="B507" s="12" t="s">
        <v>80</v>
      </c>
      <c r="C507" s="12" t="s">
        <v>72</v>
      </c>
      <c r="D507" s="9" t="n">
        <f aca="false">SUMIFS(Data!$E$2:$E$2657,Data!$A$2:$A$2657,$A507,Data!$B$2:$B$2657,$B507)+SUMIFS(Data!$G$2:$G$2657,Data!$A$2:$A$2657,$A507,Data!$B$2:$B$2657,$B507)</f>
        <v>438.144632</v>
      </c>
      <c r="E507" s="10" t="n">
        <f aca="false">IFERROR((SUMIFS(Data!$E$2:$E$2657,Data!$A$2:$A$2657,$A507,Data!$B$2:$B$2657,$B507,Data!$D$2:$D$2657,"Transmission")+SUMIFS(Data!$G$2:$G$2657,Data!$A$2:$A$2657,$A507,Data!$B$2:$B$2657,$B507,Data!$D$2:$D$2657,"Transmission"))/$D507,0)</f>
        <v>0.395514456513985</v>
      </c>
      <c r="F507" s="10" t="n">
        <f aca="false">IFERROR((SUMIFS(Data!$E$2:$E$2657,Data!$A$2:$A$2657,$A507,Data!$B$2:$B$2657,$B507,Data!$D$2:$D$2657,"Distribution")+SUMIFS(Data!$G$2:$G$2657,Data!$A$2:$A$2657,$A507,Data!$B$2:$B$2657,$B507,Data!$D$2:$D$2657,"Distribution"))/$D507,0)</f>
        <v>0.227079283262793</v>
      </c>
      <c r="G507" s="10" t="n">
        <f aca="false">IFERROR((SUMIFS(Data!$E$2:$E$2657,Data!$A$2:$A$2657,$A507,Data!$B$2:$B$2657,$B507,Data!$D$2:$D$2657,"RTO/market operation")+SUMIFS(Data!$G$2:$G$2657,Data!$A$2:$A$2657,$A507,Data!$B$2:$B$2657,$B507,Data!$D$2:$D$2657,"RTO/market operation"))/$D507,0)</f>
        <v>0.00616468810235247</v>
      </c>
      <c r="H507" s="10" t="n">
        <f aca="false">IFERROR((SUMIFS(Data!$E$2:$E$2657,Data!$A$2:$A$2657,$A507,Data!$B$2:$B$2657,$B507,Data!$D$2:$D$2657,"Customer accounts, service &amp; sales")+SUMIFS(Data!$G$2:$G$2657,Data!$A$2:$A$2657,$A507,Data!$B$2:$B$2657,$B507,Data!$D$2:$D$2657,"Customer accounts, service &amp; sales"))/$D507,0)</f>
        <v>0.0759987537631181</v>
      </c>
      <c r="I507" s="10" t="n">
        <f aca="false">IFERROR((SUMIFS(Data!$E$2:$E$2657,Data!$A$2:$A$2657,$A507,Data!$B$2:$B$2657,$B507,Data!$D$2:$D$2657,"A&amp;G and general")+SUMIFS(Data!$G$2:$G$2657,Data!$A$2:$A$2657,$A507,Data!$B$2:$B$2657,$B507,Data!$D$2:$D$2657,"A&amp;G and general"))/$D507,0)</f>
        <v>0.295242818357752</v>
      </c>
      <c r="J507" s="10" t="n">
        <f aca="false">IFERROR(SUMIFS(Data!$F$2:$F$2657,Data!$A$2:$A$2657,$A507,Data!$B$2:$B$2657,$B507)/$D507,0)</f>
        <v>0.389000297052595</v>
      </c>
      <c r="K507" s="11" t="n">
        <f aca="false">SUM(E507:I507)</f>
        <v>1</v>
      </c>
    </row>
    <row r="508" customFormat="false" ht="15" hidden="false" customHeight="false" outlineLevel="0" collapsed="false">
      <c r="A508" s="7" t="n">
        <v>2021</v>
      </c>
      <c r="B508" s="12" t="s">
        <v>81</v>
      </c>
      <c r="C508" s="12" t="s">
        <v>72</v>
      </c>
      <c r="D508" s="9" t="n">
        <f aca="false">SUMIFS(Data!$E$2:$E$2657,Data!$A$2:$A$2657,$A508,Data!$B$2:$B$2657,$B508)+SUMIFS(Data!$G$2:$G$2657,Data!$A$2:$A$2657,$A508,Data!$B$2:$B$2657,$B508)</f>
        <v>315.383716</v>
      </c>
      <c r="E508" s="10" t="n">
        <f aca="false">IFERROR((SUMIFS(Data!$E$2:$E$2657,Data!$A$2:$A$2657,$A508,Data!$B$2:$B$2657,$B508,Data!$D$2:$D$2657,"Transmission")+SUMIFS(Data!$G$2:$G$2657,Data!$A$2:$A$2657,$A508,Data!$B$2:$B$2657,$B508,Data!$D$2:$D$2657,"Transmission"))/$D508,0)</f>
        <v>0.476466600450608</v>
      </c>
      <c r="F508" s="10" t="n">
        <f aca="false">IFERROR((SUMIFS(Data!$E$2:$E$2657,Data!$A$2:$A$2657,$A508,Data!$B$2:$B$2657,$B508,Data!$D$2:$D$2657,"Distribution")+SUMIFS(Data!$G$2:$G$2657,Data!$A$2:$A$2657,$A508,Data!$B$2:$B$2657,$B508,Data!$D$2:$D$2657,"Distribution"))/$D508,0)</f>
        <v>0.228490056220912</v>
      </c>
      <c r="G508" s="10" t="n">
        <f aca="false">IFERROR((SUMIFS(Data!$E$2:$E$2657,Data!$A$2:$A$2657,$A508,Data!$B$2:$B$2657,$B508,Data!$D$2:$D$2657,"RTO/market operation")+SUMIFS(Data!$G$2:$G$2657,Data!$A$2:$A$2657,$A508,Data!$B$2:$B$2657,$B508,Data!$D$2:$D$2657,"RTO/market operation"))/$D508,0)</f>
        <v>0.00663830722319221</v>
      </c>
      <c r="H508" s="10" t="n">
        <f aca="false">IFERROR((SUMIFS(Data!$E$2:$E$2657,Data!$A$2:$A$2657,$A508,Data!$B$2:$B$2657,$B508,Data!$D$2:$D$2657,"Customer accounts, service &amp; sales")+SUMIFS(Data!$G$2:$G$2657,Data!$A$2:$A$2657,$A508,Data!$B$2:$B$2657,$B508,Data!$D$2:$D$2657,"Customer accounts, service &amp; sales"))/$D508,0)</f>
        <v>0.0720984909696479</v>
      </c>
      <c r="I508" s="10" t="n">
        <f aca="false">IFERROR((SUMIFS(Data!$E$2:$E$2657,Data!$A$2:$A$2657,$A508,Data!$B$2:$B$2657,$B508,Data!$D$2:$D$2657,"A&amp;G and general")+SUMIFS(Data!$G$2:$G$2657,Data!$A$2:$A$2657,$A508,Data!$B$2:$B$2657,$B508,Data!$D$2:$D$2657,"A&amp;G and general"))/$D508,0)</f>
        <v>0.21630654513564</v>
      </c>
      <c r="J508" s="10" t="n">
        <f aca="false">IFERROR(SUMIFS(Data!$F$2:$F$2657,Data!$A$2:$A$2657,$A508,Data!$B$2:$B$2657,$B508)/$D508,0)</f>
        <v>0.456413862534361</v>
      </c>
      <c r="K508" s="11" t="n">
        <f aca="false">SUM(E508:I508)</f>
        <v>1</v>
      </c>
    </row>
    <row r="509" customFormat="false" ht="15" hidden="false" customHeight="false" outlineLevel="0" collapsed="false">
      <c r="A509" s="7" t="n">
        <v>2022</v>
      </c>
      <c r="B509" s="12" t="s">
        <v>56</v>
      </c>
      <c r="C509" s="12" t="s">
        <v>57</v>
      </c>
      <c r="D509" s="9" t="n">
        <f aca="false">SUMIFS(Data!$E$2:$E$2657,Data!$A$2:$A$2657,$A509,Data!$B$2:$B$2657,$B509)+SUMIFS(Data!$G$2:$G$2657,Data!$A$2:$A$2657,$A509,Data!$B$2:$B$2657,$B509)</f>
        <v>283.319391</v>
      </c>
      <c r="E509" s="10" t="n">
        <f aca="false">IFERROR((SUMIFS(Data!$E$2:$E$2657,Data!$A$2:$A$2657,$A509,Data!$B$2:$B$2657,$B509,Data!$D$2:$D$2657,"Transmission")+SUMIFS(Data!$G$2:$G$2657,Data!$A$2:$A$2657,$A509,Data!$B$2:$B$2657,$B509,Data!$D$2:$D$2657,"Transmission"))/$D509,0)</f>
        <v>0.447486878863156</v>
      </c>
      <c r="F509" s="10" t="n">
        <f aca="false">IFERROR((SUMIFS(Data!$E$2:$E$2657,Data!$A$2:$A$2657,$A509,Data!$B$2:$B$2657,$B509,Data!$D$2:$D$2657,"Distribution")+SUMIFS(Data!$G$2:$G$2657,Data!$A$2:$A$2657,$A509,Data!$B$2:$B$2657,$B509,Data!$D$2:$D$2657,"Distribution"))/$D509,0)</f>
        <v>0.190857525879688</v>
      </c>
      <c r="G509" s="10" t="n">
        <f aca="false">IFERROR((SUMIFS(Data!$E$2:$E$2657,Data!$A$2:$A$2657,$A509,Data!$B$2:$B$2657,$B509,Data!$D$2:$D$2657,"RTO/market operation")+SUMIFS(Data!$G$2:$G$2657,Data!$A$2:$A$2657,$A509,Data!$B$2:$B$2657,$B509,Data!$D$2:$D$2657,"RTO/market operation"))/$D509,0)</f>
        <v>0</v>
      </c>
      <c r="H509" s="10" t="n">
        <f aca="false">IFERROR((SUMIFS(Data!$E$2:$E$2657,Data!$A$2:$A$2657,$A509,Data!$B$2:$B$2657,$B509,Data!$D$2:$D$2657,"Customer accounts, service &amp; sales")+SUMIFS(Data!$G$2:$G$2657,Data!$A$2:$A$2657,$A509,Data!$B$2:$B$2657,$B509,Data!$D$2:$D$2657,"Customer accounts, service &amp; sales"))/$D509,0)</f>
        <v>0.0696919364760317</v>
      </c>
      <c r="I509" s="10" t="n">
        <f aca="false">IFERROR((SUMIFS(Data!$E$2:$E$2657,Data!$A$2:$A$2657,$A509,Data!$B$2:$B$2657,$B509,Data!$D$2:$D$2657,"A&amp;G and general")+SUMIFS(Data!$G$2:$G$2657,Data!$A$2:$A$2657,$A509,Data!$B$2:$B$2657,$B509,Data!$D$2:$D$2657,"A&amp;G and general"))/$D509,0)</f>
        <v>0.291963658781125</v>
      </c>
      <c r="J509" s="10" t="n">
        <f aca="false">IFERROR(SUMIFS(Data!$F$2:$F$2657,Data!$A$2:$A$2657,$A509,Data!$B$2:$B$2657,$B509)/$D509,0)</f>
        <v>0.263198536241383</v>
      </c>
      <c r="K509" s="11" t="n">
        <f aca="false">SUM(E509:I509)</f>
        <v>1</v>
      </c>
    </row>
    <row r="510" customFormat="false" ht="15" hidden="false" customHeight="false" outlineLevel="0" collapsed="false">
      <c r="A510" s="7" t="n">
        <v>2022</v>
      </c>
      <c r="B510" s="12" t="s">
        <v>58</v>
      </c>
      <c r="C510" s="12" t="s">
        <v>59</v>
      </c>
      <c r="D510" s="9" t="n">
        <f aca="false">SUMIFS(Data!$E$2:$E$2657,Data!$A$2:$A$2657,$A510,Data!$B$2:$B$2657,$B510)+SUMIFS(Data!$G$2:$G$2657,Data!$A$2:$A$2657,$A510,Data!$B$2:$B$2657,$B510)</f>
        <v>986.280166</v>
      </c>
      <c r="E510" s="10" t="n">
        <f aca="false">IFERROR((SUMIFS(Data!$E$2:$E$2657,Data!$A$2:$A$2657,$A510,Data!$B$2:$B$2657,$B510,Data!$D$2:$D$2657,"Transmission")+SUMIFS(Data!$G$2:$G$2657,Data!$A$2:$A$2657,$A510,Data!$B$2:$B$2657,$B510,Data!$D$2:$D$2657,"Transmission"))/$D510,0)</f>
        <v>0.147683769806236</v>
      </c>
      <c r="F510" s="10" t="n">
        <f aca="false">IFERROR((SUMIFS(Data!$E$2:$E$2657,Data!$A$2:$A$2657,$A510,Data!$B$2:$B$2657,$B510,Data!$D$2:$D$2657,"Distribution")+SUMIFS(Data!$G$2:$G$2657,Data!$A$2:$A$2657,$A510,Data!$B$2:$B$2657,$B510,Data!$D$2:$D$2657,"Distribution"))/$D510,0)</f>
        <v>0.531934395606613</v>
      </c>
      <c r="G510" s="10" t="n">
        <f aca="false">IFERROR((SUMIFS(Data!$E$2:$E$2657,Data!$A$2:$A$2657,$A510,Data!$B$2:$B$2657,$B510,Data!$D$2:$D$2657,"RTO/market operation")+SUMIFS(Data!$G$2:$G$2657,Data!$A$2:$A$2657,$A510,Data!$B$2:$B$2657,$B510,Data!$D$2:$D$2657,"RTO/market operation"))/$D510,0)</f>
        <v>0.000967138986347618</v>
      </c>
      <c r="H510" s="10" t="n">
        <f aca="false">IFERROR((SUMIFS(Data!$E$2:$E$2657,Data!$A$2:$A$2657,$A510,Data!$B$2:$B$2657,$B510,Data!$D$2:$D$2657,"Customer accounts, service &amp; sales")+SUMIFS(Data!$G$2:$G$2657,Data!$A$2:$A$2657,$A510,Data!$B$2:$B$2657,$B510,Data!$D$2:$D$2657,"Customer accounts, service &amp; sales"))/$D510,0)</f>
        <v>0.0959374103443139</v>
      </c>
      <c r="I510" s="10" t="n">
        <f aca="false">IFERROR((SUMIFS(Data!$E$2:$E$2657,Data!$A$2:$A$2657,$A510,Data!$B$2:$B$2657,$B510,Data!$D$2:$D$2657,"A&amp;G and general")+SUMIFS(Data!$G$2:$G$2657,Data!$A$2:$A$2657,$A510,Data!$B$2:$B$2657,$B510,Data!$D$2:$D$2657,"A&amp;G and general"))/$D510,0)</f>
        <v>0.22347728525649</v>
      </c>
      <c r="J510" s="10" t="n">
        <f aca="false">IFERROR(SUMIFS(Data!$F$2:$F$2657,Data!$A$2:$A$2657,$A510,Data!$B$2:$B$2657,$B510)/$D510,0)</f>
        <v>0.0400661489120932</v>
      </c>
      <c r="K510" s="11" t="n">
        <f aca="false">SUM(E510:I510)</f>
        <v>1</v>
      </c>
    </row>
    <row r="511" customFormat="false" ht="15" hidden="false" customHeight="false" outlineLevel="0" collapsed="false">
      <c r="A511" s="7" t="n">
        <v>2022</v>
      </c>
      <c r="B511" s="12" t="s">
        <v>60</v>
      </c>
      <c r="C511" s="12" t="s">
        <v>59</v>
      </c>
      <c r="D511" s="9" t="n">
        <f aca="false">SUMIFS(Data!$E$2:$E$2657,Data!$A$2:$A$2657,$A511,Data!$B$2:$B$2657,$B511)+SUMIFS(Data!$G$2:$G$2657,Data!$A$2:$A$2657,$A511,Data!$B$2:$B$2657,$B511)</f>
        <v>2790.169617</v>
      </c>
      <c r="E511" s="10" t="n">
        <f aca="false">IFERROR((SUMIFS(Data!$E$2:$E$2657,Data!$A$2:$A$2657,$A511,Data!$B$2:$B$2657,$B511,Data!$D$2:$D$2657,"Transmission")+SUMIFS(Data!$G$2:$G$2657,Data!$A$2:$A$2657,$A511,Data!$B$2:$B$2657,$B511,Data!$D$2:$D$2657,"Transmission"))/$D511,0)</f>
        <v>0.24015689939326</v>
      </c>
      <c r="F511" s="10" t="n">
        <f aca="false">IFERROR((SUMIFS(Data!$E$2:$E$2657,Data!$A$2:$A$2657,$A511,Data!$B$2:$B$2657,$B511,Data!$D$2:$D$2657,"Distribution")+SUMIFS(Data!$G$2:$G$2657,Data!$A$2:$A$2657,$A511,Data!$B$2:$B$2657,$B511,Data!$D$2:$D$2657,"Distribution"))/$D511,0)</f>
        <v>0.424249997845203</v>
      </c>
      <c r="G511" s="10" t="n">
        <f aca="false">IFERROR((SUMIFS(Data!$E$2:$E$2657,Data!$A$2:$A$2657,$A511,Data!$B$2:$B$2657,$B511,Data!$D$2:$D$2657,"RTO/market operation")+SUMIFS(Data!$G$2:$G$2657,Data!$A$2:$A$2657,$A511,Data!$B$2:$B$2657,$B511,Data!$D$2:$D$2657,"RTO/market operation"))/$D511,0)</f>
        <v>0.00236250762671824</v>
      </c>
      <c r="H511" s="10" t="n">
        <f aca="false">IFERROR((SUMIFS(Data!$E$2:$E$2657,Data!$A$2:$A$2657,$A511,Data!$B$2:$B$2657,$B511,Data!$D$2:$D$2657,"Customer accounts, service &amp; sales")+SUMIFS(Data!$G$2:$G$2657,Data!$A$2:$A$2657,$A511,Data!$B$2:$B$2657,$B511,Data!$D$2:$D$2657,"Customer accounts, service &amp; sales"))/$D511,0)</f>
        <v>0.094649438654539</v>
      </c>
      <c r="I511" s="10" t="n">
        <f aca="false">IFERROR((SUMIFS(Data!$E$2:$E$2657,Data!$A$2:$A$2657,$A511,Data!$B$2:$B$2657,$B511,Data!$D$2:$D$2657,"A&amp;G and general")+SUMIFS(Data!$G$2:$G$2657,Data!$A$2:$A$2657,$A511,Data!$B$2:$B$2657,$B511,Data!$D$2:$D$2657,"A&amp;G and general"))/$D511,0)</f>
        <v>0.23858115648028</v>
      </c>
      <c r="J511" s="10" t="n">
        <f aca="false">IFERROR(SUMIFS(Data!$F$2:$F$2657,Data!$A$2:$A$2657,$A511,Data!$B$2:$B$2657,$B511)/$D511,0)</f>
        <v>0.00319683504029784</v>
      </c>
      <c r="K511" s="11" t="n">
        <f aca="false">SUM(E511:I511)</f>
        <v>1</v>
      </c>
    </row>
    <row r="512" customFormat="false" ht="15" hidden="false" customHeight="false" outlineLevel="0" collapsed="false">
      <c r="A512" s="7" t="n">
        <v>2022</v>
      </c>
      <c r="B512" s="12" t="s">
        <v>61</v>
      </c>
      <c r="C512" s="12" t="s">
        <v>62</v>
      </c>
      <c r="D512" s="9" t="n">
        <f aca="false">SUMIFS(Data!$E$2:$E$2657,Data!$A$2:$A$2657,$A512,Data!$B$2:$B$2657,$B512)+SUMIFS(Data!$G$2:$G$2657,Data!$A$2:$A$2657,$A512,Data!$B$2:$B$2657,$B512)</f>
        <v>1588.64067</v>
      </c>
      <c r="E512" s="10" t="n">
        <f aca="false">IFERROR((SUMIFS(Data!$E$2:$E$2657,Data!$A$2:$A$2657,$A512,Data!$B$2:$B$2657,$B512,Data!$D$2:$D$2657,"Transmission")+SUMIFS(Data!$G$2:$G$2657,Data!$A$2:$A$2657,$A512,Data!$B$2:$B$2657,$B512,Data!$D$2:$D$2657,"Transmission"))/$D512,0)</f>
        <v>0.294905989659701</v>
      </c>
      <c r="F512" s="10" t="n">
        <f aca="false">IFERROR((SUMIFS(Data!$E$2:$E$2657,Data!$A$2:$A$2657,$A512,Data!$B$2:$B$2657,$B512,Data!$D$2:$D$2657,"Distribution")+SUMIFS(Data!$G$2:$G$2657,Data!$A$2:$A$2657,$A512,Data!$B$2:$B$2657,$B512,Data!$D$2:$D$2657,"Distribution"))/$D512,0)</f>
        <v>0.393988433520338</v>
      </c>
      <c r="G512" s="10" t="n">
        <f aca="false">IFERROR((SUMIFS(Data!$E$2:$E$2657,Data!$A$2:$A$2657,$A512,Data!$B$2:$B$2657,$B512,Data!$D$2:$D$2657,"RTO/market operation")+SUMIFS(Data!$G$2:$G$2657,Data!$A$2:$A$2657,$A512,Data!$B$2:$B$2657,$B512,Data!$D$2:$D$2657,"RTO/market operation"))/$D512,0)</f>
        <v>0.00523061643637765</v>
      </c>
      <c r="H512" s="10" t="n">
        <f aca="false">IFERROR((SUMIFS(Data!$E$2:$E$2657,Data!$A$2:$A$2657,$A512,Data!$B$2:$B$2657,$B512,Data!$D$2:$D$2657,"Customer accounts, service &amp; sales")+SUMIFS(Data!$G$2:$G$2657,Data!$A$2:$A$2657,$A512,Data!$B$2:$B$2657,$B512,Data!$D$2:$D$2657,"Customer accounts, service &amp; sales"))/$D512,0)</f>
        <v>0.206156060451354</v>
      </c>
      <c r="I512" s="10" t="n">
        <f aca="false">IFERROR((SUMIFS(Data!$E$2:$E$2657,Data!$A$2:$A$2657,$A512,Data!$B$2:$B$2657,$B512,Data!$D$2:$D$2657,"A&amp;G and general")+SUMIFS(Data!$G$2:$G$2657,Data!$A$2:$A$2657,$A512,Data!$B$2:$B$2657,$B512,Data!$D$2:$D$2657,"A&amp;G and general"))/$D512,0)</f>
        <v>0.0997188999322295</v>
      </c>
      <c r="J512" s="10" t="n">
        <f aca="false">IFERROR(SUMIFS(Data!$F$2:$F$2657,Data!$A$2:$A$2657,$A512,Data!$B$2:$B$2657,$B512)/$D512,0)</f>
        <v>0.28612084820918</v>
      </c>
      <c r="K512" s="11" t="n">
        <f aca="false">SUM(E512:I512)</f>
        <v>1</v>
      </c>
    </row>
    <row r="513" customFormat="false" ht="15" hidden="false" customHeight="false" outlineLevel="0" collapsed="false">
      <c r="A513" s="7" t="n">
        <v>2022</v>
      </c>
      <c r="B513" s="12" t="s">
        <v>63</v>
      </c>
      <c r="C513" s="12" t="s">
        <v>62</v>
      </c>
      <c r="D513" s="9" t="n">
        <f aca="false">SUMIFS(Data!$E$2:$E$2657,Data!$A$2:$A$2657,$A513,Data!$B$2:$B$2657,$B513)+SUMIFS(Data!$G$2:$G$2657,Data!$A$2:$A$2657,$A513,Data!$B$2:$B$2657,$B513)</f>
        <v>2167.830701</v>
      </c>
      <c r="E513" s="10" t="n">
        <f aca="false">IFERROR((SUMIFS(Data!$E$2:$E$2657,Data!$A$2:$A$2657,$A513,Data!$B$2:$B$2657,$B513,Data!$D$2:$D$2657,"Transmission")+SUMIFS(Data!$G$2:$G$2657,Data!$A$2:$A$2657,$A513,Data!$B$2:$B$2657,$B513,Data!$D$2:$D$2657,"Transmission"))/$D513,0)</f>
        <v>0.186371996122035</v>
      </c>
      <c r="F513" s="10" t="n">
        <f aca="false">IFERROR((SUMIFS(Data!$E$2:$E$2657,Data!$A$2:$A$2657,$A513,Data!$B$2:$B$2657,$B513,Data!$D$2:$D$2657,"Distribution")+SUMIFS(Data!$G$2:$G$2657,Data!$A$2:$A$2657,$A513,Data!$B$2:$B$2657,$B513,Data!$D$2:$D$2657,"Distribution"))/$D513,0)</f>
        <v>0.372486555627943</v>
      </c>
      <c r="G513" s="10" t="n">
        <f aca="false">IFERROR((SUMIFS(Data!$E$2:$E$2657,Data!$A$2:$A$2657,$A513,Data!$B$2:$B$2657,$B513,Data!$D$2:$D$2657,"RTO/market operation")+SUMIFS(Data!$G$2:$G$2657,Data!$A$2:$A$2657,$A513,Data!$B$2:$B$2657,$B513,Data!$D$2:$D$2657,"RTO/market operation"))/$D513,0)</f>
        <v>0.00400498710346477</v>
      </c>
      <c r="H513" s="10" t="n">
        <f aca="false">IFERROR((SUMIFS(Data!$E$2:$E$2657,Data!$A$2:$A$2657,$A513,Data!$B$2:$B$2657,$B513,Data!$D$2:$D$2657,"Customer accounts, service &amp; sales")+SUMIFS(Data!$G$2:$G$2657,Data!$A$2:$A$2657,$A513,Data!$B$2:$B$2657,$B513,Data!$D$2:$D$2657,"Customer accounts, service &amp; sales"))/$D513,0)</f>
        <v>0.168392156653012</v>
      </c>
      <c r="I513" s="10" t="n">
        <f aca="false">IFERROR((SUMIFS(Data!$E$2:$E$2657,Data!$A$2:$A$2657,$A513,Data!$B$2:$B$2657,$B513,Data!$D$2:$D$2657,"A&amp;G and general")+SUMIFS(Data!$G$2:$G$2657,Data!$A$2:$A$2657,$A513,Data!$B$2:$B$2657,$B513,Data!$D$2:$D$2657,"A&amp;G and general"))/$D513,0)</f>
        <v>0.268744304493545</v>
      </c>
      <c r="J513" s="10" t="n">
        <f aca="false">IFERROR(SUMIFS(Data!$F$2:$F$2657,Data!$A$2:$A$2657,$A513,Data!$B$2:$B$2657,$B513)/$D513,0)</f>
        <v>0.176196643872514</v>
      </c>
      <c r="K513" s="11" t="n">
        <f aca="false">SUM(E513:I513)</f>
        <v>1</v>
      </c>
    </row>
    <row r="514" customFormat="false" ht="15" hidden="false" customHeight="false" outlineLevel="0" collapsed="false">
      <c r="A514" s="7" t="n">
        <v>2022</v>
      </c>
      <c r="B514" s="12" t="s">
        <v>64</v>
      </c>
      <c r="C514" s="12" t="s">
        <v>65</v>
      </c>
      <c r="D514" s="9" t="n">
        <f aca="false">SUMIFS(Data!$E$2:$E$2657,Data!$A$2:$A$2657,$A514,Data!$B$2:$B$2657,$B514)+SUMIFS(Data!$G$2:$G$2657,Data!$A$2:$A$2657,$A514,Data!$B$2:$B$2657,$B514)</f>
        <v>593.227556</v>
      </c>
      <c r="E514" s="10" t="n">
        <f aca="false">IFERROR((SUMIFS(Data!$E$2:$E$2657,Data!$A$2:$A$2657,$A514,Data!$B$2:$B$2657,$B514,Data!$D$2:$D$2657,"Transmission")+SUMIFS(Data!$G$2:$G$2657,Data!$A$2:$A$2657,$A514,Data!$B$2:$B$2657,$B514,Data!$D$2:$D$2657,"Transmission"))/$D514,0)</f>
        <v>0.251773422339134</v>
      </c>
      <c r="F514" s="10" t="n">
        <f aca="false">IFERROR((SUMIFS(Data!$E$2:$E$2657,Data!$A$2:$A$2657,$A514,Data!$B$2:$B$2657,$B514,Data!$D$2:$D$2657,"Distribution")+SUMIFS(Data!$G$2:$G$2657,Data!$A$2:$A$2657,$A514,Data!$B$2:$B$2657,$B514,Data!$D$2:$D$2657,"Distribution"))/$D514,0)</f>
        <v>0.367993846192809</v>
      </c>
      <c r="G514" s="10" t="n">
        <f aca="false">IFERROR((SUMIFS(Data!$E$2:$E$2657,Data!$A$2:$A$2657,$A514,Data!$B$2:$B$2657,$B514,Data!$D$2:$D$2657,"RTO/market operation")+SUMIFS(Data!$G$2:$G$2657,Data!$A$2:$A$2657,$A514,Data!$B$2:$B$2657,$B514,Data!$D$2:$D$2657,"RTO/market operation"))/$D514,0)</f>
        <v>0.00865618083324504</v>
      </c>
      <c r="H514" s="10" t="n">
        <f aca="false">IFERROR((SUMIFS(Data!$E$2:$E$2657,Data!$A$2:$A$2657,$A514,Data!$B$2:$B$2657,$B514,Data!$D$2:$D$2657,"Customer accounts, service &amp; sales")+SUMIFS(Data!$G$2:$G$2657,Data!$A$2:$A$2657,$A514,Data!$B$2:$B$2657,$B514,Data!$D$2:$D$2657,"Customer accounts, service &amp; sales"))/$D514,0)</f>
        <v>0.0496298388404601</v>
      </c>
      <c r="I514" s="10" t="n">
        <f aca="false">IFERROR((SUMIFS(Data!$E$2:$E$2657,Data!$A$2:$A$2657,$A514,Data!$B$2:$B$2657,$B514,Data!$D$2:$D$2657,"A&amp;G and general")+SUMIFS(Data!$G$2:$G$2657,Data!$A$2:$A$2657,$A514,Data!$B$2:$B$2657,$B514,Data!$D$2:$D$2657,"A&amp;G and general"))/$D514,0)</f>
        <v>0.321946711794352</v>
      </c>
      <c r="J514" s="10" t="n">
        <f aca="false">IFERROR(SUMIFS(Data!$F$2:$F$2657,Data!$A$2:$A$2657,$A514,Data!$B$2:$B$2657,$B514)/$D514,0)</f>
        <v>0.114397389860966</v>
      </c>
      <c r="K514" s="11" t="n">
        <f aca="false">SUM(E514:I514)</f>
        <v>1</v>
      </c>
    </row>
    <row r="515" customFormat="false" ht="15" hidden="false" customHeight="false" outlineLevel="0" collapsed="false">
      <c r="A515" s="7" t="n">
        <v>2022</v>
      </c>
      <c r="B515" s="12" t="s">
        <v>66</v>
      </c>
      <c r="C515" s="12" t="s">
        <v>67</v>
      </c>
      <c r="D515" s="9" t="n">
        <f aca="false">SUMIFS(Data!$E$2:$E$2657,Data!$A$2:$A$2657,$A515,Data!$B$2:$B$2657,$B515)+SUMIFS(Data!$G$2:$G$2657,Data!$A$2:$A$2657,$A515,Data!$B$2:$B$2657,$B515)</f>
        <v>664.6925</v>
      </c>
      <c r="E515" s="10" t="n">
        <f aca="false">IFERROR((SUMIFS(Data!$E$2:$E$2657,Data!$A$2:$A$2657,$A515,Data!$B$2:$B$2657,$B515,Data!$D$2:$D$2657,"Transmission")+SUMIFS(Data!$G$2:$G$2657,Data!$A$2:$A$2657,$A515,Data!$B$2:$B$2657,$B515,Data!$D$2:$D$2657,"Transmission"))/$D515,0)</f>
        <v>0.4577067726806</v>
      </c>
      <c r="F515" s="10" t="n">
        <f aca="false">IFERROR((SUMIFS(Data!$E$2:$E$2657,Data!$A$2:$A$2657,$A515,Data!$B$2:$B$2657,$B515,Data!$D$2:$D$2657,"Distribution")+SUMIFS(Data!$G$2:$G$2657,Data!$A$2:$A$2657,$A515,Data!$B$2:$B$2657,$B515,Data!$D$2:$D$2657,"Distribution"))/$D515,0)</f>
        <v>0.266829332360452</v>
      </c>
      <c r="G515" s="10" t="n">
        <f aca="false">IFERROR((SUMIFS(Data!$E$2:$E$2657,Data!$A$2:$A$2657,$A515,Data!$B$2:$B$2657,$B515,Data!$D$2:$D$2657,"RTO/market operation")+SUMIFS(Data!$G$2:$G$2657,Data!$A$2:$A$2657,$A515,Data!$B$2:$B$2657,$B515,Data!$D$2:$D$2657,"RTO/market operation"))/$D515,0)</f>
        <v>0.0065617499821346</v>
      </c>
      <c r="H515" s="10" t="n">
        <f aca="false">IFERROR((SUMIFS(Data!$E$2:$E$2657,Data!$A$2:$A$2657,$A515,Data!$B$2:$B$2657,$B515,Data!$D$2:$D$2657,"Customer accounts, service &amp; sales")+SUMIFS(Data!$G$2:$G$2657,Data!$A$2:$A$2657,$A515,Data!$B$2:$B$2657,$B515,Data!$D$2:$D$2657,"Customer accounts, service &amp; sales"))/$D515,0)</f>
        <v>0.0360810419855798</v>
      </c>
      <c r="I515" s="10" t="n">
        <f aca="false">IFERROR((SUMIFS(Data!$E$2:$E$2657,Data!$A$2:$A$2657,$A515,Data!$B$2:$B$2657,$B515,Data!$D$2:$D$2657,"A&amp;G and general")+SUMIFS(Data!$G$2:$G$2657,Data!$A$2:$A$2657,$A515,Data!$B$2:$B$2657,$B515,Data!$D$2:$D$2657,"A&amp;G and general"))/$D515,0)</f>
        <v>0.232821102991233</v>
      </c>
      <c r="J515" s="10" t="n">
        <f aca="false">IFERROR(SUMIFS(Data!$F$2:$F$2657,Data!$A$2:$A$2657,$A515,Data!$B$2:$B$2657,$B515)/$D515,0)</f>
        <v>0.343946626447568</v>
      </c>
      <c r="K515" s="11" t="n">
        <f aca="false">SUM(E515:I515)</f>
        <v>1</v>
      </c>
    </row>
    <row r="516" customFormat="false" ht="15" hidden="false" customHeight="false" outlineLevel="0" collapsed="false">
      <c r="A516" s="7" t="n">
        <v>2022</v>
      </c>
      <c r="B516" s="12" t="s">
        <v>68</v>
      </c>
      <c r="C516" s="12" t="s">
        <v>65</v>
      </c>
      <c r="D516" s="9" t="n">
        <f aca="false">SUMIFS(Data!$E$2:$E$2657,Data!$A$2:$A$2657,$A516,Data!$B$2:$B$2657,$B516)+SUMIFS(Data!$G$2:$G$2657,Data!$A$2:$A$2657,$A516,Data!$B$2:$B$2657,$B516)</f>
        <v>405.361023</v>
      </c>
      <c r="E516" s="10" t="n">
        <f aca="false">IFERROR((SUMIFS(Data!$E$2:$E$2657,Data!$A$2:$A$2657,$A516,Data!$B$2:$B$2657,$B516,Data!$D$2:$D$2657,"Transmission")+SUMIFS(Data!$G$2:$G$2657,Data!$A$2:$A$2657,$A516,Data!$B$2:$B$2657,$B516,Data!$D$2:$D$2657,"Transmission"))/$D516,0)</f>
        <v>0.137638622941802</v>
      </c>
      <c r="F516" s="10" t="n">
        <f aca="false">IFERROR((SUMIFS(Data!$E$2:$E$2657,Data!$A$2:$A$2657,$A516,Data!$B$2:$B$2657,$B516,Data!$D$2:$D$2657,"Distribution")+SUMIFS(Data!$G$2:$G$2657,Data!$A$2:$A$2657,$A516,Data!$B$2:$B$2657,$B516,Data!$D$2:$D$2657,"Distribution"))/$D516,0)</f>
        <v>0.360612828333029</v>
      </c>
      <c r="G516" s="10" t="n">
        <f aca="false">IFERROR((SUMIFS(Data!$E$2:$E$2657,Data!$A$2:$A$2657,$A516,Data!$B$2:$B$2657,$B516,Data!$D$2:$D$2657,"RTO/market operation")+SUMIFS(Data!$G$2:$G$2657,Data!$A$2:$A$2657,$A516,Data!$B$2:$B$2657,$B516,Data!$D$2:$D$2657,"RTO/market operation"))/$D516,0)</f>
        <v>0.0137741264778681</v>
      </c>
      <c r="H516" s="10" t="n">
        <f aca="false">IFERROR((SUMIFS(Data!$E$2:$E$2657,Data!$A$2:$A$2657,$A516,Data!$B$2:$B$2657,$B516,Data!$D$2:$D$2657,"Customer accounts, service &amp; sales")+SUMIFS(Data!$G$2:$G$2657,Data!$A$2:$A$2657,$A516,Data!$B$2:$B$2657,$B516,Data!$D$2:$D$2657,"Customer accounts, service &amp; sales"))/$D516,0)</f>
        <v>0.0661245173540032</v>
      </c>
      <c r="I516" s="10" t="n">
        <f aca="false">IFERROR((SUMIFS(Data!$E$2:$E$2657,Data!$A$2:$A$2657,$A516,Data!$B$2:$B$2657,$B516,Data!$D$2:$D$2657,"A&amp;G and general")+SUMIFS(Data!$G$2:$G$2657,Data!$A$2:$A$2657,$A516,Data!$B$2:$B$2657,$B516,Data!$D$2:$D$2657,"A&amp;G and general"))/$D516,0)</f>
        <v>0.421849904893298</v>
      </c>
      <c r="J516" s="10" t="n">
        <f aca="false">IFERROR(SUMIFS(Data!$F$2:$F$2657,Data!$A$2:$A$2657,$A516,Data!$B$2:$B$2657,$B516)/$D516,0)</f>
        <v>0.0234085431543822</v>
      </c>
      <c r="K516" s="11" t="n">
        <f aca="false">SUM(E516:I516)</f>
        <v>1</v>
      </c>
    </row>
    <row r="517" customFormat="false" ht="15" hidden="false" customHeight="false" outlineLevel="0" collapsed="false">
      <c r="A517" s="7" t="n">
        <v>2022</v>
      </c>
      <c r="B517" s="12" t="s">
        <v>69</v>
      </c>
      <c r="C517" s="12" t="s">
        <v>70</v>
      </c>
      <c r="D517" s="9" t="n">
        <f aca="false">SUMIFS(Data!$E$2:$E$2657,Data!$A$2:$A$2657,$A517,Data!$B$2:$B$2657,$B517)+SUMIFS(Data!$G$2:$G$2657,Data!$A$2:$A$2657,$A517,Data!$B$2:$B$2657,$B517)</f>
        <v>759.395764</v>
      </c>
      <c r="E517" s="10" t="n">
        <f aca="false">IFERROR((SUMIFS(Data!$E$2:$E$2657,Data!$A$2:$A$2657,$A517,Data!$B$2:$B$2657,$B517,Data!$D$2:$D$2657,"Transmission")+SUMIFS(Data!$G$2:$G$2657,Data!$A$2:$A$2657,$A517,Data!$B$2:$B$2657,$B517,Data!$D$2:$D$2657,"Transmission"))/$D517,0)</f>
        <v>0.539684740722362</v>
      </c>
      <c r="F517" s="10" t="n">
        <f aca="false">IFERROR((SUMIFS(Data!$E$2:$E$2657,Data!$A$2:$A$2657,$A517,Data!$B$2:$B$2657,$B517,Data!$D$2:$D$2657,"Distribution")+SUMIFS(Data!$G$2:$G$2657,Data!$A$2:$A$2657,$A517,Data!$B$2:$B$2657,$B517,Data!$D$2:$D$2657,"Distribution"))/$D517,0)</f>
        <v>0.186848348024233</v>
      </c>
      <c r="G517" s="10" t="n">
        <f aca="false">IFERROR((SUMIFS(Data!$E$2:$E$2657,Data!$A$2:$A$2657,$A517,Data!$B$2:$B$2657,$B517,Data!$D$2:$D$2657,"RTO/market operation")+SUMIFS(Data!$G$2:$G$2657,Data!$A$2:$A$2657,$A517,Data!$B$2:$B$2657,$B517,Data!$D$2:$D$2657,"RTO/market operation"))/$D517,0)</f>
        <v>0.00472579670591895</v>
      </c>
      <c r="H517" s="10" t="n">
        <f aca="false">IFERROR((SUMIFS(Data!$E$2:$E$2657,Data!$A$2:$A$2657,$A517,Data!$B$2:$B$2657,$B517,Data!$D$2:$D$2657,"Customer accounts, service &amp; sales")+SUMIFS(Data!$G$2:$G$2657,Data!$A$2:$A$2657,$A517,Data!$B$2:$B$2657,$B517,Data!$D$2:$D$2657,"Customer accounts, service &amp; sales"))/$D517,0)</f>
        <v>0.0522066488640566</v>
      </c>
      <c r="I517" s="10" t="n">
        <f aca="false">IFERROR((SUMIFS(Data!$E$2:$E$2657,Data!$A$2:$A$2657,$A517,Data!$B$2:$B$2657,$B517,Data!$D$2:$D$2657,"A&amp;G and general")+SUMIFS(Data!$G$2:$G$2657,Data!$A$2:$A$2657,$A517,Data!$B$2:$B$2657,$B517,Data!$D$2:$D$2657,"A&amp;G and general"))/$D517,0)</f>
        <v>0.21653446568343</v>
      </c>
      <c r="J517" s="10" t="n">
        <f aca="false">IFERROR(SUMIFS(Data!$F$2:$F$2657,Data!$A$2:$A$2657,$A517,Data!$B$2:$B$2657,$B517)/$D517,0)</f>
        <v>0.535901617170464</v>
      </c>
      <c r="K517" s="11" t="n">
        <f aca="false">SUM(E517:I517)</f>
        <v>1</v>
      </c>
    </row>
    <row r="518" customFormat="false" ht="15" hidden="false" customHeight="false" outlineLevel="0" collapsed="false">
      <c r="A518" s="7" t="n">
        <v>2022</v>
      </c>
      <c r="B518" s="12" t="s">
        <v>71</v>
      </c>
      <c r="C518" s="12" t="s">
        <v>72</v>
      </c>
      <c r="D518" s="9" t="n">
        <f aca="false">SUMIFS(Data!$E$2:$E$2657,Data!$A$2:$A$2657,$A518,Data!$B$2:$B$2657,$B518)+SUMIFS(Data!$G$2:$G$2657,Data!$A$2:$A$2657,$A518,Data!$B$2:$B$2657,$B518)</f>
        <v>140.375484</v>
      </c>
      <c r="E518" s="10" t="n">
        <f aca="false">IFERROR((SUMIFS(Data!$E$2:$E$2657,Data!$A$2:$A$2657,$A518,Data!$B$2:$B$2657,$B518,Data!$D$2:$D$2657,"Transmission")+SUMIFS(Data!$G$2:$G$2657,Data!$A$2:$A$2657,$A518,Data!$B$2:$B$2657,$B518,Data!$D$2:$D$2657,"Transmission"))/$D518,0)</f>
        <v>0.305296578710283</v>
      </c>
      <c r="F518" s="10" t="n">
        <f aca="false">IFERROR((SUMIFS(Data!$E$2:$E$2657,Data!$A$2:$A$2657,$A518,Data!$B$2:$B$2657,$B518,Data!$D$2:$D$2657,"Distribution")+SUMIFS(Data!$G$2:$G$2657,Data!$A$2:$A$2657,$A518,Data!$B$2:$B$2657,$B518,Data!$D$2:$D$2657,"Distribution"))/$D518,0)</f>
        <v>0.234133995933364</v>
      </c>
      <c r="G518" s="10" t="n">
        <f aca="false">IFERROR((SUMIFS(Data!$E$2:$E$2657,Data!$A$2:$A$2657,$A518,Data!$B$2:$B$2657,$B518,Data!$D$2:$D$2657,"RTO/market operation")+SUMIFS(Data!$G$2:$G$2657,Data!$A$2:$A$2657,$A518,Data!$B$2:$B$2657,$B518,Data!$D$2:$D$2657,"RTO/market operation"))/$D518,0)</f>
        <v>0.0044959987457639</v>
      </c>
      <c r="H518" s="10" t="n">
        <f aca="false">IFERROR((SUMIFS(Data!$E$2:$E$2657,Data!$A$2:$A$2657,$A518,Data!$B$2:$B$2657,$B518,Data!$D$2:$D$2657,"Customer accounts, service &amp; sales")+SUMIFS(Data!$G$2:$G$2657,Data!$A$2:$A$2657,$A518,Data!$B$2:$B$2657,$B518,Data!$D$2:$D$2657,"Customer accounts, service &amp; sales"))/$D518,0)</f>
        <v>0.141264189692838</v>
      </c>
      <c r="I518" s="10" t="n">
        <f aca="false">IFERROR((SUMIFS(Data!$E$2:$E$2657,Data!$A$2:$A$2657,$A518,Data!$B$2:$B$2657,$B518,Data!$D$2:$D$2657,"A&amp;G and general")+SUMIFS(Data!$G$2:$G$2657,Data!$A$2:$A$2657,$A518,Data!$B$2:$B$2657,$B518,Data!$D$2:$D$2657,"A&amp;G and general"))/$D518,0)</f>
        <v>0.314809236917751</v>
      </c>
      <c r="J518" s="10" t="n">
        <f aca="false">IFERROR(SUMIFS(Data!$F$2:$F$2657,Data!$A$2:$A$2657,$A518,Data!$B$2:$B$2657,$B518)/$D518,0)</f>
        <v>0.305280279567905</v>
      </c>
      <c r="K518" s="11" t="n">
        <f aca="false">SUM(E518:I518)</f>
        <v>1</v>
      </c>
    </row>
    <row r="519" customFormat="false" ht="15" hidden="false" customHeight="false" outlineLevel="0" collapsed="false">
      <c r="A519" s="7" t="n">
        <v>2022</v>
      </c>
      <c r="B519" s="12" t="s">
        <v>73</v>
      </c>
      <c r="C519" s="12" t="s">
        <v>70</v>
      </c>
      <c r="D519" s="9" t="n">
        <f aca="false">SUMIFS(Data!$E$2:$E$2657,Data!$A$2:$A$2657,$A519,Data!$B$2:$B$2657,$B519)+SUMIFS(Data!$G$2:$G$2657,Data!$A$2:$A$2657,$A519,Data!$B$2:$B$2657,$B519)</f>
        <v>532.821646</v>
      </c>
      <c r="E519" s="10" t="n">
        <f aca="false">IFERROR((SUMIFS(Data!$E$2:$E$2657,Data!$A$2:$A$2657,$A519,Data!$B$2:$B$2657,$B519,Data!$D$2:$D$2657,"Transmission")+SUMIFS(Data!$G$2:$G$2657,Data!$A$2:$A$2657,$A519,Data!$B$2:$B$2657,$B519,Data!$D$2:$D$2657,"Transmission"))/$D519,0)</f>
        <v>0.27775380957402</v>
      </c>
      <c r="F519" s="10" t="n">
        <f aca="false">IFERROR((SUMIFS(Data!$E$2:$E$2657,Data!$A$2:$A$2657,$A519,Data!$B$2:$B$2657,$B519,Data!$D$2:$D$2657,"Distribution")+SUMIFS(Data!$G$2:$G$2657,Data!$A$2:$A$2657,$A519,Data!$B$2:$B$2657,$B519,Data!$D$2:$D$2657,"Distribution"))/$D519,0)</f>
        <v>0.349963293345631</v>
      </c>
      <c r="G519" s="10" t="n">
        <f aca="false">IFERROR((SUMIFS(Data!$E$2:$E$2657,Data!$A$2:$A$2657,$A519,Data!$B$2:$B$2657,$B519,Data!$D$2:$D$2657,"RTO/market operation")+SUMIFS(Data!$G$2:$G$2657,Data!$A$2:$A$2657,$A519,Data!$B$2:$B$2657,$B519,Data!$D$2:$D$2657,"RTO/market operation"))/$D519,0)</f>
        <v>0.0140703799409831</v>
      </c>
      <c r="H519" s="10" t="n">
        <f aca="false">IFERROR((SUMIFS(Data!$E$2:$E$2657,Data!$A$2:$A$2657,$A519,Data!$B$2:$B$2657,$B519,Data!$D$2:$D$2657,"Customer accounts, service &amp; sales")+SUMIFS(Data!$G$2:$G$2657,Data!$A$2:$A$2657,$A519,Data!$B$2:$B$2657,$B519,Data!$D$2:$D$2657,"Customer accounts, service &amp; sales"))/$D519,0)</f>
        <v>0.137860819941238</v>
      </c>
      <c r="I519" s="10" t="n">
        <f aca="false">IFERROR((SUMIFS(Data!$E$2:$E$2657,Data!$A$2:$A$2657,$A519,Data!$B$2:$B$2657,$B519,Data!$D$2:$D$2657,"A&amp;G and general")+SUMIFS(Data!$G$2:$G$2657,Data!$A$2:$A$2657,$A519,Data!$B$2:$B$2657,$B519,Data!$D$2:$D$2657,"A&amp;G and general"))/$D519,0)</f>
        <v>0.220351697198128</v>
      </c>
      <c r="J519" s="10" t="n">
        <f aca="false">IFERROR(SUMIFS(Data!$F$2:$F$2657,Data!$A$2:$A$2657,$A519,Data!$B$2:$B$2657,$B519)/$D519,0)</f>
        <v>0.141818851706336</v>
      </c>
      <c r="K519" s="11" t="n">
        <f aca="false">SUM(E519:I519)</f>
        <v>1</v>
      </c>
    </row>
    <row r="520" customFormat="false" ht="15" hidden="false" customHeight="false" outlineLevel="0" collapsed="false">
      <c r="A520" s="7" t="n">
        <v>2022</v>
      </c>
      <c r="B520" s="12" t="s">
        <v>74</v>
      </c>
      <c r="C520" s="12" t="s">
        <v>65</v>
      </c>
      <c r="D520" s="9" t="n">
        <f aca="false">SUMIFS(Data!$E$2:$E$2657,Data!$A$2:$A$2657,$A520,Data!$B$2:$B$2657,$B520)+SUMIFS(Data!$G$2:$G$2657,Data!$A$2:$A$2657,$A520,Data!$B$2:$B$2657,$B520)</f>
        <v>502.001302</v>
      </c>
      <c r="E520" s="10" t="n">
        <f aca="false">IFERROR((SUMIFS(Data!$E$2:$E$2657,Data!$A$2:$A$2657,$A520,Data!$B$2:$B$2657,$B520,Data!$D$2:$D$2657,"Transmission")+SUMIFS(Data!$G$2:$G$2657,Data!$A$2:$A$2657,$A520,Data!$B$2:$B$2657,$B520,Data!$D$2:$D$2657,"Transmission"))/$D520,0)</f>
        <v>0.211902589846271</v>
      </c>
      <c r="F520" s="10" t="n">
        <f aca="false">IFERROR((SUMIFS(Data!$E$2:$E$2657,Data!$A$2:$A$2657,$A520,Data!$B$2:$B$2657,$B520,Data!$D$2:$D$2657,"Distribution")+SUMIFS(Data!$G$2:$G$2657,Data!$A$2:$A$2657,$A520,Data!$B$2:$B$2657,$B520,Data!$D$2:$D$2657,"Distribution"))/$D520,0)</f>
        <v>0.294769639860416</v>
      </c>
      <c r="G520" s="10" t="n">
        <f aca="false">IFERROR((SUMIFS(Data!$E$2:$E$2657,Data!$A$2:$A$2657,$A520,Data!$B$2:$B$2657,$B520,Data!$D$2:$D$2657,"RTO/market operation")+SUMIFS(Data!$G$2:$G$2657,Data!$A$2:$A$2657,$A520,Data!$B$2:$B$2657,$B520,Data!$D$2:$D$2657,"RTO/market operation"))/$D520,0)</f>
        <v>0.010619922655101</v>
      </c>
      <c r="H520" s="10" t="n">
        <f aca="false">IFERROR((SUMIFS(Data!$E$2:$E$2657,Data!$A$2:$A$2657,$A520,Data!$B$2:$B$2657,$B520,Data!$D$2:$D$2657,"Customer accounts, service &amp; sales")+SUMIFS(Data!$G$2:$G$2657,Data!$A$2:$A$2657,$A520,Data!$B$2:$B$2657,$B520,Data!$D$2:$D$2657,"Customer accounts, service &amp; sales"))/$D520,0)</f>
        <v>0.0378062565264024</v>
      </c>
      <c r="I520" s="10" t="n">
        <f aca="false">IFERROR((SUMIFS(Data!$E$2:$E$2657,Data!$A$2:$A$2657,$A520,Data!$B$2:$B$2657,$B520,Data!$D$2:$D$2657,"A&amp;G and general")+SUMIFS(Data!$G$2:$G$2657,Data!$A$2:$A$2657,$A520,Data!$B$2:$B$2657,$B520,Data!$D$2:$D$2657,"A&amp;G and general"))/$D520,0)</f>
        <v>0.44490159111181</v>
      </c>
      <c r="J520" s="10" t="n">
        <f aca="false">IFERROR(SUMIFS(Data!$F$2:$F$2657,Data!$A$2:$A$2657,$A520,Data!$B$2:$B$2657,$B520)/$D520,0)</f>
        <v>0</v>
      </c>
      <c r="K520" s="11" t="n">
        <f aca="false">SUM(E520:I520)</f>
        <v>1</v>
      </c>
    </row>
    <row r="521" customFormat="false" ht="15" hidden="false" customHeight="false" outlineLevel="0" collapsed="false">
      <c r="A521" s="7" t="n">
        <v>2022</v>
      </c>
      <c r="B521" s="12" t="s">
        <v>75</v>
      </c>
      <c r="C521" s="12" t="s">
        <v>57</v>
      </c>
      <c r="D521" s="9" t="n">
        <f aca="false">SUMIFS(Data!$E$2:$E$2657,Data!$A$2:$A$2657,$A521,Data!$B$2:$B$2657,$B521)+SUMIFS(Data!$G$2:$G$2657,Data!$A$2:$A$2657,$A521,Data!$B$2:$B$2657,$B521)</f>
        <v>1431.039644</v>
      </c>
      <c r="E521" s="10" t="n">
        <f aca="false">IFERROR((SUMIFS(Data!$E$2:$E$2657,Data!$A$2:$A$2657,$A521,Data!$B$2:$B$2657,$B521,Data!$D$2:$D$2657,"Transmission")+SUMIFS(Data!$G$2:$G$2657,Data!$A$2:$A$2657,$A521,Data!$B$2:$B$2657,$B521,Data!$D$2:$D$2657,"Transmission"))/$D521,0)</f>
        <v>0.351556031385529</v>
      </c>
      <c r="F521" s="10" t="n">
        <f aca="false">IFERROR((SUMIFS(Data!$E$2:$E$2657,Data!$A$2:$A$2657,$A521,Data!$B$2:$B$2657,$B521,Data!$D$2:$D$2657,"Distribution")+SUMIFS(Data!$G$2:$G$2657,Data!$A$2:$A$2657,$A521,Data!$B$2:$B$2657,$B521,Data!$D$2:$D$2657,"Distribution"))/$D521,0)</f>
        <v>0.177859149512143</v>
      </c>
      <c r="G521" s="10" t="n">
        <f aca="false">IFERROR((SUMIFS(Data!$E$2:$E$2657,Data!$A$2:$A$2657,$A521,Data!$B$2:$B$2657,$B521,Data!$D$2:$D$2657,"RTO/market operation")+SUMIFS(Data!$G$2:$G$2657,Data!$A$2:$A$2657,$A521,Data!$B$2:$B$2657,$B521,Data!$D$2:$D$2657,"RTO/market operation"))/$D521,0)</f>
        <v>0.00747792351167037</v>
      </c>
      <c r="H521" s="10" t="n">
        <f aca="false">IFERROR((SUMIFS(Data!$E$2:$E$2657,Data!$A$2:$A$2657,$A521,Data!$B$2:$B$2657,$B521,Data!$D$2:$D$2657,"Customer accounts, service &amp; sales")+SUMIFS(Data!$G$2:$G$2657,Data!$A$2:$A$2657,$A521,Data!$B$2:$B$2657,$B521,Data!$D$2:$D$2657,"Customer accounts, service &amp; sales"))/$D521,0)</f>
        <v>0.147799856479727</v>
      </c>
      <c r="I521" s="10" t="n">
        <f aca="false">IFERROR((SUMIFS(Data!$E$2:$E$2657,Data!$A$2:$A$2657,$A521,Data!$B$2:$B$2657,$B521,Data!$D$2:$D$2657,"A&amp;G and general")+SUMIFS(Data!$G$2:$G$2657,Data!$A$2:$A$2657,$A521,Data!$B$2:$B$2657,$B521,Data!$D$2:$D$2657,"A&amp;G and general"))/$D521,0)</f>
        <v>0.315307039110931</v>
      </c>
      <c r="J521" s="10" t="n">
        <f aca="false">IFERROR(SUMIFS(Data!$F$2:$F$2657,Data!$A$2:$A$2657,$A521,Data!$B$2:$B$2657,$B521)/$D521,0)</f>
        <v>0.257758260958422</v>
      </c>
      <c r="K521" s="11" t="n">
        <f aca="false">SUM(E521:I521)</f>
        <v>1</v>
      </c>
    </row>
    <row r="522" customFormat="false" ht="15" hidden="false" customHeight="false" outlineLevel="0" collapsed="false">
      <c r="A522" s="7" t="n">
        <v>2022</v>
      </c>
      <c r="B522" s="12" t="s">
        <v>76</v>
      </c>
      <c r="C522" s="12" t="s">
        <v>72</v>
      </c>
      <c r="D522" s="9" t="n">
        <f aca="false">SUMIFS(Data!$E$2:$E$2657,Data!$A$2:$A$2657,$A522,Data!$B$2:$B$2657,$B522)+SUMIFS(Data!$G$2:$G$2657,Data!$A$2:$A$2657,$A522,Data!$B$2:$B$2657,$B522)</f>
        <v>288.404158</v>
      </c>
      <c r="E522" s="10" t="n">
        <f aca="false">IFERROR((SUMIFS(Data!$E$2:$E$2657,Data!$A$2:$A$2657,$A522,Data!$B$2:$B$2657,$B522,Data!$D$2:$D$2657,"Transmission")+SUMIFS(Data!$G$2:$G$2657,Data!$A$2:$A$2657,$A522,Data!$B$2:$B$2657,$B522,Data!$D$2:$D$2657,"Transmission"))/$D522,0)</f>
        <v>0.414386965946587</v>
      </c>
      <c r="F522" s="10" t="n">
        <f aca="false">IFERROR((SUMIFS(Data!$E$2:$E$2657,Data!$A$2:$A$2657,$A522,Data!$B$2:$B$2657,$B522,Data!$D$2:$D$2657,"Distribution")+SUMIFS(Data!$G$2:$G$2657,Data!$A$2:$A$2657,$A522,Data!$B$2:$B$2657,$B522,Data!$D$2:$D$2657,"Distribution"))/$D522,0)</f>
        <v>0.234813178386977</v>
      </c>
      <c r="G522" s="10" t="n">
        <f aca="false">IFERROR((SUMIFS(Data!$E$2:$E$2657,Data!$A$2:$A$2657,$A522,Data!$B$2:$B$2657,$B522,Data!$D$2:$D$2657,"RTO/market operation")+SUMIFS(Data!$G$2:$G$2657,Data!$A$2:$A$2657,$A522,Data!$B$2:$B$2657,$B522,Data!$D$2:$D$2657,"RTO/market operation"))/$D522,0)</f>
        <v>0</v>
      </c>
      <c r="H522" s="10" t="n">
        <f aca="false">IFERROR((SUMIFS(Data!$E$2:$E$2657,Data!$A$2:$A$2657,$A522,Data!$B$2:$B$2657,$B522,Data!$D$2:$D$2657,"Customer accounts, service &amp; sales")+SUMIFS(Data!$G$2:$G$2657,Data!$A$2:$A$2657,$A522,Data!$B$2:$B$2657,$B522,Data!$D$2:$D$2657,"Customer accounts, service &amp; sales"))/$D522,0)</f>
        <v>0.0877468000998793</v>
      </c>
      <c r="I522" s="10" t="n">
        <f aca="false">IFERROR((SUMIFS(Data!$E$2:$E$2657,Data!$A$2:$A$2657,$A522,Data!$B$2:$B$2657,$B522,Data!$D$2:$D$2657,"A&amp;G and general")+SUMIFS(Data!$G$2:$G$2657,Data!$A$2:$A$2657,$A522,Data!$B$2:$B$2657,$B522,Data!$D$2:$D$2657,"A&amp;G and general"))/$D522,0)</f>
        <v>0.263053055566557</v>
      </c>
      <c r="J522" s="10" t="n">
        <f aca="false">IFERROR(SUMIFS(Data!$F$2:$F$2657,Data!$A$2:$A$2657,$A522,Data!$B$2:$B$2657,$B522)/$D522,0)</f>
        <v>0.211517952525497</v>
      </c>
      <c r="K522" s="11" t="n">
        <f aca="false">SUM(E522:I522)</f>
        <v>1</v>
      </c>
    </row>
    <row r="523" customFormat="false" ht="15" hidden="false" customHeight="false" outlineLevel="0" collapsed="false">
      <c r="A523" s="7" t="n">
        <v>2022</v>
      </c>
      <c r="B523" s="12" t="s">
        <v>77</v>
      </c>
      <c r="C523" s="12" t="s">
        <v>57</v>
      </c>
      <c r="D523" s="9" t="n">
        <f aca="false">SUMIFS(Data!$E$2:$E$2657,Data!$A$2:$A$2657,$A523,Data!$B$2:$B$2657,$B523)+SUMIFS(Data!$G$2:$G$2657,Data!$A$2:$A$2657,$A523,Data!$B$2:$B$2657,$B523)</f>
        <v>170.357656</v>
      </c>
      <c r="E523" s="10" t="n">
        <f aca="false">IFERROR((SUMIFS(Data!$E$2:$E$2657,Data!$A$2:$A$2657,$A523,Data!$B$2:$B$2657,$B523,Data!$D$2:$D$2657,"Transmission")+SUMIFS(Data!$G$2:$G$2657,Data!$A$2:$A$2657,$A523,Data!$B$2:$B$2657,$B523,Data!$D$2:$D$2657,"Transmission"))/$D523,0)</f>
        <v>0.283395399617379</v>
      </c>
      <c r="F523" s="10" t="n">
        <f aca="false">IFERROR((SUMIFS(Data!$E$2:$E$2657,Data!$A$2:$A$2657,$A523,Data!$B$2:$B$2657,$B523,Data!$D$2:$D$2657,"Distribution")+SUMIFS(Data!$G$2:$G$2657,Data!$A$2:$A$2657,$A523,Data!$B$2:$B$2657,$B523,Data!$D$2:$D$2657,"Distribution"))/$D523,0)</f>
        <v>0.18266233364939</v>
      </c>
      <c r="G523" s="10" t="n">
        <f aca="false">IFERROR((SUMIFS(Data!$E$2:$E$2657,Data!$A$2:$A$2657,$A523,Data!$B$2:$B$2657,$B523,Data!$D$2:$D$2657,"RTO/market operation")+SUMIFS(Data!$G$2:$G$2657,Data!$A$2:$A$2657,$A523,Data!$B$2:$B$2657,$B523,Data!$D$2:$D$2657,"RTO/market operation"))/$D523,0)</f>
        <v>0.00614829426861802</v>
      </c>
      <c r="H523" s="10" t="n">
        <f aca="false">IFERROR((SUMIFS(Data!$E$2:$E$2657,Data!$A$2:$A$2657,$A523,Data!$B$2:$B$2657,$B523,Data!$D$2:$D$2657,"Customer accounts, service &amp; sales")+SUMIFS(Data!$G$2:$G$2657,Data!$A$2:$A$2657,$A523,Data!$B$2:$B$2657,$B523,Data!$D$2:$D$2657,"Customer accounts, service &amp; sales"))/$D523,0)</f>
        <v>0.149596135556127</v>
      </c>
      <c r="I523" s="10" t="n">
        <f aca="false">IFERROR((SUMIFS(Data!$E$2:$E$2657,Data!$A$2:$A$2657,$A523,Data!$B$2:$B$2657,$B523,Data!$D$2:$D$2657,"A&amp;G and general")+SUMIFS(Data!$G$2:$G$2657,Data!$A$2:$A$2657,$A523,Data!$B$2:$B$2657,$B523,Data!$D$2:$D$2657,"A&amp;G and general"))/$D523,0)</f>
        <v>0.378197836908486</v>
      </c>
      <c r="J523" s="10" t="n">
        <f aca="false">IFERROR(SUMIFS(Data!$F$2:$F$2657,Data!$A$2:$A$2657,$A523,Data!$B$2:$B$2657,$B523)/$D523,0)</f>
        <v>0.13949644270757</v>
      </c>
      <c r="K523" s="11" t="n">
        <f aca="false">SUM(E523:I523)</f>
        <v>1</v>
      </c>
    </row>
    <row r="524" customFormat="false" ht="15" hidden="false" customHeight="false" outlineLevel="0" collapsed="false">
      <c r="A524" s="7" t="n">
        <v>2022</v>
      </c>
      <c r="B524" s="12" t="s">
        <v>78</v>
      </c>
      <c r="C524" s="12" t="s">
        <v>65</v>
      </c>
      <c r="D524" s="9" t="n">
        <f aca="false">SUMIFS(Data!$E$2:$E$2657,Data!$A$2:$A$2657,$A524,Data!$B$2:$B$2657,$B524)+SUMIFS(Data!$G$2:$G$2657,Data!$A$2:$A$2657,$A524,Data!$B$2:$B$2657,$B524)</f>
        <v>157.526108</v>
      </c>
      <c r="E524" s="10" t="n">
        <f aca="false">IFERROR((SUMIFS(Data!$E$2:$E$2657,Data!$A$2:$A$2657,$A524,Data!$B$2:$B$2657,$B524,Data!$D$2:$D$2657,"Transmission")+SUMIFS(Data!$G$2:$G$2657,Data!$A$2:$A$2657,$A524,Data!$B$2:$B$2657,$B524,Data!$D$2:$D$2657,"Transmission"))/$D524,0)</f>
        <v>0.210981033061516</v>
      </c>
      <c r="F524" s="10" t="n">
        <f aca="false">IFERROR((SUMIFS(Data!$E$2:$E$2657,Data!$A$2:$A$2657,$A524,Data!$B$2:$B$2657,$B524,Data!$D$2:$D$2657,"Distribution")+SUMIFS(Data!$G$2:$G$2657,Data!$A$2:$A$2657,$A524,Data!$B$2:$B$2657,$B524,Data!$D$2:$D$2657,"Distribution"))/$D524,0)</f>
        <v>0.313545891707043</v>
      </c>
      <c r="G524" s="10" t="n">
        <f aca="false">IFERROR((SUMIFS(Data!$E$2:$E$2657,Data!$A$2:$A$2657,$A524,Data!$B$2:$B$2657,$B524,Data!$D$2:$D$2657,"RTO/market operation")+SUMIFS(Data!$G$2:$G$2657,Data!$A$2:$A$2657,$A524,Data!$B$2:$B$2657,$B524,Data!$D$2:$D$2657,"RTO/market operation"))/$D524,0)</f>
        <v>0</v>
      </c>
      <c r="H524" s="10" t="n">
        <f aca="false">IFERROR((SUMIFS(Data!$E$2:$E$2657,Data!$A$2:$A$2657,$A524,Data!$B$2:$B$2657,$B524,Data!$D$2:$D$2657,"Customer accounts, service &amp; sales")+SUMIFS(Data!$G$2:$G$2657,Data!$A$2:$A$2657,$A524,Data!$B$2:$B$2657,$B524,Data!$D$2:$D$2657,"Customer accounts, service &amp; sales"))/$D524,0)</f>
        <v>0.0842071905947172</v>
      </c>
      <c r="I524" s="10" t="n">
        <f aca="false">IFERROR((SUMIFS(Data!$E$2:$E$2657,Data!$A$2:$A$2657,$A524,Data!$B$2:$B$2657,$B524,Data!$D$2:$D$2657,"A&amp;G and general")+SUMIFS(Data!$G$2:$G$2657,Data!$A$2:$A$2657,$A524,Data!$B$2:$B$2657,$B524,Data!$D$2:$D$2657,"A&amp;G and general"))/$D524,0)</f>
        <v>0.391265884636723</v>
      </c>
      <c r="J524" s="10" t="n">
        <f aca="false">IFERROR(SUMIFS(Data!$F$2:$F$2657,Data!$A$2:$A$2657,$A524,Data!$B$2:$B$2657,$B524)/$D524,0)</f>
        <v>0</v>
      </c>
      <c r="K524" s="11" t="n">
        <f aca="false">SUM(E524:I524)</f>
        <v>1</v>
      </c>
    </row>
    <row r="525" customFormat="false" ht="15" hidden="false" customHeight="false" outlineLevel="0" collapsed="false">
      <c r="A525" s="7" t="n">
        <v>2022</v>
      </c>
      <c r="B525" s="12" t="s">
        <v>79</v>
      </c>
      <c r="C525" s="12" t="s">
        <v>72</v>
      </c>
      <c r="D525" s="9" t="n">
        <f aca="false">SUMIFS(Data!$E$2:$E$2657,Data!$A$2:$A$2657,$A525,Data!$B$2:$B$2657,$B525)+SUMIFS(Data!$G$2:$G$2657,Data!$A$2:$A$2657,$A525,Data!$B$2:$B$2657,$B525)</f>
        <v>737.342009</v>
      </c>
      <c r="E525" s="10" t="n">
        <f aca="false">IFERROR((SUMIFS(Data!$E$2:$E$2657,Data!$A$2:$A$2657,$A525,Data!$B$2:$B$2657,$B525,Data!$D$2:$D$2657,"Transmission")+SUMIFS(Data!$G$2:$G$2657,Data!$A$2:$A$2657,$A525,Data!$B$2:$B$2657,$B525,Data!$D$2:$D$2657,"Transmission"))/$D525,0)</f>
        <v>0.373277428439589</v>
      </c>
      <c r="F525" s="10" t="n">
        <f aca="false">IFERROR((SUMIFS(Data!$E$2:$E$2657,Data!$A$2:$A$2657,$A525,Data!$B$2:$B$2657,$B525,Data!$D$2:$D$2657,"Distribution")+SUMIFS(Data!$G$2:$G$2657,Data!$A$2:$A$2657,$A525,Data!$B$2:$B$2657,$B525,Data!$D$2:$D$2657,"Distribution"))/$D525,0)</f>
        <v>0.326249539648839</v>
      </c>
      <c r="G525" s="10" t="n">
        <f aca="false">IFERROR((SUMIFS(Data!$E$2:$E$2657,Data!$A$2:$A$2657,$A525,Data!$B$2:$B$2657,$B525,Data!$D$2:$D$2657,"RTO/market operation")+SUMIFS(Data!$G$2:$G$2657,Data!$A$2:$A$2657,$A525,Data!$B$2:$B$2657,$B525,Data!$D$2:$D$2657,"RTO/market operation"))/$D525,0)</f>
        <v>0.00489933566229237</v>
      </c>
      <c r="H525" s="10" t="n">
        <f aca="false">IFERROR((SUMIFS(Data!$E$2:$E$2657,Data!$A$2:$A$2657,$A525,Data!$B$2:$B$2657,$B525,Data!$D$2:$D$2657,"Customer accounts, service &amp; sales")+SUMIFS(Data!$G$2:$G$2657,Data!$A$2:$A$2657,$A525,Data!$B$2:$B$2657,$B525,Data!$D$2:$D$2657,"Customer accounts, service &amp; sales"))/$D525,0)</f>
        <v>0.120239386767396</v>
      </c>
      <c r="I525" s="10" t="n">
        <f aca="false">IFERROR((SUMIFS(Data!$E$2:$E$2657,Data!$A$2:$A$2657,$A525,Data!$B$2:$B$2657,$B525,Data!$D$2:$D$2657,"A&amp;G and general")+SUMIFS(Data!$G$2:$G$2657,Data!$A$2:$A$2657,$A525,Data!$B$2:$B$2657,$B525,Data!$D$2:$D$2657,"A&amp;G and general"))/$D525,0)</f>
        <v>0.175334309481884</v>
      </c>
      <c r="J525" s="10" t="n">
        <f aca="false">IFERROR(SUMIFS(Data!$F$2:$F$2657,Data!$A$2:$A$2657,$A525,Data!$B$2:$B$2657,$B525)/$D525,0)</f>
        <v>0.356609501141281</v>
      </c>
      <c r="K525" s="11" t="n">
        <f aca="false">SUM(E525:I525)</f>
        <v>1</v>
      </c>
    </row>
    <row r="526" customFormat="false" ht="15" hidden="false" customHeight="false" outlineLevel="0" collapsed="false">
      <c r="A526" s="7" t="n">
        <v>2022</v>
      </c>
      <c r="B526" s="12" t="s">
        <v>80</v>
      </c>
      <c r="C526" s="12" t="s">
        <v>72</v>
      </c>
      <c r="D526" s="9" t="n">
        <f aca="false">SUMIFS(Data!$E$2:$E$2657,Data!$A$2:$A$2657,$A526,Data!$B$2:$B$2657,$B526)+SUMIFS(Data!$G$2:$G$2657,Data!$A$2:$A$2657,$A526,Data!$B$2:$B$2657,$B526)</f>
        <v>438.4307</v>
      </c>
      <c r="E526" s="10" t="n">
        <f aca="false">IFERROR((SUMIFS(Data!$E$2:$E$2657,Data!$A$2:$A$2657,$A526,Data!$B$2:$B$2657,$B526,Data!$D$2:$D$2657,"Transmission")+SUMIFS(Data!$G$2:$G$2657,Data!$A$2:$A$2657,$A526,Data!$B$2:$B$2657,$B526,Data!$D$2:$D$2657,"Transmission"))/$D526,0)</f>
        <v>0.384267349435156</v>
      </c>
      <c r="F526" s="10" t="n">
        <f aca="false">IFERROR((SUMIFS(Data!$E$2:$E$2657,Data!$A$2:$A$2657,$A526,Data!$B$2:$B$2657,$B526,Data!$D$2:$D$2657,"Distribution")+SUMIFS(Data!$G$2:$G$2657,Data!$A$2:$A$2657,$A526,Data!$B$2:$B$2657,$B526,Data!$D$2:$D$2657,"Distribution"))/$D526,0)</f>
        <v>0.244036950423408</v>
      </c>
      <c r="G526" s="10" t="n">
        <f aca="false">IFERROR((SUMIFS(Data!$E$2:$E$2657,Data!$A$2:$A$2657,$A526,Data!$B$2:$B$2657,$B526,Data!$D$2:$D$2657,"RTO/market operation")+SUMIFS(Data!$G$2:$G$2657,Data!$A$2:$A$2657,$A526,Data!$B$2:$B$2657,$B526,Data!$D$2:$D$2657,"RTO/market operation"))/$D526,0)</f>
        <v>0.00605758675202261</v>
      </c>
      <c r="H526" s="10" t="n">
        <f aca="false">IFERROR((SUMIFS(Data!$E$2:$E$2657,Data!$A$2:$A$2657,$A526,Data!$B$2:$B$2657,$B526,Data!$D$2:$D$2657,"Customer accounts, service &amp; sales")+SUMIFS(Data!$G$2:$G$2657,Data!$A$2:$A$2657,$A526,Data!$B$2:$B$2657,$B526,Data!$D$2:$D$2657,"Customer accounts, service &amp; sales"))/$D526,0)</f>
        <v>0.080456952489869</v>
      </c>
      <c r="I526" s="10" t="n">
        <f aca="false">IFERROR((SUMIFS(Data!$E$2:$E$2657,Data!$A$2:$A$2657,$A526,Data!$B$2:$B$2657,$B526,Data!$D$2:$D$2657,"A&amp;G and general")+SUMIFS(Data!$G$2:$G$2657,Data!$A$2:$A$2657,$A526,Data!$B$2:$B$2657,$B526,Data!$D$2:$D$2657,"A&amp;G and general"))/$D526,0)</f>
        <v>0.285181160899545</v>
      </c>
      <c r="J526" s="10" t="n">
        <f aca="false">IFERROR(SUMIFS(Data!$F$2:$F$2657,Data!$A$2:$A$2657,$A526,Data!$B$2:$B$2657,$B526)/$D526,0)</f>
        <v>0.378213469084168</v>
      </c>
      <c r="K526" s="11" t="n">
        <f aca="false">SUM(E526:I526)</f>
        <v>1</v>
      </c>
    </row>
    <row r="527" customFormat="false" ht="15" hidden="false" customHeight="false" outlineLevel="0" collapsed="false">
      <c r="A527" s="7" t="n">
        <v>2022</v>
      </c>
      <c r="B527" s="12" t="s">
        <v>81</v>
      </c>
      <c r="C527" s="12" t="s">
        <v>72</v>
      </c>
      <c r="D527" s="9" t="n">
        <f aca="false">SUMIFS(Data!$E$2:$E$2657,Data!$A$2:$A$2657,$A527,Data!$B$2:$B$2657,$B527)+SUMIFS(Data!$G$2:$G$2657,Data!$A$2:$A$2657,$A527,Data!$B$2:$B$2657,$B527)</f>
        <v>292.470181</v>
      </c>
      <c r="E527" s="10" t="n">
        <f aca="false">IFERROR((SUMIFS(Data!$E$2:$E$2657,Data!$A$2:$A$2657,$A527,Data!$B$2:$B$2657,$B527,Data!$D$2:$D$2657,"Transmission")+SUMIFS(Data!$G$2:$G$2657,Data!$A$2:$A$2657,$A527,Data!$B$2:$B$2657,$B527,Data!$D$2:$D$2657,"Transmission"))/$D527,0)</f>
        <v>0.452927924300084</v>
      </c>
      <c r="F527" s="10" t="n">
        <f aca="false">IFERROR((SUMIFS(Data!$E$2:$E$2657,Data!$A$2:$A$2657,$A527,Data!$B$2:$B$2657,$B527,Data!$D$2:$D$2657,"Distribution")+SUMIFS(Data!$G$2:$G$2657,Data!$A$2:$A$2657,$A527,Data!$B$2:$B$2657,$B527,Data!$D$2:$D$2657,"Distribution"))/$D527,0)</f>
        <v>0.291496444897403</v>
      </c>
      <c r="G527" s="10" t="n">
        <f aca="false">IFERROR((SUMIFS(Data!$E$2:$E$2657,Data!$A$2:$A$2657,$A527,Data!$B$2:$B$2657,$B527,Data!$D$2:$D$2657,"RTO/market operation")+SUMIFS(Data!$G$2:$G$2657,Data!$A$2:$A$2657,$A527,Data!$B$2:$B$2657,$B527,Data!$D$2:$D$2657,"RTO/market operation"))/$D527,0)</f>
        <v>0.00713002601793446</v>
      </c>
      <c r="H527" s="10" t="n">
        <f aca="false">IFERROR((SUMIFS(Data!$E$2:$E$2657,Data!$A$2:$A$2657,$A527,Data!$B$2:$B$2657,$B527,Data!$D$2:$D$2657,"Customer accounts, service &amp; sales")+SUMIFS(Data!$G$2:$G$2657,Data!$A$2:$A$2657,$A527,Data!$B$2:$B$2657,$B527,Data!$D$2:$D$2657,"Customer accounts, service &amp; sales"))/$D527,0)</f>
        <v>0.0894387930781908</v>
      </c>
      <c r="I527" s="10" t="n">
        <f aca="false">IFERROR((SUMIFS(Data!$E$2:$E$2657,Data!$A$2:$A$2657,$A527,Data!$B$2:$B$2657,$B527,Data!$D$2:$D$2657,"A&amp;G and general")+SUMIFS(Data!$G$2:$G$2657,Data!$A$2:$A$2657,$A527,Data!$B$2:$B$2657,$B527,Data!$D$2:$D$2657,"A&amp;G and general"))/$D527,0)</f>
        <v>0.159006811706387</v>
      </c>
      <c r="J527" s="10" t="n">
        <f aca="false">IFERROR(SUMIFS(Data!$F$2:$F$2657,Data!$A$2:$A$2657,$A527,Data!$B$2:$B$2657,$B527)/$D527,0)</f>
        <v>0.433670631195048</v>
      </c>
      <c r="K527" s="11" t="n">
        <f aca="false">SUM(E527:I527)</f>
        <v>1</v>
      </c>
    </row>
    <row r="528" customFormat="false" ht="15" hidden="false" customHeight="false" outlineLevel="0" collapsed="false">
      <c r="A528" s="7" t="n">
        <v>2023</v>
      </c>
      <c r="B528" s="12" t="s">
        <v>56</v>
      </c>
      <c r="C528" s="12" t="s">
        <v>57</v>
      </c>
      <c r="D528" s="9" t="n">
        <f aca="false">SUMIFS(Data!$E$2:$E$2657,Data!$A$2:$A$2657,$A528,Data!$B$2:$B$2657,$B528)+SUMIFS(Data!$G$2:$G$2657,Data!$A$2:$A$2657,$A528,Data!$B$2:$B$2657,$B528)</f>
        <v>306.770986</v>
      </c>
      <c r="E528" s="10" t="n">
        <f aca="false">IFERROR((SUMIFS(Data!$E$2:$E$2657,Data!$A$2:$A$2657,$A528,Data!$B$2:$B$2657,$B528,Data!$D$2:$D$2657,"Transmission")+SUMIFS(Data!$G$2:$G$2657,Data!$A$2:$A$2657,$A528,Data!$B$2:$B$2657,$B528,Data!$D$2:$D$2657,"Transmission"))/$D528,0)</f>
        <v>0.457045034891272</v>
      </c>
      <c r="F528" s="10" t="n">
        <f aca="false">IFERROR((SUMIFS(Data!$E$2:$E$2657,Data!$A$2:$A$2657,$A528,Data!$B$2:$B$2657,$B528,Data!$D$2:$D$2657,"Distribution")+SUMIFS(Data!$G$2:$G$2657,Data!$A$2:$A$2657,$A528,Data!$B$2:$B$2657,$B528,Data!$D$2:$D$2657,"Distribution"))/$D528,0)</f>
        <v>0.172558209269504</v>
      </c>
      <c r="G528" s="10" t="n">
        <f aca="false">IFERROR((SUMIFS(Data!$E$2:$E$2657,Data!$A$2:$A$2657,$A528,Data!$B$2:$B$2657,$B528,Data!$D$2:$D$2657,"RTO/market operation")+SUMIFS(Data!$G$2:$G$2657,Data!$A$2:$A$2657,$A528,Data!$B$2:$B$2657,$B528,Data!$D$2:$D$2657,"RTO/market operation"))/$D528,0)</f>
        <v>0</v>
      </c>
      <c r="H528" s="10" t="n">
        <f aca="false">IFERROR((SUMIFS(Data!$E$2:$E$2657,Data!$A$2:$A$2657,$A528,Data!$B$2:$B$2657,$B528,Data!$D$2:$D$2657,"Customer accounts, service &amp; sales")+SUMIFS(Data!$G$2:$G$2657,Data!$A$2:$A$2657,$A528,Data!$B$2:$B$2657,$B528,Data!$D$2:$D$2657,"Customer accounts, service &amp; sales"))/$D528,0)</f>
        <v>0.0596990844499225</v>
      </c>
      <c r="I528" s="10" t="n">
        <f aca="false">IFERROR((SUMIFS(Data!$E$2:$E$2657,Data!$A$2:$A$2657,$A528,Data!$B$2:$B$2657,$B528,Data!$D$2:$D$2657,"A&amp;G and general")+SUMIFS(Data!$G$2:$G$2657,Data!$A$2:$A$2657,$A528,Data!$B$2:$B$2657,$B528,Data!$D$2:$D$2657,"A&amp;G and general"))/$D528,0)</f>
        <v>0.310697671389301</v>
      </c>
      <c r="J528" s="10" t="n">
        <f aca="false">IFERROR(SUMIFS(Data!$F$2:$F$2657,Data!$A$2:$A$2657,$A528,Data!$B$2:$B$2657,$B528)/$D528,0)</f>
        <v>0.27949766735763</v>
      </c>
      <c r="K528" s="11" t="n">
        <f aca="false">SUM(E528:I528)</f>
        <v>1</v>
      </c>
    </row>
    <row r="529" customFormat="false" ht="15" hidden="false" customHeight="false" outlineLevel="0" collapsed="false">
      <c r="A529" s="7" t="n">
        <v>2023</v>
      </c>
      <c r="B529" s="12" t="s">
        <v>58</v>
      </c>
      <c r="C529" s="12" t="s">
        <v>59</v>
      </c>
      <c r="D529" s="9" t="n">
        <f aca="false">SUMIFS(Data!$E$2:$E$2657,Data!$A$2:$A$2657,$A529,Data!$B$2:$B$2657,$B529)+SUMIFS(Data!$G$2:$G$2657,Data!$A$2:$A$2657,$A529,Data!$B$2:$B$2657,$B529)</f>
        <v>1013.171964</v>
      </c>
      <c r="E529" s="10" t="n">
        <f aca="false">IFERROR((SUMIFS(Data!$E$2:$E$2657,Data!$A$2:$A$2657,$A529,Data!$B$2:$B$2657,$B529,Data!$D$2:$D$2657,"Transmission")+SUMIFS(Data!$G$2:$G$2657,Data!$A$2:$A$2657,$A529,Data!$B$2:$B$2657,$B529,Data!$D$2:$D$2657,"Transmission"))/$D529,0)</f>
        <v>0.143086199728282</v>
      </c>
      <c r="F529" s="10" t="n">
        <f aca="false">IFERROR((SUMIFS(Data!$E$2:$E$2657,Data!$A$2:$A$2657,$A529,Data!$B$2:$B$2657,$B529,Data!$D$2:$D$2657,"Distribution")+SUMIFS(Data!$G$2:$G$2657,Data!$A$2:$A$2657,$A529,Data!$B$2:$B$2657,$B529,Data!$D$2:$D$2657,"Distribution"))/$D529,0)</f>
        <v>0.537160858509504</v>
      </c>
      <c r="G529" s="10" t="n">
        <f aca="false">IFERROR((SUMIFS(Data!$E$2:$E$2657,Data!$A$2:$A$2657,$A529,Data!$B$2:$B$2657,$B529,Data!$D$2:$D$2657,"RTO/market operation")+SUMIFS(Data!$G$2:$G$2657,Data!$A$2:$A$2657,$A529,Data!$B$2:$B$2657,$B529,Data!$D$2:$D$2657,"RTO/market operation"))/$D529,0)</f>
        <v>0.00108418613920509</v>
      </c>
      <c r="H529" s="10" t="n">
        <f aca="false">IFERROR((SUMIFS(Data!$E$2:$E$2657,Data!$A$2:$A$2657,$A529,Data!$B$2:$B$2657,$B529,Data!$D$2:$D$2657,"Customer accounts, service &amp; sales")+SUMIFS(Data!$G$2:$G$2657,Data!$A$2:$A$2657,$A529,Data!$B$2:$B$2657,$B529,Data!$D$2:$D$2657,"Customer accounts, service &amp; sales"))/$D529,0)</f>
        <v>0.117917474273893</v>
      </c>
      <c r="I529" s="10" t="n">
        <f aca="false">IFERROR((SUMIFS(Data!$E$2:$E$2657,Data!$A$2:$A$2657,$A529,Data!$B$2:$B$2657,$B529,Data!$D$2:$D$2657,"A&amp;G and general")+SUMIFS(Data!$G$2:$G$2657,Data!$A$2:$A$2657,$A529,Data!$B$2:$B$2657,$B529,Data!$D$2:$D$2657,"A&amp;G and general"))/$D529,0)</f>
        <v>0.200751281349116</v>
      </c>
      <c r="J529" s="10" t="n">
        <f aca="false">IFERROR(SUMIFS(Data!$F$2:$F$2657,Data!$A$2:$A$2657,$A529,Data!$B$2:$B$2657,$B529)/$D529,0)</f>
        <v>0.0276752604654584</v>
      </c>
      <c r="K529" s="11" t="n">
        <f aca="false">SUM(E529:I529)</f>
        <v>1</v>
      </c>
    </row>
    <row r="530" customFormat="false" ht="15" hidden="false" customHeight="false" outlineLevel="0" collapsed="false">
      <c r="A530" s="7" t="n">
        <v>2023</v>
      </c>
      <c r="B530" s="12" t="s">
        <v>60</v>
      </c>
      <c r="C530" s="12" t="s">
        <v>59</v>
      </c>
      <c r="D530" s="9" t="n">
        <f aca="false">SUMIFS(Data!$E$2:$E$2657,Data!$A$2:$A$2657,$A530,Data!$B$2:$B$2657,$B530)+SUMIFS(Data!$G$2:$G$2657,Data!$A$2:$A$2657,$A530,Data!$B$2:$B$2657,$B530)</f>
        <v>2957.105107</v>
      </c>
      <c r="E530" s="10" t="n">
        <f aca="false">IFERROR((SUMIFS(Data!$E$2:$E$2657,Data!$A$2:$A$2657,$A530,Data!$B$2:$B$2657,$B530,Data!$D$2:$D$2657,"Transmission")+SUMIFS(Data!$G$2:$G$2657,Data!$A$2:$A$2657,$A530,Data!$B$2:$B$2657,$B530,Data!$D$2:$D$2657,"Transmission"))/$D530,0)</f>
        <v>0.240300803078624</v>
      </c>
      <c r="F530" s="10" t="n">
        <f aca="false">IFERROR((SUMIFS(Data!$E$2:$E$2657,Data!$A$2:$A$2657,$A530,Data!$B$2:$B$2657,$B530,Data!$D$2:$D$2657,"Distribution")+SUMIFS(Data!$G$2:$G$2657,Data!$A$2:$A$2657,$A530,Data!$B$2:$B$2657,$B530,Data!$D$2:$D$2657,"Distribution"))/$D530,0)</f>
        <v>0.428349624773753</v>
      </c>
      <c r="G530" s="10" t="n">
        <f aca="false">IFERROR((SUMIFS(Data!$E$2:$E$2657,Data!$A$2:$A$2657,$A530,Data!$B$2:$B$2657,$B530,Data!$D$2:$D$2657,"RTO/market operation")+SUMIFS(Data!$G$2:$G$2657,Data!$A$2:$A$2657,$A530,Data!$B$2:$B$2657,$B530,Data!$D$2:$D$2657,"RTO/market operation"))/$D530,0)</f>
        <v>0.0023135843172449</v>
      </c>
      <c r="H530" s="10" t="n">
        <f aca="false">IFERROR((SUMIFS(Data!$E$2:$E$2657,Data!$A$2:$A$2657,$A530,Data!$B$2:$B$2657,$B530,Data!$D$2:$D$2657,"Customer accounts, service &amp; sales")+SUMIFS(Data!$G$2:$G$2657,Data!$A$2:$A$2657,$A530,Data!$B$2:$B$2657,$B530,Data!$D$2:$D$2657,"Customer accounts, service &amp; sales"))/$D530,0)</f>
        <v>0.104586228358233</v>
      </c>
      <c r="I530" s="10" t="n">
        <f aca="false">IFERROR((SUMIFS(Data!$E$2:$E$2657,Data!$A$2:$A$2657,$A530,Data!$B$2:$B$2657,$B530,Data!$D$2:$D$2657,"A&amp;G and general")+SUMIFS(Data!$G$2:$G$2657,Data!$A$2:$A$2657,$A530,Data!$B$2:$B$2657,$B530,Data!$D$2:$D$2657,"A&amp;G and general"))/$D530,0)</f>
        <v>0.224449759472145</v>
      </c>
      <c r="J530" s="10" t="n">
        <f aca="false">IFERROR(SUMIFS(Data!$F$2:$F$2657,Data!$A$2:$A$2657,$A530,Data!$B$2:$B$2657,$B530)/$D530,0)</f>
        <v>0.00360469229678957</v>
      </c>
      <c r="K530" s="11" t="n">
        <f aca="false">SUM(E530:I530)</f>
        <v>1</v>
      </c>
    </row>
    <row r="531" customFormat="false" ht="15" hidden="false" customHeight="false" outlineLevel="0" collapsed="false">
      <c r="A531" s="7" t="n">
        <v>2023</v>
      </c>
      <c r="B531" s="12" t="s">
        <v>61</v>
      </c>
      <c r="C531" s="12" t="s">
        <v>62</v>
      </c>
      <c r="D531" s="9" t="n">
        <f aca="false">SUMIFS(Data!$E$2:$E$2657,Data!$A$2:$A$2657,$A531,Data!$B$2:$B$2657,$B531)+SUMIFS(Data!$G$2:$G$2657,Data!$A$2:$A$2657,$A531,Data!$B$2:$B$2657,$B531)</f>
        <v>1670.773665</v>
      </c>
      <c r="E531" s="10" t="n">
        <f aca="false">IFERROR((SUMIFS(Data!$E$2:$E$2657,Data!$A$2:$A$2657,$A531,Data!$B$2:$B$2657,$B531,Data!$D$2:$D$2657,"Transmission")+SUMIFS(Data!$G$2:$G$2657,Data!$A$2:$A$2657,$A531,Data!$B$2:$B$2657,$B531,Data!$D$2:$D$2657,"Transmission"))/$D531,0)</f>
        <v>0.279137061332601</v>
      </c>
      <c r="F531" s="10" t="n">
        <f aca="false">IFERROR((SUMIFS(Data!$E$2:$E$2657,Data!$A$2:$A$2657,$A531,Data!$B$2:$B$2657,$B531,Data!$D$2:$D$2657,"Distribution")+SUMIFS(Data!$G$2:$G$2657,Data!$A$2:$A$2657,$A531,Data!$B$2:$B$2657,$B531,Data!$D$2:$D$2657,"Distribution"))/$D531,0)</f>
        <v>0.421126847244148</v>
      </c>
      <c r="G531" s="10" t="n">
        <f aca="false">IFERROR((SUMIFS(Data!$E$2:$E$2657,Data!$A$2:$A$2657,$A531,Data!$B$2:$B$2657,$B531,Data!$D$2:$D$2657,"RTO/market operation")+SUMIFS(Data!$G$2:$G$2657,Data!$A$2:$A$2657,$A531,Data!$B$2:$B$2657,$B531,Data!$D$2:$D$2657,"RTO/market operation"))/$D531,0)</f>
        <v>0.0054905857041983</v>
      </c>
      <c r="H531" s="10" t="n">
        <f aca="false">IFERROR((SUMIFS(Data!$E$2:$E$2657,Data!$A$2:$A$2657,$A531,Data!$B$2:$B$2657,$B531,Data!$D$2:$D$2657,"Customer accounts, service &amp; sales")+SUMIFS(Data!$G$2:$G$2657,Data!$A$2:$A$2657,$A531,Data!$B$2:$B$2657,$B531,Data!$D$2:$D$2657,"Customer accounts, service &amp; sales"))/$D531,0)</f>
        <v>0.195506906077551</v>
      </c>
      <c r="I531" s="10" t="n">
        <f aca="false">IFERROR((SUMIFS(Data!$E$2:$E$2657,Data!$A$2:$A$2657,$A531,Data!$B$2:$B$2657,$B531,Data!$D$2:$D$2657,"A&amp;G and general")+SUMIFS(Data!$G$2:$G$2657,Data!$A$2:$A$2657,$A531,Data!$B$2:$B$2657,$B531,Data!$D$2:$D$2657,"A&amp;G and general"))/$D531,0)</f>
        <v>0.098738599641502</v>
      </c>
      <c r="J531" s="10" t="n">
        <f aca="false">IFERROR(SUMIFS(Data!$F$2:$F$2657,Data!$A$2:$A$2657,$A531,Data!$B$2:$B$2657,$B531)/$D531,0)</f>
        <v>0.271359805638306</v>
      </c>
      <c r="K531" s="11" t="n">
        <f aca="false">SUM(E531:I531)</f>
        <v>1</v>
      </c>
    </row>
    <row r="532" customFormat="false" ht="15" hidden="false" customHeight="false" outlineLevel="0" collapsed="false">
      <c r="A532" s="7" t="n">
        <v>2023</v>
      </c>
      <c r="B532" s="12" t="s">
        <v>63</v>
      </c>
      <c r="C532" s="12" t="s">
        <v>62</v>
      </c>
      <c r="D532" s="9" t="n">
        <f aca="false">SUMIFS(Data!$E$2:$E$2657,Data!$A$2:$A$2657,$A532,Data!$B$2:$B$2657,$B532)+SUMIFS(Data!$G$2:$G$2657,Data!$A$2:$A$2657,$A532,Data!$B$2:$B$2657,$B532)</f>
        <v>2253.254652</v>
      </c>
      <c r="E532" s="10" t="n">
        <f aca="false">IFERROR((SUMIFS(Data!$E$2:$E$2657,Data!$A$2:$A$2657,$A532,Data!$B$2:$B$2657,$B532,Data!$D$2:$D$2657,"Transmission")+SUMIFS(Data!$G$2:$G$2657,Data!$A$2:$A$2657,$A532,Data!$B$2:$B$2657,$B532,Data!$D$2:$D$2657,"Transmission"))/$D532,0)</f>
        <v>0.186347074720252</v>
      </c>
      <c r="F532" s="10" t="n">
        <f aca="false">IFERROR((SUMIFS(Data!$E$2:$E$2657,Data!$A$2:$A$2657,$A532,Data!$B$2:$B$2657,$B532,Data!$D$2:$D$2657,"Distribution")+SUMIFS(Data!$G$2:$G$2657,Data!$A$2:$A$2657,$A532,Data!$B$2:$B$2657,$B532,Data!$D$2:$D$2657,"Distribution"))/$D532,0)</f>
        <v>0.411552387199953</v>
      </c>
      <c r="G532" s="10" t="n">
        <f aca="false">IFERROR((SUMIFS(Data!$E$2:$E$2657,Data!$A$2:$A$2657,$A532,Data!$B$2:$B$2657,$B532,Data!$D$2:$D$2657,"RTO/market operation")+SUMIFS(Data!$G$2:$G$2657,Data!$A$2:$A$2657,$A532,Data!$B$2:$B$2657,$B532,Data!$D$2:$D$2657,"RTO/market operation"))/$D532,0)</f>
        <v>0.00407596140624766</v>
      </c>
      <c r="H532" s="10" t="n">
        <f aca="false">IFERROR((SUMIFS(Data!$E$2:$E$2657,Data!$A$2:$A$2657,$A532,Data!$B$2:$B$2657,$B532,Data!$D$2:$D$2657,"Customer accounts, service &amp; sales")+SUMIFS(Data!$G$2:$G$2657,Data!$A$2:$A$2657,$A532,Data!$B$2:$B$2657,$B532,Data!$D$2:$D$2657,"Customer accounts, service &amp; sales"))/$D532,0)</f>
        <v>0.15144243359139</v>
      </c>
      <c r="I532" s="10" t="n">
        <f aca="false">IFERROR((SUMIFS(Data!$E$2:$E$2657,Data!$A$2:$A$2657,$A532,Data!$B$2:$B$2657,$B532,Data!$D$2:$D$2657,"A&amp;G and general")+SUMIFS(Data!$G$2:$G$2657,Data!$A$2:$A$2657,$A532,Data!$B$2:$B$2657,$B532,Data!$D$2:$D$2657,"A&amp;G and general"))/$D532,0)</f>
        <v>0.246582143082157</v>
      </c>
      <c r="J532" s="10" t="n">
        <f aca="false">IFERROR(SUMIFS(Data!$F$2:$F$2657,Data!$A$2:$A$2657,$A532,Data!$B$2:$B$2657,$B532)/$D532,0)</f>
        <v>0.180175191312553</v>
      </c>
      <c r="K532" s="11" t="n">
        <f aca="false">SUM(E532:I532)</f>
        <v>1</v>
      </c>
    </row>
    <row r="533" customFormat="false" ht="15" hidden="false" customHeight="false" outlineLevel="0" collapsed="false">
      <c r="A533" s="7" t="n">
        <v>2023</v>
      </c>
      <c r="B533" s="12" t="s">
        <v>64</v>
      </c>
      <c r="C533" s="12" t="s">
        <v>65</v>
      </c>
      <c r="D533" s="9" t="n">
        <f aca="false">SUMIFS(Data!$E$2:$E$2657,Data!$A$2:$A$2657,$A533,Data!$B$2:$B$2657,$B533)+SUMIFS(Data!$G$2:$G$2657,Data!$A$2:$A$2657,$A533,Data!$B$2:$B$2657,$B533)</f>
        <v>529.610375</v>
      </c>
      <c r="E533" s="10" t="n">
        <f aca="false">IFERROR((SUMIFS(Data!$E$2:$E$2657,Data!$A$2:$A$2657,$A533,Data!$B$2:$B$2657,$B533,Data!$D$2:$D$2657,"Transmission")+SUMIFS(Data!$G$2:$G$2657,Data!$A$2:$A$2657,$A533,Data!$B$2:$B$2657,$B533,Data!$D$2:$D$2657,"Transmission"))/$D533,0)</f>
        <v>0.24881943636395</v>
      </c>
      <c r="F533" s="10" t="n">
        <f aca="false">IFERROR((SUMIFS(Data!$E$2:$E$2657,Data!$A$2:$A$2657,$A533,Data!$B$2:$B$2657,$B533,Data!$D$2:$D$2657,"Distribution")+SUMIFS(Data!$G$2:$G$2657,Data!$A$2:$A$2657,$A533,Data!$B$2:$B$2657,$B533,Data!$D$2:$D$2657,"Distribution"))/$D533,0)</f>
        <v>0.365582205597842</v>
      </c>
      <c r="G533" s="10" t="n">
        <f aca="false">IFERROR((SUMIFS(Data!$E$2:$E$2657,Data!$A$2:$A$2657,$A533,Data!$B$2:$B$2657,$B533,Data!$D$2:$D$2657,"RTO/market operation")+SUMIFS(Data!$G$2:$G$2657,Data!$A$2:$A$2657,$A533,Data!$B$2:$B$2657,$B533,Data!$D$2:$D$2657,"RTO/market operation"))/$D533,0)</f>
        <v>0.0105056778768732</v>
      </c>
      <c r="H533" s="10" t="n">
        <f aca="false">IFERROR((SUMIFS(Data!$E$2:$E$2657,Data!$A$2:$A$2657,$A533,Data!$B$2:$B$2657,$B533,Data!$D$2:$D$2657,"Customer accounts, service &amp; sales")+SUMIFS(Data!$G$2:$G$2657,Data!$A$2:$A$2657,$A533,Data!$B$2:$B$2657,$B533,Data!$D$2:$D$2657,"Customer accounts, service &amp; sales"))/$D533,0)</f>
        <v>0.0591834686018</v>
      </c>
      <c r="I533" s="10" t="n">
        <f aca="false">IFERROR((SUMIFS(Data!$E$2:$E$2657,Data!$A$2:$A$2657,$A533,Data!$B$2:$B$2657,$B533,Data!$D$2:$D$2657,"A&amp;G and general")+SUMIFS(Data!$G$2:$G$2657,Data!$A$2:$A$2657,$A533,Data!$B$2:$B$2657,$B533,Data!$D$2:$D$2657,"A&amp;G and general"))/$D533,0)</f>
        <v>0.315909211559536</v>
      </c>
      <c r="J533" s="10" t="n">
        <f aca="false">IFERROR(SUMIFS(Data!$F$2:$F$2657,Data!$A$2:$A$2657,$A533,Data!$B$2:$B$2657,$B533)/$D533,0)</f>
        <v>0.119007408040298</v>
      </c>
      <c r="K533" s="11" t="n">
        <f aca="false">SUM(E533:I533)</f>
        <v>1</v>
      </c>
    </row>
    <row r="534" customFormat="false" ht="15" hidden="false" customHeight="false" outlineLevel="0" collapsed="false">
      <c r="A534" s="7" t="n">
        <v>2023</v>
      </c>
      <c r="B534" s="12" t="s">
        <v>66</v>
      </c>
      <c r="C534" s="12" t="s">
        <v>67</v>
      </c>
      <c r="D534" s="9" t="n">
        <f aca="false">SUMIFS(Data!$E$2:$E$2657,Data!$A$2:$A$2657,$A534,Data!$B$2:$B$2657,$B534)+SUMIFS(Data!$G$2:$G$2657,Data!$A$2:$A$2657,$A534,Data!$B$2:$B$2657,$B534)</f>
        <v>703.542829</v>
      </c>
      <c r="E534" s="10" t="n">
        <f aca="false">IFERROR((SUMIFS(Data!$E$2:$E$2657,Data!$A$2:$A$2657,$A534,Data!$B$2:$B$2657,$B534,Data!$D$2:$D$2657,"Transmission")+SUMIFS(Data!$G$2:$G$2657,Data!$A$2:$A$2657,$A534,Data!$B$2:$B$2657,$B534,Data!$D$2:$D$2657,"Transmission"))/$D534,0)</f>
        <v>0.444538305428453</v>
      </c>
      <c r="F534" s="10" t="n">
        <f aca="false">IFERROR((SUMIFS(Data!$E$2:$E$2657,Data!$A$2:$A$2657,$A534,Data!$B$2:$B$2657,$B534,Data!$D$2:$D$2657,"Distribution")+SUMIFS(Data!$G$2:$G$2657,Data!$A$2:$A$2657,$A534,Data!$B$2:$B$2657,$B534,Data!$D$2:$D$2657,"Distribution"))/$D534,0)</f>
        <v>0.261345687029951</v>
      </c>
      <c r="G534" s="10" t="n">
        <f aca="false">IFERROR((SUMIFS(Data!$E$2:$E$2657,Data!$A$2:$A$2657,$A534,Data!$B$2:$B$2657,$B534,Data!$D$2:$D$2657,"RTO/market operation")+SUMIFS(Data!$G$2:$G$2657,Data!$A$2:$A$2657,$A534,Data!$B$2:$B$2657,$B534,Data!$D$2:$D$2657,"RTO/market operation"))/$D534,0)</f>
        <v>0.00638970765488394</v>
      </c>
      <c r="H534" s="10" t="n">
        <f aca="false">IFERROR((SUMIFS(Data!$E$2:$E$2657,Data!$A$2:$A$2657,$A534,Data!$B$2:$B$2657,$B534,Data!$D$2:$D$2657,"Customer accounts, service &amp; sales")+SUMIFS(Data!$G$2:$G$2657,Data!$A$2:$A$2657,$A534,Data!$B$2:$B$2657,$B534,Data!$D$2:$D$2657,"Customer accounts, service &amp; sales"))/$D534,0)</f>
        <v>0.0858639382137743</v>
      </c>
      <c r="I534" s="10" t="n">
        <f aca="false">IFERROR((SUMIFS(Data!$E$2:$E$2657,Data!$A$2:$A$2657,$A534,Data!$B$2:$B$2657,$B534,Data!$D$2:$D$2657,"A&amp;G and general")+SUMIFS(Data!$G$2:$G$2657,Data!$A$2:$A$2657,$A534,Data!$B$2:$B$2657,$B534,Data!$D$2:$D$2657,"A&amp;G and general"))/$D534,0)</f>
        <v>0.201862361672938</v>
      </c>
      <c r="J534" s="10" t="n">
        <f aca="false">IFERROR(SUMIFS(Data!$F$2:$F$2657,Data!$A$2:$A$2657,$A534,Data!$B$2:$B$2657,$B534)/$D534,0)</f>
        <v>0.331851910610548</v>
      </c>
      <c r="K534" s="11" t="n">
        <f aca="false">SUM(E534:I534)</f>
        <v>1</v>
      </c>
    </row>
    <row r="535" customFormat="false" ht="15" hidden="false" customHeight="false" outlineLevel="0" collapsed="false">
      <c r="A535" s="7" t="n">
        <v>2023</v>
      </c>
      <c r="B535" s="12" t="s">
        <v>68</v>
      </c>
      <c r="C535" s="12" t="s">
        <v>65</v>
      </c>
      <c r="D535" s="9" t="n">
        <f aca="false">SUMIFS(Data!$E$2:$E$2657,Data!$A$2:$A$2657,$A535,Data!$B$2:$B$2657,$B535)+SUMIFS(Data!$G$2:$G$2657,Data!$A$2:$A$2657,$A535,Data!$B$2:$B$2657,$B535)</f>
        <v>433.234341</v>
      </c>
      <c r="E535" s="10" t="n">
        <f aca="false">IFERROR((SUMIFS(Data!$E$2:$E$2657,Data!$A$2:$A$2657,$A535,Data!$B$2:$B$2657,$B535,Data!$D$2:$D$2657,"Transmission")+SUMIFS(Data!$G$2:$G$2657,Data!$A$2:$A$2657,$A535,Data!$B$2:$B$2657,$B535,Data!$D$2:$D$2657,"Transmission"))/$D535,0)</f>
        <v>0.121602694002505</v>
      </c>
      <c r="F535" s="10" t="n">
        <f aca="false">IFERROR((SUMIFS(Data!$E$2:$E$2657,Data!$A$2:$A$2657,$A535,Data!$B$2:$B$2657,$B535,Data!$D$2:$D$2657,"Distribution")+SUMIFS(Data!$G$2:$G$2657,Data!$A$2:$A$2657,$A535,Data!$B$2:$B$2657,$B535,Data!$D$2:$D$2657,"Distribution"))/$D535,0)</f>
        <v>0.348799621126987</v>
      </c>
      <c r="G535" s="10" t="n">
        <f aca="false">IFERROR((SUMIFS(Data!$E$2:$E$2657,Data!$A$2:$A$2657,$A535,Data!$B$2:$B$2657,$B535,Data!$D$2:$D$2657,"RTO/market operation")+SUMIFS(Data!$G$2:$G$2657,Data!$A$2:$A$2657,$A535,Data!$B$2:$B$2657,$B535,Data!$D$2:$D$2657,"RTO/market operation"))/$D535,0)</f>
        <v>0.0132562321508119</v>
      </c>
      <c r="H535" s="10" t="n">
        <f aca="false">IFERROR((SUMIFS(Data!$E$2:$E$2657,Data!$A$2:$A$2657,$A535,Data!$B$2:$B$2657,$B535,Data!$D$2:$D$2657,"Customer accounts, service &amp; sales")+SUMIFS(Data!$G$2:$G$2657,Data!$A$2:$A$2657,$A535,Data!$B$2:$B$2657,$B535,Data!$D$2:$D$2657,"Customer accounts, service &amp; sales"))/$D535,0)</f>
        <v>0.0763912572664686</v>
      </c>
      <c r="I535" s="10" t="n">
        <f aca="false">IFERROR((SUMIFS(Data!$E$2:$E$2657,Data!$A$2:$A$2657,$A535,Data!$B$2:$B$2657,$B535,Data!$D$2:$D$2657,"A&amp;G and general")+SUMIFS(Data!$G$2:$G$2657,Data!$A$2:$A$2657,$A535,Data!$B$2:$B$2657,$B535,Data!$D$2:$D$2657,"A&amp;G and general"))/$D535,0)</f>
        <v>0.439950195453227</v>
      </c>
      <c r="J535" s="10" t="n">
        <f aca="false">IFERROR(SUMIFS(Data!$F$2:$F$2657,Data!$A$2:$A$2657,$A535,Data!$B$2:$B$2657,$B535)/$D535,0)</f>
        <v>0.0165225175443791</v>
      </c>
      <c r="K535" s="11" t="n">
        <f aca="false">SUM(E535:I535)</f>
        <v>1</v>
      </c>
    </row>
    <row r="536" customFormat="false" ht="15" hidden="false" customHeight="false" outlineLevel="0" collapsed="false">
      <c r="A536" s="7" t="n">
        <v>2023</v>
      </c>
      <c r="B536" s="12" t="s">
        <v>69</v>
      </c>
      <c r="C536" s="12" t="s">
        <v>70</v>
      </c>
      <c r="D536" s="9" t="n">
        <f aca="false">SUMIFS(Data!$E$2:$E$2657,Data!$A$2:$A$2657,$A536,Data!$B$2:$B$2657,$B536)+SUMIFS(Data!$G$2:$G$2657,Data!$A$2:$A$2657,$A536,Data!$B$2:$B$2657,$B536)</f>
        <v>768.657459</v>
      </c>
      <c r="E536" s="10" t="n">
        <f aca="false">IFERROR((SUMIFS(Data!$E$2:$E$2657,Data!$A$2:$A$2657,$A536,Data!$B$2:$B$2657,$B536,Data!$D$2:$D$2657,"Transmission")+SUMIFS(Data!$G$2:$G$2657,Data!$A$2:$A$2657,$A536,Data!$B$2:$B$2657,$B536,Data!$D$2:$D$2657,"Transmission"))/$D536,0)</f>
        <v>0.550443163005851</v>
      </c>
      <c r="F536" s="10" t="n">
        <f aca="false">IFERROR((SUMIFS(Data!$E$2:$E$2657,Data!$A$2:$A$2657,$A536,Data!$B$2:$B$2657,$B536,Data!$D$2:$D$2657,"Distribution")+SUMIFS(Data!$G$2:$G$2657,Data!$A$2:$A$2657,$A536,Data!$B$2:$B$2657,$B536,Data!$D$2:$D$2657,"Distribution"))/$D536,0)</f>
        <v>0.193306581833352</v>
      </c>
      <c r="G536" s="10" t="n">
        <f aca="false">IFERROR((SUMIFS(Data!$E$2:$E$2657,Data!$A$2:$A$2657,$A536,Data!$B$2:$B$2657,$B536,Data!$D$2:$D$2657,"RTO/market operation")+SUMIFS(Data!$G$2:$G$2657,Data!$A$2:$A$2657,$A536,Data!$B$2:$B$2657,$B536,Data!$D$2:$D$2657,"RTO/market operation"))/$D536,0)</f>
        <v>0.00486460250429964</v>
      </c>
      <c r="H536" s="10" t="n">
        <f aca="false">IFERROR((SUMIFS(Data!$E$2:$E$2657,Data!$A$2:$A$2657,$A536,Data!$B$2:$B$2657,$B536,Data!$D$2:$D$2657,"Customer accounts, service &amp; sales")+SUMIFS(Data!$G$2:$G$2657,Data!$A$2:$A$2657,$A536,Data!$B$2:$B$2657,$B536,Data!$D$2:$D$2657,"Customer accounts, service &amp; sales"))/$D536,0)</f>
        <v>0.0562821416659147</v>
      </c>
      <c r="I536" s="10" t="n">
        <f aca="false">IFERROR((SUMIFS(Data!$E$2:$E$2657,Data!$A$2:$A$2657,$A536,Data!$B$2:$B$2657,$B536,Data!$D$2:$D$2657,"A&amp;G and general")+SUMIFS(Data!$G$2:$G$2657,Data!$A$2:$A$2657,$A536,Data!$B$2:$B$2657,$B536,Data!$D$2:$D$2657,"A&amp;G and general"))/$D536,0)</f>
        <v>0.195103510990583</v>
      </c>
      <c r="J536" s="10" t="n">
        <f aca="false">IFERROR(SUMIFS(Data!$F$2:$F$2657,Data!$A$2:$A$2657,$A536,Data!$B$2:$B$2657,$B536)/$D536,0)</f>
        <v>0.546894596647634</v>
      </c>
      <c r="K536" s="11" t="n">
        <f aca="false">SUM(E536:I536)</f>
        <v>1</v>
      </c>
    </row>
    <row r="537" customFormat="false" ht="15" hidden="false" customHeight="false" outlineLevel="0" collapsed="false">
      <c r="A537" s="7" t="n">
        <v>2023</v>
      </c>
      <c r="B537" s="12" t="s">
        <v>71</v>
      </c>
      <c r="C537" s="12" t="s">
        <v>72</v>
      </c>
      <c r="D537" s="9" t="n">
        <f aca="false">SUMIFS(Data!$E$2:$E$2657,Data!$A$2:$A$2657,$A537,Data!$B$2:$B$2657,$B537)+SUMIFS(Data!$G$2:$G$2657,Data!$A$2:$A$2657,$A537,Data!$B$2:$B$2657,$B537)</f>
        <v>146.043937</v>
      </c>
      <c r="E537" s="10" t="n">
        <f aca="false">IFERROR((SUMIFS(Data!$E$2:$E$2657,Data!$A$2:$A$2657,$A537,Data!$B$2:$B$2657,$B537,Data!$D$2:$D$2657,"Transmission")+SUMIFS(Data!$G$2:$G$2657,Data!$A$2:$A$2657,$A537,Data!$B$2:$B$2657,$B537,Data!$D$2:$D$2657,"Transmission"))/$D537,0)</f>
        <v>0.294353472544362</v>
      </c>
      <c r="F537" s="10" t="n">
        <f aca="false">IFERROR((SUMIFS(Data!$E$2:$E$2657,Data!$A$2:$A$2657,$A537,Data!$B$2:$B$2657,$B537,Data!$D$2:$D$2657,"Distribution")+SUMIFS(Data!$G$2:$G$2657,Data!$A$2:$A$2657,$A537,Data!$B$2:$B$2657,$B537,Data!$D$2:$D$2657,"Distribution"))/$D537,0)</f>
        <v>0.237207690450032</v>
      </c>
      <c r="G537" s="10" t="n">
        <f aca="false">IFERROR((SUMIFS(Data!$E$2:$E$2657,Data!$A$2:$A$2657,$A537,Data!$B$2:$B$2657,$B537,Data!$D$2:$D$2657,"RTO/market operation")+SUMIFS(Data!$G$2:$G$2657,Data!$A$2:$A$2657,$A537,Data!$B$2:$B$2657,$B537,Data!$D$2:$D$2657,"RTO/market operation"))/$D537,0)</f>
        <v>0.00458946816806233</v>
      </c>
      <c r="H537" s="10" t="n">
        <f aca="false">IFERROR((SUMIFS(Data!$E$2:$E$2657,Data!$A$2:$A$2657,$A537,Data!$B$2:$B$2657,$B537,Data!$D$2:$D$2657,"Customer accounts, service &amp; sales")+SUMIFS(Data!$G$2:$G$2657,Data!$A$2:$A$2657,$A537,Data!$B$2:$B$2657,$B537,Data!$D$2:$D$2657,"Customer accounts, service &amp; sales"))/$D537,0)</f>
        <v>0.132418513204009</v>
      </c>
      <c r="I537" s="10" t="n">
        <f aca="false">IFERROR((SUMIFS(Data!$E$2:$E$2657,Data!$A$2:$A$2657,$A537,Data!$B$2:$B$2657,$B537,Data!$D$2:$D$2657,"A&amp;G and general")+SUMIFS(Data!$G$2:$G$2657,Data!$A$2:$A$2657,$A537,Data!$B$2:$B$2657,$B537,Data!$D$2:$D$2657,"A&amp;G and general"))/$D537,0)</f>
        <v>0.331430855633534</v>
      </c>
      <c r="J537" s="10" t="n">
        <f aca="false">IFERROR(SUMIFS(Data!$F$2:$F$2657,Data!$A$2:$A$2657,$A537,Data!$B$2:$B$2657,$B537)/$D537,0)</f>
        <v>0.294173869059693</v>
      </c>
      <c r="K537" s="11" t="n">
        <f aca="false">SUM(E537:I537)</f>
        <v>1</v>
      </c>
    </row>
    <row r="538" customFormat="false" ht="15" hidden="false" customHeight="false" outlineLevel="0" collapsed="false">
      <c r="A538" s="7" t="n">
        <v>2023</v>
      </c>
      <c r="B538" s="12" t="s">
        <v>73</v>
      </c>
      <c r="C538" s="12" t="s">
        <v>70</v>
      </c>
      <c r="D538" s="9" t="n">
        <f aca="false">SUMIFS(Data!$E$2:$E$2657,Data!$A$2:$A$2657,$A538,Data!$B$2:$B$2657,$B538)+SUMIFS(Data!$G$2:$G$2657,Data!$A$2:$A$2657,$A538,Data!$B$2:$B$2657,$B538)</f>
        <v>565.898664</v>
      </c>
      <c r="E538" s="10" t="n">
        <f aca="false">IFERROR((SUMIFS(Data!$E$2:$E$2657,Data!$A$2:$A$2657,$A538,Data!$B$2:$B$2657,$B538,Data!$D$2:$D$2657,"Transmission")+SUMIFS(Data!$G$2:$G$2657,Data!$A$2:$A$2657,$A538,Data!$B$2:$B$2657,$B538,Data!$D$2:$D$2657,"Transmission"))/$D538,0)</f>
        <v>0.251777420700891</v>
      </c>
      <c r="F538" s="10" t="n">
        <f aca="false">IFERROR((SUMIFS(Data!$E$2:$E$2657,Data!$A$2:$A$2657,$A538,Data!$B$2:$B$2657,$B538,Data!$D$2:$D$2657,"Distribution")+SUMIFS(Data!$G$2:$G$2657,Data!$A$2:$A$2657,$A538,Data!$B$2:$B$2657,$B538,Data!$D$2:$D$2657,"Distribution"))/$D538,0)</f>
        <v>0.311425114090745</v>
      </c>
      <c r="G538" s="10" t="n">
        <f aca="false">IFERROR((SUMIFS(Data!$E$2:$E$2657,Data!$A$2:$A$2657,$A538,Data!$B$2:$B$2657,$B538,Data!$D$2:$D$2657,"RTO/market operation")+SUMIFS(Data!$G$2:$G$2657,Data!$A$2:$A$2657,$A538,Data!$B$2:$B$2657,$B538,Data!$D$2:$D$2657,"RTO/market operation"))/$D538,0)</f>
        <v>0.0136516102466006</v>
      </c>
      <c r="H538" s="10" t="n">
        <f aca="false">IFERROR((SUMIFS(Data!$E$2:$E$2657,Data!$A$2:$A$2657,$A538,Data!$B$2:$B$2657,$B538,Data!$D$2:$D$2657,"Customer accounts, service &amp; sales")+SUMIFS(Data!$G$2:$G$2657,Data!$A$2:$A$2657,$A538,Data!$B$2:$B$2657,$B538,Data!$D$2:$D$2657,"Customer accounts, service &amp; sales"))/$D538,0)</f>
        <v>0.130713021086051</v>
      </c>
      <c r="I538" s="10" t="n">
        <f aca="false">IFERROR((SUMIFS(Data!$E$2:$E$2657,Data!$A$2:$A$2657,$A538,Data!$B$2:$B$2657,$B538,Data!$D$2:$D$2657,"A&amp;G and general")+SUMIFS(Data!$G$2:$G$2657,Data!$A$2:$A$2657,$A538,Data!$B$2:$B$2657,$B538,Data!$D$2:$D$2657,"A&amp;G and general"))/$D538,0)</f>
        <v>0.292432833875713</v>
      </c>
      <c r="J538" s="10" t="n">
        <f aca="false">IFERROR(SUMIFS(Data!$F$2:$F$2657,Data!$A$2:$A$2657,$A538,Data!$B$2:$B$2657,$B538)/$D538,0)</f>
        <v>0.131092099556538</v>
      </c>
      <c r="K538" s="11" t="n">
        <f aca="false">SUM(E538:I538)</f>
        <v>1</v>
      </c>
    </row>
    <row r="539" customFormat="false" ht="15" hidden="false" customHeight="false" outlineLevel="0" collapsed="false">
      <c r="A539" s="7" t="n">
        <v>2023</v>
      </c>
      <c r="B539" s="12" t="s">
        <v>74</v>
      </c>
      <c r="C539" s="12" t="s">
        <v>65</v>
      </c>
      <c r="D539" s="9" t="n">
        <f aca="false">SUMIFS(Data!$E$2:$E$2657,Data!$A$2:$A$2657,$A539,Data!$B$2:$B$2657,$B539)+SUMIFS(Data!$G$2:$G$2657,Data!$A$2:$A$2657,$A539,Data!$B$2:$B$2657,$B539)</f>
        <v>534.197562</v>
      </c>
      <c r="E539" s="10" t="n">
        <f aca="false">IFERROR((SUMIFS(Data!$E$2:$E$2657,Data!$A$2:$A$2657,$A539,Data!$B$2:$B$2657,$B539,Data!$D$2:$D$2657,"Transmission")+SUMIFS(Data!$G$2:$G$2657,Data!$A$2:$A$2657,$A539,Data!$B$2:$B$2657,$B539,Data!$D$2:$D$2657,"Transmission"))/$D539,0)</f>
        <v>0.190587708073441</v>
      </c>
      <c r="F539" s="10" t="n">
        <f aca="false">IFERROR((SUMIFS(Data!$E$2:$E$2657,Data!$A$2:$A$2657,$A539,Data!$B$2:$B$2657,$B539,Data!$D$2:$D$2657,"Distribution")+SUMIFS(Data!$G$2:$G$2657,Data!$A$2:$A$2657,$A539,Data!$B$2:$B$2657,$B539,Data!$D$2:$D$2657,"Distribution"))/$D539,0)</f>
        <v>0.275219816521738</v>
      </c>
      <c r="G539" s="10" t="n">
        <f aca="false">IFERROR((SUMIFS(Data!$E$2:$E$2657,Data!$A$2:$A$2657,$A539,Data!$B$2:$B$2657,$B539,Data!$D$2:$D$2657,"RTO/market operation")+SUMIFS(Data!$G$2:$G$2657,Data!$A$2:$A$2657,$A539,Data!$B$2:$B$2657,$B539,Data!$D$2:$D$2657,"RTO/market operation"))/$D539,0)</f>
        <v>0.00896196527381381</v>
      </c>
      <c r="H539" s="10" t="n">
        <f aca="false">IFERROR((SUMIFS(Data!$E$2:$E$2657,Data!$A$2:$A$2657,$A539,Data!$B$2:$B$2657,$B539,Data!$D$2:$D$2657,"Customer accounts, service &amp; sales")+SUMIFS(Data!$G$2:$G$2657,Data!$A$2:$A$2657,$A539,Data!$B$2:$B$2657,$B539,Data!$D$2:$D$2657,"Customer accounts, service &amp; sales"))/$D539,0)</f>
        <v>0.0340546630948496</v>
      </c>
      <c r="I539" s="10" t="n">
        <f aca="false">IFERROR((SUMIFS(Data!$E$2:$E$2657,Data!$A$2:$A$2657,$A539,Data!$B$2:$B$2657,$B539,Data!$D$2:$D$2657,"A&amp;G and general")+SUMIFS(Data!$G$2:$G$2657,Data!$A$2:$A$2657,$A539,Data!$B$2:$B$2657,$B539,Data!$D$2:$D$2657,"A&amp;G and general"))/$D539,0)</f>
        <v>0.491175847036157</v>
      </c>
      <c r="J539" s="10" t="n">
        <f aca="false">IFERROR(SUMIFS(Data!$F$2:$F$2657,Data!$A$2:$A$2657,$A539,Data!$B$2:$B$2657,$B539)/$D539,0)</f>
        <v>0</v>
      </c>
      <c r="K539" s="11" t="n">
        <f aca="false">SUM(E539:I539)</f>
        <v>1</v>
      </c>
    </row>
    <row r="540" customFormat="false" ht="15" hidden="false" customHeight="false" outlineLevel="0" collapsed="false">
      <c r="A540" s="7" t="n">
        <v>2023</v>
      </c>
      <c r="B540" s="12" t="s">
        <v>75</v>
      </c>
      <c r="C540" s="12" t="s">
        <v>57</v>
      </c>
      <c r="D540" s="9" t="n">
        <f aca="false">SUMIFS(Data!$E$2:$E$2657,Data!$A$2:$A$2657,$A540,Data!$B$2:$B$2657,$B540)+SUMIFS(Data!$G$2:$G$2657,Data!$A$2:$A$2657,$A540,Data!$B$2:$B$2657,$B540)</f>
        <v>1459.514515</v>
      </c>
      <c r="E540" s="10" t="n">
        <f aca="false">IFERROR((SUMIFS(Data!$E$2:$E$2657,Data!$A$2:$A$2657,$A540,Data!$B$2:$B$2657,$B540,Data!$D$2:$D$2657,"Transmission")+SUMIFS(Data!$G$2:$G$2657,Data!$A$2:$A$2657,$A540,Data!$B$2:$B$2657,$B540,Data!$D$2:$D$2657,"Transmission"))/$D540,0)</f>
        <v>0.336086432823178</v>
      </c>
      <c r="F540" s="10" t="n">
        <f aca="false">IFERROR((SUMIFS(Data!$E$2:$E$2657,Data!$A$2:$A$2657,$A540,Data!$B$2:$B$2657,$B540,Data!$D$2:$D$2657,"Distribution")+SUMIFS(Data!$G$2:$G$2657,Data!$A$2:$A$2657,$A540,Data!$B$2:$B$2657,$B540,Data!$D$2:$D$2657,"Distribution"))/$D540,0)</f>
        <v>0.194659044552222</v>
      </c>
      <c r="G540" s="10" t="n">
        <f aca="false">IFERROR((SUMIFS(Data!$E$2:$E$2657,Data!$A$2:$A$2657,$A540,Data!$B$2:$B$2657,$B540,Data!$D$2:$D$2657,"RTO/market operation")+SUMIFS(Data!$G$2:$G$2657,Data!$A$2:$A$2657,$A540,Data!$B$2:$B$2657,$B540,Data!$D$2:$D$2657,"RTO/market operation"))/$D540,0)</f>
        <v>0.00759026641129362</v>
      </c>
      <c r="H540" s="10" t="n">
        <f aca="false">IFERROR((SUMIFS(Data!$E$2:$E$2657,Data!$A$2:$A$2657,$A540,Data!$B$2:$B$2657,$B540,Data!$D$2:$D$2657,"Customer accounts, service &amp; sales")+SUMIFS(Data!$G$2:$G$2657,Data!$A$2:$A$2657,$A540,Data!$B$2:$B$2657,$B540,Data!$D$2:$D$2657,"Customer accounts, service &amp; sales"))/$D540,0)</f>
        <v>0.123115513517178</v>
      </c>
      <c r="I540" s="10" t="n">
        <f aca="false">IFERROR((SUMIFS(Data!$E$2:$E$2657,Data!$A$2:$A$2657,$A540,Data!$B$2:$B$2657,$B540,Data!$D$2:$D$2657,"A&amp;G and general")+SUMIFS(Data!$G$2:$G$2657,Data!$A$2:$A$2657,$A540,Data!$B$2:$B$2657,$B540,Data!$D$2:$D$2657,"A&amp;G and general"))/$D540,0)</f>
        <v>0.338548742696129</v>
      </c>
      <c r="J540" s="10" t="n">
        <f aca="false">IFERROR(SUMIFS(Data!$F$2:$F$2657,Data!$A$2:$A$2657,$A540,Data!$B$2:$B$2657,$B540)/$D540,0)</f>
        <v>0.241140993380254</v>
      </c>
      <c r="K540" s="11" t="n">
        <f aca="false">SUM(E540:I540)</f>
        <v>1</v>
      </c>
    </row>
    <row r="541" customFormat="false" ht="15" hidden="false" customHeight="false" outlineLevel="0" collapsed="false">
      <c r="A541" s="7" t="n">
        <v>2023</v>
      </c>
      <c r="B541" s="12" t="s">
        <v>76</v>
      </c>
      <c r="C541" s="12" t="s">
        <v>72</v>
      </c>
      <c r="D541" s="9" t="n">
        <f aca="false">SUMIFS(Data!$E$2:$E$2657,Data!$A$2:$A$2657,$A541,Data!$B$2:$B$2657,$B541)+SUMIFS(Data!$G$2:$G$2657,Data!$A$2:$A$2657,$A541,Data!$B$2:$B$2657,$B541)</f>
        <v>310.152509</v>
      </c>
      <c r="E541" s="10" t="n">
        <f aca="false">IFERROR((SUMIFS(Data!$E$2:$E$2657,Data!$A$2:$A$2657,$A541,Data!$B$2:$B$2657,$B541,Data!$D$2:$D$2657,"Transmission")+SUMIFS(Data!$G$2:$G$2657,Data!$A$2:$A$2657,$A541,Data!$B$2:$B$2657,$B541,Data!$D$2:$D$2657,"Transmission"))/$D541,0)</f>
        <v>0.388931446625828</v>
      </c>
      <c r="F541" s="10" t="n">
        <f aca="false">IFERROR((SUMIFS(Data!$E$2:$E$2657,Data!$A$2:$A$2657,$A541,Data!$B$2:$B$2657,$B541,Data!$D$2:$D$2657,"Distribution")+SUMIFS(Data!$G$2:$G$2657,Data!$A$2:$A$2657,$A541,Data!$B$2:$B$2657,$B541,Data!$D$2:$D$2657,"Distribution"))/$D541,0)</f>
        <v>0.261241252767038</v>
      </c>
      <c r="G541" s="10" t="n">
        <f aca="false">IFERROR((SUMIFS(Data!$E$2:$E$2657,Data!$A$2:$A$2657,$A541,Data!$B$2:$B$2657,$B541,Data!$D$2:$D$2657,"RTO/market operation")+SUMIFS(Data!$G$2:$G$2657,Data!$A$2:$A$2657,$A541,Data!$B$2:$B$2657,$B541,Data!$D$2:$D$2657,"RTO/market operation"))/$D541,0)</f>
        <v>0</v>
      </c>
      <c r="H541" s="10" t="n">
        <f aca="false">IFERROR((SUMIFS(Data!$E$2:$E$2657,Data!$A$2:$A$2657,$A541,Data!$B$2:$B$2657,$B541,Data!$D$2:$D$2657,"Customer accounts, service &amp; sales")+SUMIFS(Data!$G$2:$G$2657,Data!$A$2:$A$2657,$A541,Data!$B$2:$B$2657,$B541,Data!$D$2:$D$2657,"Customer accounts, service &amp; sales"))/$D541,0)</f>
        <v>0.0902727374035204</v>
      </c>
      <c r="I541" s="10" t="n">
        <f aca="false">IFERROR((SUMIFS(Data!$E$2:$E$2657,Data!$A$2:$A$2657,$A541,Data!$B$2:$B$2657,$B541,Data!$D$2:$D$2657,"A&amp;G and general")+SUMIFS(Data!$G$2:$G$2657,Data!$A$2:$A$2657,$A541,Data!$B$2:$B$2657,$B541,Data!$D$2:$D$2657,"A&amp;G and general"))/$D541,0)</f>
        <v>0.259554563203614</v>
      </c>
      <c r="J541" s="10" t="n">
        <f aca="false">IFERROR(SUMIFS(Data!$F$2:$F$2657,Data!$A$2:$A$2657,$A541,Data!$B$2:$B$2657,$B541)/$D541,0)</f>
        <v>0.190939525818893</v>
      </c>
      <c r="K541" s="11" t="n">
        <f aca="false">SUM(E541:I541)</f>
        <v>1</v>
      </c>
    </row>
    <row r="542" customFormat="false" ht="15" hidden="false" customHeight="false" outlineLevel="0" collapsed="false">
      <c r="A542" s="7" t="n">
        <v>2023</v>
      </c>
      <c r="B542" s="12" t="s">
        <v>77</v>
      </c>
      <c r="C542" s="12" t="s">
        <v>57</v>
      </c>
      <c r="D542" s="9" t="n">
        <f aca="false">SUMIFS(Data!$E$2:$E$2657,Data!$A$2:$A$2657,$A542,Data!$B$2:$B$2657,$B542)+SUMIFS(Data!$G$2:$G$2657,Data!$A$2:$A$2657,$A542,Data!$B$2:$B$2657,$B542)</f>
        <v>174.29098</v>
      </c>
      <c r="E542" s="10" t="n">
        <f aca="false">IFERROR((SUMIFS(Data!$E$2:$E$2657,Data!$A$2:$A$2657,$A542,Data!$B$2:$B$2657,$B542,Data!$D$2:$D$2657,"Transmission")+SUMIFS(Data!$G$2:$G$2657,Data!$A$2:$A$2657,$A542,Data!$B$2:$B$2657,$B542,Data!$D$2:$D$2657,"Transmission"))/$D542,0)</f>
        <v>0.276192806994372</v>
      </c>
      <c r="F542" s="10" t="n">
        <f aca="false">IFERROR((SUMIFS(Data!$E$2:$E$2657,Data!$A$2:$A$2657,$A542,Data!$B$2:$B$2657,$B542,Data!$D$2:$D$2657,"Distribution")+SUMIFS(Data!$G$2:$G$2657,Data!$A$2:$A$2657,$A542,Data!$B$2:$B$2657,$B542,Data!$D$2:$D$2657,"Distribution"))/$D542,0)</f>
        <v>0.20067936390053</v>
      </c>
      <c r="G542" s="10" t="n">
        <f aca="false">IFERROR((SUMIFS(Data!$E$2:$E$2657,Data!$A$2:$A$2657,$A542,Data!$B$2:$B$2657,$B542,Data!$D$2:$D$2657,"RTO/market operation")+SUMIFS(Data!$G$2:$G$2657,Data!$A$2:$A$2657,$A542,Data!$B$2:$B$2657,$B542,Data!$D$2:$D$2657,"RTO/market operation"))/$D542,0)</f>
        <v>0.00584343492703983</v>
      </c>
      <c r="H542" s="10" t="n">
        <f aca="false">IFERROR((SUMIFS(Data!$E$2:$E$2657,Data!$A$2:$A$2657,$A542,Data!$B$2:$B$2657,$B542,Data!$D$2:$D$2657,"Customer accounts, service &amp; sales")+SUMIFS(Data!$G$2:$G$2657,Data!$A$2:$A$2657,$A542,Data!$B$2:$B$2657,$B542,Data!$D$2:$D$2657,"Customer accounts, service &amp; sales"))/$D542,0)</f>
        <v>0.149646843456844</v>
      </c>
      <c r="I542" s="10" t="n">
        <f aca="false">IFERROR((SUMIFS(Data!$E$2:$E$2657,Data!$A$2:$A$2657,$A542,Data!$B$2:$B$2657,$B542,Data!$D$2:$D$2657,"A&amp;G and general")+SUMIFS(Data!$G$2:$G$2657,Data!$A$2:$A$2657,$A542,Data!$B$2:$B$2657,$B542,Data!$D$2:$D$2657,"A&amp;G and general"))/$D542,0)</f>
        <v>0.367637550721213</v>
      </c>
      <c r="J542" s="10" t="n">
        <f aca="false">IFERROR(SUMIFS(Data!$F$2:$F$2657,Data!$A$2:$A$2657,$A542,Data!$B$2:$B$2657,$B542)/$D542,0)</f>
        <v>0.142013889645924</v>
      </c>
      <c r="K542" s="11" t="n">
        <f aca="false">SUM(E542:I542)</f>
        <v>1</v>
      </c>
    </row>
    <row r="543" customFormat="false" ht="15" hidden="false" customHeight="false" outlineLevel="0" collapsed="false">
      <c r="A543" s="7" t="n">
        <v>2023</v>
      </c>
      <c r="B543" s="12" t="s">
        <v>78</v>
      </c>
      <c r="C543" s="12" t="s">
        <v>65</v>
      </c>
      <c r="D543" s="9" t="n">
        <f aca="false">SUMIFS(Data!$E$2:$E$2657,Data!$A$2:$A$2657,$A543,Data!$B$2:$B$2657,$B543)+SUMIFS(Data!$G$2:$G$2657,Data!$A$2:$A$2657,$A543,Data!$B$2:$B$2657,$B543)</f>
        <v>164.367251</v>
      </c>
      <c r="E543" s="10" t="n">
        <f aca="false">IFERROR((SUMIFS(Data!$E$2:$E$2657,Data!$A$2:$A$2657,$A543,Data!$B$2:$B$2657,$B543,Data!$D$2:$D$2657,"Transmission")+SUMIFS(Data!$G$2:$G$2657,Data!$A$2:$A$2657,$A543,Data!$B$2:$B$2657,$B543,Data!$D$2:$D$2657,"Transmission"))/$D543,0)</f>
        <v>0.203567503845398</v>
      </c>
      <c r="F543" s="10" t="n">
        <f aca="false">IFERROR((SUMIFS(Data!$E$2:$E$2657,Data!$A$2:$A$2657,$A543,Data!$B$2:$B$2657,$B543,Data!$D$2:$D$2657,"Distribution")+SUMIFS(Data!$G$2:$G$2657,Data!$A$2:$A$2657,$A543,Data!$B$2:$B$2657,$B543,Data!$D$2:$D$2657,"Distribution"))/$D543,0)</f>
        <v>0.323125602435244</v>
      </c>
      <c r="G543" s="10" t="n">
        <f aca="false">IFERROR((SUMIFS(Data!$E$2:$E$2657,Data!$A$2:$A$2657,$A543,Data!$B$2:$B$2657,$B543,Data!$D$2:$D$2657,"RTO/market operation")+SUMIFS(Data!$G$2:$G$2657,Data!$A$2:$A$2657,$A543,Data!$B$2:$B$2657,$B543,Data!$D$2:$D$2657,"RTO/market operation"))/$D543,0)</f>
        <v>0</v>
      </c>
      <c r="H543" s="10" t="n">
        <f aca="false">IFERROR((SUMIFS(Data!$E$2:$E$2657,Data!$A$2:$A$2657,$A543,Data!$B$2:$B$2657,$B543,Data!$D$2:$D$2657,"Customer accounts, service &amp; sales")+SUMIFS(Data!$G$2:$G$2657,Data!$A$2:$A$2657,$A543,Data!$B$2:$B$2657,$B543,Data!$D$2:$D$2657,"Customer accounts, service &amp; sales"))/$D543,0)</f>
        <v>0.0848598727248897</v>
      </c>
      <c r="I543" s="10" t="n">
        <f aca="false">IFERROR((SUMIFS(Data!$E$2:$E$2657,Data!$A$2:$A$2657,$A543,Data!$B$2:$B$2657,$B543,Data!$D$2:$D$2657,"A&amp;G and general")+SUMIFS(Data!$G$2:$G$2657,Data!$A$2:$A$2657,$A543,Data!$B$2:$B$2657,$B543,Data!$D$2:$D$2657,"A&amp;G and general"))/$D543,0)</f>
        <v>0.388447020994468</v>
      </c>
      <c r="J543" s="10" t="n">
        <f aca="false">IFERROR(SUMIFS(Data!$F$2:$F$2657,Data!$A$2:$A$2657,$A543,Data!$B$2:$B$2657,$B543)/$D543,0)</f>
        <v>0</v>
      </c>
      <c r="K543" s="11" t="n">
        <f aca="false">SUM(E543:I543)</f>
        <v>1</v>
      </c>
    </row>
    <row r="544" customFormat="false" ht="15" hidden="false" customHeight="false" outlineLevel="0" collapsed="false">
      <c r="A544" s="7" t="n">
        <v>2023</v>
      </c>
      <c r="B544" s="12" t="s">
        <v>79</v>
      </c>
      <c r="C544" s="12" t="s">
        <v>72</v>
      </c>
      <c r="D544" s="9" t="n">
        <f aca="false">SUMIFS(Data!$E$2:$E$2657,Data!$A$2:$A$2657,$A544,Data!$B$2:$B$2657,$B544)+SUMIFS(Data!$G$2:$G$2657,Data!$A$2:$A$2657,$A544,Data!$B$2:$B$2657,$B544)</f>
        <v>859.876071</v>
      </c>
      <c r="E544" s="10" t="n">
        <f aca="false">IFERROR((SUMIFS(Data!$E$2:$E$2657,Data!$A$2:$A$2657,$A544,Data!$B$2:$B$2657,$B544,Data!$D$2:$D$2657,"Transmission")+SUMIFS(Data!$G$2:$G$2657,Data!$A$2:$A$2657,$A544,Data!$B$2:$B$2657,$B544,Data!$D$2:$D$2657,"Transmission"))/$D544,0)</f>
        <v>0.413659959843213</v>
      </c>
      <c r="F544" s="10" t="n">
        <f aca="false">IFERROR((SUMIFS(Data!$E$2:$E$2657,Data!$A$2:$A$2657,$A544,Data!$B$2:$B$2657,$B544,Data!$D$2:$D$2657,"Distribution")+SUMIFS(Data!$G$2:$G$2657,Data!$A$2:$A$2657,$A544,Data!$B$2:$B$2657,$B544,Data!$D$2:$D$2657,"Distribution"))/$D544,0)</f>
        <v>0.292557123618341</v>
      </c>
      <c r="G544" s="10" t="n">
        <f aca="false">IFERROR((SUMIFS(Data!$E$2:$E$2657,Data!$A$2:$A$2657,$A544,Data!$B$2:$B$2657,$B544,Data!$D$2:$D$2657,"RTO/market operation")+SUMIFS(Data!$G$2:$G$2657,Data!$A$2:$A$2657,$A544,Data!$B$2:$B$2657,$B544,Data!$D$2:$D$2657,"RTO/market operation"))/$D544,0)</f>
        <v>0.00544016301623539</v>
      </c>
      <c r="H544" s="10" t="n">
        <f aca="false">IFERROR((SUMIFS(Data!$E$2:$E$2657,Data!$A$2:$A$2657,$A544,Data!$B$2:$B$2657,$B544,Data!$D$2:$D$2657,"Customer accounts, service &amp; sales")+SUMIFS(Data!$G$2:$G$2657,Data!$A$2:$A$2657,$A544,Data!$B$2:$B$2657,$B544,Data!$D$2:$D$2657,"Customer accounts, service &amp; sales"))/$D544,0)</f>
        <v>0.107815990148655</v>
      </c>
      <c r="I544" s="10" t="n">
        <f aca="false">IFERROR((SUMIFS(Data!$E$2:$E$2657,Data!$A$2:$A$2657,$A544,Data!$B$2:$B$2657,$B544,Data!$D$2:$D$2657,"A&amp;G and general")+SUMIFS(Data!$G$2:$G$2657,Data!$A$2:$A$2657,$A544,Data!$B$2:$B$2657,$B544,Data!$D$2:$D$2657,"A&amp;G and general"))/$D544,0)</f>
        <v>0.180526763373556</v>
      </c>
      <c r="J544" s="10" t="n">
        <f aca="false">IFERROR(SUMIFS(Data!$F$2:$F$2657,Data!$A$2:$A$2657,$A544,Data!$B$2:$B$2657,$B544)/$D544,0)</f>
        <v>0.395962445616189</v>
      </c>
      <c r="K544" s="11" t="n">
        <f aca="false">SUM(E544:I544)</f>
        <v>1</v>
      </c>
    </row>
    <row r="545" customFormat="false" ht="15" hidden="false" customHeight="false" outlineLevel="0" collapsed="false">
      <c r="A545" s="7" t="n">
        <v>2023</v>
      </c>
      <c r="B545" s="12" t="s">
        <v>80</v>
      </c>
      <c r="C545" s="12" t="s">
        <v>72</v>
      </c>
      <c r="D545" s="9" t="n">
        <f aca="false">SUMIFS(Data!$E$2:$E$2657,Data!$A$2:$A$2657,$A545,Data!$B$2:$B$2657,$B545)+SUMIFS(Data!$G$2:$G$2657,Data!$A$2:$A$2657,$A545,Data!$B$2:$B$2657,$B545)</f>
        <v>441.634708</v>
      </c>
      <c r="E545" s="10" t="n">
        <f aca="false">IFERROR((SUMIFS(Data!$E$2:$E$2657,Data!$A$2:$A$2657,$A545,Data!$B$2:$B$2657,$B545,Data!$D$2:$D$2657,"Transmission")+SUMIFS(Data!$G$2:$G$2657,Data!$A$2:$A$2657,$A545,Data!$B$2:$B$2657,$B545,Data!$D$2:$D$2657,"Transmission"))/$D545,0)</f>
        <v>0.373982843757833</v>
      </c>
      <c r="F545" s="10" t="n">
        <f aca="false">IFERROR((SUMIFS(Data!$E$2:$E$2657,Data!$A$2:$A$2657,$A545,Data!$B$2:$B$2657,$B545,Data!$D$2:$D$2657,"Distribution")+SUMIFS(Data!$G$2:$G$2657,Data!$A$2:$A$2657,$A545,Data!$B$2:$B$2657,$B545,Data!$D$2:$D$2657,"Distribution"))/$D545,0)</f>
        <v>0.25739143898989</v>
      </c>
      <c r="G545" s="10" t="n">
        <f aca="false">IFERROR((SUMIFS(Data!$E$2:$E$2657,Data!$A$2:$A$2657,$A545,Data!$B$2:$B$2657,$B545,Data!$D$2:$D$2657,"RTO/market operation")+SUMIFS(Data!$G$2:$G$2657,Data!$A$2:$A$2657,$A545,Data!$B$2:$B$2657,$B545,Data!$D$2:$D$2657,"RTO/market operation"))/$D545,0)</f>
        <v>0.00673557568305977</v>
      </c>
      <c r="H545" s="10" t="n">
        <f aca="false">IFERROR((SUMIFS(Data!$E$2:$E$2657,Data!$A$2:$A$2657,$A545,Data!$B$2:$B$2657,$B545,Data!$D$2:$D$2657,"Customer accounts, service &amp; sales")+SUMIFS(Data!$G$2:$G$2657,Data!$A$2:$A$2657,$A545,Data!$B$2:$B$2657,$B545,Data!$D$2:$D$2657,"Customer accounts, service &amp; sales"))/$D545,0)</f>
        <v>0.0784896643585359</v>
      </c>
      <c r="I545" s="10" t="n">
        <f aca="false">IFERROR((SUMIFS(Data!$E$2:$E$2657,Data!$A$2:$A$2657,$A545,Data!$B$2:$B$2657,$B545,Data!$D$2:$D$2657,"A&amp;G and general")+SUMIFS(Data!$G$2:$G$2657,Data!$A$2:$A$2657,$A545,Data!$B$2:$B$2657,$B545,Data!$D$2:$D$2657,"A&amp;G and general"))/$D545,0)</f>
        <v>0.283400477210682</v>
      </c>
      <c r="J545" s="10" t="n">
        <f aca="false">IFERROR(SUMIFS(Data!$F$2:$F$2657,Data!$A$2:$A$2657,$A545,Data!$B$2:$B$2657,$B545)/$D545,0)</f>
        <v>0.36861316162678</v>
      </c>
      <c r="K545" s="11" t="n">
        <f aca="false">SUM(E545:I545)</f>
        <v>1</v>
      </c>
    </row>
    <row r="546" customFormat="false" ht="15" hidden="false" customHeight="false" outlineLevel="0" collapsed="false">
      <c r="A546" s="7" t="n">
        <v>2023</v>
      </c>
      <c r="B546" s="12" t="s">
        <v>81</v>
      </c>
      <c r="C546" s="12" t="s">
        <v>72</v>
      </c>
      <c r="D546" s="9" t="n">
        <f aca="false">SUMIFS(Data!$E$2:$E$2657,Data!$A$2:$A$2657,$A546,Data!$B$2:$B$2657,$B546)+SUMIFS(Data!$G$2:$G$2657,Data!$A$2:$A$2657,$A546,Data!$B$2:$B$2657,$B546)</f>
        <v>372.753878</v>
      </c>
      <c r="E546" s="10" t="n">
        <f aca="false">IFERROR((SUMIFS(Data!$E$2:$E$2657,Data!$A$2:$A$2657,$A546,Data!$B$2:$B$2657,$B546,Data!$D$2:$D$2657,"Transmission")+SUMIFS(Data!$G$2:$G$2657,Data!$A$2:$A$2657,$A546,Data!$B$2:$B$2657,$B546,Data!$D$2:$D$2657,"Transmission"))/$D546,0)</f>
        <v>0.43149217350329</v>
      </c>
      <c r="F546" s="10" t="n">
        <f aca="false">IFERROR((SUMIFS(Data!$E$2:$E$2657,Data!$A$2:$A$2657,$A546,Data!$B$2:$B$2657,$B546,Data!$D$2:$D$2657,"Distribution")+SUMIFS(Data!$G$2:$G$2657,Data!$A$2:$A$2657,$A546,Data!$B$2:$B$2657,$B546,Data!$D$2:$D$2657,"Distribution"))/$D546,0)</f>
        <v>0.235089516627376</v>
      </c>
      <c r="G546" s="10" t="n">
        <f aca="false">IFERROR((SUMIFS(Data!$E$2:$E$2657,Data!$A$2:$A$2657,$A546,Data!$B$2:$B$2657,$B546,Data!$D$2:$D$2657,"RTO/market operation")+SUMIFS(Data!$G$2:$G$2657,Data!$A$2:$A$2657,$A546,Data!$B$2:$B$2657,$B546,Data!$D$2:$D$2657,"RTO/market operation"))/$D546,0)</f>
        <v>0.00607372889625578</v>
      </c>
      <c r="H546" s="10" t="n">
        <f aca="false">IFERROR((SUMIFS(Data!$E$2:$E$2657,Data!$A$2:$A$2657,$A546,Data!$B$2:$B$2657,$B546,Data!$D$2:$D$2657,"Customer accounts, service &amp; sales")+SUMIFS(Data!$G$2:$G$2657,Data!$A$2:$A$2657,$A546,Data!$B$2:$B$2657,$B546,Data!$D$2:$D$2657,"Customer accounts, service &amp; sales"))/$D546,0)</f>
        <v>0.104565624398413</v>
      </c>
      <c r="I546" s="10" t="n">
        <f aca="false">IFERROR((SUMIFS(Data!$E$2:$E$2657,Data!$A$2:$A$2657,$A546,Data!$B$2:$B$2657,$B546,Data!$D$2:$D$2657,"A&amp;G and general")+SUMIFS(Data!$G$2:$G$2657,Data!$A$2:$A$2657,$A546,Data!$B$2:$B$2657,$B546,Data!$D$2:$D$2657,"A&amp;G and general"))/$D546,0)</f>
        <v>0.222778956574665</v>
      </c>
      <c r="J546" s="10" t="n">
        <f aca="false">IFERROR(SUMIFS(Data!$F$2:$F$2657,Data!$A$2:$A$2657,$A546,Data!$B$2:$B$2657,$B546)/$D546,0)</f>
        <v>0.412461095844052</v>
      </c>
      <c r="K546" s="11" t="n">
        <f aca="false">SUM(E546:I546)</f>
        <v>1</v>
      </c>
    </row>
    <row r="547" customFormat="false" ht="15" hidden="false" customHeight="false" outlineLevel="0" collapsed="false">
      <c r="A547" s="7" t="n">
        <v>2024</v>
      </c>
      <c r="B547" s="12" t="s">
        <v>56</v>
      </c>
      <c r="C547" s="12" t="s">
        <v>57</v>
      </c>
      <c r="D547" s="9" t="n">
        <f aca="false">SUMIFS(Data!$E$2:$E$2657,Data!$A$2:$A$2657,$A547,Data!$B$2:$B$2657,$B547)+SUMIFS(Data!$G$2:$G$2657,Data!$A$2:$A$2657,$A547,Data!$B$2:$B$2657,$B547)</f>
        <v>295.779205</v>
      </c>
      <c r="E547" s="10" t="n">
        <f aca="false">IFERROR((SUMIFS(Data!$E$2:$E$2657,Data!$A$2:$A$2657,$A547,Data!$B$2:$B$2657,$B547,Data!$D$2:$D$2657,"Transmission")+SUMIFS(Data!$G$2:$G$2657,Data!$A$2:$A$2657,$A547,Data!$B$2:$B$2657,$B547,Data!$D$2:$D$2657,"Transmission"))/$D547,0)</f>
        <v>0.4029877996325</v>
      </c>
      <c r="F547" s="10" t="n">
        <f aca="false">IFERROR((SUMIFS(Data!$E$2:$E$2657,Data!$A$2:$A$2657,$A547,Data!$B$2:$B$2657,$B547,Data!$D$2:$D$2657,"Distribution")+SUMIFS(Data!$G$2:$G$2657,Data!$A$2:$A$2657,$A547,Data!$B$2:$B$2657,$B547,Data!$D$2:$D$2657,"Distribution"))/$D547,0)</f>
        <v>0.182383518138133</v>
      </c>
      <c r="G547" s="10" t="n">
        <f aca="false">IFERROR((SUMIFS(Data!$E$2:$E$2657,Data!$A$2:$A$2657,$A547,Data!$B$2:$B$2657,$B547,Data!$D$2:$D$2657,"RTO/market operation")+SUMIFS(Data!$G$2:$G$2657,Data!$A$2:$A$2657,$A547,Data!$B$2:$B$2657,$B547,Data!$D$2:$D$2657,"RTO/market operation"))/$D547,0)</f>
        <v>0</v>
      </c>
      <c r="H547" s="10" t="n">
        <f aca="false">IFERROR((SUMIFS(Data!$E$2:$E$2657,Data!$A$2:$A$2657,$A547,Data!$B$2:$B$2657,$B547,Data!$D$2:$D$2657,"Customer accounts, service &amp; sales")+SUMIFS(Data!$G$2:$G$2657,Data!$A$2:$A$2657,$A547,Data!$B$2:$B$2657,$B547,Data!$D$2:$D$2657,"Customer accounts, service &amp; sales"))/$D547,0)</f>
        <v>0.0576018926009352</v>
      </c>
      <c r="I547" s="10" t="n">
        <f aca="false">IFERROR((SUMIFS(Data!$E$2:$E$2657,Data!$A$2:$A$2657,$A547,Data!$B$2:$B$2657,$B547,Data!$D$2:$D$2657,"A&amp;G and general")+SUMIFS(Data!$G$2:$G$2657,Data!$A$2:$A$2657,$A547,Data!$B$2:$B$2657,$B547,Data!$D$2:$D$2657,"A&amp;G and general"))/$D547,0)</f>
        <v>0.357026789628433</v>
      </c>
      <c r="J547" s="10" t="n">
        <f aca="false">IFERROR(SUMIFS(Data!$F$2:$F$2657,Data!$A$2:$A$2657,$A547,Data!$B$2:$B$2657,$B547)/$D547,0)</f>
        <v>0.210876078999536</v>
      </c>
      <c r="K547" s="11" t="n">
        <f aca="false">SUM(E547:I547)</f>
        <v>1</v>
      </c>
    </row>
    <row r="548" customFormat="false" ht="15" hidden="false" customHeight="false" outlineLevel="0" collapsed="false">
      <c r="A548" s="7" t="n">
        <v>2024</v>
      </c>
      <c r="B548" s="12" t="s">
        <v>58</v>
      </c>
      <c r="C548" s="12" t="s">
        <v>59</v>
      </c>
      <c r="D548" s="9" t="n">
        <f aca="false">SUMIFS(Data!$E$2:$E$2657,Data!$A$2:$A$2657,$A548,Data!$B$2:$B$2657,$B548)+SUMIFS(Data!$G$2:$G$2657,Data!$A$2:$A$2657,$A548,Data!$B$2:$B$2657,$B548)</f>
        <v>1074.112078</v>
      </c>
      <c r="E548" s="10" t="n">
        <f aca="false">IFERROR((SUMIFS(Data!$E$2:$E$2657,Data!$A$2:$A$2657,$A548,Data!$B$2:$B$2657,$B548,Data!$D$2:$D$2657,"Transmission")+SUMIFS(Data!$G$2:$G$2657,Data!$A$2:$A$2657,$A548,Data!$B$2:$B$2657,$B548,Data!$D$2:$D$2657,"Transmission"))/$D548,0)</f>
        <v>0.162731021818004</v>
      </c>
      <c r="F548" s="10" t="n">
        <f aca="false">IFERROR((SUMIFS(Data!$E$2:$E$2657,Data!$A$2:$A$2657,$A548,Data!$B$2:$B$2657,$B548,Data!$D$2:$D$2657,"Distribution")+SUMIFS(Data!$G$2:$G$2657,Data!$A$2:$A$2657,$A548,Data!$B$2:$B$2657,$B548,Data!$D$2:$D$2657,"Distribution"))/$D548,0)</f>
        <v>0.49856590198402</v>
      </c>
      <c r="G548" s="10" t="n">
        <f aca="false">IFERROR((SUMIFS(Data!$E$2:$E$2657,Data!$A$2:$A$2657,$A548,Data!$B$2:$B$2657,$B548,Data!$D$2:$D$2657,"RTO/market operation")+SUMIFS(Data!$G$2:$G$2657,Data!$A$2:$A$2657,$A548,Data!$B$2:$B$2657,$B548,Data!$D$2:$D$2657,"RTO/market operation"))/$D548,0)</f>
        <v>0.000816835615174974</v>
      </c>
      <c r="H548" s="10" t="n">
        <f aca="false">IFERROR((SUMIFS(Data!$E$2:$E$2657,Data!$A$2:$A$2657,$A548,Data!$B$2:$B$2657,$B548,Data!$D$2:$D$2657,"Customer accounts, service &amp; sales")+SUMIFS(Data!$G$2:$G$2657,Data!$A$2:$A$2657,$A548,Data!$B$2:$B$2657,$B548,Data!$D$2:$D$2657,"Customer accounts, service &amp; sales"))/$D548,0)</f>
        <v>0.120036155109691</v>
      </c>
      <c r="I548" s="10" t="n">
        <f aca="false">IFERROR((SUMIFS(Data!$E$2:$E$2657,Data!$A$2:$A$2657,$A548,Data!$B$2:$B$2657,$B548,Data!$D$2:$D$2657,"A&amp;G and general")+SUMIFS(Data!$G$2:$G$2657,Data!$A$2:$A$2657,$A548,Data!$B$2:$B$2657,$B548,Data!$D$2:$D$2657,"A&amp;G and general"))/$D548,0)</f>
        <v>0.21785008547311</v>
      </c>
      <c r="J548" s="10" t="n">
        <f aca="false">IFERROR(SUMIFS(Data!$F$2:$F$2657,Data!$A$2:$A$2657,$A548,Data!$B$2:$B$2657,$B548)/$D548,0)</f>
        <v>0.0267200384278707</v>
      </c>
      <c r="K548" s="11" t="n">
        <f aca="false">SUM(E548:I548)</f>
        <v>1</v>
      </c>
    </row>
    <row r="549" customFormat="false" ht="15" hidden="false" customHeight="false" outlineLevel="0" collapsed="false">
      <c r="A549" s="7" t="n">
        <v>2024</v>
      </c>
      <c r="B549" s="12" t="s">
        <v>60</v>
      </c>
      <c r="C549" s="12" t="s">
        <v>59</v>
      </c>
      <c r="D549" s="9" t="n">
        <f aca="false">SUMIFS(Data!$E$2:$E$2657,Data!$A$2:$A$2657,$A549,Data!$B$2:$B$2657,$B549)+SUMIFS(Data!$G$2:$G$2657,Data!$A$2:$A$2657,$A549,Data!$B$2:$B$2657,$B549)</f>
        <v>3269.908261</v>
      </c>
      <c r="E549" s="10" t="n">
        <f aca="false">IFERROR((SUMIFS(Data!$E$2:$E$2657,Data!$A$2:$A$2657,$A549,Data!$B$2:$B$2657,$B549,Data!$D$2:$D$2657,"Transmission")+SUMIFS(Data!$G$2:$G$2657,Data!$A$2:$A$2657,$A549,Data!$B$2:$B$2657,$B549,Data!$D$2:$D$2657,"Transmission"))/$D549,0)</f>
        <v>0.230384193643896</v>
      </c>
      <c r="F549" s="10" t="n">
        <f aca="false">IFERROR((SUMIFS(Data!$E$2:$E$2657,Data!$A$2:$A$2657,$A549,Data!$B$2:$B$2657,$B549,Data!$D$2:$D$2657,"Distribution")+SUMIFS(Data!$G$2:$G$2657,Data!$A$2:$A$2657,$A549,Data!$B$2:$B$2657,$B549,Data!$D$2:$D$2657,"Distribution"))/$D549,0)</f>
        <v>0.416075054528877</v>
      </c>
      <c r="G549" s="10" t="n">
        <f aca="false">IFERROR((SUMIFS(Data!$E$2:$E$2657,Data!$A$2:$A$2657,$A549,Data!$B$2:$B$2657,$B549,Data!$D$2:$D$2657,"RTO/market operation")+SUMIFS(Data!$G$2:$G$2657,Data!$A$2:$A$2657,$A549,Data!$B$2:$B$2657,$B549,Data!$D$2:$D$2657,"RTO/market operation"))/$D549,0)</f>
        <v>0.00258860779091441</v>
      </c>
      <c r="H549" s="10" t="n">
        <f aca="false">IFERROR((SUMIFS(Data!$E$2:$E$2657,Data!$A$2:$A$2657,$A549,Data!$B$2:$B$2657,$B549,Data!$D$2:$D$2657,"Customer accounts, service &amp; sales")+SUMIFS(Data!$G$2:$G$2657,Data!$A$2:$A$2657,$A549,Data!$B$2:$B$2657,$B549,Data!$D$2:$D$2657,"Customer accounts, service &amp; sales"))/$D549,0)</f>
        <v>0.113098627386843</v>
      </c>
      <c r="I549" s="10" t="n">
        <f aca="false">IFERROR((SUMIFS(Data!$E$2:$E$2657,Data!$A$2:$A$2657,$A549,Data!$B$2:$B$2657,$B549,Data!$D$2:$D$2657,"A&amp;G and general")+SUMIFS(Data!$G$2:$G$2657,Data!$A$2:$A$2657,$A549,Data!$B$2:$B$2657,$B549,Data!$D$2:$D$2657,"A&amp;G and general"))/$D549,0)</f>
        <v>0.237853516649469</v>
      </c>
      <c r="J549" s="10" t="n">
        <f aca="false">IFERROR(SUMIFS(Data!$F$2:$F$2657,Data!$A$2:$A$2657,$A549,Data!$B$2:$B$2657,$B549)/$D549,0)</f>
        <v>0.0031411281846968</v>
      </c>
      <c r="K549" s="11" t="n">
        <f aca="false">SUM(E549:I549)</f>
        <v>1</v>
      </c>
    </row>
    <row r="550" customFormat="false" ht="15" hidden="false" customHeight="false" outlineLevel="0" collapsed="false">
      <c r="A550" s="7" t="n">
        <v>2024</v>
      </c>
      <c r="B550" s="12" t="s">
        <v>61</v>
      </c>
      <c r="C550" s="12" t="s">
        <v>62</v>
      </c>
      <c r="D550" s="9" t="n">
        <f aca="false">SUMIFS(Data!$E$2:$E$2657,Data!$A$2:$A$2657,$A550,Data!$B$2:$B$2657,$B550)+SUMIFS(Data!$G$2:$G$2657,Data!$A$2:$A$2657,$A550,Data!$B$2:$B$2657,$B550)</f>
        <v>1713.623224</v>
      </c>
      <c r="E550" s="10" t="n">
        <f aca="false">IFERROR((SUMIFS(Data!$E$2:$E$2657,Data!$A$2:$A$2657,$A550,Data!$B$2:$B$2657,$B550,Data!$D$2:$D$2657,"Transmission")+SUMIFS(Data!$G$2:$G$2657,Data!$A$2:$A$2657,$A550,Data!$B$2:$B$2657,$B550,Data!$D$2:$D$2657,"Transmission"))/$D550,0)</f>
        <v>0.300265131093952</v>
      </c>
      <c r="F550" s="10" t="n">
        <f aca="false">IFERROR((SUMIFS(Data!$E$2:$E$2657,Data!$A$2:$A$2657,$A550,Data!$B$2:$B$2657,$B550,Data!$D$2:$D$2657,"Distribution")+SUMIFS(Data!$G$2:$G$2657,Data!$A$2:$A$2657,$A550,Data!$B$2:$B$2657,$B550,Data!$D$2:$D$2657,"Distribution"))/$D550,0)</f>
        <v>0.414676529850765</v>
      </c>
      <c r="G550" s="10" t="n">
        <f aca="false">IFERROR((SUMIFS(Data!$E$2:$E$2657,Data!$A$2:$A$2657,$A550,Data!$B$2:$B$2657,$B550,Data!$D$2:$D$2657,"RTO/market operation")+SUMIFS(Data!$G$2:$G$2657,Data!$A$2:$A$2657,$A550,Data!$B$2:$B$2657,$B550,Data!$D$2:$D$2657,"RTO/market operation"))/$D550,0)</f>
        <v>0.00594541895634346</v>
      </c>
      <c r="H550" s="10" t="n">
        <f aca="false">IFERROR((SUMIFS(Data!$E$2:$E$2657,Data!$A$2:$A$2657,$A550,Data!$B$2:$B$2657,$B550,Data!$D$2:$D$2657,"Customer accounts, service &amp; sales")+SUMIFS(Data!$G$2:$G$2657,Data!$A$2:$A$2657,$A550,Data!$B$2:$B$2657,$B550,Data!$D$2:$D$2657,"Customer accounts, service &amp; sales"))/$D550,0)</f>
        <v>0.18950987267899</v>
      </c>
      <c r="I550" s="10" t="n">
        <f aca="false">IFERROR((SUMIFS(Data!$E$2:$E$2657,Data!$A$2:$A$2657,$A550,Data!$B$2:$B$2657,$B550,Data!$D$2:$D$2657,"A&amp;G and general")+SUMIFS(Data!$G$2:$G$2657,Data!$A$2:$A$2657,$A550,Data!$B$2:$B$2657,$B550,Data!$D$2:$D$2657,"A&amp;G and general"))/$D550,0)</f>
        <v>0.0896030474199502</v>
      </c>
      <c r="J550" s="10" t="n">
        <f aca="false">IFERROR(SUMIFS(Data!$F$2:$F$2657,Data!$A$2:$A$2657,$A550,Data!$B$2:$B$2657,$B550)/$D550,0)</f>
        <v>0.291896943268785</v>
      </c>
      <c r="K550" s="11" t="n">
        <f aca="false">SUM(E550:I550)</f>
        <v>1</v>
      </c>
    </row>
    <row r="551" customFormat="false" ht="15" hidden="false" customHeight="false" outlineLevel="0" collapsed="false">
      <c r="A551" s="7" t="n">
        <v>2024</v>
      </c>
      <c r="B551" s="12" t="s">
        <v>63</v>
      </c>
      <c r="C551" s="12" t="s">
        <v>62</v>
      </c>
      <c r="D551" s="9" t="n">
        <f aca="false">SUMIFS(Data!$E$2:$E$2657,Data!$A$2:$A$2657,$A551,Data!$B$2:$B$2657,$B551)+SUMIFS(Data!$G$2:$G$2657,Data!$A$2:$A$2657,$A551,Data!$B$2:$B$2657,$B551)</f>
        <v>2363.551167</v>
      </c>
      <c r="E551" s="10" t="n">
        <f aca="false">IFERROR((SUMIFS(Data!$E$2:$E$2657,Data!$A$2:$A$2657,$A551,Data!$B$2:$B$2657,$B551,Data!$D$2:$D$2657,"Transmission")+SUMIFS(Data!$G$2:$G$2657,Data!$A$2:$A$2657,$A551,Data!$B$2:$B$2657,$B551,Data!$D$2:$D$2657,"Transmission"))/$D551,0)</f>
        <v>0.194829794010548</v>
      </c>
      <c r="F551" s="10" t="n">
        <f aca="false">IFERROR((SUMIFS(Data!$E$2:$E$2657,Data!$A$2:$A$2657,$A551,Data!$B$2:$B$2657,$B551,Data!$D$2:$D$2657,"Distribution")+SUMIFS(Data!$G$2:$G$2657,Data!$A$2:$A$2657,$A551,Data!$B$2:$B$2657,$B551,Data!$D$2:$D$2657,"Distribution"))/$D551,0)</f>
        <v>0.366699175419205</v>
      </c>
      <c r="G551" s="10" t="n">
        <f aca="false">IFERROR((SUMIFS(Data!$E$2:$E$2657,Data!$A$2:$A$2657,$A551,Data!$B$2:$B$2657,$B551,Data!$D$2:$D$2657,"RTO/market operation")+SUMIFS(Data!$G$2:$G$2657,Data!$A$2:$A$2657,$A551,Data!$B$2:$B$2657,$B551,Data!$D$2:$D$2657,"RTO/market operation"))/$D551,0)</f>
        <v>0.00413610931571595</v>
      </c>
      <c r="H551" s="10" t="n">
        <f aca="false">IFERROR((SUMIFS(Data!$E$2:$E$2657,Data!$A$2:$A$2657,$A551,Data!$B$2:$B$2657,$B551,Data!$D$2:$D$2657,"Customer accounts, service &amp; sales")+SUMIFS(Data!$G$2:$G$2657,Data!$A$2:$A$2657,$A551,Data!$B$2:$B$2657,$B551,Data!$D$2:$D$2657,"Customer accounts, service &amp; sales"))/$D551,0)</f>
        <v>0.162947672712685</v>
      </c>
      <c r="I551" s="10" t="n">
        <f aca="false">IFERROR((SUMIFS(Data!$E$2:$E$2657,Data!$A$2:$A$2657,$A551,Data!$B$2:$B$2657,$B551,Data!$D$2:$D$2657,"A&amp;G and general")+SUMIFS(Data!$G$2:$G$2657,Data!$A$2:$A$2657,$A551,Data!$B$2:$B$2657,$B551,Data!$D$2:$D$2657,"A&amp;G and general"))/$D551,0)</f>
        <v>0.271387248541846</v>
      </c>
      <c r="J551" s="10" t="n">
        <f aca="false">IFERROR(SUMIFS(Data!$F$2:$F$2657,Data!$A$2:$A$2657,$A551,Data!$B$2:$B$2657,$B551)/$D551,0)</f>
        <v>0.188116904430866</v>
      </c>
      <c r="K551" s="11" t="n">
        <f aca="false">SUM(E551:I551)</f>
        <v>1</v>
      </c>
    </row>
    <row r="552" customFormat="false" ht="15" hidden="false" customHeight="false" outlineLevel="0" collapsed="false">
      <c r="A552" s="7" t="n">
        <v>2024</v>
      </c>
      <c r="B552" s="12" t="s">
        <v>64</v>
      </c>
      <c r="C552" s="12" t="s">
        <v>65</v>
      </c>
      <c r="D552" s="9" t="n">
        <f aca="false">SUMIFS(Data!$E$2:$E$2657,Data!$A$2:$A$2657,$A552,Data!$B$2:$B$2657,$B552)+SUMIFS(Data!$G$2:$G$2657,Data!$A$2:$A$2657,$A552,Data!$B$2:$B$2657,$B552)</f>
        <v>577.700532</v>
      </c>
      <c r="E552" s="10" t="n">
        <f aca="false">IFERROR((SUMIFS(Data!$E$2:$E$2657,Data!$A$2:$A$2657,$A552,Data!$B$2:$B$2657,$B552,Data!$D$2:$D$2657,"Transmission")+SUMIFS(Data!$G$2:$G$2657,Data!$A$2:$A$2657,$A552,Data!$B$2:$B$2657,$B552,Data!$D$2:$D$2657,"Transmission"))/$D552,0)</f>
        <v>0.258677466476697</v>
      </c>
      <c r="F552" s="10" t="n">
        <f aca="false">IFERROR((SUMIFS(Data!$E$2:$E$2657,Data!$A$2:$A$2657,$A552,Data!$B$2:$B$2657,$B552,Data!$D$2:$D$2657,"Distribution")+SUMIFS(Data!$G$2:$G$2657,Data!$A$2:$A$2657,$A552,Data!$B$2:$B$2657,$B552,Data!$D$2:$D$2657,"Distribution"))/$D552,0)</f>
        <v>0.367730374532527</v>
      </c>
      <c r="G552" s="10" t="n">
        <f aca="false">IFERROR((SUMIFS(Data!$E$2:$E$2657,Data!$A$2:$A$2657,$A552,Data!$B$2:$B$2657,$B552,Data!$D$2:$D$2657,"RTO/market operation")+SUMIFS(Data!$G$2:$G$2657,Data!$A$2:$A$2657,$A552,Data!$B$2:$B$2657,$B552,Data!$D$2:$D$2657,"RTO/market operation"))/$D552,0)</f>
        <v>0.0105467117693428</v>
      </c>
      <c r="H552" s="10" t="n">
        <f aca="false">IFERROR((SUMIFS(Data!$E$2:$E$2657,Data!$A$2:$A$2657,$A552,Data!$B$2:$B$2657,$B552,Data!$D$2:$D$2657,"Customer accounts, service &amp; sales")+SUMIFS(Data!$G$2:$G$2657,Data!$A$2:$A$2657,$A552,Data!$B$2:$B$2657,$B552,Data!$D$2:$D$2657,"Customer accounts, service &amp; sales"))/$D552,0)</f>
        <v>0.0647115138886526</v>
      </c>
      <c r="I552" s="10" t="n">
        <f aca="false">IFERROR((SUMIFS(Data!$E$2:$E$2657,Data!$A$2:$A$2657,$A552,Data!$B$2:$B$2657,$B552,Data!$D$2:$D$2657,"A&amp;G and general")+SUMIFS(Data!$G$2:$G$2657,Data!$A$2:$A$2657,$A552,Data!$B$2:$B$2657,$B552,Data!$D$2:$D$2657,"A&amp;G and general"))/$D552,0)</f>
        <v>0.298333933332781</v>
      </c>
      <c r="J552" s="10" t="n">
        <f aca="false">IFERROR(SUMIFS(Data!$F$2:$F$2657,Data!$A$2:$A$2657,$A552,Data!$B$2:$B$2657,$B552)/$D552,0)</f>
        <v>0.113616571846951</v>
      </c>
      <c r="K552" s="11" t="n">
        <f aca="false">SUM(E552:I552)</f>
        <v>1</v>
      </c>
    </row>
    <row r="553" customFormat="false" ht="15" hidden="false" customHeight="false" outlineLevel="0" collapsed="false">
      <c r="A553" s="7" t="n">
        <v>2024</v>
      </c>
      <c r="B553" s="12" t="s">
        <v>66</v>
      </c>
      <c r="C553" s="12" t="s">
        <v>67</v>
      </c>
      <c r="D553" s="9" t="n">
        <f aca="false">SUMIFS(Data!$E$2:$E$2657,Data!$A$2:$A$2657,$A553,Data!$B$2:$B$2657,$B553)+SUMIFS(Data!$G$2:$G$2657,Data!$A$2:$A$2657,$A553,Data!$B$2:$B$2657,$B553)</f>
        <v>777.372824</v>
      </c>
      <c r="E553" s="10" t="n">
        <f aca="false">IFERROR((SUMIFS(Data!$E$2:$E$2657,Data!$A$2:$A$2657,$A553,Data!$B$2:$B$2657,$B553,Data!$D$2:$D$2657,"Transmission")+SUMIFS(Data!$G$2:$G$2657,Data!$A$2:$A$2657,$A553,Data!$B$2:$B$2657,$B553,Data!$D$2:$D$2657,"Transmission"))/$D553,0)</f>
        <v>0.443665186577194</v>
      </c>
      <c r="F553" s="10" t="n">
        <f aca="false">IFERROR((SUMIFS(Data!$E$2:$E$2657,Data!$A$2:$A$2657,$A553,Data!$B$2:$B$2657,$B553,Data!$D$2:$D$2657,"Distribution")+SUMIFS(Data!$G$2:$G$2657,Data!$A$2:$A$2657,$A553,Data!$B$2:$B$2657,$B553,Data!$D$2:$D$2657,"Distribution"))/$D553,0)</f>
        <v>0.247315369233952</v>
      </c>
      <c r="G553" s="10" t="n">
        <f aca="false">IFERROR((SUMIFS(Data!$E$2:$E$2657,Data!$A$2:$A$2657,$A553,Data!$B$2:$B$2657,$B553,Data!$D$2:$D$2657,"RTO/market operation")+SUMIFS(Data!$G$2:$G$2657,Data!$A$2:$A$2657,$A553,Data!$B$2:$B$2657,$B553,Data!$D$2:$D$2657,"RTO/market operation"))/$D553,0)</f>
        <v>0.00778575326168078</v>
      </c>
      <c r="H553" s="10" t="n">
        <f aca="false">IFERROR((SUMIFS(Data!$E$2:$E$2657,Data!$A$2:$A$2657,$A553,Data!$B$2:$B$2657,$B553,Data!$D$2:$D$2657,"Customer accounts, service &amp; sales")+SUMIFS(Data!$G$2:$G$2657,Data!$A$2:$A$2657,$A553,Data!$B$2:$B$2657,$B553,Data!$D$2:$D$2657,"Customer accounts, service &amp; sales"))/$D553,0)</f>
        <v>0.0796627758111596</v>
      </c>
      <c r="I553" s="10" t="n">
        <f aca="false">IFERROR((SUMIFS(Data!$E$2:$E$2657,Data!$A$2:$A$2657,$A553,Data!$B$2:$B$2657,$B553,Data!$D$2:$D$2657,"A&amp;G and general")+SUMIFS(Data!$G$2:$G$2657,Data!$A$2:$A$2657,$A553,Data!$B$2:$B$2657,$B553,Data!$D$2:$D$2657,"A&amp;G and general"))/$D553,0)</f>
        <v>0.221570915116014</v>
      </c>
      <c r="J553" s="10" t="n">
        <f aca="false">IFERROR(SUMIFS(Data!$F$2:$F$2657,Data!$A$2:$A$2657,$A553,Data!$B$2:$B$2657,$B553)/$D553,0)</f>
        <v>0.336601985458653</v>
      </c>
      <c r="K553" s="11" t="n">
        <f aca="false">SUM(E553:I553)</f>
        <v>1</v>
      </c>
    </row>
    <row r="554" customFormat="false" ht="15" hidden="false" customHeight="false" outlineLevel="0" collapsed="false">
      <c r="A554" s="7" t="n">
        <v>2024</v>
      </c>
      <c r="B554" s="12" t="s">
        <v>68</v>
      </c>
      <c r="C554" s="12" t="s">
        <v>65</v>
      </c>
      <c r="D554" s="9" t="n">
        <f aca="false">SUMIFS(Data!$E$2:$E$2657,Data!$A$2:$A$2657,$A554,Data!$B$2:$B$2657,$B554)+SUMIFS(Data!$G$2:$G$2657,Data!$A$2:$A$2657,$A554,Data!$B$2:$B$2657,$B554)</f>
        <v>460.994324</v>
      </c>
      <c r="E554" s="10" t="n">
        <f aca="false">IFERROR((SUMIFS(Data!$E$2:$E$2657,Data!$A$2:$A$2657,$A554,Data!$B$2:$B$2657,$B554,Data!$D$2:$D$2657,"Transmission")+SUMIFS(Data!$G$2:$G$2657,Data!$A$2:$A$2657,$A554,Data!$B$2:$B$2657,$B554,Data!$D$2:$D$2657,"Transmission"))/$D554,0)</f>
        <v>0.114695325402748</v>
      </c>
      <c r="F554" s="10" t="n">
        <f aca="false">IFERROR((SUMIFS(Data!$E$2:$E$2657,Data!$A$2:$A$2657,$A554,Data!$B$2:$B$2657,$B554,Data!$D$2:$D$2657,"Distribution")+SUMIFS(Data!$G$2:$G$2657,Data!$A$2:$A$2657,$A554,Data!$B$2:$B$2657,$B554,Data!$D$2:$D$2657,"Distribution"))/$D554,0)</f>
        <v>0.328106634128536</v>
      </c>
      <c r="G554" s="10" t="n">
        <f aca="false">IFERROR((SUMIFS(Data!$E$2:$E$2657,Data!$A$2:$A$2657,$A554,Data!$B$2:$B$2657,$B554,Data!$D$2:$D$2657,"RTO/market operation")+SUMIFS(Data!$G$2:$G$2657,Data!$A$2:$A$2657,$A554,Data!$B$2:$B$2657,$B554,Data!$D$2:$D$2657,"RTO/market operation"))/$D554,0)</f>
        <v>0.012153744001412</v>
      </c>
      <c r="H554" s="10" t="n">
        <f aca="false">IFERROR((SUMIFS(Data!$E$2:$E$2657,Data!$A$2:$A$2657,$A554,Data!$B$2:$B$2657,$B554,Data!$D$2:$D$2657,"Customer accounts, service &amp; sales")+SUMIFS(Data!$G$2:$G$2657,Data!$A$2:$A$2657,$A554,Data!$B$2:$B$2657,$B554,Data!$D$2:$D$2657,"Customer accounts, service &amp; sales"))/$D554,0)</f>
        <v>0.108230503940001</v>
      </c>
      <c r="I554" s="10" t="n">
        <f aca="false">IFERROR((SUMIFS(Data!$E$2:$E$2657,Data!$A$2:$A$2657,$A554,Data!$B$2:$B$2657,$B554,Data!$D$2:$D$2657,"A&amp;G and general")+SUMIFS(Data!$G$2:$G$2657,Data!$A$2:$A$2657,$A554,Data!$B$2:$B$2657,$B554,Data!$D$2:$D$2657,"A&amp;G and general"))/$D554,0)</f>
        <v>0.436813792527302</v>
      </c>
      <c r="J554" s="10" t="n">
        <f aca="false">IFERROR(SUMIFS(Data!$F$2:$F$2657,Data!$A$2:$A$2657,$A554,Data!$B$2:$B$2657,$B554)/$D554,0)</f>
        <v>0.0136188921926943</v>
      </c>
      <c r="K554" s="11" t="n">
        <f aca="false">SUM(E554:I554)</f>
        <v>1</v>
      </c>
    </row>
    <row r="555" customFormat="false" ht="15" hidden="false" customHeight="false" outlineLevel="0" collapsed="false">
      <c r="A555" s="7" t="n">
        <v>2024</v>
      </c>
      <c r="B555" s="12" t="s">
        <v>69</v>
      </c>
      <c r="C555" s="12" t="s">
        <v>70</v>
      </c>
      <c r="D555" s="9" t="n">
        <f aca="false">SUMIFS(Data!$E$2:$E$2657,Data!$A$2:$A$2657,$A555,Data!$B$2:$B$2657,$B555)+SUMIFS(Data!$G$2:$G$2657,Data!$A$2:$A$2657,$A555,Data!$B$2:$B$2657,$B555)</f>
        <v>775.762139</v>
      </c>
      <c r="E555" s="10" t="n">
        <f aca="false">IFERROR((SUMIFS(Data!$E$2:$E$2657,Data!$A$2:$A$2657,$A555,Data!$B$2:$B$2657,$B555,Data!$D$2:$D$2657,"Transmission")+SUMIFS(Data!$G$2:$G$2657,Data!$A$2:$A$2657,$A555,Data!$B$2:$B$2657,$B555,Data!$D$2:$D$2657,"Transmission"))/$D555,0)</f>
        <v>0.54147181962434</v>
      </c>
      <c r="F555" s="10" t="n">
        <f aca="false">IFERROR((SUMIFS(Data!$E$2:$E$2657,Data!$A$2:$A$2657,$A555,Data!$B$2:$B$2657,$B555,Data!$D$2:$D$2657,"Distribution")+SUMIFS(Data!$G$2:$G$2657,Data!$A$2:$A$2657,$A555,Data!$B$2:$B$2657,$B555,Data!$D$2:$D$2657,"Distribution"))/$D555,0)</f>
        <v>0.228715697866766</v>
      </c>
      <c r="G555" s="10" t="n">
        <f aca="false">IFERROR((SUMIFS(Data!$E$2:$E$2657,Data!$A$2:$A$2657,$A555,Data!$B$2:$B$2657,$B555,Data!$D$2:$D$2657,"RTO/market operation")+SUMIFS(Data!$G$2:$G$2657,Data!$A$2:$A$2657,$A555,Data!$B$2:$B$2657,$B555,Data!$D$2:$D$2657,"RTO/market operation"))/$D555,0)</f>
        <v>0.00483227887975079</v>
      </c>
      <c r="H555" s="10" t="n">
        <f aca="false">IFERROR((SUMIFS(Data!$E$2:$E$2657,Data!$A$2:$A$2657,$A555,Data!$B$2:$B$2657,$B555,Data!$D$2:$D$2657,"Customer accounts, service &amp; sales")+SUMIFS(Data!$G$2:$G$2657,Data!$A$2:$A$2657,$A555,Data!$B$2:$B$2657,$B555,Data!$D$2:$D$2657,"Customer accounts, service &amp; sales"))/$D555,0)</f>
        <v>0.0403996746224296</v>
      </c>
      <c r="I555" s="10" t="n">
        <f aca="false">IFERROR((SUMIFS(Data!$E$2:$E$2657,Data!$A$2:$A$2657,$A555,Data!$B$2:$B$2657,$B555,Data!$D$2:$D$2657,"A&amp;G and general")+SUMIFS(Data!$G$2:$G$2657,Data!$A$2:$A$2657,$A555,Data!$B$2:$B$2657,$B555,Data!$D$2:$D$2657,"A&amp;G and general"))/$D555,0)</f>
        <v>0.184580529006714</v>
      </c>
      <c r="J555" s="10" t="n">
        <f aca="false">IFERROR(SUMIFS(Data!$F$2:$F$2657,Data!$A$2:$A$2657,$A555,Data!$B$2:$B$2657,$B555)/$D555,0)</f>
        <v>0.53707868179424</v>
      </c>
      <c r="K555" s="11" t="n">
        <f aca="false">SUM(E555:I555)</f>
        <v>1</v>
      </c>
    </row>
    <row r="556" customFormat="false" ht="15" hidden="false" customHeight="false" outlineLevel="0" collapsed="false">
      <c r="A556" s="7" t="n">
        <v>2024</v>
      </c>
      <c r="B556" s="12" t="s">
        <v>71</v>
      </c>
      <c r="C556" s="12" t="s">
        <v>72</v>
      </c>
      <c r="D556" s="9" t="n">
        <f aca="false">SUMIFS(Data!$E$2:$E$2657,Data!$A$2:$A$2657,$A556,Data!$B$2:$B$2657,$B556)+SUMIFS(Data!$G$2:$G$2657,Data!$A$2:$A$2657,$A556,Data!$B$2:$B$2657,$B556)</f>
        <v>167.513286</v>
      </c>
      <c r="E556" s="10" t="n">
        <f aca="false">IFERROR((SUMIFS(Data!$E$2:$E$2657,Data!$A$2:$A$2657,$A556,Data!$B$2:$B$2657,$B556,Data!$D$2:$D$2657,"Transmission")+SUMIFS(Data!$G$2:$G$2657,Data!$A$2:$A$2657,$A556,Data!$B$2:$B$2657,$B556,Data!$D$2:$D$2657,"Transmission"))/$D556,0)</f>
        <v>0.291676189791895</v>
      </c>
      <c r="F556" s="10" t="n">
        <f aca="false">IFERROR((SUMIFS(Data!$E$2:$E$2657,Data!$A$2:$A$2657,$A556,Data!$B$2:$B$2657,$B556,Data!$D$2:$D$2657,"Distribution")+SUMIFS(Data!$G$2:$G$2657,Data!$A$2:$A$2657,$A556,Data!$B$2:$B$2657,$B556,Data!$D$2:$D$2657,"Distribution"))/$D556,0)</f>
        <v>0.223450998388271</v>
      </c>
      <c r="G556" s="10" t="n">
        <f aca="false">IFERROR((SUMIFS(Data!$E$2:$E$2657,Data!$A$2:$A$2657,$A556,Data!$B$2:$B$2657,$B556,Data!$D$2:$D$2657,"RTO/market operation")+SUMIFS(Data!$G$2:$G$2657,Data!$A$2:$A$2657,$A556,Data!$B$2:$B$2657,$B556,Data!$D$2:$D$2657,"RTO/market operation"))/$D556,0)</f>
        <v>0.00444319383717421</v>
      </c>
      <c r="H556" s="10" t="n">
        <f aca="false">IFERROR((SUMIFS(Data!$E$2:$E$2657,Data!$A$2:$A$2657,$A556,Data!$B$2:$B$2657,$B556,Data!$D$2:$D$2657,"Customer accounts, service &amp; sales")+SUMIFS(Data!$G$2:$G$2657,Data!$A$2:$A$2657,$A556,Data!$B$2:$B$2657,$B556,Data!$D$2:$D$2657,"Customer accounts, service &amp; sales"))/$D556,0)</f>
        <v>0.146871586054374</v>
      </c>
      <c r="I556" s="10" t="n">
        <f aca="false">IFERROR((SUMIFS(Data!$E$2:$E$2657,Data!$A$2:$A$2657,$A556,Data!$B$2:$B$2657,$B556,Data!$D$2:$D$2657,"A&amp;G and general")+SUMIFS(Data!$G$2:$G$2657,Data!$A$2:$A$2657,$A556,Data!$B$2:$B$2657,$B556,Data!$D$2:$D$2657,"A&amp;G and general"))/$D556,0)</f>
        <v>0.333558031928285</v>
      </c>
      <c r="J556" s="10" t="n">
        <f aca="false">IFERROR(SUMIFS(Data!$F$2:$F$2657,Data!$A$2:$A$2657,$A556,Data!$B$2:$B$2657,$B556)/$D556,0)</f>
        <v>0.291423965022094</v>
      </c>
      <c r="K556" s="11" t="n">
        <f aca="false">SUM(E556:I556)</f>
        <v>1</v>
      </c>
    </row>
    <row r="557" customFormat="false" ht="15" hidden="false" customHeight="false" outlineLevel="0" collapsed="false">
      <c r="A557" s="7" t="n">
        <v>2024</v>
      </c>
      <c r="B557" s="12" t="s">
        <v>73</v>
      </c>
      <c r="C557" s="12" t="s">
        <v>70</v>
      </c>
      <c r="D557" s="9" t="n">
        <f aca="false">SUMIFS(Data!$E$2:$E$2657,Data!$A$2:$A$2657,$A557,Data!$B$2:$B$2657,$B557)+SUMIFS(Data!$G$2:$G$2657,Data!$A$2:$A$2657,$A557,Data!$B$2:$B$2657,$B557)</f>
        <v>601.860239</v>
      </c>
      <c r="E557" s="10" t="n">
        <f aca="false">IFERROR((SUMIFS(Data!$E$2:$E$2657,Data!$A$2:$A$2657,$A557,Data!$B$2:$B$2657,$B557,Data!$D$2:$D$2657,"Transmission")+SUMIFS(Data!$G$2:$G$2657,Data!$A$2:$A$2657,$A557,Data!$B$2:$B$2657,$B557,Data!$D$2:$D$2657,"Transmission"))/$D557,0)</f>
        <v>0.260096528822201</v>
      </c>
      <c r="F557" s="10" t="n">
        <f aca="false">IFERROR((SUMIFS(Data!$E$2:$E$2657,Data!$A$2:$A$2657,$A557,Data!$B$2:$B$2657,$B557,Data!$D$2:$D$2657,"Distribution")+SUMIFS(Data!$G$2:$G$2657,Data!$A$2:$A$2657,$A557,Data!$B$2:$B$2657,$B557,Data!$D$2:$D$2657,"Distribution"))/$D557,0)</f>
        <v>0.336146320840444</v>
      </c>
      <c r="G557" s="10" t="n">
        <f aca="false">IFERROR((SUMIFS(Data!$E$2:$E$2657,Data!$A$2:$A$2657,$A557,Data!$B$2:$B$2657,$B557,Data!$D$2:$D$2657,"RTO/market operation")+SUMIFS(Data!$G$2:$G$2657,Data!$A$2:$A$2657,$A557,Data!$B$2:$B$2657,$B557,Data!$D$2:$D$2657,"RTO/market operation"))/$D557,0)</f>
        <v>0.0130798306481914</v>
      </c>
      <c r="H557" s="10" t="n">
        <f aca="false">IFERROR((SUMIFS(Data!$E$2:$E$2657,Data!$A$2:$A$2657,$A557,Data!$B$2:$B$2657,$B557,Data!$D$2:$D$2657,"Customer accounts, service &amp; sales")+SUMIFS(Data!$G$2:$G$2657,Data!$A$2:$A$2657,$A557,Data!$B$2:$B$2657,$B557,Data!$D$2:$D$2657,"Customer accounts, service &amp; sales"))/$D557,0)</f>
        <v>0.136788619126574</v>
      </c>
      <c r="I557" s="10" t="n">
        <f aca="false">IFERROR((SUMIFS(Data!$E$2:$E$2657,Data!$A$2:$A$2657,$A557,Data!$B$2:$B$2657,$B557,Data!$D$2:$D$2657,"A&amp;G and general")+SUMIFS(Data!$G$2:$G$2657,Data!$A$2:$A$2657,$A557,Data!$B$2:$B$2657,$B557,Data!$D$2:$D$2657,"A&amp;G and general"))/$D557,0)</f>
        <v>0.25388870056259</v>
      </c>
      <c r="J557" s="10" t="n">
        <f aca="false">IFERROR(SUMIFS(Data!$F$2:$F$2657,Data!$A$2:$A$2657,$A557,Data!$B$2:$B$2657,$B557)/$D557,0)</f>
        <v>0.136102745607689</v>
      </c>
      <c r="K557" s="11" t="n">
        <f aca="false">SUM(E557:I557)</f>
        <v>1</v>
      </c>
    </row>
    <row r="558" customFormat="false" ht="15" hidden="false" customHeight="false" outlineLevel="0" collapsed="false">
      <c r="A558" s="7" t="n">
        <v>2024</v>
      </c>
      <c r="B558" s="12" t="s">
        <v>74</v>
      </c>
      <c r="C558" s="12" t="s">
        <v>65</v>
      </c>
      <c r="D558" s="9" t="n">
        <f aca="false">SUMIFS(Data!$E$2:$E$2657,Data!$A$2:$A$2657,$A558,Data!$B$2:$B$2657,$B558)+SUMIFS(Data!$G$2:$G$2657,Data!$A$2:$A$2657,$A558,Data!$B$2:$B$2657,$B558)</f>
        <v>549.624528</v>
      </c>
      <c r="E558" s="10" t="n">
        <f aca="false">IFERROR((SUMIFS(Data!$E$2:$E$2657,Data!$A$2:$A$2657,$A558,Data!$B$2:$B$2657,$B558,Data!$D$2:$D$2657,"Transmission")+SUMIFS(Data!$G$2:$G$2657,Data!$A$2:$A$2657,$A558,Data!$B$2:$B$2657,$B558,Data!$D$2:$D$2657,"Transmission"))/$D558,0)</f>
        <v>0.187953107507604</v>
      </c>
      <c r="F558" s="10" t="n">
        <f aca="false">IFERROR((SUMIFS(Data!$E$2:$E$2657,Data!$A$2:$A$2657,$A558,Data!$B$2:$B$2657,$B558,Data!$D$2:$D$2657,"Distribution")+SUMIFS(Data!$G$2:$G$2657,Data!$A$2:$A$2657,$A558,Data!$B$2:$B$2657,$B558,Data!$D$2:$D$2657,"Distribution"))/$D558,0)</f>
        <v>0.268746777982223</v>
      </c>
      <c r="G558" s="10" t="n">
        <f aca="false">IFERROR((SUMIFS(Data!$E$2:$E$2657,Data!$A$2:$A$2657,$A558,Data!$B$2:$B$2657,$B558,Data!$D$2:$D$2657,"RTO/market operation")+SUMIFS(Data!$G$2:$G$2657,Data!$A$2:$A$2657,$A558,Data!$B$2:$B$2657,$B558,Data!$D$2:$D$2657,"RTO/market operation"))/$D558,0)</f>
        <v>0.0104200880933029</v>
      </c>
      <c r="H558" s="10" t="n">
        <f aca="false">IFERROR((SUMIFS(Data!$E$2:$E$2657,Data!$A$2:$A$2657,$A558,Data!$B$2:$B$2657,$B558,Data!$D$2:$D$2657,"Customer accounts, service &amp; sales")+SUMIFS(Data!$G$2:$G$2657,Data!$A$2:$A$2657,$A558,Data!$B$2:$B$2657,$B558,Data!$D$2:$D$2657,"Customer accounts, service &amp; sales"))/$D558,0)</f>
        <v>0.0343759021613388</v>
      </c>
      <c r="I558" s="10" t="n">
        <f aca="false">IFERROR((SUMIFS(Data!$E$2:$E$2657,Data!$A$2:$A$2657,$A558,Data!$B$2:$B$2657,$B558,Data!$D$2:$D$2657,"A&amp;G and general")+SUMIFS(Data!$G$2:$G$2657,Data!$A$2:$A$2657,$A558,Data!$B$2:$B$2657,$B558,Data!$D$2:$D$2657,"A&amp;G and general"))/$D558,0)</f>
        <v>0.498504124255532</v>
      </c>
      <c r="J558" s="10" t="n">
        <f aca="false">IFERROR(SUMIFS(Data!$F$2:$F$2657,Data!$A$2:$A$2657,$A558,Data!$B$2:$B$2657,$B558)/$D558,0)</f>
        <v>0</v>
      </c>
      <c r="K558" s="11" t="n">
        <f aca="false">SUM(E558:I558)</f>
        <v>1</v>
      </c>
    </row>
    <row r="559" customFormat="false" ht="15" hidden="false" customHeight="false" outlineLevel="0" collapsed="false">
      <c r="A559" s="7" t="n">
        <v>2024</v>
      </c>
      <c r="B559" s="12" t="s">
        <v>75</v>
      </c>
      <c r="C559" s="12" t="s">
        <v>57</v>
      </c>
      <c r="D559" s="9" t="n">
        <f aca="false">SUMIFS(Data!$E$2:$E$2657,Data!$A$2:$A$2657,$A559,Data!$B$2:$B$2657,$B559)+SUMIFS(Data!$G$2:$G$2657,Data!$A$2:$A$2657,$A559,Data!$B$2:$B$2657,$B559)</f>
        <v>1558.83692</v>
      </c>
      <c r="E559" s="10" t="n">
        <f aca="false">IFERROR((SUMIFS(Data!$E$2:$E$2657,Data!$A$2:$A$2657,$A559,Data!$B$2:$B$2657,$B559,Data!$D$2:$D$2657,"Transmission")+SUMIFS(Data!$G$2:$G$2657,Data!$A$2:$A$2657,$A559,Data!$B$2:$B$2657,$B559,Data!$D$2:$D$2657,"Transmission"))/$D559,0)</f>
        <v>0.328823140139637</v>
      </c>
      <c r="F559" s="10" t="n">
        <f aca="false">IFERROR((SUMIFS(Data!$E$2:$E$2657,Data!$A$2:$A$2657,$A559,Data!$B$2:$B$2657,$B559,Data!$D$2:$D$2657,"Distribution")+SUMIFS(Data!$G$2:$G$2657,Data!$A$2:$A$2657,$A559,Data!$B$2:$B$2657,$B559,Data!$D$2:$D$2657,"Distribution"))/$D559,0)</f>
        <v>0.201743628191716</v>
      </c>
      <c r="G559" s="10" t="n">
        <f aca="false">IFERROR((SUMIFS(Data!$E$2:$E$2657,Data!$A$2:$A$2657,$A559,Data!$B$2:$B$2657,$B559,Data!$D$2:$D$2657,"RTO/market operation")+SUMIFS(Data!$G$2:$G$2657,Data!$A$2:$A$2657,$A559,Data!$B$2:$B$2657,$B559,Data!$D$2:$D$2657,"RTO/market operation"))/$D559,0)</f>
        <v>0.00726113928582087</v>
      </c>
      <c r="H559" s="10" t="n">
        <f aca="false">IFERROR((SUMIFS(Data!$E$2:$E$2657,Data!$A$2:$A$2657,$A559,Data!$B$2:$B$2657,$B559,Data!$D$2:$D$2657,"Customer accounts, service &amp; sales")+SUMIFS(Data!$G$2:$G$2657,Data!$A$2:$A$2657,$A559,Data!$B$2:$B$2657,$B559,Data!$D$2:$D$2657,"Customer accounts, service &amp; sales"))/$D559,0)</f>
        <v>0.150394064313026</v>
      </c>
      <c r="I559" s="10" t="n">
        <f aca="false">IFERROR((SUMIFS(Data!$E$2:$E$2657,Data!$A$2:$A$2657,$A559,Data!$B$2:$B$2657,$B559,Data!$D$2:$D$2657,"A&amp;G and general")+SUMIFS(Data!$G$2:$G$2657,Data!$A$2:$A$2657,$A559,Data!$B$2:$B$2657,$B559,Data!$D$2:$D$2657,"A&amp;G and general"))/$D559,0)</f>
        <v>0.3117780280698</v>
      </c>
      <c r="J559" s="10" t="n">
        <f aca="false">IFERROR(SUMIFS(Data!$F$2:$F$2657,Data!$A$2:$A$2657,$A559,Data!$B$2:$B$2657,$B559)/$D559,0)</f>
        <v>0.232901094618672</v>
      </c>
      <c r="K559" s="11" t="n">
        <f aca="false">SUM(E559:I559)</f>
        <v>1</v>
      </c>
    </row>
    <row r="560" customFormat="false" ht="15" hidden="false" customHeight="false" outlineLevel="0" collapsed="false">
      <c r="A560" s="7" t="n">
        <v>2024</v>
      </c>
      <c r="B560" s="12" t="s">
        <v>76</v>
      </c>
      <c r="C560" s="12" t="s">
        <v>72</v>
      </c>
      <c r="D560" s="9" t="n">
        <f aca="false">SUMIFS(Data!$E$2:$E$2657,Data!$A$2:$A$2657,$A560,Data!$B$2:$B$2657,$B560)+SUMIFS(Data!$G$2:$G$2657,Data!$A$2:$A$2657,$A560,Data!$B$2:$B$2657,$B560)</f>
        <v>309.016458</v>
      </c>
      <c r="E560" s="10" t="n">
        <f aca="false">IFERROR((SUMIFS(Data!$E$2:$E$2657,Data!$A$2:$A$2657,$A560,Data!$B$2:$B$2657,$B560,Data!$D$2:$D$2657,"Transmission")+SUMIFS(Data!$G$2:$G$2657,Data!$A$2:$A$2657,$A560,Data!$B$2:$B$2657,$B560,Data!$D$2:$D$2657,"Transmission"))/$D560,0)</f>
        <v>0.420904461988235</v>
      </c>
      <c r="F560" s="10" t="n">
        <f aca="false">IFERROR((SUMIFS(Data!$E$2:$E$2657,Data!$A$2:$A$2657,$A560,Data!$B$2:$B$2657,$B560,Data!$D$2:$D$2657,"Distribution")+SUMIFS(Data!$G$2:$G$2657,Data!$A$2:$A$2657,$A560,Data!$B$2:$B$2657,$B560,Data!$D$2:$D$2657,"Distribution"))/$D560,0)</f>
        <v>0.225714094490074</v>
      </c>
      <c r="G560" s="10" t="n">
        <f aca="false">IFERROR((SUMIFS(Data!$E$2:$E$2657,Data!$A$2:$A$2657,$A560,Data!$B$2:$B$2657,$B560,Data!$D$2:$D$2657,"RTO/market operation")+SUMIFS(Data!$G$2:$G$2657,Data!$A$2:$A$2657,$A560,Data!$B$2:$B$2657,$B560,Data!$D$2:$D$2657,"RTO/market operation"))/$D560,0)</f>
        <v>0</v>
      </c>
      <c r="H560" s="10" t="n">
        <f aca="false">IFERROR((SUMIFS(Data!$E$2:$E$2657,Data!$A$2:$A$2657,$A560,Data!$B$2:$B$2657,$B560,Data!$D$2:$D$2657,"Customer accounts, service &amp; sales")+SUMIFS(Data!$G$2:$G$2657,Data!$A$2:$A$2657,$A560,Data!$B$2:$B$2657,$B560,Data!$D$2:$D$2657,"Customer accounts, service &amp; sales"))/$D560,0)</f>
        <v>0.0791217113749974</v>
      </c>
      <c r="I560" s="10" t="n">
        <f aca="false">IFERROR((SUMIFS(Data!$E$2:$E$2657,Data!$A$2:$A$2657,$A560,Data!$B$2:$B$2657,$B560,Data!$D$2:$D$2657,"A&amp;G and general")+SUMIFS(Data!$G$2:$G$2657,Data!$A$2:$A$2657,$A560,Data!$B$2:$B$2657,$B560,Data!$D$2:$D$2657,"A&amp;G and general"))/$D560,0)</f>
        <v>0.274259732146694</v>
      </c>
      <c r="J560" s="10" t="n">
        <f aca="false">IFERROR(SUMIFS(Data!$F$2:$F$2657,Data!$A$2:$A$2657,$A560,Data!$B$2:$B$2657,$B560)/$D560,0)</f>
        <v>0.217194502954273</v>
      </c>
      <c r="K560" s="11" t="n">
        <f aca="false">SUM(E560:I560)</f>
        <v>1</v>
      </c>
    </row>
    <row r="561" customFormat="false" ht="15" hidden="false" customHeight="false" outlineLevel="0" collapsed="false">
      <c r="A561" s="7" t="n">
        <v>2024</v>
      </c>
      <c r="B561" s="12" t="s">
        <v>77</v>
      </c>
      <c r="C561" s="12" t="s">
        <v>57</v>
      </c>
      <c r="D561" s="9" t="n">
        <f aca="false">SUMIFS(Data!$E$2:$E$2657,Data!$A$2:$A$2657,$A561,Data!$B$2:$B$2657,$B561)+SUMIFS(Data!$G$2:$G$2657,Data!$A$2:$A$2657,$A561,Data!$B$2:$B$2657,$B561)</f>
        <v>178.964102</v>
      </c>
      <c r="E561" s="10" t="n">
        <f aca="false">IFERROR((SUMIFS(Data!$E$2:$E$2657,Data!$A$2:$A$2657,$A561,Data!$B$2:$B$2657,$B561,Data!$D$2:$D$2657,"Transmission")+SUMIFS(Data!$G$2:$G$2657,Data!$A$2:$A$2657,$A561,Data!$B$2:$B$2657,$B561,Data!$D$2:$D$2657,"Transmission"))/$D561,0)</f>
        <v>0.265175090812346</v>
      </c>
      <c r="F561" s="10" t="n">
        <f aca="false">IFERROR((SUMIFS(Data!$E$2:$E$2657,Data!$A$2:$A$2657,$A561,Data!$B$2:$B$2657,$B561,Data!$D$2:$D$2657,"Distribution")+SUMIFS(Data!$G$2:$G$2657,Data!$A$2:$A$2657,$A561,Data!$B$2:$B$2657,$B561,Data!$D$2:$D$2657,"Distribution"))/$D561,0)</f>
        <v>0.204184205612364</v>
      </c>
      <c r="G561" s="10" t="n">
        <f aca="false">IFERROR((SUMIFS(Data!$E$2:$E$2657,Data!$A$2:$A$2657,$A561,Data!$B$2:$B$2657,$B561,Data!$D$2:$D$2657,"RTO/market operation")+SUMIFS(Data!$G$2:$G$2657,Data!$A$2:$A$2657,$A561,Data!$B$2:$B$2657,$B561,Data!$D$2:$D$2657,"RTO/market operation"))/$D561,0)</f>
        <v>0.00640900598042841</v>
      </c>
      <c r="H561" s="10" t="n">
        <f aca="false">IFERROR((SUMIFS(Data!$E$2:$E$2657,Data!$A$2:$A$2657,$A561,Data!$B$2:$B$2657,$B561,Data!$D$2:$D$2657,"Customer accounts, service &amp; sales")+SUMIFS(Data!$G$2:$G$2657,Data!$A$2:$A$2657,$A561,Data!$B$2:$B$2657,$B561,Data!$D$2:$D$2657,"Customer accounts, service &amp; sales"))/$D561,0)</f>
        <v>0.133274387061155</v>
      </c>
      <c r="I561" s="10" t="n">
        <f aca="false">IFERROR((SUMIFS(Data!$E$2:$E$2657,Data!$A$2:$A$2657,$A561,Data!$B$2:$B$2657,$B561,Data!$D$2:$D$2657,"A&amp;G and general")+SUMIFS(Data!$G$2:$G$2657,Data!$A$2:$A$2657,$A561,Data!$B$2:$B$2657,$B561,Data!$D$2:$D$2657,"A&amp;G and general"))/$D561,0)</f>
        <v>0.390957310533707</v>
      </c>
      <c r="J561" s="10" t="n">
        <f aca="false">IFERROR(SUMIFS(Data!$F$2:$F$2657,Data!$A$2:$A$2657,$A561,Data!$B$2:$B$2657,$B561)/$D561,0)</f>
        <v>0.131183453763258</v>
      </c>
      <c r="K561" s="11" t="n">
        <f aca="false">SUM(E561:I561)</f>
        <v>1</v>
      </c>
    </row>
    <row r="562" customFormat="false" ht="15" hidden="false" customHeight="false" outlineLevel="0" collapsed="false">
      <c r="A562" s="7" t="n">
        <v>2024</v>
      </c>
      <c r="B562" s="12" t="s">
        <v>78</v>
      </c>
      <c r="C562" s="12" t="s">
        <v>65</v>
      </c>
      <c r="D562" s="9" t="n">
        <f aca="false">SUMIFS(Data!$E$2:$E$2657,Data!$A$2:$A$2657,$A562,Data!$B$2:$B$2657,$B562)+SUMIFS(Data!$G$2:$G$2657,Data!$A$2:$A$2657,$A562,Data!$B$2:$B$2657,$B562)</f>
        <v>168.205861</v>
      </c>
      <c r="E562" s="10" t="n">
        <f aca="false">IFERROR((SUMIFS(Data!$E$2:$E$2657,Data!$A$2:$A$2657,$A562,Data!$B$2:$B$2657,$B562,Data!$D$2:$D$2657,"Transmission")+SUMIFS(Data!$G$2:$G$2657,Data!$A$2:$A$2657,$A562,Data!$B$2:$B$2657,$B562,Data!$D$2:$D$2657,"Transmission"))/$D562,0)</f>
        <v>0.211726403516938</v>
      </c>
      <c r="F562" s="10" t="n">
        <f aca="false">IFERROR((SUMIFS(Data!$E$2:$E$2657,Data!$A$2:$A$2657,$A562,Data!$B$2:$B$2657,$B562,Data!$D$2:$D$2657,"Distribution")+SUMIFS(Data!$G$2:$G$2657,Data!$A$2:$A$2657,$A562,Data!$B$2:$B$2657,$B562,Data!$D$2:$D$2657,"Distribution"))/$D562,0)</f>
        <v>0.342308928224564</v>
      </c>
      <c r="G562" s="10" t="n">
        <f aca="false">IFERROR((SUMIFS(Data!$E$2:$E$2657,Data!$A$2:$A$2657,$A562,Data!$B$2:$B$2657,$B562,Data!$D$2:$D$2657,"RTO/market operation")+SUMIFS(Data!$G$2:$G$2657,Data!$A$2:$A$2657,$A562,Data!$B$2:$B$2657,$B562,Data!$D$2:$D$2657,"RTO/market operation"))/$D562,0)</f>
        <v>0</v>
      </c>
      <c r="H562" s="10" t="n">
        <f aca="false">IFERROR((SUMIFS(Data!$E$2:$E$2657,Data!$A$2:$A$2657,$A562,Data!$B$2:$B$2657,$B562,Data!$D$2:$D$2657,"Customer accounts, service &amp; sales")+SUMIFS(Data!$G$2:$G$2657,Data!$A$2:$A$2657,$A562,Data!$B$2:$B$2657,$B562,Data!$D$2:$D$2657,"Customer accounts, service &amp; sales"))/$D562,0)</f>
        <v>0.0778722805622094</v>
      </c>
      <c r="I562" s="10" t="n">
        <f aca="false">IFERROR((SUMIFS(Data!$E$2:$E$2657,Data!$A$2:$A$2657,$A562,Data!$B$2:$B$2657,$B562,Data!$D$2:$D$2657,"A&amp;G and general")+SUMIFS(Data!$G$2:$G$2657,Data!$A$2:$A$2657,$A562,Data!$B$2:$B$2657,$B562,Data!$D$2:$D$2657,"A&amp;G and general"))/$D562,0)</f>
        <v>0.368092387696288</v>
      </c>
      <c r="J562" s="10" t="n">
        <f aca="false">IFERROR(SUMIFS(Data!$F$2:$F$2657,Data!$A$2:$A$2657,$A562,Data!$B$2:$B$2657,$B562)/$D562,0)</f>
        <v>0</v>
      </c>
      <c r="K562" s="11" t="n">
        <f aca="false">SUM(E562:I562)</f>
        <v>1</v>
      </c>
    </row>
    <row r="563" customFormat="false" ht="15" hidden="false" customHeight="false" outlineLevel="0" collapsed="false">
      <c r="A563" s="7" t="n">
        <v>2024</v>
      </c>
      <c r="B563" s="12" t="s">
        <v>79</v>
      </c>
      <c r="C563" s="12" t="s">
        <v>72</v>
      </c>
      <c r="D563" s="9" t="n">
        <f aca="false">SUMIFS(Data!$E$2:$E$2657,Data!$A$2:$A$2657,$A563,Data!$B$2:$B$2657,$B563)+SUMIFS(Data!$G$2:$G$2657,Data!$A$2:$A$2657,$A563,Data!$B$2:$B$2657,$B563)</f>
        <v>924.011527</v>
      </c>
      <c r="E563" s="10" t="n">
        <f aca="false">IFERROR((SUMIFS(Data!$E$2:$E$2657,Data!$A$2:$A$2657,$A563,Data!$B$2:$B$2657,$B563,Data!$D$2:$D$2657,"Transmission")+SUMIFS(Data!$G$2:$G$2657,Data!$A$2:$A$2657,$A563,Data!$B$2:$B$2657,$B563,Data!$D$2:$D$2657,"Transmission"))/$D563,0)</f>
        <v>0.385548240027529</v>
      </c>
      <c r="F563" s="10" t="n">
        <f aca="false">IFERROR((SUMIFS(Data!$E$2:$E$2657,Data!$A$2:$A$2657,$A563,Data!$B$2:$B$2657,$B563,Data!$D$2:$D$2657,"Distribution")+SUMIFS(Data!$G$2:$G$2657,Data!$A$2:$A$2657,$A563,Data!$B$2:$B$2657,$B563,Data!$D$2:$D$2657,"Distribution"))/$D563,0)</f>
        <v>0.284457873435166</v>
      </c>
      <c r="G563" s="10" t="n">
        <f aca="false">IFERROR((SUMIFS(Data!$E$2:$E$2657,Data!$A$2:$A$2657,$A563,Data!$B$2:$B$2657,$B563,Data!$D$2:$D$2657,"RTO/market operation")+SUMIFS(Data!$G$2:$G$2657,Data!$A$2:$A$2657,$A563,Data!$B$2:$B$2657,$B563,Data!$D$2:$D$2657,"RTO/market operation"))/$D563,0)</f>
        <v>0.00506259918118965</v>
      </c>
      <c r="H563" s="10" t="n">
        <f aca="false">IFERROR((SUMIFS(Data!$E$2:$E$2657,Data!$A$2:$A$2657,$A563,Data!$B$2:$B$2657,$B563,Data!$D$2:$D$2657,"Customer accounts, service &amp; sales")+SUMIFS(Data!$G$2:$G$2657,Data!$A$2:$A$2657,$A563,Data!$B$2:$B$2657,$B563,Data!$D$2:$D$2657,"Customer accounts, service &amp; sales"))/$D563,0)</f>
        <v>0.106343096518535</v>
      </c>
      <c r="I563" s="10" t="n">
        <f aca="false">IFERROR((SUMIFS(Data!$E$2:$E$2657,Data!$A$2:$A$2657,$A563,Data!$B$2:$B$2657,$B563,Data!$D$2:$D$2657,"A&amp;G and general")+SUMIFS(Data!$G$2:$G$2657,Data!$A$2:$A$2657,$A563,Data!$B$2:$B$2657,$B563,Data!$D$2:$D$2657,"A&amp;G and general"))/$D563,0)</f>
        <v>0.21858819083758</v>
      </c>
      <c r="J563" s="10" t="n">
        <f aca="false">IFERROR(SUMIFS(Data!$F$2:$F$2657,Data!$A$2:$A$2657,$A563,Data!$B$2:$B$2657,$B563)/$D563,0)</f>
        <v>0.368913739752513</v>
      </c>
      <c r="K563" s="11" t="n">
        <f aca="false">SUM(E563:I563)</f>
        <v>1</v>
      </c>
    </row>
    <row r="564" customFormat="false" ht="15" hidden="false" customHeight="false" outlineLevel="0" collapsed="false">
      <c r="A564" s="7" t="n">
        <v>2024</v>
      </c>
      <c r="B564" s="12" t="s">
        <v>80</v>
      </c>
      <c r="C564" s="12" t="s">
        <v>72</v>
      </c>
      <c r="D564" s="9" t="n">
        <f aca="false">SUMIFS(Data!$E$2:$E$2657,Data!$A$2:$A$2657,$A564,Data!$B$2:$B$2657,$B564)+SUMIFS(Data!$G$2:$G$2657,Data!$A$2:$A$2657,$A564,Data!$B$2:$B$2657,$B564)</f>
        <v>503.433886</v>
      </c>
      <c r="E564" s="10" t="n">
        <f aca="false">IFERROR((SUMIFS(Data!$E$2:$E$2657,Data!$A$2:$A$2657,$A564,Data!$B$2:$B$2657,$B564,Data!$D$2:$D$2657,"Transmission")+SUMIFS(Data!$G$2:$G$2657,Data!$A$2:$A$2657,$A564,Data!$B$2:$B$2657,$B564,Data!$D$2:$D$2657,"Transmission"))/$D564,0)</f>
        <v>0.395770909628439</v>
      </c>
      <c r="F564" s="10" t="n">
        <f aca="false">IFERROR((SUMIFS(Data!$E$2:$E$2657,Data!$A$2:$A$2657,$A564,Data!$B$2:$B$2657,$B564,Data!$D$2:$D$2657,"Distribution")+SUMIFS(Data!$G$2:$G$2657,Data!$A$2:$A$2657,$A564,Data!$B$2:$B$2657,$B564,Data!$D$2:$D$2657,"Distribution"))/$D564,0)</f>
        <v>0.227084924513802</v>
      </c>
      <c r="G564" s="10" t="n">
        <f aca="false">IFERROR((SUMIFS(Data!$E$2:$E$2657,Data!$A$2:$A$2657,$A564,Data!$B$2:$B$2657,$B564,Data!$D$2:$D$2657,"RTO/market operation")+SUMIFS(Data!$G$2:$G$2657,Data!$A$2:$A$2657,$A564,Data!$B$2:$B$2657,$B564,Data!$D$2:$D$2657,"RTO/market operation"))/$D564,0)</f>
        <v>0.00636676649930553</v>
      </c>
      <c r="H564" s="10" t="n">
        <f aca="false">IFERROR((SUMIFS(Data!$E$2:$E$2657,Data!$A$2:$A$2657,$A564,Data!$B$2:$B$2657,$B564,Data!$D$2:$D$2657,"Customer accounts, service &amp; sales")+SUMIFS(Data!$G$2:$G$2657,Data!$A$2:$A$2657,$A564,Data!$B$2:$B$2657,$B564,Data!$D$2:$D$2657,"Customer accounts, service &amp; sales"))/$D564,0)</f>
        <v>0.0839924609286233</v>
      </c>
      <c r="I564" s="10" t="n">
        <f aca="false">IFERROR((SUMIFS(Data!$E$2:$E$2657,Data!$A$2:$A$2657,$A564,Data!$B$2:$B$2657,$B564,Data!$D$2:$D$2657,"A&amp;G and general")+SUMIFS(Data!$G$2:$G$2657,Data!$A$2:$A$2657,$A564,Data!$B$2:$B$2657,$B564,Data!$D$2:$D$2657,"A&amp;G and general"))/$D564,0)</f>
        <v>0.28678493842983</v>
      </c>
      <c r="J564" s="10" t="n">
        <f aca="false">IFERROR(SUMIFS(Data!$F$2:$F$2657,Data!$A$2:$A$2657,$A564,Data!$B$2:$B$2657,$B564)/$D564,0)</f>
        <v>0.389863150769315</v>
      </c>
      <c r="K564" s="11" t="n">
        <f aca="false">SUM(E564:I564)</f>
        <v>1</v>
      </c>
    </row>
    <row r="565" customFormat="false" ht="15" hidden="false" customHeight="false" outlineLevel="0" collapsed="false">
      <c r="A565" s="7" t="n">
        <v>2024</v>
      </c>
      <c r="B565" s="12" t="s">
        <v>81</v>
      </c>
      <c r="C565" s="12" t="s">
        <v>72</v>
      </c>
      <c r="D565" s="9" t="n">
        <f aca="false">SUMIFS(Data!$E$2:$E$2657,Data!$A$2:$A$2657,$A565,Data!$B$2:$B$2657,$B565)+SUMIFS(Data!$G$2:$G$2657,Data!$A$2:$A$2657,$A565,Data!$B$2:$B$2657,$B565)</f>
        <v>385.591252</v>
      </c>
      <c r="E565" s="10" t="n">
        <f aca="false">IFERROR((SUMIFS(Data!$E$2:$E$2657,Data!$A$2:$A$2657,$A565,Data!$B$2:$B$2657,$B565,Data!$D$2:$D$2657,"Transmission")+SUMIFS(Data!$G$2:$G$2657,Data!$A$2:$A$2657,$A565,Data!$B$2:$B$2657,$B565,Data!$D$2:$D$2657,"Transmission"))/$D565,0)</f>
        <v>0.418919306810415</v>
      </c>
      <c r="F565" s="10" t="n">
        <f aca="false">IFERROR((SUMIFS(Data!$E$2:$E$2657,Data!$A$2:$A$2657,$A565,Data!$B$2:$B$2657,$B565,Data!$D$2:$D$2657,"Distribution")+SUMIFS(Data!$G$2:$G$2657,Data!$A$2:$A$2657,$A565,Data!$B$2:$B$2657,$B565,Data!$D$2:$D$2657,"Distribution"))/$D565,0)</f>
        <v>0.247848841238753</v>
      </c>
      <c r="G565" s="10" t="n">
        <f aca="false">IFERROR((SUMIFS(Data!$E$2:$E$2657,Data!$A$2:$A$2657,$A565,Data!$B$2:$B$2657,$B565,Data!$D$2:$D$2657,"RTO/market operation")+SUMIFS(Data!$G$2:$G$2657,Data!$A$2:$A$2657,$A565,Data!$B$2:$B$2657,$B565,Data!$D$2:$D$2657,"RTO/market operation"))/$D565,0)</f>
        <v>0.00587409332616291</v>
      </c>
      <c r="H565" s="10" t="n">
        <f aca="false">IFERROR((SUMIFS(Data!$E$2:$E$2657,Data!$A$2:$A$2657,$A565,Data!$B$2:$B$2657,$B565,Data!$D$2:$D$2657,"Customer accounts, service &amp; sales")+SUMIFS(Data!$G$2:$G$2657,Data!$A$2:$A$2657,$A565,Data!$B$2:$B$2657,$B565,Data!$D$2:$D$2657,"Customer accounts, service &amp; sales"))/$D565,0)</f>
        <v>0.105416315305825</v>
      </c>
      <c r="I565" s="10" t="n">
        <f aca="false">IFERROR((SUMIFS(Data!$E$2:$E$2657,Data!$A$2:$A$2657,$A565,Data!$B$2:$B$2657,$B565,Data!$D$2:$D$2657,"A&amp;G and general")+SUMIFS(Data!$G$2:$G$2657,Data!$A$2:$A$2657,$A565,Data!$B$2:$B$2657,$B565,Data!$D$2:$D$2657,"A&amp;G and general"))/$D565,0)</f>
        <v>0.221941443318844</v>
      </c>
      <c r="J565" s="10" t="n">
        <f aca="false">IFERROR(SUMIFS(Data!$F$2:$F$2657,Data!$A$2:$A$2657,$A565,Data!$B$2:$B$2657,$B565)/$D565,0)</f>
        <v>0.400356717636322</v>
      </c>
      <c r="K565" s="11" t="n">
        <f aca="false">SUM(E565:I565)</f>
        <v>1</v>
      </c>
    </row>
    <row r="566" customFormat="false" ht="15" hidden="false" customHeight="false" outlineLevel="0" collapsed="false">
      <c r="A566" s="7" t="n">
        <v>2025</v>
      </c>
      <c r="B566" s="12" t="s">
        <v>56</v>
      </c>
      <c r="C566" s="12" t="s">
        <v>57</v>
      </c>
      <c r="D566" s="9" t="n">
        <f aca="false">SUMIFS(Data!$E$2:$E$2657,Data!$A$2:$A$2657,$A566,Data!$B$2:$B$2657,$B566)+SUMIFS(Data!$G$2:$G$2657,Data!$A$2:$A$2657,$A566,Data!$B$2:$B$2657,$B566)</f>
        <v>316.610295</v>
      </c>
      <c r="E566" s="10" t="n">
        <f aca="false">IFERROR((SUMIFS(Data!$E$2:$E$2657,Data!$A$2:$A$2657,$A566,Data!$B$2:$B$2657,$B566,Data!$D$2:$D$2657,"Transmission")+SUMIFS(Data!$G$2:$G$2657,Data!$A$2:$A$2657,$A566,Data!$B$2:$B$2657,$B566,Data!$D$2:$D$2657,"Transmission"))/$D566,0)</f>
        <v>0.424075846933531</v>
      </c>
      <c r="F566" s="10" t="n">
        <f aca="false">IFERROR((SUMIFS(Data!$E$2:$E$2657,Data!$A$2:$A$2657,$A566,Data!$B$2:$B$2657,$B566,Data!$D$2:$D$2657,"Distribution")+SUMIFS(Data!$G$2:$G$2657,Data!$A$2:$A$2657,$A566,Data!$B$2:$B$2657,$B566,Data!$D$2:$D$2657,"Distribution"))/$D566,0)</f>
        <v>0.179061994809739</v>
      </c>
      <c r="G566" s="10" t="n">
        <f aca="false">IFERROR((SUMIFS(Data!$E$2:$E$2657,Data!$A$2:$A$2657,$A566,Data!$B$2:$B$2657,$B566,Data!$D$2:$D$2657,"RTO/market operation")+SUMIFS(Data!$G$2:$G$2657,Data!$A$2:$A$2657,$A566,Data!$B$2:$B$2657,$B566,Data!$D$2:$D$2657,"RTO/market operation"))/$D566,0)</f>
        <v>0</v>
      </c>
      <c r="H566" s="10" t="n">
        <f aca="false">IFERROR((SUMIFS(Data!$E$2:$E$2657,Data!$A$2:$A$2657,$A566,Data!$B$2:$B$2657,$B566,Data!$D$2:$D$2657,"Customer accounts, service &amp; sales")+SUMIFS(Data!$G$2:$G$2657,Data!$A$2:$A$2657,$A566,Data!$B$2:$B$2657,$B566,Data!$D$2:$D$2657,"Customer accounts, service &amp; sales"))/$D566,0)</f>
        <v>0.0681099046384452</v>
      </c>
      <c r="I566" s="10" t="n">
        <f aca="false">IFERROR((SUMIFS(Data!$E$2:$E$2657,Data!$A$2:$A$2657,$A566,Data!$B$2:$B$2657,$B566,Data!$D$2:$D$2657,"A&amp;G and general")+SUMIFS(Data!$G$2:$G$2657,Data!$A$2:$A$2657,$A566,Data!$B$2:$B$2657,$B566,Data!$D$2:$D$2657,"A&amp;G and general"))/$D566,0)</f>
        <v>0.328752253618285</v>
      </c>
      <c r="J566" s="10" t="n">
        <f aca="false">IFERROR(SUMIFS(Data!$F$2:$F$2657,Data!$A$2:$A$2657,$A566,Data!$B$2:$B$2657,$B566)/$D566,0)</f>
        <v>0.236092708229845</v>
      </c>
      <c r="K566" s="11" t="n">
        <f aca="false">SUM(E566:I566)</f>
        <v>1</v>
      </c>
    </row>
    <row r="567" customFormat="false" ht="15" hidden="false" customHeight="false" outlineLevel="0" collapsed="false">
      <c r="A567" s="7" t="n">
        <v>2025</v>
      </c>
      <c r="B567" s="12" t="s">
        <v>58</v>
      </c>
      <c r="C567" s="12" t="s">
        <v>59</v>
      </c>
      <c r="D567" s="9" t="n">
        <f aca="false">SUMIFS(Data!$E$2:$E$2657,Data!$A$2:$A$2657,$A567,Data!$B$2:$B$2657,$B567)+SUMIFS(Data!$G$2:$G$2657,Data!$A$2:$A$2657,$A567,Data!$B$2:$B$2657,$B567)</f>
        <v>1202.397384</v>
      </c>
      <c r="E567" s="10" t="n">
        <f aca="false">IFERROR((SUMIFS(Data!$E$2:$E$2657,Data!$A$2:$A$2657,$A567,Data!$B$2:$B$2657,$B567,Data!$D$2:$D$2657,"Transmission")+SUMIFS(Data!$G$2:$G$2657,Data!$A$2:$A$2657,$A567,Data!$B$2:$B$2657,$B567,Data!$D$2:$D$2657,"Transmission"))/$D567,0)</f>
        <v>0.180961505651446</v>
      </c>
      <c r="F567" s="10" t="n">
        <f aca="false">IFERROR((SUMIFS(Data!$E$2:$E$2657,Data!$A$2:$A$2657,$A567,Data!$B$2:$B$2657,$B567,Data!$D$2:$D$2657,"Distribution")+SUMIFS(Data!$G$2:$G$2657,Data!$A$2:$A$2657,$A567,Data!$B$2:$B$2657,$B567,Data!$D$2:$D$2657,"Distribution"))/$D567,0)</f>
        <v>0.495804955111246</v>
      </c>
      <c r="G567" s="10" t="n">
        <f aca="false">IFERROR((SUMIFS(Data!$E$2:$E$2657,Data!$A$2:$A$2657,$A567,Data!$B$2:$B$2657,$B567,Data!$D$2:$D$2657,"RTO/market operation")+SUMIFS(Data!$G$2:$G$2657,Data!$A$2:$A$2657,$A567,Data!$B$2:$B$2657,$B567,Data!$D$2:$D$2657,"RTO/market operation"))/$D567,0)</f>
        <v>0.000803116351424131</v>
      </c>
      <c r="H567" s="10" t="n">
        <f aca="false">IFERROR((SUMIFS(Data!$E$2:$E$2657,Data!$A$2:$A$2657,$A567,Data!$B$2:$B$2657,$B567,Data!$D$2:$D$2657,"Customer accounts, service &amp; sales")+SUMIFS(Data!$G$2:$G$2657,Data!$A$2:$A$2657,$A567,Data!$B$2:$B$2657,$B567,Data!$D$2:$D$2657,"Customer accounts, service &amp; sales"))/$D567,0)</f>
        <v>0.119465794679407</v>
      </c>
      <c r="I567" s="10" t="n">
        <f aca="false">IFERROR((SUMIFS(Data!$E$2:$E$2657,Data!$A$2:$A$2657,$A567,Data!$B$2:$B$2657,$B567,Data!$D$2:$D$2657,"A&amp;G and general")+SUMIFS(Data!$G$2:$G$2657,Data!$A$2:$A$2657,$A567,Data!$B$2:$B$2657,$B567,Data!$D$2:$D$2657,"A&amp;G and general"))/$D567,0)</f>
        <v>0.202964628206477</v>
      </c>
      <c r="J567" s="10" t="n">
        <f aca="false">IFERROR(SUMIFS(Data!$F$2:$F$2657,Data!$A$2:$A$2657,$A567,Data!$B$2:$B$2657,$B567)/$D567,0)</f>
        <v>0.0295201981244497</v>
      </c>
      <c r="K567" s="11" t="n">
        <f aca="false">SUM(E567:I567)</f>
        <v>1</v>
      </c>
    </row>
    <row r="568" customFormat="false" ht="15" hidden="false" customHeight="false" outlineLevel="0" collapsed="false">
      <c r="A568" s="7" t="n">
        <v>2025</v>
      </c>
      <c r="B568" s="12" t="s">
        <v>60</v>
      </c>
      <c r="C568" s="12" t="s">
        <v>59</v>
      </c>
      <c r="D568" s="9" t="n">
        <f aca="false">SUMIFS(Data!$E$2:$E$2657,Data!$A$2:$A$2657,$A568,Data!$B$2:$B$2657,$B568)+SUMIFS(Data!$G$2:$G$2657,Data!$A$2:$A$2657,$A568,Data!$B$2:$B$2657,$B568)</f>
        <v>3354.07998</v>
      </c>
      <c r="E568" s="10" t="n">
        <f aca="false">IFERROR((SUMIFS(Data!$E$2:$E$2657,Data!$A$2:$A$2657,$A568,Data!$B$2:$B$2657,$B568,Data!$D$2:$D$2657,"Transmission")+SUMIFS(Data!$G$2:$G$2657,Data!$A$2:$A$2657,$A568,Data!$B$2:$B$2657,$B568,Data!$D$2:$D$2657,"Transmission"))/$D568,0)</f>
        <v>0.247081787238717</v>
      </c>
      <c r="F568" s="10" t="n">
        <f aca="false">IFERROR((SUMIFS(Data!$E$2:$E$2657,Data!$A$2:$A$2657,$A568,Data!$B$2:$B$2657,$B568,Data!$D$2:$D$2657,"Distribution")+SUMIFS(Data!$G$2:$G$2657,Data!$A$2:$A$2657,$A568,Data!$B$2:$B$2657,$B568,Data!$D$2:$D$2657,"Distribution"))/$D568,0)</f>
        <v>0.433408911435678</v>
      </c>
      <c r="G568" s="10" t="n">
        <f aca="false">IFERROR((SUMIFS(Data!$E$2:$E$2657,Data!$A$2:$A$2657,$A568,Data!$B$2:$B$2657,$B568,Data!$D$2:$D$2657,"RTO/market operation")+SUMIFS(Data!$G$2:$G$2657,Data!$A$2:$A$2657,$A568,Data!$B$2:$B$2657,$B568,Data!$D$2:$D$2657,"RTO/market operation"))/$D568,0)</f>
        <v>0.00257018945624547</v>
      </c>
      <c r="H568" s="10" t="n">
        <f aca="false">IFERROR((SUMIFS(Data!$E$2:$E$2657,Data!$A$2:$A$2657,$A568,Data!$B$2:$B$2657,$B568,Data!$D$2:$D$2657,"Customer accounts, service &amp; sales")+SUMIFS(Data!$G$2:$G$2657,Data!$A$2:$A$2657,$A568,Data!$B$2:$B$2657,$B568,Data!$D$2:$D$2657,"Customer accounts, service &amp; sales"))/$D568,0)</f>
        <v>0.109490347335128</v>
      </c>
      <c r="I568" s="10" t="n">
        <f aca="false">IFERROR((SUMIFS(Data!$E$2:$E$2657,Data!$A$2:$A$2657,$A568,Data!$B$2:$B$2657,$B568,Data!$D$2:$D$2657,"A&amp;G and general")+SUMIFS(Data!$G$2:$G$2657,Data!$A$2:$A$2657,$A568,Data!$B$2:$B$2657,$B568,Data!$D$2:$D$2657,"A&amp;G and general"))/$D568,0)</f>
        <v>0.207448764534232</v>
      </c>
      <c r="J568" s="10" t="n">
        <f aca="false">IFERROR(SUMIFS(Data!$F$2:$F$2657,Data!$A$2:$A$2657,$A568,Data!$B$2:$B$2657,$B568)/$D568,0)</f>
        <v>0.00323395866069956</v>
      </c>
      <c r="K568" s="11" t="n">
        <f aca="false">SUM(E568:I568)</f>
        <v>1</v>
      </c>
    </row>
    <row r="569" customFormat="false" ht="15" hidden="false" customHeight="false" outlineLevel="0" collapsed="false">
      <c r="A569" s="7" t="n">
        <v>2025</v>
      </c>
      <c r="B569" s="12" t="s">
        <v>61</v>
      </c>
      <c r="C569" s="12" t="s">
        <v>62</v>
      </c>
      <c r="D569" s="9" t="n">
        <f aca="false">SUMIFS(Data!$E$2:$E$2657,Data!$A$2:$A$2657,$A569,Data!$B$2:$B$2657,$B569)+SUMIFS(Data!$G$2:$G$2657,Data!$A$2:$A$2657,$A569,Data!$B$2:$B$2657,$B569)</f>
        <v>1846.566147</v>
      </c>
      <c r="E569" s="10" t="n">
        <f aca="false">IFERROR((SUMIFS(Data!$E$2:$E$2657,Data!$A$2:$A$2657,$A569,Data!$B$2:$B$2657,$B569,Data!$D$2:$D$2657,"Transmission")+SUMIFS(Data!$G$2:$G$2657,Data!$A$2:$A$2657,$A569,Data!$B$2:$B$2657,$B569,Data!$D$2:$D$2657,"Transmission"))/$D569,0)</f>
        <v>0.304886315561811</v>
      </c>
      <c r="F569" s="10" t="n">
        <f aca="false">IFERROR((SUMIFS(Data!$E$2:$E$2657,Data!$A$2:$A$2657,$A569,Data!$B$2:$B$2657,$B569,Data!$D$2:$D$2657,"Distribution")+SUMIFS(Data!$G$2:$G$2657,Data!$A$2:$A$2657,$A569,Data!$B$2:$B$2657,$B569,Data!$D$2:$D$2657,"Distribution"))/$D569,0)</f>
        <v>0.447743174726359</v>
      </c>
      <c r="G569" s="10" t="n">
        <f aca="false">IFERROR((SUMIFS(Data!$E$2:$E$2657,Data!$A$2:$A$2657,$A569,Data!$B$2:$B$2657,$B569,Data!$D$2:$D$2657,"RTO/market operation")+SUMIFS(Data!$G$2:$G$2657,Data!$A$2:$A$2657,$A569,Data!$B$2:$B$2657,$B569,Data!$D$2:$D$2657,"RTO/market operation"))/$D569,0)</f>
        <v>0.00536303019314477</v>
      </c>
      <c r="H569" s="10" t="n">
        <f aca="false">IFERROR((SUMIFS(Data!$E$2:$E$2657,Data!$A$2:$A$2657,$A569,Data!$B$2:$B$2657,$B569,Data!$D$2:$D$2657,"Customer accounts, service &amp; sales")+SUMIFS(Data!$G$2:$G$2657,Data!$A$2:$A$2657,$A569,Data!$B$2:$B$2657,$B569,Data!$D$2:$D$2657,"Customer accounts, service &amp; sales"))/$D569,0)</f>
        <v>0.178842759863506</v>
      </c>
      <c r="I569" s="10" t="n">
        <f aca="false">IFERROR((SUMIFS(Data!$E$2:$E$2657,Data!$A$2:$A$2657,$A569,Data!$B$2:$B$2657,$B569,Data!$D$2:$D$2657,"A&amp;G and general")+SUMIFS(Data!$G$2:$G$2657,Data!$A$2:$A$2657,$A569,Data!$B$2:$B$2657,$B569,Data!$D$2:$D$2657,"A&amp;G and general"))/$D569,0)</f>
        <v>0.0631647196551795</v>
      </c>
      <c r="J569" s="10" t="n">
        <f aca="false">IFERROR(SUMIFS(Data!$F$2:$F$2657,Data!$A$2:$A$2657,$A569,Data!$B$2:$B$2657,$B569)/$D569,0)</f>
        <v>0.295431529428986</v>
      </c>
      <c r="K569" s="11" t="n">
        <f aca="false">SUM(E569:I569)</f>
        <v>1</v>
      </c>
    </row>
    <row r="570" customFormat="false" ht="15" hidden="false" customHeight="false" outlineLevel="0" collapsed="false">
      <c r="A570" s="7" t="n">
        <v>2025</v>
      </c>
      <c r="B570" s="12" t="s">
        <v>63</v>
      </c>
      <c r="C570" s="12" t="s">
        <v>62</v>
      </c>
      <c r="D570" s="9" t="n">
        <f aca="false">SUMIFS(Data!$E$2:$E$2657,Data!$A$2:$A$2657,$A570,Data!$B$2:$B$2657,$B570)+SUMIFS(Data!$G$2:$G$2657,Data!$A$2:$A$2657,$A570,Data!$B$2:$B$2657,$B570)</f>
        <v>2437.268404</v>
      </c>
      <c r="E570" s="10" t="n">
        <f aca="false">IFERROR((SUMIFS(Data!$E$2:$E$2657,Data!$A$2:$A$2657,$A570,Data!$B$2:$B$2657,$B570,Data!$D$2:$D$2657,"Transmission")+SUMIFS(Data!$G$2:$G$2657,Data!$A$2:$A$2657,$A570,Data!$B$2:$B$2657,$B570,Data!$D$2:$D$2657,"Transmission"))/$D570,0)</f>
        <v>0.200987767369424</v>
      </c>
      <c r="F570" s="10" t="n">
        <f aca="false">IFERROR((SUMIFS(Data!$E$2:$E$2657,Data!$A$2:$A$2657,$A570,Data!$B$2:$B$2657,$B570,Data!$D$2:$D$2657,"Distribution")+SUMIFS(Data!$G$2:$G$2657,Data!$A$2:$A$2657,$A570,Data!$B$2:$B$2657,$B570,Data!$D$2:$D$2657,"Distribution"))/$D570,0)</f>
        <v>0.384654494540438</v>
      </c>
      <c r="G570" s="10" t="n">
        <f aca="false">IFERROR((SUMIFS(Data!$E$2:$E$2657,Data!$A$2:$A$2657,$A570,Data!$B$2:$B$2657,$B570,Data!$D$2:$D$2657,"RTO/market operation")+SUMIFS(Data!$G$2:$G$2657,Data!$A$2:$A$2657,$A570,Data!$B$2:$B$2657,$B570,Data!$D$2:$D$2657,"RTO/market operation"))/$D570,0)</f>
        <v>0.00408051365359595</v>
      </c>
      <c r="H570" s="10" t="n">
        <f aca="false">IFERROR((SUMIFS(Data!$E$2:$E$2657,Data!$A$2:$A$2657,$A570,Data!$B$2:$B$2657,$B570,Data!$D$2:$D$2657,"Customer accounts, service &amp; sales")+SUMIFS(Data!$G$2:$G$2657,Data!$A$2:$A$2657,$A570,Data!$B$2:$B$2657,$B570,Data!$D$2:$D$2657,"Customer accounts, service &amp; sales"))/$D570,0)</f>
        <v>0.164578710059871</v>
      </c>
      <c r="I570" s="10" t="n">
        <f aca="false">IFERROR((SUMIFS(Data!$E$2:$E$2657,Data!$A$2:$A$2657,$A570,Data!$B$2:$B$2657,$B570,Data!$D$2:$D$2657,"A&amp;G and general")+SUMIFS(Data!$G$2:$G$2657,Data!$A$2:$A$2657,$A570,Data!$B$2:$B$2657,$B570,Data!$D$2:$D$2657,"A&amp;G and general"))/$D570,0)</f>
        <v>0.245698514376671</v>
      </c>
      <c r="J570" s="10" t="n">
        <f aca="false">IFERROR(SUMIFS(Data!$F$2:$F$2657,Data!$A$2:$A$2657,$A570,Data!$B$2:$B$2657,$B570)/$D570,0)</f>
        <v>0.19353045369393</v>
      </c>
      <c r="K570" s="11" t="n">
        <f aca="false">SUM(E570:I570)</f>
        <v>1</v>
      </c>
    </row>
    <row r="571" customFormat="false" ht="15" hidden="false" customHeight="false" outlineLevel="0" collapsed="false">
      <c r="A571" s="7" t="n">
        <v>2025</v>
      </c>
      <c r="B571" s="12" t="s">
        <v>64</v>
      </c>
      <c r="C571" s="12" t="s">
        <v>65</v>
      </c>
      <c r="D571" s="9" t="n">
        <f aca="false">SUMIFS(Data!$E$2:$E$2657,Data!$A$2:$A$2657,$A571,Data!$B$2:$B$2657,$B571)+SUMIFS(Data!$G$2:$G$2657,Data!$A$2:$A$2657,$A571,Data!$B$2:$B$2657,$B571)</f>
        <v>746.847364</v>
      </c>
      <c r="E571" s="10" t="n">
        <f aca="false">IFERROR((SUMIFS(Data!$E$2:$E$2657,Data!$A$2:$A$2657,$A571,Data!$B$2:$B$2657,$B571,Data!$D$2:$D$2657,"Transmission")+SUMIFS(Data!$G$2:$G$2657,Data!$A$2:$A$2657,$A571,Data!$B$2:$B$2657,$B571,Data!$D$2:$D$2657,"Transmission"))/$D571,0)</f>
        <v>0.268811754151147</v>
      </c>
      <c r="F571" s="10" t="n">
        <f aca="false">IFERROR((SUMIFS(Data!$E$2:$E$2657,Data!$A$2:$A$2657,$A571,Data!$B$2:$B$2657,$B571,Data!$D$2:$D$2657,"Distribution")+SUMIFS(Data!$G$2:$G$2657,Data!$A$2:$A$2657,$A571,Data!$B$2:$B$2657,$B571,Data!$D$2:$D$2657,"Distribution"))/$D571,0)</f>
        <v>0.366232471565636</v>
      </c>
      <c r="G571" s="10" t="n">
        <f aca="false">IFERROR((SUMIFS(Data!$E$2:$E$2657,Data!$A$2:$A$2657,$A571,Data!$B$2:$B$2657,$B571,Data!$D$2:$D$2657,"RTO/market operation")+SUMIFS(Data!$G$2:$G$2657,Data!$A$2:$A$2657,$A571,Data!$B$2:$B$2657,$B571,Data!$D$2:$D$2657,"RTO/market operation"))/$D571,0)</f>
        <v>0.00824930407065077</v>
      </c>
      <c r="H571" s="10" t="n">
        <f aca="false">IFERROR((SUMIFS(Data!$E$2:$E$2657,Data!$A$2:$A$2657,$A571,Data!$B$2:$B$2657,$B571,Data!$D$2:$D$2657,"Customer accounts, service &amp; sales")+SUMIFS(Data!$G$2:$G$2657,Data!$A$2:$A$2657,$A571,Data!$B$2:$B$2657,$B571,Data!$D$2:$D$2657,"Customer accounts, service &amp; sales"))/$D571,0)</f>
        <v>0.0581623355639239</v>
      </c>
      <c r="I571" s="10" t="n">
        <f aca="false">IFERROR((SUMIFS(Data!$E$2:$E$2657,Data!$A$2:$A$2657,$A571,Data!$B$2:$B$2657,$B571,Data!$D$2:$D$2657,"A&amp;G and general")+SUMIFS(Data!$G$2:$G$2657,Data!$A$2:$A$2657,$A571,Data!$B$2:$B$2657,$B571,Data!$D$2:$D$2657,"A&amp;G and general"))/$D571,0)</f>
        <v>0.298544134648643</v>
      </c>
      <c r="J571" s="10" t="n">
        <f aca="false">IFERROR(SUMIFS(Data!$F$2:$F$2657,Data!$A$2:$A$2657,$A571,Data!$B$2:$B$2657,$B571)/$D571,0)</f>
        <v>0.0938001007659712</v>
      </c>
      <c r="K571" s="11" t="n">
        <f aca="false">SUM(E571:I571)</f>
        <v>1</v>
      </c>
    </row>
    <row r="572" customFormat="false" ht="15" hidden="false" customHeight="false" outlineLevel="0" collapsed="false">
      <c r="A572" s="7" t="n">
        <v>2025</v>
      </c>
      <c r="B572" s="12" t="s">
        <v>66</v>
      </c>
      <c r="C572" s="12" t="s">
        <v>67</v>
      </c>
      <c r="D572" s="9" t="n">
        <f aca="false">SUMIFS(Data!$E$2:$E$2657,Data!$A$2:$A$2657,$A572,Data!$B$2:$B$2657,$B572)+SUMIFS(Data!$G$2:$G$2657,Data!$A$2:$A$2657,$A572,Data!$B$2:$B$2657,$B572)</f>
        <v>817.182753</v>
      </c>
      <c r="E572" s="10" t="n">
        <f aca="false">IFERROR((SUMIFS(Data!$E$2:$E$2657,Data!$A$2:$A$2657,$A572,Data!$B$2:$B$2657,$B572,Data!$D$2:$D$2657,"Transmission")+SUMIFS(Data!$G$2:$G$2657,Data!$A$2:$A$2657,$A572,Data!$B$2:$B$2657,$B572,Data!$D$2:$D$2657,"Transmission"))/$D572,0)</f>
        <v>0.449033201756768</v>
      </c>
      <c r="F572" s="10" t="n">
        <f aca="false">IFERROR((SUMIFS(Data!$E$2:$E$2657,Data!$A$2:$A$2657,$A572,Data!$B$2:$B$2657,$B572,Data!$D$2:$D$2657,"Distribution")+SUMIFS(Data!$G$2:$G$2657,Data!$A$2:$A$2657,$A572,Data!$B$2:$B$2657,$B572,Data!$D$2:$D$2657,"Distribution"))/$D572,0)</f>
        <v>0.281896159891177</v>
      </c>
      <c r="G572" s="10" t="n">
        <f aca="false">IFERROR((SUMIFS(Data!$E$2:$E$2657,Data!$A$2:$A$2657,$A572,Data!$B$2:$B$2657,$B572,Data!$D$2:$D$2657,"RTO/market operation")+SUMIFS(Data!$G$2:$G$2657,Data!$A$2:$A$2657,$A572,Data!$B$2:$B$2657,$B572,Data!$D$2:$D$2657,"RTO/market operation"))/$D572,0)</f>
        <v>0.00750243317971739</v>
      </c>
      <c r="H572" s="10" t="n">
        <f aca="false">IFERROR((SUMIFS(Data!$E$2:$E$2657,Data!$A$2:$A$2657,$A572,Data!$B$2:$B$2657,$B572,Data!$D$2:$D$2657,"Customer accounts, service &amp; sales")+SUMIFS(Data!$G$2:$G$2657,Data!$A$2:$A$2657,$A572,Data!$B$2:$B$2657,$B572,Data!$D$2:$D$2657,"Customer accounts, service &amp; sales"))/$D572,0)</f>
        <v>0.0616663895744261</v>
      </c>
      <c r="I572" s="10" t="n">
        <f aca="false">IFERROR((SUMIFS(Data!$E$2:$E$2657,Data!$A$2:$A$2657,$A572,Data!$B$2:$B$2657,$B572,Data!$D$2:$D$2657,"A&amp;G and general")+SUMIFS(Data!$G$2:$G$2657,Data!$A$2:$A$2657,$A572,Data!$B$2:$B$2657,$B572,Data!$D$2:$D$2657,"A&amp;G and general"))/$D572,0)</f>
        <v>0.199901815597912</v>
      </c>
      <c r="J572" s="10" t="n">
        <f aca="false">IFERROR(SUMIFS(Data!$F$2:$F$2657,Data!$A$2:$A$2657,$A572,Data!$B$2:$B$2657,$B572)/$D572,0)</f>
        <v>0.341354211130787</v>
      </c>
      <c r="K572" s="11" t="n">
        <f aca="false">SUM(E572:I572)</f>
        <v>1</v>
      </c>
    </row>
    <row r="573" customFormat="false" ht="15" hidden="false" customHeight="false" outlineLevel="0" collapsed="false">
      <c r="A573" s="7" t="n">
        <v>2025</v>
      </c>
      <c r="B573" s="12" t="s">
        <v>68</v>
      </c>
      <c r="C573" s="12" t="s">
        <v>65</v>
      </c>
      <c r="D573" s="9" t="n">
        <f aca="false">SUMIFS(Data!$E$2:$E$2657,Data!$A$2:$A$2657,$A573,Data!$B$2:$B$2657,$B573)+SUMIFS(Data!$G$2:$G$2657,Data!$A$2:$A$2657,$A573,Data!$B$2:$B$2657,$B573)</f>
        <v>491.526439</v>
      </c>
      <c r="E573" s="10" t="n">
        <f aca="false">IFERROR((SUMIFS(Data!$E$2:$E$2657,Data!$A$2:$A$2657,$A573,Data!$B$2:$B$2657,$B573,Data!$D$2:$D$2657,"Transmission")+SUMIFS(Data!$G$2:$G$2657,Data!$A$2:$A$2657,$A573,Data!$B$2:$B$2657,$B573,Data!$D$2:$D$2657,"Transmission"))/$D573,0)</f>
        <v>0.115048911946728</v>
      </c>
      <c r="F573" s="10" t="n">
        <f aca="false">IFERROR((SUMIFS(Data!$E$2:$E$2657,Data!$A$2:$A$2657,$A573,Data!$B$2:$B$2657,$B573,Data!$D$2:$D$2657,"Distribution")+SUMIFS(Data!$G$2:$G$2657,Data!$A$2:$A$2657,$A573,Data!$B$2:$B$2657,$B573,Data!$D$2:$D$2657,"Distribution"))/$D573,0)</f>
        <v>0.304195941736514</v>
      </c>
      <c r="G573" s="10" t="n">
        <f aca="false">IFERROR((SUMIFS(Data!$E$2:$E$2657,Data!$A$2:$A$2657,$A573,Data!$B$2:$B$2657,$B573,Data!$D$2:$D$2657,"RTO/market operation")+SUMIFS(Data!$G$2:$G$2657,Data!$A$2:$A$2657,$A573,Data!$B$2:$B$2657,$B573,Data!$D$2:$D$2657,"RTO/market operation"))/$D573,0)</f>
        <v>0</v>
      </c>
      <c r="H573" s="10" t="n">
        <f aca="false">IFERROR((SUMIFS(Data!$E$2:$E$2657,Data!$A$2:$A$2657,$A573,Data!$B$2:$B$2657,$B573,Data!$D$2:$D$2657,"Customer accounts, service &amp; sales")+SUMIFS(Data!$G$2:$G$2657,Data!$A$2:$A$2657,$A573,Data!$B$2:$B$2657,$B573,Data!$D$2:$D$2657,"Customer accounts, service &amp; sales"))/$D573,0)</f>
        <v>0.206542706444322</v>
      </c>
      <c r="I573" s="10" t="n">
        <f aca="false">IFERROR((SUMIFS(Data!$E$2:$E$2657,Data!$A$2:$A$2657,$A573,Data!$B$2:$B$2657,$B573,Data!$D$2:$D$2657,"A&amp;G and general")+SUMIFS(Data!$G$2:$G$2657,Data!$A$2:$A$2657,$A573,Data!$B$2:$B$2657,$B573,Data!$D$2:$D$2657,"A&amp;G and general"))/$D573,0)</f>
        <v>0.374212439872436</v>
      </c>
      <c r="J573" s="10" t="n">
        <f aca="false">IFERROR(SUMIFS(Data!$F$2:$F$2657,Data!$A$2:$A$2657,$A573,Data!$B$2:$B$2657,$B573)/$D573,0)</f>
        <v>0.0144068648970478</v>
      </c>
      <c r="K573" s="11" t="n">
        <f aca="false">SUM(E573:I573)</f>
        <v>1</v>
      </c>
    </row>
    <row r="574" customFormat="false" ht="15" hidden="false" customHeight="false" outlineLevel="0" collapsed="false">
      <c r="A574" s="7" t="n">
        <v>2025</v>
      </c>
      <c r="B574" s="12" t="s">
        <v>69</v>
      </c>
      <c r="C574" s="12" t="s">
        <v>70</v>
      </c>
      <c r="D574" s="9" t="n">
        <f aca="false">SUMIFS(Data!$E$2:$E$2657,Data!$A$2:$A$2657,$A574,Data!$B$2:$B$2657,$B574)+SUMIFS(Data!$G$2:$G$2657,Data!$A$2:$A$2657,$A574,Data!$B$2:$B$2657,$B574)</f>
        <v>816.42203</v>
      </c>
      <c r="E574" s="10" t="n">
        <f aca="false">IFERROR((SUMIFS(Data!$E$2:$E$2657,Data!$A$2:$A$2657,$A574,Data!$B$2:$B$2657,$B574,Data!$D$2:$D$2657,"Transmission")+SUMIFS(Data!$G$2:$G$2657,Data!$A$2:$A$2657,$A574,Data!$B$2:$B$2657,$B574,Data!$D$2:$D$2657,"Transmission"))/$D574,0)</f>
        <v>0.521708226075183</v>
      </c>
      <c r="F574" s="10" t="n">
        <f aca="false">IFERROR((SUMIFS(Data!$E$2:$E$2657,Data!$A$2:$A$2657,$A574,Data!$B$2:$B$2657,$B574,Data!$D$2:$D$2657,"Distribution")+SUMIFS(Data!$G$2:$G$2657,Data!$A$2:$A$2657,$A574,Data!$B$2:$B$2657,$B574,Data!$D$2:$D$2657,"Distribution"))/$D574,0)</f>
        <v>0.209383166693824</v>
      </c>
      <c r="G574" s="10" t="n">
        <f aca="false">IFERROR((SUMIFS(Data!$E$2:$E$2657,Data!$A$2:$A$2657,$A574,Data!$B$2:$B$2657,$B574,Data!$D$2:$D$2657,"RTO/market operation")+SUMIFS(Data!$G$2:$G$2657,Data!$A$2:$A$2657,$A574,Data!$B$2:$B$2657,$B574,Data!$D$2:$D$2657,"RTO/market operation"))/$D574,0)</f>
        <v>0.00475736672612815</v>
      </c>
      <c r="H574" s="10" t="n">
        <f aca="false">IFERROR((SUMIFS(Data!$E$2:$E$2657,Data!$A$2:$A$2657,$A574,Data!$B$2:$B$2657,$B574,Data!$D$2:$D$2657,"Customer accounts, service &amp; sales")+SUMIFS(Data!$G$2:$G$2657,Data!$A$2:$A$2657,$A574,Data!$B$2:$B$2657,$B574,Data!$D$2:$D$2657,"Customer accounts, service &amp; sales"))/$D574,0)</f>
        <v>0.064803585714119</v>
      </c>
      <c r="I574" s="10" t="n">
        <f aca="false">IFERROR((SUMIFS(Data!$E$2:$E$2657,Data!$A$2:$A$2657,$A574,Data!$B$2:$B$2657,$B574,Data!$D$2:$D$2657,"A&amp;G and general")+SUMIFS(Data!$G$2:$G$2657,Data!$A$2:$A$2657,$A574,Data!$B$2:$B$2657,$B574,Data!$D$2:$D$2657,"A&amp;G and general"))/$D574,0)</f>
        <v>0.199347654790746</v>
      </c>
      <c r="J574" s="10" t="n">
        <f aca="false">IFERROR(SUMIFS(Data!$F$2:$F$2657,Data!$A$2:$A$2657,$A574,Data!$B$2:$B$2657,$B574)/$D574,0)</f>
        <v>0.516482325936256</v>
      </c>
      <c r="K574" s="11" t="n">
        <f aca="false">SUM(E574:I574)</f>
        <v>1</v>
      </c>
    </row>
    <row r="575" customFormat="false" ht="15" hidden="false" customHeight="false" outlineLevel="0" collapsed="false">
      <c r="A575" s="7" t="n">
        <v>2025</v>
      </c>
      <c r="B575" s="12" t="s">
        <v>71</v>
      </c>
      <c r="C575" s="12" t="s">
        <v>72</v>
      </c>
      <c r="D575" s="9" t="n">
        <f aca="false">SUMIFS(Data!$E$2:$E$2657,Data!$A$2:$A$2657,$A575,Data!$B$2:$B$2657,$B575)+SUMIFS(Data!$G$2:$G$2657,Data!$A$2:$A$2657,$A575,Data!$B$2:$B$2657,$B575)</f>
        <v>169.915806</v>
      </c>
      <c r="E575" s="10" t="n">
        <f aca="false">IFERROR((SUMIFS(Data!$E$2:$E$2657,Data!$A$2:$A$2657,$A575,Data!$B$2:$B$2657,$B575,Data!$D$2:$D$2657,"Transmission")+SUMIFS(Data!$G$2:$G$2657,Data!$A$2:$A$2657,$A575,Data!$B$2:$B$2657,$B575,Data!$D$2:$D$2657,"Transmission"))/$D575,0)</f>
        <v>0.306029658006036</v>
      </c>
      <c r="F575" s="10" t="n">
        <f aca="false">IFERROR((SUMIFS(Data!$E$2:$E$2657,Data!$A$2:$A$2657,$A575,Data!$B$2:$B$2657,$B575,Data!$D$2:$D$2657,"Distribution")+SUMIFS(Data!$G$2:$G$2657,Data!$A$2:$A$2657,$A575,Data!$B$2:$B$2657,$B575,Data!$D$2:$D$2657,"Distribution"))/$D575,0)</f>
        <v>0.222414552769741</v>
      </c>
      <c r="G575" s="10" t="n">
        <f aca="false">IFERROR((SUMIFS(Data!$E$2:$E$2657,Data!$A$2:$A$2657,$A575,Data!$B$2:$B$2657,$B575,Data!$D$2:$D$2657,"RTO/market operation")+SUMIFS(Data!$G$2:$G$2657,Data!$A$2:$A$2657,$A575,Data!$B$2:$B$2657,$B575,Data!$D$2:$D$2657,"RTO/market operation"))/$D575,0)</f>
        <v>0.00476350622731354</v>
      </c>
      <c r="H575" s="10" t="n">
        <f aca="false">IFERROR((SUMIFS(Data!$E$2:$E$2657,Data!$A$2:$A$2657,$A575,Data!$B$2:$B$2657,$B575,Data!$D$2:$D$2657,"Customer accounts, service &amp; sales")+SUMIFS(Data!$G$2:$G$2657,Data!$A$2:$A$2657,$A575,Data!$B$2:$B$2657,$B575,Data!$D$2:$D$2657,"Customer accounts, service &amp; sales"))/$D575,0)</f>
        <v>0.149444554910919</v>
      </c>
      <c r="I575" s="10" t="n">
        <f aca="false">IFERROR((SUMIFS(Data!$E$2:$E$2657,Data!$A$2:$A$2657,$A575,Data!$B$2:$B$2657,$B575,Data!$D$2:$D$2657,"A&amp;G and general")+SUMIFS(Data!$G$2:$G$2657,Data!$A$2:$A$2657,$A575,Data!$B$2:$B$2657,$B575,Data!$D$2:$D$2657,"A&amp;G and general"))/$D575,0)</f>
        <v>0.317347728085991</v>
      </c>
      <c r="J575" s="10" t="n">
        <f aca="false">IFERROR(SUMIFS(Data!$F$2:$F$2657,Data!$A$2:$A$2657,$A575,Data!$B$2:$B$2657,$B575)/$D575,0)</f>
        <v>0.305997912872214</v>
      </c>
      <c r="K575" s="11" t="n">
        <f aca="false">SUM(E575:I575)</f>
        <v>1</v>
      </c>
    </row>
    <row r="576" customFormat="false" ht="15" hidden="false" customHeight="false" outlineLevel="0" collapsed="false">
      <c r="A576" s="7" t="n">
        <v>2025</v>
      </c>
      <c r="B576" s="12" t="s">
        <v>73</v>
      </c>
      <c r="C576" s="12" t="s">
        <v>70</v>
      </c>
      <c r="D576" s="9" t="n">
        <f aca="false">SUMIFS(Data!$E$2:$E$2657,Data!$A$2:$A$2657,$A576,Data!$B$2:$B$2657,$B576)+SUMIFS(Data!$G$2:$G$2657,Data!$A$2:$A$2657,$A576,Data!$B$2:$B$2657,$B576)</f>
        <v>629.710791</v>
      </c>
      <c r="E576" s="10" t="n">
        <f aca="false">IFERROR((SUMIFS(Data!$E$2:$E$2657,Data!$A$2:$A$2657,$A576,Data!$B$2:$B$2657,$B576,Data!$D$2:$D$2657,"Transmission")+SUMIFS(Data!$G$2:$G$2657,Data!$A$2:$A$2657,$A576,Data!$B$2:$B$2657,$B576,Data!$D$2:$D$2657,"Transmission"))/$D576,0)</f>
        <v>0.27492880775486</v>
      </c>
      <c r="F576" s="10" t="n">
        <f aca="false">IFERROR((SUMIFS(Data!$E$2:$E$2657,Data!$A$2:$A$2657,$A576,Data!$B$2:$B$2657,$B576,Data!$D$2:$D$2657,"Distribution")+SUMIFS(Data!$G$2:$G$2657,Data!$A$2:$A$2657,$A576,Data!$B$2:$B$2657,$B576,Data!$D$2:$D$2657,"Distribution"))/$D576,0)</f>
        <v>0.35021205631523</v>
      </c>
      <c r="G576" s="10" t="n">
        <f aca="false">IFERROR((SUMIFS(Data!$E$2:$E$2657,Data!$A$2:$A$2657,$A576,Data!$B$2:$B$2657,$B576,Data!$D$2:$D$2657,"RTO/market operation")+SUMIFS(Data!$G$2:$G$2657,Data!$A$2:$A$2657,$A576,Data!$B$2:$B$2657,$B576,Data!$D$2:$D$2657,"RTO/market operation"))/$D576,0)</f>
        <v>0.0133393600999923</v>
      </c>
      <c r="H576" s="10" t="n">
        <f aca="false">IFERROR((SUMIFS(Data!$E$2:$E$2657,Data!$A$2:$A$2657,$A576,Data!$B$2:$B$2657,$B576,Data!$D$2:$D$2657,"Customer accounts, service &amp; sales")+SUMIFS(Data!$G$2:$G$2657,Data!$A$2:$A$2657,$A576,Data!$B$2:$B$2657,$B576,Data!$D$2:$D$2657,"Customer accounts, service &amp; sales"))/$D576,0)</f>
        <v>0.133560753923939</v>
      </c>
      <c r="I576" s="10" t="n">
        <f aca="false">IFERROR((SUMIFS(Data!$E$2:$E$2657,Data!$A$2:$A$2657,$A576,Data!$B$2:$B$2657,$B576,Data!$D$2:$D$2657,"A&amp;G and general")+SUMIFS(Data!$G$2:$G$2657,Data!$A$2:$A$2657,$A576,Data!$B$2:$B$2657,$B576,Data!$D$2:$D$2657,"A&amp;G and general"))/$D576,0)</f>
        <v>0.227959021905978</v>
      </c>
      <c r="J576" s="10" t="n">
        <f aca="false">IFERROR(SUMIFS(Data!$F$2:$F$2657,Data!$A$2:$A$2657,$A576,Data!$B$2:$B$2657,$B576)/$D576,0)</f>
        <v>0.144440010080755</v>
      </c>
      <c r="K576" s="11" t="n">
        <f aca="false">SUM(E576:I576)</f>
        <v>1</v>
      </c>
    </row>
    <row r="577" customFormat="false" ht="15" hidden="false" customHeight="false" outlineLevel="0" collapsed="false">
      <c r="A577" s="7" t="n">
        <v>2025</v>
      </c>
      <c r="B577" s="12" t="s">
        <v>74</v>
      </c>
      <c r="C577" s="12" t="s">
        <v>65</v>
      </c>
      <c r="D577" s="9" t="n">
        <f aca="false">SUMIFS(Data!$E$2:$E$2657,Data!$A$2:$A$2657,$A577,Data!$B$2:$B$2657,$B577)+SUMIFS(Data!$G$2:$G$2657,Data!$A$2:$A$2657,$A577,Data!$B$2:$B$2657,$B577)</f>
        <v>603.936611</v>
      </c>
      <c r="E577" s="10" t="n">
        <f aca="false">IFERROR((SUMIFS(Data!$E$2:$E$2657,Data!$A$2:$A$2657,$A577,Data!$B$2:$B$2657,$B577,Data!$D$2:$D$2657,"Transmission")+SUMIFS(Data!$G$2:$G$2657,Data!$A$2:$A$2657,$A577,Data!$B$2:$B$2657,$B577,Data!$D$2:$D$2657,"Transmission"))/$D577,0)</f>
        <v>0.189975748961508</v>
      </c>
      <c r="F577" s="10" t="n">
        <f aca="false">IFERROR((SUMIFS(Data!$E$2:$E$2657,Data!$A$2:$A$2657,$A577,Data!$B$2:$B$2657,$B577,Data!$D$2:$D$2657,"Distribution")+SUMIFS(Data!$G$2:$G$2657,Data!$A$2:$A$2657,$A577,Data!$B$2:$B$2657,$B577,Data!$D$2:$D$2657,"Distribution"))/$D577,0)</f>
        <v>0.279381168365698</v>
      </c>
      <c r="G577" s="10" t="n">
        <f aca="false">IFERROR((SUMIFS(Data!$E$2:$E$2657,Data!$A$2:$A$2657,$A577,Data!$B$2:$B$2657,$B577,Data!$D$2:$D$2657,"RTO/market operation")+SUMIFS(Data!$G$2:$G$2657,Data!$A$2:$A$2657,$A577,Data!$B$2:$B$2657,$B577,Data!$D$2:$D$2657,"RTO/market operation"))/$D577,0)</f>
        <v>0.012282875164195</v>
      </c>
      <c r="H577" s="10" t="n">
        <f aca="false">IFERROR((SUMIFS(Data!$E$2:$E$2657,Data!$A$2:$A$2657,$A577,Data!$B$2:$B$2657,$B577,Data!$D$2:$D$2657,"Customer accounts, service &amp; sales")+SUMIFS(Data!$G$2:$G$2657,Data!$A$2:$A$2657,$A577,Data!$B$2:$B$2657,$B577,Data!$D$2:$D$2657,"Customer accounts, service &amp; sales"))/$D577,0)</f>
        <v>0.0456014745560772</v>
      </c>
      <c r="I577" s="10" t="n">
        <f aca="false">IFERROR((SUMIFS(Data!$E$2:$E$2657,Data!$A$2:$A$2657,$A577,Data!$B$2:$B$2657,$B577,Data!$D$2:$D$2657,"A&amp;G and general")+SUMIFS(Data!$G$2:$G$2657,Data!$A$2:$A$2657,$A577,Data!$B$2:$B$2657,$B577,Data!$D$2:$D$2657,"A&amp;G and general"))/$D577,0)</f>
        <v>0.472758732952522</v>
      </c>
      <c r="J577" s="10" t="n">
        <f aca="false">IFERROR(SUMIFS(Data!$F$2:$F$2657,Data!$A$2:$A$2657,$A577,Data!$B$2:$B$2657,$B577)/$D577,0)</f>
        <v>0.00974370636391176</v>
      </c>
      <c r="K577" s="11" t="n">
        <f aca="false">SUM(E577:I577)</f>
        <v>1</v>
      </c>
    </row>
    <row r="578" customFormat="false" ht="15" hidden="false" customHeight="false" outlineLevel="0" collapsed="false">
      <c r="A578" s="7" t="n">
        <v>2025</v>
      </c>
      <c r="B578" s="12" t="s">
        <v>75</v>
      </c>
      <c r="C578" s="12" t="s">
        <v>57</v>
      </c>
      <c r="D578" s="9" t="n">
        <f aca="false">SUMIFS(Data!$E$2:$E$2657,Data!$A$2:$A$2657,$A578,Data!$B$2:$B$2657,$B578)+SUMIFS(Data!$G$2:$G$2657,Data!$A$2:$A$2657,$A578,Data!$B$2:$B$2657,$B578)</f>
        <v>1605.727572</v>
      </c>
      <c r="E578" s="10" t="n">
        <f aca="false">IFERROR((SUMIFS(Data!$E$2:$E$2657,Data!$A$2:$A$2657,$A578,Data!$B$2:$B$2657,$B578,Data!$D$2:$D$2657,"Transmission")+SUMIFS(Data!$G$2:$G$2657,Data!$A$2:$A$2657,$A578,Data!$B$2:$B$2657,$B578,Data!$D$2:$D$2657,"Transmission"))/$D578,0)</f>
        <v>0.35413544608425</v>
      </c>
      <c r="F578" s="10" t="n">
        <f aca="false">IFERROR((SUMIFS(Data!$E$2:$E$2657,Data!$A$2:$A$2657,$A578,Data!$B$2:$B$2657,$B578,Data!$D$2:$D$2657,"Distribution")+SUMIFS(Data!$G$2:$G$2657,Data!$A$2:$A$2657,$A578,Data!$B$2:$B$2657,$B578,Data!$D$2:$D$2657,"Distribution"))/$D578,0)</f>
        <v>0.226469167211884</v>
      </c>
      <c r="G578" s="10" t="n">
        <f aca="false">IFERROR((SUMIFS(Data!$E$2:$E$2657,Data!$A$2:$A$2657,$A578,Data!$B$2:$B$2657,$B578,Data!$D$2:$D$2657,"RTO/market operation")+SUMIFS(Data!$G$2:$G$2657,Data!$A$2:$A$2657,$A578,Data!$B$2:$B$2657,$B578,Data!$D$2:$D$2657,"RTO/market operation"))/$D578,0)</f>
        <v>0.00723882506764354</v>
      </c>
      <c r="H578" s="10" t="n">
        <f aca="false">IFERROR((SUMIFS(Data!$E$2:$E$2657,Data!$A$2:$A$2657,$A578,Data!$B$2:$B$2657,$B578,Data!$D$2:$D$2657,"Customer accounts, service &amp; sales")+SUMIFS(Data!$G$2:$G$2657,Data!$A$2:$A$2657,$A578,Data!$B$2:$B$2657,$B578,Data!$D$2:$D$2657,"Customer accounts, service &amp; sales"))/$D578,0)</f>
        <v>0.114262188181446</v>
      </c>
      <c r="I578" s="10" t="n">
        <f aca="false">IFERROR((SUMIFS(Data!$E$2:$E$2657,Data!$A$2:$A$2657,$A578,Data!$B$2:$B$2657,$B578,Data!$D$2:$D$2657,"A&amp;G and general")+SUMIFS(Data!$G$2:$G$2657,Data!$A$2:$A$2657,$A578,Data!$B$2:$B$2657,$B578,Data!$D$2:$D$2657,"A&amp;G and general"))/$D578,0)</f>
        <v>0.297894373454777</v>
      </c>
      <c r="J578" s="10" t="n">
        <f aca="false">IFERROR(SUMIFS(Data!$F$2:$F$2657,Data!$A$2:$A$2657,$A578,Data!$B$2:$B$2657,$B578)/$D578,0)</f>
        <v>0.247000110676308</v>
      </c>
      <c r="K578" s="11" t="n">
        <f aca="false">SUM(E578:I578)</f>
        <v>1</v>
      </c>
    </row>
    <row r="579" customFormat="false" ht="15" hidden="false" customHeight="false" outlineLevel="0" collapsed="false">
      <c r="A579" s="7" t="n">
        <v>2025</v>
      </c>
      <c r="B579" s="12" t="s">
        <v>76</v>
      </c>
      <c r="C579" s="12" t="s">
        <v>72</v>
      </c>
      <c r="D579" s="9" t="n">
        <f aca="false">SUMIFS(Data!$E$2:$E$2657,Data!$A$2:$A$2657,$A579,Data!$B$2:$B$2657,$B579)+SUMIFS(Data!$G$2:$G$2657,Data!$A$2:$A$2657,$A579,Data!$B$2:$B$2657,$B579)</f>
        <v>338.973731</v>
      </c>
      <c r="E579" s="10" t="n">
        <f aca="false">IFERROR((SUMIFS(Data!$E$2:$E$2657,Data!$A$2:$A$2657,$A579,Data!$B$2:$B$2657,$B579,Data!$D$2:$D$2657,"Transmission")+SUMIFS(Data!$G$2:$G$2657,Data!$A$2:$A$2657,$A579,Data!$B$2:$B$2657,$B579,Data!$D$2:$D$2657,"Transmission"))/$D579,0)</f>
        <v>0.427644840124794</v>
      </c>
      <c r="F579" s="10" t="n">
        <f aca="false">IFERROR((SUMIFS(Data!$E$2:$E$2657,Data!$A$2:$A$2657,$A579,Data!$B$2:$B$2657,$B579,Data!$D$2:$D$2657,"Distribution")+SUMIFS(Data!$G$2:$G$2657,Data!$A$2:$A$2657,$A579,Data!$B$2:$B$2657,$B579,Data!$D$2:$D$2657,"Distribution"))/$D579,0)</f>
        <v>0.246051747886033</v>
      </c>
      <c r="G579" s="10" t="n">
        <f aca="false">IFERROR((SUMIFS(Data!$E$2:$E$2657,Data!$A$2:$A$2657,$A579,Data!$B$2:$B$2657,$B579,Data!$D$2:$D$2657,"RTO/market operation")+SUMIFS(Data!$G$2:$G$2657,Data!$A$2:$A$2657,$A579,Data!$B$2:$B$2657,$B579,Data!$D$2:$D$2657,"RTO/market operation"))/$D579,0)</f>
        <v>0</v>
      </c>
      <c r="H579" s="10" t="n">
        <f aca="false">IFERROR((SUMIFS(Data!$E$2:$E$2657,Data!$A$2:$A$2657,$A579,Data!$B$2:$B$2657,$B579,Data!$D$2:$D$2657,"Customer accounts, service &amp; sales")+SUMIFS(Data!$G$2:$G$2657,Data!$A$2:$A$2657,$A579,Data!$B$2:$B$2657,$B579,Data!$D$2:$D$2657,"Customer accounts, service &amp; sales"))/$D579,0)</f>
        <v>0.0724461477517855</v>
      </c>
      <c r="I579" s="10" t="n">
        <f aca="false">IFERROR((SUMIFS(Data!$E$2:$E$2657,Data!$A$2:$A$2657,$A579,Data!$B$2:$B$2657,$B579,Data!$D$2:$D$2657,"A&amp;G and general")+SUMIFS(Data!$G$2:$G$2657,Data!$A$2:$A$2657,$A579,Data!$B$2:$B$2657,$B579,Data!$D$2:$D$2657,"A&amp;G and general"))/$D579,0)</f>
        <v>0.253857264237387</v>
      </c>
      <c r="J579" s="10" t="n">
        <f aca="false">IFERROR(SUMIFS(Data!$F$2:$F$2657,Data!$A$2:$A$2657,$A579,Data!$B$2:$B$2657,$B579)/$D579,0)</f>
        <v>0.21720891699422</v>
      </c>
      <c r="K579" s="11" t="n">
        <f aca="false">SUM(E579:I579)</f>
        <v>1</v>
      </c>
    </row>
    <row r="580" customFormat="false" ht="15" hidden="false" customHeight="false" outlineLevel="0" collapsed="false">
      <c r="A580" s="7" t="n">
        <v>2025</v>
      </c>
      <c r="B580" s="12" t="s">
        <v>77</v>
      </c>
      <c r="C580" s="12" t="s">
        <v>57</v>
      </c>
      <c r="D580" s="9" t="n">
        <f aca="false">SUMIFS(Data!$E$2:$E$2657,Data!$A$2:$A$2657,$A580,Data!$B$2:$B$2657,$B580)+SUMIFS(Data!$G$2:$G$2657,Data!$A$2:$A$2657,$A580,Data!$B$2:$B$2657,$B580)</f>
        <v>179.902047</v>
      </c>
      <c r="E580" s="10" t="n">
        <f aca="false">IFERROR((SUMIFS(Data!$E$2:$E$2657,Data!$A$2:$A$2657,$A580,Data!$B$2:$B$2657,$B580,Data!$D$2:$D$2657,"Transmission")+SUMIFS(Data!$G$2:$G$2657,Data!$A$2:$A$2657,$A580,Data!$B$2:$B$2657,$B580,Data!$D$2:$D$2657,"Transmission"))/$D580,0)</f>
        <v>0.267603736604509</v>
      </c>
      <c r="F580" s="10" t="n">
        <f aca="false">IFERROR((SUMIFS(Data!$E$2:$E$2657,Data!$A$2:$A$2657,$A580,Data!$B$2:$B$2657,$B580,Data!$D$2:$D$2657,"Distribution")+SUMIFS(Data!$G$2:$G$2657,Data!$A$2:$A$2657,$A580,Data!$B$2:$B$2657,$B580,Data!$D$2:$D$2657,"Distribution"))/$D580,0)</f>
        <v>0.237882557278517</v>
      </c>
      <c r="G580" s="10" t="n">
        <f aca="false">IFERROR((SUMIFS(Data!$E$2:$E$2657,Data!$A$2:$A$2657,$A580,Data!$B$2:$B$2657,$B580,Data!$D$2:$D$2657,"RTO/market operation")+SUMIFS(Data!$G$2:$G$2657,Data!$A$2:$A$2657,$A580,Data!$B$2:$B$2657,$B580,Data!$D$2:$D$2657,"RTO/market operation"))/$D580,0)</f>
        <v>0.00626976189992991</v>
      </c>
      <c r="H580" s="10" t="n">
        <f aca="false">IFERROR((SUMIFS(Data!$E$2:$E$2657,Data!$A$2:$A$2657,$A580,Data!$B$2:$B$2657,$B580,Data!$D$2:$D$2657,"Customer accounts, service &amp; sales")+SUMIFS(Data!$G$2:$G$2657,Data!$A$2:$A$2657,$A580,Data!$B$2:$B$2657,$B580,Data!$D$2:$D$2657,"Customer accounts, service &amp; sales"))/$D580,0)</f>
        <v>0.114661785921758</v>
      </c>
      <c r="I580" s="10" t="n">
        <f aca="false">IFERROR((SUMIFS(Data!$E$2:$E$2657,Data!$A$2:$A$2657,$A580,Data!$B$2:$B$2657,$B580,Data!$D$2:$D$2657,"A&amp;G and general")+SUMIFS(Data!$G$2:$G$2657,Data!$A$2:$A$2657,$A580,Data!$B$2:$B$2657,$B580,Data!$D$2:$D$2657,"A&amp;G and general"))/$D580,0)</f>
        <v>0.373582158295286</v>
      </c>
      <c r="J580" s="10" t="n">
        <f aca="false">IFERROR(SUMIFS(Data!$F$2:$F$2657,Data!$A$2:$A$2657,$A580,Data!$B$2:$B$2657,$B580)/$D580,0)</f>
        <v>0.125928861721068</v>
      </c>
      <c r="K580" s="11" t="n">
        <f aca="false">SUM(E580:I580)</f>
        <v>1</v>
      </c>
    </row>
    <row r="581" customFormat="false" ht="15" hidden="false" customHeight="false" outlineLevel="0" collapsed="false">
      <c r="A581" s="7" t="n">
        <v>2025</v>
      </c>
      <c r="B581" s="12" t="s">
        <v>78</v>
      </c>
      <c r="C581" s="12" t="s">
        <v>65</v>
      </c>
      <c r="D581" s="9" t="n">
        <f aca="false">SUMIFS(Data!$E$2:$E$2657,Data!$A$2:$A$2657,$A581,Data!$B$2:$B$2657,$B581)+SUMIFS(Data!$G$2:$G$2657,Data!$A$2:$A$2657,$A581,Data!$B$2:$B$2657,$B581)</f>
        <v>190.693626</v>
      </c>
      <c r="E581" s="10" t="n">
        <f aca="false">IFERROR((SUMIFS(Data!$E$2:$E$2657,Data!$A$2:$A$2657,$A581,Data!$B$2:$B$2657,$B581,Data!$D$2:$D$2657,"Transmission")+SUMIFS(Data!$G$2:$G$2657,Data!$A$2:$A$2657,$A581,Data!$B$2:$B$2657,$B581,Data!$D$2:$D$2657,"Transmission"))/$D581,0)</f>
        <v>0.198493246963588</v>
      </c>
      <c r="F581" s="10" t="n">
        <f aca="false">IFERROR((SUMIFS(Data!$E$2:$E$2657,Data!$A$2:$A$2657,$A581,Data!$B$2:$B$2657,$B581,Data!$D$2:$D$2657,"Distribution")+SUMIFS(Data!$G$2:$G$2657,Data!$A$2:$A$2657,$A581,Data!$B$2:$B$2657,$B581,Data!$D$2:$D$2657,"Distribution"))/$D581,0)</f>
        <v>0.347161624584138</v>
      </c>
      <c r="G581" s="10" t="n">
        <f aca="false">IFERROR((SUMIFS(Data!$E$2:$E$2657,Data!$A$2:$A$2657,$A581,Data!$B$2:$B$2657,$B581,Data!$D$2:$D$2657,"RTO/market operation")+SUMIFS(Data!$G$2:$G$2657,Data!$A$2:$A$2657,$A581,Data!$B$2:$B$2657,$B581,Data!$D$2:$D$2657,"RTO/market operation"))/$D581,0)</f>
        <v>0</v>
      </c>
      <c r="H581" s="10" t="n">
        <f aca="false">IFERROR((SUMIFS(Data!$E$2:$E$2657,Data!$A$2:$A$2657,$A581,Data!$B$2:$B$2657,$B581,Data!$D$2:$D$2657,"Customer accounts, service &amp; sales")+SUMIFS(Data!$G$2:$G$2657,Data!$A$2:$A$2657,$A581,Data!$B$2:$B$2657,$B581,Data!$D$2:$D$2657,"Customer accounts, service &amp; sales"))/$D581,0)</f>
        <v>0.0961954858417764</v>
      </c>
      <c r="I581" s="10" t="n">
        <f aca="false">IFERROR((SUMIFS(Data!$E$2:$E$2657,Data!$A$2:$A$2657,$A581,Data!$B$2:$B$2657,$B581,Data!$D$2:$D$2657,"A&amp;G and general")+SUMIFS(Data!$G$2:$G$2657,Data!$A$2:$A$2657,$A581,Data!$B$2:$B$2657,$B581,Data!$D$2:$D$2657,"A&amp;G and general"))/$D581,0)</f>
        <v>0.358149642610498</v>
      </c>
      <c r="J581" s="10" t="n">
        <f aca="false">IFERROR(SUMIFS(Data!$F$2:$F$2657,Data!$A$2:$A$2657,$A581,Data!$B$2:$B$2657,$B581)/$D581,0)</f>
        <v>0</v>
      </c>
      <c r="K581" s="11" t="n">
        <f aca="false">SUM(E581:I581)</f>
        <v>1</v>
      </c>
    </row>
    <row r="582" customFormat="false" ht="15" hidden="false" customHeight="false" outlineLevel="0" collapsed="false">
      <c r="A582" s="7" t="n">
        <v>2025</v>
      </c>
      <c r="B582" s="12" t="s">
        <v>79</v>
      </c>
      <c r="C582" s="12" t="s">
        <v>72</v>
      </c>
      <c r="D582" s="9" t="n">
        <f aca="false">SUMIFS(Data!$E$2:$E$2657,Data!$A$2:$A$2657,$A582,Data!$B$2:$B$2657,$B582)+SUMIFS(Data!$G$2:$G$2657,Data!$A$2:$A$2657,$A582,Data!$B$2:$B$2657,$B582)</f>
        <v>1004.223399</v>
      </c>
      <c r="E582" s="10" t="n">
        <f aca="false">IFERROR((SUMIFS(Data!$E$2:$E$2657,Data!$A$2:$A$2657,$A582,Data!$B$2:$B$2657,$B582,Data!$D$2:$D$2657,"Transmission")+SUMIFS(Data!$G$2:$G$2657,Data!$A$2:$A$2657,$A582,Data!$B$2:$B$2657,$B582,Data!$D$2:$D$2657,"Transmission"))/$D582,0)</f>
        <v>0.375470391723067</v>
      </c>
      <c r="F582" s="10" t="n">
        <f aca="false">IFERROR((SUMIFS(Data!$E$2:$E$2657,Data!$A$2:$A$2657,$A582,Data!$B$2:$B$2657,$B582,Data!$D$2:$D$2657,"Distribution")+SUMIFS(Data!$G$2:$G$2657,Data!$A$2:$A$2657,$A582,Data!$B$2:$B$2657,$B582,Data!$D$2:$D$2657,"Distribution"))/$D582,0)</f>
        <v>0.299423375614852</v>
      </c>
      <c r="G582" s="10" t="n">
        <f aca="false">IFERROR((SUMIFS(Data!$E$2:$E$2657,Data!$A$2:$A$2657,$A582,Data!$B$2:$B$2657,$B582,Data!$D$2:$D$2657,"RTO/market operation")+SUMIFS(Data!$G$2:$G$2657,Data!$A$2:$A$2657,$A582,Data!$B$2:$B$2657,$B582,Data!$D$2:$D$2657,"RTO/market operation"))/$D582,0)</f>
        <v>0.00403690952036858</v>
      </c>
      <c r="H582" s="10" t="n">
        <f aca="false">IFERROR((SUMIFS(Data!$E$2:$E$2657,Data!$A$2:$A$2657,$A582,Data!$B$2:$B$2657,$B582,Data!$D$2:$D$2657,"Customer accounts, service &amp; sales")+SUMIFS(Data!$G$2:$G$2657,Data!$A$2:$A$2657,$A582,Data!$B$2:$B$2657,$B582,Data!$D$2:$D$2657,"Customer accounts, service &amp; sales"))/$D582,0)</f>
        <v>0.132566039720411</v>
      </c>
      <c r="I582" s="10" t="n">
        <f aca="false">IFERROR((SUMIFS(Data!$E$2:$E$2657,Data!$A$2:$A$2657,$A582,Data!$B$2:$B$2657,$B582,Data!$D$2:$D$2657,"A&amp;G and general")+SUMIFS(Data!$G$2:$G$2657,Data!$A$2:$A$2657,$A582,Data!$B$2:$B$2657,$B582,Data!$D$2:$D$2657,"A&amp;G and general"))/$D582,0)</f>
        <v>0.188503283421302</v>
      </c>
      <c r="J582" s="10" t="n">
        <f aca="false">IFERROR(SUMIFS(Data!$F$2:$F$2657,Data!$A$2:$A$2657,$A582,Data!$B$2:$B$2657,$B582)/$D582,0)</f>
        <v>0.361319028576031</v>
      </c>
      <c r="K582" s="11" t="n">
        <f aca="false">SUM(E582:I582)</f>
        <v>1</v>
      </c>
    </row>
    <row r="583" customFormat="false" ht="15" hidden="false" customHeight="false" outlineLevel="0" collapsed="false">
      <c r="A583" s="7" t="n">
        <v>2025</v>
      </c>
      <c r="B583" s="12" t="s">
        <v>80</v>
      </c>
      <c r="C583" s="12" t="s">
        <v>72</v>
      </c>
      <c r="D583" s="9" t="n">
        <f aca="false">SUMIFS(Data!$E$2:$E$2657,Data!$A$2:$A$2657,$A583,Data!$B$2:$B$2657,$B583)+SUMIFS(Data!$G$2:$G$2657,Data!$A$2:$A$2657,$A583,Data!$B$2:$B$2657,$B583)</f>
        <v>526.030301</v>
      </c>
      <c r="E583" s="10" t="n">
        <f aca="false">IFERROR((SUMIFS(Data!$E$2:$E$2657,Data!$A$2:$A$2657,$A583,Data!$B$2:$B$2657,$B583,Data!$D$2:$D$2657,"Transmission")+SUMIFS(Data!$G$2:$G$2657,Data!$A$2:$A$2657,$A583,Data!$B$2:$B$2657,$B583,Data!$D$2:$D$2657,"Transmission"))/$D583,0)</f>
        <v>0.393607802832636</v>
      </c>
      <c r="F583" s="10" t="n">
        <f aca="false">IFERROR((SUMIFS(Data!$E$2:$E$2657,Data!$A$2:$A$2657,$A583,Data!$B$2:$B$2657,$B583,Data!$D$2:$D$2657,"Distribution")+SUMIFS(Data!$G$2:$G$2657,Data!$A$2:$A$2657,$A583,Data!$B$2:$B$2657,$B583,Data!$D$2:$D$2657,"Distribution"))/$D583,0)</f>
        <v>0.227698666354963</v>
      </c>
      <c r="G583" s="10" t="n">
        <f aca="false">IFERROR((SUMIFS(Data!$E$2:$E$2657,Data!$A$2:$A$2657,$A583,Data!$B$2:$B$2657,$B583,Data!$D$2:$D$2657,"RTO/market operation")+SUMIFS(Data!$G$2:$G$2657,Data!$A$2:$A$2657,$A583,Data!$B$2:$B$2657,$B583,Data!$D$2:$D$2657,"RTO/market operation"))/$D583,0)</f>
        <v>0.0060462315458896</v>
      </c>
      <c r="H583" s="10" t="n">
        <f aca="false">IFERROR((SUMIFS(Data!$E$2:$E$2657,Data!$A$2:$A$2657,$A583,Data!$B$2:$B$2657,$B583,Data!$D$2:$D$2657,"Customer accounts, service &amp; sales")+SUMIFS(Data!$G$2:$G$2657,Data!$A$2:$A$2657,$A583,Data!$B$2:$B$2657,$B583,Data!$D$2:$D$2657,"Customer accounts, service &amp; sales"))/$D583,0)</f>
        <v>0.0805609827408022</v>
      </c>
      <c r="I583" s="10" t="n">
        <f aca="false">IFERROR((SUMIFS(Data!$E$2:$E$2657,Data!$A$2:$A$2657,$A583,Data!$B$2:$B$2657,$B583,Data!$D$2:$D$2657,"A&amp;G and general")+SUMIFS(Data!$G$2:$G$2657,Data!$A$2:$A$2657,$A583,Data!$B$2:$B$2657,$B583,Data!$D$2:$D$2657,"A&amp;G and general"))/$D583,0)</f>
        <v>0.292086316525709</v>
      </c>
      <c r="J583" s="10" t="n">
        <f aca="false">IFERROR(SUMIFS(Data!$F$2:$F$2657,Data!$A$2:$A$2657,$A583,Data!$B$2:$B$2657,$B583)/$D583,0)</f>
        <v>0.386179844799473</v>
      </c>
      <c r="K583" s="11" t="n">
        <f aca="false">SUM(E583:I583)</f>
        <v>1</v>
      </c>
    </row>
    <row r="584" customFormat="false" ht="15" hidden="false" customHeight="false" outlineLevel="0" collapsed="false">
      <c r="A584" s="7" t="n">
        <v>2025</v>
      </c>
      <c r="B584" s="12" t="s">
        <v>81</v>
      </c>
      <c r="C584" s="12" t="s">
        <v>72</v>
      </c>
      <c r="D584" s="9" t="n">
        <f aca="false">SUMIFS(Data!$E$2:$E$2657,Data!$A$2:$A$2657,$A584,Data!$B$2:$B$2657,$B584)+SUMIFS(Data!$G$2:$G$2657,Data!$A$2:$A$2657,$A584,Data!$B$2:$B$2657,$B584)</f>
        <v>413.256714</v>
      </c>
      <c r="E584" s="10" t="n">
        <f aca="false">IFERROR((SUMIFS(Data!$E$2:$E$2657,Data!$A$2:$A$2657,$A584,Data!$B$2:$B$2657,$B584,Data!$D$2:$D$2657,"Transmission")+SUMIFS(Data!$G$2:$G$2657,Data!$A$2:$A$2657,$A584,Data!$B$2:$B$2657,$B584,Data!$D$2:$D$2657,"Transmission"))/$D584,0)</f>
        <v>0.438979735487129</v>
      </c>
      <c r="F584" s="10" t="n">
        <f aca="false">IFERROR((SUMIFS(Data!$E$2:$E$2657,Data!$A$2:$A$2657,$A584,Data!$B$2:$B$2657,$B584,Data!$D$2:$D$2657,"Distribution")+SUMIFS(Data!$G$2:$G$2657,Data!$A$2:$A$2657,$A584,Data!$B$2:$B$2657,$B584,Data!$D$2:$D$2657,"Distribution"))/$D584,0)</f>
        <v>0.271546840494889</v>
      </c>
      <c r="G584" s="10" t="n">
        <f aca="false">IFERROR((SUMIFS(Data!$E$2:$E$2657,Data!$A$2:$A$2657,$A584,Data!$B$2:$B$2657,$B584,Data!$D$2:$D$2657,"RTO/market operation")+SUMIFS(Data!$G$2:$G$2657,Data!$A$2:$A$2657,$A584,Data!$B$2:$B$2657,$B584,Data!$D$2:$D$2657,"RTO/market operation"))/$D584,0)</f>
        <v>0.00481344871749622</v>
      </c>
      <c r="H584" s="10" t="n">
        <f aca="false">IFERROR((SUMIFS(Data!$E$2:$E$2657,Data!$A$2:$A$2657,$A584,Data!$B$2:$B$2657,$B584,Data!$D$2:$D$2657,"Customer accounts, service &amp; sales")+SUMIFS(Data!$G$2:$G$2657,Data!$A$2:$A$2657,$A584,Data!$B$2:$B$2657,$B584,Data!$D$2:$D$2657,"Customer accounts, service &amp; sales"))/$D584,0)</f>
        <v>0.101433609134297</v>
      </c>
      <c r="I584" s="10" t="n">
        <f aca="false">IFERROR((SUMIFS(Data!$E$2:$E$2657,Data!$A$2:$A$2657,$A584,Data!$B$2:$B$2657,$B584,Data!$D$2:$D$2657,"A&amp;G and general")+SUMIFS(Data!$G$2:$G$2657,Data!$A$2:$A$2657,$A584,Data!$B$2:$B$2657,$B584,Data!$D$2:$D$2657,"A&amp;G and general"))/$D584,0)</f>
        <v>0.183226366166189</v>
      </c>
      <c r="J584" s="10" t="n">
        <f aca="false">IFERROR(SUMIFS(Data!$F$2:$F$2657,Data!$A$2:$A$2657,$A584,Data!$B$2:$B$2657,$B584)/$D584,0)</f>
        <v>0.422944329949834</v>
      </c>
      <c r="K584" s="11" t="n">
        <f aca="false">SUM(E584:I584)</f>
        <v>1</v>
      </c>
    </row>
  </sheetData>
  <autoFilter ref="A1:K58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14"/>
    <col collapsed="false" customWidth="true" hidden="false" outlineLevel="0" max="4" min="4" style="0" width="15"/>
    <col collapsed="false" customWidth="true" hidden="false" outlineLevel="0" max="5" min="5" style="0" width="13"/>
    <col collapsed="false" customWidth="true" hidden="false" outlineLevel="0" max="6" min="6" style="0" width="12"/>
    <col collapsed="false" customWidth="true" hidden="false" outlineLevel="0" max="7" min="7" style="0" width="15"/>
    <col collapsed="false" customWidth="true" hidden="false" outlineLevel="0" max="8" min="8" style="0" width="13"/>
    <col collapsed="false" customWidth="true" hidden="false" outlineLevel="0" max="9" min="9" style="0" width="15"/>
    <col collapsed="false" customWidth="true" hidden="false" outlineLevel="0" max="10" min="10" style="0" width="14"/>
    <col collapsed="false" customWidth="true" hidden="false" outlineLevel="0" max="11" min="11" style="0" width="13"/>
    <col collapsed="false" customWidth="true" hidden="false" outlineLevel="0" max="12" min="12" style="0" width="44"/>
    <col collapsed="false" customWidth="true" hidden="false" outlineLevel="0" max="13" min="13" style="0" width="16"/>
  </cols>
  <sheetData>
    <row r="1" customFormat="false" ht="15" hidden="false" customHeight="false" outlineLevel="0" collapsed="false">
      <c r="A1" s="4" t="s">
        <v>82</v>
      </c>
    </row>
    <row r="2" customFormat="false" ht="15" hidden="false" customHeight="false" outlineLevel="0" collapsed="false">
      <c r="A2" s="13" t="s">
        <v>83</v>
      </c>
      <c r="D2" s="14" t="n">
        <v>0.005</v>
      </c>
    </row>
    <row r="3" customFormat="false" ht="45" hidden="false" customHeight="true" outlineLevel="0" collapsed="false">
      <c r="A3" s="15" t="s">
        <v>84</v>
      </c>
      <c r="B3" s="15"/>
      <c r="C3" s="15"/>
      <c r="D3" s="15"/>
      <c r="E3" s="15"/>
      <c r="F3" s="15"/>
      <c r="G3" s="15"/>
      <c r="H3" s="15"/>
      <c r="I3" s="15"/>
      <c r="J3" s="15"/>
      <c r="K3" s="15"/>
      <c r="L3" s="15"/>
    </row>
    <row r="5" customFormat="false" ht="48" hidden="false" customHeight="true" outlineLevel="0" collapsed="false">
      <c r="A5" s="6" t="s">
        <v>42</v>
      </c>
      <c r="B5" s="6" t="s">
        <v>54</v>
      </c>
      <c r="C5" s="6" t="s">
        <v>85</v>
      </c>
      <c r="D5" s="6" t="s">
        <v>86</v>
      </c>
      <c r="E5" s="6" t="s">
        <v>87</v>
      </c>
      <c r="F5" s="6" t="s">
        <v>88</v>
      </c>
      <c r="G5" s="6" t="s">
        <v>89</v>
      </c>
      <c r="H5" s="6" t="s">
        <v>90</v>
      </c>
      <c r="I5" s="6" t="s">
        <v>91</v>
      </c>
      <c r="J5" s="6" t="s">
        <v>92</v>
      </c>
      <c r="K5" s="6" t="s">
        <v>93</v>
      </c>
      <c r="L5" s="6" t="s">
        <v>94</v>
      </c>
      <c r="M5" s="6" t="s">
        <v>95</v>
      </c>
    </row>
    <row r="6" customFormat="false" ht="15" hidden="false" customHeight="false" outlineLevel="0" collapsed="false">
      <c r="A6" s="7" t="n">
        <v>1995</v>
      </c>
      <c r="B6" s="12" t="s">
        <v>56</v>
      </c>
      <c r="C6" s="16" t="n">
        <v>284.240263</v>
      </c>
      <c r="D6" s="16" t="n">
        <v>284.240263</v>
      </c>
      <c r="E6" s="17" t="n">
        <f aca="false">IF(D6="","",C6-D6)</f>
        <v>0</v>
      </c>
      <c r="F6" s="18" t="n">
        <f aca="false">IF(OR(D6="",D6=0),"",E6/D6)</f>
        <v>0</v>
      </c>
      <c r="G6" s="16" t="n">
        <v>36.61544</v>
      </c>
      <c r="H6" s="16" t="n">
        <v>0</v>
      </c>
      <c r="I6" s="16" t="n">
        <v>36.61544</v>
      </c>
      <c r="J6" s="17" t="n">
        <f aca="false">IF(I6="","",G6-I6)</f>
        <v>0</v>
      </c>
      <c r="K6" s="18" t="n">
        <f aca="false">IF(OR(I6="",I6=0),"",J6/I6)</f>
        <v>0</v>
      </c>
      <c r="L6" s="19" t="str">
        <f aca="false">IF(OR(D6="",I6=""),"No reported total for O&amp;M or depreciation",IF(AND(ABS(F6)&lt;=$D$2,ABS(K6)&lt;=$D$2),"Reconciles within tolerance","Outside tolerance"))</f>
        <v>Reconciles within tolerance</v>
      </c>
      <c r="M6" s="17" t="n">
        <f aca="false">IF(OR(E6="",LEFT(L6,8)="Excluded"),"",ABS(E6))</f>
        <v>0</v>
      </c>
    </row>
    <row r="7" customFormat="false" ht="15" hidden="false" customHeight="false" outlineLevel="0" collapsed="false">
      <c r="A7" s="7" t="n">
        <v>1996</v>
      </c>
      <c r="B7" s="12" t="s">
        <v>56</v>
      </c>
      <c r="C7" s="16" t="n">
        <v>307.192309</v>
      </c>
      <c r="D7" s="16" t="n">
        <v>307.192309</v>
      </c>
      <c r="E7" s="17" t="n">
        <f aca="false">IF(D7="","",C7-D7)</f>
        <v>0</v>
      </c>
      <c r="F7" s="18" t="n">
        <f aca="false">IF(OR(D7="",D7=0),"",E7/D7)</f>
        <v>0</v>
      </c>
      <c r="G7" s="16" t="n">
        <v>37.954656</v>
      </c>
      <c r="H7" s="16" t="n">
        <v>0</v>
      </c>
      <c r="I7" s="16" t="n">
        <v>37.954656</v>
      </c>
      <c r="J7" s="17" t="n">
        <f aca="false">IF(I7="","",G7-I7)</f>
        <v>0</v>
      </c>
      <c r="K7" s="18" t="n">
        <f aca="false">IF(OR(I7="",I7=0),"",J7/I7)</f>
        <v>0</v>
      </c>
      <c r="L7" s="19" t="str">
        <f aca="false">IF(OR(D7="",I7=""),"No reported total for O&amp;M or depreciation",IF(AND(ABS(F7)&lt;=$D$2,ABS(K7)&lt;=$D$2),"Reconciles within tolerance","Outside tolerance"))</f>
        <v>Reconciles within tolerance</v>
      </c>
      <c r="M7" s="17" t="n">
        <f aca="false">IF(OR(E7="",LEFT(L7,8)="Excluded"),"",ABS(E7))</f>
        <v>0</v>
      </c>
    </row>
    <row r="8" customFormat="false" ht="15" hidden="false" customHeight="false" outlineLevel="0" collapsed="false">
      <c r="A8" s="7" t="n">
        <v>1997</v>
      </c>
      <c r="B8" s="12" t="s">
        <v>56</v>
      </c>
      <c r="C8" s="16" t="n">
        <v>312.017814</v>
      </c>
      <c r="D8" s="16" t="n">
        <v>312.017814</v>
      </c>
      <c r="E8" s="17" t="n">
        <f aca="false">IF(D8="","",C8-D8)</f>
        <v>0</v>
      </c>
      <c r="F8" s="18" t="n">
        <f aca="false">IF(OR(D8="",D8=0),"",E8/D8)</f>
        <v>0</v>
      </c>
      <c r="G8" s="16" t="n">
        <v>39.398779</v>
      </c>
      <c r="H8" s="16" t="n">
        <v>0</v>
      </c>
      <c r="I8" s="16" t="n">
        <v>39.398779</v>
      </c>
      <c r="J8" s="17" t="n">
        <f aca="false">IF(I8="","",G8-I8)</f>
        <v>0</v>
      </c>
      <c r="K8" s="18" t="n">
        <f aca="false">IF(OR(I8="",I8=0),"",J8/I8)</f>
        <v>0</v>
      </c>
      <c r="L8" s="19" t="str">
        <f aca="false">IF(OR(D8="",I8=""),"No reported total for O&amp;M or depreciation",IF(AND(ABS(F8)&lt;=$D$2,ABS(K8)&lt;=$D$2),"Reconciles within tolerance","Outside tolerance"))</f>
        <v>Reconciles within tolerance</v>
      </c>
      <c r="M8" s="17" t="n">
        <f aca="false">IF(OR(E8="",LEFT(L8,8)="Excluded"),"",ABS(E8))</f>
        <v>0</v>
      </c>
    </row>
    <row r="9" customFormat="false" ht="15" hidden="false" customHeight="false" outlineLevel="0" collapsed="false">
      <c r="A9" s="7" t="n">
        <v>1998</v>
      </c>
      <c r="B9" s="12" t="s">
        <v>56</v>
      </c>
      <c r="C9" s="16" t="n">
        <v>323.892605</v>
      </c>
      <c r="D9" s="16" t="n">
        <v>323.892605</v>
      </c>
      <c r="E9" s="17" t="n">
        <f aca="false">IF(D9="","",C9-D9)</f>
        <v>0</v>
      </c>
      <c r="F9" s="18" t="n">
        <f aca="false">IF(OR(D9="",D9=0),"",E9/D9)</f>
        <v>0</v>
      </c>
      <c r="G9" s="16" t="n">
        <v>40.52345</v>
      </c>
      <c r="H9" s="16" t="n">
        <v>0</v>
      </c>
      <c r="I9" s="16" t="n">
        <v>40.52345</v>
      </c>
      <c r="J9" s="17" t="n">
        <f aca="false">IF(I9="","",G9-I9)</f>
        <v>0</v>
      </c>
      <c r="K9" s="18" t="n">
        <f aca="false">IF(OR(I9="",I9=0),"",J9/I9)</f>
        <v>0</v>
      </c>
      <c r="L9" s="19" t="str">
        <f aca="false">IF(OR(D9="",I9=""),"No reported total for O&amp;M or depreciation",IF(AND(ABS(F9)&lt;=$D$2,ABS(K9)&lt;=$D$2),"Reconciles within tolerance","Outside tolerance"))</f>
        <v>Reconciles within tolerance</v>
      </c>
      <c r="M9" s="17" t="n">
        <f aca="false">IF(OR(E9="",LEFT(L9,8)="Excluded"),"",ABS(E9))</f>
        <v>0</v>
      </c>
    </row>
    <row r="10" customFormat="false" ht="15" hidden="false" customHeight="false" outlineLevel="0" collapsed="false">
      <c r="A10" s="7" t="n">
        <v>1999</v>
      </c>
      <c r="B10" s="12" t="s">
        <v>56</v>
      </c>
      <c r="C10" s="16" t="n">
        <v>325.583679</v>
      </c>
      <c r="D10" s="16" t="n">
        <v>325.583679</v>
      </c>
      <c r="E10" s="17" t="n">
        <f aca="false">IF(D10="","",C10-D10)</f>
        <v>0</v>
      </c>
      <c r="F10" s="18" t="n">
        <f aca="false">IF(OR(D10="",D10=0),"",E10/D10)</f>
        <v>0</v>
      </c>
      <c r="G10" s="16" t="n">
        <v>39.13347</v>
      </c>
      <c r="H10" s="16" t="n">
        <v>0</v>
      </c>
      <c r="I10" s="16" t="n">
        <v>39.13347</v>
      </c>
      <c r="J10" s="17" t="n">
        <f aca="false">IF(I10="","",G10-I10)</f>
        <v>0</v>
      </c>
      <c r="K10" s="18" t="n">
        <f aca="false">IF(OR(I10="",I10=0),"",J10/I10)</f>
        <v>0</v>
      </c>
      <c r="L10" s="19" t="str">
        <f aca="false">IF(OR(D10="",I10=""),"No reported total for O&amp;M or depreciation",IF(AND(ABS(F10)&lt;=$D$2,ABS(K10)&lt;=$D$2),"Reconciles within tolerance","Outside tolerance"))</f>
        <v>Reconciles within tolerance</v>
      </c>
      <c r="M10" s="17" t="n">
        <f aca="false">IF(OR(E10="",LEFT(L10,8)="Excluded"),"",ABS(E10))</f>
        <v>0</v>
      </c>
    </row>
    <row r="11" customFormat="false" ht="15" hidden="false" customHeight="false" outlineLevel="0" collapsed="false">
      <c r="A11" s="7" t="n">
        <v>2000</v>
      </c>
      <c r="B11" s="12" t="s">
        <v>56</v>
      </c>
      <c r="C11" s="16" t="n">
        <v>346.312048</v>
      </c>
      <c r="D11" s="16" t="n">
        <v>346.312048</v>
      </c>
      <c r="E11" s="17" t="n">
        <f aca="false">IF(D11="","",C11-D11)</f>
        <v>0</v>
      </c>
      <c r="F11" s="18" t="n">
        <f aca="false">IF(OR(D11="",D11=0),"",E11/D11)</f>
        <v>0</v>
      </c>
      <c r="G11" s="16" t="n">
        <v>40.137973</v>
      </c>
      <c r="H11" s="16" t="n">
        <v>0</v>
      </c>
      <c r="I11" s="16" t="n">
        <v>40.137973</v>
      </c>
      <c r="J11" s="17" t="n">
        <f aca="false">IF(I11="","",G11-I11)</f>
        <v>0</v>
      </c>
      <c r="K11" s="18" t="n">
        <f aca="false">IF(OR(I11="",I11=0),"",J11/I11)</f>
        <v>0</v>
      </c>
      <c r="L11" s="19" t="str">
        <f aca="false">IF(OR(D11="",I11=""),"No reported total for O&amp;M or depreciation",IF(AND(ABS(F11)&lt;=$D$2,ABS(K11)&lt;=$D$2),"Reconciles within tolerance","Outside tolerance"))</f>
        <v>Reconciles within tolerance</v>
      </c>
      <c r="M11" s="17" t="n">
        <f aca="false">IF(OR(E11="",LEFT(L11,8)="Excluded"),"",ABS(E11))</f>
        <v>0</v>
      </c>
    </row>
    <row r="12" customFormat="false" ht="15" hidden="false" customHeight="false" outlineLevel="0" collapsed="false">
      <c r="A12" s="7" t="n">
        <v>2001</v>
      </c>
      <c r="B12" s="12" t="s">
        <v>56</v>
      </c>
      <c r="C12" s="16" t="n">
        <v>354.844815</v>
      </c>
      <c r="D12" s="16" t="n">
        <v>354.844815</v>
      </c>
      <c r="E12" s="17" t="n">
        <f aca="false">IF(D12="","",C12-D12)</f>
        <v>0</v>
      </c>
      <c r="F12" s="18" t="n">
        <f aca="false">IF(OR(D12="",D12=0),"",E12/D12)</f>
        <v>0</v>
      </c>
      <c r="G12" s="16" t="n">
        <v>38.350605</v>
      </c>
      <c r="H12" s="16" t="n">
        <v>0</v>
      </c>
      <c r="I12" s="16" t="n">
        <v>38.350605</v>
      </c>
      <c r="J12" s="17" t="n">
        <f aca="false">IF(I12="","",G12-I12)</f>
        <v>0</v>
      </c>
      <c r="K12" s="18" t="n">
        <f aca="false">IF(OR(I12="",I12=0),"",J12/I12)</f>
        <v>0</v>
      </c>
      <c r="L12" s="19" t="str">
        <f aca="false">IF(OR(D12="",I12=""),"No reported total for O&amp;M or depreciation",IF(AND(ABS(F12)&lt;=$D$2,ABS(K12)&lt;=$D$2),"Reconciles within tolerance","Outside tolerance"))</f>
        <v>Reconciles within tolerance</v>
      </c>
      <c r="M12" s="17" t="n">
        <f aca="false">IF(OR(E12="",LEFT(L12,8)="Excluded"),"",ABS(E12))</f>
        <v>0</v>
      </c>
    </row>
    <row r="13" customFormat="false" ht="15" hidden="false" customHeight="false" outlineLevel="0" collapsed="false">
      <c r="A13" s="7" t="n">
        <v>2002</v>
      </c>
      <c r="B13" s="12" t="s">
        <v>56</v>
      </c>
      <c r="C13" s="16" t="n">
        <v>321.448048</v>
      </c>
      <c r="D13" s="16" t="n">
        <v>321.448048</v>
      </c>
      <c r="E13" s="17" t="n">
        <f aca="false">IF(D13="","",C13-D13)</f>
        <v>0</v>
      </c>
      <c r="F13" s="18" t="n">
        <f aca="false">IF(OR(D13="",D13=0),"",E13/D13)</f>
        <v>0</v>
      </c>
      <c r="G13" s="16" t="n">
        <v>38.216688</v>
      </c>
      <c r="H13" s="16" t="n">
        <v>0</v>
      </c>
      <c r="I13" s="16" t="n">
        <v>38.216688</v>
      </c>
      <c r="J13" s="17" t="n">
        <f aca="false">IF(I13="","",G13-I13)</f>
        <v>0</v>
      </c>
      <c r="K13" s="18" t="n">
        <f aca="false">IF(OR(I13="",I13=0),"",J13/I13)</f>
        <v>0</v>
      </c>
      <c r="L13" s="19" t="str">
        <f aca="false">IF(OR(D13="",I13=""),"No reported total for O&amp;M or depreciation",IF(AND(ABS(F13)&lt;=$D$2,ABS(K13)&lt;=$D$2),"Reconciles within tolerance","Outside tolerance"))</f>
        <v>Reconciles within tolerance</v>
      </c>
      <c r="M13" s="17" t="n">
        <f aca="false">IF(OR(E13="",LEFT(L13,8)="Excluded"),"",ABS(E13))</f>
        <v>0</v>
      </c>
    </row>
    <row r="14" customFormat="false" ht="15" hidden="false" customHeight="false" outlineLevel="0" collapsed="false">
      <c r="A14" s="7" t="n">
        <v>2003</v>
      </c>
      <c r="B14" s="12" t="s">
        <v>56</v>
      </c>
      <c r="C14" s="16" t="n">
        <v>342.576032</v>
      </c>
      <c r="D14" s="16" t="n">
        <v>342.576032</v>
      </c>
      <c r="E14" s="17" t="n">
        <f aca="false">IF(D14="","",C14-D14)</f>
        <v>0</v>
      </c>
      <c r="F14" s="18" t="n">
        <f aca="false">IF(OR(D14="",D14=0),"",E14/D14)</f>
        <v>0</v>
      </c>
      <c r="G14" s="16" t="n">
        <v>38.797093</v>
      </c>
      <c r="H14" s="16" t="n">
        <v>0</v>
      </c>
      <c r="I14" s="16" t="n">
        <v>38.797093</v>
      </c>
      <c r="J14" s="17" t="n">
        <f aca="false">IF(I14="","",G14-I14)</f>
        <v>0</v>
      </c>
      <c r="K14" s="18" t="n">
        <f aca="false">IF(OR(I14="",I14=0),"",J14/I14)</f>
        <v>0</v>
      </c>
      <c r="L14" s="19" t="str">
        <f aca="false">IF(OR(D14="",I14=""),"No reported total for O&amp;M or depreciation",IF(AND(ABS(F14)&lt;=$D$2,ABS(K14)&lt;=$D$2),"Reconciles within tolerance","Outside tolerance"))</f>
        <v>Reconciles within tolerance</v>
      </c>
      <c r="M14" s="17" t="n">
        <f aca="false">IF(OR(E14="",LEFT(L14,8)="Excluded"),"",ABS(E14))</f>
        <v>0</v>
      </c>
    </row>
    <row r="15" customFormat="false" ht="15" hidden="false" customHeight="false" outlineLevel="0" collapsed="false">
      <c r="A15" s="7" t="n">
        <v>2004</v>
      </c>
      <c r="B15" s="12" t="s">
        <v>56</v>
      </c>
      <c r="C15" s="16" t="n">
        <v>385.748352</v>
      </c>
      <c r="D15" s="16" t="n">
        <v>385.748352</v>
      </c>
      <c r="E15" s="17" t="n">
        <f aca="false">IF(D15="","",C15-D15)</f>
        <v>0</v>
      </c>
      <c r="F15" s="18" t="n">
        <f aca="false">IF(OR(D15="",D15=0),"",E15/D15)</f>
        <v>0</v>
      </c>
      <c r="G15" s="16" t="n">
        <v>37.036726</v>
      </c>
      <c r="H15" s="16" t="n">
        <v>0</v>
      </c>
      <c r="I15" s="16" t="n">
        <v>37.036726</v>
      </c>
      <c r="J15" s="17" t="n">
        <f aca="false">IF(I15="","",G15-I15)</f>
        <v>0</v>
      </c>
      <c r="K15" s="18" t="n">
        <f aca="false">IF(OR(I15="",I15=0),"",J15/I15)</f>
        <v>0</v>
      </c>
      <c r="L15" s="19" t="str">
        <f aca="false">IF(OR(D15="",I15=""),"No reported total for O&amp;M or depreciation",IF(AND(ABS(F15)&lt;=$D$2,ABS(K15)&lt;=$D$2),"Reconciles within tolerance","Outside tolerance"))</f>
        <v>Reconciles within tolerance</v>
      </c>
      <c r="M15" s="17" t="n">
        <f aca="false">IF(OR(E15="",LEFT(L15,8)="Excluded"),"",ABS(E15))</f>
        <v>0</v>
      </c>
    </row>
    <row r="16" customFormat="false" ht="15" hidden="false" customHeight="false" outlineLevel="0" collapsed="false">
      <c r="A16" s="7" t="n">
        <v>2005</v>
      </c>
      <c r="B16" s="12" t="s">
        <v>56</v>
      </c>
      <c r="C16" s="16" t="n">
        <v>396.245702</v>
      </c>
      <c r="D16" s="16" t="n">
        <v>396.245702</v>
      </c>
      <c r="E16" s="17" t="n">
        <f aca="false">IF(D16="","",C16-D16)</f>
        <v>0</v>
      </c>
      <c r="F16" s="18" t="n">
        <f aca="false">IF(OR(D16="",D16=0),"",E16/D16)</f>
        <v>0</v>
      </c>
      <c r="G16" s="16" t="n">
        <v>36.82965</v>
      </c>
      <c r="H16" s="16" t="n">
        <v>0</v>
      </c>
      <c r="I16" s="16" t="n">
        <v>36.82965</v>
      </c>
      <c r="J16" s="17" t="n">
        <f aca="false">IF(I16="","",G16-I16)</f>
        <v>0</v>
      </c>
      <c r="K16" s="18" t="n">
        <f aca="false">IF(OR(I16="",I16=0),"",J16/I16)</f>
        <v>0</v>
      </c>
      <c r="L16" s="19" t="str">
        <f aca="false">IF(OR(D16="",I16=""),"No reported total for O&amp;M or depreciation",IF(AND(ABS(F16)&lt;=$D$2,ABS(K16)&lt;=$D$2),"Reconciles within tolerance","Outside tolerance"))</f>
        <v>Reconciles within tolerance</v>
      </c>
      <c r="M16" s="17" t="n">
        <f aca="false">IF(OR(E16="",LEFT(L16,8)="Excluded"),"",ABS(E16))</f>
        <v>0</v>
      </c>
    </row>
    <row r="17" customFormat="false" ht="15" hidden="false" customHeight="false" outlineLevel="0" collapsed="false">
      <c r="A17" s="7" t="n">
        <v>2006</v>
      </c>
      <c r="B17" s="12" t="s">
        <v>56</v>
      </c>
      <c r="C17" s="16" t="n">
        <v>453.861351</v>
      </c>
      <c r="D17" s="16" t="n">
        <v>453.861351</v>
      </c>
      <c r="E17" s="17" t="n">
        <f aca="false">IF(D17="","",C17-D17)</f>
        <v>0</v>
      </c>
      <c r="F17" s="18" t="n">
        <f aca="false">IF(OR(D17="",D17=0),"",E17/D17)</f>
        <v>0</v>
      </c>
      <c r="G17" s="16" t="n">
        <v>41.452873</v>
      </c>
      <c r="H17" s="16" t="n">
        <v>0</v>
      </c>
      <c r="I17" s="16" t="n">
        <v>41.452873</v>
      </c>
      <c r="J17" s="17" t="n">
        <f aca="false">IF(I17="","",G17-I17)</f>
        <v>0</v>
      </c>
      <c r="K17" s="18" t="n">
        <f aca="false">IF(OR(I17="",I17=0),"",J17/I17)</f>
        <v>0</v>
      </c>
      <c r="L17" s="19" t="str">
        <f aca="false">IF(OR(D17="",I17=""),"No reported total for O&amp;M or depreciation",IF(AND(ABS(F17)&lt;=$D$2,ABS(K17)&lt;=$D$2),"Reconciles within tolerance","Outside tolerance"))</f>
        <v>Reconciles within tolerance</v>
      </c>
      <c r="M17" s="17" t="n">
        <f aca="false">IF(OR(E17="",LEFT(L17,8)="Excluded"),"",ABS(E17))</f>
        <v>0</v>
      </c>
    </row>
    <row r="18" customFormat="false" ht="15" hidden="false" customHeight="false" outlineLevel="0" collapsed="false">
      <c r="A18" s="7" t="n">
        <v>2007</v>
      </c>
      <c r="B18" s="12" t="s">
        <v>56</v>
      </c>
      <c r="C18" s="16" t="n">
        <v>530.392721</v>
      </c>
      <c r="D18" s="16" t="n">
        <v>530.392721</v>
      </c>
      <c r="E18" s="17" t="n">
        <f aca="false">IF(D18="","",C18-D18)</f>
        <v>0</v>
      </c>
      <c r="F18" s="18" t="n">
        <f aca="false">IF(OR(D18="",D18=0),"",E18/D18)</f>
        <v>0</v>
      </c>
      <c r="G18" s="16" t="n">
        <v>41.017221</v>
      </c>
      <c r="H18" s="16" t="n">
        <v>0</v>
      </c>
      <c r="I18" s="16" t="n">
        <v>41.017221</v>
      </c>
      <c r="J18" s="17" t="n">
        <f aca="false">IF(I18="","",G18-I18)</f>
        <v>0</v>
      </c>
      <c r="K18" s="18" t="n">
        <f aca="false">IF(OR(I18="",I18=0),"",J18/I18)</f>
        <v>0</v>
      </c>
      <c r="L18" s="19" t="str">
        <f aca="false">IF(OR(D18="",I18=""),"No reported total for O&amp;M or depreciation",IF(AND(ABS(F18)&lt;=$D$2,ABS(K18)&lt;=$D$2),"Reconciles within tolerance","Outside tolerance"))</f>
        <v>Reconciles within tolerance</v>
      </c>
      <c r="M18" s="17" t="n">
        <f aca="false">IF(OR(E18="",LEFT(L18,8)="Excluded"),"",ABS(E18))</f>
        <v>0</v>
      </c>
    </row>
    <row r="19" customFormat="false" ht="15" hidden="false" customHeight="false" outlineLevel="0" collapsed="false">
      <c r="A19" s="7" t="n">
        <v>2008</v>
      </c>
      <c r="B19" s="12" t="s">
        <v>56</v>
      </c>
      <c r="C19" s="16" t="n">
        <v>494.992887</v>
      </c>
      <c r="D19" s="16" t="n">
        <v>494.992887</v>
      </c>
      <c r="E19" s="17" t="n">
        <f aca="false">IF(D19="","",C19-D19)</f>
        <v>0</v>
      </c>
      <c r="F19" s="18" t="n">
        <f aca="false">IF(OR(D19="",D19=0),"",E19/D19)</f>
        <v>0</v>
      </c>
      <c r="G19" s="16" t="n">
        <v>47.337581</v>
      </c>
      <c r="H19" s="16" t="n">
        <v>0</v>
      </c>
      <c r="I19" s="16" t="n">
        <v>47.337581</v>
      </c>
      <c r="J19" s="17" t="n">
        <f aca="false">IF(I19="","",G19-I19)</f>
        <v>0</v>
      </c>
      <c r="K19" s="18" t="n">
        <f aca="false">IF(OR(I19="",I19=0),"",J19/I19)</f>
        <v>0</v>
      </c>
      <c r="L19" s="19" t="str">
        <f aca="false">IF(OR(D19="",I19=""),"No reported total for O&amp;M or depreciation",IF(AND(ABS(F19)&lt;=$D$2,ABS(K19)&lt;=$D$2),"Reconciles within tolerance","Outside tolerance"))</f>
        <v>Reconciles within tolerance</v>
      </c>
      <c r="M19" s="17" t="n">
        <f aca="false">IF(OR(E19="",LEFT(L19,8)="Excluded"),"",ABS(E19))</f>
        <v>0</v>
      </c>
    </row>
    <row r="20" customFormat="false" ht="15" hidden="false" customHeight="false" outlineLevel="0" collapsed="false">
      <c r="A20" s="7" t="n">
        <v>2009</v>
      </c>
      <c r="B20" s="12" t="s">
        <v>56</v>
      </c>
      <c r="C20" s="16" t="n">
        <v>472.248329</v>
      </c>
      <c r="D20" s="16" t="n">
        <v>472.248329</v>
      </c>
      <c r="E20" s="17" t="n">
        <f aca="false">IF(D20="","",C20-D20)</f>
        <v>0</v>
      </c>
      <c r="F20" s="18" t="n">
        <f aca="false">IF(OR(D20="",D20=0),"",E20/D20)</f>
        <v>0</v>
      </c>
      <c r="G20" s="16" t="n">
        <v>56.571423</v>
      </c>
      <c r="H20" s="16" t="n">
        <v>0</v>
      </c>
      <c r="I20" s="16" t="n">
        <v>56.571423</v>
      </c>
      <c r="J20" s="17" t="n">
        <f aca="false">IF(I20="","",G20-I20)</f>
        <v>0</v>
      </c>
      <c r="K20" s="18" t="n">
        <f aca="false">IF(OR(I20="",I20=0),"",J20/I20)</f>
        <v>0</v>
      </c>
      <c r="L20" s="19" t="str">
        <f aca="false">IF(OR(D20="",I20=""),"No reported total for O&amp;M or depreciation",IF(AND(ABS(F20)&lt;=$D$2,ABS(K20)&lt;=$D$2),"Reconciles within tolerance","Outside tolerance"))</f>
        <v>Reconciles within tolerance</v>
      </c>
      <c r="M20" s="17" t="n">
        <f aca="false">IF(OR(E20="",LEFT(L20,8)="Excluded"),"",ABS(E20))</f>
        <v>0</v>
      </c>
    </row>
    <row r="21" customFormat="false" ht="15" hidden="false" customHeight="false" outlineLevel="0" collapsed="false">
      <c r="A21" s="7" t="n">
        <v>2010</v>
      </c>
      <c r="B21" s="12" t="s">
        <v>56</v>
      </c>
      <c r="C21" s="16" t="n">
        <v>566.64725</v>
      </c>
      <c r="D21" s="16" t="n">
        <v>566.64725</v>
      </c>
      <c r="E21" s="17" t="n">
        <f aca="false">IF(D21="","",C21-D21)</f>
        <v>0</v>
      </c>
      <c r="F21" s="18" t="n">
        <f aca="false">IF(OR(D21="",D21=0),"",E21/D21)</f>
        <v>0</v>
      </c>
      <c r="G21" s="16" t="n">
        <v>72.028279</v>
      </c>
      <c r="H21" s="16" t="n">
        <v>0</v>
      </c>
      <c r="I21" s="16" t="n">
        <v>72.028279</v>
      </c>
      <c r="J21" s="17" t="n">
        <f aca="false">IF(I21="","",G21-I21)</f>
        <v>0</v>
      </c>
      <c r="K21" s="18" t="n">
        <f aca="false">IF(OR(I21="",I21=0),"",J21/I21)</f>
        <v>0</v>
      </c>
      <c r="L21" s="19" t="str">
        <f aca="false">IF(OR(D21="",I21=""),"No reported total for O&amp;M or depreciation",IF(AND(ABS(F21)&lt;=$D$2,ABS(K21)&lt;=$D$2),"Reconciles within tolerance","Outside tolerance"))</f>
        <v>Reconciles within tolerance</v>
      </c>
      <c r="M21" s="17" t="n">
        <f aca="false">IF(OR(E21="",LEFT(L21,8)="Excluded"),"",ABS(E21))</f>
        <v>0</v>
      </c>
    </row>
    <row r="22" customFormat="false" ht="15" hidden="false" customHeight="false" outlineLevel="0" collapsed="false">
      <c r="A22" s="7" t="n">
        <v>2011</v>
      </c>
      <c r="B22" s="12" t="s">
        <v>56</v>
      </c>
      <c r="C22" s="16" t="n">
        <v>550.538461</v>
      </c>
      <c r="D22" s="16" t="n">
        <v>550.538461</v>
      </c>
      <c r="E22" s="17" t="n">
        <f aca="false">IF(D22="","",C22-D22)</f>
        <v>0</v>
      </c>
      <c r="F22" s="18" t="n">
        <f aca="false">IF(OR(D22="",D22=0),"",E22/D22)</f>
        <v>0</v>
      </c>
      <c r="G22" s="16" t="n">
        <v>81.36567</v>
      </c>
      <c r="H22" s="16" t="n">
        <v>0</v>
      </c>
      <c r="I22" s="16" t="n">
        <v>81.36567</v>
      </c>
      <c r="J22" s="17" t="n">
        <f aca="false">IF(I22="","",G22-I22)</f>
        <v>0</v>
      </c>
      <c r="K22" s="18" t="n">
        <f aca="false">IF(OR(I22="",I22=0),"",J22/I22)</f>
        <v>0</v>
      </c>
      <c r="L22" s="19" t="str">
        <f aca="false">IF(OR(D22="",I22=""),"No reported total for O&amp;M or depreciation",IF(AND(ABS(F22)&lt;=$D$2,ABS(K22)&lt;=$D$2),"Reconciles within tolerance","Outside tolerance"))</f>
        <v>Reconciles within tolerance</v>
      </c>
      <c r="M22" s="17" t="n">
        <f aca="false">IF(OR(E22="",LEFT(L22,8)="Excluded"),"",ABS(E22))</f>
        <v>0</v>
      </c>
    </row>
    <row r="23" customFormat="false" ht="15" hidden="false" customHeight="false" outlineLevel="0" collapsed="false">
      <c r="A23" s="7" t="n">
        <v>2012</v>
      </c>
      <c r="B23" s="12" t="s">
        <v>56</v>
      </c>
      <c r="C23" s="16" t="n">
        <v>559.934297</v>
      </c>
      <c r="D23" s="16" t="n">
        <v>559.934297</v>
      </c>
      <c r="E23" s="17" t="n">
        <f aca="false">IF(D23="","",C23-D23)</f>
        <v>0</v>
      </c>
      <c r="F23" s="18" t="n">
        <f aca="false">IF(OR(D23="",D23=0),"",E23/D23)</f>
        <v>0</v>
      </c>
      <c r="G23" s="16" t="n">
        <v>89.718025</v>
      </c>
      <c r="H23" s="16" t="n">
        <v>0</v>
      </c>
      <c r="I23" s="16" t="n">
        <v>89.718025</v>
      </c>
      <c r="J23" s="17" t="n">
        <f aca="false">IF(I23="","",G23-I23)</f>
        <v>0</v>
      </c>
      <c r="K23" s="18" t="n">
        <f aca="false">IF(OR(I23="",I23=0),"",J23/I23)</f>
        <v>0</v>
      </c>
      <c r="L23" s="19" t="str">
        <f aca="false">IF(OR(D23="",I23=""),"No reported total for O&amp;M or depreciation",IF(AND(ABS(F23)&lt;=$D$2,ABS(K23)&lt;=$D$2),"Reconciles within tolerance","Outside tolerance"))</f>
        <v>Reconciles within tolerance</v>
      </c>
      <c r="M23" s="17" t="n">
        <f aca="false">IF(OR(E23="",LEFT(L23,8)="Excluded"),"",ABS(E23))</f>
        <v>0</v>
      </c>
    </row>
    <row r="24" customFormat="false" ht="15" hidden="false" customHeight="false" outlineLevel="0" collapsed="false">
      <c r="A24" s="7" t="n">
        <v>2013</v>
      </c>
      <c r="B24" s="12" t="s">
        <v>56</v>
      </c>
      <c r="C24" s="16" t="n">
        <v>591.498011</v>
      </c>
      <c r="D24" s="16" t="n">
        <v>591.498011</v>
      </c>
      <c r="E24" s="17" t="n">
        <f aca="false">IF(D24="","",C24-D24)</f>
        <v>0</v>
      </c>
      <c r="F24" s="18" t="n">
        <f aca="false">IF(OR(D24="",D24=0),"",E24/D24)</f>
        <v>0</v>
      </c>
      <c r="G24" s="16" t="n">
        <v>105.973237</v>
      </c>
      <c r="H24" s="16" t="n">
        <v>0</v>
      </c>
      <c r="I24" s="16" t="n">
        <v>105.973237</v>
      </c>
      <c r="J24" s="17" t="n">
        <f aca="false">IF(I24="","",G24-I24)</f>
        <v>0</v>
      </c>
      <c r="K24" s="18" t="n">
        <f aca="false">IF(OR(I24="",I24=0),"",J24/I24)</f>
        <v>0</v>
      </c>
      <c r="L24" s="19" t="str">
        <f aca="false">IF(OR(D24="",I24=""),"No reported total for O&amp;M or depreciation",IF(AND(ABS(F24)&lt;=$D$2,ABS(K24)&lt;=$D$2),"Reconciles within tolerance","Outside tolerance"))</f>
        <v>Reconciles within tolerance</v>
      </c>
      <c r="M24" s="17" t="n">
        <f aca="false">IF(OR(E24="",LEFT(L24,8)="Excluded"),"",ABS(E24))</f>
        <v>0</v>
      </c>
    </row>
    <row r="25" customFormat="false" ht="15" hidden="false" customHeight="false" outlineLevel="0" collapsed="false">
      <c r="A25" s="7" t="n">
        <v>2014</v>
      </c>
      <c r="B25" s="12" t="s">
        <v>56</v>
      </c>
      <c r="C25" s="16" t="n">
        <v>628.454816</v>
      </c>
      <c r="D25" s="16" t="n">
        <v>628.454816</v>
      </c>
      <c r="E25" s="17" t="n">
        <f aca="false">IF(D25="","",C25-D25)</f>
        <v>0</v>
      </c>
      <c r="F25" s="18" t="n">
        <f aca="false">IF(OR(D25="",D25=0),"",E25/D25)</f>
        <v>0</v>
      </c>
      <c r="G25" s="16" t="n">
        <v>113.644728</v>
      </c>
      <c r="H25" s="16" t="n">
        <v>0</v>
      </c>
      <c r="I25" s="16" t="n">
        <v>113.644728</v>
      </c>
      <c r="J25" s="17" t="n">
        <f aca="false">IF(I25="","",G25-I25)</f>
        <v>0</v>
      </c>
      <c r="K25" s="18" t="n">
        <f aca="false">IF(OR(I25="",I25=0),"",J25/I25)</f>
        <v>0</v>
      </c>
      <c r="L25" s="19" t="str">
        <f aca="false">IF(OR(D25="",I25=""),"No reported total for O&amp;M or depreciation",IF(AND(ABS(F25)&lt;=$D$2,ABS(K25)&lt;=$D$2),"Reconciles within tolerance","Outside tolerance"))</f>
        <v>Reconciles within tolerance</v>
      </c>
      <c r="M25" s="17" t="n">
        <f aca="false">IF(OR(E25="",LEFT(L25,8)="Excluded"),"",ABS(E25))</f>
        <v>0</v>
      </c>
    </row>
    <row r="26" customFormat="false" ht="15" hidden="false" customHeight="false" outlineLevel="0" collapsed="false">
      <c r="A26" s="7" t="n">
        <v>2015</v>
      </c>
      <c r="B26" s="12" t="s">
        <v>56</v>
      </c>
      <c r="C26" s="16" t="n">
        <v>597.359813</v>
      </c>
      <c r="D26" s="16" t="n">
        <v>597.359813</v>
      </c>
      <c r="E26" s="17" t="n">
        <f aca="false">IF(D26="","",C26-D26)</f>
        <v>0</v>
      </c>
      <c r="F26" s="18" t="n">
        <f aca="false">IF(OR(D26="",D26=0),"",E26/D26)</f>
        <v>0</v>
      </c>
      <c r="G26" s="16" t="n">
        <v>130.841395</v>
      </c>
      <c r="H26" s="16" t="n">
        <v>0</v>
      </c>
      <c r="I26" s="16" t="n">
        <v>130.841395</v>
      </c>
      <c r="J26" s="17" t="n">
        <f aca="false">IF(I26="","",G26-I26)</f>
        <v>0</v>
      </c>
      <c r="K26" s="18" t="n">
        <f aca="false">IF(OR(I26="",I26=0),"",J26/I26)</f>
        <v>0</v>
      </c>
      <c r="L26" s="19" t="str">
        <f aca="false">IF(OR(D26="",I26=""),"No reported total for O&amp;M or depreciation",IF(AND(ABS(F26)&lt;=$D$2,ABS(K26)&lt;=$D$2),"Reconciles within tolerance","Outside tolerance"))</f>
        <v>Reconciles within tolerance</v>
      </c>
      <c r="M26" s="17" t="n">
        <f aca="false">IF(OR(E26="",LEFT(L26,8)="Excluded"),"",ABS(E26))</f>
        <v>0</v>
      </c>
    </row>
    <row r="27" customFormat="false" ht="15" hidden="false" customHeight="false" outlineLevel="0" collapsed="false">
      <c r="A27" s="7" t="n">
        <v>2016</v>
      </c>
      <c r="B27" s="12" t="s">
        <v>56</v>
      </c>
      <c r="C27" s="16" t="n">
        <v>605.76904</v>
      </c>
      <c r="D27" s="16" t="n">
        <v>605.76904</v>
      </c>
      <c r="E27" s="17" t="n">
        <f aca="false">IF(D27="","",C27-D27)</f>
        <v>0</v>
      </c>
      <c r="F27" s="18" t="n">
        <f aca="false">IF(OR(D27="",D27=0),"",E27/D27)</f>
        <v>0</v>
      </c>
      <c r="G27" s="16" t="n">
        <v>150.766481</v>
      </c>
      <c r="H27" s="16" t="n">
        <v>0</v>
      </c>
      <c r="I27" s="16" t="n">
        <v>150.766481</v>
      </c>
      <c r="J27" s="17" t="n">
        <f aca="false">IF(I27="","",G27-I27)</f>
        <v>0</v>
      </c>
      <c r="K27" s="18" t="n">
        <f aca="false">IF(OR(I27="",I27=0),"",J27/I27)</f>
        <v>0</v>
      </c>
      <c r="L27" s="19" t="str">
        <f aca="false">IF(OR(D27="",I27=""),"No reported total for O&amp;M or depreciation",IF(AND(ABS(F27)&lt;=$D$2,ABS(K27)&lt;=$D$2),"Reconciles within tolerance","Outside tolerance"))</f>
        <v>Reconciles within tolerance</v>
      </c>
      <c r="M27" s="17" t="n">
        <f aca="false">IF(OR(E27="",LEFT(L27,8)="Excluded"),"",ABS(E27))</f>
        <v>0</v>
      </c>
    </row>
    <row r="28" customFormat="false" ht="15" hidden="false" customHeight="false" outlineLevel="0" collapsed="false">
      <c r="A28" s="7" t="n">
        <v>2017</v>
      </c>
      <c r="B28" s="12" t="s">
        <v>56</v>
      </c>
      <c r="C28" s="16" t="n">
        <v>670.037035</v>
      </c>
      <c r="D28" s="16" t="n">
        <v>670.037035</v>
      </c>
      <c r="E28" s="17" t="n">
        <f aca="false">IF(D28="","",C28-D28)</f>
        <v>0</v>
      </c>
      <c r="F28" s="18" t="n">
        <f aca="false">IF(OR(D28="",D28=0),"",E28/D28)</f>
        <v>0</v>
      </c>
      <c r="G28" s="16" t="n">
        <v>128.176142</v>
      </c>
      <c r="H28" s="16" t="n">
        <v>0</v>
      </c>
      <c r="I28" s="16" t="n">
        <v>128.176142</v>
      </c>
      <c r="J28" s="17" t="n">
        <f aca="false">IF(I28="","",G28-I28)</f>
        <v>0</v>
      </c>
      <c r="K28" s="18" t="n">
        <f aca="false">IF(OR(I28="",I28=0),"",J28/I28)</f>
        <v>0</v>
      </c>
      <c r="L28" s="19" t="str">
        <f aca="false">IF(OR(D28="",I28=""),"No reported total for O&amp;M or depreciation",IF(AND(ABS(F28)&lt;=$D$2,ABS(K28)&lt;=$D$2),"Reconciles within tolerance","Outside tolerance"))</f>
        <v>Reconciles within tolerance</v>
      </c>
      <c r="M28" s="17" t="n">
        <f aca="false">IF(OR(E28="",LEFT(L28,8)="Excluded"),"",ABS(E28))</f>
        <v>0</v>
      </c>
    </row>
    <row r="29" customFormat="false" ht="15" hidden="false" customHeight="false" outlineLevel="0" collapsed="false">
      <c r="A29" s="7" t="n">
        <v>2018</v>
      </c>
      <c r="B29" s="12" t="s">
        <v>56</v>
      </c>
      <c r="C29" s="16" t="n">
        <v>669.620794</v>
      </c>
      <c r="D29" s="16" t="n">
        <v>669.620794</v>
      </c>
      <c r="E29" s="17" t="n">
        <f aca="false">IF(D29="","",C29-D29)</f>
        <v>0</v>
      </c>
      <c r="F29" s="18" t="n">
        <f aca="false">IF(OR(D29="",D29=0),"",E29/D29)</f>
        <v>0</v>
      </c>
      <c r="G29" s="16" t="n">
        <v>153.678748</v>
      </c>
      <c r="H29" s="16" t="n">
        <v>0</v>
      </c>
      <c r="I29" s="16" t="n">
        <v>153.678748</v>
      </c>
      <c r="J29" s="17" t="n">
        <f aca="false">IF(I29="","",G29-I29)</f>
        <v>0</v>
      </c>
      <c r="K29" s="18" t="n">
        <f aca="false">IF(OR(I29="",I29=0),"",J29/I29)</f>
        <v>0</v>
      </c>
      <c r="L29" s="19" t="str">
        <f aca="false">IF(OR(D29="",I29=""),"No reported total for O&amp;M or depreciation",IF(AND(ABS(F29)&lt;=$D$2,ABS(K29)&lt;=$D$2),"Reconciles within tolerance","Outside tolerance"))</f>
        <v>Reconciles within tolerance</v>
      </c>
      <c r="M29" s="17" t="n">
        <f aca="false">IF(OR(E29="",LEFT(L29,8)="Excluded"),"",ABS(E29))</f>
        <v>0</v>
      </c>
    </row>
    <row r="30" customFormat="false" ht="15" hidden="false" customHeight="false" outlineLevel="0" collapsed="false">
      <c r="A30" s="7" t="n">
        <v>2019</v>
      </c>
      <c r="B30" s="12" t="s">
        <v>56</v>
      </c>
      <c r="C30" s="16" t="n">
        <v>633.77402</v>
      </c>
      <c r="D30" s="16" t="n">
        <v>633.77402</v>
      </c>
      <c r="E30" s="17" t="n">
        <f aca="false">IF(D30="","",C30-D30)</f>
        <v>0</v>
      </c>
      <c r="F30" s="18" t="n">
        <f aca="false">IF(OR(D30="",D30=0),"",E30/D30)</f>
        <v>0</v>
      </c>
      <c r="G30" s="16" t="n">
        <v>148.21569</v>
      </c>
      <c r="H30" s="16" t="n">
        <v>0</v>
      </c>
      <c r="I30" s="16" t="n">
        <v>148.21569</v>
      </c>
      <c r="J30" s="17" t="n">
        <f aca="false">IF(I30="","",G30-I30)</f>
        <v>0</v>
      </c>
      <c r="K30" s="18" t="n">
        <f aca="false">IF(OR(I30="",I30=0),"",J30/I30)</f>
        <v>0</v>
      </c>
      <c r="L30" s="19" t="str">
        <f aca="false">IF(OR(D30="",I30=""),"No reported total for O&amp;M or depreciation",IF(AND(ABS(F30)&lt;=$D$2,ABS(K30)&lt;=$D$2),"Reconciles within tolerance","Outside tolerance"))</f>
        <v>Reconciles within tolerance</v>
      </c>
      <c r="M30" s="17" t="n">
        <f aca="false">IF(OR(E30="",LEFT(L30,8)="Excluded"),"",ABS(E30))</f>
        <v>0</v>
      </c>
    </row>
    <row r="31" customFormat="false" ht="15" hidden="false" customHeight="false" outlineLevel="0" collapsed="false">
      <c r="A31" s="7" t="n">
        <v>2020</v>
      </c>
      <c r="B31" s="12" t="s">
        <v>56</v>
      </c>
      <c r="C31" s="16" t="n">
        <v>599.320196</v>
      </c>
      <c r="D31" s="16" t="n">
        <v>599.320196</v>
      </c>
      <c r="E31" s="17" t="n">
        <f aca="false">IF(D31="","",C31-D31)</f>
        <v>0</v>
      </c>
      <c r="F31" s="18" t="n">
        <f aca="false">IF(OR(D31="",D31=0),"",E31/D31)</f>
        <v>0</v>
      </c>
      <c r="G31" s="16" t="n">
        <v>155.541749</v>
      </c>
      <c r="H31" s="16" t="n">
        <v>0</v>
      </c>
      <c r="I31" s="16" t="n">
        <v>155.541749</v>
      </c>
      <c r="J31" s="17" t="n">
        <f aca="false">IF(I31="","",G31-I31)</f>
        <v>0</v>
      </c>
      <c r="K31" s="18" t="n">
        <f aca="false">IF(OR(I31="",I31=0),"",J31/I31)</f>
        <v>0</v>
      </c>
      <c r="L31" s="19" t="str">
        <f aca="false">IF(OR(D31="",I31=""),"No reported total for O&amp;M or depreciation",IF(AND(ABS(F31)&lt;=$D$2,ABS(K31)&lt;=$D$2),"Reconciles within tolerance","Outside tolerance"))</f>
        <v>Reconciles within tolerance</v>
      </c>
      <c r="M31" s="17" t="n">
        <f aca="false">IF(OR(E31="",LEFT(L31,8)="Excluded"),"",ABS(E31))</f>
        <v>0</v>
      </c>
    </row>
    <row r="32" customFormat="false" ht="15" hidden="false" customHeight="false" outlineLevel="0" collapsed="false">
      <c r="A32" s="7" t="n">
        <v>2021</v>
      </c>
      <c r="B32" s="12" t="s">
        <v>56</v>
      </c>
      <c r="C32" s="16" t="n">
        <v>821.965053</v>
      </c>
      <c r="D32" s="16" t="n">
        <v>821.965053</v>
      </c>
      <c r="E32" s="17" t="n">
        <f aca="false">IF(D32="","",C32-D32)</f>
        <v>0</v>
      </c>
      <c r="F32" s="18" t="n">
        <f aca="false">IF(OR(D32="",D32=0),"",E32/D32)</f>
        <v>0</v>
      </c>
      <c r="G32" s="16" t="n">
        <v>161.765354</v>
      </c>
      <c r="H32" s="16" t="n">
        <v>0</v>
      </c>
      <c r="I32" s="16" t="n">
        <v>161.765354</v>
      </c>
      <c r="J32" s="17" t="n">
        <f aca="false">IF(I32="","",G32-I32)</f>
        <v>0</v>
      </c>
      <c r="K32" s="18" t="n">
        <f aca="false">IF(OR(I32="",I32=0),"",J32/I32)</f>
        <v>0</v>
      </c>
      <c r="L32" s="19" t="str">
        <f aca="false">IF(OR(D32="",I32=""),"No reported total for O&amp;M or depreciation",IF(AND(ABS(F32)&lt;=$D$2,ABS(K32)&lt;=$D$2),"Reconciles within tolerance","Outside tolerance"))</f>
        <v>Reconciles within tolerance</v>
      </c>
      <c r="M32" s="17" t="n">
        <f aca="false">IF(OR(E32="",LEFT(L32,8)="Excluded"),"",ABS(E32))</f>
        <v>0</v>
      </c>
    </row>
    <row r="33" customFormat="false" ht="15" hidden="false" customHeight="false" outlineLevel="0" collapsed="false">
      <c r="A33" s="7" t="n">
        <v>2022</v>
      </c>
      <c r="B33" s="12" t="s">
        <v>56</v>
      </c>
      <c r="C33" s="16" t="n">
        <v>821.914677</v>
      </c>
      <c r="D33" s="16" t="n">
        <v>821.914677</v>
      </c>
      <c r="E33" s="17" t="n">
        <f aca="false">IF(D33="","",C33-D33)</f>
        <v>0</v>
      </c>
      <c r="F33" s="18" t="n">
        <f aca="false">IF(OR(D33="",D33=0),"",E33/D33)</f>
        <v>0</v>
      </c>
      <c r="G33" s="16" t="n">
        <v>165.456334</v>
      </c>
      <c r="H33" s="16" t="n">
        <v>0</v>
      </c>
      <c r="I33" s="16" t="n">
        <v>165.456334</v>
      </c>
      <c r="J33" s="17" t="n">
        <f aca="false">IF(I33="","",G33-I33)</f>
        <v>0</v>
      </c>
      <c r="K33" s="18" t="n">
        <f aca="false">IF(OR(I33="",I33=0),"",J33/I33)</f>
        <v>0</v>
      </c>
      <c r="L33" s="19" t="str">
        <f aca="false">IF(OR(D33="",I33=""),"No reported total for O&amp;M or depreciation",IF(AND(ABS(F33)&lt;=$D$2,ABS(K33)&lt;=$D$2),"Reconciles within tolerance","Outside tolerance"))</f>
        <v>Reconciles within tolerance</v>
      </c>
      <c r="M33" s="17" t="n">
        <f aca="false">IF(OR(E33="",LEFT(L33,8)="Excluded"),"",ABS(E33))</f>
        <v>0</v>
      </c>
    </row>
    <row r="34" customFormat="false" ht="15" hidden="false" customHeight="false" outlineLevel="0" collapsed="false">
      <c r="A34" s="7" t="n">
        <v>2023</v>
      </c>
      <c r="B34" s="12" t="s">
        <v>56</v>
      </c>
      <c r="C34" s="16" t="n">
        <v>783.89274</v>
      </c>
      <c r="D34" s="16" t="n">
        <v>783.89274</v>
      </c>
      <c r="E34" s="17" t="n">
        <f aca="false">IF(D34="","",C34-D34)</f>
        <v>0</v>
      </c>
      <c r="F34" s="18" t="n">
        <f aca="false">IF(OR(D34="",D34=0),"",E34/D34)</f>
        <v>0</v>
      </c>
      <c r="G34" s="16" t="n">
        <v>165.708517</v>
      </c>
      <c r="H34" s="16" t="n">
        <v>0</v>
      </c>
      <c r="I34" s="16" t="n">
        <v>165.708517</v>
      </c>
      <c r="J34" s="17" t="n">
        <f aca="false">IF(I34="","",G34-I34)</f>
        <v>0</v>
      </c>
      <c r="K34" s="18" t="n">
        <f aca="false">IF(OR(I34="",I34=0),"",J34/I34)</f>
        <v>0</v>
      </c>
      <c r="L34" s="19" t="str">
        <f aca="false">IF(OR(D34="",I34=""),"No reported total for O&amp;M or depreciation",IF(AND(ABS(F34)&lt;=$D$2,ABS(K34)&lt;=$D$2),"Reconciles within tolerance","Outside tolerance"))</f>
        <v>Reconciles within tolerance</v>
      </c>
      <c r="M34" s="17" t="n">
        <f aca="false">IF(OR(E34="",LEFT(L34,8)="Excluded"),"",ABS(E34))</f>
        <v>0</v>
      </c>
    </row>
    <row r="35" customFormat="false" ht="15" hidden="false" customHeight="false" outlineLevel="0" collapsed="false">
      <c r="A35" s="7" t="n">
        <v>2024</v>
      </c>
      <c r="B35" s="12" t="s">
        <v>56</v>
      </c>
      <c r="C35" s="16" t="n">
        <v>758.860378</v>
      </c>
      <c r="D35" s="16" t="n">
        <v>758.858401</v>
      </c>
      <c r="E35" s="17" t="n">
        <f aca="false">IF(D35="","",C35-D35)</f>
        <v>0.00197700000001078</v>
      </c>
      <c r="F35" s="18" t="n">
        <f aca="false">IF(OR(D35="",D35=0),"",E35/D35)</f>
        <v>2.60522911442444E-006</v>
      </c>
      <c r="G35" s="16" t="n">
        <v>176.667579</v>
      </c>
      <c r="H35" s="16" t="n">
        <v>0</v>
      </c>
      <c r="I35" s="16" t="n">
        <v>176.667579</v>
      </c>
      <c r="J35" s="17" t="n">
        <f aca="false">IF(I35="","",G35-I35)</f>
        <v>0</v>
      </c>
      <c r="K35" s="18" t="n">
        <f aca="false">IF(OR(I35="",I35=0),"",J35/I35)</f>
        <v>0</v>
      </c>
      <c r="L35" s="19" t="str">
        <f aca="false">IF(OR(D35="",I35=""),"No reported total for O&amp;M or depreciation",IF(AND(ABS(F35)&lt;=$D$2,ABS(K35)&lt;=$D$2),"Reconciles within tolerance","Outside tolerance"))</f>
        <v>Reconciles within tolerance</v>
      </c>
      <c r="M35" s="17" t="n">
        <f aca="false">IF(OR(E35="",LEFT(L35,8)="Excluded"),"",ABS(E35))</f>
        <v>0.00197700000001078</v>
      </c>
    </row>
    <row r="36" customFormat="false" ht="15" hidden="false" customHeight="false" outlineLevel="0" collapsed="false">
      <c r="A36" s="7" t="n">
        <v>2025</v>
      </c>
      <c r="B36" s="12" t="s">
        <v>56</v>
      </c>
      <c r="C36" s="16" t="n">
        <v>816.806073</v>
      </c>
      <c r="D36" s="16" t="n">
        <v>816.806073</v>
      </c>
      <c r="E36" s="17" t="n">
        <f aca="false">IF(D36="","",C36-D36)</f>
        <v>0</v>
      </c>
      <c r="F36" s="18" t="n">
        <f aca="false">IF(OR(D36="",D36=0),"",E36/D36)</f>
        <v>0</v>
      </c>
      <c r="G36" s="16" t="n">
        <v>182.039407</v>
      </c>
      <c r="H36" s="16" t="n">
        <v>0</v>
      </c>
      <c r="I36" s="16" t="n">
        <v>182.039407</v>
      </c>
      <c r="J36" s="17" t="n">
        <f aca="false">IF(I36="","",G36-I36)</f>
        <v>0</v>
      </c>
      <c r="K36" s="18" t="n">
        <f aca="false">IF(OR(I36="",I36=0),"",J36/I36)</f>
        <v>0</v>
      </c>
      <c r="L36" s="19" t="str">
        <f aca="false">IF(OR(D36="",I36=""),"No reported total for O&amp;M or depreciation",IF(AND(ABS(F36)&lt;=$D$2,ABS(K36)&lt;=$D$2),"Reconciles within tolerance","Outside tolerance"))</f>
        <v>Reconciles within tolerance</v>
      </c>
      <c r="M36" s="17" t="n">
        <f aca="false">IF(OR(E36="",LEFT(L36,8)="Excluded"),"",ABS(E36))</f>
        <v>0</v>
      </c>
    </row>
    <row r="37" customFormat="false" ht="15" hidden="false" customHeight="false" outlineLevel="0" collapsed="false">
      <c r="A37" s="7" t="n">
        <v>1995</v>
      </c>
      <c r="B37" s="12" t="s">
        <v>58</v>
      </c>
      <c r="C37" s="16" t="n">
        <v>1305.659619</v>
      </c>
      <c r="D37" s="16" t="n">
        <v>1305.659619</v>
      </c>
      <c r="E37" s="17" t="n">
        <f aca="false">IF(D37="","",C37-D37)</f>
        <v>0</v>
      </c>
      <c r="F37" s="18" t="n">
        <f aca="false">IF(OR(D37="",D37=0),"",E37/D37)</f>
        <v>0</v>
      </c>
      <c r="G37" s="16" t="n">
        <v>277.72494</v>
      </c>
      <c r="H37" s="16" t="n">
        <v>0</v>
      </c>
      <c r="I37" s="16" t="n">
        <v>277.72494</v>
      </c>
      <c r="J37" s="17" t="n">
        <f aca="false">IF(I37="","",G37-I37)</f>
        <v>0</v>
      </c>
      <c r="K37" s="18" t="n">
        <f aca="false">IF(OR(I37="",I37=0),"",J37/I37)</f>
        <v>0</v>
      </c>
      <c r="L37" s="19" t="str">
        <f aca="false">IF(OR(D37="",I37=""),"No reported total for O&amp;M or depreciation",IF(AND(ABS(F37)&lt;=$D$2,ABS(K37)&lt;=$D$2),"Reconciles within tolerance","Outside tolerance"))</f>
        <v>Reconciles within tolerance</v>
      </c>
      <c r="M37" s="17" t="n">
        <f aca="false">IF(OR(E37="",LEFT(L37,8)="Excluded"),"",ABS(E37))</f>
        <v>0</v>
      </c>
    </row>
    <row r="38" customFormat="false" ht="15" hidden="false" customHeight="false" outlineLevel="0" collapsed="false">
      <c r="A38" s="7" t="n">
        <v>1996</v>
      </c>
      <c r="B38" s="12" t="s">
        <v>58</v>
      </c>
      <c r="C38" s="16" t="n">
        <v>1249.666123</v>
      </c>
      <c r="D38" s="16" t="n">
        <v>1249.666123</v>
      </c>
      <c r="E38" s="17" t="n">
        <f aca="false">IF(D38="","",C38-D38)</f>
        <v>0</v>
      </c>
      <c r="F38" s="18" t="n">
        <f aca="false">IF(OR(D38="",D38=0),"",E38/D38)</f>
        <v>0</v>
      </c>
      <c r="G38" s="16" t="n">
        <v>286.085625</v>
      </c>
      <c r="H38" s="16" t="n">
        <v>0</v>
      </c>
      <c r="I38" s="16" t="n">
        <v>286.085625</v>
      </c>
      <c r="J38" s="17" t="n">
        <f aca="false">IF(I38="","",G38-I38)</f>
        <v>0</v>
      </c>
      <c r="K38" s="18" t="n">
        <f aca="false">IF(OR(I38="",I38=0),"",J38/I38)</f>
        <v>0</v>
      </c>
      <c r="L38" s="19" t="str">
        <f aca="false">IF(OR(D38="",I38=""),"No reported total for O&amp;M or depreciation",IF(AND(ABS(F38)&lt;=$D$2,ABS(K38)&lt;=$D$2),"Reconciles within tolerance","Outside tolerance"))</f>
        <v>Reconciles within tolerance</v>
      </c>
      <c r="M38" s="17" t="n">
        <f aca="false">IF(OR(E38="",LEFT(L38,8)="Excluded"),"",ABS(E38))</f>
        <v>0</v>
      </c>
    </row>
    <row r="39" customFormat="false" ht="15" hidden="false" customHeight="false" outlineLevel="0" collapsed="false">
      <c r="A39" s="7" t="n">
        <v>1997</v>
      </c>
      <c r="B39" s="12" t="s">
        <v>58</v>
      </c>
      <c r="C39" s="16" t="n">
        <v>1252.925447</v>
      </c>
      <c r="D39" s="16" t="n">
        <v>1252.925447</v>
      </c>
      <c r="E39" s="17" t="n">
        <f aca="false">IF(D39="","",C39-D39)</f>
        <v>0</v>
      </c>
      <c r="F39" s="18" t="n">
        <f aca="false">IF(OR(D39="",D39=0),"",E39/D39)</f>
        <v>0</v>
      </c>
      <c r="G39" s="16" t="n">
        <v>282.592001</v>
      </c>
      <c r="H39" s="16" t="n">
        <v>0</v>
      </c>
      <c r="I39" s="16" t="n">
        <v>282.592001</v>
      </c>
      <c r="J39" s="17" t="n">
        <f aca="false">IF(I39="","",G39-I39)</f>
        <v>0</v>
      </c>
      <c r="K39" s="18" t="n">
        <f aca="false">IF(OR(I39="",I39=0),"",J39/I39)</f>
        <v>0</v>
      </c>
      <c r="L39" s="19" t="str">
        <f aca="false">IF(OR(D39="",I39=""),"No reported total for O&amp;M or depreciation",IF(AND(ABS(F39)&lt;=$D$2,ABS(K39)&lt;=$D$2),"Reconciles within tolerance","Outside tolerance"))</f>
        <v>Reconciles within tolerance</v>
      </c>
      <c r="M39" s="17" t="n">
        <f aca="false">IF(OR(E39="",LEFT(L39,8)="Excluded"),"",ABS(E39))</f>
        <v>0</v>
      </c>
    </row>
    <row r="40" customFormat="false" ht="15" hidden="false" customHeight="false" outlineLevel="0" collapsed="false">
      <c r="A40" s="7" t="n">
        <v>1998</v>
      </c>
      <c r="B40" s="12" t="s">
        <v>58</v>
      </c>
      <c r="C40" s="16" t="n">
        <v>2127.20995</v>
      </c>
      <c r="D40" s="16" t="n">
        <v>2127.20995</v>
      </c>
      <c r="E40" s="17" t="n">
        <f aca="false">IF(D40="","",C40-D40)</f>
        <v>0</v>
      </c>
      <c r="F40" s="18" t="n">
        <f aca="false">IF(OR(D40="",D40=0),"",E40/D40)</f>
        <v>0</v>
      </c>
      <c r="G40" s="16" t="n">
        <v>298.508113</v>
      </c>
      <c r="H40" s="16" t="n">
        <v>0</v>
      </c>
      <c r="I40" s="16" t="n">
        <v>298.508113</v>
      </c>
      <c r="J40" s="17" t="n">
        <f aca="false">IF(I40="","",G40-I40)</f>
        <v>0</v>
      </c>
      <c r="K40" s="18" t="n">
        <f aca="false">IF(OR(I40="",I40=0),"",J40/I40)</f>
        <v>0</v>
      </c>
      <c r="L40" s="19" t="str">
        <f aca="false">IF(OR(D40="",I40=""),"No reported total for O&amp;M or depreciation",IF(AND(ABS(F40)&lt;=$D$2,ABS(K40)&lt;=$D$2),"Reconciles within tolerance","Outside tolerance"))</f>
        <v>Reconciles within tolerance</v>
      </c>
      <c r="M40" s="17" t="n">
        <f aca="false">IF(OR(E40="",LEFT(L40,8)="Excluded"),"",ABS(E40))</f>
        <v>0</v>
      </c>
    </row>
    <row r="41" customFormat="false" ht="15" hidden="false" customHeight="false" outlineLevel="0" collapsed="false">
      <c r="A41" s="7" t="n">
        <v>1999</v>
      </c>
      <c r="B41" s="12" t="s">
        <v>58</v>
      </c>
      <c r="C41" s="16" t="n">
        <v>1906.536724</v>
      </c>
      <c r="D41" s="16" t="n">
        <v>1906.536724</v>
      </c>
      <c r="E41" s="17" t="n">
        <f aca="false">IF(D41="","",C41-D41)</f>
        <v>0</v>
      </c>
      <c r="F41" s="18" t="n">
        <f aca="false">IF(OR(D41="",D41=0),"",E41/D41)</f>
        <v>0</v>
      </c>
      <c r="G41" s="16" t="n">
        <v>196.101275</v>
      </c>
      <c r="H41" s="16" t="n">
        <v>0</v>
      </c>
      <c r="I41" s="16" t="n">
        <v>196.101275</v>
      </c>
      <c r="J41" s="17" t="n">
        <f aca="false">IF(I41="","",G41-I41)</f>
        <v>0</v>
      </c>
      <c r="K41" s="18" t="n">
        <f aca="false">IF(OR(I41="",I41=0),"",J41/I41)</f>
        <v>0</v>
      </c>
      <c r="L41" s="19" t="str">
        <f aca="false">IF(OR(D41="",I41=""),"No reported total for O&amp;M or depreciation",IF(AND(ABS(F41)&lt;=$D$2,ABS(K41)&lt;=$D$2),"Reconciles within tolerance","Outside tolerance"))</f>
        <v>Reconciles within tolerance</v>
      </c>
      <c r="M41" s="17" t="n">
        <f aca="false">IF(OR(E41="",LEFT(L41,8)="Excluded"),"",ABS(E41))</f>
        <v>0</v>
      </c>
    </row>
    <row r="42" customFormat="false" ht="15" hidden="false" customHeight="false" outlineLevel="0" collapsed="false">
      <c r="A42" s="7" t="n">
        <v>2000</v>
      </c>
      <c r="B42" s="12" t="s">
        <v>58</v>
      </c>
      <c r="C42" s="16" t="n">
        <v>1640.53275</v>
      </c>
      <c r="D42" s="16" t="n">
        <v>1640.53275</v>
      </c>
      <c r="E42" s="17" t="n">
        <f aca="false">IF(D42="","",C42-D42)</f>
        <v>0</v>
      </c>
      <c r="F42" s="18" t="n">
        <f aca="false">IF(OR(D42="",D42=0),"",E42/D42)</f>
        <v>0</v>
      </c>
      <c r="G42" s="16" t="n">
        <v>149.758839</v>
      </c>
      <c r="H42" s="16" t="n">
        <v>0</v>
      </c>
      <c r="I42" s="16" t="n">
        <v>149.758839</v>
      </c>
      <c r="J42" s="17" t="n">
        <f aca="false">IF(I42="","",G42-I42)</f>
        <v>0</v>
      </c>
      <c r="K42" s="18" t="n">
        <f aca="false">IF(OR(I42="",I42=0),"",J42/I42)</f>
        <v>0</v>
      </c>
      <c r="L42" s="19" t="str">
        <f aca="false">IF(OR(D42="",I42=""),"No reported total for O&amp;M or depreciation",IF(AND(ABS(F42)&lt;=$D$2,ABS(K42)&lt;=$D$2),"Reconciles within tolerance","Outside tolerance"))</f>
        <v>Reconciles within tolerance</v>
      </c>
      <c r="M42" s="17" t="n">
        <f aca="false">IF(OR(E42="",LEFT(L42,8)="Excluded"),"",ABS(E42))</f>
        <v>0</v>
      </c>
    </row>
    <row r="43" customFormat="false" ht="15" hidden="false" customHeight="false" outlineLevel="0" collapsed="false">
      <c r="A43" s="7" t="n">
        <v>2001</v>
      </c>
      <c r="B43" s="12" t="s">
        <v>58</v>
      </c>
      <c r="C43" s="16" t="n">
        <v>1658.01796</v>
      </c>
      <c r="D43" s="16" t="n">
        <v>1658.01796</v>
      </c>
      <c r="E43" s="17" t="n">
        <f aca="false">IF(D43="","",C43-D43)</f>
        <v>0</v>
      </c>
      <c r="F43" s="18" t="n">
        <f aca="false">IF(OR(D43="",D43=0),"",E43/D43)</f>
        <v>0</v>
      </c>
      <c r="G43" s="16" t="n">
        <v>139.800903</v>
      </c>
      <c r="H43" s="16" t="n">
        <v>0</v>
      </c>
      <c r="I43" s="16" t="n">
        <v>139.800903</v>
      </c>
      <c r="J43" s="17" t="n">
        <f aca="false">IF(I43="","",G43-I43)</f>
        <v>0</v>
      </c>
      <c r="K43" s="18" t="n">
        <f aca="false">IF(OR(I43="",I43=0),"",J43/I43)</f>
        <v>0</v>
      </c>
      <c r="L43" s="19" t="str">
        <f aca="false">IF(OR(D43="",I43=""),"No reported total for O&amp;M or depreciation",IF(AND(ABS(F43)&lt;=$D$2,ABS(K43)&lt;=$D$2),"Reconciles within tolerance","Outside tolerance"))</f>
        <v>Reconciles within tolerance</v>
      </c>
      <c r="M43" s="17" t="n">
        <f aca="false">IF(OR(E43="",LEFT(L43,8)="Excluded"),"",ABS(E43))</f>
        <v>0</v>
      </c>
    </row>
    <row r="44" customFormat="false" ht="15" hidden="false" customHeight="false" outlineLevel="0" collapsed="false">
      <c r="A44" s="7" t="n">
        <v>2002</v>
      </c>
      <c r="B44" s="12" t="s">
        <v>58</v>
      </c>
      <c r="C44" s="16" t="n">
        <v>1617.495075</v>
      </c>
      <c r="D44" s="16" t="n">
        <v>1617.495075</v>
      </c>
      <c r="E44" s="17" t="n">
        <f aca="false">IF(D44="","",C44-D44)</f>
        <v>0</v>
      </c>
      <c r="F44" s="18" t="n">
        <f aca="false">IF(OR(D44="",D44=0),"",E44/D44)</f>
        <v>0</v>
      </c>
      <c r="G44" s="16" t="n">
        <v>141.630446</v>
      </c>
      <c r="H44" s="16" t="n">
        <v>0</v>
      </c>
      <c r="I44" s="16" t="n">
        <v>141.630446</v>
      </c>
      <c r="J44" s="17" t="n">
        <f aca="false">IF(I44="","",G44-I44)</f>
        <v>0</v>
      </c>
      <c r="K44" s="18" t="n">
        <f aca="false">IF(OR(I44="",I44=0),"",J44/I44)</f>
        <v>0</v>
      </c>
      <c r="L44" s="19" t="str">
        <f aca="false">IF(OR(D44="",I44=""),"No reported total for O&amp;M or depreciation",IF(AND(ABS(F44)&lt;=$D$2,ABS(K44)&lt;=$D$2),"Reconciles within tolerance","Outside tolerance"))</f>
        <v>Reconciles within tolerance</v>
      </c>
      <c r="M44" s="17" t="n">
        <f aca="false">IF(OR(E44="",LEFT(L44,8)="Excluded"),"",ABS(E44))</f>
        <v>0</v>
      </c>
    </row>
    <row r="45" customFormat="false" ht="15" hidden="false" customHeight="false" outlineLevel="0" collapsed="false">
      <c r="A45" s="7" t="n">
        <v>2003</v>
      </c>
      <c r="B45" s="12" t="s">
        <v>58</v>
      </c>
      <c r="C45" s="16" t="n">
        <v>1713.644337</v>
      </c>
      <c r="D45" s="16" t="n">
        <v>1713.644337</v>
      </c>
      <c r="E45" s="17" t="n">
        <f aca="false">IF(D45="","",C45-D45)</f>
        <v>0</v>
      </c>
      <c r="F45" s="18" t="n">
        <f aca="false">IF(OR(D45="",D45=0),"",E45/D45)</f>
        <v>0</v>
      </c>
      <c r="G45" s="16" t="n">
        <v>136.984794</v>
      </c>
      <c r="H45" s="16" t="n">
        <v>0</v>
      </c>
      <c r="I45" s="16" t="n">
        <v>136.984794</v>
      </c>
      <c r="J45" s="17" t="n">
        <f aca="false">IF(I45="","",G45-I45)</f>
        <v>0</v>
      </c>
      <c r="K45" s="18" t="n">
        <f aca="false">IF(OR(I45="",I45=0),"",J45/I45)</f>
        <v>0</v>
      </c>
      <c r="L45" s="19" t="str">
        <f aca="false">IF(OR(D45="",I45=""),"No reported total for O&amp;M or depreciation",IF(AND(ABS(F45)&lt;=$D$2,ABS(K45)&lt;=$D$2),"Reconciles within tolerance","Outside tolerance"))</f>
        <v>Reconciles within tolerance</v>
      </c>
      <c r="M45" s="17" t="n">
        <f aca="false">IF(OR(E45="",LEFT(L45,8)="Excluded"),"",ABS(E45))</f>
        <v>0</v>
      </c>
    </row>
    <row r="46" customFormat="false" ht="15" hidden="false" customHeight="false" outlineLevel="0" collapsed="false">
      <c r="A46" s="7" t="n">
        <v>2004</v>
      </c>
      <c r="B46" s="12" t="s">
        <v>58</v>
      </c>
      <c r="C46" s="16" t="n">
        <v>1498.03819</v>
      </c>
      <c r="D46" s="16" t="n">
        <v>1498.03819</v>
      </c>
      <c r="E46" s="17" t="n">
        <f aca="false">IF(D46="","",C46-D46)</f>
        <v>0</v>
      </c>
      <c r="F46" s="18" t="n">
        <f aca="false">IF(OR(D46="",D46=0),"",E46/D46)</f>
        <v>0</v>
      </c>
      <c r="G46" s="16" t="n">
        <v>125.778032</v>
      </c>
      <c r="H46" s="16" t="n">
        <v>0</v>
      </c>
      <c r="I46" s="16" t="n">
        <v>125.778032</v>
      </c>
      <c r="J46" s="17" t="n">
        <f aca="false">IF(I46="","",G46-I46)</f>
        <v>0</v>
      </c>
      <c r="K46" s="18" t="n">
        <f aca="false">IF(OR(I46="",I46=0),"",J46/I46)</f>
        <v>0</v>
      </c>
      <c r="L46" s="19" t="str">
        <f aca="false">IF(OR(D46="",I46=""),"No reported total for O&amp;M or depreciation",IF(AND(ABS(F46)&lt;=$D$2,ABS(K46)&lt;=$D$2),"Reconciles within tolerance","Outside tolerance"))</f>
        <v>Reconciles within tolerance</v>
      </c>
      <c r="M46" s="17" t="n">
        <f aca="false">IF(OR(E46="",LEFT(L46,8)="Excluded"),"",ABS(E46))</f>
        <v>0</v>
      </c>
    </row>
    <row r="47" customFormat="false" ht="15" hidden="false" customHeight="false" outlineLevel="0" collapsed="false">
      <c r="A47" s="7" t="n">
        <v>2005</v>
      </c>
      <c r="B47" s="12" t="s">
        <v>58</v>
      </c>
      <c r="C47" s="16" t="n">
        <v>1706.466334</v>
      </c>
      <c r="D47" s="16" t="n">
        <v>1706.466334</v>
      </c>
      <c r="E47" s="17" t="n">
        <f aca="false">IF(D47="","",C47-D47)</f>
        <v>0</v>
      </c>
      <c r="F47" s="18" t="n">
        <f aca="false">IF(OR(D47="",D47=0),"",E47/D47)</f>
        <v>0</v>
      </c>
      <c r="G47" s="16" t="n">
        <v>134.607093</v>
      </c>
      <c r="H47" s="16" t="n">
        <v>0</v>
      </c>
      <c r="I47" s="16" t="n">
        <v>134.607093</v>
      </c>
      <c r="J47" s="17" t="n">
        <f aca="false">IF(I47="","",G47-I47)</f>
        <v>0</v>
      </c>
      <c r="K47" s="18" t="n">
        <f aca="false">IF(OR(I47="",I47=0),"",J47/I47)</f>
        <v>0</v>
      </c>
      <c r="L47" s="19" t="str">
        <f aca="false">IF(OR(D47="",I47=""),"No reported total for O&amp;M or depreciation",IF(AND(ABS(F47)&lt;=$D$2,ABS(K47)&lt;=$D$2),"Reconciles within tolerance","Outside tolerance"))</f>
        <v>Reconciles within tolerance</v>
      </c>
      <c r="M47" s="17" t="n">
        <f aca="false">IF(OR(E47="",LEFT(L47,8)="Excluded"),"",ABS(E47))</f>
        <v>0</v>
      </c>
    </row>
    <row r="48" customFormat="false" ht="15" hidden="false" customHeight="false" outlineLevel="0" collapsed="false">
      <c r="A48" s="7" t="n">
        <v>2006</v>
      </c>
      <c r="B48" s="12" t="s">
        <v>58</v>
      </c>
      <c r="C48" s="16" t="n">
        <v>2141.969168</v>
      </c>
      <c r="D48" s="16" t="n">
        <v>1787.483285</v>
      </c>
      <c r="E48" s="17" t="n">
        <f aca="false">IF(D48="","",C48-D48)</f>
        <v>354.485883</v>
      </c>
      <c r="F48" s="18" t="n">
        <f aca="false">IF(OR(D48="",D48=0),"",E48/D48)</f>
        <v>0.198315635158513</v>
      </c>
      <c r="G48" s="16" t="n">
        <v>140.298233</v>
      </c>
      <c r="H48" s="16" t="n">
        <v>0</v>
      </c>
      <c r="I48" s="16" t="n">
        <v>140.298233</v>
      </c>
      <c r="J48" s="17" t="n">
        <f aca="false">IF(I48="","",G48-I48)</f>
        <v>0</v>
      </c>
      <c r="K48" s="18" t="n">
        <f aca="false">IF(OR(I48="",I48=0),"",J48/I48)</f>
        <v>0</v>
      </c>
      <c r="L48" s="12" t="s">
        <v>96</v>
      </c>
      <c r="M48" s="17" t="str">
        <f aca="false">IF(OR(E48="",LEFT(L48,8)="Excluded"),"",ABS(E48))</f>
        <v/>
      </c>
    </row>
    <row r="49" customFormat="false" ht="15" hidden="false" customHeight="false" outlineLevel="0" collapsed="false">
      <c r="A49" s="7" t="n">
        <v>2007</v>
      </c>
      <c r="B49" s="12" t="s">
        <v>58</v>
      </c>
      <c r="C49" s="16" t="n">
        <v>1891.209404</v>
      </c>
      <c r="D49" s="16" t="n">
        <v>1891.209404</v>
      </c>
      <c r="E49" s="17" t="n">
        <f aca="false">IF(D49="","",C49-D49)</f>
        <v>0</v>
      </c>
      <c r="F49" s="18" t="n">
        <f aca="false">IF(OR(D49="",D49=0),"",E49/D49)</f>
        <v>0</v>
      </c>
      <c r="G49" s="16" t="n">
        <v>144.728269</v>
      </c>
      <c r="H49" s="16" t="n">
        <v>0</v>
      </c>
      <c r="I49" s="16" t="n">
        <v>144.728269</v>
      </c>
      <c r="J49" s="17" t="n">
        <f aca="false">IF(I49="","",G49-I49)</f>
        <v>0</v>
      </c>
      <c r="K49" s="18" t="n">
        <f aca="false">IF(OR(I49="",I49=0),"",J49/I49)</f>
        <v>0</v>
      </c>
      <c r="L49" s="19" t="str">
        <f aca="false">IF(OR(D49="",I49=""),"No reported total for O&amp;M or depreciation",IF(AND(ABS(F49)&lt;=$D$2,ABS(K49)&lt;=$D$2),"Reconciles within tolerance","Outside tolerance"))</f>
        <v>Reconciles within tolerance</v>
      </c>
      <c r="M49" s="17" t="n">
        <f aca="false">IF(OR(E49="",LEFT(L49,8)="Excluded"),"",ABS(E49))</f>
        <v>0</v>
      </c>
    </row>
    <row r="50" customFormat="false" ht="15" hidden="false" customHeight="false" outlineLevel="0" collapsed="false">
      <c r="A50" s="7" t="n">
        <v>2008</v>
      </c>
      <c r="B50" s="12" t="s">
        <v>58</v>
      </c>
      <c r="C50" s="16" t="n">
        <v>1848.750899</v>
      </c>
      <c r="D50" s="16" t="n">
        <v>1848.750899</v>
      </c>
      <c r="E50" s="17" t="n">
        <f aca="false">IF(D50="","",C50-D50)</f>
        <v>0</v>
      </c>
      <c r="F50" s="18" t="n">
        <f aca="false">IF(OR(D50="",D50=0),"",E50/D50)</f>
        <v>0</v>
      </c>
      <c r="G50" s="16" t="n">
        <v>151.805681</v>
      </c>
      <c r="H50" s="16" t="n">
        <v>0</v>
      </c>
      <c r="I50" s="16" t="n">
        <v>151.805681</v>
      </c>
      <c r="J50" s="17" t="n">
        <f aca="false">IF(I50="","",G50-I50)</f>
        <v>0</v>
      </c>
      <c r="K50" s="18" t="n">
        <f aca="false">IF(OR(I50="",I50=0),"",J50/I50)</f>
        <v>0</v>
      </c>
      <c r="L50" s="19" t="str">
        <f aca="false">IF(OR(D50="",I50=""),"No reported total for O&amp;M or depreciation",IF(AND(ABS(F50)&lt;=$D$2,ABS(K50)&lt;=$D$2),"Reconciles within tolerance","Outside tolerance"))</f>
        <v>Reconciles within tolerance</v>
      </c>
      <c r="M50" s="17" t="n">
        <f aca="false">IF(OR(E50="",LEFT(L50,8)="Excluded"),"",ABS(E50))</f>
        <v>0</v>
      </c>
    </row>
    <row r="51" customFormat="false" ht="15" hidden="false" customHeight="false" outlineLevel="0" collapsed="false">
      <c r="A51" s="7" t="n">
        <v>2009</v>
      </c>
      <c r="B51" s="12" t="s">
        <v>58</v>
      </c>
      <c r="C51" s="16" t="n">
        <v>1539.079579</v>
      </c>
      <c r="D51" s="16" t="n">
        <v>1539.079579</v>
      </c>
      <c r="E51" s="17" t="n">
        <f aca="false">IF(D51="","",C51-D51)</f>
        <v>0</v>
      </c>
      <c r="F51" s="18" t="n">
        <f aca="false">IF(OR(D51="",D51=0),"",E51/D51)</f>
        <v>0</v>
      </c>
      <c r="G51" s="16" t="n">
        <v>168.58011</v>
      </c>
      <c r="H51" s="16" t="n">
        <v>0</v>
      </c>
      <c r="I51" s="16" t="n">
        <v>168.58011</v>
      </c>
      <c r="J51" s="17" t="n">
        <f aca="false">IF(I51="","",G51-I51)</f>
        <v>0</v>
      </c>
      <c r="K51" s="18" t="n">
        <f aca="false">IF(OR(I51="",I51=0),"",J51/I51)</f>
        <v>0</v>
      </c>
      <c r="L51" s="19" t="str">
        <f aca="false">IF(OR(D51="",I51=""),"No reported total for O&amp;M or depreciation",IF(AND(ABS(F51)&lt;=$D$2,ABS(K51)&lt;=$D$2),"Reconciles within tolerance","Outside tolerance"))</f>
        <v>Reconciles within tolerance</v>
      </c>
      <c r="M51" s="17" t="n">
        <f aca="false">IF(OR(E51="",LEFT(L51,8)="Excluded"),"",ABS(E51))</f>
        <v>0</v>
      </c>
    </row>
    <row r="52" customFormat="false" ht="15" hidden="false" customHeight="false" outlineLevel="0" collapsed="false">
      <c r="A52" s="7" t="n">
        <v>2010</v>
      </c>
      <c r="B52" s="12" t="s">
        <v>58</v>
      </c>
      <c r="C52" s="16" t="n">
        <v>1377.552529</v>
      </c>
      <c r="D52" s="16" t="n">
        <v>1377.552529</v>
      </c>
      <c r="E52" s="17" t="n">
        <f aca="false">IF(D52="","",C52-D52)</f>
        <v>0</v>
      </c>
      <c r="F52" s="18" t="n">
        <f aca="false">IF(OR(D52="",D52=0),"",E52/D52)</f>
        <v>0</v>
      </c>
      <c r="G52" s="16" t="n">
        <v>171.786854</v>
      </c>
      <c r="H52" s="16" t="n">
        <v>0</v>
      </c>
      <c r="I52" s="16" t="n">
        <v>171.786854</v>
      </c>
      <c r="J52" s="17" t="n">
        <f aca="false">IF(I52="","",G52-I52)</f>
        <v>0</v>
      </c>
      <c r="K52" s="18" t="n">
        <f aca="false">IF(OR(I52="",I52=0),"",J52/I52)</f>
        <v>0</v>
      </c>
      <c r="L52" s="19" t="str">
        <f aca="false">IF(OR(D52="",I52=""),"No reported total for O&amp;M or depreciation",IF(AND(ABS(F52)&lt;=$D$2,ABS(K52)&lt;=$D$2),"Reconciles within tolerance","Outside tolerance"))</f>
        <v>Reconciles within tolerance</v>
      </c>
      <c r="M52" s="17" t="n">
        <f aca="false">IF(OR(E52="",LEFT(L52,8)="Excluded"),"",ABS(E52))</f>
        <v>0</v>
      </c>
    </row>
    <row r="53" customFormat="false" ht="15" hidden="false" customHeight="false" outlineLevel="0" collapsed="false">
      <c r="A53" s="7" t="n">
        <v>2011</v>
      </c>
      <c r="B53" s="12" t="s">
        <v>58</v>
      </c>
      <c r="C53" s="16" t="n">
        <v>1306.5952</v>
      </c>
      <c r="D53" s="16" t="n">
        <v>1306.5952</v>
      </c>
      <c r="E53" s="17" t="n">
        <f aca="false">IF(D53="","",C53-D53)</f>
        <v>0</v>
      </c>
      <c r="F53" s="18" t="n">
        <f aca="false">IF(OR(D53="",D53=0),"",E53/D53)</f>
        <v>0</v>
      </c>
      <c r="G53" s="16" t="n">
        <v>176.066462</v>
      </c>
      <c r="H53" s="16" t="n">
        <v>0</v>
      </c>
      <c r="I53" s="16" t="n">
        <v>176.066462</v>
      </c>
      <c r="J53" s="17" t="n">
        <f aca="false">IF(I53="","",G53-I53)</f>
        <v>0</v>
      </c>
      <c r="K53" s="18" t="n">
        <f aca="false">IF(OR(I53="",I53=0),"",J53/I53)</f>
        <v>0</v>
      </c>
      <c r="L53" s="19" t="str">
        <f aca="false">IF(OR(D53="",I53=""),"No reported total for O&amp;M or depreciation",IF(AND(ABS(F53)&lt;=$D$2,ABS(K53)&lt;=$D$2),"Reconciles within tolerance","Outside tolerance"))</f>
        <v>Reconciles within tolerance</v>
      </c>
      <c r="M53" s="17" t="n">
        <f aca="false">IF(OR(E53="",LEFT(L53,8)="Excluded"),"",ABS(E53))</f>
        <v>0</v>
      </c>
    </row>
    <row r="54" customFormat="false" ht="15" hidden="false" customHeight="false" outlineLevel="0" collapsed="false">
      <c r="A54" s="7" t="n">
        <v>2012</v>
      </c>
      <c r="B54" s="12" t="s">
        <v>58</v>
      </c>
      <c r="C54" s="16" t="n">
        <v>1176.877562</v>
      </c>
      <c r="D54" s="16" t="n">
        <v>1176.877562</v>
      </c>
      <c r="E54" s="17" t="n">
        <f aca="false">IF(D54="","",C54-D54)</f>
        <v>0</v>
      </c>
      <c r="F54" s="18" t="n">
        <f aca="false">IF(OR(D54="",D54=0),"",E54/D54)</f>
        <v>0</v>
      </c>
      <c r="G54" s="16" t="n">
        <v>182.700926</v>
      </c>
      <c r="H54" s="16" t="n">
        <v>0</v>
      </c>
      <c r="I54" s="16" t="n">
        <v>182.700926</v>
      </c>
      <c r="J54" s="17" t="n">
        <f aca="false">IF(I54="","",G54-I54)</f>
        <v>0</v>
      </c>
      <c r="K54" s="18" t="n">
        <f aca="false">IF(OR(I54="",I54=0),"",J54/I54)</f>
        <v>0</v>
      </c>
      <c r="L54" s="19" t="str">
        <f aca="false">IF(OR(D54="",I54=""),"No reported total for O&amp;M or depreciation",IF(AND(ABS(F54)&lt;=$D$2,ABS(K54)&lt;=$D$2),"Reconciles within tolerance","Outside tolerance"))</f>
        <v>Reconciles within tolerance</v>
      </c>
      <c r="M54" s="17" t="n">
        <f aca="false">IF(OR(E54="",LEFT(L54,8)="Excluded"),"",ABS(E54))</f>
        <v>0</v>
      </c>
    </row>
    <row r="55" customFormat="false" ht="15" hidden="false" customHeight="false" outlineLevel="0" collapsed="false">
      <c r="A55" s="7" t="n">
        <v>2013</v>
      </c>
      <c r="B55" s="12" t="s">
        <v>58</v>
      </c>
      <c r="C55" s="16" t="n">
        <v>899.77123</v>
      </c>
      <c r="D55" s="16" t="n">
        <v>899.77123</v>
      </c>
      <c r="E55" s="17" t="n">
        <f aca="false">IF(D55="","",C55-D55)</f>
        <v>0</v>
      </c>
      <c r="F55" s="18" t="n">
        <f aca="false">IF(OR(D55="",D55=0),"",E55/D55)</f>
        <v>0</v>
      </c>
      <c r="G55" s="16" t="n">
        <v>205.705181</v>
      </c>
      <c r="H55" s="16" t="n">
        <v>0</v>
      </c>
      <c r="I55" s="16" t="n">
        <v>205.705181</v>
      </c>
      <c r="J55" s="17" t="n">
        <f aca="false">IF(I55="","",G55-I55)</f>
        <v>0</v>
      </c>
      <c r="K55" s="18" t="n">
        <f aca="false">IF(OR(I55="",I55=0),"",J55/I55)</f>
        <v>0</v>
      </c>
      <c r="L55" s="19" t="str">
        <f aca="false">IF(OR(D55="",I55=""),"No reported total for O&amp;M or depreciation",IF(AND(ABS(F55)&lt;=$D$2,ABS(K55)&lt;=$D$2),"Reconciles within tolerance","Outside tolerance"))</f>
        <v>Reconciles within tolerance</v>
      </c>
      <c r="M55" s="17" t="n">
        <f aca="false">IF(OR(E55="",LEFT(L55,8)="Excluded"),"",ABS(E55))</f>
        <v>0</v>
      </c>
    </row>
    <row r="56" customFormat="false" ht="15" hidden="false" customHeight="false" outlineLevel="0" collapsed="false">
      <c r="A56" s="7" t="n">
        <v>2014</v>
      </c>
      <c r="B56" s="12" t="s">
        <v>58</v>
      </c>
      <c r="C56" s="16" t="n">
        <v>927.359215</v>
      </c>
      <c r="D56" s="16" t="n">
        <v>927.359215</v>
      </c>
      <c r="E56" s="17" t="n">
        <f aca="false">IF(D56="","",C56-D56)</f>
        <v>0</v>
      </c>
      <c r="F56" s="18" t="n">
        <f aca="false">IF(OR(D56="",D56=0),"",E56/D56)</f>
        <v>0</v>
      </c>
      <c r="G56" s="16" t="n">
        <v>222.446034</v>
      </c>
      <c r="H56" s="16" t="n">
        <v>0</v>
      </c>
      <c r="I56" s="16" t="n">
        <v>222.446034</v>
      </c>
      <c r="J56" s="17" t="n">
        <f aca="false">IF(I56="","",G56-I56)</f>
        <v>0</v>
      </c>
      <c r="K56" s="18" t="n">
        <f aca="false">IF(OR(I56="",I56=0),"",J56/I56)</f>
        <v>0</v>
      </c>
      <c r="L56" s="19" t="str">
        <f aca="false">IF(OR(D56="",I56=""),"No reported total for O&amp;M or depreciation",IF(AND(ABS(F56)&lt;=$D$2,ABS(K56)&lt;=$D$2),"Reconciles within tolerance","Outside tolerance"))</f>
        <v>Reconciles within tolerance</v>
      </c>
      <c r="M56" s="17" t="n">
        <f aca="false">IF(OR(E56="",LEFT(L56,8)="Excluded"),"",ABS(E56))</f>
        <v>0</v>
      </c>
    </row>
    <row r="57" customFormat="false" ht="15" hidden="false" customHeight="false" outlineLevel="0" collapsed="false">
      <c r="A57" s="7" t="n">
        <v>2015</v>
      </c>
      <c r="B57" s="12" t="s">
        <v>58</v>
      </c>
      <c r="C57" s="16" t="n">
        <v>1006.944895</v>
      </c>
      <c r="D57" s="16" t="n">
        <v>1006.944895</v>
      </c>
      <c r="E57" s="17" t="n">
        <f aca="false">IF(D57="","",C57-D57)</f>
        <v>0</v>
      </c>
      <c r="F57" s="18" t="n">
        <f aca="false">IF(OR(D57="",D57=0),"",E57/D57)</f>
        <v>0</v>
      </c>
      <c r="G57" s="16" t="n">
        <v>242.264768</v>
      </c>
      <c r="H57" s="16" t="n">
        <v>0</v>
      </c>
      <c r="I57" s="16" t="n">
        <v>242.264768</v>
      </c>
      <c r="J57" s="17" t="n">
        <f aca="false">IF(I57="","",G57-I57)</f>
        <v>0</v>
      </c>
      <c r="K57" s="18" t="n">
        <f aca="false">IF(OR(I57="",I57=0),"",J57/I57)</f>
        <v>0</v>
      </c>
      <c r="L57" s="19" t="str">
        <f aca="false">IF(OR(D57="",I57=""),"No reported total for O&amp;M or depreciation",IF(AND(ABS(F57)&lt;=$D$2,ABS(K57)&lt;=$D$2),"Reconciles within tolerance","Outside tolerance"))</f>
        <v>Reconciles within tolerance</v>
      </c>
      <c r="M57" s="17" t="n">
        <f aca="false">IF(OR(E57="",LEFT(L57,8)="Excluded"),"",ABS(E57))</f>
        <v>0</v>
      </c>
    </row>
    <row r="58" customFormat="false" ht="15" hidden="false" customHeight="false" outlineLevel="0" collapsed="false">
      <c r="A58" s="7" t="n">
        <v>2016</v>
      </c>
      <c r="B58" s="12" t="s">
        <v>58</v>
      </c>
      <c r="C58" s="16" t="n">
        <v>992.652066</v>
      </c>
      <c r="D58" s="16" t="n">
        <v>992.652066</v>
      </c>
      <c r="E58" s="17" t="n">
        <f aca="false">IF(D58="","",C58-D58)</f>
        <v>0</v>
      </c>
      <c r="F58" s="18" t="n">
        <f aca="false">IF(OR(D58="",D58=0),"",E58/D58)</f>
        <v>0</v>
      </c>
      <c r="G58" s="16" t="n">
        <v>264.863767</v>
      </c>
      <c r="H58" s="16" t="n">
        <v>0</v>
      </c>
      <c r="I58" s="16" t="n">
        <v>264.863767</v>
      </c>
      <c r="J58" s="17" t="n">
        <f aca="false">IF(I58="","",G58-I58)</f>
        <v>0</v>
      </c>
      <c r="K58" s="18" t="n">
        <f aca="false">IF(OR(I58="",I58=0),"",J58/I58)</f>
        <v>0</v>
      </c>
      <c r="L58" s="19" t="str">
        <f aca="false">IF(OR(D58="",I58=""),"No reported total for O&amp;M or depreciation",IF(AND(ABS(F58)&lt;=$D$2,ABS(K58)&lt;=$D$2),"Reconciles within tolerance","Outside tolerance"))</f>
        <v>Reconciles within tolerance</v>
      </c>
      <c r="M58" s="17" t="n">
        <f aca="false">IF(OR(E58="",LEFT(L58,8)="Excluded"),"",ABS(E58))</f>
        <v>0</v>
      </c>
    </row>
    <row r="59" customFormat="false" ht="15" hidden="false" customHeight="false" outlineLevel="0" collapsed="false">
      <c r="A59" s="7" t="n">
        <v>2017</v>
      </c>
      <c r="B59" s="12" t="s">
        <v>58</v>
      </c>
      <c r="C59" s="16" t="n">
        <v>955.445658</v>
      </c>
      <c r="D59" s="16" t="n">
        <v>955.445658</v>
      </c>
      <c r="E59" s="17" t="n">
        <f aca="false">IF(D59="","",C59-D59)</f>
        <v>0</v>
      </c>
      <c r="F59" s="18" t="n">
        <f aca="false">IF(OR(D59="",D59=0),"",E59/D59)</f>
        <v>0</v>
      </c>
      <c r="G59" s="16" t="n">
        <v>282.70688</v>
      </c>
      <c r="H59" s="16" t="n">
        <v>0</v>
      </c>
      <c r="I59" s="16" t="n">
        <v>282.70688</v>
      </c>
      <c r="J59" s="17" t="n">
        <f aca="false">IF(I59="","",G59-I59)</f>
        <v>0</v>
      </c>
      <c r="K59" s="18" t="n">
        <f aca="false">IF(OR(I59="",I59=0),"",J59/I59)</f>
        <v>0</v>
      </c>
      <c r="L59" s="19" t="str">
        <f aca="false">IF(OR(D59="",I59=""),"No reported total for O&amp;M or depreciation",IF(AND(ABS(F59)&lt;=$D$2,ABS(K59)&lt;=$D$2),"Reconciles within tolerance","Outside tolerance"))</f>
        <v>Reconciles within tolerance</v>
      </c>
      <c r="M59" s="17" t="n">
        <f aca="false">IF(OR(E59="",LEFT(L59,8)="Excluded"),"",ABS(E59))</f>
        <v>0</v>
      </c>
    </row>
    <row r="60" customFormat="false" ht="15" hidden="false" customHeight="false" outlineLevel="0" collapsed="false">
      <c r="A60" s="7" t="n">
        <v>2018</v>
      </c>
      <c r="B60" s="12" t="s">
        <v>58</v>
      </c>
      <c r="C60" s="16" t="n">
        <v>936.351144</v>
      </c>
      <c r="D60" s="16" t="n">
        <v>936.351144</v>
      </c>
      <c r="E60" s="17" t="n">
        <f aca="false">IF(D60="","",C60-D60)</f>
        <v>0</v>
      </c>
      <c r="F60" s="18" t="n">
        <f aca="false">IF(OR(D60="",D60=0),"",E60/D60)</f>
        <v>0</v>
      </c>
      <c r="G60" s="16" t="n">
        <v>309.322698</v>
      </c>
      <c r="H60" s="16" t="n">
        <v>0</v>
      </c>
      <c r="I60" s="16" t="n">
        <v>309.322698</v>
      </c>
      <c r="J60" s="17" t="n">
        <f aca="false">IF(I60="","",G60-I60)</f>
        <v>0</v>
      </c>
      <c r="K60" s="18" t="n">
        <f aca="false">IF(OR(I60="",I60=0),"",J60/I60)</f>
        <v>0</v>
      </c>
      <c r="L60" s="19" t="str">
        <f aca="false">IF(OR(D60="",I60=""),"No reported total for O&amp;M or depreciation",IF(AND(ABS(F60)&lt;=$D$2,ABS(K60)&lt;=$D$2),"Reconciles within tolerance","Outside tolerance"))</f>
        <v>Reconciles within tolerance</v>
      </c>
      <c r="M60" s="17" t="n">
        <f aca="false">IF(OR(E60="",LEFT(L60,8)="Excluded"),"",ABS(E60))</f>
        <v>0</v>
      </c>
    </row>
    <row r="61" customFormat="false" ht="15" hidden="false" customHeight="false" outlineLevel="0" collapsed="false">
      <c r="A61" s="7" t="n">
        <v>2019</v>
      </c>
      <c r="B61" s="12" t="s">
        <v>58</v>
      </c>
      <c r="C61" s="16" t="n">
        <v>856.64574</v>
      </c>
      <c r="D61" s="16" t="n">
        <v>856.64574</v>
      </c>
      <c r="E61" s="17" t="n">
        <f aca="false">IF(D61="","",C61-D61)</f>
        <v>0</v>
      </c>
      <c r="F61" s="18" t="n">
        <f aca="false">IF(OR(D61="",D61=0),"",E61/D61)</f>
        <v>0</v>
      </c>
      <c r="G61" s="16" t="n">
        <v>328.802784</v>
      </c>
      <c r="H61" s="16" t="n">
        <v>0</v>
      </c>
      <c r="I61" s="16" t="n">
        <v>328.802784</v>
      </c>
      <c r="J61" s="17" t="n">
        <f aca="false">IF(I61="","",G61-I61)</f>
        <v>0</v>
      </c>
      <c r="K61" s="18" t="n">
        <f aca="false">IF(OR(I61="",I61=0),"",J61/I61)</f>
        <v>0</v>
      </c>
      <c r="L61" s="19" t="str">
        <f aca="false">IF(OR(D61="",I61=""),"No reported total for O&amp;M or depreciation",IF(AND(ABS(F61)&lt;=$D$2,ABS(K61)&lt;=$D$2),"Reconciles within tolerance","Outside tolerance"))</f>
        <v>Reconciles within tolerance</v>
      </c>
      <c r="M61" s="17" t="n">
        <f aca="false">IF(OR(E61="",LEFT(L61,8)="Excluded"),"",ABS(E61))</f>
        <v>0</v>
      </c>
    </row>
    <row r="62" customFormat="false" ht="15" hidden="false" customHeight="false" outlineLevel="0" collapsed="false">
      <c r="A62" s="7" t="n">
        <v>2020</v>
      </c>
      <c r="B62" s="12" t="s">
        <v>58</v>
      </c>
      <c r="C62" s="16" t="n">
        <v>861.306214</v>
      </c>
      <c r="D62" s="16" t="n">
        <v>861.306214</v>
      </c>
      <c r="E62" s="17" t="n">
        <f aca="false">IF(D62="","",C62-D62)</f>
        <v>0</v>
      </c>
      <c r="F62" s="18" t="n">
        <f aca="false">IF(OR(D62="",D62=0),"",E62/D62)</f>
        <v>0</v>
      </c>
      <c r="G62" s="16" t="n">
        <v>356.358468</v>
      </c>
      <c r="H62" s="16" t="n">
        <v>0</v>
      </c>
      <c r="I62" s="16" t="n">
        <v>356.358468</v>
      </c>
      <c r="J62" s="17" t="n">
        <f aca="false">IF(I62="","",G62-I62)</f>
        <v>0</v>
      </c>
      <c r="K62" s="18" t="n">
        <f aca="false">IF(OR(I62="",I62=0),"",J62/I62)</f>
        <v>0</v>
      </c>
      <c r="L62" s="19" t="str">
        <f aca="false">IF(OR(D62="",I62=""),"No reported total for O&amp;M or depreciation",IF(AND(ABS(F62)&lt;=$D$2,ABS(K62)&lt;=$D$2),"Reconciles within tolerance","Outside tolerance"))</f>
        <v>Reconciles within tolerance</v>
      </c>
      <c r="M62" s="17" t="n">
        <f aca="false">IF(OR(E62="",LEFT(L62,8)="Excluded"),"",ABS(E62))</f>
        <v>0</v>
      </c>
    </row>
    <row r="63" customFormat="false" ht="15" hidden="false" customHeight="false" outlineLevel="0" collapsed="false">
      <c r="A63" s="7" t="n">
        <v>2021</v>
      </c>
      <c r="B63" s="12" t="s">
        <v>58</v>
      </c>
      <c r="C63" s="16" t="n">
        <v>903.73659</v>
      </c>
      <c r="D63" s="16" t="n">
        <v>903.73659</v>
      </c>
      <c r="E63" s="17" t="n">
        <f aca="false">IF(D63="","",C63-D63)</f>
        <v>0</v>
      </c>
      <c r="F63" s="18" t="n">
        <f aca="false">IF(OR(D63="",D63=0),"",E63/D63)</f>
        <v>0</v>
      </c>
      <c r="G63" s="16" t="n">
        <v>388.409008</v>
      </c>
      <c r="H63" s="16" t="n">
        <v>0</v>
      </c>
      <c r="I63" s="16" t="n">
        <v>388.409008</v>
      </c>
      <c r="J63" s="17" t="n">
        <f aca="false">IF(I63="","",G63-I63)</f>
        <v>0</v>
      </c>
      <c r="K63" s="18" t="n">
        <f aca="false">IF(OR(I63="",I63=0),"",J63/I63)</f>
        <v>0</v>
      </c>
      <c r="L63" s="19" t="str">
        <f aca="false">IF(OR(D63="",I63=""),"No reported total for O&amp;M or depreciation",IF(AND(ABS(F63)&lt;=$D$2,ABS(K63)&lt;=$D$2),"Reconciles within tolerance","Outside tolerance"))</f>
        <v>Reconciles within tolerance</v>
      </c>
      <c r="M63" s="17" t="n">
        <f aca="false">IF(OR(E63="",LEFT(L63,8)="Excluded"),"",ABS(E63))</f>
        <v>0</v>
      </c>
    </row>
    <row r="64" customFormat="false" ht="15" hidden="false" customHeight="false" outlineLevel="0" collapsed="false">
      <c r="A64" s="7" t="n">
        <v>2022</v>
      </c>
      <c r="B64" s="12" t="s">
        <v>58</v>
      </c>
      <c r="C64" s="16" t="n">
        <v>1412.537737</v>
      </c>
      <c r="D64" s="16" t="n">
        <v>1412.537737</v>
      </c>
      <c r="E64" s="17" t="n">
        <f aca="false">IF(D64="","",C64-D64)</f>
        <v>0</v>
      </c>
      <c r="F64" s="18" t="n">
        <f aca="false">IF(OR(D64="",D64=0),"",E64/D64)</f>
        <v>0</v>
      </c>
      <c r="G64" s="16" t="n">
        <v>424.231194</v>
      </c>
      <c r="H64" s="16" t="n">
        <v>0</v>
      </c>
      <c r="I64" s="16" t="n">
        <v>424.231194</v>
      </c>
      <c r="J64" s="17" t="n">
        <f aca="false">IF(I64="","",G64-I64)</f>
        <v>0</v>
      </c>
      <c r="K64" s="18" t="n">
        <f aca="false">IF(OR(I64="",I64=0),"",J64/I64)</f>
        <v>0</v>
      </c>
      <c r="L64" s="19" t="str">
        <f aca="false">IF(OR(D64="",I64=""),"No reported total for O&amp;M or depreciation",IF(AND(ABS(F64)&lt;=$D$2,ABS(K64)&lt;=$D$2),"Reconciles within tolerance","Outside tolerance"))</f>
        <v>Reconciles within tolerance</v>
      </c>
      <c r="M64" s="17" t="n">
        <f aca="false">IF(OR(E64="",LEFT(L64,8)="Excluded"),"",ABS(E64))</f>
        <v>0</v>
      </c>
    </row>
    <row r="65" customFormat="false" ht="15" hidden="false" customHeight="false" outlineLevel="0" collapsed="false">
      <c r="A65" s="7" t="n">
        <v>2023</v>
      </c>
      <c r="B65" s="12" t="s">
        <v>58</v>
      </c>
      <c r="C65" s="16" t="n">
        <v>1360.430584</v>
      </c>
      <c r="D65" s="16" t="n">
        <v>1360.430584</v>
      </c>
      <c r="E65" s="17" t="n">
        <f aca="false">IF(D65="","",C65-D65)</f>
        <v>0</v>
      </c>
      <c r="F65" s="18" t="n">
        <f aca="false">IF(OR(D65="",D65=0),"",E65/D65)</f>
        <v>0</v>
      </c>
      <c r="G65" s="16" t="n">
        <v>456.637781</v>
      </c>
      <c r="H65" s="16" t="n">
        <v>0</v>
      </c>
      <c r="I65" s="16" t="n">
        <v>456.637781</v>
      </c>
      <c r="J65" s="17" t="n">
        <f aca="false">IF(I65="","",G65-I65)</f>
        <v>0</v>
      </c>
      <c r="K65" s="18" t="n">
        <f aca="false">IF(OR(I65="",I65=0),"",J65/I65)</f>
        <v>0</v>
      </c>
      <c r="L65" s="19" t="str">
        <f aca="false">IF(OR(D65="",I65=""),"No reported total for O&amp;M or depreciation",IF(AND(ABS(F65)&lt;=$D$2,ABS(K65)&lt;=$D$2),"Reconciles within tolerance","Outside tolerance"))</f>
        <v>Reconciles within tolerance</v>
      </c>
      <c r="M65" s="17" t="n">
        <f aca="false">IF(OR(E65="",LEFT(L65,8)="Excluded"),"",ABS(E65))</f>
        <v>0</v>
      </c>
    </row>
    <row r="66" customFormat="false" ht="15" hidden="false" customHeight="false" outlineLevel="0" collapsed="false">
      <c r="A66" s="7" t="n">
        <v>2024</v>
      </c>
      <c r="B66" s="12" t="s">
        <v>58</v>
      </c>
      <c r="C66" s="16" t="n">
        <v>1143.95708</v>
      </c>
      <c r="D66" s="16" t="n">
        <v>1143.95708</v>
      </c>
      <c r="E66" s="17" t="n">
        <f aca="false">IF(D66="","",C66-D66)</f>
        <v>0</v>
      </c>
      <c r="F66" s="18" t="n">
        <f aca="false">IF(OR(D66="",D66=0),"",E66/D66)</f>
        <v>0</v>
      </c>
      <c r="G66" s="16" t="n">
        <v>497.954844</v>
      </c>
      <c r="H66" s="16" t="n">
        <v>0</v>
      </c>
      <c r="I66" s="16" t="n">
        <v>497.954844</v>
      </c>
      <c r="J66" s="17" t="n">
        <f aca="false">IF(I66="","",G66-I66)</f>
        <v>0</v>
      </c>
      <c r="K66" s="18" t="n">
        <f aca="false">IF(OR(I66="",I66=0),"",J66/I66)</f>
        <v>0</v>
      </c>
      <c r="L66" s="19" t="str">
        <f aca="false">IF(OR(D66="",I66=""),"No reported total for O&amp;M or depreciation",IF(AND(ABS(F66)&lt;=$D$2,ABS(K66)&lt;=$D$2),"Reconciles within tolerance","Outside tolerance"))</f>
        <v>Reconciles within tolerance</v>
      </c>
      <c r="M66" s="17" t="n">
        <f aca="false">IF(OR(E66="",LEFT(L66,8)="Excluded"),"",ABS(E66))</f>
        <v>0</v>
      </c>
    </row>
    <row r="67" customFormat="false" ht="15" hidden="false" customHeight="false" outlineLevel="0" collapsed="false">
      <c r="A67" s="7" t="n">
        <v>2025</v>
      </c>
      <c r="B67" s="12" t="s">
        <v>58</v>
      </c>
      <c r="C67" s="16" t="n">
        <v>1387.091365</v>
      </c>
      <c r="D67" s="16" t="n">
        <v>1387.091365</v>
      </c>
      <c r="E67" s="17" t="n">
        <f aca="false">IF(D67="","",C67-D67)</f>
        <v>0</v>
      </c>
      <c r="F67" s="18" t="n">
        <f aca="false">IF(OR(D67="",D67=0),"",E67/D67)</f>
        <v>0</v>
      </c>
      <c r="G67" s="16" t="n">
        <v>533.049893</v>
      </c>
      <c r="H67" s="16" t="n">
        <v>0</v>
      </c>
      <c r="I67" s="16" t="n">
        <v>533.049893</v>
      </c>
      <c r="J67" s="17" t="n">
        <f aca="false">IF(I67="","",G67-I67)</f>
        <v>0</v>
      </c>
      <c r="K67" s="18" t="n">
        <f aca="false">IF(OR(I67="",I67=0),"",J67/I67)</f>
        <v>0</v>
      </c>
      <c r="L67" s="19" t="str">
        <f aca="false">IF(OR(D67="",I67=""),"No reported total for O&amp;M or depreciation",IF(AND(ABS(F67)&lt;=$D$2,ABS(K67)&lt;=$D$2),"Reconciles within tolerance","Outside tolerance"))</f>
        <v>Reconciles within tolerance</v>
      </c>
      <c r="M67" s="17" t="n">
        <f aca="false">IF(OR(E67="",LEFT(L67,8)="Excluded"),"",ABS(E67))</f>
        <v>0</v>
      </c>
    </row>
    <row r="68" customFormat="false" ht="15" hidden="false" customHeight="false" outlineLevel="0" collapsed="false">
      <c r="A68" s="7" t="n">
        <v>1995</v>
      </c>
      <c r="B68" s="12" t="s">
        <v>60</v>
      </c>
      <c r="C68" s="16" t="n">
        <v>3336.256</v>
      </c>
      <c r="D68" s="16" t="n">
        <v>3336.256</v>
      </c>
      <c r="E68" s="17" t="n">
        <f aca="false">IF(D68="","",C68-D68)</f>
        <v>0</v>
      </c>
      <c r="F68" s="18" t="n">
        <f aca="false">IF(OR(D68="",D68=0),"",E68/D68)</f>
        <v>0</v>
      </c>
      <c r="G68" s="16" t="n">
        <v>886.763687</v>
      </c>
      <c r="H68" s="16" t="n">
        <v>0</v>
      </c>
      <c r="I68" s="16" t="n">
        <v>886.763687</v>
      </c>
      <c r="J68" s="17" t="n">
        <f aca="false">IF(I68="","",G68-I68)</f>
        <v>0</v>
      </c>
      <c r="K68" s="18" t="n">
        <f aca="false">IF(OR(I68="",I68=0),"",J68/I68)</f>
        <v>0</v>
      </c>
      <c r="L68" s="19" t="str">
        <f aca="false">IF(OR(D68="",I68=""),"No reported total for O&amp;M or depreciation",IF(AND(ABS(F68)&lt;=$D$2,ABS(K68)&lt;=$D$2),"Reconciles within tolerance","Outside tolerance"))</f>
        <v>Reconciles within tolerance</v>
      </c>
      <c r="M68" s="17" t="n">
        <f aca="false">IF(OR(E68="",LEFT(L68,8)="Excluded"),"",ABS(E68))</f>
        <v>0</v>
      </c>
    </row>
    <row r="69" customFormat="false" ht="15" hidden="false" customHeight="false" outlineLevel="0" collapsed="false">
      <c r="A69" s="7" t="n">
        <v>1996</v>
      </c>
      <c r="B69" s="12" t="s">
        <v>60</v>
      </c>
      <c r="C69" s="16" t="n">
        <v>3472.634006</v>
      </c>
      <c r="D69" s="16" t="n">
        <v>3472.634006</v>
      </c>
      <c r="E69" s="17" t="n">
        <f aca="false">IF(D69="","",C69-D69)</f>
        <v>0</v>
      </c>
      <c r="F69" s="18" t="n">
        <f aca="false">IF(OR(D69="",D69=0),"",E69/D69)</f>
        <v>0</v>
      </c>
      <c r="G69" s="16" t="n">
        <v>940.346003</v>
      </c>
      <c r="H69" s="16" t="n">
        <v>0</v>
      </c>
      <c r="I69" s="16" t="n">
        <v>940.346003</v>
      </c>
      <c r="J69" s="17" t="n">
        <f aca="false">IF(I69="","",G69-I69)</f>
        <v>0</v>
      </c>
      <c r="K69" s="18" t="n">
        <f aca="false">IF(OR(I69="",I69=0),"",J69/I69)</f>
        <v>0</v>
      </c>
      <c r="L69" s="19" t="str">
        <f aca="false">IF(OR(D69="",I69=""),"No reported total for O&amp;M or depreciation",IF(AND(ABS(F69)&lt;=$D$2,ABS(K69)&lt;=$D$2),"Reconciles within tolerance","Outside tolerance"))</f>
        <v>Reconciles within tolerance</v>
      </c>
      <c r="M69" s="17" t="n">
        <f aca="false">IF(OR(E69="",LEFT(L69,8)="Excluded"),"",ABS(E69))</f>
        <v>0</v>
      </c>
    </row>
    <row r="70" customFormat="false" ht="15" hidden="false" customHeight="false" outlineLevel="0" collapsed="false">
      <c r="A70" s="7" t="n">
        <v>1998</v>
      </c>
      <c r="B70" s="12" t="s">
        <v>60</v>
      </c>
      <c r="C70" s="16" t="n">
        <v>4142.037695</v>
      </c>
      <c r="D70" s="16" t="n">
        <v>4142.037695</v>
      </c>
      <c r="E70" s="17" t="n">
        <f aca="false">IF(D70="","",C70-D70)</f>
        <v>0</v>
      </c>
      <c r="F70" s="18" t="n">
        <f aca="false">IF(OR(D70="",D70=0),"",E70/D70)</f>
        <v>0</v>
      </c>
      <c r="G70" s="16" t="n">
        <v>872.637973</v>
      </c>
      <c r="H70" s="16" t="n">
        <v>0</v>
      </c>
      <c r="I70" s="16" t="n">
        <v>872.637973</v>
      </c>
      <c r="J70" s="17" t="n">
        <f aca="false">IF(I70="","",G70-I70)</f>
        <v>0</v>
      </c>
      <c r="K70" s="18" t="n">
        <f aca="false">IF(OR(I70="",I70=0),"",J70/I70)</f>
        <v>0</v>
      </c>
      <c r="L70" s="19" t="str">
        <f aca="false">IF(OR(D70="",I70=""),"No reported total for O&amp;M or depreciation",IF(AND(ABS(F70)&lt;=$D$2,ABS(K70)&lt;=$D$2),"Reconciles within tolerance","Outside tolerance"))</f>
        <v>Reconciles within tolerance</v>
      </c>
      <c r="M70" s="17" t="n">
        <f aca="false">IF(OR(E70="",LEFT(L70,8)="Excluded"),"",ABS(E70))</f>
        <v>0</v>
      </c>
    </row>
    <row r="71" customFormat="false" ht="15" hidden="false" customHeight="false" outlineLevel="0" collapsed="false">
      <c r="A71" s="7" t="n">
        <v>1999</v>
      </c>
      <c r="B71" s="12" t="s">
        <v>60</v>
      </c>
      <c r="C71" s="16" t="n">
        <v>3864.924853</v>
      </c>
      <c r="D71" s="16" t="n">
        <v>3864.924853</v>
      </c>
      <c r="E71" s="17" t="n">
        <f aca="false">IF(D71="","",C71-D71)</f>
        <v>0</v>
      </c>
      <c r="F71" s="18" t="n">
        <f aca="false">IF(OR(D71="",D71=0),"",E71/D71)</f>
        <v>0</v>
      </c>
      <c r="G71" s="16" t="n">
        <v>790.333758</v>
      </c>
      <c r="H71" s="16" t="n">
        <v>0</v>
      </c>
      <c r="I71" s="16" t="n">
        <v>790.333758</v>
      </c>
      <c r="J71" s="17" t="n">
        <f aca="false">IF(I71="","",G71-I71)</f>
        <v>0</v>
      </c>
      <c r="K71" s="18" t="n">
        <f aca="false">IF(OR(I71="",I71=0),"",J71/I71)</f>
        <v>0</v>
      </c>
      <c r="L71" s="19" t="str">
        <f aca="false">IF(OR(D71="",I71=""),"No reported total for O&amp;M or depreciation",IF(AND(ABS(F71)&lt;=$D$2,ABS(K71)&lt;=$D$2),"Reconciles within tolerance","Outside tolerance"))</f>
        <v>Reconciles within tolerance</v>
      </c>
      <c r="M71" s="17" t="n">
        <f aca="false">IF(OR(E71="",LEFT(L71,8)="Excluded"),"",ABS(E71))</f>
        <v>0</v>
      </c>
    </row>
    <row r="72" customFormat="false" ht="15" hidden="false" customHeight="false" outlineLevel="0" collapsed="false">
      <c r="A72" s="7" t="n">
        <v>2000</v>
      </c>
      <c r="B72" s="12" t="s">
        <v>60</v>
      </c>
      <c r="C72" s="16" t="n">
        <v>4061.6062</v>
      </c>
      <c r="D72" s="16" t="n">
        <v>4061.6062</v>
      </c>
      <c r="E72" s="17" t="n">
        <f aca="false">IF(D72="","",C72-D72)</f>
        <v>0</v>
      </c>
      <c r="F72" s="18" t="n">
        <f aca="false">IF(OR(D72="",D72=0),"",E72/D72)</f>
        <v>0</v>
      </c>
      <c r="G72" s="16" t="n">
        <v>745.972208</v>
      </c>
      <c r="H72" s="16" t="n">
        <v>0</v>
      </c>
      <c r="I72" s="16" t="n">
        <v>745.972208</v>
      </c>
      <c r="J72" s="17" t="n">
        <f aca="false">IF(I72="","",G72-I72)</f>
        <v>0</v>
      </c>
      <c r="K72" s="18" t="n">
        <f aca="false">IF(OR(I72="",I72=0),"",J72/I72)</f>
        <v>0</v>
      </c>
      <c r="L72" s="19" t="str">
        <f aca="false">IF(OR(D72="",I72=""),"No reported total for O&amp;M or depreciation",IF(AND(ABS(F72)&lt;=$D$2,ABS(K72)&lt;=$D$2),"Reconciles within tolerance","Outside tolerance"))</f>
        <v>Reconciles within tolerance</v>
      </c>
      <c r="M72" s="17" t="n">
        <f aca="false">IF(OR(E72="",LEFT(L72,8)="Excluded"),"",ABS(E72))</f>
        <v>0</v>
      </c>
    </row>
    <row r="73" customFormat="false" ht="15" hidden="false" customHeight="false" outlineLevel="0" collapsed="false">
      <c r="A73" s="7" t="n">
        <v>2001</v>
      </c>
      <c r="B73" s="12" t="s">
        <v>60</v>
      </c>
      <c r="C73" s="16" t="n">
        <v>3606.095674</v>
      </c>
      <c r="D73" s="16" t="n">
        <v>3606.095674</v>
      </c>
      <c r="E73" s="17" t="n">
        <f aca="false">IF(D73="","",C73-D73)</f>
        <v>0</v>
      </c>
      <c r="F73" s="18" t="n">
        <f aca="false">IF(OR(D73="",D73=0),"",E73/D73)</f>
        <v>0</v>
      </c>
      <c r="G73" s="16" t="n">
        <v>370.488728</v>
      </c>
      <c r="H73" s="16" t="n">
        <v>0</v>
      </c>
      <c r="I73" s="16" t="n">
        <v>370.488728</v>
      </c>
      <c r="J73" s="17" t="n">
        <f aca="false">IF(I73="","",G73-I73)</f>
        <v>0</v>
      </c>
      <c r="K73" s="18" t="n">
        <f aca="false">IF(OR(I73="",I73=0),"",J73/I73)</f>
        <v>0</v>
      </c>
      <c r="L73" s="19" t="str">
        <f aca="false">IF(OR(D73="",I73=""),"No reported total for O&amp;M or depreciation",IF(AND(ABS(F73)&lt;=$D$2,ABS(K73)&lt;=$D$2),"Reconciles within tolerance","Outside tolerance"))</f>
        <v>Reconciles within tolerance</v>
      </c>
      <c r="M73" s="17" t="n">
        <f aca="false">IF(OR(E73="",LEFT(L73,8)="Excluded"),"",ABS(E73))</f>
        <v>0</v>
      </c>
    </row>
    <row r="74" customFormat="false" ht="15" hidden="false" customHeight="false" outlineLevel="0" collapsed="false">
      <c r="A74" s="7" t="n">
        <v>2002</v>
      </c>
      <c r="B74" s="12" t="s">
        <v>60</v>
      </c>
      <c r="C74" s="16" t="n">
        <v>3511.402606</v>
      </c>
      <c r="D74" s="16" t="n">
        <v>3511.402606</v>
      </c>
      <c r="E74" s="17" t="n">
        <f aca="false">IF(D74="","",C74-D74)</f>
        <v>0</v>
      </c>
      <c r="F74" s="18" t="n">
        <f aca="false">IF(OR(D74="",D74=0),"",E74/D74)</f>
        <v>0</v>
      </c>
      <c r="G74" s="16" t="n">
        <v>359.167083</v>
      </c>
      <c r="H74" s="16" t="n">
        <v>0</v>
      </c>
      <c r="I74" s="16" t="n">
        <v>359.167083</v>
      </c>
      <c r="J74" s="17" t="n">
        <f aca="false">IF(I74="","",G74-I74)</f>
        <v>0</v>
      </c>
      <c r="K74" s="18" t="n">
        <f aca="false">IF(OR(I74="",I74=0),"",J74/I74)</f>
        <v>0</v>
      </c>
      <c r="L74" s="19" t="str">
        <f aca="false">IF(OR(D74="",I74=""),"No reported total for O&amp;M or depreciation",IF(AND(ABS(F74)&lt;=$D$2,ABS(K74)&lt;=$D$2),"Reconciles within tolerance","Outside tolerance"))</f>
        <v>Reconciles within tolerance</v>
      </c>
      <c r="M74" s="17" t="n">
        <f aca="false">IF(OR(E74="",LEFT(L74,8)="Excluded"),"",ABS(E74))</f>
        <v>0</v>
      </c>
    </row>
    <row r="75" customFormat="false" ht="15" hidden="false" customHeight="false" outlineLevel="0" collapsed="false">
      <c r="A75" s="7" t="n">
        <v>2003</v>
      </c>
      <c r="B75" s="12" t="s">
        <v>60</v>
      </c>
      <c r="C75" s="16" t="n">
        <v>3540.704756</v>
      </c>
      <c r="D75" s="16" t="n">
        <v>3540.704756</v>
      </c>
      <c r="E75" s="17" t="n">
        <f aca="false">IF(D75="","",C75-D75)</f>
        <v>0</v>
      </c>
      <c r="F75" s="18" t="n">
        <f aca="false">IF(OR(D75="",D75=0),"",E75/D75)</f>
        <v>0</v>
      </c>
      <c r="G75" s="16" t="n">
        <v>342.335137</v>
      </c>
      <c r="H75" s="16" t="n">
        <v>0</v>
      </c>
      <c r="I75" s="16" t="n">
        <v>342.335137</v>
      </c>
      <c r="J75" s="17" t="n">
        <f aca="false">IF(I75="","",G75-I75)</f>
        <v>0</v>
      </c>
      <c r="K75" s="18" t="n">
        <f aca="false">IF(OR(I75="",I75=0),"",J75/I75)</f>
        <v>0</v>
      </c>
      <c r="L75" s="19" t="str">
        <f aca="false">IF(OR(D75="",I75=""),"No reported total for O&amp;M or depreciation",IF(AND(ABS(F75)&lt;=$D$2,ABS(K75)&lt;=$D$2),"Reconciles within tolerance","Outside tolerance"))</f>
        <v>Reconciles within tolerance</v>
      </c>
      <c r="M75" s="17" t="n">
        <f aca="false">IF(OR(E75="",LEFT(L75,8)="Excluded"),"",ABS(E75))</f>
        <v>0</v>
      </c>
    </row>
    <row r="76" customFormat="false" ht="15" hidden="false" customHeight="false" outlineLevel="0" collapsed="false">
      <c r="A76" s="7" t="n">
        <v>2004</v>
      </c>
      <c r="B76" s="12" t="s">
        <v>60</v>
      </c>
      <c r="C76" s="16" t="n">
        <v>3454.482407</v>
      </c>
      <c r="D76" s="16" t="n">
        <v>3454.482407</v>
      </c>
      <c r="E76" s="17" t="n">
        <f aca="false">IF(D76="","",C76-D76)</f>
        <v>0</v>
      </c>
      <c r="F76" s="18" t="n">
        <f aca="false">IF(OR(D76="",D76=0),"",E76/D76)</f>
        <v>0</v>
      </c>
      <c r="G76" s="16" t="n">
        <v>366.56419</v>
      </c>
      <c r="H76" s="16" t="n">
        <v>0</v>
      </c>
      <c r="I76" s="16" t="n">
        <v>366.56419</v>
      </c>
      <c r="J76" s="17" t="n">
        <f aca="false">IF(I76="","",G76-I76)</f>
        <v>0</v>
      </c>
      <c r="K76" s="18" t="n">
        <f aca="false">IF(OR(I76="",I76=0),"",J76/I76)</f>
        <v>0</v>
      </c>
      <c r="L76" s="19" t="str">
        <f aca="false">IF(OR(D76="",I76=""),"No reported total for O&amp;M or depreciation",IF(AND(ABS(F76)&lt;=$D$2,ABS(K76)&lt;=$D$2),"Reconciles within tolerance","Outside tolerance"))</f>
        <v>Reconciles within tolerance</v>
      </c>
      <c r="M76" s="17" t="n">
        <f aca="false">IF(OR(E76="",LEFT(L76,8)="Excluded"),"",ABS(E76))</f>
        <v>0</v>
      </c>
    </row>
    <row r="77" customFormat="false" ht="15" hidden="false" customHeight="false" outlineLevel="0" collapsed="false">
      <c r="A77" s="7" t="n">
        <v>2005</v>
      </c>
      <c r="B77" s="12" t="s">
        <v>60</v>
      </c>
      <c r="C77" s="16" t="n">
        <v>4330.322065</v>
      </c>
      <c r="D77" s="16" t="n">
        <v>4330.322065</v>
      </c>
      <c r="E77" s="17" t="n">
        <f aca="false">IF(D77="","",C77-D77)</f>
        <v>0</v>
      </c>
      <c r="F77" s="18" t="n">
        <f aca="false">IF(OR(D77="",D77=0),"",E77/D77)</f>
        <v>0</v>
      </c>
      <c r="G77" s="16" t="n">
        <v>368.55337</v>
      </c>
      <c r="H77" s="16" t="n">
        <v>0</v>
      </c>
      <c r="I77" s="16" t="n">
        <v>368.55337</v>
      </c>
      <c r="J77" s="17" t="n">
        <f aca="false">IF(I77="","",G77-I77)</f>
        <v>0</v>
      </c>
      <c r="K77" s="18" t="n">
        <f aca="false">IF(OR(I77="",I77=0),"",J77/I77)</f>
        <v>0</v>
      </c>
      <c r="L77" s="19" t="str">
        <f aca="false">IF(OR(D77="",I77=""),"No reported total for O&amp;M or depreciation",IF(AND(ABS(F77)&lt;=$D$2,ABS(K77)&lt;=$D$2),"Reconciles within tolerance","Outside tolerance"))</f>
        <v>Reconciles within tolerance</v>
      </c>
      <c r="M77" s="17" t="n">
        <f aca="false">IF(OR(E77="",LEFT(L77,8)="Excluded"),"",ABS(E77))</f>
        <v>0</v>
      </c>
    </row>
    <row r="78" customFormat="false" ht="15" hidden="false" customHeight="false" outlineLevel="0" collapsed="false">
      <c r="A78" s="7" t="n">
        <v>2006</v>
      </c>
      <c r="B78" s="12" t="s">
        <v>60</v>
      </c>
      <c r="C78" s="16" t="n">
        <v>4088.748573</v>
      </c>
      <c r="D78" s="16" t="n">
        <v>4088.748573</v>
      </c>
      <c r="E78" s="17" t="n">
        <f aca="false">IF(D78="","",C78-D78)</f>
        <v>0</v>
      </c>
      <c r="F78" s="18" t="n">
        <f aca="false">IF(OR(D78="",D78=0),"",E78/D78)</f>
        <v>0</v>
      </c>
      <c r="G78" s="16" t="n">
        <v>379.906645</v>
      </c>
      <c r="H78" s="16" t="n">
        <v>0</v>
      </c>
      <c r="I78" s="16" t="n">
        <v>379.906645</v>
      </c>
      <c r="J78" s="17" t="n">
        <f aca="false">IF(I78="","",G78-I78)</f>
        <v>0</v>
      </c>
      <c r="K78" s="18" t="n">
        <f aca="false">IF(OR(I78="",I78=0),"",J78/I78)</f>
        <v>0</v>
      </c>
      <c r="L78" s="19" t="str">
        <f aca="false">IF(OR(D78="",I78=""),"No reported total for O&amp;M or depreciation",IF(AND(ABS(F78)&lt;=$D$2,ABS(K78)&lt;=$D$2),"Reconciles within tolerance","Outside tolerance"))</f>
        <v>Reconciles within tolerance</v>
      </c>
      <c r="M78" s="17" t="n">
        <f aca="false">IF(OR(E78="",LEFT(L78,8)="Excluded"),"",ABS(E78))</f>
        <v>0</v>
      </c>
    </row>
    <row r="79" customFormat="false" ht="15" hidden="false" customHeight="false" outlineLevel="0" collapsed="false">
      <c r="A79" s="7" t="n">
        <v>2007</v>
      </c>
      <c r="B79" s="12" t="s">
        <v>60</v>
      </c>
      <c r="C79" s="16" t="n">
        <v>4845.629224</v>
      </c>
      <c r="D79" s="16" t="n">
        <v>4845.629224</v>
      </c>
      <c r="E79" s="17" t="n">
        <f aca="false">IF(D79="","",C79-D79)</f>
        <v>0</v>
      </c>
      <c r="F79" s="18" t="n">
        <f aca="false">IF(OR(D79="",D79=0),"",E79/D79)</f>
        <v>0</v>
      </c>
      <c r="G79" s="16" t="n">
        <v>400.116437</v>
      </c>
      <c r="H79" s="16" t="n">
        <v>0</v>
      </c>
      <c r="I79" s="16" t="n">
        <v>400.116437</v>
      </c>
      <c r="J79" s="17" t="n">
        <f aca="false">IF(I79="","",G79-I79)</f>
        <v>0</v>
      </c>
      <c r="K79" s="18" t="n">
        <f aca="false">IF(OR(I79="",I79=0),"",J79/I79)</f>
        <v>0</v>
      </c>
      <c r="L79" s="19" t="str">
        <f aca="false">IF(OR(D79="",I79=""),"No reported total for O&amp;M or depreciation",IF(AND(ABS(F79)&lt;=$D$2,ABS(K79)&lt;=$D$2),"Reconciles within tolerance","Outside tolerance"))</f>
        <v>Reconciles within tolerance</v>
      </c>
      <c r="M79" s="17" t="n">
        <f aca="false">IF(OR(E79="",LEFT(L79,8)="Excluded"),"",ABS(E79))</f>
        <v>0</v>
      </c>
    </row>
    <row r="80" customFormat="false" ht="15" hidden="false" customHeight="false" outlineLevel="0" collapsed="false">
      <c r="A80" s="7" t="n">
        <v>2008</v>
      </c>
      <c r="B80" s="12" t="s">
        <v>60</v>
      </c>
      <c r="C80" s="16" t="n">
        <v>4662.634223</v>
      </c>
      <c r="D80" s="16" t="n">
        <v>4662.634223</v>
      </c>
      <c r="E80" s="17" t="n">
        <f aca="false">IF(D80="","",C80-D80)</f>
        <v>0</v>
      </c>
      <c r="F80" s="18" t="n">
        <f aca="false">IF(OR(D80="",D80=0),"",E80/D80)</f>
        <v>0</v>
      </c>
      <c r="G80" s="16" t="n">
        <v>423.956678</v>
      </c>
      <c r="H80" s="16" t="n">
        <v>0</v>
      </c>
      <c r="I80" s="16" t="n">
        <v>423.956678</v>
      </c>
      <c r="J80" s="17" t="n">
        <f aca="false">IF(I80="","",G80-I80)</f>
        <v>0</v>
      </c>
      <c r="K80" s="18" t="n">
        <f aca="false">IF(OR(I80="",I80=0),"",J80/I80)</f>
        <v>0</v>
      </c>
      <c r="L80" s="19" t="str">
        <f aca="false">IF(OR(D80="",I80=""),"No reported total for O&amp;M or depreciation",IF(AND(ABS(F80)&lt;=$D$2,ABS(K80)&lt;=$D$2),"Reconciles within tolerance","Outside tolerance"))</f>
        <v>Reconciles within tolerance</v>
      </c>
      <c r="M80" s="17" t="n">
        <f aca="false">IF(OR(E80="",LEFT(L80,8)="Excluded"),"",ABS(E80))</f>
        <v>0</v>
      </c>
    </row>
    <row r="81" customFormat="false" ht="15" hidden="false" customHeight="false" outlineLevel="0" collapsed="false">
      <c r="A81" s="7" t="n">
        <v>2009</v>
      </c>
      <c r="B81" s="12" t="s">
        <v>60</v>
      </c>
      <c r="C81" s="16" t="n">
        <v>4173.068358</v>
      </c>
      <c r="D81" s="16" t="n">
        <v>4173.068358</v>
      </c>
      <c r="E81" s="17" t="n">
        <f aca="false">IF(D81="","",C81-D81)</f>
        <v>0</v>
      </c>
      <c r="F81" s="18" t="n">
        <f aca="false">IF(OR(D81="",D81=0),"",E81/D81)</f>
        <v>0</v>
      </c>
      <c r="G81" s="16" t="n">
        <v>446.647097</v>
      </c>
      <c r="H81" s="16" t="n">
        <v>0</v>
      </c>
      <c r="I81" s="16" t="n">
        <v>446.647097</v>
      </c>
      <c r="J81" s="17" t="n">
        <f aca="false">IF(I81="","",G81-I81)</f>
        <v>0</v>
      </c>
      <c r="K81" s="18" t="n">
        <f aca="false">IF(OR(I81="",I81=0),"",J81/I81)</f>
        <v>0</v>
      </c>
      <c r="L81" s="19" t="str">
        <f aca="false">IF(OR(D81="",I81=""),"No reported total for O&amp;M or depreciation",IF(AND(ABS(F81)&lt;=$D$2,ABS(K81)&lt;=$D$2),"Reconciles within tolerance","Outside tolerance"))</f>
        <v>Reconciles within tolerance</v>
      </c>
      <c r="M81" s="17" t="n">
        <f aca="false">IF(OR(E81="",LEFT(L81,8)="Excluded"),"",ABS(E81))</f>
        <v>0</v>
      </c>
    </row>
    <row r="82" customFormat="false" ht="15" hidden="false" customHeight="false" outlineLevel="0" collapsed="false">
      <c r="A82" s="7" t="n">
        <v>2010</v>
      </c>
      <c r="B82" s="12" t="s">
        <v>60</v>
      </c>
      <c r="C82" s="16" t="n">
        <v>4416.194728</v>
      </c>
      <c r="D82" s="16" t="n">
        <v>4416.194728</v>
      </c>
      <c r="E82" s="17" t="n">
        <f aca="false">IF(D82="","",C82-D82)</f>
        <v>0</v>
      </c>
      <c r="F82" s="18" t="n">
        <f aca="false">IF(OR(D82="",D82=0),"",E82/D82)</f>
        <v>0</v>
      </c>
      <c r="G82" s="16" t="n">
        <v>473.496032</v>
      </c>
      <c r="H82" s="16" t="n">
        <v>0</v>
      </c>
      <c r="I82" s="16" t="n">
        <v>473.496032</v>
      </c>
      <c r="J82" s="17" t="n">
        <f aca="false">IF(I82="","",G82-I82)</f>
        <v>0</v>
      </c>
      <c r="K82" s="18" t="n">
        <f aca="false">IF(OR(I82="",I82=0),"",J82/I82)</f>
        <v>0</v>
      </c>
      <c r="L82" s="19" t="str">
        <f aca="false">IF(OR(D82="",I82=""),"No reported total for O&amp;M or depreciation",IF(AND(ABS(F82)&lt;=$D$2,ABS(K82)&lt;=$D$2),"Reconciles within tolerance","Outside tolerance"))</f>
        <v>Reconciles within tolerance</v>
      </c>
      <c r="M82" s="17" t="n">
        <f aca="false">IF(OR(E82="",LEFT(L82,8)="Excluded"),"",ABS(E82))</f>
        <v>0</v>
      </c>
    </row>
    <row r="83" customFormat="false" ht="15" hidden="false" customHeight="false" outlineLevel="0" collapsed="false">
      <c r="A83" s="7" t="n">
        <v>2011</v>
      </c>
      <c r="B83" s="12" t="s">
        <v>60</v>
      </c>
      <c r="C83" s="16" t="n">
        <v>4345.074908</v>
      </c>
      <c r="D83" s="16" t="n">
        <v>4345.074908</v>
      </c>
      <c r="E83" s="17" t="n">
        <f aca="false">IF(D83="","",C83-D83)</f>
        <v>0</v>
      </c>
      <c r="F83" s="18" t="n">
        <f aca="false">IF(OR(D83="",D83=0),"",E83/D83)</f>
        <v>0</v>
      </c>
      <c r="G83" s="16" t="n">
        <v>502.86715</v>
      </c>
      <c r="H83" s="16" t="n">
        <v>0</v>
      </c>
      <c r="I83" s="16" t="n">
        <v>502.86715</v>
      </c>
      <c r="J83" s="17" t="n">
        <f aca="false">IF(I83="","",G83-I83)</f>
        <v>0</v>
      </c>
      <c r="K83" s="18" t="n">
        <f aca="false">IF(OR(I83="",I83=0),"",J83/I83)</f>
        <v>0</v>
      </c>
      <c r="L83" s="19" t="str">
        <f aca="false">IF(OR(D83="",I83=""),"No reported total for O&amp;M or depreciation",IF(AND(ABS(F83)&lt;=$D$2,ABS(K83)&lt;=$D$2),"Reconciles within tolerance","Outside tolerance"))</f>
        <v>Reconciles within tolerance</v>
      </c>
      <c r="M83" s="17" t="n">
        <f aca="false">IF(OR(E83="",LEFT(L83,8)="Excluded"),"",ABS(E83))</f>
        <v>0</v>
      </c>
    </row>
    <row r="84" customFormat="false" ht="15" hidden="false" customHeight="false" outlineLevel="0" collapsed="false">
      <c r="A84" s="7" t="n">
        <v>2012</v>
      </c>
      <c r="B84" s="12" t="s">
        <v>60</v>
      </c>
      <c r="C84" s="16" t="n">
        <v>3757.750648</v>
      </c>
      <c r="D84" s="16" t="n">
        <v>3757.750648</v>
      </c>
      <c r="E84" s="17" t="n">
        <f aca="false">IF(D84="","",C84-D84)</f>
        <v>0</v>
      </c>
      <c r="F84" s="18" t="n">
        <f aca="false">IF(OR(D84="",D84=0),"",E84/D84)</f>
        <v>0</v>
      </c>
      <c r="G84" s="16" t="n">
        <v>531.396793</v>
      </c>
      <c r="H84" s="16" t="n">
        <v>0</v>
      </c>
      <c r="I84" s="16" t="n">
        <v>531.396793</v>
      </c>
      <c r="J84" s="17" t="n">
        <f aca="false">IF(I84="","",G84-I84)</f>
        <v>0</v>
      </c>
      <c r="K84" s="18" t="n">
        <f aca="false">IF(OR(I84="",I84=0),"",J84/I84)</f>
        <v>0</v>
      </c>
      <c r="L84" s="19" t="str">
        <f aca="false">IF(OR(D84="",I84=""),"No reported total for O&amp;M or depreciation",IF(AND(ABS(F84)&lt;=$D$2,ABS(K84)&lt;=$D$2),"Reconciles within tolerance","Outside tolerance"))</f>
        <v>Reconciles within tolerance</v>
      </c>
      <c r="M84" s="17" t="n">
        <f aca="false">IF(OR(E84="",LEFT(L84,8)="Excluded"),"",ABS(E84))</f>
        <v>0</v>
      </c>
    </row>
    <row r="85" customFormat="false" ht="15" hidden="false" customHeight="false" outlineLevel="0" collapsed="false">
      <c r="A85" s="7" t="n">
        <v>2013</v>
      </c>
      <c r="B85" s="12" t="s">
        <v>60</v>
      </c>
      <c r="C85" s="16" t="n">
        <v>2718.796144</v>
      </c>
      <c r="D85" s="16" t="n">
        <v>2718.796144</v>
      </c>
      <c r="E85" s="17" t="n">
        <f aca="false">IF(D85="","",C85-D85)</f>
        <v>0</v>
      </c>
      <c r="F85" s="18" t="n">
        <f aca="false">IF(OR(D85="",D85=0),"",E85/D85)</f>
        <v>0</v>
      </c>
      <c r="G85" s="16" t="n">
        <v>549.256516</v>
      </c>
      <c r="H85" s="16" t="n">
        <v>0</v>
      </c>
      <c r="I85" s="16" t="n">
        <v>549.256516</v>
      </c>
      <c r="J85" s="17" t="n">
        <f aca="false">IF(I85="","",G85-I85)</f>
        <v>0</v>
      </c>
      <c r="K85" s="18" t="n">
        <f aca="false">IF(OR(I85="",I85=0),"",J85/I85)</f>
        <v>0</v>
      </c>
      <c r="L85" s="19" t="str">
        <f aca="false">IF(OR(D85="",I85=""),"No reported total for O&amp;M or depreciation",IF(AND(ABS(F85)&lt;=$D$2,ABS(K85)&lt;=$D$2),"Reconciles within tolerance","Outside tolerance"))</f>
        <v>Reconciles within tolerance</v>
      </c>
      <c r="M85" s="17" t="n">
        <f aca="false">IF(OR(E85="",LEFT(L85,8)="Excluded"),"",ABS(E85))</f>
        <v>0</v>
      </c>
    </row>
    <row r="86" customFormat="false" ht="15" hidden="false" customHeight="false" outlineLevel="0" collapsed="false">
      <c r="A86" s="7" t="n">
        <v>2014</v>
      </c>
      <c r="B86" s="12" t="s">
        <v>60</v>
      </c>
      <c r="C86" s="16" t="n">
        <v>2741.963344</v>
      </c>
      <c r="D86" s="16" t="n">
        <v>2741.963344</v>
      </c>
      <c r="E86" s="17" t="n">
        <f aca="false">IF(D86="","",C86-D86)</f>
        <v>0</v>
      </c>
      <c r="F86" s="18" t="n">
        <f aca="false">IF(OR(D86="",D86=0),"",E86/D86)</f>
        <v>0</v>
      </c>
      <c r="G86" s="16" t="n">
        <v>587.087183</v>
      </c>
      <c r="H86" s="16" t="n">
        <v>0</v>
      </c>
      <c r="I86" s="16" t="n">
        <v>587.087183</v>
      </c>
      <c r="J86" s="17" t="n">
        <f aca="false">IF(I86="","",G86-I86)</f>
        <v>0</v>
      </c>
      <c r="K86" s="18" t="n">
        <f aca="false">IF(OR(I86="",I86=0),"",J86/I86)</f>
        <v>0</v>
      </c>
      <c r="L86" s="19" t="str">
        <f aca="false">IF(OR(D86="",I86=""),"No reported total for O&amp;M or depreciation",IF(AND(ABS(F86)&lt;=$D$2,ABS(K86)&lt;=$D$2),"Reconciles within tolerance","Outside tolerance"))</f>
        <v>Reconciles within tolerance</v>
      </c>
      <c r="M86" s="17" t="n">
        <f aca="false">IF(OR(E86="",LEFT(L86,8)="Excluded"),"",ABS(E86))</f>
        <v>0</v>
      </c>
    </row>
    <row r="87" customFormat="false" ht="15" hidden="false" customHeight="false" outlineLevel="0" collapsed="false">
      <c r="A87" s="7" t="n">
        <v>2015</v>
      </c>
      <c r="B87" s="12" t="s">
        <v>60</v>
      </c>
      <c r="C87" s="16" t="n">
        <v>2868.791552</v>
      </c>
      <c r="D87" s="16" t="n">
        <v>2868.791552</v>
      </c>
      <c r="E87" s="17" t="n">
        <f aca="false">IF(D87="","",C87-D87)</f>
        <v>0</v>
      </c>
      <c r="F87" s="18" t="n">
        <f aca="false">IF(OR(D87="",D87=0),"",E87/D87)</f>
        <v>0</v>
      </c>
      <c r="G87" s="16" t="n">
        <v>633.522469</v>
      </c>
      <c r="H87" s="16" t="n">
        <v>0</v>
      </c>
      <c r="I87" s="16" t="n">
        <v>633.522469</v>
      </c>
      <c r="J87" s="17" t="n">
        <f aca="false">IF(I87="","",G87-I87)</f>
        <v>0</v>
      </c>
      <c r="K87" s="18" t="n">
        <f aca="false">IF(OR(I87="",I87=0),"",J87/I87)</f>
        <v>0</v>
      </c>
      <c r="L87" s="19" t="str">
        <f aca="false">IF(OR(D87="",I87=""),"No reported total for O&amp;M or depreciation",IF(AND(ABS(F87)&lt;=$D$2,ABS(K87)&lt;=$D$2),"Reconciles within tolerance","Outside tolerance"))</f>
        <v>Reconciles within tolerance</v>
      </c>
      <c r="M87" s="17" t="n">
        <f aca="false">IF(OR(E87="",LEFT(L87,8)="Excluded"),"",ABS(E87))</f>
        <v>0</v>
      </c>
    </row>
    <row r="88" customFormat="false" ht="15" hidden="false" customHeight="false" outlineLevel="0" collapsed="false">
      <c r="A88" s="7" t="n">
        <v>2016</v>
      </c>
      <c r="B88" s="12" t="s">
        <v>60</v>
      </c>
      <c r="C88" s="16" t="n">
        <v>3021.178645</v>
      </c>
      <c r="D88" s="16" t="n">
        <v>3021.178645</v>
      </c>
      <c r="E88" s="17" t="n">
        <f aca="false">IF(D88="","",C88-D88)</f>
        <v>0</v>
      </c>
      <c r="F88" s="18" t="n">
        <f aca="false">IF(OR(D88="",D88=0),"",E88/D88)</f>
        <v>0</v>
      </c>
      <c r="G88" s="16" t="n">
        <v>707.282233</v>
      </c>
      <c r="H88" s="16" t="n">
        <v>0</v>
      </c>
      <c r="I88" s="16" t="n">
        <v>707.282233</v>
      </c>
      <c r="J88" s="17" t="n">
        <f aca="false">IF(I88="","",G88-I88)</f>
        <v>0</v>
      </c>
      <c r="K88" s="18" t="n">
        <f aca="false">IF(OR(I88="",I88=0),"",J88/I88)</f>
        <v>0</v>
      </c>
      <c r="L88" s="19" t="str">
        <f aca="false">IF(OR(D88="",I88=""),"No reported total for O&amp;M or depreciation",IF(AND(ABS(F88)&lt;=$D$2,ABS(K88)&lt;=$D$2),"Reconciles within tolerance","Outside tolerance"))</f>
        <v>Reconciles within tolerance</v>
      </c>
      <c r="M88" s="17" t="n">
        <f aca="false">IF(OR(E88="",LEFT(L88,8)="Excluded"),"",ABS(E88))</f>
        <v>0</v>
      </c>
    </row>
    <row r="89" customFormat="false" ht="15" hidden="false" customHeight="false" outlineLevel="0" collapsed="false">
      <c r="A89" s="7" t="n">
        <v>2017</v>
      </c>
      <c r="B89" s="12" t="s">
        <v>60</v>
      </c>
      <c r="C89" s="16" t="n">
        <v>3082.522599</v>
      </c>
      <c r="D89" s="16" t="n">
        <v>3082.522599</v>
      </c>
      <c r="E89" s="17" t="n">
        <f aca="false">IF(D89="","",C89-D89)</f>
        <v>0</v>
      </c>
      <c r="F89" s="18" t="n">
        <f aca="false">IF(OR(D89="",D89=0),"",E89/D89)</f>
        <v>0</v>
      </c>
      <c r="G89" s="16" t="n">
        <v>775.572533</v>
      </c>
      <c r="H89" s="16" t="n">
        <v>0</v>
      </c>
      <c r="I89" s="16" t="n">
        <v>775.572533</v>
      </c>
      <c r="J89" s="17" t="n">
        <f aca="false">IF(I89="","",G89-I89)</f>
        <v>0</v>
      </c>
      <c r="K89" s="18" t="n">
        <f aca="false">IF(OR(I89="",I89=0),"",J89/I89)</f>
        <v>0</v>
      </c>
      <c r="L89" s="19" t="str">
        <f aca="false">IF(OR(D89="",I89=""),"No reported total for O&amp;M or depreciation",IF(AND(ABS(F89)&lt;=$D$2,ABS(K89)&lt;=$D$2),"Reconciles within tolerance","Outside tolerance"))</f>
        <v>Reconciles within tolerance</v>
      </c>
      <c r="M89" s="17" t="n">
        <f aca="false">IF(OR(E89="",LEFT(L89,8)="Excluded"),"",ABS(E89))</f>
        <v>0</v>
      </c>
    </row>
    <row r="90" customFormat="false" ht="15" hidden="false" customHeight="false" outlineLevel="0" collapsed="false">
      <c r="A90" s="7" t="n">
        <v>2018</v>
      </c>
      <c r="B90" s="12" t="s">
        <v>60</v>
      </c>
      <c r="C90" s="16" t="n">
        <v>3520.622485</v>
      </c>
      <c r="D90" s="16" t="n">
        <v>3520.622485</v>
      </c>
      <c r="E90" s="17" t="n">
        <f aca="false">IF(D90="","",C90-D90)</f>
        <v>0</v>
      </c>
      <c r="F90" s="18" t="n">
        <f aca="false">IF(OR(D90="",D90=0),"",E90/D90)</f>
        <v>0</v>
      </c>
      <c r="G90" s="16" t="n">
        <v>818.16822</v>
      </c>
      <c r="H90" s="16" t="n">
        <v>0</v>
      </c>
      <c r="I90" s="16" t="n">
        <v>818.16822</v>
      </c>
      <c r="J90" s="17" t="n">
        <f aca="false">IF(I90="","",G90-I90)</f>
        <v>0</v>
      </c>
      <c r="K90" s="18" t="n">
        <f aca="false">IF(OR(I90="",I90=0),"",J90/I90)</f>
        <v>0</v>
      </c>
      <c r="L90" s="19" t="str">
        <f aca="false">IF(OR(D90="",I90=""),"No reported total for O&amp;M or depreciation",IF(AND(ABS(F90)&lt;=$D$2,ABS(K90)&lt;=$D$2),"Reconciles within tolerance","Outside tolerance"))</f>
        <v>Reconciles within tolerance</v>
      </c>
      <c r="M90" s="17" t="n">
        <f aca="false">IF(OR(E90="",LEFT(L90,8)="Excluded"),"",ABS(E90))</f>
        <v>0</v>
      </c>
    </row>
    <row r="91" customFormat="false" ht="15" hidden="false" customHeight="false" outlineLevel="0" collapsed="false">
      <c r="A91" s="7" t="n">
        <v>2019</v>
      </c>
      <c r="B91" s="12" t="s">
        <v>60</v>
      </c>
      <c r="C91" s="16" t="n">
        <v>3242.552828</v>
      </c>
      <c r="D91" s="16" t="n">
        <v>3242.552828</v>
      </c>
      <c r="E91" s="17" t="n">
        <f aca="false">IF(D91="","",C91-D91)</f>
        <v>0</v>
      </c>
      <c r="F91" s="18" t="n">
        <f aca="false">IF(OR(D91="",D91=0),"",E91/D91)</f>
        <v>0</v>
      </c>
      <c r="G91" s="16" t="n">
        <v>884.548733</v>
      </c>
      <c r="H91" s="16" t="n">
        <v>0</v>
      </c>
      <c r="I91" s="16" t="n">
        <v>884.548733</v>
      </c>
      <c r="J91" s="17" t="n">
        <f aca="false">IF(I91="","",G91-I91)</f>
        <v>0</v>
      </c>
      <c r="K91" s="18" t="n">
        <f aca="false">IF(OR(I91="",I91=0),"",J91/I91)</f>
        <v>0</v>
      </c>
      <c r="L91" s="19" t="str">
        <f aca="false">IF(OR(D91="",I91=""),"No reported total for O&amp;M or depreciation",IF(AND(ABS(F91)&lt;=$D$2,ABS(K91)&lt;=$D$2),"Reconciles within tolerance","Outside tolerance"))</f>
        <v>Reconciles within tolerance</v>
      </c>
      <c r="M91" s="17" t="n">
        <f aca="false">IF(OR(E91="",LEFT(L91,8)="Excluded"),"",ABS(E91))</f>
        <v>0</v>
      </c>
    </row>
    <row r="92" customFormat="false" ht="15" hidden="false" customHeight="false" outlineLevel="0" collapsed="false">
      <c r="A92" s="7" t="n">
        <v>2020</v>
      </c>
      <c r="B92" s="12" t="s">
        <v>60</v>
      </c>
      <c r="C92" s="16" t="n">
        <v>3392.712442</v>
      </c>
      <c r="D92" s="16" t="n">
        <v>3392.712442</v>
      </c>
      <c r="E92" s="17" t="n">
        <f aca="false">IF(D92="","",C92-D92)</f>
        <v>0</v>
      </c>
      <c r="F92" s="18" t="n">
        <f aca="false">IF(OR(D92="",D92=0),"",E92/D92)</f>
        <v>0</v>
      </c>
      <c r="G92" s="16" t="n">
        <v>923.046615</v>
      </c>
      <c r="H92" s="16" t="n">
        <v>0</v>
      </c>
      <c r="I92" s="16" t="n">
        <v>923.046615</v>
      </c>
      <c r="J92" s="17" t="n">
        <f aca="false">IF(I92="","",G92-I92)</f>
        <v>0</v>
      </c>
      <c r="K92" s="18" t="n">
        <f aca="false">IF(OR(I92="",I92=0),"",J92/I92)</f>
        <v>0</v>
      </c>
      <c r="L92" s="19" t="str">
        <f aca="false">IF(OR(D92="",I92=""),"No reported total for O&amp;M or depreciation",IF(AND(ABS(F92)&lt;=$D$2,ABS(K92)&lt;=$D$2),"Reconciles within tolerance","Outside tolerance"))</f>
        <v>Reconciles within tolerance</v>
      </c>
      <c r="M92" s="17" t="n">
        <f aca="false">IF(OR(E92="",LEFT(L92,8)="Excluded"),"",ABS(E92))</f>
        <v>0</v>
      </c>
    </row>
    <row r="93" customFormat="false" ht="15" hidden="false" customHeight="false" outlineLevel="0" collapsed="false">
      <c r="A93" s="7" t="n">
        <v>2021</v>
      </c>
      <c r="B93" s="12" t="s">
        <v>60</v>
      </c>
      <c r="C93" s="16" t="n">
        <v>3570.162623</v>
      </c>
      <c r="D93" s="16" t="n">
        <v>3570.162623</v>
      </c>
      <c r="E93" s="17" t="n">
        <f aca="false">IF(D93="","",C93-D93)</f>
        <v>0</v>
      </c>
      <c r="F93" s="18" t="n">
        <f aca="false">IF(OR(D93="",D93=0),"",E93/D93)</f>
        <v>0</v>
      </c>
      <c r="G93" s="16" t="n">
        <v>973.809314</v>
      </c>
      <c r="H93" s="16" t="n">
        <v>0</v>
      </c>
      <c r="I93" s="16" t="n">
        <v>973.809314</v>
      </c>
      <c r="J93" s="17" t="n">
        <f aca="false">IF(I93="","",G93-I93)</f>
        <v>0</v>
      </c>
      <c r="K93" s="18" t="n">
        <f aca="false">IF(OR(I93="",I93=0),"",J93/I93)</f>
        <v>0</v>
      </c>
      <c r="L93" s="19" t="str">
        <f aca="false">IF(OR(D93="",I93=""),"No reported total for O&amp;M or depreciation",IF(AND(ABS(F93)&lt;=$D$2,ABS(K93)&lt;=$D$2),"Reconciles within tolerance","Outside tolerance"))</f>
        <v>Reconciles within tolerance</v>
      </c>
      <c r="M93" s="17" t="n">
        <f aca="false">IF(OR(E93="",LEFT(L93,8)="Excluded"),"",ABS(E93))</f>
        <v>0</v>
      </c>
    </row>
    <row r="94" customFormat="false" ht="15" hidden="false" customHeight="false" outlineLevel="0" collapsed="false">
      <c r="A94" s="7" t="n">
        <v>2022</v>
      </c>
      <c r="B94" s="12" t="s">
        <v>60</v>
      </c>
      <c r="C94" s="16" t="n">
        <v>2537.140439</v>
      </c>
      <c r="D94" s="16" t="n">
        <v>2537.140439</v>
      </c>
      <c r="E94" s="17" t="n">
        <f aca="false">IF(D94="","",C94-D94)</f>
        <v>0</v>
      </c>
      <c r="F94" s="18" t="n">
        <f aca="false">IF(OR(D94="",D94=0),"",E94/D94)</f>
        <v>0</v>
      </c>
      <c r="G94" s="16" t="n">
        <v>1039.61164</v>
      </c>
      <c r="H94" s="16" t="n">
        <v>0</v>
      </c>
      <c r="I94" s="16" t="n">
        <v>1039.61164</v>
      </c>
      <c r="J94" s="17" t="n">
        <f aca="false">IF(I94="","",G94-I94)</f>
        <v>0</v>
      </c>
      <c r="K94" s="18" t="n">
        <f aca="false">IF(OR(I94="",I94=0),"",J94/I94)</f>
        <v>0</v>
      </c>
      <c r="L94" s="19" t="str">
        <f aca="false">IF(OR(D94="",I94=""),"No reported total for O&amp;M or depreciation",IF(AND(ABS(F94)&lt;=$D$2,ABS(K94)&lt;=$D$2),"Reconciles within tolerance","Outside tolerance"))</f>
        <v>Reconciles within tolerance</v>
      </c>
      <c r="M94" s="17" t="n">
        <f aca="false">IF(OR(E94="",LEFT(L94,8)="Excluded"),"",ABS(E94))</f>
        <v>0</v>
      </c>
    </row>
    <row r="95" customFormat="false" ht="15" hidden="false" customHeight="false" outlineLevel="0" collapsed="false">
      <c r="A95" s="7" t="n">
        <v>2023</v>
      </c>
      <c r="B95" s="12" t="s">
        <v>60</v>
      </c>
      <c r="C95" s="16" t="n">
        <v>4292.331217</v>
      </c>
      <c r="D95" s="16" t="n">
        <v>4292.331217</v>
      </c>
      <c r="E95" s="17" t="n">
        <f aca="false">IF(D95="","",C95-D95)</f>
        <v>0</v>
      </c>
      <c r="F95" s="18" t="n">
        <f aca="false">IF(OR(D95="",D95=0),"",E95/D95)</f>
        <v>0</v>
      </c>
      <c r="G95" s="16" t="n">
        <v>1108.57189</v>
      </c>
      <c r="H95" s="16" t="n">
        <v>0</v>
      </c>
      <c r="I95" s="16" t="n">
        <v>1108.57189</v>
      </c>
      <c r="J95" s="17" t="n">
        <f aca="false">IF(I95="","",G95-I95)</f>
        <v>0</v>
      </c>
      <c r="K95" s="18" t="n">
        <f aca="false">IF(OR(I95="",I95=0),"",J95/I95)</f>
        <v>0</v>
      </c>
      <c r="L95" s="19" t="str">
        <f aca="false">IF(OR(D95="",I95=""),"No reported total for O&amp;M or depreciation",IF(AND(ABS(F95)&lt;=$D$2,ABS(K95)&lt;=$D$2),"Reconciles within tolerance","Outside tolerance"))</f>
        <v>Reconciles within tolerance</v>
      </c>
      <c r="M95" s="17" t="n">
        <f aca="false">IF(OR(E95="",LEFT(L95,8)="Excluded"),"",ABS(E95))</f>
        <v>0</v>
      </c>
    </row>
    <row r="96" customFormat="false" ht="15" hidden="false" customHeight="false" outlineLevel="0" collapsed="false">
      <c r="A96" s="7" t="n">
        <v>2024</v>
      </c>
      <c r="B96" s="12" t="s">
        <v>60</v>
      </c>
      <c r="C96" s="16" t="n">
        <v>4727.323525</v>
      </c>
      <c r="D96" s="16" t="n">
        <v>4727.323525</v>
      </c>
      <c r="E96" s="17" t="n">
        <f aca="false">IF(D96="","",C96-D96)</f>
        <v>0</v>
      </c>
      <c r="F96" s="18" t="n">
        <f aca="false">IF(OR(D96="",D96=0),"",E96/D96)</f>
        <v>0</v>
      </c>
      <c r="G96" s="16" t="n">
        <v>1183.542838</v>
      </c>
      <c r="H96" s="16" t="n">
        <v>0</v>
      </c>
      <c r="I96" s="16" t="n">
        <v>1183.542838</v>
      </c>
      <c r="J96" s="17" t="n">
        <f aca="false">IF(I96="","",G96-I96)</f>
        <v>0</v>
      </c>
      <c r="K96" s="18" t="n">
        <f aca="false">IF(OR(I96="",I96=0),"",J96/I96)</f>
        <v>0</v>
      </c>
      <c r="L96" s="19" t="str">
        <f aca="false">IF(OR(D96="",I96=""),"No reported total for O&amp;M or depreciation",IF(AND(ABS(F96)&lt;=$D$2,ABS(K96)&lt;=$D$2),"Reconciles within tolerance","Outside tolerance"))</f>
        <v>Reconciles within tolerance</v>
      </c>
      <c r="M96" s="17" t="n">
        <f aca="false">IF(OR(E96="",LEFT(L96,8)="Excluded"),"",ABS(E96))</f>
        <v>0</v>
      </c>
    </row>
    <row r="97" customFormat="false" ht="15" hidden="false" customHeight="false" outlineLevel="0" collapsed="false">
      <c r="A97" s="7" t="n">
        <v>2025</v>
      </c>
      <c r="B97" s="12" t="s">
        <v>60</v>
      </c>
      <c r="C97" s="16" t="n">
        <v>3462.072497</v>
      </c>
      <c r="D97" s="16" t="n">
        <v>3462.072497</v>
      </c>
      <c r="E97" s="17" t="n">
        <f aca="false">IF(D97="","",C97-D97)</f>
        <v>0</v>
      </c>
      <c r="F97" s="18" t="n">
        <f aca="false">IF(OR(D97="",D97=0),"",E97/D97)</f>
        <v>0</v>
      </c>
      <c r="G97" s="16" t="n">
        <v>1243.201129</v>
      </c>
      <c r="H97" s="16" t="n">
        <v>0</v>
      </c>
      <c r="I97" s="16" t="n">
        <v>1243.201129</v>
      </c>
      <c r="J97" s="17" t="n">
        <f aca="false">IF(I97="","",G97-I97)</f>
        <v>0</v>
      </c>
      <c r="K97" s="18" t="n">
        <f aca="false">IF(OR(I97="",I97=0),"",J97/I97)</f>
        <v>0</v>
      </c>
      <c r="L97" s="19" t="str">
        <f aca="false">IF(OR(D97="",I97=""),"No reported total for O&amp;M or depreciation",IF(AND(ABS(F97)&lt;=$D$2,ABS(K97)&lt;=$D$2),"Reconciles within tolerance","Outside tolerance"))</f>
        <v>Reconciles within tolerance</v>
      </c>
      <c r="M97" s="17" t="n">
        <f aca="false">IF(OR(E97="",LEFT(L97,8)="Excluded"),"",ABS(E97))</f>
        <v>0</v>
      </c>
    </row>
    <row r="98" customFormat="false" ht="15" hidden="false" customHeight="false" outlineLevel="0" collapsed="false">
      <c r="A98" s="7" t="n">
        <v>1995</v>
      </c>
      <c r="B98" s="12" t="s">
        <v>61</v>
      </c>
      <c r="C98" s="16" t="n">
        <v>1505.909513</v>
      </c>
      <c r="D98" s="16" t="n">
        <v>1505.909513</v>
      </c>
      <c r="E98" s="17" t="n">
        <f aca="false">IF(D98="","",C98-D98)</f>
        <v>0</v>
      </c>
      <c r="F98" s="18" t="n">
        <f aca="false">IF(OR(D98="",D98=0),"",E98/D98)</f>
        <v>0</v>
      </c>
      <c r="G98" s="16" t="n">
        <v>244.919848</v>
      </c>
      <c r="H98" s="16" t="n">
        <v>0</v>
      </c>
      <c r="I98" s="16" t="n">
        <v>244.919848</v>
      </c>
      <c r="J98" s="17" t="n">
        <f aca="false">IF(I98="","",G98-I98)</f>
        <v>0</v>
      </c>
      <c r="K98" s="18" t="n">
        <f aca="false">IF(OR(I98="",I98=0),"",J98/I98)</f>
        <v>0</v>
      </c>
      <c r="L98" s="19" t="str">
        <f aca="false">IF(OR(D98="",I98=""),"No reported total for O&amp;M or depreciation",IF(AND(ABS(F98)&lt;=$D$2,ABS(K98)&lt;=$D$2),"Reconciles within tolerance","Outside tolerance"))</f>
        <v>Reconciles within tolerance</v>
      </c>
      <c r="M98" s="17" t="n">
        <f aca="false">IF(OR(E98="",LEFT(L98,8)="Excluded"),"",ABS(E98))</f>
        <v>0</v>
      </c>
    </row>
    <row r="99" customFormat="false" ht="15" hidden="false" customHeight="false" outlineLevel="0" collapsed="false">
      <c r="A99" s="7" t="n">
        <v>1996</v>
      </c>
      <c r="B99" s="12" t="s">
        <v>61</v>
      </c>
      <c r="C99" s="16" t="n">
        <v>1630.565724</v>
      </c>
      <c r="D99" s="16" t="n">
        <v>1630.565724</v>
      </c>
      <c r="E99" s="17" t="n">
        <f aca="false">IF(D99="","",C99-D99)</f>
        <v>0</v>
      </c>
      <c r="F99" s="18" t="n">
        <f aca="false">IF(OR(D99="",D99=0),"",E99/D99)</f>
        <v>0</v>
      </c>
      <c r="G99" s="16" t="n">
        <v>253.168363</v>
      </c>
      <c r="H99" s="16" t="n">
        <v>0</v>
      </c>
      <c r="I99" s="16" t="n">
        <v>253.168363</v>
      </c>
      <c r="J99" s="17" t="n">
        <f aca="false">IF(I99="","",G99-I99)</f>
        <v>0</v>
      </c>
      <c r="K99" s="18" t="n">
        <f aca="false">IF(OR(I99="",I99=0),"",J99/I99)</f>
        <v>0</v>
      </c>
      <c r="L99" s="19" t="str">
        <f aca="false">IF(OR(D99="",I99=""),"No reported total for O&amp;M or depreciation",IF(AND(ABS(F99)&lt;=$D$2,ABS(K99)&lt;=$D$2),"Reconciles within tolerance","Outside tolerance"))</f>
        <v>Reconciles within tolerance</v>
      </c>
      <c r="M99" s="17" t="n">
        <f aca="false">IF(OR(E99="",LEFT(L99,8)="Excluded"),"",ABS(E99))</f>
        <v>0</v>
      </c>
    </row>
    <row r="100" customFormat="false" ht="15" hidden="false" customHeight="false" outlineLevel="0" collapsed="false">
      <c r="A100" s="7" t="n">
        <v>1997</v>
      </c>
      <c r="B100" s="12" t="s">
        <v>61</v>
      </c>
      <c r="C100" s="16" t="n">
        <v>1637.554351</v>
      </c>
      <c r="D100" s="16" t="n">
        <v>1637.554351</v>
      </c>
      <c r="E100" s="17" t="n">
        <f aca="false">IF(D100="","",C100-D100)</f>
        <v>0</v>
      </c>
      <c r="F100" s="18" t="n">
        <f aca="false">IF(OR(D100="",D100=0),"",E100/D100)</f>
        <v>0</v>
      </c>
      <c r="G100" s="16" t="n">
        <v>266.578603</v>
      </c>
      <c r="H100" s="16" t="n">
        <v>0</v>
      </c>
      <c r="I100" s="16" t="n">
        <v>266.578603</v>
      </c>
      <c r="J100" s="17" t="n">
        <f aca="false">IF(I100="","",G100-I100)</f>
        <v>0</v>
      </c>
      <c r="K100" s="18" t="n">
        <f aca="false">IF(OR(I100="",I100=0),"",J100/I100)</f>
        <v>0</v>
      </c>
      <c r="L100" s="19" t="str">
        <f aca="false">IF(OR(D100="",I100=""),"No reported total for O&amp;M or depreciation",IF(AND(ABS(F100)&lt;=$D$2,ABS(K100)&lt;=$D$2),"Reconciles within tolerance","Outside tolerance"))</f>
        <v>Reconciles within tolerance</v>
      </c>
      <c r="M100" s="17" t="n">
        <f aca="false">IF(OR(E100="",LEFT(L100,8)="Excluded"),"",ABS(E100))</f>
        <v>0</v>
      </c>
    </row>
    <row r="101" customFormat="false" ht="15" hidden="false" customHeight="false" outlineLevel="0" collapsed="false">
      <c r="A101" s="7" t="n">
        <v>1998</v>
      </c>
      <c r="B101" s="12" t="s">
        <v>61</v>
      </c>
      <c r="C101" s="16" t="n">
        <v>1672.204458</v>
      </c>
      <c r="D101" s="16" t="n">
        <v>1672.204458</v>
      </c>
      <c r="E101" s="17" t="n">
        <f aca="false">IF(D101="","",C101-D101)</f>
        <v>0</v>
      </c>
      <c r="F101" s="18" t="n">
        <f aca="false">IF(OR(D101="",D101=0),"",E101/D101)</f>
        <v>0</v>
      </c>
      <c r="G101" s="16" t="n">
        <v>274.936345</v>
      </c>
      <c r="H101" s="16" t="n">
        <v>0</v>
      </c>
      <c r="I101" s="16" t="n">
        <v>274.936345</v>
      </c>
      <c r="J101" s="17" t="n">
        <f aca="false">IF(I101="","",G101-I101)</f>
        <v>0</v>
      </c>
      <c r="K101" s="18" t="n">
        <f aca="false">IF(OR(I101="",I101=0),"",J101/I101)</f>
        <v>0</v>
      </c>
      <c r="L101" s="19" t="str">
        <f aca="false">IF(OR(D101="",I101=""),"No reported total for O&amp;M or depreciation",IF(AND(ABS(F101)&lt;=$D$2,ABS(K101)&lt;=$D$2),"Reconciles within tolerance","Outside tolerance"))</f>
        <v>Reconciles within tolerance</v>
      </c>
      <c r="M101" s="17" t="n">
        <f aca="false">IF(OR(E101="",LEFT(L101,8)="Excluded"),"",ABS(E101))</f>
        <v>0</v>
      </c>
    </row>
    <row r="102" customFormat="false" ht="15" hidden="false" customHeight="false" outlineLevel="0" collapsed="false">
      <c r="A102" s="7" t="n">
        <v>1999</v>
      </c>
      <c r="B102" s="12" t="s">
        <v>61</v>
      </c>
      <c r="C102" s="16" t="n">
        <v>1706.921658</v>
      </c>
      <c r="D102" s="16" t="n">
        <v>1706.921658</v>
      </c>
      <c r="E102" s="17" t="n">
        <f aca="false">IF(D102="","",C102-D102)</f>
        <v>0</v>
      </c>
      <c r="F102" s="18" t="n">
        <f aca="false">IF(OR(D102="",D102=0),"",E102/D102)</f>
        <v>0</v>
      </c>
      <c r="G102" s="16" t="n">
        <v>286.077517</v>
      </c>
      <c r="H102" s="16" t="n">
        <v>0</v>
      </c>
      <c r="I102" s="16" t="n">
        <v>286.077517</v>
      </c>
      <c r="J102" s="17" t="n">
        <f aca="false">IF(I102="","",G102-I102)</f>
        <v>0</v>
      </c>
      <c r="K102" s="18" t="n">
        <f aca="false">IF(OR(I102="",I102=0),"",J102/I102)</f>
        <v>0</v>
      </c>
      <c r="L102" s="19" t="str">
        <f aca="false">IF(OR(D102="",I102=""),"No reported total for O&amp;M or depreciation",IF(AND(ABS(F102)&lt;=$D$2,ABS(K102)&lt;=$D$2),"Reconciles within tolerance","Outside tolerance"))</f>
        <v>Reconciles within tolerance</v>
      </c>
      <c r="M102" s="17" t="n">
        <f aca="false">IF(OR(E102="",LEFT(L102,8)="Excluded"),"",ABS(E102))</f>
        <v>0</v>
      </c>
    </row>
    <row r="103" customFormat="false" ht="15" hidden="false" customHeight="false" outlineLevel="0" collapsed="false">
      <c r="A103" s="7" t="n">
        <v>2000</v>
      </c>
      <c r="B103" s="12" t="s">
        <v>61</v>
      </c>
      <c r="C103" s="16" t="n">
        <v>1738.282678</v>
      </c>
      <c r="D103" s="16" t="n">
        <v>1738.282678</v>
      </c>
      <c r="E103" s="17" t="n">
        <f aca="false">IF(D103="","",C103-D103)</f>
        <v>0</v>
      </c>
      <c r="F103" s="18" t="n">
        <f aca="false">IF(OR(D103="",D103=0),"",E103/D103)</f>
        <v>0</v>
      </c>
      <c r="G103" s="16" t="n">
        <v>282.170561</v>
      </c>
      <c r="H103" s="16" t="n">
        <v>0</v>
      </c>
      <c r="I103" s="16" t="n">
        <v>282.170561</v>
      </c>
      <c r="J103" s="17" t="n">
        <f aca="false">IF(I103="","",G103-I103)</f>
        <v>0</v>
      </c>
      <c r="K103" s="18" t="n">
        <f aca="false">IF(OR(I103="",I103=0),"",J103/I103)</f>
        <v>0</v>
      </c>
      <c r="L103" s="19" t="str">
        <f aca="false">IF(OR(D103="",I103=""),"No reported total for O&amp;M or depreciation",IF(AND(ABS(F103)&lt;=$D$2,ABS(K103)&lt;=$D$2),"Reconciles within tolerance","Outside tolerance"))</f>
        <v>Reconciles within tolerance</v>
      </c>
      <c r="M103" s="17" t="n">
        <f aca="false">IF(OR(E103="",LEFT(L103,8)="Excluded"),"",ABS(E103))</f>
        <v>0</v>
      </c>
    </row>
    <row r="104" customFormat="false" ht="15" hidden="false" customHeight="false" outlineLevel="0" collapsed="false">
      <c r="A104" s="7" t="n">
        <v>2001</v>
      </c>
      <c r="B104" s="12" t="s">
        <v>61</v>
      </c>
      <c r="C104" s="16" t="n">
        <v>1933.272392</v>
      </c>
      <c r="D104" s="16" t="n">
        <v>1933.272392</v>
      </c>
      <c r="E104" s="17" t="n">
        <f aca="false">IF(D104="","",C104-D104)</f>
        <v>0</v>
      </c>
      <c r="F104" s="18" t="n">
        <f aca="false">IF(OR(D104="",D104=0),"",E104/D104)</f>
        <v>0</v>
      </c>
      <c r="G104" s="16" t="n">
        <v>199.203667</v>
      </c>
      <c r="H104" s="16" t="n">
        <v>0</v>
      </c>
      <c r="I104" s="16" t="n">
        <v>199.203667</v>
      </c>
      <c r="J104" s="17" t="n">
        <f aca="false">IF(I104="","",G104-I104)</f>
        <v>0</v>
      </c>
      <c r="K104" s="18" t="n">
        <f aca="false">IF(OR(I104="",I104=0),"",J104/I104)</f>
        <v>0</v>
      </c>
      <c r="L104" s="19" t="str">
        <f aca="false">IF(OR(D104="",I104=""),"No reported total for O&amp;M or depreciation",IF(AND(ABS(F104)&lt;=$D$2,ABS(K104)&lt;=$D$2),"Reconciles within tolerance","Outside tolerance"))</f>
        <v>Reconciles within tolerance</v>
      </c>
      <c r="M104" s="17" t="n">
        <f aca="false">IF(OR(E104="",LEFT(L104,8)="Excluded"),"",ABS(E104))</f>
        <v>0</v>
      </c>
    </row>
    <row r="105" customFormat="false" ht="15" hidden="false" customHeight="false" outlineLevel="0" collapsed="false">
      <c r="A105" s="7" t="n">
        <v>2005</v>
      </c>
      <c r="B105" s="12" t="s">
        <v>61</v>
      </c>
      <c r="C105" s="16" t="n">
        <v>1867.589554</v>
      </c>
      <c r="D105" s="16" t="n">
        <v>1867.589554</v>
      </c>
      <c r="E105" s="17" t="n">
        <f aca="false">IF(D105="","",C105-D105)</f>
        <v>0</v>
      </c>
      <c r="F105" s="18" t="n">
        <f aca="false">IF(OR(D105="",D105=0),"",E105/D105)</f>
        <v>0</v>
      </c>
      <c r="G105" s="16" t="n">
        <v>212.086778</v>
      </c>
      <c r="H105" s="16" t="n">
        <v>0</v>
      </c>
      <c r="I105" s="16" t="n">
        <v>212.086778</v>
      </c>
      <c r="J105" s="17" t="n">
        <f aca="false">IF(I105="","",G105-I105)</f>
        <v>0</v>
      </c>
      <c r="K105" s="18" t="n">
        <f aca="false">IF(OR(I105="",I105=0),"",J105/I105)</f>
        <v>0</v>
      </c>
      <c r="L105" s="19" t="str">
        <f aca="false">IF(OR(D105="",I105=""),"No reported total for O&amp;M or depreciation",IF(AND(ABS(F105)&lt;=$D$2,ABS(K105)&lt;=$D$2),"Reconciles within tolerance","Outside tolerance"))</f>
        <v>Reconciles within tolerance</v>
      </c>
      <c r="M105" s="17" t="n">
        <f aca="false">IF(OR(E105="",LEFT(L105,8)="Excluded"),"",ABS(E105))</f>
        <v>0</v>
      </c>
    </row>
    <row r="106" customFormat="false" ht="15" hidden="false" customHeight="false" outlineLevel="0" collapsed="false">
      <c r="A106" s="7" t="n">
        <v>2006</v>
      </c>
      <c r="B106" s="12" t="s">
        <v>61</v>
      </c>
      <c r="C106" s="16" t="n">
        <v>2294.287653</v>
      </c>
      <c r="D106" s="16" t="n">
        <v>2294.287653</v>
      </c>
      <c r="E106" s="17" t="n">
        <f aca="false">IF(D106="","",C106-D106)</f>
        <v>0</v>
      </c>
      <c r="F106" s="18" t="n">
        <f aca="false">IF(OR(D106="",D106=0),"",E106/D106)</f>
        <v>0</v>
      </c>
      <c r="G106" s="16" t="n">
        <v>238.527545</v>
      </c>
      <c r="H106" s="16" t="n">
        <v>0</v>
      </c>
      <c r="I106" s="16" t="n">
        <v>238.527545</v>
      </c>
      <c r="J106" s="17" t="n">
        <f aca="false">IF(I106="","",G106-I106)</f>
        <v>0</v>
      </c>
      <c r="K106" s="18" t="n">
        <f aca="false">IF(OR(I106="",I106=0),"",J106/I106)</f>
        <v>0</v>
      </c>
      <c r="L106" s="19" t="str">
        <f aca="false">IF(OR(D106="",I106=""),"No reported total for O&amp;M or depreciation",IF(AND(ABS(F106)&lt;=$D$2,ABS(K106)&lt;=$D$2),"Reconciles within tolerance","Outside tolerance"))</f>
        <v>Reconciles within tolerance</v>
      </c>
      <c r="M106" s="17" t="n">
        <f aca="false">IF(OR(E106="",LEFT(L106,8)="Excluded"),"",ABS(E106))</f>
        <v>0</v>
      </c>
    </row>
    <row r="107" customFormat="false" ht="15" hidden="false" customHeight="false" outlineLevel="0" collapsed="false">
      <c r="A107" s="7" t="n">
        <v>2007</v>
      </c>
      <c r="B107" s="12" t="s">
        <v>61</v>
      </c>
      <c r="C107" s="16" t="n">
        <v>2478.504501</v>
      </c>
      <c r="D107" s="16" t="n">
        <v>2478.504501</v>
      </c>
      <c r="E107" s="17" t="n">
        <f aca="false">IF(D107="","",C107-D107)</f>
        <v>0</v>
      </c>
      <c r="F107" s="18" t="n">
        <f aca="false">IF(OR(D107="",D107=0),"",E107/D107)</f>
        <v>0</v>
      </c>
      <c r="G107" s="16" t="n">
        <v>237.226349</v>
      </c>
      <c r="H107" s="16" t="n">
        <v>0</v>
      </c>
      <c r="I107" s="16" t="n">
        <v>237.226349</v>
      </c>
      <c r="J107" s="17" t="n">
        <f aca="false">IF(I107="","",G107-I107)</f>
        <v>0</v>
      </c>
      <c r="K107" s="18" t="n">
        <f aca="false">IF(OR(I107="",I107=0),"",J107/I107)</f>
        <v>0</v>
      </c>
      <c r="L107" s="19" t="str">
        <f aca="false">IF(OR(D107="",I107=""),"No reported total for O&amp;M or depreciation",IF(AND(ABS(F107)&lt;=$D$2,ABS(K107)&lt;=$D$2),"Reconciles within tolerance","Outside tolerance"))</f>
        <v>Reconciles within tolerance</v>
      </c>
      <c r="M107" s="17" t="n">
        <f aca="false">IF(OR(E107="",LEFT(L107,8)="Excluded"),"",ABS(E107))</f>
        <v>0</v>
      </c>
    </row>
    <row r="108" customFormat="false" ht="15" hidden="false" customHeight="false" outlineLevel="0" collapsed="false">
      <c r="A108" s="7" t="n">
        <v>2008</v>
      </c>
      <c r="B108" s="12" t="s">
        <v>61</v>
      </c>
      <c r="C108" s="16" t="n">
        <v>2486.451515</v>
      </c>
      <c r="D108" s="16" t="n">
        <v>2486.451515</v>
      </c>
      <c r="E108" s="17" t="n">
        <f aca="false">IF(D108="","",C108-D108)</f>
        <v>0</v>
      </c>
      <c r="F108" s="18" t="n">
        <f aca="false">IF(OR(D108="",D108=0),"",E108/D108)</f>
        <v>0</v>
      </c>
      <c r="G108" s="16" t="n">
        <v>263.518987</v>
      </c>
      <c r="H108" s="16" t="n">
        <v>0</v>
      </c>
      <c r="I108" s="16" t="n">
        <v>263.518987</v>
      </c>
      <c r="J108" s="17" t="n">
        <f aca="false">IF(I108="","",G108-I108)</f>
        <v>0</v>
      </c>
      <c r="K108" s="18" t="n">
        <f aca="false">IF(OR(I108="",I108=0),"",J108/I108)</f>
        <v>0</v>
      </c>
      <c r="L108" s="19" t="str">
        <f aca="false">IF(OR(D108="",I108=""),"No reported total for O&amp;M or depreciation",IF(AND(ABS(F108)&lt;=$D$2,ABS(K108)&lt;=$D$2),"Reconciles within tolerance","Outside tolerance"))</f>
        <v>Reconciles within tolerance</v>
      </c>
      <c r="M108" s="17" t="n">
        <f aca="false">IF(OR(E108="",LEFT(L108,8)="Excluded"),"",ABS(E108))</f>
        <v>0</v>
      </c>
    </row>
    <row r="109" customFormat="false" ht="15" hidden="false" customHeight="false" outlineLevel="0" collapsed="false">
      <c r="A109" s="7" t="n">
        <v>2009</v>
      </c>
      <c r="B109" s="12" t="s">
        <v>61</v>
      </c>
      <c r="C109" s="16" t="n">
        <v>2352.029435</v>
      </c>
      <c r="D109" s="16" t="n">
        <v>2352.029435</v>
      </c>
      <c r="E109" s="17" t="n">
        <f aca="false">IF(D109="","",C109-D109)</f>
        <v>0</v>
      </c>
      <c r="F109" s="18" t="n">
        <f aca="false">IF(OR(D109="",D109=0),"",E109/D109)</f>
        <v>0</v>
      </c>
      <c r="G109" s="16" t="n">
        <v>281.450734</v>
      </c>
      <c r="H109" s="16" t="n">
        <v>0</v>
      </c>
      <c r="I109" s="16" t="n">
        <v>281.450734</v>
      </c>
      <c r="J109" s="17" t="n">
        <f aca="false">IF(I109="","",G109-I109)</f>
        <v>0</v>
      </c>
      <c r="K109" s="18" t="n">
        <f aca="false">IF(OR(I109="",I109=0),"",J109/I109)</f>
        <v>0</v>
      </c>
      <c r="L109" s="19" t="str">
        <f aca="false">IF(OR(D109="",I109=""),"No reported total for O&amp;M or depreciation",IF(AND(ABS(F109)&lt;=$D$2,ABS(K109)&lt;=$D$2),"Reconciles within tolerance","Outside tolerance"))</f>
        <v>Reconciles within tolerance</v>
      </c>
      <c r="M109" s="17" t="n">
        <f aca="false">IF(OR(E109="",LEFT(L109,8)="Excluded"),"",ABS(E109))</f>
        <v>0</v>
      </c>
    </row>
    <row r="110" customFormat="false" ht="15" hidden="false" customHeight="false" outlineLevel="0" collapsed="false">
      <c r="A110" s="7" t="n">
        <v>2010</v>
      </c>
      <c r="B110" s="12" t="s">
        <v>61</v>
      </c>
      <c r="C110" s="16" t="n">
        <v>2542.372602</v>
      </c>
      <c r="D110" s="16" t="n">
        <v>2542.372602</v>
      </c>
      <c r="E110" s="17" t="n">
        <f aca="false">IF(D110="","",C110-D110)</f>
        <v>0</v>
      </c>
      <c r="F110" s="18" t="n">
        <f aca="false">IF(OR(D110="",D110=0),"",E110/D110)</f>
        <v>0</v>
      </c>
      <c r="G110" s="16" t="n">
        <v>294.21947</v>
      </c>
      <c r="H110" s="16" t="n">
        <v>0</v>
      </c>
      <c r="I110" s="16" t="n">
        <v>294.21947</v>
      </c>
      <c r="J110" s="17" t="n">
        <f aca="false">IF(I110="","",G110-I110)</f>
        <v>0</v>
      </c>
      <c r="K110" s="18" t="n">
        <f aca="false">IF(OR(I110="",I110=0),"",J110/I110)</f>
        <v>0</v>
      </c>
      <c r="L110" s="19" t="str">
        <f aca="false">IF(OR(D110="",I110=""),"No reported total for O&amp;M or depreciation",IF(AND(ABS(F110)&lt;=$D$2,ABS(K110)&lt;=$D$2),"Reconciles within tolerance","Outside tolerance"))</f>
        <v>Reconciles within tolerance</v>
      </c>
      <c r="M110" s="17" t="n">
        <f aca="false">IF(OR(E110="",LEFT(L110,8)="Excluded"),"",ABS(E110))</f>
        <v>0</v>
      </c>
    </row>
    <row r="111" customFormat="false" ht="15" hidden="false" customHeight="false" outlineLevel="0" collapsed="false">
      <c r="A111" s="7" t="n">
        <v>2011</v>
      </c>
      <c r="B111" s="12" t="s">
        <v>61</v>
      </c>
      <c r="C111" s="16" t="n">
        <v>2644.142738</v>
      </c>
      <c r="D111" s="16" t="n">
        <v>2644.142738</v>
      </c>
      <c r="E111" s="17" t="n">
        <f aca="false">IF(D111="","",C111-D111)</f>
        <v>0</v>
      </c>
      <c r="F111" s="18" t="n">
        <f aca="false">IF(OR(D111="",D111=0),"",E111/D111)</f>
        <v>0</v>
      </c>
      <c r="G111" s="16" t="n">
        <v>310.416439</v>
      </c>
      <c r="H111" s="16" t="n">
        <v>0</v>
      </c>
      <c r="I111" s="16" t="n">
        <v>310.416439</v>
      </c>
      <c r="J111" s="17" t="n">
        <f aca="false">IF(I111="","",G111-I111)</f>
        <v>0</v>
      </c>
      <c r="K111" s="18" t="n">
        <f aca="false">IF(OR(I111="",I111=0),"",J111/I111)</f>
        <v>0</v>
      </c>
      <c r="L111" s="19" t="str">
        <f aca="false">IF(OR(D111="",I111=""),"No reported total for O&amp;M or depreciation",IF(AND(ABS(F111)&lt;=$D$2,ABS(K111)&lt;=$D$2),"Reconciles within tolerance","Outside tolerance"))</f>
        <v>Reconciles within tolerance</v>
      </c>
      <c r="M111" s="17" t="n">
        <f aca="false">IF(OR(E111="",LEFT(L111,8)="Excluded"),"",ABS(E111))</f>
        <v>0</v>
      </c>
    </row>
    <row r="112" customFormat="false" ht="15" hidden="false" customHeight="false" outlineLevel="0" collapsed="false">
      <c r="A112" s="7" t="n">
        <v>2012</v>
      </c>
      <c r="B112" s="12" t="s">
        <v>61</v>
      </c>
      <c r="C112" s="16" t="n">
        <v>2665.598116</v>
      </c>
      <c r="D112" s="16" t="n">
        <v>2665.598116</v>
      </c>
      <c r="E112" s="17" t="n">
        <f aca="false">IF(D112="","",C112-D112)</f>
        <v>0</v>
      </c>
      <c r="F112" s="18" t="n">
        <f aca="false">IF(OR(D112="",D112=0),"",E112/D112)</f>
        <v>0</v>
      </c>
      <c r="G112" s="16" t="n">
        <v>349.945022</v>
      </c>
      <c r="H112" s="16" t="n">
        <v>0</v>
      </c>
      <c r="I112" s="16" t="n">
        <v>349.945022</v>
      </c>
      <c r="J112" s="17" t="n">
        <f aca="false">IF(I112="","",G112-I112)</f>
        <v>0</v>
      </c>
      <c r="K112" s="18" t="n">
        <f aca="false">IF(OR(I112="",I112=0),"",J112/I112)</f>
        <v>0</v>
      </c>
      <c r="L112" s="19" t="str">
        <f aca="false">IF(OR(D112="",I112=""),"No reported total for O&amp;M or depreciation",IF(AND(ABS(F112)&lt;=$D$2,ABS(K112)&lt;=$D$2),"Reconciles within tolerance","Outside tolerance"))</f>
        <v>Reconciles within tolerance</v>
      </c>
      <c r="M112" s="17" t="n">
        <f aca="false">IF(OR(E112="",LEFT(L112,8)="Excluded"),"",ABS(E112))</f>
        <v>0</v>
      </c>
    </row>
    <row r="113" customFormat="false" ht="15" hidden="false" customHeight="false" outlineLevel="0" collapsed="false">
      <c r="A113" s="7" t="n">
        <v>2013</v>
      </c>
      <c r="B113" s="12" t="s">
        <v>61</v>
      </c>
      <c r="C113" s="16" t="n">
        <v>2734.357741</v>
      </c>
      <c r="D113" s="16" t="n">
        <v>2734.357741</v>
      </c>
      <c r="E113" s="17" t="n">
        <f aca="false">IF(D113="","",C113-D113)</f>
        <v>0</v>
      </c>
      <c r="F113" s="18" t="n">
        <f aca="false">IF(OR(D113="",D113=0),"",E113/D113)</f>
        <v>0</v>
      </c>
      <c r="G113" s="16" t="n">
        <v>396.672847</v>
      </c>
      <c r="H113" s="16" t="n">
        <v>0</v>
      </c>
      <c r="I113" s="16" t="n">
        <v>396.672847</v>
      </c>
      <c r="J113" s="17" t="n">
        <f aca="false">IF(I113="","",G113-I113)</f>
        <v>0</v>
      </c>
      <c r="K113" s="18" t="n">
        <f aca="false">IF(OR(I113="",I113=0),"",J113/I113)</f>
        <v>0</v>
      </c>
      <c r="L113" s="19" t="str">
        <f aca="false">IF(OR(D113="",I113=""),"No reported total for O&amp;M or depreciation",IF(AND(ABS(F113)&lt;=$D$2,ABS(K113)&lt;=$D$2),"Reconciles within tolerance","Outside tolerance"))</f>
        <v>Reconciles within tolerance</v>
      </c>
      <c r="M113" s="17" t="n">
        <f aca="false">IF(OR(E113="",LEFT(L113,8)="Excluded"),"",ABS(E113))</f>
        <v>0</v>
      </c>
    </row>
    <row r="114" customFormat="false" ht="15" hidden="false" customHeight="false" outlineLevel="0" collapsed="false">
      <c r="A114" s="7" t="n">
        <v>2014</v>
      </c>
      <c r="B114" s="12" t="s">
        <v>61</v>
      </c>
      <c r="C114" s="16" t="n">
        <v>2938.149878</v>
      </c>
      <c r="D114" s="16" t="n">
        <v>2938.149878</v>
      </c>
      <c r="E114" s="17" t="n">
        <f aca="false">IF(D114="","",C114-D114)</f>
        <v>0</v>
      </c>
      <c r="F114" s="18" t="n">
        <f aca="false">IF(OR(D114="",D114=0),"",E114/D114)</f>
        <v>0</v>
      </c>
      <c r="G114" s="16" t="n">
        <v>423.970783</v>
      </c>
      <c r="H114" s="16" t="n">
        <v>0</v>
      </c>
      <c r="I114" s="16" t="n">
        <v>423.970783</v>
      </c>
      <c r="J114" s="17" t="n">
        <f aca="false">IF(I114="","",G114-I114)</f>
        <v>0</v>
      </c>
      <c r="K114" s="18" t="n">
        <f aca="false">IF(OR(I114="",I114=0),"",J114/I114)</f>
        <v>0</v>
      </c>
      <c r="L114" s="19" t="str">
        <f aca="false">IF(OR(D114="",I114=""),"No reported total for O&amp;M or depreciation",IF(AND(ABS(F114)&lt;=$D$2,ABS(K114)&lt;=$D$2),"Reconciles within tolerance","Outside tolerance"))</f>
        <v>Reconciles within tolerance</v>
      </c>
      <c r="M114" s="17" t="n">
        <f aca="false">IF(OR(E114="",LEFT(L114,8)="Excluded"),"",ABS(E114))</f>
        <v>0</v>
      </c>
    </row>
    <row r="115" customFormat="false" ht="15" hidden="false" customHeight="false" outlineLevel="0" collapsed="false">
      <c r="A115" s="7" t="n">
        <v>2015</v>
      </c>
      <c r="B115" s="12" t="s">
        <v>61</v>
      </c>
      <c r="C115" s="16" t="n">
        <v>2658.459206</v>
      </c>
      <c r="D115" s="16" t="n">
        <v>2658.459206</v>
      </c>
      <c r="E115" s="17" t="n">
        <f aca="false">IF(D115="","",C115-D115)</f>
        <v>0</v>
      </c>
      <c r="F115" s="18" t="n">
        <f aca="false">IF(OR(D115="",D115=0),"",E115/D115)</f>
        <v>0</v>
      </c>
      <c r="G115" s="16" t="n">
        <v>463.262419</v>
      </c>
      <c r="H115" s="16" t="n">
        <v>0</v>
      </c>
      <c r="I115" s="16" t="n">
        <v>463.262419</v>
      </c>
      <c r="J115" s="17" t="n">
        <f aca="false">IF(I115="","",G115-I115)</f>
        <v>0</v>
      </c>
      <c r="K115" s="18" t="n">
        <f aca="false">IF(OR(I115="",I115=0),"",J115/I115)</f>
        <v>0</v>
      </c>
      <c r="L115" s="19" t="str">
        <f aca="false">IF(OR(D115="",I115=""),"No reported total for O&amp;M or depreciation",IF(AND(ABS(F115)&lt;=$D$2,ABS(K115)&lt;=$D$2),"Reconciles within tolerance","Outside tolerance"))</f>
        <v>Reconciles within tolerance</v>
      </c>
      <c r="M115" s="17" t="n">
        <f aca="false">IF(OR(E115="",LEFT(L115,8)="Excluded"),"",ABS(E115))</f>
        <v>0</v>
      </c>
    </row>
    <row r="116" customFormat="false" ht="15" hidden="false" customHeight="false" outlineLevel="0" collapsed="false">
      <c r="A116" s="7" t="n">
        <v>2016</v>
      </c>
      <c r="B116" s="12" t="s">
        <v>61</v>
      </c>
      <c r="C116" s="16" t="n">
        <v>2643.947334</v>
      </c>
      <c r="D116" s="16" t="n">
        <v>2643.947334</v>
      </c>
      <c r="E116" s="17" t="n">
        <f aca="false">IF(D116="","",C116-D116)</f>
        <v>0</v>
      </c>
      <c r="F116" s="18" t="n">
        <f aca="false">IF(OR(D116="",D116=0),"",E116/D116)</f>
        <v>0</v>
      </c>
      <c r="G116" s="16" t="n">
        <v>559.859984</v>
      </c>
      <c r="H116" s="16" t="n">
        <v>0</v>
      </c>
      <c r="I116" s="16" t="n">
        <v>559.859984</v>
      </c>
      <c r="J116" s="17" t="n">
        <f aca="false">IF(I116="","",G116-I116)</f>
        <v>0</v>
      </c>
      <c r="K116" s="18" t="n">
        <f aca="false">IF(OR(I116="",I116=0),"",J116/I116)</f>
        <v>0</v>
      </c>
      <c r="L116" s="19" t="str">
        <f aca="false">IF(OR(D116="",I116=""),"No reported total for O&amp;M or depreciation",IF(AND(ABS(F116)&lt;=$D$2,ABS(K116)&lt;=$D$2),"Reconciles within tolerance","Outside tolerance"))</f>
        <v>Reconciles within tolerance</v>
      </c>
      <c r="M116" s="17" t="n">
        <f aca="false">IF(OR(E116="",LEFT(L116,8)="Excluded"),"",ABS(E116))</f>
        <v>0</v>
      </c>
    </row>
    <row r="117" customFormat="false" ht="15" hidden="false" customHeight="false" outlineLevel="0" collapsed="false">
      <c r="A117" s="7" t="n">
        <v>2017</v>
      </c>
      <c r="B117" s="12" t="s">
        <v>61</v>
      </c>
      <c r="C117" s="16" t="n">
        <v>2666.145423</v>
      </c>
      <c r="D117" s="16" t="n">
        <v>2666.145423</v>
      </c>
      <c r="E117" s="17" t="n">
        <f aca="false">IF(D117="","",C117-D117)</f>
        <v>0</v>
      </c>
      <c r="F117" s="18" t="n">
        <f aca="false">IF(OR(D117="",D117=0),"",E117/D117)</f>
        <v>0</v>
      </c>
      <c r="G117" s="16" t="n">
        <v>610.212132</v>
      </c>
      <c r="H117" s="16" t="n">
        <v>0</v>
      </c>
      <c r="I117" s="16" t="n">
        <v>610.212132</v>
      </c>
      <c r="J117" s="17" t="n">
        <f aca="false">IF(I117="","",G117-I117)</f>
        <v>0</v>
      </c>
      <c r="K117" s="18" t="n">
        <f aca="false">IF(OR(I117="",I117=0),"",J117/I117)</f>
        <v>0</v>
      </c>
      <c r="L117" s="19" t="str">
        <f aca="false">IF(OR(D117="",I117=""),"No reported total for O&amp;M or depreciation",IF(AND(ABS(F117)&lt;=$D$2,ABS(K117)&lt;=$D$2),"Reconciles within tolerance","Outside tolerance"))</f>
        <v>Reconciles within tolerance</v>
      </c>
      <c r="M117" s="17" t="n">
        <f aca="false">IF(OR(E117="",LEFT(L117,8)="Excluded"),"",ABS(E117))</f>
        <v>0</v>
      </c>
    </row>
    <row r="118" customFormat="false" ht="15" hidden="false" customHeight="false" outlineLevel="0" collapsed="false">
      <c r="A118" s="7" t="n">
        <v>2018</v>
      </c>
      <c r="B118" s="12" t="s">
        <v>61</v>
      </c>
      <c r="C118" s="16" t="n">
        <v>2809.445278</v>
      </c>
      <c r="D118" s="16" t="n">
        <v>2809.445278</v>
      </c>
      <c r="E118" s="17" t="n">
        <f aca="false">IF(D118="","",C118-D118)</f>
        <v>0</v>
      </c>
      <c r="F118" s="18" t="n">
        <f aca="false">IF(OR(D118="",D118=0),"",E118/D118)</f>
        <v>0</v>
      </c>
      <c r="G118" s="16" t="n">
        <v>637.932547</v>
      </c>
      <c r="H118" s="16" t="n">
        <v>0</v>
      </c>
      <c r="I118" s="16" t="n">
        <v>637.932547</v>
      </c>
      <c r="J118" s="17" t="n">
        <f aca="false">IF(I118="","",G118-I118)</f>
        <v>0</v>
      </c>
      <c r="K118" s="18" t="n">
        <f aca="false">IF(OR(I118="",I118=0),"",J118/I118)</f>
        <v>0</v>
      </c>
      <c r="L118" s="19" t="str">
        <f aca="false">IF(OR(D118="",I118=""),"No reported total for O&amp;M or depreciation",IF(AND(ABS(F118)&lt;=$D$2,ABS(K118)&lt;=$D$2),"Reconciles within tolerance","Outside tolerance"))</f>
        <v>Reconciles within tolerance</v>
      </c>
      <c r="M118" s="17" t="n">
        <f aca="false">IF(OR(E118="",LEFT(L118,8)="Excluded"),"",ABS(E118))</f>
        <v>0</v>
      </c>
    </row>
    <row r="119" customFormat="false" ht="15" hidden="false" customHeight="false" outlineLevel="0" collapsed="false">
      <c r="A119" s="7" t="n">
        <v>2019</v>
      </c>
      <c r="B119" s="12" t="s">
        <v>61</v>
      </c>
      <c r="C119" s="16" t="n">
        <v>2672.803758</v>
      </c>
      <c r="D119" s="16" t="n">
        <v>2672.803758</v>
      </c>
      <c r="E119" s="17" t="n">
        <f aca="false">IF(D119="","",C119-D119)</f>
        <v>0</v>
      </c>
      <c r="F119" s="18" t="n">
        <f aca="false">IF(OR(D119="",D119=0),"",E119/D119)</f>
        <v>0</v>
      </c>
      <c r="G119" s="16" t="n">
        <v>667.282802</v>
      </c>
      <c r="H119" s="16" t="n">
        <v>0</v>
      </c>
      <c r="I119" s="16" t="n">
        <v>667.282802</v>
      </c>
      <c r="J119" s="17" t="n">
        <f aca="false">IF(I119="","",G119-I119)</f>
        <v>0</v>
      </c>
      <c r="K119" s="18" t="n">
        <f aca="false">IF(OR(I119="",I119=0),"",J119/I119)</f>
        <v>0</v>
      </c>
      <c r="L119" s="19" t="str">
        <f aca="false">IF(OR(D119="",I119=""),"No reported total for O&amp;M or depreciation",IF(AND(ABS(F119)&lt;=$D$2,ABS(K119)&lt;=$D$2),"Reconciles within tolerance","Outside tolerance"))</f>
        <v>Reconciles within tolerance</v>
      </c>
      <c r="M119" s="17" t="n">
        <f aca="false">IF(OR(E119="",LEFT(L119,8)="Excluded"),"",ABS(E119))</f>
        <v>0</v>
      </c>
    </row>
    <row r="120" customFormat="false" ht="15" hidden="false" customHeight="false" outlineLevel="0" collapsed="false">
      <c r="A120" s="7" t="n">
        <v>2020</v>
      </c>
      <c r="B120" s="12" t="s">
        <v>61</v>
      </c>
      <c r="C120" s="16" t="n">
        <v>2543.250842</v>
      </c>
      <c r="D120" s="16" t="n">
        <v>2543.250842</v>
      </c>
      <c r="E120" s="17" t="n">
        <f aca="false">IF(D120="","",C120-D120)</f>
        <v>0</v>
      </c>
      <c r="F120" s="18" t="n">
        <f aca="false">IF(OR(D120="",D120=0),"",E120/D120)</f>
        <v>0</v>
      </c>
      <c r="G120" s="16" t="n">
        <v>692.142296</v>
      </c>
      <c r="H120" s="16" t="n">
        <v>0</v>
      </c>
      <c r="I120" s="16" t="n">
        <v>692.142296</v>
      </c>
      <c r="J120" s="17" t="n">
        <f aca="false">IF(I120="","",G120-I120)</f>
        <v>0</v>
      </c>
      <c r="K120" s="18" t="n">
        <f aca="false">IF(OR(I120="",I120=0),"",J120/I120)</f>
        <v>0</v>
      </c>
      <c r="L120" s="19" t="str">
        <f aca="false">IF(OR(D120="",I120=""),"No reported total for O&amp;M or depreciation",IF(AND(ABS(F120)&lt;=$D$2,ABS(K120)&lt;=$D$2),"Reconciles within tolerance","Outside tolerance"))</f>
        <v>Reconciles within tolerance</v>
      </c>
      <c r="M120" s="17" t="n">
        <f aca="false">IF(OR(E120="",LEFT(L120,8)="Excluded"),"",ABS(E120))</f>
        <v>0</v>
      </c>
    </row>
    <row r="121" customFormat="false" ht="15" hidden="false" customHeight="false" outlineLevel="0" collapsed="false">
      <c r="A121" s="7" t="n">
        <v>2021</v>
      </c>
      <c r="B121" s="12" t="s">
        <v>61</v>
      </c>
      <c r="C121" s="16" t="n">
        <v>3053.910042</v>
      </c>
      <c r="D121" s="16" t="n">
        <v>3053.910042</v>
      </c>
      <c r="E121" s="17" t="n">
        <f aca="false">IF(D121="","",C121-D121)</f>
        <v>0</v>
      </c>
      <c r="F121" s="18" t="n">
        <f aca="false">IF(OR(D121="",D121=0),"",E121/D121)</f>
        <v>0</v>
      </c>
      <c r="G121" s="16" t="n">
        <v>722.475389</v>
      </c>
      <c r="H121" s="16" t="n">
        <v>0</v>
      </c>
      <c r="I121" s="16" t="n">
        <v>722.475389</v>
      </c>
      <c r="J121" s="17" t="n">
        <f aca="false">IF(I121="","",G121-I121)</f>
        <v>0</v>
      </c>
      <c r="K121" s="18" t="n">
        <f aca="false">IF(OR(I121="",I121=0),"",J121/I121)</f>
        <v>0</v>
      </c>
      <c r="L121" s="19" t="str">
        <f aca="false">IF(OR(D121="",I121=""),"No reported total for O&amp;M or depreciation",IF(AND(ABS(F121)&lt;=$D$2,ABS(K121)&lt;=$D$2),"Reconciles within tolerance","Outside tolerance"))</f>
        <v>Reconciles within tolerance</v>
      </c>
      <c r="M121" s="17" t="n">
        <f aca="false">IF(OR(E121="",LEFT(L121,8)="Excluded"),"",ABS(E121))</f>
        <v>0</v>
      </c>
    </row>
    <row r="122" customFormat="false" ht="15" hidden="false" customHeight="false" outlineLevel="0" collapsed="false">
      <c r="A122" s="7" t="n">
        <v>2022</v>
      </c>
      <c r="B122" s="12" t="s">
        <v>61</v>
      </c>
      <c r="C122" s="16" t="n">
        <v>3516.654871</v>
      </c>
      <c r="D122" s="16" t="n">
        <v>3516.654871</v>
      </c>
      <c r="E122" s="17" t="n">
        <f aca="false">IF(D122="","",C122-D122)</f>
        <v>0</v>
      </c>
      <c r="F122" s="18" t="n">
        <f aca="false">IF(OR(D122="",D122=0),"",E122/D122)</f>
        <v>0</v>
      </c>
      <c r="G122" s="16" t="n">
        <v>717.928029</v>
      </c>
      <c r="H122" s="16" t="n">
        <v>0</v>
      </c>
      <c r="I122" s="16" t="n">
        <v>717.928029</v>
      </c>
      <c r="J122" s="17" t="n">
        <f aca="false">IF(I122="","",G122-I122)</f>
        <v>0</v>
      </c>
      <c r="K122" s="18" t="n">
        <f aca="false">IF(OR(I122="",I122=0),"",J122/I122)</f>
        <v>0</v>
      </c>
      <c r="L122" s="19" t="str">
        <f aca="false">IF(OR(D122="",I122=""),"No reported total for O&amp;M or depreciation",IF(AND(ABS(F122)&lt;=$D$2,ABS(K122)&lt;=$D$2),"Reconciles within tolerance","Outside tolerance"))</f>
        <v>Reconciles within tolerance</v>
      </c>
      <c r="M122" s="17" t="n">
        <f aca="false">IF(OR(E122="",LEFT(L122,8)="Excluded"),"",ABS(E122))</f>
        <v>0</v>
      </c>
    </row>
    <row r="123" customFormat="false" ht="15" hidden="false" customHeight="false" outlineLevel="0" collapsed="false">
      <c r="A123" s="7" t="n">
        <v>2023</v>
      </c>
      <c r="B123" s="12" t="s">
        <v>61</v>
      </c>
      <c r="C123" s="16" t="n">
        <v>2796.122328</v>
      </c>
      <c r="D123" s="16" t="n">
        <v>2796.122328</v>
      </c>
      <c r="E123" s="17" t="n">
        <f aca="false">IF(D123="","",C123-D123)</f>
        <v>0</v>
      </c>
      <c r="F123" s="18" t="n">
        <f aca="false">IF(OR(D123="",D123=0),"",E123/D123)</f>
        <v>0</v>
      </c>
      <c r="G123" s="16" t="n">
        <v>748.040095</v>
      </c>
      <c r="H123" s="16" t="n">
        <v>0</v>
      </c>
      <c r="I123" s="16" t="n">
        <v>748.040095</v>
      </c>
      <c r="J123" s="17" t="n">
        <f aca="false">IF(I123="","",G123-I123)</f>
        <v>0</v>
      </c>
      <c r="K123" s="18" t="n">
        <f aca="false">IF(OR(I123="",I123=0),"",J123/I123)</f>
        <v>0</v>
      </c>
      <c r="L123" s="19" t="str">
        <f aca="false">IF(OR(D123="",I123=""),"No reported total for O&amp;M or depreciation",IF(AND(ABS(F123)&lt;=$D$2,ABS(K123)&lt;=$D$2),"Reconciles within tolerance","Outside tolerance"))</f>
        <v>Reconciles within tolerance</v>
      </c>
      <c r="M123" s="17" t="n">
        <f aca="false">IF(OR(E123="",LEFT(L123,8)="Excluded"),"",ABS(E123))</f>
        <v>0</v>
      </c>
    </row>
    <row r="124" customFormat="false" ht="15" hidden="false" customHeight="false" outlineLevel="0" collapsed="false">
      <c r="A124" s="7" t="n">
        <v>2024</v>
      </c>
      <c r="B124" s="12" t="s">
        <v>61</v>
      </c>
      <c r="C124" s="16" t="n">
        <v>2819.952295</v>
      </c>
      <c r="D124" s="16" t="n">
        <v>2819.578248</v>
      </c>
      <c r="E124" s="17" t="n">
        <f aca="false">IF(D124="","",C124-D124)</f>
        <v>0.374047000000246</v>
      </c>
      <c r="F124" s="18" t="n">
        <f aca="false">IF(OR(D124="",D124=0),"",E124/D124)</f>
        <v>0.000132660620525629</v>
      </c>
      <c r="G124" s="16" t="n">
        <v>624.363523</v>
      </c>
      <c r="H124" s="16" t="n">
        <v>0</v>
      </c>
      <c r="I124" s="16" t="n">
        <v>624.363523</v>
      </c>
      <c r="J124" s="17" t="n">
        <f aca="false">IF(I124="","",G124-I124)</f>
        <v>0</v>
      </c>
      <c r="K124" s="18" t="n">
        <f aca="false">IF(OR(I124="",I124=0),"",J124/I124)</f>
        <v>0</v>
      </c>
      <c r="L124" s="19" t="str">
        <f aca="false">IF(OR(D124="",I124=""),"No reported total for O&amp;M or depreciation",IF(AND(ABS(F124)&lt;=$D$2,ABS(K124)&lt;=$D$2),"Reconciles within tolerance","Outside tolerance"))</f>
        <v>Reconciles within tolerance</v>
      </c>
      <c r="M124" s="17" t="n">
        <f aca="false">IF(OR(E124="",LEFT(L124,8)="Excluded"),"",ABS(E124))</f>
        <v>0.374047000000246</v>
      </c>
    </row>
    <row r="125" customFormat="false" ht="15" hidden="false" customHeight="false" outlineLevel="0" collapsed="false">
      <c r="A125" s="7" t="n">
        <v>2025</v>
      </c>
      <c r="B125" s="12" t="s">
        <v>61</v>
      </c>
      <c r="C125" s="16" t="n">
        <v>3198.154224</v>
      </c>
      <c r="D125" s="16" t="n">
        <v>3198.154224</v>
      </c>
      <c r="E125" s="17" t="n">
        <f aca="false">IF(D125="","",C125-D125)</f>
        <v>0</v>
      </c>
      <c r="F125" s="18" t="n">
        <f aca="false">IF(OR(D125="",D125=0),"",E125/D125)</f>
        <v>0</v>
      </c>
      <c r="G125" s="16" t="n">
        <v>629.883366</v>
      </c>
      <c r="H125" s="16" t="n">
        <v>0</v>
      </c>
      <c r="I125" s="16" t="n">
        <v>629.883366</v>
      </c>
      <c r="J125" s="17" t="n">
        <f aca="false">IF(I125="","",G125-I125)</f>
        <v>0</v>
      </c>
      <c r="K125" s="18" t="n">
        <f aca="false">IF(OR(I125="",I125=0),"",J125/I125)</f>
        <v>0</v>
      </c>
      <c r="L125" s="19" t="str">
        <f aca="false">IF(OR(D125="",I125=""),"No reported total for O&amp;M or depreciation",IF(AND(ABS(F125)&lt;=$D$2,ABS(K125)&lt;=$D$2),"Reconciles within tolerance","Outside tolerance"))</f>
        <v>Reconciles within tolerance</v>
      </c>
      <c r="M125" s="17" t="n">
        <f aca="false">IF(OR(E125="",LEFT(L125,8)="Excluded"),"",ABS(E125))</f>
        <v>0</v>
      </c>
    </row>
    <row r="126" customFormat="false" ht="15" hidden="false" customHeight="false" outlineLevel="0" collapsed="false">
      <c r="A126" s="7" t="n">
        <v>1995</v>
      </c>
      <c r="B126" s="12" t="s">
        <v>63</v>
      </c>
      <c r="C126" s="16" t="n">
        <v>1682.134233</v>
      </c>
      <c r="D126" s="16" t="n">
        <v>1682.134233</v>
      </c>
      <c r="E126" s="17" t="n">
        <f aca="false">IF(D126="","",C126-D126)</f>
        <v>0</v>
      </c>
      <c r="F126" s="18" t="n">
        <f aca="false">IF(OR(D126="",D126=0),"",E126/D126)</f>
        <v>0</v>
      </c>
      <c r="G126" s="16" t="n">
        <v>497.221032</v>
      </c>
      <c r="H126" s="16" t="n">
        <v>0</v>
      </c>
      <c r="I126" s="16" t="n">
        <v>497.221032</v>
      </c>
      <c r="J126" s="17" t="n">
        <f aca="false">IF(I126="","",G126-I126)</f>
        <v>0</v>
      </c>
      <c r="K126" s="18" t="n">
        <f aca="false">IF(OR(I126="",I126=0),"",J126/I126)</f>
        <v>0</v>
      </c>
      <c r="L126" s="19" t="str">
        <f aca="false">IF(OR(D126="",I126=""),"No reported total for O&amp;M or depreciation",IF(AND(ABS(F126)&lt;=$D$2,ABS(K126)&lt;=$D$2),"Reconciles within tolerance","Outside tolerance"))</f>
        <v>Reconciles within tolerance</v>
      </c>
      <c r="M126" s="17" t="n">
        <f aca="false">IF(OR(E126="",LEFT(L126,8)="Excluded"),"",ABS(E126))</f>
        <v>0</v>
      </c>
    </row>
    <row r="127" customFormat="false" ht="15" hidden="false" customHeight="false" outlineLevel="0" collapsed="false">
      <c r="A127" s="7" t="n">
        <v>1996</v>
      </c>
      <c r="B127" s="12" t="s">
        <v>63</v>
      </c>
      <c r="C127" s="16" t="n">
        <v>1718.835815</v>
      </c>
      <c r="D127" s="16" t="n">
        <v>1718.835815</v>
      </c>
      <c r="E127" s="17" t="n">
        <f aca="false">IF(D127="","",C127-D127)</f>
        <v>0</v>
      </c>
      <c r="F127" s="18" t="n">
        <f aca="false">IF(OR(D127="",D127=0),"",E127/D127)</f>
        <v>0</v>
      </c>
      <c r="G127" s="16" t="n">
        <v>524.349122</v>
      </c>
      <c r="H127" s="16" t="n">
        <v>0</v>
      </c>
      <c r="I127" s="16" t="n">
        <v>524.349122</v>
      </c>
      <c r="J127" s="17" t="n">
        <f aca="false">IF(I127="","",G127-I127)</f>
        <v>0</v>
      </c>
      <c r="K127" s="18" t="n">
        <f aca="false">IF(OR(I127="",I127=0),"",J127/I127)</f>
        <v>0</v>
      </c>
      <c r="L127" s="19" t="str">
        <f aca="false">IF(OR(D127="",I127=""),"No reported total for O&amp;M or depreciation",IF(AND(ABS(F127)&lt;=$D$2,ABS(K127)&lt;=$D$2),"Reconciles within tolerance","Outside tolerance"))</f>
        <v>Reconciles within tolerance</v>
      </c>
      <c r="M127" s="17" t="n">
        <f aca="false">IF(OR(E127="",LEFT(L127,8)="Excluded"),"",ABS(E127))</f>
        <v>0</v>
      </c>
    </row>
    <row r="128" customFormat="false" ht="15" hidden="false" customHeight="false" outlineLevel="0" collapsed="false">
      <c r="A128" s="7" t="n">
        <v>1997</v>
      </c>
      <c r="B128" s="12" t="s">
        <v>63</v>
      </c>
      <c r="C128" s="16" t="n">
        <v>1673.346804</v>
      </c>
      <c r="D128" s="16" t="n">
        <v>1673.346804</v>
      </c>
      <c r="E128" s="17" t="n">
        <f aca="false">IF(D128="","",C128-D128)</f>
        <v>0</v>
      </c>
      <c r="F128" s="18" t="n">
        <f aca="false">IF(OR(D128="",D128=0),"",E128/D128)</f>
        <v>0</v>
      </c>
      <c r="G128" s="16" t="n">
        <v>547.103322</v>
      </c>
      <c r="H128" s="16" t="n">
        <v>0</v>
      </c>
      <c r="I128" s="16" t="n">
        <v>547.103322</v>
      </c>
      <c r="J128" s="17" t="n">
        <f aca="false">IF(I128="","",G128-I128)</f>
        <v>0</v>
      </c>
      <c r="K128" s="18" t="n">
        <f aca="false">IF(OR(I128="",I128=0),"",J128/I128)</f>
        <v>0</v>
      </c>
      <c r="L128" s="19" t="str">
        <f aca="false">IF(OR(D128="",I128=""),"No reported total for O&amp;M or depreciation",IF(AND(ABS(F128)&lt;=$D$2,ABS(K128)&lt;=$D$2),"Reconciles within tolerance","Outside tolerance"))</f>
        <v>Reconciles within tolerance</v>
      </c>
      <c r="M128" s="17" t="n">
        <f aca="false">IF(OR(E128="",LEFT(L128,8)="Excluded"),"",ABS(E128))</f>
        <v>0</v>
      </c>
    </row>
    <row r="129" customFormat="false" ht="15" hidden="false" customHeight="false" outlineLevel="0" collapsed="false">
      <c r="A129" s="7" t="n">
        <v>1998</v>
      </c>
      <c r="B129" s="12" t="s">
        <v>63</v>
      </c>
      <c r="C129" s="16" t="n">
        <v>1952.27055</v>
      </c>
      <c r="D129" s="16" t="n">
        <v>1952.27055</v>
      </c>
      <c r="E129" s="17" t="n">
        <f aca="false">IF(D129="","",C129-D129)</f>
        <v>0</v>
      </c>
      <c r="F129" s="18" t="n">
        <f aca="false">IF(OR(D129="",D129=0),"",E129/D129)</f>
        <v>0</v>
      </c>
      <c r="G129" s="16" t="n">
        <v>558.185679</v>
      </c>
      <c r="H129" s="16" t="n">
        <v>0</v>
      </c>
      <c r="I129" s="16" t="n">
        <v>558.185679</v>
      </c>
      <c r="J129" s="17" t="n">
        <f aca="false">IF(I129="","",G129-I129)</f>
        <v>0</v>
      </c>
      <c r="K129" s="18" t="n">
        <f aca="false">IF(OR(I129="",I129=0),"",J129/I129)</f>
        <v>0</v>
      </c>
      <c r="L129" s="19" t="str">
        <f aca="false">IF(OR(D129="",I129=""),"No reported total for O&amp;M or depreciation",IF(AND(ABS(F129)&lt;=$D$2,ABS(K129)&lt;=$D$2),"Reconciles within tolerance","Outside tolerance"))</f>
        <v>Reconciles within tolerance</v>
      </c>
      <c r="M129" s="17" t="n">
        <f aca="false">IF(OR(E129="",LEFT(L129,8)="Excluded"),"",ABS(E129))</f>
        <v>0</v>
      </c>
    </row>
    <row r="130" customFormat="false" ht="15" hidden="false" customHeight="false" outlineLevel="0" collapsed="false">
      <c r="A130" s="7" t="n">
        <v>1999</v>
      </c>
      <c r="B130" s="12" t="s">
        <v>63</v>
      </c>
      <c r="C130" s="16" t="n">
        <v>2066.897537</v>
      </c>
      <c r="D130" s="16" t="n">
        <v>2066.897537</v>
      </c>
      <c r="E130" s="17" t="n">
        <f aca="false">IF(D130="","",C130-D130)</f>
        <v>0</v>
      </c>
      <c r="F130" s="18" t="n">
        <f aca="false">IF(OR(D130="",D130=0),"",E130/D130)</f>
        <v>0</v>
      </c>
      <c r="G130" s="16" t="n">
        <v>435.84234</v>
      </c>
      <c r="H130" s="16" t="n">
        <v>0</v>
      </c>
      <c r="I130" s="16" t="n">
        <v>435.84234</v>
      </c>
      <c r="J130" s="17" t="n">
        <f aca="false">IF(I130="","",G130-I130)</f>
        <v>0</v>
      </c>
      <c r="K130" s="18" t="n">
        <f aca="false">IF(OR(I130="",I130=0),"",J130/I130)</f>
        <v>0</v>
      </c>
      <c r="L130" s="19" t="str">
        <f aca="false">IF(OR(D130="",I130=""),"No reported total for O&amp;M or depreciation",IF(AND(ABS(F130)&lt;=$D$2,ABS(K130)&lt;=$D$2),"Reconciles within tolerance","Outside tolerance"))</f>
        <v>Reconciles within tolerance</v>
      </c>
      <c r="M130" s="17" t="n">
        <f aca="false">IF(OR(E130="",LEFT(L130,8)="Excluded"),"",ABS(E130))</f>
        <v>0</v>
      </c>
    </row>
    <row r="131" customFormat="false" ht="15" hidden="false" customHeight="false" outlineLevel="0" collapsed="false">
      <c r="A131" s="7" t="n">
        <v>2000</v>
      </c>
      <c r="B131" s="12" t="s">
        <v>63</v>
      </c>
      <c r="C131" s="16" t="n">
        <v>2186.894886</v>
      </c>
      <c r="D131" s="16" t="n">
        <v>2186.894886</v>
      </c>
      <c r="E131" s="17" t="n">
        <f aca="false">IF(D131="","",C131-D131)</f>
        <v>0</v>
      </c>
      <c r="F131" s="18" t="n">
        <f aca="false">IF(OR(D131="",D131=0),"",E131/D131)</f>
        <v>0</v>
      </c>
      <c r="G131" s="16" t="n">
        <v>451.810066</v>
      </c>
      <c r="H131" s="16" t="n">
        <v>0</v>
      </c>
      <c r="I131" s="16" t="n">
        <v>451.810066</v>
      </c>
      <c r="J131" s="17" t="n">
        <f aca="false">IF(I131="","",G131-I131)</f>
        <v>0</v>
      </c>
      <c r="K131" s="18" t="n">
        <f aca="false">IF(OR(I131="",I131=0),"",J131/I131)</f>
        <v>0</v>
      </c>
      <c r="L131" s="19" t="str">
        <f aca="false">IF(OR(D131="",I131=""),"No reported total for O&amp;M or depreciation",IF(AND(ABS(F131)&lt;=$D$2,ABS(K131)&lt;=$D$2),"Reconciles within tolerance","Outside tolerance"))</f>
        <v>Reconciles within tolerance</v>
      </c>
      <c r="M131" s="17" t="n">
        <f aca="false">IF(OR(E131="",LEFT(L131,8)="Excluded"),"",ABS(E131))</f>
        <v>0</v>
      </c>
    </row>
    <row r="132" customFormat="false" ht="15" hidden="false" customHeight="false" outlineLevel="0" collapsed="false">
      <c r="A132" s="7" t="n">
        <v>2001</v>
      </c>
      <c r="B132" s="12" t="s">
        <v>63</v>
      </c>
      <c r="C132" s="16" t="n">
        <v>2447.232697</v>
      </c>
      <c r="D132" s="16" t="n">
        <v>2447.232697</v>
      </c>
      <c r="E132" s="17" t="n">
        <f aca="false">IF(D132="","",C132-D132)</f>
        <v>0</v>
      </c>
      <c r="F132" s="18" t="n">
        <f aca="false">IF(OR(D132="",D132=0),"",E132/D132)</f>
        <v>0</v>
      </c>
      <c r="G132" s="16" t="n">
        <v>443.304924</v>
      </c>
      <c r="H132" s="16" t="n">
        <v>0</v>
      </c>
      <c r="I132" s="16" t="n">
        <v>443.304924</v>
      </c>
      <c r="J132" s="17" t="n">
        <f aca="false">IF(I132="","",G132-I132)</f>
        <v>0</v>
      </c>
      <c r="K132" s="18" t="n">
        <f aca="false">IF(OR(I132="",I132=0),"",J132/I132)</f>
        <v>0</v>
      </c>
      <c r="L132" s="19" t="str">
        <f aca="false">IF(OR(D132="",I132=""),"No reported total for O&amp;M or depreciation",IF(AND(ABS(F132)&lt;=$D$2,ABS(K132)&lt;=$D$2),"Reconciles within tolerance","Outside tolerance"))</f>
        <v>Reconciles within tolerance</v>
      </c>
      <c r="M132" s="17" t="n">
        <f aca="false">IF(OR(E132="",LEFT(L132,8)="Excluded"),"",ABS(E132))</f>
        <v>0</v>
      </c>
    </row>
    <row r="133" customFormat="false" ht="15" hidden="false" customHeight="false" outlineLevel="0" collapsed="false">
      <c r="A133" s="7" t="n">
        <v>2002</v>
      </c>
      <c r="B133" s="12" t="s">
        <v>63</v>
      </c>
      <c r="C133" s="16" t="n">
        <v>2282.640262</v>
      </c>
      <c r="D133" s="16" t="n">
        <v>2282.640262</v>
      </c>
      <c r="E133" s="17" t="n">
        <f aca="false">IF(D133="","",C133-D133)</f>
        <v>0</v>
      </c>
      <c r="F133" s="18" t="n">
        <f aca="false">IF(OR(D133="",D133=0),"",E133/D133)</f>
        <v>0</v>
      </c>
      <c r="G133" s="16" t="n">
        <v>448.276444</v>
      </c>
      <c r="H133" s="16" t="n">
        <v>0</v>
      </c>
      <c r="I133" s="16" t="n">
        <v>448.276444</v>
      </c>
      <c r="J133" s="17" t="n">
        <f aca="false">IF(I133="","",G133-I133)</f>
        <v>0</v>
      </c>
      <c r="K133" s="18" t="n">
        <f aca="false">IF(OR(I133="",I133=0),"",J133/I133)</f>
        <v>0</v>
      </c>
      <c r="L133" s="19" t="str">
        <f aca="false">IF(OR(D133="",I133=""),"No reported total for O&amp;M or depreciation",IF(AND(ABS(F133)&lt;=$D$2,ABS(K133)&lt;=$D$2),"Reconciles within tolerance","Outside tolerance"))</f>
        <v>Reconciles within tolerance</v>
      </c>
      <c r="M133" s="17" t="n">
        <f aca="false">IF(OR(E133="",LEFT(L133,8)="Excluded"),"",ABS(E133))</f>
        <v>0</v>
      </c>
    </row>
    <row r="134" customFormat="false" ht="15" hidden="false" customHeight="false" outlineLevel="0" collapsed="false">
      <c r="A134" s="7" t="n">
        <v>2003</v>
      </c>
      <c r="B134" s="12" t="s">
        <v>63</v>
      </c>
      <c r="C134" s="16" t="n">
        <v>2241.873324</v>
      </c>
      <c r="D134" s="16" t="n">
        <v>2241.873324</v>
      </c>
      <c r="E134" s="17" t="n">
        <f aca="false">IF(D134="","",C134-D134)</f>
        <v>0</v>
      </c>
      <c r="F134" s="18" t="n">
        <f aca="false">IF(OR(D134="",D134=0),"",E134/D134)</f>
        <v>0</v>
      </c>
      <c r="G134" s="16" t="n">
        <v>423.203018</v>
      </c>
      <c r="H134" s="16" t="n">
        <v>0</v>
      </c>
      <c r="I134" s="16" t="n">
        <v>423.203018</v>
      </c>
      <c r="J134" s="17" t="n">
        <f aca="false">IF(I134="","",G134-I134)</f>
        <v>0</v>
      </c>
      <c r="K134" s="18" t="n">
        <f aca="false">IF(OR(I134="",I134=0),"",J134/I134)</f>
        <v>0</v>
      </c>
      <c r="L134" s="19" t="str">
        <f aca="false">IF(OR(D134="",I134=""),"No reported total for O&amp;M or depreciation",IF(AND(ABS(F134)&lt;=$D$2,ABS(K134)&lt;=$D$2),"Reconciles within tolerance","Outside tolerance"))</f>
        <v>Reconciles within tolerance</v>
      </c>
      <c r="M134" s="17" t="n">
        <f aca="false">IF(OR(E134="",LEFT(L134,8)="Excluded"),"",ABS(E134))</f>
        <v>0</v>
      </c>
    </row>
    <row r="135" customFormat="false" ht="15" hidden="false" customHeight="false" outlineLevel="0" collapsed="false">
      <c r="A135" s="7" t="n">
        <v>2004</v>
      </c>
      <c r="B135" s="12" t="s">
        <v>63</v>
      </c>
      <c r="C135" s="16" t="n">
        <v>2241.003341</v>
      </c>
      <c r="D135" s="16" t="n">
        <v>2241.003341</v>
      </c>
      <c r="E135" s="17" t="n">
        <f aca="false">IF(D135="","",C135-D135)</f>
        <v>0</v>
      </c>
      <c r="F135" s="18" t="n">
        <f aca="false">IF(OR(D135="",D135=0),"",E135/D135)</f>
        <v>0</v>
      </c>
      <c r="G135" s="16" t="n">
        <v>437.90965</v>
      </c>
      <c r="H135" s="16" t="n">
        <v>0</v>
      </c>
      <c r="I135" s="16" t="n">
        <v>437.90965</v>
      </c>
      <c r="J135" s="17" t="n">
        <f aca="false">IF(I135="","",G135-I135)</f>
        <v>0</v>
      </c>
      <c r="K135" s="18" t="n">
        <f aca="false">IF(OR(I135="",I135=0),"",J135/I135)</f>
        <v>0</v>
      </c>
      <c r="L135" s="19" t="str">
        <f aca="false">IF(OR(D135="",I135=""),"No reported total for O&amp;M or depreciation",IF(AND(ABS(F135)&lt;=$D$2,ABS(K135)&lt;=$D$2),"Reconciles within tolerance","Outside tolerance"))</f>
        <v>Reconciles within tolerance</v>
      </c>
      <c r="M135" s="17" t="n">
        <f aca="false">IF(OR(E135="",LEFT(L135,8)="Excluded"),"",ABS(E135))</f>
        <v>0</v>
      </c>
    </row>
    <row r="136" customFormat="false" ht="15" hidden="false" customHeight="false" outlineLevel="0" collapsed="false">
      <c r="A136" s="7" t="n">
        <v>2005</v>
      </c>
      <c r="B136" s="12" t="s">
        <v>63</v>
      </c>
      <c r="C136" s="16" t="n">
        <v>2857.651607</v>
      </c>
      <c r="D136" s="16" t="n">
        <v>2857.651607</v>
      </c>
      <c r="E136" s="17" t="n">
        <f aca="false">IF(D136="","",C136-D136)</f>
        <v>0</v>
      </c>
      <c r="F136" s="18" t="n">
        <f aca="false">IF(OR(D136="",D136=0),"",E136/D136)</f>
        <v>0</v>
      </c>
      <c r="G136" s="16" t="n">
        <v>432.893294</v>
      </c>
      <c r="H136" s="16" t="n">
        <v>0</v>
      </c>
      <c r="I136" s="16" t="n">
        <v>432.893294</v>
      </c>
      <c r="J136" s="17" t="n">
        <f aca="false">IF(I136="","",G136-I136)</f>
        <v>0</v>
      </c>
      <c r="K136" s="18" t="n">
        <f aca="false">IF(OR(I136="",I136=0),"",J136/I136)</f>
        <v>0</v>
      </c>
      <c r="L136" s="19" t="str">
        <f aca="false">IF(OR(D136="",I136=""),"No reported total for O&amp;M or depreciation",IF(AND(ABS(F136)&lt;=$D$2,ABS(K136)&lt;=$D$2),"Reconciles within tolerance","Outside tolerance"))</f>
        <v>Reconciles within tolerance</v>
      </c>
      <c r="M136" s="17" t="n">
        <f aca="false">IF(OR(E136="",LEFT(L136,8)="Excluded"),"",ABS(E136))</f>
        <v>0</v>
      </c>
    </row>
    <row r="137" customFormat="false" ht="15" hidden="false" customHeight="false" outlineLevel="0" collapsed="false">
      <c r="A137" s="7" t="n">
        <v>2006</v>
      </c>
      <c r="B137" s="12" t="s">
        <v>63</v>
      </c>
      <c r="C137" s="16" t="n">
        <v>2850.991184</v>
      </c>
      <c r="D137" s="16" t="n">
        <v>2850.991184</v>
      </c>
      <c r="E137" s="17" t="n">
        <f aca="false">IF(D137="","",C137-D137)</f>
        <v>0</v>
      </c>
      <c r="F137" s="18" t="n">
        <f aca="false">IF(OR(D137="",D137=0),"",E137/D137)</f>
        <v>0</v>
      </c>
      <c r="G137" s="16" t="n">
        <v>866.524228</v>
      </c>
      <c r="H137" s="16" t="n">
        <v>0</v>
      </c>
      <c r="I137" s="16"/>
      <c r="J137" s="17" t="str">
        <f aca="false">IF(I137="","",G137-I137)</f>
        <v/>
      </c>
      <c r="K137" s="18" t="str">
        <f aca="false">IF(OR(I137="",I137=0),"",J137/I137)</f>
        <v/>
      </c>
      <c r="L137" s="19" t="str">
        <f aca="false">IF(OR(D137="",I137=""),"No reported total for O&amp;M or depreciation",IF(AND(ABS(F137)&lt;=$D$2,ABS(K137)&lt;=$D$2),"Reconciles within tolerance","Outside tolerance"))</f>
        <v>No reported total for O&amp;M or depreciation</v>
      </c>
      <c r="M137" s="17" t="n">
        <f aca="false">IF(OR(E137="",LEFT(L137,8)="Excluded"),"",ABS(E137))</f>
        <v>0</v>
      </c>
    </row>
    <row r="138" customFormat="false" ht="15" hidden="false" customHeight="false" outlineLevel="0" collapsed="false">
      <c r="A138" s="7" t="n">
        <v>2007</v>
      </c>
      <c r="B138" s="12" t="s">
        <v>63</v>
      </c>
      <c r="C138" s="16" t="n">
        <v>3051.354469</v>
      </c>
      <c r="D138" s="16" t="n">
        <v>3051.354469</v>
      </c>
      <c r="E138" s="17" t="n">
        <f aca="false">IF(D138="","",C138-D138)</f>
        <v>0</v>
      </c>
      <c r="F138" s="18" t="n">
        <f aca="false">IF(OR(D138="",D138=0),"",E138/D138)</f>
        <v>0</v>
      </c>
      <c r="G138" s="16" t="n">
        <v>453.224109</v>
      </c>
      <c r="H138" s="16" t="n">
        <v>0</v>
      </c>
      <c r="I138" s="16" t="n">
        <v>453.224109</v>
      </c>
      <c r="J138" s="17" t="n">
        <f aca="false">IF(I138="","",G138-I138)</f>
        <v>0</v>
      </c>
      <c r="K138" s="18" t="n">
        <f aca="false">IF(OR(I138="",I138=0),"",J138/I138)</f>
        <v>0</v>
      </c>
      <c r="L138" s="19" t="str">
        <f aca="false">IF(OR(D138="",I138=""),"No reported total for O&amp;M or depreciation",IF(AND(ABS(F138)&lt;=$D$2,ABS(K138)&lt;=$D$2),"Reconciles within tolerance","Outside tolerance"))</f>
        <v>Reconciles within tolerance</v>
      </c>
      <c r="M138" s="17" t="n">
        <f aca="false">IF(OR(E138="",LEFT(L138,8)="Excluded"),"",ABS(E138))</f>
        <v>0</v>
      </c>
    </row>
    <row r="139" customFormat="false" ht="15" hidden="false" customHeight="false" outlineLevel="0" collapsed="false">
      <c r="A139" s="7" t="n">
        <v>2008</v>
      </c>
      <c r="B139" s="12" t="s">
        <v>63</v>
      </c>
      <c r="C139" s="16" t="n">
        <v>3071.165076</v>
      </c>
      <c r="D139" s="16" t="n">
        <v>3071.165076</v>
      </c>
      <c r="E139" s="17" t="n">
        <f aca="false">IF(D139="","",C139-D139)</f>
        <v>0</v>
      </c>
      <c r="F139" s="18" t="n">
        <f aca="false">IF(OR(D139="",D139=0),"",E139/D139)</f>
        <v>0</v>
      </c>
      <c r="G139" s="16" t="n">
        <v>473.032046</v>
      </c>
      <c r="H139" s="16" t="n">
        <v>0</v>
      </c>
      <c r="I139" s="16" t="n">
        <v>473.032046</v>
      </c>
      <c r="J139" s="17" t="n">
        <f aca="false">IF(I139="","",G139-I139)</f>
        <v>0</v>
      </c>
      <c r="K139" s="18" t="n">
        <f aca="false">IF(OR(I139="",I139=0),"",J139/I139)</f>
        <v>0</v>
      </c>
      <c r="L139" s="19" t="str">
        <f aca="false">IF(OR(D139="",I139=""),"No reported total for O&amp;M or depreciation",IF(AND(ABS(F139)&lt;=$D$2,ABS(K139)&lt;=$D$2),"Reconciles within tolerance","Outside tolerance"))</f>
        <v>Reconciles within tolerance</v>
      </c>
      <c r="M139" s="17" t="n">
        <f aca="false">IF(OR(E139="",LEFT(L139,8)="Excluded"),"",ABS(E139))</f>
        <v>0</v>
      </c>
    </row>
    <row r="140" customFormat="false" ht="15" hidden="false" customHeight="false" outlineLevel="0" collapsed="false">
      <c r="A140" s="7" t="n">
        <v>2009</v>
      </c>
      <c r="B140" s="12" t="s">
        <v>63</v>
      </c>
      <c r="C140" s="16" t="n">
        <v>2746.769561</v>
      </c>
      <c r="D140" s="16" t="n">
        <v>2746.769561</v>
      </c>
      <c r="E140" s="17" t="n">
        <f aca="false">IF(D140="","",C140-D140)</f>
        <v>0</v>
      </c>
      <c r="F140" s="18" t="n">
        <f aca="false">IF(OR(D140="",D140=0),"",E140/D140)</f>
        <v>0</v>
      </c>
      <c r="G140" s="16" t="n">
        <v>512.434809</v>
      </c>
      <c r="H140" s="16" t="n">
        <v>0</v>
      </c>
      <c r="I140" s="16" t="n">
        <v>512.434809</v>
      </c>
      <c r="J140" s="17" t="n">
        <f aca="false">IF(I140="","",G140-I140)</f>
        <v>0</v>
      </c>
      <c r="K140" s="18" t="n">
        <f aca="false">IF(OR(I140="",I140=0),"",J140/I140)</f>
        <v>0</v>
      </c>
      <c r="L140" s="19" t="str">
        <f aca="false">IF(OR(D140="",I140=""),"No reported total for O&amp;M or depreciation",IF(AND(ABS(F140)&lt;=$D$2,ABS(K140)&lt;=$D$2),"Reconciles within tolerance","Outside tolerance"))</f>
        <v>Reconciles within tolerance</v>
      </c>
      <c r="M140" s="17" t="n">
        <f aca="false">IF(OR(E140="",LEFT(L140,8)="Excluded"),"",ABS(E140))</f>
        <v>0</v>
      </c>
    </row>
    <row r="141" customFormat="false" ht="15" hidden="false" customHeight="false" outlineLevel="0" collapsed="false">
      <c r="A141" s="7" t="n">
        <v>2010</v>
      </c>
      <c r="B141" s="12" t="s">
        <v>63</v>
      </c>
      <c r="C141" s="16" t="n">
        <v>2919.194232</v>
      </c>
      <c r="D141" s="16" t="n">
        <v>2919.194232</v>
      </c>
      <c r="E141" s="17" t="n">
        <f aca="false">IF(D141="","",C141-D141)</f>
        <v>0</v>
      </c>
      <c r="F141" s="18" t="n">
        <f aca="false">IF(OR(D141="",D141=0),"",E141/D141)</f>
        <v>0</v>
      </c>
      <c r="G141" s="16" t="n">
        <v>532.628423</v>
      </c>
      <c r="H141" s="16" t="n">
        <v>0</v>
      </c>
      <c r="I141" s="16" t="n">
        <v>532.628423</v>
      </c>
      <c r="J141" s="17" t="n">
        <f aca="false">IF(I141="","",G141-I141)</f>
        <v>0</v>
      </c>
      <c r="K141" s="18" t="n">
        <f aca="false">IF(OR(I141="",I141=0),"",J141/I141)</f>
        <v>0</v>
      </c>
      <c r="L141" s="19" t="str">
        <f aca="false">IF(OR(D141="",I141=""),"No reported total for O&amp;M or depreciation",IF(AND(ABS(F141)&lt;=$D$2,ABS(K141)&lt;=$D$2),"Reconciles within tolerance","Outside tolerance"))</f>
        <v>Reconciles within tolerance</v>
      </c>
      <c r="M141" s="17" t="n">
        <f aca="false">IF(OR(E141="",LEFT(L141,8)="Excluded"),"",ABS(E141))</f>
        <v>0</v>
      </c>
    </row>
    <row r="142" customFormat="false" ht="15" hidden="false" customHeight="false" outlineLevel="0" collapsed="false">
      <c r="A142" s="7" t="n">
        <v>2011</v>
      </c>
      <c r="B142" s="12" t="s">
        <v>63</v>
      </c>
      <c r="C142" s="16" t="n">
        <v>3095.707159</v>
      </c>
      <c r="D142" s="16" t="n">
        <v>3095.707159</v>
      </c>
      <c r="E142" s="17" t="n">
        <f aca="false">IF(D142="","",C142-D142)</f>
        <v>0</v>
      </c>
      <c r="F142" s="18" t="n">
        <f aca="false">IF(OR(D142="",D142=0),"",E142/D142)</f>
        <v>0</v>
      </c>
      <c r="G142" s="16" t="n">
        <v>546.248385</v>
      </c>
      <c r="H142" s="16" t="n">
        <v>0</v>
      </c>
      <c r="I142" s="16" t="n">
        <v>546.248385</v>
      </c>
      <c r="J142" s="17" t="n">
        <f aca="false">IF(I142="","",G142-I142)</f>
        <v>0</v>
      </c>
      <c r="K142" s="18" t="n">
        <f aca="false">IF(OR(I142="",I142=0),"",J142/I142)</f>
        <v>0</v>
      </c>
      <c r="L142" s="19" t="str">
        <f aca="false">IF(OR(D142="",I142=""),"No reported total for O&amp;M or depreciation",IF(AND(ABS(F142)&lt;=$D$2,ABS(K142)&lt;=$D$2),"Reconciles within tolerance","Outside tolerance"))</f>
        <v>Reconciles within tolerance</v>
      </c>
      <c r="M142" s="17" t="n">
        <f aca="false">IF(OR(E142="",LEFT(L142,8)="Excluded"),"",ABS(E142))</f>
        <v>0</v>
      </c>
    </row>
    <row r="143" customFormat="false" ht="15" hidden="false" customHeight="false" outlineLevel="0" collapsed="false">
      <c r="A143" s="7" t="n">
        <v>2012</v>
      </c>
      <c r="B143" s="12" t="s">
        <v>63</v>
      </c>
      <c r="C143" s="16" t="n">
        <v>3166.791928</v>
      </c>
      <c r="D143" s="16" t="n">
        <v>3166.791928</v>
      </c>
      <c r="E143" s="17" t="n">
        <f aca="false">IF(D143="","",C143-D143)</f>
        <v>0</v>
      </c>
      <c r="F143" s="18" t="n">
        <f aca="false">IF(OR(D143="",D143=0),"",E143/D143)</f>
        <v>0</v>
      </c>
      <c r="G143" s="16" t="n">
        <v>535.062262</v>
      </c>
      <c r="H143" s="16" t="n">
        <v>0</v>
      </c>
      <c r="I143" s="16" t="n">
        <v>535.062262</v>
      </c>
      <c r="J143" s="17" t="n">
        <f aca="false">IF(I143="","",G143-I143)</f>
        <v>0</v>
      </c>
      <c r="K143" s="18" t="n">
        <f aca="false">IF(OR(I143="",I143=0),"",J143/I143)</f>
        <v>0</v>
      </c>
      <c r="L143" s="19" t="str">
        <f aca="false">IF(OR(D143="",I143=""),"No reported total for O&amp;M or depreciation",IF(AND(ABS(F143)&lt;=$D$2,ABS(K143)&lt;=$D$2),"Reconciles within tolerance","Outside tolerance"))</f>
        <v>Reconciles within tolerance</v>
      </c>
      <c r="M143" s="17" t="n">
        <f aca="false">IF(OR(E143="",LEFT(L143,8)="Excluded"),"",ABS(E143))</f>
        <v>0</v>
      </c>
    </row>
    <row r="144" customFormat="false" ht="15" hidden="false" customHeight="false" outlineLevel="0" collapsed="false">
      <c r="A144" s="7" t="n">
        <v>2013</v>
      </c>
      <c r="B144" s="12" t="s">
        <v>63</v>
      </c>
      <c r="C144" s="16" t="n">
        <v>3051.527026</v>
      </c>
      <c r="D144" s="16" t="n">
        <v>3051.527026</v>
      </c>
      <c r="E144" s="17" t="n">
        <f aca="false">IF(D144="","",C144-D144)</f>
        <v>0</v>
      </c>
      <c r="F144" s="18" t="n">
        <f aca="false">IF(OR(D144="",D144=0),"",E144/D144)</f>
        <v>0</v>
      </c>
      <c r="G144" s="16" t="n">
        <v>562.752952</v>
      </c>
      <c r="H144" s="16" t="n">
        <v>0</v>
      </c>
      <c r="I144" s="16" t="n">
        <v>562.752952</v>
      </c>
      <c r="J144" s="17" t="n">
        <f aca="false">IF(I144="","",G144-I144)</f>
        <v>0</v>
      </c>
      <c r="K144" s="18" t="n">
        <f aca="false">IF(OR(I144="",I144=0),"",J144/I144)</f>
        <v>0</v>
      </c>
      <c r="L144" s="19" t="str">
        <f aca="false">IF(OR(D144="",I144=""),"No reported total for O&amp;M or depreciation",IF(AND(ABS(F144)&lt;=$D$2,ABS(K144)&lt;=$D$2),"Reconciles within tolerance","Outside tolerance"))</f>
        <v>Reconciles within tolerance</v>
      </c>
      <c r="M144" s="17" t="n">
        <f aca="false">IF(OR(E144="",LEFT(L144,8)="Excluded"),"",ABS(E144))</f>
        <v>0</v>
      </c>
    </row>
    <row r="145" customFormat="false" ht="15" hidden="false" customHeight="false" outlineLevel="0" collapsed="false">
      <c r="A145" s="7" t="n">
        <v>2014</v>
      </c>
      <c r="B145" s="12" t="s">
        <v>63</v>
      </c>
      <c r="C145" s="16" t="n">
        <v>3009.946785</v>
      </c>
      <c r="D145" s="16" t="n">
        <v>3009.946785</v>
      </c>
      <c r="E145" s="17" t="n">
        <f aca="false">IF(D145="","",C145-D145)</f>
        <v>0</v>
      </c>
      <c r="F145" s="18" t="n">
        <f aca="false">IF(OR(D145="",D145=0),"",E145/D145)</f>
        <v>0</v>
      </c>
      <c r="G145" s="16" t="n">
        <v>594.026526</v>
      </c>
      <c r="H145" s="16" t="n">
        <v>0</v>
      </c>
      <c r="I145" s="16" t="n">
        <v>594.026526</v>
      </c>
      <c r="J145" s="17" t="n">
        <f aca="false">IF(I145="","",G145-I145)</f>
        <v>0</v>
      </c>
      <c r="K145" s="18" t="n">
        <f aca="false">IF(OR(I145="",I145=0),"",J145/I145)</f>
        <v>0</v>
      </c>
      <c r="L145" s="19" t="str">
        <f aca="false">IF(OR(D145="",I145=""),"No reported total for O&amp;M or depreciation",IF(AND(ABS(F145)&lt;=$D$2,ABS(K145)&lt;=$D$2),"Reconciles within tolerance","Outside tolerance"))</f>
        <v>Reconciles within tolerance</v>
      </c>
      <c r="M145" s="17" t="n">
        <f aca="false">IF(OR(E145="",LEFT(L145,8)="Excluded"),"",ABS(E145))</f>
        <v>0</v>
      </c>
    </row>
    <row r="146" customFormat="false" ht="15" hidden="false" customHeight="false" outlineLevel="0" collapsed="false">
      <c r="A146" s="7" t="n">
        <v>2015</v>
      </c>
      <c r="B146" s="12" t="s">
        <v>63</v>
      </c>
      <c r="C146" s="16" t="n">
        <v>2895.409123</v>
      </c>
      <c r="D146" s="16" t="n">
        <v>2895.409123</v>
      </c>
      <c r="E146" s="17" t="n">
        <f aca="false">IF(D146="","",C146-D146)</f>
        <v>0</v>
      </c>
      <c r="F146" s="18" t="n">
        <f aca="false">IF(OR(D146="",D146=0),"",E146/D146)</f>
        <v>0</v>
      </c>
      <c r="G146" s="16" t="n">
        <v>656.317612</v>
      </c>
      <c r="H146" s="16" t="n">
        <v>0</v>
      </c>
      <c r="I146" s="16" t="n">
        <v>656.317612</v>
      </c>
      <c r="J146" s="17" t="n">
        <f aca="false">IF(I146="","",G146-I146)</f>
        <v>0</v>
      </c>
      <c r="K146" s="18" t="n">
        <f aca="false">IF(OR(I146="",I146=0),"",J146/I146)</f>
        <v>0</v>
      </c>
      <c r="L146" s="19" t="str">
        <f aca="false">IF(OR(D146="",I146=""),"No reported total for O&amp;M or depreciation",IF(AND(ABS(F146)&lt;=$D$2,ABS(K146)&lt;=$D$2),"Reconciles within tolerance","Outside tolerance"))</f>
        <v>Reconciles within tolerance</v>
      </c>
      <c r="M146" s="17" t="n">
        <f aca="false">IF(OR(E146="",LEFT(L146,8)="Excluded"),"",ABS(E146))</f>
        <v>0</v>
      </c>
    </row>
    <row r="147" customFormat="false" ht="15" hidden="false" customHeight="false" outlineLevel="0" collapsed="false">
      <c r="A147" s="7" t="n">
        <v>2016</v>
      </c>
      <c r="B147" s="12" t="s">
        <v>63</v>
      </c>
      <c r="C147" s="16" t="n">
        <v>2979.638436</v>
      </c>
      <c r="D147" s="16" t="n">
        <v>2979.638436</v>
      </c>
      <c r="E147" s="17" t="n">
        <f aca="false">IF(D147="","",C147-D147)</f>
        <v>0</v>
      </c>
      <c r="F147" s="18" t="n">
        <f aca="false">IF(OR(D147="",D147=0),"",E147/D147)</f>
        <v>0</v>
      </c>
      <c r="G147" s="16" t="n">
        <v>688.270662</v>
      </c>
      <c r="H147" s="16" t="n">
        <v>0</v>
      </c>
      <c r="I147" s="16" t="n">
        <v>688.270662</v>
      </c>
      <c r="J147" s="17" t="n">
        <f aca="false">IF(I147="","",G147-I147)</f>
        <v>0</v>
      </c>
      <c r="K147" s="18" t="n">
        <f aca="false">IF(OR(I147="",I147=0),"",J147/I147)</f>
        <v>0</v>
      </c>
      <c r="L147" s="19" t="str">
        <f aca="false">IF(OR(D147="",I147=""),"No reported total for O&amp;M or depreciation",IF(AND(ABS(F147)&lt;=$D$2,ABS(K147)&lt;=$D$2),"Reconciles within tolerance","Outside tolerance"))</f>
        <v>Reconciles within tolerance</v>
      </c>
      <c r="M147" s="17" t="n">
        <f aca="false">IF(OR(E147="",LEFT(L147,8)="Excluded"),"",ABS(E147))</f>
        <v>0</v>
      </c>
    </row>
    <row r="148" customFormat="false" ht="15" hidden="false" customHeight="false" outlineLevel="0" collapsed="false">
      <c r="A148" s="7" t="n">
        <v>2017</v>
      </c>
      <c r="B148" s="12" t="s">
        <v>63</v>
      </c>
      <c r="C148" s="16" t="n">
        <v>2873.900235</v>
      </c>
      <c r="D148" s="16" t="n">
        <v>2873.900235</v>
      </c>
      <c r="E148" s="17" t="n">
        <f aca="false">IF(D148="","",C148-D148)</f>
        <v>0</v>
      </c>
      <c r="F148" s="18" t="n">
        <f aca="false">IF(OR(D148="",D148=0),"",E148/D148)</f>
        <v>0</v>
      </c>
      <c r="G148" s="16" t="n">
        <v>729.727709</v>
      </c>
      <c r="H148" s="16" t="n">
        <v>0</v>
      </c>
      <c r="I148" s="16" t="n">
        <v>729.727709</v>
      </c>
      <c r="J148" s="17" t="n">
        <f aca="false">IF(I148="","",G148-I148)</f>
        <v>0</v>
      </c>
      <c r="K148" s="18" t="n">
        <f aca="false">IF(OR(I148="",I148=0),"",J148/I148)</f>
        <v>0</v>
      </c>
      <c r="L148" s="19" t="str">
        <f aca="false">IF(OR(D148="",I148=""),"No reported total for O&amp;M or depreciation",IF(AND(ABS(F148)&lt;=$D$2,ABS(K148)&lt;=$D$2),"Reconciles within tolerance","Outside tolerance"))</f>
        <v>Reconciles within tolerance</v>
      </c>
      <c r="M148" s="17" t="n">
        <f aca="false">IF(OR(E148="",LEFT(L148,8)="Excluded"),"",ABS(E148))</f>
        <v>0</v>
      </c>
    </row>
    <row r="149" customFormat="false" ht="15" hidden="false" customHeight="false" outlineLevel="0" collapsed="false">
      <c r="A149" s="7" t="n">
        <v>2018</v>
      </c>
      <c r="B149" s="12" t="s">
        <v>63</v>
      </c>
      <c r="C149" s="16" t="n">
        <v>3012.045945</v>
      </c>
      <c r="D149" s="16" t="n">
        <v>3012.045945</v>
      </c>
      <c r="E149" s="17" t="n">
        <f aca="false">IF(D149="","",C149-D149)</f>
        <v>0</v>
      </c>
      <c r="F149" s="18" t="n">
        <f aca="false">IF(OR(D149="",D149=0),"",E149/D149)</f>
        <v>0</v>
      </c>
      <c r="G149" s="16" t="n">
        <v>774.795954</v>
      </c>
      <c r="H149" s="16" t="n">
        <v>0</v>
      </c>
      <c r="I149" s="16" t="n">
        <v>774.795954</v>
      </c>
      <c r="J149" s="17" t="n">
        <f aca="false">IF(I149="","",G149-I149)</f>
        <v>0</v>
      </c>
      <c r="K149" s="18" t="n">
        <f aca="false">IF(OR(I149="",I149=0),"",J149/I149)</f>
        <v>0</v>
      </c>
      <c r="L149" s="19" t="str">
        <f aca="false">IF(OR(D149="",I149=""),"No reported total for O&amp;M or depreciation",IF(AND(ABS(F149)&lt;=$D$2,ABS(K149)&lt;=$D$2),"Reconciles within tolerance","Outside tolerance"))</f>
        <v>Reconciles within tolerance</v>
      </c>
      <c r="M149" s="17" t="n">
        <f aca="false">IF(OR(E149="",LEFT(L149,8)="Excluded"),"",ABS(E149))</f>
        <v>0</v>
      </c>
    </row>
    <row r="150" customFormat="false" ht="15" hidden="false" customHeight="false" outlineLevel="0" collapsed="false">
      <c r="A150" s="7" t="n">
        <v>2019</v>
      </c>
      <c r="B150" s="12" t="s">
        <v>63</v>
      </c>
      <c r="C150" s="16" t="n">
        <v>2832.85292</v>
      </c>
      <c r="D150" s="16" t="n">
        <v>2832.85292</v>
      </c>
      <c r="E150" s="17" t="n">
        <f aca="false">IF(D150="","",C150-D150)</f>
        <v>0</v>
      </c>
      <c r="F150" s="18" t="n">
        <f aca="false">IF(OR(D150="",D150=0),"",E150/D150)</f>
        <v>0</v>
      </c>
      <c r="G150" s="16" t="n">
        <v>905.333762</v>
      </c>
      <c r="H150" s="16" t="n">
        <v>0</v>
      </c>
      <c r="I150" s="16" t="n">
        <v>905.333762</v>
      </c>
      <c r="J150" s="17" t="n">
        <f aca="false">IF(I150="","",G150-I150)</f>
        <v>0</v>
      </c>
      <c r="K150" s="18" t="n">
        <f aca="false">IF(OR(I150="",I150=0),"",J150/I150)</f>
        <v>0</v>
      </c>
      <c r="L150" s="19" t="str">
        <f aca="false">IF(OR(D150="",I150=""),"No reported total for O&amp;M or depreciation",IF(AND(ABS(F150)&lt;=$D$2,ABS(K150)&lt;=$D$2),"Reconciles within tolerance","Outside tolerance"))</f>
        <v>Reconciles within tolerance</v>
      </c>
      <c r="M150" s="17" t="n">
        <f aca="false">IF(OR(E150="",LEFT(L150,8)="Excluded"),"",ABS(E150))</f>
        <v>0</v>
      </c>
    </row>
    <row r="151" customFormat="false" ht="15" hidden="false" customHeight="false" outlineLevel="0" collapsed="false">
      <c r="A151" s="7" t="n">
        <v>2020</v>
      </c>
      <c r="B151" s="12" t="s">
        <v>63</v>
      </c>
      <c r="C151" s="16" t="n">
        <v>2898.486731</v>
      </c>
      <c r="D151" s="16" t="n">
        <v>2898.486731</v>
      </c>
      <c r="E151" s="17" t="n">
        <f aca="false">IF(D151="","",C151-D151)</f>
        <v>0</v>
      </c>
      <c r="F151" s="18" t="n">
        <f aca="false">IF(OR(D151="",D151=0),"",E151/D151)</f>
        <v>0</v>
      </c>
      <c r="G151" s="16" t="n">
        <v>1012.800428</v>
      </c>
      <c r="H151" s="16" t="n">
        <v>0</v>
      </c>
      <c r="I151" s="16" t="n">
        <v>1012.800428</v>
      </c>
      <c r="J151" s="17" t="n">
        <f aca="false">IF(I151="","",G151-I151)</f>
        <v>0</v>
      </c>
      <c r="K151" s="18" t="n">
        <f aca="false">IF(OR(I151="",I151=0),"",J151/I151)</f>
        <v>0</v>
      </c>
      <c r="L151" s="19" t="str">
        <f aca="false">IF(OR(D151="",I151=""),"No reported total for O&amp;M or depreciation",IF(AND(ABS(F151)&lt;=$D$2,ABS(K151)&lt;=$D$2),"Reconciles within tolerance","Outside tolerance"))</f>
        <v>Reconciles within tolerance</v>
      </c>
      <c r="M151" s="17" t="n">
        <f aca="false">IF(OR(E151="",LEFT(L151,8)="Excluded"),"",ABS(E151))</f>
        <v>0</v>
      </c>
    </row>
    <row r="152" customFormat="false" ht="15" hidden="false" customHeight="false" outlineLevel="0" collapsed="false">
      <c r="A152" s="7" t="n">
        <v>2021</v>
      </c>
      <c r="B152" s="12" t="s">
        <v>63</v>
      </c>
      <c r="C152" s="16" t="n">
        <v>3106.112555</v>
      </c>
      <c r="D152" s="16" t="n">
        <v>3106.112555</v>
      </c>
      <c r="E152" s="17" t="n">
        <f aca="false">IF(D152="","",C152-D152)</f>
        <v>0</v>
      </c>
      <c r="F152" s="18" t="n">
        <f aca="false">IF(OR(D152="",D152=0),"",E152/D152)</f>
        <v>0</v>
      </c>
      <c r="G152" s="16" t="n">
        <v>1074.538392</v>
      </c>
      <c r="H152" s="16" t="n">
        <v>0</v>
      </c>
      <c r="I152" s="16" t="n">
        <v>1074.538392</v>
      </c>
      <c r="J152" s="17" t="n">
        <f aca="false">IF(I152="","",G152-I152)</f>
        <v>0</v>
      </c>
      <c r="K152" s="18" t="n">
        <f aca="false">IF(OR(I152="",I152=0),"",J152/I152)</f>
        <v>0</v>
      </c>
      <c r="L152" s="19" t="str">
        <f aca="false">IF(OR(D152="",I152=""),"No reported total for O&amp;M or depreciation",IF(AND(ABS(F152)&lt;=$D$2,ABS(K152)&lt;=$D$2),"Reconciles within tolerance","Outside tolerance"))</f>
        <v>Reconciles within tolerance</v>
      </c>
      <c r="M152" s="17" t="n">
        <f aca="false">IF(OR(E152="",LEFT(L152,8)="Excluded"),"",ABS(E152))</f>
        <v>0</v>
      </c>
    </row>
    <row r="153" customFormat="false" ht="15" hidden="false" customHeight="false" outlineLevel="0" collapsed="false">
      <c r="A153" s="7" t="n">
        <v>2022</v>
      </c>
      <c r="B153" s="12" t="s">
        <v>63</v>
      </c>
      <c r="C153" s="16" t="n">
        <v>3520.251846</v>
      </c>
      <c r="D153" s="16" t="n">
        <v>3520.251846</v>
      </c>
      <c r="E153" s="17" t="n">
        <f aca="false">IF(D153="","",C153-D153)</f>
        <v>0</v>
      </c>
      <c r="F153" s="18" t="n">
        <f aca="false">IF(OR(D153="",D153=0),"",E153/D153)</f>
        <v>0</v>
      </c>
      <c r="G153" s="16" t="n">
        <v>1147.172982</v>
      </c>
      <c r="H153" s="16" t="n">
        <v>0</v>
      </c>
      <c r="I153" s="16" t="n">
        <v>1147.172982</v>
      </c>
      <c r="J153" s="17" t="n">
        <f aca="false">IF(I153="","",G153-I153)</f>
        <v>0</v>
      </c>
      <c r="K153" s="18" t="n">
        <f aca="false">IF(OR(I153="",I153=0),"",J153/I153)</f>
        <v>0</v>
      </c>
      <c r="L153" s="19" t="str">
        <f aca="false">IF(OR(D153="",I153=""),"No reported total for O&amp;M or depreciation",IF(AND(ABS(F153)&lt;=$D$2,ABS(K153)&lt;=$D$2),"Reconciles within tolerance","Outside tolerance"))</f>
        <v>Reconciles within tolerance</v>
      </c>
      <c r="M153" s="17" t="n">
        <f aca="false">IF(OR(E153="",LEFT(L153,8)="Excluded"),"",ABS(E153))</f>
        <v>0</v>
      </c>
    </row>
    <row r="154" customFormat="false" ht="15" hidden="false" customHeight="false" outlineLevel="0" collapsed="false">
      <c r="A154" s="7" t="n">
        <v>2023</v>
      </c>
      <c r="B154" s="12" t="s">
        <v>63</v>
      </c>
      <c r="C154" s="16" t="n">
        <v>2899.589262</v>
      </c>
      <c r="D154" s="16" t="n">
        <v>2899.589262</v>
      </c>
      <c r="E154" s="17" t="n">
        <f aca="false">IF(D154="","",C154-D154)</f>
        <v>0</v>
      </c>
      <c r="F154" s="18" t="n">
        <f aca="false">IF(OR(D154="",D154=0),"",E154/D154)</f>
        <v>0</v>
      </c>
      <c r="G154" s="16" t="n">
        <v>1241.898008</v>
      </c>
      <c r="H154" s="16" t="n">
        <v>0</v>
      </c>
      <c r="I154" s="16" t="n">
        <v>1241.898008</v>
      </c>
      <c r="J154" s="17" t="n">
        <f aca="false">IF(I154="","",G154-I154)</f>
        <v>0</v>
      </c>
      <c r="K154" s="18" t="n">
        <f aca="false">IF(OR(I154="",I154=0),"",J154/I154)</f>
        <v>0</v>
      </c>
      <c r="L154" s="19" t="str">
        <f aca="false">IF(OR(D154="",I154=""),"No reported total for O&amp;M or depreciation",IF(AND(ABS(F154)&lt;=$D$2,ABS(K154)&lt;=$D$2),"Reconciles within tolerance","Outside tolerance"))</f>
        <v>Reconciles within tolerance</v>
      </c>
      <c r="M154" s="17" t="n">
        <f aca="false">IF(OR(E154="",LEFT(L154,8)="Excluded"),"",ABS(E154))</f>
        <v>0</v>
      </c>
    </row>
    <row r="155" customFormat="false" ht="15" hidden="false" customHeight="false" outlineLevel="0" collapsed="false">
      <c r="A155" s="7" t="n">
        <v>2024</v>
      </c>
      <c r="B155" s="12" t="s">
        <v>63</v>
      </c>
      <c r="C155" s="16" t="n">
        <v>3036.981281</v>
      </c>
      <c r="D155" s="16" t="n">
        <v>3036.981281</v>
      </c>
      <c r="E155" s="17" t="n">
        <f aca="false">IF(D155="","",C155-D155)</f>
        <v>0</v>
      </c>
      <c r="F155" s="18" t="n">
        <f aca="false">IF(OR(D155="",D155=0),"",E155/D155)</f>
        <v>0</v>
      </c>
      <c r="G155" s="16" t="n">
        <v>1320.963703</v>
      </c>
      <c r="H155" s="16" t="n">
        <v>0</v>
      </c>
      <c r="I155" s="16" t="n">
        <v>1320.963703</v>
      </c>
      <c r="J155" s="17" t="n">
        <f aca="false">IF(I155="","",G155-I155)</f>
        <v>0</v>
      </c>
      <c r="K155" s="18" t="n">
        <f aca="false">IF(OR(I155="",I155=0),"",J155/I155)</f>
        <v>0</v>
      </c>
      <c r="L155" s="19" t="str">
        <f aca="false">IF(OR(D155="",I155=""),"No reported total for O&amp;M or depreciation",IF(AND(ABS(F155)&lt;=$D$2,ABS(K155)&lt;=$D$2),"Reconciles within tolerance","Outside tolerance"))</f>
        <v>Reconciles within tolerance</v>
      </c>
      <c r="M155" s="17" t="n">
        <f aca="false">IF(OR(E155="",LEFT(L155,8)="Excluded"),"",ABS(E155))</f>
        <v>0</v>
      </c>
    </row>
    <row r="156" customFormat="false" ht="15" hidden="false" customHeight="false" outlineLevel="0" collapsed="false">
      <c r="A156" s="7" t="n">
        <v>2025</v>
      </c>
      <c r="B156" s="12" t="s">
        <v>63</v>
      </c>
      <c r="C156" s="16" t="n">
        <v>3275.898088</v>
      </c>
      <c r="D156" s="16" t="n">
        <v>3275.898088</v>
      </c>
      <c r="E156" s="17" t="n">
        <f aca="false">IF(D156="","",C156-D156)</f>
        <v>0</v>
      </c>
      <c r="F156" s="18" t="n">
        <f aca="false">IF(OR(D156="",D156=0),"",E156/D156)</f>
        <v>0</v>
      </c>
      <c r="G156" s="16" t="n">
        <v>1272.369065</v>
      </c>
      <c r="H156" s="16" t="n">
        <v>0</v>
      </c>
      <c r="I156" s="16" t="n">
        <v>1272.369065</v>
      </c>
      <c r="J156" s="17" t="n">
        <f aca="false">IF(I156="","",G156-I156)</f>
        <v>0</v>
      </c>
      <c r="K156" s="18" t="n">
        <f aca="false">IF(OR(I156="",I156=0),"",J156/I156)</f>
        <v>0</v>
      </c>
      <c r="L156" s="19" t="str">
        <f aca="false">IF(OR(D156="",I156=""),"No reported total for O&amp;M or depreciation",IF(AND(ABS(F156)&lt;=$D$2,ABS(K156)&lt;=$D$2),"Reconciles within tolerance","Outside tolerance"))</f>
        <v>Reconciles within tolerance</v>
      </c>
      <c r="M156" s="17" t="n">
        <f aca="false">IF(OR(E156="",LEFT(L156,8)="Excluded"),"",ABS(E156))</f>
        <v>0</v>
      </c>
    </row>
    <row r="157" customFormat="false" ht="15" hidden="false" customHeight="false" outlineLevel="0" collapsed="false">
      <c r="A157" s="7" t="n">
        <v>1995</v>
      </c>
      <c r="B157" s="12" t="s">
        <v>64</v>
      </c>
      <c r="C157" s="16" t="n">
        <v>776.017163</v>
      </c>
      <c r="D157" s="16" t="n">
        <v>776.017163</v>
      </c>
      <c r="E157" s="17" t="n">
        <f aca="false">IF(D157="","",C157-D157)</f>
        <v>0</v>
      </c>
      <c r="F157" s="18" t="n">
        <f aca="false">IF(OR(D157="",D157=0),"",E157/D157)</f>
        <v>0</v>
      </c>
      <c r="G157" s="16" t="n">
        <v>120.773012</v>
      </c>
      <c r="H157" s="16" t="n">
        <v>0</v>
      </c>
      <c r="I157" s="16" t="n">
        <v>120.773012</v>
      </c>
      <c r="J157" s="17" t="n">
        <f aca="false">IF(I157="","",G157-I157)</f>
        <v>0</v>
      </c>
      <c r="K157" s="18" t="n">
        <f aca="false">IF(OR(I157="",I157=0),"",J157/I157)</f>
        <v>0</v>
      </c>
      <c r="L157" s="19" t="str">
        <f aca="false">IF(OR(D157="",I157=""),"No reported total for O&amp;M or depreciation",IF(AND(ABS(F157)&lt;=$D$2,ABS(K157)&lt;=$D$2),"Reconciles within tolerance","Outside tolerance"))</f>
        <v>Reconciles within tolerance</v>
      </c>
      <c r="M157" s="17" t="n">
        <f aca="false">IF(OR(E157="",LEFT(L157,8)="Excluded"),"",ABS(E157))</f>
        <v>0</v>
      </c>
    </row>
    <row r="158" customFormat="false" ht="15" hidden="false" customHeight="false" outlineLevel="0" collapsed="false">
      <c r="A158" s="7" t="n">
        <v>1996</v>
      </c>
      <c r="B158" s="12" t="s">
        <v>64</v>
      </c>
      <c r="C158" s="16" t="n">
        <v>889.771517</v>
      </c>
      <c r="D158" s="16" t="n">
        <v>889.771517</v>
      </c>
      <c r="E158" s="17" t="n">
        <f aca="false">IF(D158="","",C158-D158)</f>
        <v>0</v>
      </c>
      <c r="F158" s="18" t="n">
        <f aca="false">IF(OR(D158="",D158=0),"",E158/D158)</f>
        <v>0</v>
      </c>
      <c r="G158" s="16" t="n">
        <v>121.81205</v>
      </c>
      <c r="H158" s="16" t="n">
        <v>0</v>
      </c>
      <c r="I158" s="16" t="n">
        <v>121.81205</v>
      </c>
      <c r="J158" s="17" t="n">
        <f aca="false">IF(I158="","",G158-I158)</f>
        <v>0</v>
      </c>
      <c r="K158" s="18" t="n">
        <f aca="false">IF(OR(I158="",I158=0),"",J158/I158)</f>
        <v>0</v>
      </c>
      <c r="L158" s="19" t="str">
        <f aca="false">IF(OR(D158="",I158=""),"No reported total for O&amp;M or depreciation",IF(AND(ABS(F158)&lt;=$D$2,ABS(K158)&lt;=$D$2),"Reconciles within tolerance","Outside tolerance"))</f>
        <v>Reconciles within tolerance</v>
      </c>
      <c r="M158" s="17" t="n">
        <f aca="false">IF(OR(E158="",LEFT(L158,8)="Excluded"),"",ABS(E158))</f>
        <v>0</v>
      </c>
    </row>
    <row r="159" customFormat="false" ht="15" hidden="false" customHeight="false" outlineLevel="0" collapsed="false">
      <c r="A159" s="7" t="n">
        <v>1997</v>
      </c>
      <c r="B159" s="12" t="s">
        <v>64</v>
      </c>
      <c r="C159" s="16" t="n">
        <v>1482.532341</v>
      </c>
      <c r="D159" s="16" t="n">
        <v>1482.532341</v>
      </c>
      <c r="E159" s="17" t="n">
        <f aca="false">IF(D159="","",C159-D159)</f>
        <v>0</v>
      </c>
      <c r="F159" s="18" t="n">
        <f aca="false">IF(OR(D159="",D159=0),"",E159/D159)</f>
        <v>0</v>
      </c>
      <c r="G159" s="16" t="n">
        <v>125.659195</v>
      </c>
      <c r="H159" s="16" t="n">
        <v>0</v>
      </c>
      <c r="I159" s="16" t="n">
        <v>125.659195</v>
      </c>
      <c r="J159" s="17" t="n">
        <f aca="false">IF(I159="","",G159-I159)</f>
        <v>0</v>
      </c>
      <c r="K159" s="18" t="n">
        <f aca="false">IF(OR(I159="",I159=0),"",J159/I159)</f>
        <v>0</v>
      </c>
      <c r="L159" s="19" t="str">
        <f aca="false">IF(OR(D159="",I159=""),"No reported total for O&amp;M or depreciation",IF(AND(ABS(F159)&lt;=$D$2,ABS(K159)&lt;=$D$2),"Reconciles within tolerance","Outside tolerance"))</f>
        <v>Reconciles within tolerance</v>
      </c>
      <c r="M159" s="17" t="n">
        <f aca="false">IF(OR(E159="",LEFT(L159,8)="Excluded"),"",ABS(E159))</f>
        <v>0</v>
      </c>
    </row>
    <row r="160" customFormat="false" ht="15" hidden="false" customHeight="false" outlineLevel="0" collapsed="false">
      <c r="A160" s="7" t="n">
        <v>1998</v>
      </c>
      <c r="B160" s="12" t="s">
        <v>64</v>
      </c>
      <c r="C160" s="16" t="n">
        <v>2051.996798</v>
      </c>
      <c r="D160" s="16" t="n">
        <v>2051.996798</v>
      </c>
      <c r="E160" s="17" t="n">
        <f aca="false">IF(D160="","",C160-D160)</f>
        <v>0</v>
      </c>
      <c r="F160" s="18" t="n">
        <f aca="false">IF(OR(D160="",D160=0),"",E160/D160)</f>
        <v>0</v>
      </c>
      <c r="G160" s="16" t="n">
        <v>129.531697</v>
      </c>
      <c r="H160" s="16" t="n">
        <v>0</v>
      </c>
      <c r="I160" s="16" t="n">
        <v>129.531697</v>
      </c>
      <c r="J160" s="17" t="n">
        <f aca="false">IF(I160="","",G160-I160)</f>
        <v>0</v>
      </c>
      <c r="K160" s="18" t="n">
        <f aca="false">IF(OR(I160="",I160=0),"",J160/I160)</f>
        <v>0</v>
      </c>
      <c r="L160" s="19" t="str">
        <f aca="false">IF(OR(D160="",I160=""),"No reported total for O&amp;M or depreciation",IF(AND(ABS(F160)&lt;=$D$2,ABS(K160)&lt;=$D$2),"Reconciles within tolerance","Outside tolerance"))</f>
        <v>Reconciles within tolerance</v>
      </c>
      <c r="M160" s="17" t="n">
        <f aca="false">IF(OR(E160="",LEFT(L160,8)="Excluded"),"",ABS(E160))</f>
        <v>0</v>
      </c>
    </row>
    <row r="161" customFormat="false" ht="15" hidden="false" customHeight="false" outlineLevel="0" collapsed="false">
      <c r="A161" s="7" t="n">
        <v>1999</v>
      </c>
      <c r="B161" s="12" t="s">
        <v>64</v>
      </c>
      <c r="C161" s="16" t="n">
        <v>1669.441724</v>
      </c>
      <c r="D161" s="16" t="n">
        <v>1669.441724</v>
      </c>
      <c r="E161" s="17" t="n">
        <f aca="false">IF(D161="","",C161-D161)</f>
        <v>0</v>
      </c>
      <c r="F161" s="18" t="n">
        <f aca="false">IF(OR(D161="",D161=0),"",E161/D161)</f>
        <v>0</v>
      </c>
      <c r="G161" s="16" t="n">
        <v>135.33014</v>
      </c>
      <c r="H161" s="16" t="n">
        <v>0</v>
      </c>
      <c r="I161" s="16" t="n">
        <v>135.33014</v>
      </c>
      <c r="J161" s="17" t="n">
        <f aca="false">IF(I161="","",G161-I161)</f>
        <v>0</v>
      </c>
      <c r="K161" s="18" t="n">
        <f aca="false">IF(OR(I161="",I161=0),"",J161/I161)</f>
        <v>0</v>
      </c>
      <c r="L161" s="19" t="str">
        <f aca="false">IF(OR(D161="",I161=""),"No reported total for O&amp;M or depreciation",IF(AND(ABS(F161)&lt;=$D$2,ABS(K161)&lt;=$D$2),"Reconciles within tolerance","Outside tolerance"))</f>
        <v>Reconciles within tolerance</v>
      </c>
      <c r="M161" s="17" t="n">
        <f aca="false">IF(OR(E161="",LEFT(L161,8)="Excluded"),"",ABS(E161))</f>
        <v>0</v>
      </c>
    </row>
    <row r="162" customFormat="false" ht="15" hidden="false" customHeight="false" outlineLevel="0" collapsed="false">
      <c r="A162" s="7" t="n">
        <v>2000</v>
      </c>
      <c r="B162" s="12" t="s">
        <v>64</v>
      </c>
      <c r="C162" s="16" t="n">
        <v>2162.302246</v>
      </c>
      <c r="D162" s="16" t="n">
        <v>2162.302246</v>
      </c>
      <c r="E162" s="17" t="n">
        <f aca="false">IF(D162="","",C162-D162)</f>
        <v>0</v>
      </c>
      <c r="F162" s="18" t="n">
        <f aca="false">IF(OR(D162="",D162=0),"",E162/D162)</f>
        <v>0</v>
      </c>
      <c r="G162" s="16" t="n">
        <v>141.512009</v>
      </c>
      <c r="H162" s="16" t="n">
        <v>0</v>
      </c>
      <c r="I162" s="16" t="n">
        <v>141.512009</v>
      </c>
      <c r="J162" s="17" t="n">
        <f aca="false">IF(I162="","",G162-I162)</f>
        <v>0</v>
      </c>
      <c r="K162" s="18" t="n">
        <f aca="false">IF(OR(I162="",I162=0),"",J162/I162)</f>
        <v>0</v>
      </c>
      <c r="L162" s="19" t="str">
        <f aca="false">IF(OR(D162="",I162=""),"No reported total for O&amp;M or depreciation",IF(AND(ABS(F162)&lt;=$D$2,ABS(K162)&lt;=$D$2),"Reconciles within tolerance","Outside tolerance"))</f>
        <v>Reconciles within tolerance</v>
      </c>
      <c r="M162" s="17" t="n">
        <f aca="false">IF(OR(E162="",LEFT(L162,8)="Excluded"),"",ABS(E162))</f>
        <v>0</v>
      </c>
    </row>
    <row r="163" customFormat="false" ht="15" hidden="false" customHeight="false" outlineLevel="0" collapsed="false">
      <c r="A163" s="7" t="n">
        <v>2001</v>
      </c>
      <c r="B163" s="12" t="s">
        <v>64</v>
      </c>
      <c r="C163" s="16" t="n">
        <v>3545.663397</v>
      </c>
      <c r="D163" s="16" t="n">
        <v>3545.663397</v>
      </c>
      <c r="E163" s="17" t="n">
        <f aca="false">IF(D163="","",C163-D163)</f>
        <v>0</v>
      </c>
      <c r="F163" s="18" t="n">
        <f aca="false">IF(OR(D163="",D163=0),"",E163/D163)</f>
        <v>0</v>
      </c>
      <c r="G163" s="16" t="n">
        <v>149.466945</v>
      </c>
      <c r="H163" s="16" t="n">
        <v>0</v>
      </c>
      <c r="I163" s="16" t="n">
        <v>149.466945</v>
      </c>
      <c r="J163" s="17" t="n">
        <f aca="false">IF(I163="","",G163-I163)</f>
        <v>0</v>
      </c>
      <c r="K163" s="18" t="n">
        <f aca="false">IF(OR(I163="",I163=0),"",J163/I163)</f>
        <v>0</v>
      </c>
      <c r="L163" s="19" t="str">
        <f aca="false">IF(OR(D163="",I163=""),"No reported total for O&amp;M or depreciation",IF(AND(ABS(F163)&lt;=$D$2,ABS(K163)&lt;=$D$2),"Reconciles within tolerance","Outside tolerance"))</f>
        <v>Reconciles within tolerance</v>
      </c>
      <c r="M163" s="17" t="n">
        <f aca="false">IF(OR(E163="",LEFT(L163,8)="Excluded"),"",ABS(E163))</f>
        <v>0</v>
      </c>
    </row>
    <row r="164" customFormat="false" ht="15" hidden="false" customHeight="false" outlineLevel="0" collapsed="false">
      <c r="A164" s="7" t="n">
        <v>2002</v>
      </c>
      <c r="B164" s="12" t="s">
        <v>64</v>
      </c>
      <c r="C164" s="16" t="n">
        <v>1732.856608</v>
      </c>
      <c r="D164" s="16" t="n">
        <v>1732.856608</v>
      </c>
      <c r="E164" s="17" t="n">
        <f aca="false">IF(D164="","",C164-D164)</f>
        <v>0</v>
      </c>
      <c r="F164" s="18" t="n">
        <f aca="false">IF(OR(D164="",D164=0),"",E164/D164)</f>
        <v>0</v>
      </c>
      <c r="G164" s="16" t="n">
        <v>156.101856</v>
      </c>
      <c r="H164" s="16" t="n">
        <v>0</v>
      </c>
      <c r="I164" s="16" t="n">
        <v>156.101856</v>
      </c>
      <c r="J164" s="17" t="n">
        <f aca="false">IF(I164="","",G164-I164)</f>
        <v>0</v>
      </c>
      <c r="K164" s="18" t="n">
        <f aca="false">IF(OR(I164="",I164=0),"",J164/I164)</f>
        <v>0</v>
      </c>
      <c r="L164" s="19" t="str">
        <f aca="false">IF(OR(D164="",I164=""),"No reported total for O&amp;M or depreciation",IF(AND(ABS(F164)&lt;=$D$2,ABS(K164)&lt;=$D$2),"Reconciles within tolerance","Outside tolerance"))</f>
        <v>Reconciles within tolerance</v>
      </c>
      <c r="M164" s="17" t="n">
        <f aca="false">IF(OR(E164="",LEFT(L164,8)="Excluded"),"",ABS(E164))</f>
        <v>0</v>
      </c>
    </row>
    <row r="165" customFormat="false" ht="15" hidden="false" customHeight="false" outlineLevel="0" collapsed="false">
      <c r="A165" s="7" t="n">
        <v>2003</v>
      </c>
      <c r="B165" s="12" t="s">
        <v>64</v>
      </c>
      <c r="C165" s="16" t="n">
        <v>1235.497755</v>
      </c>
      <c r="D165" s="16" t="n">
        <v>1235.497755</v>
      </c>
      <c r="E165" s="17" t="n">
        <f aca="false">IF(D165="","",C165-D165)</f>
        <v>0</v>
      </c>
      <c r="F165" s="18" t="n">
        <f aca="false">IF(OR(D165="",D165=0),"",E165/D165)</f>
        <v>0</v>
      </c>
      <c r="G165" s="16" t="n">
        <v>184.164496</v>
      </c>
      <c r="H165" s="16" t="n">
        <v>0</v>
      </c>
      <c r="I165" s="16" t="n">
        <v>184.164496</v>
      </c>
      <c r="J165" s="17" t="n">
        <f aca="false">IF(I165="","",G165-I165)</f>
        <v>0</v>
      </c>
      <c r="K165" s="18" t="n">
        <f aca="false">IF(OR(I165="",I165=0),"",J165/I165)</f>
        <v>0</v>
      </c>
      <c r="L165" s="19" t="str">
        <f aca="false">IF(OR(D165="",I165=""),"No reported total for O&amp;M or depreciation",IF(AND(ABS(F165)&lt;=$D$2,ABS(K165)&lt;=$D$2),"Reconciles within tolerance","Outside tolerance"))</f>
        <v>Reconciles within tolerance</v>
      </c>
      <c r="M165" s="17" t="n">
        <f aca="false">IF(OR(E165="",LEFT(L165,8)="Excluded"),"",ABS(E165))</f>
        <v>0</v>
      </c>
    </row>
    <row r="166" customFormat="false" ht="15" hidden="false" customHeight="false" outlineLevel="0" collapsed="false">
      <c r="A166" s="7" t="n">
        <v>2004</v>
      </c>
      <c r="B166" s="12" t="s">
        <v>64</v>
      </c>
      <c r="C166" s="16" t="n">
        <v>1233.590425</v>
      </c>
      <c r="D166" s="16" t="n">
        <v>1233.590425</v>
      </c>
      <c r="E166" s="17" t="n">
        <f aca="false">IF(D166="","",C166-D166)</f>
        <v>0</v>
      </c>
      <c r="F166" s="18" t="n">
        <f aca="false">IF(OR(D166="",D166=0),"",E166/D166)</f>
        <v>0</v>
      </c>
      <c r="G166" s="16" t="n">
        <v>232.028035</v>
      </c>
      <c r="H166" s="16" t="n">
        <v>0</v>
      </c>
      <c r="I166" s="16" t="n">
        <v>232.028035</v>
      </c>
      <c r="J166" s="17" t="n">
        <f aca="false">IF(I166="","",G166-I166)</f>
        <v>0</v>
      </c>
      <c r="K166" s="18" t="n">
        <f aca="false">IF(OR(I166="",I166=0),"",J166/I166)</f>
        <v>0</v>
      </c>
      <c r="L166" s="19" t="str">
        <f aca="false">IF(OR(D166="",I166=""),"No reported total for O&amp;M or depreciation",IF(AND(ABS(F166)&lt;=$D$2,ABS(K166)&lt;=$D$2),"Reconciles within tolerance","Outside tolerance"))</f>
        <v>Reconciles within tolerance</v>
      </c>
      <c r="M166" s="17" t="n">
        <f aca="false">IF(OR(E166="",LEFT(L166,8)="Excluded"),"",ABS(E166))</f>
        <v>0</v>
      </c>
    </row>
    <row r="167" customFormat="false" ht="15" hidden="false" customHeight="false" outlineLevel="0" collapsed="false">
      <c r="A167" s="7" t="n">
        <v>2005</v>
      </c>
      <c r="B167" s="12" t="s">
        <v>64</v>
      </c>
      <c r="C167" s="16" t="n">
        <v>1256.879676</v>
      </c>
      <c r="D167" s="16" t="n">
        <v>1256.879676</v>
      </c>
      <c r="E167" s="17" t="n">
        <f aca="false">IF(D167="","",C167-D167)</f>
        <v>0</v>
      </c>
      <c r="F167" s="18" t="n">
        <f aca="false">IF(OR(D167="",D167=0),"",E167/D167)</f>
        <v>0</v>
      </c>
      <c r="G167" s="16" t="n">
        <v>257.923623</v>
      </c>
      <c r="H167" s="16" t="n">
        <v>0</v>
      </c>
      <c r="I167" s="16" t="n">
        <v>257.923623</v>
      </c>
      <c r="J167" s="17" t="n">
        <f aca="false">IF(I167="","",G167-I167)</f>
        <v>0</v>
      </c>
      <c r="K167" s="18" t="n">
        <f aca="false">IF(OR(I167="",I167=0),"",J167/I167)</f>
        <v>0</v>
      </c>
      <c r="L167" s="19" t="str">
        <f aca="false">IF(OR(D167="",I167=""),"No reported total for O&amp;M or depreciation",IF(AND(ABS(F167)&lt;=$D$2,ABS(K167)&lt;=$D$2),"Reconciles within tolerance","Outside tolerance"))</f>
        <v>Reconciles within tolerance</v>
      </c>
      <c r="M167" s="17" t="n">
        <f aca="false">IF(OR(E167="",LEFT(L167,8)="Excluded"),"",ABS(E167))</f>
        <v>0</v>
      </c>
    </row>
    <row r="168" customFormat="false" ht="15" hidden="false" customHeight="false" outlineLevel="0" collapsed="false">
      <c r="A168" s="7" t="n">
        <v>2006</v>
      </c>
      <c r="B168" s="12" t="s">
        <v>64</v>
      </c>
      <c r="C168" s="16" t="n">
        <v>1529.449616</v>
      </c>
      <c r="D168" s="16" t="n">
        <v>1529.449616</v>
      </c>
      <c r="E168" s="17" t="n">
        <f aca="false">IF(D168="","",C168-D168)</f>
        <v>0</v>
      </c>
      <c r="F168" s="18" t="n">
        <f aca="false">IF(OR(D168="",D168=0),"",E168/D168)</f>
        <v>0</v>
      </c>
      <c r="G168" s="16" t="n">
        <v>273.012369</v>
      </c>
      <c r="H168" s="16" t="n">
        <v>0</v>
      </c>
      <c r="I168" s="16" t="n">
        <v>273.012369</v>
      </c>
      <c r="J168" s="17" t="n">
        <f aca="false">IF(I168="","",G168-I168)</f>
        <v>0</v>
      </c>
      <c r="K168" s="18" t="n">
        <f aca="false">IF(OR(I168="",I168=0),"",J168/I168)</f>
        <v>0</v>
      </c>
      <c r="L168" s="19" t="str">
        <f aca="false">IF(OR(D168="",I168=""),"No reported total for O&amp;M or depreciation",IF(AND(ABS(F168)&lt;=$D$2,ABS(K168)&lt;=$D$2),"Reconciles within tolerance","Outside tolerance"))</f>
        <v>Reconciles within tolerance</v>
      </c>
      <c r="M168" s="17" t="n">
        <f aca="false">IF(OR(E168="",LEFT(L168,8)="Excluded"),"",ABS(E168))</f>
        <v>0</v>
      </c>
    </row>
    <row r="169" customFormat="false" ht="15" hidden="false" customHeight="false" outlineLevel="0" collapsed="false">
      <c r="A169" s="7" t="n">
        <v>2007</v>
      </c>
      <c r="B169" s="12" t="s">
        <v>64</v>
      </c>
      <c r="C169" s="16" t="n">
        <v>1396.778888</v>
      </c>
      <c r="D169" s="16" t="n">
        <v>1396.778888</v>
      </c>
      <c r="E169" s="17" t="n">
        <f aca="false">IF(D169="","",C169-D169)</f>
        <v>0</v>
      </c>
      <c r="F169" s="18" t="n">
        <f aca="false">IF(OR(D169="",D169=0),"",E169/D169)</f>
        <v>0</v>
      </c>
      <c r="G169" s="16" t="n">
        <v>296.376685</v>
      </c>
      <c r="H169" s="16" t="n">
        <v>0</v>
      </c>
      <c r="I169" s="16" t="n">
        <v>296.376685</v>
      </c>
      <c r="J169" s="17" t="n">
        <f aca="false">IF(I169="","",G169-I169)</f>
        <v>0</v>
      </c>
      <c r="K169" s="18" t="n">
        <f aca="false">IF(OR(I169="",I169=0),"",J169/I169)</f>
        <v>0</v>
      </c>
      <c r="L169" s="19" t="str">
        <f aca="false">IF(OR(D169="",I169=""),"No reported total for O&amp;M or depreciation",IF(AND(ABS(F169)&lt;=$D$2,ABS(K169)&lt;=$D$2),"Reconciles within tolerance","Outside tolerance"))</f>
        <v>Reconciles within tolerance</v>
      </c>
      <c r="M169" s="17" t="n">
        <f aca="false">IF(OR(E169="",LEFT(L169,8)="Excluded"),"",ABS(E169))</f>
        <v>0</v>
      </c>
    </row>
    <row r="170" customFormat="false" ht="15" hidden="false" customHeight="false" outlineLevel="0" collapsed="false">
      <c r="A170" s="7" t="n">
        <v>2008</v>
      </c>
      <c r="B170" s="12" t="s">
        <v>64</v>
      </c>
      <c r="C170" s="16" t="n">
        <v>1612.325535</v>
      </c>
      <c r="D170" s="16" t="n">
        <v>1612.325535</v>
      </c>
      <c r="E170" s="17" t="n">
        <f aca="false">IF(D170="","",C170-D170)</f>
        <v>0</v>
      </c>
      <c r="F170" s="18" t="n">
        <f aca="false">IF(OR(D170="",D170=0),"",E170/D170)</f>
        <v>0</v>
      </c>
      <c r="G170" s="16" t="n">
        <v>315.919963</v>
      </c>
      <c r="H170" s="16" t="n">
        <v>0</v>
      </c>
      <c r="I170" s="16" t="n">
        <v>315.919963</v>
      </c>
      <c r="J170" s="17" t="n">
        <f aca="false">IF(I170="","",G170-I170)</f>
        <v>0</v>
      </c>
      <c r="K170" s="18" t="n">
        <f aca="false">IF(OR(I170="",I170=0),"",J170/I170)</f>
        <v>0</v>
      </c>
      <c r="L170" s="19" t="str">
        <f aca="false">IF(OR(D170="",I170=""),"No reported total for O&amp;M or depreciation",IF(AND(ABS(F170)&lt;=$D$2,ABS(K170)&lt;=$D$2),"Reconciles within tolerance","Outside tolerance"))</f>
        <v>Reconciles within tolerance</v>
      </c>
      <c r="M170" s="17" t="n">
        <f aca="false">IF(OR(E170="",LEFT(L170,8)="Excluded"),"",ABS(E170))</f>
        <v>0</v>
      </c>
    </row>
    <row r="171" customFormat="false" ht="15" hidden="false" customHeight="false" outlineLevel="0" collapsed="false">
      <c r="A171" s="7" t="n">
        <v>2009</v>
      </c>
      <c r="B171" s="12" t="s">
        <v>64</v>
      </c>
      <c r="C171" s="16" t="n">
        <v>1464.480416</v>
      </c>
      <c r="D171" s="16" t="n">
        <v>1464.480416</v>
      </c>
      <c r="E171" s="17" t="n">
        <f aca="false">IF(D171="","",C171-D171)</f>
        <v>0</v>
      </c>
      <c r="F171" s="18" t="n">
        <f aca="false">IF(OR(D171="",D171=0),"",E171/D171)</f>
        <v>0</v>
      </c>
      <c r="G171" s="16" t="n">
        <v>339.493568</v>
      </c>
      <c r="H171" s="16" t="n">
        <v>0</v>
      </c>
      <c r="I171" s="16" t="n">
        <v>339.493568</v>
      </c>
      <c r="J171" s="17" t="n">
        <f aca="false">IF(I171="","",G171-I171)</f>
        <v>0</v>
      </c>
      <c r="K171" s="18" t="n">
        <f aca="false">IF(OR(I171="",I171=0),"",J171/I171)</f>
        <v>0</v>
      </c>
      <c r="L171" s="19" t="str">
        <f aca="false">IF(OR(D171="",I171=""),"No reported total for O&amp;M or depreciation",IF(AND(ABS(F171)&lt;=$D$2,ABS(K171)&lt;=$D$2),"Reconciles within tolerance","Outside tolerance"))</f>
        <v>Reconciles within tolerance</v>
      </c>
      <c r="M171" s="17" t="n">
        <f aca="false">IF(OR(E171="",LEFT(L171,8)="Excluded"),"",ABS(E171))</f>
        <v>0</v>
      </c>
    </row>
    <row r="172" customFormat="false" ht="15" hidden="false" customHeight="false" outlineLevel="0" collapsed="false">
      <c r="A172" s="7" t="n">
        <v>2010</v>
      </c>
      <c r="B172" s="12" t="s">
        <v>64</v>
      </c>
      <c r="C172" s="16" t="n">
        <v>1530.937688</v>
      </c>
      <c r="D172" s="16" t="n">
        <v>1530.937688</v>
      </c>
      <c r="E172" s="17" t="n">
        <f aca="false">IF(D172="","",C172-D172)</f>
        <v>0</v>
      </c>
      <c r="F172" s="18" t="n">
        <f aca="false">IF(OR(D172="",D172=0),"",E172/D172)</f>
        <v>0</v>
      </c>
      <c r="G172" s="16" t="n">
        <v>343.812795</v>
      </c>
      <c r="H172" s="16" t="n">
        <v>0</v>
      </c>
      <c r="I172" s="16" t="n">
        <v>343.812795</v>
      </c>
      <c r="J172" s="17" t="n">
        <f aca="false">IF(I172="","",G172-I172)</f>
        <v>0</v>
      </c>
      <c r="K172" s="18" t="n">
        <f aca="false">IF(OR(I172="",I172=0),"",J172/I172)</f>
        <v>0</v>
      </c>
      <c r="L172" s="19" t="str">
        <f aca="false">IF(OR(D172="",I172=""),"No reported total for O&amp;M or depreciation",IF(AND(ABS(F172)&lt;=$D$2,ABS(K172)&lt;=$D$2),"Reconciles within tolerance","Outside tolerance"))</f>
        <v>Reconciles within tolerance</v>
      </c>
      <c r="M172" s="17" t="n">
        <f aca="false">IF(OR(E172="",LEFT(L172,8)="Excluded"),"",ABS(E172))</f>
        <v>0</v>
      </c>
    </row>
    <row r="173" customFormat="false" ht="15" hidden="false" customHeight="false" outlineLevel="0" collapsed="false">
      <c r="A173" s="7" t="n">
        <v>2011</v>
      </c>
      <c r="B173" s="12" t="s">
        <v>64</v>
      </c>
      <c r="C173" s="16" t="n">
        <v>1624.357046</v>
      </c>
      <c r="D173" s="16" t="n">
        <v>1624.357046</v>
      </c>
      <c r="E173" s="17" t="n">
        <f aca="false">IF(D173="","",C173-D173)</f>
        <v>0</v>
      </c>
      <c r="F173" s="18" t="n">
        <f aca="false">IF(OR(D173="",D173=0),"",E173/D173)</f>
        <v>0</v>
      </c>
      <c r="G173" s="16" t="n">
        <v>349.641943</v>
      </c>
      <c r="H173" s="16" t="n">
        <v>0</v>
      </c>
      <c r="I173" s="16" t="n">
        <v>349.641943</v>
      </c>
      <c r="J173" s="17" t="n">
        <f aca="false">IF(I173="","",G173-I173)</f>
        <v>0</v>
      </c>
      <c r="K173" s="18" t="n">
        <f aca="false">IF(OR(I173="",I173=0),"",J173/I173)</f>
        <v>0</v>
      </c>
      <c r="L173" s="19" t="str">
        <f aca="false">IF(OR(D173="",I173=""),"No reported total for O&amp;M or depreciation",IF(AND(ABS(F173)&lt;=$D$2,ABS(K173)&lt;=$D$2),"Reconciles within tolerance","Outside tolerance"))</f>
        <v>Reconciles within tolerance</v>
      </c>
      <c r="M173" s="17" t="n">
        <f aca="false">IF(OR(E173="",LEFT(L173,8)="Excluded"),"",ABS(E173))</f>
        <v>0</v>
      </c>
    </row>
    <row r="174" customFormat="false" ht="15" hidden="false" customHeight="false" outlineLevel="0" collapsed="false">
      <c r="A174" s="7" t="n">
        <v>2012</v>
      </c>
      <c r="B174" s="12" t="s">
        <v>64</v>
      </c>
      <c r="C174" s="16" t="n">
        <v>1714.131652</v>
      </c>
      <c r="D174" s="16" t="n">
        <v>1714.132114</v>
      </c>
      <c r="E174" s="17" t="n">
        <f aca="false">IF(D174="","",C174-D174)</f>
        <v>-0.000461999999970431</v>
      </c>
      <c r="F174" s="18" t="n">
        <f aca="false">IF(OR(D174="",D174=0),"",E174/D174)</f>
        <v>-2.69524149391457E-007</v>
      </c>
      <c r="G174" s="16" t="n">
        <v>353.199614</v>
      </c>
      <c r="H174" s="16" t="n">
        <v>0</v>
      </c>
      <c r="I174" s="16" t="n">
        <v>353.199614</v>
      </c>
      <c r="J174" s="17" t="n">
        <f aca="false">IF(I174="","",G174-I174)</f>
        <v>0</v>
      </c>
      <c r="K174" s="18" t="n">
        <f aca="false">IF(OR(I174="",I174=0),"",J174/I174)</f>
        <v>0</v>
      </c>
      <c r="L174" s="19" t="str">
        <f aca="false">IF(OR(D174="",I174=""),"No reported total for O&amp;M or depreciation",IF(AND(ABS(F174)&lt;=$D$2,ABS(K174)&lt;=$D$2),"Reconciles within tolerance","Outside tolerance"))</f>
        <v>Reconciles within tolerance</v>
      </c>
      <c r="M174" s="17" t="n">
        <f aca="false">IF(OR(E174="",LEFT(L174,8)="Excluded"),"",ABS(E174))</f>
        <v>0.000461999999970431</v>
      </c>
    </row>
    <row r="175" customFormat="false" ht="15" hidden="false" customHeight="false" outlineLevel="0" collapsed="false">
      <c r="A175" s="7" t="n">
        <v>2013</v>
      </c>
      <c r="B175" s="12" t="s">
        <v>64</v>
      </c>
      <c r="C175" s="16" t="n">
        <v>1769.86738</v>
      </c>
      <c r="D175" s="16" t="n">
        <v>1769.86738</v>
      </c>
      <c r="E175" s="17" t="n">
        <f aca="false">IF(D175="","",C175-D175)</f>
        <v>0</v>
      </c>
      <c r="F175" s="18" t="n">
        <f aca="false">IF(OR(D175="",D175=0),"",E175/D175)</f>
        <v>0</v>
      </c>
      <c r="G175" s="16" t="n">
        <v>310.375977</v>
      </c>
      <c r="H175" s="16" t="n">
        <v>0</v>
      </c>
      <c r="I175" s="16" t="n">
        <v>310.375977</v>
      </c>
      <c r="J175" s="17" t="n">
        <f aca="false">IF(I175="","",G175-I175)</f>
        <v>0</v>
      </c>
      <c r="K175" s="18" t="n">
        <f aca="false">IF(OR(I175="",I175=0),"",J175/I175)</f>
        <v>0</v>
      </c>
      <c r="L175" s="19" t="str">
        <f aca="false">IF(OR(D175="",I175=""),"No reported total for O&amp;M or depreciation",IF(AND(ABS(F175)&lt;=$D$2,ABS(K175)&lt;=$D$2),"Reconciles within tolerance","Outside tolerance"))</f>
        <v>Reconciles within tolerance</v>
      </c>
      <c r="M175" s="17" t="n">
        <f aca="false">IF(OR(E175="",LEFT(L175,8)="Excluded"),"",ABS(E175))</f>
        <v>0</v>
      </c>
    </row>
    <row r="176" customFormat="false" ht="15" hidden="false" customHeight="false" outlineLevel="0" collapsed="false">
      <c r="A176" s="7" t="n">
        <v>2014</v>
      </c>
      <c r="B176" s="12" t="s">
        <v>64</v>
      </c>
      <c r="C176" s="16" t="n">
        <v>1910.112224</v>
      </c>
      <c r="D176" s="16" t="n">
        <v>1910.112474</v>
      </c>
      <c r="E176" s="17" t="n">
        <f aca="false">IF(D176="","",C176-D176)</f>
        <v>-0.000250000000050932</v>
      </c>
      <c r="F176" s="18" t="n">
        <f aca="false">IF(OR(D176="",D176=0),"",E176/D176)</f>
        <v>-1.30882345125679E-007</v>
      </c>
      <c r="G176" s="16" t="n">
        <v>371.963449</v>
      </c>
      <c r="H176" s="16" t="n">
        <v>0</v>
      </c>
      <c r="I176" s="16" t="n">
        <v>371.963449</v>
      </c>
      <c r="J176" s="17" t="n">
        <f aca="false">IF(I176="","",G176-I176)</f>
        <v>0</v>
      </c>
      <c r="K176" s="18" t="n">
        <f aca="false">IF(OR(I176="",I176=0),"",J176/I176)</f>
        <v>0</v>
      </c>
      <c r="L176" s="19" t="str">
        <f aca="false">IF(OR(D176="",I176=""),"No reported total for O&amp;M or depreciation",IF(AND(ABS(F176)&lt;=$D$2,ABS(K176)&lt;=$D$2),"Reconciles within tolerance","Outside tolerance"))</f>
        <v>Reconciles within tolerance</v>
      </c>
      <c r="M176" s="17" t="n">
        <f aca="false">IF(OR(E176="",LEFT(L176,8)="Excluded"),"",ABS(E176))</f>
        <v>0.000250000000050932</v>
      </c>
    </row>
    <row r="177" customFormat="false" ht="15" hidden="false" customHeight="false" outlineLevel="0" collapsed="false">
      <c r="A177" s="7" t="n">
        <v>2015</v>
      </c>
      <c r="B177" s="12" t="s">
        <v>64</v>
      </c>
      <c r="C177" s="16" t="n">
        <v>1650.900747</v>
      </c>
      <c r="D177" s="16" t="n">
        <v>1650.900747</v>
      </c>
      <c r="E177" s="17" t="n">
        <f aca="false">IF(D177="","",C177-D177)</f>
        <v>0</v>
      </c>
      <c r="F177" s="18" t="n">
        <f aca="false">IF(OR(D177="",D177=0),"",E177/D177)</f>
        <v>0</v>
      </c>
      <c r="G177" s="16" t="n">
        <v>394.412573</v>
      </c>
      <c r="H177" s="16" t="n">
        <v>0</v>
      </c>
      <c r="I177" s="16" t="n">
        <v>394.412573</v>
      </c>
      <c r="J177" s="17" t="n">
        <f aca="false">IF(I177="","",G177-I177)</f>
        <v>0</v>
      </c>
      <c r="K177" s="18" t="n">
        <f aca="false">IF(OR(I177="",I177=0),"",J177/I177)</f>
        <v>0</v>
      </c>
      <c r="L177" s="19" t="str">
        <f aca="false">IF(OR(D177="",I177=""),"No reported total for O&amp;M or depreciation",IF(AND(ABS(F177)&lt;=$D$2,ABS(K177)&lt;=$D$2),"Reconciles within tolerance","Outside tolerance"))</f>
        <v>Reconciles within tolerance</v>
      </c>
      <c r="M177" s="17" t="n">
        <f aca="false">IF(OR(E177="",LEFT(L177,8)="Excluded"),"",ABS(E177))</f>
        <v>0</v>
      </c>
    </row>
    <row r="178" customFormat="false" ht="15" hidden="false" customHeight="false" outlineLevel="0" collapsed="false">
      <c r="A178" s="7" t="n">
        <v>2016</v>
      </c>
      <c r="B178" s="12" t="s">
        <v>64</v>
      </c>
      <c r="C178" s="16" t="n">
        <v>1605.836321</v>
      </c>
      <c r="D178" s="16" t="n">
        <v>1605.844203</v>
      </c>
      <c r="E178" s="17" t="n">
        <f aca="false">IF(D178="","",C178-D178)</f>
        <v>-0.00788200000010875</v>
      </c>
      <c r="F178" s="18" t="n">
        <f aca="false">IF(OR(D178="",D178=0),"",E178/D178)</f>
        <v>-4.90832173219779E-006</v>
      </c>
      <c r="G178" s="16" t="n">
        <v>445.201822</v>
      </c>
      <c r="H178" s="16" t="n">
        <v>0</v>
      </c>
      <c r="I178" s="16" t="n">
        <v>445.201822</v>
      </c>
      <c r="J178" s="17" t="n">
        <f aca="false">IF(I178="","",G178-I178)</f>
        <v>0</v>
      </c>
      <c r="K178" s="18" t="n">
        <f aca="false">IF(OR(I178="",I178=0),"",J178/I178)</f>
        <v>0</v>
      </c>
      <c r="L178" s="19" t="str">
        <f aca="false">IF(OR(D178="",I178=""),"No reported total for O&amp;M or depreciation",IF(AND(ABS(F178)&lt;=$D$2,ABS(K178)&lt;=$D$2),"Reconciles within tolerance","Outside tolerance"))</f>
        <v>Reconciles within tolerance</v>
      </c>
      <c r="M178" s="17" t="n">
        <f aca="false">IF(OR(E178="",LEFT(L178,8)="Excluded"),"",ABS(E178))</f>
        <v>0.00788200000010875</v>
      </c>
    </row>
    <row r="179" customFormat="false" ht="15" hidden="false" customHeight="false" outlineLevel="0" collapsed="false">
      <c r="A179" s="7" t="n">
        <v>2017</v>
      </c>
      <c r="B179" s="12" t="s">
        <v>64</v>
      </c>
      <c r="C179" s="16" t="n">
        <v>1686.156787</v>
      </c>
      <c r="D179" s="16" t="n">
        <v>1686.157941</v>
      </c>
      <c r="E179" s="17" t="n">
        <f aca="false">IF(D179="","",C179-D179)</f>
        <v>-0.00115400000004229</v>
      </c>
      <c r="F179" s="18" t="n">
        <f aca="false">IF(OR(D179="",D179=0),"",E179/D179)</f>
        <v>-6.8439614817927E-007</v>
      </c>
      <c r="G179" s="16" t="n">
        <v>416.792784</v>
      </c>
      <c r="H179" s="16" t="n">
        <v>0</v>
      </c>
      <c r="I179" s="16" t="n">
        <v>416.792784</v>
      </c>
      <c r="J179" s="17" t="n">
        <f aca="false">IF(I179="","",G179-I179)</f>
        <v>0</v>
      </c>
      <c r="K179" s="18" t="n">
        <f aca="false">IF(OR(I179="",I179=0),"",J179/I179)</f>
        <v>0</v>
      </c>
      <c r="L179" s="19" t="str">
        <f aca="false">IF(OR(D179="",I179=""),"No reported total for O&amp;M or depreciation",IF(AND(ABS(F179)&lt;=$D$2,ABS(K179)&lt;=$D$2),"Reconciles within tolerance","Outside tolerance"))</f>
        <v>Reconciles within tolerance</v>
      </c>
      <c r="M179" s="17" t="n">
        <f aca="false">IF(OR(E179="",LEFT(L179,8)="Excluded"),"",ABS(E179))</f>
        <v>0.00115400000004229</v>
      </c>
    </row>
    <row r="180" customFormat="false" ht="15" hidden="false" customHeight="false" outlineLevel="0" collapsed="false">
      <c r="A180" s="7" t="n">
        <v>2018</v>
      </c>
      <c r="B180" s="12" t="s">
        <v>64</v>
      </c>
      <c r="C180" s="16" t="n">
        <v>1753.091205</v>
      </c>
      <c r="D180" s="16" t="n">
        <v>1753.091639</v>
      </c>
      <c r="E180" s="17" t="n">
        <f aca="false">IF(D180="","",C180-D180)</f>
        <v>-0.000434000000041124</v>
      </c>
      <c r="F180" s="18" t="n">
        <f aca="false">IF(OR(D180="",D180=0),"",E180/D180)</f>
        <v>-2.47562643267574E-007</v>
      </c>
      <c r="G180" s="16" t="n">
        <v>474.605494</v>
      </c>
      <c r="H180" s="16" t="n">
        <v>0</v>
      </c>
      <c r="I180" s="16" t="n">
        <v>474.605494</v>
      </c>
      <c r="J180" s="17" t="n">
        <f aca="false">IF(I180="","",G180-I180)</f>
        <v>0</v>
      </c>
      <c r="K180" s="18" t="n">
        <f aca="false">IF(OR(I180="",I180=0),"",J180/I180)</f>
        <v>0</v>
      </c>
      <c r="L180" s="19" t="str">
        <f aca="false">IF(OR(D180="",I180=""),"No reported total for O&amp;M or depreciation",IF(AND(ABS(F180)&lt;=$D$2,ABS(K180)&lt;=$D$2),"Reconciles within tolerance","Outside tolerance"))</f>
        <v>Reconciles within tolerance</v>
      </c>
      <c r="M180" s="17" t="n">
        <f aca="false">IF(OR(E180="",LEFT(L180,8)="Excluded"),"",ABS(E180))</f>
        <v>0.000434000000041124</v>
      </c>
    </row>
    <row r="181" customFormat="false" ht="15" hidden="false" customHeight="false" outlineLevel="0" collapsed="false">
      <c r="A181" s="7" t="n">
        <v>2019</v>
      </c>
      <c r="B181" s="12" t="s">
        <v>64</v>
      </c>
      <c r="C181" s="16" t="n">
        <v>1696.135303</v>
      </c>
      <c r="D181" s="16" t="n">
        <v>1696.135825</v>
      </c>
      <c r="E181" s="17" t="n">
        <f aca="false">IF(D181="","",C181-D181)</f>
        <v>-0.000522000000046319</v>
      </c>
      <c r="F181" s="18" t="n">
        <f aca="false">IF(OR(D181="",D181=0),"",E181/D181)</f>
        <v>-3.07758371913593E-007</v>
      </c>
      <c r="G181" s="16" t="n">
        <v>479.191264</v>
      </c>
      <c r="H181" s="16" t="n">
        <v>0</v>
      </c>
      <c r="I181" s="16" t="n">
        <v>479.191264</v>
      </c>
      <c r="J181" s="17" t="n">
        <f aca="false">IF(I181="","",G181-I181)</f>
        <v>0</v>
      </c>
      <c r="K181" s="18" t="n">
        <f aca="false">IF(OR(I181="",I181=0),"",J181/I181)</f>
        <v>0</v>
      </c>
      <c r="L181" s="19" t="str">
        <f aca="false">IF(OR(D181="",I181=""),"No reported total for O&amp;M or depreciation",IF(AND(ABS(F181)&lt;=$D$2,ABS(K181)&lt;=$D$2),"Reconciles within tolerance","Outside tolerance"))</f>
        <v>Reconciles within tolerance</v>
      </c>
      <c r="M181" s="17" t="n">
        <f aca="false">IF(OR(E181="",LEFT(L181,8)="Excluded"),"",ABS(E181))</f>
        <v>0.000522000000046319</v>
      </c>
    </row>
    <row r="182" customFormat="false" ht="15" hidden="false" customHeight="false" outlineLevel="0" collapsed="false">
      <c r="A182" s="7" t="n">
        <v>2020</v>
      </c>
      <c r="B182" s="12" t="s">
        <v>64</v>
      </c>
      <c r="C182" s="16" t="n">
        <v>1502.768853</v>
      </c>
      <c r="D182" s="16" t="n">
        <v>1502.768853</v>
      </c>
      <c r="E182" s="17" t="n">
        <f aca="false">IF(D182="","",C182-D182)</f>
        <v>0</v>
      </c>
      <c r="F182" s="18" t="n">
        <f aca="false">IF(OR(D182="",D182=0),"",E182/D182)</f>
        <v>0</v>
      </c>
      <c r="G182" s="16" t="n">
        <v>522.424543</v>
      </c>
      <c r="H182" s="16" t="n">
        <v>0</v>
      </c>
      <c r="I182" s="16" t="n">
        <v>522.424543</v>
      </c>
      <c r="J182" s="17" t="n">
        <f aca="false">IF(I182="","",G182-I182)</f>
        <v>0</v>
      </c>
      <c r="K182" s="18" t="n">
        <f aca="false">IF(OR(I182="",I182=0),"",J182/I182)</f>
        <v>0</v>
      </c>
      <c r="L182" s="19" t="str">
        <f aca="false">IF(OR(D182="",I182=""),"No reported total for O&amp;M or depreciation",IF(AND(ABS(F182)&lt;=$D$2,ABS(K182)&lt;=$D$2),"Reconciles within tolerance","Outside tolerance"))</f>
        <v>Reconciles within tolerance</v>
      </c>
      <c r="M182" s="17" t="n">
        <f aca="false">IF(OR(E182="",LEFT(L182,8)="Excluded"),"",ABS(E182))</f>
        <v>0</v>
      </c>
    </row>
    <row r="183" customFormat="false" ht="15" hidden="false" customHeight="false" outlineLevel="0" collapsed="false">
      <c r="A183" s="7" t="n">
        <v>2021</v>
      </c>
      <c r="B183" s="12" t="s">
        <v>64</v>
      </c>
      <c r="C183" s="16" t="n">
        <v>1711.848487</v>
      </c>
      <c r="D183" s="16" t="n">
        <v>1711.848487</v>
      </c>
      <c r="E183" s="17" t="n">
        <f aca="false">IF(D183="","",C183-D183)</f>
        <v>0</v>
      </c>
      <c r="F183" s="18" t="n">
        <f aca="false">IF(OR(D183="",D183=0),"",E183/D183)</f>
        <v>0</v>
      </c>
      <c r="G183" s="16" t="n">
        <v>559.055395</v>
      </c>
      <c r="H183" s="16" t="n">
        <v>0</v>
      </c>
      <c r="I183" s="16" t="n">
        <v>559.055395</v>
      </c>
      <c r="J183" s="17" t="n">
        <f aca="false">IF(I183="","",G183-I183)</f>
        <v>0</v>
      </c>
      <c r="K183" s="18" t="n">
        <f aca="false">IF(OR(I183="",I183=0),"",J183/I183)</f>
        <v>0</v>
      </c>
      <c r="L183" s="19" t="str">
        <f aca="false">IF(OR(D183="",I183=""),"No reported total for O&amp;M or depreciation",IF(AND(ABS(F183)&lt;=$D$2,ABS(K183)&lt;=$D$2),"Reconciles within tolerance","Outside tolerance"))</f>
        <v>Reconciles within tolerance</v>
      </c>
      <c r="M183" s="17" t="n">
        <f aca="false">IF(OR(E183="",LEFT(L183,8)="Excluded"),"",ABS(E183))</f>
        <v>0</v>
      </c>
    </row>
    <row r="184" customFormat="false" ht="15" hidden="false" customHeight="false" outlineLevel="0" collapsed="false">
      <c r="A184" s="7" t="n">
        <v>2022</v>
      </c>
      <c r="B184" s="12" t="s">
        <v>64</v>
      </c>
      <c r="C184" s="16" t="n">
        <v>2523.551961</v>
      </c>
      <c r="D184" s="16" t="n">
        <v>2523.551971</v>
      </c>
      <c r="E184" s="17" t="n">
        <f aca="false">IF(D184="","",C184-D184)</f>
        <v>-9.99999974737875E-006</v>
      </c>
      <c r="F184" s="18" t="n">
        <f aca="false">IF(OR(D184="",D184=0),"",E184/D184)</f>
        <v>-3.96266843809683E-009</v>
      </c>
      <c r="G184" s="16" t="n">
        <v>577.810891</v>
      </c>
      <c r="H184" s="16" t="n">
        <v>0</v>
      </c>
      <c r="I184" s="16" t="n">
        <v>577.81089</v>
      </c>
      <c r="J184" s="17" t="n">
        <f aca="false">IF(I184="","",G184-I184)</f>
        <v>9.99999997475243E-007</v>
      </c>
      <c r="K184" s="18" t="n">
        <f aca="false">IF(OR(I184="",I184=0),"",J184/I184)</f>
        <v>1.73067004236497E-009</v>
      </c>
      <c r="L184" s="19" t="str">
        <f aca="false">IF(OR(D184="",I184=""),"No reported total for O&amp;M or depreciation",IF(AND(ABS(F184)&lt;=$D$2,ABS(K184)&lt;=$D$2),"Reconciles within tolerance","Outside tolerance"))</f>
        <v>Reconciles within tolerance</v>
      </c>
      <c r="M184" s="17" t="n">
        <f aca="false">IF(OR(E184="",LEFT(L184,8)="Excluded"),"",ABS(E184))</f>
        <v>9.99999974737875E-006</v>
      </c>
    </row>
    <row r="185" customFormat="false" ht="15" hidden="false" customHeight="false" outlineLevel="0" collapsed="false">
      <c r="A185" s="7" t="n">
        <v>2023</v>
      </c>
      <c r="B185" s="12" t="s">
        <v>64</v>
      </c>
      <c r="C185" s="16" t="n">
        <v>1868.904752</v>
      </c>
      <c r="D185" s="16" t="n">
        <v>1868.905214</v>
      </c>
      <c r="E185" s="17" t="n">
        <f aca="false">IF(D185="","",C185-D185)</f>
        <v>-0.000461999999970431</v>
      </c>
      <c r="F185" s="18" t="n">
        <f aca="false">IF(OR(D185="",D185=0),"",E185/D185)</f>
        <v>-2.47203548103767E-007</v>
      </c>
      <c r="G185" s="16" t="n">
        <v>597.035391</v>
      </c>
      <c r="H185" s="16" t="n">
        <v>0</v>
      </c>
      <c r="I185" s="16" t="n">
        <v>597.035391</v>
      </c>
      <c r="J185" s="17" t="n">
        <f aca="false">IF(I185="","",G185-I185)</f>
        <v>0</v>
      </c>
      <c r="K185" s="18" t="n">
        <f aca="false">IF(OR(I185="",I185=0),"",J185/I185)</f>
        <v>0</v>
      </c>
      <c r="L185" s="19" t="str">
        <f aca="false">IF(OR(D185="",I185=""),"No reported total for O&amp;M or depreciation",IF(AND(ABS(F185)&lt;=$D$2,ABS(K185)&lt;=$D$2),"Reconciles within tolerance","Outside tolerance"))</f>
        <v>Reconciles within tolerance</v>
      </c>
      <c r="M185" s="17" t="n">
        <f aca="false">IF(OR(E185="",LEFT(L185,8)="Excluded"),"",ABS(E185))</f>
        <v>0.000461999999970431</v>
      </c>
    </row>
    <row r="186" customFormat="false" ht="15" hidden="false" customHeight="false" outlineLevel="0" collapsed="false">
      <c r="A186" s="7" t="n">
        <v>2024</v>
      </c>
      <c r="B186" s="12" t="s">
        <v>64</v>
      </c>
      <c r="C186" s="16" t="n">
        <v>1609.854864</v>
      </c>
      <c r="D186" s="16" t="n">
        <v>1608.907395</v>
      </c>
      <c r="E186" s="17" t="n">
        <f aca="false">IF(D186="","",C186-D186)</f>
        <v>0.947468999999956</v>
      </c>
      <c r="F186" s="18" t="n">
        <f aca="false">IF(OR(D186="",D186=0),"",E186/D186)</f>
        <v>0.000588889704245505</v>
      </c>
      <c r="G186" s="16" t="n">
        <v>610.873697</v>
      </c>
      <c r="H186" s="16" t="n">
        <v>0</v>
      </c>
      <c r="I186" s="16" t="n">
        <v>610.873697</v>
      </c>
      <c r="J186" s="17" t="n">
        <f aca="false">IF(I186="","",G186-I186)</f>
        <v>0</v>
      </c>
      <c r="K186" s="18" t="n">
        <f aca="false">IF(OR(I186="",I186=0),"",J186/I186)</f>
        <v>0</v>
      </c>
      <c r="L186" s="19" t="str">
        <f aca="false">IF(OR(D186="",I186=""),"No reported total for O&amp;M or depreciation",IF(AND(ABS(F186)&lt;=$D$2,ABS(K186)&lt;=$D$2),"Reconciles within tolerance","Outside tolerance"))</f>
        <v>Reconciles within tolerance</v>
      </c>
      <c r="M186" s="17" t="n">
        <f aca="false">IF(OR(E186="",LEFT(L186,8)="Excluded"),"",ABS(E186))</f>
        <v>0.947468999999956</v>
      </c>
    </row>
    <row r="187" customFormat="false" ht="15" hidden="false" customHeight="false" outlineLevel="0" collapsed="false">
      <c r="A187" s="7" t="n">
        <v>2025</v>
      </c>
      <c r="B187" s="12" t="s">
        <v>64</v>
      </c>
      <c r="C187" s="16" t="n">
        <v>1901.694733</v>
      </c>
      <c r="D187" s="16" t="n">
        <v>1901.694732</v>
      </c>
      <c r="E187" s="17" t="n">
        <f aca="false">IF(D187="","",C187-D187)</f>
        <v>1.00000011116208E-006</v>
      </c>
      <c r="F187" s="18" t="n">
        <f aca="false">IF(OR(D187="",D187=0),"",E187/D187)</f>
        <v>5.25846811444015E-010</v>
      </c>
      <c r="G187" s="16" t="n">
        <v>789.710146</v>
      </c>
      <c r="H187" s="16" t="n">
        <v>0</v>
      </c>
      <c r="I187" s="16" t="n">
        <v>789.710146</v>
      </c>
      <c r="J187" s="17" t="n">
        <f aca="false">IF(I187="","",G187-I187)</f>
        <v>0</v>
      </c>
      <c r="K187" s="18" t="n">
        <f aca="false">IF(OR(I187="",I187=0),"",J187/I187)</f>
        <v>0</v>
      </c>
      <c r="L187" s="19" t="str">
        <f aca="false">IF(OR(D187="",I187=""),"No reported total for O&amp;M or depreciation",IF(AND(ABS(F187)&lt;=$D$2,ABS(K187)&lt;=$D$2),"Reconciles within tolerance","Outside tolerance"))</f>
        <v>Reconciles within tolerance</v>
      </c>
      <c r="M187" s="17" t="n">
        <f aca="false">IF(OR(E187="",LEFT(L187,8)="Excluded"),"",ABS(E187))</f>
        <v>1.00000011116208E-006</v>
      </c>
    </row>
    <row r="188" customFormat="false" ht="15" hidden="false" customHeight="false" outlineLevel="0" collapsed="false">
      <c r="A188" s="7" t="n">
        <v>1995</v>
      </c>
      <c r="B188" s="12" t="s">
        <v>66</v>
      </c>
      <c r="C188" s="16" t="n">
        <v>797.153159</v>
      </c>
      <c r="D188" s="16" t="n">
        <v>797.153159</v>
      </c>
      <c r="E188" s="17" t="n">
        <f aca="false">IF(D188="","",C188-D188)</f>
        <v>0</v>
      </c>
      <c r="F188" s="18" t="n">
        <f aca="false">IF(OR(D188="",D188=0),"",E188/D188)</f>
        <v>0</v>
      </c>
      <c r="G188" s="16" t="n">
        <v>138.7871</v>
      </c>
      <c r="H188" s="16" t="n">
        <v>0</v>
      </c>
      <c r="I188" s="16" t="n">
        <v>138.7871</v>
      </c>
      <c r="J188" s="17" t="n">
        <f aca="false">IF(I188="","",G188-I188)</f>
        <v>0</v>
      </c>
      <c r="K188" s="18" t="n">
        <f aca="false">IF(OR(I188="",I188=0),"",J188/I188)</f>
        <v>0</v>
      </c>
      <c r="L188" s="19" t="str">
        <f aca="false">IF(OR(D188="",I188=""),"No reported total for O&amp;M or depreciation",IF(AND(ABS(F188)&lt;=$D$2,ABS(K188)&lt;=$D$2),"Reconciles within tolerance","Outside tolerance"))</f>
        <v>Reconciles within tolerance</v>
      </c>
      <c r="M188" s="17" t="n">
        <f aca="false">IF(OR(E188="",LEFT(L188,8)="Excluded"),"",ABS(E188))</f>
        <v>0</v>
      </c>
    </row>
    <row r="189" customFormat="false" ht="15" hidden="false" customHeight="false" outlineLevel="0" collapsed="false">
      <c r="A189" s="7" t="n">
        <v>1996</v>
      </c>
      <c r="B189" s="12" t="s">
        <v>66</v>
      </c>
      <c r="C189" s="16" t="n">
        <v>806.813774</v>
      </c>
      <c r="D189" s="16" t="n">
        <v>806.813774</v>
      </c>
      <c r="E189" s="17" t="n">
        <f aca="false">IF(D189="","",C189-D189)</f>
        <v>0</v>
      </c>
      <c r="F189" s="18" t="n">
        <f aca="false">IF(OR(D189="",D189=0),"",E189/D189)</f>
        <v>0</v>
      </c>
      <c r="G189" s="16" t="n">
        <v>140.410391</v>
      </c>
      <c r="H189" s="16" t="n">
        <v>0</v>
      </c>
      <c r="I189" s="16" t="n">
        <v>140.410391</v>
      </c>
      <c r="J189" s="17" t="n">
        <f aca="false">IF(I189="","",G189-I189)</f>
        <v>0</v>
      </c>
      <c r="K189" s="18" t="n">
        <f aca="false">IF(OR(I189="",I189=0),"",J189/I189)</f>
        <v>0</v>
      </c>
      <c r="L189" s="19" t="str">
        <f aca="false">IF(OR(D189="",I189=""),"No reported total for O&amp;M or depreciation",IF(AND(ABS(F189)&lt;=$D$2,ABS(K189)&lt;=$D$2),"Reconciles within tolerance","Outside tolerance"))</f>
        <v>Reconciles within tolerance</v>
      </c>
      <c r="M189" s="17" t="n">
        <f aca="false">IF(OR(E189="",LEFT(L189,8)="Excluded"),"",ABS(E189))</f>
        <v>0</v>
      </c>
    </row>
    <row r="190" customFormat="false" ht="15" hidden="false" customHeight="false" outlineLevel="0" collapsed="false">
      <c r="A190" s="7" t="n">
        <v>1997</v>
      </c>
      <c r="B190" s="12" t="s">
        <v>66</v>
      </c>
      <c r="C190" s="16" t="n">
        <v>896.002902</v>
      </c>
      <c r="D190" s="16" t="n">
        <v>896.002902</v>
      </c>
      <c r="E190" s="17" t="n">
        <f aca="false">IF(D190="","",C190-D190)</f>
        <v>0</v>
      </c>
      <c r="F190" s="18" t="n">
        <f aca="false">IF(OR(D190="",D190=0),"",E190/D190)</f>
        <v>0</v>
      </c>
      <c r="G190" s="16" t="n">
        <v>140.785185</v>
      </c>
      <c r="H190" s="16" t="n">
        <v>0</v>
      </c>
      <c r="I190" s="16" t="n">
        <v>140.785185</v>
      </c>
      <c r="J190" s="17" t="n">
        <f aca="false">IF(I190="","",G190-I190)</f>
        <v>0</v>
      </c>
      <c r="K190" s="18" t="n">
        <f aca="false">IF(OR(I190="",I190=0),"",J190/I190)</f>
        <v>0</v>
      </c>
      <c r="L190" s="19" t="str">
        <f aca="false">IF(OR(D190="",I190=""),"No reported total for O&amp;M or depreciation",IF(AND(ABS(F190)&lt;=$D$2,ABS(K190)&lt;=$D$2),"Reconciles within tolerance","Outside tolerance"))</f>
        <v>Reconciles within tolerance</v>
      </c>
      <c r="M190" s="17" t="n">
        <f aca="false">IF(OR(E190="",LEFT(L190,8)="Excluded"),"",ABS(E190))</f>
        <v>0</v>
      </c>
    </row>
    <row r="191" customFormat="false" ht="15" hidden="false" customHeight="false" outlineLevel="0" collapsed="false">
      <c r="A191" s="7" t="n">
        <v>1998</v>
      </c>
      <c r="B191" s="12" t="s">
        <v>66</v>
      </c>
      <c r="C191" s="16" t="n">
        <v>977.089429</v>
      </c>
      <c r="D191" s="16" t="n">
        <v>977.089429</v>
      </c>
      <c r="E191" s="17" t="n">
        <f aca="false">IF(D191="","",C191-D191)</f>
        <v>0</v>
      </c>
      <c r="F191" s="18" t="n">
        <f aca="false">IF(OR(D191="",D191=0),"",E191/D191)</f>
        <v>0</v>
      </c>
      <c r="G191" s="16" t="n">
        <v>145.085722</v>
      </c>
      <c r="H191" s="16" t="n">
        <v>0</v>
      </c>
      <c r="I191" s="16" t="n">
        <v>145.085722</v>
      </c>
      <c r="J191" s="17" t="n">
        <f aca="false">IF(I191="","",G191-I191)</f>
        <v>0</v>
      </c>
      <c r="K191" s="18" t="n">
        <f aca="false">IF(OR(I191="",I191=0),"",J191/I191)</f>
        <v>0</v>
      </c>
      <c r="L191" s="19" t="str">
        <f aca="false">IF(OR(D191="",I191=""),"No reported total for O&amp;M or depreciation",IF(AND(ABS(F191)&lt;=$D$2,ABS(K191)&lt;=$D$2),"Reconciles within tolerance","Outside tolerance"))</f>
        <v>Reconciles within tolerance</v>
      </c>
      <c r="M191" s="17" t="n">
        <f aca="false">IF(OR(E191="",LEFT(L191,8)="Excluded"),"",ABS(E191))</f>
        <v>0</v>
      </c>
    </row>
    <row r="192" customFormat="false" ht="15" hidden="false" customHeight="false" outlineLevel="0" collapsed="false">
      <c r="A192" s="7" t="n">
        <v>1999</v>
      </c>
      <c r="B192" s="12" t="s">
        <v>66</v>
      </c>
      <c r="C192" s="16" t="n">
        <v>1058.10657</v>
      </c>
      <c r="D192" s="16" t="n">
        <v>1058.10657</v>
      </c>
      <c r="E192" s="17" t="n">
        <f aca="false">IF(D192="","",C192-D192)</f>
        <v>0</v>
      </c>
      <c r="F192" s="18" t="n">
        <f aca="false">IF(OR(D192="",D192=0),"",E192/D192)</f>
        <v>0</v>
      </c>
      <c r="G192" s="16" t="n">
        <v>149.959428</v>
      </c>
      <c r="H192" s="16" t="n">
        <v>0</v>
      </c>
      <c r="I192" s="16" t="n">
        <v>149.959428</v>
      </c>
      <c r="J192" s="17" t="n">
        <f aca="false">IF(I192="","",G192-I192)</f>
        <v>0</v>
      </c>
      <c r="K192" s="18" t="n">
        <f aca="false">IF(OR(I192="",I192=0),"",J192/I192)</f>
        <v>0</v>
      </c>
      <c r="L192" s="19" t="str">
        <f aca="false">IF(OR(D192="",I192=""),"No reported total for O&amp;M or depreciation",IF(AND(ABS(F192)&lt;=$D$2,ABS(K192)&lt;=$D$2),"Reconciles within tolerance","Outside tolerance"))</f>
        <v>Reconciles within tolerance</v>
      </c>
      <c r="M192" s="17" t="n">
        <f aca="false">IF(OR(E192="",LEFT(L192,8)="Excluded"),"",ABS(E192))</f>
        <v>0</v>
      </c>
    </row>
    <row r="193" customFormat="false" ht="15" hidden="false" customHeight="false" outlineLevel="0" collapsed="false">
      <c r="A193" s="7" t="n">
        <v>2000</v>
      </c>
      <c r="B193" s="12" t="s">
        <v>66</v>
      </c>
      <c r="C193" s="16" t="n">
        <v>1366.000417</v>
      </c>
      <c r="D193" s="16" t="n">
        <v>1366.000417</v>
      </c>
      <c r="E193" s="17" t="n">
        <f aca="false">IF(D193="","",C193-D193)</f>
        <v>0</v>
      </c>
      <c r="F193" s="18" t="n">
        <f aca="false">IF(OR(D193="",D193=0),"",E193/D193)</f>
        <v>0</v>
      </c>
      <c r="G193" s="16" t="n">
        <v>154.172984</v>
      </c>
      <c r="H193" s="16" t="n">
        <v>0</v>
      </c>
      <c r="I193" s="16" t="n">
        <v>154.172984</v>
      </c>
      <c r="J193" s="17" t="n">
        <f aca="false">IF(I193="","",G193-I193)</f>
        <v>0</v>
      </c>
      <c r="K193" s="18" t="n">
        <f aca="false">IF(OR(I193="",I193=0),"",J193/I193)</f>
        <v>0</v>
      </c>
      <c r="L193" s="19" t="str">
        <f aca="false">IF(OR(D193="",I193=""),"No reported total for O&amp;M or depreciation",IF(AND(ABS(F193)&lt;=$D$2,ABS(K193)&lt;=$D$2),"Reconciles within tolerance","Outside tolerance"))</f>
        <v>Reconciles within tolerance</v>
      </c>
      <c r="M193" s="17" t="n">
        <f aca="false">IF(OR(E193="",LEFT(L193,8)="Excluded"),"",ABS(E193))</f>
        <v>0</v>
      </c>
    </row>
    <row r="194" customFormat="false" ht="15" hidden="false" customHeight="false" outlineLevel="0" collapsed="false">
      <c r="A194" s="7" t="n">
        <v>2001</v>
      </c>
      <c r="B194" s="12" t="s">
        <v>66</v>
      </c>
      <c r="C194" s="16" t="n">
        <v>4359.779844</v>
      </c>
      <c r="D194" s="16" t="n">
        <v>4359.779844</v>
      </c>
      <c r="E194" s="17" t="n">
        <f aca="false">IF(D194="","",C194-D194)</f>
        <v>0</v>
      </c>
      <c r="F194" s="18" t="n">
        <f aca="false">IF(OR(D194="",D194=0),"",E194/D194)</f>
        <v>0</v>
      </c>
      <c r="G194" s="16" t="n">
        <v>162.473962</v>
      </c>
      <c r="H194" s="16" t="n">
        <v>0</v>
      </c>
      <c r="I194" s="16" t="n">
        <v>162.473962</v>
      </c>
      <c r="J194" s="17" t="n">
        <f aca="false">IF(I194="","",G194-I194)</f>
        <v>0</v>
      </c>
      <c r="K194" s="18" t="n">
        <f aca="false">IF(OR(I194="",I194=0),"",J194/I194)</f>
        <v>0</v>
      </c>
      <c r="L194" s="19" t="str">
        <f aca="false">IF(OR(D194="",I194=""),"No reported total for O&amp;M or depreciation",IF(AND(ABS(F194)&lt;=$D$2,ABS(K194)&lt;=$D$2),"Reconciles within tolerance","Outside tolerance"))</f>
        <v>Reconciles within tolerance</v>
      </c>
      <c r="M194" s="17" t="n">
        <f aca="false">IF(OR(E194="",LEFT(L194,8)="Excluded"),"",ABS(E194))</f>
        <v>0</v>
      </c>
    </row>
    <row r="195" customFormat="false" ht="15" hidden="false" customHeight="false" outlineLevel="0" collapsed="false">
      <c r="A195" s="7" t="n">
        <v>2002</v>
      </c>
      <c r="B195" s="12" t="s">
        <v>66</v>
      </c>
      <c r="C195" s="16" t="n">
        <v>1109.160066</v>
      </c>
      <c r="D195" s="16" t="n">
        <v>1109.160066</v>
      </c>
      <c r="E195" s="17" t="n">
        <f aca="false">IF(D195="","",C195-D195)</f>
        <v>0</v>
      </c>
      <c r="F195" s="18" t="n">
        <f aca="false">IF(OR(D195="",D195=0),"",E195/D195)</f>
        <v>0</v>
      </c>
      <c r="G195" s="16" t="n">
        <v>166.32003</v>
      </c>
      <c r="H195" s="16" t="n">
        <v>0</v>
      </c>
      <c r="I195" s="16" t="n">
        <v>166.32003</v>
      </c>
      <c r="J195" s="17" t="n">
        <f aca="false">IF(I195="","",G195-I195)</f>
        <v>0</v>
      </c>
      <c r="K195" s="18" t="n">
        <f aca="false">IF(OR(I195="",I195=0),"",J195/I195)</f>
        <v>0</v>
      </c>
      <c r="L195" s="19" t="str">
        <f aca="false">IF(OR(D195="",I195=""),"No reported total for O&amp;M or depreciation",IF(AND(ABS(F195)&lt;=$D$2,ABS(K195)&lt;=$D$2),"Reconciles within tolerance","Outside tolerance"))</f>
        <v>Reconciles within tolerance</v>
      </c>
      <c r="M195" s="17" t="n">
        <f aca="false">IF(OR(E195="",LEFT(L195,8)="Excluded"),"",ABS(E195))</f>
        <v>0</v>
      </c>
    </row>
    <row r="196" customFormat="false" ht="15" hidden="false" customHeight="false" outlineLevel="0" collapsed="false">
      <c r="A196" s="7" t="n">
        <v>2003</v>
      </c>
      <c r="B196" s="12" t="s">
        <v>66</v>
      </c>
      <c r="C196" s="16" t="n">
        <v>1105.403692</v>
      </c>
      <c r="D196" s="16" t="n">
        <v>1105.403692</v>
      </c>
      <c r="E196" s="17" t="n">
        <f aca="false">IF(D196="","",C196-D196)</f>
        <v>0</v>
      </c>
      <c r="F196" s="18" t="n">
        <f aca="false">IF(OR(D196="",D196=0),"",E196/D196)</f>
        <v>0</v>
      </c>
      <c r="G196" s="16" t="n">
        <v>175.481226</v>
      </c>
      <c r="H196" s="16" t="n">
        <v>0</v>
      </c>
      <c r="I196" s="16" t="n">
        <v>175.481226</v>
      </c>
      <c r="J196" s="17" t="n">
        <f aca="false">IF(I196="","",G196-I196)</f>
        <v>0</v>
      </c>
      <c r="K196" s="18" t="n">
        <f aca="false">IF(OR(I196="",I196=0),"",J196/I196)</f>
        <v>0</v>
      </c>
      <c r="L196" s="19" t="str">
        <f aca="false">IF(OR(D196="",I196=""),"No reported total for O&amp;M or depreciation",IF(AND(ABS(F196)&lt;=$D$2,ABS(K196)&lt;=$D$2),"Reconciles within tolerance","Outside tolerance"))</f>
        <v>Reconciles within tolerance</v>
      </c>
      <c r="M196" s="17" t="n">
        <f aca="false">IF(OR(E196="",LEFT(L196,8)="Excluded"),"",ABS(E196))</f>
        <v>0</v>
      </c>
    </row>
    <row r="197" customFormat="false" ht="15" hidden="false" customHeight="false" outlineLevel="0" collapsed="false">
      <c r="A197" s="7" t="n">
        <v>2004</v>
      </c>
      <c r="B197" s="12" t="s">
        <v>66</v>
      </c>
      <c r="C197" s="16" t="n">
        <v>1124.835373</v>
      </c>
      <c r="D197" s="16" t="n">
        <v>1124.835373</v>
      </c>
      <c r="E197" s="17" t="n">
        <f aca="false">IF(D197="","",C197-D197)</f>
        <v>0</v>
      </c>
      <c r="F197" s="18" t="n">
        <f aca="false">IF(OR(D197="",D197=0),"",E197/D197)</f>
        <v>0</v>
      </c>
      <c r="G197" s="16" t="n">
        <v>184.790787</v>
      </c>
      <c r="H197" s="16" t="n">
        <v>0</v>
      </c>
      <c r="I197" s="16" t="n">
        <v>184.790787</v>
      </c>
      <c r="J197" s="17" t="n">
        <f aca="false">IF(I197="","",G197-I197)</f>
        <v>0</v>
      </c>
      <c r="K197" s="18" t="n">
        <f aca="false">IF(OR(I197="",I197=0),"",J197/I197)</f>
        <v>0</v>
      </c>
      <c r="L197" s="19" t="str">
        <f aca="false">IF(OR(D197="",I197=""),"No reported total for O&amp;M or depreciation",IF(AND(ABS(F197)&lt;=$D$2,ABS(K197)&lt;=$D$2),"Reconciles within tolerance","Outside tolerance"))</f>
        <v>Reconciles within tolerance</v>
      </c>
      <c r="M197" s="17" t="n">
        <f aca="false">IF(OR(E197="",LEFT(L197,8)="Excluded"),"",ABS(E197))</f>
        <v>0</v>
      </c>
    </row>
    <row r="198" customFormat="false" ht="15" hidden="false" customHeight="false" outlineLevel="0" collapsed="false">
      <c r="A198" s="7" t="n">
        <v>2005</v>
      </c>
      <c r="B198" s="12" t="s">
        <v>66</v>
      </c>
      <c r="C198" s="16" t="n">
        <v>1230.640865</v>
      </c>
      <c r="D198" s="16" t="n">
        <v>1230.640865</v>
      </c>
      <c r="E198" s="17" t="n">
        <f aca="false">IF(D198="","",C198-D198)</f>
        <v>0</v>
      </c>
      <c r="F198" s="18" t="n">
        <f aca="false">IF(OR(D198="",D198=0),"",E198/D198)</f>
        <v>0</v>
      </c>
      <c r="G198" s="16" t="n">
        <v>193.628258</v>
      </c>
      <c r="H198" s="16" t="n">
        <v>0</v>
      </c>
      <c r="I198" s="16" t="n">
        <v>193.628258</v>
      </c>
      <c r="J198" s="17" t="n">
        <f aca="false">IF(I198="","",G198-I198)</f>
        <v>0</v>
      </c>
      <c r="K198" s="18" t="n">
        <f aca="false">IF(OR(I198="",I198=0),"",J198/I198)</f>
        <v>0</v>
      </c>
      <c r="L198" s="19" t="str">
        <f aca="false">IF(OR(D198="",I198=""),"No reported total for O&amp;M or depreciation",IF(AND(ABS(F198)&lt;=$D$2,ABS(K198)&lt;=$D$2),"Reconciles within tolerance","Outside tolerance"))</f>
        <v>Reconciles within tolerance</v>
      </c>
      <c r="M198" s="17" t="n">
        <f aca="false">IF(OR(E198="",LEFT(L198,8)="Excluded"),"",ABS(E198))</f>
        <v>0</v>
      </c>
    </row>
    <row r="199" customFormat="false" ht="15" hidden="false" customHeight="false" outlineLevel="0" collapsed="false">
      <c r="A199" s="7" t="n">
        <v>2006</v>
      </c>
      <c r="B199" s="12" t="s">
        <v>66</v>
      </c>
      <c r="C199" s="16" t="n">
        <v>1338.343485</v>
      </c>
      <c r="D199" s="16" t="n">
        <v>1338.343485</v>
      </c>
      <c r="E199" s="17" t="n">
        <f aca="false">IF(D199="","",C199-D199)</f>
        <v>0</v>
      </c>
      <c r="F199" s="18" t="n">
        <f aca="false">IF(OR(D199="",D199=0),"",E199/D199)</f>
        <v>0</v>
      </c>
      <c r="G199" s="16" t="n">
        <v>206.182774</v>
      </c>
      <c r="H199" s="16" t="n">
        <v>0</v>
      </c>
      <c r="I199" s="16" t="n">
        <v>206.182774</v>
      </c>
      <c r="J199" s="17" t="n">
        <f aca="false">IF(I199="","",G199-I199)</f>
        <v>0</v>
      </c>
      <c r="K199" s="18" t="n">
        <f aca="false">IF(OR(I199="",I199=0),"",J199/I199)</f>
        <v>0</v>
      </c>
      <c r="L199" s="19" t="str">
        <f aca="false">IF(OR(D199="",I199=""),"No reported total for O&amp;M or depreciation",IF(AND(ABS(F199)&lt;=$D$2,ABS(K199)&lt;=$D$2),"Reconciles within tolerance","Outside tolerance"))</f>
        <v>Reconciles within tolerance</v>
      </c>
      <c r="M199" s="17" t="n">
        <f aca="false">IF(OR(E199="",LEFT(L199,8)="Excluded"),"",ABS(E199))</f>
        <v>0</v>
      </c>
    </row>
    <row r="200" customFormat="false" ht="15" hidden="false" customHeight="false" outlineLevel="0" collapsed="false">
      <c r="A200" s="7" t="n">
        <v>2007</v>
      </c>
      <c r="B200" s="12" t="s">
        <v>66</v>
      </c>
      <c r="C200" s="16" t="n">
        <v>1452.821197</v>
      </c>
      <c r="D200" s="16" t="n">
        <v>1452.821197</v>
      </c>
      <c r="E200" s="17" t="n">
        <f aca="false">IF(D200="","",C200-D200)</f>
        <v>0</v>
      </c>
      <c r="F200" s="18" t="n">
        <f aca="false">IF(OR(D200="",D200=0),"",E200/D200)</f>
        <v>0</v>
      </c>
      <c r="G200" s="16" t="n">
        <v>174.139545</v>
      </c>
      <c r="H200" s="16" t="n">
        <v>0</v>
      </c>
      <c r="I200" s="16" t="n">
        <v>174.139545</v>
      </c>
      <c r="J200" s="17" t="n">
        <f aca="false">IF(I200="","",G200-I200)</f>
        <v>0</v>
      </c>
      <c r="K200" s="18" t="n">
        <f aca="false">IF(OR(I200="",I200=0),"",J200/I200)</f>
        <v>0</v>
      </c>
      <c r="L200" s="19" t="str">
        <f aca="false">IF(OR(D200="",I200=""),"No reported total for O&amp;M or depreciation",IF(AND(ABS(F200)&lt;=$D$2,ABS(K200)&lt;=$D$2),"Reconciles within tolerance","Outside tolerance"))</f>
        <v>Reconciles within tolerance</v>
      </c>
      <c r="M200" s="17" t="n">
        <f aca="false">IF(OR(E200="",LEFT(L200,8)="Excluded"),"",ABS(E200))</f>
        <v>0</v>
      </c>
    </row>
    <row r="201" customFormat="false" ht="15" hidden="false" customHeight="false" outlineLevel="0" collapsed="false">
      <c r="A201" s="7" t="n">
        <v>2008</v>
      </c>
      <c r="B201" s="12" t="s">
        <v>66</v>
      </c>
      <c r="C201" s="16" t="n">
        <v>1625.028815</v>
      </c>
      <c r="D201" s="16" t="n">
        <v>1625.028815</v>
      </c>
      <c r="E201" s="17" t="n">
        <f aca="false">IF(D201="","",C201-D201)</f>
        <v>0</v>
      </c>
      <c r="F201" s="18" t="n">
        <f aca="false">IF(OR(D201="",D201=0),"",E201/D201)</f>
        <v>0</v>
      </c>
      <c r="G201" s="16" t="n">
        <v>125.529188</v>
      </c>
      <c r="H201" s="16" t="n">
        <v>0</v>
      </c>
      <c r="I201" s="16" t="n">
        <v>125.529188</v>
      </c>
      <c r="J201" s="17" t="n">
        <f aca="false">IF(I201="","",G201-I201)</f>
        <v>0</v>
      </c>
      <c r="K201" s="18" t="n">
        <f aca="false">IF(OR(I201="",I201=0),"",J201/I201)</f>
        <v>0</v>
      </c>
      <c r="L201" s="19" t="str">
        <f aca="false">IF(OR(D201="",I201=""),"No reported total for O&amp;M or depreciation",IF(AND(ABS(F201)&lt;=$D$2,ABS(K201)&lt;=$D$2),"Reconciles within tolerance","Outside tolerance"))</f>
        <v>Reconciles within tolerance</v>
      </c>
      <c r="M201" s="17" t="n">
        <f aca="false">IF(OR(E201="",LEFT(L201,8)="Excluded"),"",ABS(E201))</f>
        <v>0</v>
      </c>
    </row>
    <row r="202" customFormat="false" ht="15" hidden="false" customHeight="false" outlineLevel="0" collapsed="false">
      <c r="A202" s="7" t="n">
        <v>2009</v>
      </c>
      <c r="B202" s="12" t="s">
        <v>66</v>
      </c>
      <c r="C202" s="16" t="n">
        <v>1479.141433</v>
      </c>
      <c r="D202" s="16" t="n">
        <v>1479.141433</v>
      </c>
      <c r="E202" s="17" t="n">
        <f aca="false">IF(D202="","",C202-D202)</f>
        <v>0</v>
      </c>
      <c r="F202" s="18" t="n">
        <f aca="false">IF(OR(D202="",D202=0),"",E202/D202)</f>
        <v>0</v>
      </c>
      <c r="G202" s="16" t="n">
        <v>133.647806</v>
      </c>
      <c r="H202" s="16" t="n">
        <v>0</v>
      </c>
      <c r="I202" s="16" t="n">
        <v>133.647806</v>
      </c>
      <c r="J202" s="17" t="n">
        <f aca="false">IF(I202="","",G202-I202)</f>
        <v>0</v>
      </c>
      <c r="K202" s="18" t="n">
        <f aca="false">IF(OR(I202="",I202=0),"",J202/I202)</f>
        <v>0</v>
      </c>
      <c r="L202" s="19" t="str">
        <f aca="false">IF(OR(D202="",I202=""),"No reported total for O&amp;M or depreciation",IF(AND(ABS(F202)&lt;=$D$2,ABS(K202)&lt;=$D$2),"Reconciles within tolerance","Outside tolerance"))</f>
        <v>Reconciles within tolerance</v>
      </c>
      <c r="M202" s="17" t="n">
        <f aca="false">IF(OR(E202="",LEFT(L202,8)="Excluded"),"",ABS(E202))</f>
        <v>0</v>
      </c>
    </row>
    <row r="203" customFormat="false" ht="15" hidden="false" customHeight="false" outlineLevel="0" collapsed="false">
      <c r="A203" s="7" t="n">
        <v>2010</v>
      </c>
      <c r="B203" s="12" t="s">
        <v>66</v>
      </c>
      <c r="C203" s="16" t="n">
        <v>1662.695761</v>
      </c>
      <c r="D203" s="16" t="n">
        <v>1662.695761</v>
      </c>
      <c r="E203" s="17" t="n">
        <f aca="false">IF(D203="","",C203-D203)</f>
        <v>0</v>
      </c>
      <c r="F203" s="18" t="n">
        <f aca="false">IF(OR(D203="",D203=0),"",E203/D203)</f>
        <v>0</v>
      </c>
      <c r="G203" s="16" t="n">
        <v>135.41903</v>
      </c>
      <c r="H203" s="16" t="n">
        <v>0</v>
      </c>
      <c r="I203" s="16" t="n">
        <v>135.41903</v>
      </c>
      <c r="J203" s="17" t="n">
        <f aca="false">IF(I203="","",G203-I203)</f>
        <v>0</v>
      </c>
      <c r="K203" s="18" t="n">
        <f aca="false">IF(OR(I203="",I203=0),"",J203/I203)</f>
        <v>0</v>
      </c>
      <c r="L203" s="19" t="str">
        <f aca="false">IF(OR(D203="",I203=""),"No reported total for O&amp;M or depreciation",IF(AND(ABS(F203)&lt;=$D$2,ABS(K203)&lt;=$D$2),"Reconciles within tolerance","Outside tolerance"))</f>
        <v>Reconciles within tolerance</v>
      </c>
      <c r="M203" s="17" t="n">
        <f aca="false">IF(OR(E203="",LEFT(L203,8)="Excluded"),"",ABS(E203))</f>
        <v>0</v>
      </c>
    </row>
    <row r="204" customFormat="false" ht="15" hidden="false" customHeight="false" outlineLevel="0" collapsed="false">
      <c r="A204" s="7" t="n">
        <v>2011</v>
      </c>
      <c r="B204" s="12" t="s">
        <v>66</v>
      </c>
      <c r="C204" s="16" t="n">
        <v>1621.815263</v>
      </c>
      <c r="D204" s="16" t="n">
        <v>1621.815263</v>
      </c>
      <c r="E204" s="17" t="n">
        <f aca="false">IF(D204="","",C204-D204)</f>
        <v>0</v>
      </c>
      <c r="F204" s="18" t="n">
        <f aca="false">IF(OR(D204="",D204=0),"",E204/D204)</f>
        <v>0</v>
      </c>
      <c r="G204" s="16" t="n">
        <v>131.421669</v>
      </c>
      <c r="H204" s="16" t="n">
        <v>0</v>
      </c>
      <c r="I204" s="16" t="n">
        <v>131.421669</v>
      </c>
      <c r="J204" s="17" t="n">
        <f aca="false">IF(I204="","",G204-I204)</f>
        <v>0</v>
      </c>
      <c r="K204" s="18" t="n">
        <f aca="false">IF(OR(I204="",I204=0),"",J204/I204)</f>
        <v>0</v>
      </c>
      <c r="L204" s="19" t="str">
        <f aca="false">IF(OR(D204="",I204=""),"No reported total for O&amp;M or depreciation",IF(AND(ABS(F204)&lt;=$D$2,ABS(K204)&lt;=$D$2),"Reconciles within tolerance","Outside tolerance"))</f>
        <v>Reconciles within tolerance</v>
      </c>
      <c r="M204" s="17" t="n">
        <f aca="false">IF(OR(E204="",LEFT(L204,8)="Excluded"),"",ABS(E204))</f>
        <v>0</v>
      </c>
    </row>
    <row r="205" customFormat="false" ht="15" hidden="false" customHeight="false" outlineLevel="0" collapsed="false">
      <c r="A205" s="7" t="n">
        <v>2012</v>
      </c>
      <c r="B205" s="12" t="s">
        <v>66</v>
      </c>
      <c r="C205" s="16" t="n">
        <v>1621.401967</v>
      </c>
      <c r="D205" s="16" t="n">
        <v>1621.401967</v>
      </c>
      <c r="E205" s="17" t="n">
        <f aca="false">IF(D205="","",C205-D205)</f>
        <v>0</v>
      </c>
      <c r="F205" s="18" t="n">
        <f aca="false">IF(OR(D205="",D205=0),"",E205/D205)</f>
        <v>0</v>
      </c>
      <c r="G205" s="16" t="n">
        <v>143.673856</v>
      </c>
      <c r="H205" s="16" t="n">
        <v>0</v>
      </c>
      <c r="I205" s="16" t="n">
        <v>143.673856</v>
      </c>
      <c r="J205" s="17" t="n">
        <f aca="false">IF(I205="","",G205-I205)</f>
        <v>0</v>
      </c>
      <c r="K205" s="18" t="n">
        <f aca="false">IF(OR(I205="",I205=0),"",J205/I205)</f>
        <v>0</v>
      </c>
      <c r="L205" s="19" t="str">
        <f aca="false">IF(OR(D205="",I205=""),"No reported total for O&amp;M or depreciation",IF(AND(ABS(F205)&lt;=$D$2,ABS(K205)&lt;=$D$2),"Reconciles within tolerance","Outside tolerance"))</f>
        <v>Reconciles within tolerance</v>
      </c>
      <c r="M205" s="17" t="n">
        <f aca="false">IF(OR(E205="",LEFT(L205,8)="Excluded"),"",ABS(E205))</f>
        <v>0</v>
      </c>
    </row>
    <row r="206" customFormat="false" ht="15" hidden="false" customHeight="false" outlineLevel="0" collapsed="false">
      <c r="A206" s="7" t="n">
        <v>2013</v>
      </c>
      <c r="B206" s="12" t="s">
        <v>66</v>
      </c>
      <c r="C206" s="16" t="n">
        <v>1696.785977</v>
      </c>
      <c r="D206" s="16" t="n">
        <v>1696.785977</v>
      </c>
      <c r="E206" s="17" t="n">
        <f aca="false">IF(D206="","",C206-D206)</f>
        <v>0</v>
      </c>
      <c r="F206" s="18" t="n">
        <f aca="false">IF(OR(D206="",D206=0),"",E206/D206)</f>
        <v>0</v>
      </c>
      <c r="G206" s="16" t="n">
        <v>175.851995</v>
      </c>
      <c r="H206" s="16" t="n">
        <v>0</v>
      </c>
      <c r="I206" s="16" t="n">
        <v>175.851995</v>
      </c>
      <c r="J206" s="17" t="n">
        <f aca="false">IF(I206="","",G206-I206)</f>
        <v>0</v>
      </c>
      <c r="K206" s="18" t="n">
        <f aca="false">IF(OR(I206="",I206=0),"",J206/I206)</f>
        <v>0</v>
      </c>
      <c r="L206" s="19" t="str">
        <f aca="false">IF(OR(D206="",I206=""),"No reported total for O&amp;M or depreciation",IF(AND(ABS(F206)&lt;=$D$2,ABS(K206)&lt;=$D$2),"Reconciles within tolerance","Outside tolerance"))</f>
        <v>Reconciles within tolerance</v>
      </c>
      <c r="M206" s="17" t="n">
        <f aca="false">IF(OR(E206="",LEFT(L206,8)="Excluded"),"",ABS(E206))</f>
        <v>0</v>
      </c>
    </row>
    <row r="207" customFormat="false" ht="15" hidden="false" customHeight="false" outlineLevel="0" collapsed="false">
      <c r="A207" s="7" t="n">
        <v>2014</v>
      </c>
      <c r="B207" s="12" t="s">
        <v>66</v>
      </c>
      <c r="C207" s="16" t="n">
        <v>1595.444322</v>
      </c>
      <c r="D207" s="16" t="n">
        <v>1595.444322</v>
      </c>
      <c r="E207" s="17" t="n">
        <f aca="false">IF(D207="","",C207-D207)</f>
        <v>0</v>
      </c>
      <c r="F207" s="18" t="n">
        <f aca="false">IF(OR(D207="",D207=0),"",E207/D207)</f>
        <v>0</v>
      </c>
      <c r="G207" s="16" t="n">
        <v>199.248056</v>
      </c>
      <c r="H207" s="16" t="n">
        <v>0</v>
      </c>
      <c r="I207" s="16" t="n">
        <v>199.248056</v>
      </c>
      <c r="J207" s="17" t="n">
        <f aca="false">IF(I207="","",G207-I207)</f>
        <v>0</v>
      </c>
      <c r="K207" s="18" t="n">
        <f aca="false">IF(OR(I207="",I207=0),"",J207/I207)</f>
        <v>0</v>
      </c>
      <c r="L207" s="19" t="str">
        <f aca="false">IF(OR(D207="",I207=""),"No reported total for O&amp;M or depreciation",IF(AND(ABS(F207)&lt;=$D$2,ABS(K207)&lt;=$D$2),"Reconciles within tolerance","Outside tolerance"))</f>
        <v>Reconciles within tolerance</v>
      </c>
      <c r="M207" s="17" t="n">
        <f aca="false">IF(OR(E207="",LEFT(L207,8)="Excluded"),"",ABS(E207))</f>
        <v>0</v>
      </c>
    </row>
    <row r="208" customFormat="false" ht="15" hidden="false" customHeight="false" outlineLevel="0" collapsed="false">
      <c r="A208" s="7" t="n">
        <v>2015</v>
      </c>
      <c r="B208" s="12" t="s">
        <v>66</v>
      </c>
      <c r="C208" s="16" t="n">
        <v>1501.061352</v>
      </c>
      <c r="D208" s="16" t="n">
        <v>1501.061352</v>
      </c>
      <c r="E208" s="17" t="n">
        <f aca="false">IF(D208="","",C208-D208)</f>
        <v>0</v>
      </c>
      <c r="F208" s="18" t="n">
        <f aca="false">IF(OR(D208="",D208=0),"",E208/D208)</f>
        <v>0</v>
      </c>
      <c r="G208" s="16" t="n">
        <v>197.887518</v>
      </c>
      <c r="H208" s="16" t="n">
        <v>0</v>
      </c>
      <c r="I208" s="16" t="n">
        <v>197.887518</v>
      </c>
      <c r="J208" s="17" t="n">
        <f aca="false">IF(I208="","",G208-I208)</f>
        <v>0</v>
      </c>
      <c r="K208" s="18" t="n">
        <f aca="false">IF(OR(I208="",I208=0),"",J208/I208)</f>
        <v>0</v>
      </c>
      <c r="L208" s="19" t="str">
        <f aca="false">IF(OR(D208="",I208=""),"No reported total for O&amp;M or depreciation",IF(AND(ABS(F208)&lt;=$D$2,ABS(K208)&lt;=$D$2),"Reconciles within tolerance","Outside tolerance"))</f>
        <v>Reconciles within tolerance</v>
      </c>
      <c r="M208" s="17" t="n">
        <f aca="false">IF(OR(E208="",LEFT(L208,8)="Excluded"),"",ABS(E208))</f>
        <v>0</v>
      </c>
    </row>
    <row r="209" customFormat="false" ht="15" hidden="false" customHeight="false" outlineLevel="0" collapsed="false">
      <c r="A209" s="7" t="n">
        <v>2016</v>
      </c>
      <c r="B209" s="12" t="s">
        <v>66</v>
      </c>
      <c r="C209" s="16" t="n">
        <v>1435.524078</v>
      </c>
      <c r="D209" s="16" t="n">
        <v>1435.524078</v>
      </c>
      <c r="E209" s="17" t="n">
        <f aca="false">IF(D209="","",C209-D209)</f>
        <v>0</v>
      </c>
      <c r="F209" s="18" t="n">
        <f aca="false">IF(OR(D209="",D209=0),"",E209/D209)</f>
        <v>0</v>
      </c>
      <c r="G209" s="16" t="n">
        <v>191.409457</v>
      </c>
      <c r="H209" s="16" t="n">
        <v>0</v>
      </c>
      <c r="I209" s="16" t="n">
        <v>191.409457</v>
      </c>
      <c r="J209" s="17" t="n">
        <f aca="false">IF(I209="","",G209-I209)</f>
        <v>0</v>
      </c>
      <c r="K209" s="18" t="n">
        <f aca="false">IF(OR(I209="",I209=0),"",J209/I209)</f>
        <v>0</v>
      </c>
      <c r="L209" s="19" t="str">
        <f aca="false">IF(OR(D209="",I209=""),"No reported total for O&amp;M or depreciation",IF(AND(ABS(F209)&lt;=$D$2,ABS(K209)&lt;=$D$2),"Reconciles within tolerance","Outside tolerance"))</f>
        <v>Reconciles within tolerance</v>
      </c>
      <c r="M209" s="17" t="n">
        <f aca="false">IF(OR(E209="",LEFT(L209,8)="Excluded"),"",ABS(E209))</f>
        <v>0</v>
      </c>
    </row>
    <row r="210" customFormat="false" ht="15" hidden="false" customHeight="false" outlineLevel="0" collapsed="false">
      <c r="A210" s="7" t="n">
        <v>2017</v>
      </c>
      <c r="B210" s="12" t="s">
        <v>66</v>
      </c>
      <c r="C210" s="16" t="n">
        <v>1392.517546</v>
      </c>
      <c r="D210" s="16" t="n">
        <v>1392.517546</v>
      </c>
      <c r="E210" s="17" t="n">
        <f aca="false">IF(D210="","",C210-D210)</f>
        <v>0</v>
      </c>
      <c r="F210" s="18" t="n">
        <f aca="false">IF(OR(D210="",D210=0),"",E210/D210)</f>
        <v>0</v>
      </c>
      <c r="G210" s="16" t="n">
        <v>210.648257</v>
      </c>
      <c r="H210" s="16" t="n">
        <v>0</v>
      </c>
      <c r="I210" s="16" t="n">
        <v>210.648257</v>
      </c>
      <c r="J210" s="17" t="n">
        <f aca="false">IF(I210="","",G210-I210)</f>
        <v>0</v>
      </c>
      <c r="K210" s="18" t="n">
        <f aca="false">IF(OR(I210="",I210=0),"",J210/I210)</f>
        <v>0</v>
      </c>
      <c r="L210" s="19" t="str">
        <f aca="false">IF(OR(D210="",I210=""),"No reported total for O&amp;M or depreciation",IF(AND(ABS(F210)&lt;=$D$2,ABS(K210)&lt;=$D$2),"Reconciles within tolerance","Outside tolerance"))</f>
        <v>Reconciles within tolerance</v>
      </c>
      <c r="M210" s="17" t="n">
        <f aca="false">IF(OR(E210="",LEFT(L210,8)="Excluded"),"",ABS(E210))</f>
        <v>0</v>
      </c>
    </row>
    <row r="211" customFormat="false" ht="15" hidden="false" customHeight="false" outlineLevel="0" collapsed="false">
      <c r="A211" s="7" t="n">
        <v>2018</v>
      </c>
      <c r="B211" s="12" t="s">
        <v>66</v>
      </c>
      <c r="C211" s="16" t="n">
        <v>1489.121875</v>
      </c>
      <c r="D211" s="16" t="n">
        <v>1489.121875</v>
      </c>
      <c r="E211" s="17" t="n">
        <f aca="false">IF(D211="","",C211-D211)</f>
        <v>0</v>
      </c>
      <c r="F211" s="18" t="n">
        <f aca="false">IF(OR(D211="",D211=0),"",E211/D211)</f>
        <v>0</v>
      </c>
      <c r="G211" s="16" t="n">
        <v>293.061364</v>
      </c>
      <c r="H211" s="16" t="n">
        <v>0</v>
      </c>
      <c r="I211" s="16" t="n">
        <v>293.061364</v>
      </c>
      <c r="J211" s="17" t="n">
        <f aca="false">IF(I211="","",G211-I211)</f>
        <v>0</v>
      </c>
      <c r="K211" s="18" t="n">
        <f aca="false">IF(OR(I211="",I211=0),"",J211/I211)</f>
        <v>0</v>
      </c>
      <c r="L211" s="19" t="str">
        <f aca="false">IF(OR(D211="",I211=""),"No reported total for O&amp;M or depreciation",IF(AND(ABS(F211)&lt;=$D$2,ABS(K211)&lt;=$D$2),"Reconciles within tolerance","Outside tolerance"))</f>
        <v>Reconciles within tolerance</v>
      </c>
      <c r="M211" s="17" t="n">
        <f aca="false">IF(OR(E211="",LEFT(L211,8)="Excluded"),"",ABS(E211))</f>
        <v>0</v>
      </c>
    </row>
    <row r="212" customFormat="false" ht="15" hidden="false" customHeight="false" outlineLevel="0" collapsed="false">
      <c r="A212" s="7" t="n">
        <v>2019</v>
      </c>
      <c r="B212" s="12" t="s">
        <v>66</v>
      </c>
      <c r="C212" s="16" t="n">
        <v>1441.225668</v>
      </c>
      <c r="D212" s="16" t="n">
        <v>1441.225668</v>
      </c>
      <c r="E212" s="17" t="n">
        <f aca="false">IF(D212="","",C212-D212)</f>
        <v>0</v>
      </c>
      <c r="F212" s="18" t="n">
        <f aca="false">IF(OR(D212="",D212=0),"",E212/D212)</f>
        <v>0</v>
      </c>
      <c r="G212" s="16" t="n">
        <v>349.842968</v>
      </c>
      <c r="H212" s="16" t="n">
        <v>0</v>
      </c>
      <c r="I212" s="16" t="n">
        <v>349.842968</v>
      </c>
      <c r="J212" s="17" t="n">
        <f aca="false">IF(I212="","",G212-I212)</f>
        <v>0</v>
      </c>
      <c r="K212" s="18" t="n">
        <f aca="false">IF(OR(I212="",I212=0),"",J212/I212)</f>
        <v>0</v>
      </c>
      <c r="L212" s="19" t="str">
        <f aca="false">IF(OR(D212="",I212=""),"No reported total for O&amp;M or depreciation",IF(AND(ABS(F212)&lt;=$D$2,ABS(K212)&lt;=$D$2),"Reconciles within tolerance","Outside tolerance"))</f>
        <v>Reconciles within tolerance</v>
      </c>
      <c r="M212" s="17" t="n">
        <f aca="false">IF(OR(E212="",LEFT(L212,8)="Excluded"),"",ABS(E212))</f>
        <v>0</v>
      </c>
    </row>
    <row r="213" customFormat="false" ht="15" hidden="false" customHeight="false" outlineLevel="0" collapsed="false">
      <c r="A213" s="7" t="n">
        <v>2020</v>
      </c>
      <c r="B213" s="12" t="s">
        <v>66</v>
      </c>
      <c r="C213" s="16" t="n">
        <v>1273.601665</v>
      </c>
      <c r="D213" s="16" t="n">
        <v>1273.601665</v>
      </c>
      <c r="E213" s="17" t="n">
        <f aca="false">IF(D213="","",C213-D213)</f>
        <v>0</v>
      </c>
      <c r="F213" s="18" t="n">
        <f aca="false">IF(OR(D213="",D213=0),"",E213/D213)</f>
        <v>0</v>
      </c>
      <c r="G213" s="16" t="n">
        <v>413.890121</v>
      </c>
      <c r="H213" s="16" t="n">
        <v>0</v>
      </c>
      <c r="I213" s="16" t="n">
        <v>413.890121</v>
      </c>
      <c r="J213" s="17" t="n">
        <f aca="false">IF(I213="","",G213-I213)</f>
        <v>0</v>
      </c>
      <c r="K213" s="18" t="n">
        <f aca="false">IF(OR(I213="",I213=0),"",J213/I213)</f>
        <v>0</v>
      </c>
      <c r="L213" s="19" t="str">
        <f aca="false">IF(OR(D213="",I213=""),"No reported total for O&amp;M or depreciation",IF(AND(ABS(F213)&lt;=$D$2,ABS(K213)&lt;=$D$2),"Reconciles within tolerance","Outside tolerance"))</f>
        <v>Reconciles within tolerance</v>
      </c>
      <c r="M213" s="17" t="n">
        <f aca="false">IF(OR(E213="",LEFT(L213,8)="Excluded"),"",ABS(E213))</f>
        <v>0</v>
      </c>
    </row>
    <row r="214" customFormat="false" ht="15" hidden="false" customHeight="false" outlineLevel="0" collapsed="false">
      <c r="A214" s="7" t="n">
        <v>2021</v>
      </c>
      <c r="B214" s="12" t="s">
        <v>66</v>
      </c>
      <c r="C214" s="16" t="n">
        <v>1391.615546</v>
      </c>
      <c r="D214" s="16" t="n">
        <v>1391.615543</v>
      </c>
      <c r="E214" s="17" t="n">
        <f aca="false">IF(D214="","",C214-D214)</f>
        <v>3.00000010611257E-006</v>
      </c>
      <c r="F214" s="18" t="n">
        <f aca="false">IF(OR(D214="",D214=0),"",E214/D214)</f>
        <v>2.1557678923629E-009</v>
      </c>
      <c r="G214" s="16" t="n">
        <v>439.77691</v>
      </c>
      <c r="H214" s="16" t="n">
        <v>0</v>
      </c>
      <c r="I214" s="16" t="n">
        <v>439.776911</v>
      </c>
      <c r="J214" s="17" t="n">
        <f aca="false">IF(I214="","",G214-I214)</f>
        <v>-9.99999997475243E-007</v>
      </c>
      <c r="K214" s="18" t="n">
        <f aca="false">IF(OR(I214="",I214=0),"",J214/I214)</f>
        <v>-2.27388017074694E-009</v>
      </c>
      <c r="L214" s="19" t="str">
        <f aca="false">IF(OR(D214="",I214=""),"No reported total for O&amp;M or depreciation",IF(AND(ABS(F214)&lt;=$D$2,ABS(K214)&lt;=$D$2),"Reconciles within tolerance","Outside tolerance"))</f>
        <v>Reconciles within tolerance</v>
      </c>
      <c r="M214" s="17" t="n">
        <f aca="false">IF(OR(E214="",LEFT(L214,8)="Excluded"),"",ABS(E214))</f>
        <v>3.00000010611257E-006</v>
      </c>
    </row>
    <row r="215" customFormat="false" ht="15" hidden="false" customHeight="false" outlineLevel="0" collapsed="false">
      <c r="A215" s="7" t="n">
        <v>2022</v>
      </c>
      <c r="B215" s="12" t="s">
        <v>66</v>
      </c>
      <c r="C215" s="16" t="n">
        <v>1706.988941</v>
      </c>
      <c r="D215" s="16" t="n">
        <v>1706.988941</v>
      </c>
      <c r="E215" s="17" t="n">
        <f aca="false">IF(D215="","",C215-D215)</f>
        <v>0</v>
      </c>
      <c r="F215" s="18" t="n">
        <f aca="false">IF(OR(D215="",D215=0),"",E215/D215)</f>
        <v>0</v>
      </c>
      <c r="G215" s="16" t="n">
        <v>464.538958</v>
      </c>
      <c r="H215" s="16" t="n">
        <v>0</v>
      </c>
      <c r="I215" s="16" t="n">
        <v>464.538958</v>
      </c>
      <c r="J215" s="17" t="n">
        <f aca="false">IF(I215="","",G215-I215)</f>
        <v>0</v>
      </c>
      <c r="K215" s="18" t="n">
        <f aca="false">IF(OR(I215="",I215=0),"",J215/I215)</f>
        <v>0</v>
      </c>
      <c r="L215" s="19" t="str">
        <f aca="false">IF(OR(D215="",I215=""),"No reported total for O&amp;M or depreciation",IF(AND(ABS(F215)&lt;=$D$2,ABS(K215)&lt;=$D$2),"Reconciles within tolerance","Outside tolerance"))</f>
        <v>Reconciles within tolerance</v>
      </c>
      <c r="M215" s="17" t="n">
        <f aca="false">IF(OR(E215="",LEFT(L215,8)="Excluded"),"",ABS(E215))</f>
        <v>0</v>
      </c>
    </row>
    <row r="216" customFormat="false" ht="15" hidden="false" customHeight="false" outlineLevel="0" collapsed="false">
      <c r="A216" s="7" t="n">
        <v>2023</v>
      </c>
      <c r="B216" s="12" t="s">
        <v>66</v>
      </c>
      <c r="C216" s="16" t="n">
        <v>1240.668145</v>
      </c>
      <c r="D216" s="16" t="n">
        <v>1240.668145</v>
      </c>
      <c r="E216" s="17" t="n">
        <f aca="false">IF(D216="","",C216-D216)</f>
        <v>0</v>
      </c>
      <c r="F216" s="18" t="n">
        <f aca="false">IF(OR(D216="",D216=0),"",E216/D216)</f>
        <v>0</v>
      </c>
      <c r="G216" s="16" t="n">
        <v>454.31738</v>
      </c>
      <c r="H216" s="16" t="n">
        <v>0</v>
      </c>
      <c r="I216" s="16" t="n">
        <v>454.31738</v>
      </c>
      <c r="J216" s="17" t="n">
        <f aca="false">IF(I216="","",G216-I216)</f>
        <v>0</v>
      </c>
      <c r="K216" s="18" t="n">
        <f aca="false">IF(OR(I216="",I216=0),"",J216/I216)</f>
        <v>0</v>
      </c>
      <c r="L216" s="19" t="str">
        <f aca="false">IF(OR(D216="",I216=""),"No reported total for O&amp;M or depreciation",IF(AND(ABS(F216)&lt;=$D$2,ABS(K216)&lt;=$D$2),"Reconciles within tolerance","Outside tolerance"))</f>
        <v>Reconciles within tolerance</v>
      </c>
      <c r="M216" s="17" t="n">
        <f aca="false">IF(OR(E216="",LEFT(L216,8)="Excluded"),"",ABS(E216))</f>
        <v>0</v>
      </c>
    </row>
    <row r="217" customFormat="false" ht="15" hidden="false" customHeight="false" outlineLevel="0" collapsed="false">
      <c r="A217" s="7" t="n">
        <v>2024</v>
      </c>
      <c r="B217" s="12" t="s">
        <v>66</v>
      </c>
      <c r="C217" s="16" t="n">
        <v>1385.902329</v>
      </c>
      <c r="D217" s="16" t="n">
        <v>1385.902329</v>
      </c>
      <c r="E217" s="17" t="n">
        <f aca="false">IF(D217="","",C217-D217)</f>
        <v>0</v>
      </c>
      <c r="F217" s="18" t="n">
        <f aca="false">IF(OR(D217="",D217=0),"",E217/D217)</f>
        <v>0</v>
      </c>
      <c r="G217" s="16" t="n">
        <v>470.902778</v>
      </c>
      <c r="H217" s="16" t="n">
        <v>0</v>
      </c>
      <c r="I217" s="16" t="n">
        <v>470.902778</v>
      </c>
      <c r="J217" s="17" t="n">
        <f aca="false">IF(I217="","",G217-I217)</f>
        <v>0</v>
      </c>
      <c r="K217" s="18" t="n">
        <f aca="false">IF(OR(I217="",I217=0),"",J217/I217)</f>
        <v>0</v>
      </c>
      <c r="L217" s="19" t="str">
        <f aca="false">IF(OR(D217="",I217=""),"No reported total for O&amp;M or depreciation",IF(AND(ABS(F217)&lt;=$D$2,ABS(K217)&lt;=$D$2),"Reconciles within tolerance","Outside tolerance"))</f>
        <v>Reconciles within tolerance</v>
      </c>
      <c r="M217" s="17" t="n">
        <f aca="false">IF(OR(E217="",LEFT(L217,8)="Excluded"),"",ABS(E217))</f>
        <v>0</v>
      </c>
    </row>
    <row r="218" customFormat="false" ht="15" hidden="false" customHeight="false" outlineLevel="0" collapsed="false">
      <c r="A218" s="7" t="n">
        <v>2025</v>
      </c>
      <c r="B218" s="12" t="s">
        <v>66</v>
      </c>
      <c r="C218" s="16" t="n">
        <v>1618.804978</v>
      </c>
      <c r="D218" s="16" t="n">
        <v>1618.804977</v>
      </c>
      <c r="E218" s="17" t="n">
        <f aca="false">IF(D218="","",C218-D218)</f>
        <v>9.99999883788405E-007</v>
      </c>
      <c r="F218" s="18" t="n">
        <f aca="false">IF(OR(D218="",D218=0),"",E218/D218)</f>
        <v>6.17739565912148E-010</v>
      </c>
      <c r="G218" s="16" t="n">
        <v>485.248171</v>
      </c>
      <c r="H218" s="16" t="n">
        <v>0</v>
      </c>
      <c r="I218" s="16" t="n">
        <v>485.248171</v>
      </c>
      <c r="J218" s="17" t="n">
        <f aca="false">IF(I218="","",G218-I218)</f>
        <v>0</v>
      </c>
      <c r="K218" s="18" t="n">
        <f aca="false">IF(OR(I218="",I218=0),"",J218/I218)</f>
        <v>0</v>
      </c>
      <c r="L218" s="19" t="str">
        <f aca="false">IF(OR(D218="",I218=""),"No reported total for O&amp;M or depreciation",IF(AND(ABS(F218)&lt;=$D$2,ABS(K218)&lt;=$D$2),"Reconciles within tolerance","Outside tolerance"))</f>
        <v>Reconciles within tolerance</v>
      </c>
      <c r="M218" s="17" t="n">
        <f aca="false">IF(OR(E218="",LEFT(L218,8)="Excluded"),"",ABS(E218))</f>
        <v>9.99999883788405E-007</v>
      </c>
    </row>
    <row r="219" customFormat="false" ht="15" hidden="false" customHeight="false" outlineLevel="0" collapsed="false">
      <c r="A219" s="7" t="n">
        <v>1995</v>
      </c>
      <c r="B219" s="12" t="s">
        <v>68</v>
      </c>
      <c r="C219" s="16" t="n">
        <v>347.736589</v>
      </c>
      <c r="D219" s="16" t="n">
        <v>347.736589</v>
      </c>
      <c r="E219" s="17" t="n">
        <f aca="false">IF(D219="","",C219-D219)</f>
        <v>0</v>
      </c>
      <c r="F219" s="18" t="n">
        <f aca="false">IF(OR(D219="",D219=0),"",E219/D219)</f>
        <v>0</v>
      </c>
      <c r="G219" s="16" t="n">
        <v>83.677817</v>
      </c>
      <c r="H219" s="16" t="n">
        <v>0</v>
      </c>
      <c r="I219" s="16" t="n">
        <v>83.677817</v>
      </c>
      <c r="J219" s="17" t="n">
        <f aca="false">IF(I219="","",G219-I219)</f>
        <v>0</v>
      </c>
      <c r="K219" s="18" t="n">
        <f aca="false">IF(OR(I219="",I219=0),"",J219/I219)</f>
        <v>0</v>
      </c>
      <c r="L219" s="19" t="str">
        <f aca="false">IF(OR(D219="",I219=""),"No reported total for O&amp;M or depreciation",IF(AND(ABS(F219)&lt;=$D$2,ABS(K219)&lt;=$D$2),"Reconciles within tolerance","Outside tolerance"))</f>
        <v>Reconciles within tolerance</v>
      </c>
      <c r="M219" s="17" t="n">
        <f aca="false">IF(OR(E219="",LEFT(L219,8)="Excluded"),"",ABS(E219))</f>
        <v>0</v>
      </c>
    </row>
    <row r="220" customFormat="false" ht="15" hidden="false" customHeight="false" outlineLevel="0" collapsed="false">
      <c r="A220" s="7" t="n">
        <v>1996</v>
      </c>
      <c r="B220" s="12" t="s">
        <v>68</v>
      </c>
      <c r="C220" s="16" t="n">
        <v>370.712018</v>
      </c>
      <c r="D220" s="16" t="n">
        <v>370.712018</v>
      </c>
      <c r="E220" s="17" t="n">
        <f aca="false">IF(D220="","",C220-D220)</f>
        <v>0</v>
      </c>
      <c r="F220" s="18" t="n">
        <f aca="false">IF(OR(D220="",D220=0),"",E220/D220)</f>
        <v>0</v>
      </c>
      <c r="G220" s="16" t="n">
        <v>93.624042</v>
      </c>
      <c r="H220" s="16" t="n">
        <v>0</v>
      </c>
      <c r="I220" s="16" t="n">
        <v>93.624042</v>
      </c>
      <c r="J220" s="17" t="n">
        <f aca="false">IF(I220="","",G220-I220)</f>
        <v>0</v>
      </c>
      <c r="K220" s="18" t="n">
        <f aca="false">IF(OR(I220="",I220=0),"",J220/I220)</f>
        <v>0</v>
      </c>
      <c r="L220" s="19" t="str">
        <f aca="false">IF(OR(D220="",I220=""),"No reported total for O&amp;M or depreciation",IF(AND(ABS(F220)&lt;=$D$2,ABS(K220)&lt;=$D$2),"Reconciles within tolerance","Outside tolerance"))</f>
        <v>Reconciles within tolerance</v>
      </c>
      <c r="M220" s="17" t="n">
        <f aca="false">IF(OR(E220="",LEFT(L220,8)="Excluded"),"",ABS(E220))</f>
        <v>0</v>
      </c>
    </row>
    <row r="221" customFormat="false" ht="15" hidden="false" customHeight="false" outlineLevel="0" collapsed="false">
      <c r="A221" s="7" t="n">
        <v>1997</v>
      </c>
      <c r="B221" s="12" t="s">
        <v>68</v>
      </c>
      <c r="C221" s="16" t="n">
        <v>375.464347</v>
      </c>
      <c r="D221" s="16" t="n">
        <v>375.464347</v>
      </c>
      <c r="E221" s="17" t="n">
        <f aca="false">IF(D221="","",C221-D221)</f>
        <v>0</v>
      </c>
      <c r="F221" s="18" t="n">
        <f aca="false">IF(OR(D221="",D221=0),"",E221/D221)</f>
        <v>0</v>
      </c>
      <c r="G221" s="16" t="n">
        <v>95.587829</v>
      </c>
      <c r="H221" s="16" t="n">
        <v>0</v>
      </c>
      <c r="I221" s="16" t="n">
        <v>95.587829</v>
      </c>
      <c r="J221" s="17" t="n">
        <f aca="false">IF(I221="","",G221-I221)</f>
        <v>0</v>
      </c>
      <c r="K221" s="18" t="n">
        <f aca="false">IF(OR(I221="",I221=0),"",J221/I221)</f>
        <v>0</v>
      </c>
      <c r="L221" s="19" t="str">
        <f aca="false">IF(OR(D221="",I221=""),"No reported total for O&amp;M or depreciation",IF(AND(ABS(F221)&lt;=$D$2,ABS(K221)&lt;=$D$2),"Reconciles within tolerance","Outside tolerance"))</f>
        <v>Reconciles within tolerance</v>
      </c>
      <c r="M221" s="17" t="n">
        <f aca="false">IF(OR(E221="",LEFT(L221,8)="Excluded"),"",ABS(E221))</f>
        <v>0</v>
      </c>
    </row>
    <row r="222" customFormat="false" ht="15" hidden="false" customHeight="false" outlineLevel="0" collapsed="false">
      <c r="A222" s="7" t="n">
        <v>1998</v>
      </c>
      <c r="B222" s="12" t="s">
        <v>68</v>
      </c>
      <c r="C222" s="16" t="n">
        <v>398.542135</v>
      </c>
      <c r="D222" s="16" t="n">
        <v>398.542135</v>
      </c>
      <c r="E222" s="17" t="n">
        <f aca="false">IF(D222="","",C222-D222)</f>
        <v>0</v>
      </c>
      <c r="F222" s="18" t="n">
        <f aca="false">IF(OR(D222="",D222=0),"",E222/D222)</f>
        <v>0</v>
      </c>
      <c r="G222" s="16" t="n">
        <v>97.335098</v>
      </c>
      <c r="H222" s="16" t="n">
        <v>0</v>
      </c>
      <c r="I222" s="16" t="n">
        <v>97.335098</v>
      </c>
      <c r="J222" s="17" t="n">
        <f aca="false">IF(I222="","",G222-I222)</f>
        <v>0</v>
      </c>
      <c r="K222" s="18" t="n">
        <f aca="false">IF(OR(I222="",I222=0),"",J222/I222)</f>
        <v>0</v>
      </c>
      <c r="L222" s="19" t="str">
        <f aca="false">IF(OR(D222="",I222=""),"No reported total for O&amp;M or depreciation",IF(AND(ABS(F222)&lt;=$D$2,ABS(K222)&lt;=$D$2),"Reconciles within tolerance","Outside tolerance"))</f>
        <v>Reconciles within tolerance</v>
      </c>
      <c r="M222" s="17" t="n">
        <f aca="false">IF(OR(E222="",LEFT(L222,8)="Excluded"),"",ABS(E222))</f>
        <v>0</v>
      </c>
    </row>
    <row r="223" customFormat="false" ht="15" hidden="false" customHeight="false" outlineLevel="0" collapsed="false">
      <c r="A223" s="7" t="n">
        <v>1999</v>
      </c>
      <c r="B223" s="12" t="s">
        <v>68</v>
      </c>
      <c r="C223" s="16" t="n">
        <v>406.634269</v>
      </c>
      <c r="D223" s="16" t="n">
        <v>406.634269</v>
      </c>
      <c r="E223" s="17" t="n">
        <f aca="false">IF(D223="","",C223-D223)</f>
        <v>0</v>
      </c>
      <c r="F223" s="18" t="n">
        <f aca="false">IF(OR(D223="",D223=0),"",E223/D223)</f>
        <v>0</v>
      </c>
      <c r="G223" s="16" t="n">
        <v>102.57775</v>
      </c>
      <c r="H223" s="16" t="n">
        <v>0</v>
      </c>
      <c r="I223" s="16" t="n">
        <v>102.57775</v>
      </c>
      <c r="J223" s="17" t="n">
        <f aca="false">IF(I223="","",G223-I223)</f>
        <v>0</v>
      </c>
      <c r="K223" s="18" t="n">
        <f aca="false">IF(OR(I223="",I223=0),"",J223/I223)</f>
        <v>0</v>
      </c>
      <c r="L223" s="19" t="str">
        <f aca="false">IF(OR(D223="",I223=""),"No reported total for O&amp;M or depreciation",IF(AND(ABS(F223)&lt;=$D$2,ABS(K223)&lt;=$D$2),"Reconciles within tolerance","Outside tolerance"))</f>
        <v>Reconciles within tolerance</v>
      </c>
      <c r="M223" s="17" t="n">
        <f aca="false">IF(OR(E223="",LEFT(L223,8)="Excluded"),"",ABS(E223))</f>
        <v>0</v>
      </c>
    </row>
    <row r="224" customFormat="false" ht="15" hidden="false" customHeight="false" outlineLevel="0" collapsed="false">
      <c r="A224" s="7" t="n">
        <v>2000</v>
      </c>
      <c r="B224" s="12" t="s">
        <v>68</v>
      </c>
      <c r="C224" s="16" t="n">
        <v>486.314036</v>
      </c>
      <c r="D224" s="16" t="n">
        <v>486.314036</v>
      </c>
      <c r="E224" s="17" t="n">
        <f aca="false">IF(D224="","",C224-D224)</f>
        <v>0</v>
      </c>
      <c r="F224" s="18" t="n">
        <f aca="false">IF(OR(D224="",D224=0),"",E224/D224)</f>
        <v>0</v>
      </c>
      <c r="G224" s="16" t="n">
        <v>107.194057</v>
      </c>
      <c r="H224" s="16" t="n">
        <v>0</v>
      </c>
      <c r="I224" s="16" t="n">
        <v>107.194057</v>
      </c>
      <c r="J224" s="17" t="n">
        <f aca="false">IF(I224="","",G224-I224)</f>
        <v>0</v>
      </c>
      <c r="K224" s="18" t="n">
        <f aca="false">IF(OR(I224="",I224=0),"",J224/I224)</f>
        <v>0</v>
      </c>
      <c r="L224" s="19" t="str">
        <f aca="false">IF(OR(D224="",I224=""),"No reported total for O&amp;M or depreciation",IF(AND(ABS(F224)&lt;=$D$2,ABS(K224)&lt;=$D$2),"Reconciles within tolerance","Outside tolerance"))</f>
        <v>Reconciles within tolerance</v>
      </c>
      <c r="M224" s="17" t="n">
        <f aca="false">IF(OR(E224="",LEFT(L224,8)="Excluded"),"",ABS(E224))</f>
        <v>0</v>
      </c>
    </row>
    <row r="225" customFormat="false" ht="15" hidden="false" customHeight="false" outlineLevel="0" collapsed="false">
      <c r="A225" s="7" t="n">
        <v>2001</v>
      </c>
      <c r="B225" s="12" t="s">
        <v>68</v>
      </c>
      <c r="C225" s="16" t="n">
        <v>495.130063</v>
      </c>
      <c r="D225" s="16" t="n">
        <v>495.130063</v>
      </c>
      <c r="E225" s="17" t="n">
        <f aca="false">IF(D225="","",C225-D225)</f>
        <v>0</v>
      </c>
      <c r="F225" s="18" t="n">
        <f aca="false">IF(OR(D225="",D225=0),"",E225/D225)</f>
        <v>0</v>
      </c>
      <c r="G225" s="16" t="n">
        <v>109.717093</v>
      </c>
      <c r="H225" s="16" t="n">
        <v>0</v>
      </c>
      <c r="I225" s="16" t="n">
        <v>109.717093</v>
      </c>
      <c r="J225" s="17" t="n">
        <f aca="false">IF(I225="","",G225-I225)</f>
        <v>0</v>
      </c>
      <c r="K225" s="18" t="n">
        <f aca="false">IF(OR(I225="",I225=0),"",J225/I225)</f>
        <v>0</v>
      </c>
      <c r="L225" s="19" t="str">
        <f aca="false">IF(OR(D225="",I225=""),"No reported total for O&amp;M or depreciation",IF(AND(ABS(F225)&lt;=$D$2,ABS(K225)&lt;=$D$2),"Reconciles within tolerance","Outside tolerance"))</f>
        <v>Reconciles within tolerance</v>
      </c>
      <c r="M225" s="17" t="n">
        <f aca="false">IF(OR(E225="",LEFT(L225,8)="Excluded"),"",ABS(E225))</f>
        <v>0</v>
      </c>
    </row>
    <row r="226" customFormat="false" ht="15" hidden="false" customHeight="false" outlineLevel="0" collapsed="false">
      <c r="A226" s="7" t="n">
        <v>2002</v>
      </c>
      <c r="B226" s="12" t="s">
        <v>68</v>
      </c>
      <c r="C226" s="16" t="n">
        <v>367.519849</v>
      </c>
      <c r="D226" s="16" t="n">
        <v>367.519849</v>
      </c>
      <c r="E226" s="17" t="n">
        <f aca="false">IF(D226="","",C226-D226)</f>
        <v>0</v>
      </c>
      <c r="F226" s="18" t="n">
        <f aca="false">IF(OR(D226="",D226=0),"",E226/D226)</f>
        <v>0</v>
      </c>
      <c r="G226" s="16" t="n">
        <v>116.930439</v>
      </c>
      <c r="H226" s="16" t="n">
        <v>0</v>
      </c>
      <c r="I226" s="16" t="n">
        <v>116.930439</v>
      </c>
      <c r="J226" s="17" t="n">
        <f aca="false">IF(I226="","",G226-I226)</f>
        <v>0</v>
      </c>
      <c r="K226" s="18" t="n">
        <f aca="false">IF(OR(I226="",I226=0),"",J226/I226)</f>
        <v>0</v>
      </c>
      <c r="L226" s="19" t="str">
        <f aca="false">IF(OR(D226="",I226=""),"No reported total for O&amp;M or depreciation",IF(AND(ABS(F226)&lt;=$D$2,ABS(K226)&lt;=$D$2),"Reconciles within tolerance","Outside tolerance"))</f>
        <v>Reconciles within tolerance</v>
      </c>
      <c r="M226" s="17" t="n">
        <f aca="false">IF(OR(E226="",LEFT(L226,8)="Excluded"),"",ABS(E226))</f>
        <v>0</v>
      </c>
    </row>
    <row r="227" customFormat="false" ht="15" hidden="false" customHeight="false" outlineLevel="0" collapsed="false">
      <c r="A227" s="7" t="n">
        <v>2003</v>
      </c>
      <c r="B227" s="12" t="s">
        <v>68</v>
      </c>
      <c r="C227" s="16" t="n">
        <v>407.336463</v>
      </c>
      <c r="D227" s="16" t="n">
        <v>407.336463</v>
      </c>
      <c r="E227" s="17" t="n">
        <f aca="false">IF(D227="","",C227-D227)</f>
        <v>0</v>
      </c>
      <c r="F227" s="18" t="n">
        <f aca="false">IF(OR(D227="",D227=0),"",E227/D227)</f>
        <v>0</v>
      </c>
      <c r="G227" s="16" t="n">
        <v>118.54003</v>
      </c>
      <c r="H227" s="16" t="n">
        <v>0</v>
      </c>
      <c r="I227" s="16" t="n">
        <v>118.54003</v>
      </c>
      <c r="J227" s="17" t="n">
        <f aca="false">IF(I227="","",G227-I227)</f>
        <v>0</v>
      </c>
      <c r="K227" s="18" t="n">
        <f aca="false">IF(OR(I227="",I227=0),"",J227/I227)</f>
        <v>0</v>
      </c>
      <c r="L227" s="19" t="str">
        <f aca="false">IF(OR(D227="",I227=""),"No reported total for O&amp;M or depreciation",IF(AND(ABS(F227)&lt;=$D$2,ABS(K227)&lt;=$D$2),"Reconciles within tolerance","Outside tolerance"))</f>
        <v>Reconciles within tolerance</v>
      </c>
      <c r="M227" s="17" t="n">
        <f aca="false">IF(OR(E227="",LEFT(L227,8)="Excluded"),"",ABS(E227))</f>
        <v>0</v>
      </c>
    </row>
    <row r="228" customFormat="false" ht="15" hidden="false" customHeight="false" outlineLevel="0" collapsed="false">
      <c r="A228" s="7" t="n">
        <v>2004</v>
      </c>
      <c r="B228" s="12" t="s">
        <v>68</v>
      </c>
      <c r="C228" s="16" t="n">
        <v>421.444662</v>
      </c>
      <c r="D228" s="16" t="n">
        <v>421.444662</v>
      </c>
      <c r="E228" s="17" t="n">
        <f aca="false">IF(D228="","",C228-D228)</f>
        <v>0</v>
      </c>
      <c r="F228" s="18" t="n">
        <f aca="false">IF(OR(D228="",D228=0),"",E228/D228)</f>
        <v>0</v>
      </c>
      <c r="G228" s="16" t="n">
        <v>124.689015</v>
      </c>
      <c r="H228" s="16" t="n">
        <v>0</v>
      </c>
      <c r="I228" s="16" t="n">
        <v>124.689015</v>
      </c>
      <c r="J228" s="17" t="n">
        <f aca="false">IF(I228="","",G228-I228)</f>
        <v>0</v>
      </c>
      <c r="K228" s="18" t="n">
        <f aca="false">IF(OR(I228="",I228=0),"",J228/I228)</f>
        <v>0</v>
      </c>
      <c r="L228" s="19" t="str">
        <f aca="false">IF(OR(D228="",I228=""),"No reported total for O&amp;M or depreciation",IF(AND(ABS(F228)&lt;=$D$2,ABS(K228)&lt;=$D$2),"Reconciles within tolerance","Outside tolerance"))</f>
        <v>Reconciles within tolerance</v>
      </c>
      <c r="M228" s="17" t="n">
        <f aca="false">IF(OR(E228="",LEFT(L228,8)="Excluded"),"",ABS(E228))</f>
        <v>0</v>
      </c>
    </row>
    <row r="229" customFormat="false" ht="15" hidden="false" customHeight="false" outlineLevel="0" collapsed="false">
      <c r="A229" s="7" t="n">
        <v>2005</v>
      </c>
      <c r="B229" s="12" t="s">
        <v>68</v>
      </c>
      <c r="C229" s="16" t="n">
        <v>474.995406</v>
      </c>
      <c r="D229" s="16" t="n">
        <v>474.995406</v>
      </c>
      <c r="E229" s="17" t="n">
        <f aca="false">IF(D229="","",C229-D229)</f>
        <v>0</v>
      </c>
      <c r="F229" s="18" t="n">
        <f aca="false">IF(OR(D229="",D229=0),"",E229/D229)</f>
        <v>0</v>
      </c>
      <c r="G229" s="16" t="n">
        <v>130.999603</v>
      </c>
      <c r="H229" s="16" t="n">
        <v>0</v>
      </c>
      <c r="I229" s="16" t="n">
        <v>130.999603</v>
      </c>
      <c r="J229" s="17" t="n">
        <f aca="false">IF(I229="","",G229-I229)</f>
        <v>0</v>
      </c>
      <c r="K229" s="18" t="n">
        <f aca="false">IF(OR(I229="",I229=0),"",J229/I229)</f>
        <v>0</v>
      </c>
      <c r="L229" s="19" t="str">
        <f aca="false">IF(OR(D229="",I229=""),"No reported total for O&amp;M or depreciation",IF(AND(ABS(F229)&lt;=$D$2,ABS(K229)&lt;=$D$2),"Reconciles within tolerance","Outside tolerance"))</f>
        <v>Reconciles within tolerance</v>
      </c>
      <c r="M229" s="17" t="n">
        <f aca="false">IF(OR(E229="",LEFT(L229,8)="Excluded"),"",ABS(E229))</f>
        <v>0</v>
      </c>
    </row>
    <row r="230" customFormat="false" ht="15" hidden="false" customHeight="false" outlineLevel="0" collapsed="false">
      <c r="A230" s="7" t="n">
        <v>2006</v>
      </c>
      <c r="B230" s="12" t="s">
        <v>68</v>
      </c>
      <c r="C230" s="16" t="n">
        <v>583.434266</v>
      </c>
      <c r="D230" s="16" t="n">
        <v>583.434266</v>
      </c>
      <c r="E230" s="17" t="n">
        <f aca="false">IF(D230="","",C230-D230)</f>
        <v>0</v>
      </c>
      <c r="F230" s="18" t="n">
        <f aca="false">IF(OR(D230="",D230=0),"",E230/D230)</f>
        <v>0</v>
      </c>
      <c r="G230" s="16" t="n">
        <v>133.572456</v>
      </c>
      <c r="H230" s="16" t="n">
        <v>0</v>
      </c>
      <c r="I230" s="16" t="n">
        <v>133.572456</v>
      </c>
      <c r="J230" s="17" t="n">
        <f aca="false">IF(I230="","",G230-I230)</f>
        <v>0</v>
      </c>
      <c r="K230" s="18" t="n">
        <f aca="false">IF(OR(I230="",I230=0),"",J230/I230)</f>
        <v>0</v>
      </c>
      <c r="L230" s="19" t="str">
        <f aca="false">IF(OR(D230="",I230=""),"No reported total for O&amp;M or depreciation",IF(AND(ABS(F230)&lt;=$D$2,ABS(K230)&lt;=$D$2),"Reconciles within tolerance","Outside tolerance"))</f>
        <v>Reconciles within tolerance</v>
      </c>
      <c r="M230" s="17" t="n">
        <f aca="false">IF(OR(E230="",LEFT(L230,8)="Excluded"),"",ABS(E230))</f>
        <v>0</v>
      </c>
    </row>
    <row r="231" customFormat="false" ht="15" hidden="false" customHeight="false" outlineLevel="0" collapsed="false">
      <c r="A231" s="7" t="n">
        <v>2007</v>
      </c>
      <c r="B231" s="12" t="s">
        <v>68</v>
      </c>
      <c r="C231" s="16" t="n">
        <v>551.875376</v>
      </c>
      <c r="D231" s="16" t="n">
        <v>551.875376</v>
      </c>
      <c r="E231" s="17" t="n">
        <f aca="false">IF(D231="","",C231-D231)</f>
        <v>0</v>
      </c>
      <c r="F231" s="18" t="n">
        <f aca="false">IF(OR(D231="",D231=0),"",E231/D231)</f>
        <v>0</v>
      </c>
      <c r="G231" s="16" t="n">
        <v>141.77051</v>
      </c>
      <c r="H231" s="16" t="n">
        <v>0</v>
      </c>
      <c r="I231" s="16" t="n">
        <v>141.77051</v>
      </c>
      <c r="J231" s="17" t="n">
        <f aca="false">IF(I231="","",G231-I231)</f>
        <v>0</v>
      </c>
      <c r="K231" s="18" t="n">
        <f aca="false">IF(OR(I231="",I231=0),"",J231/I231)</f>
        <v>0</v>
      </c>
      <c r="L231" s="19" t="str">
        <f aca="false">IF(OR(D231="",I231=""),"No reported total for O&amp;M or depreciation",IF(AND(ABS(F231)&lt;=$D$2,ABS(K231)&lt;=$D$2),"Reconciles within tolerance","Outside tolerance"))</f>
        <v>Reconciles within tolerance</v>
      </c>
      <c r="M231" s="17" t="n">
        <f aca="false">IF(OR(E231="",LEFT(L231,8)="Excluded"),"",ABS(E231))</f>
        <v>0</v>
      </c>
    </row>
    <row r="232" customFormat="false" ht="15" hidden="false" customHeight="false" outlineLevel="0" collapsed="false">
      <c r="A232" s="7" t="n">
        <v>2008</v>
      </c>
      <c r="B232" s="12" t="s">
        <v>68</v>
      </c>
      <c r="C232" s="16" t="n">
        <v>614.485083</v>
      </c>
      <c r="D232" s="16" t="n">
        <v>614.485083</v>
      </c>
      <c r="E232" s="17" t="n">
        <f aca="false">IF(D232="","",C232-D232)</f>
        <v>0</v>
      </c>
      <c r="F232" s="18" t="n">
        <f aca="false">IF(OR(D232="",D232=0),"",E232/D232)</f>
        <v>0</v>
      </c>
      <c r="G232" s="16" t="n">
        <v>152.004483</v>
      </c>
      <c r="H232" s="16" t="n">
        <v>0</v>
      </c>
      <c r="I232" s="16" t="n">
        <v>152.004483</v>
      </c>
      <c r="J232" s="17" t="n">
        <f aca="false">IF(I232="","",G232-I232)</f>
        <v>0</v>
      </c>
      <c r="K232" s="18" t="n">
        <f aca="false">IF(OR(I232="",I232=0),"",J232/I232)</f>
        <v>0</v>
      </c>
      <c r="L232" s="19" t="str">
        <f aca="false">IF(OR(D232="",I232=""),"No reported total for O&amp;M or depreciation",IF(AND(ABS(F232)&lt;=$D$2,ABS(K232)&lt;=$D$2),"Reconciles within tolerance","Outside tolerance"))</f>
        <v>Reconciles within tolerance</v>
      </c>
      <c r="M232" s="17" t="n">
        <f aca="false">IF(OR(E232="",LEFT(L232,8)="Excluded"),"",ABS(E232))</f>
        <v>0</v>
      </c>
    </row>
    <row r="233" customFormat="false" ht="15" hidden="false" customHeight="false" outlineLevel="0" collapsed="false">
      <c r="A233" s="7" t="n">
        <v>2009</v>
      </c>
      <c r="B233" s="12" t="s">
        <v>68</v>
      </c>
      <c r="C233" s="16" t="n">
        <v>626.279381</v>
      </c>
      <c r="D233" s="16" t="n">
        <v>626.279381</v>
      </c>
      <c r="E233" s="17" t="n">
        <f aca="false">IF(D233="","",C233-D233)</f>
        <v>0</v>
      </c>
      <c r="F233" s="18" t="n">
        <f aca="false">IF(OR(D233="",D233=0),"",E233/D233)</f>
        <v>0</v>
      </c>
      <c r="G233" s="16" t="n">
        <v>157.432712</v>
      </c>
      <c r="H233" s="16" t="n">
        <v>0</v>
      </c>
      <c r="I233" s="16" t="n">
        <v>157.432712</v>
      </c>
      <c r="J233" s="17" t="n">
        <f aca="false">IF(I233="","",G233-I233)</f>
        <v>0</v>
      </c>
      <c r="K233" s="18" t="n">
        <f aca="false">IF(OR(I233="",I233=0),"",J233/I233)</f>
        <v>0</v>
      </c>
      <c r="L233" s="19" t="str">
        <f aca="false">IF(OR(D233="",I233=""),"No reported total for O&amp;M or depreciation",IF(AND(ABS(F233)&lt;=$D$2,ABS(K233)&lt;=$D$2),"Reconciles within tolerance","Outside tolerance"))</f>
        <v>Reconciles within tolerance</v>
      </c>
      <c r="M233" s="17" t="n">
        <f aca="false">IF(OR(E233="",LEFT(L233,8)="Excluded"),"",ABS(E233))</f>
        <v>0</v>
      </c>
    </row>
    <row r="234" customFormat="false" ht="15" hidden="false" customHeight="false" outlineLevel="0" collapsed="false">
      <c r="A234" s="7" t="n">
        <v>2010</v>
      </c>
      <c r="B234" s="12" t="s">
        <v>68</v>
      </c>
      <c r="C234" s="16" t="n">
        <v>692.971881</v>
      </c>
      <c r="D234" s="16" t="n">
        <v>692.971881</v>
      </c>
      <c r="E234" s="17" t="n">
        <f aca="false">IF(D234="","",C234-D234)</f>
        <v>0</v>
      </c>
      <c r="F234" s="18" t="n">
        <f aca="false">IF(OR(D234="",D234=0),"",E234/D234)</f>
        <v>0</v>
      </c>
      <c r="G234" s="16" t="n">
        <v>160.835284</v>
      </c>
      <c r="H234" s="16" t="n">
        <v>0</v>
      </c>
      <c r="I234" s="16" t="n">
        <v>160.835284</v>
      </c>
      <c r="J234" s="17" t="n">
        <f aca="false">IF(I234="","",G234-I234)</f>
        <v>0</v>
      </c>
      <c r="K234" s="18" t="n">
        <f aca="false">IF(OR(I234="",I234=0),"",J234/I234)</f>
        <v>0</v>
      </c>
      <c r="L234" s="19" t="str">
        <f aca="false">IF(OR(D234="",I234=""),"No reported total for O&amp;M or depreciation",IF(AND(ABS(F234)&lt;=$D$2,ABS(K234)&lt;=$D$2),"Reconciles within tolerance","Outside tolerance"))</f>
        <v>Reconciles within tolerance</v>
      </c>
      <c r="M234" s="17" t="n">
        <f aca="false">IF(OR(E234="",LEFT(L234,8)="Excluded"),"",ABS(E234))</f>
        <v>0</v>
      </c>
    </row>
    <row r="235" customFormat="false" ht="15" hidden="false" customHeight="false" outlineLevel="0" collapsed="false">
      <c r="A235" s="7" t="n">
        <v>2011</v>
      </c>
      <c r="B235" s="12" t="s">
        <v>68</v>
      </c>
      <c r="C235" s="16" t="n">
        <v>747.354653</v>
      </c>
      <c r="D235" s="16" t="n">
        <v>747.354653</v>
      </c>
      <c r="E235" s="17" t="n">
        <f aca="false">IF(D235="","",C235-D235)</f>
        <v>0</v>
      </c>
      <c r="F235" s="18" t="n">
        <f aca="false">IF(OR(D235="",D235=0),"",E235/D235)</f>
        <v>0</v>
      </c>
      <c r="G235" s="16" t="n">
        <v>166.468955</v>
      </c>
      <c r="H235" s="16" t="n">
        <v>0</v>
      </c>
      <c r="I235" s="16" t="n">
        <v>166.468955</v>
      </c>
      <c r="J235" s="17" t="n">
        <f aca="false">IF(I235="","",G235-I235)</f>
        <v>0</v>
      </c>
      <c r="K235" s="18" t="n">
        <f aca="false">IF(OR(I235="",I235=0),"",J235/I235)</f>
        <v>0</v>
      </c>
      <c r="L235" s="19" t="str">
        <f aca="false">IF(OR(D235="",I235=""),"No reported total for O&amp;M or depreciation",IF(AND(ABS(F235)&lt;=$D$2,ABS(K235)&lt;=$D$2),"Reconciles within tolerance","Outside tolerance"))</f>
        <v>Reconciles within tolerance</v>
      </c>
      <c r="M235" s="17" t="n">
        <f aca="false">IF(OR(E235="",LEFT(L235,8)="Excluded"),"",ABS(E235))</f>
        <v>0</v>
      </c>
    </row>
    <row r="236" customFormat="false" ht="15" hidden="false" customHeight="false" outlineLevel="0" collapsed="false">
      <c r="A236" s="7" t="n">
        <v>2012</v>
      </c>
      <c r="B236" s="12" t="s">
        <v>68</v>
      </c>
      <c r="C236" s="16" t="n">
        <v>778.847213</v>
      </c>
      <c r="D236" s="16" t="n">
        <v>778.847213</v>
      </c>
      <c r="E236" s="17" t="n">
        <f aca="false">IF(D236="","",C236-D236)</f>
        <v>0</v>
      </c>
      <c r="F236" s="18" t="n">
        <f aca="false">IF(OR(D236="",D236=0),"",E236/D236)</f>
        <v>0</v>
      </c>
      <c r="G236" s="16" t="n">
        <v>176.00037</v>
      </c>
      <c r="H236" s="16" t="n">
        <v>0</v>
      </c>
      <c r="I236" s="16" t="n">
        <v>176.00037</v>
      </c>
      <c r="J236" s="17" t="n">
        <f aca="false">IF(I236="","",G236-I236)</f>
        <v>0</v>
      </c>
      <c r="K236" s="18" t="n">
        <f aca="false">IF(OR(I236="",I236=0),"",J236/I236)</f>
        <v>0</v>
      </c>
      <c r="L236" s="19" t="str">
        <f aca="false">IF(OR(D236="",I236=""),"No reported total for O&amp;M or depreciation",IF(AND(ABS(F236)&lt;=$D$2,ABS(K236)&lt;=$D$2),"Reconciles within tolerance","Outside tolerance"))</f>
        <v>Reconciles within tolerance</v>
      </c>
      <c r="M236" s="17" t="n">
        <f aca="false">IF(OR(E236="",LEFT(L236,8)="Excluded"),"",ABS(E236))</f>
        <v>0</v>
      </c>
    </row>
    <row r="237" customFormat="false" ht="15" hidden="false" customHeight="false" outlineLevel="0" collapsed="false">
      <c r="A237" s="7" t="n">
        <v>2013</v>
      </c>
      <c r="B237" s="12" t="s">
        <v>68</v>
      </c>
      <c r="C237" s="16" t="n">
        <v>818.417947</v>
      </c>
      <c r="D237" s="16" t="n">
        <v>818.417947</v>
      </c>
      <c r="E237" s="17" t="n">
        <f aca="false">IF(D237="","",C237-D237)</f>
        <v>0</v>
      </c>
      <c r="F237" s="18" t="n">
        <f aca="false">IF(OR(D237="",D237=0),"",E237/D237)</f>
        <v>0</v>
      </c>
      <c r="G237" s="16" t="n">
        <v>180.155297</v>
      </c>
      <c r="H237" s="16" t="n">
        <v>0</v>
      </c>
      <c r="I237" s="16" t="n">
        <v>180.155297</v>
      </c>
      <c r="J237" s="17" t="n">
        <f aca="false">IF(I237="","",G237-I237)</f>
        <v>0</v>
      </c>
      <c r="K237" s="18" t="n">
        <f aca="false">IF(OR(I237="",I237=0),"",J237/I237)</f>
        <v>0</v>
      </c>
      <c r="L237" s="19" t="str">
        <f aca="false">IF(OR(D237="",I237=""),"No reported total for O&amp;M or depreciation",IF(AND(ABS(F237)&lt;=$D$2,ABS(K237)&lt;=$D$2),"Reconciles within tolerance","Outside tolerance"))</f>
        <v>Reconciles within tolerance</v>
      </c>
      <c r="M237" s="17" t="n">
        <f aca="false">IF(OR(E237="",LEFT(L237,8)="Excluded"),"",ABS(E237))</f>
        <v>0</v>
      </c>
    </row>
    <row r="238" customFormat="false" ht="15" hidden="false" customHeight="false" outlineLevel="0" collapsed="false">
      <c r="A238" s="7" t="n">
        <v>2014</v>
      </c>
      <c r="B238" s="12" t="s">
        <v>68</v>
      </c>
      <c r="C238" s="16" t="n">
        <v>859.798334</v>
      </c>
      <c r="D238" s="16" t="n">
        <v>859.798334</v>
      </c>
      <c r="E238" s="17" t="n">
        <f aca="false">IF(D238="","",C238-D238)</f>
        <v>0</v>
      </c>
      <c r="F238" s="18" t="n">
        <f aca="false">IF(OR(D238="",D238=0),"",E238/D238)</f>
        <v>0</v>
      </c>
      <c r="G238" s="16" t="n">
        <v>188.312212</v>
      </c>
      <c r="H238" s="16" t="n">
        <v>0</v>
      </c>
      <c r="I238" s="16" t="n">
        <v>188.312212</v>
      </c>
      <c r="J238" s="17" t="n">
        <f aca="false">IF(I238="","",G238-I238)</f>
        <v>0</v>
      </c>
      <c r="K238" s="18" t="n">
        <f aca="false">IF(OR(I238="",I238=0),"",J238/I238)</f>
        <v>0</v>
      </c>
      <c r="L238" s="19" t="str">
        <f aca="false">IF(OR(D238="",I238=""),"No reported total for O&amp;M or depreciation",IF(AND(ABS(F238)&lt;=$D$2,ABS(K238)&lt;=$D$2),"Reconciles within tolerance","Outside tolerance"))</f>
        <v>Reconciles within tolerance</v>
      </c>
      <c r="M238" s="17" t="n">
        <f aca="false">IF(OR(E238="",LEFT(L238,8)="Excluded"),"",ABS(E238))</f>
        <v>0</v>
      </c>
    </row>
    <row r="239" customFormat="false" ht="15" hidden="false" customHeight="false" outlineLevel="0" collapsed="false">
      <c r="A239" s="7" t="n">
        <v>2015</v>
      </c>
      <c r="B239" s="12" t="s">
        <v>68</v>
      </c>
      <c r="C239" s="16" t="n">
        <v>816.333506</v>
      </c>
      <c r="D239" s="16" t="n">
        <v>816.333506</v>
      </c>
      <c r="E239" s="17" t="n">
        <f aca="false">IF(D239="","",C239-D239)</f>
        <v>0</v>
      </c>
      <c r="F239" s="18" t="n">
        <f aca="false">IF(OR(D239="",D239=0),"",E239/D239)</f>
        <v>0</v>
      </c>
      <c r="G239" s="16" t="n">
        <v>203.280943</v>
      </c>
      <c r="H239" s="16" t="n">
        <v>0</v>
      </c>
      <c r="I239" s="16" t="n">
        <v>203.280943</v>
      </c>
      <c r="J239" s="17" t="n">
        <f aca="false">IF(I239="","",G239-I239)</f>
        <v>0</v>
      </c>
      <c r="K239" s="18" t="n">
        <f aca="false">IF(OR(I239="",I239=0),"",J239/I239)</f>
        <v>0</v>
      </c>
      <c r="L239" s="19" t="str">
        <f aca="false">IF(OR(D239="",I239=""),"No reported total for O&amp;M or depreciation",IF(AND(ABS(F239)&lt;=$D$2,ABS(K239)&lt;=$D$2),"Reconciles within tolerance","Outside tolerance"))</f>
        <v>Reconciles within tolerance</v>
      </c>
      <c r="M239" s="17" t="n">
        <f aca="false">IF(OR(E239="",LEFT(L239,8)="Excluded"),"",ABS(E239))</f>
        <v>0</v>
      </c>
    </row>
    <row r="240" customFormat="false" ht="15" hidden="false" customHeight="false" outlineLevel="0" collapsed="false">
      <c r="A240" s="7" t="n">
        <v>2016</v>
      </c>
      <c r="B240" s="12" t="s">
        <v>68</v>
      </c>
      <c r="C240" s="16" t="n">
        <v>822.110761</v>
      </c>
      <c r="D240" s="16" t="n">
        <v>822.110761</v>
      </c>
      <c r="E240" s="17" t="n">
        <f aca="false">IF(D240="","",C240-D240)</f>
        <v>0</v>
      </c>
      <c r="F240" s="18" t="n">
        <f aca="false">IF(OR(D240="",D240=0),"",E240/D240)</f>
        <v>0</v>
      </c>
      <c r="G240" s="16" t="n">
        <v>215.96693</v>
      </c>
      <c r="H240" s="16" t="n">
        <v>0</v>
      </c>
      <c r="I240" s="16" t="n">
        <v>215.96693</v>
      </c>
      <c r="J240" s="17" t="n">
        <f aca="false">IF(I240="","",G240-I240)</f>
        <v>0</v>
      </c>
      <c r="K240" s="18" t="n">
        <f aca="false">IF(OR(I240="",I240=0),"",J240/I240)</f>
        <v>0</v>
      </c>
      <c r="L240" s="19" t="str">
        <f aca="false">IF(OR(D240="",I240=""),"No reported total for O&amp;M or depreciation",IF(AND(ABS(F240)&lt;=$D$2,ABS(K240)&lt;=$D$2),"Reconciles within tolerance","Outside tolerance"))</f>
        <v>Reconciles within tolerance</v>
      </c>
      <c r="M240" s="17" t="n">
        <f aca="false">IF(OR(E240="",LEFT(L240,8)="Excluded"),"",ABS(E240))</f>
        <v>0</v>
      </c>
    </row>
    <row r="241" customFormat="false" ht="15" hidden="false" customHeight="false" outlineLevel="0" collapsed="false">
      <c r="A241" s="7" t="n">
        <v>2017</v>
      </c>
      <c r="B241" s="12" t="s">
        <v>68</v>
      </c>
      <c r="C241" s="16" t="n">
        <v>854.616182</v>
      </c>
      <c r="D241" s="16" t="n">
        <v>854.616182</v>
      </c>
      <c r="E241" s="17" t="n">
        <f aca="false">IF(D241="","",C241-D241)</f>
        <v>0</v>
      </c>
      <c r="F241" s="18" t="n">
        <f aca="false">IF(OR(D241="",D241=0),"",E241/D241)</f>
        <v>0</v>
      </c>
      <c r="G241" s="16" t="n">
        <v>218.492899</v>
      </c>
      <c r="H241" s="16" t="n">
        <v>0</v>
      </c>
      <c r="I241" s="16" t="n">
        <v>218.492899</v>
      </c>
      <c r="J241" s="17" t="n">
        <f aca="false">IF(I241="","",G241-I241)</f>
        <v>0</v>
      </c>
      <c r="K241" s="18" t="n">
        <f aca="false">IF(OR(I241="",I241=0),"",J241/I241)</f>
        <v>0</v>
      </c>
      <c r="L241" s="19" t="str">
        <f aca="false">IF(OR(D241="",I241=""),"No reported total for O&amp;M or depreciation",IF(AND(ABS(F241)&lt;=$D$2,ABS(K241)&lt;=$D$2),"Reconciles within tolerance","Outside tolerance"))</f>
        <v>Reconciles within tolerance</v>
      </c>
      <c r="M241" s="17" t="n">
        <f aca="false">IF(OR(E241="",LEFT(L241,8)="Excluded"),"",ABS(E241))</f>
        <v>0</v>
      </c>
    </row>
    <row r="242" customFormat="false" ht="15" hidden="false" customHeight="false" outlineLevel="0" collapsed="false">
      <c r="A242" s="7" t="n">
        <v>2018</v>
      </c>
      <c r="B242" s="12" t="s">
        <v>68</v>
      </c>
      <c r="C242" s="16" t="n">
        <v>927.712494</v>
      </c>
      <c r="D242" s="16" t="n">
        <v>927.712494</v>
      </c>
      <c r="E242" s="17" t="n">
        <f aca="false">IF(D242="","",C242-D242)</f>
        <v>0</v>
      </c>
      <c r="F242" s="18" t="n">
        <f aca="false">IF(OR(D242="",D242=0),"",E242/D242)</f>
        <v>0</v>
      </c>
      <c r="G242" s="16" t="n">
        <v>248.500324</v>
      </c>
      <c r="H242" s="16" t="n">
        <v>0</v>
      </c>
      <c r="I242" s="16" t="n">
        <v>248.500324</v>
      </c>
      <c r="J242" s="17" t="n">
        <f aca="false">IF(I242="","",G242-I242)</f>
        <v>0</v>
      </c>
      <c r="K242" s="18" t="n">
        <f aca="false">IF(OR(I242="",I242=0),"",J242/I242)</f>
        <v>0</v>
      </c>
      <c r="L242" s="19" t="str">
        <f aca="false">IF(OR(D242="",I242=""),"No reported total for O&amp;M or depreciation",IF(AND(ABS(F242)&lt;=$D$2,ABS(K242)&lt;=$D$2),"Reconciles within tolerance","Outside tolerance"))</f>
        <v>Reconciles within tolerance</v>
      </c>
      <c r="M242" s="17" t="n">
        <f aca="false">IF(OR(E242="",LEFT(L242,8)="Excluded"),"",ABS(E242))</f>
        <v>0</v>
      </c>
    </row>
    <row r="243" customFormat="false" ht="15" hidden="false" customHeight="false" outlineLevel="0" collapsed="false">
      <c r="A243" s="7" t="n">
        <v>2019</v>
      </c>
      <c r="B243" s="12" t="s">
        <v>68</v>
      </c>
      <c r="C243" s="16" t="n">
        <v>913.57986</v>
      </c>
      <c r="D243" s="16" t="n">
        <v>913.57986</v>
      </c>
      <c r="E243" s="17" t="n">
        <f aca="false">IF(D243="","",C243-D243)</f>
        <v>0</v>
      </c>
      <c r="F243" s="18" t="n">
        <f aca="false">IF(OR(D243="",D243=0),"",E243/D243)</f>
        <v>0</v>
      </c>
      <c r="G243" s="16" t="n">
        <v>254.545679</v>
      </c>
      <c r="H243" s="16" t="n">
        <v>0</v>
      </c>
      <c r="I243" s="16" t="n">
        <v>254.545679</v>
      </c>
      <c r="J243" s="17" t="n">
        <f aca="false">IF(I243="","",G243-I243)</f>
        <v>0</v>
      </c>
      <c r="K243" s="18" t="n">
        <f aca="false">IF(OR(I243="",I243=0),"",J243/I243)</f>
        <v>0</v>
      </c>
      <c r="L243" s="19" t="str">
        <f aca="false">IF(OR(D243="",I243=""),"No reported total for O&amp;M or depreciation",IF(AND(ABS(F243)&lt;=$D$2,ABS(K243)&lt;=$D$2),"Reconciles within tolerance","Outside tolerance"))</f>
        <v>Reconciles within tolerance</v>
      </c>
      <c r="M243" s="17" t="n">
        <f aca="false">IF(OR(E243="",LEFT(L243,8)="Excluded"),"",ABS(E243))</f>
        <v>0</v>
      </c>
    </row>
    <row r="244" customFormat="false" ht="15" hidden="false" customHeight="false" outlineLevel="0" collapsed="false">
      <c r="A244" s="7" t="n">
        <v>2020</v>
      </c>
      <c r="B244" s="12" t="s">
        <v>68</v>
      </c>
      <c r="C244" s="16" t="n">
        <v>796.339071</v>
      </c>
      <c r="D244" s="16" t="n">
        <v>796.339071</v>
      </c>
      <c r="E244" s="17" t="n">
        <f aca="false">IF(D244="","",C244-D244)</f>
        <v>0</v>
      </c>
      <c r="F244" s="18" t="n">
        <f aca="false">IF(OR(D244="",D244=0),"",E244/D244)</f>
        <v>0</v>
      </c>
      <c r="G244" s="16" t="n">
        <v>278.97401</v>
      </c>
      <c r="H244" s="16" t="n">
        <v>0</v>
      </c>
      <c r="I244" s="16" t="n">
        <v>278.97401</v>
      </c>
      <c r="J244" s="17" t="n">
        <f aca="false">IF(I244="","",G244-I244)</f>
        <v>0</v>
      </c>
      <c r="K244" s="18" t="n">
        <f aca="false">IF(OR(I244="",I244=0),"",J244/I244)</f>
        <v>0</v>
      </c>
      <c r="L244" s="19" t="str">
        <f aca="false">IF(OR(D244="",I244=""),"No reported total for O&amp;M or depreciation",IF(AND(ABS(F244)&lt;=$D$2,ABS(K244)&lt;=$D$2),"Reconciles within tolerance","Outside tolerance"))</f>
        <v>Reconciles within tolerance</v>
      </c>
      <c r="M244" s="17" t="n">
        <f aca="false">IF(OR(E244="",LEFT(L244,8)="Excluded"),"",ABS(E244))</f>
        <v>0</v>
      </c>
    </row>
    <row r="245" customFormat="false" ht="15" hidden="false" customHeight="false" outlineLevel="0" collapsed="false">
      <c r="A245" s="7" t="n">
        <v>2021</v>
      </c>
      <c r="B245" s="12" t="s">
        <v>68</v>
      </c>
      <c r="C245" s="16" t="n">
        <v>860.959652</v>
      </c>
      <c r="D245" s="16" t="n">
        <v>860.959652</v>
      </c>
      <c r="E245" s="17" t="n">
        <f aca="false">IF(D245="","",C245-D245)</f>
        <v>0</v>
      </c>
      <c r="F245" s="18" t="n">
        <f aca="false">IF(OR(D245="",D245=0),"",E245/D245)</f>
        <v>0</v>
      </c>
      <c r="G245" s="16" t="n">
        <v>285.54382</v>
      </c>
      <c r="H245" s="16" t="n">
        <v>0</v>
      </c>
      <c r="I245" s="16" t="n">
        <v>285.54382</v>
      </c>
      <c r="J245" s="17" t="n">
        <f aca="false">IF(I245="","",G245-I245)</f>
        <v>0</v>
      </c>
      <c r="K245" s="18" t="n">
        <f aca="false">IF(OR(I245="",I245=0),"",J245/I245)</f>
        <v>0</v>
      </c>
      <c r="L245" s="19" t="str">
        <f aca="false">IF(OR(D245="",I245=""),"No reported total for O&amp;M or depreciation",IF(AND(ABS(F245)&lt;=$D$2,ABS(K245)&lt;=$D$2),"Reconciles within tolerance","Outside tolerance"))</f>
        <v>Reconciles within tolerance</v>
      </c>
      <c r="M245" s="17" t="n">
        <f aca="false">IF(OR(E245="",LEFT(L245,8)="Excluded"),"",ABS(E245))</f>
        <v>0</v>
      </c>
    </row>
    <row r="246" customFormat="false" ht="15" hidden="false" customHeight="false" outlineLevel="0" collapsed="false">
      <c r="A246" s="7" t="n">
        <v>2022</v>
      </c>
      <c r="B246" s="12" t="s">
        <v>68</v>
      </c>
      <c r="C246" s="16" t="n">
        <v>1235.848667</v>
      </c>
      <c r="D246" s="16" t="n">
        <v>1235.848667</v>
      </c>
      <c r="E246" s="17" t="n">
        <f aca="false">IF(D246="","",C246-D246)</f>
        <v>0</v>
      </c>
      <c r="F246" s="18" t="n">
        <f aca="false">IF(OR(D246="",D246=0),"",E246/D246)</f>
        <v>0</v>
      </c>
      <c r="G246" s="16" t="n">
        <v>303.164372</v>
      </c>
      <c r="H246" s="16" t="n">
        <v>0</v>
      </c>
      <c r="I246" s="16" t="n">
        <v>303.164373</v>
      </c>
      <c r="J246" s="17" t="n">
        <f aca="false">IF(I246="","",G246-I246)</f>
        <v>-9.99999997475243E-007</v>
      </c>
      <c r="K246" s="18" t="n">
        <f aca="false">IF(OR(I246="",I246=0),"",J246/I246)</f>
        <v>-3.29854061537515E-009</v>
      </c>
      <c r="L246" s="19" t="str">
        <f aca="false">IF(OR(D246="",I246=""),"No reported total for O&amp;M or depreciation",IF(AND(ABS(F246)&lt;=$D$2,ABS(K246)&lt;=$D$2),"Reconciles within tolerance","Outside tolerance"))</f>
        <v>Reconciles within tolerance</v>
      </c>
      <c r="M246" s="17" t="n">
        <f aca="false">IF(OR(E246="",LEFT(L246,8)="Excluded"),"",ABS(E246))</f>
        <v>0</v>
      </c>
    </row>
    <row r="247" customFormat="false" ht="15" hidden="false" customHeight="false" outlineLevel="0" collapsed="false">
      <c r="A247" s="7" t="n">
        <v>2023</v>
      </c>
      <c r="B247" s="12" t="s">
        <v>68</v>
      </c>
      <c r="C247" s="16" t="n">
        <v>1134.240951</v>
      </c>
      <c r="D247" s="16" t="n">
        <v>1134.240951</v>
      </c>
      <c r="E247" s="17" t="n">
        <f aca="false">IF(D247="","",C247-D247)</f>
        <v>0</v>
      </c>
      <c r="F247" s="18" t="n">
        <f aca="false">IF(OR(D247="",D247=0),"",E247/D247)</f>
        <v>0</v>
      </c>
      <c r="G247" s="16" t="n">
        <v>299.399338</v>
      </c>
      <c r="H247" s="16" t="n">
        <v>0</v>
      </c>
      <c r="I247" s="16" t="n">
        <v>299.399338</v>
      </c>
      <c r="J247" s="17" t="n">
        <f aca="false">IF(I247="","",G247-I247)</f>
        <v>0</v>
      </c>
      <c r="K247" s="18" t="n">
        <f aca="false">IF(OR(I247="",I247=0),"",J247/I247)</f>
        <v>0</v>
      </c>
      <c r="L247" s="19" t="str">
        <f aca="false">IF(OR(D247="",I247=""),"No reported total for O&amp;M or depreciation",IF(AND(ABS(F247)&lt;=$D$2,ABS(K247)&lt;=$D$2),"Reconciles within tolerance","Outside tolerance"))</f>
        <v>Reconciles within tolerance</v>
      </c>
      <c r="M247" s="17" t="n">
        <f aca="false">IF(OR(E247="",LEFT(L247,8)="Excluded"),"",ABS(E247))</f>
        <v>0</v>
      </c>
    </row>
    <row r="248" customFormat="false" ht="15" hidden="false" customHeight="false" outlineLevel="0" collapsed="false">
      <c r="A248" s="7" t="n">
        <v>2024</v>
      </c>
      <c r="B248" s="12" t="s">
        <v>68</v>
      </c>
      <c r="C248" s="16" t="n">
        <v>981.88998</v>
      </c>
      <c r="D248" s="16" t="n">
        <v>981.61979</v>
      </c>
      <c r="E248" s="17" t="n">
        <f aca="false">IF(D248="","",C248-D248)</f>
        <v>0.270190000000071</v>
      </c>
      <c r="F248" s="18" t="n">
        <f aca="false">IF(OR(D248="",D248=0),"",E248/D248)</f>
        <v>0.000275249136939334</v>
      </c>
      <c r="G248" s="16" t="n">
        <v>317.013511</v>
      </c>
      <c r="H248" s="16" t="n">
        <v>0</v>
      </c>
      <c r="I248" s="16" t="n">
        <v>317.013511</v>
      </c>
      <c r="J248" s="17" t="n">
        <f aca="false">IF(I248="","",G248-I248)</f>
        <v>0</v>
      </c>
      <c r="K248" s="18" t="n">
        <f aca="false">IF(OR(I248="",I248=0),"",J248/I248)</f>
        <v>0</v>
      </c>
      <c r="L248" s="19" t="str">
        <f aca="false">IF(OR(D248="",I248=""),"No reported total for O&amp;M or depreciation",IF(AND(ABS(F248)&lt;=$D$2,ABS(K248)&lt;=$D$2),"Reconciles within tolerance","Outside tolerance"))</f>
        <v>Reconciles within tolerance</v>
      </c>
      <c r="M248" s="17" t="n">
        <f aca="false">IF(OR(E248="",LEFT(L248,8)="Excluded"),"",ABS(E248))</f>
        <v>0.270190000000071</v>
      </c>
    </row>
    <row r="249" customFormat="false" ht="15" hidden="false" customHeight="false" outlineLevel="0" collapsed="false">
      <c r="A249" s="7" t="n">
        <v>2025</v>
      </c>
      <c r="B249" s="12" t="s">
        <v>68</v>
      </c>
      <c r="C249" s="16" t="n">
        <v>1157.552196</v>
      </c>
      <c r="D249" s="16" t="n">
        <v>1157.552196</v>
      </c>
      <c r="E249" s="17" t="n">
        <f aca="false">IF(D249="","",C249-D249)</f>
        <v>0</v>
      </c>
      <c r="F249" s="18" t="n">
        <f aca="false">IF(OR(D249="",D249=0),"",E249/D249)</f>
        <v>0</v>
      </c>
      <c r="G249" s="16" t="n">
        <v>349.053348</v>
      </c>
      <c r="H249" s="16" t="n">
        <v>0</v>
      </c>
      <c r="I249" s="16" t="n">
        <v>349.053348</v>
      </c>
      <c r="J249" s="17" t="n">
        <f aca="false">IF(I249="","",G249-I249)</f>
        <v>0</v>
      </c>
      <c r="K249" s="18" t="n">
        <f aca="false">IF(OR(I249="",I249=0),"",J249/I249)</f>
        <v>0</v>
      </c>
      <c r="L249" s="19" t="str">
        <f aca="false">IF(OR(D249="",I249=""),"No reported total for O&amp;M or depreciation",IF(AND(ABS(F249)&lt;=$D$2,ABS(K249)&lt;=$D$2),"Reconciles within tolerance","Outside tolerance"))</f>
        <v>Reconciles within tolerance</v>
      </c>
      <c r="M249" s="17" t="n">
        <f aca="false">IF(OR(E249="",LEFT(L249,8)="Excluded"),"",ABS(E249))</f>
        <v>0</v>
      </c>
    </row>
    <row r="250" customFormat="false" ht="15" hidden="false" customHeight="false" outlineLevel="0" collapsed="false">
      <c r="A250" s="7" t="n">
        <v>1995</v>
      </c>
      <c r="B250" s="12" t="s">
        <v>69</v>
      </c>
      <c r="C250" s="16" t="n">
        <v>492.579787</v>
      </c>
      <c r="D250" s="16" t="n">
        <v>492.579787</v>
      </c>
      <c r="E250" s="17" t="n">
        <f aca="false">IF(D250="","",C250-D250)</f>
        <v>0</v>
      </c>
      <c r="F250" s="18" t="n">
        <f aca="false">IF(OR(D250="",D250=0),"",E250/D250)</f>
        <v>0</v>
      </c>
      <c r="G250" s="16" t="n">
        <v>98.395119</v>
      </c>
      <c r="H250" s="16" t="n">
        <v>0</v>
      </c>
      <c r="I250" s="16" t="n">
        <v>98.395119</v>
      </c>
      <c r="J250" s="17" t="n">
        <f aca="false">IF(I250="","",G250-I250)</f>
        <v>0</v>
      </c>
      <c r="K250" s="18" t="n">
        <f aca="false">IF(OR(I250="",I250=0),"",J250/I250)</f>
        <v>0</v>
      </c>
      <c r="L250" s="19" t="str">
        <f aca="false">IF(OR(D250="",I250=""),"No reported total for O&amp;M or depreciation",IF(AND(ABS(F250)&lt;=$D$2,ABS(K250)&lt;=$D$2),"Reconciles within tolerance","Outside tolerance"))</f>
        <v>Reconciles within tolerance</v>
      </c>
      <c r="M250" s="17" t="n">
        <f aca="false">IF(OR(E250="",LEFT(L250,8)="Excluded"),"",ABS(E250))</f>
        <v>0</v>
      </c>
    </row>
    <row r="251" customFormat="false" ht="15" hidden="false" customHeight="false" outlineLevel="0" collapsed="false">
      <c r="A251" s="7" t="n">
        <v>1996</v>
      </c>
      <c r="B251" s="12" t="s">
        <v>69</v>
      </c>
      <c r="C251" s="16" t="n">
        <v>503.450895</v>
      </c>
      <c r="D251" s="16" t="n">
        <v>503.450895</v>
      </c>
      <c r="E251" s="17" t="n">
        <f aca="false">IF(D251="","",C251-D251)</f>
        <v>0</v>
      </c>
      <c r="F251" s="18" t="n">
        <f aca="false">IF(OR(D251="",D251=0),"",E251/D251)</f>
        <v>0</v>
      </c>
      <c r="G251" s="16" t="n">
        <v>104.617606</v>
      </c>
      <c r="H251" s="16" t="n">
        <v>0</v>
      </c>
      <c r="I251" s="16" t="n">
        <v>104.617606</v>
      </c>
      <c r="J251" s="17" t="n">
        <f aca="false">IF(I251="","",G251-I251)</f>
        <v>0</v>
      </c>
      <c r="K251" s="18" t="n">
        <f aca="false">IF(OR(I251="",I251=0),"",J251/I251)</f>
        <v>0</v>
      </c>
      <c r="L251" s="19" t="str">
        <f aca="false">IF(OR(D251="",I251=""),"No reported total for O&amp;M or depreciation",IF(AND(ABS(F251)&lt;=$D$2,ABS(K251)&lt;=$D$2),"Reconciles within tolerance","Outside tolerance"))</f>
        <v>Reconciles within tolerance</v>
      </c>
      <c r="M251" s="17" t="n">
        <f aca="false">IF(OR(E251="",LEFT(L251,8)="Excluded"),"",ABS(E251))</f>
        <v>0</v>
      </c>
    </row>
    <row r="252" customFormat="false" ht="15" hidden="false" customHeight="false" outlineLevel="0" collapsed="false">
      <c r="A252" s="7" t="n">
        <v>1997</v>
      </c>
      <c r="B252" s="12" t="s">
        <v>69</v>
      </c>
      <c r="C252" s="16" t="n">
        <v>523.866956</v>
      </c>
      <c r="D252" s="16" t="n">
        <v>523.866956</v>
      </c>
      <c r="E252" s="17" t="n">
        <f aca="false">IF(D252="","",C252-D252)</f>
        <v>0</v>
      </c>
      <c r="F252" s="18" t="n">
        <f aca="false">IF(OR(D252="",D252=0),"",E252/D252)</f>
        <v>0</v>
      </c>
      <c r="G252" s="16" t="n">
        <v>109.326442</v>
      </c>
      <c r="H252" s="16" t="n">
        <v>0</v>
      </c>
      <c r="I252" s="16" t="n">
        <v>109.326442</v>
      </c>
      <c r="J252" s="17" t="n">
        <f aca="false">IF(I252="","",G252-I252)</f>
        <v>0</v>
      </c>
      <c r="K252" s="18" t="n">
        <f aca="false">IF(OR(I252="",I252=0),"",J252/I252)</f>
        <v>0</v>
      </c>
      <c r="L252" s="19" t="str">
        <f aca="false">IF(OR(D252="",I252=""),"No reported total for O&amp;M or depreciation",IF(AND(ABS(F252)&lt;=$D$2,ABS(K252)&lt;=$D$2),"Reconciles within tolerance","Outside tolerance"))</f>
        <v>Reconciles within tolerance</v>
      </c>
      <c r="M252" s="17" t="n">
        <f aca="false">IF(OR(E252="",LEFT(L252,8)="Excluded"),"",ABS(E252))</f>
        <v>0</v>
      </c>
    </row>
    <row r="253" customFormat="false" ht="15" hidden="false" customHeight="false" outlineLevel="0" collapsed="false">
      <c r="A253" s="7" t="n">
        <v>1998</v>
      </c>
      <c r="B253" s="12" t="s">
        <v>69</v>
      </c>
      <c r="C253" s="16" t="n">
        <v>595.704713</v>
      </c>
      <c r="D253" s="16" t="n">
        <v>595.704713</v>
      </c>
      <c r="E253" s="17" t="n">
        <f aca="false">IF(D253="","",C253-D253)</f>
        <v>0</v>
      </c>
      <c r="F253" s="18" t="n">
        <f aca="false">IF(OR(D253="",D253=0),"",E253/D253)</f>
        <v>0</v>
      </c>
      <c r="G253" s="16" t="n">
        <v>113.593777</v>
      </c>
      <c r="H253" s="16" t="n">
        <v>0</v>
      </c>
      <c r="I253" s="16" t="n">
        <v>113.593777</v>
      </c>
      <c r="J253" s="17" t="n">
        <f aca="false">IF(I253="","",G253-I253)</f>
        <v>0</v>
      </c>
      <c r="K253" s="18" t="n">
        <f aca="false">IF(OR(I253="",I253=0),"",J253/I253)</f>
        <v>0</v>
      </c>
      <c r="L253" s="19" t="str">
        <f aca="false">IF(OR(D253="",I253=""),"No reported total for O&amp;M or depreciation",IF(AND(ABS(F253)&lt;=$D$2,ABS(K253)&lt;=$D$2),"Reconciles within tolerance","Outside tolerance"))</f>
        <v>Reconciles within tolerance</v>
      </c>
      <c r="M253" s="17" t="n">
        <f aca="false">IF(OR(E253="",LEFT(L253,8)="Excluded"),"",ABS(E253))</f>
        <v>0</v>
      </c>
    </row>
    <row r="254" customFormat="false" ht="15" hidden="false" customHeight="false" outlineLevel="0" collapsed="false">
      <c r="A254" s="7" t="n">
        <v>1999</v>
      </c>
      <c r="B254" s="12" t="s">
        <v>69</v>
      </c>
      <c r="C254" s="16" t="n">
        <v>538.994509</v>
      </c>
      <c r="D254" s="16" t="n">
        <v>538.994509</v>
      </c>
      <c r="E254" s="17" t="n">
        <f aca="false">IF(D254="","",C254-D254)</f>
        <v>0</v>
      </c>
      <c r="F254" s="18" t="n">
        <f aca="false">IF(OR(D254="",D254=0),"",E254/D254)</f>
        <v>0</v>
      </c>
      <c r="G254" s="16" t="n">
        <v>120.598881</v>
      </c>
      <c r="H254" s="16" t="n">
        <v>0</v>
      </c>
      <c r="I254" s="16" t="n">
        <v>120.598881</v>
      </c>
      <c r="J254" s="17" t="n">
        <f aca="false">IF(I254="","",G254-I254)</f>
        <v>0</v>
      </c>
      <c r="K254" s="18" t="n">
        <f aca="false">IF(OR(I254="",I254=0),"",J254/I254)</f>
        <v>0</v>
      </c>
      <c r="L254" s="19" t="str">
        <f aca="false">IF(OR(D254="",I254=""),"No reported total for O&amp;M or depreciation",IF(AND(ABS(F254)&lt;=$D$2,ABS(K254)&lt;=$D$2),"Reconciles within tolerance","Outside tolerance"))</f>
        <v>Reconciles within tolerance</v>
      </c>
      <c r="M254" s="17" t="n">
        <f aca="false">IF(OR(E254="",LEFT(L254,8)="Excluded"),"",ABS(E254))</f>
        <v>0</v>
      </c>
    </row>
    <row r="255" customFormat="false" ht="15" hidden="false" customHeight="false" outlineLevel="0" collapsed="false">
      <c r="A255" s="7" t="n">
        <v>2000</v>
      </c>
      <c r="B255" s="12" t="s">
        <v>69</v>
      </c>
      <c r="C255" s="16" t="n">
        <v>564.75558</v>
      </c>
      <c r="D255" s="16" t="n">
        <v>564.75558</v>
      </c>
      <c r="E255" s="17" t="n">
        <f aca="false">IF(D255="","",C255-D255)</f>
        <v>0</v>
      </c>
      <c r="F255" s="18" t="n">
        <f aca="false">IF(OR(D255="",D255=0),"",E255/D255)</f>
        <v>0</v>
      </c>
      <c r="G255" s="16" t="n">
        <v>128.516691</v>
      </c>
      <c r="H255" s="16" t="n">
        <v>0</v>
      </c>
      <c r="I255" s="16" t="n">
        <v>128.516691</v>
      </c>
      <c r="J255" s="17" t="n">
        <f aca="false">IF(I255="","",G255-I255)</f>
        <v>0</v>
      </c>
      <c r="K255" s="18" t="n">
        <f aca="false">IF(OR(I255="",I255=0),"",J255/I255)</f>
        <v>0</v>
      </c>
      <c r="L255" s="19" t="str">
        <f aca="false">IF(OR(D255="",I255=""),"No reported total for O&amp;M or depreciation",IF(AND(ABS(F255)&lt;=$D$2,ABS(K255)&lt;=$D$2),"Reconciles within tolerance","Outside tolerance"))</f>
        <v>Reconciles within tolerance</v>
      </c>
      <c r="M255" s="17" t="n">
        <f aca="false">IF(OR(E255="",LEFT(L255,8)="Excluded"),"",ABS(E255))</f>
        <v>0</v>
      </c>
    </row>
    <row r="256" customFormat="false" ht="15" hidden="false" customHeight="false" outlineLevel="0" collapsed="false">
      <c r="A256" s="7" t="n">
        <v>2001</v>
      </c>
      <c r="B256" s="12" t="s">
        <v>69</v>
      </c>
      <c r="C256" s="16" t="n">
        <v>635.394407</v>
      </c>
      <c r="D256" s="16" t="n">
        <v>635.394407</v>
      </c>
      <c r="E256" s="17" t="n">
        <f aca="false">IF(D256="","",C256-D256)</f>
        <v>0</v>
      </c>
      <c r="F256" s="18" t="n">
        <f aca="false">IF(OR(D256="",D256=0),"",E256/D256)</f>
        <v>0</v>
      </c>
      <c r="G256" s="16" t="n">
        <v>132.964766</v>
      </c>
      <c r="H256" s="16" t="n">
        <v>0</v>
      </c>
      <c r="I256" s="16" t="n">
        <v>132.964766</v>
      </c>
      <c r="J256" s="17" t="n">
        <f aca="false">IF(I256="","",G256-I256)</f>
        <v>0</v>
      </c>
      <c r="K256" s="18" t="n">
        <f aca="false">IF(OR(I256="",I256=0),"",J256/I256)</f>
        <v>0</v>
      </c>
      <c r="L256" s="19" t="str">
        <f aca="false">IF(OR(D256="",I256=""),"No reported total for O&amp;M or depreciation",IF(AND(ABS(F256)&lt;=$D$2,ABS(K256)&lt;=$D$2),"Reconciles within tolerance","Outside tolerance"))</f>
        <v>Reconciles within tolerance</v>
      </c>
      <c r="M256" s="17" t="n">
        <f aca="false">IF(OR(E256="",LEFT(L256,8)="Excluded"),"",ABS(E256))</f>
        <v>0</v>
      </c>
    </row>
    <row r="257" customFormat="false" ht="15" hidden="false" customHeight="false" outlineLevel="0" collapsed="false">
      <c r="A257" s="7" t="n">
        <v>2002</v>
      </c>
      <c r="B257" s="12" t="s">
        <v>69</v>
      </c>
      <c r="C257" s="16" t="n">
        <v>588.774416</v>
      </c>
      <c r="D257" s="16" t="n">
        <v>588.774416</v>
      </c>
      <c r="E257" s="17" t="n">
        <f aca="false">IF(D257="","",C257-D257)</f>
        <v>0</v>
      </c>
      <c r="F257" s="18" t="n">
        <f aca="false">IF(OR(D257="",D257=0),"",E257/D257)</f>
        <v>0</v>
      </c>
      <c r="G257" s="16" t="n">
        <v>132.116066</v>
      </c>
      <c r="H257" s="16" t="n">
        <v>0</v>
      </c>
      <c r="I257" s="16" t="n">
        <v>132.116066</v>
      </c>
      <c r="J257" s="17" t="n">
        <f aca="false">IF(I257="","",G257-I257)</f>
        <v>0</v>
      </c>
      <c r="K257" s="18" t="n">
        <f aca="false">IF(OR(I257="",I257=0),"",J257/I257)</f>
        <v>0</v>
      </c>
      <c r="L257" s="19" t="str">
        <f aca="false">IF(OR(D257="",I257=""),"No reported total for O&amp;M or depreciation",IF(AND(ABS(F257)&lt;=$D$2,ABS(K257)&lt;=$D$2),"Reconciles within tolerance","Outside tolerance"))</f>
        <v>Reconciles within tolerance</v>
      </c>
      <c r="M257" s="17" t="n">
        <f aca="false">IF(OR(E257="",LEFT(L257,8)="Excluded"),"",ABS(E257))</f>
        <v>0</v>
      </c>
    </row>
    <row r="258" customFormat="false" ht="15" hidden="false" customHeight="false" outlineLevel="0" collapsed="false">
      <c r="A258" s="7" t="n">
        <v>2003</v>
      </c>
      <c r="B258" s="12" t="s">
        <v>69</v>
      </c>
      <c r="C258" s="16" t="n">
        <v>609.41892</v>
      </c>
      <c r="D258" s="16" t="n">
        <v>609.41892</v>
      </c>
      <c r="E258" s="17" t="n">
        <f aca="false">IF(D258="","",C258-D258)</f>
        <v>0</v>
      </c>
      <c r="F258" s="18" t="n">
        <f aca="false">IF(OR(D258="",D258=0),"",E258/D258)</f>
        <v>0</v>
      </c>
      <c r="G258" s="16" t="n">
        <v>147.472144</v>
      </c>
      <c r="H258" s="16" t="n">
        <v>0</v>
      </c>
      <c r="I258" s="16" t="n">
        <v>147.472144</v>
      </c>
      <c r="J258" s="17" t="n">
        <f aca="false">IF(I258="","",G258-I258)</f>
        <v>0</v>
      </c>
      <c r="K258" s="18" t="n">
        <f aca="false">IF(OR(I258="",I258=0),"",J258/I258)</f>
        <v>0</v>
      </c>
      <c r="L258" s="19" t="str">
        <f aca="false">IF(OR(D258="",I258=""),"No reported total for O&amp;M or depreciation",IF(AND(ABS(F258)&lt;=$D$2,ABS(K258)&lt;=$D$2),"Reconciles within tolerance","Outside tolerance"))</f>
        <v>Reconciles within tolerance</v>
      </c>
      <c r="M258" s="17" t="n">
        <f aca="false">IF(OR(E258="",LEFT(L258,8)="Excluded"),"",ABS(E258))</f>
        <v>0</v>
      </c>
    </row>
    <row r="259" customFormat="false" ht="15" hidden="false" customHeight="false" outlineLevel="0" collapsed="false">
      <c r="A259" s="7" t="n">
        <v>2004</v>
      </c>
      <c r="B259" s="12" t="s">
        <v>69</v>
      </c>
      <c r="C259" s="16" t="n">
        <v>619.576776</v>
      </c>
      <c r="D259" s="16" t="n">
        <v>619.576776</v>
      </c>
      <c r="E259" s="17" t="n">
        <f aca="false">IF(D259="","",C259-D259)</f>
        <v>0</v>
      </c>
      <c r="F259" s="18" t="n">
        <f aca="false">IF(OR(D259="",D259=0),"",E259/D259)</f>
        <v>0</v>
      </c>
      <c r="G259" s="16" t="n">
        <v>168.406443</v>
      </c>
      <c r="H259" s="16" t="n">
        <v>0</v>
      </c>
      <c r="I259" s="16" t="n">
        <v>168.406443</v>
      </c>
      <c r="J259" s="17" t="n">
        <f aca="false">IF(I259="","",G259-I259)</f>
        <v>0</v>
      </c>
      <c r="K259" s="18" t="n">
        <f aca="false">IF(OR(I259="",I259=0),"",J259/I259)</f>
        <v>0</v>
      </c>
      <c r="L259" s="19" t="str">
        <f aca="false">IF(OR(D259="",I259=""),"No reported total for O&amp;M or depreciation",IF(AND(ABS(F259)&lt;=$D$2,ABS(K259)&lt;=$D$2),"Reconciles within tolerance","Outside tolerance"))</f>
        <v>Reconciles within tolerance</v>
      </c>
      <c r="M259" s="17" t="n">
        <f aca="false">IF(OR(E259="",LEFT(L259,8)="Excluded"),"",ABS(E259))</f>
        <v>0</v>
      </c>
    </row>
    <row r="260" customFormat="false" ht="15" hidden="false" customHeight="false" outlineLevel="0" collapsed="false">
      <c r="A260" s="7" t="n">
        <v>2005</v>
      </c>
      <c r="B260" s="12" t="s">
        <v>69</v>
      </c>
      <c r="C260" s="16" t="n">
        <v>724.64415</v>
      </c>
      <c r="D260" s="16" t="n">
        <v>724.64415</v>
      </c>
      <c r="E260" s="17" t="n">
        <f aca="false">IF(D260="","",C260-D260)</f>
        <v>0</v>
      </c>
      <c r="F260" s="18" t="n">
        <f aca="false">IF(OR(D260="",D260=0),"",E260/D260)</f>
        <v>0</v>
      </c>
      <c r="G260" s="16" t="n">
        <v>177.016776</v>
      </c>
      <c r="H260" s="16" t="n">
        <v>0</v>
      </c>
      <c r="I260" s="16" t="n">
        <v>177.016776</v>
      </c>
      <c r="J260" s="17" t="n">
        <f aca="false">IF(I260="","",G260-I260)</f>
        <v>0</v>
      </c>
      <c r="K260" s="18" t="n">
        <f aca="false">IF(OR(I260="",I260=0),"",J260/I260)</f>
        <v>0</v>
      </c>
      <c r="L260" s="19" t="str">
        <f aca="false">IF(OR(D260="",I260=""),"No reported total for O&amp;M or depreciation",IF(AND(ABS(F260)&lt;=$D$2,ABS(K260)&lt;=$D$2),"Reconciles within tolerance","Outside tolerance"))</f>
        <v>Reconciles within tolerance</v>
      </c>
      <c r="M260" s="17" t="n">
        <f aca="false">IF(OR(E260="",LEFT(L260,8)="Excluded"),"",ABS(E260))</f>
        <v>0</v>
      </c>
    </row>
    <row r="261" customFormat="false" ht="15" hidden="false" customHeight="false" outlineLevel="0" collapsed="false">
      <c r="A261" s="7" t="n">
        <v>2006</v>
      </c>
      <c r="B261" s="12" t="s">
        <v>69</v>
      </c>
      <c r="C261" s="16" t="n">
        <v>914.113455</v>
      </c>
      <c r="D261" s="16" t="n">
        <v>914.113455</v>
      </c>
      <c r="E261" s="17" t="n">
        <f aca="false">IF(D261="","",C261-D261)</f>
        <v>0</v>
      </c>
      <c r="F261" s="18" t="n">
        <f aca="false">IF(OR(D261="",D261=0),"",E261/D261)</f>
        <v>0</v>
      </c>
      <c r="G261" s="16" t="n">
        <v>127.09951</v>
      </c>
      <c r="H261" s="16" t="n">
        <v>0</v>
      </c>
      <c r="I261" s="16" t="n">
        <v>127.09951</v>
      </c>
      <c r="J261" s="17" t="n">
        <f aca="false">IF(I261="","",G261-I261)</f>
        <v>0</v>
      </c>
      <c r="K261" s="18" t="n">
        <f aca="false">IF(OR(I261="",I261=0),"",J261/I261)</f>
        <v>0</v>
      </c>
      <c r="L261" s="19" t="str">
        <f aca="false">IF(OR(D261="",I261=""),"No reported total for O&amp;M or depreciation",IF(AND(ABS(F261)&lt;=$D$2,ABS(K261)&lt;=$D$2),"Reconciles within tolerance","Outside tolerance"))</f>
        <v>Reconciles within tolerance</v>
      </c>
      <c r="M261" s="17" t="n">
        <f aca="false">IF(OR(E261="",LEFT(L261,8)="Excluded"),"",ABS(E261))</f>
        <v>0</v>
      </c>
    </row>
    <row r="262" customFormat="false" ht="15" hidden="false" customHeight="false" outlineLevel="0" collapsed="false">
      <c r="A262" s="7" t="n">
        <v>2007</v>
      </c>
      <c r="B262" s="12" t="s">
        <v>69</v>
      </c>
      <c r="C262" s="16" t="n">
        <v>862.277771</v>
      </c>
      <c r="D262" s="16" t="n">
        <v>862.277771</v>
      </c>
      <c r="E262" s="17" t="n">
        <f aca="false">IF(D262="","",C262-D262)</f>
        <v>0</v>
      </c>
      <c r="F262" s="18" t="n">
        <f aca="false">IF(OR(D262="",D262=0),"",E262/D262)</f>
        <v>0</v>
      </c>
      <c r="G262" s="16" t="n">
        <v>128.588466</v>
      </c>
      <c r="H262" s="16" t="n">
        <v>0</v>
      </c>
      <c r="I262" s="16" t="n">
        <v>128.588466</v>
      </c>
      <c r="J262" s="17" t="n">
        <f aca="false">IF(I262="","",G262-I262)</f>
        <v>0</v>
      </c>
      <c r="K262" s="18" t="n">
        <f aca="false">IF(OR(I262="",I262=0),"",J262/I262)</f>
        <v>0</v>
      </c>
      <c r="L262" s="19" t="str">
        <f aca="false">IF(OR(D262="",I262=""),"No reported total for O&amp;M or depreciation",IF(AND(ABS(F262)&lt;=$D$2,ABS(K262)&lt;=$D$2),"Reconciles within tolerance","Outside tolerance"))</f>
        <v>Reconciles within tolerance</v>
      </c>
      <c r="M262" s="17" t="n">
        <f aca="false">IF(OR(E262="",LEFT(L262,8)="Excluded"),"",ABS(E262))</f>
        <v>0</v>
      </c>
    </row>
    <row r="263" customFormat="false" ht="15" hidden="false" customHeight="false" outlineLevel="0" collapsed="false">
      <c r="A263" s="7" t="n">
        <v>2008</v>
      </c>
      <c r="B263" s="12" t="s">
        <v>69</v>
      </c>
      <c r="C263" s="16" t="n">
        <v>920.735296</v>
      </c>
      <c r="D263" s="16" t="n">
        <v>920.735296</v>
      </c>
      <c r="E263" s="17" t="n">
        <f aca="false">IF(D263="","",C263-D263)</f>
        <v>0</v>
      </c>
      <c r="F263" s="18" t="n">
        <f aca="false">IF(OR(D263="",D263=0),"",E263/D263)</f>
        <v>0</v>
      </c>
      <c r="G263" s="16" t="n">
        <v>115.235289</v>
      </c>
      <c r="H263" s="16" t="n">
        <v>0</v>
      </c>
      <c r="I263" s="16" t="n">
        <v>115.235289</v>
      </c>
      <c r="J263" s="17" t="n">
        <f aca="false">IF(I263="","",G263-I263)</f>
        <v>0</v>
      </c>
      <c r="K263" s="18" t="n">
        <f aca="false">IF(OR(I263="",I263=0),"",J263/I263)</f>
        <v>0</v>
      </c>
      <c r="L263" s="19" t="str">
        <f aca="false">IF(OR(D263="",I263=""),"No reported total for O&amp;M or depreciation",IF(AND(ABS(F263)&lt;=$D$2,ABS(K263)&lt;=$D$2),"Reconciles within tolerance","Outside tolerance"))</f>
        <v>Reconciles within tolerance</v>
      </c>
      <c r="M263" s="17" t="n">
        <f aca="false">IF(OR(E263="",LEFT(L263,8)="Excluded"),"",ABS(E263))</f>
        <v>0</v>
      </c>
    </row>
    <row r="264" customFormat="false" ht="15" hidden="false" customHeight="false" outlineLevel="0" collapsed="false">
      <c r="A264" s="7" t="n">
        <v>2009</v>
      </c>
      <c r="B264" s="12" t="s">
        <v>69</v>
      </c>
      <c r="C264" s="16" t="n">
        <v>969.298342</v>
      </c>
      <c r="D264" s="16" t="n">
        <v>969.298342</v>
      </c>
      <c r="E264" s="17" t="n">
        <f aca="false">IF(D264="","",C264-D264)</f>
        <v>0</v>
      </c>
      <c r="F264" s="18" t="n">
        <f aca="false">IF(OR(D264="",D264=0),"",E264/D264)</f>
        <v>0</v>
      </c>
      <c r="G264" s="16" t="n">
        <v>129.997037</v>
      </c>
      <c r="H264" s="16" t="n">
        <v>0</v>
      </c>
      <c r="I264" s="16" t="n">
        <v>129.997037</v>
      </c>
      <c r="J264" s="17" t="n">
        <f aca="false">IF(I264="","",G264-I264)</f>
        <v>0</v>
      </c>
      <c r="K264" s="18" t="n">
        <f aca="false">IF(OR(I264="",I264=0),"",J264/I264)</f>
        <v>0</v>
      </c>
      <c r="L264" s="19" t="str">
        <f aca="false">IF(OR(D264="",I264=""),"No reported total for O&amp;M or depreciation",IF(AND(ABS(F264)&lt;=$D$2,ABS(K264)&lt;=$D$2),"Reconciles within tolerance","Outside tolerance"))</f>
        <v>Reconciles within tolerance</v>
      </c>
      <c r="M264" s="17" t="n">
        <f aca="false">IF(OR(E264="",LEFT(L264,8)="Excluded"),"",ABS(E264))</f>
        <v>0</v>
      </c>
    </row>
    <row r="265" customFormat="false" ht="15" hidden="false" customHeight="false" outlineLevel="0" collapsed="false">
      <c r="A265" s="7" t="n">
        <v>2010</v>
      </c>
      <c r="B265" s="12" t="s">
        <v>69</v>
      </c>
      <c r="C265" s="16" t="n">
        <v>1030.296608</v>
      </c>
      <c r="D265" s="16" t="n">
        <v>1030.296608</v>
      </c>
      <c r="E265" s="17" t="n">
        <f aca="false">IF(D265="","",C265-D265)</f>
        <v>0</v>
      </c>
      <c r="F265" s="18" t="n">
        <f aca="false">IF(OR(D265="",D265=0),"",E265/D265)</f>
        <v>0</v>
      </c>
      <c r="G265" s="16" t="n">
        <v>155.346762</v>
      </c>
      <c r="H265" s="16" t="n">
        <v>0</v>
      </c>
      <c r="I265" s="16" t="n">
        <v>155.346762</v>
      </c>
      <c r="J265" s="17" t="n">
        <f aca="false">IF(I265="","",G265-I265)</f>
        <v>0</v>
      </c>
      <c r="K265" s="18" t="n">
        <f aca="false">IF(OR(I265="",I265=0),"",J265/I265)</f>
        <v>0</v>
      </c>
      <c r="L265" s="19" t="str">
        <f aca="false">IF(OR(D265="",I265=""),"No reported total for O&amp;M or depreciation",IF(AND(ABS(F265)&lt;=$D$2,ABS(K265)&lt;=$D$2),"Reconciles within tolerance","Outside tolerance"))</f>
        <v>Reconciles within tolerance</v>
      </c>
      <c r="M265" s="17" t="n">
        <f aca="false">IF(OR(E265="",LEFT(L265,8)="Excluded"),"",ABS(E265))</f>
        <v>0</v>
      </c>
    </row>
    <row r="266" customFormat="false" ht="15" hidden="false" customHeight="false" outlineLevel="0" collapsed="false">
      <c r="A266" s="7" t="n">
        <v>2011</v>
      </c>
      <c r="B266" s="12" t="s">
        <v>69</v>
      </c>
      <c r="C266" s="16" t="n">
        <v>1055.649679</v>
      </c>
      <c r="D266" s="16" t="n">
        <v>1055.649679</v>
      </c>
      <c r="E266" s="17" t="n">
        <f aca="false">IF(D266="","",C266-D266)</f>
        <v>0</v>
      </c>
      <c r="F266" s="18" t="n">
        <f aca="false">IF(OR(D266="",D266=0),"",E266/D266)</f>
        <v>0</v>
      </c>
      <c r="G266" s="16" t="n">
        <v>156.918378</v>
      </c>
      <c r="H266" s="16" t="n">
        <v>0</v>
      </c>
      <c r="I266" s="16" t="n">
        <v>156.918378</v>
      </c>
      <c r="J266" s="17" t="n">
        <f aca="false">IF(I266="","",G266-I266)</f>
        <v>0</v>
      </c>
      <c r="K266" s="18" t="n">
        <f aca="false">IF(OR(I266="",I266=0),"",J266/I266)</f>
        <v>0</v>
      </c>
      <c r="L266" s="19" t="str">
        <f aca="false">IF(OR(D266="",I266=""),"No reported total for O&amp;M or depreciation",IF(AND(ABS(F266)&lt;=$D$2,ABS(K266)&lt;=$D$2),"Reconciles within tolerance","Outside tolerance"))</f>
        <v>Reconciles within tolerance</v>
      </c>
      <c r="M266" s="17" t="n">
        <f aca="false">IF(OR(E266="",LEFT(L266,8)="Excluded"),"",ABS(E266))</f>
        <v>0</v>
      </c>
    </row>
    <row r="267" customFormat="false" ht="15" hidden="false" customHeight="false" outlineLevel="0" collapsed="false">
      <c r="A267" s="7" t="n">
        <v>2012</v>
      </c>
      <c r="B267" s="12" t="s">
        <v>69</v>
      </c>
      <c r="C267" s="16" t="n">
        <v>1013.996805</v>
      </c>
      <c r="D267" s="16" t="n">
        <v>1013.996805</v>
      </c>
      <c r="E267" s="17" t="n">
        <f aca="false">IF(D267="","",C267-D267)</f>
        <v>0</v>
      </c>
      <c r="F267" s="18" t="n">
        <f aca="false">IF(OR(D267="",D267=0),"",E267/D267)</f>
        <v>0</v>
      </c>
      <c r="G267" s="16" t="n">
        <v>166.550132</v>
      </c>
      <c r="H267" s="16" t="n">
        <v>0</v>
      </c>
      <c r="I267" s="16" t="n">
        <v>166.550132</v>
      </c>
      <c r="J267" s="17" t="n">
        <f aca="false">IF(I267="","",G267-I267)</f>
        <v>0</v>
      </c>
      <c r="K267" s="18" t="n">
        <f aca="false">IF(OR(I267="",I267=0),"",J267/I267)</f>
        <v>0</v>
      </c>
      <c r="L267" s="19" t="str">
        <f aca="false">IF(OR(D267="",I267=""),"No reported total for O&amp;M or depreciation",IF(AND(ABS(F267)&lt;=$D$2,ABS(K267)&lt;=$D$2),"Reconciles within tolerance","Outside tolerance"))</f>
        <v>Reconciles within tolerance</v>
      </c>
      <c r="M267" s="17" t="n">
        <f aca="false">IF(OR(E267="",LEFT(L267,8)="Excluded"),"",ABS(E267))</f>
        <v>0</v>
      </c>
    </row>
    <row r="268" customFormat="false" ht="15" hidden="false" customHeight="false" outlineLevel="0" collapsed="false">
      <c r="A268" s="7" t="n">
        <v>2013</v>
      </c>
      <c r="B268" s="12" t="s">
        <v>69</v>
      </c>
      <c r="C268" s="16" t="n">
        <v>1133.296795</v>
      </c>
      <c r="D268" s="16" t="n">
        <v>1133.296795</v>
      </c>
      <c r="E268" s="17" t="n">
        <f aca="false">IF(D268="","",C268-D268)</f>
        <v>0</v>
      </c>
      <c r="F268" s="18" t="n">
        <f aca="false">IF(OR(D268="",D268=0),"",E268/D268)</f>
        <v>0</v>
      </c>
      <c r="G268" s="16" t="n">
        <v>168.363571</v>
      </c>
      <c r="H268" s="16" t="n">
        <v>0</v>
      </c>
      <c r="I268" s="16" t="n">
        <v>168.363571</v>
      </c>
      <c r="J268" s="17" t="n">
        <f aca="false">IF(I268="","",G268-I268)</f>
        <v>0</v>
      </c>
      <c r="K268" s="18" t="n">
        <f aca="false">IF(OR(I268="",I268=0),"",J268/I268)</f>
        <v>0</v>
      </c>
      <c r="L268" s="19" t="str">
        <f aca="false">IF(OR(D268="",I268=""),"No reported total for O&amp;M or depreciation",IF(AND(ABS(F268)&lt;=$D$2,ABS(K268)&lt;=$D$2),"Reconciles within tolerance","Outside tolerance"))</f>
        <v>Reconciles within tolerance</v>
      </c>
      <c r="M268" s="17" t="n">
        <f aca="false">IF(OR(E268="",LEFT(L268,8)="Excluded"),"",ABS(E268))</f>
        <v>0</v>
      </c>
    </row>
    <row r="269" customFormat="false" ht="15" hidden="false" customHeight="false" outlineLevel="0" collapsed="false">
      <c r="A269" s="7" t="n">
        <v>2014</v>
      </c>
      <c r="B269" s="12" t="s">
        <v>69</v>
      </c>
      <c r="C269" s="16" t="n">
        <v>1119.722788</v>
      </c>
      <c r="D269" s="16" t="n">
        <v>1119.722788</v>
      </c>
      <c r="E269" s="17" t="n">
        <f aca="false">IF(D269="","",C269-D269)</f>
        <v>0</v>
      </c>
      <c r="F269" s="18" t="n">
        <f aca="false">IF(OR(D269="",D269=0),"",E269/D269)</f>
        <v>0</v>
      </c>
      <c r="G269" s="16" t="n">
        <v>175.087716</v>
      </c>
      <c r="H269" s="16" t="n">
        <v>0</v>
      </c>
      <c r="I269" s="16" t="n">
        <v>175.087716</v>
      </c>
      <c r="J269" s="17" t="n">
        <f aca="false">IF(I269="","",G269-I269)</f>
        <v>0</v>
      </c>
      <c r="K269" s="18" t="n">
        <f aca="false">IF(OR(I269="",I269=0),"",J269/I269)</f>
        <v>0</v>
      </c>
      <c r="L269" s="19" t="str">
        <f aca="false">IF(OR(D269="",I269=""),"No reported total for O&amp;M or depreciation",IF(AND(ABS(F269)&lt;=$D$2,ABS(K269)&lt;=$D$2),"Reconciles within tolerance","Outside tolerance"))</f>
        <v>Reconciles within tolerance</v>
      </c>
      <c r="M269" s="17" t="n">
        <f aca="false">IF(OR(E269="",LEFT(L269,8)="Excluded"),"",ABS(E269))</f>
        <v>0</v>
      </c>
    </row>
    <row r="270" customFormat="false" ht="15" hidden="false" customHeight="false" outlineLevel="0" collapsed="false">
      <c r="A270" s="7" t="n">
        <v>2015</v>
      </c>
      <c r="B270" s="12" t="s">
        <v>69</v>
      </c>
      <c r="C270" s="16" t="n">
        <v>1056.352959</v>
      </c>
      <c r="D270" s="16" t="n">
        <v>1056.352959</v>
      </c>
      <c r="E270" s="17" t="n">
        <f aca="false">IF(D270="","",C270-D270)</f>
        <v>0</v>
      </c>
      <c r="F270" s="18" t="n">
        <f aca="false">IF(OR(D270="",D270=0),"",E270/D270)</f>
        <v>0</v>
      </c>
      <c r="G270" s="16" t="n">
        <v>184.411897</v>
      </c>
      <c r="H270" s="16" t="n">
        <v>0</v>
      </c>
      <c r="I270" s="16" t="n">
        <v>184.411897</v>
      </c>
      <c r="J270" s="17" t="n">
        <f aca="false">IF(I270="","",G270-I270)</f>
        <v>0</v>
      </c>
      <c r="K270" s="18" t="n">
        <f aca="false">IF(OR(I270="",I270=0),"",J270/I270)</f>
        <v>0</v>
      </c>
      <c r="L270" s="19" t="str">
        <f aca="false">IF(OR(D270="",I270=""),"No reported total for O&amp;M or depreciation",IF(AND(ABS(F270)&lt;=$D$2,ABS(K270)&lt;=$D$2),"Reconciles within tolerance","Outside tolerance"))</f>
        <v>Reconciles within tolerance</v>
      </c>
      <c r="M270" s="17" t="n">
        <f aca="false">IF(OR(E270="",LEFT(L270,8)="Excluded"),"",ABS(E270))</f>
        <v>0</v>
      </c>
    </row>
    <row r="271" customFormat="false" ht="15" hidden="false" customHeight="false" outlineLevel="0" collapsed="false">
      <c r="A271" s="7" t="n">
        <v>2016</v>
      </c>
      <c r="B271" s="12" t="s">
        <v>69</v>
      </c>
      <c r="C271" s="16" t="n">
        <v>1094.323692</v>
      </c>
      <c r="D271" s="16" t="n">
        <v>1094.323692</v>
      </c>
      <c r="E271" s="17" t="n">
        <f aca="false">IF(D271="","",C271-D271)</f>
        <v>0</v>
      </c>
      <c r="F271" s="18" t="n">
        <f aca="false">IF(OR(D271="",D271=0),"",E271/D271)</f>
        <v>0</v>
      </c>
      <c r="G271" s="16" t="n">
        <v>188.53833</v>
      </c>
      <c r="H271" s="16" t="n">
        <v>0</v>
      </c>
      <c r="I271" s="16" t="n">
        <v>188.53833</v>
      </c>
      <c r="J271" s="17" t="n">
        <f aca="false">IF(I271="","",G271-I271)</f>
        <v>0</v>
      </c>
      <c r="K271" s="18" t="n">
        <f aca="false">IF(OR(I271="",I271=0),"",J271/I271)</f>
        <v>0</v>
      </c>
      <c r="L271" s="19" t="str">
        <f aca="false">IF(OR(D271="",I271=""),"No reported total for O&amp;M or depreciation",IF(AND(ABS(F271)&lt;=$D$2,ABS(K271)&lt;=$D$2),"Reconciles within tolerance","Outside tolerance"))</f>
        <v>Reconciles within tolerance</v>
      </c>
      <c r="M271" s="17" t="n">
        <f aca="false">IF(OR(E271="",LEFT(L271,8)="Excluded"),"",ABS(E271))</f>
        <v>0</v>
      </c>
    </row>
    <row r="272" customFormat="false" ht="15" hidden="false" customHeight="false" outlineLevel="0" collapsed="false">
      <c r="A272" s="7" t="n">
        <v>2017</v>
      </c>
      <c r="B272" s="12" t="s">
        <v>69</v>
      </c>
      <c r="C272" s="16" t="n">
        <v>1070.544036</v>
      </c>
      <c r="D272" s="16" t="n">
        <v>1070.544036</v>
      </c>
      <c r="E272" s="17" t="n">
        <f aca="false">IF(D272="","",C272-D272)</f>
        <v>0</v>
      </c>
      <c r="F272" s="18" t="n">
        <f aca="false">IF(OR(D272="",D272=0),"",E272/D272)</f>
        <v>0</v>
      </c>
      <c r="G272" s="16" t="n">
        <v>209.72884</v>
      </c>
      <c r="H272" s="16" t="n">
        <v>0</v>
      </c>
      <c r="I272" s="16" t="n">
        <v>209.72884</v>
      </c>
      <c r="J272" s="17" t="n">
        <f aca="false">IF(I272="","",G272-I272)</f>
        <v>0</v>
      </c>
      <c r="K272" s="18" t="n">
        <f aca="false">IF(OR(I272="",I272=0),"",J272/I272)</f>
        <v>0</v>
      </c>
      <c r="L272" s="19" t="str">
        <f aca="false">IF(OR(D272="",I272=""),"No reported total for O&amp;M or depreciation",IF(AND(ABS(F272)&lt;=$D$2,ABS(K272)&lt;=$D$2),"Reconciles within tolerance","Outside tolerance"))</f>
        <v>Reconciles within tolerance</v>
      </c>
      <c r="M272" s="17" t="n">
        <f aca="false">IF(OR(E272="",LEFT(L272,8)="Excluded"),"",ABS(E272))</f>
        <v>0</v>
      </c>
    </row>
    <row r="273" customFormat="false" ht="15" hidden="false" customHeight="false" outlineLevel="0" collapsed="false">
      <c r="A273" s="7" t="n">
        <v>2018</v>
      </c>
      <c r="B273" s="12" t="s">
        <v>69</v>
      </c>
      <c r="C273" s="16" t="n">
        <v>1120.317264</v>
      </c>
      <c r="D273" s="16" t="n">
        <v>1120.317264</v>
      </c>
      <c r="E273" s="17" t="n">
        <f aca="false">IF(D273="","",C273-D273)</f>
        <v>0</v>
      </c>
      <c r="F273" s="18" t="n">
        <f aca="false">IF(OR(D273="",D273=0),"",E273/D273)</f>
        <v>0</v>
      </c>
      <c r="G273" s="16" t="n">
        <v>245.031315</v>
      </c>
      <c r="H273" s="16" t="n">
        <v>0</v>
      </c>
      <c r="I273" s="16" t="n">
        <v>245.031315</v>
      </c>
      <c r="J273" s="17" t="n">
        <f aca="false">IF(I273="","",G273-I273)</f>
        <v>0</v>
      </c>
      <c r="K273" s="18" t="n">
        <f aca="false">IF(OR(I273="",I273=0),"",J273/I273)</f>
        <v>0</v>
      </c>
      <c r="L273" s="19" t="str">
        <f aca="false">IF(OR(D273="",I273=""),"No reported total for O&amp;M or depreciation",IF(AND(ABS(F273)&lt;=$D$2,ABS(K273)&lt;=$D$2),"Reconciles within tolerance","Outside tolerance"))</f>
        <v>Reconciles within tolerance</v>
      </c>
      <c r="M273" s="17" t="n">
        <f aca="false">IF(OR(E273="",LEFT(L273,8)="Excluded"),"",ABS(E273))</f>
        <v>0</v>
      </c>
    </row>
    <row r="274" customFormat="false" ht="15" hidden="false" customHeight="false" outlineLevel="0" collapsed="false">
      <c r="A274" s="7" t="n">
        <v>2019</v>
      </c>
      <c r="B274" s="12" t="s">
        <v>69</v>
      </c>
      <c r="C274" s="16" t="n">
        <v>1099.273429</v>
      </c>
      <c r="D274" s="16" t="n">
        <v>1099.273429</v>
      </c>
      <c r="E274" s="17" t="n">
        <f aca="false">IF(D274="","",C274-D274)</f>
        <v>0</v>
      </c>
      <c r="F274" s="18" t="n">
        <f aca="false">IF(OR(D274="",D274=0),"",E274/D274)</f>
        <v>0</v>
      </c>
      <c r="G274" s="16" t="n">
        <v>280.494682</v>
      </c>
      <c r="H274" s="16" t="n">
        <v>0</v>
      </c>
      <c r="I274" s="16" t="n">
        <v>280.494682</v>
      </c>
      <c r="J274" s="17" t="n">
        <f aca="false">IF(I274="","",G274-I274)</f>
        <v>0</v>
      </c>
      <c r="K274" s="18" t="n">
        <f aca="false">IF(OR(I274="",I274=0),"",J274/I274)</f>
        <v>0</v>
      </c>
      <c r="L274" s="19" t="str">
        <f aca="false">IF(OR(D274="",I274=""),"No reported total for O&amp;M or depreciation",IF(AND(ABS(F274)&lt;=$D$2,ABS(K274)&lt;=$D$2),"Reconciles within tolerance","Outside tolerance"))</f>
        <v>Reconciles within tolerance</v>
      </c>
      <c r="M274" s="17" t="n">
        <f aca="false">IF(OR(E274="",LEFT(L274,8)="Excluded"),"",ABS(E274))</f>
        <v>0</v>
      </c>
    </row>
    <row r="275" customFormat="false" ht="15" hidden="false" customHeight="false" outlineLevel="0" collapsed="false">
      <c r="A275" s="7" t="n">
        <v>2020</v>
      </c>
      <c r="B275" s="12" t="s">
        <v>69</v>
      </c>
      <c r="C275" s="16" t="n">
        <v>974.660622</v>
      </c>
      <c r="D275" s="16" t="n">
        <v>974.660622</v>
      </c>
      <c r="E275" s="17" t="n">
        <f aca="false">IF(D275="","",C275-D275)</f>
        <v>0</v>
      </c>
      <c r="F275" s="18" t="n">
        <f aca="false">IF(OR(D275="",D275=0),"",E275/D275)</f>
        <v>0</v>
      </c>
      <c r="G275" s="16" t="n">
        <v>304.725413</v>
      </c>
      <c r="H275" s="16" t="n">
        <v>0</v>
      </c>
      <c r="I275" s="16" t="n">
        <v>304.725413</v>
      </c>
      <c r="J275" s="17" t="n">
        <f aca="false">IF(I275="","",G275-I275)</f>
        <v>0</v>
      </c>
      <c r="K275" s="18" t="n">
        <f aca="false">IF(OR(I275="",I275=0),"",J275/I275)</f>
        <v>0</v>
      </c>
      <c r="L275" s="19" t="str">
        <f aca="false">IF(OR(D275="",I275=""),"No reported total for O&amp;M or depreciation",IF(AND(ABS(F275)&lt;=$D$2,ABS(K275)&lt;=$D$2),"Reconciles within tolerance","Outside tolerance"))</f>
        <v>Reconciles within tolerance</v>
      </c>
      <c r="M275" s="17" t="n">
        <f aca="false">IF(OR(E275="",LEFT(L275,8)="Excluded"),"",ABS(E275))</f>
        <v>0</v>
      </c>
    </row>
    <row r="276" customFormat="false" ht="15" hidden="false" customHeight="false" outlineLevel="0" collapsed="false">
      <c r="A276" s="7" t="n">
        <v>2021</v>
      </c>
      <c r="B276" s="12" t="s">
        <v>69</v>
      </c>
      <c r="C276" s="16" t="n">
        <v>964.702001</v>
      </c>
      <c r="D276" s="16" t="n">
        <v>964.702002</v>
      </c>
      <c r="E276" s="17" t="n">
        <f aca="false">IF(D276="","",C276-D276)</f>
        <v>-9.99999997475243E-007</v>
      </c>
      <c r="F276" s="18" t="n">
        <f aca="false">IF(OR(D276="",D276=0),"",E276/D276)</f>
        <v>-1.03658953272831E-009</v>
      </c>
      <c r="G276" s="16" t="n">
        <v>319.348809</v>
      </c>
      <c r="H276" s="16" t="n">
        <v>0</v>
      </c>
      <c r="I276" s="16" t="n">
        <v>319.348809</v>
      </c>
      <c r="J276" s="17" t="n">
        <f aca="false">IF(I276="","",G276-I276)</f>
        <v>0</v>
      </c>
      <c r="K276" s="18" t="n">
        <f aca="false">IF(OR(I276="",I276=0),"",J276/I276)</f>
        <v>0</v>
      </c>
      <c r="L276" s="19" t="str">
        <f aca="false">IF(OR(D276="",I276=""),"No reported total for O&amp;M or depreciation",IF(AND(ABS(F276)&lt;=$D$2,ABS(K276)&lt;=$D$2),"Reconciles within tolerance","Outside tolerance"))</f>
        <v>Reconciles within tolerance</v>
      </c>
      <c r="M276" s="17" t="n">
        <f aca="false">IF(OR(E276="",LEFT(L276,8)="Excluded"),"",ABS(E276))</f>
        <v>9.99999997475243E-007</v>
      </c>
    </row>
    <row r="277" customFormat="false" ht="15" hidden="false" customHeight="false" outlineLevel="0" collapsed="false">
      <c r="A277" s="7" t="n">
        <v>2022</v>
      </c>
      <c r="B277" s="12" t="s">
        <v>69</v>
      </c>
      <c r="C277" s="16" t="n">
        <v>1131.123672</v>
      </c>
      <c r="D277" s="16" t="n">
        <v>1131.123673</v>
      </c>
      <c r="E277" s="17" t="n">
        <f aca="false">IF(D277="","",C277-D277)</f>
        <v>-1.00000011116208E-006</v>
      </c>
      <c r="F277" s="18" t="n">
        <f aca="false">IF(OR(D277="",D277=0),"",E277/D277)</f>
        <v>-8.84076723909288E-010</v>
      </c>
      <c r="G277" s="16" t="n">
        <v>325.194955</v>
      </c>
      <c r="H277" s="16" t="n">
        <v>0</v>
      </c>
      <c r="I277" s="16" t="n">
        <v>325.194955</v>
      </c>
      <c r="J277" s="17" t="n">
        <f aca="false">IF(I277="","",G277-I277)</f>
        <v>0</v>
      </c>
      <c r="K277" s="18" t="n">
        <f aca="false">IF(OR(I277="",I277=0),"",J277/I277)</f>
        <v>0</v>
      </c>
      <c r="L277" s="19" t="str">
        <f aca="false">IF(OR(D277="",I277=""),"No reported total for O&amp;M or depreciation",IF(AND(ABS(F277)&lt;=$D$2,ABS(K277)&lt;=$D$2),"Reconciles within tolerance","Outside tolerance"))</f>
        <v>Reconciles within tolerance</v>
      </c>
      <c r="M277" s="17" t="n">
        <f aca="false">IF(OR(E277="",LEFT(L277,8)="Excluded"),"",ABS(E277))</f>
        <v>1.00000011116208E-006</v>
      </c>
    </row>
    <row r="278" customFormat="false" ht="15" hidden="false" customHeight="false" outlineLevel="0" collapsed="false">
      <c r="A278" s="7" t="n">
        <v>2023</v>
      </c>
      <c r="B278" s="12" t="s">
        <v>69</v>
      </c>
      <c r="C278" s="16" t="n">
        <v>996.748236</v>
      </c>
      <c r="D278" s="16" t="n">
        <v>996.748236</v>
      </c>
      <c r="E278" s="17" t="n">
        <f aca="false">IF(D278="","",C278-D278)</f>
        <v>0</v>
      </c>
      <c r="F278" s="18" t="n">
        <f aca="false">IF(OR(D278="",D278=0),"",E278/D278)</f>
        <v>0</v>
      </c>
      <c r="G278" s="16" t="n">
        <v>326.023849</v>
      </c>
      <c r="H278" s="16" t="n">
        <v>0</v>
      </c>
      <c r="I278" s="16" t="n">
        <v>326.023849</v>
      </c>
      <c r="J278" s="17" t="n">
        <f aca="false">IF(I278="","",G278-I278)</f>
        <v>0</v>
      </c>
      <c r="K278" s="18" t="n">
        <f aca="false">IF(OR(I278="",I278=0),"",J278/I278)</f>
        <v>0</v>
      </c>
      <c r="L278" s="19" t="str">
        <f aca="false">IF(OR(D278="",I278=""),"No reported total for O&amp;M or depreciation",IF(AND(ABS(F278)&lt;=$D$2,ABS(K278)&lt;=$D$2),"Reconciles within tolerance","Outside tolerance"))</f>
        <v>Reconciles within tolerance</v>
      </c>
      <c r="M278" s="17" t="n">
        <f aca="false">IF(OR(E278="",LEFT(L278,8)="Excluded"),"",ABS(E278))</f>
        <v>0</v>
      </c>
    </row>
    <row r="279" customFormat="false" ht="15" hidden="false" customHeight="false" outlineLevel="0" collapsed="false">
      <c r="A279" s="7" t="n">
        <v>2024</v>
      </c>
      <c r="B279" s="12" t="s">
        <v>69</v>
      </c>
      <c r="C279" s="16" t="n">
        <v>972.84344</v>
      </c>
      <c r="D279" s="16" t="n">
        <v>972.84344</v>
      </c>
      <c r="E279" s="17" t="n">
        <f aca="false">IF(D279="","",C279-D279)</f>
        <v>0</v>
      </c>
      <c r="F279" s="18" t="n">
        <f aca="false">IF(OR(D279="",D279=0),"",E279/D279)</f>
        <v>0</v>
      </c>
      <c r="G279" s="16" t="n">
        <v>350.995936</v>
      </c>
      <c r="H279" s="16" t="n">
        <v>0</v>
      </c>
      <c r="I279" s="16" t="n">
        <v>350.995936</v>
      </c>
      <c r="J279" s="17" t="n">
        <f aca="false">IF(I279="","",G279-I279)</f>
        <v>0</v>
      </c>
      <c r="K279" s="18" t="n">
        <f aca="false">IF(OR(I279="",I279=0),"",J279/I279)</f>
        <v>0</v>
      </c>
      <c r="L279" s="19" t="str">
        <f aca="false">IF(OR(D279="",I279=""),"No reported total for O&amp;M or depreciation",IF(AND(ABS(F279)&lt;=$D$2,ABS(K279)&lt;=$D$2),"Reconciles within tolerance","Outside tolerance"))</f>
        <v>Reconciles within tolerance</v>
      </c>
      <c r="M279" s="17" t="n">
        <f aca="false">IF(OR(E279="",LEFT(L279,8)="Excluded"),"",ABS(E279))</f>
        <v>0</v>
      </c>
    </row>
    <row r="280" customFormat="false" ht="15" hidden="false" customHeight="false" outlineLevel="0" collapsed="false">
      <c r="A280" s="7" t="n">
        <v>2025</v>
      </c>
      <c r="B280" s="12" t="s">
        <v>69</v>
      </c>
      <c r="C280" s="16" t="n">
        <v>1048.887147</v>
      </c>
      <c r="D280" s="16" t="n">
        <v>1048.887151</v>
      </c>
      <c r="E280" s="17" t="n">
        <f aca="false">IF(D280="","",C280-D280)</f>
        <v>-3.99999998990097E-006</v>
      </c>
      <c r="F280" s="18" t="n">
        <f aca="false">IF(OR(D280="",D280=0),"",E280/D280)</f>
        <v>-3.81356563104754E-009</v>
      </c>
      <c r="G280" s="16" t="n">
        <v>396.225251</v>
      </c>
      <c r="H280" s="16" t="n">
        <v>0</v>
      </c>
      <c r="I280" s="16" t="n">
        <v>396.225251</v>
      </c>
      <c r="J280" s="17" t="n">
        <f aca="false">IF(I280="","",G280-I280)</f>
        <v>0</v>
      </c>
      <c r="K280" s="18" t="n">
        <f aca="false">IF(OR(I280="",I280=0),"",J280/I280)</f>
        <v>0</v>
      </c>
      <c r="L280" s="19" t="str">
        <f aca="false">IF(OR(D280="",I280=""),"No reported total for O&amp;M or depreciation",IF(AND(ABS(F280)&lt;=$D$2,ABS(K280)&lt;=$D$2),"Reconciles within tolerance","Outside tolerance"))</f>
        <v>Reconciles within tolerance</v>
      </c>
      <c r="M280" s="17" t="n">
        <f aca="false">IF(OR(E280="",LEFT(L280,8)="Excluded"),"",ABS(E280))</f>
        <v>3.99999998990097E-006</v>
      </c>
    </row>
    <row r="281" customFormat="false" ht="15" hidden="false" customHeight="false" outlineLevel="0" collapsed="false">
      <c r="A281" s="7" t="n">
        <v>1995</v>
      </c>
      <c r="B281" s="12" t="s">
        <v>71</v>
      </c>
      <c r="C281" s="16" t="n">
        <v>90.361314</v>
      </c>
      <c r="D281" s="16" t="n">
        <v>90.361314</v>
      </c>
      <c r="E281" s="17" t="n">
        <f aca="false">IF(D281="","",C281-D281)</f>
        <v>0</v>
      </c>
      <c r="F281" s="18" t="n">
        <f aca="false">IF(OR(D281="",D281=0),"",E281/D281)</f>
        <v>0</v>
      </c>
      <c r="G281" s="16" t="n">
        <v>19.503244</v>
      </c>
      <c r="H281" s="16" t="n">
        <v>0</v>
      </c>
      <c r="I281" s="16" t="n">
        <v>19.503244</v>
      </c>
      <c r="J281" s="17" t="n">
        <f aca="false">IF(I281="","",G281-I281)</f>
        <v>0</v>
      </c>
      <c r="K281" s="18" t="n">
        <f aca="false">IF(OR(I281="",I281=0),"",J281/I281)</f>
        <v>0</v>
      </c>
      <c r="L281" s="19" t="str">
        <f aca="false">IF(OR(D281="",I281=""),"No reported total for O&amp;M or depreciation",IF(AND(ABS(F281)&lt;=$D$2,ABS(K281)&lt;=$D$2),"Reconciles within tolerance","Outside tolerance"))</f>
        <v>Reconciles within tolerance</v>
      </c>
      <c r="M281" s="17" t="n">
        <f aca="false">IF(OR(E281="",LEFT(L281,8)="Excluded"),"",ABS(E281))</f>
        <v>0</v>
      </c>
    </row>
    <row r="282" customFormat="false" ht="15" hidden="false" customHeight="false" outlineLevel="0" collapsed="false">
      <c r="A282" s="7" t="n">
        <v>1996</v>
      </c>
      <c r="B282" s="12" t="s">
        <v>71</v>
      </c>
      <c r="C282" s="16" t="n">
        <v>91.218344</v>
      </c>
      <c r="D282" s="16" t="n">
        <v>91.218344</v>
      </c>
      <c r="E282" s="17" t="n">
        <f aca="false">IF(D282="","",C282-D282)</f>
        <v>0</v>
      </c>
      <c r="F282" s="18" t="n">
        <f aca="false">IF(OR(D282="",D282=0),"",E282/D282)</f>
        <v>0</v>
      </c>
      <c r="G282" s="16" t="n">
        <v>20.094203</v>
      </c>
      <c r="H282" s="16" t="n">
        <v>0</v>
      </c>
      <c r="I282" s="16" t="n">
        <v>20.094203</v>
      </c>
      <c r="J282" s="17" t="n">
        <f aca="false">IF(I282="","",G282-I282)</f>
        <v>0</v>
      </c>
      <c r="K282" s="18" t="n">
        <f aca="false">IF(OR(I282="",I282=0),"",J282/I282)</f>
        <v>0</v>
      </c>
      <c r="L282" s="19" t="str">
        <f aca="false">IF(OR(D282="",I282=""),"No reported total for O&amp;M or depreciation",IF(AND(ABS(F282)&lt;=$D$2,ABS(K282)&lt;=$D$2),"Reconciles within tolerance","Outside tolerance"))</f>
        <v>Reconciles within tolerance</v>
      </c>
      <c r="M282" s="17" t="n">
        <f aca="false">IF(OR(E282="",LEFT(L282,8)="Excluded"),"",ABS(E282))</f>
        <v>0</v>
      </c>
    </row>
    <row r="283" customFormat="false" ht="15" hidden="false" customHeight="false" outlineLevel="0" collapsed="false">
      <c r="A283" s="7" t="n">
        <v>1997</v>
      </c>
      <c r="B283" s="12" t="s">
        <v>71</v>
      </c>
      <c r="C283" s="16" t="n">
        <v>101.199707</v>
      </c>
      <c r="D283" s="16" t="n">
        <v>101.199707</v>
      </c>
      <c r="E283" s="17" t="n">
        <f aca="false">IF(D283="","",C283-D283)</f>
        <v>0</v>
      </c>
      <c r="F283" s="18" t="n">
        <f aca="false">IF(OR(D283="",D283=0),"",E283/D283)</f>
        <v>0</v>
      </c>
      <c r="G283" s="16" t="n">
        <v>22.799091</v>
      </c>
      <c r="H283" s="16" t="n">
        <v>0</v>
      </c>
      <c r="I283" s="16" t="n">
        <v>22.799091</v>
      </c>
      <c r="J283" s="17" t="n">
        <f aca="false">IF(I283="","",G283-I283)</f>
        <v>0</v>
      </c>
      <c r="K283" s="18" t="n">
        <f aca="false">IF(OR(I283="",I283=0),"",J283/I283)</f>
        <v>0</v>
      </c>
      <c r="L283" s="19" t="str">
        <f aca="false">IF(OR(D283="",I283=""),"No reported total for O&amp;M or depreciation",IF(AND(ABS(F283)&lt;=$D$2,ABS(K283)&lt;=$D$2),"Reconciles within tolerance","Outside tolerance"))</f>
        <v>Reconciles within tolerance</v>
      </c>
      <c r="M283" s="17" t="n">
        <f aca="false">IF(OR(E283="",LEFT(L283,8)="Excluded"),"",ABS(E283))</f>
        <v>0</v>
      </c>
    </row>
    <row r="284" customFormat="false" ht="15" hidden="false" customHeight="false" outlineLevel="0" collapsed="false">
      <c r="A284" s="7" t="n">
        <v>1998</v>
      </c>
      <c r="B284" s="12" t="s">
        <v>71</v>
      </c>
      <c r="C284" s="16" t="n">
        <v>102.342597</v>
      </c>
      <c r="D284" s="16" t="n">
        <v>102.342597</v>
      </c>
      <c r="E284" s="17" t="n">
        <f aca="false">IF(D284="","",C284-D284)</f>
        <v>0</v>
      </c>
      <c r="F284" s="18" t="n">
        <f aca="false">IF(OR(D284="",D284=0),"",E284/D284)</f>
        <v>0</v>
      </c>
      <c r="G284" s="16" t="n">
        <v>27.585594</v>
      </c>
      <c r="H284" s="16" t="n">
        <v>0</v>
      </c>
      <c r="I284" s="16" t="n">
        <v>27.585594</v>
      </c>
      <c r="J284" s="17" t="n">
        <f aca="false">IF(I284="","",G284-I284)</f>
        <v>0</v>
      </c>
      <c r="K284" s="18" t="n">
        <f aca="false">IF(OR(I284="",I284=0),"",J284/I284)</f>
        <v>0</v>
      </c>
      <c r="L284" s="19" t="str">
        <f aca="false">IF(OR(D284="",I284=""),"No reported total for O&amp;M or depreciation",IF(AND(ABS(F284)&lt;=$D$2,ABS(K284)&lt;=$D$2),"Reconciles within tolerance","Outside tolerance"))</f>
        <v>Reconciles within tolerance</v>
      </c>
      <c r="M284" s="17" t="n">
        <f aca="false">IF(OR(E284="",LEFT(L284,8)="Excluded"),"",ABS(E284))</f>
        <v>0</v>
      </c>
    </row>
    <row r="285" customFormat="false" ht="15" hidden="false" customHeight="false" outlineLevel="0" collapsed="false">
      <c r="A285" s="7" t="n">
        <v>1999</v>
      </c>
      <c r="B285" s="12" t="s">
        <v>71</v>
      </c>
      <c r="C285" s="16" t="n">
        <v>115.577059</v>
      </c>
      <c r="D285" s="16" t="n">
        <v>115.577059</v>
      </c>
      <c r="E285" s="17" t="n">
        <f aca="false">IF(D285="","",C285-D285)</f>
        <v>0</v>
      </c>
      <c r="F285" s="18" t="n">
        <f aca="false">IF(OR(D285="",D285=0),"",E285/D285)</f>
        <v>0</v>
      </c>
      <c r="G285" s="16" t="n">
        <v>29.318208</v>
      </c>
      <c r="H285" s="16" t="n">
        <v>0</v>
      </c>
      <c r="I285" s="16" t="n">
        <v>29.318208</v>
      </c>
      <c r="J285" s="17" t="n">
        <f aca="false">IF(I285="","",G285-I285)</f>
        <v>0</v>
      </c>
      <c r="K285" s="18" t="n">
        <f aca="false">IF(OR(I285="",I285=0),"",J285/I285)</f>
        <v>0</v>
      </c>
      <c r="L285" s="19" t="str">
        <f aca="false">IF(OR(D285="",I285=""),"No reported total for O&amp;M or depreciation",IF(AND(ABS(F285)&lt;=$D$2,ABS(K285)&lt;=$D$2),"Reconciles within tolerance","Outside tolerance"))</f>
        <v>Reconciles within tolerance</v>
      </c>
      <c r="M285" s="17" t="n">
        <f aca="false">IF(OR(E285="",LEFT(L285,8)="Excluded"),"",ABS(E285))</f>
        <v>0</v>
      </c>
    </row>
    <row r="286" customFormat="false" ht="15" hidden="false" customHeight="false" outlineLevel="0" collapsed="false">
      <c r="A286" s="7" t="n">
        <v>2000</v>
      </c>
      <c r="B286" s="12" t="s">
        <v>71</v>
      </c>
      <c r="C286" s="16" t="n">
        <v>124.478072</v>
      </c>
      <c r="D286" s="16" t="n">
        <v>124.478072</v>
      </c>
      <c r="E286" s="17" t="n">
        <f aca="false">IF(D286="","",C286-D286)</f>
        <v>0</v>
      </c>
      <c r="F286" s="18" t="n">
        <f aca="false">IF(OR(D286="",D286=0),"",E286/D286)</f>
        <v>0</v>
      </c>
      <c r="G286" s="16" t="n">
        <v>29.136582</v>
      </c>
      <c r="H286" s="16" t="n">
        <v>0</v>
      </c>
      <c r="I286" s="16" t="n">
        <v>29.136582</v>
      </c>
      <c r="J286" s="17" t="n">
        <f aca="false">IF(I286="","",G286-I286)</f>
        <v>0</v>
      </c>
      <c r="K286" s="18" t="n">
        <f aca="false">IF(OR(I286="",I286=0),"",J286/I286)</f>
        <v>0</v>
      </c>
      <c r="L286" s="19" t="str">
        <f aca="false">IF(OR(D286="",I286=""),"No reported total for O&amp;M or depreciation",IF(AND(ABS(F286)&lt;=$D$2,ABS(K286)&lt;=$D$2),"Reconciles within tolerance","Outside tolerance"))</f>
        <v>Reconciles within tolerance</v>
      </c>
      <c r="M286" s="17" t="n">
        <f aca="false">IF(OR(E286="",LEFT(L286,8)="Excluded"),"",ABS(E286))</f>
        <v>0</v>
      </c>
    </row>
    <row r="287" customFormat="false" ht="15" hidden="false" customHeight="false" outlineLevel="0" collapsed="false">
      <c r="A287" s="7" t="n">
        <v>2001</v>
      </c>
      <c r="B287" s="12" t="s">
        <v>71</v>
      </c>
      <c r="C287" s="16" t="n">
        <v>129.401365</v>
      </c>
      <c r="D287" s="16" t="n">
        <v>129.401365</v>
      </c>
      <c r="E287" s="17" t="n">
        <f aca="false">IF(D287="","",C287-D287)</f>
        <v>0</v>
      </c>
      <c r="F287" s="18" t="n">
        <f aca="false">IF(OR(D287="",D287=0),"",E287/D287)</f>
        <v>0</v>
      </c>
      <c r="G287" s="16" t="n">
        <v>29.790738</v>
      </c>
      <c r="H287" s="16" t="n">
        <v>0</v>
      </c>
      <c r="I287" s="16" t="n">
        <v>29.790738</v>
      </c>
      <c r="J287" s="17" t="n">
        <f aca="false">IF(I287="","",G287-I287)</f>
        <v>0</v>
      </c>
      <c r="K287" s="18" t="n">
        <f aca="false">IF(OR(I287="",I287=0),"",J287/I287)</f>
        <v>0</v>
      </c>
      <c r="L287" s="19" t="str">
        <f aca="false">IF(OR(D287="",I287=""),"No reported total for O&amp;M or depreciation",IF(AND(ABS(F287)&lt;=$D$2,ABS(K287)&lt;=$D$2),"Reconciles within tolerance","Outside tolerance"))</f>
        <v>Reconciles within tolerance</v>
      </c>
      <c r="M287" s="17" t="n">
        <f aca="false">IF(OR(E287="",LEFT(L287,8)="Excluded"),"",ABS(E287))</f>
        <v>0</v>
      </c>
    </row>
    <row r="288" customFormat="false" ht="15" hidden="false" customHeight="false" outlineLevel="0" collapsed="false">
      <c r="A288" s="7" t="n">
        <v>2002</v>
      </c>
      <c r="B288" s="12" t="s">
        <v>71</v>
      </c>
      <c r="C288" s="16" t="n">
        <v>150.380639</v>
      </c>
      <c r="D288" s="16" t="n">
        <v>150.380639</v>
      </c>
      <c r="E288" s="17" t="n">
        <f aca="false">IF(D288="","",C288-D288)</f>
        <v>0</v>
      </c>
      <c r="F288" s="18" t="n">
        <f aca="false">IF(OR(D288="",D288=0),"",E288/D288)</f>
        <v>0</v>
      </c>
      <c r="G288" s="16" t="n">
        <v>23.07141</v>
      </c>
      <c r="H288" s="16" t="n">
        <v>0</v>
      </c>
      <c r="I288" s="16" t="n">
        <v>23.07141</v>
      </c>
      <c r="J288" s="17" t="n">
        <f aca="false">IF(I288="","",G288-I288)</f>
        <v>0</v>
      </c>
      <c r="K288" s="18" t="n">
        <f aca="false">IF(OR(I288="",I288=0),"",J288/I288)</f>
        <v>0</v>
      </c>
      <c r="L288" s="19" t="str">
        <f aca="false">IF(OR(D288="",I288=""),"No reported total for O&amp;M or depreciation",IF(AND(ABS(F288)&lt;=$D$2,ABS(K288)&lt;=$D$2),"Reconciles within tolerance","Outside tolerance"))</f>
        <v>Reconciles within tolerance</v>
      </c>
      <c r="M288" s="17" t="n">
        <f aca="false">IF(OR(E288="",LEFT(L288,8)="Excluded"),"",ABS(E288))</f>
        <v>0</v>
      </c>
    </row>
    <row r="289" customFormat="false" ht="15" hidden="false" customHeight="false" outlineLevel="0" collapsed="false">
      <c r="A289" s="7" t="n">
        <v>2003</v>
      </c>
      <c r="B289" s="12" t="s">
        <v>71</v>
      </c>
      <c r="C289" s="16" t="n">
        <v>174.851024</v>
      </c>
      <c r="D289" s="16" t="n">
        <v>174.851024</v>
      </c>
      <c r="E289" s="17" t="n">
        <f aca="false">IF(D289="","",C289-D289)</f>
        <v>0</v>
      </c>
      <c r="F289" s="18" t="n">
        <f aca="false">IF(OR(D289="",D289=0),"",E289/D289)</f>
        <v>0</v>
      </c>
      <c r="G289" s="16" t="n">
        <v>16.437374</v>
      </c>
      <c r="H289" s="16" t="n">
        <v>0</v>
      </c>
      <c r="I289" s="16" t="n">
        <v>16.437374</v>
      </c>
      <c r="J289" s="17" t="n">
        <f aca="false">IF(I289="","",G289-I289)</f>
        <v>0</v>
      </c>
      <c r="K289" s="18" t="n">
        <f aca="false">IF(OR(I289="",I289=0),"",J289/I289)</f>
        <v>0</v>
      </c>
      <c r="L289" s="19" t="str">
        <f aca="false">IF(OR(D289="",I289=""),"No reported total for O&amp;M or depreciation",IF(AND(ABS(F289)&lt;=$D$2,ABS(K289)&lt;=$D$2),"Reconciles within tolerance","Outside tolerance"))</f>
        <v>Reconciles within tolerance</v>
      </c>
      <c r="M289" s="17" t="n">
        <f aca="false">IF(OR(E289="",LEFT(L289,8)="Excluded"),"",ABS(E289))</f>
        <v>0</v>
      </c>
    </row>
    <row r="290" customFormat="false" ht="15" hidden="false" customHeight="false" outlineLevel="0" collapsed="false">
      <c r="A290" s="7" t="n">
        <v>2004</v>
      </c>
      <c r="B290" s="12" t="s">
        <v>71</v>
      </c>
      <c r="C290" s="16" t="n">
        <v>179.628073</v>
      </c>
      <c r="D290" s="16" t="n">
        <v>179.628073</v>
      </c>
      <c r="E290" s="17" t="n">
        <f aca="false">IF(D290="","",C290-D290)</f>
        <v>0</v>
      </c>
      <c r="F290" s="18" t="n">
        <f aca="false">IF(OR(D290="",D290=0),"",E290/D290)</f>
        <v>0</v>
      </c>
      <c r="G290" s="16" t="n">
        <v>17.52581</v>
      </c>
      <c r="H290" s="16" t="n">
        <v>0</v>
      </c>
      <c r="I290" s="16" t="n">
        <v>17.52581</v>
      </c>
      <c r="J290" s="17" t="n">
        <f aca="false">IF(I290="","",G290-I290)</f>
        <v>0</v>
      </c>
      <c r="K290" s="18" t="n">
        <f aca="false">IF(OR(I290="",I290=0),"",J290/I290)</f>
        <v>0</v>
      </c>
      <c r="L290" s="19" t="str">
        <f aca="false">IF(OR(D290="",I290=""),"No reported total for O&amp;M or depreciation",IF(AND(ABS(F290)&lt;=$D$2,ABS(K290)&lt;=$D$2),"Reconciles within tolerance","Outside tolerance"))</f>
        <v>Reconciles within tolerance</v>
      </c>
      <c r="M290" s="17" t="n">
        <f aca="false">IF(OR(E290="",LEFT(L290,8)="Excluded"),"",ABS(E290))</f>
        <v>0</v>
      </c>
    </row>
    <row r="291" customFormat="false" ht="15" hidden="false" customHeight="false" outlineLevel="0" collapsed="false">
      <c r="A291" s="7" t="n">
        <v>2005</v>
      </c>
      <c r="B291" s="12" t="s">
        <v>71</v>
      </c>
      <c r="C291" s="16" t="n">
        <v>236.694293</v>
      </c>
      <c r="D291" s="16" t="n">
        <v>236.694293</v>
      </c>
      <c r="E291" s="17" t="n">
        <f aca="false">IF(D291="","",C291-D291)</f>
        <v>0</v>
      </c>
      <c r="F291" s="18" t="n">
        <f aca="false">IF(OR(D291="",D291=0),"",E291/D291)</f>
        <v>0</v>
      </c>
      <c r="G291" s="16" t="n">
        <v>19.528101</v>
      </c>
      <c r="H291" s="16" t="n">
        <v>0</v>
      </c>
      <c r="I291" s="16" t="n">
        <v>19.528101</v>
      </c>
      <c r="J291" s="17" t="n">
        <f aca="false">IF(I291="","",G291-I291)</f>
        <v>0</v>
      </c>
      <c r="K291" s="18" t="n">
        <f aca="false">IF(OR(I291="",I291=0),"",J291/I291)</f>
        <v>0</v>
      </c>
      <c r="L291" s="19" t="str">
        <f aca="false">IF(OR(D291="",I291=""),"No reported total for O&amp;M or depreciation",IF(AND(ABS(F291)&lt;=$D$2,ABS(K291)&lt;=$D$2),"Reconciles within tolerance","Outside tolerance"))</f>
        <v>Reconciles within tolerance</v>
      </c>
      <c r="M291" s="17" t="n">
        <f aca="false">IF(OR(E291="",LEFT(L291,8)="Excluded"),"",ABS(E291))</f>
        <v>0</v>
      </c>
    </row>
    <row r="292" customFormat="false" ht="15" hidden="false" customHeight="false" outlineLevel="0" collapsed="false">
      <c r="A292" s="7" t="n">
        <v>2006</v>
      </c>
      <c r="B292" s="12" t="s">
        <v>71</v>
      </c>
      <c r="C292" s="16" t="n">
        <v>398.189022</v>
      </c>
      <c r="D292" s="16" t="n">
        <v>233.551468</v>
      </c>
      <c r="E292" s="17" t="n">
        <f aca="false">IF(D292="","",C292-D292)</f>
        <v>164.637554</v>
      </c>
      <c r="F292" s="18" t="n">
        <f aca="false">IF(OR(D292="",D292=0),"",E292/D292)</f>
        <v>0.70493050379799</v>
      </c>
      <c r="G292" s="16" t="n">
        <v>23.003845</v>
      </c>
      <c r="H292" s="16" t="n">
        <v>0</v>
      </c>
      <c r="I292" s="16" t="n">
        <v>23.003845</v>
      </c>
      <c r="J292" s="17" t="n">
        <f aca="false">IF(I292="","",G292-I292)</f>
        <v>0</v>
      </c>
      <c r="K292" s="18" t="n">
        <f aca="false">IF(OR(I292="",I292=0),"",J292/I292)</f>
        <v>0</v>
      </c>
      <c r="L292" s="12" t="s">
        <v>96</v>
      </c>
      <c r="M292" s="17" t="str">
        <f aca="false">IF(OR(E292="",LEFT(L292,8)="Excluded"),"",ABS(E292))</f>
        <v/>
      </c>
    </row>
    <row r="293" customFormat="false" ht="15" hidden="false" customHeight="false" outlineLevel="0" collapsed="false">
      <c r="A293" s="7" t="n">
        <v>2007</v>
      </c>
      <c r="B293" s="12" t="s">
        <v>71</v>
      </c>
      <c r="C293" s="16" t="n">
        <v>242.680043</v>
      </c>
      <c r="D293" s="16" t="n">
        <v>242.680043</v>
      </c>
      <c r="E293" s="17" t="n">
        <f aca="false">IF(D293="","",C293-D293)</f>
        <v>0</v>
      </c>
      <c r="F293" s="18" t="n">
        <f aca="false">IF(OR(D293="",D293=0),"",E293/D293)</f>
        <v>0</v>
      </c>
      <c r="G293" s="16" t="n">
        <v>23.672787</v>
      </c>
      <c r="H293" s="16" t="n">
        <v>0</v>
      </c>
      <c r="I293" s="16" t="n">
        <v>23.672787</v>
      </c>
      <c r="J293" s="17" t="n">
        <f aca="false">IF(I293="","",G293-I293)</f>
        <v>0</v>
      </c>
      <c r="K293" s="18" t="n">
        <f aca="false">IF(OR(I293="",I293=0),"",J293/I293)</f>
        <v>0</v>
      </c>
      <c r="L293" s="19" t="str">
        <f aca="false">IF(OR(D293="",I293=""),"No reported total for O&amp;M or depreciation",IF(AND(ABS(F293)&lt;=$D$2,ABS(K293)&lt;=$D$2),"Reconciles within tolerance","Outside tolerance"))</f>
        <v>Reconciles within tolerance</v>
      </c>
      <c r="M293" s="17" t="n">
        <f aca="false">IF(OR(E293="",LEFT(L293,8)="Excluded"),"",ABS(E293))</f>
        <v>0</v>
      </c>
    </row>
    <row r="294" customFormat="false" ht="15" hidden="false" customHeight="false" outlineLevel="0" collapsed="false">
      <c r="A294" s="7" t="n">
        <v>2008</v>
      </c>
      <c r="B294" s="12" t="s">
        <v>71</v>
      </c>
      <c r="C294" s="16" t="n">
        <v>262.276064</v>
      </c>
      <c r="D294" s="16" t="n">
        <v>262.276064</v>
      </c>
      <c r="E294" s="17" t="n">
        <f aca="false">IF(D294="","",C294-D294)</f>
        <v>0</v>
      </c>
      <c r="F294" s="18" t="n">
        <f aca="false">IF(OR(D294="",D294=0),"",E294/D294)</f>
        <v>0</v>
      </c>
      <c r="G294" s="16" t="n">
        <v>30.097864</v>
      </c>
      <c r="H294" s="16" t="n">
        <v>0</v>
      </c>
      <c r="I294" s="16" t="n">
        <v>30.097864</v>
      </c>
      <c r="J294" s="17" t="n">
        <f aca="false">IF(I294="","",G294-I294)</f>
        <v>0</v>
      </c>
      <c r="K294" s="18" t="n">
        <f aca="false">IF(OR(I294="",I294=0),"",J294/I294)</f>
        <v>0</v>
      </c>
      <c r="L294" s="19" t="str">
        <f aca="false">IF(OR(D294="",I294=""),"No reported total for O&amp;M or depreciation",IF(AND(ABS(F294)&lt;=$D$2,ABS(K294)&lt;=$D$2),"Reconciles within tolerance","Outside tolerance"))</f>
        <v>Reconciles within tolerance</v>
      </c>
      <c r="M294" s="17" t="n">
        <f aca="false">IF(OR(E294="",LEFT(L294,8)="Excluded"),"",ABS(E294))</f>
        <v>0</v>
      </c>
    </row>
    <row r="295" customFormat="false" ht="15" hidden="false" customHeight="false" outlineLevel="0" collapsed="false">
      <c r="A295" s="7" t="n">
        <v>2009</v>
      </c>
      <c r="B295" s="12" t="s">
        <v>71</v>
      </c>
      <c r="C295" s="16" t="n">
        <v>236.958367</v>
      </c>
      <c r="D295" s="16" t="n">
        <v>236.958367</v>
      </c>
      <c r="E295" s="17" t="n">
        <f aca="false">IF(D295="","",C295-D295)</f>
        <v>0</v>
      </c>
      <c r="F295" s="18" t="n">
        <f aca="false">IF(OR(D295="",D295=0),"",E295/D295)</f>
        <v>0</v>
      </c>
      <c r="G295" s="16" t="n">
        <v>31.523378</v>
      </c>
      <c r="H295" s="16" t="n">
        <v>0</v>
      </c>
      <c r="I295" s="16" t="n">
        <v>31.523378</v>
      </c>
      <c r="J295" s="17" t="n">
        <f aca="false">IF(I295="","",G295-I295)</f>
        <v>0</v>
      </c>
      <c r="K295" s="18" t="n">
        <f aca="false">IF(OR(I295="",I295=0),"",J295/I295)</f>
        <v>0</v>
      </c>
      <c r="L295" s="19" t="str">
        <f aca="false">IF(OR(D295="",I295=""),"No reported total for O&amp;M or depreciation",IF(AND(ABS(F295)&lt;=$D$2,ABS(K295)&lt;=$D$2),"Reconciles within tolerance","Outside tolerance"))</f>
        <v>Reconciles within tolerance</v>
      </c>
      <c r="M295" s="17" t="n">
        <f aca="false">IF(OR(E295="",LEFT(L295,8)="Excluded"),"",ABS(E295))</f>
        <v>0</v>
      </c>
    </row>
    <row r="296" customFormat="false" ht="15" hidden="false" customHeight="false" outlineLevel="0" collapsed="false">
      <c r="A296" s="7" t="n">
        <v>2010</v>
      </c>
      <c r="B296" s="12" t="s">
        <v>71</v>
      </c>
      <c r="C296" s="16" t="n">
        <v>242.811904</v>
      </c>
      <c r="D296" s="16" t="n">
        <v>242.811904</v>
      </c>
      <c r="E296" s="17" t="n">
        <f aca="false">IF(D296="","",C296-D296)</f>
        <v>0</v>
      </c>
      <c r="F296" s="18" t="n">
        <f aca="false">IF(OR(D296="",D296=0),"",E296/D296)</f>
        <v>0</v>
      </c>
      <c r="G296" s="16" t="n">
        <v>32.722682</v>
      </c>
      <c r="H296" s="16" t="n">
        <v>0</v>
      </c>
      <c r="I296" s="16" t="n">
        <v>32.722682</v>
      </c>
      <c r="J296" s="17" t="n">
        <f aca="false">IF(I296="","",G296-I296)</f>
        <v>0</v>
      </c>
      <c r="K296" s="18" t="n">
        <f aca="false">IF(OR(I296="",I296=0),"",J296/I296)</f>
        <v>0</v>
      </c>
      <c r="L296" s="19" t="str">
        <f aca="false">IF(OR(D296="",I296=""),"No reported total for O&amp;M or depreciation",IF(AND(ABS(F296)&lt;=$D$2,ABS(K296)&lt;=$D$2),"Reconciles within tolerance","Outside tolerance"))</f>
        <v>Reconciles within tolerance</v>
      </c>
      <c r="M296" s="17" t="n">
        <f aca="false">IF(OR(E296="",LEFT(L296,8)="Excluded"),"",ABS(E296))</f>
        <v>0</v>
      </c>
    </row>
    <row r="297" customFormat="false" ht="15" hidden="false" customHeight="false" outlineLevel="0" collapsed="false">
      <c r="A297" s="7" t="n">
        <v>2011</v>
      </c>
      <c r="B297" s="12" t="s">
        <v>71</v>
      </c>
      <c r="C297" s="16" t="n">
        <v>243.18228</v>
      </c>
      <c r="D297" s="16" t="n">
        <v>243.18228</v>
      </c>
      <c r="E297" s="17" t="n">
        <f aca="false">IF(D297="","",C297-D297)</f>
        <v>0</v>
      </c>
      <c r="F297" s="18" t="n">
        <f aca="false">IF(OR(D297="",D297=0),"",E297/D297)</f>
        <v>0</v>
      </c>
      <c r="G297" s="16" t="n">
        <v>35.349183</v>
      </c>
      <c r="H297" s="16" t="n">
        <v>0</v>
      </c>
      <c r="I297" s="16" t="n">
        <v>35.349183</v>
      </c>
      <c r="J297" s="17" t="n">
        <f aca="false">IF(I297="","",G297-I297)</f>
        <v>0</v>
      </c>
      <c r="K297" s="18" t="n">
        <f aca="false">IF(OR(I297="",I297=0),"",J297/I297)</f>
        <v>0</v>
      </c>
      <c r="L297" s="19" t="str">
        <f aca="false">IF(OR(D297="",I297=""),"No reported total for O&amp;M or depreciation",IF(AND(ABS(F297)&lt;=$D$2,ABS(K297)&lt;=$D$2),"Reconciles within tolerance","Outside tolerance"))</f>
        <v>Reconciles within tolerance</v>
      </c>
      <c r="M297" s="17" t="n">
        <f aca="false">IF(OR(E297="",LEFT(L297,8)="Excluded"),"",ABS(E297))</f>
        <v>0</v>
      </c>
    </row>
    <row r="298" customFormat="false" ht="15" hidden="false" customHeight="false" outlineLevel="0" collapsed="false">
      <c r="A298" s="7" t="n">
        <v>2012</v>
      </c>
      <c r="B298" s="12" t="s">
        <v>71</v>
      </c>
      <c r="C298" s="16" t="n">
        <v>254.308774</v>
      </c>
      <c r="D298" s="16" t="n">
        <v>254.308774</v>
      </c>
      <c r="E298" s="17" t="n">
        <f aca="false">IF(D298="","",C298-D298)</f>
        <v>0</v>
      </c>
      <c r="F298" s="18" t="n">
        <f aca="false">IF(OR(D298="",D298=0),"",E298/D298)</f>
        <v>0</v>
      </c>
      <c r="G298" s="16" t="n">
        <v>33.138369</v>
      </c>
      <c r="H298" s="16" t="n">
        <v>0</v>
      </c>
      <c r="I298" s="16" t="n">
        <v>33.138369</v>
      </c>
      <c r="J298" s="17" t="n">
        <f aca="false">IF(I298="","",G298-I298)</f>
        <v>0</v>
      </c>
      <c r="K298" s="18" t="n">
        <f aca="false">IF(OR(I298="",I298=0),"",J298/I298)</f>
        <v>0</v>
      </c>
      <c r="L298" s="19" t="str">
        <f aca="false">IF(OR(D298="",I298=""),"No reported total for O&amp;M or depreciation",IF(AND(ABS(F298)&lt;=$D$2,ABS(K298)&lt;=$D$2),"Reconciles within tolerance","Outside tolerance"))</f>
        <v>Reconciles within tolerance</v>
      </c>
      <c r="M298" s="17" t="n">
        <f aca="false">IF(OR(E298="",LEFT(L298,8)="Excluded"),"",ABS(E298))</f>
        <v>0</v>
      </c>
    </row>
    <row r="299" customFormat="false" ht="15" hidden="false" customHeight="false" outlineLevel="0" collapsed="false">
      <c r="A299" s="7" t="n">
        <v>2013</v>
      </c>
      <c r="B299" s="12" t="s">
        <v>71</v>
      </c>
      <c r="C299" s="16" t="n">
        <v>263.109821</v>
      </c>
      <c r="D299" s="16" t="n">
        <v>263.109821</v>
      </c>
      <c r="E299" s="17" t="n">
        <f aca="false">IF(D299="","",C299-D299)</f>
        <v>0</v>
      </c>
      <c r="F299" s="18" t="n">
        <f aca="false">IF(OR(D299="",D299=0),"",E299/D299)</f>
        <v>0</v>
      </c>
      <c r="G299" s="16" t="n">
        <v>32.936018</v>
      </c>
      <c r="H299" s="16" t="n">
        <v>0</v>
      </c>
      <c r="I299" s="16" t="n">
        <v>32.936018</v>
      </c>
      <c r="J299" s="17" t="n">
        <f aca="false">IF(I299="","",G299-I299)</f>
        <v>0</v>
      </c>
      <c r="K299" s="18" t="n">
        <f aca="false">IF(OR(I299="",I299=0),"",J299/I299)</f>
        <v>0</v>
      </c>
      <c r="L299" s="19" t="str">
        <f aca="false">IF(OR(D299="",I299=""),"No reported total for O&amp;M or depreciation",IF(AND(ABS(F299)&lt;=$D$2,ABS(K299)&lt;=$D$2),"Reconciles within tolerance","Outside tolerance"))</f>
        <v>Reconciles within tolerance</v>
      </c>
      <c r="M299" s="17" t="n">
        <f aca="false">IF(OR(E299="",LEFT(L299,8)="Excluded"),"",ABS(E299))</f>
        <v>0</v>
      </c>
    </row>
    <row r="300" customFormat="false" ht="15" hidden="false" customHeight="false" outlineLevel="0" collapsed="false">
      <c r="A300" s="7" t="n">
        <v>2014</v>
      </c>
      <c r="B300" s="12" t="s">
        <v>71</v>
      </c>
      <c r="C300" s="16" t="n">
        <v>242.128921</v>
      </c>
      <c r="D300" s="16" t="n">
        <v>242.128921</v>
      </c>
      <c r="E300" s="17" t="n">
        <f aca="false">IF(D300="","",C300-D300)</f>
        <v>0</v>
      </c>
      <c r="F300" s="18" t="n">
        <f aca="false">IF(OR(D300="",D300=0),"",E300/D300)</f>
        <v>0</v>
      </c>
      <c r="G300" s="16" t="n">
        <v>34.340443</v>
      </c>
      <c r="H300" s="16" t="n">
        <v>0</v>
      </c>
      <c r="I300" s="16" t="n">
        <v>34.340443</v>
      </c>
      <c r="J300" s="17" t="n">
        <f aca="false">IF(I300="","",G300-I300)</f>
        <v>0</v>
      </c>
      <c r="K300" s="18" t="n">
        <f aca="false">IF(OR(I300="",I300=0),"",J300/I300)</f>
        <v>0</v>
      </c>
      <c r="L300" s="19" t="str">
        <f aca="false">IF(OR(D300="",I300=""),"No reported total for O&amp;M or depreciation",IF(AND(ABS(F300)&lt;=$D$2,ABS(K300)&lt;=$D$2),"Reconciles within tolerance","Outside tolerance"))</f>
        <v>Reconciles within tolerance</v>
      </c>
      <c r="M300" s="17" t="n">
        <f aca="false">IF(OR(E300="",LEFT(L300,8)="Excluded"),"",ABS(E300))</f>
        <v>0</v>
      </c>
    </row>
    <row r="301" customFormat="false" ht="15" hidden="false" customHeight="false" outlineLevel="0" collapsed="false">
      <c r="A301" s="7" t="n">
        <v>2015</v>
      </c>
      <c r="B301" s="12" t="s">
        <v>71</v>
      </c>
      <c r="C301" s="16" t="n">
        <v>266.375824</v>
      </c>
      <c r="D301" s="16" t="n">
        <v>266.375824</v>
      </c>
      <c r="E301" s="17" t="n">
        <f aca="false">IF(D301="","",C301-D301)</f>
        <v>0</v>
      </c>
      <c r="F301" s="18" t="n">
        <f aca="false">IF(OR(D301="",D301=0),"",E301/D301)</f>
        <v>0</v>
      </c>
      <c r="G301" s="16" t="n">
        <v>37.419942</v>
      </c>
      <c r="H301" s="16" t="n">
        <v>0</v>
      </c>
      <c r="I301" s="16" t="n">
        <v>37.419942</v>
      </c>
      <c r="J301" s="17" t="n">
        <f aca="false">IF(I301="","",G301-I301)</f>
        <v>0</v>
      </c>
      <c r="K301" s="18" t="n">
        <f aca="false">IF(OR(I301="",I301=0),"",J301/I301)</f>
        <v>0</v>
      </c>
      <c r="L301" s="19" t="str">
        <f aca="false">IF(OR(D301="",I301=""),"No reported total for O&amp;M or depreciation",IF(AND(ABS(F301)&lt;=$D$2,ABS(K301)&lt;=$D$2),"Reconciles within tolerance","Outside tolerance"))</f>
        <v>Reconciles within tolerance</v>
      </c>
      <c r="M301" s="17" t="n">
        <f aca="false">IF(OR(E301="",LEFT(L301,8)="Excluded"),"",ABS(E301))</f>
        <v>0</v>
      </c>
    </row>
    <row r="302" customFormat="false" ht="15" hidden="false" customHeight="false" outlineLevel="0" collapsed="false">
      <c r="A302" s="7" t="n">
        <v>2016</v>
      </c>
      <c r="B302" s="12" t="s">
        <v>71</v>
      </c>
      <c r="C302" s="16" t="n">
        <v>254.311903</v>
      </c>
      <c r="D302" s="16" t="n">
        <v>254.311903</v>
      </c>
      <c r="E302" s="17" t="n">
        <f aca="false">IF(D302="","",C302-D302)</f>
        <v>0</v>
      </c>
      <c r="F302" s="18" t="n">
        <f aca="false">IF(OR(D302="",D302=0),"",E302/D302)</f>
        <v>0</v>
      </c>
      <c r="G302" s="16" t="n">
        <v>36.494426</v>
      </c>
      <c r="H302" s="16" t="n">
        <v>0</v>
      </c>
      <c r="I302" s="16" t="n">
        <v>36.494426</v>
      </c>
      <c r="J302" s="17" t="n">
        <f aca="false">IF(I302="","",G302-I302)</f>
        <v>0</v>
      </c>
      <c r="K302" s="18" t="n">
        <f aca="false">IF(OR(I302="",I302=0),"",J302/I302)</f>
        <v>0</v>
      </c>
      <c r="L302" s="19" t="str">
        <f aca="false">IF(OR(D302="",I302=""),"No reported total for O&amp;M or depreciation",IF(AND(ABS(F302)&lt;=$D$2,ABS(K302)&lt;=$D$2),"Reconciles within tolerance","Outside tolerance"))</f>
        <v>Reconciles within tolerance</v>
      </c>
      <c r="M302" s="17" t="n">
        <f aca="false">IF(OR(E302="",LEFT(L302,8)="Excluded"),"",ABS(E302))</f>
        <v>0</v>
      </c>
    </row>
    <row r="303" customFormat="false" ht="15" hidden="false" customHeight="false" outlineLevel="0" collapsed="false">
      <c r="A303" s="7" t="n">
        <v>2017</v>
      </c>
      <c r="B303" s="12" t="s">
        <v>71</v>
      </c>
      <c r="C303" s="16" t="n">
        <v>251.6214</v>
      </c>
      <c r="D303" s="16" t="n">
        <v>251.6214</v>
      </c>
      <c r="E303" s="17" t="n">
        <f aca="false">IF(D303="","",C303-D303)</f>
        <v>0</v>
      </c>
      <c r="F303" s="18" t="n">
        <f aca="false">IF(OR(D303="",D303=0),"",E303/D303)</f>
        <v>0</v>
      </c>
      <c r="G303" s="16" t="n">
        <v>44.07651</v>
      </c>
      <c r="H303" s="16" t="n">
        <v>0</v>
      </c>
      <c r="I303" s="16" t="n">
        <v>44.07651</v>
      </c>
      <c r="J303" s="17" t="n">
        <f aca="false">IF(I303="","",G303-I303)</f>
        <v>0</v>
      </c>
      <c r="K303" s="18" t="n">
        <f aca="false">IF(OR(I303="",I303=0),"",J303/I303)</f>
        <v>0</v>
      </c>
      <c r="L303" s="19" t="str">
        <f aca="false">IF(OR(D303="",I303=""),"No reported total for O&amp;M or depreciation",IF(AND(ABS(F303)&lt;=$D$2,ABS(K303)&lt;=$D$2),"Reconciles within tolerance","Outside tolerance"))</f>
        <v>Reconciles within tolerance</v>
      </c>
      <c r="M303" s="17" t="n">
        <f aca="false">IF(OR(E303="",LEFT(L303,8)="Excluded"),"",ABS(E303))</f>
        <v>0</v>
      </c>
    </row>
    <row r="304" customFormat="false" ht="15" hidden="false" customHeight="false" outlineLevel="0" collapsed="false">
      <c r="A304" s="7" t="n">
        <v>2018</v>
      </c>
      <c r="B304" s="12" t="s">
        <v>71</v>
      </c>
      <c r="C304" s="16" t="n">
        <v>245.734712</v>
      </c>
      <c r="D304" s="16" t="n">
        <v>245.734712</v>
      </c>
      <c r="E304" s="17" t="n">
        <f aca="false">IF(D304="","",C304-D304)</f>
        <v>0</v>
      </c>
      <c r="F304" s="18" t="n">
        <f aca="false">IF(OR(D304="",D304=0),"",E304/D304)</f>
        <v>0</v>
      </c>
      <c r="G304" s="16" t="n">
        <v>46.312936</v>
      </c>
      <c r="H304" s="16" t="n">
        <v>0</v>
      </c>
      <c r="I304" s="16" t="n">
        <v>46.312936</v>
      </c>
      <c r="J304" s="17" t="n">
        <f aca="false">IF(I304="","",G304-I304)</f>
        <v>0</v>
      </c>
      <c r="K304" s="18" t="n">
        <f aca="false">IF(OR(I304="",I304=0),"",J304/I304)</f>
        <v>0</v>
      </c>
      <c r="L304" s="19" t="str">
        <f aca="false">IF(OR(D304="",I304=""),"No reported total for O&amp;M or depreciation",IF(AND(ABS(F304)&lt;=$D$2,ABS(K304)&lt;=$D$2),"Reconciles within tolerance","Outside tolerance"))</f>
        <v>Reconciles within tolerance</v>
      </c>
      <c r="M304" s="17" t="n">
        <f aca="false">IF(OR(E304="",LEFT(L304,8)="Excluded"),"",ABS(E304))</f>
        <v>0</v>
      </c>
    </row>
    <row r="305" customFormat="false" ht="15" hidden="false" customHeight="false" outlineLevel="0" collapsed="false">
      <c r="A305" s="7" t="n">
        <v>2019</v>
      </c>
      <c r="B305" s="12" t="s">
        <v>71</v>
      </c>
      <c r="C305" s="16" t="n">
        <v>242.520106</v>
      </c>
      <c r="D305" s="16" t="n">
        <v>242.520106</v>
      </c>
      <c r="E305" s="17" t="n">
        <f aca="false">IF(D305="","",C305-D305)</f>
        <v>0</v>
      </c>
      <c r="F305" s="18" t="n">
        <f aca="false">IF(OR(D305="",D305=0),"",E305/D305)</f>
        <v>0</v>
      </c>
      <c r="G305" s="16" t="n">
        <v>59.605654</v>
      </c>
      <c r="H305" s="16" t="n">
        <v>0</v>
      </c>
      <c r="I305" s="16" t="n">
        <v>59.605654</v>
      </c>
      <c r="J305" s="17" t="n">
        <f aca="false">IF(I305="","",G305-I305)</f>
        <v>0</v>
      </c>
      <c r="K305" s="18" t="n">
        <f aca="false">IF(OR(I305="",I305=0),"",J305/I305)</f>
        <v>0</v>
      </c>
      <c r="L305" s="19" t="str">
        <f aca="false">IF(OR(D305="",I305=""),"No reported total for O&amp;M or depreciation",IF(AND(ABS(F305)&lt;=$D$2,ABS(K305)&lt;=$D$2),"Reconciles within tolerance","Outside tolerance"))</f>
        <v>Reconciles within tolerance</v>
      </c>
      <c r="M305" s="17" t="n">
        <f aca="false">IF(OR(E305="",LEFT(L305,8)="Excluded"),"",ABS(E305))</f>
        <v>0</v>
      </c>
    </row>
    <row r="306" customFormat="false" ht="15" hidden="false" customHeight="false" outlineLevel="0" collapsed="false">
      <c r="A306" s="7" t="n">
        <v>2020</v>
      </c>
      <c r="B306" s="12" t="s">
        <v>71</v>
      </c>
      <c r="C306" s="16" t="n">
        <v>226.064699</v>
      </c>
      <c r="D306" s="16" t="n">
        <v>226.064699</v>
      </c>
      <c r="E306" s="17" t="n">
        <f aca="false">IF(D306="","",C306-D306)</f>
        <v>0</v>
      </c>
      <c r="F306" s="18" t="n">
        <f aca="false">IF(OR(D306="",D306=0),"",E306/D306)</f>
        <v>0</v>
      </c>
      <c r="G306" s="16" t="n">
        <v>61.632529</v>
      </c>
      <c r="H306" s="16" t="n">
        <v>0</v>
      </c>
      <c r="I306" s="16" t="n">
        <v>61.632529</v>
      </c>
      <c r="J306" s="17" t="n">
        <f aca="false">IF(I306="","",G306-I306)</f>
        <v>0</v>
      </c>
      <c r="K306" s="18" t="n">
        <f aca="false">IF(OR(I306="",I306=0),"",J306/I306)</f>
        <v>0</v>
      </c>
      <c r="L306" s="19" t="str">
        <f aca="false">IF(OR(D306="",I306=""),"No reported total for O&amp;M or depreciation",IF(AND(ABS(F306)&lt;=$D$2,ABS(K306)&lt;=$D$2),"Reconciles within tolerance","Outside tolerance"))</f>
        <v>Reconciles within tolerance</v>
      </c>
      <c r="M306" s="17" t="n">
        <f aca="false">IF(OR(E306="",LEFT(L306,8)="Excluded"),"",ABS(E306))</f>
        <v>0</v>
      </c>
    </row>
    <row r="307" customFormat="false" ht="15" hidden="false" customHeight="false" outlineLevel="0" collapsed="false">
      <c r="A307" s="7" t="n">
        <v>2021</v>
      </c>
      <c r="B307" s="12" t="s">
        <v>71</v>
      </c>
      <c r="C307" s="16" t="n">
        <v>251.993653</v>
      </c>
      <c r="D307" s="16" t="n">
        <v>251.993653</v>
      </c>
      <c r="E307" s="17" t="n">
        <f aca="false">IF(D307="","",C307-D307)</f>
        <v>0</v>
      </c>
      <c r="F307" s="18" t="n">
        <f aca="false">IF(OR(D307="",D307=0),"",E307/D307)</f>
        <v>0</v>
      </c>
      <c r="G307" s="16" t="n">
        <v>63.798179</v>
      </c>
      <c r="H307" s="16" t="n">
        <v>0</v>
      </c>
      <c r="I307" s="16" t="n">
        <v>63.798179</v>
      </c>
      <c r="J307" s="17" t="n">
        <f aca="false">IF(I307="","",G307-I307)</f>
        <v>0</v>
      </c>
      <c r="K307" s="18" t="n">
        <f aca="false">IF(OR(I307="",I307=0),"",J307/I307)</f>
        <v>0</v>
      </c>
      <c r="L307" s="19" t="str">
        <f aca="false">IF(OR(D307="",I307=""),"No reported total for O&amp;M or depreciation",IF(AND(ABS(F307)&lt;=$D$2,ABS(K307)&lt;=$D$2),"Reconciles within tolerance","Outside tolerance"))</f>
        <v>Reconciles within tolerance</v>
      </c>
      <c r="M307" s="17" t="n">
        <f aca="false">IF(OR(E307="",LEFT(L307,8)="Excluded"),"",ABS(E307))</f>
        <v>0</v>
      </c>
    </row>
    <row r="308" customFormat="false" ht="15" hidden="false" customHeight="false" outlineLevel="0" collapsed="false">
      <c r="A308" s="7" t="n">
        <v>2022</v>
      </c>
      <c r="B308" s="12" t="s">
        <v>71</v>
      </c>
      <c r="C308" s="16" t="n">
        <v>272.114385</v>
      </c>
      <c r="D308" s="16" t="n">
        <v>272.114385</v>
      </c>
      <c r="E308" s="17" t="n">
        <f aca="false">IF(D308="","",C308-D308)</f>
        <v>0</v>
      </c>
      <c r="F308" s="18" t="n">
        <f aca="false">IF(OR(D308="",D308=0),"",E308/D308)</f>
        <v>0</v>
      </c>
      <c r="G308" s="16" t="n">
        <v>70.399746</v>
      </c>
      <c r="H308" s="16" t="n">
        <v>0</v>
      </c>
      <c r="I308" s="16" t="n">
        <v>70.399746</v>
      </c>
      <c r="J308" s="17" t="n">
        <f aca="false">IF(I308="","",G308-I308)</f>
        <v>0</v>
      </c>
      <c r="K308" s="18" t="n">
        <f aca="false">IF(OR(I308="",I308=0),"",J308/I308)</f>
        <v>0</v>
      </c>
      <c r="L308" s="19" t="str">
        <f aca="false">IF(OR(D308="",I308=""),"No reported total for O&amp;M or depreciation",IF(AND(ABS(F308)&lt;=$D$2,ABS(K308)&lt;=$D$2),"Reconciles within tolerance","Outside tolerance"))</f>
        <v>Reconciles within tolerance</v>
      </c>
      <c r="M308" s="17" t="n">
        <f aca="false">IF(OR(E308="",LEFT(L308,8)="Excluded"),"",ABS(E308))</f>
        <v>0</v>
      </c>
    </row>
    <row r="309" customFormat="false" ht="15" hidden="false" customHeight="false" outlineLevel="0" collapsed="false">
      <c r="A309" s="7" t="n">
        <v>2023</v>
      </c>
      <c r="B309" s="12" t="s">
        <v>71</v>
      </c>
      <c r="C309" s="16" t="n">
        <v>258.741835</v>
      </c>
      <c r="D309" s="16" t="n">
        <v>258.741835</v>
      </c>
      <c r="E309" s="17" t="n">
        <f aca="false">IF(D309="","",C309-D309)</f>
        <v>0</v>
      </c>
      <c r="F309" s="18" t="n">
        <f aca="false">IF(OR(D309="",D309=0),"",E309/D309)</f>
        <v>0</v>
      </c>
      <c r="G309" s="16" t="n">
        <v>84.870421</v>
      </c>
      <c r="H309" s="16" t="n">
        <v>0</v>
      </c>
      <c r="I309" s="16" t="n">
        <v>84.870421</v>
      </c>
      <c r="J309" s="17" t="n">
        <f aca="false">IF(I309="","",G309-I309)</f>
        <v>0</v>
      </c>
      <c r="K309" s="18" t="n">
        <f aca="false">IF(OR(I309="",I309=0),"",J309/I309)</f>
        <v>0</v>
      </c>
      <c r="L309" s="19" t="str">
        <f aca="false">IF(OR(D309="",I309=""),"No reported total for O&amp;M or depreciation",IF(AND(ABS(F309)&lt;=$D$2,ABS(K309)&lt;=$D$2),"Reconciles within tolerance","Outside tolerance"))</f>
        <v>Reconciles within tolerance</v>
      </c>
      <c r="M309" s="17" t="n">
        <f aca="false">IF(OR(E309="",LEFT(L309,8)="Excluded"),"",ABS(E309))</f>
        <v>0</v>
      </c>
    </row>
    <row r="310" customFormat="false" ht="15" hidden="false" customHeight="false" outlineLevel="0" collapsed="false">
      <c r="A310" s="7" t="n">
        <v>2024</v>
      </c>
      <c r="B310" s="12" t="s">
        <v>71</v>
      </c>
      <c r="C310" s="16" t="n">
        <v>270.9141</v>
      </c>
      <c r="D310" s="16" t="n">
        <v>270.9141</v>
      </c>
      <c r="E310" s="17" t="n">
        <f aca="false">IF(D310="","",C310-D310)</f>
        <v>0</v>
      </c>
      <c r="F310" s="18" t="n">
        <f aca="false">IF(OR(D310="",D310=0),"",E310/D310)</f>
        <v>0</v>
      </c>
      <c r="G310" s="16" t="n">
        <v>91.855634</v>
      </c>
      <c r="H310" s="16" t="n">
        <v>0</v>
      </c>
      <c r="I310" s="16" t="n">
        <v>91.855634</v>
      </c>
      <c r="J310" s="17" t="n">
        <f aca="false">IF(I310="","",G310-I310)</f>
        <v>0</v>
      </c>
      <c r="K310" s="18" t="n">
        <f aca="false">IF(OR(I310="",I310=0),"",J310/I310)</f>
        <v>0</v>
      </c>
      <c r="L310" s="19" t="str">
        <f aca="false">IF(OR(D310="",I310=""),"No reported total for O&amp;M or depreciation",IF(AND(ABS(F310)&lt;=$D$2,ABS(K310)&lt;=$D$2),"Reconciles within tolerance","Outside tolerance"))</f>
        <v>Reconciles within tolerance</v>
      </c>
      <c r="M310" s="17" t="n">
        <f aca="false">IF(OR(E310="",LEFT(L310,8)="Excluded"),"",ABS(E310))</f>
        <v>0</v>
      </c>
    </row>
    <row r="311" customFormat="false" ht="15" hidden="false" customHeight="false" outlineLevel="0" collapsed="false">
      <c r="A311" s="7" t="n">
        <v>2025</v>
      </c>
      <c r="B311" s="12" t="s">
        <v>71</v>
      </c>
      <c r="C311" s="16" t="n">
        <v>280.710876</v>
      </c>
      <c r="D311" s="16" t="n">
        <v>280.710876</v>
      </c>
      <c r="E311" s="17" t="n">
        <f aca="false">IF(D311="","",C311-D311)</f>
        <v>0</v>
      </c>
      <c r="F311" s="18" t="n">
        <f aca="false">IF(OR(D311="",D311=0),"",E311/D311)</f>
        <v>0</v>
      </c>
      <c r="G311" s="16" t="n">
        <v>96.92772</v>
      </c>
      <c r="H311" s="16" t="n">
        <v>0</v>
      </c>
      <c r="I311" s="16" t="n">
        <v>96.92772</v>
      </c>
      <c r="J311" s="17" t="n">
        <f aca="false">IF(I311="","",G311-I311)</f>
        <v>0</v>
      </c>
      <c r="K311" s="18" t="n">
        <f aca="false">IF(OR(I311="",I311=0),"",J311/I311)</f>
        <v>0</v>
      </c>
      <c r="L311" s="19" t="str">
        <f aca="false">IF(OR(D311="",I311=""),"No reported total for O&amp;M or depreciation",IF(AND(ABS(F311)&lt;=$D$2,ABS(K311)&lt;=$D$2),"Reconciles within tolerance","Outside tolerance"))</f>
        <v>Reconciles within tolerance</v>
      </c>
      <c r="M311" s="17" t="n">
        <f aca="false">IF(OR(E311="",LEFT(L311,8)="Excluded"),"",ABS(E311))</f>
        <v>0</v>
      </c>
    </row>
    <row r="312" customFormat="false" ht="15" hidden="false" customHeight="false" outlineLevel="0" collapsed="false">
      <c r="A312" s="7" t="n">
        <v>1995</v>
      </c>
      <c r="B312" s="12" t="s">
        <v>73</v>
      </c>
      <c r="C312" s="16" t="n">
        <v>613.991543</v>
      </c>
      <c r="D312" s="16" t="n">
        <v>613.991543</v>
      </c>
      <c r="E312" s="17" t="n">
        <f aca="false">IF(D312="","",C312-D312)</f>
        <v>0</v>
      </c>
      <c r="F312" s="18" t="n">
        <f aca="false">IF(OR(D312="",D312=0),"",E312/D312)</f>
        <v>0</v>
      </c>
      <c r="G312" s="16" t="n">
        <v>135.33185</v>
      </c>
      <c r="H312" s="16" t="n">
        <v>0</v>
      </c>
      <c r="I312" s="16" t="n">
        <v>135.33185</v>
      </c>
      <c r="J312" s="17" t="n">
        <f aca="false">IF(I312="","",G312-I312)</f>
        <v>0</v>
      </c>
      <c r="K312" s="18" t="n">
        <f aca="false">IF(OR(I312="",I312=0),"",J312/I312)</f>
        <v>0</v>
      </c>
      <c r="L312" s="19" t="str">
        <f aca="false">IF(OR(D312="",I312=""),"No reported total for O&amp;M or depreciation",IF(AND(ABS(F312)&lt;=$D$2,ABS(K312)&lt;=$D$2),"Reconciles within tolerance","Outside tolerance"))</f>
        <v>Reconciles within tolerance</v>
      </c>
      <c r="M312" s="17" t="n">
        <f aca="false">IF(OR(E312="",LEFT(L312,8)="Excluded"),"",ABS(E312))</f>
        <v>0</v>
      </c>
    </row>
    <row r="313" customFormat="false" ht="15" hidden="false" customHeight="false" outlineLevel="0" collapsed="false">
      <c r="A313" s="7" t="n">
        <v>1996</v>
      </c>
      <c r="B313" s="12" t="s">
        <v>73</v>
      </c>
      <c r="C313" s="16" t="n">
        <v>585.376183</v>
      </c>
      <c r="D313" s="16" t="n">
        <v>585.376183</v>
      </c>
      <c r="E313" s="17" t="n">
        <f aca="false">IF(D313="","",C313-D313)</f>
        <v>0</v>
      </c>
      <c r="F313" s="18" t="n">
        <f aca="false">IF(OR(D313="",D313=0),"",E313/D313)</f>
        <v>0</v>
      </c>
      <c r="G313" s="16" t="n">
        <v>138.440579</v>
      </c>
      <c r="H313" s="16" t="n">
        <v>0</v>
      </c>
      <c r="I313" s="16" t="n">
        <v>138.440579</v>
      </c>
      <c r="J313" s="17" t="n">
        <f aca="false">IF(I313="","",G313-I313)</f>
        <v>0</v>
      </c>
      <c r="K313" s="18" t="n">
        <f aca="false">IF(OR(I313="",I313=0),"",J313/I313)</f>
        <v>0</v>
      </c>
      <c r="L313" s="19" t="str">
        <f aca="false">IF(OR(D313="",I313=""),"No reported total for O&amp;M or depreciation",IF(AND(ABS(F313)&lt;=$D$2,ABS(K313)&lt;=$D$2),"Reconciles within tolerance","Outside tolerance"))</f>
        <v>Reconciles within tolerance</v>
      </c>
      <c r="M313" s="17" t="n">
        <f aca="false">IF(OR(E313="",LEFT(L313,8)="Excluded"),"",ABS(E313))</f>
        <v>0</v>
      </c>
    </row>
    <row r="314" customFormat="false" ht="15" hidden="false" customHeight="false" outlineLevel="0" collapsed="false">
      <c r="A314" s="7" t="n">
        <v>1997</v>
      </c>
      <c r="B314" s="12" t="s">
        <v>73</v>
      </c>
      <c r="C314" s="16" t="n">
        <v>658.032727</v>
      </c>
      <c r="D314" s="16" t="n">
        <v>658.032727</v>
      </c>
      <c r="E314" s="17" t="n">
        <f aca="false">IF(D314="","",C314-D314)</f>
        <v>0</v>
      </c>
      <c r="F314" s="18" t="n">
        <f aca="false">IF(OR(D314="",D314=0),"",E314/D314)</f>
        <v>0</v>
      </c>
      <c r="G314" s="16" t="n">
        <v>142.749384</v>
      </c>
      <c r="H314" s="16" t="n">
        <v>0</v>
      </c>
      <c r="I314" s="16" t="n">
        <v>142.749384</v>
      </c>
      <c r="J314" s="17" t="n">
        <f aca="false">IF(I314="","",G314-I314)</f>
        <v>0</v>
      </c>
      <c r="K314" s="18" t="n">
        <f aca="false">IF(OR(I314="",I314=0),"",J314/I314)</f>
        <v>0</v>
      </c>
      <c r="L314" s="19" t="str">
        <f aca="false">IF(OR(D314="",I314=""),"No reported total for O&amp;M or depreciation",IF(AND(ABS(F314)&lt;=$D$2,ABS(K314)&lt;=$D$2),"Reconciles within tolerance","Outside tolerance"))</f>
        <v>Reconciles within tolerance</v>
      </c>
      <c r="M314" s="17" t="n">
        <f aca="false">IF(OR(E314="",LEFT(L314,8)="Excluded"),"",ABS(E314))</f>
        <v>0</v>
      </c>
    </row>
    <row r="315" customFormat="false" ht="15" hidden="false" customHeight="false" outlineLevel="0" collapsed="false">
      <c r="A315" s="7" t="n">
        <v>1998</v>
      </c>
      <c r="B315" s="12" t="s">
        <v>73</v>
      </c>
      <c r="C315" s="16" t="n">
        <v>673.519905</v>
      </c>
      <c r="D315" s="16" t="n">
        <v>673.519905</v>
      </c>
      <c r="E315" s="17" t="n">
        <f aca="false">IF(D315="","",C315-D315)</f>
        <v>0</v>
      </c>
      <c r="F315" s="18" t="n">
        <f aca="false">IF(OR(D315="",D315=0),"",E315/D315)</f>
        <v>0</v>
      </c>
      <c r="G315" s="16" t="n">
        <v>149.41158</v>
      </c>
      <c r="H315" s="16" t="n">
        <v>0</v>
      </c>
      <c r="I315" s="16" t="n">
        <v>149.41158</v>
      </c>
      <c r="J315" s="17" t="n">
        <f aca="false">IF(I315="","",G315-I315)</f>
        <v>0</v>
      </c>
      <c r="K315" s="18" t="n">
        <f aca="false">IF(OR(I315="",I315=0),"",J315/I315)</f>
        <v>0</v>
      </c>
      <c r="L315" s="19" t="str">
        <f aca="false">IF(OR(D315="",I315=""),"No reported total for O&amp;M or depreciation",IF(AND(ABS(F315)&lt;=$D$2,ABS(K315)&lt;=$D$2),"Reconciles within tolerance","Outside tolerance"))</f>
        <v>Reconciles within tolerance</v>
      </c>
      <c r="M315" s="17" t="n">
        <f aca="false">IF(OR(E315="",LEFT(L315,8)="Excluded"),"",ABS(E315))</f>
        <v>0</v>
      </c>
    </row>
    <row r="316" customFormat="false" ht="15" hidden="false" customHeight="false" outlineLevel="0" collapsed="false">
      <c r="A316" s="7" t="n">
        <v>1999</v>
      </c>
      <c r="B316" s="12" t="s">
        <v>73</v>
      </c>
      <c r="C316" s="16" t="n">
        <v>666.386522</v>
      </c>
      <c r="D316" s="16" t="n">
        <v>666.386522</v>
      </c>
      <c r="E316" s="17" t="n">
        <f aca="false">IF(D316="","",C316-D316)</f>
        <v>0</v>
      </c>
      <c r="F316" s="18" t="n">
        <f aca="false">IF(OR(D316="",D316=0),"",E316/D316)</f>
        <v>0</v>
      </c>
      <c r="G316" s="16" t="n">
        <v>157.952628</v>
      </c>
      <c r="H316" s="16" t="n">
        <v>0</v>
      </c>
      <c r="I316" s="16" t="n">
        <v>157.952628</v>
      </c>
      <c r="J316" s="17" t="n">
        <f aca="false">IF(I316="","",G316-I316)</f>
        <v>0</v>
      </c>
      <c r="K316" s="18" t="n">
        <f aca="false">IF(OR(I316="",I316=0),"",J316/I316)</f>
        <v>0</v>
      </c>
      <c r="L316" s="19" t="str">
        <f aca="false">IF(OR(D316="",I316=""),"No reported total for O&amp;M or depreciation",IF(AND(ABS(F316)&lt;=$D$2,ABS(K316)&lt;=$D$2),"Reconciles within tolerance","Outside tolerance"))</f>
        <v>Reconciles within tolerance</v>
      </c>
      <c r="M316" s="17" t="n">
        <f aca="false">IF(OR(E316="",LEFT(L316,8)="Excluded"),"",ABS(E316))</f>
        <v>0</v>
      </c>
    </row>
    <row r="317" customFormat="false" ht="15" hidden="false" customHeight="false" outlineLevel="0" collapsed="false">
      <c r="A317" s="7" t="n">
        <v>2000</v>
      </c>
      <c r="B317" s="12" t="s">
        <v>73</v>
      </c>
      <c r="C317" s="16" t="n">
        <v>682.861852</v>
      </c>
      <c r="D317" s="16" t="n">
        <v>682.861852</v>
      </c>
      <c r="E317" s="17" t="n">
        <f aca="false">IF(D317="","",C317-D317)</f>
        <v>0</v>
      </c>
      <c r="F317" s="18" t="n">
        <f aca="false">IF(OR(D317="",D317=0),"",E317/D317)</f>
        <v>0</v>
      </c>
      <c r="G317" s="16" t="n">
        <v>159.849681</v>
      </c>
      <c r="H317" s="16" t="n">
        <v>0</v>
      </c>
      <c r="I317" s="16" t="n">
        <v>159.849681</v>
      </c>
      <c r="J317" s="17" t="n">
        <f aca="false">IF(I317="","",G317-I317)</f>
        <v>0</v>
      </c>
      <c r="K317" s="18" t="n">
        <f aca="false">IF(OR(I317="",I317=0),"",J317/I317)</f>
        <v>0</v>
      </c>
      <c r="L317" s="19" t="str">
        <f aca="false">IF(OR(D317="",I317=""),"No reported total for O&amp;M or depreciation",IF(AND(ABS(F317)&lt;=$D$2,ABS(K317)&lt;=$D$2),"Reconciles within tolerance","Outside tolerance"))</f>
        <v>Reconciles within tolerance</v>
      </c>
      <c r="M317" s="17" t="n">
        <f aca="false">IF(OR(E317="",LEFT(L317,8)="Excluded"),"",ABS(E317))</f>
        <v>0</v>
      </c>
    </row>
    <row r="318" customFormat="false" ht="15" hidden="false" customHeight="false" outlineLevel="0" collapsed="false">
      <c r="A318" s="7" t="n">
        <v>2001</v>
      </c>
      <c r="B318" s="12" t="s">
        <v>73</v>
      </c>
      <c r="C318" s="16" t="n">
        <v>729.489288</v>
      </c>
      <c r="D318" s="16" t="n">
        <v>729.489288</v>
      </c>
      <c r="E318" s="17" t="n">
        <f aca="false">IF(D318="","",C318-D318)</f>
        <v>0</v>
      </c>
      <c r="F318" s="18" t="n">
        <f aca="false">IF(OR(D318="",D318=0),"",E318/D318)</f>
        <v>0</v>
      </c>
      <c r="G318" s="16" t="n">
        <v>172.087999</v>
      </c>
      <c r="H318" s="16" t="n">
        <v>0</v>
      </c>
      <c r="I318" s="16" t="n">
        <v>172.087999</v>
      </c>
      <c r="J318" s="17" t="n">
        <f aca="false">IF(I318="","",G318-I318)</f>
        <v>0</v>
      </c>
      <c r="K318" s="18" t="n">
        <f aca="false">IF(OR(I318="",I318=0),"",J318/I318)</f>
        <v>0</v>
      </c>
      <c r="L318" s="19" t="str">
        <f aca="false">IF(OR(D318="",I318=""),"No reported total for O&amp;M or depreciation",IF(AND(ABS(F318)&lt;=$D$2,ABS(K318)&lt;=$D$2),"Reconciles within tolerance","Outside tolerance"))</f>
        <v>Reconciles within tolerance</v>
      </c>
      <c r="M318" s="17" t="n">
        <f aca="false">IF(OR(E318="",LEFT(L318,8)="Excluded"),"",ABS(E318))</f>
        <v>0</v>
      </c>
    </row>
    <row r="319" customFormat="false" ht="15" hidden="false" customHeight="false" outlineLevel="0" collapsed="false">
      <c r="A319" s="7" t="n">
        <v>2002</v>
      </c>
      <c r="B319" s="12" t="s">
        <v>73</v>
      </c>
      <c r="C319" s="16" t="n">
        <v>743.490965</v>
      </c>
      <c r="D319" s="16" t="n">
        <v>743.490965</v>
      </c>
      <c r="E319" s="17" t="n">
        <f aca="false">IF(D319="","",C319-D319)</f>
        <v>0</v>
      </c>
      <c r="F319" s="18" t="n">
        <f aca="false">IF(OR(D319="",D319=0),"",E319/D319)</f>
        <v>0</v>
      </c>
      <c r="G319" s="16" t="n">
        <v>184.444901</v>
      </c>
      <c r="H319" s="16" t="n">
        <v>0</v>
      </c>
      <c r="I319" s="16" t="n">
        <v>184.444901</v>
      </c>
      <c r="J319" s="17" t="n">
        <f aca="false">IF(I319="","",G319-I319)</f>
        <v>0</v>
      </c>
      <c r="K319" s="18" t="n">
        <f aca="false">IF(OR(I319="",I319=0),"",J319/I319)</f>
        <v>0</v>
      </c>
      <c r="L319" s="19" t="str">
        <f aca="false">IF(OR(D319="",I319=""),"No reported total for O&amp;M or depreciation",IF(AND(ABS(F319)&lt;=$D$2,ABS(K319)&lt;=$D$2),"Reconciles within tolerance","Outside tolerance"))</f>
        <v>Reconciles within tolerance</v>
      </c>
      <c r="M319" s="17" t="n">
        <f aca="false">IF(OR(E319="",LEFT(L319,8)="Excluded"),"",ABS(E319))</f>
        <v>0</v>
      </c>
    </row>
    <row r="320" customFormat="false" ht="15" hidden="false" customHeight="false" outlineLevel="0" collapsed="false">
      <c r="A320" s="7" t="n">
        <v>2003</v>
      </c>
      <c r="B320" s="12" t="s">
        <v>73</v>
      </c>
      <c r="C320" s="16" t="n">
        <v>769.243044</v>
      </c>
      <c r="D320" s="16" t="n">
        <v>769.243044</v>
      </c>
      <c r="E320" s="17" t="n">
        <f aca="false">IF(D320="","",C320-D320)</f>
        <v>0</v>
      </c>
      <c r="F320" s="18" t="n">
        <f aca="false">IF(OR(D320="",D320=0),"",E320/D320)</f>
        <v>0</v>
      </c>
      <c r="G320" s="16" t="n">
        <v>185.504114</v>
      </c>
      <c r="H320" s="16" t="n">
        <v>0</v>
      </c>
      <c r="I320" s="16" t="n">
        <v>185.504114</v>
      </c>
      <c r="J320" s="17" t="n">
        <f aca="false">IF(I320="","",G320-I320)</f>
        <v>0</v>
      </c>
      <c r="K320" s="18" t="n">
        <f aca="false">IF(OR(I320="",I320=0),"",J320/I320)</f>
        <v>0</v>
      </c>
      <c r="L320" s="19" t="str">
        <f aca="false">IF(OR(D320="",I320=""),"No reported total for O&amp;M or depreciation",IF(AND(ABS(F320)&lt;=$D$2,ABS(K320)&lt;=$D$2),"Reconciles within tolerance","Outside tolerance"))</f>
        <v>Reconciles within tolerance</v>
      </c>
      <c r="M320" s="17" t="n">
        <f aca="false">IF(OR(E320="",LEFT(L320,8)="Excluded"),"",ABS(E320))</f>
        <v>0</v>
      </c>
    </row>
    <row r="321" customFormat="false" ht="15" hidden="false" customHeight="false" outlineLevel="0" collapsed="false">
      <c r="A321" s="7" t="n">
        <v>2004</v>
      </c>
      <c r="B321" s="12" t="s">
        <v>73</v>
      </c>
      <c r="C321" s="16" t="n">
        <v>810.779062</v>
      </c>
      <c r="D321" s="16" t="n">
        <v>810.779062</v>
      </c>
      <c r="E321" s="17" t="n">
        <f aca="false">IF(D321="","",C321-D321)</f>
        <v>0</v>
      </c>
      <c r="F321" s="18" t="n">
        <f aca="false">IF(OR(D321="",D321=0),"",E321/D321)</f>
        <v>0</v>
      </c>
      <c r="G321" s="16" t="n">
        <v>176.68287</v>
      </c>
      <c r="H321" s="16" t="n">
        <v>0</v>
      </c>
      <c r="I321" s="16" t="n">
        <v>176.68287</v>
      </c>
      <c r="J321" s="17" t="n">
        <f aca="false">IF(I321="","",G321-I321)</f>
        <v>0</v>
      </c>
      <c r="K321" s="18" t="n">
        <f aca="false">IF(OR(I321="",I321=0),"",J321/I321)</f>
        <v>0</v>
      </c>
      <c r="L321" s="19" t="str">
        <f aca="false">IF(OR(D321="",I321=""),"No reported total for O&amp;M or depreciation",IF(AND(ABS(F321)&lt;=$D$2,ABS(K321)&lt;=$D$2),"Reconciles within tolerance","Outside tolerance"))</f>
        <v>Reconciles within tolerance</v>
      </c>
      <c r="M321" s="17" t="n">
        <f aca="false">IF(OR(E321="",LEFT(L321,8)="Excluded"),"",ABS(E321))</f>
        <v>0</v>
      </c>
    </row>
    <row r="322" customFormat="false" ht="15" hidden="false" customHeight="false" outlineLevel="0" collapsed="false">
      <c r="A322" s="7" t="n">
        <v>2005</v>
      </c>
      <c r="B322" s="12" t="s">
        <v>73</v>
      </c>
      <c r="C322" s="16" t="n">
        <v>867.359356</v>
      </c>
      <c r="D322" s="16" t="n">
        <v>867.359356</v>
      </c>
      <c r="E322" s="17" t="n">
        <f aca="false">IF(D322="","",C322-D322)</f>
        <v>0</v>
      </c>
      <c r="F322" s="18" t="n">
        <f aca="false">IF(OR(D322="",D322=0),"",E322/D322)</f>
        <v>0</v>
      </c>
      <c r="G322" s="16" t="n">
        <v>188.770866</v>
      </c>
      <c r="H322" s="16" t="n">
        <v>0</v>
      </c>
      <c r="I322" s="16" t="n">
        <v>188.770866</v>
      </c>
      <c r="J322" s="17" t="n">
        <f aca="false">IF(I322="","",G322-I322)</f>
        <v>0</v>
      </c>
      <c r="K322" s="18" t="n">
        <f aca="false">IF(OR(I322="",I322=0),"",J322/I322)</f>
        <v>0</v>
      </c>
      <c r="L322" s="19" t="str">
        <f aca="false">IF(OR(D322="",I322=""),"No reported total for O&amp;M or depreciation",IF(AND(ABS(F322)&lt;=$D$2,ABS(K322)&lt;=$D$2),"Reconciles within tolerance","Outside tolerance"))</f>
        <v>Reconciles within tolerance</v>
      </c>
      <c r="M322" s="17" t="n">
        <f aca="false">IF(OR(E322="",LEFT(L322,8)="Excluded"),"",ABS(E322))</f>
        <v>0</v>
      </c>
    </row>
    <row r="323" customFormat="false" ht="15" hidden="false" customHeight="false" outlineLevel="0" collapsed="false">
      <c r="A323" s="7" t="n">
        <v>2006</v>
      </c>
      <c r="B323" s="12" t="s">
        <v>73</v>
      </c>
      <c r="C323" s="16" t="n">
        <v>1087.831781</v>
      </c>
      <c r="D323" s="16" t="n">
        <v>1087.831781</v>
      </c>
      <c r="E323" s="17" t="n">
        <f aca="false">IF(D323="","",C323-D323)</f>
        <v>0</v>
      </c>
      <c r="F323" s="18" t="n">
        <f aca="false">IF(OR(D323="",D323=0),"",E323/D323)</f>
        <v>0</v>
      </c>
      <c r="G323" s="16" t="n">
        <v>194.237058</v>
      </c>
      <c r="H323" s="16" t="n">
        <v>0</v>
      </c>
      <c r="I323" s="16" t="n">
        <v>194.237058</v>
      </c>
      <c r="J323" s="17" t="n">
        <f aca="false">IF(I323="","",G323-I323)</f>
        <v>0</v>
      </c>
      <c r="K323" s="18" t="n">
        <f aca="false">IF(OR(I323="",I323=0),"",J323/I323)</f>
        <v>0</v>
      </c>
      <c r="L323" s="19" t="str">
        <f aca="false">IF(OR(D323="",I323=""),"No reported total for O&amp;M or depreciation",IF(AND(ABS(F323)&lt;=$D$2,ABS(K323)&lt;=$D$2),"Reconciles within tolerance","Outside tolerance"))</f>
        <v>Reconciles within tolerance</v>
      </c>
      <c r="M323" s="17" t="n">
        <f aca="false">IF(OR(E323="",LEFT(L323,8)="Excluded"),"",ABS(E323))</f>
        <v>0</v>
      </c>
    </row>
    <row r="324" customFormat="false" ht="15" hidden="false" customHeight="false" outlineLevel="0" collapsed="false">
      <c r="A324" s="7" t="n">
        <v>2007</v>
      </c>
      <c r="B324" s="12" t="s">
        <v>73</v>
      </c>
      <c r="C324" s="16" t="n">
        <v>1218.392921</v>
      </c>
      <c r="D324" s="16" t="n">
        <v>1218.392921</v>
      </c>
      <c r="E324" s="17" t="n">
        <f aca="false">IF(D324="","",C324-D324)</f>
        <v>0</v>
      </c>
      <c r="F324" s="18" t="n">
        <f aca="false">IF(OR(D324="",D324=0),"",E324/D324)</f>
        <v>0</v>
      </c>
      <c r="G324" s="16" t="n">
        <v>212.184489</v>
      </c>
      <c r="H324" s="16" t="n">
        <v>0</v>
      </c>
      <c r="I324" s="16" t="n">
        <v>212.184489</v>
      </c>
      <c r="J324" s="17" t="n">
        <f aca="false">IF(I324="","",G324-I324)</f>
        <v>0</v>
      </c>
      <c r="K324" s="18" t="n">
        <f aca="false">IF(OR(I324="",I324=0),"",J324/I324)</f>
        <v>0</v>
      </c>
      <c r="L324" s="19" t="str">
        <f aca="false">IF(OR(D324="",I324=""),"No reported total for O&amp;M or depreciation",IF(AND(ABS(F324)&lt;=$D$2,ABS(K324)&lt;=$D$2),"Reconciles within tolerance","Outside tolerance"))</f>
        <v>Reconciles within tolerance</v>
      </c>
      <c r="M324" s="17" t="n">
        <f aca="false">IF(OR(E324="",LEFT(L324,8)="Excluded"),"",ABS(E324))</f>
        <v>0</v>
      </c>
    </row>
    <row r="325" customFormat="false" ht="15" hidden="false" customHeight="false" outlineLevel="0" collapsed="false">
      <c r="A325" s="7" t="n">
        <v>2008</v>
      </c>
      <c r="B325" s="12" t="s">
        <v>73</v>
      </c>
      <c r="C325" s="16" t="n">
        <v>1230.634885</v>
      </c>
      <c r="D325" s="16" t="n">
        <v>1230.634885</v>
      </c>
      <c r="E325" s="17" t="n">
        <f aca="false">IF(D325="","",C325-D325)</f>
        <v>0</v>
      </c>
      <c r="F325" s="18" t="n">
        <f aca="false">IF(OR(D325="",D325=0),"",E325/D325)</f>
        <v>0</v>
      </c>
      <c r="G325" s="16" t="n">
        <v>243.279563</v>
      </c>
      <c r="H325" s="16" t="n">
        <v>0</v>
      </c>
      <c r="I325" s="16" t="n">
        <v>243.279563</v>
      </c>
      <c r="J325" s="17" t="n">
        <f aca="false">IF(I325="","",G325-I325)</f>
        <v>0</v>
      </c>
      <c r="K325" s="18" t="n">
        <f aca="false">IF(OR(I325="",I325=0),"",J325/I325)</f>
        <v>0</v>
      </c>
      <c r="L325" s="19" t="str">
        <f aca="false">IF(OR(D325="",I325=""),"No reported total for O&amp;M or depreciation",IF(AND(ABS(F325)&lt;=$D$2,ABS(K325)&lt;=$D$2),"Reconciles within tolerance","Outside tolerance"))</f>
        <v>Reconciles within tolerance</v>
      </c>
      <c r="M325" s="17" t="n">
        <f aca="false">IF(OR(E325="",LEFT(L325,8)="Excluded"),"",ABS(E325))</f>
        <v>0</v>
      </c>
    </row>
    <row r="326" customFormat="false" ht="15" hidden="false" customHeight="false" outlineLevel="0" collapsed="false">
      <c r="A326" s="7" t="n">
        <v>2009</v>
      </c>
      <c r="B326" s="12" t="s">
        <v>73</v>
      </c>
      <c r="C326" s="16" t="n">
        <v>995.921143</v>
      </c>
      <c r="D326" s="16" t="n">
        <v>995.921143</v>
      </c>
      <c r="E326" s="17" t="n">
        <f aca="false">IF(D326="","",C326-D326)</f>
        <v>0</v>
      </c>
      <c r="F326" s="18" t="n">
        <f aca="false">IF(OR(D326="",D326=0),"",E326/D326)</f>
        <v>0</v>
      </c>
      <c r="G326" s="16" t="n">
        <v>297.61988</v>
      </c>
      <c r="H326" s="16" t="n">
        <v>0</v>
      </c>
      <c r="I326" s="16" t="n">
        <v>297.61988</v>
      </c>
      <c r="J326" s="17" t="n">
        <f aca="false">IF(I326="","",G326-I326)</f>
        <v>0</v>
      </c>
      <c r="K326" s="18" t="n">
        <f aca="false">IF(OR(I326="",I326=0),"",J326/I326)</f>
        <v>0</v>
      </c>
      <c r="L326" s="19" t="str">
        <f aca="false">IF(OR(D326="",I326=""),"No reported total for O&amp;M or depreciation",IF(AND(ABS(F326)&lt;=$D$2,ABS(K326)&lt;=$D$2),"Reconciles within tolerance","Outside tolerance"))</f>
        <v>Reconciles within tolerance</v>
      </c>
      <c r="M326" s="17" t="n">
        <f aca="false">IF(OR(E326="",LEFT(L326,8)="Excluded"),"",ABS(E326))</f>
        <v>0</v>
      </c>
    </row>
    <row r="327" customFormat="false" ht="15" hidden="false" customHeight="false" outlineLevel="0" collapsed="false">
      <c r="A327" s="7" t="n">
        <v>2010</v>
      </c>
      <c r="B327" s="12" t="s">
        <v>73</v>
      </c>
      <c r="C327" s="16" t="n">
        <v>1061.006309</v>
      </c>
      <c r="D327" s="16" t="n">
        <v>1061.006309</v>
      </c>
      <c r="E327" s="17" t="n">
        <f aca="false">IF(D327="","",C327-D327)</f>
        <v>0</v>
      </c>
      <c r="F327" s="18" t="n">
        <f aca="false">IF(OR(D327="",D327=0),"",E327/D327)</f>
        <v>0</v>
      </c>
      <c r="G327" s="16" t="n">
        <v>303.563154</v>
      </c>
      <c r="H327" s="16" t="n">
        <v>0</v>
      </c>
      <c r="I327" s="16" t="n">
        <v>303.563154</v>
      </c>
      <c r="J327" s="17" t="n">
        <f aca="false">IF(I327="","",G327-I327)</f>
        <v>0</v>
      </c>
      <c r="K327" s="18" t="n">
        <f aca="false">IF(OR(I327="",I327=0),"",J327/I327)</f>
        <v>0</v>
      </c>
      <c r="L327" s="19" t="str">
        <f aca="false">IF(OR(D327="",I327=""),"No reported total for O&amp;M or depreciation",IF(AND(ABS(F327)&lt;=$D$2,ABS(K327)&lt;=$D$2),"Reconciles within tolerance","Outside tolerance"))</f>
        <v>Reconciles within tolerance</v>
      </c>
      <c r="M327" s="17" t="n">
        <f aca="false">IF(OR(E327="",LEFT(L327,8)="Excluded"),"",ABS(E327))</f>
        <v>0</v>
      </c>
    </row>
    <row r="328" customFormat="false" ht="15" hidden="false" customHeight="false" outlineLevel="0" collapsed="false">
      <c r="A328" s="7" t="n">
        <v>2011</v>
      </c>
      <c r="B328" s="12" t="s">
        <v>73</v>
      </c>
      <c r="C328" s="16" t="n">
        <v>972.775018</v>
      </c>
      <c r="D328" s="16" t="n">
        <v>972.775018</v>
      </c>
      <c r="E328" s="17" t="n">
        <f aca="false">IF(D328="","",C328-D328)</f>
        <v>0</v>
      </c>
      <c r="F328" s="18" t="n">
        <f aca="false">IF(OR(D328="",D328=0),"",E328/D328)</f>
        <v>0</v>
      </c>
      <c r="G328" s="16" t="n">
        <v>298.465405</v>
      </c>
      <c r="H328" s="16" t="n">
        <v>0</v>
      </c>
      <c r="I328" s="16" t="n">
        <v>298.465405</v>
      </c>
      <c r="J328" s="17" t="n">
        <f aca="false">IF(I328="","",G328-I328)</f>
        <v>0</v>
      </c>
      <c r="K328" s="18" t="n">
        <f aca="false">IF(OR(I328="",I328=0),"",J328/I328)</f>
        <v>0</v>
      </c>
      <c r="L328" s="19" t="str">
        <f aca="false">IF(OR(D328="",I328=""),"No reported total for O&amp;M or depreciation",IF(AND(ABS(F328)&lt;=$D$2,ABS(K328)&lt;=$D$2),"Reconciles within tolerance","Outside tolerance"))</f>
        <v>Reconciles within tolerance</v>
      </c>
      <c r="M328" s="17" t="n">
        <f aca="false">IF(OR(E328="",LEFT(L328,8)="Excluded"),"",ABS(E328))</f>
        <v>0</v>
      </c>
    </row>
    <row r="329" customFormat="false" ht="15" hidden="false" customHeight="false" outlineLevel="0" collapsed="false">
      <c r="A329" s="7" t="n">
        <v>2012</v>
      </c>
      <c r="B329" s="12" t="s">
        <v>73</v>
      </c>
      <c r="C329" s="16" t="n">
        <v>971.161969</v>
      </c>
      <c r="D329" s="16" t="n">
        <v>971.161969</v>
      </c>
      <c r="E329" s="17" t="n">
        <f aca="false">IF(D329="","",C329-D329)</f>
        <v>0</v>
      </c>
      <c r="F329" s="18" t="n">
        <f aca="false">IF(OR(D329="",D329=0),"",E329/D329)</f>
        <v>0</v>
      </c>
      <c r="G329" s="16" t="n">
        <v>351.537605</v>
      </c>
      <c r="H329" s="16" t="n">
        <v>0</v>
      </c>
      <c r="I329" s="16" t="n">
        <v>351.537605</v>
      </c>
      <c r="J329" s="17" t="n">
        <f aca="false">IF(I329="","",G329-I329)</f>
        <v>0</v>
      </c>
      <c r="K329" s="18" t="n">
        <f aca="false">IF(OR(I329="",I329=0),"",J329/I329)</f>
        <v>0</v>
      </c>
      <c r="L329" s="19" t="str">
        <f aca="false">IF(OR(D329="",I329=""),"No reported total for O&amp;M or depreciation",IF(AND(ABS(F329)&lt;=$D$2,ABS(K329)&lt;=$D$2),"Reconciles within tolerance","Outside tolerance"))</f>
        <v>Reconciles within tolerance</v>
      </c>
      <c r="M329" s="17" t="n">
        <f aca="false">IF(OR(E329="",LEFT(L329,8)="Excluded"),"",ABS(E329))</f>
        <v>0</v>
      </c>
    </row>
    <row r="330" customFormat="false" ht="15" hidden="false" customHeight="false" outlineLevel="0" collapsed="false">
      <c r="A330" s="7" t="n">
        <v>2013</v>
      </c>
      <c r="B330" s="12" t="s">
        <v>73</v>
      </c>
      <c r="C330" s="16" t="n">
        <v>1041.493455</v>
      </c>
      <c r="D330" s="16" t="n">
        <v>1041.493455</v>
      </c>
      <c r="E330" s="17" t="n">
        <f aca="false">IF(D330="","",C330-D330)</f>
        <v>0</v>
      </c>
      <c r="F330" s="18" t="n">
        <f aca="false">IF(OR(D330="",D330=0),"",E330/D330)</f>
        <v>0</v>
      </c>
      <c r="G330" s="16" t="n">
        <v>370.74539</v>
      </c>
      <c r="H330" s="16" t="n">
        <v>0</v>
      </c>
      <c r="I330" s="16" t="n">
        <v>370.74539</v>
      </c>
      <c r="J330" s="17" t="n">
        <f aca="false">IF(I330="","",G330-I330)</f>
        <v>0</v>
      </c>
      <c r="K330" s="18" t="n">
        <f aca="false">IF(OR(I330="",I330=0),"",J330/I330)</f>
        <v>0</v>
      </c>
      <c r="L330" s="19" t="str">
        <f aca="false">IF(OR(D330="",I330=""),"No reported total for O&amp;M or depreciation",IF(AND(ABS(F330)&lt;=$D$2,ABS(K330)&lt;=$D$2),"Reconciles within tolerance","Outside tolerance"))</f>
        <v>Reconciles within tolerance</v>
      </c>
      <c r="M330" s="17" t="n">
        <f aca="false">IF(OR(E330="",LEFT(L330,8)="Excluded"),"",ABS(E330))</f>
        <v>0</v>
      </c>
    </row>
    <row r="331" customFormat="false" ht="15" hidden="false" customHeight="false" outlineLevel="0" collapsed="false">
      <c r="A331" s="7" t="n">
        <v>2014</v>
      </c>
      <c r="B331" s="12" t="s">
        <v>73</v>
      </c>
      <c r="C331" s="16" t="n">
        <v>1082.646182</v>
      </c>
      <c r="D331" s="16" t="n">
        <v>1082.646182</v>
      </c>
      <c r="E331" s="17" t="n">
        <f aca="false">IF(D331="","",C331-D331)</f>
        <v>0</v>
      </c>
      <c r="F331" s="18" t="n">
        <f aca="false">IF(OR(D331="",D331=0),"",E331/D331)</f>
        <v>0</v>
      </c>
      <c r="G331" s="16" t="n">
        <v>382.782399</v>
      </c>
      <c r="H331" s="16" t="n">
        <v>0</v>
      </c>
      <c r="I331" s="16" t="n">
        <v>382.782399</v>
      </c>
      <c r="J331" s="17" t="n">
        <f aca="false">IF(I331="","",G331-I331)</f>
        <v>0</v>
      </c>
      <c r="K331" s="18" t="n">
        <f aca="false">IF(OR(I331="",I331=0),"",J331/I331)</f>
        <v>0</v>
      </c>
      <c r="L331" s="19" t="str">
        <f aca="false">IF(OR(D331="",I331=""),"No reported total for O&amp;M or depreciation",IF(AND(ABS(F331)&lt;=$D$2,ABS(K331)&lt;=$D$2),"Reconciles within tolerance","Outside tolerance"))</f>
        <v>Reconciles within tolerance</v>
      </c>
      <c r="M331" s="17" t="n">
        <f aca="false">IF(OR(E331="",LEFT(L331,8)="Excluded"),"",ABS(E331))</f>
        <v>0</v>
      </c>
    </row>
    <row r="332" customFormat="false" ht="15" hidden="false" customHeight="false" outlineLevel="0" collapsed="false">
      <c r="A332" s="7" t="n">
        <v>2015</v>
      </c>
      <c r="B332" s="12" t="s">
        <v>73</v>
      </c>
      <c r="C332" s="16" t="n">
        <v>979.188617</v>
      </c>
      <c r="D332" s="16" t="n">
        <v>979.188617</v>
      </c>
      <c r="E332" s="17" t="n">
        <f aca="false">IF(D332="","",C332-D332)</f>
        <v>0</v>
      </c>
      <c r="F332" s="18" t="n">
        <f aca="false">IF(OR(D332="",D332=0),"",E332/D332)</f>
        <v>0</v>
      </c>
      <c r="G332" s="16" t="n">
        <v>441.758469</v>
      </c>
      <c r="H332" s="16" t="n">
        <v>0</v>
      </c>
      <c r="I332" s="16" t="n">
        <v>441.758469</v>
      </c>
      <c r="J332" s="17" t="n">
        <f aca="false">IF(I332="","",G332-I332)</f>
        <v>0</v>
      </c>
      <c r="K332" s="18" t="n">
        <f aca="false">IF(OR(I332="",I332=0),"",J332/I332)</f>
        <v>0</v>
      </c>
      <c r="L332" s="19" t="str">
        <f aca="false">IF(OR(D332="",I332=""),"No reported total for O&amp;M or depreciation",IF(AND(ABS(F332)&lt;=$D$2,ABS(K332)&lt;=$D$2),"Reconciles within tolerance","Outside tolerance"))</f>
        <v>Reconciles within tolerance</v>
      </c>
      <c r="M332" s="17" t="n">
        <f aca="false">IF(OR(E332="",LEFT(L332,8)="Excluded"),"",ABS(E332))</f>
        <v>0</v>
      </c>
    </row>
    <row r="333" customFormat="false" ht="15" hidden="false" customHeight="false" outlineLevel="0" collapsed="false">
      <c r="A333" s="7" t="n">
        <v>2016</v>
      </c>
      <c r="B333" s="12" t="s">
        <v>73</v>
      </c>
      <c r="C333" s="16" t="n">
        <v>942.977015</v>
      </c>
      <c r="D333" s="16" t="n">
        <v>942.977015</v>
      </c>
      <c r="E333" s="17" t="n">
        <f aca="false">IF(D333="","",C333-D333)</f>
        <v>0</v>
      </c>
      <c r="F333" s="18" t="n">
        <f aca="false">IF(OR(D333="",D333=0),"",E333/D333)</f>
        <v>0</v>
      </c>
      <c r="G333" s="16" t="n">
        <v>455.819415</v>
      </c>
      <c r="H333" s="16" t="n">
        <v>0</v>
      </c>
      <c r="I333" s="16" t="n">
        <v>455.819415</v>
      </c>
      <c r="J333" s="17" t="n">
        <f aca="false">IF(I333="","",G333-I333)</f>
        <v>0</v>
      </c>
      <c r="K333" s="18" t="n">
        <f aca="false">IF(OR(I333="",I333=0),"",J333/I333)</f>
        <v>0</v>
      </c>
      <c r="L333" s="19" t="str">
        <f aca="false">IF(OR(D333="",I333=""),"No reported total for O&amp;M or depreciation",IF(AND(ABS(F333)&lt;=$D$2,ABS(K333)&lt;=$D$2),"Reconciles within tolerance","Outside tolerance"))</f>
        <v>Reconciles within tolerance</v>
      </c>
      <c r="M333" s="17" t="n">
        <f aca="false">IF(OR(E333="",LEFT(L333,8)="Excluded"),"",ABS(E333))</f>
        <v>0</v>
      </c>
    </row>
    <row r="334" customFormat="false" ht="15" hidden="false" customHeight="false" outlineLevel="0" collapsed="false">
      <c r="A334" s="7" t="n">
        <v>2017</v>
      </c>
      <c r="B334" s="12" t="s">
        <v>73</v>
      </c>
      <c r="C334" s="16" t="n">
        <v>1049.384024</v>
      </c>
      <c r="D334" s="16" t="n">
        <v>1049.384024</v>
      </c>
      <c r="E334" s="17" t="n">
        <f aca="false">IF(D334="","",C334-D334)</f>
        <v>0</v>
      </c>
      <c r="F334" s="18" t="n">
        <f aca="false">IF(OR(D334="",D334=0),"",E334/D334)</f>
        <v>0</v>
      </c>
      <c r="G334" s="16" t="n">
        <v>482.50205</v>
      </c>
      <c r="H334" s="16" t="n">
        <v>0</v>
      </c>
      <c r="I334" s="16" t="n">
        <v>482.50205</v>
      </c>
      <c r="J334" s="17" t="n">
        <f aca="false">IF(I334="","",G334-I334)</f>
        <v>0</v>
      </c>
      <c r="K334" s="18" t="n">
        <f aca="false">IF(OR(I334="",I334=0),"",J334/I334)</f>
        <v>0</v>
      </c>
      <c r="L334" s="19" t="str">
        <f aca="false">IF(OR(D334="",I334=""),"No reported total for O&amp;M or depreciation",IF(AND(ABS(F334)&lt;=$D$2,ABS(K334)&lt;=$D$2),"Reconciles within tolerance","Outside tolerance"))</f>
        <v>Reconciles within tolerance</v>
      </c>
      <c r="M334" s="17" t="n">
        <f aca="false">IF(OR(E334="",LEFT(L334,8)="Excluded"),"",ABS(E334))</f>
        <v>0</v>
      </c>
    </row>
    <row r="335" customFormat="false" ht="15" hidden="false" customHeight="false" outlineLevel="0" collapsed="false">
      <c r="A335" s="7" t="n">
        <v>2018</v>
      </c>
      <c r="B335" s="12" t="s">
        <v>73</v>
      </c>
      <c r="C335" s="16" t="n">
        <v>1109.159719</v>
      </c>
      <c r="D335" s="16" t="n">
        <v>1109.159719</v>
      </c>
      <c r="E335" s="17" t="n">
        <f aca="false">IF(D335="","",C335-D335)</f>
        <v>0</v>
      </c>
      <c r="F335" s="18" t="n">
        <f aca="false">IF(OR(D335="",D335=0),"",E335/D335)</f>
        <v>0</v>
      </c>
      <c r="G335" s="16" t="n">
        <v>542.74827</v>
      </c>
      <c r="H335" s="16" t="n">
        <v>0</v>
      </c>
      <c r="I335" s="16" t="n">
        <v>542.74827</v>
      </c>
      <c r="J335" s="17" t="n">
        <f aca="false">IF(I335="","",G335-I335)</f>
        <v>0</v>
      </c>
      <c r="K335" s="18" t="n">
        <f aca="false">IF(OR(I335="",I335=0),"",J335/I335)</f>
        <v>0</v>
      </c>
      <c r="L335" s="19" t="str">
        <f aca="false">IF(OR(D335="",I335=""),"No reported total for O&amp;M or depreciation",IF(AND(ABS(F335)&lt;=$D$2,ABS(K335)&lt;=$D$2),"Reconciles within tolerance","Outside tolerance"))</f>
        <v>Reconciles within tolerance</v>
      </c>
      <c r="M335" s="17" t="n">
        <f aca="false">IF(OR(E335="",LEFT(L335,8)="Excluded"),"",ABS(E335))</f>
        <v>0</v>
      </c>
    </row>
    <row r="336" customFormat="false" ht="15" hidden="false" customHeight="false" outlineLevel="0" collapsed="false">
      <c r="A336" s="7" t="n">
        <v>2019</v>
      </c>
      <c r="B336" s="12" t="s">
        <v>73</v>
      </c>
      <c r="C336" s="16" t="n">
        <v>1027.283026</v>
      </c>
      <c r="D336" s="16" t="n">
        <v>1027.283026</v>
      </c>
      <c r="E336" s="17" t="n">
        <f aca="false">IF(D336="","",C336-D336)</f>
        <v>0</v>
      </c>
      <c r="F336" s="18" t="n">
        <f aca="false">IF(OR(D336="",D336=0),"",E336/D336)</f>
        <v>0</v>
      </c>
      <c r="G336" s="16" t="n">
        <v>651.101415</v>
      </c>
      <c r="H336" s="16" t="n">
        <v>0</v>
      </c>
      <c r="I336" s="16" t="n">
        <v>651.101415</v>
      </c>
      <c r="J336" s="17" t="n">
        <f aca="false">IF(I336="","",G336-I336)</f>
        <v>0</v>
      </c>
      <c r="K336" s="18" t="n">
        <f aca="false">IF(OR(I336="",I336=0),"",J336/I336)</f>
        <v>0</v>
      </c>
      <c r="L336" s="19" t="str">
        <f aca="false">IF(OR(D336="",I336=""),"No reported total for O&amp;M or depreciation",IF(AND(ABS(F336)&lt;=$D$2,ABS(K336)&lt;=$D$2),"Reconciles within tolerance","Outside tolerance"))</f>
        <v>Reconciles within tolerance</v>
      </c>
      <c r="M336" s="17" t="n">
        <f aca="false">IF(OR(E336="",LEFT(L336,8)="Excluded"),"",ABS(E336))</f>
        <v>0</v>
      </c>
    </row>
    <row r="337" customFormat="false" ht="15" hidden="false" customHeight="false" outlineLevel="0" collapsed="false">
      <c r="A337" s="7" t="n">
        <v>2020</v>
      </c>
      <c r="B337" s="12" t="s">
        <v>73</v>
      </c>
      <c r="C337" s="16" t="n">
        <v>936.687133</v>
      </c>
      <c r="D337" s="16" t="n">
        <v>936.687133</v>
      </c>
      <c r="E337" s="17" t="n">
        <f aca="false">IF(D337="","",C337-D337)</f>
        <v>0</v>
      </c>
      <c r="F337" s="18" t="n">
        <f aca="false">IF(OR(D337="",D337=0),"",E337/D337)</f>
        <v>0</v>
      </c>
      <c r="G337" s="16" t="n">
        <v>748.875611</v>
      </c>
      <c r="H337" s="16" t="n">
        <v>0</v>
      </c>
      <c r="I337" s="16" t="n">
        <v>748.875611</v>
      </c>
      <c r="J337" s="17" t="n">
        <f aca="false">IF(I337="","",G337-I337)</f>
        <v>0</v>
      </c>
      <c r="K337" s="18" t="n">
        <f aca="false">IF(OR(I337="",I337=0),"",J337/I337)</f>
        <v>0</v>
      </c>
      <c r="L337" s="19" t="str">
        <f aca="false">IF(OR(D337="",I337=""),"No reported total for O&amp;M or depreciation",IF(AND(ABS(F337)&lt;=$D$2,ABS(K337)&lt;=$D$2),"Reconciles within tolerance","Outside tolerance"))</f>
        <v>Reconciles within tolerance</v>
      </c>
      <c r="M337" s="17" t="n">
        <f aca="false">IF(OR(E337="",LEFT(L337,8)="Excluded"),"",ABS(E337))</f>
        <v>0</v>
      </c>
    </row>
    <row r="338" customFormat="false" ht="15" hidden="false" customHeight="false" outlineLevel="0" collapsed="false">
      <c r="A338" s="7" t="n">
        <v>2021</v>
      </c>
      <c r="B338" s="12" t="s">
        <v>73</v>
      </c>
      <c r="C338" s="16" t="n">
        <v>1146.913534</v>
      </c>
      <c r="D338" s="16" t="n">
        <v>1146.913534</v>
      </c>
      <c r="E338" s="17" t="n">
        <f aca="false">IF(D338="","",C338-D338)</f>
        <v>0</v>
      </c>
      <c r="F338" s="18" t="n">
        <f aca="false">IF(OR(D338="",D338=0),"",E338/D338)</f>
        <v>0</v>
      </c>
      <c r="G338" s="16" t="n">
        <v>815.927648</v>
      </c>
      <c r="H338" s="16" t="n">
        <v>0</v>
      </c>
      <c r="I338" s="16" t="n">
        <v>815.927648</v>
      </c>
      <c r="J338" s="17" t="n">
        <f aca="false">IF(I338="","",G338-I338)</f>
        <v>0</v>
      </c>
      <c r="K338" s="18" t="n">
        <f aca="false">IF(OR(I338="",I338=0),"",J338/I338)</f>
        <v>0</v>
      </c>
      <c r="L338" s="19" t="str">
        <f aca="false">IF(OR(D338="",I338=""),"No reported total for O&amp;M or depreciation",IF(AND(ABS(F338)&lt;=$D$2,ABS(K338)&lt;=$D$2),"Reconciles within tolerance","Outside tolerance"))</f>
        <v>Reconciles within tolerance</v>
      </c>
      <c r="M338" s="17" t="n">
        <f aca="false">IF(OR(E338="",LEFT(L338,8)="Excluded"),"",ABS(E338))</f>
        <v>0</v>
      </c>
    </row>
    <row r="339" customFormat="false" ht="15" hidden="false" customHeight="false" outlineLevel="0" collapsed="false">
      <c r="A339" s="7" t="n">
        <v>2022</v>
      </c>
      <c r="B339" s="12" t="s">
        <v>73</v>
      </c>
      <c r="C339" s="16" t="n">
        <v>1348.628215</v>
      </c>
      <c r="D339" s="16" t="n">
        <v>1348.628215</v>
      </c>
      <c r="E339" s="17" t="n">
        <f aca="false">IF(D339="","",C339-D339)</f>
        <v>0</v>
      </c>
      <c r="F339" s="18" t="n">
        <f aca="false">IF(OR(D339="",D339=0),"",E339/D339)</f>
        <v>0</v>
      </c>
      <c r="G339" s="16" t="n">
        <v>843.770759</v>
      </c>
      <c r="H339" s="16" t="n">
        <v>0</v>
      </c>
      <c r="I339" s="16" t="n">
        <v>843.770759</v>
      </c>
      <c r="J339" s="17" t="n">
        <f aca="false">IF(I339="","",G339-I339)</f>
        <v>0</v>
      </c>
      <c r="K339" s="18" t="n">
        <f aca="false">IF(OR(I339="",I339=0),"",J339/I339)</f>
        <v>0</v>
      </c>
      <c r="L339" s="19" t="str">
        <f aca="false">IF(OR(D339="",I339=""),"No reported total for O&amp;M or depreciation",IF(AND(ABS(F339)&lt;=$D$2,ABS(K339)&lt;=$D$2),"Reconciles within tolerance","Outside tolerance"))</f>
        <v>Reconciles within tolerance</v>
      </c>
      <c r="M339" s="17" t="n">
        <f aca="false">IF(OR(E339="",LEFT(L339,8)="Excluded"),"",ABS(E339))</f>
        <v>0</v>
      </c>
    </row>
    <row r="340" customFormat="false" ht="15" hidden="false" customHeight="false" outlineLevel="0" collapsed="false">
      <c r="A340" s="7" t="n">
        <v>2023</v>
      </c>
      <c r="B340" s="12" t="s">
        <v>73</v>
      </c>
      <c r="C340" s="16" t="n">
        <v>1188.755809</v>
      </c>
      <c r="D340" s="16" t="n">
        <v>1188.755809</v>
      </c>
      <c r="E340" s="17" t="n">
        <f aca="false">IF(D340="","",C340-D340)</f>
        <v>0</v>
      </c>
      <c r="F340" s="18" t="n">
        <f aca="false">IF(OR(D340="",D340=0),"",E340/D340)</f>
        <v>0</v>
      </c>
      <c r="G340" s="16" t="n">
        <v>871.208008</v>
      </c>
      <c r="H340" s="16" t="n">
        <v>0</v>
      </c>
      <c r="I340" s="16" t="n">
        <v>871.208008</v>
      </c>
      <c r="J340" s="17" t="n">
        <f aca="false">IF(I340="","",G340-I340)</f>
        <v>0</v>
      </c>
      <c r="K340" s="18" t="n">
        <f aca="false">IF(OR(I340="",I340=0),"",J340/I340)</f>
        <v>0</v>
      </c>
      <c r="L340" s="19" t="str">
        <f aca="false">IF(OR(D340="",I340=""),"No reported total for O&amp;M or depreciation",IF(AND(ABS(F340)&lt;=$D$2,ABS(K340)&lt;=$D$2),"Reconciles within tolerance","Outside tolerance"))</f>
        <v>Reconciles within tolerance</v>
      </c>
      <c r="M340" s="17" t="n">
        <f aca="false">IF(OR(E340="",LEFT(L340,8)="Excluded"),"",ABS(E340))</f>
        <v>0</v>
      </c>
    </row>
    <row r="341" customFormat="false" ht="15" hidden="false" customHeight="false" outlineLevel="0" collapsed="false">
      <c r="A341" s="7" t="n">
        <v>2024</v>
      </c>
      <c r="B341" s="12" t="s">
        <v>73</v>
      </c>
      <c r="C341" s="16" t="n">
        <v>1150.624957</v>
      </c>
      <c r="D341" s="16" t="n">
        <v>1150.624957</v>
      </c>
      <c r="E341" s="17" t="n">
        <f aca="false">IF(D341="","",C341-D341)</f>
        <v>0</v>
      </c>
      <c r="F341" s="18" t="n">
        <f aca="false">IF(OR(D341="",D341=0),"",E341/D341)</f>
        <v>0</v>
      </c>
      <c r="G341" s="16" t="n">
        <v>842.074811</v>
      </c>
      <c r="H341" s="16" t="n">
        <v>485.205767</v>
      </c>
      <c r="I341" s="16" t="n">
        <v>842.074811</v>
      </c>
      <c r="J341" s="17" t="n">
        <f aca="false">IF(I341="","",G341-I341)</f>
        <v>0</v>
      </c>
      <c r="K341" s="18" t="n">
        <f aca="false">IF(OR(I341="",I341=0),"",J341/I341)</f>
        <v>0</v>
      </c>
      <c r="L341" s="19" t="str">
        <f aca="false">IF(OR(D341="",I341=""),"No reported total for O&amp;M or depreciation",IF(AND(ABS(F341)&lt;=$D$2,ABS(K341)&lt;=$D$2),"Reconciles within tolerance","Outside tolerance"))</f>
        <v>Reconciles within tolerance</v>
      </c>
      <c r="M341" s="17" t="n">
        <f aca="false">IF(OR(E341="",LEFT(L341,8)="Excluded"),"",ABS(E341))</f>
        <v>0</v>
      </c>
    </row>
    <row r="342" customFormat="false" ht="15" hidden="false" customHeight="false" outlineLevel="0" collapsed="false">
      <c r="A342" s="7" t="n">
        <v>2025</v>
      </c>
      <c r="B342" s="12" t="s">
        <v>73</v>
      </c>
      <c r="C342" s="16" t="n">
        <v>1461.92582</v>
      </c>
      <c r="D342" s="16" t="n">
        <v>1461.92582</v>
      </c>
      <c r="E342" s="17" t="n">
        <f aca="false">IF(D342="","",C342-D342)</f>
        <v>0</v>
      </c>
      <c r="F342" s="18" t="n">
        <f aca="false">IF(OR(D342="",D342=0),"",E342/D342)</f>
        <v>0</v>
      </c>
      <c r="G342" s="16" t="n">
        <v>867.773213</v>
      </c>
      <c r="H342" s="16" t="n">
        <v>27.683127</v>
      </c>
      <c r="I342" s="16" t="n">
        <v>867.773213</v>
      </c>
      <c r="J342" s="17" t="n">
        <f aca="false">IF(I342="","",G342-I342)</f>
        <v>0</v>
      </c>
      <c r="K342" s="18" t="n">
        <f aca="false">IF(OR(I342="",I342=0),"",J342/I342)</f>
        <v>0</v>
      </c>
      <c r="L342" s="19" t="str">
        <f aca="false">IF(OR(D342="",I342=""),"No reported total for O&amp;M or depreciation",IF(AND(ABS(F342)&lt;=$D$2,ABS(K342)&lt;=$D$2),"Reconciles within tolerance","Outside tolerance"))</f>
        <v>Reconciles within tolerance</v>
      </c>
      <c r="M342" s="17" t="n">
        <f aca="false">IF(OR(E342="",LEFT(L342,8)="Excluded"),"",ABS(E342))</f>
        <v>0</v>
      </c>
    </row>
    <row r="343" customFormat="false" ht="15" hidden="false" customHeight="false" outlineLevel="0" collapsed="false">
      <c r="A343" s="7" t="n">
        <v>1995</v>
      </c>
      <c r="B343" s="12" t="s">
        <v>74</v>
      </c>
      <c r="C343" s="16" t="n">
        <v>533.285485</v>
      </c>
      <c r="D343" s="16" t="n">
        <v>533.285485</v>
      </c>
      <c r="E343" s="17" t="n">
        <f aca="false">IF(D343="","",C343-D343)</f>
        <v>0</v>
      </c>
      <c r="F343" s="18" t="n">
        <f aca="false">IF(OR(D343="",D343=0),"",E343/D343)</f>
        <v>0</v>
      </c>
      <c r="G343" s="16" t="n">
        <v>137.707959</v>
      </c>
      <c r="H343" s="16" t="n">
        <v>0</v>
      </c>
      <c r="I343" s="16" t="n">
        <v>137.707959</v>
      </c>
      <c r="J343" s="17" t="n">
        <f aca="false">IF(I343="","",G343-I343)</f>
        <v>0</v>
      </c>
      <c r="K343" s="18" t="n">
        <f aca="false">IF(OR(I343="",I343=0),"",J343/I343)</f>
        <v>0</v>
      </c>
      <c r="L343" s="19" t="str">
        <f aca="false">IF(OR(D343="",I343=""),"No reported total for O&amp;M or depreciation",IF(AND(ABS(F343)&lt;=$D$2,ABS(K343)&lt;=$D$2),"Reconciles within tolerance","Outside tolerance"))</f>
        <v>Reconciles within tolerance</v>
      </c>
      <c r="M343" s="17" t="n">
        <f aca="false">IF(OR(E343="",LEFT(L343,8)="Excluded"),"",ABS(E343))</f>
        <v>0</v>
      </c>
    </row>
    <row r="344" customFormat="false" ht="15" hidden="false" customHeight="false" outlineLevel="0" collapsed="false">
      <c r="A344" s="7" t="n">
        <v>1996</v>
      </c>
      <c r="B344" s="12" t="s">
        <v>74</v>
      </c>
      <c r="C344" s="16" t="n">
        <v>523.798876</v>
      </c>
      <c r="D344" s="16" t="n">
        <v>523.798876</v>
      </c>
      <c r="E344" s="17" t="n">
        <f aca="false">IF(D344="","",C344-D344)</f>
        <v>0</v>
      </c>
      <c r="F344" s="18" t="n">
        <f aca="false">IF(OR(D344="",D344=0),"",E344/D344)</f>
        <v>0</v>
      </c>
      <c r="G344" s="16" t="n">
        <v>144.370323</v>
      </c>
      <c r="H344" s="16" t="n">
        <v>0</v>
      </c>
      <c r="I344" s="16" t="n">
        <v>144.370323</v>
      </c>
      <c r="J344" s="17" t="n">
        <f aca="false">IF(I344="","",G344-I344)</f>
        <v>0</v>
      </c>
      <c r="K344" s="18" t="n">
        <f aca="false">IF(OR(I344="",I344=0),"",J344/I344)</f>
        <v>0</v>
      </c>
      <c r="L344" s="19" t="str">
        <f aca="false">IF(OR(D344="",I344=""),"No reported total for O&amp;M or depreciation",IF(AND(ABS(F344)&lt;=$D$2,ABS(K344)&lt;=$D$2),"Reconciles within tolerance","Outside tolerance"))</f>
        <v>Reconciles within tolerance</v>
      </c>
      <c r="M344" s="17" t="n">
        <f aca="false">IF(OR(E344="",LEFT(L344,8)="Excluded"),"",ABS(E344))</f>
        <v>0</v>
      </c>
    </row>
    <row r="345" customFormat="false" ht="15" hidden="false" customHeight="false" outlineLevel="0" collapsed="false">
      <c r="A345" s="7" t="n">
        <v>1997</v>
      </c>
      <c r="B345" s="12" t="s">
        <v>74</v>
      </c>
      <c r="C345" s="16" t="n">
        <v>501.229647</v>
      </c>
      <c r="D345" s="16" t="n">
        <v>501.229647</v>
      </c>
      <c r="E345" s="17" t="n">
        <f aca="false">IF(D345="","",C345-D345)</f>
        <v>0</v>
      </c>
      <c r="F345" s="18" t="n">
        <f aca="false">IF(OR(D345="",D345=0),"",E345/D345)</f>
        <v>0</v>
      </c>
      <c r="G345" s="16" t="n">
        <v>145.18679</v>
      </c>
      <c r="H345" s="16" t="n">
        <v>0</v>
      </c>
      <c r="I345" s="16" t="n">
        <v>145.18679</v>
      </c>
      <c r="J345" s="17" t="n">
        <f aca="false">IF(I345="","",G345-I345)</f>
        <v>0</v>
      </c>
      <c r="K345" s="18" t="n">
        <f aca="false">IF(OR(I345="",I345=0),"",J345/I345)</f>
        <v>0</v>
      </c>
      <c r="L345" s="19" t="str">
        <f aca="false">IF(OR(D345="",I345=""),"No reported total for O&amp;M or depreciation",IF(AND(ABS(F345)&lt;=$D$2,ABS(K345)&lt;=$D$2),"Reconciles within tolerance","Outside tolerance"))</f>
        <v>Reconciles within tolerance</v>
      </c>
      <c r="M345" s="17" t="n">
        <f aca="false">IF(OR(E345="",LEFT(L345,8)="Excluded"),"",ABS(E345))</f>
        <v>0</v>
      </c>
    </row>
    <row r="346" customFormat="false" ht="15" hidden="false" customHeight="false" outlineLevel="0" collapsed="false">
      <c r="A346" s="7" t="n">
        <v>1998</v>
      </c>
      <c r="B346" s="12" t="s">
        <v>74</v>
      </c>
      <c r="C346" s="16" t="n">
        <v>502.674859</v>
      </c>
      <c r="D346" s="16" t="n">
        <v>502.674859</v>
      </c>
      <c r="E346" s="17" t="n">
        <f aca="false">IF(D346="","",C346-D346)</f>
        <v>0</v>
      </c>
      <c r="F346" s="18" t="n">
        <f aca="false">IF(OR(D346="",D346=0),"",E346/D346)</f>
        <v>0</v>
      </c>
      <c r="G346" s="16" t="n">
        <v>147.865778</v>
      </c>
      <c r="H346" s="16" t="n">
        <v>0</v>
      </c>
      <c r="I346" s="16" t="n">
        <v>147.865778</v>
      </c>
      <c r="J346" s="17" t="n">
        <f aca="false">IF(I346="","",G346-I346)</f>
        <v>0</v>
      </c>
      <c r="K346" s="18" t="n">
        <f aca="false">IF(OR(I346="",I346=0),"",J346/I346)</f>
        <v>0</v>
      </c>
      <c r="L346" s="19" t="str">
        <f aca="false">IF(OR(D346="",I346=""),"No reported total for O&amp;M or depreciation",IF(AND(ABS(F346)&lt;=$D$2,ABS(K346)&lt;=$D$2),"Reconciles within tolerance","Outside tolerance"))</f>
        <v>Reconciles within tolerance</v>
      </c>
      <c r="M346" s="17" t="n">
        <f aca="false">IF(OR(E346="",LEFT(L346,8)="Excluded"),"",ABS(E346))</f>
        <v>0</v>
      </c>
    </row>
    <row r="347" customFormat="false" ht="15" hidden="false" customHeight="false" outlineLevel="0" collapsed="false">
      <c r="A347" s="7" t="n">
        <v>1999</v>
      </c>
      <c r="B347" s="12" t="s">
        <v>74</v>
      </c>
      <c r="C347" s="16" t="n">
        <v>541.313862</v>
      </c>
      <c r="D347" s="16" t="n">
        <v>541.313862</v>
      </c>
      <c r="E347" s="17" t="n">
        <f aca="false">IF(D347="","",C347-D347)</f>
        <v>0</v>
      </c>
      <c r="F347" s="18" t="n">
        <f aca="false">IF(OR(D347="",D347=0),"",E347/D347)</f>
        <v>0</v>
      </c>
      <c r="G347" s="16" t="n">
        <v>149.564044</v>
      </c>
      <c r="H347" s="16" t="n">
        <v>0</v>
      </c>
      <c r="I347" s="16" t="n">
        <v>149.564044</v>
      </c>
      <c r="J347" s="17" t="n">
        <f aca="false">IF(I347="","",G347-I347)</f>
        <v>0</v>
      </c>
      <c r="K347" s="18" t="n">
        <f aca="false">IF(OR(I347="",I347=0),"",J347/I347)</f>
        <v>0</v>
      </c>
      <c r="L347" s="19" t="str">
        <f aca="false">IF(OR(D347="",I347=""),"No reported total for O&amp;M or depreciation",IF(AND(ABS(F347)&lt;=$D$2,ABS(K347)&lt;=$D$2),"Reconciles within tolerance","Outside tolerance"))</f>
        <v>Reconciles within tolerance</v>
      </c>
      <c r="M347" s="17" t="n">
        <f aca="false">IF(OR(E347="",LEFT(L347,8)="Excluded"),"",ABS(E347))</f>
        <v>0</v>
      </c>
    </row>
    <row r="348" customFormat="false" ht="15" hidden="false" customHeight="false" outlineLevel="0" collapsed="false">
      <c r="A348" s="7" t="n">
        <v>2000</v>
      </c>
      <c r="B348" s="12" t="s">
        <v>74</v>
      </c>
      <c r="C348" s="16" t="n">
        <v>508.868121</v>
      </c>
      <c r="D348" s="16" t="n">
        <v>508.868121</v>
      </c>
      <c r="E348" s="17" t="n">
        <f aca="false">IF(D348="","",C348-D348)</f>
        <v>0</v>
      </c>
      <c r="F348" s="18" t="n">
        <f aca="false">IF(OR(D348="",D348=0),"",E348/D348)</f>
        <v>0</v>
      </c>
      <c r="G348" s="16" t="n">
        <v>153.778878</v>
      </c>
      <c r="H348" s="16" t="n">
        <v>0</v>
      </c>
      <c r="I348" s="16" t="n">
        <v>153.778878</v>
      </c>
      <c r="J348" s="17" t="n">
        <f aca="false">IF(I348="","",G348-I348)</f>
        <v>0</v>
      </c>
      <c r="K348" s="18" t="n">
        <f aca="false">IF(OR(I348="",I348=0),"",J348/I348)</f>
        <v>0</v>
      </c>
      <c r="L348" s="19" t="str">
        <f aca="false">IF(OR(D348="",I348=""),"No reported total for O&amp;M or depreciation",IF(AND(ABS(F348)&lt;=$D$2,ABS(K348)&lt;=$D$2),"Reconciles within tolerance","Outside tolerance"))</f>
        <v>Reconciles within tolerance</v>
      </c>
      <c r="M348" s="17" t="n">
        <f aca="false">IF(OR(E348="",LEFT(L348,8)="Excluded"),"",ABS(E348))</f>
        <v>0</v>
      </c>
    </row>
    <row r="349" customFormat="false" ht="15" hidden="false" customHeight="false" outlineLevel="0" collapsed="false">
      <c r="A349" s="7" t="n">
        <v>2001</v>
      </c>
      <c r="B349" s="12" t="s">
        <v>74</v>
      </c>
      <c r="C349" s="16" t="n">
        <v>500.891894</v>
      </c>
      <c r="D349" s="16" t="n">
        <v>500.891894</v>
      </c>
      <c r="E349" s="17" t="n">
        <f aca="false">IF(D349="","",C349-D349)</f>
        <v>0</v>
      </c>
      <c r="F349" s="18" t="n">
        <f aca="false">IF(OR(D349="",D349=0),"",E349/D349)</f>
        <v>0</v>
      </c>
      <c r="G349" s="16" t="n">
        <v>157.865564</v>
      </c>
      <c r="H349" s="16" t="n">
        <v>0</v>
      </c>
      <c r="I349" s="16" t="n">
        <v>157.865564</v>
      </c>
      <c r="J349" s="17" t="n">
        <f aca="false">IF(I349="","",G349-I349)</f>
        <v>0</v>
      </c>
      <c r="K349" s="18" t="n">
        <f aca="false">IF(OR(I349="",I349=0),"",J349/I349)</f>
        <v>0</v>
      </c>
      <c r="L349" s="19" t="str">
        <f aca="false">IF(OR(D349="",I349=""),"No reported total for O&amp;M or depreciation",IF(AND(ABS(F349)&lt;=$D$2,ABS(K349)&lt;=$D$2),"Reconciles within tolerance","Outside tolerance"))</f>
        <v>Reconciles within tolerance</v>
      </c>
      <c r="M349" s="17" t="n">
        <f aca="false">IF(OR(E349="",LEFT(L349,8)="Excluded"),"",ABS(E349))</f>
        <v>0</v>
      </c>
    </row>
    <row r="350" customFormat="false" ht="15" hidden="false" customHeight="false" outlineLevel="0" collapsed="false">
      <c r="A350" s="7" t="n">
        <v>2002</v>
      </c>
      <c r="B350" s="12" t="s">
        <v>74</v>
      </c>
      <c r="C350" s="16" t="n">
        <v>591.770608</v>
      </c>
      <c r="D350" s="16" t="n">
        <v>591.770608</v>
      </c>
      <c r="E350" s="17" t="n">
        <f aca="false">IF(D350="","",C350-D350)</f>
        <v>0</v>
      </c>
      <c r="F350" s="18" t="n">
        <f aca="false">IF(OR(D350="",D350=0),"",E350/D350)</f>
        <v>0</v>
      </c>
      <c r="G350" s="16" t="n">
        <v>163.248725</v>
      </c>
      <c r="H350" s="16" t="n">
        <v>0</v>
      </c>
      <c r="I350" s="16" t="n">
        <v>163.248725</v>
      </c>
      <c r="J350" s="17" t="n">
        <f aca="false">IF(I350="","",G350-I350)</f>
        <v>0</v>
      </c>
      <c r="K350" s="18" t="n">
        <f aca="false">IF(OR(I350="",I350=0),"",J350/I350)</f>
        <v>0</v>
      </c>
      <c r="L350" s="19" t="str">
        <f aca="false">IF(OR(D350="",I350=""),"No reported total for O&amp;M or depreciation",IF(AND(ABS(F350)&lt;=$D$2,ABS(K350)&lt;=$D$2),"Reconciles within tolerance","Outside tolerance"))</f>
        <v>Reconciles within tolerance</v>
      </c>
      <c r="M350" s="17" t="n">
        <f aca="false">IF(OR(E350="",LEFT(L350,8)="Excluded"),"",ABS(E350))</f>
        <v>0</v>
      </c>
    </row>
    <row r="351" customFormat="false" ht="15" hidden="false" customHeight="false" outlineLevel="0" collapsed="false">
      <c r="A351" s="7" t="n">
        <v>2003</v>
      </c>
      <c r="B351" s="12" t="s">
        <v>74</v>
      </c>
      <c r="C351" s="16" t="n">
        <v>588.886629</v>
      </c>
      <c r="D351" s="16" t="n">
        <v>588.886629</v>
      </c>
      <c r="E351" s="17" t="n">
        <f aca="false">IF(D351="","",C351-D351)</f>
        <v>0</v>
      </c>
      <c r="F351" s="18" t="n">
        <f aca="false">IF(OR(D351="",D351=0),"",E351/D351)</f>
        <v>0</v>
      </c>
      <c r="G351" s="16" t="n">
        <v>166.187905</v>
      </c>
      <c r="H351" s="16" t="n">
        <v>0</v>
      </c>
      <c r="I351" s="16" t="n">
        <v>166.187905</v>
      </c>
      <c r="J351" s="17" t="n">
        <f aca="false">IF(I351="","",G351-I351)</f>
        <v>0</v>
      </c>
      <c r="K351" s="18" t="n">
        <f aca="false">IF(OR(I351="",I351=0),"",J351/I351)</f>
        <v>0</v>
      </c>
      <c r="L351" s="19" t="str">
        <f aca="false">IF(OR(D351="",I351=""),"No reported total for O&amp;M or depreciation",IF(AND(ABS(F351)&lt;=$D$2,ABS(K351)&lt;=$D$2),"Reconciles within tolerance","Outside tolerance"))</f>
        <v>Reconciles within tolerance</v>
      </c>
      <c r="M351" s="17" t="n">
        <f aca="false">IF(OR(E351="",LEFT(L351,8)="Excluded"),"",ABS(E351))</f>
        <v>0</v>
      </c>
    </row>
    <row r="352" customFormat="false" ht="15" hidden="false" customHeight="false" outlineLevel="0" collapsed="false">
      <c r="A352" s="7" t="n">
        <v>2004</v>
      </c>
      <c r="B352" s="12" t="s">
        <v>74</v>
      </c>
      <c r="C352" s="16" t="n">
        <v>590.989057</v>
      </c>
      <c r="D352" s="16" t="n">
        <v>590.989057</v>
      </c>
      <c r="E352" s="17" t="n">
        <f aca="false">IF(D352="","",C352-D352)</f>
        <v>0</v>
      </c>
      <c r="F352" s="18" t="n">
        <f aca="false">IF(OR(D352="",D352=0),"",E352/D352)</f>
        <v>0</v>
      </c>
      <c r="G352" s="16" t="n">
        <v>169.164728</v>
      </c>
      <c r="H352" s="16" t="n">
        <v>0</v>
      </c>
      <c r="I352" s="16" t="n">
        <v>169.164728</v>
      </c>
      <c r="J352" s="17" t="n">
        <f aca="false">IF(I352="","",G352-I352)</f>
        <v>0</v>
      </c>
      <c r="K352" s="18" t="n">
        <f aca="false">IF(OR(I352="",I352=0),"",J352/I352)</f>
        <v>0</v>
      </c>
      <c r="L352" s="19" t="str">
        <f aca="false">IF(OR(D352="",I352=""),"No reported total for O&amp;M or depreciation",IF(AND(ABS(F352)&lt;=$D$2,ABS(K352)&lt;=$D$2),"Reconciles within tolerance","Outside tolerance"))</f>
        <v>Reconciles within tolerance</v>
      </c>
      <c r="M352" s="17" t="n">
        <f aca="false">IF(OR(E352="",LEFT(L352,8)="Excluded"),"",ABS(E352))</f>
        <v>0</v>
      </c>
    </row>
    <row r="353" customFormat="false" ht="15" hidden="false" customHeight="false" outlineLevel="0" collapsed="false">
      <c r="A353" s="7" t="n">
        <v>2005</v>
      </c>
      <c r="B353" s="12" t="s">
        <v>74</v>
      </c>
      <c r="C353" s="16" t="n">
        <v>714.614029</v>
      </c>
      <c r="D353" s="16" t="n">
        <v>714.614029</v>
      </c>
      <c r="E353" s="17" t="n">
        <f aca="false">IF(D353="","",C353-D353)</f>
        <v>0</v>
      </c>
      <c r="F353" s="18" t="n">
        <f aca="false">IF(OR(D353="",D353=0),"",E353/D353)</f>
        <v>0</v>
      </c>
      <c r="G353" s="16" t="n">
        <v>176.926933</v>
      </c>
      <c r="H353" s="16" t="n">
        <v>0</v>
      </c>
      <c r="I353" s="16" t="n">
        <v>176.926933</v>
      </c>
      <c r="J353" s="17" t="n">
        <f aca="false">IF(I353="","",G353-I353)</f>
        <v>0</v>
      </c>
      <c r="K353" s="18" t="n">
        <f aca="false">IF(OR(I353="",I353=0),"",J353/I353)</f>
        <v>0</v>
      </c>
      <c r="L353" s="19" t="str">
        <f aca="false">IF(OR(D353="",I353=""),"No reported total for O&amp;M or depreciation",IF(AND(ABS(F353)&lt;=$D$2,ABS(K353)&lt;=$D$2),"Reconciles within tolerance","Outside tolerance"))</f>
        <v>Reconciles within tolerance</v>
      </c>
      <c r="M353" s="17" t="n">
        <f aca="false">IF(OR(E353="",LEFT(L353,8)="Excluded"),"",ABS(E353))</f>
        <v>0</v>
      </c>
    </row>
    <row r="354" customFormat="false" ht="15" hidden="false" customHeight="false" outlineLevel="0" collapsed="false">
      <c r="A354" s="7" t="n">
        <v>2006</v>
      </c>
      <c r="B354" s="12" t="s">
        <v>74</v>
      </c>
      <c r="C354" s="16" t="n">
        <v>746.840951</v>
      </c>
      <c r="D354" s="16" t="n">
        <v>746.840951</v>
      </c>
      <c r="E354" s="17" t="n">
        <f aca="false">IF(D354="","",C354-D354)</f>
        <v>0</v>
      </c>
      <c r="F354" s="18" t="n">
        <f aca="false">IF(OR(D354="",D354=0),"",E354/D354)</f>
        <v>0</v>
      </c>
      <c r="G354" s="16" t="n">
        <v>178.321707</v>
      </c>
      <c r="H354" s="16" t="n">
        <v>0</v>
      </c>
      <c r="I354" s="16" t="n">
        <v>178.321707</v>
      </c>
      <c r="J354" s="17" t="n">
        <f aca="false">IF(I354="","",G354-I354)</f>
        <v>0</v>
      </c>
      <c r="K354" s="18" t="n">
        <f aca="false">IF(OR(I354="",I354=0),"",J354/I354)</f>
        <v>0</v>
      </c>
      <c r="L354" s="19" t="str">
        <f aca="false">IF(OR(D354="",I354=""),"No reported total for O&amp;M or depreciation",IF(AND(ABS(F354)&lt;=$D$2,ABS(K354)&lt;=$D$2),"Reconciles within tolerance","Outside tolerance"))</f>
        <v>Reconciles within tolerance</v>
      </c>
      <c r="M354" s="17" t="n">
        <f aca="false">IF(OR(E354="",LEFT(L354,8)="Excluded"),"",ABS(E354))</f>
        <v>0</v>
      </c>
    </row>
    <row r="355" customFormat="false" ht="15" hidden="false" customHeight="false" outlineLevel="0" collapsed="false">
      <c r="A355" s="7" t="n">
        <v>2007</v>
      </c>
      <c r="B355" s="12" t="s">
        <v>74</v>
      </c>
      <c r="C355" s="16" t="n">
        <v>848.386491</v>
      </c>
      <c r="D355" s="16" t="n">
        <v>848.386491</v>
      </c>
      <c r="E355" s="17" t="n">
        <f aca="false">IF(D355="","",C355-D355)</f>
        <v>0</v>
      </c>
      <c r="F355" s="18" t="n">
        <f aca="false">IF(OR(D355="",D355=0),"",E355/D355)</f>
        <v>0</v>
      </c>
      <c r="G355" s="16" t="n">
        <v>182.943221</v>
      </c>
      <c r="H355" s="16" t="n">
        <v>0</v>
      </c>
      <c r="I355" s="16" t="n">
        <v>182.943221</v>
      </c>
      <c r="J355" s="17" t="n">
        <f aca="false">IF(I355="","",G355-I355)</f>
        <v>0</v>
      </c>
      <c r="K355" s="18" t="n">
        <f aca="false">IF(OR(I355="",I355=0),"",J355/I355)</f>
        <v>0</v>
      </c>
      <c r="L355" s="19" t="str">
        <f aca="false">IF(OR(D355="",I355=""),"No reported total for O&amp;M or depreciation",IF(AND(ABS(F355)&lt;=$D$2,ABS(K355)&lt;=$D$2),"Reconciles within tolerance","Outside tolerance"))</f>
        <v>Reconciles within tolerance</v>
      </c>
      <c r="M355" s="17" t="n">
        <f aca="false">IF(OR(E355="",LEFT(L355,8)="Excluded"),"",ABS(E355))</f>
        <v>0</v>
      </c>
    </row>
    <row r="356" customFormat="false" ht="15" hidden="false" customHeight="false" outlineLevel="0" collapsed="false">
      <c r="A356" s="7" t="n">
        <v>2008</v>
      </c>
      <c r="B356" s="12" t="s">
        <v>74</v>
      </c>
      <c r="C356" s="16" t="n">
        <v>876.086225</v>
      </c>
      <c r="D356" s="16" t="n">
        <v>876.086225</v>
      </c>
      <c r="E356" s="17" t="n">
        <f aca="false">IF(D356="","",C356-D356)</f>
        <v>0</v>
      </c>
      <c r="F356" s="18" t="n">
        <f aca="false">IF(OR(D356="",D356=0),"",E356/D356)</f>
        <v>0</v>
      </c>
      <c r="G356" s="16" t="n">
        <v>199.551302</v>
      </c>
      <c r="H356" s="16" t="n">
        <v>0</v>
      </c>
      <c r="I356" s="16" t="n">
        <v>199.551302</v>
      </c>
      <c r="J356" s="17" t="n">
        <f aca="false">IF(I356="","",G356-I356)</f>
        <v>0</v>
      </c>
      <c r="K356" s="18" t="n">
        <f aca="false">IF(OR(I356="",I356=0),"",J356/I356)</f>
        <v>0</v>
      </c>
      <c r="L356" s="19" t="str">
        <f aca="false">IF(OR(D356="",I356=""),"No reported total for O&amp;M or depreciation",IF(AND(ABS(F356)&lt;=$D$2,ABS(K356)&lt;=$D$2),"Reconciles within tolerance","Outside tolerance"))</f>
        <v>Reconciles within tolerance</v>
      </c>
      <c r="M356" s="17" t="n">
        <f aca="false">IF(OR(E356="",LEFT(L356,8)="Excluded"),"",ABS(E356))</f>
        <v>0</v>
      </c>
    </row>
    <row r="357" customFormat="false" ht="15" hidden="false" customHeight="false" outlineLevel="0" collapsed="false">
      <c r="A357" s="7" t="n">
        <v>2009</v>
      </c>
      <c r="B357" s="12" t="s">
        <v>74</v>
      </c>
      <c r="C357" s="16" t="n">
        <v>832.158885</v>
      </c>
      <c r="D357" s="16" t="n">
        <v>832.158885</v>
      </c>
      <c r="E357" s="17" t="n">
        <f aca="false">IF(D357="","",C357-D357)</f>
        <v>0</v>
      </c>
      <c r="F357" s="18" t="n">
        <f aca="false">IF(OR(D357="",D357=0),"",E357/D357)</f>
        <v>0</v>
      </c>
      <c r="G357" s="16" t="n">
        <v>195.103389</v>
      </c>
      <c r="H357" s="16" t="n">
        <v>0</v>
      </c>
      <c r="I357" s="16" t="n">
        <v>195.103389</v>
      </c>
      <c r="J357" s="17" t="n">
        <f aca="false">IF(I357="","",G357-I357)</f>
        <v>0</v>
      </c>
      <c r="K357" s="18" t="n">
        <f aca="false">IF(OR(I357="",I357=0),"",J357/I357)</f>
        <v>0</v>
      </c>
      <c r="L357" s="19" t="str">
        <f aca="false">IF(OR(D357="",I357=""),"No reported total for O&amp;M or depreciation",IF(AND(ABS(F357)&lt;=$D$2,ABS(K357)&lt;=$D$2),"Reconciles within tolerance","Outside tolerance"))</f>
        <v>Reconciles within tolerance</v>
      </c>
      <c r="M357" s="17" t="n">
        <f aca="false">IF(OR(E357="",LEFT(L357,8)="Excluded"),"",ABS(E357))</f>
        <v>0</v>
      </c>
    </row>
    <row r="358" customFormat="false" ht="15" hidden="false" customHeight="false" outlineLevel="0" collapsed="false">
      <c r="A358" s="7" t="n">
        <v>2010</v>
      </c>
      <c r="B358" s="12" t="s">
        <v>74</v>
      </c>
      <c r="C358" s="16" t="n">
        <v>891.383611</v>
      </c>
      <c r="D358" s="16" t="n">
        <v>891.383611</v>
      </c>
      <c r="E358" s="17" t="n">
        <f aca="false">IF(D358="","",C358-D358)</f>
        <v>0</v>
      </c>
      <c r="F358" s="18" t="n">
        <f aca="false">IF(OR(D358="",D358=0),"",E358/D358)</f>
        <v>0</v>
      </c>
      <c r="G358" s="16" t="n">
        <v>205.191545</v>
      </c>
      <c r="H358" s="16" t="n">
        <v>0</v>
      </c>
      <c r="I358" s="16" t="n">
        <v>205.191545</v>
      </c>
      <c r="J358" s="17" t="n">
        <f aca="false">IF(I358="","",G358-I358)</f>
        <v>0</v>
      </c>
      <c r="K358" s="18" t="n">
        <f aca="false">IF(OR(I358="",I358=0),"",J358/I358)</f>
        <v>0</v>
      </c>
      <c r="L358" s="19" t="str">
        <f aca="false">IF(OR(D358="",I358=""),"No reported total for O&amp;M or depreciation",IF(AND(ABS(F358)&lt;=$D$2,ABS(K358)&lt;=$D$2),"Reconciles within tolerance","Outside tolerance"))</f>
        <v>Reconciles within tolerance</v>
      </c>
      <c r="M358" s="17" t="n">
        <f aca="false">IF(OR(E358="",LEFT(L358,8)="Excluded"),"",ABS(E358))</f>
        <v>0</v>
      </c>
    </row>
    <row r="359" customFormat="false" ht="15" hidden="false" customHeight="false" outlineLevel="0" collapsed="false">
      <c r="A359" s="7" t="n">
        <v>2011</v>
      </c>
      <c r="B359" s="12" t="s">
        <v>74</v>
      </c>
      <c r="C359" s="16" t="n">
        <v>952.44499</v>
      </c>
      <c r="D359" s="16" t="n">
        <v>952.44499</v>
      </c>
      <c r="E359" s="17" t="n">
        <f aca="false">IF(D359="","",C359-D359)</f>
        <v>0</v>
      </c>
      <c r="F359" s="18" t="n">
        <f aca="false">IF(OR(D359="",D359=0),"",E359/D359)</f>
        <v>0</v>
      </c>
      <c r="G359" s="16" t="n">
        <v>205.255267</v>
      </c>
      <c r="H359" s="16" t="n">
        <v>0</v>
      </c>
      <c r="I359" s="16" t="n">
        <v>205.255267</v>
      </c>
      <c r="J359" s="17" t="n">
        <f aca="false">IF(I359="","",G359-I359)</f>
        <v>0</v>
      </c>
      <c r="K359" s="18" t="n">
        <f aca="false">IF(OR(I359="",I359=0),"",J359/I359)</f>
        <v>0</v>
      </c>
      <c r="L359" s="19" t="str">
        <f aca="false">IF(OR(D359="",I359=""),"No reported total for O&amp;M or depreciation",IF(AND(ABS(F359)&lt;=$D$2,ABS(K359)&lt;=$D$2),"Reconciles within tolerance","Outside tolerance"))</f>
        <v>Reconciles within tolerance</v>
      </c>
      <c r="M359" s="17" t="n">
        <f aca="false">IF(OR(E359="",LEFT(L359,8)="Excluded"),"",ABS(E359))</f>
        <v>0</v>
      </c>
    </row>
    <row r="360" customFormat="false" ht="15" hidden="false" customHeight="false" outlineLevel="0" collapsed="false">
      <c r="A360" s="7" t="n">
        <v>2012</v>
      </c>
      <c r="B360" s="12" t="s">
        <v>74</v>
      </c>
      <c r="C360" s="16" t="n">
        <v>958.324662</v>
      </c>
      <c r="D360" s="16" t="n">
        <v>958.324662</v>
      </c>
      <c r="E360" s="17" t="n">
        <f aca="false">IF(D360="","",C360-D360)</f>
        <v>0</v>
      </c>
      <c r="F360" s="18" t="n">
        <f aca="false">IF(OR(D360="",D360=0),"",E360/D360)</f>
        <v>0</v>
      </c>
      <c r="G360" s="16" t="n">
        <v>212.362072</v>
      </c>
      <c r="H360" s="16" t="n">
        <v>0</v>
      </c>
      <c r="I360" s="16" t="n">
        <v>212.362072</v>
      </c>
      <c r="J360" s="17" t="n">
        <f aca="false">IF(I360="","",G360-I360)</f>
        <v>0</v>
      </c>
      <c r="K360" s="18" t="n">
        <f aca="false">IF(OR(I360="",I360=0),"",J360/I360)</f>
        <v>0</v>
      </c>
      <c r="L360" s="19" t="str">
        <f aca="false">IF(OR(D360="",I360=""),"No reported total for O&amp;M or depreciation",IF(AND(ABS(F360)&lt;=$D$2,ABS(K360)&lt;=$D$2),"Reconciles within tolerance","Outside tolerance"))</f>
        <v>Reconciles within tolerance</v>
      </c>
      <c r="M360" s="17" t="n">
        <f aca="false">IF(OR(E360="",LEFT(L360,8)="Excluded"),"",ABS(E360))</f>
        <v>0</v>
      </c>
    </row>
    <row r="361" customFormat="false" ht="15" hidden="false" customHeight="false" outlineLevel="0" collapsed="false">
      <c r="A361" s="7" t="n">
        <v>2013</v>
      </c>
      <c r="B361" s="12" t="s">
        <v>74</v>
      </c>
      <c r="C361" s="16" t="n">
        <v>1002.90273</v>
      </c>
      <c r="D361" s="16" t="n">
        <v>1002.90273</v>
      </c>
      <c r="E361" s="17" t="n">
        <f aca="false">IF(D361="","",C361-D361)</f>
        <v>0</v>
      </c>
      <c r="F361" s="18" t="n">
        <f aca="false">IF(OR(D361="",D361=0),"",E361/D361)</f>
        <v>0</v>
      </c>
      <c r="G361" s="16" t="n">
        <v>207.508431</v>
      </c>
      <c r="H361" s="16" t="n">
        <v>0</v>
      </c>
      <c r="I361" s="16" t="n">
        <v>207.508431</v>
      </c>
      <c r="J361" s="17" t="n">
        <f aca="false">IF(I361="","",G361-I361)</f>
        <v>0</v>
      </c>
      <c r="K361" s="18" t="n">
        <f aca="false">IF(OR(I361="",I361=0),"",J361/I361)</f>
        <v>0</v>
      </c>
      <c r="L361" s="19" t="str">
        <f aca="false">IF(OR(D361="",I361=""),"No reported total for O&amp;M or depreciation",IF(AND(ABS(F361)&lt;=$D$2,ABS(K361)&lt;=$D$2),"Reconciles within tolerance","Outside tolerance"))</f>
        <v>Reconciles within tolerance</v>
      </c>
      <c r="M361" s="17" t="n">
        <f aca="false">IF(OR(E361="",LEFT(L361,8)="Excluded"),"",ABS(E361))</f>
        <v>0</v>
      </c>
    </row>
    <row r="362" customFormat="false" ht="15" hidden="false" customHeight="false" outlineLevel="0" collapsed="false">
      <c r="A362" s="7" t="n">
        <v>2014</v>
      </c>
      <c r="B362" s="12" t="s">
        <v>74</v>
      </c>
      <c r="C362" s="16" t="n">
        <v>1097.462084</v>
      </c>
      <c r="D362" s="16" t="n">
        <v>1097.462084</v>
      </c>
      <c r="E362" s="17" t="n">
        <f aca="false">IF(D362="","",C362-D362)</f>
        <v>0</v>
      </c>
      <c r="F362" s="18" t="n">
        <f aca="false">IF(OR(D362="",D362=0),"",E362/D362)</f>
        <v>0</v>
      </c>
      <c r="G362" s="16" t="n">
        <v>208.106293</v>
      </c>
      <c r="H362" s="16" t="n">
        <v>0</v>
      </c>
      <c r="I362" s="16" t="n">
        <v>208.106293</v>
      </c>
      <c r="J362" s="17" t="n">
        <f aca="false">IF(I362="","",G362-I362)</f>
        <v>0</v>
      </c>
      <c r="K362" s="18" t="n">
        <f aca="false">IF(OR(I362="",I362=0),"",J362/I362)</f>
        <v>0</v>
      </c>
      <c r="L362" s="19" t="str">
        <f aca="false">IF(OR(D362="",I362=""),"No reported total for O&amp;M or depreciation",IF(AND(ABS(F362)&lt;=$D$2,ABS(K362)&lt;=$D$2),"Reconciles within tolerance","Outside tolerance"))</f>
        <v>Reconciles within tolerance</v>
      </c>
      <c r="M362" s="17" t="n">
        <f aca="false">IF(OR(E362="",LEFT(L362,8)="Excluded"),"",ABS(E362))</f>
        <v>0</v>
      </c>
    </row>
    <row r="363" customFormat="false" ht="15" hidden="false" customHeight="false" outlineLevel="0" collapsed="false">
      <c r="A363" s="7" t="n">
        <v>2015</v>
      </c>
      <c r="B363" s="12" t="s">
        <v>74</v>
      </c>
      <c r="C363" s="16" t="n">
        <v>990.349127</v>
      </c>
      <c r="D363" s="16" t="n">
        <v>990.349127</v>
      </c>
      <c r="E363" s="17" t="n">
        <f aca="false">IF(D363="","",C363-D363)</f>
        <v>0</v>
      </c>
      <c r="F363" s="18" t="n">
        <f aca="false">IF(OR(D363="",D363=0),"",E363/D363)</f>
        <v>0</v>
      </c>
      <c r="G363" s="16" t="n">
        <v>234.230316</v>
      </c>
      <c r="H363" s="16" t="n">
        <v>0</v>
      </c>
      <c r="I363" s="16" t="n">
        <v>234.230316</v>
      </c>
      <c r="J363" s="17" t="n">
        <f aca="false">IF(I363="","",G363-I363)</f>
        <v>0</v>
      </c>
      <c r="K363" s="18" t="n">
        <f aca="false">IF(OR(I363="",I363=0),"",J363/I363)</f>
        <v>0</v>
      </c>
      <c r="L363" s="19" t="str">
        <f aca="false">IF(OR(D363="",I363=""),"No reported total for O&amp;M or depreciation",IF(AND(ABS(F363)&lt;=$D$2,ABS(K363)&lt;=$D$2),"Reconciles within tolerance","Outside tolerance"))</f>
        <v>Reconciles within tolerance</v>
      </c>
      <c r="M363" s="17" t="n">
        <f aca="false">IF(OR(E363="",LEFT(L363,8)="Excluded"),"",ABS(E363))</f>
        <v>0</v>
      </c>
    </row>
    <row r="364" customFormat="false" ht="15" hidden="false" customHeight="false" outlineLevel="0" collapsed="false">
      <c r="A364" s="7" t="n">
        <v>2016</v>
      </c>
      <c r="B364" s="12" t="s">
        <v>74</v>
      </c>
      <c r="C364" s="16" t="n">
        <v>1045.966822</v>
      </c>
      <c r="D364" s="16" t="n">
        <v>1045.966822</v>
      </c>
      <c r="E364" s="17" t="n">
        <f aca="false">IF(D364="","",C364-D364)</f>
        <v>0</v>
      </c>
      <c r="F364" s="18" t="n">
        <f aca="false">IF(OR(D364="",D364=0),"",E364/D364)</f>
        <v>0</v>
      </c>
      <c r="G364" s="16" t="n">
        <v>253.872372</v>
      </c>
      <c r="H364" s="16" t="n">
        <v>0</v>
      </c>
      <c r="I364" s="16" t="n">
        <v>253.872372</v>
      </c>
      <c r="J364" s="17" t="n">
        <f aca="false">IF(I364="","",G364-I364)</f>
        <v>0</v>
      </c>
      <c r="K364" s="18" t="n">
        <f aca="false">IF(OR(I364="",I364=0),"",J364/I364)</f>
        <v>0</v>
      </c>
      <c r="L364" s="19" t="str">
        <f aca="false">IF(OR(D364="",I364=""),"No reported total for O&amp;M or depreciation",IF(AND(ABS(F364)&lt;=$D$2,ABS(K364)&lt;=$D$2),"Reconciles within tolerance","Outside tolerance"))</f>
        <v>Reconciles within tolerance</v>
      </c>
      <c r="M364" s="17" t="n">
        <f aca="false">IF(OR(E364="",LEFT(L364,8)="Excluded"),"",ABS(E364))</f>
        <v>0</v>
      </c>
    </row>
    <row r="365" customFormat="false" ht="15" hidden="false" customHeight="false" outlineLevel="0" collapsed="false">
      <c r="A365" s="7" t="n">
        <v>2017</v>
      </c>
      <c r="B365" s="12" t="s">
        <v>74</v>
      </c>
      <c r="C365" s="16" t="n">
        <v>1094.924862</v>
      </c>
      <c r="D365" s="16" t="n">
        <v>1094.924862</v>
      </c>
      <c r="E365" s="17" t="n">
        <f aca="false">IF(D365="","",C365-D365)</f>
        <v>0</v>
      </c>
      <c r="F365" s="18" t="n">
        <f aca="false">IF(OR(D365="",D365=0),"",E365/D365)</f>
        <v>0</v>
      </c>
      <c r="G365" s="16" t="n">
        <v>266.35686</v>
      </c>
      <c r="H365" s="16" t="n">
        <v>0</v>
      </c>
      <c r="I365" s="16" t="n">
        <v>266.35686</v>
      </c>
      <c r="J365" s="17" t="n">
        <f aca="false">IF(I365="","",G365-I365)</f>
        <v>0</v>
      </c>
      <c r="K365" s="18" t="n">
        <f aca="false">IF(OR(I365="",I365=0),"",J365/I365)</f>
        <v>0</v>
      </c>
      <c r="L365" s="19" t="str">
        <f aca="false">IF(OR(D365="",I365=""),"No reported total for O&amp;M or depreciation",IF(AND(ABS(F365)&lt;=$D$2,ABS(K365)&lt;=$D$2),"Reconciles within tolerance","Outside tolerance"))</f>
        <v>Reconciles within tolerance</v>
      </c>
      <c r="M365" s="17" t="n">
        <f aca="false">IF(OR(E365="",LEFT(L365,8)="Excluded"),"",ABS(E365))</f>
        <v>0</v>
      </c>
    </row>
    <row r="366" customFormat="false" ht="15" hidden="false" customHeight="false" outlineLevel="0" collapsed="false">
      <c r="A366" s="7" t="n">
        <v>2018</v>
      </c>
      <c r="B366" s="12" t="s">
        <v>74</v>
      </c>
      <c r="C366" s="16" t="n">
        <v>996.335363</v>
      </c>
      <c r="D366" s="16" t="n">
        <v>996.335363</v>
      </c>
      <c r="E366" s="17" t="n">
        <f aca="false">IF(D366="","",C366-D366)</f>
        <v>0</v>
      </c>
      <c r="F366" s="18" t="n">
        <f aca="false">IF(OR(D366="",D366=0),"",E366/D366)</f>
        <v>0</v>
      </c>
      <c r="G366" s="16" t="n">
        <v>241.747814</v>
      </c>
      <c r="H366" s="16" t="n">
        <v>0</v>
      </c>
      <c r="I366" s="16" t="n">
        <v>241.747814</v>
      </c>
      <c r="J366" s="17" t="n">
        <f aca="false">IF(I366="","",G366-I366)</f>
        <v>0</v>
      </c>
      <c r="K366" s="18" t="n">
        <f aca="false">IF(OR(I366="",I366=0),"",J366/I366)</f>
        <v>0</v>
      </c>
      <c r="L366" s="19" t="str">
        <f aca="false">IF(OR(D366="",I366=""),"No reported total for O&amp;M or depreciation",IF(AND(ABS(F366)&lt;=$D$2,ABS(K366)&lt;=$D$2),"Reconciles within tolerance","Outside tolerance"))</f>
        <v>Reconciles within tolerance</v>
      </c>
      <c r="M366" s="17" t="n">
        <f aca="false">IF(OR(E366="",LEFT(L366,8)="Excluded"),"",ABS(E366))</f>
        <v>0</v>
      </c>
    </row>
    <row r="367" customFormat="false" ht="15" hidden="false" customHeight="false" outlineLevel="0" collapsed="false">
      <c r="A367" s="7" t="n">
        <v>2019</v>
      </c>
      <c r="B367" s="12" t="s">
        <v>74</v>
      </c>
      <c r="C367" s="16" t="n">
        <v>972.487927</v>
      </c>
      <c r="D367" s="16" t="n">
        <v>972.487927</v>
      </c>
      <c r="E367" s="17" t="n">
        <f aca="false">IF(D367="","",C367-D367)</f>
        <v>0</v>
      </c>
      <c r="F367" s="18" t="n">
        <f aca="false">IF(OR(D367="",D367=0),"",E367/D367)</f>
        <v>0</v>
      </c>
      <c r="G367" s="16" t="n">
        <v>254.567828</v>
      </c>
      <c r="H367" s="16" t="n">
        <v>0</v>
      </c>
      <c r="I367" s="16" t="n">
        <v>254.567828</v>
      </c>
      <c r="J367" s="17" t="n">
        <f aca="false">IF(I367="","",G367-I367)</f>
        <v>0</v>
      </c>
      <c r="K367" s="18" t="n">
        <f aca="false">IF(OR(I367="",I367=0),"",J367/I367)</f>
        <v>0</v>
      </c>
      <c r="L367" s="19" t="str">
        <f aca="false">IF(OR(D367="",I367=""),"No reported total for O&amp;M or depreciation",IF(AND(ABS(F367)&lt;=$D$2,ABS(K367)&lt;=$D$2),"Reconciles within tolerance","Outside tolerance"))</f>
        <v>Reconciles within tolerance</v>
      </c>
      <c r="M367" s="17" t="n">
        <f aca="false">IF(OR(E367="",LEFT(L367,8)="Excluded"),"",ABS(E367))</f>
        <v>0</v>
      </c>
    </row>
    <row r="368" customFormat="false" ht="15" hidden="false" customHeight="false" outlineLevel="0" collapsed="false">
      <c r="A368" s="7" t="n">
        <v>2020</v>
      </c>
      <c r="B368" s="12" t="s">
        <v>74</v>
      </c>
      <c r="C368" s="16" t="n">
        <v>809.180359</v>
      </c>
      <c r="D368" s="16" t="n">
        <v>809.180359</v>
      </c>
      <c r="E368" s="17" t="n">
        <f aca="false">IF(D368="","",C368-D368)</f>
        <v>0</v>
      </c>
      <c r="F368" s="18" t="n">
        <f aca="false">IF(OR(D368="",D368=0),"",E368/D368)</f>
        <v>0</v>
      </c>
      <c r="G368" s="16" t="n">
        <v>319.289673</v>
      </c>
      <c r="H368" s="16" t="n">
        <v>0</v>
      </c>
      <c r="I368" s="16" t="n">
        <v>319.289673</v>
      </c>
      <c r="J368" s="17" t="n">
        <f aca="false">IF(I368="","",G368-I368)</f>
        <v>0</v>
      </c>
      <c r="K368" s="18" t="n">
        <f aca="false">IF(OR(I368="",I368=0),"",J368/I368)</f>
        <v>0</v>
      </c>
      <c r="L368" s="19" t="str">
        <f aca="false">IF(OR(D368="",I368=""),"No reported total for O&amp;M or depreciation",IF(AND(ABS(F368)&lt;=$D$2,ABS(K368)&lt;=$D$2),"Reconciles within tolerance","Outside tolerance"))</f>
        <v>Reconciles within tolerance</v>
      </c>
      <c r="M368" s="17" t="n">
        <f aca="false">IF(OR(E368="",LEFT(L368,8)="Excluded"),"",ABS(E368))</f>
        <v>0</v>
      </c>
    </row>
    <row r="369" customFormat="false" ht="15" hidden="false" customHeight="false" outlineLevel="0" collapsed="false">
      <c r="A369" s="7" t="n">
        <v>2021</v>
      </c>
      <c r="B369" s="12" t="s">
        <v>74</v>
      </c>
      <c r="C369" s="16" t="n">
        <v>910.002413</v>
      </c>
      <c r="D369" s="16" t="n">
        <v>910.002413</v>
      </c>
      <c r="E369" s="17" t="n">
        <f aca="false">IF(D369="","",C369-D369)</f>
        <v>0</v>
      </c>
      <c r="F369" s="18" t="n">
        <f aca="false">IF(OR(D369="",D369=0),"",E369/D369)</f>
        <v>0</v>
      </c>
      <c r="G369" s="16" t="n">
        <v>318.966223</v>
      </c>
      <c r="H369" s="16" t="n">
        <v>0</v>
      </c>
      <c r="I369" s="16" t="n">
        <v>318.966223</v>
      </c>
      <c r="J369" s="17" t="n">
        <f aca="false">IF(I369="","",G369-I369)</f>
        <v>0</v>
      </c>
      <c r="K369" s="18" t="n">
        <f aca="false">IF(OR(I369="",I369=0),"",J369/I369)</f>
        <v>0</v>
      </c>
      <c r="L369" s="19" t="str">
        <f aca="false">IF(OR(D369="",I369=""),"No reported total for O&amp;M or depreciation",IF(AND(ABS(F369)&lt;=$D$2,ABS(K369)&lt;=$D$2),"Reconciles within tolerance","Outside tolerance"))</f>
        <v>Reconciles within tolerance</v>
      </c>
      <c r="M369" s="17" t="n">
        <f aca="false">IF(OR(E369="",LEFT(L369,8)="Excluded"),"",ABS(E369))</f>
        <v>0</v>
      </c>
    </row>
    <row r="370" customFormat="false" ht="15" hidden="false" customHeight="false" outlineLevel="0" collapsed="false">
      <c r="A370" s="7" t="n">
        <v>2022</v>
      </c>
      <c r="B370" s="12" t="s">
        <v>74</v>
      </c>
      <c r="C370" s="16" t="n">
        <v>1071.500624</v>
      </c>
      <c r="D370" s="16" t="n">
        <v>1071.500624</v>
      </c>
      <c r="E370" s="17" t="n">
        <f aca="false">IF(D370="","",C370-D370)</f>
        <v>0</v>
      </c>
      <c r="F370" s="18" t="n">
        <f aca="false">IF(OR(D370="",D370=0),"",E370/D370)</f>
        <v>0</v>
      </c>
      <c r="G370" s="16" t="n">
        <v>275.350762</v>
      </c>
      <c r="H370" s="16" t="n">
        <v>0</v>
      </c>
      <c r="I370" s="16" t="n">
        <v>275.350762</v>
      </c>
      <c r="J370" s="17" t="n">
        <f aca="false">IF(I370="","",G370-I370)</f>
        <v>0</v>
      </c>
      <c r="K370" s="18" t="n">
        <f aca="false">IF(OR(I370="",I370=0),"",J370/I370)</f>
        <v>0</v>
      </c>
      <c r="L370" s="19" t="str">
        <f aca="false">IF(OR(D370="",I370=""),"No reported total for O&amp;M or depreciation",IF(AND(ABS(F370)&lt;=$D$2,ABS(K370)&lt;=$D$2),"Reconciles within tolerance","Outside tolerance"))</f>
        <v>Reconciles within tolerance</v>
      </c>
      <c r="M370" s="17" t="n">
        <f aca="false">IF(OR(E370="",LEFT(L370,8)="Excluded"),"",ABS(E370))</f>
        <v>0</v>
      </c>
    </row>
    <row r="371" customFormat="false" ht="15" hidden="false" customHeight="false" outlineLevel="0" collapsed="false">
      <c r="A371" s="7" t="n">
        <v>2023</v>
      </c>
      <c r="B371" s="12" t="s">
        <v>74</v>
      </c>
      <c r="C371" s="16" t="n">
        <v>957.429777</v>
      </c>
      <c r="D371" s="16" t="n">
        <v>957.429777</v>
      </c>
      <c r="E371" s="17" t="n">
        <f aca="false">IF(D371="","",C371-D371)</f>
        <v>0</v>
      </c>
      <c r="F371" s="18" t="n">
        <f aca="false">IF(OR(D371="",D371=0),"",E371/D371)</f>
        <v>0</v>
      </c>
      <c r="G371" s="16" t="n">
        <v>299.105968</v>
      </c>
      <c r="H371" s="16" t="n">
        <v>0</v>
      </c>
      <c r="I371" s="16" t="n">
        <v>299.105968</v>
      </c>
      <c r="J371" s="17" t="n">
        <f aca="false">IF(I371="","",G371-I371)</f>
        <v>0</v>
      </c>
      <c r="K371" s="18" t="n">
        <f aca="false">IF(OR(I371="",I371=0),"",J371/I371)</f>
        <v>0</v>
      </c>
      <c r="L371" s="19" t="str">
        <f aca="false">IF(OR(D371="",I371=""),"No reported total for O&amp;M or depreciation",IF(AND(ABS(F371)&lt;=$D$2,ABS(K371)&lt;=$D$2),"Reconciles within tolerance","Outside tolerance"))</f>
        <v>Reconciles within tolerance</v>
      </c>
      <c r="M371" s="17" t="n">
        <f aca="false">IF(OR(E371="",LEFT(L371,8)="Excluded"),"",ABS(E371))</f>
        <v>0</v>
      </c>
    </row>
    <row r="372" customFormat="false" ht="15" hidden="false" customHeight="false" outlineLevel="0" collapsed="false">
      <c r="A372" s="7" t="n">
        <v>2024</v>
      </c>
      <c r="B372" s="12" t="s">
        <v>74</v>
      </c>
      <c r="C372" s="16" t="n">
        <v>865.807005</v>
      </c>
      <c r="D372" s="16" t="n">
        <v>865.807005</v>
      </c>
      <c r="E372" s="17" t="n">
        <f aca="false">IF(D372="","",C372-D372)</f>
        <v>0</v>
      </c>
      <c r="F372" s="18" t="n">
        <f aca="false">IF(OR(D372="",D372=0),"",E372/D372)</f>
        <v>0</v>
      </c>
      <c r="G372" s="16" t="n">
        <v>323.220344</v>
      </c>
      <c r="H372" s="16" t="n">
        <v>0</v>
      </c>
      <c r="I372" s="16" t="n">
        <v>323.220344</v>
      </c>
      <c r="J372" s="17" t="n">
        <f aca="false">IF(I372="","",G372-I372)</f>
        <v>0</v>
      </c>
      <c r="K372" s="18" t="n">
        <f aca="false">IF(OR(I372="",I372=0),"",J372/I372)</f>
        <v>0</v>
      </c>
      <c r="L372" s="19" t="str">
        <f aca="false">IF(OR(D372="",I372=""),"No reported total for O&amp;M or depreciation",IF(AND(ABS(F372)&lt;=$D$2,ABS(K372)&lt;=$D$2),"Reconciles within tolerance","Outside tolerance"))</f>
        <v>Reconciles within tolerance</v>
      </c>
      <c r="M372" s="17" t="n">
        <f aca="false">IF(OR(E372="",LEFT(L372,8)="Excluded"),"",ABS(E372))</f>
        <v>0</v>
      </c>
    </row>
    <row r="373" customFormat="false" ht="15" hidden="false" customHeight="false" outlineLevel="0" collapsed="false">
      <c r="A373" s="7" t="n">
        <v>2025</v>
      </c>
      <c r="B373" s="12" t="s">
        <v>74</v>
      </c>
      <c r="C373" s="16" t="n">
        <v>948.12211</v>
      </c>
      <c r="D373" s="16" t="n">
        <v>948.12211</v>
      </c>
      <c r="E373" s="17" t="n">
        <f aca="false">IF(D373="","",C373-D373)</f>
        <v>0</v>
      </c>
      <c r="F373" s="18" t="n">
        <f aca="false">IF(OR(D373="",D373=0),"",E373/D373)</f>
        <v>0</v>
      </c>
      <c r="G373" s="16" t="n">
        <v>383.129967</v>
      </c>
      <c r="H373" s="16" t="n">
        <v>0</v>
      </c>
      <c r="I373" s="16" t="n">
        <v>383.129967</v>
      </c>
      <c r="J373" s="17" t="n">
        <f aca="false">IF(I373="","",G373-I373)</f>
        <v>0</v>
      </c>
      <c r="K373" s="18" t="n">
        <f aca="false">IF(OR(I373="",I373=0),"",J373/I373)</f>
        <v>0</v>
      </c>
      <c r="L373" s="19" t="str">
        <f aca="false">IF(OR(D373="",I373=""),"No reported total for O&amp;M or depreciation",IF(AND(ABS(F373)&lt;=$D$2,ABS(K373)&lt;=$D$2),"Reconciles within tolerance","Outside tolerance"))</f>
        <v>Reconciles within tolerance</v>
      </c>
      <c r="M373" s="17" t="n">
        <f aca="false">IF(OR(E373="",LEFT(L373,8)="Excluded"),"",ABS(E373))</f>
        <v>0</v>
      </c>
    </row>
    <row r="374" customFormat="false" ht="15" hidden="false" customHeight="false" outlineLevel="0" collapsed="false">
      <c r="A374" s="7" t="n">
        <v>1995</v>
      </c>
      <c r="B374" s="12" t="s">
        <v>75</v>
      </c>
      <c r="C374" s="16" t="n">
        <v>1210.458814</v>
      </c>
      <c r="D374" s="16" t="n">
        <v>1210.458814</v>
      </c>
      <c r="E374" s="17" t="n">
        <f aca="false">IF(D374="","",C374-D374)</f>
        <v>0</v>
      </c>
      <c r="F374" s="18" t="n">
        <f aca="false">IF(OR(D374="",D374=0),"",E374/D374)</f>
        <v>0</v>
      </c>
      <c r="G374" s="16" t="n">
        <v>237.412856</v>
      </c>
      <c r="H374" s="16" t="n">
        <v>0</v>
      </c>
      <c r="I374" s="16" t="n">
        <v>237.412856</v>
      </c>
      <c r="J374" s="17" t="n">
        <f aca="false">IF(I374="","",G374-I374)</f>
        <v>0</v>
      </c>
      <c r="K374" s="18" t="n">
        <f aca="false">IF(OR(I374="",I374=0),"",J374/I374)</f>
        <v>0</v>
      </c>
      <c r="L374" s="19" t="str">
        <f aca="false">IF(OR(D374="",I374=""),"No reported total for O&amp;M or depreciation",IF(AND(ABS(F374)&lt;=$D$2,ABS(K374)&lt;=$D$2),"Reconciles within tolerance","Outside tolerance"))</f>
        <v>Reconciles within tolerance</v>
      </c>
      <c r="M374" s="17" t="n">
        <f aca="false">IF(OR(E374="",LEFT(L374,8)="Excluded"),"",ABS(E374))</f>
        <v>0</v>
      </c>
    </row>
    <row r="375" customFormat="false" ht="15" hidden="false" customHeight="false" outlineLevel="0" collapsed="false">
      <c r="A375" s="7" t="n">
        <v>1996</v>
      </c>
      <c r="B375" s="12" t="s">
        <v>75</v>
      </c>
      <c r="C375" s="16" t="n">
        <v>1164.90896</v>
      </c>
      <c r="D375" s="16" t="n">
        <v>1164.90896</v>
      </c>
      <c r="E375" s="17" t="n">
        <f aca="false">IF(D375="","",C375-D375)</f>
        <v>0</v>
      </c>
      <c r="F375" s="18" t="n">
        <f aca="false">IF(OR(D375="",D375=0),"",E375/D375)</f>
        <v>0</v>
      </c>
      <c r="G375" s="16" t="n">
        <v>248.896498</v>
      </c>
      <c r="H375" s="16" t="n">
        <v>0</v>
      </c>
      <c r="I375" s="16" t="n">
        <v>248.896498</v>
      </c>
      <c r="J375" s="17" t="n">
        <f aca="false">IF(I375="","",G375-I375)</f>
        <v>0</v>
      </c>
      <c r="K375" s="18" t="n">
        <f aca="false">IF(OR(I375="",I375=0),"",J375/I375)</f>
        <v>0</v>
      </c>
      <c r="L375" s="19" t="str">
        <f aca="false">IF(OR(D375="",I375=""),"No reported total for O&amp;M or depreciation",IF(AND(ABS(F375)&lt;=$D$2,ABS(K375)&lt;=$D$2),"Reconciles within tolerance","Outside tolerance"))</f>
        <v>Reconciles within tolerance</v>
      </c>
      <c r="M375" s="17" t="n">
        <f aca="false">IF(OR(E375="",LEFT(L375,8)="Excluded"),"",ABS(E375))</f>
        <v>0</v>
      </c>
    </row>
    <row r="376" customFormat="false" ht="15" hidden="false" customHeight="false" outlineLevel="0" collapsed="false">
      <c r="A376" s="7" t="n">
        <v>1997</v>
      </c>
      <c r="B376" s="12" t="s">
        <v>75</v>
      </c>
      <c r="C376" s="16" t="n">
        <v>1257.843223</v>
      </c>
      <c r="D376" s="16" t="n">
        <v>1257.843223</v>
      </c>
      <c r="E376" s="17" t="n">
        <f aca="false">IF(D376="","",C376-D376)</f>
        <v>0</v>
      </c>
      <c r="F376" s="18" t="n">
        <f aca="false">IF(OR(D376="",D376=0),"",E376/D376)</f>
        <v>0</v>
      </c>
      <c r="G376" s="16" t="n">
        <v>266.640026</v>
      </c>
      <c r="H376" s="16" t="n">
        <v>0</v>
      </c>
      <c r="I376" s="16" t="n">
        <v>266.640026</v>
      </c>
      <c r="J376" s="17" t="n">
        <f aca="false">IF(I376="","",G376-I376)</f>
        <v>0</v>
      </c>
      <c r="K376" s="18" t="n">
        <f aca="false">IF(OR(I376="",I376=0),"",J376/I376)</f>
        <v>0</v>
      </c>
      <c r="L376" s="19" t="str">
        <f aca="false">IF(OR(D376="",I376=""),"No reported total for O&amp;M or depreciation",IF(AND(ABS(F376)&lt;=$D$2,ABS(K376)&lt;=$D$2),"Reconciles within tolerance","Outside tolerance"))</f>
        <v>Reconciles within tolerance</v>
      </c>
      <c r="M376" s="17" t="n">
        <f aca="false">IF(OR(E376="",LEFT(L376,8)="Excluded"),"",ABS(E376))</f>
        <v>0</v>
      </c>
    </row>
    <row r="377" customFormat="false" ht="15" hidden="false" customHeight="false" outlineLevel="0" collapsed="false">
      <c r="A377" s="7" t="n">
        <v>1998</v>
      </c>
      <c r="B377" s="12" t="s">
        <v>75</v>
      </c>
      <c r="C377" s="16" t="n">
        <v>1390.745334</v>
      </c>
      <c r="D377" s="16" t="n">
        <v>1390.745334</v>
      </c>
      <c r="E377" s="17" t="n">
        <f aca="false">IF(D377="","",C377-D377)</f>
        <v>0</v>
      </c>
      <c r="F377" s="18" t="n">
        <f aca="false">IF(OR(D377="",D377=0),"",E377/D377)</f>
        <v>0</v>
      </c>
      <c r="G377" s="16" t="n">
        <v>274.063465</v>
      </c>
      <c r="H377" s="16" t="n">
        <v>0</v>
      </c>
      <c r="I377" s="16" t="n">
        <v>274.063465</v>
      </c>
      <c r="J377" s="17" t="n">
        <f aca="false">IF(I377="","",G377-I377)</f>
        <v>0</v>
      </c>
      <c r="K377" s="18" t="n">
        <f aca="false">IF(OR(I377="",I377=0),"",J377/I377)</f>
        <v>0</v>
      </c>
      <c r="L377" s="19" t="str">
        <f aca="false">IF(OR(D377="",I377=""),"No reported total for O&amp;M or depreciation",IF(AND(ABS(F377)&lt;=$D$2,ABS(K377)&lt;=$D$2),"Reconciles within tolerance","Outside tolerance"))</f>
        <v>Reconciles within tolerance</v>
      </c>
      <c r="M377" s="17" t="n">
        <f aca="false">IF(OR(E377="",LEFT(L377,8)="Excluded"),"",ABS(E377))</f>
        <v>0</v>
      </c>
    </row>
    <row r="378" customFormat="false" ht="15" hidden="false" customHeight="false" outlineLevel="0" collapsed="false">
      <c r="A378" s="7" t="n">
        <v>1999</v>
      </c>
      <c r="B378" s="12" t="s">
        <v>75</v>
      </c>
      <c r="C378" s="16" t="n">
        <v>1447.722834</v>
      </c>
      <c r="D378" s="16" t="n">
        <v>1447.722834</v>
      </c>
      <c r="E378" s="17" t="n">
        <f aca="false">IF(D378="","",C378-D378)</f>
        <v>0</v>
      </c>
      <c r="F378" s="18" t="n">
        <f aca="false">IF(OR(D378="",D378=0),"",E378/D378)</f>
        <v>0</v>
      </c>
      <c r="G378" s="16" t="n">
        <v>286.690393</v>
      </c>
      <c r="H378" s="16" t="n">
        <v>0</v>
      </c>
      <c r="I378" s="16" t="n">
        <v>286.690393</v>
      </c>
      <c r="J378" s="17" t="n">
        <f aca="false">IF(I378="","",G378-I378)</f>
        <v>0</v>
      </c>
      <c r="K378" s="18" t="n">
        <f aca="false">IF(OR(I378="",I378=0),"",J378/I378)</f>
        <v>0</v>
      </c>
      <c r="L378" s="19" t="str">
        <f aca="false">IF(OR(D378="",I378=""),"No reported total for O&amp;M or depreciation",IF(AND(ABS(F378)&lt;=$D$2,ABS(K378)&lt;=$D$2),"Reconciles within tolerance","Outside tolerance"))</f>
        <v>Reconciles within tolerance</v>
      </c>
      <c r="M378" s="17" t="n">
        <f aca="false">IF(OR(E378="",LEFT(L378,8)="Excluded"),"",ABS(E378))</f>
        <v>0</v>
      </c>
    </row>
    <row r="379" customFormat="false" ht="15" hidden="false" customHeight="false" outlineLevel="0" collapsed="false">
      <c r="A379" s="7" t="n">
        <v>2000</v>
      </c>
      <c r="B379" s="12" t="s">
        <v>75</v>
      </c>
      <c r="C379" s="16" t="n">
        <v>1547.56189</v>
      </c>
      <c r="D379" s="16" t="n">
        <v>1547.56189</v>
      </c>
      <c r="E379" s="17" t="n">
        <f aca="false">IF(D379="","",C379-D379)</f>
        <v>0</v>
      </c>
      <c r="F379" s="18" t="n">
        <f aca="false">IF(OR(D379="",D379=0),"",E379/D379)</f>
        <v>0</v>
      </c>
      <c r="G379" s="16" t="n">
        <v>299.364737</v>
      </c>
      <c r="H379" s="16" t="n">
        <v>0</v>
      </c>
      <c r="I379" s="16" t="n">
        <v>299.364737</v>
      </c>
      <c r="J379" s="17" t="n">
        <f aca="false">IF(I379="","",G379-I379)</f>
        <v>0</v>
      </c>
      <c r="K379" s="18" t="n">
        <f aca="false">IF(OR(I379="",I379=0),"",J379/I379)</f>
        <v>0</v>
      </c>
      <c r="L379" s="19" t="str">
        <f aca="false">IF(OR(D379="",I379=""),"No reported total for O&amp;M or depreciation",IF(AND(ABS(F379)&lt;=$D$2,ABS(K379)&lt;=$D$2),"Reconciles within tolerance","Outside tolerance"))</f>
        <v>Reconciles within tolerance</v>
      </c>
      <c r="M379" s="17" t="n">
        <f aca="false">IF(OR(E379="",LEFT(L379,8)="Excluded"),"",ABS(E379))</f>
        <v>0</v>
      </c>
    </row>
    <row r="380" customFormat="false" ht="15" hidden="false" customHeight="false" outlineLevel="0" collapsed="false">
      <c r="A380" s="7" t="n">
        <v>2001</v>
      </c>
      <c r="B380" s="12" t="s">
        <v>75</v>
      </c>
      <c r="C380" s="16" t="n">
        <v>1709.535593</v>
      </c>
      <c r="D380" s="16" t="n">
        <v>1709.535593</v>
      </c>
      <c r="E380" s="17" t="n">
        <f aca="false">IF(D380="","",C380-D380)</f>
        <v>0</v>
      </c>
      <c r="F380" s="18" t="n">
        <f aca="false">IF(OR(D380="",D380=0),"",E380/D380)</f>
        <v>0</v>
      </c>
      <c r="G380" s="16" t="n">
        <v>312.832327</v>
      </c>
      <c r="H380" s="16" t="n">
        <v>0</v>
      </c>
      <c r="I380" s="16" t="n">
        <v>312.832327</v>
      </c>
      <c r="J380" s="17" t="n">
        <f aca="false">IF(I380="","",G380-I380)</f>
        <v>0</v>
      </c>
      <c r="K380" s="18" t="n">
        <f aca="false">IF(OR(I380="",I380=0),"",J380/I380)</f>
        <v>0</v>
      </c>
      <c r="L380" s="19" t="str">
        <f aca="false">IF(OR(D380="",I380=""),"No reported total for O&amp;M or depreciation",IF(AND(ABS(F380)&lt;=$D$2,ABS(K380)&lt;=$D$2),"Reconciles within tolerance","Outside tolerance"))</f>
        <v>Reconciles within tolerance</v>
      </c>
      <c r="M380" s="17" t="n">
        <f aca="false">IF(OR(E380="",LEFT(L380,8)="Excluded"),"",ABS(E380))</f>
        <v>0</v>
      </c>
    </row>
    <row r="381" customFormat="false" ht="15" hidden="false" customHeight="false" outlineLevel="0" collapsed="false">
      <c r="A381" s="7" t="n">
        <v>2002</v>
      </c>
      <c r="B381" s="12" t="s">
        <v>75</v>
      </c>
      <c r="C381" s="16" t="n">
        <v>1543.299063</v>
      </c>
      <c r="D381" s="16" t="n">
        <v>1543.299063</v>
      </c>
      <c r="E381" s="17" t="n">
        <f aca="false">IF(D381="","",C381-D381)</f>
        <v>0</v>
      </c>
      <c r="F381" s="18" t="n">
        <f aca="false">IF(OR(D381="",D381=0),"",E381/D381)</f>
        <v>0</v>
      </c>
      <c r="G381" s="16" t="n">
        <v>325.580391</v>
      </c>
      <c r="H381" s="16" t="n">
        <v>0</v>
      </c>
      <c r="I381" s="16" t="n">
        <v>325.580391</v>
      </c>
      <c r="J381" s="17" t="n">
        <f aca="false">IF(I381="","",G381-I381)</f>
        <v>0</v>
      </c>
      <c r="K381" s="18" t="n">
        <f aca="false">IF(OR(I381="",I381=0),"",J381/I381)</f>
        <v>0</v>
      </c>
      <c r="L381" s="19" t="str">
        <f aca="false">IF(OR(D381="",I381=""),"No reported total for O&amp;M or depreciation",IF(AND(ABS(F381)&lt;=$D$2,ABS(K381)&lt;=$D$2),"Reconciles within tolerance","Outside tolerance"))</f>
        <v>Reconciles within tolerance</v>
      </c>
      <c r="M381" s="17" t="n">
        <f aca="false">IF(OR(E381="",LEFT(L381,8)="Excluded"),"",ABS(E381))</f>
        <v>0</v>
      </c>
    </row>
    <row r="382" customFormat="false" ht="15" hidden="false" customHeight="false" outlineLevel="0" collapsed="false">
      <c r="A382" s="7" t="n">
        <v>2003</v>
      </c>
      <c r="B382" s="12" t="s">
        <v>75</v>
      </c>
      <c r="C382" s="16" t="n">
        <v>1737.587989</v>
      </c>
      <c r="D382" s="16" t="n">
        <v>1737.587989</v>
      </c>
      <c r="E382" s="17" t="n">
        <f aca="false">IF(D382="","",C382-D382)</f>
        <v>0</v>
      </c>
      <c r="F382" s="18" t="n">
        <f aca="false">IF(OR(D382="",D382=0),"",E382/D382)</f>
        <v>0</v>
      </c>
      <c r="G382" s="16" t="n">
        <v>318.581165</v>
      </c>
      <c r="H382" s="16" t="n">
        <v>0</v>
      </c>
      <c r="I382" s="16" t="n">
        <v>318.581165</v>
      </c>
      <c r="J382" s="17" t="n">
        <f aca="false">IF(I382="","",G382-I382)</f>
        <v>0</v>
      </c>
      <c r="K382" s="18" t="n">
        <f aca="false">IF(OR(I382="",I382=0),"",J382/I382)</f>
        <v>0</v>
      </c>
      <c r="L382" s="19" t="str">
        <f aca="false">IF(OR(D382="",I382=""),"No reported total for O&amp;M or depreciation",IF(AND(ABS(F382)&lt;=$D$2,ABS(K382)&lt;=$D$2),"Reconciles within tolerance","Outside tolerance"))</f>
        <v>Reconciles within tolerance</v>
      </c>
      <c r="M382" s="17" t="n">
        <f aca="false">IF(OR(E382="",LEFT(L382,8)="Excluded"),"",ABS(E382))</f>
        <v>0</v>
      </c>
    </row>
    <row r="383" customFormat="false" ht="15" hidden="false" customHeight="false" outlineLevel="0" collapsed="false">
      <c r="A383" s="7" t="n">
        <v>2004</v>
      </c>
      <c r="B383" s="12" t="s">
        <v>75</v>
      </c>
      <c r="C383" s="16" t="n">
        <v>1854.06355</v>
      </c>
      <c r="D383" s="16" t="n">
        <v>1854.06355</v>
      </c>
      <c r="E383" s="17" t="n">
        <f aca="false">IF(D383="","",C383-D383)</f>
        <v>0</v>
      </c>
      <c r="F383" s="18" t="n">
        <f aca="false">IF(OR(D383="",D383=0),"",E383/D383)</f>
        <v>0</v>
      </c>
      <c r="G383" s="16" t="n">
        <v>317.465199</v>
      </c>
      <c r="H383" s="16" t="n">
        <v>0</v>
      </c>
      <c r="I383" s="16" t="n">
        <v>317.465199</v>
      </c>
      <c r="J383" s="17" t="n">
        <f aca="false">IF(I383="","",G383-I383)</f>
        <v>0</v>
      </c>
      <c r="K383" s="18" t="n">
        <f aca="false">IF(OR(I383="",I383=0),"",J383/I383)</f>
        <v>0</v>
      </c>
      <c r="L383" s="19" t="str">
        <f aca="false">IF(OR(D383="",I383=""),"No reported total for O&amp;M or depreciation",IF(AND(ABS(F383)&lt;=$D$2,ABS(K383)&lt;=$D$2),"Reconciles within tolerance","Outside tolerance"))</f>
        <v>Reconciles within tolerance</v>
      </c>
      <c r="M383" s="17" t="n">
        <f aca="false">IF(OR(E383="",LEFT(L383,8)="Excluded"),"",ABS(E383))</f>
        <v>0</v>
      </c>
    </row>
    <row r="384" customFormat="false" ht="15" hidden="false" customHeight="false" outlineLevel="0" collapsed="false">
      <c r="A384" s="7" t="n">
        <v>2005</v>
      </c>
      <c r="B384" s="12" t="s">
        <v>75</v>
      </c>
      <c r="C384" s="16" t="n">
        <v>2255.653988</v>
      </c>
      <c r="D384" s="16" t="n">
        <v>2255.653988</v>
      </c>
      <c r="E384" s="17" t="n">
        <f aca="false">IF(D384="","",C384-D384)</f>
        <v>0</v>
      </c>
      <c r="F384" s="18" t="n">
        <f aca="false">IF(OR(D384="",D384=0),"",E384/D384)</f>
        <v>0</v>
      </c>
      <c r="G384" s="16" t="n">
        <v>340.155588</v>
      </c>
      <c r="H384" s="16" t="n">
        <v>0</v>
      </c>
      <c r="I384" s="16" t="n">
        <v>340.155588</v>
      </c>
      <c r="J384" s="17" t="n">
        <f aca="false">IF(I384="","",G384-I384)</f>
        <v>0</v>
      </c>
      <c r="K384" s="18" t="n">
        <f aca="false">IF(OR(I384="",I384=0),"",J384/I384)</f>
        <v>0</v>
      </c>
      <c r="L384" s="19" t="str">
        <f aca="false">IF(OR(D384="",I384=""),"No reported total for O&amp;M or depreciation",IF(AND(ABS(F384)&lt;=$D$2,ABS(K384)&lt;=$D$2),"Reconciles within tolerance","Outside tolerance"))</f>
        <v>Reconciles within tolerance</v>
      </c>
      <c r="M384" s="17" t="n">
        <f aca="false">IF(OR(E384="",LEFT(L384,8)="Excluded"),"",ABS(E384))</f>
        <v>0</v>
      </c>
    </row>
    <row r="385" customFormat="false" ht="15" hidden="false" customHeight="false" outlineLevel="0" collapsed="false">
      <c r="A385" s="7" t="n">
        <v>2006</v>
      </c>
      <c r="B385" s="12" t="s">
        <v>75</v>
      </c>
      <c r="C385" s="16" t="n">
        <v>2383.561882</v>
      </c>
      <c r="D385" s="16" t="n">
        <v>2383.561882</v>
      </c>
      <c r="E385" s="17" t="n">
        <f aca="false">IF(D385="","",C385-D385)</f>
        <v>0</v>
      </c>
      <c r="F385" s="18" t="n">
        <f aca="false">IF(OR(D385="",D385=0),"",E385/D385)</f>
        <v>0</v>
      </c>
      <c r="G385" s="16" t="n">
        <v>375.445378</v>
      </c>
      <c r="H385" s="16" t="n">
        <v>0</v>
      </c>
      <c r="I385" s="16" t="n">
        <v>375.445378</v>
      </c>
      <c r="J385" s="17" t="n">
        <f aca="false">IF(I385="","",G385-I385)</f>
        <v>0</v>
      </c>
      <c r="K385" s="18" t="n">
        <f aca="false">IF(OR(I385="",I385=0),"",J385/I385)</f>
        <v>0</v>
      </c>
      <c r="L385" s="19" t="str">
        <f aca="false">IF(OR(D385="",I385=""),"No reported total for O&amp;M or depreciation",IF(AND(ABS(F385)&lt;=$D$2,ABS(K385)&lt;=$D$2),"Reconciles within tolerance","Outside tolerance"))</f>
        <v>Reconciles within tolerance</v>
      </c>
      <c r="M385" s="17" t="n">
        <f aca="false">IF(OR(E385="",LEFT(L385,8)="Excluded"),"",ABS(E385))</f>
        <v>0</v>
      </c>
    </row>
    <row r="386" customFormat="false" ht="15" hidden="false" customHeight="false" outlineLevel="0" collapsed="false">
      <c r="A386" s="7" t="n">
        <v>2007</v>
      </c>
      <c r="B386" s="12" t="s">
        <v>75</v>
      </c>
      <c r="C386" s="16" t="n">
        <v>2586.732747</v>
      </c>
      <c r="D386" s="16" t="n">
        <v>2586.732747</v>
      </c>
      <c r="E386" s="17" t="n">
        <f aca="false">IF(D386="","",C386-D386)</f>
        <v>0</v>
      </c>
      <c r="F386" s="18" t="n">
        <f aca="false">IF(OR(D386="",D386=0),"",E386/D386)</f>
        <v>0</v>
      </c>
      <c r="G386" s="16" t="n">
        <v>358.978216</v>
      </c>
      <c r="H386" s="16" t="n">
        <v>0</v>
      </c>
      <c r="I386" s="16" t="n">
        <v>358.978216</v>
      </c>
      <c r="J386" s="17" t="n">
        <f aca="false">IF(I386="","",G386-I386)</f>
        <v>0</v>
      </c>
      <c r="K386" s="18" t="n">
        <f aca="false">IF(OR(I386="",I386=0),"",J386/I386)</f>
        <v>0</v>
      </c>
      <c r="L386" s="19" t="str">
        <f aca="false">IF(OR(D386="",I386=""),"No reported total for O&amp;M or depreciation",IF(AND(ABS(F386)&lt;=$D$2,ABS(K386)&lt;=$D$2),"Reconciles within tolerance","Outside tolerance"))</f>
        <v>Reconciles within tolerance</v>
      </c>
      <c r="M386" s="17" t="n">
        <f aca="false">IF(OR(E386="",LEFT(L386,8)="Excluded"),"",ABS(E386))</f>
        <v>0</v>
      </c>
    </row>
    <row r="387" customFormat="false" ht="15" hidden="false" customHeight="false" outlineLevel="0" collapsed="false">
      <c r="A387" s="7" t="n">
        <v>2008</v>
      </c>
      <c r="B387" s="12" t="s">
        <v>75</v>
      </c>
      <c r="C387" s="16" t="n">
        <v>2623.355224</v>
      </c>
      <c r="D387" s="16" t="n">
        <v>2623.355224</v>
      </c>
      <c r="E387" s="17" t="n">
        <f aca="false">IF(D387="","",C387-D387)</f>
        <v>0</v>
      </c>
      <c r="F387" s="18" t="n">
        <f aca="false">IF(OR(D387="",D387=0),"",E387/D387)</f>
        <v>0</v>
      </c>
      <c r="G387" s="16" t="n">
        <v>365.047028</v>
      </c>
      <c r="H387" s="16" t="n">
        <v>0</v>
      </c>
      <c r="I387" s="16" t="n">
        <v>365.047028</v>
      </c>
      <c r="J387" s="17" t="n">
        <f aca="false">IF(I387="","",G387-I387)</f>
        <v>0</v>
      </c>
      <c r="K387" s="18" t="n">
        <f aca="false">IF(OR(I387="",I387=0),"",J387/I387)</f>
        <v>0</v>
      </c>
      <c r="L387" s="19" t="str">
        <f aca="false">IF(OR(D387="",I387=""),"No reported total for O&amp;M or depreciation",IF(AND(ABS(F387)&lt;=$D$2,ABS(K387)&lt;=$D$2),"Reconciles within tolerance","Outside tolerance"))</f>
        <v>Reconciles within tolerance</v>
      </c>
      <c r="M387" s="17" t="n">
        <f aca="false">IF(OR(E387="",LEFT(L387,8)="Excluded"),"",ABS(E387))</f>
        <v>0</v>
      </c>
    </row>
    <row r="388" customFormat="false" ht="15" hidden="false" customHeight="false" outlineLevel="0" collapsed="false">
      <c r="A388" s="7" t="n">
        <v>2009</v>
      </c>
      <c r="B388" s="12" t="s">
        <v>75</v>
      </c>
      <c r="C388" s="16" t="n">
        <v>2418.003773</v>
      </c>
      <c r="D388" s="16" t="n">
        <v>2418.003773</v>
      </c>
      <c r="E388" s="17" t="n">
        <f aca="false">IF(D388="","",C388-D388)</f>
        <v>0</v>
      </c>
      <c r="F388" s="18" t="n">
        <f aca="false">IF(OR(D388="",D388=0),"",E388/D388)</f>
        <v>0</v>
      </c>
      <c r="G388" s="16" t="n">
        <v>269.03944</v>
      </c>
      <c r="H388" s="16" t="n">
        <v>0</v>
      </c>
      <c r="I388" s="16" t="n">
        <v>269.03944</v>
      </c>
      <c r="J388" s="17" t="n">
        <f aca="false">IF(I388="","",G388-I388)</f>
        <v>0</v>
      </c>
      <c r="K388" s="18" t="n">
        <f aca="false">IF(OR(I388="",I388=0),"",J388/I388)</f>
        <v>0</v>
      </c>
      <c r="L388" s="19" t="str">
        <f aca="false">IF(OR(D388="",I388=""),"No reported total for O&amp;M or depreciation",IF(AND(ABS(F388)&lt;=$D$2,ABS(K388)&lt;=$D$2),"Reconciles within tolerance","Outside tolerance"))</f>
        <v>Reconciles within tolerance</v>
      </c>
      <c r="M388" s="17" t="n">
        <f aca="false">IF(OR(E388="",LEFT(L388,8)="Excluded"),"",ABS(E388))</f>
        <v>0</v>
      </c>
    </row>
    <row r="389" customFormat="false" ht="15" hidden="false" customHeight="false" outlineLevel="0" collapsed="false">
      <c r="A389" s="7" t="n">
        <v>2010</v>
      </c>
      <c r="B389" s="12" t="s">
        <v>75</v>
      </c>
      <c r="C389" s="16" t="n">
        <v>2686.064302</v>
      </c>
      <c r="D389" s="16" t="n">
        <v>2686.064302</v>
      </c>
      <c r="E389" s="17" t="n">
        <f aca="false">IF(D389="","",C389-D389)</f>
        <v>0</v>
      </c>
      <c r="F389" s="18" t="n">
        <f aca="false">IF(OR(D389="",D389=0),"",E389/D389)</f>
        <v>0</v>
      </c>
      <c r="G389" s="16" t="n">
        <v>279.040386</v>
      </c>
      <c r="H389" s="16" t="n">
        <v>0</v>
      </c>
      <c r="I389" s="16" t="n">
        <v>279.040386</v>
      </c>
      <c r="J389" s="17" t="n">
        <f aca="false">IF(I389="","",G389-I389)</f>
        <v>0</v>
      </c>
      <c r="K389" s="18" t="n">
        <f aca="false">IF(OR(I389="",I389=0),"",J389/I389)</f>
        <v>0</v>
      </c>
      <c r="L389" s="19" t="str">
        <f aca="false">IF(OR(D389="",I389=""),"No reported total for O&amp;M or depreciation",IF(AND(ABS(F389)&lt;=$D$2,ABS(K389)&lt;=$D$2),"Reconciles within tolerance","Outside tolerance"))</f>
        <v>Reconciles within tolerance</v>
      </c>
      <c r="M389" s="17" t="n">
        <f aca="false">IF(OR(E389="",LEFT(L389,8)="Excluded"),"",ABS(E389))</f>
        <v>0</v>
      </c>
    </row>
    <row r="390" customFormat="false" ht="15" hidden="false" customHeight="false" outlineLevel="0" collapsed="false">
      <c r="A390" s="7" t="n">
        <v>2011</v>
      </c>
      <c r="B390" s="12" t="s">
        <v>75</v>
      </c>
      <c r="C390" s="16" t="n">
        <v>2659.418504</v>
      </c>
      <c r="D390" s="16" t="n">
        <v>2659.418504</v>
      </c>
      <c r="E390" s="17" t="n">
        <f aca="false">IF(D390="","",C390-D390)</f>
        <v>0</v>
      </c>
      <c r="F390" s="18" t="n">
        <f aca="false">IF(OR(D390="",D390=0),"",E390/D390)</f>
        <v>0</v>
      </c>
      <c r="G390" s="16" t="n">
        <v>299.425602</v>
      </c>
      <c r="H390" s="16" t="n">
        <v>0</v>
      </c>
      <c r="I390" s="16" t="n">
        <v>299.425602</v>
      </c>
      <c r="J390" s="17" t="n">
        <f aca="false">IF(I390="","",G390-I390)</f>
        <v>0</v>
      </c>
      <c r="K390" s="18" t="n">
        <f aca="false">IF(OR(I390="",I390=0),"",J390/I390)</f>
        <v>0</v>
      </c>
      <c r="L390" s="19" t="str">
        <f aca="false">IF(OR(D390="",I390=""),"No reported total for O&amp;M or depreciation",IF(AND(ABS(F390)&lt;=$D$2,ABS(K390)&lt;=$D$2),"Reconciles within tolerance","Outside tolerance"))</f>
        <v>Reconciles within tolerance</v>
      </c>
      <c r="M390" s="17" t="n">
        <f aca="false">IF(OR(E390="",LEFT(L390,8)="Excluded"),"",ABS(E390))</f>
        <v>0</v>
      </c>
    </row>
    <row r="391" customFormat="false" ht="15" hidden="false" customHeight="false" outlineLevel="0" collapsed="false">
      <c r="A391" s="7" t="n">
        <v>2012</v>
      </c>
      <c r="B391" s="12" t="s">
        <v>75</v>
      </c>
      <c r="C391" s="16" t="n">
        <v>2692.135882</v>
      </c>
      <c r="D391" s="16" t="n">
        <v>2692.135882</v>
      </c>
      <c r="E391" s="17" t="n">
        <f aca="false">IF(D391="","",C391-D391)</f>
        <v>0</v>
      </c>
      <c r="F391" s="18" t="n">
        <f aca="false">IF(OR(D391="",D391=0),"",E391/D391)</f>
        <v>0</v>
      </c>
      <c r="G391" s="16" t="n">
        <v>348.578537</v>
      </c>
      <c r="H391" s="16" t="n">
        <v>0</v>
      </c>
      <c r="I391" s="16" t="n">
        <v>348.578537</v>
      </c>
      <c r="J391" s="17" t="n">
        <f aca="false">IF(I391="","",G391-I391)</f>
        <v>0</v>
      </c>
      <c r="K391" s="18" t="n">
        <f aca="false">IF(OR(I391="",I391=0),"",J391/I391)</f>
        <v>0</v>
      </c>
      <c r="L391" s="19" t="str">
        <f aca="false">IF(OR(D391="",I391=""),"No reported total for O&amp;M or depreciation",IF(AND(ABS(F391)&lt;=$D$2,ABS(K391)&lt;=$D$2),"Reconciles within tolerance","Outside tolerance"))</f>
        <v>Reconciles within tolerance</v>
      </c>
      <c r="M391" s="17" t="n">
        <f aca="false">IF(OR(E391="",LEFT(L391,8)="Excluded"),"",ABS(E391))</f>
        <v>0</v>
      </c>
    </row>
    <row r="392" customFormat="false" ht="15" hidden="false" customHeight="false" outlineLevel="0" collapsed="false">
      <c r="A392" s="7" t="n">
        <v>2013</v>
      </c>
      <c r="B392" s="12" t="s">
        <v>75</v>
      </c>
      <c r="C392" s="16" t="n">
        <v>2861.899021</v>
      </c>
      <c r="D392" s="16" t="n">
        <v>2861.899021</v>
      </c>
      <c r="E392" s="17" t="n">
        <f aca="false">IF(D392="","",C392-D392)</f>
        <v>0</v>
      </c>
      <c r="F392" s="18" t="n">
        <f aca="false">IF(OR(D392="",D392=0),"",E392/D392)</f>
        <v>0</v>
      </c>
      <c r="G392" s="16" t="n">
        <v>421.261757</v>
      </c>
      <c r="H392" s="16" t="n">
        <v>0</v>
      </c>
      <c r="I392" s="16" t="n">
        <v>421.261757</v>
      </c>
      <c r="J392" s="17" t="n">
        <f aca="false">IF(I392="","",G392-I392)</f>
        <v>0</v>
      </c>
      <c r="K392" s="18" t="n">
        <f aca="false">IF(OR(I392="",I392=0),"",J392/I392)</f>
        <v>0</v>
      </c>
      <c r="L392" s="19" t="str">
        <f aca="false">IF(OR(D392="",I392=""),"No reported total for O&amp;M or depreciation",IF(AND(ABS(F392)&lt;=$D$2,ABS(K392)&lt;=$D$2),"Reconciles within tolerance","Outside tolerance"))</f>
        <v>Reconciles within tolerance</v>
      </c>
      <c r="M392" s="17" t="n">
        <f aca="false">IF(OR(E392="",LEFT(L392,8)="Excluded"),"",ABS(E392))</f>
        <v>0</v>
      </c>
    </row>
    <row r="393" customFormat="false" ht="15" hidden="false" customHeight="false" outlineLevel="0" collapsed="false">
      <c r="A393" s="7" t="n">
        <v>2014</v>
      </c>
      <c r="B393" s="12" t="s">
        <v>75</v>
      </c>
      <c r="C393" s="16" t="n">
        <v>2985.187229</v>
      </c>
      <c r="D393" s="16" t="n">
        <v>2985.187229</v>
      </c>
      <c r="E393" s="17" t="n">
        <f aca="false">IF(D393="","",C393-D393)</f>
        <v>0</v>
      </c>
      <c r="F393" s="18" t="n">
        <f aca="false">IF(OR(D393="",D393=0),"",E393/D393)</f>
        <v>0</v>
      </c>
      <c r="G393" s="16" t="n">
        <v>488.726225</v>
      </c>
      <c r="H393" s="16" t="n">
        <v>0</v>
      </c>
      <c r="I393" s="16" t="n">
        <v>488.726225</v>
      </c>
      <c r="J393" s="17" t="n">
        <f aca="false">IF(I393="","",G393-I393)</f>
        <v>0</v>
      </c>
      <c r="K393" s="18" t="n">
        <f aca="false">IF(OR(I393="",I393=0),"",J393/I393)</f>
        <v>0</v>
      </c>
      <c r="L393" s="19" t="str">
        <f aca="false">IF(OR(D393="",I393=""),"No reported total for O&amp;M or depreciation",IF(AND(ABS(F393)&lt;=$D$2,ABS(K393)&lt;=$D$2),"Reconciles within tolerance","Outside tolerance"))</f>
        <v>Reconciles within tolerance</v>
      </c>
      <c r="M393" s="17" t="n">
        <f aca="false">IF(OR(E393="",LEFT(L393,8)="Excluded"),"",ABS(E393))</f>
        <v>0</v>
      </c>
    </row>
    <row r="394" customFormat="false" ht="15" hidden="false" customHeight="false" outlineLevel="0" collapsed="false">
      <c r="A394" s="7" t="n">
        <v>2015</v>
      </c>
      <c r="B394" s="12" t="s">
        <v>75</v>
      </c>
      <c r="C394" s="16" t="n">
        <v>2819.830594</v>
      </c>
      <c r="D394" s="16" t="n">
        <v>2819.830594</v>
      </c>
      <c r="E394" s="17" t="n">
        <f aca="false">IF(D394="","",C394-D394)</f>
        <v>0</v>
      </c>
      <c r="F394" s="18" t="n">
        <f aca="false">IF(OR(D394="",D394=0),"",E394/D394)</f>
        <v>0</v>
      </c>
      <c r="G394" s="16" t="n">
        <v>533.731573</v>
      </c>
      <c r="H394" s="16" t="n">
        <v>0</v>
      </c>
      <c r="I394" s="16" t="n">
        <v>533.731573</v>
      </c>
      <c r="J394" s="17" t="n">
        <f aca="false">IF(I394="","",G394-I394)</f>
        <v>0</v>
      </c>
      <c r="K394" s="18" t="n">
        <f aca="false">IF(OR(I394="",I394=0),"",J394/I394)</f>
        <v>0</v>
      </c>
      <c r="L394" s="19" t="str">
        <f aca="false">IF(OR(D394="",I394=""),"No reported total for O&amp;M or depreciation",IF(AND(ABS(F394)&lt;=$D$2,ABS(K394)&lt;=$D$2),"Reconciles within tolerance","Outside tolerance"))</f>
        <v>Reconciles within tolerance</v>
      </c>
      <c r="M394" s="17" t="n">
        <f aca="false">IF(OR(E394="",LEFT(L394,8)="Excluded"),"",ABS(E394))</f>
        <v>0</v>
      </c>
    </row>
    <row r="395" customFormat="false" ht="15" hidden="false" customHeight="false" outlineLevel="0" collapsed="false">
      <c r="A395" s="7" t="n">
        <v>2016</v>
      </c>
      <c r="B395" s="12" t="s">
        <v>75</v>
      </c>
      <c r="C395" s="16" t="n">
        <v>2729.898703</v>
      </c>
      <c r="D395" s="16" t="n">
        <v>2729.898703</v>
      </c>
      <c r="E395" s="17" t="n">
        <f aca="false">IF(D395="","",C395-D395)</f>
        <v>0</v>
      </c>
      <c r="F395" s="18" t="n">
        <f aca="false">IF(OR(D395="",D395=0),"",E395/D395)</f>
        <v>0</v>
      </c>
      <c r="G395" s="16" t="n">
        <v>597.73327</v>
      </c>
      <c r="H395" s="16" t="n">
        <v>0</v>
      </c>
      <c r="I395" s="16" t="n">
        <v>597.73327</v>
      </c>
      <c r="J395" s="17" t="n">
        <f aca="false">IF(I395="","",G395-I395)</f>
        <v>0</v>
      </c>
      <c r="K395" s="18" t="n">
        <f aca="false">IF(OR(I395="",I395=0),"",J395/I395)</f>
        <v>0</v>
      </c>
      <c r="L395" s="19" t="str">
        <f aca="false">IF(OR(D395="",I395=""),"No reported total for O&amp;M or depreciation",IF(AND(ABS(F395)&lt;=$D$2,ABS(K395)&lt;=$D$2),"Reconciles within tolerance","Outside tolerance"))</f>
        <v>Reconciles within tolerance</v>
      </c>
      <c r="M395" s="17" t="n">
        <f aca="false">IF(OR(E395="",LEFT(L395,8)="Excluded"),"",ABS(E395))</f>
        <v>0</v>
      </c>
    </row>
    <row r="396" customFormat="false" ht="15" hidden="false" customHeight="false" outlineLevel="0" collapsed="false">
      <c r="A396" s="7" t="n">
        <v>2017</v>
      </c>
      <c r="B396" s="12" t="s">
        <v>75</v>
      </c>
      <c r="C396" s="16" t="n">
        <v>2770.463075</v>
      </c>
      <c r="D396" s="16" t="n">
        <v>2770.463075</v>
      </c>
      <c r="E396" s="17" t="n">
        <f aca="false">IF(D396="","",C396-D396)</f>
        <v>0</v>
      </c>
      <c r="F396" s="18" t="n">
        <f aca="false">IF(OR(D396="",D396=0),"",E396/D396)</f>
        <v>0</v>
      </c>
      <c r="G396" s="16" t="n">
        <v>623.576464</v>
      </c>
      <c r="H396" s="16" t="n">
        <v>0</v>
      </c>
      <c r="I396" s="16" t="n">
        <v>623.576464</v>
      </c>
      <c r="J396" s="17" t="n">
        <f aca="false">IF(I396="","",G396-I396)</f>
        <v>0</v>
      </c>
      <c r="K396" s="18" t="n">
        <f aca="false">IF(OR(I396="",I396=0),"",J396/I396)</f>
        <v>0</v>
      </c>
      <c r="L396" s="19" t="str">
        <f aca="false">IF(OR(D396="",I396=""),"No reported total for O&amp;M or depreciation",IF(AND(ABS(F396)&lt;=$D$2,ABS(K396)&lt;=$D$2),"Reconciles within tolerance","Outside tolerance"))</f>
        <v>Reconciles within tolerance</v>
      </c>
      <c r="M396" s="17" t="n">
        <f aca="false">IF(OR(E396="",LEFT(L396,8)="Excluded"),"",ABS(E396))</f>
        <v>0</v>
      </c>
    </row>
    <row r="397" customFormat="false" ht="15" hidden="false" customHeight="false" outlineLevel="0" collapsed="false">
      <c r="A397" s="7" t="n">
        <v>2018</v>
      </c>
      <c r="B397" s="12" t="s">
        <v>75</v>
      </c>
      <c r="C397" s="16" t="n">
        <v>2892.481683</v>
      </c>
      <c r="D397" s="16" t="n">
        <v>2892.481683</v>
      </c>
      <c r="E397" s="17" t="n">
        <f aca="false">IF(D397="","",C397-D397)</f>
        <v>0</v>
      </c>
      <c r="F397" s="18" t="n">
        <f aca="false">IF(OR(D397="",D397=0),"",E397/D397)</f>
        <v>0</v>
      </c>
      <c r="G397" s="16" t="n">
        <v>619.6003</v>
      </c>
      <c r="H397" s="16" t="n">
        <v>0</v>
      </c>
      <c r="I397" s="16" t="n">
        <v>619.6003</v>
      </c>
      <c r="J397" s="17" t="n">
        <f aca="false">IF(I397="","",G397-I397)</f>
        <v>0</v>
      </c>
      <c r="K397" s="18" t="n">
        <f aca="false">IF(OR(I397="",I397=0),"",J397/I397)</f>
        <v>0</v>
      </c>
      <c r="L397" s="19" t="str">
        <f aca="false">IF(OR(D397="",I397=""),"No reported total for O&amp;M or depreciation",IF(AND(ABS(F397)&lt;=$D$2,ABS(K397)&lt;=$D$2),"Reconciles within tolerance","Outside tolerance"))</f>
        <v>Reconciles within tolerance</v>
      </c>
      <c r="M397" s="17" t="n">
        <f aca="false">IF(OR(E397="",LEFT(L397,8)="Excluded"),"",ABS(E397))</f>
        <v>0</v>
      </c>
    </row>
    <row r="398" customFormat="false" ht="15" hidden="false" customHeight="false" outlineLevel="0" collapsed="false">
      <c r="A398" s="7" t="n">
        <v>2019</v>
      </c>
      <c r="B398" s="12" t="s">
        <v>75</v>
      </c>
      <c r="C398" s="16" t="n">
        <v>2864.599133</v>
      </c>
      <c r="D398" s="16" t="n">
        <v>2864.599133</v>
      </c>
      <c r="E398" s="17" t="n">
        <f aca="false">IF(D398="","",C398-D398)</f>
        <v>0</v>
      </c>
      <c r="F398" s="18" t="n">
        <f aca="false">IF(OR(D398="",D398=0),"",E398/D398)</f>
        <v>0</v>
      </c>
      <c r="G398" s="16" t="n">
        <v>667.109609</v>
      </c>
      <c r="H398" s="16" t="n">
        <v>0</v>
      </c>
      <c r="I398" s="16" t="n">
        <v>667.109609</v>
      </c>
      <c r="J398" s="17" t="n">
        <f aca="false">IF(I398="","",G398-I398)</f>
        <v>0</v>
      </c>
      <c r="K398" s="18" t="n">
        <f aca="false">IF(OR(I398="",I398=0),"",J398/I398)</f>
        <v>0</v>
      </c>
      <c r="L398" s="19" t="str">
        <f aca="false">IF(OR(D398="",I398=""),"No reported total for O&amp;M or depreciation",IF(AND(ABS(F398)&lt;=$D$2,ABS(K398)&lt;=$D$2),"Reconciles within tolerance","Outside tolerance"))</f>
        <v>Reconciles within tolerance</v>
      </c>
      <c r="M398" s="17" t="n">
        <f aca="false">IF(OR(E398="",LEFT(L398,8)="Excluded"),"",ABS(E398))</f>
        <v>0</v>
      </c>
    </row>
    <row r="399" customFormat="false" ht="15" hidden="false" customHeight="false" outlineLevel="0" collapsed="false">
      <c r="A399" s="7" t="n">
        <v>2020</v>
      </c>
      <c r="B399" s="12" t="s">
        <v>75</v>
      </c>
      <c r="C399" s="16" t="n">
        <v>2798.318053</v>
      </c>
      <c r="D399" s="16" t="n">
        <v>2798.318053</v>
      </c>
      <c r="E399" s="17" t="n">
        <f aca="false">IF(D399="","",C399-D399)</f>
        <v>0</v>
      </c>
      <c r="F399" s="18" t="n">
        <f aca="false">IF(OR(D399="",D399=0),"",E399/D399)</f>
        <v>0</v>
      </c>
      <c r="G399" s="16" t="n">
        <v>718.014607</v>
      </c>
      <c r="H399" s="16" t="n">
        <v>0</v>
      </c>
      <c r="I399" s="16" t="n">
        <v>718.014607</v>
      </c>
      <c r="J399" s="17" t="n">
        <f aca="false">IF(I399="","",G399-I399)</f>
        <v>0</v>
      </c>
      <c r="K399" s="18" t="n">
        <f aca="false">IF(OR(I399="",I399=0),"",J399/I399)</f>
        <v>0</v>
      </c>
      <c r="L399" s="19" t="str">
        <f aca="false">IF(OR(D399="",I399=""),"No reported total for O&amp;M or depreciation",IF(AND(ABS(F399)&lt;=$D$2,ABS(K399)&lt;=$D$2),"Reconciles within tolerance","Outside tolerance"))</f>
        <v>Reconciles within tolerance</v>
      </c>
      <c r="M399" s="17" t="n">
        <f aca="false">IF(OR(E399="",LEFT(L399,8)="Excluded"),"",ABS(E399))</f>
        <v>0</v>
      </c>
    </row>
    <row r="400" customFormat="false" ht="15" hidden="false" customHeight="false" outlineLevel="0" collapsed="false">
      <c r="A400" s="7" t="n">
        <v>2021</v>
      </c>
      <c r="B400" s="12" t="s">
        <v>75</v>
      </c>
      <c r="C400" s="16" t="n">
        <v>3037.642098</v>
      </c>
      <c r="D400" s="16" t="n">
        <v>3037.642098</v>
      </c>
      <c r="E400" s="17" t="n">
        <f aca="false">IF(D400="","",C400-D400)</f>
        <v>0</v>
      </c>
      <c r="F400" s="18" t="n">
        <f aca="false">IF(OR(D400="",D400=0),"",E400/D400)</f>
        <v>0</v>
      </c>
      <c r="G400" s="16" t="n">
        <v>809.651151</v>
      </c>
      <c r="H400" s="16" t="n">
        <v>0</v>
      </c>
      <c r="I400" s="16" t="n">
        <v>809.651151</v>
      </c>
      <c r="J400" s="17" t="n">
        <f aca="false">IF(I400="","",G400-I400)</f>
        <v>0</v>
      </c>
      <c r="K400" s="18" t="n">
        <f aca="false">IF(OR(I400="",I400=0),"",J400/I400)</f>
        <v>0</v>
      </c>
      <c r="L400" s="19" t="str">
        <f aca="false">IF(OR(D400="",I400=""),"No reported total for O&amp;M or depreciation",IF(AND(ABS(F400)&lt;=$D$2,ABS(K400)&lt;=$D$2),"Reconciles within tolerance","Outside tolerance"))</f>
        <v>Reconciles within tolerance</v>
      </c>
      <c r="M400" s="17" t="n">
        <f aca="false">IF(OR(E400="",LEFT(L400,8)="Excluded"),"",ABS(E400))</f>
        <v>0</v>
      </c>
    </row>
    <row r="401" customFormat="false" ht="15" hidden="false" customHeight="false" outlineLevel="0" collapsed="false">
      <c r="A401" s="7" t="n">
        <v>2022</v>
      </c>
      <c r="B401" s="12" t="s">
        <v>75</v>
      </c>
      <c r="C401" s="16" t="n">
        <v>3358.932723</v>
      </c>
      <c r="D401" s="16" t="n">
        <v>3358.932723</v>
      </c>
      <c r="E401" s="17" t="n">
        <f aca="false">IF(D401="","",C401-D401)</f>
        <v>0</v>
      </c>
      <c r="F401" s="18" t="n">
        <f aca="false">IF(OR(D401="",D401=0),"",E401/D401)</f>
        <v>0</v>
      </c>
      <c r="G401" s="16" t="n">
        <v>894.304331</v>
      </c>
      <c r="H401" s="16" t="n">
        <v>0</v>
      </c>
      <c r="I401" s="16" t="n">
        <v>894.304331</v>
      </c>
      <c r="J401" s="17" t="n">
        <f aca="false">IF(I401="","",G401-I401)</f>
        <v>0</v>
      </c>
      <c r="K401" s="18" t="n">
        <f aca="false">IF(OR(I401="",I401=0),"",J401/I401)</f>
        <v>0</v>
      </c>
      <c r="L401" s="19" t="str">
        <f aca="false">IF(OR(D401="",I401=""),"No reported total for O&amp;M or depreciation",IF(AND(ABS(F401)&lt;=$D$2,ABS(K401)&lt;=$D$2),"Reconciles within tolerance","Outside tolerance"))</f>
        <v>Reconciles within tolerance</v>
      </c>
      <c r="M401" s="17" t="n">
        <f aca="false">IF(OR(E401="",LEFT(L401,8)="Excluded"),"",ABS(E401))</f>
        <v>0</v>
      </c>
    </row>
    <row r="402" customFormat="false" ht="15" hidden="false" customHeight="false" outlineLevel="0" collapsed="false">
      <c r="A402" s="7" t="n">
        <v>2023</v>
      </c>
      <c r="B402" s="12" t="s">
        <v>75</v>
      </c>
      <c r="C402" s="16" t="n">
        <v>3210.496234</v>
      </c>
      <c r="D402" s="16" t="n">
        <v>3210.496234</v>
      </c>
      <c r="E402" s="17" t="n">
        <f aca="false">IF(D402="","",C402-D402)</f>
        <v>0</v>
      </c>
      <c r="F402" s="18" t="n">
        <f aca="false">IF(OR(D402="",D402=0),"",E402/D402)</f>
        <v>0</v>
      </c>
      <c r="G402" s="16" t="n">
        <v>837.661063</v>
      </c>
      <c r="H402" s="16" t="n">
        <v>0</v>
      </c>
      <c r="I402" s="16" t="n">
        <v>837.661063</v>
      </c>
      <c r="J402" s="17" t="n">
        <f aca="false">IF(I402="","",G402-I402)</f>
        <v>0</v>
      </c>
      <c r="K402" s="18" t="n">
        <f aca="false">IF(OR(I402="",I402=0),"",J402/I402)</f>
        <v>0</v>
      </c>
      <c r="L402" s="19" t="str">
        <f aca="false">IF(OR(D402="",I402=""),"No reported total for O&amp;M or depreciation",IF(AND(ABS(F402)&lt;=$D$2,ABS(K402)&lt;=$D$2),"Reconciles within tolerance","Outside tolerance"))</f>
        <v>Reconciles within tolerance</v>
      </c>
      <c r="M402" s="17" t="n">
        <f aca="false">IF(OR(E402="",LEFT(L402,8)="Excluded"),"",ABS(E402))</f>
        <v>0</v>
      </c>
    </row>
    <row r="403" customFormat="false" ht="15" hidden="false" customHeight="false" outlineLevel="0" collapsed="false">
      <c r="A403" s="7" t="n">
        <v>2024</v>
      </c>
      <c r="B403" s="12" t="s">
        <v>75</v>
      </c>
      <c r="C403" s="16" t="n">
        <v>3156.444487</v>
      </c>
      <c r="D403" s="16" t="n">
        <v>3156.444487</v>
      </c>
      <c r="E403" s="17" t="n">
        <f aca="false">IF(D403="","",C403-D403)</f>
        <v>0</v>
      </c>
      <c r="F403" s="18" t="n">
        <f aca="false">IF(OR(D403="",D403=0),"",E403/D403)</f>
        <v>0</v>
      </c>
      <c r="G403" s="16" t="n">
        <v>1000.109018</v>
      </c>
      <c r="H403" s="16" t="n">
        <v>0</v>
      </c>
      <c r="I403" s="16" t="n">
        <v>1000.109018</v>
      </c>
      <c r="J403" s="17" t="n">
        <f aca="false">IF(I403="","",G403-I403)</f>
        <v>0</v>
      </c>
      <c r="K403" s="18" t="n">
        <f aca="false">IF(OR(I403="",I403=0),"",J403/I403)</f>
        <v>0</v>
      </c>
      <c r="L403" s="19" t="str">
        <f aca="false">IF(OR(D403="",I403=""),"No reported total for O&amp;M or depreciation",IF(AND(ABS(F403)&lt;=$D$2,ABS(K403)&lt;=$D$2),"Reconciles within tolerance","Outside tolerance"))</f>
        <v>Reconciles within tolerance</v>
      </c>
      <c r="M403" s="17" t="n">
        <f aca="false">IF(OR(E403="",LEFT(L403,8)="Excluded"),"",ABS(E403))</f>
        <v>0</v>
      </c>
    </row>
    <row r="404" customFormat="false" ht="15" hidden="false" customHeight="false" outlineLevel="0" collapsed="false">
      <c r="A404" s="7" t="n">
        <v>2025</v>
      </c>
      <c r="B404" s="12" t="s">
        <v>75</v>
      </c>
      <c r="C404" s="16" t="n">
        <v>3094.131747</v>
      </c>
      <c r="D404" s="16" t="n">
        <v>3094.131747</v>
      </c>
      <c r="E404" s="17" t="n">
        <f aca="false">IF(D404="","",C404-D404)</f>
        <v>0</v>
      </c>
      <c r="F404" s="18" t="n">
        <f aca="false">IF(OR(D404="",D404=0),"",E404/D404)</f>
        <v>0</v>
      </c>
      <c r="G404" s="16" t="n">
        <v>1034.824165</v>
      </c>
      <c r="H404" s="16" t="n">
        <v>0</v>
      </c>
      <c r="I404" s="16" t="n">
        <v>1034.824165</v>
      </c>
      <c r="J404" s="17" t="n">
        <f aca="false">IF(I404="","",G404-I404)</f>
        <v>0</v>
      </c>
      <c r="K404" s="18" t="n">
        <f aca="false">IF(OR(I404="",I404=0),"",J404/I404)</f>
        <v>0</v>
      </c>
      <c r="L404" s="19" t="str">
        <f aca="false">IF(OR(D404="",I404=""),"No reported total for O&amp;M or depreciation",IF(AND(ABS(F404)&lt;=$D$2,ABS(K404)&lt;=$D$2),"Reconciles within tolerance","Outside tolerance"))</f>
        <v>Reconciles within tolerance</v>
      </c>
      <c r="M404" s="17" t="n">
        <f aca="false">IF(OR(E404="",LEFT(L404,8)="Excluded"),"",ABS(E404))</f>
        <v>0</v>
      </c>
    </row>
    <row r="405" customFormat="false" ht="15" hidden="false" customHeight="false" outlineLevel="0" collapsed="false">
      <c r="A405" s="7" t="n">
        <v>1995</v>
      </c>
      <c r="B405" s="12" t="s">
        <v>76</v>
      </c>
      <c r="C405" s="16" t="n">
        <v>267.007798</v>
      </c>
      <c r="D405" s="16" t="n">
        <v>267.007798</v>
      </c>
      <c r="E405" s="17" t="n">
        <f aca="false">IF(D405="","",C405-D405)</f>
        <v>0</v>
      </c>
      <c r="F405" s="18" t="n">
        <f aca="false">IF(OR(D405="",D405=0),"",E405/D405)</f>
        <v>0</v>
      </c>
      <c r="G405" s="16" t="n">
        <v>28.714147</v>
      </c>
      <c r="H405" s="16" t="n">
        <v>0</v>
      </c>
      <c r="I405" s="16" t="n">
        <v>28.714147</v>
      </c>
      <c r="J405" s="17" t="n">
        <f aca="false">IF(I405="","",G405-I405)</f>
        <v>0</v>
      </c>
      <c r="K405" s="18" t="n">
        <f aca="false">IF(OR(I405="",I405=0),"",J405/I405)</f>
        <v>0</v>
      </c>
      <c r="L405" s="19" t="str">
        <f aca="false">IF(OR(D405="",I405=""),"No reported total for O&amp;M or depreciation",IF(AND(ABS(F405)&lt;=$D$2,ABS(K405)&lt;=$D$2),"Reconciles within tolerance","Outside tolerance"))</f>
        <v>Reconciles within tolerance</v>
      </c>
      <c r="M405" s="17" t="n">
        <f aca="false">IF(OR(E405="",LEFT(L405,8)="Excluded"),"",ABS(E405))</f>
        <v>0</v>
      </c>
    </row>
    <row r="406" customFormat="false" ht="15" hidden="false" customHeight="false" outlineLevel="0" collapsed="false">
      <c r="A406" s="7" t="n">
        <v>1996</v>
      </c>
      <c r="B406" s="12" t="s">
        <v>76</v>
      </c>
      <c r="C406" s="16" t="n">
        <v>263.55613</v>
      </c>
      <c r="D406" s="16" t="n">
        <v>263.55613</v>
      </c>
      <c r="E406" s="17" t="n">
        <f aca="false">IF(D406="","",C406-D406)</f>
        <v>0</v>
      </c>
      <c r="F406" s="18" t="n">
        <f aca="false">IF(OR(D406="",D406=0),"",E406/D406)</f>
        <v>0</v>
      </c>
      <c r="G406" s="16" t="n">
        <v>30.817971</v>
      </c>
      <c r="H406" s="16" t="n">
        <v>0</v>
      </c>
      <c r="I406" s="16" t="n">
        <v>30.817971</v>
      </c>
      <c r="J406" s="17" t="n">
        <f aca="false">IF(I406="","",G406-I406)</f>
        <v>0</v>
      </c>
      <c r="K406" s="18" t="n">
        <f aca="false">IF(OR(I406="",I406=0),"",J406/I406)</f>
        <v>0</v>
      </c>
      <c r="L406" s="19" t="str">
        <f aca="false">IF(OR(D406="",I406=""),"No reported total for O&amp;M or depreciation",IF(AND(ABS(F406)&lt;=$D$2,ABS(K406)&lt;=$D$2),"Reconciles within tolerance","Outside tolerance"))</f>
        <v>Reconciles within tolerance</v>
      </c>
      <c r="M406" s="17" t="n">
        <f aca="false">IF(OR(E406="",LEFT(L406,8)="Excluded"),"",ABS(E406))</f>
        <v>0</v>
      </c>
    </row>
    <row r="407" customFormat="false" ht="15" hidden="false" customHeight="false" outlineLevel="0" collapsed="false">
      <c r="A407" s="7" t="n">
        <v>1997</v>
      </c>
      <c r="B407" s="12" t="s">
        <v>76</v>
      </c>
      <c r="C407" s="16" t="n">
        <v>269.087092</v>
      </c>
      <c r="D407" s="16" t="n">
        <v>269.087092</v>
      </c>
      <c r="E407" s="17" t="n">
        <f aca="false">IF(D407="","",C407-D407)</f>
        <v>0</v>
      </c>
      <c r="F407" s="18" t="n">
        <f aca="false">IF(OR(D407="",D407=0),"",E407/D407)</f>
        <v>0</v>
      </c>
      <c r="G407" s="16" t="n">
        <v>32.471093</v>
      </c>
      <c r="H407" s="16" t="n">
        <v>0</v>
      </c>
      <c r="I407" s="16" t="n">
        <v>32.471093</v>
      </c>
      <c r="J407" s="17" t="n">
        <f aca="false">IF(I407="","",G407-I407)</f>
        <v>0</v>
      </c>
      <c r="K407" s="18" t="n">
        <f aca="false">IF(OR(I407="",I407=0),"",J407/I407)</f>
        <v>0</v>
      </c>
      <c r="L407" s="19" t="str">
        <f aca="false">IF(OR(D407="",I407=""),"No reported total for O&amp;M or depreciation",IF(AND(ABS(F407)&lt;=$D$2,ABS(K407)&lt;=$D$2),"Reconciles within tolerance","Outside tolerance"))</f>
        <v>Reconciles within tolerance</v>
      </c>
      <c r="M407" s="17" t="n">
        <f aca="false">IF(OR(E407="",LEFT(L407,8)="Excluded"),"",ABS(E407))</f>
        <v>0</v>
      </c>
    </row>
    <row r="408" customFormat="false" ht="15" hidden="false" customHeight="false" outlineLevel="0" collapsed="false">
      <c r="A408" s="7" t="n">
        <v>1998</v>
      </c>
      <c r="B408" s="12" t="s">
        <v>76</v>
      </c>
      <c r="C408" s="16" t="n">
        <v>286.943593</v>
      </c>
      <c r="D408" s="16" t="n">
        <v>286.943593</v>
      </c>
      <c r="E408" s="17" t="n">
        <f aca="false">IF(D408="","",C408-D408)</f>
        <v>0</v>
      </c>
      <c r="F408" s="18" t="n">
        <f aca="false">IF(OR(D408="",D408=0),"",E408/D408)</f>
        <v>0</v>
      </c>
      <c r="G408" s="16" t="n">
        <v>33.386142</v>
      </c>
      <c r="H408" s="16" t="n">
        <v>0</v>
      </c>
      <c r="I408" s="16" t="n">
        <v>33.386142</v>
      </c>
      <c r="J408" s="17" t="n">
        <f aca="false">IF(I408="","",G408-I408)</f>
        <v>0</v>
      </c>
      <c r="K408" s="18" t="n">
        <f aca="false">IF(OR(I408="",I408=0),"",J408/I408)</f>
        <v>0</v>
      </c>
      <c r="L408" s="19" t="str">
        <f aca="false">IF(OR(D408="",I408=""),"No reported total for O&amp;M or depreciation",IF(AND(ABS(F408)&lt;=$D$2,ABS(K408)&lt;=$D$2),"Reconciles within tolerance","Outside tolerance"))</f>
        <v>Reconciles within tolerance</v>
      </c>
      <c r="M408" s="17" t="n">
        <f aca="false">IF(OR(E408="",LEFT(L408,8)="Excluded"),"",ABS(E408))</f>
        <v>0</v>
      </c>
    </row>
    <row r="409" customFormat="false" ht="15" hidden="false" customHeight="false" outlineLevel="0" collapsed="false">
      <c r="A409" s="7" t="n">
        <v>1999</v>
      </c>
      <c r="B409" s="12" t="s">
        <v>76</v>
      </c>
      <c r="C409" s="16" t="n">
        <v>289.951775</v>
      </c>
      <c r="D409" s="16" t="n">
        <v>289.951775</v>
      </c>
      <c r="E409" s="17" t="n">
        <f aca="false">IF(D409="","",C409-D409)</f>
        <v>0</v>
      </c>
      <c r="F409" s="18" t="n">
        <f aca="false">IF(OR(D409="",D409=0),"",E409/D409)</f>
        <v>0</v>
      </c>
      <c r="G409" s="16" t="n">
        <v>35.794682</v>
      </c>
      <c r="H409" s="16" t="n">
        <v>0</v>
      </c>
      <c r="I409" s="16" t="n">
        <v>35.794682</v>
      </c>
      <c r="J409" s="17" t="n">
        <f aca="false">IF(I409="","",G409-I409)</f>
        <v>0</v>
      </c>
      <c r="K409" s="18" t="n">
        <f aca="false">IF(OR(I409="",I409=0),"",J409/I409)</f>
        <v>0</v>
      </c>
      <c r="L409" s="19" t="str">
        <f aca="false">IF(OR(D409="",I409=""),"No reported total for O&amp;M or depreciation",IF(AND(ABS(F409)&lt;=$D$2,ABS(K409)&lt;=$D$2),"Reconciles within tolerance","Outside tolerance"))</f>
        <v>Reconciles within tolerance</v>
      </c>
      <c r="M409" s="17" t="n">
        <f aca="false">IF(OR(E409="",LEFT(L409,8)="Excluded"),"",ABS(E409))</f>
        <v>0</v>
      </c>
    </row>
    <row r="410" customFormat="false" ht="15" hidden="false" customHeight="false" outlineLevel="0" collapsed="false">
      <c r="A410" s="7" t="n">
        <v>2000</v>
      </c>
      <c r="B410" s="12" t="s">
        <v>76</v>
      </c>
      <c r="C410" s="16" t="n">
        <v>301.375851</v>
      </c>
      <c r="D410" s="16" t="n">
        <v>301.375851</v>
      </c>
      <c r="E410" s="17" t="n">
        <f aca="false">IF(D410="","",C410-D410)</f>
        <v>0</v>
      </c>
      <c r="F410" s="18" t="n">
        <f aca="false">IF(OR(D410="",D410=0),"",E410/D410)</f>
        <v>0</v>
      </c>
      <c r="G410" s="16" t="n">
        <v>34.933269</v>
      </c>
      <c r="H410" s="16" t="n">
        <v>0</v>
      </c>
      <c r="I410" s="16" t="n">
        <v>34.933269</v>
      </c>
      <c r="J410" s="17" t="n">
        <f aca="false">IF(I410="","",G410-I410)</f>
        <v>0</v>
      </c>
      <c r="K410" s="18" t="n">
        <f aca="false">IF(OR(I410="",I410=0),"",J410/I410)</f>
        <v>0</v>
      </c>
      <c r="L410" s="19" t="str">
        <f aca="false">IF(OR(D410="",I410=""),"No reported total for O&amp;M or depreciation",IF(AND(ABS(F410)&lt;=$D$2,ABS(K410)&lt;=$D$2),"Reconciles within tolerance","Outside tolerance"))</f>
        <v>Reconciles within tolerance</v>
      </c>
      <c r="M410" s="17" t="n">
        <f aca="false">IF(OR(E410="",LEFT(L410,8)="Excluded"),"",ABS(E410))</f>
        <v>0</v>
      </c>
    </row>
    <row r="411" customFormat="false" ht="15" hidden="false" customHeight="false" outlineLevel="0" collapsed="false">
      <c r="A411" s="7" t="n">
        <v>2001</v>
      </c>
      <c r="B411" s="12" t="s">
        <v>76</v>
      </c>
      <c r="C411" s="16" t="n">
        <v>326.676121</v>
      </c>
      <c r="D411" s="16" t="n">
        <v>326.676121</v>
      </c>
      <c r="E411" s="17" t="n">
        <f aca="false">IF(D411="","",C411-D411)</f>
        <v>0</v>
      </c>
      <c r="F411" s="18" t="n">
        <f aca="false">IF(OR(D411="",D411=0),"",E411/D411)</f>
        <v>0</v>
      </c>
      <c r="G411" s="16" t="n">
        <v>36.082821</v>
      </c>
      <c r="H411" s="16" t="n">
        <v>0</v>
      </c>
      <c r="I411" s="16" t="n">
        <v>36.082821</v>
      </c>
      <c r="J411" s="17" t="n">
        <f aca="false">IF(I411="","",G411-I411)</f>
        <v>0</v>
      </c>
      <c r="K411" s="18" t="n">
        <f aca="false">IF(OR(I411="",I411=0),"",J411/I411)</f>
        <v>0</v>
      </c>
      <c r="L411" s="19" t="str">
        <f aca="false">IF(OR(D411="",I411=""),"No reported total for O&amp;M or depreciation",IF(AND(ABS(F411)&lt;=$D$2,ABS(K411)&lt;=$D$2),"Reconciles within tolerance","Outside tolerance"))</f>
        <v>Reconciles within tolerance</v>
      </c>
      <c r="M411" s="17" t="n">
        <f aca="false">IF(OR(E411="",LEFT(L411,8)="Excluded"),"",ABS(E411))</f>
        <v>0</v>
      </c>
    </row>
    <row r="412" customFormat="false" ht="15" hidden="false" customHeight="false" outlineLevel="0" collapsed="false">
      <c r="A412" s="7" t="n">
        <v>2002</v>
      </c>
      <c r="B412" s="12" t="s">
        <v>76</v>
      </c>
      <c r="C412" s="16" t="n">
        <v>301.16263</v>
      </c>
      <c r="D412" s="16" t="n">
        <v>301.16263</v>
      </c>
      <c r="E412" s="17" t="n">
        <f aca="false">IF(D412="","",C412-D412)</f>
        <v>0</v>
      </c>
      <c r="F412" s="18" t="n">
        <f aca="false">IF(OR(D412="",D412=0),"",E412/D412)</f>
        <v>0</v>
      </c>
      <c r="G412" s="16" t="n">
        <v>38.896707</v>
      </c>
      <c r="H412" s="16" t="n">
        <v>0</v>
      </c>
      <c r="I412" s="16" t="n">
        <v>38.896707</v>
      </c>
      <c r="J412" s="17" t="n">
        <f aca="false">IF(I412="","",G412-I412)</f>
        <v>0</v>
      </c>
      <c r="K412" s="18" t="n">
        <f aca="false">IF(OR(I412="",I412=0),"",J412/I412)</f>
        <v>0</v>
      </c>
      <c r="L412" s="19" t="str">
        <f aca="false">IF(OR(D412="",I412=""),"No reported total for O&amp;M or depreciation",IF(AND(ABS(F412)&lt;=$D$2,ABS(K412)&lt;=$D$2),"Reconciles within tolerance","Outside tolerance"))</f>
        <v>Reconciles within tolerance</v>
      </c>
      <c r="M412" s="17" t="n">
        <f aca="false">IF(OR(E412="",LEFT(L412,8)="Excluded"),"",ABS(E412))</f>
        <v>0</v>
      </c>
    </row>
    <row r="413" customFormat="false" ht="15" hidden="false" customHeight="false" outlineLevel="0" collapsed="false">
      <c r="A413" s="7" t="n">
        <v>2003</v>
      </c>
      <c r="B413" s="12" t="s">
        <v>76</v>
      </c>
      <c r="C413" s="16" t="n">
        <v>320.615337</v>
      </c>
      <c r="D413" s="16" t="n">
        <v>320.615337</v>
      </c>
      <c r="E413" s="17" t="n">
        <f aca="false">IF(D413="","",C413-D413)</f>
        <v>0</v>
      </c>
      <c r="F413" s="18" t="n">
        <f aca="false">IF(OR(D413="",D413=0),"",E413/D413)</f>
        <v>0</v>
      </c>
      <c r="G413" s="16" t="n">
        <v>40.581531</v>
      </c>
      <c r="H413" s="16" t="n">
        <v>0</v>
      </c>
      <c r="I413" s="16" t="n">
        <v>40.581531</v>
      </c>
      <c r="J413" s="17" t="n">
        <f aca="false">IF(I413="","",G413-I413)</f>
        <v>0</v>
      </c>
      <c r="K413" s="18" t="n">
        <f aca="false">IF(OR(I413="",I413=0),"",J413/I413)</f>
        <v>0</v>
      </c>
      <c r="L413" s="19" t="str">
        <f aca="false">IF(OR(D413="",I413=""),"No reported total for O&amp;M or depreciation",IF(AND(ABS(F413)&lt;=$D$2,ABS(K413)&lt;=$D$2),"Reconciles within tolerance","Outside tolerance"))</f>
        <v>Reconciles within tolerance</v>
      </c>
      <c r="M413" s="17" t="n">
        <f aca="false">IF(OR(E413="",LEFT(L413,8)="Excluded"),"",ABS(E413))</f>
        <v>0</v>
      </c>
    </row>
    <row r="414" customFormat="false" ht="15" hidden="false" customHeight="false" outlineLevel="0" collapsed="false">
      <c r="A414" s="7" t="n">
        <v>2004</v>
      </c>
      <c r="B414" s="12" t="s">
        <v>76</v>
      </c>
      <c r="C414" s="16" t="n">
        <v>321.436848</v>
      </c>
      <c r="D414" s="16" t="n">
        <v>321.436848</v>
      </c>
      <c r="E414" s="17" t="n">
        <f aca="false">IF(D414="","",C414-D414)</f>
        <v>0</v>
      </c>
      <c r="F414" s="18" t="n">
        <f aca="false">IF(OR(D414="",D414=0),"",E414/D414)</f>
        <v>0</v>
      </c>
      <c r="G414" s="16" t="n">
        <v>40.931743</v>
      </c>
      <c r="H414" s="16" t="n">
        <v>0</v>
      </c>
      <c r="I414" s="16" t="n">
        <v>40.931743</v>
      </c>
      <c r="J414" s="17" t="n">
        <f aca="false">IF(I414="","",G414-I414)</f>
        <v>0</v>
      </c>
      <c r="K414" s="18" t="n">
        <f aca="false">IF(OR(I414="",I414=0),"",J414/I414)</f>
        <v>0</v>
      </c>
      <c r="L414" s="19" t="str">
        <f aca="false">IF(OR(D414="",I414=""),"No reported total for O&amp;M or depreciation",IF(AND(ABS(F414)&lt;=$D$2,ABS(K414)&lt;=$D$2),"Reconciles within tolerance","Outside tolerance"))</f>
        <v>Reconciles within tolerance</v>
      </c>
      <c r="M414" s="17" t="n">
        <f aca="false">IF(OR(E414="",LEFT(L414,8)="Excluded"),"",ABS(E414))</f>
        <v>0</v>
      </c>
    </row>
    <row r="415" customFormat="false" ht="15" hidden="false" customHeight="false" outlineLevel="0" collapsed="false">
      <c r="A415" s="7" t="n">
        <v>2005</v>
      </c>
      <c r="B415" s="12" t="s">
        <v>76</v>
      </c>
      <c r="C415" s="16" t="n">
        <v>406.655908</v>
      </c>
      <c r="D415" s="16" t="n">
        <v>406.655908</v>
      </c>
      <c r="E415" s="17" t="n">
        <f aca="false">IF(D415="","",C415-D415)</f>
        <v>0</v>
      </c>
      <c r="F415" s="18" t="n">
        <f aca="false">IF(OR(D415="",D415=0),"",E415/D415)</f>
        <v>0</v>
      </c>
      <c r="G415" s="16" t="n">
        <v>44.554992</v>
      </c>
      <c r="H415" s="16" t="n">
        <v>0</v>
      </c>
      <c r="I415" s="16" t="n">
        <v>44.554992</v>
      </c>
      <c r="J415" s="17" t="n">
        <f aca="false">IF(I415="","",G415-I415)</f>
        <v>0</v>
      </c>
      <c r="K415" s="18" t="n">
        <f aca="false">IF(OR(I415="",I415=0),"",J415/I415)</f>
        <v>0</v>
      </c>
      <c r="L415" s="19" t="str">
        <f aca="false">IF(OR(D415="",I415=""),"No reported total for O&amp;M or depreciation",IF(AND(ABS(F415)&lt;=$D$2,ABS(K415)&lt;=$D$2),"Reconciles within tolerance","Outside tolerance"))</f>
        <v>Reconciles within tolerance</v>
      </c>
      <c r="M415" s="17" t="n">
        <f aca="false">IF(OR(E415="",LEFT(L415,8)="Excluded"),"",ABS(E415))</f>
        <v>0</v>
      </c>
    </row>
    <row r="416" customFormat="false" ht="15" hidden="false" customHeight="false" outlineLevel="0" collapsed="false">
      <c r="A416" s="7" t="n">
        <v>2006</v>
      </c>
      <c r="B416" s="12" t="s">
        <v>76</v>
      </c>
      <c r="C416" s="16" t="n">
        <v>440.967916</v>
      </c>
      <c r="D416" s="16" t="n">
        <v>440.967916</v>
      </c>
      <c r="E416" s="17" t="n">
        <f aca="false">IF(D416="","",C416-D416)</f>
        <v>0</v>
      </c>
      <c r="F416" s="18" t="n">
        <f aca="false">IF(OR(D416="",D416=0),"",E416/D416)</f>
        <v>0</v>
      </c>
      <c r="G416" s="16" t="n">
        <v>44.961025</v>
      </c>
      <c r="H416" s="16" t="n">
        <v>0</v>
      </c>
      <c r="I416" s="16" t="n">
        <v>44.961025</v>
      </c>
      <c r="J416" s="17" t="n">
        <f aca="false">IF(I416="","",G416-I416)</f>
        <v>0</v>
      </c>
      <c r="K416" s="18" t="n">
        <f aca="false">IF(OR(I416="",I416=0),"",J416/I416)</f>
        <v>0</v>
      </c>
      <c r="L416" s="19" t="str">
        <f aca="false">IF(OR(D416="",I416=""),"No reported total for O&amp;M or depreciation",IF(AND(ABS(F416)&lt;=$D$2,ABS(K416)&lt;=$D$2),"Reconciles within tolerance","Outside tolerance"))</f>
        <v>Reconciles within tolerance</v>
      </c>
      <c r="M416" s="17" t="n">
        <f aca="false">IF(OR(E416="",LEFT(L416,8)="Excluded"),"",ABS(E416))</f>
        <v>0</v>
      </c>
    </row>
    <row r="417" customFormat="false" ht="15" hidden="false" customHeight="false" outlineLevel="0" collapsed="false">
      <c r="A417" s="7" t="n">
        <v>2007</v>
      </c>
      <c r="B417" s="12" t="s">
        <v>76</v>
      </c>
      <c r="C417" s="16" t="n">
        <v>494.956377</v>
      </c>
      <c r="D417" s="16" t="n">
        <v>494.956377</v>
      </c>
      <c r="E417" s="17" t="n">
        <f aca="false">IF(D417="","",C417-D417)</f>
        <v>0</v>
      </c>
      <c r="F417" s="18" t="n">
        <f aca="false">IF(OR(D417="",D417=0),"",E417/D417)</f>
        <v>0</v>
      </c>
      <c r="G417" s="16" t="n">
        <v>46.732811</v>
      </c>
      <c r="H417" s="16" t="n">
        <v>0</v>
      </c>
      <c r="I417" s="16" t="n">
        <v>46.732811</v>
      </c>
      <c r="J417" s="17" t="n">
        <f aca="false">IF(I417="","",G417-I417)</f>
        <v>0</v>
      </c>
      <c r="K417" s="18" t="n">
        <f aca="false">IF(OR(I417="",I417=0),"",J417/I417)</f>
        <v>0</v>
      </c>
      <c r="L417" s="19" t="str">
        <f aca="false">IF(OR(D417="",I417=""),"No reported total for O&amp;M or depreciation",IF(AND(ABS(F417)&lt;=$D$2,ABS(K417)&lt;=$D$2),"Reconciles within tolerance","Outside tolerance"))</f>
        <v>Reconciles within tolerance</v>
      </c>
      <c r="M417" s="17" t="n">
        <f aca="false">IF(OR(E417="",LEFT(L417,8)="Excluded"),"",ABS(E417))</f>
        <v>0</v>
      </c>
    </row>
    <row r="418" customFormat="false" ht="15" hidden="false" customHeight="false" outlineLevel="0" collapsed="false">
      <c r="A418" s="7" t="n">
        <v>2008</v>
      </c>
      <c r="B418" s="12" t="s">
        <v>76</v>
      </c>
      <c r="C418" s="16" t="n">
        <v>511.619213</v>
      </c>
      <c r="D418" s="16" t="n">
        <v>511.619213</v>
      </c>
      <c r="E418" s="17" t="n">
        <f aca="false">IF(D418="","",C418-D418)</f>
        <v>0</v>
      </c>
      <c r="F418" s="18" t="n">
        <f aca="false">IF(OR(D418="",D418=0),"",E418/D418)</f>
        <v>0</v>
      </c>
      <c r="G418" s="16" t="n">
        <v>49.662343</v>
      </c>
      <c r="H418" s="16" t="n">
        <v>0</v>
      </c>
      <c r="I418" s="16" t="n">
        <v>49.662343</v>
      </c>
      <c r="J418" s="17" t="n">
        <f aca="false">IF(I418="","",G418-I418)</f>
        <v>0</v>
      </c>
      <c r="K418" s="18" t="n">
        <f aca="false">IF(OR(I418="",I418=0),"",J418/I418)</f>
        <v>0</v>
      </c>
      <c r="L418" s="19" t="str">
        <f aca="false">IF(OR(D418="",I418=""),"No reported total for O&amp;M or depreciation",IF(AND(ABS(F418)&lt;=$D$2,ABS(K418)&lt;=$D$2),"Reconciles within tolerance","Outside tolerance"))</f>
        <v>Reconciles within tolerance</v>
      </c>
      <c r="M418" s="17" t="n">
        <f aca="false">IF(OR(E418="",LEFT(L418,8)="Excluded"),"",ABS(E418))</f>
        <v>0</v>
      </c>
    </row>
    <row r="419" customFormat="false" ht="15" hidden="false" customHeight="false" outlineLevel="0" collapsed="false">
      <c r="A419" s="7" t="n">
        <v>2009</v>
      </c>
      <c r="B419" s="12" t="s">
        <v>76</v>
      </c>
      <c r="C419" s="16" t="n">
        <v>511.489167</v>
      </c>
      <c r="D419" s="16" t="n">
        <v>511.489167</v>
      </c>
      <c r="E419" s="17" t="n">
        <f aca="false">IF(D419="","",C419-D419)</f>
        <v>0</v>
      </c>
      <c r="F419" s="18" t="n">
        <f aca="false">IF(OR(D419="",D419=0),"",E419/D419)</f>
        <v>0</v>
      </c>
      <c r="G419" s="16" t="n">
        <v>52.612735</v>
      </c>
      <c r="H419" s="16" t="n">
        <v>0</v>
      </c>
      <c r="I419" s="16" t="n">
        <v>52.612735</v>
      </c>
      <c r="J419" s="17" t="n">
        <f aca="false">IF(I419="","",G419-I419)</f>
        <v>0</v>
      </c>
      <c r="K419" s="18" t="n">
        <f aca="false">IF(OR(I419="",I419=0),"",J419/I419)</f>
        <v>0</v>
      </c>
      <c r="L419" s="19" t="str">
        <f aca="false">IF(OR(D419="",I419=""),"No reported total for O&amp;M or depreciation",IF(AND(ABS(F419)&lt;=$D$2,ABS(K419)&lt;=$D$2),"Reconciles within tolerance","Outside tolerance"))</f>
        <v>Reconciles within tolerance</v>
      </c>
      <c r="M419" s="17" t="n">
        <f aca="false">IF(OR(E419="",LEFT(L419,8)="Excluded"),"",ABS(E419))</f>
        <v>0</v>
      </c>
    </row>
    <row r="420" customFormat="false" ht="15" hidden="false" customHeight="false" outlineLevel="0" collapsed="false">
      <c r="A420" s="7" t="n">
        <v>2010</v>
      </c>
      <c r="B420" s="12" t="s">
        <v>76</v>
      </c>
      <c r="C420" s="16" t="n">
        <v>549.6898</v>
      </c>
      <c r="D420" s="16" t="n">
        <v>549.6898</v>
      </c>
      <c r="E420" s="17" t="n">
        <f aca="false">IF(D420="","",C420-D420)</f>
        <v>0</v>
      </c>
      <c r="F420" s="18" t="n">
        <f aca="false">IF(OR(D420="",D420=0),"",E420/D420)</f>
        <v>0</v>
      </c>
      <c r="G420" s="16" t="n">
        <v>54.683824</v>
      </c>
      <c r="H420" s="16" t="n">
        <v>0</v>
      </c>
      <c r="I420" s="16" t="n">
        <v>54.683824</v>
      </c>
      <c r="J420" s="17" t="n">
        <f aca="false">IF(I420="","",G420-I420)</f>
        <v>0</v>
      </c>
      <c r="K420" s="18" t="n">
        <f aca="false">IF(OR(I420="",I420=0),"",J420/I420)</f>
        <v>0</v>
      </c>
      <c r="L420" s="19" t="str">
        <f aca="false">IF(OR(D420="",I420=""),"No reported total for O&amp;M or depreciation",IF(AND(ABS(F420)&lt;=$D$2,ABS(K420)&lt;=$D$2),"Reconciles within tolerance","Outside tolerance"))</f>
        <v>Reconciles within tolerance</v>
      </c>
      <c r="M420" s="17" t="n">
        <f aca="false">IF(OR(E420="",LEFT(L420,8)="Excluded"),"",ABS(E420))</f>
        <v>0</v>
      </c>
    </row>
    <row r="421" customFormat="false" ht="15" hidden="false" customHeight="false" outlineLevel="0" collapsed="false">
      <c r="A421" s="7" t="n">
        <v>2011</v>
      </c>
      <c r="B421" s="12" t="s">
        <v>76</v>
      </c>
      <c r="C421" s="16" t="n">
        <v>573.43779</v>
      </c>
      <c r="D421" s="16" t="n">
        <v>573.43779</v>
      </c>
      <c r="E421" s="17" t="n">
        <f aca="false">IF(D421="","",C421-D421)</f>
        <v>0</v>
      </c>
      <c r="F421" s="18" t="n">
        <f aca="false">IF(OR(D421="",D421=0),"",E421/D421)</f>
        <v>0</v>
      </c>
      <c r="G421" s="16" t="n">
        <v>58.720918</v>
      </c>
      <c r="H421" s="16" t="n">
        <v>0</v>
      </c>
      <c r="I421" s="16" t="n">
        <v>58.720918</v>
      </c>
      <c r="J421" s="17" t="n">
        <f aca="false">IF(I421="","",G421-I421)</f>
        <v>0</v>
      </c>
      <c r="K421" s="18" t="n">
        <f aca="false">IF(OR(I421="",I421=0),"",J421/I421)</f>
        <v>0</v>
      </c>
      <c r="L421" s="19" t="str">
        <f aca="false">IF(OR(D421="",I421=""),"No reported total for O&amp;M or depreciation",IF(AND(ABS(F421)&lt;=$D$2,ABS(K421)&lt;=$D$2),"Reconciles within tolerance","Outside tolerance"))</f>
        <v>Reconciles within tolerance</v>
      </c>
      <c r="M421" s="17" t="n">
        <f aca="false">IF(OR(E421="",LEFT(L421,8)="Excluded"),"",ABS(E421))</f>
        <v>0</v>
      </c>
    </row>
    <row r="422" customFormat="false" ht="15" hidden="false" customHeight="false" outlineLevel="0" collapsed="false">
      <c r="A422" s="7" t="n">
        <v>2012</v>
      </c>
      <c r="B422" s="12" t="s">
        <v>76</v>
      </c>
      <c r="C422" s="16" t="n">
        <v>580.309834</v>
      </c>
      <c r="D422" s="16" t="n">
        <v>580.309834</v>
      </c>
      <c r="E422" s="17" t="n">
        <f aca="false">IF(D422="","",C422-D422)</f>
        <v>0</v>
      </c>
      <c r="F422" s="18" t="n">
        <f aca="false">IF(OR(D422="",D422=0),"",E422/D422)</f>
        <v>0</v>
      </c>
      <c r="G422" s="16" t="n">
        <v>60.002651</v>
      </c>
      <c r="H422" s="16" t="n">
        <v>0</v>
      </c>
      <c r="I422" s="16" t="n">
        <v>60.002651</v>
      </c>
      <c r="J422" s="17" t="n">
        <f aca="false">IF(I422="","",G422-I422)</f>
        <v>0</v>
      </c>
      <c r="K422" s="18" t="n">
        <f aca="false">IF(OR(I422="",I422=0),"",J422/I422)</f>
        <v>0</v>
      </c>
      <c r="L422" s="19" t="str">
        <f aca="false">IF(OR(D422="",I422=""),"No reported total for O&amp;M or depreciation",IF(AND(ABS(F422)&lt;=$D$2,ABS(K422)&lt;=$D$2),"Reconciles within tolerance","Outside tolerance"))</f>
        <v>Reconciles within tolerance</v>
      </c>
      <c r="M422" s="17" t="n">
        <f aca="false">IF(OR(E422="",LEFT(L422,8)="Excluded"),"",ABS(E422))</f>
        <v>0</v>
      </c>
    </row>
    <row r="423" customFormat="false" ht="15" hidden="false" customHeight="false" outlineLevel="0" collapsed="false">
      <c r="A423" s="7" t="n">
        <v>2013</v>
      </c>
      <c r="B423" s="12" t="s">
        <v>76</v>
      </c>
      <c r="C423" s="16" t="n">
        <v>596.363336</v>
      </c>
      <c r="D423" s="16" t="n">
        <v>596.363336</v>
      </c>
      <c r="E423" s="17" t="n">
        <f aca="false">IF(D423="","",C423-D423)</f>
        <v>0</v>
      </c>
      <c r="F423" s="18" t="n">
        <f aca="false">IF(OR(D423="",D423=0),"",E423/D423)</f>
        <v>0</v>
      </c>
      <c r="G423" s="16" t="n">
        <v>64.743906</v>
      </c>
      <c r="H423" s="16" t="n">
        <v>0</v>
      </c>
      <c r="I423" s="16" t="n">
        <v>64.743906</v>
      </c>
      <c r="J423" s="17" t="n">
        <f aca="false">IF(I423="","",G423-I423)</f>
        <v>0</v>
      </c>
      <c r="K423" s="18" t="n">
        <f aca="false">IF(OR(I423="",I423=0),"",J423/I423)</f>
        <v>0</v>
      </c>
      <c r="L423" s="19" t="str">
        <f aca="false">IF(OR(D423="",I423=""),"No reported total for O&amp;M or depreciation",IF(AND(ABS(F423)&lt;=$D$2,ABS(K423)&lt;=$D$2),"Reconciles within tolerance","Outside tolerance"))</f>
        <v>Reconciles within tolerance</v>
      </c>
      <c r="M423" s="17" t="n">
        <f aca="false">IF(OR(E423="",LEFT(L423,8)="Excluded"),"",ABS(E423))</f>
        <v>0</v>
      </c>
    </row>
    <row r="424" customFormat="false" ht="15" hidden="false" customHeight="false" outlineLevel="0" collapsed="false">
      <c r="A424" s="7" t="n">
        <v>2014</v>
      </c>
      <c r="B424" s="12" t="s">
        <v>76</v>
      </c>
      <c r="C424" s="16" t="n">
        <v>621.068217</v>
      </c>
      <c r="D424" s="16" t="n">
        <v>621.068217</v>
      </c>
      <c r="E424" s="17" t="n">
        <f aca="false">IF(D424="","",C424-D424)</f>
        <v>0</v>
      </c>
      <c r="F424" s="18" t="n">
        <f aca="false">IF(OR(D424="",D424=0),"",E424/D424)</f>
        <v>0</v>
      </c>
      <c r="G424" s="16" t="n">
        <v>66.23576</v>
      </c>
      <c r="H424" s="16" t="n">
        <v>0</v>
      </c>
      <c r="I424" s="16" t="n">
        <v>66.23576</v>
      </c>
      <c r="J424" s="17" t="n">
        <f aca="false">IF(I424="","",G424-I424)</f>
        <v>0</v>
      </c>
      <c r="K424" s="18" t="n">
        <f aca="false">IF(OR(I424="",I424=0),"",J424/I424)</f>
        <v>0</v>
      </c>
      <c r="L424" s="19" t="str">
        <f aca="false">IF(OR(D424="",I424=""),"No reported total for O&amp;M or depreciation",IF(AND(ABS(F424)&lt;=$D$2,ABS(K424)&lt;=$D$2),"Reconciles within tolerance","Outside tolerance"))</f>
        <v>Reconciles within tolerance</v>
      </c>
      <c r="M424" s="17" t="n">
        <f aca="false">IF(OR(E424="",LEFT(L424,8)="Excluded"),"",ABS(E424))</f>
        <v>0</v>
      </c>
    </row>
    <row r="425" customFormat="false" ht="15" hidden="false" customHeight="false" outlineLevel="0" collapsed="false">
      <c r="A425" s="7" t="n">
        <v>2015</v>
      </c>
      <c r="B425" s="12" t="s">
        <v>76</v>
      </c>
      <c r="C425" s="16" t="n">
        <v>601.302482</v>
      </c>
      <c r="D425" s="16" t="n">
        <v>601.302482</v>
      </c>
      <c r="E425" s="17" t="n">
        <f aca="false">IF(D425="","",C425-D425)</f>
        <v>0</v>
      </c>
      <c r="F425" s="18" t="n">
        <f aca="false">IF(OR(D425="",D425=0),"",E425/D425)</f>
        <v>0</v>
      </c>
      <c r="G425" s="16" t="n">
        <v>77.293007</v>
      </c>
      <c r="H425" s="16" t="n">
        <v>0</v>
      </c>
      <c r="I425" s="16" t="n">
        <v>77.293007</v>
      </c>
      <c r="J425" s="17" t="n">
        <f aca="false">IF(I425="","",G425-I425)</f>
        <v>0</v>
      </c>
      <c r="K425" s="18" t="n">
        <f aca="false">IF(OR(I425="",I425=0),"",J425/I425)</f>
        <v>0</v>
      </c>
      <c r="L425" s="19" t="str">
        <f aca="false">IF(OR(D425="",I425=""),"No reported total for O&amp;M or depreciation",IF(AND(ABS(F425)&lt;=$D$2,ABS(K425)&lt;=$D$2),"Reconciles within tolerance","Outside tolerance"))</f>
        <v>Reconciles within tolerance</v>
      </c>
      <c r="M425" s="17" t="n">
        <f aca="false">IF(OR(E425="",LEFT(L425,8)="Excluded"),"",ABS(E425))</f>
        <v>0</v>
      </c>
    </row>
    <row r="426" customFormat="false" ht="15" hidden="false" customHeight="false" outlineLevel="0" collapsed="false">
      <c r="A426" s="7" t="n">
        <v>2016</v>
      </c>
      <c r="B426" s="12" t="s">
        <v>76</v>
      </c>
      <c r="C426" s="16" t="n">
        <v>610.893782</v>
      </c>
      <c r="D426" s="16" t="n">
        <v>610.893782</v>
      </c>
      <c r="E426" s="17" t="n">
        <f aca="false">IF(D426="","",C426-D426)</f>
        <v>0</v>
      </c>
      <c r="F426" s="18" t="n">
        <f aca="false">IF(OR(D426="",D426=0),"",E426/D426)</f>
        <v>0</v>
      </c>
      <c r="G426" s="16" t="n">
        <v>81.436997</v>
      </c>
      <c r="H426" s="16" t="n">
        <v>0</v>
      </c>
      <c r="I426" s="16" t="n">
        <v>81.436997</v>
      </c>
      <c r="J426" s="17" t="n">
        <f aca="false">IF(I426="","",G426-I426)</f>
        <v>0</v>
      </c>
      <c r="K426" s="18" t="n">
        <f aca="false">IF(OR(I426="",I426=0),"",J426/I426)</f>
        <v>0</v>
      </c>
      <c r="L426" s="19" t="str">
        <f aca="false">IF(OR(D426="",I426=""),"No reported total for O&amp;M or depreciation",IF(AND(ABS(F426)&lt;=$D$2,ABS(K426)&lt;=$D$2),"Reconciles within tolerance","Outside tolerance"))</f>
        <v>Reconciles within tolerance</v>
      </c>
      <c r="M426" s="17" t="n">
        <f aca="false">IF(OR(E426="",LEFT(L426,8)="Excluded"),"",ABS(E426))</f>
        <v>0</v>
      </c>
    </row>
    <row r="427" customFormat="false" ht="15" hidden="false" customHeight="false" outlineLevel="0" collapsed="false">
      <c r="A427" s="7" t="n">
        <v>2017</v>
      </c>
      <c r="B427" s="12" t="s">
        <v>76</v>
      </c>
      <c r="C427" s="16" t="n">
        <v>632.749883</v>
      </c>
      <c r="D427" s="16" t="n">
        <v>632.749883</v>
      </c>
      <c r="E427" s="17" t="n">
        <f aca="false">IF(D427="","",C427-D427)</f>
        <v>0</v>
      </c>
      <c r="F427" s="18" t="n">
        <f aca="false">IF(OR(D427="",D427=0),"",E427/D427)</f>
        <v>0</v>
      </c>
      <c r="G427" s="16" t="n">
        <v>89.090333</v>
      </c>
      <c r="H427" s="16" t="n">
        <v>0</v>
      </c>
      <c r="I427" s="16" t="n">
        <v>89.090333</v>
      </c>
      <c r="J427" s="17" t="n">
        <f aca="false">IF(I427="","",G427-I427)</f>
        <v>0</v>
      </c>
      <c r="K427" s="18" t="n">
        <f aca="false">IF(OR(I427="",I427=0),"",J427/I427)</f>
        <v>0</v>
      </c>
      <c r="L427" s="19" t="str">
        <f aca="false">IF(OR(D427="",I427=""),"No reported total for O&amp;M or depreciation",IF(AND(ABS(F427)&lt;=$D$2,ABS(K427)&lt;=$D$2),"Reconciles within tolerance","Outside tolerance"))</f>
        <v>Reconciles within tolerance</v>
      </c>
      <c r="M427" s="17" t="n">
        <f aca="false">IF(OR(E427="",LEFT(L427,8)="Excluded"),"",ABS(E427))</f>
        <v>0</v>
      </c>
    </row>
    <row r="428" customFormat="false" ht="15" hidden="false" customHeight="false" outlineLevel="0" collapsed="false">
      <c r="A428" s="7" t="n">
        <v>2018</v>
      </c>
      <c r="B428" s="12" t="s">
        <v>76</v>
      </c>
      <c r="C428" s="16" t="n">
        <v>615.327951</v>
      </c>
      <c r="D428" s="16" t="n">
        <v>615.327951</v>
      </c>
      <c r="E428" s="17" t="n">
        <f aca="false">IF(D428="","",C428-D428)</f>
        <v>0</v>
      </c>
      <c r="F428" s="18" t="n">
        <f aca="false">IF(OR(D428="",D428=0),"",E428/D428)</f>
        <v>0</v>
      </c>
      <c r="G428" s="16" t="n">
        <v>98.031352</v>
      </c>
      <c r="H428" s="16" t="n">
        <v>0</v>
      </c>
      <c r="I428" s="16" t="n">
        <v>98.031352</v>
      </c>
      <c r="J428" s="17" t="n">
        <f aca="false">IF(I428="","",G428-I428)</f>
        <v>0</v>
      </c>
      <c r="K428" s="18" t="n">
        <f aca="false">IF(OR(I428="",I428=0),"",J428/I428)</f>
        <v>0</v>
      </c>
      <c r="L428" s="19" t="str">
        <f aca="false">IF(OR(D428="",I428=""),"No reported total for O&amp;M or depreciation",IF(AND(ABS(F428)&lt;=$D$2,ABS(K428)&lt;=$D$2),"Reconciles within tolerance","Outside tolerance"))</f>
        <v>Reconciles within tolerance</v>
      </c>
      <c r="M428" s="17" t="n">
        <f aca="false">IF(OR(E428="",LEFT(L428,8)="Excluded"),"",ABS(E428))</f>
        <v>0</v>
      </c>
    </row>
    <row r="429" customFormat="false" ht="15" hidden="false" customHeight="false" outlineLevel="0" collapsed="false">
      <c r="A429" s="7" t="n">
        <v>2019</v>
      </c>
      <c r="B429" s="12" t="s">
        <v>76</v>
      </c>
      <c r="C429" s="16" t="n">
        <v>595.26533</v>
      </c>
      <c r="D429" s="16" t="n">
        <v>595.26533</v>
      </c>
      <c r="E429" s="17" t="n">
        <f aca="false">IF(D429="","",C429-D429)</f>
        <v>0</v>
      </c>
      <c r="F429" s="18" t="n">
        <f aca="false">IF(OR(D429="",D429=0),"",E429/D429)</f>
        <v>0</v>
      </c>
      <c r="G429" s="16" t="n">
        <v>109.322945</v>
      </c>
      <c r="H429" s="16" t="n">
        <v>0</v>
      </c>
      <c r="I429" s="16" t="n">
        <v>109.322945</v>
      </c>
      <c r="J429" s="17" t="n">
        <f aca="false">IF(I429="","",G429-I429)</f>
        <v>0</v>
      </c>
      <c r="K429" s="18" t="n">
        <f aca="false">IF(OR(I429="",I429=0),"",J429/I429)</f>
        <v>0</v>
      </c>
      <c r="L429" s="19" t="str">
        <f aca="false">IF(OR(D429="",I429=""),"No reported total for O&amp;M or depreciation",IF(AND(ABS(F429)&lt;=$D$2,ABS(K429)&lt;=$D$2),"Reconciles within tolerance","Outside tolerance"))</f>
        <v>Reconciles within tolerance</v>
      </c>
      <c r="M429" s="17" t="n">
        <f aca="false">IF(OR(E429="",LEFT(L429,8)="Excluded"),"",ABS(E429))</f>
        <v>0</v>
      </c>
    </row>
    <row r="430" customFormat="false" ht="15" hidden="false" customHeight="false" outlineLevel="0" collapsed="false">
      <c r="A430" s="7" t="n">
        <v>2020</v>
      </c>
      <c r="B430" s="12" t="s">
        <v>76</v>
      </c>
      <c r="C430" s="16" t="n">
        <v>580.250096</v>
      </c>
      <c r="D430" s="16" t="n">
        <v>580.250096</v>
      </c>
      <c r="E430" s="17" t="n">
        <f aca="false">IF(D430="","",C430-D430)</f>
        <v>0</v>
      </c>
      <c r="F430" s="18" t="n">
        <f aca="false">IF(OR(D430="",D430=0),"",E430/D430)</f>
        <v>0</v>
      </c>
      <c r="G430" s="16" t="n">
        <v>115.61994</v>
      </c>
      <c r="H430" s="16" t="n">
        <v>0</v>
      </c>
      <c r="I430" s="16" t="n">
        <v>115.61994</v>
      </c>
      <c r="J430" s="17" t="n">
        <f aca="false">IF(I430="","",G430-I430)</f>
        <v>0</v>
      </c>
      <c r="K430" s="18" t="n">
        <f aca="false">IF(OR(I430="",I430=0),"",J430/I430)</f>
        <v>0</v>
      </c>
      <c r="L430" s="19" t="str">
        <f aca="false">IF(OR(D430="",I430=""),"No reported total for O&amp;M or depreciation",IF(AND(ABS(F430)&lt;=$D$2,ABS(K430)&lt;=$D$2),"Reconciles within tolerance","Outside tolerance"))</f>
        <v>Reconciles within tolerance</v>
      </c>
      <c r="M430" s="17" t="n">
        <f aca="false">IF(OR(E430="",LEFT(L430,8)="Excluded"),"",ABS(E430))</f>
        <v>0</v>
      </c>
    </row>
    <row r="431" customFormat="false" ht="15" hidden="false" customHeight="false" outlineLevel="0" collapsed="false">
      <c r="A431" s="7" t="n">
        <v>2021</v>
      </c>
      <c r="B431" s="12" t="s">
        <v>76</v>
      </c>
      <c r="C431" s="16" t="n">
        <v>618.406416</v>
      </c>
      <c r="D431" s="16" t="n">
        <v>618.406416</v>
      </c>
      <c r="E431" s="17" t="n">
        <f aca="false">IF(D431="","",C431-D431)</f>
        <v>0</v>
      </c>
      <c r="F431" s="18" t="n">
        <f aca="false">IF(OR(D431="",D431=0),"",E431/D431)</f>
        <v>0</v>
      </c>
      <c r="G431" s="16" t="n">
        <v>123.712869</v>
      </c>
      <c r="H431" s="16" t="n">
        <v>0</v>
      </c>
      <c r="I431" s="16" t="n">
        <v>123.712869</v>
      </c>
      <c r="J431" s="17" t="n">
        <f aca="false">IF(I431="","",G431-I431)</f>
        <v>0</v>
      </c>
      <c r="K431" s="18" t="n">
        <f aca="false">IF(OR(I431="",I431=0),"",J431/I431)</f>
        <v>0</v>
      </c>
      <c r="L431" s="19" t="str">
        <f aca="false">IF(OR(D431="",I431=""),"No reported total for O&amp;M or depreciation",IF(AND(ABS(F431)&lt;=$D$2,ABS(K431)&lt;=$D$2),"Reconciles within tolerance","Outside tolerance"))</f>
        <v>Reconciles within tolerance</v>
      </c>
      <c r="M431" s="17" t="n">
        <f aca="false">IF(OR(E431="",LEFT(L431,8)="Excluded"),"",ABS(E431))</f>
        <v>0</v>
      </c>
    </row>
    <row r="432" customFormat="false" ht="15" hidden="false" customHeight="false" outlineLevel="0" collapsed="false">
      <c r="A432" s="7" t="n">
        <v>2022</v>
      </c>
      <c r="B432" s="12" t="s">
        <v>76</v>
      </c>
      <c r="C432" s="16" t="n">
        <v>671.989935</v>
      </c>
      <c r="D432" s="16" t="n">
        <v>671.989935</v>
      </c>
      <c r="E432" s="17" t="n">
        <f aca="false">IF(D432="","",C432-D432)</f>
        <v>0</v>
      </c>
      <c r="F432" s="18" t="n">
        <f aca="false">IF(OR(D432="",D432=0),"",E432/D432)</f>
        <v>0</v>
      </c>
      <c r="G432" s="16" t="n">
        <v>132.965216</v>
      </c>
      <c r="H432" s="16" t="n">
        <v>0</v>
      </c>
      <c r="I432" s="16" t="n">
        <v>132.965216</v>
      </c>
      <c r="J432" s="17" t="n">
        <f aca="false">IF(I432="","",G432-I432)</f>
        <v>0</v>
      </c>
      <c r="K432" s="18" t="n">
        <f aca="false">IF(OR(I432="",I432=0),"",J432/I432)</f>
        <v>0</v>
      </c>
      <c r="L432" s="19" t="str">
        <f aca="false">IF(OR(D432="",I432=""),"No reported total for O&amp;M or depreciation",IF(AND(ABS(F432)&lt;=$D$2,ABS(K432)&lt;=$D$2),"Reconciles within tolerance","Outside tolerance"))</f>
        <v>Reconciles within tolerance</v>
      </c>
      <c r="M432" s="17" t="n">
        <f aca="false">IF(OR(E432="",LEFT(L432,8)="Excluded"),"",ABS(E432))</f>
        <v>0</v>
      </c>
    </row>
    <row r="433" customFormat="false" ht="15" hidden="false" customHeight="false" outlineLevel="0" collapsed="false">
      <c r="A433" s="7" t="n">
        <v>2023</v>
      </c>
      <c r="B433" s="12" t="s">
        <v>76</v>
      </c>
      <c r="C433" s="16" t="n">
        <v>644.027528</v>
      </c>
      <c r="D433" s="16" t="n">
        <v>644.027528</v>
      </c>
      <c r="E433" s="17" t="n">
        <f aca="false">IF(D433="","",C433-D433)</f>
        <v>0</v>
      </c>
      <c r="F433" s="18" t="n">
        <f aca="false">IF(OR(D433="",D433=0),"",E433/D433)</f>
        <v>0</v>
      </c>
      <c r="G433" s="16" t="n">
        <v>142.373481</v>
      </c>
      <c r="H433" s="16" t="n">
        <v>0</v>
      </c>
      <c r="I433" s="16" t="n">
        <v>142.373481</v>
      </c>
      <c r="J433" s="17" t="n">
        <f aca="false">IF(I433="","",G433-I433)</f>
        <v>0</v>
      </c>
      <c r="K433" s="18" t="n">
        <f aca="false">IF(OR(I433="",I433=0),"",J433/I433)</f>
        <v>0</v>
      </c>
      <c r="L433" s="19" t="str">
        <f aca="false">IF(OR(D433="",I433=""),"No reported total for O&amp;M or depreciation",IF(AND(ABS(F433)&lt;=$D$2,ABS(K433)&lt;=$D$2),"Reconciles within tolerance","Outside tolerance"))</f>
        <v>Reconciles within tolerance</v>
      </c>
      <c r="M433" s="17" t="n">
        <f aca="false">IF(OR(E433="",LEFT(L433,8)="Excluded"),"",ABS(E433))</f>
        <v>0</v>
      </c>
    </row>
    <row r="434" customFormat="false" ht="15" hidden="false" customHeight="false" outlineLevel="0" collapsed="false">
      <c r="A434" s="7" t="n">
        <v>2024</v>
      </c>
      <c r="B434" s="12" t="s">
        <v>76</v>
      </c>
      <c r="C434" s="16" t="n">
        <v>604.37817</v>
      </c>
      <c r="D434" s="16" t="n">
        <v>604.37817</v>
      </c>
      <c r="E434" s="17" t="n">
        <f aca="false">IF(D434="","",C434-D434)</f>
        <v>0</v>
      </c>
      <c r="F434" s="18" t="n">
        <f aca="false">IF(OR(D434="",D434=0),"",E434/D434)</f>
        <v>0</v>
      </c>
      <c r="G434" s="16" t="n">
        <v>156.519394</v>
      </c>
      <c r="H434" s="16" t="n">
        <v>0</v>
      </c>
      <c r="I434" s="16" t="n">
        <v>156.519394</v>
      </c>
      <c r="J434" s="17" t="n">
        <f aca="false">IF(I434="","",G434-I434)</f>
        <v>0</v>
      </c>
      <c r="K434" s="18" t="n">
        <f aca="false">IF(OR(I434="",I434=0),"",J434/I434)</f>
        <v>0</v>
      </c>
      <c r="L434" s="19" t="str">
        <f aca="false">IF(OR(D434="",I434=""),"No reported total for O&amp;M or depreciation",IF(AND(ABS(F434)&lt;=$D$2,ABS(K434)&lt;=$D$2),"Reconciles within tolerance","Outside tolerance"))</f>
        <v>Reconciles within tolerance</v>
      </c>
      <c r="M434" s="17" t="n">
        <f aca="false">IF(OR(E434="",LEFT(L434,8)="Excluded"),"",ABS(E434))</f>
        <v>0</v>
      </c>
    </row>
    <row r="435" customFormat="false" ht="15" hidden="false" customHeight="false" outlineLevel="0" collapsed="false">
      <c r="A435" s="7" t="n">
        <v>2025</v>
      </c>
      <c r="B435" s="12" t="s">
        <v>76</v>
      </c>
      <c r="C435" s="16" t="n">
        <v>639.920549</v>
      </c>
      <c r="D435" s="16" t="n">
        <v>639.920549</v>
      </c>
      <c r="E435" s="17" t="n">
        <f aca="false">IF(D435="","",C435-D435)</f>
        <v>0</v>
      </c>
      <c r="F435" s="18" t="n">
        <f aca="false">IF(OR(D435="",D435=0),"",E435/D435)</f>
        <v>0</v>
      </c>
      <c r="G435" s="16" t="n">
        <v>171.29914</v>
      </c>
      <c r="H435" s="16" t="n">
        <v>0</v>
      </c>
      <c r="I435" s="16" t="n">
        <v>171.29914</v>
      </c>
      <c r="J435" s="17" t="n">
        <f aca="false">IF(I435="","",G435-I435)</f>
        <v>0</v>
      </c>
      <c r="K435" s="18" t="n">
        <f aca="false">IF(OR(I435="",I435=0),"",J435/I435)</f>
        <v>0</v>
      </c>
      <c r="L435" s="19" t="str">
        <f aca="false">IF(OR(D435="",I435=""),"No reported total for O&amp;M or depreciation",IF(AND(ABS(F435)&lt;=$D$2,ABS(K435)&lt;=$D$2),"Reconciles within tolerance","Outside tolerance"))</f>
        <v>Reconciles within tolerance</v>
      </c>
      <c r="M435" s="17" t="n">
        <f aca="false">IF(OR(E435="",LEFT(L435,8)="Excluded"),"",ABS(E435))</f>
        <v>0</v>
      </c>
    </row>
    <row r="436" customFormat="false" ht="15" hidden="false" customHeight="false" outlineLevel="0" collapsed="false">
      <c r="A436" s="7" t="n">
        <v>1995</v>
      </c>
      <c r="B436" s="12" t="s">
        <v>77</v>
      </c>
      <c r="C436" s="16" t="n">
        <v>126.095171</v>
      </c>
      <c r="D436" s="16" t="n">
        <v>126.095171</v>
      </c>
      <c r="E436" s="17" t="n">
        <f aca="false">IF(D436="","",C436-D436)</f>
        <v>0</v>
      </c>
      <c r="F436" s="18" t="n">
        <f aca="false">IF(OR(D436="",D436=0),"",E436/D436)</f>
        <v>0</v>
      </c>
      <c r="G436" s="16" t="n">
        <v>19.204845</v>
      </c>
      <c r="H436" s="16" t="n">
        <v>0</v>
      </c>
      <c r="I436" s="16" t="n">
        <v>19.204845</v>
      </c>
      <c r="J436" s="17" t="n">
        <f aca="false">IF(I436="","",G436-I436)</f>
        <v>0</v>
      </c>
      <c r="K436" s="18" t="n">
        <f aca="false">IF(OR(I436="",I436=0),"",J436/I436)</f>
        <v>0</v>
      </c>
      <c r="L436" s="19" t="str">
        <f aca="false">IF(OR(D436="",I436=""),"No reported total for O&amp;M or depreciation",IF(AND(ABS(F436)&lt;=$D$2,ABS(K436)&lt;=$D$2),"Reconciles within tolerance","Outside tolerance"))</f>
        <v>Reconciles within tolerance</v>
      </c>
      <c r="M436" s="17" t="n">
        <f aca="false">IF(OR(E436="",LEFT(L436,8)="Excluded"),"",ABS(E436))</f>
        <v>0</v>
      </c>
    </row>
    <row r="437" customFormat="false" ht="15" hidden="false" customHeight="false" outlineLevel="0" collapsed="false">
      <c r="A437" s="7" t="n">
        <v>1996</v>
      </c>
      <c r="B437" s="12" t="s">
        <v>77</v>
      </c>
      <c r="C437" s="16" t="n">
        <v>124.033239</v>
      </c>
      <c r="D437" s="16" t="n">
        <v>124.033239</v>
      </c>
      <c r="E437" s="17" t="n">
        <f aca="false">IF(D437="","",C437-D437)</f>
        <v>0</v>
      </c>
      <c r="F437" s="18" t="n">
        <f aca="false">IF(OR(D437="",D437=0),"",E437/D437)</f>
        <v>0</v>
      </c>
      <c r="G437" s="16" t="n">
        <v>19.637612</v>
      </c>
      <c r="H437" s="16" t="n">
        <v>0</v>
      </c>
      <c r="I437" s="16" t="n">
        <v>19.637612</v>
      </c>
      <c r="J437" s="17" t="n">
        <f aca="false">IF(I437="","",G437-I437)</f>
        <v>0</v>
      </c>
      <c r="K437" s="18" t="n">
        <f aca="false">IF(OR(I437="",I437=0),"",J437/I437)</f>
        <v>0</v>
      </c>
      <c r="L437" s="19" t="str">
        <f aca="false">IF(OR(D437="",I437=""),"No reported total for O&amp;M or depreciation",IF(AND(ABS(F437)&lt;=$D$2,ABS(K437)&lt;=$D$2),"Reconciles within tolerance","Outside tolerance"))</f>
        <v>Reconciles within tolerance</v>
      </c>
      <c r="M437" s="17" t="n">
        <f aca="false">IF(OR(E437="",LEFT(L437,8)="Excluded"),"",ABS(E437))</f>
        <v>0</v>
      </c>
    </row>
    <row r="438" customFormat="false" ht="15" hidden="false" customHeight="false" outlineLevel="0" collapsed="false">
      <c r="A438" s="7" t="n">
        <v>1997</v>
      </c>
      <c r="B438" s="12" t="s">
        <v>77</v>
      </c>
      <c r="C438" s="16" t="n">
        <v>126.033287</v>
      </c>
      <c r="D438" s="16" t="n">
        <v>126.033287</v>
      </c>
      <c r="E438" s="17" t="n">
        <f aca="false">IF(D438="","",C438-D438)</f>
        <v>0</v>
      </c>
      <c r="F438" s="18" t="n">
        <f aca="false">IF(OR(D438="",D438=0),"",E438/D438)</f>
        <v>0</v>
      </c>
      <c r="G438" s="16" t="n">
        <v>21.271977</v>
      </c>
      <c r="H438" s="16" t="n">
        <v>0</v>
      </c>
      <c r="I438" s="16" t="n">
        <v>21.271977</v>
      </c>
      <c r="J438" s="17" t="n">
        <f aca="false">IF(I438="","",G438-I438)</f>
        <v>0</v>
      </c>
      <c r="K438" s="18" t="n">
        <f aca="false">IF(OR(I438="",I438=0),"",J438/I438)</f>
        <v>0</v>
      </c>
      <c r="L438" s="19" t="str">
        <f aca="false">IF(OR(D438="",I438=""),"No reported total for O&amp;M or depreciation",IF(AND(ABS(F438)&lt;=$D$2,ABS(K438)&lt;=$D$2),"Reconciles within tolerance","Outside tolerance"))</f>
        <v>Reconciles within tolerance</v>
      </c>
      <c r="M438" s="17" t="n">
        <f aca="false">IF(OR(E438="",LEFT(L438,8)="Excluded"),"",ABS(E438))</f>
        <v>0</v>
      </c>
    </row>
    <row r="439" customFormat="false" ht="15" hidden="false" customHeight="false" outlineLevel="0" collapsed="false">
      <c r="A439" s="7" t="n">
        <v>1998</v>
      </c>
      <c r="B439" s="12" t="s">
        <v>77</v>
      </c>
      <c r="C439" s="16" t="n">
        <v>149.49707</v>
      </c>
      <c r="D439" s="16" t="n">
        <v>149.49707</v>
      </c>
      <c r="E439" s="17" t="n">
        <f aca="false">IF(D439="","",C439-D439)</f>
        <v>0</v>
      </c>
      <c r="F439" s="18" t="n">
        <f aca="false">IF(OR(D439="",D439=0),"",E439/D439)</f>
        <v>0</v>
      </c>
      <c r="G439" s="16" t="n">
        <v>22.027024</v>
      </c>
      <c r="H439" s="16" t="n">
        <v>0</v>
      </c>
      <c r="I439" s="16" t="n">
        <v>22.027024</v>
      </c>
      <c r="J439" s="17" t="n">
        <f aca="false">IF(I439="","",G439-I439)</f>
        <v>0</v>
      </c>
      <c r="K439" s="18" t="n">
        <f aca="false">IF(OR(I439="",I439=0),"",J439/I439)</f>
        <v>0</v>
      </c>
      <c r="L439" s="19" t="str">
        <f aca="false">IF(OR(D439="",I439=""),"No reported total for O&amp;M or depreciation",IF(AND(ABS(F439)&lt;=$D$2,ABS(K439)&lt;=$D$2),"Reconciles within tolerance","Outside tolerance"))</f>
        <v>Reconciles within tolerance</v>
      </c>
      <c r="M439" s="17" t="n">
        <f aca="false">IF(OR(E439="",LEFT(L439,8)="Excluded"),"",ABS(E439))</f>
        <v>0</v>
      </c>
    </row>
    <row r="440" customFormat="false" ht="15" hidden="false" customHeight="false" outlineLevel="0" collapsed="false">
      <c r="A440" s="7" t="n">
        <v>1999</v>
      </c>
      <c r="B440" s="12" t="s">
        <v>77</v>
      </c>
      <c r="C440" s="16" t="n">
        <v>152.129533</v>
      </c>
      <c r="D440" s="16" t="n">
        <v>152.129533</v>
      </c>
      <c r="E440" s="17" t="n">
        <f aca="false">IF(D440="","",C440-D440)</f>
        <v>0</v>
      </c>
      <c r="F440" s="18" t="n">
        <f aca="false">IF(OR(D440="",D440=0),"",E440/D440)</f>
        <v>0</v>
      </c>
      <c r="G440" s="16" t="n">
        <v>21.682605</v>
      </c>
      <c r="H440" s="16" t="n">
        <v>0</v>
      </c>
      <c r="I440" s="16" t="n">
        <v>21.682605</v>
      </c>
      <c r="J440" s="17" t="n">
        <f aca="false">IF(I440="","",G440-I440)</f>
        <v>0</v>
      </c>
      <c r="K440" s="18" t="n">
        <f aca="false">IF(OR(I440="",I440=0),"",J440/I440)</f>
        <v>0</v>
      </c>
      <c r="L440" s="19" t="str">
        <f aca="false">IF(OR(D440="",I440=""),"No reported total for O&amp;M or depreciation",IF(AND(ABS(F440)&lt;=$D$2,ABS(K440)&lt;=$D$2),"Reconciles within tolerance","Outside tolerance"))</f>
        <v>Reconciles within tolerance</v>
      </c>
      <c r="M440" s="17" t="n">
        <f aca="false">IF(OR(E440="",LEFT(L440,8)="Excluded"),"",ABS(E440))</f>
        <v>0</v>
      </c>
    </row>
    <row r="441" customFormat="false" ht="15" hidden="false" customHeight="false" outlineLevel="0" collapsed="false">
      <c r="A441" s="7" t="n">
        <v>2000</v>
      </c>
      <c r="B441" s="12" t="s">
        <v>77</v>
      </c>
      <c r="C441" s="16" t="n">
        <v>179.034832</v>
      </c>
      <c r="D441" s="16" t="n">
        <v>179.034832</v>
      </c>
      <c r="E441" s="17" t="n">
        <f aca="false">IF(D441="","",C441-D441)</f>
        <v>0</v>
      </c>
      <c r="F441" s="18" t="n">
        <f aca="false">IF(OR(D441="",D441=0),"",E441/D441)</f>
        <v>0</v>
      </c>
      <c r="G441" s="16" t="n">
        <v>22.11389</v>
      </c>
      <c r="H441" s="16" t="n">
        <v>0</v>
      </c>
      <c r="I441" s="16" t="n">
        <v>22.11389</v>
      </c>
      <c r="J441" s="17" t="n">
        <f aca="false">IF(I441="","",G441-I441)</f>
        <v>0</v>
      </c>
      <c r="K441" s="18" t="n">
        <f aca="false">IF(OR(I441="",I441=0),"",J441/I441)</f>
        <v>0</v>
      </c>
      <c r="L441" s="19" t="str">
        <f aca="false">IF(OR(D441="",I441=""),"No reported total for O&amp;M or depreciation",IF(AND(ABS(F441)&lt;=$D$2,ABS(K441)&lt;=$D$2),"Reconciles within tolerance","Outside tolerance"))</f>
        <v>Reconciles within tolerance</v>
      </c>
      <c r="M441" s="17" t="n">
        <f aca="false">IF(OR(E441="",LEFT(L441,8)="Excluded"),"",ABS(E441))</f>
        <v>0</v>
      </c>
    </row>
    <row r="442" customFormat="false" ht="15" hidden="false" customHeight="false" outlineLevel="0" collapsed="false">
      <c r="A442" s="7" t="n">
        <v>2001</v>
      </c>
      <c r="B442" s="12" t="s">
        <v>77</v>
      </c>
      <c r="C442" s="16" t="n">
        <v>215.932345</v>
      </c>
      <c r="D442" s="16" t="n">
        <v>215.932345</v>
      </c>
      <c r="E442" s="17" t="n">
        <f aca="false">IF(D442="","",C442-D442)</f>
        <v>0</v>
      </c>
      <c r="F442" s="18" t="n">
        <f aca="false">IF(OR(D442="",D442=0),"",E442/D442)</f>
        <v>0</v>
      </c>
      <c r="G442" s="16" t="n">
        <v>22.588092</v>
      </c>
      <c r="H442" s="16" t="n">
        <v>0</v>
      </c>
      <c r="I442" s="16" t="n">
        <v>22.588092</v>
      </c>
      <c r="J442" s="17" t="n">
        <f aca="false">IF(I442="","",G442-I442)</f>
        <v>0</v>
      </c>
      <c r="K442" s="18" t="n">
        <f aca="false">IF(OR(I442="",I442=0),"",J442/I442)</f>
        <v>0</v>
      </c>
      <c r="L442" s="19" t="str">
        <f aca="false">IF(OR(D442="",I442=""),"No reported total for O&amp;M or depreciation",IF(AND(ABS(F442)&lt;=$D$2,ABS(K442)&lt;=$D$2),"Reconciles within tolerance","Outside tolerance"))</f>
        <v>Reconciles within tolerance</v>
      </c>
      <c r="M442" s="17" t="n">
        <f aca="false">IF(OR(E442="",LEFT(L442,8)="Excluded"),"",ABS(E442))</f>
        <v>0</v>
      </c>
    </row>
    <row r="443" customFormat="false" ht="15" hidden="false" customHeight="false" outlineLevel="0" collapsed="false">
      <c r="A443" s="7" t="n">
        <v>2002</v>
      </c>
      <c r="B443" s="12" t="s">
        <v>77</v>
      </c>
      <c r="C443" s="16" t="n">
        <v>213.92279</v>
      </c>
      <c r="D443" s="16" t="n">
        <v>213.92279</v>
      </c>
      <c r="E443" s="17" t="n">
        <f aca="false">IF(D443="","",C443-D443)</f>
        <v>0</v>
      </c>
      <c r="F443" s="18" t="n">
        <f aca="false">IF(OR(D443="",D443=0),"",E443/D443)</f>
        <v>0</v>
      </c>
      <c r="G443" s="16" t="n">
        <v>23.223502</v>
      </c>
      <c r="H443" s="16" t="n">
        <v>0</v>
      </c>
      <c r="I443" s="16" t="n">
        <v>23.223502</v>
      </c>
      <c r="J443" s="17" t="n">
        <f aca="false">IF(I443="","",G443-I443)</f>
        <v>0</v>
      </c>
      <c r="K443" s="18" t="n">
        <f aca="false">IF(OR(I443="",I443=0),"",J443/I443)</f>
        <v>0</v>
      </c>
      <c r="L443" s="19" t="str">
        <f aca="false">IF(OR(D443="",I443=""),"No reported total for O&amp;M or depreciation",IF(AND(ABS(F443)&lt;=$D$2,ABS(K443)&lt;=$D$2),"Reconciles within tolerance","Outside tolerance"))</f>
        <v>Reconciles within tolerance</v>
      </c>
      <c r="M443" s="17" t="n">
        <f aca="false">IF(OR(E443="",LEFT(L443,8)="Excluded"),"",ABS(E443))</f>
        <v>0</v>
      </c>
    </row>
    <row r="444" customFormat="false" ht="15" hidden="false" customHeight="false" outlineLevel="0" collapsed="false">
      <c r="A444" s="7" t="n">
        <v>2003</v>
      </c>
      <c r="B444" s="12" t="s">
        <v>77</v>
      </c>
      <c r="C444" s="16" t="n">
        <v>261.471352</v>
      </c>
      <c r="D444" s="16" t="n">
        <v>261.471352</v>
      </c>
      <c r="E444" s="17" t="n">
        <f aca="false">IF(D444="","",C444-D444)</f>
        <v>0</v>
      </c>
      <c r="F444" s="18" t="n">
        <f aca="false">IF(OR(D444="",D444=0),"",E444/D444)</f>
        <v>0</v>
      </c>
      <c r="G444" s="16" t="n">
        <v>24.436881</v>
      </c>
      <c r="H444" s="16" t="n">
        <v>0</v>
      </c>
      <c r="I444" s="16" t="n">
        <v>24.436881</v>
      </c>
      <c r="J444" s="17" t="n">
        <f aca="false">IF(I444="","",G444-I444)</f>
        <v>0</v>
      </c>
      <c r="K444" s="18" t="n">
        <f aca="false">IF(OR(I444="",I444=0),"",J444/I444)</f>
        <v>0</v>
      </c>
      <c r="L444" s="19" t="str">
        <f aca="false">IF(OR(D444="",I444=""),"No reported total for O&amp;M or depreciation",IF(AND(ABS(F444)&lt;=$D$2,ABS(K444)&lt;=$D$2),"Reconciles within tolerance","Outside tolerance"))</f>
        <v>Reconciles within tolerance</v>
      </c>
      <c r="M444" s="17" t="n">
        <f aca="false">IF(OR(E444="",LEFT(L444,8)="Excluded"),"",ABS(E444))</f>
        <v>0</v>
      </c>
    </row>
    <row r="445" customFormat="false" ht="15" hidden="false" customHeight="false" outlineLevel="0" collapsed="false">
      <c r="A445" s="7" t="n">
        <v>2004</v>
      </c>
      <c r="B445" s="12" t="s">
        <v>77</v>
      </c>
      <c r="C445" s="16" t="n">
        <v>177.462896</v>
      </c>
      <c r="D445" s="16" t="n">
        <v>177.462896</v>
      </c>
      <c r="E445" s="17" t="n">
        <f aca="false">IF(D445="","",C445-D445)</f>
        <v>0</v>
      </c>
      <c r="F445" s="18" t="n">
        <f aca="false">IF(OR(D445="",D445=0),"",E445/D445)</f>
        <v>0</v>
      </c>
      <c r="G445" s="16" t="n">
        <v>22.765798</v>
      </c>
      <c r="H445" s="16" t="n">
        <v>0</v>
      </c>
      <c r="I445" s="16" t="n">
        <v>22.765798</v>
      </c>
      <c r="J445" s="17" t="n">
        <f aca="false">IF(I445="","",G445-I445)</f>
        <v>0</v>
      </c>
      <c r="K445" s="18" t="n">
        <f aca="false">IF(OR(I445="",I445=0),"",J445/I445)</f>
        <v>0</v>
      </c>
      <c r="L445" s="19" t="str">
        <f aca="false">IF(OR(D445="",I445=""),"No reported total for O&amp;M or depreciation",IF(AND(ABS(F445)&lt;=$D$2,ABS(K445)&lt;=$D$2),"Reconciles within tolerance","Outside tolerance"))</f>
        <v>Reconciles within tolerance</v>
      </c>
      <c r="M445" s="17" t="n">
        <f aca="false">IF(OR(E445="",LEFT(L445,8)="Excluded"),"",ABS(E445))</f>
        <v>0</v>
      </c>
    </row>
    <row r="446" customFormat="false" ht="15" hidden="false" customHeight="false" outlineLevel="0" collapsed="false">
      <c r="A446" s="7" t="n">
        <v>2005</v>
      </c>
      <c r="B446" s="12" t="s">
        <v>77</v>
      </c>
      <c r="C446" s="16" t="n">
        <v>210.002445</v>
      </c>
      <c r="D446" s="16" t="n">
        <v>210.002445</v>
      </c>
      <c r="E446" s="17" t="n">
        <f aca="false">IF(D446="","",C446-D446)</f>
        <v>0</v>
      </c>
      <c r="F446" s="18" t="n">
        <f aca="false">IF(OR(D446="",D446=0),"",E446/D446)</f>
        <v>0</v>
      </c>
      <c r="G446" s="16" t="n">
        <v>22.924954</v>
      </c>
      <c r="H446" s="16" t="n">
        <v>0</v>
      </c>
      <c r="I446" s="16" t="n">
        <v>22.924954</v>
      </c>
      <c r="J446" s="17" t="n">
        <f aca="false">IF(I446="","",G446-I446)</f>
        <v>0</v>
      </c>
      <c r="K446" s="18" t="n">
        <f aca="false">IF(OR(I446="",I446=0),"",J446/I446)</f>
        <v>0</v>
      </c>
      <c r="L446" s="19" t="str">
        <f aca="false">IF(OR(D446="",I446=""),"No reported total for O&amp;M or depreciation",IF(AND(ABS(F446)&lt;=$D$2,ABS(K446)&lt;=$D$2),"Reconciles within tolerance","Outside tolerance"))</f>
        <v>Reconciles within tolerance</v>
      </c>
      <c r="M446" s="17" t="n">
        <f aca="false">IF(OR(E446="",LEFT(L446,8)="Excluded"),"",ABS(E446))</f>
        <v>0</v>
      </c>
    </row>
    <row r="447" customFormat="false" ht="15" hidden="false" customHeight="false" outlineLevel="0" collapsed="false">
      <c r="A447" s="7" t="n">
        <v>2006</v>
      </c>
      <c r="B447" s="12" t="s">
        <v>77</v>
      </c>
      <c r="C447" s="16" t="n">
        <v>215.512435</v>
      </c>
      <c r="D447" s="16" t="n">
        <v>215.512435</v>
      </c>
      <c r="E447" s="17" t="n">
        <f aca="false">IF(D447="","",C447-D447)</f>
        <v>0</v>
      </c>
      <c r="F447" s="18" t="n">
        <f aca="false">IF(OR(D447="",D447=0),"",E447/D447)</f>
        <v>0</v>
      </c>
      <c r="G447" s="16" t="n">
        <v>24.256922</v>
      </c>
      <c r="H447" s="16" t="n">
        <v>0</v>
      </c>
      <c r="I447" s="16" t="n">
        <v>24.256922</v>
      </c>
      <c r="J447" s="17" t="n">
        <f aca="false">IF(I447="","",G447-I447)</f>
        <v>0</v>
      </c>
      <c r="K447" s="18" t="n">
        <f aca="false">IF(OR(I447="",I447=0),"",J447/I447)</f>
        <v>0</v>
      </c>
      <c r="L447" s="19" t="str">
        <f aca="false">IF(OR(D447="",I447=""),"No reported total for O&amp;M or depreciation",IF(AND(ABS(F447)&lt;=$D$2,ABS(K447)&lt;=$D$2),"Reconciles within tolerance","Outside tolerance"))</f>
        <v>Reconciles within tolerance</v>
      </c>
      <c r="M447" s="17" t="n">
        <f aca="false">IF(OR(E447="",LEFT(L447,8)="Excluded"),"",ABS(E447))</f>
        <v>0</v>
      </c>
    </row>
    <row r="448" customFormat="false" ht="15" hidden="false" customHeight="false" outlineLevel="0" collapsed="false">
      <c r="A448" s="7" t="n">
        <v>2007</v>
      </c>
      <c r="B448" s="12" t="s">
        <v>77</v>
      </c>
      <c r="C448" s="16" t="n">
        <v>235.320411</v>
      </c>
      <c r="D448" s="16" t="n">
        <v>235.320411</v>
      </c>
      <c r="E448" s="17" t="n">
        <f aca="false">IF(D448="","",C448-D448)</f>
        <v>0</v>
      </c>
      <c r="F448" s="18" t="n">
        <f aca="false">IF(OR(D448="",D448=0),"",E448/D448)</f>
        <v>0</v>
      </c>
      <c r="G448" s="16" t="n">
        <v>24.756246</v>
      </c>
      <c r="H448" s="16" t="n">
        <v>0</v>
      </c>
      <c r="I448" s="16" t="n">
        <v>24.756246</v>
      </c>
      <c r="J448" s="17" t="n">
        <f aca="false">IF(I448="","",G448-I448)</f>
        <v>0</v>
      </c>
      <c r="K448" s="18" t="n">
        <f aca="false">IF(OR(I448="",I448=0),"",J448/I448)</f>
        <v>0</v>
      </c>
      <c r="L448" s="19" t="str">
        <f aca="false">IF(OR(D448="",I448=""),"No reported total for O&amp;M or depreciation",IF(AND(ABS(F448)&lt;=$D$2,ABS(K448)&lt;=$D$2),"Reconciles within tolerance","Outside tolerance"))</f>
        <v>Reconciles within tolerance</v>
      </c>
      <c r="M448" s="17" t="n">
        <f aca="false">IF(OR(E448="",LEFT(L448,8)="Excluded"),"",ABS(E448))</f>
        <v>0</v>
      </c>
    </row>
    <row r="449" customFormat="false" ht="15" hidden="false" customHeight="false" outlineLevel="0" collapsed="false">
      <c r="A449" s="7" t="n">
        <v>2008</v>
      </c>
      <c r="B449" s="12" t="s">
        <v>77</v>
      </c>
      <c r="C449" s="16" t="n">
        <v>235.744885</v>
      </c>
      <c r="D449" s="16" t="n">
        <v>235.744885</v>
      </c>
      <c r="E449" s="17" t="n">
        <f aca="false">IF(D449="","",C449-D449)</f>
        <v>0</v>
      </c>
      <c r="F449" s="18" t="n">
        <f aca="false">IF(OR(D449="",D449=0),"",E449/D449)</f>
        <v>0</v>
      </c>
      <c r="G449" s="16" t="n">
        <v>30.439794</v>
      </c>
      <c r="H449" s="16" t="n">
        <v>0</v>
      </c>
      <c r="I449" s="16" t="n">
        <v>30.439794</v>
      </c>
      <c r="J449" s="17" t="n">
        <f aca="false">IF(I449="","",G449-I449)</f>
        <v>0</v>
      </c>
      <c r="K449" s="18" t="n">
        <f aca="false">IF(OR(I449="",I449=0),"",J449/I449)</f>
        <v>0</v>
      </c>
      <c r="L449" s="19" t="str">
        <f aca="false">IF(OR(D449="",I449=""),"No reported total for O&amp;M or depreciation",IF(AND(ABS(F449)&lt;=$D$2,ABS(K449)&lt;=$D$2),"Reconciles within tolerance","Outside tolerance"))</f>
        <v>Reconciles within tolerance</v>
      </c>
      <c r="M449" s="17" t="n">
        <f aca="false">IF(OR(E449="",LEFT(L449,8)="Excluded"),"",ABS(E449))</f>
        <v>0</v>
      </c>
    </row>
    <row r="450" customFormat="false" ht="15" hidden="false" customHeight="false" outlineLevel="0" collapsed="false">
      <c r="A450" s="7" t="n">
        <v>2009</v>
      </c>
      <c r="B450" s="12" t="s">
        <v>77</v>
      </c>
      <c r="C450" s="16" t="n">
        <v>216.046307</v>
      </c>
      <c r="D450" s="16" t="n">
        <v>216.046307</v>
      </c>
      <c r="E450" s="17" t="n">
        <f aca="false">IF(D450="","",C450-D450)</f>
        <v>0</v>
      </c>
      <c r="F450" s="18" t="n">
        <f aca="false">IF(OR(D450="",D450=0),"",E450/D450)</f>
        <v>0</v>
      </c>
      <c r="G450" s="16" t="n">
        <v>35.552494</v>
      </c>
      <c r="H450" s="16" t="n">
        <v>0</v>
      </c>
      <c r="I450" s="16" t="n">
        <v>35.552494</v>
      </c>
      <c r="J450" s="17" t="n">
        <f aca="false">IF(I450="","",G450-I450)</f>
        <v>0</v>
      </c>
      <c r="K450" s="18" t="n">
        <f aca="false">IF(OR(I450="",I450=0),"",J450/I450)</f>
        <v>0</v>
      </c>
      <c r="L450" s="19" t="str">
        <f aca="false">IF(OR(D450="",I450=""),"No reported total for O&amp;M or depreciation",IF(AND(ABS(F450)&lt;=$D$2,ABS(K450)&lt;=$D$2),"Reconciles within tolerance","Outside tolerance"))</f>
        <v>Reconciles within tolerance</v>
      </c>
      <c r="M450" s="17" t="n">
        <f aca="false">IF(OR(E450="",LEFT(L450,8)="Excluded"),"",ABS(E450))</f>
        <v>0</v>
      </c>
    </row>
    <row r="451" customFormat="false" ht="15" hidden="false" customHeight="false" outlineLevel="0" collapsed="false">
      <c r="A451" s="7" t="n">
        <v>2010</v>
      </c>
      <c r="B451" s="12" t="s">
        <v>77</v>
      </c>
      <c r="C451" s="16" t="n">
        <v>226.821592</v>
      </c>
      <c r="D451" s="16" t="n">
        <v>226.821592</v>
      </c>
      <c r="E451" s="17" t="n">
        <f aca="false">IF(D451="","",C451-D451)</f>
        <v>0</v>
      </c>
      <c r="F451" s="18" t="n">
        <f aca="false">IF(OR(D451="",D451=0),"",E451/D451)</f>
        <v>0</v>
      </c>
      <c r="G451" s="16" t="n">
        <v>38.789808</v>
      </c>
      <c r="H451" s="16" t="n">
        <v>0</v>
      </c>
      <c r="I451" s="16" t="n">
        <v>38.789808</v>
      </c>
      <c r="J451" s="17" t="n">
        <f aca="false">IF(I451="","",G451-I451)</f>
        <v>0</v>
      </c>
      <c r="K451" s="18" t="n">
        <f aca="false">IF(OR(I451="",I451=0),"",J451/I451)</f>
        <v>0</v>
      </c>
      <c r="L451" s="19" t="str">
        <f aca="false">IF(OR(D451="",I451=""),"No reported total for O&amp;M or depreciation",IF(AND(ABS(F451)&lt;=$D$2,ABS(K451)&lt;=$D$2),"Reconciles within tolerance","Outside tolerance"))</f>
        <v>Reconciles within tolerance</v>
      </c>
      <c r="M451" s="17" t="n">
        <f aca="false">IF(OR(E451="",LEFT(L451,8)="Excluded"),"",ABS(E451))</f>
        <v>0</v>
      </c>
    </row>
    <row r="452" customFormat="false" ht="15" hidden="false" customHeight="false" outlineLevel="0" collapsed="false">
      <c r="A452" s="7" t="n">
        <v>2011</v>
      </c>
      <c r="B452" s="12" t="s">
        <v>77</v>
      </c>
      <c r="C452" s="16" t="n">
        <v>224.338672</v>
      </c>
      <c r="D452" s="16" t="n">
        <v>224.338672</v>
      </c>
      <c r="E452" s="17" t="n">
        <f aca="false">IF(D452="","",C452-D452)</f>
        <v>0</v>
      </c>
      <c r="F452" s="18" t="n">
        <f aca="false">IF(OR(D452="",D452=0),"",E452/D452)</f>
        <v>0</v>
      </c>
      <c r="G452" s="16" t="n">
        <v>38.78964</v>
      </c>
      <c r="H452" s="16" t="n">
        <v>0</v>
      </c>
      <c r="I452" s="16" t="n">
        <v>38.78964</v>
      </c>
      <c r="J452" s="17" t="n">
        <f aca="false">IF(I452="","",G452-I452)</f>
        <v>0</v>
      </c>
      <c r="K452" s="18" t="n">
        <f aca="false">IF(OR(I452="",I452=0),"",J452/I452)</f>
        <v>0</v>
      </c>
      <c r="L452" s="19" t="str">
        <f aca="false">IF(OR(D452="",I452=""),"No reported total for O&amp;M or depreciation",IF(AND(ABS(F452)&lt;=$D$2,ABS(K452)&lt;=$D$2),"Reconciles within tolerance","Outside tolerance"))</f>
        <v>Reconciles within tolerance</v>
      </c>
      <c r="M452" s="17" t="n">
        <f aca="false">IF(OR(E452="",LEFT(L452,8)="Excluded"),"",ABS(E452))</f>
        <v>0</v>
      </c>
    </row>
    <row r="453" customFormat="false" ht="15" hidden="false" customHeight="false" outlineLevel="0" collapsed="false">
      <c r="A453" s="7" t="n">
        <v>2012</v>
      </c>
      <c r="B453" s="12" t="s">
        <v>77</v>
      </c>
      <c r="C453" s="16" t="n">
        <v>230.875597</v>
      </c>
      <c r="D453" s="16" t="n">
        <v>230.875597</v>
      </c>
      <c r="E453" s="17" t="n">
        <f aca="false">IF(D453="","",C453-D453)</f>
        <v>0</v>
      </c>
      <c r="F453" s="18" t="n">
        <f aca="false">IF(OR(D453="",D453=0),"",E453/D453)</f>
        <v>0</v>
      </c>
      <c r="G453" s="16" t="n">
        <v>40.544954</v>
      </c>
      <c r="H453" s="16" t="n">
        <v>0</v>
      </c>
      <c r="I453" s="16" t="n">
        <v>40.544954</v>
      </c>
      <c r="J453" s="17" t="n">
        <f aca="false">IF(I453="","",G453-I453)</f>
        <v>0</v>
      </c>
      <c r="K453" s="18" t="n">
        <f aca="false">IF(OR(I453="",I453=0),"",J453/I453)</f>
        <v>0</v>
      </c>
      <c r="L453" s="19" t="str">
        <f aca="false">IF(OR(D453="",I453=""),"No reported total for O&amp;M or depreciation",IF(AND(ABS(F453)&lt;=$D$2,ABS(K453)&lt;=$D$2),"Reconciles within tolerance","Outside tolerance"))</f>
        <v>Reconciles within tolerance</v>
      </c>
      <c r="M453" s="17" t="n">
        <f aca="false">IF(OR(E453="",LEFT(L453,8)="Excluded"),"",ABS(E453))</f>
        <v>0</v>
      </c>
    </row>
    <row r="454" customFormat="false" ht="15" hidden="false" customHeight="false" outlineLevel="0" collapsed="false">
      <c r="A454" s="7" t="n">
        <v>2013</v>
      </c>
      <c r="B454" s="12" t="s">
        <v>77</v>
      </c>
      <c r="C454" s="16" t="n">
        <v>251.216983</v>
      </c>
      <c r="D454" s="16" t="n">
        <v>251.216983</v>
      </c>
      <c r="E454" s="17" t="n">
        <f aca="false">IF(D454="","",C454-D454)</f>
        <v>0</v>
      </c>
      <c r="F454" s="18" t="n">
        <f aca="false">IF(OR(D454="",D454=0),"",E454/D454)</f>
        <v>0</v>
      </c>
      <c r="G454" s="16" t="n">
        <v>41.561228</v>
      </c>
      <c r="H454" s="16" t="n">
        <v>0</v>
      </c>
      <c r="I454" s="16" t="n">
        <v>41.561228</v>
      </c>
      <c r="J454" s="17" t="n">
        <f aca="false">IF(I454="","",G454-I454)</f>
        <v>0</v>
      </c>
      <c r="K454" s="18" t="n">
        <f aca="false">IF(OR(I454="",I454=0),"",J454/I454)</f>
        <v>0</v>
      </c>
      <c r="L454" s="19" t="str">
        <f aca="false">IF(OR(D454="",I454=""),"No reported total for O&amp;M or depreciation",IF(AND(ABS(F454)&lt;=$D$2,ABS(K454)&lt;=$D$2),"Reconciles within tolerance","Outside tolerance"))</f>
        <v>Reconciles within tolerance</v>
      </c>
      <c r="M454" s="17" t="n">
        <f aca="false">IF(OR(E454="",LEFT(L454,8)="Excluded"),"",ABS(E454))</f>
        <v>0</v>
      </c>
    </row>
    <row r="455" customFormat="false" ht="15" hidden="false" customHeight="false" outlineLevel="0" collapsed="false">
      <c r="A455" s="7" t="n">
        <v>2014</v>
      </c>
      <c r="B455" s="12" t="s">
        <v>77</v>
      </c>
      <c r="C455" s="16" t="n">
        <v>272.808284</v>
      </c>
      <c r="D455" s="16" t="n">
        <v>272.808284</v>
      </c>
      <c r="E455" s="17" t="n">
        <f aca="false">IF(D455="","",C455-D455)</f>
        <v>0</v>
      </c>
      <c r="F455" s="18" t="n">
        <f aca="false">IF(OR(D455="",D455=0),"",E455/D455)</f>
        <v>0</v>
      </c>
      <c r="G455" s="16" t="n">
        <v>42.362617</v>
      </c>
      <c r="H455" s="16" t="n">
        <v>0</v>
      </c>
      <c r="I455" s="16" t="n">
        <v>42.362617</v>
      </c>
      <c r="J455" s="17" t="n">
        <f aca="false">IF(I455="","",G455-I455)</f>
        <v>0</v>
      </c>
      <c r="K455" s="18" t="n">
        <f aca="false">IF(OR(I455="",I455=0),"",J455/I455)</f>
        <v>0</v>
      </c>
      <c r="L455" s="19" t="str">
        <f aca="false">IF(OR(D455="",I455=""),"No reported total for O&amp;M or depreciation",IF(AND(ABS(F455)&lt;=$D$2,ABS(K455)&lt;=$D$2),"Reconciles within tolerance","Outside tolerance"))</f>
        <v>Reconciles within tolerance</v>
      </c>
      <c r="M455" s="17" t="n">
        <f aca="false">IF(OR(E455="",LEFT(L455,8)="Excluded"),"",ABS(E455))</f>
        <v>0</v>
      </c>
    </row>
    <row r="456" customFormat="false" ht="15" hidden="false" customHeight="false" outlineLevel="0" collapsed="false">
      <c r="A456" s="7" t="n">
        <v>2015</v>
      </c>
      <c r="B456" s="12" t="s">
        <v>77</v>
      </c>
      <c r="C456" s="16" t="n">
        <v>260.02681</v>
      </c>
      <c r="D456" s="16" t="n">
        <v>260.02681</v>
      </c>
      <c r="E456" s="17" t="n">
        <f aca="false">IF(D456="","",C456-D456)</f>
        <v>0</v>
      </c>
      <c r="F456" s="18" t="n">
        <f aca="false">IF(OR(D456="",D456=0),"",E456/D456)</f>
        <v>0</v>
      </c>
      <c r="G456" s="16" t="n">
        <v>43.084394</v>
      </c>
      <c r="H456" s="16" t="n">
        <v>0</v>
      </c>
      <c r="I456" s="16" t="n">
        <v>43.084394</v>
      </c>
      <c r="J456" s="17" t="n">
        <f aca="false">IF(I456="","",G456-I456)</f>
        <v>0</v>
      </c>
      <c r="K456" s="18" t="n">
        <f aca="false">IF(OR(I456="",I456=0),"",J456/I456)</f>
        <v>0</v>
      </c>
      <c r="L456" s="19" t="str">
        <f aca="false">IF(OR(D456="",I456=""),"No reported total for O&amp;M or depreciation",IF(AND(ABS(F456)&lt;=$D$2,ABS(K456)&lt;=$D$2),"Reconciles within tolerance","Outside tolerance"))</f>
        <v>Reconciles within tolerance</v>
      </c>
      <c r="M456" s="17" t="n">
        <f aca="false">IF(OR(E456="",LEFT(L456,8)="Excluded"),"",ABS(E456))</f>
        <v>0</v>
      </c>
    </row>
    <row r="457" customFormat="false" ht="15" hidden="false" customHeight="false" outlineLevel="0" collapsed="false">
      <c r="A457" s="7" t="n">
        <v>2016</v>
      </c>
      <c r="B457" s="12" t="s">
        <v>77</v>
      </c>
      <c r="C457" s="16" t="n">
        <v>269.222158</v>
      </c>
      <c r="D457" s="16" t="n">
        <v>269.222158</v>
      </c>
      <c r="E457" s="17" t="n">
        <f aca="false">IF(D457="","",C457-D457)</f>
        <v>0</v>
      </c>
      <c r="F457" s="18" t="n">
        <f aca="false">IF(OR(D457="",D457=0),"",E457/D457)</f>
        <v>0</v>
      </c>
      <c r="G457" s="16" t="n">
        <v>52.051805</v>
      </c>
      <c r="H457" s="16" t="n">
        <v>0</v>
      </c>
      <c r="I457" s="16" t="n">
        <v>52.051805</v>
      </c>
      <c r="J457" s="17" t="n">
        <f aca="false">IF(I457="","",G457-I457)</f>
        <v>0</v>
      </c>
      <c r="K457" s="18" t="n">
        <f aca="false">IF(OR(I457="",I457=0),"",J457/I457)</f>
        <v>0</v>
      </c>
      <c r="L457" s="19" t="str">
        <f aca="false">IF(OR(D457="",I457=""),"No reported total for O&amp;M or depreciation",IF(AND(ABS(F457)&lt;=$D$2,ABS(K457)&lt;=$D$2),"Reconciles within tolerance","Outside tolerance"))</f>
        <v>Reconciles within tolerance</v>
      </c>
      <c r="M457" s="17" t="n">
        <f aca="false">IF(OR(E457="",LEFT(L457,8)="Excluded"),"",ABS(E457))</f>
        <v>0</v>
      </c>
    </row>
    <row r="458" customFormat="false" ht="15" hidden="false" customHeight="false" outlineLevel="0" collapsed="false">
      <c r="A458" s="7" t="n">
        <v>2017</v>
      </c>
      <c r="B458" s="12" t="s">
        <v>77</v>
      </c>
      <c r="C458" s="16" t="n">
        <v>274.723792</v>
      </c>
      <c r="D458" s="16" t="n">
        <v>274.723792</v>
      </c>
      <c r="E458" s="17" t="n">
        <f aca="false">IF(D458="","",C458-D458)</f>
        <v>0</v>
      </c>
      <c r="F458" s="18" t="n">
        <f aca="false">IF(OR(D458="",D458=0),"",E458/D458)</f>
        <v>0</v>
      </c>
      <c r="G458" s="16" t="n">
        <v>51.556084</v>
      </c>
      <c r="H458" s="16" t="n">
        <v>0</v>
      </c>
      <c r="I458" s="16" t="n">
        <v>51.556084</v>
      </c>
      <c r="J458" s="17" t="n">
        <f aca="false">IF(I458="","",G458-I458)</f>
        <v>0</v>
      </c>
      <c r="K458" s="18" t="n">
        <f aca="false">IF(OR(I458="",I458=0),"",J458/I458)</f>
        <v>0</v>
      </c>
      <c r="L458" s="19" t="str">
        <f aca="false">IF(OR(D458="",I458=""),"No reported total for O&amp;M or depreciation",IF(AND(ABS(F458)&lt;=$D$2,ABS(K458)&lt;=$D$2),"Reconciles within tolerance","Outside tolerance"))</f>
        <v>Reconciles within tolerance</v>
      </c>
      <c r="M458" s="17" t="n">
        <f aca="false">IF(OR(E458="",LEFT(L458,8)="Excluded"),"",ABS(E458))</f>
        <v>0</v>
      </c>
    </row>
    <row r="459" customFormat="false" ht="15" hidden="false" customHeight="false" outlineLevel="0" collapsed="false">
      <c r="A459" s="7" t="n">
        <v>2018</v>
      </c>
      <c r="B459" s="12" t="s">
        <v>77</v>
      </c>
      <c r="C459" s="16" t="n">
        <v>292.875616</v>
      </c>
      <c r="D459" s="16" t="n">
        <v>292.875616</v>
      </c>
      <c r="E459" s="17" t="n">
        <f aca="false">IF(D459="","",C459-D459)</f>
        <v>0</v>
      </c>
      <c r="F459" s="18" t="n">
        <f aca="false">IF(OR(D459="",D459=0),"",E459/D459)</f>
        <v>0</v>
      </c>
      <c r="G459" s="16" t="n">
        <v>54.17399</v>
      </c>
      <c r="H459" s="16" t="n">
        <v>0</v>
      </c>
      <c r="I459" s="16" t="n">
        <v>54.17399</v>
      </c>
      <c r="J459" s="17" t="n">
        <f aca="false">IF(I459="","",G459-I459)</f>
        <v>0</v>
      </c>
      <c r="K459" s="18" t="n">
        <f aca="false">IF(OR(I459="",I459=0),"",J459/I459)</f>
        <v>0</v>
      </c>
      <c r="L459" s="19" t="str">
        <f aca="false">IF(OR(D459="",I459=""),"No reported total for O&amp;M or depreciation",IF(AND(ABS(F459)&lt;=$D$2,ABS(K459)&lt;=$D$2),"Reconciles within tolerance","Outside tolerance"))</f>
        <v>Reconciles within tolerance</v>
      </c>
      <c r="M459" s="17" t="n">
        <f aca="false">IF(OR(E459="",LEFT(L459,8)="Excluded"),"",ABS(E459))</f>
        <v>0</v>
      </c>
    </row>
    <row r="460" customFormat="false" ht="15" hidden="false" customHeight="false" outlineLevel="0" collapsed="false">
      <c r="A460" s="7" t="n">
        <v>2019</v>
      </c>
      <c r="B460" s="12" t="s">
        <v>77</v>
      </c>
      <c r="C460" s="16" t="n">
        <v>286.731988</v>
      </c>
      <c r="D460" s="16" t="n">
        <v>286.731988</v>
      </c>
      <c r="E460" s="17" t="n">
        <f aca="false">IF(D460="","",C460-D460)</f>
        <v>0</v>
      </c>
      <c r="F460" s="18" t="n">
        <f aca="false">IF(OR(D460="",D460=0),"",E460/D460)</f>
        <v>0</v>
      </c>
      <c r="G460" s="16" t="n">
        <v>58.356114</v>
      </c>
      <c r="H460" s="16" t="n">
        <v>0</v>
      </c>
      <c r="I460" s="16" t="n">
        <v>58.356114</v>
      </c>
      <c r="J460" s="17" t="n">
        <f aca="false">IF(I460="","",G460-I460)</f>
        <v>0</v>
      </c>
      <c r="K460" s="18" t="n">
        <f aca="false">IF(OR(I460="",I460=0),"",J460/I460)</f>
        <v>0</v>
      </c>
      <c r="L460" s="19" t="str">
        <f aca="false">IF(OR(D460="",I460=""),"No reported total for O&amp;M or depreciation",IF(AND(ABS(F460)&lt;=$D$2,ABS(K460)&lt;=$D$2),"Reconciles within tolerance","Outside tolerance"))</f>
        <v>Reconciles within tolerance</v>
      </c>
      <c r="M460" s="17" t="n">
        <f aca="false">IF(OR(E460="",LEFT(L460,8)="Excluded"),"",ABS(E460))</f>
        <v>0</v>
      </c>
    </row>
    <row r="461" customFormat="false" ht="15" hidden="false" customHeight="false" outlineLevel="0" collapsed="false">
      <c r="A461" s="7" t="n">
        <v>2020</v>
      </c>
      <c r="B461" s="12" t="s">
        <v>77</v>
      </c>
      <c r="C461" s="16" t="n">
        <v>259.060763</v>
      </c>
      <c r="D461" s="16" t="n">
        <v>259.060763</v>
      </c>
      <c r="E461" s="17" t="n">
        <f aca="false">IF(D461="","",C461-D461)</f>
        <v>0</v>
      </c>
      <c r="F461" s="18" t="n">
        <f aca="false">IF(OR(D461="",D461=0),"",E461/D461)</f>
        <v>0</v>
      </c>
      <c r="G461" s="16" t="n">
        <v>64.422006</v>
      </c>
      <c r="H461" s="16" t="n">
        <v>0</v>
      </c>
      <c r="I461" s="16" t="n">
        <v>64.422006</v>
      </c>
      <c r="J461" s="17" t="n">
        <f aca="false">IF(I461="","",G461-I461)</f>
        <v>0</v>
      </c>
      <c r="K461" s="18" t="n">
        <f aca="false">IF(OR(I461="",I461=0),"",J461/I461)</f>
        <v>0</v>
      </c>
      <c r="L461" s="19" t="str">
        <f aca="false">IF(OR(D461="",I461=""),"No reported total for O&amp;M or depreciation",IF(AND(ABS(F461)&lt;=$D$2,ABS(K461)&lt;=$D$2),"Reconciles within tolerance","Outside tolerance"))</f>
        <v>Reconciles within tolerance</v>
      </c>
      <c r="M461" s="17" t="n">
        <f aca="false">IF(OR(E461="",LEFT(L461,8)="Excluded"),"",ABS(E461))</f>
        <v>0</v>
      </c>
    </row>
    <row r="462" customFormat="false" ht="15" hidden="false" customHeight="false" outlineLevel="0" collapsed="false">
      <c r="A462" s="7" t="n">
        <v>2021</v>
      </c>
      <c r="B462" s="12" t="s">
        <v>77</v>
      </c>
      <c r="C462" s="16" t="n">
        <v>285.253966</v>
      </c>
      <c r="D462" s="16" t="n">
        <v>285.253966</v>
      </c>
      <c r="E462" s="17" t="n">
        <f aca="false">IF(D462="","",C462-D462)</f>
        <v>0</v>
      </c>
      <c r="F462" s="18" t="n">
        <f aca="false">IF(OR(D462="",D462=0),"",E462/D462)</f>
        <v>0</v>
      </c>
      <c r="G462" s="16" t="n">
        <v>70.453075</v>
      </c>
      <c r="H462" s="16" t="n">
        <v>0</v>
      </c>
      <c r="I462" s="16" t="n">
        <v>70.453075</v>
      </c>
      <c r="J462" s="17" t="n">
        <f aca="false">IF(I462="","",G462-I462)</f>
        <v>0</v>
      </c>
      <c r="K462" s="18" t="n">
        <f aca="false">IF(OR(I462="",I462=0),"",J462/I462)</f>
        <v>0</v>
      </c>
      <c r="L462" s="19" t="str">
        <f aca="false">IF(OR(D462="",I462=""),"No reported total for O&amp;M or depreciation",IF(AND(ABS(F462)&lt;=$D$2,ABS(K462)&lt;=$D$2),"Reconciles within tolerance","Outside tolerance"))</f>
        <v>Reconciles within tolerance</v>
      </c>
      <c r="M462" s="17" t="n">
        <f aca="false">IF(OR(E462="",LEFT(L462,8)="Excluded"),"",ABS(E462))</f>
        <v>0</v>
      </c>
    </row>
    <row r="463" customFormat="false" ht="15" hidden="false" customHeight="false" outlineLevel="0" collapsed="false">
      <c r="A463" s="7" t="n">
        <v>2022</v>
      </c>
      <c r="B463" s="12" t="s">
        <v>77</v>
      </c>
      <c r="C463" s="16" t="n">
        <v>342.00022</v>
      </c>
      <c r="D463" s="16" t="n">
        <v>342.00022</v>
      </c>
      <c r="E463" s="17" t="n">
        <f aca="false">IF(D463="","",C463-D463)</f>
        <v>0</v>
      </c>
      <c r="F463" s="18" t="n">
        <f aca="false">IF(OR(D463="",D463=0),"",E463/D463)</f>
        <v>0</v>
      </c>
      <c r="G463" s="16" t="n">
        <v>68.733867</v>
      </c>
      <c r="H463" s="16" t="n">
        <v>0</v>
      </c>
      <c r="I463" s="16" t="n">
        <v>68.733867</v>
      </c>
      <c r="J463" s="17" t="n">
        <f aca="false">IF(I463="","",G463-I463)</f>
        <v>0</v>
      </c>
      <c r="K463" s="18" t="n">
        <f aca="false">IF(OR(I463="",I463=0),"",J463/I463)</f>
        <v>0</v>
      </c>
      <c r="L463" s="19" t="str">
        <f aca="false">IF(OR(D463="",I463=""),"No reported total for O&amp;M or depreciation",IF(AND(ABS(F463)&lt;=$D$2,ABS(K463)&lt;=$D$2),"Reconciles within tolerance","Outside tolerance"))</f>
        <v>Reconciles within tolerance</v>
      </c>
      <c r="M463" s="17" t="n">
        <f aca="false">IF(OR(E463="",LEFT(L463,8)="Excluded"),"",ABS(E463))</f>
        <v>0</v>
      </c>
    </row>
    <row r="464" customFormat="false" ht="15" hidden="false" customHeight="false" outlineLevel="0" collapsed="false">
      <c r="A464" s="7" t="n">
        <v>2023</v>
      </c>
      <c r="B464" s="12" t="s">
        <v>77</v>
      </c>
      <c r="C464" s="16" t="n">
        <v>316.09502</v>
      </c>
      <c r="D464" s="16" t="n">
        <v>316.09502</v>
      </c>
      <c r="E464" s="17" t="n">
        <f aca="false">IF(D464="","",C464-D464)</f>
        <v>0</v>
      </c>
      <c r="F464" s="18" t="n">
        <f aca="false">IF(OR(D464="",D464=0),"",E464/D464)</f>
        <v>0</v>
      </c>
      <c r="G464" s="16" t="n">
        <v>73.880744</v>
      </c>
      <c r="H464" s="16" t="n">
        <v>0</v>
      </c>
      <c r="I464" s="16" t="n">
        <v>73.880744</v>
      </c>
      <c r="J464" s="17" t="n">
        <f aca="false">IF(I464="","",G464-I464)</f>
        <v>0</v>
      </c>
      <c r="K464" s="18" t="n">
        <f aca="false">IF(OR(I464="",I464=0),"",J464/I464)</f>
        <v>0</v>
      </c>
      <c r="L464" s="19" t="str">
        <f aca="false">IF(OR(D464="",I464=""),"No reported total for O&amp;M or depreciation",IF(AND(ABS(F464)&lt;=$D$2,ABS(K464)&lt;=$D$2),"Reconciles within tolerance","Outside tolerance"))</f>
        <v>Reconciles within tolerance</v>
      </c>
      <c r="M464" s="17" t="n">
        <f aca="false">IF(OR(E464="",LEFT(L464,8)="Excluded"),"",ABS(E464))</f>
        <v>0</v>
      </c>
    </row>
    <row r="465" customFormat="false" ht="15" hidden="false" customHeight="false" outlineLevel="0" collapsed="false">
      <c r="A465" s="7" t="n">
        <v>2024</v>
      </c>
      <c r="B465" s="12" t="s">
        <v>77</v>
      </c>
      <c r="C465" s="16" t="n">
        <v>301.154091</v>
      </c>
      <c r="D465" s="16" t="n">
        <v>301.154091</v>
      </c>
      <c r="E465" s="17" t="n">
        <f aca="false">IF(D465="","",C465-D465)</f>
        <v>0</v>
      </c>
      <c r="F465" s="18" t="n">
        <f aca="false">IF(OR(D465="",D465=0),"",E465/D465)</f>
        <v>0</v>
      </c>
      <c r="G465" s="16" t="n">
        <v>82.475112</v>
      </c>
      <c r="H465" s="16" t="n">
        <v>0</v>
      </c>
      <c r="I465" s="16" t="n">
        <v>82.475112</v>
      </c>
      <c r="J465" s="17" t="n">
        <f aca="false">IF(I465="","",G465-I465)</f>
        <v>0</v>
      </c>
      <c r="K465" s="18" t="n">
        <f aca="false">IF(OR(I465="",I465=0),"",J465/I465)</f>
        <v>0</v>
      </c>
      <c r="L465" s="19" t="str">
        <f aca="false">IF(OR(D465="",I465=""),"No reported total for O&amp;M or depreciation",IF(AND(ABS(F465)&lt;=$D$2,ABS(K465)&lt;=$D$2),"Reconciles within tolerance","Outside tolerance"))</f>
        <v>Reconciles within tolerance</v>
      </c>
      <c r="M465" s="17" t="n">
        <f aca="false">IF(OR(E465="",LEFT(L465,8)="Excluded"),"",ABS(E465))</f>
        <v>0</v>
      </c>
    </row>
    <row r="466" customFormat="false" ht="15" hidden="false" customHeight="false" outlineLevel="0" collapsed="false">
      <c r="A466" s="7" t="n">
        <v>2025</v>
      </c>
      <c r="B466" s="12" t="s">
        <v>77</v>
      </c>
      <c r="C466" s="16" t="n">
        <v>333.161887</v>
      </c>
      <c r="D466" s="16" t="n">
        <v>333.161887</v>
      </c>
      <c r="E466" s="17" t="n">
        <f aca="false">IF(D466="","",C466-D466)</f>
        <v>0</v>
      </c>
      <c r="F466" s="18" t="n">
        <f aca="false">IF(OR(D466="",D466=0),"",E466/D466)</f>
        <v>0</v>
      </c>
      <c r="G466" s="16" t="n">
        <v>91.937692</v>
      </c>
      <c r="H466" s="16" t="n">
        <v>0</v>
      </c>
      <c r="I466" s="16" t="n">
        <v>91.937692</v>
      </c>
      <c r="J466" s="17" t="n">
        <f aca="false">IF(I466="","",G466-I466)</f>
        <v>0</v>
      </c>
      <c r="K466" s="18" t="n">
        <f aca="false">IF(OR(I466="",I466=0),"",J466/I466)</f>
        <v>0</v>
      </c>
      <c r="L466" s="19" t="str">
        <f aca="false">IF(OR(D466="",I466=""),"No reported total for O&amp;M or depreciation",IF(AND(ABS(F466)&lt;=$D$2,ABS(K466)&lt;=$D$2),"Reconciles within tolerance","Outside tolerance"))</f>
        <v>Reconciles within tolerance</v>
      </c>
      <c r="M466" s="17" t="n">
        <f aca="false">IF(OR(E466="",LEFT(L466,8)="Excluded"),"",ABS(E466))</f>
        <v>0</v>
      </c>
    </row>
    <row r="467" customFormat="false" ht="15" hidden="false" customHeight="false" outlineLevel="0" collapsed="false">
      <c r="A467" s="7" t="n">
        <v>1995</v>
      </c>
      <c r="B467" s="12" t="s">
        <v>78</v>
      </c>
      <c r="C467" s="16" t="n">
        <v>159.410913</v>
      </c>
      <c r="D467" s="16" t="n">
        <v>159.410913</v>
      </c>
      <c r="E467" s="17" t="n">
        <f aca="false">IF(D467="","",C467-D467)</f>
        <v>0</v>
      </c>
      <c r="F467" s="18" t="n">
        <f aca="false">IF(OR(D467="",D467=0),"",E467/D467)</f>
        <v>0</v>
      </c>
      <c r="G467" s="16" t="n">
        <v>35.801661</v>
      </c>
      <c r="H467" s="16" t="n">
        <v>0</v>
      </c>
      <c r="I467" s="16" t="n">
        <v>35.801661</v>
      </c>
      <c r="J467" s="17" t="n">
        <f aca="false">IF(I467="","",G467-I467)</f>
        <v>0</v>
      </c>
      <c r="K467" s="18" t="n">
        <f aca="false">IF(OR(I467="",I467=0),"",J467/I467)</f>
        <v>0</v>
      </c>
      <c r="L467" s="19" t="str">
        <f aca="false">IF(OR(D467="",I467=""),"No reported total for O&amp;M or depreciation",IF(AND(ABS(F467)&lt;=$D$2,ABS(K467)&lt;=$D$2),"Reconciles within tolerance","Outside tolerance"))</f>
        <v>Reconciles within tolerance</v>
      </c>
      <c r="M467" s="17" t="n">
        <f aca="false">IF(OR(E467="",LEFT(L467,8)="Excluded"),"",ABS(E467))</f>
        <v>0</v>
      </c>
    </row>
    <row r="468" customFormat="false" ht="15" hidden="false" customHeight="false" outlineLevel="0" collapsed="false">
      <c r="A468" s="7" t="n">
        <v>1996</v>
      </c>
      <c r="B468" s="12" t="s">
        <v>78</v>
      </c>
      <c r="C468" s="16" t="n">
        <v>154.38714</v>
      </c>
      <c r="D468" s="16" t="n">
        <v>154.38714</v>
      </c>
      <c r="E468" s="17" t="n">
        <f aca="false">IF(D468="","",C468-D468)</f>
        <v>0</v>
      </c>
      <c r="F468" s="18" t="n">
        <f aca="false">IF(OR(D468="",D468=0),"",E468/D468)</f>
        <v>0</v>
      </c>
      <c r="G468" s="16" t="n">
        <v>35.018556</v>
      </c>
      <c r="H468" s="16" t="n">
        <v>0</v>
      </c>
      <c r="I468" s="16" t="n">
        <v>35.018556</v>
      </c>
      <c r="J468" s="17" t="n">
        <f aca="false">IF(I468="","",G468-I468)</f>
        <v>0</v>
      </c>
      <c r="K468" s="18" t="n">
        <f aca="false">IF(OR(I468="",I468=0),"",J468/I468)</f>
        <v>0</v>
      </c>
      <c r="L468" s="19" t="str">
        <f aca="false">IF(OR(D468="",I468=""),"No reported total for O&amp;M or depreciation",IF(AND(ABS(F468)&lt;=$D$2,ABS(K468)&lt;=$D$2),"Reconciles within tolerance","Outside tolerance"))</f>
        <v>Reconciles within tolerance</v>
      </c>
      <c r="M468" s="17" t="n">
        <f aca="false">IF(OR(E468="",LEFT(L468,8)="Excluded"),"",ABS(E468))</f>
        <v>0</v>
      </c>
    </row>
    <row r="469" customFormat="false" ht="15" hidden="false" customHeight="false" outlineLevel="0" collapsed="false">
      <c r="A469" s="7" t="n">
        <v>1997</v>
      </c>
      <c r="B469" s="12" t="s">
        <v>78</v>
      </c>
      <c r="C469" s="16" t="n">
        <v>148.061876</v>
      </c>
      <c r="D469" s="16" t="n">
        <v>148.061876</v>
      </c>
      <c r="E469" s="17" t="n">
        <f aca="false">IF(D469="","",C469-D469)</f>
        <v>0</v>
      </c>
      <c r="F469" s="18" t="n">
        <f aca="false">IF(OR(D469="",D469=0),"",E469/D469)</f>
        <v>0</v>
      </c>
      <c r="G469" s="16" t="n">
        <v>36.216548</v>
      </c>
      <c r="H469" s="16" t="n">
        <v>0</v>
      </c>
      <c r="I469" s="16" t="n">
        <v>36.216548</v>
      </c>
      <c r="J469" s="17" t="n">
        <f aca="false">IF(I469="","",G469-I469)</f>
        <v>0</v>
      </c>
      <c r="K469" s="18" t="n">
        <f aca="false">IF(OR(I469="",I469=0),"",J469/I469)</f>
        <v>0</v>
      </c>
      <c r="L469" s="19" t="str">
        <f aca="false">IF(OR(D469="",I469=""),"No reported total for O&amp;M or depreciation",IF(AND(ABS(F469)&lt;=$D$2,ABS(K469)&lt;=$D$2),"Reconciles within tolerance","Outside tolerance"))</f>
        <v>Reconciles within tolerance</v>
      </c>
      <c r="M469" s="17" t="n">
        <f aca="false">IF(OR(E469="",LEFT(L469,8)="Excluded"),"",ABS(E469))</f>
        <v>0</v>
      </c>
    </row>
    <row r="470" customFormat="false" ht="15" hidden="false" customHeight="false" outlineLevel="0" collapsed="false">
      <c r="A470" s="7" t="n">
        <v>1998</v>
      </c>
      <c r="B470" s="12" t="s">
        <v>78</v>
      </c>
      <c r="C470" s="16" t="n">
        <v>170.555414</v>
      </c>
      <c r="D470" s="16" t="n">
        <v>170.555414</v>
      </c>
      <c r="E470" s="17" t="n">
        <f aca="false">IF(D470="","",C470-D470)</f>
        <v>0</v>
      </c>
      <c r="F470" s="18" t="n">
        <f aca="false">IF(OR(D470="",D470=0),"",E470/D470)</f>
        <v>0</v>
      </c>
      <c r="G470" s="16" t="n">
        <v>38.076547</v>
      </c>
      <c r="H470" s="16" t="n">
        <v>0</v>
      </c>
      <c r="I470" s="16" t="n">
        <v>38.076547</v>
      </c>
      <c r="J470" s="17" t="n">
        <f aca="false">IF(I470="","",G470-I470)</f>
        <v>0</v>
      </c>
      <c r="K470" s="18" t="n">
        <f aca="false">IF(OR(I470="",I470=0),"",J470/I470)</f>
        <v>0</v>
      </c>
      <c r="L470" s="19" t="str">
        <f aca="false">IF(OR(D470="",I470=""),"No reported total for O&amp;M or depreciation",IF(AND(ABS(F470)&lt;=$D$2,ABS(K470)&lt;=$D$2),"Reconciles within tolerance","Outside tolerance"))</f>
        <v>Reconciles within tolerance</v>
      </c>
      <c r="M470" s="17" t="n">
        <f aca="false">IF(OR(E470="",LEFT(L470,8)="Excluded"),"",ABS(E470))</f>
        <v>0</v>
      </c>
    </row>
    <row r="471" customFormat="false" ht="15" hidden="false" customHeight="false" outlineLevel="0" collapsed="false">
      <c r="A471" s="7" t="n">
        <v>1999</v>
      </c>
      <c r="B471" s="12" t="s">
        <v>78</v>
      </c>
      <c r="C471" s="16" t="n">
        <v>174.436315</v>
      </c>
      <c r="D471" s="16" t="n">
        <v>174.436315</v>
      </c>
      <c r="E471" s="17" t="n">
        <f aca="false">IF(D471="","",C471-D471)</f>
        <v>0</v>
      </c>
      <c r="F471" s="18" t="n">
        <f aca="false">IF(OR(D471="",D471=0),"",E471/D471)</f>
        <v>0</v>
      </c>
      <c r="G471" s="16" t="n">
        <v>40.237151</v>
      </c>
      <c r="H471" s="16" t="n">
        <v>0</v>
      </c>
      <c r="I471" s="16" t="n">
        <v>40.237151</v>
      </c>
      <c r="J471" s="17" t="n">
        <f aca="false">IF(I471="","",G471-I471)</f>
        <v>0</v>
      </c>
      <c r="K471" s="18" t="n">
        <f aca="false">IF(OR(I471="",I471=0),"",J471/I471)</f>
        <v>0</v>
      </c>
      <c r="L471" s="19" t="str">
        <f aca="false">IF(OR(D471="",I471=""),"No reported total for O&amp;M or depreciation",IF(AND(ABS(F471)&lt;=$D$2,ABS(K471)&lt;=$D$2),"Reconciles within tolerance","Outside tolerance"))</f>
        <v>Reconciles within tolerance</v>
      </c>
      <c r="M471" s="17" t="n">
        <f aca="false">IF(OR(E471="",LEFT(L471,8)="Excluded"),"",ABS(E471))</f>
        <v>0</v>
      </c>
    </row>
    <row r="472" customFormat="false" ht="15" hidden="false" customHeight="false" outlineLevel="0" collapsed="false">
      <c r="A472" s="7" t="n">
        <v>2000</v>
      </c>
      <c r="B472" s="12" t="s">
        <v>78</v>
      </c>
      <c r="C472" s="16" t="n">
        <v>211.839581</v>
      </c>
      <c r="D472" s="16" t="n">
        <v>211.839581</v>
      </c>
      <c r="E472" s="17" t="n">
        <f aca="false">IF(D472="","",C472-D472)</f>
        <v>0</v>
      </c>
      <c r="F472" s="18" t="n">
        <f aca="false">IF(OR(D472="",D472=0),"",E472/D472)</f>
        <v>0</v>
      </c>
      <c r="G472" s="16" t="n">
        <v>38.63907</v>
      </c>
      <c r="H472" s="16" t="n">
        <v>0</v>
      </c>
      <c r="I472" s="16" t="n">
        <v>38.63907</v>
      </c>
      <c r="J472" s="17" t="n">
        <f aca="false">IF(I472="","",G472-I472)</f>
        <v>0</v>
      </c>
      <c r="K472" s="18" t="n">
        <f aca="false">IF(OR(I472="",I472=0),"",J472/I472)</f>
        <v>0</v>
      </c>
      <c r="L472" s="19" t="str">
        <f aca="false">IF(OR(D472="",I472=""),"No reported total for O&amp;M or depreciation",IF(AND(ABS(F472)&lt;=$D$2,ABS(K472)&lt;=$D$2),"Reconciles within tolerance","Outside tolerance"))</f>
        <v>Reconciles within tolerance</v>
      </c>
      <c r="M472" s="17" t="n">
        <f aca="false">IF(OR(E472="",LEFT(L472,8)="Excluded"),"",ABS(E472))</f>
        <v>0</v>
      </c>
    </row>
    <row r="473" customFormat="false" ht="15" hidden="false" customHeight="false" outlineLevel="0" collapsed="false">
      <c r="A473" s="7" t="n">
        <v>2001</v>
      </c>
      <c r="B473" s="12" t="s">
        <v>78</v>
      </c>
      <c r="C473" s="16" t="n">
        <v>256.661211</v>
      </c>
      <c r="D473" s="16" t="n">
        <v>256.661211</v>
      </c>
      <c r="E473" s="17" t="n">
        <f aca="false">IF(D473="","",C473-D473)</f>
        <v>0</v>
      </c>
      <c r="F473" s="18" t="n">
        <f aca="false">IF(OR(D473="",D473=0),"",E473/D473)</f>
        <v>0</v>
      </c>
      <c r="G473" s="16" t="n">
        <v>38.690789</v>
      </c>
      <c r="H473" s="16" t="n">
        <v>0</v>
      </c>
      <c r="I473" s="16" t="n">
        <v>38.690789</v>
      </c>
      <c r="J473" s="17" t="n">
        <f aca="false">IF(I473="","",G473-I473)</f>
        <v>0</v>
      </c>
      <c r="K473" s="18" t="n">
        <f aca="false">IF(OR(I473="",I473=0),"",J473/I473)</f>
        <v>0</v>
      </c>
      <c r="L473" s="19" t="str">
        <f aca="false">IF(OR(D473="",I473=""),"No reported total for O&amp;M or depreciation",IF(AND(ABS(F473)&lt;=$D$2,ABS(K473)&lt;=$D$2),"Reconciles within tolerance","Outside tolerance"))</f>
        <v>Reconciles within tolerance</v>
      </c>
      <c r="M473" s="17" t="n">
        <f aca="false">IF(OR(E473="",LEFT(L473,8)="Excluded"),"",ABS(E473))</f>
        <v>0</v>
      </c>
    </row>
    <row r="474" customFormat="false" ht="15" hidden="false" customHeight="false" outlineLevel="0" collapsed="false">
      <c r="A474" s="7" t="n">
        <v>2002</v>
      </c>
      <c r="B474" s="12" t="s">
        <v>78</v>
      </c>
      <c r="C474" s="16" t="n">
        <v>457.327926</v>
      </c>
      <c r="D474" s="16" t="n">
        <v>457.327926</v>
      </c>
      <c r="E474" s="17" t="n">
        <f aca="false">IF(D474="","",C474-D474)</f>
        <v>0</v>
      </c>
      <c r="F474" s="18" t="n">
        <f aca="false">IF(OR(D474="",D474=0),"",E474/D474)</f>
        <v>0</v>
      </c>
      <c r="G474" s="16" t="n">
        <v>40.003536</v>
      </c>
      <c r="H474" s="16" t="n">
        <v>0</v>
      </c>
      <c r="I474" s="16" t="n">
        <v>40.003536</v>
      </c>
      <c r="J474" s="17" t="n">
        <f aca="false">IF(I474="","",G474-I474)</f>
        <v>0</v>
      </c>
      <c r="K474" s="18" t="n">
        <f aca="false">IF(OR(I474="",I474=0),"",J474/I474)</f>
        <v>0</v>
      </c>
      <c r="L474" s="19" t="str">
        <f aca="false">IF(OR(D474="",I474=""),"No reported total for O&amp;M or depreciation",IF(AND(ABS(F474)&lt;=$D$2,ABS(K474)&lt;=$D$2),"Reconciles within tolerance","Outside tolerance"))</f>
        <v>Reconciles within tolerance</v>
      </c>
      <c r="M474" s="17" t="n">
        <f aca="false">IF(OR(E474="",LEFT(L474,8)="Excluded"),"",ABS(E474))</f>
        <v>0</v>
      </c>
    </row>
    <row r="475" customFormat="false" ht="15" hidden="false" customHeight="false" outlineLevel="0" collapsed="false">
      <c r="A475" s="7" t="n">
        <v>2003</v>
      </c>
      <c r="B475" s="12" t="s">
        <v>78</v>
      </c>
      <c r="C475" s="16" t="n">
        <v>189.467829</v>
      </c>
      <c r="D475" s="16" t="n">
        <v>189.467829</v>
      </c>
      <c r="E475" s="17" t="n">
        <f aca="false">IF(D475="","",C475-D475)</f>
        <v>0</v>
      </c>
      <c r="F475" s="18" t="n">
        <f aca="false">IF(OR(D475="",D475=0),"",E475/D475)</f>
        <v>0</v>
      </c>
      <c r="G475" s="16" t="n">
        <v>42.20258</v>
      </c>
      <c r="H475" s="16" t="n">
        <v>0</v>
      </c>
      <c r="I475" s="16" t="n">
        <v>42.20258</v>
      </c>
      <c r="J475" s="17" t="n">
        <f aca="false">IF(I475="","",G475-I475)</f>
        <v>0</v>
      </c>
      <c r="K475" s="18" t="n">
        <f aca="false">IF(OR(I475="",I475=0),"",J475/I475)</f>
        <v>0</v>
      </c>
      <c r="L475" s="19" t="str">
        <f aca="false">IF(OR(D475="",I475=""),"No reported total for O&amp;M or depreciation",IF(AND(ABS(F475)&lt;=$D$2,ABS(K475)&lt;=$D$2),"Reconciles within tolerance","Outside tolerance"))</f>
        <v>Reconciles within tolerance</v>
      </c>
      <c r="M475" s="17" t="n">
        <f aca="false">IF(OR(E475="",LEFT(L475,8)="Excluded"),"",ABS(E475))</f>
        <v>0</v>
      </c>
    </row>
    <row r="476" customFormat="false" ht="15" hidden="false" customHeight="false" outlineLevel="0" collapsed="false">
      <c r="A476" s="7" t="n">
        <v>2004</v>
      </c>
      <c r="B476" s="12" t="s">
        <v>78</v>
      </c>
      <c r="C476" s="16" t="n">
        <v>210.661417</v>
      </c>
      <c r="D476" s="16" t="n">
        <v>210.661417</v>
      </c>
      <c r="E476" s="17" t="n">
        <f aca="false">IF(D476="","",C476-D476)</f>
        <v>0</v>
      </c>
      <c r="F476" s="18" t="n">
        <f aca="false">IF(OR(D476="",D476=0),"",E476/D476)</f>
        <v>0</v>
      </c>
      <c r="G476" s="16" t="n">
        <v>52.917209</v>
      </c>
      <c r="H476" s="16" t="n">
        <v>0</v>
      </c>
      <c r="I476" s="16" t="n">
        <v>52.917209</v>
      </c>
      <c r="J476" s="17" t="n">
        <f aca="false">IF(I476="","",G476-I476)</f>
        <v>0</v>
      </c>
      <c r="K476" s="18" t="n">
        <f aca="false">IF(OR(I476="",I476=0),"",J476/I476)</f>
        <v>0</v>
      </c>
      <c r="L476" s="19" t="str">
        <f aca="false">IF(OR(D476="",I476=""),"No reported total for O&amp;M or depreciation",IF(AND(ABS(F476)&lt;=$D$2,ABS(K476)&lt;=$D$2),"Reconciles within tolerance","Outside tolerance"))</f>
        <v>Reconciles within tolerance</v>
      </c>
      <c r="M476" s="17" t="n">
        <f aca="false">IF(OR(E476="",LEFT(L476,8)="Excluded"),"",ABS(E476))</f>
        <v>0</v>
      </c>
    </row>
    <row r="477" customFormat="false" ht="15" hidden="false" customHeight="false" outlineLevel="0" collapsed="false">
      <c r="A477" s="7" t="n">
        <v>2005</v>
      </c>
      <c r="B477" s="12" t="s">
        <v>78</v>
      </c>
      <c r="C477" s="16" t="n">
        <v>246.805244</v>
      </c>
      <c r="D477" s="16" t="n">
        <v>246.805244</v>
      </c>
      <c r="E477" s="17" t="n">
        <f aca="false">IF(D477="","",C477-D477)</f>
        <v>0</v>
      </c>
      <c r="F477" s="18" t="n">
        <f aca="false">IF(OR(D477="",D477=0),"",E477/D477)</f>
        <v>0</v>
      </c>
      <c r="G477" s="16" t="n">
        <v>56.443753</v>
      </c>
      <c r="H477" s="16" t="n">
        <v>0</v>
      </c>
      <c r="I477" s="16" t="n">
        <v>56.443753</v>
      </c>
      <c r="J477" s="17" t="n">
        <f aca="false">IF(I477="","",G477-I477)</f>
        <v>0</v>
      </c>
      <c r="K477" s="18" t="n">
        <f aca="false">IF(OR(I477="",I477=0),"",J477/I477)</f>
        <v>0</v>
      </c>
      <c r="L477" s="19" t="str">
        <f aca="false">IF(OR(D477="",I477=""),"No reported total for O&amp;M or depreciation",IF(AND(ABS(F477)&lt;=$D$2,ABS(K477)&lt;=$D$2),"Reconciles within tolerance","Outside tolerance"))</f>
        <v>Reconciles within tolerance</v>
      </c>
      <c r="M477" s="17" t="n">
        <f aca="false">IF(OR(E477="",LEFT(L477,8)="Excluded"),"",ABS(E477))</f>
        <v>0</v>
      </c>
    </row>
    <row r="478" customFormat="false" ht="15" hidden="false" customHeight="false" outlineLevel="0" collapsed="false">
      <c r="A478" s="7" t="n">
        <v>2006</v>
      </c>
      <c r="B478" s="12" t="s">
        <v>78</v>
      </c>
      <c r="C478" s="16" t="n">
        <v>259.036587</v>
      </c>
      <c r="D478" s="16" t="n">
        <v>259.036587</v>
      </c>
      <c r="E478" s="17" t="n">
        <f aca="false">IF(D478="","",C478-D478)</f>
        <v>0</v>
      </c>
      <c r="F478" s="18" t="n">
        <f aca="false">IF(OR(D478="",D478=0),"",E478/D478)</f>
        <v>0</v>
      </c>
      <c r="G478" s="16" t="n">
        <v>61.388711</v>
      </c>
      <c r="H478" s="16" t="n">
        <v>0</v>
      </c>
      <c r="I478" s="16" t="n">
        <v>61.388711</v>
      </c>
      <c r="J478" s="17" t="n">
        <f aca="false">IF(I478="","",G478-I478)</f>
        <v>0</v>
      </c>
      <c r="K478" s="18" t="n">
        <f aca="false">IF(OR(I478="",I478=0),"",J478/I478)</f>
        <v>0</v>
      </c>
      <c r="L478" s="19" t="str">
        <f aca="false">IF(OR(D478="",I478=""),"No reported total for O&amp;M or depreciation",IF(AND(ABS(F478)&lt;=$D$2,ABS(K478)&lt;=$D$2),"Reconciles within tolerance","Outside tolerance"))</f>
        <v>Reconciles within tolerance</v>
      </c>
      <c r="M478" s="17" t="n">
        <f aca="false">IF(OR(E478="",LEFT(L478,8)="Excluded"),"",ABS(E478))</f>
        <v>0</v>
      </c>
    </row>
    <row r="479" customFormat="false" ht="15" hidden="false" customHeight="false" outlineLevel="0" collapsed="false">
      <c r="A479" s="7" t="n">
        <v>2007</v>
      </c>
      <c r="B479" s="12" t="s">
        <v>78</v>
      </c>
      <c r="C479" s="16" t="n">
        <v>292.10284</v>
      </c>
      <c r="D479" s="16" t="n">
        <v>292.10284</v>
      </c>
      <c r="E479" s="17" t="n">
        <f aca="false">IF(D479="","",C479-D479)</f>
        <v>0</v>
      </c>
      <c r="F479" s="18" t="n">
        <f aca="false">IF(OR(D479="",D479=0),"",E479/D479)</f>
        <v>0</v>
      </c>
      <c r="G479" s="16" t="n">
        <v>63.670307</v>
      </c>
      <c r="H479" s="16" t="n">
        <v>0</v>
      </c>
      <c r="I479" s="16" t="n">
        <v>63.670307</v>
      </c>
      <c r="J479" s="17" t="n">
        <f aca="false">IF(I479="","",G479-I479)</f>
        <v>0</v>
      </c>
      <c r="K479" s="18" t="n">
        <f aca="false">IF(OR(I479="",I479=0),"",J479/I479)</f>
        <v>0</v>
      </c>
      <c r="L479" s="19" t="str">
        <f aca="false">IF(OR(D479="",I479=""),"No reported total for O&amp;M or depreciation",IF(AND(ABS(F479)&lt;=$D$2,ABS(K479)&lt;=$D$2),"Reconciles within tolerance","Outside tolerance"))</f>
        <v>Reconciles within tolerance</v>
      </c>
      <c r="M479" s="17" t="n">
        <f aca="false">IF(OR(E479="",LEFT(L479,8)="Excluded"),"",ABS(E479))</f>
        <v>0</v>
      </c>
    </row>
    <row r="480" customFormat="false" ht="15" hidden="false" customHeight="false" outlineLevel="0" collapsed="false">
      <c r="A480" s="7" t="n">
        <v>2008</v>
      </c>
      <c r="B480" s="12" t="s">
        <v>78</v>
      </c>
      <c r="C480" s="16" t="n">
        <v>324.814888</v>
      </c>
      <c r="D480" s="16" t="n">
        <v>324.814888</v>
      </c>
      <c r="E480" s="17" t="n">
        <f aca="false">IF(D480="","",C480-D480)</f>
        <v>0</v>
      </c>
      <c r="F480" s="18" t="n">
        <f aca="false">IF(OR(D480="",D480=0),"",E480/D480)</f>
        <v>0</v>
      </c>
      <c r="G480" s="16" t="n">
        <v>62.096743</v>
      </c>
      <c r="H480" s="16" t="n">
        <v>0</v>
      </c>
      <c r="I480" s="16" t="n">
        <v>62.096743</v>
      </c>
      <c r="J480" s="17" t="n">
        <f aca="false">IF(I480="","",G480-I480)</f>
        <v>0</v>
      </c>
      <c r="K480" s="18" t="n">
        <f aca="false">IF(OR(I480="",I480=0),"",J480/I480)</f>
        <v>0</v>
      </c>
      <c r="L480" s="19" t="str">
        <f aca="false">IF(OR(D480="",I480=""),"No reported total for O&amp;M or depreciation",IF(AND(ABS(F480)&lt;=$D$2,ABS(K480)&lt;=$D$2),"Reconciles within tolerance","Outside tolerance"))</f>
        <v>Reconciles within tolerance</v>
      </c>
      <c r="M480" s="17" t="n">
        <f aca="false">IF(OR(E480="",LEFT(L480,8)="Excluded"),"",ABS(E480))</f>
        <v>0</v>
      </c>
    </row>
    <row r="481" customFormat="false" ht="15" hidden="false" customHeight="false" outlineLevel="0" collapsed="false">
      <c r="A481" s="7" t="n">
        <v>2009</v>
      </c>
      <c r="B481" s="12" t="s">
        <v>78</v>
      </c>
      <c r="C481" s="16" t="n">
        <v>329.51761</v>
      </c>
      <c r="D481" s="16" t="n">
        <v>329.51761</v>
      </c>
      <c r="E481" s="17" t="n">
        <f aca="false">IF(D481="","",C481-D481)</f>
        <v>0</v>
      </c>
      <c r="F481" s="18" t="n">
        <f aca="false">IF(OR(D481="",D481=0),"",E481/D481)</f>
        <v>0</v>
      </c>
      <c r="G481" s="16" t="n">
        <v>71.110662</v>
      </c>
      <c r="H481" s="16" t="n">
        <v>0</v>
      </c>
      <c r="I481" s="16" t="n">
        <v>71.110662</v>
      </c>
      <c r="J481" s="17" t="n">
        <f aca="false">IF(I481="","",G481-I481)</f>
        <v>0</v>
      </c>
      <c r="K481" s="18" t="n">
        <f aca="false">IF(OR(I481="",I481=0),"",J481/I481)</f>
        <v>0</v>
      </c>
      <c r="L481" s="19" t="str">
        <f aca="false">IF(OR(D481="",I481=""),"No reported total for O&amp;M or depreciation",IF(AND(ABS(F481)&lt;=$D$2,ABS(K481)&lt;=$D$2),"Reconciles within tolerance","Outside tolerance"))</f>
        <v>Reconciles within tolerance</v>
      </c>
      <c r="M481" s="17" t="n">
        <f aca="false">IF(OR(E481="",LEFT(L481,8)="Excluded"),"",ABS(E481))</f>
        <v>0</v>
      </c>
    </row>
    <row r="482" customFormat="false" ht="15" hidden="false" customHeight="false" outlineLevel="0" collapsed="false">
      <c r="A482" s="7" t="n">
        <v>2010</v>
      </c>
      <c r="B482" s="12" t="s">
        <v>78</v>
      </c>
      <c r="C482" s="16" t="n">
        <v>374.643955</v>
      </c>
      <c r="D482" s="16" t="n">
        <v>374.643955</v>
      </c>
      <c r="E482" s="17" t="n">
        <f aca="false">IF(D482="","",C482-D482)</f>
        <v>0</v>
      </c>
      <c r="F482" s="18" t="n">
        <f aca="false">IF(OR(D482="",D482=0),"",E482/D482)</f>
        <v>0</v>
      </c>
      <c r="G482" s="16" t="n">
        <v>74.511654</v>
      </c>
      <c r="H482" s="16" t="n">
        <v>0</v>
      </c>
      <c r="I482" s="16" t="n">
        <v>74.511654</v>
      </c>
      <c r="J482" s="17" t="n">
        <f aca="false">IF(I482="","",G482-I482)</f>
        <v>0</v>
      </c>
      <c r="K482" s="18" t="n">
        <f aca="false">IF(OR(I482="",I482=0),"",J482/I482)</f>
        <v>0</v>
      </c>
      <c r="L482" s="19" t="str">
        <f aca="false">IF(OR(D482="",I482=""),"No reported total for O&amp;M or depreciation",IF(AND(ABS(F482)&lt;=$D$2,ABS(K482)&lt;=$D$2),"Reconciles within tolerance","Outside tolerance"))</f>
        <v>Reconciles within tolerance</v>
      </c>
      <c r="M482" s="17" t="n">
        <f aca="false">IF(OR(E482="",LEFT(L482,8)="Excluded"),"",ABS(E482))</f>
        <v>0</v>
      </c>
    </row>
    <row r="483" customFormat="false" ht="15" hidden="false" customHeight="false" outlineLevel="0" collapsed="false">
      <c r="A483" s="7" t="n">
        <v>2011</v>
      </c>
      <c r="B483" s="12" t="s">
        <v>78</v>
      </c>
      <c r="C483" s="16" t="n">
        <v>393.13883</v>
      </c>
      <c r="D483" s="16" t="n">
        <v>393.13883</v>
      </c>
      <c r="E483" s="17" t="n">
        <f aca="false">IF(D483="","",C483-D483)</f>
        <v>0</v>
      </c>
      <c r="F483" s="18" t="n">
        <f aca="false">IF(OR(D483="",D483=0),"",E483/D483)</f>
        <v>0</v>
      </c>
      <c r="G483" s="16" t="n">
        <v>77.084683</v>
      </c>
      <c r="H483" s="16" t="n">
        <v>0</v>
      </c>
      <c r="I483" s="16" t="n">
        <v>77.084683</v>
      </c>
      <c r="J483" s="17" t="n">
        <f aca="false">IF(I483="","",G483-I483)</f>
        <v>0</v>
      </c>
      <c r="K483" s="18" t="n">
        <f aca="false">IF(OR(I483="",I483=0),"",J483/I483)</f>
        <v>0</v>
      </c>
      <c r="L483" s="19" t="str">
        <f aca="false">IF(OR(D483="",I483=""),"No reported total for O&amp;M or depreciation",IF(AND(ABS(F483)&lt;=$D$2,ABS(K483)&lt;=$D$2),"Reconciles within tolerance","Outside tolerance"))</f>
        <v>Reconciles within tolerance</v>
      </c>
      <c r="M483" s="17" t="n">
        <f aca="false">IF(OR(E483="",LEFT(L483,8)="Excluded"),"",ABS(E483))</f>
        <v>0</v>
      </c>
    </row>
    <row r="484" customFormat="false" ht="15" hidden="false" customHeight="false" outlineLevel="0" collapsed="false">
      <c r="A484" s="7" t="n">
        <v>2012</v>
      </c>
      <c r="B484" s="12" t="s">
        <v>78</v>
      </c>
      <c r="C484" s="16" t="n">
        <v>350.68574</v>
      </c>
      <c r="D484" s="16" t="n">
        <v>350.68574</v>
      </c>
      <c r="E484" s="17" t="n">
        <f aca="false">IF(D484="","",C484-D484)</f>
        <v>0</v>
      </c>
      <c r="F484" s="18" t="n">
        <f aca="false">IF(OR(D484="",D484=0),"",E484/D484)</f>
        <v>0</v>
      </c>
      <c r="G484" s="16" t="n">
        <v>79.405373</v>
      </c>
      <c r="H484" s="16" t="n">
        <v>0</v>
      </c>
      <c r="I484" s="16" t="n">
        <v>79.405373</v>
      </c>
      <c r="J484" s="17" t="n">
        <f aca="false">IF(I484="","",G484-I484)</f>
        <v>0</v>
      </c>
      <c r="K484" s="18" t="n">
        <f aca="false">IF(OR(I484="",I484=0),"",J484/I484)</f>
        <v>0</v>
      </c>
      <c r="L484" s="19" t="str">
        <f aca="false">IF(OR(D484="",I484=""),"No reported total for O&amp;M or depreciation",IF(AND(ABS(F484)&lt;=$D$2,ABS(K484)&lt;=$D$2),"Reconciles within tolerance","Outside tolerance"))</f>
        <v>Reconciles within tolerance</v>
      </c>
      <c r="M484" s="17" t="n">
        <f aca="false">IF(OR(E484="",LEFT(L484,8)="Excluded"),"",ABS(E484))</f>
        <v>0</v>
      </c>
    </row>
    <row r="485" customFormat="false" ht="15" hidden="false" customHeight="false" outlineLevel="0" collapsed="false">
      <c r="A485" s="7" t="n">
        <v>2013</v>
      </c>
      <c r="B485" s="12" t="s">
        <v>78</v>
      </c>
      <c r="C485" s="16" t="n">
        <v>366.519129</v>
      </c>
      <c r="D485" s="16" t="n">
        <v>366.519129</v>
      </c>
      <c r="E485" s="17" t="n">
        <f aca="false">IF(D485="","",C485-D485)</f>
        <v>0</v>
      </c>
      <c r="F485" s="18" t="n">
        <f aca="false">IF(OR(D485="",D485=0),"",E485/D485)</f>
        <v>0</v>
      </c>
      <c r="G485" s="16" t="n">
        <v>82.114212</v>
      </c>
      <c r="H485" s="16" t="n">
        <v>0</v>
      </c>
      <c r="I485" s="16" t="n">
        <v>82.114212</v>
      </c>
      <c r="J485" s="17" t="n">
        <f aca="false">IF(I485="","",G485-I485)</f>
        <v>0</v>
      </c>
      <c r="K485" s="18" t="n">
        <f aca="false">IF(OR(I485="",I485=0),"",J485/I485)</f>
        <v>0</v>
      </c>
      <c r="L485" s="19" t="str">
        <f aca="false">IF(OR(D485="",I485=""),"No reported total for O&amp;M or depreciation",IF(AND(ABS(F485)&lt;=$D$2,ABS(K485)&lt;=$D$2),"Reconciles within tolerance","Outside tolerance"))</f>
        <v>Reconciles within tolerance</v>
      </c>
      <c r="M485" s="17" t="n">
        <f aca="false">IF(OR(E485="",LEFT(L485,8)="Excluded"),"",ABS(E485))</f>
        <v>0</v>
      </c>
    </row>
    <row r="486" customFormat="false" ht="15" hidden="false" customHeight="false" outlineLevel="0" collapsed="false">
      <c r="A486" s="7" t="n">
        <v>2014</v>
      </c>
      <c r="B486" s="12" t="s">
        <v>78</v>
      </c>
      <c r="C486" s="16" t="n">
        <v>369.793391</v>
      </c>
      <c r="D486" s="16" t="n">
        <v>369.793391</v>
      </c>
      <c r="E486" s="17" t="n">
        <f aca="false">IF(D486="","",C486-D486)</f>
        <v>0</v>
      </c>
      <c r="F486" s="18" t="n">
        <f aca="false">IF(OR(D486="",D486=0),"",E486/D486)</f>
        <v>0</v>
      </c>
      <c r="G486" s="16" t="n">
        <v>83.767523</v>
      </c>
      <c r="H486" s="16" t="n">
        <v>0</v>
      </c>
      <c r="I486" s="16" t="n">
        <v>83.767523</v>
      </c>
      <c r="J486" s="17" t="n">
        <f aca="false">IF(I486="","",G486-I486)</f>
        <v>0</v>
      </c>
      <c r="K486" s="18" t="n">
        <f aca="false">IF(OR(I486="",I486=0),"",J486/I486)</f>
        <v>0</v>
      </c>
      <c r="L486" s="19" t="str">
        <f aca="false">IF(OR(D486="",I486=""),"No reported total for O&amp;M or depreciation",IF(AND(ABS(F486)&lt;=$D$2,ABS(K486)&lt;=$D$2),"Reconciles within tolerance","Outside tolerance"))</f>
        <v>Reconciles within tolerance</v>
      </c>
      <c r="M486" s="17" t="n">
        <f aca="false">IF(OR(E486="",LEFT(L486,8)="Excluded"),"",ABS(E486))</f>
        <v>0</v>
      </c>
    </row>
    <row r="487" customFormat="false" ht="15" hidden="false" customHeight="false" outlineLevel="0" collapsed="false">
      <c r="A487" s="7" t="n">
        <v>2015</v>
      </c>
      <c r="B487" s="12" t="s">
        <v>78</v>
      </c>
      <c r="C487" s="16" t="n">
        <v>342.919667</v>
      </c>
      <c r="D487" s="16" t="n">
        <v>342.919667</v>
      </c>
      <c r="E487" s="17" t="n">
        <f aca="false">IF(D487="","",C487-D487)</f>
        <v>0</v>
      </c>
      <c r="F487" s="18" t="n">
        <f aca="false">IF(OR(D487="",D487=0),"",E487/D487)</f>
        <v>0</v>
      </c>
      <c r="G487" s="16" t="n">
        <v>84.992044</v>
      </c>
      <c r="H487" s="16" t="n">
        <v>0</v>
      </c>
      <c r="I487" s="16" t="n">
        <v>84.992044</v>
      </c>
      <c r="J487" s="17" t="n">
        <f aca="false">IF(I487="","",G487-I487)</f>
        <v>0</v>
      </c>
      <c r="K487" s="18" t="n">
        <f aca="false">IF(OR(I487="",I487=0),"",J487/I487)</f>
        <v>0</v>
      </c>
      <c r="L487" s="19" t="str">
        <f aca="false">IF(OR(D487="",I487=""),"No reported total for O&amp;M or depreciation",IF(AND(ABS(F487)&lt;=$D$2,ABS(K487)&lt;=$D$2),"Reconciles within tolerance","Outside tolerance"))</f>
        <v>Reconciles within tolerance</v>
      </c>
      <c r="M487" s="17" t="n">
        <f aca="false">IF(OR(E487="",LEFT(L487,8)="Excluded"),"",ABS(E487))</f>
        <v>0</v>
      </c>
    </row>
    <row r="488" customFormat="false" ht="15" hidden="false" customHeight="false" outlineLevel="0" collapsed="false">
      <c r="A488" s="7" t="n">
        <v>2016</v>
      </c>
      <c r="B488" s="12" t="s">
        <v>78</v>
      </c>
      <c r="C488" s="16" t="n">
        <v>345.398428</v>
      </c>
      <c r="D488" s="16" t="n">
        <v>345.398428</v>
      </c>
      <c r="E488" s="17" t="n">
        <f aca="false">IF(D488="","",C488-D488)</f>
        <v>0</v>
      </c>
      <c r="F488" s="18" t="n">
        <f aca="false">IF(OR(D488="",D488=0),"",E488/D488)</f>
        <v>0</v>
      </c>
      <c r="G488" s="16" t="n">
        <v>87.124916</v>
      </c>
      <c r="H488" s="16" t="n">
        <v>0</v>
      </c>
      <c r="I488" s="16" t="n">
        <v>87.124916</v>
      </c>
      <c r="J488" s="17" t="n">
        <f aca="false">IF(I488="","",G488-I488)</f>
        <v>0</v>
      </c>
      <c r="K488" s="18" t="n">
        <f aca="false">IF(OR(I488="",I488=0),"",J488/I488)</f>
        <v>0</v>
      </c>
      <c r="L488" s="19" t="str">
        <f aca="false">IF(OR(D488="",I488=""),"No reported total for O&amp;M or depreciation",IF(AND(ABS(F488)&lt;=$D$2,ABS(K488)&lt;=$D$2),"Reconciles within tolerance","Outside tolerance"))</f>
        <v>Reconciles within tolerance</v>
      </c>
      <c r="M488" s="17" t="n">
        <f aca="false">IF(OR(E488="",LEFT(L488,8)="Excluded"),"",ABS(E488))</f>
        <v>0</v>
      </c>
    </row>
    <row r="489" customFormat="false" ht="15" hidden="false" customHeight="false" outlineLevel="0" collapsed="false">
      <c r="A489" s="7" t="n">
        <v>2017</v>
      </c>
      <c r="B489" s="12" t="s">
        <v>78</v>
      </c>
      <c r="C489" s="16" t="n">
        <v>329.836962</v>
      </c>
      <c r="D489" s="16" t="n">
        <v>329.836962</v>
      </c>
      <c r="E489" s="17" t="n">
        <f aca="false">IF(D489="","",C489-D489)</f>
        <v>0</v>
      </c>
      <c r="F489" s="18" t="n">
        <f aca="false">IF(OR(D489="",D489=0),"",E489/D489)</f>
        <v>0</v>
      </c>
      <c r="G489" s="16" t="n">
        <v>89.234861</v>
      </c>
      <c r="H489" s="16" t="n">
        <v>0</v>
      </c>
      <c r="I489" s="16" t="n">
        <v>89.234861</v>
      </c>
      <c r="J489" s="17" t="n">
        <f aca="false">IF(I489="","",G489-I489)</f>
        <v>0</v>
      </c>
      <c r="K489" s="18" t="n">
        <f aca="false">IF(OR(I489="",I489=0),"",J489/I489)</f>
        <v>0</v>
      </c>
      <c r="L489" s="19" t="str">
        <f aca="false">IF(OR(D489="",I489=""),"No reported total for O&amp;M or depreciation",IF(AND(ABS(F489)&lt;=$D$2,ABS(K489)&lt;=$D$2),"Reconciles within tolerance","Outside tolerance"))</f>
        <v>Reconciles within tolerance</v>
      </c>
      <c r="M489" s="17" t="n">
        <f aca="false">IF(OR(E489="",LEFT(L489,8)="Excluded"),"",ABS(E489))</f>
        <v>0</v>
      </c>
    </row>
    <row r="490" customFormat="false" ht="15" hidden="false" customHeight="false" outlineLevel="0" collapsed="false">
      <c r="A490" s="7" t="n">
        <v>2018</v>
      </c>
      <c r="B490" s="12" t="s">
        <v>78</v>
      </c>
      <c r="C490" s="16" t="n">
        <v>357.632306</v>
      </c>
      <c r="D490" s="16" t="n">
        <v>357.632306</v>
      </c>
      <c r="E490" s="17" t="n">
        <f aca="false">IF(D490="","",C490-D490)</f>
        <v>0</v>
      </c>
      <c r="F490" s="18" t="n">
        <f aca="false">IF(OR(D490="",D490=0),"",E490/D490)</f>
        <v>0</v>
      </c>
      <c r="G490" s="16" t="n">
        <v>91.763808</v>
      </c>
      <c r="H490" s="16" t="n">
        <v>0</v>
      </c>
      <c r="I490" s="16" t="n">
        <v>91.763808</v>
      </c>
      <c r="J490" s="17" t="n">
        <f aca="false">IF(I490="","",G490-I490)</f>
        <v>0</v>
      </c>
      <c r="K490" s="18" t="n">
        <f aca="false">IF(OR(I490="",I490=0),"",J490/I490)</f>
        <v>0</v>
      </c>
      <c r="L490" s="19" t="str">
        <f aca="false">IF(OR(D490="",I490=""),"No reported total for O&amp;M or depreciation",IF(AND(ABS(F490)&lt;=$D$2,ABS(K490)&lt;=$D$2),"Reconciles within tolerance","Outside tolerance"))</f>
        <v>Reconciles within tolerance</v>
      </c>
      <c r="M490" s="17" t="n">
        <f aca="false">IF(OR(E490="",LEFT(L490,8)="Excluded"),"",ABS(E490))</f>
        <v>0</v>
      </c>
    </row>
    <row r="491" customFormat="false" ht="15" hidden="false" customHeight="false" outlineLevel="0" collapsed="false">
      <c r="A491" s="7" t="n">
        <v>2019</v>
      </c>
      <c r="B491" s="12" t="s">
        <v>78</v>
      </c>
      <c r="C491" s="16" t="n">
        <v>367.961852</v>
      </c>
      <c r="D491" s="16" t="n">
        <v>367.961852</v>
      </c>
      <c r="E491" s="17" t="n">
        <f aca="false">IF(D491="","",C491-D491)</f>
        <v>0</v>
      </c>
      <c r="F491" s="18" t="n">
        <f aca="false">IF(OR(D491="",D491=0),"",E491/D491)</f>
        <v>0</v>
      </c>
      <c r="G491" s="16" t="n">
        <v>98.515255</v>
      </c>
      <c r="H491" s="16" t="n">
        <v>0</v>
      </c>
      <c r="I491" s="16" t="n">
        <v>98.515255</v>
      </c>
      <c r="J491" s="17" t="n">
        <f aca="false">IF(I491="","",G491-I491)</f>
        <v>0</v>
      </c>
      <c r="K491" s="18" t="n">
        <f aca="false">IF(OR(I491="",I491=0),"",J491/I491)</f>
        <v>0</v>
      </c>
      <c r="L491" s="19" t="str">
        <f aca="false">IF(OR(D491="",I491=""),"No reported total for O&amp;M or depreciation",IF(AND(ABS(F491)&lt;=$D$2,ABS(K491)&lt;=$D$2),"Reconciles within tolerance","Outside tolerance"))</f>
        <v>Reconciles within tolerance</v>
      </c>
      <c r="M491" s="17" t="n">
        <f aca="false">IF(OR(E491="",LEFT(L491,8)="Excluded"),"",ABS(E491))</f>
        <v>0</v>
      </c>
    </row>
    <row r="492" customFormat="false" ht="15" hidden="false" customHeight="false" outlineLevel="0" collapsed="false">
      <c r="A492" s="7" t="n">
        <v>2020</v>
      </c>
      <c r="B492" s="12" t="s">
        <v>78</v>
      </c>
      <c r="C492" s="16" t="n">
        <v>330.078826</v>
      </c>
      <c r="D492" s="16" t="n">
        <v>330.078826</v>
      </c>
      <c r="E492" s="17" t="n">
        <f aca="false">IF(D492="","",C492-D492)</f>
        <v>0</v>
      </c>
      <c r="F492" s="18" t="n">
        <f aca="false">IF(OR(D492="",D492=0),"",E492/D492)</f>
        <v>0</v>
      </c>
      <c r="G492" s="16" t="n">
        <v>102.631605</v>
      </c>
      <c r="H492" s="16" t="n">
        <v>0</v>
      </c>
      <c r="I492" s="16" t="n">
        <v>102.631605</v>
      </c>
      <c r="J492" s="17" t="n">
        <f aca="false">IF(I492="","",G492-I492)</f>
        <v>0</v>
      </c>
      <c r="K492" s="18" t="n">
        <f aca="false">IF(OR(I492="",I492=0),"",J492/I492)</f>
        <v>0</v>
      </c>
      <c r="L492" s="19" t="str">
        <f aca="false">IF(OR(D492="",I492=""),"No reported total for O&amp;M or depreciation",IF(AND(ABS(F492)&lt;=$D$2,ABS(K492)&lt;=$D$2),"Reconciles within tolerance","Outside tolerance"))</f>
        <v>Reconciles within tolerance</v>
      </c>
      <c r="M492" s="17" t="n">
        <f aca="false">IF(OR(E492="",LEFT(L492,8)="Excluded"),"",ABS(E492))</f>
        <v>0</v>
      </c>
    </row>
    <row r="493" customFormat="false" ht="15" hidden="false" customHeight="false" outlineLevel="0" collapsed="false">
      <c r="A493" s="7" t="n">
        <v>2021</v>
      </c>
      <c r="B493" s="12" t="s">
        <v>78</v>
      </c>
      <c r="C493" s="16" t="n">
        <v>369.847658</v>
      </c>
      <c r="D493" s="16" t="n">
        <v>369.847658</v>
      </c>
      <c r="E493" s="17" t="n">
        <f aca="false">IF(D493="","",C493-D493)</f>
        <v>0</v>
      </c>
      <c r="F493" s="18" t="n">
        <f aca="false">IF(OR(D493="",D493=0),"",E493/D493)</f>
        <v>0</v>
      </c>
      <c r="G493" s="16" t="n">
        <v>113.550629</v>
      </c>
      <c r="H493" s="16" t="n">
        <v>0</v>
      </c>
      <c r="I493" s="16" t="n">
        <v>113.550629</v>
      </c>
      <c r="J493" s="17" t="n">
        <f aca="false">IF(I493="","",G493-I493)</f>
        <v>0</v>
      </c>
      <c r="K493" s="18" t="n">
        <f aca="false">IF(OR(I493="",I493=0),"",J493/I493)</f>
        <v>0</v>
      </c>
      <c r="L493" s="19" t="str">
        <f aca="false">IF(OR(D493="",I493=""),"No reported total for O&amp;M or depreciation",IF(AND(ABS(F493)&lt;=$D$2,ABS(K493)&lt;=$D$2),"Reconciles within tolerance","Outside tolerance"))</f>
        <v>Reconciles within tolerance</v>
      </c>
      <c r="M493" s="17" t="n">
        <f aca="false">IF(OR(E493="",LEFT(L493,8)="Excluded"),"",ABS(E493))</f>
        <v>0</v>
      </c>
    </row>
    <row r="494" customFormat="false" ht="15" hidden="false" customHeight="false" outlineLevel="0" collapsed="false">
      <c r="A494" s="7" t="n">
        <v>2022</v>
      </c>
      <c r="B494" s="12" t="s">
        <v>78</v>
      </c>
      <c r="C494" s="16" t="n">
        <v>432.778194</v>
      </c>
      <c r="D494" s="16" t="n">
        <v>432.778199</v>
      </c>
      <c r="E494" s="17" t="n">
        <f aca="false">IF(D494="","",C494-D494)</f>
        <v>-4.99999998737621E-006</v>
      </c>
      <c r="F494" s="18" t="n">
        <f aca="false">IF(OR(D494="",D494=0),"",E494/D494)</f>
        <v>-1.15532621535222E-008</v>
      </c>
      <c r="G494" s="16" t="n">
        <v>122.168455</v>
      </c>
      <c r="H494" s="16" t="n">
        <v>0</v>
      </c>
      <c r="I494" s="16" t="n">
        <v>122.168455</v>
      </c>
      <c r="J494" s="17" t="n">
        <f aca="false">IF(I494="","",G494-I494)</f>
        <v>0</v>
      </c>
      <c r="K494" s="18" t="n">
        <f aca="false">IF(OR(I494="",I494=0),"",J494/I494)</f>
        <v>0</v>
      </c>
      <c r="L494" s="19" t="str">
        <f aca="false">IF(OR(D494="",I494=""),"No reported total for O&amp;M or depreciation",IF(AND(ABS(F494)&lt;=$D$2,ABS(K494)&lt;=$D$2),"Reconciles within tolerance","Outside tolerance"))</f>
        <v>Reconciles within tolerance</v>
      </c>
      <c r="M494" s="17" t="n">
        <f aca="false">IF(OR(E494="",LEFT(L494,8)="Excluded"),"",ABS(E494))</f>
        <v>4.99999998737621E-006</v>
      </c>
    </row>
    <row r="495" customFormat="false" ht="15" hidden="false" customHeight="false" outlineLevel="0" collapsed="false">
      <c r="A495" s="7" t="n">
        <v>2023</v>
      </c>
      <c r="B495" s="12" t="s">
        <v>78</v>
      </c>
      <c r="C495" s="16" t="n">
        <v>366.169365</v>
      </c>
      <c r="D495" s="16" t="n">
        <v>366.169368</v>
      </c>
      <c r="E495" s="17" t="n">
        <f aca="false">IF(D495="","",C495-D495)</f>
        <v>-2.99999999242573E-006</v>
      </c>
      <c r="F495" s="18" t="n">
        <f aca="false">IF(OR(D495="",D495=0),"",E495/D495)</f>
        <v>-8.19292997885538E-009</v>
      </c>
      <c r="G495" s="16" t="n">
        <v>115.435472</v>
      </c>
      <c r="H495" s="16" t="n">
        <v>0</v>
      </c>
      <c r="I495" s="16" t="n">
        <v>115.435472</v>
      </c>
      <c r="J495" s="17" t="n">
        <f aca="false">IF(I495="","",G495-I495)</f>
        <v>0</v>
      </c>
      <c r="K495" s="18" t="n">
        <f aca="false">IF(OR(I495="",I495=0),"",J495/I495)</f>
        <v>0</v>
      </c>
      <c r="L495" s="19" t="str">
        <f aca="false">IF(OR(D495="",I495=""),"No reported total for O&amp;M or depreciation",IF(AND(ABS(F495)&lt;=$D$2,ABS(K495)&lt;=$D$2),"Reconciles within tolerance","Outside tolerance"))</f>
        <v>Reconciles within tolerance</v>
      </c>
      <c r="M495" s="17" t="n">
        <f aca="false">IF(OR(E495="",LEFT(L495,8)="Excluded"),"",ABS(E495))</f>
        <v>2.99999999242573E-006</v>
      </c>
    </row>
    <row r="496" customFormat="false" ht="15" hidden="false" customHeight="false" outlineLevel="0" collapsed="false">
      <c r="A496" s="7" t="n">
        <v>2024</v>
      </c>
      <c r="B496" s="12" t="s">
        <v>78</v>
      </c>
      <c r="C496" s="16" t="n">
        <v>351.778187</v>
      </c>
      <c r="D496" s="16" t="n">
        <v>351.778187</v>
      </c>
      <c r="E496" s="17" t="n">
        <f aca="false">IF(D496="","",C496-D496)</f>
        <v>0</v>
      </c>
      <c r="F496" s="18" t="n">
        <f aca="false">IF(OR(D496="",D496=0),"",E496/D496)</f>
        <v>0</v>
      </c>
      <c r="G496" s="16" t="n">
        <v>99.211731</v>
      </c>
      <c r="H496" s="16" t="n">
        <v>0</v>
      </c>
      <c r="I496" s="16" t="n">
        <v>99.211731</v>
      </c>
      <c r="J496" s="17" t="n">
        <f aca="false">IF(I496="","",G496-I496)</f>
        <v>0</v>
      </c>
      <c r="K496" s="18" t="n">
        <f aca="false">IF(OR(I496="",I496=0),"",J496/I496)</f>
        <v>0</v>
      </c>
      <c r="L496" s="19" t="str">
        <f aca="false">IF(OR(D496="",I496=""),"No reported total for O&amp;M or depreciation",IF(AND(ABS(F496)&lt;=$D$2,ABS(K496)&lt;=$D$2),"Reconciles within tolerance","Outside tolerance"))</f>
        <v>Reconciles within tolerance</v>
      </c>
      <c r="M496" s="17" t="n">
        <f aca="false">IF(OR(E496="",LEFT(L496,8)="Excluded"),"",ABS(E496))</f>
        <v>0</v>
      </c>
    </row>
    <row r="497" customFormat="false" ht="15" hidden="false" customHeight="false" outlineLevel="0" collapsed="false">
      <c r="A497" s="7" t="n">
        <v>2025</v>
      </c>
      <c r="B497" s="12" t="s">
        <v>78</v>
      </c>
      <c r="C497" s="16" t="n">
        <v>438.166713</v>
      </c>
      <c r="D497" s="16" t="n">
        <v>438.166714</v>
      </c>
      <c r="E497" s="17" t="n">
        <f aca="false">IF(D497="","",C497-D497)</f>
        <v>-9.99999997475243E-007</v>
      </c>
      <c r="F497" s="18" t="n">
        <f aca="false">IF(OR(D497="",D497=0),"",E497/D497)</f>
        <v>-2.28223633955737E-009</v>
      </c>
      <c r="G497" s="16" t="n">
        <v>121.828562</v>
      </c>
      <c r="H497" s="16" t="n">
        <v>0</v>
      </c>
      <c r="I497" s="16" t="n">
        <v>121.828562</v>
      </c>
      <c r="J497" s="17" t="n">
        <f aca="false">IF(I497="","",G497-I497)</f>
        <v>0</v>
      </c>
      <c r="K497" s="18" t="n">
        <f aca="false">IF(OR(I497="",I497=0),"",J497/I497)</f>
        <v>0</v>
      </c>
      <c r="L497" s="19" t="str">
        <f aca="false">IF(OR(D497="",I497=""),"No reported total for O&amp;M or depreciation",IF(AND(ABS(F497)&lt;=$D$2,ABS(K497)&lt;=$D$2),"Reconciles within tolerance","Outside tolerance"))</f>
        <v>Reconciles within tolerance</v>
      </c>
      <c r="M497" s="17" t="n">
        <f aca="false">IF(OR(E497="",LEFT(L497,8)="Excluded"),"",ABS(E497))</f>
        <v>9.99999997475243E-007</v>
      </c>
    </row>
    <row r="498" customFormat="false" ht="15" hidden="false" customHeight="false" outlineLevel="0" collapsed="false">
      <c r="A498" s="7" t="n">
        <v>1995</v>
      </c>
      <c r="B498" s="12" t="s">
        <v>79</v>
      </c>
      <c r="C498" s="16" t="n">
        <v>785.211238</v>
      </c>
      <c r="D498" s="16" t="n">
        <v>785.211238</v>
      </c>
      <c r="E498" s="17" t="n">
        <f aca="false">IF(D498="","",C498-D498)</f>
        <v>0</v>
      </c>
      <c r="F498" s="18" t="n">
        <f aca="false">IF(OR(D498="",D498=0),"",E498/D498)</f>
        <v>0</v>
      </c>
      <c r="G498" s="16" t="n">
        <v>164.788842</v>
      </c>
      <c r="H498" s="16" t="n">
        <v>0</v>
      </c>
      <c r="I498" s="16" t="n">
        <v>164.788842</v>
      </c>
      <c r="J498" s="17" t="n">
        <f aca="false">IF(I498="","",G498-I498)</f>
        <v>0</v>
      </c>
      <c r="K498" s="18" t="n">
        <f aca="false">IF(OR(I498="",I498=0),"",J498/I498)</f>
        <v>0</v>
      </c>
      <c r="L498" s="19" t="str">
        <f aca="false">IF(OR(D498="",I498=""),"No reported total for O&amp;M or depreciation",IF(AND(ABS(F498)&lt;=$D$2,ABS(K498)&lt;=$D$2),"Reconciles within tolerance","Outside tolerance"))</f>
        <v>Reconciles within tolerance</v>
      </c>
      <c r="M498" s="17" t="n">
        <f aca="false">IF(OR(E498="",LEFT(L498,8)="Excluded"),"",ABS(E498))</f>
        <v>0</v>
      </c>
    </row>
    <row r="499" customFormat="false" ht="15" hidden="false" customHeight="false" outlineLevel="0" collapsed="false">
      <c r="A499" s="7" t="n">
        <v>1996</v>
      </c>
      <c r="B499" s="12" t="s">
        <v>79</v>
      </c>
      <c r="C499" s="16" t="n">
        <v>758.702606</v>
      </c>
      <c r="D499" s="16" t="n">
        <v>758.702606</v>
      </c>
      <c r="E499" s="17" t="n">
        <f aca="false">IF(D499="","",C499-D499)</f>
        <v>0</v>
      </c>
      <c r="F499" s="18" t="n">
        <f aca="false">IF(OR(D499="",D499=0),"",E499/D499)</f>
        <v>0</v>
      </c>
      <c r="G499" s="16" t="n">
        <v>183.158767</v>
      </c>
      <c r="H499" s="16" t="n">
        <v>0</v>
      </c>
      <c r="I499" s="16" t="n">
        <v>183.158767</v>
      </c>
      <c r="J499" s="17" t="n">
        <f aca="false">IF(I499="","",G499-I499)</f>
        <v>0</v>
      </c>
      <c r="K499" s="18" t="n">
        <f aca="false">IF(OR(I499="",I499=0),"",J499/I499)</f>
        <v>0</v>
      </c>
      <c r="L499" s="19" t="str">
        <f aca="false">IF(OR(D499="",I499=""),"No reported total for O&amp;M or depreciation",IF(AND(ABS(F499)&lt;=$D$2,ABS(K499)&lt;=$D$2),"Reconciles within tolerance","Outside tolerance"))</f>
        <v>Reconciles within tolerance</v>
      </c>
      <c r="M499" s="17" t="n">
        <f aca="false">IF(OR(E499="",LEFT(L499,8)="Excluded"),"",ABS(E499))</f>
        <v>0</v>
      </c>
    </row>
    <row r="500" customFormat="false" ht="15" hidden="false" customHeight="false" outlineLevel="0" collapsed="false">
      <c r="A500" s="7" t="n">
        <v>1997</v>
      </c>
      <c r="B500" s="12" t="s">
        <v>79</v>
      </c>
      <c r="C500" s="16" t="n">
        <v>912.01189</v>
      </c>
      <c r="D500" s="16" t="n">
        <v>912.01189</v>
      </c>
      <c r="E500" s="17" t="n">
        <f aca="false">IF(D500="","",C500-D500)</f>
        <v>0</v>
      </c>
      <c r="F500" s="18" t="n">
        <f aca="false">IF(OR(D500="",D500=0),"",E500/D500)</f>
        <v>0</v>
      </c>
      <c r="G500" s="16" t="n">
        <v>213.784937</v>
      </c>
      <c r="H500" s="16" t="n">
        <v>0</v>
      </c>
      <c r="I500" s="16" t="n">
        <v>213.784937</v>
      </c>
      <c r="J500" s="17" t="n">
        <f aca="false">IF(I500="","",G500-I500)</f>
        <v>0</v>
      </c>
      <c r="K500" s="18" t="n">
        <f aca="false">IF(OR(I500="",I500=0),"",J500/I500)</f>
        <v>0</v>
      </c>
      <c r="L500" s="19" t="str">
        <f aca="false">IF(OR(D500="",I500=""),"No reported total for O&amp;M or depreciation",IF(AND(ABS(F500)&lt;=$D$2,ABS(K500)&lt;=$D$2),"Reconciles within tolerance","Outside tolerance"))</f>
        <v>Reconciles within tolerance</v>
      </c>
      <c r="M500" s="17" t="n">
        <f aca="false">IF(OR(E500="",LEFT(L500,8)="Excluded"),"",ABS(E500))</f>
        <v>0</v>
      </c>
    </row>
    <row r="501" customFormat="false" ht="15" hidden="false" customHeight="false" outlineLevel="0" collapsed="false">
      <c r="A501" s="7" t="n">
        <v>1998</v>
      </c>
      <c r="B501" s="12" t="s">
        <v>79</v>
      </c>
      <c r="C501" s="16" t="n">
        <v>1009.879276</v>
      </c>
      <c r="D501" s="16" t="n">
        <v>1009.879276</v>
      </c>
      <c r="E501" s="17" t="n">
        <f aca="false">IF(D501="","",C501-D501)</f>
        <v>0</v>
      </c>
      <c r="F501" s="18" t="n">
        <f aca="false">IF(OR(D501="",D501=0),"",E501/D501)</f>
        <v>0</v>
      </c>
      <c r="G501" s="16" t="n">
        <v>215.668664</v>
      </c>
      <c r="H501" s="16" t="n">
        <v>0</v>
      </c>
      <c r="I501" s="16" t="n">
        <v>215.668664</v>
      </c>
      <c r="J501" s="17" t="n">
        <f aca="false">IF(I501="","",G501-I501)</f>
        <v>0</v>
      </c>
      <c r="K501" s="18" t="n">
        <f aca="false">IF(OR(I501="",I501=0),"",J501/I501)</f>
        <v>0</v>
      </c>
      <c r="L501" s="19" t="str">
        <f aca="false">IF(OR(D501="",I501=""),"No reported total for O&amp;M or depreciation",IF(AND(ABS(F501)&lt;=$D$2,ABS(K501)&lt;=$D$2),"Reconciles within tolerance","Outside tolerance"))</f>
        <v>Reconciles within tolerance</v>
      </c>
      <c r="M501" s="17" t="n">
        <f aca="false">IF(OR(E501="",LEFT(L501,8)="Excluded"),"",ABS(E501))</f>
        <v>0</v>
      </c>
    </row>
    <row r="502" customFormat="false" ht="15" hidden="false" customHeight="false" outlineLevel="0" collapsed="false">
      <c r="A502" s="7" t="n">
        <v>1999</v>
      </c>
      <c r="B502" s="12" t="s">
        <v>79</v>
      </c>
      <c r="C502" s="16" t="n">
        <v>987.432043</v>
      </c>
      <c r="D502" s="16" t="n">
        <v>987.432043</v>
      </c>
      <c r="E502" s="17" t="n">
        <f aca="false">IF(D502="","",C502-D502)</f>
        <v>0</v>
      </c>
      <c r="F502" s="18" t="n">
        <f aca="false">IF(OR(D502="",D502=0),"",E502/D502)</f>
        <v>0</v>
      </c>
      <c r="G502" s="16" t="n">
        <v>227.568613</v>
      </c>
      <c r="H502" s="16" t="n">
        <v>0</v>
      </c>
      <c r="I502" s="16" t="n">
        <v>227.568613</v>
      </c>
      <c r="J502" s="17" t="n">
        <f aca="false">IF(I502="","",G502-I502)</f>
        <v>0</v>
      </c>
      <c r="K502" s="18" t="n">
        <f aca="false">IF(OR(I502="",I502=0),"",J502/I502)</f>
        <v>0</v>
      </c>
      <c r="L502" s="19" t="str">
        <f aca="false">IF(OR(D502="",I502=""),"No reported total for O&amp;M or depreciation",IF(AND(ABS(F502)&lt;=$D$2,ABS(K502)&lt;=$D$2),"Reconciles within tolerance","Outside tolerance"))</f>
        <v>Reconciles within tolerance</v>
      </c>
      <c r="M502" s="17" t="n">
        <f aca="false">IF(OR(E502="",LEFT(L502,8)="Excluded"),"",ABS(E502))</f>
        <v>0</v>
      </c>
    </row>
    <row r="503" customFormat="false" ht="15" hidden="false" customHeight="false" outlineLevel="0" collapsed="false">
      <c r="A503" s="7" t="n">
        <v>2000</v>
      </c>
      <c r="B503" s="12" t="s">
        <v>79</v>
      </c>
      <c r="C503" s="16" t="n">
        <v>1074.81789</v>
      </c>
      <c r="D503" s="16" t="n">
        <v>1074.81789</v>
      </c>
      <c r="E503" s="17" t="n">
        <f aca="false">IF(D503="","",C503-D503)</f>
        <v>0</v>
      </c>
      <c r="F503" s="18" t="n">
        <f aca="false">IF(OR(D503="",D503=0),"",E503/D503)</f>
        <v>0</v>
      </c>
      <c r="G503" s="16" t="n">
        <v>272.234033</v>
      </c>
      <c r="H503" s="16" t="n">
        <v>0</v>
      </c>
      <c r="I503" s="16" t="n">
        <v>272.234033</v>
      </c>
      <c r="J503" s="17" t="n">
        <f aca="false">IF(I503="","",G503-I503)</f>
        <v>0</v>
      </c>
      <c r="K503" s="18" t="n">
        <f aca="false">IF(OR(I503="",I503=0),"",J503/I503)</f>
        <v>0</v>
      </c>
      <c r="L503" s="19" t="str">
        <f aca="false">IF(OR(D503="",I503=""),"No reported total for O&amp;M or depreciation",IF(AND(ABS(F503)&lt;=$D$2,ABS(K503)&lt;=$D$2),"Reconciles within tolerance","Outside tolerance"))</f>
        <v>Reconciles within tolerance</v>
      </c>
      <c r="M503" s="17" t="n">
        <f aca="false">IF(OR(E503="",LEFT(L503,8)="Excluded"),"",ABS(E503))</f>
        <v>0</v>
      </c>
    </row>
    <row r="504" customFormat="false" ht="15" hidden="false" customHeight="false" outlineLevel="0" collapsed="false">
      <c r="A504" s="7" t="n">
        <v>2001</v>
      </c>
      <c r="B504" s="12" t="s">
        <v>79</v>
      </c>
      <c r="C504" s="16" t="n">
        <v>1083.430708</v>
      </c>
      <c r="D504" s="16" t="n">
        <v>1083.430708</v>
      </c>
      <c r="E504" s="17" t="n">
        <f aca="false">IF(D504="","",C504-D504)</f>
        <v>0</v>
      </c>
      <c r="F504" s="18" t="n">
        <f aca="false">IF(OR(D504="",D504=0),"",E504/D504)</f>
        <v>0</v>
      </c>
      <c r="G504" s="16" t="n">
        <v>236.804686</v>
      </c>
      <c r="H504" s="16" t="n">
        <v>0</v>
      </c>
      <c r="I504" s="16" t="n">
        <v>236.804686</v>
      </c>
      <c r="J504" s="17" t="n">
        <f aca="false">IF(I504="","",G504-I504)</f>
        <v>0</v>
      </c>
      <c r="K504" s="18" t="n">
        <f aca="false">IF(OR(I504="",I504=0),"",J504/I504)</f>
        <v>0</v>
      </c>
      <c r="L504" s="19" t="str">
        <f aca="false">IF(OR(D504="",I504=""),"No reported total for O&amp;M or depreciation",IF(AND(ABS(F504)&lt;=$D$2,ABS(K504)&lt;=$D$2),"Reconciles within tolerance","Outside tolerance"))</f>
        <v>Reconciles within tolerance</v>
      </c>
      <c r="M504" s="17" t="n">
        <f aca="false">IF(OR(E504="",LEFT(L504,8)="Excluded"),"",ABS(E504))</f>
        <v>0</v>
      </c>
    </row>
    <row r="505" customFormat="false" ht="15" hidden="false" customHeight="false" outlineLevel="0" collapsed="false">
      <c r="A505" s="7" t="n">
        <v>2002</v>
      </c>
      <c r="B505" s="12" t="s">
        <v>79</v>
      </c>
      <c r="C505" s="16" t="n">
        <v>1118.824617</v>
      </c>
      <c r="D505" s="16" t="n">
        <v>1118.824617</v>
      </c>
      <c r="E505" s="17" t="n">
        <f aca="false">IF(D505="","",C505-D505)</f>
        <v>0</v>
      </c>
      <c r="F505" s="18" t="n">
        <f aca="false">IF(OR(D505="",D505=0),"",E505/D505)</f>
        <v>0</v>
      </c>
      <c r="G505" s="16" t="n">
        <v>232.177156</v>
      </c>
      <c r="H505" s="16" t="n">
        <v>0</v>
      </c>
      <c r="I505" s="16" t="n">
        <v>232.177156</v>
      </c>
      <c r="J505" s="17" t="n">
        <f aca="false">IF(I505="","",G505-I505)</f>
        <v>0</v>
      </c>
      <c r="K505" s="18" t="n">
        <f aca="false">IF(OR(I505="",I505=0),"",J505/I505)</f>
        <v>0</v>
      </c>
      <c r="L505" s="19" t="str">
        <f aca="false">IF(OR(D505="",I505=""),"No reported total for O&amp;M or depreciation",IF(AND(ABS(F505)&lt;=$D$2,ABS(K505)&lt;=$D$2),"Reconciles within tolerance","Outside tolerance"))</f>
        <v>Reconciles within tolerance</v>
      </c>
      <c r="M505" s="17" t="n">
        <f aca="false">IF(OR(E505="",LEFT(L505,8)="Excluded"),"",ABS(E505))</f>
        <v>0</v>
      </c>
    </row>
    <row r="506" customFormat="false" ht="15" hidden="false" customHeight="false" outlineLevel="0" collapsed="false">
      <c r="A506" s="7" t="n">
        <v>2003</v>
      </c>
      <c r="B506" s="12" t="s">
        <v>79</v>
      </c>
      <c r="C506" s="16" t="n">
        <v>1245.805242</v>
      </c>
      <c r="D506" s="16" t="n">
        <v>1245.805242</v>
      </c>
      <c r="E506" s="17" t="n">
        <f aca="false">IF(D506="","",C506-D506)</f>
        <v>0</v>
      </c>
      <c r="F506" s="18" t="n">
        <f aca="false">IF(OR(D506="",D506=0),"",E506/D506)</f>
        <v>0</v>
      </c>
      <c r="G506" s="16" t="n">
        <v>239.960266</v>
      </c>
      <c r="H506" s="16" t="n">
        <v>0</v>
      </c>
      <c r="I506" s="16" t="n">
        <v>239.960266</v>
      </c>
      <c r="J506" s="17" t="n">
        <f aca="false">IF(I506="","",G506-I506)</f>
        <v>0</v>
      </c>
      <c r="K506" s="18" t="n">
        <f aca="false">IF(OR(I506="",I506=0),"",J506/I506)</f>
        <v>0</v>
      </c>
      <c r="L506" s="19" t="str">
        <f aca="false">IF(OR(D506="",I506=""),"No reported total for O&amp;M or depreciation",IF(AND(ABS(F506)&lt;=$D$2,ABS(K506)&lt;=$D$2),"Reconciles within tolerance","Outside tolerance"))</f>
        <v>Reconciles within tolerance</v>
      </c>
      <c r="M506" s="17" t="n">
        <f aca="false">IF(OR(E506="",LEFT(L506,8)="Excluded"),"",ABS(E506))</f>
        <v>0</v>
      </c>
    </row>
    <row r="507" customFormat="false" ht="15" hidden="false" customHeight="false" outlineLevel="0" collapsed="false">
      <c r="A507" s="7" t="n">
        <v>2004</v>
      </c>
      <c r="B507" s="12" t="s">
        <v>79</v>
      </c>
      <c r="C507" s="16" t="n">
        <v>1321.680455</v>
      </c>
      <c r="D507" s="16" t="n">
        <v>1321.680455</v>
      </c>
      <c r="E507" s="17" t="n">
        <f aca="false">IF(D507="","",C507-D507)</f>
        <v>0</v>
      </c>
      <c r="F507" s="18" t="n">
        <f aca="false">IF(OR(D507="",D507=0),"",E507/D507)</f>
        <v>0</v>
      </c>
      <c r="G507" s="16" t="n">
        <v>262.347866</v>
      </c>
      <c r="H507" s="16" t="n">
        <v>0</v>
      </c>
      <c r="I507" s="16" t="n">
        <v>262.347866</v>
      </c>
      <c r="J507" s="17" t="n">
        <f aca="false">IF(I507="","",G507-I507)</f>
        <v>0</v>
      </c>
      <c r="K507" s="18" t="n">
        <f aca="false">IF(OR(I507="",I507=0),"",J507/I507)</f>
        <v>0</v>
      </c>
      <c r="L507" s="19" t="str">
        <f aca="false">IF(OR(D507="",I507=""),"No reported total for O&amp;M or depreciation",IF(AND(ABS(F507)&lt;=$D$2,ABS(K507)&lt;=$D$2),"Reconciles within tolerance","Outside tolerance"))</f>
        <v>Reconciles within tolerance</v>
      </c>
      <c r="M507" s="17" t="n">
        <f aca="false">IF(OR(E507="",LEFT(L507,8)="Excluded"),"",ABS(E507))</f>
        <v>0</v>
      </c>
    </row>
    <row r="508" customFormat="false" ht="15" hidden="false" customHeight="false" outlineLevel="0" collapsed="false">
      <c r="A508" s="7" t="n">
        <v>2005</v>
      </c>
      <c r="B508" s="12" t="s">
        <v>79</v>
      </c>
      <c r="C508" s="16" t="n">
        <v>1552.154361</v>
      </c>
      <c r="D508" s="16" t="n">
        <v>1552.154361</v>
      </c>
      <c r="E508" s="17" t="n">
        <f aca="false">IF(D508="","",C508-D508)</f>
        <v>0</v>
      </c>
      <c r="F508" s="18" t="n">
        <f aca="false">IF(OR(D508="",D508=0),"",E508/D508)</f>
        <v>0</v>
      </c>
      <c r="G508" s="16" t="n">
        <v>256.159172</v>
      </c>
      <c r="H508" s="16" t="n">
        <v>0</v>
      </c>
      <c r="I508" s="16" t="n">
        <v>256.159172</v>
      </c>
      <c r="J508" s="17" t="n">
        <f aca="false">IF(I508="","",G508-I508)</f>
        <v>0</v>
      </c>
      <c r="K508" s="18" t="n">
        <f aca="false">IF(OR(I508="",I508=0),"",J508/I508)</f>
        <v>0</v>
      </c>
      <c r="L508" s="19" t="str">
        <f aca="false">IF(OR(D508="",I508=""),"No reported total for O&amp;M or depreciation",IF(AND(ABS(F508)&lt;=$D$2,ABS(K508)&lt;=$D$2),"Reconciles within tolerance","Outside tolerance"))</f>
        <v>Reconciles within tolerance</v>
      </c>
      <c r="M508" s="17" t="n">
        <f aca="false">IF(OR(E508="",LEFT(L508,8)="Excluded"),"",ABS(E508))</f>
        <v>0</v>
      </c>
    </row>
    <row r="509" customFormat="false" ht="15" hidden="false" customHeight="false" outlineLevel="0" collapsed="false">
      <c r="A509" s="7" t="n">
        <v>2006</v>
      </c>
      <c r="B509" s="12" t="s">
        <v>79</v>
      </c>
      <c r="C509" s="16" t="n">
        <v>1788.900064</v>
      </c>
      <c r="D509" s="16" t="n">
        <v>1788.900064</v>
      </c>
      <c r="E509" s="17" t="n">
        <f aca="false">IF(D509="","",C509-D509)</f>
        <v>0</v>
      </c>
      <c r="F509" s="18" t="n">
        <f aca="false">IF(OR(D509="",D509=0),"",E509/D509)</f>
        <v>0</v>
      </c>
      <c r="G509" s="16" t="n">
        <v>254.528129</v>
      </c>
      <c r="H509" s="16" t="n">
        <v>0</v>
      </c>
      <c r="I509" s="16" t="n">
        <v>254.528129</v>
      </c>
      <c r="J509" s="17" t="n">
        <f aca="false">IF(I509="","",G509-I509)</f>
        <v>0</v>
      </c>
      <c r="K509" s="18" t="n">
        <f aca="false">IF(OR(I509="",I509=0),"",J509/I509)</f>
        <v>0</v>
      </c>
      <c r="L509" s="19" t="str">
        <f aca="false">IF(OR(D509="",I509=""),"No reported total for O&amp;M or depreciation",IF(AND(ABS(F509)&lt;=$D$2,ABS(K509)&lt;=$D$2),"Reconciles within tolerance","Outside tolerance"))</f>
        <v>Reconciles within tolerance</v>
      </c>
      <c r="M509" s="17" t="n">
        <f aca="false">IF(OR(E509="",LEFT(L509,8)="Excluded"),"",ABS(E509))</f>
        <v>0</v>
      </c>
    </row>
    <row r="510" customFormat="false" ht="15" hidden="false" customHeight="false" outlineLevel="0" collapsed="false">
      <c r="A510" s="7" t="n">
        <v>2007</v>
      </c>
      <c r="B510" s="12" t="s">
        <v>79</v>
      </c>
      <c r="C510" s="16" t="n">
        <v>1957.092993</v>
      </c>
      <c r="D510" s="16" t="n">
        <v>1957.092993</v>
      </c>
      <c r="E510" s="17" t="n">
        <f aca="false">IF(D510="","",C510-D510)</f>
        <v>0</v>
      </c>
      <c r="F510" s="18" t="n">
        <f aca="false">IF(OR(D510="",D510=0),"",E510/D510)</f>
        <v>0</v>
      </c>
      <c r="G510" s="16" t="n">
        <v>486.157094</v>
      </c>
      <c r="H510" s="16" t="n">
        <v>0</v>
      </c>
      <c r="I510" s="16" t="n">
        <v>486.157094</v>
      </c>
      <c r="J510" s="17" t="n">
        <f aca="false">IF(I510="","",G510-I510)</f>
        <v>0</v>
      </c>
      <c r="K510" s="18" t="n">
        <f aca="false">IF(OR(I510="",I510=0),"",J510/I510)</f>
        <v>0</v>
      </c>
      <c r="L510" s="19" t="str">
        <f aca="false">IF(OR(D510="",I510=""),"No reported total for O&amp;M or depreciation",IF(AND(ABS(F510)&lt;=$D$2,ABS(K510)&lt;=$D$2),"Reconciles within tolerance","Outside tolerance"))</f>
        <v>Reconciles within tolerance</v>
      </c>
      <c r="M510" s="17" t="n">
        <f aca="false">IF(OR(E510="",LEFT(L510,8)="Excluded"),"",ABS(E510))</f>
        <v>0</v>
      </c>
    </row>
    <row r="511" customFormat="false" ht="15" hidden="false" customHeight="false" outlineLevel="0" collapsed="false">
      <c r="A511" s="7" t="n">
        <v>2008</v>
      </c>
      <c r="B511" s="12" t="s">
        <v>79</v>
      </c>
      <c r="C511" s="16" t="n">
        <v>2449.654946</v>
      </c>
      <c r="D511" s="16" t="n">
        <v>2449.654946</v>
      </c>
      <c r="E511" s="17" t="n">
        <f aca="false">IF(D511="","",C511-D511)</f>
        <v>0</v>
      </c>
      <c r="F511" s="18" t="n">
        <f aca="false">IF(OR(D511="",D511=0),"",E511/D511)</f>
        <v>0</v>
      </c>
      <c r="G511" s="16" t="n">
        <v>215.579749</v>
      </c>
      <c r="H511" s="16" t="n">
        <v>0</v>
      </c>
      <c r="I511" s="16" t="n">
        <v>215.579749</v>
      </c>
      <c r="J511" s="17" t="n">
        <f aca="false">IF(I511="","",G511-I511)</f>
        <v>0</v>
      </c>
      <c r="K511" s="18" t="n">
        <f aca="false">IF(OR(I511="",I511=0),"",J511/I511)</f>
        <v>0</v>
      </c>
      <c r="L511" s="19" t="str">
        <f aca="false">IF(OR(D511="",I511=""),"No reported total for O&amp;M or depreciation",IF(AND(ABS(F511)&lt;=$D$2,ABS(K511)&lt;=$D$2),"Reconciles within tolerance","Outside tolerance"))</f>
        <v>Reconciles within tolerance</v>
      </c>
      <c r="M511" s="17" t="n">
        <f aca="false">IF(OR(E511="",LEFT(L511,8)="Excluded"),"",ABS(E511))</f>
        <v>0</v>
      </c>
    </row>
    <row r="512" customFormat="false" ht="15" hidden="false" customHeight="false" outlineLevel="0" collapsed="false">
      <c r="A512" s="7" t="n">
        <v>2009</v>
      </c>
      <c r="B512" s="12" t="s">
        <v>79</v>
      </c>
      <c r="C512" s="16" t="n">
        <v>2194.528594</v>
      </c>
      <c r="D512" s="16" t="n">
        <v>2194.528594</v>
      </c>
      <c r="E512" s="17" t="n">
        <f aca="false">IF(D512="","",C512-D512)</f>
        <v>0</v>
      </c>
      <c r="F512" s="18" t="n">
        <f aca="false">IF(OR(D512="",D512=0),"",E512/D512)</f>
        <v>0</v>
      </c>
      <c r="G512" s="16" t="n">
        <v>221.622834</v>
      </c>
      <c r="H512" s="16" t="n">
        <v>0</v>
      </c>
      <c r="I512" s="16" t="n">
        <v>221.622834</v>
      </c>
      <c r="J512" s="17" t="n">
        <f aca="false">IF(I512="","",G512-I512)</f>
        <v>0</v>
      </c>
      <c r="K512" s="18" t="n">
        <f aca="false">IF(OR(I512="",I512=0),"",J512/I512)</f>
        <v>0</v>
      </c>
      <c r="L512" s="19" t="str">
        <f aca="false">IF(OR(D512="",I512=""),"No reported total for O&amp;M or depreciation",IF(AND(ABS(F512)&lt;=$D$2,ABS(K512)&lt;=$D$2),"Reconciles within tolerance","Outside tolerance"))</f>
        <v>Reconciles within tolerance</v>
      </c>
      <c r="M512" s="17" t="n">
        <f aca="false">IF(OR(E512="",LEFT(L512,8)="Excluded"),"",ABS(E512))</f>
        <v>0</v>
      </c>
    </row>
    <row r="513" customFormat="false" ht="15" hidden="false" customHeight="false" outlineLevel="0" collapsed="false">
      <c r="A513" s="7" t="n">
        <v>2010</v>
      </c>
      <c r="B513" s="12" t="s">
        <v>79</v>
      </c>
      <c r="C513" s="16" t="n">
        <v>2432.106903</v>
      </c>
      <c r="D513" s="16" t="n">
        <v>2432.106903</v>
      </c>
      <c r="E513" s="17" t="n">
        <f aca="false">IF(D513="","",C513-D513)</f>
        <v>0</v>
      </c>
      <c r="F513" s="18" t="n">
        <f aca="false">IF(OR(D513="",D513=0),"",E513/D513)</f>
        <v>0</v>
      </c>
      <c r="G513" s="16" t="n">
        <v>183.693005</v>
      </c>
      <c r="H513" s="16" t="n">
        <v>0</v>
      </c>
      <c r="I513" s="16" t="n">
        <v>183.693005</v>
      </c>
      <c r="J513" s="17" t="n">
        <f aca="false">IF(I513="","",G513-I513)</f>
        <v>0</v>
      </c>
      <c r="K513" s="18" t="n">
        <f aca="false">IF(OR(I513="",I513=0),"",J513/I513)</f>
        <v>0</v>
      </c>
      <c r="L513" s="19" t="str">
        <f aca="false">IF(OR(D513="",I513=""),"No reported total for O&amp;M or depreciation",IF(AND(ABS(F513)&lt;=$D$2,ABS(K513)&lt;=$D$2),"Reconciles within tolerance","Outside tolerance"))</f>
        <v>Reconciles within tolerance</v>
      </c>
      <c r="M513" s="17" t="n">
        <f aca="false">IF(OR(E513="",LEFT(L513,8)="Excluded"),"",ABS(E513))</f>
        <v>0</v>
      </c>
    </row>
    <row r="514" customFormat="false" ht="15" hidden="false" customHeight="false" outlineLevel="0" collapsed="false">
      <c r="A514" s="7" t="n">
        <v>2011</v>
      </c>
      <c r="B514" s="12" t="s">
        <v>79</v>
      </c>
      <c r="C514" s="16" t="n">
        <v>2501.74549</v>
      </c>
      <c r="D514" s="16" t="n">
        <v>2501.74549</v>
      </c>
      <c r="E514" s="17" t="n">
        <f aca="false">IF(D514="","",C514-D514)</f>
        <v>0</v>
      </c>
      <c r="F514" s="18" t="n">
        <f aca="false">IF(OR(D514="",D514=0),"",E514/D514)</f>
        <v>0</v>
      </c>
      <c r="G514" s="16" t="n">
        <v>186.91724</v>
      </c>
      <c r="H514" s="16" t="n">
        <v>0</v>
      </c>
      <c r="I514" s="16" t="n">
        <v>186.91724</v>
      </c>
      <c r="J514" s="17" t="n">
        <f aca="false">IF(I514="","",G514-I514)</f>
        <v>0</v>
      </c>
      <c r="K514" s="18" t="n">
        <f aca="false">IF(OR(I514="",I514=0),"",J514/I514)</f>
        <v>0</v>
      </c>
      <c r="L514" s="19" t="str">
        <f aca="false">IF(OR(D514="",I514=""),"No reported total for O&amp;M or depreciation",IF(AND(ABS(F514)&lt;=$D$2,ABS(K514)&lt;=$D$2),"Reconciles within tolerance","Outside tolerance"))</f>
        <v>Reconciles within tolerance</v>
      </c>
      <c r="M514" s="17" t="n">
        <f aca="false">IF(OR(E514="",LEFT(L514,8)="Excluded"),"",ABS(E514))</f>
        <v>0</v>
      </c>
    </row>
    <row r="515" customFormat="false" ht="15" hidden="false" customHeight="false" outlineLevel="0" collapsed="false">
      <c r="A515" s="7" t="n">
        <v>2012</v>
      </c>
      <c r="B515" s="12" t="s">
        <v>79</v>
      </c>
      <c r="C515" s="16" t="n">
        <v>2316.109367</v>
      </c>
      <c r="D515" s="16" t="n">
        <v>2316.109367</v>
      </c>
      <c r="E515" s="17" t="n">
        <f aca="false">IF(D515="","",C515-D515)</f>
        <v>0</v>
      </c>
      <c r="F515" s="18" t="n">
        <f aca="false">IF(OR(D515="",D515=0),"",E515/D515)</f>
        <v>0</v>
      </c>
      <c r="G515" s="16" t="n">
        <v>227.007571</v>
      </c>
      <c r="H515" s="16" t="n">
        <v>0</v>
      </c>
      <c r="I515" s="16" t="n">
        <v>227.007571</v>
      </c>
      <c r="J515" s="17" t="n">
        <f aca="false">IF(I515="","",G515-I515)</f>
        <v>0</v>
      </c>
      <c r="K515" s="18" t="n">
        <f aca="false">IF(OR(I515="",I515=0),"",J515/I515)</f>
        <v>0</v>
      </c>
      <c r="L515" s="19" t="str">
        <f aca="false">IF(OR(D515="",I515=""),"No reported total for O&amp;M or depreciation",IF(AND(ABS(F515)&lt;=$D$2,ABS(K515)&lt;=$D$2),"Reconciles within tolerance","Outside tolerance"))</f>
        <v>Reconciles within tolerance</v>
      </c>
      <c r="M515" s="17" t="n">
        <f aca="false">IF(OR(E515="",LEFT(L515,8)="Excluded"),"",ABS(E515))</f>
        <v>0</v>
      </c>
    </row>
    <row r="516" customFormat="false" ht="15" hidden="false" customHeight="false" outlineLevel="0" collapsed="false">
      <c r="A516" s="7" t="n">
        <v>2013</v>
      </c>
      <c r="B516" s="12" t="s">
        <v>79</v>
      </c>
      <c r="C516" s="16" t="n">
        <v>2449.254652</v>
      </c>
      <c r="D516" s="16" t="n">
        <v>2449.254652</v>
      </c>
      <c r="E516" s="17" t="n">
        <f aca="false">IF(D516="","",C516-D516)</f>
        <v>0</v>
      </c>
      <c r="F516" s="18" t="n">
        <f aca="false">IF(OR(D516="",D516=0),"",E516/D516)</f>
        <v>0</v>
      </c>
      <c r="G516" s="16" t="n">
        <v>247.162866</v>
      </c>
      <c r="H516" s="16" t="n">
        <v>0</v>
      </c>
      <c r="I516" s="16" t="n">
        <v>247.162866</v>
      </c>
      <c r="J516" s="17" t="n">
        <f aca="false">IF(I516="","",G516-I516)</f>
        <v>0</v>
      </c>
      <c r="K516" s="18" t="n">
        <f aca="false">IF(OR(I516="",I516=0),"",J516/I516)</f>
        <v>0</v>
      </c>
      <c r="L516" s="19" t="str">
        <f aca="false">IF(OR(D516="",I516=""),"No reported total for O&amp;M or depreciation",IF(AND(ABS(F516)&lt;=$D$2,ABS(K516)&lt;=$D$2),"Reconciles within tolerance","Outside tolerance"))</f>
        <v>Reconciles within tolerance</v>
      </c>
      <c r="M516" s="17" t="n">
        <f aca="false">IF(OR(E516="",LEFT(L516,8)="Excluded"),"",ABS(E516))</f>
        <v>0</v>
      </c>
    </row>
    <row r="517" customFormat="false" ht="15" hidden="false" customHeight="false" outlineLevel="0" collapsed="false">
      <c r="A517" s="7" t="n">
        <v>2014</v>
      </c>
      <c r="B517" s="12" t="s">
        <v>79</v>
      </c>
      <c r="C517" s="16" t="n">
        <v>2475.14969</v>
      </c>
      <c r="D517" s="16" t="n">
        <v>2475.14969</v>
      </c>
      <c r="E517" s="17" t="n">
        <f aca="false">IF(D517="","",C517-D517)</f>
        <v>0</v>
      </c>
      <c r="F517" s="18" t="n">
        <f aca="false">IF(OR(D517="",D517=0),"",E517/D517)</f>
        <v>0</v>
      </c>
      <c r="G517" s="16" t="n">
        <v>258.571836</v>
      </c>
      <c r="H517" s="16" t="n">
        <v>0</v>
      </c>
      <c r="I517" s="16" t="n">
        <v>258.571836</v>
      </c>
      <c r="J517" s="17" t="n">
        <f aca="false">IF(I517="","",G517-I517)</f>
        <v>0</v>
      </c>
      <c r="K517" s="18" t="n">
        <f aca="false">IF(OR(I517="",I517=0),"",J517/I517)</f>
        <v>0</v>
      </c>
      <c r="L517" s="19" t="str">
        <f aca="false">IF(OR(D517="",I517=""),"No reported total for O&amp;M or depreciation",IF(AND(ABS(F517)&lt;=$D$2,ABS(K517)&lt;=$D$2),"Reconciles within tolerance","Outside tolerance"))</f>
        <v>Reconciles within tolerance</v>
      </c>
      <c r="M517" s="17" t="n">
        <f aca="false">IF(OR(E517="",LEFT(L517,8)="Excluded"),"",ABS(E517))</f>
        <v>0</v>
      </c>
    </row>
    <row r="518" customFormat="false" ht="15" hidden="false" customHeight="false" outlineLevel="0" collapsed="false">
      <c r="A518" s="7" t="n">
        <v>2015</v>
      </c>
      <c r="B518" s="12" t="s">
        <v>79</v>
      </c>
      <c r="C518" s="16" t="n">
        <v>2434.590118</v>
      </c>
      <c r="D518" s="16" t="n">
        <v>2434.590118</v>
      </c>
      <c r="E518" s="17" t="n">
        <f aca="false">IF(D518="","",C518-D518)</f>
        <v>0</v>
      </c>
      <c r="F518" s="18" t="n">
        <f aca="false">IF(OR(D518="",D518=0),"",E518/D518)</f>
        <v>0</v>
      </c>
      <c r="G518" s="16" t="n">
        <v>277.645192</v>
      </c>
      <c r="H518" s="16" t="n">
        <v>0</v>
      </c>
      <c r="I518" s="16" t="n">
        <v>277.645192</v>
      </c>
      <c r="J518" s="17" t="n">
        <f aca="false">IF(I518="","",G518-I518)</f>
        <v>0</v>
      </c>
      <c r="K518" s="18" t="n">
        <f aca="false">IF(OR(I518="",I518=0),"",J518/I518)</f>
        <v>0</v>
      </c>
      <c r="L518" s="19" t="str">
        <f aca="false">IF(OR(D518="",I518=""),"No reported total for O&amp;M or depreciation",IF(AND(ABS(F518)&lt;=$D$2,ABS(K518)&lt;=$D$2),"Reconciles within tolerance","Outside tolerance"))</f>
        <v>Reconciles within tolerance</v>
      </c>
      <c r="M518" s="17" t="n">
        <f aca="false">IF(OR(E518="",LEFT(L518,8)="Excluded"),"",ABS(E518))</f>
        <v>0</v>
      </c>
    </row>
    <row r="519" customFormat="false" ht="15" hidden="false" customHeight="false" outlineLevel="0" collapsed="false">
      <c r="A519" s="7" t="n">
        <v>2016</v>
      </c>
      <c r="B519" s="12" t="s">
        <v>79</v>
      </c>
      <c r="C519" s="16" t="n">
        <v>2399.954657</v>
      </c>
      <c r="D519" s="16" t="n">
        <v>2399.954657</v>
      </c>
      <c r="E519" s="17" t="n">
        <f aca="false">IF(D519="","",C519-D519)</f>
        <v>0</v>
      </c>
      <c r="F519" s="18" t="n">
        <f aca="false">IF(OR(D519="",D519=0),"",E519/D519)</f>
        <v>0</v>
      </c>
      <c r="G519" s="16" t="n">
        <v>290.642422</v>
      </c>
      <c r="H519" s="16" t="n">
        <v>0</v>
      </c>
      <c r="I519" s="16" t="n">
        <v>290.642422</v>
      </c>
      <c r="J519" s="17" t="n">
        <f aca="false">IF(I519="","",G519-I519)</f>
        <v>0</v>
      </c>
      <c r="K519" s="18" t="n">
        <f aca="false">IF(OR(I519="",I519=0),"",J519/I519)</f>
        <v>0</v>
      </c>
      <c r="L519" s="19" t="str">
        <f aca="false">IF(OR(D519="",I519=""),"No reported total for O&amp;M or depreciation",IF(AND(ABS(F519)&lt;=$D$2,ABS(K519)&lt;=$D$2),"Reconciles within tolerance","Outside tolerance"))</f>
        <v>Reconciles within tolerance</v>
      </c>
      <c r="M519" s="17" t="n">
        <f aca="false">IF(OR(E519="",LEFT(L519,8)="Excluded"),"",ABS(E519))</f>
        <v>0</v>
      </c>
    </row>
    <row r="520" customFormat="false" ht="15" hidden="false" customHeight="false" outlineLevel="0" collapsed="false">
      <c r="A520" s="7" t="n">
        <v>2017</v>
      </c>
      <c r="B520" s="12" t="s">
        <v>79</v>
      </c>
      <c r="C520" s="16" t="n">
        <v>2315.787924</v>
      </c>
      <c r="D520" s="16" t="n">
        <v>2315.787924</v>
      </c>
      <c r="E520" s="17" t="n">
        <f aca="false">IF(D520="","",C520-D520)</f>
        <v>0</v>
      </c>
      <c r="F520" s="18" t="n">
        <f aca="false">IF(OR(D520="",D520=0),"",E520/D520)</f>
        <v>0</v>
      </c>
      <c r="G520" s="16" t="n">
        <v>293.950967</v>
      </c>
      <c r="H520" s="16" t="n">
        <v>0</v>
      </c>
      <c r="I520" s="16" t="n">
        <v>293.950967</v>
      </c>
      <c r="J520" s="17" t="n">
        <f aca="false">IF(I520="","",G520-I520)</f>
        <v>0</v>
      </c>
      <c r="K520" s="18" t="n">
        <f aca="false">IF(OR(I520="",I520=0),"",J520/I520)</f>
        <v>0</v>
      </c>
      <c r="L520" s="19" t="str">
        <f aca="false">IF(OR(D520="",I520=""),"No reported total for O&amp;M or depreciation",IF(AND(ABS(F520)&lt;=$D$2,ABS(K520)&lt;=$D$2),"Reconciles within tolerance","Outside tolerance"))</f>
        <v>Reconciles within tolerance</v>
      </c>
      <c r="M520" s="17" t="n">
        <f aca="false">IF(OR(E520="",LEFT(L520,8)="Excluded"),"",ABS(E520))</f>
        <v>0</v>
      </c>
    </row>
    <row r="521" customFormat="false" ht="15" hidden="false" customHeight="false" outlineLevel="0" collapsed="false">
      <c r="A521" s="7" t="n">
        <v>2018</v>
      </c>
      <c r="B521" s="12" t="s">
        <v>79</v>
      </c>
      <c r="C521" s="16" t="n">
        <v>2419.965651</v>
      </c>
      <c r="D521" s="16" t="n">
        <v>2419.965651</v>
      </c>
      <c r="E521" s="17" t="n">
        <f aca="false">IF(D521="","",C521-D521)</f>
        <v>0</v>
      </c>
      <c r="F521" s="18" t="n">
        <f aca="false">IF(OR(D521="",D521=0),"",E521/D521)</f>
        <v>0</v>
      </c>
      <c r="G521" s="16" t="n">
        <v>310.564617</v>
      </c>
      <c r="H521" s="16" t="n">
        <v>0</v>
      </c>
      <c r="I521" s="16" t="n">
        <v>310.564617</v>
      </c>
      <c r="J521" s="17" t="n">
        <f aca="false">IF(I521="","",G521-I521)</f>
        <v>0</v>
      </c>
      <c r="K521" s="18" t="n">
        <f aca="false">IF(OR(I521="",I521=0),"",J521/I521)</f>
        <v>0</v>
      </c>
      <c r="L521" s="19" t="str">
        <f aca="false">IF(OR(D521="",I521=""),"No reported total for O&amp;M or depreciation",IF(AND(ABS(F521)&lt;=$D$2,ABS(K521)&lt;=$D$2),"Reconciles within tolerance","Outside tolerance"))</f>
        <v>Reconciles within tolerance</v>
      </c>
      <c r="M521" s="17" t="n">
        <f aca="false">IF(OR(E521="",LEFT(L521,8)="Excluded"),"",ABS(E521))</f>
        <v>0</v>
      </c>
    </row>
    <row r="522" customFormat="false" ht="15" hidden="false" customHeight="false" outlineLevel="0" collapsed="false">
      <c r="A522" s="7" t="n">
        <v>2019</v>
      </c>
      <c r="B522" s="12" t="s">
        <v>79</v>
      </c>
      <c r="C522" s="16" t="n">
        <v>2278.873992</v>
      </c>
      <c r="D522" s="16" t="n">
        <v>2278.873992</v>
      </c>
      <c r="E522" s="17" t="n">
        <f aca="false">IF(D522="","",C522-D522)</f>
        <v>0</v>
      </c>
      <c r="F522" s="18" t="n">
        <f aca="false">IF(OR(D522="",D522=0),"",E522/D522)</f>
        <v>0</v>
      </c>
      <c r="G522" s="16" t="n">
        <v>284.920295</v>
      </c>
      <c r="H522" s="16" t="n">
        <v>0</v>
      </c>
      <c r="I522" s="16" t="n">
        <v>284.920295</v>
      </c>
      <c r="J522" s="17" t="n">
        <f aca="false">IF(I522="","",G522-I522)</f>
        <v>0</v>
      </c>
      <c r="K522" s="18" t="n">
        <f aca="false">IF(OR(I522="",I522=0),"",J522/I522)</f>
        <v>0</v>
      </c>
      <c r="L522" s="19" t="str">
        <f aca="false">IF(OR(D522="",I522=""),"No reported total for O&amp;M or depreciation",IF(AND(ABS(F522)&lt;=$D$2,ABS(K522)&lt;=$D$2),"Reconciles within tolerance","Outside tolerance"))</f>
        <v>Reconciles within tolerance</v>
      </c>
      <c r="M522" s="17" t="n">
        <f aca="false">IF(OR(E522="",LEFT(L522,8)="Excluded"),"",ABS(E522))</f>
        <v>0</v>
      </c>
    </row>
    <row r="523" customFormat="false" ht="15" hidden="false" customHeight="false" outlineLevel="0" collapsed="false">
      <c r="A523" s="7" t="n">
        <v>2020</v>
      </c>
      <c r="B523" s="12" t="s">
        <v>79</v>
      </c>
      <c r="C523" s="16" t="n">
        <v>2116.370358</v>
      </c>
      <c r="D523" s="16" t="n">
        <v>2116.370358</v>
      </c>
      <c r="E523" s="17" t="n">
        <f aca="false">IF(D523="","",C523-D523)</f>
        <v>0</v>
      </c>
      <c r="F523" s="18" t="n">
        <f aca="false">IF(OR(D523="",D523=0),"",E523/D523)</f>
        <v>0</v>
      </c>
      <c r="G523" s="16" t="n">
        <v>292.203668</v>
      </c>
      <c r="H523" s="16" t="n">
        <v>0</v>
      </c>
      <c r="I523" s="16" t="n">
        <v>292.203668</v>
      </c>
      <c r="J523" s="17" t="n">
        <f aca="false">IF(I523="","",G523-I523)</f>
        <v>0</v>
      </c>
      <c r="K523" s="18" t="n">
        <f aca="false">IF(OR(I523="",I523=0),"",J523/I523)</f>
        <v>0</v>
      </c>
      <c r="L523" s="19" t="str">
        <f aca="false">IF(OR(D523="",I523=""),"No reported total for O&amp;M or depreciation",IF(AND(ABS(F523)&lt;=$D$2,ABS(K523)&lt;=$D$2),"Reconciles within tolerance","Outside tolerance"))</f>
        <v>Reconciles within tolerance</v>
      </c>
      <c r="M523" s="17" t="n">
        <f aca="false">IF(OR(E523="",LEFT(L523,8)="Excluded"),"",ABS(E523))</f>
        <v>0</v>
      </c>
    </row>
    <row r="524" customFormat="false" ht="15" hidden="false" customHeight="false" outlineLevel="0" collapsed="false">
      <c r="A524" s="7" t="n">
        <v>2021</v>
      </c>
      <c r="B524" s="12" t="s">
        <v>79</v>
      </c>
      <c r="C524" s="16" t="n">
        <v>2245.478766</v>
      </c>
      <c r="D524" s="16" t="n">
        <v>2245.478766</v>
      </c>
      <c r="E524" s="17" t="n">
        <f aca="false">IF(D524="","",C524-D524)</f>
        <v>0</v>
      </c>
      <c r="F524" s="18" t="n">
        <f aca="false">IF(OR(D524="",D524=0),"",E524/D524)</f>
        <v>0</v>
      </c>
      <c r="G524" s="16" t="n">
        <v>304.969602</v>
      </c>
      <c r="H524" s="16" t="n">
        <v>0</v>
      </c>
      <c r="I524" s="16" t="n">
        <v>304.969602</v>
      </c>
      <c r="J524" s="17" t="n">
        <f aca="false">IF(I524="","",G524-I524)</f>
        <v>0</v>
      </c>
      <c r="K524" s="18" t="n">
        <f aca="false">IF(OR(I524="",I524=0),"",J524/I524)</f>
        <v>0</v>
      </c>
      <c r="L524" s="19" t="str">
        <f aca="false">IF(OR(D524="",I524=""),"No reported total for O&amp;M or depreciation",IF(AND(ABS(F524)&lt;=$D$2,ABS(K524)&lt;=$D$2),"Reconciles within tolerance","Outside tolerance"))</f>
        <v>Reconciles within tolerance</v>
      </c>
      <c r="M524" s="17" t="n">
        <f aca="false">IF(OR(E524="",LEFT(L524,8)="Excluded"),"",ABS(E524))</f>
        <v>0</v>
      </c>
    </row>
    <row r="525" customFormat="false" ht="15" hidden="false" customHeight="false" outlineLevel="0" collapsed="false">
      <c r="A525" s="7" t="n">
        <v>2022</v>
      </c>
      <c r="B525" s="12" t="s">
        <v>79</v>
      </c>
      <c r="C525" s="16" t="n">
        <v>2421.716838</v>
      </c>
      <c r="D525" s="16" t="n">
        <v>2421.716838</v>
      </c>
      <c r="E525" s="17" t="n">
        <f aca="false">IF(D525="","",C525-D525)</f>
        <v>0</v>
      </c>
      <c r="F525" s="18" t="n">
        <f aca="false">IF(OR(D525="",D525=0),"",E525/D525)</f>
        <v>0</v>
      </c>
      <c r="G525" s="16" t="n">
        <v>313.715838</v>
      </c>
      <c r="H525" s="16" t="n">
        <v>0</v>
      </c>
      <c r="I525" s="16" t="n">
        <v>313.715838</v>
      </c>
      <c r="J525" s="17" t="n">
        <f aca="false">IF(I525="","",G525-I525)</f>
        <v>0</v>
      </c>
      <c r="K525" s="18" t="n">
        <f aca="false">IF(OR(I525="",I525=0),"",J525/I525)</f>
        <v>0</v>
      </c>
      <c r="L525" s="19" t="str">
        <f aca="false">IF(OR(D525="",I525=""),"No reported total for O&amp;M or depreciation",IF(AND(ABS(F525)&lt;=$D$2,ABS(K525)&lt;=$D$2),"Reconciles within tolerance","Outside tolerance"))</f>
        <v>Reconciles within tolerance</v>
      </c>
      <c r="M525" s="17" t="n">
        <f aca="false">IF(OR(E525="",LEFT(L525,8)="Excluded"),"",ABS(E525))</f>
        <v>0</v>
      </c>
    </row>
    <row r="526" customFormat="false" ht="15" hidden="false" customHeight="false" outlineLevel="0" collapsed="false">
      <c r="A526" s="7" t="n">
        <v>2023</v>
      </c>
      <c r="B526" s="12" t="s">
        <v>79</v>
      </c>
      <c r="C526" s="16" t="n">
        <v>2461.862812</v>
      </c>
      <c r="D526" s="16" t="n">
        <v>2461.862812</v>
      </c>
      <c r="E526" s="17" t="n">
        <f aca="false">IF(D526="","",C526-D526)</f>
        <v>0</v>
      </c>
      <c r="F526" s="18" t="n">
        <f aca="false">IF(OR(D526="",D526=0),"",E526/D526)</f>
        <v>0</v>
      </c>
      <c r="G526" s="16" t="n">
        <v>348.217795</v>
      </c>
      <c r="H526" s="16" t="n">
        <v>0</v>
      </c>
      <c r="I526" s="16" t="n">
        <v>348.217795</v>
      </c>
      <c r="J526" s="17" t="n">
        <f aca="false">IF(I526="","",G526-I526)</f>
        <v>0</v>
      </c>
      <c r="K526" s="18" t="n">
        <f aca="false">IF(OR(I526="",I526=0),"",J526/I526)</f>
        <v>0</v>
      </c>
      <c r="L526" s="19" t="str">
        <f aca="false">IF(OR(D526="",I526=""),"No reported total for O&amp;M or depreciation",IF(AND(ABS(F526)&lt;=$D$2,ABS(K526)&lt;=$D$2),"Reconciles within tolerance","Outside tolerance"))</f>
        <v>Reconciles within tolerance</v>
      </c>
      <c r="M526" s="17" t="n">
        <f aca="false">IF(OR(E526="",LEFT(L526,8)="Excluded"),"",ABS(E526))</f>
        <v>0</v>
      </c>
    </row>
    <row r="527" customFormat="false" ht="15" hidden="false" customHeight="false" outlineLevel="0" collapsed="false">
      <c r="A527" s="7" t="n">
        <v>2024</v>
      </c>
      <c r="B527" s="12" t="s">
        <v>79</v>
      </c>
      <c r="C527" s="16" t="n">
        <v>2395.156783</v>
      </c>
      <c r="D527" s="16" t="n">
        <v>2395.156783</v>
      </c>
      <c r="E527" s="17" t="n">
        <f aca="false">IF(D527="","",C527-D527)</f>
        <v>0</v>
      </c>
      <c r="F527" s="18" t="n">
        <f aca="false">IF(OR(D527="",D527=0),"",E527/D527)</f>
        <v>0</v>
      </c>
      <c r="G527" s="16" t="n">
        <v>371.202151</v>
      </c>
      <c r="H527" s="16" t="n">
        <v>0</v>
      </c>
      <c r="I527" s="16" t="n">
        <v>371.202151</v>
      </c>
      <c r="J527" s="17" t="n">
        <f aca="false">IF(I527="","",G527-I527)</f>
        <v>0</v>
      </c>
      <c r="K527" s="18" t="n">
        <f aca="false">IF(OR(I527="",I527=0),"",J527/I527)</f>
        <v>0</v>
      </c>
      <c r="L527" s="19" t="str">
        <f aca="false">IF(OR(D527="",I527=""),"No reported total for O&amp;M or depreciation",IF(AND(ABS(F527)&lt;=$D$2,ABS(K527)&lt;=$D$2),"Reconciles within tolerance","Outside tolerance"))</f>
        <v>Reconciles within tolerance</v>
      </c>
      <c r="M527" s="17" t="n">
        <f aca="false">IF(OR(E527="",LEFT(L527,8)="Excluded"),"",ABS(E527))</f>
        <v>0</v>
      </c>
    </row>
    <row r="528" customFormat="false" ht="15" hidden="false" customHeight="false" outlineLevel="0" collapsed="false">
      <c r="A528" s="7" t="n">
        <v>2025</v>
      </c>
      <c r="B528" s="12" t="s">
        <v>79</v>
      </c>
      <c r="C528" s="16" t="n">
        <v>2600.482703</v>
      </c>
      <c r="D528" s="16" t="n">
        <v>2600.482703</v>
      </c>
      <c r="E528" s="17" t="n">
        <f aca="false">IF(D528="","",C528-D528)</f>
        <v>0</v>
      </c>
      <c r="F528" s="18" t="n">
        <f aca="false">IF(OR(D528="",D528=0),"",E528/D528)</f>
        <v>0</v>
      </c>
      <c r="G528" s="16" t="n">
        <v>412.296556</v>
      </c>
      <c r="H528" s="16" t="n">
        <v>0</v>
      </c>
      <c r="I528" s="16" t="n">
        <v>412.296556</v>
      </c>
      <c r="J528" s="17" t="n">
        <f aca="false">IF(I528="","",G528-I528)</f>
        <v>0</v>
      </c>
      <c r="K528" s="18" t="n">
        <f aca="false">IF(OR(I528="",I528=0),"",J528/I528)</f>
        <v>0</v>
      </c>
      <c r="L528" s="19" t="str">
        <f aca="false">IF(OR(D528="",I528=""),"No reported total for O&amp;M or depreciation",IF(AND(ABS(F528)&lt;=$D$2,ABS(K528)&lt;=$D$2),"Reconciles within tolerance","Outside tolerance"))</f>
        <v>Reconciles within tolerance</v>
      </c>
      <c r="M528" s="17" t="n">
        <f aca="false">IF(OR(E528="",LEFT(L528,8)="Excluded"),"",ABS(E528))</f>
        <v>0</v>
      </c>
    </row>
    <row r="529" customFormat="false" ht="15" hidden="false" customHeight="false" outlineLevel="0" collapsed="false">
      <c r="A529" s="7" t="n">
        <v>1995</v>
      </c>
      <c r="B529" s="12" t="s">
        <v>80</v>
      </c>
      <c r="C529" s="16" t="n">
        <v>306.280659</v>
      </c>
      <c r="D529" s="16" t="n">
        <v>306.280659</v>
      </c>
      <c r="E529" s="17" t="n">
        <f aca="false">IF(D529="","",C529-D529)</f>
        <v>0</v>
      </c>
      <c r="F529" s="18" t="n">
        <f aca="false">IF(OR(D529="",D529=0),"",E529/D529)</f>
        <v>0</v>
      </c>
      <c r="G529" s="16" t="n">
        <v>70.962058</v>
      </c>
      <c r="H529" s="16" t="n">
        <v>0</v>
      </c>
      <c r="I529" s="16" t="n">
        <v>70.962058</v>
      </c>
      <c r="J529" s="17" t="n">
        <f aca="false">IF(I529="","",G529-I529)</f>
        <v>0</v>
      </c>
      <c r="K529" s="18" t="n">
        <f aca="false">IF(OR(I529="",I529=0),"",J529/I529)</f>
        <v>0</v>
      </c>
      <c r="L529" s="19" t="str">
        <f aca="false">IF(OR(D529="",I529=""),"No reported total for O&amp;M or depreciation",IF(AND(ABS(F529)&lt;=$D$2,ABS(K529)&lt;=$D$2),"Reconciles within tolerance","Outside tolerance"))</f>
        <v>Reconciles within tolerance</v>
      </c>
      <c r="M529" s="17" t="n">
        <f aca="false">IF(OR(E529="",LEFT(L529,8)="Excluded"),"",ABS(E529))</f>
        <v>0</v>
      </c>
    </row>
    <row r="530" customFormat="false" ht="15" hidden="false" customHeight="false" outlineLevel="0" collapsed="false">
      <c r="A530" s="7" t="n">
        <v>1996</v>
      </c>
      <c r="B530" s="12" t="s">
        <v>80</v>
      </c>
      <c r="C530" s="16" t="n">
        <v>347.843081</v>
      </c>
      <c r="D530" s="16" t="n">
        <v>347.843081</v>
      </c>
      <c r="E530" s="17" t="n">
        <f aca="false">IF(D530="","",C530-D530)</f>
        <v>0</v>
      </c>
      <c r="F530" s="18" t="n">
        <f aca="false">IF(OR(D530="",D530=0),"",E530/D530)</f>
        <v>0</v>
      </c>
      <c r="G530" s="16" t="n">
        <v>75.226646</v>
      </c>
      <c r="H530" s="16" t="n">
        <v>0</v>
      </c>
      <c r="I530" s="16" t="n">
        <v>75.226646</v>
      </c>
      <c r="J530" s="17" t="n">
        <f aca="false">IF(I530="","",G530-I530)</f>
        <v>0</v>
      </c>
      <c r="K530" s="18" t="n">
        <f aca="false">IF(OR(I530="",I530=0),"",J530/I530)</f>
        <v>0</v>
      </c>
      <c r="L530" s="19" t="str">
        <f aca="false">IF(OR(D530="",I530=""),"No reported total for O&amp;M or depreciation",IF(AND(ABS(F530)&lt;=$D$2,ABS(K530)&lt;=$D$2),"Reconciles within tolerance","Outside tolerance"))</f>
        <v>Reconciles within tolerance</v>
      </c>
      <c r="M530" s="17" t="n">
        <f aca="false">IF(OR(E530="",LEFT(L530,8)="Excluded"),"",ABS(E530))</f>
        <v>0</v>
      </c>
    </row>
    <row r="531" customFormat="false" ht="15" hidden="false" customHeight="false" outlineLevel="0" collapsed="false">
      <c r="A531" s="7" t="n">
        <v>1997</v>
      </c>
      <c r="B531" s="12" t="s">
        <v>80</v>
      </c>
      <c r="C531" s="16" t="n">
        <v>387.127164</v>
      </c>
      <c r="D531" s="16" t="n">
        <v>387.127164</v>
      </c>
      <c r="E531" s="17" t="n">
        <f aca="false">IF(D531="","",C531-D531)</f>
        <v>0</v>
      </c>
      <c r="F531" s="18" t="n">
        <f aca="false">IF(OR(D531="",D531=0),"",E531/D531)</f>
        <v>0</v>
      </c>
      <c r="G531" s="16" t="n">
        <v>92.576591</v>
      </c>
      <c r="H531" s="16" t="n">
        <v>0</v>
      </c>
      <c r="I531" s="16" t="n">
        <v>92.576591</v>
      </c>
      <c r="J531" s="17" t="n">
        <f aca="false">IF(I531="","",G531-I531)</f>
        <v>0</v>
      </c>
      <c r="K531" s="18" t="n">
        <f aca="false">IF(OR(I531="",I531=0),"",J531/I531)</f>
        <v>0</v>
      </c>
      <c r="L531" s="19" t="str">
        <f aca="false">IF(OR(D531="",I531=""),"No reported total for O&amp;M or depreciation",IF(AND(ABS(F531)&lt;=$D$2,ABS(K531)&lt;=$D$2),"Reconciles within tolerance","Outside tolerance"))</f>
        <v>Reconciles within tolerance</v>
      </c>
      <c r="M531" s="17" t="n">
        <f aca="false">IF(OR(E531="",LEFT(L531,8)="Excluded"),"",ABS(E531))</f>
        <v>0</v>
      </c>
    </row>
    <row r="532" customFormat="false" ht="15" hidden="false" customHeight="false" outlineLevel="0" collapsed="false">
      <c r="A532" s="7" t="n">
        <v>1998</v>
      </c>
      <c r="B532" s="12" t="s">
        <v>80</v>
      </c>
      <c r="C532" s="16" t="n">
        <v>393.324084</v>
      </c>
      <c r="D532" s="16" t="n">
        <v>393.324084</v>
      </c>
      <c r="E532" s="17" t="n">
        <f aca="false">IF(D532="","",C532-D532)</f>
        <v>0</v>
      </c>
      <c r="F532" s="18" t="n">
        <f aca="false">IF(OR(D532="",D532=0),"",E532/D532)</f>
        <v>0</v>
      </c>
      <c r="G532" s="16" t="n">
        <v>104.455535</v>
      </c>
      <c r="H532" s="16" t="n">
        <v>0</v>
      </c>
      <c r="I532" s="16" t="n">
        <v>104.455535</v>
      </c>
      <c r="J532" s="17" t="n">
        <f aca="false">IF(I532="","",G532-I532)</f>
        <v>0</v>
      </c>
      <c r="K532" s="18" t="n">
        <f aca="false">IF(OR(I532="",I532=0),"",J532/I532)</f>
        <v>0</v>
      </c>
      <c r="L532" s="19" t="str">
        <f aca="false">IF(OR(D532="",I532=""),"No reported total for O&amp;M or depreciation",IF(AND(ABS(F532)&lt;=$D$2,ABS(K532)&lt;=$D$2),"Reconciles within tolerance","Outside tolerance"))</f>
        <v>Reconciles within tolerance</v>
      </c>
      <c r="M532" s="17" t="n">
        <f aca="false">IF(OR(E532="",LEFT(L532,8)="Excluded"),"",ABS(E532))</f>
        <v>0</v>
      </c>
    </row>
    <row r="533" customFormat="false" ht="15" hidden="false" customHeight="false" outlineLevel="0" collapsed="false">
      <c r="A533" s="7" t="n">
        <v>1999</v>
      </c>
      <c r="B533" s="12" t="s">
        <v>80</v>
      </c>
      <c r="C533" s="16" t="n">
        <v>355.378007</v>
      </c>
      <c r="D533" s="16" t="n">
        <v>355.378007</v>
      </c>
      <c r="E533" s="17" t="n">
        <f aca="false">IF(D533="","",C533-D533)</f>
        <v>0</v>
      </c>
      <c r="F533" s="18" t="n">
        <f aca="false">IF(OR(D533="",D533=0),"",E533/D533)</f>
        <v>0</v>
      </c>
      <c r="G533" s="16" t="n">
        <v>97.623799</v>
      </c>
      <c r="H533" s="16" t="n">
        <v>0</v>
      </c>
      <c r="I533" s="16" t="n">
        <v>97.623799</v>
      </c>
      <c r="J533" s="17" t="n">
        <f aca="false">IF(I533="","",G533-I533)</f>
        <v>0</v>
      </c>
      <c r="K533" s="18" t="n">
        <f aca="false">IF(OR(I533="",I533=0),"",J533/I533)</f>
        <v>0</v>
      </c>
      <c r="L533" s="19" t="str">
        <f aca="false">IF(OR(D533="",I533=""),"No reported total for O&amp;M or depreciation",IF(AND(ABS(F533)&lt;=$D$2,ABS(K533)&lt;=$D$2),"Reconciles within tolerance","Outside tolerance"))</f>
        <v>Reconciles within tolerance</v>
      </c>
      <c r="M533" s="17" t="n">
        <f aca="false">IF(OR(E533="",LEFT(L533,8)="Excluded"),"",ABS(E533))</f>
        <v>0</v>
      </c>
    </row>
    <row r="534" customFormat="false" ht="15" hidden="false" customHeight="false" outlineLevel="0" collapsed="false">
      <c r="A534" s="7" t="n">
        <v>2000</v>
      </c>
      <c r="B534" s="12" t="s">
        <v>80</v>
      </c>
      <c r="C534" s="16" t="n">
        <v>410.84637</v>
      </c>
      <c r="D534" s="16" t="n">
        <v>410.84637</v>
      </c>
      <c r="E534" s="17" t="n">
        <f aca="false">IF(D534="","",C534-D534)</f>
        <v>0</v>
      </c>
      <c r="F534" s="18" t="n">
        <f aca="false">IF(OR(D534="",D534=0),"",E534/D534)</f>
        <v>0</v>
      </c>
      <c r="G534" s="16" t="n">
        <v>119.67871</v>
      </c>
      <c r="H534" s="16" t="n">
        <v>0</v>
      </c>
      <c r="I534" s="16" t="n">
        <v>119.67871</v>
      </c>
      <c r="J534" s="17" t="n">
        <f aca="false">IF(I534="","",G534-I534)</f>
        <v>0</v>
      </c>
      <c r="K534" s="18" t="n">
        <f aca="false">IF(OR(I534="",I534=0),"",J534/I534)</f>
        <v>0</v>
      </c>
      <c r="L534" s="19" t="str">
        <f aca="false">IF(OR(D534="",I534=""),"No reported total for O&amp;M or depreciation",IF(AND(ABS(F534)&lt;=$D$2,ABS(K534)&lt;=$D$2),"Reconciles within tolerance","Outside tolerance"))</f>
        <v>Reconciles within tolerance</v>
      </c>
      <c r="M534" s="17" t="n">
        <f aca="false">IF(OR(E534="",LEFT(L534,8)="Excluded"),"",ABS(E534))</f>
        <v>0</v>
      </c>
    </row>
    <row r="535" customFormat="false" ht="15" hidden="false" customHeight="false" outlineLevel="0" collapsed="false">
      <c r="A535" s="7" t="n">
        <v>2001</v>
      </c>
      <c r="B535" s="12" t="s">
        <v>80</v>
      </c>
      <c r="C535" s="16" t="n">
        <v>483.511046</v>
      </c>
      <c r="D535" s="16" t="n">
        <v>483.511046</v>
      </c>
      <c r="E535" s="17" t="n">
        <f aca="false">IF(D535="","",C535-D535)</f>
        <v>0</v>
      </c>
      <c r="F535" s="18" t="n">
        <f aca="false">IF(OR(D535="",D535=0),"",E535/D535)</f>
        <v>0</v>
      </c>
      <c r="G535" s="16" t="n">
        <v>108.870846</v>
      </c>
      <c r="H535" s="16" t="n">
        <v>0</v>
      </c>
      <c r="I535" s="16" t="n">
        <v>108.870846</v>
      </c>
      <c r="J535" s="17" t="n">
        <f aca="false">IF(I535="","",G535-I535)</f>
        <v>0</v>
      </c>
      <c r="K535" s="18" t="n">
        <f aca="false">IF(OR(I535="",I535=0),"",J535/I535)</f>
        <v>0</v>
      </c>
      <c r="L535" s="19" t="str">
        <f aca="false">IF(OR(D535="",I535=""),"No reported total for O&amp;M or depreciation",IF(AND(ABS(F535)&lt;=$D$2,ABS(K535)&lt;=$D$2),"Reconciles within tolerance","Outside tolerance"))</f>
        <v>Reconciles within tolerance</v>
      </c>
      <c r="M535" s="17" t="n">
        <f aca="false">IF(OR(E535="",LEFT(L535,8)="Excluded"),"",ABS(E535))</f>
        <v>0</v>
      </c>
    </row>
    <row r="536" customFormat="false" ht="15" hidden="false" customHeight="false" outlineLevel="0" collapsed="false">
      <c r="A536" s="7" t="n">
        <v>2002</v>
      </c>
      <c r="B536" s="12" t="s">
        <v>80</v>
      </c>
      <c r="C536" s="16" t="n">
        <v>527.29486</v>
      </c>
      <c r="D536" s="16" t="n">
        <v>527.29486</v>
      </c>
      <c r="E536" s="17" t="n">
        <f aca="false">IF(D536="","",C536-D536)</f>
        <v>0</v>
      </c>
      <c r="F536" s="18" t="n">
        <f aca="false">IF(OR(D536="",D536=0),"",E536/D536)</f>
        <v>0</v>
      </c>
      <c r="G536" s="16" t="n">
        <v>110.042091</v>
      </c>
      <c r="H536" s="16" t="n">
        <v>0</v>
      </c>
      <c r="I536" s="16" t="n">
        <v>110.042091</v>
      </c>
      <c r="J536" s="17" t="n">
        <f aca="false">IF(I536="","",G536-I536)</f>
        <v>0</v>
      </c>
      <c r="K536" s="18" t="n">
        <f aca="false">IF(OR(I536="",I536=0),"",J536/I536)</f>
        <v>0</v>
      </c>
      <c r="L536" s="19" t="str">
        <f aca="false">IF(OR(D536="",I536=""),"No reported total for O&amp;M or depreciation",IF(AND(ABS(F536)&lt;=$D$2,ABS(K536)&lt;=$D$2),"Reconciles within tolerance","Outside tolerance"))</f>
        <v>Reconciles within tolerance</v>
      </c>
      <c r="M536" s="17" t="n">
        <f aca="false">IF(OR(E536="",LEFT(L536,8)="Excluded"),"",ABS(E536))</f>
        <v>0</v>
      </c>
    </row>
    <row r="537" customFormat="false" ht="15" hidden="false" customHeight="false" outlineLevel="0" collapsed="false">
      <c r="A537" s="7" t="n">
        <v>2003</v>
      </c>
      <c r="B537" s="12" t="s">
        <v>80</v>
      </c>
      <c r="C537" s="16" t="n">
        <v>627.840367</v>
      </c>
      <c r="D537" s="16" t="n">
        <v>627.840367</v>
      </c>
      <c r="E537" s="17" t="n">
        <f aca="false">IF(D537="","",C537-D537)</f>
        <v>0</v>
      </c>
      <c r="F537" s="18" t="n">
        <f aca="false">IF(OR(D537="",D537=0),"",E537/D537)</f>
        <v>0</v>
      </c>
      <c r="G537" s="16" t="n">
        <v>83.827416</v>
      </c>
      <c r="H537" s="16" t="n">
        <v>0</v>
      </c>
      <c r="I537" s="16" t="n">
        <v>83.827416</v>
      </c>
      <c r="J537" s="17" t="n">
        <f aca="false">IF(I537="","",G537-I537)</f>
        <v>0</v>
      </c>
      <c r="K537" s="18" t="n">
        <f aca="false">IF(OR(I537="",I537=0),"",J537/I537)</f>
        <v>0</v>
      </c>
      <c r="L537" s="19" t="str">
        <f aca="false">IF(OR(D537="",I537=""),"No reported total for O&amp;M or depreciation",IF(AND(ABS(F537)&lt;=$D$2,ABS(K537)&lt;=$D$2),"Reconciles within tolerance","Outside tolerance"))</f>
        <v>Reconciles within tolerance</v>
      </c>
      <c r="M537" s="17" t="n">
        <f aca="false">IF(OR(E537="",LEFT(L537,8)="Excluded"),"",ABS(E537))</f>
        <v>0</v>
      </c>
    </row>
    <row r="538" customFormat="false" ht="15" hidden="false" customHeight="false" outlineLevel="0" collapsed="false">
      <c r="A538" s="7" t="n">
        <v>2004</v>
      </c>
      <c r="B538" s="12" t="s">
        <v>80</v>
      </c>
      <c r="C538" s="16" t="n">
        <v>648.754976</v>
      </c>
      <c r="D538" s="16" t="n">
        <v>648.754976</v>
      </c>
      <c r="E538" s="17" t="n">
        <f aca="false">IF(D538="","",C538-D538)</f>
        <v>0</v>
      </c>
      <c r="F538" s="18" t="n">
        <f aca="false">IF(OR(D538="",D538=0),"",E538/D538)</f>
        <v>0</v>
      </c>
      <c r="G538" s="16" t="n">
        <v>106.047387</v>
      </c>
      <c r="H538" s="16" t="n">
        <v>0</v>
      </c>
      <c r="I538" s="16" t="n">
        <v>106.047387</v>
      </c>
      <c r="J538" s="17" t="n">
        <f aca="false">IF(I538="","",G538-I538)</f>
        <v>0</v>
      </c>
      <c r="K538" s="18" t="n">
        <f aca="false">IF(OR(I538="",I538=0),"",J538/I538)</f>
        <v>0</v>
      </c>
      <c r="L538" s="19" t="str">
        <f aca="false">IF(OR(D538="",I538=""),"No reported total for O&amp;M or depreciation",IF(AND(ABS(F538)&lt;=$D$2,ABS(K538)&lt;=$D$2),"Reconciles within tolerance","Outside tolerance"))</f>
        <v>Reconciles within tolerance</v>
      </c>
      <c r="M538" s="17" t="n">
        <f aca="false">IF(OR(E538="",LEFT(L538,8)="Excluded"),"",ABS(E538))</f>
        <v>0</v>
      </c>
    </row>
    <row r="539" customFormat="false" ht="15" hidden="false" customHeight="false" outlineLevel="0" collapsed="false">
      <c r="A539" s="7" t="n">
        <v>2005</v>
      </c>
      <c r="B539" s="12" t="s">
        <v>80</v>
      </c>
      <c r="C539" s="16" t="n">
        <v>805.875472</v>
      </c>
      <c r="D539" s="16" t="n">
        <v>805.875472</v>
      </c>
      <c r="E539" s="17" t="n">
        <f aca="false">IF(D539="","",C539-D539)</f>
        <v>0</v>
      </c>
      <c r="F539" s="18" t="n">
        <f aca="false">IF(OR(D539="",D539=0),"",E539/D539)</f>
        <v>0</v>
      </c>
      <c r="G539" s="16" t="n">
        <v>112.757718</v>
      </c>
      <c r="H539" s="16" t="n">
        <v>0</v>
      </c>
      <c r="I539" s="16" t="n">
        <v>112.757718</v>
      </c>
      <c r="J539" s="17" t="n">
        <f aca="false">IF(I539="","",G539-I539)</f>
        <v>0</v>
      </c>
      <c r="K539" s="18" t="n">
        <f aca="false">IF(OR(I539="",I539=0),"",J539/I539)</f>
        <v>0</v>
      </c>
      <c r="L539" s="19" t="str">
        <f aca="false">IF(OR(D539="",I539=""),"No reported total for O&amp;M or depreciation",IF(AND(ABS(F539)&lt;=$D$2,ABS(K539)&lt;=$D$2),"Reconciles within tolerance","Outside tolerance"))</f>
        <v>Reconciles within tolerance</v>
      </c>
      <c r="M539" s="17" t="n">
        <f aca="false">IF(OR(E539="",LEFT(L539,8)="Excluded"),"",ABS(E539))</f>
        <v>0</v>
      </c>
    </row>
    <row r="540" customFormat="false" ht="15" hidden="false" customHeight="false" outlineLevel="0" collapsed="false">
      <c r="A540" s="7" t="n">
        <v>2006</v>
      </c>
      <c r="B540" s="12" t="s">
        <v>80</v>
      </c>
      <c r="C540" s="16" t="n">
        <v>898.748536</v>
      </c>
      <c r="D540" s="16" t="n">
        <v>898.748536</v>
      </c>
      <c r="E540" s="17" t="n">
        <f aca="false">IF(D540="","",C540-D540)</f>
        <v>0</v>
      </c>
      <c r="F540" s="18" t="n">
        <f aca="false">IF(OR(D540="",D540=0),"",E540/D540)</f>
        <v>0</v>
      </c>
      <c r="G540" s="16" t="n">
        <v>85.886096</v>
      </c>
      <c r="H540" s="16" t="n">
        <v>0</v>
      </c>
      <c r="I540" s="16" t="n">
        <v>85.886096</v>
      </c>
      <c r="J540" s="17" t="n">
        <f aca="false">IF(I540="","",G540-I540)</f>
        <v>0</v>
      </c>
      <c r="K540" s="18" t="n">
        <f aca="false">IF(OR(I540="",I540=0),"",J540/I540)</f>
        <v>0</v>
      </c>
      <c r="L540" s="19" t="str">
        <f aca="false">IF(OR(D540="",I540=""),"No reported total for O&amp;M or depreciation",IF(AND(ABS(F540)&lt;=$D$2,ABS(K540)&lt;=$D$2),"Reconciles within tolerance","Outside tolerance"))</f>
        <v>Reconciles within tolerance</v>
      </c>
      <c r="M540" s="17" t="n">
        <f aca="false">IF(OR(E540="",LEFT(L540,8)="Excluded"),"",ABS(E540))</f>
        <v>0</v>
      </c>
    </row>
    <row r="541" customFormat="false" ht="15" hidden="false" customHeight="false" outlineLevel="0" collapsed="false">
      <c r="A541" s="7" t="n">
        <v>2007</v>
      </c>
      <c r="B541" s="12" t="s">
        <v>80</v>
      </c>
      <c r="C541" s="16" t="n">
        <v>905.11082</v>
      </c>
      <c r="D541" s="16" t="n">
        <v>905.11082</v>
      </c>
      <c r="E541" s="17" t="n">
        <f aca="false">IF(D541="","",C541-D541)</f>
        <v>0</v>
      </c>
      <c r="F541" s="18" t="n">
        <f aca="false">IF(OR(D541="",D541=0),"",E541/D541)</f>
        <v>0</v>
      </c>
      <c r="G541" s="16" t="n">
        <v>89.209284</v>
      </c>
      <c r="H541" s="16" t="n">
        <v>0</v>
      </c>
      <c r="I541" s="16" t="n">
        <v>89.209284</v>
      </c>
      <c r="J541" s="17" t="n">
        <f aca="false">IF(I541="","",G541-I541)</f>
        <v>0</v>
      </c>
      <c r="K541" s="18" t="n">
        <f aca="false">IF(OR(I541="",I541=0),"",J541/I541)</f>
        <v>0</v>
      </c>
      <c r="L541" s="19" t="str">
        <f aca="false">IF(OR(D541="",I541=""),"No reported total for O&amp;M or depreciation",IF(AND(ABS(F541)&lt;=$D$2,ABS(K541)&lt;=$D$2),"Reconciles within tolerance","Outside tolerance"))</f>
        <v>Reconciles within tolerance</v>
      </c>
      <c r="M541" s="17" t="n">
        <f aca="false">IF(OR(E541="",LEFT(L541,8)="Excluded"),"",ABS(E541))</f>
        <v>0</v>
      </c>
    </row>
    <row r="542" customFormat="false" ht="15" hidden="false" customHeight="false" outlineLevel="0" collapsed="false">
      <c r="A542" s="7" t="n">
        <v>2008</v>
      </c>
      <c r="B542" s="12" t="s">
        <v>80</v>
      </c>
      <c r="C542" s="16" t="n">
        <v>923.956597</v>
      </c>
      <c r="D542" s="16" t="n">
        <v>923.956597</v>
      </c>
      <c r="E542" s="17" t="n">
        <f aca="false">IF(D542="","",C542-D542)</f>
        <v>0</v>
      </c>
      <c r="F542" s="18" t="n">
        <f aca="false">IF(OR(D542="",D542=0),"",E542/D542)</f>
        <v>0</v>
      </c>
      <c r="G542" s="16" t="n">
        <v>83.36587</v>
      </c>
      <c r="H542" s="16" t="n">
        <v>0</v>
      </c>
      <c r="I542" s="16" t="n">
        <v>83.36587</v>
      </c>
      <c r="J542" s="17" t="n">
        <f aca="false">IF(I542="","",G542-I542)</f>
        <v>0</v>
      </c>
      <c r="K542" s="18" t="n">
        <f aca="false">IF(OR(I542="",I542=0),"",J542/I542)</f>
        <v>0</v>
      </c>
      <c r="L542" s="19" t="str">
        <f aca="false">IF(OR(D542="",I542=""),"No reported total for O&amp;M or depreciation",IF(AND(ABS(F542)&lt;=$D$2,ABS(K542)&lt;=$D$2),"Reconciles within tolerance","Outside tolerance"))</f>
        <v>Reconciles within tolerance</v>
      </c>
      <c r="M542" s="17" t="n">
        <f aca="false">IF(OR(E542="",LEFT(L542,8)="Excluded"),"",ABS(E542))</f>
        <v>0</v>
      </c>
    </row>
    <row r="543" customFormat="false" ht="15" hidden="false" customHeight="false" outlineLevel="0" collapsed="false">
      <c r="A543" s="7" t="n">
        <v>2009</v>
      </c>
      <c r="B543" s="12" t="s">
        <v>80</v>
      </c>
      <c r="C543" s="16" t="n">
        <v>905.39731</v>
      </c>
      <c r="D543" s="16" t="n">
        <v>905.39731</v>
      </c>
      <c r="E543" s="17" t="n">
        <f aca="false">IF(D543="","",C543-D543)</f>
        <v>0</v>
      </c>
      <c r="F543" s="18" t="n">
        <f aca="false">IF(OR(D543="",D543=0),"",E543/D543)</f>
        <v>0</v>
      </c>
      <c r="G543" s="16" t="n">
        <v>95.921745</v>
      </c>
      <c r="H543" s="16" t="n">
        <v>0</v>
      </c>
      <c r="I543" s="16" t="n">
        <v>95.921745</v>
      </c>
      <c r="J543" s="17" t="n">
        <f aca="false">IF(I543="","",G543-I543)</f>
        <v>0</v>
      </c>
      <c r="K543" s="18" t="n">
        <f aca="false">IF(OR(I543="",I543=0),"",J543/I543)</f>
        <v>0</v>
      </c>
      <c r="L543" s="19" t="str">
        <f aca="false">IF(OR(D543="",I543=""),"No reported total for O&amp;M or depreciation",IF(AND(ABS(F543)&lt;=$D$2,ABS(K543)&lt;=$D$2),"Reconciles within tolerance","Outside tolerance"))</f>
        <v>Reconciles within tolerance</v>
      </c>
      <c r="M543" s="17" t="n">
        <f aca="false">IF(OR(E543="",LEFT(L543,8)="Excluded"),"",ABS(E543))</f>
        <v>0</v>
      </c>
    </row>
    <row r="544" customFormat="false" ht="15" hidden="false" customHeight="false" outlineLevel="0" collapsed="false">
      <c r="A544" s="7" t="n">
        <v>2010</v>
      </c>
      <c r="B544" s="12" t="s">
        <v>80</v>
      </c>
      <c r="C544" s="16" t="n">
        <v>871.159469</v>
      </c>
      <c r="D544" s="16" t="n">
        <v>871.159469</v>
      </c>
      <c r="E544" s="17" t="n">
        <f aca="false">IF(D544="","",C544-D544)</f>
        <v>0</v>
      </c>
      <c r="F544" s="18" t="n">
        <f aca="false">IF(OR(D544="",D544=0),"",E544/D544)</f>
        <v>0</v>
      </c>
      <c r="G544" s="16" t="n">
        <v>90.975069</v>
      </c>
      <c r="H544" s="16" t="n">
        <v>0</v>
      </c>
      <c r="I544" s="16" t="n">
        <v>90.975069</v>
      </c>
      <c r="J544" s="17" t="n">
        <f aca="false">IF(I544="","",G544-I544)</f>
        <v>0</v>
      </c>
      <c r="K544" s="18" t="n">
        <f aca="false">IF(OR(I544="",I544=0),"",J544/I544)</f>
        <v>0</v>
      </c>
      <c r="L544" s="19" t="str">
        <f aca="false">IF(OR(D544="",I544=""),"No reported total for O&amp;M or depreciation",IF(AND(ABS(F544)&lt;=$D$2,ABS(K544)&lt;=$D$2),"Reconciles within tolerance","Outside tolerance"))</f>
        <v>Reconciles within tolerance</v>
      </c>
      <c r="M544" s="17" t="n">
        <f aca="false">IF(OR(E544="",LEFT(L544,8)="Excluded"),"",ABS(E544))</f>
        <v>0</v>
      </c>
    </row>
    <row r="545" customFormat="false" ht="15" hidden="false" customHeight="false" outlineLevel="0" collapsed="false">
      <c r="A545" s="7" t="n">
        <v>2011</v>
      </c>
      <c r="B545" s="12" t="s">
        <v>80</v>
      </c>
      <c r="C545" s="16" t="n">
        <v>830.309681</v>
      </c>
      <c r="D545" s="16" t="n">
        <v>830.309681</v>
      </c>
      <c r="E545" s="17" t="n">
        <f aca="false">IF(D545="","",C545-D545)</f>
        <v>0</v>
      </c>
      <c r="F545" s="18" t="n">
        <f aca="false">IF(OR(D545="",D545=0),"",E545/D545)</f>
        <v>0</v>
      </c>
      <c r="G545" s="16" t="n">
        <v>120.672952</v>
      </c>
      <c r="H545" s="16" t="n">
        <v>0</v>
      </c>
      <c r="I545" s="16" t="n">
        <v>120.672952</v>
      </c>
      <c r="J545" s="17" t="n">
        <f aca="false">IF(I545="","",G545-I545)</f>
        <v>0</v>
      </c>
      <c r="K545" s="18" t="n">
        <f aca="false">IF(OR(I545="",I545=0),"",J545/I545)</f>
        <v>0</v>
      </c>
      <c r="L545" s="19" t="str">
        <f aca="false">IF(OR(D545="",I545=""),"No reported total for O&amp;M or depreciation",IF(AND(ABS(F545)&lt;=$D$2,ABS(K545)&lt;=$D$2),"Reconciles within tolerance","Outside tolerance"))</f>
        <v>Reconciles within tolerance</v>
      </c>
      <c r="M545" s="17" t="n">
        <f aca="false">IF(OR(E545="",LEFT(L545,8)="Excluded"),"",ABS(E545))</f>
        <v>0</v>
      </c>
    </row>
    <row r="546" customFormat="false" ht="15" hidden="false" customHeight="false" outlineLevel="0" collapsed="false">
      <c r="A546" s="7" t="n">
        <v>2012</v>
      </c>
      <c r="B546" s="12" t="s">
        <v>80</v>
      </c>
      <c r="C546" s="16" t="n">
        <v>819.985914</v>
      </c>
      <c r="D546" s="16" t="n">
        <v>819.985914</v>
      </c>
      <c r="E546" s="17" t="n">
        <f aca="false">IF(D546="","",C546-D546)</f>
        <v>0</v>
      </c>
      <c r="F546" s="18" t="n">
        <f aca="false">IF(OR(D546="",D546=0),"",E546/D546)</f>
        <v>0</v>
      </c>
      <c r="G546" s="16" t="n">
        <v>121.063676</v>
      </c>
      <c r="H546" s="16" t="n">
        <v>0</v>
      </c>
      <c r="I546" s="16" t="n">
        <v>121.063676</v>
      </c>
      <c r="J546" s="17" t="n">
        <f aca="false">IF(I546="","",G546-I546)</f>
        <v>0</v>
      </c>
      <c r="K546" s="18" t="n">
        <f aca="false">IF(OR(I546="",I546=0),"",J546/I546)</f>
        <v>0</v>
      </c>
      <c r="L546" s="19" t="str">
        <f aca="false">IF(OR(D546="",I546=""),"No reported total for O&amp;M or depreciation",IF(AND(ABS(F546)&lt;=$D$2,ABS(K546)&lt;=$D$2),"Reconciles within tolerance","Outside tolerance"))</f>
        <v>Reconciles within tolerance</v>
      </c>
      <c r="M546" s="17" t="n">
        <f aca="false">IF(OR(E546="",LEFT(L546,8)="Excluded"),"",ABS(E546))</f>
        <v>0</v>
      </c>
    </row>
    <row r="547" customFormat="false" ht="15" hidden="false" customHeight="false" outlineLevel="0" collapsed="false">
      <c r="A547" s="7" t="n">
        <v>2013</v>
      </c>
      <c r="B547" s="12" t="s">
        <v>80</v>
      </c>
      <c r="C547" s="16" t="n">
        <v>760.334013</v>
      </c>
      <c r="D547" s="16" t="n">
        <v>760.334013</v>
      </c>
      <c r="E547" s="17" t="n">
        <f aca="false">IF(D547="","",C547-D547)</f>
        <v>0</v>
      </c>
      <c r="F547" s="18" t="n">
        <f aca="false">IF(OR(D547="",D547=0),"",E547/D547)</f>
        <v>0</v>
      </c>
      <c r="G547" s="16" t="n">
        <v>146.453198</v>
      </c>
      <c r="H547" s="16" t="n">
        <v>0</v>
      </c>
      <c r="I547" s="16" t="n">
        <v>146.453198</v>
      </c>
      <c r="J547" s="17" t="n">
        <f aca="false">IF(I547="","",G547-I547)</f>
        <v>0</v>
      </c>
      <c r="K547" s="18" t="n">
        <f aca="false">IF(OR(I547="",I547=0),"",J547/I547)</f>
        <v>0</v>
      </c>
      <c r="L547" s="19" t="str">
        <f aca="false">IF(OR(D547="",I547=""),"No reported total for O&amp;M or depreciation",IF(AND(ABS(F547)&lt;=$D$2,ABS(K547)&lt;=$D$2),"Reconciles within tolerance","Outside tolerance"))</f>
        <v>Reconciles within tolerance</v>
      </c>
      <c r="M547" s="17" t="n">
        <f aca="false">IF(OR(E547="",LEFT(L547,8)="Excluded"),"",ABS(E547))</f>
        <v>0</v>
      </c>
    </row>
    <row r="548" customFormat="false" ht="15" hidden="false" customHeight="false" outlineLevel="0" collapsed="false">
      <c r="A548" s="7" t="n">
        <v>2014</v>
      </c>
      <c r="B548" s="12" t="s">
        <v>80</v>
      </c>
      <c r="C548" s="16" t="n">
        <v>771.858846</v>
      </c>
      <c r="D548" s="16" t="n">
        <v>771.858846</v>
      </c>
      <c r="E548" s="17" t="n">
        <f aca="false">IF(D548="","",C548-D548)</f>
        <v>0</v>
      </c>
      <c r="F548" s="18" t="n">
        <f aca="false">IF(OR(D548="",D548=0),"",E548/D548)</f>
        <v>0</v>
      </c>
      <c r="G548" s="16" t="n">
        <v>154.546567</v>
      </c>
      <c r="H548" s="16" t="n">
        <v>0</v>
      </c>
      <c r="I548" s="16" t="n">
        <v>154.546567</v>
      </c>
      <c r="J548" s="17" t="n">
        <f aca="false">IF(I548="","",G548-I548)</f>
        <v>0</v>
      </c>
      <c r="K548" s="18" t="n">
        <f aca="false">IF(OR(I548="",I548=0),"",J548/I548)</f>
        <v>0</v>
      </c>
      <c r="L548" s="19" t="str">
        <f aca="false">IF(OR(D548="",I548=""),"No reported total for O&amp;M or depreciation",IF(AND(ABS(F548)&lt;=$D$2,ABS(K548)&lt;=$D$2),"Reconciles within tolerance","Outside tolerance"))</f>
        <v>Reconciles within tolerance</v>
      </c>
      <c r="M548" s="17" t="n">
        <f aca="false">IF(OR(E548="",LEFT(L548,8)="Excluded"),"",ABS(E548))</f>
        <v>0</v>
      </c>
    </row>
    <row r="549" customFormat="false" ht="15" hidden="false" customHeight="false" outlineLevel="0" collapsed="false">
      <c r="A549" s="7" t="n">
        <v>2015</v>
      </c>
      <c r="B549" s="12" t="s">
        <v>80</v>
      </c>
      <c r="C549" s="16" t="n">
        <v>792.947454</v>
      </c>
      <c r="D549" s="16" t="n">
        <v>792.947454</v>
      </c>
      <c r="E549" s="17" t="n">
        <f aca="false">IF(D549="","",C549-D549)</f>
        <v>0</v>
      </c>
      <c r="F549" s="18" t="n">
        <f aca="false">IF(OR(D549="",D549=0),"",E549/D549)</f>
        <v>0</v>
      </c>
      <c r="G549" s="16" t="n">
        <v>159.127668</v>
      </c>
      <c r="H549" s="16" t="n">
        <v>0</v>
      </c>
      <c r="I549" s="16" t="n">
        <v>159.127668</v>
      </c>
      <c r="J549" s="17" t="n">
        <f aca="false">IF(I549="","",G549-I549)</f>
        <v>0</v>
      </c>
      <c r="K549" s="18" t="n">
        <f aca="false">IF(OR(I549="",I549=0),"",J549/I549)</f>
        <v>0</v>
      </c>
      <c r="L549" s="19" t="str">
        <f aca="false">IF(OR(D549="",I549=""),"No reported total for O&amp;M or depreciation",IF(AND(ABS(F549)&lt;=$D$2,ABS(K549)&lt;=$D$2),"Reconciles within tolerance","Outside tolerance"))</f>
        <v>Reconciles within tolerance</v>
      </c>
      <c r="M549" s="17" t="n">
        <f aca="false">IF(OR(E549="",LEFT(L549,8)="Excluded"),"",ABS(E549))</f>
        <v>0</v>
      </c>
    </row>
    <row r="550" customFormat="false" ht="15" hidden="false" customHeight="false" outlineLevel="0" collapsed="false">
      <c r="A550" s="7" t="n">
        <v>2016</v>
      </c>
      <c r="B550" s="12" t="s">
        <v>80</v>
      </c>
      <c r="C550" s="16" t="n">
        <v>796.154385</v>
      </c>
      <c r="D550" s="16" t="n">
        <v>796.154385</v>
      </c>
      <c r="E550" s="17" t="n">
        <f aca="false">IF(D550="","",C550-D550)</f>
        <v>0</v>
      </c>
      <c r="F550" s="18" t="n">
        <f aca="false">IF(OR(D550="",D550=0),"",E550/D550)</f>
        <v>0</v>
      </c>
      <c r="G550" s="16" t="n">
        <v>158.421634</v>
      </c>
      <c r="H550" s="16" t="n">
        <v>0</v>
      </c>
      <c r="I550" s="16" t="n">
        <v>158.421634</v>
      </c>
      <c r="J550" s="17" t="n">
        <f aca="false">IF(I550="","",G550-I550)</f>
        <v>0</v>
      </c>
      <c r="K550" s="18" t="n">
        <f aca="false">IF(OR(I550="",I550=0),"",J550/I550)</f>
        <v>0</v>
      </c>
      <c r="L550" s="19" t="str">
        <f aca="false">IF(OR(D550="",I550=""),"No reported total for O&amp;M or depreciation",IF(AND(ABS(F550)&lt;=$D$2,ABS(K550)&lt;=$D$2),"Reconciles within tolerance","Outside tolerance"))</f>
        <v>Reconciles within tolerance</v>
      </c>
      <c r="M550" s="17" t="n">
        <f aca="false">IF(OR(E550="",LEFT(L550,8)="Excluded"),"",ABS(E550))</f>
        <v>0</v>
      </c>
    </row>
    <row r="551" customFormat="false" ht="15" hidden="false" customHeight="false" outlineLevel="0" collapsed="false">
      <c r="A551" s="7" t="n">
        <v>2017</v>
      </c>
      <c r="B551" s="12" t="s">
        <v>80</v>
      </c>
      <c r="C551" s="16" t="n">
        <v>777.391771</v>
      </c>
      <c r="D551" s="16" t="n">
        <v>777.391771</v>
      </c>
      <c r="E551" s="17" t="n">
        <f aca="false">IF(D551="","",C551-D551)</f>
        <v>0</v>
      </c>
      <c r="F551" s="18" t="n">
        <f aca="false">IF(OR(D551="",D551=0),"",E551/D551)</f>
        <v>0</v>
      </c>
      <c r="G551" s="16" t="n">
        <v>179.246125</v>
      </c>
      <c r="H551" s="16" t="n">
        <v>0</v>
      </c>
      <c r="I551" s="16" t="n">
        <v>179.246125</v>
      </c>
      <c r="J551" s="17" t="n">
        <f aca="false">IF(I551="","",G551-I551)</f>
        <v>0</v>
      </c>
      <c r="K551" s="18" t="n">
        <f aca="false">IF(OR(I551="",I551=0),"",J551/I551)</f>
        <v>0</v>
      </c>
      <c r="L551" s="19" t="str">
        <f aca="false">IF(OR(D551="",I551=""),"No reported total for O&amp;M or depreciation",IF(AND(ABS(F551)&lt;=$D$2,ABS(K551)&lt;=$D$2),"Reconciles within tolerance","Outside tolerance"))</f>
        <v>Reconciles within tolerance</v>
      </c>
      <c r="M551" s="17" t="n">
        <f aca="false">IF(OR(E551="",LEFT(L551,8)="Excluded"),"",ABS(E551))</f>
        <v>0</v>
      </c>
    </row>
    <row r="552" customFormat="false" ht="15" hidden="false" customHeight="false" outlineLevel="0" collapsed="false">
      <c r="A552" s="7" t="n">
        <v>2018</v>
      </c>
      <c r="B552" s="12" t="s">
        <v>80</v>
      </c>
      <c r="C552" s="16" t="n">
        <v>757.272624</v>
      </c>
      <c r="D552" s="16" t="n">
        <v>757.272624</v>
      </c>
      <c r="E552" s="17" t="n">
        <f aca="false">IF(D552="","",C552-D552)</f>
        <v>0</v>
      </c>
      <c r="F552" s="18" t="n">
        <f aca="false">IF(OR(D552="",D552=0),"",E552/D552)</f>
        <v>0</v>
      </c>
      <c r="G552" s="16" t="n">
        <v>184.22374</v>
      </c>
      <c r="H552" s="16" t="n">
        <v>0</v>
      </c>
      <c r="I552" s="16" t="n">
        <v>184.22374</v>
      </c>
      <c r="J552" s="17" t="n">
        <f aca="false">IF(I552="","",G552-I552)</f>
        <v>0</v>
      </c>
      <c r="K552" s="18" t="n">
        <f aca="false">IF(OR(I552="",I552=0),"",J552/I552)</f>
        <v>0</v>
      </c>
      <c r="L552" s="19" t="str">
        <f aca="false">IF(OR(D552="",I552=""),"No reported total for O&amp;M or depreciation",IF(AND(ABS(F552)&lt;=$D$2,ABS(K552)&lt;=$D$2),"Reconciles within tolerance","Outside tolerance"))</f>
        <v>Reconciles within tolerance</v>
      </c>
      <c r="M552" s="17" t="n">
        <f aca="false">IF(OR(E552="",LEFT(L552,8)="Excluded"),"",ABS(E552))</f>
        <v>0</v>
      </c>
    </row>
    <row r="553" customFormat="false" ht="15" hidden="false" customHeight="false" outlineLevel="0" collapsed="false">
      <c r="A553" s="7" t="n">
        <v>2019</v>
      </c>
      <c r="B553" s="12" t="s">
        <v>80</v>
      </c>
      <c r="C553" s="16" t="n">
        <v>725.293338</v>
      </c>
      <c r="D553" s="16" t="n">
        <v>725.293338</v>
      </c>
      <c r="E553" s="17" t="n">
        <f aca="false">IF(D553="","",C553-D553)</f>
        <v>0</v>
      </c>
      <c r="F553" s="18" t="n">
        <f aca="false">IF(OR(D553="",D553=0),"",E553/D553)</f>
        <v>0</v>
      </c>
      <c r="G553" s="16" t="n">
        <v>195.443114</v>
      </c>
      <c r="H553" s="16" t="n">
        <v>0</v>
      </c>
      <c r="I553" s="16" t="n">
        <v>195.443114</v>
      </c>
      <c r="J553" s="17" t="n">
        <f aca="false">IF(I553="","",G553-I553)</f>
        <v>0</v>
      </c>
      <c r="K553" s="18" t="n">
        <f aca="false">IF(OR(I553="",I553=0),"",J553/I553)</f>
        <v>0</v>
      </c>
      <c r="L553" s="19" t="str">
        <f aca="false">IF(OR(D553="",I553=""),"No reported total for O&amp;M or depreciation",IF(AND(ABS(F553)&lt;=$D$2,ABS(K553)&lt;=$D$2),"Reconciles within tolerance","Outside tolerance"))</f>
        <v>Reconciles within tolerance</v>
      </c>
      <c r="M553" s="17" t="n">
        <f aca="false">IF(OR(E553="",LEFT(L553,8)="Excluded"),"",ABS(E553))</f>
        <v>0</v>
      </c>
    </row>
    <row r="554" customFormat="false" ht="15" hidden="false" customHeight="false" outlineLevel="0" collapsed="false">
      <c r="A554" s="7" t="n">
        <v>2020</v>
      </c>
      <c r="B554" s="12" t="s">
        <v>80</v>
      </c>
      <c r="C554" s="16" t="n">
        <v>689.592297</v>
      </c>
      <c r="D554" s="16" t="n">
        <v>689.592297</v>
      </c>
      <c r="E554" s="17" t="n">
        <f aca="false">IF(D554="","",C554-D554)</f>
        <v>0</v>
      </c>
      <c r="F554" s="18" t="n">
        <f aca="false">IF(OR(D554="",D554=0),"",E554/D554)</f>
        <v>0</v>
      </c>
      <c r="G554" s="16" t="n">
        <v>212.444697</v>
      </c>
      <c r="H554" s="16" t="n">
        <v>0</v>
      </c>
      <c r="I554" s="16" t="n">
        <v>212.444697</v>
      </c>
      <c r="J554" s="17" t="n">
        <f aca="false">IF(I554="","",G554-I554)</f>
        <v>0</v>
      </c>
      <c r="K554" s="18" t="n">
        <f aca="false">IF(OR(I554="",I554=0),"",J554/I554)</f>
        <v>0</v>
      </c>
      <c r="L554" s="19" t="str">
        <f aca="false">IF(OR(D554="",I554=""),"No reported total for O&amp;M or depreciation",IF(AND(ABS(F554)&lt;=$D$2,ABS(K554)&lt;=$D$2),"Reconciles within tolerance","Outside tolerance"))</f>
        <v>Reconciles within tolerance</v>
      </c>
      <c r="M554" s="17" t="n">
        <f aca="false">IF(OR(E554="",LEFT(L554,8)="Excluded"),"",ABS(E554))</f>
        <v>0</v>
      </c>
    </row>
    <row r="555" customFormat="false" ht="15" hidden="false" customHeight="false" outlineLevel="0" collapsed="false">
      <c r="A555" s="7" t="n">
        <v>2021</v>
      </c>
      <c r="B555" s="12" t="s">
        <v>80</v>
      </c>
      <c r="C555" s="16" t="n">
        <v>790.012225</v>
      </c>
      <c r="D555" s="16" t="n">
        <v>790.012224</v>
      </c>
      <c r="E555" s="17" t="n">
        <f aca="false">IF(D555="","",C555-D555)</f>
        <v>9.99999997475243E-007</v>
      </c>
      <c r="F555" s="18" t="n">
        <f aca="false">IF(OR(D555="",D555=0),"",E555/D555)</f>
        <v>1.26580319531264E-009</v>
      </c>
      <c r="G555" s="16" t="n">
        <v>235.43785</v>
      </c>
      <c r="H555" s="16" t="n">
        <v>0</v>
      </c>
      <c r="I555" s="16" t="n">
        <v>235.43785</v>
      </c>
      <c r="J555" s="17" t="n">
        <f aca="false">IF(I555="","",G555-I555)</f>
        <v>0</v>
      </c>
      <c r="K555" s="18" t="n">
        <f aca="false">IF(OR(I555="",I555=0),"",J555/I555)</f>
        <v>0</v>
      </c>
      <c r="L555" s="19" t="str">
        <f aca="false">IF(OR(D555="",I555=""),"No reported total for O&amp;M or depreciation",IF(AND(ABS(F555)&lt;=$D$2,ABS(K555)&lt;=$D$2),"Reconciles within tolerance","Outside tolerance"))</f>
        <v>Reconciles within tolerance</v>
      </c>
      <c r="M555" s="17" t="n">
        <f aca="false">IF(OR(E555="",LEFT(L555,8)="Excluded"),"",ABS(E555))</f>
        <v>9.99999997475243E-007</v>
      </c>
    </row>
    <row r="556" customFormat="false" ht="15" hidden="false" customHeight="false" outlineLevel="0" collapsed="false">
      <c r="A556" s="7" t="n">
        <v>2022</v>
      </c>
      <c r="B556" s="12" t="s">
        <v>80</v>
      </c>
      <c r="C556" s="16" t="n">
        <v>922.086723</v>
      </c>
      <c r="D556" s="16" t="n">
        <v>922.086723</v>
      </c>
      <c r="E556" s="17" t="n">
        <f aca="false">IF(D556="","",C556-D556)</f>
        <v>0</v>
      </c>
      <c r="F556" s="18" t="n">
        <f aca="false">IF(OR(D556="",D556=0),"",E556/D556)</f>
        <v>0</v>
      </c>
      <c r="G556" s="16" t="n">
        <v>241.617685</v>
      </c>
      <c r="H556" s="16" t="n">
        <v>0</v>
      </c>
      <c r="I556" s="16" t="n">
        <v>241.617685</v>
      </c>
      <c r="J556" s="17" t="n">
        <f aca="false">IF(I556="","",G556-I556)</f>
        <v>0</v>
      </c>
      <c r="K556" s="18" t="n">
        <f aca="false">IF(OR(I556="",I556=0),"",J556/I556)</f>
        <v>0</v>
      </c>
      <c r="L556" s="19" t="str">
        <f aca="false">IF(OR(D556="",I556=""),"No reported total for O&amp;M or depreciation",IF(AND(ABS(F556)&lt;=$D$2,ABS(K556)&lt;=$D$2),"Reconciles within tolerance","Outside tolerance"))</f>
        <v>Reconciles within tolerance</v>
      </c>
      <c r="M556" s="17" t="n">
        <f aca="false">IF(OR(E556="",LEFT(L556,8)="Excluded"),"",ABS(E556))</f>
        <v>0</v>
      </c>
    </row>
    <row r="557" customFormat="false" ht="15" hidden="false" customHeight="false" outlineLevel="0" collapsed="false">
      <c r="A557" s="7" t="n">
        <v>2023</v>
      </c>
      <c r="B557" s="12" t="s">
        <v>80</v>
      </c>
      <c r="C557" s="16" t="n">
        <v>891.627418</v>
      </c>
      <c r="D557" s="16" t="n">
        <v>891.627419</v>
      </c>
      <c r="E557" s="17" t="n">
        <f aca="false">IF(D557="","",C557-D557)</f>
        <v>-9.99999997475243E-007</v>
      </c>
      <c r="F557" s="18" t="n">
        <f aca="false">IF(OR(D557="",D557=0),"",E557/D557)</f>
        <v>-1.12154469026624E-009</v>
      </c>
      <c r="G557" s="16" t="n">
        <v>271.652167</v>
      </c>
      <c r="H557" s="16" t="n">
        <v>0</v>
      </c>
      <c r="I557" s="16" t="n">
        <v>271.652167</v>
      </c>
      <c r="J557" s="17" t="n">
        <f aca="false">IF(I557="","",G557-I557)</f>
        <v>0</v>
      </c>
      <c r="K557" s="18" t="n">
        <f aca="false">IF(OR(I557="",I557=0),"",J557/I557)</f>
        <v>0</v>
      </c>
      <c r="L557" s="19" t="str">
        <f aca="false">IF(OR(D557="",I557=""),"No reported total for O&amp;M or depreciation",IF(AND(ABS(F557)&lt;=$D$2,ABS(K557)&lt;=$D$2),"Reconciles within tolerance","Outside tolerance"))</f>
        <v>Reconciles within tolerance</v>
      </c>
      <c r="M557" s="17" t="n">
        <f aca="false">IF(OR(E557="",LEFT(L557,8)="Excluded"),"",ABS(E557))</f>
        <v>9.99999997475243E-007</v>
      </c>
    </row>
    <row r="558" customFormat="false" ht="15" hidden="false" customHeight="false" outlineLevel="0" collapsed="false">
      <c r="A558" s="7" t="n">
        <v>2024</v>
      </c>
      <c r="B558" s="12" t="s">
        <v>80</v>
      </c>
      <c r="C558" s="16" t="n">
        <v>846.817132</v>
      </c>
      <c r="D558" s="16" t="n">
        <v>846.817463</v>
      </c>
      <c r="E558" s="17" t="n">
        <f aca="false">IF(D558="","",C558-D558)</f>
        <v>-0.000330999999960113</v>
      </c>
      <c r="F558" s="18" t="n">
        <f aca="false">IF(OR(D558="",D558=0),"",E558/D558)</f>
        <v>-3.90875264649701E-007</v>
      </c>
      <c r="G558" s="16" t="n">
        <v>317.016679</v>
      </c>
      <c r="H558" s="16" t="n">
        <v>0</v>
      </c>
      <c r="I558" s="16" t="n">
        <v>317.016679</v>
      </c>
      <c r="J558" s="17" t="n">
        <f aca="false">IF(I558="","",G558-I558)</f>
        <v>0</v>
      </c>
      <c r="K558" s="18" t="n">
        <f aca="false">IF(OR(I558="",I558=0),"",J558/I558)</f>
        <v>0</v>
      </c>
      <c r="L558" s="19" t="str">
        <f aca="false">IF(OR(D558="",I558=""),"No reported total for O&amp;M or depreciation",IF(AND(ABS(F558)&lt;=$D$2,ABS(K558)&lt;=$D$2),"Reconciles within tolerance","Outside tolerance"))</f>
        <v>Reconciles within tolerance</v>
      </c>
      <c r="M558" s="17" t="n">
        <f aca="false">IF(OR(E558="",LEFT(L558,8)="Excluded"),"",ABS(E558))</f>
        <v>0.000330999999960113</v>
      </c>
    </row>
    <row r="559" customFormat="false" ht="15" hidden="false" customHeight="false" outlineLevel="0" collapsed="false">
      <c r="A559" s="7" t="n">
        <v>2025</v>
      </c>
      <c r="B559" s="12" t="s">
        <v>80</v>
      </c>
      <c r="C559" s="16" t="n">
        <v>969.745468</v>
      </c>
      <c r="D559" s="16" t="n">
        <v>969.745471</v>
      </c>
      <c r="E559" s="17" t="n">
        <f aca="false">IF(D559="","",C559-D559)</f>
        <v>-2.99999999242573E-006</v>
      </c>
      <c r="F559" s="18" t="n">
        <f aca="false">IF(OR(D559="",D559=0),"",E559/D559)</f>
        <v>-3.09359525993159E-009</v>
      </c>
      <c r="G559" s="16" t="n">
        <v>332.285491</v>
      </c>
      <c r="H559" s="16" t="n">
        <v>0</v>
      </c>
      <c r="I559" s="16" t="n">
        <v>332.285491</v>
      </c>
      <c r="J559" s="17" t="n">
        <f aca="false">IF(I559="","",G559-I559)</f>
        <v>0</v>
      </c>
      <c r="K559" s="18" t="n">
        <f aca="false">IF(OR(I559="",I559=0),"",J559/I559)</f>
        <v>0</v>
      </c>
      <c r="L559" s="19" t="str">
        <f aca="false">IF(OR(D559="",I559=""),"No reported total for O&amp;M or depreciation",IF(AND(ABS(F559)&lt;=$D$2,ABS(K559)&lt;=$D$2),"Reconciles within tolerance","Outside tolerance"))</f>
        <v>Reconciles within tolerance</v>
      </c>
      <c r="M559" s="17" t="n">
        <f aca="false">IF(OR(E559="",LEFT(L559,8)="Excluded"),"",ABS(E559))</f>
        <v>2.99999999242573E-006</v>
      </c>
    </row>
    <row r="560" customFormat="false" ht="15" hidden="false" customHeight="false" outlineLevel="0" collapsed="false">
      <c r="A560" s="7" t="n">
        <v>1995</v>
      </c>
      <c r="B560" s="12" t="s">
        <v>81</v>
      </c>
      <c r="C560" s="16" t="n">
        <v>309.031804</v>
      </c>
      <c r="D560" s="16" t="n">
        <v>309.031804</v>
      </c>
      <c r="E560" s="17" t="n">
        <f aca="false">IF(D560="","",C560-D560)</f>
        <v>0</v>
      </c>
      <c r="F560" s="18" t="n">
        <f aca="false">IF(OR(D560="",D560=0),"",E560/D560)</f>
        <v>0</v>
      </c>
      <c r="G560" s="16" t="n">
        <v>58.607222</v>
      </c>
      <c r="H560" s="16" t="n">
        <v>0</v>
      </c>
      <c r="I560" s="16" t="n">
        <v>58.607222</v>
      </c>
      <c r="J560" s="17" t="n">
        <f aca="false">IF(I560="","",G560-I560)</f>
        <v>0</v>
      </c>
      <c r="K560" s="18" t="n">
        <f aca="false">IF(OR(I560="",I560=0),"",J560/I560)</f>
        <v>0</v>
      </c>
      <c r="L560" s="19" t="str">
        <f aca="false">IF(OR(D560="",I560=""),"No reported total for O&amp;M or depreciation",IF(AND(ABS(F560)&lt;=$D$2,ABS(K560)&lt;=$D$2),"Reconciles within tolerance","Outside tolerance"))</f>
        <v>Reconciles within tolerance</v>
      </c>
      <c r="M560" s="17" t="n">
        <f aca="false">IF(OR(E560="",LEFT(L560,8)="Excluded"),"",ABS(E560))</f>
        <v>0</v>
      </c>
    </row>
    <row r="561" customFormat="false" ht="15" hidden="false" customHeight="false" outlineLevel="0" collapsed="false">
      <c r="A561" s="7" t="n">
        <v>1996</v>
      </c>
      <c r="B561" s="12" t="s">
        <v>81</v>
      </c>
      <c r="C561" s="16" t="n">
        <v>309.627855</v>
      </c>
      <c r="D561" s="16" t="n">
        <v>309.627855</v>
      </c>
      <c r="E561" s="17" t="n">
        <f aca="false">IF(D561="","",C561-D561)</f>
        <v>0</v>
      </c>
      <c r="F561" s="18" t="n">
        <f aca="false">IF(OR(D561="",D561=0),"",E561/D561)</f>
        <v>0</v>
      </c>
      <c r="G561" s="16" t="n">
        <v>56.707665</v>
      </c>
      <c r="H561" s="16" t="n">
        <v>0</v>
      </c>
      <c r="I561" s="16" t="n">
        <v>56.707665</v>
      </c>
      <c r="J561" s="17" t="n">
        <f aca="false">IF(I561="","",G561-I561)</f>
        <v>0</v>
      </c>
      <c r="K561" s="18" t="n">
        <f aca="false">IF(OR(I561="",I561=0),"",J561/I561)</f>
        <v>0</v>
      </c>
      <c r="L561" s="19" t="str">
        <f aca="false">IF(OR(D561="",I561=""),"No reported total for O&amp;M or depreciation",IF(AND(ABS(F561)&lt;=$D$2,ABS(K561)&lt;=$D$2),"Reconciles within tolerance","Outside tolerance"))</f>
        <v>Reconciles within tolerance</v>
      </c>
      <c r="M561" s="17" t="n">
        <f aca="false">IF(OR(E561="",LEFT(L561,8)="Excluded"),"",ABS(E561))</f>
        <v>0</v>
      </c>
    </row>
    <row r="562" customFormat="false" ht="15" hidden="false" customHeight="false" outlineLevel="0" collapsed="false">
      <c r="A562" s="7" t="n">
        <v>1997</v>
      </c>
      <c r="B562" s="12" t="s">
        <v>81</v>
      </c>
      <c r="C562" s="16" t="n">
        <v>296.179237</v>
      </c>
      <c r="D562" s="16" t="n">
        <v>296.179237</v>
      </c>
      <c r="E562" s="17" t="n">
        <f aca="false">IF(D562="","",C562-D562)</f>
        <v>0</v>
      </c>
      <c r="F562" s="18" t="n">
        <f aca="false">IF(OR(D562="",D562=0),"",E562/D562)</f>
        <v>0</v>
      </c>
      <c r="G562" s="16" t="n">
        <v>68.466972</v>
      </c>
      <c r="H562" s="16" t="n">
        <v>0</v>
      </c>
      <c r="I562" s="16" t="n">
        <v>68.466972</v>
      </c>
      <c r="J562" s="17" t="n">
        <f aca="false">IF(I562="","",G562-I562)</f>
        <v>0</v>
      </c>
      <c r="K562" s="18" t="n">
        <f aca="false">IF(OR(I562="",I562=0),"",J562/I562)</f>
        <v>0</v>
      </c>
      <c r="L562" s="19" t="str">
        <f aca="false">IF(OR(D562="",I562=""),"No reported total for O&amp;M or depreciation",IF(AND(ABS(F562)&lt;=$D$2,ABS(K562)&lt;=$D$2),"Reconciles within tolerance","Outside tolerance"))</f>
        <v>Reconciles within tolerance</v>
      </c>
      <c r="M562" s="17" t="n">
        <f aca="false">IF(OR(E562="",LEFT(L562,8)="Excluded"),"",ABS(E562))</f>
        <v>0</v>
      </c>
    </row>
    <row r="563" customFormat="false" ht="15" hidden="false" customHeight="false" outlineLevel="0" collapsed="false">
      <c r="A563" s="7" t="n">
        <v>1998</v>
      </c>
      <c r="B563" s="12" t="s">
        <v>81</v>
      </c>
      <c r="C563" s="16" t="n">
        <v>307.919517</v>
      </c>
      <c r="D563" s="16" t="n">
        <v>307.919517</v>
      </c>
      <c r="E563" s="17" t="n">
        <f aca="false">IF(D563="","",C563-D563)</f>
        <v>0</v>
      </c>
      <c r="F563" s="18" t="n">
        <f aca="false">IF(OR(D563="",D563=0),"",E563/D563)</f>
        <v>0</v>
      </c>
      <c r="G563" s="16" t="n">
        <v>70.454906</v>
      </c>
      <c r="H563" s="16" t="n">
        <v>0</v>
      </c>
      <c r="I563" s="16" t="n">
        <v>70.454906</v>
      </c>
      <c r="J563" s="17" t="n">
        <f aca="false">IF(I563="","",G563-I563)</f>
        <v>0</v>
      </c>
      <c r="K563" s="18" t="n">
        <f aca="false">IF(OR(I563="",I563=0),"",J563/I563)</f>
        <v>0</v>
      </c>
      <c r="L563" s="19" t="str">
        <f aca="false">IF(OR(D563="",I563=""),"No reported total for O&amp;M or depreciation",IF(AND(ABS(F563)&lt;=$D$2,ABS(K563)&lt;=$D$2),"Reconciles within tolerance","Outside tolerance"))</f>
        <v>Reconciles within tolerance</v>
      </c>
      <c r="M563" s="17" t="n">
        <f aca="false">IF(OR(E563="",LEFT(L563,8)="Excluded"),"",ABS(E563))</f>
        <v>0</v>
      </c>
    </row>
    <row r="564" customFormat="false" ht="15" hidden="false" customHeight="false" outlineLevel="0" collapsed="false">
      <c r="A564" s="7" t="n">
        <v>1999</v>
      </c>
      <c r="B564" s="12" t="s">
        <v>81</v>
      </c>
      <c r="C564" s="16" t="n">
        <v>341.277907</v>
      </c>
      <c r="D564" s="16" t="n">
        <v>341.277907</v>
      </c>
      <c r="E564" s="17" t="n">
        <f aca="false">IF(D564="","",C564-D564)</f>
        <v>0</v>
      </c>
      <c r="F564" s="18" t="n">
        <f aca="false">IF(OR(D564="",D564=0),"",E564/D564)</f>
        <v>0</v>
      </c>
      <c r="G564" s="16" t="n">
        <v>65.15283</v>
      </c>
      <c r="H564" s="16" t="n">
        <v>0</v>
      </c>
      <c r="I564" s="16" t="n">
        <v>65.15283</v>
      </c>
      <c r="J564" s="17" t="n">
        <f aca="false">IF(I564="","",G564-I564)</f>
        <v>0</v>
      </c>
      <c r="K564" s="18" t="n">
        <f aca="false">IF(OR(I564="",I564=0),"",J564/I564)</f>
        <v>0</v>
      </c>
      <c r="L564" s="19" t="str">
        <f aca="false">IF(OR(D564="",I564=""),"No reported total for O&amp;M or depreciation",IF(AND(ABS(F564)&lt;=$D$2,ABS(K564)&lt;=$D$2),"Reconciles within tolerance","Outside tolerance"))</f>
        <v>Reconciles within tolerance</v>
      </c>
      <c r="M564" s="17" t="n">
        <f aca="false">IF(OR(E564="",LEFT(L564,8)="Excluded"),"",ABS(E564))</f>
        <v>0</v>
      </c>
    </row>
    <row r="565" customFormat="false" ht="15" hidden="false" customHeight="false" outlineLevel="0" collapsed="false">
      <c r="A565" s="7" t="n">
        <v>2000</v>
      </c>
      <c r="B565" s="12" t="s">
        <v>81</v>
      </c>
      <c r="C565" s="16" t="n">
        <v>377.286624</v>
      </c>
      <c r="D565" s="16" t="n">
        <v>377.286624</v>
      </c>
      <c r="E565" s="17" t="n">
        <f aca="false">IF(D565="","",C565-D565)</f>
        <v>0</v>
      </c>
      <c r="F565" s="18" t="n">
        <f aca="false">IF(OR(D565="",D565=0),"",E565/D565)</f>
        <v>0</v>
      </c>
      <c r="G565" s="16" t="n">
        <v>77.854831</v>
      </c>
      <c r="H565" s="16" t="n">
        <v>0</v>
      </c>
      <c r="I565" s="16" t="n">
        <v>77.854831</v>
      </c>
      <c r="J565" s="17" t="n">
        <f aca="false">IF(I565="","",G565-I565)</f>
        <v>0</v>
      </c>
      <c r="K565" s="18" t="n">
        <f aca="false">IF(OR(I565="",I565=0),"",J565/I565)</f>
        <v>0</v>
      </c>
      <c r="L565" s="19" t="str">
        <f aca="false">IF(OR(D565="",I565=""),"No reported total for O&amp;M or depreciation",IF(AND(ABS(F565)&lt;=$D$2,ABS(K565)&lt;=$D$2),"Reconciles within tolerance","Outside tolerance"))</f>
        <v>Reconciles within tolerance</v>
      </c>
      <c r="M565" s="17" t="n">
        <f aca="false">IF(OR(E565="",LEFT(L565,8)="Excluded"),"",ABS(E565))</f>
        <v>0</v>
      </c>
    </row>
    <row r="566" customFormat="false" ht="15" hidden="false" customHeight="false" outlineLevel="0" collapsed="false">
      <c r="A566" s="7" t="n">
        <v>2001</v>
      </c>
      <c r="B566" s="12" t="s">
        <v>81</v>
      </c>
      <c r="C566" s="16" t="n">
        <v>435.616699</v>
      </c>
      <c r="D566" s="16" t="n">
        <v>435.616699</v>
      </c>
      <c r="E566" s="17" t="n">
        <f aca="false">IF(D566="","",C566-D566)</f>
        <v>0</v>
      </c>
      <c r="F566" s="18" t="n">
        <f aca="false">IF(OR(D566="",D566=0),"",E566/D566)</f>
        <v>0</v>
      </c>
      <c r="G566" s="16" t="n">
        <v>63.743041</v>
      </c>
      <c r="H566" s="16" t="n">
        <v>0</v>
      </c>
      <c r="I566" s="16" t="n">
        <v>63.743041</v>
      </c>
      <c r="J566" s="17" t="n">
        <f aca="false">IF(I566="","",G566-I566)</f>
        <v>0</v>
      </c>
      <c r="K566" s="18" t="n">
        <f aca="false">IF(OR(I566="",I566=0),"",J566/I566)</f>
        <v>0</v>
      </c>
      <c r="L566" s="19" t="str">
        <f aca="false">IF(OR(D566="",I566=""),"No reported total for O&amp;M or depreciation",IF(AND(ABS(F566)&lt;=$D$2,ABS(K566)&lt;=$D$2),"Reconciles within tolerance","Outside tolerance"))</f>
        <v>Reconciles within tolerance</v>
      </c>
      <c r="M566" s="17" t="n">
        <f aca="false">IF(OR(E566="",LEFT(L566,8)="Excluded"),"",ABS(E566))</f>
        <v>0</v>
      </c>
    </row>
    <row r="567" customFormat="false" ht="15" hidden="false" customHeight="false" outlineLevel="0" collapsed="false">
      <c r="A567" s="7" t="n">
        <v>2002</v>
      </c>
      <c r="B567" s="12" t="s">
        <v>81</v>
      </c>
      <c r="C567" s="16" t="n">
        <v>478.562147</v>
      </c>
      <c r="D567" s="16" t="n">
        <v>478.562147</v>
      </c>
      <c r="E567" s="17" t="n">
        <f aca="false">IF(D567="","",C567-D567)</f>
        <v>0</v>
      </c>
      <c r="F567" s="18" t="n">
        <f aca="false">IF(OR(D567="",D567=0),"",E567/D567)</f>
        <v>0</v>
      </c>
      <c r="G567" s="16" t="n">
        <v>73.666204</v>
      </c>
      <c r="H567" s="16" t="n">
        <v>0</v>
      </c>
      <c r="I567" s="16" t="n">
        <v>73.666204</v>
      </c>
      <c r="J567" s="17" t="n">
        <f aca="false">IF(I567="","",G567-I567)</f>
        <v>0</v>
      </c>
      <c r="K567" s="18" t="n">
        <f aca="false">IF(OR(I567="",I567=0),"",J567/I567)</f>
        <v>0</v>
      </c>
      <c r="L567" s="19" t="str">
        <f aca="false">IF(OR(D567="",I567=""),"No reported total for O&amp;M or depreciation",IF(AND(ABS(F567)&lt;=$D$2,ABS(K567)&lt;=$D$2),"Reconciles within tolerance","Outside tolerance"))</f>
        <v>Reconciles within tolerance</v>
      </c>
      <c r="M567" s="17" t="n">
        <f aca="false">IF(OR(E567="",LEFT(L567,8)="Excluded"),"",ABS(E567))</f>
        <v>0</v>
      </c>
    </row>
    <row r="568" customFormat="false" ht="15" hidden="false" customHeight="false" outlineLevel="0" collapsed="false">
      <c r="A568" s="7" t="n">
        <v>2003</v>
      </c>
      <c r="B568" s="12" t="s">
        <v>81</v>
      </c>
      <c r="C568" s="16" t="n">
        <v>512.9352</v>
      </c>
      <c r="D568" s="16" t="n">
        <v>512.9352</v>
      </c>
      <c r="E568" s="17" t="n">
        <f aca="false">IF(D568="","",C568-D568)</f>
        <v>0</v>
      </c>
      <c r="F568" s="18" t="n">
        <f aca="false">IF(OR(D568="",D568=0),"",E568/D568)</f>
        <v>0</v>
      </c>
      <c r="G568" s="16" t="n">
        <v>115.676574</v>
      </c>
      <c r="H568" s="16" t="n">
        <v>0</v>
      </c>
      <c r="I568" s="16" t="n">
        <v>115.676574</v>
      </c>
      <c r="J568" s="17" t="n">
        <f aca="false">IF(I568="","",G568-I568)</f>
        <v>0</v>
      </c>
      <c r="K568" s="18" t="n">
        <f aca="false">IF(OR(I568="",I568=0),"",J568/I568)</f>
        <v>0</v>
      </c>
      <c r="L568" s="19" t="str">
        <f aca="false">IF(OR(D568="",I568=""),"No reported total for O&amp;M or depreciation",IF(AND(ABS(F568)&lt;=$D$2,ABS(K568)&lt;=$D$2),"Reconciles within tolerance","Outside tolerance"))</f>
        <v>Reconciles within tolerance</v>
      </c>
      <c r="M568" s="17" t="n">
        <f aca="false">IF(OR(E568="",LEFT(L568,8)="Excluded"),"",ABS(E568))</f>
        <v>0</v>
      </c>
    </row>
    <row r="569" customFormat="false" ht="15" hidden="false" customHeight="false" outlineLevel="0" collapsed="false">
      <c r="A569" s="7" t="n">
        <v>2004</v>
      </c>
      <c r="B569" s="12" t="s">
        <v>81</v>
      </c>
      <c r="C569" s="16" t="n">
        <v>568.946814</v>
      </c>
      <c r="D569" s="16" t="n">
        <v>568.946814</v>
      </c>
      <c r="E569" s="17" t="n">
        <f aca="false">IF(D569="","",C569-D569)</f>
        <v>0</v>
      </c>
      <c r="F569" s="18" t="n">
        <f aca="false">IF(OR(D569="",D569=0),"",E569/D569)</f>
        <v>0</v>
      </c>
      <c r="G569" s="16" t="n">
        <v>82.08377</v>
      </c>
      <c r="H569" s="16" t="n">
        <v>0</v>
      </c>
      <c r="I569" s="16" t="n">
        <v>82.08377</v>
      </c>
      <c r="J569" s="17" t="n">
        <f aca="false">IF(I569="","",G569-I569)</f>
        <v>0</v>
      </c>
      <c r="K569" s="18" t="n">
        <f aca="false">IF(OR(I569="",I569=0),"",J569/I569)</f>
        <v>0</v>
      </c>
      <c r="L569" s="19" t="str">
        <f aca="false">IF(OR(D569="",I569=""),"No reported total for O&amp;M or depreciation",IF(AND(ABS(F569)&lt;=$D$2,ABS(K569)&lt;=$D$2),"Reconciles within tolerance","Outside tolerance"))</f>
        <v>Reconciles within tolerance</v>
      </c>
      <c r="M569" s="17" t="n">
        <f aca="false">IF(OR(E569="",LEFT(L569,8)="Excluded"),"",ABS(E569))</f>
        <v>0</v>
      </c>
    </row>
    <row r="570" customFormat="false" ht="15" hidden="false" customHeight="false" outlineLevel="0" collapsed="false">
      <c r="A570" s="7" t="n">
        <v>2005</v>
      </c>
      <c r="B570" s="12" t="s">
        <v>81</v>
      </c>
      <c r="C570" s="16" t="n">
        <v>708.210836</v>
      </c>
      <c r="D570" s="16" t="n">
        <v>708.210836</v>
      </c>
      <c r="E570" s="17" t="n">
        <f aca="false">IF(D570="","",C570-D570)</f>
        <v>0</v>
      </c>
      <c r="F570" s="18" t="n">
        <f aca="false">IF(OR(D570="",D570=0),"",E570/D570)</f>
        <v>0</v>
      </c>
      <c r="G570" s="16" t="n">
        <v>115.479004</v>
      </c>
      <c r="H570" s="16" t="n">
        <v>0</v>
      </c>
      <c r="I570" s="16" t="n">
        <v>115.479004</v>
      </c>
      <c r="J570" s="17" t="n">
        <f aca="false">IF(I570="","",G570-I570)</f>
        <v>0</v>
      </c>
      <c r="K570" s="18" t="n">
        <f aca="false">IF(OR(I570="",I570=0),"",J570/I570)</f>
        <v>0</v>
      </c>
      <c r="L570" s="19" t="str">
        <f aca="false">IF(OR(D570="",I570=""),"No reported total for O&amp;M or depreciation",IF(AND(ABS(F570)&lt;=$D$2,ABS(K570)&lt;=$D$2),"Reconciles within tolerance","Outside tolerance"))</f>
        <v>Reconciles within tolerance</v>
      </c>
      <c r="M570" s="17" t="n">
        <f aca="false">IF(OR(E570="",LEFT(L570,8)="Excluded"),"",ABS(E570))</f>
        <v>0</v>
      </c>
    </row>
    <row r="571" customFormat="false" ht="15" hidden="false" customHeight="false" outlineLevel="0" collapsed="false">
      <c r="A571" s="7" t="n">
        <v>2006</v>
      </c>
      <c r="B571" s="12" t="s">
        <v>81</v>
      </c>
      <c r="C571" s="16" t="n">
        <v>807.569932</v>
      </c>
      <c r="D571" s="16" t="n">
        <v>807.569932</v>
      </c>
      <c r="E571" s="17" t="n">
        <f aca="false">IF(D571="","",C571-D571)</f>
        <v>0</v>
      </c>
      <c r="F571" s="18" t="n">
        <f aca="false">IF(OR(D571="",D571=0),"",E571/D571)</f>
        <v>0</v>
      </c>
      <c r="G571" s="16" t="n">
        <v>73.137249</v>
      </c>
      <c r="H571" s="16" t="n">
        <v>0</v>
      </c>
      <c r="I571" s="16" t="n">
        <v>73.137249</v>
      </c>
      <c r="J571" s="17" t="n">
        <f aca="false">IF(I571="","",G571-I571)</f>
        <v>0</v>
      </c>
      <c r="K571" s="18" t="n">
        <f aca="false">IF(OR(I571="",I571=0),"",J571/I571)</f>
        <v>0</v>
      </c>
      <c r="L571" s="19" t="str">
        <f aca="false">IF(OR(D571="",I571=""),"No reported total for O&amp;M or depreciation",IF(AND(ABS(F571)&lt;=$D$2,ABS(K571)&lt;=$D$2),"Reconciles within tolerance","Outside tolerance"))</f>
        <v>Reconciles within tolerance</v>
      </c>
      <c r="M571" s="17" t="n">
        <f aca="false">IF(OR(E571="",LEFT(L571,8)="Excluded"),"",ABS(E571))</f>
        <v>0</v>
      </c>
    </row>
    <row r="572" customFormat="false" ht="15" hidden="false" customHeight="false" outlineLevel="0" collapsed="false">
      <c r="A572" s="7" t="n">
        <v>2007</v>
      </c>
      <c r="B572" s="12" t="s">
        <v>81</v>
      </c>
      <c r="C572" s="16" t="n">
        <v>932.109941</v>
      </c>
      <c r="D572" s="16" t="n">
        <v>932.109941</v>
      </c>
      <c r="E572" s="17" t="n">
        <f aca="false">IF(D572="","",C572-D572)</f>
        <v>0</v>
      </c>
      <c r="F572" s="18" t="n">
        <f aca="false">IF(OR(D572="",D572=0),"",E572/D572)</f>
        <v>0</v>
      </c>
      <c r="G572" s="16" t="n">
        <v>74.353514</v>
      </c>
      <c r="H572" s="16" t="n">
        <v>0</v>
      </c>
      <c r="I572" s="16" t="n">
        <v>74.353514</v>
      </c>
      <c r="J572" s="17" t="n">
        <f aca="false">IF(I572="","",G572-I572)</f>
        <v>0</v>
      </c>
      <c r="K572" s="18" t="n">
        <f aca="false">IF(OR(I572="",I572=0),"",J572/I572)</f>
        <v>0</v>
      </c>
      <c r="L572" s="19" t="str">
        <f aca="false">IF(OR(D572="",I572=""),"No reported total for O&amp;M or depreciation",IF(AND(ABS(F572)&lt;=$D$2,ABS(K572)&lt;=$D$2),"Reconciles within tolerance","Outside tolerance"))</f>
        <v>Reconciles within tolerance</v>
      </c>
      <c r="M572" s="17" t="n">
        <f aca="false">IF(OR(E572="",LEFT(L572,8)="Excluded"),"",ABS(E572))</f>
        <v>0</v>
      </c>
    </row>
    <row r="573" customFormat="false" ht="15" hidden="false" customHeight="false" outlineLevel="0" collapsed="false">
      <c r="A573" s="7" t="n">
        <v>2008</v>
      </c>
      <c r="B573" s="12" t="s">
        <v>81</v>
      </c>
      <c r="C573" s="16" t="n">
        <v>946.107222</v>
      </c>
      <c r="D573" s="16" t="n">
        <v>946.107222</v>
      </c>
      <c r="E573" s="17" t="n">
        <f aca="false">IF(D573="","",C573-D573)</f>
        <v>0</v>
      </c>
      <c r="F573" s="18" t="n">
        <f aca="false">IF(OR(D573="",D573=0),"",E573/D573)</f>
        <v>0</v>
      </c>
      <c r="G573" s="16" t="n">
        <v>78.54951</v>
      </c>
      <c r="H573" s="16" t="n">
        <v>0</v>
      </c>
      <c r="I573" s="16" t="n">
        <v>78.54951</v>
      </c>
      <c r="J573" s="17" t="n">
        <f aca="false">IF(I573="","",G573-I573)</f>
        <v>0</v>
      </c>
      <c r="K573" s="18" t="n">
        <f aca="false">IF(OR(I573="",I573=0),"",J573/I573)</f>
        <v>0</v>
      </c>
      <c r="L573" s="19" t="str">
        <f aca="false">IF(OR(D573="",I573=""),"No reported total for O&amp;M or depreciation",IF(AND(ABS(F573)&lt;=$D$2,ABS(K573)&lt;=$D$2),"Reconciles within tolerance","Outside tolerance"))</f>
        <v>Reconciles within tolerance</v>
      </c>
      <c r="M573" s="17" t="n">
        <f aca="false">IF(OR(E573="",LEFT(L573,8)="Excluded"),"",ABS(E573))</f>
        <v>0</v>
      </c>
    </row>
    <row r="574" customFormat="false" ht="15" hidden="false" customHeight="false" outlineLevel="0" collapsed="false">
      <c r="A574" s="7" t="n">
        <v>2009</v>
      </c>
      <c r="B574" s="12" t="s">
        <v>81</v>
      </c>
      <c r="C574" s="16" t="n">
        <v>900.311429</v>
      </c>
      <c r="D574" s="16" t="n">
        <v>900.311429</v>
      </c>
      <c r="E574" s="17" t="n">
        <f aca="false">IF(D574="","",C574-D574)</f>
        <v>0</v>
      </c>
      <c r="F574" s="18" t="n">
        <f aca="false">IF(OR(D574="",D574=0),"",E574/D574)</f>
        <v>0</v>
      </c>
      <c r="G574" s="16" t="n">
        <v>84.08452</v>
      </c>
      <c r="H574" s="16" t="n">
        <v>0</v>
      </c>
      <c r="I574" s="16" t="n">
        <v>84.08452</v>
      </c>
      <c r="J574" s="17" t="n">
        <f aca="false">IF(I574="","",G574-I574)</f>
        <v>0</v>
      </c>
      <c r="K574" s="18" t="n">
        <f aca="false">IF(OR(I574="",I574=0),"",J574/I574)</f>
        <v>0</v>
      </c>
      <c r="L574" s="19" t="str">
        <f aca="false">IF(OR(D574="",I574=""),"No reported total for O&amp;M or depreciation",IF(AND(ABS(F574)&lt;=$D$2,ABS(K574)&lt;=$D$2),"Reconciles within tolerance","Outside tolerance"))</f>
        <v>Reconciles within tolerance</v>
      </c>
      <c r="M574" s="17" t="n">
        <f aca="false">IF(OR(E574="",LEFT(L574,8)="Excluded"),"",ABS(E574))</f>
        <v>0</v>
      </c>
    </row>
    <row r="575" customFormat="false" ht="15" hidden="false" customHeight="false" outlineLevel="0" collapsed="false">
      <c r="A575" s="7" t="n">
        <v>2010</v>
      </c>
      <c r="B575" s="12" t="s">
        <v>81</v>
      </c>
      <c r="C575" s="16" t="n">
        <v>899.021538</v>
      </c>
      <c r="D575" s="16" t="n">
        <v>899.021538</v>
      </c>
      <c r="E575" s="17" t="n">
        <f aca="false">IF(D575="","",C575-D575)</f>
        <v>0</v>
      </c>
      <c r="F575" s="18" t="n">
        <f aca="false">IF(OR(D575="",D575=0),"",E575/D575)</f>
        <v>0</v>
      </c>
      <c r="G575" s="16" t="n">
        <v>88.233456</v>
      </c>
      <c r="H575" s="16" t="n">
        <v>0</v>
      </c>
      <c r="I575" s="16" t="n">
        <v>88.233456</v>
      </c>
      <c r="J575" s="17" t="n">
        <f aca="false">IF(I575="","",G575-I575)</f>
        <v>0</v>
      </c>
      <c r="K575" s="18" t="n">
        <f aca="false">IF(OR(I575="",I575=0),"",J575/I575)</f>
        <v>0</v>
      </c>
      <c r="L575" s="19" t="str">
        <f aca="false">IF(OR(D575="",I575=""),"No reported total for O&amp;M or depreciation",IF(AND(ABS(F575)&lt;=$D$2,ABS(K575)&lt;=$D$2),"Reconciles within tolerance","Outside tolerance"))</f>
        <v>Reconciles within tolerance</v>
      </c>
      <c r="M575" s="17" t="n">
        <f aca="false">IF(OR(E575="",LEFT(L575,8)="Excluded"),"",ABS(E575))</f>
        <v>0</v>
      </c>
    </row>
    <row r="576" customFormat="false" ht="15" hidden="false" customHeight="false" outlineLevel="0" collapsed="false">
      <c r="A576" s="7" t="n">
        <v>2011</v>
      </c>
      <c r="B576" s="12" t="s">
        <v>81</v>
      </c>
      <c r="C576" s="16" t="n">
        <v>920.972327</v>
      </c>
      <c r="D576" s="16" t="n">
        <v>920.972327</v>
      </c>
      <c r="E576" s="17" t="n">
        <f aca="false">IF(D576="","",C576-D576)</f>
        <v>0</v>
      </c>
      <c r="F576" s="18" t="n">
        <f aca="false">IF(OR(D576="",D576=0),"",E576/D576)</f>
        <v>0</v>
      </c>
      <c r="G576" s="16" t="n">
        <v>80.789684</v>
      </c>
      <c r="H576" s="16" t="n">
        <v>0</v>
      </c>
      <c r="I576" s="16" t="n">
        <v>80.789684</v>
      </c>
      <c r="J576" s="17" t="n">
        <f aca="false">IF(I576="","",G576-I576)</f>
        <v>0</v>
      </c>
      <c r="K576" s="18" t="n">
        <f aca="false">IF(OR(I576="",I576=0),"",J576/I576)</f>
        <v>0</v>
      </c>
      <c r="L576" s="19" t="str">
        <f aca="false">IF(OR(D576="",I576=""),"No reported total for O&amp;M or depreciation",IF(AND(ABS(F576)&lt;=$D$2,ABS(K576)&lt;=$D$2),"Reconciles within tolerance","Outside tolerance"))</f>
        <v>Reconciles within tolerance</v>
      </c>
      <c r="M576" s="17" t="n">
        <f aca="false">IF(OR(E576="",LEFT(L576,8)="Excluded"),"",ABS(E576))</f>
        <v>0</v>
      </c>
    </row>
    <row r="577" customFormat="false" ht="15" hidden="false" customHeight="false" outlineLevel="0" collapsed="false">
      <c r="A577" s="7" t="n">
        <v>2012</v>
      </c>
      <c r="B577" s="12" t="s">
        <v>81</v>
      </c>
      <c r="C577" s="16" t="n">
        <v>923.317826</v>
      </c>
      <c r="D577" s="16" t="n">
        <v>923.317826</v>
      </c>
      <c r="E577" s="17" t="n">
        <f aca="false">IF(D577="","",C577-D577)</f>
        <v>0</v>
      </c>
      <c r="F577" s="18" t="n">
        <f aca="false">IF(OR(D577="",D577=0),"",E577/D577)</f>
        <v>0</v>
      </c>
      <c r="G577" s="16" t="n">
        <v>81.065194</v>
      </c>
      <c r="H577" s="16" t="n">
        <v>0</v>
      </c>
      <c r="I577" s="16" t="n">
        <v>81.065194</v>
      </c>
      <c r="J577" s="17" t="n">
        <f aca="false">IF(I577="","",G577-I577)</f>
        <v>0</v>
      </c>
      <c r="K577" s="18" t="n">
        <f aca="false">IF(OR(I577="",I577=0),"",J577/I577)</f>
        <v>0</v>
      </c>
      <c r="L577" s="19" t="str">
        <f aca="false">IF(OR(D577="",I577=""),"No reported total for O&amp;M or depreciation",IF(AND(ABS(F577)&lt;=$D$2,ABS(K577)&lt;=$D$2),"Reconciles within tolerance","Outside tolerance"))</f>
        <v>Reconciles within tolerance</v>
      </c>
      <c r="M577" s="17" t="n">
        <f aca="false">IF(OR(E577="",LEFT(L577,8)="Excluded"),"",ABS(E577))</f>
        <v>0</v>
      </c>
    </row>
    <row r="578" customFormat="false" ht="15" hidden="false" customHeight="false" outlineLevel="0" collapsed="false">
      <c r="A578" s="7" t="n">
        <v>2013</v>
      </c>
      <c r="B578" s="12" t="s">
        <v>81</v>
      </c>
      <c r="C578" s="16" t="n">
        <v>935.437428</v>
      </c>
      <c r="D578" s="16" t="n">
        <v>935.437428</v>
      </c>
      <c r="E578" s="17" t="n">
        <f aca="false">IF(D578="","",C578-D578)</f>
        <v>0</v>
      </c>
      <c r="F578" s="18" t="n">
        <f aca="false">IF(OR(D578="",D578=0),"",E578/D578)</f>
        <v>0</v>
      </c>
      <c r="G578" s="16" t="n">
        <v>87.262523</v>
      </c>
      <c r="H578" s="16" t="n">
        <v>0</v>
      </c>
      <c r="I578" s="16" t="n">
        <v>87.262523</v>
      </c>
      <c r="J578" s="17" t="n">
        <f aca="false">IF(I578="","",G578-I578)</f>
        <v>0</v>
      </c>
      <c r="K578" s="18" t="n">
        <f aca="false">IF(OR(I578="",I578=0),"",J578/I578)</f>
        <v>0</v>
      </c>
      <c r="L578" s="19" t="str">
        <f aca="false">IF(OR(D578="",I578=""),"No reported total for O&amp;M or depreciation",IF(AND(ABS(F578)&lt;=$D$2,ABS(K578)&lt;=$D$2),"Reconciles within tolerance","Outside tolerance"))</f>
        <v>Reconciles within tolerance</v>
      </c>
      <c r="M578" s="17" t="n">
        <f aca="false">IF(OR(E578="",LEFT(L578,8)="Excluded"),"",ABS(E578))</f>
        <v>0</v>
      </c>
    </row>
    <row r="579" customFormat="false" ht="15" hidden="false" customHeight="false" outlineLevel="0" collapsed="false">
      <c r="A579" s="7" t="n">
        <v>2014</v>
      </c>
      <c r="B579" s="12" t="s">
        <v>81</v>
      </c>
      <c r="C579" s="16" t="n">
        <v>889.891551</v>
      </c>
      <c r="D579" s="16" t="n">
        <v>889.891551</v>
      </c>
      <c r="E579" s="17" t="n">
        <f aca="false">IF(D579="","",C579-D579)</f>
        <v>0</v>
      </c>
      <c r="F579" s="18" t="n">
        <f aca="false">IF(OR(D579="",D579=0),"",E579/D579)</f>
        <v>0</v>
      </c>
      <c r="G579" s="16" t="n">
        <v>93.415417</v>
      </c>
      <c r="H579" s="16" t="n">
        <v>0</v>
      </c>
      <c r="I579" s="16" t="n">
        <v>93.415417</v>
      </c>
      <c r="J579" s="17" t="n">
        <f aca="false">IF(I579="","",G579-I579)</f>
        <v>0</v>
      </c>
      <c r="K579" s="18" t="n">
        <f aca="false">IF(OR(I579="",I579=0),"",J579/I579)</f>
        <v>0</v>
      </c>
      <c r="L579" s="19" t="str">
        <f aca="false">IF(OR(D579="",I579=""),"No reported total for O&amp;M or depreciation",IF(AND(ABS(F579)&lt;=$D$2,ABS(K579)&lt;=$D$2),"Reconciles within tolerance","Outside tolerance"))</f>
        <v>Reconciles within tolerance</v>
      </c>
      <c r="M579" s="17" t="n">
        <f aca="false">IF(OR(E579="",LEFT(L579,8)="Excluded"),"",ABS(E579))</f>
        <v>0</v>
      </c>
    </row>
    <row r="580" customFormat="false" ht="15" hidden="false" customHeight="false" outlineLevel="0" collapsed="false">
      <c r="A580" s="7" t="n">
        <v>2015</v>
      </c>
      <c r="B580" s="12" t="s">
        <v>81</v>
      </c>
      <c r="C580" s="16" t="n">
        <v>858.057474</v>
      </c>
      <c r="D580" s="16" t="n">
        <v>858.057474</v>
      </c>
      <c r="E580" s="17" t="n">
        <f aca="false">IF(D580="","",C580-D580)</f>
        <v>0</v>
      </c>
      <c r="F580" s="18" t="n">
        <f aca="false">IF(OR(D580="",D580=0),"",E580/D580)</f>
        <v>0</v>
      </c>
      <c r="G580" s="16" t="n">
        <v>96.20626</v>
      </c>
      <c r="H580" s="16" t="n">
        <v>0</v>
      </c>
      <c r="I580" s="16" t="n">
        <v>96.20626</v>
      </c>
      <c r="J580" s="17" t="n">
        <f aca="false">IF(I580="","",G580-I580)</f>
        <v>0</v>
      </c>
      <c r="K580" s="18" t="n">
        <f aca="false">IF(OR(I580="",I580=0),"",J580/I580)</f>
        <v>0</v>
      </c>
      <c r="L580" s="19" t="str">
        <f aca="false">IF(OR(D580="",I580=""),"No reported total for O&amp;M or depreciation",IF(AND(ABS(F580)&lt;=$D$2,ABS(K580)&lt;=$D$2),"Reconciles within tolerance","Outside tolerance"))</f>
        <v>Reconciles within tolerance</v>
      </c>
      <c r="M580" s="17" t="n">
        <f aca="false">IF(OR(E580="",LEFT(L580,8)="Excluded"),"",ABS(E580))</f>
        <v>0</v>
      </c>
    </row>
    <row r="581" customFormat="false" ht="15" hidden="false" customHeight="false" outlineLevel="0" collapsed="false">
      <c r="A581" s="7" t="n">
        <v>2016</v>
      </c>
      <c r="B581" s="12" t="s">
        <v>81</v>
      </c>
      <c r="C581" s="16" t="n">
        <v>808.619538</v>
      </c>
      <c r="D581" s="16" t="n">
        <v>808.619538</v>
      </c>
      <c r="E581" s="17" t="n">
        <f aca="false">IF(D581="","",C581-D581)</f>
        <v>0</v>
      </c>
      <c r="F581" s="18" t="n">
        <f aca="false">IF(OR(D581="",D581=0),"",E581/D581)</f>
        <v>0</v>
      </c>
      <c r="G581" s="16" t="n">
        <v>98.47906</v>
      </c>
      <c r="H581" s="16" t="n">
        <v>0</v>
      </c>
      <c r="I581" s="16" t="n">
        <v>98.47906</v>
      </c>
      <c r="J581" s="17" t="n">
        <f aca="false">IF(I581="","",G581-I581)</f>
        <v>0</v>
      </c>
      <c r="K581" s="18" t="n">
        <f aca="false">IF(OR(I581="",I581=0),"",J581/I581)</f>
        <v>0</v>
      </c>
      <c r="L581" s="19" t="str">
        <f aca="false">IF(OR(D581="",I581=""),"No reported total for O&amp;M or depreciation",IF(AND(ABS(F581)&lt;=$D$2,ABS(K581)&lt;=$D$2),"Reconciles within tolerance","Outside tolerance"))</f>
        <v>Reconciles within tolerance</v>
      </c>
      <c r="M581" s="17" t="n">
        <f aca="false">IF(OR(E581="",LEFT(L581,8)="Excluded"),"",ABS(E581))</f>
        <v>0</v>
      </c>
    </row>
    <row r="582" customFormat="false" ht="15" hidden="false" customHeight="false" outlineLevel="0" collapsed="false">
      <c r="A582" s="7" t="n">
        <v>2017</v>
      </c>
      <c r="B582" s="12" t="s">
        <v>81</v>
      </c>
      <c r="C582" s="16" t="n">
        <v>784.994293</v>
      </c>
      <c r="D582" s="16" t="n">
        <v>784.994293</v>
      </c>
      <c r="E582" s="17" t="n">
        <f aca="false">IF(D582="","",C582-D582)</f>
        <v>0</v>
      </c>
      <c r="F582" s="18" t="n">
        <f aca="false">IF(OR(D582="",D582=0),"",E582/D582)</f>
        <v>0</v>
      </c>
      <c r="G582" s="16" t="n">
        <v>112.712493</v>
      </c>
      <c r="H582" s="16" t="n">
        <v>0</v>
      </c>
      <c r="I582" s="16" t="n">
        <v>112.712493</v>
      </c>
      <c r="J582" s="17" t="n">
        <f aca="false">IF(I582="","",G582-I582)</f>
        <v>0</v>
      </c>
      <c r="K582" s="18" t="n">
        <f aca="false">IF(OR(I582="",I582=0),"",J582/I582)</f>
        <v>0</v>
      </c>
      <c r="L582" s="19" t="str">
        <f aca="false">IF(OR(D582="",I582=""),"No reported total for O&amp;M or depreciation",IF(AND(ABS(F582)&lt;=$D$2,ABS(K582)&lt;=$D$2),"Reconciles within tolerance","Outside tolerance"))</f>
        <v>Reconciles within tolerance</v>
      </c>
      <c r="M582" s="17" t="n">
        <f aca="false">IF(OR(E582="",LEFT(L582,8)="Excluded"),"",ABS(E582))</f>
        <v>0</v>
      </c>
    </row>
    <row r="583" customFormat="false" ht="15" hidden="false" customHeight="false" outlineLevel="0" collapsed="false">
      <c r="A583" s="7" t="n">
        <v>2018</v>
      </c>
      <c r="B583" s="12" t="s">
        <v>81</v>
      </c>
      <c r="C583" s="16" t="n">
        <v>773.93752</v>
      </c>
      <c r="D583" s="16" t="n">
        <v>773.93752</v>
      </c>
      <c r="E583" s="17" t="n">
        <f aca="false">IF(D583="","",C583-D583)</f>
        <v>0</v>
      </c>
      <c r="F583" s="18" t="n">
        <f aca="false">IF(OR(D583="",D583=0),"",E583/D583)</f>
        <v>0</v>
      </c>
      <c r="G583" s="16" t="n">
        <v>117.720468</v>
      </c>
      <c r="H583" s="16" t="n">
        <v>0</v>
      </c>
      <c r="I583" s="16" t="n">
        <v>117.720468</v>
      </c>
      <c r="J583" s="17" t="n">
        <f aca="false">IF(I583="","",G583-I583)</f>
        <v>0</v>
      </c>
      <c r="K583" s="18" t="n">
        <f aca="false">IF(OR(I583="",I583=0),"",J583/I583)</f>
        <v>0</v>
      </c>
      <c r="L583" s="19" t="str">
        <f aca="false">IF(OR(D583="",I583=""),"No reported total for O&amp;M or depreciation",IF(AND(ABS(F583)&lt;=$D$2,ABS(K583)&lt;=$D$2),"Reconciles within tolerance","Outside tolerance"))</f>
        <v>Reconciles within tolerance</v>
      </c>
      <c r="M583" s="17" t="n">
        <f aca="false">IF(OR(E583="",LEFT(L583,8)="Excluded"),"",ABS(E583))</f>
        <v>0</v>
      </c>
    </row>
    <row r="584" customFormat="false" ht="15" hidden="false" customHeight="false" outlineLevel="0" collapsed="false">
      <c r="A584" s="7" t="n">
        <v>2019</v>
      </c>
      <c r="B584" s="12" t="s">
        <v>81</v>
      </c>
      <c r="C584" s="16" t="n">
        <v>672.512499</v>
      </c>
      <c r="D584" s="16" t="n">
        <v>672.512499</v>
      </c>
      <c r="E584" s="17" t="n">
        <f aca="false">IF(D584="","",C584-D584)</f>
        <v>0</v>
      </c>
      <c r="F584" s="18" t="n">
        <f aca="false">IF(OR(D584="",D584=0),"",E584/D584)</f>
        <v>0</v>
      </c>
      <c r="G584" s="16" t="n">
        <v>119.687907</v>
      </c>
      <c r="H584" s="16" t="n">
        <v>0</v>
      </c>
      <c r="I584" s="16" t="n">
        <v>119.687907</v>
      </c>
      <c r="J584" s="17" t="n">
        <f aca="false">IF(I584="","",G584-I584)</f>
        <v>0</v>
      </c>
      <c r="K584" s="18" t="n">
        <f aca="false">IF(OR(I584="",I584=0),"",J584/I584)</f>
        <v>0</v>
      </c>
      <c r="L584" s="19" t="str">
        <f aca="false">IF(OR(D584="",I584=""),"No reported total for O&amp;M or depreciation",IF(AND(ABS(F584)&lt;=$D$2,ABS(K584)&lt;=$D$2),"Reconciles within tolerance","Outside tolerance"))</f>
        <v>Reconciles within tolerance</v>
      </c>
      <c r="M584" s="17" t="n">
        <f aca="false">IF(OR(E584="",LEFT(L584,8)="Excluded"),"",ABS(E584))</f>
        <v>0</v>
      </c>
    </row>
    <row r="585" customFormat="false" ht="15" hidden="false" customHeight="false" outlineLevel="0" collapsed="false">
      <c r="A585" s="7" t="n">
        <v>2020</v>
      </c>
      <c r="B585" s="12" t="s">
        <v>81</v>
      </c>
      <c r="C585" s="16" t="n">
        <v>631.303032</v>
      </c>
      <c r="D585" s="16" t="n">
        <v>631.303032</v>
      </c>
      <c r="E585" s="17" t="n">
        <f aca="false">IF(D585="","",C585-D585)</f>
        <v>0</v>
      </c>
      <c r="F585" s="18" t="n">
        <f aca="false">IF(OR(D585="",D585=0),"",E585/D585)</f>
        <v>0</v>
      </c>
      <c r="G585" s="16" t="n">
        <v>138.457156</v>
      </c>
      <c r="H585" s="16" t="n">
        <v>0</v>
      </c>
      <c r="I585" s="16" t="n">
        <v>138.457156</v>
      </c>
      <c r="J585" s="17" t="n">
        <f aca="false">IF(I585="","",G585-I585)</f>
        <v>0</v>
      </c>
      <c r="K585" s="18" t="n">
        <f aca="false">IF(OR(I585="",I585=0),"",J585/I585)</f>
        <v>0</v>
      </c>
      <c r="L585" s="19" t="str">
        <f aca="false">IF(OR(D585="",I585=""),"No reported total for O&amp;M or depreciation",IF(AND(ABS(F585)&lt;=$D$2,ABS(K585)&lt;=$D$2),"Reconciles within tolerance","Outside tolerance"))</f>
        <v>Reconciles within tolerance</v>
      </c>
      <c r="M585" s="17" t="n">
        <f aca="false">IF(OR(E585="",LEFT(L585,8)="Excluded"),"",ABS(E585))</f>
        <v>0</v>
      </c>
    </row>
    <row r="586" customFormat="false" ht="15" hidden="false" customHeight="false" outlineLevel="0" collapsed="false">
      <c r="A586" s="7" t="n">
        <v>2021</v>
      </c>
      <c r="B586" s="12" t="s">
        <v>81</v>
      </c>
      <c r="C586" s="16" t="n">
        <v>706.431369</v>
      </c>
      <c r="D586" s="16" t="n">
        <v>706.431369</v>
      </c>
      <c r="E586" s="17" t="n">
        <f aca="false">IF(D586="","",C586-D586)</f>
        <v>0</v>
      </c>
      <c r="F586" s="18" t="n">
        <f aca="false">IF(OR(D586="",D586=0),"",E586/D586)</f>
        <v>0</v>
      </c>
      <c r="G586" s="16" t="n">
        <v>150.704678</v>
      </c>
      <c r="H586" s="16" t="n">
        <v>0</v>
      </c>
      <c r="I586" s="16" t="n">
        <v>150.704678</v>
      </c>
      <c r="J586" s="17" t="n">
        <f aca="false">IF(I586="","",G586-I586)</f>
        <v>0</v>
      </c>
      <c r="K586" s="18" t="n">
        <f aca="false">IF(OR(I586="",I586=0),"",J586/I586)</f>
        <v>0</v>
      </c>
      <c r="L586" s="19" t="str">
        <f aca="false">IF(OR(D586="",I586=""),"No reported total for O&amp;M or depreciation",IF(AND(ABS(F586)&lt;=$D$2,ABS(K586)&lt;=$D$2),"Reconciles within tolerance","Outside tolerance"))</f>
        <v>Reconciles within tolerance</v>
      </c>
      <c r="M586" s="17" t="n">
        <f aca="false">IF(OR(E586="",LEFT(L586,8)="Excluded"),"",ABS(E586))</f>
        <v>0</v>
      </c>
    </row>
    <row r="587" customFormat="false" ht="15" hidden="false" customHeight="false" outlineLevel="0" collapsed="false">
      <c r="A587" s="7" t="n">
        <v>2022</v>
      </c>
      <c r="B587" s="12" t="s">
        <v>81</v>
      </c>
      <c r="C587" s="16" t="n">
        <v>826.839416</v>
      </c>
      <c r="D587" s="16" t="n">
        <v>826.839416</v>
      </c>
      <c r="E587" s="17" t="n">
        <f aca="false">IF(D587="","",C587-D587)</f>
        <v>0</v>
      </c>
      <c r="F587" s="18" t="n">
        <f aca="false">IF(OR(D587="",D587=0),"",E587/D587)</f>
        <v>0</v>
      </c>
      <c r="G587" s="16" t="n">
        <v>160.857743</v>
      </c>
      <c r="H587" s="16" t="n">
        <v>0</v>
      </c>
      <c r="I587" s="16" t="n">
        <v>160.857743</v>
      </c>
      <c r="J587" s="17" t="n">
        <f aca="false">IF(I587="","",G587-I587)</f>
        <v>0</v>
      </c>
      <c r="K587" s="18" t="n">
        <f aca="false">IF(OR(I587="",I587=0),"",J587/I587)</f>
        <v>0</v>
      </c>
      <c r="L587" s="19" t="str">
        <f aca="false">IF(OR(D587="",I587=""),"No reported total for O&amp;M or depreciation",IF(AND(ABS(F587)&lt;=$D$2,ABS(K587)&lt;=$D$2),"Reconciles within tolerance","Outside tolerance"))</f>
        <v>Reconciles within tolerance</v>
      </c>
      <c r="M587" s="17" t="n">
        <f aca="false">IF(OR(E587="",LEFT(L587,8)="Excluded"),"",ABS(E587))</f>
        <v>0</v>
      </c>
    </row>
    <row r="588" customFormat="false" ht="15" hidden="false" customHeight="false" outlineLevel="0" collapsed="false">
      <c r="A588" s="7" t="n">
        <v>2023</v>
      </c>
      <c r="B588" s="12" t="s">
        <v>81</v>
      </c>
      <c r="C588" s="16" t="n">
        <v>762.845639</v>
      </c>
      <c r="D588" s="16" t="n">
        <v>762.845639</v>
      </c>
      <c r="E588" s="17" t="n">
        <f aca="false">IF(D588="","",C588-D588)</f>
        <v>0</v>
      </c>
      <c r="F588" s="18" t="n">
        <f aca="false">IF(OR(D588="",D588=0),"",E588/D588)</f>
        <v>0</v>
      </c>
      <c r="G588" s="16" t="n">
        <v>185.017974</v>
      </c>
      <c r="H588" s="16" t="n">
        <v>0</v>
      </c>
      <c r="I588" s="16" t="n">
        <v>185.017974</v>
      </c>
      <c r="J588" s="17" t="n">
        <f aca="false">IF(I588="","",G588-I588)</f>
        <v>0</v>
      </c>
      <c r="K588" s="18" t="n">
        <f aca="false">IF(OR(I588="",I588=0),"",J588/I588)</f>
        <v>0</v>
      </c>
      <c r="L588" s="19" t="str">
        <f aca="false">IF(OR(D588="",I588=""),"No reported total for O&amp;M or depreciation",IF(AND(ABS(F588)&lt;=$D$2,ABS(K588)&lt;=$D$2),"Reconciles within tolerance","Outside tolerance"))</f>
        <v>Reconciles within tolerance</v>
      </c>
      <c r="M588" s="17" t="n">
        <f aca="false">IF(OR(E588="",LEFT(L588,8)="Excluded"),"",ABS(E588))</f>
        <v>0</v>
      </c>
    </row>
    <row r="589" customFormat="false" ht="15" hidden="false" customHeight="false" outlineLevel="0" collapsed="false">
      <c r="A589" s="7" t="n">
        <v>2024</v>
      </c>
      <c r="B589" s="12" t="s">
        <v>81</v>
      </c>
      <c r="C589" s="16" t="n">
        <v>698.928847</v>
      </c>
      <c r="D589" s="16" t="n">
        <v>698.928847</v>
      </c>
      <c r="E589" s="17" t="n">
        <f aca="false">IF(D589="","",C589-D589)</f>
        <v>0</v>
      </c>
      <c r="F589" s="18" t="n">
        <f aca="false">IF(OR(D589="",D589=0),"",E589/D589)</f>
        <v>0</v>
      </c>
      <c r="G589" s="16" t="n">
        <v>193.728255</v>
      </c>
      <c r="H589" s="16" t="n">
        <v>0</v>
      </c>
      <c r="I589" s="16" t="n">
        <v>193.728255</v>
      </c>
      <c r="J589" s="17" t="n">
        <f aca="false">IF(I589="","",G589-I589)</f>
        <v>0</v>
      </c>
      <c r="K589" s="18" t="n">
        <f aca="false">IF(OR(I589="",I589=0),"",J589/I589)</f>
        <v>0</v>
      </c>
      <c r="L589" s="19" t="str">
        <f aca="false">IF(OR(D589="",I589=""),"No reported total for O&amp;M or depreciation",IF(AND(ABS(F589)&lt;=$D$2,ABS(K589)&lt;=$D$2),"Reconciles within tolerance","Outside tolerance"))</f>
        <v>Reconciles within tolerance</v>
      </c>
      <c r="M589" s="17" t="n">
        <f aca="false">IF(OR(E589="",LEFT(L589,8)="Excluded"),"",ABS(E589))</f>
        <v>0</v>
      </c>
    </row>
    <row r="590" customFormat="false" ht="15" hidden="false" customHeight="false" outlineLevel="0" collapsed="false">
      <c r="A590" s="7" t="n">
        <v>2025</v>
      </c>
      <c r="B590" s="12" t="s">
        <v>81</v>
      </c>
      <c r="C590" s="16" t="n">
        <v>812.287589</v>
      </c>
      <c r="D590" s="16" t="n">
        <v>812.287589</v>
      </c>
      <c r="E590" s="17" t="n">
        <f aca="false">IF(D590="","",C590-D590)</f>
        <v>0</v>
      </c>
      <c r="F590" s="18" t="n">
        <f aca="false">IF(OR(D590="",D590=0),"",E590/D590)</f>
        <v>0</v>
      </c>
      <c r="G590" s="16" t="n">
        <v>212.101852</v>
      </c>
      <c r="H590" s="16" t="n">
        <v>0</v>
      </c>
      <c r="I590" s="16" t="n">
        <v>212.101852</v>
      </c>
      <c r="J590" s="17" t="n">
        <f aca="false">IF(I590="","",G590-I590)</f>
        <v>0</v>
      </c>
      <c r="K590" s="18" t="n">
        <f aca="false">IF(OR(I590="",I590=0),"",J590/I590)</f>
        <v>0</v>
      </c>
      <c r="L590" s="19" t="str">
        <f aca="false">IF(OR(D590="",I590=""),"No reported total for O&amp;M or depreciation",IF(AND(ABS(F590)&lt;=$D$2,ABS(K590)&lt;=$D$2),"Reconciles within tolerance","Outside tolerance"))</f>
        <v>Reconciles within tolerance</v>
      </c>
      <c r="M590" s="17" t="n">
        <f aca="false">IF(OR(E590="",LEFT(L590,8)="Excluded"),"",ABS(E590))</f>
        <v>0</v>
      </c>
    </row>
    <row r="592" customFormat="false" ht="15" hidden="false" customHeight="false" outlineLevel="0" collapsed="false">
      <c r="A592" s="13" t="s">
        <v>97</v>
      </c>
      <c r="F592" s="19" t="n">
        <f aca="false">COUNTIF(L6:L590,"Outside tolerance")</f>
        <v>0</v>
      </c>
    </row>
    <row r="593" customFormat="false" ht="15" hidden="false" customHeight="false" outlineLevel="0" collapsed="false">
      <c r="A593" s="13" t="s">
        <v>98</v>
      </c>
      <c r="F593" s="19" t="n">
        <f aca="false">COUNTIF(L6:L590,"No reported total*")</f>
        <v>1</v>
      </c>
    </row>
    <row r="594" customFormat="false" ht="15" hidden="false" customHeight="false" outlineLevel="0" collapsed="false">
      <c r="A594" s="13" t="s">
        <v>99</v>
      </c>
      <c r="F594" s="20" t="n">
        <f aca="false">MAX(M6:M590)</f>
        <v>0.947468999999956</v>
      </c>
    </row>
  </sheetData>
  <autoFilter ref="A5:M590"/>
  <mergeCells count="1">
    <mergeCell ref="A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0"/>
    <col collapsed="false" customWidth="true" hidden="false" outlineLevel="0" max="3" min="3" style="0" width="22"/>
    <col collapsed="false" customWidth="true" hidden="false" outlineLevel="0" max="4" min="4" style="0" width="70"/>
    <col collapsed="false" customWidth="true" hidden="false" outlineLevel="0" max="5" min="5" style="0" width="10"/>
    <col collapsed="false" customWidth="true" hidden="false" outlineLevel="0" max="7" min="6" style="0" width="14"/>
    <col collapsed="false" customWidth="true" hidden="false" outlineLevel="0" max="9" min="8" style="0" width="18"/>
  </cols>
  <sheetData>
    <row r="1" customFormat="false" ht="15" hidden="false" customHeight="false" outlineLevel="0" collapsed="false">
      <c r="A1" s="4" t="s">
        <v>100</v>
      </c>
    </row>
    <row r="2" customFormat="false" ht="60" hidden="false" customHeight="true" outlineLevel="0" collapsed="false">
      <c r="A2" s="15" t="s">
        <v>101</v>
      </c>
      <c r="B2" s="15"/>
      <c r="C2" s="15"/>
      <c r="D2" s="15"/>
      <c r="E2" s="15"/>
      <c r="F2" s="15"/>
      <c r="G2" s="15"/>
      <c r="H2" s="15"/>
      <c r="I2" s="15"/>
    </row>
    <row r="4" customFormat="false" ht="48" hidden="false" customHeight="true" outlineLevel="0" collapsed="false">
      <c r="A4" s="6" t="s">
        <v>54</v>
      </c>
      <c r="B4" s="6" t="s">
        <v>102</v>
      </c>
      <c r="C4" s="6" t="s">
        <v>103</v>
      </c>
      <c r="D4" s="6" t="s">
        <v>104</v>
      </c>
      <c r="E4" s="6" t="s">
        <v>105</v>
      </c>
      <c r="F4" s="6" t="s">
        <v>106</v>
      </c>
      <c r="G4" s="6" t="s">
        <v>107</v>
      </c>
      <c r="H4" s="6" t="s">
        <v>108</v>
      </c>
      <c r="I4" s="6" t="s">
        <v>109</v>
      </c>
    </row>
    <row r="5" customFormat="false" ht="105" hidden="false" customHeight="true" outlineLevel="0" collapsed="false">
      <c r="A5" s="21" t="s">
        <v>79</v>
      </c>
      <c r="B5" s="21" t="s">
        <v>110</v>
      </c>
      <c r="C5" s="21" t="s">
        <v>111</v>
      </c>
      <c r="D5" s="21" t="s">
        <v>112</v>
      </c>
      <c r="E5" s="7" t="n">
        <v>2001</v>
      </c>
      <c r="F5" s="9" t="n">
        <f aca="false">SUMIFS(Data!$F$2:$F$2657,Data!$B$2:$B$2657,$A5,Data!$A$2:$A$2657,$E5-1)</f>
        <v>3.857127</v>
      </c>
      <c r="G5" s="9" t="n">
        <f aca="false">SUMIFS(Data!$F$2:$F$2657,Data!$B$2:$B$2657,$A5,Data!$A$2:$A$2657,$E5-0)</f>
        <v>59.659659</v>
      </c>
      <c r="H5" s="9" t="n">
        <f aca="false">SUMIFS(Data!$E$2:$E$2657,Data!$B$2:$B$2657,$A5,Data!$A$2:$A$2657,$E5-1,Data!$D$2:$D$2657,"Transmission")-SUMIFS(Data!$F$2:$F$2657,Data!$B$2:$B$2657,$A5,Data!$A$2:$A$2657,$E5-1)+SUMIFS(Data!$G$2:$G$2657,Data!$B$2:$B$2657,$A5,Data!$A$2:$A$2657,$E5-1,Data!$D$2:$D$2657,"Transmission")</f>
        <v>22.439354</v>
      </c>
      <c r="I5" s="9" t="n">
        <f aca="false">SUMIFS(Data!$E$2:$E$2657,Data!$B$2:$B$2657,$A5,Data!$A$2:$A$2657,$E5-0,Data!$D$2:$D$2657,"Transmission")-SUMIFS(Data!$F$2:$F$2657,Data!$B$2:$B$2657,$A5,Data!$A$2:$A$2657,$E5-0)+SUMIFS(Data!$G$2:$G$2657,Data!$B$2:$B$2657,$A5,Data!$A$2:$A$2657,$E5-0,Data!$D$2:$D$2657,"Transmission")</f>
        <v>1.136378</v>
      </c>
    </row>
    <row r="6" customFormat="false" ht="105" hidden="false" customHeight="true" outlineLevel="0" collapsed="false">
      <c r="A6" s="21" t="s">
        <v>81</v>
      </c>
      <c r="B6" s="21" t="s">
        <v>110</v>
      </c>
      <c r="C6" s="21" t="s">
        <v>111</v>
      </c>
      <c r="D6" s="21" t="s">
        <v>112</v>
      </c>
      <c r="E6" s="7" t="n">
        <v>2001</v>
      </c>
      <c r="F6" s="9" t="n">
        <f aca="false">SUMIFS(Data!$F$2:$F$2657,Data!$B$2:$B$2657,$A6,Data!$A$2:$A$2657,$E6-1)</f>
        <v>1.988676</v>
      </c>
      <c r="G6" s="9" t="n">
        <f aca="false">SUMIFS(Data!$F$2:$F$2657,Data!$B$2:$B$2657,$A6,Data!$A$2:$A$2657,$E6-0)</f>
        <v>26.888973</v>
      </c>
      <c r="H6" s="9" t="n">
        <f aca="false">SUMIFS(Data!$E$2:$E$2657,Data!$B$2:$B$2657,$A6,Data!$A$2:$A$2657,$E6-1,Data!$D$2:$D$2657,"Transmission")-SUMIFS(Data!$F$2:$F$2657,Data!$B$2:$B$2657,$A6,Data!$A$2:$A$2657,$E6-1)+SUMIFS(Data!$G$2:$G$2657,Data!$B$2:$B$2657,$A6,Data!$A$2:$A$2657,$E6-1,Data!$D$2:$D$2657,"Transmission")</f>
        <v>12.584422</v>
      </c>
      <c r="I6" s="9" t="n">
        <f aca="false">SUMIFS(Data!$E$2:$E$2657,Data!$B$2:$B$2657,$A6,Data!$A$2:$A$2657,$E6-0,Data!$D$2:$D$2657,"Transmission")-SUMIFS(Data!$F$2:$F$2657,Data!$B$2:$B$2657,$A6,Data!$A$2:$A$2657,$E6-0)+SUMIFS(Data!$G$2:$G$2657,Data!$B$2:$B$2657,$A6,Data!$A$2:$A$2657,$E6-0,Data!$D$2:$D$2657,"Transmission")</f>
        <v>1.00659</v>
      </c>
    </row>
    <row r="7" customFormat="false" ht="105" hidden="false" customHeight="true" outlineLevel="0" collapsed="false">
      <c r="A7" s="21" t="s">
        <v>80</v>
      </c>
      <c r="B7" s="21" t="s">
        <v>110</v>
      </c>
      <c r="C7" s="21" t="s">
        <v>111</v>
      </c>
      <c r="D7" s="21" t="s">
        <v>112</v>
      </c>
      <c r="E7" s="7" t="n">
        <v>2001</v>
      </c>
      <c r="F7" s="9" t="n">
        <f aca="false">SUMIFS(Data!$F$2:$F$2657,Data!$B$2:$B$2657,$A7,Data!$A$2:$A$2657,$E7-1)</f>
        <v>10.560805</v>
      </c>
      <c r="G7" s="9" t="n">
        <f aca="false">SUMIFS(Data!$F$2:$F$2657,Data!$B$2:$B$2657,$A7,Data!$A$2:$A$2657,$E7-0)</f>
        <v>44.179696</v>
      </c>
      <c r="H7" s="9" t="n">
        <f aca="false">SUMIFS(Data!$E$2:$E$2657,Data!$B$2:$B$2657,$A7,Data!$A$2:$A$2657,$E7-1,Data!$D$2:$D$2657,"Transmission")-SUMIFS(Data!$F$2:$F$2657,Data!$B$2:$B$2657,$A7,Data!$A$2:$A$2657,$E7-1)+SUMIFS(Data!$G$2:$G$2657,Data!$B$2:$B$2657,$A7,Data!$A$2:$A$2657,$E7-1,Data!$D$2:$D$2657,"Transmission")</f>
        <v>13.374626</v>
      </c>
      <c r="I7" s="9" t="n">
        <f aca="false">SUMIFS(Data!$E$2:$E$2657,Data!$B$2:$B$2657,$A7,Data!$A$2:$A$2657,$E7-0,Data!$D$2:$D$2657,"Transmission")-SUMIFS(Data!$F$2:$F$2657,Data!$B$2:$B$2657,$A7,Data!$A$2:$A$2657,$E7-0)+SUMIFS(Data!$G$2:$G$2657,Data!$B$2:$B$2657,$A7,Data!$A$2:$A$2657,$E7-0,Data!$D$2:$D$2657,"Transmission")</f>
        <v>0.262309999999999</v>
      </c>
    </row>
    <row r="8" customFormat="false" ht="105" hidden="false" customHeight="true" outlineLevel="0" collapsed="false">
      <c r="A8" s="21" t="s">
        <v>71</v>
      </c>
      <c r="B8" s="21" t="s">
        <v>110</v>
      </c>
      <c r="C8" s="21" t="s">
        <v>111</v>
      </c>
      <c r="D8" s="21" t="s">
        <v>112</v>
      </c>
      <c r="E8" s="7" t="n">
        <v>2001</v>
      </c>
      <c r="F8" s="9" t="n">
        <f aca="false">SUMIFS(Data!$F$2:$F$2657,Data!$B$2:$B$2657,$A8,Data!$A$2:$A$2657,$E8-1)</f>
        <v>2.146926</v>
      </c>
      <c r="G8" s="9" t="n">
        <f aca="false">SUMIFS(Data!$F$2:$F$2657,Data!$B$2:$B$2657,$A8,Data!$A$2:$A$2657,$E8-0)</f>
        <v>9.74154</v>
      </c>
      <c r="H8" s="9" t="n">
        <f aca="false">SUMIFS(Data!$E$2:$E$2657,Data!$B$2:$B$2657,$A8,Data!$A$2:$A$2657,$E8-1,Data!$D$2:$D$2657,"Transmission")-SUMIFS(Data!$F$2:$F$2657,Data!$B$2:$B$2657,$A8,Data!$A$2:$A$2657,$E8-1)+SUMIFS(Data!$G$2:$G$2657,Data!$B$2:$B$2657,$A8,Data!$A$2:$A$2657,$E8-1,Data!$D$2:$D$2657,"Transmission")</f>
        <v>4.51229</v>
      </c>
      <c r="I8" s="9" t="n">
        <f aca="false">SUMIFS(Data!$E$2:$E$2657,Data!$B$2:$B$2657,$A8,Data!$A$2:$A$2657,$E8-0,Data!$D$2:$D$2657,"Transmission")-SUMIFS(Data!$F$2:$F$2657,Data!$B$2:$B$2657,$A8,Data!$A$2:$A$2657,$E8-0)+SUMIFS(Data!$G$2:$G$2657,Data!$B$2:$B$2657,$A8,Data!$A$2:$A$2657,$E8-0,Data!$D$2:$D$2657,"Transmission")</f>
        <v>1.013278</v>
      </c>
    </row>
    <row r="9" customFormat="false" ht="105" hidden="false" customHeight="true" outlineLevel="0" collapsed="false">
      <c r="A9" s="21" t="s">
        <v>61</v>
      </c>
      <c r="B9" s="21" t="s">
        <v>113</v>
      </c>
      <c r="C9" s="21" t="s">
        <v>114</v>
      </c>
      <c r="D9" s="21" t="s">
        <v>115</v>
      </c>
      <c r="E9" s="7" t="n">
        <v>2001</v>
      </c>
      <c r="F9" s="9" t="n">
        <f aca="false">SUMIFS(Data!$F$2:$F$2657,Data!$B$2:$B$2657,$A9,Data!$A$2:$A$2657,$E9-1)</f>
        <v>11.057502</v>
      </c>
      <c r="G9" s="9" t="n">
        <f aca="false">SUMIFS(Data!$F$2:$F$2657,Data!$B$2:$B$2657,$A9,Data!$A$2:$A$2657,$E9-0)</f>
        <v>74.302484</v>
      </c>
      <c r="H9" s="9" t="n">
        <f aca="false">SUMIFS(Data!$E$2:$E$2657,Data!$B$2:$B$2657,$A9,Data!$A$2:$A$2657,$E9-1,Data!$D$2:$D$2657,"Transmission")-SUMIFS(Data!$F$2:$F$2657,Data!$B$2:$B$2657,$A9,Data!$A$2:$A$2657,$E9-1)+SUMIFS(Data!$G$2:$G$2657,Data!$B$2:$B$2657,$A9,Data!$A$2:$A$2657,$E9-1,Data!$D$2:$D$2657,"Transmission")</f>
        <v>27.957262</v>
      </c>
      <c r="I9" s="9" t="n">
        <f aca="false">SUMIFS(Data!$E$2:$E$2657,Data!$B$2:$B$2657,$A9,Data!$A$2:$A$2657,$E9-0,Data!$D$2:$D$2657,"Transmission")-SUMIFS(Data!$F$2:$F$2657,Data!$B$2:$B$2657,$A9,Data!$A$2:$A$2657,$E9-0)+SUMIFS(Data!$G$2:$G$2657,Data!$B$2:$B$2657,$A9,Data!$A$2:$A$2657,$E9-0,Data!$D$2:$D$2657,"Transmission")</f>
        <v>6.422397</v>
      </c>
    </row>
    <row r="10" customFormat="false" ht="105" hidden="false" customHeight="true" outlineLevel="0" collapsed="false">
      <c r="A10" s="21" t="s">
        <v>63</v>
      </c>
      <c r="B10" s="21" t="s">
        <v>116</v>
      </c>
      <c r="C10" s="21" t="s">
        <v>117</v>
      </c>
      <c r="D10" s="21" t="s">
        <v>118</v>
      </c>
      <c r="E10" s="7" t="n">
        <v>2002</v>
      </c>
      <c r="F10" s="9" t="n">
        <f aca="false">SUMIFS(Data!$F$2:$F$2657,Data!$B$2:$B$2657,$A10,Data!$A$2:$A$2657,$E10-1)</f>
        <v>56.898422</v>
      </c>
      <c r="G10" s="9" t="n">
        <f aca="false">SUMIFS(Data!$F$2:$F$2657,Data!$B$2:$B$2657,$A10,Data!$A$2:$A$2657,$E10-0)</f>
        <v>116.697795</v>
      </c>
      <c r="H10" s="9" t="n">
        <f aca="false">SUMIFS(Data!$E$2:$E$2657,Data!$B$2:$B$2657,$A10,Data!$A$2:$A$2657,$E10-1,Data!$D$2:$D$2657,"Transmission")-SUMIFS(Data!$F$2:$F$2657,Data!$B$2:$B$2657,$A10,Data!$A$2:$A$2657,$E10-1)+SUMIFS(Data!$G$2:$G$2657,Data!$B$2:$B$2657,$A10,Data!$A$2:$A$2657,$E10-1,Data!$D$2:$D$2657,"Transmission")</f>
        <v>20.00554</v>
      </c>
      <c r="I10" s="9" t="n">
        <f aca="false">SUMIFS(Data!$E$2:$E$2657,Data!$B$2:$B$2657,$A10,Data!$A$2:$A$2657,$E10-0,Data!$D$2:$D$2657,"Transmission")-SUMIFS(Data!$F$2:$F$2657,Data!$B$2:$B$2657,$A10,Data!$A$2:$A$2657,$E10-0)+SUMIFS(Data!$G$2:$G$2657,Data!$B$2:$B$2657,$A10,Data!$A$2:$A$2657,$E10-0,Data!$D$2:$D$2657,"Transmission")</f>
        <v>8.66998500000001</v>
      </c>
    </row>
    <row r="11" customFormat="false" ht="105" hidden="false" customHeight="true" outlineLevel="0" collapsed="false">
      <c r="A11" s="21" t="s">
        <v>69</v>
      </c>
      <c r="B11" s="21" t="s">
        <v>119</v>
      </c>
      <c r="C11" s="21" t="s">
        <v>120</v>
      </c>
      <c r="D11" s="21" t="s">
        <v>121</v>
      </c>
      <c r="E11" s="7" t="n">
        <v>2008</v>
      </c>
      <c r="F11" s="9" t="n">
        <f aca="false">SUMIFS(Data!$F$2:$F$2657,Data!$B$2:$B$2657,$A11,Data!$A$2:$A$2657,$E11-1)</f>
        <v>11.784338</v>
      </c>
      <c r="G11" s="9" t="n">
        <f aca="false">SUMIFS(Data!$F$2:$F$2657,Data!$B$2:$B$2657,$A11,Data!$A$2:$A$2657,$E11-0)</f>
        <v>89.025434</v>
      </c>
      <c r="H11" s="9" t="n">
        <f aca="false">SUMIFS(Data!$E$2:$E$2657,Data!$B$2:$B$2657,$A11,Data!$A$2:$A$2657,$E11-1,Data!$D$2:$D$2657,"Transmission")-SUMIFS(Data!$F$2:$F$2657,Data!$B$2:$B$2657,$A11,Data!$A$2:$A$2657,$E11-1)+SUMIFS(Data!$G$2:$G$2657,Data!$B$2:$B$2657,$A11,Data!$A$2:$A$2657,$E11-1,Data!$D$2:$D$2657,"Transmission")</f>
        <v>29.037831</v>
      </c>
      <c r="I11" s="9" t="n">
        <f aca="false">SUMIFS(Data!$E$2:$E$2657,Data!$B$2:$B$2657,$A11,Data!$A$2:$A$2657,$E11-0,Data!$D$2:$D$2657,"Transmission")-SUMIFS(Data!$F$2:$F$2657,Data!$B$2:$B$2657,$A11,Data!$A$2:$A$2657,$E11-0)+SUMIFS(Data!$G$2:$G$2657,Data!$B$2:$B$2657,$A11,Data!$A$2:$A$2657,$E11-0,Data!$D$2:$D$2657,"Transmission")</f>
        <v>3.181181</v>
      </c>
    </row>
  </sheetData>
  <mergeCells count="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9"/>
    <col collapsed="false" customWidth="true" hidden="false" outlineLevel="0" max="3" min="3" style="0" width="16"/>
    <col collapsed="false" customWidth="true" hidden="false" outlineLevel="0" max="4" min="4" style="0" width="52"/>
    <col collapsed="false" customWidth="true" hidden="false" outlineLevel="0" max="5" min="5" style="0" width="10"/>
    <col collapsed="false" customWidth="true" hidden="false" outlineLevel="0" max="8" min="6" style="0" width="14"/>
  </cols>
  <sheetData>
    <row r="1" customFormat="false" ht="15" hidden="false" customHeight="false" outlineLevel="0" collapsed="false">
      <c r="A1" s="4" t="s">
        <v>122</v>
      </c>
    </row>
    <row r="2" customFormat="false" ht="42" hidden="false" customHeight="true" outlineLevel="0" collapsed="false">
      <c r="A2" s="22" t="s">
        <v>123</v>
      </c>
      <c r="B2" s="22"/>
      <c r="C2" s="22"/>
      <c r="D2" s="22"/>
      <c r="E2" s="22"/>
      <c r="F2" s="22"/>
      <c r="G2" s="22"/>
      <c r="H2" s="22"/>
    </row>
    <row r="3" customFormat="false" ht="42" hidden="false" customHeight="true" outlineLevel="0" collapsed="false">
      <c r="A3" s="23" t="s">
        <v>124</v>
      </c>
      <c r="B3" s="23"/>
      <c r="C3" s="23"/>
      <c r="D3" s="23"/>
      <c r="E3" s="23"/>
      <c r="F3" s="23"/>
      <c r="G3" s="23"/>
      <c r="H3" s="23"/>
    </row>
    <row r="4" customFormat="false" ht="42" hidden="false" customHeight="true" outlineLevel="0" collapsed="false">
      <c r="A4" s="23" t="s">
        <v>125</v>
      </c>
      <c r="B4" s="23"/>
      <c r="C4" s="23"/>
      <c r="D4" s="23"/>
      <c r="E4" s="23"/>
      <c r="F4" s="23"/>
      <c r="G4" s="23"/>
      <c r="H4" s="23"/>
    </row>
    <row r="5" customFormat="false" ht="42" hidden="false" customHeight="true" outlineLevel="0" collapsed="false">
      <c r="A5" s="23" t="s">
        <v>126</v>
      </c>
      <c r="B5" s="23"/>
      <c r="C5" s="23"/>
      <c r="D5" s="23"/>
      <c r="E5" s="23"/>
      <c r="F5" s="23"/>
      <c r="G5" s="23"/>
      <c r="H5" s="23"/>
    </row>
    <row r="7" customFormat="false" ht="48" hidden="false" customHeight="true" outlineLevel="0" collapsed="false">
      <c r="A7" s="6" t="s">
        <v>127</v>
      </c>
      <c r="B7" s="6" t="s">
        <v>55</v>
      </c>
      <c r="C7" s="6" t="s">
        <v>128</v>
      </c>
      <c r="D7" s="6" t="s">
        <v>129</v>
      </c>
      <c r="E7" s="6" t="s">
        <v>130</v>
      </c>
      <c r="F7" s="6" t="s">
        <v>131</v>
      </c>
      <c r="G7" s="6" t="s">
        <v>132</v>
      </c>
      <c r="H7" s="6" t="s">
        <v>133</v>
      </c>
    </row>
    <row r="8" customFormat="false" ht="15" hidden="false" customHeight="false" outlineLevel="0" collapsed="false">
      <c r="A8" s="12" t="s">
        <v>56</v>
      </c>
      <c r="B8" s="12" t="s">
        <v>57</v>
      </c>
      <c r="C8" s="12" t="s">
        <v>134</v>
      </c>
      <c r="D8" s="12" t="s">
        <v>135</v>
      </c>
      <c r="E8" s="7" t="n">
        <v>2025</v>
      </c>
      <c r="F8" s="24" t="n">
        <v>2785.407258</v>
      </c>
      <c r="G8" s="24" t="n">
        <v>1389.326065</v>
      </c>
      <c r="H8" s="24" t="n">
        <v>896.265735</v>
      </c>
    </row>
    <row r="9" customFormat="false" ht="15" hidden="false" customHeight="false" outlineLevel="0" collapsed="false">
      <c r="A9" s="12" t="s">
        <v>58</v>
      </c>
      <c r="B9" s="12" t="s">
        <v>59</v>
      </c>
      <c r="C9" s="12" t="s">
        <v>136</v>
      </c>
      <c r="D9" s="12" t="s">
        <v>137</v>
      </c>
      <c r="E9" s="7" t="n">
        <v>2025</v>
      </c>
      <c r="F9" s="24" t="n">
        <v>18.541838</v>
      </c>
      <c r="G9" s="24" t="n">
        <v>6283.489756</v>
      </c>
      <c r="H9" s="24" t="n">
        <v>9027.539027</v>
      </c>
    </row>
    <row r="10" customFormat="false" ht="15" hidden="false" customHeight="false" outlineLevel="0" collapsed="false">
      <c r="A10" s="12" t="s">
        <v>60</v>
      </c>
      <c r="B10" s="12" t="s">
        <v>59</v>
      </c>
      <c r="C10" s="12" t="s">
        <v>138</v>
      </c>
      <c r="D10" s="12" t="s">
        <v>139</v>
      </c>
      <c r="E10" s="7" t="n">
        <v>2025</v>
      </c>
      <c r="F10" s="24"/>
      <c r="G10" s="24" t="n">
        <v>7461.66635</v>
      </c>
      <c r="H10" s="24" t="n">
        <v>29386.227287</v>
      </c>
    </row>
    <row r="11" customFormat="false" ht="15" hidden="false" customHeight="false" outlineLevel="0" collapsed="false">
      <c r="A11" s="12" t="s">
        <v>61</v>
      </c>
      <c r="B11" s="12" t="s">
        <v>62</v>
      </c>
      <c r="C11" s="12" t="s">
        <v>140</v>
      </c>
      <c r="D11" s="12" t="s">
        <v>141</v>
      </c>
      <c r="E11" s="7" t="n">
        <v>2025</v>
      </c>
      <c r="F11" s="24" t="n">
        <v>5353.911799</v>
      </c>
      <c r="G11" s="24"/>
      <c r="H11" s="24" t="n">
        <v>13253.710721</v>
      </c>
    </row>
    <row r="12" customFormat="false" ht="15" hidden="false" customHeight="false" outlineLevel="0" collapsed="false">
      <c r="A12" s="12" t="s">
        <v>63</v>
      </c>
      <c r="B12" s="12" t="s">
        <v>62</v>
      </c>
      <c r="C12" s="12" t="s">
        <v>142</v>
      </c>
      <c r="D12" s="12" t="s">
        <v>143</v>
      </c>
      <c r="E12" s="7" t="n">
        <v>2025</v>
      </c>
      <c r="F12" s="24" t="n">
        <v>11928.404201</v>
      </c>
      <c r="G12" s="24" t="n">
        <v>49.083564</v>
      </c>
      <c r="H12" s="24" t="n">
        <v>15674.769043</v>
      </c>
    </row>
    <row r="13" customFormat="false" ht="15" hidden="false" customHeight="false" outlineLevel="0" collapsed="false">
      <c r="A13" s="12" t="s">
        <v>64</v>
      </c>
      <c r="B13" s="12" t="s">
        <v>65</v>
      </c>
      <c r="C13" s="12" t="s">
        <v>144</v>
      </c>
      <c r="D13" s="12" t="s">
        <v>145</v>
      </c>
      <c r="E13" s="7" t="n">
        <v>2025</v>
      </c>
      <c r="F13" s="24" t="n">
        <v>10724.323977</v>
      </c>
      <c r="G13" s="24" t="n">
        <v>2747.275016</v>
      </c>
      <c r="H13" s="24" t="n">
        <v>5805.473805</v>
      </c>
    </row>
    <row r="14" customFormat="false" ht="15" hidden="false" customHeight="false" outlineLevel="0" collapsed="false">
      <c r="A14" s="12" t="s">
        <v>66</v>
      </c>
      <c r="B14" s="12" t="s">
        <v>67</v>
      </c>
      <c r="C14" s="12" t="s">
        <v>146</v>
      </c>
      <c r="D14" s="12" t="s">
        <v>147</v>
      </c>
      <c r="E14" s="7" t="n">
        <v>2025</v>
      </c>
      <c r="F14" s="24" t="n">
        <v>5465.103807</v>
      </c>
      <c r="G14" s="24" t="n">
        <v>2063.38112</v>
      </c>
      <c r="H14" s="24" t="n">
        <v>3842.072946</v>
      </c>
    </row>
    <row r="15" customFormat="false" ht="15" hidden="false" customHeight="false" outlineLevel="0" collapsed="false">
      <c r="A15" s="12" t="s">
        <v>68</v>
      </c>
      <c r="B15" s="12" t="s">
        <v>65</v>
      </c>
      <c r="C15" s="12" t="s">
        <v>148</v>
      </c>
      <c r="D15" s="12" t="s">
        <v>149</v>
      </c>
      <c r="E15" s="7" t="n">
        <v>2025</v>
      </c>
      <c r="F15" s="24" t="n">
        <v>4110.994917</v>
      </c>
      <c r="G15" s="24" t="n">
        <v>548.321405</v>
      </c>
      <c r="H15" s="24" t="n">
        <v>2930.690758</v>
      </c>
    </row>
    <row r="16" customFormat="false" ht="15" hidden="false" customHeight="false" outlineLevel="0" collapsed="false">
      <c r="A16" s="12" t="s">
        <v>69</v>
      </c>
      <c r="B16" s="12" t="s">
        <v>70</v>
      </c>
      <c r="C16" s="12" t="s">
        <v>150</v>
      </c>
      <c r="D16" s="12" t="s">
        <v>151</v>
      </c>
      <c r="E16" s="7" t="n">
        <v>2025</v>
      </c>
      <c r="F16" s="24" t="n">
        <v>6149.896251</v>
      </c>
      <c r="G16" s="24"/>
      <c r="H16" s="24" t="n">
        <v>4695.861262</v>
      </c>
    </row>
    <row r="17" customFormat="false" ht="15" hidden="false" customHeight="false" outlineLevel="0" collapsed="false">
      <c r="A17" s="12" t="s">
        <v>71</v>
      </c>
      <c r="B17" s="12" t="s">
        <v>72</v>
      </c>
      <c r="C17" s="12" t="s">
        <v>152</v>
      </c>
      <c r="D17" s="12" t="s">
        <v>153</v>
      </c>
      <c r="E17" s="7" t="n">
        <v>2025</v>
      </c>
      <c r="F17" s="24" t="n">
        <v>1254.752109</v>
      </c>
      <c r="G17" s="24" t="n">
        <v>0</v>
      </c>
      <c r="H17" s="24" t="n">
        <v>956.190939</v>
      </c>
    </row>
    <row r="18" customFormat="false" ht="15" hidden="false" customHeight="false" outlineLevel="0" collapsed="false">
      <c r="A18" s="12" t="s">
        <v>73</v>
      </c>
      <c r="B18" s="12" t="s">
        <v>70</v>
      </c>
      <c r="C18" s="12" t="s">
        <v>154</v>
      </c>
      <c r="D18" s="12" t="s">
        <v>155</v>
      </c>
      <c r="E18" s="7" t="n">
        <v>2025</v>
      </c>
      <c r="F18" s="24" t="n">
        <v>18476.140764</v>
      </c>
      <c r="G18" s="24" t="n">
        <v>3150.314486</v>
      </c>
      <c r="H18" s="24" t="n">
        <v>4700.350795</v>
      </c>
    </row>
    <row r="19" customFormat="false" ht="15" hidden="false" customHeight="false" outlineLevel="0" collapsed="false">
      <c r="A19" s="12" t="s">
        <v>74</v>
      </c>
      <c r="B19" s="12" t="s">
        <v>65</v>
      </c>
      <c r="C19" s="12" t="s">
        <v>156</v>
      </c>
      <c r="D19" s="12" t="s">
        <v>157</v>
      </c>
      <c r="E19" s="7" t="n">
        <v>2025</v>
      </c>
      <c r="F19" s="24" t="n">
        <v>5416.614914</v>
      </c>
      <c r="G19" s="24" t="n">
        <v>2807.590898</v>
      </c>
      <c r="H19" s="24" t="n">
        <v>3935.837169</v>
      </c>
    </row>
    <row r="20" customFormat="false" ht="15" hidden="false" customHeight="false" outlineLevel="0" collapsed="false">
      <c r="A20" s="12" t="s">
        <v>75</v>
      </c>
      <c r="B20" s="12" t="s">
        <v>57</v>
      </c>
      <c r="C20" s="12" t="s">
        <v>158</v>
      </c>
      <c r="D20" s="12" t="s">
        <v>159</v>
      </c>
      <c r="E20" s="7" t="n">
        <v>2025</v>
      </c>
      <c r="F20" s="24" t="n">
        <v>13573.219467</v>
      </c>
      <c r="G20" s="24" t="n">
        <v>5454.635768</v>
      </c>
      <c r="H20" s="24" t="n">
        <v>6965.641322</v>
      </c>
    </row>
    <row r="21" customFormat="false" ht="15" hidden="false" customHeight="false" outlineLevel="0" collapsed="false">
      <c r="A21" s="12" t="s">
        <v>76</v>
      </c>
      <c r="B21" s="12" t="s">
        <v>72</v>
      </c>
      <c r="C21" s="12" t="s">
        <v>160</v>
      </c>
      <c r="D21" s="12" t="s">
        <v>161</v>
      </c>
      <c r="E21" s="7" t="n">
        <v>2025</v>
      </c>
      <c r="F21" s="24" t="n">
        <v>534.637948</v>
      </c>
      <c r="G21" s="24" t="n">
        <v>1949.397048</v>
      </c>
      <c r="H21" s="24" t="n">
        <v>1718.852705</v>
      </c>
    </row>
    <row r="22" customFormat="false" ht="15" hidden="false" customHeight="false" outlineLevel="0" collapsed="false">
      <c r="A22" s="12" t="s">
        <v>77</v>
      </c>
      <c r="B22" s="12" t="s">
        <v>57</v>
      </c>
      <c r="C22" s="12" t="s">
        <v>162</v>
      </c>
      <c r="D22" s="12" t="s">
        <v>163</v>
      </c>
      <c r="E22" s="7" t="n">
        <v>2025</v>
      </c>
      <c r="F22" s="24" t="n">
        <v>1590.515705</v>
      </c>
      <c r="G22" s="24" t="n">
        <v>846.151774</v>
      </c>
      <c r="H22" s="24" t="n">
        <v>822.602947</v>
      </c>
    </row>
    <row r="23" customFormat="false" ht="15" hidden="false" customHeight="false" outlineLevel="0" collapsed="false">
      <c r="A23" s="12" t="s">
        <v>78</v>
      </c>
      <c r="B23" s="12" t="s">
        <v>65</v>
      </c>
      <c r="C23" s="12" t="s">
        <v>164</v>
      </c>
      <c r="D23" s="12" t="s">
        <v>165</v>
      </c>
      <c r="E23" s="7" t="n">
        <v>2025</v>
      </c>
      <c r="F23" s="24" t="n">
        <v>1915.884054</v>
      </c>
      <c r="G23" s="24" t="n">
        <v>730.585957</v>
      </c>
      <c r="H23" s="24" t="n">
        <v>1446.112416</v>
      </c>
    </row>
    <row r="24" customFormat="false" ht="15" hidden="false" customHeight="false" outlineLevel="0" collapsed="false">
      <c r="A24" s="12" t="s">
        <v>79</v>
      </c>
      <c r="B24" s="12" t="s">
        <v>72</v>
      </c>
      <c r="C24" s="12" t="s">
        <v>166</v>
      </c>
      <c r="D24" s="12" t="s">
        <v>167</v>
      </c>
      <c r="E24" s="7" t="n">
        <v>2025</v>
      </c>
      <c r="F24" s="24" t="n">
        <v>4725.81565</v>
      </c>
      <c r="G24" s="24"/>
      <c r="H24" s="24" t="n">
        <v>7020.958597</v>
      </c>
    </row>
    <row r="25" customFormat="false" ht="15" hidden="false" customHeight="false" outlineLevel="0" collapsed="false">
      <c r="A25" s="12" t="s">
        <v>80</v>
      </c>
      <c r="B25" s="12" t="s">
        <v>72</v>
      </c>
      <c r="C25" s="12" t="s">
        <v>168</v>
      </c>
      <c r="D25" s="12" t="s">
        <v>169</v>
      </c>
      <c r="E25" s="7" t="n">
        <v>2025</v>
      </c>
      <c r="F25" s="24" t="n">
        <v>6302.335982</v>
      </c>
      <c r="G25" s="24"/>
      <c r="H25" s="24" t="n">
        <v>3734.813202</v>
      </c>
    </row>
    <row r="26" customFormat="false" ht="15" hidden="false" customHeight="false" outlineLevel="0" collapsed="false">
      <c r="A26" s="12" t="s">
        <v>81</v>
      </c>
      <c r="B26" s="12" t="s">
        <v>72</v>
      </c>
      <c r="C26" s="12" t="s">
        <v>170</v>
      </c>
      <c r="D26" s="12" t="s">
        <v>171</v>
      </c>
      <c r="E26" s="7" t="n">
        <v>2025</v>
      </c>
      <c r="F26" s="24" t="n">
        <v>3621.602905</v>
      </c>
      <c r="G26" s="24"/>
      <c r="H26" s="24" t="n">
        <v>2700.486243</v>
      </c>
    </row>
    <row r="28" customFormat="false" ht="15" hidden="false" customHeight="false" outlineLevel="0" collapsed="false">
      <c r="A28" s="13" t="s">
        <v>172</v>
      </c>
    </row>
    <row r="29" customFormat="false" ht="48" hidden="false" customHeight="true" outlineLevel="0" collapsed="false">
      <c r="A29" s="6" t="s">
        <v>173</v>
      </c>
      <c r="B29" s="6" t="s">
        <v>174</v>
      </c>
      <c r="C29" s="6" t="s">
        <v>128</v>
      </c>
      <c r="D29" s="6" t="s">
        <v>129</v>
      </c>
      <c r="E29" s="6" t="s">
        <v>175</v>
      </c>
      <c r="F29" s="6" t="s">
        <v>131</v>
      </c>
      <c r="G29" s="6" t="s">
        <v>132</v>
      </c>
      <c r="H29" s="6" t="s">
        <v>133</v>
      </c>
    </row>
    <row r="30" customFormat="false" ht="26.85" hidden="false" customHeight="false" outlineLevel="0" collapsed="false">
      <c r="A30" s="12" t="s">
        <v>176</v>
      </c>
      <c r="B30" s="21" t="s">
        <v>177</v>
      </c>
      <c r="C30" s="12" t="s">
        <v>178</v>
      </c>
      <c r="D30" s="12" t="s">
        <v>176</v>
      </c>
      <c r="E30" s="7" t="n">
        <v>2025</v>
      </c>
      <c r="F30" s="24" t="n">
        <v>107.629121</v>
      </c>
      <c r="G30" s="24"/>
      <c r="H30" s="24" t="n">
        <v>286.340994</v>
      </c>
    </row>
    <row r="31" customFormat="false" ht="26.85" hidden="false" customHeight="false" outlineLevel="0" collapsed="false">
      <c r="A31" s="12" t="s">
        <v>179</v>
      </c>
      <c r="B31" s="21" t="s">
        <v>177</v>
      </c>
      <c r="C31" s="12" t="s">
        <v>180</v>
      </c>
      <c r="D31" s="12" t="s">
        <v>181</v>
      </c>
      <c r="E31" s="7" t="n">
        <v>2025</v>
      </c>
      <c r="F31" s="24" t="n">
        <v>272.104237</v>
      </c>
      <c r="G31" s="24"/>
      <c r="H31" s="24" t="n">
        <v>267.851649</v>
      </c>
    </row>
    <row r="32" customFormat="false" ht="64.9" hidden="false" customHeight="false" outlineLevel="0" collapsed="false">
      <c r="A32" s="12" t="s">
        <v>182</v>
      </c>
      <c r="B32" s="21" t="s">
        <v>183</v>
      </c>
      <c r="C32" s="12" t="s">
        <v>184</v>
      </c>
      <c r="D32" s="12" t="s">
        <v>182</v>
      </c>
      <c r="E32" s="7" t="n">
        <v>2009</v>
      </c>
      <c r="F32" s="24" t="n">
        <v>17.335709</v>
      </c>
      <c r="G32" s="24"/>
      <c r="H32" s="24" t="n">
        <v>68.022257</v>
      </c>
    </row>
    <row r="33" customFormat="false" ht="26.85" hidden="false" customHeight="false" outlineLevel="0" collapsed="false">
      <c r="A33" s="12" t="s">
        <v>185</v>
      </c>
      <c r="B33" s="21" t="s">
        <v>177</v>
      </c>
      <c r="C33" s="12" t="s">
        <v>186</v>
      </c>
      <c r="D33" s="12" t="s">
        <v>185</v>
      </c>
      <c r="E33" s="7" t="n">
        <v>2025</v>
      </c>
      <c r="F33" s="24" t="n">
        <v>4.212778</v>
      </c>
      <c r="G33" s="24" t="n">
        <v>23.40332</v>
      </c>
      <c r="H33" s="24" t="n">
        <v>56.152841</v>
      </c>
    </row>
    <row r="34" customFormat="false" ht="26.85" hidden="false" customHeight="false" outlineLevel="0" collapsed="false">
      <c r="A34" s="12" t="s">
        <v>187</v>
      </c>
      <c r="B34" s="21" t="s">
        <v>177</v>
      </c>
      <c r="C34" s="12" t="s">
        <v>188</v>
      </c>
      <c r="D34" s="12" t="s">
        <v>187</v>
      </c>
      <c r="E34" s="7" t="n">
        <v>2025</v>
      </c>
      <c r="F34" s="24" t="n">
        <v>1.457154</v>
      </c>
      <c r="G34" s="24" t="n">
        <v>36.916477</v>
      </c>
      <c r="H34" s="24" t="n">
        <v>50.131176</v>
      </c>
    </row>
    <row r="35" customFormat="false" ht="77.6" hidden="false" customHeight="false" outlineLevel="0" collapsed="false">
      <c r="A35" s="12" t="s">
        <v>189</v>
      </c>
      <c r="B35" s="21" t="s">
        <v>190</v>
      </c>
      <c r="C35" s="12" t="s">
        <v>191</v>
      </c>
      <c r="D35" s="12" t="s">
        <v>192</v>
      </c>
      <c r="E35" s="7" t="n">
        <v>2025</v>
      </c>
      <c r="F35" s="24"/>
      <c r="G35" s="24" t="n">
        <v>3987.67691</v>
      </c>
      <c r="H35" s="24"/>
    </row>
    <row r="36" customFormat="false" ht="77.6" hidden="false" customHeight="false" outlineLevel="0" collapsed="false">
      <c r="A36" s="12" t="s">
        <v>193</v>
      </c>
      <c r="B36" s="21" t="s">
        <v>190</v>
      </c>
      <c r="C36" s="12" t="s">
        <v>194</v>
      </c>
      <c r="D36" s="12" t="s">
        <v>195</v>
      </c>
      <c r="E36" s="7" t="n">
        <v>2025</v>
      </c>
      <c r="F36" s="24"/>
      <c r="G36" s="24" t="n">
        <v>4507.801576</v>
      </c>
      <c r="H36" s="24"/>
    </row>
    <row r="37" customFormat="false" ht="77.6" hidden="false" customHeight="false" outlineLevel="0" collapsed="false">
      <c r="A37" s="12" t="s">
        <v>196</v>
      </c>
      <c r="B37" s="21" t="s">
        <v>190</v>
      </c>
      <c r="C37" s="12" t="s">
        <v>197</v>
      </c>
      <c r="D37" s="12" t="s">
        <v>198</v>
      </c>
      <c r="E37" s="7" t="n">
        <v>2025</v>
      </c>
      <c r="F37" s="24"/>
      <c r="G37" s="24" t="n">
        <v>99.100461</v>
      </c>
      <c r="H37" s="24"/>
    </row>
    <row r="38" customFormat="false" ht="52.2" hidden="false" customHeight="false" outlineLevel="0" collapsed="false">
      <c r="A38" s="12" t="s">
        <v>199</v>
      </c>
      <c r="B38" s="21" t="s">
        <v>200</v>
      </c>
      <c r="C38" s="12" t="s">
        <v>201</v>
      </c>
      <c r="D38" s="12" t="s">
        <v>202</v>
      </c>
      <c r="E38" s="7" t="n">
        <v>2025</v>
      </c>
      <c r="F38" s="24" t="n">
        <v>1688.083881</v>
      </c>
      <c r="G38" s="24" t="n">
        <v>31.412225</v>
      </c>
      <c r="H38" s="24"/>
    </row>
    <row r="39" customFormat="false" ht="52.2" hidden="false" customHeight="false" outlineLevel="0" collapsed="false">
      <c r="A39" s="12" t="s">
        <v>203</v>
      </c>
      <c r="B39" s="21" t="s">
        <v>200</v>
      </c>
      <c r="C39" s="12" t="s">
        <v>204</v>
      </c>
      <c r="D39" s="12" t="s">
        <v>203</v>
      </c>
      <c r="E39" s="7" t="n">
        <v>2025</v>
      </c>
      <c r="F39" s="24" t="n">
        <v>51.556341</v>
      </c>
      <c r="G39" s="24" t="n">
        <v>0</v>
      </c>
      <c r="H39" s="24" t="n">
        <v>0</v>
      </c>
    </row>
    <row r="40" customFormat="false" ht="26.85" hidden="false" customHeight="false" outlineLevel="0" collapsed="false">
      <c r="A40" s="12" t="s">
        <v>205</v>
      </c>
      <c r="B40" s="21" t="s">
        <v>177</v>
      </c>
      <c r="C40" s="12" t="s">
        <v>206</v>
      </c>
      <c r="D40" s="12" t="s">
        <v>205</v>
      </c>
      <c r="E40" s="7" t="n">
        <v>2025</v>
      </c>
      <c r="F40" s="24"/>
      <c r="G40" s="24" t="n">
        <v>8.482387</v>
      </c>
      <c r="H40" s="24" t="n">
        <v>31.940679</v>
      </c>
    </row>
    <row r="41" customFormat="false" ht="77.6" hidden="false" customHeight="false" outlineLevel="0" collapsed="false">
      <c r="A41" s="12" t="s">
        <v>207</v>
      </c>
      <c r="B41" s="21" t="s">
        <v>190</v>
      </c>
      <c r="C41" s="12" t="s">
        <v>208</v>
      </c>
      <c r="D41" s="12" t="s">
        <v>207</v>
      </c>
      <c r="E41" s="7" t="n">
        <v>2025</v>
      </c>
      <c r="F41" s="24"/>
      <c r="G41" s="24" t="n">
        <v>2175.526572</v>
      </c>
      <c r="H41" s="24"/>
    </row>
    <row r="42" customFormat="false" ht="90.25" hidden="false" customHeight="false" outlineLevel="0" collapsed="false">
      <c r="A42" s="12" t="s">
        <v>209</v>
      </c>
      <c r="B42" s="21" t="s">
        <v>210</v>
      </c>
      <c r="C42" s="12" t="s">
        <v>211</v>
      </c>
      <c r="D42" s="12" t="s">
        <v>209</v>
      </c>
      <c r="E42" s="7" t="n">
        <v>2012</v>
      </c>
      <c r="F42" s="24" t="n">
        <v>482.328866</v>
      </c>
      <c r="G42" s="24" t="n">
        <v>20.878105</v>
      </c>
      <c r="H42" s="24" t="n">
        <v>0.427787</v>
      </c>
    </row>
    <row r="43" customFormat="false" ht="90.25" hidden="false" customHeight="false" outlineLevel="0" collapsed="false">
      <c r="A43" s="12" t="s">
        <v>212</v>
      </c>
      <c r="B43" s="21" t="s">
        <v>213</v>
      </c>
      <c r="C43" s="12" t="s">
        <v>214</v>
      </c>
      <c r="D43" s="12" t="s">
        <v>212</v>
      </c>
      <c r="E43" s="7" t="n">
        <v>2013</v>
      </c>
      <c r="F43" s="24" t="n">
        <v>2134.255051</v>
      </c>
      <c r="G43" s="24"/>
      <c r="H43" s="24"/>
    </row>
    <row r="44" customFormat="false" ht="115.65" hidden="false" customHeight="false" outlineLevel="0" collapsed="false">
      <c r="A44" s="12" t="s">
        <v>215</v>
      </c>
      <c r="B44" s="21" t="s">
        <v>216</v>
      </c>
      <c r="C44" s="12" t="s">
        <v>217</v>
      </c>
      <c r="D44" s="12" t="s">
        <v>215</v>
      </c>
      <c r="E44" s="7" t="n">
        <v>2007</v>
      </c>
      <c r="F44" s="24"/>
      <c r="G44" s="24"/>
      <c r="H44" s="24"/>
    </row>
    <row r="46" customFormat="false" ht="30" hidden="false" customHeight="true" outlineLevel="0" collapsed="false">
      <c r="A46" s="15" t="s">
        <v>218</v>
      </c>
      <c r="B46" s="15"/>
      <c r="C46" s="15"/>
      <c r="D46" s="15"/>
      <c r="E46" s="15"/>
      <c r="F46" s="15"/>
      <c r="G46" s="15"/>
      <c r="H46" s="15"/>
    </row>
  </sheetData>
  <mergeCells count="5">
    <mergeCell ref="A2:H2"/>
    <mergeCell ref="A3:H3"/>
    <mergeCell ref="A4:H4"/>
    <mergeCell ref="A5:H5"/>
    <mergeCell ref="A46:H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0"/>
    <col collapsed="false" customWidth="true" hidden="false" outlineLevel="0" max="3" min="3" style="0" width="60"/>
  </cols>
  <sheetData>
    <row r="1" customFormat="false" ht="48" hidden="false" customHeight="true" outlineLevel="0" collapsed="false">
      <c r="A1" s="6" t="s">
        <v>219</v>
      </c>
      <c r="B1" s="6" t="s">
        <v>220</v>
      </c>
      <c r="C1" s="6" t="s">
        <v>221</v>
      </c>
    </row>
    <row r="2" customFormat="false" ht="39.55" hidden="false" customHeight="false" outlineLevel="0" collapsed="false">
      <c r="A2" s="2" t="s">
        <v>45</v>
      </c>
      <c r="B2" s="2" t="s">
        <v>222</v>
      </c>
      <c r="C2" s="2" t="s">
        <v>223</v>
      </c>
    </row>
    <row r="3" customFormat="false" ht="15" hidden="false" customHeight="false" outlineLevel="0" collapsed="false">
      <c r="A3" s="2" t="s">
        <v>46</v>
      </c>
      <c r="B3" s="2" t="s">
        <v>224</v>
      </c>
      <c r="C3" s="2" t="s">
        <v>225</v>
      </c>
    </row>
    <row r="4" customFormat="false" ht="15" hidden="false" customHeight="false" outlineLevel="0" collapsed="false">
      <c r="A4" s="2" t="s">
        <v>47</v>
      </c>
      <c r="B4" s="2" t="s">
        <v>226</v>
      </c>
      <c r="C4" s="2" t="s">
        <v>227</v>
      </c>
    </row>
    <row r="5" customFormat="false" ht="15" hidden="false" customHeight="false" outlineLevel="0" collapsed="false">
      <c r="A5" s="2" t="s">
        <v>48</v>
      </c>
      <c r="B5" s="2" t="s">
        <v>228</v>
      </c>
      <c r="C5" s="2" t="s">
        <v>229</v>
      </c>
    </row>
    <row r="6" customFormat="false" ht="15" hidden="false" customHeight="false" outlineLevel="0" collapsed="false">
      <c r="A6" s="2" t="s">
        <v>49</v>
      </c>
      <c r="B6" s="2" t="s">
        <v>230</v>
      </c>
      <c r="C6" s="2" t="s">
        <v>231</v>
      </c>
    </row>
    <row r="7" customFormat="false" ht="52.2" hidden="false" customHeight="false" outlineLevel="0" collapsed="false">
      <c r="A7" s="2" t="s">
        <v>232</v>
      </c>
      <c r="B7" s="2" t="s">
        <v>233</v>
      </c>
      <c r="C7" s="2" t="s">
        <v>234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8"/>
    <col collapsed="false" customWidth="true" hidden="false" outlineLevel="0" max="4" min="4" style="0" width="32"/>
    <col collapsed="false" customWidth="true" hidden="false" outlineLevel="0" max="6" min="5" style="0" width="14"/>
    <col collapsed="false" customWidth="true" hidden="false" outlineLevel="0" max="7" min="7" style="0" width="18"/>
  </cols>
  <sheetData>
    <row r="1" customFormat="false" ht="48" hidden="false" customHeight="true" outlineLevel="0" collapsed="false">
      <c r="A1" s="6" t="s">
        <v>42</v>
      </c>
      <c r="B1" s="6" t="s">
        <v>54</v>
      </c>
      <c r="C1" s="6" t="s">
        <v>55</v>
      </c>
      <c r="D1" s="6" t="s">
        <v>219</v>
      </c>
      <c r="E1" s="6" t="s">
        <v>235</v>
      </c>
      <c r="F1" s="6" t="s">
        <v>236</v>
      </c>
      <c r="G1" s="6" t="s">
        <v>237</v>
      </c>
    </row>
    <row r="2" customFormat="false" ht="15" hidden="false" customHeight="false" outlineLevel="0" collapsed="false">
      <c r="A2" s="7" t="n">
        <v>1995</v>
      </c>
      <c r="B2" s="12" t="s">
        <v>56</v>
      </c>
      <c r="C2" s="12" t="s">
        <v>57</v>
      </c>
      <c r="D2" s="12" t="s">
        <v>49</v>
      </c>
      <c r="E2" s="16" t="n">
        <v>30.61807</v>
      </c>
      <c r="F2" s="16" t="n">
        <v>0</v>
      </c>
      <c r="G2" s="16" t="n">
        <v>7.324776</v>
      </c>
    </row>
    <row r="3" customFormat="false" ht="15" hidden="false" customHeight="false" outlineLevel="0" collapsed="false">
      <c r="A3" s="7" t="n">
        <v>1995</v>
      </c>
      <c r="B3" s="12" t="s">
        <v>56</v>
      </c>
      <c r="C3" s="12" t="s">
        <v>57</v>
      </c>
      <c r="D3" s="12" t="s">
        <v>48</v>
      </c>
      <c r="E3" s="16" t="n">
        <v>20.637863</v>
      </c>
      <c r="F3" s="16" t="n">
        <v>0</v>
      </c>
      <c r="G3" s="16" t="n">
        <v>0</v>
      </c>
    </row>
    <row r="4" customFormat="false" ht="15" hidden="false" customHeight="false" outlineLevel="0" collapsed="false">
      <c r="A4" s="7" t="n">
        <v>1995</v>
      </c>
      <c r="B4" s="12" t="s">
        <v>56</v>
      </c>
      <c r="C4" s="12" t="s">
        <v>57</v>
      </c>
      <c r="D4" s="12" t="s">
        <v>46</v>
      </c>
      <c r="E4" s="16" t="n">
        <v>14.165218</v>
      </c>
      <c r="F4" s="16" t="n">
        <v>0</v>
      </c>
      <c r="G4" s="16" t="n">
        <v>7.442834</v>
      </c>
    </row>
    <row r="5" customFormat="false" ht="15" hidden="false" customHeight="false" outlineLevel="0" collapsed="false">
      <c r="A5" s="7" t="n">
        <v>1995</v>
      </c>
      <c r="B5" s="12" t="s">
        <v>56</v>
      </c>
      <c r="C5" s="12" t="s">
        <v>57</v>
      </c>
      <c r="D5" s="12" t="s">
        <v>45</v>
      </c>
      <c r="E5" s="16" t="n">
        <v>5.534161</v>
      </c>
      <c r="F5" s="16" t="n">
        <v>0.243549</v>
      </c>
      <c r="G5" s="16" t="n">
        <v>3.995863</v>
      </c>
    </row>
    <row r="6" customFormat="false" ht="15" hidden="false" customHeight="false" outlineLevel="0" collapsed="false">
      <c r="A6" s="7" t="n">
        <v>1995</v>
      </c>
      <c r="B6" s="12" t="s">
        <v>58</v>
      </c>
      <c r="C6" s="12" t="s">
        <v>59</v>
      </c>
      <c r="D6" s="12" t="s">
        <v>49</v>
      </c>
      <c r="E6" s="16" t="n">
        <v>222.135395</v>
      </c>
      <c r="F6" s="16" t="n">
        <v>0</v>
      </c>
      <c r="G6" s="16" t="n">
        <v>20.03741</v>
      </c>
    </row>
    <row r="7" customFormat="false" ht="15" hidden="false" customHeight="false" outlineLevel="0" collapsed="false">
      <c r="A7" s="7" t="n">
        <v>1995</v>
      </c>
      <c r="B7" s="12" t="s">
        <v>58</v>
      </c>
      <c r="C7" s="12" t="s">
        <v>59</v>
      </c>
      <c r="D7" s="12" t="s">
        <v>48</v>
      </c>
      <c r="E7" s="16" t="n">
        <v>48.200476</v>
      </c>
      <c r="F7" s="16" t="n">
        <v>0</v>
      </c>
      <c r="G7" s="16" t="n">
        <v>0</v>
      </c>
    </row>
    <row r="8" customFormat="false" ht="15" hidden="false" customHeight="false" outlineLevel="0" collapsed="false">
      <c r="A8" s="7" t="n">
        <v>1995</v>
      </c>
      <c r="B8" s="12" t="s">
        <v>58</v>
      </c>
      <c r="C8" s="12" t="s">
        <v>59</v>
      </c>
      <c r="D8" s="12" t="s">
        <v>46</v>
      </c>
      <c r="E8" s="16" t="n">
        <v>79.048644</v>
      </c>
      <c r="F8" s="16" t="n">
        <v>0</v>
      </c>
      <c r="G8" s="16" t="n">
        <v>62.607227</v>
      </c>
    </row>
    <row r="9" customFormat="false" ht="15" hidden="false" customHeight="false" outlineLevel="0" collapsed="false">
      <c r="A9" s="7" t="n">
        <v>1995</v>
      </c>
      <c r="B9" s="12" t="s">
        <v>58</v>
      </c>
      <c r="C9" s="12" t="s">
        <v>59</v>
      </c>
      <c r="D9" s="12" t="s">
        <v>45</v>
      </c>
      <c r="E9" s="16" t="n">
        <v>18.639925</v>
      </c>
      <c r="F9" s="16" t="n">
        <v>0.007368</v>
      </c>
      <c r="G9" s="16" t="n">
        <v>16.302175</v>
      </c>
    </row>
    <row r="10" customFormat="false" ht="15" hidden="false" customHeight="false" outlineLevel="0" collapsed="false">
      <c r="A10" s="7" t="n">
        <v>1995</v>
      </c>
      <c r="B10" s="12" t="s">
        <v>60</v>
      </c>
      <c r="C10" s="12" t="s">
        <v>59</v>
      </c>
      <c r="D10" s="12" t="s">
        <v>49</v>
      </c>
      <c r="E10" s="16" t="n">
        <v>565.688249</v>
      </c>
      <c r="F10" s="16" t="n">
        <v>0</v>
      </c>
      <c r="G10" s="16" t="n">
        <v>24.2878</v>
      </c>
    </row>
    <row r="11" customFormat="false" ht="15" hidden="false" customHeight="false" outlineLevel="0" collapsed="false">
      <c r="A11" s="7" t="n">
        <v>1995</v>
      </c>
      <c r="B11" s="12" t="s">
        <v>60</v>
      </c>
      <c r="C11" s="12" t="s">
        <v>59</v>
      </c>
      <c r="D11" s="12" t="s">
        <v>48</v>
      </c>
      <c r="E11" s="16" t="n">
        <v>167.982325</v>
      </c>
      <c r="F11" s="16" t="n">
        <v>0</v>
      </c>
      <c r="G11" s="16" t="n">
        <v>0</v>
      </c>
    </row>
    <row r="12" customFormat="false" ht="15" hidden="false" customHeight="false" outlineLevel="0" collapsed="false">
      <c r="A12" s="7" t="n">
        <v>1995</v>
      </c>
      <c r="B12" s="12" t="s">
        <v>60</v>
      </c>
      <c r="C12" s="12" t="s">
        <v>59</v>
      </c>
      <c r="D12" s="12" t="s">
        <v>46</v>
      </c>
      <c r="E12" s="16" t="n">
        <v>192.086275</v>
      </c>
      <c r="F12" s="16" t="n">
        <v>0</v>
      </c>
      <c r="G12" s="16" t="n">
        <v>183.7477</v>
      </c>
    </row>
    <row r="13" customFormat="false" ht="15" hidden="false" customHeight="false" outlineLevel="0" collapsed="false">
      <c r="A13" s="7" t="n">
        <v>1995</v>
      </c>
      <c r="B13" s="12" t="s">
        <v>60</v>
      </c>
      <c r="C13" s="12" t="s">
        <v>59</v>
      </c>
      <c r="D13" s="12" t="s">
        <v>45</v>
      </c>
      <c r="E13" s="16" t="n">
        <v>45.5486</v>
      </c>
      <c r="F13" s="16" t="n">
        <v>0.222104</v>
      </c>
      <c r="G13" s="16" t="n">
        <v>53.903639</v>
      </c>
    </row>
    <row r="14" customFormat="false" ht="15" hidden="false" customHeight="false" outlineLevel="0" collapsed="false">
      <c r="A14" s="7" t="n">
        <v>1995</v>
      </c>
      <c r="B14" s="12" t="s">
        <v>61</v>
      </c>
      <c r="C14" s="12" t="s">
        <v>62</v>
      </c>
      <c r="D14" s="12" t="s">
        <v>49</v>
      </c>
      <c r="E14" s="16" t="n">
        <v>145.84021</v>
      </c>
      <c r="F14" s="16" t="n">
        <v>0</v>
      </c>
      <c r="G14" s="16" t="n">
        <v>14.63727</v>
      </c>
    </row>
    <row r="15" customFormat="false" ht="15" hidden="false" customHeight="false" outlineLevel="0" collapsed="false">
      <c r="A15" s="7" t="n">
        <v>1995</v>
      </c>
      <c r="B15" s="12" t="s">
        <v>61</v>
      </c>
      <c r="C15" s="12" t="s">
        <v>62</v>
      </c>
      <c r="D15" s="12" t="s">
        <v>48</v>
      </c>
      <c r="E15" s="16" t="n">
        <v>77.118393</v>
      </c>
      <c r="F15" s="16" t="n">
        <v>0</v>
      </c>
      <c r="G15" s="16" t="n">
        <v>0</v>
      </c>
    </row>
    <row r="16" customFormat="false" ht="15" hidden="false" customHeight="false" outlineLevel="0" collapsed="false">
      <c r="A16" s="7" t="n">
        <v>1995</v>
      </c>
      <c r="B16" s="12" t="s">
        <v>61</v>
      </c>
      <c r="C16" s="12" t="s">
        <v>62</v>
      </c>
      <c r="D16" s="12" t="s">
        <v>46</v>
      </c>
      <c r="E16" s="16" t="n">
        <v>84.368058</v>
      </c>
      <c r="F16" s="16" t="n">
        <v>0</v>
      </c>
      <c r="G16" s="16" t="n">
        <v>87.2318</v>
      </c>
    </row>
    <row r="17" customFormat="false" ht="15" hidden="false" customHeight="false" outlineLevel="0" collapsed="false">
      <c r="A17" s="7" t="n">
        <v>1995</v>
      </c>
      <c r="B17" s="12" t="s">
        <v>61</v>
      </c>
      <c r="C17" s="12" t="s">
        <v>62</v>
      </c>
      <c r="D17" s="12" t="s">
        <v>45</v>
      </c>
      <c r="E17" s="16" t="n">
        <v>19.156557</v>
      </c>
      <c r="F17" s="16" t="n">
        <v>0</v>
      </c>
      <c r="G17" s="16" t="n">
        <v>19.5587</v>
      </c>
    </row>
    <row r="18" customFormat="false" ht="15" hidden="false" customHeight="false" outlineLevel="0" collapsed="false">
      <c r="A18" s="7" t="n">
        <v>1995</v>
      </c>
      <c r="B18" s="12" t="s">
        <v>63</v>
      </c>
      <c r="C18" s="12" t="s">
        <v>62</v>
      </c>
      <c r="D18" s="12" t="s">
        <v>49</v>
      </c>
      <c r="E18" s="16" t="n">
        <v>316.257544</v>
      </c>
      <c r="F18" s="16" t="n">
        <v>0</v>
      </c>
      <c r="G18" s="16" t="n">
        <v>41.564</v>
      </c>
    </row>
    <row r="19" customFormat="false" ht="15" hidden="false" customHeight="false" outlineLevel="0" collapsed="false">
      <c r="A19" s="7" t="n">
        <v>1995</v>
      </c>
      <c r="B19" s="12" t="s">
        <v>63</v>
      </c>
      <c r="C19" s="12" t="s">
        <v>62</v>
      </c>
      <c r="D19" s="12" t="s">
        <v>48</v>
      </c>
      <c r="E19" s="16" t="n">
        <v>86.37104</v>
      </c>
      <c r="F19" s="16" t="n">
        <v>0</v>
      </c>
      <c r="G19" s="16" t="n">
        <v>0</v>
      </c>
    </row>
    <row r="20" customFormat="false" ht="15" hidden="false" customHeight="false" outlineLevel="0" collapsed="false">
      <c r="A20" s="7" t="n">
        <v>1995</v>
      </c>
      <c r="B20" s="12" t="s">
        <v>63</v>
      </c>
      <c r="C20" s="12" t="s">
        <v>62</v>
      </c>
      <c r="D20" s="12" t="s">
        <v>46</v>
      </c>
      <c r="E20" s="16" t="n">
        <v>137.704915</v>
      </c>
      <c r="F20" s="16" t="n">
        <v>0</v>
      </c>
      <c r="G20" s="16" t="n">
        <v>113.47</v>
      </c>
    </row>
    <row r="21" customFormat="false" ht="15" hidden="false" customHeight="false" outlineLevel="0" collapsed="false">
      <c r="A21" s="7" t="n">
        <v>1995</v>
      </c>
      <c r="B21" s="12" t="s">
        <v>63</v>
      </c>
      <c r="C21" s="12" t="s">
        <v>62</v>
      </c>
      <c r="D21" s="12" t="s">
        <v>45</v>
      </c>
      <c r="E21" s="16" t="n">
        <v>30.62098</v>
      </c>
      <c r="F21" s="16" t="n">
        <v>-0.001442</v>
      </c>
      <c r="G21" s="16" t="n">
        <v>30.051</v>
      </c>
    </row>
    <row r="22" customFormat="false" ht="15" hidden="false" customHeight="false" outlineLevel="0" collapsed="false">
      <c r="A22" s="7" t="n">
        <v>1995</v>
      </c>
      <c r="B22" s="12" t="s">
        <v>64</v>
      </c>
      <c r="C22" s="12" t="s">
        <v>65</v>
      </c>
      <c r="D22" s="12" t="s">
        <v>49</v>
      </c>
      <c r="E22" s="16" t="n">
        <v>125.57758</v>
      </c>
      <c r="F22" s="16" t="n">
        <v>0</v>
      </c>
      <c r="G22" s="16" t="n">
        <v>8.232086</v>
      </c>
    </row>
    <row r="23" customFormat="false" ht="15" hidden="false" customHeight="false" outlineLevel="0" collapsed="false">
      <c r="A23" s="7" t="n">
        <v>1995</v>
      </c>
      <c r="B23" s="12" t="s">
        <v>64</v>
      </c>
      <c r="C23" s="12" t="s">
        <v>65</v>
      </c>
      <c r="D23" s="12" t="s">
        <v>48</v>
      </c>
      <c r="E23" s="16" t="n">
        <v>51.211027</v>
      </c>
      <c r="F23" s="16" t="n">
        <v>0</v>
      </c>
      <c r="G23" s="16" t="n">
        <v>0</v>
      </c>
    </row>
    <row r="24" customFormat="false" ht="15" hidden="false" customHeight="false" outlineLevel="0" collapsed="false">
      <c r="A24" s="7" t="n">
        <v>1995</v>
      </c>
      <c r="B24" s="12" t="s">
        <v>64</v>
      </c>
      <c r="C24" s="12" t="s">
        <v>65</v>
      </c>
      <c r="D24" s="12" t="s">
        <v>46</v>
      </c>
      <c r="E24" s="16" t="n">
        <v>35.835644</v>
      </c>
      <c r="F24" s="16" t="n">
        <v>0</v>
      </c>
      <c r="G24" s="16" t="n">
        <v>37.134639</v>
      </c>
    </row>
    <row r="25" customFormat="false" ht="15" hidden="false" customHeight="false" outlineLevel="0" collapsed="false">
      <c r="A25" s="7" t="n">
        <v>1995</v>
      </c>
      <c r="B25" s="12" t="s">
        <v>64</v>
      </c>
      <c r="C25" s="12" t="s">
        <v>65</v>
      </c>
      <c r="D25" s="12" t="s">
        <v>45</v>
      </c>
      <c r="E25" s="16" t="n">
        <v>12.29077</v>
      </c>
      <c r="F25" s="16" t="n">
        <v>0.439941</v>
      </c>
      <c r="G25" s="16" t="n">
        <v>11.589104</v>
      </c>
    </row>
    <row r="26" customFormat="false" ht="15" hidden="false" customHeight="false" outlineLevel="0" collapsed="false">
      <c r="A26" s="7" t="n">
        <v>1995</v>
      </c>
      <c r="B26" s="12" t="s">
        <v>66</v>
      </c>
      <c r="C26" s="12" t="s">
        <v>67</v>
      </c>
      <c r="D26" s="12" t="s">
        <v>49</v>
      </c>
      <c r="E26" s="16" t="n">
        <v>97.117853</v>
      </c>
      <c r="F26" s="16" t="n">
        <v>0</v>
      </c>
      <c r="G26" s="16" t="n">
        <v>2.169622</v>
      </c>
    </row>
    <row r="27" customFormat="false" ht="15" hidden="false" customHeight="false" outlineLevel="0" collapsed="false">
      <c r="A27" s="7" t="n">
        <v>1995</v>
      </c>
      <c r="B27" s="12" t="s">
        <v>66</v>
      </c>
      <c r="C27" s="12" t="s">
        <v>67</v>
      </c>
      <c r="D27" s="12" t="s">
        <v>48</v>
      </c>
      <c r="E27" s="16" t="n">
        <v>26.676704</v>
      </c>
      <c r="F27" s="16" t="n">
        <v>0</v>
      </c>
      <c r="G27" s="16" t="n">
        <v>0</v>
      </c>
    </row>
    <row r="28" customFormat="false" ht="15" hidden="false" customHeight="false" outlineLevel="0" collapsed="false">
      <c r="A28" s="7" t="n">
        <v>1995</v>
      </c>
      <c r="B28" s="12" t="s">
        <v>66</v>
      </c>
      <c r="C28" s="12" t="s">
        <v>67</v>
      </c>
      <c r="D28" s="12" t="s">
        <v>46</v>
      </c>
      <c r="E28" s="16" t="n">
        <v>41.003044</v>
      </c>
      <c r="F28" s="16" t="n">
        <v>0</v>
      </c>
      <c r="G28" s="16" t="n">
        <v>26.605195</v>
      </c>
    </row>
    <row r="29" customFormat="false" ht="15" hidden="false" customHeight="false" outlineLevel="0" collapsed="false">
      <c r="A29" s="7" t="n">
        <v>1995</v>
      </c>
      <c r="B29" s="12" t="s">
        <v>66</v>
      </c>
      <c r="C29" s="12" t="s">
        <v>67</v>
      </c>
      <c r="D29" s="12" t="s">
        <v>45</v>
      </c>
      <c r="E29" s="16" t="n">
        <v>-27.046451</v>
      </c>
      <c r="F29" s="16" t="n">
        <v>-46.668687</v>
      </c>
      <c r="G29" s="16" t="n">
        <v>15.935545</v>
      </c>
    </row>
    <row r="30" customFormat="false" ht="15" hidden="false" customHeight="false" outlineLevel="0" collapsed="false">
      <c r="A30" s="7" t="n">
        <v>1995</v>
      </c>
      <c r="B30" s="12" t="s">
        <v>68</v>
      </c>
      <c r="C30" s="12" t="s">
        <v>65</v>
      </c>
      <c r="D30" s="12" t="s">
        <v>49</v>
      </c>
      <c r="E30" s="16" t="n">
        <v>57.771538</v>
      </c>
      <c r="F30" s="16" t="n">
        <v>0</v>
      </c>
      <c r="G30" s="16" t="n">
        <v>7.332435</v>
      </c>
    </row>
    <row r="31" customFormat="false" ht="15" hidden="false" customHeight="false" outlineLevel="0" collapsed="false">
      <c r="A31" s="7" t="n">
        <v>1995</v>
      </c>
      <c r="B31" s="12" t="s">
        <v>68</v>
      </c>
      <c r="C31" s="12" t="s">
        <v>65</v>
      </c>
      <c r="D31" s="12" t="s">
        <v>48</v>
      </c>
      <c r="E31" s="16" t="n">
        <v>17.802542</v>
      </c>
      <c r="F31" s="16" t="n">
        <v>0</v>
      </c>
      <c r="G31" s="16" t="n">
        <v>0</v>
      </c>
    </row>
    <row r="32" customFormat="false" ht="15" hidden="false" customHeight="false" outlineLevel="0" collapsed="false">
      <c r="A32" s="7" t="n">
        <v>1995</v>
      </c>
      <c r="B32" s="12" t="s">
        <v>68</v>
      </c>
      <c r="C32" s="12" t="s">
        <v>65</v>
      </c>
      <c r="D32" s="12" t="s">
        <v>46</v>
      </c>
      <c r="E32" s="16" t="n">
        <v>27.088629</v>
      </c>
      <c r="F32" s="16" t="n">
        <v>0</v>
      </c>
      <c r="G32" s="16" t="n">
        <v>31.14835</v>
      </c>
    </row>
    <row r="33" customFormat="false" ht="15" hidden="false" customHeight="false" outlineLevel="0" collapsed="false">
      <c r="A33" s="7" t="n">
        <v>1995</v>
      </c>
      <c r="B33" s="12" t="s">
        <v>68</v>
      </c>
      <c r="C33" s="12" t="s">
        <v>65</v>
      </c>
      <c r="D33" s="12" t="s">
        <v>45</v>
      </c>
      <c r="E33" s="16" t="n">
        <v>5.796937</v>
      </c>
      <c r="F33" s="16" t="n">
        <v>0</v>
      </c>
      <c r="G33" s="16" t="n">
        <v>5.494089</v>
      </c>
    </row>
    <row r="34" customFormat="false" ht="15" hidden="false" customHeight="false" outlineLevel="0" collapsed="false">
      <c r="A34" s="7" t="n">
        <v>1995</v>
      </c>
      <c r="B34" s="12" t="s">
        <v>69</v>
      </c>
      <c r="C34" s="12" t="s">
        <v>70</v>
      </c>
      <c r="D34" s="12" t="s">
        <v>49</v>
      </c>
      <c r="E34" s="16" t="n">
        <v>72.433989</v>
      </c>
      <c r="F34" s="16" t="n">
        <v>0</v>
      </c>
      <c r="G34" s="16" t="n">
        <v>8.384207</v>
      </c>
    </row>
    <row r="35" customFormat="false" ht="15" hidden="false" customHeight="false" outlineLevel="0" collapsed="false">
      <c r="A35" s="7" t="n">
        <v>1995</v>
      </c>
      <c r="B35" s="12" t="s">
        <v>69</v>
      </c>
      <c r="C35" s="12" t="s">
        <v>70</v>
      </c>
      <c r="D35" s="12" t="s">
        <v>48</v>
      </c>
      <c r="E35" s="16" t="n">
        <v>17.052571</v>
      </c>
      <c r="F35" s="16" t="n">
        <v>0</v>
      </c>
      <c r="G35" s="16" t="n">
        <v>0</v>
      </c>
    </row>
    <row r="36" customFormat="false" ht="15" hidden="false" customHeight="false" outlineLevel="0" collapsed="false">
      <c r="A36" s="7" t="n">
        <v>1995</v>
      </c>
      <c r="B36" s="12" t="s">
        <v>69</v>
      </c>
      <c r="C36" s="12" t="s">
        <v>70</v>
      </c>
      <c r="D36" s="12" t="s">
        <v>46</v>
      </c>
      <c r="E36" s="16" t="n">
        <v>31.298745</v>
      </c>
      <c r="F36" s="16" t="n">
        <v>0</v>
      </c>
      <c r="G36" s="16" t="n">
        <v>27.98728</v>
      </c>
    </row>
    <row r="37" customFormat="false" ht="15" hidden="false" customHeight="false" outlineLevel="0" collapsed="false">
      <c r="A37" s="7" t="n">
        <v>1995</v>
      </c>
      <c r="B37" s="12" t="s">
        <v>69</v>
      </c>
      <c r="C37" s="12" t="s">
        <v>70</v>
      </c>
      <c r="D37" s="12" t="s">
        <v>45</v>
      </c>
      <c r="E37" s="16" t="n">
        <v>12.181732</v>
      </c>
      <c r="F37" s="16" t="n">
        <v>4.078028</v>
      </c>
      <c r="G37" s="16" t="n">
        <v>11.51812</v>
      </c>
    </row>
    <row r="38" customFormat="false" ht="15" hidden="false" customHeight="false" outlineLevel="0" collapsed="false">
      <c r="A38" s="7" t="n">
        <v>1995</v>
      </c>
      <c r="B38" s="12" t="s">
        <v>71</v>
      </c>
      <c r="C38" s="12" t="s">
        <v>72</v>
      </c>
      <c r="D38" s="12" t="s">
        <v>49</v>
      </c>
      <c r="E38" s="16" t="n">
        <v>15.084012</v>
      </c>
      <c r="F38" s="16" t="n">
        <v>0</v>
      </c>
      <c r="G38" s="16" t="n">
        <v>3.267192</v>
      </c>
    </row>
    <row r="39" customFormat="false" ht="15" hidden="false" customHeight="false" outlineLevel="0" collapsed="false">
      <c r="A39" s="7" t="n">
        <v>1995</v>
      </c>
      <c r="B39" s="12" t="s">
        <v>71</v>
      </c>
      <c r="C39" s="12" t="s">
        <v>72</v>
      </c>
      <c r="D39" s="12" t="s">
        <v>48</v>
      </c>
      <c r="E39" s="16" t="n">
        <v>8.842887</v>
      </c>
      <c r="F39" s="16" t="n">
        <v>0</v>
      </c>
      <c r="G39" s="16" t="n">
        <v>0</v>
      </c>
    </row>
    <row r="40" customFormat="false" ht="15" hidden="false" customHeight="false" outlineLevel="0" collapsed="false">
      <c r="A40" s="7" t="n">
        <v>1995</v>
      </c>
      <c r="B40" s="12" t="s">
        <v>71</v>
      </c>
      <c r="C40" s="12" t="s">
        <v>72</v>
      </c>
      <c r="D40" s="12" t="s">
        <v>46</v>
      </c>
      <c r="E40" s="16" t="n">
        <v>7.111123</v>
      </c>
      <c r="F40" s="16" t="n">
        <v>0</v>
      </c>
      <c r="G40" s="16" t="n">
        <v>4.088543</v>
      </c>
    </row>
    <row r="41" customFormat="false" ht="15" hidden="false" customHeight="false" outlineLevel="0" collapsed="false">
      <c r="A41" s="7" t="n">
        <v>1995</v>
      </c>
      <c r="B41" s="12" t="s">
        <v>71</v>
      </c>
      <c r="C41" s="12" t="s">
        <v>72</v>
      </c>
      <c r="D41" s="12" t="s">
        <v>45</v>
      </c>
      <c r="E41" s="16" t="n">
        <v>1.81899</v>
      </c>
      <c r="F41" s="16" t="n">
        <v>0.232052</v>
      </c>
      <c r="G41" s="16" t="n">
        <v>2.594808</v>
      </c>
    </row>
    <row r="42" customFormat="false" ht="15" hidden="false" customHeight="false" outlineLevel="0" collapsed="false">
      <c r="A42" s="7" t="n">
        <v>1995</v>
      </c>
      <c r="B42" s="12" t="s">
        <v>73</v>
      </c>
      <c r="C42" s="12" t="s">
        <v>70</v>
      </c>
      <c r="D42" s="12" t="s">
        <v>49</v>
      </c>
      <c r="E42" s="16" t="n">
        <v>112.335678</v>
      </c>
      <c r="F42" s="16" t="n">
        <v>0</v>
      </c>
      <c r="G42" s="16" t="n">
        <v>14.566699</v>
      </c>
    </row>
    <row r="43" customFormat="false" ht="15" hidden="false" customHeight="false" outlineLevel="0" collapsed="false">
      <c r="A43" s="7" t="n">
        <v>1995</v>
      </c>
      <c r="B43" s="12" t="s">
        <v>73</v>
      </c>
      <c r="C43" s="12" t="s">
        <v>70</v>
      </c>
      <c r="D43" s="12" t="s">
        <v>48</v>
      </c>
      <c r="E43" s="16" t="n">
        <v>33.637019</v>
      </c>
      <c r="F43" s="16" t="n">
        <v>0</v>
      </c>
      <c r="G43" s="16" t="n">
        <v>0</v>
      </c>
    </row>
    <row r="44" customFormat="false" ht="15" hidden="false" customHeight="false" outlineLevel="0" collapsed="false">
      <c r="A44" s="7" t="n">
        <v>1995</v>
      </c>
      <c r="B44" s="12" t="s">
        <v>73</v>
      </c>
      <c r="C44" s="12" t="s">
        <v>70</v>
      </c>
      <c r="D44" s="12" t="s">
        <v>46</v>
      </c>
      <c r="E44" s="16" t="n">
        <v>43.130599</v>
      </c>
      <c r="F44" s="16" t="n">
        <v>0</v>
      </c>
      <c r="G44" s="16" t="n">
        <v>35.783529</v>
      </c>
    </row>
    <row r="45" customFormat="false" ht="15" hidden="false" customHeight="false" outlineLevel="0" collapsed="false">
      <c r="A45" s="7" t="n">
        <v>1995</v>
      </c>
      <c r="B45" s="12" t="s">
        <v>73</v>
      </c>
      <c r="C45" s="12" t="s">
        <v>70</v>
      </c>
      <c r="D45" s="12" t="s">
        <v>45</v>
      </c>
      <c r="E45" s="16" t="n">
        <v>9.61657</v>
      </c>
      <c r="F45" s="16" t="n">
        <v>0.496432</v>
      </c>
      <c r="G45" s="16" t="n">
        <v>12.470607</v>
      </c>
    </row>
    <row r="46" customFormat="false" ht="15" hidden="false" customHeight="false" outlineLevel="0" collapsed="false">
      <c r="A46" s="7" t="n">
        <v>1995</v>
      </c>
      <c r="B46" s="12" t="s">
        <v>74</v>
      </c>
      <c r="C46" s="12" t="s">
        <v>65</v>
      </c>
      <c r="D46" s="12" t="s">
        <v>49</v>
      </c>
      <c r="E46" s="16" t="n">
        <v>84.8293</v>
      </c>
      <c r="F46" s="16" t="n">
        <v>0</v>
      </c>
      <c r="G46" s="16" t="n">
        <v>6.528204</v>
      </c>
    </row>
    <row r="47" customFormat="false" ht="15" hidden="false" customHeight="false" outlineLevel="0" collapsed="false">
      <c r="A47" s="7" t="n">
        <v>1995</v>
      </c>
      <c r="B47" s="12" t="s">
        <v>74</v>
      </c>
      <c r="C47" s="12" t="s">
        <v>65</v>
      </c>
      <c r="D47" s="12" t="s">
        <v>48</v>
      </c>
      <c r="E47" s="16" t="n">
        <v>24.204949</v>
      </c>
      <c r="F47" s="16" t="n">
        <v>0</v>
      </c>
      <c r="G47" s="16" t="n">
        <v>0</v>
      </c>
    </row>
    <row r="48" customFormat="false" ht="15" hidden="false" customHeight="false" outlineLevel="0" collapsed="false">
      <c r="A48" s="7" t="n">
        <v>1995</v>
      </c>
      <c r="B48" s="12" t="s">
        <v>74</v>
      </c>
      <c r="C48" s="12" t="s">
        <v>65</v>
      </c>
      <c r="D48" s="12" t="s">
        <v>46</v>
      </c>
      <c r="E48" s="16" t="n">
        <v>23.815598</v>
      </c>
      <c r="F48" s="16" t="n">
        <v>0</v>
      </c>
      <c r="G48" s="16" t="n">
        <v>30.711257</v>
      </c>
    </row>
    <row r="49" customFormat="false" ht="15" hidden="false" customHeight="false" outlineLevel="0" collapsed="false">
      <c r="A49" s="7" t="n">
        <v>1995</v>
      </c>
      <c r="B49" s="12" t="s">
        <v>74</v>
      </c>
      <c r="C49" s="12" t="s">
        <v>65</v>
      </c>
      <c r="D49" s="12" t="s">
        <v>45</v>
      </c>
      <c r="E49" s="16" t="n">
        <v>10.652078</v>
      </c>
      <c r="F49" s="16" t="n">
        <v>0.204674</v>
      </c>
      <c r="G49" s="16" t="n">
        <v>16.892413</v>
      </c>
    </row>
    <row r="50" customFormat="false" ht="15" hidden="false" customHeight="false" outlineLevel="0" collapsed="false">
      <c r="A50" s="7" t="n">
        <v>1995</v>
      </c>
      <c r="B50" s="12" t="s">
        <v>75</v>
      </c>
      <c r="C50" s="12" t="s">
        <v>57</v>
      </c>
      <c r="D50" s="12" t="s">
        <v>49</v>
      </c>
      <c r="E50" s="16" t="n">
        <v>157.001215</v>
      </c>
      <c r="F50" s="16" t="n">
        <v>0</v>
      </c>
      <c r="G50" s="16" t="n">
        <v>17.331147</v>
      </c>
    </row>
    <row r="51" customFormat="false" ht="15" hidden="false" customHeight="false" outlineLevel="0" collapsed="false">
      <c r="A51" s="7" t="n">
        <v>1995</v>
      </c>
      <c r="B51" s="12" t="s">
        <v>75</v>
      </c>
      <c r="C51" s="12" t="s">
        <v>57</v>
      </c>
      <c r="D51" s="12" t="s">
        <v>48</v>
      </c>
      <c r="E51" s="16" t="n">
        <v>91.471071</v>
      </c>
      <c r="F51" s="16" t="n">
        <v>0</v>
      </c>
      <c r="G51" s="16" t="n">
        <v>0</v>
      </c>
    </row>
    <row r="52" customFormat="false" ht="15" hidden="false" customHeight="false" outlineLevel="0" collapsed="false">
      <c r="A52" s="7" t="n">
        <v>1995</v>
      </c>
      <c r="B52" s="12" t="s">
        <v>75</v>
      </c>
      <c r="C52" s="12" t="s">
        <v>57</v>
      </c>
      <c r="D52" s="12" t="s">
        <v>46</v>
      </c>
      <c r="E52" s="16" t="n">
        <v>79.759466</v>
      </c>
      <c r="F52" s="16" t="n">
        <v>0</v>
      </c>
      <c r="G52" s="16" t="n">
        <v>48.711307</v>
      </c>
    </row>
    <row r="53" customFormat="false" ht="15" hidden="false" customHeight="false" outlineLevel="0" collapsed="false">
      <c r="A53" s="7" t="n">
        <v>1995</v>
      </c>
      <c r="B53" s="12" t="s">
        <v>75</v>
      </c>
      <c r="C53" s="12" t="s">
        <v>57</v>
      </c>
      <c r="D53" s="12" t="s">
        <v>45</v>
      </c>
      <c r="E53" s="16" t="n">
        <v>48.604784</v>
      </c>
      <c r="F53" s="16" t="n">
        <v>3.402507</v>
      </c>
      <c r="G53" s="16" t="n">
        <v>17.079589</v>
      </c>
    </row>
    <row r="54" customFormat="false" ht="15" hidden="false" customHeight="false" outlineLevel="0" collapsed="false">
      <c r="A54" s="7" t="n">
        <v>1995</v>
      </c>
      <c r="B54" s="12" t="s">
        <v>76</v>
      </c>
      <c r="C54" s="12" t="s">
        <v>72</v>
      </c>
      <c r="D54" s="12" t="s">
        <v>49</v>
      </c>
      <c r="E54" s="16" t="n">
        <v>22.062712</v>
      </c>
      <c r="F54" s="16" t="n">
        <v>0</v>
      </c>
      <c r="G54" s="16" t="n">
        <v>4.409076</v>
      </c>
    </row>
    <row r="55" customFormat="false" ht="15" hidden="false" customHeight="false" outlineLevel="0" collapsed="false">
      <c r="A55" s="7" t="n">
        <v>1995</v>
      </c>
      <c r="B55" s="12" t="s">
        <v>76</v>
      </c>
      <c r="C55" s="12" t="s">
        <v>72</v>
      </c>
      <c r="D55" s="12" t="s">
        <v>48</v>
      </c>
      <c r="E55" s="16" t="n">
        <v>14.865309</v>
      </c>
      <c r="F55" s="16" t="n">
        <v>0</v>
      </c>
      <c r="G55" s="16" t="n">
        <v>0</v>
      </c>
    </row>
    <row r="56" customFormat="false" ht="15" hidden="false" customHeight="false" outlineLevel="0" collapsed="false">
      <c r="A56" s="7" t="n">
        <v>1995</v>
      </c>
      <c r="B56" s="12" t="s">
        <v>76</v>
      </c>
      <c r="C56" s="12" t="s">
        <v>72</v>
      </c>
      <c r="D56" s="12" t="s">
        <v>46</v>
      </c>
      <c r="E56" s="16" t="n">
        <v>18.968854</v>
      </c>
      <c r="F56" s="16" t="n">
        <v>0</v>
      </c>
      <c r="G56" s="16" t="n">
        <v>10.025036</v>
      </c>
    </row>
    <row r="57" customFormat="false" ht="15" hidden="false" customHeight="false" outlineLevel="0" collapsed="false">
      <c r="A57" s="7" t="n">
        <v>1995</v>
      </c>
      <c r="B57" s="12" t="s">
        <v>76</v>
      </c>
      <c r="C57" s="12" t="s">
        <v>72</v>
      </c>
      <c r="D57" s="12" t="s">
        <v>45</v>
      </c>
      <c r="E57" s="16" t="n">
        <v>18.002936</v>
      </c>
      <c r="F57" s="16" t="n">
        <v>0</v>
      </c>
      <c r="G57" s="16" t="n">
        <v>5.456708</v>
      </c>
    </row>
    <row r="58" customFormat="false" ht="15" hidden="false" customHeight="false" outlineLevel="0" collapsed="false">
      <c r="A58" s="7" t="n">
        <v>1995</v>
      </c>
      <c r="B58" s="12" t="s">
        <v>77</v>
      </c>
      <c r="C58" s="12" t="s">
        <v>57</v>
      </c>
      <c r="D58" s="12" t="s">
        <v>49</v>
      </c>
      <c r="E58" s="16" t="n">
        <v>25.647612</v>
      </c>
      <c r="F58" s="16" t="n">
        <v>0</v>
      </c>
      <c r="G58" s="16" t="n">
        <v>2.39617</v>
      </c>
    </row>
    <row r="59" customFormat="false" ht="15" hidden="false" customHeight="false" outlineLevel="0" collapsed="false">
      <c r="A59" s="7" t="n">
        <v>1995</v>
      </c>
      <c r="B59" s="12" t="s">
        <v>77</v>
      </c>
      <c r="C59" s="12" t="s">
        <v>57</v>
      </c>
      <c r="D59" s="12" t="s">
        <v>48</v>
      </c>
      <c r="E59" s="16" t="n">
        <v>13.05653</v>
      </c>
      <c r="F59" s="16" t="n">
        <v>0</v>
      </c>
      <c r="G59" s="16" t="n">
        <v>0</v>
      </c>
    </row>
    <row r="60" customFormat="false" ht="15" hidden="false" customHeight="false" outlineLevel="0" collapsed="false">
      <c r="A60" s="7" t="n">
        <v>1995</v>
      </c>
      <c r="B60" s="12" t="s">
        <v>77</v>
      </c>
      <c r="C60" s="12" t="s">
        <v>57</v>
      </c>
      <c r="D60" s="12" t="s">
        <v>46</v>
      </c>
      <c r="E60" s="16" t="n">
        <v>8.728483</v>
      </c>
      <c r="F60" s="16" t="n">
        <v>0</v>
      </c>
      <c r="G60" s="16" t="n">
        <v>6.425002</v>
      </c>
    </row>
    <row r="61" customFormat="false" ht="15" hidden="false" customHeight="false" outlineLevel="0" collapsed="false">
      <c r="A61" s="7" t="n">
        <v>1995</v>
      </c>
      <c r="B61" s="12" t="s">
        <v>77</v>
      </c>
      <c r="C61" s="12" t="s">
        <v>57</v>
      </c>
      <c r="D61" s="12" t="s">
        <v>45</v>
      </c>
      <c r="E61" s="16" t="n">
        <v>3.541487</v>
      </c>
      <c r="F61" s="16" t="n">
        <v>0</v>
      </c>
      <c r="G61" s="16" t="n">
        <v>2.504529</v>
      </c>
    </row>
    <row r="62" customFormat="false" ht="15" hidden="false" customHeight="false" outlineLevel="0" collapsed="false">
      <c r="A62" s="7" t="n">
        <v>1995</v>
      </c>
      <c r="B62" s="12" t="s">
        <v>78</v>
      </c>
      <c r="C62" s="12" t="s">
        <v>65</v>
      </c>
      <c r="D62" s="12" t="s">
        <v>49</v>
      </c>
      <c r="E62" s="16" t="n">
        <v>18.163091</v>
      </c>
      <c r="F62" s="16" t="n">
        <v>0</v>
      </c>
      <c r="G62" s="16" t="n">
        <v>1.998291</v>
      </c>
    </row>
    <row r="63" customFormat="false" ht="15" hidden="false" customHeight="false" outlineLevel="0" collapsed="false">
      <c r="A63" s="7" t="n">
        <v>1995</v>
      </c>
      <c r="B63" s="12" t="s">
        <v>78</v>
      </c>
      <c r="C63" s="12" t="s">
        <v>65</v>
      </c>
      <c r="D63" s="12" t="s">
        <v>48</v>
      </c>
      <c r="E63" s="16" t="n">
        <v>5.553895</v>
      </c>
      <c r="F63" s="16" t="n">
        <v>0</v>
      </c>
      <c r="G63" s="16" t="n">
        <v>0</v>
      </c>
    </row>
    <row r="64" customFormat="false" ht="15" hidden="false" customHeight="false" outlineLevel="0" collapsed="false">
      <c r="A64" s="7" t="n">
        <v>1995</v>
      </c>
      <c r="B64" s="12" t="s">
        <v>78</v>
      </c>
      <c r="C64" s="12" t="s">
        <v>65</v>
      </c>
      <c r="D64" s="12" t="s">
        <v>46</v>
      </c>
      <c r="E64" s="16" t="n">
        <v>8.64953</v>
      </c>
      <c r="F64" s="16" t="n">
        <v>0</v>
      </c>
      <c r="G64" s="16" t="n">
        <v>6.31938</v>
      </c>
    </row>
    <row r="65" customFormat="false" ht="15" hidden="false" customHeight="false" outlineLevel="0" collapsed="false">
      <c r="A65" s="7" t="n">
        <v>1995</v>
      </c>
      <c r="B65" s="12" t="s">
        <v>78</v>
      </c>
      <c r="C65" s="12" t="s">
        <v>65</v>
      </c>
      <c r="D65" s="12" t="s">
        <v>45</v>
      </c>
      <c r="E65" s="16" t="n">
        <v>1.218068</v>
      </c>
      <c r="F65" s="16" t="n">
        <v>0.007123</v>
      </c>
      <c r="G65" s="16" t="n">
        <v>3.07964</v>
      </c>
    </row>
    <row r="66" customFormat="false" ht="15" hidden="false" customHeight="false" outlineLevel="0" collapsed="false">
      <c r="A66" s="7" t="n">
        <v>1995</v>
      </c>
      <c r="B66" s="12" t="s">
        <v>79</v>
      </c>
      <c r="C66" s="12" t="s">
        <v>72</v>
      </c>
      <c r="D66" s="12" t="s">
        <v>49</v>
      </c>
      <c r="E66" s="16" t="n">
        <v>113.118611</v>
      </c>
      <c r="F66" s="16" t="n">
        <v>0</v>
      </c>
      <c r="G66" s="16" t="n">
        <v>18.152085</v>
      </c>
    </row>
    <row r="67" customFormat="false" ht="15" hidden="false" customHeight="false" outlineLevel="0" collapsed="false">
      <c r="A67" s="7" t="n">
        <v>1995</v>
      </c>
      <c r="B67" s="12" t="s">
        <v>79</v>
      </c>
      <c r="C67" s="12" t="s">
        <v>72</v>
      </c>
      <c r="D67" s="12" t="s">
        <v>48</v>
      </c>
      <c r="E67" s="16" t="n">
        <v>96.813368</v>
      </c>
      <c r="F67" s="16" t="n">
        <v>0</v>
      </c>
      <c r="G67" s="16" t="n">
        <v>0</v>
      </c>
    </row>
    <row r="68" customFormat="false" ht="15" hidden="false" customHeight="false" outlineLevel="0" collapsed="false">
      <c r="A68" s="7" t="n">
        <v>1995</v>
      </c>
      <c r="B68" s="12" t="s">
        <v>79</v>
      </c>
      <c r="C68" s="12" t="s">
        <v>72</v>
      </c>
      <c r="D68" s="12" t="s">
        <v>46</v>
      </c>
      <c r="E68" s="16" t="n">
        <v>58.095355</v>
      </c>
      <c r="F68" s="16" t="n">
        <v>0</v>
      </c>
      <c r="G68" s="16" t="n">
        <v>50.911178</v>
      </c>
    </row>
    <row r="69" customFormat="false" ht="15" hidden="false" customHeight="false" outlineLevel="0" collapsed="false">
      <c r="A69" s="7" t="n">
        <v>1995</v>
      </c>
      <c r="B69" s="12" t="s">
        <v>79</v>
      </c>
      <c r="C69" s="12" t="s">
        <v>72</v>
      </c>
      <c r="D69" s="12" t="s">
        <v>45</v>
      </c>
      <c r="E69" s="16" t="n">
        <v>8.366708</v>
      </c>
      <c r="F69" s="16" t="n">
        <v>0.708265</v>
      </c>
      <c r="G69" s="16" t="n">
        <v>9.175465</v>
      </c>
    </row>
    <row r="70" customFormat="false" ht="15" hidden="false" customHeight="false" outlineLevel="0" collapsed="false">
      <c r="A70" s="7" t="n">
        <v>1995</v>
      </c>
      <c r="B70" s="12" t="s">
        <v>80</v>
      </c>
      <c r="C70" s="12" t="s">
        <v>72</v>
      </c>
      <c r="D70" s="12" t="s">
        <v>49</v>
      </c>
      <c r="E70" s="16" t="n">
        <v>38.60281</v>
      </c>
      <c r="F70" s="16" t="n">
        <v>0</v>
      </c>
      <c r="G70" s="16" t="n">
        <v>11.374923</v>
      </c>
    </row>
    <row r="71" customFormat="false" ht="15" hidden="false" customHeight="false" outlineLevel="0" collapsed="false">
      <c r="A71" s="7" t="n">
        <v>1995</v>
      </c>
      <c r="B71" s="12" t="s">
        <v>80</v>
      </c>
      <c r="C71" s="12" t="s">
        <v>72</v>
      </c>
      <c r="D71" s="12" t="s">
        <v>48</v>
      </c>
      <c r="E71" s="16" t="n">
        <v>26.523906</v>
      </c>
      <c r="F71" s="16" t="n">
        <v>0</v>
      </c>
      <c r="G71" s="16" t="n">
        <v>0</v>
      </c>
    </row>
    <row r="72" customFormat="false" ht="15" hidden="false" customHeight="false" outlineLevel="0" collapsed="false">
      <c r="A72" s="7" t="n">
        <v>1995</v>
      </c>
      <c r="B72" s="12" t="s">
        <v>80</v>
      </c>
      <c r="C72" s="12" t="s">
        <v>72</v>
      </c>
      <c r="D72" s="12" t="s">
        <v>46</v>
      </c>
      <c r="E72" s="16" t="n">
        <v>19.979124</v>
      </c>
      <c r="F72" s="16" t="n">
        <v>0</v>
      </c>
      <c r="G72" s="16" t="n">
        <v>18.630451</v>
      </c>
    </row>
    <row r="73" customFormat="false" ht="15" hidden="false" customHeight="false" outlineLevel="0" collapsed="false">
      <c r="A73" s="7" t="n">
        <v>1995</v>
      </c>
      <c r="B73" s="12" t="s">
        <v>80</v>
      </c>
      <c r="C73" s="12" t="s">
        <v>72</v>
      </c>
      <c r="D73" s="12" t="s">
        <v>45</v>
      </c>
      <c r="E73" s="16" t="n">
        <v>5.672107</v>
      </c>
      <c r="F73" s="16" t="n">
        <v>0.925314</v>
      </c>
      <c r="G73" s="16" t="n">
        <v>5.685732</v>
      </c>
    </row>
    <row r="74" customFormat="false" ht="15" hidden="false" customHeight="false" outlineLevel="0" collapsed="false">
      <c r="A74" s="7" t="n">
        <v>1995</v>
      </c>
      <c r="B74" s="12" t="s">
        <v>81</v>
      </c>
      <c r="C74" s="12" t="s">
        <v>72</v>
      </c>
      <c r="D74" s="12" t="s">
        <v>49</v>
      </c>
      <c r="E74" s="16" t="n">
        <v>31.270117</v>
      </c>
      <c r="F74" s="16" t="n">
        <v>0</v>
      </c>
      <c r="G74" s="16" t="n">
        <v>5.344131</v>
      </c>
    </row>
    <row r="75" customFormat="false" ht="15" hidden="false" customHeight="false" outlineLevel="0" collapsed="false">
      <c r="A75" s="7" t="n">
        <v>1995</v>
      </c>
      <c r="B75" s="12" t="s">
        <v>81</v>
      </c>
      <c r="C75" s="12" t="s">
        <v>72</v>
      </c>
      <c r="D75" s="12" t="s">
        <v>48</v>
      </c>
      <c r="E75" s="16" t="n">
        <v>29.638207</v>
      </c>
      <c r="F75" s="16" t="n">
        <v>0</v>
      </c>
      <c r="G75" s="16" t="n">
        <v>0</v>
      </c>
    </row>
    <row r="76" customFormat="false" ht="15" hidden="false" customHeight="false" outlineLevel="0" collapsed="false">
      <c r="A76" s="7" t="n">
        <v>1995</v>
      </c>
      <c r="B76" s="12" t="s">
        <v>81</v>
      </c>
      <c r="C76" s="12" t="s">
        <v>72</v>
      </c>
      <c r="D76" s="12" t="s">
        <v>46</v>
      </c>
      <c r="E76" s="16" t="n">
        <v>26.272691</v>
      </c>
      <c r="F76" s="16" t="n">
        <v>0</v>
      </c>
      <c r="G76" s="16" t="n">
        <v>14.624663</v>
      </c>
    </row>
    <row r="77" customFormat="false" ht="15" hidden="false" customHeight="false" outlineLevel="0" collapsed="false">
      <c r="A77" s="7" t="n">
        <v>1995</v>
      </c>
      <c r="B77" s="12" t="s">
        <v>81</v>
      </c>
      <c r="C77" s="12" t="s">
        <v>72</v>
      </c>
      <c r="D77" s="12" t="s">
        <v>45</v>
      </c>
      <c r="E77" s="16" t="n">
        <v>7.322867</v>
      </c>
      <c r="F77" s="16" t="n">
        <v>1.061718</v>
      </c>
      <c r="G77" s="16" t="n">
        <v>3.401973</v>
      </c>
    </row>
    <row r="78" customFormat="false" ht="15" hidden="false" customHeight="false" outlineLevel="0" collapsed="false">
      <c r="A78" s="7" t="n">
        <v>1996</v>
      </c>
      <c r="B78" s="12" t="s">
        <v>56</v>
      </c>
      <c r="C78" s="12" t="s">
        <v>57</v>
      </c>
      <c r="D78" s="12" t="s">
        <v>49</v>
      </c>
      <c r="E78" s="16" t="n">
        <v>35.575408</v>
      </c>
      <c r="F78" s="16" t="n">
        <v>0</v>
      </c>
      <c r="G78" s="16" t="n">
        <v>8.050749</v>
      </c>
    </row>
    <row r="79" customFormat="false" ht="15" hidden="false" customHeight="false" outlineLevel="0" collapsed="false">
      <c r="A79" s="7" t="n">
        <v>1996</v>
      </c>
      <c r="B79" s="12" t="s">
        <v>56</v>
      </c>
      <c r="C79" s="12" t="s">
        <v>57</v>
      </c>
      <c r="D79" s="12" t="s">
        <v>48</v>
      </c>
      <c r="E79" s="16" t="n">
        <v>23.455056</v>
      </c>
      <c r="F79" s="16" t="n">
        <v>0</v>
      </c>
      <c r="G79" s="16" t="n">
        <v>0</v>
      </c>
    </row>
    <row r="80" customFormat="false" ht="15" hidden="false" customHeight="false" outlineLevel="0" collapsed="false">
      <c r="A80" s="7" t="n">
        <v>1996</v>
      </c>
      <c r="B80" s="12" t="s">
        <v>56</v>
      </c>
      <c r="C80" s="12" t="s">
        <v>57</v>
      </c>
      <c r="D80" s="12" t="s">
        <v>46</v>
      </c>
      <c r="E80" s="16" t="n">
        <v>14.830956</v>
      </c>
      <c r="F80" s="16" t="n">
        <v>0</v>
      </c>
      <c r="G80" s="16" t="n">
        <v>7.731621</v>
      </c>
    </row>
    <row r="81" customFormat="false" ht="15" hidden="false" customHeight="false" outlineLevel="0" collapsed="false">
      <c r="A81" s="7" t="n">
        <v>1996</v>
      </c>
      <c r="B81" s="12" t="s">
        <v>56</v>
      </c>
      <c r="C81" s="12" t="s">
        <v>57</v>
      </c>
      <c r="D81" s="12" t="s">
        <v>45</v>
      </c>
      <c r="E81" s="16" t="n">
        <v>5.599506</v>
      </c>
      <c r="F81" s="16" t="n">
        <v>0.145551</v>
      </c>
      <c r="G81" s="16" t="n">
        <v>4.105575</v>
      </c>
    </row>
    <row r="82" customFormat="false" ht="15" hidden="false" customHeight="false" outlineLevel="0" collapsed="false">
      <c r="A82" s="7" t="n">
        <v>1996</v>
      </c>
      <c r="B82" s="12" t="s">
        <v>58</v>
      </c>
      <c r="C82" s="12" t="s">
        <v>59</v>
      </c>
      <c r="D82" s="12" t="s">
        <v>49</v>
      </c>
      <c r="E82" s="16" t="n">
        <v>175.467457</v>
      </c>
      <c r="F82" s="16" t="n">
        <v>0</v>
      </c>
      <c r="G82" s="16" t="n">
        <v>22.877835</v>
      </c>
    </row>
    <row r="83" customFormat="false" ht="15" hidden="false" customHeight="false" outlineLevel="0" collapsed="false">
      <c r="A83" s="7" t="n">
        <v>1996</v>
      </c>
      <c r="B83" s="12" t="s">
        <v>58</v>
      </c>
      <c r="C83" s="12" t="s">
        <v>59</v>
      </c>
      <c r="D83" s="12" t="s">
        <v>48</v>
      </c>
      <c r="E83" s="16" t="n">
        <v>48.969581</v>
      </c>
      <c r="F83" s="16" t="n">
        <v>0</v>
      </c>
      <c r="G83" s="16" t="n">
        <v>0</v>
      </c>
    </row>
    <row r="84" customFormat="false" ht="15" hidden="false" customHeight="false" outlineLevel="0" collapsed="false">
      <c r="A84" s="7" t="n">
        <v>1996</v>
      </c>
      <c r="B84" s="12" t="s">
        <v>58</v>
      </c>
      <c r="C84" s="12" t="s">
        <v>59</v>
      </c>
      <c r="D84" s="12" t="s">
        <v>46</v>
      </c>
      <c r="E84" s="16" t="n">
        <v>77.044795</v>
      </c>
      <c r="F84" s="16" t="n">
        <v>0</v>
      </c>
      <c r="G84" s="16" t="n">
        <v>66.28942</v>
      </c>
    </row>
    <row r="85" customFormat="false" ht="15" hidden="false" customHeight="false" outlineLevel="0" collapsed="false">
      <c r="A85" s="7" t="n">
        <v>1996</v>
      </c>
      <c r="B85" s="12" t="s">
        <v>58</v>
      </c>
      <c r="C85" s="12" t="s">
        <v>59</v>
      </c>
      <c r="D85" s="12" t="s">
        <v>45</v>
      </c>
      <c r="E85" s="16" t="n">
        <v>24.826911</v>
      </c>
      <c r="F85" s="16" t="n">
        <v>0.007405</v>
      </c>
      <c r="G85" s="16" t="n">
        <v>16.597846</v>
      </c>
    </row>
    <row r="86" customFormat="false" ht="15" hidden="false" customHeight="false" outlineLevel="0" collapsed="false">
      <c r="A86" s="7" t="n">
        <v>1996</v>
      </c>
      <c r="B86" s="12" t="s">
        <v>60</v>
      </c>
      <c r="C86" s="12" t="s">
        <v>59</v>
      </c>
      <c r="D86" s="12" t="s">
        <v>49</v>
      </c>
      <c r="E86" s="16" t="n">
        <v>457.608239</v>
      </c>
      <c r="F86" s="16" t="n">
        <v>0</v>
      </c>
      <c r="G86" s="16" t="n">
        <v>27.5249</v>
      </c>
    </row>
    <row r="87" customFormat="false" ht="15" hidden="false" customHeight="false" outlineLevel="0" collapsed="false">
      <c r="A87" s="7" t="n">
        <v>1996</v>
      </c>
      <c r="B87" s="12" t="s">
        <v>60</v>
      </c>
      <c r="C87" s="12" t="s">
        <v>59</v>
      </c>
      <c r="D87" s="12" t="s">
        <v>48</v>
      </c>
      <c r="E87" s="16" t="n">
        <v>185.57546</v>
      </c>
      <c r="F87" s="16" t="n">
        <v>0</v>
      </c>
      <c r="G87" s="16" t="n">
        <v>0</v>
      </c>
    </row>
    <row r="88" customFormat="false" ht="15" hidden="false" customHeight="false" outlineLevel="0" collapsed="false">
      <c r="A88" s="7" t="n">
        <v>1996</v>
      </c>
      <c r="B88" s="12" t="s">
        <v>60</v>
      </c>
      <c r="C88" s="12" t="s">
        <v>59</v>
      </c>
      <c r="D88" s="12" t="s">
        <v>46</v>
      </c>
      <c r="E88" s="16" t="n">
        <v>207.138563</v>
      </c>
      <c r="F88" s="16" t="n">
        <v>0</v>
      </c>
      <c r="G88" s="16" t="n">
        <v>193.9443</v>
      </c>
    </row>
    <row r="89" customFormat="false" ht="15" hidden="false" customHeight="false" outlineLevel="0" collapsed="false">
      <c r="A89" s="7" t="n">
        <v>1996</v>
      </c>
      <c r="B89" s="12" t="s">
        <v>60</v>
      </c>
      <c r="C89" s="12" t="s">
        <v>59</v>
      </c>
      <c r="D89" s="12" t="s">
        <v>45</v>
      </c>
      <c r="E89" s="16" t="n">
        <v>45.439707</v>
      </c>
      <c r="F89" s="16" t="n">
        <v>2.896449</v>
      </c>
      <c r="G89" s="16" t="n">
        <v>58.066239</v>
      </c>
    </row>
    <row r="90" customFormat="false" ht="15" hidden="false" customHeight="false" outlineLevel="0" collapsed="false">
      <c r="A90" s="7" t="n">
        <v>1996</v>
      </c>
      <c r="B90" s="12" t="s">
        <v>61</v>
      </c>
      <c r="C90" s="12" t="s">
        <v>62</v>
      </c>
      <c r="D90" s="12" t="s">
        <v>49</v>
      </c>
      <c r="E90" s="16" t="n">
        <v>146.655079</v>
      </c>
      <c r="F90" s="16" t="n">
        <v>0</v>
      </c>
      <c r="G90" s="16" t="n">
        <v>15.950837</v>
      </c>
    </row>
    <row r="91" customFormat="false" ht="15" hidden="false" customHeight="false" outlineLevel="0" collapsed="false">
      <c r="A91" s="7" t="n">
        <v>1996</v>
      </c>
      <c r="B91" s="12" t="s">
        <v>61</v>
      </c>
      <c r="C91" s="12" t="s">
        <v>62</v>
      </c>
      <c r="D91" s="12" t="s">
        <v>48</v>
      </c>
      <c r="E91" s="16" t="n">
        <v>83.780171</v>
      </c>
      <c r="F91" s="16" t="n">
        <v>0</v>
      </c>
      <c r="G91" s="16" t="n">
        <v>0</v>
      </c>
    </row>
    <row r="92" customFormat="false" ht="15" hidden="false" customHeight="false" outlineLevel="0" collapsed="false">
      <c r="A92" s="7" t="n">
        <v>1996</v>
      </c>
      <c r="B92" s="12" t="s">
        <v>61</v>
      </c>
      <c r="C92" s="12" t="s">
        <v>62</v>
      </c>
      <c r="D92" s="12" t="s">
        <v>46</v>
      </c>
      <c r="E92" s="16" t="n">
        <v>74.959637</v>
      </c>
      <c r="F92" s="16" t="n">
        <v>0</v>
      </c>
      <c r="G92" s="16" t="n">
        <v>91.333</v>
      </c>
    </row>
    <row r="93" customFormat="false" ht="15" hidden="false" customHeight="false" outlineLevel="0" collapsed="false">
      <c r="A93" s="7" t="n">
        <v>1996</v>
      </c>
      <c r="B93" s="12" t="s">
        <v>61</v>
      </c>
      <c r="C93" s="12" t="s">
        <v>62</v>
      </c>
      <c r="D93" s="12" t="s">
        <v>45</v>
      </c>
      <c r="E93" s="16" t="n">
        <v>20.512339</v>
      </c>
      <c r="F93" s="16" t="n">
        <v>0</v>
      </c>
      <c r="G93" s="16" t="n">
        <v>20.2809</v>
      </c>
    </row>
    <row r="94" customFormat="false" ht="15" hidden="false" customHeight="false" outlineLevel="0" collapsed="false">
      <c r="A94" s="7" t="n">
        <v>1996</v>
      </c>
      <c r="B94" s="12" t="s">
        <v>63</v>
      </c>
      <c r="C94" s="12" t="s">
        <v>62</v>
      </c>
      <c r="D94" s="12" t="s">
        <v>49</v>
      </c>
      <c r="E94" s="16" t="n">
        <v>322.053518</v>
      </c>
      <c r="F94" s="16" t="n">
        <v>0</v>
      </c>
      <c r="G94" s="16" t="n">
        <v>57.7427</v>
      </c>
    </row>
    <row r="95" customFormat="false" ht="15" hidden="false" customHeight="false" outlineLevel="0" collapsed="false">
      <c r="A95" s="7" t="n">
        <v>1996</v>
      </c>
      <c r="B95" s="12" t="s">
        <v>63</v>
      </c>
      <c r="C95" s="12" t="s">
        <v>62</v>
      </c>
      <c r="D95" s="12" t="s">
        <v>48</v>
      </c>
      <c r="E95" s="16" t="n">
        <v>95.474196</v>
      </c>
      <c r="F95" s="16" t="n">
        <v>0</v>
      </c>
      <c r="G95" s="16" t="n">
        <v>0</v>
      </c>
    </row>
    <row r="96" customFormat="false" ht="15" hidden="false" customHeight="false" outlineLevel="0" collapsed="false">
      <c r="A96" s="7" t="n">
        <v>1996</v>
      </c>
      <c r="B96" s="12" t="s">
        <v>63</v>
      </c>
      <c r="C96" s="12" t="s">
        <v>62</v>
      </c>
      <c r="D96" s="12" t="s">
        <v>46</v>
      </c>
      <c r="E96" s="16" t="n">
        <v>156.516259</v>
      </c>
      <c r="F96" s="16" t="n">
        <v>0</v>
      </c>
      <c r="G96" s="16" t="n">
        <v>121.313</v>
      </c>
    </row>
    <row r="97" customFormat="false" ht="15" hidden="false" customHeight="false" outlineLevel="0" collapsed="false">
      <c r="A97" s="7" t="n">
        <v>1996</v>
      </c>
      <c r="B97" s="12" t="s">
        <v>63</v>
      </c>
      <c r="C97" s="12" t="s">
        <v>62</v>
      </c>
      <c r="D97" s="12" t="s">
        <v>45</v>
      </c>
      <c r="E97" s="16" t="n">
        <v>33.17827</v>
      </c>
      <c r="F97" s="16" t="n">
        <v>0</v>
      </c>
      <c r="G97" s="16" t="n">
        <v>30.714</v>
      </c>
    </row>
    <row r="98" customFormat="false" ht="15" hidden="false" customHeight="false" outlineLevel="0" collapsed="false">
      <c r="A98" s="7" t="n">
        <v>1996</v>
      </c>
      <c r="B98" s="12" t="s">
        <v>64</v>
      </c>
      <c r="C98" s="12" t="s">
        <v>65</v>
      </c>
      <c r="D98" s="12" t="s">
        <v>49</v>
      </c>
      <c r="E98" s="16" t="n">
        <v>135.402747</v>
      </c>
      <c r="F98" s="16" t="n">
        <v>0</v>
      </c>
      <c r="G98" s="16" t="n">
        <v>6.996131</v>
      </c>
    </row>
    <row r="99" customFormat="false" ht="15" hidden="false" customHeight="false" outlineLevel="0" collapsed="false">
      <c r="A99" s="7" t="n">
        <v>1996</v>
      </c>
      <c r="B99" s="12" t="s">
        <v>64</v>
      </c>
      <c r="C99" s="12" t="s">
        <v>65</v>
      </c>
      <c r="D99" s="12" t="s">
        <v>48</v>
      </c>
      <c r="E99" s="16" t="n">
        <v>60.433643</v>
      </c>
      <c r="F99" s="16" t="n">
        <v>0</v>
      </c>
      <c r="G99" s="16" t="n">
        <v>0</v>
      </c>
    </row>
    <row r="100" customFormat="false" ht="15" hidden="false" customHeight="false" outlineLevel="0" collapsed="false">
      <c r="A100" s="7" t="n">
        <v>1996</v>
      </c>
      <c r="B100" s="12" t="s">
        <v>64</v>
      </c>
      <c r="C100" s="12" t="s">
        <v>65</v>
      </c>
      <c r="D100" s="12" t="s">
        <v>46</v>
      </c>
      <c r="E100" s="16" t="n">
        <v>39.322902</v>
      </c>
      <c r="F100" s="16" t="n">
        <v>0</v>
      </c>
      <c r="G100" s="16" t="n">
        <v>39.319539</v>
      </c>
    </row>
    <row r="101" customFormat="false" ht="15" hidden="false" customHeight="false" outlineLevel="0" collapsed="false">
      <c r="A101" s="7" t="n">
        <v>1996</v>
      </c>
      <c r="B101" s="12" t="s">
        <v>64</v>
      </c>
      <c r="C101" s="12" t="s">
        <v>65</v>
      </c>
      <c r="D101" s="12" t="s">
        <v>45</v>
      </c>
      <c r="E101" s="16" t="n">
        <v>19.111397</v>
      </c>
      <c r="F101" s="16" t="n">
        <v>3.138852</v>
      </c>
      <c r="G101" s="16" t="n">
        <v>11.710622</v>
      </c>
    </row>
    <row r="102" customFormat="false" ht="15" hidden="false" customHeight="false" outlineLevel="0" collapsed="false">
      <c r="A102" s="7" t="n">
        <v>1996</v>
      </c>
      <c r="B102" s="12" t="s">
        <v>66</v>
      </c>
      <c r="C102" s="12" t="s">
        <v>67</v>
      </c>
      <c r="D102" s="12" t="s">
        <v>49</v>
      </c>
      <c r="E102" s="16" t="n">
        <v>90.205461</v>
      </c>
      <c r="F102" s="16" t="n">
        <v>0</v>
      </c>
      <c r="G102" s="16" t="n">
        <v>2.265677</v>
      </c>
    </row>
    <row r="103" customFormat="false" ht="15" hidden="false" customHeight="false" outlineLevel="0" collapsed="false">
      <c r="A103" s="7" t="n">
        <v>1996</v>
      </c>
      <c r="B103" s="12" t="s">
        <v>66</v>
      </c>
      <c r="C103" s="12" t="s">
        <v>67</v>
      </c>
      <c r="D103" s="12" t="s">
        <v>48</v>
      </c>
      <c r="E103" s="16" t="n">
        <v>30.914979</v>
      </c>
      <c r="F103" s="16" t="n">
        <v>0</v>
      </c>
      <c r="G103" s="16" t="n">
        <v>0</v>
      </c>
    </row>
    <row r="104" customFormat="false" ht="15" hidden="false" customHeight="false" outlineLevel="0" collapsed="false">
      <c r="A104" s="7" t="n">
        <v>1996</v>
      </c>
      <c r="B104" s="12" t="s">
        <v>66</v>
      </c>
      <c r="C104" s="12" t="s">
        <v>67</v>
      </c>
      <c r="D104" s="12" t="s">
        <v>46</v>
      </c>
      <c r="E104" s="16" t="n">
        <v>37.961894</v>
      </c>
      <c r="F104" s="16" t="n">
        <v>0</v>
      </c>
      <c r="G104" s="16" t="n">
        <v>27.731244</v>
      </c>
    </row>
    <row r="105" customFormat="false" ht="15" hidden="false" customHeight="false" outlineLevel="0" collapsed="false">
      <c r="A105" s="7" t="n">
        <v>1996</v>
      </c>
      <c r="B105" s="12" t="s">
        <v>66</v>
      </c>
      <c r="C105" s="12" t="s">
        <v>67</v>
      </c>
      <c r="D105" s="12" t="s">
        <v>45</v>
      </c>
      <c r="E105" s="16" t="n">
        <v>-26.849995</v>
      </c>
      <c r="F105" s="16" t="n">
        <v>-45.647005</v>
      </c>
      <c r="G105" s="16" t="n">
        <v>16.182224</v>
      </c>
    </row>
    <row r="106" customFormat="false" ht="15" hidden="false" customHeight="false" outlineLevel="0" collapsed="false">
      <c r="A106" s="7" t="n">
        <v>1996</v>
      </c>
      <c r="B106" s="12" t="s">
        <v>68</v>
      </c>
      <c r="C106" s="12" t="s">
        <v>65</v>
      </c>
      <c r="D106" s="12" t="s">
        <v>49</v>
      </c>
      <c r="E106" s="16" t="n">
        <v>71.549163</v>
      </c>
      <c r="F106" s="16" t="n">
        <v>0</v>
      </c>
      <c r="G106" s="16" t="n">
        <v>7.764129</v>
      </c>
    </row>
    <row r="107" customFormat="false" ht="15" hidden="false" customHeight="false" outlineLevel="0" collapsed="false">
      <c r="A107" s="7" t="n">
        <v>1996</v>
      </c>
      <c r="B107" s="12" t="s">
        <v>68</v>
      </c>
      <c r="C107" s="12" t="s">
        <v>65</v>
      </c>
      <c r="D107" s="12" t="s">
        <v>48</v>
      </c>
      <c r="E107" s="16" t="n">
        <v>21.886896</v>
      </c>
      <c r="F107" s="16" t="n">
        <v>0</v>
      </c>
      <c r="G107" s="16" t="n">
        <v>0</v>
      </c>
    </row>
    <row r="108" customFormat="false" ht="15" hidden="false" customHeight="false" outlineLevel="0" collapsed="false">
      <c r="A108" s="7" t="n">
        <v>1996</v>
      </c>
      <c r="B108" s="12" t="s">
        <v>68</v>
      </c>
      <c r="C108" s="12" t="s">
        <v>65</v>
      </c>
      <c r="D108" s="12" t="s">
        <v>46</v>
      </c>
      <c r="E108" s="16" t="n">
        <v>28.063475</v>
      </c>
      <c r="F108" s="16" t="n">
        <v>0</v>
      </c>
      <c r="G108" s="16" t="n">
        <v>33.080801</v>
      </c>
    </row>
    <row r="109" customFormat="false" ht="15" hidden="false" customHeight="false" outlineLevel="0" collapsed="false">
      <c r="A109" s="7" t="n">
        <v>1996</v>
      </c>
      <c r="B109" s="12" t="s">
        <v>68</v>
      </c>
      <c r="C109" s="12" t="s">
        <v>65</v>
      </c>
      <c r="D109" s="12" t="s">
        <v>45</v>
      </c>
      <c r="E109" s="16" t="n">
        <v>6.018826</v>
      </c>
      <c r="F109" s="16" t="n">
        <v>0</v>
      </c>
      <c r="G109" s="16" t="n">
        <v>5.596688</v>
      </c>
    </row>
    <row r="110" customFormat="false" ht="15" hidden="false" customHeight="false" outlineLevel="0" collapsed="false">
      <c r="A110" s="7" t="n">
        <v>1996</v>
      </c>
      <c r="B110" s="12" t="s">
        <v>69</v>
      </c>
      <c r="C110" s="12" t="s">
        <v>70</v>
      </c>
      <c r="D110" s="12" t="s">
        <v>49</v>
      </c>
      <c r="E110" s="16" t="n">
        <v>75.642042</v>
      </c>
      <c r="F110" s="16" t="n">
        <v>0</v>
      </c>
      <c r="G110" s="16" t="n">
        <v>10.115728</v>
      </c>
    </row>
    <row r="111" customFormat="false" ht="15" hidden="false" customHeight="false" outlineLevel="0" collapsed="false">
      <c r="A111" s="7" t="n">
        <v>1996</v>
      </c>
      <c r="B111" s="12" t="s">
        <v>69</v>
      </c>
      <c r="C111" s="12" t="s">
        <v>70</v>
      </c>
      <c r="D111" s="12" t="s">
        <v>48</v>
      </c>
      <c r="E111" s="16" t="n">
        <v>18.79324</v>
      </c>
      <c r="F111" s="16" t="n">
        <v>0</v>
      </c>
      <c r="G111" s="16" t="n">
        <v>0</v>
      </c>
    </row>
    <row r="112" customFormat="false" ht="15" hidden="false" customHeight="false" outlineLevel="0" collapsed="false">
      <c r="A112" s="7" t="n">
        <v>1996</v>
      </c>
      <c r="B112" s="12" t="s">
        <v>69</v>
      </c>
      <c r="C112" s="12" t="s">
        <v>70</v>
      </c>
      <c r="D112" s="12" t="s">
        <v>46</v>
      </c>
      <c r="E112" s="16" t="n">
        <v>31.98333</v>
      </c>
      <c r="F112" s="16" t="n">
        <v>0</v>
      </c>
      <c r="G112" s="16" t="n">
        <v>30.063179</v>
      </c>
    </row>
    <row r="113" customFormat="false" ht="15" hidden="false" customHeight="false" outlineLevel="0" collapsed="false">
      <c r="A113" s="7" t="n">
        <v>1996</v>
      </c>
      <c r="B113" s="12" t="s">
        <v>69</v>
      </c>
      <c r="C113" s="12" t="s">
        <v>70</v>
      </c>
      <c r="D113" s="12" t="s">
        <v>45</v>
      </c>
      <c r="E113" s="16" t="n">
        <v>13.510159</v>
      </c>
      <c r="F113" s="16" t="n">
        <v>4.418592</v>
      </c>
      <c r="G113" s="16" t="n">
        <v>12.049848</v>
      </c>
    </row>
    <row r="114" customFormat="false" ht="15" hidden="false" customHeight="false" outlineLevel="0" collapsed="false">
      <c r="A114" s="7" t="n">
        <v>1996</v>
      </c>
      <c r="B114" s="12" t="s">
        <v>71</v>
      </c>
      <c r="C114" s="12" t="s">
        <v>72</v>
      </c>
      <c r="D114" s="12" t="s">
        <v>49</v>
      </c>
      <c r="E114" s="16" t="n">
        <v>14.300247</v>
      </c>
      <c r="F114" s="16" t="n">
        <v>0</v>
      </c>
      <c r="G114" s="16" t="n">
        <v>3.122757</v>
      </c>
    </row>
    <row r="115" customFormat="false" ht="15" hidden="false" customHeight="false" outlineLevel="0" collapsed="false">
      <c r="A115" s="7" t="n">
        <v>1996</v>
      </c>
      <c r="B115" s="12" t="s">
        <v>71</v>
      </c>
      <c r="C115" s="12" t="s">
        <v>72</v>
      </c>
      <c r="D115" s="12" t="s">
        <v>48</v>
      </c>
      <c r="E115" s="16" t="n">
        <v>8.454808</v>
      </c>
      <c r="F115" s="16" t="n">
        <v>0</v>
      </c>
      <c r="G115" s="16" t="n">
        <v>0</v>
      </c>
    </row>
    <row r="116" customFormat="false" ht="15" hidden="false" customHeight="false" outlineLevel="0" collapsed="false">
      <c r="A116" s="7" t="n">
        <v>1996</v>
      </c>
      <c r="B116" s="12" t="s">
        <v>71</v>
      </c>
      <c r="C116" s="12" t="s">
        <v>72</v>
      </c>
      <c r="D116" s="12" t="s">
        <v>46</v>
      </c>
      <c r="E116" s="16" t="n">
        <v>6.847457</v>
      </c>
      <c r="F116" s="16" t="n">
        <v>0</v>
      </c>
      <c r="G116" s="16" t="n">
        <v>4.330114</v>
      </c>
    </row>
    <row r="117" customFormat="false" ht="15" hidden="false" customHeight="false" outlineLevel="0" collapsed="false">
      <c r="A117" s="7" t="n">
        <v>1996</v>
      </c>
      <c r="B117" s="12" t="s">
        <v>71</v>
      </c>
      <c r="C117" s="12" t="s">
        <v>72</v>
      </c>
      <c r="D117" s="12" t="s">
        <v>45</v>
      </c>
      <c r="E117" s="16" t="n">
        <v>1.82702</v>
      </c>
      <c r="F117" s="16" t="n">
        <v>0.464511</v>
      </c>
      <c r="G117" s="16" t="n">
        <v>2.633719</v>
      </c>
    </row>
    <row r="118" customFormat="false" ht="15" hidden="false" customHeight="false" outlineLevel="0" collapsed="false">
      <c r="A118" s="7" t="n">
        <v>1996</v>
      </c>
      <c r="B118" s="12" t="s">
        <v>73</v>
      </c>
      <c r="C118" s="12" t="s">
        <v>70</v>
      </c>
      <c r="D118" s="12" t="s">
        <v>49</v>
      </c>
      <c r="E118" s="16" t="n">
        <v>85.106137</v>
      </c>
      <c r="F118" s="16" t="n">
        <v>0</v>
      </c>
      <c r="G118" s="16" t="n">
        <v>12.92233</v>
      </c>
    </row>
    <row r="119" customFormat="false" ht="15" hidden="false" customHeight="false" outlineLevel="0" collapsed="false">
      <c r="A119" s="7" t="n">
        <v>1996</v>
      </c>
      <c r="B119" s="12" t="s">
        <v>73</v>
      </c>
      <c r="C119" s="12" t="s">
        <v>70</v>
      </c>
      <c r="D119" s="12" t="s">
        <v>48</v>
      </c>
      <c r="E119" s="16" t="n">
        <v>33.496878</v>
      </c>
      <c r="F119" s="16" t="n">
        <v>0</v>
      </c>
      <c r="G119" s="16" t="n">
        <v>0</v>
      </c>
    </row>
    <row r="120" customFormat="false" ht="15" hidden="false" customHeight="false" outlineLevel="0" collapsed="false">
      <c r="A120" s="7" t="n">
        <v>1996</v>
      </c>
      <c r="B120" s="12" t="s">
        <v>73</v>
      </c>
      <c r="C120" s="12" t="s">
        <v>70</v>
      </c>
      <c r="D120" s="12" t="s">
        <v>46</v>
      </c>
      <c r="E120" s="16" t="n">
        <v>43.864128</v>
      </c>
      <c r="F120" s="16" t="n">
        <v>0</v>
      </c>
      <c r="G120" s="16" t="n">
        <v>37.198575</v>
      </c>
    </row>
    <row r="121" customFormat="false" ht="15" hidden="false" customHeight="false" outlineLevel="0" collapsed="false">
      <c r="A121" s="7" t="n">
        <v>1996</v>
      </c>
      <c r="B121" s="12" t="s">
        <v>73</v>
      </c>
      <c r="C121" s="12" t="s">
        <v>70</v>
      </c>
      <c r="D121" s="12" t="s">
        <v>45</v>
      </c>
      <c r="E121" s="16" t="n">
        <v>9.867396</v>
      </c>
      <c r="F121" s="16" t="n">
        <v>0.390893</v>
      </c>
      <c r="G121" s="16" t="n">
        <v>12.099049</v>
      </c>
    </row>
    <row r="122" customFormat="false" ht="15" hidden="false" customHeight="false" outlineLevel="0" collapsed="false">
      <c r="A122" s="7" t="n">
        <v>1996</v>
      </c>
      <c r="B122" s="12" t="s">
        <v>74</v>
      </c>
      <c r="C122" s="12" t="s">
        <v>65</v>
      </c>
      <c r="D122" s="12" t="s">
        <v>49</v>
      </c>
      <c r="E122" s="16" t="n">
        <v>83.255288</v>
      </c>
      <c r="F122" s="16" t="n">
        <v>0</v>
      </c>
      <c r="G122" s="16" t="n">
        <v>6.398556</v>
      </c>
    </row>
    <row r="123" customFormat="false" ht="15" hidden="false" customHeight="false" outlineLevel="0" collapsed="false">
      <c r="A123" s="7" t="n">
        <v>1996</v>
      </c>
      <c r="B123" s="12" t="s">
        <v>74</v>
      </c>
      <c r="C123" s="12" t="s">
        <v>65</v>
      </c>
      <c r="D123" s="12" t="s">
        <v>48</v>
      </c>
      <c r="E123" s="16" t="n">
        <v>24.147986</v>
      </c>
      <c r="F123" s="16" t="n">
        <v>0</v>
      </c>
      <c r="G123" s="16" t="n">
        <v>0</v>
      </c>
    </row>
    <row r="124" customFormat="false" ht="15" hidden="false" customHeight="false" outlineLevel="0" collapsed="false">
      <c r="A124" s="7" t="n">
        <v>1996</v>
      </c>
      <c r="B124" s="12" t="s">
        <v>74</v>
      </c>
      <c r="C124" s="12" t="s">
        <v>65</v>
      </c>
      <c r="D124" s="12" t="s">
        <v>46</v>
      </c>
      <c r="E124" s="16" t="n">
        <v>23.610895</v>
      </c>
      <c r="F124" s="16" t="n">
        <v>0</v>
      </c>
      <c r="G124" s="16" t="n">
        <v>34.769351</v>
      </c>
    </row>
    <row r="125" customFormat="false" ht="15" hidden="false" customHeight="false" outlineLevel="0" collapsed="false">
      <c r="A125" s="7" t="n">
        <v>1996</v>
      </c>
      <c r="B125" s="12" t="s">
        <v>74</v>
      </c>
      <c r="C125" s="12" t="s">
        <v>65</v>
      </c>
      <c r="D125" s="12" t="s">
        <v>45</v>
      </c>
      <c r="E125" s="16" t="n">
        <v>9.986243</v>
      </c>
      <c r="F125" s="16" t="n">
        <v>0.211697</v>
      </c>
      <c r="G125" s="16" t="n">
        <v>17.113358</v>
      </c>
    </row>
    <row r="126" customFormat="false" ht="15" hidden="false" customHeight="false" outlineLevel="0" collapsed="false">
      <c r="A126" s="7" t="n">
        <v>1996</v>
      </c>
      <c r="B126" s="12" t="s">
        <v>75</v>
      </c>
      <c r="C126" s="12" t="s">
        <v>57</v>
      </c>
      <c r="D126" s="12" t="s">
        <v>49</v>
      </c>
      <c r="E126" s="16" t="n">
        <v>120.867597</v>
      </c>
      <c r="F126" s="16" t="n">
        <v>0</v>
      </c>
      <c r="G126" s="16" t="n">
        <v>21.465775</v>
      </c>
    </row>
    <row r="127" customFormat="false" ht="15" hidden="false" customHeight="false" outlineLevel="0" collapsed="false">
      <c r="A127" s="7" t="n">
        <v>1996</v>
      </c>
      <c r="B127" s="12" t="s">
        <v>75</v>
      </c>
      <c r="C127" s="12" t="s">
        <v>57</v>
      </c>
      <c r="D127" s="12" t="s">
        <v>48</v>
      </c>
      <c r="E127" s="16" t="n">
        <v>114.805856</v>
      </c>
      <c r="F127" s="16" t="n">
        <v>0</v>
      </c>
      <c r="G127" s="16" t="n">
        <v>0</v>
      </c>
    </row>
    <row r="128" customFormat="false" ht="15" hidden="false" customHeight="false" outlineLevel="0" collapsed="false">
      <c r="A128" s="7" t="n">
        <v>1996</v>
      </c>
      <c r="B128" s="12" t="s">
        <v>75</v>
      </c>
      <c r="C128" s="12" t="s">
        <v>57</v>
      </c>
      <c r="D128" s="12" t="s">
        <v>46</v>
      </c>
      <c r="E128" s="16" t="n">
        <v>77.949907</v>
      </c>
      <c r="F128" s="16" t="n">
        <v>0</v>
      </c>
      <c r="G128" s="16" t="n">
        <v>51.41066</v>
      </c>
    </row>
    <row r="129" customFormat="false" ht="15" hidden="false" customHeight="false" outlineLevel="0" collapsed="false">
      <c r="A129" s="7" t="n">
        <v>1996</v>
      </c>
      <c r="B129" s="12" t="s">
        <v>75</v>
      </c>
      <c r="C129" s="12" t="s">
        <v>57</v>
      </c>
      <c r="D129" s="12" t="s">
        <v>45</v>
      </c>
      <c r="E129" s="16" t="n">
        <v>49.834778</v>
      </c>
      <c r="F129" s="16" t="n">
        <v>6.909305</v>
      </c>
      <c r="G129" s="16" t="n">
        <v>17.992797</v>
      </c>
    </row>
    <row r="130" customFormat="false" ht="15" hidden="false" customHeight="false" outlineLevel="0" collapsed="false">
      <c r="A130" s="7" t="n">
        <v>1996</v>
      </c>
      <c r="B130" s="12" t="s">
        <v>76</v>
      </c>
      <c r="C130" s="12" t="s">
        <v>72</v>
      </c>
      <c r="D130" s="12" t="s">
        <v>49</v>
      </c>
      <c r="E130" s="16" t="n">
        <v>18.942504</v>
      </c>
      <c r="F130" s="16" t="n">
        <v>0</v>
      </c>
      <c r="G130" s="16" t="n">
        <v>5.886807</v>
      </c>
    </row>
    <row r="131" customFormat="false" ht="15" hidden="false" customHeight="false" outlineLevel="0" collapsed="false">
      <c r="A131" s="7" t="n">
        <v>1996</v>
      </c>
      <c r="B131" s="12" t="s">
        <v>76</v>
      </c>
      <c r="C131" s="12" t="s">
        <v>72</v>
      </c>
      <c r="D131" s="12" t="s">
        <v>48</v>
      </c>
      <c r="E131" s="16" t="n">
        <v>15.772593</v>
      </c>
      <c r="F131" s="16" t="n">
        <v>0</v>
      </c>
      <c r="G131" s="16" t="n">
        <v>0</v>
      </c>
    </row>
    <row r="132" customFormat="false" ht="15" hidden="false" customHeight="false" outlineLevel="0" collapsed="false">
      <c r="A132" s="7" t="n">
        <v>1996</v>
      </c>
      <c r="B132" s="12" t="s">
        <v>76</v>
      </c>
      <c r="C132" s="12" t="s">
        <v>72</v>
      </c>
      <c r="D132" s="12" t="s">
        <v>46</v>
      </c>
      <c r="E132" s="16" t="n">
        <v>17.802772</v>
      </c>
      <c r="F132" s="16" t="n">
        <v>0</v>
      </c>
      <c r="G132" s="16" t="n">
        <v>10.800349</v>
      </c>
    </row>
    <row r="133" customFormat="false" ht="15" hidden="false" customHeight="false" outlineLevel="0" collapsed="false">
      <c r="A133" s="7" t="n">
        <v>1996</v>
      </c>
      <c r="B133" s="12" t="s">
        <v>76</v>
      </c>
      <c r="C133" s="12" t="s">
        <v>72</v>
      </c>
      <c r="D133" s="12" t="s">
        <v>45</v>
      </c>
      <c r="E133" s="16" t="n">
        <v>17.810216</v>
      </c>
      <c r="F133" s="16" t="n">
        <v>0</v>
      </c>
      <c r="G133" s="16" t="n">
        <v>5.53245</v>
      </c>
    </row>
    <row r="134" customFormat="false" ht="15" hidden="false" customHeight="false" outlineLevel="0" collapsed="false">
      <c r="A134" s="7" t="n">
        <v>1996</v>
      </c>
      <c r="B134" s="12" t="s">
        <v>77</v>
      </c>
      <c r="C134" s="12" t="s">
        <v>57</v>
      </c>
      <c r="D134" s="12" t="s">
        <v>49</v>
      </c>
      <c r="E134" s="16" t="n">
        <v>27.171389</v>
      </c>
      <c r="F134" s="16" t="n">
        <v>0</v>
      </c>
      <c r="G134" s="16" t="n">
        <v>2.766957</v>
      </c>
    </row>
    <row r="135" customFormat="false" ht="15" hidden="false" customHeight="false" outlineLevel="0" collapsed="false">
      <c r="A135" s="7" t="n">
        <v>1996</v>
      </c>
      <c r="B135" s="12" t="s">
        <v>77</v>
      </c>
      <c r="C135" s="12" t="s">
        <v>57</v>
      </c>
      <c r="D135" s="12" t="s">
        <v>48</v>
      </c>
      <c r="E135" s="16" t="n">
        <v>12.967105</v>
      </c>
      <c r="F135" s="16" t="n">
        <v>0</v>
      </c>
      <c r="G135" s="16" t="n">
        <v>0</v>
      </c>
    </row>
    <row r="136" customFormat="false" ht="15" hidden="false" customHeight="false" outlineLevel="0" collapsed="false">
      <c r="A136" s="7" t="n">
        <v>1996</v>
      </c>
      <c r="B136" s="12" t="s">
        <v>77</v>
      </c>
      <c r="C136" s="12" t="s">
        <v>57</v>
      </c>
      <c r="D136" s="12" t="s">
        <v>46</v>
      </c>
      <c r="E136" s="16" t="n">
        <v>8.635205</v>
      </c>
      <c r="F136" s="16" t="n">
        <v>0</v>
      </c>
      <c r="G136" s="16" t="n">
        <v>6.625124</v>
      </c>
    </row>
    <row r="137" customFormat="false" ht="15" hidden="false" customHeight="false" outlineLevel="0" collapsed="false">
      <c r="A137" s="7" t="n">
        <v>1996</v>
      </c>
      <c r="B137" s="12" t="s">
        <v>77</v>
      </c>
      <c r="C137" s="12" t="s">
        <v>57</v>
      </c>
      <c r="D137" s="12" t="s">
        <v>45</v>
      </c>
      <c r="E137" s="16" t="n">
        <v>4.693512</v>
      </c>
      <c r="F137" s="16" t="n">
        <v>1.176929</v>
      </c>
      <c r="G137" s="16" t="n">
        <v>2.539989</v>
      </c>
    </row>
    <row r="138" customFormat="false" ht="15" hidden="false" customHeight="false" outlineLevel="0" collapsed="false">
      <c r="A138" s="7" t="n">
        <v>1996</v>
      </c>
      <c r="B138" s="12" t="s">
        <v>78</v>
      </c>
      <c r="C138" s="12" t="s">
        <v>65</v>
      </c>
      <c r="D138" s="12" t="s">
        <v>49</v>
      </c>
      <c r="E138" s="16" t="n">
        <v>22.208316</v>
      </c>
      <c r="F138" s="16" t="n">
        <v>0</v>
      </c>
      <c r="G138" s="16" t="n">
        <v>1.741928</v>
      </c>
    </row>
    <row r="139" customFormat="false" ht="15" hidden="false" customHeight="false" outlineLevel="0" collapsed="false">
      <c r="A139" s="7" t="n">
        <v>1996</v>
      </c>
      <c r="B139" s="12" t="s">
        <v>78</v>
      </c>
      <c r="C139" s="12" t="s">
        <v>65</v>
      </c>
      <c r="D139" s="12" t="s">
        <v>48</v>
      </c>
      <c r="E139" s="16" t="n">
        <v>4.892702</v>
      </c>
      <c r="F139" s="16" t="n">
        <v>0</v>
      </c>
      <c r="G139" s="16" t="n">
        <v>0</v>
      </c>
    </row>
    <row r="140" customFormat="false" ht="15" hidden="false" customHeight="false" outlineLevel="0" collapsed="false">
      <c r="A140" s="7" t="n">
        <v>1996</v>
      </c>
      <c r="B140" s="12" t="s">
        <v>78</v>
      </c>
      <c r="C140" s="12" t="s">
        <v>65</v>
      </c>
      <c r="D140" s="12" t="s">
        <v>46</v>
      </c>
      <c r="E140" s="16" t="n">
        <v>7.970066</v>
      </c>
      <c r="F140" s="16" t="n">
        <v>0</v>
      </c>
      <c r="G140" s="16" t="n">
        <v>6.57956</v>
      </c>
    </row>
    <row r="141" customFormat="false" ht="15" hidden="false" customHeight="false" outlineLevel="0" collapsed="false">
      <c r="A141" s="7" t="n">
        <v>1996</v>
      </c>
      <c r="B141" s="12" t="s">
        <v>78</v>
      </c>
      <c r="C141" s="12" t="s">
        <v>65</v>
      </c>
      <c r="D141" s="12" t="s">
        <v>45</v>
      </c>
      <c r="E141" s="16" t="n">
        <v>1.319105</v>
      </c>
      <c r="F141" s="16" t="n">
        <v>0.007707</v>
      </c>
      <c r="G141" s="16" t="n">
        <v>2.5856</v>
      </c>
    </row>
    <row r="142" customFormat="false" ht="15" hidden="false" customHeight="false" outlineLevel="0" collapsed="false">
      <c r="A142" s="7" t="n">
        <v>1996</v>
      </c>
      <c r="B142" s="12" t="s">
        <v>79</v>
      </c>
      <c r="C142" s="12" t="s">
        <v>72</v>
      </c>
      <c r="D142" s="12" t="s">
        <v>49</v>
      </c>
      <c r="E142" s="16" t="n">
        <v>107.822192</v>
      </c>
      <c r="F142" s="16" t="n">
        <v>0</v>
      </c>
      <c r="G142" s="16" t="n">
        <v>18.135163</v>
      </c>
    </row>
    <row r="143" customFormat="false" ht="15" hidden="false" customHeight="false" outlineLevel="0" collapsed="false">
      <c r="A143" s="7" t="n">
        <v>1996</v>
      </c>
      <c r="B143" s="12" t="s">
        <v>79</v>
      </c>
      <c r="C143" s="12" t="s">
        <v>72</v>
      </c>
      <c r="D143" s="12" t="s">
        <v>48</v>
      </c>
      <c r="E143" s="16" t="n">
        <v>98.676298</v>
      </c>
      <c r="F143" s="16" t="n">
        <v>0</v>
      </c>
      <c r="G143" s="16" t="n">
        <v>0</v>
      </c>
    </row>
    <row r="144" customFormat="false" ht="15" hidden="false" customHeight="false" outlineLevel="0" collapsed="false">
      <c r="A144" s="7" t="n">
        <v>1996</v>
      </c>
      <c r="B144" s="12" t="s">
        <v>79</v>
      </c>
      <c r="C144" s="12" t="s">
        <v>72</v>
      </c>
      <c r="D144" s="12" t="s">
        <v>46</v>
      </c>
      <c r="E144" s="16" t="n">
        <v>56.578759</v>
      </c>
      <c r="F144" s="16" t="n">
        <v>0</v>
      </c>
      <c r="G144" s="16" t="n">
        <v>53.10633</v>
      </c>
    </row>
    <row r="145" customFormat="false" ht="15" hidden="false" customHeight="false" outlineLevel="0" collapsed="false">
      <c r="A145" s="7" t="n">
        <v>1996</v>
      </c>
      <c r="B145" s="12" t="s">
        <v>79</v>
      </c>
      <c r="C145" s="12" t="s">
        <v>72</v>
      </c>
      <c r="D145" s="12" t="s">
        <v>45</v>
      </c>
      <c r="E145" s="16" t="n">
        <v>7.052234</v>
      </c>
      <c r="F145" s="16" t="n">
        <v>-0.285164</v>
      </c>
      <c r="G145" s="16" t="n">
        <v>9.508114</v>
      </c>
    </row>
    <row r="146" customFormat="false" ht="15" hidden="false" customHeight="false" outlineLevel="0" collapsed="false">
      <c r="A146" s="7" t="n">
        <v>1996</v>
      </c>
      <c r="B146" s="12" t="s">
        <v>80</v>
      </c>
      <c r="C146" s="12" t="s">
        <v>72</v>
      </c>
      <c r="D146" s="12" t="s">
        <v>49</v>
      </c>
      <c r="E146" s="16" t="n">
        <v>39.081415</v>
      </c>
      <c r="F146" s="16" t="n">
        <v>0</v>
      </c>
      <c r="G146" s="16" t="n">
        <v>13.18086</v>
      </c>
    </row>
    <row r="147" customFormat="false" ht="15" hidden="false" customHeight="false" outlineLevel="0" collapsed="false">
      <c r="A147" s="7" t="n">
        <v>1996</v>
      </c>
      <c r="B147" s="12" t="s">
        <v>80</v>
      </c>
      <c r="C147" s="12" t="s">
        <v>72</v>
      </c>
      <c r="D147" s="12" t="s">
        <v>48</v>
      </c>
      <c r="E147" s="16" t="n">
        <v>28.185798</v>
      </c>
      <c r="F147" s="16" t="n">
        <v>0</v>
      </c>
      <c r="G147" s="16" t="n">
        <v>0</v>
      </c>
    </row>
    <row r="148" customFormat="false" ht="15" hidden="false" customHeight="false" outlineLevel="0" collapsed="false">
      <c r="A148" s="7" t="n">
        <v>1996</v>
      </c>
      <c r="B148" s="12" t="s">
        <v>80</v>
      </c>
      <c r="C148" s="12" t="s">
        <v>72</v>
      </c>
      <c r="D148" s="12" t="s">
        <v>46</v>
      </c>
      <c r="E148" s="16" t="n">
        <v>21.036003</v>
      </c>
      <c r="F148" s="16" t="n">
        <v>0</v>
      </c>
      <c r="G148" s="16" t="n">
        <v>20.160213</v>
      </c>
    </row>
    <row r="149" customFormat="false" ht="15" hidden="false" customHeight="false" outlineLevel="0" collapsed="false">
      <c r="A149" s="7" t="n">
        <v>1996</v>
      </c>
      <c r="B149" s="12" t="s">
        <v>80</v>
      </c>
      <c r="C149" s="12" t="s">
        <v>72</v>
      </c>
      <c r="D149" s="12" t="s">
        <v>45</v>
      </c>
      <c r="E149" s="16" t="n">
        <v>12.209186</v>
      </c>
      <c r="F149" s="16" t="n">
        <v>4.253024</v>
      </c>
      <c r="G149" s="16" t="n">
        <v>6.214698</v>
      </c>
    </row>
    <row r="150" customFormat="false" ht="15" hidden="false" customHeight="false" outlineLevel="0" collapsed="false">
      <c r="A150" s="7" t="n">
        <v>1996</v>
      </c>
      <c r="B150" s="12" t="s">
        <v>81</v>
      </c>
      <c r="C150" s="12" t="s">
        <v>72</v>
      </c>
      <c r="D150" s="12" t="s">
        <v>49</v>
      </c>
      <c r="E150" s="16" t="n">
        <v>28.035908</v>
      </c>
      <c r="F150" s="16" t="n">
        <v>0</v>
      </c>
      <c r="G150" s="16" t="n">
        <v>4.42347</v>
      </c>
    </row>
    <row r="151" customFormat="false" ht="15" hidden="false" customHeight="false" outlineLevel="0" collapsed="false">
      <c r="A151" s="7" t="n">
        <v>1996</v>
      </c>
      <c r="B151" s="12" t="s">
        <v>81</v>
      </c>
      <c r="C151" s="12" t="s">
        <v>72</v>
      </c>
      <c r="D151" s="12" t="s">
        <v>48</v>
      </c>
      <c r="E151" s="16" t="n">
        <v>35.722921</v>
      </c>
      <c r="F151" s="16" t="n">
        <v>0</v>
      </c>
      <c r="G151" s="16" t="n">
        <v>0</v>
      </c>
    </row>
    <row r="152" customFormat="false" ht="15" hidden="false" customHeight="false" outlineLevel="0" collapsed="false">
      <c r="A152" s="7" t="n">
        <v>1996</v>
      </c>
      <c r="B152" s="12" t="s">
        <v>81</v>
      </c>
      <c r="C152" s="12" t="s">
        <v>72</v>
      </c>
      <c r="D152" s="12" t="s">
        <v>46</v>
      </c>
      <c r="E152" s="16" t="n">
        <v>29.231992</v>
      </c>
      <c r="F152" s="16" t="n">
        <v>0</v>
      </c>
      <c r="G152" s="16" t="n">
        <v>15.173848</v>
      </c>
    </row>
    <row r="153" customFormat="false" ht="15" hidden="false" customHeight="false" outlineLevel="0" collapsed="false">
      <c r="A153" s="7" t="n">
        <v>1996</v>
      </c>
      <c r="B153" s="12" t="s">
        <v>81</v>
      </c>
      <c r="C153" s="12" t="s">
        <v>72</v>
      </c>
      <c r="D153" s="12" t="s">
        <v>45</v>
      </c>
      <c r="E153" s="16" t="n">
        <v>8.266716</v>
      </c>
      <c r="F153" s="16" t="n">
        <v>0.040691</v>
      </c>
      <c r="G153" s="16" t="n">
        <v>3.524968</v>
      </c>
    </row>
    <row r="154" customFormat="false" ht="15" hidden="false" customHeight="false" outlineLevel="0" collapsed="false">
      <c r="A154" s="7" t="n">
        <v>1997</v>
      </c>
      <c r="B154" s="12" t="s">
        <v>56</v>
      </c>
      <c r="C154" s="12" t="s">
        <v>57</v>
      </c>
      <c r="D154" s="12" t="s">
        <v>49</v>
      </c>
      <c r="E154" s="16" t="n">
        <v>44.453933</v>
      </c>
      <c r="F154" s="16" t="n">
        <v>0</v>
      </c>
      <c r="G154" s="16" t="n">
        <v>8.297743</v>
      </c>
    </row>
    <row r="155" customFormat="false" ht="15" hidden="false" customHeight="false" outlineLevel="0" collapsed="false">
      <c r="A155" s="7" t="n">
        <v>1997</v>
      </c>
      <c r="B155" s="12" t="s">
        <v>56</v>
      </c>
      <c r="C155" s="12" t="s">
        <v>57</v>
      </c>
      <c r="D155" s="12" t="s">
        <v>48</v>
      </c>
      <c r="E155" s="16" t="n">
        <v>26.832431</v>
      </c>
      <c r="F155" s="16" t="n">
        <v>0</v>
      </c>
      <c r="G155" s="16" t="n">
        <v>0</v>
      </c>
    </row>
    <row r="156" customFormat="false" ht="15" hidden="false" customHeight="false" outlineLevel="0" collapsed="false">
      <c r="A156" s="7" t="n">
        <v>1997</v>
      </c>
      <c r="B156" s="12" t="s">
        <v>56</v>
      </c>
      <c r="C156" s="12" t="s">
        <v>57</v>
      </c>
      <c r="D156" s="12" t="s">
        <v>46</v>
      </c>
      <c r="E156" s="16" t="n">
        <v>11.469772</v>
      </c>
      <c r="F156" s="16" t="n">
        <v>0</v>
      </c>
      <c r="G156" s="16" t="n">
        <v>7.928399</v>
      </c>
    </row>
    <row r="157" customFormat="false" ht="15" hidden="false" customHeight="false" outlineLevel="0" collapsed="false">
      <c r="A157" s="7" t="n">
        <v>1997</v>
      </c>
      <c r="B157" s="12" t="s">
        <v>56</v>
      </c>
      <c r="C157" s="12" t="s">
        <v>57</v>
      </c>
      <c r="D157" s="12" t="s">
        <v>45</v>
      </c>
      <c r="E157" s="16" t="n">
        <v>6.463215</v>
      </c>
      <c r="F157" s="16" t="n">
        <v>0.059462</v>
      </c>
      <c r="G157" s="16" t="n">
        <v>4.177021</v>
      </c>
    </row>
    <row r="158" customFormat="false" ht="15" hidden="false" customHeight="false" outlineLevel="0" collapsed="false">
      <c r="A158" s="7" t="n">
        <v>1997</v>
      </c>
      <c r="B158" s="12" t="s">
        <v>58</v>
      </c>
      <c r="C158" s="12" t="s">
        <v>59</v>
      </c>
      <c r="D158" s="12" t="s">
        <v>49</v>
      </c>
      <c r="E158" s="16" t="n">
        <v>169.950251</v>
      </c>
      <c r="F158" s="16" t="n">
        <v>0</v>
      </c>
      <c r="G158" s="16" t="n">
        <v>22.166644</v>
      </c>
    </row>
    <row r="159" customFormat="false" ht="15" hidden="false" customHeight="false" outlineLevel="0" collapsed="false">
      <c r="A159" s="7" t="n">
        <v>1997</v>
      </c>
      <c r="B159" s="12" t="s">
        <v>58</v>
      </c>
      <c r="C159" s="12" t="s">
        <v>59</v>
      </c>
      <c r="D159" s="12" t="s">
        <v>48</v>
      </c>
      <c r="E159" s="16" t="n">
        <v>51.860989</v>
      </c>
      <c r="F159" s="16" t="n">
        <v>0</v>
      </c>
      <c r="G159" s="16" t="n">
        <v>0</v>
      </c>
    </row>
    <row r="160" customFormat="false" ht="15" hidden="false" customHeight="false" outlineLevel="0" collapsed="false">
      <c r="A160" s="7" t="n">
        <v>1997</v>
      </c>
      <c r="B160" s="12" t="s">
        <v>58</v>
      </c>
      <c r="C160" s="12" t="s">
        <v>59</v>
      </c>
      <c r="D160" s="12" t="s">
        <v>46</v>
      </c>
      <c r="E160" s="16" t="n">
        <v>82.243223</v>
      </c>
      <c r="F160" s="16" t="n">
        <v>0</v>
      </c>
      <c r="G160" s="16" t="n">
        <v>66.066451</v>
      </c>
    </row>
    <row r="161" customFormat="false" ht="15" hidden="false" customHeight="false" outlineLevel="0" collapsed="false">
      <c r="A161" s="7" t="n">
        <v>1997</v>
      </c>
      <c r="B161" s="12" t="s">
        <v>58</v>
      </c>
      <c r="C161" s="12" t="s">
        <v>59</v>
      </c>
      <c r="D161" s="12" t="s">
        <v>45</v>
      </c>
      <c r="E161" s="16" t="n">
        <v>25.849448</v>
      </c>
      <c r="F161" s="16" t="n">
        <v>0.007405</v>
      </c>
      <c r="G161" s="16" t="n">
        <v>16.976953</v>
      </c>
    </row>
    <row r="162" customFormat="false" ht="15" hidden="false" customHeight="false" outlineLevel="0" collapsed="false">
      <c r="A162" s="7" t="n">
        <v>1997</v>
      </c>
      <c r="B162" s="12" t="s">
        <v>61</v>
      </c>
      <c r="C162" s="12" t="s">
        <v>62</v>
      </c>
      <c r="D162" s="12" t="s">
        <v>49</v>
      </c>
      <c r="E162" s="16" t="n">
        <v>132.281254</v>
      </c>
      <c r="F162" s="16" t="n">
        <v>0</v>
      </c>
      <c r="G162" s="16" t="n">
        <v>22.037721</v>
      </c>
    </row>
    <row r="163" customFormat="false" ht="15" hidden="false" customHeight="false" outlineLevel="0" collapsed="false">
      <c r="A163" s="7" t="n">
        <v>1997</v>
      </c>
      <c r="B163" s="12" t="s">
        <v>61</v>
      </c>
      <c r="C163" s="12" t="s">
        <v>62</v>
      </c>
      <c r="D163" s="12" t="s">
        <v>48</v>
      </c>
      <c r="E163" s="16" t="n">
        <v>68.519102</v>
      </c>
      <c r="F163" s="16" t="n">
        <v>0</v>
      </c>
      <c r="G163" s="16" t="n">
        <v>0</v>
      </c>
    </row>
    <row r="164" customFormat="false" ht="15" hidden="false" customHeight="false" outlineLevel="0" collapsed="false">
      <c r="A164" s="7" t="n">
        <v>1997</v>
      </c>
      <c r="B164" s="12" t="s">
        <v>61</v>
      </c>
      <c r="C164" s="12" t="s">
        <v>62</v>
      </c>
      <c r="D164" s="12" t="s">
        <v>46</v>
      </c>
      <c r="E164" s="16" t="n">
        <v>92.838272</v>
      </c>
      <c r="F164" s="16" t="n">
        <v>0</v>
      </c>
      <c r="G164" s="16" t="n">
        <v>74.4717</v>
      </c>
    </row>
    <row r="165" customFormat="false" ht="15" hidden="false" customHeight="false" outlineLevel="0" collapsed="false">
      <c r="A165" s="7" t="n">
        <v>1997</v>
      </c>
      <c r="B165" s="12" t="s">
        <v>61</v>
      </c>
      <c r="C165" s="12" t="s">
        <v>62</v>
      </c>
      <c r="D165" s="12" t="s">
        <v>45</v>
      </c>
      <c r="E165" s="16" t="n">
        <v>19.814594</v>
      </c>
      <c r="F165" s="16" t="n">
        <v>0.060593</v>
      </c>
      <c r="G165" s="16" t="n">
        <v>17.7445</v>
      </c>
    </row>
    <row r="166" customFormat="false" ht="15" hidden="false" customHeight="false" outlineLevel="0" collapsed="false">
      <c r="A166" s="7" t="n">
        <v>1997</v>
      </c>
      <c r="B166" s="12" t="s">
        <v>63</v>
      </c>
      <c r="C166" s="12" t="s">
        <v>62</v>
      </c>
      <c r="D166" s="12" t="s">
        <v>49</v>
      </c>
      <c r="E166" s="16" t="n">
        <v>339.462508</v>
      </c>
      <c r="F166" s="16" t="n">
        <v>0</v>
      </c>
      <c r="G166" s="16" t="n">
        <v>69.032</v>
      </c>
    </row>
    <row r="167" customFormat="false" ht="15" hidden="false" customHeight="false" outlineLevel="0" collapsed="false">
      <c r="A167" s="7" t="n">
        <v>1997</v>
      </c>
      <c r="B167" s="12" t="s">
        <v>63</v>
      </c>
      <c r="C167" s="12" t="s">
        <v>62</v>
      </c>
      <c r="D167" s="12" t="s">
        <v>48</v>
      </c>
      <c r="E167" s="16" t="n">
        <v>96.077209</v>
      </c>
      <c r="F167" s="16" t="n">
        <v>0</v>
      </c>
      <c r="G167" s="16" t="n">
        <v>0</v>
      </c>
    </row>
    <row r="168" customFormat="false" ht="15" hidden="false" customHeight="false" outlineLevel="0" collapsed="false">
      <c r="A168" s="7" t="n">
        <v>1997</v>
      </c>
      <c r="B168" s="12" t="s">
        <v>63</v>
      </c>
      <c r="C168" s="12" t="s">
        <v>62</v>
      </c>
      <c r="D168" s="12" t="s">
        <v>46</v>
      </c>
      <c r="E168" s="16" t="n">
        <v>132.467623</v>
      </c>
      <c r="F168" s="16" t="n">
        <v>0</v>
      </c>
      <c r="G168" s="16" t="n">
        <v>130.148</v>
      </c>
    </row>
    <row r="169" customFormat="false" ht="15" hidden="false" customHeight="false" outlineLevel="0" collapsed="false">
      <c r="A169" s="7" t="n">
        <v>1997</v>
      </c>
      <c r="B169" s="12" t="s">
        <v>63</v>
      </c>
      <c r="C169" s="12" t="s">
        <v>62</v>
      </c>
      <c r="D169" s="12" t="s">
        <v>45</v>
      </c>
      <c r="E169" s="16" t="n">
        <v>28.422926</v>
      </c>
      <c r="F169" s="16" t="n">
        <v>0</v>
      </c>
      <c r="G169" s="16" t="n">
        <v>31.581</v>
      </c>
    </row>
    <row r="170" customFormat="false" ht="15" hidden="false" customHeight="false" outlineLevel="0" collapsed="false">
      <c r="A170" s="7" t="n">
        <v>1997</v>
      </c>
      <c r="B170" s="12" t="s">
        <v>64</v>
      </c>
      <c r="C170" s="12" t="s">
        <v>65</v>
      </c>
      <c r="D170" s="12" t="s">
        <v>49</v>
      </c>
      <c r="E170" s="16" t="n">
        <v>155.76003</v>
      </c>
      <c r="F170" s="16" t="n">
        <v>0</v>
      </c>
      <c r="G170" s="16" t="n">
        <v>6.121425</v>
      </c>
    </row>
    <row r="171" customFormat="false" ht="15" hidden="false" customHeight="false" outlineLevel="0" collapsed="false">
      <c r="A171" s="7" t="n">
        <v>1997</v>
      </c>
      <c r="B171" s="12" t="s">
        <v>64</v>
      </c>
      <c r="C171" s="12" t="s">
        <v>65</v>
      </c>
      <c r="D171" s="12" t="s">
        <v>48</v>
      </c>
      <c r="E171" s="16" t="n">
        <v>76.6339</v>
      </c>
      <c r="F171" s="16" t="n">
        <v>0</v>
      </c>
      <c r="G171" s="16" t="n">
        <v>0</v>
      </c>
    </row>
    <row r="172" customFormat="false" ht="15" hidden="false" customHeight="false" outlineLevel="0" collapsed="false">
      <c r="A172" s="7" t="n">
        <v>1997</v>
      </c>
      <c r="B172" s="12" t="s">
        <v>64</v>
      </c>
      <c r="C172" s="12" t="s">
        <v>65</v>
      </c>
      <c r="D172" s="12" t="s">
        <v>46</v>
      </c>
      <c r="E172" s="16" t="n">
        <v>34.724169</v>
      </c>
      <c r="F172" s="16" t="n">
        <v>0</v>
      </c>
      <c r="G172" s="16" t="n">
        <v>42.013994</v>
      </c>
    </row>
    <row r="173" customFormat="false" ht="15" hidden="false" customHeight="false" outlineLevel="0" collapsed="false">
      <c r="A173" s="7" t="n">
        <v>1997</v>
      </c>
      <c r="B173" s="12" t="s">
        <v>64</v>
      </c>
      <c r="C173" s="12" t="s">
        <v>65</v>
      </c>
      <c r="D173" s="12" t="s">
        <v>45</v>
      </c>
      <c r="E173" s="16" t="n">
        <v>17.57183</v>
      </c>
      <c r="F173" s="16" t="n">
        <v>4.729538</v>
      </c>
      <c r="G173" s="16" t="n">
        <v>11.837438</v>
      </c>
    </row>
    <row r="174" customFormat="false" ht="15" hidden="false" customHeight="false" outlineLevel="0" collapsed="false">
      <c r="A174" s="7" t="n">
        <v>1997</v>
      </c>
      <c r="B174" s="12" t="s">
        <v>66</v>
      </c>
      <c r="C174" s="12" t="s">
        <v>67</v>
      </c>
      <c r="D174" s="12" t="s">
        <v>49</v>
      </c>
      <c r="E174" s="16" t="n">
        <v>103.971096</v>
      </c>
      <c r="F174" s="16" t="n">
        <v>0</v>
      </c>
      <c r="G174" s="16" t="n">
        <v>1.120438</v>
      </c>
    </row>
    <row r="175" customFormat="false" ht="15" hidden="false" customHeight="false" outlineLevel="0" collapsed="false">
      <c r="A175" s="7" t="n">
        <v>1997</v>
      </c>
      <c r="B175" s="12" t="s">
        <v>66</v>
      </c>
      <c r="C175" s="12" t="s">
        <v>67</v>
      </c>
      <c r="D175" s="12" t="s">
        <v>48</v>
      </c>
      <c r="E175" s="16" t="n">
        <v>33.49454</v>
      </c>
      <c r="F175" s="16" t="n">
        <v>0</v>
      </c>
      <c r="G175" s="16" t="n">
        <v>0</v>
      </c>
    </row>
    <row r="176" customFormat="false" ht="15" hidden="false" customHeight="false" outlineLevel="0" collapsed="false">
      <c r="A176" s="7" t="n">
        <v>1997</v>
      </c>
      <c r="B176" s="12" t="s">
        <v>66</v>
      </c>
      <c r="C176" s="12" t="s">
        <v>67</v>
      </c>
      <c r="D176" s="12" t="s">
        <v>46</v>
      </c>
      <c r="E176" s="16" t="n">
        <v>41.803228</v>
      </c>
      <c r="F176" s="16" t="n">
        <v>0</v>
      </c>
      <c r="G176" s="16" t="n">
        <v>29.018019</v>
      </c>
    </row>
    <row r="177" customFormat="false" ht="15" hidden="false" customHeight="false" outlineLevel="0" collapsed="false">
      <c r="A177" s="7" t="n">
        <v>1997</v>
      </c>
      <c r="B177" s="12" t="s">
        <v>66</v>
      </c>
      <c r="C177" s="12" t="s">
        <v>67</v>
      </c>
      <c r="D177" s="12" t="s">
        <v>45</v>
      </c>
      <c r="E177" s="16" t="n">
        <v>-27.124979</v>
      </c>
      <c r="F177" s="16" t="n">
        <v>-45.39584</v>
      </c>
      <c r="G177" s="16" t="n">
        <v>16.367656</v>
      </c>
    </row>
    <row r="178" customFormat="false" ht="15" hidden="false" customHeight="false" outlineLevel="0" collapsed="false">
      <c r="A178" s="7" t="n">
        <v>1997</v>
      </c>
      <c r="B178" s="12" t="s">
        <v>68</v>
      </c>
      <c r="C178" s="12" t="s">
        <v>65</v>
      </c>
      <c r="D178" s="12" t="s">
        <v>49</v>
      </c>
      <c r="E178" s="16" t="n">
        <v>77.552034</v>
      </c>
      <c r="F178" s="16" t="n">
        <v>0</v>
      </c>
      <c r="G178" s="16" t="n">
        <v>8.682684</v>
      </c>
    </row>
    <row r="179" customFormat="false" ht="15" hidden="false" customHeight="false" outlineLevel="0" collapsed="false">
      <c r="A179" s="7" t="n">
        <v>1997</v>
      </c>
      <c r="B179" s="12" t="s">
        <v>68</v>
      </c>
      <c r="C179" s="12" t="s">
        <v>65</v>
      </c>
      <c r="D179" s="12" t="s">
        <v>48</v>
      </c>
      <c r="E179" s="16" t="n">
        <v>24.956502</v>
      </c>
      <c r="F179" s="16" t="n">
        <v>0</v>
      </c>
      <c r="G179" s="16" t="n">
        <v>0</v>
      </c>
    </row>
    <row r="180" customFormat="false" ht="15" hidden="false" customHeight="false" outlineLevel="0" collapsed="false">
      <c r="A180" s="7" t="n">
        <v>1997</v>
      </c>
      <c r="B180" s="12" t="s">
        <v>68</v>
      </c>
      <c r="C180" s="12" t="s">
        <v>65</v>
      </c>
      <c r="D180" s="12" t="s">
        <v>46</v>
      </c>
      <c r="E180" s="16" t="n">
        <v>27.623258</v>
      </c>
      <c r="F180" s="16" t="n">
        <v>0</v>
      </c>
      <c r="G180" s="16" t="n">
        <v>34.609796</v>
      </c>
    </row>
    <row r="181" customFormat="false" ht="15" hidden="false" customHeight="false" outlineLevel="0" collapsed="false">
      <c r="A181" s="7" t="n">
        <v>1997</v>
      </c>
      <c r="B181" s="12" t="s">
        <v>68</v>
      </c>
      <c r="C181" s="12" t="s">
        <v>65</v>
      </c>
      <c r="D181" s="12" t="s">
        <v>45</v>
      </c>
      <c r="E181" s="16" t="n">
        <v>6.577374</v>
      </c>
      <c r="F181" s="16" t="n">
        <v>0</v>
      </c>
      <c r="G181" s="16" t="n">
        <v>5.685333</v>
      </c>
    </row>
    <row r="182" customFormat="false" ht="15" hidden="false" customHeight="false" outlineLevel="0" collapsed="false">
      <c r="A182" s="7" t="n">
        <v>1997</v>
      </c>
      <c r="B182" s="12" t="s">
        <v>69</v>
      </c>
      <c r="C182" s="12" t="s">
        <v>70</v>
      </c>
      <c r="D182" s="12" t="s">
        <v>49</v>
      </c>
      <c r="E182" s="16" t="n">
        <v>80.00311</v>
      </c>
      <c r="F182" s="16" t="n">
        <v>0</v>
      </c>
      <c r="G182" s="16" t="n">
        <v>11.154106</v>
      </c>
    </row>
    <row r="183" customFormat="false" ht="15" hidden="false" customHeight="false" outlineLevel="0" collapsed="false">
      <c r="A183" s="7" t="n">
        <v>1997</v>
      </c>
      <c r="B183" s="12" t="s">
        <v>69</v>
      </c>
      <c r="C183" s="12" t="s">
        <v>70</v>
      </c>
      <c r="D183" s="12" t="s">
        <v>48</v>
      </c>
      <c r="E183" s="16" t="n">
        <v>25.080495</v>
      </c>
      <c r="F183" s="16" t="n">
        <v>0</v>
      </c>
      <c r="G183" s="16" t="n">
        <v>0</v>
      </c>
    </row>
    <row r="184" customFormat="false" ht="15" hidden="false" customHeight="false" outlineLevel="0" collapsed="false">
      <c r="A184" s="7" t="n">
        <v>1997</v>
      </c>
      <c r="B184" s="12" t="s">
        <v>69</v>
      </c>
      <c r="C184" s="12" t="s">
        <v>70</v>
      </c>
      <c r="D184" s="12" t="s">
        <v>46</v>
      </c>
      <c r="E184" s="16" t="n">
        <v>34.612304</v>
      </c>
      <c r="F184" s="16" t="n">
        <v>0</v>
      </c>
      <c r="G184" s="16" t="n">
        <v>31.129666</v>
      </c>
    </row>
    <row r="185" customFormat="false" ht="15" hidden="false" customHeight="false" outlineLevel="0" collapsed="false">
      <c r="A185" s="7" t="n">
        <v>1997</v>
      </c>
      <c r="B185" s="12" t="s">
        <v>69</v>
      </c>
      <c r="C185" s="12" t="s">
        <v>70</v>
      </c>
      <c r="D185" s="12" t="s">
        <v>45</v>
      </c>
      <c r="E185" s="16" t="n">
        <v>16.319348</v>
      </c>
      <c r="F185" s="16" t="n">
        <v>5.291109</v>
      </c>
      <c r="G185" s="16" t="n">
        <v>12.907172</v>
      </c>
    </row>
    <row r="186" customFormat="false" ht="15" hidden="false" customHeight="false" outlineLevel="0" collapsed="false">
      <c r="A186" s="7" t="n">
        <v>1997</v>
      </c>
      <c r="B186" s="12" t="s">
        <v>71</v>
      </c>
      <c r="C186" s="12" t="s">
        <v>72</v>
      </c>
      <c r="D186" s="12" t="s">
        <v>49</v>
      </c>
      <c r="E186" s="16" t="n">
        <v>15.248401</v>
      </c>
      <c r="F186" s="16" t="n">
        <v>0</v>
      </c>
      <c r="G186" s="16" t="n">
        <v>3.117307</v>
      </c>
    </row>
    <row r="187" customFormat="false" ht="15" hidden="false" customHeight="false" outlineLevel="0" collapsed="false">
      <c r="A187" s="7" t="n">
        <v>1997</v>
      </c>
      <c r="B187" s="12" t="s">
        <v>71</v>
      </c>
      <c r="C187" s="12" t="s">
        <v>72</v>
      </c>
      <c r="D187" s="12" t="s">
        <v>48</v>
      </c>
      <c r="E187" s="16" t="n">
        <v>8.481162</v>
      </c>
      <c r="F187" s="16" t="n">
        <v>0</v>
      </c>
      <c r="G187" s="16" t="n">
        <v>0</v>
      </c>
    </row>
    <row r="188" customFormat="false" ht="15" hidden="false" customHeight="false" outlineLevel="0" collapsed="false">
      <c r="A188" s="7" t="n">
        <v>1997</v>
      </c>
      <c r="B188" s="12" t="s">
        <v>71</v>
      </c>
      <c r="C188" s="12" t="s">
        <v>72</v>
      </c>
      <c r="D188" s="12" t="s">
        <v>46</v>
      </c>
      <c r="E188" s="16" t="n">
        <v>6.494919</v>
      </c>
      <c r="F188" s="16" t="n">
        <v>0</v>
      </c>
      <c r="G188" s="16" t="n">
        <v>4.586418</v>
      </c>
    </row>
    <row r="189" customFormat="false" ht="15" hidden="false" customHeight="false" outlineLevel="0" collapsed="false">
      <c r="A189" s="7" t="n">
        <v>1997</v>
      </c>
      <c r="B189" s="12" t="s">
        <v>71</v>
      </c>
      <c r="C189" s="12" t="s">
        <v>72</v>
      </c>
      <c r="D189" s="12" t="s">
        <v>45</v>
      </c>
      <c r="E189" s="16" t="n">
        <v>2.150557</v>
      </c>
      <c r="F189" s="16" t="n">
        <v>0.520678</v>
      </c>
      <c r="G189" s="16" t="n">
        <v>2.631214</v>
      </c>
    </row>
    <row r="190" customFormat="false" ht="15" hidden="false" customHeight="false" outlineLevel="0" collapsed="false">
      <c r="A190" s="7" t="n">
        <v>1997</v>
      </c>
      <c r="B190" s="12" t="s">
        <v>73</v>
      </c>
      <c r="C190" s="12" t="s">
        <v>70</v>
      </c>
      <c r="D190" s="12" t="s">
        <v>49</v>
      </c>
      <c r="E190" s="16" t="n">
        <v>112.580501</v>
      </c>
      <c r="F190" s="16" t="n">
        <v>0</v>
      </c>
      <c r="G190" s="16" t="n">
        <v>13.716306</v>
      </c>
    </row>
    <row r="191" customFormat="false" ht="15" hidden="false" customHeight="false" outlineLevel="0" collapsed="false">
      <c r="A191" s="7" t="n">
        <v>1997</v>
      </c>
      <c r="B191" s="12" t="s">
        <v>73</v>
      </c>
      <c r="C191" s="12" t="s">
        <v>70</v>
      </c>
      <c r="D191" s="12" t="s">
        <v>48</v>
      </c>
      <c r="E191" s="16" t="n">
        <v>48.910079</v>
      </c>
      <c r="F191" s="16" t="n">
        <v>0</v>
      </c>
      <c r="G191" s="16" t="n">
        <v>0</v>
      </c>
    </row>
    <row r="192" customFormat="false" ht="15" hidden="false" customHeight="false" outlineLevel="0" collapsed="false">
      <c r="A192" s="7" t="n">
        <v>1997</v>
      </c>
      <c r="B192" s="12" t="s">
        <v>73</v>
      </c>
      <c r="C192" s="12" t="s">
        <v>70</v>
      </c>
      <c r="D192" s="12" t="s">
        <v>46</v>
      </c>
      <c r="E192" s="16" t="n">
        <v>49.673692</v>
      </c>
      <c r="F192" s="16" t="n">
        <v>0</v>
      </c>
      <c r="G192" s="16" t="n">
        <v>37.928872</v>
      </c>
    </row>
    <row r="193" customFormat="false" ht="15" hidden="false" customHeight="false" outlineLevel="0" collapsed="false">
      <c r="A193" s="7" t="n">
        <v>1997</v>
      </c>
      <c r="B193" s="12" t="s">
        <v>73</v>
      </c>
      <c r="C193" s="12" t="s">
        <v>70</v>
      </c>
      <c r="D193" s="12" t="s">
        <v>45</v>
      </c>
      <c r="E193" s="16" t="n">
        <v>13.819542</v>
      </c>
      <c r="F193" s="16" t="n">
        <v>2.982328</v>
      </c>
      <c r="G193" s="16" t="n">
        <v>12.651506</v>
      </c>
    </row>
    <row r="194" customFormat="false" ht="15" hidden="false" customHeight="false" outlineLevel="0" collapsed="false">
      <c r="A194" s="7" t="n">
        <v>1997</v>
      </c>
      <c r="B194" s="12" t="s">
        <v>74</v>
      </c>
      <c r="C194" s="12" t="s">
        <v>65</v>
      </c>
      <c r="D194" s="12" t="s">
        <v>49</v>
      </c>
      <c r="E194" s="16" t="n">
        <v>73.943127</v>
      </c>
      <c r="F194" s="16" t="n">
        <v>0</v>
      </c>
      <c r="G194" s="16" t="n">
        <v>6.029657</v>
      </c>
    </row>
    <row r="195" customFormat="false" ht="15" hidden="false" customHeight="false" outlineLevel="0" collapsed="false">
      <c r="A195" s="7" t="n">
        <v>1997</v>
      </c>
      <c r="B195" s="12" t="s">
        <v>74</v>
      </c>
      <c r="C195" s="12" t="s">
        <v>65</v>
      </c>
      <c r="D195" s="12" t="s">
        <v>48</v>
      </c>
      <c r="E195" s="16" t="n">
        <v>20.021366</v>
      </c>
      <c r="F195" s="16" t="n">
        <v>0</v>
      </c>
      <c r="G195" s="16" t="n">
        <v>0</v>
      </c>
    </row>
    <row r="196" customFormat="false" ht="15" hidden="false" customHeight="false" outlineLevel="0" collapsed="false">
      <c r="A196" s="7" t="n">
        <v>1997</v>
      </c>
      <c r="B196" s="12" t="s">
        <v>74</v>
      </c>
      <c r="C196" s="12" t="s">
        <v>65</v>
      </c>
      <c r="D196" s="12" t="s">
        <v>46</v>
      </c>
      <c r="E196" s="16" t="n">
        <v>25.51782</v>
      </c>
      <c r="F196" s="16" t="n">
        <v>0</v>
      </c>
      <c r="G196" s="16" t="n">
        <v>36.57858</v>
      </c>
    </row>
    <row r="197" customFormat="false" ht="15" hidden="false" customHeight="false" outlineLevel="0" collapsed="false">
      <c r="A197" s="7" t="n">
        <v>1997</v>
      </c>
      <c r="B197" s="12" t="s">
        <v>74</v>
      </c>
      <c r="C197" s="12" t="s">
        <v>65</v>
      </c>
      <c r="D197" s="12" t="s">
        <v>45</v>
      </c>
      <c r="E197" s="16" t="n">
        <v>10.065849</v>
      </c>
      <c r="F197" s="16" t="n">
        <v>0.199744</v>
      </c>
      <c r="G197" s="16" t="n">
        <v>17.180145</v>
      </c>
    </row>
    <row r="198" customFormat="false" ht="15" hidden="false" customHeight="false" outlineLevel="0" collapsed="false">
      <c r="A198" s="7" t="n">
        <v>1997</v>
      </c>
      <c r="B198" s="12" t="s">
        <v>75</v>
      </c>
      <c r="C198" s="12" t="s">
        <v>57</v>
      </c>
      <c r="D198" s="12" t="s">
        <v>49</v>
      </c>
      <c r="E198" s="16" t="n">
        <v>115.628928</v>
      </c>
      <c r="F198" s="16" t="n">
        <v>0</v>
      </c>
      <c r="G198" s="16" t="n">
        <v>31.612614</v>
      </c>
    </row>
    <row r="199" customFormat="false" ht="15" hidden="false" customHeight="false" outlineLevel="0" collapsed="false">
      <c r="A199" s="7" t="n">
        <v>1997</v>
      </c>
      <c r="B199" s="12" t="s">
        <v>75</v>
      </c>
      <c r="C199" s="12" t="s">
        <v>57</v>
      </c>
      <c r="D199" s="12" t="s">
        <v>48</v>
      </c>
      <c r="E199" s="16" t="n">
        <v>123.026672</v>
      </c>
      <c r="F199" s="16" t="n">
        <v>0</v>
      </c>
      <c r="G199" s="16" t="n">
        <v>0</v>
      </c>
    </row>
    <row r="200" customFormat="false" ht="15" hidden="false" customHeight="false" outlineLevel="0" collapsed="false">
      <c r="A200" s="7" t="n">
        <v>1997</v>
      </c>
      <c r="B200" s="12" t="s">
        <v>75</v>
      </c>
      <c r="C200" s="12" t="s">
        <v>57</v>
      </c>
      <c r="D200" s="12" t="s">
        <v>46</v>
      </c>
      <c r="E200" s="16" t="n">
        <v>89.342443</v>
      </c>
      <c r="F200" s="16" t="n">
        <v>0</v>
      </c>
      <c r="G200" s="16" t="n">
        <v>52.042702</v>
      </c>
    </row>
    <row r="201" customFormat="false" ht="15" hidden="false" customHeight="false" outlineLevel="0" collapsed="false">
      <c r="A201" s="7" t="n">
        <v>1997</v>
      </c>
      <c r="B201" s="12" t="s">
        <v>75</v>
      </c>
      <c r="C201" s="12" t="s">
        <v>57</v>
      </c>
      <c r="D201" s="12" t="s">
        <v>45</v>
      </c>
      <c r="E201" s="16" t="n">
        <v>68.407689</v>
      </c>
      <c r="F201" s="16" t="n">
        <v>26.128661</v>
      </c>
      <c r="G201" s="16" t="n">
        <v>18.623759</v>
      </c>
    </row>
    <row r="202" customFormat="false" ht="15" hidden="false" customHeight="false" outlineLevel="0" collapsed="false">
      <c r="A202" s="7" t="n">
        <v>1997</v>
      </c>
      <c r="B202" s="12" t="s">
        <v>76</v>
      </c>
      <c r="C202" s="12" t="s">
        <v>72</v>
      </c>
      <c r="D202" s="12" t="s">
        <v>49</v>
      </c>
      <c r="E202" s="16" t="n">
        <v>15.628587</v>
      </c>
      <c r="F202" s="16" t="n">
        <v>0</v>
      </c>
      <c r="G202" s="16" t="n">
        <v>6.481906</v>
      </c>
    </row>
    <row r="203" customFormat="false" ht="15" hidden="false" customHeight="false" outlineLevel="0" collapsed="false">
      <c r="A203" s="7" t="n">
        <v>1997</v>
      </c>
      <c r="B203" s="12" t="s">
        <v>76</v>
      </c>
      <c r="C203" s="12" t="s">
        <v>72</v>
      </c>
      <c r="D203" s="12" t="s">
        <v>48</v>
      </c>
      <c r="E203" s="16" t="n">
        <v>15.966759</v>
      </c>
      <c r="F203" s="16" t="n">
        <v>0</v>
      </c>
      <c r="G203" s="16" t="n">
        <v>0</v>
      </c>
    </row>
    <row r="204" customFormat="false" ht="15" hidden="false" customHeight="false" outlineLevel="0" collapsed="false">
      <c r="A204" s="7" t="n">
        <v>1997</v>
      </c>
      <c r="B204" s="12" t="s">
        <v>76</v>
      </c>
      <c r="C204" s="12" t="s">
        <v>72</v>
      </c>
      <c r="D204" s="12" t="s">
        <v>46</v>
      </c>
      <c r="E204" s="16" t="n">
        <v>18.21258</v>
      </c>
      <c r="F204" s="16" t="n">
        <v>0</v>
      </c>
      <c r="G204" s="16" t="n">
        <v>11.534397</v>
      </c>
    </row>
    <row r="205" customFormat="false" ht="15" hidden="false" customHeight="false" outlineLevel="0" collapsed="false">
      <c r="A205" s="7" t="n">
        <v>1997</v>
      </c>
      <c r="B205" s="12" t="s">
        <v>76</v>
      </c>
      <c r="C205" s="12" t="s">
        <v>72</v>
      </c>
      <c r="D205" s="12" t="s">
        <v>45</v>
      </c>
      <c r="E205" s="16" t="n">
        <v>16.124959</v>
      </c>
      <c r="F205" s="16" t="n">
        <v>0</v>
      </c>
      <c r="G205" s="16" t="n">
        <v>5.773522</v>
      </c>
    </row>
    <row r="206" customFormat="false" ht="15" hidden="false" customHeight="false" outlineLevel="0" collapsed="false">
      <c r="A206" s="7" t="n">
        <v>1997</v>
      </c>
      <c r="B206" s="12" t="s">
        <v>77</v>
      </c>
      <c r="C206" s="12" t="s">
        <v>57</v>
      </c>
      <c r="D206" s="12" t="s">
        <v>49</v>
      </c>
      <c r="E206" s="16" t="n">
        <v>25.497874</v>
      </c>
      <c r="F206" s="16" t="n">
        <v>0</v>
      </c>
      <c r="G206" s="16" t="n">
        <v>3.440776</v>
      </c>
    </row>
    <row r="207" customFormat="false" ht="15" hidden="false" customHeight="false" outlineLevel="0" collapsed="false">
      <c r="A207" s="7" t="n">
        <v>1997</v>
      </c>
      <c r="B207" s="12" t="s">
        <v>77</v>
      </c>
      <c r="C207" s="12" t="s">
        <v>57</v>
      </c>
      <c r="D207" s="12" t="s">
        <v>48</v>
      </c>
      <c r="E207" s="16" t="n">
        <v>16.482927</v>
      </c>
      <c r="F207" s="16" t="n">
        <v>0</v>
      </c>
      <c r="G207" s="16" t="n">
        <v>0</v>
      </c>
    </row>
    <row r="208" customFormat="false" ht="15" hidden="false" customHeight="false" outlineLevel="0" collapsed="false">
      <c r="A208" s="7" t="n">
        <v>1997</v>
      </c>
      <c r="B208" s="12" t="s">
        <v>77</v>
      </c>
      <c r="C208" s="12" t="s">
        <v>57</v>
      </c>
      <c r="D208" s="12" t="s">
        <v>46</v>
      </c>
      <c r="E208" s="16" t="n">
        <v>8.910459</v>
      </c>
      <c r="F208" s="16" t="n">
        <v>0</v>
      </c>
      <c r="G208" s="16" t="n">
        <v>6.934741</v>
      </c>
    </row>
    <row r="209" customFormat="false" ht="15" hidden="false" customHeight="false" outlineLevel="0" collapsed="false">
      <c r="A209" s="7" t="n">
        <v>1997</v>
      </c>
      <c r="B209" s="12" t="s">
        <v>77</v>
      </c>
      <c r="C209" s="12" t="s">
        <v>57</v>
      </c>
      <c r="D209" s="12" t="s">
        <v>45</v>
      </c>
      <c r="E209" s="16" t="n">
        <v>3.554311</v>
      </c>
      <c r="F209" s="16" t="n">
        <v>0</v>
      </c>
      <c r="G209" s="16" t="n">
        <v>2.635186</v>
      </c>
    </row>
    <row r="210" customFormat="false" ht="15" hidden="false" customHeight="false" outlineLevel="0" collapsed="false">
      <c r="A210" s="7" t="n">
        <v>1997</v>
      </c>
      <c r="B210" s="12" t="s">
        <v>78</v>
      </c>
      <c r="C210" s="12" t="s">
        <v>65</v>
      </c>
      <c r="D210" s="12" t="s">
        <v>49</v>
      </c>
      <c r="E210" s="16" t="n">
        <v>20.269767</v>
      </c>
      <c r="F210" s="16" t="n">
        <v>0</v>
      </c>
      <c r="G210" s="16" t="n">
        <v>2.451148</v>
      </c>
    </row>
    <row r="211" customFormat="false" ht="15" hidden="false" customHeight="false" outlineLevel="0" collapsed="false">
      <c r="A211" s="7" t="n">
        <v>1997</v>
      </c>
      <c r="B211" s="12" t="s">
        <v>78</v>
      </c>
      <c r="C211" s="12" t="s">
        <v>65</v>
      </c>
      <c r="D211" s="12" t="s">
        <v>48</v>
      </c>
      <c r="E211" s="16" t="n">
        <v>6.154715</v>
      </c>
      <c r="F211" s="16" t="n">
        <v>0</v>
      </c>
      <c r="G211" s="16" t="n">
        <v>0</v>
      </c>
    </row>
    <row r="212" customFormat="false" ht="15" hidden="false" customHeight="false" outlineLevel="0" collapsed="false">
      <c r="A212" s="7" t="n">
        <v>1997</v>
      </c>
      <c r="B212" s="12" t="s">
        <v>78</v>
      </c>
      <c r="C212" s="12" t="s">
        <v>65</v>
      </c>
      <c r="D212" s="12" t="s">
        <v>46</v>
      </c>
      <c r="E212" s="16" t="n">
        <v>7.160128</v>
      </c>
      <c r="F212" s="16" t="n">
        <v>0</v>
      </c>
      <c r="G212" s="16" t="n">
        <v>6.97096</v>
      </c>
    </row>
    <row r="213" customFormat="false" ht="15" hidden="false" customHeight="false" outlineLevel="0" collapsed="false">
      <c r="A213" s="7" t="n">
        <v>1997</v>
      </c>
      <c r="B213" s="12" t="s">
        <v>78</v>
      </c>
      <c r="C213" s="12" t="s">
        <v>65</v>
      </c>
      <c r="D213" s="12" t="s">
        <v>45</v>
      </c>
      <c r="E213" s="16" t="n">
        <v>1.350626</v>
      </c>
      <c r="F213" s="16" t="n">
        <v>0.009356</v>
      </c>
      <c r="G213" s="16" t="n">
        <v>2.7316</v>
      </c>
    </row>
    <row r="214" customFormat="false" ht="15" hidden="false" customHeight="false" outlineLevel="0" collapsed="false">
      <c r="A214" s="7" t="n">
        <v>1997</v>
      </c>
      <c r="B214" s="12" t="s">
        <v>79</v>
      </c>
      <c r="C214" s="12" t="s">
        <v>72</v>
      </c>
      <c r="D214" s="12" t="s">
        <v>49</v>
      </c>
      <c r="E214" s="16" t="n">
        <v>117.251452</v>
      </c>
      <c r="F214" s="16" t="n">
        <v>0</v>
      </c>
      <c r="G214" s="16" t="n">
        <v>39.331731</v>
      </c>
    </row>
    <row r="215" customFormat="false" ht="15" hidden="false" customHeight="false" outlineLevel="0" collapsed="false">
      <c r="A215" s="7" t="n">
        <v>1997</v>
      </c>
      <c r="B215" s="12" t="s">
        <v>79</v>
      </c>
      <c r="C215" s="12" t="s">
        <v>72</v>
      </c>
      <c r="D215" s="12" t="s">
        <v>48</v>
      </c>
      <c r="E215" s="16" t="n">
        <v>92.146722</v>
      </c>
      <c r="F215" s="16" t="n">
        <v>0</v>
      </c>
      <c r="G215" s="16" t="n">
        <v>0</v>
      </c>
    </row>
    <row r="216" customFormat="false" ht="15" hidden="false" customHeight="false" outlineLevel="0" collapsed="false">
      <c r="A216" s="7" t="n">
        <v>1997</v>
      </c>
      <c r="B216" s="12" t="s">
        <v>79</v>
      </c>
      <c r="C216" s="12" t="s">
        <v>72</v>
      </c>
      <c r="D216" s="12" t="s">
        <v>46</v>
      </c>
      <c r="E216" s="16" t="n">
        <v>53.339739</v>
      </c>
      <c r="F216" s="16" t="n">
        <v>0</v>
      </c>
      <c r="G216" s="16" t="n">
        <v>55.010214</v>
      </c>
    </row>
    <row r="217" customFormat="false" ht="15" hidden="false" customHeight="false" outlineLevel="0" collapsed="false">
      <c r="A217" s="7" t="n">
        <v>1997</v>
      </c>
      <c r="B217" s="12" t="s">
        <v>79</v>
      </c>
      <c r="C217" s="12" t="s">
        <v>72</v>
      </c>
      <c r="D217" s="12" t="s">
        <v>45</v>
      </c>
      <c r="E217" s="16" t="n">
        <v>15.143154</v>
      </c>
      <c r="F217" s="16" t="n">
        <v>5.391211</v>
      </c>
      <c r="G217" s="16" t="n">
        <v>8.884377</v>
      </c>
    </row>
    <row r="218" customFormat="false" ht="15" hidden="false" customHeight="false" outlineLevel="0" collapsed="false">
      <c r="A218" s="7" t="n">
        <v>1997</v>
      </c>
      <c r="B218" s="12" t="s">
        <v>80</v>
      </c>
      <c r="C218" s="12" t="s">
        <v>72</v>
      </c>
      <c r="D218" s="12" t="s">
        <v>49</v>
      </c>
      <c r="E218" s="16" t="n">
        <v>35.115375</v>
      </c>
      <c r="F218" s="16" t="n">
        <v>0</v>
      </c>
      <c r="G218" s="16" t="n">
        <v>21.36117</v>
      </c>
    </row>
    <row r="219" customFormat="false" ht="15" hidden="false" customHeight="false" outlineLevel="0" collapsed="false">
      <c r="A219" s="7" t="n">
        <v>1997</v>
      </c>
      <c r="B219" s="12" t="s">
        <v>80</v>
      </c>
      <c r="C219" s="12" t="s">
        <v>72</v>
      </c>
      <c r="D219" s="12" t="s">
        <v>48</v>
      </c>
      <c r="E219" s="16" t="n">
        <v>21.715833</v>
      </c>
      <c r="F219" s="16" t="n">
        <v>0</v>
      </c>
      <c r="G219" s="16" t="n">
        <v>0</v>
      </c>
    </row>
    <row r="220" customFormat="false" ht="15" hidden="false" customHeight="false" outlineLevel="0" collapsed="false">
      <c r="A220" s="7" t="n">
        <v>1997</v>
      </c>
      <c r="B220" s="12" t="s">
        <v>80</v>
      </c>
      <c r="C220" s="12" t="s">
        <v>72</v>
      </c>
      <c r="D220" s="12" t="s">
        <v>46</v>
      </c>
      <c r="E220" s="16" t="n">
        <v>20.678864</v>
      </c>
      <c r="F220" s="16" t="n">
        <v>0</v>
      </c>
      <c r="G220" s="16" t="n">
        <v>22.797681</v>
      </c>
    </row>
    <row r="221" customFormat="false" ht="15" hidden="false" customHeight="false" outlineLevel="0" collapsed="false">
      <c r="A221" s="7" t="n">
        <v>1997</v>
      </c>
      <c r="B221" s="12" t="s">
        <v>80</v>
      </c>
      <c r="C221" s="12" t="s">
        <v>72</v>
      </c>
      <c r="D221" s="12" t="s">
        <v>45</v>
      </c>
      <c r="E221" s="16" t="n">
        <v>20.88696</v>
      </c>
      <c r="F221" s="16" t="n">
        <v>12.658438</v>
      </c>
      <c r="G221" s="16" t="n">
        <v>6.425243</v>
      </c>
    </row>
    <row r="222" customFormat="false" ht="15" hidden="false" customHeight="false" outlineLevel="0" collapsed="false">
      <c r="A222" s="7" t="n">
        <v>1997</v>
      </c>
      <c r="B222" s="12" t="s">
        <v>81</v>
      </c>
      <c r="C222" s="12" t="s">
        <v>72</v>
      </c>
      <c r="D222" s="12" t="s">
        <v>49</v>
      </c>
      <c r="E222" s="16" t="n">
        <v>24.490135</v>
      </c>
      <c r="F222" s="16" t="n">
        <v>0</v>
      </c>
      <c r="G222" s="16" t="n">
        <v>3.928411</v>
      </c>
    </row>
    <row r="223" customFormat="false" ht="15" hidden="false" customHeight="false" outlineLevel="0" collapsed="false">
      <c r="A223" s="7" t="n">
        <v>1997</v>
      </c>
      <c r="B223" s="12" t="s">
        <v>81</v>
      </c>
      <c r="C223" s="12" t="s">
        <v>72</v>
      </c>
      <c r="D223" s="12" t="s">
        <v>48</v>
      </c>
      <c r="E223" s="16" t="n">
        <v>28.305954</v>
      </c>
      <c r="F223" s="16" t="n">
        <v>0</v>
      </c>
      <c r="G223" s="16" t="n">
        <v>0</v>
      </c>
    </row>
    <row r="224" customFormat="false" ht="15" hidden="false" customHeight="false" outlineLevel="0" collapsed="false">
      <c r="A224" s="7" t="n">
        <v>1997</v>
      </c>
      <c r="B224" s="12" t="s">
        <v>81</v>
      </c>
      <c r="C224" s="12" t="s">
        <v>72</v>
      </c>
      <c r="D224" s="12" t="s">
        <v>46</v>
      </c>
      <c r="E224" s="16" t="n">
        <v>27.03005</v>
      </c>
      <c r="F224" s="16" t="n">
        <v>0</v>
      </c>
      <c r="G224" s="16" t="n">
        <v>15.886926</v>
      </c>
    </row>
    <row r="225" customFormat="false" ht="15" hidden="false" customHeight="false" outlineLevel="0" collapsed="false">
      <c r="A225" s="7" t="n">
        <v>1997</v>
      </c>
      <c r="B225" s="12" t="s">
        <v>81</v>
      </c>
      <c r="C225" s="12" t="s">
        <v>72</v>
      </c>
      <c r="D225" s="12" t="s">
        <v>45</v>
      </c>
      <c r="E225" s="16" t="n">
        <v>8.324333</v>
      </c>
      <c r="F225" s="16" t="n">
        <v>0.969074</v>
      </c>
      <c r="G225" s="16" t="n">
        <v>3.645581</v>
      </c>
    </row>
    <row r="226" customFormat="false" ht="15" hidden="false" customHeight="false" outlineLevel="0" collapsed="false">
      <c r="A226" s="7" t="n">
        <v>1998</v>
      </c>
      <c r="B226" s="12" t="s">
        <v>56</v>
      </c>
      <c r="C226" s="12" t="s">
        <v>57</v>
      </c>
      <c r="D226" s="12" t="s">
        <v>49</v>
      </c>
      <c r="E226" s="16" t="n">
        <v>38.104384</v>
      </c>
      <c r="F226" s="16" t="n">
        <v>0</v>
      </c>
      <c r="G226" s="16" t="n">
        <v>8.956017</v>
      </c>
    </row>
    <row r="227" customFormat="false" ht="15" hidden="false" customHeight="false" outlineLevel="0" collapsed="false">
      <c r="A227" s="7" t="n">
        <v>1998</v>
      </c>
      <c r="B227" s="12" t="s">
        <v>56</v>
      </c>
      <c r="C227" s="12" t="s">
        <v>57</v>
      </c>
      <c r="D227" s="12" t="s">
        <v>48</v>
      </c>
      <c r="E227" s="16" t="n">
        <v>28.689576</v>
      </c>
      <c r="F227" s="16" t="n">
        <v>0</v>
      </c>
      <c r="G227" s="16" t="n">
        <v>0</v>
      </c>
    </row>
    <row r="228" customFormat="false" ht="15" hidden="false" customHeight="false" outlineLevel="0" collapsed="false">
      <c r="A228" s="7" t="n">
        <v>1998</v>
      </c>
      <c r="B228" s="12" t="s">
        <v>56</v>
      </c>
      <c r="C228" s="12" t="s">
        <v>57</v>
      </c>
      <c r="D228" s="12" t="s">
        <v>46</v>
      </c>
      <c r="E228" s="16" t="n">
        <v>11.768973</v>
      </c>
      <c r="F228" s="16" t="n">
        <v>0</v>
      </c>
      <c r="G228" s="16" t="n">
        <v>7.408971</v>
      </c>
    </row>
    <row r="229" customFormat="false" ht="15" hidden="false" customHeight="false" outlineLevel="0" collapsed="false">
      <c r="A229" s="7" t="n">
        <v>1998</v>
      </c>
      <c r="B229" s="12" t="s">
        <v>56</v>
      </c>
      <c r="C229" s="12" t="s">
        <v>57</v>
      </c>
      <c r="D229" s="12" t="s">
        <v>45</v>
      </c>
      <c r="E229" s="16" t="n">
        <v>7.165503</v>
      </c>
      <c r="F229" s="16" t="n">
        <v>0.056394</v>
      </c>
      <c r="G229" s="16" t="n">
        <v>4.412114</v>
      </c>
    </row>
    <row r="230" customFormat="false" ht="15" hidden="false" customHeight="false" outlineLevel="0" collapsed="false">
      <c r="A230" s="7" t="n">
        <v>1998</v>
      </c>
      <c r="B230" s="12" t="s">
        <v>58</v>
      </c>
      <c r="C230" s="12" t="s">
        <v>59</v>
      </c>
      <c r="D230" s="12" t="s">
        <v>49</v>
      </c>
      <c r="E230" s="16" t="n">
        <v>188.821223</v>
      </c>
      <c r="F230" s="16" t="n">
        <v>0</v>
      </c>
      <c r="G230" s="16" t="n">
        <v>27.542286</v>
      </c>
    </row>
    <row r="231" customFormat="false" ht="15" hidden="false" customHeight="false" outlineLevel="0" collapsed="false">
      <c r="A231" s="7" t="n">
        <v>1998</v>
      </c>
      <c r="B231" s="12" t="s">
        <v>58</v>
      </c>
      <c r="C231" s="12" t="s">
        <v>59</v>
      </c>
      <c r="D231" s="12" t="s">
        <v>48</v>
      </c>
      <c r="E231" s="16" t="n">
        <v>64.120516</v>
      </c>
      <c r="F231" s="16" t="n">
        <v>0</v>
      </c>
      <c r="G231" s="16" t="n">
        <v>0</v>
      </c>
    </row>
    <row r="232" customFormat="false" ht="15" hidden="false" customHeight="false" outlineLevel="0" collapsed="false">
      <c r="A232" s="7" t="n">
        <v>1998</v>
      </c>
      <c r="B232" s="12" t="s">
        <v>58</v>
      </c>
      <c r="C232" s="12" t="s">
        <v>59</v>
      </c>
      <c r="D232" s="12" t="s">
        <v>46</v>
      </c>
      <c r="E232" s="16" t="n">
        <v>103.626688</v>
      </c>
      <c r="F232" s="16" t="n">
        <v>0</v>
      </c>
      <c r="G232" s="16" t="n">
        <v>71.561994</v>
      </c>
    </row>
    <row r="233" customFormat="false" ht="15" hidden="false" customHeight="false" outlineLevel="0" collapsed="false">
      <c r="A233" s="7" t="n">
        <v>1998</v>
      </c>
      <c r="B233" s="12" t="s">
        <v>58</v>
      </c>
      <c r="C233" s="12" t="s">
        <v>59</v>
      </c>
      <c r="D233" s="12" t="s">
        <v>45</v>
      </c>
      <c r="E233" s="16" t="n">
        <v>23.871783</v>
      </c>
      <c r="F233" s="16" t="n">
        <v>0.227147</v>
      </c>
      <c r="G233" s="16" t="n">
        <v>17.647979</v>
      </c>
    </row>
    <row r="234" customFormat="false" ht="15" hidden="false" customHeight="false" outlineLevel="0" collapsed="false">
      <c r="A234" s="7" t="n">
        <v>1998</v>
      </c>
      <c r="B234" s="12" t="s">
        <v>60</v>
      </c>
      <c r="C234" s="12" t="s">
        <v>59</v>
      </c>
      <c r="D234" s="12" t="s">
        <v>49</v>
      </c>
      <c r="E234" s="16" t="n">
        <v>484.008833</v>
      </c>
      <c r="F234" s="16" t="n">
        <v>0</v>
      </c>
      <c r="G234" s="16" t="n">
        <v>40.393931</v>
      </c>
    </row>
    <row r="235" customFormat="false" ht="15" hidden="false" customHeight="false" outlineLevel="0" collapsed="false">
      <c r="A235" s="7" t="n">
        <v>1998</v>
      </c>
      <c r="B235" s="12" t="s">
        <v>60</v>
      </c>
      <c r="C235" s="12" t="s">
        <v>59</v>
      </c>
      <c r="D235" s="12" t="s">
        <v>48</v>
      </c>
      <c r="E235" s="16" t="n">
        <v>241.911235</v>
      </c>
      <c r="F235" s="16" t="n">
        <v>0</v>
      </c>
      <c r="G235" s="16" t="n">
        <v>0</v>
      </c>
    </row>
    <row r="236" customFormat="false" ht="15" hidden="false" customHeight="false" outlineLevel="0" collapsed="false">
      <c r="A236" s="7" t="n">
        <v>1998</v>
      </c>
      <c r="B236" s="12" t="s">
        <v>60</v>
      </c>
      <c r="C236" s="12" t="s">
        <v>59</v>
      </c>
      <c r="D236" s="12" t="s">
        <v>46</v>
      </c>
      <c r="E236" s="16" t="n">
        <v>263.889059</v>
      </c>
      <c r="F236" s="16" t="n">
        <v>0</v>
      </c>
      <c r="G236" s="16" t="n">
        <v>214.8913</v>
      </c>
    </row>
    <row r="237" customFormat="false" ht="15" hidden="false" customHeight="false" outlineLevel="0" collapsed="false">
      <c r="A237" s="7" t="n">
        <v>1998</v>
      </c>
      <c r="B237" s="12" t="s">
        <v>60</v>
      </c>
      <c r="C237" s="12" t="s">
        <v>59</v>
      </c>
      <c r="D237" s="12" t="s">
        <v>45</v>
      </c>
      <c r="E237" s="16" t="n">
        <v>39.393741</v>
      </c>
      <c r="F237" s="16" t="n">
        <v>2.832767</v>
      </c>
      <c r="G237" s="16" t="n">
        <v>63.595639</v>
      </c>
    </row>
    <row r="238" customFormat="false" ht="15" hidden="false" customHeight="false" outlineLevel="0" collapsed="false">
      <c r="A238" s="7" t="n">
        <v>1998</v>
      </c>
      <c r="B238" s="12" t="s">
        <v>61</v>
      </c>
      <c r="C238" s="12" t="s">
        <v>62</v>
      </c>
      <c r="D238" s="12" t="s">
        <v>49</v>
      </c>
      <c r="E238" s="16" t="n">
        <v>132.70853</v>
      </c>
      <c r="F238" s="16" t="n">
        <v>0</v>
      </c>
      <c r="G238" s="16" t="n">
        <v>22.030477</v>
      </c>
    </row>
    <row r="239" customFormat="false" ht="15" hidden="false" customHeight="false" outlineLevel="0" collapsed="false">
      <c r="A239" s="7" t="n">
        <v>1998</v>
      </c>
      <c r="B239" s="12" t="s">
        <v>61</v>
      </c>
      <c r="C239" s="12" t="s">
        <v>62</v>
      </c>
      <c r="D239" s="12" t="s">
        <v>48</v>
      </c>
      <c r="E239" s="16" t="n">
        <v>69.012882</v>
      </c>
      <c r="F239" s="16" t="n">
        <v>0</v>
      </c>
      <c r="G239" s="16" t="n">
        <v>0</v>
      </c>
    </row>
    <row r="240" customFormat="false" ht="15" hidden="false" customHeight="false" outlineLevel="0" collapsed="false">
      <c r="A240" s="7" t="n">
        <v>1998</v>
      </c>
      <c r="B240" s="12" t="s">
        <v>61</v>
      </c>
      <c r="C240" s="12" t="s">
        <v>62</v>
      </c>
      <c r="D240" s="12" t="s">
        <v>46</v>
      </c>
      <c r="E240" s="16" t="n">
        <v>91.682218</v>
      </c>
      <c r="F240" s="16" t="n">
        <v>0</v>
      </c>
      <c r="G240" s="16" t="n">
        <v>78.6872</v>
      </c>
    </row>
    <row r="241" customFormat="false" ht="15" hidden="false" customHeight="false" outlineLevel="0" collapsed="false">
      <c r="A241" s="7" t="n">
        <v>1998</v>
      </c>
      <c r="B241" s="12" t="s">
        <v>61</v>
      </c>
      <c r="C241" s="12" t="s">
        <v>62</v>
      </c>
      <c r="D241" s="12" t="s">
        <v>45</v>
      </c>
      <c r="E241" s="16" t="n">
        <v>21.89863</v>
      </c>
      <c r="F241" s="16" t="n">
        <v>2.335655</v>
      </c>
      <c r="G241" s="16" t="n">
        <v>18.3202</v>
      </c>
    </row>
    <row r="242" customFormat="false" ht="15" hidden="false" customHeight="false" outlineLevel="0" collapsed="false">
      <c r="A242" s="7" t="n">
        <v>1998</v>
      </c>
      <c r="B242" s="12" t="s">
        <v>63</v>
      </c>
      <c r="C242" s="12" t="s">
        <v>62</v>
      </c>
      <c r="D242" s="12" t="s">
        <v>49</v>
      </c>
      <c r="E242" s="16" t="n">
        <v>319.23362</v>
      </c>
      <c r="F242" s="16" t="n">
        <v>0</v>
      </c>
      <c r="G242" s="16" t="n">
        <v>76.079</v>
      </c>
    </row>
    <row r="243" customFormat="false" ht="15" hidden="false" customHeight="false" outlineLevel="0" collapsed="false">
      <c r="A243" s="7" t="n">
        <v>1998</v>
      </c>
      <c r="B243" s="12" t="s">
        <v>63</v>
      </c>
      <c r="C243" s="12" t="s">
        <v>62</v>
      </c>
      <c r="D243" s="12" t="s">
        <v>48</v>
      </c>
      <c r="E243" s="16" t="n">
        <v>105.906251</v>
      </c>
      <c r="F243" s="16" t="n">
        <v>0</v>
      </c>
      <c r="G243" s="16" t="n">
        <v>0</v>
      </c>
    </row>
    <row r="244" customFormat="false" ht="15" hidden="false" customHeight="false" outlineLevel="0" collapsed="false">
      <c r="A244" s="7" t="n">
        <v>1998</v>
      </c>
      <c r="B244" s="12" t="s">
        <v>63</v>
      </c>
      <c r="C244" s="12" t="s">
        <v>62</v>
      </c>
      <c r="D244" s="12" t="s">
        <v>46</v>
      </c>
      <c r="E244" s="16" t="n">
        <v>183.401112</v>
      </c>
      <c r="F244" s="16" t="n">
        <v>0</v>
      </c>
      <c r="G244" s="16" t="n">
        <v>143.571</v>
      </c>
    </row>
    <row r="245" customFormat="false" ht="15" hidden="false" customHeight="false" outlineLevel="0" collapsed="false">
      <c r="A245" s="7" t="n">
        <v>1998</v>
      </c>
      <c r="B245" s="12" t="s">
        <v>63</v>
      </c>
      <c r="C245" s="12" t="s">
        <v>62</v>
      </c>
      <c r="D245" s="12" t="s">
        <v>45</v>
      </c>
      <c r="E245" s="16" t="n">
        <v>32.563904</v>
      </c>
      <c r="F245" s="16" t="n">
        <v>0</v>
      </c>
      <c r="G245" s="16" t="n">
        <v>26.137</v>
      </c>
    </row>
    <row r="246" customFormat="false" ht="15" hidden="false" customHeight="false" outlineLevel="0" collapsed="false">
      <c r="A246" s="7" t="n">
        <v>1998</v>
      </c>
      <c r="B246" s="12" t="s">
        <v>64</v>
      </c>
      <c r="C246" s="12" t="s">
        <v>65</v>
      </c>
      <c r="D246" s="12" t="s">
        <v>49</v>
      </c>
      <c r="E246" s="16" t="n">
        <v>214.240601</v>
      </c>
      <c r="F246" s="16" t="n">
        <v>0</v>
      </c>
      <c r="G246" s="16" t="n">
        <v>6.190775</v>
      </c>
    </row>
    <row r="247" customFormat="false" ht="15" hidden="false" customHeight="false" outlineLevel="0" collapsed="false">
      <c r="A247" s="7" t="n">
        <v>1998</v>
      </c>
      <c r="B247" s="12" t="s">
        <v>64</v>
      </c>
      <c r="C247" s="12" t="s">
        <v>65</v>
      </c>
      <c r="D247" s="12" t="s">
        <v>48</v>
      </c>
      <c r="E247" s="16" t="n">
        <v>69.448899</v>
      </c>
      <c r="F247" s="16" t="n">
        <v>0</v>
      </c>
      <c r="G247" s="16" t="n">
        <v>0</v>
      </c>
    </row>
    <row r="248" customFormat="false" ht="15" hidden="false" customHeight="false" outlineLevel="0" collapsed="false">
      <c r="A248" s="7" t="n">
        <v>1998</v>
      </c>
      <c r="B248" s="12" t="s">
        <v>64</v>
      </c>
      <c r="C248" s="12" t="s">
        <v>65</v>
      </c>
      <c r="D248" s="12" t="s">
        <v>46</v>
      </c>
      <c r="E248" s="16" t="n">
        <v>37.667233</v>
      </c>
      <c r="F248" s="16" t="n">
        <v>0</v>
      </c>
      <c r="G248" s="16" t="n">
        <v>44.618531</v>
      </c>
    </row>
    <row r="249" customFormat="false" ht="15" hidden="false" customHeight="false" outlineLevel="0" collapsed="false">
      <c r="A249" s="7" t="n">
        <v>1998</v>
      </c>
      <c r="B249" s="12" t="s">
        <v>64</v>
      </c>
      <c r="C249" s="12" t="s">
        <v>65</v>
      </c>
      <c r="D249" s="12" t="s">
        <v>45</v>
      </c>
      <c r="E249" s="16" t="n">
        <v>32.492875</v>
      </c>
      <c r="F249" s="16" t="n">
        <v>18.371478</v>
      </c>
      <c r="G249" s="16" t="n">
        <v>12.01708</v>
      </c>
    </row>
    <row r="250" customFormat="false" ht="15" hidden="false" customHeight="false" outlineLevel="0" collapsed="false">
      <c r="A250" s="7" t="n">
        <v>1998</v>
      </c>
      <c r="B250" s="12" t="s">
        <v>66</v>
      </c>
      <c r="C250" s="12" t="s">
        <v>67</v>
      </c>
      <c r="D250" s="12" t="s">
        <v>49</v>
      </c>
      <c r="E250" s="16" t="n">
        <v>80.421682</v>
      </c>
      <c r="F250" s="16" t="n">
        <v>0</v>
      </c>
      <c r="G250" s="16" t="n">
        <v>2.052272</v>
      </c>
    </row>
    <row r="251" customFormat="false" ht="15" hidden="false" customHeight="false" outlineLevel="0" collapsed="false">
      <c r="A251" s="7" t="n">
        <v>1998</v>
      </c>
      <c r="B251" s="12" t="s">
        <v>66</v>
      </c>
      <c r="C251" s="12" t="s">
        <v>67</v>
      </c>
      <c r="D251" s="12" t="s">
        <v>48</v>
      </c>
      <c r="E251" s="16" t="n">
        <v>33.020914</v>
      </c>
      <c r="F251" s="16" t="n">
        <v>0</v>
      </c>
      <c r="G251" s="16" t="n">
        <v>0</v>
      </c>
    </row>
    <row r="252" customFormat="false" ht="15" hidden="false" customHeight="false" outlineLevel="0" collapsed="false">
      <c r="A252" s="7" t="n">
        <v>1998</v>
      </c>
      <c r="B252" s="12" t="s">
        <v>66</v>
      </c>
      <c r="C252" s="12" t="s">
        <v>67</v>
      </c>
      <c r="D252" s="12" t="s">
        <v>46</v>
      </c>
      <c r="E252" s="16" t="n">
        <v>45.114455</v>
      </c>
      <c r="F252" s="16" t="n">
        <v>0</v>
      </c>
      <c r="G252" s="16" t="n">
        <v>30.498652</v>
      </c>
    </row>
    <row r="253" customFormat="false" ht="15" hidden="false" customHeight="false" outlineLevel="0" collapsed="false">
      <c r="A253" s="7" t="n">
        <v>1998</v>
      </c>
      <c r="B253" s="12" t="s">
        <v>66</v>
      </c>
      <c r="C253" s="12" t="s">
        <v>67</v>
      </c>
      <c r="D253" s="12" t="s">
        <v>45</v>
      </c>
      <c r="E253" s="16" t="n">
        <v>-23.81053</v>
      </c>
      <c r="F253" s="16" t="n">
        <v>-42.481024</v>
      </c>
      <c r="G253" s="16" t="n">
        <v>16.936873</v>
      </c>
    </row>
    <row r="254" customFormat="false" ht="15" hidden="false" customHeight="false" outlineLevel="0" collapsed="false">
      <c r="A254" s="7" t="n">
        <v>1998</v>
      </c>
      <c r="B254" s="12" t="s">
        <v>68</v>
      </c>
      <c r="C254" s="12" t="s">
        <v>65</v>
      </c>
      <c r="D254" s="12" t="s">
        <v>49</v>
      </c>
      <c r="E254" s="16" t="n">
        <v>84.754482</v>
      </c>
      <c r="F254" s="16" t="n">
        <v>0</v>
      </c>
      <c r="G254" s="16" t="n">
        <v>9.37788</v>
      </c>
    </row>
    <row r="255" customFormat="false" ht="15" hidden="false" customHeight="false" outlineLevel="0" collapsed="false">
      <c r="A255" s="7" t="n">
        <v>1998</v>
      </c>
      <c r="B255" s="12" t="s">
        <v>68</v>
      </c>
      <c r="C255" s="12" t="s">
        <v>65</v>
      </c>
      <c r="D255" s="12" t="s">
        <v>48</v>
      </c>
      <c r="E255" s="16" t="n">
        <v>26.079655</v>
      </c>
      <c r="F255" s="16" t="n">
        <v>0</v>
      </c>
      <c r="G255" s="16" t="n">
        <v>0</v>
      </c>
    </row>
    <row r="256" customFormat="false" ht="15" hidden="false" customHeight="false" outlineLevel="0" collapsed="false">
      <c r="A256" s="7" t="n">
        <v>1998</v>
      </c>
      <c r="B256" s="12" t="s">
        <v>68</v>
      </c>
      <c r="C256" s="12" t="s">
        <v>65</v>
      </c>
      <c r="D256" s="12" t="s">
        <v>46</v>
      </c>
      <c r="E256" s="16" t="n">
        <v>29.59587</v>
      </c>
      <c r="F256" s="16" t="n">
        <v>0</v>
      </c>
      <c r="G256" s="16" t="n">
        <v>35.87556</v>
      </c>
    </row>
    <row r="257" customFormat="false" ht="15" hidden="false" customHeight="false" outlineLevel="0" collapsed="false">
      <c r="A257" s="7" t="n">
        <v>1998</v>
      </c>
      <c r="B257" s="12" t="s">
        <v>68</v>
      </c>
      <c r="C257" s="12" t="s">
        <v>65</v>
      </c>
      <c r="D257" s="12" t="s">
        <v>45</v>
      </c>
      <c r="E257" s="16" t="n">
        <v>6.550563</v>
      </c>
      <c r="F257" s="16" t="n">
        <v>0</v>
      </c>
      <c r="G257" s="16" t="n">
        <v>5.723705</v>
      </c>
    </row>
    <row r="258" customFormat="false" ht="15" hidden="false" customHeight="false" outlineLevel="0" collapsed="false">
      <c r="A258" s="7" t="n">
        <v>1998</v>
      </c>
      <c r="B258" s="12" t="s">
        <v>69</v>
      </c>
      <c r="C258" s="12" t="s">
        <v>70</v>
      </c>
      <c r="D258" s="12" t="s">
        <v>49</v>
      </c>
      <c r="E258" s="16" t="n">
        <v>84.797765</v>
      </c>
      <c r="F258" s="16" t="n">
        <v>0</v>
      </c>
      <c r="G258" s="16" t="n">
        <v>12.60565</v>
      </c>
    </row>
    <row r="259" customFormat="false" ht="15" hidden="false" customHeight="false" outlineLevel="0" collapsed="false">
      <c r="A259" s="7" t="n">
        <v>1998</v>
      </c>
      <c r="B259" s="12" t="s">
        <v>69</v>
      </c>
      <c r="C259" s="12" t="s">
        <v>70</v>
      </c>
      <c r="D259" s="12" t="s">
        <v>48</v>
      </c>
      <c r="E259" s="16" t="n">
        <v>62.821474</v>
      </c>
      <c r="F259" s="16" t="n">
        <v>0</v>
      </c>
      <c r="G259" s="16" t="n">
        <v>0</v>
      </c>
    </row>
    <row r="260" customFormat="false" ht="15" hidden="false" customHeight="false" outlineLevel="0" collapsed="false">
      <c r="A260" s="7" t="n">
        <v>1998</v>
      </c>
      <c r="B260" s="12" t="s">
        <v>69</v>
      </c>
      <c r="C260" s="12" t="s">
        <v>70</v>
      </c>
      <c r="D260" s="12" t="s">
        <v>46</v>
      </c>
      <c r="E260" s="16" t="n">
        <v>37.12371</v>
      </c>
      <c r="F260" s="16" t="n">
        <v>0</v>
      </c>
      <c r="G260" s="16" t="n">
        <v>32.877247</v>
      </c>
    </row>
    <row r="261" customFormat="false" ht="15" hidden="false" customHeight="false" outlineLevel="0" collapsed="false">
      <c r="A261" s="7" t="n">
        <v>1998</v>
      </c>
      <c r="B261" s="12" t="s">
        <v>69</v>
      </c>
      <c r="C261" s="12" t="s">
        <v>70</v>
      </c>
      <c r="D261" s="12" t="s">
        <v>45</v>
      </c>
      <c r="E261" s="16" t="n">
        <v>19.739427</v>
      </c>
      <c r="F261" s="16" t="n">
        <v>6.585365</v>
      </c>
      <c r="G261" s="16" t="n">
        <v>13.493117</v>
      </c>
    </row>
    <row r="262" customFormat="false" ht="15" hidden="false" customHeight="false" outlineLevel="0" collapsed="false">
      <c r="A262" s="7" t="n">
        <v>1998</v>
      </c>
      <c r="B262" s="12" t="s">
        <v>71</v>
      </c>
      <c r="C262" s="12" t="s">
        <v>72</v>
      </c>
      <c r="D262" s="12" t="s">
        <v>49</v>
      </c>
      <c r="E262" s="16" t="n">
        <v>14.989808</v>
      </c>
      <c r="F262" s="16" t="n">
        <v>0</v>
      </c>
      <c r="G262" s="16" t="n">
        <v>3.124776</v>
      </c>
    </row>
    <row r="263" customFormat="false" ht="15" hidden="false" customHeight="false" outlineLevel="0" collapsed="false">
      <c r="A263" s="7" t="n">
        <v>1998</v>
      </c>
      <c r="B263" s="12" t="s">
        <v>71</v>
      </c>
      <c r="C263" s="12" t="s">
        <v>72</v>
      </c>
      <c r="D263" s="12" t="s">
        <v>48</v>
      </c>
      <c r="E263" s="16" t="n">
        <v>9.321932</v>
      </c>
      <c r="F263" s="16" t="n">
        <v>0</v>
      </c>
      <c r="G263" s="16" t="n">
        <v>0</v>
      </c>
    </row>
    <row r="264" customFormat="false" ht="15" hidden="false" customHeight="false" outlineLevel="0" collapsed="false">
      <c r="A264" s="7" t="n">
        <v>1998</v>
      </c>
      <c r="B264" s="12" t="s">
        <v>71</v>
      </c>
      <c r="C264" s="12" t="s">
        <v>72</v>
      </c>
      <c r="D264" s="12" t="s">
        <v>46</v>
      </c>
      <c r="E264" s="16" t="n">
        <v>7.48261</v>
      </c>
      <c r="F264" s="16" t="n">
        <v>0</v>
      </c>
      <c r="G264" s="16" t="n">
        <v>4.768656</v>
      </c>
    </row>
    <row r="265" customFormat="false" ht="15" hidden="false" customHeight="false" outlineLevel="0" collapsed="false">
      <c r="A265" s="7" t="n">
        <v>1998</v>
      </c>
      <c r="B265" s="12" t="s">
        <v>71</v>
      </c>
      <c r="C265" s="12" t="s">
        <v>72</v>
      </c>
      <c r="D265" s="12" t="s">
        <v>45</v>
      </c>
      <c r="E265" s="16" t="n">
        <v>1.953894</v>
      </c>
      <c r="F265" s="16" t="n">
        <v>0.454462</v>
      </c>
      <c r="G265" s="16" t="n">
        <v>2.630361</v>
      </c>
    </row>
    <row r="266" customFormat="false" ht="15" hidden="false" customHeight="false" outlineLevel="0" collapsed="false">
      <c r="A266" s="7" t="n">
        <v>1998</v>
      </c>
      <c r="B266" s="12" t="s">
        <v>73</v>
      </c>
      <c r="C266" s="12" t="s">
        <v>70</v>
      </c>
      <c r="D266" s="12" t="s">
        <v>49</v>
      </c>
      <c r="E266" s="16" t="n">
        <v>102.142879</v>
      </c>
      <c r="F266" s="16" t="n">
        <v>0</v>
      </c>
      <c r="G266" s="16" t="n">
        <v>17.14563</v>
      </c>
    </row>
    <row r="267" customFormat="false" ht="15" hidden="false" customHeight="false" outlineLevel="0" collapsed="false">
      <c r="A267" s="7" t="n">
        <v>1998</v>
      </c>
      <c r="B267" s="12" t="s">
        <v>73</v>
      </c>
      <c r="C267" s="12" t="s">
        <v>70</v>
      </c>
      <c r="D267" s="12" t="s">
        <v>48</v>
      </c>
      <c r="E267" s="16" t="n">
        <v>77.12509</v>
      </c>
      <c r="F267" s="16" t="n">
        <v>0</v>
      </c>
      <c r="G267" s="16" t="n">
        <v>0</v>
      </c>
    </row>
    <row r="268" customFormat="false" ht="15" hidden="false" customHeight="false" outlineLevel="0" collapsed="false">
      <c r="A268" s="7" t="n">
        <v>1998</v>
      </c>
      <c r="B268" s="12" t="s">
        <v>73</v>
      </c>
      <c r="C268" s="12" t="s">
        <v>70</v>
      </c>
      <c r="D268" s="12" t="s">
        <v>46</v>
      </c>
      <c r="E268" s="16" t="n">
        <v>54.182416</v>
      </c>
      <c r="F268" s="16" t="n">
        <v>0</v>
      </c>
      <c r="G268" s="16" t="n">
        <v>38.868212</v>
      </c>
    </row>
    <row r="269" customFormat="false" ht="15" hidden="false" customHeight="false" outlineLevel="0" collapsed="false">
      <c r="A269" s="7" t="n">
        <v>1998</v>
      </c>
      <c r="B269" s="12" t="s">
        <v>73</v>
      </c>
      <c r="C269" s="12" t="s">
        <v>70</v>
      </c>
      <c r="D269" s="12" t="s">
        <v>45</v>
      </c>
      <c r="E269" s="16" t="n">
        <v>13.636284</v>
      </c>
      <c r="F269" s="16" t="n">
        <v>1.707494</v>
      </c>
      <c r="G269" s="16" t="n">
        <v>13.263617</v>
      </c>
    </row>
    <row r="270" customFormat="false" ht="15" hidden="false" customHeight="false" outlineLevel="0" collapsed="false">
      <c r="A270" s="7" t="n">
        <v>1998</v>
      </c>
      <c r="B270" s="12" t="s">
        <v>74</v>
      </c>
      <c r="C270" s="12" t="s">
        <v>65</v>
      </c>
      <c r="D270" s="12" t="s">
        <v>49</v>
      </c>
      <c r="E270" s="16" t="n">
        <v>68.962028</v>
      </c>
      <c r="F270" s="16" t="n">
        <v>0</v>
      </c>
      <c r="G270" s="16" t="n">
        <v>6.514645</v>
      </c>
    </row>
    <row r="271" customFormat="false" ht="15" hidden="false" customHeight="false" outlineLevel="0" collapsed="false">
      <c r="A271" s="7" t="n">
        <v>1998</v>
      </c>
      <c r="B271" s="12" t="s">
        <v>74</v>
      </c>
      <c r="C271" s="12" t="s">
        <v>65</v>
      </c>
      <c r="D271" s="12" t="s">
        <v>48</v>
      </c>
      <c r="E271" s="16" t="n">
        <v>19.838311</v>
      </c>
      <c r="F271" s="16" t="n">
        <v>0</v>
      </c>
      <c r="G271" s="16" t="n">
        <v>0</v>
      </c>
    </row>
    <row r="272" customFormat="false" ht="15" hidden="false" customHeight="false" outlineLevel="0" collapsed="false">
      <c r="A272" s="7" t="n">
        <v>1998</v>
      </c>
      <c r="B272" s="12" t="s">
        <v>74</v>
      </c>
      <c r="C272" s="12" t="s">
        <v>65</v>
      </c>
      <c r="D272" s="12" t="s">
        <v>46</v>
      </c>
      <c r="E272" s="16" t="n">
        <v>22.620788</v>
      </c>
      <c r="F272" s="16" t="n">
        <v>0</v>
      </c>
      <c r="G272" s="16" t="n">
        <v>37.736912</v>
      </c>
    </row>
    <row r="273" customFormat="false" ht="15" hidden="false" customHeight="false" outlineLevel="0" collapsed="false">
      <c r="A273" s="7" t="n">
        <v>1998</v>
      </c>
      <c r="B273" s="12" t="s">
        <v>74</v>
      </c>
      <c r="C273" s="12" t="s">
        <v>65</v>
      </c>
      <c r="D273" s="12" t="s">
        <v>45</v>
      </c>
      <c r="E273" s="16" t="n">
        <v>8.941872</v>
      </c>
      <c r="F273" s="16" t="n">
        <v>0.187</v>
      </c>
      <c r="G273" s="16" t="n">
        <v>17.500023</v>
      </c>
    </row>
    <row r="274" customFormat="false" ht="15" hidden="false" customHeight="false" outlineLevel="0" collapsed="false">
      <c r="A274" s="7" t="n">
        <v>1998</v>
      </c>
      <c r="B274" s="12" t="s">
        <v>75</v>
      </c>
      <c r="C274" s="12" t="s">
        <v>57</v>
      </c>
      <c r="D274" s="12" t="s">
        <v>49</v>
      </c>
      <c r="E274" s="16" t="n">
        <v>119.28699</v>
      </c>
      <c r="F274" s="16" t="n">
        <v>0</v>
      </c>
      <c r="G274" s="16" t="n">
        <v>31.484823</v>
      </c>
    </row>
    <row r="275" customFormat="false" ht="15" hidden="false" customHeight="false" outlineLevel="0" collapsed="false">
      <c r="A275" s="7" t="n">
        <v>1998</v>
      </c>
      <c r="B275" s="12" t="s">
        <v>75</v>
      </c>
      <c r="C275" s="12" t="s">
        <v>57</v>
      </c>
      <c r="D275" s="12" t="s">
        <v>48</v>
      </c>
      <c r="E275" s="16" t="n">
        <v>127.100798</v>
      </c>
      <c r="F275" s="16" t="n">
        <v>0</v>
      </c>
      <c r="G275" s="16" t="n">
        <v>0</v>
      </c>
    </row>
    <row r="276" customFormat="false" ht="15" hidden="false" customHeight="false" outlineLevel="0" collapsed="false">
      <c r="A276" s="7" t="n">
        <v>1998</v>
      </c>
      <c r="B276" s="12" t="s">
        <v>75</v>
      </c>
      <c r="C276" s="12" t="s">
        <v>57</v>
      </c>
      <c r="D276" s="12" t="s">
        <v>46</v>
      </c>
      <c r="E276" s="16" t="n">
        <v>97.511886</v>
      </c>
      <c r="F276" s="16" t="n">
        <v>0</v>
      </c>
      <c r="G276" s="16" t="n">
        <v>54.926847</v>
      </c>
    </row>
    <row r="277" customFormat="false" ht="15" hidden="false" customHeight="false" outlineLevel="0" collapsed="false">
      <c r="A277" s="7" t="n">
        <v>1998</v>
      </c>
      <c r="B277" s="12" t="s">
        <v>75</v>
      </c>
      <c r="C277" s="12" t="s">
        <v>57</v>
      </c>
      <c r="D277" s="12" t="s">
        <v>45</v>
      </c>
      <c r="E277" s="16" t="n">
        <v>74.338183</v>
      </c>
      <c r="F277" s="16" t="n">
        <v>25.338625</v>
      </c>
      <c r="G277" s="16" t="n">
        <v>19.656083</v>
      </c>
    </row>
    <row r="278" customFormat="false" ht="15" hidden="false" customHeight="false" outlineLevel="0" collapsed="false">
      <c r="A278" s="7" t="n">
        <v>1998</v>
      </c>
      <c r="B278" s="12" t="s">
        <v>76</v>
      </c>
      <c r="C278" s="12" t="s">
        <v>72</v>
      </c>
      <c r="D278" s="12" t="s">
        <v>49</v>
      </c>
      <c r="E278" s="16" t="n">
        <v>18.677419</v>
      </c>
      <c r="F278" s="16" t="n">
        <v>0</v>
      </c>
      <c r="G278" s="16" t="n">
        <v>6.739164</v>
      </c>
    </row>
    <row r="279" customFormat="false" ht="15" hidden="false" customHeight="false" outlineLevel="0" collapsed="false">
      <c r="A279" s="7" t="n">
        <v>1998</v>
      </c>
      <c r="B279" s="12" t="s">
        <v>76</v>
      </c>
      <c r="C279" s="12" t="s">
        <v>72</v>
      </c>
      <c r="D279" s="12" t="s">
        <v>48</v>
      </c>
      <c r="E279" s="16" t="n">
        <v>15.033079</v>
      </c>
      <c r="F279" s="16" t="n">
        <v>0</v>
      </c>
      <c r="G279" s="16" t="n">
        <v>0</v>
      </c>
    </row>
    <row r="280" customFormat="false" ht="15" hidden="false" customHeight="false" outlineLevel="0" collapsed="false">
      <c r="A280" s="7" t="n">
        <v>1998</v>
      </c>
      <c r="B280" s="12" t="s">
        <v>76</v>
      </c>
      <c r="C280" s="12" t="s">
        <v>72</v>
      </c>
      <c r="D280" s="12" t="s">
        <v>46</v>
      </c>
      <c r="E280" s="16" t="n">
        <v>19.118853</v>
      </c>
      <c r="F280" s="16" t="n">
        <v>0</v>
      </c>
      <c r="G280" s="16" t="n">
        <v>12.279359</v>
      </c>
    </row>
    <row r="281" customFormat="false" ht="15" hidden="false" customHeight="false" outlineLevel="0" collapsed="false">
      <c r="A281" s="7" t="n">
        <v>1998</v>
      </c>
      <c r="B281" s="12" t="s">
        <v>76</v>
      </c>
      <c r="C281" s="12" t="s">
        <v>72</v>
      </c>
      <c r="D281" s="12" t="s">
        <v>45</v>
      </c>
      <c r="E281" s="16" t="n">
        <v>19.828487</v>
      </c>
      <c r="F281" s="16" t="n">
        <v>0</v>
      </c>
      <c r="G281" s="16" t="n">
        <v>5.992177</v>
      </c>
    </row>
    <row r="282" customFormat="false" ht="15" hidden="false" customHeight="false" outlineLevel="0" collapsed="false">
      <c r="A282" s="7" t="n">
        <v>1998</v>
      </c>
      <c r="B282" s="12" t="s">
        <v>77</v>
      </c>
      <c r="C282" s="12" t="s">
        <v>57</v>
      </c>
      <c r="D282" s="12" t="s">
        <v>49</v>
      </c>
      <c r="E282" s="16" t="n">
        <v>29.083847</v>
      </c>
      <c r="F282" s="16" t="n">
        <v>0</v>
      </c>
      <c r="G282" s="16" t="n">
        <v>3.472981</v>
      </c>
    </row>
    <row r="283" customFormat="false" ht="15" hidden="false" customHeight="false" outlineLevel="0" collapsed="false">
      <c r="A283" s="7" t="n">
        <v>1998</v>
      </c>
      <c r="B283" s="12" t="s">
        <v>77</v>
      </c>
      <c r="C283" s="12" t="s">
        <v>57</v>
      </c>
      <c r="D283" s="12" t="s">
        <v>48</v>
      </c>
      <c r="E283" s="16" t="n">
        <v>16.187013</v>
      </c>
      <c r="F283" s="16" t="n">
        <v>0</v>
      </c>
      <c r="G283" s="16" t="n">
        <v>0</v>
      </c>
    </row>
    <row r="284" customFormat="false" ht="15" hidden="false" customHeight="false" outlineLevel="0" collapsed="false">
      <c r="A284" s="7" t="n">
        <v>1998</v>
      </c>
      <c r="B284" s="12" t="s">
        <v>77</v>
      </c>
      <c r="C284" s="12" t="s">
        <v>57</v>
      </c>
      <c r="D284" s="12" t="s">
        <v>46</v>
      </c>
      <c r="E284" s="16" t="n">
        <v>9.989591</v>
      </c>
      <c r="F284" s="16" t="n">
        <v>0</v>
      </c>
      <c r="G284" s="16" t="n">
        <v>7.099974</v>
      </c>
    </row>
    <row r="285" customFormat="false" ht="15" hidden="false" customHeight="false" outlineLevel="0" collapsed="false">
      <c r="A285" s="7" t="n">
        <v>1998</v>
      </c>
      <c r="B285" s="12" t="s">
        <v>77</v>
      </c>
      <c r="C285" s="12" t="s">
        <v>57</v>
      </c>
      <c r="D285" s="12" t="s">
        <v>45</v>
      </c>
      <c r="E285" s="16" t="n">
        <v>2.426248</v>
      </c>
      <c r="F285" s="16" t="n">
        <v>0</v>
      </c>
      <c r="G285" s="16" t="n">
        <v>2.948702</v>
      </c>
    </row>
    <row r="286" customFormat="false" ht="15" hidden="false" customHeight="false" outlineLevel="0" collapsed="false">
      <c r="A286" s="7" t="n">
        <v>1998</v>
      </c>
      <c r="B286" s="12" t="s">
        <v>78</v>
      </c>
      <c r="C286" s="12" t="s">
        <v>65</v>
      </c>
      <c r="D286" s="12" t="s">
        <v>49</v>
      </c>
      <c r="E286" s="16" t="n">
        <v>20.303047</v>
      </c>
      <c r="F286" s="16" t="n">
        <v>0</v>
      </c>
      <c r="G286" s="16" t="n">
        <v>25.913387</v>
      </c>
    </row>
    <row r="287" customFormat="false" ht="15" hidden="false" customHeight="false" outlineLevel="0" collapsed="false">
      <c r="A287" s="7" t="n">
        <v>1998</v>
      </c>
      <c r="B287" s="12" t="s">
        <v>78</v>
      </c>
      <c r="C287" s="12" t="s">
        <v>65</v>
      </c>
      <c r="D287" s="12" t="s">
        <v>48</v>
      </c>
      <c r="E287" s="16" t="n">
        <v>6.873746</v>
      </c>
      <c r="F287" s="16" t="n">
        <v>0</v>
      </c>
      <c r="G287" s="16" t="n">
        <v>0</v>
      </c>
    </row>
    <row r="288" customFormat="false" ht="15" hidden="false" customHeight="false" outlineLevel="0" collapsed="false">
      <c r="A288" s="7" t="n">
        <v>1998</v>
      </c>
      <c r="B288" s="12" t="s">
        <v>78</v>
      </c>
      <c r="C288" s="12" t="s">
        <v>65</v>
      </c>
      <c r="D288" s="12" t="s">
        <v>46</v>
      </c>
      <c r="E288" s="16" t="n">
        <v>7.939005</v>
      </c>
      <c r="F288" s="16" t="n">
        <v>0</v>
      </c>
      <c r="G288" s="16" t="n">
        <v>7.3934</v>
      </c>
    </row>
    <row r="289" customFormat="false" ht="15" hidden="false" customHeight="false" outlineLevel="0" collapsed="false">
      <c r="A289" s="7" t="n">
        <v>1998</v>
      </c>
      <c r="B289" s="12" t="s">
        <v>78</v>
      </c>
      <c r="C289" s="12" t="s">
        <v>65</v>
      </c>
      <c r="D289" s="12" t="s">
        <v>45</v>
      </c>
      <c r="E289" s="16" t="n">
        <v>1.134873</v>
      </c>
      <c r="F289" s="16" t="n">
        <v>0.033332</v>
      </c>
      <c r="G289" s="16" t="n">
        <v>2.9482</v>
      </c>
    </row>
    <row r="290" customFormat="false" ht="15" hidden="false" customHeight="false" outlineLevel="0" collapsed="false">
      <c r="A290" s="7" t="n">
        <v>1998</v>
      </c>
      <c r="B290" s="12" t="s">
        <v>79</v>
      </c>
      <c r="C290" s="12" t="s">
        <v>72</v>
      </c>
      <c r="D290" s="12" t="s">
        <v>49</v>
      </c>
      <c r="E290" s="16" t="n">
        <v>146.68589</v>
      </c>
      <c r="F290" s="16" t="n">
        <v>0</v>
      </c>
      <c r="G290" s="16" t="n">
        <v>46.885468</v>
      </c>
    </row>
    <row r="291" customFormat="false" ht="15" hidden="false" customHeight="false" outlineLevel="0" collapsed="false">
      <c r="A291" s="7" t="n">
        <v>1998</v>
      </c>
      <c r="B291" s="12" t="s">
        <v>79</v>
      </c>
      <c r="C291" s="12" t="s">
        <v>72</v>
      </c>
      <c r="D291" s="12" t="s">
        <v>48</v>
      </c>
      <c r="E291" s="16" t="n">
        <v>82.284665</v>
      </c>
      <c r="F291" s="16" t="n">
        <v>0</v>
      </c>
      <c r="G291" s="16" t="n">
        <v>0</v>
      </c>
    </row>
    <row r="292" customFormat="false" ht="15" hidden="false" customHeight="false" outlineLevel="0" collapsed="false">
      <c r="A292" s="7" t="n">
        <v>1998</v>
      </c>
      <c r="B292" s="12" t="s">
        <v>79</v>
      </c>
      <c r="C292" s="12" t="s">
        <v>72</v>
      </c>
      <c r="D292" s="12" t="s">
        <v>46</v>
      </c>
      <c r="E292" s="16" t="n">
        <v>64.031114</v>
      </c>
      <c r="F292" s="16" t="n">
        <v>0</v>
      </c>
      <c r="G292" s="16" t="n">
        <v>41.99925</v>
      </c>
    </row>
    <row r="293" customFormat="false" ht="15" hidden="false" customHeight="false" outlineLevel="0" collapsed="false">
      <c r="A293" s="7" t="n">
        <v>1998</v>
      </c>
      <c r="B293" s="12" t="s">
        <v>79</v>
      </c>
      <c r="C293" s="12" t="s">
        <v>72</v>
      </c>
      <c r="D293" s="12" t="s">
        <v>45</v>
      </c>
      <c r="E293" s="16" t="n">
        <v>15.863218</v>
      </c>
      <c r="F293" s="16" t="n">
        <v>6.936387</v>
      </c>
      <c r="G293" s="16" t="n">
        <v>9.14449</v>
      </c>
    </row>
    <row r="294" customFormat="false" ht="15" hidden="false" customHeight="false" outlineLevel="0" collapsed="false">
      <c r="A294" s="7" t="n">
        <v>1998</v>
      </c>
      <c r="B294" s="12" t="s">
        <v>80</v>
      </c>
      <c r="C294" s="12" t="s">
        <v>72</v>
      </c>
      <c r="D294" s="12" t="s">
        <v>49</v>
      </c>
      <c r="E294" s="16" t="n">
        <v>50.574425</v>
      </c>
      <c r="F294" s="16" t="n">
        <v>0</v>
      </c>
      <c r="G294" s="16" t="n">
        <v>26.147808</v>
      </c>
    </row>
    <row r="295" customFormat="false" ht="15" hidden="false" customHeight="false" outlineLevel="0" collapsed="false">
      <c r="A295" s="7" t="n">
        <v>1998</v>
      </c>
      <c r="B295" s="12" t="s">
        <v>80</v>
      </c>
      <c r="C295" s="12" t="s">
        <v>72</v>
      </c>
      <c r="D295" s="12" t="s">
        <v>48</v>
      </c>
      <c r="E295" s="16" t="n">
        <v>19.18374</v>
      </c>
      <c r="F295" s="16" t="n">
        <v>0</v>
      </c>
      <c r="G295" s="16" t="n">
        <v>0</v>
      </c>
    </row>
    <row r="296" customFormat="false" ht="15" hidden="false" customHeight="false" outlineLevel="0" collapsed="false">
      <c r="A296" s="7" t="n">
        <v>1998</v>
      </c>
      <c r="B296" s="12" t="s">
        <v>80</v>
      </c>
      <c r="C296" s="12" t="s">
        <v>72</v>
      </c>
      <c r="D296" s="12" t="s">
        <v>46</v>
      </c>
      <c r="E296" s="16" t="n">
        <v>21.048529</v>
      </c>
      <c r="F296" s="16" t="n">
        <v>0</v>
      </c>
      <c r="G296" s="16" t="n">
        <v>24.067712</v>
      </c>
    </row>
    <row r="297" customFormat="false" ht="15" hidden="false" customHeight="false" outlineLevel="0" collapsed="false">
      <c r="A297" s="7" t="n">
        <v>1998</v>
      </c>
      <c r="B297" s="12" t="s">
        <v>80</v>
      </c>
      <c r="C297" s="12" t="s">
        <v>72</v>
      </c>
      <c r="D297" s="12" t="s">
        <v>45</v>
      </c>
      <c r="E297" s="16" t="n">
        <v>24.568249</v>
      </c>
      <c r="F297" s="16" t="n">
        <v>17.313283</v>
      </c>
      <c r="G297" s="16" t="n">
        <v>6.705528</v>
      </c>
    </row>
    <row r="298" customFormat="false" ht="15" hidden="false" customHeight="false" outlineLevel="0" collapsed="false">
      <c r="A298" s="7" t="n">
        <v>1998</v>
      </c>
      <c r="B298" s="12" t="s">
        <v>81</v>
      </c>
      <c r="C298" s="12" t="s">
        <v>72</v>
      </c>
      <c r="D298" s="12" t="s">
        <v>49</v>
      </c>
      <c r="E298" s="16" t="n">
        <v>25.986916</v>
      </c>
      <c r="F298" s="16" t="n">
        <v>0</v>
      </c>
      <c r="G298" s="16" t="n">
        <v>4.006962</v>
      </c>
    </row>
    <row r="299" customFormat="false" ht="15" hidden="false" customHeight="false" outlineLevel="0" collapsed="false">
      <c r="A299" s="7" t="n">
        <v>1998</v>
      </c>
      <c r="B299" s="12" t="s">
        <v>81</v>
      </c>
      <c r="C299" s="12" t="s">
        <v>72</v>
      </c>
      <c r="D299" s="12" t="s">
        <v>48</v>
      </c>
      <c r="E299" s="16" t="n">
        <v>26.889204</v>
      </c>
      <c r="F299" s="16" t="n">
        <v>0</v>
      </c>
      <c r="G299" s="16" t="n">
        <v>0</v>
      </c>
    </row>
    <row r="300" customFormat="false" ht="15" hidden="false" customHeight="false" outlineLevel="0" collapsed="false">
      <c r="A300" s="7" t="n">
        <v>1998</v>
      </c>
      <c r="B300" s="12" t="s">
        <v>81</v>
      </c>
      <c r="C300" s="12" t="s">
        <v>72</v>
      </c>
      <c r="D300" s="12" t="s">
        <v>46</v>
      </c>
      <c r="E300" s="16" t="n">
        <v>29.270554</v>
      </c>
      <c r="F300" s="16" t="n">
        <v>0</v>
      </c>
      <c r="G300" s="16" t="n">
        <v>16.579588</v>
      </c>
    </row>
    <row r="301" customFormat="false" ht="15" hidden="false" customHeight="false" outlineLevel="0" collapsed="false">
      <c r="A301" s="7" t="n">
        <v>1998</v>
      </c>
      <c r="B301" s="12" t="s">
        <v>81</v>
      </c>
      <c r="C301" s="12" t="s">
        <v>72</v>
      </c>
      <c r="D301" s="12" t="s">
        <v>45</v>
      </c>
      <c r="E301" s="16" t="n">
        <v>8.353701</v>
      </c>
      <c r="F301" s="16" t="n">
        <v>1.36477</v>
      </c>
      <c r="G301" s="16" t="n">
        <v>3.712867</v>
      </c>
    </row>
    <row r="302" customFormat="false" ht="15" hidden="false" customHeight="false" outlineLevel="0" collapsed="false">
      <c r="A302" s="7" t="n">
        <v>1999</v>
      </c>
      <c r="B302" s="12" t="s">
        <v>56</v>
      </c>
      <c r="C302" s="12" t="s">
        <v>57</v>
      </c>
      <c r="D302" s="12" t="s">
        <v>49</v>
      </c>
      <c r="E302" s="16" t="n">
        <v>39.052203</v>
      </c>
      <c r="F302" s="16" t="n">
        <v>0</v>
      </c>
      <c r="G302" s="16" t="n">
        <v>9.055592</v>
      </c>
    </row>
    <row r="303" customFormat="false" ht="15" hidden="false" customHeight="false" outlineLevel="0" collapsed="false">
      <c r="A303" s="7" t="n">
        <v>1999</v>
      </c>
      <c r="B303" s="12" t="s">
        <v>56</v>
      </c>
      <c r="C303" s="12" t="s">
        <v>57</v>
      </c>
      <c r="D303" s="12" t="s">
        <v>48</v>
      </c>
      <c r="E303" s="16" t="n">
        <v>29.362914</v>
      </c>
      <c r="F303" s="16" t="n">
        <v>0</v>
      </c>
      <c r="G303" s="16" t="n">
        <v>0</v>
      </c>
    </row>
    <row r="304" customFormat="false" ht="15" hidden="false" customHeight="false" outlineLevel="0" collapsed="false">
      <c r="A304" s="7" t="n">
        <v>1999</v>
      </c>
      <c r="B304" s="12" t="s">
        <v>56</v>
      </c>
      <c r="C304" s="12" t="s">
        <v>57</v>
      </c>
      <c r="D304" s="12" t="s">
        <v>46</v>
      </c>
      <c r="E304" s="16" t="n">
        <v>15.064142</v>
      </c>
      <c r="F304" s="16" t="n">
        <v>0</v>
      </c>
      <c r="G304" s="16" t="n">
        <v>7.757264</v>
      </c>
    </row>
    <row r="305" customFormat="false" ht="15" hidden="false" customHeight="false" outlineLevel="0" collapsed="false">
      <c r="A305" s="7" t="n">
        <v>1999</v>
      </c>
      <c r="B305" s="12" t="s">
        <v>56</v>
      </c>
      <c r="C305" s="12" t="s">
        <v>57</v>
      </c>
      <c r="D305" s="12" t="s">
        <v>45</v>
      </c>
      <c r="E305" s="16" t="n">
        <v>7.307821</v>
      </c>
      <c r="F305" s="16" t="n">
        <v>0.047682</v>
      </c>
      <c r="G305" s="16" t="n">
        <v>4.489532</v>
      </c>
    </row>
    <row r="306" customFormat="false" ht="15" hidden="false" customHeight="false" outlineLevel="0" collapsed="false">
      <c r="A306" s="7" t="n">
        <v>1999</v>
      </c>
      <c r="B306" s="12" t="s">
        <v>58</v>
      </c>
      <c r="C306" s="12" t="s">
        <v>59</v>
      </c>
      <c r="D306" s="12" t="s">
        <v>49</v>
      </c>
      <c r="E306" s="16" t="n">
        <v>227.910373</v>
      </c>
      <c r="F306" s="16" t="n">
        <v>0</v>
      </c>
      <c r="G306" s="16" t="n">
        <v>25.531072</v>
      </c>
    </row>
    <row r="307" customFormat="false" ht="15" hidden="false" customHeight="false" outlineLevel="0" collapsed="false">
      <c r="A307" s="7" t="n">
        <v>1999</v>
      </c>
      <c r="B307" s="12" t="s">
        <v>58</v>
      </c>
      <c r="C307" s="12" t="s">
        <v>59</v>
      </c>
      <c r="D307" s="12" t="s">
        <v>48</v>
      </c>
      <c r="E307" s="16" t="n">
        <v>66.310467</v>
      </c>
      <c r="F307" s="16" t="n">
        <v>0</v>
      </c>
      <c r="G307" s="16" t="n">
        <v>0</v>
      </c>
    </row>
    <row r="308" customFormat="false" ht="15" hidden="false" customHeight="false" outlineLevel="0" collapsed="false">
      <c r="A308" s="7" t="n">
        <v>1999</v>
      </c>
      <c r="B308" s="12" t="s">
        <v>58</v>
      </c>
      <c r="C308" s="12" t="s">
        <v>59</v>
      </c>
      <c r="D308" s="12" t="s">
        <v>46</v>
      </c>
      <c r="E308" s="16" t="n">
        <v>105.927492</v>
      </c>
      <c r="F308" s="16" t="n">
        <v>0</v>
      </c>
      <c r="G308" s="16" t="n">
        <v>74.838024</v>
      </c>
    </row>
    <row r="309" customFormat="false" ht="15" hidden="false" customHeight="false" outlineLevel="0" collapsed="false">
      <c r="A309" s="7" t="n">
        <v>1999</v>
      </c>
      <c r="B309" s="12" t="s">
        <v>58</v>
      </c>
      <c r="C309" s="12" t="s">
        <v>59</v>
      </c>
      <c r="D309" s="12" t="s">
        <v>45</v>
      </c>
      <c r="E309" s="16" t="n">
        <v>28.084776</v>
      </c>
      <c r="F309" s="16" t="n">
        <v>0.546934</v>
      </c>
      <c r="G309" s="16" t="n">
        <v>17.474456</v>
      </c>
    </row>
    <row r="310" customFormat="false" ht="15" hidden="false" customHeight="false" outlineLevel="0" collapsed="false">
      <c r="A310" s="7" t="n">
        <v>1999</v>
      </c>
      <c r="B310" s="12" t="s">
        <v>60</v>
      </c>
      <c r="C310" s="12" t="s">
        <v>59</v>
      </c>
      <c r="D310" s="12" t="s">
        <v>49</v>
      </c>
      <c r="E310" s="16" t="n">
        <v>540.659453</v>
      </c>
      <c r="F310" s="16" t="n">
        <v>0</v>
      </c>
      <c r="G310" s="16" t="n">
        <v>49.215725</v>
      </c>
    </row>
    <row r="311" customFormat="false" ht="15" hidden="false" customHeight="false" outlineLevel="0" collapsed="false">
      <c r="A311" s="7" t="n">
        <v>1999</v>
      </c>
      <c r="B311" s="12" t="s">
        <v>60</v>
      </c>
      <c r="C311" s="12" t="s">
        <v>59</v>
      </c>
      <c r="D311" s="12" t="s">
        <v>48</v>
      </c>
      <c r="E311" s="16" t="n">
        <v>307.186825</v>
      </c>
      <c r="F311" s="16" t="n">
        <v>0</v>
      </c>
      <c r="G311" s="16" t="n">
        <v>0</v>
      </c>
    </row>
    <row r="312" customFormat="false" ht="15" hidden="false" customHeight="false" outlineLevel="0" collapsed="false">
      <c r="A312" s="7" t="n">
        <v>1999</v>
      </c>
      <c r="B312" s="12" t="s">
        <v>60</v>
      </c>
      <c r="C312" s="12" t="s">
        <v>59</v>
      </c>
      <c r="D312" s="12" t="s">
        <v>46</v>
      </c>
      <c r="E312" s="16" t="n">
        <v>319.095124</v>
      </c>
      <c r="F312" s="16" t="n">
        <v>0</v>
      </c>
      <c r="G312" s="16" t="n">
        <v>225.661205</v>
      </c>
    </row>
    <row r="313" customFormat="false" ht="15" hidden="false" customHeight="false" outlineLevel="0" collapsed="false">
      <c r="A313" s="7" t="n">
        <v>1999</v>
      </c>
      <c r="B313" s="12" t="s">
        <v>60</v>
      </c>
      <c r="C313" s="12" t="s">
        <v>59</v>
      </c>
      <c r="D313" s="12" t="s">
        <v>45</v>
      </c>
      <c r="E313" s="16" t="n">
        <v>69.043611</v>
      </c>
      <c r="F313" s="16" t="n">
        <v>4.864536</v>
      </c>
      <c r="G313" s="16" t="n">
        <v>64.178988</v>
      </c>
    </row>
    <row r="314" customFormat="false" ht="15" hidden="false" customHeight="false" outlineLevel="0" collapsed="false">
      <c r="A314" s="7" t="n">
        <v>1999</v>
      </c>
      <c r="B314" s="12" t="s">
        <v>61</v>
      </c>
      <c r="C314" s="12" t="s">
        <v>62</v>
      </c>
      <c r="D314" s="12" t="s">
        <v>49</v>
      </c>
      <c r="E314" s="16" t="n">
        <v>136.619706</v>
      </c>
      <c r="F314" s="16" t="n">
        <v>0</v>
      </c>
      <c r="G314" s="16" t="n">
        <v>24.486278</v>
      </c>
    </row>
    <row r="315" customFormat="false" ht="15" hidden="false" customHeight="false" outlineLevel="0" collapsed="false">
      <c r="A315" s="7" t="n">
        <v>1999</v>
      </c>
      <c r="B315" s="12" t="s">
        <v>61</v>
      </c>
      <c r="C315" s="12" t="s">
        <v>62</v>
      </c>
      <c r="D315" s="12" t="s">
        <v>48</v>
      </c>
      <c r="E315" s="16" t="n">
        <v>70.281386</v>
      </c>
      <c r="F315" s="16" t="n">
        <v>0</v>
      </c>
      <c r="G315" s="16" t="n">
        <v>0</v>
      </c>
    </row>
    <row r="316" customFormat="false" ht="15" hidden="false" customHeight="false" outlineLevel="0" collapsed="false">
      <c r="A316" s="7" t="n">
        <v>1999</v>
      </c>
      <c r="B316" s="12" t="s">
        <v>61</v>
      </c>
      <c r="C316" s="12" t="s">
        <v>62</v>
      </c>
      <c r="D316" s="12" t="s">
        <v>46</v>
      </c>
      <c r="E316" s="16" t="n">
        <v>98.954818</v>
      </c>
      <c r="F316" s="16" t="n">
        <v>0</v>
      </c>
      <c r="G316" s="16" t="n">
        <v>84.6081</v>
      </c>
    </row>
    <row r="317" customFormat="false" ht="15" hidden="false" customHeight="false" outlineLevel="0" collapsed="false">
      <c r="A317" s="7" t="n">
        <v>1999</v>
      </c>
      <c r="B317" s="12" t="s">
        <v>61</v>
      </c>
      <c r="C317" s="12" t="s">
        <v>62</v>
      </c>
      <c r="D317" s="12" t="s">
        <v>45</v>
      </c>
      <c r="E317" s="16" t="n">
        <v>21.927343</v>
      </c>
      <c r="F317" s="16" t="n">
        <v>6.337403</v>
      </c>
      <c r="G317" s="16" t="n">
        <v>19.1395</v>
      </c>
    </row>
    <row r="318" customFormat="false" ht="15" hidden="false" customHeight="false" outlineLevel="0" collapsed="false">
      <c r="A318" s="7" t="n">
        <v>1999</v>
      </c>
      <c r="B318" s="12" t="s">
        <v>63</v>
      </c>
      <c r="C318" s="12" t="s">
        <v>62</v>
      </c>
      <c r="D318" s="12" t="s">
        <v>49</v>
      </c>
      <c r="E318" s="16" t="n">
        <v>353.720203</v>
      </c>
      <c r="F318" s="16" t="n">
        <v>0</v>
      </c>
      <c r="G318" s="16" t="n">
        <v>85.983867</v>
      </c>
    </row>
    <row r="319" customFormat="false" ht="15" hidden="false" customHeight="false" outlineLevel="0" collapsed="false">
      <c r="A319" s="7" t="n">
        <v>1999</v>
      </c>
      <c r="B319" s="12" t="s">
        <v>63</v>
      </c>
      <c r="C319" s="12" t="s">
        <v>62</v>
      </c>
      <c r="D319" s="12" t="s">
        <v>48</v>
      </c>
      <c r="E319" s="16" t="n">
        <v>113.92442</v>
      </c>
      <c r="F319" s="16" t="n">
        <v>0</v>
      </c>
      <c r="G319" s="16" t="n">
        <v>0</v>
      </c>
    </row>
    <row r="320" customFormat="false" ht="15" hidden="false" customHeight="false" outlineLevel="0" collapsed="false">
      <c r="A320" s="7" t="n">
        <v>1999</v>
      </c>
      <c r="B320" s="12" t="s">
        <v>63</v>
      </c>
      <c r="C320" s="12" t="s">
        <v>62</v>
      </c>
      <c r="D320" s="12" t="s">
        <v>46</v>
      </c>
      <c r="E320" s="16" t="n">
        <v>201.854559</v>
      </c>
      <c r="F320" s="16" t="n">
        <v>0</v>
      </c>
      <c r="G320" s="16" t="n">
        <v>162.6362</v>
      </c>
    </row>
    <row r="321" customFormat="false" ht="15" hidden="false" customHeight="false" outlineLevel="0" collapsed="false">
      <c r="A321" s="7" t="n">
        <v>1999</v>
      </c>
      <c r="B321" s="12" t="s">
        <v>63</v>
      </c>
      <c r="C321" s="12" t="s">
        <v>62</v>
      </c>
      <c r="D321" s="12" t="s">
        <v>45</v>
      </c>
      <c r="E321" s="16" t="n">
        <v>20.596254</v>
      </c>
      <c r="F321" s="16" t="n">
        <v>0</v>
      </c>
      <c r="G321" s="16" t="n">
        <v>20.485</v>
      </c>
    </row>
    <row r="322" customFormat="false" ht="15" hidden="false" customHeight="false" outlineLevel="0" collapsed="false">
      <c r="A322" s="7" t="n">
        <v>1999</v>
      </c>
      <c r="B322" s="12" t="s">
        <v>64</v>
      </c>
      <c r="C322" s="12" t="s">
        <v>65</v>
      </c>
      <c r="D322" s="12" t="s">
        <v>49</v>
      </c>
      <c r="E322" s="16" t="n">
        <v>141.075567</v>
      </c>
      <c r="F322" s="16" t="n">
        <v>0</v>
      </c>
      <c r="G322" s="16" t="n">
        <v>8.279667</v>
      </c>
    </row>
    <row r="323" customFormat="false" ht="15" hidden="false" customHeight="false" outlineLevel="0" collapsed="false">
      <c r="A323" s="7" t="n">
        <v>1999</v>
      </c>
      <c r="B323" s="12" t="s">
        <v>64</v>
      </c>
      <c r="C323" s="12" t="s">
        <v>65</v>
      </c>
      <c r="D323" s="12" t="s">
        <v>48</v>
      </c>
      <c r="E323" s="16" t="n">
        <v>74.731015</v>
      </c>
      <c r="F323" s="16" t="n">
        <v>0</v>
      </c>
      <c r="G323" s="16" t="n">
        <v>0</v>
      </c>
    </row>
    <row r="324" customFormat="false" ht="15" hidden="false" customHeight="false" outlineLevel="0" collapsed="false">
      <c r="A324" s="7" t="n">
        <v>1999</v>
      </c>
      <c r="B324" s="12" t="s">
        <v>64</v>
      </c>
      <c r="C324" s="12" t="s">
        <v>65</v>
      </c>
      <c r="D324" s="12" t="s">
        <v>46</v>
      </c>
      <c r="E324" s="16" t="n">
        <v>35.189047</v>
      </c>
      <c r="F324" s="16" t="n">
        <v>0</v>
      </c>
      <c r="G324" s="16" t="n">
        <v>46.936638</v>
      </c>
    </row>
    <row r="325" customFormat="false" ht="15" hidden="false" customHeight="false" outlineLevel="0" collapsed="false">
      <c r="A325" s="7" t="n">
        <v>1999</v>
      </c>
      <c r="B325" s="12" t="s">
        <v>64</v>
      </c>
      <c r="C325" s="12" t="s">
        <v>65</v>
      </c>
      <c r="D325" s="12" t="s">
        <v>45</v>
      </c>
      <c r="E325" s="16" t="n">
        <v>30.121085</v>
      </c>
      <c r="F325" s="16" t="n">
        <v>15.983509</v>
      </c>
      <c r="G325" s="16" t="n">
        <v>12.378066</v>
      </c>
    </row>
    <row r="326" customFormat="false" ht="15" hidden="false" customHeight="false" outlineLevel="0" collapsed="false">
      <c r="A326" s="7" t="n">
        <v>1999</v>
      </c>
      <c r="B326" s="12" t="s">
        <v>66</v>
      </c>
      <c r="C326" s="12" t="s">
        <v>67</v>
      </c>
      <c r="D326" s="12" t="s">
        <v>49</v>
      </c>
      <c r="E326" s="16" t="n">
        <v>102.364787</v>
      </c>
      <c r="F326" s="16" t="n">
        <v>0</v>
      </c>
      <c r="G326" s="16" t="n">
        <v>3.296491</v>
      </c>
    </row>
    <row r="327" customFormat="false" ht="15" hidden="false" customHeight="false" outlineLevel="0" collapsed="false">
      <c r="A327" s="7" t="n">
        <v>1999</v>
      </c>
      <c r="B327" s="12" t="s">
        <v>66</v>
      </c>
      <c r="C327" s="12" t="s">
        <v>67</v>
      </c>
      <c r="D327" s="12" t="s">
        <v>48</v>
      </c>
      <c r="E327" s="16" t="n">
        <v>31.701658</v>
      </c>
      <c r="F327" s="16" t="n">
        <v>0</v>
      </c>
      <c r="G327" s="16" t="n">
        <v>0</v>
      </c>
    </row>
    <row r="328" customFormat="false" ht="15" hidden="false" customHeight="false" outlineLevel="0" collapsed="false">
      <c r="A328" s="7" t="n">
        <v>1999</v>
      </c>
      <c r="B328" s="12" t="s">
        <v>66</v>
      </c>
      <c r="C328" s="12" t="s">
        <v>67</v>
      </c>
      <c r="D328" s="12" t="s">
        <v>46</v>
      </c>
      <c r="E328" s="16" t="n">
        <v>41.50082</v>
      </c>
      <c r="F328" s="16" t="n">
        <v>0</v>
      </c>
      <c r="G328" s="16" t="n">
        <v>31.999055</v>
      </c>
    </row>
    <row r="329" customFormat="false" ht="15" hidden="false" customHeight="false" outlineLevel="0" collapsed="false">
      <c r="A329" s="7" t="n">
        <v>1999</v>
      </c>
      <c r="B329" s="12" t="s">
        <v>66</v>
      </c>
      <c r="C329" s="12" t="s">
        <v>67</v>
      </c>
      <c r="D329" s="12" t="s">
        <v>45</v>
      </c>
      <c r="E329" s="16" t="n">
        <v>-25.232771</v>
      </c>
      <c r="F329" s="16" t="n">
        <v>-42.661971</v>
      </c>
      <c r="G329" s="16" t="n">
        <v>17.149285</v>
      </c>
    </row>
    <row r="330" customFormat="false" ht="15" hidden="false" customHeight="false" outlineLevel="0" collapsed="false">
      <c r="A330" s="7" t="n">
        <v>1999</v>
      </c>
      <c r="B330" s="12" t="s">
        <v>68</v>
      </c>
      <c r="C330" s="12" t="s">
        <v>65</v>
      </c>
      <c r="D330" s="12" t="s">
        <v>49</v>
      </c>
      <c r="E330" s="16" t="n">
        <v>77.102216</v>
      </c>
      <c r="F330" s="16" t="n">
        <v>0</v>
      </c>
      <c r="G330" s="16" t="n">
        <v>12.670745</v>
      </c>
    </row>
    <row r="331" customFormat="false" ht="15" hidden="false" customHeight="false" outlineLevel="0" collapsed="false">
      <c r="A331" s="7" t="n">
        <v>1999</v>
      </c>
      <c r="B331" s="12" t="s">
        <v>68</v>
      </c>
      <c r="C331" s="12" t="s">
        <v>65</v>
      </c>
      <c r="D331" s="12" t="s">
        <v>48</v>
      </c>
      <c r="E331" s="16" t="n">
        <v>23.584958</v>
      </c>
      <c r="F331" s="16" t="n">
        <v>0</v>
      </c>
      <c r="G331" s="16" t="n">
        <v>0</v>
      </c>
    </row>
    <row r="332" customFormat="false" ht="15" hidden="false" customHeight="false" outlineLevel="0" collapsed="false">
      <c r="A332" s="7" t="n">
        <v>1999</v>
      </c>
      <c r="B332" s="12" t="s">
        <v>68</v>
      </c>
      <c r="C332" s="12" t="s">
        <v>65</v>
      </c>
      <c r="D332" s="12" t="s">
        <v>46</v>
      </c>
      <c r="E332" s="16" t="n">
        <v>29.877349</v>
      </c>
      <c r="F332" s="16" t="n">
        <v>0</v>
      </c>
      <c r="G332" s="16" t="n">
        <v>37.607474</v>
      </c>
    </row>
    <row r="333" customFormat="false" ht="15" hidden="false" customHeight="false" outlineLevel="0" collapsed="false">
      <c r="A333" s="7" t="n">
        <v>1999</v>
      </c>
      <c r="B333" s="12" t="s">
        <v>68</v>
      </c>
      <c r="C333" s="12" t="s">
        <v>65</v>
      </c>
      <c r="D333" s="12" t="s">
        <v>45</v>
      </c>
      <c r="E333" s="16" t="n">
        <v>6.636991</v>
      </c>
      <c r="F333" s="16" t="n">
        <v>0</v>
      </c>
      <c r="G333" s="16" t="n">
        <v>5.777369</v>
      </c>
    </row>
    <row r="334" customFormat="false" ht="15" hidden="false" customHeight="false" outlineLevel="0" collapsed="false">
      <c r="A334" s="7" t="n">
        <v>1999</v>
      </c>
      <c r="B334" s="12" t="s">
        <v>69</v>
      </c>
      <c r="C334" s="12" t="s">
        <v>70</v>
      </c>
      <c r="D334" s="12" t="s">
        <v>49</v>
      </c>
      <c r="E334" s="16" t="n">
        <v>71.434216</v>
      </c>
      <c r="F334" s="16" t="n">
        <v>0</v>
      </c>
      <c r="G334" s="16" t="n">
        <v>17.154877</v>
      </c>
    </row>
    <row r="335" customFormat="false" ht="15" hidden="false" customHeight="false" outlineLevel="0" collapsed="false">
      <c r="A335" s="7" t="n">
        <v>1999</v>
      </c>
      <c r="B335" s="12" t="s">
        <v>69</v>
      </c>
      <c r="C335" s="12" t="s">
        <v>70</v>
      </c>
      <c r="D335" s="12" t="s">
        <v>48</v>
      </c>
      <c r="E335" s="16" t="n">
        <v>50.323818</v>
      </c>
      <c r="F335" s="16" t="n">
        <v>0</v>
      </c>
      <c r="G335" s="16" t="n">
        <v>0</v>
      </c>
    </row>
    <row r="336" customFormat="false" ht="15" hidden="false" customHeight="false" outlineLevel="0" collapsed="false">
      <c r="A336" s="7" t="n">
        <v>1999</v>
      </c>
      <c r="B336" s="12" t="s">
        <v>69</v>
      </c>
      <c r="C336" s="12" t="s">
        <v>70</v>
      </c>
      <c r="D336" s="12" t="s">
        <v>46</v>
      </c>
      <c r="E336" s="16" t="n">
        <v>31.546398</v>
      </c>
      <c r="F336" s="16" t="n">
        <v>0</v>
      </c>
      <c r="G336" s="16" t="n">
        <v>34.597</v>
      </c>
    </row>
    <row r="337" customFormat="false" ht="15" hidden="false" customHeight="false" outlineLevel="0" collapsed="false">
      <c r="A337" s="7" t="n">
        <v>1999</v>
      </c>
      <c r="B337" s="12" t="s">
        <v>69</v>
      </c>
      <c r="C337" s="12" t="s">
        <v>70</v>
      </c>
      <c r="D337" s="12" t="s">
        <v>45</v>
      </c>
      <c r="E337" s="16" t="n">
        <v>16.734881</v>
      </c>
      <c r="F337" s="16" t="n">
        <v>4.718568</v>
      </c>
      <c r="G337" s="16" t="n">
        <v>13.678</v>
      </c>
    </row>
    <row r="338" customFormat="false" ht="15" hidden="false" customHeight="false" outlineLevel="0" collapsed="false">
      <c r="A338" s="7" t="n">
        <v>1999</v>
      </c>
      <c r="B338" s="12" t="s">
        <v>71</v>
      </c>
      <c r="C338" s="12" t="s">
        <v>72</v>
      </c>
      <c r="D338" s="12" t="s">
        <v>49</v>
      </c>
      <c r="E338" s="16" t="n">
        <v>16.361529</v>
      </c>
      <c r="F338" s="16" t="n">
        <v>0</v>
      </c>
      <c r="G338" s="16" t="n">
        <v>3.256815</v>
      </c>
    </row>
    <row r="339" customFormat="false" ht="15" hidden="false" customHeight="false" outlineLevel="0" collapsed="false">
      <c r="A339" s="7" t="n">
        <v>1999</v>
      </c>
      <c r="B339" s="12" t="s">
        <v>71</v>
      </c>
      <c r="C339" s="12" t="s">
        <v>72</v>
      </c>
      <c r="D339" s="12" t="s">
        <v>48</v>
      </c>
      <c r="E339" s="16" t="n">
        <v>9.702565</v>
      </c>
      <c r="F339" s="16" t="n">
        <v>0</v>
      </c>
      <c r="G339" s="16" t="n">
        <v>0</v>
      </c>
    </row>
    <row r="340" customFormat="false" ht="15" hidden="false" customHeight="false" outlineLevel="0" collapsed="false">
      <c r="A340" s="7" t="n">
        <v>1999</v>
      </c>
      <c r="B340" s="12" t="s">
        <v>71</v>
      </c>
      <c r="C340" s="12" t="s">
        <v>72</v>
      </c>
      <c r="D340" s="12" t="s">
        <v>46</v>
      </c>
      <c r="E340" s="16" t="n">
        <v>7.617476</v>
      </c>
      <c r="F340" s="16" t="n">
        <v>0</v>
      </c>
      <c r="G340" s="16" t="n">
        <v>5.236276</v>
      </c>
    </row>
    <row r="341" customFormat="false" ht="15" hidden="false" customHeight="false" outlineLevel="0" collapsed="false">
      <c r="A341" s="7" t="n">
        <v>1999</v>
      </c>
      <c r="B341" s="12" t="s">
        <v>71</v>
      </c>
      <c r="C341" s="12" t="s">
        <v>72</v>
      </c>
      <c r="D341" s="12" t="s">
        <v>45</v>
      </c>
      <c r="E341" s="16" t="n">
        <v>3.35366</v>
      </c>
      <c r="F341" s="16" t="n">
        <v>1.475204</v>
      </c>
      <c r="G341" s="16" t="n">
        <v>2.674841</v>
      </c>
    </row>
    <row r="342" customFormat="false" ht="15" hidden="false" customHeight="false" outlineLevel="0" collapsed="false">
      <c r="A342" s="7" t="n">
        <v>1999</v>
      </c>
      <c r="B342" s="12" t="s">
        <v>73</v>
      </c>
      <c r="C342" s="12" t="s">
        <v>70</v>
      </c>
      <c r="D342" s="12" t="s">
        <v>49</v>
      </c>
      <c r="E342" s="16" t="n">
        <v>101.567069</v>
      </c>
      <c r="F342" s="16" t="n">
        <v>0</v>
      </c>
      <c r="G342" s="16" t="n">
        <v>25.267452</v>
      </c>
    </row>
    <row r="343" customFormat="false" ht="15" hidden="false" customHeight="false" outlineLevel="0" collapsed="false">
      <c r="A343" s="7" t="n">
        <v>1999</v>
      </c>
      <c r="B343" s="12" t="s">
        <v>73</v>
      </c>
      <c r="C343" s="12" t="s">
        <v>70</v>
      </c>
      <c r="D343" s="12" t="s">
        <v>48</v>
      </c>
      <c r="E343" s="16" t="n">
        <v>66.308869</v>
      </c>
      <c r="F343" s="16" t="n">
        <v>0</v>
      </c>
      <c r="G343" s="16" t="n">
        <v>0</v>
      </c>
    </row>
    <row r="344" customFormat="false" ht="15" hidden="false" customHeight="false" outlineLevel="0" collapsed="false">
      <c r="A344" s="7" t="n">
        <v>1999</v>
      </c>
      <c r="B344" s="12" t="s">
        <v>73</v>
      </c>
      <c r="C344" s="12" t="s">
        <v>70</v>
      </c>
      <c r="D344" s="12" t="s">
        <v>46</v>
      </c>
      <c r="E344" s="16" t="n">
        <v>53.182165</v>
      </c>
      <c r="F344" s="16" t="n">
        <v>0</v>
      </c>
      <c r="G344" s="16" t="n">
        <v>39.98176</v>
      </c>
    </row>
    <row r="345" customFormat="false" ht="15" hidden="false" customHeight="false" outlineLevel="0" collapsed="false">
      <c r="A345" s="7" t="n">
        <v>1999</v>
      </c>
      <c r="B345" s="12" t="s">
        <v>73</v>
      </c>
      <c r="C345" s="12" t="s">
        <v>70</v>
      </c>
      <c r="D345" s="12" t="s">
        <v>45</v>
      </c>
      <c r="E345" s="16" t="n">
        <v>13.071726</v>
      </c>
      <c r="F345" s="16" t="n">
        <v>0.916808</v>
      </c>
      <c r="G345" s="16" t="n">
        <v>13.545118</v>
      </c>
    </row>
    <row r="346" customFormat="false" ht="15" hidden="false" customHeight="false" outlineLevel="0" collapsed="false">
      <c r="A346" s="7" t="n">
        <v>1999</v>
      </c>
      <c r="B346" s="12" t="s">
        <v>74</v>
      </c>
      <c r="C346" s="12" t="s">
        <v>65</v>
      </c>
      <c r="D346" s="12" t="s">
        <v>49</v>
      </c>
      <c r="E346" s="16" t="n">
        <v>85.224231</v>
      </c>
      <c r="F346" s="16" t="n">
        <v>0</v>
      </c>
      <c r="G346" s="16" t="n">
        <v>6.607469</v>
      </c>
    </row>
    <row r="347" customFormat="false" ht="15" hidden="false" customHeight="false" outlineLevel="0" collapsed="false">
      <c r="A347" s="7" t="n">
        <v>1999</v>
      </c>
      <c r="B347" s="12" t="s">
        <v>74</v>
      </c>
      <c r="C347" s="12" t="s">
        <v>65</v>
      </c>
      <c r="D347" s="12" t="s">
        <v>48</v>
      </c>
      <c r="E347" s="16" t="n">
        <v>19.098345</v>
      </c>
      <c r="F347" s="16" t="n">
        <v>0</v>
      </c>
      <c r="G347" s="16" t="n">
        <v>0</v>
      </c>
    </row>
    <row r="348" customFormat="false" ht="15" hidden="false" customHeight="false" outlineLevel="0" collapsed="false">
      <c r="A348" s="7" t="n">
        <v>1999</v>
      </c>
      <c r="B348" s="12" t="s">
        <v>74</v>
      </c>
      <c r="C348" s="12" t="s">
        <v>65</v>
      </c>
      <c r="D348" s="12" t="s">
        <v>46</v>
      </c>
      <c r="E348" s="16" t="n">
        <v>22.11042</v>
      </c>
      <c r="F348" s="16" t="n">
        <v>0</v>
      </c>
      <c r="G348" s="16" t="n">
        <v>38.591932</v>
      </c>
    </row>
    <row r="349" customFormat="false" ht="15" hidden="false" customHeight="false" outlineLevel="0" collapsed="false">
      <c r="A349" s="7" t="n">
        <v>1999</v>
      </c>
      <c r="B349" s="12" t="s">
        <v>74</v>
      </c>
      <c r="C349" s="12" t="s">
        <v>65</v>
      </c>
      <c r="D349" s="12" t="s">
        <v>45</v>
      </c>
      <c r="E349" s="16" t="n">
        <v>8.74019</v>
      </c>
      <c r="F349" s="16" t="n">
        <v>0.181484</v>
      </c>
      <c r="G349" s="16" t="n">
        <v>17.720761</v>
      </c>
    </row>
    <row r="350" customFormat="false" ht="15" hidden="false" customHeight="false" outlineLevel="0" collapsed="false">
      <c r="A350" s="7" t="n">
        <v>1999</v>
      </c>
      <c r="B350" s="12" t="s">
        <v>75</v>
      </c>
      <c r="C350" s="12" t="s">
        <v>57</v>
      </c>
      <c r="D350" s="12" t="s">
        <v>49</v>
      </c>
      <c r="E350" s="16" t="n">
        <v>99.086442</v>
      </c>
      <c r="F350" s="16" t="n">
        <v>0</v>
      </c>
      <c r="G350" s="16" t="n">
        <v>33.353409</v>
      </c>
    </row>
    <row r="351" customFormat="false" ht="15" hidden="false" customHeight="false" outlineLevel="0" collapsed="false">
      <c r="A351" s="7" t="n">
        <v>1999</v>
      </c>
      <c r="B351" s="12" t="s">
        <v>75</v>
      </c>
      <c r="C351" s="12" t="s">
        <v>57</v>
      </c>
      <c r="D351" s="12" t="s">
        <v>48</v>
      </c>
      <c r="E351" s="16" t="n">
        <v>120.760854</v>
      </c>
      <c r="F351" s="16" t="n">
        <v>0</v>
      </c>
      <c r="G351" s="16" t="n">
        <v>0</v>
      </c>
    </row>
    <row r="352" customFormat="false" ht="15" hidden="false" customHeight="false" outlineLevel="0" collapsed="false">
      <c r="A352" s="7" t="n">
        <v>1999</v>
      </c>
      <c r="B352" s="12" t="s">
        <v>75</v>
      </c>
      <c r="C352" s="12" t="s">
        <v>57</v>
      </c>
      <c r="D352" s="12" t="s">
        <v>46</v>
      </c>
      <c r="E352" s="16" t="n">
        <v>100.092273</v>
      </c>
      <c r="F352" s="16" t="n">
        <v>0</v>
      </c>
      <c r="G352" s="16" t="n">
        <v>57.765688</v>
      </c>
    </row>
    <row r="353" customFormat="false" ht="15" hidden="false" customHeight="false" outlineLevel="0" collapsed="false">
      <c r="A353" s="7" t="n">
        <v>1999</v>
      </c>
      <c r="B353" s="12" t="s">
        <v>75</v>
      </c>
      <c r="C353" s="12" t="s">
        <v>57</v>
      </c>
      <c r="D353" s="12" t="s">
        <v>45</v>
      </c>
      <c r="E353" s="16" t="n">
        <v>60.655008</v>
      </c>
      <c r="F353" s="16" t="n">
        <v>10.525046</v>
      </c>
      <c r="G353" s="16" t="n">
        <v>20.453453</v>
      </c>
    </row>
    <row r="354" customFormat="false" ht="15" hidden="false" customHeight="false" outlineLevel="0" collapsed="false">
      <c r="A354" s="7" t="n">
        <v>1999</v>
      </c>
      <c r="B354" s="12" t="s">
        <v>76</v>
      </c>
      <c r="C354" s="12" t="s">
        <v>72</v>
      </c>
      <c r="D354" s="12" t="s">
        <v>49</v>
      </c>
      <c r="E354" s="16" t="n">
        <v>15.133007</v>
      </c>
      <c r="F354" s="16" t="n">
        <v>0</v>
      </c>
      <c r="G354" s="16" t="n">
        <v>7.770785</v>
      </c>
    </row>
    <row r="355" customFormat="false" ht="15" hidden="false" customHeight="false" outlineLevel="0" collapsed="false">
      <c r="A355" s="7" t="n">
        <v>1999</v>
      </c>
      <c r="B355" s="12" t="s">
        <v>76</v>
      </c>
      <c r="C355" s="12" t="s">
        <v>72</v>
      </c>
      <c r="D355" s="12" t="s">
        <v>48</v>
      </c>
      <c r="E355" s="16" t="n">
        <v>14.105867</v>
      </c>
      <c r="F355" s="16" t="n">
        <v>0</v>
      </c>
      <c r="G355" s="16" t="n">
        <v>0</v>
      </c>
    </row>
    <row r="356" customFormat="false" ht="15" hidden="false" customHeight="false" outlineLevel="0" collapsed="false">
      <c r="A356" s="7" t="n">
        <v>1999</v>
      </c>
      <c r="B356" s="12" t="s">
        <v>76</v>
      </c>
      <c r="C356" s="12" t="s">
        <v>72</v>
      </c>
      <c r="D356" s="12" t="s">
        <v>46</v>
      </c>
      <c r="E356" s="16" t="n">
        <v>20.733127</v>
      </c>
      <c r="F356" s="16" t="n">
        <v>0</v>
      </c>
      <c r="G356" s="16" t="n">
        <v>13.046368</v>
      </c>
    </row>
    <row r="357" customFormat="false" ht="15" hidden="false" customHeight="false" outlineLevel="0" collapsed="false">
      <c r="A357" s="7" t="n">
        <v>1999</v>
      </c>
      <c r="B357" s="12" t="s">
        <v>76</v>
      </c>
      <c r="C357" s="12" t="s">
        <v>72</v>
      </c>
      <c r="D357" s="12" t="s">
        <v>45</v>
      </c>
      <c r="E357" s="16" t="n">
        <v>22.942152</v>
      </c>
      <c r="F357" s="16" t="n">
        <v>0</v>
      </c>
      <c r="G357" s="16" t="n">
        <v>6.229352</v>
      </c>
    </row>
    <row r="358" customFormat="false" ht="15" hidden="false" customHeight="false" outlineLevel="0" collapsed="false">
      <c r="A358" s="7" t="n">
        <v>1999</v>
      </c>
      <c r="B358" s="12" t="s">
        <v>77</v>
      </c>
      <c r="C358" s="12" t="s">
        <v>57</v>
      </c>
      <c r="D358" s="12" t="s">
        <v>49</v>
      </c>
      <c r="E358" s="16" t="n">
        <v>23.863145</v>
      </c>
      <c r="F358" s="16" t="n">
        <v>0</v>
      </c>
      <c r="G358" s="16" t="n">
        <v>3.547521</v>
      </c>
    </row>
    <row r="359" customFormat="false" ht="15" hidden="false" customHeight="false" outlineLevel="0" collapsed="false">
      <c r="A359" s="7" t="n">
        <v>1999</v>
      </c>
      <c r="B359" s="12" t="s">
        <v>77</v>
      </c>
      <c r="C359" s="12" t="s">
        <v>57</v>
      </c>
      <c r="D359" s="12" t="s">
        <v>48</v>
      </c>
      <c r="E359" s="16" t="n">
        <v>15.54585</v>
      </c>
      <c r="F359" s="16" t="n">
        <v>0</v>
      </c>
      <c r="G359" s="16" t="n">
        <v>0</v>
      </c>
    </row>
    <row r="360" customFormat="false" ht="15" hidden="false" customHeight="false" outlineLevel="0" collapsed="false">
      <c r="A360" s="7" t="n">
        <v>1999</v>
      </c>
      <c r="B360" s="12" t="s">
        <v>77</v>
      </c>
      <c r="C360" s="12" t="s">
        <v>57</v>
      </c>
      <c r="D360" s="12" t="s">
        <v>46</v>
      </c>
      <c r="E360" s="16" t="n">
        <v>10.948228</v>
      </c>
      <c r="F360" s="16" t="n">
        <v>0</v>
      </c>
      <c r="G360" s="16" t="n">
        <v>6.847023</v>
      </c>
    </row>
    <row r="361" customFormat="false" ht="15" hidden="false" customHeight="false" outlineLevel="0" collapsed="false">
      <c r="A361" s="7" t="n">
        <v>1999</v>
      </c>
      <c r="B361" s="12" t="s">
        <v>77</v>
      </c>
      <c r="C361" s="12" t="s">
        <v>57</v>
      </c>
      <c r="D361" s="12" t="s">
        <v>45</v>
      </c>
      <c r="E361" s="16" t="n">
        <v>4.400481</v>
      </c>
      <c r="F361" s="16" t="n">
        <v>0</v>
      </c>
      <c r="G361" s="16" t="n">
        <v>2.925917</v>
      </c>
    </row>
    <row r="362" customFormat="false" ht="15" hidden="false" customHeight="false" outlineLevel="0" collapsed="false">
      <c r="A362" s="7" t="n">
        <v>1999</v>
      </c>
      <c r="B362" s="12" t="s">
        <v>78</v>
      </c>
      <c r="C362" s="12" t="s">
        <v>65</v>
      </c>
      <c r="D362" s="12" t="s">
        <v>49</v>
      </c>
      <c r="E362" s="16" t="n">
        <v>24.531482</v>
      </c>
      <c r="F362" s="16" t="n">
        <v>0</v>
      </c>
      <c r="G362" s="16" t="n">
        <v>3.982031</v>
      </c>
    </row>
    <row r="363" customFormat="false" ht="15" hidden="false" customHeight="false" outlineLevel="0" collapsed="false">
      <c r="A363" s="7" t="n">
        <v>1999</v>
      </c>
      <c r="B363" s="12" t="s">
        <v>78</v>
      </c>
      <c r="C363" s="12" t="s">
        <v>65</v>
      </c>
      <c r="D363" s="12" t="s">
        <v>48</v>
      </c>
      <c r="E363" s="16" t="n">
        <v>5.090618</v>
      </c>
      <c r="F363" s="16" t="n">
        <v>0</v>
      </c>
      <c r="G363" s="16" t="n">
        <v>0</v>
      </c>
    </row>
    <row r="364" customFormat="false" ht="15" hidden="false" customHeight="false" outlineLevel="0" collapsed="false">
      <c r="A364" s="7" t="n">
        <v>1999</v>
      </c>
      <c r="B364" s="12" t="s">
        <v>78</v>
      </c>
      <c r="C364" s="12" t="s">
        <v>65</v>
      </c>
      <c r="D364" s="12" t="s">
        <v>46</v>
      </c>
      <c r="E364" s="16" t="n">
        <v>7.190466</v>
      </c>
      <c r="F364" s="16" t="n">
        <v>0</v>
      </c>
      <c r="G364" s="16" t="n">
        <v>7.71096</v>
      </c>
    </row>
    <row r="365" customFormat="false" ht="15" hidden="false" customHeight="false" outlineLevel="0" collapsed="false">
      <c r="A365" s="7" t="n">
        <v>1999</v>
      </c>
      <c r="B365" s="12" t="s">
        <v>78</v>
      </c>
      <c r="C365" s="12" t="s">
        <v>65</v>
      </c>
      <c r="D365" s="12" t="s">
        <v>45</v>
      </c>
      <c r="E365" s="16" t="n">
        <v>1.599261</v>
      </c>
      <c r="F365" s="16" t="n">
        <v>0.139999</v>
      </c>
      <c r="G365" s="16" t="n">
        <v>3.12156</v>
      </c>
    </row>
    <row r="366" customFormat="false" ht="15" hidden="false" customHeight="false" outlineLevel="0" collapsed="false">
      <c r="A366" s="7" t="n">
        <v>1999</v>
      </c>
      <c r="B366" s="12" t="s">
        <v>79</v>
      </c>
      <c r="C366" s="12" t="s">
        <v>72</v>
      </c>
      <c r="D366" s="12" t="s">
        <v>49</v>
      </c>
      <c r="E366" s="16" t="n">
        <v>151.402426</v>
      </c>
      <c r="F366" s="16" t="n">
        <v>0</v>
      </c>
      <c r="G366" s="16" t="n">
        <v>47.741667</v>
      </c>
    </row>
    <row r="367" customFormat="false" ht="15" hidden="false" customHeight="false" outlineLevel="0" collapsed="false">
      <c r="A367" s="7" t="n">
        <v>1999</v>
      </c>
      <c r="B367" s="12" t="s">
        <v>79</v>
      </c>
      <c r="C367" s="12" t="s">
        <v>72</v>
      </c>
      <c r="D367" s="12" t="s">
        <v>48</v>
      </c>
      <c r="E367" s="16" t="n">
        <v>83.283196</v>
      </c>
      <c r="F367" s="16" t="n">
        <v>0</v>
      </c>
      <c r="G367" s="16" t="n">
        <v>0</v>
      </c>
    </row>
    <row r="368" customFormat="false" ht="15" hidden="false" customHeight="false" outlineLevel="0" collapsed="false">
      <c r="A368" s="7" t="n">
        <v>1999</v>
      </c>
      <c r="B368" s="12" t="s">
        <v>79</v>
      </c>
      <c r="C368" s="12" t="s">
        <v>72</v>
      </c>
      <c r="D368" s="12" t="s">
        <v>46</v>
      </c>
      <c r="E368" s="16" t="n">
        <v>62.594778</v>
      </c>
      <c r="F368" s="16" t="n">
        <v>0</v>
      </c>
      <c r="G368" s="16" t="n">
        <v>45.448013</v>
      </c>
    </row>
    <row r="369" customFormat="false" ht="15" hidden="false" customHeight="false" outlineLevel="0" collapsed="false">
      <c r="A369" s="7" t="n">
        <v>1999</v>
      </c>
      <c r="B369" s="12" t="s">
        <v>79</v>
      </c>
      <c r="C369" s="12" t="s">
        <v>72</v>
      </c>
      <c r="D369" s="12" t="s">
        <v>45</v>
      </c>
      <c r="E369" s="16" t="n">
        <v>18.736925</v>
      </c>
      <c r="F369" s="16" t="n">
        <v>8.454622</v>
      </c>
      <c r="G369" s="16" t="n">
        <v>9.885027</v>
      </c>
    </row>
    <row r="370" customFormat="false" ht="15" hidden="false" customHeight="false" outlineLevel="0" collapsed="false">
      <c r="A370" s="7" t="n">
        <v>1999</v>
      </c>
      <c r="B370" s="12" t="s">
        <v>80</v>
      </c>
      <c r="C370" s="12" t="s">
        <v>72</v>
      </c>
      <c r="D370" s="12" t="s">
        <v>49</v>
      </c>
      <c r="E370" s="16" t="n">
        <v>37.477619</v>
      </c>
      <c r="F370" s="16" t="n">
        <v>0</v>
      </c>
      <c r="G370" s="16" t="n">
        <v>28.563159</v>
      </c>
    </row>
    <row r="371" customFormat="false" ht="15" hidden="false" customHeight="false" outlineLevel="0" collapsed="false">
      <c r="A371" s="7" t="n">
        <v>1999</v>
      </c>
      <c r="B371" s="12" t="s">
        <v>80</v>
      </c>
      <c r="C371" s="12" t="s">
        <v>72</v>
      </c>
      <c r="D371" s="12" t="s">
        <v>48</v>
      </c>
      <c r="E371" s="16" t="n">
        <v>23.406011</v>
      </c>
      <c r="F371" s="16" t="n">
        <v>0</v>
      </c>
      <c r="G371" s="16" t="n">
        <v>0</v>
      </c>
    </row>
    <row r="372" customFormat="false" ht="15" hidden="false" customHeight="false" outlineLevel="0" collapsed="false">
      <c r="A372" s="7" t="n">
        <v>1999</v>
      </c>
      <c r="B372" s="12" t="s">
        <v>80</v>
      </c>
      <c r="C372" s="12" t="s">
        <v>72</v>
      </c>
      <c r="D372" s="12" t="s">
        <v>46</v>
      </c>
      <c r="E372" s="16" t="n">
        <v>18.471168</v>
      </c>
      <c r="F372" s="16" t="n">
        <v>0</v>
      </c>
      <c r="G372" s="16" t="n">
        <v>25.590961</v>
      </c>
    </row>
    <row r="373" customFormat="false" ht="15" hidden="false" customHeight="false" outlineLevel="0" collapsed="false">
      <c r="A373" s="7" t="n">
        <v>1999</v>
      </c>
      <c r="B373" s="12" t="s">
        <v>80</v>
      </c>
      <c r="C373" s="12" t="s">
        <v>72</v>
      </c>
      <c r="D373" s="12" t="s">
        <v>45</v>
      </c>
      <c r="E373" s="16" t="n">
        <v>16.650838</v>
      </c>
      <c r="F373" s="16" t="n">
        <v>10.346824</v>
      </c>
      <c r="G373" s="16" t="n">
        <v>7.105514</v>
      </c>
    </row>
    <row r="374" customFormat="false" ht="15" hidden="false" customHeight="false" outlineLevel="0" collapsed="false">
      <c r="A374" s="7" t="n">
        <v>1999</v>
      </c>
      <c r="B374" s="12" t="s">
        <v>81</v>
      </c>
      <c r="C374" s="12" t="s">
        <v>72</v>
      </c>
      <c r="D374" s="12" t="s">
        <v>49</v>
      </c>
      <c r="E374" s="16" t="n">
        <v>33.480967</v>
      </c>
      <c r="F374" s="16" t="n">
        <v>0</v>
      </c>
      <c r="G374" s="16" t="n">
        <v>6.388826</v>
      </c>
    </row>
    <row r="375" customFormat="false" ht="15" hidden="false" customHeight="false" outlineLevel="0" collapsed="false">
      <c r="A375" s="7" t="n">
        <v>1999</v>
      </c>
      <c r="B375" s="12" t="s">
        <v>81</v>
      </c>
      <c r="C375" s="12" t="s">
        <v>72</v>
      </c>
      <c r="D375" s="12" t="s">
        <v>48</v>
      </c>
      <c r="E375" s="16" t="n">
        <v>28.159714</v>
      </c>
      <c r="F375" s="16" t="n">
        <v>0</v>
      </c>
      <c r="G375" s="16" t="n">
        <v>0</v>
      </c>
    </row>
    <row r="376" customFormat="false" ht="15" hidden="false" customHeight="false" outlineLevel="0" collapsed="false">
      <c r="A376" s="7" t="n">
        <v>1999</v>
      </c>
      <c r="B376" s="12" t="s">
        <v>81</v>
      </c>
      <c r="C376" s="12" t="s">
        <v>72</v>
      </c>
      <c r="D376" s="12" t="s">
        <v>46</v>
      </c>
      <c r="E376" s="16" t="n">
        <v>35.56773</v>
      </c>
      <c r="F376" s="16" t="n">
        <v>0</v>
      </c>
      <c r="G376" s="16" t="n">
        <v>14.860963</v>
      </c>
    </row>
    <row r="377" customFormat="false" ht="15" hidden="false" customHeight="false" outlineLevel="0" collapsed="false">
      <c r="A377" s="7" t="n">
        <v>1999</v>
      </c>
      <c r="B377" s="12" t="s">
        <v>81</v>
      </c>
      <c r="C377" s="12" t="s">
        <v>72</v>
      </c>
      <c r="D377" s="12" t="s">
        <v>45</v>
      </c>
      <c r="E377" s="16" t="n">
        <v>8.831027</v>
      </c>
      <c r="F377" s="16" t="n">
        <v>0.918325</v>
      </c>
      <c r="G377" s="16" t="n">
        <v>3.832455</v>
      </c>
    </row>
    <row r="378" customFormat="false" ht="15" hidden="false" customHeight="false" outlineLevel="0" collapsed="false">
      <c r="A378" s="7" t="n">
        <v>2000</v>
      </c>
      <c r="B378" s="12" t="s">
        <v>56</v>
      </c>
      <c r="C378" s="12" t="s">
        <v>57</v>
      </c>
      <c r="D378" s="12" t="s">
        <v>49</v>
      </c>
      <c r="E378" s="16" t="n">
        <v>37.714197</v>
      </c>
      <c r="F378" s="16" t="n">
        <v>0</v>
      </c>
      <c r="G378" s="16" t="n">
        <v>6.440544</v>
      </c>
    </row>
    <row r="379" customFormat="false" ht="15" hidden="false" customHeight="false" outlineLevel="0" collapsed="false">
      <c r="A379" s="7" t="n">
        <v>2000</v>
      </c>
      <c r="B379" s="12" t="s">
        <v>56</v>
      </c>
      <c r="C379" s="12" t="s">
        <v>57</v>
      </c>
      <c r="D379" s="12" t="s">
        <v>48</v>
      </c>
      <c r="E379" s="16" t="n">
        <v>26.915636</v>
      </c>
      <c r="F379" s="16" t="n">
        <v>0</v>
      </c>
      <c r="G379" s="16" t="n">
        <v>0</v>
      </c>
    </row>
    <row r="380" customFormat="false" ht="15" hidden="false" customHeight="false" outlineLevel="0" collapsed="false">
      <c r="A380" s="7" t="n">
        <v>2000</v>
      </c>
      <c r="B380" s="12" t="s">
        <v>56</v>
      </c>
      <c r="C380" s="12" t="s">
        <v>57</v>
      </c>
      <c r="D380" s="12" t="s">
        <v>46</v>
      </c>
      <c r="E380" s="16" t="n">
        <v>12.484589</v>
      </c>
      <c r="F380" s="16" t="n">
        <v>0</v>
      </c>
      <c r="G380" s="16" t="n">
        <v>10.071165</v>
      </c>
    </row>
    <row r="381" customFormat="false" ht="15" hidden="false" customHeight="false" outlineLevel="0" collapsed="false">
      <c r="A381" s="7" t="n">
        <v>2000</v>
      </c>
      <c r="B381" s="12" t="s">
        <v>56</v>
      </c>
      <c r="C381" s="12" t="s">
        <v>57</v>
      </c>
      <c r="D381" s="12" t="s">
        <v>45</v>
      </c>
      <c r="E381" s="16" t="n">
        <v>6.2902</v>
      </c>
      <c r="F381" s="16" t="n">
        <v>0</v>
      </c>
      <c r="G381" s="16" t="n">
        <v>4.333177</v>
      </c>
    </row>
    <row r="382" customFormat="false" ht="15" hidden="false" customHeight="false" outlineLevel="0" collapsed="false">
      <c r="A382" s="7" t="n">
        <v>2000</v>
      </c>
      <c r="B382" s="12" t="s">
        <v>58</v>
      </c>
      <c r="C382" s="12" t="s">
        <v>59</v>
      </c>
      <c r="D382" s="12" t="s">
        <v>49</v>
      </c>
      <c r="E382" s="16" t="n">
        <v>147.125834</v>
      </c>
      <c r="F382" s="16" t="n">
        <v>0</v>
      </c>
      <c r="G382" s="16" t="n">
        <v>22.374726</v>
      </c>
    </row>
    <row r="383" customFormat="false" ht="15" hidden="false" customHeight="false" outlineLevel="0" collapsed="false">
      <c r="A383" s="7" t="n">
        <v>2000</v>
      </c>
      <c r="B383" s="12" t="s">
        <v>58</v>
      </c>
      <c r="C383" s="12" t="s">
        <v>59</v>
      </c>
      <c r="D383" s="12" t="s">
        <v>48</v>
      </c>
      <c r="E383" s="16" t="n">
        <v>50.684856</v>
      </c>
      <c r="F383" s="16" t="n">
        <v>0</v>
      </c>
      <c r="G383" s="16" t="n">
        <v>0</v>
      </c>
    </row>
    <row r="384" customFormat="false" ht="15" hidden="false" customHeight="false" outlineLevel="0" collapsed="false">
      <c r="A384" s="7" t="n">
        <v>2000</v>
      </c>
      <c r="B384" s="12" t="s">
        <v>58</v>
      </c>
      <c r="C384" s="12" t="s">
        <v>59</v>
      </c>
      <c r="D384" s="12" t="s">
        <v>46</v>
      </c>
      <c r="E384" s="16" t="n">
        <v>100.06141</v>
      </c>
      <c r="F384" s="16" t="n">
        <v>0</v>
      </c>
      <c r="G384" s="16" t="n">
        <v>84.341788</v>
      </c>
    </row>
    <row r="385" customFormat="false" ht="15" hidden="false" customHeight="false" outlineLevel="0" collapsed="false">
      <c r="A385" s="7" t="n">
        <v>2000</v>
      </c>
      <c r="B385" s="12" t="s">
        <v>58</v>
      </c>
      <c r="C385" s="12" t="s">
        <v>59</v>
      </c>
      <c r="D385" s="12" t="s">
        <v>45</v>
      </c>
      <c r="E385" s="16" t="n">
        <v>36.738469</v>
      </c>
      <c r="F385" s="16" t="n">
        <v>0.263388</v>
      </c>
      <c r="G385" s="16" t="n">
        <v>11.655777</v>
      </c>
    </row>
    <row r="386" customFormat="false" ht="15" hidden="false" customHeight="false" outlineLevel="0" collapsed="false">
      <c r="A386" s="7" t="n">
        <v>2000</v>
      </c>
      <c r="B386" s="12" t="s">
        <v>60</v>
      </c>
      <c r="C386" s="12" t="s">
        <v>59</v>
      </c>
      <c r="D386" s="12" t="s">
        <v>49</v>
      </c>
      <c r="E386" s="16" t="n">
        <v>465.853993</v>
      </c>
      <c r="F386" s="16" t="n">
        <v>0</v>
      </c>
      <c r="G386" s="16" t="n">
        <v>61.861061</v>
      </c>
    </row>
    <row r="387" customFormat="false" ht="15" hidden="false" customHeight="false" outlineLevel="0" collapsed="false">
      <c r="A387" s="7" t="n">
        <v>2000</v>
      </c>
      <c r="B387" s="12" t="s">
        <v>60</v>
      </c>
      <c r="C387" s="12" t="s">
        <v>59</v>
      </c>
      <c r="D387" s="12" t="s">
        <v>48</v>
      </c>
      <c r="E387" s="16" t="n">
        <v>243.81401</v>
      </c>
      <c r="F387" s="16" t="n">
        <v>0</v>
      </c>
      <c r="G387" s="16" t="n">
        <v>0</v>
      </c>
    </row>
    <row r="388" customFormat="false" ht="15" hidden="false" customHeight="false" outlineLevel="0" collapsed="false">
      <c r="A388" s="7" t="n">
        <v>2000</v>
      </c>
      <c r="B388" s="12" t="s">
        <v>60</v>
      </c>
      <c r="C388" s="12" t="s">
        <v>59</v>
      </c>
      <c r="D388" s="12" t="s">
        <v>46</v>
      </c>
      <c r="E388" s="16" t="n">
        <v>428.098489</v>
      </c>
      <c r="F388" s="16" t="n">
        <v>0</v>
      </c>
      <c r="G388" s="16" t="n">
        <v>263.7867</v>
      </c>
    </row>
    <row r="389" customFormat="false" ht="15" hidden="false" customHeight="false" outlineLevel="0" collapsed="false">
      <c r="A389" s="7" t="n">
        <v>2000</v>
      </c>
      <c r="B389" s="12" t="s">
        <v>60</v>
      </c>
      <c r="C389" s="12" t="s">
        <v>59</v>
      </c>
      <c r="D389" s="12" t="s">
        <v>45</v>
      </c>
      <c r="E389" s="16" t="n">
        <v>62.27721</v>
      </c>
      <c r="F389" s="16" t="n">
        <v>4.152282</v>
      </c>
      <c r="G389" s="16" t="n">
        <v>42.912184</v>
      </c>
    </row>
    <row r="390" customFormat="false" ht="15" hidden="false" customHeight="false" outlineLevel="0" collapsed="false">
      <c r="A390" s="7" t="n">
        <v>2000</v>
      </c>
      <c r="B390" s="12" t="s">
        <v>61</v>
      </c>
      <c r="C390" s="12" t="s">
        <v>62</v>
      </c>
      <c r="D390" s="12" t="s">
        <v>49</v>
      </c>
      <c r="E390" s="16" t="n">
        <v>116.561828</v>
      </c>
      <c r="F390" s="16" t="n">
        <v>0</v>
      </c>
      <c r="G390" s="16" t="n">
        <v>26.876119</v>
      </c>
    </row>
    <row r="391" customFormat="false" ht="15" hidden="false" customHeight="false" outlineLevel="0" collapsed="false">
      <c r="A391" s="7" t="n">
        <v>2000</v>
      </c>
      <c r="B391" s="12" t="s">
        <v>61</v>
      </c>
      <c r="C391" s="12" t="s">
        <v>62</v>
      </c>
      <c r="D391" s="12" t="s">
        <v>48</v>
      </c>
      <c r="E391" s="16" t="n">
        <v>56.241783</v>
      </c>
      <c r="F391" s="16" t="n">
        <v>0</v>
      </c>
      <c r="G391" s="16" t="n">
        <v>0</v>
      </c>
    </row>
    <row r="392" customFormat="false" ht="15" hidden="false" customHeight="false" outlineLevel="0" collapsed="false">
      <c r="A392" s="7" t="n">
        <v>2000</v>
      </c>
      <c r="B392" s="12" t="s">
        <v>61</v>
      </c>
      <c r="C392" s="12" t="s">
        <v>62</v>
      </c>
      <c r="D392" s="12" t="s">
        <v>46</v>
      </c>
      <c r="E392" s="16" t="n">
        <v>93.482606</v>
      </c>
      <c r="F392" s="16" t="n">
        <v>0</v>
      </c>
      <c r="G392" s="16" t="n">
        <v>96.7413</v>
      </c>
    </row>
    <row r="393" customFormat="false" ht="15" hidden="false" customHeight="false" outlineLevel="0" collapsed="false">
      <c r="A393" s="7" t="n">
        <v>2000</v>
      </c>
      <c r="B393" s="12" t="s">
        <v>61</v>
      </c>
      <c r="C393" s="12" t="s">
        <v>62</v>
      </c>
      <c r="D393" s="12" t="s">
        <v>45</v>
      </c>
      <c r="E393" s="16" t="n">
        <v>27.083864</v>
      </c>
      <c r="F393" s="16" t="n">
        <v>11.057502</v>
      </c>
      <c r="G393" s="16" t="n">
        <v>11.9309</v>
      </c>
    </row>
    <row r="394" customFormat="false" ht="15" hidden="false" customHeight="false" outlineLevel="0" collapsed="false">
      <c r="A394" s="7" t="n">
        <v>2000</v>
      </c>
      <c r="B394" s="12" t="s">
        <v>63</v>
      </c>
      <c r="C394" s="12" t="s">
        <v>62</v>
      </c>
      <c r="D394" s="12" t="s">
        <v>49</v>
      </c>
      <c r="E394" s="16" t="n">
        <v>333.873934</v>
      </c>
      <c r="F394" s="16" t="n">
        <v>0</v>
      </c>
      <c r="G394" s="16" t="n">
        <v>91.061012</v>
      </c>
    </row>
    <row r="395" customFormat="false" ht="15" hidden="false" customHeight="false" outlineLevel="0" collapsed="false">
      <c r="A395" s="7" t="n">
        <v>2000</v>
      </c>
      <c r="B395" s="12" t="s">
        <v>63</v>
      </c>
      <c r="C395" s="12" t="s">
        <v>62</v>
      </c>
      <c r="D395" s="12" t="s">
        <v>48</v>
      </c>
      <c r="E395" s="16" t="n">
        <v>111.034891</v>
      </c>
      <c r="F395" s="16" t="n">
        <v>0</v>
      </c>
      <c r="G395" s="16" t="n">
        <v>0</v>
      </c>
    </row>
    <row r="396" customFormat="false" ht="15" hidden="false" customHeight="false" outlineLevel="0" collapsed="false">
      <c r="A396" s="7" t="n">
        <v>2000</v>
      </c>
      <c r="B396" s="12" t="s">
        <v>63</v>
      </c>
      <c r="C396" s="12" t="s">
        <v>62</v>
      </c>
      <c r="D396" s="12" t="s">
        <v>46</v>
      </c>
      <c r="E396" s="16" t="n">
        <v>173.381831</v>
      </c>
      <c r="F396" s="16" t="n">
        <v>0</v>
      </c>
      <c r="G396" s="16" t="n">
        <v>169.1</v>
      </c>
    </row>
    <row r="397" customFormat="false" ht="15" hidden="false" customHeight="false" outlineLevel="0" collapsed="false">
      <c r="A397" s="7" t="n">
        <v>2000</v>
      </c>
      <c r="B397" s="12" t="s">
        <v>63</v>
      </c>
      <c r="C397" s="12" t="s">
        <v>62</v>
      </c>
      <c r="D397" s="12" t="s">
        <v>45</v>
      </c>
      <c r="E397" s="16" t="n">
        <v>22.749338</v>
      </c>
      <c r="F397" s="16" t="n">
        <v>0</v>
      </c>
      <c r="G397" s="16" t="n">
        <v>20.941</v>
      </c>
    </row>
    <row r="398" customFormat="false" ht="15" hidden="false" customHeight="false" outlineLevel="0" collapsed="false">
      <c r="A398" s="7" t="n">
        <v>2000</v>
      </c>
      <c r="B398" s="12" t="s">
        <v>64</v>
      </c>
      <c r="C398" s="12" t="s">
        <v>65</v>
      </c>
      <c r="D398" s="12" t="s">
        <v>49</v>
      </c>
      <c r="E398" s="16" t="n">
        <v>163.481151</v>
      </c>
      <c r="F398" s="16" t="n">
        <v>0</v>
      </c>
      <c r="G398" s="16" t="n">
        <v>10.330601</v>
      </c>
    </row>
    <row r="399" customFormat="false" ht="15" hidden="false" customHeight="false" outlineLevel="0" collapsed="false">
      <c r="A399" s="7" t="n">
        <v>2000</v>
      </c>
      <c r="B399" s="12" t="s">
        <v>64</v>
      </c>
      <c r="C399" s="12" t="s">
        <v>65</v>
      </c>
      <c r="D399" s="12" t="s">
        <v>48</v>
      </c>
      <c r="E399" s="16" t="n">
        <v>50.254627</v>
      </c>
      <c r="F399" s="16" t="n">
        <v>0</v>
      </c>
      <c r="G399" s="16" t="n">
        <v>0</v>
      </c>
    </row>
    <row r="400" customFormat="false" ht="15" hidden="false" customHeight="false" outlineLevel="0" collapsed="false">
      <c r="A400" s="7" t="n">
        <v>2000</v>
      </c>
      <c r="B400" s="12" t="s">
        <v>64</v>
      </c>
      <c r="C400" s="12" t="s">
        <v>65</v>
      </c>
      <c r="D400" s="12" t="s">
        <v>46</v>
      </c>
      <c r="E400" s="16" t="n">
        <v>36.946253</v>
      </c>
      <c r="F400" s="16" t="n">
        <v>0</v>
      </c>
      <c r="G400" s="16" t="n">
        <v>49.263285</v>
      </c>
    </row>
    <row r="401" customFormat="false" ht="15" hidden="false" customHeight="false" outlineLevel="0" collapsed="false">
      <c r="A401" s="7" t="n">
        <v>2000</v>
      </c>
      <c r="B401" s="12" t="s">
        <v>64</v>
      </c>
      <c r="C401" s="12" t="s">
        <v>65</v>
      </c>
      <c r="D401" s="12" t="s">
        <v>45</v>
      </c>
      <c r="E401" s="16" t="n">
        <v>39.779544</v>
      </c>
      <c r="F401" s="16" t="n">
        <v>18.559577</v>
      </c>
      <c r="G401" s="16" t="n">
        <v>12.74806</v>
      </c>
    </row>
    <row r="402" customFormat="false" ht="15" hidden="false" customHeight="false" outlineLevel="0" collapsed="false">
      <c r="A402" s="7" t="n">
        <v>2000</v>
      </c>
      <c r="B402" s="12" t="s">
        <v>66</v>
      </c>
      <c r="C402" s="12" t="s">
        <v>67</v>
      </c>
      <c r="D402" s="12" t="s">
        <v>49</v>
      </c>
      <c r="E402" s="16" t="n">
        <v>100.462789</v>
      </c>
      <c r="F402" s="16" t="n">
        <v>0</v>
      </c>
      <c r="G402" s="16" t="n">
        <v>4.494426</v>
      </c>
    </row>
    <row r="403" customFormat="false" ht="15" hidden="false" customHeight="false" outlineLevel="0" collapsed="false">
      <c r="A403" s="7" t="n">
        <v>2000</v>
      </c>
      <c r="B403" s="12" t="s">
        <v>66</v>
      </c>
      <c r="C403" s="12" t="s">
        <v>67</v>
      </c>
      <c r="D403" s="12" t="s">
        <v>48</v>
      </c>
      <c r="E403" s="16" t="n">
        <v>28.38869</v>
      </c>
      <c r="F403" s="16" t="n">
        <v>0</v>
      </c>
      <c r="G403" s="16" t="n">
        <v>0</v>
      </c>
    </row>
    <row r="404" customFormat="false" ht="15" hidden="false" customHeight="false" outlineLevel="0" collapsed="false">
      <c r="A404" s="7" t="n">
        <v>2000</v>
      </c>
      <c r="B404" s="12" t="s">
        <v>66</v>
      </c>
      <c r="C404" s="12" t="s">
        <v>67</v>
      </c>
      <c r="D404" s="12" t="s">
        <v>46</v>
      </c>
      <c r="E404" s="16" t="n">
        <v>44.086023</v>
      </c>
      <c r="F404" s="16" t="n">
        <v>0</v>
      </c>
      <c r="G404" s="16" t="n">
        <v>34.153312</v>
      </c>
    </row>
    <row r="405" customFormat="false" ht="15" hidden="false" customHeight="false" outlineLevel="0" collapsed="false">
      <c r="A405" s="7" t="n">
        <v>2000</v>
      </c>
      <c r="B405" s="12" t="s">
        <v>66</v>
      </c>
      <c r="C405" s="12" t="s">
        <v>67</v>
      </c>
      <c r="D405" s="12" t="s">
        <v>45</v>
      </c>
      <c r="E405" s="16" t="n">
        <v>-21.348552</v>
      </c>
      <c r="F405" s="16" t="n">
        <v>-39.468746</v>
      </c>
      <c r="G405" s="16" t="n">
        <v>17.461327</v>
      </c>
    </row>
    <row r="406" customFormat="false" ht="15" hidden="false" customHeight="false" outlineLevel="0" collapsed="false">
      <c r="A406" s="7" t="n">
        <v>2000</v>
      </c>
      <c r="B406" s="12" t="s">
        <v>68</v>
      </c>
      <c r="C406" s="12" t="s">
        <v>65</v>
      </c>
      <c r="D406" s="12" t="s">
        <v>49</v>
      </c>
      <c r="E406" s="16" t="n">
        <v>143.88861</v>
      </c>
      <c r="F406" s="16" t="n">
        <v>0</v>
      </c>
      <c r="G406" s="16" t="n">
        <v>14.837119</v>
      </c>
    </row>
    <row r="407" customFormat="false" ht="15" hidden="false" customHeight="false" outlineLevel="0" collapsed="false">
      <c r="A407" s="7" t="n">
        <v>2000</v>
      </c>
      <c r="B407" s="12" t="s">
        <v>68</v>
      </c>
      <c r="C407" s="12" t="s">
        <v>65</v>
      </c>
      <c r="D407" s="12" t="s">
        <v>48</v>
      </c>
      <c r="E407" s="16" t="n">
        <v>25.450422</v>
      </c>
      <c r="F407" s="16" t="n">
        <v>0</v>
      </c>
      <c r="G407" s="16" t="n">
        <v>0</v>
      </c>
    </row>
    <row r="408" customFormat="false" ht="15" hidden="false" customHeight="false" outlineLevel="0" collapsed="false">
      <c r="A408" s="7" t="n">
        <v>2000</v>
      </c>
      <c r="B408" s="12" t="s">
        <v>68</v>
      </c>
      <c r="C408" s="12" t="s">
        <v>65</v>
      </c>
      <c r="D408" s="12" t="s">
        <v>46</v>
      </c>
      <c r="E408" s="16" t="n">
        <v>31.212418</v>
      </c>
      <c r="F408" s="16" t="n">
        <v>0</v>
      </c>
      <c r="G408" s="16" t="n">
        <v>38.944999</v>
      </c>
    </row>
    <row r="409" customFormat="false" ht="15" hidden="false" customHeight="false" outlineLevel="0" collapsed="false">
      <c r="A409" s="7" t="n">
        <v>2000</v>
      </c>
      <c r="B409" s="12" t="s">
        <v>68</v>
      </c>
      <c r="C409" s="12" t="s">
        <v>65</v>
      </c>
      <c r="D409" s="12" t="s">
        <v>45</v>
      </c>
      <c r="E409" s="16" t="n">
        <v>5.492189</v>
      </c>
      <c r="F409" s="16" t="n">
        <v>0</v>
      </c>
      <c r="G409" s="16" t="n">
        <v>5.851827</v>
      </c>
    </row>
    <row r="410" customFormat="false" ht="15" hidden="false" customHeight="false" outlineLevel="0" collapsed="false">
      <c r="A410" s="7" t="n">
        <v>2000</v>
      </c>
      <c r="B410" s="12" t="s">
        <v>69</v>
      </c>
      <c r="C410" s="12" t="s">
        <v>70</v>
      </c>
      <c r="D410" s="12" t="s">
        <v>49</v>
      </c>
      <c r="E410" s="16" t="n">
        <v>62.040017</v>
      </c>
      <c r="F410" s="16" t="n">
        <v>0</v>
      </c>
      <c r="G410" s="16" t="n">
        <v>21.758687</v>
      </c>
    </row>
    <row r="411" customFormat="false" ht="15" hidden="false" customHeight="false" outlineLevel="0" collapsed="false">
      <c r="A411" s="7" t="n">
        <v>2000</v>
      </c>
      <c r="B411" s="12" t="s">
        <v>69</v>
      </c>
      <c r="C411" s="12" t="s">
        <v>70</v>
      </c>
      <c r="D411" s="12" t="s">
        <v>48</v>
      </c>
      <c r="E411" s="16" t="n">
        <v>52.81817</v>
      </c>
      <c r="F411" s="16" t="n">
        <v>0</v>
      </c>
      <c r="G411" s="16" t="n">
        <v>0</v>
      </c>
    </row>
    <row r="412" customFormat="false" ht="15" hidden="false" customHeight="false" outlineLevel="0" collapsed="false">
      <c r="A412" s="7" t="n">
        <v>2000</v>
      </c>
      <c r="B412" s="12" t="s">
        <v>69</v>
      </c>
      <c r="C412" s="12" t="s">
        <v>70</v>
      </c>
      <c r="D412" s="12" t="s">
        <v>46</v>
      </c>
      <c r="E412" s="16" t="n">
        <v>30.818884</v>
      </c>
      <c r="F412" s="16" t="n">
        <v>0</v>
      </c>
      <c r="G412" s="16" t="n">
        <v>37.033</v>
      </c>
    </row>
    <row r="413" customFormat="false" ht="15" hidden="false" customHeight="false" outlineLevel="0" collapsed="false">
      <c r="A413" s="7" t="n">
        <v>2000</v>
      </c>
      <c r="B413" s="12" t="s">
        <v>69</v>
      </c>
      <c r="C413" s="12" t="s">
        <v>70</v>
      </c>
      <c r="D413" s="12" t="s">
        <v>45</v>
      </c>
      <c r="E413" s="16" t="n">
        <v>18.555233</v>
      </c>
      <c r="F413" s="16" t="n">
        <v>6.819136</v>
      </c>
      <c r="G413" s="16" t="n">
        <v>13.967</v>
      </c>
    </row>
    <row r="414" customFormat="false" ht="15" hidden="false" customHeight="false" outlineLevel="0" collapsed="false">
      <c r="A414" s="7" t="n">
        <v>2000</v>
      </c>
      <c r="B414" s="12" t="s">
        <v>71</v>
      </c>
      <c r="C414" s="12" t="s">
        <v>72</v>
      </c>
      <c r="D414" s="12" t="s">
        <v>49</v>
      </c>
      <c r="E414" s="16" t="n">
        <v>16.432468</v>
      </c>
      <c r="F414" s="16" t="n">
        <v>0</v>
      </c>
      <c r="G414" s="16" t="n">
        <v>1.085864</v>
      </c>
    </row>
    <row r="415" customFormat="false" ht="15" hidden="false" customHeight="false" outlineLevel="0" collapsed="false">
      <c r="A415" s="7" t="n">
        <v>2000</v>
      </c>
      <c r="B415" s="12" t="s">
        <v>71</v>
      </c>
      <c r="C415" s="12" t="s">
        <v>72</v>
      </c>
      <c r="D415" s="12" t="s">
        <v>48</v>
      </c>
      <c r="E415" s="16" t="n">
        <v>10.155134</v>
      </c>
      <c r="F415" s="16" t="n">
        <v>0</v>
      </c>
      <c r="G415" s="16" t="n">
        <v>0</v>
      </c>
    </row>
    <row r="416" customFormat="false" ht="15" hidden="false" customHeight="false" outlineLevel="0" collapsed="false">
      <c r="A416" s="7" t="n">
        <v>2000</v>
      </c>
      <c r="B416" s="12" t="s">
        <v>71</v>
      </c>
      <c r="C416" s="12" t="s">
        <v>72</v>
      </c>
      <c r="D416" s="12" t="s">
        <v>46</v>
      </c>
      <c r="E416" s="16" t="n">
        <v>7.862895</v>
      </c>
      <c r="F416" s="16" t="n">
        <v>0</v>
      </c>
      <c r="G416" s="16" t="n">
        <v>5.489966</v>
      </c>
    </row>
    <row r="417" customFormat="false" ht="15" hidden="false" customHeight="false" outlineLevel="0" collapsed="false">
      <c r="A417" s="7" t="n">
        <v>2000</v>
      </c>
      <c r="B417" s="12" t="s">
        <v>71</v>
      </c>
      <c r="C417" s="12" t="s">
        <v>72</v>
      </c>
      <c r="D417" s="12" t="s">
        <v>45</v>
      </c>
      <c r="E417" s="16" t="n">
        <v>3.896746</v>
      </c>
      <c r="F417" s="16" t="n">
        <v>2.146926</v>
      </c>
      <c r="G417" s="16" t="n">
        <v>2.76247</v>
      </c>
    </row>
    <row r="418" customFormat="false" ht="15" hidden="false" customHeight="false" outlineLevel="0" collapsed="false">
      <c r="A418" s="7" t="n">
        <v>2000</v>
      </c>
      <c r="B418" s="12" t="s">
        <v>73</v>
      </c>
      <c r="C418" s="12" t="s">
        <v>70</v>
      </c>
      <c r="D418" s="12" t="s">
        <v>49</v>
      </c>
      <c r="E418" s="16" t="n">
        <v>77.626407</v>
      </c>
      <c r="F418" s="16" t="n">
        <v>0</v>
      </c>
      <c r="G418" s="16" t="n">
        <v>24.388519</v>
      </c>
    </row>
    <row r="419" customFormat="false" ht="15" hidden="false" customHeight="false" outlineLevel="0" collapsed="false">
      <c r="A419" s="7" t="n">
        <v>2000</v>
      </c>
      <c r="B419" s="12" t="s">
        <v>73</v>
      </c>
      <c r="C419" s="12" t="s">
        <v>70</v>
      </c>
      <c r="D419" s="12" t="s">
        <v>48</v>
      </c>
      <c r="E419" s="16" t="n">
        <v>64.104795</v>
      </c>
      <c r="F419" s="16" t="n">
        <v>0</v>
      </c>
      <c r="G419" s="16" t="n">
        <v>0</v>
      </c>
    </row>
    <row r="420" customFormat="false" ht="15" hidden="false" customHeight="false" outlineLevel="0" collapsed="false">
      <c r="A420" s="7" t="n">
        <v>2000</v>
      </c>
      <c r="B420" s="12" t="s">
        <v>73</v>
      </c>
      <c r="C420" s="12" t="s">
        <v>70</v>
      </c>
      <c r="D420" s="12" t="s">
        <v>46</v>
      </c>
      <c r="E420" s="16" t="n">
        <v>59.844972</v>
      </c>
      <c r="F420" s="16" t="n">
        <v>0</v>
      </c>
      <c r="G420" s="16" t="n">
        <v>49.221216</v>
      </c>
    </row>
    <row r="421" customFormat="false" ht="15" hidden="false" customHeight="false" outlineLevel="0" collapsed="false">
      <c r="A421" s="7" t="n">
        <v>2000</v>
      </c>
      <c r="B421" s="12" t="s">
        <v>73</v>
      </c>
      <c r="C421" s="12" t="s">
        <v>70</v>
      </c>
      <c r="D421" s="12" t="s">
        <v>45</v>
      </c>
      <c r="E421" s="16" t="n">
        <v>12.619954</v>
      </c>
      <c r="F421" s="16" t="n">
        <v>1.401311</v>
      </c>
      <c r="G421" s="16" t="n">
        <v>8.641403</v>
      </c>
    </row>
    <row r="422" customFormat="false" ht="15" hidden="false" customHeight="false" outlineLevel="0" collapsed="false">
      <c r="A422" s="7" t="n">
        <v>2000</v>
      </c>
      <c r="B422" s="12" t="s">
        <v>74</v>
      </c>
      <c r="C422" s="12" t="s">
        <v>65</v>
      </c>
      <c r="D422" s="12" t="s">
        <v>49</v>
      </c>
      <c r="E422" s="16" t="n">
        <v>88.667658</v>
      </c>
      <c r="F422" s="16" t="n">
        <v>0</v>
      </c>
      <c r="G422" s="16" t="n">
        <v>7.172651</v>
      </c>
    </row>
    <row r="423" customFormat="false" ht="15" hidden="false" customHeight="false" outlineLevel="0" collapsed="false">
      <c r="A423" s="7" t="n">
        <v>2000</v>
      </c>
      <c r="B423" s="12" t="s">
        <v>74</v>
      </c>
      <c r="C423" s="12" t="s">
        <v>65</v>
      </c>
      <c r="D423" s="12" t="s">
        <v>48</v>
      </c>
      <c r="E423" s="16" t="n">
        <v>17.545034</v>
      </c>
      <c r="F423" s="16" t="n">
        <v>0</v>
      </c>
      <c r="G423" s="16" t="n">
        <v>0</v>
      </c>
    </row>
    <row r="424" customFormat="false" ht="15" hidden="false" customHeight="false" outlineLevel="0" collapsed="false">
      <c r="A424" s="7" t="n">
        <v>2000</v>
      </c>
      <c r="B424" s="12" t="s">
        <v>74</v>
      </c>
      <c r="C424" s="12" t="s">
        <v>65</v>
      </c>
      <c r="D424" s="12" t="s">
        <v>46</v>
      </c>
      <c r="E424" s="16" t="n">
        <v>25.492152</v>
      </c>
      <c r="F424" s="16" t="n">
        <v>0</v>
      </c>
      <c r="G424" s="16" t="n">
        <v>40.903947</v>
      </c>
    </row>
    <row r="425" customFormat="false" ht="15" hidden="false" customHeight="false" outlineLevel="0" collapsed="false">
      <c r="A425" s="7" t="n">
        <v>2000</v>
      </c>
      <c r="B425" s="12" t="s">
        <v>74</v>
      </c>
      <c r="C425" s="12" t="s">
        <v>65</v>
      </c>
      <c r="D425" s="12" t="s">
        <v>45</v>
      </c>
      <c r="E425" s="16" t="n">
        <v>9.671155</v>
      </c>
      <c r="F425" s="16" t="n">
        <v>0.173561</v>
      </c>
      <c r="G425" s="16" t="n">
        <v>18.098718</v>
      </c>
    </row>
    <row r="426" customFormat="false" ht="15" hidden="false" customHeight="false" outlineLevel="0" collapsed="false">
      <c r="A426" s="7" t="n">
        <v>2000</v>
      </c>
      <c r="B426" s="12" t="s">
        <v>75</v>
      </c>
      <c r="C426" s="12" t="s">
        <v>57</v>
      </c>
      <c r="D426" s="12" t="s">
        <v>49</v>
      </c>
      <c r="E426" s="16" t="n">
        <v>130.497661</v>
      </c>
      <c r="F426" s="16" t="n">
        <v>0</v>
      </c>
      <c r="G426" s="16" t="n">
        <v>32.568603</v>
      </c>
    </row>
    <row r="427" customFormat="false" ht="15" hidden="false" customHeight="false" outlineLevel="0" collapsed="false">
      <c r="A427" s="7" t="n">
        <v>2000</v>
      </c>
      <c r="B427" s="12" t="s">
        <v>75</v>
      </c>
      <c r="C427" s="12" t="s">
        <v>57</v>
      </c>
      <c r="D427" s="12" t="s">
        <v>48</v>
      </c>
      <c r="E427" s="16" t="n">
        <v>102.170645</v>
      </c>
      <c r="F427" s="16" t="n">
        <v>0</v>
      </c>
      <c r="G427" s="16" t="n">
        <v>0</v>
      </c>
    </row>
    <row r="428" customFormat="false" ht="15" hidden="false" customHeight="false" outlineLevel="0" collapsed="false">
      <c r="A428" s="7" t="n">
        <v>2000</v>
      </c>
      <c r="B428" s="12" t="s">
        <v>75</v>
      </c>
      <c r="C428" s="12" t="s">
        <v>57</v>
      </c>
      <c r="D428" s="12" t="s">
        <v>46</v>
      </c>
      <c r="E428" s="16" t="n">
        <v>100.589154</v>
      </c>
      <c r="F428" s="16" t="n">
        <v>0</v>
      </c>
      <c r="G428" s="16" t="n">
        <v>60.659666</v>
      </c>
    </row>
    <row r="429" customFormat="false" ht="15" hidden="false" customHeight="false" outlineLevel="0" collapsed="false">
      <c r="A429" s="7" t="n">
        <v>2000</v>
      </c>
      <c r="B429" s="12" t="s">
        <v>75</v>
      </c>
      <c r="C429" s="12" t="s">
        <v>57</v>
      </c>
      <c r="D429" s="12" t="s">
        <v>45</v>
      </c>
      <c r="E429" s="16" t="n">
        <v>72.320811</v>
      </c>
      <c r="F429" s="16" t="n">
        <v>17.968506</v>
      </c>
      <c r="G429" s="16" t="n">
        <v>21.414898</v>
      </c>
    </row>
    <row r="430" customFormat="false" ht="15" hidden="false" customHeight="false" outlineLevel="0" collapsed="false">
      <c r="A430" s="7" t="n">
        <v>2000</v>
      </c>
      <c r="B430" s="12" t="s">
        <v>76</v>
      </c>
      <c r="C430" s="12" t="s">
        <v>72</v>
      </c>
      <c r="D430" s="12" t="s">
        <v>49</v>
      </c>
      <c r="E430" s="16" t="n">
        <v>18.324046</v>
      </c>
      <c r="F430" s="16" t="n">
        <v>0</v>
      </c>
      <c r="G430" s="16" t="n">
        <v>6.184312</v>
      </c>
    </row>
    <row r="431" customFormat="false" ht="15" hidden="false" customHeight="false" outlineLevel="0" collapsed="false">
      <c r="A431" s="7" t="n">
        <v>2000</v>
      </c>
      <c r="B431" s="12" t="s">
        <v>76</v>
      </c>
      <c r="C431" s="12" t="s">
        <v>72</v>
      </c>
      <c r="D431" s="12" t="s">
        <v>48</v>
      </c>
      <c r="E431" s="16" t="n">
        <v>15.841447</v>
      </c>
      <c r="F431" s="16" t="n">
        <v>0</v>
      </c>
      <c r="G431" s="16" t="n">
        <v>0</v>
      </c>
    </row>
    <row r="432" customFormat="false" ht="15" hidden="false" customHeight="false" outlineLevel="0" collapsed="false">
      <c r="A432" s="7" t="n">
        <v>2000</v>
      </c>
      <c r="B432" s="12" t="s">
        <v>76</v>
      </c>
      <c r="C432" s="12" t="s">
        <v>72</v>
      </c>
      <c r="D432" s="12" t="s">
        <v>46</v>
      </c>
      <c r="E432" s="16" t="n">
        <v>20.995437</v>
      </c>
      <c r="F432" s="16" t="n">
        <v>0</v>
      </c>
      <c r="G432" s="16" t="n">
        <v>14.103997</v>
      </c>
    </row>
    <row r="433" customFormat="false" ht="15" hidden="false" customHeight="false" outlineLevel="0" collapsed="false">
      <c r="A433" s="7" t="n">
        <v>2000</v>
      </c>
      <c r="B433" s="12" t="s">
        <v>76</v>
      </c>
      <c r="C433" s="12" t="s">
        <v>72</v>
      </c>
      <c r="D433" s="12" t="s">
        <v>45</v>
      </c>
      <c r="E433" s="16" t="n">
        <v>21.892305</v>
      </c>
      <c r="F433" s="16" t="n">
        <v>0</v>
      </c>
      <c r="G433" s="16" t="n">
        <v>7.221716</v>
      </c>
    </row>
    <row r="434" customFormat="false" ht="15" hidden="false" customHeight="false" outlineLevel="0" collapsed="false">
      <c r="A434" s="7" t="n">
        <v>2000</v>
      </c>
      <c r="B434" s="12" t="s">
        <v>77</v>
      </c>
      <c r="C434" s="12" t="s">
        <v>57</v>
      </c>
      <c r="D434" s="12" t="s">
        <v>49</v>
      </c>
      <c r="E434" s="16" t="n">
        <v>24.27763</v>
      </c>
      <c r="F434" s="16" t="n">
        <v>0</v>
      </c>
      <c r="G434" s="16" t="n">
        <v>3.433689</v>
      </c>
    </row>
    <row r="435" customFormat="false" ht="15" hidden="false" customHeight="false" outlineLevel="0" collapsed="false">
      <c r="A435" s="7" t="n">
        <v>2000</v>
      </c>
      <c r="B435" s="12" t="s">
        <v>77</v>
      </c>
      <c r="C435" s="12" t="s">
        <v>57</v>
      </c>
      <c r="D435" s="12" t="s">
        <v>48</v>
      </c>
      <c r="E435" s="16" t="n">
        <v>15.024587</v>
      </c>
      <c r="F435" s="16" t="n">
        <v>0</v>
      </c>
      <c r="G435" s="16" t="n">
        <v>0</v>
      </c>
    </row>
    <row r="436" customFormat="false" ht="15" hidden="false" customHeight="false" outlineLevel="0" collapsed="false">
      <c r="A436" s="7" t="n">
        <v>2000</v>
      </c>
      <c r="B436" s="12" t="s">
        <v>77</v>
      </c>
      <c r="C436" s="12" t="s">
        <v>57</v>
      </c>
      <c r="D436" s="12" t="s">
        <v>46</v>
      </c>
      <c r="E436" s="16" t="n">
        <v>11.970706</v>
      </c>
      <c r="F436" s="16" t="n">
        <v>0</v>
      </c>
      <c r="G436" s="16" t="n">
        <v>7.13261</v>
      </c>
    </row>
    <row r="437" customFormat="false" ht="15" hidden="false" customHeight="false" outlineLevel="0" collapsed="false">
      <c r="A437" s="7" t="n">
        <v>2000</v>
      </c>
      <c r="B437" s="12" t="s">
        <v>77</v>
      </c>
      <c r="C437" s="12" t="s">
        <v>57</v>
      </c>
      <c r="D437" s="12" t="s">
        <v>45</v>
      </c>
      <c r="E437" s="16" t="n">
        <v>5.04445</v>
      </c>
      <c r="F437" s="16" t="n">
        <v>0</v>
      </c>
      <c r="G437" s="16" t="n">
        <v>3.069154</v>
      </c>
    </row>
    <row r="438" customFormat="false" ht="15" hidden="false" customHeight="false" outlineLevel="0" collapsed="false">
      <c r="A438" s="7" t="n">
        <v>2000</v>
      </c>
      <c r="B438" s="12" t="s">
        <v>78</v>
      </c>
      <c r="C438" s="12" t="s">
        <v>65</v>
      </c>
      <c r="D438" s="12" t="s">
        <v>49</v>
      </c>
      <c r="E438" s="16" t="n">
        <v>42.637954</v>
      </c>
      <c r="F438" s="16" t="n">
        <v>0</v>
      </c>
      <c r="G438" s="16" t="n">
        <v>2.31927</v>
      </c>
    </row>
    <row r="439" customFormat="false" ht="15" hidden="false" customHeight="false" outlineLevel="0" collapsed="false">
      <c r="A439" s="7" t="n">
        <v>2000</v>
      </c>
      <c r="B439" s="12" t="s">
        <v>78</v>
      </c>
      <c r="C439" s="12" t="s">
        <v>65</v>
      </c>
      <c r="D439" s="12" t="s">
        <v>48</v>
      </c>
      <c r="E439" s="16" t="n">
        <v>3.658235</v>
      </c>
      <c r="F439" s="16" t="n">
        <v>0</v>
      </c>
      <c r="G439" s="16" t="n">
        <v>0</v>
      </c>
    </row>
    <row r="440" customFormat="false" ht="15" hidden="false" customHeight="false" outlineLevel="0" collapsed="false">
      <c r="A440" s="7" t="n">
        <v>2000</v>
      </c>
      <c r="B440" s="12" t="s">
        <v>78</v>
      </c>
      <c r="C440" s="12" t="s">
        <v>65</v>
      </c>
      <c r="D440" s="12" t="s">
        <v>46</v>
      </c>
      <c r="E440" s="16" t="n">
        <v>7.176931</v>
      </c>
      <c r="F440" s="16" t="n">
        <v>0</v>
      </c>
      <c r="G440" s="16" t="n">
        <v>8.31612</v>
      </c>
    </row>
    <row r="441" customFormat="false" ht="15" hidden="false" customHeight="false" outlineLevel="0" collapsed="false">
      <c r="A441" s="7" t="n">
        <v>2000</v>
      </c>
      <c r="B441" s="12" t="s">
        <v>78</v>
      </c>
      <c r="C441" s="12" t="s">
        <v>65</v>
      </c>
      <c r="D441" s="12" t="s">
        <v>45</v>
      </c>
      <c r="E441" s="16" t="n">
        <v>1.982487</v>
      </c>
      <c r="F441" s="16" t="n">
        <v>0.061009</v>
      </c>
      <c r="G441" s="16" t="n">
        <v>3.09168</v>
      </c>
    </row>
    <row r="442" customFormat="false" ht="15" hidden="false" customHeight="false" outlineLevel="0" collapsed="false">
      <c r="A442" s="7" t="n">
        <v>2000</v>
      </c>
      <c r="B442" s="12" t="s">
        <v>79</v>
      </c>
      <c r="C442" s="12" t="s">
        <v>72</v>
      </c>
      <c r="D442" s="12" t="s">
        <v>49</v>
      </c>
      <c r="E442" s="16" t="n">
        <v>189.680707</v>
      </c>
      <c r="F442" s="16" t="n">
        <v>0</v>
      </c>
      <c r="G442" s="16" t="n">
        <v>51.71196</v>
      </c>
    </row>
    <row r="443" customFormat="false" ht="15" hidden="false" customHeight="false" outlineLevel="0" collapsed="false">
      <c r="A443" s="7" t="n">
        <v>2000</v>
      </c>
      <c r="B443" s="12" t="s">
        <v>79</v>
      </c>
      <c r="C443" s="12" t="s">
        <v>72</v>
      </c>
      <c r="D443" s="12" t="s">
        <v>48</v>
      </c>
      <c r="E443" s="16" t="n">
        <v>69.492541</v>
      </c>
      <c r="F443" s="16" t="n">
        <v>0</v>
      </c>
      <c r="G443" s="16" t="n">
        <v>0</v>
      </c>
    </row>
    <row r="444" customFormat="false" ht="15" hidden="false" customHeight="false" outlineLevel="0" collapsed="false">
      <c r="A444" s="7" t="n">
        <v>2000</v>
      </c>
      <c r="B444" s="12" t="s">
        <v>79</v>
      </c>
      <c r="C444" s="12" t="s">
        <v>72</v>
      </c>
      <c r="D444" s="12" t="s">
        <v>46</v>
      </c>
      <c r="E444" s="16" t="n">
        <v>71.58933</v>
      </c>
      <c r="F444" s="16" t="n">
        <v>0</v>
      </c>
      <c r="G444" s="16" t="n">
        <v>67.956764</v>
      </c>
    </row>
    <row r="445" customFormat="false" ht="15" hidden="false" customHeight="false" outlineLevel="0" collapsed="false">
      <c r="A445" s="7" t="n">
        <v>2000</v>
      </c>
      <c r="B445" s="12" t="s">
        <v>79</v>
      </c>
      <c r="C445" s="12" t="s">
        <v>72</v>
      </c>
      <c r="D445" s="12" t="s">
        <v>45</v>
      </c>
      <c r="E445" s="16" t="n">
        <v>15.624146</v>
      </c>
      <c r="F445" s="16" t="n">
        <v>3.857127</v>
      </c>
      <c r="G445" s="16" t="n">
        <v>10.672335</v>
      </c>
    </row>
    <row r="446" customFormat="false" ht="15" hidden="false" customHeight="false" outlineLevel="0" collapsed="false">
      <c r="A446" s="7" t="n">
        <v>2000</v>
      </c>
      <c r="B446" s="12" t="s">
        <v>80</v>
      </c>
      <c r="C446" s="12" t="s">
        <v>72</v>
      </c>
      <c r="D446" s="12" t="s">
        <v>49</v>
      </c>
      <c r="E446" s="16" t="n">
        <v>34.947462</v>
      </c>
      <c r="F446" s="16" t="n">
        <v>0</v>
      </c>
      <c r="G446" s="16" t="n">
        <v>29.495352</v>
      </c>
    </row>
    <row r="447" customFormat="false" ht="15" hidden="false" customHeight="false" outlineLevel="0" collapsed="false">
      <c r="A447" s="7" t="n">
        <v>2000</v>
      </c>
      <c r="B447" s="12" t="s">
        <v>80</v>
      </c>
      <c r="C447" s="12" t="s">
        <v>72</v>
      </c>
      <c r="D447" s="12" t="s">
        <v>48</v>
      </c>
      <c r="E447" s="16" t="n">
        <v>26.60452</v>
      </c>
      <c r="F447" s="16" t="n">
        <v>0</v>
      </c>
      <c r="G447" s="16" t="n">
        <v>0</v>
      </c>
    </row>
    <row r="448" customFormat="false" ht="15" hidden="false" customHeight="false" outlineLevel="0" collapsed="false">
      <c r="A448" s="7" t="n">
        <v>2000</v>
      </c>
      <c r="B448" s="12" t="s">
        <v>80</v>
      </c>
      <c r="C448" s="12" t="s">
        <v>72</v>
      </c>
      <c r="D448" s="12" t="s">
        <v>46</v>
      </c>
      <c r="E448" s="16" t="n">
        <v>20.678526</v>
      </c>
      <c r="F448" s="16" t="n">
        <v>0</v>
      </c>
      <c r="G448" s="16" t="n">
        <v>27.32744</v>
      </c>
    </row>
    <row r="449" customFormat="false" ht="15" hidden="false" customHeight="false" outlineLevel="0" collapsed="false">
      <c r="A449" s="7" t="n">
        <v>2000</v>
      </c>
      <c r="B449" s="12" t="s">
        <v>80</v>
      </c>
      <c r="C449" s="12" t="s">
        <v>72</v>
      </c>
      <c r="D449" s="12" t="s">
        <v>45</v>
      </c>
      <c r="E449" s="16" t="n">
        <v>16.53265</v>
      </c>
      <c r="F449" s="16" t="n">
        <v>10.560805</v>
      </c>
      <c r="G449" s="16" t="n">
        <v>7.402781</v>
      </c>
    </row>
    <row r="450" customFormat="false" ht="15" hidden="false" customHeight="false" outlineLevel="0" collapsed="false">
      <c r="A450" s="7" t="n">
        <v>2000</v>
      </c>
      <c r="B450" s="12" t="s">
        <v>81</v>
      </c>
      <c r="C450" s="12" t="s">
        <v>72</v>
      </c>
      <c r="D450" s="12" t="s">
        <v>49</v>
      </c>
      <c r="E450" s="16" t="n">
        <v>28.365386</v>
      </c>
      <c r="F450" s="16" t="n">
        <v>0</v>
      </c>
      <c r="G450" s="16" t="n">
        <v>7.441555</v>
      </c>
    </row>
    <row r="451" customFormat="false" ht="15" hidden="false" customHeight="false" outlineLevel="0" collapsed="false">
      <c r="A451" s="7" t="n">
        <v>2000</v>
      </c>
      <c r="B451" s="12" t="s">
        <v>81</v>
      </c>
      <c r="C451" s="12" t="s">
        <v>72</v>
      </c>
      <c r="D451" s="12" t="s">
        <v>48</v>
      </c>
      <c r="E451" s="16" t="n">
        <v>30.488063</v>
      </c>
      <c r="F451" s="16" t="n">
        <v>0</v>
      </c>
      <c r="G451" s="16" t="n">
        <v>0</v>
      </c>
    </row>
    <row r="452" customFormat="false" ht="15" hidden="false" customHeight="false" outlineLevel="0" collapsed="false">
      <c r="A452" s="7" t="n">
        <v>2000</v>
      </c>
      <c r="B452" s="12" t="s">
        <v>81</v>
      </c>
      <c r="C452" s="12" t="s">
        <v>72</v>
      </c>
      <c r="D452" s="12" t="s">
        <v>46</v>
      </c>
      <c r="E452" s="16" t="n">
        <v>36.245288</v>
      </c>
      <c r="F452" s="16" t="n">
        <v>0</v>
      </c>
      <c r="G452" s="16" t="n">
        <v>16.419316</v>
      </c>
    </row>
    <row r="453" customFormat="false" ht="15" hidden="false" customHeight="false" outlineLevel="0" collapsed="false">
      <c r="A453" s="7" t="n">
        <v>2000</v>
      </c>
      <c r="B453" s="12" t="s">
        <v>81</v>
      </c>
      <c r="C453" s="12" t="s">
        <v>72</v>
      </c>
      <c r="D453" s="12" t="s">
        <v>45</v>
      </c>
      <c r="E453" s="16" t="n">
        <v>10.383461</v>
      </c>
      <c r="F453" s="16" t="n">
        <v>1.988676</v>
      </c>
      <c r="G453" s="16" t="n">
        <v>4.189637</v>
      </c>
    </row>
    <row r="454" customFormat="false" ht="15" hidden="false" customHeight="false" outlineLevel="0" collapsed="false">
      <c r="A454" s="7" t="n">
        <v>2001</v>
      </c>
      <c r="B454" s="12" t="s">
        <v>56</v>
      </c>
      <c r="C454" s="12" t="s">
        <v>57</v>
      </c>
      <c r="D454" s="12" t="s">
        <v>49</v>
      </c>
      <c r="E454" s="16" t="n">
        <v>42.8277</v>
      </c>
      <c r="F454" s="16" t="n">
        <v>0</v>
      </c>
      <c r="G454" s="16" t="n">
        <v>7.90074</v>
      </c>
    </row>
    <row r="455" customFormat="false" ht="15" hidden="false" customHeight="false" outlineLevel="0" collapsed="false">
      <c r="A455" s="7" t="n">
        <v>2001</v>
      </c>
      <c r="B455" s="12" t="s">
        <v>56</v>
      </c>
      <c r="C455" s="12" t="s">
        <v>57</v>
      </c>
      <c r="D455" s="12" t="s">
        <v>48</v>
      </c>
      <c r="E455" s="16" t="n">
        <v>19.658909</v>
      </c>
      <c r="F455" s="16" t="n">
        <v>0</v>
      </c>
      <c r="G455" s="16" t="n">
        <v>0</v>
      </c>
    </row>
    <row r="456" customFormat="false" ht="15" hidden="false" customHeight="false" outlineLevel="0" collapsed="false">
      <c r="A456" s="7" t="n">
        <v>2001</v>
      </c>
      <c r="B456" s="12" t="s">
        <v>56</v>
      </c>
      <c r="C456" s="12" t="s">
        <v>57</v>
      </c>
      <c r="D456" s="12" t="s">
        <v>46</v>
      </c>
      <c r="E456" s="16" t="n">
        <v>15.205226</v>
      </c>
      <c r="F456" s="16" t="n">
        <v>0</v>
      </c>
      <c r="G456" s="16" t="n">
        <v>8.532648</v>
      </c>
    </row>
    <row r="457" customFormat="false" ht="15" hidden="false" customHeight="false" outlineLevel="0" collapsed="false">
      <c r="A457" s="7" t="n">
        <v>2001</v>
      </c>
      <c r="B457" s="12" t="s">
        <v>56</v>
      </c>
      <c r="C457" s="12" t="s">
        <v>57</v>
      </c>
      <c r="D457" s="12" t="s">
        <v>45</v>
      </c>
      <c r="E457" s="16" t="n">
        <v>6.614975</v>
      </c>
      <c r="F457" s="16" t="n">
        <v>0.203063</v>
      </c>
      <c r="G457" s="16" t="n">
        <v>4.708329</v>
      </c>
    </row>
    <row r="458" customFormat="false" ht="15" hidden="false" customHeight="false" outlineLevel="0" collapsed="false">
      <c r="A458" s="7" t="n">
        <v>2001</v>
      </c>
      <c r="B458" s="12" t="s">
        <v>58</v>
      </c>
      <c r="C458" s="12" t="s">
        <v>59</v>
      </c>
      <c r="D458" s="12" t="s">
        <v>49</v>
      </c>
      <c r="E458" s="16" t="n">
        <v>127.658223</v>
      </c>
      <c r="F458" s="16" t="n">
        <v>0</v>
      </c>
      <c r="G458" s="16" t="n">
        <v>25.094112</v>
      </c>
    </row>
    <row r="459" customFormat="false" ht="15" hidden="false" customHeight="false" outlineLevel="0" collapsed="false">
      <c r="A459" s="7" t="n">
        <v>2001</v>
      </c>
      <c r="B459" s="12" t="s">
        <v>58</v>
      </c>
      <c r="C459" s="12" t="s">
        <v>59</v>
      </c>
      <c r="D459" s="12" t="s">
        <v>48</v>
      </c>
      <c r="E459" s="16" t="n">
        <v>56.656548</v>
      </c>
      <c r="F459" s="16" t="n">
        <v>0</v>
      </c>
      <c r="G459" s="16" t="n">
        <v>0</v>
      </c>
    </row>
    <row r="460" customFormat="false" ht="15" hidden="false" customHeight="false" outlineLevel="0" collapsed="false">
      <c r="A460" s="7" t="n">
        <v>2001</v>
      </c>
      <c r="B460" s="12" t="s">
        <v>58</v>
      </c>
      <c r="C460" s="12" t="s">
        <v>59</v>
      </c>
      <c r="D460" s="12" t="s">
        <v>46</v>
      </c>
      <c r="E460" s="16" t="n">
        <v>110.264691</v>
      </c>
      <c r="F460" s="16" t="n">
        <v>0</v>
      </c>
      <c r="G460" s="16" t="n">
        <v>86.415649</v>
      </c>
    </row>
    <row r="461" customFormat="false" ht="15" hidden="false" customHeight="false" outlineLevel="0" collapsed="false">
      <c r="A461" s="7" t="n">
        <v>2001</v>
      </c>
      <c r="B461" s="12" t="s">
        <v>58</v>
      </c>
      <c r="C461" s="12" t="s">
        <v>59</v>
      </c>
      <c r="D461" s="12" t="s">
        <v>45</v>
      </c>
      <c r="E461" s="16" t="n">
        <v>27.1004</v>
      </c>
      <c r="F461" s="16" t="n">
        <v>0.013801</v>
      </c>
      <c r="G461" s="16" t="n">
        <v>11.645145</v>
      </c>
    </row>
    <row r="462" customFormat="false" ht="15" hidden="false" customHeight="false" outlineLevel="0" collapsed="false">
      <c r="A462" s="7" t="n">
        <v>2001</v>
      </c>
      <c r="B462" s="12" t="s">
        <v>60</v>
      </c>
      <c r="C462" s="12" t="s">
        <v>59</v>
      </c>
      <c r="D462" s="12" t="s">
        <v>49</v>
      </c>
      <c r="E462" s="16" t="n">
        <v>329.517619</v>
      </c>
      <c r="F462" s="16" t="n">
        <v>0</v>
      </c>
      <c r="G462" s="16" t="n">
        <v>53.463048</v>
      </c>
    </row>
    <row r="463" customFormat="false" ht="15" hidden="false" customHeight="false" outlineLevel="0" collapsed="false">
      <c r="A463" s="7" t="n">
        <v>2001</v>
      </c>
      <c r="B463" s="12" t="s">
        <v>60</v>
      </c>
      <c r="C463" s="12" t="s">
        <v>59</v>
      </c>
      <c r="D463" s="12" t="s">
        <v>48</v>
      </c>
      <c r="E463" s="16" t="n">
        <v>183.144528</v>
      </c>
      <c r="F463" s="16" t="n">
        <v>0</v>
      </c>
      <c r="G463" s="16" t="n">
        <v>0</v>
      </c>
    </row>
    <row r="464" customFormat="false" ht="15" hidden="false" customHeight="false" outlineLevel="0" collapsed="false">
      <c r="A464" s="7" t="n">
        <v>2001</v>
      </c>
      <c r="B464" s="12" t="s">
        <v>60</v>
      </c>
      <c r="C464" s="12" t="s">
        <v>59</v>
      </c>
      <c r="D464" s="12" t="s">
        <v>46</v>
      </c>
      <c r="E464" s="16" t="n">
        <v>361.535275</v>
      </c>
      <c r="F464" s="16" t="n">
        <v>0</v>
      </c>
      <c r="G464" s="16" t="n">
        <v>275.607086</v>
      </c>
    </row>
    <row r="465" customFormat="false" ht="15" hidden="false" customHeight="false" outlineLevel="0" collapsed="false">
      <c r="A465" s="7" t="n">
        <v>2001</v>
      </c>
      <c r="B465" s="12" t="s">
        <v>60</v>
      </c>
      <c r="C465" s="12" t="s">
        <v>59</v>
      </c>
      <c r="D465" s="12" t="s">
        <v>45</v>
      </c>
      <c r="E465" s="16" t="n">
        <v>59.861907</v>
      </c>
      <c r="F465" s="16" t="n">
        <v>1.536067</v>
      </c>
      <c r="G465" s="16" t="n">
        <v>41.418594</v>
      </c>
    </row>
    <row r="466" customFormat="false" ht="15" hidden="false" customHeight="false" outlineLevel="0" collapsed="false">
      <c r="A466" s="7" t="n">
        <v>2001</v>
      </c>
      <c r="B466" s="12" t="s">
        <v>61</v>
      </c>
      <c r="C466" s="12" t="s">
        <v>62</v>
      </c>
      <c r="D466" s="12" t="s">
        <v>49</v>
      </c>
      <c r="E466" s="16" t="n">
        <v>120.228432</v>
      </c>
      <c r="F466" s="16" t="n">
        <v>0</v>
      </c>
      <c r="G466" s="16" t="n">
        <v>28.301269</v>
      </c>
    </row>
    <row r="467" customFormat="false" ht="15" hidden="false" customHeight="false" outlineLevel="0" collapsed="false">
      <c r="A467" s="7" t="n">
        <v>2001</v>
      </c>
      <c r="B467" s="12" t="s">
        <v>61</v>
      </c>
      <c r="C467" s="12" t="s">
        <v>62</v>
      </c>
      <c r="D467" s="12" t="s">
        <v>48</v>
      </c>
      <c r="E467" s="16" t="n">
        <v>58.482791</v>
      </c>
      <c r="F467" s="16" t="n">
        <v>0</v>
      </c>
      <c r="G467" s="16" t="n">
        <v>0</v>
      </c>
    </row>
    <row r="468" customFormat="false" ht="15" hidden="false" customHeight="false" outlineLevel="0" collapsed="false">
      <c r="A468" s="7" t="n">
        <v>2001</v>
      </c>
      <c r="B468" s="12" t="s">
        <v>61</v>
      </c>
      <c r="C468" s="12" t="s">
        <v>62</v>
      </c>
      <c r="D468" s="12" t="s">
        <v>46</v>
      </c>
      <c r="E468" s="16" t="n">
        <v>106.011589</v>
      </c>
      <c r="F468" s="16" t="n">
        <v>0</v>
      </c>
      <c r="G468" s="16" t="n">
        <v>100.7598</v>
      </c>
    </row>
    <row r="469" customFormat="false" ht="15" hidden="false" customHeight="false" outlineLevel="0" collapsed="false">
      <c r="A469" s="7" t="n">
        <v>2001</v>
      </c>
      <c r="B469" s="12" t="s">
        <v>61</v>
      </c>
      <c r="C469" s="12" t="s">
        <v>62</v>
      </c>
      <c r="D469" s="12" t="s">
        <v>45</v>
      </c>
      <c r="E469" s="16" t="n">
        <v>78.350464</v>
      </c>
      <c r="F469" s="16" t="n">
        <v>74.302484</v>
      </c>
      <c r="G469" s="16" t="n">
        <v>2.374417</v>
      </c>
    </row>
    <row r="470" customFormat="false" ht="15" hidden="false" customHeight="false" outlineLevel="0" collapsed="false">
      <c r="A470" s="7" t="n">
        <v>2001</v>
      </c>
      <c r="B470" s="12" t="s">
        <v>63</v>
      </c>
      <c r="C470" s="12" t="s">
        <v>62</v>
      </c>
      <c r="D470" s="12" t="s">
        <v>49</v>
      </c>
      <c r="E470" s="16" t="n">
        <v>534.195527</v>
      </c>
      <c r="F470" s="16" t="n">
        <v>0</v>
      </c>
      <c r="G470" s="16" t="n">
        <v>84.418375</v>
      </c>
    </row>
    <row r="471" customFormat="false" ht="15" hidden="false" customHeight="false" outlineLevel="0" collapsed="false">
      <c r="A471" s="7" t="n">
        <v>2001</v>
      </c>
      <c r="B471" s="12" t="s">
        <v>63</v>
      </c>
      <c r="C471" s="12" t="s">
        <v>62</v>
      </c>
      <c r="D471" s="12" t="s">
        <v>48</v>
      </c>
      <c r="E471" s="16" t="n">
        <v>142.508711</v>
      </c>
      <c r="F471" s="16" t="n">
        <v>0</v>
      </c>
      <c r="G471" s="16" t="n">
        <v>0</v>
      </c>
    </row>
    <row r="472" customFormat="false" ht="15" hidden="false" customHeight="false" outlineLevel="0" collapsed="false">
      <c r="A472" s="7" t="n">
        <v>2001</v>
      </c>
      <c r="B472" s="12" t="s">
        <v>63</v>
      </c>
      <c r="C472" s="12" t="s">
        <v>62</v>
      </c>
      <c r="D472" s="12" t="s">
        <v>46</v>
      </c>
      <c r="E472" s="16" t="n">
        <v>157.70956</v>
      </c>
      <c r="F472" s="16" t="n">
        <v>0</v>
      </c>
      <c r="G472" s="16" t="n">
        <v>178.286224</v>
      </c>
    </row>
    <row r="473" customFormat="false" ht="15" hidden="false" customHeight="false" outlineLevel="0" collapsed="false">
      <c r="A473" s="7" t="n">
        <v>2001</v>
      </c>
      <c r="B473" s="12" t="s">
        <v>63</v>
      </c>
      <c r="C473" s="12" t="s">
        <v>62</v>
      </c>
      <c r="D473" s="12" t="s">
        <v>45</v>
      </c>
      <c r="E473" s="16" t="n">
        <v>67.741623</v>
      </c>
      <c r="F473" s="16" t="n">
        <v>56.898422</v>
      </c>
      <c r="G473" s="16" t="n">
        <v>9.162339</v>
      </c>
    </row>
    <row r="474" customFormat="false" ht="15" hidden="false" customHeight="false" outlineLevel="0" collapsed="false">
      <c r="A474" s="7" t="n">
        <v>2001</v>
      </c>
      <c r="B474" s="12" t="s">
        <v>64</v>
      </c>
      <c r="C474" s="12" t="s">
        <v>65</v>
      </c>
      <c r="D474" s="12" t="s">
        <v>49</v>
      </c>
      <c r="E474" s="16" t="n">
        <v>148.050795</v>
      </c>
      <c r="F474" s="16" t="n">
        <v>0</v>
      </c>
      <c r="G474" s="16" t="n">
        <v>13.110906</v>
      </c>
    </row>
    <row r="475" customFormat="false" ht="15" hidden="false" customHeight="false" outlineLevel="0" collapsed="false">
      <c r="A475" s="7" t="n">
        <v>2001</v>
      </c>
      <c r="B475" s="12" t="s">
        <v>64</v>
      </c>
      <c r="C475" s="12" t="s">
        <v>65</v>
      </c>
      <c r="D475" s="12" t="s">
        <v>48</v>
      </c>
      <c r="E475" s="16" t="n">
        <v>28.277002</v>
      </c>
      <c r="F475" s="16" t="n">
        <v>0</v>
      </c>
      <c r="G475" s="16" t="n">
        <v>0</v>
      </c>
    </row>
    <row r="476" customFormat="false" ht="15" hidden="false" customHeight="false" outlineLevel="0" collapsed="false">
      <c r="A476" s="7" t="n">
        <v>2001</v>
      </c>
      <c r="B476" s="12" t="s">
        <v>64</v>
      </c>
      <c r="C476" s="12" t="s">
        <v>65</v>
      </c>
      <c r="D476" s="12" t="s">
        <v>46</v>
      </c>
      <c r="E476" s="16" t="n">
        <v>38.680196</v>
      </c>
      <c r="F476" s="16" t="n">
        <v>0</v>
      </c>
      <c r="G476" s="16" t="n">
        <v>51.739714</v>
      </c>
    </row>
    <row r="477" customFormat="false" ht="15" hidden="false" customHeight="false" outlineLevel="0" collapsed="false">
      <c r="A477" s="7" t="n">
        <v>2001</v>
      </c>
      <c r="B477" s="12" t="s">
        <v>64</v>
      </c>
      <c r="C477" s="12" t="s">
        <v>65</v>
      </c>
      <c r="D477" s="12" t="s">
        <v>45</v>
      </c>
      <c r="E477" s="16" t="n">
        <v>23.451413</v>
      </c>
      <c r="F477" s="16" t="n">
        <v>17.077437</v>
      </c>
      <c r="G477" s="16" t="n">
        <v>13.176046</v>
      </c>
    </row>
    <row r="478" customFormat="false" ht="15" hidden="false" customHeight="false" outlineLevel="0" collapsed="false">
      <c r="A478" s="7" t="n">
        <v>2001</v>
      </c>
      <c r="B478" s="12" t="s">
        <v>66</v>
      </c>
      <c r="C478" s="12" t="s">
        <v>67</v>
      </c>
      <c r="D478" s="12" t="s">
        <v>49</v>
      </c>
      <c r="E478" s="16" t="n">
        <v>97.455635</v>
      </c>
      <c r="F478" s="16" t="n">
        <v>0</v>
      </c>
      <c r="G478" s="16" t="n">
        <v>5.728158</v>
      </c>
    </row>
    <row r="479" customFormat="false" ht="15" hidden="false" customHeight="false" outlineLevel="0" collapsed="false">
      <c r="A479" s="7" t="n">
        <v>2001</v>
      </c>
      <c r="B479" s="12" t="s">
        <v>66</v>
      </c>
      <c r="C479" s="12" t="s">
        <v>67</v>
      </c>
      <c r="D479" s="12" t="s">
        <v>48</v>
      </c>
      <c r="E479" s="16" t="n">
        <v>28.054459</v>
      </c>
      <c r="F479" s="16" t="n">
        <v>0</v>
      </c>
      <c r="G479" s="16" t="n">
        <v>0</v>
      </c>
    </row>
    <row r="480" customFormat="false" ht="15" hidden="false" customHeight="false" outlineLevel="0" collapsed="false">
      <c r="A480" s="7" t="n">
        <v>2001</v>
      </c>
      <c r="B480" s="12" t="s">
        <v>66</v>
      </c>
      <c r="C480" s="12" t="s">
        <v>67</v>
      </c>
      <c r="D480" s="12" t="s">
        <v>46</v>
      </c>
      <c r="E480" s="16" t="n">
        <v>54.643983</v>
      </c>
      <c r="F480" s="16" t="n">
        <v>0</v>
      </c>
      <c r="G480" s="16" t="n">
        <v>35.864333</v>
      </c>
    </row>
    <row r="481" customFormat="false" ht="15" hidden="false" customHeight="false" outlineLevel="0" collapsed="false">
      <c r="A481" s="7" t="n">
        <v>2001</v>
      </c>
      <c r="B481" s="12" t="s">
        <v>66</v>
      </c>
      <c r="C481" s="12" t="s">
        <v>67</v>
      </c>
      <c r="D481" s="12" t="s">
        <v>45</v>
      </c>
      <c r="E481" s="16" t="n">
        <v>-19.061848</v>
      </c>
      <c r="F481" s="16" t="n">
        <v>-37.394757</v>
      </c>
      <c r="G481" s="16" t="n">
        <v>17.71378</v>
      </c>
    </row>
    <row r="482" customFormat="false" ht="15" hidden="false" customHeight="false" outlineLevel="0" collapsed="false">
      <c r="A482" s="7" t="n">
        <v>2001</v>
      </c>
      <c r="B482" s="12" t="s">
        <v>68</v>
      </c>
      <c r="C482" s="12" t="s">
        <v>65</v>
      </c>
      <c r="D482" s="12" t="s">
        <v>49</v>
      </c>
      <c r="E482" s="16" t="n">
        <v>143.482801</v>
      </c>
      <c r="F482" s="16" t="n">
        <v>0</v>
      </c>
      <c r="G482" s="16" t="n">
        <v>15.540011</v>
      </c>
    </row>
    <row r="483" customFormat="false" ht="15" hidden="false" customHeight="false" outlineLevel="0" collapsed="false">
      <c r="A483" s="7" t="n">
        <v>2001</v>
      </c>
      <c r="B483" s="12" t="s">
        <v>68</v>
      </c>
      <c r="C483" s="12" t="s">
        <v>65</v>
      </c>
      <c r="D483" s="12" t="s">
        <v>48</v>
      </c>
      <c r="E483" s="16" t="n">
        <v>24.674164</v>
      </c>
      <c r="F483" s="16" t="n">
        <v>0</v>
      </c>
      <c r="G483" s="16" t="n">
        <v>0</v>
      </c>
    </row>
    <row r="484" customFormat="false" ht="15" hidden="false" customHeight="false" outlineLevel="0" collapsed="false">
      <c r="A484" s="7" t="n">
        <v>2001</v>
      </c>
      <c r="B484" s="12" t="s">
        <v>68</v>
      </c>
      <c r="C484" s="12" t="s">
        <v>65</v>
      </c>
      <c r="D484" s="12" t="s">
        <v>46</v>
      </c>
      <c r="E484" s="16" t="n">
        <v>29.057342</v>
      </c>
      <c r="F484" s="16" t="n">
        <v>0</v>
      </c>
      <c r="G484" s="16" t="n">
        <v>40.230797</v>
      </c>
    </row>
    <row r="485" customFormat="false" ht="15" hidden="false" customHeight="false" outlineLevel="0" collapsed="false">
      <c r="A485" s="7" t="n">
        <v>2001</v>
      </c>
      <c r="B485" s="12" t="s">
        <v>68</v>
      </c>
      <c r="C485" s="12" t="s">
        <v>65</v>
      </c>
      <c r="D485" s="12" t="s">
        <v>45</v>
      </c>
      <c r="E485" s="16" t="n">
        <v>5.606667</v>
      </c>
      <c r="F485" s="16" t="n">
        <v>0</v>
      </c>
      <c r="G485" s="16" t="n">
        <v>5.837177</v>
      </c>
    </row>
    <row r="486" customFormat="false" ht="15" hidden="false" customHeight="false" outlineLevel="0" collapsed="false">
      <c r="A486" s="7" t="n">
        <v>2001</v>
      </c>
      <c r="B486" s="12" t="s">
        <v>69</v>
      </c>
      <c r="C486" s="12" t="s">
        <v>70</v>
      </c>
      <c r="D486" s="12" t="s">
        <v>49</v>
      </c>
      <c r="E486" s="16" t="n">
        <v>54.890797</v>
      </c>
      <c r="F486" s="16" t="n">
        <v>0</v>
      </c>
      <c r="G486" s="16" t="n">
        <v>21.592762</v>
      </c>
    </row>
    <row r="487" customFormat="false" ht="15" hidden="false" customHeight="false" outlineLevel="0" collapsed="false">
      <c r="A487" s="7" t="n">
        <v>2001</v>
      </c>
      <c r="B487" s="12" t="s">
        <v>69</v>
      </c>
      <c r="C487" s="12" t="s">
        <v>70</v>
      </c>
      <c r="D487" s="12" t="s">
        <v>48</v>
      </c>
      <c r="E487" s="16" t="n">
        <v>53.763224</v>
      </c>
      <c r="F487" s="16" t="n">
        <v>0</v>
      </c>
      <c r="G487" s="16" t="n">
        <v>0</v>
      </c>
    </row>
    <row r="488" customFormat="false" ht="15" hidden="false" customHeight="false" outlineLevel="0" collapsed="false">
      <c r="A488" s="7" t="n">
        <v>2001</v>
      </c>
      <c r="B488" s="12" t="s">
        <v>69</v>
      </c>
      <c r="C488" s="12" t="s">
        <v>70</v>
      </c>
      <c r="D488" s="12" t="s">
        <v>46</v>
      </c>
      <c r="E488" s="16" t="n">
        <v>34.483074</v>
      </c>
      <c r="F488" s="16" t="n">
        <v>0</v>
      </c>
      <c r="G488" s="16" t="n">
        <v>40.078</v>
      </c>
    </row>
    <row r="489" customFormat="false" ht="15" hidden="false" customHeight="false" outlineLevel="0" collapsed="false">
      <c r="A489" s="7" t="n">
        <v>2001</v>
      </c>
      <c r="B489" s="12" t="s">
        <v>69</v>
      </c>
      <c r="C489" s="12" t="s">
        <v>70</v>
      </c>
      <c r="D489" s="12" t="s">
        <v>45</v>
      </c>
      <c r="E489" s="16" t="n">
        <v>31.084153</v>
      </c>
      <c r="F489" s="16" t="n">
        <v>10.643982</v>
      </c>
      <c r="G489" s="16" t="n">
        <v>13.767</v>
      </c>
    </row>
    <row r="490" customFormat="false" ht="15" hidden="false" customHeight="false" outlineLevel="0" collapsed="false">
      <c r="A490" s="7" t="n">
        <v>2001</v>
      </c>
      <c r="B490" s="12" t="s">
        <v>71</v>
      </c>
      <c r="C490" s="12" t="s">
        <v>72</v>
      </c>
      <c r="D490" s="12" t="s">
        <v>49</v>
      </c>
      <c r="E490" s="16" t="n">
        <v>17.144177</v>
      </c>
      <c r="F490" s="16" t="n">
        <v>0</v>
      </c>
      <c r="G490" s="16" t="n">
        <v>1.154037</v>
      </c>
    </row>
    <row r="491" customFormat="false" ht="15" hidden="false" customHeight="false" outlineLevel="0" collapsed="false">
      <c r="A491" s="7" t="n">
        <v>2001</v>
      </c>
      <c r="B491" s="12" t="s">
        <v>71</v>
      </c>
      <c r="C491" s="12" t="s">
        <v>72</v>
      </c>
      <c r="D491" s="12" t="s">
        <v>48</v>
      </c>
      <c r="E491" s="16" t="n">
        <v>9.732015</v>
      </c>
      <c r="F491" s="16" t="n">
        <v>0</v>
      </c>
      <c r="G491" s="16" t="n">
        <v>0</v>
      </c>
    </row>
    <row r="492" customFormat="false" ht="15" hidden="false" customHeight="false" outlineLevel="0" collapsed="false">
      <c r="A492" s="7" t="n">
        <v>2001</v>
      </c>
      <c r="B492" s="12" t="s">
        <v>71</v>
      </c>
      <c r="C492" s="12" t="s">
        <v>72</v>
      </c>
      <c r="D492" s="12" t="s">
        <v>46</v>
      </c>
      <c r="E492" s="16" t="n">
        <v>9.413533</v>
      </c>
      <c r="F492" s="16" t="n">
        <v>0</v>
      </c>
      <c r="G492" s="16" t="n">
        <v>6.154907</v>
      </c>
    </row>
    <row r="493" customFormat="false" ht="15" hidden="false" customHeight="false" outlineLevel="0" collapsed="false">
      <c r="A493" s="7" t="n">
        <v>2001</v>
      </c>
      <c r="B493" s="12" t="s">
        <v>71</v>
      </c>
      <c r="C493" s="12" t="s">
        <v>72</v>
      </c>
      <c r="D493" s="12" t="s">
        <v>45</v>
      </c>
      <c r="E493" s="16" t="n">
        <v>9.774609</v>
      </c>
      <c r="F493" s="16" t="n">
        <v>9.74154</v>
      </c>
      <c r="G493" s="16" t="n">
        <v>0.980209</v>
      </c>
    </row>
    <row r="494" customFormat="false" ht="15" hidden="false" customHeight="false" outlineLevel="0" collapsed="false">
      <c r="A494" s="7" t="n">
        <v>2001</v>
      </c>
      <c r="B494" s="12" t="s">
        <v>73</v>
      </c>
      <c r="C494" s="12" t="s">
        <v>70</v>
      </c>
      <c r="D494" s="12" t="s">
        <v>49</v>
      </c>
      <c r="E494" s="16" t="n">
        <v>89.875673</v>
      </c>
      <c r="F494" s="16" t="n">
        <v>0</v>
      </c>
      <c r="G494" s="16" t="n">
        <v>35.229512</v>
      </c>
    </row>
    <row r="495" customFormat="false" ht="15" hidden="false" customHeight="false" outlineLevel="0" collapsed="false">
      <c r="A495" s="7" t="n">
        <v>2001</v>
      </c>
      <c r="B495" s="12" t="s">
        <v>73</v>
      </c>
      <c r="C495" s="12" t="s">
        <v>70</v>
      </c>
      <c r="D495" s="12" t="s">
        <v>48</v>
      </c>
      <c r="E495" s="16" t="n">
        <v>65.08304</v>
      </c>
      <c r="F495" s="16" t="n">
        <v>0</v>
      </c>
      <c r="G495" s="16" t="n">
        <v>0</v>
      </c>
    </row>
    <row r="496" customFormat="false" ht="15" hidden="false" customHeight="false" outlineLevel="0" collapsed="false">
      <c r="A496" s="7" t="n">
        <v>2001</v>
      </c>
      <c r="B496" s="12" t="s">
        <v>73</v>
      </c>
      <c r="C496" s="12" t="s">
        <v>70</v>
      </c>
      <c r="D496" s="12" t="s">
        <v>46</v>
      </c>
      <c r="E496" s="16" t="n">
        <v>69.785249</v>
      </c>
      <c r="F496" s="16" t="n">
        <v>0</v>
      </c>
      <c r="G496" s="16" t="n">
        <v>45.081993</v>
      </c>
    </row>
    <row r="497" customFormat="false" ht="15" hidden="false" customHeight="false" outlineLevel="0" collapsed="false">
      <c r="A497" s="7" t="n">
        <v>2001</v>
      </c>
      <c r="B497" s="12" t="s">
        <v>73</v>
      </c>
      <c r="C497" s="12" t="s">
        <v>70</v>
      </c>
      <c r="D497" s="12" t="s">
        <v>45</v>
      </c>
      <c r="E497" s="16" t="n">
        <v>9.112446</v>
      </c>
      <c r="F497" s="16" t="n">
        <v>0.807108</v>
      </c>
      <c r="G497" s="16" t="n">
        <v>8.862233</v>
      </c>
    </row>
    <row r="498" customFormat="false" ht="15" hidden="false" customHeight="false" outlineLevel="0" collapsed="false">
      <c r="A498" s="7" t="n">
        <v>2001</v>
      </c>
      <c r="B498" s="12" t="s">
        <v>74</v>
      </c>
      <c r="C498" s="12" t="s">
        <v>65</v>
      </c>
      <c r="D498" s="12" t="s">
        <v>49</v>
      </c>
      <c r="E498" s="16" t="n">
        <v>73.759485</v>
      </c>
      <c r="F498" s="16" t="n">
        <v>0</v>
      </c>
      <c r="G498" s="16" t="n">
        <v>6.750263</v>
      </c>
    </row>
    <row r="499" customFormat="false" ht="15" hidden="false" customHeight="false" outlineLevel="0" collapsed="false">
      <c r="A499" s="7" t="n">
        <v>2001</v>
      </c>
      <c r="B499" s="12" t="s">
        <v>74</v>
      </c>
      <c r="C499" s="12" t="s">
        <v>65</v>
      </c>
      <c r="D499" s="12" t="s">
        <v>48</v>
      </c>
      <c r="E499" s="16" t="n">
        <v>28.809566</v>
      </c>
      <c r="F499" s="16" t="n">
        <v>0</v>
      </c>
      <c r="G499" s="16" t="n">
        <v>0</v>
      </c>
    </row>
    <row r="500" customFormat="false" ht="15" hidden="false" customHeight="false" outlineLevel="0" collapsed="false">
      <c r="A500" s="7" t="n">
        <v>2001</v>
      </c>
      <c r="B500" s="12" t="s">
        <v>74</v>
      </c>
      <c r="C500" s="12" t="s">
        <v>65</v>
      </c>
      <c r="D500" s="12" t="s">
        <v>46</v>
      </c>
      <c r="E500" s="16" t="n">
        <v>24.224222</v>
      </c>
      <c r="F500" s="16" t="n">
        <v>0</v>
      </c>
      <c r="G500" s="16" t="n">
        <v>44.063157</v>
      </c>
    </row>
    <row r="501" customFormat="false" ht="15" hidden="false" customHeight="false" outlineLevel="0" collapsed="false">
      <c r="A501" s="7" t="n">
        <v>2001</v>
      </c>
      <c r="B501" s="12" t="s">
        <v>74</v>
      </c>
      <c r="C501" s="12" t="s">
        <v>65</v>
      </c>
      <c r="D501" s="12" t="s">
        <v>45</v>
      </c>
      <c r="E501" s="16" t="n">
        <v>8.740627</v>
      </c>
      <c r="F501" s="16" t="n">
        <v>0.079319</v>
      </c>
      <c r="G501" s="16" t="n">
        <v>18.814489</v>
      </c>
    </row>
    <row r="502" customFormat="false" ht="15" hidden="false" customHeight="false" outlineLevel="0" collapsed="false">
      <c r="A502" s="7" t="n">
        <v>2001</v>
      </c>
      <c r="B502" s="12" t="s">
        <v>75</v>
      </c>
      <c r="C502" s="12" t="s">
        <v>57</v>
      </c>
      <c r="D502" s="12" t="s">
        <v>49</v>
      </c>
      <c r="E502" s="16" t="n">
        <v>156.560184</v>
      </c>
      <c r="F502" s="16" t="n">
        <v>0</v>
      </c>
      <c r="G502" s="16" t="n">
        <v>34.360805</v>
      </c>
    </row>
    <row r="503" customFormat="false" ht="15" hidden="false" customHeight="false" outlineLevel="0" collapsed="false">
      <c r="A503" s="7" t="n">
        <v>2001</v>
      </c>
      <c r="B503" s="12" t="s">
        <v>75</v>
      </c>
      <c r="C503" s="12" t="s">
        <v>57</v>
      </c>
      <c r="D503" s="12" t="s">
        <v>48</v>
      </c>
      <c r="E503" s="16" t="n">
        <v>79.426652</v>
      </c>
      <c r="F503" s="16" t="n">
        <v>0</v>
      </c>
      <c r="G503" s="16" t="n">
        <v>0</v>
      </c>
    </row>
    <row r="504" customFormat="false" ht="15" hidden="false" customHeight="false" outlineLevel="0" collapsed="false">
      <c r="A504" s="7" t="n">
        <v>2001</v>
      </c>
      <c r="B504" s="12" t="s">
        <v>75</v>
      </c>
      <c r="C504" s="12" t="s">
        <v>57</v>
      </c>
      <c r="D504" s="12" t="s">
        <v>46</v>
      </c>
      <c r="E504" s="16" t="n">
        <v>95.719772</v>
      </c>
      <c r="F504" s="16" t="n">
        <v>0</v>
      </c>
      <c r="G504" s="16" t="n">
        <v>63.485604</v>
      </c>
    </row>
    <row r="505" customFormat="false" ht="15" hidden="false" customHeight="false" outlineLevel="0" collapsed="false">
      <c r="A505" s="7" t="n">
        <v>2001</v>
      </c>
      <c r="B505" s="12" t="s">
        <v>75</v>
      </c>
      <c r="C505" s="12" t="s">
        <v>57</v>
      </c>
      <c r="D505" s="12" t="s">
        <v>45</v>
      </c>
      <c r="E505" s="16" t="n">
        <v>81.891895</v>
      </c>
      <c r="F505" s="16" t="n">
        <v>25.108003</v>
      </c>
      <c r="G505" s="16" t="n">
        <v>22.046439</v>
      </c>
    </row>
    <row r="506" customFormat="false" ht="15" hidden="false" customHeight="false" outlineLevel="0" collapsed="false">
      <c r="A506" s="7" t="n">
        <v>2001</v>
      </c>
      <c r="B506" s="12" t="s">
        <v>76</v>
      </c>
      <c r="C506" s="12" t="s">
        <v>72</v>
      </c>
      <c r="D506" s="12" t="s">
        <v>49</v>
      </c>
      <c r="E506" s="16" t="n">
        <v>19.717193</v>
      </c>
      <c r="F506" s="16" t="n">
        <v>0</v>
      </c>
      <c r="G506" s="16" t="n">
        <v>4.429895</v>
      </c>
    </row>
    <row r="507" customFormat="false" ht="15" hidden="false" customHeight="false" outlineLevel="0" collapsed="false">
      <c r="A507" s="7" t="n">
        <v>2001</v>
      </c>
      <c r="B507" s="12" t="s">
        <v>76</v>
      </c>
      <c r="C507" s="12" t="s">
        <v>72</v>
      </c>
      <c r="D507" s="12" t="s">
        <v>48</v>
      </c>
      <c r="E507" s="16" t="n">
        <v>15.340964</v>
      </c>
      <c r="F507" s="16" t="n">
        <v>0</v>
      </c>
      <c r="G507" s="16" t="n">
        <v>0</v>
      </c>
    </row>
    <row r="508" customFormat="false" ht="15" hidden="false" customHeight="false" outlineLevel="0" collapsed="false">
      <c r="A508" s="7" t="n">
        <v>2001</v>
      </c>
      <c r="B508" s="12" t="s">
        <v>76</v>
      </c>
      <c r="C508" s="12" t="s">
        <v>72</v>
      </c>
      <c r="D508" s="12" t="s">
        <v>46</v>
      </c>
      <c r="E508" s="16" t="n">
        <v>21.601344</v>
      </c>
      <c r="F508" s="16" t="n">
        <v>0</v>
      </c>
      <c r="G508" s="16" t="n">
        <v>15.546313</v>
      </c>
    </row>
    <row r="509" customFormat="false" ht="15" hidden="false" customHeight="false" outlineLevel="0" collapsed="false">
      <c r="A509" s="7" t="n">
        <v>2001</v>
      </c>
      <c r="B509" s="12" t="s">
        <v>76</v>
      </c>
      <c r="C509" s="12" t="s">
        <v>72</v>
      </c>
      <c r="D509" s="12" t="s">
        <v>45</v>
      </c>
      <c r="E509" s="16" t="n">
        <v>22.170301</v>
      </c>
      <c r="F509" s="16" t="n">
        <v>0</v>
      </c>
      <c r="G509" s="16" t="n">
        <v>8.52853</v>
      </c>
    </row>
    <row r="510" customFormat="false" ht="15" hidden="false" customHeight="false" outlineLevel="0" collapsed="false">
      <c r="A510" s="7" t="n">
        <v>2001</v>
      </c>
      <c r="B510" s="12" t="s">
        <v>77</v>
      </c>
      <c r="C510" s="12" t="s">
        <v>57</v>
      </c>
      <c r="D510" s="12" t="s">
        <v>49</v>
      </c>
      <c r="E510" s="16" t="n">
        <v>28.232006</v>
      </c>
      <c r="F510" s="16" t="n">
        <v>0</v>
      </c>
      <c r="G510" s="16" t="n">
        <v>3.409077</v>
      </c>
    </row>
    <row r="511" customFormat="false" ht="15" hidden="false" customHeight="false" outlineLevel="0" collapsed="false">
      <c r="A511" s="7" t="n">
        <v>2001</v>
      </c>
      <c r="B511" s="12" t="s">
        <v>77</v>
      </c>
      <c r="C511" s="12" t="s">
        <v>57</v>
      </c>
      <c r="D511" s="12" t="s">
        <v>48</v>
      </c>
      <c r="E511" s="16" t="n">
        <v>13.814715</v>
      </c>
      <c r="F511" s="16" t="n">
        <v>0</v>
      </c>
      <c r="G511" s="16" t="n">
        <v>0</v>
      </c>
    </row>
    <row r="512" customFormat="false" ht="15" hidden="false" customHeight="false" outlineLevel="0" collapsed="false">
      <c r="A512" s="7" t="n">
        <v>2001</v>
      </c>
      <c r="B512" s="12" t="s">
        <v>77</v>
      </c>
      <c r="C512" s="12" t="s">
        <v>57</v>
      </c>
      <c r="D512" s="12" t="s">
        <v>46</v>
      </c>
      <c r="E512" s="16" t="n">
        <v>10.795122</v>
      </c>
      <c r="F512" s="16" t="n">
        <v>0</v>
      </c>
      <c r="G512" s="16" t="n">
        <v>7.449458</v>
      </c>
    </row>
    <row r="513" customFormat="false" ht="15" hidden="false" customHeight="false" outlineLevel="0" collapsed="false">
      <c r="A513" s="7" t="n">
        <v>2001</v>
      </c>
      <c r="B513" s="12" t="s">
        <v>77</v>
      </c>
      <c r="C513" s="12" t="s">
        <v>57</v>
      </c>
      <c r="D513" s="12" t="s">
        <v>45</v>
      </c>
      <c r="E513" s="16" t="n">
        <v>3.933125</v>
      </c>
      <c r="F513" s="16" t="n">
        <v>0</v>
      </c>
      <c r="G513" s="16" t="n">
        <v>3.12455</v>
      </c>
    </row>
    <row r="514" customFormat="false" ht="15" hidden="false" customHeight="false" outlineLevel="0" collapsed="false">
      <c r="A514" s="7" t="n">
        <v>2001</v>
      </c>
      <c r="B514" s="12" t="s">
        <v>78</v>
      </c>
      <c r="C514" s="12" t="s">
        <v>65</v>
      </c>
      <c r="D514" s="12" t="s">
        <v>49</v>
      </c>
      <c r="E514" s="16" t="n">
        <v>31.068849</v>
      </c>
      <c r="F514" s="16" t="n">
        <v>0</v>
      </c>
      <c r="G514" s="16" t="n">
        <v>1.585536</v>
      </c>
    </row>
    <row r="515" customFormat="false" ht="15" hidden="false" customHeight="false" outlineLevel="0" collapsed="false">
      <c r="A515" s="7" t="n">
        <v>2001</v>
      </c>
      <c r="B515" s="12" t="s">
        <v>78</v>
      </c>
      <c r="C515" s="12" t="s">
        <v>65</v>
      </c>
      <c r="D515" s="12" t="s">
        <v>48</v>
      </c>
      <c r="E515" s="16" t="n">
        <v>6.006729</v>
      </c>
      <c r="F515" s="16" t="n">
        <v>0</v>
      </c>
      <c r="G515" s="16" t="n">
        <v>0</v>
      </c>
    </row>
    <row r="516" customFormat="false" ht="15" hidden="false" customHeight="false" outlineLevel="0" collapsed="false">
      <c r="A516" s="7" t="n">
        <v>2001</v>
      </c>
      <c r="B516" s="12" t="s">
        <v>78</v>
      </c>
      <c r="C516" s="12" t="s">
        <v>65</v>
      </c>
      <c r="D516" s="12" t="s">
        <v>46</v>
      </c>
      <c r="E516" s="16" t="n">
        <v>7.858199</v>
      </c>
      <c r="F516" s="16" t="n">
        <v>0</v>
      </c>
      <c r="G516" s="16" t="n">
        <v>8.556217</v>
      </c>
    </row>
    <row r="517" customFormat="false" ht="15" hidden="false" customHeight="false" outlineLevel="0" collapsed="false">
      <c r="A517" s="7" t="n">
        <v>2001</v>
      </c>
      <c r="B517" s="12" t="s">
        <v>78</v>
      </c>
      <c r="C517" s="12" t="s">
        <v>65</v>
      </c>
      <c r="D517" s="12" t="s">
        <v>45</v>
      </c>
      <c r="E517" s="16" t="n">
        <v>1.659158</v>
      </c>
      <c r="F517" s="16" t="n">
        <v>0.065154</v>
      </c>
      <c r="G517" s="16" t="n">
        <v>3.244268</v>
      </c>
    </row>
    <row r="518" customFormat="false" ht="15" hidden="false" customHeight="false" outlineLevel="0" collapsed="false">
      <c r="A518" s="7" t="n">
        <v>2001</v>
      </c>
      <c r="B518" s="12" t="s">
        <v>79</v>
      </c>
      <c r="C518" s="12" t="s">
        <v>72</v>
      </c>
      <c r="D518" s="12" t="s">
        <v>49</v>
      </c>
      <c r="E518" s="16" t="n">
        <v>138.730501</v>
      </c>
      <c r="F518" s="16" t="n">
        <v>0</v>
      </c>
      <c r="G518" s="16" t="n">
        <v>43.615081</v>
      </c>
    </row>
    <row r="519" customFormat="false" ht="15" hidden="false" customHeight="false" outlineLevel="0" collapsed="false">
      <c r="A519" s="7" t="n">
        <v>2001</v>
      </c>
      <c r="B519" s="12" t="s">
        <v>79</v>
      </c>
      <c r="C519" s="12" t="s">
        <v>72</v>
      </c>
      <c r="D519" s="12" t="s">
        <v>48</v>
      </c>
      <c r="E519" s="16" t="n">
        <v>69.253993</v>
      </c>
      <c r="F519" s="16" t="n">
        <v>0</v>
      </c>
      <c r="G519" s="16" t="n">
        <v>0</v>
      </c>
    </row>
    <row r="520" customFormat="false" ht="15" hidden="false" customHeight="false" outlineLevel="0" collapsed="false">
      <c r="A520" s="7" t="n">
        <v>2001</v>
      </c>
      <c r="B520" s="12" t="s">
        <v>79</v>
      </c>
      <c r="C520" s="12" t="s">
        <v>72</v>
      </c>
      <c r="D520" s="12" t="s">
        <v>46</v>
      </c>
      <c r="E520" s="16" t="n">
        <v>71.683385</v>
      </c>
      <c r="F520" s="16" t="n">
        <v>0</v>
      </c>
      <c r="G520" s="16" t="n">
        <v>70.818111</v>
      </c>
    </row>
    <row r="521" customFormat="false" ht="15" hidden="false" customHeight="false" outlineLevel="0" collapsed="false">
      <c r="A521" s="7" t="n">
        <v>2001</v>
      </c>
      <c r="B521" s="12" t="s">
        <v>79</v>
      </c>
      <c r="C521" s="12" t="s">
        <v>72</v>
      </c>
      <c r="D521" s="12" t="s">
        <v>45</v>
      </c>
      <c r="E521" s="16" t="n">
        <v>60.518712</v>
      </c>
      <c r="F521" s="16" t="n">
        <v>59.659659</v>
      </c>
      <c r="G521" s="16" t="n">
        <v>0.277325</v>
      </c>
    </row>
    <row r="522" customFormat="false" ht="15" hidden="false" customHeight="false" outlineLevel="0" collapsed="false">
      <c r="A522" s="7" t="n">
        <v>2001</v>
      </c>
      <c r="B522" s="12" t="s">
        <v>80</v>
      </c>
      <c r="C522" s="12" t="s">
        <v>72</v>
      </c>
      <c r="D522" s="12" t="s">
        <v>49</v>
      </c>
      <c r="E522" s="16" t="n">
        <v>32.128421</v>
      </c>
      <c r="F522" s="16" t="n">
        <v>0</v>
      </c>
      <c r="G522" s="16" t="n">
        <v>28.490145</v>
      </c>
    </row>
    <row r="523" customFormat="false" ht="15" hidden="false" customHeight="false" outlineLevel="0" collapsed="false">
      <c r="A523" s="7" t="n">
        <v>2001</v>
      </c>
      <c r="B523" s="12" t="s">
        <v>80</v>
      </c>
      <c r="C523" s="12" t="s">
        <v>72</v>
      </c>
      <c r="D523" s="12" t="s">
        <v>48</v>
      </c>
      <c r="E523" s="16" t="n">
        <v>28.879158</v>
      </c>
      <c r="F523" s="16" t="n">
        <v>0</v>
      </c>
      <c r="G523" s="16" t="n">
        <v>0</v>
      </c>
    </row>
    <row r="524" customFormat="false" ht="15" hidden="false" customHeight="false" outlineLevel="0" collapsed="false">
      <c r="A524" s="7" t="n">
        <v>2001</v>
      </c>
      <c r="B524" s="12" t="s">
        <v>80</v>
      </c>
      <c r="C524" s="12" t="s">
        <v>72</v>
      </c>
      <c r="D524" s="12" t="s">
        <v>46</v>
      </c>
      <c r="E524" s="16" t="n">
        <v>21.349013</v>
      </c>
      <c r="F524" s="16" t="n">
        <v>0</v>
      </c>
      <c r="G524" s="16" t="n">
        <v>28.965333</v>
      </c>
    </row>
    <row r="525" customFormat="false" ht="15" hidden="false" customHeight="false" outlineLevel="0" collapsed="false">
      <c r="A525" s="7" t="n">
        <v>2001</v>
      </c>
      <c r="B525" s="12" t="s">
        <v>80</v>
      </c>
      <c r="C525" s="12" t="s">
        <v>72</v>
      </c>
      <c r="D525" s="12" t="s">
        <v>45</v>
      </c>
      <c r="E525" s="16" t="n">
        <v>44.442006</v>
      </c>
      <c r="F525" s="16" t="n">
        <v>44.179696</v>
      </c>
      <c r="G525" s="16" t="n">
        <v>0</v>
      </c>
    </row>
    <row r="526" customFormat="false" ht="15" hidden="false" customHeight="false" outlineLevel="0" collapsed="false">
      <c r="A526" s="7" t="n">
        <v>2001</v>
      </c>
      <c r="B526" s="12" t="s">
        <v>81</v>
      </c>
      <c r="C526" s="12" t="s">
        <v>72</v>
      </c>
      <c r="D526" s="12" t="s">
        <v>49</v>
      </c>
      <c r="E526" s="16" t="n">
        <v>28.37034</v>
      </c>
      <c r="F526" s="16" t="n">
        <v>0</v>
      </c>
      <c r="G526" s="16" t="n">
        <v>8.989381</v>
      </c>
    </row>
    <row r="527" customFormat="false" ht="15" hidden="false" customHeight="false" outlineLevel="0" collapsed="false">
      <c r="A527" s="7" t="n">
        <v>2001</v>
      </c>
      <c r="B527" s="12" t="s">
        <v>81</v>
      </c>
      <c r="C527" s="12" t="s">
        <v>72</v>
      </c>
      <c r="D527" s="12" t="s">
        <v>48</v>
      </c>
      <c r="E527" s="16" t="n">
        <v>38.02304</v>
      </c>
      <c r="F527" s="16" t="n">
        <v>0</v>
      </c>
      <c r="G527" s="16" t="n">
        <v>0</v>
      </c>
    </row>
    <row r="528" customFormat="false" ht="15" hidden="false" customHeight="false" outlineLevel="0" collapsed="false">
      <c r="A528" s="7" t="n">
        <v>2001</v>
      </c>
      <c r="B528" s="12" t="s">
        <v>81</v>
      </c>
      <c r="C528" s="12" t="s">
        <v>72</v>
      </c>
      <c r="D528" s="12" t="s">
        <v>46</v>
      </c>
      <c r="E528" s="16" t="n">
        <v>35.323164</v>
      </c>
      <c r="F528" s="16" t="n">
        <v>0</v>
      </c>
      <c r="G528" s="16" t="n">
        <v>18.379473</v>
      </c>
    </row>
    <row r="529" customFormat="false" ht="15" hidden="false" customHeight="false" outlineLevel="0" collapsed="false">
      <c r="A529" s="7" t="n">
        <v>2001</v>
      </c>
      <c r="B529" s="12" t="s">
        <v>81</v>
      </c>
      <c r="C529" s="12" t="s">
        <v>72</v>
      </c>
      <c r="D529" s="12" t="s">
        <v>45</v>
      </c>
      <c r="E529" s="16" t="n">
        <v>27.895563</v>
      </c>
      <c r="F529" s="16" t="n">
        <v>26.888973</v>
      </c>
      <c r="G529" s="16" t="n">
        <v>0</v>
      </c>
    </row>
    <row r="530" customFormat="false" ht="15" hidden="false" customHeight="false" outlineLevel="0" collapsed="false">
      <c r="A530" s="7" t="n">
        <v>2002</v>
      </c>
      <c r="B530" s="12" t="s">
        <v>56</v>
      </c>
      <c r="C530" s="12" t="s">
        <v>57</v>
      </c>
      <c r="D530" s="12" t="s">
        <v>49</v>
      </c>
      <c r="E530" s="16" t="n">
        <v>31.677758</v>
      </c>
      <c r="F530" s="16" t="n">
        <v>0</v>
      </c>
      <c r="G530" s="16" t="n">
        <v>4.792936</v>
      </c>
    </row>
    <row r="531" customFormat="false" ht="15" hidden="false" customHeight="false" outlineLevel="0" collapsed="false">
      <c r="A531" s="7" t="n">
        <v>2002</v>
      </c>
      <c r="B531" s="12" t="s">
        <v>56</v>
      </c>
      <c r="C531" s="12" t="s">
        <v>57</v>
      </c>
      <c r="D531" s="12" t="s">
        <v>48</v>
      </c>
      <c r="E531" s="16" t="n">
        <v>16.79412</v>
      </c>
      <c r="F531" s="16" t="n">
        <v>0</v>
      </c>
      <c r="G531" s="16" t="n">
        <v>0</v>
      </c>
    </row>
    <row r="532" customFormat="false" ht="15" hidden="false" customHeight="false" outlineLevel="0" collapsed="false">
      <c r="A532" s="7" t="n">
        <v>2002</v>
      </c>
      <c r="B532" s="12" t="s">
        <v>56</v>
      </c>
      <c r="C532" s="12" t="s">
        <v>57</v>
      </c>
      <c r="D532" s="12" t="s">
        <v>46</v>
      </c>
      <c r="E532" s="16" t="n">
        <v>14.181512</v>
      </c>
      <c r="F532" s="16" t="n">
        <v>0</v>
      </c>
      <c r="G532" s="16" t="n">
        <v>9.25533</v>
      </c>
    </row>
    <row r="533" customFormat="false" ht="15" hidden="false" customHeight="false" outlineLevel="0" collapsed="false">
      <c r="A533" s="7" t="n">
        <v>2002</v>
      </c>
      <c r="B533" s="12" t="s">
        <v>56</v>
      </c>
      <c r="C533" s="12" t="s">
        <v>57</v>
      </c>
      <c r="D533" s="12" t="s">
        <v>45</v>
      </c>
      <c r="E533" s="16" t="n">
        <v>7.23501</v>
      </c>
      <c r="F533" s="16" t="n">
        <v>0.232948</v>
      </c>
      <c r="G533" s="16" t="n">
        <v>5.433662</v>
      </c>
    </row>
    <row r="534" customFormat="false" ht="15" hidden="false" customHeight="false" outlineLevel="0" collapsed="false">
      <c r="A534" s="7" t="n">
        <v>2002</v>
      </c>
      <c r="B534" s="12" t="s">
        <v>58</v>
      </c>
      <c r="C534" s="12" t="s">
        <v>59</v>
      </c>
      <c r="D534" s="12" t="s">
        <v>49</v>
      </c>
      <c r="E534" s="16" t="n">
        <v>137.639599</v>
      </c>
      <c r="F534" s="16" t="n">
        <v>0</v>
      </c>
      <c r="G534" s="16" t="n">
        <v>23.671084</v>
      </c>
    </row>
    <row r="535" customFormat="false" ht="15" hidden="false" customHeight="false" outlineLevel="0" collapsed="false">
      <c r="A535" s="7" t="n">
        <v>2002</v>
      </c>
      <c r="B535" s="12" t="s">
        <v>58</v>
      </c>
      <c r="C535" s="12" t="s">
        <v>59</v>
      </c>
      <c r="D535" s="12" t="s">
        <v>48</v>
      </c>
      <c r="E535" s="16" t="n">
        <v>52.421136</v>
      </c>
      <c r="F535" s="16" t="n">
        <v>0</v>
      </c>
      <c r="G535" s="16" t="n">
        <v>0</v>
      </c>
    </row>
    <row r="536" customFormat="false" ht="15" hidden="false" customHeight="false" outlineLevel="0" collapsed="false">
      <c r="A536" s="7" t="n">
        <v>2002</v>
      </c>
      <c r="B536" s="12" t="s">
        <v>58</v>
      </c>
      <c r="C536" s="12" t="s">
        <v>59</v>
      </c>
      <c r="D536" s="12" t="s">
        <v>46</v>
      </c>
      <c r="E536" s="16" t="n">
        <v>113.70549</v>
      </c>
      <c r="F536" s="16" t="n">
        <v>0</v>
      </c>
      <c r="G536" s="16" t="n">
        <v>89.377993</v>
      </c>
    </row>
    <row r="537" customFormat="false" ht="15" hidden="false" customHeight="false" outlineLevel="0" collapsed="false">
      <c r="A537" s="7" t="n">
        <v>2002</v>
      </c>
      <c r="B537" s="12" t="s">
        <v>58</v>
      </c>
      <c r="C537" s="12" t="s">
        <v>59</v>
      </c>
      <c r="D537" s="12" t="s">
        <v>45</v>
      </c>
      <c r="E537" s="16" t="n">
        <v>29.022146</v>
      </c>
      <c r="F537" s="16" t="n">
        <v>0.000983</v>
      </c>
      <c r="G537" s="16" t="n">
        <v>11.8647</v>
      </c>
    </row>
    <row r="538" customFormat="false" ht="15" hidden="false" customHeight="false" outlineLevel="0" collapsed="false">
      <c r="A538" s="7" t="n">
        <v>2002</v>
      </c>
      <c r="B538" s="12" t="s">
        <v>60</v>
      </c>
      <c r="C538" s="12" t="s">
        <v>59</v>
      </c>
      <c r="D538" s="12" t="s">
        <v>49</v>
      </c>
      <c r="E538" s="16" t="n">
        <v>325.648453</v>
      </c>
      <c r="F538" s="16" t="n">
        <v>0</v>
      </c>
      <c r="G538" s="16" t="n">
        <v>68.615346</v>
      </c>
    </row>
    <row r="539" customFormat="false" ht="15" hidden="false" customHeight="false" outlineLevel="0" collapsed="false">
      <c r="A539" s="7" t="n">
        <v>2002</v>
      </c>
      <c r="B539" s="12" t="s">
        <v>60</v>
      </c>
      <c r="C539" s="12" t="s">
        <v>59</v>
      </c>
      <c r="D539" s="12" t="s">
        <v>48</v>
      </c>
      <c r="E539" s="16" t="n">
        <v>222.20505</v>
      </c>
      <c r="F539" s="16" t="n">
        <v>0</v>
      </c>
      <c r="G539" s="16" t="n">
        <v>0</v>
      </c>
    </row>
    <row r="540" customFormat="false" ht="15" hidden="false" customHeight="false" outlineLevel="0" collapsed="false">
      <c r="A540" s="7" t="n">
        <v>2002</v>
      </c>
      <c r="B540" s="12" t="s">
        <v>60</v>
      </c>
      <c r="C540" s="12" t="s">
        <v>59</v>
      </c>
      <c r="D540" s="12" t="s">
        <v>46</v>
      </c>
      <c r="E540" s="16" t="n">
        <v>327.213711</v>
      </c>
      <c r="F540" s="16" t="n">
        <v>0</v>
      </c>
      <c r="G540" s="16" t="n">
        <v>253.936572</v>
      </c>
    </row>
    <row r="541" customFormat="false" ht="15" hidden="false" customHeight="false" outlineLevel="0" collapsed="false">
      <c r="A541" s="7" t="n">
        <v>2002</v>
      </c>
      <c r="B541" s="12" t="s">
        <v>60</v>
      </c>
      <c r="C541" s="12" t="s">
        <v>59</v>
      </c>
      <c r="D541" s="12" t="s">
        <v>45</v>
      </c>
      <c r="E541" s="16" t="n">
        <v>49.292842</v>
      </c>
      <c r="F541" s="16" t="n">
        <v>1.624726</v>
      </c>
      <c r="G541" s="16" t="n">
        <v>36.615165</v>
      </c>
    </row>
    <row r="542" customFormat="false" ht="15" hidden="false" customHeight="false" outlineLevel="0" collapsed="false">
      <c r="A542" s="7" t="n">
        <v>2002</v>
      </c>
      <c r="B542" s="12" t="s">
        <v>63</v>
      </c>
      <c r="C542" s="12" t="s">
        <v>62</v>
      </c>
      <c r="D542" s="12" t="s">
        <v>49</v>
      </c>
      <c r="E542" s="16" t="n">
        <v>419.656784</v>
      </c>
      <c r="F542" s="16" t="n">
        <v>0</v>
      </c>
      <c r="G542" s="16" t="n">
        <v>80.689086</v>
      </c>
    </row>
    <row r="543" customFormat="false" ht="15" hidden="false" customHeight="false" outlineLevel="0" collapsed="false">
      <c r="A543" s="7" t="n">
        <v>2002</v>
      </c>
      <c r="B543" s="12" t="s">
        <v>63</v>
      </c>
      <c r="C543" s="12" t="s">
        <v>62</v>
      </c>
      <c r="D543" s="12" t="s">
        <v>48</v>
      </c>
      <c r="E543" s="16" t="n">
        <v>160.329648</v>
      </c>
      <c r="F543" s="16" t="n">
        <v>0</v>
      </c>
      <c r="G543" s="16" t="n">
        <v>0</v>
      </c>
    </row>
    <row r="544" customFormat="false" ht="15" hidden="false" customHeight="false" outlineLevel="0" collapsed="false">
      <c r="A544" s="7" t="n">
        <v>2002</v>
      </c>
      <c r="B544" s="12" t="s">
        <v>63</v>
      </c>
      <c r="C544" s="12" t="s">
        <v>62</v>
      </c>
      <c r="D544" s="12" t="s">
        <v>46</v>
      </c>
      <c r="E544" s="16" t="n">
        <v>180.204074</v>
      </c>
      <c r="F544" s="16" t="n">
        <v>0</v>
      </c>
      <c r="G544" s="16" t="n">
        <v>185.746338</v>
      </c>
    </row>
    <row r="545" customFormat="false" ht="15" hidden="false" customHeight="false" outlineLevel="0" collapsed="false">
      <c r="A545" s="7" t="n">
        <v>2002</v>
      </c>
      <c r="B545" s="12" t="s">
        <v>63</v>
      </c>
      <c r="C545" s="12" t="s">
        <v>62</v>
      </c>
      <c r="D545" s="12" t="s">
        <v>45</v>
      </c>
      <c r="E545" s="16" t="n">
        <v>124.60778</v>
      </c>
      <c r="F545" s="16" t="n">
        <v>116.697795</v>
      </c>
      <c r="G545" s="16" t="n">
        <v>0.76</v>
      </c>
    </row>
    <row r="546" customFormat="false" ht="15" hidden="false" customHeight="false" outlineLevel="0" collapsed="false">
      <c r="A546" s="7" t="n">
        <v>2002</v>
      </c>
      <c r="B546" s="12" t="s">
        <v>64</v>
      </c>
      <c r="C546" s="12" t="s">
        <v>65</v>
      </c>
      <c r="D546" s="12" t="s">
        <v>49</v>
      </c>
      <c r="E546" s="16" t="n">
        <v>199.379738</v>
      </c>
      <c r="F546" s="16" t="n">
        <v>0</v>
      </c>
      <c r="G546" s="16" t="n">
        <v>14.005813</v>
      </c>
    </row>
    <row r="547" customFormat="false" ht="15" hidden="false" customHeight="false" outlineLevel="0" collapsed="false">
      <c r="A547" s="7" t="n">
        <v>2002</v>
      </c>
      <c r="B547" s="12" t="s">
        <v>64</v>
      </c>
      <c r="C547" s="12" t="s">
        <v>65</v>
      </c>
      <c r="D547" s="12" t="s">
        <v>48</v>
      </c>
      <c r="E547" s="16" t="n">
        <v>49.854203</v>
      </c>
      <c r="F547" s="16" t="n">
        <v>0</v>
      </c>
      <c r="G547" s="16" t="n">
        <v>0</v>
      </c>
    </row>
    <row r="548" customFormat="false" ht="15" hidden="false" customHeight="false" outlineLevel="0" collapsed="false">
      <c r="A548" s="7" t="n">
        <v>2002</v>
      </c>
      <c r="B548" s="12" t="s">
        <v>64</v>
      </c>
      <c r="C548" s="12" t="s">
        <v>65</v>
      </c>
      <c r="D548" s="12" t="s">
        <v>46</v>
      </c>
      <c r="E548" s="16" t="n">
        <v>37.999473</v>
      </c>
      <c r="F548" s="16" t="n">
        <v>0</v>
      </c>
      <c r="G548" s="16" t="n">
        <v>53.589051</v>
      </c>
    </row>
    <row r="549" customFormat="false" ht="15" hidden="false" customHeight="false" outlineLevel="0" collapsed="false">
      <c r="A549" s="7" t="n">
        <v>2002</v>
      </c>
      <c r="B549" s="12" t="s">
        <v>64</v>
      </c>
      <c r="C549" s="12" t="s">
        <v>65</v>
      </c>
      <c r="D549" s="12" t="s">
        <v>45</v>
      </c>
      <c r="E549" s="16" t="n">
        <v>33.82066</v>
      </c>
      <c r="F549" s="16" t="n">
        <v>19.508277</v>
      </c>
      <c r="G549" s="16" t="n">
        <v>13.791896</v>
      </c>
    </row>
    <row r="550" customFormat="false" ht="15" hidden="false" customHeight="false" outlineLevel="0" collapsed="false">
      <c r="A550" s="7" t="n">
        <v>2002</v>
      </c>
      <c r="B550" s="12" t="s">
        <v>66</v>
      </c>
      <c r="C550" s="12" t="s">
        <v>67</v>
      </c>
      <c r="D550" s="12" t="s">
        <v>49</v>
      </c>
      <c r="E550" s="16" t="n">
        <v>129.536464</v>
      </c>
      <c r="F550" s="16" t="n">
        <v>0</v>
      </c>
      <c r="G550" s="16" t="n">
        <v>7.103437</v>
      </c>
    </row>
    <row r="551" customFormat="false" ht="15" hidden="false" customHeight="false" outlineLevel="0" collapsed="false">
      <c r="A551" s="7" t="n">
        <v>2002</v>
      </c>
      <c r="B551" s="12" t="s">
        <v>66</v>
      </c>
      <c r="C551" s="12" t="s">
        <v>67</v>
      </c>
      <c r="D551" s="12" t="s">
        <v>48</v>
      </c>
      <c r="E551" s="16" t="n">
        <v>22.692088</v>
      </c>
      <c r="F551" s="16" t="n">
        <v>0</v>
      </c>
      <c r="G551" s="16" t="n">
        <v>0</v>
      </c>
    </row>
    <row r="552" customFormat="false" ht="15" hidden="false" customHeight="false" outlineLevel="0" collapsed="false">
      <c r="A552" s="7" t="n">
        <v>2002</v>
      </c>
      <c r="B552" s="12" t="s">
        <v>66</v>
      </c>
      <c r="C552" s="12" t="s">
        <v>67</v>
      </c>
      <c r="D552" s="12" t="s">
        <v>46</v>
      </c>
      <c r="E552" s="16" t="n">
        <v>44.46603</v>
      </c>
      <c r="F552" s="16" t="n">
        <v>0</v>
      </c>
      <c r="G552" s="16" t="n">
        <v>37.022919</v>
      </c>
    </row>
    <row r="553" customFormat="false" ht="15" hidden="false" customHeight="false" outlineLevel="0" collapsed="false">
      <c r="A553" s="7" t="n">
        <v>2002</v>
      </c>
      <c r="B553" s="12" t="s">
        <v>66</v>
      </c>
      <c r="C553" s="12" t="s">
        <v>67</v>
      </c>
      <c r="D553" s="12" t="s">
        <v>45</v>
      </c>
      <c r="E553" s="16" t="n">
        <v>-21.909508</v>
      </c>
      <c r="F553" s="16" t="n">
        <v>-36.063623</v>
      </c>
      <c r="G553" s="16" t="n">
        <v>17.971227</v>
      </c>
    </row>
    <row r="554" customFormat="false" ht="15" hidden="false" customHeight="false" outlineLevel="0" collapsed="false">
      <c r="A554" s="7" t="n">
        <v>2002</v>
      </c>
      <c r="B554" s="12" t="s">
        <v>68</v>
      </c>
      <c r="C554" s="12" t="s">
        <v>65</v>
      </c>
      <c r="D554" s="12" t="s">
        <v>49</v>
      </c>
      <c r="E554" s="16" t="n">
        <v>52.509696</v>
      </c>
      <c r="F554" s="16" t="n">
        <v>0</v>
      </c>
      <c r="G554" s="16" t="n">
        <v>15.084518</v>
      </c>
    </row>
    <row r="555" customFormat="false" ht="15" hidden="false" customHeight="false" outlineLevel="0" collapsed="false">
      <c r="A555" s="7" t="n">
        <v>2002</v>
      </c>
      <c r="B555" s="12" t="s">
        <v>68</v>
      </c>
      <c r="C555" s="12" t="s">
        <v>65</v>
      </c>
      <c r="D555" s="12" t="s">
        <v>48</v>
      </c>
      <c r="E555" s="16" t="n">
        <v>18.560904</v>
      </c>
      <c r="F555" s="16" t="n">
        <v>0</v>
      </c>
      <c r="G555" s="16" t="n">
        <v>0</v>
      </c>
    </row>
    <row r="556" customFormat="false" ht="15" hidden="false" customHeight="false" outlineLevel="0" collapsed="false">
      <c r="A556" s="7" t="n">
        <v>2002</v>
      </c>
      <c r="B556" s="12" t="s">
        <v>68</v>
      </c>
      <c r="C556" s="12" t="s">
        <v>65</v>
      </c>
      <c r="D556" s="12" t="s">
        <v>46</v>
      </c>
      <c r="E556" s="16" t="n">
        <v>35.493236</v>
      </c>
      <c r="F556" s="16" t="n">
        <v>0</v>
      </c>
      <c r="G556" s="16" t="n">
        <v>44.402457</v>
      </c>
    </row>
    <row r="557" customFormat="false" ht="15" hidden="false" customHeight="false" outlineLevel="0" collapsed="false">
      <c r="A557" s="7" t="n">
        <v>2002</v>
      </c>
      <c r="B557" s="12" t="s">
        <v>68</v>
      </c>
      <c r="C557" s="12" t="s">
        <v>65</v>
      </c>
      <c r="D557" s="12" t="s">
        <v>45</v>
      </c>
      <c r="E557" s="16" t="n">
        <v>6.390803</v>
      </c>
      <c r="F557" s="16" t="n">
        <v>0</v>
      </c>
      <c r="G557" s="16" t="n">
        <v>6.132418</v>
      </c>
    </row>
    <row r="558" customFormat="false" ht="15" hidden="false" customHeight="false" outlineLevel="0" collapsed="false">
      <c r="A558" s="7" t="n">
        <v>2002</v>
      </c>
      <c r="B558" s="12" t="s">
        <v>69</v>
      </c>
      <c r="C558" s="12" t="s">
        <v>70</v>
      </c>
      <c r="D558" s="12" t="s">
        <v>49</v>
      </c>
      <c r="E558" s="16" t="n">
        <v>64.165643</v>
      </c>
      <c r="F558" s="16" t="n">
        <v>0</v>
      </c>
      <c r="G558" s="16" t="n">
        <v>19.190101</v>
      </c>
    </row>
    <row r="559" customFormat="false" ht="15" hidden="false" customHeight="false" outlineLevel="0" collapsed="false">
      <c r="A559" s="7" t="n">
        <v>2002</v>
      </c>
      <c r="B559" s="12" t="s">
        <v>69</v>
      </c>
      <c r="C559" s="12" t="s">
        <v>70</v>
      </c>
      <c r="D559" s="12" t="s">
        <v>48</v>
      </c>
      <c r="E559" s="16" t="n">
        <v>44.746706</v>
      </c>
      <c r="F559" s="16" t="n">
        <v>0</v>
      </c>
      <c r="G559" s="16" t="n">
        <v>0</v>
      </c>
    </row>
    <row r="560" customFormat="false" ht="15" hidden="false" customHeight="false" outlineLevel="0" collapsed="false">
      <c r="A560" s="7" t="n">
        <v>2002</v>
      </c>
      <c r="B560" s="12" t="s">
        <v>69</v>
      </c>
      <c r="C560" s="12" t="s">
        <v>70</v>
      </c>
      <c r="D560" s="12" t="s">
        <v>46</v>
      </c>
      <c r="E560" s="16" t="n">
        <v>35.60122</v>
      </c>
      <c r="F560" s="16" t="n">
        <v>0</v>
      </c>
      <c r="G560" s="16" t="n">
        <v>38.763084</v>
      </c>
    </row>
    <row r="561" customFormat="false" ht="15" hidden="false" customHeight="false" outlineLevel="0" collapsed="false">
      <c r="A561" s="7" t="n">
        <v>2002</v>
      </c>
      <c r="B561" s="12" t="s">
        <v>69</v>
      </c>
      <c r="C561" s="12" t="s">
        <v>70</v>
      </c>
      <c r="D561" s="12" t="s">
        <v>45</v>
      </c>
      <c r="E561" s="16" t="n">
        <v>26.087094</v>
      </c>
      <c r="F561" s="16" t="n">
        <v>10.318775</v>
      </c>
      <c r="G561" s="16" t="n">
        <v>14.379958</v>
      </c>
    </row>
    <row r="562" customFormat="false" ht="15" hidden="false" customHeight="false" outlineLevel="0" collapsed="false">
      <c r="A562" s="7" t="n">
        <v>2002</v>
      </c>
      <c r="B562" s="12" t="s">
        <v>71</v>
      </c>
      <c r="C562" s="12" t="s">
        <v>72</v>
      </c>
      <c r="D562" s="12" t="s">
        <v>49</v>
      </c>
      <c r="E562" s="16" t="n">
        <v>22.105207</v>
      </c>
      <c r="F562" s="16" t="n">
        <v>0</v>
      </c>
      <c r="G562" s="16" t="n">
        <v>0.683569</v>
      </c>
    </row>
    <row r="563" customFormat="false" ht="15" hidden="false" customHeight="false" outlineLevel="0" collapsed="false">
      <c r="A563" s="7" t="n">
        <v>2002</v>
      </c>
      <c r="B563" s="12" t="s">
        <v>71</v>
      </c>
      <c r="C563" s="12" t="s">
        <v>72</v>
      </c>
      <c r="D563" s="12" t="s">
        <v>48</v>
      </c>
      <c r="E563" s="16" t="n">
        <v>9.587434</v>
      </c>
      <c r="F563" s="16" t="n">
        <v>0</v>
      </c>
      <c r="G563" s="16" t="n">
        <v>0</v>
      </c>
    </row>
    <row r="564" customFormat="false" ht="15" hidden="false" customHeight="false" outlineLevel="0" collapsed="false">
      <c r="A564" s="7" t="n">
        <v>2002</v>
      </c>
      <c r="B564" s="12" t="s">
        <v>71</v>
      </c>
      <c r="C564" s="12" t="s">
        <v>72</v>
      </c>
      <c r="D564" s="12" t="s">
        <v>46</v>
      </c>
      <c r="E564" s="16" t="n">
        <v>8.03168</v>
      </c>
      <c r="F564" s="16" t="n">
        <v>0</v>
      </c>
      <c r="G564" s="16" t="n">
        <v>6.578154</v>
      </c>
    </row>
    <row r="565" customFormat="false" ht="15" hidden="false" customHeight="false" outlineLevel="0" collapsed="false">
      <c r="A565" s="7" t="n">
        <v>2002</v>
      </c>
      <c r="B565" s="12" t="s">
        <v>71</v>
      </c>
      <c r="C565" s="12" t="s">
        <v>72</v>
      </c>
      <c r="D565" s="12" t="s">
        <v>45</v>
      </c>
      <c r="E565" s="16" t="n">
        <v>10.349387</v>
      </c>
      <c r="F565" s="16" t="n">
        <v>10.293227</v>
      </c>
      <c r="G565" s="16" t="n">
        <v>0.878112</v>
      </c>
    </row>
    <row r="566" customFormat="false" ht="15" hidden="false" customHeight="false" outlineLevel="0" collapsed="false">
      <c r="A566" s="7" t="n">
        <v>2002</v>
      </c>
      <c r="B566" s="12" t="s">
        <v>73</v>
      </c>
      <c r="C566" s="12" t="s">
        <v>70</v>
      </c>
      <c r="D566" s="12" t="s">
        <v>49</v>
      </c>
      <c r="E566" s="16" t="n">
        <v>91.80637</v>
      </c>
      <c r="F566" s="16" t="n">
        <v>0</v>
      </c>
      <c r="G566" s="16" t="n">
        <v>44.182935</v>
      </c>
    </row>
    <row r="567" customFormat="false" ht="15" hidden="false" customHeight="false" outlineLevel="0" collapsed="false">
      <c r="A567" s="7" t="n">
        <v>2002</v>
      </c>
      <c r="B567" s="12" t="s">
        <v>73</v>
      </c>
      <c r="C567" s="12" t="s">
        <v>70</v>
      </c>
      <c r="D567" s="12" t="s">
        <v>48</v>
      </c>
      <c r="E567" s="16" t="n">
        <v>49.812892</v>
      </c>
      <c r="F567" s="16" t="n">
        <v>0</v>
      </c>
      <c r="G567" s="16" t="n">
        <v>0</v>
      </c>
    </row>
    <row r="568" customFormat="false" ht="15" hidden="false" customHeight="false" outlineLevel="0" collapsed="false">
      <c r="A568" s="7" t="n">
        <v>2002</v>
      </c>
      <c r="B568" s="12" t="s">
        <v>73</v>
      </c>
      <c r="C568" s="12" t="s">
        <v>70</v>
      </c>
      <c r="D568" s="12" t="s">
        <v>46</v>
      </c>
      <c r="E568" s="16" t="n">
        <v>63.986897</v>
      </c>
      <c r="F568" s="16" t="n">
        <v>0</v>
      </c>
      <c r="G568" s="16" t="n">
        <v>47.475981</v>
      </c>
    </row>
    <row r="569" customFormat="false" ht="15" hidden="false" customHeight="false" outlineLevel="0" collapsed="false">
      <c r="A569" s="7" t="n">
        <v>2002</v>
      </c>
      <c r="B569" s="12" t="s">
        <v>73</v>
      </c>
      <c r="C569" s="12" t="s">
        <v>70</v>
      </c>
      <c r="D569" s="12" t="s">
        <v>45</v>
      </c>
      <c r="E569" s="16" t="n">
        <v>11.008709</v>
      </c>
      <c r="F569" s="16" t="n">
        <v>2.738535</v>
      </c>
      <c r="G569" s="16" t="n">
        <v>8.933591</v>
      </c>
    </row>
    <row r="570" customFormat="false" ht="15" hidden="false" customHeight="false" outlineLevel="0" collapsed="false">
      <c r="A570" s="7" t="n">
        <v>2002</v>
      </c>
      <c r="B570" s="12" t="s">
        <v>74</v>
      </c>
      <c r="C570" s="12" t="s">
        <v>65</v>
      </c>
      <c r="D570" s="12" t="s">
        <v>49</v>
      </c>
      <c r="E570" s="16" t="n">
        <v>74.237796</v>
      </c>
      <c r="F570" s="16" t="n">
        <v>0</v>
      </c>
      <c r="G570" s="16" t="n">
        <v>14.679951</v>
      </c>
    </row>
    <row r="571" customFormat="false" ht="15" hidden="false" customHeight="false" outlineLevel="0" collapsed="false">
      <c r="A571" s="7" t="n">
        <v>2002</v>
      </c>
      <c r="B571" s="12" t="s">
        <v>74</v>
      </c>
      <c r="C571" s="12" t="s">
        <v>65</v>
      </c>
      <c r="D571" s="12" t="s">
        <v>48</v>
      </c>
      <c r="E571" s="16" t="n">
        <v>27.806885</v>
      </c>
      <c r="F571" s="16" t="n">
        <v>0</v>
      </c>
      <c r="G571" s="16" t="n">
        <v>0</v>
      </c>
    </row>
    <row r="572" customFormat="false" ht="15" hidden="false" customHeight="false" outlineLevel="0" collapsed="false">
      <c r="A572" s="7" t="n">
        <v>2002</v>
      </c>
      <c r="B572" s="12" t="s">
        <v>74</v>
      </c>
      <c r="C572" s="12" t="s">
        <v>65</v>
      </c>
      <c r="D572" s="12" t="s">
        <v>46</v>
      </c>
      <c r="E572" s="16" t="n">
        <v>25.359613</v>
      </c>
      <c r="F572" s="16" t="n">
        <v>0</v>
      </c>
      <c r="G572" s="16" t="n">
        <v>39.566122</v>
      </c>
    </row>
    <row r="573" customFormat="false" ht="15" hidden="false" customHeight="false" outlineLevel="0" collapsed="false">
      <c r="A573" s="7" t="n">
        <v>2002</v>
      </c>
      <c r="B573" s="12" t="s">
        <v>74</v>
      </c>
      <c r="C573" s="12" t="s">
        <v>65</v>
      </c>
      <c r="D573" s="12" t="s">
        <v>45</v>
      </c>
      <c r="E573" s="16" t="n">
        <v>8.998415</v>
      </c>
      <c r="F573" s="16" t="n">
        <v>0</v>
      </c>
      <c r="G573" s="16" t="n">
        <v>19.486081</v>
      </c>
    </row>
    <row r="574" customFormat="false" ht="15" hidden="false" customHeight="false" outlineLevel="0" collapsed="false">
      <c r="A574" s="7" t="n">
        <v>2002</v>
      </c>
      <c r="B574" s="12" t="s">
        <v>75</v>
      </c>
      <c r="C574" s="12" t="s">
        <v>57</v>
      </c>
      <c r="D574" s="12" t="s">
        <v>49</v>
      </c>
      <c r="E574" s="16" t="n">
        <v>139.427668</v>
      </c>
      <c r="F574" s="16" t="n">
        <v>0</v>
      </c>
      <c r="G574" s="16" t="n">
        <v>38.910114</v>
      </c>
    </row>
    <row r="575" customFormat="false" ht="15" hidden="false" customHeight="false" outlineLevel="0" collapsed="false">
      <c r="A575" s="7" t="n">
        <v>2002</v>
      </c>
      <c r="B575" s="12" t="s">
        <v>75</v>
      </c>
      <c r="C575" s="12" t="s">
        <v>57</v>
      </c>
      <c r="D575" s="12" t="s">
        <v>48</v>
      </c>
      <c r="E575" s="16" t="n">
        <v>108.071444</v>
      </c>
      <c r="F575" s="16" t="n">
        <v>0</v>
      </c>
      <c r="G575" s="16" t="n">
        <v>0</v>
      </c>
    </row>
    <row r="576" customFormat="false" ht="15" hidden="false" customHeight="false" outlineLevel="0" collapsed="false">
      <c r="A576" s="7" t="n">
        <v>2002</v>
      </c>
      <c r="B576" s="12" t="s">
        <v>75</v>
      </c>
      <c r="C576" s="12" t="s">
        <v>57</v>
      </c>
      <c r="D576" s="12" t="s">
        <v>46</v>
      </c>
      <c r="E576" s="16" t="n">
        <v>81.12359</v>
      </c>
      <c r="F576" s="16" t="n">
        <v>0</v>
      </c>
      <c r="G576" s="16" t="n">
        <v>66.186071</v>
      </c>
    </row>
    <row r="577" customFormat="false" ht="15" hidden="false" customHeight="false" outlineLevel="0" collapsed="false">
      <c r="A577" s="7" t="n">
        <v>2002</v>
      </c>
      <c r="B577" s="12" t="s">
        <v>75</v>
      </c>
      <c r="C577" s="12" t="s">
        <v>57</v>
      </c>
      <c r="D577" s="12" t="s">
        <v>45</v>
      </c>
      <c r="E577" s="16" t="n">
        <v>91.117278</v>
      </c>
      <c r="F577" s="16" t="n">
        <v>34.911337</v>
      </c>
      <c r="G577" s="16" t="n">
        <v>22.647051</v>
      </c>
    </row>
    <row r="578" customFormat="false" ht="15" hidden="false" customHeight="false" outlineLevel="0" collapsed="false">
      <c r="A578" s="7" t="n">
        <v>2002</v>
      </c>
      <c r="B578" s="12" t="s">
        <v>76</v>
      </c>
      <c r="C578" s="12" t="s">
        <v>72</v>
      </c>
      <c r="D578" s="12" t="s">
        <v>49</v>
      </c>
      <c r="E578" s="16" t="n">
        <v>20.49819</v>
      </c>
      <c r="F578" s="16" t="n">
        <v>0</v>
      </c>
      <c r="G578" s="16" t="n">
        <v>4.747327</v>
      </c>
    </row>
    <row r="579" customFormat="false" ht="15" hidden="false" customHeight="false" outlineLevel="0" collapsed="false">
      <c r="A579" s="7" t="n">
        <v>2002</v>
      </c>
      <c r="B579" s="12" t="s">
        <v>76</v>
      </c>
      <c r="C579" s="12" t="s">
        <v>72</v>
      </c>
      <c r="D579" s="12" t="s">
        <v>48</v>
      </c>
      <c r="E579" s="16" t="n">
        <v>14.881885</v>
      </c>
      <c r="F579" s="16" t="n">
        <v>0</v>
      </c>
      <c r="G579" s="16" t="n">
        <v>0</v>
      </c>
    </row>
    <row r="580" customFormat="false" ht="15" hidden="false" customHeight="false" outlineLevel="0" collapsed="false">
      <c r="A580" s="7" t="n">
        <v>2002</v>
      </c>
      <c r="B580" s="12" t="s">
        <v>76</v>
      </c>
      <c r="C580" s="12" t="s">
        <v>72</v>
      </c>
      <c r="D580" s="12" t="s">
        <v>46</v>
      </c>
      <c r="E580" s="16" t="n">
        <v>19.965734</v>
      </c>
      <c r="F580" s="16" t="n">
        <v>0</v>
      </c>
      <c r="G580" s="16" t="n">
        <v>16.170434</v>
      </c>
    </row>
    <row r="581" customFormat="false" ht="15" hidden="false" customHeight="false" outlineLevel="0" collapsed="false">
      <c r="A581" s="7" t="n">
        <v>2002</v>
      </c>
      <c r="B581" s="12" t="s">
        <v>76</v>
      </c>
      <c r="C581" s="12" t="s">
        <v>72</v>
      </c>
      <c r="D581" s="12" t="s">
        <v>45</v>
      </c>
      <c r="E581" s="16" t="n">
        <v>19.321874</v>
      </c>
      <c r="F581" s="16" t="n">
        <v>0</v>
      </c>
      <c r="G581" s="16" t="n">
        <v>9.358272</v>
      </c>
    </row>
    <row r="582" customFormat="false" ht="15" hidden="false" customHeight="false" outlineLevel="0" collapsed="false">
      <c r="A582" s="7" t="n">
        <v>2002</v>
      </c>
      <c r="B582" s="12" t="s">
        <v>77</v>
      </c>
      <c r="C582" s="12" t="s">
        <v>57</v>
      </c>
      <c r="D582" s="12" t="s">
        <v>49</v>
      </c>
      <c r="E582" s="16" t="n">
        <v>29.800013</v>
      </c>
      <c r="F582" s="16" t="n">
        <v>0</v>
      </c>
      <c r="G582" s="16" t="n">
        <v>3.658941</v>
      </c>
    </row>
    <row r="583" customFormat="false" ht="15" hidden="false" customHeight="false" outlineLevel="0" collapsed="false">
      <c r="A583" s="7" t="n">
        <v>2002</v>
      </c>
      <c r="B583" s="12" t="s">
        <v>77</v>
      </c>
      <c r="C583" s="12" t="s">
        <v>57</v>
      </c>
      <c r="D583" s="12" t="s">
        <v>48</v>
      </c>
      <c r="E583" s="16" t="n">
        <v>13.525659</v>
      </c>
      <c r="F583" s="16" t="n">
        <v>0</v>
      </c>
      <c r="G583" s="16" t="n">
        <v>0</v>
      </c>
    </row>
    <row r="584" customFormat="false" ht="15" hidden="false" customHeight="false" outlineLevel="0" collapsed="false">
      <c r="A584" s="7" t="n">
        <v>2002</v>
      </c>
      <c r="B584" s="12" t="s">
        <v>77</v>
      </c>
      <c r="C584" s="12" t="s">
        <v>57</v>
      </c>
      <c r="D584" s="12" t="s">
        <v>46</v>
      </c>
      <c r="E584" s="16" t="n">
        <v>8.364057</v>
      </c>
      <c r="F584" s="16" t="n">
        <v>0</v>
      </c>
      <c r="G584" s="16" t="n">
        <v>7.592973</v>
      </c>
    </row>
    <row r="585" customFormat="false" ht="15" hidden="false" customHeight="false" outlineLevel="0" collapsed="false">
      <c r="A585" s="7" t="n">
        <v>2002</v>
      </c>
      <c r="B585" s="12" t="s">
        <v>77</v>
      </c>
      <c r="C585" s="12" t="s">
        <v>57</v>
      </c>
      <c r="D585" s="12" t="s">
        <v>45</v>
      </c>
      <c r="E585" s="16" t="n">
        <v>4.456418</v>
      </c>
      <c r="F585" s="16" t="n">
        <v>0</v>
      </c>
      <c r="G585" s="16" t="n">
        <v>3.169915</v>
      </c>
    </row>
    <row r="586" customFormat="false" ht="15" hidden="false" customHeight="false" outlineLevel="0" collapsed="false">
      <c r="A586" s="7" t="n">
        <v>2002</v>
      </c>
      <c r="B586" s="12" t="s">
        <v>78</v>
      </c>
      <c r="C586" s="12" t="s">
        <v>65</v>
      </c>
      <c r="D586" s="12" t="s">
        <v>49</v>
      </c>
      <c r="E586" s="16" t="n">
        <v>25.348607</v>
      </c>
      <c r="F586" s="16" t="n">
        <v>0</v>
      </c>
      <c r="G586" s="16" t="n">
        <v>1.249936</v>
      </c>
    </row>
    <row r="587" customFormat="false" ht="15" hidden="false" customHeight="false" outlineLevel="0" collapsed="false">
      <c r="A587" s="7" t="n">
        <v>2002</v>
      </c>
      <c r="B587" s="12" t="s">
        <v>78</v>
      </c>
      <c r="C587" s="12" t="s">
        <v>65</v>
      </c>
      <c r="D587" s="12" t="s">
        <v>48</v>
      </c>
      <c r="E587" s="16" t="n">
        <v>4.554903</v>
      </c>
      <c r="F587" s="16" t="n">
        <v>0</v>
      </c>
      <c r="G587" s="16" t="n">
        <v>0</v>
      </c>
    </row>
    <row r="588" customFormat="false" ht="15" hidden="false" customHeight="false" outlineLevel="0" collapsed="false">
      <c r="A588" s="7" t="n">
        <v>2002</v>
      </c>
      <c r="B588" s="12" t="s">
        <v>78</v>
      </c>
      <c r="C588" s="12" t="s">
        <v>65</v>
      </c>
      <c r="D588" s="12" t="s">
        <v>46</v>
      </c>
      <c r="E588" s="16" t="n">
        <v>7.758286</v>
      </c>
      <c r="F588" s="16" t="n">
        <v>0</v>
      </c>
      <c r="G588" s="16" t="n">
        <v>9.13561</v>
      </c>
    </row>
    <row r="589" customFormat="false" ht="15" hidden="false" customHeight="false" outlineLevel="0" collapsed="false">
      <c r="A589" s="7" t="n">
        <v>2002</v>
      </c>
      <c r="B589" s="12" t="s">
        <v>78</v>
      </c>
      <c r="C589" s="12" t="s">
        <v>65</v>
      </c>
      <c r="D589" s="12" t="s">
        <v>45</v>
      </c>
      <c r="E589" s="16" t="n">
        <v>1.354151</v>
      </c>
      <c r="F589" s="16" t="n">
        <v>0</v>
      </c>
      <c r="G589" s="16" t="n">
        <v>3.323823</v>
      </c>
    </row>
    <row r="590" customFormat="false" ht="15" hidden="false" customHeight="false" outlineLevel="0" collapsed="false">
      <c r="A590" s="7" t="n">
        <v>2002</v>
      </c>
      <c r="B590" s="12" t="s">
        <v>79</v>
      </c>
      <c r="C590" s="12" t="s">
        <v>72</v>
      </c>
      <c r="D590" s="12" t="s">
        <v>49</v>
      </c>
      <c r="E590" s="16" t="n">
        <v>156.881771</v>
      </c>
      <c r="F590" s="16" t="n">
        <v>0</v>
      </c>
      <c r="G590" s="16" t="n">
        <v>34.368258</v>
      </c>
    </row>
    <row r="591" customFormat="false" ht="15" hidden="false" customHeight="false" outlineLevel="0" collapsed="false">
      <c r="A591" s="7" t="n">
        <v>2002</v>
      </c>
      <c r="B591" s="12" t="s">
        <v>79</v>
      </c>
      <c r="C591" s="12" t="s">
        <v>72</v>
      </c>
      <c r="D591" s="12" t="s">
        <v>48</v>
      </c>
      <c r="E591" s="16" t="n">
        <v>75.142208</v>
      </c>
      <c r="F591" s="16" t="n">
        <v>0</v>
      </c>
      <c r="G591" s="16" t="n">
        <v>0</v>
      </c>
    </row>
    <row r="592" customFormat="false" ht="15" hidden="false" customHeight="false" outlineLevel="0" collapsed="false">
      <c r="A592" s="7" t="n">
        <v>2002</v>
      </c>
      <c r="B592" s="12" t="s">
        <v>79</v>
      </c>
      <c r="C592" s="12" t="s">
        <v>72</v>
      </c>
      <c r="D592" s="12" t="s">
        <v>46</v>
      </c>
      <c r="E592" s="16" t="n">
        <v>72.968897</v>
      </c>
      <c r="F592" s="16" t="n">
        <v>0</v>
      </c>
      <c r="G592" s="16" t="n">
        <v>75.326504</v>
      </c>
    </row>
    <row r="593" customFormat="false" ht="15" hidden="false" customHeight="false" outlineLevel="0" collapsed="false">
      <c r="A593" s="7" t="n">
        <v>2002</v>
      </c>
      <c r="B593" s="12" t="s">
        <v>79</v>
      </c>
      <c r="C593" s="12" t="s">
        <v>72</v>
      </c>
      <c r="D593" s="12" t="s">
        <v>45</v>
      </c>
      <c r="E593" s="16" t="n">
        <v>71.887938</v>
      </c>
      <c r="F593" s="16" t="n">
        <v>70.749828</v>
      </c>
      <c r="G593" s="16" t="n">
        <v>0</v>
      </c>
    </row>
    <row r="594" customFormat="false" ht="15" hidden="false" customHeight="false" outlineLevel="0" collapsed="false">
      <c r="A594" s="7" t="n">
        <v>2002</v>
      </c>
      <c r="B594" s="12" t="s">
        <v>80</v>
      </c>
      <c r="C594" s="12" t="s">
        <v>72</v>
      </c>
      <c r="D594" s="12" t="s">
        <v>49</v>
      </c>
      <c r="E594" s="16" t="n">
        <v>47.564631</v>
      </c>
      <c r="F594" s="16" t="n">
        <v>0</v>
      </c>
      <c r="G594" s="16" t="n">
        <v>26.928412</v>
      </c>
    </row>
    <row r="595" customFormat="false" ht="15" hidden="false" customHeight="false" outlineLevel="0" collapsed="false">
      <c r="A595" s="7" t="n">
        <v>2002</v>
      </c>
      <c r="B595" s="12" t="s">
        <v>80</v>
      </c>
      <c r="C595" s="12" t="s">
        <v>72</v>
      </c>
      <c r="D595" s="12" t="s">
        <v>48</v>
      </c>
      <c r="E595" s="16" t="n">
        <v>33.803507</v>
      </c>
      <c r="F595" s="16" t="n">
        <v>0</v>
      </c>
      <c r="G595" s="16" t="n">
        <v>0</v>
      </c>
    </row>
    <row r="596" customFormat="false" ht="15" hidden="false" customHeight="false" outlineLevel="0" collapsed="false">
      <c r="A596" s="7" t="n">
        <v>2002</v>
      </c>
      <c r="B596" s="12" t="s">
        <v>80</v>
      </c>
      <c r="C596" s="12" t="s">
        <v>72</v>
      </c>
      <c r="D596" s="12" t="s">
        <v>46</v>
      </c>
      <c r="E596" s="16" t="n">
        <v>23.068633</v>
      </c>
      <c r="F596" s="16" t="n">
        <v>0</v>
      </c>
      <c r="G596" s="16" t="n">
        <v>30.003179</v>
      </c>
    </row>
    <row r="597" customFormat="false" ht="15" hidden="false" customHeight="false" outlineLevel="0" collapsed="false">
      <c r="A597" s="7" t="n">
        <v>2002</v>
      </c>
      <c r="B597" s="12" t="s">
        <v>80</v>
      </c>
      <c r="C597" s="12" t="s">
        <v>72</v>
      </c>
      <c r="D597" s="12" t="s">
        <v>45</v>
      </c>
      <c r="E597" s="16" t="n">
        <v>46.379726</v>
      </c>
      <c r="F597" s="16" t="n">
        <v>46.382248</v>
      </c>
      <c r="G597" s="16" t="n">
        <v>0</v>
      </c>
    </row>
    <row r="598" customFormat="false" ht="15" hidden="false" customHeight="false" outlineLevel="0" collapsed="false">
      <c r="A598" s="7" t="n">
        <v>2002</v>
      </c>
      <c r="B598" s="12" t="s">
        <v>81</v>
      </c>
      <c r="C598" s="12" t="s">
        <v>72</v>
      </c>
      <c r="D598" s="12" t="s">
        <v>49</v>
      </c>
      <c r="E598" s="16" t="n">
        <v>45.022423</v>
      </c>
      <c r="F598" s="16" t="n">
        <v>0</v>
      </c>
      <c r="G598" s="16" t="n">
        <v>10.624576</v>
      </c>
    </row>
    <row r="599" customFormat="false" ht="15" hidden="false" customHeight="false" outlineLevel="0" collapsed="false">
      <c r="A599" s="7" t="n">
        <v>2002</v>
      </c>
      <c r="B599" s="12" t="s">
        <v>81</v>
      </c>
      <c r="C599" s="12" t="s">
        <v>72</v>
      </c>
      <c r="D599" s="12" t="s">
        <v>48</v>
      </c>
      <c r="E599" s="16" t="n">
        <v>40.399277</v>
      </c>
      <c r="F599" s="16" t="n">
        <v>0</v>
      </c>
      <c r="G599" s="16" t="n">
        <v>0</v>
      </c>
    </row>
    <row r="600" customFormat="false" ht="15" hidden="false" customHeight="false" outlineLevel="0" collapsed="false">
      <c r="A600" s="7" t="n">
        <v>2002</v>
      </c>
      <c r="B600" s="12" t="s">
        <v>81</v>
      </c>
      <c r="C600" s="12" t="s">
        <v>72</v>
      </c>
      <c r="D600" s="12" t="s">
        <v>46</v>
      </c>
      <c r="E600" s="16" t="n">
        <v>38.166273</v>
      </c>
      <c r="F600" s="16" t="n">
        <v>0</v>
      </c>
      <c r="G600" s="16" t="n">
        <v>20.603973</v>
      </c>
    </row>
    <row r="601" customFormat="false" ht="15" hidden="false" customHeight="false" outlineLevel="0" collapsed="false">
      <c r="A601" s="7" t="n">
        <v>2002</v>
      </c>
      <c r="B601" s="12" t="s">
        <v>81</v>
      </c>
      <c r="C601" s="12" t="s">
        <v>72</v>
      </c>
      <c r="D601" s="12" t="s">
        <v>45</v>
      </c>
      <c r="E601" s="16" t="n">
        <v>37.225138</v>
      </c>
      <c r="F601" s="16" t="n">
        <v>36.10217</v>
      </c>
      <c r="G601" s="16" t="n">
        <v>0</v>
      </c>
    </row>
    <row r="602" customFormat="false" ht="15" hidden="false" customHeight="false" outlineLevel="0" collapsed="false">
      <c r="A602" s="7" t="n">
        <v>2003</v>
      </c>
      <c r="B602" s="12" t="s">
        <v>56</v>
      </c>
      <c r="C602" s="12" t="s">
        <v>57</v>
      </c>
      <c r="D602" s="12" t="s">
        <v>49</v>
      </c>
      <c r="E602" s="16" t="n">
        <v>48.074408</v>
      </c>
      <c r="F602" s="16" t="n">
        <v>0</v>
      </c>
      <c r="G602" s="16" t="n">
        <v>5.230718</v>
      </c>
    </row>
    <row r="603" customFormat="false" ht="15" hidden="false" customHeight="false" outlineLevel="0" collapsed="false">
      <c r="A603" s="7" t="n">
        <v>2003</v>
      </c>
      <c r="B603" s="12" t="s">
        <v>56</v>
      </c>
      <c r="C603" s="12" t="s">
        <v>57</v>
      </c>
      <c r="D603" s="12" t="s">
        <v>48</v>
      </c>
      <c r="E603" s="16" t="n">
        <v>14.531716</v>
      </c>
      <c r="F603" s="16" t="n">
        <v>0</v>
      </c>
      <c r="G603" s="16" t="n">
        <v>0</v>
      </c>
    </row>
    <row r="604" customFormat="false" ht="15" hidden="false" customHeight="false" outlineLevel="0" collapsed="false">
      <c r="A604" s="7" t="n">
        <v>2003</v>
      </c>
      <c r="B604" s="12" t="s">
        <v>56</v>
      </c>
      <c r="C604" s="12" t="s">
        <v>57</v>
      </c>
      <c r="D604" s="12" t="s">
        <v>46</v>
      </c>
      <c r="E604" s="16" t="n">
        <v>14.469781</v>
      </c>
      <c r="F604" s="16" t="n">
        <v>0</v>
      </c>
      <c r="G604" s="16" t="n">
        <v>8.801837</v>
      </c>
    </row>
    <row r="605" customFormat="false" ht="15" hidden="false" customHeight="false" outlineLevel="0" collapsed="false">
      <c r="A605" s="7" t="n">
        <v>2003</v>
      </c>
      <c r="B605" s="12" t="s">
        <v>56</v>
      </c>
      <c r="C605" s="12" t="s">
        <v>57</v>
      </c>
      <c r="D605" s="12" t="s">
        <v>45</v>
      </c>
      <c r="E605" s="16" t="n">
        <v>7.221972</v>
      </c>
      <c r="F605" s="16" t="n">
        <v>-0.013749</v>
      </c>
      <c r="G605" s="16" t="n">
        <v>4.9288</v>
      </c>
    </row>
    <row r="606" customFormat="false" ht="15" hidden="false" customHeight="false" outlineLevel="0" collapsed="false">
      <c r="A606" s="7" t="n">
        <v>2003</v>
      </c>
      <c r="B606" s="12" t="s">
        <v>58</v>
      </c>
      <c r="C606" s="12" t="s">
        <v>59</v>
      </c>
      <c r="D606" s="12" t="s">
        <v>49</v>
      </c>
      <c r="E606" s="16" t="n">
        <v>161.706536</v>
      </c>
      <c r="F606" s="16" t="n">
        <v>0</v>
      </c>
      <c r="G606" s="16" t="n">
        <v>18.347225</v>
      </c>
    </row>
    <row r="607" customFormat="false" ht="15" hidden="false" customHeight="false" outlineLevel="0" collapsed="false">
      <c r="A607" s="7" t="n">
        <v>2003</v>
      </c>
      <c r="B607" s="12" t="s">
        <v>58</v>
      </c>
      <c r="C607" s="12" t="s">
        <v>59</v>
      </c>
      <c r="D607" s="12" t="s">
        <v>48</v>
      </c>
      <c r="E607" s="16" t="n">
        <v>51.356624</v>
      </c>
      <c r="F607" s="16" t="n">
        <v>0</v>
      </c>
      <c r="G607" s="16" t="n">
        <v>0</v>
      </c>
    </row>
    <row r="608" customFormat="false" ht="15" hidden="false" customHeight="false" outlineLevel="0" collapsed="false">
      <c r="A608" s="7" t="n">
        <v>2003</v>
      </c>
      <c r="B608" s="12" t="s">
        <v>58</v>
      </c>
      <c r="C608" s="12" t="s">
        <v>59</v>
      </c>
      <c r="D608" s="12" t="s">
        <v>46</v>
      </c>
      <c r="E608" s="16" t="n">
        <v>121.240646</v>
      </c>
      <c r="F608" s="16" t="n">
        <v>0</v>
      </c>
      <c r="G608" s="16" t="n">
        <v>95.969629</v>
      </c>
    </row>
    <row r="609" customFormat="false" ht="15" hidden="false" customHeight="false" outlineLevel="0" collapsed="false">
      <c r="A609" s="7" t="n">
        <v>2003</v>
      </c>
      <c r="B609" s="12" t="s">
        <v>58</v>
      </c>
      <c r="C609" s="12" t="s">
        <v>59</v>
      </c>
      <c r="D609" s="12" t="s">
        <v>45</v>
      </c>
      <c r="E609" s="16" t="n">
        <v>53.046686</v>
      </c>
      <c r="F609" s="16" t="n">
        <v>30.314409</v>
      </c>
      <c r="G609" s="16" t="n">
        <v>11.040396</v>
      </c>
    </row>
    <row r="610" customFormat="false" ht="15" hidden="false" customHeight="false" outlineLevel="0" collapsed="false">
      <c r="A610" s="7" t="n">
        <v>2003</v>
      </c>
      <c r="B610" s="12" t="s">
        <v>60</v>
      </c>
      <c r="C610" s="12" t="s">
        <v>59</v>
      </c>
      <c r="D610" s="12" t="s">
        <v>49</v>
      </c>
      <c r="E610" s="16" t="n">
        <v>498.1887</v>
      </c>
      <c r="F610" s="16" t="n">
        <v>0</v>
      </c>
      <c r="G610" s="16" t="n">
        <v>83.677874</v>
      </c>
    </row>
    <row r="611" customFormat="false" ht="15" hidden="false" customHeight="false" outlineLevel="0" collapsed="false">
      <c r="A611" s="7" t="n">
        <v>2003</v>
      </c>
      <c r="B611" s="12" t="s">
        <v>60</v>
      </c>
      <c r="C611" s="12" t="s">
        <v>59</v>
      </c>
      <c r="D611" s="12" t="s">
        <v>48</v>
      </c>
      <c r="E611" s="16" t="n">
        <v>194.091761</v>
      </c>
      <c r="F611" s="16" t="n">
        <v>0</v>
      </c>
      <c r="G611" s="16" t="n">
        <v>0</v>
      </c>
    </row>
    <row r="612" customFormat="false" ht="15" hidden="false" customHeight="false" outlineLevel="0" collapsed="false">
      <c r="A612" s="7" t="n">
        <v>2003</v>
      </c>
      <c r="B612" s="12" t="s">
        <v>60</v>
      </c>
      <c r="C612" s="12" t="s">
        <v>59</v>
      </c>
      <c r="D612" s="12" t="s">
        <v>46</v>
      </c>
      <c r="E612" s="16" t="n">
        <v>293.173757</v>
      </c>
      <c r="F612" s="16" t="n">
        <v>0</v>
      </c>
      <c r="G612" s="16" t="n">
        <v>226.292582</v>
      </c>
    </row>
    <row r="613" customFormat="false" ht="15" hidden="false" customHeight="false" outlineLevel="0" collapsed="false">
      <c r="A613" s="7" t="n">
        <v>2003</v>
      </c>
      <c r="B613" s="12" t="s">
        <v>60</v>
      </c>
      <c r="C613" s="12" t="s">
        <v>59</v>
      </c>
      <c r="D613" s="12" t="s">
        <v>45</v>
      </c>
      <c r="E613" s="16" t="n">
        <v>52.102288</v>
      </c>
      <c r="F613" s="16" t="n">
        <v>1.599368</v>
      </c>
      <c r="G613" s="16" t="n">
        <v>32.364681</v>
      </c>
    </row>
    <row r="614" customFormat="false" ht="15" hidden="false" customHeight="false" outlineLevel="0" collapsed="false">
      <c r="A614" s="7" t="n">
        <v>2003</v>
      </c>
      <c r="B614" s="12" t="s">
        <v>63</v>
      </c>
      <c r="C614" s="12" t="s">
        <v>62</v>
      </c>
      <c r="D614" s="12" t="s">
        <v>49</v>
      </c>
      <c r="E614" s="16" t="n">
        <v>508.952121</v>
      </c>
      <c r="F614" s="16" t="n">
        <v>0</v>
      </c>
      <c r="G614" s="16" t="n">
        <v>74.114815</v>
      </c>
    </row>
    <row r="615" customFormat="false" ht="15" hidden="false" customHeight="false" outlineLevel="0" collapsed="false">
      <c r="A615" s="7" t="n">
        <v>2003</v>
      </c>
      <c r="B615" s="12" t="s">
        <v>63</v>
      </c>
      <c r="C615" s="12" t="s">
        <v>62</v>
      </c>
      <c r="D615" s="12" t="s">
        <v>48</v>
      </c>
      <c r="E615" s="16" t="n">
        <v>170.364562</v>
      </c>
      <c r="F615" s="16" t="n">
        <v>0</v>
      </c>
      <c r="G615" s="16" t="n">
        <v>0</v>
      </c>
    </row>
    <row r="616" customFormat="false" ht="15" hidden="false" customHeight="false" outlineLevel="0" collapsed="false">
      <c r="A616" s="7" t="n">
        <v>2003</v>
      </c>
      <c r="B616" s="12" t="s">
        <v>63</v>
      </c>
      <c r="C616" s="12" t="s">
        <v>62</v>
      </c>
      <c r="D616" s="12" t="s">
        <v>46</v>
      </c>
      <c r="E616" s="16" t="n">
        <v>203.550403</v>
      </c>
      <c r="F616" s="16" t="n">
        <v>0</v>
      </c>
      <c r="G616" s="16" t="n">
        <v>190.839483</v>
      </c>
    </row>
    <row r="617" customFormat="false" ht="15" hidden="false" customHeight="false" outlineLevel="0" collapsed="false">
      <c r="A617" s="7" t="n">
        <v>2003</v>
      </c>
      <c r="B617" s="12" t="s">
        <v>63</v>
      </c>
      <c r="C617" s="12" t="s">
        <v>62</v>
      </c>
      <c r="D617" s="12" t="s">
        <v>45</v>
      </c>
      <c r="E617" s="16" t="n">
        <v>97.896162</v>
      </c>
      <c r="F617" s="16" t="n">
        <v>91.456773</v>
      </c>
      <c r="G617" s="16" t="n">
        <v>0.776</v>
      </c>
    </row>
    <row r="618" customFormat="false" ht="15" hidden="false" customHeight="false" outlineLevel="0" collapsed="false">
      <c r="A618" s="7" t="n">
        <v>2003</v>
      </c>
      <c r="B618" s="12" t="s">
        <v>64</v>
      </c>
      <c r="C618" s="12" t="s">
        <v>65</v>
      </c>
      <c r="D618" s="12" t="s">
        <v>49</v>
      </c>
      <c r="E618" s="16" t="n">
        <v>188.190695</v>
      </c>
      <c r="F618" s="16" t="n">
        <v>0</v>
      </c>
      <c r="G618" s="16" t="n">
        <v>16.828177</v>
      </c>
    </row>
    <row r="619" customFormat="false" ht="15" hidden="false" customHeight="false" outlineLevel="0" collapsed="false">
      <c r="A619" s="7" t="n">
        <v>2003</v>
      </c>
      <c r="B619" s="12" t="s">
        <v>64</v>
      </c>
      <c r="C619" s="12" t="s">
        <v>65</v>
      </c>
      <c r="D619" s="12" t="s">
        <v>48</v>
      </c>
      <c r="E619" s="16" t="n">
        <v>43.94953</v>
      </c>
      <c r="F619" s="16" t="n">
        <v>0</v>
      </c>
      <c r="G619" s="16" t="n">
        <v>0</v>
      </c>
    </row>
    <row r="620" customFormat="false" ht="15" hidden="false" customHeight="false" outlineLevel="0" collapsed="false">
      <c r="A620" s="7" t="n">
        <v>2003</v>
      </c>
      <c r="B620" s="12" t="s">
        <v>64</v>
      </c>
      <c r="C620" s="12" t="s">
        <v>65</v>
      </c>
      <c r="D620" s="12" t="s">
        <v>46</v>
      </c>
      <c r="E620" s="16" t="n">
        <v>43.345216</v>
      </c>
      <c r="F620" s="16" t="n">
        <v>0</v>
      </c>
      <c r="G620" s="16" t="n">
        <v>56.009684</v>
      </c>
    </row>
    <row r="621" customFormat="false" ht="15" hidden="false" customHeight="false" outlineLevel="0" collapsed="false">
      <c r="A621" s="7" t="n">
        <v>2003</v>
      </c>
      <c r="B621" s="12" t="s">
        <v>64</v>
      </c>
      <c r="C621" s="12" t="s">
        <v>65</v>
      </c>
      <c r="D621" s="12" t="s">
        <v>45</v>
      </c>
      <c r="E621" s="16" t="n">
        <v>22.208285</v>
      </c>
      <c r="F621" s="16" t="n">
        <v>4.151257</v>
      </c>
      <c r="G621" s="16" t="n">
        <v>14.409549</v>
      </c>
    </row>
    <row r="622" customFormat="false" ht="15" hidden="false" customHeight="false" outlineLevel="0" collapsed="false">
      <c r="A622" s="7" t="n">
        <v>2003</v>
      </c>
      <c r="B622" s="12" t="s">
        <v>66</v>
      </c>
      <c r="C622" s="12" t="s">
        <v>67</v>
      </c>
      <c r="D622" s="12" t="s">
        <v>49</v>
      </c>
      <c r="E622" s="16" t="n">
        <v>115.1818</v>
      </c>
      <c r="F622" s="16" t="n">
        <v>0</v>
      </c>
      <c r="G622" s="16" t="n">
        <v>12.333271</v>
      </c>
    </row>
    <row r="623" customFormat="false" ht="15" hidden="false" customHeight="false" outlineLevel="0" collapsed="false">
      <c r="A623" s="7" t="n">
        <v>2003</v>
      </c>
      <c r="B623" s="12" t="s">
        <v>66</v>
      </c>
      <c r="C623" s="12" t="s">
        <v>67</v>
      </c>
      <c r="D623" s="12" t="s">
        <v>48</v>
      </c>
      <c r="E623" s="16" t="n">
        <v>21.739395</v>
      </c>
      <c r="F623" s="16" t="n">
        <v>0</v>
      </c>
      <c r="G623" s="16" t="n">
        <v>0</v>
      </c>
    </row>
    <row r="624" customFormat="false" ht="15" hidden="false" customHeight="false" outlineLevel="0" collapsed="false">
      <c r="A624" s="7" t="n">
        <v>2003</v>
      </c>
      <c r="B624" s="12" t="s">
        <v>66</v>
      </c>
      <c r="C624" s="12" t="s">
        <v>67</v>
      </c>
      <c r="D624" s="12" t="s">
        <v>46</v>
      </c>
      <c r="E624" s="16" t="n">
        <v>45.664056</v>
      </c>
      <c r="F624" s="16" t="n">
        <v>0</v>
      </c>
      <c r="G624" s="16" t="n">
        <v>38.252552</v>
      </c>
    </row>
    <row r="625" customFormat="false" ht="15" hidden="false" customHeight="false" outlineLevel="0" collapsed="false">
      <c r="A625" s="7" t="n">
        <v>2003</v>
      </c>
      <c r="B625" s="12" t="s">
        <v>66</v>
      </c>
      <c r="C625" s="12" t="s">
        <v>67</v>
      </c>
      <c r="D625" s="12" t="s">
        <v>45</v>
      </c>
      <c r="E625" s="16" t="n">
        <v>-26.730933</v>
      </c>
      <c r="F625" s="16" t="n">
        <v>-39.756794</v>
      </c>
      <c r="G625" s="16" t="n">
        <v>18.362558</v>
      </c>
    </row>
    <row r="626" customFormat="false" ht="15" hidden="false" customHeight="false" outlineLevel="0" collapsed="false">
      <c r="A626" s="7" t="n">
        <v>2003</v>
      </c>
      <c r="B626" s="12" t="s">
        <v>68</v>
      </c>
      <c r="C626" s="12" t="s">
        <v>65</v>
      </c>
      <c r="D626" s="12" t="s">
        <v>49</v>
      </c>
      <c r="E626" s="16" t="n">
        <v>63.4019</v>
      </c>
      <c r="F626" s="16" t="n">
        <v>0</v>
      </c>
      <c r="G626" s="16" t="n">
        <v>15.422329</v>
      </c>
    </row>
    <row r="627" customFormat="false" ht="15" hidden="false" customHeight="false" outlineLevel="0" collapsed="false">
      <c r="A627" s="7" t="n">
        <v>2003</v>
      </c>
      <c r="B627" s="12" t="s">
        <v>68</v>
      </c>
      <c r="C627" s="12" t="s">
        <v>65</v>
      </c>
      <c r="D627" s="12" t="s">
        <v>48</v>
      </c>
      <c r="E627" s="16" t="n">
        <v>19.029991</v>
      </c>
      <c r="F627" s="16" t="n">
        <v>0</v>
      </c>
      <c r="G627" s="16" t="n">
        <v>0</v>
      </c>
    </row>
    <row r="628" customFormat="false" ht="15" hidden="false" customHeight="false" outlineLevel="0" collapsed="false">
      <c r="A628" s="7" t="n">
        <v>2003</v>
      </c>
      <c r="B628" s="12" t="s">
        <v>68</v>
      </c>
      <c r="C628" s="12" t="s">
        <v>65</v>
      </c>
      <c r="D628" s="12" t="s">
        <v>46</v>
      </c>
      <c r="E628" s="16" t="n">
        <v>39.018506</v>
      </c>
      <c r="F628" s="16" t="n">
        <v>0</v>
      </c>
      <c r="G628" s="16" t="n">
        <v>45.526497</v>
      </c>
    </row>
    <row r="629" customFormat="false" ht="15" hidden="false" customHeight="false" outlineLevel="0" collapsed="false">
      <c r="A629" s="7" t="n">
        <v>2003</v>
      </c>
      <c r="B629" s="12" t="s">
        <v>68</v>
      </c>
      <c r="C629" s="12" t="s">
        <v>65</v>
      </c>
      <c r="D629" s="12" t="s">
        <v>45</v>
      </c>
      <c r="E629" s="16" t="n">
        <v>8.57893</v>
      </c>
      <c r="F629" s="16" t="n">
        <v>3.798116</v>
      </c>
      <c r="G629" s="16" t="n">
        <v>6.145461</v>
      </c>
    </row>
    <row r="630" customFormat="false" ht="15" hidden="false" customHeight="false" outlineLevel="0" collapsed="false">
      <c r="A630" s="7" t="n">
        <v>2003</v>
      </c>
      <c r="B630" s="12" t="s">
        <v>69</v>
      </c>
      <c r="C630" s="12" t="s">
        <v>70</v>
      </c>
      <c r="D630" s="12" t="s">
        <v>49</v>
      </c>
      <c r="E630" s="16" t="n">
        <v>80.522005</v>
      </c>
      <c r="F630" s="16" t="n">
        <v>0</v>
      </c>
      <c r="G630" s="16" t="n">
        <v>21.994865</v>
      </c>
    </row>
    <row r="631" customFormat="false" ht="15" hidden="false" customHeight="false" outlineLevel="0" collapsed="false">
      <c r="A631" s="7" t="n">
        <v>2003</v>
      </c>
      <c r="B631" s="12" t="s">
        <v>69</v>
      </c>
      <c r="C631" s="12" t="s">
        <v>70</v>
      </c>
      <c r="D631" s="12" t="s">
        <v>48</v>
      </c>
      <c r="E631" s="16" t="n">
        <v>43.182241</v>
      </c>
      <c r="F631" s="16" t="n">
        <v>0</v>
      </c>
      <c r="G631" s="16" t="n">
        <v>0</v>
      </c>
    </row>
    <row r="632" customFormat="false" ht="15" hidden="false" customHeight="false" outlineLevel="0" collapsed="false">
      <c r="A632" s="7" t="n">
        <v>2003</v>
      </c>
      <c r="B632" s="12" t="s">
        <v>69</v>
      </c>
      <c r="C632" s="12" t="s">
        <v>70</v>
      </c>
      <c r="D632" s="12" t="s">
        <v>46</v>
      </c>
      <c r="E632" s="16" t="n">
        <v>30.351056</v>
      </c>
      <c r="F632" s="16" t="n">
        <v>0</v>
      </c>
      <c r="G632" s="16" t="n">
        <v>41.705131</v>
      </c>
    </row>
    <row r="633" customFormat="false" ht="15" hidden="false" customHeight="false" outlineLevel="0" collapsed="false">
      <c r="A633" s="7" t="n">
        <v>2003</v>
      </c>
      <c r="B633" s="12" t="s">
        <v>69</v>
      </c>
      <c r="C633" s="12" t="s">
        <v>70</v>
      </c>
      <c r="D633" s="12" t="s">
        <v>45</v>
      </c>
      <c r="E633" s="16" t="n">
        <v>23.757977</v>
      </c>
      <c r="F633" s="16" t="n">
        <v>11.971753</v>
      </c>
      <c r="G633" s="16" t="n">
        <v>14.794647</v>
      </c>
    </row>
    <row r="634" customFormat="false" ht="15" hidden="false" customHeight="false" outlineLevel="0" collapsed="false">
      <c r="A634" s="7" t="n">
        <v>2003</v>
      </c>
      <c r="B634" s="12" t="s">
        <v>71</v>
      </c>
      <c r="C634" s="12" t="s">
        <v>72</v>
      </c>
      <c r="D634" s="12" t="s">
        <v>49</v>
      </c>
      <c r="E634" s="16" t="n">
        <v>27.073951</v>
      </c>
      <c r="F634" s="16" t="n">
        <v>0</v>
      </c>
      <c r="G634" s="16" t="n">
        <v>1.254204</v>
      </c>
    </row>
    <row r="635" customFormat="false" ht="15" hidden="false" customHeight="false" outlineLevel="0" collapsed="false">
      <c r="A635" s="7" t="n">
        <v>2003</v>
      </c>
      <c r="B635" s="12" t="s">
        <v>71</v>
      </c>
      <c r="C635" s="12" t="s">
        <v>72</v>
      </c>
      <c r="D635" s="12" t="s">
        <v>48</v>
      </c>
      <c r="E635" s="16" t="n">
        <v>9.33732</v>
      </c>
      <c r="F635" s="16" t="n">
        <v>0</v>
      </c>
      <c r="G635" s="16" t="n">
        <v>0</v>
      </c>
    </row>
    <row r="636" customFormat="false" ht="15" hidden="false" customHeight="false" outlineLevel="0" collapsed="false">
      <c r="A636" s="7" t="n">
        <v>2003</v>
      </c>
      <c r="B636" s="12" t="s">
        <v>71</v>
      </c>
      <c r="C636" s="12" t="s">
        <v>72</v>
      </c>
      <c r="D636" s="12" t="s">
        <v>46</v>
      </c>
      <c r="E636" s="16" t="n">
        <v>10.929516</v>
      </c>
      <c r="F636" s="16" t="n">
        <v>0</v>
      </c>
      <c r="G636" s="16" t="n">
        <v>7.516184</v>
      </c>
    </row>
    <row r="637" customFormat="false" ht="15" hidden="false" customHeight="false" outlineLevel="0" collapsed="false">
      <c r="A637" s="7" t="n">
        <v>2003</v>
      </c>
      <c r="B637" s="12" t="s">
        <v>71</v>
      </c>
      <c r="C637" s="12" t="s">
        <v>72</v>
      </c>
      <c r="D637" s="12" t="s">
        <v>45</v>
      </c>
      <c r="E637" s="16" t="n">
        <v>16.964149</v>
      </c>
      <c r="F637" s="16" t="n">
        <v>16.951176</v>
      </c>
      <c r="G637" s="16" t="n">
        <v>0.877094</v>
      </c>
    </row>
    <row r="638" customFormat="false" ht="15" hidden="false" customHeight="false" outlineLevel="0" collapsed="false">
      <c r="A638" s="7" t="n">
        <v>2003</v>
      </c>
      <c r="B638" s="12" t="s">
        <v>73</v>
      </c>
      <c r="C638" s="12" t="s">
        <v>70</v>
      </c>
      <c r="D638" s="12" t="s">
        <v>49</v>
      </c>
      <c r="E638" s="16" t="n">
        <v>104.771423</v>
      </c>
      <c r="F638" s="16" t="n">
        <v>0</v>
      </c>
      <c r="G638" s="16" t="n">
        <v>44.996259</v>
      </c>
    </row>
    <row r="639" customFormat="false" ht="15" hidden="false" customHeight="false" outlineLevel="0" collapsed="false">
      <c r="A639" s="7" t="n">
        <v>2003</v>
      </c>
      <c r="B639" s="12" t="s">
        <v>73</v>
      </c>
      <c r="C639" s="12" t="s">
        <v>70</v>
      </c>
      <c r="D639" s="12" t="s">
        <v>48</v>
      </c>
      <c r="E639" s="16" t="n">
        <v>49.876025</v>
      </c>
      <c r="F639" s="16" t="n">
        <v>0</v>
      </c>
      <c r="G639" s="16" t="n">
        <v>0</v>
      </c>
    </row>
    <row r="640" customFormat="false" ht="15" hidden="false" customHeight="false" outlineLevel="0" collapsed="false">
      <c r="A640" s="7" t="n">
        <v>2003</v>
      </c>
      <c r="B640" s="12" t="s">
        <v>73</v>
      </c>
      <c r="C640" s="12" t="s">
        <v>70</v>
      </c>
      <c r="D640" s="12" t="s">
        <v>46</v>
      </c>
      <c r="E640" s="16" t="n">
        <v>67.609379</v>
      </c>
      <c r="F640" s="16" t="n">
        <v>0</v>
      </c>
      <c r="G640" s="16" t="n">
        <v>49.288486</v>
      </c>
    </row>
    <row r="641" customFormat="false" ht="15" hidden="false" customHeight="false" outlineLevel="0" collapsed="false">
      <c r="A641" s="7" t="n">
        <v>2003</v>
      </c>
      <c r="B641" s="12" t="s">
        <v>73</v>
      </c>
      <c r="C641" s="12" t="s">
        <v>70</v>
      </c>
      <c r="D641" s="12" t="s">
        <v>45</v>
      </c>
      <c r="E641" s="16" t="n">
        <v>8.954127</v>
      </c>
      <c r="F641" s="16" t="n">
        <v>2.182246</v>
      </c>
      <c r="G641" s="16" t="n">
        <v>9.143646</v>
      </c>
    </row>
    <row r="642" customFormat="false" ht="15" hidden="false" customHeight="false" outlineLevel="0" collapsed="false">
      <c r="A642" s="7" t="n">
        <v>2003</v>
      </c>
      <c r="B642" s="12" t="s">
        <v>74</v>
      </c>
      <c r="C642" s="12" t="s">
        <v>65</v>
      </c>
      <c r="D642" s="12" t="s">
        <v>49</v>
      </c>
      <c r="E642" s="16" t="n">
        <v>83.076632</v>
      </c>
      <c r="F642" s="16" t="n">
        <v>0</v>
      </c>
      <c r="G642" s="16" t="n">
        <v>15.487009</v>
      </c>
    </row>
    <row r="643" customFormat="false" ht="15" hidden="false" customHeight="false" outlineLevel="0" collapsed="false">
      <c r="A643" s="7" t="n">
        <v>2003</v>
      </c>
      <c r="B643" s="12" t="s">
        <v>74</v>
      </c>
      <c r="C643" s="12" t="s">
        <v>65</v>
      </c>
      <c r="D643" s="12" t="s">
        <v>48</v>
      </c>
      <c r="E643" s="16" t="n">
        <v>21.003284</v>
      </c>
      <c r="F643" s="16" t="n">
        <v>0</v>
      </c>
      <c r="G643" s="16" t="n">
        <v>0</v>
      </c>
    </row>
    <row r="644" customFormat="false" ht="15" hidden="false" customHeight="false" outlineLevel="0" collapsed="false">
      <c r="A644" s="7" t="n">
        <v>2003</v>
      </c>
      <c r="B644" s="12" t="s">
        <v>74</v>
      </c>
      <c r="C644" s="12" t="s">
        <v>65</v>
      </c>
      <c r="D644" s="12" t="s">
        <v>46</v>
      </c>
      <c r="E644" s="16" t="n">
        <v>24.37943</v>
      </c>
      <c r="F644" s="16" t="n">
        <v>0</v>
      </c>
      <c r="G644" s="16" t="n">
        <v>40.856936</v>
      </c>
    </row>
    <row r="645" customFormat="false" ht="15" hidden="false" customHeight="false" outlineLevel="0" collapsed="false">
      <c r="A645" s="7" t="n">
        <v>2003</v>
      </c>
      <c r="B645" s="12" t="s">
        <v>74</v>
      </c>
      <c r="C645" s="12" t="s">
        <v>65</v>
      </c>
      <c r="D645" s="12" t="s">
        <v>45</v>
      </c>
      <c r="E645" s="16" t="n">
        <v>13.468684</v>
      </c>
      <c r="F645" s="16" t="n">
        <v>3.492118</v>
      </c>
      <c r="G645" s="16" t="n">
        <v>19.582104</v>
      </c>
    </row>
    <row r="646" customFormat="false" ht="15" hidden="false" customHeight="false" outlineLevel="0" collapsed="false">
      <c r="A646" s="7" t="n">
        <v>2003</v>
      </c>
      <c r="B646" s="12" t="s">
        <v>75</v>
      </c>
      <c r="C646" s="12" t="s">
        <v>57</v>
      </c>
      <c r="D646" s="12" t="s">
        <v>49</v>
      </c>
      <c r="E646" s="16" t="n">
        <v>161.056852</v>
      </c>
      <c r="F646" s="16" t="n">
        <v>0</v>
      </c>
      <c r="G646" s="16" t="n">
        <v>46.660172</v>
      </c>
    </row>
    <row r="647" customFormat="false" ht="15" hidden="false" customHeight="false" outlineLevel="0" collapsed="false">
      <c r="A647" s="7" t="n">
        <v>2003</v>
      </c>
      <c r="B647" s="12" t="s">
        <v>75</v>
      </c>
      <c r="C647" s="12" t="s">
        <v>57</v>
      </c>
      <c r="D647" s="12" t="s">
        <v>48</v>
      </c>
      <c r="E647" s="16" t="n">
        <v>109.780293</v>
      </c>
      <c r="F647" s="16" t="n">
        <v>0</v>
      </c>
      <c r="G647" s="16" t="n">
        <v>0</v>
      </c>
    </row>
    <row r="648" customFormat="false" ht="15" hidden="false" customHeight="false" outlineLevel="0" collapsed="false">
      <c r="A648" s="7" t="n">
        <v>2003</v>
      </c>
      <c r="B648" s="12" t="s">
        <v>75</v>
      </c>
      <c r="C648" s="12" t="s">
        <v>57</v>
      </c>
      <c r="D648" s="12" t="s">
        <v>46</v>
      </c>
      <c r="E648" s="16" t="n">
        <v>91.179683</v>
      </c>
      <c r="F648" s="16" t="n">
        <v>0</v>
      </c>
      <c r="G648" s="16" t="n">
        <v>70.910894</v>
      </c>
    </row>
    <row r="649" customFormat="false" ht="15" hidden="false" customHeight="false" outlineLevel="0" collapsed="false">
      <c r="A649" s="7" t="n">
        <v>2003</v>
      </c>
      <c r="B649" s="12" t="s">
        <v>75</v>
      </c>
      <c r="C649" s="12" t="s">
        <v>57</v>
      </c>
      <c r="D649" s="12" t="s">
        <v>45</v>
      </c>
      <c r="E649" s="16" t="n">
        <v>100.063334</v>
      </c>
      <c r="F649" s="16" t="n">
        <v>42.085818</v>
      </c>
      <c r="G649" s="16" t="n">
        <v>23.60246</v>
      </c>
    </row>
    <row r="650" customFormat="false" ht="15" hidden="false" customHeight="false" outlineLevel="0" collapsed="false">
      <c r="A650" s="7" t="n">
        <v>2003</v>
      </c>
      <c r="B650" s="12" t="s">
        <v>76</v>
      </c>
      <c r="C650" s="12" t="s">
        <v>72</v>
      </c>
      <c r="D650" s="12" t="s">
        <v>49</v>
      </c>
      <c r="E650" s="16" t="n">
        <v>22.975668</v>
      </c>
      <c r="F650" s="16" t="n">
        <v>0</v>
      </c>
      <c r="G650" s="16" t="n">
        <v>5.047318</v>
      </c>
    </row>
    <row r="651" customFormat="false" ht="15" hidden="false" customHeight="false" outlineLevel="0" collapsed="false">
      <c r="A651" s="7" t="n">
        <v>2003</v>
      </c>
      <c r="B651" s="12" t="s">
        <v>76</v>
      </c>
      <c r="C651" s="12" t="s">
        <v>72</v>
      </c>
      <c r="D651" s="12" t="s">
        <v>48</v>
      </c>
      <c r="E651" s="16" t="n">
        <v>18.470505</v>
      </c>
      <c r="F651" s="16" t="n">
        <v>0</v>
      </c>
      <c r="G651" s="16" t="n">
        <v>0</v>
      </c>
    </row>
    <row r="652" customFormat="false" ht="15" hidden="false" customHeight="false" outlineLevel="0" collapsed="false">
      <c r="A652" s="7" t="n">
        <v>2003</v>
      </c>
      <c r="B652" s="12" t="s">
        <v>76</v>
      </c>
      <c r="C652" s="12" t="s">
        <v>72</v>
      </c>
      <c r="D652" s="12" t="s">
        <v>46</v>
      </c>
      <c r="E652" s="16" t="n">
        <v>16.867097</v>
      </c>
      <c r="F652" s="16" t="n">
        <v>0</v>
      </c>
      <c r="G652" s="16" t="n">
        <v>16.748021</v>
      </c>
    </row>
    <row r="653" customFormat="false" ht="15" hidden="false" customHeight="false" outlineLevel="0" collapsed="false">
      <c r="A653" s="7" t="n">
        <v>2003</v>
      </c>
      <c r="B653" s="12" t="s">
        <v>76</v>
      </c>
      <c r="C653" s="12" t="s">
        <v>72</v>
      </c>
      <c r="D653" s="12" t="s">
        <v>45</v>
      </c>
      <c r="E653" s="16" t="n">
        <v>21.45085</v>
      </c>
      <c r="F653" s="16" t="n">
        <v>0</v>
      </c>
      <c r="G653" s="16" t="n">
        <v>9.387562</v>
      </c>
    </row>
    <row r="654" customFormat="false" ht="15" hidden="false" customHeight="false" outlineLevel="0" collapsed="false">
      <c r="A654" s="7" t="n">
        <v>2003</v>
      </c>
      <c r="B654" s="12" t="s">
        <v>77</v>
      </c>
      <c r="C654" s="12" t="s">
        <v>57</v>
      </c>
      <c r="D654" s="12" t="s">
        <v>49</v>
      </c>
      <c r="E654" s="16" t="n">
        <v>30.147552</v>
      </c>
      <c r="F654" s="16" t="n">
        <v>0</v>
      </c>
      <c r="G654" s="16" t="n">
        <v>3.589875</v>
      </c>
    </row>
    <row r="655" customFormat="false" ht="15" hidden="false" customHeight="false" outlineLevel="0" collapsed="false">
      <c r="A655" s="7" t="n">
        <v>2003</v>
      </c>
      <c r="B655" s="12" t="s">
        <v>77</v>
      </c>
      <c r="C655" s="12" t="s">
        <v>57</v>
      </c>
      <c r="D655" s="12" t="s">
        <v>48</v>
      </c>
      <c r="E655" s="16" t="n">
        <v>14.23078</v>
      </c>
      <c r="F655" s="16" t="n">
        <v>0</v>
      </c>
      <c r="G655" s="16" t="n">
        <v>0</v>
      </c>
    </row>
    <row r="656" customFormat="false" ht="15" hidden="false" customHeight="false" outlineLevel="0" collapsed="false">
      <c r="A656" s="7" t="n">
        <v>2003</v>
      </c>
      <c r="B656" s="12" t="s">
        <v>77</v>
      </c>
      <c r="C656" s="12" t="s">
        <v>57</v>
      </c>
      <c r="D656" s="12" t="s">
        <v>46</v>
      </c>
      <c r="E656" s="16" t="n">
        <v>10.009428</v>
      </c>
      <c r="F656" s="16" t="n">
        <v>0</v>
      </c>
      <c r="G656" s="16" t="n">
        <v>7.895518</v>
      </c>
    </row>
    <row r="657" customFormat="false" ht="15" hidden="false" customHeight="false" outlineLevel="0" collapsed="false">
      <c r="A657" s="7" t="n">
        <v>2003</v>
      </c>
      <c r="B657" s="12" t="s">
        <v>77</v>
      </c>
      <c r="C657" s="12" t="s">
        <v>57</v>
      </c>
      <c r="D657" s="12" t="s">
        <v>45</v>
      </c>
      <c r="E657" s="16" t="n">
        <v>5.599338</v>
      </c>
      <c r="F657" s="16" t="n">
        <v>0</v>
      </c>
      <c r="G657" s="16" t="n">
        <v>3.563241</v>
      </c>
    </row>
    <row r="658" customFormat="false" ht="15" hidden="false" customHeight="false" outlineLevel="0" collapsed="false">
      <c r="A658" s="7" t="n">
        <v>2003</v>
      </c>
      <c r="B658" s="12" t="s">
        <v>78</v>
      </c>
      <c r="C658" s="12" t="s">
        <v>65</v>
      </c>
      <c r="D658" s="12" t="s">
        <v>49</v>
      </c>
      <c r="E658" s="16" t="n">
        <v>27.152888</v>
      </c>
      <c r="F658" s="16" t="n">
        <v>0</v>
      </c>
      <c r="G658" s="16" t="n">
        <v>1.320702</v>
      </c>
    </row>
    <row r="659" customFormat="false" ht="15" hidden="false" customHeight="false" outlineLevel="0" collapsed="false">
      <c r="A659" s="7" t="n">
        <v>2003</v>
      </c>
      <c r="B659" s="12" t="s">
        <v>78</v>
      </c>
      <c r="C659" s="12" t="s">
        <v>65</v>
      </c>
      <c r="D659" s="12" t="s">
        <v>48</v>
      </c>
      <c r="E659" s="16" t="n">
        <v>4.601096</v>
      </c>
      <c r="F659" s="16" t="n">
        <v>0</v>
      </c>
      <c r="G659" s="16" t="n">
        <v>0</v>
      </c>
    </row>
    <row r="660" customFormat="false" ht="15" hidden="false" customHeight="false" outlineLevel="0" collapsed="false">
      <c r="A660" s="7" t="n">
        <v>2003</v>
      </c>
      <c r="B660" s="12" t="s">
        <v>78</v>
      </c>
      <c r="C660" s="12" t="s">
        <v>65</v>
      </c>
      <c r="D660" s="12" t="s">
        <v>46</v>
      </c>
      <c r="E660" s="16" t="n">
        <v>9.13296</v>
      </c>
      <c r="F660" s="16" t="n">
        <v>0</v>
      </c>
      <c r="G660" s="16" t="n">
        <v>9.730335</v>
      </c>
    </row>
    <row r="661" customFormat="false" ht="15" hidden="false" customHeight="false" outlineLevel="0" collapsed="false">
      <c r="A661" s="7" t="n">
        <v>2003</v>
      </c>
      <c r="B661" s="12" t="s">
        <v>78</v>
      </c>
      <c r="C661" s="12" t="s">
        <v>65</v>
      </c>
      <c r="D661" s="12" t="s">
        <v>45</v>
      </c>
      <c r="E661" s="16" t="n">
        <v>1.54565</v>
      </c>
      <c r="F661" s="16" t="n">
        <v>0</v>
      </c>
      <c r="G661" s="16" t="n">
        <v>3.363894</v>
      </c>
    </row>
    <row r="662" customFormat="false" ht="15" hidden="false" customHeight="false" outlineLevel="0" collapsed="false">
      <c r="A662" s="7" t="n">
        <v>2003</v>
      </c>
      <c r="B662" s="12" t="s">
        <v>79</v>
      </c>
      <c r="C662" s="12" t="s">
        <v>72</v>
      </c>
      <c r="D662" s="12" t="s">
        <v>49</v>
      </c>
      <c r="E662" s="16" t="n">
        <v>173.112867</v>
      </c>
      <c r="F662" s="16" t="n">
        <v>0</v>
      </c>
      <c r="G662" s="16" t="n">
        <v>30.014122</v>
      </c>
    </row>
    <row r="663" customFormat="false" ht="15" hidden="false" customHeight="false" outlineLevel="0" collapsed="false">
      <c r="A663" s="7" t="n">
        <v>2003</v>
      </c>
      <c r="B663" s="12" t="s">
        <v>79</v>
      </c>
      <c r="C663" s="12" t="s">
        <v>72</v>
      </c>
      <c r="D663" s="12" t="s">
        <v>48</v>
      </c>
      <c r="E663" s="16" t="n">
        <v>70.823183</v>
      </c>
      <c r="F663" s="16" t="n">
        <v>0</v>
      </c>
      <c r="G663" s="16" t="n">
        <v>0</v>
      </c>
    </row>
    <row r="664" customFormat="false" ht="15" hidden="false" customHeight="false" outlineLevel="0" collapsed="false">
      <c r="A664" s="7" t="n">
        <v>2003</v>
      </c>
      <c r="B664" s="12" t="s">
        <v>79</v>
      </c>
      <c r="C664" s="12" t="s">
        <v>72</v>
      </c>
      <c r="D664" s="12" t="s">
        <v>46</v>
      </c>
      <c r="E664" s="16" t="n">
        <v>72.423717</v>
      </c>
      <c r="F664" s="16" t="n">
        <v>0</v>
      </c>
      <c r="G664" s="16" t="n">
        <v>79.874314</v>
      </c>
    </row>
    <row r="665" customFormat="false" ht="15" hidden="false" customHeight="false" outlineLevel="0" collapsed="false">
      <c r="A665" s="7" t="n">
        <v>2003</v>
      </c>
      <c r="B665" s="12" t="s">
        <v>79</v>
      </c>
      <c r="C665" s="12" t="s">
        <v>72</v>
      </c>
      <c r="D665" s="12" t="s">
        <v>45</v>
      </c>
      <c r="E665" s="16" t="n">
        <v>107.675368</v>
      </c>
      <c r="F665" s="16" t="n">
        <v>107.367511</v>
      </c>
      <c r="G665" s="16" t="n">
        <v>0</v>
      </c>
    </row>
    <row r="666" customFormat="false" ht="15" hidden="false" customHeight="false" outlineLevel="0" collapsed="false">
      <c r="A666" s="7" t="n">
        <v>2003</v>
      </c>
      <c r="B666" s="12" t="s">
        <v>80</v>
      </c>
      <c r="C666" s="12" t="s">
        <v>72</v>
      </c>
      <c r="D666" s="12" t="s">
        <v>49</v>
      </c>
      <c r="E666" s="16" t="n">
        <v>58.187548</v>
      </c>
      <c r="F666" s="16" t="n">
        <v>0</v>
      </c>
      <c r="G666" s="16" t="n">
        <v>19.917132</v>
      </c>
    </row>
    <row r="667" customFormat="false" ht="15" hidden="false" customHeight="false" outlineLevel="0" collapsed="false">
      <c r="A667" s="7" t="n">
        <v>2003</v>
      </c>
      <c r="B667" s="12" t="s">
        <v>80</v>
      </c>
      <c r="C667" s="12" t="s">
        <v>72</v>
      </c>
      <c r="D667" s="12" t="s">
        <v>48</v>
      </c>
      <c r="E667" s="16" t="n">
        <v>52.376919</v>
      </c>
      <c r="F667" s="16" t="n">
        <v>0</v>
      </c>
      <c r="G667" s="16" t="n">
        <v>0</v>
      </c>
    </row>
    <row r="668" customFormat="false" ht="15" hidden="false" customHeight="false" outlineLevel="0" collapsed="false">
      <c r="A668" s="7" t="n">
        <v>2003</v>
      </c>
      <c r="B668" s="12" t="s">
        <v>80</v>
      </c>
      <c r="C668" s="12" t="s">
        <v>72</v>
      </c>
      <c r="D668" s="12" t="s">
        <v>46</v>
      </c>
      <c r="E668" s="16" t="n">
        <v>26.331707</v>
      </c>
      <c r="F668" s="16" t="n">
        <v>0</v>
      </c>
      <c r="G668" s="16" t="n">
        <v>31.798305</v>
      </c>
    </row>
    <row r="669" customFormat="false" ht="15" hidden="false" customHeight="false" outlineLevel="0" collapsed="false">
      <c r="A669" s="7" t="n">
        <v>2003</v>
      </c>
      <c r="B669" s="12" t="s">
        <v>80</v>
      </c>
      <c r="C669" s="12" t="s">
        <v>72</v>
      </c>
      <c r="D669" s="12" t="s">
        <v>45</v>
      </c>
      <c r="E669" s="16" t="n">
        <v>59.601405</v>
      </c>
      <c r="F669" s="16" t="n">
        <v>59.225613</v>
      </c>
      <c r="G669" s="16" t="n">
        <v>0</v>
      </c>
    </row>
    <row r="670" customFormat="false" ht="15" hidden="false" customHeight="false" outlineLevel="0" collapsed="false">
      <c r="A670" s="7" t="n">
        <v>2003</v>
      </c>
      <c r="B670" s="12" t="s">
        <v>81</v>
      </c>
      <c r="C670" s="12" t="s">
        <v>72</v>
      </c>
      <c r="D670" s="12" t="s">
        <v>49</v>
      </c>
      <c r="E670" s="16" t="n">
        <v>61.696358</v>
      </c>
      <c r="F670" s="16" t="n">
        <v>0</v>
      </c>
      <c r="G670" s="16" t="n">
        <v>13.004658</v>
      </c>
    </row>
    <row r="671" customFormat="false" ht="15" hidden="false" customHeight="false" outlineLevel="0" collapsed="false">
      <c r="A671" s="7" t="n">
        <v>2003</v>
      </c>
      <c r="B671" s="12" t="s">
        <v>81</v>
      </c>
      <c r="C671" s="12" t="s">
        <v>72</v>
      </c>
      <c r="D671" s="12" t="s">
        <v>48</v>
      </c>
      <c r="E671" s="16" t="n">
        <v>33.611262</v>
      </c>
      <c r="F671" s="16" t="n">
        <v>0</v>
      </c>
      <c r="G671" s="16" t="n">
        <v>0</v>
      </c>
    </row>
    <row r="672" customFormat="false" ht="15" hidden="false" customHeight="false" outlineLevel="0" collapsed="false">
      <c r="A672" s="7" t="n">
        <v>2003</v>
      </c>
      <c r="B672" s="12" t="s">
        <v>81</v>
      </c>
      <c r="C672" s="12" t="s">
        <v>72</v>
      </c>
      <c r="D672" s="12" t="s">
        <v>46</v>
      </c>
      <c r="E672" s="16" t="n">
        <v>36.574873</v>
      </c>
      <c r="F672" s="16" t="n">
        <v>0</v>
      </c>
      <c r="G672" s="16" t="n">
        <v>21.912784</v>
      </c>
    </row>
    <row r="673" customFormat="false" ht="15" hidden="false" customHeight="false" outlineLevel="0" collapsed="false">
      <c r="A673" s="7" t="n">
        <v>2003</v>
      </c>
      <c r="B673" s="12" t="s">
        <v>81</v>
      </c>
      <c r="C673" s="12" t="s">
        <v>72</v>
      </c>
      <c r="D673" s="12" t="s">
        <v>45</v>
      </c>
      <c r="E673" s="16" t="n">
        <v>42.067556</v>
      </c>
      <c r="F673" s="16" t="n">
        <v>40.944588</v>
      </c>
      <c r="G673" s="16" t="n">
        <v>0</v>
      </c>
    </row>
    <row r="674" customFormat="false" ht="15" hidden="false" customHeight="false" outlineLevel="0" collapsed="false">
      <c r="A674" s="7" t="n">
        <v>2004</v>
      </c>
      <c r="B674" s="12" t="s">
        <v>56</v>
      </c>
      <c r="C674" s="12" t="s">
        <v>57</v>
      </c>
      <c r="D674" s="12" t="s">
        <v>49</v>
      </c>
      <c r="E674" s="16" t="n">
        <v>47.18249</v>
      </c>
      <c r="F674" s="16" t="n">
        <v>0</v>
      </c>
      <c r="G674" s="16" t="n">
        <v>5.287716</v>
      </c>
    </row>
    <row r="675" customFormat="false" ht="15" hidden="false" customHeight="false" outlineLevel="0" collapsed="false">
      <c r="A675" s="7" t="n">
        <v>2004</v>
      </c>
      <c r="B675" s="12" t="s">
        <v>56</v>
      </c>
      <c r="C675" s="12" t="s">
        <v>57</v>
      </c>
      <c r="D675" s="12" t="s">
        <v>48</v>
      </c>
      <c r="E675" s="16" t="n">
        <v>16.676594</v>
      </c>
      <c r="F675" s="16" t="n">
        <v>0</v>
      </c>
      <c r="G675" s="16" t="n">
        <v>0</v>
      </c>
    </row>
    <row r="676" customFormat="false" ht="15" hidden="false" customHeight="false" outlineLevel="0" collapsed="false">
      <c r="A676" s="7" t="n">
        <v>2004</v>
      </c>
      <c r="B676" s="12" t="s">
        <v>56</v>
      </c>
      <c r="C676" s="12" t="s">
        <v>57</v>
      </c>
      <c r="D676" s="12" t="s">
        <v>46</v>
      </c>
      <c r="E676" s="16" t="n">
        <v>16.463042</v>
      </c>
      <c r="F676" s="16" t="n">
        <v>0</v>
      </c>
      <c r="G676" s="16" t="n">
        <v>9.219432</v>
      </c>
    </row>
    <row r="677" customFormat="false" ht="15" hidden="false" customHeight="false" outlineLevel="0" collapsed="false">
      <c r="A677" s="7" t="n">
        <v>2004</v>
      </c>
      <c r="B677" s="12" t="s">
        <v>56</v>
      </c>
      <c r="C677" s="12" t="s">
        <v>57</v>
      </c>
      <c r="D677" s="12" t="s">
        <v>45</v>
      </c>
      <c r="E677" s="16" t="n">
        <v>7.822093</v>
      </c>
      <c r="F677" s="16" t="n">
        <v>0.33</v>
      </c>
      <c r="G677" s="16" t="n">
        <v>5.022097</v>
      </c>
    </row>
    <row r="678" customFormat="false" ht="15" hidden="false" customHeight="false" outlineLevel="0" collapsed="false">
      <c r="A678" s="7" t="n">
        <v>2004</v>
      </c>
      <c r="B678" s="12" t="s">
        <v>58</v>
      </c>
      <c r="C678" s="12" t="s">
        <v>59</v>
      </c>
      <c r="D678" s="12" t="s">
        <v>49</v>
      </c>
      <c r="E678" s="16" t="n">
        <v>164.216957</v>
      </c>
      <c r="F678" s="16" t="n">
        <v>0</v>
      </c>
      <c r="G678" s="16" t="n">
        <v>14.818958</v>
      </c>
    </row>
    <row r="679" customFormat="false" ht="15" hidden="false" customHeight="false" outlineLevel="0" collapsed="false">
      <c r="A679" s="7" t="n">
        <v>2004</v>
      </c>
      <c r="B679" s="12" t="s">
        <v>58</v>
      </c>
      <c r="C679" s="12" t="s">
        <v>59</v>
      </c>
      <c r="D679" s="12" t="s">
        <v>48</v>
      </c>
      <c r="E679" s="16" t="n">
        <v>39.30779</v>
      </c>
      <c r="F679" s="16" t="n">
        <v>0</v>
      </c>
      <c r="G679" s="16" t="n">
        <v>0</v>
      </c>
    </row>
    <row r="680" customFormat="false" ht="15" hidden="false" customHeight="false" outlineLevel="0" collapsed="false">
      <c r="A680" s="7" t="n">
        <v>2004</v>
      </c>
      <c r="B680" s="12" t="s">
        <v>58</v>
      </c>
      <c r="C680" s="12" t="s">
        <v>59</v>
      </c>
      <c r="D680" s="12" t="s">
        <v>46</v>
      </c>
      <c r="E680" s="16" t="n">
        <v>115.64314</v>
      </c>
      <c r="F680" s="16" t="n">
        <v>0</v>
      </c>
      <c r="G680" s="16" t="n">
        <v>97.786477</v>
      </c>
    </row>
    <row r="681" customFormat="false" ht="15" hidden="false" customHeight="false" outlineLevel="0" collapsed="false">
      <c r="A681" s="7" t="n">
        <v>2004</v>
      </c>
      <c r="B681" s="12" t="s">
        <v>58</v>
      </c>
      <c r="C681" s="12" t="s">
        <v>59</v>
      </c>
      <c r="D681" s="12" t="s">
        <v>45</v>
      </c>
      <c r="E681" s="16" t="n">
        <v>22.163671</v>
      </c>
      <c r="F681" s="16" t="n">
        <v>2.322751</v>
      </c>
      <c r="G681" s="16" t="n">
        <v>12.218026</v>
      </c>
    </row>
    <row r="682" customFormat="false" ht="15" hidden="false" customHeight="false" outlineLevel="0" collapsed="false">
      <c r="A682" s="7" t="n">
        <v>2004</v>
      </c>
      <c r="B682" s="12" t="s">
        <v>60</v>
      </c>
      <c r="C682" s="12" t="s">
        <v>59</v>
      </c>
      <c r="D682" s="12" t="s">
        <v>49</v>
      </c>
      <c r="E682" s="16" t="n">
        <v>347.635851</v>
      </c>
      <c r="F682" s="16" t="n">
        <v>0</v>
      </c>
      <c r="G682" s="16" t="n">
        <v>90.74882</v>
      </c>
    </row>
    <row r="683" customFormat="false" ht="15" hidden="false" customHeight="false" outlineLevel="0" collapsed="false">
      <c r="A683" s="7" t="n">
        <v>2004</v>
      </c>
      <c r="B683" s="12" t="s">
        <v>60</v>
      </c>
      <c r="C683" s="12" t="s">
        <v>59</v>
      </c>
      <c r="D683" s="12" t="s">
        <v>48</v>
      </c>
      <c r="E683" s="16" t="n">
        <v>178.768748</v>
      </c>
      <c r="F683" s="16" t="n">
        <v>0</v>
      </c>
      <c r="G683" s="16" t="n">
        <v>0</v>
      </c>
    </row>
    <row r="684" customFormat="false" ht="15" hidden="false" customHeight="false" outlineLevel="0" collapsed="false">
      <c r="A684" s="7" t="n">
        <v>2004</v>
      </c>
      <c r="B684" s="12" t="s">
        <v>60</v>
      </c>
      <c r="C684" s="12" t="s">
        <v>59</v>
      </c>
      <c r="D684" s="12" t="s">
        <v>46</v>
      </c>
      <c r="E684" s="16" t="n">
        <v>279.335937</v>
      </c>
      <c r="F684" s="16" t="n">
        <v>0</v>
      </c>
      <c r="G684" s="16" t="n">
        <v>240.784725</v>
      </c>
    </row>
    <row r="685" customFormat="false" ht="15" hidden="false" customHeight="false" outlineLevel="0" collapsed="false">
      <c r="A685" s="7" t="n">
        <v>2004</v>
      </c>
      <c r="B685" s="12" t="s">
        <v>60</v>
      </c>
      <c r="C685" s="12" t="s">
        <v>59</v>
      </c>
      <c r="D685" s="12" t="s">
        <v>45</v>
      </c>
      <c r="E685" s="16" t="n">
        <v>220.302406</v>
      </c>
      <c r="F685" s="16" t="n">
        <v>0.760877</v>
      </c>
      <c r="G685" s="16" t="n">
        <v>35.030645</v>
      </c>
    </row>
    <row r="686" customFormat="false" ht="15" hidden="false" customHeight="false" outlineLevel="0" collapsed="false">
      <c r="A686" s="7" t="n">
        <v>2004</v>
      </c>
      <c r="B686" s="12" t="s">
        <v>63</v>
      </c>
      <c r="C686" s="12" t="s">
        <v>62</v>
      </c>
      <c r="D686" s="12" t="s">
        <v>49</v>
      </c>
      <c r="E686" s="16" t="n">
        <v>523.947785</v>
      </c>
      <c r="F686" s="16" t="n">
        <v>0</v>
      </c>
      <c r="G686" s="16" t="n">
        <v>74.962961</v>
      </c>
    </row>
    <row r="687" customFormat="false" ht="15" hidden="false" customHeight="false" outlineLevel="0" collapsed="false">
      <c r="A687" s="7" t="n">
        <v>2004</v>
      </c>
      <c r="B687" s="12" t="s">
        <v>63</v>
      </c>
      <c r="C687" s="12" t="s">
        <v>62</v>
      </c>
      <c r="D687" s="12" t="s">
        <v>48</v>
      </c>
      <c r="E687" s="16" t="n">
        <v>178.63038</v>
      </c>
      <c r="F687" s="16" t="n">
        <v>0</v>
      </c>
      <c r="G687" s="16" t="n">
        <v>0</v>
      </c>
    </row>
    <row r="688" customFormat="false" ht="15" hidden="false" customHeight="false" outlineLevel="0" collapsed="false">
      <c r="A688" s="7" t="n">
        <v>2004</v>
      </c>
      <c r="B688" s="12" t="s">
        <v>63</v>
      </c>
      <c r="C688" s="12" t="s">
        <v>62</v>
      </c>
      <c r="D688" s="12" t="s">
        <v>46</v>
      </c>
      <c r="E688" s="16" t="n">
        <v>186.689701</v>
      </c>
      <c r="F688" s="16" t="n">
        <v>0</v>
      </c>
      <c r="G688" s="16" t="n">
        <v>198.634207</v>
      </c>
    </row>
    <row r="689" customFormat="false" ht="15" hidden="false" customHeight="false" outlineLevel="0" collapsed="false">
      <c r="A689" s="7" t="n">
        <v>2004</v>
      </c>
      <c r="B689" s="12" t="s">
        <v>63</v>
      </c>
      <c r="C689" s="12" t="s">
        <v>62</v>
      </c>
      <c r="D689" s="12" t="s">
        <v>45</v>
      </c>
      <c r="E689" s="16" t="n">
        <v>107.956248</v>
      </c>
      <c r="F689" s="16" t="n">
        <v>93.188377</v>
      </c>
      <c r="G689" s="16" t="n">
        <v>0.762</v>
      </c>
    </row>
    <row r="690" customFormat="false" ht="15" hidden="false" customHeight="false" outlineLevel="0" collapsed="false">
      <c r="A690" s="7" t="n">
        <v>2004</v>
      </c>
      <c r="B690" s="12" t="s">
        <v>64</v>
      </c>
      <c r="C690" s="12" t="s">
        <v>65</v>
      </c>
      <c r="D690" s="12" t="s">
        <v>49</v>
      </c>
      <c r="E690" s="16" t="n">
        <v>204.790884</v>
      </c>
      <c r="F690" s="16" t="n">
        <v>0</v>
      </c>
      <c r="G690" s="16" t="n">
        <v>22.730553</v>
      </c>
    </row>
    <row r="691" customFormat="false" ht="15" hidden="false" customHeight="false" outlineLevel="0" collapsed="false">
      <c r="A691" s="7" t="n">
        <v>2004</v>
      </c>
      <c r="B691" s="12" t="s">
        <v>64</v>
      </c>
      <c r="C691" s="12" t="s">
        <v>65</v>
      </c>
      <c r="D691" s="12" t="s">
        <v>48</v>
      </c>
      <c r="E691" s="16" t="n">
        <v>43.394348</v>
      </c>
      <c r="F691" s="16" t="n">
        <v>0</v>
      </c>
      <c r="G691" s="16" t="n">
        <v>0</v>
      </c>
    </row>
    <row r="692" customFormat="false" ht="15" hidden="false" customHeight="false" outlineLevel="0" collapsed="false">
      <c r="A692" s="7" t="n">
        <v>2004</v>
      </c>
      <c r="B692" s="12" t="s">
        <v>64</v>
      </c>
      <c r="C692" s="12" t="s">
        <v>65</v>
      </c>
      <c r="D692" s="12" t="s">
        <v>46</v>
      </c>
      <c r="E692" s="16" t="n">
        <v>42.591565</v>
      </c>
      <c r="F692" s="16" t="n">
        <v>0</v>
      </c>
      <c r="G692" s="16" t="n">
        <v>62.478202</v>
      </c>
    </row>
    <row r="693" customFormat="false" ht="15" hidden="false" customHeight="false" outlineLevel="0" collapsed="false">
      <c r="A693" s="7" t="n">
        <v>2004</v>
      </c>
      <c r="B693" s="12" t="s">
        <v>64</v>
      </c>
      <c r="C693" s="12" t="s">
        <v>65</v>
      </c>
      <c r="D693" s="12" t="s">
        <v>45</v>
      </c>
      <c r="E693" s="16" t="n">
        <v>27.93946</v>
      </c>
      <c r="F693" s="16" t="n">
        <v>3.986552</v>
      </c>
      <c r="G693" s="16" t="n">
        <v>16.530876</v>
      </c>
    </row>
    <row r="694" customFormat="false" ht="15" hidden="false" customHeight="false" outlineLevel="0" collapsed="false">
      <c r="A694" s="7" t="n">
        <v>2004</v>
      </c>
      <c r="B694" s="12" t="s">
        <v>66</v>
      </c>
      <c r="C694" s="12" t="s">
        <v>67</v>
      </c>
      <c r="D694" s="12" t="s">
        <v>49</v>
      </c>
      <c r="E694" s="16" t="n">
        <v>122.731598</v>
      </c>
      <c r="F694" s="16" t="n">
        <v>0</v>
      </c>
      <c r="G694" s="16" t="n">
        <v>17.054535</v>
      </c>
    </row>
    <row r="695" customFormat="false" ht="15" hidden="false" customHeight="false" outlineLevel="0" collapsed="false">
      <c r="A695" s="7" t="n">
        <v>2004</v>
      </c>
      <c r="B695" s="12" t="s">
        <v>66</v>
      </c>
      <c r="C695" s="12" t="s">
        <v>67</v>
      </c>
      <c r="D695" s="12" t="s">
        <v>48</v>
      </c>
      <c r="E695" s="16" t="n">
        <v>25.634857</v>
      </c>
      <c r="F695" s="16" t="n">
        <v>0</v>
      </c>
      <c r="G695" s="16" t="n">
        <v>0</v>
      </c>
    </row>
    <row r="696" customFormat="false" ht="15" hidden="false" customHeight="false" outlineLevel="0" collapsed="false">
      <c r="A696" s="7" t="n">
        <v>2004</v>
      </c>
      <c r="B696" s="12" t="s">
        <v>66</v>
      </c>
      <c r="C696" s="12" t="s">
        <v>67</v>
      </c>
      <c r="D696" s="12" t="s">
        <v>46</v>
      </c>
      <c r="E696" s="16" t="n">
        <v>52.383972</v>
      </c>
      <c r="F696" s="16" t="n">
        <v>0</v>
      </c>
      <c r="G696" s="16" t="n">
        <v>39.683293</v>
      </c>
    </row>
    <row r="697" customFormat="false" ht="15" hidden="false" customHeight="false" outlineLevel="0" collapsed="false">
      <c r="A697" s="7" t="n">
        <v>2004</v>
      </c>
      <c r="B697" s="12" t="s">
        <v>66</v>
      </c>
      <c r="C697" s="12" t="s">
        <v>67</v>
      </c>
      <c r="D697" s="12" t="s">
        <v>45</v>
      </c>
      <c r="E697" s="16" t="n">
        <v>-27.556949</v>
      </c>
      <c r="F697" s="16" t="n">
        <v>-40.790372</v>
      </c>
      <c r="G697" s="16" t="n">
        <v>18.737105</v>
      </c>
    </row>
    <row r="698" customFormat="false" ht="15" hidden="false" customHeight="false" outlineLevel="0" collapsed="false">
      <c r="A698" s="7" t="n">
        <v>2004</v>
      </c>
      <c r="B698" s="12" t="s">
        <v>68</v>
      </c>
      <c r="C698" s="12" t="s">
        <v>65</v>
      </c>
      <c r="D698" s="12" t="s">
        <v>49</v>
      </c>
      <c r="E698" s="16" t="n">
        <v>71.269042</v>
      </c>
      <c r="F698" s="16" t="n">
        <v>0</v>
      </c>
      <c r="G698" s="16" t="n">
        <v>13.274053</v>
      </c>
    </row>
    <row r="699" customFormat="false" ht="15" hidden="false" customHeight="false" outlineLevel="0" collapsed="false">
      <c r="A699" s="7" t="n">
        <v>2004</v>
      </c>
      <c r="B699" s="12" t="s">
        <v>68</v>
      </c>
      <c r="C699" s="12" t="s">
        <v>65</v>
      </c>
      <c r="D699" s="12" t="s">
        <v>48</v>
      </c>
      <c r="E699" s="16" t="n">
        <v>20.455391</v>
      </c>
      <c r="F699" s="16" t="n">
        <v>0</v>
      </c>
      <c r="G699" s="16" t="n">
        <v>0</v>
      </c>
    </row>
    <row r="700" customFormat="false" ht="15" hidden="false" customHeight="false" outlineLevel="0" collapsed="false">
      <c r="A700" s="7" t="n">
        <v>2004</v>
      </c>
      <c r="B700" s="12" t="s">
        <v>68</v>
      </c>
      <c r="C700" s="12" t="s">
        <v>65</v>
      </c>
      <c r="D700" s="12" t="s">
        <v>46</v>
      </c>
      <c r="E700" s="16" t="n">
        <v>33.249167</v>
      </c>
      <c r="F700" s="16" t="n">
        <v>0</v>
      </c>
      <c r="G700" s="16" t="n">
        <v>46.904492</v>
      </c>
    </row>
    <row r="701" customFormat="false" ht="15" hidden="false" customHeight="false" outlineLevel="0" collapsed="false">
      <c r="A701" s="7" t="n">
        <v>2004</v>
      </c>
      <c r="B701" s="12" t="s">
        <v>68</v>
      </c>
      <c r="C701" s="12" t="s">
        <v>65</v>
      </c>
      <c r="D701" s="12" t="s">
        <v>45</v>
      </c>
      <c r="E701" s="16" t="n">
        <v>7.960339</v>
      </c>
      <c r="F701" s="16" t="n">
        <v>2.315376</v>
      </c>
      <c r="G701" s="16" t="n">
        <v>6.153598</v>
      </c>
    </row>
    <row r="702" customFormat="false" ht="15" hidden="false" customHeight="false" outlineLevel="0" collapsed="false">
      <c r="A702" s="7" t="n">
        <v>2004</v>
      </c>
      <c r="B702" s="12" t="s">
        <v>69</v>
      </c>
      <c r="C702" s="12" t="s">
        <v>70</v>
      </c>
      <c r="D702" s="12" t="s">
        <v>49</v>
      </c>
      <c r="E702" s="16" t="n">
        <v>98.589305</v>
      </c>
      <c r="F702" s="16" t="n">
        <v>0</v>
      </c>
      <c r="G702" s="16" t="n">
        <v>25.261868</v>
      </c>
    </row>
    <row r="703" customFormat="false" ht="15" hidden="false" customHeight="false" outlineLevel="0" collapsed="false">
      <c r="A703" s="7" t="n">
        <v>2004</v>
      </c>
      <c r="B703" s="12" t="s">
        <v>69</v>
      </c>
      <c r="C703" s="12" t="s">
        <v>70</v>
      </c>
      <c r="D703" s="12" t="s">
        <v>48</v>
      </c>
      <c r="E703" s="16" t="n">
        <v>42.786184</v>
      </c>
      <c r="F703" s="16" t="n">
        <v>0</v>
      </c>
      <c r="G703" s="16" t="n">
        <v>0</v>
      </c>
    </row>
    <row r="704" customFormat="false" ht="15" hidden="false" customHeight="false" outlineLevel="0" collapsed="false">
      <c r="A704" s="7" t="n">
        <v>2004</v>
      </c>
      <c r="B704" s="12" t="s">
        <v>69</v>
      </c>
      <c r="C704" s="12" t="s">
        <v>70</v>
      </c>
      <c r="D704" s="12" t="s">
        <v>46</v>
      </c>
      <c r="E704" s="16" t="n">
        <v>26.999283</v>
      </c>
      <c r="F704" s="16" t="n">
        <v>0</v>
      </c>
      <c r="G704" s="16" t="n">
        <v>44.647395</v>
      </c>
    </row>
    <row r="705" customFormat="false" ht="15" hidden="false" customHeight="false" outlineLevel="0" collapsed="false">
      <c r="A705" s="7" t="n">
        <v>2004</v>
      </c>
      <c r="B705" s="12" t="s">
        <v>69</v>
      </c>
      <c r="C705" s="12" t="s">
        <v>70</v>
      </c>
      <c r="D705" s="12" t="s">
        <v>45</v>
      </c>
      <c r="E705" s="16" t="n">
        <v>21.025886</v>
      </c>
      <c r="F705" s="16" t="n">
        <v>10.715001</v>
      </c>
      <c r="G705" s="16" t="n">
        <v>15.626064</v>
      </c>
    </row>
    <row r="706" customFormat="false" ht="15" hidden="false" customHeight="false" outlineLevel="0" collapsed="false">
      <c r="A706" s="7" t="n">
        <v>2004</v>
      </c>
      <c r="B706" s="12" t="s">
        <v>71</v>
      </c>
      <c r="C706" s="12" t="s">
        <v>72</v>
      </c>
      <c r="D706" s="12" t="s">
        <v>49</v>
      </c>
      <c r="E706" s="16" t="n">
        <v>27.940288</v>
      </c>
      <c r="F706" s="16" t="n">
        <v>0</v>
      </c>
      <c r="G706" s="16" t="n">
        <v>1.001396</v>
      </c>
    </row>
    <row r="707" customFormat="false" ht="15" hidden="false" customHeight="false" outlineLevel="0" collapsed="false">
      <c r="A707" s="7" t="n">
        <v>2004</v>
      </c>
      <c r="B707" s="12" t="s">
        <v>71</v>
      </c>
      <c r="C707" s="12" t="s">
        <v>72</v>
      </c>
      <c r="D707" s="12" t="s">
        <v>48</v>
      </c>
      <c r="E707" s="16" t="n">
        <v>8.962358</v>
      </c>
      <c r="F707" s="16" t="n">
        <v>0</v>
      </c>
      <c r="G707" s="16" t="n">
        <v>0</v>
      </c>
    </row>
    <row r="708" customFormat="false" ht="15" hidden="false" customHeight="false" outlineLevel="0" collapsed="false">
      <c r="A708" s="7" t="n">
        <v>2004</v>
      </c>
      <c r="B708" s="12" t="s">
        <v>71</v>
      </c>
      <c r="C708" s="12" t="s">
        <v>72</v>
      </c>
      <c r="D708" s="12" t="s">
        <v>46</v>
      </c>
      <c r="E708" s="16" t="n">
        <v>10.846094</v>
      </c>
      <c r="F708" s="16" t="n">
        <v>0</v>
      </c>
      <c r="G708" s="16" t="n">
        <v>8.27354</v>
      </c>
    </row>
    <row r="709" customFormat="false" ht="15" hidden="false" customHeight="false" outlineLevel="0" collapsed="false">
      <c r="A709" s="7" t="n">
        <v>2004</v>
      </c>
      <c r="B709" s="12" t="s">
        <v>71</v>
      </c>
      <c r="C709" s="12" t="s">
        <v>72</v>
      </c>
      <c r="D709" s="12" t="s">
        <v>45</v>
      </c>
      <c r="E709" s="16" t="n">
        <v>16.190298</v>
      </c>
      <c r="F709" s="16" t="n">
        <v>16.195343</v>
      </c>
      <c r="G709" s="16" t="n">
        <v>0.873873</v>
      </c>
    </row>
    <row r="710" customFormat="false" ht="15" hidden="false" customHeight="false" outlineLevel="0" collapsed="false">
      <c r="A710" s="7" t="n">
        <v>2004</v>
      </c>
      <c r="B710" s="12" t="s">
        <v>73</v>
      </c>
      <c r="C710" s="12" t="s">
        <v>70</v>
      </c>
      <c r="D710" s="12" t="s">
        <v>49</v>
      </c>
      <c r="E710" s="16" t="n">
        <v>99.768592</v>
      </c>
      <c r="F710" s="16" t="n">
        <v>0</v>
      </c>
      <c r="G710" s="16" t="n">
        <v>32.239267</v>
      </c>
    </row>
    <row r="711" customFormat="false" ht="15" hidden="false" customHeight="false" outlineLevel="0" collapsed="false">
      <c r="A711" s="7" t="n">
        <v>2004</v>
      </c>
      <c r="B711" s="12" t="s">
        <v>73</v>
      </c>
      <c r="C711" s="12" t="s">
        <v>70</v>
      </c>
      <c r="D711" s="12" t="s">
        <v>48</v>
      </c>
      <c r="E711" s="16" t="n">
        <v>55.804931</v>
      </c>
      <c r="F711" s="16" t="n">
        <v>0</v>
      </c>
      <c r="G711" s="16" t="n">
        <v>0</v>
      </c>
    </row>
    <row r="712" customFormat="false" ht="15" hidden="false" customHeight="false" outlineLevel="0" collapsed="false">
      <c r="A712" s="7" t="n">
        <v>2004</v>
      </c>
      <c r="B712" s="12" t="s">
        <v>73</v>
      </c>
      <c r="C712" s="12" t="s">
        <v>70</v>
      </c>
      <c r="D712" s="12" t="s">
        <v>46</v>
      </c>
      <c r="E712" s="16" t="n">
        <v>74.116741</v>
      </c>
      <c r="F712" s="16" t="n">
        <v>0</v>
      </c>
      <c r="G712" s="16" t="n">
        <v>51.683654</v>
      </c>
    </row>
    <row r="713" customFormat="false" ht="15" hidden="false" customHeight="false" outlineLevel="0" collapsed="false">
      <c r="A713" s="7" t="n">
        <v>2004</v>
      </c>
      <c r="B713" s="12" t="s">
        <v>73</v>
      </c>
      <c r="C713" s="12" t="s">
        <v>70</v>
      </c>
      <c r="D713" s="12" t="s">
        <v>45</v>
      </c>
      <c r="E713" s="16" t="n">
        <v>13.080287</v>
      </c>
      <c r="F713" s="16" t="n">
        <v>6.078846</v>
      </c>
      <c r="G713" s="16" t="n">
        <v>9.372166</v>
      </c>
    </row>
    <row r="714" customFormat="false" ht="15" hidden="false" customHeight="false" outlineLevel="0" collapsed="false">
      <c r="A714" s="7" t="n">
        <v>2004</v>
      </c>
      <c r="B714" s="12" t="s">
        <v>74</v>
      </c>
      <c r="C714" s="12" t="s">
        <v>65</v>
      </c>
      <c r="D714" s="12" t="s">
        <v>49</v>
      </c>
      <c r="E714" s="16" t="n">
        <v>85.20869</v>
      </c>
      <c r="F714" s="16" t="n">
        <v>0</v>
      </c>
      <c r="G714" s="16" t="n">
        <v>16.569735</v>
      </c>
    </row>
    <row r="715" customFormat="false" ht="15" hidden="false" customHeight="false" outlineLevel="0" collapsed="false">
      <c r="A715" s="7" t="n">
        <v>2004</v>
      </c>
      <c r="B715" s="12" t="s">
        <v>74</v>
      </c>
      <c r="C715" s="12" t="s">
        <v>65</v>
      </c>
      <c r="D715" s="12" t="s">
        <v>48</v>
      </c>
      <c r="E715" s="16" t="n">
        <v>21.006747</v>
      </c>
      <c r="F715" s="16" t="n">
        <v>0</v>
      </c>
      <c r="G715" s="16" t="n">
        <v>0</v>
      </c>
    </row>
    <row r="716" customFormat="false" ht="15" hidden="false" customHeight="false" outlineLevel="0" collapsed="false">
      <c r="A716" s="7" t="n">
        <v>2004</v>
      </c>
      <c r="B716" s="12" t="s">
        <v>74</v>
      </c>
      <c r="C716" s="12" t="s">
        <v>65</v>
      </c>
      <c r="D716" s="12" t="s">
        <v>46</v>
      </c>
      <c r="E716" s="16" t="n">
        <v>28.663097</v>
      </c>
      <c r="F716" s="16" t="n">
        <v>0</v>
      </c>
      <c r="G716" s="16" t="n">
        <v>42.068707</v>
      </c>
    </row>
    <row r="717" customFormat="false" ht="15" hidden="false" customHeight="false" outlineLevel="0" collapsed="false">
      <c r="A717" s="7" t="n">
        <v>2004</v>
      </c>
      <c r="B717" s="12" t="s">
        <v>74</v>
      </c>
      <c r="C717" s="12" t="s">
        <v>65</v>
      </c>
      <c r="D717" s="12" t="s">
        <v>45</v>
      </c>
      <c r="E717" s="16" t="n">
        <v>23.012604</v>
      </c>
      <c r="F717" s="16" t="n">
        <v>8.321027</v>
      </c>
      <c r="G717" s="16" t="n">
        <v>19.86022</v>
      </c>
    </row>
    <row r="718" customFormat="false" ht="15" hidden="false" customHeight="false" outlineLevel="0" collapsed="false">
      <c r="A718" s="7" t="n">
        <v>2004</v>
      </c>
      <c r="B718" s="12" t="s">
        <v>75</v>
      </c>
      <c r="C718" s="12" t="s">
        <v>57</v>
      </c>
      <c r="D718" s="12" t="s">
        <v>49</v>
      </c>
      <c r="E718" s="16" t="n">
        <v>151.856631</v>
      </c>
      <c r="F718" s="16" t="n">
        <v>0</v>
      </c>
      <c r="G718" s="16" t="n">
        <v>43.752107</v>
      </c>
    </row>
    <row r="719" customFormat="false" ht="15" hidden="false" customHeight="false" outlineLevel="0" collapsed="false">
      <c r="A719" s="7" t="n">
        <v>2004</v>
      </c>
      <c r="B719" s="12" t="s">
        <v>75</v>
      </c>
      <c r="C719" s="12" t="s">
        <v>57</v>
      </c>
      <c r="D719" s="12" t="s">
        <v>48</v>
      </c>
      <c r="E719" s="16" t="n">
        <v>106.376418</v>
      </c>
      <c r="F719" s="16" t="n">
        <v>0</v>
      </c>
      <c r="G719" s="16" t="n">
        <v>0</v>
      </c>
    </row>
    <row r="720" customFormat="false" ht="15" hidden="false" customHeight="false" outlineLevel="0" collapsed="false">
      <c r="A720" s="7" t="n">
        <v>2004</v>
      </c>
      <c r="B720" s="12" t="s">
        <v>75</v>
      </c>
      <c r="C720" s="12" t="s">
        <v>57</v>
      </c>
      <c r="D720" s="12" t="s">
        <v>46</v>
      </c>
      <c r="E720" s="16" t="n">
        <v>91.789767</v>
      </c>
      <c r="F720" s="16" t="n">
        <v>0</v>
      </c>
      <c r="G720" s="16" t="n">
        <v>74.949118</v>
      </c>
    </row>
    <row r="721" customFormat="false" ht="15" hidden="false" customHeight="false" outlineLevel="0" collapsed="false">
      <c r="A721" s="7" t="n">
        <v>2004</v>
      </c>
      <c r="B721" s="12" t="s">
        <v>75</v>
      </c>
      <c r="C721" s="12" t="s">
        <v>57</v>
      </c>
      <c r="D721" s="12" t="s">
        <v>45</v>
      </c>
      <c r="E721" s="16" t="n">
        <v>105.774365</v>
      </c>
      <c r="F721" s="16" t="n">
        <v>43.672642</v>
      </c>
      <c r="G721" s="16" t="n">
        <v>25.465673</v>
      </c>
    </row>
    <row r="722" customFormat="false" ht="15" hidden="false" customHeight="false" outlineLevel="0" collapsed="false">
      <c r="A722" s="7" t="n">
        <v>2004</v>
      </c>
      <c r="B722" s="12" t="s">
        <v>76</v>
      </c>
      <c r="C722" s="12" t="s">
        <v>72</v>
      </c>
      <c r="D722" s="12" t="s">
        <v>49</v>
      </c>
      <c r="E722" s="16" t="n">
        <v>25.024047</v>
      </c>
      <c r="F722" s="16" t="n">
        <v>0</v>
      </c>
      <c r="G722" s="16" t="n">
        <v>5.680009</v>
      </c>
    </row>
    <row r="723" customFormat="false" ht="15" hidden="false" customHeight="false" outlineLevel="0" collapsed="false">
      <c r="A723" s="7" t="n">
        <v>2004</v>
      </c>
      <c r="B723" s="12" t="s">
        <v>76</v>
      </c>
      <c r="C723" s="12" t="s">
        <v>72</v>
      </c>
      <c r="D723" s="12" t="s">
        <v>48</v>
      </c>
      <c r="E723" s="16" t="n">
        <v>17.906167</v>
      </c>
      <c r="F723" s="16" t="n">
        <v>0</v>
      </c>
      <c r="G723" s="16" t="n">
        <v>0</v>
      </c>
    </row>
    <row r="724" customFormat="false" ht="15" hidden="false" customHeight="false" outlineLevel="0" collapsed="false">
      <c r="A724" s="7" t="n">
        <v>2004</v>
      </c>
      <c r="B724" s="12" t="s">
        <v>76</v>
      </c>
      <c r="C724" s="12" t="s">
        <v>72</v>
      </c>
      <c r="D724" s="12" t="s">
        <v>46</v>
      </c>
      <c r="E724" s="16" t="n">
        <v>19.068671</v>
      </c>
      <c r="F724" s="16" t="n">
        <v>0</v>
      </c>
      <c r="G724" s="16" t="n">
        <v>17.600906</v>
      </c>
    </row>
    <row r="725" customFormat="false" ht="15" hidden="false" customHeight="false" outlineLevel="0" collapsed="false">
      <c r="A725" s="7" t="n">
        <v>2004</v>
      </c>
      <c r="B725" s="12" t="s">
        <v>76</v>
      </c>
      <c r="C725" s="12" t="s">
        <v>72</v>
      </c>
      <c r="D725" s="12" t="s">
        <v>45</v>
      </c>
      <c r="E725" s="16" t="n">
        <v>24.812784</v>
      </c>
      <c r="F725" s="16" t="n">
        <v>0</v>
      </c>
      <c r="G725" s="16" t="n">
        <v>9.508304</v>
      </c>
    </row>
    <row r="726" customFormat="false" ht="15" hidden="false" customHeight="false" outlineLevel="0" collapsed="false">
      <c r="A726" s="7" t="n">
        <v>2004</v>
      </c>
      <c r="B726" s="12" t="s">
        <v>77</v>
      </c>
      <c r="C726" s="12" t="s">
        <v>57</v>
      </c>
      <c r="D726" s="12" t="s">
        <v>49</v>
      </c>
      <c r="E726" s="16" t="n">
        <v>30.217652</v>
      </c>
      <c r="F726" s="16" t="n">
        <v>0</v>
      </c>
      <c r="G726" s="16" t="n">
        <v>3.64171</v>
      </c>
    </row>
    <row r="727" customFormat="false" ht="15" hidden="false" customHeight="false" outlineLevel="0" collapsed="false">
      <c r="A727" s="7" t="n">
        <v>2004</v>
      </c>
      <c r="B727" s="12" t="s">
        <v>77</v>
      </c>
      <c r="C727" s="12" t="s">
        <v>57</v>
      </c>
      <c r="D727" s="12" t="s">
        <v>48</v>
      </c>
      <c r="E727" s="16" t="n">
        <v>14.666289</v>
      </c>
      <c r="F727" s="16" t="n">
        <v>0</v>
      </c>
      <c r="G727" s="16" t="n">
        <v>0</v>
      </c>
    </row>
    <row r="728" customFormat="false" ht="15" hidden="false" customHeight="false" outlineLevel="0" collapsed="false">
      <c r="A728" s="7" t="n">
        <v>2004</v>
      </c>
      <c r="B728" s="12" t="s">
        <v>77</v>
      </c>
      <c r="C728" s="12" t="s">
        <v>57</v>
      </c>
      <c r="D728" s="12" t="s">
        <v>46</v>
      </c>
      <c r="E728" s="16" t="n">
        <v>10.753775</v>
      </c>
      <c r="F728" s="16" t="n">
        <v>0</v>
      </c>
      <c r="G728" s="16" t="n">
        <v>7.6631</v>
      </c>
    </row>
    <row r="729" customFormat="false" ht="15" hidden="false" customHeight="false" outlineLevel="0" collapsed="false">
      <c r="A729" s="7" t="n">
        <v>2004</v>
      </c>
      <c r="B729" s="12" t="s">
        <v>77</v>
      </c>
      <c r="C729" s="12" t="s">
        <v>57</v>
      </c>
      <c r="D729" s="12" t="s">
        <v>45</v>
      </c>
      <c r="E729" s="16" t="n">
        <v>6.169048</v>
      </c>
      <c r="F729" s="16" t="n">
        <v>0</v>
      </c>
      <c r="G729" s="16" t="n">
        <v>3.699719</v>
      </c>
    </row>
    <row r="730" customFormat="false" ht="15" hidden="false" customHeight="false" outlineLevel="0" collapsed="false">
      <c r="A730" s="7" t="n">
        <v>2004</v>
      </c>
      <c r="B730" s="12" t="s">
        <v>78</v>
      </c>
      <c r="C730" s="12" t="s">
        <v>65</v>
      </c>
      <c r="D730" s="12" t="s">
        <v>49</v>
      </c>
      <c r="E730" s="16" t="n">
        <v>25.355948</v>
      </c>
      <c r="F730" s="16" t="n">
        <v>0</v>
      </c>
      <c r="G730" s="16" t="n">
        <v>36.065043</v>
      </c>
    </row>
    <row r="731" customFormat="false" ht="15" hidden="false" customHeight="false" outlineLevel="0" collapsed="false">
      <c r="A731" s="7" t="n">
        <v>2004</v>
      </c>
      <c r="B731" s="12" t="s">
        <v>78</v>
      </c>
      <c r="C731" s="12" t="s">
        <v>65</v>
      </c>
      <c r="D731" s="12" t="s">
        <v>48</v>
      </c>
      <c r="E731" s="16" t="n">
        <v>5.885672</v>
      </c>
      <c r="F731" s="16" t="n">
        <v>0</v>
      </c>
      <c r="G731" s="16" t="n">
        <v>0</v>
      </c>
    </row>
    <row r="732" customFormat="false" ht="15" hidden="false" customHeight="false" outlineLevel="0" collapsed="false">
      <c r="A732" s="7" t="n">
        <v>2004</v>
      </c>
      <c r="B732" s="12" t="s">
        <v>78</v>
      </c>
      <c r="C732" s="12" t="s">
        <v>65</v>
      </c>
      <c r="D732" s="12" t="s">
        <v>46</v>
      </c>
      <c r="E732" s="16" t="n">
        <v>8.896149</v>
      </c>
      <c r="F732" s="16" t="n">
        <v>0</v>
      </c>
      <c r="G732" s="16" t="n">
        <v>10.139892</v>
      </c>
    </row>
    <row r="733" customFormat="false" ht="15" hidden="false" customHeight="false" outlineLevel="0" collapsed="false">
      <c r="A733" s="7" t="n">
        <v>2004</v>
      </c>
      <c r="B733" s="12" t="s">
        <v>78</v>
      </c>
      <c r="C733" s="12" t="s">
        <v>65</v>
      </c>
      <c r="D733" s="12" t="s">
        <v>45</v>
      </c>
      <c r="E733" s="16" t="n">
        <v>1.369077</v>
      </c>
      <c r="F733" s="16" t="n">
        <v>0</v>
      </c>
      <c r="G733" s="16" t="n">
        <v>3.46481</v>
      </c>
    </row>
    <row r="734" customFormat="false" ht="15" hidden="false" customHeight="false" outlineLevel="0" collapsed="false">
      <c r="A734" s="7" t="n">
        <v>2004</v>
      </c>
      <c r="B734" s="12" t="s">
        <v>79</v>
      </c>
      <c r="C734" s="12" t="s">
        <v>72</v>
      </c>
      <c r="D734" s="12" t="s">
        <v>49</v>
      </c>
      <c r="E734" s="16" t="n">
        <v>210.179513</v>
      </c>
      <c r="F734" s="16" t="n">
        <v>0</v>
      </c>
      <c r="G734" s="16" t="n">
        <v>24.484021</v>
      </c>
    </row>
    <row r="735" customFormat="false" ht="15" hidden="false" customHeight="false" outlineLevel="0" collapsed="false">
      <c r="A735" s="7" t="n">
        <v>2004</v>
      </c>
      <c r="B735" s="12" t="s">
        <v>79</v>
      </c>
      <c r="C735" s="12" t="s">
        <v>72</v>
      </c>
      <c r="D735" s="12" t="s">
        <v>48</v>
      </c>
      <c r="E735" s="16" t="n">
        <v>61.497391</v>
      </c>
      <c r="F735" s="16" t="n">
        <v>0</v>
      </c>
      <c r="G735" s="16" t="n">
        <v>0</v>
      </c>
    </row>
    <row r="736" customFormat="false" ht="15" hidden="false" customHeight="false" outlineLevel="0" collapsed="false">
      <c r="A736" s="7" t="n">
        <v>2004</v>
      </c>
      <c r="B736" s="12" t="s">
        <v>79</v>
      </c>
      <c r="C736" s="12" t="s">
        <v>72</v>
      </c>
      <c r="D736" s="12" t="s">
        <v>46</v>
      </c>
      <c r="E736" s="16" t="n">
        <v>65.222303</v>
      </c>
      <c r="F736" s="16" t="n">
        <v>0</v>
      </c>
      <c r="G736" s="16" t="n">
        <v>84.600169</v>
      </c>
    </row>
    <row r="737" customFormat="false" ht="15" hidden="false" customHeight="false" outlineLevel="0" collapsed="false">
      <c r="A737" s="7" t="n">
        <v>2004</v>
      </c>
      <c r="B737" s="12" t="s">
        <v>79</v>
      </c>
      <c r="C737" s="12" t="s">
        <v>72</v>
      </c>
      <c r="D737" s="12" t="s">
        <v>45</v>
      </c>
      <c r="E737" s="16" t="n">
        <v>108.833458</v>
      </c>
      <c r="F737" s="16" t="n">
        <v>108.141466</v>
      </c>
      <c r="G737" s="16" t="n">
        <v>0</v>
      </c>
    </row>
    <row r="738" customFormat="false" ht="15" hidden="false" customHeight="false" outlineLevel="0" collapsed="false">
      <c r="A738" s="7" t="n">
        <v>2004</v>
      </c>
      <c r="B738" s="12" t="s">
        <v>80</v>
      </c>
      <c r="C738" s="12" t="s">
        <v>72</v>
      </c>
      <c r="D738" s="12" t="s">
        <v>49</v>
      </c>
      <c r="E738" s="16" t="n">
        <v>71.623138</v>
      </c>
      <c r="F738" s="16" t="n">
        <v>0</v>
      </c>
      <c r="G738" s="16" t="n">
        <v>19.935555</v>
      </c>
    </row>
    <row r="739" customFormat="false" ht="15" hidden="false" customHeight="false" outlineLevel="0" collapsed="false">
      <c r="A739" s="7" t="n">
        <v>2004</v>
      </c>
      <c r="B739" s="12" t="s">
        <v>80</v>
      </c>
      <c r="C739" s="12" t="s">
        <v>72</v>
      </c>
      <c r="D739" s="12" t="s">
        <v>48</v>
      </c>
      <c r="E739" s="16" t="n">
        <v>41.782042</v>
      </c>
      <c r="F739" s="16" t="n">
        <v>0</v>
      </c>
      <c r="G739" s="16" t="n">
        <v>0</v>
      </c>
    </row>
    <row r="740" customFormat="false" ht="15" hidden="false" customHeight="false" outlineLevel="0" collapsed="false">
      <c r="A740" s="7" t="n">
        <v>2004</v>
      </c>
      <c r="B740" s="12" t="s">
        <v>80</v>
      </c>
      <c r="C740" s="12" t="s">
        <v>72</v>
      </c>
      <c r="D740" s="12" t="s">
        <v>46</v>
      </c>
      <c r="E740" s="16" t="n">
        <v>25.248446</v>
      </c>
      <c r="F740" s="16" t="n">
        <v>0</v>
      </c>
      <c r="G740" s="16" t="n">
        <v>34.781554</v>
      </c>
    </row>
    <row r="741" customFormat="false" ht="15" hidden="false" customHeight="false" outlineLevel="0" collapsed="false">
      <c r="A741" s="7" t="n">
        <v>2004</v>
      </c>
      <c r="B741" s="12" t="s">
        <v>80</v>
      </c>
      <c r="C741" s="12" t="s">
        <v>72</v>
      </c>
      <c r="D741" s="12" t="s">
        <v>45</v>
      </c>
      <c r="E741" s="16" t="n">
        <v>57.941037</v>
      </c>
      <c r="F741" s="16" t="n">
        <v>57.930055</v>
      </c>
      <c r="G741" s="16" t="n">
        <v>0</v>
      </c>
    </row>
    <row r="742" customFormat="false" ht="15" hidden="false" customHeight="false" outlineLevel="0" collapsed="false">
      <c r="A742" s="7" t="n">
        <v>2004</v>
      </c>
      <c r="B742" s="12" t="s">
        <v>81</v>
      </c>
      <c r="C742" s="12" t="s">
        <v>72</v>
      </c>
      <c r="D742" s="12" t="s">
        <v>49</v>
      </c>
      <c r="E742" s="16" t="n">
        <v>72.232491</v>
      </c>
      <c r="F742" s="16" t="n">
        <v>0</v>
      </c>
      <c r="G742" s="16" t="n">
        <v>15.786442</v>
      </c>
    </row>
    <row r="743" customFormat="false" ht="15" hidden="false" customHeight="false" outlineLevel="0" collapsed="false">
      <c r="A743" s="7" t="n">
        <v>2004</v>
      </c>
      <c r="B743" s="12" t="s">
        <v>81</v>
      </c>
      <c r="C743" s="12" t="s">
        <v>72</v>
      </c>
      <c r="D743" s="12" t="s">
        <v>48</v>
      </c>
      <c r="E743" s="16" t="n">
        <v>34.896226</v>
      </c>
      <c r="F743" s="16" t="n">
        <v>0</v>
      </c>
      <c r="G743" s="16" t="n">
        <v>0</v>
      </c>
    </row>
    <row r="744" customFormat="false" ht="15" hidden="false" customHeight="false" outlineLevel="0" collapsed="false">
      <c r="A744" s="7" t="n">
        <v>2004</v>
      </c>
      <c r="B744" s="12" t="s">
        <v>81</v>
      </c>
      <c r="C744" s="12" t="s">
        <v>72</v>
      </c>
      <c r="D744" s="12" t="s">
        <v>46</v>
      </c>
      <c r="E744" s="16" t="n">
        <v>39.393288</v>
      </c>
      <c r="F744" s="16" t="n">
        <v>0</v>
      </c>
      <c r="G744" s="16" t="n">
        <v>22.674674</v>
      </c>
    </row>
    <row r="745" customFormat="false" ht="15" hidden="false" customHeight="false" outlineLevel="0" collapsed="false">
      <c r="A745" s="7" t="n">
        <v>2004</v>
      </c>
      <c r="B745" s="12" t="s">
        <v>81</v>
      </c>
      <c r="C745" s="12" t="s">
        <v>72</v>
      </c>
      <c r="D745" s="12" t="s">
        <v>45</v>
      </c>
      <c r="E745" s="16" t="n">
        <v>55.448949</v>
      </c>
      <c r="F745" s="16" t="n">
        <v>54.322024</v>
      </c>
      <c r="G745" s="16" t="n">
        <v>0</v>
      </c>
    </row>
    <row r="746" customFormat="false" ht="15" hidden="false" customHeight="false" outlineLevel="0" collapsed="false">
      <c r="A746" s="7" t="n">
        <v>2005</v>
      </c>
      <c r="B746" s="12" t="s">
        <v>56</v>
      </c>
      <c r="C746" s="12" t="s">
        <v>57</v>
      </c>
      <c r="D746" s="12" t="s">
        <v>49</v>
      </c>
      <c r="E746" s="16" t="n">
        <v>46.5362</v>
      </c>
      <c r="F746" s="16" t="n">
        <v>0</v>
      </c>
      <c r="G746" s="16" t="n">
        <v>5.407687</v>
      </c>
    </row>
    <row r="747" customFormat="false" ht="15" hidden="false" customHeight="false" outlineLevel="0" collapsed="false">
      <c r="A747" s="7" t="n">
        <v>2005</v>
      </c>
      <c r="B747" s="12" t="s">
        <v>56</v>
      </c>
      <c r="C747" s="12" t="s">
        <v>57</v>
      </c>
      <c r="D747" s="12" t="s">
        <v>48</v>
      </c>
      <c r="E747" s="16" t="n">
        <v>16.701482</v>
      </c>
      <c r="F747" s="16" t="n">
        <v>0</v>
      </c>
      <c r="G747" s="16" t="n">
        <v>0</v>
      </c>
    </row>
    <row r="748" customFormat="false" ht="15" hidden="false" customHeight="false" outlineLevel="0" collapsed="false">
      <c r="A748" s="7" t="n">
        <v>2005</v>
      </c>
      <c r="B748" s="12" t="s">
        <v>56</v>
      </c>
      <c r="C748" s="12" t="s">
        <v>57</v>
      </c>
      <c r="D748" s="12" t="s">
        <v>46</v>
      </c>
      <c r="E748" s="16" t="n">
        <v>18.482497</v>
      </c>
      <c r="F748" s="16" t="n">
        <v>0</v>
      </c>
      <c r="G748" s="16" t="n">
        <v>9.583227</v>
      </c>
    </row>
    <row r="749" customFormat="false" ht="15" hidden="false" customHeight="false" outlineLevel="0" collapsed="false">
      <c r="A749" s="7" t="n">
        <v>2005</v>
      </c>
      <c r="B749" s="12" t="s">
        <v>56</v>
      </c>
      <c r="C749" s="12" t="s">
        <v>57</v>
      </c>
      <c r="D749" s="12" t="s">
        <v>45</v>
      </c>
      <c r="E749" s="16" t="n">
        <v>17.016973</v>
      </c>
      <c r="F749" s="16" t="n">
        <v>8.164517</v>
      </c>
      <c r="G749" s="16" t="n">
        <v>5.094515</v>
      </c>
    </row>
    <row r="750" customFormat="false" ht="15" hidden="false" customHeight="false" outlineLevel="0" collapsed="false">
      <c r="A750" s="7" t="n">
        <v>2005</v>
      </c>
      <c r="B750" s="12" t="s">
        <v>58</v>
      </c>
      <c r="C750" s="12" t="s">
        <v>59</v>
      </c>
      <c r="D750" s="12" t="s">
        <v>49</v>
      </c>
      <c r="E750" s="16" t="n">
        <v>144.90486</v>
      </c>
      <c r="F750" s="16" t="n">
        <v>0</v>
      </c>
      <c r="G750" s="16" t="n">
        <v>13.227496</v>
      </c>
    </row>
    <row r="751" customFormat="false" ht="15" hidden="false" customHeight="false" outlineLevel="0" collapsed="false">
      <c r="A751" s="7" t="n">
        <v>2005</v>
      </c>
      <c r="B751" s="12" t="s">
        <v>58</v>
      </c>
      <c r="C751" s="12" t="s">
        <v>59</v>
      </c>
      <c r="D751" s="12" t="s">
        <v>48</v>
      </c>
      <c r="E751" s="16" t="n">
        <v>52.181818</v>
      </c>
      <c r="F751" s="16" t="n">
        <v>0</v>
      </c>
      <c r="G751" s="16" t="n">
        <v>0</v>
      </c>
    </row>
    <row r="752" customFormat="false" ht="15" hidden="false" customHeight="false" outlineLevel="0" collapsed="false">
      <c r="A752" s="7" t="n">
        <v>2005</v>
      </c>
      <c r="B752" s="12" t="s">
        <v>58</v>
      </c>
      <c r="C752" s="12" t="s">
        <v>59</v>
      </c>
      <c r="D752" s="12" t="s">
        <v>46</v>
      </c>
      <c r="E752" s="16" t="n">
        <v>136.354949</v>
      </c>
      <c r="F752" s="16" t="n">
        <v>0</v>
      </c>
      <c r="G752" s="16" t="n">
        <v>106.637463</v>
      </c>
    </row>
    <row r="753" customFormat="false" ht="15" hidden="false" customHeight="false" outlineLevel="0" collapsed="false">
      <c r="A753" s="7" t="n">
        <v>2005</v>
      </c>
      <c r="B753" s="12" t="s">
        <v>58</v>
      </c>
      <c r="C753" s="12" t="s">
        <v>59</v>
      </c>
      <c r="D753" s="12" t="s">
        <v>45</v>
      </c>
      <c r="E753" s="16" t="n">
        <v>36.419996</v>
      </c>
      <c r="F753" s="16" t="n">
        <v>17.240583</v>
      </c>
      <c r="G753" s="16" t="n">
        <v>13.804981</v>
      </c>
    </row>
    <row r="754" customFormat="false" ht="15" hidden="false" customHeight="false" outlineLevel="0" collapsed="false">
      <c r="A754" s="7" t="n">
        <v>2005</v>
      </c>
      <c r="B754" s="12" t="s">
        <v>60</v>
      </c>
      <c r="C754" s="12" t="s">
        <v>59</v>
      </c>
      <c r="D754" s="12" t="s">
        <v>49</v>
      </c>
      <c r="E754" s="16" t="n">
        <v>289.49864</v>
      </c>
      <c r="F754" s="16" t="n">
        <v>0</v>
      </c>
      <c r="G754" s="16" t="n">
        <v>77.042838</v>
      </c>
    </row>
    <row r="755" customFormat="false" ht="15" hidden="false" customHeight="false" outlineLevel="0" collapsed="false">
      <c r="A755" s="7" t="n">
        <v>2005</v>
      </c>
      <c r="B755" s="12" t="s">
        <v>60</v>
      </c>
      <c r="C755" s="12" t="s">
        <v>59</v>
      </c>
      <c r="D755" s="12" t="s">
        <v>48</v>
      </c>
      <c r="E755" s="16" t="n">
        <v>175.894166</v>
      </c>
      <c r="F755" s="16" t="n">
        <v>0</v>
      </c>
      <c r="G755" s="16" t="n">
        <v>0</v>
      </c>
    </row>
    <row r="756" customFormat="false" ht="15" hidden="false" customHeight="false" outlineLevel="0" collapsed="false">
      <c r="A756" s="7" t="n">
        <v>2005</v>
      </c>
      <c r="B756" s="12" t="s">
        <v>60</v>
      </c>
      <c r="C756" s="12" t="s">
        <v>59</v>
      </c>
      <c r="D756" s="12" t="s">
        <v>46</v>
      </c>
      <c r="E756" s="16" t="n">
        <v>286.020138</v>
      </c>
      <c r="F756" s="16" t="n">
        <v>0</v>
      </c>
      <c r="G756" s="16" t="n">
        <v>250.310444</v>
      </c>
    </row>
    <row r="757" customFormat="false" ht="15" hidden="false" customHeight="false" outlineLevel="0" collapsed="false">
      <c r="A757" s="7" t="n">
        <v>2005</v>
      </c>
      <c r="B757" s="12" t="s">
        <v>60</v>
      </c>
      <c r="C757" s="12" t="s">
        <v>59</v>
      </c>
      <c r="D757" s="12" t="s">
        <v>45</v>
      </c>
      <c r="E757" s="16" t="n">
        <v>380.152856</v>
      </c>
      <c r="F757" s="16" t="n">
        <v>1.76578</v>
      </c>
      <c r="G757" s="16" t="n">
        <v>41.200088</v>
      </c>
    </row>
    <row r="758" customFormat="false" ht="15" hidden="false" customHeight="false" outlineLevel="0" collapsed="false">
      <c r="A758" s="7" t="n">
        <v>2005</v>
      </c>
      <c r="B758" s="12" t="s">
        <v>61</v>
      </c>
      <c r="C758" s="12" t="s">
        <v>62</v>
      </c>
      <c r="D758" s="12" t="s">
        <v>49</v>
      </c>
      <c r="E758" s="16" t="n">
        <v>162.907986</v>
      </c>
      <c r="F758" s="16" t="n">
        <v>0</v>
      </c>
      <c r="G758" s="16" t="n">
        <v>27.951865</v>
      </c>
    </row>
    <row r="759" customFormat="false" ht="15" hidden="false" customHeight="false" outlineLevel="0" collapsed="false">
      <c r="A759" s="7" t="n">
        <v>2005</v>
      </c>
      <c r="B759" s="12" t="s">
        <v>61</v>
      </c>
      <c r="C759" s="12" t="s">
        <v>62</v>
      </c>
      <c r="D759" s="12" t="s">
        <v>48</v>
      </c>
      <c r="E759" s="16" t="n">
        <v>57.860319</v>
      </c>
      <c r="F759" s="16" t="n">
        <v>0</v>
      </c>
      <c r="G759" s="16" t="n">
        <v>0</v>
      </c>
    </row>
    <row r="760" customFormat="false" ht="15" hidden="false" customHeight="false" outlineLevel="0" collapsed="false">
      <c r="A760" s="7" t="n">
        <v>2005</v>
      </c>
      <c r="B760" s="12" t="s">
        <v>61</v>
      </c>
      <c r="C760" s="12" t="s">
        <v>62</v>
      </c>
      <c r="D760" s="12" t="s">
        <v>46</v>
      </c>
      <c r="E760" s="16" t="n">
        <v>134.014347</v>
      </c>
      <c r="F760" s="16" t="n">
        <v>0</v>
      </c>
      <c r="G760" s="16" t="n">
        <v>106.5865</v>
      </c>
    </row>
    <row r="761" customFormat="false" ht="15" hidden="false" customHeight="false" outlineLevel="0" collapsed="false">
      <c r="A761" s="7" t="n">
        <v>2005</v>
      </c>
      <c r="B761" s="12" t="s">
        <v>61</v>
      </c>
      <c r="C761" s="12" t="s">
        <v>62</v>
      </c>
      <c r="D761" s="12" t="s">
        <v>45</v>
      </c>
      <c r="E761" s="16" t="n">
        <v>60.830098</v>
      </c>
      <c r="F761" s="16" t="n">
        <v>60.830098</v>
      </c>
      <c r="G761" s="16" t="n">
        <v>0</v>
      </c>
    </row>
    <row r="762" customFormat="false" ht="15" hidden="false" customHeight="false" outlineLevel="0" collapsed="false">
      <c r="A762" s="7" t="n">
        <v>2005</v>
      </c>
      <c r="B762" s="12" t="s">
        <v>63</v>
      </c>
      <c r="C762" s="12" t="s">
        <v>62</v>
      </c>
      <c r="D762" s="12" t="s">
        <v>49</v>
      </c>
      <c r="E762" s="16" t="n">
        <v>492.200461</v>
      </c>
      <c r="F762" s="16" t="n">
        <v>0</v>
      </c>
      <c r="G762" s="16" t="n">
        <v>73.011728</v>
      </c>
    </row>
    <row r="763" customFormat="false" ht="15" hidden="false" customHeight="false" outlineLevel="0" collapsed="false">
      <c r="A763" s="7" t="n">
        <v>2005</v>
      </c>
      <c r="B763" s="12" t="s">
        <v>63</v>
      </c>
      <c r="C763" s="12" t="s">
        <v>62</v>
      </c>
      <c r="D763" s="12" t="s">
        <v>48</v>
      </c>
      <c r="E763" s="16" t="n">
        <v>165.13028</v>
      </c>
      <c r="F763" s="16" t="n">
        <v>0</v>
      </c>
      <c r="G763" s="16" t="n">
        <v>0</v>
      </c>
    </row>
    <row r="764" customFormat="false" ht="15" hidden="false" customHeight="false" outlineLevel="0" collapsed="false">
      <c r="A764" s="7" t="n">
        <v>2005</v>
      </c>
      <c r="B764" s="12" t="s">
        <v>63</v>
      </c>
      <c r="C764" s="12" t="s">
        <v>62</v>
      </c>
      <c r="D764" s="12" t="s">
        <v>46</v>
      </c>
      <c r="E764" s="16" t="n">
        <v>213.229892</v>
      </c>
      <c r="F764" s="16" t="n">
        <v>0</v>
      </c>
      <c r="G764" s="16" t="n">
        <v>197.525925</v>
      </c>
    </row>
    <row r="765" customFormat="false" ht="15" hidden="false" customHeight="false" outlineLevel="0" collapsed="false">
      <c r="A765" s="7" t="n">
        <v>2005</v>
      </c>
      <c r="B765" s="12" t="s">
        <v>63</v>
      </c>
      <c r="C765" s="12" t="s">
        <v>62</v>
      </c>
      <c r="D765" s="12" t="s">
        <v>45</v>
      </c>
      <c r="E765" s="16" t="n">
        <v>183.892009</v>
      </c>
      <c r="F765" s="16" t="n">
        <v>155.608206</v>
      </c>
      <c r="G765" s="16" t="n">
        <v>0.739</v>
      </c>
    </row>
    <row r="766" customFormat="false" ht="15" hidden="false" customHeight="false" outlineLevel="0" collapsed="false">
      <c r="A766" s="7" t="n">
        <v>2005</v>
      </c>
      <c r="B766" s="12" t="s">
        <v>64</v>
      </c>
      <c r="C766" s="12" t="s">
        <v>65</v>
      </c>
      <c r="D766" s="12" t="s">
        <v>49</v>
      </c>
      <c r="E766" s="16" t="n">
        <v>213.931986</v>
      </c>
      <c r="F766" s="16" t="n">
        <v>0</v>
      </c>
      <c r="G766" s="16" t="n">
        <v>25.113887</v>
      </c>
    </row>
    <row r="767" customFormat="false" ht="15" hidden="false" customHeight="false" outlineLevel="0" collapsed="false">
      <c r="A767" s="7" t="n">
        <v>2005</v>
      </c>
      <c r="B767" s="12" t="s">
        <v>64</v>
      </c>
      <c r="C767" s="12" t="s">
        <v>65</v>
      </c>
      <c r="D767" s="12" t="s">
        <v>48</v>
      </c>
      <c r="E767" s="16" t="n">
        <v>42.760694</v>
      </c>
      <c r="F767" s="16" t="n">
        <v>0</v>
      </c>
      <c r="G767" s="16" t="n">
        <v>0</v>
      </c>
    </row>
    <row r="768" customFormat="false" ht="15" hidden="false" customHeight="false" outlineLevel="0" collapsed="false">
      <c r="A768" s="7" t="n">
        <v>2005</v>
      </c>
      <c r="B768" s="12" t="s">
        <v>64</v>
      </c>
      <c r="C768" s="12" t="s">
        <v>65</v>
      </c>
      <c r="D768" s="12" t="s">
        <v>46</v>
      </c>
      <c r="E768" s="16" t="n">
        <v>45.745644</v>
      </c>
      <c r="F768" s="16" t="n">
        <v>0</v>
      </c>
      <c r="G768" s="16" t="n">
        <v>68.103374</v>
      </c>
    </row>
    <row r="769" customFormat="false" ht="15" hidden="false" customHeight="false" outlineLevel="0" collapsed="false">
      <c r="A769" s="7" t="n">
        <v>2005</v>
      </c>
      <c r="B769" s="12" t="s">
        <v>64</v>
      </c>
      <c r="C769" s="12" t="s">
        <v>65</v>
      </c>
      <c r="D769" s="12" t="s">
        <v>45</v>
      </c>
      <c r="E769" s="16" t="n">
        <v>28.930121</v>
      </c>
      <c r="F769" s="16" t="n">
        <v>2.382336</v>
      </c>
      <c r="G769" s="16" t="n">
        <v>17.926937</v>
      </c>
    </row>
    <row r="770" customFormat="false" ht="15" hidden="false" customHeight="false" outlineLevel="0" collapsed="false">
      <c r="A770" s="7" t="n">
        <v>2005</v>
      </c>
      <c r="B770" s="12" t="s">
        <v>66</v>
      </c>
      <c r="C770" s="12" t="s">
        <v>67</v>
      </c>
      <c r="D770" s="12" t="s">
        <v>49</v>
      </c>
      <c r="E770" s="16" t="n">
        <v>113.390633</v>
      </c>
      <c r="F770" s="16" t="n">
        <v>0</v>
      </c>
      <c r="G770" s="16" t="n">
        <v>17.487084</v>
      </c>
    </row>
    <row r="771" customFormat="false" ht="15" hidden="false" customHeight="false" outlineLevel="0" collapsed="false">
      <c r="A771" s="7" t="n">
        <v>2005</v>
      </c>
      <c r="B771" s="12" t="s">
        <v>66</v>
      </c>
      <c r="C771" s="12" t="s">
        <v>67</v>
      </c>
      <c r="D771" s="12" t="s">
        <v>48</v>
      </c>
      <c r="E771" s="16" t="n">
        <v>25.590414</v>
      </c>
      <c r="F771" s="16" t="n">
        <v>0</v>
      </c>
      <c r="G771" s="16" t="n">
        <v>0</v>
      </c>
    </row>
    <row r="772" customFormat="false" ht="15" hidden="false" customHeight="false" outlineLevel="0" collapsed="false">
      <c r="A772" s="7" t="n">
        <v>2005</v>
      </c>
      <c r="B772" s="12" t="s">
        <v>66</v>
      </c>
      <c r="C772" s="12" t="s">
        <v>67</v>
      </c>
      <c r="D772" s="12" t="s">
        <v>46</v>
      </c>
      <c r="E772" s="16" t="n">
        <v>71.369835</v>
      </c>
      <c r="F772" s="16" t="n">
        <v>0</v>
      </c>
      <c r="G772" s="16" t="n">
        <v>41.294528</v>
      </c>
    </row>
    <row r="773" customFormat="false" ht="15" hidden="false" customHeight="false" outlineLevel="0" collapsed="false">
      <c r="A773" s="7" t="n">
        <v>2005</v>
      </c>
      <c r="B773" s="12" t="s">
        <v>66</v>
      </c>
      <c r="C773" s="12" t="s">
        <v>67</v>
      </c>
      <c r="D773" s="12" t="s">
        <v>45</v>
      </c>
      <c r="E773" s="16" t="n">
        <v>-29.416827</v>
      </c>
      <c r="F773" s="16" t="n">
        <v>-46.967544</v>
      </c>
      <c r="G773" s="16" t="n">
        <v>18.94375</v>
      </c>
    </row>
    <row r="774" customFormat="false" ht="15" hidden="false" customHeight="false" outlineLevel="0" collapsed="false">
      <c r="A774" s="7" t="n">
        <v>2005</v>
      </c>
      <c r="B774" s="12" t="s">
        <v>68</v>
      </c>
      <c r="C774" s="12" t="s">
        <v>65</v>
      </c>
      <c r="D774" s="12" t="s">
        <v>49</v>
      </c>
      <c r="E774" s="16" t="n">
        <v>86.562058</v>
      </c>
      <c r="F774" s="16" t="n">
        <v>0</v>
      </c>
      <c r="G774" s="16" t="n">
        <v>12.067818</v>
      </c>
    </row>
    <row r="775" customFormat="false" ht="15" hidden="false" customHeight="false" outlineLevel="0" collapsed="false">
      <c r="A775" s="7" t="n">
        <v>2005</v>
      </c>
      <c r="B775" s="12" t="s">
        <v>68</v>
      </c>
      <c r="C775" s="12" t="s">
        <v>65</v>
      </c>
      <c r="D775" s="12" t="s">
        <v>48</v>
      </c>
      <c r="E775" s="16" t="n">
        <v>19.869109</v>
      </c>
      <c r="F775" s="16" t="n">
        <v>0</v>
      </c>
      <c r="G775" s="16" t="n">
        <v>0</v>
      </c>
    </row>
    <row r="776" customFormat="false" ht="15" hidden="false" customHeight="false" outlineLevel="0" collapsed="false">
      <c r="A776" s="7" t="n">
        <v>2005</v>
      </c>
      <c r="B776" s="12" t="s">
        <v>68</v>
      </c>
      <c r="C776" s="12" t="s">
        <v>65</v>
      </c>
      <c r="D776" s="12" t="s">
        <v>46</v>
      </c>
      <c r="E776" s="16" t="n">
        <v>35.5917</v>
      </c>
      <c r="F776" s="16" t="n">
        <v>0</v>
      </c>
      <c r="G776" s="16" t="n">
        <v>48.76901</v>
      </c>
    </row>
    <row r="777" customFormat="false" ht="15" hidden="false" customHeight="false" outlineLevel="0" collapsed="false">
      <c r="A777" s="7" t="n">
        <v>2005</v>
      </c>
      <c r="B777" s="12" t="s">
        <v>68</v>
      </c>
      <c r="C777" s="12" t="s">
        <v>65</v>
      </c>
      <c r="D777" s="12" t="s">
        <v>45</v>
      </c>
      <c r="E777" s="16" t="n">
        <v>5.714824</v>
      </c>
      <c r="F777" s="16" t="n">
        <v>0.835934</v>
      </c>
      <c r="G777" s="16" t="n">
        <v>6.383425</v>
      </c>
    </row>
    <row r="778" customFormat="false" ht="15" hidden="false" customHeight="false" outlineLevel="0" collapsed="false">
      <c r="A778" s="7" t="n">
        <v>2005</v>
      </c>
      <c r="B778" s="12" t="s">
        <v>69</v>
      </c>
      <c r="C778" s="12" t="s">
        <v>70</v>
      </c>
      <c r="D778" s="12" t="s">
        <v>49</v>
      </c>
      <c r="E778" s="16" t="n">
        <v>91.920029</v>
      </c>
      <c r="F778" s="16" t="n">
        <v>0</v>
      </c>
      <c r="G778" s="16" t="n">
        <v>20.460537</v>
      </c>
    </row>
    <row r="779" customFormat="false" ht="15" hidden="false" customHeight="false" outlineLevel="0" collapsed="false">
      <c r="A779" s="7" t="n">
        <v>2005</v>
      </c>
      <c r="B779" s="12" t="s">
        <v>69</v>
      </c>
      <c r="C779" s="12" t="s">
        <v>70</v>
      </c>
      <c r="D779" s="12" t="s">
        <v>48</v>
      </c>
      <c r="E779" s="16" t="n">
        <v>47.51762</v>
      </c>
      <c r="F779" s="16" t="n">
        <v>0</v>
      </c>
      <c r="G779" s="16" t="n">
        <v>0</v>
      </c>
    </row>
    <row r="780" customFormat="false" ht="15" hidden="false" customHeight="false" outlineLevel="0" collapsed="false">
      <c r="A780" s="7" t="n">
        <v>2005</v>
      </c>
      <c r="B780" s="12" t="s">
        <v>69</v>
      </c>
      <c r="C780" s="12" t="s">
        <v>70</v>
      </c>
      <c r="D780" s="12" t="s">
        <v>46</v>
      </c>
      <c r="E780" s="16" t="n">
        <v>24.831815</v>
      </c>
      <c r="F780" s="16" t="n">
        <v>0</v>
      </c>
      <c r="G780" s="16" t="n">
        <v>46.737695</v>
      </c>
    </row>
    <row r="781" customFormat="false" ht="15" hidden="false" customHeight="false" outlineLevel="0" collapsed="false">
      <c r="A781" s="7" t="n">
        <v>2005</v>
      </c>
      <c r="B781" s="12" t="s">
        <v>69</v>
      </c>
      <c r="C781" s="12" t="s">
        <v>70</v>
      </c>
      <c r="D781" s="12" t="s">
        <v>45</v>
      </c>
      <c r="E781" s="16" t="n">
        <v>25.947887</v>
      </c>
      <c r="F781" s="16" t="n">
        <v>15.021822</v>
      </c>
      <c r="G781" s="16" t="n">
        <v>16.098913</v>
      </c>
    </row>
    <row r="782" customFormat="false" ht="15" hidden="false" customHeight="false" outlineLevel="0" collapsed="false">
      <c r="A782" s="7" t="n">
        <v>2005</v>
      </c>
      <c r="B782" s="12" t="s">
        <v>71</v>
      </c>
      <c r="C782" s="12" t="s">
        <v>72</v>
      </c>
      <c r="D782" s="12" t="s">
        <v>49</v>
      </c>
      <c r="E782" s="16" t="n">
        <v>26.105906</v>
      </c>
      <c r="F782" s="16" t="n">
        <v>0</v>
      </c>
      <c r="G782" s="16" t="n">
        <v>1.775062</v>
      </c>
    </row>
    <row r="783" customFormat="false" ht="15" hidden="false" customHeight="false" outlineLevel="0" collapsed="false">
      <c r="A783" s="7" t="n">
        <v>2005</v>
      </c>
      <c r="B783" s="12" t="s">
        <v>71</v>
      </c>
      <c r="C783" s="12" t="s">
        <v>72</v>
      </c>
      <c r="D783" s="12" t="s">
        <v>48</v>
      </c>
      <c r="E783" s="16" t="n">
        <v>10.47041</v>
      </c>
      <c r="F783" s="16" t="n">
        <v>0</v>
      </c>
      <c r="G783" s="16" t="n">
        <v>0</v>
      </c>
    </row>
    <row r="784" customFormat="false" ht="15" hidden="false" customHeight="false" outlineLevel="0" collapsed="false">
      <c r="A784" s="7" t="n">
        <v>2005</v>
      </c>
      <c r="B784" s="12" t="s">
        <v>71</v>
      </c>
      <c r="C784" s="12" t="s">
        <v>72</v>
      </c>
      <c r="D784" s="12" t="s">
        <v>46</v>
      </c>
      <c r="E784" s="16" t="n">
        <v>9.761996</v>
      </c>
      <c r="F784" s="16" t="n">
        <v>0</v>
      </c>
      <c r="G784" s="16" t="n">
        <v>8.951833</v>
      </c>
    </row>
    <row r="785" customFormat="false" ht="15" hidden="false" customHeight="false" outlineLevel="0" collapsed="false">
      <c r="A785" s="7" t="n">
        <v>2005</v>
      </c>
      <c r="B785" s="12" t="s">
        <v>71</v>
      </c>
      <c r="C785" s="12" t="s">
        <v>72</v>
      </c>
      <c r="D785" s="12" t="s">
        <v>45</v>
      </c>
      <c r="E785" s="16" t="n">
        <v>20.129635</v>
      </c>
      <c r="F785" s="16" t="n">
        <v>19.778785</v>
      </c>
      <c r="G785" s="16" t="n">
        <v>0.855985</v>
      </c>
    </row>
    <row r="786" customFormat="false" ht="15" hidden="false" customHeight="false" outlineLevel="0" collapsed="false">
      <c r="A786" s="7" t="n">
        <v>2005</v>
      </c>
      <c r="B786" s="12" t="s">
        <v>73</v>
      </c>
      <c r="C786" s="12" t="s">
        <v>70</v>
      </c>
      <c r="D786" s="12" t="s">
        <v>49</v>
      </c>
      <c r="E786" s="16" t="n">
        <v>89.105211</v>
      </c>
      <c r="F786" s="16" t="n">
        <v>0</v>
      </c>
      <c r="G786" s="16" t="n">
        <v>30.662601</v>
      </c>
    </row>
    <row r="787" customFormat="false" ht="15" hidden="false" customHeight="false" outlineLevel="0" collapsed="false">
      <c r="A787" s="7" t="n">
        <v>2005</v>
      </c>
      <c r="B787" s="12" t="s">
        <v>73</v>
      </c>
      <c r="C787" s="12" t="s">
        <v>70</v>
      </c>
      <c r="D787" s="12" t="s">
        <v>48</v>
      </c>
      <c r="E787" s="16" t="n">
        <v>59.758284</v>
      </c>
      <c r="F787" s="16" t="n">
        <v>0</v>
      </c>
      <c r="G787" s="16" t="n">
        <v>0</v>
      </c>
    </row>
    <row r="788" customFormat="false" ht="15" hidden="false" customHeight="false" outlineLevel="0" collapsed="false">
      <c r="A788" s="7" t="n">
        <v>2005</v>
      </c>
      <c r="B788" s="12" t="s">
        <v>73</v>
      </c>
      <c r="C788" s="12" t="s">
        <v>70</v>
      </c>
      <c r="D788" s="12" t="s">
        <v>46</v>
      </c>
      <c r="E788" s="16" t="n">
        <v>81.253431</v>
      </c>
      <c r="F788" s="16" t="n">
        <v>0</v>
      </c>
      <c r="G788" s="16" t="n">
        <v>54.57659</v>
      </c>
    </row>
    <row r="789" customFormat="false" ht="15" hidden="false" customHeight="false" outlineLevel="0" collapsed="false">
      <c r="A789" s="7" t="n">
        <v>2005</v>
      </c>
      <c r="B789" s="12" t="s">
        <v>73</v>
      </c>
      <c r="C789" s="12" t="s">
        <v>70</v>
      </c>
      <c r="D789" s="12" t="s">
        <v>45</v>
      </c>
      <c r="E789" s="16" t="n">
        <v>16.18028</v>
      </c>
      <c r="F789" s="16" t="n">
        <v>8.621876</v>
      </c>
      <c r="G789" s="16" t="n">
        <v>10.269593</v>
      </c>
    </row>
    <row r="790" customFormat="false" ht="15" hidden="false" customHeight="false" outlineLevel="0" collapsed="false">
      <c r="A790" s="7" t="n">
        <v>2005</v>
      </c>
      <c r="B790" s="12" t="s">
        <v>74</v>
      </c>
      <c r="C790" s="12" t="s">
        <v>65</v>
      </c>
      <c r="D790" s="12" t="s">
        <v>49</v>
      </c>
      <c r="E790" s="16" t="n">
        <v>93.593062</v>
      </c>
      <c r="F790" s="16" t="n">
        <v>0</v>
      </c>
      <c r="G790" s="16" t="n">
        <v>22.600768</v>
      </c>
    </row>
    <row r="791" customFormat="false" ht="15" hidden="false" customHeight="false" outlineLevel="0" collapsed="false">
      <c r="A791" s="7" t="n">
        <v>2005</v>
      </c>
      <c r="B791" s="12" t="s">
        <v>74</v>
      </c>
      <c r="C791" s="12" t="s">
        <v>65</v>
      </c>
      <c r="D791" s="12" t="s">
        <v>48</v>
      </c>
      <c r="E791" s="16" t="n">
        <v>25.436492</v>
      </c>
      <c r="F791" s="16" t="n">
        <v>0</v>
      </c>
      <c r="G791" s="16" t="n">
        <v>0</v>
      </c>
    </row>
    <row r="792" customFormat="false" ht="15" hidden="false" customHeight="false" outlineLevel="0" collapsed="false">
      <c r="A792" s="7" t="n">
        <v>2005</v>
      </c>
      <c r="B792" s="12" t="s">
        <v>74</v>
      </c>
      <c r="C792" s="12" t="s">
        <v>65</v>
      </c>
      <c r="D792" s="12" t="s">
        <v>46</v>
      </c>
      <c r="E792" s="16" t="n">
        <v>29.52552</v>
      </c>
      <c r="F792" s="16" t="n">
        <v>0</v>
      </c>
      <c r="G792" s="16" t="n">
        <v>43.557271</v>
      </c>
    </row>
    <row r="793" customFormat="false" ht="15" hidden="false" customHeight="false" outlineLevel="0" collapsed="false">
      <c r="A793" s="7" t="n">
        <v>2005</v>
      </c>
      <c r="B793" s="12" t="s">
        <v>74</v>
      </c>
      <c r="C793" s="12" t="s">
        <v>65</v>
      </c>
      <c r="D793" s="12" t="s">
        <v>45</v>
      </c>
      <c r="E793" s="16" t="n">
        <v>26.697453</v>
      </c>
      <c r="F793" s="16" t="n">
        <v>10.423994</v>
      </c>
      <c r="G793" s="16" t="n">
        <v>20.438373</v>
      </c>
    </row>
    <row r="794" customFormat="false" ht="15" hidden="false" customHeight="false" outlineLevel="0" collapsed="false">
      <c r="A794" s="7" t="n">
        <v>2005</v>
      </c>
      <c r="B794" s="12" t="s">
        <v>75</v>
      </c>
      <c r="C794" s="12" t="s">
        <v>57</v>
      </c>
      <c r="D794" s="12" t="s">
        <v>49</v>
      </c>
      <c r="E794" s="16" t="n">
        <v>160.926133</v>
      </c>
      <c r="F794" s="16" t="n">
        <v>0</v>
      </c>
      <c r="G794" s="16" t="n">
        <v>48.337603</v>
      </c>
    </row>
    <row r="795" customFormat="false" ht="15" hidden="false" customHeight="false" outlineLevel="0" collapsed="false">
      <c r="A795" s="7" t="n">
        <v>2005</v>
      </c>
      <c r="B795" s="12" t="s">
        <v>75</v>
      </c>
      <c r="C795" s="12" t="s">
        <v>57</v>
      </c>
      <c r="D795" s="12" t="s">
        <v>48</v>
      </c>
      <c r="E795" s="16" t="n">
        <v>116.390241</v>
      </c>
      <c r="F795" s="16" t="n">
        <v>0</v>
      </c>
      <c r="G795" s="16" t="n">
        <v>0</v>
      </c>
    </row>
    <row r="796" customFormat="false" ht="15" hidden="false" customHeight="false" outlineLevel="0" collapsed="false">
      <c r="A796" s="7" t="n">
        <v>2005</v>
      </c>
      <c r="B796" s="12" t="s">
        <v>75</v>
      </c>
      <c r="C796" s="12" t="s">
        <v>57</v>
      </c>
      <c r="D796" s="12" t="s">
        <v>46</v>
      </c>
      <c r="E796" s="16" t="n">
        <v>91.162568</v>
      </c>
      <c r="F796" s="16" t="n">
        <v>0</v>
      </c>
      <c r="G796" s="16" t="n">
        <v>78.144381</v>
      </c>
    </row>
    <row r="797" customFormat="false" ht="15" hidden="false" customHeight="false" outlineLevel="0" collapsed="false">
      <c r="A797" s="7" t="n">
        <v>2005</v>
      </c>
      <c r="B797" s="12" t="s">
        <v>75</v>
      </c>
      <c r="C797" s="12" t="s">
        <v>57</v>
      </c>
      <c r="D797" s="12" t="s">
        <v>45</v>
      </c>
      <c r="E797" s="16" t="n">
        <v>101.534488</v>
      </c>
      <c r="F797" s="16" t="n">
        <v>41.930814</v>
      </c>
      <c r="G797" s="16" t="n">
        <v>27.493179</v>
      </c>
    </row>
    <row r="798" customFormat="false" ht="15" hidden="false" customHeight="false" outlineLevel="0" collapsed="false">
      <c r="A798" s="7" t="n">
        <v>2005</v>
      </c>
      <c r="B798" s="12" t="s">
        <v>76</v>
      </c>
      <c r="C798" s="12" t="s">
        <v>72</v>
      </c>
      <c r="D798" s="12" t="s">
        <v>49</v>
      </c>
      <c r="E798" s="16" t="n">
        <v>28.186882</v>
      </c>
      <c r="F798" s="16" t="n">
        <v>0</v>
      </c>
      <c r="G798" s="16" t="n">
        <v>8.30185</v>
      </c>
    </row>
    <row r="799" customFormat="false" ht="15" hidden="false" customHeight="false" outlineLevel="0" collapsed="false">
      <c r="A799" s="7" t="n">
        <v>2005</v>
      </c>
      <c r="B799" s="12" t="s">
        <v>76</v>
      </c>
      <c r="C799" s="12" t="s">
        <v>72</v>
      </c>
      <c r="D799" s="12" t="s">
        <v>48</v>
      </c>
      <c r="E799" s="16" t="n">
        <v>16.913599</v>
      </c>
      <c r="F799" s="16" t="n">
        <v>0</v>
      </c>
      <c r="G799" s="16" t="n">
        <v>0</v>
      </c>
    </row>
    <row r="800" customFormat="false" ht="15" hidden="false" customHeight="false" outlineLevel="0" collapsed="false">
      <c r="A800" s="7" t="n">
        <v>2005</v>
      </c>
      <c r="B800" s="12" t="s">
        <v>76</v>
      </c>
      <c r="C800" s="12" t="s">
        <v>72</v>
      </c>
      <c r="D800" s="12" t="s">
        <v>46</v>
      </c>
      <c r="E800" s="16" t="n">
        <v>18.723959</v>
      </c>
      <c r="F800" s="16" t="n">
        <v>0</v>
      </c>
      <c r="G800" s="16" t="n">
        <v>17.912355</v>
      </c>
    </row>
    <row r="801" customFormat="false" ht="15" hidden="false" customHeight="false" outlineLevel="0" collapsed="false">
      <c r="A801" s="7" t="n">
        <v>2005</v>
      </c>
      <c r="B801" s="12" t="s">
        <v>76</v>
      </c>
      <c r="C801" s="12" t="s">
        <v>72</v>
      </c>
      <c r="D801" s="12" t="s">
        <v>45</v>
      </c>
      <c r="E801" s="16" t="n">
        <v>26.236042</v>
      </c>
      <c r="F801" s="16" t="n">
        <v>0</v>
      </c>
      <c r="G801" s="16" t="n">
        <v>9.651932</v>
      </c>
    </row>
    <row r="802" customFormat="false" ht="15" hidden="false" customHeight="false" outlineLevel="0" collapsed="false">
      <c r="A802" s="7" t="n">
        <v>2005</v>
      </c>
      <c r="B802" s="12" t="s">
        <v>77</v>
      </c>
      <c r="C802" s="12" t="s">
        <v>57</v>
      </c>
      <c r="D802" s="12" t="s">
        <v>49</v>
      </c>
      <c r="E802" s="16" t="n">
        <v>35.223852</v>
      </c>
      <c r="F802" s="16" t="n">
        <v>0</v>
      </c>
      <c r="G802" s="16" t="n">
        <v>3.278708</v>
      </c>
    </row>
    <row r="803" customFormat="false" ht="15" hidden="false" customHeight="false" outlineLevel="0" collapsed="false">
      <c r="A803" s="7" t="n">
        <v>2005</v>
      </c>
      <c r="B803" s="12" t="s">
        <v>77</v>
      </c>
      <c r="C803" s="12" t="s">
        <v>57</v>
      </c>
      <c r="D803" s="12" t="s">
        <v>48</v>
      </c>
      <c r="E803" s="16" t="n">
        <v>15.256273</v>
      </c>
      <c r="F803" s="16" t="n">
        <v>0</v>
      </c>
      <c r="G803" s="16" t="n">
        <v>0</v>
      </c>
    </row>
    <row r="804" customFormat="false" ht="15" hidden="false" customHeight="false" outlineLevel="0" collapsed="false">
      <c r="A804" s="7" t="n">
        <v>2005</v>
      </c>
      <c r="B804" s="12" t="s">
        <v>77</v>
      </c>
      <c r="C804" s="12" t="s">
        <v>57</v>
      </c>
      <c r="D804" s="12" t="s">
        <v>46</v>
      </c>
      <c r="E804" s="16" t="n">
        <v>11.911636</v>
      </c>
      <c r="F804" s="16" t="n">
        <v>0</v>
      </c>
      <c r="G804" s="16" t="n">
        <v>8.112038</v>
      </c>
    </row>
    <row r="805" customFormat="false" ht="15" hidden="false" customHeight="false" outlineLevel="0" collapsed="false">
      <c r="A805" s="7" t="n">
        <v>2005</v>
      </c>
      <c r="B805" s="12" t="s">
        <v>77</v>
      </c>
      <c r="C805" s="12" t="s">
        <v>57</v>
      </c>
      <c r="D805" s="12" t="s">
        <v>45</v>
      </c>
      <c r="E805" s="16" t="n">
        <v>7.516899</v>
      </c>
      <c r="F805" s="16" t="n">
        <v>0</v>
      </c>
      <c r="G805" s="16" t="n">
        <v>3.792587</v>
      </c>
    </row>
    <row r="806" customFormat="false" ht="15" hidden="false" customHeight="false" outlineLevel="0" collapsed="false">
      <c r="A806" s="7" t="n">
        <v>2005</v>
      </c>
      <c r="B806" s="12" t="s">
        <v>78</v>
      </c>
      <c r="C806" s="12" t="s">
        <v>65</v>
      </c>
      <c r="D806" s="12" t="s">
        <v>49</v>
      </c>
      <c r="E806" s="16" t="n">
        <v>29.684539</v>
      </c>
      <c r="F806" s="16" t="n">
        <v>0</v>
      </c>
      <c r="G806" s="16" t="n">
        <v>1.447034</v>
      </c>
    </row>
    <row r="807" customFormat="false" ht="15" hidden="false" customHeight="false" outlineLevel="0" collapsed="false">
      <c r="A807" s="7" t="n">
        <v>2005</v>
      </c>
      <c r="B807" s="12" t="s">
        <v>78</v>
      </c>
      <c r="C807" s="12" t="s">
        <v>65</v>
      </c>
      <c r="D807" s="12" t="s">
        <v>48</v>
      </c>
      <c r="E807" s="16" t="n">
        <v>6.906078</v>
      </c>
      <c r="F807" s="16" t="n">
        <v>0</v>
      </c>
      <c r="G807" s="16" t="n">
        <v>0</v>
      </c>
    </row>
    <row r="808" customFormat="false" ht="15" hidden="false" customHeight="false" outlineLevel="0" collapsed="false">
      <c r="A808" s="7" t="n">
        <v>2005</v>
      </c>
      <c r="B808" s="12" t="s">
        <v>78</v>
      </c>
      <c r="C808" s="12" t="s">
        <v>65</v>
      </c>
      <c r="D808" s="12" t="s">
        <v>46</v>
      </c>
      <c r="E808" s="16" t="n">
        <v>8.676268</v>
      </c>
      <c r="F808" s="16" t="n">
        <v>0</v>
      </c>
      <c r="G808" s="16" t="n">
        <v>10.676819</v>
      </c>
    </row>
    <row r="809" customFormat="false" ht="15" hidden="false" customHeight="false" outlineLevel="0" collapsed="false">
      <c r="A809" s="7" t="n">
        <v>2005</v>
      </c>
      <c r="B809" s="12" t="s">
        <v>78</v>
      </c>
      <c r="C809" s="12" t="s">
        <v>65</v>
      </c>
      <c r="D809" s="12" t="s">
        <v>45</v>
      </c>
      <c r="E809" s="16" t="n">
        <v>2.548944</v>
      </c>
      <c r="F809" s="16" t="n">
        <v>0</v>
      </c>
      <c r="G809" s="16" t="n">
        <v>3.887176</v>
      </c>
    </row>
    <row r="810" customFormat="false" ht="15" hidden="false" customHeight="false" outlineLevel="0" collapsed="false">
      <c r="A810" s="7" t="n">
        <v>2005</v>
      </c>
      <c r="B810" s="12" t="s">
        <v>79</v>
      </c>
      <c r="C810" s="12" t="s">
        <v>72</v>
      </c>
      <c r="D810" s="12" t="s">
        <v>49</v>
      </c>
      <c r="E810" s="16" t="n">
        <v>170.567638</v>
      </c>
      <c r="F810" s="16" t="n">
        <v>0</v>
      </c>
      <c r="G810" s="16" t="n">
        <v>21.329533</v>
      </c>
    </row>
    <row r="811" customFormat="false" ht="15" hidden="false" customHeight="false" outlineLevel="0" collapsed="false">
      <c r="A811" s="7" t="n">
        <v>2005</v>
      </c>
      <c r="B811" s="12" t="s">
        <v>79</v>
      </c>
      <c r="C811" s="12" t="s">
        <v>72</v>
      </c>
      <c r="D811" s="12" t="s">
        <v>48</v>
      </c>
      <c r="E811" s="16" t="n">
        <v>71.985715</v>
      </c>
      <c r="F811" s="16" t="n">
        <v>0</v>
      </c>
      <c r="G811" s="16" t="n">
        <v>0</v>
      </c>
    </row>
    <row r="812" customFormat="false" ht="15" hidden="false" customHeight="false" outlineLevel="0" collapsed="false">
      <c r="A812" s="7" t="n">
        <v>2005</v>
      </c>
      <c r="B812" s="12" t="s">
        <v>79</v>
      </c>
      <c r="C812" s="12" t="s">
        <v>72</v>
      </c>
      <c r="D812" s="12" t="s">
        <v>46</v>
      </c>
      <c r="E812" s="16" t="n">
        <v>67.158161</v>
      </c>
      <c r="F812" s="16" t="n">
        <v>0</v>
      </c>
      <c r="G812" s="16" t="n">
        <v>88.169205</v>
      </c>
    </row>
    <row r="813" customFormat="false" ht="15" hidden="false" customHeight="false" outlineLevel="0" collapsed="false">
      <c r="A813" s="7" t="n">
        <v>2005</v>
      </c>
      <c r="B813" s="12" t="s">
        <v>79</v>
      </c>
      <c r="C813" s="12" t="s">
        <v>72</v>
      </c>
      <c r="D813" s="12" t="s">
        <v>45</v>
      </c>
      <c r="E813" s="16" t="n">
        <v>116.555004</v>
      </c>
      <c r="F813" s="16" t="n">
        <v>114.618316</v>
      </c>
      <c r="G813" s="16" t="n">
        <v>0</v>
      </c>
    </row>
    <row r="814" customFormat="false" ht="15" hidden="false" customHeight="false" outlineLevel="0" collapsed="false">
      <c r="A814" s="7" t="n">
        <v>2005</v>
      </c>
      <c r="B814" s="12" t="s">
        <v>80</v>
      </c>
      <c r="C814" s="12" t="s">
        <v>72</v>
      </c>
      <c r="D814" s="12" t="s">
        <v>49</v>
      </c>
      <c r="E814" s="16" t="n">
        <v>70.500593</v>
      </c>
      <c r="F814" s="16" t="n">
        <v>0</v>
      </c>
      <c r="G814" s="16" t="n">
        <v>17.708132</v>
      </c>
    </row>
    <row r="815" customFormat="false" ht="15" hidden="false" customHeight="false" outlineLevel="0" collapsed="false">
      <c r="A815" s="7" t="n">
        <v>2005</v>
      </c>
      <c r="B815" s="12" t="s">
        <v>80</v>
      </c>
      <c r="C815" s="12" t="s">
        <v>72</v>
      </c>
      <c r="D815" s="12" t="s">
        <v>48</v>
      </c>
      <c r="E815" s="16" t="n">
        <v>41.648438</v>
      </c>
      <c r="F815" s="16" t="n">
        <v>0</v>
      </c>
      <c r="G815" s="16" t="n">
        <v>0</v>
      </c>
    </row>
    <row r="816" customFormat="false" ht="15" hidden="false" customHeight="false" outlineLevel="0" collapsed="false">
      <c r="A816" s="7" t="n">
        <v>2005</v>
      </c>
      <c r="B816" s="12" t="s">
        <v>80</v>
      </c>
      <c r="C816" s="12" t="s">
        <v>72</v>
      </c>
      <c r="D816" s="12" t="s">
        <v>46</v>
      </c>
      <c r="E816" s="16" t="n">
        <v>24.160431</v>
      </c>
      <c r="F816" s="16" t="n">
        <v>0</v>
      </c>
      <c r="G816" s="16" t="n">
        <v>37.668662</v>
      </c>
    </row>
    <row r="817" customFormat="false" ht="15" hidden="false" customHeight="false" outlineLevel="0" collapsed="false">
      <c r="A817" s="7" t="n">
        <v>2005</v>
      </c>
      <c r="B817" s="12" t="s">
        <v>80</v>
      </c>
      <c r="C817" s="12" t="s">
        <v>72</v>
      </c>
      <c r="D817" s="12" t="s">
        <v>45</v>
      </c>
      <c r="E817" s="16" t="n">
        <v>64.624165</v>
      </c>
      <c r="F817" s="16" t="n">
        <v>64.746927</v>
      </c>
      <c r="G817" s="16" t="n">
        <v>0</v>
      </c>
    </row>
    <row r="818" customFormat="false" ht="15" hidden="false" customHeight="false" outlineLevel="0" collapsed="false">
      <c r="A818" s="7" t="n">
        <v>2005</v>
      </c>
      <c r="B818" s="12" t="s">
        <v>81</v>
      </c>
      <c r="C818" s="12" t="s">
        <v>72</v>
      </c>
      <c r="D818" s="12" t="s">
        <v>49</v>
      </c>
      <c r="E818" s="16" t="n">
        <v>83.800556</v>
      </c>
      <c r="F818" s="16" t="n">
        <v>0</v>
      </c>
      <c r="G818" s="16" t="n">
        <v>16.271232</v>
      </c>
    </row>
    <row r="819" customFormat="false" ht="15" hidden="false" customHeight="false" outlineLevel="0" collapsed="false">
      <c r="A819" s="7" t="n">
        <v>2005</v>
      </c>
      <c r="B819" s="12" t="s">
        <v>81</v>
      </c>
      <c r="C819" s="12" t="s">
        <v>72</v>
      </c>
      <c r="D819" s="12" t="s">
        <v>48</v>
      </c>
      <c r="E819" s="16" t="n">
        <v>35.366372</v>
      </c>
      <c r="F819" s="16" t="n">
        <v>0</v>
      </c>
      <c r="G819" s="16" t="n">
        <v>0</v>
      </c>
    </row>
    <row r="820" customFormat="false" ht="15" hidden="false" customHeight="false" outlineLevel="0" collapsed="false">
      <c r="A820" s="7" t="n">
        <v>2005</v>
      </c>
      <c r="B820" s="12" t="s">
        <v>81</v>
      </c>
      <c r="C820" s="12" t="s">
        <v>72</v>
      </c>
      <c r="D820" s="12" t="s">
        <v>46</v>
      </c>
      <c r="E820" s="16" t="n">
        <v>42.250113</v>
      </c>
      <c r="F820" s="16" t="n">
        <v>0</v>
      </c>
      <c r="G820" s="16" t="n">
        <v>23.828327</v>
      </c>
    </row>
    <row r="821" customFormat="false" ht="15" hidden="false" customHeight="false" outlineLevel="0" collapsed="false">
      <c r="A821" s="7" t="n">
        <v>2005</v>
      </c>
      <c r="B821" s="12" t="s">
        <v>81</v>
      </c>
      <c r="C821" s="12" t="s">
        <v>72</v>
      </c>
      <c r="D821" s="12" t="s">
        <v>45</v>
      </c>
      <c r="E821" s="16" t="n">
        <v>62.125501</v>
      </c>
      <c r="F821" s="16" t="n">
        <v>60.410406</v>
      </c>
      <c r="G821" s="16" t="n">
        <v>0</v>
      </c>
    </row>
    <row r="822" customFormat="false" ht="15" hidden="false" customHeight="false" outlineLevel="0" collapsed="false">
      <c r="A822" s="7" t="n">
        <v>2006</v>
      </c>
      <c r="B822" s="12" t="s">
        <v>56</v>
      </c>
      <c r="C822" s="12" t="s">
        <v>57</v>
      </c>
      <c r="D822" s="12" t="s">
        <v>49</v>
      </c>
      <c r="E822" s="16" t="n">
        <v>54.560625</v>
      </c>
      <c r="F822" s="16" t="n">
        <v>0</v>
      </c>
      <c r="G822" s="16" t="n">
        <v>5.517926</v>
      </c>
    </row>
    <row r="823" customFormat="false" ht="15" hidden="false" customHeight="false" outlineLevel="0" collapsed="false">
      <c r="A823" s="7" t="n">
        <v>2006</v>
      </c>
      <c r="B823" s="12" t="s">
        <v>56</v>
      </c>
      <c r="C823" s="12" t="s">
        <v>57</v>
      </c>
      <c r="D823" s="12" t="s">
        <v>48</v>
      </c>
      <c r="E823" s="16" t="n">
        <v>15.474693</v>
      </c>
      <c r="F823" s="16" t="n">
        <v>0</v>
      </c>
      <c r="G823" s="16" t="n">
        <v>0</v>
      </c>
    </row>
    <row r="824" customFormat="false" ht="15" hidden="false" customHeight="false" outlineLevel="0" collapsed="false">
      <c r="A824" s="7" t="n">
        <v>2006</v>
      </c>
      <c r="B824" s="12" t="s">
        <v>56</v>
      </c>
      <c r="C824" s="12" t="s">
        <v>57</v>
      </c>
      <c r="D824" s="12" t="s">
        <v>46</v>
      </c>
      <c r="E824" s="16" t="n">
        <v>19.190627</v>
      </c>
      <c r="F824" s="16" t="n">
        <v>0</v>
      </c>
      <c r="G824" s="16" t="n">
        <v>9.927563</v>
      </c>
    </row>
    <row r="825" customFormat="false" ht="15" hidden="false" customHeight="false" outlineLevel="0" collapsed="false">
      <c r="A825" s="7" t="n">
        <v>2006</v>
      </c>
      <c r="B825" s="12" t="s">
        <v>56</v>
      </c>
      <c r="C825" s="12" t="s">
        <v>57</v>
      </c>
      <c r="D825" s="12" t="s">
        <v>47</v>
      </c>
      <c r="E825" s="16" t="n">
        <v>0.057794</v>
      </c>
      <c r="F825" s="16" t="n">
        <v>0</v>
      </c>
      <c r="G825" s="16" t="n">
        <v>0</v>
      </c>
    </row>
    <row r="826" customFormat="false" ht="15" hidden="false" customHeight="false" outlineLevel="0" collapsed="false">
      <c r="A826" s="7" t="n">
        <v>2006</v>
      </c>
      <c r="B826" s="12" t="s">
        <v>56</v>
      </c>
      <c r="C826" s="12" t="s">
        <v>57</v>
      </c>
      <c r="D826" s="12" t="s">
        <v>45</v>
      </c>
      <c r="E826" s="16" t="n">
        <v>18.36935</v>
      </c>
      <c r="F826" s="16" t="n">
        <v>6.927205</v>
      </c>
      <c r="G826" s="16" t="n">
        <v>5.230943</v>
      </c>
    </row>
    <row r="827" customFormat="false" ht="15" hidden="false" customHeight="false" outlineLevel="0" collapsed="false">
      <c r="A827" s="7" t="n">
        <v>2006</v>
      </c>
      <c r="B827" s="12" t="s">
        <v>60</v>
      </c>
      <c r="C827" s="12" t="s">
        <v>59</v>
      </c>
      <c r="D827" s="12" t="s">
        <v>49</v>
      </c>
      <c r="E827" s="16" t="n">
        <v>182.338054</v>
      </c>
      <c r="F827" s="16" t="n">
        <v>0</v>
      </c>
      <c r="G827" s="16" t="n">
        <v>76.989618</v>
      </c>
    </row>
    <row r="828" customFormat="false" ht="15" hidden="false" customHeight="false" outlineLevel="0" collapsed="false">
      <c r="A828" s="7" t="n">
        <v>2006</v>
      </c>
      <c r="B828" s="12" t="s">
        <v>60</v>
      </c>
      <c r="C828" s="12" t="s">
        <v>59</v>
      </c>
      <c r="D828" s="12" t="s">
        <v>48</v>
      </c>
      <c r="E828" s="16" t="n">
        <v>179.272245</v>
      </c>
      <c r="F828" s="16" t="n">
        <v>0</v>
      </c>
      <c r="G828" s="16" t="n">
        <v>0</v>
      </c>
    </row>
    <row r="829" customFormat="false" ht="15" hidden="false" customHeight="false" outlineLevel="0" collapsed="false">
      <c r="A829" s="7" t="n">
        <v>2006</v>
      </c>
      <c r="B829" s="12" t="s">
        <v>60</v>
      </c>
      <c r="C829" s="12" t="s">
        <v>59</v>
      </c>
      <c r="D829" s="12" t="s">
        <v>46</v>
      </c>
      <c r="E829" s="16" t="n">
        <v>315.59006</v>
      </c>
      <c r="F829" s="16" t="n">
        <v>0</v>
      </c>
      <c r="G829" s="16" t="n">
        <v>263.139617</v>
      </c>
    </row>
    <row r="830" customFormat="false" ht="15" hidden="false" customHeight="false" outlineLevel="0" collapsed="false">
      <c r="A830" s="7" t="n">
        <v>2006</v>
      </c>
      <c r="B830" s="12" t="s">
        <v>60</v>
      </c>
      <c r="C830" s="12" t="s">
        <v>59</v>
      </c>
      <c r="D830" s="12" t="s">
        <v>47</v>
      </c>
      <c r="E830" s="16" t="n">
        <v>3.167469</v>
      </c>
      <c r="F830" s="16" t="n">
        <v>0</v>
      </c>
      <c r="G830" s="16" t="n">
        <v>0</v>
      </c>
    </row>
    <row r="831" customFormat="false" ht="15" hidden="false" customHeight="false" outlineLevel="0" collapsed="false">
      <c r="A831" s="7" t="n">
        <v>2006</v>
      </c>
      <c r="B831" s="12" t="s">
        <v>60</v>
      </c>
      <c r="C831" s="12" t="s">
        <v>59</v>
      </c>
      <c r="D831" s="12" t="s">
        <v>45</v>
      </c>
      <c r="E831" s="16" t="n">
        <v>400.610081</v>
      </c>
      <c r="F831" s="16" t="n">
        <v>2.148159</v>
      </c>
      <c r="G831" s="16" t="n">
        <v>39.77741</v>
      </c>
    </row>
    <row r="832" customFormat="false" ht="15" hidden="false" customHeight="false" outlineLevel="0" collapsed="false">
      <c r="A832" s="7" t="n">
        <v>2006</v>
      </c>
      <c r="B832" s="12" t="s">
        <v>61</v>
      </c>
      <c r="C832" s="12" t="s">
        <v>62</v>
      </c>
      <c r="D832" s="12" t="s">
        <v>49</v>
      </c>
      <c r="E832" s="16" t="n">
        <v>167.902541</v>
      </c>
      <c r="F832" s="16" t="n">
        <v>0</v>
      </c>
      <c r="G832" s="16" t="n">
        <v>32.23535</v>
      </c>
    </row>
    <row r="833" customFormat="false" ht="15" hidden="false" customHeight="false" outlineLevel="0" collapsed="false">
      <c r="A833" s="7" t="n">
        <v>2006</v>
      </c>
      <c r="B833" s="12" t="s">
        <v>61</v>
      </c>
      <c r="C833" s="12" t="s">
        <v>62</v>
      </c>
      <c r="D833" s="12" t="s">
        <v>48</v>
      </c>
      <c r="E833" s="16" t="n">
        <v>86.164253</v>
      </c>
      <c r="F833" s="16" t="n">
        <v>0</v>
      </c>
      <c r="G833" s="16" t="n">
        <v>0</v>
      </c>
    </row>
    <row r="834" customFormat="false" ht="15" hidden="false" customHeight="false" outlineLevel="0" collapsed="false">
      <c r="A834" s="7" t="n">
        <v>2006</v>
      </c>
      <c r="B834" s="12" t="s">
        <v>61</v>
      </c>
      <c r="C834" s="12" t="s">
        <v>62</v>
      </c>
      <c r="D834" s="12" t="s">
        <v>46</v>
      </c>
      <c r="E834" s="16" t="n">
        <v>174.651425</v>
      </c>
      <c r="F834" s="16" t="n">
        <v>0</v>
      </c>
      <c r="G834" s="16" t="n">
        <v>126.287644</v>
      </c>
    </row>
    <row r="835" customFormat="false" ht="15" hidden="false" customHeight="false" outlineLevel="0" collapsed="false">
      <c r="A835" s="7" t="n">
        <v>2006</v>
      </c>
      <c r="B835" s="12" t="s">
        <v>61</v>
      </c>
      <c r="C835" s="12" t="s">
        <v>62</v>
      </c>
      <c r="D835" s="12" t="s">
        <v>45</v>
      </c>
      <c r="E835" s="16" t="n">
        <v>138.434368</v>
      </c>
      <c r="F835" s="16" t="n">
        <v>138.434368</v>
      </c>
      <c r="G835" s="16" t="n">
        <v>0</v>
      </c>
    </row>
    <row r="836" customFormat="false" ht="15" hidden="false" customHeight="false" outlineLevel="0" collapsed="false">
      <c r="A836" s="7" t="n">
        <v>2006</v>
      </c>
      <c r="B836" s="12" t="s">
        <v>63</v>
      </c>
      <c r="C836" s="12" t="s">
        <v>62</v>
      </c>
      <c r="D836" s="12" t="s">
        <v>49</v>
      </c>
      <c r="E836" s="16" t="n">
        <v>486.18501</v>
      </c>
      <c r="F836" s="16" t="n">
        <v>0</v>
      </c>
      <c r="G836" s="16" t="n">
        <v>497.933626</v>
      </c>
    </row>
    <row r="837" customFormat="false" ht="15" hidden="false" customHeight="false" outlineLevel="0" collapsed="false">
      <c r="A837" s="7" t="n">
        <v>2006</v>
      </c>
      <c r="B837" s="12" t="s">
        <v>63</v>
      </c>
      <c r="C837" s="12" t="s">
        <v>62</v>
      </c>
      <c r="D837" s="12" t="s">
        <v>48</v>
      </c>
      <c r="E837" s="16" t="n">
        <v>174.014036</v>
      </c>
      <c r="F837" s="16" t="n">
        <v>0</v>
      </c>
      <c r="G837" s="16" t="n">
        <v>0</v>
      </c>
    </row>
    <row r="838" customFormat="false" ht="15" hidden="false" customHeight="false" outlineLevel="0" collapsed="false">
      <c r="A838" s="7" t="n">
        <v>2006</v>
      </c>
      <c r="B838" s="12" t="s">
        <v>63</v>
      </c>
      <c r="C838" s="12" t="s">
        <v>62</v>
      </c>
      <c r="D838" s="12" t="s">
        <v>46</v>
      </c>
      <c r="E838" s="16" t="n">
        <v>212.646666</v>
      </c>
      <c r="F838" s="16" t="n">
        <v>0</v>
      </c>
      <c r="G838" s="16" t="n">
        <v>204.147235</v>
      </c>
    </row>
    <row r="839" customFormat="false" ht="15" hidden="false" customHeight="false" outlineLevel="0" collapsed="false">
      <c r="A839" s="7" t="n">
        <v>2006</v>
      </c>
      <c r="B839" s="12" t="s">
        <v>63</v>
      </c>
      <c r="C839" s="12" t="s">
        <v>62</v>
      </c>
      <c r="D839" s="12" t="s">
        <v>47</v>
      </c>
      <c r="E839" s="16" t="n">
        <v>10.828768</v>
      </c>
      <c r="F839" s="16" t="n">
        <v>0</v>
      </c>
      <c r="G839" s="16" t="n">
        <v>0</v>
      </c>
    </row>
    <row r="840" customFormat="false" ht="15" hidden="false" customHeight="false" outlineLevel="0" collapsed="false">
      <c r="A840" s="7" t="n">
        <v>2006</v>
      </c>
      <c r="B840" s="12" t="s">
        <v>63</v>
      </c>
      <c r="C840" s="12" t="s">
        <v>62</v>
      </c>
      <c r="D840" s="12" t="s">
        <v>45</v>
      </c>
      <c r="E840" s="16" t="n">
        <v>213.324053</v>
      </c>
      <c r="F840" s="16" t="n">
        <v>193.976839</v>
      </c>
      <c r="G840" s="16" t="n">
        <v>0.79</v>
      </c>
    </row>
    <row r="841" customFormat="false" ht="15" hidden="false" customHeight="false" outlineLevel="0" collapsed="false">
      <c r="A841" s="7" t="n">
        <v>2006</v>
      </c>
      <c r="B841" s="12" t="s">
        <v>64</v>
      </c>
      <c r="C841" s="12" t="s">
        <v>65</v>
      </c>
      <c r="D841" s="12" t="s">
        <v>49</v>
      </c>
      <c r="E841" s="16" t="n">
        <v>272.087159</v>
      </c>
      <c r="F841" s="16" t="n">
        <v>0</v>
      </c>
      <c r="G841" s="16" t="n">
        <v>25.754999</v>
      </c>
    </row>
    <row r="842" customFormat="false" ht="15" hidden="false" customHeight="false" outlineLevel="0" collapsed="false">
      <c r="A842" s="7" t="n">
        <v>2006</v>
      </c>
      <c r="B842" s="12" t="s">
        <v>64</v>
      </c>
      <c r="C842" s="12" t="s">
        <v>65</v>
      </c>
      <c r="D842" s="12" t="s">
        <v>48</v>
      </c>
      <c r="E842" s="16" t="n">
        <v>52.830098</v>
      </c>
      <c r="F842" s="16" t="n">
        <v>0</v>
      </c>
      <c r="G842" s="16" t="n">
        <v>0</v>
      </c>
    </row>
    <row r="843" customFormat="false" ht="15" hidden="false" customHeight="false" outlineLevel="0" collapsed="false">
      <c r="A843" s="7" t="n">
        <v>2006</v>
      </c>
      <c r="B843" s="12" t="s">
        <v>64</v>
      </c>
      <c r="C843" s="12" t="s">
        <v>65</v>
      </c>
      <c r="D843" s="12" t="s">
        <v>46</v>
      </c>
      <c r="E843" s="16" t="n">
        <v>45.635225</v>
      </c>
      <c r="F843" s="16" t="n">
        <v>0</v>
      </c>
      <c r="G843" s="16" t="n">
        <v>70.810825</v>
      </c>
    </row>
    <row r="844" customFormat="false" ht="15" hidden="false" customHeight="false" outlineLevel="0" collapsed="false">
      <c r="A844" s="7" t="n">
        <v>2006</v>
      </c>
      <c r="B844" s="12" t="s">
        <v>64</v>
      </c>
      <c r="C844" s="12" t="s">
        <v>65</v>
      </c>
      <c r="D844" s="12" t="s">
        <v>47</v>
      </c>
      <c r="E844" s="16" t="n">
        <v>-0.059325</v>
      </c>
      <c r="F844" s="16" t="n">
        <v>0</v>
      </c>
      <c r="G844" s="16" t="n">
        <v>0</v>
      </c>
    </row>
    <row r="845" customFormat="false" ht="15" hidden="false" customHeight="false" outlineLevel="0" collapsed="false">
      <c r="A845" s="7" t="n">
        <v>2006</v>
      </c>
      <c r="B845" s="12" t="s">
        <v>64</v>
      </c>
      <c r="C845" s="12" t="s">
        <v>65</v>
      </c>
      <c r="D845" s="12" t="s">
        <v>45</v>
      </c>
      <c r="E845" s="16" t="n">
        <v>32.194097</v>
      </c>
      <c r="F845" s="16" t="n">
        <v>1.657198</v>
      </c>
      <c r="G845" s="16" t="n">
        <v>18.737222</v>
      </c>
    </row>
    <row r="846" customFormat="false" ht="15" hidden="false" customHeight="false" outlineLevel="0" collapsed="false">
      <c r="A846" s="7" t="n">
        <v>2006</v>
      </c>
      <c r="B846" s="12" t="s">
        <v>66</v>
      </c>
      <c r="C846" s="12" t="s">
        <v>67</v>
      </c>
      <c r="D846" s="12" t="s">
        <v>49</v>
      </c>
      <c r="E846" s="16" t="n">
        <v>121.16548</v>
      </c>
      <c r="F846" s="16" t="n">
        <v>0</v>
      </c>
      <c r="G846" s="16" t="n">
        <v>22.246567</v>
      </c>
    </row>
    <row r="847" customFormat="false" ht="15" hidden="false" customHeight="false" outlineLevel="0" collapsed="false">
      <c r="A847" s="7" t="n">
        <v>2006</v>
      </c>
      <c r="B847" s="12" t="s">
        <v>66</v>
      </c>
      <c r="C847" s="12" t="s">
        <v>67</v>
      </c>
      <c r="D847" s="12" t="s">
        <v>48</v>
      </c>
      <c r="E847" s="16" t="n">
        <v>24.364711</v>
      </c>
      <c r="F847" s="16" t="n">
        <v>0</v>
      </c>
      <c r="G847" s="16" t="n">
        <v>0</v>
      </c>
    </row>
    <row r="848" customFormat="false" ht="15" hidden="false" customHeight="false" outlineLevel="0" collapsed="false">
      <c r="A848" s="7" t="n">
        <v>2006</v>
      </c>
      <c r="B848" s="12" t="s">
        <v>66</v>
      </c>
      <c r="C848" s="12" t="s">
        <v>67</v>
      </c>
      <c r="D848" s="12" t="s">
        <v>46</v>
      </c>
      <c r="E848" s="16" t="n">
        <v>59.59943</v>
      </c>
      <c r="F848" s="16" t="n">
        <v>0</v>
      </c>
      <c r="G848" s="16" t="n">
        <v>43.65431</v>
      </c>
    </row>
    <row r="849" customFormat="false" ht="15" hidden="false" customHeight="false" outlineLevel="0" collapsed="false">
      <c r="A849" s="7" t="n">
        <v>2006</v>
      </c>
      <c r="B849" s="12" t="s">
        <v>66</v>
      </c>
      <c r="C849" s="12" t="s">
        <v>67</v>
      </c>
      <c r="D849" s="12" t="s">
        <v>47</v>
      </c>
      <c r="E849" s="16" t="n">
        <v>2.705851</v>
      </c>
      <c r="F849" s="16" t="n">
        <v>0</v>
      </c>
      <c r="G849" s="16" t="n">
        <v>0</v>
      </c>
    </row>
    <row r="850" customFormat="false" ht="15" hidden="false" customHeight="false" outlineLevel="0" collapsed="false">
      <c r="A850" s="7" t="n">
        <v>2006</v>
      </c>
      <c r="B850" s="12" t="s">
        <v>66</v>
      </c>
      <c r="C850" s="12" t="s">
        <v>67</v>
      </c>
      <c r="D850" s="12" t="s">
        <v>45</v>
      </c>
      <c r="E850" s="16" t="n">
        <v>-18.738176</v>
      </c>
      <c r="F850" s="16" t="n">
        <v>-37.310259</v>
      </c>
      <c r="G850" s="16" t="n">
        <v>19.327178</v>
      </c>
    </row>
    <row r="851" customFormat="false" ht="15" hidden="false" customHeight="false" outlineLevel="0" collapsed="false">
      <c r="A851" s="7" t="n">
        <v>2006</v>
      </c>
      <c r="B851" s="12" t="s">
        <v>68</v>
      </c>
      <c r="C851" s="12" t="s">
        <v>65</v>
      </c>
      <c r="D851" s="12" t="s">
        <v>49</v>
      </c>
      <c r="E851" s="16" t="n">
        <v>93.804246</v>
      </c>
      <c r="F851" s="16" t="n">
        <v>0</v>
      </c>
      <c r="G851" s="16" t="n">
        <v>10.708652</v>
      </c>
    </row>
    <row r="852" customFormat="false" ht="15" hidden="false" customHeight="false" outlineLevel="0" collapsed="false">
      <c r="A852" s="7" t="n">
        <v>2006</v>
      </c>
      <c r="B852" s="12" t="s">
        <v>68</v>
      </c>
      <c r="C852" s="12" t="s">
        <v>65</v>
      </c>
      <c r="D852" s="12" t="s">
        <v>48</v>
      </c>
      <c r="E852" s="16" t="n">
        <v>20.361932</v>
      </c>
      <c r="F852" s="16" t="n">
        <v>0</v>
      </c>
      <c r="G852" s="16" t="n">
        <v>0</v>
      </c>
    </row>
    <row r="853" customFormat="false" ht="15" hidden="false" customHeight="false" outlineLevel="0" collapsed="false">
      <c r="A853" s="7" t="n">
        <v>2006</v>
      </c>
      <c r="B853" s="12" t="s">
        <v>68</v>
      </c>
      <c r="C853" s="12" t="s">
        <v>65</v>
      </c>
      <c r="D853" s="12" t="s">
        <v>46</v>
      </c>
      <c r="E853" s="16" t="n">
        <v>35.391356</v>
      </c>
      <c r="F853" s="16" t="n">
        <v>0</v>
      </c>
      <c r="G853" s="16" t="n">
        <v>49.976971</v>
      </c>
    </row>
    <row r="854" customFormat="false" ht="15" hidden="false" customHeight="false" outlineLevel="0" collapsed="false">
      <c r="A854" s="7" t="n">
        <v>2006</v>
      </c>
      <c r="B854" s="12" t="s">
        <v>68</v>
      </c>
      <c r="C854" s="12" t="s">
        <v>65</v>
      </c>
      <c r="D854" s="12" t="s">
        <v>47</v>
      </c>
      <c r="E854" s="16" t="n">
        <v>0.382837</v>
      </c>
      <c r="F854" s="16" t="n">
        <v>0</v>
      </c>
      <c r="G854" s="16" t="n">
        <v>0</v>
      </c>
    </row>
    <row r="855" customFormat="false" ht="15" hidden="false" customHeight="false" outlineLevel="0" collapsed="false">
      <c r="A855" s="7" t="n">
        <v>2006</v>
      </c>
      <c r="B855" s="12" t="s">
        <v>68</v>
      </c>
      <c r="C855" s="12" t="s">
        <v>65</v>
      </c>
      <c r="D855" s="12" t="s">
        <v>45</v>
      </c>
      <c r="E855" s="16" t="n">
        <v>10.174396</v>
      </c>
      <c r="F855" s="16" t="n">
        <v>4.137015</v>
      </c>
      <c r="G855" s="16" t="n">
        <v>6.329114</v>
      </c>
    </row>
    <row r="856" customFormat="false" ht="15" hidden="false" customHeight="false" outlineLevel="0" collapsed="false">
      <c r="A856" s="7" t="n">
        <v>2006</v>
      </c>
      <c r="B856" s="12" t="s">
        <v>69</v>
      </c>
      <c r="C856" s="12" t="s">
        <v>70</v>
      </c>
      <c r="D856" s="12" t="s">
        <v>49</v>
      </c>
      <c r="E856" s="16" t="n">
        <v>95.492056</v>
      </c>
      <c r="F856" s="16" t="n">
        <v>0</v>
      </c>
      <c r="G856" s="16" t="n">
        <v>22.646041</v>
      </c>
    </row>
    <row r="857" customFormat="false" ht="15" hidden="false" customHeight="false" outlineLevel="0" collapsed="false">
      <c r="A857" s="7" t="n">
        <v>2006</v>
      </c>
      <c r="B857" s="12" t="s">
        <v>69</v>
      </c>
      <c r="C857" s="12" t="s">
        <v>70</v>
      </c>
      <c r="D857" s="12" t="s">
        <v>48</v>
      </c>
      <c r="E857" s="16" t="n">
        <v>52.564679</v>
      </c>
      <c r="F857" s="16" t="n">
        <v>0</v>
      </c>
      <c r="G857" s="16" t="n">
        <v>0</v>
      </c>
    </row>
    <row r="858" customFormat="false" ht="15" hidden="false" customHeight="false" outlineLevel="0" collapsed="false">
      <c r="A858" s="7" t="n">
        <v>2006</v>
      </c>
      <c r="B858" s="12" t="s">
        <v>69</v>
      </c>
      <c r="C858" s="12" t="s">
        <v>70</v>
      </c>
      <c r="D858" s="12" t="s">
        <v>46</v>
      </c>
      <c r="E858" s="16" t="n">
        <v>22.020338</v>
      </c>
      <c r="F858" s="16" t="n">
        <v>0</v>
      </c>
      <c r="G858" s="16" t="n">
        <v>38.930746</v>
      </c>
    </row>
    <row r="859" customFormat="false" ht="15" hidden="false" customHeight="false" outlineLevel="0" collapsed="false">
      <c r="A859" s="7" t="n">
        <v>2006</v>
      </c>
      <c r="B859" s="12" t="s">
        <v>69</v>
      </c>
      <c r="C859" s="12" t="s">
        <v>70</v>
      </c>
      <c r="D859" s="12" t="s">
        <v>47</v>
      </c>
      <c r="E859" s="16" t="n">
        <v>2.25211</v>
      </c>
      <c r="F859" s="16" t="n">
        <v>0</v>
      </c>
      <c r="G859" s="16" t="n">
        <v>0</v>
      </c>
    </row>
    <row r="860" customFormat="false" ht="15" hidden="false" customHeight="false" outlineLevel="0" collapsed="false">
      <c r="A860" s="7" t="n">
        <v>2006</v>
      </c>
      <c r="B860" s="12" t="s">
        <v>69</v>
      </c>
      <c r="C860" s="12" t="s">
        <v>70</v>
      </c>
      <c r="D860" s="12" t="s">
        <v>45</v>
      </c>
      <c r="E860" s="16" t="n">
        <v>21.906192</v>
      </c>
      <c r="F860" s="16" t="n">
        <v>9.59583</v>
      </c>
      <c r="G860" s="16" t="n">
        <v>14.746262</v>
      </c>
    </row>
    <row r="861" customFormat="false" ht="15" hidden="false" customHeight="false" outlineLevel="0" collapsed="false">
      <c r="A861" s="7" t="n">
        <v>2006</v>
      </c>
      <c r="B861" s="12" t="s">
        <v>73</v>
      </c>
      <c r="C861" s="12" t="s">
        <v>70</v>
      </c>
      <c r="D861" s="12" t="s">
        <v>49</v>
      </c>
      <c r="E861" s="16" t="n">
        <v>91.818307</v>
      </c>
      <c r="F861" s="16" t="n">
        <v>0</v>
      </c>
      <c r="G861" s="16" t="n">
        <v>19.352874</v>
      </c>
    </row>
    <row r="862" customFormat="false" ht="15" hidden="false" customHeight="false" outlineLevel="0" collapsed="false">
      <c r="A862" s="7" t="n">
        <v>2006</v>
      </c>
      <c r="B862" s="12" t="s">
        <v>73</v>
      </c>
      <c r="C862" s="12" t="s">
        <v>70</v>
      </c>
      <c r="D862" s="12" t="s">
        <v>48</v>
      </c>
      <c r="E862" s="16" t="n">
        <v>67.940752</v>
      </c>
      <c r="F862" s="16" t="n">
        <v>0</v>
      </c>
      <c r="G862" s="16" t="n">
        <v>0</v>
      </c>
    </row>
    <row r="863" customFormat="false" ht="15" hidden="false" customHeight="false" outlineLevel="0" collapsed="false">
      <c r="A863" s="7" t="n">
        <v>2006</v>
      </c>
      <c r="B863" s="12" t="s">
        <v>73</v>
      </c>
      <c r="C863" s="12" t="s">
        <v>70</v>
      </c>
      <c r="D863" s="12" t="s">
        <v>46</v>
      </c>
      <c r="E863" s="16" t="n">
        <v>83.559122</v>
      </c>
      <c r="F863" s="16" t="n">
        <v>0</v>
      </c>
      <c r="G863" s="16" t="n">
        <v>56.485099</v>
      </c>
    </row>
    <row r="864" customFormat="false" ht="15" hidden="false" customHeight="false" outlineLevel="0" collapsed="false">
      <c r="A864" s="7" t="n">
        <v>2006</v>
      </c>
      <c r="B864" s="12" t="s">
        <v>73</v>
      </c>
      <c r="C864" s="12" t="s">
        <v>70</v>
      </c>
      <c r="D864" s="12" t="s">
        <v>45</v>
      </c>
      <c r="E864" s="16" t="n">
        <v>35.280818</v>
      </c>
      <c r="F864" s="16" t="n">
        <v>25.574829</v>
      </c>
      <c r="G864" s="16" t="n">
        <v>11.470922</v>
      </c>
    </row>
    <row r="865" customFormat="false" ht="15" hidden="false" customHeight="false" outlineLevel="0" collapsed="false">
      <c r="A865" s="7" t="n">
        <v>2006</v>
      </c>
      <c r="B865" s="12" t="s">
        <v>74</v>
      </c>
      <c r="C865" s="12" t="s">
        <v>65</v>
      </c>
      <c r="D865" s="12" t="s">
        <v>49</v>
      </c>
      <c r="E865" s="16" t="n">
        <v>84.790374</v>
      </c>
      <c r="F865" s="16" t="n">
        <v>0</v>
      </c>
      <c r="G865" s="16" t="n">
        <v>21.315296</v>
      </c>
    </row>
    <row r="866" customFormat="false" ht="15" hidden="false" customHeight="false" outlineLevel="0" collapsed="false">
      <c r="A866" s="7" t="n">
        <v>2006</v>
      </c>
      <c r="B866" s="12" t="s">
        <v>74</v>
      </c>
      <c r="C866" s="12" t="s">
        <v>65</v>
      </c>
      <c r="D866" s="12" t="s">
        <v>48</v>
      </c>
      <c r="E866" s="16" t="n">
        <v>22.203532</v>
      </c>
      <c r="F866" s="16" t="n">
        <v>0</v>
      </c>
      <c r="G866" s="16" t="n">
        <v>0</v>
      </c>
    </row>
    <row r="867" customFormat="false" ht="15" hidden="false" customHeight="false" outlineLevel="0" collapsed="false">
      <c r="A867" s="7" t="n">
        <v>2006</v>
      </c>
      <c r="B867" s="12" t="s">
        <v>74</v>
      </c>
      <c r="C867" s="12" t="s">
        <v>65</v>
      </c>
      <c r="D867" s="12" t="s">
        <v>46</v>
      </c>
      <c r="E867" s="16" t="n">
        <v>29.909245</v>
      </c>
      <c r="F867" s="16" t="n">
        <v>0</v>
      </c>
      <c r="G867" s="16" t="n">
        <v>45.536294</v>
      </c>
    </row>
    <row r="868" customFormat="false" ht="15" hidden="false" customHeight="false" outlineLevel="0" collapsed="false">
      <c r="A868" s="7" t="n">
        <v>2006</v>
      </c>
      <c r="B868" s="12" t="s">
        <v>74</v>
      </c>
      <c r="C868" s="12" t="s">
        <v>65</v>
      </c>
      <c r="D868" s="12" t="s">
        <v>45</v>
      </c>
      <c r="E868" s="16" t="n">
        <v>20.398215</v>
      </c>
      <c r="F868" s="16" t="n">
        <v>3.251223</v>
      </c>
      <c r="G868" s="16" t="n">
        <v>20.88476</v>
      </c>
    </row>
    <row r="869" customFormat="false" ht="15" hidden="false" customHeight="false" outlineLevel="0" collapsed="false">
      <c r="A869" s="7" t="n">
        <v>2006</v>
      </c>
      <c r="B869" s="12" t="s">
        <v>75</v>
      </c>
      <c r="C869" s="12" t="s">
        <v>57</v>
      </c>
      <c r="D869" s="12" t="s">
        <v>49</v>
      </c>
      <c r="E869" s="16" t="n">
        <v>168.048704</v>
      </c>
      <c r="F869" s="16" t="n">
        <v>0</v>
      </c>
      <c r="G869" s="16" t="n">
        <v>42.273882</v>
      </c>
    </row>
    <row r="870" customFormat="false" ht="15" hidden="false" customHeight="false" outlineLevel="0" collapsed="false">
      <c r="A870" s="7" t="n">
        <v>2006</v>
      </c>
      <c r="B870" s="12" t="s">
        <v>75</v>
      </c>
      <c r="C870" s="12" t="s">
        <v>57</v>
      </c>
      <c r="D870" s="12" t="s">
        <v>48</v>
      </c>
      <c r="E870" s="16" t="n">
        <v>121.086395</v>
      </c>
      <c r="F870" s="16" t="n">
        <v>0</v>
      </c>
      <c r="G870" s="16" t="n">
        <v>0</v>
      </c>
    </row>
    <row r="871" customFormat="false" ht="15" hidden="false" customHeight="false" outlineLevel="0" collapsed="false">
      <c r="A871" s="7" t="n">
        <v>2006</v>
      </c>
      <c r="B871" s="12" t="s">
        <v>75</v>
      </c>
      <c r="C871" s="12" t="s">
        <v>57</v>
      </c>
      <c r="D871" s="12" t="s">
        <v>46</v>
      </c>
      <c r="E871" s="16" t="n">
        <v>99.303543</v>
      </c>
      <c r="F871" s="16" t="n">
        <v>0</v>
      </c>
      <c r="G871" s="16" t="n">
        <v>80.85823</v>
      </c>
    </row>
    <row r="872" customFormat="false" ht="15" hidden="false" customHeight="false" outlineLevel="0" collapsed="false">
      <c r="A872" s="7" t="n">
        <v>2006</v>
      </c>
      <c r="B872" s="12" t="s">
        <v>75</v>
      </c>
      <c r="C872" s="12" t="s">
        <v>57</v>
      </c>
      <c r="D872" s="12" t="s">
        <v>47</v>
      </c>
      <c r="E872" s="16" t="n">
        <v>7.133643</v>
      </c>
      <c r="F872" s="16" t="n">
        <v>0</v>
      </c>
      <c r="G872" s="16" t="n">
        <v>0</v>
      </c>
    </row>
    <row r="873" customFormat="false" ht="15" hidden="false" customHeight="false" outlineLevel="0" collapsed="false">
      <c r="A873" s="7" t="n">
        <v>2006</v>
      </c>
      <c r="B873" s="12" t="s">
        <v>75</v>
      </c>
      <c r="C873" s="12" t="s">
        <v>57</v>
      </c>
      <c r="D873" s="12" t="s">
        <v>45</v>
      </c>
      <c r="E873" s="16" t="n">
        <v>111.278892</v>
      </c>
      <c r="F873" s="16" t="n">
        <v>41.036099</v>
      </c>
      <c r="G873" s="16" t="n">
        <v>29.839606</v>
      </c>
    </row>
    <row r="874" customFormat="false" ht="15" hidden="false" customHeight="false" outlineLevel="0" collapsed="false">
      <c r="A874" s="7" t="n">
        <v>2006</v>
      </c>
      <c r="B874" s="12" t="s">
        <v>76</v>
      </c>
      <c r="C874" s="12" t="s">
        <v>72</v>
      </c>
      <c r="D874" s="12" t="s">
        <v>49</v>
      </c>
      <c r="E874" s="16" t="n">
        <v>29.795475</v>
      </c>
      <c r="F874" s="16" t="n">
        <v>0</v>
      </c>
      <c r="G874" s="16" t="n">
        <v>7.439147</v>
      </c>
    </row>
    <row r="875" customFormat="false" ht="15" hidden="false" customHeight="false" outlineLevel="0" collapsed="false">
      <c r="A875" s="7" t="n">
        <v>2006</v>
      </c>
      <c r="B875" s="12" t="s">
        <v>76</v>
      </c>
      <c r="C875" s="12" t="s">
        <v>72</v>
      </c>
      <c r="D875" s="12" t="s">
        <v>48</v>
      </c>
      <c r="E875" s="16" t="n">
        <v>20.763725</v>
      </c>
      <c r="F875" s="16" t="n">
        <v>0</v>
      </c>
      <c r="G875" s="16" t="n">
        <v>0</v>
      </c>
    </row>
    <row r="876" customFormat="false" ht="15" hidden="false" customHeight="false" outlineLevel="0" collapsed="false">
      <c r="A876" s="7" t="n">
        <v>2006</v>
      </c>
      <c r="B876" s="12" t="s">
        <v>76</v>
      </c>
      <c r="C876" s="12" t="s">
        <v>72</v>
      </c>
      <c r="D876" s="12" t="s">
        <v>46</v>
      </c>
      <c r="E876" s="16" t="n">
        <v>19.436068</v>
      </c>
      <c r="F876" s="16" t="n">
        <v>0</v>
      </c>
      <c r="G876" s="16" t="n">
        <v>18.155969</v>
      </c>
    </row>
    <row r="877" customFormat="false" ht="15" hidden="false" customHeight="false" outlineLevel="0" collapsed="false">
      <c r="A877" s="7" t="n">
        <v>2006</v>
      </c>
      <c r="B877" s="12" t="s">
        <v>76</v>
      </c>
      <c r="C877" s="12" t="s">
        <v>72</v>
      </c>
      <c r="D877" s="12" t="s">
        <v>45</v>
      </c>
      <c r="E877" s="16" t="n">
        <v>30.912714</v>
      </c>
      <c r="F877" s="16" t="n">
        <v>0</v>
      </c>
      <c r="G877" s="16" t="n">
        <v>10.376372</v>
      </c>
    </row>
    <row r="878" customFormat="false" ht="15" hidden="false" customHeight="false" outlineLevel="0" collapsed="false">
      <c r="A878" s="7" t="n">
        <v>2006</v>
      </c>
      <c r="B878" s="12" t="s">
        <v>77</v>
      </c>
      <c r="C878" s="12" t="s">
        <v>57</v>
      </c>
      <c r="D878" s="12" t="s">
        <v>49</v>
      </c>
      <c r="E878" s="16" t="n">
        <v>33.557723</v>
      </c>
      <c r="F878" s="16" t="n">
        <v>0</v>
      </c>
      <c r="G878" s="16" t="n">
        <v>3.083652</v>
      </c>
    </row>
    <row r="879" customFormat="false" ht="15" hidden="false" customHeight="false" outlineLevel="0" collapsed="false">
      <c r="A879" s="7" t="n">
        <v>2006</v>
      </c>
      <c r="B879" s="12" t="s">
        <v>77</v>
      </c>
      <c r="C879" s="12" t="s">
        <v>57</v>
      </c>
      <c r="D879" s="12" t="s">
        <v>48</v>
      </c>
      <c r="E879" s="16" t="n">
        <v>16.104987</v>
      </c>
      <c r="F879" s="16" t="n">
        <v>0</v>
      </c>
      <c r="G879" s="16" t="n">
        <v>0</v>
      </c>
    </row>
    <row r="880" customFormat="false" ht="15" hidden="false" customHeight="false" outlineLevel="0" collapsed="false">
      <c r="A880" s="7" t="n">
        <v>2006</v>
      </c>
      <c r="B880" s="12" t="s">
        <v>77</v>
      </c>
      <c r="C880" s="12" t="s">
        <v>57</v>
      </c>
      <c r="D880" s="12" t="s">
        <v>46</v>
      </c>
      <c r="E880" s="16" t="n">
        <v>12.987222</v>
      </c>
      <c r="F880" s="16" t="n">
        <v>0</v>
      </c>
      <c r="G880" s="16" t="n">
        <v>8.467199</v>
      </c>
    </row>
    <row r="881" customFormat="false" ht="15" hidden="false" customHeight="false" outlineLevel="0" collapsed="false">
      <c r="A881" s="7" t="n">
        <v>2006</v>
      </c>
      <c r="B881" s="12" t="s">
        <v>77</v>
      </c>
      <c r="C881" s="12" t="s">
        <v>57</v>
      </c>
      <c r="D881" s="12" t="s">
        <v>47</v>
      </c>
      <c r="E881" s="16" t="n">
        <v>0.88309</v>
      </c>
      <c r="F881" s="16" t="n">
        <v>0</v>
      </c>
      <c r="G881" s="16" t="n">
        <v>0</v>
      </c>
    </row>
    <row r="882" customFormat="false" ht="15" hidden="false" customHeight="false" outlineLevel="0" collapsed="false">
      <c r="A882" s="7" t="n">
        <v>2006</v>
      </c>
      <c r="B882" s="12" t="s">
        <v>77</v>
      </c>
      <c r="C882" s="12" t="s">
        <v>57</v>
      </c>
      <c r="D882" s="12" t="s">
        <v>45</v>
      </c>
      <c r="E882" s="16" t="n">
        <v>9.169685</v>
      </c>
      <c r="F882" s="16" t="n">
        <v>0</v>
      </c>
      <c r="G882" s="16" t="n">
        <v>3.853998</v>
      </c>
    </row>
    <row r="883" customFormat="false" ht="15" hidden="false" customHeight="false" outlineLevel="0" collapsed="false">
      <c r="A883" s="7" t="n">
        <v>2006</v>
      </c>
      <c r="B883" s="12" t="s">
        <v>78</v>
      </c>
      <c r="C883" s="12" t="s">
        <v>65</v>
      </c>
      <c r="D883" s="12" t="s">
        <v>49</v>
      </c>
      <c r="E883" s="16" t="n">
        <v>28.199903</v>
      </c>
      <c r="F883" s="16" t="n">
        <v>0</v>
      </c>
      <c r="G883" s="16" t="n">
        <v>1.890933</v>
      </c>
    </row>
    <row r="884" customFormat="false" ht="15" hidden="false" customHeight="false" outlineLevel="0" collapsed="false">
      <c r="A884" s="7" t="n">
        <v>2006</v>
      </c>
      <c r="B884" s="12" t="s">
        <v>78</v>
      </c>
      <c r="C884" s="12" t="s">
        <v>65</v>
      </c>
      <c r="D884" s="12" t="s">
        <v>48</v>
      </c>
      <c r="E884" s="16" t="n">
        <v>6.970732</v>
      </c>
      <c r="F884" s="16" t="n">
        <v>0</v>
      </c>
      <c r="G884" s="16" t="n">
        <v>0</v>
      </c>
    </row>
    <row r="885" customFormat="false" ht="15" hidden="false" customHeight="false" outlineLevel="0" collapsed="false">
      <c r="A885" s="7" t="n">
        <v>2006</v>
      </c>
      <c r="B885" s="12" t="s">
        <v>78</v>
      </c>
      <c r="C885" s="12" t="s">
        <v>65</v>
      </c>
      <c r="D885" s="12" t="s">
        <v>46</v>
      </c>
      <c r="E885" s="16" t="n">
        <v>9.725133</v>
      </c>
      <c r="F885" s="16" t="n">
        <v>0</v>
      </c>
      <c r="G885" s="16" t="n">
        <v>11.78878</v>
      </c>
    </row>
    <row r="886" customFormat="false" ht="15" hidden="false" customHeight="false" outlineLevel="0" collapsed="false">
      <c r="A886" s="7" t="n">
        <v>2006</v>
      </c>
      <c r="B886" s="12" t="s">
        <v>78</v>
      </c>
      <c r="C886" s="12" t="s">
        <v>65</v>
      </c>
      <c r="D886" s="12" t="s">
        <v>45</v>
      </c>
      <c r="E886" s="16" t="n">
        <v>2.71102</v>
      </c>
      <c r="F886" s="16" t="n">
        <v>0</v>
      </c>
      <c r="G886" s="16" t="n">
        <v>4.655863</v>
      </c>
    </row>
    <row r="887" customFormat="false" ht="15" hidden="false" customHeight="false" outlineLevel="0" collapsed="false">
      <c r="A887" s="7" t="n">
        <v>2006</v>
      </c>
      <c r="B887" s="12" t="s">
        <v>79</v>
      </c>
      <c r="C887" s="12" t="s">
        <v>72</v>
      </c>
      <c r="D887" s="12" t="s">
        <v>49</v>
      </c>
      <c r="E887" s="16" t="n">
        <v>187.86112</v>
      </c>
      <c r="F887" s="16" t="n">
        <v>0</v>
      </c>
      <c r="G887" s="16" t="n">
        <v>21.74316</v>
      </c>
    </row>
    <row r="888" customFormat="false" ht="15" hidden="false" customHeight="false" outlineLevel="0" collapsed="false">
      <c r="A888" s="7" t="n">
        <v>2006</v>
      </c>
      <c r="B888" s="12" t="s">
        <v>79</v>
      </c>
      <c r="C888" s="12" t="s">
        <v>72</v>
      </c>
      <c r="D888" s="12" t="s">
        <v>48</v>
      </c>
      <c r="E888" s="16" t="n">
        <v>78.727938</v>
      </c>
      <c r="F888" s="16" t="n">
        <v>0</v>
      </c>
      <c r="G888" s="16" t="n">
        <v>0</v>
      </c>
    </row>
    <row r="889" customFormat="false" ht="15" hidden="false" customHeight="false" outlineLevel="0" collapsed="false">
      <c r="A889" s="7" t="n">
        <v>2006</v>
      </c>
      <c r="B889" s="12" t="s">
        <v>79</v>
      </c>
      <c r="C889" s="12" t="s">
        <v>72</v>
      </c>
      <c r="D889" s="12" t="s">
        <v>46</v>
      </c>
      <c r="E889" s="16" t="n">
        <v>70.100467</v>
      </c>
      <c r="F889" s="16" t="n">
        <v>0</v>
      </c>
      <c r="G889" s="16" t="n">
        <v>86.412181</v>
      </c>
    </row>
    <row r="890" customFormat="false" ht="15" hidden="false" customHeight="false" outlineLevel="0" collapsed="false">
      <c r="A890" s="7" t="n">
        <v>2006</v>
      </c>
      <c r="B890" s="12" t="s">
        <v>79</v>
      </c>
      <c r="C890" s="12" t="s">
        <v>72</v>
      </c>
      <c r="D890" s="12" t="s">
        <v>47</v>
      </c>
      <c r="E890" s="16" t="n">
        <v>0.016185</v>
      </c>
      <c r="F890" s="16" t="n">
        <v>0</v>
      </c>
      <c r="G890" s="16" t="n">
        <v>0</v>
      </c>
    </row>
    <row r="891" customFormat="false" ht="15" hidden="false" customHeight="false" outlineLevel="0" collapsed="false">
      <c r="A891" s="7" t="n">
        <v>2006</v>
      </c>
      <c r="B891" s="12" t="s">
        <v>79</v>
      </c>
      <c r="C891" s="12" t="s">
        <v>72</v>
      </c>
      <c r="D891" s="12" t="s">
        <v>45</v>
      </c>
      <c r="E891" s="16" t="n">
        <v>171.183513</v>
      </c>
      <c r="F891" s="16" t="n">
        <v>168.318146</v>
      </c>
      <c r="G891" s="16" t="n">
        <v>0</v>
      </c>
    </row>
    <row r="892" customFormat="false" ht="15" hidden="false" customHeight="false" outlineLevel="0" collapsed="false">
      <c r="A892" s="7" t="n">
        <v>2006</v>
      </c>
      <c r="B892" s="12" t="s">
        <v>80</v>
      </c>
      <c r="C892" s="12" t="s">
        <v>72</v>
      </c>
      <c r="D892" s="12" t="s">
        <v>49</v>
      </c>
      <c r="E892" s="16" t="n">
        <v>80.493889</v>
      </c>
      <c r="F892" s="16" t="n">
        <v>0</v>
      </c>
      <c r="G892" s="16" t="n">
        <v>16.750711</v>
      </c>
    </row>
    <row r="893" customFormat="false" ht="15" hidden="false" customHeight="false" outlineLevel="0" collapsed="false">
      <c r="A893" s="7" t="n">
        <v>2006</v>
      </c>
      <c r="B893" s="12" t="s">
        <v>80</v>
      </c>
      <c r="C893" s="12" t="s">
        <v>72</v>
      </c>
      <c r="D893" s="12" t="s">
        <v>48</v>
      </c>
      <c r="E893" s="16" t="n">
        <v>42.144029</v>
      </c>
      <c r="F893" s="16" t="n">
        <v>0</v>
      </c>
      <c r="G893" s="16" t="n">
        <v>0</v>
      </c>
    </row>
    <row r="894" customFormat="false" ht="15" hidden="false" customHeight="false" outlineLevel="0" collapsed="false">
      <c r="A894" s="7" t="n">
        <v>2006</v>
      </c>
      <c r="B894" s="12" t="s">
        <v>80</v>
      </c>
      <c r="C894" s="12" t="s">
        <v>72</v>
      </c>
      <c r="D894" s="12" t="s">
        <v>46</v>
      </c>
      <c r="E894" s="16" t="n">
        <v>26.212058</v>
      </c>
      <c r="F894" s="16" t="n">
        <v>0</v>
      </c>
      <c r="G894" s="16" t="n">
        <v>40.864808</v>
      </c>
    </row>
    <row r="895" customFormat="false" ht="15" hidden="false" customHeight="false" outlineLevel="0" collapsed="false">
      <c r="A895" s="7" t="n">
        <v>2006</v>
      </c>
      <c r="B895" s="12" t="s">
        <v>80</v>
      </c>
      <c r="C895" s="12" t="s">
        <v>72</v>
      </c>
      <c r="D895" s="12" t="s">
        <v>47</v>
      </c>
      <c r="E895" s="16" t="n">
        <v>1.399583</v>
      </c>
      <c r="F895" s="16" t="n">
        <v>0</v>
      </c>
      <c r="G895" s="16" t="n">
        <v>0</v>
      </c>
    </row>
    <row r="896" customFormat="false" ht="15" hidden="false" customHeight="false" outlineLevel="0" collapsed="false">
      <c r="A896" s="7" t="n">
        <v>2006</v>
      </c>
      <c r="B896" s="12" t="s">
        <v>80</v>
      </c>
      <c r="C896" s="12" t="s">
        <v>72</v>
      </c>
      <c r="D896" s="12" t="s">
        <v>45</v>
      </c>
      <c r="E896" s="16" t="n">
        <v>72.215541</v>
      </c>
      <c r="F896" s="16" t="n">
        <v>70.063906</v>
      </c>
      <c r="G896" s="16" t="n">
        <v>0</v>
      </c>
    </row>
    <row r="897" customFormat="false" ht="15" hidden="false" customHeight="false" outlineLevel="0" collapsed="false">
      <c r="A897" s="7" t="n">
        <v>2006</v>
      </c>
      <c r="B897" s="12" t="s">
        <v>81</v>
      </c>
      <c r="C897" s="12" t="s">
        <v>72</v>
      </c>
      <c r="D897" s="12" t="s">
        <v>49</v>
      </c>
      <c r="E897" s="16" t="n">
        <v>76.463533</v>
      </c>
      <c r="F897" s="16" t="n">
        <v>0</v>
      </c>
      <c r="G897" s="16" t="n">
        <v>20.917347</v>
      </c>
    </row>
    <row r="898" customFormat="false" ht="15" hidden="false" customHeight="false" outlineLevel="0" collapsed="false">
      <c r="A898" s="7" t="n">
        <v>2006</v>
      </c>
      <c r="B898" s="12" t="s">
        <v>81</v>
      </c>
      <c r="C898" s="12" t="s">
        <v>72</v>
      </c>
      <c r="D898" s="12" t="s">
        <v>48</v>
      </c>
      <c r="E898" s="16" t="n">
        <v>38.290103</v>
      </c>
      <c r="F898" s="16" t="n">
        <v>0</v>
      </c>
      <c r="G898" s="16" t="n">
        <v>0</v>
      </c>
    </row>
    <row r="899" customFormat="false" ht="15" hidden="false" customHeight="false" outlineLevel="0" collapsed="false">
      <c r="A899" s="7" t="n">
        <v>2006</v>
      </c>
      <c r="B899" s="12" t="s">
        <v>81</v>
      </c>
      <c r="C899" s="12" t="s">
        <v>72</v>
      </c>
      <c r="D899" s="12" t="s">
        <v>46</v>
      </c>
      <c r="E899" s="16" t="n">
        <v>42.900899</v>
      </c>
      <c r="F899" s="16" t="n">
        <v>0</v>
      </c>
      <c r="G899" s="16" t="n">
        <v>26.065406</v>
      </c>
    </row>
    <row r="900" customFormat="false" ht="15" hidden="false" customHeight="false" outlineLevel="0" collapsed="false">
      <c r="A900" s="7" t="n">
        <v>2006</v>
      </c>
      <c r="B900" s="12" t="s">
        <v>81</v>
      </c>
      <c r="C900" s="12" t="s">
        <v>72</v>
      </c>
      <c r="D900" s="12" t="s">
        <v>47</v>
      </c>
      <c r="E900" s="16" t="n">
        <v>1.632893</v>
      </c>
      <c r="F900" s="16" t="n">
        <v>0</v>
      </c>
      <c r="G900" s="16" t="n">
        <v>0</v>
      </c>
    </row>
    <row r="901" customFormat="false" ht="15" hidden="false" customHeight="false" outlineLevel="0" collapsed="false">
      <c r="A901" s="7" t="n">
        <v>2006</v>
      </c>
      <c r="B901" s="12" t="s">
        <v>81</v>
      </c>
      <c r="C901" s="12" t="s">
        <v>72</v>
      </c>
      <c r="D901" s="12" t="s">
        <v>45</v>
      </c>
      <c r="E901" s="16" t="n">
        <v>67.716335</v>
      </c>
      <c r="F901" s="16" t="n">
        <v>64.490106</v>
      </c>
      <c r="G901" s="16" t="n">
        <v>0</v>
      </c>
    </row>
    <row r="902" customFormat="false" ht="15" hidden="false" customHeight="false" outlineLevel="0" collapsed="false">
      <c r="A902" s="7" t="n">
        <v>2007</v>
      </c>
      <c r="B902" s="12" t="s">
        <v>56</v>
      </c>
      <c r="C902" s="12" t="s">
        <v>57</v>
      </c>
      <c r="D902" s="12" t="s">
        <v>49</v>
      </c>
      <c r="E902" s="16" t="n">
        <v>46.938614</v>
      </c>
      <c r="F902" s="16" t="n">
        <v>0</v>
      </c>
      <c r="G902" s="16" t="n">
        <v>5.884304</v>
      </c>
    </row>
    <row r="903" customFormat="false" ht="15" hidden="false" customHeight="false" outlineLevel="0" collapsed="false">
      <c r="A903" s="7" t="n">
        <v>2007</v>
      </c>
      <c r="B903" s="12" t="s">
        <v>56</v>
      </c>
      <c r="C903" s="12" t="s">
        <v>57</v>
      </c>
      <c r="D903" s="12" t="s">
        <v>48</v>
      </c>
      <c r="E903" s="16" t="n">
        <v>13.609885</v>
      </c>
      <c r="F903" s="16" t="n">
        <v>0</v>
      </c>
      <c r="G903" s="16" t="n">
        <v>0</v>
      </c>
    </row>
    <row r="904" customFormat="false" ht="15" hidden="false" customHeight="false" outlineLevel="0" collapsed="false">
      <c r="A904" s="7" t="n">
        <v>2007</v>
      </c>
      <c r="B904" s="12" t="s">
        <v>56</v>
      </c>
      <c r="C904" s="12" t="s">
        <v>57</v>
      </c>
      <c r="D904" s="12" t="s">
        <v>46</v>
      </c>
      <c r="E904" s="16" t="n">
        <v>21.813788</v>
      </c>
      <c r="F904" s="16" t="n">
        <v>0</v>
      </c>
      <c r="G904" s="16" t="n">
        <v>10.428522</v>
      </c>
    </row>
    <row r="905" customFormat="false" ht="15" hidden="false" customHeight="false" outlineLevel="0" collapsed="false">
      <c r="A905" s="7" t="n">
        <v>2007</v>
      </c>
      <c r="B905" s="12" t="s">
        <v>56</v>
      </c>
      <c r="C905" s="12" t="s">
        <v>57</v>
      </c>
      <c r="D905" s="12" t="s">
        <v>47</v>
      </c>
      <c r="E905" s="16" t="n">
        <v>0.0579</v>
      </c>
      <c r="F905" s="16" t="n">
        <v>0</v>
      </c>
      <c r="G905" s="16" t="n">
        <v>0</v>
      </c>
    </row>
    <row r="906" customFormat="false" ht="15" hidden="false" customHeight="false" outlineLevel="0" collapsed="false">
      <c r="A906" s="7" t="n">
        <v>2007</v>
      </c>
      <c r="B906" s="12" t="s">
        <v>56</v>
      </c>
      <c r="C906" s="12" t="s">
        <v>57</v>
      </c>
      <c r="D906" s="12" t="s">
        <v>45</v>
      </c>
      <c r="E906" s="16" t="n">
        <v>17.998315</v>
      </c>
      <c r="F906" s="16" t="n">
        <v>5.917216</v>
      </c>
      <c r="G906" s="16" t="n">
        <v>5.403705</v>
      </c>
    </row>
    <row r="907" customFormat="false" ht="15" hidden="false" customHeight="false" outlineLevel="0" collapsed="false">
      <c r="A907" s="7" t="n">
        <v>2007</v>
      </c>
      <c r="B907" s="12" t="s">
        <v>58</v>
      </c>
      <c r="C907" s="12" t="s">
        <v>59</v>
      </c>
      <c r="D907" s="12" t="s">
        <v>49</v>
      </c>
      <c r="E907" s="16" t="n">
        <v>133.551876</v>
      </c>
      <c r="F907" s="16" t="n">
        <v>0</v>
      </c>
      <c r="G907" s="16" t="n">
        <v>8.765861</v>
      </c>
    </row>
    <row r="908" customFormat="false" ht="15" hidden="false" customHeight="false" outlineLevel="0" collapsed="false">
      <c r="A908" s="7" t="n">
        <v>2007</v>
      </c>
      <c r="B908" s="12" t="s">
        <v>58</v>
      </c>
      <c r="C908" s="12" t="s">
        <v>59</v>
      </c>
      <c r="D908" s="12" t="s">
        <v>48</v>
      </c>
      <c r="E908" s="16" t="n">
        <v>72.977882</v>
      </c>
      <c r="F908" s="16" t="n">
        <v>0</v>
      </c>
      <c r="G908" s="16" t="n">
        <v>0</v>
      </c>
    </row>
    <row r="909" customFormat="false" ht="15" hidden="false" customHeight="false" outlineLevel="0" collapsed="false">
      <c r="A909" s="7" t="n">
        <v>2007</v>
      </c>
      <c r="B909" s="12" t="s">
        <v>58</v>
      </c>
      <c r="C909" s="12" t="s">
        <v>59</v>
      </c>
      <c r="D909" s="12" t="s">
        <v>46</v>
      </c>
      <c r="E909" s="16" t="n">
        <v>163.61543</v>
      </c>
      <c r="F909" s="16" t="n">
        <v>0</v>
      </c>
      <c r="G909" s="16" t="n">
        <v>120.643756</v>
      </c>
    </row>
    <row r="910" customFormat="false" ht="15" hidden="false" customHeight="false" outlineLevel="0" collapsed="false">
      <c r="A910" s="7" t="n">
        <v>2007</v>
      </c>
      <c r="B910" s="12" t="s">
        <v>58</v>
      </c>
      <c r="C910" s="12" t="s">
        <v>59</v>
      </c>
      <c r="D910" s="12" t="s">
        <v>47</v>
      </c>
      <c r="E910" s="16" t="n">
        <v>0.202027</v>
      </c>
      <c r="F910" s="16" t="n">
        <v>0</v>
      </c>
      <c r="G910" s="16" t="n">
        <v>0</v>
      </c>
    </row>
    <row r="911" customFormat="false" ht="15" hidden="false" customHeight="false" outlineLevel="0" collapsed="false">
      <c r="A911" s="7" t="n">
        <v>2007</v>
      </c>
      <c r="B911" s="12" t="s">
        <v>58</v>
      </c>
      <c r="C911" s="12" t="s">
        <v>59</v>
      </c>
      <c r="D911" s="12" t="s">
        <v>45</v>
      </c>
      <c r="E911" s="16" t="n">
        <v>52.023585</v>
      </c>
      <c r="F911" s="16" t="n">
        <v>48.160381</v>
      </c>
      <c r="G911" s="16" t="n">
        <v>15.266228</v>
      </c>
    </row>
    <row r="912" customFormat="false" ht="15" hidden="false" customHeight="false" outlineLevel="0" collapsed="false">
      <c r="A912" s="7" t="n">
        <v>2007</v>
      </c>
      <c r="B912" s="12" t="s">
        <v>60</v>
      </c>
      <c r="C912" s="12" t="s">
        <v>59</v>
      </c>
      <c r="D912" s="12" t="s">
        <v>49</v>
      </c>
      <c r="E912" s="16" t="n">
        <v>409.888915</v>
      </c>
      <c r="F912" s="16" t="n">
        <v>0</v>
      </c>
      <c r="G912" s="16" t="n">
        <v>82.635744</v>
      </c>
    </row>
    <row r="913" customFormat="false" ht="15" hidden="false" customHeight="false" outlineLevel="0" collapsed="false">
      <c r="A913" s="7" t="n">
        <v>2007</v>
      </c>
      <c r="B913" s="12" t="s">
        <v>60</v>
      </c>
      <c r="C913" s="12" t="s">
        <v>59</v>
      </c>
      <c r="D913" s="12" t="s">
        <v>48</v>
      </c>
      <c r="E913" s="16" t="n">
        <v>231.433191</v>
      </c>
      <c r="F913" s="16" t="n">
        <v>0</v>
      </c>
      <c r="G913" s="16" t="n">
        <v>0</v>
      </c>
    </row>
    <row r="914" customFormat="false" ht="15" hidden="false" customHeight="false" outlineLevel="0" collapsed="false">
      <c r="A914" s="7" t="n">
        <v>2007</v>
      </c>
      <c r="B914" s="12" t="s">
        <v>60</v>
      </c>
      <c r="C914" s="12" t="s">
        <v>59</v>
      </c>
      <c r="D914" s="12" t="s">
        <v>46</v>
      </c>
      <c r="E914" s="16" t="n">
        <v>372.46083</v>
      </c>
      <c r="F914" s="16" t="n">
        <v>0</v>
      </c>
      <c r="G914" s="16" t="n">
        <v>275.411541</v>
      </c>
    </row>
    <row r="915" customFormat="false" ht="15" hidden="false" customHeight="false" outlineLevel="0" collapsed="false">
      <c r="A915" s="7" t="n">
        <v>2007</v>
      </c>
      <c r="B915" s="12" t="s">
        <v>60</v>
      </c>
      <c r="C915" s="12" t="s">
        <v>59</v>
      </c>
      <c r="D915" s="12" t="s">
        <v>47</v>
      </c>
      <c r="E915" s="16" t="n">
        <v>0.407181</v>
      </c>
      <c r="F915" s="16" t="n">
        <v>0</v>
      </c>
      <c r="G915" s="16" t="n">
        <v>0</v>
      </c>
    </row>
    <row r="916" customFormat="false" ht="15" hidden="false" customHeight="false" outlineLevel="0" collapsed="false">
      <c r="A916" s="7" t="n">
        <v>2007</v>
      </c>
      <c r="B916" s="12" t="s">
        <v>60</v>
      </c>
      <c r="C916" s="12" t="s">
        <v>59</v>
      </c>
      <c r="D916" s="12" t="s">
        <v>45</v>
      </c>
      <c r="E916" s="16" t="n">
        <v>239.667042</v>
      </c>
      <c r="F916" s="16" t="n">
        <v>2.040668</v>
      </c>
      <c r="G916" s="16" t="n">
        <v>42.069152</v>
      </c>
    </row>
    <row r="917" customFormat="false" ht="15" hidden="false" customHeight="false" outlineLevel="0" collapsed="false">
      <c r="A917" s="7" t="n">
        <v>2007</v>
      </c>
      <c r="B917" s="12" t="s">
        <v>61</v>
      </c>
      <c r="C917" s="12" t="s">
        <v>62</v>
      </c>
      <c r="D917" s="12" t="s">
        <v>49</v>
      </c>
      <c r="E917" s="16" t="n">
        <v>168.004129</v>
      </c>
      <c r="F917" s="16" t="n">
        <v>0</v>
      </c>
      <c r="G917" s="16" t="n">
        <v>25.488407</v>
      </c>
    </row>
    <row r="918" customFormat="false" ht="15" hidden="false" customHeight="false" outlineLevel="0" collapsed="false">
      <c r="A918" s="7" t="n">
        <v>2007</v>
      </c>
      <c r="B918" s="12" t="s">
        <v>61</v>
      </c>
      <c r="C918" s="12" t="s">
        <v>62</v>
      </c>
      <c r="D918" s="12" t="s">
        <v>48</v>
      </c>
      <c r="E918" s="16" t="n">
        <v>87.23593</v>
      </c>
      <c r="F918" s="16" t="n">
        <v>0</v>
      </c>
      <c r="G918" s="16" t="n">
        <v>0</v>
      </c>
    </row>
    <row r="919" customFormat="false" ht="15" hidden="false" customHeight="false" outlineLevel="0" collapsed="false">
      <c r="A919" s="7" t="n">
        <v>2007</v>
      </c>
      <c r="B919" s="12" t="s">
        <v>61</v>
      </c>
      <c r="C919" s="12" t="s">
        <v>62</v>
      </c>
      <c r="D919" s="12" t="s">
        <v>46</v>
      </c>
      <c r="E919" s="16" t="n">
        <v>150.721106</v>
      </c>
      <c r="F919" s="16" t="n">
        <v>0</v>
      </c>
      <c r="G919" s="16" t="n">
        <v>131.624604</v>
      </c>
    </row>
    <row r="920" customFormat="false" ht="15" hidden="false" customHeight="false" outlineLevel="0" collapsed="false">
      <c r="A920" s="7" t="n">
        <v>2007</v>
      </c>
      <c r="B920" s="12" t="s">
        <v>61</v>
      </c>
      <c r="C920" s="12" t="s">
        <v>62</v>
      </c>
      <c r="D920" s="12" t="s">
        <v>47</v>
      </c>
      <c r="E920" s="16" t="n">
        <v>0</v>
      </c>
      <c r="F920" s="16" t="n">
        <v>0</v>
      </c>
      <c r="G920" s="16" t="n">
        <v>9.190386</v>
      </c>
    </row>
    <row r="921" customFormat="false" ht="15" hidden="false" customHeight="false" outlineLevel="0" collapsed="false">
      <c r="A921" s="7" t="n">
        <v>2007</v>
      </c>
      <c r="B921" s="12" t="s">
        <v>61</v>
      </c>
      <c r="C921" s="12" t="s">
        <v>62</v>
      </c>
      <c r="D921" s="12" t="s">
        <v>45</v>
      </c>
      <c r="E921" s="16" t="n">
        <v>120.150023</v>
      </c>
      <c r="F921" s="16" t="n">
        <v>120.150023</v>
      </c>
      <c r="G921" s="16" t="n">
        <v>0</v>
      </c>
    </row>
    <row r="922" customFormat="false" ht="15" hidden="false" customHeight="false" outlineLevel="0" collapsed="false">
      <c r="A922" s="7" t="n">
        <v>2007</v>
      </c>
      <c r="B922" s="12" t="s">
        <v>63</v>
      </c>
      <c r="C922" s="12" t="s">
        <v>62</v>
      </c>
      <c r="D922" s="12" t="s">
        <v>49</v>
      </c>
      <c r="E922" s="16" t="n">
        <v>507.292699</v>
      </c>
      <c r="F922" s="16" t="n">
        <v>0</v>
      </c>
      <c r="G922" s="16" t="n">
        <v>68.839048</v>
      </c>
    </row>
    <row r="923" customFormat="false" ht="15" hidden="false" customHeight="false" outlineLevel="0" collapsed="false">
      <c r="A923" s="7" t="n">
        <v>2007</v>
      </c>
      <c r="B923" s="12" t="s">
        <v>63</v>
      </c>
      <c r="C923" s="12" t="s">
        <v>62</v>
      </c>
      <c r="D923" s="12" t="s">
        <v>48</v>
      </c>
      <c r="E923" s="16" t="n">
        <v>199.600118</v>
      </c>
      <c r="F923" s="16" t="n">
        <v>0</v>
      </c>
      <c r="G923" s="16" t="n">
        <v>0</v>
      </c>
    </row>
    <row r="924" customFormat="false" ht="15" hidden="false" customHeight="false" outlineLevel="0" collapsed="false">
      <c r="A924" s="7" t="n">
        <v>2007</v>
      </c>
      <c r="B924" s="12" t="s">
        <v>63</v>
      </c>
      <c r="C924" s="12" t="s">
        <v>62</v>
      </c>
      <c r="D924" s="12" t="s">
        <v>46</v>
      </c>
      <c r="E924" s="16" t="n">
        <v>255.312484</v>
      </c>
      <c r="F924" s="16" t="n">
        <v>0</v>
      </c>
      <c r="G924" s="16" t="n">
        <v>210.667895</v>
      </c>
    </row>
    <row r="925" customFormat="false" ht="15" hidden="false" customHeight="false" outlineLevel="0" collapsed="false">
      <c r="A925" s="7" t="n">
        <v>2007</v>
      </c>
      <c r="B925" s="12" t="s">
        <v>63</v>
      </c>
      <c r="C925" s="12" t="s">
        <v>62</v>
      </c>
      <c r="D925" s="12" t="s">
        <v>47</v>
      </c>
      <c r="E925" s="16" t="n">
        <v>9.85721</v>
      </c>
      <c r="F925" s="16" t="n">
        <v>0</v>
      </c>
      <c r="G925" s="16" t="n">
        <v>0</v>
      </c>
    </row>
    <row r="926" customFormat="false" ht="15" hidden="false" customHeight="false" outlineLevel="0" collapsed="false">
      <c r="A926" s="7" t="n">
        <v>2007</v>
      </c>
      <c r="B926" s="12" t="s">
        <v>63</v>
      </c>
      <c r="C926" s="12" t="s">
        <v>62</v>
      </c>
      <c r="D926" s="12" t="s">
        <v>45</v>
      </c>
      <c r="E926" s="16" t="n">
        <v>266.033572</v>
      </c>
      <c r="F926" s="16" t="n">
        <v>253.626626</v>
      </c>
      <c r="G926" s="16" t="n">
        <v>1.011717</v>
      </c>
    </row>
    <row r="927" customFormat="false" ht="15" hidden="false" customHeight="false" outlineLevel="0" collapsed="false">
      <c r="A927" s="7" t="n">
        <v>2007</v>
      </c>
      <c r="B927" s="12" t="s">
        <v>64</v>
      </c>
      <c r="C927" s="12" t="s">
        <v>65</v>
      </c>
      <c r="D927" s="12" t="s">
        <v>49</v>
      </c>
      <c r="E927" s="16" t="n">
        <v>263.364542</v>
      </c>
      <c r="F927" s="16" t="n">
        <v>0</v>
      </c>
      <c r="G927" s="16" t="n">
        <v>25.020876</v>
      </c>
    </row>
    <row r="928" customFormat="false" ht="15" hidden="false" customHeight="false" outlineLevel="0" collapsed="false">
      <c r="A928" s="7" t="n">
        <v>2007</v>
      </c>
      <c r="B928" s="12" t="s">
        <v>64</v>
      </c>
      <c r="C928" s="12" t="s">
        <v>65</v>
      </c>
      <c r="D928" s="12" t="s">
        <v>48</v>
      </c>
      <c r="E928" s="16" t="n">
        <v>60.887465</v>
      </c>
      <c r="F928" s="16" t="n">
        <v>0</v>
      </c>
      <c r="G928" s="16" t="n">
        <v>0</v>
      </c>
    </row>
    <row r="929" customFormat="false" ht="15" hidden="false" customHeight="false" outlineLevel="0" collapsed="false">
      <c r="A929" s="7" t="n">
        <v>2007</v>
      </c>
      <c r="B929" s="12" t="s">
        <v>64</v>
      </c>
      <c r="C929" s="12" t="s">
        <v>65</v>
      </c>
      <c r="D929" s="12" t="s">
        <v>46</v>
      </c>
      <c r="E929" s="16" t="n">
        <v>45.701434</v>
      </c>
      <c r="F929" s="16" t="n">
        <v>0</v>
      </c>
      <c r="G929" s="16" t="n">
        <v>74.22039</v>
      </c>
    </row>
    <row r="930" customFormat="false" ht="15" hidden="false" customHeight="false" outlineLevel="0" collapsed="false">
      <c r="A930" s="7" t="n">
        <v>2007</v>
      </c>
      <c r="B930" s="12" t="s">
        <v>64</v>
      </c>
      <c r="C930" s="12" t="s">
        <v>65</v>
      </c>
      <c r="D930" s="12" t="s">
        <v>47</v>
      </c>
      <c r="E930" s="16" t="n">
        <v>7.031872</v>
      </c>
      <c r="F930" s="16" t="n">
        <v>0</v>
      </c>
      <c r="G930" s="16" t="n">
        <v>0</v>
      </c>
    </row>
    <row r="931" customFormat="false" ht="15" hidden="false" customHeight="false" outlineLevel="0" collapsed="false">
      <c r="A931" s="7" t="n">
        <v>2007</v>
      </c>
      <c r="B931" s="12" t="s">
        <v>64</v>
      </c>
      <c r="C931" s="12" t="s">
        <v>65</v>
      </c>
      <c r="D931" s="12" t="s">
        <v>45</v>
      </c>
      <c r="E931" s="16" t="n">
        <v>32.611042</v>
      </c>
      <c r="F931" s="16" t="n">
        <v>1.803</v>
      </c>
      <c r="G931" s="16" t="n">
        <v>20.532361</v>
      </c>
    </row>
    <row r="932" customFormat="false" ht="15" hidden="false" customHeight="false" outlineLevel="0" collapsed="false">
      <c r="A932" s="7" t="n">
        <v>2007</v>
      </c>
      <c r="B932" s="12" t="s">
        <v>66</v>
      </c>
      <c r="C932" s="12" t="s">
        <v>67</v>
      </c>
      <c r="D932" s="12" t="s">
        <v>49</v>
      </c>
      <c r="E932" s="16" t="n">
        <v>123.237409</v>
      </c>
      <c r="F932" s="16" t="n">
        <v>0</v>
      </c>
      <c r="G932" s="16" t="n">
        <v>25.198942</v>
      </c>
    </row>
    <row r="933" customFormat="false" ht="15" hidden="false" customHeight="false" outlineLevel="0" collapsed="false">
      <c r="A933" s="7" t="n">
        <v>2007</v>
      </c>
      <c r="B933" s="12" t="s">
        <v>66</v>
      </c>
      <c r="C933" s="12" t="s">
        <v>67</v>
      </c>
      <c r="D933" s="12" t="s">
        <v>48</v>
      </c>
      <c r="E933" s="16" t="n">
        <v>25.106323</v>
      </c>
      <c r="F933" s="16" t="n">
        <v>0</v>
      </c>
      <c r="G933" s="16" t="n">
        <v>0</v>
      </c>
    </row>
    <row r="934" customFormat="false" ht="15" hidden="false" customHeight="false" outlineLevel="0" collapsed="false">
      <c r="A934" s="7" t="n">
        <v>2007</v>
      </c>
      <c r="B934" s="12" t="s">
        <v>66</v>
      </c>
      <c r="C934" s="12" t="s">
        <v>67</v>
      </c>
      <c r="D934" s="12" t="s">
        <v>46</v>
      </c>
      <c r="E934" s="16" t="n">
        <v>60.5483</v>
      </c>
      <c r="F934" s="16" t="n">
        <v>0</v>
      </c>
      <c r="G934" s="16" t="n">
        <v>37.722997</v>
      </c>
    </row>
    <row r="935" customFormat="false" ht="15" hidden="false" customHeight="false" outlineLevel="0" collapsed="false">
      <c r="A935" s="7" t="n">
        <v>2007</v>
      </c>
      <c r="B935" s="12" t="s">
        <v>66</v>
      </c>
      <c r="C935" s="12" t="s">
        <v>67</v>
      </c>
      <c r="D935" s="12" t="s">
        <v>47</v>
      </c>
      <c r="E935" s="16" t="n">
        <v>3.260954</v>
      </c>
      <c r="F935" s="16" t="n">
        <v>0</v>
      </c>
      <c r="G935" s="16" t="n">
        <v>0</v>
      </c>
    </row>
    <row r="936" customFormat="false" ht="15" hidden="false" customHeight="false" outlineLevel="0" collapsed="false">
      <c r="A936" s="7" t="n">
        <v>2007</v>
      </c>
      <c r="B936" s="12" t="s">
        <v>66</v>
      </c>
      <c r="C936" s="12" t="s">
        <v>67</v>
      </c>
      <c r="D936" s="12" t="s">
        <v>45</v>
      </c>
      <c r="E936" s="16" t="n">
        <v>-9.642848</v>
      </c>
      <c r="F936" s="16" t="n">
        <v>-34.541852</v>
      </c>
      <c r="G936" s="16" t="n">
        <v>17.882372</v>
      </c>
    </row>
    <row r="937" customFormat="false" ht="15" hidden="false" customHeight="false" outlineLevel="0" collapsed="false">
      <c r="A937" s="7" t="n">
        <v>2007</v>
      </c>
      <c r="B937" s="12" t="s">
        <v>68</v>
      </c>
      <c r="C937" s="12" t="s">
        <v>65</v>
      </c>
      <c r="D937" s="12" t="s">
        <v>49</v>
      </c>
      <c r="E937" s="16" t="n">
        <v>92.718691</v>
      </c>
      <c r="F937" s="16" t="n">
        <v>0</v>
      </c>
      <c r="G937" s="16" t="n">
        <v>10.280279</v>
      </c>
    </row>
    <row r="938" customFormat="false" ht="15" hidden="false" customHeight="false" outlineLevel="0" collapsed="false">
      <c r="A938" s="7" t="n">
        <v>2007</v>
      </c>
      <c r="B938" s="12" t="s">
        <v>68</v>
      </c>
      <c r="C938" s="12" t="s">
        <v>65</v>
      </c>
      <c r="D938" s="12" t="s">
        <v>48</v>
      </c>
      <c r="E938" s="16" t="n">
        <v>20.218335</v>
      </c>
      <c r="F938" s="16" t="n">
        <v>0</v>
      </c>
      <c r="G938" s="16" t="n">
        <v>0</v>
      </c>
    </row>
    <row r="939" customFormat="false" ht="15" hidden="false" customHeight="false" outlineLevel="0" collapsed="false">
      <c r="A939" s="7" t="n">
        <v>2007</v>
      </c>
      <c r="B939" s="12" t="s">
        <v>68</v>
      </c>
      <c r="C939" s="12" t="s">
        <v>65</v>
      </c>
      <c r="D939" s="12" t="s">
        <v>46</v>
      </c>
      <c r="E939" s="16" t="n">
        <v>31.630965</v>
      </c>
      <c r="F939" s="16" t="n">
        <v>0</v>
      </c>
      <c r="G939" s="16" t="n">
        <v>54.146078</v>
      </c>
    </row>
    <row r="940" customFormat="false" ht="15" hidden="false" customHeight="false" outlineLevel="0" collapsed="false">
      <c r="A940" s="7" t="n">
        <v>2007</v>
      </c>
      <c r="B940" s="12" t="s">
        <v>68</v>
      </c>
      <c r="C940" s="12" t="s">
        <v>65</v>
      </c>
      <c r="D940" s="12" t="s">
        <v>47</v>
      </c>
      <c r="E940" s="16" t="n">
        <v>0.117369</v>
      </c>
      <c r="F940" s="16" t="n">
        <v>0</v>
      </c>
      <c r="G940" s="16" t="n">
        <v>0</v>
      </c>
    </row>
    <row r="941" customFormat="false" ht="15" hidden="false" customHeight="false" outlineLevel="0" collapsed="false">
      <c r="A941" s="7" t="n">
        <v>2007</v>
      </c>
      <c r="B941" s="12" t="s">
        <v>68</v>
      </c>
      <c r="C941" s="12" t="s">
        <v>65</v>
      </c>
      <c r="D941" s="12" t="s">
        <v>45</v>
      </c>
      <c r="E941" s="16" t="n">
        <v>10.10808</v>
      </c>
      <c r="F941" s="16" t="n">
        <v>3.723853</v>
      </c>
      <c r="G941" s="16" t="n">
        <v>5.663838</v>
      </c>
    </row>
    <row r="942" customFormat="false" ht="15" hidden="false" customHeight="false" outlineLevel="0" collapsed="false">
      <c r="A942" s="7" t="n">
        <v>2007</v>
      </c>
      <c r="B942" s="12" t="s">
        <v>69</v>
      </c>
      <c r="C942" s="12" t="s">
        <v>70</v>
      </c>
      <c r="D942" s="12" t="s">
        <v>49</v>
      </c>
      <c r="E942" s="16" t="n">
        <v>79.901236</v>
      </c>
      <c r="F942" s="16" t="n">
        <v>0</v>
      </c>
      <c r="G942" s="16" t="n">
        <v>21.835487</v>
      </c>
    </row>
    <row r="943" customFormat="false" ht="15" hidden="false" customHeight="false" outlineLevel="0" collapsed="false">
      <c r="A943" s="7" t="n">
        <v>2007</v>
      </c>
      <c r="B943" s="12" t="s">
        <v>69</v>
      </c>
      <c r="C943" s="12" t="s">
        <v>70</v>
      </c>
      <c r="D943" s="12" t="s">
        <v>48</v>
      </c>
      <c r="E943" s="16" t="n">
        <v>49.993173</v>
      </c>
      <c r="F943" s="16" t="n">
        <v>0</v>
      </c>
      <c r="G943" s="16" t="n">
        <v>0</v>
      </c>
    </row>
    <row r="944" customFormat="false" ht="15" hidden="false" customHeight="false" outlineLevel="0" collapsed="false">
      <c r="A944" s="7" t="n">
        <v>2007</v>
      </c>
      <c r="B944" s="12" t="s">
        <v>69</v>
      </c>
      <c r="C944" s="12" t="s">
        <v>70</v>
      </c>
      <c r="D944" s="12" t="s">
        <v>46</v>
      </c>
      <c r="E944" s="16" t="n">
        <v>31.597012</v>
      </c>
      <c r="F944" s="16" t="n">
        <v>0</v>
      </c>
      <c r="G944" s="16" t="n">
        <v>41.914587</v>
      </c>
    </row>
    <row r="945" customFormat="false" ht="15" hidden="false" customHeight="false" outlineLevel="0" collapsed="false">
      <c r="A945" s="7" t="n">
        <v>2007</v>
      </c>
      <c r="B945" s="12" t="s">
        <v>69</v>
      </c>
      <c r="C945" s="12" t="s">
        <v>70</v>
      </c>
      <c r="D945" s="12" t="s">
        <v>47</v>
      </c>
      <c r="E945" s="16" t="n">
        <v>3.189049</v>
      </c>
      <c r="F945" s="16" t="n">
        <v>0</v>
      </c>
      <c r="G945" s="16" t="n">
        <v>0</v>
      </c>
    </row>
    <row r="946" customFormat="false" ht="15" hidden="false" customHeight="false" outlineLevel="0" collapsed="false">
      <c r="A946" s="7" t="n">
        <v>2007</v>
      </c>
      <c r="B946" s="12" t="s">
        <v>69</v>
      </c>
      <c r="C946" s="12" t="s">
        <v>70</v>
      </c>
      <c r="D946" s="12" t="s">
        <v>45</v>
      </c>
      <c r="E946" s="16" t="n">
        <v>25.798678</v>
      </c>
      <c r="F946" s="16" t="n">
        <v>11.784338</v>
      </c>
      <c r="G946" s="16" t="n">
        <v>15.023491</v>
      </c>
    </row>
    <row r="947" customFormat="false" ht="15" hidden="false" customHeight="false" outlineLevel="0" collapsed="false">
      <c r="A947" s="7" t="n">
        <v>2007</v>
      </c>
      <c r="B947" s="12" t="s">
        <v>71</v>
      </c>
      <c r="C947" s="12" t="s">
        <v>72</v>
      </c>
      <c r="D947" s="12" t="s">
        <v>49</v>
      </c>
      <c r="E947" s="16" t="n">
        <v>29.717766</v>
      </c>
      <c r="F947" s="16" t="n">
        <v>0</v>
      </c>
      <c r="G947" s="16" t="n">
        <v>1.547727</v>
      </c>
    </row>
    <row r="948" customFormat="false" ht="15" hidden="false" customHeight="false" outlineLevel="0" collapsed="false">
      <c r="A948" s="7" t="n">
        <v>2007</v>
      </c>
      <c r="B948" s="12" t="s">
        <v>71</v>
      </c>
      <c r="C948" s="12" t="s">
        <v>72</v>
      </c>
      <c r="D948" s="12" t="s">
        <v>48</v>
      </c>
      <c r="E948" s="16" t="n">
        <v>11.272675</v>
      </c>
      <c r="F948" s="16" t="n">
        <v>0</v>
      </c>
      <c r="G948" s="16" t="n">
        <v>0</v>
      </c>
    </row>
    <row r="949" customFormat="false" ht="15" hidden="false" customHeight="false" outlineLevel="0" collapsed="false">
      <c r="A949" s="7" t="n">
        <v>2007</v>
      </c>
      <c r="B949" s="12" t="s">
        <v>71</v>
      </c>
      <c r="C949" s="12" t="s">
        <v>72</v>
      </c>
      <c r="D949" s="12" t="s">
        <v>46</v>
      </c>
      <c r="E949" s="16" t="n">
        <v>12.313681</v>
      </c>
      <c r="F949" s="16" t="n">
        <v>0</v>
      </c>
      <c r="G949" s="16" t="n">
        <v>10.369346</v>
      </c>
    </row>
    <row r="950" customFormat="false" ht="15" hidden="false" customHeight="false" outlineLevel="0" collapsed="false">
      <c r="A950" s="7" t="n">
        <v>2007</v>
      </c>
      <c r="B950" s="12" t="s">
        <v>71</v>
      </c>
      <c r="C950" s="12" t="s">
        <v>72</v>
      </c>
      <c r="D950" s="12" t="s">
        <v>45</v>
      </c>
      <c r="E950" s="16" t="n">
        <v>19.814365</v>
      </c>
      <c r="F950" s="16" t="n">
        <v>19.809852</v>
      </c>
      <c r="G950" s="16" t="n">
        <v>0.552255</v>
      </c>
    </row>
    <row r="951" customFormat="false" ht="15" hidden="false" customHeight="false" outlineLevel="0" collapsed="false">
      <c r="A951" s="7" t="n">
        <v>2007</v>
      </c>
      <c r="B951" s="12" t="s">
        <v>73</v>
      </c>
      <c r="C951" s="12" t="s">
        <v>70</v>
      </c>
      <c r="D951" s="12" t="s">
        <v>49</v>
      </c>
      <c r="E951" s="16" t="n">
        <v>94.960398</v>
      </c>
      <c r="F951" s="16" t="n">
        <v>0</v>
      </c>
      <c r="G951" s="16" t="n">
        <v>15.049593</v>
      </c>
    </row>
    <row r="952" customFormat="false" ht="15" hidden="false" customHeight="false" outlineLevel="0" collapsed="false">
      <c r="A952" s="7" t="n">
        <v>2007</v>
      </c>
      <c r="B952" s="12" t="s">
        <v>73</v>
      </c>
      <c r="C952" s="12" t="s">
        <v>70</v>
      </c>
      <c r="D952" s="12" t="s">
        <v>48</v>
      </c>
      <c r="E952" s="16" t="n">
        <v>70.514889</v>
      </c>
      <c r="F952" s="16" t="n">
        <v>0</v>
      </c>
      <c r="G952" s="16" t="n">
        <v>0</v>
      </c>
    </row>
    <row r="953" customFormat="false" ht="15" hidden="false" customHeight="false" outlineLevel="0" collapsed="false">
      <c r="A953" s="7" t="n">
        <v>2007</v>
      </c>
      <c r="B953" s="12" t="s">
        <v>73</v>
      </c>
      <c r="C953" s="12" t="s">
        <v>70</v>
      </c>
      <c r="D953" s="12" t="s">
        <v>46</v>
      </c>
      <c r="E953" s="16" t="n">
        <v>106.797941</v>
      </c>
      <c r="F953" s="16" t="n">
        <v>0</v>
      </c>
      <c r="G953" s="16" t="n">
        <v>52.973269</v>
      </c>
    </row>
    <row r="954" customFormat="false" ht="15" hidden="false" customHeight="false" outlineLevel="0" collapsed="false">
      <c r="A954" s="7" t="n">
        <v>2007</v>
      </c>
      <c r="B954" s="12" t="s">
        <v>73</v>
      </c>
      <c r="C954" s="12" t="s">
        <v>70</v>
      </c>
      <c r="D954" s="12" t="s">
        <v>45</v>
      </c>
      <c r="E954" s="16" t="n">
        <v>36.06849</v>
      </c>
      <c r="F954" s="16" t="n">
        <v>24.642758</v>
      </c>
      <c r="G954" s="16" t="n">
        <v>10.817986</v>
      </c>
    </row>
    <row r="955" customFormat="false" ht="15" hidden="false" customHeight="false" outlineLevel="0" collapsed="false">
      <c r="A955" s="7" t="n">
        <v>2007</v>
      </c>
      <c r="B955" s="12" t="s">
        <v>74</v>
      </c>
      <c r="C955" s="12" t="s">
        <v>65</v>
      </c>
      <c r="D955" s="12" t="s">
        <v>49</v>
      </c>
      <c r="E955" s="16" t="n">
        <v>104.773221</v>
      </c>
      <c r="F955" s="16" t="n">
        <v>0</v>
      </c>
      <c r="G955" s="16" t="n">
        <v>14.801658</v>
      </c>
    </row>
    <row r="956" customFormat="false" ht="15" hidden="false" customHeight="false" outlineLevel="0" collapsed="false">
      <c r="A956" s="7" t="n">
        <v>2007</v>
      </c>
      <c r="B956" s="12" t="s">
        <v>74</v>
      </c>
      <c r="C956" s="12" t="s">
        <v>65</v>
      </c>
      <c r="D956" s="12" t="s">
        <v>48</v>
      </c>
      <c r="E956" s="16" t="n">
        <v>17.508064</v>
      </c>
      <c r="F956" s="16" t="n">
        <v>0</v>
      </c>
      <c r="G956" s="16" t="n">
        <v>0</v>
      </c>
    </row>
    <row r="957" customFormat="false" ht="15" hidden="false" customHeight="false" outlineLevel="0" collapsed="false">
      <c r="A957" s="7" t="n">
        <v>2007</v>
      </c>
      <c r="B957" s="12" t="s">
        <v>74</v>
      </c>
      <c r="C957" s="12" t="s">
        <v>65</v>
      </c>
      <c r="D957" s="12" t="s">
        <v>46</v>
      </c>
      <c r="E957" s="16" t="n">
        <v>38.624848</v>
      </c>
      <c r="F957" s="16" t="n">
        <v>0</v>
      </c>
      <c r="G957" s="16" t="n">
        <v>47.32861</v>
      </c>
    </row>
    <row r="958" customFormat="false" ht="15" hidden="false" customHeight="false" outlineLevel="0" collapsed="false">
      <c r="A958" s="7" t="n">
        <v>2007</v>
      </c>
      <c r="B958" s="12" t="s">
        <v>74</v>
      </c>
      <c r="C958" s="12" t="s">
        <v>65</v>
      </c>
      <c r="D958" s="12" t="s">
        <v>45</v>
      </c>
      <c r="E958" s="16" t="n">
        <v>14.767527</v>
      </c>
      <c r="F958" s="16" t="n">
        <v>0.197236</v>
      </c>
      <c r="G958" s="16" t="n">
        <v>21.176476</v>
      </c>
    </row>
    <row r="959" customFormat="false" ht="15" hidden="false" customHeight="false" outlineLevel="0" collapsed="false">
      <c r="A959" s="7" t="n">
        <v>2007</v>
      </c>
      <c r="B959" s="12" t="s">
        <v>75</v>
      </c>
      <c r="C959" s="12" t="s">
        <v>57</v>
      </c>
      <c r="D959" s="12" t="s">
        <v>49</v>
      </c>
      <c r="E959" s="16" t="n">
        <v>161.797527</v>
      </c>
      <c r="F959" s="16" t="n">
        <v>0</v>
      </c>
      <c r="G959" s="16" t="n">
        <v>45.886056</v>
      </c>
    </row>
    <row r="960" customFormat="false" ht="15" hidden="false" customHeight="false" outlineLevel="0" collapsed="false">
      <c r="A960" s="7" t="n">
        <v>2007</v>
      </c>
      <c r="B960" s="12" t="s">
        <v>75</v>
      </c>
      <c r="C960" s="12" t="s">
        <v>57</v>
      </c>
      <c r="D960" s="12" t="s">
        <v>48</v>
      </c>
      <c r="E960" s="16" t="n">
        <v>132.13971</v>
      </c>
      <c r="F960" s="16" t="n">
        <v>0</v>
      </c>
      <c r="G960" s="16" t="n">
        <v>0</v>
      </c>
    </row>
    <row r="961" customFormat="false" ht="15" hidden="false" customHeight="false" outlineLevel="0" collapsed="false">
      <c r="A961" s="7" t="n">
        <v>2007</v>
      </c>
      <c r="B961" s="12" t="s">
        <v>75</v>
      </c>
      <c r="C961" s="12" t="s">
        <v>57</v>
      </c>
      <c r="D961" s="12" t="s">
        <v>46</v>
      </c>
      <c r="E961" s="16" t="n">
        <v>100.502703</v>
      </c>
      <c r="F961" s="16" t="n">
        <v>0</v>
      </c>
      <c r="G961" s="16" t="n">
        <v>81.450816</v>
      </c>
    </row>
    <row r="962" customFormat="false" ht="15" hidden="false" customHeight="false" outlineLevel="0" collapsed="false">
      <c r="A962" s="7" t="n">
        <v>2007</v>
      </c>
      <c r="B962" s="12" t="s">
        <v>75</v>
      </c>
      <c r="C962" s="12" t="s">
        <v>57</v>
      </c>
      <c r="D962" s="12" t="s">
        <v>47</v>
      </c>
      <c r="E962" s="16" t="n">
        <v>9.712924</v>
      </c>
      <c r="F962" s="16" t="n">
        <v>0</v>
      </c>
      <c r="G962" s="16" t="n">
        <v>0</v>
      </c>
    </row>
    <row r="963" customFormat="false" ht="15" hidden="false" customHeight="false" outlineLevel="0" collapsed="false">
      <c r="A963" s="7" t="n">
        <v>2007</v>
      </c>
      <c r="B963" s="12" t="s">
        <v>75</v>
      </c>
      <c r="C963" s="12" t="s">
        <v>57</v>
      </c>
      <c r="D963" s="12" t="s">
        <v>45</v>
      </c>
      <c r="E963" s="16" t="n">
        <v>133.902663</v>
      </c>
      <c r="F963" s="16" t="n">
        <v>56.327514</v>
      </c>
      <c r="G963" s="16" t="n">
        <v>34.126416</v>
      </c>
    </row>
    <row r="964" customFormat="false" ht="15" hidden="false" customHeight="false" outlineLevel="0" collapsed="false">
      <c r="A964" s="7" t="n">
        <v>2007</v>
      </c>
      <c r="B964" s="12" t="s">
        <v>76</v>
      </c>
      <c r="C964" s="12" t="s">
        <v>72</v>
      </c>
      <c r="D964" s="12" t="s">
        <v>49</v>
      </c>
      <c r="E964" s="16" t="n">
        <v>29.75369</v>
      </c>
      <c r="F964" s="16" t="n">
        <v>0</v>
      </c>
      <c r="G964" s="16" t="n">
        <v>8.349476</v>
      </c>
    </row>
    <row r="965" customFormat="false" ht="15" hidden="false" customHeight="false" outlineLevel="0" collapsed="false">
      <c r="A965" s="7" t="n">
        <v>2007</v>
      </c>
      <c r="B965" s="12" t="s">
        <v>76</v>
      </c>
      <c r="C965" s="12" t="s">
        <v>72</v>
      </c>
      <c r="D965" s="12" t="s">
        <v>48</v>
      </c>
      <c r="E965" s="16" t="n">
        <v>18.727741</v>
      </c>
      <c r="F965" s="16" t="n">
        <v>0</v>
      </c>
      <c r="G965" s="16" t="n">
        <v>0</v>
      </c>
    </row>
    <row r="966" customFormat="false" ht="15" hidden="false" customHeight="false" outlineLevel="0" collapsed="false">
      <c r="A966" s="7" t="n">
        <v>2007</v>
      </c>
      <c r="B966" s="12" t="s">
        <v>76</v>
      </c>
      <c r="C966" s="12" t="s">
        <v>72</v>
      </c>
      <c r="D966" s="12" t="s">
        <v>46</v>
      </c>
      <c r="E966" s="16" t="n">
        <v>20.750545</v>
      </c>
      <c r="F966" s="16" t="n">
        <v>0</v>
      </c>
      <c r="G966" s="16" t="n">
        <v>18.778629</v>
      </c>
    </row>
    <row r="967" customFormat="false" ht="15" hidden="false" customHeight="false" outlineLevel="0" collapsed="false">
      <c r="A967" s="7" t="n">
        <v>2007</v>
      </c>
      <c r="B967" s="12" t="s">
        <v>76</v>
      </c>
      <c r="C967" s="12" t="s">
        <v>72</v>
      </c>
      <c r="D967" s="12" t="s">
        <v>45</v>
      </c>
      <c r="E967" s="16" t="n">
        <v>34.200118</v>
      </c>
      <c r="F967" s="16" t="n">
        <v>0</v>
      </c>
      <c r="G967" s="16" t="n">
        <v>10.779493</v>
      </c>
    </row>
    <row r="968" customFormat="false" ht="15" hidden="false" customHeight="false" outlineLevel="0" collapsed="false">
      <c r="A968" s="7" t="n">
        <v>2007</v>
      </c>
      <c r="B968" s="12" t="s">
        <v>77</v>
      </c>
      <c r="C968" s="12" t="s">
        <v>57</v>
      </c>
      <c r="D968" s="12" t="s">
        <v>49</v>
      </c>
      <c r="E968" s="16" t="n">
        <v>32.629723</v>
      </c>
      <c r="F968" s="16" t="n">
        <v>0</v>
      </c>
      <c r="G968" s="16" t="n">
        <v>2.90407</v>
      </c>
    </row>
    <row r="969" customFormat="false" ht="15" hidden="false" customHeight="false" outlineLevel="0" collapsed="false">
      <c r="A969" s="7" t="n">
        <v>2007</v>
      </c>
      <c r="B969" s="12" t="s">
        <v>77</v>
      </c>
      <c r="C969" s="12" t="s">
        <v>57</v>
      </c>
      <c r="D969" s="12" t="s">
        <v>48</v>
      </c>
      <c r="E969" s="16" t="n">
        <v>17.170198</v>
      </c>
      <c r="F969" s="16" t="n">
        <v>0</v>
      </c>
      <c r="G969" s="16" t="n">
        <v>0</v>
      </c>
    </row>
    <row r="970" customFormat="false" ht="15" hidden="false" customHeight="false" outlineLevel="0" collapsed="false">
      <c r="A970" s="7" t="n">
        <v>2007</v>
      </c>
      <c r="B970" s="12" t="s">
        <v>77</v>
      </c>
      <c r="C970" s="12" t="s">
        <v>57</v>
      </c>
      <c r="D970" s="12" t="s">
        <v>46</v>
      </c>
      <c r="E970" s="16" t="n">
        <v>14.686349</v>
      </c>
      <c r="F970" s="16" t="n">
        <v>0</v>
      </c>
      <c r="G970" s="16" t="n">
        <v>8.775975</v>
      </c>
    </row>
    <row r="971" customFormat="false" ht="15" hidden="false" customHeight="false" outlineLevel="0" collapsed="false">
      <c r="A971" s="7" t="n">
        <v>2007</v>
      </c>
      <c r="B971" s="12" t="s">
        <v>77</v>
      </c>
      <c r="C971" s="12" t="s">
        <v>57</v>
      </c>
      <c r="D971" s="12" t="s">
        <v>47</v>
      </c>
      <c r="E971" s="16" t="n">
        <v>1.491172</v>
      </c>
      <c r="F971" s="16" t="n">
        <v>0</v>
      </c>
      <c r="G971" s="16" t="n">
        <v>0</v>
      </c>
    </row>
    <row r="972" customFormat="false" ht="15" hidden="false" customHeight="false" outlineLevel="0" collapsed="false">
      <c r="A972" s="7" t="n">
        <v>2007</v>
      </c>
      <c r="B972" s="12" t="s">
        <v>77</v>
      </c>
      <c r="C972" s="12" t="s">
        <v>57</v>
      </c>
      <c r="D972" s="12" t="s">
        <v>45</v>
      </c>
      <c r="E972" s="16" t="n">
        <v>9.00182</v>
      </c>
      <c r="F972" s="16" t="n">
        <v>0.010283</v>
      </c>
      <c r="G972" s="16" t="n">
        <v>3.946009</v>
      </c>
    </row>
    <row r="973" customFormat="false" ht="15" hidden="false" customHeight="false" outlineLevel="0" collapsed="false">
      <c r="A973" s="7" t="n">
        <v>2007</v>
      </c>
      <c r="B973" s="12" t="s">
        <v>78</v>
      </c>
      <c r="C973" s="12" t="s">
        <v>65</v>
      </c>
      <c r="D973" s="12" t="s">
        <v>49</v>
      </c>
      <c r="E973" s="16" t="n">
        <v>33.162654</v>
      </c>
      <c r="F973" s="16" t="n">
        <v>0</v>
      </c>
      <c r="G973" s="16" t="n">
        <v>1.808894</v>
      </c>
    </row>
    <row r="974" customFormat="false" ht="15" hidden="false" customHeight="false" outlineLevel="0" collapsed="false">
      <c r="A974" s="7" t="n">
        <v>2007</v>
      </c>
      <c r="B974" s="12" t="s">
        <v>78</v>
      </c>
      <c r="C974" s="12" t="s">
        <v>65</v>
      </c>
      <c r="D974" s="12" t="s">
        <v>48</v>
      </c>
      <c r="E974" s="16" t="n">
        <v>7.566806</v>
      </c>
      <c r="F974" s="16" t="n">
        <v>0</v>
      </c>
      <c r="G974" s="16" t="n">
        <v>0</v>
      </c>
    </row>
    <row r="975" customFormat="false" ht="15" hidden="false" customHeight="false" outlineLevel="0" collapsed="false">
      <c r="A975" s="7" t="n">
        <v>2007</v>
      </c>
      <c r="B975" s="12" t="s">
        <v>78</v>
      </c>
      <c r="C975" s="12" t="s">
        <v>65</v>
      </c>
      <c r="D975" s="12" t="s">
        <v>46</v>
      </c>
      <c r="E975" s="16" t="n">
        <v>9.584084</v>
      </c>
      <c r="F975" s="16" t="n">
        <v>0</v>
      </c>
      <c r="G975" s="16" t="n">
        <v>12.252209</v>
      </c>
    </row>
    <row r="976" customFormat="false" ht="15" hidden="false" customHeight="false" outlineLevel="0" collapsed="false">
      <c r="A976" s="7" t="n">
        <v>2007</v>
      </c>
      <c r="B976" s="12" t="s">
        <v>78</v>
      </c>
      <c r="C976" s="12" t="s">
        <v>65</v>
      </c>
      <c r="D976" s="12" t="s">
        <v>45</v>
      </c>
      <c r="E976" s="16" t="n">
        <v>3.751863</v>
      </c>
      <c r="F976" s="16" t="n">
        <v>0</v>
      </c>
      <c r="G976" s="16" t="n">
        <v>5.289758</v>
      </c>
    </row>
    <row r="977" customFormat="false" ht="15" hidden="false" customHeight="false" outlineLevel="0" collapsed="false">
      <c r="A977" s="7" t="n">
        <v>2007</v>
      </c>
      <c r="B977" s="12" t="s">
        <v>79</v>
      </c>
      <c r="C977" s="12" t="s">
        <v>72</v>
      </c>
      <c r="D977" s="12" t="s">
        <v>49</v>
      </c>
      <c r="E977" s="16" t="n">
        <v>163.813267</v>
      </c>
      <c r="F977" s="16" t="n">
        <v>0</v>
      </c>
      <c r="G977" s="16" t="n">
        <v>19.48335</v>
      </c>
    </row>
    <row r="978" customFormat="false" ht="15" hidden="false" customHeight="false" outlineLevel="0" collapsed="false">
      <c r="A978" s="7" t="n">
        <v>2007</v>
      </c>
      <c r="B978" s="12" t="s">
        <v>79</v>
      </c>
      <c r="C978" s="12" t="s">
        <v>72</v>
      </c>
      <c r="D978" s="12" t="s">
        <v>48</v>
      </c>
      <c r="E978" s="16" t="n">
        <v>79.016922</v>
      </c>
      <c r="F978" s="16" t="n">
        <v>0</v>
      </c>
      <c r="G978" s="16" t="n">
        <v>0</v>
      </c>
    </row>
    <row r="979" customFormat="false" ht="15" hidden="false" customHeight="false" outlineLevel="0" collapsed="false">
      <c r="A979" s="7" t="n">
        <v>2007</v>
      </c>
      <c r="B979" s="12" t="s">
        <v>79</v>
      </c>
      <c r="C979" s="12" t="s">
        <v>72</v>
      </c>
      <c r="D979" s="12" t="s">
        <v>46</v>
      </c>
      <c r="E979" s="16" t="n">
        <v>73.13665</v>
      </c>
      <c r="F979" s="16" t="n">
        <v>0</v>
      </c>
      <c r="G979" s="16" t="n">
        <v>90.619748</v>
      </c>
    </row>
    <row r="980" customFormat="false" ht="15" hidden="false" customHeight="false" outlineLevel="0" collapsed="false">
      <c r="A980" s="7" t="n">
        <v>2007</v>
      </c>
      <c r="B980" s="12" t="s">
        <v>79</v>
      </c>
      <c r="C980" s="12" t="s">
        <v>72</v>
      </c>
      <c r="D980" s="12" t="s">
        <v>47</v>
      </c>
      <c r="E980" s="16" t="n">
        <v>0.028902</v>
      </c>
      <c r="F980" s="16" t="n">
        <v>0</v>
      </c>
      <c r="G980" s="16" t="n">
        <v>0</v>
      </c>
    </row>
    <row r="981" customFormat="false" ht="15" hidden="false" customHeight="false" outlineLevel="0" collapsed="false">
      <c r="A981" s="7" t="n">
        <v>2007</v>
      </c>
      <c r="B981" s="12" t="s">
        <v>79</v>
      </c>
      <c r="C981" s="12" t="s">
        <v>72</v>
      </c>
      <c r="D981" s="12" t="s">
        <v>45</v>
      </c>
      <c r="E981" s="16" t="n">
        <v>173.766729</v>
      </c>
      <c r="F981" s="16" t="n">
        <v>171.682483</v>
      </c>
      <c r="G981" s="16" t="n">
        <v>0</v>
      </c>
    </row>
    <row r="982" customFormat="false" ht="15" hidden="false" customHeight="false" outlineLevel="0" collapsed="false">
      <c r="A982" s="7" t="n">
        <v>2007</v>
      </c>
      <c r="B982" s="12" t="s">
        <v>80</v>
      </c>
      <c r="C982" s="12" t="s">
        <v>72</v>
      </c>
      <c r="D982" s="12" t="s">
        <v>49</v>
      </c>
      <c r="E982" s="16" t="n">
        <v>69.346256</v>
      </c>
      <c r="F982" s="16" t="n">
        <v>0</v>
      </c>
      <c r="G982" s="16" t="n">
        <v>17.191194</v>
      </c>
    </row>
    <row r="983" customFormat="false" ht="15" hidden="false" customHeight="false" outlineLevel="0" collapsed="false">
      <c r="A983" s="7" t="n">
        <v>2007</v>
      </c>
      <c r="B983" s="12" t="s">
        <v>80</v>
      </c>
      <c r="C983" s="12" t="s">
        <v>72</v>
      </c>
      <c r="D983" s="12" t="s">
        <v>48</v>
      </c>
      <c r="E983" s="16" t="n">
        <v>48.458264</v>
      </c>
      <c r="F983" s="16" t="n">
        <v>0</v>
      </c>
      <c r="G983" s="16" t="n">
        <v>0</v>
      </c>
    </row>
    <row r="984" customFormat="false" ht="15" hidden="false" customHeight="false" outlineLevel="0" collapsed="false">
      <c r="A984" s="7" t="n">
        <v>2007</v>
      </c>
      <c r="B984" s="12" t="s">
        <v>80</v>
      </c>
      <c r="C984" s="12" t="s">
        <v>72</v>
      </c>
      <c r="D984" s="12" t="s">
        <v>46</v>
      </c>
      <c r="E984" s="16" t="n">
        <v>25.543023</v>
      </c>
      <c r="F984" s="16" t="n">
        <v>0</v>
      </c>
      <c r="G984" s="16" t="n">
        <v>43.02305</v>
      </c>
    </row>
    <row r="985" customFormat="false" ht="15" hidden="false" customHeight="false" outlineLevel="0" collapsed="false">
      <c r="A985" s="7" t="n">
        <v>2007</v>
      </c>
      <c r="B985" s="12" t="s">
        <v>80</v>
      </c>
      <c r="C985" s="12" t="s">
        <v>72</v>
      </c>
      <c r="D985" s="12" t="s">
        <v>47</v>
      </c>
      <c r="E985" s="16" t="n">
        <v>2.079277</v>
      </c>
      <c r="F985" s="16" t="n">
        <v>0</v>
      </c>
      <c r="G985" s="16" t="n">
        <v>0</v>
      </c>
    </row>
    <row r="986" customFormat="false" ht="15" hidden="false" customHeight="false" outlineLevel="0" collapsed="false">
      <c r="A986" s="7" t="n">
        <v>2007</v>
      </c>
      <c r="B986" s="12" t="s">
        <v>80</v>
      </c>
      <c r="C986" s="12" t="s">
        <v>72</v>
      </c>
      <c r="D986" s="12" t="s">
        <v>45</v>
      </c>
      <c r="E986" s="16" t="n">
        <v>83.492795</v>
      </c>
      <c r="F986" s="16" t="n">
        <v>81.019073</v>
      </c>
      <c r="G986" s="16" t="n">
        <v>0</v>
      </c>
    </row>
    <row r="987" customFormat="false" ht="15" hidden="false" customHeight="false" outlineLevel="0" collapsed="false">
      <c r="A987" s="7" t="n">
        <v>2007</v>
      </c>
      <c r="B987" s="12" t="s">
        <v>81</v>
      </c>
      <c r="C987" s="12" t="s">
        <v>72</v>
      </c>
      <c r="D987" s="12" t="s">
        <v>49</v>
      </c>
      <c r="E987" s="16" t="n">
        <v>79.290982</v>
      </c>
      <c r="F987" s="16" t="n">
        <v>0</v>
      </c>
      <c r="G987" s="16" t="n">
        <v>20.604771</v>
      </c>
    </row>
    <row r="988" customFormat="false" ht="15" hidden="false" customHeight="false" outlineLevel="0" collapsed="false">
      <c r="A988" s="7" t="n">
        <v>2007</v>
      </c>
      <c r="B988" s="12" t="s">
        <v>81</v>
      </c>
      <c r="C988" s="12" t="s">
        <v>72</v>
      </c>
      <c r="D988" s="12" t="s">
        <v>48</v>
      </c>
      <c r="E988" s="16" t="n">
        <v>39.903586</v>
      </c>
      <c r="F988" s="16" t="n">
        <v>0</v>
      </c>
      <c r="G988" s="16" t="n">
        <v>0</v>
      </c>
    </row>
    <row r="989" customFormat="false" ht="15" hidden="false" customHeight="false" outlineLevel="0" collapsed="false">
      <c r="A989" s="7" t="n">
        <v>2007</v>
      </c>
      <c r="B989" s="12" t="s">
        <v>81</v>
      </c>
      <c r="C989" s="12" t="s">
        <v>72</v>
      </c>
      <c r="D989" s="12" t="s">
        <v>46</v>
      </c>
      <c r="E989" s="16" t="n">
        <v>44.840486</v>
      </c>
      <c r="F989" s="16" t="n">
        <v>0</v>
      </c>
      <c r="G989" s="16" t="n">
        <v>26.970303</v>
      </c>
    </row>
    <row r="990" customFormat="false" ht="15" hidden="false" customHeight="false" outlineLevel="0" collapsed="false">
      <c r="A990" s="7" t="n">
        <v>2007</v>
      </c>
      <c r="B990" s="12" t="s">
        <v>81</v>
      </c>
      <c r="C990" s="12" t="s">
        <v>72</v>
      </c>
      <c r="D990" s="12" t="s">
        <v>47</v>
      </c>
      <c r="E990" s="16" t="n">
        <v>2.042839</v>
      </c>
      <c r="F990" s="16" t="n">
        <v>0</v>
      </c>
      <c r="G990" s="16" t="n">
        <v>0</v>
      </c>
    </row>
    <row r="991" customFormat="false" ht="15" hidden="false" customHeight="false" outlineLevel="0" collapsed="false">
      <c r="A991" s="7" t="n">
        <v>2007</v>
      </c>
      <c r="B991" s="12" t="s">
        <v>81</v>
      </c>
      <c r="C991" s="12" t="s">
        <v>72</v>
      </c>
      <c r="D991" s="12" t="s">
        <v>45</v>
      </c>
      <c r="E991" s="16" t="n">
        <v>81.383447</v>
      </c>
      <c r="F991" s="16" t="n">
        <v>79.503533</v>
      </c>
      <c r="G991" s="16" t="n">
        <v>0</v>
      </c>
    </row>
    <row r="992" customFormat="false" ht="15" hidden="false" customHeight="false" outlineLevel="0" collapsed="false">
      <c r="A992" s="7" t="n">
        <v>2008</v>
      </c>
      <c r="B992" s="12" t="s">
        <v>56</v>
      </c>
      <c r="C992" s="12" t="s">
        <v>57</v>
      </c>
      <c r="D992" s="12" t="s">
        <v>49</v>
      </c>
      <c r="E992" s="16" t="n">
        <v>75.458134</v>
      </c>
      <c r="F992" s="16" t="n">
        <v>0</v>
      </c>
      <c r="G992" s="16" t="n">
        <v>6.116065</v>
      </c>
    </row>
    <row r="993" customFormat="false" ht="15" hidden="false" customHeight="false" outlineLevel="0" collapsed="false">
      <c r="A993" s="7" t="n">
        <v>2008</v>
      </c>
      <c r="B993" s="12" t="s">
        <v>56</v>
      </c>
      <c r="C993" s="12" t="s">
        <v>57</v>
      </c>
      <c r="D993" s="12" t="s">
        <v>48</v>
      </c>
      <c r="E993" s="16" t="n">
        <v>15.227888</v>
      </c>
      <c r="F993" s="16" t="n">
        <v>0</v>
      </c>
      <c r="G993" s="16" t="n">
        <v>0</v>
      </c>
    </row>
    <row r="994" customFormat="false" ht="15" hidden="false" customHeight="false" outlineLevel="0" collapsed="false">
      <c r="A994" s="7" t="n">
        <v>2008</v>
      </c>
      <c r="B994" s="12" t="s">
        <v>56</v>
      </c>
      <c r="C994" s="12" t="s">
        <v>57</v>
      </c>
      <c r="D994" s="12" t="s">
        <v>46</v>
      </c>
      <c r="E994" s="16" t="n">
        <v>21.018608</v>
      </c>
      <c r="F994" s="16" t="n">
        <v>0</v>
      </c>
      <c r="G994" s="16" t="n">
        <v>13.995745</v>
      </c>
    </row>
    <row r="995" customFormat="false" ht="15" hidden="false" customHeight="false" outlineLevel="0" collapsed="false">
      <c r="A995" s="7" t="n">
        <v>2008</v>
      </c>
      <c r="B995" s="12" t="s">
        <v>56</v>
      </c>
      <c r="C995" s="12" t="s">
        <v>57</v>
      </c>
      <c r="D995" s="12" t="s">
        <v>47</v>
      </c>
      <c r="E995" s="16" t="n">
        <v>0.083883</v>
      </c>
      <c r="F995" s="16" t="n">
        <v>0</v>
      </c>
      <c r="G995" s="16" t="n">
        <v>0</v>
      </c>
    </row>
    <row r="996" customFormat="false" ht="15" hidden="false" customHeight="false" outlineLevel="0" collapsed="false">
      <c r="A996" s="7" t="n">
        <v>2008</v>
      </c>
      <c r="B996" s="12" t="s">
        <v>56</v>
      </c>
      <c r="C996" s="12" t="s">
        <v>57</v>
      </c>
      <c r="D996" s="12" t="s">
        <v>45</v>
      </c>
      <c r="E996" s="16" t="n">
        <v>20.751001</v>
      </c>
      <c r="F996" s="16" t="n">
        <v>7.62938</v>
      </c>
      <c r="G996" s="16" t="n">
        <v>5.317846</v>
      </c>
    </row>
    <row r="997" customFormat="false" ht="15" hidden="false" customHeight="false" outlineLevel="0" collapsed="false">
      <c r="A997" s="7" t="n">
        <v>2008</v>
      </c>
      <c r="B997" s="12" t="s">
        <v>58</v>
      </c>
      <c r="C997" s="12" t="s">
        <v>59</v>
      </c>
      <c r="D997" s="12" t="s">
        <v>49</v>
      </c>
      <c r="E997" s="16" t="n">
        <v>161.929853</v>
      </c>
      <c r="F997" s="16" t="n">
        <v>0</v>
      </c>
      <c r="G997" s="16" t="n">
        <v>8.923783</v>
      </c>
    </row>
    <row r="998" customFormat="false" ht="15" hidden="false" customHeight="false" outlineLevel="0" collapsed="false">
      <c r="A998" s="7" t="n">
        <v>2008</v>
      </c>
      <c r="B998" s="12" t="s">
        <v>58</v>
      </c>
      <c r="C998" s="12" t="s">
        <v>59</v>
      </c>
      <c r="D998" s="12" t="s">
        <v>48</v>
      </c>
      <c r="E998" s="16" t="n">
        <v>75.173571</v>
      </c>
      <c r="F998" s="16" t="n">
        <v>0</v>
      </c>
      <c r="G998" s="16" t="n">
        <v>0</v>
      </c>
    </row>
    <row r="999" customFormat="false" ht="15" hidden="false" customHeight="false" outlineLevel="0" collapsed="false">
      <c r="A999" s="7" t="n">
        <v>2008</v>
      </c>
      <c r="B999" s="12" t="s">
        <v>58</v>
      </c>
      <c r="C999" s="12" t="s">
        <v>59</v>
      </c>
      <c r="D999" s="12" t="s">
        <v>46</v>
      </c>
      <c r="E999" s="16" t="n">
        <v>200.196422</v>
      </c>
      <c r="F999" s="16" t="n">
        <v>0</v>
      </c>
      <c r="G999" s="16" t="n">
        <v>127.479029</v>
      </c>
    </row>
    <row r="1000" customFormat="false" ht="15" hidden="false" customHeight="false" outlineLevel="0" collapsed="false">
      <c r="A1000" s="7" t="n">
        <v>2008</v>
      </c>
      <c r="B1000" s="12" t="s">
        <v>58</v>
      </c>
      <c r="C1000" s="12" t="s">
        <v>59</v>
      </c>
      <c r="D1000" s="12" t="s">
        <v>47</v>
      </c>
      <c r="E1000" s="16" t="n">
        <v>0.526718</v>
      </c>
      <c r="F1000" s="16" t="n">
        <v>0</v>
      </c>
      <c r="G1000" s="16" t="n">
        <v>0</v>
      </c>
    </row>
    <row r="1001" customFormat="false" ht="15" hidden="false" customHeight="false" outlineLevel="0" collapsed="false">
      <c r="A1001" s="7" t="n">
        <v>2008</v>
      </c>
      <c r="B1001" s="12" t="s">
        <v>58</v>
      </c>
      <c r="C1001" s="12" t="s">
        <v>59</v>
      </c>
      <c r="D1001" s="12" t="s">
        <v>45</v>
      </c>
      <c r="E1001" s="16" t="n">
        <v>22.038377</v>
      </c>
      <c r="F1001" s="16" t="n">
        <v>4.272236</v>
      </c>
      <c r="G1001" s="16" t="n">
        <v>15.394676</v>
      </c>
    </row>
    <row r="1002" customFormat="false" ht="15" hidden="false" customHeight="false" outlineLevel="0" collapsed="false">
      <c r="A1002" s="7" t="n">
        <v>2008</v>
      </c>
      <c r="B1002" s="12" t="s">
        <v>60</v>
      </c>
      <c r="C1002" s="12" t="s">
        <v>59</v>
      </c>
      <c r="D1002" s="12" t="s">
        <v>49</v>
      </c>
      <c r="E1002" s="16" t="n">
        <v>358.02514</v>
      </c>
      <c r="F1002" s="16" t="n">
        <v>0</v>
      </c>
      <c r="G1002" s="16" t="n">
        <v>83.379988</v>
      </c>
    </row>
    <row r="1003" customFormat="false" ht="15" hidden="false" customHeight="false" outlineLevel="0" collapsed="false">
      <c r="A1003" s="7" t="n">
        <v>2008</v>
      </c>
      <c r="B1003" s="12" t="s">
        <v>60</v>
      </c>
      <c r="C1003" s="12" t="s">
        <v>59</v>
      </c>
      <c r="D1003" s="12" t="s">
        <v>48</v>
      </c>
      <c r="E1003" s="16" t="n">
        <v>261.241012</v>
      </c>
      <c r="F1003" s="16" t="n">
        <v>0</v>
      </c>
      <c r="G1003" s="16" t="n">
        <v>0</v>
      </c>
    </row>
    <row r="1004" customFormat="false" ht="15" hidden="false" customHeight="false" outlineLevel="0" collapsed="false">
      <c r="A1004" s="7" t="n">
        <v>2008</v>
      </c>
      <c r="B1004" s="12" t="s">
        <v>60</v>
      </c>
      <c r="C1004" s="12" t="s">
        <v>59</v>
      </c>
      <c r="D1004" s="12" t="s">
        <v>46</v>
      </c>
      <c r="E1004" s="16" t="n">
        <v>390.075139</v>
      </c>
      <c r="F1004" s="16" t="n">
        <v>0</v>
      </c>
      <c r="G1004" s="16" t="n">
        <v>292.690914</v>
      </c>
    </row>
    <row r="1005" customFormat="false" ht="15" hidden="false" customHeight="false" outlineLevel="0" collapsed="false">
      <c r="A1005" s="7" t="n">
        <v>2008</v>
      </c>
      <c r="B1005" s="12" t="s">
        <v>60</v>
      </c>
      <c r="C1005" s="12" t="s">
        <v>59</v>
      </c>
      <c r="D1005" s="12" t="s">
        <v>47</v>
      </c>
      <c r="E1005" s="16" t="n">
        <v>0.641717</v>
      </c>
      <c r="F1005" s="16" t="n">
        <v>0</v>
      </c>
      <c r="G1005" s="16" t="n">
        <v>0</v>
      </c>
    </row>
    <row r="1006" customFormat="false" ht="15" hidden="false" customHeight="false" outlineLevel="0" collapsed="false">
      <c r="A1006" s="7" t="n">
        <v>2008</v>
      </c>
      <c r="B1006" s="12" t="s">
        <v>60</v>
      </c>
      <c r="C1006" s="12" t="s">
        <v>59</v>
      </c>
      <c r="D1006" s="12" t="s">
        <v>45</v>
      </c>
      <c r="E1006" s="16" t="n">
        <v>391.983821</v>
      </c>
      <c r="F1006" s="16" t="n">
        <v>2.37689</v>
      </c>
      <c r="G1006" s="16" t="n">
        <v>47.885776</v>
      </c>
    </row>
    <row r="1007" customFormat="false" ht="15" hidden="false" customHeight="false" outlineLevel="0" collapsed="false">
      <c r="A1007" s="7" t="n">
        <v>2008</v>
      </c>
      <c r="B1007" s="12" t="s">
        <v>61</v>
      </c>
      <c r="C1007" s="12" t="s">
        <v>62</v>
      </c>
      <c r="D1007" s="12" t="s">
        <v>49</v>
      </c>
      <c r="E1007" s="16" t="n">
        <v>199.141807</v>
      </c>
      <c r="F1007" s="16" t="n">
        <v>0</v>
      </c>
      <c r="G1007" s="16" t="n">
        <v>40.05541</v>
      </c>
    </row>
    <row r="1008" customFormat="false" ht="15" hidden="false" customHeight="false" outlineLevel="0" collapsed="false">
      <c r="A1008" s="7" t="n">
        <v>2008</v>
      </c>
      <c r="B1008" s="12" t="s">
        <v>61</v>
      </c>
      <c r="C1008" s="12" t="s">
        <v>62</v>
      </c>
      <c r="D1008" s="12" t="s">
        <v>48</v>
      </c>
      <c r="E1008" s="16" t="n">
        <v>96.925216</v>
      </c>
      <c r="F1008" s="16" t="n">
        <v>0</v>
      </c>
      <c r="G1008" s="16" t="n">
        <v>0</v>
      </c>
    </row>
    <row r="1009" customFormat="false" ht="15" hidden="false" customHeight="false" outlineLevel="0" collapsed="false">
      <c r="A1009" s="7" t="n">
        <v>2008</v>
      </c>
      <c r="B1009" s="12" t="s">
        <v>61</v>
      </c>
      <c r="C1009" s="12" t="s">
        <v>62</v>
      </c>
      <c r="D1009" s="12" t="s">
        <v>46</v>
      </c>
      <c r="E1009" s="16" t="n">
        <v>154.121011</v>
      </c>
      <c r="F1009" s="16" t="n">
        <v>0</v>
      </c>
      <c r="G1009" s="16" t="n">
        <v>138.092966</v>
      </c>
    </row>
    <row r="1010" customFormat="false" ht="15" hidden="false" customHeight="false" outlineLevel="0" collapsed="false">
      <c r="A1010" s="7" t="n">
        <v>2008</v>
      </c>
      <c r="B1010" s="12" t="s">
        <v>61</v>
      </c>
      <c r="C1010" s="12" t="s">
        <v>62</v>
      </c>
      <c r="D1010" s="12" t="s">
        <v>47</v>
      </c>
      <c r="E1010" s="16" t="n">
        <v>7.235849</v>
      </c>
      <c r="F1010" s="16" t="n">
        <v>0</v>
      </c>
      <c r="G1010" s="16" t="n">
        <v>0</v>
      </c>
    </row>
    <row r="1011" customFormat="false" ht="15" hidden="false" customHeight="false" outlineLevel="0" collapsed="false">
      <c r="A1011" s="7" t="n">
        <v>2008</v>
      </c>
      <c r="B1011" s="12" t="s">
        <v>61</v>
      </c>
      <c r="C1011" s="12" t="s">
        <v>62</v>
      </c>
      <c r="D1011" s="12" t="s">
        <v>45</v>
      </c>
      <c r="E1011" s="16" t="n">
        <v>168.481772</v>
      </c>
      <c r="F1011" s="16" t="n">
        <v>162.774067</v>
      </c>
      <c r="G1011" s="16" t="n">
        <v>0</v>
      </c>
    </row>
    <row r="1012" customFormat="false" ht="15" hidden="false" customHeight="false" outlineLevel="0" collapsed="false">
      <c r="A1012" s="7" t="n">
        <v>2008</v>
      </c>
      <c r="B1012" s="12" t="s">
        <v>63</v>
      </c>
      <c r="C1012" s="12" t="s">
        <v>62</v>
      </c>
      <c r="D1012" s="12" t="s">
        <v>49</v>
      </c>
      <c r="E1012" s="16" t="n">
        <v>424.738063</v>
      </c>
      <c r="F1012" s="16" t="n">
        <v>0</v>
      </c>
      <c r="G1012" s="16" t="n">
        <v>83.448885</v>
      </c>
    </row>
    <row r="1013" customFormat="false" ht="15" hidden="false" customHeight="false" outlineLevel="0" collapsed="false">
      <c r="A1013" s="7" t="n">
        <v>2008</v>
      </c>
      <c r="B1013" s="12" t="s">
        <v>63</v>
      </c>
      <c r="C1013" s="12" t="s">
        <v>62</v>
      </c>
      <c r="D1013" s="12" t="s">
        <v>48</v>
      </c>
      <c r="E1013" s="16" t="n">
        <v>226.994579</v>
      </c>
      <c r="F1013" s="16" t="n">
        <v>0</v>
      </c>
      <c r="G1013" s="16" t="n">
        <v>0</v>
      </c>
    </row>
    <row r="1014" customFormat="false" ht="15" hidden="false" customHeight="false" outlineLevel="0" collapsed="false">
      <c r="A1014" s="7" t="n">
        <v>2008</v>
      </c>
      <c r="B1014" s="12" t="s">
        <v>63</v>
      </c>
      <c r="C1014" s="12" t="s">
        <v>62</v>
      </c>
      <c r="D1014" s="12" t="s">
        <v>46</v>
      </c>
      <c r="E1014" s="16" t="n">
        <v>243.484077</v>
      </c>
      <c r="F1014" s="16" t="n">
        <v>0</v>
      </c>
      <c r="G1014" s="16" t="n">
        <v>212.457674</v>
      </c>
    </row>
    <row r="1015" customFormat="false" ht="15" hidden="false" customHeight="false" outlineLevel="0" collapsed="false">
      <c r="A1015" s="7" t="n">
        <v>2008</v>
      </c>
      <c r="B1015" s="12" t="s">
        <v>63</v>
      </c>
      <c r="C1015" s="12" t="s">
        <v>62</v>
      </c>
      <c r="D1015" s="12" t="s">
        <v>47</v>
      </c>
      <c r="E1015" s="16" t="n">
        <v>10.051241</v>
      </c>
      <c r="F1015" s="16" t="n">
        <v>0</v>
      </c>
      <c r="G1015" s="16" t="n">
        <v>0</v>
      </c>
    </row>
    <row r="1016" customFormat="false" ht="15" hidden="false" customHeight="false" outlineLevel="0" collapsed="false">
      <c r="A1016" s="7" t="n">
        <v>2008</v>
      </c>
      <c r="B1016" s="12" t="s">
        <v>63</v>
      </c>
      <c r="C1016" s="12" t="s">
        <v>62</v>
      </c>
      <c r="D1016" s="12" t="s">
        <v>45</v>
      </c>
      <c r="E1016" s="16" t="n">
        <v>274.06762</v>
      </c>
      <c r="F1016" s="16" t="n">
        <v>263.881163</v>
      </c>
      <c r="G1016" s="16" t="n">
        <v>1.353346</v>
      </c>
    </row>
    <row r="1017" customFormat="false" ht="15" hidden="false" customHeight="false" outlineLevel="0" collapsed="false">
      <c r="A1017" s="7" t="n">
        <v>2008</v>
      </c>
      <c r="B1017" s="12" t="s">
        <v>64</v>
      </c>
      <c r="C1017" s="12" t="s">
        <v>65</v>
      </c>
      <c r="D1017" s="12" t="s">
        <v>49</v>
      </c>
      <c r="E1017" s="16" t="n">
        <v>224.943849</v>
      </c>
      <c r="F1017" s="16" t="n">
        <v>0</v>
      </c>
      <c r="G1017" s="16" t="n">
        <v>23.529728</v>
      </c>
    </row>
    <row r="1018" customFormat="false" ht="15" hidden="false" customHeight="false" outlineLevel="0" collapsed="false">
      <c r="A1018" s="7" t="n">
        <v>2008</v>
      </c>
      <c r="B1018" s="12" t="s">
        <v>64</v>
      </c>
      <c r="C1018" s="12" t="s">
        <v>65</v>
      </c>
      <c r="D1018" s="12" t="s">
        <v>48</v>
      </c>
      <c r="E1018" s="16" t="n">
        <v>48.300412</v>
      </c>
      <c r="F1018" s="16" t="n">
        <v>0</v>
      </c>
      <c r="G1018" s="16" t="n">
        <v>0</v>
      </c>
    </row>
    <row r="1019" customFormat="false" ht="15" hidden="false" customHeight="false" outlineLevel="0" collapsed="false">
      <c r="A1019" s="7" t="n">
        <v>2008</v>
      </c>
      <c r="B1019" s="12" t="s">
        <v>64</v>
      </c>
      <c r="C1019" s="12" t="s">
        <v>65</v>
      </c>
      <c r="D1019" s="12" t="s">
        <v>46</v>
      </c>
      <c r="E1019" s="16" t="n">
        <v>85.237846</v>
      </c>
      <c r="F1019" s="16" t="n">
        <v>0</v>
      </c>
      <c r="G1019" s="16" t="n">
        <v>76.543961</v>
      </c>
    </row>
    <row r="1020" customFormat="false" ht="15" hidden="false" customHeight="false" outlineLevel="0" collapsed="false">
      <c r="A1020" s="7" t="n">
        <v>2008</v>
      </c>
      <c r="B1020" s="12" t="s">
        <v>64</v>
      </c>
      <c r="C1020" s="12" t="s">
        <v>65</v>
      </c>
      <c r="D1020" s="12" t="s">
        <v>47</v>
      </c>
      <c r="E1020" s="16" t="n">
        <v>6.625374</v>
      </c>
      <c r="F1020" s="16" t="n">
        <v>0</v>
      </c>
      <c r="G1020" s="16" t="n">
        <v>0</v>
      </c>
    </row>
    <row r="1021" customFormat="false" ht="15" hidden="false" customHeight="false" outlineLevel="0" collapsed="false">
      <c r="A1021" s="7" t="n">
        <v>2008</v>
      </c>
      <c r="B1021" s="12" t="s">
        <v>64</v>
      </c>
      <c r="C1021" s="12" t="s">
        <v>65</v>
      </c>
      <c r="D1021" s="12" t="s">
        <v>45</v>
      </c>
      <c r="E1021" s="16" t="n">
        <v>36.046668</v>
      </c>
      <c r="F1021" s="16" t="n">
        <v>6.083809</v>
      </c>
      <c r="G1021" s="16" t="n">
        <v>20.961046</v>
      </c>
    </row>
    <row r="1022" customFormat="false" ht="15" hidden="false" customHeight="false" outlineLevel="0" collapsed="false">
      <c r="A1022" s="7" t="n">
        <v>2008</v>
      </c>
      <c r="B1022" s="12" t="s">
        <v>66</v>
      </c>
      <c r="C1022" s="12" t="s">
        <v>67</v>
      </c>
      <c r="D1022" s="12" t="s">
        <v>49</v>
      </c>
      <c r="E1022" s="16" t="n">
        <v>121.382988</v>
      </c>
      <c r="F1022" s="16" t="n">
        <v>0</v>
      </c>
      <c r="G1022" s="16" t="n">
        <v>25.568949</v>
      </c>
    </row>
    <row r="1023" customFormat="false" ht="15" hidden="false" customHeight="false" outlineLevel="0" collapsed="false">
      <c r="A1023" s="7" t="n">
        <v>2008</v>
      </c>
      <c r="B1023" s="12" t="s">
        <v>66</v>
      </c>
      <c r="C1023" s="12" t="s">
        <v>67</v>
      </c>
      <c r="D1023" s="12" t="s">
        <v>48</v>
      </c>
      <c r="E1023" s="16" t="n">
        <v>24.521968</v>
      </c>
      <c r="F1023" s="16" t="n">
        <v>0</v>
      </c>
      <c r="G1023" s="16" t="n">
        <v>0</v>
      </c>
    </row>
    <row r="1024" customFormat="false" ht="15" hidden="false" customHeight="false" outlineLevel="0" collapsed="false">
      <c r="A1024" s="7" t="n">
        <v>2008</v>
      </c>
      <c r="B1024" s="12" t="s">
        <v>66</v>
      </c>
      <c r="C1024" s="12" t="s">
        <v>67</v>
      </c>
      <c r="D1024" s="12" t="s">
        <v>46</v>
      </c>
      <c r="E1024" s="16" t="n">
        <v>70.804747</v>
      </c>
      <c r="F1024" s="16" t="n">
        <v>0</v>
      </c>
      <c r="G1024" s="16" t="n">
        <v>30.236396</v>
      </c>
    </row>
    <row r="1025" customFormat="false" ht="15" hidden="false" customHeight="false" outlineLevel="0" collapsed="false">
      <c r="A1025" s="7" t="n">
        <v>2008</v>
      </c>
      <c r="B1025" s="12" t="s">
        <v>66</v>
      </c>
      <c r="C1025" s="12" t="s">
        <v>67</v>
      </c>
      <c r="D1025" s="12" t="s">
        <v>47</v>
      </c>
      <c r="E1025" s="16" t="n">
        <v>2.306869</v>
      </c>
      <c r="F1025" s="16" t="n">
        <v>0</v>
      </c>
      <c r="G1025" s="16" t="n">
        <v>0</v>
      </c>
    </row>
    <row r="1026" customFormat="false" ht="15" hidden="false" customHeight="false" outlineLevel="0" collapsed="false">
      <c r="A1026" s="7" t="n">
        <v>2008</v>
      </c>
      <c r="B1026" s="12" t="s">
        <v>66</v>
      </c>
      <c r="C1026" s="12" t="s">
        <v>67</v>
      </c>
      <c r="D1026" s="12" t="s">
        <v>45</v>
      </c>
      <c r="E1026" s="16" t="n">
        <v>-12.232846</v>
      </c>
      <c r="F1026" s="16" t="n">
        <v>-36.420079</v>
      </c>
      <c r="G1026" s="16" t="n">
        <v>15.55051</v>
      </c>
    </row>
    <row r="1027" customFormat="false" ht="15" hidden="false" customHeight="false" outlineLevel="0" collapsed="false">
      <c r="A1027" s="7" t="n">
        <v>2008</v>
      </c>
      <c r="B1027" s="12" t="s">
        <v>68</v>
      </c>
      <c r="C1027" s="12" t="s">
        <v>65</v>
      </c>
      <c r="D1027" s="12" t="s">
        <v>49</v>
      </c>
      <c r="E1027" s="16" t="n">
        <v>98.919468</v>
      </c>
      <c r="F1027" s="16" t="n">
        <v>0</v>
      </c>
      <c r="G1027" s="16" t="n">
        <v>8.737281</v>
      </c>
    </row>
    <row r="1028" customFormat="false" ht="15" hidden="false" customHeight="false" outlineLevel="0" collapsed="false">
      <c r="A1028" s="7" t="n">
        <v>2008</v>
      </c>
      <c r="B1028" s="12" t="s">
        <v>68</v>
      </c>
      <c r="C1028" s="12" t="s">
        <v>65</v>
      </c>
      <c r="D1028" s="12" t="s">
        <v>48</v>
      </c>
      <c r="E1028" s="16" t="n">
        <v>20.990156</v>
      </c>
      <c r="F1028" s="16" t="n">
        <v>0</v>
      </c>
      <c r="G1028" s="16" t="n">
        <v>0</v>
      </c>
    </row>
    <row r="1029" customFormat="false" ht="15" hidden="false" customHeight="false" outlineLevel="0" collapsed="false">
      <c r="A1029" s="7" t="n">
        <v>2008</v>
      </c>
      <c r="B1029" s="12" t="s">
        <v>68</v>
      </c>
      <c r="C1029" s="12" t="s">
        <v>65</v>
      </c>
      <c r="D1029" s="12" t="s">
        <v>46</v>
      </c>
      <c r="E1029" s="16" t="n">
        <v>39.571808</v>
      </c>
      <c r="F1029" s="16" t="n">
        <v>0</v>
      </c>
      <c r="G1029" s="16" t="n">
        <v>56.742432</v>
      </c>
    </row>
    <row r="1030" customFormat="false" ht="15" hidden="false" customHeight="false" outlineLevel="0" collapsed="false">
      <c r="A1030" s="7" t="n">
        <v>2008</v>
      </c>
      <c r="B1030" s="12" t="s">
        <v>68</v>
      </c>
      <c r="C1030" s="12" t="s">
        <v>65</v>
      </c>
      <c r="D1030" s="12" t="s">
        <v>47</v>
      </c>
      <c r="E1030" s="16" t="n">
        <v>0.088792</v>
      </c>
      <c r="F1030" s="16" t="n">
        <v>0</v>
      </c>
      <c r="G1030" s="16" t="n">
        <v>0</v>
      </c>
    </row>
    <row r="1031" customFormat="false" ht="15" hidden="false" customHeight="false" outlineLevel="0" collapsed="false">
      <c r="A1031" s="7" t="n">
        <v>2008</v>
      </c>
      <c r="B1031" s="12" t="s">
        <v>68</v>
      </c>
      <c r="C1031" s="12" t="s">
        <v>65</v>
      </c>
      <c r="D1031" s="12" t="s">
        <v>45</v>
      </c>
      <c r="E1031" s="16" t="n">
        <v>11.101532</v>
      </c>
      <c r="F1031" s="16" t="n">
        <v>3.463808</v>
      </c>
      <c r="G1031" s="16" t="n">
        <v>4.305377</v>
      </c>
    </row>
    <row r="1032" customFormat="false" ht="15" hidden="false" customHeight="false" outlineLevel="0" collapsed="false">
      <c r="A1032" s="7" t="n">
        <v>2008</v>
      </c>
      <c r="B1032" s="12" t="s">
        <v>69</v>
      </c>
      <c r="C1032" s="12" t="s">
        <v>70</v>
      </c>
      <c r="D1032" s="12" t="s">
        <v>49</v>
      </c>
      <c r="E1032" s="16" t="n">
        <v>78.267222</v>
      </c>
      <c r="F1032" s="16" t="n">
        <v>0</v>
      </c>
      <c r="G1032" s="16" t="n">
        <v>17.336987</v>
      </c>
    </row>
    <row r="1033" customFormat="false" ht="15" hidden="false" customHeight="false" outlineLevel="0" collapsed="false">
      <c r="A1033" s="7" t="n">
        <v>2008</v>
      </c>
      <c r="B1033" s="12" t="s">
        <v>69</v>
      </c>
      <c r="C1033" s="12" t="s">
        <v>70</v>
      </c>
      <c r="D1033" s="12" t="s">
        <v>48</v>
      </c>
      <c r="E1033" s="16" t="n">
        <v>52.193094</v>
      </c>
      <c r="F1033" s="16" t="n">
        <v>0</v>
      </c>
      <c r="G1033" s="16" t="n">
        <v>0</v>
      </c>
    </row>
    <row r="1034" customFormat="false" ht="15" hidden="false" customHeight="false" outlineLevel="0" collapsed="false">
      <c r="A1034" s="7" t="n">
        <v>2008</v>
      </c>
      <c r="B1034" s="12" t="s">
        <v>69</v>
      </c>
      <c r="C1034" s="12" t="s">
        <v>70</v>
      </c>
      <c r="D1034" s="12" t="s">
        <v>46</v>
      </c>
      <c r="E1034" s="16" t="n">
        <v>27.689844</v>
      </c>
      <c r="F1034" s="16" t="n">
        <v>0</v>
      </c>
      <c r="G1034" s="16" t="n">
        <v>45.688346</v>
      </c>
    </row>
    <row r="1035" customFormat="false" ht="15" hidden="false" customHeight="false" outlineLevel="0" collapsed="false">
      <c r="A1035" s="7" t="n">
        <v>2008</v>
      </c>
      <c r="B1035" s="12" t="s">
        <v>69</v>
      </c>
      <c r="C1035" s="12" t="s">
        <v>70</v>
      </c>
      <c r="D1035" s="12" t="s">
        <v>47</v>
      </c>
      <c r="E1035" s="16" t="n">
        <v>3.122375</v>
      </c>
      <c r="F1035" s="16" t="n">
        <v>0</v>
      </c>
      <c r="G1035" s="16" t="n">
        <v>0</v>
      </c>
    </row>
    <row r="1036" customFormat="false" ht="15" hidden="false" customHeight="false" outlineLevel="0" collapsed="false">
      <c r="A1036" s="7" t="n">
        <v>2008</v>
      </c>
      <c r="B1036" s="12" t="s">
        <v>69</v>
      </c>
      <c r="C1036" s="12" t="s">
        <v>70</v>
      </c>
      <c r="D1036" s="12" t="s">
        <v>45</v>
      </c>
      <c r="E1036" s="16" t="n">
        <v>92.206615</v>
      </c>
      <c r="F1036" s="16" t="n">
        <v>89.025434</v>
      </c>
      <c r="G1036" s="16" t="n">
        <v>0</v>
      </c>
    </row>
    <row r="1037" customFormat="false" ht="15" hidden="false" customHeight="false" outlineLevel="0" collapsed="false">
      <c r="A1037" s="7" t="n">
        <v>2008</v>
      </c>
      <c r="B1037" s="12" t="s">
        <v>71</v>
      </c>
      <c r="C1037" s="12" t="s">
        <v>72</v>
      </c>
      <c r="D1037" s="12" t="s">
        <v>49</v>
      </c>
      <c r="E1037" s="16" t="n">
        <v>31.623518</v>
      </c>
      <c r="F1037" s="16" t="n">
        <v>0</v>
      </c>
      <c r="G1037" s="16" t="n">
        <v>1.998142</v>
      </c>
    </row>
    <row r="1038" customFormat="false" ht="15" hidden="false" customHeight="false" outlineLevel="0" collapsed="false">
      <c r="A1038" s="7" t="n">
        <v>2008</v>
      </c>
      <c r="B1038" s="12" t="s">
        <v>71</v>
      </c>
      <c r="C1038" s="12" t="s">
        <v>72</v>
      </c>
      <c r="D1038" s="12" t="s">
        <v>48</v>
      </c>
      <c r="E1038" s="16" t="n">
        <v>16.169735</v>
      </c>
      <c r="F1038" s="16" t="n">
        <v>0</v>
      </c>
      <c r="G1038" s="16" t="n">
        <v>0</v>
      </c>
    </row>
    <row r="1039" customFormat="false" ht="15" hidden="false" customHeight="false" outlineLevel="0" collapsed="false">
      <c r="A1039" s="7" t="n">
        <v>2008</v>
      </c>
      <c r="B1039" s="12" t="s">
        <v>71</v>
      </c>
      <c r="C1039" s="12" t="s">
        <v>72</v>
      </c>
      <c r="D1039" s="12" t="s">
        <v>46</v>
      </c>
      <c r="E1039" s="16" t="n">
        <v>13.013741</v>
      </c>
      <c r="F1039" s="16" t="n">
        <v>0</v>
      </c>
      <c r="G1039" s="16" t="n">
        <v>11.36576</v>
      </c>
    </row>
    <row r="1040" customFormat="false" ht="15" hidden="false" customHeight="false" outlineLevel="0" collapsed="false">
      <c r="A1040" s="7" t="n">
        <v>2008</v>
      </c>
      <c r="B1040" s="12" t="s">
        <v>71</v>
      </c>
      <c r="C1040" s="12" t="s">
        <v>72</v>
      </c>
      <c r="D1040" s="12" t="s">
        <v>45</v>
      </c>
      <c r="E1040" s="16" t="n">
        <v>24.085828</v>
      </c>
      <c r="F1040" s="16" t="n">
        <v>24.578572</v>
      </c>
      <c r="G1040" s="16" t="n">
        <v>0.054855</v>
      </c>
    </row>
    <row r="1041" customFormat="false" ht="15" hidden="false" customHeight="false" outlineLevel="0" collapsed="false">
      <c r="A1041" s="7" t="n">
        <v>2008</v>
      </c>
      <c r="B1041" s="12" t="s">
        <v>73</v>
      </c>
      <c r="C1041" s="12" t="s">
        <v>70</v>
      </c>
      <c r="D1041" s="12" t="s">
        <v>49</v>
      </c>
      <c r="E1041" s="16" t="n">
        <v>88.192759</v>
      </c>
      <c r="F1041" s="16" t="n">
        <v>0</v>
      </c>
      <c r="G1041" s="16" t="n">
        <v>14.248475</v>
      </c>
    </row>
    <row r="1042" customFormat="false" ht="15" hidden="false" customHeight="false" outlineLevel="0" collapsed="false">
      <c r="A1042" s="7" t="n">
        <v>2008</v>
      </c>
      <c r="B1042" s="12" t="s">
        <v>73</v>
      </c>
      <c r="C1042" s="12" t="s">
        <v>70</v>
      </c>
      <c r="D1042" s="12" t="s">
        <v>48</v>
      </c>
      <c r="E1042" s="16" t="n">
        <v>72.080148</v>
      </c>
      <c r="F1042" s="16" t="n">
        <v>0</v>
      </c>
      <c r="G1042" s="16" t="n">
        <v>0</v>
      </c>
    </row>
    <row r="1043" customFormat="false" ht="15" hidden="false" customHeight="false" outlineLevel="0" collapsed="false">
      <c r="A1043" s="7" t="n">
        <v>2008</v>
      </c>
      <c r="B1043" s="12" t="s">
        <v>73</v>
      </c>
      <c r="C1043" s="12" t="s">
        <v>70</v>
      </c>
      <c r="D1043" s="12" t="s">
        <v>46</v>
      </c>
      <c r="E1043" s="16" t="n">
        <v>111.862749</v>
      </c>
      <c r="F1043" s="16" t="n">
        <v>0</v>
      </c>
      <c r="G1043" s="16" t="n">
        <v>56.682451</v>
      </c>
    </row>
    <row r="1044" customFormat="false" ht="15" hidden="false" customHeight="false" outlineLevel="0" collapsed="false">
      <c r="A1044" s="7" t="n">
        <v>2008</v>
      </c>
      <c r="B1044" s="12" t="s">
        <v>73</v>
      </c>
      <c r="C1044" s="12" t="s">
        <v>70</v>
      </c>
      <c r="D1044" s="12" t="s">
        <v>47</v>
      </c>
      <c r="E1044" s="16" t="n">
        <v>0.850508</v>
      </c>
      <c r="F1044" s="16" t="n">
        <v>0</v>
      </c>
      <c r="G1044" s="16" t="n">
        <v>0</v>
      </c>
    </row>
    <row r="1045" customFormat="false" ht="15" hidden="false" customHeight="false" outlineLevel="0" collapsed="false">
      <c r="A1045" s="7" t="n">
        <v>2008</v>
      </c>
      <c r="B1045" s="12" t="s">
        <v>73</v>
      </c>
      <c r="C1045" s="12" t="s">
        <v>70</v>
      </c>
      <c r="D1045" s="12" t="s">
        <v>45</v>
      </c>
      <c r="E1045" s="16" t="n">
        <v>46.881507</v>
      </c>
      <c r="F1045" s="16" t="n">
        <v>30.439013</v>
      </c>
      <c r="G1045" s="16" t="n">
        <v>11.743723</v>
      </c>
    </row>
    <row r="1046" customFormat="false" ht="15" hidden="false" customHeight="false" outlineLevel="0" collapsed="false">
      <c r="A1046" s="7" t="n">
        <v>2008</v>
      </c>
      <c r="B1046" s="12" t="s">
        <v>74</v>
      </c>
      <c r="C1046" s="12" t="s">
        <v>65</v>
      </c>
      <c r="D1046" s="12" t="s">
        <v>49</v>
      </c>
      <c r="E1046" s="16" t="n">
        <v>108.766958</v>
      </c>
      <c r="F1046" s="16" t="n">
        <v>0</v>
      </c>
      <c r="G1046" s="16" t="n">
        <v>13.031619</v>
      </c>
    </row>
    <row r="1047" customFormat="false" ht="15" hidden="false" customHeight="false" outlineLevel="0" collapsed="false">
      <c r="A1047" s="7" t="n">
        <v>2008</v>
      </c>
      <c r="B1047" s="12" t="s">
        <v>74</v>
      </c>
      <c r="C1047" s="12" t="s">
        <v>65</v>
      </c>
      <c r="D1047" s="12" t="s">
        <v>48</v>
      </c>
      <c r="E1047" s="16" t="n">
        <v>20.534948</v>
      </c>
      <c r="F1047" s="16" t="n">
        <v>0</v>
      </c>
      <c r="G1047" s="16" t="n">
        <v>0</v>
      </c>
    </row>
    <row r="1048" customFormat="false" ht="15" hidden="false" customHeight="false" outlineLevel="0" collapsed="false">
      <c r="A1048" s="7" t="n">
        <v>2008</v>
      </c>
      <c r="B1048" s="12" t="s">
        <v>74</v>
      </c>
      <c r="C1048" s="12" t="s">
        <v>65</v>
      </c>
      <c r="D1048" s="12" t="s">
        <v>46</v>
      </c>
      <c r="E1048" s="16" t="n">
        <v>41.246476</v>
      </c>
      <c r="F1048" s="16" t="n">
        <v>0</v>
      </c>
      <c r="G1048" s="16" t="n">
        <v>52.81408</v>
      </c>
    </row>
    <row r="1049" customFormat="false" ht="15" hidden="false" customHeight="false" outlineLevel="0" collapsed="false">
      <c r="A1049" s="7" t="n">
        <v>2008</v>
      </c>
      <c r="B1049" s="12" t="s">
        <v>74</v>
      </c>
      <c r="C1049" s="12" t="s">
        <v>65</v>
      </c>
      <c r="D1049" s="12" t="s">
        <v>47</v>
      </c>
      <c r="E1049" s="16" t="n">
        <v>0.022702</v>
      </c>
      <c r="F1049" s="16" t="n">
        <v>0</v>
      </c>
      <c r="G1049" s="16" t="n">
        <v>0</v>
      </c>
    </row>
    <row r="1050" customFormat="false" ht="15" hidden="false" customHeight="false" outlineLevel="0" collapsed="false">
      <c r="A1050" s="7" t="n">
        <v>2008</v>
      </c>
      <c r="B1050" s="12" t="s">
        <v>74</v>
      </c>
      <c r="C1050" s="12" t="s">
        <v>65</v>
      </c>
      <c r="D1050" s="12" t="s">
        <v>45</v>
      </c>
      <c r="E1050" s="16" t="n">
        <v>16.485354</v>
      </c>
      <c r="F1050" s="16" t="n">
        <v>0.127633</v>
      </c>
      <c r="G1050" s="16" t="n">
        <v>20.690229</v>
      </c>
    </row>
    <row r="1051" customFormat="false" ht="15" hidden="false" customHeight="false" outlineLevel="0" collapsed="false">
      <c r="A1051" s="7" t="n">
        <v>2008</v>
      </c>
      <c r="B1051" s="12" t="s">
        <v>75</v>
      </c>
      <c r="C1051" s="12" t="s">
        <v>57</v>
      </c>
      <c r="D1051" s="12" t="s">
        <v>49</v>
      </c>
      <c r="E1051" s="16" t="n">
        <v>181.54131</v>
      </c>
      <c r="F1051" s="16" t="n">
        <v>0</v>
      </c>
      <c r="G1051" s="16" t="n">
        <v>41.773907</v>
      </c>
    </row>
    <row r="1052" customFormat="false" ht="15" hidden="false" customHeight="false" outlineLevel="0" collapsed="false">
      <c r="A1052" s="7" t="n">
        <v>2008</v>
      </c>
      <c r="B1052" s="12" t="s">
        <v>75</v>
      </c>
      <c r="C1052" s="12" t="s">
        <v>57</v>
      </c>
      <c r="D1052" s="12" t="s">
        <v>48</v>
      </c>
      <c r="E1052" s="16" t="n">
        <v>125.768605</v>
      </c>
      <c r="F1052" s="16" t="n">
        <v>0</v>
      </c>
      <c r="G1052" s="16" t="n">
        <v>0</v>
      </c>
    </row>
    <row r="1053" customFormat="false" ht="15" hidden="false" customHeight="false" outlineLevel="0" collapsed="false">
      <c r="A1053" s="7" t="n">
        <v>2008</v>
      </c>
      <c r="B1053" s="12" t="s">
        <v>75</v>
      </c>
      <c r="C1053" s="12" t="s">
        <v>57</v>
      </c>
      <c r="D1053" s="12" t="s">
        <v>46</v>
      </c>
      <c r="E1053" s="16" t="n">
        <v>102.93547</v>
      </c>
      <c r="F1053" s="16" t="n">
        <v>0</v>
      </c>
      <c r="G1053" s="16" t="n">
        <v>86.46601</v>
      </c>
    </row>
    <row r="1054" customFormat="false" ht="15" hidden="false" customHeight="false" outlineLevel="0" collapsed="false">
      <c r="A1054" s="7" t="n">
        <v>2008</v>
      </c>
      <c r="B1054" s="12" t="s">
        <v>75</v>
      </c>
      <c r="C1054" s="12" t="s">
        <v>57</v>
      </c>
      <c r="D1054" s="12" t="s">
        <v>47</v>
      </c>
      <c r="E1054" s="16" t="n">
        <v>10.004718</v>
      </c>
      <c r="F1054" s="16" t="n">
        <v>0</v>
      </c>
      <c r="G1054" s="16" t="n">
        <v>0</v>
      </c>
    </row>
    <row r="1055" customFormat="false" ht="15" hidden="false" customHeight="false" outlineLevel="0" collapsed="false">
      <c r="A1055" s="7" t="n">
        <v>2008</v>
      </c>
      <c r="B1055" s="12" t="s">
        <v>75</v>
      </c>
      <c r="C1055" s="12" t="s">
        <v>57</v>
      </c>
      <c r="D1055" s="12" t="s">
        <v>45</v>
      </c>
      <c r="E1055" s="16" t="n">
        <v>147.078109</v>
      </c>
      <c r="F1055" s="16" t="n">
        <v>67.969184</v>
      </c>
      <c r="G1055" s="16" t="n">
        <v>39.156599</v>
      </c>
    </row>
    <row r="1056" customFormat="false" ht="15" hidden="false" customHeight="false" outlineLevel="0" collapsed="false">
      <c r="A1056" s="7" t="n">
        <v>2008</v>
      </c>
      <c r="B1056" s="12" t="s">
        <v>76</v>
      </c>
      <c r="C1056" s="12" t="s">
        <v>72</v>
      </c>
      <c r="D1056" s="12" t="s">
        <v>49</v>
      </c>
      <c r="E1056" s="16" t="n">
        <v>27.281459</v>
      </c>
      <c r="F1056" s="16" t="n">
        <v>0</v>
      </c>
      <c r="G1056" s="16" t="n">
        <v>8.753152</v>
      </c>
    </row>
    <row r="1057" customFormat="false" ht="15" hidden="false" customHeight="false" outlineLevel="0" collapsed="false">
      <c r="A1057" s="7" t="n">
        <v>2008</v>
      </c>
      <c r="B1057" s="12" t="s">
        <v>76</v>
      </c>
      <c r="C1057" s="12" t="s">
        <v>72</v>
      </c>
      <c r="D1057" s="12" t="s">
        <v>48</v>
      </c>
      <c r="E1057" s="16" t="n">
        <v>20.219927</v>
      </c>
      <c r="F1057" s="16" t="n">
        <v>0</v>
      </c>
      <c r="G1057" s="16" t="n">
        <v>0</v>
      </c>
    </row>
    <row r="1058" customFormat="false" ht="15" hidden="false" customHeight="false" outlineLevel="0" collapsed="false">
      <c r="A1058" s="7" t="n">
        <v>2008</v>
      </c>
      <c r="B1058" s="12" t="s">
        <v>76</v>
      </c>
      <c r="C1058" s="12" t="s">
        <v>72</v>
      </c>
      <c r="D1058" s="12" t="s">
        <v>46</v>
      </c>
      <c r="E1058" s="16" t="n">
        <v>19.805087</v>
      </c>
      <c r="F1058" s="16" t="n">
        <v>0</v>
      </c>
      <c r="G1058" s="16" t="n">
        <v>19.740846</v>
      </c>
    </row>
    <row r="1059" customFormat="false" ht="15" hidden="false" customHeight="false" outlineLevel="0" collapsed="false">
      <c r="A1059" s="7" t="n">
        <v>2008</v>
      </c>
      <c r="B1059" s="12" t="s">
        <v>76</v>
      </c>
      <c r="C1059" s="12" t="s">
        <v>72</v>
      </c>
      <c r="D1059" s="12" t="s">
        <v>45</v>
      </c>
      <c r="E1059" s="16" t="n">
        <v>38.541466</v>
      </c>
      <c r="F1059" s="16" t="n">
        <v>0</v>
      </c>
      <c r="G1059" s="16" t="n">
        <v>11.665761</v>
      </c>
    </row>
    <row r="1060" customFormat="false" ht="15" hidden="false" customHeight="false" outlineLevel="0" collapsed="false">
      <c r="A1060" s="7" t="n">
        <v>2008</v>
      </c>
      <c r="B1060" s="12" t="s">
        <v>77</v>
      </c>
      <c r="C1060" s="12" t="s">
        <v>57</v>
      </c>
      <c r="D1060" s="12" t="s">
        <v>49</v>
      </c>
      <c r="E1060" s="16" t="n">
        <v>35.545137</v>
      </c>
      <c r="F1060" s="16" t="n">
        <v>0</v>
      </c>
      <c r="G1060" s="16" t="n">
        <v>3.093694</v>
      </c>
    </row>
    <row r="1061" customFormat="false" ht="15" hidden="false" customHeight="false" outlineLevel="0" collapsed="false">
      <c r="A1061" s="7" t="n">
        <v>2008</v>
      </c>
      <c r="B1061" s="12" t="s">
        <v>77</v>
      </c>
      <c r="C1061" s="12" t="s">
        <v>57</v>
      </c>
      <c r="D1061" s="12" t="s">
        <v>48</v>
      </c>
      <c r="E1061" s="16" t="n">
        <v>17.475959</v>
      </c>
      <c r="F1061" s="16" t="n">
        <v>0</v>
      </c>
      <c r="G1061" s="16" t="n">
        <v>0</v>
      </c>
    </row>
    <row r="1062" customFormat="false" ht="15" hidden="false" customHeight="false" outlineLevel="0" collapsed="false">
      <c r="A1062" s="7" t="n">
        <v>2008</v>
      </c>
      <c r="B1062" s="12" t="s">
        <v>77</v>
      </c>
      <c r="C1062" s="12" t="s">
        <v>57</v>
      </c>
      <c r="D1062" s="12" t="s">
        <v>46</v>
      </c>
      <c r="E1062" s="16" t="n">
        <v>14.781081</v>
      </c>
      <c r="F1062" s="16" t="n">
        <v>0</v>
      </c>
      <c r="G1062" s="16" t="n">
        <v>9.224741</v>
      </c>
    </row>
    <row r="1063" customFormat="false" ht="15" hidden="false" customHeight="false" outlineLevel="0" collapsed="false">
      <c r="A1063" s="7" t="n">
        <v>2008</v>
      </c>
      <c r="B1063" s="12" t="s">
        <v>77</v>
      </c>
      <c r="C1063" s="12" t="s">
        <v>57</v>
      </c>
      <c r="D1063" s="12" t="s">
        <v>47</v>
      </c>
      <c r="E1063" s="16" t="n">
        <v>1.502203</v>
      </c>
      <c r="F1063" s="16" t="n">
        <v>0</v>
      </c>
      <c r="G1063" s="16" t="n">
        <v>0</v>
      </c>
    </row>
    <row r="1064" customFormat="false" ht="15" hidden="false" customHeight="false" outlineLevel="0" collapsed="false">
      <c r="A1064" s="7" t="n">
        <v>2008</v>
      </c>
      <c r="B1064" s="12" t="s">
        <v>77</v>
      </c>
      <c r="C1064" s="12" t="s">
        <v>57</v>
      </c>
      <c r="D1064" s="12" t="s">
        <v>45</v>
      </c>
      <c r="E1064" s="16" t="n">
        <v>9.453908</v>
      </c>
      <c r="F1064" s="16" t="n">
        <v>0.041661</v>
      </c>
      <c r="G1064" s="16" t="n">
        <v>3.975182</v>
      </c>
    </row>
    <row r="1065" customFormat="false" ht="15" hidden="false" customHeight="false" outlineLevel="0" collapsed="false">
      <c r="A1065" s="7" t="n">
        <v>2008</v>
      </c>
      <c r="B1065" s="12" t="s">
        <v>78</v>
      </c>
      <c r="C1065" s="12" t="s">
        <v>65</v>
      </c>
      <c r="D1065" s="12" t="s">
        <v>49</v>
      </c>
      <c r="E1065" s="16" t="n">
        <v>32.618171</v>
      </c>
      <c r="F1065" s="16" t="n">
        <v>0</v>
      </c>
      <c r="G1065" s="16" t="n">
        <v>1.835848</v>
      </c>
    </row>
    <row r="1066" customFormat="false" ht="15" hidden="false" customHeight="false" outlineLevel="0" collapsed="false">
      <c r="A1066" s="7" t="n">
        <v>2008</v>
      </c>
      <c r="B1066" s="12" t="s">
        <v>78</v>
      </c>
      <c r="C1066" s="12" t="s">
        <v>65</v>
      </c>
      <c r="D1066" s="12" t="s">
        <v>48</v>
      </c>
      <c r="E1066" s="16" t="n">
        <v>8.543802</v>
      </c>
      <c r="F1066" s="16" t="n">
        <v>0</v>
      </c>
      <c r="G1066" s="16" t="n">
        <v>0</v>
      </c>
    </row>
    <row r="1067" customFormat="false" ht="15" hidden="false" customHeight="false" outlineLevel="0" collapsed="false">
      <c r="A1067" s="7" t="n">
        <v>2008</v>
      </c>
      <c r="B1067" s="12" t="s">
        <v>78</v>
      </c>
      <c r="C1067" s="12" t="s">
        <v>65</v>
      </c>
      <c r="D1067" s="12" t="s">
        <v>46</v>
      </c>
      <c r="E1067" s="16" t="n">
        <v>15.835333</v>
      </c>
      <c r="F1067" s="16" t="n">
        <v>0</v>
      </c>
      <c r="G1067" s="16" t="n">
        <v>12.073168</v>
      </c>
    </row>
    <row r="1068" customFormat="false" ht="15" hidden="false" customHeight="false" outlineLevel="0" collapsed="false">
      <c r="A1068" s="7" t="n">
        <v>2008</v>
      </c>
      <c r="B1068" s="12" t="s">
        <v>78</v>
      </c>
      <c r="C1068" s="12" t="s">
        <v>65</v>
      </c>
      <c r="D1068" s="12" t="s">
        <v>45</v>
      </c>
      <c r="E1068" s="16" t="n">
        <v>9.064103</v>
      </c>
      <c r="F1068" s="16" t="n">
        <v>0</v>
      </c>
      <c r="G1068" s="16" t="n">
        <v>4.977666</v>
      </c>
    </row>
    <row r="1069" customFormat="false" ht="15" hidden="false" customHeight="false" outlineLevel="0" collapsed="false">
      <c r="A1069" s="7" t="n">
        <v>2008</v>
      </c>
      <c r="B1069" s="12" t="s">
        <v>79</v>
      </c>
      <c r="C1069" s="12" t="s">
        <v>72</v>
      </c>
      <c r="D1069" s="12" t="s">
        <v>49</v>
      </c>
      <c r="E1069" s="16" t="n">
        <v>175.066393</v>
      </c>
      <c r="F1069" s="16" t="n">
        <v>0</v>
      </c>
      <c r="G1069" s="16" t="n">
        <v>18.882753</v>
      </c>
    </row>
    <row r="1070" customFormat="false" ht="15" hidden="false" customHeight="false" outlineLevel="0" collapsed="false">
      <c r="A1070" s="7" t="n">
        <v>2008</v>
      </c>
      <c r="B1070" s="12" t="s">
        <v>79</v>
      </c>
      <c r="C1070" s="12" t="s">
        <v>72</v>
      </c>
      <c r="D1070" s="12" t="s">
        <v>48</v>
      </c>
      <c r="E1070" s="16" t="n">
        <v>146.078547</v>
      </c>
      <c r="F1070" s="16" t="n">
        <v>0</v>
      </c>
      <c r="G1070" s="16" t="n">
        <v>0</v>
      </c>
    </row>
    <row r="1071" customFormat="false" ht="15" hidden="false" customHeight="false" outlineLevel="0" collapsed="false">
      <c r="A1071" s="7" t="n">
        <v>2008</v>
      </c>
      <c r="B1071" s="12" t="s">
        <v>79</v>
      </c>
      <c r="C1071" s="12" t="s">
        <v>72</v>
      </c>
      <c r="D1071" s="12" t="s">
        <v>46</v>
      </c>
      <c r="E1071" s="16" t="n">
        <v>91.488259</v>
      </c>
      <c r="F1071" s="16" t="n">
        <v>0</v>
      </c>
      <c r="G1071" s="16" t="n">
        <v>94.236597</v>
      </c>
    </row>
    <row r="1072" customFormat="false" ht="15" hidden="false" customHeight="false" outlineLevel="0" collapsed="false">
      <c r="A1072" s="7" t="n">
        <v>2008</v>
      </c>
      <c r="B1072" s="12" t="s">
        <v>79</v>
      </c>
      <c r="C1072" s="12" t="s">
        <v>72</v>
      </c>
      <c r="D1072" s="12" t="s">
        <v>47</v>
      </c>
      <c r="E1072" s="16" t="n">
        <v>5.54809</v>
      </c>
      <c r="F1072" s="16" t="n">
        <v>0</v>
      </c>
      <c r="G1072" s="16" t="n">
        <v>0</v>
      </c>
    </row>
    <row r="1073" customFormat="false" ht="15" hidden="false" customHeight="false" outlineLevel="0" collapsed="false">
      <c r="A1073" s="7" t="n">
        <v>2008</v>
      </c>
      <c r="B1073" s="12" t="s">
        <v>79</v>
      </c>
      <c r="C1073" s="12" t="s">
        <v>72</v>
      </c>
      <c r="D1073" s="12" t="s">
        <v>45</v>
      </c>
      <c r="E1073" s="16" t="n">
        <v>249.541065</v>
      </c>
      <c r="F1073" s="16" t="n">
        <v>243.284364</v>
      </c>
      <c r="G1073" s="16" t="n">
        <v>0</v>
      </c>
    </row>
    <row r="1074" customFormat="false" ht="15" hidden="false" customHeight="false" outlineLevel="0" collapsed="false">
      <c r="A1074" s="7" t="n">
        <v>2008</v>
      </c>
      <c r="B1074" s="12" t="s">
        <v>80</v>
      </c>
      <c r="C1074" s="12" t="s">
        <v>72</v>
      </c>
      <c r="D1074" s="12" t="s">
        <v>49</v>
      </c>
      <c r="E1074" s="16" t="n">
        <v>67.135771</v>
      </c>
      <c r="F1074" s="16" t="n">
        <v>0</v>
      </c>
      <c r="G1074" s="16" t="n">
        <v>13.488219</v>
      </c>
    </row>
    <row r="1075" customFormat="false" ht="15" hidden="false" customHeight="false" outlineLevel="0" collapsed="false">
      <c r="A1075" s="7" t="n">
        <v>2008</v>
      </c>
      <c r="B1075" s="12" t="s">
        <v>80</v>
      </c>
      <c r="C1075" s="12" t="s">
        <v>72</v>
      </c>
      <c r="D1075" s="12" t="s">
        <v>48</v>
      </c>
      <c r="E1075" s="16" t="n">
        <v>48.871993</v>
      </c>
      <c r="F1075" s="16" t="n">
        <v>0</v>
      </c>
      <c r="G1075" s="16" t="n">
        <v>0</v>
      </c>
    </row>
    <row r="1076" customFormat="false" ht="15" hidden="false" customHeight="false" outlineLevel="0" collapsed="false">
      <c r="A1076" s="7" t="n">
        <v>2008</v>
      </c>
      <c r="B1076" s="12" t="s">
        <v>80</v>
      </c>
      <c r="C1076" s="12" t="s">
        <v>72</v>
      </c>
      <c r="D1076" s="12" t="s">
        <v>46</v>
      </c>
      <c r="E1076" s="16" t="n">
        <v>22.134597</v>
      </c>
      <c r="F1076" s="16" t="n">
        <v>0</v>
      </c>
      <c r="G1076" s="16" t="n">
        <v>41.964791</v>
      </c>
    </row>
    <row r="1077" customFormat="false" ht="15" hidden="false" customHeight="false" outlineLevel="0" collapsed="false">
      <c r="A1077" s="7" t="n">
        <v>2008</v>
      </c>
      <c r="B1077" s="12" t="s">
        <v>80</v>
      </c>
      <c r="C1077" s="12" t="s">
        <v>72</v>
      </c>
      <c r="D1077" s="12" t="s">
        <v>47</v>
      </c>
      <c r="E1077" s="16" t="n">
        <v>1.838094</v>
      </c>
      <c r="F1077" s="16" t="n">
        <v>0</v>
      </c>
      <c r="G1077" s="16" t="n">
        <v>0</v>
      </c>
    </row>
    <row r="1078" customFormat="false" ht="15" hidden="false" customHeight="false" outlineLevel="0" collapsed="false">
      <c r="A1078" s="7" t="n">
        <v>2008</v>
      </c>
      <c r="B1078" s="12" t="s">
        <v>80</v>
      </c>
      <c r="C1078" s="12" t="s">
        <v>72</v>
      </c>
      <c r="D1078" s="12" t="s">
        <v>45</v>
      </c>
      <c r="E1078" s="16" t="n">
        <v>95.649123</v>
      </c>
      <c r="F1078" s="16" t="n">
        <v>93.185974</v>
      </c>
      <c r="G1078" s="16" t="n">
        <v>0</v>
      </c>
    </row>
    <row r="1079" customFormat="false" ht="15" hidden="false" customHeight="false" outlineLevel="0" collapsed="false">
      <c r="A1079" s="7" t="n">
        <v>2008</v>
      </c>
      <c r="B1079" s="12" t="s">
        <v>81</v>
      </c>
      <c r="C1079" s="12" t="s">
        <v>72</v>
      </c>
      <c r="D1079" s="12" t="s">
        <v>49</v>
      </c>
      <c r="E1079" s="16" t="n">
        <v>81.819212</v>
      </c>
      <c r="F1079" s="16" t="n">
        <v>0</v>
      </c>
      <c r="G1079" s="16" t="n">
        <v>15.91751</v>
      </c>
    </row>
    <row r="1080" customFormat="false" ht="15" hidden="false" customHeight="false" outlineLevel="0" collapsed="false">
      <c r="A1080" s="7" t="n">
        <v>2008</v>
      </c>
      <c r="B1080" s="12" t="s">
        <v>81</v>
      </c>
      <c r="C1080" s="12" t="s">
        <v>72</v>
      </c>
      <c r="D1080" s="12" t="s">
        <v>48</v>
      </c>
      <c r="E1080" s="16" t="n">
        <v>36.265439</v>
      </c>
      <c r="F1080" s="16" t="n">
        <v>0</v>
      </c>
      <c r="G1080" s="16" t="n">
        <v>0</v>
      </c>
    </row>
    <row r="1081" customFormat="false" ht="15" hidden="false" customHeight="false" outlineLevel="0" collapsed="false">
      <c r="A1081" s="7" t="n">
        <v>2008</v>
      </c>
      <c r="B1081" s="12" t="s">
        <v>81</v>
      </c>
      <c r="C1081" s="12" t="s">
        <v>72</v>
      </c>
      <c r="D1081" s="12" t="s">
        <v>46</v>
      </c>
      <c r="E1081" s="16" t="n">
        <v>43.363465</v>
      </c>
      <c r="F1081" s="16" t="n">
        <v>0</v>
      </c>
      <c r="G1081" s="16" t="n">
        <v>27.789753</v>
      </c>
    </row>
    <row r="1082" customFormat="false" ht="15" hidden="false" customHeight="false" outlineLevel="0" collapsed="false">
      <c r="A1082" s="7" t="n">
        <v>2008</v>
      </c>
      <c r="B1082" s="12" t="s">
        <v>81</v>
      </c>
      <c r="C1082" s="12" t="s">
        <v>72</v>
      </c>
      <c r="D1082" s="12" t="s">
        <v>47</v>
      </c>
      <c r="E1082" s="16" t="n">
        <v>2.25751</v>
      </c>
      <c r="F1082" s="16" t="n">
        <v>0</v>
      </c>
      <c r="G1082" s="16" t="n">
        <v>0</v>
      </c>
    </row>
    <row r="1083" customFormat="false" ht="15" hidden="false" customHeight="false" outlineLevel="0" collapsed="false">
      <c r="A1083" s="7" t="n">
        <v>2008</v>
      </c>
      <c r="B1083" s="12" t="s">
        <v>81</v>
      </c>
      <c r="C1083" s="12" t="s">
        <v>72</v>
      </c>
      <c r="D1083" s="12" t="s">
        <v>45</v>
      </c>
      <c r="E1083" s="16" t="n">
        <v>94.075016</v>
      </c>
      <c r="F1083" s="16" t="n">
        <v>90.846297</v>
      </c>
      <c r="G1083" s="16" t="n">
        <v>0</v>
      </c>
    </row>
    <row r="1084" customFormat="false" ht="15" hidden="false" customHeight="false" outlineLevel="0" collapsed="false">
      <c r="A1084" s="7" t="n">
        <v>2009</v>
      </c>
      <c r="B1084" s="12" t="s">
        <v>56</v>
      </c>
      <c r="C1084" s="12" t="s">
        <v>57</v>
      </c>
      <c r="D1084" s="12" t="s">
        <v>49</v>
      </c>
      <c r="E1084" s="16" t="n">
        <v>52.03313</v>
      </c>
      <c r="F1084" s="16" t="n">
        <v>0</v>
      </c>
      <c r="G1084" s="16" t="n">
        <v>6.805593</v>
      </c>
    </row>
    <row r="1085" customFormat="false" ht="15" hidden="false" customHeight="false" outlineLevel="0" collapsed="false">
      <c r="A1085" s="7" t="n">
        <v>2009</v>
      </c>
      <c r="B1085" s="12" t="s">
        <v>56</v>
      </c>
      <c r="C1085" s="12" t="s">
        <v>57</v>
      </c>
      <c r="D1085" s="12" t="s">
        <v>48</v>
      </c>
      <c r="E1085" s="16" t="n">
        <v>16.902682</v>
      </c>
      <c r="F1085" s="16" t="n">
        <v>0</v>
      </c>
      <c r="G1085" s="16" t="n">
        <v>0</v>
      </c>
    </row>
    <row r="1086" customFormat="false" ht="15" hidden="false" customHeight="false" outlineLevel="0" collapsed="false">
      <c r="A1086" s="7" t="n">
        <v>2009</v>
      </c>
      <c r="B1086" s="12" t="s">
        <v>56</v>
      </c>
      <c r="C1086" s="12" t="s">
        <v>57</v>
      </c>
      <c r="D1086" s="12" t="s">
        <v>46</v>
      </c>
      <c r="E1086" s="16" t="n">
        <v>20.894304</v>
      </c>
      <c r="F1086" s="16" t="n">
        <v>0</v>
      </c>
      <c r="G1086" s="16" t="n">
        <v>14.537838</v>
      </c>
    </row>
    <row r="1087" customFormat="false" ht="15" hidden="false" customHeight="false" outlineLevel="0" collapsed="false">
      <c r="A1087" s="7" t="n">
        <v>2009</v>
      </c>
      <c r="B1087" s="12" t="s">
        <v>56</v>
      </c>
      <c r="C1087" s="12" t="s">
        <v>57</v>
      </c>
      <c r="D1087" s="12" t="s">
        <v>47</v>
      </c>
      <c r="E1087" s="16" t="n">
        <v>0.069276</v>
      </c>
      <c r="F1087" s="16" t="n">
        <v>0</v>
      </c>
      <c r="G1087" s="16" t="n">
        <v>0</v>
      </c>
    </row>
    <row r="1088" customFormat="false" ht="15" hidden="false" customHeight="false" outlineLevel="0" collapsed="false">
      <c r="A1088" s="7" t="n">
        <v>2009</v>
      </c>
      <c r="B1088" s="12" t="s">
        <v>56</v>
      </c>
      <c r="C1088" s="12" t="s">
        <v>57</v>
      </c>
      <c r="D1088" s="12" t="s">
        <v>45</v>
      </c>
      <c r="E1088" s="16" t="n">
        <v>21.91144</v>
      </c>
      <c r="F1088" s="16" t="n">
        <v>9.252603</v>
      </c>
      <c r="G1088" s="16" t="n">
        <v>5.692899</v>
      </c>
    </row>
    <row r="1089" customFormat="false" ht="15" hidden="false" customHeight="false" outlineLevel="0" collapsed="false">
      <c r="A1089" s="7" t="n">
        <v>2009</v>
      </c>
      <c r="B1089" s="12" t="s">
        <v>58</v>
      </c>
      <c r="C1089" s="12" t="s">
        <v>59</v>
      </c>
      <c r="D1089" s="12" t="s">
        <v>49</v>
      </c>
      <c r="E1089" s="16" t="n">
        <v>215.463374</v>
      </c>
      <c r="F1089" s="16" t="n">
        <v>0</v>
      </c>
      <c r="G1089" s="16" t="n">
        <v>13.973808</v>
      </c>
    </row>
    <row r="1090" customFormat="false" ht="15" hidden="false" customHeight="false" outlineLevel="0" collapsed="false">
      <c r="A1090" s="7" t="n">
        <v>2009</v>
      </c>
      <c r="B1090" s="12" t="s">
        <v>58</v>
      </c>
      <c r="C1090" s="12" t="s">
        <v>59</v>
      </c>
      <c r="D1090" s="12" t="s">
        <v>48</v>
      </c>
      <c r="E1090" s="16" t="n">
        <v>61.729</v>
      </c>
      <c r="F1090" s="16" t="n">
        <v>0</v>
      </c>
      <c r="G1090" s="16" t="n">
        <v>0</v>
      </c>
    </row>
    <row r="1091" customFormat="false" ht="15" hidden="false" customHeight="false" outlineLevel="0" collapsed="false">
      <c r="A1091" s="7" t="n">
        <v>2009</v>
      </c>
      <c r="B1091" s="12" t="s">
        <v>58</v>
      </c>
      <c r="C1091" s="12" t="s">
        <v>59</v>
      </c>
      <c r="D1091" s="12" t="s">
        <v>46</v>
      </c>
      <c r="E1091" s="16" t="n">
        <v>190.272025</v>
      </c>
      <c r="F1091" s="16" t="n">
        <v>0</v>
      </c>
      <c r="G1091" s="16" t="n">
        <v>139.669715</v>
      </c>
    </row>
    <row r="1092" customFormat="false" ht="15" hidden="false" customHeight="false" outlineLevel="0" collapsed="false">
      <c r="A1092" s="7" t="n">
        <v>2009</v>
      </c>
      <c r="B1092" s="12" t="s">
        <v>58</v>
      </c>
      <c r="C1092" s="12" t="s">
        <v>59</v>
      </c>
      <c r="D1092" s="12" t="s">
        <v>47</v>
      </c>
      <c r="E1092" s="16" t="n">
        <v>1.185832</v>
      </c>
      <c r="F1092" s="16" t="n">
        <v>0</v>
      </c>
      <c r="G1092" s="16" t="n">
        <v>0</v>
      </c>
    </row>
    <row r="1093" customFormat="false" ht="15" hidden="false" customHeight="false" outlineLevel="0" collapsed="false">
      <c r="A1093" s="7" t="n">
        <v>2009</v>
      </c>
      <c r="B1093" s="12" t="s">
        <v>58</v>
      </c>
      <c r="C1093" s="12" t="s">
        <v>59</v>
      </c>
      <c r="D1093" s="12" t="s">
        <v>45</v>
      </c>
      <c r="E1093" s="16" t="n">
        <v>27.158042</v>
      </c>
      <c r="F1093" s="16" t="n">
        <v>6.117532</v>
      </c>
      <c r="G1093" s="16" t="n">
        <v>14.936587</v>
      </c>
    </row>
    <row r="1094" customFormat="false" ht="15" hidden="false" customHeight="false" outlineLevel="0" collapsed="false">
      <c r="A1094" s="7" t="n">
        <v>2009</v>
      </c>
      <c r="B1094" s="12" t="s">
        <v>60</v>
      </c>
      <c r="C1094" s="12" t="s">
        <v>59</v>
      </c>
      <c r="D1094" s="12" t="s">
        <v>49</v>
      </c>
      <c r="E1094" s="16" t="n">
        <v>415.786631</v>
      </c>
      <c r="F1094" s="16" t="n">
        <v>0</v>
      </c>
      <c r="G1094" s="16" t="n">
        <v>91.137797</v>
      </c>
    </row>
    <row r="1095" customFormat="false" ht="15" hidden="false" customHeight="false" outlineLevel="0" collapsed="false">
      <c r="A1095" s="7" t="n">
        <v>2009</v>
      </c>
      <c r="B1095" s="12" t="s">
        <v>60</v>
      </c>
      <c r="C1095" s="12" t="s">
        <v>59</v>
      </c>
      <c r="D1095" s="12" t="s">
        <v>48</v>
      </c>
      <c r="E1095" s="16" t="n">
        <v>314.528052</v>
      </c>
      <c r="F1095" s="16" t="n">
        <v>0</v>
      </c>
      <c r="G1095" s="16" t="n">
        <v>0</v>
      </c>
    </row>
    <row r="1096" customFormat="false" ht="15" hidden="false" customHeight="false" outlineLevel="0" collapsed="false">
      <c r="A1096" s="7" t="n">
        <v>2009</v>
      </c>
      <c r="B1096" s="12" t="s">
        <v>60</v>
      </c>
      <c r="C1096" s="12" t="s">
        <v>59</v>
      </c>
      <c r="D1096" s="12" t="s">
        <v>46</v>
      </c>
      <c r="E1096" s="16" t="n">
        <v>297.464867</v>
      </c>
      <c r="F1096" s="16" t="n">
        <v>0</v>
      </c>
      <c r="G1096" s="16" t="n">
        <v>300.438013</v>
      </c>
    </row>
    <row r="1097" customFormat="false" ht="15" hidden="false" customHeight="false" outlineLevel="0" collapsed="false">
      <c r="A1097" s="7" t="n">
        <v>2009</v>
      </c>
      <c r="B1097" s="12" t="s">
        <v>60</v>
      </c>
      <c r="C1097" s="12" t="s">
        <v>59</v>
      </c>
      <c r="D1097" s="12" t="s">
        <v>47</v>
      </c>
      <c r="E1097" s="16" t="n">
        <v>0.863793</v>
      </c>
      <c r="F1097" s="16" t="n">
        <v>0</v>
      </c>
      <c r="G1097" s="16" t="n">
        <v>0</v>
      </c>
    </row>
    <row r="1098" customFormat="false" ht="15" hidden="false" customHeight="false" outlineLevel="0" collapsed="false">
      <c r="A1098" s="7" t="n">
        <v>2009</v>
      </c>
      <c r="B1098" s="12" t="s">
        <v>60</v>
      </c>
      <c r="C1098" s="12" t="s">
        <v>59</v>
      </c>
      <c r="D1098" s="12" t="s">
        <v>45</v>
      </c>
      <c r="E1098" s="16" t="n">
        <v>389.344768</v>
      </c>
      <c r="F1098" s="16" t="n">
        <v>2.197043</v>
      </c>
      <c r="G1098" s="16" t="n">
        <v>55.071287</v>
      </c>
    </row>
    <row r="1099" customFormat="false" ht="15" hidden="false" customHeight="false" outlineLevel="0" collapsed="false">
      <c r="A1099" s="7" t="n">
        <v>2009</v>
      </c>
      <c r="B1099" s="12" t="s">
        <v>61</v>
      </c>
      <c r="C1099" s="12" t="s">
        <v>62</v>
      </c>
      <c r="D1099" s="12" t="s">
        <v>49</v>
      </c>
      <c r="E1099" s="16" t="n">
        <v>207.140352</v>
      </c>
      <c r="F1099" s="16" t="n">
        <v>0</v>
      </c>
      <c r="G1099" s="16" t="n">
        <v>43.778149</v>
      </c>
    </row>
    <row r="1100" customFormat="false" ht="15" hidden="false" customHeight="false" outlineLevel="0" collapsed="false">
      <c r="A1100" s="7" t="n">
        <v>2009</v>
      </c>
      <c r="B1100" s="12" t="s">
        <v>61</v>
      </c>
      <c r="C1100" s="12" t="s">
        <v>62</v>
      </c>
      <c r="D1100" s="12" t="s">
        <v>48</v>
      </c>
      <c r="E1100" s="16" t="n">
        <v>113.9588</v>
      </c>
      <c r="F1100" s="16" t="n">
        <v>0</v>
      </c>
      <c r="G1100" s="16" t="n">
        <v>0</v>
      </c>
    </row>
    <row r="1101" customFormat="false" ht="15" hidden="false" customHeight="false" outlineLevel="0" collapsed="false">
      <c r="A1101" s="7" t="n">
        <v>2009</v>
      </c>
      <c r="B1101" s="12" t="s">
        <v>61</v>
      </c>
      <c r="C1101" s="12" t="s">
        <v>62</v>
      </c>
      <c r="D1101" s="12" t="s">
        <v>46</v>
      </c>
      <c r="E1101" s="16" t="n">
        <v>142.488291</v>
      </c>
      <c r="F1101" s="16" t="n">
        <v>0</v>
      </c>
      <c r="G1101" s="16" t="n">
        <v>145.171951</v>
      </c>
    </row>
    <row r="1102" customFormat="false" ht="15" hidden="false" customHeight="false" outlineLevel="0" collapsed="false">
      <c r="A1102" s="7" t="n">
        <v>2009</v>
      </c>
      <c r="B1102" s="12" t="s">
        <v>61</v>
      </c>
      <c r="C1102" s="12" t="s">
        <v>62</v>
      </c>
      <c r="D1102" s="12" t="s">
        <v>47</v>
      </c>
      <c r="E1102" s="16" t="n">
        <v>8.608664</v>
      </c>
      <c r="F1102" s="16" t="n">
        <v>0</v>
      </c>
      <c r="G1102" s="16" t="n">
        <v>0</v>
      </c>
    </row>
    <row r="1103" customFormat="false" ht="15" hidden="false" customHeight="false" outlineLevel="0" collapsed="false">
      <c r="A1103" s="7" t="n">
        <v>2009</v>
      </c>
      <c r="B1103" s="12" t="s">
        <v>61</v>
      </c>
      <c r="C1103" s="12" t="s">
        <v>62</v>
      </c>
      <c r="D1103" s="12" t="s">
        <v>45</v>
      </c>
      <c r="E1103" s="16" t="n">
        <v>225.194652</v>
      </c>
      <c r="F1103" s="16" t="n">
        <v>217.837889</v>
      </c>
      <c r="G1103" s="16" t="n">
        <v>0</v>
      </c>
    </row>
    <row r="1104" customFormat="false" ht="15" hidden="false" customHeight="false" outlineLevel="0" collapsed="false">
      <c r="A1104" s="7" t="n">
        <v>2009</v>
      </c>
      <c r="B1104" s="12" t="s">
        <v>63</v>
      </c>
      <c r="C1104" s="12" t="s">
        <v>62</v>
      </c>
      <c r="D1104" s="12" t="s">
        <v>49</v>
      </c>
      <c r="E1104" s="16" t="n">
        <v>405.720661</v>
      </c>
      <c r="F1104" s="16" t="n">
        <v>0</v>
      </c>
      <c r="G1104" s="16" t="n">
        <v>94.107335</v>
      </c>
    </row>
    <row r="1105" customFormat="false" ht="15" hidden="false" customHeight="false" outlineLevel="0" collapsed="false">
      <c r="A1105" s="7" t="n">
        <v>2009</v>
      </c>
      <c r="B1105" s="12" t="s">
        <v>63</v>
      </c>
      <c r="C1105" s="12" t="s">
        <v>62</v>
      </c>
      <c r="D1105" s="12" t="s">
        <v>48</v>
      </c>
      <c r="E1105" s="16" t="n">
        <v>228.878676</v>
      </c>
      <c r="F1105" s="16" t="n">
        <v>0</v>
      </c>
      <c r="G1105" s="16" t="n">
        <v>0</v>
      </c>
    </row>
    <row r="1106" customFormat="false" ht="15" hidden="false" customHeight="false" outlineLevel="0" collapsed="false">
      <c r="A1106" s="7" t="n">
        <v>2009</v>
      </c>
      <c r="B1106" s="12" t="s">
        <v>63</v>
      </c>
      <c r="C1106" s="12" t="s">
        <v>62</v>
      </c>
      <c r="D1106" s="12" t="s">
        <v>46</v>
      </c>
      <c r="E1106" s="16" t="n">
        <v>220.035305</v>
      </c>
      <c r="F1106" s="16" t="n">
        <v>0</v>
      </c>
      <c r="G1106" s="16" t="n">
        <v>221.933045</v>
      </c>
    </row>
    <row r="1107" customFormat="false" ht="15" hidden="false" customHeight="false" outlineLevel="0" collapsed="false">
      <c r="A1107" s="7" t="n">
        <v>2009</v>
      </c>
      <c r="B1107" s="12" t="s">
        <v>63</v>
      </c>
      <c r="C1107" s="12" t="s">
        <v>62</v>
      </c>
      <c r="D1107" s="12" t="s">
        <v>47</v>
      </c>
      <c r="E1107" s="16" t="n">
        <v>12.238434</v>
      </c>
      <c r="F1107" s="16" t="n">
        <v>0</v>
      </c>
      <c r="G1107" s="16" t="n">
        <v>0</v>
      </c>
    </row>
    <row r="1108" customFormat="false" ht="15" hidden="false" customHeight="false" outlineLevel="0" collapsed="false">
      <c r="A1108" s="7" t="n">
        <v>2009</v>
      </c>
      <c r="B1108" s="12" t="s">
        <v>63</v>
      </c>
      <c r="C1108" s="12" t="s">
        <v>62</v>
      </c>
      <c r="D1108" s="12" t="s">
        <v>45</v>
      </c>
      <c r="E1108" s="16" t="n">
        <v>277.167453</v>
      </c>
      <c r="F1108" s="16" t="n">
        <v>267.055868</v>
      </c>
      <c r="G1108" s="16" t="n">
        <v>1.710548</v>
      </c>
    </row>
    <row r="1109" customFormat="false" ht="15" hidden="false" customHeight="false" outlineLevel="0" collapsed="false">
      <c r="A1109" s="7" t="n">
        <v>2009</v>
      </c>
      <c r="B1109" s="12" t="s">
        <v>64</v>
      </c>
      <c r="C1109" s="12" t="s">
        <v>65</v>
      </c>
      <c r="D1109" s="12" t="s">
        <v>49</v>
      </c>
      <c r="E1109" s="16" t="n">
        <v>211.376198</v>
      </c>
      <c r="F1109" s="16" t="n">
        <v>0</v>
      </c>
      <c r="G1109" s="16" t="n">
        <v>27.683236</v>
      </c>
    </row>
    <row r="1110" customFormat="false" ht="15" hidden="false" customHeight="false" outlineLevel="0" collapsed="false">
      <c r="A1110" s="7" t="n">
        <v>2009</v>
      </c>
      <c r="B1110" s="12" t="s">
        <v>64</v>
      </c>
      <c r="C1110" s="12" t="s">
        <v>65</v>
      </c>
      <c r="D1110" s="12" t="s">
        <v>48</v>
      </c>
      <c r="E1110" s="16" t="n">
        <v>49.537067</v>
      </c>
      <c r="F1110" s="16" t="n">
        <v>0</v>
      </c>
      <c r="G1110" s="16" t="n">
        <v>0</v>
      </c>
    </row>
    <row r="1111" customFormat="false" ht="15" hidden="false" customHeight="false" outlineLevel="0" collapsed="false">
      <c r="A1111" s="7" t="n">
        <v>2009</v>
      </c>
      <c r="B1111" s="12" t="s">
        <v>64</v>
      </c>
      <c r="C1111" s="12" t="s">
        <v>65</v>
      </c>
      <c r="D1111" s="12" t="s">
        <v>46</v>
      </c>
      <c r="E1111" s="16" t="n">
        <v>89.029404</v>
      </c>
      <c r="F1111" s="16" t="n">
        <v>0</v>
      </c>
      <c r="G1111" s="16" t="n">
        <v>76.757408</v>
      </c>
    </row>
    <row r="1112" customFormat="false" ht="15" hidden="false" customHeight="false" outlineLevel="0" collapsed="false">
      <c r="A1112" s="7" t="n">
        <v>2009</v>
      </c>
      <c r="B1112" s="12" t="s">
        <v>64</v>
      </c>
      <c r="C1112" s="12" t="s">
        <v>65</v>
      </c>
      <c r="D1112" s="12" t="s">
        <v>47</v>
      </c>
      <c r="E1112" s="16" t="n">
        <v>6.988758</v>
      </c>
      <c r="F1112" s="16" t="n">
        <v>0</v>
      </c>
      <c r="G1112" s="16" t="n">
        <v>0</v>
      </c>
    </row>
    <row r="1113" customFormat="false" ht="15" hidden="false" customHeight="false" outlineLevel="0" collapsed="false">
      <c r="A1113" s="7" t="n">
        <v>2009</v>
      </c>
      <c r="B1113" s="12" t="s">
        <v>64</v>
      </c>
      <c r="C1113" s="12" t="s">
        <v>65</v>
      </c>
      <c r="D1113" s="12" t="s">
        <v>45</v>
      </c>
      <c r="E1113" s="16" t="n">
        <v>30.828204</v>
      </c>
      <c r="F1113" s="16" t="n">
        <v>7.264301</v>
      </c>
      <c r="G1113" s="16" t="n">
        <v>21.894059</v>
      </c>
    </row>
    <row r="1114" customFormat="false" ht="15" hidden="false" customHeight="false" outlineLevel="0" collapsed="false">
      <c r="A1114" s="7" t="n">
        <v>2009</v>
      </c>
      <c r="B1114" s="12" t="s">
        <v>66</v>
      </c>
      <c r="C1114" s="12" t="s">
        <v>67</v>
      </c>
      <c r="D1114" s="12" t="s">
        <v>49</v>
      </c>
      <c r="E1114" s="16" t="n">
        <v>131.275366</v>
      </c>
      <c r="F1114" s="16" t="n">
        <v>0</v>
      </c>
      <c r="G1114" s="16" t="n">
        <v>28.08799</v>
      </c>
    </row>
    <row r="1115" customFormat="false" ht="15" hidden="false" customHeight="false" outlineLevel="0" collapsed="false">
      <c r="A1115" s="7" t="n">
        <v>2009</v>
      </c>
      <c r="B1115" s="12" t="s">
        <v>66</v>
      </c>
      <c r="C1115" s="12" t="s">
        <v>67</v>
      </c>
      <c r="D1115" s="12" t="s">
        <v>48</v>
      </c>
      <c r="E1115" s="16" t="n">
        <v>24.425007</v>
      </c>
      <c r="F1115" s="16" t="n">
        <v>0</v>
      </c>
      <c r="G1115" s="16" t="n">
        <v>0</v>
      </c>
    </row>
    <row r="1116" customFormat="false" ht="15" hidden="false" customHeight="false" outlineLevel="0" collapsed="false">
      <c r="A1116" s="7" t="n">
        <v>2009</v>
      </c>
      <c r="B1116" s="12" t="s">
        <v>66</v>
      </c>
      <c r="C1116" s="12" t="s">
        <v>67</v>
      </c>
      <c r="D1116" s="12" t="s">
        <v>46</v>
      </c>
      <c r="E1116" s="16" t="n">
        <v>66.872997</v>
      </c>
      <c r="F1116" s="16" t="n">
        <v>0</v>
      </c>
      <c r="G1116" s="16" t="n">
        <v>32.840053</v>
      </c>
    </row>
    <row r="1117" customFormat="false" ht="15" hidden="false" customHeight="false" outlineLevel="0" collapsed="false">
      <c r="A1117" s="7" t="n">
        <v>2009</v>
      </c>
      <c r="B1117" s="12" t="s">
        <v>66</v>
      </c>
      <c r="C1117" s="12" t="s">
        <v>67</v>
      </c>
      <c r="D1117" s="12" t="s">
        <v>47</v>
      </c>
      <c r="E1117" s="16" t="n">
        <v>2.515197</v>
      </c>
      <c r="F1117" s="16" t="n">
        <v>0</v>
      </c>
      <c r="G1117" s="16" t="n">
        <v>0</v>
      </c>
    </row>
    <row r="1118" customFormat="false" ht="15" hidden="false" customHeight="false" outlineLevel="0" collapsed="false">
      <c r="A1118" s="7" t="n">
        <v>2009</v>
      </c>
      <c r="B1118" s="12" t="s">
        <v>66</v>
      </c>
      <c r="C1118" s="12" t="s">
        <v>67</v>
      </c>
      <c r="D1118" s="12" t="s">
        <v>45</v>
      </c>
      <c r="E1118" s="16" t="n">
        <v>-12.458696</v>
      </c>
      <c r="F1118" s="16" t="n">
        <v>-36.212757</v>
      </c>
      <c r="G1118" s="16" t="n">
        <v>16.178988</v>
      </c>
    </row>
    <row r="1119" customFormat="false" ht="15" hidden="false" customHeight="false" outlineLevel="0" collapsed="false">
      <c r="A1119" s="7" t="n">
        <v>2009</v>
      </c>
      <c r="B1119" s="12" t="s">
        <v>68</v>
      </c>
      <c r="C1119" s="12" t="s">
        <v>65</v>
      </c>
      <c r="D1119" s="12" t="s">
        <v>49</v>
      </c>
      <c r="E1119" s="16" t="n">
        <v>112.355844</v>
      </c>
      <c r="F1119" s="16" t="n">
        <v>0</v>
      </c>
      <c r="G1119" s="16" t="n">
        <v>9.352305</v>
      </c>
    </row>
    <row r="1120" customFormat="false" ht="15" hidden="false" customHeight="false" outlineLevel="0" collapsed="false">
      <c r="A1120" s="7" t="n">
        <v>2009</v>
      </c>
      <c r="B1120" s="12" t="s">
        <v>68</v>
      </c>
      <c r="C1120" s="12" t="s">
        <v>65</v>
      </c>
      <c r="D1120" s="12" t="s">
        <v>48</v>
      </c>
      <c r="E1120" s="16" t="n">
        <v>20.663303</v>
      </c>
      <c r="F1120" s="16" t="n">
        <v>0</v>
      </c>
      <c r="G1120" s="16" t="n">
        <v>0</v>
      </c>
    </row>
    <row r="1121" customFormat="false" ht="15" hidden="false" customHeight="false" outlineLevel="0" collapsed="false">
      <c r="A1121" s="7" t="n">
        <v>2009</v>
      </c>
      <c r="B1121" s="12" t="s">
        <v>68</v>
      </c>
      <c r="C1121" s="12" t="s">
        <v>65</v>
      </c>
      <c r="D1121" s="12" t="s">
        <v>46</v>
      </c>
      <c r="E1121" s="16" t="n">
        <v>35.468656</v>
      </c>
      <c r="F1121" s="16" t="n">
        <v>0</v>
      </c>
      <c r="G1121" s="16" t="n">
        <v>58.659564</v>
      </c>
    </row>
    <row r="1122" customFormat="false" ht="15" hidden="false" customHeight="false" outlineLevel="0" collapsed="false">
      <c r="A1122" s="7" t="n">
        <v>2009</v>
      </c>
      <c r="B1122" s="12" t="s">
        <v>68</v>
      </c>
      <c r="C1122" s="12" t="s">
        <v>65</v>
      </c>
      <c r="D1122" s="12" t="s">
        <v>47</v>
      </c>
      <c r="E1122" s="16" t="n">
        <v>0.186761</v>
      </c>
      <c r="F1122" s="16" t="n">
        <v>0</v>
      </c>
      <c r="G1122" s="16" t="n">
        <v>0</v>
      </c>
    </row>
    <row r="1123" customFormat="false" ht="15" hidden="false" customHeight="false" outlineLevel="0" collapsed="false">
      <c r="A1123" s="7" t="n">
        <v>2009</v>
      </c>
      <c r="B1123" s="12" t="s">
        <v>68</v>
      </c>
      <c r="C1123" s="12" t="s">
        <v>65</v>
      </c>
      <c r="D1123" s="12" t="s">
        <v>45</v>
      </c>
      <c r="E1123" s="16" t="n">
        <v>10.883641</v>
      </c>
      <c r="F1123" s="16" t="n">
        <v>3.634762</v>
      </c>
      <c r="G1123" s="16" t="n">
        <v>5.046952</v>
      </c>
    </row>
    <row r="1124" customFormat="false" ht="15" hidden="false" customHeight="false" outlineLevel="0" collapsed="false">
      <c r="A1124" s="7" t="n">
        <v>2009</v>
      </c>
      <c r="B1124" s="12" t="s">
        <v>69</v>
      </c>
      <c r="C1124" s="12" t="s">
        <v>70</v>
      </c>
      <c r="D1124" s="12" t="s">
        <v>49</v>
      </c>
      <c r="E1124" s="16" t="n">
        <v>81.082168</v>
      </c>
      <c r="F1124" s="16" t="n">
        <v>0</v>
      </c>
      <c r="G1124" s="16" t="n">
        <v>18.326275</v>
      </c>
    </row>
    <row r="1125" customFormat="false" ht="15" hidden="false" customHeight="false" outlineLevel="0" collapsed="false">
      <c r="A1125" s="7" t="n">
        <v>2009</v>
      </c>
      <c r="B1125" s="12" t="s">
        <v>69</v>
      </c>
      <c r="C1125" s="12" t="s">
        <v>70</v>
      </c>
      <c r="D1125" s="12" t="s">
        <v>48</v>
      </c>
      <c r="E1125" s="16" t="n">
        <v>56.521656</v>
      </c>
      <c r="F1125" s="16" t="n">
        <v>0</v>
      </c>
      <c r="G1125" s="16" t="n">
        <v>0</v>
      </c>
    </row>
    <row r="1126" customFormat="false" ht="15" hidden="false" customHeight="false" outlineLevel="0" collapsed="false">
      <c r="A1126" s="7" t="n">
        <v>2009</v>
      </c>
      <c r="B1126" s="12" t="s">
        <v>69</v>
      </c>
      <c r="C1126" s="12" t="s">
        <v>70</v>
      </c>
      <c r="D1126" s="12" t="s">
        <v>46</v>
      </c>
      <c r="E1126" s="16" t="n">
        <v>23.1003</v>
      </c>
      <c r="F1126" s="16" t="n">
        <v>0</v>
      </c>
      <c r="G1126" s="16" t="n">
        <v>47.157103</v>
      </c>
    </row>
    <row r="1127" customFormat="false" ht="15" hidden="false" customHeight="false" outlineLevel="0" collapsed="false">
      <c r="A1127" s="7" t="n">
        <v>2009</v>
      </c>
      <c r="B1127" s="12" t="s">
        <v>69</v>
      </c>
      <c r="C1127" s="12" t="s">
        <v>70</v>
      </c>
      <c r="D1127" s="12" t="s">
        <v>47</v>
      </c>
      <c r="E1127" s="16" t="n">
        <v>3.935311</v>
      </c>
      <c r="F1127" s="16" t="n">
        <v>0</v>
      </c>
      <c r="G1127" s="16" t="n">
        <v>0</v>
      </c>
    </row>
    <row r="1128" customFormat="false" ht="15" hidden="false" customHeight="false" outlineLevel="0" collapsed="false">
      <c r="A1128" s="7" t="n">
        <v>2009</v>
      </c>
      <c r="B1128" s="12" t="s">
        <v>69</v>
      </c>
      <c r="C1128" s="12" t="s">
        <v>70</v>
      </c>
      <c r="D1128" s="12" t="s">
        <v>45</v>
      </c>
      <c r="E1128" s="16" t="n">
        <v>134.351796</v>
      </c>
      <c r="F1128" s="16" t="n">
        <v>131.261203</v>
      </c>
      <c r="G1128" s="16" t="n">
        <v>0</v>
      </c>
    </row>
    <row r="1129" customFormat="false" ht="15" hidden="false" customHeight="false" outlineLevel="0" collapsed="false">
      <c r="A1129" s="7" t="n">
        <v>2009</v>
      </c>
      <c r="B1129" s="12" t="s">
        <v>71</v>
      </c>
      <c r="C1129" s="12" t="s">
        <v>72</v>
      </c>
      <c r="D1129" s="12" t="s">
        <v>49</v>
      </c>
      <c r="E1129" s="16" t="n">
        <v>31.505851</v>
      </c>
      <c r="F1129" s="16" t="n">
        <v>0</v>
      </c>
      <c r="G1129" s="16" t="n">
        <v>2.150651</v>
      </c>
    </row>
    <row r="1130" customFormat="false" ht="15" hidden="false" customHeight="false" outlineLevel="0" collapsed="false">
      <c r="A1130" s="7" t="n">
        <v>2009</v>
      </c>
      <c r="B1130" s="12" t="s">
        <v>71</v>
      </c>
      <c r="C1130" s="12" t="s">
        <v>72</v>
      </c>
      <c r="D1130" s="12" t="s">
        <v>48</v>
      </c>
      <c r="E1130" s="16" t="n">
        <v>15.458232</v>
      </c>
      <c r="F1130" s="16" t="n">
        <v>0</v>
      </c>
      <c r="G1130" s="16" t="n">
        <v>0</v>
      </c>
    </row>
    <row r="1131" customFormat="false" ht="15" hidden="false" customHeight="false" outlineLevel="0" collapsed="false">
      <c r="A1131" s="7" t="n">
        <v>2009</v>
      </c>
      <c r="B1131" s="12" t="s">
        <v>71</v>
      </c>
      <c r="C1131" s="12" t="s">
        <v>72</v>
      </c>
      <c r="D1131" s="12" t="s">
        <v>46</v>
      </c>
      <c r="E1131" s="16" t="n">
        <v>11.425606</v>
      </c>
      <c r="F1131" s="16" t="n">
        <v>0</v>
      </c>
      <c r="G1131" s="16" t="n">
        <v>12.132775</v>
      </c>
    </row>
    <row r="1132" customFormat="false" ht="15" hidden="false" customHeight="false" outlineLevel="0" collapsed="false">
      <c r="A1132" s="7" t="n">
        <v>2009</v>
      </c>
      <c r="B1132" s="12" t="s">
        <v>71</v>
      </c>
      <c r="C1132" s="12" t="s">
        <v>72</v>
      </c>
      <c r="D1132" s="12" t="s">
        <v>47</v>
      </c>
      <c r="E1132" s="16" t="n">
        <v>0.734078</v>
      </c>
      <c r="F1132" s="16" t="n">
        <v>0</v>
      </c>
      <c r="G1132" s="16" t="n">
        <v>0</v>
      </c>
    </row>
    <row r="1133" customFormat="false" ht="15" hidden="false" customHeight="false" outlineLevel="0" collapsed="false">
      <c r="A1133" s="7" t="n">
        <v>2009</v>
      </c>
      <c r="B1133" s="12" t="s">
        <v>71</v>
      </c>
      <c r="C1133" s="12" t="s">
        <v>72</v>
      </c>
      <c r="D1133" s="12" t="s">
        <v>45</v>
      </c>
      <c r="E1133" s="16" t="n">
        <v>24.884218</v>
      </c>
      <c r="F1133" s="16" t="n">
        <v>25.055799</v>
      </c>
      <c r="G1133" s="16" t="n">
        <v>0.019987</v>
      </c>
    </row>
    <row r="1134" customFormat="false" ht="15" hidden="false" customHeight="false" outlineLevel="0" collapsed="false">
      <c r="A1134" s="7" t="n">
        <v>2009</v>
      </c>
      <c r="B1134" s="12" t="s">
        <v>73</v>
      </c>
      <c r="C1134" s="12" t="s">
        <v>70</v>
      </c>
      <c r="D1134" s="12" t="s">
        <v>49</v>
      </c>
      <c r="E1134" s="16" t="n">
        <v>87.105465</v>
      </c>
      <c r="F1134" s="16" t="n">
        <v>0</v>
      </c>
      <c r="G1134" s="16" t="n">
        <v>14.96685</v>
      </c>
    </row>
    <row r="1135" customFormat="false" ht="15" hidden="false" customHeight="false" outlineLevel="0" collapsed="false">
      <c r="A1135" s="7" t="n">
        <v>2009</v>
      </c>
      <c r="B1135" s="12" t="s">
        <v>73</v>
      </c>
      <c r="C1135" s="12" t="s">
        <v>70</v>
      </c>
      <c r="D1135" s="12" t="s">
        <v>48</v>
      </c>
      <c r="E1135" s="16" t="n">
        <v>76.011921</v>
      </c>
      <c r="F1135" s="16" t="n">
        <v>0</v>
      </c>
      <c r="G1135" s="16" t="n">
        <v>0</v>
      </c>
    </row>
    <row r="1136" customFormat="false" ht="15" hidden="false" customHeight="false" outlineLevel="0" collapsed="false">
      <c r="A1136" s="7" t="n">
        <v>2009</v>
      </c>
      <c r="B1136" s="12" t="s">
        <v>73</v>
      </c>
      <c r="C1136" s="12" t="s">
        <v>70</v>
      </c>
      <c r="D1136" s="12" t="s">
        <v>46</v>
      </c>
      <c r="E1136" s="16" t="n">
        <v>88.142321</v>
      </c>
      <c r="F1136" s="16" t="n">
        <v>0</v>
      </c>
      <c r="G1136" s="16" t="n">
        <v>60.005282</v>
      </c>
    </row>
    <row r="1137" customFormat="false" ht="15" hidden="false" customHeight="false" outlineLevel="0" collapsed="false">
      <c r="A1137" s="7" t="n">
        <v>2009</v>
      </c>
      <c r="B1137" s="12" t="s">
        <v>73</v>
      </c>
      <c r="C1137" s="12" t="s">
        <v>70</v>
      </c>
      <c r="D1137" s="12" t="s">
        <v>47</v>
      </c>
      <c r="E1137" s="16" t="n">
        <v>3.241568</v>
      </c>
      <c r="F1137" s="16" t="n">
        <v>0</v>
      </c>
      <c r="G1137" s="16" t="n">
        <v>0</v>
      </c>
    </row>
    <row r="1138" customFormat="false" ht="15" hidden="false" customHeight="false" outlineLevel="0" collapsed="false">
      <c r="A1138" s="7" t="n">
        <v>2009</v>
      </c>
      <c r="B1138" s="12" t="s">
        <v>73</v>
      </c>
      <c r="C1138" s="12" t="s">
        <v>70</v>
      </c>
      <c r="D1138" s="12" t="s">
        <v>45</v>
      </c>
      <c r="E1138" s="16" t="n">
        <v>52.271116</v>
      </c>
      <c r="F1138" s="16" t="n">
        <v>35.699799</v>
      </c>
      <c r="G1138" s="16" t="n">
        <v>12.569332</v>
      </c>
    </row>
    <row r="1139" customFormat="false" ht="15" hidden="false" customHeight="false" outlineLevel="0" collapsed="false">
      <c r="A1139" s="7" t="n">
        <v>2009</v>
      </c>
      <c r="B1139" s="12" t="s">
        <v>74</v>
      </c>
      <c r="C1139" s="12" t="s">
        <v>65</v>
      </c>
      <c r="D1139" s="12" t="s">
        <v>49</v>
      </c>
      <c r="E1139" s="16" t="n">
        <v>163.378416</v>
      </c>
      <c r="F1139" s="16" t="n">
        <v>0</v>
      </c>
      <c r="G1139" s="16" t="n">
        <v>12.6183</v>
      </c>
    </row>
    <row r="1140" customFormat="false" ht="15" hidden="false" customHeight="false" outlineLevel="0" collapsed="false">
      <c r="A1140" s="7" t="n">
        <v>2009</v>
      </c>
      <c r="B1140" s="12" t="s">
        <v>74</v>
      </c>
      <c r="C1140" s="12" t="s">
        <v>65</v>
      </c>
      <c r="D1140" s="12" t="s">
        <v>48</v>
      </c>
      <c r="E1140" s="16" t="n">
        <v>21.360617</v>
      </c>
      <c r="F1140" s="16" t="n">
        <v>0</v>
      </c>
      <c r="G1140" s="16" t="n">
        <v>0</v>
      </c>
    </row>
    <row r="1141" customFormat="false" ht="15" hidden="false" customHeight="false" outlineLevel="0" collapsed="false">
      <c r="A1141" s="7" t="n">
        <v>2009</v>
      </c>
      <c r="B1141" s="12" t="s">
        <v>74</v>
      </c>
      <c r="C1141" s="12" t="s">
        <v>65</v>
      </c>
      <c r="D1141" s="12" t="s">
        <v>46</v>
      </c>
      <c r="E1141" s="16" t="n">
        <v>35.198198</v>
      </c>
      <c r="F1141" s="16" t="n">
        <v>0</v>
      </c>
      <c r="G1141" s="16" t="n">
        <v>54.590544</v>
      </c>
    </row>
    <row r="1142" customFormat="false" ht="15" hidden="false" customHeight="false" outlineLevel="0" collapsed="false">
      <c r="A1142" s="7" t="n">
        <v>2009</v>
      </c>
      <c r="B1142" s="12" t="s">
        <v>74</v>
      </c>
      <c r="C1142" s="12" t="s">
        <v>65</v>
      </c>
      <c r="D1142" s="12" t="s">
        <v>47</v>
      </c>
      <c r="E1142" s="16" t="n">
        <v>0.003307</v>
      </c>
      <c r="F1142" s="16" t="n">
        <v>0</v>
      </c>
      <c r="G1142" s="16" t="n">
        <v>0</v>
      </c>
    </row>
    <row r="1143" customFormat="false" ht="15" hidden="false" customHeight="false" outlineLevel="0" collapsed="false">
      <c r="A1143" s="7" t="n">
        <v>2009</v>
      </c>
      <c r="B1143" s="12" t="s">
        <v>74</v>
      </c>
      <c r="C1143" s="12" t="s">
        <v>65</v>
      </c>
      <c r="D1143" s="12" t="s">
        <v>45</v>
      </c>
      <c r="E1143" s="16" t="n">
        <v>17.450807</v>
      </c>
      <c r="F1143" s="16" t="n">
        <v>0.076547</v>
      </c>
      <c r="G1143" s="16" t="n">
        <v>20.217123</v>
      </c>
    </row>
    <row r="1144" customFormat="false" ht="15" hidden="false" customHeight="false" outlineLevel="0" collapsed="false">
      <c r="A1144" s="7" t="n">
        <v>2009</v>
      </c>
      <c r="B1144" s="12" t="s">
        <v>75</v>
      </c>
      <c r="C1144" s="12" t="s">
        <v>57</v>
      </c>
      <c r="D1144" s="12" t="s">
        <v>49</v>
      </c>
      <c r="E1144" s="16" t="n">
        <v>198.525618</v>
      </c>
      <c r="F1144" s="16" t="n">
        <v>0</v>
      </c>
      <c r="G1144" s="16" t="n">
        <v>41.625218</v>
      </c>
    </row>
    <row r="1145" customFormat="false" ht="15" hidden="false" customHeight="false" outlineLevel="0" collapsed="false">
      <c r="A1145" s="7" t="n">
        <v>2009</v>
      </c>
      <c r="B1145" s="12" t="s">
        <v>75</v>
      </c>
      <c r="C1145" s="12" t="s">
        <v>57</v>
      </c>
      <c r="D1145" s="12" t="s">
        <v>48</v>
      </c>
      <c r="E1145" s="16" t="n">
        <v>122.736884</v>
      </c>
      <c r="F1145" s="16" t="n">
        <v>0</v>
      </c>
      <c r="G1145" s="16" t="n">
        <v>0</v>
      </c>
    </row>
    <row r="1146" customFormat="false" ht="15" hidden="false" customHeight="false" outlineLevel="0" collapsed="false">
      <c r="A1146" s="7" t="n">
        <v>2009</v>
      </c>
      <c r="B1146" s="12" t="s">
        <v>75</v>
      </c>
      <c r="C1146" s="12" t="s">
        <v>57</v>
      </c>
      <c r="D1146" s="12" t="s">
        <v>46</v>
      </c>
      <c r="E1146" s="16" t="n">
        <v>102.52969</v>
      </c>
      <c r="F1146" s="16" t="n">
        <v>0</v>
      </c>
      <c r="G1146" s="16" t="n">
        <v>87.809292</v>
      </c>
    </row>
    <row r="1147" customFormat="false" ht="15" hidden="false" customHeight="false" outlineLevel="0" collapsed="false">
      <c r="A1147" s="7" t="n">
        <v>2009</v>
      </c>
      <c r="B1147" s="12" t="s">
        <v>75</v>
      </c>
      <c r="C1147" s="12" t="s">
        <v>57</v>
      </c>
      <c r="D1147" s="12" t="s">
        <v>47</v>
      </c>
      <c r="E1147" s="16" t="n">
        <v>12.334874</v>
      </c>
      <c r="F1147" s="16" t="n">
        <v>0</v>
      </c>
      <c r="G1147" s="16" t="n">
        <v>0</v>
      </c>
    </row>
    <row r="1148" customFormat="false" ht="15" hidden="false" customHeight="false" outlineLevel="0" collapsed="false">
      <c r="A1148" s="7" t="n">
        <v>2009</v>
      </c>
      <c r="B1148" s="12" t="s">
        <v>75</v>
      </c>
      <c r="C1148" s="12" t="s">
        <v>57</v>
      </c>
      <c r="D1148" s="12" t="s">
        <v>45</v>
      </c>
      <c r="E1148" s="16" t="n">
        <v>163.909646</v>
      </c>
      <c r="F1148" s="16" t="n">
        <v>78.771852</v>
      </c>
      <c r="G1148" s="16" t="n">
        <v>40.988309</v>
      </c>
    </row>
    <row r="1149" customFormat="false" ht="15" hidden="false" customHeight="false" outlineLevel="0" collapsed="false">
      <c r="A1149" s="7" t="n">
        <v>2009</v>
      </c>
      <c r="B1149" s="12" t="s">
        <v>76</v>
      </c>
      <c r="C1149" s="12" t="s">
        <v>72</v>
      </c>
      <c r="D1149" s="12" t="s">
        <v>49</v>
      </c>
      <c r="E1149" s="16" t="n">
        <v>30.341833</v>
      </c>
      <c r="F1149" s="16" t="n">
        <v>0</v>
      </c>
      <c r="G1149" s="16" t="n">
        <v>8.594902</v>
      </c>
    </row>
    <row r="1150" customFormat="false" ht="15" hidden="false" customHeight="false" outlineLevel="0" collapsed="false">
      <c r="A1150" s="7" t="n">
        <v>2009</v>
      </c>
      <c r="B1150" s="12" t="s">
        <v>76</v>
      </c>
      <c r="C1150" s="12" t="s">
        <v>72</v>
      </c>
      <c r="D1150" s="12" t="s">
        <v>48</v>
      </c>
      <c r="E1150" s="16" t="n">
        <v>20.973146</v>
      </c>
      <c r="F1150" s="16" t="n">
        <v>0</v>
      </c>
      <c r="G1150" s="16" t="n">
        <v>0</v>
      </c>
    </row>
    <row r="1151" customFormat="false" ht="15" hidden="false" customHeight="false" outlineLevel="0" collapsed="false">
      <c r="A1151" s="7" t="n">
        <v>2009</v>
      </c>
      <c r="B1151" s="12" t="s">
        <v>76</v>
      </c>
      <c r="C1151" s="12" t="s">
        <v>72</v>
      </c>
      <c r="D1151" s="12" t="s">
        <v>46</v>
      </c>
      <c r="E1151" s="16" t="n">
        <v>19.40793</v>
      </c>
      <c r="F1151" s="16" t="n">
        <v>0</v>
      </c>
      <c r="G1151" s="16" t="n">
        <v>20.750212</v>
      </c>
    </row>
    <row r="1152" customFormat="false" ht="15" hidden="false" customHeight="false" outlineLevel="0" collapsed="false">
      <c r="A1152" s="7" t="n">
        <v>2009</v>
      </c>
      <c r="B1152" s="12" t="s">
        <v>76</v>
      </c>
      <c r="C1152" s="12" t="s">
        <v>72</v>
      </c>
      <c r="D1152" s="12" t="s">
        <v>45</v>
      </c>
      <c r="E1152" s="16" t="n">
        <v>43.398491</v>
      </c>
      <c r="F1152" s="16" t="n">
        <v>0</v>
      </c>
      <c r="G1152" s="16" t="n">
        <v>12.15367</v>
      </c>
    </row>
    <row r="1153" customFormat="false" ht="15" hidden="false" customHeight="false" outlineLevel="0" collapsed="false">
      <c r="A1153" s="7" t="n">
        <v>2009</v>
      </c>
      <c r="B1153" s="12" t="s">
        <v>77</v>
      </c>
      <c r="C1153" s="12" t="s">
        <v>57</v>
      </c>
      <c r="D1153" s="12" t="s">
        <v>49</v>
      </c>
      <c r="E1153" s="16" t="n">
        <v>33.340121</v>
      </c>
      <c r="F1153" s="16" t="n">
        <v>0</v>
      </c>
      <c r="G1153" s="16" t="n">
        <v>2.94295</v>
      </c>
    </row>
    <row r="1154" customFormat="false" ht="15" hidden="false" customHeight="false" outlineLevel="0" collapsed="false">
      <c r="A1154" s="7" t="n">
        <v>2009</v>
      </c>
      <c r="B1154" s="12" t="s">
        <v>77</v>
      </c>
      <c r="C1154" s="12" t="s">
        <v>57</v>
      </c>
      <c r="D1154" s="12" t="s">
        <v>48</v>
      </c>
      <c r="E1154" s="16" t="n">
        <v>17.273444</v>
      </c>
      <c r="F1154" s="16" t="n">
        <v>0</v>
      </c>
      <c r="G1154" s="16" t="n">
        <v>0</v>
      </c>
    </row>
    <row r="1155" customFormat="false" ht="15" hidden="false" customHeight="false" outlineLevel="0" collapsed="false">
      <c r="A1155" s="7" t="n">
        <v>2009</v>
      </c>
      <c r="B1155" s="12" t="s">
        <v>77</v>
      </c>
      <c r="C1155" s="12" t="s">
        <v>57</v>
      </c>
      <c r="D1155" s="12" t="s">
        <v>46</v>
      </c>
      <c r="E1155" s="16" t="n">
        <v>14.334018</v>
      </c>
      <c r="F1155" s="16" t="n">
        <v>0</v>
      </c>
      <c r="G1155" s="16" t="n">
        <v>9.463184</v>
      </c>
    </row>
    <row r="1156" customFormat="false" ht="15" hidden="false" customHeight="false" outlineLevel="0" collapsed="false">
      <c r="A1156" s="7" t="n">
        <v>2009</v>
      </c>
      <c r="B1156" s="12" t="s">
        <v>77</v>
      </c>
      <c r="C1156" s="12" t="s">
        <v>57</v>
      </c>
      <c r="D1156" s="12" t="s">
        <v>47</v>
      </c>
      <c r="E1156" s="16" t="n">
        <v>1.714383</v>
      </c>
      <c r="F1156" s="16" t="n">
        <v>0</v>
      </c>
      <c r="G1156" s="16" t="n">
        <v>0</v>
      </c>
    </row>
    <row r="1157" customFormat="false" ht="15" hidden="false" customHeight="false" outlineLevel="0" collapsed="false">
      <c r="A1157" s="7" t="n">
        <v>2009</v>
      </c>
      <c r="B1157" s="12" t="s">
        <v>77</v>
      </c>
      <c r="C1157" s="12" t="s">
        <v>57</v>
      </c>
      <c r="D1157" s="12" t="s">
        <v>45</v>
      </c>
      <c r="E1157" s="16" t="n">
        <v>8.972314</v>
      </c>
      <c r="F1157" s="16" t="n">
        <v>0.138817</v>
      </c>
      <c r="G1157" s="16" t="n">
        <v>4.214042</v>
      </c>
    </row>
    <row r="1158" customFormat="false" ht="15" hidden="false" customHeight="false" outlineLevel="0" collapsed="false">
      <c r="A1158" s="7" t="n">
        <v>2009</v>
      </c>
      <c r="B1158" s="12" t="s">
        <v>78</v>
      </c>
      <c r="C1158" s="12" t="s">
        <v>65</v>
      </c>
      <c r="D1158" s="12" t="s">
        <v>49</v>
      </c>
      <c r="E1158" s="16" t="n">
        <v>38.067511</v>
      </c>
      <c r="F1158" s="16" t="n">
        <v>0</v>
      </c>
      <c r="G1158" s="16" t="n">
        <v>1.855288</v>
      </c>
    </row>
    <row r="1159" customFormat="false" ht="15" hidden="false" customHeight="false" outlineLevel="0" collapsed="false">
      <c r="A1159" s="7" t="n">
        <v>2009</v>
      </c>
      <c r="B1159" s="12" t="s">
        <v>78</v>
      </c>
      <c r="C1159" s="12" t="s">
        <v>65</v>
      </c>
      <c r="D1159" s="12" t="s">
        <v>48</v>
      </c>
      <c r="E1159" s="16" t="n">
        <v>9.486827</v>
      </c>
      <c r="F1159" s="16" t="n">
        <v>0</v>
      </c>
      <c r="G1159" s="16" t="n">
        <v>0</v>
      </c>
    </row>
    <row r="1160" customFormat="false" ht="15" hidden="false" customHeight="false" outlineLevel="0" collapsed="false">
      <c r="A1160" s="7" t="n">
        <v>2009</v>
      </c>
      <c r="B1160" s="12" t="s">
        <v>78</v>
      </c>
      <c r="C1160" s="12" t="s">
        <v>65</v>
      </c>
      <c r="D1160" s="12" t="s">
        <v>46</v>
      </c>
      <c r="E1160" s="16" t="n">
        <v>16.35913</v>
      </c>
      <c r="F1160" s="16" t="n">
        <v>0</v>
      </c>
      <c r="G1160" s="16" t="n">
        <v>13.706596</v>
      </c>
    </row>
    <row r="1161" customFormat="false" ht="15" hidden="false" customHeight="false" outlineLevel="0" collapsed="false">
      <c r="A1161" s="7" t="n">
        <v>2009</v>
      </c>
      <c r="B1161" s="12" t="s">
        <v>78</v>
      </c>
      <c r="C1161" s="12" t="s">
        <v>65</v>
      </c>
      <c r="D1161" s="12" t="s">
        <v>45</v>
      </c>
      <c r="E1161" s="16" t="n">
        <v>10.389632</v>
      </c>
      <c r="F1161" s="16" t="n">
        <v>0</v>
      </c>
      <c r="G1161" s="16" t="n">
        <v>5.428328</v>
      </c>
    </row>
    <row r="1162" customFormat="false" ht="15" hidden="false" customHeight="false" outlineLevel="0" collapsed="false">
      <c r="A1162" s="7" t="n">
        <v>2009</v>
      </c>
      <c r="B1162" s="12" t="s">
        <v>79</v>
      </c>
      <c r="C1162" s="12" t="s">
        <v>72</v>
      </c>
      <c r="D1162" s="12" t="s">
        <v>49</v>
      </c>
      <c r="E1162" s="16" t="n">
        <v>174.006405</v>
      </c>
      <c r="F1162" s="16" t="n">
        <v>0</v>
      </c>
      <c r="G1162" s="16" t="n">
        <v>16.777792</v>
      </c>
    </row>
    <row r="1163" customFormat="false" ht="15" hidden="false" customHeight="false" outlineLevel="0" collapsed="false">
      <c r="A1163" s="7" t="n">
        <v>2009</v>
      </c>
      <c r="B1163" s="12" t="s">
        <v>79</v>
      </c>
      <c r="C1163" s="12" t="s">
        <v>72</v>
      </c>
      <c r="D1163" s="12" t="s">
        <v>48</v>
      </c>
      <c r="E1163" s="16" t="n">
        <v>101.918433</v>
      </c>
      <c r="F1163" s="16" t="n">
        <v>0</v>
      </c>
      <c r="G1163" s="16" t="n">
        <v>0</v>
      </c>
    </row>
    <row r="1164" customFormat="false" ht="15" hidden="false" customHeight="false" outlineLevel="0" collapsed="false">
      <c r="A1164" s="7" t="n">
        <v>2009</v>
      </c>
      <c r="B1164" s="12" t="s">
        <v>79</v>
      </c>
      <c r="C1164" s="12" t="s">
        <v>72</v>
      </c>
      <c r="D1164" s="12" t="s">
        <v>46</v>
      </c>
      <c r="E1164" s="16" t="n">
        <v>81.73798</v>
      </c>
      <c r="F1164" s="16" t="n">
        <v>0</v>
      </c>
      <c r="G1164" s="16" t="n">
        <v>97.488403</v>
      </c>
    </row>
    <row r="1165" customFormat="false" ht="15" hidden="false" customHeight="false" outlineLevel="0" collapsed="false">
      <c r="A1165" s="7" t="n">
        <v>2009</v>
      </c>
      <c r="B1165" s="12" t="s">
        <v>79</v>
      </c>
      <c r="C1165" s="12" t="s">
        <v>72</v>
      </c>
      <c r="D1165" s="12" t="s">
        <v>47</v>
      </c>
      <c r="E1165" s="16" t="n">
        <v>6.382714</v>
      </c>
      <c r="F1165" s="16" t="n">
        <v>0</v>
      </c>
      <c r="G1165" s="16" t="n">
        <v>0</v>
      </c>
    </row>
    <row r="1166" customFormat="false" ht="15" hidden="false" customHeight="false" outlineLevel="0" collapsed="false">
      <c r="A1166" s="7" t="n">
        <v>2009</v>
      </c>
      <c r="B1166" s="12" t="s">
        <v>79</v>
      </c>
      <c r="C1166" s="12" t="s">
        <v>72</v>
      </c>
      <c r="D1166" s="12" t="s">
        <v>45</v>
      </c>
      <c r="E1166" s="16" t="n">
        <v>257.78046</v>
      </c>
      <c r="F1166" s="16" t="n">
        <v>251.624521</v>
      </c>
      <c r="G1166" s="16" t="n">
        <v>0</v>
      </c>
    </row>
    <row r="1167" customFormat="false" ht="15" hidden="false" customHeight="false" outlineLevel="0" collapsed="false">
      <c r="A1167" s="7" t="n">
        <v>2009</v>
      </c>
      <c r="B1167" s="12" t="s">
        <v>80</v>
      </c>
      <c r="C1167" s="12" t="s">
        <v>72</v>
      </c>
      <c r="D1167" s="12" t="s">
        <v>49</v>
      </c>
      <c r="E1167" s="16" t="n">
        <v>63.374157</v>
      </c>
      <c r="F1167" s="16" t="n">
        <v>0</v>
      </c>
      <c r="G1167" s="16" t="n">
        <v>17.142391</v>
      </c>
    </row>
    <row r="1168" customFormat="false" ht="15" hidden="false" customHeight="false" outlineLevel="0" collapsed="false">
      <c r="A1168" s="7" t="n">
        <v>2009</v>
      </c>
      <c r="B1168" s="12" t="s">
        <v>80</v>
      </c>
      <c r="C1168" s="12" t="s">
        <v>72</v>
      </c>
      <c r="D1168" s="12" t="s">
        <v>48</v>
      </c>
      <c r="E1168" s="16" t="n">
        <v>45.387728</v>
      </c>
      <c r="F1168" s="16" t="n">
        <v>0</v>
      </c>
      <c r="G1168" s="16" t="n">
        <v>0</v>
      </c>
    </row>
    <row r="1169" customFormat="false" ht="15" hidden="false" customHeight="false" outlineLevel="0" collapsed="false">
      <c r="A1169" s="7" t="n">
        <v>2009</v>
      </c>
      <c r="B1169" s="12" t="s">
        <v>80</v>
      </c>
      <c r="C1169" s="12" t="s">
        <v>72</v>
      </c>
      <c r="D1169" s="12" t="s">
        <v>46</v>
      </c>
      <c r="E1169" s="16" t="n">
        <v>19.413395</v>
      </c>
      <c r="F1169" s="16" t="n">
        <v>0</v>
      </c>
      <c r="G1169" s="16" t="n">
        <v>43.887393</v>
      </c>
    </row>
    <row r="1170" customFormat="false" ht="15" hidden="false" customHeight="false" outlineLevel="0" collapsed="false">
      <c r="A1170" s="7" t="n">
        <v>2009</v>
      </c>
      <c r="B1170" s="12" t="s">
        <v>80</v>
      </c>
      <c r="C1170" s="12" t="s">
        <v>72</v>
      </c>
      <c r="D1170" s="12" t="s">
        <v>47</v>
      </c>
      <c r="E1170" s="16" t="n">
        <v>2.757001</v>
      </c>
      <c r="F1170" s="16" t="n">
        <v>0</v>
      </c>
      <c r="G1170" s="16" t="n">
        <v>0</v>
      </c>
    </row>
    <row r="1171" customFormat="false" ht="15" hidden="false" customHeight="false" outlineLevel="0" collapsed="false">
      <c r="A1171" s="7" t="n">
        <v>2009</v>
      </c>
      <c r="B1171" s="12" t="s">
        <v>80</v>
      </c>
      <c r="C1171" s="12" t="s">
        <v>72</v>
      </c>
      <c r="D1171" s="12" t="s">
        <v>45</v>
      </c>
      <c r="E1171" s="16" t="n">
        <v>96.478352</v>
      </c>
      <c r="F1171" s="16" t="n">
        <v>94.186976</v>
      </c>
      <c r="G1171" s="16" t="n">
        <v>0</v>
      </c>
    </row>
    <row r="1172" customFormat="false" ht="15" hidden="false" customHeight="false" outlineLevel="0" collapsed="false">
      <c r="A1172" s="7" t="n">
        <v>2009</v>
      </c>
      <c r="B1172" s="12" t="s">
        <v>81</v>
      </c>
      <c r="C1172" s="12" t="s">
        <v>72</v>
      </c>
      <c r="D1172" s="12" t="s">
        <v>49</v>
      </c>
      <c r="E1172" s="16" t="n">
        <v>101.26968</v>
      </c>
      <c r="F1172" s="16" t="n">
        <v>0</v>
      </c>
      <c r="G1172" s="16" t="n">
        <v>15.335918</v>
      </c>
    </row>
    <row r="1173" customFormat="false" ht="15" hidden="false" customHeight="false" outlineLevel="0" collapsed="false">
      <c r="A1173" s="7" t="n">
        <v>2009</v>
      </c>
      <c r="B1173" s="12" t="s">
        <v>81</v>
      </c>
      <c r="C1173" s="12" t="s">
        <v>72</v>
      </c>
      <c r="D1173" s="12" t="s">
        <v>48</v>
      </c>
      <c r="E1173" s="16" t="n">
        <v>36.183424</v>
      </c>
      <c r="F1173" s="16" t="n">
        <v>0</v>
      </c>
      <c r="G1173" s="16" t="n">
        <v>0</v>
      </c>
    </row>
    <row r="1174" customFormat="false" ht="15" hidden="false" customHeight="false" outlineLevel="0" collapsed="false">
      <c r="A1174" s="7" t="n">
        <v>2009</v>
      </c>
      <c r="B1174" s="12" t="s">
        <v>81</v>
      </c>
      <c r="C1174" s="12" t="s">
        <v>72</v>
      </c>
      <c r="D1174" s="12" t="s">
        <v>46</v>
      </c>
      <c r="E1174" s="16" t="n">
        <v>42.743813</v>
      </c>
      <c r="F1174" s="16" t="n">
        <v>0</v>
      </c>
      <c r="G1174" s="16" t="n">
        <v>28.644604</v>
      </c>
    </row>
    <row r="1175" customFormat="false" ht="15" hidden="false" customHeight="false" outlineLevel="0" collapsed="false">
      <c r="A1175" s="7" t="n">
        <v>2009</v>
      </c>
      <c r="B1175" s="12" t="s">
        <v>81</v>
      </c>
      <c r="C1175" s="12" t="s">
        <v>72</v>
      </c>
      <c r="D1175" s="12" t="s">
        <v>47</v>
      </c>
      <c r="E1175" s="16" t="n">
        <v>2.662285</v>
      </c>
      <c r="F1175" s="16" t="n">
        <v>0</v>
      </c>
      <c r="G1175" s="16" t="n">
        <v>0</v>
      </c>
    </row>
    <row r="1176" customFormat="false" ht="15" hidden="false" customHeight="false" outlineLevel="0" collapsed="false">
      <c r="A1176" s="7" t="n">
        <v>2009</v>
      </c>
      <c r="B1176" s="12" t="s">
        <v>81</v>
      </c>
      <c r="C1176" s="12" t="s">
        <v>72</v>
      </c>
      <c r="D1176" s="12" t="s">
        <v>45</v>
      </c>
      <c r="E1176" s="16" t="n">
        <v>96.339264</v>
      </c>
      <c r="F1176" s="16" t="n">
        <v>94.200713</v>
      </c>
      <c r="G1176" s="16" t="n">
        <v>0</v>
      </c>
    </row>
    <row r="1177" customFormat="false" ht="15" hidden="false" customHeight="false" outlineLevel="0" collapsed="false">
      <c r="A1177" s="7" t="n">
        <v>2010</v>
      </c>
      <c r="B1177" s="12" t="s">
        <v>56</v>
      </c>
      <c r="C1177" s="12" t="s">
        <v>57</v>
      </c>
      <c r="D1177" s="12" t="s">
        <v>49</v>
      </c>
      <c r="E1177" s="16" t="n">
        <v>60.988838</v>
      </c>
      <c r="F1177" s="16" t="n">
        <v>0</v>
      </c>
      <c r="G1177" s="16" t="n">
        <v>6.543403</v>
      </c>
    </row>
    <row r="1178" customFormat="false" ht="15" hidden="false" customHeight="false" outlineLevel="0" collapsed="false">
      <c r="A1178" s="7" t="n">
        <v>2010</v>
      </c>
      <c r="B1178" s="12" t="s">
        <v>56</v>
      </c>
      <c r="C1178" s="12" t="s">
        <v>57</v>
      </c>
      <c r="D1178" s="12" t="s">
        <v>48</v>
      </c>
      <c r="E1178" s="16" t="n">
        <v>17.948293</v>
      </c>
      <c r="F1178" s="16" t="n">
        <v>0</v>
      </c>
      <c r="G1178" s="16" t="n">
        <v>0</v>
      </c>
    </row>
    <row r="1179" customFormat="false" ht="15" hidden="false" customHeight="false" outlineLevel="0" collapsed="false">
      <c r="A1179" s="7" t="n">
        <v>2010</v>
      </c>
      <c r="B1179" s="12" t="s">
        <v>56</v>
      </c>
      <c r="C1179" s="12" t="s">
        <v>57</v>
      </c>
      <c r="D1179" s="12" t="s">
        <v>46</v>
      </c>
      <c r="E1179" s="16" t="n">
        <v>22.528184</v>
      </c>
      <c r="F1179" s="16" t="n">
        <v>0</v>
      </c>
      <c r="G1179" s="16" t="n">
        <v>14.938823</v>
      </c>
    </row>
    <row r="1180" customFormat="false" ht="15" hidden="false" customHeight="false" outlineLevel="0" collapsed="false">
      <c r="A1180" s="7" t="n">
        <v>2010</v>
      </c>
      <c r="B1180" s="12" t="s">
        <v>56</v>
      </c>
      <c r="C1180" s="12" t="s">
        <v>57</v>
      </c>
      <c r="D1180" s="12" t="s">
        <v>47</v>
      </c>
      <c r="E1180" s="16" t="n">
        <v>0.041931</v>
      </c>
      <c r="F1180" s="16" t="n">
        <v>0</v>
      </c>
      <c r="G1180" s="16" t="n">
        <v>0</v>
      </c>
    </row>
    <row r="1181" customFormat="false" ht="15" hidden="false" customHeight="false" outlineLevel="0" collapsed="false">
      <c r="A1181" s="7" t="n">
        <v>2010</v>
      </c>
      <c r="B1181" s="12" t="s">
        <v>56</v>
      </c>
      <c r="C1181" s="12" t="s">
        <v>57</v>
      </c>
      <c r="D1181" s="12" t="s">
        <v>45</v>
      </c>
      <c r="E1181" s="16" t="n">
        <v>44.21824</v>
      </c>
      <c r="F1181" s="16" t="n">
        <v>26.526053</v>
      </c>
      <c r="G1181" s="16" t="n">
        <v>9.048984</v>
      </c>
    </row>
    <row r="1182" customFormat="false" ht="15" hidden="false" customHeight="false" outlineLevel="0" collapsed="false">
      <c r="A1182" s="7" t="n">
        <v>2010</v>
      </c>
      <c r="B1182" s="12" t="s">
        <v>58</v>
      </c>
      <c r="C1182" s="12" t="s">
        <v>59</v>
      </c>
      <c r="D1182" s="12" t="s">
        <v>49</v>
      </c>
      <c r="E1182" s="16" t="n">
        <v>126.171338</v>
      </c>
      <c r="F1182" s="16" t="n">
        <v>0</v>
      </c>
      <c r="G1182" s="16" t="n">
        <v>10.601308</v>
      </c>
    </row>
    <row r="1183" customFormat="false" ht="15" hidden="false" customHeight="false" outlineLevel="0" collapsed="false">
      <c r="A1183" s="7" t="n">
        <v>2010</v>
      </c>
      <c r="B1183" s="12" t="s">
        <v>58</v>
      </c>
      <c r="C1183" s="12" t="s">
        <v>59</v>
      </c>
      <c r="D1183" s="12" t="s">
        <v>48</v>
      </c>
      <c r="E1183" s="16" t="n">
        <v>91.429068</v>
      </c>
      <c r="F1183" s="16" t="n">
        <v>0</v>
      </c>
      <c r="G1183" s="16" t="n">
        <v>0</v>
      </c>
    </row>
    <row r="1184" customFormat="false" ht="15" hidden="false" customHeight="false" outlineLevel="0" collapsed="false">
      <c r="A1184" s="7" t="n">
        <v>2010</v>
      </c>
      <c r="B1184" s="12" t="s">
        <v>58</v>
      </c>
      <c r="C1184" s="12" t="s">
        <v>59</v>
      </c>
      <c r="D1184" s="12" t="s">
        <v>46</v>
      </c>
      <c r="E1184" s="16" t="n">
        <v>171.946487</v>
      </c>
      <c r="F1184" s="16" t="n">
        <v>0</v>
      </c>
      <c r="G1184" s="16" t="n">
        <v>145.271857</v>
      </c>
    </row>
    <row r="1185" customFormat="false" ht="15" hidden="false" customHeight="false" outlineLevel="0" collapsed="false">
      <c r="A1185" s="7" t="n">
        <v>2010</v>
      </c>
      <c r="B1185" s="12" t="s">
        <v>58</v>
      </c>
      <c r="C1185" s="12" t="s">
        <v>59</v>
      </c>
      <c r="D1185" s="12" t="s">
        <v>47</v>
      </c>
      <c r="E1185" s="16" t="n">
        <v>1.744083</v>
      </c>
      <c r="F1185" s="16" t="n">
        <v>0</v>
      </c>
      <c r="G1185" s="16" t="n">
        <v>0</v>
      </c>
    </row>
    <row r="1186" customFormat="false" ht="15" hidden="false" customHeight="false" outlineLevel="0" collapsed="false">
      <c r="A1186" s="7" t="n">
        <v>2010</v>
      </c>
      <c r="B1186" s="12" t="s">
        <v>58</v>
      </c>
      <c r="C1186" s="12" t="s">
        <v>59</v>
      </c>
      <c r="D1186" s="12" t="s">
        <v>45</v>
      </c>
      <c r="E1186" s="16" t="n">
        <v>32.194595</v>
      </c>
      <c r="F1186" s="16" t="n">
        <v>11.964062</v>
      </c>
      <c r="G1186" s="16" t="n">
        <v>15.913689</v>
      </c>
    </row>
    <row r="1187" customFormat="false" ht="15" hidden="false" customHeight="false" outlineLevel="0" collapsed="false">
      <c r="A1187" s="7" t="n">
        <v>2010</v>
      </c>
      <c r="B1187" s="12" t="s">
        <v>60</v>
      </c>
      <c r="C1187" s="12" t="s">
        <v>59</v>
      </c>
      <c r="D1187" s="12" t="s">
        <v>49</v>
      </c>
      <c r="E1187" s="16" t="n">
        <v>396.226464</v>
      </c>
      <c r="F1187" s="16" t="n">
        <v>0</v>
      </c>
      <c r="G1187" s="16" t="n">
        <v>103.862717</v>
      </c>
    </row>
    <row r="1188" customFormat="false" ht="15" hidden="false" customHeight="false" outlineLevel="0" collapsed="false">
      <c r="A1188" s="7" t="n">
        <v>2010</v>
      </c>
      <c r="B1188" s="12" t="s">
        <v>60</v>
      </c>
      <c r="C1188" s="12" t="s">
        <v>59</v>
      </c>
      <c r="D1188" s="12" t="s">
        <v>48</v>
      </c>
      <c r="E1188" s="16" t="n">
        <v>316.632992</v>
      </c>
      <c r="F1188" s="16" t="n">
        <v>0</v>
      </c>
      <c r="G1188" s="16" t="n">
        <v>0</v>
      </c>
    </row>
    <row r="1189" customFormat="false" ht="15" hidden="false" customHeight="false" outlineLevel="0" collapsed="false">
      <c r="A1189" s="7" t="n">
        <v>2010</v>
      </c>
      <c r="B1189" s="12" t="s">
        <v>60</v>
      </c>
      <c r="C1189" s="12" t="s">
        <v>59</v>
      </c>
      <c r="D1189" s="12" t="s">
        <v>46</v>
      </c>
      <c r="E1189" s="16" t="n">
        <v>313.141146</v>
      </c>
      <c r="F1189" s="16" t="n">
        <v>0</v>
      </c>
      <c r="G1189" s="16" t="n">
        <v>314.225767</v>
      </c>
    </row>
    <row r="1190" customFormat="false" ht="15" hidden="false" customHeight="false" outlineLevel="0" collapsed="false">
      <c r="A1190" s="7" t="n">
        <v>2010</v>
      </c>
      <c r="B1190" s="12" t="s">
        <v>60</v>
      </c>
      <c r="C1190" s="12" t="s">
        <v>59</v>
      </c>
      <c r="D1190" s="12" t="s">
        <v>47</v>
      </c>
      <c r="E1190" s="16" t="n">
        <v>1.727868</v>
      </c>
      <c r="F1190" s="16" t="n">
        <v>0</v>
      </c>
      <c r="G1190" s="16" t="n">
        <v>0</v>
      </c>
    </row>
    <row r="1191" customFormat="false" ht="15" hidden="false" customHeight="false" outlineLevel="0" collapsed="false">
      <c r="A1191" s="7" t="n">
        <v>2010</v>
      </c>
      <c r="B1191" s="12" t="s">
        <v>60</v>
      </c>
      <c r="C1191" s="12" t="s">
        <v>59</v>
      </c>
      <c r="D1191" s="12" t="s">
        <v>45</v>
      </c>
      <c r="E1191" s="16" t="n">
        <v>391.936413</v>
      </c>
      <c r="F1191" s="16" t="n">
        <v>2.324025</v>
      </c>
      <c r="G1191" s="16" t="n">
        <v>55.407548</v>
      </c>
    </row>
    <row r="1192" customFormat="false" ht="15" hidden="false" customHeight="false" outlineLevel="0" collapsed="false">
      <c r="A1192" s="7" t="n">
        <v>2010</v>
      </c>
      <c r="B1192" s="12" t="s">
        <v>61</v>
      </c>
      <c r="C1192" s="12" t="s">
        <v>62</v>
      </c>
      <c r="D1192" s="12" t="s">
        <v>49</v>
      </c>
      <c r="E1192" s="16" t="n">
        <v>247.539943</v>
      </c>
      <c r="F1192" s="16" t="n">
        <v>0</v>
      </c>
      <c r="G1192" s="16" t="n">
        <v>44.059719</v>
      </c>
    </row>
    <row r="1193" customFormat="false" ht="15" hidden="false" customHeight="false" outlineLevel="0" collapsed="false">
      <c r="A1193" s="7" t="n">
        <v>2010</v>
      </c>
      <c r="B1193" s="12" t="s">
        <v>61</v>
      </c>
      <c r="C1193" s="12" t="s">
        <v>62</v>
      </c>
      <c r="D1193" s="12" t="s">
        <v>48</v>
      </c>
      <c r="E1193" s="16" t="n">
        <v>133.878734</v>
      </c>
      <c r="F1193" s="16" t="n">
        <v>0</v>
      </c>
      <c r="G1193" s="16" t="n">
        <v>0</v>
      </c>
    </row>
    <row r="1194" customFormat="false" ht="15" hidden="false" customHeight="false" outlineLevel="0" collapsed="false">
      <c r="A1194" s="7" t="n">
        <v>2010</v>
      </c>
      <c r="B1194" s="12" t="s">
        <v>61</v>
      </c>
      <c r="C1194" s="12" t="s">
        <v>62</v>
      </c>
      <c r="D1194" s="12" t="s">
        <v>46</v>
      </c>
      <c r="E1194" s="16" t="n">
        <v>133.282635</v>
      </c>
      <c r="F1194" s="16" t="n">
        <v>0</v>
      </c>
      <c r="G1194" s="16" t="n">
        <v>152.407461</v>
      </c>
    </row>
    <row r="1195" customFormat="false" ht="15" hidden="false" customHeight="false" outlineLevel="0" collapsed="false">
      <c r="A1195" s="7" t="n">
        <v>2010</v>
      </c>
      <c r="B1195" s="12" t="s">
        <v>61</v>
      </c>
      <c r="C1195" s="12" t="s">
        <v>62</v>
      </c>
      <c r="D1195" s="12" t="s">
        <v>47</v>
      </c>
      <c r="E1195" s="16" t="n">
        <v>7.949698</v>
      </c>
      <c r="F1195" s="16" t="n">
        <v>0</v>
      </c>
      <c r="G1195" s="16" t="n">
        <v>0</v>
      </c>
    </row>
    <row r="1196" customFormat="false" ht="15" hidden="false" customHeight="false" outlineLevel="0" collapsed="false">
      <c r="A1196" s="7" t="n">
        <v>2010</v>
      </c>
      <c r="B1196" s="12" t="s">
        <v>61</v>
      </c>
      <c r="C1196" s="12" t="s">
        <v>62</v>
      </c>
      <c r="D1196" s="12" t="s">
        <v>45</v>
      </c>
      <c r="E1196" s="16" t="n">
        <v>240.920265</v>
      </c>
      <c r="F1196" s="16" t="n">
        <v>230.130292</v>
      </c>
      <c r="G1196" s="16" t="n">
        <v>0</v>
      </c>
    </row>
    <row r="1197" customFormat="false" ht="15" hidden="false" customHeight="false" outlineLevel="0" collapsed="false">
      <c r="A1197" s="7" t="n">
        <v>2010</v>
      </c>
      <c r="B1197" s="12" t="s">
        <v>63</v>
      </c>
      <c r="C1197" s="12" t="s">
        <v>62</v>
      </c>
      <c r="D1197" s="12" t="s">
        <v>49</v>
      </c>
      <c r="E1197" s="16" t="n">
        <v>408.096893</v>
      </c>
      <c r="F1197" s="16" t="n">
        <v>0</v>
      </c>
      <c r="G1197" s="16" t="n">
        <v>95.569223</v>
      </c>
    </row>
    <row r="1198" customFormat="false" ht="15" hidden="false" customHeight="false" outlineLevel="0" collapsed="false">
      <c r="A1198" s="7" t="n">
        <v>2010</v>
      </c>
      <c r="B1198" s="12" t="s">
        <v>63</v>
      </c>
      <c r="C1198" s="12" t="s">
        <v>62</v>
      </c>
      <c r="D1198" s="12" t="s">
        <v>48</v>
      </c>
      <c r="E1198" s="16" t="n">
        <v>223.686539</v>
      </c>
      <c r="F1198" s="16" t="n">
        <v>0</v>
      </c>
      <c r="G1198" s="16" t="n">
        <v>0</v>
      </c>
    </row>
    <row r="1199" customFormat="false" ht="15" hidden="false" customHeight="false" outlineLevel="0" collapsed="false">
      <c r="A1199" s="7" t="n">
        <v>2010</v>
      </c>
      <c r="B1199" s="12" t="s">
        <v>63</v>
      </c>
      <c r="C1199" s="12" t="s">
        <v>62</v>
      </c>
      <c r="D1199" s="12" t="s">
        <v>46</v>
      </c>
      <c r="E1199" s="16" t="n">
        <v>256.031229</v>
      </c>
      <c r="F1199" s="16" t="n">
        <v>0</v>
      </c>
      <c r="G1199" s="16" t="n">
        <v>233.167839</v>
      </c>
    </row>
    <row r="1200" customFormat="false" ht="15" hidden="false" customHeight="false" outlineLevel="0" collapsed="false">
      <c r="A1200" s="7" t="n">
        <v>2010</v>
      </c>
      <c r="B1200" s="12" t="s">
        <v>63</v>
      </c>
      <c r="C1200" s="12" t="s">
        <v>62</v>
      </c>
      <c r="D1200" s="12" t="s">
        <v>47</v>
      </c>
      <c r="E1200" s="16" t="n">
        <v>11.502093</v>
      </c>
      <c r="F1200" s="16" t="n">
        <v>0</v>
      </c>
      <c r="G1200" s="16" t="n">
        <v>0</v>
      </c>
    </row>
    <row r="1201" customFormat="false" ht="15" hidden="false" customHeight="false" outlineLevel="0" collapsed="false">
      <c r="A1201" s="7" t="n">
        <v>2010</v>
      </c>
      <c r="B1201" s="12" t="s">
        <v>63</v>
      </c>
      <c r="C1201" s="12" t="s">
        <v>62</v>
      </c>
      <c r="D1201" s="12" t="s">
        <v>45</v>
      </c>
      <c r="E1201" s="16" t="n">
        <v>316.843053</v>
      </c>
      <c r="F1201" s="16" t="n">
        <v>306.486902</v>
      </c>
      <c r="G1201" s="16" t="n">
        <v>1.933344</v>
      </c>
    </row>
    <row r="1202" customFormat="false" ht="15" hidden="false" customHeight="false" outlineLevel="0" collapsed="false">
      <c r="A1202" s="7" t="n">
        <v>2010</v>
      </c>
      <c r="B1202" s="12" t="s">
        <v>64</v>
      </c>
      <c r="C1202" s="12" t="s">
        <v>65</v>
      </c>
      <c r="D1202" s="12" t="s">
        <v>49</v>
      </c>
      <c r="E1202" s="16" t="n">
        <v>231.343177</v>
      </c>
      <c r="F1202" s="16" t="n">
        <v>0</v>
      </c>
      <c r="G1202" s="16" t="n">
        <v>30.689138</v>
      </c>
    </row>
    <row r="1203" customFormat="false" ht="15" hidden="false" customHeight="false" outlineLevel="0" collapsed="false">
      <c r="A1203" s="7" t="n">
        <v>2010</v>
      </c>
      <c r="B1203" s="12" t="s">
        <v>64</v>
      </c>
      <c r="C1203" s="12" t="s">
        <v>65</v>
      </c>
      <c r="D1203" s="12" t="s">
        <v>48</v>
      </c>
      <c r="E1203" s="16" t="n">
        <v>59.348727</v>
      </c>
      <c r="F1203" s="16" t="n">
        <v>0</v>
      </c>
      <c r="G1203" s="16" t="n">
        <v>0</v>
      </c>
    </row>
    <row r="1204" customFormat="false" ht="15" hidden="false" customHeight="false" outlineLevel="0" collapsed="false">
      <c r="A1204" s="7" t="n">
        <v>2010</v>
      </c>
      <c r="B1204" s="12" t="s">
        <v>64</v>
      </c>
      <c r="C1204" s="12" t="s">
        <v>65</v>
      </c>
      <c r="D1204" s="12" t="s">
        <v>46</v>
      </c>
      <c r="E1204" s="16" t="n">
        <v>59.029004</v>
      </c>
      <c r="F1204" s="16" t="n">
        <v>0</v>
      </c>
      <c r="G1204" s="16" t="n">
        <v>81.918119</v>
      </c>
    </row>
    <row r="1205" customFormat="false" ht="15" hidden="false" customHeight="false" outlineLevel="0" collapsed="false">
      <c r="A1205" s="7" t="n">
        <v>2010</v>
      </c>
      <c r="B1205" s="12" t="s">
        <v>64</v>
      </c>
      <c r="C1205" s="12" t="s">
        <v>65</v>
      </c>
      <c r="D1205" s="12" t="s">
        <v>47</v>
      </c>
      <c r="E1205" s="16" t="n">
        <v>7.719818</v>
      </c>
      <c r="F1205" s="16" t="n">
        <v>0</v>
      </c>
      <c r="G1205" s="16" t="n">
        <v>0</v>
      </c>
    </row>
    <row r="1206" customFormat="false" ht="15" hidden="false" customHeight="false" outlineLevel="0" collapsed="false">
      <c r="A1206" s="7" t="n">
        <v>2010</v>
      </c>
      <c r="B1206" s="12" t="s">
        <v>64</v>
      </c>
      <c r="C1206" s="12" t="s">
        <v>65</v>
      </c>
      <c r="D1206" s="12" t="s">
        <v>45</v>
      </c>
      <c r="E1206" s="16" t="n">
        <v>41.010715</v>
      </c>
      <c r="F1206" s="16" t="n">
        <v>8.785253</v>
      </c>
      <c r="G1206" s="16" t="n">
        <v>22.893828</v>
      </c>
    </row>
    <row r="1207" customFormat="false" ht="15" hidden="false" customHeight="false" outlineLevel="0" collapsed="false">
      <c r="A1207" s="7" t="n">
        <v>2010</v>
      </c>
      <c r="B1207" s="12" t="s">
        <v>66</v>
      </c>
      <c r="C1207" s="12" t="s">
        <v>67</v>
      </c>
      <c r="D1207" s="12" t="s">
        <v>49</v>
      </c>
      <c r="E1207" s="16" t="n">
        <v>146.2866</v>
      </c>
      <c r="F1207" s="16" t="n">
        <v>0</v>
      </c>
      <c r="G1207" s="16" t="n">
        <v>25.955017</v>
      </c>
    </row>
    <row r="1208" customFormat="false" ht="15" hidden="false" customHeight="false" outlineLevel="0" collapsed="false">
      <c r="A1208" s="7" t="n">
        <v>2010</v>
      </c>
      <c r="B1208" s="12" t="s">
        <v>66</v>
      </c>
      <c r="C1208" s="12" t="s">
        <v>67</v>
      </c>
      <c r="D1208" s="12" t="s">
        <v>48</v>
      </c>
      <c r="E1208" s="16" t="n">
        <v>27.63204</v>
      </c>
      <c r="F1208" s="16" t="n">
        <v>0</v>
      </c>
      <c r="G1208" s="16" t="n">
        <v>0</v>
      </c>
    </row>
    <row r="1209" customFormat="false" ht="15" hidden="false" customHeight="false" outlineLevel="0" collapsed="false">
      <c r="A1209" s="7" t="n">
        <v>2010</v>
      </c>
      <c r="B1209" s="12" t="s">
        <v>66</v>
      </c>
      <c r="C1209" s="12" t="s">
        <v>67</v>
      </c>
      <c r="D1209" s="12" t="s">
        <v>46</v>
      </c>
      <c r="E1209" s="16" t="n">
        <v>71.312157</v>
      </c>
      <c r="F1209" s="16" t="n">
        <v>0</v>
      </c>
      <c r="G1209" s="16" t="n">
        <v>34.400039</v>
      </c>
    </row>
    <row r="1210" customFormat="false" ht="15" hidden="false" customHeight="false" outlineLevel="0" collapsed="false">
      <c r="A1210" s="7" t="n">
        <v>2010</v>
      </c>
      <c r="B1210" s="12" t="s">
        <v>66</v>
      </c>
      <c r="C1210" s="12" t="s">
        <v>67</v>
      </c>
      <c r="D1210" s="12" t="s">
        <v>47</v>
      </c>
      <c r="E1210" s="16" t="n">
        <v>3.402264</v>
      </c>
      <c r="F1210" s="16" t="n">
        <v>0</v>
      </c>
      <c r="G1210" s="16" t="n">
        <v>0</v>
      </c>
    </row>
    <row r="1211" customFormat="false" ht="15" hidden="false" customHeight="false" outlineLevel="0" collapsed="false">
      <c r="A1211" s="7" t="n">
        <v>2010</v>
      </c>
      <c r="B1211" s="12" t="s">
        <v>66</v>
      </c>
      <c r="C1211" s="12" t="s">
        <v>67</v>
      </c>
      <c r="D1211" s="12" t="s">
        <v>45</v>
      </c>
      <c r="E1211" s="16" t="n">
        <v>8.656323</v>
      </c>
      <c r="F1211" s="16" t="n">
        <v>-19.521836</v>
      </c>
      <c r="G1211" s="16" t="n">
        <v>16.631054</v>
      </c>
    </row>
    <row r="1212" customFormat="false" ht="15" hidden="false" customHeight="false" outlineLevel="0" collapsed="false">
      <c r="A1212" s="7" t="n">
        <v>2010</v>
      </c>
      <c r="B1212" s="12" t="s">
        <v>68</v>
      </c>
      <c r="C1212" s="12" t="s">
        <v>65</v>
      </c>
      <c r="D1212" s="12" t="s">
        <v>49</v>
      </c>
      <c r="E1212" s="16" t="n">
        <v>104.71488</v>
      </c>
      <c r="F1212" s="16" t="n">
        <v>0</v>
      </c>
      <c r="G1212" s="16" t="n">
        <v>10.878651</v>
      </c>
    </row>
    <row r="1213" customFormat="false" ht="15" hidden="false" customHeight="false" outlineLevel="0" collapsed="false">
      <c r="A1213" s="7" t="n">
        <v>2010</v>
      </c>
      <c r="B1213" s="12" t="s">
        <v>68</v>
      </c>
      <c r="C1213" s="12" t="s">
        <v>65</v>
      </c>
      <c r="D1213" s="12" t="s">
        <v>48</v>
      </c>
      <c r="E1213" s="16" t="n">
        <v>21.540692</v>
      </c>
      <c r="F1213" s="16" t="n">
        <v>0</v>
      </c>
      <c r="G1213" s="16" t="n">
        <v>0</v>
      </c>
    </row>
    <row r="1214" customFormat="false" ht="15" hidden="false" customHeight="false" outlineLevel="0" collapsed="false">
      <c r="A1214" s="7" t="n">
        <v>2010</v>
      </c>
      <c r="B1214" s="12" t="s">
        <v>68</v>
      </c>
      <c r="C1214" s="12" t="s">
        <v>65</v>
      </c>
      <c r="D1214" s="12" t="s">
        <v>46</v>
      </c>
      <c r="E1214" s="16" t="n">
        <v>35.618362</v>
      </c>
      <c r="F1214" s="16" t="n">
        <v>0</v>
      </c>
      <c r="G1214" s="16" t="n">
        <v>59.987064</v>
      </c>
    </row>
    <row r="1215" customFormat="false" ht="15" hidden="false" customHeight="false" outlineLevel="0" collapsed="false">
      <c r="A1215" s="7" t="n">
        <v>2010</v>
      </c>
      <c r="B1215" s="12" t="s">
        <v>68</v>
      </c>
      <c r="C1215" s="12" t="s">
        <v>65</v>
      </c>
      <c r="D1215" s="12" t="s">
        <v>47</v>
      </c>
      <c r="E1215" s="16" t="n">
        <v>0.187368</v>
      </c>
      <c r="F1215" s="16" t="n">
        <v>0</v>
      </c>
      <c r="G1215" s="16" t="n">
        <v>0</v>
      </c>
    </row>
    <row r="1216" customFormat="false" ht="15" hidden="false" customHeight="false" outlineLevel="0" collapsed="false">
      <c r="A1216" s="7" t="n">
        <v>2010</v>
      </c>
      <c r="B1216" s="12" t="s">
        <v>68</v>
      </c>
      <c r="C1216" s="12" t="s">
        <v>65</v>
      </c>
      <c r="D1216" s="12" t="s">
        <v>45</v>
      </c>
      <c r="E1216" s="16" t="n">
        <v>11.261017</v>
      </c>
      <c r="F1216" s="16" t="n">
        <v>3.412634</v>
      </c>
      <c r="G1216" s="16" t="n">
        <v>5.282742</v>
      </c>
    </row>
    <row r="1217" customFormat="false" ht="15" hidden="false" customHeight="false" outlineLevel="0" collapsed="false">
      <c r="A1217" s="7" t="n">
        <v>2010</v>
      </c>
      <c r="B1217" s="12" t="s">
        <v>69</v>
      </c>
      <c r="C1217" s="12" t="s">
        <v>70</v>
      </c>
      <c r="D1217" s="12" t="s">
        <v>49</v>
      </c>
      <c r="E1217" s="16" t="n">
        <v>89.985501</v>
      </c>
      <c r="F1217" s="16" t="n">
        <v>0</v>
      </c>
      <c r="G1217" s="16" t="n">
        <v>20.784058</v>
      </c>
    </row>
    <row r="1218" customFormat="false" ht="15" hidden="false" customHeight="false" outlineLevel="0" collapsed="false">
      <c r="A1218" s="7" t="n">
        <v>2010</v>
      </c>
      <c r="B1218" s="12" t="s">
        <v>69</v>
      </c>
      <c r="C1218" s="12" t="s">
        <v>70</v>
      </c>
      <c r="D1218" s="12" t="s">
        <v>48</v>
      </c>
      <c r="E1218" s="16" t="n">
        <v>63.542939</v>
      </c>
      <c r="F1218" s="16" t="n">
        <v>0</v>
      </c>
      <c r="G1218" s="16" t="n">
        <v>0</v>
      </c>
    </row>
    <row r="1219" customFormat="false" ht="15" hidden="false" customHeight="false" outlineLevel="0" collapsed="false">
      <c r="A1219" s="7" t="n">
        <v>2010</v>
      </c>
      <c r="B1219" s="12" t="s">
        <v>69</v>
      </c>
      <c r="C1219" s="12" t="s">
        <v>70</v>
      </c>
      <c r="D1219" s="12" t="s">
        <v>46</v>
      </c>
      <c r="E1219" s="16" t="n">
        <v>25.781994</v>
      </c>
      <c r="F1219" s="16" t="n">
        <v>0</v>
      </c>
      <c r="G1219" s="16" t="n">
        <v>49.955196</v>
      </c>
    </row>
    <row r="1220" customFormat="false" ht="15" hidden="false" customHeight="false" outlineLevel="0" collapsed="false">
      <c r="A1220" s="7" t="n">
        <v>2010</v>
      </c>
      <c r="B1220" s="12" t="s">
        <v>69</v>
      </c>
      <c r="C1220" s="12" t="s">
        <v>70</v>
      </c>
      <c r="D1220" s="12" t="s">
        <v>47</v>
      </c>
      <c r="E1220" s="16" t="n">
        <v>3.937208</v>
      </c>
      <c r="F1220" s="16" t="n">
        <v>0</v>
      </c>
      <c r="G1220" s="16" t="n">
        <v>0</v>
      </c>
    </row>
    <row r="1221" customFormat="false" ht="15" hidden="false" customHeight="false" outlineLevel="0" collapsed="false">
      <c r="A1221" s="7" t="n">
        <v>2010</v>
      </c>
      <c r="B1221" s="12" t="s">
        <v>69</v>
      </c>
      <c r="C1221" s="12" t="s">
        <v>70</v>
      </c>
      <c r="D1221" s="12" t="s">
        <v>45</v>
      </c>
      <c r="E1221" s="16" t="n">
        <v>181.994476</v>
      </c>
      <c r="F1221" s="16" t="n">
        <v>179.164871</v>
      </c>
      <c r="G1221" s="16" t="n">
        <v>0</v>
      </c>
    </row>
    <row r="1222" customFormat="false" ht="15" hidden="false" customHeight="false" outlineLevel="0" collapsed="false">
      <c r="A1222" s="7" t="n">
        <v>2010</v>
      </c>
      <c r="B1222" s="12" t="s">
        <v>71</v>
      </c>
      <c r="C1222" s="12" t="s">
        <v>72</v>
      </c>
      <c r="D1222" s="12" t="s">
        <v>49</v>
      </c>
      <c r="E1222" s="16" t="n">
        <v>37.619075</v>
      </c>
      <c r="F1222" s="16" t="n">
        <v>0</v>
      </c>
      <c r="G1222" s="16" t="n">
        <v>2.092313</v>
      </c>
    </row>
    <row r="1223" customFormat="false" ht="15" hidden="false" customHeight="false" outlineLevel="0" collapsed="false">
      <c r="A1223" s="7" t="n">
        <v>2010</v>
      </c>
      <c r="B1223" s="12" t="s">
        <v>71</v>
      </c>
      <c r="C1223" s="12" t="s">
        <v>72</v>
      </c>
      <c r="D1223" s="12" t="s">
        <v>48</v>
      </c>
      <c r="E1223" s="16" t="n">
        <v>15.705292</v>
      </c>
      <c r="F1223" s="16" t="n">
        <v>0</v>
      </c>
      <c r="G1223" s="16" t="n">
        <v>0</v>
      </c>
    </row>
    <row r="1224" customFormat="false" ht="15" hidden="false" customHeight="false" outlineLevel="0" collapsed="false">
      <c r="A1224" s="7" t="n">
        <v>2010</v>
      </c>
      <c r="B1224" s="12" t="s">
        <v>71</v>
      </c>
      <c r="C1224" s="12" t="s">
        <v>72</v>
      </c>
      <c r="D1224" s="12" t="s">
        <v>46</v>
      </c>
      <c r="E1224" s="16" t="n">
        <v>12.79945</v>
      </c>
      <c r="F1224" s="16" t="n">
        <v>0</v>
      </c>
      <c r="G1224" s="16" t="n">
        <v>10.068751</v>
      </c>
    </row>
    <row r="1225" customFormat="false" ht="15" hidden="false" customHeight="false" outlineLevel="0" collapsed="false">
      <c r="A1225" s="7" t="n">
        <v>2010</v>
      </c>
      <c r="B1225" s="12" t="s">
        <v>71</v>
      </c>
      <c r="C1225" s="12" t="s">
        <v>72</v>
      </c>
      <c r="D1225" s="12" t="s">
        <v>47</v>
      </c>
      <c r="E1225" s="16" t="n">
        <v>0.742373</v>
      </c>
      <c r="F1225" s="16" t="n">
        <v>0</v>
      </c>
      <c r="G1225" s="16" t="n">
        <v>0</v>
      </c>
    </row>
    <row r="1226" customFormat="false" ht="15" hidden="false" customHeight="false" outlineLevel="0" collapsed="false">
      <c r="A1226" s="7" t="n">
        <v>2010</v>
      </c>
      <c r="B1226" s="12" t="s">
        <v>71</v>
      </c>
      <c r="C1226" s="12" t="s">
        <v>72</v>
      </c>
      <c r="D1226" s="12" t="s">
        <v>45</v>
      </c>
      <c r="E1226" s="16" t="n">
        <v>29.715196</v>
      </c>
      <c r="F1226" s="16" t="n">
        <v>29.672781</v>
      </c>
      <c r="G1226" s="16" t="n">
        <v>0</v>
      </c>
    </row>
    <row r="1227" customFormat="false" ht="15" hidden="false" customHeight="false" outlineLevel="0" collapsed="false">
      <c r="A1227" s="7" t="n">
        <v>2010</v>
      </c>
      <c r="B1227" s="12" t="s">
        <v>73</v>
      </c>
      <c r="C1227" s="12" t="s">
        <v>70</v>
      </c>
      <c r="D1227" s="12" t="s">
        <v>49</v>
      </c>
      <c r="E1227" s="16" t="n">
        <v>82.810553</v>
      </c>
      <c r="F1227" s="16" t="n">
        <v>0</v>
      </c>
      <c r="G1227" s="16" t="n">
        <v>15.437897</v>
      </c>
    </row>
    <row r="1228" customFormat="false" ht="15" hidden="false" customHeight="false" outlineLevel="0" collapsed="false">
      <c r="A1228" s="7" t="n">
        <v>2010</v>
      </c>
      <c r="B1228" s="12" t="s">
        <v>73</v>
      </c>
      <c r="C1228" s="12" t="s">
        <v>70</v>
      </c>
      <c r="D1228" s="12" t="s">
        <v>48</v>
      </c>
      <c r="E1228" s="16" t="n">
        <v>79.480938</v>
      </c>
      <c r="F1228" s="16" t="n">
        <v>0</v>
      </c>
      <c r="G1228" s="16" t="n">
        <v>0</v>
      </c>
    </row>
    <row r="1229" customFormat="false" ht="15" hidden="false" customHeight="false" outlineLevel="0" collapsed="false">
      <c r="A1229" s="7" t="n">
        <v>2010</v>
      </c>
      <c r="B1229" s="12" t="s">
        <v>73</v>
      </c>
      <c r="C1229" s="12" t="s">
        <v>70</v>
      </c>
      <c r="D1229" s="12" t="s">
        <v>46</v>
      </c>
      <c r="E1229" s="16" t="n">
        <v>102.6114</v>
      </c>
      <c r="F1229" s="16" t="n">
        <v>0</v>
      </c>
      <c r="G1229" s="16" t="n">
        <v>60.358928</v>
      </c>
    </row>
    <row r="1230" customFormat="false" ht="15" hidden="false" customHeight="false" outlineLevel="0" collapsed="false">
      <c r="A1230" s="7" t="n">
        <v>2010</v>
      </c>
      <c r="B1230" s="12" t="s">
        <v>73</v>
      </c>
      <c r="C1230" s="12" t="s">
        <v>70</v>
      </c>
      <c r="D1230" s="12" t="s">
        <v>47</v>
      </c>
      <c r="E1230" s="16" t="n">
        <v>7.528071</v>
      </c>
      <c r="F1230" s="16" t="n">
        <v>0</v>
      </c>
      <c r="G1230" s="16" t="n">
        <v>0</v>
      </c>
    </row>
    <row r="1231" customFormat="false" ht="15" hidden="false" customHeight="false" outlineLevel="0" collapsed="false">
      <c r="A1231" s="7" t="n">
        <v>2010</v>
      </c>
      <c r="B1231" s="12" t="s">
        <v>73</v>
      </c>
      <c r="C1231" s="12" t="s">
        <v>70</v>
      </c>
      <c r="D1231" s="12" t="s">
        <v>45</v>
      </c>
      <c r="E1231" s="16" t="n">
        <v>57.167912</v>
      </c>
      <c r="F1231" s="16" t="n">
        <v>39.886752</v>
      </c>
      <c r="G1231" s="16" t="n">
        <v>14.226923</v>
      </c>
    </row>
    <row r="1232" customFormat="false" ht="15" hidden="false" customHeight="false" outlineLevel="0" collapsed="false">
      <c r="A1232" s="7" t="n">
        <v>2010</v>
      </c>
      <c r="B1232" s="12" t="s">
        <v>74</v>
      </c>
      <c r="C1232" s="12" t="s">
        <v>65</v>
      </c>
      <c r="D1232" s="12" t="s">
        <v>49</v>
      </c>
      <c r="E1232" s="16" t="n">
        <v>143.958651</v>
      </c>
      <c r="F1232" s="16" t="n">
        <v>0</v>
      </c>
      <c r="G1232" s="16" t="n">
        <v>12.541124</v>
      </c>
    </row>
    <row r="1233" customFormat="false" ht="15" hidden="false" customHeight="false" outlineLevel="0" collapsed="false">
      <c r="A1233" s="7" t="n">
        <v>2010</v>
      </c>
      <c r="B1233" s="12" t="s">
        <v>74</v>
      </c>
      <c r="C1233" s="12" t="s">
        <v>65</v>
      </c>
      <c r="D1233" s="12" t="s">
        <v>48</v>
      </c>
      <c r="E1233" s="16" t="n">
        <v>19.074407</v>
      </c>
      <c r="F1233" s="16" t="n">
        <v>0</v>
      </c>
      <c r="G1233" s="16" t="n">
        <v>0</v>
      </c>
    </row>
    <row r="1234" customFormat="false" ht="15" hidden="false" customHeight="false" outlineLevel="0" collapsed="false">
      <c r="A1234" s="7" t="n">
        <v>2010</v>
      </c>
      <c r="B1234" s="12" t="s">
        <v>74</v>
      </c>
      <c r="C1234" s="12" t="s">
        <v>65</v>
      </c>
      <c r="D1234" s="12" t="s">
        <v>46</v>
      </c>
      <c r="E1234" s="16" t="n">
        <v>41.703518</v>
      </c>
      <c r="F1234" s="16" t="n">
        <v>0</v>
      </c>
      <c r="G1234" s="16" t="n">
        <v>55.742236</v>
      </c>
    </row>
    <row r="1235" customFormat="false" ht="15" hidden="false" customHeight="false" outlineLevel="0" collapsed="false">
      <c r="A1235" s="7" t="n">
        <v>2010</v>
      </c>
      <c r="B1235" s="12" t="s">
        <v>74</v>
      </c>
      <c r="C1235" s="12" t="s">
        <v>65</v>
      </c>
      <c r="D1235" s="12" t="s">
        <v>47</v>
      </c>
      <c r="E1235" s="16" t="n">
        <v>0.01</v>
      </c>
      <c r="F1235" s="16" t="n">
        <v>0</v>
      </c>
      <c r="G1235" s="16" t="n">
        <v>0</v>
      </c>
    </row>
    <row r="1236" customFormat="false" ht="15" hidden="false" customHeight="false" outlineLevel="0" collapsed="false">
      <c r="A1236" s="7" t="n">
        <v>2010</v>
      </c>
      <c r="B1236" s="12" t="s">
        <v>74</v>
      </c>
      <c r="C1236" s="12" t="s">
        <v>65</v>
      </c>
      <c r="D1236" s="12" t="s">
        <v>45</v>
      </c>
      <c r="E1236" s="16" t="n">
        <v>18.395417</v>
      </c>
      <c r="F1236" s="16" t="n">
        <v>0.027705</v>
      </c>
      <c r="G1236" s="16" t="n">
        <v>20.902925</v>
      </c>
    </row>
    <row r="1237" customFormat="false" ht="15" hidden="false" customHeight="false" outlineLevel="0" collapsed="false">
      <c r="A1237" s="7" t="n">
        <v>2010</v>
      </c>
      <c r="B1237" s="12" t="s">
        <v>75</v>
      </c>
      <c r="C1237" s="12" t="s">
        <v>57</v>
      </c>
      <c r="D1237" s="12" t="s">
        <v>49</v>
      </c>
      <c r="E1237" s="16" t="n">
        <v>212.815823</v>
      </c>
      <c r="F1237" s="16" t="n">
        <v>0</v>
      </c>
      <c r="G1237" s="16" t="n">
        <v>38.907874</v>
      </c>
    </row>
    <row r="1238" customFormat="false" ht="15" hidden="false" customHeight="false" outlineLevel="0" collapsed="false">
      <c r="A1238" s="7" t="n">
        <v>2010</v>
      </c>
      <c r="B1238" s="12" t="s">
        <v>75</v>
      </c>
      <c r="C1238" s="12" t="s">
        <v>57</v>
      </c>
      <c r="D1238" s="12" t="s">
        <v>48</v>
      </c>
      <c r="E1238" s="16" t="n">
        <v>139.189692</v>
      </c>
      <c r="F1238" s="16" t="n">
        <v>0</v>
      </c>
      <c r="G1238" s="16" t="n">
        <v>0</v>
      </c>
    </row>
    <row r="1239" customFormat="false" ht="15" hidden="false" customHeight="false" outlineLevel="0" collapsed="false">
      <c r="A1239" s="7" t="n">
        <v>2010</v>
      </c>
      <c r="B1239" s="12" t="s">
        <v>75</v>
      </c>
      <c r="C1239" s="12" t="s">
        <v>57</v>
      </c>
      <c r="D1239" s="12" t="s">
        <v>46</v>
      </c>
      <c r="E1239" s="16" t="n">
        <v>109.895709</v>
      </c>
      <c r="F1239" s="16" t="n">
        <v>0</v>
      </c>
      <c r="G1239" s="16" t="n">
        <v>92.060297</v>
      </c>
    </row>
    <row r="1240" customFormat="false" ht="15" hidden="false" customHeight="false" outlineLevel="0" collapsed="false">
      <c r="A1240" s="7" t="n">
        <v>2010</v>
      </c>
      <c r="B1240" s="12" t="s">
        <v>75</v>
      </c>
      <c r="C1240" s="12" t="s">
        <v>57</v>
      </c>
      <c r="D1240" s="12" t="s">
        <v>47</v>
      </c>
      <c r="E1240" s="16" t="n">
        <v>12.172718</v>
      </c>
      <c r="F1240" s="16" t="n">
        <v>0</v>
      </c>
      <c r="G1240" s="16" t="n">
        <v>0</v>
      </c>
    </row>
    <row r="1241" customFormat="false" ht="15" hidden="false" customHeight="false" outlineLevel="0" collapsed="false">
      <c r="A1241" s="7" t="n">
        <v>2010</v>
      </c>
      <c r="B1241" s="12" t="s">
        <v>75</v>
      </c>
      <c r="C1241" s="12" t="s">
        <v>57</v>
      </c>
      <c r="D1241" s="12" t="s">
        <v>45</v>
      </c>
      <c r="E1241" s="16" t="n">
        <v>174.351132</v>
      </c>
      <c r="F1241" s="16" t="n">
        <v>82.95829</v>
      </c>
      <c r="G1241" s="16" t="n">
        <v>43.73202</v>
      </c>
    </row>
    <row r="1242" customFormat="false" ht="15" hidden="false" customHeight="false" outlineLevel="0" collapsed="false">
      <c r="A1242" s="7" t="n">
        <v>2010</v>
      </c>
      <c r="B1242" s="12" t="s">
        <v>76</v>
      </c>
      <c r="C1242" s="12" t="s">
        <v>72</v>
      </c>
      <c r="D1242" s="12" t="s">
        <v>49</v>
      </c>
      <c r="E1242" s="16" t="n">
        <v>37.967764</v>
      </c>
      <c r="F1242" s="16" t="n">
        <v>0</v>
      </c>
      <c r="G1242" s="16" t="n">
        <v>8.752849</v>
      </c>
    </row>
    <row r="1243" customFormat="false" ht="15" hidden="false" customHeight="false" outlineLevel="0" collapsed="false">
      <c r="A1243" s="7" t="n">
        <v>2010</v>
      </c>
      <c r="B1243" s="12" t="s">
        <v>76</v>
      </c>
      <c r="C1243" s="12" t="s">
        <v>72</v>
      </c>
      <c r="D1243" s="12" t="s">
        <v>48</v>
      </c>
      <c r="E1243" s="16" t="n">
        <v>21.32077</v>
      </c>
      <c r="F1243" s="16" t="n">
        <v>0</v>
      </c>
      <c r="G1243" s="16" t="n">
        <v>0</v>
      </c>
    </row>
    <row r="1244" customFormat="false" ht="15" hidden="false" customHeight="false" outlineLevel="0" collapsed="false">
      <c r="A1244" s="7" t="n">
        <v>2010</v>
      </c>
      <c r="B1244" s="12" t="s">
        <v>76</v>
      </c>
      <c r="C1244" s="12" t="s">
        <v>72</v>
      </c>
      <c r="D1244" s="12" t="s">
        <v>46</v>
      </c>
      <c r="E1244" s="16" t="n">
        <v>21.26231</v>
      </c>
      <c r="F1244" s="16" t="n">
        <v>0</v>
      </c>
      <c r="G1244" s="16" t="n">
        <v>21.834183</v>
      </c>
    </row>
    <row r="1245" customFormat="false" ht="15" hidden="false" customHeight="false" outlineLevel="0" collapsed="false">
      <c r="A1245" s="7" t="n">
        <v>2010</v>
      </c>
      <c r="B1245" s="12" t="s">
        <v>76</v>
      </c>
      <c r="C1245" s="12" t="s">
        <v>72</v>
      </c>
      <c r="D1245" s="12" t="s">
        <v>45</v>
      </c>
      <c r="E1245" s="16" t="n">
        <v>48.299941</v>
      </c>
      <c r="F1245" s="16" t="n">
        <v>0</v>
      </c>
      <c r="G1245" s="16" t="n">
        <v>12.744703</v>
      </c>
    </row>
    <row r="1246" customFormat="false" ht="15" hidden="false" customHeight="false" outlineLevel="0" collapsed="false">
      <c r="A1246" s="7" t="n">
        <v>2010</v>
      </c>
      <c r="B1246" s="12" t="s">
        <v>77</v>
      </c>
      <c r="C1246" s="12" t="s">
        <v>57</v>
      </c>
      <c r="D1246" s="12" t="s">
        <v>49</v>
      </c>
      <c r="E1246" s="16" t="n">
        <v>34.631724</v>
      </c>
      <c r="F1246" s="16" t="n">
        <v>0</v>
      </c>
      <c r="G1246" s="16" t="n">
        <v>2.884363</v>
      </c>
    </row>
    <row r="1247" customFormat="false" ht="15" hidden="false" customHeight="false" outlineLevel="0" collapsed="false">
      <c r="A1247" s="7" t="n">
        <v>2010</v>
      </c>
      <c r="B1247" s="12" t="s">
        <v>77</v>
      </c>
      <c r="C1247" s="12" t="s">
        <v>57</v>
      </c>
      <c r="D1247" s="12" t="s">
        <v>48</v>
      </c>
      <c r="E1247" s="16" t="n">
        <v>19.851653</v>
      </c>
      <c r="F1247" s="16" t="n">
        <v>0</v>
      </c>
      <c r="G1247" s="16" t="n">
        <v>0</v>
      </c>
    </row>
    <row r="1248" customFormat="false" ht="15" hidden="false" customHeight="false" outlineLevel="0" collapsed="false">
      <c r="A1248" s="7" t="n">
        <v>2010</v>
      </c>
      <c r="B1248" s="12" t="s">
        <v>77</v>
      </c>
      <c r="C1248" s="12" t="s">
        <v>57</v>
      </c>
      <c r="D1248" s="12" t="s">
        <v>46</v>
      </c>
      <c r="E1248" s="16" t="n">
        <v>15.688219</v>
      </c>
      <c r="F1248" s="16" t="n">
        <v>0</v>
      </c>
      <c r="G1248" s="16" t="n">
        <v>9.795258</v>
      </c>
    </row>
    <row r="1249" customFormat="false" ht="15" hidden="false" customHeight="false" outlineLevel="0" collapsed="false">
      <c r="A1249" s="7" t="n">
        <v>2010</v>
      </c>
      <c r="B1249" s="12" t="s">
        <v>77</v>
      </c>
      <c r="C1249" s="12" t="s">
        <v>57</v>
      </c>
      <c r="D1249" s="12" t="s">
        <v>47</v>
      </c>
      <c r="E1249" s="16" t="n">
        <v>1.729937</v>
      </c>
      <c r="F1249" s="16" t="n">
        <v>0</v>
      </c>
      <c r="G1249" s="16" t="n">
        <v>0</v>
      </c>
    </row>
    <row r="1250" customFormat="false" ht="15" hidden="false" customHeight="false" outlineLevel="0" collapsed="false">
      <c r="A1250" s="7" t="n">
        <v>2010</v>
      </c>
      <c r="B1250" s="12" t="s">
        <v>77</v>
      </c>
      <c r="C1250" s="12" t="s">
        <v>57</v>
      </c>
      <c r="D1250" s="12" t="s">
        <v>45</v>
      </c>
      <c r="E1250" s="16" t="n">
        <v>10.1085</v>
      </c>
      <c r="F1250" s="16" t="n">
        <v>0.888452</v>
      </c>
      <c r="G1250" s="16" t="n">
        <v>4.202771</v>
      </c>
    </row>
    <row r="1251" customFormat="false" ht="15" hidden="false" customHeight="false" outlineLevel="0" collapsed="false">
      <c r="A1251" s="7" t="n">
        <v>2010</v>
      </c>
      <c r="B1251" s="12" t="s">
        <v>78</v>
      </c>
      <c r="C1251" s="12" t="s">
        <v>65</v>
      </c>
      <c r="D1251" s="12" t="s">
        <v>49</v>
      </c>
      <c r="E1251" s="16" t="n">
        <v>38.55607</v>
      </c>
      <c r="F1251" s="16" t="n">
        <v>0</v>
      </c>
      <c r="G1251" s="16" t="n">
        <v>1.913751</v>
      </c>
    </row>
    <row r="1252" customFormat="false" ht="15" hidden="false" customHeight="false" outlineLevel="0" collapsed="false">
      <c r="A1252" s="7" t="n">
        <v>2010</v>
      </c>
      <c r="B1252" s="12" t="s">
        <v>78</v>
      </c>
      <c r="C1252" s="12" t="s">
        <v>65</v>
      </c>
      <c r="D1252" s="12" t="s">
        <v>48</v>
      </c>
      <c r="E1252" s="16" t="n">
        <v>10.282463</v>
      </c>
      <c r="F1252" s="16" t="n">
        <v>0</v>
      </c>
      <c r="G1252" s="16" t="n">
        <v>0</v>
      </c>
    </row>
    <row r="1253" customFormat="false" ht="15" hidden="false" customHeight="false" outlineLevel="0" collapsed="false">
      <c r="A1253" s="7" t="n">
        <v>2010</v>
      </c>
      <c r="B1253" s="12" t="s">
        <v>78</v>
      </c>
      <c r="C1253" s="12" t="s">
        <v>65</v>
      </c>
      <c r="D1253" s="12" t="s">
        <v>46</v>
      </c>
      <c r="E1253" s="16" t="n">
        <v>15.69921</v>
      </c>
      <c r="F1253" s="16" t="n">
        <v>0</v>
      </c>
      <c r="G1253" s="16" t="n">
        <v>14.69252</v>
      </c>
    </row>
    <row r="1254" customFormat="false" ht="15" hidden="false" customHeight="false" outlineLevel="0" collapsed="false">
      <c r="A1254" s="7" t="n">
        <v>2010</v>
      </c>
      <c r="B1254" s="12" t="s">
        <v>78</v>
      </c>
      <c r="C1254" s="12" t="s">
        <v>65</v>
      </c>
      <c r="D1254" s="12" t="s">
        <v>45</v>
      </c>
      <c r="E1254" s="16" t="n">
        <v>13.596805</v>
      </c>
      <c r="F1254" s="16" t="n">
        <v>0</v>
      </c>
      <c r="G1254" s="16" t="n">
        <v>6.01897</v>
      </c>
    </row>
    <row r="1255" customFormat="false" ht="15" hidden="false" customHeight="false" outlineLevel="0" collapsed="false">
      <c r="A1255" s="7" t="n">
        <v>2010</v>
      </c>
      <c r="B1255" s="12" t="s">
        <v>79</v>
      </c>
      <c r="C1255" s="12" t="s">
        <v>72</v>
      </c>
      <c r="D1255" s="12" t="s">
        <v>49</v>
      </c>
      <c r="E1255" s="16" t="n">
        <v>233.880099</v>
      </c>
      <c r="F1255" s="16" t="n">
        <v>0</v>
      </c>
      <c r="G1255" s="16" t="n">
        <v>15.771728</v>
      </c>
    </row>
    <row r="1256" customFormat="false" ht="15" hidden="false" customHeight="false" outlineLevel="0" collapsed="false">
      <c r="A1256" s="7" t="n">
        <v>2010</v>
      </c>
      <c r="B1256" s="12" t="s">
        <v>79</v>
      </c>
      <c r="C1256" s="12" t="s">
        <v>72</v>
      </c>
      <c r="D1256" s="12" t="s">
        <v>48</v>
      </c>
      <c r="E1256" s="16" t="n">
        <v>133.304854</v>
      </c>
      <c r="F1256" s="16" t="n">
        <v>0</v>
      </c>
      <c r="G1256" s="16" t="n">
        <v>0</v>
      </c>
    </row>
    <row r="1257" customFormat="false" ht="15" hidden="false" customHeight="false" outlineLevel="0" collapsed="false">
      <c r="A1257" s="7" t="n">
        <v>2010</v>
      </c>
      <c r="B1257" s="12" t="s">
        <v>79</v>
      </c>
      <c r="C1257" s="12" t="s">
        <v>72</v>
      </c>
      <c r="D1257" s="12" t="s">
        <v>46</v>
      </c>
      <c r="E1257" s="16" t="n">
        <v>89.884165</v>
      </c>
      <c r="F1257" s="16" t="n">
        <v>0</v>
      </c>
      <c r="G1257" s="16" t="n">
        <v>88.01492</v>
      </c>
    </row>
    <row r="1258" customFormat="false" ht="15" hidden="false" customHeight="false" outlineLevel="0" collapsed="false">
      <c r="A1258" s="7" t="n">
        <v>2010</v>
      </c>
      <c r="B1258" s="12" t="s">
        <v>79</v>
      </c>
      <c r="C1258" s="12" t="s">
        <v>72</v>
      </c>
      <c r="D1258" s="12" t="s">
        <v>47</v>
      </c>
      <c r="E1258" s="16" t="n">
        <v>5.542056</v>
      </c>
      <c r="F1258" s="16" t="n">
        <v>0</v>
      </c>
      <c r="G1258" s="16" t="n">
        <v>0</v>
      </c>
    </row>
    <row r="1259" customFormat="false" ht="15" hidden="false" customHeight="false" outlineLevel="0" collapsed="false">
      <c r="A1259" s="7" t="n">
        <v>2010</v>
      </c>
      <c r="B1259" s="12" t="s">
        <v>79</v>
      </c>
      <c r="C1259" s="12" t="s">
        <v>72</v>
      </c>
      <c r="D1259" s="12" t="s">
        <v>45</v>
      </c>
      <c r="E1259" s="16" t="n">
        <v>266.546145</v>
      </c>
      <c r="F1259" s="16" t="n">
        <v>263.18231</v>
      </c>
      <c r="G1259" s="16" t="n">
        <v>0</v>
      </c>
    </row>
    <row r="1260" customFormat="false" ht="15" hidden="false" customHeight="false" outlineLevel="0" collapsed="false">
      <c r="A1260" s="7" t="n">
        <v>2010</v>
      </c>
      <c r="B1260" s="12" t="s">
        <v>80</v>
      </c>
      <c r="C1260" s="12" t="s">
        <v>72</v>
      </c>
      <c r="D1260" s="12" t="s">
        <v>49</v>
      </c>
      <c r="E1260" s="16" t="n">
        <v>69.906928</v>
      </c>
      <c r="F1260" s="16" t="n">
        <v>0</v>
      </c>
      <c r="G1260" s="16" t="n">
        <v>19.39377</v>
      </c>
    </row>
    <row r="1261" customFormat="false" ht="15" hidden="false" customHeight="false" outlineLevel="0" collapsed="false">
      <c r="A1261" s="7" t="n">
        <v>2010</v>
      </c>
      <c r="B1261" s="12" t="s">
        <v>80</v>
      </c>
      <c r="C1261" s="12" t="s">
        <v>72</v>
      </c>
      <c r="D1261" s="12" t="s">
        <v>48</v>
      </c>
      <c r="E1261" s="16" t="n">
        <v>46.85738</v>
      </c>
      <c r="F1261" s="16" t="n">
        <v>0</v>
      </c>
      <c r="G1261" s="16" t="n">
        <v>0</v>
      </c>
    </row>
    <row r="1262" customFormat="false" ht="15" hidden="false" customHeight="false" outlineLevel="0" collapsed="false">
      <c r="A1262" s="7" t="n">
        <v>2010</v>
      </c>
      <c r="B1262" s="12" t="s">
        <v>80</v>
      </c>
      <c r="C1262" s="12" t="s">
        <v>72</v>
      </c>
      <c r="D1262" s="12" t="s">
        <v>46</v>
      </c>
      <c r="E1262" s="16" t="n">
        <v>25.712284</v>
      </c>
      <c r="F1262" s="16" t="n">
        <v>0</v>
      </c>
      <c r="G1262" s="16" t="n">
        <v>40.005178</v>
      </c>
    </row>
    <row r="1263" customFormat="false" ht="15" hidden="false" customHeight="false" outlineLevel="0" collapsed="false">
      <c r="A1263" s="7" t="n">
        <v>2010</v>
      </c>
      <c r="B1263" s="12" t="s">
        <v>80</v>
      </c>
      <c r="C1263" s="12" t="s">
        <v>72</v>
      </c>
      <c r="D1263" s="12" t="s">
        <v>47</v>
      </c>
      <c r="E1263" s="16" t="n">
        <v>2.643211</v>
      </c>
      <c r="F1263" s="16" t="n">
        <v>0</v>
      </c>
      <c r="G1263" s="16" t="n">
        <v>0</v>
      </c>
    </row>
    <row r="1264" customFormat="false" ht="15" hidden="false" customHeight="false" outlineLevel="0" collapsed="false">
      <c r="A1264" s="7" t="n">
        <v>2010</v>
      </c>
      <c r="B1264" s="12" t="s">
        <v>80</v>
      </c>
      <c r="C1264" s="12" t="s">
        <v>72</v>
      </c>
      <c r="D1264" s="12" t="s">
        <v>45</v>
      </c>
      <c r="E1264" s="16" t="n">
        <v>102.564715</v>
      </c>
      <c r="F1264" s="16" t="n">
        <v>100.38191</v>
      </c>
      <c r="G1264" s="16" t="n">
        <v>0</v>
      </c>
    </row>
    <row r="1265" customFormat="false" ht="15" hidden="false" customHeight="false" outlineLevel="0" collapsed="false">
      <c r="A1265" s="7" t="n">
        <v>2010</v>
      </c>
      <c r="B1265" s="12" t="s">
        <v>81</v>
      </c>
      <c r="C1265" s="12" t="s">
        <v>72</v>
      </c>
      <c r="D1265" s="12" t="s">
        <v>49</v>
      </c>
      <c r="E1265" s="16" t="n">
        <v>93.960161</v>
      </c>
      <c r="F1265" s="16" t="n">
        <v>0</v>
      </c>
      <c r="G1265" s="16" t="n">
        <v>11.338842</v>
      </c>
    </row>
    <row r="1266" customFormat="false" ht="15" hidden="false" customHeight="false" outlineLevel="0" collapsed="false">
      <c r="A1266" s="7" t="n">
        <v>2010</v>
      </c>
      <c r="B1266" s="12" t="s">
        <v>81</v>
      </c>
      <c r="C1266" s="12" t="s">
        <v>72</v>
      </c>
      <c r="D1266" s="12" t="s">
        <v>48</v>
      </c>
      <c r="E1266" s="16" t="n">
        <v>46.358656</v>
      </c>
      <c r="F1266" s="16" t="n">
        <v>0</v>
      </c>
      <c r="G1266" s="16" t="n">
        <v>0</v>
      </c>
    </row>
    <row r="1267" customFormat="false" ht="15" hidden="false" customHeight="false" outlineLevel="0" collapsed="false">
      <c r="A1267" s="7" t="n">
        <v>2010</v>
      </c>
      <c r="B1267" s="12" t="s">
        <v>81</v>
      </c>
      <c r="C1267" s="12" t="s">
        <v>72</v>
      </c>
      <c r="D1267" s="12" t="s">
        <v>46</v>
      </c>
      <c r="E1267" s="16" t="n">
        <v>44.928173</v>
      </c>
      <c r="F1267" s="16" t="n">
        <v>0</v>
      </c>
      <c r="G1267" s="16" t="n">
        <v>29.192346</v>
      </c>
    </row>
    <row r="1268" customFormat="false" ht="15" hidden="false" customHeight="false" outlineLevel="0" collapsed="false">
      <c r="A1268" s="7" t="n">
        <v>2010</v>
      </c>
      <c r="B1268" s="12" t="s">
        <v>81</v>
      </c>
      <c r="C1268" s="12" t="s">
        <v>72</v>
      </c>
      <c r="D1268" s="12" t="s">
        <v>47</v>
      </c>
      <c r="E1268" s="16" t="n">
        <v>2.689324</v>
      </c>
      <c r="F1268" s="16" t="n">
        <v>0</v>
      </c>
      <c r="G1268" s="16" t="n">
        <v>0</v>
      </c>
    </row>
    <row r="1269" customFormat="false" ht="15" hidden="false" customHeight="false" outlineLevel="0" collapsed="false">
      <c r="A1269" s="7" t="n">
        <v>2010</v>
      </c>
      <c r="B1269" s="12" t="s">
        <v>81</v>
      </c>
      <c r="C1269" s="12" t="s">
        <v>72</v>
      </c>
      <c r="D1269" s="12" t="s">
        <v>45</v>
      </c>
      <c r="E1269" s="16" t="n">
        <v>109.74975</v>
      </c>
      <c r="F1269" s="16" t="n">
        <v>107.693821</v>
      </c>
      <c r="G1269" s="16" t="n">
        <v>0</v>
      </c>
    </row>
    <row r="1270" customFormat="false" ht="15" hidden="false" customHeight="false" outlineLevel="0" collapsed="false">
      <c r="A1270" s="7" t="n">
        <v>2011</v>
      </c>
      <c r="B1270" s="12" t="s">
        <v>56</v>
      </c>
      <c r="C1270" s="12" t="s">
        <v>57</v>
      </c>
      <c r="D1270" s="12" t="s">
        <v>49</v>
      </c>
      <c r="E1270" s="16" t="n">
        <v>65.918083</v>
      </c>
      <c r="F1270" s="16" t="n">
        <v>0</v>
      </c>
      <c r="G1270" s="16" t="n">
        <v>7.417536</v>
      </c>
    </row>
    <row r="1271" customFormat="false" ht="15" hidden="false" customHeight="false" outlineLevel="0" collapsed="false">
      <c r="A1271" s="7" t="n">
        <v>2011</v>
      </c>
      <c r="B1271" s="12" t="s">
        <v>56</v>
      </c>
      <c r="C1271" s="12" t="s">
        <v>57</v>
      </c>
      <c r="D1271" s="12" t="s">
        <v>48</v>
      </c>
      <c r="E1271" s="16" t="n">
        <v>20.053777</v>
      </c>
      <c r="F1271" s="16" t="n">
        <v>0</v>
      </c>
      <c r="G1271" s="16" t="n">
        <v>0</v>
      </c>
    </row>
    <row r="1272" customFormat="false" ht="15" hidden="false" customHeight="false" outlineLevel="0" collapsed="false">
      <c r="A1272" s="7" t="n">
        <v>2011</v>
      </c>
      <c r="B1272" s="12" t="s">
        <v>56</v>
      </c>
      <c r="C1272" s="12" t="s">
        <v>57</v>
      </c>
      <c r="D1272" s="12" t="s">
        <v>46</v>
      </c>
      <c r="E1272" s="16" t="n">
        <v>23.736704</v>
      </c>
      <c r="F1272" s="16" t="n">
        <v>0</v>
      </c>
      <c r="G1272" s="16" t="n">
        <v>15.330086</v>
      </c>
    </row>
    <row r="1273" customFormat="false" ht="15" hidden="false" customHeight="false" outlineLevel="0" collapsed="false">
      <c r="A1273" s="7" t="n">
        <v>2011</v>
      </c>
      <c r="B1273" s="12" t="s">
        <v>56</v>
      </c>
      <c r="C1273" s="12" t="s">
        <v>57</v>
      </c>
      <c r="D1273" s="12" t="s">
        <v>47</v>
      </c>
      <c r="E1273" s="16" t="n">
        <v>0.030001</v>
      </c>
      <c r="F1273" s="16" t="n">
        <v>0</v>
      </c>
      <c r="G1273" s="16" t="n">
        <v>0</v>
      </c>
    </row>
    <row r="1274" customFormat="false" ht="15" hidden="false" customHeight="false" outlineLevel="0" collapsed="false">
      <c r="A1274" s="7" t="n">
        <v>2011</v>
      </c>
      <c r="B1274" s="12" t="s">
        <v>56</v>
      </c>
      <c r="C1274" s="12" t="s">
        <v>57</v>
      </c>
      <c r="D1274" s="12" t="s">
        <v>45</v>
      </c>
      <c r="E1274" s="16" t="n">
        <v>39.71529</v>
      </c>
      <c r="F1274" s="16" t="n">
        <v>21.537094</v>
      </c>
      <c r="G1274" s="16" t="n">
        <v>9.670799</v>
      </c>
    </row>
    <row r="1275" customFormat="false" ht="15" hidden="false" customHeight="false" outlineLevel="0" collapsed="false">
      <c r="A1275" s="7" t="n">
        <v>2011</v>
      </c>
      <c r="B1275" s="12" t="s">
        <v>58</v>
      </c>
      <c r="C1275" s="12" t="s">
        <v>59</v>
      </c>
      <c r="D1275" s="12" t="s">
        <v>49</v>
      </c>
      <c r="E1275" s="16" t="n">
        <v>143.957671</v>
      </c>
      <c r="F1275" s="16" t="n">
        <v>0</v>
      </c>
      <c r="G1275" s="16" t="n">
        <v>10.271972</v>
      </c>
    </row>
    <row r="1276" customFormat="false" ht="15" hidden="false" customHeight="false" outlineLevel="0" collapsed="false">
      <c r="A1276" s="7" t="n">
        <v>2011</v>
      </c>
      <c r="B1276" s="12" t="s">
        <v>58</v>
      </c>
      <c r="C1276" s="12" t="s">
        <v>59</v>
      </c>
      <c r="D1276" s="12" t="s">
        <v>48</v>
      </c>
      <c r="E1276" s="16" t="n">
        <v>100.685954</v>
      </c>
      <c r="F1276" s="16" t="n">
        <v>0</v>
      </c>
      <c r="G1276" s="16" t="n">
        <v>0</v>
      </c>
    </row>
    <row r="1277" customFormat="false" ht="15" hidden="false" customHeight="false" outlineLevel="0" collapsed="false">
      <c r="A1277" s="7" t="n">
        <v>2011</v>
      </c>
      <c r="B1277" s="12" t="s">
        <v>58</v>
      </c>
      <c r="C1277" s="12" t="s">
        <v>59</v>
      </c>
      <c r="D1277" s="12" t="s">
        <v>46</v>
      </c>
      <c r="E1277" s="16" t="n">
        <v>180.73717</v>
      </c>
      <c r="F1277" s="16" t="n">
        <v>0</v>
      </c>
      <c r="G1277" s="16" t="n">
        <v>149.100135</v>
      </c>
    </row>
    <row r="1278" customFormat="false" ht="15" hidden="false" customHeight="false" outlineLevel="0" collapsed="false">
      <c r="A1278" s="7" t="n">
        <v>2011</v>
      </c>
      <c r="B1278" s="12" t="s">
        <v>58</v>
      </c>
      <c r="C1278" s="12" t="s">
        <v>59</v>
      </c>
      <c r="D1278" s="12" t="s">
        <v>47</v>
      </c>
      <c r="E1278" s="16" t="n">
        <v>1.770987</v>
      </c>
      <c r="F1278" s="16" t="n">
        <v>0</v>
      </c>
      <c r="G1278" s="16" t="n">
        <v>0</v>
      </c>
    </row>
    <row r="1279" customFormat="false" ht="15" hidden="false" customHeight="false" outlineLevel="0" collapsed="false">
      <c r="A1279" s="7" t="n">
        <v>2011</v>
      </c>
      <c r="B1279" s="12" t="s">
        <v>58</v>
      </c>
      <c r="C1279" s="12" t="s">
        <v>59</v>
      </c>
      <c r="D1279" s="12" t="s">
        <v>45</v>
      </c>
      <c r="E1279" s="16" t="n">
        <v>41.174979</v>
      </c>
      <c r="F1279" s="16" t="n">
        <v>15.638005</v>
      </c>
      <c r="G1279" s="16" t="n">
        <v>16.694355</v>
      </c>
    </row>
    <row r="1280" customFormat="false" ht="15" hidden="false" customHeight="false" outlineLevel="0" collapsed="false">
      <c r="A1280" s="7" t="n">
        <v>2011</v>
      </c>
      <c r="B1280" s="12" t="s">
        <v>60</v>
      </c>
      <c r="C1280" s="12" t="s">
        <v>59</v>
      </c>
      <c r="D1280" s="12" t="s">
        <v>49</v>
      </c>
      <c r="E1280" s="16" t="n">
        <v>406.959199</v>
      </c>
      <c r="F1280" s="16" t="n">
        <v>0</v>
      </c>
      <c r="G1280" s="16" t="n">
        <v>117.458046</v>
      </c>
    </row>
    <row r="1281" customFormat="false" ht="15" hidden="false" customHeight="false" outlineLevel="0" collapsed="false">
      <c r="A1281" s="7" t="n">
        <v>2011</v>
      </c>
      <c r="B1281" s="12" t="s">
        <v>60</v>
      </c>
      <c r="C1281" s="12" t="s">
        <v>59</v>
      </c>
      <c r="D1281" s="12" t="s">
        <v>48</v>
      </c>
      <c r="E1281" s="16" t="n">
        <v>352.704313</v>
      </c>
      <c r="F1281" s="16" t="n">
        <v>0</v>
      </c>
      <c r="G1281" s="16" t="n">
        <v>0</v>
      </c>
    </row>
    <row r="1282" customFormat="false" ht="15" hidden="false" customHeight="false" outlineLevel="0" collapsed="false">
      <c r="A1282" s="7" t="n">
        <v>2011</v>
      </c>
      <c r="B1282" s="12" t="s">
        <v>60</v>
      </c>
      <c r="C1282" s="12" t="s">
        <v>59</v>
      </c>
      <c r="D1282" s="12" t="s">
        <v>46</v>
      </c>
      <c r="E1282" s="16" t="n">
        <v>414.483591</v>
      </c>
      <c r="F1282" s="16" t="n">
        <v>0</v>
      </c>
      <c r="G1282" s="16" t="n">
        <v>326.37969</v>
      </c>
    </row>
    <row r="1283" customFormat="false" ht="15" hidden="false" customHeight="false" outlineLevel="0" collapsed="false">
      <c r="A1283" s="7" t="n">
        <v>2011</v>
      </c>
      <c r="B1283" s="12" t="s">
        <v>60</v>
      </c>
      <c r="C1283" s="12" t="s">
        <v>59</v>
      </c>
      <c r="D1283" s="12" t="s">
        <v>47</v>
      </c>
      <c r="E1283" s="16" t="n">
        <v>5.639096</v>
      </c>
      <c r="F1283" s="16" t="n">
        <v>0</v>
      </c>
      <c r="G1283" s="16" t="n">
        <v>0</v>
      </c>
    </row>
    <row r="1284" customFormat="false" ht="15" hidden="false" customHeight="false" outlineLevel="0" collapsed="false">
      <c r="A1284" s="7" t="n">
        <v>2011</v>
      </c>
      <c r="B1284" s="12" t="s">
        <v>60</v>
      </c>
      <c r="C1284" s="12" t="s">
        <v>59</v>
      </c>
      <c r="D1284" s="12" t="s">
        <v>45</v>
      </c>
      <c r="E1284" s="16" t="n">
        <v>343.540345</v>
      </c>
      <c r="F1284" s="16" t="n">
        <v>2.546583</v>
      </c>
      <c r="G1284" s="16" t="n">
        <v>59.029414</v>
      </c>
    </row>
    <row r="1285" customFormat="false" ht="15" hidden="false" customHeight="false" outlineLevel="0" collapsed="false">
      <c r="A1285" s="7" t="n">
        <v>2011</v>
      </c>
      <c r="B1285" s="12" t="s">
        <v>61</v>
      </c>
      <c r="C1285" s="12" t="s">
        <v>62</v>
      </c>
      <c r="D1285" s="12" t="s">
        <v>49</v>
      </c>
      <c r="E1285" s="16" t="n">
        <v>181.774448</v>
      </c>
      <c r="F1285" s="16" t="n">
        <v>0</v>
      </c>
      <c r="G1285" s="16" t="n">
        <v>47.184011</v>
      </c>
    </row>
    <row r="1286" customFormat="false" ht="15" hidden="false" customHeight="false" outlineLevel="0" collapsed="false">
      <c r="A1286" s="7" t="n">
        <v>2011</v>
      </c>
      <c r="B1286" s="12" t="s">
        <v>61</v>
      </c>
      <c r="C1286" s="12" t="s">
        <v>62</v>
      </c>
      <c r="D1286" s="12" t="s">
        <v>48</v>
      </c>
      <c r="E1286" s="16" t="n">
        <v>163.162587</v>
      </c>
      <c r="F1286" s="16" t="n">
        <v>0</v>
      </c>
      <c r="G1286" s="16" t="n">
        <v>0</v>
      </c>
    </row>
    <row r="1287" customFormat="false" ht="15" hidden="false" customHeight="false" outlineLevel="0" collapsed="false">
      <c r="A1287" s="7" t="n">
        <v>2011</v>
      </c>
      <c r="B1287" s="12" t="s">
        <v>61</v>
      </c>
      <c r="C1287" s="12" t="s">
        <v>62</v>
      </c>
      <c r="D1287" s="12" t="s">
        <v>46</v>
      </c>
      <c r="E1287" s="16" t="n">
        <v>175.98648</v>
      </c>
      <c r="F1287" s="16" t="n">
        <v>0</v>
      </c>
      <c r="G1287" s="16" t="n">
        <v>160.734636</v>
      </c>
    </row>
    <row r="1288" customFormat="false" ht="15" hidden="false" customHeight="false" outlineLevel="0" collapsed="false">
      <c r="A1288" s="7" t="n">
        <v>2011</v>
      </c>
      <c r="B1288" s="12" t="s">
        <v>61</v>
      </c>
      <c r="C1288" s="12" t="s">
        <v>62</v>
      </c>
      <c r="D1288" s="12" t="s">
        <v>47</v>
      </c>
      <c r="E1288" s="16" t="n">
        <v>8.521843</v>
      </c>
      <c r="F1288" s="16" t="n">
        <v>0</v>
      </c>
      <c r="G1288" s="16" t="n">
        <v>0</v>
      </c>
    </row>
    <row r="1289" customFormat="false" ht="15" hidden="false" customHeight="false" outlineLevel="0" collapsed="false">
      <c r="A1289" s="7" t="n">
        <v>2011</v>
      </c>
      <c r="B1289" s="12" t="s">
        <v>61</v>
      </c>
      <c r="C1289" s="12" t="s">
        <v>62</v>
      </c>
      <c r="D1289" s="12" t="s">
        <v>45</v>
      </c>
      <c r="E1289" s="16" t="n">
        <v>259.239453</v>
      </c>
      <c r="F1289" s="16" t="n">
        <v>248.477912</v>
      </c>
      <c r="G1289" s="16" t="n">
        <v>0</v>
      </c>
    </row>
    <row r="1290" customFormat="false" ht="15" hidden="false" customHeight="false" outlineLevel="0" collapsed="false">
      <c r="A1290" s="7" t="n">
        <v>2011</v>
      </c>
      <c r="B1290" s="12" t="s">
        <v>63</v>
      </c>
      <c r="C1290" s="12" t="s">
        <v>62</v>
      </c>
      <c r="D1290" s="12" t="s">
        <v>49</v>
      </c>
      <c r="E1290" s="16" t="n">
        <v>418.701706</v>
      </c>
      <c r="F1290" s="16" t="n">
        <v>0</v>
      </c>
      <c r="G1290" s="16" t="n">
        <v>96.927102</v>
      </c>
    </row>
    <row r="1291" customFormat="false" ht="15" hidden="false" customHeight="false" outlineLevel="0" collapsed="false">
      <c r="A1291" s="7" t="n">
        <v>2011</v>
      </c>
      <c r="B1291" s="12" t="s">
        <v>63</v>
      </c>
      <c r="C1291" s="12" t="s">
        <v>62</v>
      </c>
      <c r="D1291" s="12" t="s">
        <v>48</v>
      </c>
      <c r="E1291" s="16" t="n">
        <v>210.420832</v>
      </c>
      <c r="F1291" s="16" t="n">
        <v>0</v>
      </c>
      <c r="G1291" s="16" t="n">
        <v>0</v>
      </c>
    </row>
    <row r="1292" customFormat="false" ht="15" hidden="false" customHeight="false" outlineLevel="0" collapsed="false">
      <c r="A1292" s="7" t="n">
        <v>2011</v>
      </c>
      <c r="B1292" s="12" t="s">
        <v>63</v>
      </c>
      <c r="C1292" s="12" t="s">
        <v>62</v>
      </c>
      <c r="D1292" s="12" t="s">
        <v>46</v>
      </c>
      <c r="E1292" s="16" t="n">
        <v>293.444402</v>
      </c>
      <c r="F1292" s="16" t="n">
        <v>0</v>
      </c>
      <c r="G1292" s="16" t="n">
        <v>239.84774</v>
      </c>
    </row>
    <row r="1293" customFormat="false" ht="15" hidden="false" customHeight="false" outlineLevel="0" collapsed="false">
      <c r="A1293" s="7" t="n">
        <v>2011</v>
      </c>
      <c r="B1293" s="12" t="s">
        <v>63</v>
      </c>
      <c r="C1293" s="12" t="s">
        <v>62</v>
      </c>
      <c r="D1293" s="12" t="s">
        <v>47</v>
      </c>
      <c r="E1293" s="16" t="n">
        <v>10.970058</v>
      </c>
      <c r="F1293" s="16" t="n">
        <v>0</v>
      </c>
      <c r="G1293" s="16" t="n">
        <v>0</v>
      </c>
    </row>
    <row r="1294" customFormat="false" ht="15" hidden="false" customHeight="false" outlineLevel="0" collapsed="false">
      <c r="A1294" s="7" t="n">
        <v>2011</v>
      </c>
      <c r="B1294" s="12" t="s">
        <v>63</v>
      </c>
      <c r="C1294" s="12" t="s">
        <v>62</v>
      </c>
      <c r="D1294" s="12" t="s">
        <v>45</v>
      </c>
      <c r="E1294" s="16" t="n">
        <v>296.514539</v>
      </c>
      <c r="F1294" s="16" t="n">
        <v>285.616465</v>
      </c>
      <c r="G1294" s="16" t="n">
        <v>2.016699</v>
      </c>
    </row>
    <row r="1295" customFormat="false" ht="15" hidden="false" customHeight="false" outlineLevel="0" collapsed="false">
      <c r="A1295" s="7" t="n">
        <v>2011</v>
      </c>
      <c r="B1295" s="12" t="s">
        <v>64</v>
      </c>
      <c r="C1295" s="12" t="s">
        <v>65</v>
      </c>
      <c r="D1295" s="12" t="s">
        <v>49</v>
      </c>
      <c r="E1295" s="16" t="n">
        <v>200.833052</v>
      </c>
      <c r="F1295" s="16" t="n">
        <v>0</v>
      </c>
      <c r="G1295" s="16" t="n">
        <v>29.280432</v>
      </c>
    </row>
    <row r="1296" customFormat="false" ht="15" hidden="false" customHeight="false" outlineLevel="0" collapsed="false">
      <c r="A1296" s="7" t="n">
        <v>2011</v>
      </c>
      <c r="B1296" s="12" t="s">
        <v>64</v>
      </c>
      <c r="C1296" s="12" t="s">
        <v>65</v>
      </c>
      <c r="D1296" s="12" t="s">
        <v>48</v>
      </c>
      <c r="E1296" s="16" t="n">
        <v>65.864782</v>
      </c>
      <c r="F1296" s="16" t="n">
        <v>0</v>
      </c>
      <c r="G1296" s="16" t="n">
        <v>0</v>
      </c>
    </row>
    <row r="1297" customFormat="false" ht="15" hidden="false" customHeight="false" outlineLevel="0" collapsed="false">
      <c r="A1297" s="7" t="n">
        <v>2011</v>
      </c>
      <c r="B1297" s="12" t="s">
        <v>64</v>
      </c>
      <c r="C1297" s="12" t="s">
        <v>65</v>
      </c>
      <c r="D1297" s="12" t="s">
        <v>46</v>
      </c>
      <c r="E1297" s="16" t="n">
        <v>106.99118</v>
      </c>
      <c r="F1297" s="16" t="n">
        <v>0</v>
      </c>
      <c r="G1297" s="16" t="n">
        <v>84.436824</v>
      </c>
    </row>
    <row r="1298" customFormat="false" ht="15" hidden="false" customHeight="false" outlineLevel="0" collapsed="false">
      <c r="A1298" s="7" t="n">
        <v>2011</v>
      </c>
      <c r="B1298" s="12" t="s">
        <v>64</v>
      </c>
      <c r="C1298" s="12" t="s">
        <v>65</v>
      </c>
      <c r="D1298" s="12" t="s">
        <v>47</v>
      </c>
      <c r="E1298" s="16" t="n">
        <v>6.996789</v>
      </c>
      <c r="F1298" s="16" t="n">
        <v>0</v>
      </c>
      <c r="G1298" s="16" t="n">
        <v>0</v>
      </c>
    </row>
    <row r="1299" customFormat="false" ht="15" hidden="false" customHeight="false" outlineLevel="0" collapsed="false">
      <c r="A1299" s="7" t="n">
        <v>2011</v>
      </c>
      <c r="B1299" s="12" t="s">
        <v>64</v>
      </c>
      <c r="C1299" s="12" t="s">
        <v>65</v>
      </c>
      <c r="D1299" s="12" t="s">
        <v>45</v>
      </c>
      <c r="E1299" s="16" t="n">
        <v>35.642579</v>
      </c>
      <c r="F1299" s="16" t="n">
        <v>12.397136</v>
      </c>
      <c r="G1299" s="16" t="n">
        <v>23.470487</v>
      </c>
    </row>
    <row r="1300" customFormat="false" ht="15" hidden="false" customHeight="false" outlineLevel="0" collapsed="false">
      <c r="A1300" s="7" t="n">
        <v>2011</v>
      </c>
      <c r="B1300" s="12" t="s">
        <v>66</v>
      </c>
      <c r="C1300" s="12" t="s">
        <v>67</v>
      </c>
      <c r="D1300" s="12" t="s">
        <v>49</v>
      </c>
      <c r="E1300" s="16" t="n">
        <v>129.178705</v>
      </c>
      <c r="F1300" s="16" t="n">
        <v>0</v>
      </c>
      <c r="G1300" s="16" t="n">
        <v>17.407643</v>
      </c>
    </row>
    <row r="1301" customFormat="false" ht="15" hidden="false" customHeight="false" outlineLevel="0" collapsed="false">
      <c r="A1301" s="7" t="n">
        <v>2011</v>
      </c>
      <c r="B1301" s="12" t="s">
        <v>66</v>
      </c>
      <c r="C1301" s="12" t="s">
        <v>67</v>
      </c>
      <c r="D1301" s="12" t="s">
        <v>48</v>
      </c>
      <c r="E1301" s="16" t="n">
        <v>36.573855</v>
      </c>
      <c r="F1301" s="16" t="n">
        <v>0</v>
      </c>
      <c r="G1301" s="16" t="n">
        <v>0</v>
      </c>
    </row>
    <row r="1302" customFormat="false" ht="15" hidden="false" customHeight="false" outlineLevel="0" collapsed="false">
      <c r="A1302" s="7" t="n">
        <v>2011</v>
      </c>
      <c r="B1302" s="12" t="s">
        <v>66</v>
      </c>
      <c r="C1302" s="12" t="s">
        <v>67</v>
      </c>
      <c r="D1302" s="12" t="s">
        <v>46</v>
      </c>
      <c r="E1302" s="16" t="n">
        <v>50.231575</v>
      </c>
      <c r="F1302" s="16" t="n">
        <v>0</v>
      </c>
      <c r="G1302" s="16" t="n">
        <v>35.87837</v>
      </c>
    </row>
    <row r="1303" customFormat="false" ht="15" hidden="false" customHeight="false" outlineLevel="0" collapsed="false">
      <c r="A1303" s="7" t="n">
        <v>2011</v>
      </c>
      <c r="B1303" s="12" t="s">
        <v>66</v>
      </c>
      <c r="C1303" s="12" t="s">
        <v>67</v>
      </c>
      <c r="D1303" s="12" t="s">
        <v>47</v>
      </c>
      <c r="E1303" s="16" t="n">
        <v>5.248935</v>
      </c>
      <c r="F1303" s="16" t="n">
        <v>0</v>
      </c>
      <c r="G1303" s="16" t="n">
        <v>0</v>
      </c>
    </row>
    <row r="1304" customFormat="false" ht="15" hidden="false" customHeight="false" outlineLevel="0" collapsed="false">
      <c r="A1304" s="7" t="n">
        <v>2011</v>
      </c>
      <c r="B1304" s="12" t="s">
        <v>66</v>
      </c>
      <c r="C1304" s="12" t="s">
        <v>67</v>
      </c>
      <c r="D1304" s="12" t="s">
        <v>45</v>
      </c>
      <c r="E1304" s="16" t="n">
        <v>34.504129</v>
      </c>
      <c r="F1304" s="16" t="n">
        <v>7.816222</v>
      </c>
      <c r="G1304" s="16" t="n">
        <v>17.216274</v>
      </c>
    </row>
    <row r="1305" customFormat="false" ht="15" hidden="false" customHeight="false" outlineLevel="0" collapsed="false">
      <c r="A1305" s="7" t="n">
        <v>2011</v>
      </c>
      <c r="B1305" s="12" t="s">
        <v>68</v>
      </c>
      <c r="C1305" s="12" t="s">
        <v>65</v>
      </c>
      <c r="D1305" s="12" t="s">
        <v>49</v>
      </c>
      <c r="E1305" s="16" t="n">
        <v>108.983244</v>
      </c>
      <c r="F1305" s="16" t="n">
        <v>0</v>
      </c>
      <c r="G1305" s="16" t="n">
        <v>12.725932</v>
      </c>
    </row>
    <row r="1306" customFormat="false" ht="15" hidden="false" customHeight="false" outlineLevel="0" collapsed="false">
      <c r="A1306" s="7" t="n">
        <v>2011</v>
      </c>
      <c r="B1306" s="12" t="s">
        <v>68</v>
      </c>
      <c r="C1306" s="12" t="s">
        <v>65</v>
      </c>
      <c r="D1306" s="12" t="s">
        <v>48</v>
      </c>
      <c r="E1306" s="16" t="n">
        <v>21.7148</v>
      </c>
      <c r="F1306" s="16" t="n">
        <v>0</v>
      </c>
      <c r="G1306" s="16" t="n">
        <v>0</v>
      </c>
    </row>
    <row r="1307" customFormat="false" ht="15" hidden="false" customHeight="false" outlineLevel="0" collapsed="false">
      <c r="A1307" s="7" t="n">
        <v>2011</v>
      </c>
      <c r="B1307" s="12" t="s">
        <v>68</v>
      </c>
      <c r="C1307" s="12" t="s">
        <v>65</v>
      </c>
      <c r="D1307" s="12" t="s">
        <v>46</v>
      </c>
      <c r="E1307" s="16" t="n">
        <v>35.397842</v>
      </c>
      <c r="F1307" s="16" t="n">
        <v>0</v>
      </c>
      <c r="G1307" s="16" t="n">
        <v>61.239758</v>
      </c>
    </row>
    <row r="1308" customFormat="false" ht="15" hidden="false" customHeight="false" outlineLevel="0" collapsed="false">
      <c r="A1308" s="7" t="n">
        <v>2011</v>
      </c>
      <c r="B1308" s="12" t="s">
        <v>68</v>
      </c>
      <c r="C1308" s="12" t="s">
        <v>65</v>
      </c>
      <c r="D1308" s="12" t="s">
        <v>47</v>
      </c>
      <c r="E1308" s="16" t="n">
        <v>0.131194</v>
      </c>
      <c r="F1308" s="16" t="n">
        <v>0</v>
      </c>
      <c r="G1308" s="16" t="n">
        <v>0</v>
      </c>
    </row>
    <row r="1309" customFormat="false" ht="15" hidden="false" customHeight="false" outlineLevel="0" collapsed="false">
      <c r="A1309" s="7" t="n">
        <v>2011</v>
      </c>
      <c r="B1309" s="12" t="s">
        <v>68</v>
      </c>
      <c r="C1309" s="12" t="s">
        <v>65</v>
      </c>
      <c r="D1309" s="12" t="s">
        <v>45</v>
      </c>
      <c r="E1309" s="16" t="n">
        <v>11.5007</v>
      </c>
      <c r="F1309" s="16" t="n">
        <v>3.70167</v>
      </c>
      <c r="G1309" s="16" t="n">
        <v>5.70233</v>
      </c>
    </row>
    <row r="1310" customFormat="false" ht="15" hidden="false" customHeight="false" outlineLevel="0" collapsed="false">
      <c r="A1310" s="7" t="n">
        <v>2011</v>
      </c>
      <c r="B1310" s="12" t="s">
        <v>69</v>
      </c>
      <c r="C1310" s="12" t="s">
        <v>70</v>
      </c>
      <c r="D1310" s="12" t="s">
        <v>49</v>
      </c>
      <c r="E1310" s="16" t="n">
        <v>86.438919</v>
      </c>
      <c r="F1310" s="16" t="n">
        <v>0</v>
      </c>
      <c r="G1310" s="16" t="n">
        <v>24.572689</v>
      </c>
    </row>
    <row r="1311" customFormat="false" ht="15" hidden="false" customHeight="false" outlineLevel="0" collapsed="false">
      <c r="A1311" s="7" t="n">
        <v>2011</v>
      </c>
      <c r="B1311" s="12" t="s">
        <v>69</v>
      </c>
      <c r="C1311" s="12" t="s">
        <v>70</v>
      </c>
      <c r="D1311" s="12" t="s">
        <v>48</v>
      </c>
      <c r="E1311" s="16" t="n">
        <v>61.526169</v>
      </c>
      <c r="F1311" s="16" t="n">
        <v>0</v>
      </c>
      <c r="G1311" s="16" t="n">
        <v>0</v>
      </c>
    </row>
    <row r="1312" customFormat="false" ht="15" hidden="false" customHeight="false" outlineLevel="0" collapsed="false">
      <c r="A1312" s="7" t="n">
        <v>2011</v>
      </c>
      <c r="B1312" s="12" t="s">
        <v>69</v>
      </c>
      <c r="C1312" s="12" t="s">
        <v>70</v>
      </c>
      <c r="D1312" s="12" t="s">
        <v>46</v>
      </c>
      <c r="E1312" s="16" t="n">
        <v>24.408029</v>
      </c>
      <c r="F1312" s="16" t="n">
        <v>0</v>
      </c>
      <c r="G1312" s="16" t="n">
        <v>48.302653</v>
      </c>
    </row>
    <row r="1313" customFormat="false" ht="15" hidden="false" customHeight="false" outlineLevel="0" collapsed="false">
      <c r="A1313" s="7" t="n">
        <v>2011</v>
      </c>
      <c r="B1313" s="12" t="s">
        <v>69</v>
      </c>
      <c r="C1313" s="12" t="s">
        <v>70</v>
      </c>
      <c r="D1313" s="12" t="s">
        <v>47</v>
      </c>
      <c r="E1313" s="16" t="n">
        <v>3.771625</v>
      </c>
      <c r="F1313" s="16" t="n">
        <v>0</v>
      </c>
      <c r="G1313" s="16" t="n">
        <v>0</v>
      </c>
    </row>
    <row r="1314" customFormat="false" ht="15" hidden="false" customHeight="false" outlineLevel="0" collapsed="false">
      <c r="A1314" s="7" t="n">
        <v>2011</v>
      </c>
      <c r="B1314" s="12" t="s">
        <v>69</v>
      </c>
      <c r="C1314" s="12" t="s">
        <v>70</v>
      </c>
      <c r="D1314" s="12" t="s">
        <v>45</v>
      </c>
      <c r="E1314" s="16" t="n">
        <v>222.171524</v>
      </c>
      <c r="F1314" s="16" t="n">
        <v>219.151101</v>
      </c>
      <c r="G1314" s="16" t="n">
        <v>0</v>
      </c>
    </row>
    <row r="1315" customFormat="false" ht="15" hidden="false" customHeight="false" outlineLevel="0" collapsed="false">
      <c r="A1315" s="7" t="n">
        <v>2011</v>
      </c>
      <c r="B1315" s="12" t="s">
        <v>71</v>
      </c>
      <c r="C1315" s="12" t="s">
        <v>72</v>
      </c>
      <c r="D1315" s="12" t="s">
        <v>49</v>
      </c>
      <c r="E1315" s="16" t="n">
        <v>37.743193</v>
      </c>
      <c r="F1315" s="16" t="n">
        <v>0</v>
      </c>
      <c r="G1315" s="16" t="n">
        <v>2.062413</v>
      </c>
    </row>
    <row r="1316" customFormat="false" ht="15" hidden="false" customHeight="false" outlineLevel="0" collapsed="false">
      <c r="A1316" s="7" t="n">
        <v>2011</v>
      </c>
      <c r="B1316" s="12" t="s">
        <v>71</v>
      </c>
      <c r="C1316" s="12" t="s">
        <v>72</v>
      </c>
      <c r="D1316" s="12" t="s">
        <v>48</v>
      </c>
      <c r="E1316" s="16" t="n">
        <v>15.335017</v>
      </c>
      <c r="F1316" s="16" t="n">
        <v>0</v>
      </c>
      <c r="G1316" s="16" t="n">
        <v>0</v>
      </c>
    </row>
    <row r="1317" customFormat="false" ht="15" hidden="false" customHeight="false" outlineLevel="0" collapsed="false">
      <c r="A1317" s="7" t="n">
        <v>2011</v>
      </c>
      <c r="B1317" s="12" t="s">
        <v>71</v>
      </c>
      <c r="C1317" s="12" t="s">
        <v>72</v>
      </c>
      <c r="D1317" s="12" t="s">
        <v>46</v>
      </c>
      <c r="E1317" s="16" t="n">
        <v>13.54048</v>
      </c>
      <c r="F1317" s="16" t="n">
        <v>0</v>
      </c>
      <c r="G1317" s="16" t="n">
        <v>10.731302</v>
      </c>
    </row>
    <row r="1318" customFormat="false" ht="15" hidden="false" customHeight="false" outlineLevel="0" collapsed="false">
      <c r="A1318" s="7" t="n">
        <v>2011</v>
      </c>
      <c r="B1318" s="12" t="s">
        <v>71</v>
      </c>
      <c r="C1318" s="12" t="s">
        <v>72</v>
      </c>
      <c r="D1318" s="12" t="s">
        <v>47</v>
      </c>
      <c r="E1318" s="16" t="n">
        <v>0.748616</v>
      </c>
      <c r="F1318" s="16" t="n">
        <v>0</v>
      </c>
      <c r="G1318" s="16" t="n">
        <v>0</v>
      </c>
    </row>
    <row r="1319" customFormat="false" ht="15" hidden="false" customHeight="false" outlineLevel="0" collapsed="false">
      <c r="A1319" s="7" t="n">
        <v>2011</v>
      </c>
      <c r="B1319" s="12" t="s">
        <v>71</v>
      </c>
      <c r="C1319" s="12" t="s">
        <v>72</v>
      </c>
      <c r="D1319" s="12" t="s">
        <v>45</v>
      </c>
      <c r="E1319" s="16" t="n">
        <v>29.08711</v>
      </c>
      <c r="F1319" s="16" t="n">
        <v>29.062814</v>
      </c>
      <c r="G1319" s="16" t="n">
        <v>0</v>
      </c>
    </row>
    <row r="1320" customFormat="false" ht="15" hidden="false" customHeight="false" outlineLevel="0" collapsed="false">
      <c r="A1320" s="7" t="n">
        <v>2011</v>
      </c>
      <c r="B1320" s="12" t="s">
        <v>73</v>
      </c>
      <c r="C1320" s="12" t="s">
        <v>70</v>
      </c>
      <c r="D1320" s="12" t="s">
        <v>49</v>
      </c>
      <c r="E1320" s="16" t="n">
        <v>79.839543</v>
      </c>
      <c r="F1320" s="16" t="n">
        <v>0</v>
      </c>
      <c r="G1320" s="16" t="n">
        <v>14.321226</v>
      </c>
    </row>
    <row r="1321" customFormat="false" ht="15" hidden="false" customHeight="false" outlineLevel="0" collapsed="false">
      <c r="A1321" s="7" t="n">
        <v>2011</v>
      </c>
      <c r="B1321" s="12" t="s">
        <v>73</v>
      </c>
      <c r="C1321" s="12" t="s">
        <v>70</v>
      </c>
      <c r="D1321" s="12" t="s">
        <v>48</v>
      </c>
      <c r="E1321" s="16" t="n">
        <v>76.707598</v>
      </c>
      <c r="F1321" s="16" t="n">
        <v>0</v>
      </c>
      <c r="G1321" s="16" t="n">
        <v>0</v>
      </c>
    </row>
    <row r="1322" customFormat="false" ht="15" hidden="false" customHeight="false" outlineLevel="0" collapsed="false">
      <c r="A1322" s="7" t="n">
        <v>2011</v>
      </c>
      <c r="B1322" s="12" t="s">
        <v>73</v>
      </c>
      <c r="C1322" s="12" t="s">
        <v>70</v>
      </c>
      <c r="D1322" s="12" t="s">
        <v>46</v>
      </c>
      <c r="E1322" s="16" t="n">
        <v>99.566279</v>
      </c>
      <c r="F1322" s="16" t="n">
        <v>0</v>
      </c>
      <c r="G1322" s="16" t="n">
        <v>60.642247</v>
      </c>
    </row>
    <row r="1323" customFormat="false" ht="15" hidden="false" customHeight="false" outlineLevel="0" collapsed="false">
      <c r="A1323" s="7" t="n">
        <v>2011</v>
      </c>
      <c r="B1323" s="12" t="s">
        <v>73</v>
      </c>
      <c r="C1323" s="12" t="s">
        <v>70</v>
      </c>
      <c r="D1323" s="12" t="s">
        <v>47</v>
      </c>
      <c r="E1323" s="16" t="n">
        <v>6.314886</v>
      </c>
      <c r="F1323" s="16" t="n">
        <v>0</v>
      </c>
      <c r="G1323" s="16" t="n">
        <v>0</v>
      </c>
    </row>
    <row r="1324" customFormat="false" ht="15" hidden="false" customHeight="false" outlineLevel="0" collapsed="false">
      <c r="A1324" s="7" t="n">
        <v>2011</v>
      </c>
      <c r="B1324" s="12" t="s">
        <v>73</v>
      </c>
      <c r="C1324" s="12" t="s">
        <v>70</v>
      </c>
      <c r="D1324" s="12" t="s">
        <v>45</v>
      </c>
      <c r="E1324" s="16" t="n">
        <v>35.467552</v>
      </c>
      <c r="F1324" s="16" t="n">
        <v>18.609422</v>
      </c>
      <c r="G1324" s="16" t="n">
        <v>14.211545</v>
      </c>
    </row>
    <row r="1325" customFormat="false" ht="15" hidden="false" customHeight="false" outlineLevel="0" collapsed="false">
      <c r="A1325" s="7" t="n">
        <v>2011</v>
      </c>
      <c r="B1325" s="12" t="s">
        <v>74</v>
      </c>
      <c r="C1325" s="12" t="s">
        <v>65</v>
      </c>
      <c r="D1325" s="12" t="s">
        <v>49</v>
      </c>
      <c r="E1325" s="16" t="n">
        <v>160.818341</v>
      </c>
      <c r="F1325" s="16" t="n">
        <v>0</v>
      </c>
      <c r="G1325" s="16" t="n">
        <v>14.583254</v>
      </c>
    </row>
    <row r="1326" customFormat="false" ht="15" hidden="false" customHeight="false" outlineLevel="0" collapsed="false">
      <c r="A1326" s="7" t="n">
        <v>2011</v>
      </c>
      <c r="B1326" s="12" t="s">
        <v>74</v>
      </c>
      <c r="C1326" s="12" t="s">
        <v>65</v>
      </c>
      <c r="D1326" s="12" t="s">
        <v>48</v>
      </c>
      <c r="E1326" s="16" t="n">
        <v>18.708913</v>
      </c>
      <c r="F1326" s="16" t="n">
        <v>0</v>
      </c>
      <c r="G1326" s="16" t="n">
        <v>0</v>
      </c>
    </row>
    <row r="1327" customFormat="false" ht="15" hidden="false" customHeight="false" outlineLevel="0" collapsed="false">
      <c r="A1327" s="7" t="n">
        <v>2011</v>
      </c>
      <c r="B1327" s="12" t="s">
        <v>74</v>
      </c>
      <c r="C1327" s="12" t="s">
        <v>65</v>
      </c>
      <c r="D1327" s="12" t="s">
        <v>46</v>
      </c>
      <c r="E1327" s="16" t="n">
        <v>43.908566</v>
      </c>
      <c r="F1327" s="16" t="n">
        <v>0</v>
      </c>
      <c r="G1327" s="16" t="n">
        <v>57.078625</v>
      </c>
    </row>
    <row r="1328" customFormat="false" ht="15" hidden="false" customHeight="false" outlineLevel="0" collapsed="false">
      <c r="A1328" s="7" t="n">
        <v>2011</v>
      </c>
      <c r="B1328" s="12" t="s">
        <v>74</v>
      </c>
      <c r="C1328" s="12" t="s">
        <v>65</v>
      </c>
      <c r="D1328" s="12" t="s">
        <v>47</v>
      </c>
      <c r="E1328" s="16" t="n">
        <v>0.087283</v>
      </c>
      <c r="F1328" s="16" t="n">
        <v>0</v>
      </c>
      <c r="G1328" s="16" t="n">
        <v>0</v>
      </c>
    </row>
    <row r="1329" customFormat="false" ht="15" hidden="false" customHeight="false" outlineLevel="0" collapsed="false">
      <c r="A1329" s="7" t="n">
        <v>2011</v>
      </c>
      <c r="B1329" s="12" t="s">
        <v>74</v>
      </c>
      <c r="C1329" s="12" t="s">
        <v>65</v>
      </c>
      <c r="D1329" s="12" t="s">
        <v>45</v>
      </c>
      <c r="E1329" s="16" t="n">
        <v>20.02774</v>
      </c>
      <c r="F1329" s="16" t="n">
        <v>0.020926</v>
      </c>
      <c r="G1329" s="16" t="n">
        <v>21.649313</v>
      </c>
    </row>
    <row r="1330" customFormat="false" ht="15" hidden="false" customHeight="false" outlineLevel="0" collapsed="false">
      <c r="A1330" s="7" t="n">
        <v>2011</v>
      </c>
      <c r="B1330" s="12" t="s">
        <v>75</v>
      </c>
      <c r="C1330" s="12" t="s">
        <v>57</v>
      </c>
      <c r="D1330" s="12" t="s">
        <v>49</v>
      </c>
      <c r="E1330" s="16" t="n">
        <v>203.926486</v>
      </c>
      <c r="F1330" s="16" t="n">
        <v>0</v>
      </c>
      <c r="G1330" s="16" t="n">
        <v>40.543536</v>
      </c>
    </row>
    <row r="1331" customFormat="false" ht="15" hidden="false" customHeight="false" outlineLevel="0" collapsed="false">
      <c r="A1331" s="7" t="n">
        <v>2011</v>
      </c>
      <c r="B1331" s="12" t="s">
        <v>75</v>
      </c>
      <c r="C1331" s="12" t="s">
        <v>57</v>
      </c>
      <c r="D1331" s="12" t="s">
        <v>48</v>
      </c>
      <c r="E1331" s="16" t="n">
        <v>175.624627</v>
      </c>
      <c r="F1331" s="16" t="n">
        <v>0</v>
      </c>
      <c r="G1331" s="16" t="n">
        <v>0</v>
      </c>
    </row>
    <row r="1332" customFormat="false" ht="15" hidden="false" customHeight="false" outlineLevel="0" collapsed="false">
      <c r="A1332" s="7" t="n">
        <v>2011</v>
      </c>
      <c r="B1332" s="12" t="s">
        <v>75</v>
      </c>
      <c r="C1332" s="12" t="s">
        <v>57</v>
      </c>
      <c r="D1332" s="12" t="s">
        <v>46</v>
      </c>
      <c r="E1332" s="16" t="n">
        <v>112.98736</v>
      </c>
      <c r="F1332" s="16" t="n">
        <v>0</v>
      </c>
      <c r="G1332" s="16" t="n">
        <v>72.613713</v>
      </c>
    </row>
    <row r="1333" customFormat="false" ht="15" hidden="false" customHeight="false" outlineLevel="0" collapsed="false">
      <c r="A1333" s="7" t="n">
        <v>2011</v>
      </c>
      <c r="B1333" s="12" t="s">
        <v>75</v>
      </c>
      <c r="C1333" s="12" t="s">
        <v>57</v>
      </c>
      <c r="D1333" s="12" t="s">
        <v>47</v>
      </c>
      <c r="E1333" s="16" t="n">
        <v>11.38301</v>
      </c>
      <c r="F1333" s="16" t="n">
        <v>0</v>
      </c>
      <c r="G1333" s="16" t="n">
        <v>0</v>
      </c>
    </row>
    <row r="1334" customFormat="false" ht="15" hidden="false" customHeight="false" outlineLevel="0" collapsed="false">
      <c r="A1334" s="7" t="n">
        <v>2011</v>
      </c>
      <c r="B1334" s="12" t="s">
        <v>75</v>
      </c>
      <c r="C1334" s="12" t="s">
        <v>57</v>
      </c>
      <c r="D1334" s="12" t="s">
        <v>45</v>
      </c>
      <c r="E1334" s="16" t="n">
        <v>195.079446</v>
      </c>
      <c r="F1334" s="16" t="n">
        <v>93.168602</v>
      </c>
      <c r="G1334" s="16" t="n">
        <v>41.310933</v>
      </c>
    </row>
    <row r="1335" customFormat="false" ht="15" hidden="false" customHeight="false" outlineLevel="0" collapsed="false">
      <c r="A1335" s="7" t="n">
        <v>2011</v>
      </c>
      <c r="B1335" s="12" t="s">
        <v>76</v>
      </c>
      <c r="C1335" s="12" t="s">
        <v>72</v>
      </c>
      <c r="D1335" s="12" t="s">
        <v>49</v>
      </c>
      <c r="E1335" s="16" t="n">
        <v>37.218107</v>
      </c>
      <c r="F1335" s="16" t="n">
        <v>0</v>
      </c>
      <c r="G1335" s="16" t="n">
        <v>8.518695</v>
      </c>
    </row>
    <row r="1336" customFormat="false" ht="15" hidden="false" customHeight="false" outlineLevel="0" collapsed="false">
      <c r="A1336" s="7" t="n">
        <v>2011</v>
      </c>
      <c r="B1336" s="12" t="s">
        <v>76</v>
      </c>
      <c r="C1336" s="12" t="s">
        <v>72</v>
      </c>
      <c r="D1336" s="12" t="s">
        <v>48</v>
      </c>
      <c r="E1336" s="16" t="n">
        <v>20.323455</v>
      </c>
      <c r="F1336" s="16" t="n">
        <v>0</v>
      </c>
      <c r="G1336" s="16" t="n">
        <v>0</v>
      </c>
    </row>
    <row r="1337" customFormat="false" ht="15" hidden="false" customHeight="false" outlineLevel="0" collapsed="false">
      <c r="A1337" s="7" t="n">
        <v>2011</v>
      </c>
      <c r="B1337" s="12" t="s">
        <v>76</v>
      </c>
      <c r="C1337" s="12" t="s">
        <v>72</v>
      </c>
      <c r="D1337" s="12" t="s">
        <v>46</v>
      </c>
      <c r="E1337" s="16" t="n">
        <v>24.021194</v>
      </c>
      <c r="F1337" s="16" t="n">
        <v>0</v>
      </c>
      <c r="G1337" s="16" t="n">
        <v>22.960936</v>
      </c>
    </row>
    <row r="1338" customFormat="false" ht="15" hidden="false" customHeight="false" outlineLevel="0" collapsed="false">
      <c r="A1338" s="7" t="n">
        <v>2011</v>
      </c>
      <c r="B1338" s="12" t="s">
        <v>76</v>
      </c>
      <c r="C1338" s="12" t="s">
        <v>72</v>
      </c>
      <c r="D1338" s="12" t="s">
        <v>45</v>
      </c>
      <c r="E1338" s="16" t="n">
        <v>49.956663</v>
      </c>
      <c r="F1338" s="16" t="n">
        <v>0</v>
      </c>
      <c r="G1338" s="16" t="n">
        <v>14.567046</v>
      </c>
    </row>
    <row r="1339" customFormat="false" ht="15" hidden="false" customHeight="false" outlineLevel="0" collapsed="false">
      <c r="A1339" s="7" t="n">
        <v>2011</v>
      </c>
      <c r="B1339" s="12" t="s">
        <v>77</v>
      </c>
      <c r="C1339" s="12" t="s">
        <v>57</v>
      </c>
      <c r="D1339" s="12" t="s">
        <v>49</v>
      </c>
      <c r="E1339" s="16" t="n">
        <v>33.272909</v>
      </c>
      <c r="F1339" s="16" t="n">
        <v>0</v>
      </c>
      <c r="G1339" s="16" t="n">
        <v>3.182832</v>
      </c>
    </row>
    <row r="1340" customFormat="false" ht="15" hidden="false" customHeight="false" outlineLevel="0" collapsed="false">
      <c r="A1340" s="7" t="n">
        <v>2011</v>
      </c>
      <c r="B1340" s="12" t="s">
        <v>77</v>
      </c>
      <c r="C1340" s="12" t="s">
        <v>57</v>
      </c>
      <c r="D1340" s="12" t="s">
        <v>48</v>
      </c>
      <c r="E1340" s="16" t="n">
        <v>20.559516</v>
      </c>
      <c r="F1340" s="16" t="n">
        <v>0</v>
      </c>
      <c r="G1340" s="16" t="n">
        <v>0</v>
      </c>
    </row>
    <row r="1341" customFormat="false" ht="15" hidden="false" customHeight="false" outlineLevel="0" collapsed="false">
      <c r="A1341" s="7" t="n">
        <v>2011</v>
      </c>
      <c r="B1341" s="12" t="s">
        <v>77</v>
      </c>
      <c r="C1341" s="12" t="s">
        <v>57</v>
      </c>
      <c r="D1341" s="12" t="s">
        <v>46</v>
      </c>
      <c r="E1341" s="16" t="n">
        <v>15.086326</v>
      </c>
      <c r="F1341" s="16" t="n">
        <v>0</v>
      </c>
      <c r="G1341" s="16" t="n">
        <v>10.204736</v>
      </c>
    </row>
    <row r="1342" customFormat="false" ht="15" hidden="false" customHeight="false" outlineLevel="0" collapsed="false">
      <c r="A1342" s="7" t="n">
        <v>2011</v>
      </c>
      <c r="B1342" s="12" t="s">
        <v>77</v>
      </c>
      <c r="C1342" s="12" t="s">
        <v>57</v>
      </c>
      <c r="D1342" s="12" t="s">
        <v>47</v>
      </c>
      <c r="E1342" s="16" t="n">
        <v>1.735176</v>
      </c>
      <c r="F1342" s="16" t="n">
        <v>0</v>
      </c>
      <c r="G1342" s="16" t="n">
        <v>0</v>
      </c>
    </row>
    <row r="1343" customFormat="false" ht="15" hidden="false" customHeight="false" outlineLevel="0" collapsed="false">
      <c r="A1343" s="7" t="n">
        <v>2011</v>
      </c>
      <c r="B1343" s="12" t="s">
        <v>77</v>
      </c>
      <c r="C1343" s="12" t="s">
        <v>57</v>
      </c>
      <c r="D1343" s="12" t="s">
        <v>45</v>
      </c>
      <c r="E1343" s="16" t="n">
        <v>11.678006</v>
      </c>
      <c r="F1343" s="16" t="n">
        <v>2.523511</v>
      </c>
      <c r="G1343" s="16" t="n">
        <v>4.211551</v>
      </c>
    </row>
    <row r="1344" customFormat="false" ht="15" hidden="false" customHeight="false" outlineLevel="0" collapsed="false">
      <c r="A1344" s="7" t="n">
        <v>2011</v>
      </c>
      <c r="B1344" s="12" t="s">
        <v>78</v>
      </c>
      <c r="C1344" s="12" t="s">
        <v>65</v>
      </c>
      <c r="D1344" s="12" t="s">
        <v>49</v>
      </c>
      <c r="E1344" s="16" t="n">
        <v>37.86746</v>
      </c>
      <c r="F1344" s="16" t="n">
        <v>0</v>
      </c>
      <c r="G1344" s="16" t="n">
        <v>1.982214</v>
      </c>
    </row>
    <row r="1345" customFormat="false" ht="15" hidden="false" customHeight="false" outlineLevel="0" collapsed="false">
      <c r="A1345" s="7" t="n">
        <v>2011</v>
      </c>
      <c r="B1345" s="12" t="s">
        <v>78</v>
      </c>
      <c r="C1345" s="12" t="s">
        <v>65</v>
      </c>
      <c r="D1345" s="12" t="s">
        <v>48</v>
      </c>
      <c r="E1345" s="16" t="n">
        <v>11.772461</v>
      </c>
      <c r="F1345" s="16" t="n">
        <v>0</v>
      </c>
      <c r="G1345" s="16" t="n">
        <v>0</v>
      </c>
    </row>
    <row r="1346" customFormat="false" ht="15" hidden="false" customHeight="false" outlineLevel="0" collapsed="false">
      <c r="A1346" s="7" t="n">
        <v>2011</v>
      </c>
      <c r="B1346" s="12" t="s">
        <v>78</v>
      </c>
      <c r="C1346" s="12" t="s">
        <v>65</v>
      </c>
      <c r="D1346" s="12" t="s">
        <v>46</v>
      </c>
      <c r="E1346" s="16" t="n">
        <v>16.208824</v>
      </c>
      <c r="F1346" s="16" t="n">
        <v>0</v>
      </c>
      <c r="G1346" s="16" t="n">
        <v>15.283797</v>
      </c>
    </row>
    <row r="1347" customFormat="false" ht="15" hidden="false" customHeight="false" outlineLevel="0" collapsed="false">
      <c r="A1347" s="7" t="n">
        <v>2011</v>
      </c>
      <c r="B1347" s="12" t="s">
        <v>78</v>
      </c>
      <c r="C1347" s="12" t="s">
        <v>65</v>
      </c>
      <c r="D1347" s="12" t="s">
        <v>45</v>
      </c>
      <c r="E1347" s="16" t="n">
        <v>13.879289</v>
      </c>
      <c r="F1347" s="16" t="n">
        <v>0</v>
      </c>
      <c r="G1347" s="16" t="n">
        <v>7.330575</v>
      </c>
    </row>
    <row r="1348" customFormat="false" ht="15" hidden="false" customHeight="false" outlineLevel="0" collapsed="false">
      <c r="A1348" s="7" t="n">
        <v>2011</v>
      </c>
      <c r="B1348" s="12" t="s">
        <v>79</v>
      </c>
      <c r="C1348" s="12" t="s">
        <v>72</v>
      </c>
      <c r="D1348" s="12" t="s">
        <v>49</v>
      </c>
      <c r="E1348" s="16" t="n">
        <v>219.875107</v>
      </c>
      <c r="F1348" s="16" t="n">
        <v>0</v>
      </c>
      <c r="G1348" s="16" t="n">
        <v>17.118828</v>
      </c>
    </row>
    <row r="1349" customFormat="false" ht="15" hidden="false" customHeight="false" outlineLevel="0" collapsed="false">
      <c r="A1349" s="7" t="n">
        <v>2011</v>
      </c>
      <c r="B1349" s="12" t="s">
        <v>79</v>
      </c>
      <c r="C1349" s="12" t="s">
        <v>72</v>
      </c>
      <c r="D1349" s="12" t="s">
        <v>48</v>
      </c>
      <c r="E1349" s="16" t="n">
        <v>133.23781</v>
      </c>
      <c r="F1349" s="16" t="n">
        <v>0</v>
      </c>
      <c r="G1349" s="16" t="n">
        <v>0</v>
      </c>
    </row>
    <row r="1350" customFormat="false" ht="15" hidden="false" customHeight="false" outlineLevel="0" collapsed="false">
      <c r="A1350" s="7" t="n">
        <v>2011</v>
      </c>
      <c r="B1350" s="12" t="s">
        <v>79</v>
      </c>
      <c r="C1350" s="12" t="s">
        <v>72</v>
      </c>
      <c r="D1350" s="12" t="s">
        <v>46</v>
      </c>
      <c r="E1350" s="16" t="n">
        <v>94.070178</v>
      </c>
      <c r="F1350" s="16" t="n">
        <v>0</v>
      </c>
      <c r="G1350" s="16" t="n">
        <v>90.838057</v>
      </c>
    </row>
    <row r="1351" customFormat="false" ht="15" hidden="false" customHeight="false" outlineLevel="0" collapsed="false">
      <c r="A1351" s="7" t="n">
        <v>2011</v>
      </c>
      <c r="B1351" s="12" t="s">
        <v>79</v>
      </c>
      <c r="C1351" s="12" t="s">
        <v>72</v>
      </c>
      <c r="D1351" s="12" t="s">
        <v>47</v>
      </c>
      <c r="E1351" s="16" t="n">
        <v>5.39292</v>
      </c>
      <c r="F1351" s="16" t="n">
        <v>0</v>
      </c>
      <c r="G1351" s="16" t="n">
        <v>0</v>
      </c>
    </row>
    <row r="1352" customFormat="false" ht="15" hidden="false" customHeight="false" outlineLevel="0" collapsed="false">
      <c r="A1352" s="7" t="n">
        <v>2011</v>
      </c>
      <c r="B1352" s="12" t="s">
        <v>79</v>
      </c>
      <c r="C1352" s="12" t="s">
        <v>72</v>
      </c>
      <c r="D1352" s="12" t="s">
        <v>45</v>
      </c>
      <c r="E1352" s="16" t="n">
        <v>271.469229</v>
      </c>
      <c r="F1352" s="16" t="n">
        <v>265.639786</v>
      </c>
      <c r="G1352" s="16" t="n">
        <v>0</v>
      </c>
    </row>
    <row r="1353" customFormat="false" ht="15" hidden="false" customHeight="false" outlineLevel="0" collapsed="false">
      <c r="A1353" s="7" t="n">
        <v>2011</v>
      </c>
      <c r="B1353" s="12" t="s">
        <v>80</v>
      </c>
      <c r="C1353" s="12" t="s">
        <v>72</v>
      </c>
      <c r="D1353" s="12" t="s">
        <v>49</v>
      </c>
      <c r="E1353" s="16" t="n">
        <v>70.79516</v>
      </c>
      <c r="F1353" s="16" t="n">
        <v>0</v>
      </c>
      <c r="G1353" s="16" t="n">
        <v>18.16792</v>
      </c>
    </row>
    <row r="1354" customFormat="false" ht="15" hidden="false" customHeight="false" outlineLevel="0" collapsed="false">
      <c r="A1354" s="7" t="n">
        <v>2011</v>
      </c>
      <c r="B1354" s="12" t="s">
        <v>80</v>
      </c>
      <c r="C1354" s="12" t="s">
        <v>72</v>
      </c>
      <c r="D1354" s="12" t="s">
        <v>48</v>
      </c>
      <c r="E1354" s="16" t="n">
        <v>49.15279</v>
      </c>
      <c r="F1354" s="16" t="n">
        <v>0</v>
      </c>
      <c r="G1354" s="16" t="n">
        <v>0</v>
      </c>
    </row>
    <row r="1355" customFormat="false" ht="15" hidden="false" customHeight="false" outlineLevel="0" collapsed="false">
      <c r="A1355" s="7" t="n">
        <v>2011</v>
      </c>
      <c r="B1355" s="12" t="s">
        <v>80</v>
      </c>
      <c r="C1355" s="12" t="s">
        <v>72</v>
      </c>
      <c r="D1355" s="12" t="s">
        <v>46</v>
      </c>
      <c r="E1355" s="16" t="n">
        <v>23.980501</v>
      </c>
      <c r="F1355" s="16" t="n">
        <v>0</v>
      </c>
      <c r="G1355" s="16" t="n">
        <v>48.027533</v>
      </c>
    </row>
    <row r="1356" customFormat="false" ht="15" hidden="false" customHeight="false" outlineLevel="0" collapsed="false">
      <c r="A1356" s="7" t="n">
        <v>2011</v>
      </c>
      <c r="B1356" s="12" t="s">
        <v>80</v>
      </c>
      <c r="C1356" s="12" t="s">
        <v>72</v>
      </c>
      <c r="D1356" s="12" t="s">
        <v>47</v>
      </c>
      <c r="E1356" s="16" t="n">
        <v>2.568604</v>
      </c>
      <c r="F1356" s="16" t="n">
        <v>0</v>
      </c>
      <c r="G1356" s="16" t="n">
        <v>0</v>
      </c>
    </row>
    <row r="1357" customFormat="false" ht="15" hidden="false" customHeight="false" outlineLevel="0" collapsed="false">
      <c r="A1357" s="7" t="n">
        <v>2011</v>
      </c>
      <c r="B1357" s="12" t="s">
        <v>80</v>
      </c>
      <c r="C1357" s="12" t="s">
        <v>72</v>
      </c>
      <c r="D1357" s="12" t="s">
        <v>45</v>
      </c>
      <c r="E1357" s="16" t="n">
        <v>106.974897</v>
      </c>
      <c r="F1357" s="16" t="n">
        <v>104.631664</v>
      </c>
      <c r="G1357" s="16" t="n">
        <v>0</v>
      </c>
    </row>
    <row r="1358" customFormat="false" ht="15" hidden="false" customHeight="false" outlineLevel="0" collapsed="false">
      <c r="A1358" s="7" t="n">
        <v>2011</v>
      </c>
      <c r="B1358" s="12" t="s">
        <v>81</v>
      </c>
      <c r="C1358" s="12" t="s">
        <v>72</v>
      </c>
      <c r="D1358" s="12" t="s">
        <v>49</v>
      </c>
      <c r="E1358" s="16" t="n">
        <v>88.815577</v>
      </c>
      <c r="F1358" s="16" t="n">
        <v>0</v>
      </c>
      <c r="G1358" s="16" t="n">
        <v>7.863806</v>
      </c>
    </row>
    <row r="1359" customFormat="false" ht="15" hidden="false" customHeight="false" outlineLevel="0" collapsed="false">
      <c r="A1359" s="7" t="n">
        <v>2011</v>
      </c>
      <c r="B1359" s="12" t="s">
        <v>81</v>
      </c>
      <c r="C1359" s="12" t="s">
        <v>72</v>
      </c>
      <c r="D1359" s="12" t="s">
        <v>48</v>
      </c>
      <c r="E1359" s="16" t="n">
        <v>50.842169</v>
      </c>
      <c r="F1359" s="16" t="n">
        <v>0</v>
      </c>
      <c r="G1359" s="16" t="n">
        <v>0</v>
      </c>
    </row>
    <row r="1360" customFormat="false" ht="15" hidden="false" customHeight="false" outlineLevel="0" collapsed="false">
      <c r="A1360" s="7" t="n">
        <v>2011</v>
      </c>
      <c r="B1360" s="12" t="s">
        <v>81</v>
      </c>
      <c r="C1360" s="12" t="s">
        <v>72</v>
      </c>
      <c r="D1360" s="12" t="s">
        <v>46</v>
      </c>
      <c r="E1360" s="16" t="n">
        <v>45.022993</v>
      </c>
      <c r="F1360" s="16" t="n">
        <v>0</v>
      </c>
      <c r="G1360" s="16" t="n">
        <v>20.34476</v>
      </c>
    </row>
    <row r="1361" customFormat="false" ht="15" hidden="false" customHeight="false" outlineLevel="0" collapsed="false">
      <c r="A1361" s="7" t="n">
        <v>2011</v>
      </c>
      <c r="B1361" s="12" t="s">
        <v>81</v>
      </c>
      <c r="C1361" s="12" t="s">
        <v>72</v>
      </c>
      <c r="D1361" s="12" t="s">
        <v>47</v>
      </c>
      <c r="E1361" s="16" t="n">
        <v>2.426433</v>
      </c>
      <c r="F1361" s="16" t="n">
        <v>0</v>
      </c>
      <c r="G1361" s="16" t="n">
        <v>0</v>
      </c>
    </row>
    <row r="1362" customFormat="false" ht="15" hidden="false" customHeight="false" outlineLevel="0" collapsed="false">
      <c r="A1362" s="7" t="n">
        <v>2011</v>
      </c>
      <c r="B1362" s="12" t="s">
        <v>81</v>
      </c>
      <c r="C1362" s="12" t="s">
        <v>72</v>
      </c>
      <c r="D1362" s="12" t="s">
        <v>45</v>
      </c>
      <c r="E1362" s="16" t="n">
        <v>111.94639</v>
      </c>
      <c r="F1362" s="16" t="n">
        <v>109.918194</v>
      </c>
      <c r="G1362" s="16" t="n">
        <v>0</v>
      </c>
    </row>
    <row r="1363" customFormat="false" ht="15" hidden="false" customHeight="false" outlineLevel="0" collapsed="false">
      <c r="A1363" s="7" t="n">
        <v>2012</v>
      </c>
      <c r="B1363" s="12" t="s">
        <v>56</v>
      </c>
      <c r="C1363" s="12" t="s">
        <v>57</v>
      </c>
      <c r="D1363" s="12" t="s">
        <v>49</v>
      </c>
      <c r="E1363" s="16" t="n">
        <v>62.88331</v>
      </c>
      <c r="F1363" s="16" t="n">
        <v>0</v>
      </c>
      <c r="G1363" s="16" t="n">
        <v>10.061349</v>
      </c>
    </row>
    <row r="1364" customFormat="false" ht="15" hidden="false" customHeight="false" outlineLevel="0" collapsed="false">
      <c r="A1364" s="7" t="n">
        <v>2012</v>
      </c>
      <c r="B1364" s="12" t="s">
        <v>56</v>
      </c>
      <c r="C1364" s="12" t="s">
        <v>57</v>
      </c>
      <c r="D1364" s="12" t="s">
        <v>48</v>
      </c>
      <c r="E1364" s="16" t="n">
        <v>16.63889</v>
      </c>
      <c r="F1364" s="16" t="n">
        <v>0</v>
      </c>
      <c r="G1364" s="16" t="n">
        <v>0</v>
      </c>
    </row>
    <row r="1365" customFormat="false" ht="15" hidden="false" customHeight="false" outlineLevel="0" collapsed="false">
      <c r="A1365" s="7" t="n">
        <v>2012</v>
      </c>
      <c r="B1365" s="12" t="s">
        <v>56</v>
      </c>
      <c r="C1365" s="12" t="s">
        <v>57</v>
      </c>
      <c r="D1365" s="12" t="s">
        <v>46</v>
      </c>
      <c r="E1365" s="16" t="n">
        <v>24.787841</v>
      </c>
      <c r="F1365" s="16" t="n">
        <v>0</v>
      </c>
      <c r="G1365" s="16" t="n">
        <v>15.904644</v>
      </c>
    </row>
    <row r="1366" customFormat="false" ht="15" hidden="false" customHeight="false" outlineLevel="0" collapsed="false">
      <c r="A1366" s="7" t="n">
        <v>2012</v>
      </c>
      <c r="B1366" s="12" t="s">
        <v>56</v>
      </c>
      <c r="C1366" s="12" t="s">
        <v>57</v>
      </c>
      <c r="D1366" s="12" t="s">
        <v>47</v>
      </c>
      <c r="E1366" s="16" t="n">
        <v>-0.016479</v>
      </c>
      <c r="F1366" s="16" t="n">
        <v>0</v>
      </c>
      <c r="G1366" s="16" t="n">
        <v>0</v>
      </c>
    </row>
    <row r="1367" customFormat="false" ht="15" hidden="false" customHeight="false" outlineLevel="0" collapsed="false">
      <c r="A1367" s="7" t="n">
        <v>2012</v>
      </c>
      <c r="B1367" s="12" t="s">
        <v>56</v>
      </c>
      <c r="C1367" s="12" t="s">
        <v>57</v>
      </c>
      <c r="D1367" s="12" t="s">
        <v>45</v>
      </c>
      <c r="E1367" s="16" t="n">
        <v>49.456982</v>
      </c>
      <c r="F1367" s="16" t="n">
        <v>27.697217</v>
      </c>
      <c r="G1367" s="16" t="n">
        <v>10.237508</v>
      </c>
    </row>
    <row r="1368" customFormat="false" ht="15" hidden="false" customHeight="false" outlineLevel="0" collapsed="false">
      <c r="A1368" s="7" t="n">
        <v>2012</v>
      </c>
      <c r="B1368" s="12" t="s">
        <v>58</v>
      </c>
      <c r="C1368" s="12" t="s">
        <v>59</v>
      </c>
      <c r="D1368" s="12" t="s">
        <v>49</v>
      </c>
      <c r="E1368" s="16" t="n">
        <v>139.418398</v>
      </c>
      <c r="F1368" s="16" t="n">
        <v>0</v>
      </c>
      <c r="G1368" s="16" t="n">
        <v>10.900845</v>
      </c>
    </row>
    <row r="1369" customFormat="false" ht="15" hidden="false" customHeight="false" outlineLevel="0" collapsed="false">
      <c r="A1369" s="7" t="n">
        <v>2012</v>
      </c>
      <c r="B1369" s="12" t="s">
        <v>58</v>
      </c>
      <c r="C1369" s="12" t="s">
        <v>59</v>
      </c>
      <c r="D1369" s="12" t="s">
        <v>48</v>
      </c>
      <c r="E1369" s="16" t="n">
        <v>109.665128</v>
      </c>
      <c r="F1369" s="16" t="n">
        <v>0</v>
      </c>
      <c r="G1369" s="16" t="n">
        <v>0</v>
      </c>
    </row>
    <row r="1370" customFormat="false" ht="15" hidden="false" customHeight="false" outlineLevel="0" collapsed="false">
      <c r="A1370" s="7" t="n">
        <v>2012</v>
      </c>
      <c r="B1370" s="12" t="s">
        <v>58</v>
      </c>
      <c r="C1370" s="12" t="s">
        <v>59</v>
      </c>
      <c r="D1370" s="12" t="s">
        <v>46</v>
      </c>
      <c r="E1370" s="16" t="n">
        <v>192.003063</v>
      </c>
      <c r="F1370" s="16" t="n">
        <v>0</v>
      </c>
      <c r="G1370" s="16" t="n">
        <v>153.686819</v>
      </c>
    </row>
    <row r="1371" customFormat="false" ht="15" hidden="false" customHeight="false" outlineLevel="0" collapsed="false">
      <c r="A1371" s="7" t="n">
        <v>2012</v>
      </c>
      <c r="B1371" s="12" t="s">
        <v>58</v>
      </c>
      <c r="C1371" s="12" t="s">
        <v>59</v>
      </c>
      <c r="D1371" s="12" t="s">
        <v>47</v>
      </c>
      <c r="E1371" s="16" t="n">
        <v>1.272172</v>
      </c>
      <c r="F1371" s="16" t="n">
        <v>0</v>
      </c>
      <c r="G1371" s="16" t="n">
        <v>0</v>
      </c>
    </row>
    <row r="1372" customFormat="false" ht="15" hidden="false" customHeight="false" outlineLevel="0" collapsed="false">
      <c r="A1372" s="7" t="n">
        <v>2012</v>
      </c>
      <c r="B1372" s="12" t="s">
        <v>58</v>
      </c>
      <c r="C1372" s="12" t="s">
        <v>59</v>
      </c>
      <c r="D1372" s="12" t="s">
        <v>45</v>
      </c>
      <c r="E1372" s="16" t="n">
        <v>44.186293</v>
      </c>
      <c r="F1372" s="16" t="n">
        <v>13.214118</v>
      </c>
      <c r="G1372" s="16" t="n">
        <v>18.113262</v>
      </c>
    </row>
    <row r="1373" customFormat="false" ht="15" hidden="false" customHeight="false" outlineLevel="0" collapsed="false">
      <c r="A1373" s="7" t="n">
        <v>2012</v>
      </c>
      <c r="B1373" s="12" t="s">
        <v>60</v>
      </c>
      <c r="C1373" s="12" t="s">
        <v>59</v>
      </c>
      <c r="D1373" s="12" t="s">
        <v>49</v>
      </c>
      <c r="E1373" s="16" t="n">
        <v>509.919653</v>
      </c>
      <c r="F1373" s="16" t="n">
        <v>0</v>
      </c>
      <c r="G1373" s="16" t="n">
        <v>129.116826</v>
      </c>
    </row>
    <row r="1374" customFormat="false" ht="15" hidden="false" customHeight="false" outlineLevel="0" collapsed="false">
      <c r="A1374" s="7" t="n">
        <v>2012</v>
      </c>
      <c r="B1374" s="12" t="s">
        <v>60</v>
      </c>
      <c r="C1374" s="12" t="s">
        <v>59</v>
      </c>
      <c r="D1374" s="12" t="s">
        <v>48</v>
      </c>
      <c r="E1374" s="16" t="n">
        <v>394.186507</v>
      </c>
      <c r="F1374" s="16" t="n">
        <v>0</v>
      </c>
      <c r="G1374" s="16" t="n">
        <v>0</v>
      </c>
    </row>
    <row r="1375" customFormat="false" ht="15" hidden="false" customHeight="false" outlineLevel="0" collapsed="false">
      <c r="A1375" s="7" t="n">
        <v>2012</v>
      </c>
      <c r="B1375" s="12" t="s">
        <v>60</v>
      </c>
      <c r="C1375" s="12" t="s">
        <v>59</v>
      </c>
      <c r="D1375" s="12" t="s">
        <v>46</v>
      </c>
      <c r="E1375" s="16" t="n">
        <v>409.805307</v>
      </c>
      <c r="F1375" s="16" t="n">
        <v>0</v>
      </c>
      <c r="G1375" s="16" t="n">
        <v>339.803995</v>
      </c>
    </row>
    <row r="1376" customFormat="false" ht="15" hidden="false" customHeight="false" outlineLevel="0" collapsed="false">
      <c r="A1376" s="7" t="n">
        <v>2012</v>
      </c>
      <c r="B1376" s="12" t="s">
        <v>60</v>
      </c>
      <c r="C1376" s="12" t="s">
        <v>59</v>
      </c>
      <c r="D1376" s="12" t="s">
        <v>47</v>
      </c>
      <c r="E1376" s="16" t="n">
        <v>5.262232</v>
      </c>
      <c r="F1376" s="16" t="n">
        <v>0</v>
      </c>
      <c r="G1376" s="16" t="n">
        <v>0</v>
      </c>
    </row>
    <row r="1377" customFormat="false" ht="15" hidden="false" customHeight="false" outlineLevel="0" collapsed="false">
      <c r="A1377" s="7" t="n">
        <v>2012</v>
      </c>
      <c r="B1377" s="12" t="s">
        <v>60</v>
      </c>
      <c r="C1377" s="12" t="s">
        <v>59</v>
      </c>
      <c r="D1377" s="12" t="s">
        <v>45</v>
      </c>
      <c r="E1377" s="16" t="n">
        <v>319.530513</v>
      </c>
      <c r="F1377" s="16" t="n">
        <v>4.911402</v>
      </c>
      <c r="G1377" s="16" t="n">
        <v>62.475972</v>
      </c>
    </row>
    <row r="1378" customFormat="false" ht="15" hidden="false" customHeight="false" outlineLevel="0" collapsed="false">
      <c r="A1378" s="7" t="n">
        <v>2012</v>
      </c>
      <c r="B1378" s="12" t="s">
        <v>61</v>
      </c>
      <c r="C1378" s="12" t="s">
        <v>62</v>
      </c>
      <c r="D1378" s="12" t="s">
        <v>49</v>
      </c>
      <c r="E1378" s="16" t="n">
        <v>180.885152</v>
      </c>
      <c r="F1378" s="16" t="n">
        <v>0</v>
      </c>
      <c r="G1378" s="16" t="n">
        <v>49.743626</v>
      </c>
    </row>
    <row r="1379" customFormat="false" ht="15" hidden="false" customHeight="false" outlineLevel="0" collapsed="false">
      <c r="A1379" s="7" t="n">
        <v>2012</v>
      </c>
      <c r="B1379" s="12" t="s">
        <v>61</v>
      </c>
      <c r="C1379" s="12" t="s">
        <v>62</v>
      </c>
      <c r="D1379" s="12" t="s">
        <v>48</v>
      </c>
      <c r="E1379" s="16" t="n">
        <v>161.540776</v>
      </c>
      <c r="F1379" s="16" t="n">
        <v>0</v>
      </c>
      <c r="G1379" s="16" t="n">
        <v>0</v>
      </c>
    </row>
    <row r="1380" customFormat="false" ht="15" hidden="false" customHeight="false" outlineLevel="0" collapsed="false">
      <c r="A1380" s="7" t="n">
        <v>2012</v>
      </c>
      <c r="B1380" s="12" t="s">
        <v>61</v>
      </c>
      <c r="C1380" s="12" t="s">
        <v>62</v>
      </c>
      <c r="D1380" s="12" t="s">
        <v>46</v>
      </c>
      <c r="E1380" s="16" t="n">
        <v>179.351783</v>
      </c>
      <c r="F1380" s="16" t="n">
        <v>0</v>
      </c>
      <c r="G1380" s="16" t="n">
        <v>169.656395</v>
      </c>
    </row>
    <row r="1381" customFormat="false" ht="15" hidden="false" customHeight="false" outlineLevel="0" collapsed="false">
      <c r="A1381" s="7" t="n">
        <v>2012</v>
      </c>
      <c r="B1381" s="12" t="s">
        <v>61</v>
      </c>
      <c r="C1381" s="12" t="s">
        <v>62</v>
      </c>
      <c r="D1381" s="12" t="s">
        <v>47</v>
      </c>
      <c r="E1381" s="16" t="n">
        <v>8.300116</v>
      </c>
      <c r="F1381" s="16" t="n">
        <v>0</v>
      </c>
      <c r="G1381" s="16" t="n">
        <v>0</v>
      </c>
    </row>
    <row r="1382" customFormat="false" ht="15" hidden="false" customHeight="false" outlineLevel="0" collapsed="false">
      <c r="A1382" s="7" t="n">
        <v>2012</v>
      </c>
      <c r="B1382" s="12" t="s">
        <v>61</v>
      </c>
      <c r="C1382" s="12" t="s">
        <v>62</v>
      </c>
      <c r="D1382" s="12" t="s">
        <v>45</v>
      </c>
      <c r="E1382" s="16" t="n">
        <v>273.653596</v>
      </c>
      <c r="F1382" s="16" t="n">
        <v>262.403627</v>
      </c>
      <c r="G1382" s="16" t="n">
        <v>0</v>
      </c>
    </row>
    <row r="1383" customFormat="false" ht="15" hidden="false" customHeight="false" outlineLevel="0" collapsed="false">
      <c r="A1383" s="7" t="n">
        <v>2012</v>
      </c>
      <c r="B1383" s="12" t="s">
        <v>63</v>
      </c>
      <c r="C1383" s="12" t="s">
        <v>62</v>
      </c>
      <c r="D1383" s="12" t="s">
        <v>49</v>
      </c>
      <c r="E1383" s="16" t="n">
        <v>467.82898</v>
      </c>
      <c r="F1383" s="16" t="n">
        <v>0</v>
      </c>
      <c r="G1383" s="16" t="n">
        <v>103.304994</v>
      </c>
    </row>
    <row r="1384" customFormat="false" ht="15" hidden="false" customHeight="false" outlineLevel="0" collapsed="false">
      <c r="A1384" s="7" t="n">
        <v>2012</v>
      </c>
      <c r="B1384" s="12" t="s">
        <v>63</v>
      </c>
      <c r="C1384" s="12" t="s">
        <v>62</v>
      </c>
      <c r="D1384" s="12" t="s">
        <v>48</v>
      </c>
      <c r="E1384" s="16" t="n">
        <v>223.07548</v>
      </c>
      <c r="F1384" s="16" t="n">
        <v>0</v>
      </c>
      <c r="G1384" s="16" t="n">
        <v>0</v>
      </c>
    </row>
    <row r="1385" customFormat="false" ht="15" hidden="false" customHeight="false" outlineLevel="0" collapsed="false">
      <c r="A1385" s="7" t="n">
        <v>2012</v>
      </c>
      <c r="B1385" s="12" t="s">
        <v>63</v>
      </c>
      <c r="C1385" s="12" t="s">
        <v>62</v>
      </c>
      <c r="D1385" s="12" t="s">
        <v>46</v>
      </c>
      <c r="E1385" s="16" t="n">
        <v>276.530608</v>
      </c>
      <c r="F1385" s="16" t="n">
        <v>0</v>
      </c>
      <c r="G1385" s="16" t="n">
        <v>246.657767</v>
      </c>
    </row>
    <row r="1386" customFormat="false" ht="15" hidden="false" customHeight="false" outlineLevel="0" collapsed="false">
      <c r="A1386" s="7" t="n">
        <v>2012</v>
      </c>
      <c r="B1386" s="12" t="s">
        <v>63</v>
      </c>
      <c r="C1386" s="12" t="s">
        <v>62</v>
      </c>
      <c r="D1386" s="12" t="s">
        <v>47</v>
      </c>
      <c r="E1386" s="16" t="n">
        <v>9.848112</v>
      </c>
      <c r="F1386" s="16" t="n">
        <v>0</v>
      </c>
      <c r="G1386" s="16" t="n">
        <v>0</v>
      </c>
    </row>
    <row r="1387" customFormat="false" ht="15" hidden="false" customHeight="false" outlineLevel="0" collapsed="false">
      <c r="A1387" s="7" t="n">
        <v>2012</v>
      </c>
      <c r="B1387" s="12" t="s">
        <v>63</v>
      </c>
      <c r="C1387" s="12" t="s">
        <v>62</v>
      </c>
      <c r="D1387" s="12" t="s">
        <v>45</v>
      </c>
      <c r="E1387" s="16" t="n">
        <v>257.754708</v>
      </c>
      <c r="F1387" s="16" t="n">
        <v>246.592852</v>
      </c>
      <c r="G1387" s="16" t="n">
        <v>1.412773</v>
      </c>
    </row>
    <row r="1388" customFormat="false" ht="15" hidden="false" customHeight="false" outlineLevel="0" collapsed="false">
      <c r="A1388" s="7" t="n">
        <v>2012</v>
      </c>
      <c r="B1388" s="12" t="s">
        <v>64</v>
      </c>
      <c r="C1388" s="12" t="s">
        <v>65</v>
      </c>
      <c r="D1388" s="12" t="s">
        <v>49</v>
      </c>
      <c r="E1388" s="16" t="n">
        <v>219.518473</v>
      </c>
      <c r="F1388" s="16" t="n">
        <v>0</v>
      </c>
      <c r="G1388" s="16" t="n">
        <v>26.756518</v>
      </c>
    </row>
    <row r="1389" customFormat="false" ht="15" hidden="false" customHeight="false" outlineLevel="0" collapsed="false">
      <c r="A1389" s="7" t="n">
        <v>2012</v>
      </c>
      <c r="B1389" s="12" t="s">
        <v>64</v>
      </c>
      <c r="C1389" s="12" t="s">
        <v>65</v>
      </c>
      <c r="D1389" s="12" t="s">
        <v>48</v>
      </c>
      <c r="E1389" s="16" t="n">
        <v>58.44725</v>
      </c>
      <c r="F1389" s="16" t="n">
        <v>0</v>
      </c>
      <c r="G1389" s="16" t="n">
        <v>0</v>
      </c>
    </row>
    <row r="1390" customFormat="false" ht="15" hidden="false" customHeight="false" outlineLevel="0" collapsed="false">
      <c r="A1390" s="7" t="n">
        <v>2012</v>
      </c>
      <c r="B1390" s="12" t="s">
        <v>64</v>
      </c>
      <c r="C1390" s="12" t="s">
        <v>65</v>
      </c>
      <c r="D1390" s="12" t="s">
        <v>46</v>
      </c>
      <c r="E1390" s="16" t="n">
        <v>72.663686</v>
      </c>
      <c r="F1390" s="16" t="n">
        <v>0</v>
      </c>
      <c r="G1390" s="16" t="n">
        <v>88.365831</v>
      </c>
    </row>
    <row r="1391" customFormat="false" ht="15" hidden="false" customHeight="false" outlineLevel="0" collapsed="false">
      <c r="A1391" s="7" t="n">
        <v>2012</v>
      </c>
      <c r="B1391" s="12" t="s">
        <v>64</v>
      </c>
      <c r="C1391" s="12" t="s">
        <v>65</v>
      </c>
      <c r="D1391" s="12" t="s">
        <v>47</v>
      </c>
      <c r="E1391" s="16" t="n">
        <v>7.133171</v>
      </c>
      <c r="F1391" s="16" t="n">
        <v>0</v>
      </c>
      <c r="G1391" s="16" t="n">
        <v>0</v>
      </c>
    </row>
    <row r="1392" customFormat="false" ht="15" hidden="false" customHeight="false" outlineLevel="0" collapsed="false">
      <c r="A1392" s="7" t="n">
        <v>2012</v>
      </c>
      <c r="B1392" s="12" t="s">
        <v>64</v>
      </c>
      <c r="C1392" s="12" t="s">
        <v>65</v>
      </c>
      <c r="D1392" s="12" t="s">
        <v>45</v>
      </c>
      <c r="E1392" s="16" t="n">
        <v>37.7343</v>
      </c>
      <c r="F1392" s="16" t="n">
        <v>12.274802</v>
      </c>
      <c r="G1392" s="16" t="n">
        <v>25.52396</v>
      </c>
    </row>
    <row r="1393" customFormat="false" ht="15" hidden="false" customHeight="false" outlineLevel="0" collapsed="false">
      <c r="A1393" s="7" t="n">
        <v>2012</v>
      </c>
      <c r="B1393" s="12" t="s">
        <v>66</v>
      </c>
      <c r="C1393" s="12" t="s">
        <v>67</v>
      </c>
      <c r="D1393" s="12" t="s">
        <v>49</v>
      </c>
      <c r="E1393" s="16" t="n">
        <v>127.509877</v>
      </c>
      <c r="F1393" s="16" t="n">
        <v>0</v>
      </c>
      <c r="G1393" s="16" t="n">
        <v>18.589864</v>
      </c>
    </row>
    <row r="1394" customFormat="false" ht="15" hidden="false" customHeight="false" outlineLevel="0" collapsed="false">
      <c r="A1394" s="7" t="n">
        <v>2012</v>
      </c>
      <c r="B1394" s="12" t="s">
        <v>66</v>
      </c>
      <c r="C1394" s="12" t="s">
        <v>67</v>
      </c>
      <c r="D1394" s="12" t="s">
        <v>48</v>
      </c>
      <c r="E1394" s="16" t="n">
        <v>39.354797</v>
      </c>
      <c r="F1394" s="16" t="n">
        <v>0</v>
      </c>
      <c r="G1394" s="16" t="n">
        <v>0</v>
      </c>
    </row>
    <row r="1395" customFormat="false" ht="15" hidden="false" customHeight="false" outlineLevel="0" collapsed="false">
      <c r="A1395" s="7" t="n">
        <v>2012</v>
      </c>
      <c r="B1395" s="12" t="s">
        <v>66</v>
      </c>
      <c r="C1395" s="12" t="s">
        <v>67</v>
      </c>
      <c r="D1395" s="12" t="s">
        <v>46</v>
      </c>
      <c r="E1395" s="16" t="n">
        <v>54.052769</v>
      </c>
      <c r="F1395" s="16" t="n">
        <v>0</v>
      </c>
      <c r="G1395" s="16" t="n">
        <v>38.889909</v>
      </c>
    </row>
    <row r="1396" customFormat="false" ht="15" hidden="false" customHeight="false" outlineLevel="0" collapsed="false">
      <c r="A1396" s="7" t="n">
        <v>2012</v>
      </c>
      <c r="B1396" s="12" t="s">
        <v>66</v>
      </c>
      <c r="C1396" s="12" t="s">
        <v>67</v>
      </c>
      <c r="D1396" s="12" t="s">
        <v>47</v>
      </c>
      <c r="E1396" s="16" t="n">
        <v>5.602674</v>
      </c>
      <c r="F1396" s="16" t="n">
        <v>0</v>
      </c>
      <c r="G1396" s="16" t="n">
        <v>0</v>
      </c>
    </row>
    <row r="1397" customFormat="false" ht="15" hidden="false" customHeight="false" outlineLevel="0" collapsed="false">
      <c r="A1397" s="7" t="n">
        <v>2012</v>
      </c>
      <c r="B1397" s="12" t="s">
        <v>66</v>
      </c>
      <c r="C1397" s="12" t="s">
        <v>67</v>
      </c>
      <c r="D1397" s="12" t="s">
        <v>45</v>
      </c>
      <c r="E1397" s="16" t="n">
        <v>40.026099</v>
      </c>
      <c r="F1397" s="16" t="n">
        <v>13.667883</v>
      </c>
      <c r="G1397" s="16" t="n">
        <v>18.714918</v>
      </c>
    </row>
    <row r="1398" customFormat="false" ht="15" hidden="false" customHeight="false" outlineLevel="0" collapsed="false">
      <c r="A1398" s="7" t="n">
        <v>2012</v>
      </c>
      <c r="B1398" s="12" t="s">
        <v>68</v>
      </c>
      <c r="C1398" s="12" t="s">
        <v>65</v>
      </c>
      <c r="D1398" s="12" t="s">
        <v>49</v>
      </c>
      <c r="E1398" s="16" t="n">
        <v>124.56204</v>
      </c>
      <c r="F1398" s="16" t="n">
        <v>0</v>
      </c>
      <c r="G1398" s="16" t="n">
        <v>12.527161</v>
      </c>
    </row>
    <row r="1399" customFormat="false" ht="15" hidden="false" customHeight="false" outlineLevel="0" collapsed="false">
      <c r="A1399" s="7" t="n">
        <v>2012</v>
      </c>
      <c r="B1399" s="12" t="s">
        <v>68</v>
      </c>
      <c r="C1399" s="12" t="s">
        <v>65</v>
      </c>
      <c r="D1399" s="12" t="s">
        <v>48</v>
      </c>
      <c r="E1399" s="16" t="n">
        <v>21.585786</v>
      </c>
      <c r="F1399" s="16" t="n">
        <v>0</v>
      </c>
      <c r="G1399" s="16" t="n">
        <v>0</v>
      </c>
    </row>
    <row r="1400" customFormat="false" ht="15" hidden="false" customHeight="false" outlineLevel="0" collapsed="false">
      <c r="A1400" s="7" t="n">
        <v>2012</v>
      </c>
      <c r="B1400" s="12" t="s">
        <v>68</v>
      </c>
      <c r="C1400" s="12" t="s">
        <v>65</v>
      </c>
      <c r="D1400" s="12" t="s">
        <v>46</v>
      </c>
      <c r="E1400" s="16" t="n">
        <v>38.285321</v>
      </c>
      <c r="F1400" s="16" t="n">
        <v>0</v>
      </c>
      <c r="G1400" s="16" t="n">
        <v>62.85718</v>
      </c>
    </row>
    <row r="1401" customFormat="false" ht="15" hidden="false" customHeight="false" outlineLevel="0" collapsed="false">
      <c r="A1401" s="7" t="n">
        <v>2012</v>
      </c>
      <c r="B1401" s="12" t="s">
        <v>68</v>
      </c>
      <c r="C1401" s="12" t="s">
        <v>65</v>
      </c>
      <c r="D1401" s="12" t="s">
        <v>47</v>
      </c>
      <c r="E1401" s="16" t="n">
        <v>0.120785</v>
      </c>
      <c r="F1401" s="16" t="n">
        <v>0</v>
      </c>
      <c r="G1401" s="16" t="n">
        <v>0</v>
      </c>
    </row>
    <row r="1402" customFormat="false" ht="15" hidden="false" customHeight="false" outlineLevel="0" collapsed="false">
      <c r="A1402" s="7" t="n">
        <v>2012</v>
      </c>
      <c r="B1402" s="12" t="s">
        <v>68</v>
      </c>
      <c r="C1402" s="12" t="s">
        <v>65</v>
      </c>
      <c r="D1402" s="12" t="s">
        <v>45</v>
      </c>
      <c r="E1402" s="16" t="n">
        <v>10.553219</v>
      </c>
      <c r="F1402" s="16" t="n">
        <v>3.199204</v>
      </c>
      <c r="G1402" s="16" t="n">
        <v>5.933694</v>
      </c>
    </row>
    <row r="1403" customFormat="false" ht="15" hidden="false" customHeight="false" outlineLevel="0" collapsed="false">
      <c r="A1403" s="7" t="n">
        <v>2012</v>
      </c>
      <c r="B1403" s="12" t="s">
        <v>69</v>
      </c>
      <c r="C1403" s="12" t="s">
        <v>70</v>
      </c>
      <c r="D1403" s="12" t="s">
        <v>49</v>
      </c>
      <c r="E1403" s="16" t="n">
        <v>87.150745</v>
      </c>
      <c r="F1403" s="16" t="n">
        <v>0</v>
      </c>
      <c r="G1403" s="16" t="n">
        <v>25.042294</v>
      </c>
    </row>
    <row r="1404" customFormat="false" ht="15" hidden="false" customHeight="false" outlineLevel="0" collapsed="false">
      <c r="A1404" s="7" t="n">
        <v>2012</v>
      </c>
      <c r="B1404" s="12" t="s">
        <v>69</v>
      </c>
      <c r="C1404" s="12" t="s">
        <v>70</v>
      </c>
      <c r="D1404" s="12" t="s">
        <v>48</v>
      </c>
      <c r="E1404" s="16" t="n">
        <v>64.924757</v>
      </c>
      <c r="F1404" s="16" t="n">
        <v>0</v>
      </c>
      <c r="G1404" s="16" t="n">
        <v>0</v>
      </c>
    </row>
    <row r="1405" customFormat="false" ht="15" hidden="false" customHeight="false" outlineLevel="0" collapsed="false">
      <c r="A1405" s="7" t="n">
        <v>2012</v>
      </c>
      <c r="B1405" s="12" t="s">
        <v>69</v>
      </c>
      <c r="C1405" s="12" t="s">
        <v>70</v>
      </c>
      <c r="D1405" s="12" t="s">
        <v>46</v>
      </c>
      <c r="E1405" s="16" t="n">
        <v>27.432685</v>
      </c>
      <c r="F1405" s="16" t="n">
        <v>0</v>
      </c>
      <c r="G1405" s="16" t="n">
        <v>51.666519</v>
      </c>
    </row>
    <row r="1406" customFormat="false" ht="15" hidden="false" customHeight="false" outlineLevel="0" collapsed="false">
      <c r="A1406" s="7" t="n">
        <v>2012</v>
      </c>
      <c r="B1406" s="12" t="s">
        <v>69</v>
      </c>
      <c r="C1406" s="12" t="s">
        <v>70</v>
      </c>
      <c r="D1406" s="12" t="s">
        <v>47</v>
      </c>
      <c r="E1406" s="16" t="n">
        <v>3.335737</v>
      </c>
      <c r="F1406" s="16" t="n">
        <v>0</v>
      </c>
      <c r="G1406" s="16" t="n">
        <v>0</v>
      </c>
    </row>
    <row r="1407" customFormat="false" ht="15" hidden="false" customHeight="false" outlineLevel="0" collapsed="false">
      <c r="A1407" s="7" t="n">
        <v>2012</v>
      </c>
      <c r="B1407" s="12" t="s">
        <v>69</v>
      </c>
      <c r="C1407" s="12" t="s">
        <v>70</v>
      </c>
      <c r="D1407" s="12" t="s">
        <v>45</v>
      </c>
      <c r="E1407" s="16" t="n">
        <v>238.323928</v>
      </c>
      <c r="F1407" s="16" t="n">
        <v>235.029232</v>
      </c>
      <c r="G1407" s="16" t="n">
        <v>0</v>
      </c>
    </row>
    <row r="1408" customFormat="false" ht="15" hidden="false" customHeight="false" outlineLevel="0" collapsed="false">
      <c r="A1408" s="7" t="n">
        <v>2012</v>
      </c>
      <c r="B1408" s="12" t="s">
        <v>71</v>
      </c>
      <c r="C1408" s="12" t="s">
        <v>72</v>
      </c>
      <c r="D1408" s="12" t="s">
        <v>49</v>
      </c>
      <c r="E1408" s="16" t="n">
        <v>42.362163</v>
      </c>
      <c r="F1408" s="16" t="n">
        <v>0</v>
      </c>
      <c r="G1408" s="16" t="n">
        <v>1.736369</v>
      </c>
    </row>
    <row r="1409" customFormat="false" ht="15" hidden="false" customHeight="false" outlineLevel="0" collapsed="false">
      <c r="A1409" s="7" t="n">
        <v>2012</v>
      </c>
      <c r="B1409" s="12" t="s">
        <v>71</v>
      </c>
      <c r="C1409" s="12" t="s">
        <v>72</v>
      </c>
      <c r="D1409" s="12" t="s">
        <v>48</v>
      </c>
      <c r="E1409" s="16" t="n">
        <v>16.364925</v>
      </c>
      <c r="F1409" s="16" t="n">
        <v>0</v>
      </c>
      <c r="G1409" s="16" t="n">
        <v>0</v>
      </c>
    </row>
    <row r="1410" customFormat="false" ht="15" hidden="false" customHeight="false" outlineLevel="0" collapsed="false">
      <c r="A1410" s="7" t="n">
        <v>2012</v>
      </c>
      <c r="B1410" s="12" t="s">
        <v>71</v>
      </c>
      <c r="C1410" s="12" t="s">
        <v>72</v>
      </c>
      <c r="D1410" s="12" t="s">
        <v>46</v>
      </c>
      <c r="E1410" s="16" t="n">
        <v>13.732901</v>
      </c>
      <c r="F1410" s="16" t="n">
        <v>0</v>
      </c>
      <c r="G1410" s="16" t="n">
        <v>11.389552</v>
      </c>
    </row>
    <row r="1411" customFormat="false" ht="15" hidden="false" customHeight="false" outlineLevel="0" collapsed="false">
      <c r="A1411" s="7" t="n">
        <v>2012</v>
      </c>
      <c r="B1411" s="12" t="s">
        <v>71</v>
      </c>
      <c r="C1411" s="12" t="s">
        <v>72</v>
      </c>
      <c r="D1411" s="12" t="s">
        <v>47</v>
      </c>
      <c r="E1411" s="16" t="n">
        <v>0.66151</v>
      </c>
      <c r="F1411" s="16" t="n">
        <v>0</v>
      </c>
      <c r="G1411" s="16" t="n">
        <v>0</v>
      </c>
    </row>
    <row r="1412" customFormat="false" ht="15" hidden="false" customHeight="false" outlineLevel="0" collapsed="false">
      <c r="A1412" s="7" t="n">
        <v>2012</v>
      </c>
      <c r="B1412" s="12" t="s">
        <v>71</v>
      </c>
      <c r="C1412" s="12" t="s">
        <v>72</v>
      </c>
      <c r="D1412" s="12" t="s">
        <v>45</v>
      </c>
      <c r="E1412" s="16" t="n">
        <v>29.706296</v>
      </c>
      <c r="F1412" s="16" t="n">
        <v>29.702645</v>
      </c>
      <c r="G1412" s="16" t="n">
        <v>0</v>
      </c>
    </row>
    <row r="1413" customFormat="false" ht="15" hidden="false" customHeight="false" outlineLevel="0" collapsed="false">
      <c r="A1413" s="7" t="n">
        <v>2012</v>
      </c>
      <c r="B1413" s="12" t="s">
        <v>73</v>
      </c>
      <c r="C1413" s="12" t="s">
        <v>70</v>
      </c>
      <c r="D1413" s="12" t="s">
        <v>49</v>
      </c>
      <c r="E1413" s="16" t="n">
        <v>77.948477</v>
      </c>
      <c r="F1413" s="16" t="n">
        <v>0</v>
      </c>
      <c r="G1413" s="16" t="n">
        <v>14.772113</v>
      </c>
    </row>
    <row r="1414" customFormat="false" ht="15" hidden="false" customHeight="false" outlineLevel="0" collapsed="false">
      <c r="A1414" s="7" t="n">
        <v>2012</v>
      </c>
      <c r="B1414" s="12" t="s">
        <v>73</v>
      </c>
      <c r="C1414" s="12" t="s">
        <v>70</v>
      </c>
      <c r="D1414" s="12" t="s">
        <v>48</v>
      </c>
      <c r="E1414" s="16" t="n">
        <v>84.957313</v>
      </c>
      <c r="F1414" s="16" t="n">
        <v>0</v>
      </c>
      <c r="G1414" s="16" t="n">
        <v>0</v>
      </c>
    </row>
    <row r="1415" customFormat="false" ht="15" hidden="false" customHeight="false" outlineLevel="0" collapsed="false">
      <c r="A1415" s="7" t="n">
        <v>2012</v>
      </c>
      <c r="B1415" s="12" t="s">
        <v>73</v>
      </c>
      <c r="C1415" s="12" t="s">
        <v>70</v>
      </c>
      <c r="D1415" s="12" t="s">
        <v>46</v>
      </c>
      <c r="E1415" s="16" t="n">
        <v>98.174938</v>
      </c>
      <c r="F1415" s="16" t="n">
        <v>0</v>
      </c>
      <c r="G1415" s="16" t="n">
        <v>59.608252</v>
      </c>
    </row>
    <row r="1416" customFormat="false" ht="15" hidden="false" customHeight="false" outlineLevel="0" collapsed="false">
      <c r="A1416" s="7" t="n">
        <v>2012</v>
      </c>
      <c r="B1416" s="12" t="s">
        <v>73</v>
      </c>
      <c r="C1416" s="12" t="s">
        <v>70</v>
      </c>
      <c r="D1416" s="12" t="s">
        <v>47</v>
      </c>
      <c r="E1416" s="16" t="n">
        <v>5.98595</v>
      </c>
      <c r="F1416" s="16" t="n">
        <v>0</v>
      </c>
      <c r="G1416" s="16" t="n">
        <v>0</v>
      </c>
    </row>
    <row r="1417" customFormat="false" ht="15" hidden="false" customHeight="false" outlineLevel="0" collapsed="false">
      <c r="A1417" s="7" t="n">
        <v>2012</v>
      </c>
      <c r="B1417" s="12" t="s">
        <v>73</v>
      </c>
      <c r="C1417" s="12" t="s">
        <v>70</v>
      </c>
      <c r="D1417" s="12" t="s">
        <v>45</v>
      </c>
      <c r="E1417" s="16" t="n">
        <v>42.05578</v>
      </c>
      <c r="F1417" s="16" t="n">
        <v>20.113344</v>
      </c>
      <c r="G1417" s="16" t="n">
        <v>16.050847</v>
      </c>
    </row>
    <row r="1418" customFormat="false" ht="15" hidden="false" customHeight="false" outlineLevel="0" collapsed="false">
      <c r="A1418" s="7" t="n">
        <v>2012</v>
      </c>
      <c r="B1418" s="12" t="s">
        <v>74</v>
      </c>
      <c r="C1418" s="12" t="s">
        <v>65</v>
      </c>
      <c r="D1418" s="12" t="s">
        <v>49</v>
      </c>
      <c r="E1418" s="16" t="n">
        <v>177.541436</v>
      </c>
      <c r="F1418" s="16" t="n">
        <v>0</v>
      </c>
      <c r="G1418" s="16" t="n">
        <v>47.27112</v>
      </c>
    </row>
    <row r="1419" customFormat="false" ht="15" hidden="false" customHeight="false" outlineLevel="0" collapsed="false">
      <c r="A1419" s="7" t="n">
        <v>2012</v>
      </c>
      <c r="B1419" s="12" t="s">
        <v>74</v>
      </c>
      <c r="C1419" s="12" t="s">
        <v>65</v>
      </c>
      <c r="D1419" s="12" t="s">
        <v>48</v>
      </c>
      <c r="E1419" s="16" t="n">
        <v>21.191721</v>
      </c>
      <c r="F1419" s="16" t="n">
        <v>0</v>
      </c>
      <c r="G1419" s="16" t="n">
        <v>0</v>
      </c>
    </row>
    <row r="1420" customFormat="false" ht="15" hidden="false" customHeight="false" outlineLevel="0" collapsed="false">
      <c r="A1420" s="7" t="n">
        <v>2012</v>
      </c>
      <c r="B1420" s="12" t="s">
        <v>74</v>
      </c>
      <c r="C1420" s="12" t="s">
        <v>65</v>
      </c>
      <c r="D1420" s="12" t="s">
        <v>46</v>
      </c>
      <c r="E1420" s="16" t="n">
        <v>47.67768</v>
      </c>
      <c r="F1420" s="16" t="n">
        <v>0</v>
      </c>
      <c r="G1420" s="16" t="n">
        <v>40.712102</v>
      </c>
    </row>
    <row r="1421" customFormat="false" ht="15" hidden="false" customHeight="false" outlineLevel="0" collapsed="false">
      <c r="A1421" s="7" t="n">
        <v>2012</v>
      </c>
      <c r="B1421" s="12" t="s">
        <v>74</v>
      </c>
      <c r="C1421" s="12" t="s">
        <v>65</v>
      </c>
      <c r="D1421" s="12" t="s">
        <v>47</v>
      </c>
      <c r="E1421" s="16" t="n">
        <v>9.931704</v>
      </c>
      <c r="F1421" s="16" t="n">
        <v>0</v>
      </c>
      <c r="G1421" s="16" t="n">
        <v>0</v>
      </c>
    </row>
    <row r="1422" customFormat="false" ht="15" hidden="false" customHeight="false" outlineLevel="0" collapsed="false">
      <c r="A1422" s="7" t="n">
        <v>2012</v>
      </c>
      <c r="B1422" s="12" t="s">
        <v>74</v>
      </c>
      <c r="C1422" s="12" t="s">
        <v>65</v>
      </c>
      <c r="D1422" s="12" t="s">
        <v>45</v>
      </c>
      <c r="E1422" s="16" t="n">
        <v>22.350547</v>
      </c>
      <c r="F1422" s="16" t="n">
        <v>0</v>
      </c>
      <c r="G1422" s="16" t="n">
        <v>21.124662</v>
      </c>
    </row>
    <row r="1423" customFormat="false" ht="15" hidden="false" customHeight="false" outlineLevel="0" collapsed="false">
      <c r="A1423" s="7" t="n">
        <v>2012</v>
      </c>
      <c r="B1423" s="12" t="s">
        <v>75</v>
      </c>
      <c r="C1423" s="12" t="s">
        <v>57</v>
      </c>
      <c r="D1423" s="12" t="s">
        <v>49</v>
      </c>
      <c r="E1423" s="16" t="n">
        <v>236.30361</v>
      </c>
      <c r="F1423" s="16" t="n">
        <v>0</v>
      </c>
      <c r="G1423" s="16" t="n">
        <v>47.4664</v>
      </c>
    </row>
    <row r="1424" customFormat="false" ht="15" hidden="false" customHeight="false" outlineLevel="0" collapsed="false">
      <c r="A1424" s="7" t="n">
        <v>2012</v>
      </c>
      <c r="B1424" s="12" t="s">
        <v>75</v>
      </c>
      <c r="C1424" s="12" t="s">
        <v>57</v>
      </c>
      <c r="D1424" s="12" t="s">
        <v>48</v>
      </c>
      <c r="E1424" s="16" t="n">
        <v>158.224259</v>
      </c>
      <c r="F1424" s="16" t="n">
        <v>0</v>
      </c>
      <c r="G1424" s="16" t="n">
        <v>0</v>
      </c>
    </row>
    <row r="1425" customFormat="false" ht="15" hidden="false" customHeight="false" outlineLevel="0" collapsed="false">
      <c r="A1425" s="7" t="n">
        <v>2012</v>
      </c>
      <c r="B1425" s="12" t="s">
        <v>75</v>
      </c>
      <c r="C1425" s="12" t="s">
        <v>57</v>
      </c>
      <c r="D1425" s="12" t="s">
        <v>46</v>
      </c>
      <c r="E1425" s="16" t="n">
        <v>111.134724</v>
      </c>
      <c r="F1425" s="16" t="n">
        <v>0</v>
      </c>
      <c r="G1425" s="16" t="n">
        <v>72.643403</v>
      </c>
    </row>
    <row r="1426" customFormat="false" ht="15" hidden="false" customHeight="false" outlineLevel="0" collapsed="false">
      <c r="A1426" s="7" t="n">
        <v>2012</v>
      </c>
      <c r="B1426" s="12" t="s">
        <v>75</v>
      </c>
      <c r="C1426" s="12" t="s">
        <v>57</v>
      </c>
      <c r="D1426" s="12" t="s">
        <v>47</v>
      </c>
      <c r="E1426" s="16" t="n">
        <v>10.563155</v>
      </c>
      <c r="F1426" s="16" t="n">
        <v>0</v>
      </c>
      <c r="G1426" s="16" t="n">
        <v>0</v>
      </c>
    </row>
    <row r="1427" customFormat="false" ht="15" hidden="false" customHeight="false" outlineLevel="0" collapsed="false">
      <c r="A1427" s="7" t="n">
        <v>2012</v>
      </c>
      <c r="B1427" s="12" t="s">
        <v>75</v>
      </c>
      <c r="C1427" s="12" t="s">
        <v>57</v>
      </c>
      <c r="D1427" s="12" t="s">
        <v>45</v>
      </c>
      <c r="E1427" s="16" t="n">
        <v>213.852882</v>
      </c>
      <c r="F1427" s="16" t="n">
        <v>105.37295</v>
      </c>
      <c r="G1427" s="16" t="n">
        <v>44.714132</v>
      </c>
    </row>
    <row r="1428" customFormat="false" ht="15" hidden="false" customHeight="false" outlineLevel="0" collapsed="false">
      <c r="A1428" s="7" t="n">
        <v>2012</v>
      </c>
      <c r="B1428" s="12" t="s">
        <v>76</v>
      </c>
      <c r="C1428" s="12" t="s">
        <v>72</v>
      </c>
      <c r="D1428" s="12" t="s">
        <v>49</v>
      </c>
      <c r="E1428" s="16" t="n">
        <v>37.319965</v>
      </c>
      <c r="F1428" s="16" t="n">
        <v>0</v>
      </c>
      <c r="G1428" s="16" t="n">
        <v>7.7993</v>
      </c>
    </row>
    <row r="1429" customFormat="false" ht="15" hidden="false" customHeight="false" outlineLevel="0" collapsed="false">
      <c r="A1429" s="7" t="n">
        <v>2012</v>
      </c>
      <c r="B1429" s="12" t="s">
        <v>76</v>
      </c>
      <c r="C1429" s="12" t="s">
        <v>72</v>
      </c>
      <c r="D1429" s="12" t="s">
        <v>48</v>
      </c>
      <c r="E1429" s="16" t="n">
        <v>21.749289</v>
      </c>
      <c r="F1429" s="16" t="n">
        <v>0</v>
      </c>
      <c r="G1429" s="16" t="n">
        <v>0</v>
      </c>
    </row>
    <row r="1430" customFormat="false" ht="15" hidden="false" customHeight="false" outlineLevel="0" collapsed="false">
      <c r="A1430" s="7" t="n">
        <v>2012</v>
      </c>
      <c r="B1430" s="12" t="s">
        <v>76</v>
      </c>
      <c r="C1430" s="12" t="s">
        <v>72</v>
      </c>
      <c r="D1430" s="12" t="s">
        <v>46</v>
      </c>
      <c r="E1430" s="16" t="n">
        <v>22.188323</v>
      </c>
      <c r="F1430" s="16" t="n">
        <v>0</v>
      </c>
      <c r="G1430" s="16" t="n">
        <v>24.20506</v>
      </c>
    </row>
    <row r="1431" customFormat="false" ht="15" hidden="false" customHeight="false" outlineLevel="0" collapsed="false">
      <c r="A1431" s="7" t="n">
        <v>2012</v>
      </c>
      <c r="B1431" s="12" t="s">
        <v>76</v>
      </c>
      <c r="C1431" s="12" t="s">
        <v>72</v>
      </c>
      <c r="D1431" s="12" t="s">
        <v>45</v>
      </c>
      <c r="E1431" s="16" t="n">
        <v>52.878837</v>
      </c>
      <c r="F1431" s="16" t="n">
        <v>0</v>
      </c>
      <c r="G1431" s="16" t="n">
        <v>16.036828</v>
      </c>
    </row>
    <row r="1432" customFormat="false" ht="15" hidden="false" customHeight="false" outlineLevel="0" collapsed="false">
      <c r="A1432" s="7" t="n">
        <v>2012</v>
      </c>
      <c r="B1432" s="12" t="s">
        <v>77</v>
      </c>
      <c r="C1432" s="12" t="s">
        <v>57</v>
      </c>
      <c r="D1432" s="12" t="s">
        <v>49</v>
      </c>
      <c r="E1432" s="16" t="n">
        <v>32.287981</v>
      </c>
      <c r="F1432" s="16" t="n">
        <v>0</v>
      </c>
      <c r="G1432" s="16" t="n">
        <v>3.4964</v>
      </c>
    </row>
    <row r="1433" customFormat="false" ht="15" hidden="false" customHeight="false" outlineLevel="0" collapsed="false">
      <c r="A1433" s="7" t="n">
        <v>2012</v>
      </c>
      <c r="B1433" s="12" t="s">
        <v>77</v>
      </c>
      <c r="C1433" s="12" t="s">
        <v>57</v>
      </c>
      <c r="D1433" s="12" t="s">
        <v>48</v>
      </c>
      <c r="E1433" s="16" t="n">
        <v>20.861654</v>
      </c>
      <c r="F1433" s="16" t="n">
        <v>0</v>
      </c>
      <c r="G1433" s="16" t="n">
        <v>0</v>
      </c>
    </row>
    <row r="1434" customFormat="false" ht="15" hidden="false" customHeight="false" outlineLevel="0" collapsed="false">
      <c r="A1434" s="7" t="n">
        <v>2012</v>
      </c>
      <c r="B1434" s="12" t="s">
        <v>77</v>
      </c>
      <c r="C1434" s="12" t="s">
        <v>57</v>
      </c>
      <c r="D1434" s="12" t="s">
        <v>46</v>
      </c>
      <c r="E1434" s="16" t="n">
        <v>15.868156</v>
      </c>
      <c r="F1434" s="16" t="n">
        <v>0</v>
      </c>
      <c r="G1434" s="16" t="n">
        <v>10.631154</v>
      </c>
    </row>
    <row r="1435" customFormat="false" ht="15" hidden="false" customHeight="false" outlineLevel="0" collapsed="false">
      <c r="A1435" s="7" t="n">
        <v>2012</v>
      </c>
      <c r="B1435" s="12" t="s">
        <v>77</v>
      </c>
      <c r="C1435" s="12" t="s">
        <v>57</v>
      </c>
      <c r="D1435" s="12" t="s">
        <v>47</v>
      </c>
      <c r="E1435" s="16" t="n">
        <v>1.868243</v>
      </c>
      <c r="F1435" s="16" t="n">
        <v>0</v>
      </c>
      <c r="G1435" s="16" t="n">
        <v>0</v>
      </c>
    </row>
    <row r="1436" customFormat="false" ht="15" hidden="false" customHeight="false" outlineLevel="0" collapsed="false">
      <c r="A1436" s="7" t="n">
        <v>2012</v>
      </c>
      <c r="B1436" s="12" t="s">
        <v>77</v>
      </c>
      <c r="C1436" s="12" t="s">
        <v>57</v>
      </c>
      <c r="D1436" s="12" t="s">
        <v>45</v>
      </c>
      <c r="E1436" s="16" t="n">
        <v>15.402734</v>
      </c>
      <c r="F1436" s="16" t="n">
        <v>5.74557</v>
      </c>
      <c r="G1436" s="16" t="n">
        <v>4.738298</v>
      </c>
    </row>
    <row r="1437" customFormat="false" ht="15" hidden="false" customHeight="false" outlineLevel="0" collapsed="false">
      <c r="A1437" s="7" t="n">
        <v>2012</v>
      </c>
      <c r="B1437" s="12" t="s">
        <v>78</v>
      </c>
      <c r="C1437" s="12" t="s">
        <v>65</v>
      </c>
      <c r="D1437" s="12" t="s">
        <v>49</v>
      </c>
      <c r="E1437" s="16" t="n">
        <v>37.615885</v>
      </c>
      <c r="F1437" s="16" t="n">
        <v>0</v>
      </c>
      <c r="G1437" s="16" t="n">
        <v>2.124063</v>
      </c>
    </row>
    <row r="1438" customFormat="false" ht="15" hidden="false" customHeight="false" outlineLevel="0" collapsed="false">
      <c r="A1438" s="7" t="n">
        <v>2012</v>
      </c>
      <c r="B1438" s="12" t="s">
        <v>78</v>
      </c>
      <c r="C1438" s="12" t="s">
        <v>65</v>
      </c>
      <c r="D1438" s="12" t="s">
        <v>48</v>
      </c>
      <c r="E1438" s="16" t="n">
        <v>16.42553</v>
      </c>
      <c r="F1438" s="16" t="n">
        <v>0</v>
      </c>
      <c r="G1438" s="16" t="n">
        <v>0</v>
      </c>
    </row>
    <row r="1439" customFormat="false" ht="15" hidden="false" customHeight="false" outlineLevel="0" collapsed="false">
      <c r="A1439" s="7" t="n">
        <v>2012</v>
      </c>
      <c r="B1439" s="12" t="s">
        <v>78</v>
      </c>
      <c r="C1439" s="12" t="s">
        <v>65</v>
      </c>
      <c r="D1439" s="12" t="s">
        <v>46</v>
      </c>
      <c r="E1439" s="16" t="n">
        <v>15.860228</v>
      </c>
      <c r="F1439" s="16" t="n">
        <v>0</v>
      </c>
      <c r="G1439" s="16" t="n">
        <v>16.199215</v>
      </c>
    </row>
    <row r="1440" customFormat="false" ht="15" hidden="false" customHeight="false" outlineLevel="0" collapsed="false">
      <c r="A1440" s="7" t="n">
        <v>2012</v>
      </c>
      <c r="B1440" s="12" t="s">
        <v>78</v>
      </c>
      <c r="C1440" s="12" t="s">
        <v>65</v>
      </c>
      <c r="D1440" s="12" t="s">
        <v>45</v>
      </c>
      <c r="E1440" s="16" t="n">
        <v>12.314258</v>
      </c>
      <c r="F1440" s="16" t="n">
        <v>0</v>
      </c>
      <c r="G1440" s="16" t="n">
        <v>7.592191</v>
      </c>
    </row>
    <row r="1441" customFormat="false" ht="15" hidden="false" customHeight="false" outlineLevel="0" collapsed="false">
      <c r="A1441" s="7" t="n">
        <v>2012</v>
      </c>
      <c r="B1441" s="12" t="s">
        <v>79</v>
      </c>
      <c r="C1441" s="12" t="s">
        <v>72</v>
      </c>
      <c r="D1441" s="12" t="s">
        <v>49</v>
      </c>
      <c r="E1441" s="16" t="n">
        <v>229.952984</v>
      </c>
      <c r="F1441" s="16" t="n">
        <v>0</v>
      </c>
      <c r="G1441" s="16" t="n">
        <v>25.03172</v>
      </c>
    </row>
    <row r="1442" customFormat="false" ht="15" hidden="false" customHeight="false" outlineLevel="0" collapsed="false">
      <c r="A1442" s="7" t="n">
        <v>2012</v>
      </c>
      <c r="B1442" s="12" t="s">
        <v>79</v>
      </c>
      <c r="C1442" s="12" t="s">
        <v>72</v>
      </c>
      <c r="D1442" s="12" t="s">
        <v>48</v>
      </c>
      <c r="E1442" s="16" t="n">
        <v>7.981454</v>
      </c>
      <c r="F1442" s="16" t="n">
        <v>0</v>
      </c>
      <c r="G1442" s="16" t="n">
        <v>0</v>
      </c>
    </row>
    <row r="1443" customFormat="false" ht="15" hidden="false" customHeight="false" outlineLevel="0" collapsed="false">
      <c r="A1443" s="7" t="n">
        <v>2012</v>
      </c>
      <c r="B1443" s="12" t="s">
        <v>79</v>
      </c>
      <c r="C1443" s="12" t="s">
        <v>72</v>
      </c>
      <c r="D1443" s="12" t="s">
        <v>46</v>
      </c>
      <c r="E1443" s="16" t="n">
        <v>91.142009</v>
      </c>
      <c r="F1443" s="16" t="n">
        <v>0</v>
      </c>
      <c r="G1443" s="16" t="n">
        <v>94.355596</v>
      </c>
    </row>
    <row r="1444" customFormat="false" ht="15" hidden="false" customHeight="false" outlineLevel="0" collapsed="false">
      <c r="A1444" s="7" t="n">
        <v>2012</v>
      </c>
      <c r="B1444" s="12" t="s">
        <v>79</v>
      </c>
      <c r="C1444" s="12" t="s">
        <v>72</v>
      </c>
      <c r="D1444" s="12" t="s">
        <v>47</v>
      </c>
      <c r="E1444" s="16" t="n">
        <v>4.867937</v>
      </c>
      <c r="F1444" s="16" t="n">
        <v>0</v>
      </c>
      <c r="G1444" s="16" t="n">
        <v>0</v>
      </c>
    </row>
    <row r="1445" customFormat="false" ht="15" hidden="false" customHeight="false" outlineLevel="0" collapsed="false">
      <c r="A1445" s="7" t="n">
        <v>2012</v>
      </c>
      <c r="B1445" s="12" t="s">
        <v>79</v>
      </c>
      <c r="C1445" s="12" t="s">
        <v>72</v>
      </c>
      <c r="D1445" s="12" t="s">
        <v>45</v>
      </c>
      <c r="E1445" s="16" t="n">
        <v>263.471776</v>
      </c>
      <c r="F1445" s="16" t="n">
        <v>258.998716</v>
      </c>
      <c r="G1445" s="16" t="n">
        <v>0</v>
      </c>
    </row>
    <row r="1446" customFormat="false" ht="15" hidden="false" customHeight="false" outlineLevel="0" collapsed="false">
      <c r="A1446" s="7" t="n">
        <v>2012</v>
      </c>
      <c r="B1446" s="12" t="s">
        <v>80</v>
      </c>
      <c r="C1446" s="12" t="s">
        <v>72</v>
      </c>
      <c r="D1446" s="12" t="s">
        <v>49</v>
      </c>
      <c r="E1446" s="16" t="n">
        <v>72.855411</v>
      </c>
      <c r="F1446" s="16" t="n">
        <v>0</v>
      </c>
      <c r="G1446" s="16" t="n">
        <v>19.862797</v>
      </c>
    </row>
    <row r="1447" customFormat="false" ht="15" hidden="false" customHeight="false" outlineLevel="0" collapsed="false">
      <c r="A1447" s="7" t="n">
        <v>2012</v>
      </c>
      <c r="B1447" s="12" t="s">
        <v>80</v>
      </c>
      <c r="C1447" s="12" t="s">
        <v>72</v>
      </c>
      <c r="D1447" s="12" t="s">
        <v>48</v>
      </c>
      <c r="E1447" s="16" t="n">
        <v>48.243431</v>
      </c>
      <c r="F1447" s="16" t="n">
        <v>0</v>
      </c>
      <c r="G1447" s="16" t="n">
        <v>0</v>
      </c>
    </row>
    <row r="1448" customFormat="false" ht="15" hidden="false" customHeight="false" outlineLevel="0" collapsed="false">
      <c r="A1448" s="7" t="n">
        <v>2012</v>
      </c>
      <c r="B1448" s="12" t="s">
        <v>80</v>
      </c>
      <c r="C1448" s="12" t="s">
        <v>72</v>
      </c>
      <c r="D1448" s="12" t="s">
        <v>46</v>
      </c>
      <c r="E1448" s="16" t="n">
        <v>26.41721</v>
      </c>
      <c r="F1448" s="16" t="n">
        <v>0</v>
      </c>
      <c r="G1448" s="16" t="n">
        <v>49.81425</v>
      </c>
    </row>
    <row r="1449" customFormat="false" ht="15" hidden="false" customHeight="false" outlineLevel="0" collapsed="false">
      <c r="A1449" s="7" t="n">
        <v>2012</v>
      </c>
      <c r="B1449" s="12" t="s">
        <v>80</v>
      </c>
      <c r="C1449" s="12" t="s">
        <v>72</v>
      </c>
      <c r="D1449" s="12" t="s">
        <v>47</v>
      </c>
      <c r="E1449" s="16" t="n">
        <v>2.288433</v>
      </c>
      <c r="F1449" s="16" t="n">
        <v>0</v>
      </c>
      <c r="G1449" s="16" t="n">
        <v>0</v>
      </c>
    </row>
    <row r="1450" customFormat="false" ht="15" hidden="false" customHeight="false" outlineLevel="0" collapsed="false">
      <c r="A1450" s="7" t="n">
        <v>2012</v>
      </c>
      <c r="B1450" s="12" t="s">
        <v>80</v>
      </c>
      <c r="C1450" s="12" t="s">
        <v>72</v>
      </c>
      <c r="D1450" s="12" t="s">
        <v>45</v>
      </c>
      <c r="E1450" s="16" t="n">
        <v>108.900563</v>
      </c>
      <c r="F1450" s="16" t="n">
        <v>106.234032</v>
      </c>
      <c r="G1450" s="16" t="n">
        <v>0</v>
      </c>
    </row>
    <row r="1451" customFormat="false" ht="15" hidden="false" customHeight="false" outlineLevel="0" collapsed="false">
      <c r="A1451" s="7" t="n">
        <v>2012</v>
      </c>
      <c r="B1451" s="12" t="s">
        <v>81</v>
      </c>
      <c r="C1451" s="12" t="s">
        <v>72</v>
      </c>
      <c r="D1451" s="12" t="s">
        <v>49</v>
      </c>
      <c r="E1451" s="16" t="n">
        <v>91.503185</v>
      </c>
      <c r="F1451" s="16" t="n">
        <v>0</v>
      </c>
      <c r="G1451" s="16" t="n">
        <v>7.809037</v>
      </c>
    </row>
    <row r="1452" customFormat="false" ht="15" hidden="false" customHeight="false" outlineLevel="0" collapsed="false">
      <c r="A1452" s="7" t="n">
        <v>2012</v>
      </c>
      <c r="B1452" s="12" t="s">
        <v>81</v>
      </c>
      <c r="C1452" s="12" t="s">
        <v>72</v>
      </c>
      <c r="D1452" s="12" t="s">
        <v>48</v>
      </c>
      <c r="E1452" s="16" t="n">
        <v>37.952801</v>
      </c>
      <c r="F1452" s="16" t="n">
        <v>0</v>
      </c>
      <c r="G1452" s="16" t="n">
        <v>0</v>
      </c>
    </row>
    <row r="1453" customFormat="false" ht="15" hidden="false" customHeight="false" outlineLevel="0" collapsed="false">
      <c r="A1453" s="7" t="n">
        <v>2012</v>
      </c>
      <c r="B1453" s="12" t="s">
        <v>81</v>
      </c>
      <c r="C1453" s="12" t="s">
        <v>72</v>
      </c>
      <c r="D1453" s="12" t="s">
        <v>46</v>
      </c>
      <c r="E1453" s="16" t="n">
        <v>44.021629</v>
      </c>
      <c r="F1453" s="16" t="n">
        <v>0</v>
      </c>
      <c r="G1453" s="16" t="n">
        <v>20.790383</v>
      </c>
    </row>
    <row r="1454" customFormat="false" ht="15" hidden="false" customHeight="false" outlineLevel="0" collapsed="false">
      <c r="A1454" s="7" t="n">
        <v>2012</v>
      </c>
      <c r="B1454" s="12" t="s">
        <v>81</v>
      </c>
      <c r="C1454" s="12" t="s">
        <v>72</v>
      </c>
      <c r="D1454" s="12" t="s">
        <v>47</v>
      </c>
      <c r="E1454" s="16" t="n">
        <v>2.094479</v>
      </c>
      <c r="F1454" s="16" t="n">
        <v>0</v>
      </c>
      <c r="G1454" s="16" t="n">
        <v>0</v>
      </c>
    </row>
    <row r="1455" customFormat="false" ht="15" hidden="false" customHeight="false" outlineLevel="0" collapsed="false">
      <c r="A1455" s="7" t="n">
        <v>2012</v>
      </c>
      <c r="B1455" s="12" t="s">
        <v>81</v>
      </c>
      <c r="C1455" s="12" t="s">
        <v>72</v>
      </c>
      <c r="D1455" s="12" t="s">
        <v>45</v>
      </c>
      <c r="E1455" s="16" t="n">
        <v>111.503391</v>
      </c>
      <c r="F1455" s="16" t="n">
        <v>109.263412</v>
      </c>
      <c r="G1455" s="16" t="n">
        <v>0</v>
      </c>
    </row>
    <row r="1456" customFormat="false" ht="15" hidden="false" customHeight="false" outlineLevel="0" collapsed="false">
      <c r="A1456" s="7" t="n">
        <v>2013</v>
      </c>
      <c r="B1456" s="12" t="s">
        <v>56</v>
      </c>
      <c r="C1456" s="12" t="s">
        <v>57</v>
      </c>
      <c r="D1456" s="12" t="s">
        <v>49</v>
      </c>
      <c r="E1456" s="16" t="n">
        <v>69.291752</v>
      </c>
      <c r="F1456" s="16" t="n">
        <v>0</v>
      </c>
      <c r="G1456" s="16" t="n">
        <v>12.443275</v>
      </c>
    </row>
    <row r="1457" customFormat="false" ht="15" hidden="false" customHeight="false" outlineLevel="0" collapsed="false">
      <c r="A1457" s="7" t="n">
        <v>2013</v>
      </c>
      <c r="B1457" s="12" t="s">
        <v>56</v>
      </c>
      <c r="C1457" s="12" t="s">
        <v>57</v>
      </c>
      <c r="D1457" s="12" t="s">
        <v>48</v>
      </c>
      <c r="E1457" s="16" t="n">
        <v>19.500133</v>
      </c>
      <c r="F1457" s="16" t="n">
        <v>0</v>
      </c>
      <c r="G1457" s="16" t="n">
        <v>0</v>
      </c>
    </row>
    <row r="1458" customFormat="false" ht="15" hidden="false" customHeight="false" outlineLevel="0" collapsed="false">
      <c r="A1458" s="7" t="n">
        <v>2013</v>
      </c>
      <c r="B1458" s="12" t="s">
        <v>56</v>
      </c>
      <c r="C1458" s="12" t="s">
        <v>57</v>
      </c>
      <c r="D1458" s="12" t="s">
        <v>46</v>
      </c>
      <c r="E1458" s="16" t="n">
        <v>22.180505</v>
      </c>
      <c r="F1458" s="16" t="n">
        <v>0</v>
      </c>
      <c r="G1458" s="16" t="n">
        <v>16.518108</v>
      </c>
    </row>
    <row r="1459" customFormat="false" ht="15" hidden="false" customHeight="false" outlineLevel="0" collapsed="false">
      <c r="A1459" s="7" t="n">
        <v>2013</v>
      </c>
      <c r="B1459" s="12" t="s">
        <v>56</v>
      </c>
      <c r="C1459" s="12" t="s">
        <v>57</v>
      </c>
      <c r="D1459" s="12" t="s">
        <v>47</v>
      </c>
      <c r="E1459" s="16" t="n">
        <v>0.006465</v>
      </c>
      <c r="F1459" s="16" t="n">
        <v>0</v>
      </c>
      <c r="G1459" s="16" t="n">
        <v>0</v>
      </c>
    </row>
    <row r="1460" customFormat="false" ht="15" hidden="false" customHeight="false" outlineLevel="0" collapsed="false">
      <c r="A1460" s="7" t="n">
        <v>2013</v>
      </c>
      <c r="B1460" s="12" t="s">
        <v>56</v>
      </c>
      <c r="C1460" s="12" t="s">
        <v>57</v>
      </c>
      <c r="D1460" s="12" t="s">
        <v>45</v>
      </c>
      <c r="E1460" s="16" t="n">
        <v>52.185491</v>
      </c>
      <c r="F1460" s="16" t="n">
        <v>29.975055</v>
      </c>
      <c r="G1460" s="16" t="n">
        <v>11.828526</v>
      </c>
    </row>
    <row r="1461" customFormat="false" ht="15" hidden="false" customHeight="false" outlineLevel="0" collapsed="false">
      <c r="A1461" s="7" t="n">
        <v>2013</v>
      </c>
      <c r="B1461" s="12" t="s">
        <v>58</v>
      </c>
      <c r="C1461" s="12" t="s">
        <v>59</v>
      </c>
      <c r="D1461" s="12" t="s">
        <v>49</v>
      </c>
      <c r="E1461" s="16" t="n">
        <v>140.454</v>
      </c>
      <c r="F1461" s="16" t="n">
        <v>0</v>
      </c>
      <c r="G1461" s="16" t="n">
        <v>17.04357</v>
      </c>
    </row>
    <row r="1462" customFormat="false" ht="15" hidden="false" customHeight="false" outlineLevel="0" collapsed="false">
      <c r="A1462" s="7" t="n">
        <v>2013</v>
      </c>
      <c r="B1462" s="12" t="s">
        <v>58</v>
      </c>
      <c r="C1462" s="12" t="s">
        <v>59</v>
      </c>
      <c r="D1462" s="12" t="s">
        <v>48</v>
      </c>
      <c r="E1462" s="16" t="n">
        <v>112.196724</v>
      </c>
      <c r="F1462" s="16" t="n">
        <v>0</v>
      </c>
      <c r="G1462" s="16" t="n">
        <v>0</v>
      </c>
    </row>
    <row r="1463" customFormat="false" ht="15" hidden="false" customHeight="false" outlineLevel="0" collapsed="false">
      <c r="A1463" s="7" t="n">
        <v>2013</v>
      </c>
      <c r="B1463" s="12" t="s">
        <v>58</v>
      </c>
      <c r="C1463" s="12" t="s">
        <v>59</v>
      </c>
      <c r="D1463" s="12" t="s">
        <v>46</v>
      </c>
      <c r="E1463" s="16" t="n">
        <v>207.143171</v>
      </c>
      <c r="F1463" s="16" t="n">
        <v>0</v>
      </c>
      <c r="G1463" s="16" t="n">
        <v>170.21127</v>
      </c>
    </row>
    <row r="1464" customFormat="false" ht="15" hidden="false" customHeight="false" outlineLevel="0" collapsed="false">
      <c r="A1464" s="7" t="n">
        <v>2013</v>
      </c>
      <c r="B1464" s="12" t="s">
        <v>58</v>
      </c>
      <c r="C1464" s="12" t="s">
        <v>59</v>
      </c>
      <c r="D1464" s="12" t="s">
        <v>47</v>
      </c>
      <c r="E1464" s="16" t="n">
        <v>1.23099</v>
      </c>
      <c r="F1464" s="16" t="n">
        <v>0</v>
      </c>
      <c r="G1464" s="16" t="n">
        <v>0</v>
      </c>
    </row>
    <row r="1465" customFormat="false" ht="15" hidden="false" customHeight="false" outlineLevel="0" collapsed="false">
      <c r="A1465" s="7" t="n">
        <v>2013</v>
      </c>
      <c r="B1465" s="12" t="s">
        <v>58</v>
      </c>
      <c r="C1465" s="12" t="s">
        <v>59</v>
      </c>
      <c r="D1465" s="12" t="s">
        <v>45</v>
      </c>
      <c r="E1465" s="16" t="n">
        <v>42.345396</v>
      </c>
      <c r="F1465" s="16" t="n">
        <v>11.941954</v>
      </c>
      <c r="G1465" s="16" t="n">
        <v>18.450341</v>
      </c>
    </row>
    <row r="1466" customFormat="false" ht="15" hidden="false" customHeight="false" outlineLevel="0" collapsed="false">
      <c r="A1466" s="7" t="n">
        <v>2013</v>
      </c>
      <c r="B1466" s="12" t="s">
        <v>60</v>
      </c>
      <c r="C1466" s="12" t="s">
        <v>59</v>
      </c>
      <c r="D1466" s="12" t="s">
        <v>49</v>
      </c>
      <c r="E1466" s="16" t="n">
        <v>504.289906</v>
      </c>
      <c r="F1466" s="16" t="n">
        <v>0</v>
      </c>
      <c r="G1466" s="16" t="n">
        <v>131.494282</v>
      </c>
    </row>
    <row r="1467" customFormat="false" ht="15" hidden="false" customHeight="false" outlineLevel="0" collapsed="false">
      <c r="A1467" s="7" t="n">
        <v>2013</v>
      </c>
      <c r="B1467" s="12" t="s">
        <v>60</v>
      </c>
      <c r="C1467" s="12" t="s">
        <v>59</v>
      </c>
      <c r="D1467" s="12" t="s">
        <v>48</v>
      </c>
      <c r="E1467" s="16" t="n">
        <v>417.692375</v>
      </c>
      <c r="F1467" s="16" t="n">
        <v>0</v>
      </c>
      <c r="G1467" s="16" t="n">
        <v>0</v>
      </c>
    </row>
    <row r="1468" customFormat="false" ht="15" hidden="false" customHeight="false" outlineLevel="0" collapsed="false">
      <c r="A1468" s="7" t="n">
        <v>2013</v>
      </c>
      <c r="B1468" s="12" t="s">
        <v>60</v>
      </c>
      <c r="C1468" s="12" t="s">
        <v>59</v>
      </c>
      <c r="D1468" s="12" t="s">
        <v>46</v>
      </c>
      <c r="E1468" s="16" t="n">
        <v>438.781009</v>
      </c>
      <c r="F1468" s="16" t="n">
        <v>0</v>
      </c>
      <c r="G1468" s="16" t="n">
        <v>352.824819</v>
      </c>
    </row>
    <row r="1469" customFormat="false" ht="15" hidden="false" customHeight="false" outlineLevel="0" collapsed="false">
      <c r="A1469" s="7" t="n">
        <v>2013</v>
      </c>
      <c r="B1469" s="12" t="s">
        <v>60</v>
      </c>
      <c r="C1469" s="12" t="s">
        <v>59</v>
      </c>
      <c r="D1469" s="12" t="s">
        <v>47</v>
      </c>
      <c r="E1469" s="16" t="n">
        <v>2.828048</v>
      </c>
      <c r="F1469" s="16" t="n">
        <v>0</v>
      </c>
      <c r="G1469" s="16" t="n">
        <v>0</v>
      </c>
    </row>
    <row r="1470" customFormat="false" ht="15" hidden="false" customHeight="false" outlineLevel="0" collapsed="false">
      <c r="A1470" s="7" t="n">
        <v>2013</v>
      </c>
      <c r="B1470" s="12" t="s">
        <v>60</v>
      </c>
      <c r="C1470" s="12" t="s">
        <v>59</v>
      </c>
      <c r="D1470" s="12" t="s">
        <v>45</v>
      </c>
      <c r="E1470" s="16" t="n">
        <v>229.7334</v>
      </c>
      <c r="F1470" s="16" t="n">
        <v>5.993969</v>
      </c>
      <c r="G1470" s="16" t="n">
        <v>64.937415</v>
      </c>
    </row>
    <row r="1471" customFormat="false" ht="15" hidden="false" customHeight="false" outlineLevel="0" collapsed="false">
      <c r="A1471" s="7" t="n">
        <v>2013</v>
      </c>
      <c r="B1471" s="12" t="s">
        <v>61</v>
      </c>
      <c r="C1471" s="12" t="s">
        <v>62</v>
      </c>
      <c r="D1471" s="12" t="s">
        <v>49</v>
      </c>
      <c r="E1471" s="16" t="n">
        <v>178.71385</v>
      </c>
      <c r="F1471" s="16" t="n">
        <v>0</v>
      </c>
      <c r="G1471" s="16" t="n">
        <v>52.943685</v>
      </c>
    </row>
    <row r="1472" customFormat="false" ht="15" hidden="false" customHeight="false" outlineLevel="0" collapsed="false">
      <c r="A1472" s="7" t="n">
        <v>2013</v>
      </c>
      <c r="B1472" s="12" t="s">
        <v>61</v>
      </c>
      <c r="C1472" s="12" t="s">
        <v>62</v>
      </c>
      <c r="D1472" s="12" t="s">
        <v>48</v>
      </c>
      <c r="E1472" s="16" t="n">
        <v>165.718734</v>
      </c>
      <c r="F1472" s="16" t="n">
        <v>0</v>
      </c>
      <c r="G1472" s="16" t="n">
        <v>0</v>
      </c>
    </row>
    <row r="1473" customFormat="false" ht="15" hidden="false" customHeight="false" outlineLevel="0" collapsed="false">
      <c r="A1473" s="7" t="n">
        <v>2013</v>
      </c>
      <c r="B1473" s="12" t="s">
        <v>61</v>
      </c>
      <c r="C1473" s="12" t="s">
        <v>62</v>
      </c>
      <c r="D1473" s="12" t="s">
        <v>46</v>
      </c>
      <c r="E1473" s="16" t="n">
        <v>203.882247</v>
      </c>
      <c r="F1473" s="16" t="n">
        <v>0</v>
      </c>
      <c r="G1473" s="16" t="n">
        <v>179.403454</v>
      </c>
    </row>
    <row r="1474" customFormat="false" ht="15" hidden="false" customHeight="false" outlineLevel="0" collapsed="false">
      <c r="A1474" s="7" t="n">
        <v>2013</v>
      </c>
      <c r="B1474" s="12" t="s">
        <v>61</v>
      </c>
      <c r="C1474" s="12" t="s">
        <v>62</v>
      </c>
      <c r="D1474" s="12" t="s">
        <v>47</v>
      </c>
      <c r="E1474" s="16" t="n">
        <v>8.204928</v>
      </c>
      <c r="F1474" s="16" t="n">
        <v>0</v>
      </c>
      <c r="G1474" s="16" t="n">
        <v>0</v>
      </c>
    </row>
    <row r="1475" customFormat="false" ht="15" hidden="false" customHeight="false" outlineLevel="0" collapsed="false">
      <c r="A1475" s="7" t="n">
        <v>2013</v>
      </c>
      <c r="B1475" s="12" t="s">
        <v>61</v>
      </c>
      <c r="C1475" s="12" t="s">
        <v>62</v>
      </c>
      <c r="D1475" s="12" t="s">
        <v>45</v>
      </c>
      <c r="E1475" s="16" t="n">
        <v>302.524272</v>
      </c>
      <c r="F1475" s="16" t="n">
        <v>291.977611</v>
      </c>
      <c r="G1475" s="16" t="n">
        <v>0</v>
      </c>
    </row>
    <row r="1476" customFormat="false" ht="15" hidden="false" customHeight="false" outlineLevel="0" collapsed="false">
      <c r="A1476" s="7" t="n">
        <v>2013</v>
      </c>
      <c r="B1476" s="12" t="s">
        <v>63</v>
      </c>
      <c r="C1476" s="12" t="s">
        <v>62</v>
      </c>
      <c r="D1476" s="12" t="s">
        <v>49</v>
      </c>
      <c r="E1476" s="16" t="n">
        <v>377.303842</v>
      </c>
      <c r="F1476" s="16" t="n">
        <v>0</v>
      </c>
      <c r="G1476" s="16" t="n">
        <v>108.352598</v>
      </c>
    </row>
    <row r="1477" customFormat="false" ht="15" hidden="false" customHeight="false" outlineLevel="0" collapsed="false">
      <c r="A1477" s="7" t="n">
        <v>2013</v>
      </c>
      <c r="B1477" s="12" t="s">
        <v>63</v>
      </c>
      <c r="C1477" s="12" t="s">
        <v>62</v>
      </c>
      <c r="D1477" s="12" t="s">
        <v>48</v>
      </c>
      <c r="E1477" s="16" t="n">
        <v>228.792685</v>
      </c>
      <c r="F1477" s="16" t="n">
        <v>0</v>
      </c>
      <c r="G1477" s="16" t="n">
        <v>0</v>
      </c>
    </row>
    <row r="1478" customFormat="false" ht="15" hidden="false" customHeight="false" outlineLevel="0" collapsed="false">
      <c r="A1478" s="7" t="n">
        <v>2013</v>
      </c>
      <c r="B1478" s="12" t="s">
        <v>63</v>
      </c>
      <c r="C1478" s="12" t="s">
        <v>62</v>
      </c>
      <c r="D1478" s="12" t="s">
        <v>46</v>
      </c>
      <c r="E1478" s="16" t="n">
        <v>308.569267</v>
      </c>
      <c r="F1478" s="16" t="n">
        <v>0</v>
      </c>
      <c r="G1478" s="16" t="n">
        <v>256.560178</v>
      </c>
    </row>
    <row r="1479" customFormat="false" ht="15" hidden="false" customHeight="false" outlineLevel="0" collapsed="false">
      <c r="A1479" s="7" t="n">
        <v>2013</v>
      </c>
      <c r="B1479" s="12" t="s">
        <v>63</v>
      </c>
      <c r="C1479" s="12" t="s">
        <v>62</v>
      </c>
      <c r="D1479" s="12" t="s">
        <v>47</v>
      </c>
      <c r="E1479" s="16" t="n">
        <v>10.428236</v>
      </c>
      <c r="F1479" s="16" t="n">
        <v>0</v>
      </c>
      <c r="G1479" s="16" t="n">
        <v>0</v>
      </c>
    </row>
    <row r="1480" customFormat="false" ht="15" hidden="false" customHeight="false" outlineLevel="0" collapsed="false">
      <c r="A1480" s="7" t="n">
        <v>2013</v>
      </c>
      <c r="B1480" s="12" t="s">
        <v>63</v>
      </c>
      <c r="C1480" s="12" t="s">
        <v>62</v>
      </c>
      <c r="D1480" s="12" t="s">
        <v>45</v>
      </c>
      <c r="E1480" s="16" t="n">
        <v>258.635473</v>
      </c>
      <c r="F1480" s="16" t="n">
        <v>248.12341</v>
      </c>
      <c r="G1480" s="16" t="n">
        <v>1.381931</v>
      </c>
    </row>
    <row r="1481" customFormat="false" ht="15" hidden="false" customHeight="false" outlineLevel="0" collapsed="false">
      <c r="A1481" s="7" t="n">
        <v>2013</v>
      </c>
      <c r="B1481" s="12" t="s">
        <v>64</v>
      </c>
      <c r="C1481" s="12" t="s">
        <v>65</v>
      </c>
      <c r="D1481" s="12" t="s">
        <v>49</v>
      </c>
      <c r="E1481" s="16" t="n">
        <v>197.917107</v>
      </c>
      <c r="F1481" s="16" t="n">
        <v>0</v>
      </c>
      <c r="G1481" s="16" t="n">
        <v>23.260906</v>
      </c>
    </row>
    <row r="1482" customFormat="false" ht="15" hidden="false" customHeight="false" outlineLevel="0" collapsed="false">
      <c r="A1482" s="7" t="n">
        <v>2013</v>
      </c>
      <c r="B1482" s="12" t="s">
        <v>64</v>
      </c>
      <c r="C1482" s="12" t="s">
        <v>65</v>
      </c>
      <c r="D1482" s="12" t="s">
        <v>48</v>
      </c>
      <c r="E1482" s="16" t="n">
        <v>50.65963</v>
      </c>
      <c r="F1482" s="16" t="n">
        <v>0</v>
      </c>
      <c r="G1482" s="16" t="n">
        <v>0</v>
      </c>
    </row>
    <row r="1483" customFormat="false" ht="15" hidden="false" customHeight="false" outlineLevel="0" collapsed="false">
      <c r="A1483" s="7" t="n">
        <v>2013</v>
      </c>
      <c r="B1483" s="12" t="s">
        <v>64</v>
      </c>
      <c r="C1483" s="12" t="s">
        <v>65</v>
      </c>
      <c r="D1483" s="12" t="s">
        <v>46</v>
      </c>
      <c r="E1483" s="16" t="n">
        <v>78.964778</v>
      </c>
      <c r="F1483" s="16" t="n">
        <v>0</v>
      </c>
      <c r="G1483" s="16" t="n">
        <v>72.016507</v>
      </c>
    </row>
    <row r="1484" customFormat="false" ht="15" hidden="false" customHeight="false" outlineLevel="0" collapsed="false">
      <c r="A1484" s="7" t="n">
        <v>2013</v>
      </c>
      <c r="B1484" s="12" t="s">
        <v>64</v>
      </c>
      <c r="C1484" s="12" t="s">
        <v>65</v>
      </c>
      <c r="D1484" s="12" t="s">
        <v>47</v>
      </c>
      <c r="E1484" s="16" t="n">
        <v>6.559525</v>
      </c>
      <c r="F1484" s="16" t="n">
        <v>0</v>
      </c>
      <c r="G1484" s="16" t="n">
        <v>0</v>
      </c>
    </row>
    <row r="1485" customFormat="false" ht="15" hidden="false" customHeight="false" outlineLevel="0" collapsed="false">
      <c r="A1485" s="7" t="n">
        <v>2013</v>
      </c>
      <c r="B1485" s="12" t="s">
        <v>64</v>
      </c>
      <c r="C1485" s="12" t="s">
        <v>65</v>
      </c>
      <c r="D1485" s="12" t="s">
        <v>45</v>
      </c>
      <c r="E1485" s="16" t="n">
        <v>46.187932</v>
      </c>
      <c r="F1485" s="16" t="n">
        <v>16.098289</v>
      </c>
      <c r="G1485" s="16" t="n">
        <v>26.894582</v>
      </c>
    </row>
    <row r="1486" customFormat="false" ht="15" hidden="false" customHeight="false" outlineLevel="0" collapsed="false">
      <c r="A1486" s="7" t="n">
        <v>2013</v>
      </c>
      <c r="B1486" s="12" t="s">
        <v>66</v>
      </c>
      <c r="C1486" s="12" t="s">
        <v>67</v>
      </c>
      <c r="D1486" s="12" t="s">
        <v>49</v>
      </c>
      <c r="E1486" s="16" t="n">
        <v>115.581644</v>
      </c>
      <c r="F1486" s="16" t="n">
        <v>0</v>
      </c>
      <c r="G1486" s="16" t="n">
        <v>19.455911</v>
      </c>
    </row>
    <row r="1487" customFormat="false" ht="15" hidden="false" customHeight="false" outlineLevel="0" collapsed="false">
      <c r="A1487" s="7" t="n">
        <v>2013</v>
      </c>
      <c r="B1487" s="12" t="s">
        <v>66</v>
      </c>
      <c r="C1487" s="12" t="s">
        <v>67</v>
      </c>
      <c r="D1487" s="12" t="s">
        <v>48</v>
      </c>
      <c r="E1487" s="16" t="n">
        <v>47.025627</v>
      </c>
      <c r="F1487" s="16" t="n">
        <v>0</v>
      </c>
      <c r="G1487" s="16" t="n">
        <v>0</v>
      </c>
    </row>
    <row r="1488" customFormat="false" ht="15" hidden="false" customHeight="false" outlineLevel="0" collapsed="false">
      <c r="A1488" s="7" t="n">
        <v>2013</v>
      </c>
      <c r="B1488" s="12" t="s">
        <v>66</v>
      </c>
      <c r="C1488" s="12" t="s">
        <v>67</v>
      </c>
      <c r="D1488" s="12" t="s">
        <v>46</v>
      </c>
      <c r="E1488" s="16" t="n">
        <v>55.466714</v>
      </c>
      <c r="F1488" s="16" t="n">
        <v>0</v>
      </c>
      <c r="G1488" s="16" t="n">
        <v>45.237596</v>
      </c>
    </row>
    <row r="1489" customFormat="false" ht="15" hidden="false" customHeight="false" outlineLevel="0" collapsed="false">
      <c r="A1489" s="7" t="n">
        <v>2013</v>
      </c>
      <c r="B1489" s="12" t="s">
        <v>66</v>
      </c>
      <c r="C1489" s="12" t="s">
        <v>67</v>
      </c>
      <c r="D1489" s="12" t="s">
        <v>47</v>
      </c>
      <c r="E1489" s="16" t="n">
        <v>3.258456</v>
      </c>
      <c r="F1489" s="16" t="n">
        <v>0</v>
      </c>
      <c r="G1489" s="16" t="n">
        <v>0</v>
      </c>
    </row>
    <row r="1490" customFormat="false" ht="15" hidden="false" customHeight="false" outlineLevel="0" collapsed="false">
      <c r="A1490" s="7" t="n">
        <v>2013</v>
      </c>
      <c r="B1490" s="12" t="s">
        <v>66</v>
      </c>
      <c r="C1490" s="12" t="s">
        <v>67</v>
      </c>
      <c r="D1490" s="12" t="s">
        <v>45</v>
      </c>
      <c r="E1490" s="16" t="n">
        <v>55.000062</v>
      </c>
      <c r="F1490" s="16" t="n">
        <v>28.944437</v>
      </c>
      <c r="G1490" s="16" t="n">
        <v>20.181719</v>
      </c>
    </row>
    <row r="1491" customFormat="false" ht="15" hidden="false" customHeight="false" outlineLevel="0" collapsed="false">
      <c r="A1491" s="7" t="n">
        <v>2013</v>
      </c>
      <c r="B1491" s="12" t="s">
        <v>68</v>
      </c>
      <c r="C1491" s="12" t="s">
        <v>65</v>
      </c>
      <c r="D1491" s="12" t="s">
        <v>49</v>
      </c>
      <c r="E1491" s="16" t="n">
        <v>139.732231</v>
      </c>
      <c r="F1491" s="16" t="n">
        <v>0</v>
      </c>
      <c r="G1491" s="16" t="n">
        <v>14.557932</v>
      </c>
    </row>
    <row r="1492" customFormat="false" ht="15" hidden="false" customHeight="false" outlineLevel="0" collapsed="false">
      <c r="A1492" s="7" t="n">
        <v>2013</v>
      </c>
      <c r="B1492" s="12" t="s">
        <v>68</v>
      </c>
      <c r="C1492" s="12" t="s">
        <v>65</v>
      </c>
      <c r="D1492" s="12" t="s">
        <v>48</v>
      </c>
      <c r="E1492" s="16" t="n">
        <v>22.326185</v>
      </c>
      <c r="F1492" s="16" t="n">
        <v>0</v>
      </c>
      <c r="G1492" s="16" t="n">
        <v>0</v>
      </c>
    </row>
    <row r="1493" customFormat="false" ht="15" hidden="false" customHeight="false" outlineLevel="0" collapsed="false">
      <c r="A1493" s="7" t="n">
        <v>2013</v>
      </c>
      <c r="B1493" s="12" t="s">
        <v>68</v>
      </c>
      <c r="C1493" s="12" t="s">
        <v>65</v>
      </c>
      <c r="D1493" s="12" t="s">
        <v>46</v>
      </c>
      <c r="E1493" s="16" t="n">
        <v>36.906693</v>
      </c>
      <c r="F1493" s="16" t="n">
        <v>0</v>
      </c>
      <c r="G1493" s="16" t="n">
        <v>64.506423</v>
      </c>
    </row>
    <row r="1494" customFormat="false" ht="15" hidden="false" customHeight="false" outlineLevel="0" collapsed="false">
      <c r="A1494" s="7" t="n">
        <v>2013</v>
      </c>
      <c r="B1494" s="12" t="s">
        <v>68</v>
      </c>
      <c r="C1494" s="12" t="s">
        <v>65</v>
      </c>
      <c r="D1494" s="12" t="s">
        <v>47</v>
      </c>
      <c r="E1494" s="16" t="n">
        <v>0.188014</v>
      </c>
      <c r="F1494" s="16" t="n">
        <v>0</v>
      </c>
      <c r="G1494" s="16" t="n">
        <v>0</v>
      </c>
    </row>
    <row r="1495" customFormat="false" ht="15" hidden="false" customHeight="false" outlineLevel="0" collapsed="false">
      <c r="A1495" s="7" t="n">
        <v>2013</v>
      </c>
      <c r="B1495" s="12" t="s">
        <v>68</v>
      </c>
      <c r="C1495" s="12" t="s">
        <v>65</v>
      </c>
      <c r="D1495" s="12" t="s">
        <v>45</v>
      </c>
      <c r="E1495" s="16" t="n">
        <v>11.831279</v>
      </c>
      <c r="F1495" s="16" t="n">
        <v>3.260827</v>
      </c>
      <c r="G1495" s="16" t="n">
        <v>6.13104</v>
      </c>
    </row>
    <row r="1496" customFormat="false" ht="15" hidden="false" customHeight="false" outlineLevel="0" collapsed="false">
      <c r="A1496" s="7" t="n">
        <v>2013</v>
      </c>
      <c r="B1496" s="12" t="s">
        <v>69</v>
      </c>
      <c r="C1496" s="12" t="s">
        <v>70</v>
      </c>
      <c r="D1496" s="12" t="s">
        <v>49</v>
      </c>
      <c r="E1496" s="16" t="n">
        <v>92.497814</v>
      </c>
      <c r="F1496" s="16" t="n">
        <v>0</v>
      </c>
      <c r="G1496" s="16" t="n">
        <v>24.65192</v>
      </c>
    </row>
    <row r="1497" customFormat="false" ht="15" hidden="false" customHeight="false" outlineLevel="0" collapsed="false">
      <c r="A1497" s="7" t="n">
        <v>2013</v>
      </c>
      <c r="B1497" s="12" t="s">
        <v>69</v>
      </c>
      <c r="C1497" s="12" t="s">
        <v>70</v>
      </c>
      <c r="D1497" s="12" t="s">
        <v>48</v>
      </c>
      <c r="E1497" s="16" t="n">
        <v>61.510517</v>
      </c>
      <c r="F1497" s="16" t="n">
        <v>0</v>
      </c>
      <c r="G1497" s="16" t="n">
        <v>0</v>
      </c>
    </row>
    <row r="1498" customFormat="false" ht="15" hidden="false" customHeight="false" outlineLevel="0" collapsed="false">
      <c r="A1498" s="7" t="n">
        <v>2013</v>
      </c>
      <c r="B1498" s="12" t="s">
        <v>69</v>
      </c>
      <c r="C1498" s="12" t="s">
        <v>70</v>
      </c>
      <c r="D1498" s="12" t="s">
        <v>46</v>
      </c>
      <c r="E1498" s="16" t="n">
        <v>32.277331</v>
      </c>
      <c r="F1498" s="16" t="n">
        <v>0</v>
      </c>
      <c r="G1498" s="16" t="n">
        <v>54.432175</v>
      </c>
    </row>
    <row r="1499" customFormat="false" ht="15" hidden="false" customHeight="false" outlineLevel="0" collapsed="false">
      <c r="A1499" s="7" t="n">
        <v>2013</v>
      </c>
      <c r="B1499" s="12" t="s">
        <v>69</v>
      </c>
      <c r="C1499" s="12" t="s">
        <v>70</v>
      </c>
      <c r="D1499" s="12" t="s">
        <v>47</v>
      </c>
      <c r="E1499" s="16" t="n">
        <v>3.403981</v>
      </c>
      <c r="F1499" s="16" t="n">
        <v>0</v>
      </c>
      <c r="G1499" s="16" t="n">
        <v>0</v>
      </c>
    </row>
    <row r="1500" customFormat="false" ht="15" hidden="false" customHeight="false" outlineLevel="0" collapsed="false">
      <c r="A1500" s="7" t="n">
        <v>2013</v>
      </c>
      <c r="B1500" s="12" t="s">
        <v>69</v>
      </c>
      <c r="C1500" s="12" t="s">
        <v>70</v>
      </c>
      <c r="D1500" s="12" t="s">
        <v>45</v>
      </c>
      <c r="E1500" s="16" t="n">
        <v>304.4564</v>
      </c>
      <c r="F1500" s="16" t="n">
        <v>301.397666</v>
      </c>
      <c r="G1500" s="16" t="n">
        <v>0</v>
      </c>
    </row>
    <row r="1501" customFormat="false" ht="15" hidden="false" customHeight="false" outlineLevel="0" collapsed="false">
      <c r="A1501" s="7" t="n">
        <v>2013</v>
      </c>
      <c r="B1501" s="12" t="s">
        <v>71</v>
      </c>
      <c r="C1501" s="12" t="s">
        <v>72</v>
      </c>
      <c r="D1501" s="12" t="s">
        <v>49</v>
      </c>
      <c r="E1501" s="16" t="n">
        <v>38.731862</v>
      </c>
      <c r="F1501" s="16" t="n">
        <v>0</v>
      </c>
      <c r="G1501" s="16" t="n">
        <v>2.034507</v>
      </c>
    </row>
    <row r="1502" customFormat="false" ht="15" hidden="false" customHeight="false" outlineLevel="0" collapsed="false">
      <c r="A1502" s="7" t="n">
        <v>2013</v>
      </c>
      <c r="B1502" s="12" t="s">
        <v>71</v>
      </c>
      <c r="C1502" s="12" t="s">
        <v>72</v>
      </c>
      <c r="D1502" s="12" t="s">
        <v>48</v>
      </c>
      <c r="E1502" s="16" t="n">
        <v>15.731746</v>
      </c>
      <c r="F1502" s="16" t="n">
        <v>0</v>
      </c>
      <c r="G1502" s="16" t="n">
        <v>0</v>
      </c>
    </row>
    <row r="1503" customFormat="false" ht="15" hidden="false" customHeight="false" outlineLevel="0" collapsed="false">
      <c r="A1503" s="7" t="n">
        <v>2013</v>
      </c>
      <c r="B1503" s="12" t="s">
        <v>71</v>
      </c>
      <c r="C1503" s="12" t="s">
        <v>72</v>
      </c>
      <c r="D1503" s="12" t="s">
        <v>46</v>
      </c>
      <c r="E1503" s="16" t="n">
        <v>14.756237</v>
      </c>
      <c r="F1503" s="16" t="n">
        <v>0</v>
      </c>
      <c r="G1503" s="16" t="n">
        <v>11.893896</v>
      </c>
    </row>
    <row r="1504" customFormat="false" ht="15" hidden="false" customHeight="false" outlineLevel="0" collapsed="false">
      <c r="A1504" s="7" t="n">
        <v>2013</v>
      </c>
      <c r="B1504" s="12" t="s">
        <v>71</v>
      </c>
      <c r="C1504" s="12" t="s">
        <v>72</v>
      </c>
      <c r="D1504" s="12" t="s">
        <v>47</v>
      </c>
      <c r="E1504" s="16" t="n">
        <v>0.681538</v>
      </c>
      <c r="F1504" s="16" t="n">
        <v>0</v>
      </c>
      <c r="G1504" s="16" t="n">
        <v>0</v>
      </c>
    </row>
    <row r="1505" customFormat="false" ht="15" hidden="false" customHeight="false" outlineLevel="0" collapsed="false">
      <c r="A1505" s="7" t="n">
        <v>2013</v>
      </c>
      <c r="B1505" s="12" t="s">
        <v>71</v>
      </c>
      <c r="C1505" s="12" t="s">
        <v>72</v>
      </c>
      <c r="D1505" s="12" t="s">
        <v>45</v>
      </c>
      <c r="E1505" s="16" t="n">
        <v>33.05937</v>
      </c>
      <c r="F1505" s="16" t="n">
        <v>33.070138</v>
      </c>
      <c r="G1505" s="16" t="n">
        <v>0</v>
      </c>
    </row>
    <row r="1506" customFormat="false" ht="15" hidden="false" customHeight="false" outlineLevel="0" collapsed="false">
      <c r="A1506" s="7" t="n">
        <v>2013</v>
      </c>
      <c r="B1506" s="12" t="s">
        <v>73</v>
      </c>
      <c r="C1506" s="12" t="s">
        <v>70</v>
      </c>
      <c r="D1506" s="12" t="s">
        <v>49</v>
      </c>
      <c r="E1506" s="16" t="n">
        <v>77.45545</v>
      </c>
      <c r="F1506" s="16" t="n">
        <v>0</v>
      </c>
      <c r="G1506" s="16" t="n">
        <v>15.397095</v>
      </c>
    </row>
    <row r="1507" customFormat="false" ht="15" hidden="false" customHeight="false" outlineLevel="0" collapsed="false">
      <c r="A1507" s="7" t="n">
        <v>2013</v>
      </c>
      <c r="B1507" s="12" t="s">
        <v>73</v>
      </c>
      <c r="C1507" s="12" t="s">
        <v>70</v>
      </c>
      <c r="D1507" s="12" t="s">
        <v>48</v>
      </c>
      <c r="E1507" s="16" t="n">
        <v>88.454337</v>
      </c>
      <c r="F1507" s="16" t="n">
        <v>0</v>
      </c>
      <c r="G1507" s="16" t="n">
        <v>0</v>
      </c>
    </row>
    <row r="1508" customFormat="false" ht="15" hidden="false" customHeight="false" outlineLevel="0" collapsed="false">
      <c r="A1508" s="7" t="n">
        <v>2013</v>
      </c>
      <c r="B1508" s="12" t="s">
        <v>73</v>
      </c>
      <c r="C1508" s="12" t="s">
        <v>70</v>
      </c>
      <c r="D1508" s="12" t="s">
        <v>46</v>
      </c>
      <c r="E1508" s="16" t="n">
        <v>92.11616</v>
      </c>
      <c r="F1508" s="16" t="n">
        <v>0</v>
      </c>
      <c r="G1508" s="16" t="n">
        <v>58.178006</v>
      </c>
    </row>
    <row r="1509" customFormat="false" ht="15" hidden="false" customHeight="false" outlineLevel="0" collapsed="false">
      <c r="A1509" s="7" t="n">
        <v>2013</v>
      </c>
      <c r="B1509" s="12" t="s">
        <v>73</v>
      </c>
      <c r="C1509" s="12" t="s">
        <v>70</v>
      </c>
      <c r="D1509" s="12" t="s">
        <v>47</v>
      </c>
      <c r="E1509" s="16" t="n">
        <v>6.160729</v>
      </c>
      <c r="F1509" s="16" t="n">
        <v>0</v>
      </c>
      <c r="G1509" s="16" t="n">
        <v>0</v>
      </c>
    </row>
    <row r="1510" customFormat="false" ht="15" hidden="false" customHeight="false" outlineLevel="0" collapsed="false">
      <c r="A1510" s="7" t="n">
        <v>2013</v>
      </c>
      <c r="B1510" s="12" t="s">
        <v>73</v>
      </c>
      <c r="C1510" s="12" t="s">
        <v>70</v>
      </c>
      <c r="D1510" s="12" t="s">
        <v>45</v>
      </c>
      <c r="E1510" s="16" t="n">
        <v>48.509002</v>
      </c>
      <c r="F1510" s="16" t="n">
        <v>25.889073</v>
      </c>
      <c r="G1510" s="16" t="n">
        <v>19.621224</v>
      </c>
    </row>
    <row r="1511" customFormat="false" ht="15" hidden="false" customHeight="false" outlineLevel="0" collapsed="false">
      <c r="A1511" s="7" t="n">
        <v>2013</v>
      </c>
      <c r="B1511" s="12" t="s">
        <v>74</v>
      </c>
      <c r="C1511" s="12" t="s">
        <v>65</v>
      </c>
      <c r="D1511" s="12" t="s">
        <v>49</v>
      </c>
      <c r="E1511" s="16" t="n">
        <v>183.441266</v>
      </c>
      <c r="F1511" s="16" t="n">
        <v>0</v>
      </c>
      <c r="G1511" s="16" t="n">
        <v>49.007206</v>
      </c>
    </row>
    <row r="1512" customFormat="false" ht="15" hidden="false" customHeight="false" outlineLevel="0" collapsed="false">
      <c r="A1512" s="7" t="n">
        <v>2013</v>
      </c>
      <c r="B1512" s="12" t="s">
        <v>74</v>
      </c>
      <c r="C1512" s="12" t="s">
        <v>65</v>
      </c>
      <c r="D1512" s="12" t="s">
        <v>48</v>
      </c>
      <c r="E1512" s="16" t="n">
        <v>22.61591</v>
      </c>
      <c r="F1512" s="16" t="n">
        <v>0</v>
      </c>
      <c r="G1512" s="16" t="n">
        <v>0</v>
      </c>
    </row>
    <row r="1513" customFormat="false" ht="15" hidden="false" customHeight="false" outlineLevel="0" collapsed="false">
      <c r="A1513" s="7" t="n">
        <v>2013</v>
      </c>
      <c r="B1513" s="12" t="s">
        <v>74</v>
      </c>
      <c r="C1513" s="12" t="s">
        <v>65</v>
      </c>
      <c r="D1513" s="12" t="s">
        <v>46</v>
      </c>
      <c r="E1513" s="16" t="n">
        <v>48.247343</v>
      </c>
      <c r="F1513" s="16" t="n">
        <v>0</v>
      </c>
      <c r="G1513" s="16" t="n">
        <v>42.249368</v>
      </c>
    </row>
    <row r="1514" customFormat="false" ht="15" hidden="false" customHeight="false" outlineLevel="0" collapsed="false">
      <c r="A1514" s="7" t="n">
        <v>2013</v>
      </c>
      <c r="B1514" s="12" t="s">
        <v>74</v>
      </c>
      <c r="C1514" s="12" t="s">
        <v>65</v>
      </c>
      <c r="D1514" s="12" t="s">
        <v>47</v>
      </c>
      <c r="E1514" s="16" t="n">
        <v>5.944663</v>
      </c>
      <c r="F1514" s="16" t="n">
        <v>0</v>
      </c>
      <c r="G1514" s="16" t="n">
        <v>0</v>
      </c>
    </row>
    <row r="1515" customFormat="false" ht="15" hidden="false" customHeight="false" outlineLevel="0" collapsed="false">
      <c r="A1515" s="7" t="n">
        <v>2013</v>
      </c>
      <c r="B1515" s="12" t="s">
        <v>74</v>
      </c>
      <c r="C1515" s="12" t="s">
        <v>65</v>
      </c>
      <c r="D1515" s="12" t="s">
        <v>45</v>
      </c>
      <c r="E1515" s="16" t="n">
        <v>29.449065</v>
      </c>
      <c r="F1515" s="16" t="n">
        <v>0</v>
      </c>
      <c r="G1515" s="16" t="n">
        <v>21.562645</v>
      </c>
    </row>
    <row r="1516" customFormat="false" ht="15" hidden="false" customHeight="false" outlineLevel="0" collapsed="false">
      <c r="A1516" s="7" t="n">
        <v>2013</v>
      </c>
      <c r="B1516" s="12" t="s">
        <v>75</v>
      </c>
      <c r="C1516" s="12" t="s">
        <v>57</v>
      </c>
      <c r="D1516" s="12" t="s">
        <v>49</v>
      </c>
      <c r="E1516" s="16" t="n">
        <v>254.71273</v>
      </c>
      <c r="F1516" s="16" t="n">
        <v>0</v>
      </c>
      <c r="G1516" s="16" t="n">
        <v>52.669196</v>
      </c>
    </row>
    <row r="1517" customFormat="false" ht="15" hidden="false" customHeight="false" outlineLevel="0" collapsed="false">
      <c r="A1517" s="7" t="n">
        <v>2013</v>
      </c>
      <c r="B1517" s="12" t="s">
        <v>75</v>
      </c>
      <c r="C1517" s="12" t="s">
        <v>57</v>
      </c>
      <c r="D1517" s="12" t="s">
        <v>48</v>
      </c>
      <c r="E1517" s="16" t="n">
        <v>139.935053</v>
      </c>
      <c r="F1517" s="16" t="n">
        <v>0</v>
      </c>
      <c r="G1517" s="16" t="n">
        <v>0</v>
      </c>
    </row>
    <row r="1518" customFormat="false" ht="15" hidden="false" customHeight="false" outlineLevel="0" collapsed="false">
      <c r="A1518" s="7" t="n">
        <v>2013</v>
      </c>
      <c r="B1518" s="12" t="s">
        <v>75</v>
      </c>
      <c r="C1518" s="12" t="s">
        <v>57</v>
      </c>
      <c r="D1518" s="12" t="s">
        <v>46</v>
      </c>
      <c r="E1518" s="16" t="n">
        <v>121.107048</v>
      </c>
      <c r="F1518" s="16" t="n">
        <v>0</v>
      </c>
      <c r="G1518" s="16" t="n">
        <v>93.93125</v>
      </c>
    </row>
    <row r="1519" customFormat="false" ht="15" hidden="false" customHeight="false" outlineLevel="0" collapsed="false">
      <c r="A1519" s="7" t="n">
        <v>2013</v>
      </c>
      <c r="B1519" s="12" t="s">
        <v>75</v>
      </c>
      <c r="C1519" s="12" t="s">
        <v>57</v>
      </c>
      <c r="D1519" s="12" t="s">
        <v>47</v>
      </c>
      <c r="E1519" s="16" t="n">
        <v>10.855866</v>
      </c>
      <c r="F1519" s="16" t="n">
        <v>0</v>
      </c>
      <c r="G1519" s="16" t="n">
        <v>0</v>
      </c>
    </row>
    <row r="1520" customFormat="false" ht="15" hidden="false" customHeight="false" outlineLevel="0" collapsed="false">
      <c r="A1520" s="7" t="n">
        <v>2013</v>
      </c>
      <c r="B1520" s="12" t="s">
        <v>75</v>
      </c>
      <c r="C1520" s="12" t="s">
        <v>57</v>
      </c>
      <c r="D1520" s="12" t="s">
        <v>45</v>
      </c>
      <c r="E1520" s="16" t="n">
        <v>244.34042</v>
      </c>
      <c r="F1520" s="16" t="n">
        <v>125.156287</v>
      </c>
      <c r="G1520" s="16" t="n">
        <v>42.17425</v>
      </c>
    </row>
    <row r="1521" customFormat="false" ht="15" hidden="false" customHeight="false" outlineLevel="0" collapsed="false">
      <c r="A1521" s="7" t="n">
        <v>2013</v>
      </c>
      <c r="B1521" s="12" t="s">
        <v>76</v>
      </c>
      <c r="C1521" s="12" t="s">
        <v>72</v>
      </c>
      <c r="D1521" s="12" t="s">
        <v>49</v>
      </c>
      <c r="E1521" s="16" t="n">
        <v>41.603448</v>
      </c>
      <c r="F1521" s="16" t="n">
        <v>0</v>
      </c>
      <c r="G1521" s="16" t="n">
        <v>8.084595</v>
      </c>
    </row>
    <row r="1522" customFormat="false" ht="15" hidden="false" customHeight="false" outlineLevel="0" collapsed="false">
      <c r="A1522" s="7" t="n">
        <v>2013</v>
      </c>
      <c r="B1522" s="12" t="s">
        <v>76</v>
      </c>
      <c r="C1522" s="12" t="s">
        <v>72</v>
      </c>
      <c r="D1522" s="12" t="s">
        <v>48</v>
      </c>
      <c r="E1522" s="16" t="n">
        <v>20.667629</v>
      </c>
      <c r="F1522" s="16" t="n">
        <v>0</v>
      </c>
      <c r="G1522" s="16" t="n">
        <v>0</v>
      </c>
    </row>
    <row r="1523" customFormat="false" ht="15" hidden="false" customHeight="false" outlineLevel="0" collapsed="false">
      <c r="A1523" s="7" t="n">
        <v>2013</v>
      </c>
      <c r="B1523" s="12" t="s">
        <v>76</v>
      </c>
      <c r="C1523" s="12" t="s">
        <v>72</v>
      </c>
      <c r="D1523" s="12" t="s">
        <v>46</v>
      </c>
      <c r="E1523" s="16" t="n">
        <v>25.725435</v>
      </c>
      <c r="F1523" s="16" t="n">
        <v>0</v>
      </c>
      <c r="G1523" s="16" t="n">
        <v>25.411269</v>
      </c>
    </row>
    <row r="1524" customFormat="false" ht="15" hidden="false" customHeight="false" outlineLevel="0" collapsed="false">
      <c r="A1524" s="7" t="n">
        <v>2013</v>
      </c>
      <c r="B1524" s="12" t="s">
        <v>76</v>
      </c>
      <c r="C1524" s="12" t="s">
        <v>72</v>
      </c>
      <c r="D1524" s="12" t="s">
        <v>45</v>
      </c>
      <c r="E1524" s="16" t="n">
        <v>47.063589</v>
      </c>
      <c r="F1524" s="16" t="n">
        <v>0</v>
      </c>
      <c r="G1524" s="16" t="n">
        <v>17.955714</v>
      </c>
    </row>
    <row r="1525" customFormat="false" ht="15" hidden="false" customHeight="false" outlineLevel="0" collapsed="false">
      <c r="A1525" s="7" t="n">
        <v>2013</v>
      </c>
      <c r="B1525" s="12" t="s">
        <v>77</v>
      </c>
      <c r="C1525" s="12" t="s">
        <v>57</v>
      </c>
      <c r="D1525" s="12" t="s">
        <v>49</v>
      </c>
      <c r="E1525" s="16" t="n">
        <v>39.522951</v>
      </c>
      <c r="F1525" s="16" t="n">
        <v>0</v>
      </c>
      <c r="G1525" s="16" t="n">
        <v>3.701518</v>
      </c>
    </row>
    <row r="1526" customFormat="false" ht="15" hidden="false" customHeight="false" outlineLevel="0" collapsed="false">
      <c r="A1526" s="7" t="n">
        <v>2013</v>
      </c>
      <c r="B1526" s="12" t="s">
        <v>77</v>
      </c>
      <c r="C1526" s="12" t="s">
        <v>57</v>
      </c>
      <c r="D1526" s="12" t="s">
        <v>48</v>
      </c>
      <c r="E1526" s="16" t="n">
        <v>22.177378</v>
      </c>
      <c r="F1526" s="16" t="n">
        <v>0</v>
      </c>
      <c r="G1526" s="16" t="n">
        <v>0</v>
      </c>
    </row>
    <row r="1527" customFormat="false" ht="15" hidden="false" customHeight="false" outlineLevel="0" collapsed="false">
      <c r="A1527" s="7" t="n">
        <v>2013</v>
      </c>
      <c r="B1527" s="12" t="s">
        <v>77</v>
      </c>
      <c r="C1527" s="12" t="s">
        <v>57</v>
      </c>
      <c r="D1527" s="12" t="s">
        <v>46</v>
      </c>
      <c r="E1527" s="16" t="n">
        <v>16.698686</v>
      </c>
      <c r="F1527" s="16" t="n">
        <v>0</v>
      </c>
      <c r="G1527" s="16" t="n">
        <v>10.942847</v>
      </c>
    </row>
    <row r="1528" customFormat="false" ht="15" hidden="false" customHeight="false" outlineLevel="0" collapsed="false">
      <c r="A1528" s="7" t="n">
        <v>2013</v>
      </c>
      <c r="B1528" s="12" t="s">
        <v>77</v>
      </c>
      <c r="C1528" s="12" t="s">
        <v>57</v>
      </c>
      <c r="D1528" s="12" t="s">
        <v>47</v>
      </c>
      <c r="E1528" s="16" t="n">
        <v>1.759526</v>
      </c>
      <c r="F1528" s="16" t="n">
        <v>0</v>
      </c>
      <c r="G1528" s="16" t="n">
        <v>0</v>
      </c>
    </row>
    <row r="1529" customFormat="false" ht="15" hidden="false" customHeight="false" outlineLevel="0" collapsed="false">
      <c r="A1529" s="7" t="n">
        <v>2013</v>
      </c>
      <c r="B1529" s="12" t="s">
        <v>77</v>
      </c>
      <c r="C1529" s="12" t="s">
        <v>57</v>
      </c>
      <c r="D1529" s="12" t="s">
        <v>45</v>
      </c>
      <c r="E1529" s="16" t="n">
        <v>19.286028</v>
      </c>
      <c r="F1529" s="16" t="n">
        <v>9.892519</v>
      </c>
      <c r="G1529" s="16" t="n">
        <v>5.271417</v>
      </c>
    </row>
    <row r="1530" customFormat="false" ht="15" hidden="false" customHeight="false" outlineLevel="0" collapsed="false">
      <c r="A1530" s="7" t="n">
        <v>2013</v>
      </c>
      <c r="B1530" s="12" t="s">
        <v>78</v>
      </c>
      <c r="C1530" s="12" t="s">
        <v>65</v>
      </c>
      <c r="D1530" s="12" t="s">
        <v>49</v>
      </c>
      <c r="E1530" s="16" t="n">
        <v>39.735461</v>
      </c>
      <c r="F1530" s="16" t="n">
        <v>0</v>
      </c>
      <c r="G1530" s="16" t="n">
        <v>2.227551</v>
      </c>
    </row>
    <row r="1531" customFormat="false" ht="15" hidden="false" customHeight="false" outlineLevel="0" collapsed="false">
      <c r="A1531" s="7" t="n">
        <v>2013</v>
      </c>
      <c r="B1531" s="12" t="s">
        <v>78</v>
      </c>
      <c r="C1531" s="12" t="s">
        <v>65</v>
      </c>
      <c r="D1531" s="12" t="s">
        <v>48</v>
      </c>
      <c r="E1531" s="16" t="n">
        <v>20.304813</v>
      </c>
      <c r="F1531" s="16" t="n">
        <v>0</v>
      </c>
      <c r="G1531" s="16" t="n">
        <v>0</v>
      </c>
    </row>
    <row r="1532" customFormat="false" ht="15" hidden="false" customHeight="false" outlineLevel="0" collapsed="false">
      <c r="A1532" s="7" t="n">
        <v>2013</v>
      </c>
      <c r="B1532" s="12" t="s">
        <v>78</v>
      </c>
      <c r="C1532" s="12" t="s">
        <v>65</v>
      </c>
      <c r="D1532" s="12" t="s">
        <v>46</v>
      </c>
      <c r="E1532" s="16" t="n">
        <v>15.196421</v>
      </c>
      <c r="F1532" s="16" t="n">
        <v>0</v>
      </c>
      <c r="G1532" s="16" t="n">
        <v>16.887799</v>
      </c>
    </row>
    <row r="1533" customFormat="false" ht="15" hidden="false" customHeight="false" outlineLevel="0" collapsed="false">
      <c r="A1533" s="7" t="n">
        <v>2013</v>
      </c>
      <c r="B1533" s="12" t="s">
        <v>78</v>
      </c>
      <c r="C1533" s="12" t="s">
        <v>65</v>
      </c>
      <c r="D1533" s="12" t="s">
        <v>45</v>
      </c>
      <c r="E1533" s="16" t="n">
        <v>13.676301</v>
      </c>
      <c r="F1533" s="16" t="n">
        <v>0</v>
      </c>
      <c r="G1533" s="16" t="n">
        <v>8.931553</v>
      </c>
    </row>
    <row r="1534" customFormat="false" ht="15" hidden="false" customHeight="false" outlineLevel="0" collapsed="false">
      <c r="A1534" s="7" t="n">
        <v>2013</v>
      </c>
      <c r="B1534" s="12" t="s">
        <v>79</v>
      </c>
      <c r="C1534" s="12" t="s">
        <v>72</v>
      </c>
      <c r="D1534" s="12" t="s">
        <v>49</v>
      </c>
      <c r="E1534" s="16" t="n">
        <v>193.855932</v>
      </c>
      <c r="F1534" s="16" t="n">
        <v>0</v>
      </c>
      <c r="G1534" s="16" t="n">
        <v>27.300005</v>
      </c>
    </row>
    <row r="1535" customFormat="false" ht="15" hidden="false" customHeight="false" outlineLevel="0" collapsed="false">
      <c r="A1535" s="7" t="n">
        <v>2013</v>
      </c>
      <c r="B1535" s="12" t="s">
        <v>79</v>
      </c>
      <c r="C1535" s="12" t="s">
        <v>72</v>
      </c>
      <c r="D1535" s="12" t="s">
        <v>48</v>
      </c>
      <c r="E1535" s="16" t="n">
        <v>106.54779</v>
      </c>
      <c r="F1535" s="16" t="n">
        <v>0</v>
      </c>
      <c r="G1535" s="16" t="n">
        <v>0</v>
      </c>
    </row>
    <row r="1536" customFormat="false" ht="15" hidden="false" customHeight="false" outlineLevel="0" collapsed="false">
      <c r="A1536" s="7" t="n">
        <v>2013</v>
      </c>
      <c r="B1536" s="12" t="s">
        <v>79</v>
      </c>
      <c r="C1536" s="12" t="s">
        <v>72</v>
      </c>
      <c r="D1536" s="12" t="s">
        <v>46</v>
      </c>
      <c r="E1536" s="16" t="n">
        <v>92.451789</v>
      </c>
      <c r="F1536" s="16" t="n">
        <v>0</v>
      </c>
      <c r="G1536" s="16" t="n">
        <v>98.000086</v>
      </c>
    </row>
    <row r="1537" customFormat="false" ht="15" hidden="false" customHeight="false" outlineLevel="0" collapsed="false">
      <c r="A1537" s="7" t="n">
        <v>2013</v>
      </c>
      <c r="B1537" s="12" t="s">
        <v>79</v>
      </c>
      <c r="C1537" s="12" t="s">
        <v>72</v>
      </c>
      <c r="D1537" s="12" t="s">
        <v>47</v>
      </c>
      <c r="E1537" s="16" t="n">
        <v>4.982872</v>
      </c>
      <c r="F1537" s="16" t="n">
        <v>0</v>
      </c>
      <c r="G1537" s="16" t="n">
        <v>0</v>
      </c>
    </row>
    <row r="1538" customFormat="false" ht="15" hidden="false" customHeight="false" outlineLevel="0" collapsed="false">
      <c r="A1538" s="7" t="n">
        <v>2013</v>
      </c>
      <c r="B1538" s="12" t="s">
        <v>79</v>
      </c>
      <c r="C1538" s="12" t="s">
        <v>72</v>
      </c>
      <c r="D1538" s="12" t="s">
        <v>45</v>
      </c>
      <c r="E1538" s="16" t="n">
        <v>263.488093</v>
      </c>
      <c r="F1538" s="16" t="n">
        <v>259.091024</v>
      </c>
      <c r="G1538" s="16" t="n">
        <v>0</v>
      </c>
    </row>
    <row r="1539" customFormat="false" ht="15" hidden="false" customHeight="false" outlineLevel="0" collapsed="false">
      <c r="A1539" s="7" t="n">
        <v>2013</v>
      </c>
      <c r="B1539" s="12" t="s">
        <v>80</v>
      </c>
      <c r="C1539" s="12" t="s">
        <v>72</v>
      </c>
      <c r="D1539" s="12" t="s">
        <v>49</v>
      </c>
      <c r="E1539" s="16" t="n">
        <v>81.751692</v>
      </c>
      <c r="F1539" s="16" t="n">
        <v>0</v>
      </c>
      <c r="G1539" s="16" t="n">
        <v>20.237056</v>
      </c>
    </row>
    <row r="1540" customFormat="false" ht="15" hidden="false" customHeight="false" outlineLevel="0" collapsed="false">
      <c r="A1540" s="7" t="n">
        <v>2013</v>
      </c>
      <c r="B1540" s="12" t="s">
        <v>80</v>
      </c>
      <c r="C1540" s="12" t="s">
        <v>72</v>
      </c>
      <c r="D1540" s="12" t="s">
        <v>48</v>
      </c>
      <c r="E1540" s="16" t="n">
        <v>30.777653</v>
      </c>
      <c r="F1540" s="16" t="n">
        <v>0</v>
      </c>
      <c r="G1540" s="16" t="n">
        <v>0</v>
      </c>
    </row>
    <row r="1541" customFormat="false" ht="15" hidden="false" customHeight="false" outlineLevel="0" collapsed="false">
      <c r="A1541" s="7" t="n">
        <v>2013</v>
      </c>
      <c r="B1541" s="12" t="s">
        <v>80</v>
      </c>
      <c r="C1541" s="12" t="s">
        <v>72</v>
      </c>
      <c r="D1541" s="12" t="s">
        <v>46</v>
      </c>
      <c r="E1541" s="16" t="n">
        <v>26.106242</v>
      </c>
      <c r="F1541" s="16" t="n">
        <v>0</v>
      </c>
      <c r="G1541" s="16" t="n">
        <v>48.14335</v>
      </c>
    </row>
    <row r="1542" customFormat="false" ht="15" hidden="false" customHeight="false" outlineLevel="0" collapsed="false">
      <c r="A1542" s="7" t="n">
        <v>2013</v>
      </c>
      <c r="B1542" s="12" t="s">
        <v>80</v>
      </c>
      <c r="C1542" s="12" t="s">
        <v>72</v>
      </c>
      <c r="D1542" s="12" t="s">
        <v>47</v>
      </c>
      <c r="E1542" s="16" t="n">
        <v>2.525875</v>
      </c>
      <c r="F1542" s="16" t="n">
        <v>0</v>
      </c>
      <c r="G1542" s="16" t="n">
        <v>0</v>
      </c>
    </row>
    <row r="1543" customFormat="false" ht="15" hidden="false" customHeight="false" outlineLevel="0" collapsed="false">
      <c r="A1543" s="7" t="n">
        <v>2013</v>
      </c>
      <c r="B1543" s="12" t="s">
        <v>80</v>
      </c>
      <c r="C1543" s="12" t="s">
        <v>72</v>
      </c>
      <c r="D1543" s="12" t="s">
        <v>45</v>
      </c>
      <c r="E1543" s="16" t="n">
        <v>119.245633</v>
      </c>
      <c r="F1543" s="16" t="n">
        <v>116.877339</v>
      </c>
      <c r="G1543" s="16" t="n">
        <v>0</v>
      </c>
    </row>
    <row r="1544" customFormat="false" ht="15" hidden="false" customHeight="false" outlineLevel="0" collapsed="false">
      <c r="A1544" s="7" t="n">
        <v>2013</v>
      </c>
      <c r="B1544" s="12" t="s">
        <v>81</v>
      </c>
      <c r="C1544" s="12" t="s">
        <v>72</v>
      </c>
      <c r="D1544" s="12" t="s">
        <v>49</v>
      </c>
      <c r="E1544" s="16" t="n">
        <v>92.912303</v>
      </c>
      <c r="F1544" s="16" t="n">
        <v>0</v>
      </c>
      <c r="G1544" s="16" t="n">
        <v>8.535821</v>
      </c>
    </row>
    <row r="1545" customFormat="false" ht="15" hidden="false" customHeight="false" outlineLevel="0" collapsed="false">
      <c r="A1545" s="7" t="n">
        <v>2013</v>
      </c>
      <c r="B1545" s="12" t="s">
        <v>81</v>
      </c>
      <c r="C1545" s="12" t="s">
        <v>72</v>
      </c>
      <c r="D1545" s="12" t="s">
        <v>48</v>
      </c>
      <c r="E1545" s="16" t="n">
        <v>40.994115</v>
      </c>
      <c r="F1545" s="16" t="n">
        <v>0</v>
      </c>
      <c r="G1545" s="16" t="n">
        <v>0</v>
      </c>
    </row>
    <row r="1546" customFormat="false" ht="15" hidden="false" customHeight="false" outlineLevel="0" collapsed="false">
      <c r="A1546" s="7" t="n">
        <v>2013</v>
      </c>
      <c r="B1546" s="12" t="s">
        <v>81</v>
      </c>
      <c r="C1546" s="12" t="s">
        <v>72</v>
      </c>
      <c r="D1546" s="12" t="s">
        <v>46</v>
      </c>
      <c r="E1546" s="16" t="n">
        <v>46.235827</v>
      </c>
      <c r="F1546" s="16" t="n">
        <v>0</v>
      </c>
      <c r="G1546" s="16" t="n">
        <v>21.316236</v>
      </c>
    </row>
    <row r="1547" customFormat="false" ht="15" hidden="false" customHeight="false" outlineLevel="0" collapsed="false">
      <c r="A1547" s="7" t="n">
        <v>2013</v>
      </c>
      <c r="B1547" s="12" t="s">
        <v>81</v>
      </c>
      <c r="C1547" s="12" t="s">
        <v>72</v>
      </c>
      <c r="D1547" s="12" t="s">
        <v>47</v>
      </c>
      <c r="E1547" s="16" t="n">
        <v>2.410049</v>
      </c>
      <c r="F1547" s="16" t="n">
        <v>0</v>
      </c>
      <c r="G1547" s="16" t="n">
        <v>0</v>
      </c>
    </row>
    <row r="1548" customFormat="false" ht="15" hidden="false" customHeight="false" outlineLevel="0" collapsed="false">
      <c r="A1548" s="7" t="n">
        <v>2013</v>
      </c>
      <c r="B1548" s="12" t="s">
        <v>81</v>
      </c>
      <c r="C1548" s="12" t="s">
        <v>72</v>
      </c>
      <c r="D1548" s="12" t="s">
        <v>45</v>
      </c>
      <c r="E1548" s="16" t="n">
        <v>120.106246</v>
      </c>
      <c r="F1548" s="16" t="n">
        <v>118.375121</v>
      </c>
      <c r="G1548" s="16" t="n">
        <v>0</v>
      </c>
    </row>
    <row r="1549" customFormat="false" ht="15" hidden="false" customHeight="false" outlineLevel="0" collapsed="false">
      <c r="A1549" s="7" t="n">
        <v>2014</v>
      </c>
      <c r="B1549" s="12" t="s">
        <v>56</v>
      </c>
      <c r="C1549" s="12" t="s">
        <v>57</v>
      </c>
      <c r="D1549" s="12" t="s">
        <v>49</v>
      </c>
      <c r="E1549" s="16" t="n">
        <v>80.82073</v>
      </c>
      <c r="F1549" s="16" t="n">
        <v>0</v>
      </c>
      <c r="G1549" s="16" t="n">
        <v>12.099523</v>
      </c>
    </row>
    <row r="1550" customFormat="false" ht="15" hidden="false" customHeight="false" outlineLevel="0" collapsed="false">
      <c r="A1550" s="7" t="n">
        <v>2014</v>
      </c>
      <c r="B1550" s="12" t="s">
        <v>56</v>
      </c>
      <c r="C1550" s="12" t="s">
        <v>57</v>
      </c>
      <c r="D1550" s="12" t="s">
        <v>48</v>
      </c>
      <c r="E1550" s="16" t="n">
        <v>17.514467</v>
      </c>
      <c r="F1550" s="16" t="n">
        <v>0</v>
      </c>
      <c r="G1550" s="16" t="n">
        <v>0</v>
      </c>
    </row>
    <row r="1551" customFormat="false" ht="15" hidden="false" customHeight="false" outlineLevel="0" collapsed="false">
      <c r="A1551" s="7" t="n">
        <v>2014</v>
      </c>
      <c r="B1551" s="12" t="s">
        <v>56</v>
      </c>
      <c r="C1551" s="12" t="s">
        <v>57</v>
      </c>
      <c r="D1551" s="12" t="s">
        <v>46</v>
      </c>
      <c r="E1551" s="16" t="n">
        <v>24.611732</v>
      </c>
      <c r="F1551" s="16" t="n">
        <v>0</v>
      </c>
      <c r="G1551" s="16" t="n">
        <v>17.129159</v>
      </c>
    </row>
    <row r="1552" customFormat="false" ht="15" hidden="false" customHeight="false" outlineLevel="0" collapsed="false">
      <c r="A1552" s="7" t="n">
        <v>2014</v>
      </c>
      <c r="B1552" s="12" t="s">
        <v>56</v>
      </c>
      <c r="C1552" s="12" t="s">
        <v>57</v>
      </c>
      <c r="D1552" s="12" t="s">
        <v>45</v>
      </c>
      <c r="E1552" s="16" t="n">
        <v>64.818347</v>
      </c>
      <c r="F1552" s="16" t="n">
        <v>42.752372</v>
      </c>
      <c r="G1552" s="16" t="n">
        <v>14.096259</v>
      </c>
    </row>
    <row r="1553" customFormat="false" ht="15" hidden="false" customHeight="false" outlineLevel="0" collapsed="false">
      <c r="A1553" s="7" t="n">
        <v>2014</v>
      </c>
      <c r="B1553" s="12" t="s">
        <v>58</v>
      </c>
      <c r="C1553" s="12" t="s">
        <v>59</v>
      </c>
      <c r="D1553" s="12" t="s">
        <v>49</v>
      </c>
      <c r="E1553" s="16" t="n">
        <v>151.672464</v>
      </c>
      <c r="F1553" s="16" t="n">
        <v>0</v>
      </c>
      <c r="G1553" s="16" t="n">
        <v>21.805192</v>
      </c>
    </row>
    <row r="1554" customFormat="false" ht="15" hidden="false" customHeight="false" outlineLevel="0" collapsed="false">
      <c r="A1554" s="7" t="n">
        <v>2014</v>
      </c>
      <c r="B1554" s="12" t="s">
        <v>58</v>
      </c>
      <c r="C1554" s="12" t="s">
        <v>59</v>
      </c>
      <c r="D1554" s="12" t="s">
        <v>48</v>
      </c>
      <c r="E1554" s="16" t="n">
        <v>137.512381</v>
      </c>
      <c r="F1554" s="16" t="n">
        <v>0</v>
      </c>
      <c r="G1554" s="16" t="n">
        <v>0</v>
      </c>
    </row>
    <row r="1555" customFormat="false" ht="15" hidden="false" customHeight="false" outlineLevel="0" collapsed="false">
      <c r="A1555" s="7" t="n">
        <v>2014</v>
      </c>
      <c r="B1555" s="12" t="s">
        <v>58</v>
      </c>
      <c r="C1555" s="12" t="s">
        <v>59</v>
      </c>
      <c r="D1555" s="12" t="s">
        <v>46</v>
      </c>
      <c r="E1555" s="16" t="n">
        <v>224.108831</v>
      </c>
      <c r="F1555" s="16" t="n">
        <v>0</v>
      </c>
      <c r="G1555" s="16" t="n">
        <v>177.76421</v>
      </c>
    </row>
    <row r="1556" customFormat="false" ht="15" hidden="false" customHeight="false" outlineLevel="0" collapsed="false">
      <c r="A1556" s="7" t="n">
        <v>2014</v>
      </c>
      <c r="B1556" s="12" t="s">
        <v>58</v>
      </c>
      <c r="C1556" s="12" t="s">
        <v>59</v>
      </c>
      <c r="D1556" s="12" t="s">
        <v>47</v>
      </c>
      <c r="E1556" s="16" t="n">
        <v>0.845211</v>
      </c>
      <c r="F1556" s="16" t="n">
        <v>0</v>
      </c>
      <c r="G1556" s="16" t="n">
        <v>0</v>
      </c>
    </row>
    <row r="1557" customFormat="false" ht="15" hidden="false" customHeight="false" outlineLevel="0" collapsed="false">
      <c r="A1557" s="7" t="n">
        <v>2014</v>
      </c>
      <c r="B1557" s="12" t="s">
        <v>58</v>
      </c>
      <c r="C1557" s="12" t="s">
        <v>59</v>
      </c>
      <c r="D1557" s="12" t="s">
        <v>45</v>
      </c>
      <c r="E1557" s="16" t="n">
        <v>47.522907</v>
      </c>
      <c r="F1557" s="16" t="n">
        <v>15.025559</v>
      </c>
      <c r="G1557" s="16" t="n">
        <v>22.876632</v>
      </c>
    </row>
    <row r="1558" customFormat="false" ht="15" hidden="false" customHeight="false" outlineLevel="0" collapsed="false">
      <c r="A1558" s="7" t="n">
        <v>2014</v>
      </c>
      <c r="B1558" s="12" t="s">
        <v>60</v>
      </c>
      <c r="C1558" s="12" t="s">
        <v>59</v>
      </c>
      <c r="D1558" s="12" t="s">
        <v>49</v>
      </c>
      <c r="E1558" s="16" t="n">
        <v>426.074751</v>
      </c>
      <c r="F1558" s="16" t="n">
        <v>0</v>
      </c>
      <c r="G1558" s="16" t="n">
        <v>131.946401</v>
      </c>
    </row>
    <row r="1559" customFormat="false" ht="15" hidden="false" customHeight="false" outlineLevel="0" collapsed="false">
      <c r="A1559" s="7" t="n">
        <v>2014</v>
      </c>
      <c r="B1559" s="12" t="s">
        <v>60</v>
      </c>
      <c r="C1559" s="12" t="s">
        <v>59</v>
      </c>
      <c r="D1559" s="12" t="s">
        <v>48</v>
      </c>
      <c r="E1559" s="16" t="n">
        <v>496.534093</v>
      </c>
      <c r="F1559" s="16" t="n">
        <v>0</v>
      </c>
      <c r="G1559" s="16" t="n">
        <v>0</v>
      </c>
    </row>
    <row r="1560" customFormat="false" ht="15" hidden="false" customHeight="false" outlineLevel="0" collapsed="false">
      <c r="A1560" s="7" t="n">
        <v>2014</v>
      </c>
      <c r="B1560" s="12" t="s">
        <v>60</v>
      </c>
      <c r="C1560" s="12" t="s">
        <v>59</v>
      </c>
      <c r="D1560" s="12" t="s">
        <v>46</v>
      </c>
      <c r="E1560" s="16" t="n">
        <v>466.698798</v>
      </c>
      <c r="F1560" s="16" t="n">
        <v>0</v>
      </c>
      <c r="G1560" s="16" t="n">
        <v>372.955891</v>
      </c>
    </row>
    <row r="1561" customFormat="false" ht="15" hidden="false" customHeight="false" outlineLevel="0" collapsed="false">
      <c r="A1561" s="7" t="n">
        <v>2014</v>
      </c>
      <c r="B1561" s="12" t="s">
        <v>60</v>
      </c>
      <c r="C1561" s="12" t="s">
        <v>59</v>
      </c>
      <c r="D1561" s="12" t="s">
        <v>47</v>
      </c>
      <c r="E1561" s="16" t="n">
        <v>2.908638</v>
      </c>
      <c r="F1561" s="16" t="n">
        <v>0</v>
      </c>
      <c r="G1561" s="16" t="n">
        <v>0</v>
      </c>
    </row>
    <row r="1562" customFormat="false" ht="15" hidden="false" customHeight="false" outlineLevel="0" collapsed="false">
      <c r="A1562" s="7" t="n">
        <v>2014</v>
      </c>
      <c r="B1562" s="12" t="s">
        <v>60</v>
      </c>
      <c r="C1562" s="12" t="s">
        <v>59</v>
      </c>
      <c r="D1562" s="12" t="s">
        <v>45</v>
      </c>
      <c r="E1562" s="16" t="n">
        <v>243.867467</v>
      </c>
      <c r="F1562" s="16" t="n">
        <v>6.589611</v>
      </c>
      <c r="G1562" s="16" t="n">
        <v>82.184891</v>
      </c>
    </row>
    <row r="1563" customFormat="false" ht="15" hidden="false" customHeight="false" outlineLevel="0" collapsed="false">
      <c r="A1563" s="7" t="n">
        <v>2014</v>
      </c>
      <c r="B1563" s="12" t="s">
        <v>61</v>
      </c>
      <c r="C1563" s="12" t="s">
        <v>62</v>
      </c>
      <c r="D1563" s="12" t="s">
        <v>49</v>
      </c>
      <c r="E1563" s="16" t="n">
        <v>144.93792</v>
      </c>
      <c r="F1563" s="16" t="n">
        <v>0</v>
      </c>
      <c r="G1563" s="16" t="n">
        <v>66.834281</v>
      </c>
    </row>
    <row r="1564" customFormat="false" ht="15" hidden="false" customHeight="false" outlineLevel="0" collapsed="false">
      <c r="A1564" s="7" t="n">
        <v>2014</v>
      </c>
      <c r="B1564" s="12" t="s">
        <v>61</v>
      </c>
      <c r="C1564" s="12" t="s">
        <v>62</v>
      </c>
      <c r="D1564" s="12" t="s">
        <v>48</v>
      </c>
      <c r="E1564" s="16" t="n">
        <v>189.763012</v>
      </c>
      <c r="F1564" s="16" t="n">
        <v>0</v>
      </c>
      <c r="G1564" s="16" t="n">
        <v>0</v>
      </c>
    </row>
    <row r="1565" customFormat="false" ht="15" hidden="false" customHeight="false" outlineLevel="0" collapsed="false">
      <c r="A1565" s="7" t="n">
        <v>2014</v>
      </c>
      <c r="B1565" s="12" t="s">
        <v>61</v>
      </c>
      <c r="C1565" s="12" t="s">
        <v>62</v>
      </c>
      <c r="D1565" s="12" t="s">
        <v>46</v>
      </c>
      <c r="E1565" s="16" t="n">
        <v>183.777883</v>
      </c>
      <c r="F1565" s="16" t="n">
        <v>0</v>
      </c>
      <c r="G1565" s="16" t="n">
        <v>189.898072</v>
      </c>
    </row>
    <row r="1566" customFormat="false" ht="15" hidden="false" customHeight="false" outlineLevel="0" collapsed="false">
      <c r="A1566" s="7" t="n">
        <v>2014</v>
      </c>
      <c r="B1566" s="12" t="s">
        <v>61</v>
      </c>
      <c r="C1566" s="12" t="s">
        <v>62</v>
      </c>
      <c r="D1566" s="12" t="s">
        <v>47</v>
      </c>
      <c r="E1566" s="16" t="n">
        <v>6.18029</v>
      </c>
      <c r="F1566" s="16" t="n">
        <v>0</v>
      </c>
      <c r="G1566" s="16" t="n">
        <v>0</v>
      </c>
    </row>
    <row r="1567" customFormat="false" ht="15" hidden="false" customHeight="false" outlineLevel="0" collapsed="false">
      <c r="A1567" s="7" t="n">
        <v>2014</v>
      </c>
      <c r="B1567" s="12" t="s">
        <v>61</v>
      </c>
      <c r="C1567" s="12" t="s">
        <v>62</v>
      </c>
      <c r="D1567" s="12" t="s">
        <v>45</v>
      </c>
      <c r="E1567" s="16" t="n">
        <v>337.51367</v>
      </c>
      <c r="F1567" s="16" t="n">
        <v>327.58192</v>
      </c>
      <c r="G1567" s="16" t="n">
        <v>0</v>
      </c>
    </row>
    <row r="1568" customFormat="false" ht="15" hidden="false" customHeight="false" outlineLevel="0" collapsed="false">
      <c r="A1568" s="7" t="n">
        <v>2014</v>
      </c>
      <c r="B1568" s="12" t="s">
        <v>63</v>
      </c>
      <c r="C1568" s="12" t="s">
        <v>62</v>
      </c>
      <c r="D1568" s="12" t="s">
        <v>49</v>
      </c>
      <c r="E1568" s="16" t="n">
        <v>316.622616</v>
      </c>
      <c r="F1568" s="16" t="n">
        <v>0</v>
      </c>
      <c r="G1568" s="16" t="n">
        <v>117.773488</v>
      </c>
    </row>
    <row r="1569" customFormat="false" ht="15" hidden="false" customHeight="false" outlineLevel="0" collapsed="false">
      <c r="A1569" s="7" t="n">
        <v>2014</v>
      </c>
      <c r="B1569" s="12" t="s">
        <v>63</v>
      </c>
      <c r="C1569" s="12" t="s">
        <v>62</v>
      </c>
      <c r="D1569" s="12" t="s">
        <v>48</v>
      </c>
      <c r="E1569" s="16" t="n">
        <v>246.627276</v>
      </c>
      <c r="F1569" s="16" t="n">
        <v>0</v>
      </c>
      <c r="G1569" s="16" t="n">
        <v>0</v>
      </c>
    </row>
    <row r="1570" customFormat="false" ht="15" hidden="false" customHeight="false" outlineLevel="0" collapsed="false">
      <c r="A1570" s="7" t="n">
        <v>2014</v>
      </c>
      <c r="B1570" s="12" t="s">
        <v>63</v>
      </c>
      <c r="C1570" s="12" t="s">
        <v>62</v>
      </c>
      <c r="D1570" s="12" t="s">
        <v>46</v>
      </c>
      <c r="E1570" s="16" t="n">
        <v>292.153134</v>
      </c>
      <c r="F1570" s="16" t="n">
        <v>0</v>
      </c>
      <c r="G1570" s="16" t="n">
        <v>269.369239</v>
      </c>
    </row>
    <row r="1571" customFormat="false" ht="15" hidden="false" customHeight="false" outlineLevel="0" collapsed="false">
      <c r="A1571" s="7" t="n">
        <v>2014</v>
      </c>
      <c r="B1571" s="12" t="s">
        <v>63</v>
      </c>
      <c r="C1571" s="12" t="s">
        <v>62</v>
      </c>
      <c r="D1571" s="12" t="s">
        <v>47</v>
      </c>
      <c r="E1571" s="16" t="n">
        <v>7.713666</v>
      </c>
      <c r="F1571" s="16" t="n">
        <v>0</v>
      </c>
      <c r="G1571" s="16" t="n">
        <v>0</v>
      </c>
    </row>
    <row r="1572" customFormat="false" ht="15" hidden="false" customHeight="false" outlineLevel="0" collapsed="false">
      <c r="A1572" s="7" t="n">
        <v>2014</v>
      </c>
      <c r="B1572" s="12" t="s">
        <v>63</v>
      </c>
      <c r="C1572" s="12" t="s">
        <v>62</v>
      </c>
      <c r="D1572" s="12" t="s">
        <v>45</v>
      </c>
      <c r="E1572" s="16" t="n">
        <v>289.196477</v>
      </c>
      <c r="F1572" s="16" t="n">
        <v>264.500908</v>
      </c>
      <c r="G1572" s="16" t="n">
        <v>1.423406</v>
      </c>
    </row>
    <row r="1573" customFormat="false" ht="15" hidden="false" customHeight="false" outlineLevel="0" collapsed="false">
      <c r="A1573" s="7" t="n">
        <v>2014</v>
      </c>
      <c r="B1573" s="12" t="s">
        <v>64</v>
      </c>
      <c r="C1573" s="12" t="s">
        <v>65</v>
      </c>
      <c r="D1573" s="12" t="s">
        <v>49</v>
      </c>
      <c r="E1573" s="16" t="n">
        <v>155.382561</v>
      </c>
      <c r="F1573" s="16" t="n">
        <v>0</v>
      </c>
      <c r="G1573" s="16" t="n">
        <v>24.063682</v>
      </c>
    </row>
    <row r="1574" customFormat="false" ht="15" hidden="false" customHeight="false" outlineLevel="0" collapsed="false">
      <c r="A1574" s="7" t="n">
        <v>2014</v>
      </c>
      <c r="B1574" s="12" t="s">
        <v>64</v>
      </c>
      <c r="C1574" s="12" t="s">
        <v>65</v>
      </c>
      <c r="D1574" s="12" t="s">
        <v>48</v>
      </c>
      <c r="E1574" s="16" t="n">
        <v>49.347169</v>
      </c>
      <c r="F1574" s="16" t="n">
        <v>0</v>
      </c>
      <c r="G1574" s="16" t="n">
        <v>0</v>
      </c>
    </row>
    <row r="1575" customFormat="false" ht="15" hidden="false" customHeight="false" outlineLevel="0" collapsed="false">
      <c r="A1575" s="7" t="n">
        <v>2014</v>
      </c>
      <c r="B1575" s="12" t="s">
        <v>64</v>
      </c>
      <c r="C1575" s="12" t="s">
        <v>65</v>
      </c>
      <c r="D1575" s="12" t="s">
        <v>46</v>
      </c>
      <c r="E1575" s="16" t="n">
        <v>82.12087</v>
      </c>
      <c r="F1575" s="16" t="n">
        <v>0</v>
      </c>
      <c r="G1575" s="16" t="n">
        <v>75.118257</v>
      </c>
    </row>
    <row r="1576" customFormat="false" ht="15" hidden="false" customHeight="false" outlineLevel="0" collapsed="false">
      <c r="A1576" s="7" t="n">
        <v>2014</v>
      </c>
      <c r="B1576" s="12" t="s">
        <v>64</v>
      </c>
      <c r="C1576" s="12" t="s">
        <v>65</v>
      </c>
      <c r="D1576" s="12" t="s">
        <v>47</v>
      </c>
      <c r="E1576" s="16" t="n">
        <v>6.067063</v>
      </c>
      <c r="F1576" s="16" t="n">
        <v>0</v>
      </c>
      <c r="G1576" s="16" t="n">
        <v>0</v>
      </c>
    </row>
    <row r="1577" customFormat="false" ht="15" hidden="false" customHeight="false" outlineLevel="0" collapsed="false">
      <c r="A1577" s="7" t="n">
        <v>2014</v>
      </c>
      <c r="B1577" s="12" t="s">
        <v>64</v>
      </c>
      <c r="C1577" s="12" t="s">
        <v>65</v>
      </c>
      <c r="D1577" s="12" t="s">
        <v>45</v>
      </c>
      <c r="E1577" s="16" t="n">
        <v>49.650654</v>
      </c>
      <c r="F1577" s="16" t="n">
        <v>21.741901</v>
      </c>
      <c r="G1577" s="16" t="n">
        <v>29.567515</v>
      </c>
    </row>
    <row r="1578" customFormat="false" ht="15" hidden="false" customHeight="false" outlineLevel="0" collapsed="false">
      <c r="A1578" s="7" t="n">
        <v>2014</v>
      </c>
      <c r="B1578" s="12" t="s">
        <v>66</v>
      </c>
      <c r="C1578" s="12" t="s">
        <v>67</v>
      </c>
      <c r="D1578" s="12" t="s">
        <v>49</v>
      </c>
      <c r="E1578" s="16" t="n">
        <v>126.248321</v>
      </c>
      <c r="F1578" s="16" t="n">
        <v>0</v>
      </c>
      <c r="G1578" s="16" t="n">
        <v>21.447493</v>
      </c>
    </row>
    <row r="1579" customFormat="false" ht="15" hidden="false" customHeight="false" outlineLevel="0" collapsed="false">
      <c r="A1579" s="7" t="n">
        <v>2014</v>
      </c>
      <c r="B1579" s="12" t="s">
        <v>66</v>
      </c>
      <c r="C1579" s="12" t="s">
        <v>67</v>
      </c>
      <c r="D1579" s="12" t="s">
        <v>48</v>
      </c>
      <c r="E1579" s="16" t="n">
        <v>30.582594</v>
      </c>
      <c r="F1579" s="16" t="n">
        <v>0</v>
      </c>
      <c r="G1579" s="16" t="n">
        <v>0</v>
      </c>
    </row>
    <row r="1580" customFormat="false" ht="15" hidden="false" customHeight="false" outlineLevel="0" collapsed="false">
      <c r="A1580" s="7" t="n">
        <v>2014</v>
      </c>
      <c r="B1580" s="12" t="s">
        <v>66</v>
      </c>
      <c r="C1580" s="12" t="s">
        <v>67</v>
      </c>
      <c r="D1580" s="12" t="s">
        <v>46</v>
      </c>
      <c r="E1580" s="16" t="n">
        <v>64.522349</v>
      </c>
      <c r="F1580" s="16" t="n">
        <v>0</v>
      </c>
      <c r="G1580" s="16" t="n">
        <v>47.851538</v>
      </c>
    </row>
    <row r="1581" customFormat="false" ht="15" hidden="false" customHeight="false" outlineLevel="0" collapsed="false">
      <c r="A1581" s="7" t="n">
        <v>2014</v>
      </c>
      <c r="B1581" s="12" t="s">
        <v>66</v>
      </c>
      <c r="C1581" s="12" t="s">
        <v>67</v>
      </c>
      <c r="D1581" s="12" t="s">
        <v>47</v>
      </c>
      <c r="E1581" s="16" t="n">
        <v>4.280922</v>
      </c>
      <c r="F1581" s="16" t="n">
        <v>0</v>
      </c>
      <c r="G1581" s="16" t="n">
        <v>0</v>
      </c>
    </row>
    <row r="1582" customFormat="false" ht="15" hidden="false" customHeight="false" outlineLevel="0" collapsed="false">
      <c r="A1582" s="7" t="n">
        <v>2014</v>
      </c>
      <c r="B1582" s="12" t="s">
        <v>66</v>
      </c>
      <c r="C1582" s="12" t="s">
        <v>67</v>
      </c>
      <c r="D1582" s="12" t="s">
        <v>45</v>
      </c>
      <c r="E1582" s="16" t="n">
        <v>83.059132</v>
      </c>
      <c r="F1582" s="16" t="n">
        <v>51.257771</v>
      </c>
      <c r="G1582" s="16" t="n">
        <v>22.62942</v>
      </c>
    </row>
    <row r="1583" customFormat="false" ht="15" hidden="false" customHeight="false" outlineLevel="0" collapsed="false">
      <c r="A1583" s="7" t="n">
        <v>2014</v>
      </c>
      <c r="B1583" s="12" t="s">
        <v>68</v>
      </c>
      <c r="C1583" s="12" t="s">
        <v>65</v>
      </c>
      <c r="D1583" s="12" t="s">
        <v>49</v>
      </c>
      <c r="E1583" s="16" t="n">
        <v>125.982023</v>
      </c>
      <c r="F1583" s="16" t="n">
        <v>0</v>
      </c>
      <c r="G1583" s="16" t="n">
        <v>15.33616</v>
      </c>
    </row>
    <row r="1584" customFormat="false" ht="15" hidden="false" customHeight="false" outlineLevel="0" collapsed="false">
      <c r="A1584" s="7" t="n">
        <v>2014</v>
      </c>
      <c r="B1584" s="12" t="s">
        <v>68</v>
      </c>
      <c r="C1584" s="12" t="s">
        <v>65</v>
      </c>
      <c r="D1584" s="12" t="s">
        <v>48</v>
      </c>
      <c r="E1584" s="16" t="n">
        <v>23.362306</v>
      </c>
      <c r="F1584" s="16" t="n">
        <v>0</v>
      </c>
      <c r="G1584" s="16" t="n">
        <v>0</v>
      </c>
    </row>
    <row r="1585" customFormat="false" ht="15" hidden="false" customHeight="false" outlineLevel="0" collapsed="false">
      <c r="A1585" s="7" t="n">
        <v>2014</v>
      </c>
      <c r="B1585" s="12" t="s">
        <v>68</v>
      </c>
      <c r="C1585" s="12" t="s">
        <v>65</v>
      </c>
      <c r="D1585" s="12" t="s">
        <v>46</v>
      </c>
      <c r="E1585" s="16" t="n">
        <v>37.732716</v>
      </c>
      <c r="F1585" s="16" t="n">
        <v>0</v>
      </c>
      <c r="G1585" s="16" t="n">
        <v>66.396953</v>
      </c>
    </row>
    <row r="1586" customFormat="false" ht="15" hidden="false" customHeight="false" outlineLevel="0" collapsed="false">
      <c r="A1586" s="7" t="n">
        <v>2014</v>
      </c>
      <c r="B1586" s="12" t="s">
        <v>68</v>
      </c>
      <c r="C1586" s="12" t="s">
        <v>65</v>
      </c>
      <c r="D1586" s="12" t="s">
        <v>47</v>
      </c>
      <c r="E1586" s="16" t="n">
        <v>0.162297</v>
      </c>
      <c r="F1586" s="16" t="n">
        <v>0</v>
      </c>
      <c r="G1586" s="16" t="n">
        <v>0</v>
      </c>
    </row>
    <row r="1587" customFormat="false" ht="15" hidden="false" customHeight="false" outlineLevel="0" collapsed="false">
      <c r="A1587" s="7" t="n">
        <v>2014</v>
      </c>
      <c r="B1587" s="12" t="s">
        <v>68</v>
      </c>
      <c r="C1587" s="12" t="s">
        <v>65</v>
      </c>
      <c r="D1587" s="12" t="s">
        <v>45</v>
      </c>
      <c r="E1587" s="16" t="n">
        <v>11.608456</v>
      </c>
      <c r="F1587" s="16" t="n">
        <v>3.424872</v>
      </c>
      <c r="G1587" s="16" t="n">
        <v>6.355841</v>
      </c>
    </row>
    <row r="1588" customFormat="false" ht="15" hidden="false" customHeight="false" outlineLevel="0" collapsed="false">
      <c r="A1588" s="7" t="n">
        <v>2014</v>
      </c>
      <c r="B1588" s="12" t="s">
        <v>69</v>
      </c>
      <c r="C1588" s="12" t="s">
        <v>70</v>
      </c>
      <c r="D1588" s="12" t="s">
        <v>49</v>
      </c>
      <c r="E1588" s="16" t="n">
        <v>97.903651</v>
      </c>
      <c r="F1588" s="16" t="n">
        <v>0</v>
      </c>
      <c r="G1588" s="16" t="n">
        <v>23.852401</v>
      </c>
    </row>
    <row r="1589" customFormat="false" ht="15" hidden="false" customHeight="false" outlineLevel="0" collapsed="false">
      <c r="A1589" s="7" t="n">
        <v>2014</v>
      </c>
      <c r="B1589" s="12" t="s">
        <v>69</v>
      </c>
      <c r="C1589" s="12" t="s">
        <v>70</v>
      </c>
      <c r="D1589" s="12" t="s">
        <v>48</v>
      </c>
      <c r="E1589" s="16" t="n">
        <v>65.220141</v>
      </c>
      <c r="F1589" s="16" t="n">
        <v>0</v>
      </c>
      <c r="G1589" s="16" t="n">
        <v>0</v>
      </c>
    </row>
    <row r="1590" customFormat="false" ht="15" hidden="false" customHeight="false" outlineLevel="0" collapsed="false">
      <c r="A1590" s="7" t="n">
        <v>2014</v>
      </c>
      <c r="B1590" s="12" t="s">
        <v>69</v>
      </c>
      <c r="C1590" s="12" t="s">
        <v>70</v>
      </c>
      <c r="D1590" s="12" t="s">
        <v>46</v>
      </c>
      <c r="E1590" s="16" t="n">
        <v>33.406898</v>
      </c>
      <c r="F1590" s="16" t="n">
        <v>0</v>
      </c>
      <c r="G1590" s="16" t="n">
        <v>57.74664</v>
      </c>
    </row>
    <row r="1591" customFormat="false" ht="15" hidden="false" customHeight="false" outlineLevel="0" collapsed="false">
      <c r="A1591" s="7" t="n">
        <v>2014</v>
      </c>
      <c r="B1591" s="12" t="s">
        <v>69</v>
      </c>
      <c r="C1591" s="12" t="s">
        <v>70</v>
      </c>
      <c r="D1591" s="12" t="s">
        <v>47</v>
      </c>
      <c r="E1591" s="16" t="n">
        <v>2.565661</v>
      </c>
      <c r="F1591" s="16" t="n">
        <v>0</v>
      </c>
      <c r="G1591" s="16" t="n">
        <v>0</v>
      </c>
    </row>
    <row r="1592" customFormat="false" ht="15" hidden="false" customHeight="false" outlineLevel="0" collapsed="false">
      <c r="A1592" s="7" t="n">
        <v>2014</v>
      </c>
      <c r="B1592" s="12" t="s">
        <v>69</v>
      </c>
      <c r="C1592" s="12" t="s">
        <v>70</v>
      </c>
      <c r="D1592" s="12" t="s">
        <v>45</v>
      </c>
      <c r="E1592" s="16" t="n">
        <v>326.344573</v>
      </c>
      <c r="F1592" s="16" t="n">
        <v>323.342698</v>
      </c>
      <c r="G1592" s="16" t="n">
        <v>0</v>
      </c>
    </row>
    <row r="1593" customFormat="false" ht="15" hidden="false" customHeight="false" outlineLevel="0" collapsed="false">
      <c r="A1593" s="7" t="n">
        <v>2014</v>
      </c>
      <c r="B1593" s="12" t="s">
        <v>71</v>
      </c>
      <c r="C1593" s="12" t="s">
        <v>72</v>
      </c>
      <c r="D1593" s="12" t="s">
        <v>49</v>
      </c>
      <c r="E1593" s="16" t="n">
        <v>32.876393</v>
      </c>
      <c r="F1593" s="16" t="n">
        <v>0</v>
      </c>
      <c r="G1593" s="16" t="n">
        <v>2.309857</v>
      </c>
    </row>
    <row r="1594" customFormat="false" ht="15" hidden="false" customHeight="false" outlineLevel="0" collapsed="false">
      <c r="A1594" s="7" t="n">
        <v>2014</v>
      </c>
      <c r="B1594" s="12" t="s">
        <v>71</v>
      </c>
      <c r="C1594" s="12" t="s">
        <v>72</v>
      </c>
      <c r="D1594" s="12" t="s">
        <v>48</v>
      </c>
      <c r="E1594" s="16" t="n">
        <v>14.726439</v>
      </c>
      <c r="F1594" s="16" t="n">
        <v>0</v>
      </c>
      <c r="G1594" s="16" t="n">
        <v>0</v>
      </c>
    </row>
    <row r="1595" customFormat="false" ht="15" hidden="false" customHeight="false" outlineLevel="0" collapsed="false">
      <c r="A1595" s="7" t="n">
        <v>2014</v>
      </c>
      <c r="B1595" s="12" t="s">
        <v>71</v>
      </c>
      <c r="C1595" s="12" t="s">
        <v>72</v>
      </c>
      <c r="D1595" s="12" t="s">
        <v>46</v>
      </c>
      <c r="E1595" s="16" t="n">
        <v>14.098925</v>
      </c>
      <c r="F1595" s="16" t="n">
        <v>0</v>
      </c>
      <c r="G1595" s="16" t="n">
        <v>12.865445</v>
      </c>
    </row>
    <row r="1596" customFormat="false" ht="15" hidden="false" customHeight="false" outlineLevel="0" collapsed="false">
      <c r="A1596" s="7" t="n">
        <v>2014</v>
      </c>
      <c r="B1596" s="12" t="s">
        <v>71</v>
      </c>
      <c r="C1596" s="12" t="s">
        <v>72</v>
      </c>
      <c r="D1596" s="12" t="s">
        <v>47</v>
      </c>
      <c r="E1596" s="16" t="n">
        <v>0.475041</v>
      </c>
      <c r="F1596" s="16" t="n">
        <v>0</v>
      </c>
      <c r="G1596" s="16" t="n">
        <v>0</v>
      </c>
    </row>
    <row r="1597" customFormat="false" ht="15" hidden="false" customHeight="false" outlineLevel="0" collapsed="false">
      <c r="A1597" s="7" t="n">
        <v>2014</v>
      </c>
      <c r="B1597" s="12" t="s">
        <v>71</v>
      </c>
      <c r="C1597" s="12" t="s">
        <v>72</v>
      </c>
      <c r="D1597" s="12" t="s">
        <v>45</v>
      </c>
      <c r="E1597" s="16" t="n">
        <v>33.145982</v>
      </c>
      <c r="F1597" s="16" t="n">
        <v>33.167496</v>
      </c>
      <c r="G1597" s="16" t="n">
        <v>0</v>
      </c>
    </row>
    <row r="1598" customFormat="false" ht="15" hidden="false" customHeight="false" outlineLevel="0" collapsed="false">
      <c r="A1598" s="7" t="n">
        <v>2014</v>
      </c>
      <c r="B1598" s="12" t="s">
        <v>73</v>
      </c>
      <c r="C1598" s="12" t="s">
        <v>70</v>
      </c>
      <c r="D1598" s="12" t="s">
        <v>49</v>
      </c>
      <c r="E1598" s="16" t="n">
        <v>72.944764</v>
      </c>
      <c r="F1598" s="16" t="n">
        <v>0</v>
      </c>
      <c r="G1598" s="16" t="n">
        <v>17.638697</v>
      </c>
    </row>
    <row r="1599" customFormat="false" ht="15" hidden="false" customHeight="false" outlineLevel="0" collapsed="false">
      <c r="A1599" s="7" t="n">
        <v>2014</v>
      </c>
      <c r="B1599" s="12" t="s">
        <v>73</v>
      </c>
      <c r="C1599" s="12" t="s">
        <v>70</v>
      </c>
      <c r="D1599" s="12" t="s">
        <v>48</v>
      </c>
      <c r="E1599" s="16" t="n">
        <v>110.720709</v>
      </c>
      <c r="F1599" s="16" t="n">
        <v>0</v>
      </c>
      <c r="G1599" s="16" t="n">
        <v>0</v>
      </c>
    </row>
    <row r="1600" customFormat="false" ht="15" hidden="false" customHeight="false" outlineLevel="0" collapsed="false">
      <c r="A1600" s="7" t="n">
        <v>2014</v>
      </c>
      <c r="B1600" s="12" t="s">
        <v>73</v>
      </c>
      <c r="C1600" s="12" t="s">
        <v>70</v>
      </c>
      <c r="D1600" s="12" t="s">
        <v>46</v>
      </c>
      <c r="E1600" s="16" t="n">
        <v>92.165068</v>
      </c>
      <c r="F1600" s="16" t="n">
        <v>0</v>
      </c>
      <c r="G1600" s="16" t="n">
        <v>61.024339</v>
      </c>
    </row>
    <row r="1601" customFormat="false" ht="15" hidden="false" customHeight="false" outlineLevel="0" collapsed="false">
      <c r="A1601" s="7" t="n">
        <v>2014</v>
      </c>
      <c r="B1601" s="12" t="s">
        <v>73</v>
      </c>
      <c r="C1601" s="12" t="s">
        <v>70</v>
      </c>
      <c r="D1601" s="12" t="s">
        <v>47</v>
      </c>
      <c r="E1601" s="16" t="n">
        <v>4.463706</v>
      </c>
      <c r="F1601" s="16" t="n">
        <v>0</v>
      </c>
      <c r="G1601" s="16" t="n">
        <v>0</v>
      </c>
    </row>
    <row r="1602" customFormat="false" ht="15" hidden="false" customHeight="false" outlineLevel="0" collapsed="false">
      <c r="A1602" s="7" t="n">
        <v>2014</v>
      </c>
      <c r="B1602" s="12" t="s">
        <v>73</v>
      </c>
      <c r="C1602" s="12" t="s">
        <v>70</v>
      </c>
      <c r="D1602" s="12" t="s">
        <v>45</v>
      </c>
      <c r="E1602" s="16" t="n">
        <v>53.065012</v>
      </c>
      <c r="F1602" s="16" t="n">
        <v>32.914971</v>
      </c>
      <c r="G1602" s="16" t="n">
        <v>20.513654</v>
      </c>
    </row>
    <row r="1603" customFormat="false" ht="15" hidden="false" customHeight="false" outlineLevel="0" collapsed="false">
      <c r="A1603" s="7" t="n">
        <v>2014</v>
      </c>
      <c r="B1603" s="12" t="s">
        <v>74</v>
      </c>
      <c r="C1603" s="12" t="s">
        <v>65</v>
      </c>
      <c r="D1603" s="12" t="s">
        <v>49</v>
      </c>
      <c r="E1603" s="16" t="n">
        <v>202.803802</v>
      </c>
      <c r="F1603" s="16" t="n">
        <v>0</v>
      </c>
      <c r="G1603" s="16" t="n">
        <v>48.367029</v>
      </c>
    </row>
    <row r="1604" customFormat="false" ht="15" hidden="false" customHeight="false" outlineLevel="0" collapsed="false">
      <c r="A1604" s="7" t="n">
        <v>2014</v>
      </c>
      <c r="B1604" s="12" t="s">
        <v>74</v>
      </c>
      <c r="C1604" s="12" t="s">
        <v>65</v>
      </c>
      <c r="D1604" s="12" t="s">
        <v>48</v>
      </c>
      <c r="E1604" s="16" t="n">
        <v>21.8175</v>
      </c>
      <c r="F1604" s="16" t="n">
        <v>0</v>
      </c>
      <c r="G1604" s="16" t="n">
        <v>0</v>
      </c>
    </row>
    <row r="1605" customFormat="false" ht="15" hidden="false" customHeight="false" outlineLevel="0" collapsed="false">
      <c r="A1605" s="7" t="n">
        <v>2014</v>
      </c>
      <c r="B1605" s="12" t="s">
        <v>74</v>
      </c>
      <c r="C1605" s="12" t="s">
        <v>65</v>
      </c>
      <c r="D1605" s="12" t="s">
        <v>46</v>
      </c>
      <c r="E1605" s="16" t="n">
        <v>43.587581</v>
      </c>
      <c r="F1605" s="16" t="n">
        <v>0</v>
      </c>
      <c r="G1605" s="16" t="n">
        <v>43.817808</v>
      </c>
    </row>
    <row r="1606" customFormat="false" ht="15" hidden="false" customHeight="false" outlineLevel="0" collapsed="false">
      <c r="A1606" s="7" t="n">
        <v>2014</v>
      </c>
      <c r="B1606" s="12" t="s">
        <v>74</v>
      </c>
      <c r="C1606" s="12" t="s">
        <v>65</v>
      </c>
      <c r="D1606" s="12" t="s">
        <v>47</v>
      </c>
      <c r="E1606" s="16" t="n">
        <v>5.166033</v>
      </c>
      <c r="F1606" s="16" t="n">
        <v>0</v>
      </c>
      <c r="G1606" s="16" t="n">
        <v>0</v>
      </c>
    </row>
    <row r="1607" customFormat="false" ht="15" hidden="false" customHeight="false" outlineLevel="0" collapsed="false">
      <c r="A1607" s="7" t="n">
        <v>2014</v>
      </c>
      <c r="B1607" s="12" t="s">
        <v>74</v>
      </c>
      <c r="C1607" s="12" t="s">
        <v>65</v>
      </c>
      <c r="D1607" s="12" t="s">
        <v>45</v>
      </c>
      <c r="E1607" s="16" t="n">
        <v>31.374391</v>
      </c>
      <c r="F1607" s="16" t="n">
        <v>0</v>
      </c>
      <c r="G1607" s="16" t="n">
        <v>22.705469</v>
      </c>
    </row>
    <row r="1608" customFormat="false" ht="15" hidden="false" customHeight="false" outlineLevel="0" collapsed="false">
      <c r="A1608" s="7" t="n">
        <v>2014</v>
      </c>
      <c r="B1608" s="12" t="s">
        <v>75</v>
      </c>
      <c r="C1608" s="12" t="s">
        <v>57</v>
      </c>
      <c r="D1608" s="12" t="s">
        <v>49</v>
      </c>
      <c r="E1608" s="16" t="n">
        <v>257.214113</v>
      </c>
      <c r="F1608" s="16" t="n">
        <v>0</v>
      </c>
      <c r="G1608" s="16" t="n">
        <v>63.332463</v>
      </c>
    </row>
    <row r="1609" customFormat="false" ht="15" hidden="false" customHeight="false" outlineLevel="0" collapsed="false">
      <c r="A1609" s="7" t="n">
        <v>2014</v>
      </c>
      <c r="B1609" s="12" t="s">
        <v>75</v>
      </c>
      <c r="C1609" s="12" t="s">
        <v>57</v>
      </c>
      <c r="D1609" s="12" t="s">
        <v>48</v>
      </c>
      <c r="E1609" s="16" t="n">
        <v>182.136156</v>
      </c>
      <c r="F1609" s="16" t="n">
        <v>0</v>
      </c>
      <c r="G1609" s="16" t="n">
        <v>0</v>
      </c>
    </row>
    <row r="1610" customFormat="false" ht="15" hidden="false" customHeight="false" outlineLevel="0" collapsed="false">
      <c r="A1610" s="7" t="n">
        <v>2014</v>
      </c>
      <c r="B1610" s="12" t="s">
        <v>75</v>
      </c>
      <c r="C1610" s="12" t="s">
        <v>57</v>
      </c>
      <c r="D1610" s="12" t="s">
        <v>46</v>
      </c>
      <c r="E1610" s="16" t="n">
        <v>117.777814</v>
      </c>
      <c r="F1610" s="16" t="n">
        <v>0</v>
      </c>
      <c r="G1610" s="16" t="n">
        <v>98.010454</v>
      </c>
    </row>
    <row r="1611" customFormat="false" ht="15" hidden="false" customHeight="false" outlineLevel="0" collapsed="false">
      <c r="A1611" s="7" t="n">
        <v>2014</v>
      </c>
      <c r="B1611" s="12" t="s">
        <v>75</v>
      </c>
      <c r="C1611" s="12" t="s">
        <v>57</v>
      </c>
      <c r="D1611" s="12" t="s">
        <v>47</v>
      </c>
      <c r="E1611" s="16" t="n">
        <v>8.537018</v>
      </c>
      <c r="F1611" s="16" t="n">
        <v>0</v>
      </c>
      <c r="G1611" s="16" t="n">
        <v>0</v>
      </c>
    </row>
    <row r="1612" customFormat="false" ht="15" hidden="false" customHeight="false" outlineLevel="0" collapsed="false">
      <c r="A1612" s="7" t="n">
        <v>2014</v>
      </c>
      <c r="B1612" s="12" t="s">
        <v>75</v>
      </c>
      <c r="C1612" s="12" t="s">
        <v>57</v>
      </c>
      <c r="D1612" s="12" t="s">
        <v>45</v>
      </c>
      <c r="E1612" s="16" t="n">
        <v>272.848482</v>
      </c>
      <c r="F1612" s="16" t="n">
        <v>145.642831</v>
      </c>
      <c r="G1612" s="16" t="n">
        <v>49.478418</v>
      </c>
    </row>
    <row r="1613" customFormat="false" ht="15" hidden="false" customHeight="false" outlineLevel="0" collapsed="false">
      <c r="A1613" s="7" t="n">
        <v>2014</v>
      </c>
      <c r="B1613" s="12" t="s">
        <v>76</v>
      </c>
      <c r="C1613" s="12" t="s">
        <v>72</v>
      </c>
      <c r="D1613" s="12" t="s">
        <v>49</v>
      </c>
      <c r="E1613" s="16" t="n">
        <v>41.793565</v>
      </c>
      <c r="F1613" s="16" t="n">
        <v>0</v>
      </c>
      <c r="G1613" s="16" t="n">
        <v>8.513059</v>
      </c>
    </row>
    <row r="1614" customFormat="false" ht="15" hidden="false" customHeight="false" outlineLevel="0" collapsed="false">
      <c r="A1614" s="7" t="n">
        <v>2014</v>
      </c>
      <c r="B1614" s="12" t="s">
        <v>76</v>
      </c>
      <c r="C1614" s="12" t="s">
        <v>72</v>
      </c>
      <c r="D1614" s="12" t="s">
        <v>48</v>
      </c>
      <c r="E1614" s="16" t="n">
        <v>21.598463</v>
      </c>
      <c r="F1614" s="16" t="n">
        <v>0</v>
      </c>
      <c r="G1614" s="16" t="n">
        <v>0</v>
      </c>
    </row>
    <row r="1615" customFormat="false" ht="15" hidden="false" customHeight="false" outlineLevel="0" collapsed="false">
      <c r="A1615" s="7" t="n">
        <v>2014</v>
      </c>
      <c r="B1615" s="12" t="s">
        <v>76</v>
      </c>
      <c r="C1615" s="12" t="s">
        <v>72</v>
      </c>
      <c r="D1615" s="12" t="s">
        <v>46</v>
      </c>
      <c r="E1615" s="16" t="n">
        <v>24.835995</v>
      </c>
      <c r="F1615" s="16" t="n">
        <v>0</v>
      </c>
      <c r="G1615" s="16" t="n">
        <v>25.675121</v>
      </c>
    </row>
    <row r="1616" customFormat="false" ht="15" hidden="false" customHeight="false" outlineLevel="0" collapsed="false">
      <c r="A1616" s="7" t="n">
        <v>2014</v>
      </c>
      <c r="B1616" s="12" t="s">
        <v>76</v>
      </c>
      <c r="C1616" s="12" t="s">
        <v>72</v>
      </c>
      <c r="D1616" s="12" t="s">
        <v>45</v>
      </c>
      <c r="E1616" s="16" t="n">
        <v>58.765497</v>
      </c>
      <c r="F1616" s="16" t="n">
        <v>0</v>
      </c>
      <c r="G1616" s="16" t="n">
        <v>17.704882</v>
      </c>
    </row>
    <row r="1617" customFormat="false" ht="15" hidden="false" customHeight="false" outlineLevel="0" collapsed="false">
      <c r="A1617" s="7" t="n">
        <v>2014</v>
      </c>
      <c r="B1617" s="12" t="s">
        <v>77</v>
      </c>
      <c r="C1617" s="12" t="s">
        <v>57</v>
      </c>
      <c r="D1617" s="12" t="s">
        <v>49</v>
      </c>
      <c r="E1617" s="16" t="n">
        <v>41.787093</v>
      </c>
      <c r="F1617" s="16" t="n">
        <v>0</v>
      </c>
      <c r="G1617" s="16" t="n">
        <v>4.011649</v>
      </c>
    </row>
    <row r="1618" customFormat="false" ht="15" hidden="false" customHeight="false" outlineLevel="0" collapsed="false">
      <c r="A1618" s="7" t="n">
        <v>2014</v>
      </c>
      <c r="B1618" s="12" t="s">
        <v>77</v>
      </c>
      <c r="C1618" s="12" t="s">
        <v>57</v>
      </c>
      <c r="D1618" s="12" t="s">
        <v>48</v>
      </c>
      <c r="E1618" s="16" t="n">
        <v>21.879761</v>
      </c>
      <c r="F1618" s="16" t="n">
        <v>0</v>
      </c>
      <c r="G1618" s="16" t="n">
        <v>0</v>
      </c>
    </row>
    <row r="1619" customFormat="false" ht="15" hidden="false" customHeight="false" outlineLevel="0" collapsed="false">
      <c r="A1619" s="7" t="n">
        <v>2014</v>
      </c>
      <c r="B1619" s="12" t="s">
        <v>77</v>
      </c>
      <c r="C1619" s="12" t="s">
        <v>57</v>
      </c>
      <c r="D1619" s="12" t="s">
        <v>46</v>
      </c>
      <c r="E1619" s="16" t="n">
        <v>16.511225</v>
      </c>
      <c r="F1619" s="16" t="n">
        <v>0</v>
      </c>
      <c r="G1619" s="16" t="n">
        <v>10.437274</v>
      </c>
    </row>
    <row r="1620" customFormat="false" ht="15" hidden="false" customHeight="false" outlineLevel="0" collapsed="false">
      <c r="A1620" s="7" t="n">
        <v>2014</v>
      </c>
      <c r="B1620" s="12" t="s">
        <v>77</v>
      </c>
      <c r="C1620" s="12" t="s">
        <v>57</v>
      </c>
      <c r="D1620" s="12" t="s">
        <v>47</v>
      </c>
      <c r="E1620" s="16" t="n">
        <v>1.482601</v>
      </c>
      <c r="F1620" s="16" t="n">
        <v>0</v>
      </c>
      <c r="G1620" s="16" t="n">
        <v>0</v>
      </c>
    </row>
    <row r="1621" customFormat="false" ht="15" hidden="false" customHeight="false" outlineLevel="0" collapsed="false">
      <c r="A1621" s="7" t="n">
        <v>2014</v>
      </c>
      <c r="B1621" s="12" t="s">
        <v>77</v>
      </c>
      <c r="C1621" s="12" t="s">
        <v>57</v>
      </c>
      <c r="D1621" s="12" t="s">
        <v>45</v>
      </c>
      <c r="E1621" s="16" t="n">
        <v>23.816745</v>
      </c>
      <c r="F1621" s="16" t="n">
        <v>13.428393</v>
      </c>
      <c r="G1621" s="16" t="n">
        <v>5.283461</v>
      </c>
    </row>
    <row r="1622" customFormat="false" ht="15" hidden="false" customHeight="false" outlineLevel="0" collapsed="false">
      <c r="A1622" s="7" t="n">
        <v>2014</v>
      </c>
      <c r="B1622" s="12" t="s">
        <v>78</v>
      </c>
      <c r="C1622" s="12" t="s">
        <v>65</v>
      </c>
      <c r="D1622" s="12" t="s">
        <v>49</v>
      </c>
      <c r="E1622" s="16" t="n">
        <v>39.876027</v>
      </c>
      <c r="F1622" s="16" t="n">
        <v>0</v>
      </c>
      <c r="G1622" s="16" t="n">
        <v>2.339363</v>
      </c>
    </row>
    <row r="1623" customFormat="false" ht="15" hidden="false" customHeight="false" outlineLevel="0" collapsed="false">
      <c r="A1623" s="7" t="n">
        <v>2014</v>
      </c>
      <c r="B1623" s="12" t="s">
        <v>78</v>
      </c>
      <c r="C1623" s="12" t="s">
        <v>65</v>
      </c>
      <c r="D1623" s="12" t="s">
        <v>48</v>
      </c>
      <c r="E1623" s="16" t="n">
        <v>18.699391</v>
      </c>
      <c r="F1623" s="16" t="n">
        <v>0</v>
      </c>
      <c r="G1623" s="16" t="n">
        <v>0</v>
      </c>
    </row>
    <row r="1624" customFormat="false" ht="15" hidden="false" customHeight="false" outlineLevel="0" collapsed="false">
      <c r="A1624" s="7" t="n">
        <v>2014</v>
      </c>
      <c r="B1624" s="12" t="s">
        <v>78</v>
      </c>
      <c r="C1624" s="12" t="s">
        <v>65</v>
      </c>
      <c r="D1624" s="12" t="s">
        <v>46</v>
      </c>
      <c r="E1624" s="16" t="n">
        <v>15.880729</v>
      </c>
      <c r="F1624" s="16" t="n">
        <v>0</v>
      </c>
      <c r="G1624" s="16" t="n">
        <v>17.569106</v>
      </c>
    </row>
    <row r="1625" customFormat="false" ht="15" hidden="false" customHeight="false" outlineLevel="0" collapsed="false">
      <c r="A1625" s="7" t="n">
        <v>2014</v>
      </c>
      <c r="B1625" s="12" t="s">
        <v>78</v>
      </c>
      <c r="C1625" s="12" t="s">
        <v>65</v>
      </c>
      <c r="D1625" s="12" t="s">
        <v>45</v>
      </c>
      <c r="E1625" s="16" t="n">
        <v>15.565796</v>
      </c>
      <c r="F1625" s="16" t="n">
        <v>0</v>
      </c>
      <c r="G1625" s="16" t="n">
        <v>9.23284</v>
      </c>
    </row>
    <row r="1626" customFormat="false" ht="15" hidden="false" customHeight="false" outlineLevel="0" collapsed="false">
      <c r="A1626" s="7" t="n">
        <v>2014</v>
      </c>
      <c r="B1626" s="12" t="s">
        <v>79</v>
      </c>
      <c r="C1626" s="12" t="s">
        <v>72</v>
      </c>
      <c r="D1626" s="12" t="s">
        <v>49</v>
      </c>
      <c r="E1626" s="16" t="n">
        <v>165.74756</v>
      </c>
      <c r="F1626" s="16" t="n">
        <v>0</v>
      </c>
      <c r="G1626" s="16" t="n">
        <v>25.380077</v>
      </c>
    </row>
    <row r="1627" customFormat="false" ht="15" hidden="false" customHeight="false" outlineLevel="0" collapsed="false">
      <c r="A1627" s="7" t="n">
        <v>2014</v>
      </c>
      <c r="B1627" s="12" t="s">
        <v>79</v>
      </c>
      <c r="C1627" s="12" t="s">
        <v>72</v>
      </c>
      <c r="D1627" s="12" t="s">
        <v>48</v>
      </c>
      <c r="E1627" s="16" t="n">
        <v>104.541585</v>
      </c>
      <c r="F1627" s="16" t="n">
        <v>0</v>
      </c>
      <c r="G1627" s="16" t="n">
        <v>0</v>
      </c>
    </row>
    <row r="1628" customFormat="false" ht="15" hidden="false" customHeight="false" outlineLevel="0" collapsed="false">
      <c r="A1628" s="7" t="n">
        <v>2014</v>
      </c>
      <c r="B1628" s="12" t="s">
        <v>79</v>
      </c>
      <c r="C1628" s="12" t="s">
        <v>72</v>
      </c>
      <c r="D1628" s="12" t="s">
        <v>46</v>
      </c>
      <c r="E1628" s="16" t="n">
        <v>80.130744</v>
      </c>
      <c r="F1628" s="16" t="n">
        <v>0</v>
      </c>
      <c r="G1628" s="16" t="n">
        <v>102.234096</v>
      </c>
    </row>
    <row r="1629" customFormat="false" ht="15" hidden="false" customHeight="false" outlineLevel="0" collapsed="false">
      <c r="A1629" s="7" t="n">
        <v>2014</v>
      </c>
      <c r="B1629" s="12" t="s">
        <v>79</v>
      </c>
      <c r="C1629" s="12" t="s">
        <v>72</v>
      </c>
      <c r="D1629" s="12" t="s">
        <v>47</v>
      </c>
      <c r="E1629" s="16" t="n">
        <v>5.289756</v>
      </c>
      <c r="F1629" s="16" t="n">
        <v>0</v>
      </c>
      <c r="G1629" s="16" t="n">
        <v>0</v>
      </c>
    </row>
    <row r="1630" customFormat="false" ht="15" hidden="false" customHeight="false" outlineLevel="0" collapsed="false">
      <c r="A1630" s="7" t="n">
        <v>2014</v>
      </c>
      <c r="B1630" s="12" t="s">
        <v>79</v>
      </c>
      <c r="C1630" s="12" t="s">
        <v>72</v>
      </c>
      <c r="D1630" s="12" t="s">
        <v>45</v>
      </c>
      <c r="E1630" s="16" t="n">
        <v>275.927071</v>
      </c>
      <c r="F1630" s="16" t="n">
        <v>271.729751</v>
      </c>
      <c r="G1630" s="16" t="n">
        <v>0</v>
      </c>
    </row>
    <row r="1631" customFormat="false" ht="15" hidden="false" customHeight="false" outlineLevel="0" collapsed="false">
      <c r="A1631" s="7" t="n">
        <v>2014</v>
      </c>
      <c r="B1631" s="12" t="s">
        <v>80</v>
      </c>
      <c r="C1631" s="12" t="s">
        <v>72</v>
      </c>
      <c r="D1631" s="12" t="s">
        <v>49</v>
      </c>
      <c r="E1631" s="16" t="n">
        <v>81.895161</v>
      </c>
      <c r="F1631" s="16" t="n">
        <v>0</v>
      </c>
      <c r="G1631" s="16" t="n">
        <v>23.296215</v>
      </c>
    </row>
    <row r="1632" customFormat="false" ht="15" hidden="false" customHeight="false" outlineLevel="0" collapsed="false">
      <c r="A1632" s="7" t="n">
        <v>2014</v>
      </c>
      <c r="B1632" s="12" t="s">
        <v>80</v>
      </c>
      <c r="C1632" s="12" t="s">
        <v>72</v>
      </c>
      <c r="D1632" s="12" t="s">
        <v>48</v>
      </c>
      <c r="E1632" s="16" t="n">
        <v>54.042377</v>
      </c>
      <c r="F1632" s="16" t="n">
        <v>0</v>
      </c>
      <c r="G1632" s="16" t="n">
        <v>0</v>
      </c>
    </row>
    <row r="1633" customFormat="false" ht="15" hidden="false" customHeight="false" outlineLevel="0" collapsed="false">
      <c r="A1633" s="7" t="n">
        <v>2014</v>
      </c>
      <c r="B1633" s="12" t="s">
        <v>80</v>
      </c>
      <c r="C1633" s="12" t="s">
        <v>72</v>
      </c>
      <c r="D1633" s="12" t="s">
        <v>46</v>
      </c>
      <c r="E1633" s="16" t="n">
        <v>26.389465</v>
      </c>
      <c r="F1633" s="16" t="n">
        <v>0</v>
      </c>
      <c r="G1633" s="16" t="n">
        <v>50.712948</v>
      </c>
    </row>
    <row r="1634" customFormat="false" ht="15" hidden="false" customHeight="false" outlineLevel="0" collapsed="false">
      <c r="A1634" s="7" t="n">
        <v>2014</v>
      </c>
      <c r="B1634" s="12" t="s">
        <v>80</v>
      </c>
      <c r="C1634" s="12" t="s">
        <v>72</v>
      </c>
      <c r="D1634" s="12" t="s">
        <v>47</v>
      </c>
      <c r="E1634" s="16" t="n">
        <v>1.86628</v>
      </c>
      <c r="F1634" s="16" t="n">
        <v>0</v>
      </c>
      <c r="G1634" s="16" t="n">
        <v>0</v>
      </c>
    </row>
    <row r="1635" customFormat="false" ht="15" hidden="false" customHeight="false" outlineLevel="0" collapsed="false">
      <c r="A1635" s="7" t="n">
        <v>2014</v>
      </c>
      <c r="B1635" s="12" t="s">
        <v>80</v>
      </c>
      <c r="C1635" s="12" t="s">
        <v>72</v>
      </c>
      <c r="D1635" s="12" t="s">
        <v>45</v>
      </c>
      <c r="E1635" s="16" t="n">
        <v>126.552681</v>
      </c>
      <c r="F1635" s="16" t="n">
        <v>124.137354</v>
      </c>
      <c r="G1635" s="16" t="n">
        <v>0</v>
      </c>
    </row>
    <row r="1636" customFormat="false" ht="15" hidden="false" customHeight="false" outlineLevel="0" collapsed="false">
      <c r="A1636" s="7" t="n">
        <v>2014</v>
      </c>
      <c r="B1636" s="12" t="s">
        <v>81</v>
      </c>
      <c r="C1636" s="12" t="s">
        <v>72</v>
      </c>
      <c r="D1636" s="12" t="s">
        <v>49</v>
      </c>
      <c r="E1636" s="16" t="n">
        <v>74.33552</v>
      </c>
      <c r="F1636" s="16" t="n">
        <v>0</v>
      </c>
      <c r="G1636" s="16" t="n">
        <v>8.612252</v>
      </c>
    </row>
    <row r="1637" customFormat="false" ht="15" hidden="false" customHeight="false" outlineLevel="0" collapsed="false">
      <c r="A1637" s="7" t="n">
        <v>2014</v>
      </c>
      <c r="B1637" s="12" t="s">
        <v>81</v>
      </c>
      <c r="C1637" s="12" t="s">
        <v>72</v>
      </c>
      <c r="D1637" s="12" t="s">
        <v>48</v>
      </c>
      <c r="E1637" s="16" t="n">
        <v>40.454117</v>
      </c>
      <c r="F1637" s="16" t="n">
        <v>0</v>
      </c>
      <c r="G1637" s="16" t="n">
        <v>0</v>
      </c>
    </row>
    <row r="1638" customFormat="false" ht="15" hidden="false" customHeight="false" outlineLevel="0" collapsed="false">
      <c r="A1638" s="7" t="n">
        <v>2014</v>
      </c>
      <c r="B1638" s="12" t="s">
        <v>81</v>
      </c>
      <c r="C1638" s="12" t="s">
        <v>72</v>
      </c>
      <c r="D1638" s="12" t="s">
        <v>46</v>
      </c>
      <c r="E1638" s="16" t="n">
        <v>51.622136</v>
      </c>
      <c r="F1638" s="16" t="n">
        <v>0</v>
      </c>
      <c r="G1638" s="16" t="n">
        <v>21.884603</v>
      </c>
    </row>
    <row r="1639" customFormat="false" ht="15" hidden="false" customHeight="false" outlineLevel="0" collapsed="false">
      <c r="A1639" s="7" t="n">
        <v>2014</v>
      </c>
      <c r="B1639" s="12" t="s">
        <v>81</v>
      </c>
      <c r="C1639" s="12" t="s">
        <v>72</v>
      </c>
      <c r="D1639" s="12" t="s">
        <v>47</v>
      </c>
      <c r="E1639" s="16" t="n">
        <v>1.735051</v>
      </c>
      <c r="F1639" s="16" t="n">
        <v>0</v>
      </c>
      <c r="G1639" s="16" t="n">
        <v>0</v>
      </c>
    </row>
    <row r="1640" customFormat="false" ht="15" hidden="false" customHeight="false" outlineLevel="0" collapsed="false">
      <c r="A1640" s="7" t="n">
        <v>2014</v>
      </c>
      <c r="B1640" s="12" t="s">
        <v>81</v>
      </c>
      <c r="C1640" s="12" t="s">
        <v>72</v>
      </c>
      <c r="D1640" s="12" t="s">
        <v>45</v>
      </c>
      <c r="E1640" s="16" t="n">
        <v>125.369396</v>
      </c>
      <c r="F1640" s="16" t="n">
        <v>123.424546</v>
      </c>
      <c r="G1640" s="16" t="n">
        <v>0</v>
      </c>
    </row>
    <row r="1641" customFormat="false" ht="15" hidden="false" customHeight="false" outlineLevel="0" collapsed="false">
      <c r="A1641" s="7" t="n">
        <v>2015</v>
      </c>
      <c r="B1641" s="12" t="s">
        <v>56</v>
      </c>
      <c r="C1641" s="12" t="s">
        <v>57</v>
      </c>
      <c r="D1641" s="12" t="s">
        <v>49</v>
      </c>
      <c r="E1641" s="16" t="n">
        <v>73.415863</v>
      </c>
      <c r="F1641" s="16" t="n">
        <v>0</v>
      </c>
      <c r="G1641" s="16" t="n">
        <v>14.310347</v>
      </c>
    </row>
    <row r="1642" customFormat="false" ht="15" hidden="false" customHeight="false" outlineLevel="0" collapsed="false">
      <c r="A1642" s="7" t="n">
        <v>2015</v>
      </c>
      <c r="B1642" s="12" t="s">
        <v>56</v>
      </c>
      <c r="C1642" s="12" t="s">
        <v>57</v>
      </c>
      <c r="D1642" s="12" t="s">
        <v>48</v>
      </c>
      <c r="E1642" s="16" t="n">
        <v>14.00137</v>
      </c>
      <c r="F1642" s="16" t="n">
        <v>0</v>
      </c>
      <c r="G1642" s="16" t="n">
        <v>0</v>
      </c>
    </row>
    <row r="1643" customFormat="false" ht="15" hidden="false" customHeight="false" outlineLevel="0" collapsed="false">
      <c r="A1643" s="7" t="n">
        <v>2015</v>
      </c>
      <c r="B1643" s="12" t="s">
        <v>56</v>
      </c>
      <c r="C1643" s="12" t="s">
        <v>57</v>
      </c>
      <c r="D1643" s="12" t="s">
        <v>46</v>
      </c>
      <c r="E1643" s="16" t="n">
        <v>24.186895</v>
      </c>
      <c r="F1643" s="16" t="n">
        <v>0</v>
      </c>
      <c r="G1643" s="16" t="n">
        <v>17.571222</v>
      </c>
    </row>
    <row r="1644" customFormat="false" ht="15" hidden="false" customHeight="false" outlineLevel="0" collapsed="false">
      <c r="A1644" s="7" t="n">
        <v>2015</v>
      </c>
      <c r="B1644" s="12" t="s">
        <v>56</v>
      </c>
      <c r="C1644" s="12" t="s">
        <v>57</v>
      </c>
      <c r="D1644" s="12" t="s">
        <v>45</v>
      </c>
      <c r="E1644" s="16" t="n">
        <v>73.534084</v>
      </c>
      <c r="F1644" s="16" t="n">
        <v>50.653854</v>
      </c>
      <c r="G1644" s="16" t="n">
        <v>16.937171</v>
      </c>
    </row>
    <row r="1645" customFormat="false" ht="15" hidden="false" customHeight="false" outlineLevel="0" collapsed="false">
      <c r="A1645" s="7" t="n">
        <v>2015</v>
      </c>
      <c r="B1645" s="12" t="s">
        <v>58</v>
      </c>
      <c r="C1645" s="12" t="s">
        <v>59</v>
      </c>
      <c r="D1645" s="12" t="s">
        <v>49</v>
      </c>
      <c r="E1645" s="16" t="n">
        <v>151.661362</v>
      </c>
      <c r="F1645" s="16" t="n">
        <v>0</v>
      </c>
      <c r="G1645" s="16" t="n">
        <v>29.644144</v>
      </c>
    </row>
    <row r="1646" customFormat="false" ht="15" hidden="false" customHeight="false" outlineLevel="0" collapsed="false">
      <c r="A1646" s="7" t="n">
        <v>2015</v>
      </c>
      <c r="B1646" s="12" t="s">
        <v>58</v>
      </c>
      <c r="C1646" s="12" t="s">
        <v>59</v>
      </c>
      <c r="D1646" s="12" t="s">
        <v>48</v>
      </c>
      <c r="E1646" s="16" t="n">
        <v>138.880216</v>
      </c>
      <c r="F1646" s="16" t="n">
        <v>0</v>
      </c>
      <c r="G1646" s="16" t="n">
        <v>0</v>
      </c>
    </row>
    <row r="1647" customFormat="false" ht="15" hidden="false" customHeight="false" outlineLevel="0" collapsed="false">
      <c r="A1647" s="7" t="n">
        <v>2015</v>
      </c>
      <c r="B1647" s="12" t="s">
        <v>58</v>
      </c>
      <c r="C1647" s="12" t="s">
        <v>59</v>
      </c>
      <c r="D1647" s="12" t="s">
        <v>46</v>
      </c>
      <c r="E1647" s="16" t="n">
        <v>241.815591</v>
      </c>
      <c r="F1647" s="16" t="n">
        <v>0</v>
      </c>
      <c r="G1647" s="16" t="n">
        <v>185.079243</v>
      </c>
    </row>
    <row r="1648" customFormat="false" ht="15" hidden="false" customHeight="false" outlineLevel="0" collapsed="false">
      <c r="A1648" s="7" t="n">
        <v>2015</v>
      </c>
      <c r="B1648" s="12" t="s">
        <v>58</v>
      </c>
      <c r="C1648" s="12" t="s">
        <v>59</v>
      </c>
      <c r="D1648" s="12" t="s">
        <v>47</v>
      </c>
      <c r="E1648" s="16" t="n">
        <v>0.948323</v>
      </c>
      <c r="F1648" s="16" t="n">
        <v>0</v>
      </c>
      <c r="G1648" s="16" t="n">
        <v>0</v>
      </c>
    </row>
    <row r="1649" customFormat="false" ht="15" hidden="false" customHeight="false" outlineLevel="0" collapsed="false">
      <c r="A1649" s="7" t="n">
        <v>2015</v>
      </c>
      <c r="B1649" s="12" t="s">
        <v>58</v>
      </c>
      <c r="C1649" s="12" t="s">
        <v>59</v>
      </c>
      <c r="D1649" s="12" t="s">
        <v>45</v>
      </c>
      <c r="E1649" s="16" t="n">
        <v>53.564772</v>
      </c>
      <c r="F1649" s="16" t="n">
        <v>18.898945</v>
      </c>
      <c r="G1649" s="16" t="n">
        <v>27.541381</v>
      </c>
    </row>
    <row r="1650" customFormat="false" ht="15" hidden="false" customHeight="false" outlineLevel="0" collapsed="false">
      <c r="A1650" s="7" t="n">
        <v>2015</v>
      </c>
      <c r="B1650" s="12" t="s">
        <v>60</v>
      </c>
      <c r="C1650" s="12" t="s">
        <v>59</v>
      </c>
      <c r="D1650" s="12" t="s">
        <v>49</v>
      </c>
      <c r="E1650" s="16" t="n">
        <v>458.370737</v>
      </c>
      <c r="F1650" s="16" t="n">
        <v>0</v>
      </c>
      <c r="G1650" s="16" t="n">
        <v>140.288083</v>
      </c>
    </row>
    <row r="1651" customFormat="false" ht="15" hidden="false" customHeight="false" outlineLevel="0" collapsed="false">
      <c r="A1651" s="7" t="n">
        <v>2015</v>
      </c>
      <c r="B1651" s="12" t="s">
        <v>60</v>
      </c>
      <c r="C1651" s="12" t="s">
        <v>59</v>
      </c>
      <c r="D1651" s="12" t="s">
        <v>48</v>
      </c>
      <c r="E1651" s="16" t="n">
        <v>498.865422</v>
      </c>
      <c r="F1651" s="16" t="n">
        <v>0</v>
      </c>
      <c r="G1651" s="16" t="n">
        <v>0</v>
      </c>
    </row>
    <row r="1652" customFormat="false" ht="15" hidden="false" customHeight="false" outlineLevel="0" collapsed="false">
      <c r="A1652" s="7" t="n">
        <v>2015</v>
      </c>
      <c r="B1652" s="12" t="s">
        <v>60</v>
      </c>
      <c r="C1652" s="12" t="s">
        <v>59</v>
      </c>
      <c r="D1652" s="12" t="s">
        <v>46</v>
      </c>
      <c r="E1652" s="16" t="n">
        <v>465.65153</v>
      </c>
      <c r="F1652" s="16" t="n">
        <v>0</v>
      </c>
      <c r="G1652" s="16" t="n">
        <v>403.269469</v>
      </c>
    </row>
    <row r="1653" customFormat="false" ht="15" hidden="false" customHeight="false" outlineLevel="0" collapsed="false">
      <c r="A1653" s="7" t="n">
        <v>2015</v>
      </c>
      <c r="B1653" s="12" t="s">
        <v>60</v>
      </c>
      <c r="C1653" s="12" t="s">
        <v>59</v>
      </c>
      <c r="D1653" s="12" t="s">
        <v>47</v>
      </c>
      <c r="E1653" s="16" t="n">
        <v>3.521174</v>
      </c>
      <c r="F1653" s="16" t="n">
        <v>0</v>
      </c>
      <c r="G1653" s="16" t="n">
        <v>0</v>
      </c>
    </row>
    <row r="1654" customFormat="false" ht="15" hidden="false" customHeight="false" outlineLevel="0" collapsed="false">
      <c r="A1654" s="7" t="n">
        <v>2015</v>
      </c>
      <c r="B1654" s="12" t="s">
        <v>60</v>
      </c>
      <c r="C1654" s="12" t="s">
        <v>59</v>
      </c>
      <c r="D1654" s="12" t="s">
        <v>45</v>
      </c>
      <c r="E1654" s="16" t="n">
        <v>293.632514</v>
      </c>
      <c r="F1654" s="16" t="n">
        <v>7.17316</v>
      </c>
      <c r="G1654" s="16" t="n">
        <v>89.964917</v>
      </c>
    </row>
    <row r="1655" customFormat="false" ht="15" hidden="false" customHeight="false" outlineLevel="0" collapsed="false">
      <c r="A1655" s="7" t="n">
        <v>2015</v>
      </c>
      <c r="B1655" s="12" t="s">
        <v>61</v>
      </c>
      <c r="C1655" s="12" t="s">
        <v>62</v>
      </c>
      <c r="D1655" s="12" t="s">
        <v>49</v>
      </c>
      <c r="E1655" s="16" t="n">
        <v>153.593924</v>
      </c>
      <c r="F1655" s="16" t="n">
        <v>0</v>
      </c>
      <c r="G1655" s="16" t="n">
        <v>85.563043</v>
      </c>
    </row>
    <row r="1656" customFormat="false" ht="15" hidden="false" customHeight="false" outlineLevel="0" collapsed="false">
      <c r="A1656" s="7" t="n">
        <v>2015</v>
      </c>
      <c r="B1656" s="12" t="s">
        <v>61</v>
      </c>
      <c r="C1656" s="12" t="s">
        <v>62</v>
      </c>
      <c r="D1656" s="12" t="s">
        <v>48</v>
      </c>
      <c r="E1656" s="16" t="n">
        <v>181.679457</v>
      </c>
      <c r="F1656" s="16" t="n">
        <v>0</v>
      </c>
      <c r="G1656" s="16" t="n">
        <v>0</v>
      </c>
    </row>
    <row r="1657" customFormat="false" ht="15" hidden="false" customHeight="false" outlineLevel="0" collapsed="false">
      <c r="A1657" s="7" t="n">
        <v>2015</v>
      </c>
      <c r="B1657" s="12" t="s">
        <v>61</v>
      </c>
      <c r="C1657" s="12" t="s">
        <v>62</v>
      </c>
      <c r="D1657" s="12" t="s">
        <v>46</v>
      </c>
      <c r="E1657" s="16" t="n">
        <v>171.489078</v>
      </c>
      <c r="F1657" s="16" t="n">
        <v>0</v>
      </c>
      <c r="G1657" s="16" t="n">
        <v>200.243969</v>
      </c>
    </row>
    <row r="1658" customFormat="false" ht="15" hidden="false" customHeight="false" outlineLevel="0" collapsed="false">
      <c r="A1658" s="7" t="n">
        <v>2015</v>
      </c>
      <c r="B1658" s="12" t="s">
        <v>61</v>
      </c>
      <c r="C1658" s="12" t="s">
        <v>62</v>
      </c>
      <c r="D1658" s="12" t="s">
        <v>47</v>
      </c>
      <c r="E1658" s="16" t="n">
        <v>6.887326</v>
      </c>
      <c r="F1658" s="16" t="n">
        <v>0</v>
      </c>
      <c r="G1658" s="16" t="n">
        <v>0</v>
      </c>
    </row>
    <row r="1659" customFormat="false" ht="15" hidden="false" customHeight="false" outlineLevel="0" collapsed="false">
      <c r="A1659" s="7" t="n">
        <v>2015</v>
      </c>
      <c r="B1659" s="12" t="s">
        <v>61</v>
      </c>
      <c r="C1659" s="12" t="s">
        <v>62</v>
      </c>
      <c r="D1659" s="12" t="s">
        <v>45</v>
      </c>
      <c r="E1659" s="16" t="n">
        <v>346.105918</v>
      </c>
      <c r="F1659" s="16" t="n">
        <v>336.735065</v>
      </c>
      <c r="G1659" s="16" t="n">
        <v>0</v>
      </c>
    </row>
    <row r="1660" customFormat="false" ht="15" hidden="false" customHeight="false" outlineLevel="0" collapsed="false">
      <c r="A1660" s="7" t="n">
        <v>2015</v>
      </c>
      <c r="B1660" s="12" t="s">
        <v>63</v>
      </c>
      <c r="C1660" s="12" t="s">
        <v>62</v>
      </c>
      <c r="D1660" s="12" t="s">
        <v>49</v>
      </c>
      <c r="E1660" s="16" t="n">
        <v>314.032593</v>
      </c>
      <c r="F1660" s="16" t="n">
        <v>0</v>
      </c>
      <c r="G1660" s="16" t="n">
        <v>128.746652</v>
      </c>
    </row>
    <row r="1661" customFormat="false" ht="15" hidden="false" customHeight="false" outlineLevel="0" collapsed="false">
      <c r="A1661" s="7" t="n">
        <v>2015</v>
      </c>
      <c r="B1661" s="12" t="s">
        <v>63</v>
      </c>
      <c r="C1661" s="12" t="s">
        <v>62</v>
      </c>
      <c r="D1661" s="12" t="s">
        <v>48</v>
      </c>
      <c r="E1661" s="16" t="n">
        <v>250.906043</v>
      </c>
      <c r="F1661" s="16" t="n">
        <v>0</v>
      </c>
      <c r="G1661" s="16" t="n">
        <v>0</v>
      </c>
    </row>
    <row r="1662" customFormat="false" ht="15" hidden="false" customHeight="false" outlineLevel="0" collapsed="false">
      <c r="A1662" s="7" t="n">
        <v>2015</v>
      </c>
      <c r="B1662" s="12" t="s">
        <v>63</v>
      </c>
      <c r="C1662" s="12" t="s">
        <v>62</v>
      </c>
      <c r="D1662" s="12" t="s">
        <v>46</v>
      </c>
      <c r="E1662" s="16" t="n">
        <v>267.184121</v>
      </c>
      <c r="F1662" s="16" t="n">
        <v>0</v>
      </c>
      <c r="G1662" s="16" t="n">
        <v>284.528817</v>
      </c>
    </row>
    <row r="1663" customFormat="false" ht="15" hidden="false" customHeight="false" outlineLevel="0" collapsed="false">
      <c r="A1663" s="7" t="n">
        <v>2015</v>
      </c>
      <c r="B1663" s="12" t="s">
        <v>63</v>
      </c>
      <c r="C1663" s="12" t="s">
        <v>62</v>
      </c>
      <c r="D1663" s="12" t="s">
        <v>47</v>
      </c>
      <c r="E1663" s="16" t="n">
        <v>8.838853</v>
      </c>
      <c r="F1663" s="16" t="n">
        <v>0</v>
      </c>
      <c r="G1663" s="16" t="n">
        <v>0</v>
      </c>
    </row>
    <row r="1664" customFormat="false" ht="15" hidden="false" customHeight="false" outlineLevel="0" collapsed="false">
      <c r="A1664" s="7" t="n">
        <v>2015</v>
      </c>
      <c r="B1664" s="12" t="s">
        <v>63</v>
      </c>
      <c r="C1664" s="12" t="s">
        <v>62</v>
      </c>
      <c r="D1664" s="12" t="s">
        <v>45</v>
      </c>
      <c r="E1664" s="16" t="n">
        <v>322.329282</v>
      </c>
      <c r="F1664" s="16" t="n">
        <v>282.220894</v>
      </c>
      <c r="G1664" s="16" t="n">
        <v>1.423584</v>
      </c>
    </row>
    <row r="1665" customFormat="false" ht="15" hidden="false" customHeight="false" outlineLevel="0" collapsed="false">
      <c r="A1665" s="7" t="n">
        <v>2015</v>
      </c>
      <c r="B1665" s="12" t="s">
        <v>64</v>
      </c>
      <c r="C1665" s="12" t="s">
        <v>65</v>
      </c>
      <c r="D1665" s="12" t="s">
        <v>49</v>
      </c>
      <c r="E1665" s="16" t="n">
        <v>161.177793</v>
      </c>
      <c r="F1665" s="16" t="n">
        <v>0</v>
      </c>
      <c r="G1665" s="16" t="n">
        <v>22.793601</v>
      </c>
    </row>
    <row r="1666" customFormat="false" ht="15" hidden="false" customHeight="false" outlineLevel="0" collapsed="false">
      <c r="A1666" s="7" t="n">
        <v>2015</v>
      </c>
      <c r="B1666" s="12" t="s">
        <v>64</v>
      </c>
      <c r="C1666" s="12" t="s">
        <v>65</v>
      </c>
      <c r="D1666" s="12" t="s">
        <v>48</v>
      </c>
      <c r="E1666" s="16" t="n">
        <v>49.548688</v>
      </c>
      <c r="F1666" s="16" t="n">
        <v>0</v>
      </c>
      <c r="G1666" s="16" t="n">
        <v>0</v>
      </c>
    </row>
    <row r="1667" customFormat="false" ht="15" hidden="false" customHeight="false" outlineLevel="0" collapsed="false">
      <c r="A1667" s="7" t="n">
        <v>2015</v>
      </c>
      <c r="B1667" s="12" t="s">
        <v>64</v>
      </c>
      <c r="C1667" s="12" t="s">
        <v>65</v>
      </c>
      <c r="D1667" s="12" t="s">
        <v>46</v>
      </c>
      <c r="E1667" s="16" t="n">
        <v>91.194033</v>
      </c>
      <c r="F1667" s="16" t="n">
        <v>0</v>
      </c>
      <c r="G1667" s="16" t="n">
        <v>79.322377</v>
      </c>
    </row>
    <row r="1668" customFormat="false" ht="15" hidden="false" customHeight="false" outlineLevel="0" collapsed="false">
      <c r="A1668" s="7" t="n">
        <v>2015</v>
      </c>
      <c r="B1668" s="12" t="s">
        <v>64</v>
      </c>
      <c r="C1668" s="12" t="s">
        <v>65</v>
      </c>
      <c r="D1668" s="12" t="s">
        <v>47</v>
      </c>
      <c r="E1668" s="16" t="n">
        <v>5.368532</v>
      </c>
      <c r="F1668" s="16" t="n">
        <v>0</v>
      </c>
      <c r="G1668" s="16" t="n">
        <v>0</v>
      </c>
    </row>
    <row r="1669" customFormat="false" ht="15" hidden="false" customHeight="false" outlineLevel="0" collapsed="false">
      <c r="A1669" s="7" t="n">
        <v>2015</v>
      </c>
      <c r="B1669" s="12" t="s">
        <v>64</v>
      </c>
      <c r="C1669" s="12" t="s">
        <v>65</v>
      </c>
      <c r="D1669" s="12" t="s">
        <v>45</v>
      </c>
      <c r="E1669" s="16" t="n">
        <v>62.855008</v>
      </c>
      <c r="F1669" s="16" t="n">
        <v>31.06768</v>
      </c>
      <c r="G1669" s="16" t="n">
        <v>31.290401</v>
      </c>
    </row>
    <row r="1670" customFormat="false" ht="15" hidden="false" customHeight="false" outlineLevel="0" collapsed="false">
      <c r="A1670" s="7" t="n">
        <v>2015</v>
      </c>
      <c r="B1670" s="12" t="s">
        <v>66</v>
      </c>
      <c r="C1670" s="12" t="s">
        <v>67</v>
      </c>
      <c r="D1670" s="12" t="s">
        <v>49</v>
      </c>
      <c r="E1670" s="16" t="n">
        <v>115.453141</v>
      </c>
      <c r="F1670" s="16" t="n">
        <v>0</v>
      </c>
      <c r="G1670" s="16" t="n">
        <v>24.340929</v>
      </c>
    </row>
    <row r="1671" customFormat="false" ht="15" hidden="false" customHeight="false" outlineLevel="0" collapsed="false">
      <c r="A1671" s="7" t="n">
        <v>2015</v>
      </c>
      <c r="B1671" s="12" t="s">
        <v>66</v>
      </c>
      <c r="C1671" s="12" t="s">
        <v>67</v>
      </c>
      <c r="D1671" s="12" t="s">
        <v>48</v>
      </c>
      <c r="E1671" s="16" t="n">
        <v>35.515598</v>
      </c>
      <c r="F1671" s="16" t="n">
        <v>0</v>
      </c>
      <c r="G1671" s="16" t="n">
        <v>0</v>
      </c>
    </row>
    <row r="1672" customFormat="false" ht="15" hidden="false" customHeight="false" outlineLevel="0" collapsed="false">
      <c r="A1672" s="7" t="n">
        <v>2015</v>
      </c>
      <c r="B1672" s="12" t="s">
        <v>66</v>
      </c>
      <c r="C1672" s="12" t="s">
        <v>67</v>
      </c>
      <c r="D1672" s="12" t="s">
        <v>46</v>
      </c>
      <c r="E1672" s="16" t="n">
        <v>56.683332</v>
      </c>
      <c r="F1672" s="16" t="n">
        <v>0</v>
      </c>
      <c r="G1672" s="16" t="n">
        <v>49.944527</v>
      </c>
    </row>
    <row r="1673" customFormat="false" ht="15" hidden="false" customHeight="false" outlineLevel="0" collapsed="false">
      <c r="A1673" s="7" t="n">
        <v>2015</v>
      </c>
      <c r="B1673" s="12" t="s">
        <v>66</v>
      </c>
      <c r="C1673" s="12" t="s">
        <v>67</v>
      </c>
      <c r="D1673" s="12" t="s">
        <v>47</v>
      </c>
      <c r="E1673" s="16" t="n">
        <v>3.857543</v>
      </c>
      <c r="F1673" s="16" t="n">
        <v>0</v>
      </c>
      <c r="G1673" s="16" t="n">
        <v>0</v>
      </c>
    </row>
    <row r="1674" customFormat="false" ht="15" hidden="false" customHeight="false" outlineLevel="0" collapsed="false">
      <c r="A1674" s="7" t="n">
        <v>2015</v>
      </c>
      <c r="B1674" s="12" t="s">
        <v>66</v>
      </c>
      <c r="C1674" s="12" t="s">
        <v>67</v>
      </c>
      <c r="D1674" s="12" t="s">
        <v>45</v>
      </c>
      <c r="E1674" s="16" t="n">
        <v>87.130304</v>
      </c>
      <c r="F1674" s="16" t="n">
        <v>52.713633</v>
      </c>
      <c r="G1674" s="16" t="n">
        <v>23.248486</v>
      </c>
    </row>
    <row r="1675" customFormat="false" ht="15" hidden="false" customHeight="false" outlineLevel="0" collapsed="false">
      <c r="A1675" s="7" t="n">
        <v>2015</v>
      </c>
      <c r="B1675" s="12" t="s">
        <v>68</v>
      </c>
      <c r="C1675" s="12" t="s">
        <v>65</v>
      </c>
      <c r="D1675" s="12" t="s">
        <v>49</v>
      </c>
      <c r="E1675" s="16" t="n">
        <v>127.068326</v>
      </c>
      <c r="F1675" s="16" t="n">
        <v>0</v>
      </c>
      <c r="G1675" s="16" t="n">
        <v>14.993847</v>
      </c>
    </row>
    <row r="1676" customFormat="false" ht="15" hidden="false" customHeight="false" outlineLevel="0" collapsed="false">
      <c r="A1676" s="7" t="n">
        <v>2015</v>
      </c>
      <c r="B1676" s="12" t="s">
        <v>68</v>
      </c>
      <c r="C1676" s="12" t="s">
        <v>65</v>
      </c>
      <c r="D1676" s="12" t="s">
        <v>48</v>
      </c>
      <c r="E1676" s="16" t="n">
        <v>22.950273</v>
      </c>
      <c r="F1676" s="16" t="n">
        <v>0</v>
      </c>
      <c r="G1676" s="16" t="n">
        <v>0</v>
      </c>
    </row>
    <row r="1677" customFormat="false" ht="15" hidden="false" customHeight="false" outlineLevel="0" collapsed="false">
      <c r="A1677" s="7" t="n">
        <v>2015</v>
      </c>
      <c r="B1677" s="12" t="s">
        <v>68</v>
      </c>
      <c r="C1677" s="12" t="s">
        <v>65</v>
      </c>
      <c r="D1677" s="12" t="s">
        <v>46</v>
      </c>
      <c r="E1677" s="16" t="n">
        <v>39.364252</v>
      </c>
      <c r="F1677" s="16" t="n">
        <v>0</v>
      </c>
      <c r="G1677" s="16" t="n">
        <v>68.693354</v>
      </c>
    </row>
    <row r="1678" customFormat="false" ht="15" hidden="false" customHeight="false" outlineLevel="0" collapsed="false">
      <c r="A1678" s="7" t="n">
        <v>2015</v>
      </c>
      <c r="B1678" s="12" t="s">
        <v>68</v>
      </c>
      <c r="C1678" s="12" t="s">
        <v>65</v>
      </c>
      <c r="D1678" s="12" t="s">
        <v>47</v>
      </c>
      <c r="E1678" s="16" t="n">
        <v>0.053734</v>
      </c>
      <c r="F1678" s="16" t="n">
        <v>0</v>
      </c>
      <c r="G1678" s="16" t="n">
        <v>0</v>
      </c>
    </row>
    <row r="1679" customFormat="false" ht="15" hidden="false" customHeight="false" outlineLevel="0" collapsed="false">
      <c r="A1679" s="7" t="n">
        <v>2015</v>
      </c>
      <c r="B1679" s="12" t="s">
        <v>68</v>
      </c>
      <c r="C1679" s="12" t="s">
        <v>65</v>
      </c>
      <c r="D1679" s="12" t="s">
        <v>45</v>
      </c>
      <c r="E1679" s="16" t="n">
        <v>10.253975</v>
      </c>
      <c r="F1679" s="16" t="n">
        <v>3.267971</v>
      </c>
      <c r="G1679" s="16" t="n">
        <v>6.756603</v>
      </c>
    </row>
    <row r="1680" customFormat="false" ht="15" hidden="false" customHeight="false" outlineLevel="0" collapsed="false">
      <c r="A1680" s="7" t="n">
        <v>2015</v>
      </c>
      <c r="B1680" s="12" t="s">
        <v>69</v>
      </c>
      <c r="C1680" s="12" t="s">
        <v>70</v>
      </c>
      <c r="D1680" s="12" t="s">
        <v>49</v>
      </c>
      <c r="E1680" s="16" t="n">
        <v>103.49899</v>
      </c>
      <c r="F1680" s="16" t="n">
        <v>0</v>
      </c>
      <c r="G1680" s="16" t="n">
        <v>23.2807</v>
      </c>
    </row>
    <row r="1681" customFormat="false" ht="15" hidden="false" customHeight="false" outlineLevel="0" collapsed="false">
      <c r="A1681" s="7" t="n">
        <v>2015</v>
      </c>
      <c r="B1681" s="12" t="s">
        <v>69</v>
      </c>
      <c r="C1681" s="12" t="s">
        <v>70</v>
      </c>
      <c r="D1681" s="12" t="s">
        <v>48</v>
      </c>
      <c r="E1681" s="16" t="n">
        <v>66.597038</v>
      </c>
      <c r="F1681" s="16" t="n">
        <v>0</v>
      </c>
      <c r="G1681" s="16" t="n">
        <v>0</v>
      </c>
    </row>
    <row r="1682" customFormat="false" ht="15" hidden="false" customHeight="false" outlineLevel="0" collapsed="false">
      <c r="A1682" s="7" t="n">
        <v>2015</v>
      </c>
      <c r="B1682" s="12" t="s">
        <v>69</v>
      </c>
      <c r="C1682" s="12" t="s">
        <v>70</v>
      </c>
      <c r="D1682" s="12" t="s">
        <v>46</v>
      </c>
      <c r="E1682" s="16" t="n">
        <v>34.04316</v>
      </c>
      <c r="F1682" s="16" t="n">
        <v>0</v>
      </c>
      <c r="G1682" s="16" t="n">
        <v>59.0446</v>
      </c>
    </row>
    <row r="1683" customFormat="false" ht="15" hidden="false" customHeight="false" outlineLevel="0" collapsed="false">
      <c r="A1683" s="7" t="n">
        <v>2015</v>
      </c>
      <c r="B1683" s="12" t="s">
        <v>69</v>
      </c>
      <c r="C1683" s="12" t="s">
        <v>70</v>
      </c>
      <c r="D1683" s="12" t="s">
        <v>47</v>
      </c>
      <c r="E1683" s="16" t="n">
        <v>2.845343</v>
      </c>
      <c r="F1683" s="16" t="n">
        <v>0</v>
      </c>
      <c r="G1683" s="16" t="n">
        <v>0</v>
      </c>
    </row>
    <row r="1684" customFormat="false" ht="15" hidden="false" customHeight="false" outlineLevel="0" collapsed="false">
      <c r="A1684" s="7" t="n">
        <v>2015</v>
      </c>
      <c r="B1684" s="12" t="s">
        <v>69</v>
      </c>
      <c r="C1684" s="12" t="s">
        <v>70</v>
      </c>
      <c r="D1684" s="12" t="s">
        <v>45</v>
      </c>
      <c r="E1684" s="16" t="n">
        <v>330.867081</v>
      </c>
      <c r="F1684" s="16" t="n">
        <v>328.162044</v>
      </c>
      <c r="G1684" s="16" t="n">
        <v>0</v>
      </c>
    </row>
    <row r="1685" customFormat="false" ht="15" hidden="false" customHeight="false" outlineLevel="0" collapsed="false">
      <c r="A1685" s="7" t="n">
        <v>2015</v>
      </c>
      <c r="B1685" s="12" t="s">
        <v>71</v>
      </c>
      <c r="C1685" s="12" t="s">
        <v>72</v>
      </c>
      <c r="D1685" s="12" t="s">
        <v>49</v>
      </c>
      <c r="E1685" s="16" t="n">
        <v>34.372618</v>
      </c>
      <c r="F1685" s="16" t="n">
        <v>0</v>
      </c>
      <c r="G1685" s="16" t="n">
        <v>2.851405</v>
      </c>
    </row>
    <row r="1686" customFormat="false" ht="15" hidden="false" customHeight="false" outlineLevel="0" collapsed="false">
      <c r="A1686" s="7" t="n">
        <v>2015</v>
      </c>
      <c r="B1686" s="12" t="s">
        <v>71</v>
      </c>
      <c r="C1686" s="12" t="s">
        <v>72</v>
      </c>
      <c r="D1686" s="12" t="s">
        <v>48</v>
      </c>
      <c r="E1686" s="16" t="n">
        <v>13.740361</v>
      </c>
      <c r="F1686" s="16" t="n">
        <v>0</v>
      </c>
      <c r="G1686" s="16" t="n">
        <v>0</v>
      </c>
    </row>
    <row r="1687" customFormat="false" ht="15" hidden="false" customHeight="false" outlineLevel="0" collapsed="false">
      <c r="A1687" s="7" t="n">
        <v>2015</v>
      </c>
      <c r="B1687" s="12" t="s">
        <v>71</v>
      </c>
      <c r="C1687" s="12" t="s">
        <v>72</v>
      </c>
      <c r="D1687" s="12" t="s">
        <v>46</v>
      </c>
      <c r="E1687" s="16" t="n">
        <v>14.140666</v>
      </c>
      <c r="F1687" s="16" t="n">
        <v>0</v>
      </c>
      <c r="G1687" s="16" t="n">
        <v>13.370329</v>
      </c>
    </row>
    <row r="1688" customFormat="false" ht="15" hidden="false" customHeight="false" outlineLevel="0" collapsed="false">
      <c r="A1688" s="7" t="n">
        <v>2015</v>
      </c>
      <c r="B1688" s="12" t="s">
        <v>71</v>
      </c>
      <c r="C1688" s="12" t="s">
        <v>72</v>
      </c>
      <c r="D1688" s="12" t="s">
        <v>47</v>
      </c>
      <c r="E1688" s="16" t="n">
        <v>0.561316</v>
      </c>
      <c r="F1688" s="16" t="n">
        <v>0</v>
      </c>
      <c r="G1688" s="16" t="n">
        <v>0</v>
      </c>
    </row>
    <row r="1689" customFormat="false" ht="15" hidden="false" customHeight="false" outlineLevel="0" collapsed="false">
      <c r="A1689" s="7" t="n">
        <v>2015</v>
      </c>
      <c r="B1689" s="12" t="s">
        <v>71</v>
      </c>
      <c r="C1689" s="12" t="s">
        <v>72</v>
      </c>
      <c r="D1689" s="12" t="s">
        <v>45</v>
      </c>
      <c r="E1689" s="16" t="n">
        <v>36.331545</v>
      </c>
      <c r="F1689" s="16" t="n">
        <v>36.320848</v>
      </c>
      <c r="G1689" s="16" t="n">
        <v>0</v>
      </c>
    </row>
    <row r="1690" customFormat="false" ht="15" hidden="false" customHeight="false" outlineLevel="0" collapsed="false">
      <c r="A1690" s="7" t="n">
        <v>2015</v>
      </c>
      <c r="B1690" s="12" t="s">
        <v>73</v>
      </c>
      <c r="C1690" s="12" t="s">
        <v>70</v>
      </c>
      <c r="D1690" s="12" t="s">
        <v>49</v>
      </c>
      <c r="E1690" s="16" t="n">
        <v>68.169944</v>
      </c>
      <c r="F1690" s="16" t="n">
        <v>0</v>
      </c>
      <c r="G1690" s="16" t="n">
        <v>18.154285</v>
      </c>
    </row>
    <row r="1691" customFormat="false" ht="15" hidden="false" customHeight="false" outlineLevel="0" collapsed="false">
      <c r="A1691" s="7" t="n">
        <v>2015</v>
      </c>
      <c r="B1691" s="12" t="s">
        <v>73</v>
      </c>
      <c r="C1691" s="12" t="s">
        <v>70</v>
      </c>
      <c r="D1691" s="12" t="s">
        <v>48</v>
      </c>
      <c r="E1691" s="16" t="n">
        <v>111.282717</v>
      </c>
      <c r="F1691" s="16" t="n">
        <v>0</v>
      </c>
      <c r="G1691" s="16" t="n">
        <v>0</v>
      </c>
    </row>
    <row r="1692" customFormat="false" ht="15" hidden="false" customHeight="false" outlineLevel="0" collapsed="false">
      <c r="A1692" s="7" t="n">
        <v>2015</v>
      </c>
      <c r="B1692" s="12" t="s">
        <v>73</v>
      </c>
      <c r="C1692" s="12" t="s">
        <v>70</v>
      </c>
      <c r="D1692" s="12" t="s">
        <v>46</v>
      </c>
      <c r="E1692" s="16" t="n">
        <v>82.795516</v>
      </c>
      <c r="F1692" s="16" t="n">
        <v>0</v>
      </c>
      <c r="G1692" s="16" t="n">
        <v>64.400186</v>
      </c>
    </row>
    <row r="1693" customFormat="false" ht="15" hidden="false" customHeight="false" outlineLevel="0" collapsed="false">
      <c r="A1693" s="7" t="n">
        <v>2015</v>
      </c>
      <c r="B1693" s="12" t="s">
        <v>73</v>
      </c>
      <c r="C1693" s="12" t="s">
        <v>70</v>
      </c>
      <c r="D1693" s="12" t="s">
        <v>47</v>
      </c>
      <c r="E1693" s="16" t="n">
        <v>5.011475</v>
      </c>
      <c r="F1693" s="16" t="n">
        <v>0</v>
      </c>
      <c r="G1693" s="16" t="n">
        <v>0</v>
      </c>
    </row>
    <row r="1694" customFormat="false" ht="15" hidden="false" customHeight="false" outlineLevel="0" collapsed="false">
      <c r="A1694" s="7" t="n">
        <v>2015</v>
      </c>
      <c r="B1694" s="12" t="s">
        <v>73</v>
      </c>
      <c r="C1694" s="12" t="s">
        <v>70</v>
      </c>
      <c r="D1694" s="12" t="s">
        <v>45</v>
      </c>
      <c r="E1694" s="16" t="n">
        <v>57.875316</v>
      </c>
      <c r="F1694" s="16" t="n">
        <v>37.576766</v>
      </c>
      <c r="G1694" s="16" t="n">
        <v>23.049513</v>
      </c>
    </row>
    <row r="1695" customFormat="false" ht="15" hidden="false" customHeight="false" outlineLevel="0" collapsed="false">
      <c r="A1695" s="7" t="n">
        <v>2015</v>
      </c>
      <c r="B1695" s="12" t="s">
        <v>74</v>
      </c>
      <c r="C1695" s="12" t="s">
        <v>65</v>
      </c>
      <c r="D1695" s="12" t="s">
        <v>49</v>
      </c>
      <c r="E1695" s="16" t="n">
        <v>211.596446</v>
      </c>
      <c r="F1695" s="16" t="n">
        <v>0</v>
      </c>
      <c r="G1695" s="16" t="n">
        <v>56.019046</v>
      </c>
    </row>
    <row r="1696" customFormat="false" ht="15" hidden="false" customHeight="false" outlineLevel="0" collapsed="false">
      <c r="A1696" s="7" t="n">
        <v>2015</v>
      </c>
      <c r="B1696" s="12" t="s">
        <v>74</v>
      </c>
      <c r="C1696" s="12" t="s">
        <v>65</v>
      </c>
      <c r="D1696" s="12" t="s">
        <v>48</v>
      </c>
      <c r="E1696" s="16" t="n">
        <v>20.438258</v>
      </c>
      <c r="F1696" s="16" t="n">
        <v>0</v>
      </c>
      <c r="G1696" s="16" t="n">
        <v>0</v>
      </c>
    </row>
    <row r="1697" customFormat="false" ht="15" hidden="false" customHeight="false" outlineLevel="0" collapsed="false">
      <c r="A1697" s="7" t="n">
        <v>2015</v>
      </c>
      <c r="B1697" s="12" t="s">
        <v>74</v>
      </c>
      <c r="C1697" s="12" t="s">
        <v>65</v>
      </c>
      <c r="D1697" s="12" t="s">
        <v>46</v>
      </c>
      <c r="E1697" s="16" t="n">
        <v>41.331114</v>
      </c>
      <c r="F1697" s="16" t="n">
        <v>0</v>
      </c>
      <c r="G1697" s="16" t="n">
        <v>45.920951</v>
      </c>
    </row>
    <row r="1698" customFormat="false" ht="15" hidden="false" customHeight="false" outlineLevel="0" collapsed="false">
      <c r="A1698" s="7" t="n">
        <v>2015</v>
      </c>
      <c r="B1698" s="12" t="s">
        <v>74</v>
      </c>
      <c r="C1698" s="12" t="s">
        <v>65</v>
      </c>
      <c r="D1698" s="12" t="s">
        <v>47</v>
      </c>
      <c r="E1698" s="16" t="n">
        <v>5.328886</v>
      </c>
      <c r="F1698" s="16" t="n">
        <v>0</v>
      </c>
      <c r="G1698" s="16" t="n">
        <v>0</v>
      </c>
    </row>
    <row r="1699" customFormat="false" ht="15" hidden="false" customHeight="false" outlineLevel="0" collapsed="false">
      <c r="A1699" s="7" t="n">
        <v>2015</v>
      </c>
      <c r="B1699" s="12" t="s">
        <v>74</v>
      </c>
      <c r="C1699" s="12" t="s">
        <v>65</v>
      </c>
      <c r="D1699" s="12" t="s">
        <v>45</v>
      </c>
      <c r="E1699" s="16" t="n">
        <v>35.85747</v>
      </c>
      <c r="F1699" s="16" t="n">
        <v>0</v>
      </c>
      <c r="G1699" s="16" t="n">
        <v>23.897487</v>
      </c>
    </row>
    <row r="1700" customFormat="false" ht="15" hidden="false" customHeight="false" outlineLevel="0" collapsed="false">
      <c r="A1700" s="7" t="n">
        <v>2015</v>
      </c>
      <c r="B1700" s="12" t="s">
        <v>75</v>
      </c>
      <c r="C1700" s="12" t="s">
        <v>57</v>
      </c>
      <c r="D1700" s="12" t="s">
        <v>49</v>
      </c>
      <c r="E1700" s="16" t="n">
        <v>263.078993</v>
      </c>
      <c r="F1700" s="16" t="n">
        <v>0</v>
      </c>
      <c r="G1700" s="16" t="n">
        <v>73.255944</v>
      </c>
    </row>
    <row r="1701" customFormat="false" ht="15" hidden="false" customHeight="false" outlineLevel="0" collapsed="false">
      <c r="A1701" s="7" t="n">
        <v>2015</v>
      </c>
      <c r="B1701" s="12" t="s">
        <v>75</v>
      </c>
      <c r="C1701" s="12" t="s">
        <v>57</v>
      </c>
      <c r="D1701" s="12" t="s">
        <v>48</v>
      </c>
      <c r="E1701" s="16" t="n">
        <v>124.805791</v>
      </c>
      <c r="F1701" s="16" t="n">
        <v>0</v>
      </c>
      <c r="G1701" s="16" t="n">
        <v>0</v>
      </c>
    </row>
    <row r="1702" customFormat="false" ht="15" hidden="false" customHeight="false" outlineLevel="0" collapsed="false">
      <c r="A1702" s="7" t="n">
        <v>2015</v>
      </c>
      <c r="B1702" s="12" t="s">
        <v>75</v>
      </c>
      <c r="C1702" s="12" t="s">
        <v>57</v>
      </c>
      <c r="D1702" s="12" t="s">
        <v>46</v>
      </c>
      <c r="E1702" s="16" t="n">
        <v>106.451562</v>
      </c>
      <c r="F1702" s="16" t="n">
        <v>0</v>
      </c>
      <c r="G1702" s="16" t="n">
        <v>103.303123</v>
      </c>
    </row>
    <row r="1703" customFormat="false" ht="15" hidden="false" customHeight="false" outlineLevel="0" collapsed="false">
      <c r="A1703" s="7" t="n">
        <v>2015</v>
      </c>
      <c r="B1703" s="12" t="s">
        <v>75</v>
      </c>
      <c r="C1703" s="12" t="s">
        <v>57</v>
      </c>
      <c r="D1703" s="12" t="s">
        <v>47</v>
      </c>
      <c r="E1703" s="16" t="n">
        <v>9.448831</v>
      </c>
      <c r="F1703" s="16" t="n">
        <v>0</v>
      </c>
      <c r="G1703" s="16" t="n">
        <v>0</v>
      </c>
    </row>
    <row r="1704" customFormat="false" ht="15" hidden="false" customHeight="false" outlineLevel="0" collapsed="false">
      <c r="A1704" s="7" t="n">
        <v>2015</v>
      </c>
      <c r="B1704" s="12" t="s">
        <v>75</v>
      </c>
      <c r="C1704" s="12" t="s">
        <v>57</v>
      </c>
      <c r="D1704" s="12" t="s">
        <v>45</v>
      </c>
      <c r="E1704" s="16" t="n">
        <v>309.442314</v>
      </c>
      <c r="F1704" s="16" t="n">
        <v>167.127215</v>
      </c>
      <c r="G1704" s="16" t="n">
        <v>58.110701</v>
      </c>
    </row>
    <row r="1705" customFormat="false" ht="15" hidden="false" customHeight="false" outlineLevel="0" collapsed="false">
      <c r="A1705" s="7" t="n">
        <v>2015</v>
      </c>
      <c r="B1705" s="12" t="s">
        <v>76</v>
      </c>
      <c r="C1705" s="12" t="s">
        <v>72</v>
      </c>
      <c r="D1705" s="12" t="s">
        <v>49</v>
      </c>
      <c r="E1705" s="16" t="n">
        <v>44.910611</v>
      </c>
      <c r="F1705" s="16" t="n">
        <v>0</v>
      </c>
      <c r="G1705" s="16" t="n">
        <v>9.979116</v>
      </c>
    </row>
    <row r="1706" customFormat="false" ht="15" hidden="false" customHeight="false" outlineLevel="0" collapsed="false">
      <c r="A1706" s="7" t="n">
        <v>2015</v>
      </c>
      <c r="B1706" s="12" t="s">
        <v>76</v>
      </c>
      <c r="C1706" s="12" t="s">
        <v>72</v>
      </c>
      <c r="D1706" s="12" t="s">
        <v>48</v>
      </c>
      <c r="E1706" s="16" t="n">
        <v>21.065527</v>
      </c>
      <c r="F1706" s="16" t="n">
        <v>0</v>
      </c>
      <c r="G1706" s="16" t="n">
        <v>0</v>
      </c>
    </row>
    <row r="1707" customFormat="false" ht="15" hidden="false" customHeight="false" outlineLevel="0" collapsed="false">
      <c r="A1707" s="7" t="n">
        <v>2015</v>
      </c>
      <c r="B1707" s="12" t="s">
        <v>76</v>
      </c>
      <c r="C1707" s="12" t="s">
        <v>72</v>
      </c>
      <c r="D1707" s="12" t="s">
        <v>46</v>
      </c>
      <c r="E1707" s="16" t="n">
        <v>24.951094</v>
      </c>
      <c r="F1707" s="16" t="n">
        <v>0</v>
      </c>
      <c r="G1707" s="16" t="n">
        <v>26.959499</v>
      </c>
    </row>
    <row r="1708" customFormat="false" ht="15" hidden="false" customHeight="false" outlineLevel="0" collapsed="false">
      <c r="A1708" s="7" t="n">
        <v>2015</v>
      </c>
      <c r="B1708" s="12" t="s">
        <v>76</v>
      </c>
      <c r="C1708" s="12" t="s">
        <v>72</v>
      </c>
      <c r="D1708" s="12" t="s">
        <v>45</v>
      </c>
      <c r="E1708" s="16" t="n">
        <v>46.131267</v>
      </c>
      <c r="F1708" s="16" t="n">
        <v>0</v>
      </c>
      <c r="G1708" s="16" t="n">
        <v>21.671151</v>
      </c>
    </row>
    <row r="1709" customFormat="false" ht="15" hidden="false" customHeight="false" outlineLevel="0" collapsed="false">
      <c r="A1709" s="7" t="n">
        <v>2015</v>
      </c>
      <c r="B1709" s="12" t="s">
        <v>77</v>
      </c>
      <c r="C1709" s="12" t="s">
        <v>57</v>
      </c>
      <c r="D1709" s="12" t="s">
        <v>49</v>
      </c>
      <c r="E1709" s="16" t="n">
        <v>42.025282</v>
      </c>
      <c r="F1709" s="16" t="n">
        <v>0</v>
      </c>
      <c r="G1709" s="16" t="n">
        <v>4.314051</v>
      </c>
    </row>
    <row r="1710" customFormat="false" ht="15" hidden="false" customHeight="false" outlineLevel="0" collapsed="false">
      <c r="A1710" s="7" t="n">
        <v>2015</v>
      </c>
      <c r="B1710" s="12" t="s">
        <v>77</v>
      </c>
      <c r="C1710" s="12" t="s">
        <v>57</v>
      </c>
      <c r="D1710" s="12" t="s">
        <v>48</v>
      </c>
      <c r="E1710" s="16" t="n">
        <v>21.968238</v>
      </c>
      <c r="F1710" s="16" t="n">
        <v>0</v>
      </c>
      <c r="G1710" s="16" t="n">
        <v>0</v>
      </c>
    </row>
    <row r="1711" customFormat="false" ht="15" hidden="false" customHeight="false" outlineLevel="0" collapsed="false">
      <c r="A1711" s="7" t="n">
        <v>2015</v>
      </c>
      <c r="B1711" s="12" t="s">
        <v>77</v>
      </c>
      <c r="C1711" s="12" t="s">
        <v>57</v>
      </c>
      <c r="D1711" s="12" t="s">
        <v>46</v>
      </c>
      <c r="E1711" s="16" t="n">
        <v>15.514298</v>
      </c>
      <c r="F1711" s="16" t="n">
        <v>0</v>
      </c>
      <c r="G1711" s="16" t="n">
        <v>10.779201</v>
      </c>
    </row>
    <row r="1712" customFormat="false" ht="15" hidden="false" customHeight="false" outlineLevel="0" collapsed="false">
      <c r="A1712" s="7" t="n">
        <v>2015</v>
      </c>
      <c r="B1712" s="12" t="s">
        <v>77</v>
      </c>
      <c r="C1712" s="12" t="s">
        <v>57</v>
      </c>
      <c r="D1712" s="12" t="s">
        <v>47</v>
      </c>
      <c r="E1712" s="16" t="n">
        <v>1.024848</v>
      </c>
      <c r="F1712" s="16" t="n">
        <v>0</v>
      </c>
      <c r="G1712" s="16" t="n">
        <v>0</v>
      </c>
    </row>
    <row r="1713" customFormat="false" ht="15" hidden="false" customHeight="false" outlineLevel="0" collapsed="false">
      <c r="A1713" s="7" t="n">
        <v>2015</v>
      </c>
      <c r="B1713" s="12" t="s">
        <v>77</v>
      </c>
      <c r="C1713" s="12" t="s">
        <v>57</v>
      </c>
      <c r="D1713" s="12" t="s">
        <v>45</v>
      </c>
      <c r="E1713" s="16" t="n">
        <v>27.080231</v>
      </c>
      <c r="F1713" s="16" t="n">
        <v>16.995586</v>
      </c>
      <c r="G1713" s="16" t="n">
        <v>6.389151</v>
      </c>
    </row>
    <row r="1714" customFormat="false" ht="15" hidden="false" customHeight="false" outlineLevel="0" collapsed="false">
      <c r="A1714" s="7" t="n">
        <v>2015</v>
      </c>
      <c r="B1714" s="12" t="s">
        <v>78</v>
      </c>
      <c r="C1714" s="12" t="s">
        <v>65</v>
      </c>
      <c r="D1714" s="12" t="s">
        <v>49</v>
      </c>
      <c r="E1714" s="16" t="n">
        <v>36.736294</v>
      </c>
      <c r="F1714" s="16" t="n">
        <v>0</v>
      </c>
      <c r="G1714" s="16" t="n">
        <v>2.445448</v>
      </c>
    </row>
    <row r="1715" customFormat="false" ht="15" hidden="false" customHeight="false" outlineLevel="0" collapsed="false">
      <c r="A1715" s="7" t="n">
        <v>2015</v>
      </c>
      <c r="B1715" s="12" t="s">
        <v>78</v>
      </c>
      <c r="C1715" s="12" t="s">
        <v>65</v>
      </c>
      <c r="D1715" s="12" t="s">
        <v>48</v>
      </c>
      <c r="E1715" s="16" t="n">
        <v>14.805176</v>
      </c>
      <c r="F1715" s="16" t="n">
        <v>0</v>
      </c>
      <c r="G1715" s="16" t="n">
        <v>0</v>
      </c>
    </row>
    <row r="1716" customFormat="false" ht="15" hidden="false" customHeight="false" outlineLevel="0" collapsed="false">
      <c r="A1716" s="7" t="n">
        <v>2015</v>
      </c>
      <c r="B1716" s="12" t="s">
        <v>78</v>
      </c>
      <c r="C1716" s="12" t="s">
        <v>65</v>
      </c>
      <c r="D1716" s="12" t="s">
        <v>46</v>
      </c>
      <c r="E1716" s="16" t="n">
        <v>15.461276</v>
      </c>
      <c r="F1716" s="16" t="n">
        <v>0</v>
      </c>
      <c r="G1716" s="16" t="n">
        <v>18.332795</v>
      </c>
    </row>
    <row r="1717" customFormat="false" ht="15" hidden="false" customHeight="false" outlineLevel="0" collapsed="false">
      <c r="A1717" s="7" t="n">
        <v>2015</v>
      </c>
      <c r="B1717" s="12" t="s">
        <v>78</v>
      </c>
      <c r="C1717" s="12" t="s">
        <v>65</v>
      </c>
      <c r="D1717" s="12" t="s">
        <v>45</v>
      </c>
      <c r="E1717" s="16" t="n">
        <v>17.885156</v>
      </c>
      <c r="F1717" s="16" t="n">
        <v>0</v>
      </c>
      <c r="G1717" s="16" t="n">
        <v>9.586615</v>
      </c>
    </row>
    <row r="1718" customFormat="false" ht="15" hidden="false" customHeight="false" outlineLevel="0" collapsed="false">
      <c r="A1718" s="7" t="n">
        <v>2015</v>
      </c>
      <c r="B1718" s="12" t="s">
        <v>79</v>
      </c>
      <c r="C1718" s="12" t="s">
        <v>72</v>
      </c>
      <c r="D1718" s="12" t="s">
        <v>49</v>
      </c>
      <c r="E1718" s="16" t="n">
        <v>144.780126</v>
      </c>
      <c r="F1718" s="16" t="n">
        <v>0</v>
      </c>
      <c r="G1718" s="16" t="n">
        <v>28.671089</v>
      </c>
    </row>
    <row r="1719" customFormat="false" ht="15" hidden="false" customHeight="false" outlineLevel="0" collapsed="false">
      <c r="A1719" s="7" t="n">
        <v>2015</v>
      </c>
      <c r="B1719" s="12" t="s">
        <v>79</v>
      </c>
      <c r="C1719" s="12" t="s">
        <v>72</v>
      </c>
      <c r="D1719" s="12" t="s">
        <v>48</v>
      </c>
      <c r="E1719" s="16" t="n">
        <v>120.572107</v>
      </c>
      <c r="F1719" s="16" t="n">
        <v>0</v>
      </c>
      <c r="G1719" s="16" t="n">
        <v>0</v>
      </c>
    </row>
    <row r="1720" customFormat="false" ht="15" hidden="false" customHeight="false" outlineLevel="0" collapsed="false">
      <c r="A1720" s="7" t="n">
        <v>2015</v>
      </c>
      <c r="B1720" s="12" t="s">
        <v>79</v>
      </c>
      <c r="C1720" s="12" t="s">
        <v>72</v>
      </c>
      <c r="D1720" s="12" t="s">
        <v>46</v>
      </c>
      <c r="E1720" s="16" t="n">
        <v>80.602343</v>
      </c>
      <c r="F1720" s="16" t="n">
        <v>0</v>
      </c>
      <c r="G1720" s="16" t="n">
        <v>104.675698</v>
      </c>
    </row>
    <row r="1721" customFormat="false" ht="15" hidden="false" customHeight="false" outlineLevel="0" collapsed="false">
      <c r="A1721" s="7" t="n">
        <v>2015</v>
      </c>
      <c r="B1721" s="12" t="s">
        <v>79</v>
      </c>
      <c r="C1721" s="12" t="s">
        <v>72</v>
      </c>
      <c r="D1721" s="12" t="s">
        <v>47</v>
      </c>
      <c r="E1721" s="16" t="n">
        <v>4.664378</v>
      </c>
      <c r="F1721" s="16" t="n">
        <v>0</v>
      </c>
      <c r="G1721" s="16" t="n">
        <v>0</v>
      </c>
    </row>
    <row r="1722" customFormat="false" ht="15" hidden="false" customHeight="false" outlineLevel="0" collapsed="false">
      <c r="A1722" s="7" t="n">
        <v>2015</v>
      </c>
      <c r="B1722" s="12" t="s">
        <v>79</v>
      </c>
      <c r="C1722" s="12" t="s">
        <v>72</v>
      </c>
      <c r="D1722" s="12" t="s">
        <v>45</v>
      </c>
      <c r="E1722" s="16" t="n">
        <v>270.364768</v>
      </c>
      <c r="F1722" s="16" t="n">
        <v>265.969819</v>
      </c>
      <c r="G1722" s="16" t="n">
        <v>0</v>
      </c>
    </row>
    <row r="1723" customFormat="false" ht="15" hidden="false" customHeight="false" outlineLevel="0" collapsed="false">
      <c r="A1723" s="7" t="n">
        <v>2015</v>
      </c>
      <c r="B1723" s="12" t="s">
        <v>80</v>
      </c>
      <c r="C1723" s="12" t="s">
        <v>72</v>
      </c>
      <c r="D1723" s="12" t="s">
        <v>49</v>
      </c>
      <c r="E1723" s="16" t="n">
        <v>85.707316</v>
      </c>
      <c r="F1723" s="16" t="n">
        <v>0</v>
      </c>
      <c r="G1723" s="16" t="n">
        <v>23.585199</v>
      </c>
    </row>
    <row r="1724" customFormat="false" ht="15" hidden="false" customHeight="false" outlineLevel="0" collapsed="false">
      <c r="A1724" s="7" t="n">
        <v>2015</v>
      </c>
      <c r="B1724" s="12" t="s">
        <v>80</v>
      </c>
      <c r="C1724" s="12" t="s">
        <v>72</v>
      </c>
      <c r="D1724" s="12" t="s">
        <v>48</v>
      </c>
      <c r="E1724" s="16" t="n">
        <v>19.8227</v>
      </c>
      <c r="F1724" s="16" t="n">
        <v>0</v>
      </c>
      <c r="G1724" s="16" t="n">
        <v>0</v>
      </c>
    </row>
    <row r="1725" customFormat="false" ht="15" hidden="false" customHeight="false" outlineLevel="0" collapsed="false">
      <c r="A1725" s="7" t="n">
        <v>2015</v>
      </c>
      <c r="B1725" s="12" t="s">
        <v>80</v>
      </c>
      <c r="C1725" s="12" t="s">
        <v>72</v>
      </c>
      <c r="D1725" s="12" t="s">
        <v>46</v>
      </c>
      <c r="E1725" s="16" t="n">
        <v>28.778281</v>
      </c>
      <c r="F1725" s="16" t="n">
        <v>0</v>
      </c>
      <c r="G1725" s="16" t="n">
        <v>53.282292</v>
      </c>
    </row>
    <row r="1726" customFormat="false" ht="15" hidden="false" customHeight="false" outlineLevel="0" collapsed="false">
      <c r="A1726" s="7" t="n">
        <v>2015</v>
      </c>
      <c r="B1726" s="12" t="s">
        <v>80</v>
      </c>
      <c r="C1726" s="12" t="s">
        <v>72</v>
      </c>
      <c r="D1726" s="12" t="s">
        <v>47</v>
      </c>
      <c r="E1726" s="16" t="n">
        <v>2.134831</v>
      </c>
      <c r="F1726" s="16" t="n">
        <v>0</v>
      </c>
      <c r="G1726" s="16" t="n">
        <v>0</v>
      </c>
    </row>
    <row r="1727" customFormat="false" ht="15" hidden="false" customHeight="false" outlineLevel="0" collapsed="false">
      <c r="A1727" s="7" t="n">
        <v>2015</v>
      </c>
      <c r="B1727" s="12" t="s">
        <v>80</v>
      </c>
      <c r="C1727" s="12" t="s">
        <v>72</v>
      </c>
      <c r="D1727" s="12" t="s">
        <v>45</v>
      </c>
      <c r="E1727" s="16" t="n">
        <v>159.340894</v>
      </c>
      <c r="F1727" s="16" t="n">
        <v>157.104796</v>
      </c>
      <c r="G1727" s="16" t="n">
        <v>0</v>
      </c>
    </row>
    <row r="1728" customFormat="false" ht="15" hidden="false" customHeight="false" outlineLevel="0" collapsed="false">
      <c r="A1728" s="7" t="n">
        <v>2015</v>
      </c>
      <c r="B1728" s="12" t="s">
        <v>81</v>
      </c>
      <c r="C1728" s="12" t="s">
        <v>72</v>
      </c>
      <c r="D1728" s="12" t="s">
        <v>49</v>
      </c>
      <c r="E1728" s="16" t="n">
        <v>81.249228</v>
      </c>
      <c r="F1728" s="16" t="n">
        <v>0</v>
      </c>
      <c r="G1728" s="16" t="n">
        <v>8.192123</v>
      </c>
    </row>
    <row r="1729" customFormat="false" ht="15" hidden="false" customHeight="false" outlineLevel="0" collapsed="false">
      <c r="A1729" s="7" t="n">
        <v>2015</v>
      </c>
      <c r="B1729" s="12" t="s">
        <v>81</v>
      </c>
      <c r="C1729" s="12" t="s">
        <v>72</v>
      </c>
      <c r="D1729" s="12" t="s">
        <v>48</v>
      </c>
      <c r="E1729" s="16" t="n">
        <v>41.417841</v>
      </c>
      <c r="F1729" s="16" t="n">
        <v>0</v>
      </c>
      <c r="G1729" s="16" t="n">
        <v>0</v>
      </c>
    </row>
    <row r="1730" customFormat="false" ht="15" hidden="false" customHeight="false" outlineLevel="0" collapsed="false">
      <c r="A1730" s="7" t="n">
        <v>2015</v>
      </c>
      <c r="B1730" s="12" t="s">
        <v>81</v>
      </c>
      <c r="C1730" s="12" t="s">
        <v>72</v>
      </c>
      <c r="D1730" s="12" t="s">
        <v>46</v>
      </c>
      <c r="E1730" s="16" t="n">
        <v>52.051598</v>
      </c>
      <c r="F1730" s="16" t="n">
        <v>0</v>
      </c>
      <c r="G1730" s="16" t="n">
        <v>23.362721</v>
      </c>
    </row>
    <row r="1731" customFormat="false" ht="15" hidden="false" customHeight="false" outlineLevel="0" collapsed="false">
      <c r="A1731" s="7" t="n">
        <v>2015</v>
      </c>
      <c r="B1731" s="12" t="s">
        <v>81</v>
      </c>
      <c r="C1731" s="12" t="s">
        <v>72</v>
      </c>
      <c r="D1731" s="12" t="s">
        <v>47</v>
      </c>
      <c r="E1731" s="16" t="n">
        <v>1.979903</v>
      </c>
      <c r="F1731" s="16" t="n">
        <v>0</v>
      </c>
      <c r="G1731" s="16" t="n">
        <v>0</v>
      </c>
    </row>
    <row r="1732" customFormat="false" ht="15" hidden="false" customHeight="false" outlineLevel="0" collapsed="false">
      <c r="A1732" s="7" t="n">
        <v>2015</v>
      </c>
      <c r="B1732" s="12" t="s">
        <v>81</v>
      </c>
      <c r="C1732" s="12" t="s">
        <v>72</v>
      </c>
      <c r="D1732" s="12" t="s">
        <v>45</v>
      </c>
      <c r="E1732" s="16" t="n">
        <v>135.533223</v>
      </c>
      <c r="F1732" s="16" t="n">
        <v>132.617637</v>
      </c>
      <c r="G1732" s="16" t="n">
        <v>0</v>
      </c>
    </row>
    <row r="1733" customFormat="false" ht="15" hidden="false" customHeight="false" outlineLevel="0" collapsed="false">
      <c r="A1733" s="7" t="n">
        <v>2016</v>
      </c>
      <c r="B1733" s="12" t="s">
        <v>56</v>
      </c>
      <c r="C1733" s="12" t="s">
        <v>57</v>
      </c>
      <c r="D1733" s="12" t="s">
        <v>49</v>
      </c>
      <c r="E1733" s="16" t="n">
        <v>60.228053</v>
      </c>
      <c r="F1733" s="16" t="n">
        <v>0</v>
      </c>
      <c r="G1733" s="16" t="n">
        <v>14.700719</v>
      </c>
    </row>
    <row r="1734" customFormat="false" ht="15" hidden="false" customHeight="false" outlineLevel="0" collapsed="false">
      <c r="A1734" s="7" t="n">
        <v>2016</v>
      </c>
      <c r="B1734" s="12" t="s">
        <v>56</v>
      </c>
      <c r="C1734" s="12" t="s">
        <v>57</v>
      </c>
      <c r="D1734" s="12" t="s">
        <v>48</v>
      </c>
      <c r="E1734" s="16" t="n">
        <v>9.982534</v>
      </c>
      <c r="F1734" s="16" t="n">
        <v>0</v>
      </c>
      <c r="G1734" s="16" t="n">
        <v>0</v>
      </c>
    </row>
    <row r="1735" customFormat="false" ht="15" hidden="false" customHeight="false" outlineLevel="0" collapsed="false">
      <c r="A1735" s="7" t="n">
        <v>2016</v>
      </c>
      <c r="B1735" s="12" t="s">
        <v>56</v>
      </c>
      <c r="C1735" s="12" t="s">
        <v>57</v>
      </c>
      <c r="D1735" s="12" t="s">
        <v>46</v>
      </c>
      <c r="E1735" s="16" t="n">
        <v>27.422576</v>
      </c>
      <c r="F1735" s="16" t="n">
        <v>0</v>
      </c>
      <c r="G1735" s="16" t="n">
        <v>18.589172</v>
      </c>
    </row>
    <row r="1736" customFormat="false" ht="15" hidden="false" customHeight="false" outlineLevel="0" collapsed="false">
      <c r="A1736" s="7" t="n">
        <v>2016</v>
      </c>
      <c r="B1736" s="12" t="s">
        <v>56</v>
      </c>
      <c r="C1736" s="12" t="s">
        <v>57</v>
      </c>
      <c r="D1736" s="12" t="s">
        <v>45</v>
      </c>
      <c r="E1736" s="16" t="n">
        <v>84.273001</v>
      </c>
      <c r="F1736" s="16" t="n">
        <v>63.606628</v>
      </c>
      <c r="G1736" s="16" t="n">
        <v>18.019802</v>
      </c>
    </row>
    <row r="1737" customFormat="false" ht="15" hidden="false" customHeight="false" outlineLevel="0" collapsed="false">
      <c r="A1737" s="7" t="n">
        <v>2016</v>
      </c>
      <c r="B1737" s="12" t="s">
        <v>58</v>
      </c>
      <c r="C1737" s="12" t="s">
        <v>59</v>
      </c>
      <c r="D1737" s="12" t="s">
        <v>49</v>
      </c>
      <c r="E1737" s="16" t="n">
        <v>149.706793</v>
      </c>
      <c r="F1737" s="16" t="n">
        <v>0</v>
      </c>
      <c r="G1737" s="16" t="n">
        <v>37.325988</v>
      </c>
    </row>
    <row r="1738" customFormat="false" ht="15" hidden="false" customHeight="false" outlineLevel="0" collapsed="false">
      <c r="A1738" s="7" t="n">
        <v>2016</v>
      </c>
      <c r="B1738" s="12" t="s">
        <v>58</v>
      </c>
      <c r="C1738" s="12" t="s">
        <v>59</v>
      </c>
      <c r="D1738" s="12" t="s">
        <v>48</v>
      </c>
      <c r="E1738" s="16" t="n">
        <v>145.726013</v>
      </c>
      <c r="F1738" s="16" t="n">
        <v>0</v>
      </c>
      <c r="G1738" s="16" t="n">
        <v>0</v>
      </c>
    </row>
    <row r="1739" customFormat="false" ht="15" hidden="false" customHeight="false" outlineLevel="0" collapsed="false">
      <c r="A1739" s="7" t="n">
        <v>2016</v>
      </c>
      <c r="B1739" s="12" t="s">
        <v>58</v>
      </c>
      <c r="C1739" s="12" t="s">
        <v>59</v>
      </c>
      <c r="D1739" s="12" t="s">
        <v>46</v>
      </c>
      <c r="E1739" s="16" t="n">
        <v>249.492026</v>
      </c>
      <c r="F1739" s="16" t="n">
        <v>0</v>
      </c>
      <c r="G1739" s="16" t="n">
        <v>194.321635</v>
      </c>
    </row>
    <row r="1740" customFormat="false" ht="15" hidden="false" customHeight="false" outlineLevel="0" collapsed="false">
      <c r="A1740" s="7" t="n">
        <v>2016</v>
      </c>
      <c r="B1740" s="12" t="s">
        <v>58</v>
      </c>
      <c r="C1740" s="12" t="s">
        <v>59</v>
      </c>
      <c r="D1740" s="12" t="s">
        <v>47</v>
      </c>
      <c r="E1740" s="16" t="n">
        <v>0.755956</v>
      </c>
      <c r="F1740" s="16" t="n">
        <v>0</v>
      </c>
      <c r="G1740" s="16" t="n">
        <v>0</v>
      </c>
    </row>
    <row r="1741" customFormat="false" ht="15" hidden="false" customHeight="false" outlineLevel="0" collapsed="false">
      <c r="A1741" s="7" t="n">
        <v>2016</v>
      </c>
      <c r="B1741" s="12" t="s">
        <v>58</v>
      </c>
      <c r="C1741" s="12" t="s">
        <v>59</v>
      </c>
      <c r="D1741" s="12" t="s">
        <v>45</v>
      </c>
      <c r="E1741" s="16" t="n">
        <v>58.943485</v>
      </c>
      <c r="F1741" s="16" t="n">
        <v>20.716362</v>
      </c>
      <c r="G1741" s="16" t="n">
        <v>33.216144</v>
      </c>
    </row>
    <row r="1742" customFormat="false" ht="15" hidden="false" customHeight="false" outlineLevel="0" collapsed="false">
      <c r="A1742" s="7" t="n">
        <v>2016</v>
      </c>
      <c r="B1742" s="12" t="s">
        <v>60</v>
      </c>
      <c r="C1742" s="12" t="s">
        <v>59</v>
      </c>
      <c r="D1742" s="12" t="s">
        <v>49</v>
      </c>
      <c r="E1742" s="16" t="n">
        <v>488.643995</v>
      </c>
      <c r="F1742" s="16" t="n">
        <v>0</v>
      </c>
      <c r="G1742" s="16" t="n">
        <v>164.279957</v>
      </c>
    </row>
    <row r="1743" customFormat="false" ht="15" hidden="false" customHeight="false" outlineLevel="0" collapsed="false">
      <c r="A1743" s="7" t="n">
        <v>2016</v>
      </c>
      <c r="B1743" s="12" t="s">
        <v>60</v>
      </c>
      <c r="C1743" s="12" t="s">
        <v>59</v>
      </c>
      <c r="D1743" s="12" t="s">
        <v>48</v>
      </c>
      <c r="E1743" s="16" t="n">
        <v>470.153151</v>
      </c>
      <c r="F1743" s="16" t="n">
        <v>0</v>
      </c>
      <c r="G1743" s="16" t="n">
        <v>0</v>
      </c>
    </row>
    <row r="1744" customFormat="false" ht="15" hidden="false" customHeight="false" outlineLevel="0" collapsed="false">
      <c r="A1744" s="7" t="n">
        <v>2016</v>
      </c>
      <c r="B1744" s="12" t="s">
        <v>60</v>
      </c>
      <c r="C1744" s="12" t="s">
        <v>59</v>
      </c>
      <c r="D1744" s="12" t="s">
        <v>46</v>
      </c>
      <c r="E1744" s="16" t="n">
        <v>469.752968</v>
      </c>
      <c r="F1744" s="16" t="n">
        <v>0</v>
      </c>
      <c r="G1744" s="16" t="n">
        <v>444.176009</v>
      </c>
    </row>
    <row r="1745" customFormat="false" ht="15" hidden="false" customHeight="false" outlineLevel="0" collapsed="false">
      <c r="A1745" s="7" t="n">
        <v>2016</v>
      </c>
      <c r="B1745" s="12" t="s">
        <v>60</v>
      </c>
      <c r="C1745" s="12" t="s">
        <v>59</v>
      </c>
      <c r="D1745" s="12" t="s">
        <v>47</v>
      </c>
      <c r="E1745" s="16" t="n">
        <v>4.288494</v>
      </c>
      <c r="F1745" s="16" t="n">
        <v>0</v>
      </c>
      <c r="G1745" s="16" t="n">
        <v>0</v>
      </c>
    </row>
    <row r="1746" customFormat="false" ht="15" hidden="false" customHeight="false" outlineLevel="0" collapsed="false">
      <c r="A1746" s="7" t="n">
        <v>2016</v>
      </c>
      <c r="B1746" s="12" t="s">
        <v>60</v>
      </c>
      <c r="C1746" s="12" t="s">
        <v>59</v>
      </c>
      <c r="D1746" s="12" t="s">
        <v>45</v>
      </c>
      <c r="E1746" s="16" t="n">
        <v>369.632499</v>
      </c>
      <c r="F1746" s="16" t="n">
        <v>7.092445</v>
      </c>
      <c r="G1746" s="16" t="n">
        <v>98.826267</v>
      </c>
    </row>
    <row r="1747" customFormat="false" ht="15" hidden="false" customHeight="false" outlineLevel="0" collapsed="false">
      <c r="A1747" s="7" t="n">
        <v>2016</v>
      </c>
      <c r="B1747" s="12" t="s">
        <v>61</v>
      </c>
      <c r="C1747" s="12" t="s">
        <v>62</v>
      </c>
      <c r="D1747" s="12" t="s">
        <v>49</v>
      </c>
      <c r="E1747" s="16" t="n">
        <v>142.178386</v>
      </c>
      <c r="F1747" s="16" t="n">
        <v>0</v>
      </c>
      <c r="G1747" s="16" t="n">
        <v>104.484469</v>
      </c>
    </row>
    <row r="1748" customFormat="false" ht="15" hidden="false" customHeight="false" outlineLevel="0" collapsed="false">
      <c r="A1748" s="7" t="n">
        <v>2016</v>
      </c>
      <c r="B1748" s="12" t="s">
        <v>61</v>
      </c>
      <c r="C1748" s="12" t="s">
        <v>62</v>
      </c>
      <c r="D1748" s="12" t="s">
        <v>48</v>
      </c>
      <c r="E1748" s="16" t="n">
        <v>176.438436</v>
      </c>
      <c r="F1748" s="16" t="n">
        <v>0</v>
      </c>
      <c r="G1748" s="16" t="n">
        <v>0</v>
      </c>
    </row>
    <row r="1749" customFormat="false" ht="15" hidden="false" customHeight="false" outlineLevel="0" collapsed="false">
      <c r="A1749" s="7" t="n">
        <v>2016</v>
      </c>
      <c r="B1749" s="12" t="s">
        <v>61</v>
      </c>
      <c r="C1749" s="12" t="s">
        <v>62</v>
      </c>
      <c r="D1749" s="12" t="s">
        <v>46</v>
      </c>
      <c r="E1749" s="16" t="n">
        <v>167.78923</v>
      </c>
      <c r="F1749" s="16" t="n">
        <v>0</v>
      </c>
      <c r="G1749" s="16" t="n">
        <v>205.340298</v>
      </c>
    </row>
    <row r="1750" customFormat="false" ht="15" hidden="false" customHeight="false" outlineLevel="0" collapsed="false">
      <c r="A1750" s="7" t="n">
        <v>2016</v>
      </c>
      <c r="B1750" s="12" t="s">
        <v>61</v>
      </c>
      <c r="C1750" s="12" t="s">
        <v>62</v>
      </c>
      <c r="D1750" s="12" t="s">
        <v>47</v>
      </c>
      <c r="E1750" s="16" t="n">
        <v>6.920864</v>
      </c>
      <c r="F1750" s="16" t="n">
        <v>0</v>
      </c>
      <c r="G1750" s="16" t="n">
        <v>0</v>
      </c>
    </row>
    <row r="1751" customFormat="false" ht="15" hidden="false" customHeight="false" outlineLevel="0" collapsed="false">
      <c r="A1751" s="7" t="n">
        <v>2016</v>
      </c>
      <c r="B1751" s="12" t="s">
        <v>61</v>
      </c>
      <c r="C1751" s="12" t="s">
        <v>62</v>
      </c>
      <c r="D1751" s="12" t="s">
        <v>45</v>
      </c>
      <c r="E1751" s="16" t="n">
        <v>371.546432</v>
      </c>
      <c r="F1751" s="16" t="n">
        <v>360.032489</v>
      </c>
      <c r="G1751" s="16" t="n">
        <v>1.03482</v>
      </c>
    </row>
    <row r="1752" customFormat="false" ht="15" hidden="false" customHeight="false" outlineLevel="0" collapsed="false">
      <c r="A1752" s="7" t="n">
        <v>2016</v>
      </c>
      <c r="B1752" s="12" t="s">
        <v>63</v>
      </c>
      <c r="C1752" s="12" t="s">
        <v>62</v>
      </c>
      <c r="D1752" s="12" t="s">
        <v>49</v>
      </c>
      <c r="E1752" s="16" t="n">
        <v>357.938273</v>
      </c>
      <c r="F1752" s="16" t="n">
        <v>0</v>
      </c>
      <c r="G1752" s="16" t="n">
        <v>130.692193</v>
      </c>
    </row>
    <row r="1753" customFormat="false" ht="15" hidden="false" customHeight="false" outlineLevel="0" collapsed="false">
      <c r="A1753" s="7" t="n">
        <v>2016</v>
      </c>
      <c r="B1753" s="12" t="s">
        <v>63</v>
      </c>
      <c r="C1753" s="12" t="s">
        <v>62</v>
      </c>
      <c r="D1753" s="12" t="s">
        <v>48</v>
      </c>
      <c r="E1753" s="16" t="n">
        <v>244.735002</v>
      </c>
      <c r="F1753" s="16" t="n">
        <v>0</v>
      </c>
      <c r="G1753" s="16" t="n">
        <v>0</v>
      </c>
    </row>
    <row r="1754" customFormat="false" ht="15" hidden="false" customHeight="false" outlineLevel="0" collapsed="false">
      <c r="A1754" s="7" t="n">
        <v>2016</v>
      </c>
      <c r="B1754" s="12" t="s">
        <v>63</v>
      </c>
      <c r="C1754" s="12" t="s">
        <v>62</v>
      </c>
      <c r="D1754" s="12" t="s">
        <v>46</v>
      </c>
      <c r="E1754" s="16" t="n">
        <v>283.326868</v>
      </c>
      <c r="F1754" s="16" t="n">
        <v>0</v>
      </c>
      <c r="G1754" s="16" t="n">
        <v>298.598562</v>
      </c>
    </row>
    <row r="1755" customFormat="false" ht="15" hidden="false" customHeight="false" outlineLevel="0" collapsed="false">
      <c r="A1755" s="7" t="n">
        <v>2016</v>
      </c>
      <c r="B1755" s="12" t="s">
        <v>63</v>
      </c>
      <c r="C1755" s="12" t="s">
        <v>62</v>
      </c>
      <c r="D1755" s="12" t="s">
        <v>47</v>
      </c>
      <c r="E1755" s="16" t="n">
        <v>7.189979</v>
      </c>
      <c r="F1755" s="16" t="n">
        <v>0</v>
      </c>
      <c r="G1755" s="16" t="n">
        <v>0</v>
      </c>
    </row>
    <row r="1756" customFormat="false" ht="15" hidden="false" customHeight="false" outlineLevel="0" collapsed="false">
      <c r="A1756" s="7" t="n">
        <v>2016</v>
      </c>
      <c r="B1756" s="12" t="s">
        <v>63</v>
      </c>
      <c r="C1756" s="12" t="s">
        <v>62</v>
      </c>
      <c r="D1756" s="12" t="s">
        <v>45</v>
      </c>
      <c r="E1756" s="16" t="n">
        <v>354.943905</v>
      </c>
      <c r="F1756" s="16" t="n">
        <v>317.46358</v>
      </c>
      <c r="G1756" s="16" t="n">
        <v>1.378765</v>
      </c>
    </row>
    <row r="1757" customFormat="false" ht="15" hidden="false" customHeight="false" outlineLevel="0" collapsed="false">
      <c r="A1757" s="7" t="n">
        <v>2016</v>
      </c>
      <c r="B1757" s="12" t="s">
        <v>64</v>
      </c>
      <c r="C1757" s="12" t="s">
        <v>65</v>
      </c>
      <c r="D1757" s="12" t="s">
        <v>49</v>
      </c>
      <c r="E1757" s="16" t="n">
        <v>152.276493</v>
      </c>
      <c r="F1757" s="16" t="n">
        <v>0</v>
      </c>
      <c r="G1757" s="16" t="n">
        <v>23.271858</v>
      </c>
    </row>
    <row r="1758" customFormat="false" ht="15" hidden="false" customHeight="false" outlineLevel="0" collapsed="false">
      <c r="A1758" s="7" t="n">
        <v>2016</v>
      </c>
      <c r="B1758" s="12" t="s">
        <v>64</v>
      </c>
      <c r="C1758" s="12" t="s">
        <v>65</v>
      </c>
      <c r="D1758" s="12" t="s">
        <v>48</v>
      </c>
      <c r="E1758" s="16" t="n">
        <v>36.137127</v>
      </c>
      <c r="F1758" s="16" t="n">
        <v>0</v>
      </c>
      <c r="G1758" s="16" t="n">
        <v>0</v>
      </c>
    </row>
    <row r="1759" customFormat="false" ht="15" hidden="false" customHeight="false" outlineLevel="0" collapsed="false">
      <c r="A1759" s="7" t="n">
        <v>2016</v>
      </c>
      <c r="B1759" s="12" t="s">
        <v>64</v>
      </c>
      <c r="C1759" s="12" t="s">
        <v>65</v>
      </c>
      <c r="D1759" s="12" t="s">
        <v>46</v>
      </c>
      <c r="E1759" s="16" t="n">
        <v>99.679927</v>
      </c>
      <c r="F1759" s="16" t="n">
        <v>0</v>
      </c>
      <c r="G1759" s="16" t="n">
        <v>81.69369</v>
      </c>
    </row>
    <row r="1760" customFormat="false" ht="15" hidden="false" customHeight="false" outlineLevel="0" collapsed="false">
      <c r="A1760" s="7" t="n">
        <v>2016</v>
      </c>
      <c r="B1760" s="12" t="s">
        <v>64</v>
      </c>
      <c r="C1760" s="12" t="s">
        <v>65</v>
      </c>
      <c r="D1760" s="12" t="s">
        <v>47</v>
      </c>
      <c r="E1760" s="16" t="n">
        <v>5.608788</v>
      </c>
      <c r="F1760" s="16" t="n">
        <v>0</v>
      </c>
      <c r="G1760" s="16" t="n">
        <v>0</v>
      </c>
    </row>
    <row r="1761" customFormat="false" ht="15" hidden="false" customHeight="false" outlineLevel="0" collapsed="false">
      <c r="A1761" s="7" t="n">
        <v>2016</v>
      </c>
      <c r="B1761" s="12" t="s">
        <v>64</v>
      </c>
      <c r="C1761" s="12" t="s">
        <v>65</v>
      </c>
      <c r="D1761" s="12" t="s">
        <v>45</v>
      </c>
      <c r="E1761" s="16" t="n">
        <v>76.550395</v>
      </c>
      <c r="F1761" s="16" t="n">
        <v>41.439497</v>
      </c>
      <c r="G1761" s="16" t="n">
        <v>32.715299</v>
      </c>
    </row>
    <row r="1762" customFormat="false" ht="15" hidden="false" customHeight="false" outlineLevel="0" collapsed="false">
      <c r="A1762" s="7" t="n">
        <v>2016</v>
      </c>
      <c r="B1762" s="12" t="s">
        <v>66</v>
      </c>
      <c r="C1762" s="12" t="s">
        <v>67</v>
      </c>
      <c r="D1762" s="12" t="s">
        <v>49</v>
      </c>
      <c r="E1762" s="16" t="n">
        <v>114.69824</v>
      </c>
      <c r="F1762" s="16" t="n">
        <v>0</v>
      </c>
      <c r="G1762" s="16" t="n">
        <v>19.855212</v>
      </c>
    </row>
    <row r="1763" customFormat="false" ht="15" hidden="false" customHeight="false" outlineLevel="0" collapsed="false">
      <c r="A1763" s="7" t="n">
        <v>2016</v>
      </c>
      <c r="B1763" s="12" t="s">
        <v>66</v>
      </c>
      <c r="C1763" s="12" t="s">
        <v>67</v>
      </c>
      <c r="D1763" s="12" t="s">
        <v>48</v>
      </c>
      <c r="E1763" s="16" t="n">
        <v>37.393838</v>
      </c>
      <c r="F1763" s="16" t="n">
        <v>0</v>
      </c>
      <c r="G1763" s="16" t="n">
        <v>0</v>
      </c>
    </row>
    <row r="1764" customFormat="false" ht="15" hidden="false" customHeight="false" outlineLevel="0" collapsed="false">
      <c r="A1764" s="7" t="n">
        <v>2016</v>
      </c>
      <c r="B1764" s="12" t="s">
        <v>66</v>
      </c>
      <c r="C1764" s="12" t="s">
        <v>67</v>
      </c>
      <c r="D1764" s="12" t="s">
        <v>46</v>
      </c>
      <c r="E1764" s="16" t="n">
        <v>67.670861</v>
      </c>
      <c r="F1764" s="16" t="n">
        <v>0</v>
      </c>
      <c r="G1764" s="16" t="n">
        <v>52.594046</v>
      </c>
    </row>
    <row r="1765" customFormat="false" ht="15" hidden="false" customHeight="false" outlineLevel="0" collapsed="false">
      <c r="A1765" s="7" t="n">
        <v>2016</v>
      </c>
      <c r="B1765" s="12" t="s">
        <v>66</v>
      </c>
      <c r="C1765" s="12" t="s">
        <v>67</v>
      </c>
      <c r="D1765" s="12" t="s">
        <v>47</v>
      </c>
      <c r="E1765" s="16" t="n">
        <v>4.006728</v>
      </c>
      <c r="F1765" s="16" t="n">
        <v>0</v>
      </c>
      <c r="G1765" s="16" t="n">
        <v>0</v>
      </c>
    </row>
    <row r="1766" customFormat="false" ht="15" hidden="false" customHeight="false" outlineLevel="0" collapsed="false">
      <c r="A1766" s="7" t="n">
        <v>2016</v>
      </c>
      <c r="B1766" s="12" t="s">
        <v>66</v>
      </c>
      <c r="C1766" s="12" t="s">
        <v>67</v>
      </c>
      <c r="D1766" s="12" t="s">
        <v>45</v>
      </c>
      <c r="E1766" s="16" t="n">
        <v>98.318323</v>
      </c>
      <c r="F1766" s="16" t="n">
        <v>67.583508</v>
      </c>
      <c r="G1766" s="16" t="n">
        <v>24.09917</v>
      </c>
    </row>
    <row r="1767" customFormat="false" ht="15" hidden="false" customHeight="false" outlineLevel="0" collapsed="false">
      <c r="A1767" s="7" t="n">
        <v>2016</v>
      </c>
      <c r="B1767" s="12" t="s">
        <v>68</v>
      </c>
      <c r="C1767" s="12" t="s">
        <v>65</v>
      </c>
      <c r="D1767" s="12" t="s">
        <v>49</v>
      </c>
      <c r="E1767" s="16" t="n">
        <v>133.657885</v>
      </c>
      <c r="F1767" s="16" t="n">
        <v>0</v>
      </c>
      <c r="G1767" s="16" t="n">
        <v>24.038009</v>
      </c>
    </row>
    <row r="1768" customFormat="false" ht="15" hidden="false" customHeight="false" outlineLevel="0" collapsed="false">
      <c r="A1768" s="7" t="n">
        <v>2016</v>
      </c>
      <c r="B1768" s="12" t="s">
        <v>68</v>
      </c>
      <c r="C1768" s="12" t="s">
        <v>65</v>
      </c>
      <c r="D1768" s="12" t="s">
        <v>48</v>
      </c>
      <c r="E1768" s="16" t="n">
        <v>22.434338</v>
      </c>
      <c r="F1768" s="16" t="n">
        <v>0</v>
      </c>
      <c r="G1768" s="16" t="n">
        <v>0</v>
      </c>
    </row>
    <row r="1769" customFormat="false" ht="15" hidden="false" customHeight="false" outlineLevel="0" collapsed="false">
      <c r="A1769" s="7" t="n">
        <v>2016</v>
      </c>
      <c r="B1769" s="12" t="s">
        <v>68</v>
      </c>
      <c r="C1769" s="12" t="s">
        <v>65</v>
      </c>
      <c r="D1769" s="12" t="s">
        <v>46</v>
      </c>
      <c r="E1769" s="16" t="n">
        <v>41.073876</v>
      </c>
      <c r="F1769" s="16" t="n">
        <v>0</v>
      </c>
      <c r="G1769" s="16" t="n">
        <v>39.826536</v>
      </c>
    </row>
    <row r="1770" customFormat="false" ht="15" hidden="false" customHeight="false" outlineLevel="0" collapsed="false">
      <c r="A1770" s="7" t="n">
        <v>2016</v>
      </c>
      <c r="B1770" s="12" t="s">
        <v>68</v>
      </c>
      <c r="C1770" s="12" t="s">
        <v>65</v>
      </c>
      <c r="D1770" s="12" t="s">
        <v>47</v>
      </c>
      <c r="E1770" s="16" t="n">
        <v>3.582712</v>
      </c>
      <c r="F1770" s="16" t="n">
        <v>0</v>
      </c>
      <c r="G1770" s="16" t="n">
        <v>0</v>
      </c>
    </row>
    <row r="1771" customFormat="false" ht="15" hidden="false" customHeight="false" outlineLevel="0" collapsed="false">
      <c r="A1771" s="7" t="n">
        <v>2016</v>
      </c>
      <c r="B1771" s="12" t="s">
        <v>68</v>
      </c>
      <c r="C1771" s="12" t="s">
        <v>65</v>
      </c>
      <c r="D1771" s="12" t="s">
        <v>45</v>
      </c>
      <c r="E1771" s="16" t="n">
        <v>27.978548</v>
      </c>
      <c r="F1771" s="16" t="n">
        <v>7.501609</v>
      </c>
      <c r="G1771" s="16" t="n">
        <v>7.296912</v>
      </c>
    </row>
    <row r="1772" customFormat="false" ht="15" hidden="false" customHeight="false" outlineLevel="0" collapsed="false">
      <c r="A1772" s="7" t="n">
        <v>2016</v>
      </c>
      <c r="B1772" s="12" t="s">
        <v>69</v>
      </c>
      <c r="C1772" s="12" t="s">
        <v>70</v>
      </c>
      <c r="D1772" s="12" t="s">
        <v>49</v>
      </c>
      <c r="E1772" s="16" t="n">
        <v>115.22356</v>
      </c>
      <c r="F1772" s="16" t="n">
        <v>0</v>
      </c>
      <c r="G1772" s="16" t="n">
        <v>26.571253</v>
      </c>
    </row>
    <row r="1773" customFormat="false" ht="15" hidden="false" customHeight="false" outlineLevel="0" collapsed="false">
      <c r="A1773" s="7" t="n">
        <v>2016</v>
      </c>
      <c r="B1773" s="12" t="s">
        <v>69</v>
      </c>
      <c r="C1773" s="12" t="s">
        <v>70</v>
      </c>
      <c r="D1773" s="12" t="s">
        <v>48</v>
      </c>
      <c r="E1773" s="16" t="n">
        <v>72.597082</v>
      </c>
      <c r="F1773" s="16" t="n">
        <v>0</v>
      </c>
      <c r="G1773" s="16" t="n">
        <v>0</v>
      </c>
    </row>
    <row r="1774" customFormat="false" ht="15" hidden="false" customHeight="false" outlineLevel="0" collapsed="false">
      <c r="A1774" s="7" t="n">
        <v>2016</v>
      </c>
      <c r="B1774" s="12" t="s">
        <v>69</v>
      </c>
      <c r="C1774" s="12" t="s">
        <v>70</v>
      </c>
      <c r="D1774" s="12" t="s">
        <v>46</v>
      </c>
      <c r="E1774" s="16" t="n">
        <v>29.928096</v>
      </c>
      <c r="F1774" s="16" t="n">
        <v>0</v>
      </c>
      <c r="G1774" s="16" t="n">
        <v>59.912274</v>
      </c>
    </row>
    <row r="1775" customFormat="false" ht="15" hidden="false" customHeight="false" outlineLevel="0" collapsed="false">
      <c r="A1775" s="7" t="n">
        <v>2016</v>
      </c>
      <c r="B1775" s="12" t="s">
        <v>69</v>
      </c>
      <c r="C1775" s="12" t="s">
        <v>70</v>
      </c>
      <c r="D1775" s="12" t="s">
        <v>47</v>
      </c>
      <c r="E1775" s="16" t="n">
        <v>2.772769</v>
      </c>
      <c r="F1775" s="16" t="n">
        <v>0</v>
      </c>
      <c r="G1775" s="16" t="n">
        <v>0</v>
      </c>
    </row>
    <row r="1776" customFormat="false" ht="15" hidden="false" customHeight="false" outlineLevel="0" collapsed="false">
      <c r="A1776" s="7" t="n">
        <v>2016</v>
      </c>
      <c r="B1776" s="12" t="s">
        <v>69</v>
      </c>
      <c r="C1776" s="12" t="s">
        <v>70</v>
      </c>
      <c r="D1776" s="12" t="s">
        <v>45</v>
      </c>
      <c r="E1776" s="16" t="n">
        <v>362.583471</v>
      </c>
      <c r="F1776" s="16" t="n">
        <v>359.702044</v>
      </c>
      <c r="G1776" s="16" t="n">
        <v>0</v>
      </c>
    </row>
    <row r="1777" customFormat="false" ht="15" hidden="false" customHeight="false" outlineLevel="0" collapsed="false">
      <c r="A1777" s="7" t="n">
        <v>2016</v>
      </c>
      <c r="B1777" s="12" t="s">
        <v>71</v>
      </c>
      <c r="C1777" s="12" t="s">
        <v>72</v>
      </c>
      <c r="D1777" s="12" t="s">
        <v>49</v>
      </c>
      <c r="E1777" s="16" t="n">
        <v>34.53964</v>
      </c>
      <c r="F1777" s="16" t="n">
        <v>0</v>
      </c>
      <c r="G1777" s="16" t="n">
        <v>2.587782</v>
      </c>
    </row>
    <row r="1778" customFormat="false" ht="15" hidden="false" customHeight="false" outlineLevel="0" collapsed="false">
      <c r="A1778" s="7" t="n">
        <v>2016</v>
      </c>
      <c r="B1778" s="12" t="s">
        <v>71</v>
      </c>
      <c r="C1778" s="12" t="s">
        <v>72</v>
      </c>
      <c r="D1778" s="12" t="s">
        <v>48</v>
      </c>
      <c r="E1778" s="16" t="n">
        <v>14.74955</v>
      </c>
      <c r="F1778" s="16" t="n">
        <v>0</v>
      </c>
      <c r="G1778" s="16" t="n">
        <v>0</v>
      </c>
    </row>
    <row r="1779" customFormat="false" ht="15" hidden="false" customHeight="false" outlineLevel="0" collapsed="false">
      <c r="A1779" s="7" t="n">
        <v>2016</v>
      </c>
      <c r="B1779" s="12" t="s">
        <v>71</v>
      </c>
      <c r="C1779" s="12" t="s">
        <v>72</v>
      </c>
      <c r="D1779" s="12" t="s">
        <v>46</v>
      </c>
      <c r="E1779" s="16" t="n">
        <v>14.644057</v>
      </c>
      <c r="F1779" s="16" t="n">
        <v>0</v>
      </c>
      <c r="G1779" s="16" t="n">
        <v>13.389516</v>
      </c>
    </row>
    <row r="1780" customFormat="false" ht="15" hidden="false" customHeight="false" outlineLevel="0" collapsed="false">
      <c r="A1780" s="7" t="n">
        <v>2016</v>
      </c>
      <c r="B1780" s="12" t="s">
        <v>71</v>
      </c>
      <c r="C1780" s="12" t="s">
        <v>72</v>
      </c>
      <c r="D1780" s="12" t="s">
        <v>47</v>
      </c>
      <c r="E1780" s="16" t="n">
        <v>0.608194</v>
      </c>
      <c r="F1780" s="16" t="n">
        <v>0</v>
      </c>
      <c r="G1780" s="16" t="n">
        <v>0</v>
      </c>
    </row>
    <row r="1781" customFormat="false" ht="15" hidden="false" customHeight="false" outlineLevel="0" collapsed="false">
      <c r="A1781" s="7" t="n">
        <v>2016</v>
      </c>
      <c r="B1781" s="12" t="s">
        <v>71</v>
      </c>
      <c r="C1781" s="12" t="s">
        <v>72</v>
      </c>
      <c r="D1781" s="12" t="s">
        <v>45</v>
      </c>
      <c r="E1781" s="16" t="n">
        <v>36.421731</v>
      </c>
      <c r="F1781" s="16" t="n">
        <v>36.404837</v>
      </c>
      <c r="G1781" s="16" t="n">
        <v>0</v>
      </c>
    </row>
    <row r="1782" customFormat="false" ht="15" hidden="false" customHeight="false" outlineLevel="0" collapsed="false">
      <c r="A1782" s="7" t="n">
        <v>2016</v>
      </c>
      <c r="B1782" s="12" t="s">
        <v>73</v>
      </c>
      <c r="C1782" s="12" t="s">
        <v>70</v>
      </c>
      <c r="D1782" s="12" t="s">
        <v>49</v>
      </c>
      <c r="E1782" s="16" t="n">
        <v>63.771218</v>
      </c>
      <c r="F1782" s="16" t="n">
        <v>0</v>
      </c>
      <c r="G1782" s="16" t="n">
        <v>20.495184</v>
      </c>
    </row>
    <row r="1783" customFormat="false" ht="15" hidden="false" customHeight="false" outlineLevel="0" collapsed="false">
      <c r="A1783" s="7" t="n">
        <v>2016</v>
      </c>
      <c r="B1783" s="12" t="s">
        <v>73</v>
      </c>
      <c r="C1783" s="12" t="s">
        <v>70</v>
      </c>
      <c r="D1783" s="12" t="s">
        <v>48</v>
      </c>
      <c r="E1783" s="16" t="n">
        <v>116.429656</v>
      </c>
      <c r="F1783" s="16" t="n">
        <v>0</v>
      </c>
      <c r="G1783" s="16" t="n">
        <v>0</v>
      </c>
    </row>
    <row r="1784" customFormat="false" ht="15" hidden="false" customHeight="false" outlineLevel="0" collapsed="false">
      <c r="A1784" s="7" t="n">
        <v>2016</v>
      </c>
      <c r="B1784" s="12" t="s">
        <v>73</v>
      </c>
      <c r="C1784" s="12" t="s">
        <v>70</v>
      </c>
      <c r="D1784" s="12" t="s">
        <v>46</v>
      </c>
      <c r="E1784" s="16" t="n">
        <v>79.335853</v>
      </c>
      <c r="F1784" s="16" t="n">
        <v>0</v>
      </c>
      <c r="G1784" s="16" t="n">
        <v>67.381604</v>
      </c>
    </row>
    <row r="1785" customFormat="false" ht="15" hidden="false" customHeight="false" outlineLevel="0" collapsed="false">
      <c r="A1785" s="7" t="n">
        <v>2016</v>
      </c>
      <c r="B1785" s="12" t="s">
        <v>73</v>
      </c>
      <c r="C1785" s="12" t="s">
        <v>70</v>
      </c>
      <c r="D1785" s="12" t="s">
        <v>47</v>
      </c>
      <c r="E1785" s="16" t="n">
        <v>4.932417</v>
      </c>
      <c r="F1785" s="16" t="n">
        <v>0</v>
      </c>
      <c r="G1785" s="16" t="n">
        <v>0</v>
      </c>
    </row>
    <row r="1786" customFormat="false" ht="15" hidden="false" customHeight="false" outlineLevel="0" collapsed="false">
      <c r="A1786" s="7" t="n">
        <v>2016</v>
      </c>
      <c r="B1786" s="12" t="s">
        <v>73</v>
      </c>
      <c r="C1786" s="12" t="s">
        <v>70</v>
      </c>
      <c r="D1786" s="12" t="s">
        <v>45</v>
      </c>
      <c r="E1786" s="16" t="n">
        <v>67.179714</v>
      </c>
      <c r="F1786" s="16" t="n">
        <v>47.672409</v>
      </c>
      <c r="G1786" s="16" t="n">
        <v>27.757594</v>
      </c>
    </row>
    <row r="1787" customFormat="false" ht="15" hidden="false" customHeight="false" outlineLevel="0" collapsed="false">
      <c r="A1787" s="7" t="n">
        <v>2016</v>
      </c>
      <c r="B1787" s="12" t="s">
        <v>74</v>
      </c>
      <c r="C1787" s="12" t="s">
        <v>65</v>
      </c>
      <c r="D1787" s="12" t="s">
        <v>49</v>
      </c>
      <c r="E1787" s="16" t="n">
        <v>220.922935</v>
      </c>
      <c r="F1787" s="16" t="n">
        <v>0</v>
      </c>
      <c r="G1787" s="16" t="n">
        <v>49.250846</v>
      </c>
    </row>
    <row r="1788" customFormat="false" ht="15" hidden="false" customHeight="false" outlineLevel="0" collapsed="false">
      <c r="A1788" s="7" t="n">
        <v>2016</v>
      </c>
      <c r="B1788" s="12" t="s">
        <v>74</v>
      </c>
      <c r="C1788" s="12" t="s">
        <v>65</v>
      </c>
      <c r="D1788" s="12" t="s">
        <v>48</v>
      </c>
      <c r="E1788" s="16" t="n">
        <v>19.013036</v>
      </c>
      <c r="F1788" s="16" t="n">
        <v>0</v>
      </c>
      <c r="G1788" s="16" t="n">
        <v>0</v>
      </c>
    </row>
    <row r="1789" customFormat="false" ht="15" hidden="false" customHeight="false" outlineLevel="0" collapsed="false">
      <c r="A1789" s="7" t="n">
        <v>2016</v>
      </c>
      <c r="B1789" s="12" t="s">
        <v>74</v>
      </c>
      <c r="C1789" s="12" t="s">
        <v>65</v>
      </c>
      <c r="D1789" s="12" t="s">
        <v>46</v>
      </c>
      <c r="E1789" s="16" t="n">
        <v>43.823756</v>
      </c>
      <c r="F1789" s="16" t="n">
        <v>0</v>
      </c>
      <c r="G1789" s="16" t="n">
        <v>44.993441</v>
      </c>
    </row>
    <row r="1790" customFormat="false" ht="15" hidden="false" customHeight="false" outlineLevel="0" collapsed="false">
      <c r="A1790" s="7" t="n">
        <v>2016</v>
      </c>
      <c r="B1790" s="12" t="s">
        <v>74</v>
      </c>
      <c r="C1790" s="12" t="s">
        <v>65</v>
      </c>
      <c r="D1790" s="12" t="s">
        <v>47</v>
      </c>
      <c r="E1790" s="16" t="n">
        <v>5.433958</v>
      </c>
      <c r="F1790" s="16" t="n">
        <v>0</v>
      </c>
      <c r="G1790" s="16" t="n">
        <v>0</v>
      </c>
    </row>
    <row r="1791" customFormat="false" ht="15" hidden="false" customHeight="false" outlineLevel="0" collapsed="false">
      <c r="A1791" s="7" t="n">
        <v>2016</v>
      </c>
      <c r="B1791" s="12" t="s">
        <v>74</v>
      </c>
      <c r="C1791" s="12" t="s">
        <v>65</v>
      </c>
      <c r="D1791" s="12" t="s">
        <v>45</v>
      </c>
      <c r="E1791" s="16" t="n">
        <v>44.262584</v>
      </c>
      <c r="F1791" s="16" t="n">
        <v>0</v>
      </c>
      <c r="G1791" s="16" t="n">
        <v>21.939717</v>
      </c>
    </row>
    <row r="1792" customFormat="false" ht="15" hidden="false" customHeight="false" outlineLevel="0" collapsed="false">
      <c r="A1792" s="7" t="n">
        <v>2016</v>
      </c>
      <c r="B1792" s="12" t="s">
        <v>75</v>
      </c>
      <c r="C1792" s="12" t="s">
        <v>57</v>
      </c>
      <c r="D1792" s="12" t="s">
        <v>49</v>
      </c>
      <c r="E1792" s="16" t="n">
        <v>265.5317</v>
      </c>
      <c r="F1792" s="16" t="n">
        <v>0</v>
      </c>
      <c r="G1792" s="16" t="n">
        <v>96.98968</v>
      </c>
    </row>
    <row r="1793" customFormat="false" ht="15" hidden="false" customHeight="false" outlineLevel="0" collapsed="false">
      <c r="A1793" s="7" t="n">
        <v>2016</v>
      </c>
      <c r="B1793" s="12" t="s">
        <v>75</v>
      </c>
      <c r="C1793" s="12" t="s">
        <v>57</v>
      </c>
      <c r="D1793" s="12" t="s">
        <v>48</v>
      </c>
      <c r="E1793" s="16" t="n">
        <v>145.933229</v>
      </c>
      <c r="F1793" s="16" t="n">
        <v>0</v>
      </c>
      <c r="G1793" s="16" t="n">
        <v>0</v>
      </c>
    </row>
    <row r="1794" customFormat="false" ht="15" hidden="false" customHeight="false" outlineLevel="0" collapsed="false">
      <c r="A1794" s="7" t="n">
        <v>2016</v>
      </c>
      <c r="B1794" s="12" t="s">
        <v>75</v>
      </c>
      <c r="C1794" s="12" t="s">
        <v>57</v>
      </c>
      <c r="D1794" s="12" t="s">
        <v>46</v>
      </c>
      <c r="E1794" s="16" t="n">
        <v>110.969206</v>
      </c>
      <c r="F1794" s="16" t="n">
        <v>0</v>
      </c>
      <c r="G1794" s="16" t="n">
        <v>107.257645</v>
      </c>
    </row>
    <row r="1795" customFormat="false" ht="15" hidden="false" customHeight="false" outlineLevel="0" collapsed="false">
      <c r="A1795" s="7" t="n">
        <v>2016</v>
      </c>
      <c r="B1795" s="12" t="s">
        <v>75</v>
      </c>
      <c r="C1795" s="12" t="s">
        <v>57</v>
      </c>
      <c r="D1795" s="12" t="s">
        <v>47</v>
      </c>
      <c r="E1795" s="16" t="n">
        <v>9.58329</v>
      </c>
      <c r="F1795" s="16" t="n">
        <v>0</v>
      </c>
      <c r="G1795" s="16" t="n">
        <v>0</v>
      </c>
    </row>
    <row r="1796" customFormat="false" ht="15" hidden="false" customHeight="false" outlineLevel="0" collapsed="false">
      <c r="A1796" s="7" t="n">
        <v>2016</v>
      </c>
      <c r="B1796" s="12" t="s">
        <v>75</v>
      </c>
      <c r="C1796" s="12" t="s">
        <v>57</v>
      </c>
      <c r="D1796" s="12" t="s">
        <v>45</v>
      </c>
      <c r="E1796" s="16" t="n">
        <v>355.751626</v>
      </c>
      <c r="F1796" s="16" t="n">
        <v>193.894526</v>
      </c>
      <c r="G1796" s="16" t="n">
        <v>63.255906</v>
      </c>
    </row>
    <row r="1797" customFormat="false" ht="15" hidden="false" customHeight="false" outlineLevel="0" collapsed="false">
      <c r="A1797" s="7" t="n">
        <v>2016</v>
      </c>
      <c r="B1797" s="12" t="s">
        <v>76</v>
      </c>
      <c r="C1797" s="12" t="s">
        <v>72</v>
      </c>
      <c r="D1797" s="12" t="s">
        <v>49</v>
      </c>
      <c r="E1797" s="16" t="n">
        <v>41.366667</v>
      </c>
      <c r="F1797" s="16" t="n">
        <v>0</v>
      </c>
      <c r="G1797" s="16" t="n">
        <v>12.739719</v>
      </c>
    </row>
    <row r="1798" customFormat="false" ht="15" hidden="false" customHeight="false" outlineLevel="0" collapsed="false">
      <c r="A1798" s="7" t="n">
        <v>2016</v>
      </c>
      <c r="B1798" s="12" t="s">
        <v>76</v>
      </c>
      <c r="C1798" s="12" t="s">
        <v>72</v>
      </c>
      <c r="D1798" s="12" t="s">
        <v>48</v>
      </c>
      <c r="E1798" s="16" t="n">
        <v>21.708617</v>
      </c>
      <c r="F1798" s="16" t="n">
        <v>0</v>
      </c>
      <c r="G1798" s="16" t="n">
        <v>0</v>
      </c>
    </row>
    <row r="1799" customFormat="false" ht="15" hidden="false" customHeight="false" outlineLevel="0" collapsed="false">
      <c r="A1799" s="7" t="n">
        <v>2016</v>
      </c>
      <c r="B1799" s="12" t="s">
        <v>76</v>
      </c>
      <c r="C1799" s="12" t="s">
        <v>72</v>
      </c>
      <c r="D1799" s="12" t="s">
        <v>46</v>
      </c>
      <c r="E1799" s="16" t="n">
        <v>25.09604</v>
      </c>
      <c r="F1799" s="16" t="n">
        <v>0</v>
      </c>
      <c r="G1799" s="16" t="n">
        <v>28.549473</v>
      </c>
    </row>
    <row r="1800" customFormat="false" ht="15" hidden="false" customHeight="false" outlineLevel="0" collapsed="false">
      <c r="A1800" s="7" t="n">
        <v>2016</v>
      </c>
      <c r="B1800" s="12" t="s">
        <v>76</v>
      </c>
      <c r="C1800" s="12" t="s">
        <v>72</v>
      </c>
      <c r="D1800" s="12" t="s">
        <v>45</v>
      </c>
      <c r="E1800" s="16" t="n">
        <v>66.585841</v>
      </c>
      <c r="F1800" s="16" t="n">
        <v>0</v>
      </c>
      <c r="G1800" s="16" t="n">
        <v>25.43895</v>
      </c>
    </row>
    <row r="1801" customFormat="false" ht="15" hidden="false" customHeight="false" outlineLevel="0" collapsed="false">
      <c r="A1801" s="7" t="n">
        <v>2016</v>
      </c>
      <c r="B1801" s="12" t="s">
        <v>77</v>
      </c>
      <c r="C1801" s="12" t="s">
        <v>57</v>
      </c>
      <c r="D1801" s="12" t="s">
        <v>49</v>
      </c>
      <c r="E1801" s="16" t="n">
        <v>44.694847</v>
      </c>
      <c r="F1801" s="16" t="n">
        <v>0</v>
      </c>
      <c r="G1801" s="16" t="n">
        <v>4.540012</v>
      </c>
    </row>
    <row r="1802" customFormat="false" ht="15" hidden="false" customHeight="false" outlineLevel="0" collapsed="false">
      <c r="A1802" s="7" t="n">
        <v>2016</v>
      </c>
      <c r="B1802" s="12" t="s">
        <v>77</v>
      </c>
      <c r="C1802" s="12" t="s">
        <v>57</v>
      </c>
      <c r="D1802" s="12" t="s">
        <v>48</v>
      </c>
      <c r="E1802" s="16" t="n">
        <v>23.601547</v>
      </c>
      <c r="F1802" s="16" t="n">
        <v>0</v>
      </c>
      <c r="G1802" s="16" t="n">
        <v>0</v>
      </c>
    </row>
    <row r="1803" customFormat="false" ht="15" hidden="false" customHeight="false" outlineLevel="0" collapsed="false">
      <c r="A1803" s="7" t="n">
        <v>2016</v>
      </c>
      <c r="B1803" s="12" t="s">
        <v>77</v>
      </c>
      <c r="C1803" s="12" t="s">
        <v>57</v>
      </c>
      <c r="D1803" s="12" t="s">
        <v>46</v>
      </c>
      <c r="E1803" s="16" t="n">
        <v>16.790847</v>
      </c>
      <c r="F1803" s="16" t="n">
        <v>0</v>
      </c>
      <c r="G1803" s="16" t="n">
        <v>11.027172</v>
      </c>
    </row>
    <row r="1804" customFormat="false" ht="15" hidden="false" customHeight="false" outlineLevel="0" collapsed="false">
      <c r="A1804" s="7" t="n">
        <v>2016</v>
      </c>
      <c r="B1804" s="12" t="s">
        <v>77</v>
      </c>
      <c r="C1804" s="12" t="s">
        <v>57</v>
      </c>
      <c r="D1804" s="12" t="s">
        <v>47</v>
      </c>
      <c r="E1804" s="16" t="n">
        <v>1.031179</v>
      </c>
      <c r="F1804" s="16" t="n">
        <v>0</v>
      </c>
      <c r="G1804" s="16" t="n">
        <v>0</v>
      </c>
    </row>
    <row r="1805" customFormat="false" ht="15" hidden="false" customHeight="false" outlineLevel="0" collapsed="false">
      <c r="A1805" s="7" t="n">
        <v>2016</v>
      </c>
      <c r="B1805" s="12" t="s">
        <v>77</v>
      </c>
      <c r="C1805" s="12" t="s">
        <v>57</v>
      </c>
      <c r="D1805" s="12" t="s">
        <v>45</v>
      </c>
      <c r="E1805" s="16" t="n">
        <v>32.581569</v>
      </c>
      <c r="F1805" s="16" t="n">
        <v>22.085013</v>
      </c>
      <c r="G1805" s="16" t="n">
        <v>6.854504</v>
      </c>
    </row>
    <row r="1806" customFormat="false" ht="15" hidden="false" customHeight="false" outlineLevel="0" collapsed="false">
      <c r="A1806" s="7" t="n">
        <v>2016</v>
      </c>
      <c r="B1806" s="12" t="s">
        <v>78</v>
      </c>
      <c r="C1806" s="12" t="s">
        <v>65</v>
      </c>
      <c r="D1806" s="12" t="s">
        <v>49</v>
      </c>
      <c r="E1806" s="16" t="n">
        <v>38.838529</v>
      </c>
      <c r="F1806" s="16" t="n">
        <v>0</v>
      </c>
      <c r="G1806" s="16" t="n">
        <v>3.094982</v>
      </c>
    </row>
    <row r="1807" customFormat="false" ht="15" hidden="false" customHeight="false" outlineLevel="0" collapsed="false">
      <c r="A1807" s="7" t="n">
        <v>2016</v>
      </c>
      <c r="B1807" s="12" t="s">
        <v>78</v>
      </c>
      <c r="C1807" s="12" t="s">
        <v>65</v>
      </c>
      <c r="D1807" s="12" t="s">
        <v>48</v>
      </c>
      <c r="E1807" s="16" t="n">
        <v>16.968481</v>
      </c>
      <c r="F1807" s="16" t="n">
        <v>0</v>
      </c>
      <c r="G1807" s="16" t="n">
        <v>0</v>
      </c>
    </row>
    <row r="1808" customFormat="false" ht="15" hidden="false" customHeight="false" outlineLevel="0" collapsed="false">
      <c r="A1808" s="7" t="n">
        <v>2016</v>
      </c>
      <c r="B1808" s="12" t="s">
        <v>78</v>
      </c>
      <c r="C1808" s="12" t="s">
        <v>65</v>
      </c>
      <c r="D1808" s="12" t="s">
        <v>46</v>
      </c>
      <c r="E1808" s="16" t="n">
        <v>15.350234</v>
      </c>
      <c r="F1808" s="16" t="n">
        <v>0</v>
      </c>
      <c r="G1808" s="16" t="n">
        <v>19.144054</v>
      </c>
    </row>
    <row r="1809" customFormat="false" ht="15" hidden="false" customHeight="false" outlineLevel="0" collapsed="false">
      <c r="A1809" s="7" t="n">
        <v>2016</v>
      </c>
      <c r="B1809" s="12" t="s">
        <v>78</v>
      </c>
      <c r="C1809" s="12" t="s">
        <v>65</v>
      </c>
      <c r="D1809" s="12" t="s">
        <v>45</v>
      </c>
      <c r="E1809" s="16" t="n">
        <v>21.206184</v>
      </c>
      <c r="F1809" s="16" t="n">
        <v>0</v>
      </c>
      <c r="G1809" s="16" t="n">
        <v>9.721248</v>
      </c>
    </row>
    <row r="1810" customFormat="false" ht="15" hidden="false" customHeight="false" outlineLevel="0" collapsed="false">
      <c r="A1810" s="7" t="n">
        <v>2016</v>
      </c>
      <c r="B1810" s="12" t="s">
        <v>79</v>
      </c>
      <c r="C1810" s="12" t="s">
        <v>72</v>
      </c>
      <c r="D1810" s="12" t="s">
        <v>49</v>
      </c>
      <c r="E1810" s="16" t="n">
        <v>134.459233</v>
      </c>
      <c r="F1810" s="16" t="n">
        <v>0</v>
      </c>
      <c r="G1810" s="16" t="n">
        <v>32.778579</v>
      </c>
    </row>
    <row r="1811" customFormat="false" ht="15" hidden="false" customHeight="false" outlineLevel="0" collapsed="false">
      <c r="A1811" s="7" t="n">
        <v>2016</v>
      </c>
      <c r="B1811" s="12" t="s">
        <v>79</v>
      </c>
      <c r="C1811" s="12" t="s">
        <v>72</v>
      </c>
      <c r="D1811" s="12" t="s">
        <v>48</v>
      </c>
      <c r="E1811" s="16" t="n">
        <v>100.773747</v>
      </c>
      <c r="F1811" s="16" t="n">
        <v>0</v>
      </c>
      <c r="G1811" s="16" t="n">
        <v>0</v>
      </c>
    </row>
    <row r="1812" customFormat="false" ht="15" hidden="false" customHeight="false" outlineLevel="0" collapsed="false">
      <c r="A1812" s="7" t="n">
        <v>2016</v>
      </c>
      <c r="B1812" s="12" t="s">
        <v>79</v>
      </c>
      <c r="C1812" s="12" t="s">
        <v>72</v>
      </c>
      <c r="D1812" s="12" t="s">
        <v>46</v>
      </c>
      <c r="E1812" s="16" t="n">
        <v>92.874207</v>
      </c>
      <c r="F1812" s="16" t="n">
        <v>0</v>
      </c>
      <c r="G1812" s="16" t="n">
        <v>110.497249</v>
      </c>
    </row>
    <row r="1813" customFormat="false" ht="15" hidden="false" customHeight="false" outlineLevel="0" collapsed="false">
      <c r="A1813" s="7" t="n">
        <v>2016</v>
      </c>
      <c r="B1813" s="12" t="s">
        <v>79</v>
      </c>
      <c r="C1813" s="12" t="s">
        <v>72</v>
      </c>
      <c r="D1813" s="12" t="s">
        <v>47</v>
      </c>
      <c r="E1813" s="16" t="n">
        <v>5.052537</v>
      </c>
      <c r="F1813" s="16" t="n">
        <v>0</v>
      </c>
      <c r="G1813" s="16" t="n">
        <v>0</v>
      </c>
    </row>
    <row r="1814" customFormat="false" ht="15" hidden="false" customHeight="false" outlineLevel="0" collapsed="false">
      <c r="A1814" s="7" t="n">
        <v>2016</v>
      </c>
      <c r="B1814" s="12" t="s">
        <v>79</v>
      </c>
      <c r="C1814" s="12" t="s">
        <v>72</v>
      </c>
      <c r="D1814" s="12" t="s">
        <v>45</v>
      </c>
      <c r="E1814" s="16" t="n">
        <v>293.122847</v>
      </c>
      <c r="F1814" s="16" t="n">
        <v>287.889501</v>
      </c>
      <c r="G1814" s="16" t="n">
        <v>0</v>
      </c>
    </row>
    <row r="1815" customFormat="false" ht="15" hidden="false" customHeight="false" outlineLevel="0" collapsed="false">
      <c r="A1815" s="7" t="n">
        <v>2016</v>
      </c>
      <c r="B1815" s="12" t="s">
        <v>80</v>
      </c>
      <c r="C1815" s="12" t="s">
        <v>72</v>
      </c>
      <c r="D1815" s="12" t="s">
        <v>49</v>
      </c>
      <c r="E1815" s="16" t="n">
        <v>88.857116</v>
      </c>
      <c r="F1815" s="16" t="n">
        <v>0</v>
      </c>
      <c r="G1815" s="16" t="n">
        <v>26.206771</v>
      </c>
    </row>
    <row r="1816" customFormat="false" ht="15" hidden="false" customHeight="false" outlineLevel="0" collapsed="false">
      <c r="A1816" s="7" t="n">
        <v>2016</v>
      </c>
      <c r="B1816" s="12" t="s">
        <v>80</v>
      </c>
      <c r="C1816" s="12" t="s">
        <v>72</v>
      </c>
      <c r="D1816" s="12" t="s">
        <v>48</v>
      </c>
      <c r="E1816" s="16" t="n">
        <v>3.824419</v>
      </c>
      <c r="F1816" s="16" t="n">
        <v>0</v>
      </c>
      <c r="G1816" s="16" t="n">
        <v>0</v>
      </c>
    </row>
    <row r="1817" customFormat="false" ht="15" hidden="false" customHeight="false" outlineLevel="0" collapsed="false">
      <c r="A1817" s="7" t="n">
        <v>2016</v>
      </c>
      <c r="B1817" s="12" t="s">
        <v>80</v>
      </c>
      <c r="C1817" s="12" t="s">
        <v>72</v>
      </c>
      <c r="D1817" s="12" t="s">
        <v>46</v>
      </c>
      <c r="E1817" s="16" t="n">
        <v>26.421125</v>
      </c>
      <c r="F1817" s="16" t="n">
        <v>0</v>
      </c>
      <c r="G1817" s="16" t="n">
        <v>54.863954</v>
      </c>
    </row>
    <row r="1818" customFormat="false" ht="15" hidden="false" customHeight="false" outlineLevel="0" collapsed="false">
      <c r="A1818" s="7" t="n">
        <v>2016</v>
      </c>
      <c r="B1818" s="12" t="s">
        <v>80</v>
      </c>
      <c r="C1818" s="12" t="s">
        <v>72</v>
      </c>
      <c r="D1818" s="12" t="s">
        <v>47</v>
      </c>
      <c r="E1818" s="16" t="n">
        <v>1.942794</v>
      </c>
      <c r="F1818" s="16" t="n">
        <v>0</v>
      </c>
      <c r="G1818" s="16" t="n">
        <v>0</v>
      </c>
    </row>
    <row r="1819" customFormat="false" ht="15" hidden="false" customHeight="false" outlineLevel="0" collapsed="false">
      <c r="A1819" s="7" t="n">
        <v>2016</v>
      </c>
      <c r="B1819" s="12" t="s">
        <v>80</v>
      </c>
      <c r="C1819" s="12" t="s">
        <v>72</v>
      </c>
      <c r="D1819" s="12" t="s">
        <v>45</v>
      </c>
      <c r="E1819" s="16" t="n">
        <v>170.460356</v>
      </c>
      <c r="F1819" s="16" t="n">
        <v>168.174172</v>
      </c>
      <c r="G1819" s="16" t="n">
        <v>0</v>
      </c>
    </row>
    <row r="1820" customFormat="false" ht="15" hidden="false" customHeight="false" outlineLevel="0" collapsed="false">
      <c r="A1820" s="7" t="n">
        <v>2016</v>
      </c>
      <c r="B1820" s="12" t="s">
        <v>81</v>
      </c>
      <c r="C1820" s="12" t="s">
        <v>72</v>
      </c>
      <c r="D1820" s="12" t="s">
        <v>49</v>
      </c>
      <c r="E1820" s="16" t="n">
        <v>115.635484</v>
      </c>
      <c r="F1820" s="16" t="n">
        <v>0</v>
      </c>
      <c r="G1820" s="16" t="n">
        <v>7.0638</v>
      </c>
    </row>
    <row r="1821" customFormat="false" ht="15" hidden="false" customHeight="false" outlineLevel="0" collapsed="false">
      <c r="A1821" s="7" t="n">
        <v>2016</v>
      </c>
      <c r="B1821" s="12" t="s">
        <v>81</v>
      </c>
      <c r="C1821" s="12" t="s">
        <v>72</v>
      </c>
      <c r="D1821" s="12" t="s">
        <v>48</v>
      </c>
      <c r="E1821" s="16" t="n">
        <v>37.157954</v>
      </c>
      <c r="F1821" s="16" t="n">
        <v>0</v>
      </c>
      <c r="G1821" s="16" t="n">
        <v>0</v>
      </c>
    </row>
    <row r="1822" customFormat="false" ht="15" hidden="false" customHeight="false" outlineLevel="0" collapsed="false">
      <c r="A1822" s="7" t="n">
        <v>2016</v>
      </c>
      <c r="B1822" s="12" t="s">
        <v>81</v>
      </c>
      <c r="C1822" s="12" t="s">
        <v>72</v>
      </c>
      <c r="D1822" s="12" t="s">
        <v>46</v>
      </c>
      <c r="E1822" s="16" t="n">
        <v>37.347829</v>
      </c>
      <c r="F1822" s="16" t="n">
        <v>0</v>
      </c>
      <c r="G1822" s="16" t="n">
        <v>25.276958</v>
      </c>
    </row>
    <row r="1823" customFormat="false" ht="15" hidden="false" customHeight="false" outlineLevel="0" collapsed="false">
      <c r="A1823" s="7" t="n">
        <v>2016</v>
      </c>
      <c r="B1823" s="12" t="s">
        <v>81</v>
      </c>
      <c r="C1823" s="12" t="s">
        <v>72</v>
      </c>
      <c r="D1823" s="12" t="s">
        <v>47</v>
      </c>
      <c r="E1823" s="16" t="n">
        <v>1.87351</v>
      </c>
      <c r="F1823" s="16" t="n">
        <v>0</v>
      </c>
      <c r="G1823" s="16" t="n">
        <v>0</v>
      </c>
    </row>
    <row r="1824" customFormat="false" ht="15" hidden="false" customHeight="false" outlineLevel="0" collapsed="false">
      <c r="A1824" s="7" t="n">
        <v>2016</v>
      </c>
      <c r="B1824" s="12" t="s">
        <v>81</v>
      </c>
      <c r="C1824" s="12" t="s">
        <v>72</v>
      </c>
      <c r="D1824" s="12" t="s">
        <v>45</v>
      </c>
      <c r="E1824" s="16" t="n">
        <v>148.914413</v>
      </c>
      <c r="F1824" s="16" t="n">
        <v>141.585924</v>
      </c>
      <c r="G1824" s="16" t="n">
        <v>0</v>
      </c>
    </row>
    <row r="1825" customFormat="false" ht="15" hidden="false" customHeight="false" outlineLevel="0" collapsed="false">
      <c r="A1825" s="7" t="n">
        <v>2017</v>
      </c>
      <c r="B1825" s="12" t="s">
        <v>56</v>
      </c>
      <c r="C1825" s="12" t="s">
        <v>57</v>
      </c>
      <c r="D1825" s="12" t="s">
        <v>49</v>
      </c>
      <c r="E1825" s="16" t="n">
        <v>87.232031</v>
      </c>
      <c r="F1825" s="16" t="n">
        <v>0</v>
      </c>
      <c r="G1825" s="16" t="n">
        <v>14.939295</v>
      </c>
    </row>
    <row r="1826" customFormat="false" ht="15" hidden="false" customHeight="false" outlineLevel="0" collapsed="false">
      <c r="A1826" s="7" t="n">
        <v>2017</v>
      </c>
      <c r="B1826" s="12" t="s">
        <v>56</v>
      </c>
      <c r="C1826" s="12" t="s">
        <v>57</v>
      </c>
      <c r="D1826" s="12" t="s">
        <v>48</v>
      </c>
      <c r="E1826" s="16" t="n">
        <v>18.458676</v>
      </c>
      <c r="F1826" s="16" t="n">
        <v>0</v>
      </c>
      <c r="G1826" s="16" t="n">
        <v>0</v>
      </c>
    </row>
    <row r="1827" customFormat="false" ht="15" hidden="false" customHeight="false" outlineLevel="0" collapsed="false">
      <c r="A1827" s="7" t="n">
        <v>2017</v>
      </c>
      <c r="B1827" s="12" t="s">
        <v>56</v>
      </c>
      <c r="C1827" s="12" t="s">
        <v>57</v>
      </c>
      <c r="D1827" s="12" t="s">
        <v>46</v>
      </c>
      <c r="E1827" s="16" t="n">
        <v>25.592864</v>
      </c>
      <c r="F1827" s="16" t="n">
        <v>0</v>
      </c>
      <c r="G1827" s="16" t="n">
        <v>19.34813</v>
      </c>
    </row>
    <row r="1828" customFormat="false" ht="15" hidden="false" customHeight="false" outlineLevel="0" collapsed="false">
      <c r="A1828" s="7" t="n">
        <v>2017</v>
      </c>
      <c r="B1828" s="12" t="s">
        <v>56</v>
      </c>
      <c r="C1828" s="12" t="s">
        <v>57</v>
      </c>
      <c r="D1828" s="12" t="s">
        <v>45</v>
      </c>
      <c r="E1828" s="16" t="n">
        <v>92.280614</v>
      </c>
      <c r="F1828" s="16" t="n">
        <v>69.26783</v>
      </c>
      <c r="G1828" s="16" t="n">
        <v>19.155884</v>
      </c>
    </row>
    <row r="1829" customFormat="false" ht="15" hidden="false" customHeight="false" outlineLevel="0" collapsed="false">
      <c r="A1829" s="7" t="n">
        <v>2017</v>
      </c>
      <c r="B1829" s="12" t="s">
        <v>58</v>
      </c>
      <c r="C1829" s="12" t="s">
        <v>59</v>
      </c>
      <c r="D1829" s="12" t="s">
        <v>49</v>
      </c>
      <c r="E1829" s="16" t="n">
        <v>157.180823</v>
      </c>
      <c r="F1829" s="16" t="n">
        <v>0</v>
      </c>
      <c r="G1829" s="16" t="n">
        <v>41.652168</v>
      </c>
    </row>
    <row r="1830" customFormat="false" ht="15" hidden="false" customHeight="false" outlineLevel="0" collapsed="false">
      <c r="A1830" s="7" t="n">
        <v>2017</v>
      </c>
      <c r="B1830" s="12" t="s">
        <v>58</v>
      </c>
      <c r="C1830" s="12" t="s">
        <v>59</v>
      </c>
      <c r="D1830" s="12" t="s">
        <v>48</v>
      </c>
      <c r="E1830" s="16" t="n">
        <v>95.029804</v>
      </c>
      <c r="F1830" s="16" t="n">
        <v>0</v>
      </c>
      <c r="G1830" s="16" t="n">
        <v>0</v>
      </c>
    </row>
    <row r="1831" customFormat="false" ht="15" hidden="false" customHeight="false" outlineLevel="0" collapsed="false">
      <c r="A1831" s="7" t="n">
        <v>2017</v>
      </c>
      <c r="B1831" s="12" t="s">
        <v>58</v>
      </c>
      <c r="C1831" s="12" t="s">
        <v>59</v>
      </c>
      <c r="D1831" s="12" t="s">
        <v>46</v>
      </c>
      <c r="E1831" s="16" t="n">
        <v>238.697254</v>
      </c>
      <c r="F1831" s="16" t="n">
        <v>0</v>
      </c>
      <c r="G1831" s="16" t="n">
        <v>203.013329</v>
      </c>
    </row>
    <row r="1832" customFormat="false" ht="15" hidden="false" customHeight="false" outlineLevel="0" collapsed="false">
      <c r="A1832" s="7" t="n">
        <v>2017</v>
      </c>
      <c r="B1832" s="12" t="s">
        <v>58</v>
      </c>
      <c r="C1832" s="12" t="s">
        <v>59</v>
      </c>
      <c r="D1832" s="12" t="s">
        <v>47</v>
      </c>
      <c r="E1832" s="16" t="n">
        <v>0.768948</v>
      </c>
      <c r="F1832" s="16" t="n">
        <v>0</v>
      </c>
      <c r="G1832" s="16" t="n">
        <v>0</v>
      </c>
    </row>
    <row r="1833" customFormat="false" ht="15" hidden="false" customHeight="false" outlineLevel="0" collapsed="false">
      <c r="A1833" s="7" t="n">
        <v>2017</v>
      </c>
      <c r="B1833" s="12" t="s">
        <v>58</v>
      </c>
      <c r="C1833" s="12" t="s">
        <v>59</v>
      </c>
      <c r="D1833" s="12" t="s">
        <v>45</v>
      </c>
      <c r="E1833" s="16" t="n">
        <v>59.555109</v>
      </c>
      <c r="F1833" s="16" t="n">
        <v>20.385215</v>
      </c>
      <c r="G1833" s="16" t="n">
        <v>38.041383</v>
      </c>
    </row>
    <row r="1834" customFormat="false" ht="15" hidden="false" customHeight="false" outlineLevel="0" collapsed="false">
      <c r="A1834" s="7" t="n">
        <v>2017</v>
      </c>
      <c r="B1834" s="12" t="s">
        <v>60</v>
      </c>
      <c r="C1834" s="12" t="s">
        <v>59</v>
      </c>
      <c r="D1834" s="12" t="s">
        <v>49</v>
      </c>
      <c r="E1834" s="16" t="n">
        <v>470.617936</v>
      </c>
      <c r="F1834" s="16" t="n">
        <v>0</v>
      </c>
      <c r="G1834" s="16" t="n">
        <v>180.493166</v>
      </c>
    </row>
    <row r="1835" customFormat="false" ht="15" hidden="false" customHeight="false" outlineLevel="0" collapsed="false">
      <c r="A1835" s="7" t="n">
        <v>2017</v>
      </c>
      <c r="B1835" s="12" t="s">
        <v>60</v>
      </c>
      <c r="C1835" s="12" t="s">
        <v>59</v>
      </c>
      <c r="D1835" s="12" t="s">
        <v>48</v>
      </c>
      <c r="E1835" s="16" t="n">
        <v>362.172948</v>
      </c>
      <c r="F1835" s="16" t="n">
        <v>0</v>
      </c>
      <c r="G1835" s="16" t="n">
        <v>0</v>
      </c>
    </row>
    <row r="1836" customFormat="false" ht="15" hidden="false" customHeight="false" outlineLevel="0" collapsed="false">
      <c r="A1836" s="7" t="n">
        <v>2017</v>
      </c>
      <c r="B1836" s="12" t="s">
        <v>60</v>
      </c>
      <c r="C1836" s="12" t="s">
        <v>59</v>
      </c>
      <c r="D1836" s="12" t="s">
        <v>46</v>
      </c>
      <c r="E1836" s="16" t="n">
        <v>465.285062</v>
      </c>
      <c r="F1836" s="16" t="n">
        <v>0</v>
      </c>
      <c r="G1836" s="16" t="n">
        <v>484.276109</v>
      </c>
    </row>
    <row r="1837" customFormat="false" ht="15" hidden="false" customHeight="false" outlineLevel="0" collapsed="false">
      <c r="A1837" s="7" t="n">
        <v>2017</v>
      </c>
      <c r="B1837" s="12" t="s">
        <v>60</v>
      </c>
      <c r="C1837" s="12" t="s">
        <v>59</v>
      </c>
      <c r="D1837" s="12" t="s">
        <v>47</v>
      </c>
      <c r="E1837" s="16" t="n">
        <v>4.847909</v>
      </c>
      <c r="F1837" s="16" t="n">
        <v>0</v>
      </c>
      <c r="G1837" s="16" t="n">
        <v>0</v>
      </c>
    </row>
    <row r="1838" customFormat="false" ht="15" hidden="false" customHeight="false" outlineLevel="0" collapsed="false">
      <c r="A1838" s="7" t="n">
        <v>2017</v>
      </c>
      <c r="B1838" s="12" t="s">
        <v>60</v>
      </c>
      <c r="C1838" s="12" t="s">
        <v>59</v>
      </c>
      <c r="D1838" s="12" t="s">
        <v>45</v>
      </c>
      <c r="E1838" s="16" t="n">
        <v>427.803448</v>
      </c>
      <c r="F1838" s="16" t="n">
        <v>8.947591</v>
      </c>
      <c r="G1838" s="16" t="n">
        <v>110.803258</v>
      </c>
    </row>
    <row r="1839" customFormat="false" ht="15" hidden="false" customHeight="false" outlineLevel="0" collapsed="false">
      <c r="A1839" s="7" t="n">
        <v>2017</v>
      </c>
      <c r="B1839" s="12" t="s">
        <v>61</v>
      </c>
      <c r="C1839" s="12" t="s">
        <v>62</v>
      </c>
      <c r="D1839" s="12" t="s">
        <v>49</v>
      </c>
      <c r="E1839" s="16" t="n">
        <v>145.296346</v>
      </c>
      <c r="F1839" s="16" t="n">
        <v>0</v>
      </c>
      <c r="G1839" s="16" t="n">
        <v>110.340684</v>
      </c>
    </row>
    <row r="1840" customFormat="false" ht="15" hidden="false" customHeight="false" outlineLevel="0" collapsed="false">
      <c r="A1840" s="7" t="n">
        <v>2017</v>
      </c>
      <c r="B1840" s="12" t="s">
        <v>61</v>
      </c>
      <c r="C1840" s="12" t="s">
        <v>62</v>
      </c>
      <c r="D1840" s="12" t="s">
        <v>48</v>
      </c>
      <c r="E1840" s="16" t="n">
        <v>185.206261</v>
      </c>
      <c r="F1840" s="16" t="n">
        <v>0</v>
      </c>
      <c r="G1840" s="16" t="n">
        <v>0</v>
      </c>
    </row>
    <row r="1841" customFormat="false" ht="15" hidden="false" customHeight="false" outlineLevel="0" collapsed="false">
      <c r="A1841" s="7" t="n">
        <v>2017</v>
      </c>
      <c r="B1841" s="12" t="s">
        <v>61</v>
      </c>
      <c r="C1841" s="12" t="s">
        <v>62</v>
      </c>
      <c r="D1841" s="12" t="s">
        <v>46</v>
      </c>
      <c r="E1841" s="16" t="n">
        <v>185.796567</v>
      </c>
      <c r="F1841" s="16" t="n">
        <v>0</v>
      </c>
      <c r="G1841" s="16" t="n">
        <v>220.711753</v>
      </c>
    </row>
    <row r="1842" customFormat="false" ht="15" hidden="false" customHeight="false" outlineLevel="0" collapsed="false">
      <c r="A1842" s="7" t="n">
        <v>2017</v>
      </c>
      <c r="B1842" s="12" t="s">
        <v>61</v>
      </c>
      <c r="C1842" s="12" t="s">
        <v>62</v>
      </c>
      <c r="D1842" s="12" t="s">
        <v>47</v>
      </c>
      <c r="E1842" s="16" t="n">
        <v>6.830159</v>
      </c>
      <c r="F1842" s="16" t="n">
        <v>0</v>
      </c>
      <c r="G1842" s="16" t="n">
        <v>0</v>
      </c>
    </row>
    <row r="1843" customFormat="false" ht="15" hidden="false" customHeight="false" outlineLevel="0" collapsed="false">
      <c r="A1843" s="7" t="n">
        <v>2017</v>
      </c>
      <c r="B1843" s="12" t="s">
        <v>61</v>
      </c>
      <c r="C1843" s="12" t="s">
        <v>62</v>
      </c>
      <c r="D1843" s="12" t="s">
        <v>45</v>
      </c>
      <c r="E1843" s="16" t="n">
        <v>350.982623</v>
      </c>
      <c r="F1843" s="16" t="n">
        <v>338.569336</v>
      </c>
      <c r="G1843" s="16" t="n">
        <v>1.530504</v>
      </c>
    </row>
    <row r="1844" customFormat="false" ht="15" hidden="false" customHeight="false" outlineLevel="0" collapsed="false">
      <c r="A1844" s="7" t="n">
        <v>2017</v>
      </c>
      <c r="B1844" s="12" t="s">
        <v>63</v>
      </c>
      <c r="C1844" s="12" t="s">
        <v>62</v>
      </c>
      <c r="D1844" s="12" t="s">
        <v>49</v>
      </c>
      <c r="E1844" s="16" t="n">
        <v>368.521373</v>
      </c>
      <c r="F1844" s="16" t="n">
        <v>0</v>
      </c>
      <c r="G1844" s="16" t="n">
        <v>149.277234</v>
      </c>
    </row>
    <row r="1845" customFormat="false" ht="15" hidden="false" customHeight="false" outlineLevel="0" collapsed="false">
      <c r="A1845" s="7" t="n">
        <v>2017</v>
      </c>
      <c r="B1845" s="12" t="s">
        <v>63</v>
      </c>
      <c r="C1845" s="12" t="s">
        <v>62</v>
      </c>
      <c r="D1845" s="12" t="s">
        <v>48</v>
      </c>
      <c r="E1845" s="16" t="n">
        <v>265.71136</v>
      </c>
      <c r="F1845" s="16" t="n">
        <v>0</v>
      </c>
      <c r="G1845" s="16" t="n">
        <v>0</v>
      </c>
    </row>
    <row r="1846" customFormat="false" ht="15" hidden="false" customHeight="false" outlineLevel="0" collapsed="false">
      <c r="A1846" s="7" t="n">
        <v>2017</v>
      </c>
      <c r="B1846" s="12" t="s">
        <v>63</v>
      </c>
      <c r="C1846" s="12" t="s">
        <v>62</v>
      </c>
      <c r="D1846" s="12" t="s">
        <v>46</v>
      </c>
      <c r="E1846" s="16" t="n">
        <v>304.549811</v>
      </c>
      <c r="F1846" s="16" t="n">
        <v>0</v>
      </c>
      <c r="G1846" s="16" t="n">
        <v>315.234058</v>
      </c>
    </row>
    <row r="1847" customFormat="false" ht="15" hidden="false" customHeight="false" outlineLevel="0" collapsed="false">
      <c r="A1847" s="7" t="n">
        <v>2017</v>
      </c>
      <c r="B1847" s="12" t="s">
        <v>63</v>
      </c>
      <c r="C1847" s="12" t="s">
        <v>62</v>
      </c>
      <c r="D1847" s="12" t="s">
        <v>47</v>
      </c>
      <c r="E1847" s="16" t="n">
        <v>7.784196</v>
      </c>
      <c r="F1847" s="16" t="n">
        <v>0</v>
      </c>
      <c r="G1847" s="16" t="n">
        <v>0</v>
      </c>
    </row>
    <row r="1848" customFormat="false" ht="15" hidden="false" customHeight="false" outlineLevel="0" collapsed="false">
      <c r="A1848" s="7" t="n">
        <v>2017</v>
      </c>
      <c r="B1848" s="12" t="s">
        <v>63</v>
      </c>
      <c r="C1848" s="12" t="s">
        <v>62</v>
      </c>
      <c r="D1848" s="12" t="s">
        <v>45</v>
      </c>
      <c r="E1848" s="16" t="n">
        <v>349.011738</v>
      </c>
      <c r="F1848" s="16" t="n">
        <v>312.253332</v>
      </c>
      <c r="G1848" s="16" t="n">
        <v>1.410166</v>
      </c>
    </row>
    <row r="1849" customFormat="false" ht="15" hidden="false" customHeight="false" outlineLevel="0" collapsed="false">
      <c r="A1849" s="7" t="n">
        <v>2017</v>
      </c>
      <c r="B1849" s="12" t="s">
        <v>64</v>
      </c>
      <c r="C1849" s="12" t="s">
        <v>65</v>
      </c>
      <c r="D1849" s="12" t="s">
        <v>49</v>
      </c>
      <c r="E1849" s="16" t="n">
        <v>140.184289</v>
      </c>
      <c r="F1849" s="16" t="n">
        <v>0</v>
      </c>
      <c r="G1849" s="16" t="n">
        <v>26.725279</v>
      </c>
    </row>
    <row r="1850" customFormat="false" ht="15" hidden="false" customHeight="false" outlineLevel="0" collapsed="false">
      <c r="A1850" s="7" t="n">
        <v>2017</v>
      </c>
      <c r="B1850" s="12" t="s">
        <v>64</v>
      </c>
      <c r="C1850" s="12" t="s">
        <v>65</v>
      </c>
      <c r="D1850" s="12" t="s">
        <v>48</v>
      </c>
      <c r="E1850" s="16" t="n">
        <v>38.137811</v>
      </c>
      <c r="F1850" s="16" t="n">
        <v>0</v>
      </c>
      <c r="G1850" s="16" t="n">
        <v>0</v>
      </c>
    </row>
    <row r="1851" customFormat="false" ht="15" hidden="false" customHeight="false" outlineLevel="0" collapsed="false">
      <c r="A1851" s="7" t="n">
        <v>2017</v>
      </c>
      <c r="B1851" s="12" t="s">
        <v>64</v>
      </c>
      <c r="C1851" s="12" t="s">
        <v>65</v>
      </c>
      <c r="D1851" s="12" t="s">
        <v>46</v>
      </c>
      <c r="E1851" s="16" t="n">
        <v>99.540734</v>
      </c>
      <c r="F1851" s="16" t="n">
        <v>0</v>
      </c>
      <c r="G1851" s="16" t="n">
        <v>85.994206</v>
      </c>
    </row>
    <row r="1852" customFormat="false" ht="15" hidden="false" customHeight="false" outlineLevel="0" collapsed="false">
      <c r="A1852" s="7" t="n">
        <v>2017</v>
      </c>
      <c r="B1852" s="12" t="s">
        <v>64</v>
      </c>
      <c r="C1852" s="12" t="s">
        <v>65</v>
      </c>
      <c r="D1852" s="12" t="s">
        <v>47</v>
      </c>
      <c r="E1852" s="16" t="n">
        <v>5.099811</v>
      </c>
      <c r="F1852" s="16" t="n">
        <v>0</v>
      </c>
      <c r="G1852" s="16" t="n">
        <v>0</v>
      </c>
    </row>
    <row r="1853" customFormat="false" ht="15" hidden="false" customHeight="false" outlineLevel="0" collapsed="false">
      <c r="A1853" s="7" t="n">
        <v>2017</v>
      </c>
      <c r="B1853" s="12" t="s">
        <v>64</v>
      </c>
      <c r="C1853" s="12" t="s">
        <v>65</v>
      </c>
      <c r="D1853" s="12" t="s">
        <v>45</v>
      </c>
      <c r="E1853" s="16" t="n">
        <v>82.484614</v>
      </c>
      <c r="F1853" s="16" t="n">
        <v>49.989863</v>
      </c>
      <c r="G1853" s="16" t="n">
        <v>35.315792</v>
      </c>
    </row>
    <row r="1854" customFormat="false" ht="15" hidden="false" customHeight="false" outlineLevel="0" collapsed="false">
      <c r="A1854" s="7" t="n">
        <v>2017</v>
      </c>
      <c r="B1854" s="12" t="s">
        <v>66</v>
      </c>
      <c r="C1854" s="12" t="s">
        <v>67</v>
      </c>
      <c r="D1854" s="12" t="s">
        <v>49</v>
      </c>
      <c r="E1854" s="16" t="n">
        <v>107.630994</v>
      </c>
      <c r="F1854" s="16" t="n">
        <v>0</v>
      </c>
      <c r="G1854" s="16" t="n">
        <v>25.095398</v>
      </c>
    </row>
    <row r="1855" customFormat="false" ht="15" hidden="false" customHeight="false" outlineLevel="0" collapsed="false">
      <c r="A1855" s="7" t="n">
        <v>2017</v>
      </c>
      <c r="B1855" s="12" t="s">
        <v>66</v>
      </c>
      <c r="C1855" s="12" t="s">
        <v>67</v>
      </c>
      <c r="D1855" s="12" t="s">
        <v>48</v>
      </c>
      <c r="E1855" s="16" t="n">
        <v>40.619416</v>
      </c>
      <c r="F1855" s="16" t="n">
        <v>0</v>
      </c>
      <c r="G1855" s="16" t="n">
        <v>0</v>
      </c>
    </row>
    <row r="1856" customFormat="false" ht="15" hidden="false" customHeight="false" outlineLevel="0" collapsed="false">
      <c r="A1856" s="7" t="n">
        <v>2017</v>
      </c>
      <c r="B1856" s="12" t="s">
        <v>66</v>
      </c>
      <c r="C1856" s="12" t="s">
        <v>67</v>
      </c>
      <c r="D1856" s="12" t="s">
        <v>46</v>
      </c>
      <c r="E1856" s="16" t="n">
        <v>67.239411</v>
      </c>
      <c r="F1856" s="16" t="n">
        <v>0</v>
      </c>
      <c r="G1856" s="16" t="n">
        <v>55.630522</v>
      </c>
    </row>
    <row r="1857" customFormat="false" ht="15" hidden="false" customHeight="false" outlineLevel="0" collapsed="false">
      <c r="A1857" s="7" t="n">
        <v>2017</v>
      </c>
      <c r="B1857" s="12" t="s">
        <v>66</v>
      </c>
      <c r="C1857" s="12" t="s">
        <v>67</v>
      </c>
      <c r="D1857" s="12" t="s">
        <v>47</v>
      </c>
      <c r="E1857" s="16" t="n">
        <v>4.948588</v>
      </c>
      <c r="F1857" s="16" t="n">
        <v>0</v>
      </c>
      <c r="G1857" s="16" t="n">
        <v>0</v>
      </c>
    </row>
    <row r="1858" customFormat="false" ht="15" hidden="false" customHeight="false" outlineLevel="0" collapsed="false">
      <c r="A1858" s="7" t="n">
        <v>2017</v>
      </c>
      <c r="B1858" s="12" t="s">
        <v>66</v>
      </c>
      <c r="C1858" s="12" t="s">
        <v>67</v>
      </c>
      <c r="D1858" s="12" t="s">
        <v>45</v>
      </c>
      <c r="E1858" s="16" t="n">
        <v>140.880414</v>
      </c>
      <c r="F1858" s="16" t="n">
        <v>117.445782</v>
      </c>
      <c r="G1858" s="16" t="n">
        <v>25.028104</v>
      </c>
    </row>
    <row r="1859" customFormat="false" ht="15" hidden="false" customHeight="false" outlineLevel="0" collapsed="false">
      <c r="A1859" s="7" t="n">
        <v>2017</v>
      </c>
      <c r="B1859" s="12" t="s">
        <v>68</v>
      </c>
      <c r="C1859" s="12" t="s">
        <v>65</v>
      </c>
      <c r="D1859" s="12" t="s">
        <v>49</v>
      </c>
      <c r="E1859" s="16" t="n">
        <v>130.506795</v>
      </c>
      <c r="F1859" s="16" t="n">
        <v>0</v>
      </c>
      <c r="G1859" s="16" t="n">
        <v>25.951704</v>
      </c>
    </row>
    <row r="1860" customFormat="false" ht="15" hidden="false" customHeight="false" outlineLevel="0" collapsed="false">
      <c r="A1860" s="7" t="n">
        <v>2017</v>
      </c>
      <c r="B1860" s="12" t="s">
        <v>68</v>
      </c>
      <c r="C1860" s="12" t="s">
        <v>65</v>
      </c>
      <c r="D1860" s="12" t="s">
        <v>48</v>
      </c>
      <c r="E1860" s="16" t="n">
        <v>23.793807</v>
      </c>
      <c r="F1860" s="16" t="n">
        <v>0</v>
      </c>
      <c r="G1860" s="16" t="n">
        <v>0</v>
      </c>
    </row>
    <row r="1861" customFormat="false" ht="15" hidden="false" customHeight="false" outlineLevel="0" collapsed="false">
      <c r="A1861" s="7" t="n">
        <v>2017</v>
      </c>
      <c r="B1861" s="12" t="s">
        <v>68</v>
      </c>
      <c r="C1861" s="12" t="s">
        <v>65</v>
      </c>
      <c r="D1861" s="12" t="s">
        <v>46</v>
      </c>
      <c r="E1861" s="16" t="n">
        <v>43.242605</v>
      </c>
      <c r="F1861" s="16" t="n">
        <v>0</v>
      </c>
      <c r="G1861" s="16" t="n">
        <v>31.113583</v>
      </c>
    </row>
    <row r="1862" customFormat="false" ht="15" hidden="false" customHeight="false" outlineLevel="0" collapsed="false">
      <c r="A1862" s="7" t="n">
        <v>2017</v>
      </c>
      <c r="B1862" s="12" t="s">
        <v>68</v>
      </c>
      <c r="C1862" s="12" t="s">
        <v>65</v>
      </c>
      <c r="D1862" s="12" t="s">
        <v>47</v>
      </c>
      <c r="E1862" s="16" t="n">
        <v>5.444531</v>
      </c>
      <c r="F1862" s="16" t="n">
        <v>0</v>
      </c>
      <c r="G1862" s="16" t="n">
        <v>0</v>
      </c>
    </row>
    <row r="1863" customFormat="false" ht="15" hidden="false" customHeight="false" outlineLevel="0" collapsed="false">
      <c r="A1863" s="7" t="n">
        <v>2017</v>
      </c>
      <c r="B1863" s="12" t="s">
        <v>68</v>
      </c>
      <c r="C1863" s="12" t="s">
        <v>65</v>
      </c>
      <c r="D1863" s="12" t="s">
        <v>45</v>
      </c>
      <c r="E1863" s="16" t="n">
        <v>40.278531</v>
      </c>
      <c r="F1863" s="16" t="n">
        <v>10.283202</v>
      </c>
      <c r="G1863" s="16" t="n">
        <v>8.262739</v>
      </c>
    </row>
    <row r="1864" customFormat="false" ht="15" hidden="false" customHeight="false" outlineLevel="0" collapsed="false">
      <c r="A1864" s="7" t="n">
        <v>2017</v>
      </c>
      <c r="B1864" s="12" t="s">
        <v>69</v>
      </c>
      <c r="C1864" s="12" t="s">
        <v>70</v>
      </c>
      <c r="D1864" s="12" t="s">
        <v>49</v>
      </c>
      <c r="E1864" s="16" t="n">
        <v>117.573067</v>
      </c>
      <c r="F1864" s="16" t="n">
        <v>0</v>
      </c>
      <c r="G1864" s="16" t="n">
        <v>29.523397</v>
      </c>
    </row>
    <row r="1865" customFormat="false" ht="15" hidden="false" customHeight="false" outlineLevel="0" collapsed="false">
      <c r="A1865" s="7" t="n">
        <v>2017</v>
      </c>
      <c r="B1865" s="12" t="s">
        <v>69</v>
      </c>
      <c r="C1865" s="12" t="s">
        <v>70</v>
      </c>
      <c r="D1865" s="12" t="s">
        <v>48</v>
      </c>
      <c r="E1865" s="16" t="n">
        <v>67.29634</v>
      </c>
      <c r="F1865" s="16" t="n">
        <v>0</v>
      </c>
      <c r="G1865" s="16" t="n">
        <v>0</v>
      </c>
    </row>
    <row r="1866" customFormat="false" ht="15" hidden="false" customHeight="false" outlineLevel="0" collapsed="false">
      <c r="A1866" s="7" t="n">
        <v>2017</v>
      </c>
      <c r="B1866" s="12" t="s">
        <v>69</v>
      </c>
      <c r="C1866" s="12" t="s">
        <v>70</v>
      </c>
      <c r="D1866" s="12" t="s">
        <v>46</v>
      </c>
      <c r="E1866" s="16" t="n">
        <v>34.378741</v>
      </c>
      <c r="F1866" s="16" t="n">
        <v>0</v>
      </c>
      <c r="G1866" s="16" t="n">
        <v>64.294431</v>
      </c>
    </row>
    <row r="1867" customFormat="false" ht="15" hidden="false" customHeight="false" outlineLevel="0" collapsed="false">
      <c r="A1867" s="7" t="n">
        <v>2017</v>
      </c>
      <c r="B1867" s="12" t="s">
        <v>69</v>
      </c>
      <c r="C1867" s="12" t="s">
        <v>70</v>
      </c>
      <c r="D1867" s="12" t="s">
        <v>47</v>
      </c>
      <c r="E1867" s="16" t="n">
        <v>3.051408</v>
      </c>
      <c r="F1867" s="16" t="n">
        <v>0</v>
      </c>
      <c r="G1867" s="16" t="n">
        <v>0</v>
      </c>
    </row>
    <row r="1868" customFormat="false" ht="15" hidden="false" customHeight="false" outlineLevel="0" collapsed="false">
      <c r="A1868" s="7" t="n">
        <v>2017</v>
      </c>
      <c r="B1868" s="12" t="s">
        <v>69</v>
      </c>
      <c r="C1868" s="12" t="s">
        <v>70</v>
      </c>
      <c r="D1868" s="12" t="s">
        <v>45</v>
      </c>
      <c r="E1868" s="16" t="n">
        <v>313.416191</v>
      </c>
      <c r="F1868" s="16" t="n">
        <v>310.393788</v>
      </c>
      <c r="G1868" s="16" t="n">
        <v>0</v>
      </c>
    </row>
    <row r="1869" customFormat="false" ht="15" hidden="false" customHeight="false" outlineLevel="0" collapsed="false">
      <c r="A1869" s="7" t="n">
        <v>2017</v>
      </c>
      <c r="B1869" s="12" t="s">
        <v>71</v>
      </c>
      <c r="C1869" s="12" t="s">
        <v>72</v>
      </c>
      <c r="D1869" s="12" t="s">
        <v>49</v>
      </c>
      <c r="E1869" s="16" t="n">
        <v>33.810751</v>
      </c>
      <c r="F1869" s="16" t="n">
        <v>0</v>
      </c>
      <c r="G1869" s="16" t="n">
        <v>3.989035</v>
      </c>
    </row>
    <row r="1870" customFormat="false" ht="15" hidden="false" customHeight="false" outlineLevel="0" collapsed="false">
      <c r="A1870" s="7" t="n">
        <v>2017</v>
      </c>
      <c r="B1870" s="12" t="s">
        <v>71</v>
      </c>
      <c r="C1870" s="12" t="s">
        <v>72</v>
      </c>
      <c r="D1870" s="12" t="s">
        <v>48</v>
      </c>
      <c r="E1870" s="16" t="n">
        <v>16.776453</v>
      </c>
      <c r="F1870" s="16" t="n">
        <v>0</v>
      </c>
      <c r="G1870" s="16" t="n">
        <v>0</v>
      </c>
    </row>
    <row r="1871" customFormat="false" ht="15" hidden="false" customHeight="false" outlineLevel="0" collapsed="false">
      <c r="A1871" s="7" t="n">
        <v>2017</v>
      </c>
      <c r="B1871" s="12" t="s">
        <v>71</v>
      </c>
      <c r="C1871" s="12" t="s">
        <v>72</v>
      </c>
      <c r="D1871" s="12" t="s">
        <v>46</v>
      </c>
      <c r="E1871" s="16" t="n">
        <v>14.295255</v>
      </c>
      <c r="F1871" s="16" t="n">
        <v>0</v>
      </c>
      <c r="G1871" s="16" t="n">
        <v>13.968499</v>
      </c>
    </row>
    <row r="1872" customFormat="false" ht="15" hidden="false" customHeight="false" outlineLevel="0" collapsed="false">
      <c r="A1872" s="7" t="n">
        <v>2017</v>
      </c>
      <c r="B1872" s="12" t="s">
        <v>71</v>
      </c>
      <c r="C1872" s="12" t="s">
        <v>72</v>
      </c>
      <c r="D1872" s="12" t="s">
        <v>47</v>
      </c>
      <c r="E1872" s="16" t="n">
        <v>0.621358</v>
      </c>
      <c r="F1872" s="16" t="n">
        <v>0</v>
      </c>
      <c r="G1872" s="16" t="n">
        <v>0</v>
      </c>
    </row>
    <row r="1873" customFormat="false" ht="15" hidden="false" customHeight="false" outlineLevel="0" collapsed="false">
      <c r="A1873" s="7" t="n">
        <v>2017</v>
      </c>
      <c r="B1873" s="12" t="s">
        <v>71</v>
      </c>
      <c r="C1873" s="12" t="s">
        <v>72</v>
      </c>
      <c r="D1873" s="12" t="s">
        <v>45</v>
      </c>
      <c r="E1873" s="16" t="n">
        <v>41.609633</v>
      </c>
      <c r="F1873" s="16" t="n">
        <v>41.598931</v>
      </c>
      <c r="G1873" s="16" t="n">
        <v>0</v>
      </c>
    </row>
    <row r="1874" customFormat="false" ht="15" hidden="false" customHeight="false" outlineLevel="0" collapsed="false">
      <c r="A1874" s="7" t="n">
        <v>2017</v>
      </c>
      <c r="B1874" s="12" t="s">
        <v>73</v>
      </c>
      <c r="C1874" s="12" t="s">
        <v>70</v>
      </c>
      <c r="D1874" s="12" t="s">
        <v>49</v>
      </c>
      <c r="E1874" s="16" t="n">
        <v>59.52976</v>
      </c>
      <c r="F1874" s="16" t="n">
        <v>0</v>
      </c>
      <c r="G1874" s="16" t="n">
        <v>22.614305</v>
      </c>
    </row>
    <row r="1875" customFormat="false" ht="15" hidden="false" customHeight="false" outlineLevel="0" collapsed="false">
      <c r="A1875" s="7" t="n">
        <v>2017</v>
      </c>
      <c r="B1875" s="12" t="s">
        <v>73</v>
      </c>
      <c r="C1875" s="12" t="s">
        <v>70</v>
      </c>
      <c r="D1875" s="12" t="s">
        <v>48</v>
      </c>
      <c r="E1875" s="16" t="n">
        <v>139.192491</v>
      </c>
      <c r="F1875" s="16" t="n">
        <v>0</v>
      </c>
      <c r="G1875" s="16" t="n">
        <v>0</v>
      </c>
    </row>
    <row r="1876" customFormat="false" ht="15" hidden="false" customHeight="false" outlineLevel="0" collapsed="false">
      <c r="A1876" s="7" t="n">
        <v>2017</v>
      </c>
      <c r="B1876" s="12" t="s">
        <v>73</v>
      </c>
      <c r="C1876" s="12" t="s">
        <v>70</v>
      </c>
      <c r="D1876" s="12" t="s">
        <v>46</v>
      </c>
      <c r="E1876" s="16" t="n">
        <v>88.642552</v>
      </c>
      <c r="F1876" s="16" t="n">
        <v>0</v>
      </c>
      <c r="G1876" s="16" t="n">
        <v>68.850868</v>
      </c>
    </row>
    <row r="1877" customFormat="false" ht="15" hidden="false" customHeight="false" outlineLevel="0" collapsed="false">
      <c r="A1877" s="7" t="n">
        <v>2017</v>
      </c>
      <c r="B1877" s="12" t="s">
        <v>73</v>
      </c>
      <c r="C1877" s="12" t="s">
        <v>70</v>
      </c>
      <c r="D1877" s="12" t="s">
        <v>47</v>
      </c>
      <c r="E1877" s="16" t="n">
        <v>5.202792</v>
      </c>
      <c r="F1877" s="16" t="n">
        <v>0</v>
      </c>
      <c r="G1877" s="16" t="n">
        <v>0</v>
      </c>
    </row>
    <row r="1878" customFormat="false" ht="15" hidden="false" customHeight="false" outlineLevel="0" collapsed="false">
      <c r="A1878" s="7" t="n">
        <v>2017</v>
      </c>
      <c r="B1878" s="12" t="s">
        <v>73</v>
      </c>
      <c r="C1878" s="12" t="s">
        <v>70</v>
      </c>
      <c r="D1878" s="12" t="s">
        <v>45</v>
      </c>
      <c r="E1878" s="16" t="n">
        <v>77.396138</v>
      </c>
      <c r="F1878" s="16" t="n">
        <v>52.563457</v>
      </c>
      <c r="G1878" s="16" t="n">
        <v>35.658343</v>
      </c>
    </row>
    <row r="1879" customFormat="false" ht="15" hidden="false" customHeight="false" outlineLevel="0" collapsed="false">
      <c r="A1879" s="7" t="n">
        <v>2017</v>
      </c>
      <c r="B1879" s="12" t="s">
        <v>74</v>
      </c>
      <c r="C1879" s="12" t="s">
        <v>65</v>
      </c>
      <c r="D1879" s="12" t="s">
        <v>49</v>
      </c>
      <c r="E1879" s="16" t="n">
        <v>221.425048</v>
      </c>
      <c r="F1879" s="16" t="n">
        <v>0</v>
      </c>
      <c r="G1879" s="16" t="n">
        <v>16.384735</v>
      </c>
    </row>
    <row r="1880" customFormat="false" ht="15" hidden="false" customHeight="false" outlineLevel="0" collapsed="false">
      <c r="A1880" s="7" t="n">
        <v>2017</v>
      </c>
      <c r="B1880" s="12" t="s">
        <v>74</v>
      </c>
      <c r="C1880" s="12" t="s">
        <v>65</v>
      </c>
      <c r="D1880" s="12" t="s">
        <v>48</v>
      </c>
      <c r="E1880" s="16" t="n">
        <v>17.644429</v>
      </c>
      <c r="F1880" s="16" t="n">
        <v>0</v>
      </c>
      <c r="G1880" s="16" t="n">
        <v>0</v>
      </c>
    </row>
    <row r="1881" customFormat="false" ht="15" hidden="false" customHeight="false" outlineLevel="0" collapsed="false">
      <c r="A1881" s="7" t="n">
        <v>2017</v>
      </c>
      <c r="B1881" s="12" t="s">
        <v>74</v>
      </c>
      <c r="C1881" s="12" t="s">
        <v>65</v>
      </c>
      <c r="D1881" s="12" t="s">
        <v>46</v>
      </c>
      <c r="E1881" s="16" t="n">
        <v>49.601516</v>
      </c>
      <c r="F1881" s="16" t="n">
        <v>0</v>
      </c>
      <c r="G1881" s="16" t="n">
        <v>48.047525</v>
      </c>
    </row>
    <row r="1882" customFormat="false" ht="15" hidden="false" customHeight="false" outlineLevel="0" collapsed="false">
      <c r="A1882" s="7" t="n">
        <v>2017</v>
      </c>
      <c r="B1882" s="12" t="s">
        <v>74</v>
      </c>
      <c r="C1882" s="12" t="s">
        <v>65</v>
      </c>
      <c r="D1882" s="12" t="s">
        <v>47</v>
      </c>
      <c r="E1882" s="16" t="n">
        <v>5.685567</v>
      </c>
      <c r="F1882" s="16" t="n">
        <v>0</v>
      </c>
      <c r="G1882" s="16" t="n">
        <v>0</v>
      </c>
    </row>
    <row r="1883" customFormat="false" ht="15" hidden="false" customHeight="false" outlineLevel="0" collapsed="false">
      <c r="A1883" s="7" t="n">
        <v>2017</v>
      </c>
      <c r="B1883" s="12" t="s">
        <v>74</v>
      </c>
      <c r="C1883" s="12" t="s">
        <v>65</v>
      </c>
      <c r="D1883" s="12" t="s">
        <v>45</v>
      </c>
      <c r="E1883" s="16" t="n">
        <v>46.177196</v>
      </c>
      <c r="F1883" s="16" t="n">
        <v>0</v>
      </c>
      <c r="G1883" s="16" t="n">
        <v>20.347801</v>
      </c>
    </row>
    <row r="1884" customFormat="false" ht="15" hidden="false" customHeight="false" outlineLevel="0" collapsed="false">
      <c r="A1884" s="7" t="n">
        <v>2017</v>
      </c>
      <c r="B1884" s="12" t="s">
        <v>75</v>
      </c>
      <c r="C1884" s="12" t="s">
        <v>57</v>
      </c>
      <c r="D1884" s="12" t="s">
        <v>49</v>
      </c>
      <c r="E1884" s="16" t="n">
        <v>269.989849</v>
      </c>
      <c r="F1884" s="16" t="n">
        <v>0</v>
      </c>
      <c r="G1884" s="16" t="n">
        <v>107.972465</v>
      </c>
    </row>
    <row r="1885" customFormat="false" ht="15" hidden="false" customHeight="false" outlineLevel="0" collapsed="false">
      <c r="A1885" s="7" t="n">
        <v>2017</v>
      </c>
      <c r="B1885" s="12" t="s">
        <v>75</v>
      </c>
      <c r="C1885" s="12" t="s">
        <v>57</v>
      </c>
      <c r="D1885" s="12" t="s">
        <v>48</v>
      </c>
      <c r="E1885" s="16" t="n">
        <v>162.08215</v>
      </c>
      <c r="F1885" s="16" t="n">
        <v>0</v>
      </c>
      <c r="G1885" s="16" t="n">
        <v>0</v>
      </c>
    </row>
    <row r="1886" customFormat="false" ht="15" hidden="false" customHeight="false" outlineLevel="0" collapsed="false">
      <c r="A1886" s="7" t="n">
        <v>2017</v>
      </c>
      <c r="B1886" s="12" t="s">
        <v>75</v>
      </c>
      <c r="C1886" s="12" t="s">
        <v>57</v>
      </c>
      <c r="D1886" s="12" t="s">
        <v>46</v>
      </c>
      <c r="E1886" s="16" t="n">
        <v>111.165601</v>
      </c>
      <c r="F1886" s="16" t="n">
        <v>0</v>
      </c>
      <c r="G1886" s="16" t="n">
        <v>106.084656</v>
      </c>
    </row>
    <row r="1887" customFormat="false" ht="15" hidden="false" customHeight="false" outlineLevel="0" collapsed="false">
      <c r="A1887" s="7" t="n">
        <v>2017</v>
      </c>
      <c r="B1887" s="12" t="s">
        <v>75</v>
      </c>
      <c r="C1887" s="12" t="s">
        <v>57</v>
      </c>
      <c r="D1887" s="12" t="s">
        <v>47</v>
      </c>
      <c r="E1887" s="16" t="n">
        <v>10.192524</v>
      </c>
      <c r="F1887" s="16" t="n">
        <v>0</v>
      </c>
      <c r="G1887" s="16" t="n">
        <v>0</v>
      </c>
    </row>
    <row r="1888" customFormat="false" ht="15" hidden="false" customHeight="false" outlineLevel="0" collapsed="false">
      <c r="A1888" s="7" t="n">
        <v>2017</v>
      </c>
      <c r="B1888" s="12" t="s">
        <v>75</v>
      </c>
      <c r="C1888" s="12" t="s">
        <v>57</v>
      </c>
      <c r="D1888" s="12" t="s">
        <v>45</v>
      </c>
      <c r="E1888" s="16" t="n">
        <v>369.339327</v>
      </c>
      <c r="F1888" s="16" t="n">
        <v>206.928323</v>
      </c>
      <c r="G1888" s="16" t="n">
        <v>62.813701</v>
      </c>
    </row>
    <row r="1889" customFormat="false" ht="15" hidden="false" customHeight="false" outlineLevel="0" collapsed="false">
      <c r="A1889" s="7" t="n">
        <v>2017</v>
      </c>
      <c r="B1889" s="12" t="s">
        <v>76</v>
      </c>
      <c r="C1889" s="12" t="s">
        <v>72</v>
      </c>
      <c r="D1889" s="12" t="s">
        <v>49</v>
      </c>
      <c r="E1889" s="16" t="n">
        <v>44.06545</v>
      </c>
      <c r="F1889" s="16" t="n">
        <v>0</v>
      </c>
      <c r="G1889" s="16" t="n">
        <v>16.005759</v>
      </c>
    </row>
    <row r="1890" customFormat="false" ht="15" hidden="false" customHeight="false" outlineLevel="0" collapsed="false">
      <c r="A1890" s="7" t="n">
        <v>2017</v>
      </c>
      <c r="B1890" s="12" t="s">
        <v>76</v>
      </c>
      <c r="C1890" s="12" t="s">
        <v>72</v>
      </c>
      <c r="D1890" s="12" t="s">
        <v>48</v>
      </c>
      <c r="E1890" s="16" t="n">
        <v>21.968766</v>
      </c>
      <c r="F1890" s="16" t="n">
        <v>0</v>
      </c>
      <c r="G1890" s="16" t="n">
        <v>0</v>
      </c>
    </row>
    <row r="1891" customFormat="false" ht="15" hidden="false" customHeight="false" outlineLevel="0" collapsed="false">
      <c r="A1891" s="7" t="n">
        <v>2017</v>
      </c>
      <c r="B1891" s="12" t="s">
        <v>76</v>
      </c>
      <c r="C1891" s="12" t="s">
        <v>72</v>
      </c>
      <c r="D1891" s="12" t="s">
        <v>46</v>
      </c>
      <c r="E1891" s="16" t="n">
        <v>26.245787</v>
      </c>
      <c r="F1891" s="16" t="n">
        <v>0</v>
      </c>
      <c r="G1891" s="16" t="n">
        <v>30.203772</v>
      </c>
    </row>
    <row r="1892" customFormat="false" ht="15" hidden="false" customHeight="false" outlineLevel="0" collapsed="false">
      <c r="A1892" s="7" t="n">
        <v>2017</v>
      </c>
      <c r="B1892" s="12" t="s">
        <v>76</v>
      </c>
      <c r="C1892" s="12" t="s">
        <v>72</v>
      </c>
      <c r="D1892" s="12" t="s">
        <v>45</v>
      </c>
      <c r="E1892" s="16" t="n">
        <v>80.071519</v>
      </c>
      <c r="F1892" s="16" t="n">
        <v>0</v>
      </c>
      <c r="G1892" s="16" t="n">
        <v>27.377524</v>
      </c>
    </row>
    <row r="1893" customFormat="false" ht="15" hidden="false" customHeight="false" outlineLevel="0" collapsed="false">
      <c r="A1893" s="7" t="n">
        <v>2017</v>
      </c>
      <c r="B1893" s="12" t="s">
        <v>77</v>
      </c>
      <c r="C1893" s="12" t="s">
        <v>57</v>
      </c>
      <c r="D1893" s="12" t="s">
        <v>49</v>
      </c>
      <c r="E1893" s="16" t="n">
        <v>45.577158</v>
      </c>
      <c r="F1893" s="16" t="n">
        <v>0</v>
      </c>
      <c r="G1893" s="16" t="n">
        <v>4.301535</v>
      </c>
    </row>
    <row r="1894" customFormat="false" ht="15" hidden="false" customHeight="false" outlineLevel="0" collapsed="false">
      <c r="A1894" s="7" t="n">
        <v>2017</v>
      </c>
      <c r="B1894" s="12" t="s">
        <v>77</v>
      </c>
      <c r="C1894" s="12" t="s">
        <v>57</v>
      </c>
      <c r="D1894" s="12" t="s">
        <v>48</v>
      </c>
      <c r="E1894" s="16" t="n">
        <v>22.609429</v>
      </c>
      <c r="F1894" s="16" t="n">
        <v>0</v>
      </c>
      <c r="G1894" s="16" t="n">
        <v>0</v>
      </c>
    </row>
    <row r="1895" customFormat="false" ht="15" hidden="false" customHeight="false" outlineLevel="0" collapsed="false">
      <c r="A1895" s="7" t="n">
        <v>2017</v>
      </c>
      <c r="B1895" s="12" t="s">
        <v>77</v>
      </c>
      <c r="C1895" s="12" t="s">
        <v>57</v>
      </c>
      <c r="D1895" s="12" t="s">
        <v>46</v>
      </c>
      <c r="E1895" s="16" t="n">
        <v>17.761845</v>
      </c>
      <c r="F1895" s="16" t="n">
        <v>0</v>
      </c>
      <c r="G1895" s="16" t="n">
        <v>11.275012</v>
      </c>
    </row>
    <row r="1896" customFormat="false" ht="15" hidden="false" customHeight="false" outlineLevel="0" collapsed="false">
      <c r="A1896" s="7" t="n">
        <v>2017</v>
      </c>
      <c r="B1896" s="12" t="s">
        <v>77</v>
      </c>
      <c r="C1896" s="12" t="s">
        <v>57</v>
      </c>
      <c r="D1896" s="12" t="s">
        <v>47</v>
      </c>
      <c r="E1896" s="16" t="n">
        <v>1.00586</v>
      </c>
      <c r="F1896" s="16" t="n">
        <v>0</v>
      </c>
      <c r="G1896" s="16" t="n">
        <v>0</v>
      </c>
    </row>
    <row r="1897" customFormat="false" ht="15" hidden="false" customHeight="false" outlineLevel="0" collapsed="false">
      <c r="A1897" s="7" t="n">
        <v>2017</v>
      </c>
      <c r="B1897" s="12" t="s">
        <v>77</v>
      </c>
      <c r="C1897" s="12" t="s">
        <v>57</v>
      </c>
      <c r="D1897" s="12" t="s">
        <v>45</v>
      </c>
      <c r="E1897" s="16" t="n">
        <v>31.129534</v>
      </c>
      <c r="F1897" s="16" t="n">
        <v>20.807504</v>
      </c>
      <c r="G1897" s="16" t="n">
        <v>7.392819</v>
      </c>
    </row>
    <row r="1898" customFormat="false" ht="15" hidden="false" customHeight="false" outlineLevel="0" collapsed="false">
      <c r="A1898" s="7" t="n">
        <v>2017</v>
      </c>
      <c r="B1898" s="12" t="s">
        <v>78</v>
      </c>
      <c r="C1898" s="12" t="s">
        <v>65</v>
      </c>
      <c r="D1898" s="12" t="s">
        <v>49</v>
      </c>
      <c r="E1898" s="16" t="n">
        <v>42.948024</v>
      </c>
      <c r="F1898" s="16" t="n">
        <v>0</v>
      </c>
      <c r="G1898" s="16" t="n">
        <v>3.235212</v>
      </c>
    </row>
    <row r="1899" customFormat="false" ht="15" hidden="false" customHeight="false" outlineLevel="0" collapsed="false">
      <c r="A1899" s="7" t="n">
        <v>2017</v>
      </c>
      <c r="B1899" s="12" t="s">
        <v>78</v>
      </c>
      <c r="C1899" s="12" t="s">
        <v>65</v>
      </c>
      <c r="D1899" s="12" t="s">
        <v>48</v>
      </c>
      <c r="E1899" s="16" t="n">
        <v>16.071846</v>
      </c>
      <c r="F1899" s="16" t="n">
        <v>0</v>
      </c>
      <c r="G1899" s="16" t="n">
        <v>0</v>
      </c>
    </row>
    <row r="1900" customFormat="false" ht="15" hidden="false" customHeight="false" outlineLevel="0" collapsed="false">
      <c r="A1900" s="7" t="n">
        <v>2017</v>
      </c>
      <c r="B1900" s="12" t="s">
        <v>78</v>
      </c>
      <c r="C1900" s="12" t="s">
        <v>65</v>
      </c>
      <c r="D1900" s="12" t="s">
        <v>46</v>
      </c>
      <c r="E1900" s="16" t="n">
        <v>16.054551</v>
      </c>
      <c r="F1900" s="16" t="n">
        <v>0</v>
      </c>
      <c r="G1900" s="16" t="n">
        <v>19.981904</v>
      </c>
    </row>
    <row r="1901" customFormat="false" ht="15" hidden="false" customHeight="false" outlineLevel="0" collapsed="false">
      <c r="A1901" s="7" t="n">
        <v>2017</v>
      </c>
      <c r="B1901" s="12" t="s">
        <v>78</v>
      </c>
      <c r="C1901" s="12" t="s">
        <v>65</v>
      </c>
      <c r="D1901" s="12" t="s">
        <v>45</v>
      </c>
      <c r="E1901" s="16" t="n">
        <v>17.801989</v>
      </c>
      <c r="F1901" s="16" t="n">
        <v>0</v>
      </c>
      <c r="G1901" s="16" t="n">
        <v>9.966121</v>
      </c>
    </row>
    <row r="1902" customFormat="false" ht="15" hidden="false" customHeight="false" outlineLevel="0" collapsed="false">
      <c r="A1902" s="7" t="n">
        <v>2017</v>
      </c>
      <c r="B1902" s="12" t="s">
        <v>79</v>
      </c>
      <c r="C1902" s="12" t="s">
        <v>72</v>
      </c>
      <c r="D1902" s="12" t="s">
        <v>49</v>
      </c>
      <c r="E1902" s="16" t="n">
        <v>130.504913</v>
      </c>
      <c r="F1902" s="16" t="n">
        <v>0</v>
      </c>
      <c r="G1902" s="16" t="n">
        <v>30.823476</v>
      </c>
    </row>
    <row r="1903" customFormat="false" ht="15" hidden="false" customHeight="false" outlineLevel="0" collapsed="false">
      <c r="A1903" s="7" t="n">
        <v>2017</v>
      </c>
      <c r="B1903" s="12" t="s">
        <v>79</v>
      </c>
      <c r="C1903" s="12" t="s">
        <v>72</v>
      </c>
      <c r="D1903" s="12" t="s">
        <v>48</v>
      </c>
      <c r="E1903" s="16" t="n">
        <v>98.578518</v>
      </c>
      <c r="F1903" s="16" t="n">
        <v>0</v>
      </c>
      <c r="G1903" s="16" t="n">
        <v>0</v>
      </c>
    </row>
    <row r="1904" customFormat="false" ht="15" hidden="false" customHeight="false" outlineLevel="0" collapsed="false">
      <c r="A1904" s="7" t="n">
        <v>2017</v>
      </c>
      <c r="B1904" s="12" t="s">
        <v>79</v>
      </c>
      <c r="C1904" s="12" t="s">
        <v>72</v>
      </c>
      <c r="D1904" s="12" t="s">
        <v>46</v>
      </c>
      <c r="E1904" s="16" t="n">
        <v>78.375895</v>
      </c>
      <c r="F1904" s="16" t="n">
        <v>0</v>
      </c>
      <c r="G1904" s="16" t="n">
        <v>113.271011</v>
      </c>
    </row>
    <row r="1905" customFormat="false" ht="15" hidden="false" customHeight="false" outlineLevel="0" collapsed="false">
      <c r="A1905" s="7" t="n">
        <v>2017</v>
      </c>
      <c r="B1905" s="12" t="s">
        <v>79</v>
      </c>
      <c r="C1905" s="12" t="s">
        <v>72</v>
      </c>
      <c r="D1905" s="12" t="s">
        <v>47</v>
      </c>
      <c r="E1905" s="16" t="n">
        <v>4.669056</v>
      </c>
      <c r="F1905" s="16" t="n">
        <v>0</v>
      </c>
      <c r="G1905" s="16" t="n">
        <v>0</v>
      </c>
    </row>
    <row r="1906" customFormat="false" ht="15" hidden="false" customHeight="false" outlineLevel="0" collapsed="false">
      <c r="A1906" s="7" t="n">
        <v>2017</v>
      </c>
      <c r="B1906" s="12" t="s">
        <v>79</v>
      </c>
      <c r="C1906" s="12" t="s">
        <v>72</v>
      </c>
      <c r="D1906" s="12" t="s">
        <v>45</v>
      </c>
      <c r="E1906" s="16" t="n">
        <v>249.842282</v>
      </c>
      <c r="F1906" s="16" t="n">
        <v>245.67298</v>
      </c>
      <c r="G1906" s="16" t="n">
        <v>0</v>
      </c>
    </row>
    <row r="1907" customFormat="false" ht="15" hidden="false" customHeight="false" outlineLevel="0" collapsed="false">
      <c r="A1907" s="7" t="n">
        <v>2017</v>
      </c>
      <c r="B1907" s="12" t="s">
        <v>80</v>
      </c>
      <c r="C1907" s="12" t="s">
        <v>72</v>
      </c>
      <c r="D1907" s="12" t="s">
        <v>49</v>
      </c>
      <c r="E1907" s="16" t="n">
        <v>88.107509</v>
      </c>
      <c r="F1907" s="16" t="n">
        <v>0</v>
      </c>
      <c r="G1907" s="16" t="n">
        <v>28.89957</v>
      </c>
    </row>
    <row r="1908" customFormat="false" ht="15" hidden="false" customHeight="false" outlineLevel="0" collapsed="false">
      <c r="A1908" s="7" t="n">
        <v>2017</v>
      </c>
      <c r="B1908" s="12" t="s">
        <v>80</v>
      </c>
      <c r="C1908" s="12" t="s">
        <v>72</v>
      </c>
      <c r="D1908" s="12" t="s">
        <v>48</v>
      </c>
      <c r="E1908" s="16" t="n">
        <v>35.136553</v>
      </c>
      <c r="F1908" s="16" t="n">
        <v>0</v>
      </c>
      <c r="G1908" s="16" t="n">
        <v>0</v>
      </c>
    </row>
    <row r="1909" customFormat="false" ht="15" hidden="false" customHeight="false" outlineLevel="0" collapsed="false">
      <c r="A1909" s="7" t="n">
        <v>2017</v>
      </c>
      <c r="B1909" s="12" t="s">
        <v>80</v>
      </c>
      <c r="C1909" s="12" t="s">
        <v>72</v>
      </c>
      <c r="D1909" s="12" t="s">
        <v>46</v>
      </c>
      <c r="E1909" s="16" t="n">
        <v>28.540488</v>
      </c>
      <c r="F1909" s="16" t="n">
        <v>0</v>
      </c>
      <c r="G1909" s="16" t="n">
        <v>58.354146</v>
      </c>
    </row>
    <row r="1910" customFormat="false" ht="15" hidden="false" customHeight="false" outlineLevel="0" collapsed="false">
      <c r="A1910" s="7" t="n">
        <v>2017</v>
      </c>
      <c r="B1910" s="12" t="s">
        <v>80</v>
      </c>
      <c r="C1910" s="12" t="s">
        <v>72</v>
      </c>
      <c r="D1910" s="12" t="s">
        <v>47</v>
      </c>
      <c r="E1910" s="16" t="n">
        <v>2.139946</v>
      </c>
      <c r="F1910" s="16" t="n">
        <v>0</v>
      </c>
      <c r="G1910" s="16" t="n">
        <v>0</v>
      </c>
    </row>
    <row r="1911" customFormat="false" ht="15" hidden="false" customHeight="false" outlineLevel="0" collapsed="false">
      <c r="A1911" s="7" t="n">
        <v>2017</v>
      </c>
      <c r="B1911" s="12" t="s">
        <v>80</v>
      </c>
      <c r="C1911" s="12" t="s">
        <v>72</v>
      </c>
      <c r="D1911" s="12" t="s">
        <v>45</v>
      </c>
      <c r="E1911" s="16" t="n">
        <v>172.937924</v>
      </c>
      <c r="F1911" s="16" t="n">
        <v>170.505059</v>
      </c>
      <c r="G1911" s="16" t="n">
        <v>0</v>
      </c>
    </row>
    <row r="1912" customFormat="false" ht="15" hidden="false" customHeight="false" outlineLevel="0" collapsed="false">
      <c r="A1912" s="7" t="n">
        <v>2017</v>
      </c>
      <c r="B1912" s="12" t="s">
        <v>81</v>
      </c>
      <c r="C1912" s="12" t="s">
        <v>72</v>
      </c>
      <c r="D1912" s="12" t="s">
        <v>49</v>
      </c>
      <c r="E1912" s="16" t="n">
        <v>76.868532</v>
      </c>
      <c r="F1912" s="16" t="n">
        <v>0</v>
      </c>
      <c r="G1912" s="16" t="n">
        <v>9.841833</v>
      </c>
    </row>
    <row r="1913" customFormat="false" ht="15" hidden="false" customHeight="false" outlineLevel="0" collapsed="false">
      <c r="A1913" s="7" t="n">
        <v>2017</v>
      </c>
      <c r="B1913" s="12" t="s">
        <v>81</v>
      </c>
      <c r="C1913" s="12" t="s">
        <v>72</v>
      </c>
      <c r="D1913" s="12" t="s">
        <v>48</v>
      </c>
      <c r="E1913" s="16" t="n">
        <v>35.813843</v>
      </c>
      <c r="F1913" s="16" t="n">
        <v>0</v>
      </c>
      <c r="G1913" s="16" t="n">
        <v>0</v>
      </c>
    </row>
    <row r="1914" customFormat="false" ht="15" hidden="false" customHeight="false" outlineLevel="0" collapsed="false">
      <c r="A1914" s="7" t="n">
        <v>2017</v>
      </c>
      <c r="B1914" s="12" t="s">
        <v>81</v>
      </c>
      <c r="C1914" s="12" t="s">
        <v>72</v>
      </c>
      <c r="D1914" s="12" t="s">
        <v>46</v>
      </c>
      <c r="E1914" s="16" t="n">
        <v>32.802783</v>
      </c>
      <c r="F1914" s="16" t="n">
        <v>0</v>
      </c>
      <c r="G1914" s="16" t="n">
        <v>27.012593</v>
      </c>
    </row>
    <row r="1915" customFormat="false" ht="15" hidden="false" customHeight="false" outlineLevel="0" collapsed="false">
      <c r="A1915" s="7" t="n">
        <v>2017</v>
      </c>
      <c r="B1915" s="12" t="s">
        <v>81</v>
      </c>
      <c r="C1915" s="12" t="s">
        <v>72</v>
      </c>
      <c r="D1915" s="12" t="s">
        <v>47</v>
      </c>
      <c r="E1915" s="16" t="n">
        <v>2.125655</v>
      </c>
      <c r="F1915" s="16" t="n">
        <v>0</v>
      </c>
      <c r="G1915" s="16" t="n">
        <v>0</v>
      </c>
    </row>
    <row r="1916" customFormat="false" ht="15" hidden="false" customHeight="false" outlineLevel="0" collapsed="false">
      <c r="A1916" s="7" t="n">
        <v>2017</v>
      </c>
      <c r="B1916" s="12" t="s">
        <v>81</v>
      </c>
      <c r="C1916" s="12" t="s">
        <v>72</v>
      </c>
      <c r="D1916" s="12" t="s">
        <v>45</v>
      </c>
      <c r="E1916" s="16" t="n">
        <v>139.007438</v>
      </c>
      <c r="F1916" s="16" t="n">
        <v>132.032293</v>
      </c>
      <c r="G1916" s="16" t="n">
        <v>0</v>
      </c>
    </row>
    <row r="1917" customFormat="false" ht="15" hidden="false" customHeight="false" outlineLevel="0" collapsed="false">
      <c r="A1917" s="7" t="n">
        <v>2018</v>
      </c>
      <c r="B1917" s="12" t="s">
        <v>56</v>
      </c>
      <c r="C1917" s="12" t="s">
        <v>57</v>
      </c>
      <c r="D1917" s="12" t="s">
        <v>49</v>
      </c>
      <c r="E1917" s="16" t="n">
        <v>68.572243</v>
      </c>
      <c r="F1917" s="16" t="n">
        <v>0</v>
      </c>
      <c r="G1917" s="16" t="n">
        <v>13.904279</v>
      </c>
    </row>
    <row r="1918" customFormat="false" ht="15" hidden="false" customHeight="false" outlineLevel="0" collapsed="false">
      <c r="A1918" s="7" t="n">
        <v>2018</v>
      </c>
      <c r="B1918" s="12" t="s">
        <v>56</v>
      </c>
      <c r="C1918" s="12" t="s">
        <v>57</v>
      </c>
      <c r="D1918" s="12" t="s">
        <v>48</v>
      </c>
      <c r="E1918" s="16" t="n">
        <v>21.343363</v>
      </c>
      <c r="F1918" s="16" t="n">
        <v>0</v>
      </c>
      <c r="G1918" s="16" t="n">
        <v>0</v>
      </c>
    </row>
    <row r="1919" customFormat="false" ht="15" hidden="false" customHeight="false" outlineLevel="0" collapsed="false">
      <c r="A1919" s="7" t="n">
        <v>2018</v>
      </c>
      <c r="B1919" s="12" t="s">
        <v>56</v>
      </c>
      <c r="C1919" s="12" t="s">
        <v>57</v>
      </c>
      <c r="D1919" s="12" t="s">
        <v>46</v>
      </c>
      <c r="E1919" s="16" t="n">
        <v>20.214797</v>
      </c>
      <c r="F1919" s="16" t="n">
        <v>0</v>
      </c>
      <c r="G1919" s="16" t="n">
        <v>21.901897</v>
      </c>
    </row>
    <row r="1920" customFormat="false" ht="15" hidden="false" customHeight="false" outlineLevel="0" collapsed="false">
      <c r="A1920" s="7" t="n">
        <v>2018</v>
      </c>
      <c r="B1920" s="12" t="s">
        <v>56</v>
      </c>
      <c r="C1920" s="12" t="s">
        <v>57</v>
      </c>
      <c r="D1920" s="12" t="s">
        <v>45</v>
      </c>
      <c r="E1920" s="16" t="n">
        <v>89.916606</v>
      </c>
      <c r="F1920" s="16" t="n">
        <v>67.904601</v>
      </c>
      <c r="G1920" s="16" t="n">
        <v>16.862096</v>
      </c>
    </row>
    <row r="1921" customFormat="false" ht="15" hidden="false" customHeight="false" outlineLevel="0" collapsed="false">
      <c r="A1921" s="7" t="n">
        <v>2018</v>
      </c>
      <c r="B1921" s="12" t="s">
        <v>58</v>
      </c>
      <c r="C1921" s="12" t="s">
        <v>59</v>
      </c>
      <c r="D1921" s="12" t="s">
        <v>49</v>
      </c>
      <c r="E1921" s="16" t="n">
        <v>146.609664</v>
      </c>
      <c r="F1921" s="16" t="n">
        <v>0</v>
      </c>
      <c r="G1921" s="16" t="n">
        <v>49.735897</v>
      </c>
    </row>
    <row r="1922" customFormat="false" ht="15" hidden="false" customHeight="false" outlineLevel="0" collapsed="false">
      <c r="A1922" s="7" t="n">
        <v>2018</v>
      </c>
      <c r="B1922" s="12" t="s">
        <v>58</v>
      </c>
      <c r="C1922" s="12" t="s">
        <v>59</v>
      </c>
      <c r="D1922" s="12" t="s">
        <v>48</v>
      </c>
      <c r="E1922" s="16" t="n">
        <v>66.823776</v>
      </c>
      <c r="F1922" s="16" t="n">
        <v>0</v>
      </c>
      <c r="G1922" s="16" t="n">
        <v>0</v>
      </c>
    </row>
    <row r="1923" customFormat="false" ht="15" hidden="false" customHeight="false" outlineLevel="0" collapsed="false">
      <c r="A1923" s="7" t="n">
        <v>2018</v>
      </c>
      <c r="B1923" s="12" t="s">
        <v>58</v>
      </c>
      <c r="C1923" s="12" t="s">
        <v>59</v>
      </c>
      <c r="D1923" s="12" t="s">
        <v>46</v>
      </c>
      <c r="E1923" s="16" t="n">
        <v>250.362772</v>
      </c>
      <c r="F1923" s="16" t="n">
        <v>0</v>
      </c>
      <c r="G1923" s="16" t="n">
        <v>215.595436</v>
      </c>
    </row>
    <row r="1924" customFormat="false" ht="15" hidden="false" customHeight="false" outlineLevel="0" collapsed="false">
      <c r="A1924" s="7" t="n">
        <v>2018</v>
      </c>
      <c r="B1924" s="12" t="s">
        <v>58</v>
      </c>
      <c r="C1924" s="12" t="s">
        <v>59</v>
      </c>
      <c r="D1924" s="12" t="s">
        <v>47</v>
      </c>
      <c r="E1924" s="16" t="n">
        <v>0.893076</v>
      </c>
      <c r="F1924" s="16" t="n">
        <v>0</v>
      </c>
      <c r="G1924" s="16" t="n">
        <v>0</v>
      </c>
    </row>
    <row r="1925" customFormat="false" ht="15" hidden="false" customHeight="false" outlineLevel="0" collapsed="false">
      <c r="A1925" s="7" t="n">
        <v>2018</v>
      </c>
      <c r="B1925" s="12" t="s">
        <v>58</v>
      </c>
      <c r="C1925" s="12" t="s">
        <v>59</v>
      </c>
      <c r="D1925" s="12" t="s">
        <v>45</v>
      </c>
      <c r="E1925" s="16" t="n">
        <v>59.982787</v>
      </c>
      <c r="F1925" s="16" t="n">
        <v>23.613111</v>
      </c>
      <c r="G1925" s="16" t="n">
        <v>43.991365</v>
      </c>
    </row>
    <row r="1926" customFormat="false" ht="15" hidden="false" customHeight="false" outlineLevel="0" collapsed="false">
      <c r="A1926" s="7" t="n">
        <v>2018</v>
      </c>
      <c r="B1926" s="12" t="s">
        <v>60</v>
      </c>
      <c r="C1926" s="12" t="s">
        <v>59</v>
      </c>
      <c r="D1926" s="12" t="s">
        <v>49</v>
      </c>
      <c r="E1926" s="16" t="n">
        <v>488.269183</v>
      </c>
      <c r="F1926" s="16" t="n">
        <v>0</v>
      </c>
      <c r="G1926" s="16" t="n">
        <v>191.129098</v>
      </c>
    </row>
    <row r="1927" customFormat="false" ht="15" hidden="false" customHeight="false" outlineLevel="0" collapsed="false">
      <c r="A1927" s="7" t="n">
        <v>2018</v>
      </c>
      <c r="B1927" s="12" t="s">
        <v>60</v>
      </c>
      <c r="C1927" s="12" t="s">
        <v>59</v>
      </c>
      <c r="D1927" s="12" t="s">
        <v>48</v>
      </c>
      <c r="E1927" s="16" t="n">
        <v>263.317369</v>
      </c>
      <c r="F1927" s="16" t="n">
        <v>0</v>
      </c>
      <c r="G1927" s="16" t="n">
        <v>0</v>
      </c>
    </row>
    <row r="1928" customFormat="false" ht="15" hidden="false" customHeight="false" outlineLevel="0" collapsed="false">
      <c r="A1928" s="7" t="n">
        <v>2018</v>
      </c>
      <c r="B1928" s="12" t="s">
        <v>60</v>
      </c>
      <c r="C1928" s="12" t="s">
        <v>59</v>
      </c>
      <c r="D1928" s="12" t="s">
        <v>46</v>
      </c>
      <c r="E1928" s="16" t="n">
        <v>465.82242</v>
      </c>
      <c r="F1928" s="16" t="n">
        <v>0</v>
      </c>
      <c r="G1928" s="16" t="n">
        <v>510.616314</v>
      </c>
    </row>
    <row r="1929" customFormat="false" ht="15" hidden="false" customHeight="false" outlineLevel="0" collapsed="false">
      <c r="A1929" s="7" t="n">
        <v>2018</v>
      </c>
      <c r="B1929" s="12" t="s">
        <v>60</v>
      </c>
      <c r="C1929" s="12" t="s">
        <v>59</v>
      </c>
      <c r="D1929" s="12" t="s">
        <v>47</v>
      </c>
      <c r="E1929" s="16" t="n">
        <v>5.315158</v>
      </c>
      <c r="F1929" s="16" t="n">
        <v>0</v>
      </c>
      <c r="G1929" s="16" t="n">
        <v>0</v>
      </c>
    </row>
    <row r="1930" customFormat="false" ht="15" hidden="false" customHeight="false" outlineLevel="0" collapsed="false">
      <c r="A1930" s="7" t="n">
        <v>2018</v>
      </c>
      <c r="B1930" s="12" t="s">
        <v>60</v>
      </c>
      <c r="C1930" s="12" t="s">
        <v>59</v>
      </c>
      <c r="D1930" s="12" t="s">
        <v>45</v>
      </c>
      <c r="E1930" s="16" t="n">
        <v>363.120092</v>
      </c>
      <c r="F1930" s="16" t="n">
        <v>9.175777</v>
      </c>
      <c r="G1930" s="16" t="n">
        <v>116.422808</v>
      </c>
    </row>
    <row r="1931" customFormat="false" ht="15" hidden="false" customHeight="false" outlineLevel="0" collapsed="false">
      <c r="A1931" s="7" t="n">
        <v>2018</v>
      </c>
      <c r="B1931" s="12" t="s">
        <v>61</v>
      </c>
      <c r="C1931" s="12" t="s">
        <v>62</v>
      </c>
      <c r="D1931" s="12" t="s">
        <v>49</v>
      </c>
      <c r="E1931" s="16" t="n">
        <v>116.264297</v>
      </c>
      <c r="F1931" s="16" t="n">
        <v>0</v>
      </c>
      <c r="G1931" s="16" t="n">
        <v>113.13171</v>
      </c>
    </row>
    <row r="1932" customFormat="false" ht="15" hidden="false" customHeight="false" outlineLevel="0" collapsed="false">
      <c r="A1932" s="7" t="n">
        <v>2018</v>
      </c>
      <c r="B1932" s="12" t="s">
        <v>61</v>
      </c>
      <c r="C1932" s="12" t="s">
        <v>62</v>
      </c>
      <c r="D1932" s="12" t="s">
        <v>48</v>
      </c>
      <c r="E1932" s="16" t="n">
        <v>224.736965</v>
      </c>
      <c r="F1932" s="16" t="n">
        <v>0</v>
      </c>
      <c r="G1932" s="16" t="n">
        <v>0</v>
      </c>
    </row>
    <row r="1933" customFormat="false" ht="15" hidden="false" customHeight="false" outlineLevel="0" collapsed="false">
      <c r="A1933" s="7" t="n">
        <v>2018</v>
      </c>
      <c r="B1933" s="12" t="s">
        <v>61</v>
      </c>
      <c r="C1933" s="12" t="s">
        <v>62</v>
      </c>
      <c r="D1933" s="12" t="s">
        <v>46</v>
      </c>
      <c r="E1933" s="16" t="n">
        <v>202.638697</v>
      </c>
      <c r="F1933" s="16" t="n">
        <v>0</v>
      </c>
      <c r="G1933" s="16" t="n">
        <v>234.991278</v>
      </c>
    </row>
    <row r="1934" customFormat="false" ht="15" hidden="false" customHeight="false" outlineLevel="0" collapsed="false">
      <c r="A1934" s="7" t="n">
        <v>2018</v>
      </c>
      <c r="B1934" s="12" t="s">
        <v>61</v>
      </c>
      <c r="C1934" s="12" t="s">
        <v>62</v>
      </c>
      <c r="D1934" s="12" t="s">
        <v>47</v>
      </c>
      <c r="E1934" s="16" t="n">
        <v>7.926614</v>
      </c>
      <c r="F1934" s="16" t="n">
        <v>0</v>
      </c>
      <c r="G1934" s="16" t="n">
        <v>0</v>
      </c>
    </row>
    <row r="1935" customFormat="false" ht="15" hidden="false" customHeight="false" outlineLevel="0" collapsed="false">
      <c r="A1935" s="7" t="n">
        <v>2018</v>
      </c>
      <c r="B1935" s="12" t="s">
        <v>61</v>
      </c>
      <c r="C1935" s="12" t="s">
        <v>62</v>
      </c>
      <c r="D1935" s="12" t="s">
        <v>45</v>
      </c>
      <c r="E1935" s="16" t="n">
        <v>369.740105</v>
      </c>
      <c r="F1935" s="16" t="n">
        <v>356.981771</v>
      </c>
      <c r="G1935" s="16" t="n">
        <v>1.758718</v>
      </c>
    </row>
    <row r="1936" customFormat="false" ht="15" hidden="false" customHeight="false" outlineLevel="0" collapsed="false">
      <c r="A1936" s="7" t="n">
        <v>2018</v>
      </c>
      <c r="B1936" s="12" t="s">
        <v>63</v>
      </c>
      <c r="C1936" s="12" t="s">
        <v>62</v>
      </c>
      <c r="D1936" s="12" t="s">
        <v>49</v>
      </c>
      <c r="E1936" s="16" t="n">
        <v>370.934167</v>
      </c>
      <c r="F1936" s="16" t="n">
        <v>0</v>
      </c>
      <c r="G1936" s="16" t="n">
        <v>163.819502</v>
      </c>
    </row>
    <row r="1937" customFormat="false" ht="15" hidden="false" customHeight="false" outlineLevel="0" collapsed="false">
      <c r="A1937" s="7" t="n">
        <v>2018</v>
      </c>
      <c r="B1937" s="12" t="s">
        <v>63</v>
      </c>
      <c r="C1937" s="12" t="s">
        <v>62</v>
      </c>
      <c r="D1937" s="12" t="s">
        <v>48</v>
      </c>
      <c r="E1937" s="16" t="n">
        <v>306.614573</v>
      </c>
      <c r="F1937" s="16" t="n">
        <v>0</v>
      </c>
      <c r="G1937" s="16" t="n">
        <v>0</v>
      </c>
    </row>
    <row r="1938" customFormat="false" ht="15" hidden="false" customHeight="false" outlineLevel="0" collapsed="false">
      <c r="A1938" s="7" t="n">
        <v>2018</v>
      </c>
      <c r="B1938" s="12" t="s">
        <v>63</v>
      </c>
      <c r="C1938" s="12" t="s">
        <v>62</v>
      </c>
      <c r="D1938" s="12" t="s">
        <v>46</v>
      </c>
      <c r="E1938" s="16" t="n">
        <v>287.085963</v>
      </c>
      <c r="F1938" s="16" t="n">
        <v>0</v>
      </c>
      <c r="G1938" s="16" t="n">
        <v>334.059848</v>
      </c>
    </row>
    <row r="1939" customFormat="false" ht="15" hidden="false" customHeight="false" outlineLevel="0" collapsed="false">
      <c r="A1939" s="7" t="n">
        <v>2018</v>
      </c>
      <c r="B1939" s="12" t="s">
        <v>63</v>
      </c>
      <c r="C1939" s="12" t="s">
        <v>62</v>
      </c>
      <c r="D1939" s="12" t="s">
        <v>47</v>
      </c>
      <c r="E1939" s="16" t="n">
        <v>9.205924</v>
      </c>
      <c r="F1939" s="16" t="n">
        <v>0</v>
      </c>
      <c r="G1939" s="16" t="n">
        <v>0</v>
      </c>
    </row>
    <row r="1940" customFormat="false" ht="15" hidden="false" customHeight="false" outlineLevel="0" collapsed="false">
      <c r="A1940" s="7" t="n">
        <v>2018</v>
      </c>
      <c r="B1940" s="12" t="s">
        <v>63</v>
      </c>
      <c r="C1940" s="12" t="s">
        <v>62</v>
      </c>
      <c r="D1940" s="12" t="s">
        <v>45</v>
      </c>
      <c r="E1940" s="16" t="n">
        <v>343.922062</v>
      </c>
      <c r="F1940" s="16" t="n">
        <v>310.083611</v>
      </c>
      <c r="G1940" s="16" t="n">
        <v>1.423094</v>
      </c>
    </row>
    <row r="1941" customFormat="false" ht="15" hidden="false" customHeight="false" outlineLevel="0" collapsed="false">
      <c r="A1941" s="7" t="n">
        <v>2018</v>
      </c>
      <c r="B1941" s="12" t="s">
        <v>64</v>
      </c>
      <c r="C1941" s="12" t="s">
        <v>65</v>
      </c>
      <c r="D1941" s="12" t="s">
        <v>49</v>
      </c>
      <c r="E1941" s="16" t="n">
        <v>148.03846</v>
      </c>
      <c r="F1941" s="16" t="n">
        <v>0</v>
      </c>
      <c r="G1941" s="16" t="n">
        <v>32.401742</v>
      </c>
    </row>
    <row r="1942" customFormat="false" ht="15" hidden="false" customHeight="false" outlineLevel="0" collapsed="false">
      <c r="A1942" s="7" t="n">
        <v>2018</v>
      </c>
      <c r="B1942" s="12" t="s">
        <v>64</v>
      </c>
      <c r="C1942" s="12" t="s">
        <v>65</v>
      </c>
      <c r="D1942" s="12" t="s">
        <v>48</v>
      </c>
      <c r="E1942" s="16" t="n">
        <v>39.637686</v>
      </c>
      <c r="F1942" s="16" t="n">
        <v>0</v>
      </c>
      <c r="G1942" s="16" t="n">
        <v>0</v>
      </c>
    </row>
    <row r="1943" customFormat="false" ht="15" hidden="false" customHeight="false" outlineLevel="0" collapsed="false">
      <c r="A1943" s="7" t="n">
        <v>2018</v>
      </c>
      <c r="B1943" s="12" t="s">
        <v>64</v>
      </c>
      <c r="C1943" s="12" t="s">
        <v>65</v>
      </c>
      <c r="D1943" s="12" t="s">
        <v>46</v>
      </c>
      <c r="E1943" s="16" t="n">
        <v>116.507529</v>
      </c>
      <c r="F1943" s="16" t="n">
        <v>0</v>
      </c>
      <c r="G1943" s="16" t="n">
        <v>94.421669</v>
      </c>
    </row>
    <row r="1944" customFormat="false" ht="15" hidden="false" customHeight="false" outlineLevel="0" collapsed="false">
      <c r="A1944" s="7" t="n">
        <v>2018</v>
      </c>
      <c r="B1944" s="12" t="s">
        <v>64</v>
      </c>
      <c r="C1944" s="12" t="s">
        <v>65</v>
      </c>
      <c r="D1944" s="12" t="s">
        <v>47</v>
      </c>
      <c r="E1944" s="16" t="n">
        <v>6.13891</v>
      </c>
      <c r="F1944" s="16" t="n">
        <v>0</v>
      </c>
      <c r="G1944" s="16" t="n">
        <v>0</v>
      </c>
    </row>
    <row r="1945" customFormat="false" ht="15" hidden="false" customHeight="false" outlineLevel="0" collapsed="false">
      <c r="A1945" s="7" t="n">
        <v>2018</v>
      </c>
      <c r="B1945" s="12" t="s">
        <v>64</v>
      </c>
      <c r="C1945" s="12" t="s">
        <v>65</v>
      </c>
      <c r="D1945" s="12" t="s">
        <v>45</v>
      </c>
      <c r="E1945" s="16" t="n">
        <v>91.492718</v>
      </c>
      <c r="F1945" s="16" t="n">
        <v>59.735024</v>
      </c>
      <c r="G1945" s="16" t="n">
        <v>38.79735</v>
      </c>
    </row>
    <row r="1946" customFormat="false" ht="15" hidden="false" customHeight="false" outlineLevel="0" collapsed="false">
      <c r="A1946" s="7" t="n">
        <v>2018</v>
      </c>
      <c r="B1946" s="12" t="s">
        <v>66</v>
      </c>
      <c r="C1946" s="12" t="s">
        <v>67</v>
      </c>
      <c r="D1946" s="12" t="s">
        <v>49</v>
      </c>
      <c r="E1946" s="16" t="n">
        <v>95.143503</v>
      </c>
      <c r="F1946" s="16" t="n">
        <v>0</v>
      </c>
      <c r="G1946" s="16" t="n">
        <v>31.244788</v>
      </c>
    </row>
    <row r="1947" customFormat="false" ht="15" hidden="false" customHeight="false" outlineLevel="0" collapsed="false">
      <c r="A1947" s="7" t="n">
        <v>2018</v>
      </c>
      <c r="B1947" s="12" t="s">
        <v>66</v>
      </c>
      <c r="C1947" s="12" t="s">
        <v>67</v>
      </c>
      <c r="D1947" s="12" t="s">
        <v>48</v>
      </c>
      <c r="E1947" s="16" t="n">
        <v>43.428461</v>
      </c>
      <c r="F1947" s="16" t="n">
        <v>0</v>
      </c>
      <c r="G1947" s="16" t="n">
        <v>0</v>
      </c>
    </row>
    <row r="1948" customFormat="false" ht="15" hidden="false" customHeight="false" outlineLevel="0" collapsed="false">
      <c r="A1948" s="7" t="n">
        <v>2018</v>
      </c>
      <c r="B1948" s="12" t="s">
        <v>66</v>
      </c>
      <c r="C1948" s="12" t="s">
        <v>67</v>
      </c>
      <c r="D1948" s="12" t="s">
        <v>46</v>
      </c>
      <c r="E1948" s="16" t="n">
        <v>81.400529</v>
      </c>
      <c r="F1948" s="16" t="n">
        <v>0</v>
      </c>
      <c r="G1948" s="16" t="n">
        <v>69.753588</v>
      </c>
    </row>
    <row r="1949" customFormat="false" ht="15" hidden="false" customHeight="false" outlineLevel="0" collapsed="false">
      <c r="A1949" s="7" t="n">
        <v>2018</v>
      </c>
      <c r="B1949" s="12" t="s">
        <v>66</v>
      </c>
      <c r="C1949" s="12" t="s">
        <v>67</v>
      </c>
      <c r="D1949" s="12" t="s">
        <v>47</v>
      </c>
      <c r="E1949" s="16" t="n">
        <v>4.958232</v>
      </c>
      <c r="F1949" s="16" t="n">
        <v>0</v>
      </c>
      <c r="G1949" s="16" t="n">
        <v>0</v>
      </c>
    </row>
    <row r="1950" customFormat="false" ht="15" hidden="false" customHeight="false" outlineLevel="0" collapsed="false">
      <c r="A1950" s="7" t="n">
        <v>2018</v>
      </c>
      <c r="B1950" s="12" t="s">
        <v>66</v>
      </c>
      <c r="C1950" s="12" t="s">
        <v>67</v>
      </c>
      <c r="D1950" s="12" t="s">
        <v>45</v>
      </c>
      <c r="E1950" s="16" t="n">
        <v>120.223295</v>
      </c>
      <c r="F1950" s="16" t="n">
        <v>86.26547</v>
      </c>
      <c r="G1950" s="16" t="n">
        <v>27.945744</v>
      </c>
    </row>
    <row r="1951" customFormat="false" ht="15" hidden="false" customHeight="false" outlineLevel="0" collapsed="false">
      <c r="A1951" s="7" t="n">
        <v>2018</v>
      </c>
      <c r="B1951" s="12" t="s">
        <v>68</v>
      </c>
      <c r="C1951" s="12" t="s">
        <v>65</v>
      </c>
      <c r="D1951" s="12" t="s">
        <v>49</v>
      </c>
      <c r="E1951" s="16" t="n">
        <v>143.80865</v>
      </c>
      <c r="F1951" s="16" t="n">
        <v>0</v>
      </c>
      <c r="G1951" s="16" t="n">
        <v>25.553004</v>
      </c>
    </row>
    <row r="1952" customFormat="false" ht="15" hidden="false" customHeight="false" outlineLevel="0" collapsed="false">
      <c r="A1952" s="7" t="n">
        <v>2018</v>
      </c>
      <c r="B1952" s="12" t="s">
        <v>68</v>
      </c>
      <c r="C1952" s="12" t="s">
        <v>65</v>
      </c>
      <c r="D1952" s="12" t="s">
        <v>48</v>
      </c>
      <c r="E1952" s="16" t="n">
        <v>22.488156</v>
      </c>
      <c r="F1952" s="16" t="n">
        <v>0</v>
      </c>
      <c r="G1952" s="16" t="n">
        <v>0</v>
      </c>
    </row>
    <row r="1953" customFormat="false" ht="15" hidden="false" customHeight="false" outlineLevel="0" collapsed="false">
      <c r="A1953" s="7" t="n">
        <v>2018</v>
      </c>
      <c r="B1953" s="12" t="s">
        <v>68</v>
      </c>
      <c r="C1953" s="12" t="s">
        <v>65</v>
      </c>
      <c r="D1953" s="12" t="s">
        <v>46</v>
      </c>
      <c r="E1953" s="16" t="n">
        <v>43.730047</v>
      </c>
      <c r="F1953" s="16" t="n">
        <v>0</v>
      </c>
      <c r="G1953" s="16" t="n">
        <v>32.767489</v>
      </c>
    </row>
    <row r="1954" customFormat="false" ht="15" hidden="false" customHeight="false" outlineLevel="0" collapsed="false">
      <c r="A1954" s="7" t="n">
        <v>2018</v>
      </c>
      <c r="B1954" s="12" t="s">
        <v>68</v>
      </c>
      <c r="C1954" s="12" t="s">
        <v>65</v>
      </c>
      <c r="D1954" s="12" t="s">
        <v>47</v>
      </c>
      <c r="E1954" s="16" t="n">
        <v>6.537255</v>
      </c>
      <c r="F1954" s="16" t="n">
        <v>0</v>
      </c>
      <c r="G1954" s="16" t="n">
        <v>0</v>
      </c>
    </row>
    <row r="1955" customFormat="false" ht="15" hidden="false" customHeight="false" outlineLevel="0" collapsed="false">
      <c r="A1955" s="7" t="n">
        <v>2018</v>
      </c>
      <c r="B1955" s="12" t="s">
        <v>68</v>
      </c>
      <c r="C1955" s="12" t="s">
        <v>65</v>
      </c>
      <c r="D1955" s="12" t="s">
        <v>45</v>
      </c>
      <c r="E1955" s="16" t="n">
        <v>47.056567</v>
      </c>
      <c r="F1955" s="16" t="n">
        <v>11.327951</v>
      </c>
      <c r="G1955" s="16" t="n">
        <v>8.540718</v>
      </c>
    </row>
    <row r="1956" customFormat="false" ht="15" hidden="false" customHeight="false" outlineLevel="0" collapsed="false">
      <c r="A1956" s="7" t="n">
        <v>2018</v>
      </c>
      <c r="B1956" s="12" t="s">
        <v>69</v>
      </c>
      <c r="C1956" s="12" t="s">
        <v>70</v>
      </c>
      <c r="D1956" s="12" t="s">
        <v>49</v>
      </c>
      <c r="E1956" s="16" t="n">
        <v>115.037859</v>
      </c>
      <c r="F1956" s="16" t="n">
        <v>0</v>
      </c>
      <c r="G1956" s="16" t="n">
        <v>37.136267</v>
      </c>
    </row>
    <row r="1957" customFormat="false" ht="15" hidden="false" customHeight="false" outlineLevel="0" collapsed="false">
      <c r="A1957" s="7" t="n">
        <v>2018</v>
      </c>
      <c r="B1957" s="12" t="s">
        <v>69</v>
      </c>
      <c r="C1957" s="12" t="s">
        <v>70</v>
      </c>
      <c r="D1957" s="12" t="s">
        <v>48</v>
      </c>
      <c r="E1957" s="16" t="n">
        <v>63.840991</v>
      </c>
      <c r="F1957" s="16" t="n">
        <v>0</v>
      </c>
      <c r="G1957" s="16" t="n">
        <v>0</v>
      </c>
    </row>
    <row r="1958" customFormat="false" ht="15" hidden="false" customHeight="false" outlineLevel="0" collapsed="false">
      <c r="A1958" s="7" t="n">
        <v>2018</v>
      </c>
      <c r="B1958" s="12" t="s">
        <v>69</v>
      </c>
      <c r="C1958" s="12" t="s">
        <v>70</v>
      </c>
      <c r="D1958" s="12" t="s">
        <v>46</v>
      </c>
      <c r="E1958" s="16" t="n">
        <v>33.813371</v>
      </c>
      <c r="F1958" s="16" t="n">
        <v>0</v>
      </c>
      <c r="G1958" s="16" t="n">
        <v>79.617377</v>
      </c>
    </row>
    <row r="1959" customFormat="false" ht="15" hidden="false" customHeight="false" outlineLevel="0" collapsed="false">
      <c r="A1959" s="7" t="n">
        <v>2018</v>
      </c>
      <c r="B1959" s="12" t="s">
        <v>69</v>
      </c>
      <c r="C1959" s="12" t="s">
        <v>70</v>
      </c>
      <c r="D1959" s="12" t="s">
        <v>47</v>
      </c>
      <c r="E1959" s="16" t="n">
        <v>3.638936</v>
      </c>
      <c r="F1959" s="16" t="n">
        <v>0</v>
      </c>
      <c r="G1959" s="16" t="n">
        <v>0</v>
      </c>
    </row>
    <row r="1960" customFormat="false" ht="15" hidden="false" customHeight="false" outlineLevel="0" collapsed="false">
      <c r="A1960" s="7" t="n">
        <v>2018</v>
      </c>
      <c r="B1960" s="12" t="s">
        <v>69</v>
      </c>
      <c r="C1960" s="12" t="s">
        <v>70</v>
      </c>
      <c r="D1960" s="12" t="s">
        <v>45</v>
      </c>
      <c r="E1960" s="16" t="n">
        <v>355.982499</v>
      </c>
      <c r="F1960" s="16" t="n">
        <v>352.944205</v>
      </c>
      <c r="G1960" s="16" t="n">
        <v>0</v>
      </c>
    </row>
    <row r="1961" customFormat="false" ht="15" hidden="false" customHeight="false" outlineLevel="0" collapsed="false">
      <c r="A1961" s="7" t="n">
        <v>2018</v>
      </c>
      <c r="B1961" s="12" t="s">
        <v>71</v>
      </c>
      <c r="C1961" s="12" t="s">
        <v>72</v>
      </c>
      <c r="D1961" s="12" t="s">
        <v>49</v>
      </c>
      <c r="E1961" s="16" t="n">
        <v>33.060427</v>
      </c>
      <c r="F1961" s="16" t="n">
        <v>0</v>
      </c>
      <c r="G1961" s="16" t="n">
        <v>5.018448</v>
      </c>
    </row>
    <row r="1962" customFormat="false" ht="15" hidden="false" customHeight="false" outlineLevel="0" collapsed="false">
      <c r="A1962" s="7" t="n">
        <v>2018</v>
      </c>
      <c r="B1962" s="12" t="s">
        <v>71</v>
      </c>
      <c r="C1962" s="12" t="s">
        <v>72</v>
      </c>
      <c r="D1962" s="12" t="s">
        <v>48</v>
      </c>
      <c r="E1962" s="16" t="n">
        <v>16.123727</v>
      </c>
      <c r="F1962" s="16" t="n">
        <v>0</v>
      </c>
      <c r="G1962" s="16" t="n">
        <v>0</v>
      </c>
    </row>
    <row r="1963" customFormat="false" ht="15" hidden="false" customHeight="false" outlineLevel="0" collapsed="false">
      <c r="A1963" s="7" t="n">
        <v>2018</v>
      </c>
      <c r="B1963" s="12" t="s">
        <v>71</v>
      </c>
      <c r="C1963" s="12" t="s">
        <v>72</v>
      </c>
      <c r="D1963" s="12" t="s">
        <v>46</v>
      </c>
      <c r="E1963" s="16" t="n">
        <v>14.676962</v>
      </c>
      <c r="F1963" s="16" t="n">
        <v>0</v>
      </c>
      <c r="G1963" s="16" t="n">
        <v>14.270334</v>
      </c>
    </row>
    <row r="1964" customFormat="false" ht="15" hidden="false" customHeight="false" outlineLevel="0" collapsed="false">
      <c r="A1964" s="7" t="n">
        <v>2018</v>
      </c>
      <c r="B1964" s="12" t="s">
        <v>71</v>
      </c>
      <c r="C1964" s="12" t="s">
        <v>72</v>
      </c>
      <c r="D1964" s="12" t="s">
        <v>47</v>
      </c>
      <c r="E1964" s="16" t="n">
        <v>0.684038</v>
      </c>
      <c r="F1964" s="16" t="n">
        <v>0</v>
      </c>
      <c r="G1964" s="16" t="n">
        <v>0</v>
      </c>
    </row>
    <row r="1965" customFormat="false" ht="15" hidden="false" customHeight="false" outlineLevel="0" collapsed="false">
      <c r="A1965" s="7" t="n">
        <v>2018</v>
      </c>
      <c r="B1965" s="12" t="s">
        <v>71</v>
      </c>
      <c r="C1965" s="12" t="s">
        <v>72</v>
      </c>
      <c r="D1965" s="12" t="s">
        <v>45</v>
      </c>
      <c r="E1965" s="16" t="n">
        <v>39.434329</v>
      </c>
      <c r="F1965" s="16" t="n">
        <v>39.41578</v>
      </c>
      <c r="G1965" s="16" t="n">
        <v>0</v>
      </c>
    </row>
    <row r="1966" customFormat="false" ht="15" hidden="false" customHeight="false" outlineLevel="0" collapsed="false">
      <c r="A1966" s="7" t="n">
        <v>2018</v>
      </c>
      <c r="B1966" s="12" t="s">
        <v>73</v>
      </c>
      <c r="C1966" s="12" t="s">
        <v>70</v>
      </c>
      <c r="D1966" s="12" t="s">
        <v>49</v>
      </c>
      <c r="E1966" s="16" t="n">
        <v>49.556034</v>
      </c>
      <c r="F1966" s="16" t="n">
        <v>0</v>
      </c>
      <c r="G1966" s="16" t="n">
        <v>31.137193</v>
      </c>
    </row>
    <row r="1967" customFormat="false" ht="15" hidden="false" customHeight="false" outlineLevel="0" collapsed="false">
      <c r="A1967" s="7" t="n">
        <v>2018</v>
      </c>
      <c r="B1967" s="12" t="s">
        <v>73</v>
      </c>
      <c r="C1967" s="12" t="s">
        <v>70</v>
      </c>
      <c r="D1967" s="12" t="s">
        <v>48</v>
      </c>
      <c r="E1967" s="16" t="n">
        <v>149.27686</v>
      </c>
      <c r="F1967" s="16" t="n">
        <v>0</v>
      </c>
      <c r="G1967" s="16" t="n">
        <v>0</v>
      </c>
    </row>
    <row r="1968" customFormat="false" ht="15" hidden="false" customHeight="false" outlineLevel="0" collapsed="false">
      <c r="A1968" s="7" t="n">
        <v>2018</v>
      </c>
      <c r="B1968" s="12" t="s">
        <v>73</v>
      </c>
      <c r="C1968" s="12" t="s">
        <v>70</v>
      </c>
      <c r="D1968" s="12" t="s">
        <v>46</v>
      </c>
      <c r="E1968" s="16" t="n">
        <v>80.743361</v>
      </c>
      <c r="F1968" s="16" t="n">
        <v>0</v>
      </c>
      <c r="G1968" s="16" t="n">
        <v>72.77871</v>
      </c>
    </row>
    <row r="1969" customFormat="false" ht="15" hidden="false" customHeight="false" outlineLevel="0" collapsed="false">
      <c r="A1969" s="7" t="n">
        <v>2018</v>
      </c>
      <c r="B1969" s="12" t="s">
        <v>73</v>
      </c>
      <c r="C1969" s="12" t="s">
        <v>70</v>
      </c>
      <c r="D1969" s="12" t="s">
        <v>47</v>
      </c>
      <c r="E1969" s="16" t="n">
        <v>6.385011</v>
      </c>
      <c r="F1969" s="16" t="n">
        <v>0</v>
      </c>
      <c r="G1969" s="16" t="n">
        <v>0</v>
      </c>
    </row>
    <row r="1970" customFormat="false" ht="15" hidden="false" customHeight="false" outlineLevel="0" collapsed="false">
      <c r="A1970" s="7" t="n">
        <v>2018</v>
      </c>
      <c r="B1970" s="12" t="s">
        <v>73</v>
      </c>
      <c r="C1970" s="12" t="s">
        <v>70</v>
      </c>
      <c r="D1970" s="12" t="s">
        <v>45</v>
      </c>
      <c r="E1970" s="16" t="n">
        <v>75.190901</v>
      </c>
      <c r="F1970" s="16" t="n">
        <v>54.427719</v>
      </c>
      <c r="G1970" s="16" t="n">
        <v>37.255018</v>
      </c>
    </row>
    <row r="1971" customFormat="false" ht="15" hidden="false" customHeight="false" outlineLevel="0" collapsed="false">
      <c r="A1971" s="7" t="n">
        <v>2018</v>
      </c>
      <c r="B1971" s="12" t="s">
        <v>74</v>
      </c>
      <c r="C1971" s="12" t="s">
        <v>65</v>
      </c>
      <c r="D1971" s="12" t="s">
        <v>49</v>
      </c>
      <c r="E1971" s="16" t="n">
        <v>184.80122</v>
      </c>
      <c r="F1971" s="16" t="n">
        <v>0</v>
      </c>
      <c r="G1971" s="16" t="n">
        <v>17.943956</v>
      </c>
    </row>
    <row r="1972" customFormat="false" ht="15" hidden="false" customHeight="false" outlineLevel="0" collapsed="false">
      <c r="A1972" s="7" t="n">
        <v>2018</v>
      </c>
      <c r="B1972" s="12" t="s">
        <v>74</v>
      </c>
      <c r="C1972" s="12" t="s">
        <v>65</v>
      </c>
      <c r="D1972" s="12" t="s">
        <v>48</v>
      </c>
      <c r="E1972" s="16" t="n">
        <v>17.69757</v>
      </c>
      <c r="F1972" s="16" t="n">
        <v>0</v>
      </c>
      <c r="G1972" s="16" t="n">
        <v>0</v>
      </c>
    </row>
    <row r="1973" customFormat="false" ht="15" hidden="false" customHeight="false" outlineLevel="0" collapsed="false">
      <c r="A1973" s="7" t="n">
        <v>2018</v>
      </c>
      <c r="B1973" s="12" t="s">
        <v>74</v>
      </c>
      <c r="C1973" s="12" t="s">
        <v>65</v>
      </c>
      <c r="D1973" s="12" t="s">
        <v>46</v>
      </c>
      <c r="E1973" s="16" t="n">
        <v>55.385035</v>
      </c>
      <c r="F1973" s="16" t="n">
        <v>0</v>
      </c>
      <c r="G1973" s="16" t="n">
        <v>52.076899</v>
      </c>
    </row>
    <row r="1974" customFormat="false" ht="15" hidden="false" customHeight="false" outlineLevel="0" collapsed="false">
      <c r="A1974" s="7" t="n">
        <v>2018</v>
      </c>
      <c r="B1974" s="12" t="s">
        <v>74</v>
      </c>
      <c r="C1974" s="12" t="s">
        <v>65</v>
      </c>
      <c r="D1974" s="12" t="s">
        <v>47</v>
      </c>
      <c r="E1974" s="16" t="n">
        <v>5.990251</v>
      </c>
      <c r="F1974" s="16" t="n">
        <v>0</v>
      </c>
      <c r="G1974" s="16" t="n">
        <v>0</v>
      </c>
    </row>
    <row r="1975" customFormat="false" ht="15" hidden="false" customHeight="false" outlineLevel="0" collapsed="false">
      <c r="A1975" s="7" t="n">
        <v>2018</v>
      </c>
      <c r="B1975" s="12" t="s">
        <v>74</v>
      </c>
      <c r="C1975" s="12" t="s">
        <v>65</v>
      </c>
      <c r="D1975" s="12" t="s">
        <v>45</v>
      </c>
      <c r="E1975" s="16" t="n">
        <v>44.867318</v>
      </c>
      <c r="F1975" s="16" t="n">
        <v>0</v>
      </c>
      <c r="G1975" s="16" t="n">
        <v>28.255383</v>
      </c>
    </row>
    <row r="1976" customFormat="false" ht="15" hidden="false" customHeight="false" outlineLevel="0" collapsed="false">
      <c r="A1976" s="7" t="n">
        <v>2018</v>
      </c>
      <c r="B1976" s="12" t="s">
        <v>75</v>
      </c>
      <c r="C1976" s="12" t="s">
        <v>57</v>
      </c>
      <c r="D1976" s="12" t="s">
        <v>49</v>
      </c>
      <c r="E1976" s="16" t="n">
        <v>279.266707</v>
      </c>
      <c r="F1976" s="16" t="n">
        <v>0</v>
      </c>
      <c r="G1976" s="16" t="n">
        <v>112.225403</v>
      </c>
    </row>
    <row r="1977" customFormat="false" ht="15" hidden="false" customHeight="false" outlineLevel="0" collapsed="false">
      <c r="A1977" s="7" t="n">
        <v>2018</v>
      </c>
      <c r="B1977" s="12" t="s">
        <v>75</v>
      </c>
      <c r="C1977" s="12" t="s">
        <v>57</v>
      </c>
      <c r="D1977" s="12" t="s">
        <v>48</v>
      </c>
      <c r="E1977" s="16" t="n">
        <v>159.053855</v>
      </c>
      <c r="F1977" s="16" t="n">
        <v>0</v>
      </c>
      <c r="G1977" s="16" t="n">
        <v>0</v>
      </c>
    </row>
    <row r="1978" customFormat="false" ht="15" hidden="false" customHeight="false" outlineLevel="0" collapsed="false">
      <c r="A1978" s="7" t="n">
        <v>2018</v>
      </c>
      <c r="B1978" s="12" t="s">
        <v>75</v>
      </c>
      <c r="C1978" s="12" t="s">
        <v>57</v>
      </c>
      <c r="D1978" s="12" t="s">
        <v>46</v>
      </c>
      <c r="E1978" s="16" t="n">
        <v>122.695865</v>
      </c>
      <c r="F1978" s="16" t="n">
        <v>0</v>
      </c>
      <c r="G1978" s="16" t="n">
        <v>112.565938</v>
      </c>
    </row>
    <row r="1979" customFormat="false" ht="15" hidden="false" customHeight="false" outlineLevel="0" collapsed="false">
      <c r="A1979" s="7" t="n">
        <v>2018</v>
      </c>
      <c r="B1979" s="12" t="s">
        <v>75</v>
      </c>
      <c r="C1979" s="12" t="s">
        <v>57</v>
      </c>
      <c r="D1979" s="12" t="s">
        <v>47</v>
      </c>
      <c r="E1979" s="16" t="n">
        <v>10.810916</v>
      </c>
      <c r="F1979" s="16" t="n">
        <v>0</v>
      </c>
      <c r="G1979" s="16" t="n">
        <v>0</v>
      </c>
    </row>
    <row r="1980" customFormat="false" ht="15" hidden="false" customHeight="false" outlineLevel="0" collapsed="false">
      <c r="A1980" s="7" t="n">
        <v>2018</v>
      </c>
      <c r="B1980" s="12" t="s">
        <v>75</v>
      </c>
      <c r="C1980" s="12" t="s">
        <v>57</v>
      </c>
      <c r="D1980" s="12" t="s">
        <v>45</v>
      </c>
      <c r="E1980" s="16" t="n">
        <v>361.658721</v>
      </c>
      <c r="F1980" s="16" t="n">
        <v>309.789754</v>
      </c>
      <c r="G1980" s="16" t="n">
        <v>67.946949</v>
      </c>
    </row>
    <row r="1981" customFormat="false" ht="15" hidden="false" customHeight="false" outlineLevel="0" collapsed="false">
      <c r="A1981" s="7" t="n">
        <v>2018</v>
      </c>
      <c r="B1981" s="12" t="s">
        <v>76</v>
      </c>
      <c r="C1981" s="12" t="s">
        <v>72</v>
      </c>
      <c r="D1981" s="12" t="s">
        <v>49</v>
      </c>
      <c r="E1981" s="16" t="n">
        <v>44.445056</v>
      </c>
      <c r="F1981" s="16" t="n">
        <v>0</v>
      </c>
      <c r="G1981" s="16" t="n">
        <v>21.188098</v>
      </c>
    </row>
    <row r="1982" customFormat="false" ht="15" hidden="false" customHeight="false" outlineLevel="0" collapsed="false">
      <c r="A1982" s="7" t="n">
        <v>2018</v>
      </c>
      <c r="B1982" s="12" t="s">
        <v>76</v>
      </c>
      <c r="C1982" s="12" t="s">
        <v>72</v>
      </c>
      <c r="D1982" s="12" t="s">
        <v>48</v>
      </c>
      <c r="E1982" s="16" t="n">
        <v>21.183751</v>
      </c>
      <c r="F1982" s="16" t="n">
        <v>0</v>
      </c>
      <c r="G1982" s="16" t="n">
        <v>0</v>
      </c>
    </row>
    <row r="1983" customFormat="false" ht="15" hidden="false" customHeight="false" outlineLevel="0" collapsed="false">
      <c r="A1983" s="7" t="n">
        <v>2018</v>
      </c>
      <c r="B1983" s="12" t="s">
        <v>76</v>
      </c>
      <c r="C1983" s="12" t="s">
        <v>72</v>
      </c>
      <c r="D1983" s="12" t="s">
        <v>46</v>
      </c>
      <c r="E1983" s="16" t="n">
        <v>30.057036</v>
      </c>
      <c r="F1983" s="16" t="n">
        <v>0</v>
      </c>
      <c r="G1983" s="16" t="n">
        <v>31.882144</v>
      </c>
    </row>
    <row r="1984" customFormat="false" ht="15" hidden="false" customHeight="false" outlineLevel="0" collapsed="false">
      <c r="A1984" s="7" t="n">
        <v>2018</v>
      </c>
      <c r="B1984" s="12" t="s">
        <v>76</v>
      </c>
      <c r="C1984" s="12" t="s">
        <v>72</v>
      </c>
      <c r="D1984" s="12" t="s">
        <v>45</v>
      </c>
      <c r="E1984" s="16" t="n">
        <v>74.242931</v>
      </c>
      <c r="F1984" s="16" t="n">
        <v>62.491776</v>
      </c>
      <c r="G1984" s="16" t="n">
        <v>28.370284</v>
      </c>
    </row>
    <row r="1985" customFormat="false" ht="15" hidden="false" customHeight="false" outlineLevel="0" collapsed="false">
      <c r="A1985" s="7" t="n">
        <v>2018</v>
      </c>
      <c r="B1985" s="12" t="s">
        <v>77</v>
      </c>
      <c r="C1985" s="12" t="s">
        <v>57</v>
      </c>
      <c r="D1985" s="12" t="s">
        <v>49</v>
      </c>
      <c r="E1985" s="16" t="n">
        <v>47.29325</v>
      </c>
      <c r="F1985" s="16" t="n">
        <v>0</v>
      </c>
      <c r="G1985" s="16" t="n">
        <v>4.912938</v>
      </c>
    </row>
    <row r="1986" customFormat="false" ht="15" hidden="false" customHeight="false" outlineLevel="0" collapsed="false">
      <c r="A1986" s="7" t="n">
        <v>2018</v>
      </c>
      <c r="B1986" s="12" t="s">
        <v>77</v>
      </c>
      <c r="C1986" s="12" t="s">
        <v>57</v>
      </c>
      <c r="D1986" s="12" t="s">
        <v>48</v>
      </c>
      <c r="E1986" s="16" t="n">
        <v>24.955031</v>
      </c>
      <c r="F1986" s="16" t="n">
        <v>0</v>
      </c>
      <c r="G1986" s="16" t="n">
        <v>0</v>
      </c>
    </row>
    <row r="1987" customFormat="false" ht="15" hidden="false" customHeight="false" outlineLevel="0" collapsed="false">
      <c r="A1987" s="7" t="n">
        <v>2018</v>
      </c>
      <c r="B1987" s="12" t="s">
        <v>77</v>
      </c>
      <c r="C1987" s="12" t="s">
        <v>57</v>
      </c>
      <c r="D1987" s="12" t="s">
        <v>46</v>
      </c>
      <c r="E1987" s="16" t="n">
        <v>18.267828</v>
      </c>
      <c r="F1987" s="16" t="n">
        <v>0</v>
      </c>
      <c r="G1987" s="16" t="n">
        <v>11.511131</v>
      </c>
    </row>
    <row r="1988" customFormat="false" ht="15" hidden="false" customHeight="false" outlineLevel="0" collapsed="false">
      <c r="A1988" s="7" t="n">
        <v>2018</v>
      </c>
      <c r="B1988" s="12" t="s">
        <v>77</v>
      </c>
      <c r="C1988" s="12" t="s">
        <v>57</v>
      </c>
      <c r="D1988" s="12" t="s">
        <v>47</v>
      </c>
      <c r="E1988" s="16" t="n">
        <v>1.099478</v>
      </c>
      <c r="F1988" s="16" t="n">
        <v>0</v>
      </c>
      <c r="G1988" s="16" t="n">
        <v>0</v>
      </c>
    </row>
    <row r="1989" customFormat="false" ht="15" hidden="false" customHeight="false" outlineLevel="0" collapsed="false">
      <c r="A1989" s="7" t="n">
        <v>2018</v>
      </c>
      <c r="B1989" s="12" t="s">
        <v>77</v>
      </c>
      <c r="C1989" s="12" t="s">
        <v>57</v>
      </c>
      <c r="D1989" s="12" t="s">
        <v>45</v>
      </c>
      <c r="E1989" s="16" t="n">
        <v>29.409137</v>
      </c>
      <c r="F1989" s="16" t="n">
        <v>19.073361</v>
      </c>
      <c r="G1989" s="16" t="n">
        <v>8.785818</v>
      </c>
    </row>
    <row r="1990" customFormat="false" ht="15" hidden="false" customHeight="false" outlineLevel="0" collapsed="false">
      <c r="A1990" s="7" t="n">
        <v>2018</v>
      </c>
      <c r="B1990" s="12" t="s">
        <v>78</v>
      </c>
      <c r="C1990" s="12" t="s">
        <v>65</v>
      </c>
      <c r="D1990" s="12" t="s">
        <v>49</v>
      </c>
      <c r="E1990" s="16" t="n">
        <v>39.912777</v>
      </c>
      <c r="F1990" s="16" t="n">
        <v>0</v>
      </c>
      <c r="G1990" s="16" t="n">
        <v>4.354666</v>
      </c>
    </row>
    <row r="1991" customFormat="false" ht="15" hidden="false" customHeight="false" outlineLevel="0" collapsed="false">
      <c r="A1991" s="7" t="n">
        <v>2018</v>
      </c>
      <c r="B1991" s="12" t="s">
        <v>78</v>
      </c>
      <c r="C1991" s="12" t="s">
        <v>65</v>
      </c>
      <c r="D1991" s="12" t="s">
        <v>48</v>
      </c>
      <c r="E1991" s="16" t="n">
        <v>17.340671</v>
      </c>
      <c r="F1991" s="16" t="n">
        <v>0</v>
      </c>
      <c r="G1991" s="16" t="n">
        <v>0</v>
      </c>
    </row>
    <row r="1992" customFormat="false" ht="15" hidden="false" customHeight="false" outlineLevel="0" collapsed="false">
      <c r="A1992" s="7" t="n">
        <v>2018</v>
      </c>
      <c r="B1992" s="12" t="s">
        <v>78</v>
      </c>
      <c r="C1992" s="12" t="s">
        <v>65</v>
      </c>
      <c r="D1992" s="12" t="s">
        <v>46</v>
      </c>
      <c r="E1992" s="16" t="n">
        <v>17.091477</v>
      </c>
      <c r="F1992" s="16" t="n">
        <v>0</v>
      </c>
      <c r="G1992" s="16" t="n">
        <v>20.344949</v>
      </c>
    </row>
    <row r="1993" customFormat="false" ht="15" hidden="false" customHeight="false" outlineLevel="0" collapsed="false">
      <c r="A1993" s="7" t="n">
        <v>2018</v>
      </c>
      <c r="B1993" s="12" t="s">
        <v>78</v>
      </c>
      <c r="C1993" s="12" t="s">
        <v>65</v>
      </c>
      <c r="D1993" s="12" t="s">
        <v>45</v>
      </c>
      <c r="E1993" s="16" t="n">
        <v>21.634795</v>
      </c>
      <c r="F1993" s="16" t="n">
        <v>0</v>
      </c>
      <c r="G1993" s="16" t="n">
        <v>10.328846</v>
      </c>
    </row>
    <row r="1994" customFormat="false" ht="15" hidden="false" customHeight="false" outlineLevel="0" collapsed="false">
      <c r="A1994" s="7" t="n">
        <v>2018</v>
      </c>
      <c r="B1994" s="12" t="s">
        <v>79</v>
      </c>
      <c r="C1994" s="12" t="s">
        <v>72</v>
      </c>
      <c r="D1994" s="12" t="s">
        <v>49</v>
      </c>
      <c r="E1994" s="16" t="n">
        <v>143.593758</v>
      </c>
      <c r="F1994" s="16" t="n">
        <v>0</v>
      </c>
      <c r="G1994" s="16" t="n">
        <v>41.480095</v>
      </c>
    </row>
    <row r="1995" customFormat="false" ht="15" hidden="false" customHeight="false" outlineLevel="0" collapsed="false">
      <c r="A1995" s="7" t="n">
        <v>2018</v>
      </c>
      <c r="B1995" s="12" t="s">
        <v>79</v>
      </c>
      <c r="C1995" s="12" t="s">
        <v>72</v>
      </c>
      <c r="D1995" s="12" t="s">
        <v>48</v>
      </c>
      <c r="E1995" s="16" t="n">
        <v>114.933376</v>
      </c>
      <c r="F1995" s="16" t="n">
        <v>0</v>
      </c>
      <c r="G1995" s="16" t="n">
        <v>0</v>
      </c>
    </row>
    <row r="1996" customFormat="false" ht="15" hidden="false" customHeight="false" outlineLevel="0" collapsed="false">
      <c r="A1996" s="7" t="n">
        <v>2018</v>
      </c>
      <c r="B1996" s="12" t="s">
        <v>79</v>
      </c>
      <c r="C1996" s="12" t="s">
        <v>72</v>
      </c>
      <c r="D1996" s="12" t="s">
        <v>46</v>
      </c>
      <c r="E1996" s="16" t="n">
        <v>79.197247</v>
      </c>
      <c r="F1996" s="16" t="n">
        <v>0</v>
      </c>
      <c r="G1996" s="16" t="n">
        <v>119.779517</v>
      </c>
    </row>
    <row r="1997" customFormat="false" ht="15" hidden="false" customHeight="false" outlineLevel="0" collapsed="false">
      <c r="A1997" s="7" t="n">
        <v>2018</v>
      </c>
      <c r="B1997" s="12" t="s">
        <v>79</v>
      </c>
      <c r="C1997" s="12" t="s">
        <v>72</v>
      </c>
      <c r="D1997" s="12" t="s">
        <v>47</v>
      </c>
      <c r="E1997" s="16" t="n">
        <v>5.354492</v>
      </c>
      <c r="F1997" s="16" t="n">
        <v>0</v>
      </c>
      <c r="G1997" s="16" t="n">
        <v>0</v>
      </c>
    </row>
    <row r="1998" customFormat="false" ht="15" hidden="false" customHeight="false" outlineLevel="0" collapsed="false">
      <c r="A1998" s="7" t="n">
        <v>2018</v>
      </c>
      <c r="B1998" s="12" t="s">
        <v>79</v>
      </c>
      <c r="C1998" s="12" t="s">
        <v>72</v>
      </c>
      <c r="D1998" s="12" t="s">
        <v>45</v>
      </c>
      <c r="E1998" s="16" t="n">
        <v>445.814924</v>
      </c>
      <c r="F1998" s="16" t="n">
        <v>440.351389</v>
      </c>
      <c r="G1998" s="16" t="n">
        <v>0</v>
      </c>
    </row>
    <row r="1999" customFormat="false" ht="15" hidden="false" customHeight="false" outlineLevel="0" collapsed="false">
      <c r="A1999" s="7" t="n">
        <v>2018</v>
      </c>
      <c r="B1999" s="12" t="s">
        <v>80</v>
      </c>
      <c r="C1999" s="12" t="s">
        <v>72</v>
      </c>
      <c r="D1999" s="12" t="s">
        <v>49</v>
      </c>
      <c r="E1999" s="16" t="n">
        <v>89.939924</v>
      </c>
      <c r="F1999" s="16" t="n">
        <v>0</v>
      </c>
      <c r="G1999" s="16" t="n">
        <v>29.387747</v>
      </c>
    </row>
    <row r="2000" customFormat="false" ht="15" hidden="false" customHeight="false" outlineLevel="0" collapsed="false">
      <c r="A2000" s="7" t="n">
        <v>2018</v>
      </c>
      <c r="B2000" s="12" t="s">
        <v>80</v>
      </c>
      <c r="C2000" s="12" t="s">
        <v>72</v>
      </c>
      <c r="D2000" s="12" t="s">
        <v>48</v>
      </c>
      <c r="E2000" s="16" t="n">
        <v>26.289496</v>
      </c>
      <c r="F2000" s="16" t="n">
        <v>0</v>
      </c>
      <c r="G2000" s="16" t="n">
        <v>0</v>
      </c>
    </row>
    <row r="2001" customFormat="false" ht="15" hidden="false" customHeight="false" outlineLevel="0" collapsed="false">
      <c r="A2001" s="7" t="n">
        <v>2018</v>
      </c>
      <c r="B2001" s="12" t="s">
        <v>80</v>
      </c>
      <c r="C2001" s="12" t="s">
        <v>72</v>
      </c>
      <c r="D2001" s="12" t="s">
        <v>46</v>
      </c>
      <c r="E2001" s="16" t="n">
        <v>29.448515</v>
      </c>
      <c r="F2001" s="16" t="n">
        <v>0</v>
      </c>
      <c r="G2001" s="16" t="n">
        <v>61.201258</v>
      </c>
    </row>
    <row r="2002" customFormat="false" ht="15" hidden="false" customHeight="false" outlineLevel="0" collapsed="false">
      <c r="A2002" s="7" t="n">
        <v>2018</v>
      </c>
      <c r="B2002" s="12" t="s">
        <v>80</v>
      </c>
      <c r="C2002" s="12" t="s">
        <v>72</v>
      </c>
      <c r="D2002" s="12" t="s">
        <v>47</v>
      </c>
      <c r="E2002" s="16" t="n">
        <v>2.529573</v>
      </c>
      <c r="F2002" s="16" t="n">
        <v>0</v>
      </c>
      <c r="G2002" s="16" t="n">
        <v>0</v>
      </c>
    </row>
    <row r="2003" customFormat="false" ht="15" hidden="false" customHeight="false" outlineLevel="0" collapsed="false">
      <c r="A2003" s="7" t="n">
        <v>2018</v>
      </c>
      <c r="B2003" s="12" t="s">
        <v>80</v>
      </c>
      <c r="C2003" s="12" t="s">
        <v>72</v>
      </c>
      <c r="D2003" s="12" t="s">
        <v>45</v>
      </c>
      <c r="E2003" s="16" t="n">
        <v>145.286382</v>
      </c>
      <c r="F2003" s="16" t="n">
        <v>142.754325</v>
      </c>
      <c r="G2003" s="16" t="n">
        <v>0</v>
      </c>
    </row>
    <row r="2004" customFormat="false" ht="15" hidden="false" customHeight="false" outlineLevel="0" collapsed="false">
      <c r="A2004" s="7" t="n">
        <v>2018</v>
      </c>
      <c r="B2004" s="12" t="s">
        <v>81</v>
      </c>
      <c r="C2004" s="12" t="s">
        <v>72</v>
      </c>
      <c r="D2004" s="12" t="s">
        <v>49</v>
      </c>
      <c r="E2004" s="16" t="n">
        <v>65.337962</v>
      </c>
      <c r="F2004" s="16" t="n">
        <v>0</v>
      </c>
      <c r="G2004" s="16" t="n">
        <v>12.330237</v>
      </c>
    </row>
    <row r="2005" customFormat="false" ht="15" hidden="false" customHeight="false" outlineLevel="0" collapsed="false">
      <c r="A2005" s="7" t="n">
        <v>2018</v>
      </c>
      <c r="B2005" s="12" t="s">
        <v>81</v>
      </c>
      <c r="C2005" s="12" t="s">
        <v>72</v>
      </c>
      <c r="D2005" s="12" t="s">
        <v>48</v>
      </c>
      <c r="E2005" s="16" t="n">
        <v>33.343608</v>
      </c>
      <c r="F2005" s="16" t="n">
        <v>0</v>
      </c>
      <c r="G2005" s="16" t="n">
        <v>0</v>
      </c>
    </row>
    <row r="2006" customFormat="false" ht="15" hidden="false" customHeight="false" outlineLevel="0" collapsed="false">
      <c r="A2006" s="7" t="n">
        <v>2018</v>
      </c>
      <c r="B2006" s="12" t="s">
        <v>81</v>
      </c>
      <c r="C2006" s="12" t="s">
        <v>72</v>
      </c>
      <c r="D2006" s="12" t="s">
        <v>46</v>
      </c>
      <c r="E2006" s="16" t="n">
        <v>29.632337</v>
      </c>
      <c r="F2006" s="16" t="n">
        <v>0</v>
      </c>
      <c r="G2006" s="16" t="n">
        <v>29.093394</v>
      </c>
    </row>
    <row r="2007" customFormat="false" ht="15" hidden="false" customHeight="false" outlineLevel="0" collapsed="false">
      <c r="A2007" s="7" t="n">
        <v>2018</v>
      </c>
      <c r="B2007" s="12" t="s">
        <v>81</v>
      </c>
      <c r="C2007" s="12" t="s">
        <v>72</v>
      </c>
      <c r="D2007" s="12" t="s">
        <v>47</v>
      </c>
      <c r="E2007" s="16" t="n">
        <v>2.398063</v>
      </c>
      <c r="F2007" s="16" t="n">
        <v>0</v>
      </c>
      <c r="G2007" s="16" t="n">
        <v>0</v>
      </c>
    </row>
    <row r="2008" customFormat="false" ht="15" hidden="false" customHeight="false" outlineLevel="0" collapsed="false">
      <c r="A2008" s="7" t="n">
        <v>2018</v>
      </c>
      <c r="B2008" s="12" t="s">
        <v>81</v>
      </c>
      <c r="C2008" s="12" t="s">
        <v>72</v>
      </c>
      <c r="D2008" s="12" t="s">
        <v>45</v>
      </c>
      <c r="E2008" s="16" t="n">
        <v>144.13778</v>
      </c>
      <c r="F2008" s="16" t="n">
        <v>137.105775</v>
      </c>
      <c r="G2008" s="16" t="n">
        <v>0</v>
      </c>
    </row>
    <row r="2009" customFormat="false" ht="15" hidden="false" customHeight="false" outlineLevel="0" collapsed="false">
      <c r="A2009" s="7" t="n">
        <v>2019</v>
      </c>
      <c r="B2009" s="12" t="s">
        <v>56</v>
      </c>
      <c r="C2009" s="12" t="s">
        <v>57</v>
      </c>
      <c r="D2009" s="12" t="s">
        <v>49</v>
      </c>
      <c r="E2009" s="16" t="n">
        <v>62.20778</v>
      </c>
      <c r="F2009" s="16" t="n">
        <v>0</v>
      </c>
      <c r="G2009" s="16" t="n">
        <v>13.436488</v>
      </c>
    </row>
    <row r="2010" customFormat="false" ht="15" hidden="false" customHeight="false" outlineLevel="0" collapsed="false">
      <c r="A2010" s="7" t="n">
        <v>2019</v>
      </c>
      <c r="B2010" s="12" t="s">
        <v>56</v>
      </c>
      <c r="C2010" s="12" t="s">
        <v>57</v>
      </c>
      <c r="D2010" s="12" t="s">
        <v>48</v>
      </c>
      <c r="E2010" s="16" t="n">
        <v>18.994415</v>
      </c>
      <c r="F2010" s="16" t="n">
        <v>0</v>
      </c>
      <c r="G2010" s="16" t="n">
        <v>0</v>
      </c>
    </row>
    <row r="2011" customFormat="false" ht="15" hidden="false" customHeight="false" outlineLevel="0" collapsed="false">
      <c r="A2011" s="7" t="n">
        <v>2019</v>
      </c>
      <c r="B2011" s="12" t="s">
        <v>56</v>
      </c>
      <c r="C2011" s="12" t="s">
        <v>57</v>
      </c>
      <c r="D2011" s="12" t="s">
        <v>46</v>
      </c>
      <c r="E2011" s="16" t="n">
        <v>20.23861</v>
      </c>
      <c r="F2011" s="16" t="n">
        <v>0</v>
      </c>
      <c r="G2011" s="16" t="n">
        <v>21.796131</v>
      </c>
    </row>
    <row r="2012" customFormat="false" ht="15" hidden="false" customHeight="false" outlineLevel="0" collapsed="false">
      <c r="A2012" s="7" t="n">
        <v>2019</v>
      </c>
      <c r="B2012" s="12" t="s">
        <v>56</v>
      </c>
      <c r="C2012" s="12" t="s">
        <v>57</v>
      </c>
      <c r="D2012" s="12" t="s">
        <v>45</v>
      </c>
      <c r="E2012" s="16" t="n">
        <v>89.378825</v>
      </c>
      <c r="F2012" s="16" t="n">
        <v>67.824231</v>
      </c>
      <c r="G2012" s="16" t="n">
        <v>18.204901</v>
      </c>
    </row>
    <row r="2013" customFormat="false" ht="15" hidden="false" customHeight="false" outlineLevel="0" collapsed="false">
      <c r="A2013" s="7" t="n">
        <v>2019</v>
      </c>
      <c r="B2013" s="12" t="s">
        <v>58</v>
      </c>
      <c r="C2013" s="12" t="s">
        <v>59</v>
      </c>
      <c r="D2013" s="12" t="s">
        <v>49</v>
      </c>
      <c r="E2013" s="16" t="n">
        <v>126.800824</v>
      </c>
      <c r="F2013" s="16" t="n">
        <v>0</v>
      </c>
      <c r="G2013" s="16" t="n">
        <v>53.453304</v>
      </c>
    </row>
    <row r="2014" customFormat="false" ht="15" hidden="false" customHeight="false" outlineLevel="0" collapsed="false">
      <c r="A2014" s="7" t="n">
        <v>2019</v>
      </c>
      <c r="B2014" s="12" t="s">
        <v>58</v>
      </c>
      <c r="C2014" s="12" t="s">
        <v>59</v>
      </c>
      <c r="D2014" s="12" t="s">
        <v>48</v>
      </c>
      <c r="E2014" s="16" t="n">
        <v>67.981738</v>
      </c>
      <c r="F2014" s="16" t="n">
        <v>0</v>
      </c>
      <c r="G2014" s="16" t="n">
        <v>0</v>
      </c>
    </row>
    <row r="2015" customFormat="false" ht="15" hidden="false" customHeight="false" outlineLevel="0" collapsed="false">
      <c r="A2015" s="7" t="n">
        <v>2019</v>
      </c>
      <c r="B2015" s="12" t="s">
        <v>58</v>
      </c>
      <c r="C2015" s="12" t="s">
        <v>59</v>
      </c>
      <c r="D2015" s="12" t="s">
        <v>46</v>
      </c>
      <c r="E2015" s="16" t="n">
        <v>250.081351</v>
      </c>
      <c r="F2015" s="16" t="n">
        <v>0</v>
      </c>
      <c r="G2015" s="16" t="n">
        <v>225.352602</v>
      </c>
    </row>
    <row r="2016" customFormat="false" ht="15" hidden="false" customHeight="false" outlineLevel="0" collapsed="false">
      <c r="A2016" s="7" t="n">
        <v>2019</v>
      </c>
      <c r="B2016" s="12" t="s">
        <v>58</v>
      </c>
      <c r="C2016" s="12" t="s">
        <v>59</v>
      </c>
      <c r="D2016" s="12" t="s">
        <v>47</v>
      </c>
      <c r="E2016" s="16" t="n">
        <v>0.816069</v>
      </c>
      <c r="F2016" s="16" t="n">
        <v>0</v>
      </c>
      <c r="G2016" s="16" t="n">
        <v>0</v>
      </c>
    </row>
    <row r="2017" customFormat="false" ht="15" hidden="false" customHeight="false" outlineLevel="0" collapsed="false">
      <c r="A2017" s="7" t="n">
        <v>2019</v>
      </c>
      <c r="B2017" s="12" t="s">
        <v>58</v>
      </c>
      <c r="C2017" s="12" t="s">
        <v>59</v>
      </c>
      <c r="D2017" s="12" t="s">
        <v>45</v>
      </c>
      <c r="E2017" s="16" t="n">
        <v>62.31176</v>
      </c>
      <c r="F2017" s="16" t="n">
        <v>24.781272</v>
      </c>
      <c r="G2017" s="16" t="n">
        <v>49.996878</v>
      </c>
    </row>
    <row r="2018" customFormat="false" ht="15" hidden="false" customHeight="false" outlineLevel="0" collapsed="false">
      <c r="A2018" s="7" t="n">
        <v>2019</v>
      </c>
      <c r="B2018" s="12" t="s">
        <v>60</v>
      </c>
      <c r="C2018" s="12" t="s">
        <v>59</v>
      </c>
      <c r="D2018" s="12" t="s">
        <v>49</v>
      </c>
      <c r="E2018" s="16" t="n">
        <v>426.917829</v>
      </c>
      <c r="F2018" s="16" t="n">
        <v>0</v>
      </c>
      <c r="G2018" s="16" t="n">
        <v>201.969071</v>
      </c>
    </row>
    <row r="2019" customFormat="false" ht="15" hidden="false" customHeight="false" outlineLevel="0" collapsed="false">
      <c r="A2019" s="7" t="n">
        <v>2019</v>
      </c>
      <c r="B2019" s="12" t="s">
        <v>60</v>
      </c>
      <c r="C2019" s="12" t="s">
        <v>59</v>
      </c>
      <c r="D2019" s="12" t="s">
        <v>48</v>
      </c>
      <c r="E2019" s="16" t="n">
        <v>237.331015</v>
      </c>
      <c r="F2019" s="16" t="n">
        <v>0</v>
      </c>
      <c r="G2019" s="16" t="n">
        <v>0</v>
      </c>
    </row>
    <row r="2020" customFormat="false" ht="15" hidden="false" customHeight="false" outlineLevel="0" collapsed="false">
      <c r="A2020" s="7" t="n">
        <v>2019</v>
      </c>
      <c r="B2020" s="12" t="s">
        <v>60</v>
      </c>
      <c r="C2020" s="12" t="s">
        <v>59</v>
      </c>
      <c r="D2020" s="12" t="s">
        <v>46</v>
      </c>
      <c r="E2020" s="16" t="n">
        <v>476.394628</v>
      </c>
      <c r="F2020" s="16" t="n">
        <v>0</v>
      </c>
      <c r="G2020" s="16" t="n">
        <v>550.950562</v>
      </c>
    </row>
    <row r="2021" customFormat="false" ht="15" hidden="false" customHeight="false" outlineLevel="0" collapsed="false">
      <c r="A2021" s="7" t="n">
        <v>2019</v>
      </c>
      <c r="B2021" s="12" t="s">
        <v>60</v>
      </c>
      <c r="C2021" s="12" t="s">
        <v>59</v>
      </c>
      <c r="D2021" s="12" t="s">
        <v>47</v>
      </c>
      <c r="E2021" s="16" t="n">
        <v>5.152776</v>
      </c>
      <c r="F2021" s="16" t="n">
        <v>0</v>
      </c>
      <c r="G2021" s="16" t="n">
        <v>0</v>
      </c>
    </row>
    <row r="2022" customFormat="false" ht="15" hidden="false" customHeight="false" outlineLevel="0" collapsed="false">
      <c r="A2022" s="7" t="n">
        <v>2019</v>
      </c>
      <c r="B2022" s="12" t="s">
        <v>60</v>
      </c>
      <c r="C2022" s="12" t="s">
        <v>59</v>
      </c>
      <c r="D2022" s="12" t="s">
        <v>45</v>
      </c>
      <c r="E2022" s="16" t="n">
        <v>370.207609</v>
      </c>
      <c r="F2022" s="16" t="n">
        <v>9.876687</v>
      </c>
      <c r="G2022" s="16" t="n">
        <v>131.6291</v>
      </c>
    </row>
    <row r="2023" customFormat="false" ht="15" hidden="false" customHeight="false" outlineLevel="0" collapsed="false">
      <c r="A2023" s="7" t="n">
        <v>2019</v>
      </c>
      <c r="B2023" s="12" t="s">
        <v>61</v>
      </c>
      <c r="C2023" s="12" t="s">
        <v>62</v>
      </c>
      <c r="D2023" s="12" t="s">
        <v>49</v>
      </c>
      <c r="E2023" s="16" t="n">
        <v>102.166406</v>
      </c>
      <c r="F2023" s="16" t="n">
        <v>0</v>
      </c>
      <c r="G2023" s="16" t="n">
        <v>109.475091</v>
      </c>
    </row>
    <row r="2024" customFormat="false" ht="15" hidden="false" customHeight="false" outlineLevel="0" collapsed="false">
      <c r="A2024" s="7" t="n">
        <v>2019</v>
      </c>
      <c r="B2024" s="12" t="s">
        <v>61</v>
      </c>
      <c r="C2024" s="12" t="s">
        <v>62</v>
      </c>
      <c r="D2024" s="12" t="s">
        <v>48</v>
      </c>
      <c r="E2024" s="16" t="n">
        <v>228.176556</v>
      </c>
      <c r="F2024" s="16" t="n">
        <v>0</v>
      </c>
      <c r="G2024" s="16" t="n">
        <v>0</v>
      </c>
    </row>
    <row r="2025" customFormat="false" ht="15" hidden="false" customHeight="false" outlineLevel="0" collapsed="false">
      <c r="A2025" s="7" t="n">
        <v>2019</v>
      </c>
      <c r="B2025" s="12" t="s">
        <v>61</v>
      </c>
      <c r="C2025" s="12" t="s">
        <v>62</v>
      </c>
      <c r="D2025" s="12" t="s">
        <v>46</v>
      </c>
      <c r="E2025" s="16" t="n">
        <v>237.644538</v>
      </c>
      <c r="F2025" s="16" t="n">
        <v>0</v>
      </c>
      <c r="G2025" s="16" t="n">
        <v>248.968062</v>
      </c>
    </row>
    <row r="2026" customFormat="false" ht="15" hidden="false" customHeight="false" outlineLevel="0" collapsed="false">
      <c r="A2026" s="7" t="n">
        <v>2019</v>
      </c>
      <c r="B2026" s="12" t="s">
        <v>61</v>
      </c>
      <c r="C2026" s="12" t="s">
        <v>62</v>
      </c>
      <c r="D2026" s="12" t="s">
        <v>47</v>
      </c>
      <c r="E2026" s="16" t="n">
        <v>7.441468</v>
      </c>
      <c r="F2026" s="16" t="n">
        <v>0</v>
      </c>
      <c r="G2026" s="16" t="n">
        <v>0</v>
      </c>
    </row>
    <row r="2027" customFormat="false" ht="15" hidden="false" customHeight="false" outlineLevel="0" collapsed="false">
      <c r="A2027" s="7" t="n">
        <v>2019</v>
      </c>
      <c r="B2027" s="12" t="s">
        <v>61</v>
      </c>
      <c r="C2027" s="12" t="s">
        <v>62</v>
      </c>
      <c r="D2027" s="12" t="s">
        <v>45</v>
      </c>
      <c r="E2027" s="16" t="n">
        <v>384.264454</v>
      </c>
      <c r="F2027" s="16" t="n">
        <v>371.460081</v>
      </c>
      <c r="G2027" s="16" t="n">
        <v>0.849404</v>
      </c>
    </row>
    <row r="2028" customFormat="false" ht="15" hidden="false" customHeight="false" outlineLevel="0" collapsed="false">
      <c r="A2028" s="7" t="n">
        <v>2019</v>
      </c>
      <c r="B2028" s="12" t="s">
        <v>63</v>
      </c>
      <c r="C2028" s="12" t="s">
        <v>62</v>
      </c>
      <c r="D2028" s="12" t="s">
        <v>49</v>
      </c>
      <c r="E2028" s="16" t="n">
        <v>344.509357</v>
      </c>
      <c r="F2028" s="16" t="n">
        <v>0</v>
      </c>
      <c r="G2028" s="16" t="n">
        <v>193.138669</v>
      </c>
    </row>
    <row r="2029" customFormat="false" ht="15" hidden="false" customHeight="false" outlineLevel="0" collapsed="false">
      <c r="A2029" s="7" t="n">
        <v>2019</v>
      </c>
      <c r="B2029" s="12" t="s">
        <v>63</v>
      </c>
      <c r="C2029" s="12" t="s">
        <v>62</v>
      </c>
      <c r="D2029" s="12" t="s">
        <v>48</v>
      </c>
      <c r="E2029" s="16" t="n">
        <v>289.412408</v>
      </c>
      <c r="F2029" s="16" t="n">
        <v>0</v>
      </c>
      <c r="G2029" s="16" t="n">
        <v>0</v>
      </c>
    </row>
    <row r="2030" customFormat="false" ht="15" hidden="false" customHeight="false" outlineLevel="0" collapsed="false">
      <c r="A2030" s="7" t="n">
        <v>2019</v>
      </c>
      <c r="B2030" s="12" t="s">
        <v>63</v>
      </c>
      <c r="C2030" s="12" t="s">
        <v>62</v>
      </c>
      <c r="D2030" s="12" t="s">
        <v>46</v>
      </c>
      <c r="E2030" s="16" t="n">
        <v>302.949185</v>
      </c>
      <c r="F2030" s="16" t="n">
        <v>0</v>
      </c>
      <c r="G2030" s="16" t="n">
        <v>367.975481</v>
      </c>
    </row>
    <row r="2031" customFormat="false" ht="15" hidden="false" customHeight="false" outlineLevel="0" collapsed="false">
      <c r="A2031" s="7" t="n">
        <v>2019</v>
      </c>
      <c r="B2031" s="12" t="s">
        <v>63</v>
      </c>
      <c r="C2031" s="12" t="s">
        <v>62</v>
      </c>
      <c r="D2031" s="12" t="s">
        <v>47</v>
      </c>
      <c r="E2031" s="16" t="n">
        <v>8.70597</v>
      </c>
      <c r="F2031" s="16" t="n">
        <v>0</v>
      </c>
      <c r="G2031" s="16" t="n">
        <v>0</v>
      </c>
    </row>
    <row r="2032" customFormat="false" ht="15" hidden="false" customHeight="false" outlineLevel="0" collapsed="false">
      <c r="A2032" s="7" t="n">
        <v>2019</v>
      </c>
      <c r="B2032" s="12" t="s">
        <v>63</v>
      </c>
      <c r="C2032" s="12" t="s">
        <v>62</v>
      </c>
      <c r="D2032" s="12" t="s">
        <v>45</v>
      </c>
      <c r="E2032" s="16" t="n">
        <v>353.427641</v>
      </c>
      <c r="F2032" s="16" t="n">
        <v>326.173138</v>
      </c>
      <c r="G2032" s="16" t="n">
        <v>1.68897</v>
      </c>
    </row>
    <row r="2033" customFormat="false" ht="15" hidden="false" customHeight="false" outlineLevel="0" collapsed="false">
      <c r="A2033" s="7" t="n">
        <v>2019</v>
      </c>
      <c r="B2033" s="12" t="s">
        <v>64</v>
      </c>
      <c r="C2033" s="12" t="s">
        <v>65</v>
      </c>
      <c r="D2033" s="12" t="s">
        <v>49</v>
      </c>
      <c r="E2033" s="16" t="n">
        <v>148.809509</v>
      </c>
      <c r="F2033" s="16" t="n">
        <v>0</v>
      </c>
      <c r="G2033" s="16" t="n">
        <v>33.950296</v>
      </c>
    </row>
    <row r="2034" customFormat="false" ht="15" hidden="false" customHeight="false" outlineLevel="0" collapsed="false">
      <c r="A2034" s="7" t="n">
        <v>2019</v>
      </c>
      <c r="B2034" s="12" t="s">
        <v>64</v>
      </c>
      <c r="C2034" s="12" t="s">
        <v>65</v>
      </c>
      <c r="D2034" s="12" t="s">
        <v>48</v>
      </c>
      <c r="E2034" s="16" t="n">
        <v>35.288249</v>
      </c>
      <c r="F2034" s="16" t="n">
        <v>0</v>
      </c>
      <c r="G2034" s="16" t="n">
        <v>0</v>
      </c>
    </row>
    <row r="2035" customFormat="false" ht="15" hidden="false" customHeight="false" outlineLevel="0" collapsed="false">
      <c r="A2035" s="7" t="n">
        <v>2019</v>
      </c>
      <c r="B2035" s="12" t="s">
        <v>64</v>
      </c>
      <c r="C2035" s="12" t="s">
        <v>65</v>
      </c>
      <c r="D2035" s="12" t="s">
        <v>46</v>
      </c>
      <c r="E2035" s="16" t="n">
        <v>118.208161</v>
      </c>
      <c r="F2035" s="16" t="n">
        <v>0</v>
      </c>
      <c r="G2035" s="16" t="n">
        <v>94.986016</v>
      </c>
    </row>
    <row r="2036" customFormat="false" ht="15" hidden="false" customHeight="false" outlineLevel="0" collapsed="false">
      <c r="A2036" s="7" t="n">
        <v>2019</v>
      </c>
      <c r="B2036" s="12" t="s">
        <v>64</v>
      </c>
      <c r="C2036" s="12" t="s">
        <v>65</v>
      </c>
      <c r="D2036" s="12" t="s">
        <v>47</v>
      </c>
      <c r="E2036" s="16" t="n">
        <v>7.541986</v>
      </c>
      <c r="F2036" s="16" t="n">
        <v>0</v>
      </c>
      <c r="G2036" s="16" t="n">
        <v>0</v>
      </c>
    </row>
    <row r="2037" customFormat="false" ht="15" hidden="false" customHeight="false" outlineLevel="0" collapsed="false">
      <c r="A2037" s="7" t="n">
        <v>2019</v>
      </c>
      <c r="B2037" s="12" t="s">
        <v>64</v>
      </c>
      <c r="C2037" s="12" t="s">
        <v>65</v>
      </c>
      <c r="D2037" s="12" t="s">
        <v>45</v>
      </c>
      <c r="E2037" s="16" t="n">
        <v>110.818348</v>
      </c>
      <c r="F2037" s="16" t="n">
        <v>78.48407</v>
      </c>
      <c r="G2037" s="16" t="n">
        <v>38.782478</v>
      </c>
    </row>
    <row r="2038" customFormat="false" ht="15" hidden="false" customHeight="false" outlineLevel="0" collapsed="false">
      <c r="A2038" s="7" t="n">
        <v>2019</v>
      </c>
      <c r="B2038" s="12" t="s">
        <v>66</v>
      </c>
      <c r="C2038" s="12" t="s">
        <v>67</v>
      </c>
      <c r="D2038" s="12" t="s">
        <v>49</v>
      </c>
      <c r="E2038" s="16" t="n">
        <v>101.839176</v>
      </c>
      <c r="F2038" s="16" t="n">
        <v>0</v>
      </c>
      <c r="G2038" s="16" t="n">
        <v>33.592407</v>
      </c>
    </row>
    <row r="2039" customFormat="false" ht="15" hidden="false" customHeight="false" outlineLevel="0" collapsed="false">
      <c r="A2039" s="7" t="n">
        <v>2019</v>
      </c>
      <c r="B2039" s="12" t="s">
        <v>66</v>
      </c>
      <c r="C2039" s="12" t="s">
        <v>67</v>
      </c>
      <c r="D2039" s="12" t="s">
        <v>48</v>
      </c>
      <c r="E2039" s="16" t="n">
        <v>49.403324</v>
      </c>
      <c r="F2039" s="16" t="n">
        <v>0</v>
      </c>
      <c r="G2039" s="16" t="n">
        <v>0</v>
      </c>
    </row>
    <row r="2040" customFormat="false" ht="15" hidden="false" customHeight="false" outlineLevel="0" collapsed="false">
      <c r="A2040" s="7" t="n">
        <v>2019</v>
      </c>
      <c r="B2040" s="12" t="s">
        <v>66</v>
      </c>
      <c r="C2040" s="12" t="s">
        <v>67</v>
      </c>
      <c r="D2040" s="12" t="s">
        <v>46</v>
      </c>
      <c r="E2040" s="16" t="n">
        <v>81.866438</v>
      </c>
      <c r="F2040" s="16" t="n">
        <v>0</v>
      </c>
      <c r="G2040" s="16" t="n">
        <v>82.678416</v>
      </c>
    </row>
    <row r="2041" customFormat="false" ht="15" hidden="false" customHeight="false" outlineLevel="0" collapsed="false">
      <c r="A2041" s="7" t="n">
        <v>2019</v>
      </c>
      <c r="B2041" s="12" t="s">
        <v>66</v>
      </c>
      <c r="C2041" s="12" t="s">
        <v>67</v>
      </c>
      <c r="D2041" s="12" t="s">
        <v>47</v>
      </c>
      <c r="E2041" s="16" t="n">
        <v>4.451886</v>
      </c>
      <c r="F2041" s="16" t="n">
        <v>0</v>
      </c>
      <c r="G2041" s="16" t="n">
        <v>0</v>
      </c>
    </row>
    <row r="2042" customFormat="false" ht="15" hidden="false" customHeight="false" outlineLevel="0" collapsed="false">
      <c r="A2042" s="7" t="n">
        <v>2019</v>
      </c>
      <c r="B2042" s="12" t="s">
        <v>66</v>
      </c>
      <c r="C2042" s="12" t="s">
        <v>67</v>
      </c>
      <c r="D2042" s="12" t="s">
        <v>45</v>
      </c>
      <c r="E2042" s="16" t="n">
        <v>167.694423</v>
      </c>
      <c r="F2042" s="16" t="n">
        <v>133.416582</v>
      </c>
      <c r="G2042" s="16" t="n">
        <v>30.81016</v>
      </c>
    </row>
    <row r="2043" customFormat="false" ht="15" hidden="false" customHeight="false" outlineLevel="0" collapsed="false">
      <c r="A2043" s="7" t="n">
        <v>2019</v>
      </c>
      <c r="B2043" s="12" t="s">
        <v>68</v>
      </c>
      <c r="C2043" s="12" t="s">
        <v>65</v>
      </c>
      <c r="D2043" s="12" t="s">
        <v>49</v>
      </c>
      <c r="E2043" s="16" t="n">
        <v>143.687928</v>
      </c>
      <c r="F2043" s="16" t="n">
        <v>0</v>
      </c>
      <c r="G2043" s="16" t="n">
        <v>25.946661</v>
      </c>
    </row>
    <row r="2044" customFormat="false" ht="15" hidden="false" customHeight="false" outlineLevel="0" collapsed="false">
      <c r="A2044" s="7" t="n">
        <v>2019</v>
      </c>
      <c r="B2044" s="12" t="s">
        <v>68</v>
      </c>
      <c r="C2044" s="12" t="s">
        <v>65</v>
      </c>
      <c r="D2044" s="12" t="s">
        <v>48</v>
      </c>
      <c r="E2044" s="16" t="n">
        <v>23.867516</v>
      </c>
      <c r="F2044" s="16" t="n">
        <v>0</v>
      </c>
      <c r="G2044" s="16" t="n">
        <v>0</v>
      </c>
    </row>
    <row r="2045" customFormat="false" ht="15" hidden="false" customHeight="false" outlineLevel="0" collapsed="false">
      <c r="A2045" s="7" t="n">
        <v>2019</v>
      </c>
      <c r="B2045" s="12" t="s">
        <v>68</v>
      </c>
      <c r="C2045" s="12" t="s">
        <v>65</v>
      </c>
      <c r="D2045" s="12" t="s">
        <v>46</v>
      </c>
      <c r="E2045" s="16" t="n">
        <v>63.24097</v>
      </c>
      <c r="F2045" s="16" t="n">
        <v>0</v>
      </c>
      <c r="G2045" s="16" t="n">
        <v>34.738494</v>
      </c>
    </row>
    <row r="2046" customFormat="false" ht="15" hidden="false" customHeight="false" outlineLevel="0" collapsed="false">
      <c r="A2046" s="7" t="n">
        <v>2019</v>
      </c>
      <c r="B2046" s="12" t="s">
        <v>68</v>
      </c>
      <c r="C2046" s="12" t="s">
        <v>65</v>
      </c>
      <c r="D2046" s="12" t="s">
        <v>47</v>
      </c>
      <c r="E2046" s="16" t="n">
        <v>6.102956</v>
      </c>
      <c r="F2046" s="16" t="n">
        <v>0</v>
      </c>
      <c r="G2046" s="16" t="n">
        <v>0</v>
      </c>
    </row>
    <row r="2047" customFormat="false" ht="15" hidden="false" customHeight="false" outlineLevel="0" collapsed="false">
      <c r="A2047" s="7" t="n">
        <v>2019</v>
      </c>
      <c r="B2047" s="12" t="s">
        <v>68</v>
      </c>
      <c r="C2047" s="12" t="s">
        <v>65</v>
      </c>
      <c r="D2047" s="12" t="s">
        <v>45</v>
      </c>
      <c r="E2047" s="16" t="n">
        <v>46.410249</v>
      </c>
      <c r="F2047" s="16" t="n">
        <v>10.180176</v>
      </c>
      <c r="G2047" s="16" t="n">
        <v>9.386871</v>
      </c>
    </row>
    <row r="2048" customFormat="false" ht="15" hidden="false" customHeight="false" outlineLevel="0" collapsed="false">
      <c r="A2048" s="7" t="n">
        <v>2019</v>
      </c>
      <c r="B2048" s="12" t="s">
        <v>69</v>
      </c>
      <c r="C2048" s="12" t="s">
        <v>70</v>
      </c>
      <c r="D2048" s="12" t="s">
        <v>49</v>
      </c>
      <c r="E2048" s="16" t="n">
        <v>126.52819</v>
      </c>
      <c r="F2048" s="16" t="n">
        <v>0</v>
      </c>
      <c r="G2048" s="16" t="n">
        <v>43.987068</v>
      </c>
    </row>
    <row r="2049" customFormat="false" ht="15" hidden="false" customHeight="false" outlineLevel="0" collapsed="false">
      <c r="A2049" s="7" t="n">
        <v>2019</v>
      </c>
      <c r="B2049" s="12" t="s">
        <v>69</v>
      </c>
      <c r="C2049" s="12" t="s">
        <v>70</v>
      </c>
      <c r="D2049" s="12" t="s">
        <v>48</v>
      </c>
      <c r="E2049" s="16" t="n">
        <v>68.259267</v>
      </c>
      <c r="F2049" s="16" t="n">
        <v>0</v>
      </c>
      <c r="G2049" s="16" t="n">
        <v>0</v>
      </c>
    </row>
    <row r="2050" customFormat="false" ht="15" hidden="false" customHeight="false" outlineLevel="0" collapsed="false">
      <c r="A2050" s="7" t="n">
        <v>2019</v>
      </c>
      <c r="B2050" s="12" t="s">
        <v>69</v>
      </c>
      <c r="C2050" s="12" t="s">
        <v>70</v>
      </c>
      <c r="D2050" s="12" t="s">
        <v>46</v>
      </c>
      <c r="E2050" s="16" t="n">
        <v>32.760098</v>
      </c>
      <c r="F2050" s="16" t="n">
        <v>0</v>
      </c>
      <c r="G2050" s="16" t="n">
        <v>88.066156</v>
      </c>
    </row>
    <row r="2051" customFormat="false" ht="15" hidden="false" customHeight="false" outlineLevel="0" collapsed="false">
      <c r="A2051" s="7" t="n">
        <v>2019</v>
      </c>
      <c r="B2051" s="12" t="s">
        <v>69</v>
      </c>
      <c r="C2051" s="12" t="s">
        <v>70</v>
      </c>
      <c r="D2051" s="12" t="s">
        <v>47</v>
      </c>
      <c r="E2051" s="16" t="n">
        <v>3.683252</v>
      </c>
      <c r="F2051" s="16" t="n">
        <v>0</v>
      </c>
      <c r="G2051" s="16" t="n">
        <v>0</v>
      </c>
    </row>
    <row r="2052" customFormat="false" ht="15" hidden="false" customHeight="false" outlineLevel="0" collapsed="false">
      <c r="A2052" s="7" t="n">
        <v>2019</v>
      </c>
      <c r="B2052" s="12" t="s">
        <v>69</v>
      </c>
      <c r="C2052" s="12" t="s">
        <v>70</v>
      </c>
      <c r="D2052" s="12" t="s">
        <v>45</v>
      </c>
      <c r="E2052" s="16" t="n">
        <v>343.156127</v>
      </c>
      <c r="F2052" s="16" t="n">
        <v>340.243968</v>
      </c>
      <c r="G2052" s="16" t="n">
        <v>0</v>
      </c>
    </row>
    <row r="2053" customFormat="false" ht="15" hidden="false" customHeight="false" outlineLevel="0" collapsed="false">
      <c r="A2053" s="7" t="n">
        <v>2019</v>
      </c>
      <c r="B2053" s="12" t="s">
        <v>71</v>
      </c>
      <c r="C2053" s="12" t="s">
        <v>72</v>
      </c>
      <c r="D2053" s="12" t="s">
        <v>49</v>
      </c>
      <c r="E2053" s="16" t="n">
        <v>37.856663</v>
      </c>
      <c r="F2053" s="16" t="n">
        <v>0</v>
      </c>
      <c r="G2053" s="16" t="n">
        <v>6.483085</v>
      </c>
    </row>
    <row r="2054" customFormat="false" ht="15" hidden="false" customHeight="false" outlineLevel="0" collapsed="false">
      <c r="A2054" s="7" t="n">
        <v>2019</v>
      </c>
      <c r="B2054" s="12" t="s">
        <v>71</v>
      </c>
      <c r="C2054" s="12" t="s">
        <v>72</v>
      </c>
      <c r="D2054" s="12" t="s">
        <v>48</v>
      </c>
      <c r="E2054" s="16" t="n">
        <v>17.747653</v>
      </c>
      <c r="F2054" s="16" t="n">
        <v>0</v>
      </c>
      <c r="G2054" s="16" t="n">
        <v>0</v>
      </c>
    </row>
    <row r="2055" customFormat="false" ht="15" hidden="false" customHeight="false" outlineLevel="0" collapsed="false">
      <c r="A2055" s="7" t="n">
        <v>2019</v>
      </c>
      <c r="B2055" s="12" t="s">
        <v>71</v>
      </c>
      <c r="C2055" s="12" t="s">
        <v>72</v>
      </c>
      <c r="D2055" s="12" t="s">
        <v>46</v>
      </c>
      <c r="E2055" s="16" t="n">
        <v>16.181091</v>
      </c>
      <c r="F2055" s="16" t="n">
        <v>0</v>
      </c>
      <c r="G2055" s="16" t="n">
        <v>15.035522</v>
      </c>
    </row>
    <row r="2056" customFormat="false" ht="15" hidden="false" customHeight="false" outlineLevel="0" collapsed="false">
      <c r="A2056" s="7" t="n">
        <v>2019</v>
      </c>
      <c r="B2056" s="12" t="s">
        <v>71</v>
      </c>
      <c r="C2056" s="12" t="s">
        <v>72</v>
      </c>
      <c r="D2056" s="12" t="s">
        <v>47</v>
      </c>
      <c r="E2056" s="16" t="n">
        <v>0.656379</v>
      </c>
      <c r="F2056" s="16" t="n">
        <v>0</v>
      </c>
      <c r="G2056" s="16" t="n">
        <v>0</v>
      </c>
    </row>
    <row r="2057" customFormat="false" ht="15" hidden="false" customHeight="false" outlineLevel="0" collapsed="false">
      <c r="A2057" s="7" t="n">
        <v>2019</v>
      </c>
      <c r="B2057" s="12" t="s">
        <v>71</v>
      </c>
      <c r="C2057" s="12" t="s">
        <v>72</v>
      </c>
      <c r="D2057" s="12" t="s">
        <v>45</v>
      </c>
      <c r="E2057" s="16" t="n">
        <v>39.749669</v>
      </c>
      <c r="F2057" s="16" t="n">
        <v>39.756037</v>
      </c>
      <c r="G2057" s="16" t="n">
        <v>0</v>
      </c>
    </row>
    <row r="2058" customFormat="false" ht="15" hidden="false" customHeight="false" outlineLevel="0" collapsed="false">
      <c r="A2058" s="7" t="n">
        <v>2019</v>
      </c>
      <c r="B2058" s="12" t="s">
        <v>73</v>
      </c>
      <c r="C2058" s="12" t="s">
        <v>70</v>
      </c>
      <c r="D2058" s="12" t="s">
        <v>49</v>
      </c>
      <c r="E2058" s="16" t="n">
        <v>59.553547</v>
      </c>
      <c r="F2058" s="16" t="n">
        <v>0</v>
      </c>
      <c r="G2058" s="16" t="n">
        <v>36.152198</v>
      </c>
    </row>
    <row r="2059" customFormat="false" ht="15" hidden="false" customHeight="false" outlineLevel="0" collapsed="false">
      <c r="A2059" s="7" t="n">
        <v>2019</v>
      </c>
      <c r="B2059" s="12" t="s">
        <v>73</v>
      </c>
      <c r="C2059" s="12" t="s">
        <v>70</v>
      </c>
      <c r="D2059" s="12" t="s">
        <v>48</v>
      </c>
      <c r="E2059" s="16" t="n">
        <v>102.638195</v>
      </c>
      <c r="F2059" s="16" t="n">
        <v>0</v>
      </c>
      <c r="G2059" s="16" t="n">
        <v>0</v>
      </c>
    </row>
    <row r="2060" customFormat="false" ht="15" hidden="false" customHeight="false" outlineLevel="0" collapsed="false">
      <c r="A2060" s="7" t="n">
        <v>2019</v>
      </c>
      <c r="B2060" s="12" t="s">
        <v>73</v>
      </c>
      <c r="C2060" s="12" t="s">
        <v>70</v>
      </c>
      <c r="D2060" s="12" t="s">
        <v>46</v>
      </c>
      <c r="E2060" s="16" t="n">
        <v>85.298216</v>
      </c>
      <c r="F2060" s="16" t="n">
        <v>0</v>
      </c>
      <c r="G2060" s="16" t="n">
        <v>77.919834</v>
      </c>
    </row>
    <row r="2061" customFormat="false" ht="15" hidden="false" customHeight="false" outlineLevel="0" collapsed="false">
      <c r="A2061" s="7" t="n">
        <v>2019</v>
      </c>
      <c r="B2061" s="12" t="s">
        <v>73</v>
      </c>
      <c r="C2061" s="12" t="s">
        <v>70</v>
      </c>
      <c r="D2061" s="12" t="s">
        <v>47</v>
      </c>
      <c r="E2061" s="16" t="n">
        <v>6.126589</v>
      </c>
      <c r="F2061" s="16" t="n">
        <v>0</v>
      </c>
      <c r="G2061" s="16" t="n">
        <v>0</v>
      </c>
    </row>
    <row r="2062" customFormat="false" ht="15" hidden="false" customHeight="false" outlineLevel="0" collapsed="false">
      <c r="A2062" s="7" t="n">
        <v>2019</v>
      </c>
      <c r="B2062" s="12" t="s">
        <v>73</v>
      </c>
      <c r="C2062" s="12" t="s">
        <v>70</v>
      </c>
      <c r="D2062" s="12" t="s">
        <v>45</v>
      </c>
      <c r="E2062" s="16" t="n">
        <v>82.507601</v>
      </c>
      <c r="F2062" s="16" t="n">
        <v>60.514766</v>
      </c>
      <c r="G2062" s="16" t="n">
        <v>39.807068</v>
      </c>
    </row>
    <row r="2063" customFormat="false" ht="15" hidden="false" customHeight="false" outlineLevel="0" collapsed="false">
      <c r="A2063" s="7" t="n">
        <v>2019</v>
      </c>
      <c r="B2063" s="12" t="s">
        <v>74</v>
      </c>
      <c r="C2063" s="12" t="s">
        <v>65</v>
      </c>
      <c r="D2063" s="12" t="s">
        <v>49</v>
      </c>
      <c r="E2063" s="16" t="n">
        <v>200.041823</v>
      </c>
      <c r="F2063" s="16" t="n">
        <v>0</v>
      </c>
      <c r="G2063" s="16" t="n">
        <v>22.148137</v>
      </c>
    </row>
    <row r="2064" customFormat="false" ht="15" hidden="false" customHeight="false" outlineLevel="0" collapsed="false">
      <c r="A2064" s="7" t="n">
        <v>2019</v>
      </c>
      <c r="B2064" s="12" t="s">
        <v>74</v>
      </c>
      <c r="C2064" s="12" t="s">
        <v>65</v>
      </c>
      <c r="D2064" s="12" t="s">
        <v>48</v>
      </c>
      <c r="E2064" s="16" t="n">
        <v>18.569642</v>
      </c>
      <c r="F2064" s="16" t="n">
        <v>0</v>
      </c>
      <c r="G2064" s="16" t="n">
        <v>0</v>
      </c>
    </row>
    <row r="2065" customFormat="false" ht="15" hidden="false" customHeight="false" outlineLevel="0" collapsed="false">
      <c r="A2065" s="7" t="n">
        <v>2019</v>
      </c>
      <c r="B2065" s="12" t="s">
        <v>74</v>
      </c>
      <c r="C2065" s="12" t="s">
        <v>65</v>
      </c>
      <c r="D2065" s="12" t="s">
        <v>46</v>
      </c>
      <c r="E2065" s="16" t="n">
        <v>58.811486</v>
      </c>
      <c r="F2065" s="16" t="n">
        <v>0</v>
      </c>
      <c r="G2065" s="16" t="n">
        <v>55.377933</v>
      </c>
    </row>
    <row r="2066" customFormat="false" ht="15" hidden="false" customHeight="false" outlineLevel="0" collapsed="false">
      <c r="A2066" s="7" t="n">
        <v>2019</v>
      </c>
      <c r="B2066" s="12" t="s">
        <v>74</v>
      </c>
      <c r="C2066" s="12" t="s">
        <v>65</v>
      </c>
      <c r="D2066" s="12" t="s">
        <v>47</v>
      </c>
      <c r="E2066" s="16" t="n">
        <v>5.640959</v>
      </c>
      <c r="F2066" s="16" t="n">
        <v>0</v>
      </c>
      <c r="G2066" s="16" t="n">
        <v>0</v>
      </c>
    </row>
    <row r="2067" customFormat="false" ht="15" hidden="false" customHeight="false" outlineLevel="0" collapsed="false">
      <c r="A2067" s="7" t="n">
        <v>2019</v>
      </c>
      <c r="B2067" s="12" t="s">
        <v>74</v>
      </c>
      <c r="C2067" s="12" t="s">
        <v>65</v>
      </c>
      <c r="D2067" s="12" t="s">
        <v>45</v>
      </c>
      <c r="E2067" s="16" t="n">
        <v>49.90651</v>
      </c>
      <c r="F2067" s="16" t="n">
        <v>0</v>
      </c>
      <c r="G2067" s="16" t="n">
        <v>38.449401</v>
      </c>
    </row>
    <row r="2068" customFormat="false" ht="15" hidden="false" customHeight="false" outlineLevel="0" collapsed="false">
      <c r="A2068" s="7" t="n">
        <v>2019</v>
      </c>
      <c r="B2068" s="12" t="s">
        <v>75</v>
      </c>
      <c r="C2068" s="12" t="s">
        <v>57</v>
      </c>
      <c r="D2068" s="12" t="s">
        <v>49</v>
      </c>
      <c r="E2068" s="16" t="n">
        <v>264.790269</v>
      </c>
      <c r="F2068" s="16" t="n">
        <v>0</v>
      </c>
      <c r="G2068" s="16" t="n">
        <v>122.519314</v>
      </c>
    </row>
    <row r="2069" customFormat="false" ht="15" hidden="false" customHeight="false" outlineLevel="0" collapsed="false">
      <c r="A2069" s="7" t="n">
        <v>2019</v>
      </c>
      <c r="B2069" s="12" t="s">
        <v>75</v>
      </c>
      <c r="C2069" s="12" t="s">
        <v>57</v>
      </c>
      <c r="D2069" s="12" t="s">
        <v>48</v>
      </c>
      <c r="E2069" s="16" t="n">
        <v>168.747286</v>
      </c>
      <c r="F2069" s="16" t="n">
        <v>0</v>
      </c>
      <c r="G2069" s="16" t="n">
        <v>0</v>
      </c>
    </row>
    <row r="2070" customFormat="false" ht="15" hidden="false" customHeight="false" outlineLevel="0" collapsed="false">
      <c r="A2070" s="7" t="n">
        <v>2019</v>
      </c>
      <c r="B2070" s="12" t="s">
        <v>75</v>
      </c>
      <c r="C2070" s="12" t="s">
        <v>57</v>
      </c>
      <c r="D2070" s="12" t="s">
        <v>46</v>
      </c>
      <c r="E2070" s="16" t="n">
        <v>121.335093</v>
      </c>
      <c r="F2070" s="16" t="n">
        <v>0</v>
      </c>
      <c r="G2070" s="16" t="n">
        <v>116.716217</v>
      </c>
    </row>
    <row r="2071" customFormat="false" ht="15" hidden="false" customHeight="false" outlineLevel="0" collapsed="false">
      <c r="A2071" s="7" t="n">
        <v>2019</v>
      </c>
      <c r="B2071" s="12" t="s">
        <v>75</v>
      </c>
      <c r="C2071" s="12" t="s">
        <v>57</v>
      </c>
      <c r="D2071" s="12" t="s">
        <v>47</v>
      </c>
      <c r="E2071" s="16" t="n">
        <v>10.651251</v>
      </c>
      <c r="F2071" s="16" t="n">
        <v>0</v>
      </c>
      <c r="G2071" s="16" t="n">
        <v>0</v>
      </c>
    </row>
    <row r="2072" customFormat="false" ht="15" hidden="false" customHeight="false" outlineLevel="0" collapsed="false">
      <c r="A2072" s="7" t="n">
        <v>2019</v>
      </c>
      <c r="B2072" s="12" t="s">
        <v>75</v>
      </c>
      <c r="C2072" s="12" t="s">
        <v>57</v>
      </c>
      <c r="D2072" s="12" t="s">
        <v>45</v>
      </c>
      <c r="E2072" s="16" t="n">
        <v>388.63957</v>
      </c>
      <c r="F2072" s="16" t="n">
        <v>337.635227</v>
      </c>
      <c r="G2072" s="16" t="n">
        <v>71.405751</v>
      </c>
    </row>
    <row r="2073" customFormat="false" ht="15" hidden="false" customHeight="false" outlineLevel="0" collapsed="false">
      <c r="A2073" s="7" t="n">
        <v>2019</v>
      </c>
      <c r="B2073" s="12" t="s">
        <v>76</v>
      </c>
      <c r="C2073" s="12" t="s">
        <v>72</v>
      </c>
      <c r="D2073" s="12" t="s">
        <v>49</v>
      </c>
      <c r="E2073" s="16" t="n">
        <v>44.233206</v>
      </c>
      <c r="F2073" s="16" t="n">
        <v>0</v>
      </c>
      <c r="G2073" s="16" t="n">
        <v>22.54937</v>
      </c>
    </row>
    <row r="2074" customFormat="false" ht="15" hidden="false" customHeight="false" outlineLevel="0" collapsed="false">
      <c r="A2074" s="7" t="n">
        <v>2019</v>
      </c>
      <c r="B2074" s="12" t="s">
        <v>76</v>
      </c>
      <c r="C2074" s="12" t="s">
        <v>72</v>
      </c>
      <c r="D2074" s="12" t="s">
        <v>48</v>
      </c>
      <c r="E2074" s="16" t="n">
        <v>22.439574</v>
      </c>
      <c r="F2074" s="16" t="n">
        <v>0</v>
      </c>
      <c r="G2074" s="16" t="n">
        <v>0</v>
      </c>
    </row>
    <row r="2075" customFormat="false" ht="15" hidden="false" customHeight="false" outlineLevel="0" collapsed="false">
      <c r="A2075" s="7" t="n">
        <v>2019</v>
      </c>
      <c r="B2075" s="12" t="s">
        <v>76</v>
      </c>
      <c r="C2075" s="12" t="s">
        <v>72</v>
      </c>
      <c r="D2075" s="12" t="s">
        <v>46</v>
      </c>
      <c r="E2075" s="16" t="n">
        <v>28.213051</v>
      </c>
      <c r="F2075" s="16" t="n">
        <v>0</v>
      </c>
      <c r="G2075" s="16" t="n">
        <v>34.111571</v>
      </c>
    </row>
    <row r="2076" customFormat="false" ht="15" hidden="false" customHeight="false" outlineLevel="0" collapsed="false">
      <c r="A2076" s="7" t="n">
        <v>2019</v>
      </c>
      <c r="B2076" s="12" t="s">
        <v>76</v>
      </c>
      <c r="C2076" s="12" t="s">
        <v>72</v>
      </c>
      <c r="D2076" s="12" t="s">
        <v>45</v>
      </c>
      <c r="E2076" s="16" t="n">
        <v>73.178205</v>
      </c>
      <c r="F2076" s="16" t="n">
        <v>61.350084</v>
      </c>
      <c r="G2076" s="16" t="n">
        <v>34.52361</v>
      </c>
    </row>
    <row r="2077" customFormat="false" ht="15" hidden="false" customHeight="false" outlineLevel="0" collapsed="false">
      <c r="A2077" s="7" t="n">
        <v>2019</v>
      </c>
      <c r="B2077" s="12" t="s">
        <v>77</v>
      </c>
      <c r="C2077" s="12" t="s">
        <v>57</v>
      </c>
      <c r="D2077" s="12" t="s">
        <v>49</v>
      </c>
      <c r="E2077" s="16" t="n">
        <v>45.43459</v>
      </c>
      <c r="F2077" s="16" t="n">
        <v>0</v>
      </c>
      <c r="G2077" s="16" t="n">
        <v>6.187528</v>
      </c>
    </row>
    <row r="2078" customFormat="false" ht="15" hidden="false" customHeight="false" outlineLevel="0" collapsed="false">
      <c r="A2078" s="7" t="n">
        <v>2019</v>
      </c>
      <c r="B2078" s="12" t="s">
        <v>77</v>
      </c>
      <c r="C2078" s="12" t="s">
        <v>57</v>
      </c>
      <c r="D2078" s="12" t="s">
        <v>48</v>
      </c>
      <c r="E2078" s="16" t="n">
        <v>25.365796</v>
      </c>
      <c r="F2078" s="16" t="n">
        <v>0</v>
      </c>
      <c r="G2078" s="16" t="n">
        <v>0</v>
      </c>
    </row>
    <row r="2079" customFormat="false" ht="15" hidden="false" customHeight="false" outlineLevel="0" collapsed="false">
      <c r="A2079" s="7" t="n">
        <v>2019</v>
      </c>
      <c r="B2079" s="12" t="s">
        <v>77</v>
      </c>
      <c r="C2079" s="12" t="s">
        <v>57</v>
      </c>
      <c r="D2079" s="12" t="s">
        <v>46</v>
      </c>
      <c r="E2079" s="16" t="n">
        <v>18.329595</v>
      </c>
      <c r="F2079" s="16" t="n">
        <v>0</v>
      </c>
      <c r="G2079" s="16" t="n">
        <v>11.984078</v>
      </c>
    </row>
    <row r="2080" customFormat="false" ht="15" hidden="false" customHeight="false" outlineLevel="0" collapsed="false">
      <c r="A2080" s="7" t="n">
        <v>2019</v>
      </c>
      <c r="B2080" s="12" t="s">
        <v>77</v>
      </c>
      <c r="C2080" s="12" t="s">
        <v>57</v>
      </c>
      <c r="D2080" s="12" t="s">
        <v>47</v>
      </c>
      <c r="E2080" s="16" t="n">
        <v>0.966016</v>
      </c>
      <c r="F2080" s="16" t="n">
        <v>0</v>
      </c>
      <c r="G2080" s="16" t="n">
        <v>0</v>
      </c>
    </row>
    <row r="2081" customFormat="false" ht="15" hidden="false" customHeight="false" outlineLevel="0" collapsed="false">
      <c r="A2081" s="7" t="n">
        <v>2019</v>
      </c>
      <c r="B2081" s="12" t="s">
        <v>77</v>
      </c>
      <c r="C2081" s="12" t="s">
        <v>57</v>
      </c>
      <c r="D2081" s="12" t="s">
        <v>45</v>
      </c>
      <c r="E2081" s="16" t="n">
        <v>30.378012</v>
      </c>
      <c r="F2081" s="16" t="n">
        <v>21.158422</v>
      </c>
      <c r="G2081" s="16" t="n">
        <v>9.724848</v>
      </c>
    </row>
    <row r="2082" customFormat="false" ht="15" hidden="false" customHeight="false" outlineLevel="0" collapsed="false">
      <c r="A2082" s="7" t="n">
        <v>2019</v>
      </c>
      <c r="B2082" s="12" t="s">
        <v>78</v>
      </c>
      <c r="C2082" s="12" t="s">
        <v>65</v>
      </c>
      <c r="D2082" s="12" t="s">
        <v>49</v>
      </c>
      <c r="E2082" s="16" t="n">
        <v>64.262734</v>
      </c>
      <c r="F2082" s="16" t="n">
        <v>0</v>
      </c>
      <c r="G2082" s="16" t="n">
        <v>5.52416</v>
      </c>
    </row>
    <row r="2083" customFormat="false" ht="15" hidden="false" customHeight="false" outlineLevel="0" collapsed="false">
      <c r="A2083" s="7" t="n">
        <v>2019</v>
      </c>
      <c r="B2083" s="12" t="s">
        <v>78</v>
      </c>
      <c r="C2083" s="12" t="s">
        <v>65</v>
      </c>
      <c r="D2083" s="12" t="s">
        <v>48</v>
      </c>
      <c r="E2083" s="16" t="n">
        <v>16.541092</v>
      </c>
      <c r="F2083" s="16" t="n">
        <v>0</v>
      </c>
      <c r="G2083" s="16" t="n">
        <v>0</v>
      </c>
    </row>
    <row r="2084" customFormat="false" ht="15" hidden="false" customHeight="false" outlineLevel="0" collapsed="false">
      <c r="A2084" s="7" t="n">
        <v>2019</v>
      </c>
      <c r="B2084" s="12" t="s">
        <v>78</v>
      </c>
      <c r="C2084" s="12" t="s">
        <v>65</v>
      </c>
      <c r="D2084" s="12" t="s">
        <v>46</v>
      </c>
      <c r="E2084" s="16" t="n">
        <v>17.552837</v>
      </c>
      <c r="F2084" s="16" t="n">
        <v>0</v>
      </c>
      <c r="G2084" s="16" t="n">
        <v>21.835392</v>
      </c>
    </row>
    <row r="2085" customFormat="false" ht="15" hidden="false" customHeight="false" outlineLevel="0" collapsed="false">
      <c r="A2085" s="7" t="n">
        <v>2019</v>
      </c>
      <c r="B2085" s="12" t="s">
        <v>78</v>
      </c>
      <c r="C2085" s="12" t="s">
        <v>65</v>
      </c>
      <c r="D2085" s="12" t="s">
        <v>45</v>
      </c>
      <c r="E2085" s="16" t="n">
        <v>20.761129</v>
      </c>
      <c r="F2085" s="16" t="n">
        <v>0</v>
      </c>
      <c r="G2085" s="16" t="n">
        <v>10.726869</v>
      </c>
    </row>
    <row r="2086" customFormat="false" ht="15" hidden="false" customHeight="false" outlineLevel="0" collapsed="false">
      <c r="A2086" s="7" t="n">
        <v>2019</v>
      </c>
      <c r="B2086" s="12" t="s">
        <v>79</v>
      </c>
      <c r="C2086" s="12" t="s">
        <v>72</v>
      </c>
      <c r="D2086" s="12" t="s">
        <v>49</v>
      </c>
      <c r="E2086" s="16" t="n">
        <v>118.582797</v>
      </c>
      <c r="F2086" s="16" t="n">
        <v>0</v>
      </c>
      <c r="G2086" s="16" t="n">
        <v>45.363657</v>
      </c>
    </row>
    <row r="2087" customFormat="false" ht="15" hidden="false" customHeight="false" outlineLevel="0" collapsed="false">
      <c r="A2087" s="7" t="n">
        <v>2019</v>
      </c>
      <c r="B2087" s="12" t="s">
        <v>79</v>
      </c>
      <c r="C2087" s="12" t="s">
        <v>72</v>
      </c>
      <c r="D2087" s="12" t="s">
        <v>48</v>
      </c>
      <c r="E2087" s="16" t="n">
        <v>108.529335</v>
      </c>
      <c r="F2087" s="16" t="n">
        <v>0</v>
      </c>
      <c r="G2087" s="16" t="n">
        <v>0</v>
      </c>
    </row>
    <row r="2088" customFormat="false" ht="15" hidden="false" customHeight="false" outlineLevel="0" collapsed="false">
      <c r="A2088" s="7" t="n">
        <v>2019</v>
      </c>
      <c r="B2088" s="12" t="s">
        <v>79</v>
      </c>
      <c r="C2088" s="12" t="s">
        <v>72</v>
      </c>
      <c r="D2088" s="12" t="s">
        <v>46</v>
      </c>
      <c r="E2088" s="16" t="n">
        <v>79.6709</v>
      </c>
      <c r="F2088" s="16" t="n">
        <v>0</v>
      </c>
      <c r="G2088" s="16" t="n">
        <v>126.586809</v>
      </c>
    </row>
    <row r="2089" customFormat="false" ht="15" hidden="false" customHeight="false" outlineLevel="0" collapsed="false">
      <c r="A2089" s="7" t="n">
        <v>2019</v>
      </c>
      <c r="B2089" s="12" t="s">
        <v>79</v>
      </c>
      <c r="C2089" s="12" t="s">
        <v>72</v>
      </c>
      <c r="D2089" s="12" t="s">
        <v>47</v>
      </c>
      <c r="E2089" s="16" t="n">
        <v>5.319309</v>
      </c>
      <c r="F2089" s="16" t="n">
        <v>0</v>
      </c>
      <c r="G2089" s="16" t="n">
        <v>0</v>
      </c>
    </row>
    <row r="2090" customFormat="false" ht="15" hidden="false" customHeight="false" outlineLevel="0" collapsed="false">
      <c r="A2090" s="7" t="n">
        <v>2019</v>
      </c>
      <c r="B2090" s="12" t="s">
        <v>79</v>
      </c>
      <c r="C2090" s="12" t="s">
        <v>72</v>
      </c>
      <c r="D2090" s="12" t="s">
        <v>45</v>
      </c>
      <c r="E2090" s="16" t="n">
        <v>423.795811</v>
      </c>
      <c r="F2090" s="16" t="n">
        <v>418.563581</v>
      </c>
      <c r="G2090" s="16" t="n">
        <v>0</v>
      </c>
    </row>
    <row r="2091" customFormat="false" ht="15" hidden="false" customHeight="false" outlineLevel="0" collapsed="false">
      <c r="A2091" s="7" t="n">
        <v>2019</v>
      </c>
      <c r="B2091" s="12" t="s">
        <v>80</v>
      </c>
      <c r="C2091" s="12" t="s">
        <v>72</v>
      </c>
      <c r="D2091" s="12" t="s">
        <v>49</v>
      </c>
      <c r="E2091" s="16" t="n">
        <v>104.46749</v>
      </c>
      <c r="F2091" s="16" t="n">
        <v>0</v>
      </c>
      <c r="G2091" s="16" t="n">
        <v>30.616046</v>
      </c>
    </row>
    <row r="2092" customFormat="false" ht="15" hidden="false" customHeight="false" outlineLevel="0" collapsed="false">
      <c r="A2092" s="7" t="n">
        <v>2019</v>
      </c>
      <c r="B2092" s="12" t="s">
        <v>80</v>
      </c>
      <c r="C2092" s="12" t="s">
        <v>72</v>
      </c>
      <c r="D2092" s="12" t="s">
        <v>48</v>
      </c>
      <c r="E2092" s="16" t="n">
        <v>37.261567</v>
      </c>
      <c r="F2092" s="16" t="n">
        <v>0</v>
      </c>
      <c r="G2092" s="16" t="n">
        <v>0</v>
      </c>
    </row>
    <row r="2093" customFormat="false" ht="15" hidden="false" customHeight="false" outlineLevel="0" collapsed="false">
      <c r="A2093" s="7" t="n">
        <v>2019</v>
      </c>
      <c r="B2093" s="12" t="s">
        <v>80</v>
      </c>
      <c r="C2093" s="12" t="s">
        <v>72</v>
      </c>
      <c r="D2093" s="12" t="s">
        <v>46</v>
      </c>
      <c r="E2093" s="16" t="n">
        <v>29.839988</v>
      </c>
      <c r="F2093" s="16" t="n">
        <v>0</v>
      </c>
      <c r="G2093" s="16" t="n">
        <v>63.98327</v>
      </c>
    </row>
    <row r="2094" customFormat="false" ht="15" hidden="false" customHeight="false" outlineLevel="0" collapsed="false">
      <c r="A2094" s="7" t="n">
        <v>2019</v>
      </c>
      <c r="B2094" s="12" t="s">
        <v>80</v>
      </c>
      <c r="C2094" s="12" t="s">
        <v>72</v>
      </c>
      <c r="D2094" s="12" t="s">
        <v>47</v>
      </c>
      <c r="E2094" s="16" t="n">
        <v>2.354127</v>
      </c>
      <c r="F2094" s="16" t="n">
        <v>0</v>
      </c>
      <c r="G2094" s="16" t="n">
        <v>0</v>
      </c>
    </row>
    <row r="2095" customFormat="false" ht="15" hidden="false" customHeight="false" outlineLevel="0" collapsed="false">
      <c r="A2095" s="7" t="n">
        <v>2019</v>
      </c>
      <c r="B2095" s="12" t="s">
        <v>80</v>
      </c>
      <c r="C2095" s="12" t="s">
        <v>72</v>
      </c>
      <c r="D2095" s="12" t="s">
        <v>45</v>
      </c>
      <c r="E2095" s="16" t="n">
        <v>143.560785</v>
      </c>
      <c r="F2095" s="16" t="n">
        <v>141.202108</v>
      </c>
      <c r="G2095" s="16" t="n">
        <v>0</v>
      </c>
    </row>
    <row r="2096" customFormat="false" ht="15" hidden="false" customHeight="false" outlineLevel="0" collapsed="false">
      <c r="A2096" s="7" t="n">
        <v>2019</v>
      </c>
      <c r="B2096" s="12" t="s">
        <v>81</v>
      </c>
      <c r="C2096" s="12" t="s">
        <v>72</v>
      </c>
      <c r="D2096" s="12" t="s">
        <v>49</v>
      </c>
      <c r="E2096" s="16" t="n">
        <v>15.279898</v>
      </c>
      <c r="F2096" s="16" t="n">
        <v>0</v>
      </c>
      <c r="G2096" s="16" t="n">
        <v>14.704022</v>
      </c>
    </row>
    <row r="2097" customFormat="false" ht="15" hidden="false" customHeight="false" outlineLevel="0" collapsed="false">
      <c r="A2097" s="7" t="n">
        <v>2019</v>
      </c>
      <c r="B2097" s="12" t="s">
        <v>81</v>
      </c>
      <c r="C2097" s="12" t="s">
        <v>72</v>
      </c>
      <c r="D2097" s="12" t="s">
        <v>48</v>
      </c>
      <c r="E2097" s="16" t="n">
        <v>32.865896</v>
      </c>
      <c r="F2097" s="16" t="n">
        <v>0</v>
      </c>
      <c r="G2097" s="16" t="n">
        <v>0</v>
      </c>
    </row>
    <row r="2098" customFormat="false" ht="15" hidden="false" customHeight="false" outlineLevel="0" collapsed="false">
      <c r="A2098" s="7" t="n">
        <v>2019</v>
      </c>
      <c r="B2098" s="12" t="s">
        <v>81</v>
      </c>
      <c r="C2098" s="12" t="s">
        <v>72</v>
      </c>
      <c r="D2098" s="12" t="s">
        <v>46</v>
      </c>
      <c r="E2098" s="16" t="n">
        <v>41.250865</v>
      </c>
      <c r="F2098" s="16" t="n">
        <v>0</v>
      </c>
      <c r="G2098" s="16" t="n">
        <v>33.37977</v>
      </c>
    </row>
    <row r="2099" customFormat="false" ht="15" hidden="false" customHeight="false" outlineLevel="0" collapsed="false">
      <c r="A2099" s="7" t="n">
        <v>2019</v>
      </c>
      <c r="B2099" s="12" t="s">
        <v>81</v>
      </c>
      <c r="C2099" s="12" t="s">
        <v>72</v>
      </c>
      <c r="D2099" s="12" t="s">
        <v>47</v>
      </c>
      <c r="E2099" s="16" t="n">
        <v>2.240537</v>
      </c>
      <c r="F2099" s="16" t="n">
        <v>0</v>
      </c>
      <c r="G2099" s="16" t="n">
        <v>0</v>
      </c>
    </row>
    <row r="2100" customFormat="false" ht="15" hidden="false" customHeight="false" outlineLevel="0" collapsed="false">
      <c r="A2100" s="7" t="n">
        <v>2019</v>
      </c>
      <c r="B2100" s="12" t="s">
        <v>81</v>
      </c>
      <c r="C2100" s="12" t="s">
        <v>72</v>
      </c>
      <c r="D2100" s="12" t="s">
        <v>45</v>
      </c>
      <c r="E2100" s="16" t="n">
        <v>151.307297</v>
      </c>
      <c r="F2100" s="16" t="n">
        <v>144.866338</v>
      </c>
      <c r="G2100" s="16" t="n">
        <v>0</v>
      </c>
    </row>
    <row r="2101" customFormat="false" ht="15" hidden="false" customHeight="false" outlineLevel="0" collapsed="false">
      <c r="A2101" s="7" t="n">
        <v>2020</v>
      </c>
      <c r="B2101" s="12" t="s">
        <v>56</v>
      </c>
      <c r="C2101" s="12" t="s">
        <v>57</v>
      </c>
      <c r="D2101" s="12" t="s">
        <v>49</v>
      </c>
      <c r="E2101" s="16" t="n">
        <v>68.055083</v>
      </c>
      <c r="F2101" s="16" t="n">
        <v>0</v>
      </c>
      <c r="G2101" s="16" t="n">
        <v>14.490578</v>
      </c>
    </row>
    <row r="2102" customFormat="false" ht="15" hidden="false" customHeight="false" outlineLevel="0" collapsed="false">
      <c r="A2102" s="7" t="n">
        <v>2020</v>
      </c>
      <c r="B2102" s="12" t="s">
        <v>56</v>
      </c>
      <c r="C2102" s="12" t="s">
        <v>57</v>
      </c>
      <c r="D2102" s="12" t="s">
        <v>48</v>
      </c>
      <c r="E2102" s="16" t="n">
        <v>12.643408</v>
      </c>
      <c r="F2102" s="16" t="n">
        <v>0</v>
      </c>
      <c r="G2102" s="16" t="n">
        <v>0</v>
      </c>
    </row>
    <row r="2103" customFormat="false" ht="15" hidden="false" customHeight="false" outlineLevel="0" collapsed="false">
      <c r="A2103" s="7" t="n">
        <v>2020</v>
      </c>
      <c r="B2103" s="12" t="s">
        <v>56</v>
      </c>
      <c r="C2103" s="12" t="s">
        <v>57</v>
      </c>
      <c r="D2103" s="12" t="s">
        <v>46</v>
      </c>
      <c r="E2103" s="16" t="n">
        <v>20.234759</v>
      </c>
      <c r="F2103" s="16" t="n">
        <v>0</v>
      </c>
      <c r="G2103" s="16" t="n">
        <v>22.239504</v>
      </c>
    </row>
    <row r="2104" customFormat="false" ht="15" hidden="false" customHeight="false" outlineLevel="0" collapsed="false">
      <c r="A2104" s="7" t="n">
        <v>2020</v>
      </c>
      <c r="B2104" s="12" t="s">
        <v>56</v>
      </c>
      <c r="C2104" s="12" t="s">
        <v>57</v>
      </c>
      <c r="D2104" s="12" t="s">
        <v>45</v>
      </c>
      <c r="E2104" s="16" t="n">
        <v>86.985355</v>
      </c>
      <c r="F2104" s="16" t="n">
        <v>65.105566</v>
      </c>
      <c r="G2104" s="16" t="n">
        <v>22.315257</v>
      </c>
    </row>
    <row r="2105" customFormat="false" ht="15" hidden="false" customHeight="false" outlineLevel="0" collapsed="false">
      <c r="A2105" s="7" t="n">
        <v>2020</v>
      </c>
      <c r="B2105" s="12" t="s">
        <v>58</v>
      </c>
      <c r="C2105" s="12" t="s">
        <v>59</v>
      </c>
      <c r="D2105" s="12" t="s">
        <v>49</v>
      </c>
      <c r="E2105" s="16" t="n">
        <v>140.37974</v>
      </c>
      <c r="F2105" s="16" t="n">
        <v>0</v>
      </c>
      <c r="G2105" s="16" t="n">
        <v>62.813457</v>
      </c>
    </row>
    <row r="2106" customFormat="false" ht="15" hidden="false" customHeight="false" outlineLevel="0" collapsed="false">
      <c r="A2106" s="7" t="n">
        <v>2020</v>
      </c>
      <c r="B2106" s="12" t="s">
        <v>58</v>
      </c>
      <c r="C2106" s="12" t="s">
        <v>59</v>
      </c>
      <c r="D2106" s="12" t="s">
        <v>48</v>
      </c>
      <c r="E2106" s="16" t="n">
        <v>76.940099</v>
      </c>
      <c r="F2106" s="16" t="n">
        <v>0</v>
      </c>
      <c r="G2106" s="16" t="n">
        <v>0</v>
      </c>
    </row>
    <row r="2107" customFormat="false" ht="15" hidden="false" customHeight="false" outlineLevel="0" collapsed="false">
      <c r="A2107" s="7" t="n">
        <v>2020</v>
      </c>
      <c r="B2107" s="12" t="s">
        <v>58</v>
      </c>
      <c r="C2107" s="12" t="s">
        <v>59</v>
      </c>
      <c r="D2107" s="12" t="s">
        <v>46</v>
      </c>
      <c r="E2107" s="16" t="n">
        <v>254.343951</v>
      </c>
      <c r="F2107" s="16" t="n">
        <v>0</v>
      </c>
      <c r="G2107" s="16" t="n">
        <v>235.653949</v>
      </c>
    </row>
    <row r="2108" customFormat="false" ht="15" hidden="false" customHeight="false" outlineLevel="0" collapsed="false">
      <c r="A2108" s="7" t="n">
        <v>2020</v>
      </c>
      <c r="B2108" s="12" t="s">
        <v>58</v>
      </c>
      <c r="C2108" s="12" t="s">
        <v>59</v>
      </c>
      <c r="D2108" s="12" t="s">
        <v>47</v>
      </c>
      <c r="E2108" s="16" t="n">
        <v>0.842163</v>
      </c>
      <c r="F2108" s="16" t="n">
        <v>0</v>
      </c>
      <c r="G2108" s="16" t="n">
        <v>0</v>
      </c>
    </row>
    <row r="2109" customFormat="false" ht="15" hidden="false" customHeight="false" outlineLevel="0" collapsed="false">
      <c r="A2109" s="7" t="n">
        <v>2020</v>
      </c>
      <c r="B2109" s="12" t="s">
        <v>58</v>
      </c>
      <c r="C2109" s="12" t="s">
        <v>59</v>
      </c>
      <c r="D2109" s="12" t="s">
        <v>45</v>
      </c>
      <c r="E2109" s="16" t="n">
        <v>58.909367</v>
      </c>
      <c r="F2109" s="16" t="n">
        <v>25.688625</v>
      </c>
      <c r="G2109" s="16" t="n">
        <v>57.891062</v>
      </c>
    </row>
    <row r="2110" customFormat="false" ht="15" hidden="false" customHeight="false" outlineLevel="0" collapsed="false">
      <c r="A2110" s="7" t="n">
        <v>2020</v>
      </c>
      <c r="B2110" s="12" t="s">
        <v>60</v>
      </c>
      <c r="C2110" s="12" t="s">
        <v>59</v>
      </c>
      <c r="D2110" s="12" t="s">
        <v>49</v>
      </c>
      <c r="E2110" s="16" t="n">
        <v>426.834209</v>
      </c>
      <c r="F2110" s="16" t="n">
        <v>0</v>
      </c>
      <c r="G2110" s="16" t="n">
        <v>206.235631</v>
      </c>
    </row>
    <row r="2111" customFormat="false" ht="15" hidden="false" customHeight="false" outlineLevel="0" collapsed="false">
      <c r="A2111" s="7" t="n">
        <v>2020</v>
      </c>
      <c r="B2111" s="12" t="s">
        <v>60</v>
      </c>
      <c r="C2111" s="12" t="s">
        <v>59</v>
      </c>
      <c r="D2111" s="12" t="s">
        <v>48</v>
      </c>
      <c r="E2111" s="16" t="n">
        <v>258.472801</v>
      </c>
      <c r="F2111" s="16" t="n">
        <v>0</v>
      </c>
      <c r="G2111" s="16" t="n">
        <v>0</v>
      </c>
    </row>
    <row r="2112" customFormat="false" ht="15" hidden="false" customHeight="false" outlineLevel="0" collapsed="false">
      <c r="A2112" s="7" t="n">
        <v>2020</v>
      </c>
      <c r="B2112" s="12" t="s">
        <v>60</v>
      </c>
      <c r="C2112" s="12" t="s">
        <v>59</v>
      </c>
      <c r="D2112" s="12" t="s">
        <v>46</v>
      </c>
      <c r="E2112" s="16" t="n">
        <v>563.998111</v>
      </c>
      <c r="F2112" s="16" t="n">
        <v>0</v>
      </c>
      <c r="G2112" s="16" t="n">
        <v>580.115427</v>
      </c>
    </row>
    <row r="2113" customFormat="false" ht="15" hidden="false" customHeight="false" outlineLevel="0" collapsed="false">
      <c r="A2113" s="7" t="n">
        <v>2020</v>
      </c>
      <c r="B2113" s="12" t="s">
        <v>60</v>
      </c>
      <c r="C2113" s="12" t="s">
        <v>59</v>
      </c>
      <c r="D2113" s="12" t="s">
        <v>47</v>
      </c>
      <c r="E2113" s="16" t="n">
        <v>5.530047</v>
      </c>
      <c r="F2113" s="16" t="n">
        <v>0</v>
      </c>
      <c r="G2113" s="16" t="n">
        <v>0</v>
      </c>
    </row>
    <row r="2114" customFormat="false" ht="15" hidden="false" customHeight="false" outlineLevel="0" collapsed="false">
      <c r="A2114" s="7" t="n">
        <v>2020</v>
      </c>
      <c r="B2114" s="12" t="s">
        <v>60</v>
      </c>
      <c r="C2114" s="12" t="s">
        <v>59</v>
      </c>
      <c r="D2114" s="12" t="s">
        <v>45</v>
      </c>
      <c r="E2114" s="16" t="n">
        <v>436.622452</v>
      </c>
      <c r="F2114" s="16" t="n">
        <v>10.351475</v>
      </c>
      <c r="G2114" s="16" t="n">
        <v>136.695557</v>
      </c>
    </row>
    <row r="2115" customFormat="false" ht="15" hidden="false" customHeight="false" outlineLevel="0" collapsed="false">
      <c r="A2115" s="7" t="n">
        <v>2020</v>
      </c>
      <c r="B2115" s="12" t="s">
        <v>61</v>
      </c>
      <c r="C2115" s="12" t="s">
        <v>62</v>
      </c>
      <c r="D2115" s="12" t="s">
        <v>49</v>
      </c>
      <c r="E2115" s="16" t="n">
        <v>73.645429</v>
      </c>
      <c r="F2115" s="16" t="n">
        <v>0</v>
      </c>
      <c r="G2115" s="16" t="n">
        <v>105.647955</v>
      </c>
    </row>
    <row r="2116" customFormat="false" ht="15" hidden="false" customHeight="false" outlineLevel="0" collapsed="false">
      <c r="A2116" s="7" t="n">
        <v>2020</v>
      </c>
      <c r="B2116" s="12" t="s">
        <v>61</v>
      </c>
      <c r="C2116" s="12" t="s">
        <v>62</v>
      </c>
      <c r="D2116" s="12" t="s">
        <v>48</v>
      </c>
      <c r="E2116" s="16" t="n">
        <v>247.2429</v>
      </c>
      <c r="F2116" s="16" t="n">
        <v>0</v>
      </c>
      <c r="G2116" s="16" t="n">
        <v>0</v>
      </c>
    </row>
    <row r="2117" customFormat="false" ht="15" hidden="false" customHeight="false" outlineLevel="0" collapsed="false">
      <c r="A2117" s="7" t="n">
        <v>2020</v>
      </c>
      <c r="B2117" s="12" t="s">
        <v>61</v>
      </c>
      <c r="C2117" s="12" t="s">
        <v>62</v>
      </c>
      <c r="D2117" s="12" t="s">
        <v>46</v>
      </c>
      <c r="E2117" s="16" t="n">
        <v>215.658159</v>
      </c>
      <c r="F2117" s="16" t="n">
        <v>0</v>
      </c>
      <c r="G2117" s="16" t="n">
        <v>264.804375</v>
      </c>
    </row>
    <row r="2118" customFormat="false" ht="15" hidden="false" customHeight="false" outlineLevel="0" collapsed="false">
      <c r="A2118" s="7" t="n">
        <v>2020</v>
      </c>
      <c r="B2118" s="12" t="s">
        <v>61</v>
      </c>
      <c r="C2118" s="12" t="s">
        <v>62</v>
      </c>
      <c r="D2118" s="12" t="s">
        <v>47</v>
      </c>
      <c r="E2118" s="16" t="n">
        <v>7.89104</v>
      </c>
      <c r="F2118" s="16" t="n">
        <v>0</v>
      </c>
      <c r="G2118" s="16" t="n">
        <v>0</v>
      </c>
    </row>
    <row r="2119" customFormat="false" ht="15" hidden="false" customHeight="false" outlineLevel="0" collapsed="false">
      <c r="A2119" s="7" t="n">
        <v>2020</v>
      </c>
      <c r="B2119" s="12" t="s">
        <v>61</v>
      </c>
      <c r="C2119" s="12" t="s">
        <v>62</v>
      </c>
      <c r="D2119" s="12" t="s">
        <v>45</v>
      </c>
      <c r="E2119" s="16" t="n">
        <v>379.129616</v>
      </c>
      <c r="F2119" s="16" t="n">
        <v>366.263586</v>
      </c>
      <c r="G2119" s="16" t="n">
        <v>0.354391</v>
      </c>
    </row>
    <row r="2120" customFormat="false" ht="15" hidden="false" customHeight="false" outlineLevel="0" collapsed="false">
      <c r="A2120" s="7" t="n">
        <v>2020</v>
      </c>
      <c r="B2120" s="12" t="s">
        <v>63</v>
      </c>
      <c r="C2120" s="12" t="s">
        <v>62</v>
      </c>
      <c r="D2120" s="12" t="s">
        <v>49</v>
      </c>
      <c r="E2120" s="16" t="n">
        <v>350.931711</v>
      </c>
      <c r="F2120" s="16" t="n">
        <v>0</v>
      </c>
      <c r="G2120" s="16" t="n">
        <v>230.163831</v>
      </c>
    </row>
    <row r="2121" customFormat="false" ht="15" hidden="false" customHeight="false" outlineLevel="0" collapsed="false">
      <c r="A2121" s="7" t="n">
        <v>2020</v>
      </c>
      <c r="B2121" s="12" t="s">
        <v>63</v>
      </c>
      <c r="C2121" s="12" t="s">
        <v>62</v>
      </c>
      <c r="D2121" s="12" t="s">
        <v>48</v>
      </c>
      <c r="E2121" s="16" t="n">
        <v>310.142619</v>
      </c>
      <c r="F2121" s="16" t="n">
        <v>0</v>
      </c>
      <c r="G2121" s="16" t="n">
        <v>0</v>
      </c>
    </row>
    <row r="2122" customFormat="false" ht="15" hidden="false" customHeight="false" outlineLevel="0" collapsed="false">
      <c r="A2122" s="7" t="n">
        <v>2020</v>
      </c>
      <c r="B2122" s="12" t="s">
        <v>63</v>
      </c>
      <c r="C2122" s="12" t="s">
        <v>62</v>
      </c>
      <c r="D2122" s="12" t="s">
        <v>46</v>
      </c>
      <c r="E2122" s="16" t="n">
        <v>305.837708</v>
      </c>
      <c r="F2122" s="16" t="n">
        <v>0</v>
      </c>
      <c r="G2122" s="16" t="n">
        <v>395.562954</v>
      </c>
    </row>
    <row r="2123" customFormat="false" ht="15" hidden="false" customHeight="false" outlineLevel="0" collapsed="false">
      <c r="A2123" s="7" t="n">
        <v>2020</v>
      </c>
      <c r="B2123" s="12" t="s">
        <v>63</v>
      </c>
      <c r="C2123" s="12" t="s">
        <v>62</v>
      </c>
      <c r="D2123" s="12" t="s">
        <v>47</v>
      </c>
      <c r="E2123" s="16" t="n">
        <v>8.604835</v>
      </c>
      <c r="F2123" s="16" t="n">
        <v>0</v>
      </c>
      <c r="G2123" s="16" t="n">
        <v>0</v>
      </c>
    </row>
    <row r="2124" customFormat="false" ht="15" hidden="false" customHeight="false" outlineLevel="0" collapsed="false">
      <c r="A2124" s="7" t="n">
        <v>2020</v>
      </c>
      <c r="B2124" s="12" t="s">
        <v>63</v>
      </c>
      <c r="C2124" s="12" t="s">
        <v>62</v>
      </c>
      <c r="D2124" s="12" t="s">
        <v>45</v>
      </c>
      <c r="E2124" s="16" t="n">
        <v>353.947999</v>
      </c>
      <c r="F2124" s="16" t="n">
        <v>329.660756</v>
      </c>
      <c r="G2124" s="16" t="n">
        <v>1.874714</v>
      </c>
    </row>
    <row r="2125" customFormat="false" ht="15" hidden="false" customHeight="false" outlineLevel="0" collapsed="false">
      <c r="A2125" s="7" t="n">
        <v>2020</v>
      </c>
      <c r="B2125" s="12" t="s">
        <v>64</v>
      </c>
      <c r="C2125" s="12" t="s">
        <v>65</v>
      </c>
      <c r="D2125" s="12" t="s">
        <v>49</v>
      </c>
      <c r="E2125" s="16" t="n">
        <v>135.237346</v>
      </c>
      <c r="F2125" s="16" t="n">
        <v>0</v>
      </c>
      <c r="G2125" s="16" t="n">
        <v>37.717133</v>
      </c>
    </row>
    <row r="2126" customFormat="false" ht="15" hidden="false" customHeight="false" outlineLevel="0" collapsed="false">
      <c r="A2126" s="7" t="n">
        <v>2020</v>
      </c>
      <c r="B2126" s="12" t="s">
        <v>64</v>
      </c>
      <c r="C2126" s="12" t="s">
        <v>65</v>
      </c>
      <c r="D2126" s="12" t="s">
        <v>48</v>
      </c>
      <c r="E2126" s="16" t="n">
        <v>28.065969</v>
      </c>
      <c r="F2126" s="16" t="n">
        <v>0</v>
      </c>
      <c r="G2126" s="16" t="n">
        <v>0</v>
      </c>
    </row>
    <row r="2127" customFormat="false" ht="15" hidden="false" customHeight="false" outlineLevel="0" collapsed="false">
      <c r="A2127" s="7" t="n">
        <v>2020</v>
      </c>
      <c r="B2127" s="12" t="s">
        <v>64</v>
      </c>
      <c r="C2127" s="12" t="s">
        <v>65</v>
      </c>
      <c r="D2127" s="12" t="s">
        <v>46</v>
      </c>
      <c r="E2127" s="16" t="n">
        <v>111.436845</v>
      </c>
      <c r="F2127" s="16" t="n">
        <v>0</v>
      </c>
      <c r="G2127" s="16" t="n">
        <v>92.81533</v>
      </c>
    </row>
    <row r="2128" customFormat="false" ht="15" hidden="false" customHeight="false" outlineLevel="0" collapsed="false">
      <c r="A2128" s="7" t="n">
        <v>2020</v>
      </c>
      <c r="B2128" s="12" t="s">
        <v>64</v>
      </c>
      <c r="C2128" s="12" t="s">
        <v>65</v>
      </c>
      <c r="D2128" s="12" t="s">
        <v>47</v>
      </c>
      <c r="E2128" s="16" t="n">
        <v>7.082856</v>
      </c>
      <c r="F2128" s="16" t="n">
        <v>0</v>
      </c>
      <c r="G2128" s="16" t="n">
        <v>0</v>
      </c>
    </row>
    <row r="2129" customFormat="false" ht="15" hidden="false" customHeight="false" outlineLevel="0" collapsed="false">
      <c r="A2129" s="7" t="n">
        <v>2020</v>
      </c>
      <c r="B2129" s="12" t="s">
        <v>64</v>
      </c>
      <c r="C2129" s="12" t="s">
        <v>65</v>
      </c>
      <c r="D2129" s="12" t="s">
        <v>45</v>
      </c>
      <c r="E2129" s="16" t="n">
        <v>105.932303</v>
      </c>
      <c r="F2129" s="16" t="n">
        <v>75.565918</v>
      </c>
      <c r="G2129" s="16" t="n">
        <v>40.085394</v>
      </c>
    </row>
    <row r="2130" customFormat="false" ht="15" hidden="false" customHeight="false" outlineLevel="0" collapsed="false">
      <c r="A2130" s="7" t="n">
        <v>2020</v>
      </c>
      <c r="B2130" s="12" t="s">
        <v>66</v>
      </c>
      <c r="C2130" s="12" t="s">
        <v>67</v>
      </c>
      <c r="D2130" s="12" t="s">
        <v>49</v>
      </c>
      <c r="E2130" s="16" t="n">
        <v>96.745797</v>
      </c>
      <c r="F2130" s="16" t="n">
        <v>0</v>
      </c>
      <c r="G2130" s="16" t="n">
        <v>43.415925</v>
      </c>
    </row>
    <row r="2131" customFormat="false" ht="15" hidden="false" customHeight="false" outlineLevel="0" collapsed="false">
      <c r="A2131" s="7" t="n">
        <v>2020</v>
      </c>
      <c r="B2131" s="12" t="s">
        <v>66</v>
      </c>
      <c r="C2131" s="12" t="s">
        <v>67</v>
      </c>
      <c r="D2131" s="12" t="s">
        <v>48</v>
      </c>
      <c r="E2131" s="16" t="n">
        <v>52.110476</v>
      </c>
      <c r="F2131" s="16" t="n">
        <v>0</v>
      </c>
      <c r="G2131" s="16" t="n">
        <v>0</v>
      </c>
    </row>
    <row r="2132" customFormat="false" ht="15" hidden="false" customHeight="false" outlineLevel="0" collapsed="false">
      <c r="A2132" s="7" t="n">
        <v>2020</v>
      </c>
      <c r="B2132" s="12" t="s">
        <v>66</v>
      </c>
      <c r="C2132" s="12" t="s">
        <v>67</v>
      </c>
      <c r="D2132" s="12" t="s">
        <v>46</v>
      </c>
      <c r="E2132" s="16" t="n">
        <v>74.701395</v>
      </c>
      <c r="F2132" s="16" t="n">
        <v>0</v>
      </c>
      <c r="G2132" s="16" t="n">
        <v>88.319976</v>
      </c>
    </row>
    <row r="2133" customFormat="false" ht="15" hidden="false" customHeight="false" outlineLevel="0" collapsed="false">
      <c r="A2133" s="7" t="n">
        <v>2020</v>
      </c>
      <c r="B2133" s="12" t="s">
        <v>66</v>
      </c>
      <c r="C2133" s="12" t="s">
        <v>67</v>
      </c>
      <c r="D2133" s="12" t="s">
        <v>47</v>
      </c>
      <c r="E2133" s="16" t="n">
        <v>4.203205</v>
      </c>
      <c r="F2133" s="16" t="n">
        <v>0</v>
      </c>
      <c r="G2133" s="16" t="n">
        <v>0</v>
      </c>
    </row>
    <row r="2134" customFormat="false" ht="15" hidden="false" customHeight="false" outlineLevel="0" collapsed="false">
      <c r="A2134" s="7" t="n">
        <v>2020</v>
      </c>
      <c r="B2134" s="12" t="s">
        <v>66</v>
      </c>
      <c r="C2134" s="12" t="s">
        <v>67</v>
      </c>
      <c r="D2134" s="12" t="s">
        <v>45</v>
      </c>
      <c r="E2134" s="16" t="n">
        <v>180.960136</v>
      </c>
      <c r="F2134" s="16" t="n">
        <v>151.918388</v>
      </c>
      <c r="G2134" s="16" t="n">
        <v>39.26336</v>
      </c>
    </row>
    <row r="2135" customFormat="false" ht="15" hidden="false" customHeight="false" outlineLevel="0" collapsed="false">
      <c r="A2135" s="7" t="n">
        <v>2020</v>
      </c>
      <c r="B2135" s="12" t="s">
        <v>68</v>
      </c>
      <c r="C2135" s="12" t="s">
        <v>65</v>
      </c>
      <c r="D2135" s="12" t="s">
        <v>49</v>
      </c>
      <c r="E2135" s="16" t="n">
        <v>144.473872</v>
      </c>
      <c r="F2135" s="16" t="n">
        <v>0</v>
      </c>
      <c r="G2135" s="16" t="n">
        <v>28.783091</v>
      </c>
    </row>
    <row r="2136" customFormat="false" ht="15" hidden="false" customHeight="false" outlineLevel="0" collapsed="false">
      <c r="A2136" s="7" t="n">
        <v>2020</v>
      </c>
      <c r="B2136" s="12" t="s">
        <v>68</v>
      </c>
      <c r="C2136" s="12" t="s">
        <v>65</v>
      </c>
      <c r="D2136" s="12" t="s">
        <v>48</v>
      </c>
      <c r="E2136" s="16" t="n">
        <v>20.647018</v>
      </c>
      <c r="F2136" s="16" t="n">
        <v>0</v>
      </c>
      <c r="G2136" s="16" t="n">
        <v>0</v>
      </c>
    </row>
    <row r="2137" customFormat="false" ht="15" hidden="false" customHeight="false" outlineLevel="0" collapsed="false">
      <c r="A2137" s="7" t="n">
        <v>2020</v>
      </c>
      <c r="B2137" s="12" t="s">
        <v>68</v>
      </c>
      <c r="C2137" s="12" t="s">
        <v>65</v>
      </c>
      <c r="D2137" s="12" t="s">
        <v>46</v>
      </c>
      <c r="E2137" s="16" t="n">
        <v>65.709784</v>
      </c>
      <c r="F2137" s="16" t="n">
        <v>0</v>
      </c>
      <c r="G2137" s="16" t="n">
        <v>38.221896</v>
      </c>
    </row>
    <row r="2138" customFormat="false" ht="15" hidden="false" customHeight="false" outlineLevel="0" collapsed="false">
      <c r="A2138" s="7" t="n">
        <v>2020</v>
      </c>
      <c r="B2138" s="12" t="s">
        <v>68</v>
      </c>
      <c r="C2138" s="12" t="s">
        <v>65</v>
      </c>
      <c r="D2138" s="12" t="s">
        <v>47</v>
      </c>
      <c r="E2138" s="16" t="n">
        <v>5.776327</v>
      </c>
      <c r="F2138" s="16" t="n">
        <v>0</v>
      </c>
      <c r="G2138" s="16" t="n">
        <v>0</v>
      </c>
    </row>
    <row r="2139" customFormat="false" ht="15" hidden="false" customHeight="false" outlineLevel="0" collapsed="false">
      <c r="A2139" s="7" t="n">
        <v>2020</v>
      </c>
      <c r="B2139" s="12" t="s">
        <v>68</v>
      </c>
      <c r="C2139" s="12" t="s">
        <v>65</v>
      </c>
      <c r="D2139" s="12" t="s">
        <v>45</v>
      </c>
      <c r="E2139" s="16" t="n">
        <v>42.804535</v>
      </c>
      <c r="F2139" s="16" t="n">
        <v>9.103607</v>
      </c>
      <c r="G2139" s="16" t="n">
        <v>9.547664</v>
      </c>
    </row>
    <row r="2140" customFormat="false" ht="15" hidden="false" customHeight="false" outlineLevel="0" collapsed="false">
      <c r="A2140" s="7" t="n">
        <v>2020</v>
      </c>
      <c r="B2140" s="12" t="s">
        <v>69</v>
      </c>
      <c r="C2140" s="12" t="s">
        <v>70</v>
      </c>
      <c r="D2140" s="12" t="s">
        <v>49</v>
      </c>
      <c r="E2140" s="16" t="n">
        <v>113.282507</v>
      </c>
      <c r="F2140" s="16" t="n">
        <v>0</v>
      </c>
      <c r="G2140" s="16" t="n">
        <v>43.768649</v>
      </c>
    </row>
    <row r="2141" customFormat="false" ht="15" hidden="false" customHeight="false" outlineLevel="0" collapsed="false">
      <c r="A2141" s="7" t="n">
        <v>2020</v>
      </c>
      <c r="B2141" s="12" t="s">
        <v>69</v>
      </c>
      <c r="C2141" s="12" t="s">
        <v>70</v>
      </c>
      <c r="D2141" s="12" t="s">
        <v>48</v>
      </c>
      <c r="E2141" s="16" t="n">
        <v>79.157973</v>
      </c>
      <c r="F2141" s="16" t="n">
        <v>0</v>
      </c>
      <c r="G2141" s="16" t="n">
        <v>0</v>
      </c>
    </row>
    <row r="2142" customFormat="false" ht="15" hidden="false" customHeight="false" outlineLevel="0" collapsed="false">
      <c r="A2142" s="7" t="n">
        <v>2020</v>
      </c>
      <c r="B2142" s="12" t="s">
        <v>69</v>
      </c>
      <c r="C2142" s="12" t="s">
        <v>70</v>
      </c>
      <c r="D2142" s="12" t="s">
        <v>46</v>
      </c>
      <c r="E2142" s="16" t="n">
        <v>29.194938</v>
      </c>
      <c r="F2142" s="16" t="n">
        <v>0</v>
      </c>
      <c r="G2142" s="16" t="n">
        <v>92.891508</v>
      </c>
    </row>
    <row r="2143" customFormat="false" ht="15" hidden="false" customHeight="false" outlineLevel="0" collapsed="false">
      <c r="A2143" s="7" t="n">
        <v>2020</v>
      </c>
      <c r="B2143" s="12" t="s">
        <v>69</v>
      </c>
      <c r="C2143" s="12" t="s">
        <v>70</v>
      </c>
      <c r="D2143" s="12" t="s">
        <v>47</v>
      </c>
      <c r="E2143" s="16" t="n">
        <v>3.870435</v>
      </c>
      <c r="F2143" s="16" t="n">
        <v>0</v>
      </c>
      <c r="G2143" s="16" t="n">
        <v>0</v>
      </c>
    </row>
    <row r="2144" customFormat="false" ht="15" hidden="false" customHeight="false" outlineLevel="0" collapsed="false">
      <c r="A2144" s="7" t="n">
        <v>2020</v>
      </c>
      <c r="B2144" s="12" t="s">
        <v>69</v>
      </c>
      <c r="C2144" s="12" t="s">
        <v>70</v>
      </c>
      <c r="D2144" s="12" t="s">
        <v>45</v>
      </c>
      <c r="E2144" s="16" t="n">
        <v>301.01978</v>
      </c>
      <c r="F2144" s="16" t="n">
        <v>297.954362</v>
      </c>
      <c r="G2144" s="16" t="n">
        <v>0</v>
      </c>
    </row>
    <row r="2145" customFormat="false" ht="15" hidden="false" customHeight="false" outlineLevel="0" collapsed="false">
      <c r="A2145" s="7" t="n">
        <v>2020</v>
      </c>
      <c r="B2145" s="12" t="s">
        <v>71</v>
      </c>
      <c r="C2145" s="12" t="s">
        <v>72</v>
      </c>
      <c r="D2145" s="12" t="s">
        <v>49</v>
      </c>
      <c r="E2145" s="16" t="n">
        <v>34.942814</v>
      </c>
      <c r="F2145" s="16" t="n">
        <v>0</v>
      </c>
      <c r="G2145" s="16" t="n">
        <v>6.562108</v>
      </c>
    </row>
    <row r="2146" customFormat="false" ht="15" hidden="false" customHeight="false" outlineLevel="0" collapsed="false">
      <c r="A2146" s="7" t="n">
        <v>2020</v>
      </c>
      <c r="B2146" s="12" t="s">
        <v>71</v>
      </c>
      <c r="C2146" s="12" t="s">
        <v>72</v>
      </c>
      <c r="D2146" s="12" t="s">
        <v>48</v>
      </c>
      <c r="E2146" s="16" t="n">
        <v>17.038231</v>
      </c>
      <c r="F2146" s="16" t="n">
        <v>0</v>
      </c>
      <c r="G2146" s="16" t="n">
        <v>0</v>
      </c>
    </row>
    <row r="2147" customFormat="false" ht="15" hidden="false" customHeight="false" outlineLevel="0" collapsed="false">
      <c r="A2147" s="7" t="n">
        <v>2020</v>
      </c>
      <c r="B2147" s="12" t="s">
        <v>71</v>
      </c>
      <c r="C2147" s="12" t="s">
        <v>72</v>
      </c>
      <c r="D2147" s="12" t="s">
        <v>46</v>
      </c>
      <c r="E2147" s="16" t="n">
        <v>16.075222</v>
      </c>
      <c r="F2147" s="16" t="n">
        <v>0</v>
      </c>
      <c r="G2147" s="16" t="n">
        <v>15.720039</v>
      </c>
    </row>
    <row r="2148" customFormat="false" ht="15" hidden="false" customHeight="false" outlineLevel="0" collapsed="false">
      <c r="A2148" s="7" t="n">
        <v>2020</v>
      </c>
      <c r="B2148" s="12" t="s">
        <v>71</v>
      </c>
      <c r="C2148" s="12" t="s">
        <v>72</v>
      </c>
      <c r="D2148" s="12" t="s">
        <v>47</v>
      </c>
      <c r="E2148" s="16" t="n">
        <v>0.686937</v>
      </c>
      <c r="F2148" s="16" t="n">
        <v>0</v>
      </c>
      <c r="G2148" s="16" t="n">
        <v>0</v>
      </c>
    </row>
    <row r="2149" customFormat="false" ht="15" hidden="false" customHeight="false" outlineLevel="0" collapsed="false">
      <c r="A2149" s="7" t="n">
        <v>2020</v>
      </c>
      <c r="B2149" s="12" t="s">
        <v>71</v>
      </c>
      <c r="C2149" s="12" t="s">
        <v>72</v>
      </c>
      <c r="D2149" s="12" t="s">
        <v>45</v>
      </c>
      <c r="E2149" s="16" t="n">
        <v>38.565605</v>
      </c>
      <c r="F2149" s="16" t="n">
        <v>38.543356</v>
      </c>
      <c r="G2149" s="16" t="n">
        <v>0</v>
      </c>
    </row>
    <row r="2150" customFormat="false" ht="15" hidden="false" customHeight="false" outlineLevel="0" collapsed="false">
      <c r="A2150" s="7" t="n">
        <v>2020</v>
      </c>
      <c r="B2150" s="12" t="s">
        <v>73</v>
      </c>
      <c r="C2150" s="12" t="s">
        <v>70</v>
      </c>
      <c r="D2150" s="12" t="s">
        <v>49</v>
      </c>
      <c r="E2150" s="16" t="n">
        <v>36.327061</v>
      </c>
      <c r="F2150" s="16" t="n">
        <v>0</v>
      </c>
      <c r="G2150" s="16" t="n">
        <v>47.815109</v>
      </c>
    </row>
    <row r="2151" customFormat="false" ht="15" hidden="false" customHeight="false" outlineLevel="0" collapsed="false">
      <c r="A2151" s="7" t="n">
        <v>2020</v>
      </c>
      <c r="B2151" s="12" t="s">
        <v>73</v>
      </c>
      <c r="C2151" s="12" t="s">
        <v>70</v>
      </c>
      <c r="D2151" s="12" t="s">
        <v>48</v>
      </c>
      <c r="E2151" s="16" t="n">
        <v>78.265729</v>
      </c>
      <c r="F2151" s="16" t="n">
        <v>0</v>
      </c>
      <c r="G2151" s="16" t="n">
        <v>0</v>
      </c>
    </row>
    <row r="2152" customFormat="false" ht="15" hidden="false" customHeight="false" outlineLevel="0" collapsed="false">
      <c r="A2152" s="7" t="n">
        <v>2020</v>
      </c>
      <c r="B2152" s="12" t="s">
        <v>73</v>
      </c>
      <c r="C2152" s="12" t="s">
        <v>70</v>
      </c>
      <c r="D2152" s="12" t="s">
        <v>46</v>
      </c>
      <c r="E2152" s="16" t="n">
        <v>90.606296</v>
      </c>
      <c r="F2152" s="16" t="n">
        <v>0</v>
      </c>
      <c r="G2152" s="16" t="n">
        <v>83.529829</v>
      </c>
    </row>
    <row r="2153" customFormat="false" ht="15" hidden="false" customHeight="false" outlineLevel="0" collapsed="false">
      <c r="A2153" s="7" t="n">
        <v>2020</v>
      </c>
      <c r="B2153" s="12" t="s">
        <v>73</v>
      </c>
      <c r="C2153" s="12" t="s">
        <v>70</v>
      </c>
      <c r="D2153" s="12" t="s">
        <v>47</v>
      </c>
      <c r="E2153" s="16" t="n">
        <v>6.498823</v>
      </c>
      <c r="F2153" s="16" t="n">
        <v>0</v>
      </c>
      <c r="G2153" s="16" t="n">
        <v>0</v>
      </c>
    </row>
    <row r="2154" customFormat="false" ht="15" hidden="false" customHeight="false" outlineLevel="0" collapsed="false">
      <c r="A2154" s="7" t="n">
        <v>2020</v>
      </c>
      <c r="B2154" s="12" t="s">
        <v>73</v>
      </c>
      <c r="C2154" s="12" t="s">
        <v>70</v>
      </c>
      <c r="D2154" s="12" t="s">
        <v>45</v>
      </c>
      <c r="E2154" s="16" t="n">
        <v>88.220057</v>
      </c>
      <c r="F2154" s="16" t="n">
        <v>67.775619</v>
      </c>
      <c r="G2154" s="16" t="n">
        <v>44.091525</v>
      </c>
    </row>
    <row r="2155" customFormat="false" ht="15" hidden="false" customHeight="false" outlineLevel="0" collapsed="false">
      <c r="A2155" s="7" t="n">
        <v>2020</v>
      </c>
      <c r="B2155" s="12" t="s">
        <v>74</v>
      </c>
      <c r="C2155" s="12" t="s">
        <v>65</v>
      </c>
      <c r="D2155" s="12" t="s">
        <v>49</v>
      </c>
      <c r="E2155" s="16" t="n">
        <v>203.749486</v>
      </c>
      <c r="F2155" s="16" t="n">
        <v>0</v>
      </c>
      <c r="G2155" s="16" t="n">
        <v>21.651558</v>
      </c>
    </row>
    <row r="2156" customFormat="false" ht="15" hidden="false" customHeight="false" outlineLevel="0" collapsed="false">
      <c r="A2156" s="7" t="n">
        <v>2020</v>
      </c>
      <c r="B2156" s="12" t="s">
        <v>74</v>
      </c>
      <c r="C2156" s="12" t="s">
        <v>65</v>
      </c>
      <c r="D2156" s="12" t="s">
        <v>48</v>
      </c>
      <c r="E2156" s="16" t="n">
        <v>15.496634</v>
      </c>
      <c r="F2156" s="16" t="n">
        <v>0</v>
      </c>
      <c r="G2156" s="16" t="n">
        <v>0</v>
      </c>
    </row>
    <row r="2157" customFormat="false" ht="15" hidden="false" customHeight="false" outlineLevel="0" collapsed="false">
      <c r="A2157" s="7" t="n">
        <v>2020</v>
      </c>
      <c r="B2157" s="12" t="s">
        <v>74</v>
      </c>
      <c r="C2157" s="12" t="s">
        <v>65</v>
      </c>
      <c r="D2157" s="12" t="s">
        <v>46</v>
      </c>
      <c r="E2157" s="16" t="n">
        <v>63.472141</v>
      </c>
      <c r="F2157" s="16" t="n">
        <v>0</v>
      </c>
      <c r="G2157" s="16" t="n">
        <v>74.028055</v>
      </c>
    </row>
    <row r="2158" customFormat="false" ht="15" hidden="false" customHeight="false" outlineLevel="0" collapsed="false">
      <c r="A2158" s="7" t="n">
        <v>2020</v>
      </c>
      <c r="B2158" s="12" t="s">
        <v>74</v>
      </c>
      <c r="C2158" s="12" t="s">
        <v>65</v>
      </c>
      <c r="D2158" s="12" t="s">
        <v>47</v>
      </c>
      <c r="E2158" s="16" t="n">
        <v>5.214957</v>
      </c>
      <c r="F2158" s="16" t="n">
        <v>0</v>
      </c>
      <c r="G2158" s="16" t="n">
        <v>0</v>
      </c>
    </row>
    <row r="2159" customFormat="false" ht="15" hidden="false" customHeight="false" outlineLevel="0" collapsed="false">
      <c r="A2159" s="7" t="n">
        <v>2020</v>
      </c>
      <c r="B2159" s="12" t="s">
        <v>74</v>
      </c>
      <c r="C2159" s="12" t="s">
        <v>65</v>
      </c>
      <c r="D2159" s="12" t="s">
        <v>45</v>
      </c>
      <c r="E2159" s="16" t="n">
        <v>49.465428</v>
      </c>
      <c r="F2159" s="16" t="n">
        <v>0</v>
      </c>
      <c r="G2159" s="16" t="n">
        <v>48.852687</v>
      </c>
    </row>
    <row r="2160" customFormat="false" ht="15" hidden="false" customHeight="false" outlineLevel="0" collapsed="false">
      <c r="A2160" s="7" t="n">
        <v>2020</v>
      </c>
      <c r="B2160" s="12" t="s">
        <v>75</v>
      </c>
      <c r="C2160" s="12" t="s">
        <v>57</v>
      </c>
      <c r="D2160" s="12" t="s">
        <v>49</v>
      </c>
      <c r="E2160" s="16" t="n">
        <v>277.768349</v>
      </c>
      <c r="F2160" s="16" t="n">
        <v>0</v>
      </c>
      <c r="G2160" s="16" t="n">
        <v>126.938163</v>
      </c>
    </row>
    <row r="2161" customFormat="false" ht="15" hidden="false" customHeight="false" outlineLevel="0" collapsed="false">
      <c r="A2161" s="7" t="n">
        <v>2020</v>
      </c>
      <c r="B2161" s="12" t="s">
        <v>75</v>
      </c>
      <c r="C2161" s="12" t="s">
        <v>57</v>
      </c>
      <c r="D2161" s="12" t="s">
        <v>48</v>
      </c>
      <c r="E2161" s="16" t="n">
        <v>195.824688</v>
      </c>
      <c r="F2161" s="16" t="n">
        <v>0</v>
      </c>
      <c r="G2161" s="16" t="n">
        <v>0</v>
      </c>
    </row>
    <row r="2162" customFormat="false" ht="15" hidden="false" customHeight="false" outlineLevel="0" collapsed="false">
      <c r="A2162" s="7" t="n">
        <v>2020</v>
      </c>
      <c r="B2162" s="12" t="s">
        <v>75</v>
      </c>
      <c r="C2162" s="12" t="s">
        <v>57</v>
      </c>
      <c r="D2162" s="12" t="s">
        <v>46</v>
      </c>
      <c r="E2162" s="16" t="n">
        <v>102.836727</v>
      </c>
      <c r="F2162" s="16" t="n">
        <v>0</v>
      </c>
      <c r="G2162" s="16" t="n">
        <v>122.002867</v>
      </c>
    </row>
    <row r="2163" customFormat="false" ht="15" hidden="false" customHeight="false" outlineLevel="0" collapsed="false">
      <c r="A2163" s="7" t="n">
        <v>2020</v>
      </c>
      <c r="B2163" s="12" t="s">
        <v>75</v>
      </c>
      <c r="C2163" s="12" t="s">
        <v>57</v>
      </c>
      <c r="D2163" s="12" t="s">
        <v>47</v>
      </c>
      <c r="E2163" s="16" t="n">
        <v>11.148643</v>
      </c>
      <c r="F2163" s="16" t="n">
        <v>0</v>
      </c>
      <c r="G2163" s="16" t="n">
        <v>0</v>
      </c>
    </row>
    <row r="2164" customFormat="false" ht="15" hidden="false" customHeight="false" outlineLevel="0" collapsed="false">
      <c r="A2164" s="7" t="n">
        <v>2020</v>
      </c>
      <c r="B2164" s="12" t="s">
        <v>75</v>
      </c>
      <c r="C2164" s="12" t="s">
        <v>57</v>
      </c>
      <c r="D2164" s="12" t="s">
        <v>45</v>
      </c>
      <c r="E2164" s="16" t="n">
        <v>364.752851</v>
      </c>
      <c r="F2164" s="16" t="n">
        <v>316.122584</v>
      </c>
      <c r="G2164" s="16" t="n">
        <v>73.217683</v>
      </c>
    </row>
    <row r="2165" customFormat="false" ht="15" hidden="false" customHeight="false" outlineLevel="0" collapsed="false">
      <c r="A2165" s="7" t="n">
        <v>2020</v>
      </c>
      <c r="B2165" s="12" t="s">
        <v>76</v>
      </c>
      <c r="C2165" s="12" t="s">
        <v>72</v>
      </c>
      <c r="D2165" s="12" t="s">
        <v>49</v>
      </c>
      <c r="E2165" s="16" t="n">
        <v>47.253462</v>
      </c>
      <c r="F2165" s="16" t="n">
        <v>0</v>
      </c>
      <c r="G2165" s="16" t="n">
        <v>22.750443</v>
      </c>
    </row>
    <row r="2166" customFormat="false" ht="15" hidden="false" customHeight="false" outlineLevel="0" collapsed="false">
      <c r="A2166" s="7" t="n">
        <v>2020</v>
      </c>
      <c r="B2166" s="12" t="s">
        <v>76</v>
      </c>
      <c r="C2166" s="12" t="s">
        <v>72</v>
      </c>
      <c r="D2166" s="12" t="s">
        <v>48</v>
      </c>
      <c r="E2166" s="16" t="n">
        <v>22.161525</v>
      </c>
      <c r="F2166" s="16" t="n">
        <v>0</v>
      </c>
      <c r="G2166" s="16" t="n">
        <v>0</v>
      </c>
    </row>
    <row r="2167" customFormat="false" ht="15" hidden="false" customHeight="false" outlineLevel="0" collapsed="false">
      <c r="A2167" s="7" t="n">
        <v>2020</v>
      </c>
      <c r="B2167" s="12" t="s">
        <v>76</v>
      </c>
      <c r="C2167" s="12" t="s">
        <v>72</v>
      </c>
      <c r="D2167" s="12" t="s">
        <v>46</v>
      </c>
      <c r="E2167" s="16" t="n">
        <v>22.662341</v>
      </c>
      <c r="F2167" s="16" t="n">
        <v>0</v>
      </c>
      <c r="G2167" s="16" t="n">
        <v>36.627136</v>
      </c>
    </row>
    <row r="2168" customFormat="false" ht="15" hidden="false" customHeight="false" outlineLevel="0" collapsed="false">
      <c r="A2168" s="7" t="n">
        <v>2020</v>
      </c>
      <c r="B2168" s="12" t="s">
        <v>76</v>
      </c>
      <c r="C2168" s="12" t="s">
        <v>72</v>
      </c>
      <c r="D2168" s="12" t="s">
        <v>45</v>
      </c>
      <c r="E2168" s="16" t="n">
        <v>67.748013</v>
      </c>
      <c r="F2168" s="16" t="n">
        <v>55.480749</v>
      </c>
      <c r="G2168" s="16" t="n">
        <v>36.042148</v>
      </c>
    </row>
    <row r="2169" customFormat="false" ht="15" hidden="false" customHeight="false" outlineLevel="0" collapsed="false">
      <c r="A2169" s="7" t="n">
        <v>2020</v>
      </c>
      <c r="B2169" s="12" t="s">
        <v>77</v>
      </c>
      <c r="C2169" s="12" t="s">
        <v>57</v>
      </c>
      <c r="D2169" s="12" t="s">
        <v>49</v>
      </c>
      <c r="E2169" s="16" t="n">
        <v>47.516155</v>
      </c>
      <c r="F2169" s="16" t="n">
        <v>0</v>
      </c>
      <c r="G2169" s="16" t="n">
        <v>6.718815</v>
      </c>
    </row>
    <row r="2170" customFormat="false" ht="15" hidden="false" customHeight="false" outlineLevel="0" collapsed="false">
      <c r="A2170" s="7" t="n">
        <v>2020</v>
      </c>
      <c r="B2170" s="12" t="s">
        <v>77</v>
      </c>
      <c r="C2170" s="12" t="s">
        <v>57</v>
      </c>
      <c r="D2170" s="12" t="s">
        <v>48</v>
      </c>
      <c r="E2170" s="16" t="n">
        <v>27.751831</v>
      </c>
      <c r="F2170" s="16" t="n">
        <v>0</v>
      </c>
      <c r="G2170" s="16" t="n">
        <v>0</v>
      </c>
    </row>
    <row r="2171" customFormat="false" ht="15" hidden="false" customHeight="false" outlineLevel="0" collapsed="false">
      <c r="A2171" s="7" t="n">
        <v>2020</v>
      </c>
      <c r="B2171" s="12" t="s">
        <v>77</v>
      </c>
      <c r="C2171" s="12" t="s">
        <v>57</v>
      </c>
      <c r="D2171" s="12" t="s">
        <v>46</v>
      </c>
      <c r="E2171" s="16" t="n">
        <v>17.070455</v>
      </c>
      <c r="F2171" s="16" t="n">
        <v>0</v>
      </c>
      <c r="G2171" s="16" t="n">
        <v>12.364103</v>
      </c>
    </row>
    <row r="2172" customFormat="false" ht="15" hidden="false" customHeight="false" outlineLevel="0" collapsed="false">
      <c r="A2172" s="7" t="n">
        <v>2020</v>
      </c>
      <c r="B2172" s="12" t="s">
        <v>77</v>
      </c>
      <c r="C2172" s="12" t="s">
        <v>57</v>
      </c>
      <c r="D2172" s="12" t="s">
        <v>47</v>
      </c>
      <c r="E2172" s="16" t="n">
        <v>1.099271</v>
      </c>
      <c r="F2172" s="16" t="n">
        <v>0</v>
      </c>
      <c r="G2172" s="16" t="n">
        <v>0</v>
      </c>
    </row>
    <row r="2173" customFormat="false" ht="15" hidden="false" customHeight="false" outlineLevel="0" collapsed="false">
      <c r="A2173" s="7" t="n">
        <v>2020</v>
      </c>
      <c r="B2173" s="12" t="s">
        <v>77</v>
      </c>
      <c r="C2173" s="12" t="s">
        <v>57</v>
      </c>
      <c r="D2173" s="12" t="s">
        <v>45</v>
      </c>
      <c r="E2173" s="16" t="n">
        <v>28.263103</v>
      </c>
      <c r="F2173" s="16" t="n">
        <v>18.537209</v>
      </c>
      <c r="G2173" s="16" t="n">
        <v>10.769607</v>
      </c>
    </row>
    <row r="2174" customFormat="false" ht="15" hidden="false" customHeight="false" outlineLevel="0" collapsed="false">
      <c r="A2174" s="7" t="n">
        <v>2020</v>
      </c>
      <c r="B2174" s="12" t="s">
        <v>78</v>
      </c>
      <c r="C2174" s="12" t="s">
        <v>65</v>
      </c>
      <c r="D2174" s="12" t="s">
        <v>49</v>
      </c>
      <c r="E2174" s="16" t="n">
        <v>47.884106</v>
      </c>
      <c r="F2174" s="16" t="n">
        <v>0</v>
      </c>
      <c r="G2174" s="16" t="n">
        <v>5.858398</v>
      </c>
    </row>
    <row r="2175" customFormat="false" ht="15" hidden="false" customHeight="false" outlineLevel="0" collapsed="false">
      <c r="A2175" s="7" t="n">
        <v>2020</v>
      </c>
      <c r="B2175" s="12" t="s">
        <v>78</v>
      </c>
      <c r="C2175" s="12" t="s">
        <v>65</v>
      </c>
      <c r="D2175" s="12" t="s">
        <v>48</v>
      </c>
      <c r="E2175" s="16" t="n">
        <v>15.769208</v>
      </c>
      <c r="F2175" s="16" t="n">
        <v>0</v>
      </c>
      <c r="G2175" s="16" t="n">
        <v>0</v>
      </c>
    </row>
    <row r="2176" customFormat="false" ht="15" hidden="false" customHeight="false" outlineLevel="0" collapsed="false">
      <c r="A2176" s="7" t="n">
        <v>2020</v>
      </c>
      <c r="B2176" s="12" t="s">
        <v>78</v>
      </c>
      <c r="C2176" s="12" t="s">
        <v>65</v>
      </c>
      <c r="D2176" s="12" t="s">
        <v>46</v>
      </c>
      <c r="E2176" s="16" t="n">
        <v>19.729444</v>
      </c>
      <c r="F2176" s="16" t="n">
        <v>0</v>
      </c>
      <c r="G2176" s="16" t="n">
        <v>24.075059</v>
      </c>
    </row>
    <row r="2177" customFormat="false" ht="15" hidden="false" customHeight="false" outlineLevel="0" collapsed="false">
      <c r="A2177" s="7" t="n">
        <v>2020</v>
      </c>
      <c r="B2177" s="12" t="s">
        <v>78</v>
      </c>
      <c r="C2177" s="12" t="s">
        <v>65</v>
      </c>
      <c r="D2177" s="12" t="s">
        <v>45</v>
      </c>
      <c r="E2177" s="16" t="n">
        <v>21.783426</v>
      </c>
      <c r="F2177" s="16" t="n">
        <v>0</v>
      </c>
      <c r="G2177" s="16" t="n">
        <v>11.299676</v>
      </c>
    </row>
    <row r="2178" customFormat="false" ht="15" hidden="false" customHeight="false" outlineLevel="0" collapsed="false">
      <c r="A2178" s="7" t="n">
        <v>2020</v>
      </c>
      <c r="B2178" s="12" t="s">
        <v>79</v>
      </c>
      <c r="C2178" s="12" t="s">
        <v>72</v>
      </c>
      <c r="D2178" s="12" t="s">
        <v>49</v>
      </c>
      <c r="E2178" s="16" t="n">
        <v>134.335214</v>
      </c>
      <c r="F2178" s="16" t="n">
        <v>0</v>
      </c>
      <c r="G2178" s="16" t="n">
        <v>45.996648</v>
      </c>
    </row>
    <row r="2179" customFormat="false" ht="15" hidden="false" customHeight="false" outlineLevel="0" collapsed="false">
      <c r="A2179" s="7" t="n">
        <v>2020</v>
      </c>
      <c r="B2179" s="12" t="s">
        <v>79</v>
      </c>
      <c r="C2179" s="12" t="s">
        <v>72</v>
      </c>
      <c r="D2179" s="12" t="s">
        <v>48</v>
      </c>
      <c r="E2179" s="16" t="n">
        <v>78.484297</v>
      </c>
      <c r="F2179" s="16" t="n">
        <v>0</v>
      </c>
      <c r="G2179" s="16" t="n">
        <v>0</v>
      </c>
    </row>
    <row r="2180" customFormat="false" ht="15" hidden="false" customHeight="false" outlineLevel="0" collapsed="false">
      <c r="A2180" s="7" t="n">
        <v>2020</v>
      </c>
      <c r="B2180" s="12" t="s">
        <v>79</v>
      </c>
      <c r="C2180" s="12" t="s">
        <v>72</v>
      </c>
      <c r="D2180" s="12" t="s">
        <v>46</v>
      </c>
      <c r="E2180" s="16" t="n">
        <v>65.80055</v>
      </c>
      <c r="F2180" s="16" t="n">
        <v>0</v>
      </c>
      <c r="G2180" s="16" t="n">
        <v>134.327963</v>
      </c>
    </row>
    <row r="2181" customFormat="false" ht="15" hidden="false" customHeight="false" outlineLevel="0" collapsed="false">
      <c r="A2181" s="7" t="n">
        <v>2020</v>
      </c>
      <c r="B2181" s="12" t="s">
        <v>79</v>
      </c>
      <c r="C2181" s="12" t="s">
        <v>72</v>
      </c>
      <c r="D2181" s="12" t="s">
        <v>47</v>
      </c>
      <c r="E2181" s="16" t="n">
        <v>4.424817</v>
      </c>
      <c r="F2181" s="16" t="n">
        <v>0</v>
      </c>
      <c r="G2181" s="16" t="n">
        <v>0</v>
      </c>
    </row>
    <row r="2182" customFormat="false" ht="15" hidden="false" customHeight="false" outlineLevel="0" collapsed="false">
      <c r="A2182" s="7" t="n">
        <v>2020</v>
      </c>
      <c r="B2182" s="12" t="s">
        <v>79</v>
      </c>
      <c r="C2182" s="12" t="s">
        <v>72</v>
      </c>
      <c r="D2182" s="12" t="s">
        <v>45</v>
      </c>
      <c r="E2182" s="16" t="n">
        <v>336.33115</v>
      </c>
      <c r="F2182" s="16" t="n">
        <v>322.053163</v>
      </c>
      <c r="G2182" s="16" t="n">
        <v>0</v>
      </c>
    </row>
    <row r="2183" customFormat="false" ht="15" hidden="false" customHeight="false" outlineLevel="0" collapsed="false">
      <c r="A2183" s="7" t="n">
        <v>2020</v>
      </c>
      <c r="B2183" s="12" t="s">
        <v>80</v>
      </c>
      <c r="C2183" s="12" t="s">
        <v>72</v>
      </c>
      <c r="D2183" s="12" t="s">
        <v>49</v>
      </c>
      <c r="E2183" s="16" t="n">
        <v>94.224578</v>
      </c>
      <c r="F2183" s="16" t="n">
        <v>0</v>
      </c>
      <c r="G2183" s="16" t="n">
        <v>30.47094</v>
      </c>
    </row>
    <row r="2184" customFormat="false" ht="15" hidden="false" customHeight="false" outlineLevel="0" collapsed="false">
      <c r="A2184" s="7" t="n">
        <v>2020</v>
      </c>
      <c r="B2184" s="12" t="s">
        <v>80</v>
      </c>
      <c r="C2184" s="12" t="s">
        <v>72</v>
      </c>
      <c r="D2184" s="12" t="s">
        <v>48</v>
      </c>
      <c r="E2184" s="16" t="n">
        <v>32.79666</v>
      </c>
      <c r="F2184" s="16" t="n">
        <v>0</v>
      </c>
      <c r="G2184" s="16" t="n">
        <v>0</v>
      </c>
    </row>
    <row r="2185" customFormat="false" ht="15" hidden="false" customHeight="false" outlineLevel="0" collapsed="false">
      <c r="A2185" s="7" t="n">
        <v>2020</v>
      </c>
      <c r="B2185" s="12" t="s">
        <v>80</v>
      </c>
      <c r="C2185" s="12" t="s">
        <v>72</v>
      </c>
      <c r="D2185" s="12" t="s">
        <v>46</v>
      </c>
      <c r="E2185" s="16" t="n">
        <v>21.332355</v>
      </c>
      <c r="F2185" s="16" t="n">
        <v>0</v>
      </c>
      <c r="G2185" s="16" t="n">
        <v>68.299186</v>
      </c>
    </row>
    <row r="2186" customFormat="false" ht="15" hidden="false" customHeight="false" outlineLevel="0" collapsed="false">
      <c r="A2186" s="7" t="n">
        <v>2020</v>
      </c>
      <c r="B2186" s="12" t="s">
        <v>80</v>
      </c>
      <c r="C2186" s="12" t="s">
        <v>72</v>
      </c>
      <c r="D2186" s="12" t="s">
        <v>47</v>
      </c>
      <c r="E2186" s="16" t="n">
        <v>2.689027</v>
      </c>
      <c r="F2186" s="16" t="n">
        <v>0</v>
      </c>
      <c r="G2186" s="16" t="n">
        <v>0</v>
      </c>
    </row>
    <row r="2187" customFormat="false" ht="15" hidden="false" customHeight="false" outlineLevel="0" collapsed="false">
      <c r="A2187" s="7" t="n">
        <v>2020</v>
      </c>
      <c r="B2187" s="12" t="s">
        <v>80</v>
      </c>
      <c r="C2187" s="12" t="s">
        <v>72</v>
      </c>
      <c r="D2187" s="12" t="s">
        <v>45</v>
      </c>
      <c r="E2187" s="16" t="n">
        <v>153.953367</v>
      </c>
      <c r="F2187" s="16" t="n">
        <v>151.139086</v>
      </c>
      <c r="G2187" s="16" t="n">
        <v>0</v>
      </c>
    </row>
    <row r="2188" customFormat="false" ht="15" hidden="false" customHeight="false" outlineLevel="0" collapsed="false">
      <c r="A2188" s="7" t="n">
        <v>2020</v>
      </c>
      <c r="B2188" s="12" t="s">
        <v>81</v>
      </c>
      <c r="C2188" s="12" t="s">
        <v>72</v>
      </c>
      <c r="D2188" s="12" t="s">
        <v>49</v>
      </c>
      <c r="E2188" s="16" t="n">
        <v>50.125767</v>
      </c>
      <c r="F2188" s="16" t="n">
        <v>0</v>
      </c>
      <c r="G2188" s="16" t="n">
        <v>20.021124</v>
      </c>
    </row>
    <row r="2189" customFormat="false" ht="15" hidden="false" customHeight="false" outlineLevel="0" collapsed="false">
      <c r="A2189" s="7" t="n">
        <v>2020</v>
      </c>
      <c r="B2189" s="12" t="s">
        <v>81</v>
      </c>
      <c r="C2189" s="12" t="s">
        <v>72</v>
      </c>
      <c r="D2189" s="12" t="s">
        <v>48</v>
      </c>
      <c r="E2189" s="16" t="n">
        <v>21.065781</v>
      </c>
      <c r="F2189" s="16" t="n">
        <v>0</v>
      </c>
      <c r="G2189" s="16" t="n">
        <v>0</v>
      </c>
    </row>
    <row r="2190" customFormat="false" ht="15" hidden="false" customHeight="false" outlineLevel="0" collapsed="false">
      <c r="A2190" s="7" t="n">
        <v>2020</v>
      </c>
      <c r="B2190" s="12" t="s">
        <v>81</v>
      </c>
      <c r="C2190" s="12" t="s">
        <v>72</v>
      </c>
      <c r="D2190" s="12" t="s">
        <v>46</v>
      </c>
      <c r="E2190" s="16" t="n">
        <v>24.564716</v>
      </c>
      <c r="F2190" s="16" t="n">
        <v>0</v>
      </c>
      <c r="G2190" s="16" t="n">
        <v>37.745174</v>
      </c>
    </row>
    <row r="2191" customFormat="false" ht="15" hidden="false" customHeight="false" outlineLevel="0" collapsed="false">
      <c r="A2191" s="7" t="n">
        <v>2020</v>
      </c>
      <c r="B2191" s="12" t="s">
        <v>81</v>
      </c>
      <c r="C2191" s="12" t="s">
        <v>72</v>
      </c>
      <c r="D2191" s="12" t="s">
        <v>47</v>
      </c>
      <c r="E2191" s="16" t="n">
        <v>2.337147</v>
      </c>
      <c r="F2191" s="16" t="n">
        <v>0</v>
      </c>
      <c r="G2191" s="16" t="n">
        <v>0</v>
      </c>
    </row>
    <row r="2192" customFormat="false" ht="15" hidden="false" customHeight="false" outlineLevel="0" collapsed="false">
      <c r="A2192" s="7" t="n">
        <v>2020</v>
      </c>
      <c r="B2192" s="12" t="s">
        <v>81</v>
      </c>
      <c r="C2192" s="12" t="s">
        <v>72</v>
      </c>
      <c r="D2192" s="12" t="s">
        <v>45</v>
      </c>
      <c r="E2192" s="16" t="n">
        <v>145.574222</v>
      </c>
      <c r="F2192" s="16" t="n">
        <v>139.852193</v>
      </c>
      <c r="G2192" s="16" t="n">
        <v>0</v>
      </c>
    </row>
    <row r="2193" customFormat="false" ht="15" hidden="false" customHeight="false" outlineLevel="0" collapsed="false">
      <c r="A2193" s="7" t="n">
        <v>2021</v>
      </c>
      <c r="B2193" s="12" t="s">
        <v>56</v>
      </c>
      <c r="C2193" s="12" t="s">
        <v>57</v>
      </c>
      <c r="D2193" s="12" t="s">
        <v>49</v>
      </c>
      <c r="E2193" s="16" t="n">
        <v>66.951072</v>
      </c>
      <c r="F2193" s="16" t="n">
        <v>0</v>
      </c>
      <c r="G2193" s="16" t="n">
        <v>15.635882</v>
      </c>
    </row>
    <row r="2194" customFormat="false" ht="15" hidden="false" customHeight="false" outlineLevel="0" collapsed="false">
      <c r="A2194" s="7" t="n">
        <v>2021</v>
      </c>
      <c r="B2194" s="12" t="s">
        <v>56</v>
      </c>
      <c r="C2194" s="12" t="s">
        <v>57</v>
      </c>
      <c r="D2194" s="12" t="s">
        <v>48</v>
      </c>
      <c r="E2194" s="16" t="n">
        <v>12.697952</v>
      </c>
      <c r="F2194" s="16" t="n">
        <v>0</v>
      </c>
      <c r="G2194" s="16" t="n">
        <v>0</v>
      </c>
    </row>
    <row r="2195" customFormat="false" ht="15" hidden="false" customHeight="false" outlineLevel="0" collapsed="false">
      <c r="A2195" s="7" t="n">
        <v>2021</v>
      </c>
      <c r="B2195" s="12" t="s">
        <v>56</v>
      </c>
      <c r="C2195" s="12" t="s">
        <v>57</v>
      </c>
      <c r="D2195" s="12" t="s">
        <v>46</v>
      </c>
      <c r="E2195" s="16" t="n">
        <v>25.182467</v>
      </c>
      <c r="F2195" s="16" t="n">
        <v>0</v>
      </c>
      <c r="G2195" s="16" t="n">
        <v>22.194751</v>
      </c>
    </row>
    <row r="2196" customFormat="false" ht="15" hidden="false" customHeight="false" outlineLevel="0" collapsed="false">
      <c r="A2196" s="7" t="n">
        <v>2021</v>
      </c>
      <c r="B2196" s="12" t="s">
        <v>56</v>
      </c>
      <c r="C2196" s="12" t="s">
        <v>57</v>
      </c>
      <c r="D2196" s="12" t="s">
        <v>45</v>
      </c>
      <c r="E2196" s="16" t="n">
        <v>99.697775</v>
      </c>
      <c r="F2196" s="16" t="n">
        <v>73.304611</v>
      </c>
      <c r="G2196" s="16" t="n">
        <v>25.414194</v>
      </c>
    </row>
    <row r="2197" customFormat="false" ht="15" hidden="false" customHeight="false" outlineLevel="0" collapsed="false">
      <c r="A2197" s="7" t="n">
        <v>2021</v>
      </c>
      <c r="B2197" s="12" t="s">
        <v>58</v>
      </c>
      <c r="C2197" s="12" t="s">
        <v>59</v>
      </c>
      <c r="D2197" s="12" t="s">
        <v>49</v>
      </c>
      <c r="E2197" s="16" t="n">
        <v>139.515465</v>
      </c>
      <c r="F2197" s="16" t="n">
        <v>0</v>
      </c>
      <c r="G2197" s="16" t="n">
        <v>75.12683</v>
      </c>
    </row>
    <row r="2198" customFormat="false" ht="15" hidden="false" customHeight="false" outlineLevel="0" collapsed="false">
      <c r="A2198" s="7" t="n">
        <v>2021</v>
      </c>
      <c r="B2198" s="12" t="s">
        <v>58</v>
      </c>
      <c r="C2198" s="12" t="s">
        <v>59</v>
      </c>
      <c r="D2198" s="12" t="s">
        <v>48</v>
      </c>
      <c r="E2198" s="16" t="n">
        <v>62.834604</v>
      </c>
      <c r="F2198" s="16" t="n">
        <v>0</v>
      </c>
      <c r="G2198" s="16" t="n">
        <v>0</v>
      </c>
    </row>
    <row r="2199" customFormat="false" ht="15" hidden="false" customHeight="false" outlineLevel="0" collapsed="false">
      <c r="A2199" s="7" t="n">
        <v>2021</v>
      </c>
      <c r="B2199" s="12" t="s">
        <v>58</v>
      </c>
      <c r="C2199" s="12" t="s">
        <v>59</v>
      </c>
      <c r="D2199" s="12" t="s">
        <v>46</v>
      </c>
      <c r="E2199" s="16" t="n">
        <v>264.184133</v>
      </c>
      <c r="F2199" s="16" t="n">
        <v>0</v>
      </c>
      <c r="G2199" s="16" t="n">
        <v>246.767836</v>
      </c>
    </row>
    <row r="2200" customFormat="false" ht="15" hidden="false" customHeight="false" outlineLevel="0" collapsed="false">
      <c r="A2200" s="7" t="n">
        <v>2021</v>
      </c>
      <c r="B2200" s="12" t="s">
        <v>58</v>
      </c>
      <c r="C2200" s="12" t="s">
        <v>59</v>
      </c>
      <c r="D2200" s="12" t="s">
        <v>47</v>
      </c>
      <c r="E2200" s="16" t="n">
        <v>0.787444</v>
      </c>
      <c r="F2200" s="16" t="n">
        <v>0</v>
      </c>
      <c r="G2200" s="16" t="n">
        <v>0</v>
      </c>
    </row>
    <row r="2201" customFormat="false" ht="15" hidden="false" customHeight="false" outlineLevel="0" collapsed="false">
      <c r="A2201" s="7" t="n">
        <v>2021</v>
      </c>
      <c r="B2201" s="12" t="s">
        <v>58</v>
      </c>
      <c r="C2201" s="12" t="s">
        <v>59</v>
      </c>
      <c r="D2201" s="12" t="s">
        <v>45</v>
      </c>
      <c r="E2201" s="16" t="n">
        <v>62.173855</v>
      </c>
      <c r="F2201" s="16" t="n">
        <v>27.847357</v>
      </c>
      <c r="G2201" s="16" t="n">
        <v>66.514342</v>
      </c>
    </row>
    <row r="2202" customFormat="false" ht="15" hidden="false" customHeight="false" outlineLevel="0" collapsed="false">
      <c r="A2202" s="7" t="n">
        <v>2021</v>
      </c>
      <c r="B2202" s="12" t="s">
        <v>60</v>
      </c>
      <c r="C2202" s="12" t="s">
        <v>59</v>
      </c>
      <c r="D2202" s="12" t="s">
        <v>49</v>
      </c>
      <c r="E2202" s="16" t="n">
        <v>414.223327</v>
      </c>
      <c r="F2202" s="16" t="n">
        <v>0</v>
      </c>
      <c r="G2202" s="16" t="n">
        <v>219.597692</v>
      </c>
    </row>
    <row r="2203" customFormat="false" ht="15" hidden="false" customHeight="false" outlineLevel="0" collapsed="false">
      <c r="A2203" s="7" t="n">
        <v>2021</v>
      </c>
      <c r="B2203" s="12" t="s">
        <v>60</v>
      </c>
      <c r="C2203" s="12" t="s">
        <v>59</v>
      </c>
      <c r="D2203" s="12" t="s">
        <v>48</v>
      </c>
      <c r="E2203" s="16" t="n">
        <v>234.137785</v>
      </c>
      <c r="F2203" s="16" t="n">
        <v>0</v>
      </c>
      <c r="G2203" s="16" t="n">
        <v>0</v>
      </c>
    </row>
    <row r="2204" customFormat="false" ht="15" hidden="false" customHeight="false" outlineLevel="0" collapsed="false">
      <c r="A2204" s="7" t="n">
        <v>2021</v>
      </c>
      <c r="B2204" s="12" t="s">
        <v>60</v>
      </c>
      <c r="C2204" s="12" t="s">
        <v>59</v>
      </c>
      <c r="D2204" s="12" t="s">
        <v>46</v>
      </c>
      <c r="E2204" s="16" t="n">
        <v>497.332901</v>
      </c>
      <c r="F2204" s="16" t="n">
        <v>0</v>
      </c>
      <c r="G2204" s="16" t="n">
        <v>610.121898</v>
      </c>
    </row>
    <row r="2205" customFormat="false" ht="15" hidden="false" customHeight="false" outlineLevel="0" collapsed="false">
      <c r="A2205" s="7" t="n">
        <v>2021</v>
      </c>
      <c r="B2205" s="12" t="s">
        <v>60</v>
      </c>
      <c r="C2205" s="12" t="s">
        <v>59</v>
      </c>
      <c r="D2205" s="12" t="s">
        <v>47</v>
      </c>
      <c r="E2205" s="16" t="n">
        <v>6.602064</v>
      </c>
      <c r="F2205" s="16" t="n">
        <v>0</v>
      </c>
      <c r="G2205" s="16" t="n">
        <v>0</v>
      </c>
    </row>
    <row r="2206" customFormat="false" ht="15" hidden="false" customHeight="false" outlineLevel="0" collapsed="false">
      <c r="A2206" s="7" t="n">
        <v>2021</v>
      </c>
      <c r="B2206" s="12" t="s">
        <v>60</v>
      </c>
      <c r="C2206" s="12" t="s">
        <v>59</v>
      </c>
      <c r="D2206" s="12" t="s">
        <v>45</v>
      </c>
      <c r="E2206" s="16" t="n">
        <v>476.221187</v>
      </c>
      <c r="F2206" s="16" t="n">
        <v>8.940075</v>
      </c>
      <c r="G2206" s="16" t="n">
        <v>144.089724</v>
      </c>
    </row>
    <row r="2207" customFormat="false" ht="15" hidden="false" customHeight="false" outlineLevel="0" collapsed="false">
      <c r="A2207" s="7" t="n">
        <v>2021</v>
      </c>
      <c r="B2207" s="12" t="s">
        <v>61</v>
      </c>
      <c r="C2207" s="12" t="s">
        <v>62</v>
      </c>
      <c r="D2207" s="12" t="s">
        <v>49</v>
      </c>
      <c r="E2207" s="16" t="n">
        <v>63.192689</v>
      </c>
      <c r="F2207" s="16" t="n">
        <v>0</v>
      </c>
      <c r="G2207" s="16" t="n">
        <v>101.331762</v>
      </c>
    </row>
    <row r="2208" customFormat="false" ht="15" hidden="false" customHeight="false" outlineLevel="0" collapsed="false">
      <c r="A2208" s="7" t="n">
        <v>2021</v>
      </c>
      <c r="B2208" s="12" t="s">
        <v>61</v>
      </c>
      <c r="C2208" s="12" t="s">
        <v>62</v>
      </c>
      <c r="D2208" s="12" t="s">
        <v>48</v>
      </c>
      <c r="E2208" s="16" t="n">
        <v>287.909875</v>
      </c>
      <c r="F2208" s="16" t="n">
        <v>0</v>
      </c>
      <c r="G2208" s="16" t="n">
        <v>0</v>
      </c>
    </row>
    <row r="2209" customFormat="false" ht="15" hidden="false" customHeight="false" outlineLevel="0" collapsed="false">
      <c r="A2209" s="7" t="n">
        <v>2021</v>
      </c>
      <c r="B2209" s="12" t="s">
        <v>61</v>
      </c>
      <c r="C2209" s="12" t="s">
        <v>62</v>
      </c>
      <c r="D2209" s="12" t="s">
        <v>46</v>
      </c>
      <c r="E2209" s="16" t="n">
        <v>347.022701</v>
      </c>
      <c r="F2209" s="16" t="n">
        <v>0</v>
      </c>
      <c r="G2209" s="16" t="n">
        <v>287.238757</v>
      </c>
    </row>
    <row r="2210" customFormat="false" ht="15" hidden="false" customHeight="false" outlineLevel="0" collapsed="false">
      <c r="A2210" s="7" t="n">
        <v>2021</v>
      </c>
      <c r="B2210" s="12" t="s">
        <v>61</v>
      </c>
      <c r="C2210" s="12" t="s">
        <v>62</v>
      </c>
      <c r="D2210" s="12" t="s">
        <v>47</v>
      </c>
      <c r="E2210" s="16" t="n">
        <v>7.477737</v>
      </c>
      <c r="F2210" s="16" t="n">
        <v>0</v>
      </c>
      <c r="G2210" s="16" t="n">
        <v>0</v>
      </c>
    </row>
    <row r="2211" customFormat="false" ht="15" hidden="false" customHeight="false" outlineLevel="0" collapsed="false">
      <c r="A2211" s="7" t="n">
        <v>2021</v>
      </c>
      <c r="B2211" s="12" t="s">
        <v>61</v>
      </c>
      <c r="C2211" s="12" t="s">
        <v>62</v>
      </c>
      <c r="D2211" s="12" t="s">
        <v>45</v>
      </c>
      <c r="E2211" s="16" t="n">
        <v>435.000149</v>
      </c>
      <c r="F2211" s="16" t="n">
        <v>422.186612</v>
      </c>
      <c r="G2211" s="16" t="n">
        <v>0</v>
      </c>
    </row>
    <row r="2212" customFormat="false" ht="15" hidden="false" customHeight="false" outlineLevel="0" collapsed="false">
      <c r="A2212" s="7" t="n">
        <v>2021</v>
      </c>
      <c r="B2212" s="12" t="s">
        <v>63</v>
      </c>
      <c r="C2212" s="12" t="s">
        <v>62</v>
      </c>
      <c r="D2212" s="12" t="s">
        <v>49</v>
      </c>
      <c r="E2212" s="16" t="n">
        <v>390.790254</v>
      </c>
      <c r="F2212" s="16" t="n">
        <v>0</v>
      </c>
      <c r="G2212" s="16" t="n">
        <v>249.548437</v>
      </c>
    </row>
    <row r="2213" customFormat="false" ht="15" hidden="false" customHeight="false" outlineLevel="0" collapsed="false">
      <c r="A2213" s="7" t="n">
        <v>2021</v>
      </c>
      <c r="B2213" s="12" t="s">
        <v>63</v>
      </c>
      <c r="C2213" s="12" t="s">
        <v>62</v>
      </c>
      <c r="D2213" s="12" t="s">
        <v>48</v>
      </c>
      <c r="E2213" s="16" t="n">
        <v>333.602132</v>
      </c>
      <c r="F2213" s="16" t="n">
        <v>0</v>
      </c>
      <c r="G2213" s="16" t="n">
        <v>0</v>
      </c>
    </row>
    <row r="2214" customFormat="false" ht="15" hidden="false" customHeight="false" outlineLevel="0" collapsed="false">
      <c r="A2214" s="7" t="n">
        <v>2021</v>
      </c>
      <c r="B2214" s="12" t="s">
        <v>63</v>
      </c>
      <c r="C2214" s="12" t="s">
        <v>62</v>
      </c>
      <c r="D2214" s="12" t="s">
        <v>46</v>
      </c>
      <c r="E2214" s="16" t="n">
        <v>338.360905</v>
      </c>
      <c r="F2214" s="16" t="n">
        <v>0</v>
      </c>
      <c r="G2214" s="16" t="n">
        <v>425.366531</v>
      </c>
    </row>
    <row r="2215" customFormat="false" ht="15" hidden="false" customHeight="false" outlineLevel="0" collapsed="false">
      <c r="A2215" s="7" t="n">
        <v>2021</v>
      </c>
      <c r="B2215" s="12" t="s">
        <v>63</v>
      </c>
      <c r="C2215" s="12" t="s">
        <v>62</v>
      </c>
      <c r="D2215" s="12" t="s">
        <v>47</v>
      </c>
      <c r="E2215" s="16" t="n">
        <v>8.658399</v>
      </c>
      <c r="F2215" s="16" t="n">
        <v>0</v>
      </c>
      <c r="G2215" s="16" t="n">
        <v>0</v>
      </c>
    </row>
    <row r="2216" customFormat="false" ht="15" hidden="false" customHeight="false" outlineLevel="0" collapsed="false">
      <c r="A2216" s="7" t="n">
        <v>2021</v>
      </c>
      <c r="B2216" s="12" t="s">
        <v>63</v>
      </c>
      <c r="C2216" s="12" t="s">
        <v>62</v>
      </c>
      <c r="D2216" s="12" t="s">
        <v>45</v>
      </c>
      <c r="E2216" s="16" t="n">
        <v>400.779352</v>
      </c>
      <c r="F2216" s="16" t="n">
        <v>377.381842</v>
      </c>
      <c r="G2216" s="16" t="n">
        <v>1.920558</v>
      </c>
    </row>
    <row r="2217" customFormat="false" ht="15" hidden="false" customHeight="false" outlineLevel="0" collapsed="false">
      <c r="A2217" s="7" t="n">
        <v>2021</v>
      </c>
      <c r="B2217" s="12" t="s">
        <v>64</v>
      </c>
      <c r="C2217" s="12" t="s">
        <v>65</v>
      </c>
      <c r="D2217" s="12" t="s">
        <v>49</v>
      </c>
      <c r="E2217" s="16" t="n">
        <v>157.563462</v>
      </c>
      <c r="F2217" s="16" t="n">
        <v>0</v>
      </c>
      <c r="G2217" s="16" t="n">
        <v>34.573011</v>
      </c>
    </row>
    <row r="2218" customFormat="false" ht="15" hidden="false" customHeight="false" outlineLevel="0" collapsed="false">
      <c r="A2218" s="7" t="n">
        <v>2021</v>
      </c>
      <c r="B2218" s="12" t="s">
        <v>64</v>
      </c>
      <c r="C2218" s="12" t="s">
        <v>65</v>
      </c>
      <c r="D2218" s="12" t="s">
        <v>48</v>
      </c>
      <c r="E2218" s="16" t="n">
        <v>29.314028</v>
      </c>
      <c r="F2218" s="16" t="n">
        <v>0</v>
      </c>
      <c r="G2218" s="16" t="n">
        <v>0</v>
      </c>
    </row>
    <row r="2219" customFormat="false" ht="15" hidden="false" customHeight="false" outlineLevel="0" collapsed="false">
      <c r="A2219" s="7" t="n">
        <v>2021</v>
      </c>
      <c r="B2219" s="12" t="s">
        <v>64</v>
      </c>
      <c r="C2219" s="12" t="s">
        <v>65</v>
      </c>
      <c r="D2219" s="12" t="s">
        <v>46</v>
      </c>
      <c r="E2219" s="16" t="n">
        <v>120.624679</v>
      </c>
      <c r="F2219" s="16" t="n">
        <v>0</v>
      </c>
      <c r="G2219" s="16" t="n">
        <v>88.806066</v>
      </c>
    </row>
    <row r="2220" customFormat="false" ht="15" hidden="false" customHeight="false" outlineLevel="0" collapsed="false">
      <c r="A2220" s="7" t="n">
        <v>2021</v>
      </c>
      <c r="B2220" s="12" t="s">
        <v>64</v>
      </c>
      <c r="C2220" s="12" t="s">
        <v>65</v>
      </c>
      <c r="D2220" s="12" t="s">
        <v>47</v>
      </c>
      <c r="E2220" s="16" t="n">
        <v>5.332555</v>
      </c>
      <c r="F2220" s="16" t="n">
        <v>0</v>
      </c>
      <c r="G2220" s="16" t="n">
        <v>0</v>
      </c>
    </row>
    <row r="2221" customFormat="false" ht="15" hidden="false" customHeight="false" outlineLevel="0" collapsed="false">
      <c r="A2221" s="7" t="n">
        <v>2021</v>
      </c>
      <c r="B2221" s="12" t="s">
        <v>64</v>
      </c>
      <c r="C2221" s="12" t="s">
        <v>65</v>
      </c>
      <c r="D2221" s="12" t="s">
        <v>45</v>
      </c>
      <c r="E2221" s="16" t="n">
        <v>105.803748</v>
      </c>
      <c r="F2221" s="16" t="n">
        <v>70.060933</v>
      </c>
      <c r="G2221" s="16" t="n">
        <v>41.771126</v>
      </c>
    </row>
    <row r="2222" customFormat="false" ht="15" hidden="false" customHeight="false" outlineLevel="0" collapsed="false">
      <c r="A2222" s="7" t="n">
        <v>2021</v>
      </c>
      <c r="B2222" s="12" t="s">
        <v>66</v>
      </c>
      <c r="C2222" s="12" t="s">
        <v>67</v>
      </c>
      <c r="D2222" s="12" t="s">
        <v>49</v>
      </c>
      <c r="E2222" s="16" t="n">
        <v>112.140182</v>
      </c>
      <c r="F2222" s="16" t="n">
        <v>0</v>
      </c>
      <c r="G2222" s="16" t="n">
        <v>49.169285</v>
      </c>
    </row>
    <row r="2223" customFormat="false" ht="15" hidden="false" customHeight="false" outlineLevel="0" collapsed="false">
      <c r="A2223" s="7" t="n">
        <v>2021</v>
      </c>
      <c r="B2223" s="12" t="s">
        <v>66</v>
      </c>
      <c r="C2223" s="12" t="s">
        <v>67</v>
      </c>
      <c r="D2223" s="12" t="s">
        <v>48</v>
      </c>
      <c r="E2223" s="16" t="n">
        <v>24.066577</v>
      </c>
      <c r="F2223" s="16" t="n">
        <v>0</v>
      </c>
      <c r="G2223" s="16" t="n">
        <v>0</v>
      </c>
    </row>
    <row r="2224" customFormat="false" ht="15" hidden="false" customHeight="false" outlineLevel="0" collapsed="false">
      <c r="A2224" s="7" t="n">
        <v>2021</v>
      </c>
      <c r="B2224" s="12" t="s">
        <v>66</v>
      </c>
      <c r="C2224" s="12" t="s">
        <v>67</v>
      </c>
      <c r="D2224" s="12" t="s">
        <v>46</v>
      </c>
      <c r="E2224" s="16" t="n">
        <v>76.665237</v>
      </c>
      <c r="F2224" s="16" t="n">
        <v>0</v>
      </c>
      <c r="G2224" s="16" t="n">
        <v>94.767352</v>
      </c>
    </row>
    <row r="2225" customFormat="false" ht="15" hidden="false" customHeight="false" outlineLevel="0" collapsed="false">
      <c r="A2225" s="7" t="n">
        <v>2021</v>
      </c>
      <c r="B2225" s="12" t="s">
        <v>66</v>
      </c>
      <c r="C2225" s="12" t="s">
        <v>67</v>
      </c>
      <c r="D2225" s="12" t="s">
        <v>47</v>
      </c>
      <c r="E2225" s="16" t="n">
        <v>4.830186</v>
      </c>
      <c r="F2225" s="16" t="n">
        <v>0</v>
      </c>
      <c r="G2225" s="16" t="n">
        <v>0</v>
      </c>
    </row>
    <row r="2226" customFormat="false" ht="15" hidden="false" customHeight="false" outlineLevel="0" collapsed="false">
      <c r="A2226" s="7" t="n">
        <v>2021</v>
      </c>
      <c r="B2226" s="12" t="s">
        <v>66</v>
      </c>
      <c r="C2226" s="12" t="s">
        <v>67</v>
      </c>
      <c r="D2226" s="12" t="s">
        <v>45</v>
      </c>
      <c r="E2226" s="16" t="n">
        <v>232.980186</v>
      </c>
      <c r="F2226" s="16" t="n">
        <v>194.80925</v>
      </c>
      <c r="G2226" s="16" t="n">
        <v>42.02372</v>
      </c>
    </row>
    <row r="2227" customFormat="false" ht="15" hidden="false" customHeight="false" outlineLevel="0" collapsed="false">
      <c r="A2227" s="7" t="n">
        <v>2021</v>
      </c>
      <c r="B2227" s="12" t="s">
        <v>68</v>
      </c>
      <c r="C2227" s="12" t="s">
        <v>65</v>
      </c>
      <c r="D2227" s="12" t="s">
        <v>49</v>
      </c>
      <c r="E2227" s="16" t="n">
        <v>134.376325</v>
      </c>
      <c r="F2227" s="16" t="n">
        <v>0</v>
      </c>
      <c r="G2227" s="16" t="n">
        <v>29.763119</v>
      </c>
    </row>
    <row r="2228" customFormat="false" ht="15" hidden="false" customHeight="false" outlineLevel="0" collapsed="false">
      <c r="A2228" s="7" t="n">
        <v>2021</v>
      </c>
      <c r="B2228" s="12" t="s">
        <v>68</v>
      </c>
      <c r="C2228" s="12" t="s">
        <v>65</v>
      </c>
      <c r="D2228" s="12" t="s">
        <v>48</v>
      </c>
      <c r="E2228" s="16" t="n">
        <v>21.106332</v>
      </c>
      <c r="F2228" s="16" t="n">
        <v>0</v>
      </c>
      <c r="G2228" s="16" t="n">
        <v>0</v>
      </c>
    </row>
    <row r="2229" customFormat="false" ht="15" hidden="false" customHeight="false" outlineLevel="0" collapsed="false">
      <c r="A2229" s="7" t="n">
        <v>2021</v>
      </c>
      <c r="B2229" s="12" t="s">
        <v>68</v>
      </c>
      <c r="C2229" s="12" t="s">
        <v>65</v>
      </c>
      <c r="D2229" s="12" t="s">
        <v>46</v>
      </c>
      <c r="E2229" s="16" t="n">
        <v>75.812438</v>
      </c>
      <c r="F2229" s="16" t="n">
        <v>0</v>
      </c>
      <c r="G2229" s="16" t="n">
        <v>45.653939</v>
      </c>
    </row>
    <row r="2230" customFormat="false" ht="15" hidden="false" customHeight="false" outlineLevel="0" collapsed="false">
      <c r="A2230" s="7" t="n">
        <v>2021</v>
      </c>
      <c r="B2230" s="12" t="s">
        <v>68</v>
      </c>
      <c r="C2230" s="12" t="s">
        <v>65</v>
      </c>
      <c r="D2230" s="12" t="s">
        <v>47</v>
      </c>
      <c r="E2230" s="16" t="n">
        <v>5.387639</v>
      </c>
      <c r="F2230" s="16" t="n">
        <v>0</v>
      </c>
      <c r="G2230" s="16" t="n">
        <v>0</v>
      </c>
    </row>
    <row r="2231" customFormat="false" ht="15" hidden="false" customHeight="false" outlineLevel="0" collapsed="false">
      <c r="A2231" s="7" t="n">
        <v>2021</v>
      </c>
      <c r="B2231" s="12" t="s">
        <v>68</v>
      </c>
      <c r="C2231" s="12" t="s">
        <v>65</v>
      </c>
      <c r="D2231" s="12" t="s">
        <v>45</v>
      </c>
      <c r="E2231" s="16" t="n">
        <v>44.66029</v>
      </c>
      <c r="F2231" s="16" t="n">
        <v>9.813097</v>
      </c>
      <c r="G2231" s="16" t="n">
        <v>9.971303</v>
      </c>
    </row>
    <row r="2232" customFormat="false" ht="15" hidden="false" customHeight="false" outlineLevel="0" collapsed="false">
      <c r="A2232" s="7" t="n">
        <v>2021</v>
      </c>
      <c r="B2232" s="12" t="s">
        <v>69</v>
      </c>
      <c r="C2232" s="12" t="s">
        <v>70</v>
      </c>
      <c r="D2232" s="12" t="s">
        <v>49</v>
      </c>
      <c r="E2232" s="16" t="n">
        <v>113.452451</v>
      </c>
      <c r="F2232" s="16" t="n">
        <v>0</v>
      </c>
      <c r="G2232" s="16" t="n">
        <v>47.771702</v>
      </c>
    </row>
    <row r="2233" customFormat="false" ht="15" hidden="false" customHeight="false" outlineLevel="0" collapsed="false">
      <c r="A2233" s="7" t="n">
        <v>2021</v>
      </c>
      <c r="B2233" s="12" t="s">
        <v>69</v>
      </c>
      <c r="C2233" s="12" t="s">
        <v>70</v>
      </c>
      <c r="D2233" s="12" t="s">
        <v>48</v>
      </c>
      <c r="E2233" s="16" t="n">
        <v>40.311022</v>
      </c>
      <c r="F2233" s="16" t="n">
        <v>0</v>
      </c>
      <c r="G2233" s="16" t="n">
        <v>0</v>
      </c>
    </row>
    <row r="2234" customFormat="false" ht="15" hidden="false" customHeight="false" outlineLevel="0" collapsed="false">
      <c r="A2234" s="7" t="n">
        <v>2021</v>
      </c>
      <c r="B2234" s="12" t="s">
        <v>69</v>
      </c>
      <c r="C2234" s="12" t="s">
        <v>70</v>
      </c>
      <c r="D2234" s="12" t="s">
        <v>46</v>
      </c>
      <c r="E2234" s="16" t="n">
        <v>34.373076</v>
      </c>
      <c r="F2234" s="16" t="n">
        <v>0</v>
      </c>
      <c r="G2234" s="16" t="n">
        <v>97.420862</v>
      </c>
    </row>
    <row r="2235" customFormat="false" ht="15" hidden="false" customHeight="false" outlineLevel="0" collapsed="false">
      <c r="A2235" s="7" t="n">
        <v>2021</v>
      </c>
      <c r="B2235" s="12" t="s">
        <v>69</v>
      </c>
      <c r="C2235" s="12" t="s">
        <v>70</v>
      </c>
      <c r="D2235" s="12" t="s">
        <v>47</v>
      </c>
      <c r="E2235" s="16" t="n">
        <v>3.573732</v>
      </c>
      <c r="F2235" s="16" t="n">
        <v>0</v>
      </c>
      <c r="G2235" s="16" t="n">
        <v>0</v>
      </c>
    </row>
    <row r="2236" customFormat="false" ht="15" hidden="false" customHeight="false" outlineLevel="0" collapsed="false">
      <c r="A2236" s="7" t="n">
        <v>2021</v>
      </c>
      <c r="B2236" s="12" t="s">
        <v>69</v>
      </c>
      <c r="C2236" s="12" t="s">
        <v>70</v>
      </c>
      <c r="D2236" s="12" t="s">
        <v>45</v>
      </c>
      <c r="E2236" s="16" t="n">
        <v>370.072908</v>
      </c>
      <c r="F2236" s="16" t="n">
        <v>366.612027</v>
      </c>
      <c r="G2236" s="16" t="n">
        <v>0</v>
      </c>
    </row>
    <row r="2237" customFormat="false" ht="15" hidden="false" customHeight="false" outlineLevel="0" collapsed="false">
      <c r="A2237" s="7" t="n">
        <v>2021</v>
      </c>
      <c r="B2237" s="12" t="s">
        <v>71</v>
      </c>
      <c r="C2237" s="12" t="s">
        <v>72</v>
      </c>
      <c r="D2237" s="12" t="s">
        <v>49</v>
      </c>
      <c r="E2237" s="16" t="n">
        <v>37.870784</v>
      </c>
      <c r="F2237" s="16" t="n">
        <v>0</v>
      </c>
      <c r="G2237" s="16" t="n">
        <v>7.185078</v>
      </c>
    </row>
    <row r="2238" customFormat="false" ht="15" hidden="false" customHeight="false" outlineLevel="0" collapsed="false">
      <c r="A2238" s="7" t="n">
        <v>2021</v>
      </c>
      <c r="B2238" s="12" t="s">
        <v>71</v>
      </c>
      <c r="C2238" s="12" t="s">
        <v>72</v>
      </c>
      <c r="D2238" s="12" t="s">
        <v>48</v>
      </c>
      <c r="E2238" s="16" t="n">
        <v>18.819372</v>
      </c>
      <c r="F2238" s="16" t="n">
        <v>0</v>
      </c>
      <c r="G2238" s="16" t="n">
        <v>0</v>
      </c>
    </row>
    <row r="2239" customFormat="false" ht="15" hidden="false" customHeight="false" outlineLevel="0" collapsed="false">
      <c r="A2239" s="7" t="n">
        <v>2021</v>
      </c>
      <c r="B2239" s="12" t="s">
        <v>71</v>
      </c>
      <c r="C2239" s="12" t="s">
        <v>72</v>
      </c>
      <c r="D2239" s="12" t="s">
        <v>46</v>
      </c>
      <c r="E2239" s="16" t="n">
        <v>15.028218</v>
      </c>
      <c r="F2239" s="16" t="n">
        <v>0</v>
      </c>
      <c r="G2239" s="16" t="n">
        <v>16.467031</v>
      </c>
    </row>
    <row r="2240" customFormat="false" ht="15" hidden="false" customHeight="false" outlineLevel="0" collapsed="false">
      <c r="A2240" s="7" t="n">
        <v>2021</v>
      </c>
      <c r="B2240" s="12" t="s">
        <v>71</v>
      </c>
      <c r="C2240" s="12" t="s">
        <v>72</v>
      </c>
      <c r="D2240" s="12" t="s">
        <v>47</v>
      </c>
      <c r="E2240" s="16" t="n">
        <v>0.64372</v>
      </c>
      <c r="F2240" s="16" t="n">
        <v>0</v>
      </c>
      <c r="G2240" s="16" t="n">
        <v>0</v>
      </c>
    </row>
    <row r="2241" customFormat="false" ht="15" hidden="false" customHeight="false" outlineLevel="0" collapsed="false">
      <c r="A2241" s="7" t="n">
        <v>2021</v>
      </c>
      <c r="B2241" s="12" t="s">
        <v>71</v>
      </c>
      <c r="C2241" s="12" t="s">
        <v>72</v>
      </c>
      <c r="D2241" s="12" t="s">
        <v>45</v>
      </c>
      <c r="E2241" s="16" t="n">
        <v>42.688732</v>
      </c>
      <c r="F2241" s="16" t="n">
        <v>42.680446</v>
      </c>
      <c r="G2241" s="16" t="n">
        <v>0</v>
      </c>
    </row>
    <row r="2242" customFormat="false" ht="15" hidden="false" customHeight="false" outlineLevel="0" collapsed="false">
      <c r="A2242" s="7" t="n">
        <v>2021</v>
      </c>
      <c r="B2242" s="12" t="s">
        <v>73</v>
      </c>
      <c r="C2242" s="12" t="s">
        <v>70</v>
      </c>
      <c r="D2242" s="12" t="s">
        <v>49</v>
      </c>
      <c r="E2242" s="16" t="n">
        <v>42.905596</v>
      </c>
      <c r="F2242" s="16" t="n">
        <v>0</v>
      </c>
      <c r="G2242" s="16" t="n">
        <v>55.980733</v>
      </c>
    </row>
    <row r="2243" customFormat="false" ht="15" hidden="false" customHeight="false" outlineLevel="0" collapsed="false">
      <c r="A2243" s="7" t="n">
        <v>2021</v>
      </c>
      <c r="B2243" s="12" t="s">
        <v>73</v>
      </c>
      <c r="C2243" s="12" t="s">
        <v>70</v>
      </c>
      <c r="D2243" s="12" t="s">
        <v>48</v>
      </c>
      <c r="E2243" s="16" t="n">
        <v>81.503167</v>
      </c>
      <c r="F2243" s="16" t="n">
        <v>0</v>
      </c>
      <c r="G2243" s="16" t="n">
        <v>0</v>
      </c>
    </row>
    <row r="2244" customFormat="false" ht="15" hidden="false" customHeight="false" outlineLevel="0" collapsed="false">
      <c r="A2244" s="7" t="n">
        <v>2021</v>
      </c>
      <c r="B2244" s="12" t="s">
        <v>73</v>
      </c>
      <c r="C2244" s="12" t="s">
        <v>70</v>
      </c>
      <c r="D2244" s="12" t="s">
        <v>46</v>
      </c>
      <c r="E2244" s="16" t="n">
        <v>79.817057</v>
      </c>
      <c r="F2244" s="16" t="n">
        <v>0</v>
      </c>
      <c r="G2244" s="16" t="n">
        <v>88.989566</v>
      </c>
    </row>
    <row r="2245" customFormat="false" ht="15" hidden="false" customHeight="false" outlineLevel="0" collapsed="false">
      <c r="A2245" s="7" t="n">
        <v>2021</v>
      </c>
      <c r="B2245" s="12" t="s">
        <v>73</v>
      </c>
      <c r="C2245" s="12" t="s">
        <v>70</v>
      </c>
      <c r="D2245" s="12" t="s">
        <v>47</v>
      </c>
      <c r="E2245" s="16" t="n">
        <v>7.226752</v>
      </c>
      <c r="F2245" s="16" t="n">
        <v>0</v>
      </c>
      <c r="G2245" s="16" t="n">
        <v>0</v>
      </c>
    </row>
    <row r="2246" customFormat="false" ht="15" hidden="false" customHeight="false" outlineLevel="0" collapsed="false">
      <c r="A2246" s="7" t="n">
        <v>2021</v>
      </c>
      <c r="B2246" s="12" t="s">
        <v>73</v>
      </c>
      <c r="C2246" s="12" t="s">
        <v>70</v>
      </c>
      <c r="D2246" s="12" t="s">
        <v>45</v>
      </c>
      <c r="E2246" s="16" t="n">
        <v>90.236701</v>
      </c>
      <c r="F2246" s="16" t="n">
        <v>70.025942</v>
      </c>
      <c r="G2246" s="16" t="n">
        <v>47.516424</v>
      </c>
    </row>
    <row r="2247" customFormat="false" ht="15" hidden="false" customHeight="false" outlineLevel="0" collapsed="false">
      <c r="A2247" s="7" t="n">
        <v>2021</v>
      </c>
      <c r="B2247" s="12" t="s">
        <v>74</v>
      </c>
      <c r="C2247" s="12" t="s">
        <v>65</v>
      </c>
      <c r="D2247" s="12" t="s">
        <v>49</v>
      </c>
      <c r="E2247" s="16" t="n">
        <v>185.26684</v>
      </c>
      <c r="F2247" s="16" t="n">
        <v>0</v>
      </c>
      <c r="G2247" s="16" t="n">
        <v>23.545299</v>
      </c>
    </row>
    <row r="2248" customFormat="false" ht="15" hidden="false" customHeight="false" outlineLevel="0" collapsed="false">
      <c r="A2248" s="7" t="n">
        <v>2021</v>
      </c>
      <c r="B2248" s="12" t="s">
        <v>74</v>
      </c>
      <c r="C2248" s="12" t="s">
        <v>65</v>
      </c>
      <c r="D2248" s="12" t="s">
        <v>48</v>
      </c>
      <c r="E2248" s="16" t="n">
        <v>17.19907</v>
      </c>
      <c r="F2248" s="16" t="n">
        <v>0</v>
      </c>
      <c r="G2248" s="16" t="n">
        <v>0</v>
      </c>
    </row>
    <row r="2249" customFormat="false" ht="15" hidden="false" customHeight="false" outlineLevel="0" collapsed="false">
      <c r="A2249" s="7" t="n">
        <v>2021</v>
      </c>
      <c r="B2249" s="12" t="s">
        <v>74</v>
      </c>
      <c r="C2249" s="12" t="s">
        <v>65</v>
      </c>
      <c r="D2249" s="12" t="s">
        <v>46</v>
      </c>
      <c r="E2249" s="16" t="n">
        <v>62.799399</v>
      </c>
      <c r="F2249" s="16" t="n">
        <v>0</v>
      </c>
      <c r="G2249" s="16" t="n">
        <v>79.237036</v>
      </c>
    </row>
    <row r="2250" customFormat="false" ht="15" hidden="false" customHeight="false" outlineLevel="0" collapsed="false">
      <c r="A2250" s="7" t="n">
        <v>2021</v>
      </c>
      <c r="B2250" s="12" t="s">
        <v>74</v>
      </c>
      <c r="C2250" s="12" t="s">
        <v>65</v>
      </c>
      <c r="D2250" s="12" t="s">
        <v>47</v>
      </c>
      <c r="E2250" s="16" t="n">
        <v>5.604858</v>
      </c>
      <c r="F2250" s="16" t="n">
        <v>0</v>
      </c>
      <c r="G2250" s="16" t="n">
        <v>0</v>
      </c>
    </row>
    <row r="2251" customFormat="false" ht="15" hidden="false" customHeight="false" outlineLevel="0" collapsed="false">
      <c r="A2251" s="7" t="n">
        <v>2021</v>
      </c>
      <c r="B2251" s="12" t="s">
        <v>74</v>
      </c>
      <c r="C2251" s="12" t="s">
        <v>65</v>
      </c>
      <c r="D2251" s="12" t="s">
        <v>45</v>
      </c>
      <c r="E2251" s="16" t="n">
        <v>53.126647</v>
      </c>
      <c r="F2251" s="16" t="n">
        <v>0</v>
      </c>
      <c r="G2251" s="16" t="n">
        <v>49.985966</v>
      </c>
    </row>
    <row r="2252" customFormat="false" ht="15" hidden="false" customHeight="false" outlineLevel="0" collapsed="false">
      <c r="A2252" s="7" t="n">
        <v>2021</v>
      </c>
      <c r="B2252" s="12" t="s">
        <v>75</v>
      </c>
      <c r="C2252" s="12" t="s">
        <v>57</v>
      </c>
      <c r="D2252" s="12" t="s">
        <v>49</v>
      </c>
      <c r="E2252" s="16" t="n">
        <v>263.007517</v>
      </c>
      <c r="F2252" s="16" t="n">
        <v>0</v>
      </c>
      <c r="G2252" s="16" t="n">
        <v>141.972911</v>
      </c>
    </row>
    <row r="2253" customFormat="false" ht="15" hidden="false" customHeight="false" outlineLevel="0" collapsed="false">
      <c r="A2253" s="7" t="n">
        <v>2021</v>
      </c>
      <c r="B2253" s="12" t="s">
        <v>75</v>
      </c>
      <c r="C2253" s="12" t="s">
        <v>57</v>
      </c>
      <c r="D2253" s="12" t="s">
        <v>48</v>
      </c>
      <c r="E2253" s="16" t="n">
        <v>202.069159</v>
      </c>
      <c r="F2253" s="16" t="n">
        <v>0</v>
      </c>
      <c r="G2253" s="16" t="n">
        <v>0</v>
      </c>
    </row>
    <row r="2254" customFormat="false" ht="15" hidden="false" customHeight="false" outlineLevel="0" collapsed="false">
      <c r="A2254" s="7" t="n">
        <v>2021</v>
      </c>
      <c r="B2254" s="12" t="s">
        <v>75</v>
      </c>
      <c r="C2254" s="12" t="s">
        <v>57</v>
      </c>
      <c r="D2254" s="12" t="s">
        <v>46</v>
      </c>
      <c r="E2254" s="16" t="n">
        <v>115.243272</v>
      </c>
      <c r="F2254" s="16" t="n">
        <v>0</v>
      </c>
      <c r="G2254" s="16" t="n">
        <v>130.351881</v>
      </c>
    </row>
    <row r="2255" customFormat="false" ht="15" hidden="false" customHeight="false" outlineLevel="0" collapsed="false">
      <c r="A2255" s="7" t="n">
        <v>2021</v>
      </c>
      <c r="B2255" s="12" t="s">
        <v>75</v>
      </c>
      <c r="C2255" s="12" t="s">
        <v>57</v>
      </c>
      <c r="D2255" s="12" t="s">
        <v>47</v>
      </c>
      <c r="E2255" s="16" t="n">
        <v>10.667151</v>
      </c>
      <c r="F2255" s="16" t="n">
        <v>0</v>
      </c>
      <c r="G2255" s="16" t="n">
        <v>0</v>
      </c>
    </row>
    <row r="2256" customFormat="false" ht="15" hidden="false" customHeight="false" outlineLevel="0" collapsed="false">
      <c r="A2256" s="7" t="n">
        <v>2021</v>
      </c>
      <c r="B2256" s="12" t="s">
        <v>75</v>
      </c>
      <c r="C2256" s="12" t="s">
        <v>57</v>
      </c>
      <c r="D2256" s="12" t="s">
        <v>45</v>
      </c>
      <c r="E2256" s="16" t="n">
        <v>400.593374</v>
      </c>
      <c r="F2256" s="16" t="n">
        <v>348.602482</v>
      </c>
      <c r="G2256" s="16" t="n">
        <v>76.965874</v>
      </c>
    </row>
    <row r="2257" customFormat="false" ht="15" hidden="false" customHeight="false" outlineLevel="0" collapsed="false">
      <c r="A2257" s="7" t="n">
        <v>2021</v>
      </c>
      <c r="B2257" s="12" t="s">
        <v>76</v>
      </c>
      <c r="C2257" s="12" t="s">
        <v>72</v>
      </c>
      <c r="D2257" s="12" t="s">
        <v>49</v>
      </c>
      <c r="E2257" s="16" t="n">
        <v>44.878856</v>
      </c>
      <c r="F2257" s="16" t="n">
        <v>0</v>
      </c>
      <c r="G2257" s="16" t="n">
        <v>22.637923</v>
      </c>
    </row>
    <row r="2258" customFormat="false" ht="15" hidden="false" customHeight="false" outlineLevel="0" collapsed="false">
      <c r="A2258" s="7" t="n">
        <v>2021</v>
      </c>
      <c r="B2258" s="12" t="s">
        <v>76</v>
      </c>
      <c r="C2258" s="12" t="s">
        <v>72</v>
      </c>
      <c r="D2258" s="12" t="s">
        <v>48</v>
      </c>
      <c r="E2258" s="16" t="n">
        <v>22.159202</v>
      </c>
      <c r="F2258" s="16" t="n">
        <v>0</v>
      </c>
      <c r="G2258" s="16" t="n">
        <v>0</v>
      </c>
    </row>
    <row r="2259" customFormat="false" ht="15" hidden="false" customHeight="false" outlineLevel="0" collapsed="false">
      <c r="A2259" s="7" t="n">
        <v>2021</v>
      </c>
      <c r="B2259" s="12" t="s">
        <v>76</v>
      </c>
      <c r="C2259" s="12" t="s">
        <v>72</v>
      </c>
      <c r="D2259" s="12" t="s">
        <v>46</v>
      </c>
      <c r="E2259" s="16" t="n">
        <v>25.343633</v>
      </c>
      <c r="F2259" s="16" t="n">
        <v>0</v>
      </c>
      <c r="G2259" s="16" t="n">
        <v>39.216788</v>
      </c>
    </row>
    <row r="2260" customFormat="false" ht="15" hidden="false" customHeight="false" outlineLevel="0" collapsed="false">
      <c r="A2260" s="7" t="n">
        <v>2021</v>
      </c>
      <c r="B2260" s="12" t="s">
        <v>76</v>
      </c>
      <c r="C2260" s="12" t="s">
        <v>72</v>
      </c>
      <c r="D2260" s="12" t="s">
        <v>45</v>
      </c>
      <c r="E2260" s="16" t="n">
        <v>76.471161</v>
      </c>
      <c r="F2260" s="16" t="n">
        <v>62.383262</v>
      </c>
      <c r="G2260" s="16" t="n">
        <v>38.020357</v>
      </c>
    </row>
    <row r="2261" customFormat="false" ht="15" hidden="false" customHeight="false" outlineLevel="0" collapsed="false">
      <c r="A2261" s="7" t="n">
        <v>2021</v>
      </c>
      <c r="B2261" s="12" t="s">
        <v>77</v>
      </c>
      <c r="C2261" s="12" t="s">
        <v>57</v>
      </c>
      <c r="D2261" s="12" t="s">
        <v>49</v>
      </c>
      <c r="E2261" s="16" t="n">
        <v>50.638019</v>
      </c>
      <c r="F2261" s="16" t="n">
        <v>0</v>
      </c>
      <c r="G2261" s="16" t="n">
        <v>6.564057</v>
      </c>
    </row>
    <row r="2262" customFormat="false" ht="15" hidden="false" customHeight="false" outlineLevel="0" collapsed="false">
      <c r="A2262" s="7" t="n">
        <v>2021</v>
      </c>
      <c r="B2262" s="12" t="s">
        <v>77</v>
      </c>
      <c r="C2262" s="12" t="s">
        <v>57</v>
      </c>
      <c r="D2262" s="12" t="s">
        <v>48</v>
      </c>
      <c r="E2262" s="16" t="n">
        <v>25.406583</v>
      </c>
      <c r="F2262" s="16" t="n">
        <v>0</v>
      </c>
      <c r="G2262" s="16" t="n">
        <v>0</v>
      </c>
    </row>
    <row r="2263" customFormat="false" ht="15" hidden="false" customHeight="false" outlineLevel="0" collapsed="false">
      <c r="A2263" s="7" t="n">
        <v>2021</v>
      </c>
      <c r="B2263" s="12" t="s">
        <v>77</v>
      </c>
      <c r="C2263" s="12" t="s">
        <v>57</v>
      </c>
      <c r="D2263" s="12" t="s">
        <v>46</v>
      </c>
      <c r="E2263" s="16" t="n">
        <v>17.123074</v>
      </c>
      <c r="F2263" s="16" t="n">
        <v>0</v>
      </c>
      <c r="G2263" s="16" t="n">
        <v>12.97104</v>
      </c>
    </row>
    <row r="2264" customFormat="false" ht="15" hidden="false" customHeight="false" outlineLevel="0" collapsed="false">
      <c r="A2264" s="7" t="n">
        <v>2021</v>
      </c>
      <c r="B2264" s="12" t="s">
        <v>77</v>
      </c>
      <c r="C2264" s="12" t="s">
        <v>57</v>
      </c>
      <c r="D2264" s="12" t="s">
        <v>47</v>
      </c>
      <c r="E2264" s="16" t="n">
        <v>1.115925</v>
      </c>
      <c r="F2264" s="16" t="n">
        <v>0</v>
      </c>
      <c r="G2264" s="16" t="n">
        <v>0</v>
      </c>
    </row>
    <row r="2265" customFormat="false" ht="15" hidden="false" customHeight="false" outlineLevel="0" collapsed="false">
      <c r="A2265" s="7" t="n">
        <v>2021</v>
      </c>
      <c r="B2265" s="12" t="s">
        <v>77</v>
      </c>
      <c r="C2265" s="12" t="s">
        <v>57</v>
      </c>
      <c r="D2265" s="12" t="s">
        <v>45</v>
      </c>
      <c r="E2265" s="16" t="n">
        <v>31.323395</v>
      </c>
      <c r="F2265" s="16" t="n">
        <v>21.238608</v>
      </c>
      <c r="G2265" s="16" t="n">
        <v>11.170259</v>
      </c>
    </row>
    <row r="2266" customFormat="false" ht="15" hidden="false" customHeight="false" outlineLevel="0" collapsed="false">
      <c r="A2266" s="7" t="n">
        <v>2021</v>
      </c>
      <c r="B2266" s="12" t="s">
        <v>78</v>
      </c>
      <c r="C2266" s="12" t="s">
        <v>65</v>
      </c>
      <c r="D2266" s="12" t="s">
        <v>49</v>
      </c>
      <c r="E2266" s="16" t="n">
        <v>42.09373</v>
      </c>
      <c r="F2266" s="16" t="n">
        <v>0</v>
      </c>
      <c r="G2266" s="16" t="n">
        <v>10.748077</v>
      </c>
    </row>
    <row r="2267" customFormat="false" ht="15" hidden="false" customHeight="false" outlineLevel="0" collapsed="false">
      <c r="A2267" s="7" t="n">
        <v>2021</v>
      </c>
      <c r="B2267" s="12" t="s">
        <v>78</v>
      </c>
      <c r="C2267" s="12" t="s">
        <v>65</v>
      </c>
      <c r="D2267" s="12" t="s">
        <v>48</v>
      </c>
      <c r="E2267" s="16" t="n">
        <v>13.125004</v>
      </c>
      <c r="F2267" s="16" t="n">
        <v>0</v>
      </c>
      <c r="G2267" s="16" t="n">
        <v>0</v>
      </c>
    </row>
    <row r="2268" customFormat="false" ht="15" hidden="false" customHeight="false" outlineLevel="0" collapsed="false">
      <c r="A2268" s="7" t="n">
        <v>2021</v>
      </c>
      <c r="B2268" s="12" t="s">
        <v>78</v>
      </c>
      <c r="C2268" s="12" t="s">
        <v>65</v>
      </c>
      <c r="D2268" s="12" t="s">
        <v>46</v>
      </c>
      <c r="E2268" s="16" t="n">
        <v>19.275324</v>
      </c>
      <c r="F2268" s="16" t="n">
        <v>0</v>
      </c>
      <c r="G2268" s="16" t="n">
        <v>26.692821</v>
      </c>
    </row>
    <row r="2269" customFormat="false" ht="15" hidden="false" customHeight="false" outlineLevel="0" collapsed="false">
      <c r="A2269" s="7" t="n">
        <v>2021</v>
      </c>
      <c r="B2269" s="12" t="s">
        <v>78</v>
      </c>
      <c r="C2269" s="12" t="s">
        <v>65</v>
      </c>
      <c r="D2269" s="12" t="s">
        <v>47</v>
      </c>
      <c r="E2269" s="16" t="n">
        <v>0</v>
      </c>
      <c r="F2269" s="16" t="n">
        <v>0</v>
      </c>
      <c r="G2269" s="16" t="n">
        <v>0</v>
      </c>
    </row>
    <row r="2270" customFormat="false" ht="15" hidden="false" customHeight="false" outlineLevel="0" collapsed="false">
      <c r="A2270" s="7" t="n">
        <v>2021</v>
      </c>
      <c r="B2270" s="12" t="s">
        <v>78</v>
      </c>
      <c r="C2270" s="12" t="s">
        <v>65</v>
      </c>
      <c r="D2270" s="12" t="s">
        <v>45</v>
      </c>
      <c r="E2270" s="16" t="n">
        <v>23.103292</v>
      </c>
      <c r="F2270" s="16" t="n">
        <v>0</v>
      </c>
      <c r="G2270" s="16" t="n">
        <v>11.542873</v>
      </c>
    </row>
    <row r="2271" customFormat="false" ht="15" hidden="false" customHeight="false" outlineLevel="0" collapsed="false">
      <c r="A2271" s="7" t="n">
        <v>2021</v>
      </c>
      <c r="B2271" s="12" t="s">
        <v>79</v>
      </c>
      <c r="C2271" s="12" t="s">
        <v>72</v>
      </c>
      <c r="D2271" s="12" t="s">
        <v>49</v>
      </c>
      <c r="E2271" s="16" t="n">
        <v>109.624318</v>
      </c>
      <c r="F2271" s="16" t="n">
        <v>0</v>
      </c>
      <c r="G2271" s="16" t="n">
        <v>51.853391</v>
      </c>
    </row>
    <row r="2272" customFormat="false" ht="15" hidden="false" customHeight="false" outlineLevel="0" collapsed="false">
      <c r="A2272" s="7" t="n">
        <v>2021</v>
      </c>
      <c r="B2272" s="12" t="s">
        <v>79</v>
      </c>
      <c r="C2272" s="12" t="s">
        <v>72</v>
      </c>
      <c r="D2272" s="12" t="s">
        <v>48</v>
      </c>
      <c r="E2272" s="16" t="n">
        <v>83.153856</v>
      </c>
      <c r="F2272" s="16" t="n">
        <v>0</v>
      </c>
      <c r="G2272" s="16" t="n">
        <v>0</v>
      </c>
    </row>
    <row r="2273" customFormat="false" ht="15" hidden="false" customHeight="false" outlineLevel="0" collapsed="false">
      <c r="A2273" s="7" t="n">
        <v>2021</v>
      </c>
      <c r="B2273" s="12" t="s">
        <v>79</v>
      </c>
      <c r="C2273" s="12" t="s">
        <v>72</v>
      </c>
      <c r="D2273" s="12" t="s">
        <v>46</v>
      </c>
      <c r="E2273" s="16" t="n">
        <v>80.781324</v>
      </c>
      <c r="F2273" s="16" t="n">
        <v>0</v>
      </c>
      <c r="G2273" s="16" t="n">
        <v>139.872775</v>
      </c>
    </row>
    <row r="2274" customFormat="false" ht="15" hidden="false" customHeight="false" outlineLevel="0" collapsed="false">
      <c r="A2274" s="7" t="n">
        <v>2021</v>
      </c>
      <c r="B2274" s="12" t="s">
        <v>79</v>
      </c>
      <c r="C2274" s="12" t="s">
        <v>72</v>
      </c>
      <c r="D2274" s="12" t="s">
        <v>47</v>
      </c>
      <c r="E2274" s="16" t="n">
        <v>4.424734</v>
      </c>
      <c r="F2274" s="16" t="n">
        <v>0</v>
      </c>
      <c r="G2274" s="16" t="n">
        <v>0</v>
      </c>
    </row>
    <row r="2275" customFormat="false" ht="15" hidden="false" customHeight="false" outlineLevel="0" collapsed="false">
      <c r="A2275" s="7" t="n">
        <v>2021</v>
      </c>
      <c r="B2275" s="12" t="s">
        <v>79</v>
      </c>
      <c r="C2275" s="12" t="s">
        <v>72</v>
      </c>
      <c r="D2275" s="12" t="s">
        <v>45</v>
      </c>
      <c r="E2275" s="16" t="n">
        <v>336.19433</v>
      </c>
      <c r="F2275" s="16" t="n">
        <v>322.058645</v>
      </c>
      <c r="G2275" s="16" t="n">
        <v>0</v>
      </c>
    </row>
    <row r="2276" customFormat="false" ht="15" hidden="false" customHeight="false" outlineLevel="0" collapsed="false">
      <c r="A2276" s="7" t="n">
        <v>2021</v>
      </c>
      <c r="B2276" s="12" t="s">
        <v>80</v>
      </c>
      <c r="C2276" s="12" t="s">
        <v>72</v>
      </c>
      <c r="D2276" s="12" t="s">
        <v>49</v>
      </c>
      <c r="E2276" s="16" t="n">
        <v>94.44439</v>
      </c>
      <c r="F2276" s="16" t="n">
        <v>0</v>
      </c>
      <c r="G2276" s="16" t="n">
        <v>34.914666</v>
      </c>
    </row>
    <row r="2277" customFormat="false" ht="15" hidden="false" customHeight="false" outlineLevel="0" collapsed="false">
      <c r="A2277" s="7" t="n">
        <v>2021</v>
      </c>
      <c r="B2277" s="12" t="s">
        <v>80</v>
      </c>
      <c r="C2277" s="12" t="s">
        <v>72</v>
      </c>
      <c r="D2277" s="12" t="s">
        <v>48</v>
      </c>
      <c r="E2277" s="16" t="n">
        <v>33.298446</v>
      </c>
      <c r="F2277" s="16" t="n">
        <v>0</v>
      </c>
      <c r="G2277" s="16" t="n">
        <v>0</v>
      </c>
    </row>
    <row r="2278" customFormat="false" ht="15" hidden="false" customHeight="false" outlineLevel="0" collapsed="false">
      <c r="A2278" s="7" t="n">
        <v>2021</v>
      </c>
      <c r="B2278" s="12" t="s">
        <v>80</v>
      </c>
      <c r="C2278" s="12" t="s">
        <v>72</v>
      </c>
      <c r="D2278" s="12" t="s">
        <v>46</v>
      </c>
      <c r="E2278" s="16" t="n">
        <v>27.679166</v>
      </c>
      <c r="F2278" s="16" t="n">
        <v>0</v>
      </c>
      <c r="G2278" s="16" t="n">
        <v>71.814403</v>
      </c>
    </row>
    <row r="2279" customFormat="false" ht="15" hidden="false" customHeight="false" outlineLevel="0" collapsed="false">
      <c r="A2279" s="7" t="n">
        <v>2021</v>
      </c>
      <c r="B2279" s="12" t="s">
        <v>80</v>
      </c>
      <c r="C2279" s="12" t="s">
        <v>72</v>
      </c>
      <c r="D2279" s="12" t="s">
        <v>47</v>
      </c>
      <c r="E2279" s="16" t="n">
        <v>2.701025</v>
      </c>
      <c r="F2279" s="16" t="n">
        <v>0</v>
      </c>
      <c r="G2279" s="16" t="n">
        <v>0</v>
      </c>
    </row>
    <row r="2280" customFormat="false" ht="15" hidden="false" customHeight="false" outlineLevel="0" collapsed="false">
      <c r="A2280" s="7" t="n">
        <v>2021</v>
      </c>
      <c r="B2280" s="12" t="s">
        <v>80</v>
      </c>
      <c r="C2280" s="12" t="s">
        <v>72</v>
      </c>
      <c r="D2280" s="12" t="s">
        <v>45</v>
      </c>
      <c r="E2280" s="16" t="n">
        <v>173.292536</v>
      </c>
      <c r="F2280" s="16" t="n">
        <v>170.438392</v>
      </c>
      <c r="G2280" s="16" t="n">
        <v>0</v>
      </c>
    </row>
    <row r="2281" customFormat="false" ht="15" hidden="false" customHeight="false" outlineLevel="0" collapsed="false">
      <c r="A2281" s="7" t="n">
        <v>2021</v>
      </c>
      <c r="B2281" s="12" t="s">
        <v>81</v>
      </c>
      <c r="C2281" s="12" t="s">
        <v>72</v>
      </c>
      <c r="D2281" s="12" t="s">
        <v>49</v>
      </c>
      <c r="E2281" s="16" t="n">
        <v>44.575873</v>
      </c>
      <c r="F2281" s="16" t="n">
        <v>0</v>
      </c>
      <c r="G2281" s="16" t="n">
        <v>23.643689</v>
      </c>
    </row>
    <row r="2282" customFormat="false" ht="15" hidden="false" customHeight="false" outlineLevel="0" collapsed="false">
      <c r="A2282" s="7" t="n">
        <v>2021</v>
      </c>
      <c r="B2282" s="12" t="s">
        <v>81</v>
      </c>
      <c r="C2282" s="12" t="s">
        <v>72</v>
      </c>
      <c r="D2282" s="12" t="s">
        <v>48</v>
      </c>
      <c r="E2282" s="16" t="n">
        <v>22.73869</v>
      </c>
      <c r="F2282" s="16" t="n">
        <v>0</v>
      </c>
      <c r="G2282" s="16" t="n">
        <v>0</v>
      </c>
    </row>
    <row r="2283" customFormat="false" ht="15" hidden="false" customHeight="false" outlineLevel="0" collapsed="false">
      <c r="A2283" s="7" t="n">
        <v>2021</v>
      </c>
      <c r="B2283" s="12" t="s">
        <v>81</v>
      </c>
      <c r="C2283" s="12" t="s">
        <v>72</v>
      </c>
      <c r="D2283" s="12" t="s">
        <v>46</v>
      </c>
      <c r="E2283" s="16" t="n">
        <v>31.570154</v>
      </c>
      <c r="F2283" s="16" t="n">
        <v>0</v>
      </c>
      <c r="G2283" s="16" t="n">
        <v>40.491889</v>
      </c>
    </row>
    <row r="2284" customFormat="false" ht="15" hidden="false" customHeight="false" outlineLevel="0" collapsed="false">
      <c r="A2284" s="7" t="n">
        <v>2021</v>
      </c>
      <c r="B2284" s="12" t="s">
        <v>81</v>
      </c>
      <c r="C2284" s="12" t="s">
        <v>72</v>
      </c>
      <c r="D2284" s="12" t="s">
        <v>47</v>
      </c>
      <c r="E2284" s="16" t="n">
        <v>2.093614</v>
      </c>
      <c r="F2284" s="16" t="n">
        <v>0</v>
      </c>
      <c r="G2284" s="16" t="n">
        <v>0</v>
      </c>
    </row>
    <row r="2285" customFormat="false" ht="15" hidden="false" customHeight="false" outlineLevel="0" collapsed="false">
      <c r="A2285" s="7" t="n">
        <v>2021</v>
      </c>
      <c r="B2285" s="12" t="s">
        <v>81</v>
      </c>
      <c r="C2285" s="12" t="s">
        <v>72</v>
      </c>
      <c r="D2285" s="12" t="s">
        <v>45</v>
      </c>
      <c r="E2285" s="16" t="n">
        <v>150.269807</v>
      </c>
      <c r="F2285" s="16" t="n">
        <v>143.9455</v>
      </c>
      <c r="G2285" s="16" t="n">
        <v>0</v>
      </c>
    </row>
    <row r="2286" customFormat="false" ht="15" hidden="false" customHeight="false" outlineLevel="0" collapsed="false">
      <c r="A2286" s="7" t="n">
        <v>2022</v>
      </c>
      <c r="B2286" s="12" t="s">
        <v>56</v>
      </c>
      <c r="C2286" s="12" t="s">
        <v>57</v>
      </c>
      <c r="D2286" s="12" t="s">
        <v>49</v>
      </c>
      <c r="E2286" s="16" t="n">
        <v>69.034394</v>
      </c>
      <c r="F2286" s="16" t="n">
        <v>0</v>
      </c>
      <c r="G2286" s="16" t="n">
        <v>13.684572</v>
      </c>
    </row>
    <row r="2287" customFormat="false" ht="15" hidden="false" customHeight="false" outlineLevel="0" collapsed="false">
      <c r="A2287" s="7" t="n">
        <v>2022</v>
      </c>
      <c r="B2287" s="12" t="s">
        <v>56</v>
      </c>
      <c r="C2287" s="12" t="s">
        <v>57</v>
      </c>
      <c r="D2287" s="12" t="s">
        <v>48</v>
      </c>
      <c r="E2287" s="16" t="n">
        <v>19.745077</v>
      </c>
      <c r="F2287" s="16" t="n">
        <v>0</v>
      </c>
      <c r="G2287" s="16" t="n">
        <v>0</v>
      </c>
    </row>
    <row r="2288" customFormat="false" ht="15" hidden="false" customHeight="false" outlineLevel="0" collapsed="false">
      <c r="A2288" s="7" t="n">
        <v>2022</v>
      </c>
      <c r="B2288" s="12" t="s">
        <v>56</v>
      </c>
      <c r="C2288" s="12" t="s">
        <v>57</v>
      </c>
      <c r="D2288" s="12" t="s">
        <v>46</v>
      </c>
      <c r="E2288" s="16" t="n">
        <v>30.857737</v>
      </c>
      <c r="F2288" s="16" t="n">
        <v>0</v>
      </c>
      <c r="G2288" s="16" t="n">
        <v>23.215901</v>
      </c>
    </row>
    <row r="2289" customFormat="false" ht="15" hidden="false" customHeight="false" outlineLevel="0" collapsed="false">
      <c r="A2289" s="7" t="n">
        <v>2022</v>
      </c>
      <c r="B2289" s="12" t="s">
        <v>56</v>
      </c>
      <c r="C2289" s="12" t="s">
        <v>57</v>
      </c>
      <c r="D2289" s="12" t="s">
        <v>45</v>
      </c>
      <c r="E2289" s="16" t="n">
        <v>100.917058</v>
      </c>
      <c r="F2289" s="16" t="n">
        <v>74.569249</v>
      </c>
      <c r="G2289" s="16" t="n">
        <v>25.864652</v>
      </c>
    </row>
    <row r="2290" customFormat="false" ht="15" hidden="false" customHeight="false" outlineLevel="0" collapsed="false">
      <c r="A2290" s="7" t="n">
        <v>2022</v>
      </c>
      <c r="B2290" s="12" t="s">
        <v>58</v>
      </c>
      <c r="C2290" s="12" t="s">
        <v>59</v>
      </c>
      <c r="D2290" s="12" t="s">
        <v>49</v>
      </c>
      <c r="E2290" s="16" t="n">
        <v>127.478237</v>
      </c>
      <c r="F2290" s="16" t="n">
        <v>0</v>
      </c>
      <c r="G2290" s="16" t="n">
        <v>92.932977</v>
      </c>
    </row>
    <row r="2291" customFormat="false" ht="15" hidden="false" customHeight="false" outlineLevel="0" collapsed="false">
      <c r="A2291" s="7" t="n">
        <v>2022</v>
      </c>
      <c r="B2291" s="12" t="s">
        <v>58</v>
      </c>
      <c r="C2291" s="12" t="s">
        <v>59</v>
      </c>
      <c r="D2291" s="12" t="s">
        <v>48</v>
      </c>
      <c r="E2291" s="16" t="n">
        <v>94.621165</v>
      </c>
      <c r="F2291" s="16" t="n">
        <v>0</v>
      </c>
      <c r="G2291" s="16" t="n">
        <v>0</v>
      </c>
    </row>
    <row r="2292" customFormat="false" ht="15" hidden="false" customHeight="false" outlineLevel="0" collapsed="false">
      <c r="A2292" s="7" t="n">
        <v>2022</v>
      </c>
      <c r="B2292" s="12" t="s">
        <v>58</v>
      </c>
      <c r="C2292" s="12" t="s">
        <v>59</v>
      </c>
      <c r="D2292" s="12" t="s">
        <v>46</v>
      </c>
      <c r="E2292" s="16" t="n">
        <v>269.130174</v>
      </c>
      <c r="F2292" s="16" t="n">
        <v>0</v>
      </c>
      <c r="G2292" s="16" t="n">
        <v>255.50617</v>
      </c>
    </row>
    <row r="2293" customFormat="false" ht="15" hidden="false" customHeight="false" outlineLevel="0" collapsed="false">
      <c r="A2293" s="7" t="n">
        <v>2022</v>
      </c>
      <c r="B2293" s="12" t="s">
        <v>58</v>
      </c>
      <c r="C2293" s="12" t="s">
        <v>59</v>
      </c>
      <c r="D2293" s="12" t="s">
        <v>47</v>
      </c>
      <c r="E2293" s="16" t="n">
        <v>0.95387</v>
      </c>
      <c r="F2293" s="16" t="n">
        <v>0</v>
      </c>
      <c r="G2293" s="16" t="n">
        <v>0</v>
      </c>
    </row>
    <row r="2294" customFormat="false" ht="15" hidden="false" customHeight="false" outlineLevel="0" collapsed="false">
      <c r="A2294" s="7" t="n">
        <v>2022</v>
      </c>
      <c r="B2294" s="12" t="s">
        <v>58</v>
      </c>
      <c r="C2294" s="12" t="s">
        <v>59</v>
      </c>
      <c r="D2294" s="12" t="s">
        <v>45</v>
      </c>
      <c r="E2294" s="16" t="n">
        <v>69.882238</v>
      </c>
      <c r="F2294" s="16" t="n">
        <v>39.516448</v>
      </c>
      <c r="G2294" s="16" t="n">
        <v>75.775335</v>
      </c>
    </row>
    <row r="2295" customFormat="false" ht="15" hidden="false" customHeight="false" outlineLevel="0" collapsed="false">
      <c r="A2295" s="7" t="n">
        <v>2022</v>
      </c>
      <c r="B2295" s="12" t="s">
        <v>60</v>
      </c>
      <c r="C2295" s="12" t="s">
        <v>59</v>
      </c>
      <c r="D2295" s="12" t="s">
        <v>49</v>
      </c>
      <c r="E2295" s="16" t="n">
        <v>416.961523</v>
      </c>
      <c r="F2295" s="16" t="n">
        <v>0</v>
      </c>
      <c r="G2295" s="16" t="n">
        <v>248.720371</v>
      </c>
    </row>
    <row r="2296" customFormat="false" ht="15" hidden="false" customHeight="false" outlineLevel="0" collapsed="false">
      <c r="A2296" s="7" t="n">
        <v>2022</v>
      </c>
      <c r="B2296" s="12" t="s">
        <v>60</v>
      </c>
      <c r="C2296" s="12" t="s">
        <v>59</v>
      </c>
      <c r="D2296" s="12" t="s">
        <v>48</v>
      </c>
      <c r="E2296" s="16" t="n">
        <v>264.087988</v>
      </c>
      <c r="F2296" s="16" t="n">
        <v>0</v>
      </c>
      <c r="G2296" s="16" t="n">
        <v>0</v>
      </c>
    </row>
    <row r="2297" customFormat="false" ht="15" hidden="false" customHeight="false" outlineLevel="0" collapsed="false">
      <c r="A2297" s="7" t="n">
        <v>2022</v>
      </c>
      <c r="B2297" s="12" t="s">
        <v>60</v>
      </c>
      <c r="C2297" s="12" t="s">
        <v>59</v>
      </c>
      <c r="D2297" s="12" t="s">
        <v>46</v>
      </c>
      <c r="E2297" s="16" t="n">
        <v>543.245281</v>
      </c>
      <c r="F2297" s="16" t="n">
        <v>0</v>
      </c>
      <c r="G2297" s="16" t="n">
        <v>640.484173</v>
      </c>
    </row>
    <row r="2298" customFormat="false" ht="15" hidden="false" customHeight="false" outlineLevel="0" collapsed="false">
      <c r="A2298" s="7" t="n">
        <v>2022</v>
      </c>
      <c r="B2298" s="12" t="s">
        <v>60</v>
      </c>
      <c r="C2298" s="12" t="s">
        <v>59</v>
      </c>
      <c r="D2298" s="12" t="s">
        <v>47</v>
      </c>
      <c r="E2298" s="16" t="n">
        <v>6.591797</v>
      </c>
      <c r="F2298" s="16" t="n">
        <v>0</v>
      </c>
      <c r="G2298" s="16" t="n">
        <v>0</v>
      </c>
    </row>
    <row r="2299" customFormat="false" ht="15" hidden="false" customHeight="false" outlineLevel="0" collapsed="false">
      <c r="A2299" s="7" t="n">
        <v>2022</v>
      </c>
      <c r="B2299" s="12" t="s">
        <v>60</v>
      </c>
      <c r="C2299" s="12" t="s">
        <v>59</v>
      </c>
      <c r="D2299" s="12" t="s">
        <v>45</v>
      </c>
      <c r="E2299" s="16" t="n">
        <v>519.671388</v>
      </c>
      <c r="F2299" s="16" t="n">
        <v>8.919712</v>
      </c>
      <c r="G2299" s="16" t="n">
        <v>150.407096</v>
      </c>
    </row>
    <row r="2300" customFormat="false" ht="15" hidden="false" customHeight="false" outlineLevel="0" collapsed="false">
      <c r="A2300" s="7" t="n">
        <v>2022</v>
      </c>
      <c r="B2300" s="12" t="s">
        <v>61</v>
      </c>
      <c r="C2300" s="12" t="s">
        <v>62</v>
      </c>
      <c r="D2300" s="12" t="s">
        <v>49</v>
      </c>
      <c r="E2300" s="16" t="n">
        <v>53.750316</v>
      </c>
      <c r="F2300" s="16" t="n">
        <v>0</v>
      </c>
      <c r="G2300" s="16" t="n">
        <v>104.667184</v>
      </c>
    </row>
    <row r="2301" customFormat="false" ht="15" hidden="false" customHeight="false" outlineLevel="0" collapsed="false">
      <c r="A2301" s="7" t="n">
        <v>2022</v>
      </c>
      <c r="B2301" s="12" t="s">
        <v>61</v>
      </c>
      <c r="C2301" s="12" t="s">
        <v>62</v>
      </c>
      <c r="D2301" s="12" t="s">
        <v>48</v>
      </c>
      <c r="E2301" s="16" t="n">
        <v>327.507902</v>
      </c>
      <c r="F2301" s="16" t="n">
        <v>0</v>
      </c>
      <c r="G2301" s="16" t="n">
        <v>0</v>
      </c>
    </row>
    <row r="2302" customFormat="false" ht="15" hidden="false" customHeight="false" outlineLevel="0" collapsed="false">
      <c r="A2302" s="7" t="n">
        <v>2022</v>
      </c>
      <c r="B2302" s="12" t="s">
        <v>61</v>
      </c>
      <c r="C2302" s="12" t="s">
        <v>62</v>
      </c>
      <c r="D2302" s="12" t="s">
        <v>46</v>
      </c>
      <c r="E2302" s="16" t="n">
        <v>327.462535</v>
      </c>
      <c r="F2302" s="16" t="n">
        <v>0</v>
      </c>
      <c r="G2302" s="16" t="n">
        <v>298.443514</v>
      </c>
    </row>
    <row r="2303" customFormat="false" ht="15" hidden="false" customHeight="false" outlineLevel="0" collapsed="false">
      <c r="A2303" s="7" t="n">
        <v>2022</v>
      </c>
      <c r="B2303" s="12" t="s">
        <v>61</v>
      </c>
      <c r="C2303" s="12" t="s">
        <v>62</v>
      </c>
      <c r="D2303" s="12" t="s">
        <v>47</v>
      </c>
      <c r="E2303" s="16" t="n">
        <v>8.30957</v>
      </c>
      <c r="F2303" s="16" t="n">
        <v>0</v>
      </c>
      <c r="G2303" s="16" t="n">
        <v>0</v>
      </c>
    </row>
    <row r="2304" customFormat="false" ht="15" hidden="false" customHeight="false" outlineLevel="0" collapsed="false">
      <c r="A2304" s="7" t="n">
        <v>2022</v>
      </c>
      <c r="B2304" s="12" t="s">
        <v>61</v>
      </c>
      <c r="C2304" s="12" t="s">
        <v>62</v>
      </c>
      <c r="D2304" s="12" t="s">
        <v>45</v>
      </c>
      <c r="E2304" s="16" t="n">
        <v>468.499649</v>
      </c>
      <c r="F2304" s="16" t="n">
        <v>454.543216</v>
      </c>
      <c r="G2304" s="16" t="n">
        <v>0</v>
      </c>
    </row>
    <row r="2305" customFormat="false" ht="15" hidden="false" customHeight="false" outlineLevel="0" collapsed="false">
      <c r="A2305" s="7" t="n">
        <v>2022</v>
      </c>
      <c r="B2305" s="12" t="s">
        <v>63</v>
      </c>
      <c r="C2305" s="12" t="s">
        <v>62</v>
      </c>
      <c r="D2305" s="12" t="s">
        <v>49</v>
      </c>
      <c r="E2305" s="16" t="n">
        <v>313.154763</v>
      </c>
      <c r="F2305" s="16" t="n">
        <v>0</v>
      </c>
      <c r="G2305" s="16" t="n">
        <v>269.437391</v>
      </c>
    </row>
    <row r="2306" customFormat="false" ht="15" hidden="false" customHeight="false" outlineLevel="0" collapsed="false">
      <c r="A2306" s="7" t="n">
        <v>2022</v>
      </c>
      <c r="B2306" s="12" t="s">
        <v>63</v>
      </c>
      <c r="C2306" s="12" t="s">
        <v>62</v>
      </c>
      <c r="D2306" s="12" t="s">
        <v>48</v>
      </c>
      <c r="E2306" s="16" t="n">
        <v>365.045687</v>
      </c>
      <c r="F2306" s="16" t="n">
        <v>0</v>
      </c>
      <c r="G2306" s="16" t="n">
        <v>0</v>
      </c>
    </row>
    <row r="2307" customFormat="false" ht="15" hidden="false" customHeight="false" outlineLevel="0" collapsed="false">
      <c r="A2307" s="7" t="n">
        <v>2022</v>
      </c>
      <c r="B2307" s="12" t="s">
        <v>63</v>
      </c>
      <c r="C2307" s="12" t="s">
        <v>62</v>
      </c>
      <c r="D2307" s="12" t="s">
        <v>46</v>
      </c>
      <c r="E2307" s="16" t="n">
        <v>345.413168</v>
      </c>
      <c r="F2307" s="16" t="n">
        <v>0</v>
      </c>
      <c r="G2307" s="16" t="n">
        <v>462.074623</v>
      </c>
    </row>
    <row r="2308" customFormat="false" ht="15" hidden="false" customHeight="false" outlineLevel="0" collapsed="false">
      <c r="A2308" s="7" t="n">
        <v>2022</v>
      </c>
      <c r="B2308" s="12" t="s">
        <v>63</v>
      </c>
      <c r="C2308" s="12" t="s">
        <v>62</v>
      </c>
      <c r="D2308" s="12" t="s">
        <v>47</v>
      </c>
      <c r="E2308" s="16" t="n">
        <v>8.682134</v>
      </c>
      <c r="F2308" s="16" t="n">
        <v>0</v>
      </c>
      <c r="G2308" s="16" t="n">
        <v>0</v>
      </c>
    </row>
    <row r="2309" customFormat="false" ht="15" hidden="false" customHeight="false" outlineLevel="0" collapsed="false">
      <c r="A2309" s="7" t="n">
        <v>2022</v>
      </c>
      <c r="B2309" s="12" t="s">
        <v>63</v>
      </c>
      <c r="C2309" s="12" t="s">
        <v>62</v>
      </c>
      <c r="D2309" s="12" t="s">
        <v>45</v>
      </c>
      <c r="E2309" s="16" t="n">
        <v>402.08884</v>
      </c>
      <c r="F2309" s="16" t="n">
        <v>381.964494</v>
      </c>
      <c r="G2309" s="16" t="n">
        <v>1.934095</v>
      </c>
    </row>
    <row r="2310" customFormat="false" ht="15" hidden="false" customHeight="false" outlineLevel="0" collapsed="false">
      <c r="A2310" s="7" t="n">
        <v>2022</v>
      </c>
      <c r="B2310" s="12" t="s">
        <v>64</v>
      </c>
      <c r="C2310" s="12" t="s">
        <v>65</v>
      </c>
      <c r="D2310" s="12" t="s">
        <v>49</v>
      </c>
      <c r="E2310" s="16" t="n">
        <v>151.415833</v>
      </c>
      <c r="F2310" s="16" t="n">
        <v>0</v>
      </c>
      <c r="G2310" s="16" t="n">
        <v>39.571828</v>
      </c>
    </row>
    <row r="2311" customFormat="false" ht="15" hidden="false" customHeight="false" outlineLevel="0" collapsed="false">
      <c r="A2311" s="7" t="n">
        <v>2022</v>
      </c>
      <c r="B2311" s="12" t="s">
        <v>64</v>
      </c>
      <c r="C2311" s="12" t="s">
        <v>65</v>
      </c>
      <c r="D2311" s="12" t="s">
        <v>48</v>
      </c>
      <c r="E2311" s="16" t="n">
        <v>29.441788</v>
      </c>
      <c r="F2311" s="16" t="n">
        <v>0</v>
      </c>
      <c r="G2311" s="16" t="n">
        <v>0</v>
      </c>
    </row>
    <row r="2312" customFormat="false" ht="15" hidden="false" customHeight="false" outlineLevel="0" collapsed="false">
      <c r="A2312" s="7" t="n">
        <v>2022</v>
      </c>
      <c r="B2312" s="12" t="s">
        <v>64</v>
      </c>
      <c r="C2312" s="12" t="s">
        <v>65</v>
      </c>
      <c r="D2312" s="12" t="s">
        <v>46</v>
      </c>
      <c r="E2312" s="16" t="n">
        <v>122.09781</v>
      </c>
      <c r="F2312" s="16" t="n">
        <v>0</v>
      </c>
      <c r="G2312" s="16" t="n">
        <v>96.20628</v>
      </c>
    </row>
    <row r="2313" customFormat="false" ht="15" hidden="false" customHeight="false" outlineLevel="0" collapsed="false">
      <c r="A2313" s="7" t="n">
        <v>2022</v>
      </c>
      <c r="B2313" s="12" t="s">
        <v>64</v>
      </c>
      <c r="C2313" s="12" t="s">
        <v>65</v>
      </c>
      <c r="D2313" s="12" t="s">
        <v>47</v>
      </c>
      <c r="E2313" s="16" t="n">
        <v>5.135085</v>
      </c>
      <c r="F2313" s="16" t="n">
        <v>0</v>
      </c>
      <c r="G2313" s="16" t="n">
        <v>0</v>
      </c>
    </row>
    <row r="2314" customFormat="false" ht="15" hidden="false" customHeight="false" outlineLevel="0" collapsed="false">
      <c r="A2314" s="7" t="n">
        <v>2022</v>
      </c>
      <c r="B2314" s="12" t="s">
        <v>64</v>
      </c>
      <c r="C2314" s="12" t="s">
        <v>65</v>
      </c>
      <c r="D2314" s="12" t="s">
        <v>45</v>
      </c>
      <c r="E2314" s="16" t="n">
        <v>104.849752</v>
      </c>
      <c r="F2314" s="16" t="n">
        <v>67.863684</v>
      </c>
      <c r="G2314" s="16" t="n">
        <v>44.50918</v>
      </c>
    </row>
    <row r="2315" customFormat="false" ht="15" hidden="false" customHeight="false" outlineLevel="0" collapsed="false">
      <c r="A2315" s="7" t="n">
        <v>2022</v>
      </c>
      <c r="B2315" s="12" t="s">
        <v>66</v>
      </c>
      <c r="C2315" s="12" t="s">
        <v>67</v>
      </c>
      <c r="D2315" s="12" t="s">
        <v>49</v>
      </c>
      <c r="E2315" s="16" t="n">
        <v>97.738821</v>
      </c>
      <c r="F2315" s="16" t="n">
        <v>0</v>
      </c>
      <c r="G2315" s="16" t="n">
        <v>57.01562</v>
      </c>
    </row>
    <row r="2316" customFormat="false" ht="15" hidden="false" customHeight="false" outlineLevel="0" collapsed="false">
      <c r="A2316" s="7" t="n">
        <v>2022</v>
      </c>
      <c r="B2316" s="12" t="s">
        <v>66</v>
      </c>
      <c r="C2316" s="12" t="s">
        <v>67</v>
      </c>
      <c r="D2316" s="12" t="s">
        <v>48</v>
      </c>
      <c r="E2316" s="16" t="n">
        <v>23.982798</v>
      </c>
      <c r="F2316" s="16" t="n">
        <v>0</v>
      </c>
      <c r="G2316" s="16" t="n">
        <v>0</v>
      </c>
    </row>
    <row r="2317" customFormat="false" ht="15" hidden="false" customHeight="false" outlineLevel="0" collapsed="false">
      <c r="A2317" s="7" t="n">
        <v>2022</v>
      </c>
      <c r="B2317" s="12" t="s">
        <v>66</v>
      </c>
      <c r="C2317" s="12" t="s">
        <v>67</v>
      </c>
      <c r="D2317" s="12" t="s">
        <v>46</v>
      </c>
      <c r="E2317" s="16" t="n">
        <v>85.296835</v>
      </c>
      <c r="F2317" s="16" t="n">
        <v>0</v>
      </c>
      <c r="G2317" s="16" t="n">
        <v>92.062621</v>
      </c>
    </row>
    <row r="2318" customFormat="false" ht="15" hidden="false" customHeight="false" outlineLevel="0" collapsed="false">
      <c r="A2318" s="7" t="n">
        <v>2022</v>
      </c>
      <c r="B2318" s="12" t="s">
        <v>66</v>
      </c>
      <c r="C2318" s="12" t="s">
        <v>67</v>
      </c>
      <c r="D2318" s="12" t="s">
        <v>47</v>
      </c>
      <c r="E2318" s="16" t="n">
        <v>4.361546</v>
      </c>
      <c r="F2318" s="16" t="n">
        <v>0</v>
      </c>
      <c r="G2318" s="16" t="n">
        <v>0</v>
      </c>
    </row>
    <row r="2319" customFormat="false" ht="15" hidden="false" customHeight="false" outlineLevel="0" collapsed="false">
      <c r="A2319" s="7" t="n">
        <v>2022</v>
      </c>
      <c r="B2319" s="12" t="s">
        <v>66</v>
      </c>
      <c r="C2319" s="12" t="s">
        <v>67</v>
      </c>
      <c r="D2319" s="12" t="s">
        <v>45</v>
      </c>
      <c r="E2319" s="16" t="n">
        <v>258.163125</v>
      </c>
      <c r="F2319" s="16" t="n">
        <v>228.618743</v>
      </c>
      <c r="G2319" s="16" t="n">
        <v>46.071134</v>
      </c>
    </row>
    <row r="2320" customFormat="false" ht="15" hidden="false" customHeight="false" outlineLevel="0" collapsed="false">
      <c r="A2320" s="7" t="n">
        <v>2022</v>
      </c>
      <c r="B2320" s="12" t="s">
        <v>68</v>
      </c>
      <c r="C2320" s="12" t="s">
        <v>65</v>
      </c>
      <c r="D2320" s="12" t="s">
        <v>49</v>
      </c>
      <c r="E2320" s="16" t="n">
        <v>135.44673</v>
      </c>
      <c r="F2320" s="16" t="n">
        <v>0</v>
      </c>
      <c r="G2320" s="16" t="n">
        <v>35.554779</v>
      </c>
    </row>
    <row r="2321" customFormat="false" ht="15" hidden="false" customHeight="false" outlineLevel="0" collapsed="false">
      <c r="A2321" s="7" t="n">
        <v>2022</v>
      </c>
      <c r="B2321" s="12" t="s">
        <v>68</v>
      </c>
      <c r="C2321" s="12" t="s">
        <v>65</v>
      </c>
      <c r="D2321" s="12" t="s">
        <v>48</v>
      </c>
      <c r="E2321" s="16" t="n">
        <v>26.804302</v>
      </c>
      <c r="F2321" s="16" t="n">
        <v>0</v>
      </c>
      <c r="G2321" s="16" t="n">
        <v>0</v>
      </c>
    </row>
    <row r="2322" customFormat="false" ht="15" hidden="false" customHeight="false" outlineLevel="0" collapsed="false">
      <c r="A2322" s="7" t="n">
        <v>2022</v>
      </c>
      <c r="B2322" s="12" t="s">
        <v>68</v>
      </c>
      <c r="C2322" s="12" t="s">
        <v>65</v>
      </c>
      <c r="D2322" s="12" t="s">
        <v>46</v>
      </c>
      <c r="E2322" s="16" t="n">
        <v>93.054174</v>
      </c>
      <c r="F2322" s="16" t="n">
        <v>0</v>
      </c>
      <c r="G2322" s="16" t="n">
        <v>53.124211</v>
      </c>
    </row>
    <row r="2323" customFormat="false" ht="15" hidden="false" customHeight="false" outlineLevel="0" collapsed="false">
      <c r="A2323" s="7" t="n">
        <v>2022</v>
      </c>
      <c r="B2323" s="12" t="s">
        <v>68</v>
      </c>
      <c r="C2323" s="12" t="s">
        <v>65</v>
      </c>
      <c r="D2323" s="12" t="s">
        <v>47</v>
      </c>
      <c r="E2323" s="16" t="n">
        <v>5.583494</v>
      </c>
      <c r="F2323" s="16" t="n">
        <v>0</v>
      </c>
      <c r="G2323" s="16" t="n">
        <v>0</v>
      </c>
    </row>
    <row r="2324" customFormat="false" ht="15" hidden="false" customHeight="false" outlineLevel="0" collapsed="false">
      <c r="A2324" s="7" t="n">
        <v>2022</v>
      </c>
      <c r="B2324" s="12" t="s">
        <v>68</v>
      </c>
      <c r="C2324" s="12" t="s">
        <v>65</v>
      </c>
      <c r="D2324" s="12" t="s">
        <v>45</v>
      </c>
      <c r="E2324" s="16" t="n">
        <v>45.16066</v>
      </c>
      <c r="F2324" s="16" t="n">
        <v>9.488911</v>
      </c>
      <c r="G2324" s="16" t="n">
        <v>10.632673</v>
      </c>
    </row>
    <row r="2325" customFormat="false" ht="15" hidden="false" customHeight="false" outlineLevel="0" collapsed="false">
      <c r="A2325" s="7" t="n">
        <v>2022</v>
      </c>
      <c r="B2325" s="12" t="s">
        <v>69</v>
      </c>
      <c r="C2325" s="12" t="s">
        <v>70</v>
      </c>
      <c r="D2325" s="12" t="s">
        <v>49</v>
      </c>
      <c r="E2325" s="16" t="n">
        <v>115.171781</v>
      </c>
      <c r="F2325" s="16" t="n">
        <v>0</v>
      </c>
      <c r="G2325" s="16" t="n">
        <v>49.263575</v>
      </c>
    </row>
    <row r="2326" customFormat="false" ht="15" hidden="false" customHeight="false" outlineLevel="0" collapsed="false">
      <c r="A2326" s="7" t="n">
        <v>2022</v>
      </c>
      <c r="B2326" s="12" t="s">
        <v>69</v>
      </c>
      <c r="C2326" s="12" t="s">
        <v>70</v>
      </c>
      <c r="D2326" s="12" t="s">
        <v>48</v>
      </c>
      <c r="E2326" s="16" t="n">
        <v>39.645508</v>
      </c>
      <c r="F2326" s="16" t="n">
        <v>0</v>
      </c>
      <c r="G2326" s="16" t="n">
        <v>0</v>
      </c>
    </row>
    <row r="2327" customFormat="false" ht="15" hidden="false" customHeight="false" outlineLevel="0" collapsed="false">
      <c r="A2327" s="7" t="n">
        <v>2022</v>
      </c>
      <c r="B2327" s="12" t="s">
        <v>69</v>
      </c>
      <c r="C2327" s="12" t="s">
        <v>70</v>
      </c>
      <c r="D2327" s="12" t="s">
        <v>46</v>
      </c>
      <c r="E2327" s="16" t="n">
        <v>40.310007</v>
      </c>
      <c r="F2327" s="16" t="n">
        <v>0</v>
      </c>
      <c r="G2327" s="16" t="n">
        <v>101.581837</v>
      </c>
    </row>
    <row r="2328" customFormat="false" ht="15" hidden="false" customHeight="false" outlineLevel="0" collapsed="false">
      <c r="A2328" s="7" t="n">
        <v>2022</v>
      </c>
      <c r="B2328" s="12" t="s">
        <v>69</v>
      </c>
      <c r="C2328" s="12" t="s">
        <v>70</v>
      </c>
      <c r="D2328" s="12" t="s">
        <v>47</v>
      </c>
      <c r="E2328" s="16" t="n">
        <v>3.58875</v>
      </c>
      <c r="F2328" s="16" t="n">
        <v>0</v>
      </c>
      <c r="G2328" s="16" t="n">
        <v>0</v>
      </c>
    </row>
    <row r="2329" customFormat="false" ht="15" hidden="false" customHeight="false" outlineLevel="0" collapsed="false">
      <c r="A2329" s="7" t="n">
        <v>2022</v>
      </c>
      <c r="B2329" s="12" t="s">
        <v>69</v>
      </c>
      <c r="C2329" s="12" t="s">
        <v>70</v>
      </c>
      <c r="D2329" s="12" t="s">
        <v>45</v>
      </c>
      <c r="E2329" s="16" t="n">
        <v>409.834306</v>
      </c>
      <c r="F2329" s="16" t="n">
        <v>406.961418</v>
      </c>
      <c r="G2329" s="16" t="n">
        <v>0</v>
      </c>
    </row>
    <row r="2330" customFormat="false" ht="15" hidden="false" customHeight="false" outlineLevel="0" collapsed="false">
      <c r="A2330" s="7" t="n">
        <v>2022</v>
      </c>
      <c r="B2330" s="12" t="s">
        <v>71</v>
      </c>
      <c r="C2330" s="12" t="s">
        <v>72</v>
      </c>
      <c r="D2330" s="12" t="s">
        <v>49</v>
      </c>
      <c r="E2330" s="16" t="n">
        <v>33.517203</v>
      </c>
      <c r="F2330" s="16" t="n">
        <v>0</v>
      </c>
      <c r="G2330" s="16" t="n">
        <v>10.674296</v>
      </c>
    </row>
    <row r="2331" customFormat="false" ht="15" hidden="false" customHeight="false" outlineLevel="0" collapsed="false">
      <c r="A2331" s="7" t="n">
        <v>2022</v>
      </c>
      <c r="B2331" s="12" t="s">
        <v>71</v>
      </c>
      <c r="C2331" s="12" t="s">
        <v>72</v>
      </c>
      <c r="D2331" s="12" t="s">
        <v>48</v>
      </c>
      <c r="E2331" s="16" t="n">
        <v>19.830029</v>
      </c>
      <c r="F2331" s="16" t="n">
        <v>0</v>
      </c>
      <c r="G2331" s="16" t="n">
        <v>0</v>
      </c>
    </row>
    <row r="2332" customFormat="false" ht="15" hidden="false" customHeight="false" outlineLevel="0" collapsed="false">
      <c r="A2332" s="7" t="n">
        <v>2022</v>
      </c>
      <c r="B2332" s="12" t="s">
        <v>71</v>
      </c>
      <c r="C2332" s="12" t="s">
        <v>72</v>
      </c>
      <c r="D2332" s="12" t="s">
        <v>46</v>
      </c>
      <c r="E2332" s="16" t="n">
        <v>15.671953</v>
      </c>
      <c r="F2332" s="16" t="n">
        <v>0</v>
      </c>
      <c r="G2332" s="16" t="n">
        <v>17.19472</v>
      </c>
    </row>
    <row r="2333" customFormat="false" ht="15" hidden="false" customHeight="false" outlineLevel="0" collapsed="false">
      <c r="A2333" s="7" t="n">
        <v>2022</v>
      </c>
      <c r="B2333" s="12" t="s">
        <v>71</v>
      </c>
      <c r="C2333" s="12" t="s">
        <v>72</v>
      </c>
      <c r="D2333" s="12" t="s">
        <v>47</v>
      </c>
      <c r="E2333" s="16" t="n">
        <v>0.631128</v>
      </c>
      <c r="F2333" s="16" t="n">
        <v>0</v>
      </c>
      <c r="G2333" s="16" t="n">
        <v>0</v>
      </c>
    </row>
    <row r="2334" customFormat="false" ht="15" hidden="false" customHeight="false" outlineLevel="0" collapsed="false">
      <c r="A2334" s="7" t="n">
        <v>2022</v>
      </c>
      <c r="B2334" s="12" t="s">
        <v>71</v>
      </c>
      <c r="C2334" s="12" t="s">
        <v>72</v>
      </c>
      <c r="D2334" s="12" t="s">
        <v>45</v>
      </c>
      <c r="E2334" s="16" t="n">
        <v>42.856155</v>
      </c>
      <c r="F2334" s="16" t="n">
        <v>42.853867</v>
      </c>
      <c r="G2334" s="16" t="n">
        <v>0</v>
      </c>
    </row>
    <row r="2335" customFormat="false" ht="15" hidden="false" customHeight="false" outlineLevel="0" collapsed="false">
      <c r="A2335" s="7" t="n">
        <v>2022</v>
      </c>
      <c r="B2335" s="12" t="s">
        <v>73</v>
      </c>
      <c r="C2335" s="12" t="s">
        <v>70</v>
      </c>
      <c r="D2335" s="12" t="s">
        <v>49</v>
      </c>
      <c r="E2335" s="16" t="n">
        <v>54.627032</v>
      </c>
      <c r="F2335" s="16" t="n">
        <v>0</v>
      </c>
      <c r="G2335" s="16" t="n">
        <v>62.781122</v>
      </c>
    </row>
    <row r="2336" customFormat="false" ht="15" hidden="false" customHeight="false" outlineLevel="0" collapsed="false">
      <c r="A2336" s="7" t="n">
        <v>2022</v>
      </c>
      <c r="B2336" s="12" t="s">
        <v>73</v>
      </c>
      <c r="C2336" s="12" t="s">
        <v>70</v>
      </c>
      <c r="D2336" s="12" t="s">
        <v>48</v>
      </c>
      <c r="E2336" s="16" t="n">
        <v>73.455229</v>
      </c>
      <c r="F2336" s="16" t="n">
        <v>0</v>
      </c>
      <c r="G2336" s="16" t="n">
        <v>0</v>
      </c>
    </row>
    <row r="2337" customFormat="false" ht="15" hidden="false" customHeight="false" outlineLevel="0" collapsed="false">
      <c r="A2337" s="7" t="n">
        <v>2022</v>
      </c>
      <c r="B2337" s="12" t="s">
        <v>73</v>
      </c>
      <c r="C2337" s="12" t="s">
        <v>70</v>
      </c>
      <c r="D2337" s="12" t="s">
        <v>46</v>
      </c>
      <c r="E2337" s="16" t="n">
        <v>96.476463</v>
      </c>
      <c r="F2337" s="16" t="n">
        <v>0</v>
      </c>
      <c r="G2337" s="16" t="n">
        <v>89.991555</v>
      </c>
    </row>
    <row r="2338" customFormat="false" ht="15" hidden="false" customHeight="false" outlineLevel="0" collapsed="false">
      <c r="A2338" s="7" t="n">
        <v>2022</v>
      </c>
      <c r="B2338" s="12" t="s">
        <v>73</v>
      </c>
      <c r="C2338" s="12" t="s">
        <v>70</v>
      </c>
      <c r="D2338" s="12" t="s">
        <v>47</v>
      </c>
      <c r="E2338" s="16" t="n">
        <v>7.497003</v>
      </c>
      <c r="F2338" s="16" t="n">
        <v>0</v>
      </c>
      <c r="G2338" s="16" t="n">
        <v>0</v>
      </c>
    </row>
    <row r="2339" customFormat="false" ht="15" hidden="false" customHeight="false" outlineLevel="0" collapsed="false">
      <c r="A2339" s="7" t="n">
        <v>2022</v>
      </c>
      <c r="B2339" s="12" t="s">
        <v>73</v>
      </c>
      <c r="C2339" s="12" t="s">
        <v>70</v>
      </c>
      <c r="D2339" s="12" t="s">
        <v>45</v>
      </c>
      <c r="E2339" s="16" t="n">
        <v>100.384615</v>
      </c>
      <c r="F2339" s="16" t="n">
        <v>75.564154</v>
      </c>
      <c r="G2339" s="16" t="n">
        <v>47.608627</v>
      </c>
    </row>
    <row r="2340" customFormat="false" ht="15" hidden="false" customHeight="false" outlineLevel="0" collapsed="false">
      <c r="A2340" s="7" t="n">
        <v>2022</v>
      </c>
      <c r="B2340" s="12" t="s">
        <v>74</v>
      </c>
      <c r="C2340" s="12" t="s">
        <v>65</v>
      </c>
      <c r="D2340" s="12" t="s">
        <v>49</v>
      </c>
      <c r="E2340" s="16" t="n">
        <v>196.33974</v>
      </c>
      <c r="F2340" s="16" t="n">
        <v>0</v>
      </c>
      <c r="G2340" s="16" t="n">
        <v>27.001438</v>
      </c>
    </row>
    <row r="2341" customFormat="false" ht="15" hidden="false" customHeight="false" outlineLevel="0" collapsed="false">
      <c r="A2341" s="7" t="n">
        <v>2022</v>
      </c>
      <c r="B2341" s="12" t="s">
        <v>74</v>
      </c>
      <c r="C2341" s="12" t="s">
        <v>65</v>
      </c>
      <c r="D2341" s="12" t="s">
        <v>48</v>
      </c>
      <c r="E2341" s="16" t="n">
        <v>18.97879</v>
      </c>
      <c r="F2341" s="16" t="n">
        <v>0</v>
      </c>
      <c r="G2341" s="16" t="n">
        <v>0</v>
      </c>
    </row>
    <row r="2342" customFormat="false" ht="15" hidden="false" customHeight="false" outlineLevel="0" collapsed="false">
      <c r="A2342" s="7" t="n">
        <v>2022</v>
      </c>
      <c r="B2342" s="12" t="s">
        <v>74</v>
      </c>
      <c r="C2342" s="12" t="s">
        <v>65</v>
      </c>
      <c r="D2342" s="12" t="s">
        <v>46</v>
      </c>
      <c r="E2342" s="16" t="n">
        <v>65.439226</v>
      </c>
      <c r="F2342" s="16" t="n">
        <v>0</v>
      </c>
      <c r="G2342" s="16" t="n">
        <v>82.535517</v>
      </c>
    </row>
    <row r="2343" customFormat="false" ht="15" hidden="false" customHeight="false" outlineLevel="0" collapsed="false">
      <c r="A2343" s="7" t="n">
        <v>2022</v>
      </c>
      <c r="B2343" s="12" t="s">
        <v>74</v>
      </c>
      <c r="C2343" s="12" t="s">
        <v>65</v>
      </c>
      <c r="D2343" s="12" t="s">
        <v>47</v>
      </c>
      <c r="E2343" s="16" t="n">
        <v>5.331215</v>
      </c>
      <c r="F2343" s="16" t="n">
        <v>0</v>
      </c>
      <c r="G2343" s="16" t="n">
        <v>0</v>
      </c>
    </row>
    <row r="2344" customFormat="false" ht="15" hidden="false" customHeight="false" outlineLevel="0" collapsed="false">
      <c r="A2344" s="7" t="n">
        <v>2022</v>
      </c>
      <c r="B2344" s="12" t="s">
        <v>74</v>
      </c>
      <c r="C2344" s="12" t="s">
        <v>65</v>
      </c>
      <c r="D2344" s="12" t="s">
        <v>45</v>
      </c>
      <c r="E2344" s="16" t="n">
        <v>55.24277</v>
      </c>
      <c r="F2344" s="16" t="n">
        <v>0</v>
      </c>
      <c r="G2344" s="16" t="n">
        <v>51.132606</v>
      </c>
    </row>
    <row r="2345" customFormat="false" ht="15" hidden="false" customHeight="false" outlineLevel="0" collapsed="false">
      <c r="A2345" s="7" t="n">
        <v>2022</v>
      </c>
      <c r="B2345" s="12" t="s">
        <v>75</v>
      </c>
      <c r="C2345" s="12" t="s">
        <v>57</v>
      </c>
      <c r="D2345" s="12" t="s">
        <v>49</v>
      </c>
      <c r="E2345" s="16" t="n">
        <v>289.200391</v>
      </c>
      <c r="F2345" s="16" t="n">
        <v>0</v>
      </c>
      <c r="G2345" s="16" t="n">
        <v>162.016482</v>
      </c>
    </row>
    <row r="2346" customFormat="false" ht="15" hidden="false" customHeight="false" outlineLevel="0" collapsed="false">
      <c r="A2346" s="7" t="n">
        <v>2022</v>
      </c>
      <c r="B2346" s="12" t="s">
        <v>75</v>
      </c>
      <c r="C2346" s="12" t="s">
        <v>57</v>
      </c>
      <c r="D2346" s="12" t="s">
        <v>48</v>
      </c>
      <c r="E2346" s="16" t="n">
        <v>211.507454</v>
      </c>
      <c r="F2346" s="16" t="n">
        <v>0</v>
      </c>
      <c r="G2346" s="16" t="n">
        <v>0</v>
      </c>
    </row>
    <row r="2347" customFormat="false" ht="15" hidden="false" customHeight="false" outlineLevel="0" collapsed="false">
      <c r="A2347" s="7" t="n">
        <v>2022</v>
      </c>
      <c r="B2347" s="12" t="s">
        <v>75</v>
      </c>
      <c r="C2347" s="12" t="s">
        <v>57</v>
      </c>
      <c r="D2347" s="12" t="s">
        <v>46</v>
      </c>
      <c r="E2347" s="16" t="n">
        <v>114.48265</v>
      </c>
      <c r="F2347" s="16" t="n">
        <v>0</v>
      </c>
      <c r="G2347" s="16" t="n">
        <v>140.040844</v>
      </c>
    </row>
    <row r="2348" customFormat="false" ht="15" hidden="false" customHeight="false" outlineLevel="0" collapsed="false">
      <c r="A2348" s="7" t="n">
        <v>2022</v>
      </c>
      <c r="B2348" s="12" t="s">
        <v>75</v>
      </c>
      <c r="C2348" s="12" t="s">
        <v>57</v>
      </c>
      <c r="D2348" s="12" t="s">
        <v>47</v>
      </c>
      <c r="E2348" s="16" t="n">
        <v>10.701205</v>
      </c>
      <c r="F2348" s="16" t="n">
        <v>0</v>
      </c>
      <c r="G2348" s="16" t="n">
        <v>0</v>
      </c>
    </row>
    <row r="2349" customFormat="false" ht="15" hidden="false" customHeight="false" outlineLevel="0" collapsed="false">
      <c r="A2349" s="7" t="n">
        <v>2022</v>
      </c>
      <c r="B2349" s="12" t="s">
        <v>75</v>
      </c>
      <c r="C2349" s="12" t="s">
        <v>57</v>
      </c>
      <c r="D2349" s="12" t="s">
        <v>45</v>
      </c>
      <c r="E2349" s="16" t="n">
        <v>421.221145</v>
      </c>
      <c r="F2349" s="16" t="n">
        <v>368.86229</v>
      </c>
      <c r="G2349" s="16" t="n">
        <v>81.869473</v>
      </c>
    </row>
    <row r="2350" customFormat="false" ht="15" hidden="false" customHeight="false" outlineLevel="0" collapsed="false">
      <c r="A2350" s="7" t="n">
        <v>2022</v>
      </c>
      <c r="B2350" s="12" t="s">
        <v>76</v>
      </c>
      <c r="C2350" s="12" t="s">
        <v>72</v>
      </c>
      <c r="D2350" s="12" t="s">
        <v>49</v>
      </c>
      <c r="E2350" s="16" t="n">
        <v>50.449437</v>
      </c>
      <c r="F2350" s="16" t="n">
        <v>0</v>
      </c>
      <c r="G2350" s="16" t="n">
        <v>25.416158</v>
      </c>
    </row>
    <row r="2351" customFormat="false" ht="15" hidden="false" customHeight="false" outlineLevel="0" collapsed="false">
      <c r="A2351" s="7" t="n">
        <v>2022</v>
      </c>
      <c r="B2351" s="12" t="s">
        <v>76</v>
      </c>
      <c r="C2351" s="12" t="s">
        <v>72</v>
      </c>
      <c r="D2351" s="12" t="s">
        <v>48</v>
      </c>
      <c r="E2351" s="16" t="n">
        <v>25.306542</v>
      </c>
      <c r="F2351" s="16" t="n">
        <v>0</v>
      </c>
      <c r="G2351" s="16" t="n">
        <v>0</v>
      </c>
    </row>
    <row r="2352" customFormat="false" ht="15" hidden="false" customHeight="false" outlineLevel="0" collapsed="false">
      <c r="A2352" s="7" t="n">
        <v>2022</v>
      </c>
      <c r="B2352" s="12" t="s">
        <v>76</v>
      </c>
      <c r="C2352" s="12" t="s">
        <v>72</v>
      </c>
      <c r="D2352" s="12" t="s">
        <v>46</v>
      </c>
      <c r="E2352" s="16" t="n">
        <v>29.251678</v>
      </c>
      <c r="F2352" s="16" t="n">
        <v>0</v>
      </c>
      <c r="G2352" s="16" t="n">
        <v>38.469419</v>
      </c>
    </row>
    <row r="2353" customFormat="false" ht="15" hidden="false" customHeight="false" outlineLevel="0" collapsed="false">
      <c r="A2353" s="7" t="n">
        <v>2022</v>
      </c>
      <c r="B2353" s="12" t="s">
        <v>76</v>
      </c>
      <c r="C2353" s="12" t="s">
        <v>72</v>
      </c>
      <c r="D2353" s="12" t="s">
        <v>45</v>
      </c>
      <c r="E2353" s="16" t="n">
        <v>75.555501</v>
      </c>
      <c r="F2353" s="16" t="n">
        <v>61.002657</v>
      </c>
      <c r="G2353" s="16" t="n">
        <v>43.955423</v>
      </c>
    </row>
    <row r="2354" customFormat="false" ht="15" hidden="false" customHeight="false" outlineLevel="0" collapsed="false">
      <c r="A2354" s="7" t="n">
        <v>2022</v>
      </c>
      <c r="B2354" s="12" t="s">
        <v>77</v>
      </c>
      <c r="C2354" s="12" t="s">
        <v>57</v>
      </c>
      <c r="D2354" s="12" t="s">
        <v>49</v>
      </c>
      <c r="E2354" s="16" t="n">
        <v>57.609453</v>
      </c>
      <c r="F2354" s="16" t="n">
        <v>0</v>
      </c>
      <c r="G2354" s="16" t="n">
        <v>6.819444</v>
      </c>
    </row>
    <row r="2355" customFormat="false" ht="15" hidden="false" customHeight="false" outlineLevel="0" collapsed="false">
      <c r="A2355" s="7" t="n">
        <v>2022</v>
      </c>
      <c r="B2355" s="12" t="s">
        <v>77</v>
      </c>
      <c r="C2355" s="12" t="s">
        <v>57</v>
      </c>
      <c r="D2355" s="12" t="s">
        <v>48</v>
      </c>
      <c r="E2355" s="16" t="n">
        <v>25.484847</v>
      </c>
      <c r="F2355" s="16" t="n">
        <v>0</v>
      </c>
      <c r="G2355" s="16" t="n">
        <v>0</v>
      </c>
    </row>
    <row r="2356" customFormat="false" ht="15" hidden="false" customHeight="false" outlineLevel="0" collapsed="false">
      <c r="A2356" s="7" t="n">
        <v>2022</v>
      </c>
      <c r="B2356" s="12" t="s">
        <v>77</v>
      </c>
      <c r="C2356" s="12" t="s">
        <v>57</v>
      </c>
      <c r="D2356" s="12" t="s">
        <v>46</v>
      </c>
      <c r="E2356" s="16" t="n">
        <v>17.303697</v>
      </c>
      <c r="F2356" s="16" t="n">
        <v>0</v>
      </c>
      <c r="G2356" s="16" t="n">
        <v>13.81423</v>
      </c>
    </row>
    <row r="2357" customFormat="false" ht="15" hidden="false" customHeight="false" outlineLevel="0" collapsed="false">
      <c r="A2357" s="7" t="n">
        <v>2022</v>
      </c>
      <c r="B2357" s="12" t="s">
        <v>77</v>
      </c>
      <c r="C2357" s="12" t="s">
        <v>57</v>
      </c>
      <c r="D2357" s="12" t="s">
        <v>47</v>
      </c>
      <c r="E2357" s="16" t="n">
        <v>1.047409</v>
      </c>
      <c r="F2357" s="16" t="n">
        <v>0</v>
      </c>
      <c r="G2357" s="16" t="n">
        <v>0</v>
      </c>
    </row>
    <row r="2358" customFormat="false" ht="15" hidden="false" customHeight="false" outlineLevel="0" collapsed="false">
      <c r="A2358" s="7" t="n">
        <v>2022</v>
      </c>
      <c r="B2358" s="12" t="s">
        <v>77</v>
      </c>
      <c r="C2358" s="12" t="s">
        <v>57</v>
      </c>
      <c r="D2358" s="12" t="s">
        <v>45</v>
      </c>
      <c r="E2358" s="16" t="n">
        <v>36.442609</v>
      </c>
      <c r="F2358" s="16" t="n">
        <v>23.764287</v>
      </c>
      <c r="G2358" s="16" t="n">
        <v>11.835967</v>
      </c>
    </row>
    <row r="2359" customFormat="false" ht="15" hidden="false" customHeight="false" outlineLevel="0" collapsed="false">
      <c r="A2359" s="7" t="n">
        <v>2022</v>
      </c>
      <c r="B2359" s="12" t="s">
        <v>78</v>
      </c>
      <c r="C2359" s="12" t="s">
        <v>65</v>
      </c>
      <c r="D2359" s="12" t="s">
        <v>49</v>
      </c>
      <c r="E2359" s="16" t="n">
        <v>46.676722</v>
      </c>
      <c r="F2359" s="16" t="n">
        <v>0</v>
      </c>
      <c r="G2359" s="16" t="n">
        <v>14.95787</v>
      </c>
    </row>
    <row r="2360" customFormat="false" ht="15" hidden="false" customHeight="false" outlineLevel="0" collapsed="false">
      <c r="A2360" s="7" t="n">
        <v>2022</v>
      </c>
      <c r="B2360" s="12" t="s">
        <v>78</v>
      </c>
      <c r="C2360" s="12" t="s">
        <v>65</v>
      </c>
      <c r="D2360" s="12" t="s">
        <v>48</v>
      </c>
      <c r="E2360" s="16" t="n">
        <v>13.264831</v>
      </c>
      <c r="F2360" s="16" t="n">
        <v>0</v>
      </c>
      <c r="G2360" s="16" t="n">
        <v>0</v>
      </c>
    </row>
    <row r="2361" customFormat="false" ht="15" hidden="false" customHeight="false" outlineLevel="0" collapsed="false">
      <c r="A2361" s="7" t="n">
        <v>2022</v>
      </c>
      <c r="B2361" s="12" t="s">
        <v>78</v>
      </c>
      <c r="C2361" s="12" t="s">
        <v>65</v>
      </c>
      <c r="D2361" s="12" t="s">
        <v>46</v>
      </c>
      <c r="E2361" s="16" t="n">
        <v>21.355155</v>
      </c>
      <c r="F2361" s="16" t="n">
        <v>0</v>
      </c>
      <c r="G2361" s="16" t="n">
        <v>28.036509</v>
      </c>
    </row>
    <row r="2362" customFormat="false" ht="15" hidden="false" customHeight="false" outlineLevel="0" collapsed="false">
      <c r="A2362" s="7" t="n">
        <v>2022</v>
      </c>
      <c r="B2362" s="12" t="s">
        <v>78</v>
      </c>
      <c r="C2362" s="12" t="s">
        <v>65</v>
      </c>
      <c r="D2362" s="12" t="s">
        <v>47</v>
      </c>
      <c r="E2362" s="16" t="n">
        <v>0</v>
      </c>
      <c r="F2362" s="16" t="n">
        <v>0</v>
      </c>
      <c r="G2362" s="16" t="n">
        <v>0</v>
      </c>
    </row>
    <row r="2363" customFormat="false" ht="15" hidden="false" customHeight="false" outlineLevel="0" collapsed="false">
      <c r="A2363" s="7" t="n">
        <v>2022</v>
      </c>
      <c r="B2363" s="12" t="s">
        <v>78</v>
      </c>
      <c r="C2363" s="12" t="s">
        <v>65</v>
      </c>
      <c r="D2363" s="12" t="s">
        <v>45</v>
      </c>
      <c r="E2363" s="16" t="n">
        <v>21.466946</v>
      </c>
      <c r="F2363" s="16" t="n">
        <v>0</v>
      </c>
      <c r="G2363" s="16" t="n">
        <v>11.768075</v>
      </c>
    </row>
    <row r="2364" customFormat="false" ht="15" hidden="false" customHeight="false" outlineLevel="0" collapsed="false">
      <c r="A2364" s="7" t="n">
        <v>2022</v>
      </c>
      <c r="B2364" s="12" t="s">
        <v>79</v>
      </c>
      <c r="C2364" s="12" t="s">
        <v>72</v>
      </c>
      <c r="D2364" s="12" t="s">
        <v>49</v>
      </c>
      <c r="E2364" s="16" t="n">
        <v>75.208783</v>
      </c>
      <c r="F2364" s="16" t="n">
        <v>0</v>
      </c>
      <c r="G2364" s="16" t="n">
        <v>54.072569</v>
      </c>
    </row>
    <row r="2365" customFormat="false" ht="15" hidden="false" customHeight="false" outlineLevel="0" collapsed="false">
      <c r="A2365" s="7" t="n">
        <v>2022</v>
      </c>
      <c r="B2365" s="12" t="s">
        <v>79</v>
      </c>
      <c r="C2365" s="12" t="s">
        <v>72</v>
      </c>
      <c r="D2365" s="12" t="s">
        <v>48</v>
      </c>
      <c r="E2365" s="16" t="n">
        <v>88.657551</v>
      </c>
      <c r="F2365" s="16" t="n">
        <v>0</v>
      </c>
      <c r="G2365" s="16" t="n">
        <v>0</v>
      </c>
    </row>
    <row r="2366" customFormat="false" ht="15" hidden="false" customHeight="false" outlineLevel="0" collapsed="false">
      <c r="A2366" s="7" t="n">
        <v>2022</v>
      </c>
      <c r="B2366" s="12" t="s">
        <v>79</v>
      </c>
      <c r="C2366" s="12" t="s">
        <v>72</v>
      </c>
      <c r="D2366" s="12" t="s">
        <v>46</v>
      </c>
      <c r="E2366" s="16" t="n">
        <v>94.440853</v>
      </c>
      <c r="F2366" s="16" t="n">
        <v>0</v>
      </c>
      <c r="G2366" s="16" t="n">
        <v>146.116638</v>
      </c>
    </row>
    <row r="2367" customFormat="false" ht="15" hidden="false" customHeight="false" outlineLevel="0" collapsed="false">
      <c r="A2367" s="7" t="n">
        <v>2022</v>
      </c>
      <c r="B2367" s="12" t="s">
        <v>79</v>
      </c>
      <c r="C2367" s="12" t="s">
        <v>72</v>
      </c>
      <c r="D2367" s="12" t="s">
        <v>47</v>
      </c>
      <c r="E2367" s="16" t="n">
        <v>3.612486</v>
      </c>
      <c r="F2367" s="16" t="n">
        <v>0</v>
      </c>
      <c r="G2367" s="16" t="n">
        <v>0</v>
      </c>
    </row>
    <row r="2368" customFormat="false" ht="15" hidden="false" customHeight="false" outlineLevel="0" collapsed="false">
      <c r="A2368" s="7" t="n">
        <v>2022</v>
      </c>
      <c r="B2368" s="12" t="s">
        <v>79</v>
      </c>
      <c r="C2368" s="12" t="s">
        <v>72</v>
      </c>
      <c r="D2368" s="12" t="s">
        <v>45</v>
      </c>
      <c r="E2368" s="16" t="n">
        <v>275.233129</v>
      </c>
      <c r="F2368" s="16" t="n">
        <v>262.943166</v>
      </c>
      <c r="G2368" s="16" t="n">
        <v>0</v>
      </c>
    </row>
    <row r="2369" customFormat="false" ht="15" hidden="false" customHeight="false" outlineLevel="0" collapsed="false">
      <c r="A2369" s="7" t="n">
        <v>2022</v>
      </c>
      <c r="B2369" s="12" t="s">
        <v>80</v>
      </c>
      <c r="C2369" s="12" t="s">
        <v>72</v>
      </c>
      <c r="D2369" s="12" t="s">
        <v>49</v>
      </c>
      <c r="E2369" s="16" t="n">
        <v>89.863946</v>
      </c>
      <c r="F2369" s="16" t="n">
        <v>0</v>
      </c>
      <c r="G2369" s="16" t="n">
        <v>35.16823</v>
      </c>
    </row>
    <row r="2370" customFormat="false" ht="15" hidden="false" customHeight="false" outlineLevel="0" collapsed="false">
      <c r="A2370" s="7" t="n">
        <v>2022</v>
      </c>
      <c r="B2370" s="12" t="s">
        <v>80</v>
      </c>
      <c r="C2370" s="12" t="s">
        <v>72</v>
      </c>
      <c r="D2370" s="12" t="s">
        <v>48</v>
      </c>
      <c r="E2370" s="16" t="n">
        <v>35.274798</v>
      </c>
      <c r="F2370" s="16" t="n">
        <v>0</v>
      </c>
      <c r="G2370" s="16" t="n">
        <v>0</v>
      </c>
    </row>
    <row r="2371" customFormat="false" ht="15" hidden="false" customHeight="false" outlineLevel="0" collapsed="false">
      <c r="A2371" s="7" t="n">
        <v>2022</v>
      </c>
      <c r="B2371" s="12" t="s">
        <v>80</v>
      </c>
      <c r="C2371" s="12" t="s">
        <v>72</v>
      </c>
      <c r="D2371" s="12" t="s">
        <v>46</v>
      </c>
      <c r="E2371" s="16" t="n">
        <v>32.097968</v>
      </c>
      <c r="F2371" s="16" t="n">
        <v>0</v>
      </c>
      <c r="G2371" s="16" t="n">
        <v>74.895323</v>
      </c>
    </row>
    <row r="2372" customFormat="false" ht="15" hidden="false" customHeight="false" outlineLevel="0" collapsed="false">
      <c r="A2372" s="7" t="n">
        <v>2022</v>
      </c>
      <c r="B2372" s="12" t="s">
        <v>80</v>
      </c>
      <c r="C2372" s="12" t="s">
        <v>72</v>
      </c>
      <c r="D2372" s="12" t="s">
        <v>47</v>
      </c>
      <c r="E2372" s="16" t="n">
        <v>2.655832</v>
      </c>
      <c r="F2372" s="16" t="n">
        <v>0</v>
      </c>
      <c r="G2372" s="16" t="n">
        <v>0</v>
      </c>
    </row>
    <row r="2373" customFormat="false" ht="15" hidden="false" customHeight="false" outlineLevel="0" collapsed="false">
      <c r="A2373" s="7" t="n">
        <v>2022</v>
      </c>
      <c r="B2373" s="12" t="s">
        <v>80</v>
      </c>
      <c r="C2373" s="12" t="s">
        <v>72</v>
      </c>
      <c r="D2373" s="12" t="s">
        <v>45</v>
      </c>
      <c r="E2373" s="16" t="n">
        <v>168.474603</v>
      </c>
      <c r="F2373" s="16" t="n">
        <v>165.820396</v>
      </c>
      <c r="G2373" s="16" t="n">
        <v>0</v>
      </c>
    </row>
    <row r="2374" customFormat="false" ht="15" hidden="false" customHeight="false" outlineLevel="0" collapsed="false">
      <c r="A2374" s="7" t="n">
        <v>2022</v>
      </c>
      <c r="B2374" s="12" t="s">
        <v>81</v>
      </c>
      <c r="C2374" s="12" t="s">
        <v>72</v>
      </c>
      <c r="D2374" s="12" t="s">
        <v>49</v>
      </c>
      <c r="E2374" s="16" t="n">
        <v>20.347542</v>
      </c>
      <c r="F2374" s="16" t="n">
        <v>0</v>
      </c>
      <c r="G2374" s="16" t="n">
        <v>26.157209</v>
      </c>
    </row>
    <row r="2375" customFormat="false" ht="15" hidden="false" customHeight="false" outlineLevel="0" collapsed="false">
      <c r="A2375" s="7" t="n">
        <v>2022</v>
      </c>
      <c r="B2375" s="12" t="s">
        <v>81</v>
      </c>
      <c r="C2375" s="12" t="s">
        <v>72</v>
      </c>
      <c r="D2375" s="12" t="s">
        <v>48</v>
      </c>
      <c r="E2375" s="16" t="n">
        <v>26.15818</v>
      </c>
      <c r="F2375" s="16" t="n">
        <v>0</v>
      </c>
      <c r="G2375" s="16" t="n">
        <v>0</v>
      </c>
    </row>
    <row r="2376" customFormat="false" ht="15" hidden="false" customHeight="false" outlineLevel="0" collapsed="false">
      <c r="A2376" s="7" t="n">
        <v>2022</v>
      </c>
      <c r="B2376" s="12" t="s">
        <v>81</v>
      </c>
      <c r="C2376" s="12" t="s">
        <v>72</v>
      </c>
      <c r="D2376" s="12" t="s">
        <v>46</v>
      </c>
      <c r="E2376" s="16" t="n">
        <v>42.058602</v>
      </c>
      <c r="F2376" s="16" t="n">
        <v>0</v>
      </c>
      <c r="G2376" s="16" t="n">
        <v>43.195416</v>
      </c>
    </row>
    <row r="2377" customFormat="false" ht="15" hidden="false" customHeight="false" outlineLevel="0" collapsed="false">
      <c r="A2377" s="7" t="n">
        <v>2022</v>
      </c>
      <c r="B2377" s="12" t="s">
        <v>81</v>
      </c>
      <c r="C2377" s="12" t="s">
        <v>72</v>
      </c>
      <c r="D2377" s="12" t="s">
        <v>47</v>
      </c>
      <c r="E2377" s="16" t="n">
        <v>2.08532</v>
      </c>
      <c r="F2377" s="16" t="n">
        <v>0</v>
      </c>
      <c r="G2377" s="16" t="n">
        <v>0</v>
      </c>
    </row>
    <row r="2378" customFormat="false" ht="15" hidden="false" customHeight="false" outlineLevel="0" collapsed="false">
      <c r="A2378" s="7" t="n">
        <v>2022</v>
      </c>
      <c r="B2378" s="12" t="s">
        <v>81</v>
      </c>
      <c r="C2378" s="12" t="s">
        <v>72</v>
      </c>
      <c r="D2378" s="12" t="s">
        <v>45</v>
      </c>
      <c r="E2378" s="16" t="n">
        <v>132.467912</v>
      </c>
      <c r="F2378" s="16" t="n">
        <v>126.835728</v>
      </c>
      <c r="G2378" s="16" t="n">
        <v>0</v>
      </c>
    </row>
    <row r="2379" customFormat="false" ht="15" hidden="false" customHeight="false" outlineLevel="0" collapsed="false">
      <c r="A2379" s="7" t="n">
        <v>2023</v>
      </c>
      <c r="B2379" s="12" t="s">
        <v>56</v>
      </c>
      <c r="C2379" s="12" t="s">
        <v>57</v>
      </c>
      <c r="D2379" s="12" t="s">
        <v>49</v>
      </c>
      <c r="E2379" s="16" t="n">
        <v>80.655721</v>
      </c>
      <c r="F2379" s="16" t="n">
        <v>0</v>
      </c>
      <c r="G2379" s="16" t="n">
        <v>14.65731</v>
      </c>
    </row>
    <row r="2380" customFormat="false" ht="15" hidden="false" customHeight="false" outlineLevel="0" collapsed="false">
      <c r="A2380" s="7" t="n">
        <v>2023</v>
      </c>
      <c r="B2380" s="12" t="s">
        <v>56</v>
      </c>
      <c r="C2380" s="12" t="s">
        <v>57</v>
      </c>
      <c r="D2380" s="12" t="s">
        <v>48</v>
      </c>
      <c r="E2380" s="16" t="n">
        <v>18.313947</v>
      </c>
      <c r="F2380" s="16" t="n">
        <v>0</v>
      </c>
      <c r="G2380" s="16" t="n">
        <v>0</v>
      </c>
    </row>
    <row r="2381" customFormat="false" ht="15" hidden="false" customHeight="false" outlineLevel="0" collapsed="false">
      <c r="A2381" s="7" t="n">
        <v>2023</v>
      </c>
      <c r="B2381" s="12" t="s">
        <v>56</v>
      </c>
      <c r="C2381" s="12" t="s">
        <v>57</v>
      </c>
      <c r="D2381" s="12" t="s">
        <v>46</v>
      </c>
      <c r="E2381" s="16" t="n">
        <v>28.389254</v>
      </c>
      <c r="F2381" s="16" t="n">
        <v>0</v>
      </c>
      <c r="G2381" s="16" t="n">
        <v>24.546598</v>
      </c>
    </row>
    <row r="2382" customFormat="false" ht="15" hidden="false" customHeight="false" outlineLevel="0" collapsed="false">
      <c r="A2382" s="7" t="n">
        <v>2023</v>
      </c>
      <c r="B2382" s="12" t="s">
        <v>56</v>
      </c>
      <c r="C2382" s="12" t="s">
        <v>57</v>
      </c>
      <c r="D2382" s="12" t="s">
        <v>45</v>
      </c>
      <c r="E2382" s="16" t="n">
        <v>113.643977</v>
      </c>
      <c r="F2382" s="16" t="n">
        <v>85.741775</v>
      </c>
      <c r="G2382" s="16" t="n">
        <v>26.564179</v>
      </c>
    </row>
    <row r="2383" customFormat="false" ht="15" hidden="false" customHeight="false" outlineLevel="0" collapsed="false">
      <c r="A2383" s="7" t="n">
        <v>2023</v>
      </c>
      <c r="B2383" s="12" t="s">
        <v>58</v>
      </c>
      <c r="C2383" s="12" t="s">
        <v>59</v>
      </c>
      <c r="D2383" s="12" t="s">
        <v>49</v>
      </c>
      <c r="E2383" s="16" t="n">
        <v>88.022326</v>
      </c>
      <c r="F2383" s="16" t="n">
        <v>0</v>
      </c>
      <c r="G2383" s="16" t="n">
        <v>115.373244</v>
      </c>
    </row>
    <row r="2384" customFormat="false" ht="15" hidden="false" customHeight="false" outlineLevel="0" collapsed="false">
      <c r="A2384" s="7" t="n">
        <v>2023</v>
      </c>
      <c r="B2384" s="12" t="s">
        <v>58</v>
      </c>
      <c r="C2384" s="12" t="s">
        <v>59</v>
      </c>
      <c r="D2384" s="12" t="s">
        <v>48</v>
      </c>
      <c r="E2384" s="16" t="n">
        <v>119.470679</v>
      </c>
      <c r="F2384" s="16" t="n">
        <v>0</v>
      </c>
      <c r="G2384" s="16" t="n">
        <v>0</v>
      </c>
    </row>
    <row r="2385" customFormat="false" ht="15" hidden="false" customHeight="false" outlineLevel="0" collapsed="false">
      <c r="A2385" s="7" t="n">
        <v>2023</v>
      </c>
      <c r="B2385" s="12" t="s">
        <v>58</v>
      </c>
      <c r="C2385" s="12" t="s">
        <v>59</v>
      </c>
      <c r="D2385" s="12" t="s">
        <v>46</v>
      </c>
      <c r="E2385" s="16" t="n">
        <v>288.60276</v>
      </c>
      <c r="F2385" s="16" t="n">
        <v>0</v>
      </c>
      <c r="G2385" s="16" t="n">
        <v>255.633562</v>
      </c>
    </row>
    <row r="2386" customFormat="false" ht="15" hidden="false" customHeight="false" outlineLevel="0" collapsed="false">
      <c r="A2386" s="7" t="n">
        <v>2023</v>
      </c>
      <c r="B2386" s="12" t="s">
        <v>58</v>
      </c>
      <c r="C2386" s="12" t="s">
        <v>59</v>
      </c>
      <c r="D2386" s="12" t="s">
        <v>47</v>
      </c>
      <c r="E2386" s="16" t="n">
        <v>1.098467</v>
      </c>
      <c r="F2386" s="16" t="n">
        <v>0</v>
      </c>
      <c r="G2386" s="16" t="n">
        <v>0</v>
      </c>
    </row>
    <row r="2387" customFormat="false" ht="15" hidden="false" customHeight="false" outlineLevel="0" collapsed="false">
      <c r="A2387" s="7" t="n">
        <v>2023</v>
      </c>
      <c r="B2387" s="12" t="s">
        <v>58</v>
      </c>
      <c r="C2387" s="12" t="s">
        <v>59</v>
      </c>
      <c r="D2387" s="12" t="s">
        <v>45</v>
      </c>
      <c r="E2387" s="16" t="n">
        <v>59.714067</v>
      </c>
      <c r="F2387" s="16" t="n">
        <v>28.039798</v>
      </c>
      <c r="G2387" s="16" t="n">
        <v>85.256859</v>
      </c>
    </row>
    <row r="2388" customFormat="false" ht="15" hidden="false" customHeight="false" outlineLevel="0" collapsed="false">
      <c r="A2388" s="7" t="n">
        <v>2023</v>
      </c>
      <c r="B2388" s="12" t="s">
        <v>60</v>
      </c>
      <c r="C2388" s="12" t="s">
        <v>59</v>
      </c>
      <c r="D2388" s="12" t="s">
        <v>49</v>
      </c>
      <c r="E2388" s="16" t="n">
        <v>441.204922</v>
      </c>
      <c r="F2388" s="16" t="n">
        <v>0</v>
      </c>
      <c r="G2388" s="16" t="n">
        <v>222.516608</v>
      </c>
    </row>
    <row r="2389" customFormat="false" ht="15" hidden="false" customHeight="false" outlineLevel="0" collapsed="false">
      <c r="A2389" s="7" t="n">
        <v>2023</v>
      </c>
      <c r="B2389" s="12" t="s">
        <v>60</v>
      </c>
      <c r="C2389" s="12" t="s">
        <v>59</v>
      </c>
      <c r="D2389" s="12" t="s">
        <v>48</v>
      </c>
      <c r="E2389" s="16" t="n">
        <v>309.27247</v>
      </c>
      <c r="F2389" s="16" t="n">
        <v>0</v>
      </c>
      <c r="G2389" s="16" t="n">
        <v>0</v>
      </c>
    </row>
    <row r="2390" customFormat="false" ht="15" hidden="false" customHeight="false" outlineLevel="0" collapsed="false">
      <c r="A2390" s="7" t="n">
        <v>2023</v>
      </c>
      <c r="B2390" s="12" t="s">
        <v>60</v>
      </c>
      <c r="C2390" s="12" t="s">
        <v>59</v>
      </c>
      <c r="D2390" s="12" t="s">
        <v>46</v>
      </c>
      <c r="E2390" s="16" t="n">
        <v>544.59142</v>
      </c>
      <c r="F2390" s="16" t="n">
        <v>0</v>
      </c>
      <c r="G2390" s="16" t="n">
        <v>722.083443</v>
      </c>
    </row>
    <row r="2391" customFormat="false" ht="15" hidden="false" customHeight="false" outlineLevel="0" collapsed="false">
      <c r="A2391" s="7" t="n">
        <v>2023</v>
      </c>
      <c r="B2391" s="12" t="s">
        <v>60</v>
      </c>
      <c r="C2391" s="12" t="s">
        <v>59</v>
      </c>
      <c r="D2391" s="12" t="s">
        <v>47</v>
      </c>
      <c r="E2391" s="16" t="n">
        <v>6.841512</v>
      </c>
      <c r="F2391" s="16" t="n">
        <v>0</v>
      </c>
      <c r="G2391" s="16" t="n">
        <v>0</v>
      </c>
    </row>
    <row r="2392" customFormat="false" ht="15" hidden="false" customHeight="false" outlineLevel="0" collapsed="false">
      <c r="A2392" s="7" t="n">
        <v>2023</v>
      </c>
      <c r="B2392" s="12" t="s">
        <v>60</v>
      </c>
      <c r="C2392" s="12" t="s">
        <v>59</v>
      </c>
      <c r="D2392" s="12" t="s">
        <v>45</v>
      </c>
      <c r="E2392" s="16" t="n">
        <v>546.622893</v>
      </c>
      <c r="F2392" s="16" t="n">
        <v>10.659454</v>
      </c>
      <c r="G2392" s="16" t="n">
        <v>163.971839</v>
      </c>
    </row>
    <row r="2393" customFormat="false" ht="15" hidden="false" customHeight="false" outlineLevel="0" collapsed="false">
      <c r="A2393" s="7" t="n">
        <v>2023</v>
      </c>
      <c r="B2393" s="12" t="s">
        <v>61</v>
      </c>
      <c r="C2393" s="12" t="s">
        <v>62</v>
      </c>
      <c r="D2393" s="12" t="s">
        <v>49</v>
      </c>
      <c r="E2393" s="16" t="n">
        <v>67.226782</v>
      </c>
      <c r="F2393" s="16" t="n">
        <v>0</v>
      </c>
      <c r="G2393" s="16" t="n">
        <v>97.74307</v>
      </c>
    </row>
    <row r="2394" customFormat="false" ht="15" hidden="false" customHeight="false" outlineLevel="0" collapsed="false">
      <c r="A2394" s="7" t="n">
        <v>2023</v>
      </c>
      <c r="B2394" s="12" t="s">
        <v>61</v>
      </c>
      <c r="C2394" s="12" t="s">
        <v>62</v>
      </c>
      <c r="D2394" s="12" t="s">
        <v>48</v>
      </c>
      <c r="E2394" s="16" t="n">
        <v>326.64779</v>
      </c>
      <c r="F2394" s="16" t="n">
        <v>0</v>
      </c>
      <c r="G2394" s="16" t="n">
        <v>0</v>
      </c>
    </row>
    <row r="2395" customFormat="false" ht="15" hidden="false" customHeight="false" outlineLevel="0" collapsed="false">
      <c r="A2395" s="7" t="n">
        <v>2023</v>
      </c>
      <c r="B2395" s="12" t="s">
        <v>61</v>
      </c>
      <c r="C2395" s="12" t="s">
        <v>62</v>
      </c>
      <c r="D2395" s="12" t="s">
        <v>46</v>
      </c>
      <c r="E2395" s="16" t="n">
        <v>381.86272</v>
      </c>
      <c r="F2395" s="16" t="n">
        <v>0</v>
      </c>
      <c r="G2395" s="16" t="n">
        <v>321.744926</v>
      </c>
    </row>
    <row r="2396" customFormat="false" ht="15" hidden="false" customHeight="false" outlineLevel="0" collapsed="false">
      <c r="A2396" s="7" t="n">
        <v>2023</v>
      </c>
      <c r="B2396" s="12" t="s">
        <v>61</v>
      </c>
      <c r="C2396" s="12" t="s">
        <v>62</v>
      </c>
      <c r="D2396" s="12" t="s">
        <v>47</v>
      </c>
      <c r="E2396" s="16" t="n">
        <v>9.173526</v>
      </c>
      <c r="F2396" s="16" t="n">
        <v>0</v>
      </c>
      <c r="G2396" s="16" t="n">
        <v>0</v>
      </c>
    </row>
    <row r="2397" customFormat="false" ht="15" hidden="false" customHeight="false" outlineLevel="0" collapsed="false">
      <c r="A2397" s="7" t="n">
        <v>2023</v>
      </c>
      <c r="B2397" s="12" t="s">
        <v>61</v>
      </c>
      <c r="C2397" s="12" t="s">
        <v>62</v>
      </c>
      <c r="D2397" s="12" t="s">
        <v>45</v>
      </c>
      <c r="E2397" s="16" t="n">
        <v>466.374851</v>
      </c>
      <c r="F2397" s="16" t="n">
        <v>453.380817</v>
      </c>
      <c r="G2397" s="16" t="n">
        <v>0</v>
      </c>
    </row>
    <row r="2398" customFormat="false" ht="15" hidden="false" customHeight="false" outlineLevel="0" collapsed="false">
      <c r="A2398" s="7" t="n">
        <v>2023</v>
      </c>
      <c r="B2398" s="12" t="s">
        <v>63</v>
      </c>
      <c r="C2398" s="12" t="s">
        <v>62</v>
      </c>
      <c r="D2398" s="12" t="s">
        <v>49</v>
      </c>
      <c r="E2398" s="16" t="n">
        <v>238.577995</v>
      </c>
      <c r="F2398" s="16" t="n">
        <v>0</v>
      </c>
      <c r="G2398" s="16" t="n">
        <v>317.034366</v>
      </c>
    </row>
    <row r="2399" customFormat="false" ht="15" hidden="false" customHeight="false" outlineLevel="0" collapsed="false">
      <c r="A2399" s="7" t="n">
        <v>2023</v>
      </c>
      <c r="B2399" s="12" t="s">
        <v>63</v>
      </c>
      <c r="C2399" s="12" t="s">
        <v>62</v>
      </c>
      <c r="D2399" s="12" t="s">
        <v>48</v>
      </c>
      <c r="E2399" s="16" t="n">
        <v>341.238368</v>
      </c>
      <c r="F2399" s="16" t="n">
        <v>0</v>
      </c>
      <c r="G2399" s="16" t="n">
        <v>0</v>
      </c>
    </row>
    <row r="2400" customFormat="false" ht="15" hidden="false" customHeight="false" outlineLevel="0" collapsed="false">
      <c r="A2400" s="7" t="n">
        <v>2023</v>
      </c>
      <c r="B2400" s="12" t="s">
        <v>63</v>
      </c>
      <c r="C2400" s="12" t="s">
        <v>62</v>
      </c>
      <c r="D2400" s="12" t="s">
        <v>46</v>
      </c>
      <c r="E2400" s="16" t="n">
        <v>428.612964</v>
      </c>
      <c r="F2400" s="16" t="n">
        <v>0</v>
      </c>
      <c r="G2400" s="16" t="n">
        <v>498.719367</v>
      </c>
    </row>
    <row r="2401" customFormat="false" ht="15" hidden="false" customHeight="false" outlineLevel="0" collapsed="false">
      <c r="A2401" s="7" t="n">
        <v>2023</v>
      </c>
      <c r="B2401" s="12" t="s">
        <v>63</v>
      </c>
      <c r="C2401" s="12" t="s">
        <v>62</v>
      </c>
      <c r="D2401" s="12" t="s">
        <v>47</v>
      </c>
      <c r="E2401" s="16" t="n">
        <v>9.184179</v>
      </c>
      <c r="F2401" s="16" t="n">
        <v>0</v>
      </c>
      <c r="G2401" s="16" t="n">
        <v>0</v>
      </c>
    </row>
    <row r="2402" customFormat="false" ht="15" hidden="false" customHeight="false" outlineLevel="0" collapsed="false">
      <c r="A2402" s="7" t="n">
        <v>2023</v>
      </c>
      <c r="B2402" s="12" t="s">
        <v>63</v>
      </c>
      <c r="C2402" s="12" t="s">
        <v>62</v>
      </c>
      <c r="D2402" s="12" t="s">
        <v>45</v>
      </c>
      <c r="E2402" s="16" t="n">
        <v>417.993976</v>
      </c>
      <c r="F2402" s="16" t="n">
        <v>405.980588</v>
      </c>
      <c r="G2402" s="16" t="n">
        <v>1.893437</v>
      </c>
    </row>
    <row r="2403" customFormat="false" ht="15" hidden="false" customHeight="false" outlineLevel="0" collapsed="false">
      <c r="A2403" s="7" t="n">
        <v>2023</v>
      </c>
      <c r="B2403" s="12" t="s">
        <v>64</v>
      </c>
      <c r="C2403" s="12" t="s">
        <v>65</v>
      </c>
      <c r="D2403" s="12" t="s">
        <v>49</v>
      </c>
      <c r="E2403" s="16" t="n">
        <v>119.297973</v>
      </c>
      <c r="F2403" s="16" t="n">
        <v>0</v>
      </c>
      <c r="G2403" s="16" t="n">
        <v>48.010823</v>
      </c>
    </row>
    <row r="2404" customFormat="false" ht="15" hidden="false" customHeight="false" outlineLevel="0" collapsed="false">
      <c r="A2404" s="7" t="n">
        <v>2023</v>
      </c>
      <c r="B2404" s="12" t="s">
        <v>64</v>
      </c>
      <c r="C2404" s="12" t="s">
        <v>65</v>
      </c>
      <c r="D2404" s="12" t="s">
        <v>48</v>
      </c>
      <c r="E2404" s="16" t="n">
        <v>31.344179</v>
      </c>
      <c r="F2404" s="16" t="n">
        <v>0</v>
      </c>
      <c r="G2404" s="16" t="n">
        <v>0</v>
      </c>
    </row>
    <row r="2405" customFormat="false" ht="15" hidden="false" customHeight="false" outlineLevel="0" collapsed="false">
      <c r="A2405" s="7" t="n">
        <v>2023</v>
      </c>
      <c r="B2405" s="12" t="s">
        <v>64</v>
      </c>
      <c r="C2405" s="12" t="s">
        <v>65</v>
      </c>
      <c r="D2405" s="12" t="s">
        <v>46</v>
      </c>
      <c r="E2405" s="16" t="n">
        <v>90.290536</v>
      </c>
      <c r="F2405" s="16" t="n">
        <v>0</v>
      </c>
      <c r="G2405" s="16" t="n">
        <v>103.325593</v>
      </c>
    </row>
    <row r="2406" customFormat="false" ht="15" hidden="false" customHeight="false" outlineLevel="0" collapsed="false">
      <c r="A2406" s="7" t="n">
        <v>2023</v>
      </c>
      <c r="B2406" s="12" t="s">
        <v>64</v>
      </c>
      <c r="C2406" s="12" t="s">
        <v>65</v>
      </c>
      <c r="D2406" s="12" t="s">
        <v>47</v>
      </c>
      <c r="E2406" s="16" t="n">
        <v>5.563916</v>
      </c>
      <c r="F2406" s="16" t="n">
        <v>0</v>
      </c>
      <c r="G2406" s="16" t="n">
        <v>0</v>
      </c>
    </row>
    <row r="2407" customFormat="false" ht="15" hidden="false" customHeight="false" outlineLevel="0" collapsed="false">
      <c r="A2407" s="7" t="n">
        <v>2023</v>
      </c>
      <c r="B2407" s="12" t="s">
        <v>64</v>
      </c>
      <c r="C2407" s="12" t="s">
        <v>65</v>
      </c>
      <c r="D2407" s="12" t="s">
        <v>45</v>
      </c>
      <c r="E2407" s="16" t="n">
        <v>83.850087</v>
      </c>
      <c r="F2407" s="16" t="n">
        <v>63.027558</v>
      </c>
      <c r="G2407" s="16" t="n">
        <v>47.927268</v>
      </c>
    </row>
    <row r="2408" customFormat="false" ht="15" hidden="false" customHeight="false" outlineLevel="0" collapsed="false">
      <c r="A2408" s="7" t="n">
        <v>2023</v>
      </c>
      <c r="B2408" s="12" t="s">
        <v>66</v>
      </c>
      <c r="C2408" s="12" t="s">
        <v>67</v>
      </c>
      <c r="D2408" s="12" t="s">
        <v>49</v>
      </c>
      <c r="E2408" s="16" t="n">
        <v>89.156094</v>
      </c>
      <c r="F2408" s="16" t="n">
        <v>0</v>
      </c>
      <c r="G2408" s="16" t="n">
        <v>52.862723</v>
      </c>
    </row>
    <row r="2409" customFormat="false" ht="15" hidden="false" customHeight="false" outlineLevel="0" collapsed="false">
      <c r="A2409" s="7" t="n">
        <v>2023</v>
      </c>
      <c r="B2409" s="12" t="s">
        <v>66</v>
      </c>
      <c r="C2409" s="12" t="s">
        <v>67</v>
      </c>
      <c r="D2409" s="12" t="s">
        <v>48</v>
      </c>
      <c r="E2409" s="16" t="n">
        <v>60.408958</v>
      </c>
      <c r="F2409" s="16" t="n">
        <v>0</v>
      </c>
      <c r="G2409" s="16" t="n">
        <v>0</v>
      </c>
    </row>
    <row r="2410" customFormat="false" ht="15" hidden="false" customHeight="false" outlineLevel="0" collapsed="false">
      <c r="A2410" s="7" t="n">
        <v>2023</v>
      </c>
      <c r="B2410" s="12" t="s">
        <v>66</v>
      </c>
      <c r="C2410" s="12" t="s">
        <v>67</v>
      </c>
      <c r="D2410" s="12" t="s">
        <v>46</v>
      </c>
      <c r="E2410" s="16" t="n">
        <v>90.869356</v>
      </c>
      <c r="F2410" s="16" t="n">
        <v>0</v>
      </c>
      <c r="G2410" s="16" t="n">
        <v>92.998528</v>
      </c>
    </row>
    <row r="2411" customFormat="false" ht="15" hidden="false" customHeight="false" outlineLevel="0" collapsed="false">
      <c r="A2411" s="7" t="n">
        <v>2023</v>
      </c>
      <c r="B2411" s="12" t="s">
        <v>66</v>
      </c>
      <c r="C2411" s="12" t="s">
        <v>67</v>
      </c>
      <c r="D2411" s="12" t="s">
        <v>47</v>
      </c>
      <c r="E2411" s="16" t="n">
        <v>4.495433</v>
      </c>
      <c r="F2411" s="16" t="n">
        <v>0</v>
      </c>
      <c r="G2411" s="16" t="n">
        <v>0</v>
      </c>
    </row>
    <row r="2412" customFormat="false" ht="15" hidden="false" customHeight="false" outlineLevel="0" collapsed="false">
      <c r="A2412" s="7" t="n">
        <v>2023</v>
      </c>
      <c r="B2412" s="12" t="s">
        <v>66</v>
      </c>
      <c r="C2412" s="12" t="s">
        <v>67</v>
      </c>
      <c r="D2412" s="12" t="s">
        <v>45</v>
      </c>
      <c r="E2412" s="16" t="n">
        <v>264.75127</v>
      </c>
      <c r="F2412" s="16" t="n">
        <v>233.472032</v>
      </c>
      <c r="G2412" s="16" t="n">
        <v>48.000467</v>
      </c>
    </row>
    <row r="2413" customFormat="false" ht="15" hidden="false" customHeight="false" outlineLevel="0" collapsed="false">
      <c r="A2413" s="7" t="n">
        <v>2023</v>
      </c>
      <c r="B2413" s="12" t="s">
        <v>68</v>
      </c>
      <c r="C2413" s="12" t="s">
        <v>65</v>
      </c>
      <c r="D2413" s="12" t="s">
        <v>49</v>
      </c>
      <c r="E2413" s="16" t="n">
        <v>157.888685</v>
      </c>
      <c r="F2413" s="16" t="n">
        <v>0</v>
      </c>
      <c r="G2413" s="16" t="n">
        <v>32.712848</v>
      </c>
    </row>
    <row r="2414" customFormat="false" ht="15" hidden="false" customHeight="false" outlineLevel="0" collapsed="false">
      <c r="A2414" s="7" t="n">
        <v>2023</v>
      </c>
      <c r="B2414" s="12" t="s">
        <v>68</v>
      </c>
      <c r="C2414" s="12" t="s">
        <v>65</v>
      </c>
      <c r="D2414" s="12" t="s">
        <v>48</v>
      </c>
      <c r="E2414" s="16" t="n">
        <v>33.095316</v>
      </c>
      <c r="F2414" s="16" t="n">
        <v>0</v>
      </c>
      <c r="G2414" s="16" t="n">
        <v>0</v>
      </c>
    </row>
    <row r="2415" customFormat="false" ht="15" hidden="false" customHeight="false" outlineLevel="0" collapsed="false">
      <c r="A2415" s="7" t="n">
        <v>2023</v>
      </c>
      <c r="B2415" s="12" t="s">
        <v>68</v>
      </c>
      <c r="C2415" s="12" t="s">
        <v>65</v>
      </c>
      <c r="D2415" s="12" t="s">
        <v>46</v>
      </c>
      <c r="E2415" s="16" t="n">
        <v>89.494827</v>
      </c>
      <c r="F2415" s="16" t="n">
        <v>0</v>
      </c>
      <c r="G2415" s="16" t="n">
        <v>61.617147</v>
      </c>
    </row>
    <row r="2416" customFormat="false" ht="15" hidden="false" customHeight="false" outlineLevel="0" collapsed="false">
      <c r="A2416" s="7" t="n">
        <v>2023</v>
      </c>
      <c r="B2416" s="12" t="s">
        <v>68</v>
      </c>
      <c r="C2416" s="12" t="s">
        <v>65</v>
      </c>
      <c r="D2416" s="12" t="s">
        <v>47</v>
      </c>
      <c r="E2416" s="16" t="n">
        <v>5.743055</v>
      </c>
      <c r="F2416" s="16" t="n">
        <v>0</v>
      </c>
      <c r="G2416" s="16" t="n">
        <v>0</v>
      </c>
    </row>
    <row r="2417" customFormat="false" ht="15" hidden="false" customHeight="false" outlineLevel="0" collapsed="false">
      <c r="A2417" s="7" t="n">
        <v>2023</v>
      </c>
      <c r="B2417" s="12" t="s">
        <v>68</v>
      </c>
      <c r="C2417" s="12" t="s">
        <v>65</v>
      </c>
      <c r="D2417" s="12" t="s">
        <v>45</v>
      </c>
      <c r="E2417" s="16" t="n">
        <v>41.606075</v>
      </c>
      <c r="F2417" s="16" t="n">
        <v>7.158122</v>
      </c>
      <c r="G2417" s="16" t="n">
        <v>11.076388</v>
      </c>
    </row>
    <row r="2418" customFormat="false" ht="15" hidden="false" customHeight="false" outlineLevel="0" collapsed="false">
      <c r="A2418" s="7" t="n">
        <v>2023</v>
      </c>
      <c r="B2418" s="12" t="s">
        <v>69</v>
      </c>
      <c r="C2418" s="12" t="s">
        <v>70</v>
      </c>
      <c r="D2418" s="12" t="s">
        <v>49</v>
      </c>
      <c r="E2418" s="16" t="n">
        <v>98.241182</v>
      </c>
      <c r="F2418" s="16" t="n">
        <v>0</v>
      </c>
      <c r="G2418" s="16" t="n">
        <v>51.726587</v>
      </c>
    </row>
    <row r="2419" customFormat="false" ht="15" hidden="false" customHeight="false" outlineLevel="0" collapsed="false">
      <c r="A2419" s="7" t="n">
        <v>2023</v>
      </c>
      <c r="B2419" s="12" t="s">
        <v>69</v>
      </c>
      <c r="C2419" s="12" t="s">
        <v>70</v>
      </c>
      <c r="D2419" s="12" t="s">
        <v>48</v>
      </c>
      <c r="E2419" s="16" t="n">
        <v>43.261688</v>
      </c>
      <c r="F2419" s="16" t="n">
        <v>0</v>
      </c>
      <c r="G2419" s="16" t="n">
        <v>0</v>
      </c>
    </row>
    <row r="2420" customFormat="false" ht="15" hidden="false" customHeight="false" outlineLevel="0" collapsed="false">
      <c r="A2420" s="7" t="n">
        <v>2023</v>
      </c>
      <c r="B2420" s="12" t="s">
        <v>69</v>
      </c>
      <c r="C2420" s="12" t="s">
        <v>70</v>
      </c>
      <c r="D2420" s="12" t="s">
        <v>46</v>
      </c>
      <c r="E2420" s="16" t="n">
        <v>40.997225</v>
      </c>
      <c r="F2420" s="16" t="n">
        <v>0</v>
      </c>
      <c r="G2420" s="16" t="n">
        <v>107.589321</v>
      </c>
    </row>
    <row r="2421" customFormat="false" ht="15" hidden="false" customHeight="false" outlineLevel="0" collapsed="false">
      <c r="A2421" s="7" t="n">
        <v>2023</v>
      </c>
      <c r="B2421" s="12" t="s">
        <v>69</v>
      </c>
      <c r="C2421" s="12" t="s">
        <v>70</v>
      </c>
      <c r="D2421" s="12" t="s">
        <v>47</v>
      </c>
      <c r="E2421" s="16" t="n">
        <v>3.739213</v>
      </c>
      <c r="F2421" s="16" t="n">
        <v>0</v>
      </c>
      <c r="G2421" s="16" t="n">
        <v>0</v>
      </c>
    </row>
    <row r="2422" customFormat="false" ht="15" hidden="false" customHeight="false" outlineLevel="0" collapsed="false">
      <c r="A2422" s="7" t="n">
        <v>2023</v>
      </c>
      <c r="B2422" s="12" t="s">
        <v>69</v>
      </c>
      <c r="C2422" s="12" t="s">
        <v>70</v>
      </c>
      <c r="D2422" s="12" t="s">
        <v>45</v>
      </c>
      <c r="E2422" s="16" t="n">
        <v>423.102243</v>
      </c>
      <c r="F2422" s="16" t="n">
        <v>420.374611</v>
      </c>
      <c r="G2422" s="16" t="n">
        <v>0</v>
      </c>
    </row>
    <row r="2423" customFormat="false" ht="15" hidden="false" customHeight="false" outlineLevel="0" collapsed="false">
      <c r="A2423" s="7" t="n">
        <v>2023</v>
      </c>
      <c r="B2423" s="12" t="s">
        <v>71</v>
      </c>
      <c r="C2423" s="12" t="s">
        <v>72</v>
      </c>
      <c r="D2423" s="12" t="s">
        <v>49</v>
      </c>
      <c r="E2423" s="16" t="n">
        <v>38.107865</v>
      </c>
      <c r="F2423" s="16" t="n">
        <v>0</v>
      </c>
      <c r="G2423" s="16" t="n">
        <v>10.295602</v>
      </c>
    </row>
    <row r="2424" customFormat="false" ht="15" hidden="false" customHeight="false" outlineLevel="0" collapsed="false">
      <c r="A2424" s="7" t="n">
        <v>2023</v>
      </c>
      <c r="B2424" s="12" t="s">
        <v>71</v>
      </c>
      <c r="C2424" s="12" t="s">
        <v>72</v>
      </c>
      <c r="D2424" s="12" t="s">
        <v>48</v>
      </c>
      <c r="E2424" s="16" t="n">
        <v>19.338921</v>
      </c>
      <c r="F2424" s="16" t="n">
        <v>0</v>
      </c>
      <c r="G2424" s="16" t="n">
        <v>0</v>
      </c>
    </row>
    <row r="2425" customFormat="false" ht="15" hidden="false" customHeight="false" outlineLevel="0" collapsed="false">
      <c r="A2425" s="7" t="n">
        <v>2023</v>
      </c>
      <c r="B2425" s="12" t="s">
        <v>71</v>
      </c>
      <c r="C2425" s="12" t="s">
        <v>72</v>
      </c>
      <c r="D2425" s="12" t="s">
        <v>46</v>
      </c>
      <c r="E2425" s="16" t="n">
        <v>16.381407</v>
      </c>
      <c r="F2425" s="16" t="n">
        <v>0</v>
      </c>
      <c r="G2425" s="16" t="n">
        <v>18.261338</v>
      </c>
    </row>
    <row r="2426" customFormat="false" ht="15" hidden="false" customHeight="false" outlineLevel="0" collapsed="false">
      <c r="A2426" s="7" t="n">
        <v>2023</v>
      </c>
      <c r="B2426" s="12" t="s">
        <v>71</v>
      </c>
      <c r="C2426" s="12" t="s">
        <v>72</v>
      </c>
      <c r="D2426" s="12" t="s">
        <v>47</v>
      </c>
      <c r="E2426" s="16" t="n">
        <v>0.670264</v>
      </c>
      <c r="F2426" s="16" t="n">
        <v>0</v>
      </c>
      <c r="G2426" s="16" t="n">
        <v>0</v>
      </c>
    </row>
    <row r="2427" customFormat="false" ht="15" hidden="false" customHeight="false" outlineLevel="0" collapsed="false">
      <c r="A2427" s="7" t="n">
        <v>2023</v>
      </c>
      <c r="B2427" s="12" t="s">
        <v>71</v>
      </c>
      <c r="C2427" s="12" t="s">
        <v>72</v>
      </c>
      <c r="D2427" s="12" t="s">
        <v>45</v>
      </c>
      <c r="E2427" s="16" t="n">
        <v>42.98854</v>
      </c>
      <c r="F2427" s="16" t="n">
        <v>42.96231</v>
      </c>
      <c r="G2427" s="16" t="n">
        <v>0</v>
      </c>
    </row>
    <row r="2428" customFormat="false" ht="15" hidden="false" customHeight="false" outlineLevel="0" collapsed="false">
      <c r="A2428" s="7" t="n">
        <v>2023</v>
      </c>
      <c r="B2428" s="12" t="s">
        <v>73</v>
      </c>
      <c r="C2428" s="12" t="s">
        <v>70</v>
      </c>
      <c r="D2428" s="12" t="s">
        <v>49</v>
      </c>
      <c r="E2428" s="16" t="n">
        <v>75.919469</v>
      </c>
      <c r="F2428" s="16" t="n">
        <v>0</v>
      </c>
      <c r="G2428" s="16" t="n">
        <v>89.567881</v>
      </c>
    </row>
    <row r="2429" customFormat="false" ht="15" hidden="false" customHeight="false" outlineLevel="0" collapsed="false">
      <c r="A2429" s="7" t="n">
        <v>2023</v>
      </c>
      <c r="B2429" s="12" t="s">
        <v>73</v>
      </c>
      <c r="C2429" s="12" t="s">
        <v>70</v>
      </c>
      <c r="D2429" s="12" t="s">
        <v>48</v>
      </c>
      <c r="E2429" s="16" t="n">
        <v>73.970324</v>
      </c>
      <c r="F2429" s="16" t="n">
        <v>0</v>
      </c>
      <c r="G2429" s="16" t="n">
        <v>0</v>
      </c>
    </row>
    <row r="2430" customFormat="false" ht="15" hidden="false" customHeight="false" outlineLevel="0" collapsed="false">
      <c r="A2430" s="7" t="n">
        <v>2023</v>
      </c>
      <c r="B2430" s="12" t="s">
        <v>73</v>
      </c>
      <c r="C2430" s="12" t="s">
        <v>70</v>
      </c>
      <c r="D2430" s="12" t="s">
        <v>46</v>
      </c>
      <c r="E2430" s="16" t="n">
        <v>80.839483</v>
      </c>
      <c r="F2430" s="16" t="n">
        <v>0</v>
      </c>
      <c r="G2430" s="16" t="n">
        <v>95.395573</v>
      </c>
    </row>
    <row r="2431" customFormat="false" ht="15" hidden="false" customHeight="false" outlineLevel="0" collapsed="false">
      <c r="A2431" s="7" t="n">
        <v>2023</v>
      </c>
      <c r="B2431" s="12" t="s">
        <v>73</v>
      </c>
      <c r="C2431" s="12" t="s">
        <v>70</v>
      </c>
      <c r="D2431" s="12" t="s">
        <v>47</v>
      </c>
      <c r="E2431" s="16" t="n">
        <v>7.725428</v>
      </c>
      <c r="F2431" s="16" t="n">
        <v>0</v>
      </c>
      <c r="G2431" s="16" t="n">
        <v>0</v>
      </c>
    </row>
    <row r="2432" customFormat="false" ht="15" hidden="false" customHeight="false" outlineLevel="0" collapsed="false">
      <c r="A2432" s="7" t="n">
        <v>2023</v>
      </c>
      <c r="B2432" s="12" t="s">
        <v>73</v>
      </c>
      <c r="C2432" s="12" t="s">
        <v>70</v>
      </c>
      <c r="D2432" s="12" t="s">
        <v>45</v>
      </c>
      <c r="E2432" s="16" t="n">
        <v>92.311154</v>
      </c>
      <c r="F2432" s="16" t="n">
        <v>74.184844</v>
      </c>
      <c r="G2432" s="16" t="n">
        <v>50.169352</v>
      </c>
    </row>
    <row r="2433" customFormat="false" ht="15" hidden="false" customHeight="false" outlineLevel="0" collapsed="false">
      <c r="A2433" s="7" t="n">
        <v>2023</v>
      </c>
      <c r="B2433" s="12" t="s">
        <v>74</v>
      </c>
      <c r="C2433" s="12" t="s">
        <v>65</v>
      </c>
      <c r="D2433" s="12" t="s">
        <v>49</v>
      </c>
      <c r="E2433" s="16" t="n">
        <v>228.348043</v>
      </c>
      <c r="F2433" s="16" t="n">
        <v>0</v>
      </c>
      <c r="G2433" s="16" t="n">
        <v>34.036897</v>
      </c>
    </row>
    <row r="2434" customFormat="false" ht="15" hidden="false" customHeight="false" outlineLevel="0" collapsed="false">
      <c r="A2434" s="7" t="n">
        <v>2023</v>
      </c>
      <c r="B2434" s="12" t="s">
        <v>74</v>
      </c>
      <c r="C2434" s="12" t="s">
        <v>65</v>
      </c>
      <c r="D2434" s="12" t="s">
        <v>48</v>
      </c>
      <c r="E2434" s="16" t="n">
        <v>18.191918</v>
      </c>
      <c r="F2434" s="16" t="n">
        <v>0</v>
      </c>
      <c r="G2434" s="16" t="n">
        <v>0</v>
      </c>
    </row>
    <row r="2435" customFormat="false" ht="15" hidden="false" customHeight="false" outlineLevel="0" collapsed="false">
      <c r="A2435" s="7" t="n">
        <v>2023</v>
      </c>
      <c r="B2435" s="12" t="s">
        <v>74</v>
      </c>
      <c r="C2435" s="12" t="s">
        <v>65</v>
      </c>
      <c r="D2435" s="12" t="s">
        <v>46</v>
      </c>
      <c r="E2435" s="16" t="n">
        <v>65.165391</v>
      </c>
      <c r="F2435" s="16" t="n">
        <v>0</v>
      </c>
      <c r="G2435" s="16" t="n">
        <v>81.856364</v>
      </c>
    </row>
    <row r="2436" customFormat="false" ht="15" hidden="false" customHeight="false" outlineLevel="0" collapsed="false">
      <c r="A2436" s="7" t="n">
        <v>2023</v>
      </c>
      <c r="B2436" s="12" t="s">
        <v>74</v>
      </c>
      <c r="C2436" s="12" t="s">
        <v>65</v>
      </c>
      <c r="D2436" s="12" t="s">
        <v>47</v>
      </c>
      <c r="E2436" s="16" t="n">
        <v>4.78746</v>
      </c>
      <c r="F2436" s="16" t="n">
        <v>0</v>
      </c>
      <c r="G2436" s="16" t="n">
        <v>0</v>
      </c>
    </row>
    <row r="2437" customFormat="false" ht="15" hidden="false" customHeight="false" outlineLevel="0" collapsed="false">
      <c r="A2437" s="7" t="n">
        <v>2023</v>
      </c>
      <c r="B2437" s="12" t="s">
        <v>74</v>
      </c>
      <c r="C2437" s="12" t="s">
        <v>65</v>
      </c>
      <c r="D2437" s="12" t="s">
        <v>45</v>
      </c>
      <c r="E2437" s="16" t="n">
        <v>54.328843</v>
      </c>
      <c r="F2437" s="16" t="n">
        <v>0</v>
      </c>
      <c r="G2437" s="16" t="n">
        <v>47.482646</v>
      </c>
    </row>
    <row r="2438" customFormat="false" ht="15" hidden="false" customHeight="false" outlineLevel="0" collapsed="false">
      <c r="A2438" s="7" t="n">
        <v>2023</v>
      </c>
      <c r="B2438" s="12" t="s">
        <v>75</v>
      </c>
      <c r="C2438" s="12" t="s">
        <v>57</v>
      </c>
      <c r="D2438" s="12" t="s">
        <v>49</v>
      </c>
      <c r="E2438" s="16" t="n">
        <v>329.363031</v>
      </c>
      <c r="F2438" s="16" t="n">
        <v>0</v>
      </c>
      <c r="G2438" s="16" t="n">
        <v>164.753773</v>
      </c>
    </row>
    <row r="2439" customFormat="false" ht="15" hidden="false" customHeight="false" outlineLevel="0" collapsed="false">
      <c r="A2439" s="7" t="n">
        <v>2023</v>
      </c>
      <c r="B2439" s="12" t="s">
        <v>75</v>
      </c>
      <c r="C2439" s="12" t="s">
        <v>57</v>
      </c>
      <c r="D2439" s="12" t="s">
        <v>48</v>
      </c>
      <c r="E2439" s="16" t="n">
        <v>179.688879</v>
      </c>
      <c r="F2439" s="16" t="n">
        <v>0</v>
      </c>
      <c r="G2439" s="16" t="n">
        <v>0</v>
      </c>
    </row>
    <row r="2440" customFormat="false" ht="15" hidden="false" customHeight="false" outlineLevel="0" collapsed="false">
      <c r="A2440" s="7" t="n">
        <v>2023</v>
      </c>
      <c r="B2440" s="12" t="s">
        <v>75</v>
      </c>
      <c r="C2440" s="12" t="s">
        <v>57</v>
      </c>
      <c r="D2440" s="12" t="s">
        <v>46</v>
      </c>
      <c r="E2440" s="16" t="n">
        <v>113.896841</v>
      </c>
      <c r="F2440" s="16" t="n">
        <v>0</v>
      </c>
      <c r="G2440" s="16" t="n">
        <v>170.21086</v>
      </c>
    </row>
    <row r="2441" customFormat="false" ht="15" hidden="false" customHeight="false" outlineLevel="0" collapsed="false">
      <c r="A2441" s="7" t="n">
        <v>2023</v>
      </c>
      <c r="B2441" s="12" t="s">
        <v>75</v>
      </c>
      <c r="C2441" s="12" t="s">
        <v>57</v>
      </c>
      <c r="D2441" s="12" t="s">
        <v>47</v>
      </c>
      <c r="E2441" s="16" t="n">
        <v>11.078104</v>
      </c>
      <c r="F2441" s="16" t="n">
        <v>0</v>
      </c>
      <c r="G2441" s="16" t="n">
        <v>0</v>
      </c>
    </row>
    <row r="2442" customFormat="false" ht="15" hidden="false" customHeight="false" outlineLevel="0" collapsed="false">
      <c r="A2442" s="7" t="n">
        <v>2023</v>
      </c>
      <c r="B2442" s="12" t="s">
        <v>75</v>
      </c>
      <c r="C2442" s="12" t="s">
        <v>57</v>
      </c>
      <c r="D2442" s="12" t="s">
        <v>45</v>
      </c>
      <c r="E2442" s="16" t="n">
        <v>399.390385</v>
      </c>
      <c r="F2442" s="16" t="n">
        <v>351.94878</v>
      </c>
      <c r="G2442" s="16" t="n">
        <v>91.132642</v>
      </c>
    </row>
    <row r="2443" customFormat="false" ht="15" hidden="false" customHeight="false" outlineLevel="0" collapsed="false">
      <c r="A2443" s="7" t="n">
        <v>2023</v>
      </c>
      <c r="B2443" s="12" t="s">
        <v>76</v>
      </c>
      <c r="C2443" s="12" t="s">
        <v>72</v>
      </c>
      <c r="D2443" s="12" t="s">
        <v>49</v>
      </c>
      <c r="E2443" s="16" t="n">
        <v>51.924463</v>
      </c>
      <c r="F2443" s="16" t="n">
        <v>0</v>
      </c>
      <c r="G2443" s="16" t="n">
        <v>28.577036</v>
      </c>
    </row>
    <row r="2444" customFormat="false" ht="15" hidden="false" customHeight="false" outlineLevel="0" collapsed="false">
      <c r="A2444" s="7" t="n">
        <v>2023</v>
      </c>
      <c r="B2444" s="12" t="s">
        <v>76</v>
      </c>
      <c r="C2444" s="12" t="s">
        <v>72</v>
      </c>
      <c r="D2444" s="12" t="s">
        <v>48</v>
      </c>
      <c r="E2444" s="16" t="n">
        <v>27.998316</v>
      </c>
      <c r="F2444" s="16" t="n">
        <v>0</v>
      </c>
      <c r="G2444" s="16" t="n">
        <v>0</v>
      </c>
    </row>
    <row r="2445" customFormat="false" ht="15" hidden="false" customHeight="false" outlineLevel="0" collapsed="false">
      <c r="A2445" s="7" t="n">
        <v>2023</v>
      </c>
      <c r="B2445" s="12" t="s">
        <v>76</v>
      </c>
      <c r="C2445" s="12" t="s">
        <v>72</v>
      </c>
      <c r="D2445" s="12" t="s">
        <v>46</v>
      </c>
      <c r="E2445" s="16" t="n">
        <v>39.231157</v>
      </c>
      <c r="F2445" s="16" t="n">
        <v>0</v>
      </c>
      <c r="G2445" s="16" t="n">
        <v>41.793473</v>
      </c>
    </row>
    <row r="2446" customFormat="false" ht="15" hidden="false" customHeight="false" outlineLevel="0" collapsed="false">
      <c r="A2446" s="7" t="n">
        <v>2023</v>
      </c>
      <c r="B2446" s="12" t="s">
        <v>76</v>
      </c>
      <c r="C2446" s="12" t="s">
        <v>72</v>
      </c>
      <c r="D2446" s="12" t="s">
        <v>45</v>
      </c>
      <c r="E2446" s="16" t="n">
        <v>73.216297</v>
      </c>
      <c r="F2446" s="16" t="n">
        <v>59.220373</v>
      </c>
      <c r="G2446" s="16" t="n">
        <v>47.411767</v>
      </c>
    </row>
    <row r="2447" customFormat="false" ht="15" hidden="false" customHeight="false" outlineLevel="0" collapsed="false">
      <c r="A2447" s="7" t="n">
        <v>2023</v>
      </c>
      <c r="B2447" s="12" t="s">
        <v>77</v>
      </c>
      <c r="C2447" s="12" t="s">
        <v>57</v>
      </c>
      <c r="D2447" s="12" t="s">
        <v>49</v>
      </c>
      <c r="E2447" s="16" t="n">
        <v>56.949234</v>
      </c>
      <c r="F2447" s="16" t="n">
        <v>0</v>
      </c>
      <c r="G2447" s="16" t="n">
        <v>7.126675</v>
      </c>
    </row>
    <row r="2448" customFormat="false" ht="15" hidden="false" customHeight="false" outlineLevel="0" collapsed="false">
      <c r="A2448" s="7" t="n">
        <v>2023</v>
      </c>
      <c r="B2448" s="12" t="s">
        <v>77</v>
      </c>
      <c r="C2448" s="12" t="s">
        <v>57</v>
      </c>
      <c r="D2448" s="12" t="s">
        <v>48</v>
      </c>
      <c r="E2448" s="16" t="n">
        <v>26.082095</v>
      </c>
      <c r="F2448" s="16" t="n">
        <v>0</v>
      </c>
      <c r="G2448" s="16" t="n">
        <v>0</v>
      </c>
    </row>
    <row r="2449" customFormat="false" ht="15" hidden="false" customHeight="false" outlineLevel="0" collapsed="false">
      <c r="A2449" s="7" t="n">
        <v>2023</v>
      </c>
      <c r="B2449" s="12" t="s">
        <v>77</v>
      </c>
      <c r="C2449" s="12" t="s">
        <v>57</v>
      </c>
      <c r="D2449" s="12" t="s">
        <v>46</v>
      </c>
      <c r="E2449" s="16" t="n">
        <v>20.136041</v>
      </c>
      <c r="F2449" s="16" t="n">
        <v>0</v>
      </c>
      <c r="G2449" s="16" t="n">
        <v>14.840562</v>
      </c>
    </row>
    <row r="2450" customFormat="false" ht="15" hidden="false" customHeight="false" outlineLevel="0" collapsed="false">
      <c r="A2450" s="7" t="n">
        <v>2023</v>
      </c>
      <c r="B2450" s="12" t="s">
        <v>77</v>
      </c>
      <c r="C2450" s="12" t="s">
        <v>57</v>
      </c>
      <c r="D2450" s="12" t="s">
        <v>47</v>
      </c>
      <c r="E2450" s="16" t="n">
        <v>1.018458</v>
      </c>
      <c r="F2450" s="16" t="n">
        <v>0</v>
      </c>
      <c r="G2450" s="16" t="n">
        <v>0</v>
      </c>
    </row>
    <row r="2451" customFormat="false" ht="15" hidden="false" customHeight="false" outlineLevel="0" collapsed="false">
      <c r="A2451" s="7" t="n">
        <v>2023</v>
      </c>
      <c r="B2451" s="12" t="s">
        <v>77</v>
      </c>
      <c r="C2451" s="12" t="s">
        <v>57</v>
      </c>
      <c r="D2451" s="12" t="s">
        <v>45</v>
      </c>
      <c r="E2451" s="16" t="n">
        <v>35.766936</v>
      </c>
      <c r="F2451" s="16" t="n">
        <v>24.75174</v>
      </c>
      <c r="G2451" s="16" t="n">
        <v>12.370979</v>
      </c>
    </row>
    <row r="2452" customFormat="false" ht="15" hidden="false" customHeight="false" outlineLevel="0" collapsed="false">
      <c r="A2452" s="7" t="n">
        <v>2023</v>
      </c>
      <c r="B2452" s="12" t="s">
        <v>78</v>
      </c>
      <c r="C2452" s="12" t="s">
        <v>65</v>
      </c>
      <c r="D2452" s="12" t="s">
        <v>49</v>
      </c>
      <c r="E2452" s="16" t="n">
        <v>48.188093</v>
      </c>
      <c r="F2452" s="16" t="n">
        <v>0</v>
      </c>
      <c r="G2452" s="16" t="n">
        <v>15.659876</v>
      </c>
    </row>
    <row r="2453" customFormat="false" ht="15" hidden="false" customHeight="false" outlineLevel="0" collapsed="false">
      <c r="A2453" s="7" t="n">
        <v>2023</v>
      </c>
      <c r="B2453" s="12" t="s">
        <v>78</v>
      </c>
      <c r="C2453" s="12" t="s">
        <v>65</v>
      </c>
      <c r="D2453" s="12" t="s">
        <v>48</v>
      </c>
      <c r="E2453" s="16" t="n">
        <v>13.948184</v>
      </c>
      <c r="F2453" s="16" t="n">
        <v>0</v>
      </c>
      <c r="G2453" s="16" t="n">
        <v>0</v>
      </c>
    </row>
    <row r="2454" customFormat="false" ht="15" hidden="false" customHeight="false" outlineLevel="0" collapsed="false">
      <c r="A2454" s="7" t="n">
        <v>2023</v>
      </c>
      <c r="B2454" s="12" t="s">
        <v>78</v>
      </c>
      <c r="C2454" s="12" t="s">
        <v>65</v>
      </c>
      <c r="D2454" s="12" t="s">
        <v>46</v>
      </c>
      <c r="E2454" s="16" t="n">
        <v>22.804499</v>
      </c>
      <c r="F2454" s="16" t="n">
        <v>0</v>
      </c>
      <c r="G2454" s="16" t="n">
        <v>30.306768</v>
      </c>
    </row>
    <row r="2455" customFormat="false" ht="15" hidden="false" customHeight="false" outlineLevel="0" collapsed="false">
      <c r="A2455" s="7" t="n">
        <v>2023</v>
      </c>
      <c r="B2455" s="12" t="s">
        <v>78</v>
      </c>
      <c r="C2455" s="12" t="s">
        <v>65</v>
      </c>
      <c r="D2455" s="12" t="s">
        <v>47</v>
      </c>
      <c r="E2455" s="16" t="n">
        <v>0</v>
      </c>
      <c r="F2455" s="16" t="n">
        <v>0</v>
      </c>
      <c r="G2455" s="16" t="n">
        <v>0</v>
      </c>
    </row>
    <row r="2456" customFormat="false" ht="15" hidden="false" customHeight="false" outlineLevel="0" collapsed="false">
      <c r="A2456" s="7" t="n">
        <v>2023</v>
      </c>
      <c r="B2456" s="12" t="s">
        <v>78</v>
      </c>
      <c r="C2456" s="12" t="s">
        <v>65</v>
      </c>
      <c r="D2456" s="12" t="s">
        <v>45</v>
      </c>
      <c r="E2456" s="16" t="n">
        <v>19.797399</v>
      </c>
      <c r="F2456" s="16" t="n">
        <v>0</v>
      </c>
      <c r="G2456" s="16" t="n">
        <v>13.662432</v>
      </c>
    </row>
    <row r="2457" customFormat="false" ht="15" hidden="false" customHeight="false" outlineLevel="0" collapsed="false">
      <c r="A2457" s="7" t="n">
        <v>2023</v>
      </c>
      <c r="B2457" s="12" t="s">
        <v>79</v>
      </c>
      <c r="C2457" s="12" t="s">
        <v>72</v>
      </c>
      <c r="D2457" s="12" t="s">
        <v>49</v>
      </c>
      <c r="E2457" s="16" t="n">
        <v>97.530906</v>
      </c>
      <c r="F2457" s="16" t="n">
        <v>0</v>
      </c>
      <c r="G2457" s="16" t="n">
        <v>57.699738</v>
      </c>
    </row>
    <row r="2458" customFormat="false" ht="15" hidden="false" customHeight="false" outlineLevel="0" collapsed="false">
      <c r="A2458" s="7" t="n">
        <v>2023</v>
      </c>
      <c r="B2458" s="12" t="s">
        <v>79</v>
      </c>
      <c r="C2458" s="12" t="s">
        <v>72</v>
      </c>
      <c r="D2458" s="12" t="s">
        <v>48</v>
      </c>
      <c r="E2458" s="16" t="n">
        <v>92.70839</v>
      </c>
      <c r="F2458" s="16" t="n">
        <v>0</v>
      </c>
      <c r="G2458" s="16" t="n">
        <v>0</v>
      </c>
    </row>
    <row r="2459" customFormat="false" ht="15" hidden="false" customHeight="false" outlineLevel="0" collapsed="false">
      <c r="A2459" s="7" t="n">
        <v>2023</v>
      </c>
      <c r="B2459" s="12" t="s">
        <v>79</v>
      </c>
      <c r="C2459" s="12" t="s">
        <v>72</v>
      </c>
      <c r="D2459" s="12" t="s">
        <v>46</v>
      </c>
      <c r="E2459" s="16" t="n">
        <v>88.33853</v>
      </c>
      <c r="F2459" s="16" t="n">
        <v>0</v>
      </c>
      <c r="G2459" s="16" t="n">
        <v>163.22434</v>
      </c>
    </row>
    <row r="2460" customFormat="false" ht="15" hidden="false" customHeight="false" outlineLevel="0" collapsed="false">
      <c r="A2460" s="7" t="n">
        <v>2023</v>
      </c>
      <c r="B2460" s="12" t="s">
        <v>79</v>
      </c>
      <c r="C2460" s="12" t="s">
        <v>72</v>
      </c>
      <c r="D2460" s="12" t="s">
        <v>47</v>
      </c>
      <c r="E2460" s="16" t="n">
        <v>4.677866</v>
      </c>
      <c r="F2460" s="16" t="n">
        <v>0</v>
      </c>
      <c r="G2460" s="16" t="n">
        <v>0</v>
      </c>
    </row>
    <row r="2461" customFormat="false" ht="15" hidden="false" customHeight="false" outlineLevel="0" collapsed="false">
      <c r="A2461" s="7" t="n">
        <v>2023</v>
      </c>
      <c r="B2461" s="12" t="s">
        <v>79</v>
      </c>
      <c r="C2461" s="12" t="s">
        <v>72</v>
      </c>
      <c r="D2461" s="12" t="s">
        <v>45</v>
      </c>
      <c r="E2461" s="16" t="n">
        <v>355.696301</v>
      </c>
      <c r="F2461" s="16" t="n">
        <v>340.478632</v>
      </c>
      <c r="G2461" s="16" t="n">
        <v>0</v>
      </c>
    </row>
    <row r="2462" customFormat="false" ht="15" hidden="false" customHeight="false" outlineLevel="0" collapsed="false">
      <c r="A2462" s="7" t="n">
        <v>2023</v>
      </c>
      <c r="B2462" s="12" t="s">
        <v>80</v>
      </c>
      <c r="C2462" s="12" t="s">
        <v>72</v>
      </c>
      <c r="D2462" s="12" t="s">
        <v>49</v>
      </c>
      <c r="E2462" s="16" t="n">
        <v>86.630778</v>
      </c>
      <c r="F2462" s="16" t="n">
        <v>0</v>
      </c>
      <c r="G2462" s="16" t="n">
        <v>38.528709</v>
      </c>
    </row>
    <row r="2463" customFormat="false" ht="15" hidden="false" customHeight="false" outlineLevel="0" collapsed="false">
      <c r="A2463" s="7" t="n">
        <v>2023</v>
      </c>
      <c r="B2463" s="12" t="s">
        <v>80</v>
      </c>
      <c r="C2463" s="12" t="s">
        <v>72</v>
      </c>
      <c r="D2463" s="12" t="s">
        <v>48</v>
      </c>
      <c r="E2463" s="16" t="n">
        <v>34.66376</v>
      </c>
      <c r="F2463" s="16" t="n">
        <v>0</v>
      </c>
      <c r="G2463" s="16" t="n">
        <v>0</v>
      </c>
    </row>
    <row r="2464" customFormat="false" ht="15" hidden="false" customHeight="false" outlineLevel="0" collapsed="false">
      <c r="A2464" s="7" t="n">
        <v>2023</v>
      </c>
      <c r="B2464" s="12" t="s">
        <v>80</v>
      </c>
      <c r="C2464" s="12" t="s">
        <v>72</v>
      </c>
      <c r="D2464" s="12" t="s">
        <v>46</v>
      </c>
      <c r="E2464" s="16" t="n">
        <v>30.847957</v>
      </c>
      <c r="F2464" s="16" t="n">
        <v>0</v>
      </c>
      <c r="G2464" s="16" t="n">
        <v>82.825036</v>
      </c>
    </row>
    <row r="2465" customFormat="false" ht="15" hidden="false" customHeight="false" outlineLevel="0" collapsed="false">
      <c r="A2465" s="7" t="n">
        <v>2023</v>
      </c>
      <c r="B2465" s="12" t="s">
        <v>80</v>
      </c>
      <c r="C2465" s="12" t="s">
        <v>72</v>
      </c>
      <c r="D2465" s="12" t="s">
        <v>47</v>
      </c>
      <c r="E2465" s="16" t="n">
        <v>2.974664</v>
      </c>
      <c r="F2465" s="16" t="n">
        <v>0</v>
      </c>
      <c r="G2465" s="16" t="n">
        <v>0</v>
      </c>
    </row>
    <row r="2466" customFormat="false" ht="15" hidden="false" customHeight="false" outlineLevel="0" collapsed="false">
      <c r="A2466" s="7" t="n">
        <v>2023</v>
      </c>
      <c r="B2466" s="12" t="s">
        <v>80</v>
      </c>
      <c r="C2466" s="12" t="s">
        <v>72</v>
      </c>
      <c r="D2466" s="12" t="s">
        <v>45</v>
      </c>
      <c r="E2466" s="16" t="n">
        <v>165.163804</v>
      </c>
      <c r="F2466" s="16" t="n">
        <v>162.792366</v>
      </c>
      <c r="G2466" s="16" t="n">
        <v>0</v>
      </c>
    </row>
    <row r="2467" customFormat="false" ht="15" hidden="false" customHeight="false" outlineLevel="0" collapsed="false">
      <c r="A2467" s="7" t="n">
        <v>2023</v>
      </c>
      <c r="B2467" s="12" t="s">
        <v>81</v>
      </c>
      <c r="C2467" s="12" t="s">
        <v>72</v>
      </c>
      <c r="D2467" s="12" t="s">
        <v>49</v>
      </c>
      <c r="E2467" s="16" t="n">
        <v>55.319427</v>
      </c>
      <c r="F2467" s="16" t="n">
        <v>0</v>
      </c>
      <c r="G2467" s="16" t="n">
        <v>27.722293</v>
      </c>
    </row>
    <row r="2468" customFormat="false" ht="15" hidden="false" customHeight="false" outlineLevel="0" collapsed="false">
      <c r="A2468" s="7" t="n">
        <v>2023</v>
      </c>
      <c r="B2468" s="12" t="s">
        <v>81</v>
      </c>
      <c r="C2468" s="12" t="s">
        <v>72</v>
      </c>
      <c r="D2468" s="12" t="s">
        <v>48</v>
      </c>
      <c r="E2468" s="16" t="n">
        <v>38.977242</v>
      </c>
      <c r="F2468" s="16" t="n">
        <v>0</v>
      </c>
      <c r="G2468" s="16" t="n">
        <v>0</v>
      </c>
    </row>
    <row r="2469" customFormat="false" ht="15" hidden="false" customHeight="false" outlineLevel="0" collapsed="false">
      <c r="A2469" s="7" t="n">
        <v>2023</v>
      </c>
      <c r="B2469" s="12" t="s">
        <v>81</v>
      </c>
      <c r="C2469" s="12" t="s">
        <v>72</v>
      </c>
      <c r="D2469" s="12" t="s">
        <v>46</v>
      </c>
      <c r="E2469" s="16" t="n">
        <v>31.561722</v>
      </c>
      <c r="F2469" s="16" t="n">
        <v>0</v>
      </c>
      <c r="G2469" s="16" t="n">
        <v>56.068807</v>
      </c>
    </row>
    <row r="2470" customFormat="false" ht="15" hidden="false" customHeight="false" outlineLevel="0" collapsed="false">
      <c r="A2470" s="7" t="n">
        <v>2023</v>
      </c>
      <c r="B2470" s="12" t="s">
        <v>81</v>
      </c>
      <c r="C2470" s="12" t="s">
        <v>72</v>
      </c>
      <c r="D2470" s="12" t="s">
        <v>47</v>
      </c>
      <c r="E2470" s="16" t="n">
        <v>2.264006</v>
      </c>
      <c r="F2470" s="16" t="n">
        <v>0</v>
      </c>
      <c r="G2470" s="16" t="n">
        <v>0</v>
      </c>
    </row>
    <row r="2471" customFormat="false" ht="15" hidden="false" customHeight="false" outlineLevel="0" collapsed="false">
      <c r="A2471" s="7" t="n">
        <v>2023</v>
      </c>
      <c r="B2471" s="12" t="s">
        <v>81</v>
      </c>
      <c r="C2471" s="12" t="s">
        <v>72</v>
      </c>
      <c r="D2471" s="12" t="s">
        <v>45</v>
      </c>
      <c r="E2471" s="16" t="n">
        <v>160.840381</v>
      </c>
      <c r="F2471" s="16" t="n">
        <v>153.746473</v>
      </c>
      <c r="G2471" s="16" t="n">
        <v>0</v>
      </c>
    </row>
    <row r="2472" customFormat="false" ht="15" hidden="false" customHeight="false" outlineLevel="0" collapsed="false">
      <c r="A2472" s="7" t="n">
        <v>2024</v>
      </c>
      <c r="B2472" s="12" t="s">
        <v>56</v>
      </c>
      <c r="C2472" s="12" t="s">
        <v>57</v>
      </c>
      <c r="D2472" s="12" t="s">
        <v>49</v>
      </c>
      <c r="E2472" s="16" t="n">
        <v>87.850247</v>
      </c>
      <c r="F2472" s="16" t="n">
        <v>0</v>
      </c>
      <c r="G2472" s="16" t="n">
        <v>17.750853</v>
      </c>
    </row>
    <row r="2473" customFormat="false" ht="15" hidden="false" customHeight="false" outlineLevel="0" collapsed="false">
      <c r="A2473" s="7" t="n">
        <v>2024</v>
      </c>
      <c r="B2473" s="12" t="s">
        <v>56</v>
      </c>
      <c r="C2473" s="12" t="s">
        <v>57</v>
      </c>
      <c r="D2473" s="12" t="s">
        <v>48</v>
      </c>
      <c r="E2473" s="16" t="n">
        <v>17.037442</v>
      </c>
      <c r="F2473" s="16" t="n">
        <v>0</v>
      </c>
      <c r="G2473" s="16" t="n">
        <v>0</v>
      </c>
    </row>
    <row r="2474" customFormat="false" ht="15" hidden="false" customHeight="false" outlineLevel="0" collapsed="false">
      <c r="A2474" s="7" t="n">
        <v>2024</v>
      </c>
      <c r="B2474" s="12" t="s">
        <v>56</v>
      </c>
      <c r="C2474" s="12" t="s">
        <v>57</v>
      </c>
      <c r="D2474" s="12" t="s">
        <v>46</v>
      </c>
      <c r="E2474" s="16" t="n">
        <v>28.016308</v>
      </c>
      <c r="F2474" s="16" t="n">
        <v>0</v>
      </c>
      <c r="G2474" s="16" t="n">
        <v>25.928944</v>
      </c>
    </row>
    <row r="2475" customFormat="false" ht="15" hidden="false" customHeight="false" outlineLevel="0" collapsed="false">
      <c r="A2475" s="7" t="n">
        <v>2024</v>
      </c>
      <c r="B2475" s="12" t="s">
        <v>56</v>
      </c>
      <c r="C2475" s="12" t="s">
        <v>57</v>
      </c>
      <c r="D2475" s="12" t="s">
        <v>45</v>
      </c>
      <c r="E2475" s="16" t="n">
        <v>91.507021</v>
      </c>
      <c r="F2475" s="16" t="n">
        <v>62.372759</v>
      </c>
      <c r="G2475" s="16" t="n">
        <v>27.68839</v>
      </c>
    </row>
    <row r="2476" customFormat="false" ht="15" hidden="false" customHeight="false" outlineLevel="0" collapsed="false">
      <c r="A2476" s="7" t="n">
        <v>2024</v>
      </c>
      <c r="B2476" s="12" t="s">
        <v>58</v>
      </c>
      <c r="C2476" s="12" t="s">
        <v>59</v>
      </c>
      <c r="D2476" s="12" t="s">
        <v>49</v>
      </c>
      <c r="E2476" s="16" t="n">
        <v>114.257625</v>
      </c>
      <c r="F2476" s="16" t="n">
        <v>0</v>
      </c>
      <c r="G2476" s="16" t="n">
        <v>119.737783</v>
      </c>
    </row>
    <row r="2477" customFormat="false" ht="15" hidden="false" customHeight="false" outlineLevel="0" collapsed="false">
      <c r="A2477" s="7" t="n">
        <v>2024</v>
      </c>
      <c r="B2477" s="12" t="s">
        <v>58</v>
      </c>
      <c r="C2477" s="12" t="s">
        <v>59</v>
      </c>
      <c r="D2477" s="12" t="s">
        <v>48</v>
      </c>
      <c r="E2477" s="16" t="n">
        <v>128.932284</v>
      </c>
      <c r="F2477" s="16" t="n">
        <v>0</v>
      </c>
      <c r="G2477" s="16" t="n">
        <v>0</v>
      </c>
    </row>
    <row r="2478" customFormat="false" ht="15" hidden="false" customHeight="false" outlineLevel="0" collapsed="false">
      <c r="A2478" s="7" t="n">
        <v>2024</v>
      </c>
      <c r="B2478" s="12" t="s">
        <v>58</v>
      </c>
      <c r="C2478" s="12" t="s">
        <v>59</v>
      </c>
      <c r="D2478" s="12" t="s">
        <v>46</v>
      </c>
      <c r="E2478" s="16" t="n">
        <v>266.470536</v>
      </c>
      <c r="F2478" s="16" t="n">
        <v>0</v>
      </c>
      <c r="G2478" s="16" t="n">
        <v>269.045121</v>
      </c>
    </row>
    <row r="2479" customFormat="false" ht="15" hidden="false" customHeight="false" outlineLevel="0" collapsed="false">
      <c r="A2479" s="7" t="n">
        <v>2024</v>
      </c>
      <c r="B2479" s="12" t="s">
        <v>58</v>
      </c>
      <c r="C2479" s="12" t="s">
        <v>59</v>
      </c>
      <c r="D2479" s="12" t="s">
        <v>47</v>
      </c>
      <c r="E2479" s="16" t="n">
        <v>0.877373</v>
      </c>
      <c r="F2479" s="16" t="n">
        <v>0</v>
      </c>
      <c r="G2479" s="16" t="n">
        <v>0</v>
      </c>
    </row>
    <row r="2480" customFormat="false" ht="15" hidden="false" customHeight="false" outlineLevel="0" collapsed="false">
      <c r="A2480" s="7" t="n">
        <v>2024</v>
      </c>
      <c r="B2480" s="12" t="s">
        <v>58</v>
      </c>
      <c r="C2480" s="12" t="s">
        <v>59</v>
      </c>
      <c r="D2480" s="12" t="s">
        <v>45</v>
      </c>
      <c r="E2480" s="16" t="n">
        <v>66.124418</v>
      </c>
      <c r="F2480" s="16" t="n">
        <v>28.700316</v>
      </c>
      <c r="G2480" s="16" t="n">
        <v>108.666938</v>
      </c>
    </row>
    <row r="2481" customFormat="false" ht="15" hidden="false" customHeight="false" outlineLevel="0" collapsed="false">
      <c r="A2481" s="7" t="n">
        <v>2024</v>
      </c>
      <c r="B2481" s="12" t="s">
        <v>60</v>
      </c>
      <c r="C2481" s="12" t="s">
        <v>59</v>
      </c>
      <c r="D2481" s="12" t="s">
        <v>49</v>
      </c>
      <c r="E2481" s="16" t="n">
        <v>521.871687</v>
      </c>
      <c r="F2481" s="16" t="n">
        <v>0</v>
      </c>
      <c r="G2481" s="16" t="n">
        <v>255.887492</v>
      </c>
    </row>
    <row r="2482" customFormat="false" ht="15" hidden="false" customHeight="false" outlineLevel="0" collapsed="false">
      <c r="A2482" s="7" t="n">
        <v>2024</v>
      </c>
      <c r="B2482" s="12" t="s">
        <v>60</v>
      </c>
      <c r="C2482" s="12" t="s">
        <v>59</v>
      </c>
      <c r="D2482" s="12" t="s">
        <v>48</v>
      </c>
      <c r="E2482" s="16" t="n">
        <v>369.822136</v>
      </c>
      <c r="F2482" s="16" t="n">
        <v>0</v>
      </c>
      <c r="G2482" s="16" t="n">
        <v>0</v>
      </c>
    </row>
    <row r="2483" customFormat="false" ht="15" hidden="false" customHeight="false" outlineLevel="0" collapsed="false">
      <c r="A2483" s="7" t="n">
        <v>2024</v>
      </c>
      <c r="B2483" s="12" t="s">
        <v>60</v>
      </c>
      <c r="C2483" s="12" t="s">
        <v>59</v>
      </c>
      <c r="D2483" s="12" t="s">
        <v>46</v>
      </c>
      <c r="E2483" s="16" t="n">
        <v>604.81914</v>
      </c>
      <c r="F2483" s="16" t="n">
        <v>0</v>
      </c>
      <c r="G2483" s="16" t="n">
        <v>755.708118</v>
      </c>
    </row>
    <row r="2484" customFormat="false" ht="15" hidden="false" customHeight="false" outlineLevel="0" collapsed="false">
      <c r="A2484" s="7" t="n">
        <v>2024</v>
      </c>
      <c r="B2484" s="12" t="s">
        <v>60</v>
      </c>
      <c r="C2484" s="12" t="s">
        <v>59</v>
      </c>
      <c r="D2484" s="12" t="s">
        <v>47</v>
      </c>
      <c r="E2484" s="16" t="n">
        <v>8.46451</v>
      </c>
      <c r="F2484" s="16" t="n">
        <v>0</v>
      </c>
      <c r="G2484" s="16" t="n">
        <v>0</v>
      </c>
    </row>
    <row r="2485" customFormat="false" ht="15" hidden="false" customHeight="false" outlineLevel="0" collapsed="false">
      <c r="A2485" s="7" t="n">
        <v>2024</v>
      </c>
      <c r="B2485" s="12" t="s">
        <v>60</v>
      </c>
      <c r="C2485" s="12" t="s">
        <v>59</v>
      </c>
      <c r="D2485" s="12" t="s">
        <v>45</v>
      </c>
      <c r="E2485" s="16" t="n">
        <v>581.38795</v>
      </c>
      <c r="F2485" s="16" t="n">
        <v>10.271201</v>
      </c>
      <c r="G2485" s="16" t="n">
        <v>171.947228</v>
      </c>
    </row>
    <row r="2486" customFormat="false" ht="15" hidden="false" customHeight="false" outlineLevel="0" collapsed="false">
      <c r="A2486" s="7" t="n">
        <v>2024</v>
      </c>
      <c r="B2486" s="12" t="s">
        <v>61</v>
      </c>
      <c r="C2486" s="12" t="s">
        <v>62</v>
      </c>
      <c r="D2486" s="12" t="s">
        <v>49</v>
      </c>
      <c r="E2486" s="16" t="n">
        <v>63.98524</v>
      </c>
      <c r="F2486" s="16" t="n">
        <v>0</v>
      </c>
      <c r="G2486" s="16" t="n">
        <v>89.560623</v>
      </c>
    </row>
    <row r="2487" customFormat="false" ht="15" hidden="false" customHeight="false" outlineLevel="0" collapsed="false">
      <c r="A2487" s="7" t="n">
        <v>2024</v>
      </c>
      <c r="B2487" s="12" t="s">
        <v>61</v>
      </c>
      <c r="C2487" s="12" t="s">
        <v>62</v>
      </c>
      <c r="D2487" s="12" t="s">
        <v>48</v>
      </c>
      <c r="E2487" s="16" t="n">
        <v>324.748519</v>
      </c>
      <c r="F2487" s="16" t="n">
        <v>0</v>
      </c>
      <c r="G2487" s="16" t="n">
        <v>0</v>
      </c>
    </row>
    <row r="2488" customFormat="false" ht="15" hidden="false" customHeight="false" outlineLevel="0" collapsed="false">
      <c r="A2488" s="7" t="n">
        <v>2024</v>
      </c>
      <c r="B2488" s="12" t="s">
        <v>61</v>
      </c>
      <c r="C2488" s="12" t="s">
        <v>62</v>
      </c>
      <c r="D2488" s="12" t="s">
        <v>46</v>
      </c>
      <c r="E2488" s="16" t="n">
        <v>366.258988</v>
      </c>
      <c r="F2488" s="16" t="n">
        <v>0</v>
      </c>
      <c r="G2488" s="16" t="n">
        <v>344.340344</v>
      </c>
    </row>
    <row r="2489" customFormat="false" ht="15" hidden="false" customHeight="false" outlineLevel="0" collapsed="false">
      <c r="A2489" s="7" t="n">
        <v>2024</v>
      </c>
      <c r="B2489" s="12" t="s">
        <v>61</v>
      </c>
      <c r="C2489" s="12" t="s">
        <v>62</v>
      </c>
      <c r="D2489" s="12" t="s">
        <v>47</v>
      </c>
      <c r="E2489" s="16" t="n">
        <v>10.188208</v>
      </c>
      <c r="F2489" s="16" t="n">
        <v>0</v>
      </c>
      <c r="G2489" s="16" t="n">
        <v>0</v>
      </c>
    </row>
    <row r="2490" customFormat="false" ht="15" hidden="false" customHeight="false" outlineLevel="0" collapsed="false">
      <c r="A2490" s="7" t="n">
        <v>2024</v>
      </c>
      <c r="B2490" s="12" t="s">
        <v>61</v>
      </c>
      <c r="C2490" s="12" t="s">
        <v>62</v>
      </c>
      <c r="D2490" s="12" t="s">
        <v>45</v>
      </c>
      <c r="E2490" s="16" t="n">
        <v>514.541302</v>
      </c>
      <c r="F2490" s="16" t="n">
        <v>500.201381</v>
      </c>
      <c r="G2490" s="16" t="n">
        <v>0</v>
      </c>
    </row>
    <row r="2491" customFormat="false" ht="15" hidden="false" customHeight="false" outlineLevel="0" collapsed="false">
      <c r="A2491" s="7" t="n">
        <v>2024</v>
      </c>
      <c r="B2491" s="12" t="s">
        <v>63</v>
      </c>
      <c r="C2491" s="12" t="s">
        <v>62</v>
      </c>
      <c r="D2491" s="12" t="s">
        <v>49</v>
      </c>
      <c r="E2491" s="16" t="n">
        <v>297.42019</v>
      </c>
      <c r="F2491" s="16" t="n">
        <v>0</v>
      </c>
      <c r="G2491" s="16" t="n">
        <v>344.017458</v>
      </c>
    </row>
    <row r="2492" customFormat="false" ht="15" hidden="false" customHeight="false" outlineLevel="0" collapsed="false">
      <c r="A2492" s="7" t="n">
        <v>2024</v>
      </c>
      <c r="B2492" s="12" t="s">
        <v>63</v>
      </c>
      <c r="C2492" s="12" t="s">
        <v>62</v>
      </c>
      <c r="D2492" s="12" t="s">
        <v>48</v>
      </c>
      <c r="E2492" s="16" t="n">
        <v>385.135162</v>
      </c>
      <c r="F2492" s="16" t="n">
        <v>0</v>
      </c>
      <c r="G2492" s="16" t="n">
        <v>0</v>
      </c>
    </row>
    <row r="2493" customFormat="false" ht="15" hidden="false" customHeight="false" outlineLevel="0" collapsed="false">
      <c r="A2493" s="7" t="n">
        <v>2024</v>
      </c>
      <c r="B2493" s="12" t="s">
        <v>63</v>
      </c>
      <c r="C2493" s="12" t="s">
        <v>62</v>
      </c>
      <c r="D2493" s="12" t="s">
        <v>46</v>
      </c>
      <c r="E2493" s="16" t="n">
        <v>325.675359</v>
      </c>
      <c r="F2493" s="16" t="n">
        <v>0</v>
      </c>
      <c r="G2493" s="16" t="n">
        <v>541.036905</v>
      </c>
    </row>
    <row r="2494" customFormat="false" ht="15" hidden="false" customHeight="false" outlineLevel="0" collapsed="false">
      <c r="A2494" s="7" t="n">
        <v>2024</v>
      </c>
      <c r="B2494" s="12" t="s">
        <v>63</v>
      </c>
      <c r="C2494" s="12" t="s">
        <v>62</v>
      </c>
      <c r="D2494" s="12" t="s">
        <v>47</v>
      </c>
      <c r="E2494" s="16" t="n">
        <v>9.775906</v>
      </c>
      <c r="F2494" s="16" t="n">
        <v>0</v>
      </c>
      <c r="G2494" s="16" t="n">
        <v>0</v>
      </c>
    </row>
    <row r="2495" customFormat="false" ht="15" hidden="false" customHeight="false" outlineLevel="0" collapsed="false">
      <c r="A2495" s="7" t="n">
        <v>2024</v>
      </c>
      <c r="B2495" s="12" t="s">
        <v>63</v>
      </c>
      <c r="C2495" s="12" t="s">
        <v>62</v>
      </c>
      <c r="D2495" s="12" t="s">
        <v>45</v>
      </c>
      <c r="E2495" s="16" t="n">
        <v>458.609418</v>
      </c>
      <c r="F2495" s="16" t="n">
        <v>444.623929</v>
      </c>
      <c r="G2495" s="16" t="n">
        <v>1.880769</v>
      </c>
    </row>
    <row r="2496" customFormat="false" ht="15" hidden="false" customHeight="false" outlineLevel="0" collapsed="false">
      <c r="A2496" s="7" t="n">
        <v>2024</v>
      </c>
      <c r="B2496" s="12" t="s">
        <v>64</v>
      </c>
      <c r="C2496" s="12" t="s">
        <v>65</v>
      </c>
      <c r="D2496" s="12" t="s">
        <v>49</v>
      </c>
      <c r="E2496" s="16" t="n">
        <v>120.98727</v>
      </c>
      <c r="F2496" s="16" t="n">
        <v>0</v>
      </c>
      <c r="G2496" s="16" t="n">
        <v>51.360402</v>
      </c>
    </row>
    <row r="2497" customFormat="false" ht="15" hidden="false" customHeight="false" outlineLevel="0" collapsed="false">
      <c r="A2497" s="7" t="n">
        <v>2024</v>
      </c>
      <c r="B2497" s="12" t="s">
        <v>64</v>
      </c>
      <c r="C2497" s="12" t="s">
        <v>65</v>
      </c>
      <c r="D2497" s="12" t="s">
        <v>48</v>
      </c>
      <c r="E2497" s="16" t="n">
        <v>37.383876</v>
      </c>
      <c r="F2497" s="16" t="n">
        <v>0</v>
      </c>
      <c r="G2497" s="16" t="n">
        <v>0</v>
      </c>
    </row>
    <row r="2498" customFormat="false" ht="15" hidden="false" customHeight="false" outlineLevel="0" collapsed="false">
      <c r="A2498" s="7" t="n">
        <v>2024</v>
      </c>
      <c r="B2498" s="12" t="s">
        <v>64</v>
      </c>
      <c r="C2498" s="12" t="s">
        <v>65</v>
      </c>
      <c r="D2498" s="12" t="s">
        <v>46</v>
      </c>
      <c r="E2498" s="16" t="n">
        <v>103.254983</v>
      </c>
      <c r="F2498" s="16" t="n">
        <v>0</v>
      </c>
      <c r="G2498" s="16" t="n">
        <v>109.18305</v>
      </c>
    </row>
    <row r="2499" customFormat="false" ht="15" hidden="false" customHeight="false" outlineLevel="0" collapsed="false">
      <c r="A2499" s="7" t="n">
        <v>2024</v>
      </c>
      <c r="B2499" s="12" t="s">
        <v>64</v>
      </c>
      <c r="C2499" s="12" t="s">
        <v>65</v>
      </c>
      <c r="D2499" s="12" t="s">
        <v>47</v>
      </c>
      <c r="E2499" s="16" t="n">
        <v>6.092841</v>
      </c>
      <c r="F2499" s="16" t="n">
        <v>0</v>
      </c>
      <c r="G2499" s="16" t="n">
        <v>0</v>
      </c>
    </row>
    <row r="2500" customFormat="false" ht="15" hidden="false" customHeight="false" outlineLevel="0" collapsed="false">
      <c r="A2500" s="7" t="n">
        <v>2024</v>
      </c>
      <c r="B2500" s="12" t="s">
        <v>64</v>
      </c>
      <c r="C2500" s="12" t="s">
        <v>65</v>
      </c>
      <c r="D2500" s="12" t="s">
        <v>45</v>
      </c>
      <c r="E2500" s="16" t="n">
        <v>99.528291</v>
      </c>
      <c r="F2500" s="16" t="n">
        <v>65.636354</v>
      </c>
      <c r="G2500" s="16" t="n">
        <v>49.909819</v>
      </c>
    </row>
    <row r="2501" customFormat="false" ht="15" hidden="false" customHeight="false" outlineLevel="0" collapsed="false">
      <c r="A2501" s="7" t="n">
        <v>2024</v>
      </c>
      <c r="B2501" s="12" t="s">
        <v>66</v>
      </c>
      <c r="C2501" s="12" t="s">
        <v>67</v>
      </c>
      <c r="D2501" s="12" t="s">
        <v>49</v>
      </c>
      <c r="E2501" s="16" t="n">
        <v>115.042207</v>
      </c>
      <c r="F2501" s="16" t="n">
        <v>0</v>
      </c>
      <c r="G2501" s="16" t="n">
        <v>57.201001</v>
      </c>
    </row>
    <row r="2502" customFormat="false" ht="15" hidden="false" customHeight="false" outlineLevel="0" collapsed="false">
      <c r="A2502" s="7" t="n">
        <v>2024</v>
      </c>
      <c r="B2502" s="12" t="s">
        <v>66</v>
      </c>
      <c r="C2502" s="12" t="s">
        <v>67</v>
      </c>
      <c r="D2502" s="12" t="s">
        <v>48</v>
      </c>
      <c r="E2502" s="16" t="n">
        <v>61.927677</v>
      </c>
      <c r="F2502" s="16" t="n">
        <v>0</v>
      </c>
      <c r="G2502" s="16" t="n">
        <v>0</v>
      </c>
    </row>
    <row r="2503" customFormat="false" ht="15" hidden="false" customHeight="false" outlineLevel="0" collapsed="false">
      <c r="A2503" s="7" t="n">
        <v>2024</v>
      </c>
      <c r="B2503" s="12" t="s">
        <v>66</v>
      </c>
      <c r="C2503" s="12" t="s">
        <v>67</v>
      </c>
      <c r="D2503" s="12" t="s">
        <v>46</v>
      </c>
      <c r="E2503" s="16" t="n">
        <v>94.534426</v>
      </c>
      <c r="F2503" s="16" t="n">
        <v>0</v>
      </c>
      <c r="G2503" s="16" t="n">
        <v>97.721821</v>
      </c>
    </row>
    <row r="2504" customFormat="false" ht="15" hidden="false" customHeight="false" outlineLevel="0" collapsed="false">
      <c r="A2504" s="7" t="n">
        <v>2024</v>
      </c>
      <c r="B2504" s="12" t="s">
        <v>66</v>
      </c>
      <c r="C2504" s="12" t="s">
        <v>67</v>
      </c>
      <c r="D2504" s="12" t="s">
        <v>47</v>
      </c>
      <c r="E2504" s="16" t="n">
        <v>6.052433</v>
      </c>
      <c r="F2504" s="16" t="n">
        <v>0</v>
      </c>
      <c r="G2504" s="16" t="n">
        <v>0</v>
      </c>
    </row>
    <row r="2505" customFormat="false" ht="15" hidden="false" customHeight="false" outlineLevel="0" collapsed="false">
      <c r="A2505" s="7" t="n">
        <v>2024</v>
      </c>
      <c r="B2505" s="12" t="s">
        <v>66</v>
      </c>
      <c r="C2505" s="12" t="s">
        <v>67</v>
      </c>
      <c r="D2505" s="12" t="s">
        <v>45</v>
      </c>
      <c r="E2505" s="16" t="n">
        <v>294.683614</v>
      </c>
      <c r="F2505" s="16" t="n">
        <v>261.665236</v>
      </c>
      <c r="G2505" s="16" t="n">
        <v>50.209645</v>
      </c>
    </row>
    <row r="2506" customFormat="false" ht="15" hidden="false" customHeight="false" outlineLevel="0" collapsed="false">
      <c r="A2506" s="7" t="n">
        <v>2024</v>
      </c>
      <c r="B2506" s="12" t="s">
        <v>68</v>
      </c>
      <c r="C2506" s="12" t="s">
        <v>65</v>
      </c>
      <c r="D2506" s="12" t="s">
        <v>49</v>
      </c>
      <c r="E2506" s="16" t="n">
        <v>159.542769</v>
      </c>
      <c r="F2506" s="16" t="n">
        <v>0</v>
      </c>
      <c r="G2506" s="16" t="n">
        <v>41.82591</v>
      </c>
    </row>
    <row r="2507" customFormat="false" ht="15" hidden="false" customHeight="false" outlineLevel="0" collapsed="false">
      <c r="A2507" s="7" t="n">
        <v>2024</v>
      </c>
      <c r="B2507" s="12" t="s">
        <v>68</v>
      </c>
      <c r="C2507" s="12" t="s">
        <v>65</v>
      </c>
      <c r="D2507" s="12" t="s">
        <v>48</v>
      </c>
      <c r="E2507" s="16" t="n">
        <v>49.893648</v>
      </c>
      <c r="F2507" s="16" t="n">
        <v>0</v>
      </c>
      <c r="G2507" s="16" t="n">
        <v>0</v>
      </c>
    </row>
    <row r="2508" customFormat="false" ht="15" hidden="false" customHeight="false" outlineLevel="0" collapsed="false">
      <c r="A2508" s="7" t="n">
        <v>2024</v>
      </c>
      <c r="B2508" s="12" t="s">
        <v>68</v>
      </c>
      <c r="C2508" s="12" t="s">
        <v>65</v>
      </c>
      <c r="D2508" s="12" t="s">
        <v>46</v>
      </c>
      <c r="E2508" s="16" t="n">
        <v>100.619848</v>
      </c>
      <c r="F2508" s="16" t="n">
        <v>0</v>
      </c>
      <c r="G2508" s="16" t="n">
        <v>50.635448</v>
      </c>
    </row>
    <row r="2509" customFormat="false" ht="15" hidden="false" customHeight="false" outlineLevel="0" collapsed="false">
      <c r="A2509" s="7" t="n">
        <v>2024</v>
      </c>
      <c r="B2509" s="12" t="s">
        <v>68</v>
      </c>
      <c r="C2509" s="12" t="s">
        <v>65</v>
      </c>
      <c r="D2509" s="12" t="s">
        <v>47</v>
      </c>
      <c r="E2509" s="16" t="n">
        <v>5.602807</v>
      </c>
      <c r="F2509" s="16" t="n">
        <v>0</v>
      </c>
      <c r="G2509" s="16" t="n">
        <v>0</v>
      </c>
    </row>
    <row r="2510" customFormat="false" ht="15" hidden="false" customHeight="false" outlineLevel="0" collapsed="false">
      <c r="A2510" s="7" t="n">
        <v>2024</v>
      </c>
      <c r="B2510" s="12" t="s">
        <v>68</v>
      </c>
      <c r="C2510" s="12" t="s">
        <v>65</v>
      </c>
      <c r="D2510" s="12" t="s">
        <v>45</v>
      </c>
      <c r="E2510" s="16" t="n">
        <v>41.821978</v>
      </c>
      <c r="F2510" s="16" t="n">
        <v>6.278232</v>
      </c>
      <c r="G2510" s="16" t="n">
        <v>11.051916</v>
      </c>
    </row>
    <row r="2511" customFormat="false" ht="15" hidden="false" customHeight="false" outlineLevel="0" collapsed="false">
      <c r="A2511" s="7" t="n">
        <v>2024</v>
      </c>
      <c r="B2511" s="12" t="s">
        <v>69</v>
      </c>
      <c r="C2511" s="12" t="s">
        <v>70</v>
      </c>
      <c r="D2511" s="12" t="s">
        <v>49</v>
      </c>
      <c r="E2511" s="16" t="n">
        <v>90.244032</v>
      </c>
      <c r="F2511" s="16" t="n">
        <v>0</v>
      </c>
      <c r="G2511" s="16" t="n">
        <v>52.946554</v>
      </c>
    </row>
    <row r="2512" customFormat="false" ht="15" hidden="false" customHeight="false" outlineLevel="0" collapsed="false">
      <c r="A2512" s="7" t="n">
        <v>2024</v>
      </c>
      <c r="B2512" s="12" t="s">
        <v>69</v>
      </c>
      <c r="C2512" s="12" t="s">
        <v>70</v>
      </c>
      <c r="D2512" s="12" t="s">
        <v>48</v>
      </c>
      <c r="E2512" s="16" t="n">
        <v>31.340538</v>
      </c>
      <c r="F2512" s="16" t="n">
        <v>0</v>
      </c>
      <c r="G2512" s="16" t="n">
        <v>0</v>
      </c>
    </row>
    <row r="2513" customFormat="false" ht="15" hidden="false" customHeight="false" outlineLevel="0" collapsed="false">
      <c r="A2513" s="7" t="n">
        <v>2024</v>
      </c>
      <c r="B2513" s="12" t="s">
        <v>69</v>
      </c>
      <c r="C2513" s="12" t="s">
        <v>70</v>
      </c>
      <c r="D2513" s="12" t="s">
        <v>46</v>
      </c>
      <c r="E2513" s="16" t="n">
        <v>50.730087</v>
      </c>
      <c r="F2513" s="16" t="n">
        <v>0</v>
      </c>
      <c r="G2513" s="16" t="n">
        <v>126.698892</v>
      </c>
    </row>
    <row r="2514" customFormat="false" ht="15" hidden="false" customHeight="false" outlineLevel="0" collapsed="false">
      <c r="A2514" s="7" t="n">
        <v>2024</v>
      </c>
      <c r="B2514" s="12" t="s">
        <v>69</v>
      </c>
      <c r="C2514" s="12" t="s">
        <v>70</v>
      </c>
      <c r="D2514" s="12" t="s">
        <v>47</v>
      </c>
      <c r="E2514" s="16" t="n">
        <v>3.748699</v>
      </c>
      <c r="F2514" s="16" t="n">
        <v>0</v>
      </c>
      <c r="G2514" s="16" t="n">
        <v>0</v>
      </c>
    </row>
    <row r="2515" customFormat="false" ht="15" hidden="false" customHeight="false" outlineLevel="0" collapsed="false">
      <c r="A2515" s="7" t="n">
        <v>2024</v>
      </c>
      <c r="B2515" s="12" t="s">
        <v>69</v>
      </c>
      <c r="C2515" s="12" t="s">
        <v>70</v>
      </c>
      <c r="D2515" s="12" t="s">
        <v>45</v>
      </c>
      <c r="E2515" s="16" t="n">
        <v>420.053337</v>
      </c>
      <c r="F2515" s="16" t="n">
        <v>416.645307</v>
      </c>
      <c r="G2515" s="16" t="n">
        <v>0</v>
      </c>
    </row>
    <row r="2516" customFormat="false" ht="15" hidden="false" customHeight="false" outlineLevel="0" collapsed="false">
      <c r="A2516" s="7" t="n">
        <v>2024</v>
      </c>
      <c r="B2516" s="12" t="s">
        <v>71</v>
      </c>
      <c r="C2516" s="12" t="s">
        <v>72</v>
      </c>
      <c r="D2516" s="12" t="s">
        <v>49</v>
      </c>
      <c r="E2516" s="16" t="n">
        <v>44.562778</v>
      </c>
      <c r="F2516" s="16" t="n">
        <v>0</v>
      </c>
      <c r="G2516" s="16" t="n">
        <v>11.312624</v>
      </c>
    </row>
    <row r="2517" customFormat="false" ht="15" hidden="false" customHeight="false" outlineLevel="0" collapsed="false">
      <c r="A2517" s="7" t="n">
        <v>2024</v>
      </c>
      <c r="B2517" s="12" t="s">
        <v>71</v>
      </c>
      <c r="C2517" s="12" t="s">
        <v>72</v>
      </c>
      <c r="D2517" s="12" t="s">
        <v>48</v>
      </c>
      <c r="E2517" s="16" t="n">
        <v>24.602942</v>
      </c>
      <c r="F2517" s="16" t="n">
        <v>0</v>
      </c>
      <c r="G2517" s="16" t="n">
        <v>0</v>
      </c>
    </row>
    <row r="2518" customFormat="false" ht="15" hidden="false" customHeight="false" outlineLevel="0" collapsed="false">
      <c r="A2518" s="7" t="n">
        <v>2024</v>
      </c>
      <c r="B2518" s="12" t="s">
        <v>71</v>
      </c>
      <c r="C2518" s="12" t="s">
        <v>72</v>
      </c>
      <c r="D2518" s="12" t="s">
        <v>46</v>
      </c>
      <c r="E2518" s="16" t="n">
        <v>17.457396</v>
      </c>
      <c r="F2518" s="16" t="n">
        <v>0</v>
      </c>
      <c r="G2518" s="16" t="n">
        <v>19.973615</v>
      </c>
    </row>
    <row r="2519" customFormat="false" ht="15" hidden="false" customHeight="false" outlineLevel="0" collapsed="false">
      <c r="A2519" s="7" t="n">
        <v>2024</v>
      </c>
      <c r="B2519" s="12" t="s">
        <v>71</v>
      </c>
      <c r="C2519" s="12" t="s">
        <v>72</v>
      </c>
      <c r="D2519" s="12" t="s">
        <v>47</v>
      </c>
      <c r="E2519" s="16" t="n">
        <v>0.744294</v>
      </c>
      <c r="F2519" s="16" t="n">
        <v>0</v>
      </c>
      <c r="G2519" s="16" t="n">
        <v>0</v>
      </c>
    </row>
    <row r="2520" customFormat="false" ht="15" hidden="false" customHeight="false" outlineLevel="0" collapsed="false">
      <c r="A2520" s="7" t="n">
        <v>2024</v>
      </c>
      <c r="B2520" s="12" t="s">
        <v>71</v>
      </c>
      <c r="C2520" s="12" t="s">
        <v>72</v>
      </c>
      <c r="D2520" s="12" t="s">
        <v>45</v>
      </c>
      <c r="E2520" s="16" t="n">
        <v>48.859637</v>
      </c>
      <c r="F2520" s="16" t="n">
        <v>48.817386</v>
      </c>
      <c r="G2520" s="16" t="n">
        <v>0</v>
      </c>
    </row>
    <row r="2521" customFormat="false" ht="15" hidden="false" customHeight="false" outlineLevel="0" collapsed="false">
      <c r="A2521" s="7" t="n">
        <v>2024</v>
      </c>
      <c r="B2521" s="12" t="s">
        <v>73</v>
      </c>
      <c r="C2521" s="12" t="s">
        <v>70</v>
      </c>
      <c r="D2521" s="12" t="s">
        <v>49</v>
      </c>
      <c r="E2521" s="16" t="n">
        <v>70.20428</v>
      </c>
      <c r="F2521" s="16" t="n">
        <v>0</v>
      </c>
      <c r="G2521" s="16" t="n">
        <v>82.601234</v>
      </c>
    </row>
    <row r="2522" customFormat="false" ht="15" hidden="false" customHeight="false" outlineLevel="0" collapsed="false">
      <c r="A2522" s="7" t="n">
        <v>2024</v>
      </c>
      <c r="B2522" s="12" t="s">
        <v>73</v>
      </c>
      <c r="C2522" s="12" t="s">
        <v>70</v>
      </c>
      <c r="D2522" s="12" t="s">
        <v>48</v>
      </c>
      <c r="E2522" s="16" t="n">
        <v>82.327631</v>
      </c>
      <c r="F2522" s="16" t="n">
        <v>0</v>
      </c>
      <c r="G2522" s="16" t="n">
        <v>0</v>
      </c>
    </row>
    <row r="2523" customFormat="false" ht="15" hidden="false" customHeight="false" outlineLevel="0" collapsed="false">
      <c r="A2523" s="7" t="n">
        <v>2024</v>
      </c>
      <c r="B2523" s="12" t="s">
        <v>73</v>
      </c>
      <c r="C2523" s="12" t="s">
        <v>70</v>
      </c>
      <c r="D2523" s="12" t="s">
        <v>46</v>
      </c>
      <c r="E2523" s="16" t="n">
        <v>100.325466</v>
      </c>
      <c r="F2523" s="16" t="n">
        <v>0</v>
      </c>
      <c r="G2523" s="16" t="n">
        <v>101.987639</v>
      </c>
    </row>
    <row r="2524" customFormat="false" ht="15" hidden="false" customHeight="false" outlineLevel="0" collapsed="false">
      <c r="A2524" s="7" t="n">
        <v>2024</v>
      </c>
      <c r="B2524" s="12" t="s">
        <v>73</v>
      </c>
      <c r="C2524" s="12" t="s">
        <v>70</v>
      </c>
      <c r="D2524" s="12" t="s">
        <v>47</v>
      </c>
      <c r="E2524" s="16" t="n">
        <v>7.87223</v>
      </c>
      <c r="F2524" s="16" t="n">
        <v>0</v>
      </c>
      <c r="G2524" s="16" t="n">
        <v>0</v>
      </c>
    </row>
    <row r="2525" customFormat="false" ht="15" hidden="false" customHeight="false" outlineLevel="0" collapsed="false">
      <c r="A2525" s="7" t="n">
        <v>2024</v>
      </c>
      <c r="B2525" s="12" t="s">
        <v>73</v>
      </c>
      <c r="C2525" s="12" t="s">
        <v>70</v>
      </c>
      <c r="D2525" s="12" t="s">
        <v>45</v>
      </c>
      <c r="E2525" s="16" t="n">
        <v>104.1264</v>
      </c>
      <c r="F2525" s="16" t="n">
        <v>81.914831</v>
      </c>
      <c r="G2525" s="16" t="n">
        <v>52.415359</v>
      </c>
    </row>
    <row r="2526" customFormat="false" ht="15" hidden="false" customHeight="false" outlineLevel="0" collapsed="false">
      <c r="A2526" s="7" t="n">
        <v>2024</v>
      </c>
      <c r="B2526" s="12" t="s">
        <v>74</v>
      </c>
      <c r="C2526" s="12" t="s">
        <v>65</v>
      </c>
      <c r="D2526" s="12" t="s">
        <v>49</v>
      </c>
      <c r="E2526" s="16" t="n">
        <v>231.137972</v>
      </c>
      <c r="F2526" s="16" t="n">
        <v>0</v>
      </c>
      <c r="G2526" s="16" t="n">
        <v>42.852122</v>
      </c>
    </row>
    <row r="2527" customFormat="false" ht="15" hidden="false" customHeight="false" outlineLevel="0" collapsed="false">
      <c r="A2527" s="7" t="n">
        <v>2024</v>
      </c>
      <c r="B2527" s="12" t="s">
        <v>74</v>
      </c>
      <c r="C2527" s="12" t="s">
        <v>65</v>
      </c>
      <c r="D2527" s="12" t="s">
        <v>48</v>
      </c>
      <c r="E2527" s="16" t="n">
        <v>18.893839</v>
      </c>
      <c r="F2527" s="16" t="n">
        <v>0</v>
      </c>
      <c r="G2527" s="16" t="n">
        <v>0</v>
      </c>
    </row>
    <row r="2528" customFormat="false" ht="15" hidden="false" customHeight="false" outlineLevel="0" collapsed="false">
      <c r="A2528" s="7" t="n">
        <v>2024</v>
      </c>
      <c r="B2528" s="12" t="s">
        <v>74</v>
      </c>
      <c r="C2528" s="12" t="s">
        <v>65</v>
      </c>
      <c r="D2528" s="12" t="s">
        <v>46</v>
      </c>
      <c r="E2528" s="16" t="n">
        <v>74.061796</v>
      </c>
      <c r="F2528" s="16" t="n">
        <v>0</v>
      </c>
      <c r="G2528" s="16" t="n">
        <v>73.648025</v>
      </c>
    </row>
    <row r="2529" customFormat="false" ht="15" hidden="false" customHeight="false" outlineLevel="0" collapsed="false">
      <c r="A2529" s="7" t="n">
        <v>2024</v>
      </c>
      <c r="B2529" s="12" t="s">
        <v>74</v>
      </c>
      <c r="C2529" s="12" t="s">
        <v>65</v>
      </c>
      <c r="D2529" s="12" t="s">
        <v>47</v>
      </c>
      <c r="E2529" s="16" t="n">
        <v>5.727136</v>
      </c>
      <c r="F2529" s="16" t="n">
        <v>0</v>
      </c>
      <c r="G2529" s="16" t="n">
        <v>0</v>
      </c>
    </row>
    <row r="2530" customFormat="false" ht="15" hidden="false" customHeight="false" outlineLevel="0" collapsed="false">
      <c r="A2530" s="7" t="n">
        <v>2024</v>
      </c>
      <c r="B2530" s="12" t="s">
        <v>74</v>
      </c>
      <c r="C2530" s="12" t="s">
        <v>65</v>
      </c>
      <c r="D2530" s="12" t="s">
        <v>45</v>
      </c>
      <c r="E2530" s="16" t="n">
        <v>59.667828</v>
      </c>
      <c r="F2530" s="16" t="n">
        <v>0</v>
      </c>
      <c r="G2530" s="16" t="n">
        <v>43.63581</v>
      </c>
    </row>
    <row r="2531" customFormat="false" ht="15" hidden="false" customHeight="false" outlineLevel="0" collapsed="false">
      <c r="A2531" s="7" t="n">
        <v>2024</v>
      </c>
      <c r="B2531" s="12" t="s">
        <v>75</v>
      </c>
      <c r="C2531" s="12" t="s">
        <v>57</v>
      </c>
      <c r="D2531" s="12" t="s">
        <v>49</v>
      </c>
      <c r="E2531" s="16" t="n">
        <v>293.588332</v>
      </c>
      <c r="F2531" s="16" t="n">
        <v>0</v>
      </c>
      <c r="G2531" s="16" t="n">
        <v>192.422769</v>
      </c>
    </row>
    <row r="2532" customFormat="false" ht="15" hidden="false" customHeight="false" outlineLevel="0" collapsed="false">
      <c r="A2532" s="7" t="n">
        <v>2024</v>
      </c>
      <c r="B2532" s="12" t="s">
        <v>75</v>
      </c>
      <c r="C2532" s="12" t="s">
        <v>57</v>
      </c>
      <c r="D2532" s="12" t="s">
        <v>48</v>
      </c>
      <c r="E2532" s="16" t="n">
        <v>234.43982</v>
      </c>
      <c r="F2532" s="16" t="n">
        <v>0</v>
      </c>
      <c r="G2532" s="16" t="n">
        <v>0</v>
      </c>
    </row>
    <row r="2533" customFormat="false" ht="15" hidden="false" customHeight="false" outlineLevel="0" collapsed="false">
      <c r="A2533" s="7" t="n">
        <v>2024</v>
      </c>
      <c r="B2533" s="12" t="s">
        <v>75</v>
      </c>
      <c r="C2533" s="12" t="s">
        <v>57</v>
      </c>
      <c r="D2533" s="12" t="s">
        <v>46</v>
      </c>
      <c r="E2533" s="16" t="n">
        <v>123.465788</v>
      </c>
      <c r="F2533" s="16" t="n">
        <v>0</v>
      </c>
      <c r="G2533" s="16" t="n">
        <v>191.019628</v>
      </c>
    </row>
    <row r="2534" customFormat="false" ht="15" hidden="false" customHeight="false" outlineLevel="0" collapsed="false">
      <c r="A2534" s="7" t="n">
        <v>2024</v>
      </c>
      <c r="B2534" s="12" t="s">
        <v>75</v>
      </c>
      <c r="C2534" s="12" t="s">
        <v>57</v>
      </c>
      <c r="D2534" s="12" t="s">
        <v>47</v>
      </c>
      <c r="E2534" s="16" t="n">
        <v>11.318932</v>
      </c>
      <c r="F2534" s="16" t="n">
        <v>0</v>
      </c>
      <c r="G2534" s="16" t="n">
        <v>0</v>
      </c>
    </row>
    <row r="2535" customFormat="false" ht="15" hidden="false" customHeight="false" outlineLevel="0" collapsed="false">
      <c r="A2535" s="7" t="n">
        <v>2024</v>
      </c>
      <c r="B2535" s="12" t="s">
        <v>75</v>
      </c>
      <c r="C2535" s="12" t="s">
        <v>57</v>
      </c>
      <c r="D2535" s="12" t="s">
        <v>45</v>
      </c>
      <c r="E2535" s="16" t="n">
        <v>413.755405</v>
      </c>
      <c r="F2535" s="16" t="n">
        <v>363.054825</v>
      </c>
      <c r="G2535" s="16" t="n">
        <v>98.826246</v>
      </c>
    </row>
    <row r="2536" customFormat="false" ht="15" hidden="false" customHeight="false" outlineLevel="0" collapsed="false">
      <c r="A2536" s="7" t="n">
        <v>2024</v>
      </c>
      <c r="B2536" s="12" t="s">
        <v>76</v>
      </c>
      <c r="C2536" s="12" t="s">
        <v>72</v>
      </c>
      <c r="D2536" s="12" t="s">
        <v>49</v>
      </c>
      <c r="E2536" s="16" t="n">
        <v>51.156724</v>
      </c>
      <c r="F2536" s="16" t="n">
        <v>0</v>
      </c>
      <c r="G2536" s="16" t="n">
        <v>33.594047</v>
      </c>
    </row>
    <row r="2537" customFormat="false" ht="15" hidden="false" customHeight="false" outlineLevel="0" collapsed="false">
      <c r="A2537" s="7" t="n">
        <v>2024</v>
      </c>
      <c r="B2537" s="12" t="s">
        <v>76</v>
      </c>
      <c r="C2537" s="12" t="s">
        <v>72</v>
      </c>
      <c r="D2537" s="12" t="s">
        <v>48</v>
      </c>
      <c r="E2537" s="16" t="n">
        <v>24.449911</v>
      </c>
      <c r="F2537" s="16" t="n">
        <v>0</v>
      </c>
      <c r="G2537" s="16" t="n">
        <v>0</v>
      </c>
    </row>
    <row r="2538" customFormat="false" ht="15" hidden="false" customHeight="false" outlineLevel="0" collapsed="false">
      <c r="A2538" s="7" t="n">
        <v>2024</v>
      </c>
      <c r="B2538" s="12" t="s">
        <v>76</v>
      </c>
      <c r="C2538" s="12" t="s">
        <v>72</v>
      </c>
      <c r="D2538" s="12" t="s">
        <v>46</v>
      </c>
      <c r="E2538" s="16" t="n">
        <v>24.114335</v>
      </c>
      <c r="F2538" s="16" t="n">
        <v>0</v>
      </c>
      <c r="G2538" s="16" t="n">
        <v>45.635035</v>
      </c>
    </row>
    <row r="2539" customFormat="false" ht="15" hidden="false" customHeight="false" outlineLevel="0" collapsed="false">
      <c r="A2539" s="7" t="n">
        <v>2024</v>
      </c>
      <c r="B2539" s="12" t="s">
        <v>76</v>
      </c>
      <c r="C2539" s="12" t="s">
        <v>72</v>
      </c>
      <c r="D2539" s="12" t="s">
        <v>45</v>
      </c>
      <c r="E2539" s="16" t="n">
        <v>79.555078</v>
      </c>
      <c r="F2539" s="16" t="n">
        <v>67.116676</v>
      </c>
      <c r="G2539" s="16" t="n">
        <v>50.511328</v>
      </c>
    </row>
    <row r="2540" customFormat="false" ht="15" hidden="false" customHeight="false" outlineLevel="0" collapsed="false">
      <c r="A2540" s="7" t="n">
        <v>2024</v>
      </c>
      <c r="B2540" s="12" t="s">
        <v>77</v>
      </c>
      <c r="C2540" s="12" t="s">
        <v>57</v>
      </c>
      <c r="D2540" s="12" t="s">
        <v>49</v>
      </c>
      <c r="E2540" s="16" t="n">
        <v>60.164778</v>
      </c>
      <c r="F2540" s="16" t="n">
        <v>0</v>
      </c>
      <c r="G2540" s="16" t="n">
        <v>9.802546</v>
      </c>
    </row>
    <row r="2541" customFormat="false" ht="15" hidden="false" customHeight="false" outlineLevel="0" collapsed="false">
      <c r="A2541" s="7" t="n">
        <v>2024</v>
      </c>
      <c r="B2541" s="12" t="s">
        <v>77</v>
      </c>
      <c r="C2541" s="12" t="s">
        <v>57</v>
      </c>
      <c r="D2541" s="12" t="s">
        <v>48</v>
      </c>
      <c r="E2541" s="16" t="n">
        <v>23.851331</v>
      </c>
      <c r="F2541" s="16" t="n">
        <v>0</v>
      </c>
      <c r="G2541" s="16" t="n">
        <v>0</v>
      </c>
    </row>
    <row r="2542" customFormat="false" ht="15" hidden="false" customHeight="false" outlineLevel="0" collapsed="false">
      <c r="A2542" s="7" t="n">
        <v>2024</v>
      </c>
      <c r="B2542" s="12" t="s">
        <v>77</v>
      </c>
      <c r="C2542" s="12" t="s">
        <v>57</v>
      </c>
      <c r="D2542" s="12" t="s">
        <v>46</v>
      </c>
      <c r="E2542" s="16" t="n">
        <v>19.319587</v>
      </c>
      <c r="F2542" s="16" t="n">
        <v>0</v>
      </c>
      <c r="G2542" s="16" t="n">
        <v>17.222056</v>
      </c>
    </row>
    <row r="2543" customFormat="false" ht="15" hidden="false" customHeight="false" outlineLevel="0" collapsed="false">
      <c r="A2543" s="7" t="n">
        <v>2024</v>
      </c>
      <c r="B2543" s="12" t="s">
        <v>77</v>
      </c>
      <c r="C2543" s="12" t="s">
        <v>57</v>
      </c>
      <c r="D2543" s="12" t="s">
        <v>47</v>
      </c>
      <c r="E2543" s="16" t="n">
        <v>1.146982</v>
      </c>
      <c r="F2543" s="16" t="n">
        <v>0</v>
      </c>
      <c r="G2543" s="16" t="n">
        <v>0</v>
      </c>
    </row>
    <row r="2544" customFormat="false" ht="15" hidden="false" customHeight="false" outlineLevel="0" collapsed="false">
      <c r="A2544" s="7" t="n">
        <v>2024</v>
      </c>
      <c r="B2544" s="12" t="s">
        <v>77</v>
      </c>
      <c r="C2544" s="12" t="s">
        <v>57</v>
      </c>
      <c r="D2544" s="12" t="s">
        <v>45</v>
      </c>
      <c r="E2544" s="16" t="n">
        <v>35.305551</v>
      </c>
      <c r="F2544" s="16" t="n">
        <v>23.477129</v>
      </c>
      <c r="G2544" s="16" t="n">
        <v>12.151271</v>
      </c>
    </row>
    <row r="2545" customFormat="false" ht="15" hidden="false" customHeight="false" outlineLevel="0" collapsed="false">
      <c r="A2545" s="7" t="n">
        <v>2024</v>
      </c>
      <c r="B2545" s="12" t="s">
        <v>78</v>
      </c>
      <c r="C2545" s="12" t="s">
        <v>65</v>
      </c>
      <c r="D2545" s="12" t="s">
        <v>49</v>
      </c>
      <c r="E2545" s="16" t="n">
        <v>48.475202</v>
      </c>
      <c r="F2545" s="16" t="n">
        <v>0</v>
      </c>
      <c r="G2545" s="16" t="n">
        <v>13.440095</v>
      </c>
    </row>
    <row r="2546" customFormat="false" ht="15" hidden="false" customHeight="false" outlineLevel="0" collapsed="false">
      <c r="A2546" s="7" t="n">
        <v>2024</v>
      </c>
      <c r="B2546" s="12" t="s">
        <v>78</v>
      </c>
      <c r="C2546" s="12" t="s">
        <v>65</v>
      </c>
      <c r="D2546" s="12" t="s">
        <v>48</v>
      </c>
      <c r="E2546" s="16" t="n">
        <v>13.098574</v>
      </c>
      <c r="F2546" s="16" t="n">
        <v>0</v>
      </c>
      <c r="G2546" s="16" t="n">
        <v>0</v>
      </c>
    </row>
    <row r="2547" customFormat="false" ht="15" hidden="false" customHeight="false" outlineLevel="0" collapsed="false">
      <c r="A2547" s="7" t="n">
        <v>2024</v>
      </c>
      <c r="B2547" s="12" t="s">
        <v>78</v>
      </c>
      <c r="C2547" s="12" t="s">
        <v>65</v>
      </c>
      <c r="D2547" s="12" t="s">
        <v>46</v>
      </c>
      <c r="E2547" s="16" t="n">
        <v>22.772611</v>
      </c>
      <c r="F2547" s="16" t="n">
        <v>0</v>
      </c>
      <c r="G2547" s="16" t="n">
        <v>34.805757</v>
      </c>
    </row>
    <row r="2548" customFormat="false" ht="15" hidden="false" customHeight="false" outlineLevel="0" collapsed="false">
      <c r="A2548" s="7" t="n">
        <v>2024</v>
      </c>
      <c r="B2548" s="12" t="s">
        <v>78</v>
      </c>
      <c r="C2548" s="12" t="s">
        <v>65</v>
      </c>
      <c r="D2548" s="12" t="s">
        <v>47</v>
      </c>
      <c r="E2548" s="16" t="n">
        <v>0</v>
      </c>
      <c r="F2548" s="16" t="n">
        <v>0</v>
      </c>
      <c r="G2548" s="16" t="n">
        <v>0</v>
      </c>
    </row>
    <row r="2549" customFormat="false" ht="15" hidden="false" customHeight="false" outlineLevel="0" collapsed="false">
      <c r="A2549" s="7" t="n">
        <v>2024</v>
      </c>
      <c r="B2549" s="12" t="s">
        <v>78</v>
      </c>
      <c r="C2549" s="12" t="s">
        <v>65</v>
      </c>
      <c r="D2549" s="12" t="s">
        <v>45</v>
      </c>
      <c r="E2549" s="16" t="n">
        <v>21.107164</v>
      </c>
      <c r="F2549" s="16" t="n">
        <v>0</v>
      </c>
      <c r="G2549" s="16" t="n">
        <v>14.506458</v>
      </c>
    </row>
    <row r="2550" customFormat="false" ht="15" hidden="false" customHeight="false" outlineLevel="0" collapsed="false">
      <c r="A2550" s="7" t="n">
        <v>2024</v>
      </c>
      <c r="B2550" s="12" t="s">
        <v>79</v>
      </c>
      <c r="C2550" s="12" t="s">
        <v>72</v>
      </c>
      <c r="D2550" s="12" t="s">
        <v>49</v>
      </c>
      <c r="E2550" s="16" t="n">
        <v>140.726262</v>
      </c>
      <c r="F2550" s="16" t="n">
        <v>0</v>
      </c>
      <c r="G2550" s="16" t="n">
        <v>61.251746</v>
      </c>
    </row>
    <row r="2551" customFormat="false" ht="15" hidden="false" customHeight="false" outlineLevel="0" collapsed="false">
      <c r="A2551" s="7" t="n">
        <v>2024</v>
      </c>
      <c r="B2551" s="12" t="s">
        <v>79</v>
      </c>
      <c r="C2551" s="12" t="s">
        <v>72</v>
      </c>
      <c r="D2551" s="12" t="s">
        <v>48</v>
      </c>
      <c r="E2551" s="16" t="n">
        <v>98.262247</v>
      </c>
      <c r="F2551" s="16" t="n">
        <v>0</v>
      </c>
      <c r="G2551" s="16" t="n">
        <v>0</v>
      </c>
    </row>
    <row r="2552" customFormat="false" ht="15" hidden="false" customHeight="false" outlineLevel="0" collapsed="false">
      <c r="A2552" s="7" t="n">
        <v>2024</v>
      </c>
      <c r="B2552" s="12" t="s">
        <v>79</v>
      </c>
      <c r="C2552" s="12" t="s">
        <v>72</v>
      </c>
      <c r="D2552" s="12" t="s">
        <v>46</v>
      </c>
      <c r="E2552" s="16" t="n">
        <v>89.085158</v>
      </c>
      <c r="F2552" s="16" t="n">
        <v>0</v>
      </c>
      <c r="G2552" s="16" t="n">
        <v>173.757196</v>
      </c>
    </row>
    <row r="2553" customFormat="false" ht="15" hidden="false" customHeight="false" outlineLevel="0" collapsed="false">
      <c r="A2553" s="7" t="n">
        <v>2024</v>
      </c>
      <c r="B2553" s="12" t="s">
        <v>79</v>
      </c>
      <c r="C2553" s="12" t="s">
        <v>72</v>
      </c>
      <c r="D2553" s="12" t="s">
        <v>47</v>
      </c>
      <c r="E2553" s="16" t="n">
        <v>4.6779</v>
      </c>
      <c r="F2553" s="16" t="n">
        <v>0</v>
      </c>
      <c r="G2553" s="16" t="n">
        <v>0</v>
      </c>
    </row>
    <row r="2554" customFormat="false" ht="15" hidden="false" customHeight="false" outlineLevel="0" collapsed="false">
      <c r="A2554" s="7" t="n">
        <v>2024</v>
      </c>
      <c r="B2554" s="12" t="s">
        <v>79</v>
      </c>
      <c r="C2554" s="12" t="s">
        <v>72</v>
      </c>
      <c r="D2554" s="12" t="s">
        <v>45</v>
      </c>
      <c r="E2554" s="16" t="n">
        <v>356.251018</v>
      </c>
      <c r="F2554" s="16" t="n">
        <v>340.880548</v>
      </c>
      <c r="G2554" s="16" t="n">
        <v>0</v>
      </c>
    </row>
    <row r="2555" customFormat="false" ht="15" hidden="false" customHeight="false" outlineLevel="0" collapsed="false">
      <c r="A2555" s="7" t="n">
        <v>2024</v>
      </c>
      <c r="B2555" s="12" t="s">
        <v>80</v>
      </c>
      <c r="C2555" s="12" t="s">
        <v>72</v>
      </c>
      <c r="D2555" s="12" t="s">
        <v>49</v>
      </c>
      <c r="E2555" s="16" t="n">
        <v>104.299418</v>
      </c>
      <c r="F2555" s="16" t="n">
        <v>0</v>
      </c>
      <c r="G2555" s="16" t="n">
        <v>40.077838</v>
      </c>
    </row>
    <row r="2556" customFormat="false" ht="15" hidden="false" customHeight="false" outlineLevel="0" collapsed="false">
      <c r="A2556" s="7" t="n">
        <v>2024</v>
      </c>
      <c r="B2556" s="12" t="s">
        <v>80</v>
      </c>
      <c r="C2556" s="12" t="s">
        <v>72</v>
      </c>
      <c r="D2556" s="12" t="s">
        <v>48</v>
      </c>
      <c r="E2556" s="16" t="n">
        <v>42.284651</v>
      </c>
      <c r="F2556" s="16" t="n">
        <v>0</v>
      </c>
      <c r="G2556" s="16" t="n">
        <v>0</v>
      </c>
    </row>
    <row r="2557" customFormat="false" ht="15" hidden="false" customHeight="false" outlineLevel="0" collapsed="false">
      <c r="A2557" s="7" t="n">
        <v>2024</v>
      </c>
      <c r="B2557" s="12" t="s">
        <v>80</v>
      </c>
      <c r="C2557" s="12" t="s">
        <v>72</v>
      </c>
      <c r="D2557" s="12" t="s">
        <v>46</v>
      </c>
      <c r="E2557" s="16" t="n">
        <v>25.414815</v>
      </c>
      <c r="F2557" s="16" t="n">
        <v>0</v>
      </c>
      <c r="G2557" s="16" t="n">
        <v>88.907431</v>
      </c>
    </row>
    <row r="2558" customFormat="false" ht="15" hidden="false" customHeight="false" outlineLevel="0" collapsed="false">
      <c r="A2558" s="7" t="n">
        <v>2024</v>
      </c>
      <c r="B2558" s="12" t="s">
        <v>80</v>
      </c>
      <c r="C2558" s="12" t="s">
        <v>72</v>
      </c>
      <c r="D2558" s="12" t="s">
        <v>47</v>
      </c>
      <c r="E2558" s="16" t="n">
        <v>3.205246</v>
      </c>
      <c r="F2558" s="16" t="n">
        <v>0</v>
      </c>
      <c r="G2558" s="16" t="n">
        <v>0</v>
      </c>
    </row>
    <row r="2559" customFormat="false" ht="15" hidden="false" customHeight="false" outlineLevel="0" collapsed="false">
      <c r="A2559" s="7" t="n">
        <v>2024</v>
      </c>
      <c r="B2559" s="12" t="s">
        <v>80</v>
      </c>
      <c r="C2559" s="12" t="s">
        <v>72</v>
      </c>
      <c r="D2559" s="12" t="s">
        <v>45</v>
      </c>
      <c r="E2559" s="16" t="n">
        <v>199.244487</v>
      </c>
      <c r="F2559" s="16" t="n">
        <v>196.270321</v>
      </c>
      <c r="G2559" s="16" t="n">
        <v>0</v>
      </c>
    </row>
    <row r="2560" customFormat="false" ht="15" hidden="false" customHeight="false" outlineLevel="0" collapsed="false">
      <c r="A2560" s="7" t="n">
        <v>2024</v>
      </c>
      <c r="B2560" s="12" t="s">
        <v>81</v>
      </c>
      <c r="C2560" s="12" t="s">
        <v>72</v>
      </c>
      <c r="D2560" s="12" t="s">
        <v>49</v>
      </c>
      <c r="E2560" s="16" t="n">
        <v>57.130941</v>
      </c>
      <c r="F2560" s="16" t="n">
        <v>0</v>
      </c>
      <c r="G2560" s="16" t="n">
        <v>28.447738</v>
      </c>
    </row>
    <row r="2561" customFormat="false" ht="15" hidden="false" customHeight="false" outlineLevel="0" collapsed="false">
      <c r="A2561" s="7" t="n">
        <v>2024</v>
      </c>
      <c r="B2561" s="12" t="s">
        <v>81</v>
      </c>
      <c r="C2561" s="12" t="s">
        <v>72</v>
      </c>
      <c r="D2561" s="12" t="s">
        <v>48</v>
      </c>
      <c r="E2561" s="16" t="n">
        <v>40.647609</v>
      </c>
      <c r="F2561" s="16" t="n">
        <v>0</v>
      </c>
      <c r="G2561" s="16" t="n">
        <v>0</v>
      </c>
    </row>
    <row r="2562" customFormat="false" ht="15" hidden="false" customHeight="false" outlineLevel="0" collapsed="false">
      <c r="A2562" s="7" t="n">
        <v>2024</v>
      </c>
      <c r="B2562" s="12" t="s">
        <v>81</v>
      </c>
      <c r="C2562" s="12" t="s">
        <v>72</v>
      </c>
      <c r="D2562" s="12" t="s">
        <v>46</v>
      </c>
      <c r="E2562" s="16" t="n">
        <v>35.353155</v>
      </c>
      <c r="F2562" s="16" t="n">
        <v>0</v>
      </c>
      <c r="G2562" s="16" t="n">
        <v>60.21519</v>
      </c>
    </row>
    <row r="2563" customFormat="false" ht="15" hidden="false" customHeight="false" outlineLevel="0" collapsed="false">
      <c r="A2563" s="7" t="n">
        <v>2024</v>
      </c>
      <c r="B2563" s="12" t="s">
        <v>81</v>
      </c>
      <c r="C2563" s="12" t="s">
        <v>72</v>
      </c>
      <c r="D2563" s="12" t="s">
        <v>47</v>
      </c>
      <c r="E2563" s="16" t="n">
        <v>2.264999</v>
      </c>
      <c r="F2563" s="16" t="n">
        <v>0</v>
      </c>
      <c r="G2563" s="16" t="n">
        <v>0</v>
      </c>
    </row>
    <row r="2564" customFormat="false" ht="15" hidden="false" customHeight="false" outlineLevel="0" collapsed="false">
      <c r="A2564" s="7" t="n">
        <v>2024</v>
      </c>
      <c r="B2564" s="12" t="s">
        <v>81</v>
      </c>
      <c r="C2564" s="12" t="s">
        <v>72</v>
      </c>
      <c r="D2564" s="12" t="s">
        <v>45</v>
      </c>
      <c r="E2564" s="16" t="n">
        <v>161.53162</v>
      </c>
      <c r="F2564" s="16" t="n">
        <v>154.374048</v>
      </c>
      <c r="G2564" s="16" t="n">
        <v>0</v>
      </c>
    </row>
    <row r="2565" customFormat="false" ht="15" hidden="false" customHeight="false" outlineLevel="0" collapsed="false">
      <c r="A2565" s="7" t="n">
        <v>2025</v>
      </c>
      <c r="B2565" s="12" t="s">
        <v>56</v>
      </c>
      <c r="C2565" s="12" t="s">
        <v>57</v>
      </c>
      <c r="D2565" s="12" t="s">
        <v>49</v>
      </c>
      <c r="E2565" s="16" t="n">
        <v>85.882248</v>
      </c>
      <c r="F2565" s="16" t="n">
        <v>0</v>
      </c>
      <c r="G2565" s="16" t="n">
        <v>18.2041</v>
      </c>
    </row>
    <row r="2566" customFormat="false" ht="15" hidden="false" customHeight="false" outlineLevel="0" collapsed="false">
      <c r="A2566" s="7" t="n">
        <v>2025</v>
      </c>
      <c r="B2566" s="12" t="s">
        <v>56</v>
      </c>
      <c r="C2566" s="12" t="s">
        <v>57</v>
      </c>
      <c r="D2566" s="12" t="s">
        <v>48</v>
      </c>
      <c r="E2566" s="16" t="n">
        <v>21.564297</v>
      </c>
      <c r="F2566" s="16" t="n">
        <v>0</v>
      </c>
      <c r="G2566" s="16" t="n">
        <v>0</v>
      </c>
    </row>
    <row r="2567" customFormat="false" ht="15" hidden="false" customHeight="false" outlineLevel="0" collapsed="false">
      <c r="A2567" s="7" t="n">
        <v>2025</v>
      </c>
      <c r="B2567" s="12" t="s">
        <v>56</v>
      </c>
      <c r="C2567" s="12" t="s">
        <v>57</v>
      </c>
      <c r="D2567" s="12" t="s">
        <v>46</v>
      </c>
      <c r="E2567" s="16" t="n">
        <v>27.54258</v>
      </c>
      <c r="F2567" s="16" t="n">
        <v>0</v>
      </c>
      <c r="G2567" s="16" t="n">
        <v>29.150291</v>
      </c>
    </row>
    <row r="2568" customFormat="false" ht="15" hidden="false" customHeight="false" outlineLevel="0" collapsed="false">
      <c r="A2568" s="7" t="n">
        <v>2025</v>
      </c>
      <c r="B2568" s="12" t="s">
        <v>56</v>
      </c>
      <c r="C2568" s="12" t="s">
        <v>57</v>
      </c>
      <c r="D2568" s="12" t="s">
        <v>45</v>
      </c>
      <c r="E2568" s="16" t="n">
        <v>103.10749</v>
      </c>
      <c r="F2568" s="16" t="n">
        <v>74.749382</v>
      </c>
      <c r="G2568" s="16" t="n">
        <v>31.159289</v>
      </c>
    </row>
    <row r="2569" customFormat="false" ht="15" hidden="false" customHeight="false" outlineLevel="0" collapsed="false">
      <c r="A2569" s="7" t="n">
        <v>2025</v>
      </c>
      <c r="B2569" s="12" t="s">
        <v>58</v>
      </c>
      <c r="C2569" s="12" t="s">
        <v>59</v>
      </c>
      <c r="D2569" s="12" t="s">
        <v>49</v>
      </c>
      <c r="E2569" s="16" t="n">
        <v>148.738874</v>
      </c>
      <c r="F2569" s="16" t="n">
        <v>0</v>
      </c>
      <c r="G2569" s="16" t="n">
        <v>95.305264</v>
      </c>
    </row>
    <row r="2570" customFormat="false" ht="15" hidden="false" customHeight="false" outlineLevel="0" collapsed="false">
      <c r="A2570" s="7" t="n">
        <v>2025</v>
      </c>
      <c r="B2570" s="12" t="s">
        <v>58</v>
      </c>
      <c r="C2570" s="12" t="s">
        <v>59</v>
      </c>
      <c r="D2570" s="12" t="s">
        <v>48</v>
      </c>
      <c r="E2570" s="16" t="n">
        <v>143.645359</v>
      </c>
      <c r="F2570" s="16" t="n">
        <v>0</v>
      </c>
      <c r="G2570" s="16" t="n">
        <v>0</v>
      </c>
    </row>
    <row r="2571" customFormat="false" ht="15" hidden="false" customHeight="false" outlineLevel="0" collapsed="false">
      <c r="A2571" s="7" t="n">
        <v>2025</v>
      </c>
      <c r="B2571" s="12" t="s">
        <v>58</v>
      </c>
      <c r="C2571" s="12" t="s">
        <v>59</v>
      </c>
      <c r="D2571" s="12" t="s">
        <v>46</v>
      </c>
      <c r="E2571" s="16" t="n">
        <v>301.307264</v>
      </c>
      <c r="F2571" s="16" t="n">
        <v>0</v>
      </c>
      <c r="G2571" s="16" t="n">
        <v>294.847317</v>
      </c>
    </row>
    <row r="2572" customFormat="false" ht="15" hidden="false" customHeight="false" outlineLevel="0" collapsed="false">
      <c r="A2572" s="7" t="n">
        <v>2025</v>
      </c>
      <c r="B2572" s="12" t="s">
        <v>58</v>
      </c>
      <c r="C2572" s="12" t="s">
        <v>59</v>
      </c>
      <c r="D2572" s="12" t="s">
        <v>47</v>
      </c>
      <c r="E2572" s="16" t="n">
        <v>0.965665</v>
      </c>
      <c r="F2572" s="16" t="n">
        <v>0</v>
      </c>
      <c r="G2572" s="16" t="n">
        <v>0</v>
      </c>
    </row>
    <row r="2573" customFormat="false" ht="15" hidden="false" customHeight="false" outlineLevel="0" collapsed="false">
      <c r="A2573" s="7" t="n">
        <v>2025</v>
      </c>
      <c r="B2573" s="12" t="s">
        <v>58</v>
      </c>
      <c r="C2573" s="12" t="s">
        <v>59</v>
      </c>
      <c r="D2573" s="12" t="s">
        <v>45</v>
      </c>
      <c r="E2573" s="16" t="n">
        <v>75.365092</v>
      </c>
      <c r="F2573" s="16" t="n">
        <v>35.495009</v>
      </c>
      <c r="G2573" s="16" t="n">
        <v>142.222549</v>
      </c>
    </row>
    <row r="2574" customFormat="false" ht="15" hidden="false" customHeight="false" outlineLevel="0" collapsed="false">
      <c r="A2574" s="7" t="n">
        <v>2025</v>
      </c>
      <c r="B2574" s="12" t="s">
        <v>60</v>
      </c>
      <c r="C2574" s="12" t="s">
        <v>59</v>
      </c>
      <c r="D2574" s="12" t="s">
        <v>49</v>
      </c>
      <c r="E2574" s="16" t="n">
        <v>513.481701</v>
      </c>
      <c r="F2574" s="16" t="n">
        <v>0</v>
      </c>
      <c r="G2574" s="16" t="n">
        <v>182.318047</v>
      </c>
    </row>
    <row r="2575" customFormat="false" ht="15" hidden="false" customHeight="false" outlineLevel="0" collapsed="false">
      <c r="A2575" s="7" t="n">
        <v>2025</v>
      </c>
      <c r="B2575" s="12" t="s">
        <v>60</v>
      </c>
      <c r="C2575" s="12" t="s">
        <v>59</v>
      </c>
      <c r="D2575" s="12" t="s">
        <v>48</v>
      </c>
      <c r="E2575" s="16" t="n">
        <v>367.239382</v>
      </c>
      <c r="F2575" s="16" t="n">
        <v>0</v>
      </c>
      <c r="G2575" s="16" t="n">
        <v>0</v>
      </c>
    </row>
    <row r="2576" customFormat="false" ht="15" hidden="false" customHeight="false" outlineLevel="0" collapsed="false">
      <c r="A2576" s="7" t="n">
        <v>2025</v>
      </c>
      <c r="B2576" s="12" t="s">
        <v>60</v>
      </c>
      <c r="C2576" s="12" t="s">
        <v>59</v>
      </c>
      <c r="D2576" s="12" t="s">
        <v>46</v>
      </c>
      <c r="E2576" s="16" t="n">
        <v>584.452738</v>
      </c>
      <c r="F2576" s="16" t="n">
        <v>0</v>
      </c>
      <c r="G2576" s="16" t="n">
        <v>869.235415</v>
      </c>
    </row>
    <row r="2577" customFormat="false" ht="15" hidden="false" customHeight="false" outlineLevel="0" collapsed="false">
      <c r="A2577" s="7" t="n">
        <v>2025</v>
      </c>
      <c r="B2577" s="12" t="s">
        <v>60</v>
      </c>
      <c r="C2577" s="12" t="s">
        <v>59</v>
      </c>
      <c r="D2577" s="12" t="s">
        <v>47</v>
      </c>
      <c r="E2577" s="16" t="n">
        <v>8.620621</v>
      </c>
      <c r="F2577" s="16" t="n">
        <v>0</v>
      </c>
      <c r="G2577" s="16" t="n">
        <v>0</v>
      </c>
    </row>
    <row r="2578" customFormat="false" ht="15" hidden="false" customHeight="false" outlineLevel="0" collapsed="false">
      <c r="A2578" s="7" t="n">
        <v>2025</v>
      </c>
      <c r="B2578" s="12" t="s">
        <v>60</v>
      </c>
      <c r="C2578" s="12" t="s">
        <v>59</v>
      </c>
      <c r="D2578" s="12" t="s">
        <v>45</v>
      </c>
      <c r="E2578" s="16" t="n">
        <v>637.084409</v>
      </c>
      <c r="F2578" s="16" t="n">
        <v>10.846956</v>
      </c>
      <c r="G2578" s="16" t="n">
        <v>191.647667</v>
      </c>
    </row>
    <row r="2579" customFormat="false" ht="15" hidden="false" customHeight="false" outlineLevel="0" collapsed="false">
      <c r="A2579" s="7" t="n">
        <v>2025</v>
      </c>
      <c r="B2579" s="12" t="s">
        <v>61</v>
      </c>
      <c r="C2579" s="12" t="s">
        <v>62</v>
      </c>
      <c r="D2579" s="12" t="s">
        <v>49</v>
      </c>
      <c r="E2579" s="16" t="n">
        <v>50.916404</v>
      </c>
      <c r="F2579" s="16" t="n">
        <v>0</v>
      </c>
      <c r="G2579" s="16" t="n">
        <v>65.721429</v>
      </c>
    </row>
    <row r="2580" customFormat="false" ht="15" hidden="false" customHeight="false" outlineLevel="0" collapsed="false">
      <c r="A2580" s="7" t="n">
        <v>2025</v>
      </c>
      <c r="B2580" s="12" t="s">
        <v>61</v>
      </c>
      <c r="C2580" s="12" t="s">
        <v>62</v>
      </c>
      <c r="D2580" s="12" t="s">
        <v>48</v>
      </c>
      <c r="E2580" s="16" t="n">
        <v>330.244986</v>
      </c>
      <c r="F2580" s="16" t="n">
        <v>0</v>
      </c>
      <c r="G2580" s="16" t="n">
        <v>0</v>
      </c>
    </row>
    <row r="2581" customFormat="false" ht="15" hidden="false" customHeight="false" outlineLevel="0" collapsed="false">
      <c r="A2581" s="7" t="n">
        <v>2025</v>
      </c>
      <c r="B2581" s="12" t="s">
        <v>61</v>
      </c>
      <c r="C2581" s="12" t="s">
        <v>62</v>
      </c>
      <c r="D2581" s="12" t="s">
        <v>46</v>
      </c>
      <c r="E2581" s="16" t="n">
        <v>434.682158</v>
      </c>
      <c r="F2581" s="16" t="n">
        <v>0</v>
      </c>
      <c r="G2581" s="16" t="n">
        <v>392.105231</v>
      </c>
    </row>
    <row r="2582" customFormat="false" ht="15" hidden="false" customHeight="false" outlineLevel="0" collapsed="false">
      <c r="A2582" s="7" t="n">
        <v>2025</v>
      </c>
      <c r="B2582" s="12" t="s">
        <v>61</v>
      </c>
      <c r="C2582" s="12" t="s">
        <v>62</v>
      </c>
      <c r="D2582" s="12" t="s">
        <v>47</v>
      </c>
      <c r="E2582" s="16" t="n">
        <v>9.90319</v>
      </c>
      <c r="F2582" s="16" t="n">
        <v>0</v>
      </c>
      <c r="G2582" s="16" t="n">
        <v>0</v>
      </c>
    </row>
    <row r="2583" customFormat="false" ht="15" hidden="false" customHeight="false" outlineLevel="0" collapsed="false">
      <c r="A2583" s="7" t="n">
        <v>2025</v>
      </c>
      <c r="B2583" s="12" t="s">
        <v>61</v>
      </c>
      <c r="C2583" s="12" t="s">
        <v>62</v>
      </c>
      <c r="D2583" s="12" t="s">
        <v>45</v>
      </c>
      <c r="E2583" s="16" t="n">
        <v>562.992749</v>
      </c>
      <c r="F2583" s="16" t="n">
        <v>545.533861</v>
      </c>
      <c r="G2583" s="16" t="n">
        <v>0</v>
      </c>
    </row>
    <row r="2584" customFormat="false" ht="15" hidden="false" customHeight="false" outlineLevel="0" collapsed="false">
      <c r="A2584" s="7" t="n">
        <v>2025</v>
      </c>
      <c r="B2584" s="12" t="s">
        <v>63</v>
      </c>
      <c r="C2584" s="12" t="s">
        <v>62</v>
      </c>
      <c r="D2584" s="12" t="s">
        <v>49</v>
      </c>
      <c r="E2584" s="16" t="n">
        <v>305.073454</v>
      </c>
      <c r="F2584" s="16" t="n">
        <v>0</v>
      </c>
      <c r="G2584" s="16" t="n">
        <v>293.759772</v>
      </c>
    </row>
    <row r="2585" customFormat="false" ht="15" hidden="false" customHeight="false" outlineLevel="0" collapsed="false">
      <c r="A2585" s="7" t="n">
        <v>2025</v>
      </c>
      <c r="B2585" s="12" t="s">
        <v>63</v>
      </c>
      <c r="C2585" s="12" t="s">
        <v>62</v>
      </c>
      <c r="D2585" s="12" t="s">
        <v>48</v>
      </c>
      <c r="E2585" s="16" t="n">
        <v>401.12249</v>
      </c>
      <c r="F2585" s="16" t="n">
        <v>0</v>
      </c>
      <c r="G2585" s="16" t="n">
        <v>0</v>
      </c>
    </row>
    <row r="2586" customFormat="false" ht="15" hidden="false" customHeight="false" outlineLevel="0" collapsed="false">
      <c r="A2586" s="7" t="n">
        <v>2025</v>
      </c>
      <c r="B2586" s="12" t="s">
        <v>63</v>
      </c>
      <c r="C2586" s="12" t="s">
        <v>62</v>
      </c>
      <c r="D2586" s="12" t="s">
        <v>46</v>
      </c>
      <c r="E2586" s="16" t="n">
        <v>310.459236</v>
      </c>
      <c r="F2586" s="16" t="n">
        <v>0</v>
      </c>
      <c r="G2586" s="16" t="n">
        <v>627.04701</v>
      </c>
    </row>
    <row r="2587" customFormat="false" ht="15" hidden="false" customHeight="false" outlineLevel="0" collapsed="false">
      <c r="A2587" s="7" t="n">
        <v>2025</v>
      </c>
      <c r="B2587" s="12" t="s">
        <v>63</v>
      </c>
      <c r="C2587" s="12" t="s">
        <v>62</v>
      </c>
      <c r="D2587" s="12" t="s">
        <v>47</v>
      </c>
      <c r="E2587" s="16" t="n">
        <v>9.945307</v>
      </c>
      <c r="F2587" s="16" t="n">
        <v>0</v>
      </c>
      <c r="G2587" s="16" t="n">
        <v>0</v>
      </c>
    </row>
    <row r="2588" customFormat="false" ht="15" hidden="false" customHeight="false" outlineLevel="0" collapsed="false">
      <c r="A2588" s="7" t="n">
        <v>2025</v>
      </c>
      <c r="B2588" s="12" t="s">
        <v>63</v>
      </c>
      <c r="C2588" s="12" t="s">
        <v>62</v>
      </c>
      <c r="D2588" s="12" t="s">
        <v>45</v>
      </c>
      <c r="E2588" s="16" t="n">
        <v>488.612331</v>
      </c>
      <c r="F2588" s="16" t="n">
        <v>471.68566</v>
      </c>
      <c r="G2588" s="16" t="n">
        <v>1.248804</v>
      </c>
    </row>
    <row r="2589" customFormat="false" ht="15" hidden="false" customHeight="false" outlineLevel="0" collapsed="false">
      <c r="A2589" s="7" t="n">
        <v>2025</v>
      </c>
      <c r="B2589" s="12" t="s">
        <v>64</v>
      </c>
      <c r="C2589" s="12" t="s">
        <v>65</v>
      </c>
      <c r="D2589" s="12" t="s">
        <v>49</v>
      </c>
      <c r="E2589" s="16" t="n">
        <v>165.513463</v>
      </c>
      <c r="F2589" s="16" t="n">
        <v>0</v>
      </c>
      <c r="G2589" s="16" t="n">
        <v>57.453437</v>
      </c>
    </row>
    <row r="2590" customFormat="false" ht="15" hidden="false" customHeight="false" outlineLevel="0" collapsed="false">
      <c r="A2590" s="7" t="n">
        <v>2025</v>
      </c>
      <c r="B2590" s="12" t="s">
        <v>64</v>
      </c>
      <c r="C2590" s="12" t="s">
        <v>65</v>
      </c>
      <c r="D2590" s="12" t="s">
        <v>48</v>
      </c>
      <c r="E2590" s="16" t="n">
        <v>43.438387</v>
      </c>
      <c r="F2590" s="16" t="n">
        <v>0</v>
      </c>
      <c r="G2590" s="16" t="n">
        <v>0</v>
      </c>
    </row>
    <row r="2591" customFormat="false" ht="15" hidden="false" customHeight="false" outlineLevel="0" collapsed="false">
      <c r="A2591" s="7" t="n">
        <v>2025</v>
      </c>
      <c r="B2591" s="12" t="s">
        <v>64</v>
      </c>
      <c r="C2591" s="12" t="s">
        <v>65</v>
      </c>
      <c r="D2591" s="12" t="s">
        <v>46</v>
      </c>
      <c r="E2591" s="16" t="n">
        <v>120.211774</v>
      </c>
      <c r="F2591" s="16" t="n">
        <v>0</v>
      </c>
      <c r="G2591" s="16" t="n">
        <v>153.307982</v>
      </c>
    </row>
    <row r="2592" customFormat="false" ht="15" hidden="false" customHeight="false" outlineLevel="0" collapsed="false">
      <c r="A2592" s="7" t="n">
        <v>2025</v>
      </c>
      <c r="B2592" s="12" t="s">
        <v>64</v>
      </c>
      <c r="C2592" s="12" t="s">
        <v>65</v>
      </c>
      <c r="D2592" s="12" t="s">
        <v>47</v>
      </c>
      <c r="E2592" s="16" t="n">
        <v>6.160971</v>
      </c>
      <c r="F2592" s="16" t="n">
        <v>0</v>
      </c>
      <c r="G2592" s="16" t="n">
        <v>0</v>
      </c>
    </row>
    <row r="2593" customFormat="false" ht="15" hidden="false" customHeight="false" outlineLevel="0" collapsed="false">
      <c r="A2593" s="7" t="n">
        <v>2025</v>
      </c>
      <c r="B2593" s="12" t="s">
        <v>64</v>
      </c>
      <c r="C2593" s="12" t="s">
        <v>65</v>
      </c>
      <c r="D2593" s="12" t="s">
        <v>45</v>
      </c>
      <c r="E2593" s="16" t="n">
        <v>130.772762</v>
      </c>
      <c r="F2593" s="16" t="n">
        <v>70.054358</v>
      </c>
      <c r="G2593" s="16" t="n">
        <v>69.988588</v>
      </c>
    </row>
    <row r="2594" customFormat="false" ht="15" hidden="false" customHeight="false" outlineLevel="0" collapsed="false">
      <c r="A2594" s="7" t="n">
        <v>2025</v>
      </c>
      <c r="B2594" s="12" t="s">
        <v>66</v>
      </c>
      <c r="C2594" s="12" t="s">
        <v>67</v>
      </c>
      <c r="D2594" s="12" t="s">
        <v>49</v>
      </c>
      <c r="E2594" s="16" t="n">
        <v>106.386089</v>
      </c>
      <c r="F2594" s="16" t="n">
        <v>0</v>
      </c>
      <c r="G2594" s="16" t="n">
        <v>56.970227</v>
      </c>
    </row>
    <row r="2595" customFormat="false" ht="15" hidden="false" customHeight="false" outlineLevel="0" collapsed="false">
      <c r="A2595" s="7" t="n">
        <v>2025</v>
      </c>
      <c r="B2595" s="12" t="s">
        <v>66</v>
      </c>
      <c r="C2595" s="12" t="s">
        <v>67</v>
      </c>
      <c r="D2595" s="12" t="s">
        <v>48</v>
      </c>
      <c r="E2595" s="16" t="n">
        <v>50.39271</v>
      </c>
      <c r="F2595" s="16" t="n">
        <v>0</v>
      </c>
      <c r="G2595" s="16" t="n">
        <v>0</v>
      </c>
    </row>
    <row r="2596" customFormat="false" ht="15" hidden="false" customHeight="false" outlineLevel="0" collapsed="false">
      <c r="A2596" s="7" t="n">
        <v>2025</v>
      </c>
      <c r="B2596" s="12" t="s">
        <v>66</v>
      </c>
      <c r="C2596" s="12" t="s">
        <v>67</v>
      </c>
      <c r="D2596" s="12" t="s">
        <v>46</v>
      </c>
      <c r="E2596" s="16" t="n">
        <v>128.330829</v>
      </c>
      <c r="F2596" s="16" t="n">
        <v>0</v>
      </c>
      <c r="G2596" s="16" t="n">
        <v>102.029851</v>
      </c>
    </row>
    <row r="2597" customFormat="false" ht="15" hidden="false" customHeight="false" outlineLevel="0" collapsed="false">
      <c r="A2597" s="7" t="n">
        <v>2025</v>
      </c>
      <c r="B2597" s="12" t="s">
        <v>66</v>
      </c>
      <c r="C2597" s="12" t="s">
        <v>67</v>
      </c>
      <c r="D2597" s="12" t="s">
        <v>47</v>
      </c>
      <c r="E2597" s="16" t="n">
        <v>6.130859</v>
      </c>
      <c r="F2597" s="16" t="n">
        <v>0</v>
      </c>
      <c r="G2597" s="16" t="n">
        <v>0</v>
      </c>
    </row>
    <row r="2598" customFormat="false" ht="15" hidden="false" customHeight="false" outlineLevel="0" collapsed="false">
      <c r="A2598" s="7" t="n">
        <v>2025</v>
      </c>
      <c r="B2598" s="12" t="s">
        <v>66</v>
      </c>
      <c r="C2598" s="12" t="s">
        <v>67</v>
      </c>
      <c r="D2598" s="12" t="s">
        <v>45</v>
      </c>
      <c r="E2598" s="16" t="n">
        <v>314.011695</v>
      </c>
      <c r="F2598" s="16" t="n">
        <v>278.948774</v>
      </c>
      <c r="G2598" s="16" t="n">
        <v>52.930493</v>
      </c>
    </row>
    <row r="2599" customFormat="false" ht="15" hidden="false" customHeight="false" outlineLevel="0" collapsed="false">
      <c r="A2599" s="7" t="n">
        <v>2025</v>
      </c>
      <c r="B2599" s="12" t="s">
        <v>68</v>
      </c>
      <c r="C2599" s="12" t="s">
        <v>65</v>
      </c>
      <c r="D2599" s="12" t="s">
        <v>49</v>
      </c>
      <c r="E2599" s="16" t="n">
        <v>152.403581</v>
      </c>
      <c r="F2599" s="16" t="n">
        <v>0</v>
      </c>
      <c r="G2599" s="16" t="n">
        <v>31.531727</v>
      </c>
    </row>
    <row r="2600" customFormat="false" ht="15" hidden="false" customHeight="false" outlineLevel="0" collapsed="false">
      <c r="A2600" s="7" t="n">
        <v>2025</v>
      </c>
      <c r="B2600" s="12" t="s">
        <v>68</v>
      </c>
      <c r="C2600" s="12" t="s">
        <v>65</v>
      </c>
      <c r="D2600" s="12" t="s">
        <v>48</v>
      </c>
      <c r="E2600" s="16" t="n">
        <v>101.521201</v>
      </c>
      <c r="F2600" s="16" t="n">
        <v>0</v>
      </c>
      <c r="G2600" s="16" t="n">
        <v>0</v>
      </c>
    </row>
    <row r="2601" customFormat="false" ht="15" hidden="false" customHeight="false" outlineLevel="0" collapsed="false">
      <c r="A2601" s="7" t="n">
        <v>2025</v>
      </c>
      <c r="B2601" s="12" t="s">
        <v>68</v>
      </c>
      <c r="C2601" s="12" t="s">
        <v>65</v>
      </c>
      <c r="D2601" s="12" t="s">
        <v>46</v>
      </c>
      <c r="E2601" s="16" t="n">
        <v>93.312539</v>
      </c>
      <c r="F2601" s="16" t="n">
        <v>0</v>
      </c>
      <c r="G2601" s="16" t="n">
        <v>56.207809</v>
      </c>
    </row>
    <row r="2602" customFormat="false" ht="15" hidden="false" customHeight="false" outlineLevel="0" collapsed="false">
      <c r="A2602" s="7" t="n">
        <v>2025</v>
      </c>
      <c r="B2602" s="12" t="s">
        <v>68</v>
      </c>
      <c r="C2602" s="12" t="s">
        <v>65</v>
      </c>
      <c r="D2602" s="12" t="s">
        <v>47</v>
      </c>
      <c r="E2602" s="16" t="n">
        <v>0</v>
      </c>
      <c r="F2602" s="16" t="n">
        <v>0</v>
      </c>
      <c r="G2602" s="16" t="n">
        <v>0</v>
      </c>
    </row>
    <row r="2603" customFormat="false" ht="15" hidden="false" customHeight="false" outlineLevel="0" collapsed="false">
      <c r="A2603" s="7" t="n">
        <v>2025</v>
      </c>
      <c r="B2603" s="12" t="s">
        <v>68</v>
      </c>
      <c r="C2603" s="12" t="s">
        <v>65</v>
      </c>
      <c r="D2603" s="12" t="s">
        <v>45</v>
      </c>
      <c r="E2603" s="16" t="n">
        <v>45.261121</v>
      </c>
      <c r="F2603" s="16" t="n">
        <v>7.081355</v>
      </c>
      <c r="G2603" s="16" t="n">
        <v>11.288461</v>
      </c>
    </row>
    <row r="2604" customFormat="false" ht="15" hidden="false" customHeight="false" outlineLevel="0" collapsed="false">
      <c r="A2604" s="7" t="n">
        <v>2025</v>
      </c>
      <c r="B2604" s="12" t="s">
        <v>69</v>
      </c>
      <c r="C2604" s="12" t="s">
        <v>70</v>
      </c>
      <c r="D2604" s="12" t="s">
        <v>49</v>
      </c>
      <c r="E2604" s="16" t="n">
        <v>107.314629</v>
      </c>
      <c r="F2604" s="16" t="n">
        <v>0</v>
      </c>
      <c r="G2604" s="16" t="n">
        <v>55.437188</v>
      </c>
    </row>
    <row r="2605" customFormat="false" ht="15" hidden="false" customHeight="false" outlineLevel="0" collapsed="false">
      <c r="A2605" s="7" t="n">
        <v>2025</v>
      </c>
      <c r="B2605" s="12" t="s">
        <v>69</v>
      </c>
      <c r="C2605" s="12" t="s">
        <v>70</v>
      </c>
      <c r="D2605" s="12" t="s">
        <v>48</v>
      </c>
      <c r="E2605" s="16" t="n">
        <v>52.907075</v>
      </c>
      <c r="F2605" s="16" t="n">
        <v>0</v>
      </c>
      <c r="G2605" s="16" t="n">
        <v>0</v>
      </c>
    </row>
    <row r="2606" customFormat="false" ht="15" hidden="false" customHeight="false" outlineLevel="0" collapsed="false">
      <c r="A2606" s="7" t="n">
        <v>2025</v>
      </c>
      <c r="B2606" s="12" t="s">
        <v>69</v>
      </c>
      <c r="C2606" s="12" t="s">
        <v>70</v>
      </c>
      <c r="D2606" s="12" t="s">
        <v>46</v>
      </c>
      <c r="E2606" s="16" t="n">
        <v>39.26638</v>
      </c>
      <c r="F2606" s="16" t="n">
        <v>0</v>
      </c>
      <c r="G2606" s="16" t="n">
        <v>131.67865</v>
      </c>
    </row>
    <row r="2607" customFormat="false" ht="15" hidden="false" customHeight="false" outlineLevel="0" collapsed="false">
      <c r="A2607" s="7" t="n">
        <v>2025</v>
      </c>
      <c r="B2607" s="12" t="s">
        <v>69</v>
      </c>
      <c r="C2607" s="12" t="s">
        <v>70</v>
      </c>
      <c r="D2607" s="12" t="s">
        <v>47</v>
      </c>
      <c r="E2607" s="16" t="n">
        <v>3.884019</v>
      </c>
      <c r="F2607" s="16" t="n">
        <v>0</v>
      </c>
      <c r="G2607" s="16" t="n">
        <v>0</v>
      </c>
    </row>
    <row r="2608" customFormat="false" ht="15" hidden="false" customHeight="false" outlineLevel="0" collapsed="false">
      <c r="A2608" s="7" t="n">
        <v>2025</v>
      </c>
      <c r="B2608" s="12" t="s">
        <v>69</v>
      </c>
      <c r="C2608" s="12" t="s">
        <v>70</v>
      </c>
      <c r="D2608" s="12" t="s">
        <v>45</v>
      </c>
      <c r="E2608" s="16" t="n">
        <v>425.934089</v>
      </c>
      <c r="F2608" s="16" t="n">
        <v>421.667549</v>
      </c>
      <c r="G2608" s="16" t="n">
        <v>0</v>
      </c>
    </row>
    <row r="2609" customFormat="false" ht="15" hidden="false" customHeight="false" outlineLevel="0" collapsed="false">
      <c r="A2609" s="7" t="n">
        <v>2025</v>
      </c>
      <c r="B2609" s="12" t="s">
        <v>71</v>
      </c>
      <c r="C2609" s="12" t="s">
        <v>72</v>
      </c>
      <c r="D2609" s="12" t="s">
        <v>49</v>
      </c>
      <c r="E2609" s="16" t="n">
        <v>42.495802</v>
      </c>
      <c r="F2609" s="16" t="n">
        <v>0</v>
      </c>
      <c r="G2609" s="16" t="n">
        <v>11.426593</v>
      </c>
    </row>
    <row r="2610" customFormat="false" ht="15" hidden="false" customHeight="false" outlineLevel="0" collapsed="false">
      <c r="A2610" s="7" t="n">
        <v>2025</v>
      </c>
      <c r="B2610" s="12" t="s">
        <v>71</v>
      </c>
      <c r="C2610" s="12" t="s">
        <v>72</v>
      </c>
      <c r="D2610" s="12" t="s">
        <v>48</v>
      </c>
      <c r="E2610" s="16" t="n">
        <v>25.392992</v>
      </c>
      <c r="F2610" s="16" t="n">
        <v>0</v>
      </c>
      <c r="G2610" s="16" t="n">
        <v>0</v>
      </c>
    </row>
    <row r="2611" customFormat="false" ht="15" hidden="false" customHeight="false" outlineLevel="0" collapsed="false">
      <c r="A2611" s="7" t="n">
        <v>2025</v>
      </c>
      <c r="B2611" s="12" t="s">
        <v>71</v>
      </c>
      <c r="C2611" s="12" t="s">
        <v>72</v>
      </c>
      <c r="D2611" s="12" t="s">
        <v>46</v>
      </c>
      <c r="E2611" s="16" t="n">
        <v>16.514224</v>
      </c>
      <c r="F2611" s="16" t="n">
        <v>0</v>
      </c>
      <c r="G2611" s="16" t="n">
        <v>21.277524</v>
      </c>
    </row>
    <row r="2612" customFormat="false" ht="15" hidden="false" customHeight="false" outlineLevel="0" collapsed="false">
      <c r="A2612" s="7" t="n">
        <v>2025</v>
      </c>
      <c r="B2612" s="12" t="s">
        <v>71</v>
      </c>
      <c r="C2612" s="12" t="s">
        <v>72</v>
      </c>
      <c r="D2612" s="12" t="s">
        <v>47</v>
      </c>
      <c r="E2612" s="16" t="n">
        <v>0.809395</v>
      </c>
      <c r="F2612" s="16" t="n">
        <v>0</v>
      </c>
      <c r="G2612" s="16" t="n">
        <v>0</v>
      </c>
    </row>
    <row r="2613" customFormat="false" ht="15" hidden="false" customHeight="false" outlineLevel="0" collapsed="false">
      <c r="A2613" s="7" t="n">
        <v>2025</v>
      </c>
      <c r="B2613" s="12" t="s">
        <v>71</v>
      </c>
      <c r="C2613" s="12" t="s">
        <v>72</v>
      </c>
      <c r="D2613" s="12" t="s">
        <v>45</v>
      </c>
      <c r="E2613" s="16" t="n">
        <v>51.999276</v>
      </c>
      <c r="F2613" s="16" t="n">
        <v>51.993882</v>
      </c>
      <c r="G2613" s="16" t="n">
        <v>0</v>
      </c>
    </row>
    <row r="2614" customFormat="false" ht="15" hidden="false" customHeight="false" outlineLevel="0" collapsed="false">
      <c r="A2614" s="7" t="n">
        <v>2025</v>
      </c>
      <c r="B2614" s="12" t="s">
        <v>73</v>
      </c>
      <c r="C2614" s="12" t="s">
        <v>70</v>
      </c>
      <c r="D2614" s="12" t="s">
        <v>49</v>
      </c>
      <c r="E2614" s="16" t="n">
        <v>44.428757</v>
      </c>
      <c r="F2614" s="16" t="n">
        <v>0</v>
      </c>
      <c r="G2614" s="16" t="n">
        <v>99.119499</v>
      </c>
    </row>
    <row r="2615" customFormat="false" ht="15" hidden="false" customHeight="false" outlineLevel="0" collapsed="false">
      <c r="A2615" s="7" t="n">
        <v>2025</v>
      </c>
      <c r="B2615" s="12" t="s">
        <v>73</v>
      </c>
      <c r="C2615" s="12" t="s">
        <v>70</v>
      </c>
      <c r="D2615" s="12" t="s">
        <v>48</v>
      </c>
      <c r="E2615" s="16" t="n">
        <v>84.104648</v>
      </c>
      <c r="F2615" s="16" t="n">
        <v>0</v>
      </c>
      <c r="G2615" s="16" t="n">
        <v>0</v>
      </c>
    </row>
    <row r="2616" customFormat="false" ht="15" hidden="false" customHeight="false" outlineLevel="0" collapsed="false">
      <c r="A2616" s="7" t="n">
        <v>2025</v>
      </c>
      <c r="B2616" s="12" t="s">
        <v>73</v>
      </c>
      <c r="C2616" s="12" t="s">
        <v>70</v>
      </c>
      <c r="D2616" s="12" t="s">
        <v>46</v>
      </c>
      <c r="E2616" s="16" t="n">
        <v>112.133341</v>
      </c>
      <c r="F2616" s="16" t="n">
        <v>0</v>
      </c>
      <c r="G2616" s="16" t="n">
        <v>108.39897</v>
      </c>
    </row>
    <row r="2617" customFormat="false" ht="15" hidden="false" customHeight="false" outlineLevel="0" collapsed="false">
      <c r="A2617" s="7" t="n">
        <v>2025</v>
      </c>
      <c r="B2617" s="12" t="s">
        <v>73</v>
      </c>
      <c r="C2617" s="12" t="s">
        <v>70</v>
      </c>
      <c r="D2617" s="12" t="s">
        <v>47</v>
      </c>
      <c r="E2617" s="16" t="n">
        <v>8.399939</v>
      </c>
      <c r="F2617" s="16" t="n">
        <v>0</v>
      </c>
      <c r="G2617" s="16" t="n">
        <v>0</v>
      </c>
    </row>
    <row r="2618" customFormat="false" ht="15" hidden="false" customHeight="false" outlineLevel="0" collapsed="false">
      <c r="A2618" s="7" t="n">
        <v>2025</v>
      </c>
      <c r="B2618" s="12" t="s">
        <v>73</v>
      </c>
      <c r="C2618" s="12" t="s">
        <v>70</v>
      </c>
      <c r="D2618" s="12" t="s">
        <v>45</v>
      </c>
      <c r="E2618" s="16" t="n">
        <v>116.184968</v>
      </c>
      <c r="F2618" s="16" t="n">
        <v>90.955433</v>
      </c>
      <c r="G2618" s="16" t="n">
        <v>56.940669</v>
      </c>
    </row>
    <row r="2619" customFormat="false" ht="15" hidden="false" customHeight="false" outlineLevel="0" collapsed="false">
      <c r="A2619" s="7" t="n">
        <v>2025</v>
      </c>
      <c r="B2619" s="12" t="s">
        <v>74</v>
      </c>
      <c r="C2619" s="12" t="s">
        <v>65</v>
      </c>
      <c r="D2619" s="12" t="s">
        <v>49</v>
      </c>
      <c r="E2619" s="16" t="n">
        <v>246.380936</v>
      </c>
      <c r="F2619" s="16" t="n">
        <v>0</v>
      </c>
      <c r="G2619" s="16" t="n">
        <v>39.135371</v>
      </c>
    </row>
    <row r="2620" customFormat="false" ht="15" hidden="false" customHeight="false" outlineLevel="0" collapsed="false">
      <c r="A2620" s="7" t="n">
        <v>2025</v>
      </c>
      <c r="B2620" s="12" t="s">
        <v>74</v>
      </c>
      <c r="C2620" s="12" t="s">
        <v>65</v>
      </c>
      <c r="D2620" s="12" t="s">
        <v>48</v>
      </c>
      <c r="E2620" s="16" t="n">
        <v>27.5404</v>
      </c>
      <c r="F2620" s="16" t="n">
        <v>0</v>
      </c>
      <c r="G2620" s="16" t="n">
        <v>0</v>
      </c>
    </row>
    <row r="2621" customFormat="false" ht="15" hidden="false" customHeight="false" outlineLevel="0" collapsed="false">
      <c r="A2621" s="7" t="n">
        <v>2025</v>
      </c>
      <c r="B2621" s="12" t="s">
        <v>74</v>
      </c>
      <c r="C2621" s="12" t="s">
        <v>65</v>
      </c>
      <c r="D2621" s="12" t="s">
        <v>46</v>
      </c>
      <c r="E2621" s="16" t="n">
        <v>83.987219</v>
      </c>
      <c r="F2621" s="16" t="n">
        <v>0</v>
      </c>
      <c r="G2621" s="16" t="n">
        <v>84.741297</v>
      </c>
    </row>
    <row r="2622" customFormat="false" ht="15" hidden="false" customHeight="false" outlineLevel="0" collapsed="false">
      <c r="A2622" s="7" t="n">
        <v>2025</v>
      </c>
      <c r="B2622" s="12" t="s">
        <v>74</v>
      </c>
      <c r="C2622" s="12" t="s">
        <v>65</v>
      </c>
      <c r="D2622" s="12" t="s">
        <v>47</v>
      </c>
      <c r="E2622" s="16" t="n">
        <v>7.418078</v>
      </c>
      <c r="F2622" s="16" t="n">
        <v>0</v>
      </c>
      <c r="G2622" s="16" t="n">
        <v>0</v>
      </c>
    </row>
    <row r="2623" customFormat="false" ht="15" hidden="false" customHeight="false" outlineLevel="0" collapsed="false">
      <c r="A2623" s="7" t="n">
        <v>2025</v>
      </c>
      <c r="B2623" s="12" t="s">
        <v>74</v>
      </c>
      <c r="C2623" s="12" t="s">
        <v>65</v>
      </c>
      <c r="D2623" s="12" t="s">
        <v>45</v>
      </c>
      <c r="E2623" s="16" t="n">
        <v>62.089101</v>
      </c>
      <c r="F2623" s="16" t="n">
        <v>5.884581</v>
      </c>
      <c r="G2623" s="16" t="n">
        <v>52.644209</v>
      </c>
    </row>
    <row r="2624" customFormat="false" ht="15" hidden="false" customHeight="false" outlineLevel="0" collapsed="false">
      <c r="A2624" s="7" t="n">
        <v>2025</v>
      </c>
      <c r="B2624" s="12" t="s">
        <v>75</v>
      </c>
      <c r="C2624" s="12" t="s">
        <v>57</v>
      </c>
      <c r="D2624" s="12" t="s">
        <v>49</v>
      </c>
      <c r="E2624" s="16" t="n">
        <v>317.069742</v>
      </c>
      <c r="F2624" s="16" t="n">
        <v>0</v>
      </c>
      <c r="G2624" s="16" t="n">
        <v>161.267467</v>
      </c>
    </row>
    <row r="2625" customFormat="false" ht="15" hidden="false" customHeight="false" outlineLevel="0" collapsed="false">
      <c r="A2625" s="7" t="n">
        <v>2025</v>
      </c>
      <c r="B2625" s="12" t="s">
        <v>75</v>
      </c>
      <c r="C2625" s="12" t="s">
        <v>57</v>
      </c>
      <c r="D2625" s="12" t="s">
        <v>48</v>
      </c>
      <c r="E2625" s="16" t="n">
        <v>183.473946</v>
      </c>
      <c r="F2625" s="16" t="n">
        <v>0</v>
      </c>
      <c r="G2625" s="16" t="n">
        <v>0</v>
      </c>
    </row>
    <row r="2626" customFormat="false" ht="15" hidden="false" customHeight="false" outlineLevel="0" collapsed="false">
      <c r="A2626" s="7" t="n">
        <v>2025</v>
      </c>
      <c r="B2626" s="12" t="s">
        <v>75</v>
      </c>
      <c r="C2626" s="12" t="s">
        <v>57</v>
      </c>
      <c r="D2626" s="12" t="s">
        <v>46</v>
      </c>
      <c r="E2626" s="16" t="n">
        <v>134.067379</v>
      </c>
      <c r="F2626" s="16" t="n">
        <v>0</v>
      </c>
      <c r="G2626" s="16" t="n">
        <v>229.580407</v>
      </c>
    </row>
    <row r="2627" customFormat="false" ht="15" hidden="false" customHeight="false" outlineLevel="0" collapsed="false">
      <c r="A2627" s="7" t="n">
        <v>2025</v>
      </c>
      <c r="B2627" s="12" t="s">
        <v>75</v>
      </c>
      <c r="C2627" s="12" t="s">
        <v>57</v>
      </c>
      <c r="D2627" s="12" t="s">
        <v>47</v>
      </c>
      <c r="E2627" s="16" t="n">
        <v>11.623581</v>
      </c>
      <c r="F2627" s="16" t="n">
        <v>0</v>
      </c>
      <c r="G2627" s="16" t="n">
        <v>0</v>
      </c>
    </row>
    <row r="2628" customFormat="false" ht="15" hidden="false" customHeight="false" outlineLevel="0" collapsed="false">
      <c r="A2628" s="7" t="n">
        <v>2025</v>
      </c>
      <c r="B2628" s="12" t="s">
        <v>75</v>
      </c>
      <c r="C2628" s="12" t="s">
        <v>57</v>
      </c>
      <c r="D2628" s="12" t="s">
        <v>45</v>
      </c>
      <c r="E2628" s="16" t="n">
        <v>451.071571</v>
      </c>
      <c r="F2628" s="16" t="n">
        <v>396.614888</v>
      </c>
      <c r="G2628" s="16" t="n">
        <v>117.573479</v>
      </c>
    </row>
    <row r="2629" customFormat="false" ht="15" hidden="false" customHeight="false" outlineLevel="0" collapsed="false">
      <c r="A2629" s="7" t="n">
        <v>2025</v>
      </c>
      <c r="B2629" s="12" t="s">
        <v>76</v>
      </c>
      <c r="C2629" s="12" t="s">
        <v>72</v>
      </c>
      <c r="D2629" s="12" t="s">
        <v>49</v>
      </c>
      <c r="E2629" s="16" t="n">
        <v>55.812342</v>
      </c>
      <c r="F2629" s="16" t="n">
        <v>0</v>
      </c>
      <c r="G2629" s="16" t="n">
        <v>30.238602</v>
      </c>
    </row>
    <row r="2630" customFormat="false" ht="15" hidden="false" customHeight="false" outlineLevel="0" collapsed="false">
      <c r="A2630" s="7" t="n">
        <v>2025</v>
      </c>
      <c r="B2630" s="12" t="s">
        <v>76</v>
      </c>
      <c r="C2630" s="12" t="s">
        <v>72</v>
      </c>
      <c r="D2630" s="12" t="s">
        <v>48</v>
      </c>
      <c r="E2630" s="16" t="n">
        <v>24.557341</v>
      </c>
      <c r="F2630" s="16" t="n">
        <v>0</v>
      </c>
      <c r="G2630" s="16" t="n">
        <v>0</v>
      </c>
    </row>
    <row r="2631" customFormat="false" ht="15" hidden="false" customHeight="false" outlineLevel="0" collapsed="false">
      <c r="A2631" s="7" t="n">
        <v>2025</v>
      </c>
      <c r="B2631" s="12" t="s">
        <v>76</v>
      </c>
      <c r="C2631" s="12" t="s">
        <v>72</v>
      </c>
      <c r="D2631" s="12" t="s">
        <v>46</v>
      </c>
      <c r="E2631" s="16" t="n">
        <v>26.646229</v>
      </c>
      <c r="F2631" s="16" t="n">
        <v>0</v>
      </c>
      <c r="G2631" s="16" t="n">
        <v>56.75885</v>
      </c>
    </row>
    <row r="2632" customFormat="false" ht="15" hidden="false" customHeight="false" outlineLevel="0" collapsed="false">
      <c r="A2632" s="7" t="n">
        <v>2025</v>
      </c>
      <c r="B2632" s="12" t="s">
        <v>76</v>
      </c>
      <c r="C2632" s="12" t="s">
        <v>72</v>
      </c>
      <c r="D2632" s="12" t="s">
        <v>45</v>
      </c>
      <c r="E2632" s="16" t="n">
        <v>88.682784</v>
      </c>
      <c r="F2632" s="16" t="n">
        <v>73.628117</v>
      </c>
      <c r="G2632" s="16" t="n">
        <v>56.277583</v>
      </c>
    </row>
    <row r="2633" customFormat="false" ht="15" hidden="false" customHeight="false" outlineLevel="0" collapsed="false">
      <c r="A2633" s="7" t="n">
        <v>2025</v>
      </c>
      <c r="B2633" s="12" t="s">
        <v>77</v>
      </c>
      <c r="C2633" s="12" t="s">
        <v>57</v>
      </c>
      <c r="D2633" s="12" t="s">
        <v>49</v>
      </c>
      <c r="E2633" s="16" t="n">
        <v>60.213576</v>
      </c>
      <c r="F2633" s="16" t="n">
        <v>0</v>
      </c>
      <c r="G2633" s="16" t="n">
        <v>6.994619</v>
      </c>
    </row>
    <row r="2634" customFormat="false" ht="15" hidden="false" customHeight="false" outlineLevel="0" collapsed="false">
      <c r="A2634" s="7" t="n">
        <v>2025</v>
      </c>
      <c r="B2634" s="12" t="s">
        <v>77</v>
      </c>
      <c r="C2634" s="12" t="s">
        <v>57</v>
      </c>
      <c r="D2634" s="12" t="s">
        <v>48</v>
      </c>
      <c r="E2634" s="16" t="n">
        <v>20.62789</v>
      </c>
      <c r="F2634" s="16" t="n">
        <v>0</v>
      </c>
      <c r="G2634" s="16" t="n">
        <v>0</v>
      </c>
    </row>
    <row r="2635" customFormat="false" ht="15" hidden="false" customHeight="false" outlineLevel="0" collapsed="false">
      <c r="A2635" s="7" t="n">
        <v>2025</v>
      </c>
      <c r="B2635" s="12" t="s">
        <v>77</v>
      </c>
      <c r="C2635" s="12" t="s">
        <v>57</v>
      </c>
      <c r="D2635" s="12" t="s">
        <v>46</v>
      </c>
      <c r="E2635" s="16" t="n">
        <v>18.997339</v>
      </c>
      <c r="F2635" s="16" t="n">
        <v>0</v>
      </c>
      <c r="G2635" s="16" t="n">
        <v>23.79822</v>
      </c>
    </row>
    <row r="2636" customFormat="false" ht="15" hidden="false" customHeight="false" outlineLevel="0" collapsed="false">
      <c r="A2636" s="7" t="n">
        <v>2025</v>
      </c>
      <c r="B2636" s="12" t="s">
        <v>77</v>
      </c>
      <c r="C2636" s="12" t="s">
        <v>57</v>
      </c>
      <c r="D2636" s="12" t="s">
        <v>47</v>
      </c>
      <c r="E2636" s="16" t="n">
        <v>1.127943</v>
      </c>
      <c r="F2636" s="16" t="n">
        <v>0</v>
      </c>
      <c r="G2636" s="16" t="n">
        <v>0</v>
      </c>
    </row>
    <row r="2637" customFormat="false" ht="15" hidden="false" customHeight="false" outlineLevel="0" collapsed="false">
      <c r="A2637" s="7" t="n">
        <v>2025</v>
      </c>
      <c r="B2637" s="12" t="s">
        <v>77</v>
      </c>
      <c r="C2637" s="12" t="s">
        <v>57</v>
      </c>
      <c r="D2637" s="12" t="s">
        <v>45</v>
      </c>
      <c r="E2637" s="16" t="n">
        <v>34.947351</v>
      </c>
      <c r="F2637" s="16" t="n">
        <v>22.65486</v>
      </c>
      <c r="G2637" s="16" t="n">
        <v>13.195109</v>
      </c>
    </row>
    <row r="2638" customFormat="false" ht="15" hidden="false" customHeight="false" outlineLevel="0" collapsed="false">
      <c r="A2638" s="7" t="n">
        <v>2025</v>
      </c>
      <c r="B2638" s="12" t="s">
        <v>78</v>
      </c>
      <c r="C2638" s="12" t="s">
        <v>65</v>
      </c>
      <c r="D2638" s="12" t="s">
        <v>49</v>
      </c>
      <c r="E2638" s="16" t="n">
        <v>52.025776</v>
      </c>
      <c r="F2638" s="16" t="n">
        <v>0</v>
      </c>
      <c r="G2638" s="16" t="n">
        <v>16.271078</v>
      </c>
    </row>
    <row r="2639" customFormat="false" ht="15" hidden="false" customHeight="false" outlineLevel="0" collapsed="false">
      <c r="A2639" s="7" t="n">
        <v>2025</v>
      </c>
      <c r="B2639" s="12" t="s">
        <v>78</v>
      </c>
      <c r="C2639" s="12" t="s">
        <v>65</v>
      </c>
      <c r="D2639" s="12" t="s">
        <v>48</v>
      </c>
      <c r="E2639" s="16" t="n">
        <v>18.343866</v>
      </c>
      <c r="F2639" s="16" t="n">
        <v>0</v>
      </c>
      <c r="G2639" s="16" t="n">
        <v>0</v>
      </c>
    </row>
    <row r="2640" customFormat="false" ht="15" hidden="false" customHeight="false" outlineLevel="0" collapsed="false">
      <c r="A2640" s="7" t="n">
        <v>2025</v>
      </c>
      <c r="B2640" s="12" t="s">
        <v>78</v>
      </c>
      <c r="C2640" s="12" t="s">
        <v>65</v>
      </c>
      <c r="D2640" s="12" t="s">
        <v>46</v>
      </c>
      <c r="E2640" s="16" t="n">
        <v>25.274553</v>
      </c>
      <c r="F2640" s="16" t="n">
        <v>0</v>
      </c>
      <c r="G2640" s="16" t="n">
        <v>40.926956</v>
      </c>
    </row>
    <row r="2641" customFormat="false" ht="15" hidden="false" customHeight="false" outlineLevel="0" collapsed="false">
      <c r="A2641" s="7" t="n">
        <v>2025</v>
      </c>
      <c r="B2641" s="12" t="s">
        <v>78</v>
      </c>
      <c r="C2641" s="12" t="s">
        <v>65</v>
      </c>
      <c r="D2641" s="12" t="s">
        <v>47</v>
      </c>
      <c r="E2641" s="16" t="n">
        <v>0</v>
      </c>
      <c r="F2641" s="16" t="n">
        <v>0</v>
      </c>
      <c r="G2641" s="16" t="n">
        <v>0</v>
      </c>
    </row>
    <row r="2642" customFormat="false" ht="15" hidden="false" customHeight="false" outlineLevel="0" collapsed="false">
      <c r="A2642" s="7" t="n">
        <v>2025</v>
      </c>
      <c r="B2642" s="12" t="s">
        <v>78</v>
      </c>
      <c r="C2642" s="12" t="s">
        <v>65</v>
      </c>
      <c r="D2642" s="12" t="s">
        <v>45</v>
      </c>
      <c r="E2642" s="16" t="n">
        <v>22.536155</v>
      </c>
      <c r="F2642" s="16" t="n">
        <v>0</v>
      </c>
      <c r="G2642" s="16" t="n">
        <v>15.315242</v>
      </c>
    </row>
    <row r="2643" customFormat="false" ht="15" hidden="false" customHeight="false" outlineLevel="0" collapsed="false">
      <c r="A2643" s="7" t="n">
        <v>2025</v>
      </c>
      <c r="B2643" s="12" t="s">
        <v>79</v>
      </c>
      <c r="C2643" s="12" t="s">
        <v>72</v>
      </c>
      <c r="D2643" s="12" t="s">
        <v>49</v>
      </c>
      <c r="E2643" s="16" t="n">
        <v>131.24568</v>
      </c>
      <c r="F2643" s="16" t="n">
        <v>0</v>
      </c>
      <c r="G2643" s="16" t="n">
        <v>58.053728</v>
      </c>
    </row>
    <row r="2644" customFormat="false" ht="15" hidden="false" customHeight="false" outlineLevel="0" collapsed="false">
      <c r="A2644" s="7" t="n">
        <v>2025</v>
      </c>
      <c r="B2644" s="12" t="s">
        <v>79</v>
      </c>
      <c r="C2644" s="12" t="s">
        <v>72</v>
      </c>
      <c r="D2644" s="12" t="s">
        <v>48</v>
      </c>
      <c r="E2644" s="16" t="n">
        <v>133.125919</v>
      </c>
      <c r="F2644" s="16" t="n">
        <v>0</v>
      </c>
      <c r="G2644" s="16" t="n">
        <v>0</v>
      </c>
    </row>
    <row r="2645" customFormat="false" ht="15" hidden="false" customHeight="false" outlineLevel="0" collapsed="false">
      <c r="A2645" s="7" t="n">
        <v>2025</v>
      </c>
      <c r="B2645" s="12" t="s">
        <v>79</v>
      </c>
      <c r="C2645" s="12" t="s">
        <v>72</v>
      </c>
      <c r="D2645" s="12" t="s">
        <v>46</v>
      </c>
      <c r="E2645" s="16" t="n">
        <v>108.179565</v>
      </c>
      <c r="F2645" s="16" t="n">
        <v>0</v>
      </c>
      <c r="G2645" s="16" t="n">
        <v>192.508395</v>
      </c>
    </row>
    <row r="2646" customFormat="false" ht="15" hidden="false" customHeight="false" outlineLevel="0" collapsed="false">
      <c r="A2646" s="7" t="n">
        <v>2025</v>
      </c>
      <c r="B2646" s="12" t="s">
        <v>79</v>
      </c>
      <c r="C2646" s="12" t="s">
        <v>72</v>
      </c>
      <c r="D2646" s="12" t="s">
        <v>47</v>
      </c>
      <c r="E2646" s="16" t="n">
        <v>4.053959</v>
      </c>
      <c r="F2646" s="16" t="n">
        <v>0</v>
      </c>
      <c r="G2646" s="16" t="n">
        <v>0</v>
      </c>
    </row>
    <row r="2647" customFormat="false" ht="15" hidden="false" customHeight="false" outlineLevel="0" collapsed="false">
      <c r="A2647" s="7" t="n">
        <v>2025</v>
      </c>
      <c r="B2647" s="12" t="s">
        <v>79</v>
      </c>
      <c r="C2647" s="12" t="s">
        <v>72</v>
      </c>
      <c r="D2647" s="12" t="s">
        <v>45</v>
      </c>
      <c r="E2647" s="16" t="n">
        <v>377.056153</v>
      </c>
      <c r="F2647" s="16" t="n">
        <v>362.845023</v>
      </c>
      <c r="G2647" s="16" t="n">
        <v>0</v>
      </c>
    </row>
    <row r="2648" customFormat="false" ht="15" hidden="false" customHeight="false" outlineLevel="0" collapsed="false">
      <c r="A2648" s="7" t="n">
        <v>2025</v>
      </c>
      <c r="B2648" s="12" t="s">
        <v>80</v>
      </c>
      <c r="C2648" s="12" t="s">
        <v>72</v>
      </c>
      <c r="D2648" s="12" t="s">
        <v>49</v>
      </c>
      <c r="E2648" s="16" t="n">
        <v>113.388414</v>
      </c>
      <c r="F2648" s="16" t="n">
        <v>0</v>
      </c>
      <c r="G2648" s="16" t="n">
        <v>40.257839</v>
      </c>
    </row>
    <row r="2649" customFormat="false" ht="15" hidden="false" customHeight="false" outlineLevel="0" collapsed="false">
      <c r="A2649" s="7" t="n">
        <v>2025</v>
      </c>
      <c r="B2649" s="12" t="s">
        <v>80</v>
      </c>
      <c r="C2649" s="12" t="s">
        <v>72</v>
      </c>
      <c r="D2649" s="12" t="s">
        <v>48</v>
      </c>
      <c r="E2649" s="16" t="n">
        <v>42.377518</v>
      </c>
      <c r="F2649" s="16" t="n">
        <v>0</v>
      </c>
      <c r="G2649" s="16" t="n">
        <v>0</v>
      </c>
    </row>
    <row r="2650" customFormat="false" ht="15" hidden="false" customHeight="false" outlineLevel="0" collapsed="false">
      <c r="A2650" s="7" t="n">
        <v>2025</v>
      </c>
      <c r="B2650" s="12" t="s">
        <v>80</v>
      </c>
      <c r="C2650" s="12" t="s">
        <v>72</v>
      </c>
      <c r="D2650" s="12" t="s">
        <v>46</v>
      </c>
      <c r="E2650" s="16" t="n">
        <v>23.444695</v>
      </c>
      <c r="F2650" s="16" t="n">
        <v>0</v>
      </c>
      <c r="G2650" s="16" t="n">
        <v>96.331703</v>
      </c>
    </row>
    <row r="2651" customFormat="false" ht="15" hidden="false" customHeight="false" outlineLevel="0" collapsed="false">
      <c r="A2651" s="7" t="n">
        <v>2025</v>
      </c>
      <c r="B2651" s="12" t="s">
        <v>80</v>
      </c>
      <c r="C2651" s="12" t="s">
        <v>72</v>
      </c>
      <c r="D2651" s="12" t="s">
        <v>47</v>
      </c>
      <c r="E2651" s="16" t="n">
        <v>3.180501</v>
      </c>
      <c r="F2651" s="16" t="n">
        <v>0</v>
      </c>
      <c r="G2651" s="16" t="n">
        <v>0</v>
      </c>
    </row>
    <row r="2652" customFormat="false" ht="15" hidden="false" customHeight="false" outlineLevel="0" collapsed="false">
      <c r="A2652" s="7" t="n">
        <v>2025</v>
      </c>
      <c r="B2652" s="12" t="s">
        <v>80</v>
      </c>
      <c r="C2652" s="12" t="s">
        <v>72</v>
      </c>
      <c r="D2652" s="12" t="s">
        <v>45</v>
      </c>
      <c r="E2652" s="16" t="n">
        <v>207.049631</v>
      </c>
      <c r="F2652" s="16" t="n">
        <v>203.1423</v>
      </c>
      <c r="G2652" s="16" t="n">
        <v>0</v>
      </c>
    </row>
    <row r="2653" customFormat="false" ht="15" hidden="false" customHeight="false" outlineLevel="0" collapsed="false">
      <c r="A2653" s="7" t="n">
        <v>2025</v>
      </c>
      <c r="B2653" s="12" t="s">
        <v>81</v>
      </c>
      <c r="C2653" s="12" t="s">
        <v>72</v>
      </c>
      <c r="D2653" s="12" t="s">
        <v>49</v>
      </c>
      <c r="E2653" s="16" t="n">
        <v>47.513875</v>
      </c>
      <c r="F2653" s="16" t="n">
        <v>0</v>
      </c>
      <c r="G2653" s="16" t="n">
        <v>28.205651</v>
      </c>
    </row>
    <row r="2654" customFormat="false" ht="15" hidden="false" customHeight="false" outlineLevel="0" collapsed="false">
      <c r="A2654" s="7" t="n">
        <v>2025</v>
      </c>
      <c r="B2654" s="12" t="s">
        <v>81</v>
      </c>
      <c r="C2654" s="12" t="s">
        <v>72</v>
      </c>
      <c r="D2654" s="12" t="s">
        <v>48</v>
      </c>
      <c r="E2654" s="16" t="n">
        <v>41.91812</v>
      </c>
      <c r="F2654" s="16" t="n">
        <v>0</v>
      </c>
      <c r="G2654" s="16" t="n">
        <v>0</v>
      </c>
    </row>
    <row r="2655" customFormat="false" ht="15" hidden="false" customHeight="false" outlineLevel="0" collapsed="false">
      <c r="A2655" s="7" t="n">
        <v>2025</v>
      </c>
      <c r="B2655" s="12" t="s">
        <v>81</v>
      </c>
      <c r="C2655" s="12" t="s">
        <v>72</v>
      </c>
      <c r="D2655" s="12" t="s">
        <v>46</v>
      </c>
      <c r="E2655" s="16" t="n">
        <v>45.865031</v>
      </c>
      <c r="F2655" s="16" t="n">
        <v>0</v>
      </c>
      <c r="G2655" s="16" t="n">
        <v>66.353524</v>
      </c>
    </row>
    <row r="2656" customFormat="false" ht="15" hidden="false" customHeight="false" outlineLevel="0" collapsed="false">
      <c r="A2656" s="7" t="n">
        <v>2025</v>
      </c>
      <c r="B2656" s="12" t="s">
        <v>81</v>
      </c>
      <c r="C2656" s="12" t="s">
        <v>72</v>
      </c>
      <c r="D2656" s="12" t="s">
        <v>47</v>
      </c>
      <c r="E2656" s="16" t="n">
        <v>1.98919</v>
      </c>
      <c r="F2656" s="16" t="n">
        <v>0</v>
      </c>
      <c r="G2656" s="16" t="n">
        <v>0</v>
      </c>
    </row>
    <row r="2657" customFormat="false" ht="15" hidden="false" customHeight="false" outlineLevel="0" collapsed="false">
      <c r="A2657" s="7" t="n">
        <v>2025</v>
      </c>
      <c r="B2657" s="12" t="s">
        <v>81</v>
      </c>
      <c r="C2657" s="12" t="s">
        <v>72</v>
      </c>
      <c r="D2657" s="12" t="s">
        <v>45</v>
      </c>
      <c r="E2657" s="16" t="n">
        <v>181.411323</v>
      </c>
      <c r="F2657" s="16" t="n">
        <v>174.784584</v>
      </c>
      <c r="G2657" s="16" t="n">
        <v>0</v>
      </c>
    </row>
  </sheetData>
  <autoFilter ref="A1:G265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2026-10-25T20:18:06Z</dcterms:created>
  <dc:creator>openpyxl</dc:creator>
  <dc:description/>
  <dc:language>en-US</dc:language>
  <cp:lastModifiedBy/>
  <dcterms:modified xsi:type="dcterms:W3CDTF">2026-10-25T20:18:08Z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