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_rels/drawing1.xml.rels" ContentType="application/vnd.openxmlformats-package.relationships+xml"/>
  <Override PartName="/xl/drawings/vmlDrawing1.vml" ContentType="application/vnd.openxmlformats-officedocument.vmlDrawing"/>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Summary" sheetId="2" state="visible" r:id="rId4"/>
    <sheet name="Rates" sheetId="3" state="visible" r:id="rId5"/>
    <sheet name="Plan Eligibility" sheetId="4" state="visible" r:id="rId6"/>
    <sheet name="Annual Usage" sheetId="5" state="visible" r:id="rId7"/>
    <sheet name="Monthly Bills" sheetId="6" state="visible" r:id="rId8"/>
  </sheets>
  <definedNames>
    <definedName function="false" hidden="true" localSheetId="5" name="_xlnm._FilterDatabase" vbProcedure="false">'Monthly Bills'!$A$4:$Q$196</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B5" authorId="0">
      <text>
        <r>
          <rPr>
            <sz val="10"/>
            <rFont val="Arial"/>
            <family val="2"/>
          </rPr>
          <t xml:space="preserve">Scope and limits are listed in README.md.</t>
        </r>
      </text>
    </comment>
  </commentList>
</comments>
</file>

<file path=xl/sharedStrings.xml><?xml version="1.0" encoding="utf-8"?>
<sst xmlns="http://schemas.openxmlformats.org/spreadsheetml/2006/main" count="871" uniqueCount="195">
  <si>
    <t xml:space="preserve">Twin Cities home energy model: results</t>
  </si>
  <si>
    <t xml:space="preserve">Purpose</t>
  </si>
  <si>
    <t xml:space="preserve">Annual and monthly electricity and natural gas cost for a typical Twin Cities metro single-family home under four heating setups, with and without a heat pump water heater, on Xcel Energy and CenterPoint Energy residential rates.</t>
  </si>
  <si>
    <t xml:space="preserve">Usage source</t>
  </si>
  <si>
    <t xml:space="preserve">NREL End-Use Load Profiles for the U.S. Building Stock, ResStock 2025 Release 1, actual meteorological year 2018 (Open Energy Data Initiative). Scope: 2,443 simulated single-family detached homes with gas furnaces in Anoka, Carver, Dakota, Hennepin, Ramsey, Scott and Washington counties. Gas totals are as NREL published them; the metro mean (1,503 therms/yr) is above commonly cited CenterPoint residential averages, a comparison not checked against a published source.</t>
  </si>
  <si>
    <t xml:space="preserve">Profiles</t>
  </si>
  <si>
    <t xml:space="preserve">Average = mean of 200 homes sampled in proportion to ResStock weights (seed 2018); smooths hourly peaks. Median home = ResStock building 164367 (2,179 sq ft), closest to median floor area, electricity and gas use.</t>
  </si>
  <si>
    <t xml:space="preserve">Setups</t>
  </si>
  <si>
    <t xml:space="preserve">Gas furnace (baseline); cold-climate heat pump with electric resistance backup (ResStock upgrade 4); dual-fuel heat pump with 95% AFUE gas backup, 35F switchover (upgrade 5); electric baseboard (baseline heat delivered at 100% efficiency); each also with a heat pump water heater (upgrade 9). Gas cooking, drying and other gas uses remain in every setup.</t>
  </si>
  <si>
    <t xml:space="preserve">Rates: status</t>
  </si>
  <si>
    <t xml:space="preserve">Every price on the Rates sheet is unverified. The build environment could not reach xcelenergy.com, centerpointenergy.com, mn.gov or eDockets; values come from web search summaries of the sources named in each row, with effective dates not confirmed. Xcel Resource Adjustment riders and CenterPoint per-therm riders are set to zero. The Xcel fuel cost charge (January 2026) and CenterPoint cost of gas (April 2026) are applied to all months. Taxes and franchise fees are excluded. Dual-fuel control events are not modeled.</t>
  </si>
  <si>
    <t xml:space="preserve">Rates: to update</t>
  </si>
  <si>
    <t xml:space="preserve">Replace the yellow cells on the Rates sheet with values from the Xcel Energy Minnesota Electric Rate Book (MPUC No. 2, Section 5) and the CenterPoint Energy Minnesota Gas Rate Book (Residential Sales Service). All bills recalculate.</t>
  </si>
  <si>
    <t xml:space="preserve">Legend</t>
  </si>
  <si>
    <t xml:space="preserve">Blue text = hardcoded input or model output. Yellow fill = rate input to replace with the tariff value. Black text = formula.</t>
  </si>
  <si>
    <t xml:space="preserve">Sheets</t>
  </si>
  <si>
    <t xml:space="preserve">Summary: annual cost by setup and plan, lowest-cost plan, electric/gas split, chart. Rates: price inputs. Plan Eligibility: which plans apply to which setups. Monthly Bills: monthly kWh, time-of-use period kWh, therms and bill formulas. Annual Usage: end-use totals, highest hourly use, sample check.</t>
  </si>
  <si>
    <t xml:space="preserve">Hourly data</t>
  </si>
  <si>
    <t xml:space="preserve">The 8,760-hour profiles are in outputs/profiles/ as CSV files (one per profile and setup).</t>
  </si>
  <si>
    <t xml:space="preserve">Annual energy cost by home setup and rate plan</t>
  </si>
  <si>
    <t xml:space="preserve">Twin Cities metro single-family home, NREL ResStock 2025.1 with 2018 weather. Costs use unverified rates on the Rates sheet; n/a = plan not modeled for that setup (Plan Eligibility sheet).</t>
  </si>
  <si>
    <t xml:space="preserve">Average of 200 sampled homes</t>
  </si>
  <si>
    <t xml:space="preserve">Setup</t>
  </si>
  <si>
    <t xml:space="preserve">Electricity (kWh/yr)</t>
  </si>
  <si>
    <t xml:space="preserve">Gas (therms/yr)</t>
  </si>
  <si>
    <t xml:space="preserve">Standard ($/yr)</t>
  </si>
  <si>
    <t xml:space="preserve">Time-of-use ($/yr)</t>
  </si>
  <si>
    <t xml:space="preserve">Space heating ($/yr)</t>
  </si>
  <si>
    <t xml:space="preserve">Dual fuel ($/yr)</t>
  </si>
  <si>
    <t xml:space="preserve">Lowest cost ($/yr)</t>
  </si>
  <si>
    <t xml:space="preserve">Lowest-cost plan</t>
  </si>
  <si>
    <t xml:space="preserve">Gas furnace</t>
  </si>
  <si>
    <t xml:space="preserve">Heat pump + electric backup</t>
  </si>
  <si>
    <t xml:space="preserve">Heat pump + gas backup (dual fuel)</t>
  </si>
  <si>
    <t xml:space="preserve">Electric baseboard</t>
  </si>
  <si>
    <t xml:space="preserve">Gas furnace + heat pump water heater</t>
  </si>
  <si>
    <t xml:space="preserve">Heat pump + electric backup + heat pump water heater</t>
  </si>
  <si>
    <t xml:space="preserve">Heat pump + gas backup (dual fuel) + heat pump water heater</t>
  </si>
  <si>
    <t xml:space="preserve">Electric baseboard + heat pump water heater</t>
  </si>
  <si>
    <t xml:space="preserve">Median home (ResStock building 164367)</t>
  </si>
  <si>
    <t xml:space="preserve">Electric and gas split, average profile</t>
  </si>
  <si>
    <t xml:space="preserve">Standard electric ($/yr)</t>
  </si>
  <si>
    <t xml:space="preserve">Time-of-use electric ($/yr)</t>
  </si>
  <si>
    <t xml:space="preserve">Space heating electric ($/yr)</t>
  </si>
  <si>
    <t xml:space="preserve">Dual fuel electric ($/yr)</t>
  </si>
  <si>
    <t xml:space="preserve">Gas ($/yr)</t>
  </si>
  <si>
    <t xml:space="preserve">Rate inputs</t>
  </si>
  <si>
    <t xml:space="preserve">Blue text on yellow = input to replace with the current tariff sheet value. Every price is unverified (see Read Me). Bills on the other sheets recalculate from these cells.</t>
  </si>
  <si>
    <t xml:space="preserve">Rate</t>
  </si>
  <si>
    <t xml:space="preserve">Component</t>
  </si>
  <si>
    <t xml:space="preserve">Applies to</t>
  </si>
  <si>
    <t xml:space="preserve">Months</t>
  </si>
  <si>
    <t xml:space="preserve">Hours / days</t>
  </si>
  <si>
    <t xml:space="preserve">Price</t>
  </si>
  <si>
    <t xml:space="preserve">Unit</t>
  </si>
  <si>
    <t xml:space="preserve">Source</t>
  </si>
  <si>
    <t xml:space="preserve">Notes</t>
  </si>
  <si>
    <t xml:space="preserve">xcel_standard</t>
  </si>
  <si>
    <t xml:space="preserve">customer_charge</t>
  </si>
  <si>
    <t xml:space="preserve">total</t>
  </si>
  <si>
    <t xml:space="preserve">1-12</t>
  </si>
  <si>
    <t xml:space="preserve">all hours</t>
  </si>
  <si>
    <t xml:space="preserve">USD/month</t>
  </si>
  <si>
    <t xml:space="preserve">Web search summary citing Xcel MN residential rate card (MNResRateCard.pdf); effective date not confirmed</t>
  </si>
  <si>
    <t xml:space="preserve">Overhead service; underground service is $10.00</t>
  </si>
  <si>
    <t xml:space="preserve">energy_summer</t>
  </si>
  <si>
    <t xml:space="preserve">6-9</t>
  </si>
  <si>
    <t xml:space="preserve">USD/kWh</t>
  </si>
  <si>
    <t xml:space="preserve">energy_winter_block1</t>
  </si>
  <si>
    <t xml:space="preserve">10-12;1-5</t>
  </si>
  <si>
    <t xml:space="preserve">all hours; monthly block from 0 kWh to 1000 kWh</t>
  </si>
  <si>
    <t xml:space="preserve">First 1000 kWh per month</t>
  </si>
  <si>
    <t xml:space="preserve">energy_winter_block2</t>
  </si>
  <si>
    <t xml:space="preserve">all hours; monthly block from 1000 kWh</t>
  </si>
  <si>
    <t xml:space="preserve">kWh above 1000 per month</t>
  </si>
  <si>
    <t xml:space="preserve">fuel_cost_charge</t>
  </si>
  <si>
    <t xml:space="preserve">Web search summary: Xcel MN Fuel Cost Charge for residential January 2026</t>
  </si>
  <si>
    <t xml:space="preserve">Set monthly; January 2026 value applied to all months</t>
  </si>
  <si>
    <t xml:space="preserve">resource_adjustment</t>
  </si>
  <si>
    <t xml:space="preserve">Not found; Xcel Resource Adjustment riders (CIP; SEP; RDF; TCR; RES) apply per kWh but values were not retrieved</t>
  </si>
  <si>
    <t xml:space="preserve">Enter current rider total</t>
  </si>
  <si>
    <t xml:space="preserve">winter_block_size</t>
  </si>
  <si>
    <t xml:space="preserve">kWh/month</t>
  </si>
  <si>
    <t xml:space="preserve">Block limit in config/rates/xcel_standard.csv</t>
  </si>
  <si>
    <t xml:space="preserve">Size of the first winter energy block</t>
  </si>
  <si>
    <t xml:space="preserve">xcel_tou</t>
  </si>
  <si>
    <t xml:space="preserve">Not found; assumed equal to standard residential customer charge</t>
  </si>
  <si>
    <t xml:space="preserve">on_peak_summer</t>
  </si>
  <si>
    <t xml:space="preserve">18-21 local, weekday nonholiday</t>
  </si>
  <si>
    <t xml:space="preserve">Web search summaries of Hoodline (July 2026) and CUB Minnesota reports on the approved Xcel MN residential time-of-use rate; prices reported as approximate</t>
  </si>
  <si>
    <t xml:space="preserve">6-9 p.m. non-holiday weekdays</t>
  </si>
  <si>
    <t xml:space="preserve">on_peak_winter</t>
  </si>
  <si>
    <t xml:space="preserve">super_off_peak</t>
  </si>
  <si>
    <t xml:space="preserve">0-6 local</t>
  </si>
  <si>
    <t xml:space="preserve">Midnight-6 a.m. every day</t>
  </si>
  <si>
    <t xml:space="preserve">base_summer_weekday</t>
  </si>
  <si>
    <t xml:space="preserve">6-18;21-24 local, weekday nonholiday</t>
  </si>
  <si>
    <t xml:space="preserve">All other hours billed near the standard flat price</t>
  </si>
  <si>
    <t xml:space="preserve">base_summer_weekend</t>
  </si>
  <si>
    <t xml:space="preserve">6-24 local, weekend holiday</t>
  </si>
  <si>
    <t xml:space="preserve">base_winter_weekday</t>
  </si>
  <si>
    <t xml:space="preserve">base_winter_weekend</t>
  </si>
  <si>
    <t xml:space="preserve">Not confirmed whether TOU prices include fuel cost</t>
  </si>
  <si>
    <t xml:space="preserve">xcel_space_heating</t>
  </si>
  <si>
    <t xml:space="preserve">Overhead service</t>
  </si>
  <si>
    <t xml:space="preserve">Same as standard residential</t>
  </si>
  <si>
    <t xml:space="preserve">energy_winter_space_heat</t>
  </si>
  <si>
    <t xml:space="preserve">Web search summary (electricchoice.com page citing Xcel MN rates); tariff structure not confirmed</t>
  </si>
  <si>
    <t xml:space="preserve">Tariff may apply the lower price only above a monthly block or only to space heating kWh</t>
  </si>
  <si>
    <t xml:space="preserve">January 2026 value applied to all months</t>
  </si>
  <si>
    <t xml:space="preserve">xcel_dual_fuel</t>
  </si>
  <si>
    <t xml:space="preserve">non_heating</t>
  </si>
  <si>
    <t xml:space="preserve">Main meter: standard residential</t>
  </si>
  <si>
    <t xml:space="preserve">ecs_customer_charge</t>
  </si>
  <si>
    <t xml:space="preserve">heating</t>
  </si>
  <si>
    <t xml:space="preserve">Web search summary citing Xcel MN residential rate card: Energy-Controlled Service (non-demand); effective date not confirmed</t>
  </si>
  <si>
    <t xml:space="preserve">Second meter on the interruptible heating load</t>
  </si>
  <si>
    <t xml:space="preserve">ecs_energy</t>
  </si>
  <si>
    <t xml:space="preserve">Utility control events not modeled</t>
  </si>
  <si>
    <t xml:space="preserve">Block limit in config/rates/xcel_dual_fuel.csv</t>
  </si>
  <si>
    <t xml:space="preserve">centerpoint_residential</t>
  </si>
  <si>
    <t xml:space="preserve">basic_charge</t>
  </si>
  <si>
    <t xml:space="preserve">Web search summary citing CenterPoint Energy MN final rates bill insert (250620-07_MN_FinalRates_BI_Sept_Web.pdf); effective September 2025</t>
  </si>
  <si>
    <t xml:space="preserve">delivery_charge</t>
  </si>
  <si>
    <t xml:space="preserve">USD/therm</t>
  </si>
  <si>
    <t xml:space="preserve">cost_of_gas</t>
  </si>
  <si>
    <t xml:space="preserve">Web search summary: CenterPoint MN residential cost of gas as of April 2026; the tariff resets this monthly</t>
  </si>
  <si>
    <t xml:space="preserve">Replace with monthly values (one row per month) for seasonal gas prices</t>
  </si>
  <si>
    <t xml:space="preserve">gas_riders</t>
  </si>
  <si>
    <t xml:space="preserve">Not found; CenterPoint MN per-therm riders (CIP adjustment and others) were not retrieved</t>
  </si>
  <si>
    <t xml:space="preserve">Which setups each rate plan is modeled for</t>
  </si>
  <si>
    <t xml:space="preserve">Yes/No inputs from config/rate_plans.csv. A setup marked No shows n/a on the Summary sheet.</t>
  </si>
  <si>
    <t xml:space="preserve">Standard</t>
  </si>
  <si>
    <t xml:space="preserve">Time-of-use</t>
  </si>
  <si>
    <t xml:space="preserve">Space heating</t>
  </si>
  <si>
    <t xml:space="preserve">Dual fuel</t>
  </si>
  <si>
    <t xml:space="preserve">gas_furnace</t>
  </si>
  <si>
    <t xml:space="preserve">Yes</t>
  </si>
  <si>
    <t xml:space="preserve">No</t>
  </si>
  <si>
    <t xml:space="preserve">ashp_resistance_backup</t>
  </si>
  <si>
    <t xml:space="preserve">ashp_gas_backup</t>
  </si>
  <si>
    <t xml:space="preserve">baseboard</t>
  </si>
  <si>
    <t xml:space="preserve">gas_furnace_hpwh</t>
  </si>
  <si>
    <t xml:space="preserve">ashp_resistance_backup_hpwh</t>
  </si>
  <si>
    <t xml:space="preserve">ashp_gas_backup_hpwh</t>
  </si>
  <si>
    <t xml:space="preserve">baseboard_hpwh</t>
  </si>
  <si>
    <t xml:space="preserve">Plan descriptions: standard = Xcel standard residential + CenterPoint residential; time_of_use = Xcel residential time-of-use + CenterPoint residential; space_heating = Xcel residential with electric space heating + CenterPoint residential; dual_fuel = Xcel standard (house) + Energy-Controlled Service (heating) + CenterPoint residential</t>
  </si>
  <si>
    <t xml:space="preserve">Annual use by end use and highest hourly use</t>
  </si>
  <si>
    <t xml:space="preserve">Model outputs from outputs/annual_usage.csv. Highest hourly kWh equals average kW over that hour; the average profile smooths peaks across 200 homes.</t>
  </si>
  <si>
    <t xml:space="preserve">Profile</t>
  </si>
  <si>
    <t xml:space="preserve">Electricity (kWh)</t>
  </si>
  <si>
    <t xml:space="preserve">Heating (kWh)</t>
  </si>
  <si>
    <t xml:space="preserve">Cooling (kWh)</t>
  </si>
  <si>
    <t xml:space="preserve">Hot water (kWh)</t>
  </si>
  <si>
    <t xml:space="preserve">Other (kWh)</t>
  </si>
  <si>
    <t xml:space="preserve">Highest hour (kWh)</t>
  </si>
  <si>
    <t xml:space="preserve">Highest hour (standard time)</t>
  </si>
  <si>
    <t xml:space="preserve">Gas (therms)</t>
  </si>
  <si>
    <t xml:space="preserve">Gas heating (therms)</t>
  </si>
  <si>
    <t xml:space="preserve">Gas hot water (therms)</t>
  </si>
  <si>
    <t xml:space="preserve">Gas other (therms)</t>
  </si>
  <si>
    <t xml:space="preserve">average</t>
  </si>
  <si>
    <t xml:space="preserve">2018-06-29 20:00:00</t>
  </si>
  <si>
    <t xml:space="preserve">median_home</t>
  </si>
  <si>
    <t xml:space="preserve">2018-08-06 20:00:00</t>
  </si>
  <si>
    <t xml:space="preserve">2018-01-01 09:00:00</t>
  </si>
  <si>
    <t xml:space="preserve">2018-01-01 19:00:00</t>
  </si>
  <si>
    <t xml:space="preserve">2018-06-29 19:00:00</t>
  </si>
  <si>
    <t xml:space="preserve">2018-01-01 08:00:00</t>
  </si>
  <si>
    <t xml:space="preserve">2018-07-10 19:00:00</t>
  </si>
  <si>
    <t xml:space="preserve">2018-01-21 20:00:00</t>
  </si>
  <si>
    <t xml:space="preserve">Sample check: annual values from ResStock metadata</t>
  </si>
  <si>
    <t xml:space="preserve">Metric</t>
  </si>
  <si>
    <t xml:space="preserve">All 2,443 metro homes: mean</t>
  </si>
  <si>
    <t xml:space="preserve">All metro homes: median</t>
  </si>
  <si>
    <t xml:space="preserve">200-home sample: mean</t>
  </si>
  <si>
    <t xml:space="preserve">Median home</t>
  </si>
  <si>
    <t xml:space="preserve">elec_kwh</t>
  </si>
  <si>
    <t xml:space="preserve">sqft</t>
  </si>
  <si>
    <t xml:space="preserve">gas_therms</t>
  </si>
  <si>
    <t xml:space="preserve">Monthly billing quantities and bills</t>
  </si>
  <si>
    <t xml:space="preserve">Columns E-L are model outputs from the hourly profiles (blue). Columns M-Q are formulas using the Rates sheet. Time-of-use periods use local clock time: on-peak 6-9 p.m. non-holiday weekdays, super off-peak midnight-6 a.m.</t>
  </si>
  <si>
    <t xml:space="preserve">Month</t>
  </si>
  <si>
    <t xml:space="preserve">Summer (Jun-Sep)</t>
  </si>
  <si>
    <t xml:space="preserve">Heating electricity (kWh)</t>
  </si>
  <si>
    <t xml:space="preserve">Non-heating electricity (kWh)</t>
  </si>
  <si>
    <t xml:space="preserve">On-peak kWh</t>
  </si>
  <si>
    <t xml:space="preserve">Super off-peak kWh</t>
  </si>
  <si>
    <t xml:space="preserve">Base kWh, weekdays</t>
  </si>
  <si>
    <t xml:space="preserve">Base kWh, weekends/holidays</t>
  </si>
  <si>
    <t xml:space="preserve">Standard electric ($)</t>
  </si>
  <si>
    <t xml:space="preserve">Time-of-use electric ($)</t>
  </si>
  <si>
    <t xml:space="preserve">Space heating electric ($)</t>
  </si>
  <si>
    <t xml:space="preserve">Dual fuel electric ($)</t>
  </si>
  <si>
    <t xml:space="preserve">Gas ($)</t>
  </si>
</sst>
</file>

<file path=xl/styles.xml><?xml version="1.0" encoding="utf-8"?>
<styleSheet xmlns="http://schemas.openxmlformats.org/spreadsheetml/2006/main">
  <numFmts count="7">
    <numFmt numFmtId="164" formatCode="General"/>
    <numFmt numFmtId="165" formatCode="#,##0;\(#,##0\);\-"/>
    <numFmt numFmtId="166" formatCode="\$#,##0;&quot;($&quot;#,##0\);\-"/>
    <numFmt numFmtId="167" formatCode="\$#,##0"/>
    <numFmt numFmtId="168" formatCode="\$#,##0.00;&quot;($&quot;#,##0.00\);\-"/>
    <numFmt numFmtId="169" formatCode="\$0.00000"/>
    <numFmt numFmtId="170" formatCode="#,##0.0;\(#,##0.0\);\-"/>
  </numFmts>
  <fonts count="13">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0"/>
      <name val="Arial"/>
      <family val="0"/>
      <charset val="1"/>
    </font>
    <font>
      <sz val="10"/>
      <name val="Arial"/>
      <family val="0"/>
      <charset val="1"/>
    </font>
    <font>
      <sz val="10"/>
      <name val="Arial"/>
      <family val="2"/>
    </font>
    <font>
      <b val="true"/>
      <sz val="10"/>
      <color rgb="FFFFFFFF"/>
      <name val="Arial"/>
      <family val="0"/>
      <charset val="1"/>
    </font>
    <font>
      <b val="true"/>
      <sz val="18"/>
      <color rgb="FF000000"/>
      <name val="Calibri"/>
      <family val="2"/>
    </font>
    <font>
      <sz val="10"/>
      <color rgb="FF000000"/>
      <name val="Calibri"/>
      <family val="2"/>
    </font>
    <font>
      <b val="true"/>
      <sz val="10"/>
      <color rgb="FF000000"/>
      <name val="Calibri"/>
      <family val="2"/>
    </font>
    <font>
      <sz val="10"/>
      <color rgb="FF0000FF"/>
      <name val="Arial"/>
      <family val="0"/>
      <charset val="1"/>
    </font>
  </fonts>
  <fills count="5">
    <fill>
      <patternFill patternType="none"/>
    </fill>
    <fill>
      <patternFill patternType="gray125"/>
    </fill>
    <fill>
      <patternFill patternType="solid">
        <fgColor rgb="FF1F4E78"/>
        <bgColor rgb="FF003366"/>
      </patternFill>
    </fill>
    <fill>
      <patternFill patternType="solid">
        <fgColor rgb="FFF2F2F2"/>
        <bgColor rgb="FFFFFFFF"/>
      </patternFill>
    </fill>
    <fill>
      <patternFill patternType="solid">
        <fgColor rgb="FFFFFF00"/>
        <bgColor rgb="FFFFFF00"/>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true" applyProtection="false">
      <alignment horizontal="right"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5" fontId="6" fillId="3" borderId="1" xfId="0" applyFont="true" applyBorder="true" applyAlignment="false" applyProtection="false">
      <alignment horizontal="general" vertical="bottom" textRotation="0" wrapText="false" indent="0" shrinkToFit="false"/>
      <protection locked="true" hidden="false"/>
    </xf>
    <xf numFmtId="166" fontId="6" fillId="3" borderId="1" xfId="0" applyFont="true" applyBorder="true" applyAlignment="true" applyProtection="false">
      <alignment horizontal="right" vertical="bottom" textRotation="0" wrapText="false" indent="0" shrinkToFit="false"/>
      <protection locked="true" hidden="false"/>
    </xf>
    <xf numFmtId="166" fontId="6" fillId="3"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8" fontId="12" fillId="4" borderId="1" xfId="0" applyFont="true" applyBorder="true" applyAlignment="true" applyProtection="false">
      <alignment horizontal="general" vertical="top" textRotation="0" wrapText="true" indent="0" shrinkToFit="false"/>
      <protection locked="true" hidden="false"/>
    </xf>
    <xf numFmtId="169" fontId="12" fillId="4" borderId="1" xfId="0" applyFont="true" applyBorder="true" applyAlignment="true" applyProtection="false">
      <alignment horizontal="general" vertical="top" textRotation="0" wrapText="true" indent="0" shrinkToFit="false"/>
      <protection locked="true" hidden="false"/>
    </xf>
    <xf numFmtId="165" fontId="12" fillId="4"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center" vertical="bottom" textRotation="0" wrapText="false" indent="0" shrinkToFit="false"/>
      <protection locked="true" hidden="false"/>
    </xf>
    <xf numFmtId="165" fontId="12" fillId="0" borderId="1" xfId="0" applyFont="true" applyBorder="true" applyAlignment="false" applyProtection="false">
      <alignment horizontal="general" vertical="bottom" textRotation="0" wrapText="false" indent="0" shrinkToFit="false"/>
      <protection locked="true" hidden="false"/>
    </xf>
    <xf numFmtId="170" fontId="12" fillId="0"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center" vertical="bottom" textRotation="0" wrapText="true" indent="0" shrinkToFit="false"/>
      <protection locked="true" hidden="false"/>
    </xf>
    <xf numFmtId="170" fontId="6" fillId="0" borderId="1" xfId="0" applyFont="true" applyBorder="true" applyAlignment="false" applyProtection="false">
      <alignment horizontal="general" vertical="bottom" textRotation="0" wrapText="false" indent="0" shrinkToFit="false"/>
      <protection locked="true" hidden="false"/>
    </xf>
    <xf numFmtId="168" fontId="6"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C0504D"/>
      <rgbColor rgb="FFF2F2F2"/>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BBB59"/>
      <rgbColor rgb="FFFFCC00"/>
      <rgbColor rgb="FFFF9900"/>
      <rgbColor rgb="FFFF6600"/>
      <rgbColor rgb="FF8064A2"/>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Annual cost, average profile ($/yr)</a:t>
            </a:r>
          </a:p>
        </c:rich>
      </c:tx>
      <c:overlay val="0"/>
      <c:spPr>
        <a:noFill/>
        <a:ln w="0">
          <a:noFill/>
        </a:ln>
      </c:spPr>
    </c:title>
    <c:autoTitleDeleted val="0"/>
    <c:plotArea>
      <c:barChart>
        <c:barDir val="bar"/>
        <c:grouping val="clustered"/>
        <c:varyColors val="0"/>
        <c:ser>
          <c:idx val="0"/>
          <c:order val="0"/>
          <c:tx>
            <c:strRef>
              <c:f>Summary!D5</c:f>
              <c:strCache>
                <c:ptCount val="1"/>
                <c:pt idx="0">
                  <c:v>Standard ($/yr)</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Summary!$A$6:$A$13</c:f>
              <c:strCache>
                <c:ptCount val="8"/>
                <c:pt idx="0">
                  <c:v>Gas furnace</c:v>
                </c:pt>
                <c:pt idx="1">
                  <c:v>Heat pump + electric backup</c:v>
                </c:pt>
                <c:pt idx="2">
                  <c:v>Heat pump + gas backup (dual fuel)</c:v>
                </c:pt>
                <c:pt idx="3">
                  <c:v>Electric baseboard</c:v>
                </c:pt>
                <c:pt idx="4">
                  <c:v>Gas furnace + heat pump water heater</c:v>
                </c:pt>
                <c:pt idx="5">
                  <c:v>Heat pump + electric backup + heat pump water heater</c:v>
                </c:pt>
                <c:pt idx="6">
                  <c:v>Heat pump + gas backup (dual fuel) + heat pump water heater</c:v>
                </c:pt>
                <c:pt idx="7">
                  <c:v>Electric baseboard + heat pump water heater</c:v>
                </c:pt>
              </c:strCache>
            </c:strRef>
          </c:cat>
          <c:val>
            <c:numRef>
              <c:f>Summary!$D$6:$D$13</c:f>
              <c:numCache>
                <c:formatCode>\$#,##0;"($"#,##0\);\-</c:formatCode>
                <c:ptCount val="8"/>
                <c:pt idx="0">
                  <c:v>3040.66620753</c:v>
                </c:pt>
                <c:pt idx="1">
                  <c:v>3609.55101872</c:v>
                </c:pt>
                <c:pt idx="2">
                  <c:v>3085.86610925</c:v>
                </c:pt>
                <c:pt idx="3">
                  <c:v>6080.63383803</c:v>
                </c:pt>
                <c:pt idx="4">
                  <c:v>2943.49053688</c:v>
                </c:pt>
                <c:pt idx="5">
                  <c:v>3511.76636114</c:v>
                </c:pt>
                <c:pt idx="6">
                  <c:v>2988.60083787</c:v>
                </c:pt>
                <c:pt idx="7">
                  <c:v>5982.81346137</c:v>
                </c:pt>
              </c:numCache>
            </c:numRef>
          </c:val>
        </c:ser>
        <c:ser>
          <c:idx val="1"/>
          <c:order val="1"/>
          <c:tx>
            <c:strRef>
              <c:f>Summary!E5</c:f>
              <c:strCache>
                <c:ptCount val="1"/>
                <c:pt idx="0">
                  <c:v>Time-of-use ($/yr)</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Summary!$A$6:$A$13</c:f>
              <c:strCache>
                <c:ptCount val="8"/>
                <c:pt idx="0">
                  <c:v>Gas furnace</c:v>
                </c:pt>
                <c:pt idx="1">
                  <c:v>Heat pump + electric backup</c:v>
                </c:pt>
                <c:pt idx="2">
                  <c:v>Heat pump + gas backup (dual fuel)</c:v>
                </c:pt>
                <c:pt idx="3">
                  <c:v>Electric baseboard</c:v>
                </c:pt>
                <c:pt idx="4">
                  <c:v>Gas furnace + heat pump water heater</c:v>
                </c:pt>
                <c:pt idx="5">
                  <c:v>Heat pump + electric backup + heat pump water heater</c:v>
                </c:pt>
                <c:pt idx="6">
                  <c:v>Heat pump + gas backup (dual fuel) + heat pump water heater</c:v>
                </c:pt>
                <c:pt idx="7">
                  <c:v>Electric baseboard + heat pump water heater</c:v>
                </c:pt>
              </c:strCache>
            </c:strRef>
          </c:cat>
          <c:val>
            <c:numRef>
              <c:f>Summary!$E$6:$E$13</c:f>
              <c:numCache>
                <c:formatCode>\$#,##0;"($"#,##0\);\-</c:formatCode>
                <c:ptCount val="8"/>
                <c:pt idx="0">
                  <c:v>2959.13395923</c:v>
                </c:pt>
                <c:pt idx="1">
                  <c:v>3342.08378218</c:v>
                </c:pt>
                <c:pt idx="2">
                  <c:v>2986.57010015</c:v>
                </c:pt>
                <c:pt idx="3">
                  <c:v>5576.46905329</c:v>
                </c:pt>
                <c:pt idx="4">
                  <c:v>2858.93771388</c:v>
                </c:pt>
                <c:pt idx="5">
                  <c:v>3241.91445398</c:v>
                </c:pt>
                <c:pt idx="6">
                  <c:v>2886.57872197</c:v>
                </c:pt>
                <c:pt idx="7">
                  <c:v>5476.2693917</c:v>
                </c:pt>
              </c:numCache>
            </c:numRef>
          </c:val>
        </c:ser>
        <c:ser>
          <c:idx val="2"/>
          <c:order val="2"/>
          <c:tx>
            <c:strRef>
              <c:f>Summary!F5</c:f>
              <c:strCache>
                <c:ptCount val="1"/>
                <c:pt idx="0">
                  <c:v>Space heating ($/yr)</c:v>
                </c:pt>
              </c:strCache>
            </c:strRef>
          </c:tx>
          <c:spPr>
            <a:solidFill>
              <a:srgbClr val="9bbb59"/>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Summary!$A$6:$A$13</c:f>
              <c:strCache>
                <c:ptCount val="8"/>
                <c:pt idx="0">
                  <c:v>Gas furnace</c:v>
                </c:pt>
                <c:pt idx="1">
                  <c:v>Heat pump + electric backup</c:v>
                </c:pt>
                <c:pt idx="2">
                  <c:v>Heat pump + gas backup (dual fuel)</c:v>
                </c:pt>
                <c:pt idx="3">
                  <c:v>Electric baseboard</c:v>
                </c:pt>
                <c:pt idx="4">
                  <c:v>Gas furnace + heat pump water heater</c:v>
                </c:pt>
                <c:pt idx="5">
                  <c:v>Heat pump + electric backup + heat pump water heater</c:v>
                </c:pt>
                <c:pt idx="6">
                  <c:v>Heat pump + gas backup (dual fuel) + heat pump water heater</c:v>
                </c:pt>
                <c:pt idx="7">
                  <c:v>Electric baseboard + heat pump water heater</c:v>
                </c:pt>
              </c:strCache>
            </c:strRef>
          </c:cat>
          <c:val>
            <c:numRef>
              <c:f>Summary!$F$6:$F$13</c:f>
              <c:numCache>
                <c:formatCode>\$#,##0;"($"#,##0\);\-</c:formatCode>
                <c:ptCount val="8"/>
                <c:pt idx="1">
                  <c:v>2447.62939928</c:v>
                </c:pt>
                <c:pt idx="3">
                  <c:v>3858.05886459</c:v>
                </c:pt>
                <c:pt idx="5">
                  <c:v>2334.42468428</c:v>
                </c:pt>
                <c:pt idx="7">
                  <c:v>3744.84034365</c:v>
                </c:pt>
              </c:numCache>
            </c:numRef>
          </c:val>
        </c:ser>
        <c:ser>
          <c:idx val="3"/>
          <c:order val="3"/>
          <c:tx>
            <c:strRef>
              <c:f>Summary!G5</c:f>
              <c:strCache>
                <c:ptCount val="1"/>
                <c:pt idx="0">
                  <c:v>Dual fuel ($/yr)</c:v>
                </c:pt>
              </c:strCache>
            </c:strRef>
          </c:tx>
          <c:spPr>
            <a:solidFill>
              <a:srgbClr val="8064a2"/>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Summary!$A$6:$A$13</c:f>
              <c:strCache>
                <c:ptCount val="8"/>
                <c:pt idx="0">
                  <c:v>Gas furnace</c:v>
                </c:pt>
                <c:pt idx="1">
                  <c:v>Heat pump + electric backup</c:v>
                </c:pt>
                <c:pt idx="2">
                  <c:v>Heat pump + gas backup (dual fuel)</c:v>
                </c:pt>
                <c:pt idx="3">
                  <c:v>Electric baseboard</c:v>
                </c:pt>
                <c:pt idx="4">
                  <c:v>Gas furnace + heat pump water heater</c:v>
                </c:pt>
                <c:pt idx="5">
                  <c:v>Heat pump + electric backup + heat pump water heater</c:v>
                </c:pt>
                <c:pt idx="6">
                  <c:v>Heat pump + gas backup (dual fuel) + heat pump water heater</c:v>
                </c:pt>
                <c:pt idx="7">
                  <c:v>Electric baseboard + heat pump water heater</c:v>
                </c:pt>
              </c:strCache>
            </c:strRef>
          </c:cat>
          <c:val>
            <c:numRef>
              <c:f>Summary!$G$6:$G$13</c:f>
              <c:numCache>
                <c:formatCode>\$#,##0;"($"#,##0\);\-</c:formatCode>
                <c:ptCount val="8"/>
                <c:pt idx="2">
                  <c:v>2950.05855822</c:v>
                </c:pt>
                <c:pt idx="6">
                  <c:v>2853.09762622</c:v>
                </c:pt>
              </c:numCache>
            </c:numRef>
          </c:val>
        </c:ser>
        <c:gapWidth val="150"/>
        <c:overlap val="0"/>
        <c:axId val="77543335"/>
        <c:axId val="35113727"/>
      </c:barChart>
      <c:catAx>
        <c:axId val="7754333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5113727"/>
        <c:crosses val="autoZero"/>
        <c:auto val="1"/>
        <c:lblAlgn val="ctr"/>
        <c:lblOffset val="100"/>
        <c:noMultiLvlLbl val="0"/>
      </c:catAx>
      <c:valAx>
        <c:axId val="35113727"/>
        <c:scaling>
          <c:orientation val="minMax"/>
        </c:scaling>
        <c:delete val="0"/>
        <c:axPos val="l"/>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 per year</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754333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10</xdr:col>
      <xdr:colOff>0</xdr:colOff>
      <xdr:row>2</xdr:row>
      <xdr:rowOff>160920</xdr:rowOff>
    </xdr:from>
    <xdr:to>
      <xdr:col>20</xdr:col>
      <xdr:colOff>331200</xdr:colOff>
      <xdr:row>23</xdr:row>
      <xdr:rowOff>99000</xdr:rowOff>
    </xdr:to>
    <xdr:graphicFrame>
      <xdr:nvGraphicFramePr>
        <xdr:cNvPr id="0" name="Chart 1"/>
        <xdr:cNvGraphicFramePr/>
      </xdr:nvGraphicFramePr>
      <xdr:xfrm>
        <a:off x="14449320" y="571680"/>
        <a:ext cx="7919640" cy="43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2" min="2" style="0" width="110"/>
  </cols>
  <sheetData>
    <row r="1" customFormat="false" ht="17.35" hidden="false" customHeight="false" outlineLevel="0" collapsed="false">
      <c r="A1" s="1" t="s">
        <v>0</v>
      </c>
    </row>
    <row r="3" customFormat="false" ht="23.85" hidden="false" customHeight="false" outlineLevel="0" collapsed="false">
      <c r="A3" s="2" t="s">
        <v>1</v>
      </c>
      <c r="B3" s="3" t="s">
        <v>2</v>
      </c>
    </row>
    <row r="4" customFormat="false" ht="35.05" hidden="false" customHeight="false" outlineLevel="0" collapsed="false">
      <c r="A4" s="2" t="s">
        <v>3</v>
      </c>
      <c r="B4" s="3" t="s">
        <v>4</v>
      </c>
    </row>
    <row r="5" customFormat="false" ht="23.85" hidden="false" customHeight="false" outlineLevel="0" collapsed="false">
      <c r="A5" s="2" t="s">
        <v>5</v>
      </c>
      <c r="B5" s="3" t="s">
        <v>6</v>
      </c>
    </row>
    <row r="6" customFormat="false" ht="35.05" hidden="false" customHeight="false" outlineLevel="0" collapsed="false">
      <c r="A6" s="2" t="s">
        <v>7</v>
      </c>
      <c r="B6" s="3" t="s">
        <v>8</v>
      </c>
    </row>
    <row r="7" customFormat="false" ht="46.25" hidden="false" customHeight="false" outlineLevel="0" collapsed="false">
      <c r="A7" s="2" t="s">
        <v>9</v>
      </c>
      <c r="B7" s="3" t="s">
        <v>10</v>
      </c>
    </row>
    <row r="8" customFormat="false" ht="23.85" hidden="false" customHeight="false" outlineLevel="0" collapsed="false">
      <c r="A8" s="2" t="s">
        <v>11</v>
      </c>
      <c r="B8" s="3" t="s">
        <v>12</v>
      </c>
    </row>
    <row r="9" customFormat="false" ht="15" hidden="false" customHeight="false" outlineLevel="0" collapsed="false">
      <c r="A9" s="2" t="s">
        <v>13</v>
      </c>
      <c r="B9" s="3" t="s">
        <v>14</v>
      </c>
    </row>
    <row r="10" customFormat="false" ht="23.85" hidden="false" customHeight="false" outlineLevel="0" collapsed="false">
      <c r="A10" s="2" t="s">
        <v>15</v>
      </c>
      <c r="B10" s="3" t="s">
        <v>16</v>
      </c>
    </row>
    <row r="11" customFormat="false" ht="15" hidden="false" customHeight="false" outlineLevel="0" collapsed="false">
      <c r="A11" s="2" t="s">
        <v>17</v>
      </c>
      <c r="B11" s="3" t="s">
        <v>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0" width="48"/>
    <col collapsed="false" customWidth="true" hidden="false" outlineLevel="0" max="2" min="2" style="0" width="13"/>
    <col collapsed="false" customWidth="true" hidden="false" outlineLevel="0" max="3" min="3" style="0" width="11"/>
    <col collapsed="false" customWidth="true" hidden="false" outlineLevel="0" max="7" min="4" style="0" width="13"/>
    <col collapsed="false" customWidth="true" hidden="false" outlineLevel="0" max="8" min="8" style="0" width="14"/>
    <col collapsed="false" customWidth="true" hidden="false" outlineLevel="0" max="9" min="9" style="0" width="16"/>
  </cols>
  <sheetData>
    <row r="1" customFormat="false" ht="17.35" hidden="false" customHeight="false" outlineLevel="0" collapsed="false">
      <c r="A1" s="1" t="s">
        <v>19</v>
      </c>
    </row>
    <row r="2" customFormat="false" ht="15" hidden="false" customHeight="false" outlineLevel="0" collapsed="false">
      <c r="A2" s="4" t="s">
        <v>20</v>
      </c>
    </row>
    <row r="4" customFormat="false" ht="15" hidden="false" customHeight="false" outlineLevel="0" collapsed="false">
      <c r="A4" s="5" t="s">
        <v>21</v>
      </c>
    </row>
    <row r="5" customFormat="false" ht="30" hidden="false" customHeight="true" outlineLevel="0" collapsed="false">
      <c r="A5" s="6" t="s">
        <v>22</v>
      </c>
      <c r="B5" s="6" t="s">
        <v>23</v>
      </c>
      <c r="C5" s="6" t="s">
        <v>24</v>
      </c>
      <c r="D5" s="6" t="s">
        <v>25</v>
      </c>
      <c r="E5" s="6" t="s">
        <v>26</v>
      </c>
      <c r="F5" s="6" t="s">
        <v>27</v>
      </c>
      <c r="G5" s="6" t="s">
        <v>28</v>
      </c>
      <c r="H5" s="6" t="s">
        <v>29</v>
      </c>
      <c r="I5" s="6" t="s">
        <v>30</v>
      </c>
    </row>
    <row r="6" customFormat="false" ht="15" hidden="false" customHeight="false" outlineLevel="0" collapsed="false">
      <c r="A6" s="7" t="s">
        <v>31</v>
      </c>
      <c r="B6" s="8" t="n">
        <f aca="false">SUMIFS('Monthly Bills'!$E$5:$E$196,'Monthly Bills'!$A$5:$A$196,"average",'Monthly Bills'!$B$5:$B$196,"gas_furnace")</f>
        <v>10283.78</v>
      </c>
      <c r="C6" s="8" t="n">
        <f aca="false">SUMIFS('Monthly Bills'!$L$5:$L$196,'Monthly Bills'!$A$5:$A$196,"average",'Monthly Bills'!$B$5:$B$196,"gas_furnace")</f>
        <v>1458.593</v>
      </c>
      <c r="D6" s="9" t="n">
        <f aca="false">IF('Plan Eligibility'!$B$5="Yes",SUMIFS('Monthly Bills'!$M$5:$M$196,'Monthly Bills'!$A$5:$A$196,"average",'Monthly Bills'!$B$5:$B$196,"gas_furnace")+SUMIFS('Monthly Bills'!$Q$5:$Q$196,'Monthly Bills'!$A$5:$A$196,"average",'Monthly Bills'!$B$5:$B$196,"gas_furnace"),"n/a")</f>
        <v>3040.66620753</v>
      </c>
      <c r="E6" s="9" t="n">
        <f aca="false">IF('Plan Eligibility'!$C$5="Yes",SUMIFS('Monthly Bills'!$N$5:$N$196,'Monthly Bills'!$A$5:$A$196,"average",'Monthly Bills'!$B$5:$B$196,"gas_furnace")+SUMIFS('Monthly Bills'!$Q$5:$Q$196,'Monthly Bills'!$A$5:$A$196,"average",'Monthly Bills'!$B$5:$B$196,"gas_furnace"),"n/a")</f>
        <v>2959.13395923</v>
      </c>
      <c r="F6" s="9" t="str">
        <f aca="false">IF('Plan Eligibility'!$D$5="Yes",SUMIFS('Monthly Bills'!$O$5:$O$196,'Monthly Bills'!$A$5:$A$196,"average",'Monthly Bills'!$B$5:$B$196,"gas_furnace")+SUMIFS('Monthly Bills'!$Q$5:$Q$196,'Monthly Bills'!$A$5:$A$196,"average",'Monthly Bills'!$B$5:$B$196,"gas_furnace"),"n/a")</f>
        <v>n/a</v>
      </c>
      <c r="G6" s="9" t="str">
        <f aca="false">IF('Plan Eligibility'!$E$5="Yes",SUMIFS('Monthly Bills'!$P$5:$P$196,'Monthly Bills'!$A$5:$A$196,"average",'Monthly Bills'!$B$5:$B$196,"gas_furnace")+SUMIFS('Monthly Bills'!$Q$5:$Q$196,'Monthly Bills'!$A$5:$A$196,"average",'Monthly Bills'!$B$5:$B$196,"gas_furnace"),"n/a")</f>
        <v>n/a</v>
      </c>
      <c r="H6" s="10" t="n">
        <f aca="false">MIN(D6:G6)</f>
        <v>2959.13395923</v>
      </c>
      <c r="I6" s="11" t="str">
        <f aca="false">SUBSTITUTE(INDEX($D$5:$G$5,MATCH(H6,D6:G6,0))," ($/yr)","")</f>
        <v>Time-of-use</v>
      </c>
    </row>
    <row r="7" customFormat="false" ht="15" hidden="false" customHeight="false" outlineLevel="0" collapsed="false">
      <c r="A7" s="12" t="s">
        <v>32</v>
      </c>
      <c r="B7" s="13" t="n">
        <f aca="false">SUMIFS('Monthly Bills'!$E$5:$E$196,'Monthly Bills'!$A$5:$A$196,"average",'Monthly Bills'!$B$5:$B$196,"ashp_resistance_backup")</f>
        <v>23438.721</v>
      </c>
      <c r="C7" s="13" t="n">
        <f aca="false">SUMIFS('Monthly Bills'!$L$5:$L$196,'Monthly Bills'!$A$5:$A$196,"average",'Monthly Bills'!$B$5:$B$196,"ashp_resistance_backup")</f>
        <v>177.99</v>
      </c>
      <c r="D7" s="14" t="n">
        <f aca="false">IF('Plan Eligibility'!$B$6="Yes",SUMIFS('Monthly Bills'!$M$5:$M$196,'Monthly Bills'!$A$5:$A$196,"average",'Monthly Bills'!$B$5:$B$196,"ashp_resistance_backup")+SUMIFS('Monthly Bills'!$Q$5:$Q$196,'Monthly Bills'!$A$5:$A$196,"average",'Monthly Bills'!$B$5:$B$196,"ashp_resistance_backup"),"n/a")</f>
        <v>3609.55101872</v>
      </c>
      <c r="E7" s="14" t="n">
        <f aca="false">IF('Plan Eligibility'!$C$6="Yes",SUMIFS('Monthly Bills'!$N$5:$N$196,'Monthly Bills'!$A$5:$A$196,"average",'Monthly Bills'!$B$5:$B$196,"ashp_resistance_backup")+SUMIFS('Monthly Bills'!$Q$5:$Q$196,'Monthly Bills'!$A$5:$A$196,"average",'Monthly Bills'!$B$5:$B$196,"ashp_resistance_backup"),"n/a")</f>
        <v>3342.08378218</v>
      </c>
      <c r="F7" s="14" t="n">
        <f aca="false">IF('Plan Eligibility'!$D$6="Yes",SUMIFS('Monthly Bills'!$O$5:$O$196,'Monthly Bills'!$A$5:$A$196,"average",'Monthly Bills'!$B$5:$B$196,"ashp_resistance_backup")+SUMIFS('Monthly Bills'!$Q$5:$Q$196,'Monthly Bills'!$A$5:$A$196,"average",'Monthly Bills'!$B$5:$B$196,"ashp_resistance_backup"),"n/a")</f>
        <v>2447.62939928</v>
      </c>
      <c r="G7" s="14" t="str">
        <f aca="false">IF('Plan Eligibility'!$E$6="Yes",SUMIFS('Monthly Bills'!$P$5:$P$196,'Monthly Bills'!$A$5:$A$196,"average",'Monthly Bills'!$B$5:$B$196,"ashp_resistance_backup")+SUMIFS('Monthly Bills'!$Q$5:$Q$196,'Monthly Bills'!$A$5:$A$196,"average",'Monthly Bills'!$B$5:$B$196,"ashp_resistance_backup"),"n/a")</f>
        <v>n/a</v>
      </c>
      <c r="H7" s="15" t="n">
        <f aca="false">MIN(D7:G7)</f>
        <v>2447.62939928</v>
      </c>
      <c r="I7" s="16" t="str">
        <f aca="false">SUBSTITUTE(INDEX($D$5:$G$5,MATCH(H7,D7:G7,0))," ($/yr)","")</f>
        <v>Space heating</v>
      </c>
    </row>
    <row r="8" customFormat="false" ht="15" hidden="false" customHeight="false" outlineLevel="0" collapsed="false">
      <c r="A8" s="7" t="s">
        <v>33</v>
      </c>
      <c r="B8" s="8" t="n">
        <f aca="false">SUMIFS('Monthly Bills'!$E$5:$E$196,'Monthly Bills'!$A$5:$A$196,"average",'Monthly Bills'!$B$5:$B$196,"ashp_gas_backup")</f>
        <v>12037.909</v>
      </c>
      <c r="C8" s="8" t="n">
        <f aca="false">SUMIFS('Monthly Bills'!$L$5:$L$196,'Monthly Bills'!$A$5:$A$196,"average",'Monthly Bills'!$B$5:$B$196,"ashp_gas_backup")</f>
        <v>1245.813</v>
      </c>
      <c r="D8" s="9" t="n">
        <f aca="false">IF('Plan Eligibility'!$B$7="Yes",SUMIFS('Monthly Bills'!$M$5:$M$196,'Monthly Bills'!$A$5:$A$196,"average",'Monthly Bills'!$B$5:$B$196,"ashp_gas_backup")+SUMIFS('Monthly Bills'!$Q$5:$Q$196,'Monthly Bills'!$A$5:$A$196,"average",'Monthly Bills'!$B$5:$B$196,"ashp_gas_backup"),"n/a")</f>
        <v>3085.86610925</v>
      </c>
      <c r="E8" s="9" t="n">
        <f aca="false">IF('Plan Eligibility'!$C$7="Yes",SUMIFS('Monthly Bills'!$N$5:$N$196,'Monthly Bills'!$A$5:$A$196,"average",'Monthly Bills'!$B$5:$B$196,"ashp_gas_backup")+SUMIFS('Monthly Bills'!$Q$5:$Q$196,'Monthly Bills'!$A$5:$A$196,"average",'Monthly Bills'!$B$5:$B$196,"ashp_gas_backup"),"n/a")</f>
        <v>2986.57010015</v>
      </c>
      <c r="F8" s="9" t="str">
        <f aca="false">IF('Plan Eligibility'!$D$7="Yes",SUMIFS('Monthly Bills'!$O$5:$O$196,'Monthly Bills'!$A$5:$A$196,"average",'Monthly Bills'!$B$5:$B$196,"ashp_gas_backup")+SUMIFS('Monthly Bills'!$Q$5:$Q$196,'Monthly Bills'!$A$5:$A$196,"average",'Monthly Bills'!$B$5:$B$196,"ashp_gas_backup"),"n/a")</f>
        <v>n/a</v>
      </c>
      <c r="G8" s="9" t="n">
        <f aca="false">IF('Plan Eligibility'!$E$7="Yes",SUMIFS('Monthly Bills'!$P$5:$P$196,'Monthly Bills'!$A$5:$A$196,"average",'Monthly Bills'!$B$5:$B$196,"ashp_gas_backup")+SUMIFS('Monthly Bills'!$Q$5:$Q$196,'Monthly Bills'!$A$5:$A$196,"average",'Monthly Bills'!$B$5:$B$196,"ashp_gas_backup"),"n/a")</f>
        <v>2950.05855822</v>
      </c>
      <c r="H8" s="10" t="n">
        <f aca="false">MIN(D8:G8)</f>
        <v>2950.05855822</v>
      </c>
      <c r="I8" s="11" t="str">
        <f aca="false">SUBSTITUTE(INDEX($D$5:$G$5,MATCH(H8,D8:G8,0))," ($/yr)","")</f>
        <v>Dual fuel</v>
      </c>
    </row>
    <row r="9" customFormat="false" ht="15" hidden="false" customHeight="false" outlineLevel="0" collapsed="false">
      <c r="A9" s="12" t="s">
        <v>34</v>
      </c>
      <c r="B9" s="13" t="n">
        <f aca="false">SUMIFS('Monthly Bills'!$E$5:$E$196,'Monthly Bills'!$A$5:$A$196,"average",'Monthly Bills'!$B$5:$B$196,"baseboard")</f>
        <v>41838.246</v>
      </c>
      <c r="C9" s="13" t="n">
        <f aca="false">SUMIFS('Monthly Bills'!$L$5:$L$196,'Monthly Bills'!$A$5:$A$196,"average",'Monthly Bills'!$B$5:$B$196,"baseboard")</f>
        <v>177.971</v>
      </c>
      <c r="D9" s="14" t="n">
        <f aca="false">IF('Plan Eligibility'!$B$8="Yes",SUMIFS('Monthly Bills'!$M$5:$M$196,'Monthly Bills'!$A$5:$A$196,"average",'Monthly Bills'!$B$5:$B$196,"baseboard")+SUMIFS('Monthly Bills'!$Q$5:$Q$196,'Monthly Bills'!$A$5:$A$196,"average",'Monthly Bills'!$B$5:$B$196,"baseboard"),"n/a")</f>
        <v>6080.63383803</v>
      </c>
      <c r="E9" s="14" t="n">
        <f aca="false">IF('Plan Eligibility'!$C$8="Yes",SUMIFS('Monthly Bills'!$N$5:$N$196,'Monthly Bills'!$A$5:$A$196,"average",'Monthly Bills'!$B$5:$B$196,"baseboard")+SUMIFS('Monthly Bills'!$Q$5:$Q$196,'Monthly Bills'!$A$5:$A$196,"average",'Monthly Bills'!$B$5:$B$196,"baseboard"),"n/a")</f>
        <v>5576.46905329</v>
      </c>
      <c r="F9" s="14" t="n">
        <f aca="false">IF('Plan Eligibility'!$D$8="Yes",SUMIFS('Monthly Bills'!$O$5:$O$196,'Monthly Bills'!$A$5:$A$196,"average",'Monthly Bills'!$B$5:$B$196,"baseboard")+SUMIFS('Monthly Bills'!$Q$5:$Q$196,'Monthly Bills'!$A$5:$A$196,"average",'Monthly Bills'!$B$5:$B$196,"baseboard"),"n/a")</f>
        <v>3858.05886459</v>
      </c>
      <c r="G9" s="14" t="str">
        <f aca="false">IF('Plan Eligibility'!$E$8="Yes",SUMIFS('Monthly Bills'!$P$5:$P$196,'Monthly Bills'!$A$5:$A$196,"average",'Monthly Bills'!$B$5:$B$196,"baseboard")+SUMIFS('Monthly Bills'!$Q$5:$Q$196,'Monthly Bills'!$A$5:$A$196,"average",'Monthly Bills'!$B$5:$B$196,"baseboard"),"n/a")</f>
        <v>n/a</v>
      </c>
      <c r="H9" s="15" t="n">
        <f aca="false">MIN(D9:G9)</f>
        <v>3858.05886459</v>
      </c>
      <c r="I9" s="16" t="str">
        <f aca="false">SUBSTITUTE(INDEX($D$5:$G$5,MATCH(H9,D9:G9,0))," ($/yr)","")</f>
        <v>Space heating</v>
      </c>
    </row>
    <row r="10" customFormat="false" ht="15" hidden="false" customHeight="false" outlineLevel="0" collapsed="false">
      <c r="A10" s="7" t="s">
        <v>35</v>
      </c>
      <c r="B10" s="8" t="n">
        <f aca="false">SUMIFS('Monthly Bills'!$E$5:$E$196,'Monthly Bills'!$A$5:$A$196,"average",'Monthly Bills'!$B$5:$B$196,"gas_furnace_hpwh")</f>
        <v>10591.412</v>
      </c>
      <c r="C10" s="8" t="n">
        <f aca="false">SUMIFS('Monthly Bills'!$L$5:$L$196,'Monthly Bills'!$A$5:$A$196,"average",'Monthly Bills'!$B$5:$B$196,"gas_furnace_hpwh")</f>
        <v>1309.012</v>
      </c>
      <c r="D10" s="9" t="n">
        <f aca="false">IF('Plan Eligibility'!$B$9="Yes",SUMIFS('Monthly Bills'!$M$5:$M$196,'Monthly Bills'!$A$5:$A$196,"average",'Monthly Bills'!$B$5:$B$196,"gas_furnace_hpwh")+SUMIFS('Monthly Bills'!$Q$5:$Q$196,'Monthly Bills'!$A$5:$A$196,"average",'Monthly Bills'!$B$5:$B$196,"gas_furnace_hpwh"),"n/a")</f>
        <v>2943.49053688</v>
      </c>
      <c r="E10" s="9" t="n">
        <f aca="false">IF('Plan Eligibility'!$C$9="Yes",SUMIFS('Monthly Bills'!$N$5:$N$196,'Monthly Bills'!$A$5:$A$196,"average",'Monthly Bills'!$B$5:$B$196,"gas_furnace_hpwh")+SUMIFS('Monthly Bills'!$Q$5:$Q$196,'Monthly Bills'!$A$5:$A$196,"average",'Monthly Bills'!$B$5:$B$196,"gas_furnace_hpwh"),"n/a")</f>
        <v>2858.93771388</v>
      </c>
      <c r="F10" s="9" t="str">
        <f aca="false">IF('Plan Eligibility'!$D$9="Yes",SUMIFS('Monthly Bills'!$O$5:$O$196,'Monthly Bills'!$A$5:$A$196,"average",'Monthly Bills'!$B$5:$B$196,"gas_furnace_hpwh")+SUMIFS('Monthly Bills'!$Q$5:$Q$196,'Monthly Bills'!$A$5:$A$196,"average",'Monthly Bills'!$B$5:$B$196,"gas_furnace_hpwh"),"n/a")</f>
        <v>n/a</v>
      </c>
      <c r="G10" s="9" t="str">
        <f aca="false">IF('Plan Eligibility'!$E$9="Yes",SUMIFS('Monthly Bills'!$P$5:$P$196,'Monthly Bills'!$A$5:$A$196,"average",'Monthly Bills'!$B$5:$B$196,"gas_furnace_hpwh")+SUMIFS('Monthly Bills'!$Q$5:$Q$196,'Monthly Bills'!$A$5:$A$196,"average",'Monthly Bills'!$B$5:$B$196,"gas_furnace_hpwh"),"n/a")</f>
        <v>n/a</v>
      </c>
      <c r="H10" s="10" t="n">
        <f aca="false">MIN(D10:G10)</f>
        <v>2858.93771388</v>
      </c>
      <c r="I10" s="11" t="str">
        <f aca="false">SUBSTITUTE(INDEX($D$5:$G$5,MATCH(H10,D10:G10,0))," ($/yr)","")</f>
        <v>Time-of-use</v>
      </c>
    </row>
    <row r="11" customFormat="false" ht="15" hidden="false" customHeight="false" outlineLevel="0" collapsed="false">
      <c r="A11" s="12" t="s">
        <v>36</v>
      </c>
      <c r="B11" s="13" t="n">
        <f aca="false">SUMIFS('Monthly Bills'!$E$5:$E$196,'Monthly Bills'!$A$5:$A$196,"average",'Monthly Bills'!$B$5:$B$196,"ashp_resistance_backup_hpwh")</f>
        <v>23746.749</v>
      </c>
      <c r="C11" s="13" t="n">
        <f aca="false">SUMIFS('Monthly Bills'!$L$5:$L$196,'Monthly Bills'!$A$5:$A$196,"average",'Monthly Bills'!$B$5:$B$196,"ashp_resistance_backup_hpwh")</f>
        <v>28.386</v>
      </c>
      <c r="D11" s="14" t="n">
        <f aca="false">IF('Plan Eligibility'!$B$10="Yes",SUMIFS('Monthly Bills'!$M$5:$M$196,'Monthly Bills'!$A$5:$A$196,"average",'Monthly Bills'!$B$5:$B$196,"ashp_resistance_backup_hpwh")+SUMIFS('Monthly Bills'!$Q$5:$Q$196,'Monthly Bills'!$A$5:$A$196,"average",'Monthly Bills'!$B$5:$B$196,"ashp_resistance_backup_hpwh"),"n/a")</f>
        <v>3511.76636114</v>
      </c>
      <c r="E11" s="14" t="n">
        <f aca="false">IF('Plan Eligibility'!$C$10="Yes",SUMIFS('Monthly Bills'!$N$5:$N$196,'Monthly Bills'!$A$5:$A$196,"average",'Monthly Bills'!$B$5:$B$196,"ashp_resistance_backup_hpwh")+SUMIFS('Monthly Bills'!$Q$5:$Q$196,'Monthly Bills'!$A$5:$A$196,"average",'Monthly Bills'!$B$5:$B$196,"ashp_resistance_backup_hpwh"),"n/a")</f>
        <v>3241.91445398</v>
      </c>
      <c r="F11" s="14" t="n">
        <f aca="false">IF('Plan Eligibility'!$D$10="Yes",SUMIFS('Monthly Bills'!$O$5:$O$196,'Monthly Bills'!$A$5:$A$196,"average",'Monthly Bills'!$B$5:$B$196,"ashp_resistance_backup_hpwh")+SUMIFS('Monthly Bills'!$Q$5:$Q$196,'Monthly Bills'!$A$5:$A$196,"average",'Monthly Bills'!$B$5:$B$196,"ashp_resistance_backup_hpwh"),"n/a")</f>
        <v>2334.42468428</v>
      </c>
      <c r="G11" s="14" t="str">
        <f aca="false">IF('Plan Eligibility'!$E$10="Yes",SUMIFS('Monthly Bills'!$P$5:$P$196,'Monthly Bills'!$A$5:$A$196,"average",'Monthly Bills'!$B$5:$B$196,"ashp_resistance_backup_hpwh")+SUMIFS('Monthly Bills'!$Q$5:$Q$196,'Monthly Bills'!$A$5:$A$196,"average",'Monthly Bills'!$B$5:$B$196,"ashp_resistance_backup_hpwh"),"n/a")</f>
        <v>n/a</v>
      </c>
      <c r="H11" s="15" t="n">
        <f aca="false">MIN(D11:G11)</f>
        <v>2334.42468428</v>
      </c>
      <c r="I11" s="16" t="str">
        <f aca="false">SUBSTITUTE(INDEX($D$5:$G$5,MATCH(H11,D11:G11,0))," ($/yr)","")</f>
        <v>Space heating</v>
      </c>
    </row>
    <row r="12" customFormat="false" ht="15" hidden="false" customHeight="false" outlineLevel="0" collapsed="false">
      <c r="A12" s="7" t="s">
        <v>37</v>
      </c>
      <c r="B12" s="8" t="n">
        <f aca="false">SUMIFS('Monthly Bills'!$E$5:$E$196,'Monthly Bills'!$A$5:$A$196,"average",'Monthly Bills'!$B$5:$B$196,"ashp_gas_backup_hpwh")</f>
        <v>12346.251</v>
      </c>
      <c r="C12" s="8" t="n">
        <f aca="false">SUMIFS('Monthly Bills'!$L$5:$L$196,'Monthly Bills'!$A$5:$A$196,"average",'Monthly Bills'!$B$5:$B$196,"ashp_gas_backup_hpwh")</f>
        <v>1096.359</v>
      </c>
      <c r="D12" s="9" t="n">
        <f aca="false">IF('Plan Eligibility'!$B$11="Yes",SUMIFS('Monthly Bills'!$M$5:$M$196,'Monthly Bills'!$A$5:$A$196,"average",'Monthly Bills'!$B$5:$B$196,"ashp_gas_backup_hpwh")+SUMIFS('Monthly Bills'!$Q$5:$Q$196,'Monthly Bills'!$A$5:$A$196,"average",'Monthly Bills'!$B$5:$B$196,"ashp_gas_backup_hpwh"),"n/a")</f>
        <v>2988.60083787</v>
      </c>
      <c r="E12" s="9" t="n">
        <f aca="false">IF('Plan Eligibility'!$C$11="Yes",SUMIFS('Monthly Bills'!$N$5:$N$196,'Monthly Bills'!$A$5:$A$196,"average",'Monthly Bills'!$B$5:$B$196,"ashp_gas_backup_hpwh")+SUMIFS('Monthly Bills'!$Q$5:$Q$196,'Monthly Bills'!$A$5:$A$196,"average",'Monthly Bills'!$B$5:$B$196,"ashp_gas_backup_hpwh"),"n/a")</f>
        <v>2886.57872197</v>
      </c>
      <c r="F12" s="9" t="str">
        <f aca="false">IF('Plan Eligibility'!$D$11="Yes",SUMIFS('Monthly Bills'!$O$5:$O$196,'Monthly Bills'!$A$5:$A$196,"average",'Monthly Bills'!$B$5:$B$196,"ashp_gas_backup_hpwh")+SUMIFS('Monthly Bills'!$Q$5:$Q$196,'Monthly Bills'!$A$5:$A$196,"average",'Monthly Bills'!$B$5:$B$196,"ashp_gas_backup_hpwh"),"n/a")</f>
        <v>n/a</v>
      </c>
      <c r="G12" s="9" t="n">
        <f aca="false">IF('Plan Eligibility'!$E$11="Yes",SUMIFS('Monthly Bills'!$P$5:$P$196,'Monthly Bills'!$A$5:$A$196,"average",'Monthly Bills'!$B$5:$B$196,"ashp_gas_backup_hpwh")+SUMIFS('Monthly Bills'!$Q$5:$Q$196,'Monthly Bills'!$A$5:$A$196,"average",'Monthly Bills'!$B$5:$B$196,"ashp_gas_backup_hpwh"),"n/a")</f>
        <v>2853.09762622</v>
      </c>
      <c r="H12" s="10" t="n">
        <f aca="false">MIN(D12:G12)</f>
        <v>2853.09762622</v>
      </c>
      <c r="I12" s="11" t="str">
        <f aca="false">SUBSTITUTE(INDEX($D$5:$G$5,MATCH(H12,D12:G12,0))," ($/yr)","")</f>
        <v>Dual fuel</v>
      </c>
    </row>
    <row r="13" customFormat="false" ht="15" hidden="false" customHeight="false" outlineLevel="0" collapsed="false">
      <c r="A13" s="12" t="s">
        <v>38</v>
      </c>
      <c r="B13" s="13" t="n">
        <f aca="false">SUMIFS('Monthly Bills'!$E$5:$E$196,'Monthly Bills'!$A$5:$A$196,"average",'Monthly Bills'!$B$5:$B$196,"baseboard_hpwh")</f>
        <v>42145.878</v>
      </c>
      <c r="C13" s="13" t="n">
        <f aca="false">SUMIFS('Monthly Bills'!$L$5:$L$196,'Monthly Bills'!$A$5:$A$196,"average",'Monthly Bills'!$B$5:$B$196,"baseboard_hpwh")</f>
        <v>28.386</v>
      </c>
      <c r="D13" s="14" t="n">
        <f aca="false">IF('Plan Eligibility'!$B$12="Yes",SUMIFS('Monthly Bills'!$M$5:$M$196,'Monthly Bills'!$A$5:$A$196,"average",'Monthly Bills'!$B$5:$B$196,"baseboard_hpwh")+SUMIFS('Monthly Bills'!$Q$5:$Q$196,'Monthly Bills'!$A$5:$A$196,"average",'Monthly Bills'!$B$5:$B$196,"baseboard_hpwh"),"n/a")</f>
        <v>5982.81346137</v>
      </c>
      <c r="E13" s="14" t="n">
        <f aca="false">IF('Plan Eligibility'!$C$12="Yes",SUMIFS('Monthly Bills'!$N$5:$N$196,'Monthly Bills'!$A$5:$A$196,"average",'Monthly Bills'!$B$5:$B$196,"baseboard_hpwh")+SUMIFS('Monthly Bills'!$Q$5:$Q$196,'Monthly Bills'!$A$5:$A$196,"average",'Monthly Bills'!$B$5:$B$196,"baseboard_hpwh"),"n/a")</f>
        <v>5476.2693917</v>
      </c>
      <c r="F13" s="14" t="n">
        <f aca="false">IF('Plan Eligibility'!$D$12="Yes",SUMIFS('Monthly Bills'!$O$5:$O$196,'Monthly Bills'!$A$5:$A$196,"average",'Monthly Bills'!$B$5:$B$196,"baseboard_hpwh")+SUMIFS('Monthly Bills'!$Q$5:$Q$196,'Monthly Bills'!$A$5:$A$196,"average",'Monthly Bills'!$B$5:$B$196,"baseboard_hpwh"),"n/a")</f>
        <v>3744.84034365</v>
      </c>
      <c r="G13" s="14" t="str">
        <f aca="false">IF('Plan Eligibility'!$E$12="Yes",SUMIFS('Monthly Bills'!$P$5:$P$196,'Monthly Bills'!$A$5:$A$196,"average",'Monthly Bills'!$B$5:$B$196,"baseboard_hpwh")+SUMIFS('Monthly Bills'!$Q$5:$Q$196,'Monthly Bills'!$A$5:$A$196,"average",'Monthly Bills'!$B$5:$B$196,"baseboard_hpwh"),"n/a")</f>
        <v>n/a</v>
      </c>
      <c r="H13" s="15" t="n">
        <f aca="false">MIN(D13:G13)</f>
        <v>3744.84034365</v>
      </c>
      <c r="I13" s="16" t="str">
        <f aca="false">SUBSTITUTE(INDEX($D$5:$G$5,MATCH(H13,D13:G13,0))," ($/yr)","")</f>
        <v>Space heating</v>
      </c>
    </row>
    <row r="16" customFormat="false" ht="15" hidden="false" customHeight="false" outlineLevel="0" collapsed="false">
      <c r="A16" s="5" t="s">
        <v>39</v>
      </c>
    </row>
    <row r="17" customFormat="false" ht="30" hidden="false" customHeight="true" outlineLevel="0" collapsed="false">
      <c r="A17" s="6" t="s">
        <v>22</v>
      </c>
      <c r="B17" s="6" t="s">
        <v>23</v>
      </c>
      <c r="C17" s="6" t="s">
        <v>24</v>
      </c>
      <c r="D17" s="6" t="s">
        <v>25</v>
      </c>
      <c r="E17" s="6" t="s">
        <v>26</v>
      </c>
      <c r="F17" s="6" t="s">
        <v>27</v>
      </c>
      <c r="G17" s="6" t="s">
        <v>28</v>
      </c>
      <c r="H17" s="6" t="s">
        <v>29</v>
      </c>
      <c r="I17" s="6" t="s">
        <v>30</v>
      </c>
    </row>
    <row r="18" customFormat="false" ht="15" hidden="false" customHeight="false" outlineLevel="0" collapsed="false">
      <c r="A18" s="7" t="s">
        <v>31</v>
      </c>
      <c r="B18" s="8" t="n">
        <f aca="false">SUMIFS('Monthly Bills'!$E$5:$E$196,'Monthly Bills'!$A$5:$A$196,"median_home",'Monthly Bills'!$B$5:$B$196,"gas_furnace")</f>
        <v>9683.202</v>
      </c>
      <c r="C18" s="8" t="n">
        <f aca="false">SUMIFS('Monthly Bills'!$L$5:$L$196,'Monthly Bills'!$A$5:$A$196,"median_home",'Monthly Bills'!$B$5:$B$196,"gas_furnace")</f>
        <v>1391.311</v>
      </c>
      <c r="D18" s="9" t="n">
        <f aca="false">IF('Plan Eligibility'!$B$5="Yes",SUMIFS('Monthly Bills'!$M$5:$M$196,'Monthly Bills'!$A$5:$A$196,"median_home",'Monthly Bills'!$B$5:$B$196,"gas_furnace")+SUMIFS('Monthly Bills'!$Q$5:$Q$196,'Monthly Bills'!$A$5:$A$196,"median_home",'Monthly Bills'!$B$5:$B$196,"gas_furnace"),"n/a")</f>
        <v>2898.66888417</v>
      </c>
      <c r="E18" s="9" t="n">
        <f aca="false">IF('Plan Eligibility'!$C$5="Yes",SUMIFS('Monthly Bills'!$N$5:$N$196,'Monthly Bills'!$A$5:$A$196,"median_home",'Monthly Bills'!$B$5:$B$196,"gas_furnace")+SUMIFS('Monthly Bills'!$Q$5:$Q$196,'Monthly Bills'!$A$5:$A$196,"median_home",'Monthly Bills'!$B$5:$B$196,"gas_furnace"),"n/a")</f>
        <v>2807.19063877</v>
      </c>
      <c r="F18" s="9" t="str">
        <f aca="false">IF('Plan Eligibility'!$D$5="Yes",SUMIFS('Monthly Bills'!$O$5:$O$196,'Monthly Bills'!$A$5:$A$196,"median_home",'Monthly Bills'!$B$5:$B$196,"gas_furnace")+SUMIFS('Monthly Bills'!$Q$5:$Q$196,'Monthly Bills'!$A$5:$A$196,"median_home",'Monthly Bills'!$B$5:$B$196,"gas_furnace"),"n/a")</f>
        <v>n/a</v>
      </c>
      <c r="G18" s="9" t="str">
        <f aca="false">IF('Plan Eligibility'!$E$5="Yes",SUMIFS('Monthly Bills'!$P$5:$P$196,'Monthly Bills'!$A$5:$A$196,"median_home",'Monthly Bills'!$B$5:$B$196,"gas_furnace")+SUMIFS('Monthly Bills'!$Q$5:$Q$196,'Monthly Bills'!$A$5:$A$196,"median_home",'Monthly Bills'!$B$5:$B$196,"gas_furnace"),"n/a")</f>
        <v>n/a</v>
      </c>
      <c r="H18" s="10" t="n">
        <f aca="false">MIN(D18:G18)</f>
        <v>2807.19063877</v>
      </c>
      <c r="I18" s="11" t="str">
        <f aca="false">SUBSTITUTE(INDEX($D$17:$G$17,MATCH(H18,D18:G18,0))," ($/yr)","")</f>
        <v>Time-of-use</v>
      </c>
    </row>
    <row r="19" customFormat="false" ht="15" hidden="false" customHeight="false" outlineLevel="0" collapsed="false">
      <c r="A19" s="12" t="s">
        <v>32</v>
      </c>
      <c r="B19" s="13" t="n">
        <f aca="false">SUMIFS('Monthly Bills'!$E$5:$E$196,'Monthly Bills'!$A$5:$A$196,"median_home",'Monthly Bills'!$B$5:$B$196,"ashp_resistance_backup")</f>
        <v>19347.406</v>
      </c>
      <c r="C19" s="13" t="n">
        <f aca="false">SUMIFS('Monthly Bills'!$L$5:$L$196,'Monthly Bills'!$A$5:$A$196,"median_home",'Monthly Bills'!$B$5:$B$196,"ashp_resistance_backup")</f>
        <v>279.725</v>
      </c>
      <c r="D19" s="14" t="n">
        <f aca="false">IF('Plan Eligibility'!$B$6="Yes",SUMIFS('Monthly Bills'!$M$5:$M$196,'Monthly Bills'!$A$5:$A$196,"median_home",'Monthly Bills'!$B$5:$B$196,"ashp_resistance_backup")+SUMIFS('Monthly Bills'!$Q$5:$Q$196,'Monthly Bills'!$A$5:$A$196,"median_home",'Monthly Bills'!$B$5:$B$196,"ashp_resistance_backup"),"n/a")</f>
        <v>3157.38951692</v>
      </c>
      <c r="E19" s="14" t="n">
        <f aca="false">IF('Plan Eligibility'!$C$6="Yes",SUMIFS('Monthly Bills'!$N$5:$N$196,'Monthly Bills'!$A$5:$A$196,"median_home",'Monthly Bills'!$B$5:$B$196,"ashp_resistance_backup")+SUMIFS('Monthly Bills'!$Q$5:$Q$196,'Monthly Bills'!$A$5:$A$196,"median_home",'Monthly Bills'!$B$5:$B$196,"ashp_resistance_backup"),"n/a")</f>
        <v>2928.13121083</v>
      </c>
      <c r="F19" s="14" t="n">
        <f aca="false">IF('Plan Eligibility'!$D$6="Yes",SUMIFS('Monthly Bills'!$O$5:$O$196,'Monthly Bills'!$A$5:$A$196,"median_home",'Monthly Bills'!$B$5:$B$196,"ashp_resistance_backup")+SUMIFS('Monthly Bills'!$Q$5:$Q$196,'Monthly Bills'!$A$5:$A$196,"median_home",'Monthly Bills'!$B$5:$B$196,"ashp_resistance_backup"),"n/a")</f>
        <v>2240.27932448</v>
      </c>
      <c r="G19" s="14" t="str">
        <f aca="false">IF('Plan Eligibility'!$E$6="Yes",SUMIFS('Monthly Bills'!$P$5:$P$196,'Monthly Bills'!$A$5:$A$196,"median_home",'Monthly Bills'!$B$5:$B$196,"ashp_resistance_backup")+SUMIFS('Monthly Bills'!$Q$5:$Q$196,'Monthly Bills'!$A$5:$A$196,"median_home",'Monthly Bills'!$B$5:$B$196,"ashp_resistance_backup"),"n/a")</f>
        <v>n/a</v>
      </c>
      <c r="H19" s="15" t="n">
        <f aca="false">MIN(D19:G19)</f>
        <v>2240.27932448</v>
      </c>
      <c r="I19" s="16" t="str">
        <f aca="false">SUBSTITUTE(INDEX($D$17:$G$17,MATCH(H19,D19:G19,0))," ($/yr)","")</f>
        <v>Space heating</v>
      </c>
    </row>
    <row r="20" customFormat="false" ht="15" hidden="false" customHeight="false" outlineLevel="0" collapsed="false">
      <c r="A20" s="7" t="s">
        <v>33</v>
      </c>
      <c r="B20" s="8" t="n">
        <f aca="false">SUMIFS('Monthly Bills'!$E$5:$E$196,'Monthly Bills'!$A$5:$A$196,"median_home",'Monthly Bills'!$B$5:$B$196,"ashp_gas_backup")</f>
        <v>10857.627</v>
      </c>
      <c r="C20" s="8" t="n">
        <f aca="false">SUMIFS('Monthly Bills'!$L$5:$L$196,'Monthly Bills'!$A$5:$A$196,"median_home",'Monthly Bills'!$B$5:$B$196,"ashp_gas_backup")</f>
        <v>1095.78</v>
      </c>
      <c r="D20" s="9" t="n">
        <f aca="false">IF('Plan Eligibility'!$B$7="Yes",SUMIFS('Monthly Bills'!$M$5:$M$196,'Monthly Bills'!$A$5:$A$196,"median_home",'Monthly Bills'!$B$5:$B$196,"ashp_gas_backup")+SUMIFS('Monthly Bills'!$Q$5:$Q$196,'Monthly Bills'!$A$5:$A$196,"median_home",'Monthly Bills'!$B$5:$B$196,"ashp_gas_backup"),"n/a")</f>
        <v>2787.56730803</v>
      </c>
      <c r="E20" s="9" t="n">
        <f aca="false">IF('Plan Eligibility'!$C$7="Yes",SUMIFS('Monthly Bills'!$N$5:$N$196,'Monthly Bills'!$A$5:$A$196,"median_home",'Monthly Bills'!$B$5:$B$196,"ashp_gas_backup")+SUMIFS('Monthly Bills'!$Q$5:$Q$196,'Monthly Bills'!$A$5:$A$196,"median_home",'Monthly Bills'!$B$5:$B$196,"ashp_gas_backup"),"n/a")</f>
        <v>2686.31583816</v>
      </c>
      <c r="F20" s="9" t="str">
        <f aca="false">IF('Plan Eligibility'!$D$7="Yes",SUMIFS('Monthly Bills'!$O$5:$O$196,'Monthly Bills'!$A$5:$A$196,"median_home",'Monthly Bills'!$B$5:$B$196,"ashp_gas_backup")+SUMIFS('Monthly Bills'!$Q$5:$Q$196,'Monthly Bills'!$A$5:$A$196,"median_home",'Monthly Bills'!$B$5:$B$196,"ashp_gas_backup"),"n/a")</f>
        <v>n/a</v>
      </c>
      <c r="G20" s="9" t="n">
        <f aca="false">IF('Plan Eligibility'!$E$7="Yes",SUMIFS('Monthly Bills'!$P$5:$P$196,'Monthly Bills'!$A$5:$A$196,"median_home",'Monthly Bills'!$B$5:$B$196,"ashp_gas_backup")+SUMIFS('Monthly Bills'!$Q$5:$Q$196,'Monthly Bills'!$A$5:$A$196,"median_home",'Monthly Bills'!$B$5:$B$196,"ashp_gas_backup"),"n/a")</f>
        <v>2687.60673018</v>
      </c>
      <c r="H20" s="10" t="n">
        <f aca="false">MIN(D20:G20)</f>
        <v>2686.31583816</v>
      </c>
      <c r="I20" s="11" t="str">
        <f aca="false">SUBSTITUTE(INDEX($D$17:$G$17,MATCH(H20,D20:G20,0))," ($/yr)","")</f>
        <v>Time-of-use</v>
      </c>
    </row>
    <row r="21" customFormat="false" ht="15" hidden="false" customHeight="false" outlineLevel="0" collapsed="false">
      <c r="A21" s="12" t="s">
        <v>34</v>
      </c>
      <c r="B21" s="13" t="n">
        <f aca="false">SUMIFS('Monthly Bills'!$E$5:$E$196,'Monthly Bills'!$A$5:$A$196,"median_home",'Monthly Bills'!$B$5:$B$196,"baseboard")</f>
        <v>35744.788</v>
      </c>
      <c r="C21" s="13" t="n">
        <f aca="false">SUMIFS('Monthly Bills'!$L$5:$L$196,'Monthly Bills'!$A$5:$A$196,"median_home",'Monthly Bills'!$B$5:$B$196,"baseboard")</f>
        <v>279.631</v>
      </c>
      <c r="D21" s="14" t="n">
        <f aca="false">IF('Plan Eligibility'!$B$8="Yes",SUMIFS('Monthly Bills'!$M$5:$M$196,'Monthly Bills'!$A$5:$A$196,"median_home",'Monthly Bills'!$B$5:$B$196,"baseboard")+SUMIFS('Monthly Bills'!$Q$5:$Q$196,'Monthly Bills'!$A$5:$A$196,"median_home",'Monthly Bills'!$B$5:$B$196,"baseboard"),"n/a")</f>
        <v>5358.88168816</v>
      </c>
      <c r="E21" s="14" t="n">
        <f aca="false">IF('Plan Eligibility'!$C$8="Yes",SUMIFS('Monthly Bills'!$N$5:$N$196,'Monthly Bills'!$A$5:$A$196,"median_home",'Monthly Bills'!$B$5:$B$196,"baseboard")+SUMIFS('Monthly Bills'!$Q$5:$Q$196,'Monthly Bills'!$A$5:$A$196,"median_home",'Monthly Bills'!$B$5:$B$196,"baseboard"),"n/a")</f>
        <v>4908.18750645</v>
      </c>
      <c r="F21" s="14" t="n">
        <f aca="false">IF('Plan Eligibility'!$D$8="Yes",SUMIFS('Monthly Bills'!$O$5:$O$196,'Monthly Bills'!$A$5:$A$196,"median_home",'Monthly Bills'!$B$5:$B$196,"baseboard")+SUMIFS('Monthly Bills'!$Q$5:$Q$196,'Monthly Bills'!$A$5:$A$196,"median_home",'Monthly Bills'!$B$5:$B$196,"baseboard"),"n/a")</f>
        <v>3493.5246349</v>
      </c>
      <c r="G21" s="14" t="str">
        <f aca="false">IF('Plan Eligibility'!$E$8="Yes",SUMIFS('Monthly Bills'!$P$5:$P$196,'Monthly Bills'!$A$5:$A$196,"median_home",'Monthly Bills'!$B$5:$B$196,"baseboard")+SUMIFS('Monthly Bills'!$Q$5:$Q$196,'Monthly Bills'!$A$5:$A$196,"median_home",'Monthly Bills'!$B$5:$B$196,"baseboard"),"n/a")</f>
        <v>n/a</v>
      </c>
      <c r="H21" s="15" t="n">
        <f aca="false">MIN(D21:G21)</f>
        <v>3493.5246349</v>
      </c>
      <c r="I21" s="16" t="str">
        <f aca="false">SUBSTITUTE(INDEX($D$17:$G$17,MATCH(H21,D21:G21,0))," ($/yr)","")</f>
        <v>Space heating</v>
      </c>
    </row>
    <row r="22" customFormat="false" ht="15" hidden="false" customHeight="false" outlineLevel="0" collapsed="false">
      <c r="A22" s="7" t="s">
        <v>35</v>
      </c>
      <c r="B22" s="8" t="n">
        <f aca="false">SUMIFS('Monthly Bills'!$E$5:$E$196,'Monthly Bills'!$A$5:$A$196,"median_home",'Monthly Bills'!$B$5:$B$196,"gas_furnace_hpwh")</f>
        <v>10762.928</v>
      </c>
      <c r="C22" s="8" t="n">
        <f aca="false">SUMIFS('Monthly Bills'!$L$5:$L$196,'Monthly Bills'!$A$5:$A$196,"median_home",'Monthly Bills'!$B$5:$B$196,"gas_furnace_hpwh")</f>
        <v>1150.834</v>
      </c>
      <c r="D22" s="9" t="n">
        <f aca="false">IF('Plan Eligibility'!$B$9="Yes",SUMIFS('Monthly Bills'!$M$5:$M$196,'Monthly Bills'!$A$5:$A$196,"median_home",'Monthly Bills'!$B$5:$B$196,"gas_furnace_hpwh")+SUMIFS('Monthly Bills'!$Q$5:$Q$196,'Monthly Bills'!$A$5:$A$196,"median_home",'Monthly Bills'!$B$5:$B$196,"gas_furnace_hpwh"),"n/a")</f>
        <v>2825.66434181</v>
      </c>
      <c r="E22" s="9" t="n">
        <f aca="false">IF('Plan Eligibility'!$C$9="Yes",SUMIFS('Monthly Bills'!$N$5:$N$196,'Monthly Bills'!$A$5:$A$196,"median_home",'Monthly Bills'!$B$5:$B$196,"gas_furnace_hpwh")+SUMIFS('Monthly Bills'!$Q$5:$Q$196,'Monthly Bills'!$A$5:$A$196,"median_home",'Monthly Bills'!$B$5:$B$196,"gas_furnace_hpwh"),"n/a")</f>
        <v>2727.55923958</v>
      </c>
      <c r="F22" s="9" t="str">
        <f aca="false">IF('Plan Eligibility'!$D$9="Yes",SUMIFS('Monthly Bills'!$O$5:$O$196,'Monthly Bills'!$A$5:$A$196,"median_home",'Monthly Bills'!$B$5:$B$196,"gas_furnace_hpwh")+SUMIFS('Monthly Bills'!$Q$5:$Q$196,'Monthly Bills'!$A$5:$A$196,"median_home",'Monthly Bills'!$B$5:$B$196,"gas_furnace_hpwh"),"n/a")</f>
        <v>n/a</v>
      </c>
      <c r="G22" s="9" t="str">
        <f aca="false">IF('Plan Eligibility'!$E$9="Yes",SUMIFS('Monthly Bills'!$P$5:$P$196,'Monthly Bills'!$A$5:$A$196,"median_home",'Monthly Bills'!$B$5:$B$196,"gas_furnace_hpwh")+SUMIFS('Monthly Bills'!$Q$5:$Q$196,'Monthly Bills'!$A$5:$A$196,"median_home",'Monthly Bills'!$B$5:$B$196,"gas_furnace_hpwh"),"n/a")</f>
        <v>n/a</v>
      </c>
      <c r="H22" s="10" t="n">
        <f aca="false">MIN(D22:G22)</f>
        <v>2727.55923958</v>
      </c>
      <c r="I22" s="11" t="str">
        <f aca="false">SUBSTITUTE(INDEX($D$17:$G$17,MATCH(H22,D22:G22,0))," ($/yr)","")</f>
        <v>Time-of-use</v>
      </c>
    </row>
    <row r="23" customFormat="false" ht="15" hidden="false" customHeight="false" outlineLevel="0" collapsed="false">
      <c r="A23" s="12" t="s">
        <v>36</v>
      </c>
      <c r="B23" s="13" t="n">
        <f aca="false">SUMIFS('Monthly Bills'!$E$5:$E$196,'Monthly Bills'!$A$5:$A$196,"median_home",'Monthly Bills'!$B$5:$B$196,"ashp_resistance_backup_hpwh")</f>
        <v>20427.133</v>
      </c>
      <c r="C23" s="13" t="n">
        <f aca="false">SUMIFS('Monthly Bills'!$L$5:$L$196,'Monthly Bills'!$A$5:$A$196,"median_home",'Monthly Bills'!$B$5:$B$196,"ashp_resistance_backup_hpwh")</f>
        <v>39.151</v>
      </c>
      <c r="D23" s="14" t="n">
        <f aca="false">IF('Plan Eligibility'!$B$10="Yes",SUMIFS('Monthly Bills'!$M$5:$M$196,'Monthly Bills'!$A$5:$A$196,"median_home",'Monthly Bills'!$B$5:$B$196,"ashp_resistance_backup_hpwh")+SUMIFS('Monthly Bills'!$Q$5:$Q$196,'Monthly Bills'!$A$5:$A$196,"median_home",'Monthly Bills'!$B$5:$B$196,"ashp_resistance_backup_hpwh"),"n/a")</f>
        <v>3082.66534575</v>
      </c>
      <c r="E23" s="14" t="n">
        <f aca="false">IF('Plan Eligibility'!$C$10="Yes",SUMIFS('Monthly Bills'!$N$5:$N$196,'Monthly Bills'!$A$5:$A$196,"median_home",'Monthly Bills'!$B$5:$B$196,"ashp_resistance_backup_hpwh")+SUMIFS('Monthly Bills'!$Q$5:$Q$196,'Monthly Bills'!$A$5:$A$196,"median_home",'Monthly Bills'!$B$5:$B$196,"ashp_resistance_backup_hpwh"),"n/a")</f>
        <v>2848.40901225</v>
      </c>
      <c r="F23" s="14" t="n">
        <f aca="false">IF('Plan Eligibility'!$D$10="Yes",SUMIFS('Monthly Bills'!$O$5:$O$196,'Monthly Bills'!$A$5:$A$196,"median_home",'Monthly Bills'!$B$5:$B$196,"ashp_resistance_backup_hpwh")+SUMIFS('Monthly Bills'!$Q$5:$Q$196,'Monthly Bills'!$A$5:$A$196,"median_home",'Monthly Bills'!$B$5:$B$196,"ashp_resistance_backup_hpwh"),"n/a")</f>
        <v>2118.49946505</v>
      </c>
      <c r="G23" s="14" t="str">
        <f aca="false">IF('Plan Eligibility'!$E$10="Yes",SUMIFS('Monthly Bills'!$P$5:$P$196,'Monthly Bills'!$A$5:$A$196,"median_home",'Monthly Bills'!$B$5:$B$196,"ashp_resistance_backup_hpwh")+SUMIFS('Monthly Bills'!$Q$5:$Q$196,'Monthly Bills'!$A$5:$A$196,"median_home",'Monthly Bills'!$B$5:$B$196,"ashp_resistance_backup_hpwh"),"n/a")</f>
        <v>n/a</v>
      </c>
      <c r="H23" s="15" t="n">
        <f aca="false">MIN(D23:G23)</f>
        <v>2118.49946505</v>
      </c>
      <c r="I23" s="16" t="str">
        <f aca="false">SUBSTITUTE(INDEX($D$17:$G$17,MATCH(H23,D23:G23,0))," ($/yr)","")</f>
        <v>Space heating</v>
      </c>
    </row>
    <row r="24" customFormat="false" ht="15" hidden="false" customHeight="false" outlineLevel="0" collapsed="false">
      <c r="A24" s="7" t="s">
        <v>37</v>
      </c>
      <c r="B24" s="8" t="n">
        <f aca="false">SUMIFS('Monthly Bills'!$E$5:$E$196,'Monthly Bills'!$A$5:$A$196,"median_home",'Monthly Bills'!$B$5:$B$196,"ashp_gas_backup_hpwh")</f>
        <v>11937.351</v>
      </c>
      <c r="C24" s="8" t="n">
        <f aca="false">SUMIFS('Monthly Bills'!$L$5:$L$196,'Monthly Bills'!$A$5:$A$196,"median_home",'Monthly Bills'!$B$5:$B$196,"ashp_gas_backup_hpwh")</f>
        <v>855.242</v>
      </c>
      <c r="D24" s="9" t="n">
        <f aca="false">IF('Plan Eligibility'!$B$11="Yes",SUMIFS('Monthly Bills'!$M$5:$M$196,'Monthly Bills'!$A$5:$A$196,"median_home",'Monthly Bills'!$B$5:$B$196,"ashp_gas_backup_hpwh")+SUMIFS('Monthly Bills'!$Q$5:$Q$196,'Monthly Bills'!$A$5:$A$196,"median_home",'Monthly Bills'!$B$5:$B$196,"ashp_gas_backup_hpwh"),"n/a")</f>
        <v>2714.37001933</v>
      </c>
      <c r="E24" s="9" t="n">
        <f aca="false">IF('Plan Eligibility'!$C$11="Yes",SUMIFS('Monthly Bills'!$N$5:$N$196,'Monthly Bills'!$A$5:$A$196,"median_home",'Monthly Bills'!$B$5:$B$196,"ashp_gas_backup_hpwh")+SUMIFS('Monthly Bills'!$Q$5:$Q$196,'Monthly Bills'!$A$5:$A$196,"median_home",'Monthly Bills'!$B$5:$B$196,"ashp_gas_backup_hpwh"),"n/a")</f>
        <v>2606.6280087</v>
      </c>
      <c r="F24" s="9" t="str">
        <f aca="false">IF('Plan Eligibility'!$D$11="Yes",SUMIFS('Monthly Bills'!$O$5:$O$196,'Monthly Bills'!$A$5:$A$196,"median_home",'Monthly Bills'!$B$5:$B$196,"ashp_gas_backup_hpwh")+SUMIFS('Monthly Bills'!$Q$5:$Q$196,'Monthly Bills'!$A$5:$A$196,"median_home",'Monthly Bills'!$B$5:$B$196,"ashp_gas_backup_hpwh"),"n/a")</f>
        <v>n/a</v>
      </c>
      <c r="G24" s="9" t="n">
        <f aca="false">IF('Plan Eligibility'!$E$11="Yes",SUMIFS('Monthly Bills'!$P$5:$P$196,'Monthly Bills'!$A$5:$A$196,"median_home",'Monthly Bills'!$B$5:$B$196,"ashp_gas_backup_hpwh")+SUMIFS('Monthly Bills'!$Q$5:$Q$196,'Monthly Bills'!$A$5:$A$196,"median_home",'Monthly Bills'!$B$5:$B$196,"ashp_gas_backup_hpwh"),"n/a")</f>
        <v>2614.54484504</v>
      </c>
      <c r="H24" s="10" t="n">
        <f aca="false">MIN(D24:G24)</f>
        <v>2606.6280087</v>
      </c>
      <c r="I24" s="11" t="str">
        <f aca="false">SUBSTITUTE(INDEX($D$17:$G$17,MATCH(H24,D24:G24,0))," ($/yr)","")</f>
        <v>Time-of-use</v>
      </c>
    </row>
    <row r="25" customFormat="false" ht="15" hidden="false" customHeight="false" outlineLevel="0" collapsed="false">
      <c r="A25" s="12" t="s">
        <v>38</v>
      </c>
      <c r="B25" s="13" t="n">
        <f aca="false">SUMIFS('Monthly Bills'!$E$5:$E$196,'Monthly Bills'!$A$5:$A$196,"median_home",'Monthly Bills'!$B$5:$B$196,"baseboard_hpwh")</f>
        <v>36824.513</v>
      </c>
      <c r="C25" s="13" t="n">
        <f aca="false">SUMIFS('Monthly Bills'!$L$5:$L$196,'Monthly Bills'!$A$5:$A$196,"median_home",'Monthly Bills'!$B$5:$B$196,"baseboard_hpwh")</f>
        <v>39.151</v>
      </c>
      <c r="D25" s="14" t="n">
        <f aca="false">IF('Plan Eligibility'!$B$12="Yes",SUMIFS('Monthly Bills'!$M$5:$M$196,'Monthly Bills'!$A$5:$A$196,"median_home",'Monthly Bills'!$B$5:$B$196,"baseboard_hpwh")+SUMIFS('Monthly Bills'!$Q$5:$Q$196,'Monthly Bills'!$A$5:$A$196,"median_home",'Monthly Bills'!$B$5:$B$196,"baseboard_hpwh"),"n/a")</f>
        <v>5284.03093513</v>
      </c>
      <c r="E25" s="14" t="n">
        <f aca="false">IF('Plan Eligibility'!$C$12="Yes",SUMIFS('Monthly Bills'!$N$5:$N$196,'Monthly Bills'!$A$5:$A$196,"median_home",'Monthly Bills'!$B$5:$B$196,"baseboard_hpwh")+SUMIFS('Monthly Bills'!$Q$5:$Q$196,'Monthly Bills'!$A$5:$A$196,"median_home",'Monthly Bills'!$B$5:$B$196,"baseboard_hpwh"),"n/a")</f>
        <v>4828.55381065</v>
      </c>
      <c r="F25" s="14" t="n">
        <f aca="false">IF('Plan Eligibility'!$D$12="Yes",SUMIFS('Monthly Bills'!$O$5:$O$196,'Monthly Bills'!$A$5:$A$196,"median_home",'Monthly Bills'!$B$5:$B$196,"baseboard_hpwh")+SUMIFS('Monthly Bills'!$Q$5:$Q$196,'Monthly Bills'!$A$5:$A$196,"median_home",'Monthly Bills'!$B$5:$B$196,"baseboard_hpwh"),"n/a")</f>
        <v>3371.83254325</v>
      </c>
      <c r="G25" s="14" t="str">
        <f aca="false">IF('Plan Eligibility'!$E$12="Yes",SUMIFS('Monthly Bills'!$P$5:$P$196,'Monthly Bills'!$A$5:$A$196,"median_home",'Monthly Bills'!$B$5:$B$196,"baseboard_hpwh")+SUMIFS('Monthly Bills'!$Q$5:$Q$196,'Monthly Bills'!$A$5:$A$196,"median_home",'Monthly Bills'!$B$5:$B$196,"baseboard_hpwh"),"n/a")</f>
        <v>n/a</v>
      </c>
      <c r="H25" s="15" t="n">
        <f aca="false">MIN(D25:G25)</f>
        <v>3371.83254325</v>
      </c>
      <c r="I25" s="16" t="str">
        <f aca="false">SUBSTITUTE(INDEX($D$17:$G$17,MATCH(H25,D25:G25,0))," ($/yr)","")</f>
        <v>Space heating</v>
      </c>
    </row>
    <row r="28" customFormat="false" ht="15" hidden="false" customHeight="false" outlineLevel="0" collapsed="false">
      <c r="A28" s="5" t="s">
        <v>40</v>
      </c>
    </row>
    <row r="29" customFormat="false" ht="30" hidden="false" customHeight="true" outlineLevel="0" collapsed="false">
      <c r="A29" s="6" t="s">
        <v>22</v>
      </c>
      <c r="B29" s="6" t="s">
        <v>41</v>
      </c>
      <c r="C29" s="6" t="s">
        <v>42</v>
      </c>
      <c r="D29" s="6" t="s">
        <v>43</v>
      </c>
      <c r="E29" s="6" t="s">
        <v>44</v>
      </c>
      <c r="F29" s="6" t="s">
        <v>45</v>
      </c>
    </row>
    <row r="30" customFormat="false" ht="15" hidden="false" customHeight="false" outlineLevel="0" collapsed="false">
      <c r="A30" s="7" t="s">
        <v>31</v>
      </c>
      <c r="B30" s="9" t="n">
        <f aca="false">IF('Plan Eligibility'!$B$5="Yes",SUMIFS('Monthly Bills'!$M$5:$M$196,'Monthly Bills'!$A$5:$A$196,"average",'Monthly Bills'!$B$5:$B$196,"gas_furnace"),"n/a")</f>
        <v>1562.4295887</v>
      </c>
      <c r="C30" s="9" t="n">
        <f aca="false">IF('Plan Eligibility'!$C$5="Yes",SUMIFS('Monthly Bills'!$N$5:$N$196,'Monthly Bills'!$A$5:$A$196,"average",'Monthly Bills'!$B$5:$B$196,"gas_furnace"),"n/a")</f>
        <v>1480.8973404</v>
      </c>
      <c r="D30" s="9" t="str">
        <f aca="false">IF('Plan Eligibility'!$D$5="Yes",SUMIFS('Monthly Bills'!$O$5:$O$196,'Monthly Bills'!$A$5:$A$196,"average",'Monthly Bills'!$B$5:$B$196,"gas_furnace"),"n/a")</f>
        <v>n/a</v>
      </c>
      <c r="E30" s="9" t="str">
        <f aca="false">IF('Plan Eligibility'!$E$5="Yes",SUMIFS('Monthly Bills'!$P$5:$P$196,'Monthly Bills'!$A$5:$A$196,"average",'Monthly Bills'!$B$5:$B$196,"gas_furnace"),"n/a")</f>
        <v>n/a</v>
      </c>
      <c r="F30" s="10" t="n">
        <f aca="false">SUMIFS('Monthly Bills'!$Q$5:$Q$196,'Monthly Bills'!$A$5:$A$196,"average",'Monthly Bills'!$B$5:$B$196,"gas_furnace")</f>
        <v>1478.23661883</v>
      </c>
    </row>
    <row r="31" customFormat="false" ht="15" hidden="false" customHeight="false" outlineLevel="0" collapsed="false">
      <c r="A31" s="7" t="s">
        <v>32</v>
      </c>
      <c r="B31" s="9" t="n">
        <f aca="false">IF('Plan Eligibility'!$B$6="Yes",SUMIFS('Monthly Bills'!$M$5:$M$196,'Monthly Bills'!$A$5:$A$196,"average",'Monthly Bills'!$B$5:$B$196,"ashp_resistance_backup"),"n/a")</f>
        <v>3329.07519182</v>
      </c>
      <c r="C31" s="9" t="n">
        <f aca="false">IF('Plan Eligibility'!$C$6="Yes",SUMIFS('Monthly Bills'!$N$5:$N$196,'Monthly Bills'!$A$5:$A$196,"average",'Monthly Bills'!$B$5:$B$196,"ashp_resistance_backup"),"n/a")</f>
        <v>3061.60795528</v>
      </c>
      <c r="D31" s="9" t="n">
        <f aca="false">IF('Plan Eligibility'!$D$6="Yes",SUMIFS('Monthly Bills'!$O$5:$O$196,'Monthly Bills'!$A$5:$A$196,"average",'Monthly Bills'!$B$5:$B$196,"ashp_resistance_backup"),"n/a")</f>
        <v>2167.15357238</v>
      </c>
      <c r="E31" s="9" t="str">
        <f aca="false">IF('Plan Eligibility'!$E$6="Yes",SUMIFS('Monthly Bills'!$P$5:$P$196,'Monthly Bills'!$A$5:$A$196,"average",'Monthly Bills'!$B$5:$B$196,"ashp_resistance_backup"),"n/a")</f>
        <v>n/a</v>
      </c>
      <c r="F31" s="10" t="n">
        <f aca="false">SUMIFS('Monthly Bills'!$Q$5:$Q$196,'Monthly Bills'!$A$5:$A$196,"average",'Monthly Bills'!$B$5:$B$196,"ashp_resistance_backup")</f>
        <v>280.4758269</v>
      </c>
    </row>
    <row r="32" customFormat="false" ht="15" hidden="false" customHeight="false" outlineLevel="0" collapsed="false">
      <c r="A32" s="7" t="s">
        <v>33</v>
      </c>
      <c r="B32" s="9" t="n">
        <f aca="false">IF('Plan Eligibility'!$B$7="Yes",SUMIFS('Monthly Bills'!$M$5:$M$196,'Monthly Bills'!$A$5:$A$196,"average",'Monthly Bills'!$B$5:$B$196,"ashp_gas_backup"),"n/a")</f>
        <v>1806.64475222</v>
      </c>
      <c r="C32" s="9" t="n">
        <f aca="false">IF('Plan Eligibility'!$C$7="Yes",SUMIFS('Monthly Bills'!$N$5:$N$196,'Monthly Bills'!$A$5:$A$196,"average",'Monthly Bills'!$B$5:$B$196,"ashp_gas_backup"),"n/a")</f>
        <v>1707.34874312</v>
      </c>
      <c r="D32" s="9" t="str">
        <f aca="false">IF('Plan Eligibility'!$D$7="Yes",SUMIFS('Monthly Bills'!$O$5:$O$196,'Monthly Bills'!$A$5:$A$196,"average",'Monthly Bills'!$B$5:$B$196,"ashp_gas_backup"),"n/a")</f>
        <v>n/a</v>
      </c>
      <c r="E32" s="9" t="n">
        <f aca="false">IF('Plan Eligibility'!$E$7="Yes",SUMIFS('Monthly Bills'!$P$5:$P$196,'Monthly Bills'!$A$5:$A$196,"average",'Monthly Bills'!$B$5:$B$196,"ashp_gas_backup"),"n/a")</f>
        <v>1670.83720119</v>
      </c>
      <c r="F32" s="10" t="n">
        <f aca="false">SUMIFS('Monthly Bills'!$Q$5:$Q$196,'Monthly Bills'!$A$5:$A$196,"average",'Monthly Bills'!$B$5:$B$196,"ashp_gas_backup")</f>
        <v>1279.22135703</v>
      </c>
    </row>
    <row r="33" customFormat="false" ht="15" hidden="false" customHeight="false" outlineLevel="0" collapsed="false">
      <c r="A33" s="7" t="s">
        <v>34</v>
      </c>
      <c r="B33" s="9" t="n">
        <f aca="false">IF('Plan Eligibility'!$B$8="Yes",SUMIFS('Monthly Bills'!$M$5:$M$196,'Monthly Bills'!$A$5:$A$196,"average",'Monthly Bills'!$B$5:$B$196,"baseboard"),"n/a")</f>
        <v>5800.17578202</v>
      </c>
      <c r="C33" s="9" t="n">
        <f aca="false">IF('Plan Eligibility'!$C$8="Yes",SUMIFS('Monthly Bills'!$N$5:$N$196,'Monthly Bills'!$A$5:$A$196,"average",'Monthly Bills'!$B$5:$B$196,"baseboard"),"n/a")</f>
        <v>5296.01099728</v>
      </c>
      <c r="D33" s="9" t="n">
        <f aca="false">IF('Plan Eligibility'!$D$8="Yes",SUMIFS('Monthly Bills'!$O$5:$O$196,'Monthly Bills'!$A$5:$A$196,"average",'Monthly Bills'!$B$5:$B$196,"baseboard"),"n/a")</f>
        <v>3577.60080858</v>
      </c>
      <c r="E33" s="9" t="str">
        <f aca="false">IF('Plan Eligibility'!$E$8="Yes",SUMIFS('Monthly Bills'!$P$5:$P$196,'Monthly Bills'!$A$5:$A$196,"average",'Monthly Bills'!$B$5:$B$196,"baseboard"),"n/a")</f>
        <v>n/a</v>
      </c>
      <c r="F33" s="10" t="n">
        <f aca="false">SUMIFS('Monthly Bills'!$Q$5:$Q$196,'Monthly Bills'!$A$5:$A$196,"average",'Monthly Bills'!$B$5:$B$196,"baseboard")</f>
        <v>280.45805601</v>
      </c>
    </row>
    <row r="34" customFormat="false" ht="15" hidden="false" customHeight="false" outlineLevel="0" collapsed="false">
      <c r="A34" s="7" t="s">
        <v>35</v>
      </c>
      <c r="B34" s="9" t="n">
        <f aca="false">IF('Plan Eligibility'!$B$9="Yes",SUMIFS('Monthly Bills'!$M$5:$M$196,'Monthly Bills'!$A$5:$A$196,"average",'Monthly Bills'!$B$5:$B$196,"gas_furnace_hpwh"),"n/a")</f>
        <v>1605.15852316</v>
      </c>
      <c r="C34" s="9" t="n">
        <f aca="false">IF('Plan Eligibility'!$C$9="Yes",SUMIFS('Monthly Bills'!$N$5:$N$196,'Monthly Bills'!$A$5:$A$196,"average",'Monthly Bills'!$B$5:$B$196,"gas_furnace_hpwh"),"n/a")</f>
        <v>1520.60570016</v>
      </c>
      <c r="D34" s="9" t="str">
        <f aca="false">IF('Plan Eligibility'!$D$9="Yes",SUMIFS('Monthly Bills'!$O$5:$O$196,'Monthly Bills'!$A$5:$A$196,"average",'Monthly Bills'!$B$5:$B$196,"gas_furnace_hpwh"),"n/a")</f>
        <v>n/a</v>
      </c>
      <c r="E34" s="9" t="str">
        <f aca="false">IF('Plan Eligibility'!$E$9="Yes",SUMIFS('Monthly Bills'!$P$5:$P$196,'Monthly Bills'!$A$5:$A$196,"average",'Monthly Bills'!$B$5:$B$196,"gas_furnace_hpwh"),"n/a")</f>
        <v>n/a</v>
      </c>
      <c r="F34" s="10" t="n">
        <f aca="false">SUMIFS('Monthly Bills'!$Q$5:$Q$196,'Monthly Bills'!$A$5:$A$196,"average",'Monthly Bills'!$B$5:$B$196,"gas_furnace_hpwh")</f>
        <v>1338.33201372</v>
      </c>
    </row>
    <row r="35" customFormat="false" ht="15" hidden="false" customHeight="false" outlineLevel="0" collapsed="false">
      <c r="A35" s="7" t="s">
        <v>36</v>
      </c>
      <c r="B35" s="9" t="n">
        <f aca="false">IF('Plan Eligibility'!$B$10="Yes",SUMIFS('Monthly Bills'!$M$5:$M$196,'Monthly Bills'!$A$5:$A$196,"average",'Monthly Bills'!$B$5:$B$196,"ashp_resistance_backup_hpwh"),"n/a")</f>
        <v>3371.21665148</v>
      </c>
      <c r="C35" s="9" t="n">
        <f aca="false">IF('Plan Eligibility'!$C$10="Yes",SUMIFS('Monthly Bills'!$N$5:$N$196,'Monthly Bills'!$A$5:$A$196,"average",'Monthly Bills'!$B$5:$B$196,"ashp_resistance_backup_hpwh"),"n/a")</f>
        <v>3101.36474432</v>
      </c>
      <c r="D35" s="9" t="n">
        <f aca="false">IF('Plan Eligibility'!$D$10="Yes",SUMIFS('Monthly Bills'!$O$5:$O$196,'Monthly Bills'!$A$5:$A$196,"average",'Monthly Bills'!$B$5:$B$196,"ashp_resistance_backup_hpwh"),"n/a")</f>
        <v>2193.87497462</v>
      </c>
      <c r="E35" s="9" t="str">
        <f aca="false">IF('Plan Eligibility'!$E$10="Yes",SUMIFS('Monthly Bills'!$P$5:$P$196,'Monthly Bills'!$A$5:$A$196,"average",'Monthly Bills'!$B$5:$B$196,"ashp_resistance_backup_hpwh"),"n/a")</f>
        <v>n/a</v>
      </c>
      <c r="F35" s="10" t="n">
        <f aca="false">SUMIFS('Monthly Bills'!$Q$5:$Q$196,'Monthly Bills'!$A$5:$A$196,"average",'Monthly Bills'!$B$5:$B$196,"ashp_resistance_backup_hpwh")</f>
        <v>140.54970966</v>
      </c>
    </row>
    <row r="36" customFormat="false" ht="15" hidden="false" customHeight="false" outlineLevel="0" collapsed="false">
      <c r="A36" s="7" t="s">
        <v>37</v>
      </c>
      <c r="B36" s="9" t="n">
        <f aca="false">IF('Plan Eligibility'!$B$11="Yes",SUMIFS('Monthly Bills'!$M$5:$M$196,'Monthly Bills'!$A$5:$A$196,"average",'Monthly Bills'!$B$5:$B$196,"ashp_gas_backup_hpwh"),"n/a")</f>
        <v>1849.16530158</v>
      </c>
      <c r="C36" s="9" t="n">
        <f aca="false">IF('Plan Eligibility'!$C$11="Yes",SUMIFS('Monthly Bills'!$N$5:$N$196,'Monthly Bills'!$A$5:$A$196,"average",'Monthly Bills'!$B$5:$B$196,"ashp_gas_backup_hpwh"),"n/a")</f>
        <v>1747.14318568</v>
      </c>
      <c r="D36" s="9" t="str">
        <f aca="false">IF('Plan Eligibility'!$D$11="Yes",SUMIFS('Monthly Bills'!$O$5:$O$196,'Monthly Bills'!$A$5:$A$196,"average",'Monthly Bills'!$B$5:$B$196,"ashp_gas_backup_hpwh"),"n/a")</f>
        <v>n/a</v>
      </c>
      <c r="E36" s="9" t="n">
        <f aca="false">IF('Plan Eligibility'!$E$11="Yes",SUMIFS('Monthly Bills'!$P$5:$P$196,'Monthly Bills'!$A$5:$A$196,"average",'Monthly Bills'!$B$5:$B$196,"ashp_gas_backup_hpwh"),"n/a")</f>
        <v>1713.66208993</v>
      </c>
      <c r="F36" s="10" t="n">
        <f aca="false">SUMIFS('Monthly Bills'!$Q$5:$Q$196,'Monthly Bills'!$A$5:$A$196,"average",'Monthly Bills'!$B$5:$B$196,"ashp_gas_backup_hpwh")</f>
        <v>1139.43553629</v>
      </c>
    </row>
    <row r="37" customFormat="false" ht="15" hidden="false" customHeight="false" outlineLevel="0" collapsed="false">
      <c r="A37" s="7" t="s">
        <v>38</v>
      </c>
      <c r="B37" s="9" t="n">
        <f aca="false">IF('Plan Eligibility'!$B$12="Yes",SUMIFS('Monthly Bills'!$M$5:$M$196,'Monthly Bills'!$A$5:$A$196,"average",'Monthly Bills'!$B$5:$B$196,"baseboard_hpwh"),"n/a")</f>
        <v>5842.26375171</v>
      </c>
      <c r="C37" s="9" t="n">
        <f aca="false">IF('Plan Eligibility'!$C$12="Yes",SUMIFS('Monthly Bills'!$N$5:$N$196,'Monthly Bills'!$A$5:$A$196,"average",'Monthly Bills'!$B$5:$B$196,"baseboard_hpwh"),"n/a")</f>
        <v>5335.71968204</v>
      </c>
      <c r="D37" s="9" t="n">
        <f aca="false">IF('Plan Eligibility'!$D$12="Yes",SUMIFS('Monthly Bills'!$O$5:$O$196,'Monthly Bills'!$A$5:$A$196,"average",'Monthly Bills'!$B$5:$B$196,"baseboard_hpwh"),"n/a")</f>
        <v>3604.29063399</v>
      </c>
      <c r="E37" s="9" t="str">
        <f aca="false">IF('Plan Eligibility'!$E$12="Yes",SUMIFS('Monthly Bills'!$P$5:$P$196,'Monthly Bills'!$A$5:$A$196,"average",'Monthly Bills'!$B$5:$B$196,"baseboard_hpwh"),"n/a")</f>
        <v>n/a</v>
      </c>
      <c r="F37" s="10" t="n">
        <f aca="false">SUMIFS('Monthly Bills'!$Q$5:$Q$196,'Monthly Bills'!$A$5:$A$196,"average",'Monthly Bills'!$B$5:$B$196,"baseboard_hpwh")</f>
        <v>140.54970966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24"/>
    <col collapsed="false" customWidth="true" hidden="false" outlineLevel="0" max="2" min="2" style="0" width="26"/>
    <col collapsed="false" customWidth="true" hidden="false" outlineLevel="0" max="4" min="3" style="0" width="12"/>
    <col collapsed="false" customWidth="true" hidden="false" outlineLevel="0" max="5" min="5" style="0" width="26"/>
    <col collapsed="false" customWidth="true" hidden="false" outlineLevel="0" max="7" min="6" style="0" width="12"/>
    <col collapsed="false" customWidth="true" hidden="false" outlineLevel="0" max="8" min="8" style="0" width="70"/>
    <col collapsed="false" customWidth="true" hidden="false" outlineLevel="0" max="9" min="9" style="0" width="50"/>
  </cols>
  <sheetData>
    <row r="1" customFormat="false" ht="17.35" hidden="false" customHeight="false" outlineLevel="0" collapsed="false">
      <c r="A1" s="1" t="s">
        <v>46</v>
      </c>
    </row>
    <row r="2" customFormat="false" ht="15" hidden="false" customHeight="false" outlineLevel="0" collapsed="false">
      <c r="A2" s="4" t="s">
        <v>47</v>
      </c>
    </row>
    <row r="4" customFormat="false" ht="30" hidden="false" customHeight="true" outlineLevel="0" collapsed="false">
      <c r="A4" s="6" t="s">
        <v>48</v>
      </c>
      <c r="B4" s="6" t="s">
        <v>49</v>
      </c>
      <c r="C4" s="6" t="s">
        <v>50</v>
      </c>
      <c r="D4" s="6" t="s">
        <v>51</v>
      </c>
      <c r="E4" s="6" t="s">
        <v>52</v>
      </c>
      <c r="F4" s="6" t="s">
        <v>53</v>
      </c>
      <c r="G4" s="6" t="s">
        <v>54</v>
      </c>
      <c r="H4" s="6" t="s">
        <v>55</v>
      </c>
      <c r="I4" s="6" t="s">
        <v>56</v>
      </c>
    </row>
    <row r="5" customFormat="false" ht="15" hidden="false" customHeight="false" outlineLevel="0" collapsed="false">
      <c r="A5" s="7" t="s">
        <v>57</v>
      </c>
      <c r="B5" s="7" t="s">
        <v>58</v>
      </c>
      <c r="C5" s="7" t="s">
        <v>59</v>
      </c>
      <c r="D5" s="7" t="s">
        <v>60</v>
      </c>
      <c r="E5" s="7" t="s">
        <v>61</v>
      </c>
      <c r="F5" s="17" t="n">
        <v>8</v>
      </c>
      <c r="G5" s="7" t="s">
        <v>62</v>
      </c>
      <c r="H5" s="7" t="s">
        <v>63</v>
      </c>
      <c r="I5" s="7" t="s">
        <v>64</v>
      </c>
    </row>
    <row r="6" customFormat="false" ht="15" hidden="false" customHeight="false" outlineLevel="0" collapsed="false">
      <c r="A6" s="7" t="s">
        <v>57</v>
      </c>
      <c r="B6" s="7" t="s">
        <v>65</v>
      </c>
      <c r="C6" s="7" t="s">
        <v>59</v>
      </c>
      <c r="D6" s="7" t="s">
        <v>66</v>
      </c>
      <c r="E6" s="7" t="s">
        <v>61</v>
      </c>
      <c r="F6" s="18" t="n">
        <v>0.13655</v>
      </c>
      <c r="G6" s="7" t="s">
        <v>67</v>
      </c>
      <c r="H6" s="7" t="s">
        <v>63</v>
      </c>
      <c r="I6" s="7"/>
    </row>
    <row r="7" customFormat="false" ht="23.85" hidden="false" customHeight="false" outlineLevel="0" collapsed="false">
      <c r="A7" s="7" t="s">
        <v>57</v>
      </c>
      <c r="B7" s="7" t="s">
        <v>68</v>
      </c>
      <c r="C7" s="7" t="s">
        <v>59</v>
      </c>
      <c r="D7" s="7" t="s">
        <v>69</v>
      </c>
      <c r="E7" s="7" t="s">
        <v>70</v>
      </c>
      <c r="F7" s="18" t="n">
        <v>0.12096</v>
      </c>
      <c r="G7" s="7" t="s">
        <v>67</v>
      </c>
      <c r="H7" s="7" t="s">
        <v>63</v>
      </c>
      <c r="I7" s="7" t="s">
        <v>71</v>
      </c>
    </row>
    <row r="8" customFormat="false" ht="15" hidden="false" customHeight="false" outlineLevel="0" collapsed="false">
      <c r="A8" s="7" t="s">
        <v>57</v>
      </c>
      <c r="B8" s="7" t="s">
        <v>72</v>
      </c>
      <c r="C8" s="7" t="s">
        <v>59</v>
      </c>
      <c r="D8" s="7" t="s">
        <v>69</v>
      </c>
      <c r="E8" s="7" t="s">
        <v>73</v>
      </c>
      <c r="F8" s="18" t="n">
        <v>0.11838</v>
      </c>
      <c r="G8" s="7" t="s">
        <v>67</v>
      </c>
      <c r="H8" s="7" t="s">
        <v>63</v>
      </c>
      <c r="I8" s="7" t="s">
        <v>74</v>
      </c>
    </row>
    <row r="9" customFormat="false" ht="15" hidden="false" customHeight="false" outlineLevel="0" collapsed="false">
      <c r="A9" s="7" t="s">
        <v>57</v>
      </c>
      <c r="B9" s="7" t="s">
        <v>75</v>
      </c>
      <c r="C9" s="7" t="s">
        <v>59</v>
      </c>
      <c r="D9" s="7" t="s">
        <v>60</v>
      </c>
      <c r="E9" s="7" t="s">
        <v>61</v>
      </c>
      <c r="F9" s="18" t="n">
        <v>0.01568</v>
      </c>
      <c r="G9" s="7" t="s">
        <v>67</v>
      </c>
      <c r="H9" s="7" t="s">
        <v>76</v>
      </c>
      <c r="I9" s="7" t="s">
        <v>77</v>
      </c>
    </row>
    <row r="10" customFormat="false" ht="23.85" hidden="false" customHeight="false" outlineLevel="0" collapsed="false">
      <c r="A10" s="7" t="s">
        <v>57</v>
      </c>
      <c r="B10" s="7" t="s">
        <v>78</v>
      </c>
      <c r="C10" s="7" t="s">
        <v>59</v>
      </c>
      <c r="D10" s="7" t="s">
        <v>60</v>
      </c>
      <c r="E10" s="7" t="s">
        <v>61</v>
      </c>
      <c r="F10" s="18" t="n">
        <v>0</v>
      </c>
      <c r="G10" s="7" t="s">
        <v>67</v>
      </c>
      <c r="H10" s="7" t="s">
        <v>79</v>
      </c>
      <c r="I10" s="7" t="s">
        <v>80</v>
      </c>
    </row>
    <row r="11" customFormat="false" ht="15" hidden="false" customHeight="false" outlineLevel="0" collapsed="false">
      <c r="A11" s="7" t="s">
        <v>57</v>
      </c>
      <c r="B11" s="7" t="s">
        <v>81</v>
      </c>
      <c r="C11" s="7"/>
      <c r="D11" s="7" t="s">
        <v>69</v>
      </c>
      <c r="E11" s="7"/>
      <c r="F11" s="19" t="n">
        <v>1000</v>
      </c>
      <c r="G11" s="7" t="s">
        <v>82</v>
      </c>
      <c r="H11" s="7" t="s">
        <v>83</v>
      </c>
      <c r="I11" s="7" t="s">
        <v>84</v>
      </c>
    </row>
    <row r="12" customFormat="false" ht="15" hidden="false" customHeight="false" outlineLevel="0" collapsed="false">
      <c r="A12" s="7" t="s">
        <v>85</v>
      </c>
      <c r="B12" s="7" t="s">
        <v>58</v>
      </c>
      <c r="C12" s="7" t="s">
        <v>59</v>
      </c>
      <c r="D12" s="7" t="s">
        <v>60</v>
      </c>
      <c r="E12" s="7" t="s">
        <v>61</v>
      </c>
      <c r="F12" s="17" t="n">
        <v>8</v>
      </c>
      <c r="G12" s="7" t="s">
        <v>62</v>
      </c>
      <c r="H12" s="7" t="s">
        <v>86</v>
      </c>
      <c r="I12" s="7"/>
    </row>
    <row r="13" customFormat="false" ht="23.85" hidden="false" customHeight="false" outlineLevel="0" collapsed="false">
      <c r="A13" s="7" t="s">
        <v>85</v>
      </c>
      <c r="B13" s="7" t="s">
        <v>87</v>
      </c>
      <c r="C13" s="7" t="s">
        <v>59</v>
      </c>
      <c r="D13" s="7" t="s">
        <v>66</v>
      </c>
      <c r="E13" s="7" t="s">
        <v>88</v>
      </c>
      <c r="F13" s="18" t="n">
        <v>0.21</v>
      </c>
      <c r="G13" s="7" t="s">
        <v>67</v>
      </c>
      <c r="H13" s="7" t="s">
        <v>89</v>
      </c>
      <c r="I13" s="7" t="s">
        <v>90</v>
      </c>
    </row>
    <row r="14" customFormat="false" ht="23.85" hidden="false" customHeight="false" outlineLevel="0" collapsed="false">
      <c r="A14" s="7" t="s">
        <v>85</v>
      </c>
      <c r="B14" s="7" t="s">
        <v>91</v>
      </c>
      <c r="C14" s="7" t="s">
        <v>59</v>
      </c>
      <c r="D14" s="7" t="s">
        <v>69</v>
      </c>
      <c r="E14" s="7" t="s">
        <v>88</v>
      </c>
      <c r="F14" s="18" t="n">
        <v>0.17</v>
      </c>
      <c r="G14" s="7" t="s">
        <v>67</v>
      </c>
      <c r="H14" s="7" t="s">
        <v>89</v>
      </c>
      <c r="I14" s="7"/>
    </row>
    <row r="15" customFormat="false" ht="23.85" hidden="false" customHeight="false" outlineLevel="0" collapsed="false">
      <c r="A15" s="7" t="s">
        <v>85</v>
      </c>
      <c r="B15" s="7" t="s">
        <v>92</v>
      </c>
      <c r="C15" s="7" t="s">
        <v>59</v>
      </c>
      <c r="D15" s="7" t="s">
        <v>60</v>
      </c>
      <c r="E15" s="7" t="s">
        <v>93</v>
      </c>
      <c r="F15" s="18" t="n">
        <v>0.075</v>
      </c>
      <c r="G15" s="7" t="s">
        <v>67</v>
      </c>
      <c r="H15" s="7" t="s">
        <v>89</v>
      </c>
      <c r="I15" s="7" t="s">
        <v>94</v>
      </c>
    </row>
    <row r="16" customFormat="false" ht="23.85" hidden="false" customHeight="false" outlineLevel="0" collapsed="false">
      <c r="A16" s="7" t="s">
        <v>85</v>
      </c>
      <c r="B16" s="7" t="s">
        <v>95</v>
      </c>
      <c r="C16" s="7" t="s">
        <v>59</v>
      </c>
      <c r="D16" s="7" t="s">
        <v>66</v>
      </c>
      <c r="E16" s="7" t="s">
        <v>96</v>
      </c>
      <c r="F16" s="18" t="n">
        <v>0.13</v>
      </c>
      <c r="G16" s="7" t="s">
        <v>67</v>
      </c>
      <c r="H16" s="7" t="s">
        <v>89</v>
      </c>
      <c r="I16" s="7" t="s">
        <v>97</v>
      </c>
    </row>
    <row r="17" customFormat="false" ht="23.85" hidden="false" customHeight="false" outlineLevel="0" collapsed="false">
      <c r="A17" s="7" t="s">
        <v>85</v>
      </c>
      <c r="B17" s="7" t="s">
        <v>98</v>
      </c>
      <c r="C17" s="7" t="s">
        <v>59</v>
      </c>
      <c r="D17" s="7" t="s">
        <v>66</v>
      </c>
      <c r="E17" s="7" t="s">
        <v>99</v>
      </c>
      <c r="F17" s="18" t="n">
        <v>0.13</v>
      </c>
      <c r="G17" s="7" t="s">
        <v>67</v>
      </c>
      <c r="H17" s="7" t="s">
        <v>89</v>
      </c>
      <c r="I17" s="7"/>
    </row>
    <row r="18" customFormat="false" ht="23.85" hidden="false" customHeight="false" outlineLevel="0" collapsed="false">
      <c r="A18" s="7" t="s">
        <v>85</v>
      </c>
      <c r="B18" s="7" t="s">
        <v>100</v>
      </c>
      <c r="C18" s="7" t="s">
        <v>59</v>
      </c>
      <c r="D18" s="7" t="s">
        <v>69</v>
      </c>
      <c r="E18" s="7" t="s">
        <v>96</v>
      </c>
      <c r="F18" s="18" t="n">
        <v>0.11</v>
      </c>
      <c r="G18" s="7" t="s">
        <v>67</v>
      </c>
      <c r="H18" s="7" t="s">
        <v>89</v>
      </c>
      <c r="I18" s="7"/>
    </row>
    <row r="19" customFormat="false" ht="23.85" hidden="false" customHeight="false" outlineLevel="0" collapsed="false">
      <c r="A19" s="7" t="s">
        <v>85</v>
      </c>
      <c r="B19" s="7" t="s">
        <v>101</v>
      </c>
      <c r="C19" s="7" t="s">
        <v>59</v>
      </c>
      <c r="D19" s="7" t="s">
        <v>69</v>
      </c>
      <c r="E19" s="7" t="s">
        <v>99</v>
      </c>
      <c r="F19" s="18" t="n">
        <v>0.11</v>
      </c>
      <c r="G19" s="7" t="s">
        <v>67</v>
      </c>
      <c r="H19" s="7" t="s">
        <v>89</v>
      </c>
      <c r="I19" s="7"/>
    </row>
    <row r="20" customFormat="false" ht="15" hidden="false" customHeight="false" outlineLevel="0" collapsed="false">
      <c r="A20" s="7" t="s">
        <v>85</v>
      </c>
      <c r="B20" s="7" t="s">
        <v>75</v>
      </c>
      <c r="C20" s="7" t="s">
        <v>59</v>
      </c>
      <c r="D20" s="7" t="s">
        <v>60</v>
      </c>
      <c r="E20" s="7" t="s">
        <v>61</v>
      </c>
      <c r="F20" s="18" t="n">
        <v>0.01568</v>
      </c>
      <c r="G20" s="7" t="s">
        <v>67</v>
      </c>
      <c r="H20" s="7" t="s">
        <v>76</v>
      </c>
      <c r="I20" s="7" t="s">
        <v>102</v>
      </c>
    </row>
    <row r="21" customFormat="false" ht="23.85" hidden="false" customHeight="false" outlineLevel="0" collapsed="false">
      <c r="A21" s="7" t="s">
        <v>85</v>
      </c>
      <c r="B21" s="7" t="s">
        <v>78</v>
      </c>
      <c r="C21" s="7" t="s">
        <v>59</v>
      </c>
      <c r="D21" s="7" t="s">
        <v>60</v>
      </c>
      <c r="E21" s="7" t="s">
        <v>61</v>
      </c>
      <c r="F21" s="18" t="n">
        <v>0</v>
      </c>
      <c r="G21" s="7" t="s">
        <v>67</v>
      </c>
      <c r="H21" s="7" t="s">
        <v>79</v>
      </c>
      <c r="I21" s="7" t="s">
        <v>80</v>
      </c>
    </row>
    <row r="22" customFormat="false" ht="15" hidden="false" customHeight="false" outlineLevel="0" collapsed="false">
      <c r="A22" s="7" t="s">
        <v>103</v>
      </c>
      <c r="B22" s="7" t="s">
        <v>58</v>
      </c>
      <c r="C22" s="7" t="s">
        <v>59</v>
      </c>
      <c r="D22" s="7" t="s">
        <v>60</v>
      </c>
      <c r="E22" s="7" t="s">
        <v>61</v>
      </c>
      <c r="F22" s="17" t="n">
        <v>8</v>
      </c>
      <c r="G22" s="7" t="s">
        <v>62</v>
      </c>
      <c r="H22" s="7" t="s">
        <v>63</v>
      </c>
      <c r="I22" s="7" t="s">
        <v>104</v>
      </c>
    </row>
    <row r="23" customFormat="false" ht="15" hidden="false" customHeight="false" outlineLevel="0" collapsed="false">
      <c r="A23" s="7" t="s">
        <v>103</v>
      </c>
      <c r="B23" s="7" t="s">
        <v>65</v>
      </c>
      <c r="C23" s="7" t="s">
        <v>59</v>
      </c>
      <c r="D23" s="7" t="s">
        <v>66</v>
      </c>
      <c r="E23" s="7" t="s">
        <v>61</v>
      </c>
      <c r="F23" s="18" t="n">
        <v>0.13655</v>
      </c>
      <c r="G23" s="7" t="s">
        <v>67</v>
      </c>
      <c r="H23" s="7" t="s">
        <v>63</v>
      </c>
      <c r="I23" s="7" t="s">
        <v>105</v>
      </c>
    </row>
    <row r="24" customFormat="false" ht="23.85" hidden="false" customHeight="false" outlineLevel="0" collapsed="false">
      <c r="A24" s="7" t="s">
        <v>103</v>
      </c>
      <c r="B24" s="7" t="s">
        <v>106</v>
      </c>
      <c r="C24" s="7" t="s">
        <v>59</v>
      </c>
      <c r="D24" s="7" t="s">
        <v>69</v>
      </c>
      <c r="E24" s="7" t="s">
        <v>61</v>
      </c>
      <c r="F24" s="18" t="n">
        <v>0.06</v>
      </c>
      <c r="G24" s="7" t="s">
        <v>67</v>
      </c>
      <c r="H24" s="7" t="s">
        <v>107</v>
      </c>
      <c r="I24" s="7" t="s">
        <v>108</v>
      </c>
    </row>
    <row r="25" customFormat="false" ht="15" hidden="false" customHeight="false" outlineLevel="0" collapsed="false">
      <c r="A25" s="7" t="s">
        <v>103</v>
      </c>
      <c r="B25" s="7" t="s">
        <v>75</v>
      </c>
      <c r="C25" s="7" t="s">
        <v>59</v>
      </c>
      <c r="D25" s="7" t="s">
        <v>60</v>
      </c>
      <c r="E25" s="7" t="s">
        <v>61</v>
      </c>
      <c r="F25" s="18" t="n">
        <v>0.01568</v>
      </c>
      <c r="G25" s="7" t="s">
        <v>67</v>
      </c>
      <c r="H25" s="7" t="s">
        <v>76</v>
      </c>
      <c r="I25" s="7" t="s">
        <v>109</v>
      </c>
    </row>
    <row r="26" customFormat="false" ht="23.85" hidden="false" customHeight="false" outlineLevel="0" collapsed="false">
      <c r="A26" s="7" t="s">
        <v>103</v>
      </c>
      <c r="B26" s="7" t="s">
        <v>78</v>
      </c>
      <c r="C26" s="7" t="s">
        <v>59</v>
      </c>
      <c r="D26" s="7" t="s">
        <v>60</v>
      </c>
      <c r="E26" s="7" t="s">
        <v>61</v>
      </c>
      <c r="F26" s="18" t="n">
        <v>0</v>
      </c>
      <c r="G26" s="7" t="s">
        <v>67</v>
      </c>
      <c r="H26" s="7" t="s">
        <v>79</v>
      </c>
      <c r="I26" s="7" t="s">
        <v>80</v>
      </c>
    </row>
    <row r="27" customFormat="false" ht="15" hidden="false" customHeight="false" outlineLevel="0" collapsed="false">
      <c r="A27" s="7" t="s">
        <v>110</v>
      </c>
      <c r="B27" s="7" t="s">
        <v>58</v>
      </c>
      <c r="C27" s="7" t="s">
        <v>111</v>
      </c>
      <c r="D27" s="7" t="s">
        <v>60</v>
      </c>
      <c r="E27" s="7" t="s">
        <v>61</v>
      </c>
      <c r="F27" s="17" t="n">
        <v>8</v>
      </c>
      <c r="G27" s="7" t="s">
        <v>62</v>
      </c>
      <c r="H27" s="7" t="s">
        <v>63</v>
      </c>
      <c r="I27" s="7" t="s">
        <v>112</v>
      </c>
    </row>
    <row r="28" customFormat="false" ht="15" hidden="false" customHeight="false" outlineLevel="0" collapsed="false">
      <c r="A28" s="7" t="s">
        <v>110</v>
      </c>
      <c r="B28" s="7" t="s">
        <v>65</v>
      </c>
      <c r="C28" s="7" t="s">
        <v>111</v>
      </c>
      <c r="D28" s="7" t="s">
        <v>66</v>
      </c>
      <c r="E28" s="7" t="s">
        <v>61</v>
      </c>
      <c r="F28" s="18" t="n">
        <v>0.13655</v>
      </c>
      <c r="G28" s="7" t="s">
        <v>67</v>
      </c>
      <c r="H28" s="7" t="s">
        <v>63</v>
      </c>
      <c r="I28" s="7"/>
    </row>
    <row r="29" customFormat="false" ht="23.85" hidden="false" customHeight="false" outlineLevel="0" collapsed="false">
      <c r="A29" s="7" t="s">
        <v>110</v>
      </c>
      <c r="B29" s="7" t="s">
        <v>68</v>
      </c>
      <c r="C29" s="7" t="s">
        <v>111</v>
      </c>
      <c r="D29" s="7" t="s">
        <v>69</v>
      </c>
      <c r="E29" s="7" t="s">
        <v>70</v>
      </c>
      <c r="F29" s="18" t="n">
        <v>0.12096</v>
      </c>
      <c r="G29" s="7" t="s">
        <v>67</v>
      </c>
      <c r="H29" s="7" t="s">
        <v>63</v>
      </c>
      <c r="I29" s="7"/>
    </row>
    <row r="30" customFormat="false" ht="15" hidden="false" customHeight="false" outlineLevel="0" collapsed="false">
      <c r="A30" s="7" t="s">
        <v>110</v>
      </c>
      <c r="B30" s="7" t="s">
        <v>72</v>
      </c>
      <c r="C30" s="7" t="s">
        <v>111</v>
      </c>
      <c r="D30" s="7" t="s">
        <v>69</v>
      </c>
      <c r="E30" s="7" t="s">
        <v>73</v>
      </c>
      <c r="F30" s="18" t="n">
        <v>0.11838</v>
      </c>
      <c r="G30" s="7" t="s">
        <v>67</v>
      </c>
      <c r="H30" s="7" t="s">
        <v>63</v>
      </c>
      <c r="I30" s="7"/>
    </row>
    <row r="31" customFormat="false" ht="23.85" hidden="false" customHeight="false" outlineLevel="0" collapsed="false">
      <c r="A31" s="7" t="s">
        <v>110</v>
      </c>
      <c r="B31" s="7" t="s">
        <v>113</v>
      </c>
      <c r="C31" s="7" t="s">
        <v>114</v>
      </c>
      <c r="D31" s="7" t="s">
        <v>60</v>
      </c>
      <c r="E31" s="7" t="s">
        <v>61</v>
      </c>
      <c r="F31" s="17" t="n">
        <v>4.95</v>
      </c>
      <c r="G31" s="7" t="s">
        <v>62</v>
      </c>
      <c r="H31" s="7" t="s">
        <v>115</v>
      </c>
      <c r="I31" s="7" t="s">
        <v>116</v>
      </c>
    </row>
    <row r="32" customFormat="false" ht="23.85" hidden="false" customHeight="false" outlineLevel="0" collapsed="false">
      <c r="A32" s="7" t="s">
        <v>110</v>
      </c>
      <c r="B32" s="7" t="s">
        <v>117</v>
      </c>
      <c r="C32" s="7" t="s">
        <v>114</v>
      </c>
      <c r="D32" s="7" t="s">
        <v>60</v>
      </c>
      <c r="E32" s="7" t="s">
        <v>61</v>
      </c>
      <c r="F32" s="18" t="n">
        <v>0.04506</v>
      </c>
      <c r="G32" s="7" t="s">
        <v>67</v>
      </c>
      <c r="H32" s="7" t="s">
        <v>115</v>
      </c>
      <c r="I32" s="7" t="s">
        <v>118</v>
      </c>
    </row>
    <row r="33" customFormat="false" ht="15" hidden="false" customHeight="false" outlineLevel="0" collapsed="false">
      <c r="A33" s="7" t="s">
        <v>110</v>
      </c>
      <c r="B33" s="7" t="s">
        <v>75</v>
      </c>
      <c r="C33" s="7" t="s">
        <v>59</v>
      </c>
      <c r="D33" s="7" t="s">
        <v>60</v>
      </c>
      <c r="E33" s="7" t="s">
        <v>61</v>
      </c>
      <c r="F33" s="18" t="n">
        <v>0.01568</v>
      </c>
      <c r="G33" s="7" t="s">
        <v>67</v>
      </c>
      <c r="H33" s="7" t="s">
        <v>76</v>
      </c>
      <c r="I33" s="7" t="s">
        <v>109</v>
      </c>
    </row>
    <row r="34" customFormat="false" ht="23.85" hidden="false" customHeight="false" outlineLevel="0" collapsed="false">
      <c r="A34" s="7" t="s">
        <v>110</v>
      </c>
      <c r="B34" s="7" t="s">
        <v>78</v>
      </c>
      <c r="C34" s="7" t="s">
        <v>59</v>
      </c>
      <c r="D34" s="7" t="s">
        <v>60</v>
      </c>
      <c r="E34" s="7" t="s">
        <v>61</v>
      </c>
      <c r="F34" s="18" t="n">
        <v>0</v>
      </c>
      <c r="G34" s="7" t="s">
        <v>67</v>
      </c>
      <c r="H34" s="7" t="s">
        <v>79</v>
      </c>
      <c r="I34" s="7" t="s">
        <v>80</v>
      </c>
    </row>
    <row r="35" customFormat="false" ht="15" hidden="false" customHeight="false" outlineLevel="0" collapsed="false">
      <c r="A35" s="7" t="s">
        <v>110</v>
      </c>
      <c r="B35" s="7" t="s">
        <v>81</v>
      </c>
      <c r="C35" s="7"/>
      <c r="D35" s="7" t="s">
        <v>69</v>
      </c>
      <c r="E35" s="7"/>
      <c r="F35" s="19" t="n">
        <v>1000</v>
      </c>
      <c r="G35" s="7" t="s">
        <v>82</v>
      </c>
      <c r="H35" s="7" t="s">
        <v>119</v>
      </c>
      <c r="I35" s="7" t="s">
        <v>84</v>
      </c>
    </row>
    <row r="36" customFormat="false" ht="23.85" hidden="false" customHeight="false" outlineLevel="0" collapsed="false">
      <c r="A36" s="7" t="s">
        <v>120</v>
      </c>
      <c r="B36" s="7" t="s">
        <v>121</v>
      </c>
      <c r="C36" s="7" t="s">
        <v>59</v>
      </c>
      <c r="D36" s="7" t="s">
        <v>60</v>
      </c>
      <c r="E36" s="7" t="s">
        <v>61</v>
      </c>
      <c r="F36" s="17" t="n">
        <v>9.5</v>
      </c>
      <c r="G36" s="7" t="s">
        <v>62</v>
      </c>
      <c r="H36" s="7" t="s">
        <v>122</v>
      </c>
      <c r="I36" s="7"/>
    </row>
    <row r="37" customFormat="false" ht="23.85" hidden="false" customHeight="false" outlineLevel="0" collapsed="false">
      <c r="A37" s="7" t="s">
        <v>120</v>
      </c>
      <c r="B37" s="7" t="s">
        <v>123</v>
      </c>
      <c r="C37" s="7" t="s">
        <v>59</v>
      </c>
      <c r="D37" s="7" t="s">
        <v>60</v>
      </c>
      <c r="E37" s="7" t="s">
        <v>61</v>
      </c>
      <c r="F37" s="18" t="n">
        <v>0.3347</v>
      </c>
      <c r="G37" s="7" t="s">
        <v>124</v>
      </c>
      <c r="H37" s="7" t="s">
        <v>122</v>
      </c>
      <c r="I37" s="7"/>
    </row>
    <row r="38" customFormat="false" ht="15" hidden="false" customHeight="false" outlineLevel="0" collapsed="false">
      <c r="A38" s="7" t="s">
        <v>120</v>
      </c>
      <c r="B38" s="7" t="s">
        <v>125</v>
      </c>
      <c r="C38" s="7" t="s">
        <v>59</v>
      </c>
      <c r="D38" s="7" t="s">
        <v>60</v>
      </c>
      <c r="E38" s="7" t="s">
        <v>61</v>
      </c>
      <c r="F38" s="18" t="n">
        <v>0.60061</v>
      </c>
      <c r="G38" s="7" t="s">
        <v>124</v>
      </c>
      <c r="H38" s="7" t="s">
        <v>126</v>
      </c>
      <c r="I38" s="7" t="s">
        <v>127</v>
      </c>
    </row>
    <row r="39" customFormat="false" ht="15" hidden="false" customHeight="false" outlineLevel="0" collapsed="false">
      <c r="A39" s="7" t="s">
        <v>120</v>
      </c>
      <c r="B39" s="7" t="s">
        <v>128</v>
      </c>
      <c r="C39" s="7" t="s">
        <v>59</v>
      </c>
      <c r="D39" s="7" t="s">
        <v>60</v>
      </c>
      <c r="E39" s="7" t="s">
        <v>61</v>
      </c>
      <c r="F39" s="18" t="n">
        <v>0</v>
      </c>
      <c r="G39" s="7" t="s">
        <v>124</v>
      </c>
      <c r="H39" s="7" t="s">
        <v>129</v>
      </c>
      <c r="I39" s="7" t="s">
        <v>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5" min="2" style="0" width="16"/>
  </cols>
  <sheetData>
    <row r="1" customFormat="false" ht="17.35" hidden="false" customHeight="false" outlineLevel="0" collapsed="false">
      <c r="A1" s="1" t="s">
        <v>130</v>
      </c>
    </row>
    <row r="2" customFormat="false" ht="15" hidden="false" customHeight="false" outlineLevel="0" collapsed="false">
      <c r="A2" s="4" t="s">
        <v>131</v>
      </c>
    </row>
    <row r="4" customFormat="false" ht="30" hidden="false" customHeight="true" outlineLevel="0" collapsed="false">
      <c r="A4" s="6" t="s">
        <v>22</v>
      </c>
      <c r="B4" s="6" t="s">
        <v>132</v>
      </c>
      <c r="C4" s="6" t="s">
        <v>133</v>
      </c>
      <c r="D4" s="6" t="s">
        <v>134</v>
      </c>
      <c r="E4" s="6" t="s">
        <v>135</v>
      </c>
    </row>
    <row r="5" customFormat="false" ht="15" hidden="false" customHeight="false" outlineLevel="0" collapsed="false">
      <c r="A5" s="11" t="s">
        <v>136</v>
      </c>
      <c r="B5" s="20" t="s">
        <v>137</v>
      </c>
      <c r="C5" s="20" t="s">
        <v>137</v>
      </c>
      <c r="D5" s="20" t="s">
        <v>138</v>
      </c>
      <c r="E5" s="20" t="s">
        <v>138</v>
      </c>
    </row>
    <row r="6" customFormat="false" ht="15" hidden="false" customHeight="false" outlineLevel="0" collapsed="false">
      <c r="A6" s="11" t="s">
        <v>139</v>
      </c>
      <c r="B6" s="20" t="s">
        <v>137</v>
      </c>
      <c r="C6" s="20" t="s">
        <v>137</v>
      </c>
      <c r="D6" s="20" t="s">
        <v>137</v>
      </c>
      <c r="E6" s="20" t="s">
        <v>138</v>
      </c>
    </row>
    <row r="7" customFormat="false" ht="15" hidden="false" customHeight="false" outlineLevel="0" collapsed="false">
      <c r="A7" s="11" t="s">
        <v>140</v>
      </c>
      <c r="B7" s="20" t="s">
        <v>137</v>
      </c>
      <c r="C7" s="20" t="s">
        <v>137</v>
      </c>
      <c r="D7" s="20" t="s">
        <v>138</v>
      </c>
      <c r="E7" s="20" t="s">
        <v>137</v>
      </c>
    </row>
    <row r="8" customFormat="false" ht="15" hidden="false" customHeight="false" outlineLevel="0" collapsed="false">
      <c r="A8" s="11" t="s">
        <v>141</v>
      </c>
      <c r="B8" s="20" t="s">
        <v>137</v>
      </c>
      <c r="C8" s="20" t="s">
        <v>137</v>
      </c>
      <c r="D8" s="20" t="s">
        <v>137</v>
      </c>
      <c r="E8" s="20" t="s">
        <v>138</v>
      </c>
    </row>
    <row r="9" customFormat="false" ht="15" hidden="false" customHeight="false" outlineLevel="0" collapsed="false">
      <c r="A9" s="11" t="s">
        <v>142</v>
      </c>
      <c r="B9" s="20" t="s">
        <v>137</v>
      </c>
      <c r="C9" s="20" t="s">
        <v>137</v>
      </c>
      <c r="D9" s="20" t="s">
        <v>138</v>
      </c>
      <c r="E9" s="20" t="s">
        <v>138</v>
      </c>
    </row>
    <row r="10" customFormat="false" ht="15" hidden="false" customHeight="false" outlineLevel="0" collapsed="false">
      <c r="A10" s="11" t="s">
        <v>143</v>
      </c>
      <c r="B10" s="20" t="s">
        <v>137</v>
      </c>
      <c r="C10" s="20" t="s">
        <v>137</v>
      </c>
      <c r="D10" s="20" t="s">
        <v>137</v>
      </c>
      <c r="E10" s="20" t="s">
        <v>138</v>
      </c>
    </row>
    <row r="11" customFormat="false" ht="15" hidden="false" customHeight="false" outlineLevel="0" collapsed="false">
      <c r="A11" s="11" t="s">
        <v>144</v>
      </c>
      <c r="B11" s="20" t="s">
        <v>137</v>
      </c>
      <c r="C11" s="20" t="s">
        <v>137</v>
      </c>
      <c r="D11" s="20" t="s">
        <v>138</v>
      </c>
      <c r="E11" s="20" t="s">
        <v>137</v>
      </c>
    </row>
    <row r="12" customFormat="false" ht="15" hidden="false" customHeight="false" outlineLevel="0" collapsed="false">
      <c r="A12" s="11" t="s">
        <v>145</v>
      </c>
      <c r="B12" s="20" t="s">
        <v>137</v>
      </c>
      <c r="C12" s="20" t="s">
        <v>137</v>
      </c>
      <c r="D12" s="20" t="s">
        <v>137</v>
      </c>
      <c r="E12" s="20" t="s">
        <v>138</v>
      </c>
    </row>
    <row r="14" customFormat="false" ht="15" hidden="false" customHeight="false" outlineLevel="0" collapsed="false">
      <c r="A14" s="4" t="s">
        <v>146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13"/>
    <col collapsed="false" customWidth="true" hidden="false" outlineLevel="0" max="8" min="4" style="0" width="12"/>
    <col collapsed="false" customWidth="true" hidden="false" outlineLevel="0" max="9" min="9" style="0" width="20"/>
    <col collapsed="false" customWidth="true" hidden="false" outlineLevel="0" max="13" min="10" style="0" width="12"/>
  </cols>
  <sheetData>
    <row r="1" customFormat="false" ht="17.35" hidden="false" customHeight="false" outlineLevel="0" collapsed="false">
      <c r="A1" s="1" t="s">
        <v>147</v>
      </c>
    </row>
    <row r="2" customFormat="false" ht="15" hidden="false" customHeight="false" outlineLevel="0" collapsed="false">
      <c r="A2" s="4" t="s">
        <v>148</v>
      </c>
    </row>
    <row r="4" customFormat="false" ht="30" hidden="false" customHeight="true" outlineLevel="0" collapsed="false">
      <c r="A4" s="6" t="s">
        <v>149</v>
      </c>
      <c r="B4" s="6" t="s">
        <v>22</v>
      </c>
      <c r="C4" s="6" t="s">
        <v>150</v>
      </c>
      <c r="D4" s="6" t="s">
        <v>151</v>
      </c>
      <c r="E4" s="6" t="s">
        <v>152</v>
      </c>
      <c r="F4" s="6" t="s">
        <v>153</v>
      </c>
      <c r="G4" s="6" t="s">
        <v>154</v>
      </c>
      <c r="H4" s="6" t="s">
        <v>155</v>
      </c>
      <c r="I4" s="6" t="s">
        <v>156</v>
      </c>
      <c r="J4" s="6" t="s">
        <v>157</v>
      </c>
      <c r="K4" s="6" t="s">
        <v>158</v>
      </c>
      <c r="L4" s="6" t="s">
        <v>159</v>
      </c>
      <c r="M4" s="6" t="s">
        <v>160</v>
      </c>
    </row>
    <row r="5" customFormat="false" ht="15" hidden="false" customHeight="false" outlineLevel="0" collapsed="false">
      <c r="A5" s="11" t="s">
        <v>161</v>
      </c>
      <c r="B5" s="11" t="s">
        <v>136</v>
      </c>
      <c r="C5" s="21" t="n">
        <v>10283.8</v>
      </c>
      <c r="D5" s="21" t="n">
        <v>903.8</v>
      </c>
      <c r="E5" s="21" t="n">
        <v>1983.6</v>
      </c>
      <c r="F5" s="21" t="n">
        <v>582.2</v>
      </c>
      <c r="G5" s="21" t="n">
        <v>6814.2</v>
      </c>
      <c r="H5" s="22" t="n">
        <v>3.1</v>
      </c>
      <c r="I5" s="23" t="s">
        <v>162</v>
      </c>
      <c r="J5" s="21" t="n">
        <v>1458.6</v>
      </c>
      <c r="K5" s="21" t="n">
        <v>1280.6</v>
      </c>
      <c r="L5" s="21" t="n">
        <v>149.6</v>
      </c>
      <c r="M5" s="21" t="n">
        <v>28.4</v>
      </c>
    </row>
    <row r="6" customFormat="false" ht="15" hidden="false" customHeight="false" outlineLevel="0" collapsed="false">
      <c r="A6" s="11" t="s">
        <v>163</v>
      </c>
      <c r="B6" s="11" t="s">
        <v>136</v>
      </c>
      <c r="C6" s="21" t="n">
        <v>9683.2</v>
      </c>
      <c r="D6" s="21" t="n">
        <v>832.5</v>
      </c>
      <c r="E6" s="21" t="n">
        <v>2627.7</v>
      </c>
      <c r="F6" s="21" t="n">
        <v>0</v>
      </c>
      <c r="G6" s="21" t="n">
        <v>6223</v>
      </c>
      <c r="H6" s="22" t="n">
        <v>4.4</v>
      </c>
      <c r="I6" s="23" t="s">
        <v>164</v>
      </c>
      <c r="J6" s="21" t="n">
        <v>1391.3</v>
      </c>
      <c r="K6" s="21" t="n">
        <v>1111.7</v>
      </c>
      <c r="L6" s="21" t="n">
        <v>240.5</v>
      </c>
      <c r="M6" s="21" t="n">
        <v>39.2</v>
      </c>
    </row>
    <row r="7" customFormat="false" ht="15" hidden="false" customHeight="false" outlineLevel="0" collapsed="false">
      <c r="A7" s="11" t="s">
        <v>161</v>
      </c>
      <c r="B7" s="11" t="s">
        <v>139</v>
      </c>
      <c r="C7" s="21" t="n">
        <v>23438.7</v>
      </c>
      <c r="D7" s="21" t="n">
        <v>14383.9</v>
      </c>
      <c r="E7" s="21" t="n">
        <v>1660.6</v>
      </c>
      <c r="F7" s="21" t="n">
        <v>581.8</v>
      </c>
      <c r="G7" s="21" t="n">
        <v>6812.4</v>
      </c>
      <c r="H7" s="22" t="n">
        <v>15.9</v>
      </c>
      <c r="I7" s="23" t="s">
        <v>165</v>
      </c>
      <c r="J7" s="21" t="n">
        <v>178</v>
      </c>
      <c r="K7" s="21" t="n">
        <v>0</v>
      </c>
      <c r="L7" s="21" t="n">
        <v>149.6</v>
      </c>
      <c r="M7" s="21" t="n">
        <v>28.4</v>
      </c>
    </row>
    <row r="8" customFormat="false" ht="15" hidden="false" customHeight="false" outlineLevel="0" collapsed="false">
      <c r="A8" s="11" t="s">
        <v>163</v>
      </c>
      <c r="B8" s="11" t="s">
        <v>139</v>
      </c>
      <c r="C8" s="21" t="n">
        <v>19347.4</v>
      </c>
      <c r="D8" s="21" t="n">
        <v>10910.3</v>
      </c>
      <c r="E8" s="21" t="n">
        <v>2214.8</v>
      </c>
      <c r="F8" s="21" t="n">
        <v>0</v>
      </c>
      <c r="G8" s="21" t="n">
        <v>6222.3</v>
      </c>
      <c r="H8" s="22" t="n">
        <v>11</v>
      </c>
      <c r="I8" s="23" t="s">
        <v>166</v>
      </c>
      <c r="J8" s="21" t="n">
        <v>279.7</v>
      </c>
      <c r="K8" s="21" t="n">
        <v>0</v>
      </c>
      <c r="L8" s="21" t="n">
        <v>240.6</v>
      </c>
      <c r="M8" s="21" t="n">
        <v>39.2</v>
      </c>
    </row>
    <row r="9" customFormat="false" ht="15" hidden="false" customHeight="false" outlineLevel="0" collapsed="false">
      <c r="A9" s="11" t="s">
        <v>161</v>
      </c>
      <c r="B9" s="11" t="s">
        <v>140</v>
      </c>
      <c r="C9" s="21" t="n">
        <v>12037.9</v>
      </c>
      <c r="D9" s="21" t="n">
        <v>2564.9</v>
      </c>
      <c r="E9" s="21" t="n">
        <v>2078.5</v>
      </c>
      <c r="F9" s="21" t="n">
        <v>581.5</v>
      </c>
      <c r="G9" s="21" t="n">
        <v>6813.1</v>
      </c>
      <c r="H9" s="22" t="n">
        <v>3.4</v>
      </c>
      <c r="I9" s="23" t="s">
        <v>167</v>
      </c>
      <c r="J9" s="21" t="n">
        <v>1245.8</v>
      </c>
      <c r="K9" s="21" t="n">
        <v>1068</v>
      </c>
      <c r="L9" s="21" t="n">
        <v>149.5</v>
      </c>
      <c r="M9" s="21" t="n">
        <v>28.4</v>
      </c>
    </row>
    <row r="10" customFormat="false" ht="15" hidden="false" customHeight="false" outlineLevel="0" collapsed="false">
      <c r="A10" s="11" t="s">
        <v>163</v>
      </c>
      <c r="B10" s="11" t="s">
        <v>140</v>
      </c>
      <c r="C10" s="21" t="n">
        <v>10857.6</v>
      </c>
      <c r="D10" s="21" t="n">
        <v>1902</v>
      </c>
      <c r="E10" s="21" t="n">
        <v>2733</v>
      </c>
      <c r="F10" s="21" t="n">
        <v>0</v>
      </c>
      <c r="G10" s="21" t="n">
        <v>6222.6</v>
      </c>
      <c r="H10" s="22" t="n">
        <v>4.7</v>
      </c>
      <c r="I10" s="23" t="s">
        <v>164</v>
      </c>
      <c r="J10" s="21" t="n">
        <v>1095.8</v>
      </c>
      <c r="K10" s="21" t="n">
        <v>816.1</v>
      </c>
      <c r="L10" s="21" t="n">
        <v>240.5</v>
      </c>
      <c r="M10" s="21" t="n">
        <v>39.2</v>
      </c>
    </row>
    <row r="11" customFormat="false" ht="15" hidden="false" customHeight="false" outlineLevel="0" collapsed="false">
      <c r="A11" s="11" t="s">
        <v>161</v>
      </c>
      <c r="B11" s="11" t="s">
        <v>141</v>
      </c>
      <c r="C11" s="21" t="n">
        <v>41838.2</v>
      </c>
      <c r="D11" s="21" t="n">
        <v>32458.2</v>
      </c>
      <c r="E11" s="21" t="n">
        <v>1983.6</v>
      </c>
      <c r="F11" s="21" t="n">
        <v>582.2</v>
      </c>
      <c r="G11" s="21" t="n">
        <v>6814.2</v>
      </c>
      <c r="H11" s="22" t="n">
        <v>20.3</v>
      </c>
      <c r="I11" s="23" t="s">
        <v>168</v>
      </c>
      <c r="J11" s="21" t="n">
        <v>178</v>
      </c>
      <c r="K11" s="21" t="n">
        <v>0</v>
      </c>
      <c r="L11" s="21" t="n">
        <v>149.6</v>
      </c>
      <c r="M11" s="21" t="n">
        <v>28.4</v>
      </c>
    </row>
    <row r="12" customFormat="false" ht="15" hidden="false" customHeight="false" outlineLevel="0" collapsed="false">
      <c r="A12" s="11" t="s">
        <v>163</v>
      </c>
      <c r="B12" s="11" t="s">
        <v>141</v>
      </c>
      <c r="C12" s="21" t="n">
        <v>35744.8</v>
      </c>
      <c r="D12" s="21" t="n">
        <v>26894.1</v>
      </c>
      <c r="E12" s="21" t="n">
        <v>2627.7</v>
      </c>
      <c r="F12" s="21" t="n">
        <v>0</v>
      </c>
      <c r="G12" s="21" t="n">
        <v>6223</v>
      </c>
      <c r="H12" s="22" t="n">
        <v>17.5</v>
      </c>
      <c r="I12" s="23" t="s">
        <v>166</v>
      </c>
      <c r="J12" s="21" t="n">
        <v>279.6</v>
      </c>
      <c r="K12" s="21" t="n">
        <v>0</v>
      </c>
      <c r="L12" s="21" t="n">
        <v>240.5</v>
      </c>
      <c r="M12" s="21" t="n">
        <v>39.2</v>
      </c>
    </row>
    <row r="13" customFormat="false" ht="15" hidden="false" customHeight="false" outlineLevel="0" collapsed="false">
      <c r="A13" s="11" t="s">
        <v>161</v>
      </c>
      <c r="B13" s="11" t="s">
        <v>142</v>
      </c>
      <c r="C13" s="21" t="n">
        <v>10591.4</v>
      </c>
      <c r="D13" s="21" t="n">
        <v>903.8</v>
      </c>
      <c r="E13" s="21" t="n">
        <v>1983.6</v>
      </c>
      <c r="F13" s="21" t="n">
        <v>889.8</v>
      </c>
      <c r="G13" s="21" t="n">
        <v>6814.2</v>
      </c>
      <c r="H13" s="22" t="n">
        <v>3.1</v>
      </c>
      <c r="I13" s="23" t="s">
        <v>162</v>
      </c>
      <c r="J13" s="21" t="n">
        <v>1309</v>
      </c>
      <c r="K13" s="21" t="n">
        <v>1280.6</v>
      </c>
      <c r="L13" s="21" t="n">
        <v>0</v>
      </c>
      <c r="M13" s="21" t="n">
        <v>28.4</v>
      </c>
    </row>
    <row r="14" customFormat="false" ht="15" hidden="false" customHeight="false" outlineLevel="0" collapsed="false">
      <c r="A14" s="11" t="s">
        <v>163</v>
      </c>
      <c r="B14" s="11" t="s">
        <v>142</v>
      </c>
      <c r="C14" s="21" t="n">
        <v>10762.9</v>
      </c>
      <c r="D14" s="21" t="n">
        <v>832.5</v>
      </c>
      <c r="E14" s="21" t="n">
        <v>2627.7</v>
      </c>
      <c r="F14" s="21" t="n">
        <v>1079.7</v>
      </c>
      <c r="G14" s="21" t="n">
        <v>6223</v>
      </c>
      <c r="H14" s="22" t="n">
        <v>4.6</v>
      </c>
      <c r="I14" s="23" t="s">
        <v>169</v>
      </c>
      <c r="J14" s="21" t="n">
        <v>1150.8</v>
      </c>
      <c r="K14" s="21" t="n">
        <v>1111.7</v>
      </c>
      <c r="L14" s="21" t="n">
        <v>0</v>
      </c>
      <c r="M14" s="21" t="n">
        <v>39.2</v>
      </c>
    </row>
    <row r="15" customFormat="false" ht="15" hidden="false" customHeight="false" outlineLevel="0" collapsed="false">
      <c r="A15" s="11" t="s">
        <v>161</v>
      </c>
      <c r="B15" s="11" t="s">
        <v>143</v>
      </c>
      <c r="C15" s="21" t="n">
        <v>23746.7</v>
      </c>
      <c r="D15" s="21" t="n">
        <v>14383.9</v>
      </c>
      <c r="E15" s="21" t="n">
        <v>1660.6</v>
      </c>
      <c r="F15" s="21" t="n">
        <v>889.8</v>
      </c>
      <c r="G15" s="21" t="n">
        <v>6812.4</v>
      </c>
      <c r="H15" s="22" t="n">
        <v>16</v>
      </c>
      <c r="I15" s="23" t="s">
        <v>165</v>
      </c>
      <c r="J15" s="21" t="n">
        <v>28.4</v>
      </c>
      <c r="K15" s="21" t="n">
        <v>0</v>
      </c>
      <c r="L15" s="21" t="n">
        <v>0</v>
      </c>
      <c r="M15" s="21" t="n">
        <v>28.4</v>
      </c>
    </row>
    <row r="16" customFormat="false" ht="15" hidden="false" customHeight="false" outlineLevel="0" collapsed="false">
      <c r="A16" s="11" t="s">
        <v>163</v>
      </c>
      <c r="B16" s="11" t="s">
        <v>143</v>
      </c>
      <c r="C16" s="21" t="n">
        <v>20427.1</v>
      </c>
      <c r="D16" s="21" t="n">
        <v>10910.3</v>
      </c>
      <c r="E16" s="21" t="n">
        <v>2214.8</v>
      </c>
      <c r="F16" s="21" t="n">
        <v>1079.7</v>
      </c>
      <c r="G16" s="21" t="n">
        <v>6222.3</v>
      </c>
      <c r="H16" s="22" t="n">
        <v>11.4</v>
      </c>
      <c r="I16" s="23" t="s">
        <v>166</v>
      </c>
      <c r="J16" s="21" t="n">
        <v>39.2</v>
      </c>
      <c r="K16" s="21" t="n">
        <v>0</v>
      </c>
      <c r="L16" s="21" t="n">
        <v>0</v>
      </c>
      <c r="M16" s="21" t="n">
        <v>39.2</v>
      </c>
    </row>
    <row r="17" customFormat="false" ht="15" hidden="false" customHeight="false" outlineLevel="0" collapsed="false">
      <c r="A17" s="11" t="s">
        <v>161</v>
      </c>
      <c r="B17" s="11" t="s">
        <v>144</v>
      </c>
      <c r="C17" s="21" t="n">
        <v>12346.2</v>
      </c>
      <c r="D17" s="21" t="n">
        <v>2564.9</v>
      </c>
      <c r="E17" s="21" t="n">
        <v>2078.5</v>
      </c>
      <c r="F17" s="21" t="n">
        <v>889.8</v>
      </c>
      <c r="G17" s="21" t="n">
        <v>6813.1</v>
      </c>
      <c r="H17" s="22" t="n">
        <v>3.5</v>
      </c>
      <c r="I17" s="23" t="s">
        <v>170</v>
      </c>
      <c r="J17" s="21" t="n">
        <v>1096.4</v>
      </c>
      <c r="K17" s="21" t="n">
        <v>1068</v>
      </c>
      <c r="L17" s="21" t="n">
        <v>0</v>
      </c>
      <c r="M17" s="21" t="n">
        <v>28.4</v>
      </c>
    </row>
    <row r="18" customFormat="false" ht="15" hidden="false" customHeight="false" outlineLevel="0" collapsed="false">
      <c r="A18" s="11" t="s">
        <v>163</v>
      </c>
      <c r="B18" s="11" t="s">
        <v>144</v>
      </c>
      <c r="C18" s="21" t="n">
        <v>11937.4</v>
      </c>
      <c r="D18" s="21" t="n">
        <v>1902</v>
      </c>
      <c r="E18" s="21" t="n">
        <v>2733</v>
      </c>
      <c r="F18" s="21" t="n">
        <v>1079.7</v>
      </c>
      <c r="G18" s="21" t="n">
        <v>6222.6</v>
      </c>
      <c r="H18" s="22" t="n">
        <v>4.9</v>
      </c>
      <c r="I18" s="23" t="s">
        <v>169</v>
      </c>
      <c r="J18" s="21" t="n">
        <v>855.2</v>
      </c>
      <c r="K18" s="21" t="n">
        <v>816.1</v>
      </c>
      <c r="L18" s="21" t="n">
        <v>0</v>
      </c>
      <c r="M18" s="21" t="n">
        <v>39.2</v>
      </c>
    </row>
    <row r="19" customFormat="false" ht="15" hidden="false" customHeight="false" outlineLevel="0" collapsed="false">
      <c r="A19" s="11" t="s">
        <v>161</v>
      </c>
      <c r="B19" s="11" t="s">
        <v>145</v>
      </c>
      <c r="C19" s="21" t="n">
        <v>42145.9</v>
      </c>
      <c r="D19" s="21" t="n">
        <v>32458.2</v>
      </c>
      <c r="E19" s="21" t="n">
        <v>1983.6</v>
      </c>
      <c r="F19" s="21" t="n">
        <v>889.8</v>
      </c>
      <c r="G19" s="21" t="n">
        <v>6814.2</v>
      </c>
      <c r="H19" s="22" t="n">
        <v>20.4</v>
      </c>
      <c r="I19" s="23" t="s">
        <v>168</v>
      </c>
      <c r="J19" s="21" t="n">
        <v>28.4</v>
      </c>
      <c r="K19" s="21" t="n">
        <v>0</v>
      </c>
      <c r="L19" s="21" t="n">
        <v>0</v>
      </c>
      <c r="M19" s="21" t="n">
        <v>28.4</v>
      </c>
    </row>
    <row r="20" customFormat="false" ht="15" hidden="false" customHeight="false" outlineLevel="0" collapsed="false">
      <c r="A20" s="11" t="s">
        <v>163</v>
      </c>
      <c r="B20" s="11" t="s">
        <v>145</v>
      </c>
      <c r="C20" s="21" t="n">
        <v>36824.5</v>
      </c>
      <c r="D20" s="21" t="n">
        <v>26894.1</v>
      </c>
      <c r="E20" s="21" t="n">
        <v>2627.7</v>
      </c>
      <c r="F20" s="21" t="n">
        <v>1079.7</v>
      </c>
      <c r="G20" s="21" t="n">
        <v>6223</v>
      </c>
      <c r="H20" s="22" t="n">
        <v>17.9</v>
      </c>
      <c r="I20" s="23" t="s">
        <v>166</v>
      </c>
      <c r="J20" s="21" t="n">
        <v>39.2</v>
      </c>
      <c r="K20" s="21" t="n">
        <v>0</v>
      </c>
      <c r="L20" s="21" t="n">
        <v>0</v>
      </c>
      <c r="M20" s="21" t="n">
        <v>39.2</v>
      </c>
    </row>
    <row r="23" customFormat="false" ht="15" hidden="false" customHeight="false" outlineLevel="0" collapsed="false">
      <c r="A23" s="5" t="s">
        <v>171</v>
      </c>
    </row>
    <row r="24" customFormat="false" ht="30" hidden="false" customHeight="true" outlineLevel="0" collapsed="false">
      <c r="A24" s="24" t="s">
        <v>172</v>
      </c>
      <c r="B24" s="24" t="s">
        <v>173</v>
      </c>
      <c r="C24" s="24" t="s">
        <v>174</v>
      </c>
      <c r="D24" s="24" t="s">
        <v>175</v>
      </c>
      <c r="E24" s="24" t="s">
        <v>176</v>
      </c>
    </row>
    <row r="25" customFormat="false" ht="15" hidden="false" customHeight="false" outlineLevel="0" collapsed="false">
      <c r="A25" s="11" t="s">
        <v>177</v>
      </c>
      <c r="B25" s="21" t="n">
        <v>10134.9</v>
      </c>
      <c r="C25" s="21" t="n">
        <v>9606.3</v>
      </c>
      <c r="D25" s="21" t="n">
        <v>10283.8</v>
      </c>
      <c r="E25" s="21" t="n">
        <v>9683.1</v>
      </c>
    </row>
    <row r="26" customFormat="false" ht="15" hidden="false" customHeight="false" outlineLevel="0" collapsed="false">
      <c r="A26" s="11" t="s">
        <v>178</v>
      </c>
      <c r="B26" s="21" t="n">
        <v>2293.4</v>
      </c>
      <c r="C26" s="21" t="n">
        <v>2179</v>
      </c>
      <c r="D26" s="21" t="n">
        <v>2357</v>
      </c>
      <c r="E26" s="21" t="n">
        <v>2179</v>
      </c>
    </row>
    <row r="27" customFormat="false" ht="15" hidden="false" customHeight="false" outlineLevel="0" collapsed="false">
      <c r="A27" s="11" t="s">
        <v>179</v>
      </c>
      <c r="B27" s="21" t="n">
        <v>1503.4</v>
      </c>
      <c r="C27" s="21" t="n">
        <v>1392.3</v>
      </c>
      <c r="D27" s="21" t="n">
        <v>1458.6</v>
      </c>
      <c r="E27" s="21" t="n">
        <v>1391.3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9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8"/>
    <col collapsed="false" customWidth="true" hidden="false" outlineLevel="0" max="4" min="4" style="0" width="10"/>
    <col collapsed="false" customWidth="true" hidden="false" outlineLevel="0" max="7" min="5" style="0" width="13"/>
    <col collapsed="false" customWidth="true" hidden="false" outlineLevel="0" max="12" min="8" style="0" width="12"/>
    <col collapsed="false" customWidth="true" hidden="false" outlineLevel="0" max="16" min="13" style="0" width="13"/>
    <col collapsed="false" customWidth="true" hidden="false" outlineLevel="0" max="17" min="17" style="0" width="12"/>
  </cols>
  <sheetData>
    <row r="1" customFormat="false" ht="17.35" hidden="false" customHeight="false" outlineLevel="0" collapsed="false">
      <c r="A1" s="1" t="s">
        <v>180</v>
      </c>
    </row>
    <row r="2" customFormat="false" ht="15" hidden="false" customHeight="false" outlineLevel="0" collapsed="false">
      <c r="A2" s="4" t="s">
        <v>181</v>
      </c>
    </row>
    <row r="4" customFormat="false" ht="30" hidden="false" customHeight="true" outlineLevel="0" collapsed="false">
      <c r="A4" s="6" t="s">
        <v>149</v>
      </c>
      <c r="B4" s="6" t="s">
        <v>22</v>
      </c>
      <c r="C4" s="6" t="s">
        <v>182</v>
      </c>
      <c r="D4" s="6" t="s">
        <v>183</v>
      </c>
      <c r="E4" s="6" t="s">
        <v>150</v>
      </c>
      <c r="F4" s="6" t="s">
        <v>184</v>
      </c>
      <c r="G4" s="6" t="s">
        <v>185</v>
      </c>
      <c r="H4" s="6" t="s">
        <v>186</v>
      </c>
      <c r="I4" s="6" t="s">
        <v>187</v>
      </c>
      <c r="J4" s="6" t="s">
        <v>188</v>
      </c>
      <c r="K4" s="6" t="s">
        <v>189</v>
      </c>
      <c r="L4" s="6" t="s">
        <v>157</v>
      </c>
      <c r="M4" s="6" t="s">
        <v>190</v>
      </c>
      <c r="N4" s="6" t="s">
        <v>191</v>
      </c>
      <c r="O4" s="6" t="s">
        <v>192</v>
      </c>
      <c r="P4" s="6" t="s">
        <v>193</v>
      </c>
      <c r="Q4" s="6" t="s">
        <v>194</v>
      </c>
    </row>
    <row r="5" customFormat="false" ht="15" hidden="false" customHeight="false" outlineLevel="0" collapsed="false">
      <c r="A5" s="11" t="s">
        <v>161</v>
      </c>
      <c r="B5" s="11" t="s">
        <v>136</v>
      </c>
      <c r="C5" s="11" t="n">
        <v>1</v>
      </c>
      <c r="D5" s="11" t="n">
        <f aca="false">IF(AND(C5&gt;=6,C5&lt;=9),1,0)</f>
        <v>0</v>
      </c>
      <c r="E5" s="22" t="n">
        <v>903.405</v>
      </c>
      <c r="F5" s="22" t="n">
        <v>209.848</v>
      </c>
      <c r="G5" s="25" t="n">
        <f aca="false">E5-F5</f>
        <v>693.557</v>
      </c>
      <c r="H5" s="22" t="n">
        <v>111.648</v>
      </c>
      <c r="I5" s="22" t="n">
        <v>157.031</v>
      </c>
      <c r="J5" s="22" t="n">
        <v>408.443</v>
      </c>
      <c r="K5" s="22" t="n">
        <v>226.283</v>
      </c>
      <c r="L5" s="22" t="n">
        <v>314.659</v>
      </c>
      <c r="M5" s="26" t="n">
        <f aca="false">Rates!$F$5+IF(D5=1,E5*Rates!$F$6,MIN(E5,Rates!$F$11)*Rates!$F$7+MAX(E5-Rates!$F$11,0)*Rates!$F$8)+E5*(Rates!$F$9+Rates!$F$10)</f>
        <v>131.4412592</v>
      </c>
      <c r="N5" s="26" t="n">
        <f aca="false">Rates!$F$12+H5*IF(D5=1,Rates!$F$13,Rates!$F$14)+I5*Rates!$F$15+J5*IF(D5=1,Rates!$F$16,Rates!$F$18)+K5*IF(D5=1,Rates!$F$17,Rates!$F$19)+E5*(Rates!$F$20+Rates!$F$21)</f>
        <v>122.7427354</v>
      </c>
      <c r="O5" s="26" t="n">
        <f aca="false">Rates!$F$22+IF(D5=1,E5*Rates!$F$23,E5*Rates!$F$24)+E5*(Rates!$F$25+Rates!$F$26)</f>
        <v>76.3696904</v>
      </c>
      <c r="P5" s="26" t="n">
        <f aca="false">Rates!$F$27+IF(D5=1,G5*Rates!$F$28,MIN(G5,Rates!$F$35)*Rates!$F$29+MAX(G5-Rates!$F$35,0)*Rates!$F$30)+IF(F5&gt;0,Rates!$F$31,0)+F5*Rates!$F$32+E5*(Rates!$F$33+Rates!$F$34)</f>
        <v>120.463796</v>
      </c>
      <c r="Q5" s="26" t="n">
        <f aca="false">IF(L5&gt;0,Rates!$F$36,0)+L5*(Rates!$F$37+Rates!$F$38+Rates!$F$39)</f>
        <v>303.80370929</v>
      </c>
    </row>
    <row r="6" customFormat="false" ht="15" hidden="false" customHeight="false" outlineLevel="0" collapsed="false">
      <c r="A6" s="11" t="s">
        <v>161</v>
      </c>
      <c r="B6" s="11" t="s">
        <v>136</v>
      </c>
      <c r="C6" s="11" t="n">
        <v>2</v>
      </c>
      <c r="D6" s="11" t="n">
        <f aca="false">IF(AND(C6&gt;=6,C6&lt;=9),1,0)</f>
        <v>0</v>
      </c>
      <c r="E6" s="22" t="n">
        <v>808.162</v>
      </c>
      <c r="F6" s="22" t="n">
        <v>179.652</v>
      </c>
      <c r="G6" s="25" t="n">
        <f aca="false">E6-F6</f>
        <v>628.51</v>
      </c>
      <c r="H6" s="22" t="n">
        <v>99.836</v>
      </c>
      <c r="I6" s="22" t="n">
        <v>140.711</v>
      </c>
      <c r="J6" s="22" t="n">
        <v>367.465</v>
      </c>
      <c r="K6" s="22" t="n">
        <v>200.15</v>
      </c>
      <c r="L6" s="22" t="n">
        <v>270.387</v>
      </c>
      <c r="M6" s="26" t="n">
        <f aca="false">Rates!$F$5+IF(D6=1,E6*Rates!$F$6,MIN(E6,Rates!$F$11)*Rates!$F$7+MAX(E6-Rates!$F$11,0)*Rates!$F$8)+E6*(Rates!$F$9+Rates!$F$10)</f>
        <v>118.42725568</v>
      </c>
      <c r="N6" s="26" t="n">
        <f aca="false">Rates!$F$12+H6*IF(D6=1,Rates!$F$13,Rates!$F$14)+I6*Rates!$F$15+J6*IF(D6=1,Rates!$F$16,Rates!$F$18)+K6*IF(D6=1,Rates!$F$17,Rates!$F$19)+E6*(Rates!$F$20+Rates!$F$21)</f>
        <v>110.63507516</v>
      </c>
      <c r="O6" s="26" t="n">
        <f aca="false">Rates!$F$22+IF(D6=1,E6*Rates!$F$23,E6*Rates!$F$24)+E6*(Rates!$F$25+Rates!$F$26)</f>
        <v>69.16170016</v>
      </c>
      <c r="P6" s="26" t="n">
        <f aca="false">Rates!$F$27+IF(D6=1,G6*Rates!$F$28,MIN(G6,Rates!$F$35)*Rates!$F$29+MAX(G6-Rates!$F$35,0)*Rates!$F$30)+IF(F6&gt;0,Rates!$F$31,0)+F6*Rates!$F$32+E6*(Rates!$F$33+Rates!$F$34)</f>
        <v>109.74166888</v>
      </c>
      <c r="Q6" s="26" t="n">
        <f aca="false">IF(L6&gt;0,Rates!$F$36,0)+L6*(Rates!$F$37+Rates!$F$38+Rates!$F$39)</f>
        <v>262.39566497</v>
      </c>
    </row>
    <row r="7" customFormat="false" ht="15" hidden="false" customHeight="false" outlineLevel="0" collapsed="false">
      <c r="A7" s="11" t="s">
        <v>161</v>
      </c>
      <c r="B7" s="11" t="s">
        <v>136</v>
      </c>
      <c r="C7" s="11" t="n">
        <v>3</v>
      </c>
      <c r="D7" s="11" t="n">
        <f aca="false">IF(AND(C7&gt;=6,C7&lt;=9),1,0)</f>
        <v>0</v>
      </c>
      <c r="E7" s="22" t="n">
        <v>779.344</v>
      </c>
      <c r="F7" s="22" t="n">
        <v>104.702</v>
      </c>
      <c r="G7" s="25" t="n">
        <f aca="false">E7-F7</f>
        <v>674.642</v>
      </c>
      <c r="H7" s="22" t="n">
        <v>92.949</v>
      </c>
      <c r="I7" s="22" t="n">
        <v>133.863</v>
      </c>
      <c r="J7" s="22" t="n">
        <v>359.217</v>
      </c>
      <c r="K7" s="22" t="n">
        <v>193.315</v>
      </c>
      <c r="L7" s="22" t="n">
        <v>165.623</v>
      </c>
      <c r="M7" s="26" t="n">
        <f aca="false">Rates!$F$5+IF(D7=1,E7*Rates!$F$6,MIN(E7,Rates!$F$11)*Rates!$F$7+MAX(E7-Rates!$F$11,0)*Rates!$F$8)+E7*(Rates!$F$9+Rates!$F$10)</f>
        <v>114.48956416</v>
      </c>
      <c r="N7" s="26" t="n">
        <f aca="false">Rates!$F$12+H7*IF(D7=1,Rates!$F$13,Rates!$F$14)+I7*Rates!$F$15+J7*IF(D7=1,Rates!$F$16,Rates!$F$18)+K7*IF(D7=1,Rates!$F$17,Rates!$F$19)+E7*(Rates!$F$20+Rates!$F$21)</f>
        <v>106.83968892</v>
      </c>
      <c r="O7" s="26" t="n">
        <f aca="false">Rates!$F$22+IF(D7=1,E7*Rates!$F$23,E7*Rates!$F$24)+E7*(Rates!$F$25+Rates!$F$26)</f>
        <v>66.98075392</v>
      </c>
      <c r="P7" s="26" t="n">
        <f aca="false">Rates!$F$27+IF(D7=1,G7*Rates!$F$28,MIN(G7,Rates!$F$35)*Rates!$F$29+MAX(G7-Rates!$F$35,0)*Rates!$F$30)+IF(F7&gt;0,Rates!$F$31,0)+F7*Rates!$F$32+E7*(Rates!$F$33+Rates!$F$34)</f>
        <v>111.49268236</v>
      </c>
      <c r="Q7" s="26" t="n">
        <f aca="false">IF(L7&gt;0,Rates!$F$36,0)+L7*(Rates!$F$37+Rates!$F$38+Rates!$F$39)</f>
        <v>164.40884813</v>
      </c>
    </row>
    <row r="8" customFormat="false" ht="15" hidden="false" customHeight="false" outlineLevel="0" collapsed="false">
      <c r="A8" s="11" t="s">
        <v>161</v>
      </c>
      <c r="B8" s="11" t="s">
        <v>136</v>
      </c>
      <c r="C8" s="11" t="n">
        <v>4</v>
      </c>
      <c r="D8" s="11" t="n">
        <f aca="false">IF(AND(C8&gt;=6,C8&lt;=9),1,0)</f>
        <v>0</v>
      </c>
      <c r="E8" s="22" t="n">
        <v>720.501</v>
      </c>
      <c r="F8" s="22" t="n">
        <v>79.51</v>
      </c>
      <c r="G8" s="25" t="n">
        <f aca="false">E8-F8</f>
        <v>640.991</v>
      </c>
      <c r="H8" s="22" t="n">
        <v>82.054</v>
      </c>
      <c r="I8" s="22" t="n">
        <v>125.285</v>
      </c>
      <c r="J8" s="22" t="n">
        <v>324.531</v>
      </c>
      <c r="K8" s="22" t="n">
        <v>188.631</v>
      </c>
      <c r="L8" s="22" t="n">
        <v>128.484</v>
      </c>
      <c r="M8" s="26" t="n">
        <f aca="false">Rates!$F$5+IF(D8=1,E8*Rates!$F$6,MIN(E8,Rates!$F$11)*Rates!$F$7+MAX(E8-Rates!$F$11,0)*Rates!$F$8)+E8*(Rates!$F$9+Rates!$F$10)</f>
        <v>106.44925664</v>
      </c>
      <c r="N8" s="26" t="n">
        <f aca="false">Rates!$F$12+H8*IF(D8=1,Rates!$F$13,Rates!$F$14)+I8*Rates!$F$15+J8*IF(D8=1,Rates!$F$16,Rates!$F$18)+K8*IF(D8=1,Rates!$F$17,Rates!$F$19)+E8*(Rates!$F$20+Rates!$F$21)</f>
        <v>99.09083068</v>
      </c>
      <c r="O8" s="26" t="n">
        <f aca="false">Rates!$F$22+IF(D8=1,E8*Rates!$F$23,E8*Rates!$F$24)+E8*(Rates!$F$25+Rates!$F$26)</f>
        <v>62.52751568</v>
      </c>
      <c r="P8" s="26" t="n">
        <f aca="false">Rates!$F$27+IF(D8=1,G8*Rates!$F$28,MIN(G8,Rates!$F$35)*Rates!$F$29+MAX(G8-Rates!$F$35,0)*Rates!$F$30)+IF(F8&gt;0,Rates!$F$31,0)+F8*Rates!$F$32+E8*(Rates!$F$33+Rates!$F$34)</f>
        <v>105.36444764</v>
      </c>
      <c r="Q8" s="26" t="n">
        <f aca="false">IF(L8&gt;0,Rates!$F$36,0)+L8*(Rates!$F$37+Rates!$F$38+Rates!$F$39)</f>
        <v>129.67237004</v>
      </c>
    </row>
    <row r="9" customFormat="false" ht="15" hidden="false" customHeight="false" outlineLevel="0" collapsed="false">
      <c r="A9" s="11" t="s">
        <v>161</v>
      </c>
      <c r="B9" s="11" t="s">
        <v>136</v>
      </c>
      <c r="C9" s="11" t="n">
        <v>5</v>
      </c>
      <c r="D9" s="11" t="n">
        <f aca="false">IF(AND(C9&gt;=6,C9&lt;=9),1,0)</f>
        <v>0</v>
      </c>
      <c r="E9" s="22" t="n">
        <v>856.293</v>
      </c>
      <c r="F9" s="22" t="n">
        <v>2.636</v>
      </c>
      <c r="G9" s="25" t="n">
        <f aca="false">E9-F9</f>
        <v>853.657</v>
      </c>
      <c r="H9" s="22" t="n">
        <v>115.741</v>
      </c>
      <c r="I9" s="22" t="n">
        <v>131.628</v>
      </c>
      <c r="J9" s="22" t="n">
        <v>380.419</v>
      </c>
      <c r="K9" s="22" t="n">
        <v>228.505</v>
      </c>
      <c r="L9" s="22" t="n">
        <v>18.698</v>
      </c>
      <c r="M9" s="26" t="n">
        <f aca="false">Rates!$F$5+IF(D9=1,E9*Rates!$F$6,MIN(E9,Rates!$F$11)*Rates!$F$7+MAX(E9-Rates!$F$11,0)*Rates!$F$8)+E9*(Rates!$F$9+Rates!$F$10)</f>
        <v>125.00387552</v>
      </c>
      <c r="N9" s="26" t="n">
        <f aca="false">Rates!$F$12+H9*IF(D9=1,Rates!$F$13,Rates!$F$14)+I9*Rates!$F$15+J9*IF(D9=1,Rates!$F$16,Rates!$F$18)+K9*IF(D9=1,Rates!$F$17,Rates!$F$19)+E9*(Rates!$F$20+Rates!$F$21)</f>
        <v>117.95638424</v>
      </c>
      <c r="O9" s="26" t="n">
        <f aca="false">Rates!$F$22+IF(D9=1,E9*Rates!$F$23,E9*Rates!$F$24)+E9*(Rates!$F$25+Rates!$F$26)</f>
        <v>72.80425424</v>
      </c>
      <c r="P9" s="26" t="n">
        <f aca="false">Rates!$F$27+IF(D9=1,G9*Rates!$F$28,MIN(G9,Rates!$F$35)*Rates!$F$29+MAX(G9-Rates!$F$35,0)*Rates!$F$30)+IF(F9&gt;0,Rates!$F$31,0)+F9*Rates!$F$32+E9*(Rates!$F$33+Rates!$F$34)</f>
        <v>129.75380312</v>
      </c>
      <c r="Q9" s="26" t="n">
        <f aca="false">IF(L9&gt;0,Rates!$F$36,0)+L9*(Rates!$F$37+Rates!$F$38+Rates!$F$39)</f>
        <v>26.98842638</v>
      </c>
    </row>
    <row r="10" customFormat="false" ht="15" hidden="false" customHeight="false" outlineLevel="0" collapsed="false">
      <c r="A10" s="11" t="s">
        <v>161</v>
      </c>
      <c r="B10" s="11" t="s">
        <v>136</v>
      </c>
      <c r="C10" s="11" t="n">
        <v>6</v>
      </c>
      <c r="D10" s="11" t="n">
        <f aca="false">IF(AND(C10&gt;=6,C10&lt;=9),1,0)</f>
        <v>1</v>
      </c>
      <c r="E10" s="22" t="n">
        <v>951.494</v>
      </c>
      <c r="F10" s="22" t="n">
        <v>0.286</v>
      </c>
      <c r="G10" s="25" t="n">
        <f aca="false">E10-F10</f>
        <v>951.208</v>
      </c>
      <c r="H10" s="22" t="n">
        <v>129.032</v>
      </c>
      <c r="I10" s="22" t="n">
        <v>157.934</v>
      </c>
      <c r="J10" s="22" t="n">
        <v>417.297</v>
      </c>
      <c r="K10" s="22" t="n">
        <v>247.231</v>
      </c>
      <c r="L10" s="22" t="n">
        <v>13.759</v>
      </c>
      <c r="M10" s="26" t="n">
        <f aca="false">Rates!$F$5+IF(D10=1,E10*Rates!$F$6,MIN(E10,Rates!$F$11)*Rates!$F$7+MAX(E10-Rates!$F$11,0)*Rates!$F$8)+E10*(Rates!$F$9+Rates!$F$10)</f>
        <v>152.84593162</v>
      </c>
      <c r="N10" s="26" t="n">
        <f aca="false">Rates!$F$12+H10*IF(D10=1,Rates!$F$13,Rates!$F$14)+I10*Rates!$F$15+J10*IF(D10=1,Rates!$F$16,Rates!$F$18)+K10*IF(D10=1,Rates!$F$17,Rates!$F$19)+E10*(Rates!$F$20+Rates!$F$21)</f>
        <v>148.24983592</v>
      </c>
      <c r="O10" s="26" t="n">
        <f aca="false">Rates!$F$22+IF(D10=1,E10*Rates!$F$23,E10*Rates!$F$24)+E10*(Rates!$F$25+Rates!$F$26)</f>
        <v>152.84593162</v>
      </c>
      <c r="P10" s="26" t="n">
        <f aca="false">Rates!$F$27+IF(D10=1,G10*Rates!$F$28,MIN(G10,Rates!$F$35)*Rates!$F$29+MAX(G10-Rates!$F$35,0)*Rates!$F$30)+IF(F10&gt;0,Rates!$F$31,0)+F10*Rates!$F$32+E10*(Rates!$F$33+Rates!$F$34)</f>
        <v>157.76976548</v>
      </c>
      <c r="Q10" s="26" t="n">
        <f aca="false">IF(L10&gt;0,Rates!$F$36,0)+L10*(Rates!$F$37+Rates!$F$38+Rates!$F$39)</f>
        <v>22.36893029</v>
      </c>
    </row>
    <row r="11" customFormat="false" ht="15" hidden="false" customHeight="false" outlineLevel="0" collapsed="false">
      <c r="A11" s="11" t="s">
        <v>161</v>
      </c>
      <c r="B11" s="11" t="s">
        <v>136</v>
      </c>
      <c r="C11" s="11" t="n">
        <v>7</v>
      </c>
      <c r="D11" s="11" t="n">
        <f aca="false">IF(AND(C11&gt;=6,C11&lt;=9),1,0)</f>
        <v>1</v>
      </c>
      <c r="E11" s="22" t="n">
        <v>1102.828</v>
      </c>
      <c r="F11" s="22" t="n">
        <v>0.199</v>
      </c>
      <c r="G11" s="25" t="n">
        <f aca="false">E11-F11</f>
        <v>1102.629</v>
      </c>
      <c r="H11" s="22" t="n">
        <v>141.507</v>
      </c>
      <c r="I11" s="22" t="n">
        <v>183.106</v>
      </c>
      <c r="J11" s="22" t="n">
        <v>468.864</v>
      </c>
      <c r="K11" s="22" t="n">
        <v>309.352</v>
      </c>
      <c r="L11" s="22" t="n">
        <v>13.094</v>
      </c>
      <c r="M11" s="26" t="n">
        <f aca="false">Rates!$F$5+IF(D11=1,E11*Rates!$F$6,MIN(E11,Rates!$F$11)*Rates!$F$7+MAX(E11-Rates!$F$11,0)*Rates!$F$8)+E11*(Rates!$F$9+Rates!$F$10)</f>
        <v>175.88350644</v>
      </c>
      <c r="N11" s="26" t="n">
        <f aca="false">Rates!$F$12+H11*IF(D11=1,Rates!$F$13,Rates!$F$14)+I11*Rates!$F$15+J11*IF(D11=1,Rates!$F$16,Rates!$F$18)+K11*IF(D11=1,Rates!$F$17,Rates!$F$19)+E11*(Rates!$F$20+Rates!$F$21)</f>
        <v>169.90984304</v>
      </c>
      <c r="O11" s="26" t="n">
        <f aca="false">Rates!$F$22+IF(D11=1,E11*Rates!$F$23,E11*Rates!$F$24)+E11*(Rates!$F$25+Rates!$F$26)</f>
        <v>175.88350644</v>
      </c>
      <c r="P11" s="26" t="n">
        <f aca="false">Rates!$F$27+IF(D11=1,G11*Rates!$F$28,MIN(G11,Rates!$F$35)*Rates!$F$29+MAX(G11-Rates!$F$35,0)*Rates!$F$30)+IF(F11&gt;0,Rates!$F$31,0)+F11*Rates!$F$32+E11*(Rates!$F$33+Rates!$F$34)</f>
        <v>180.81529993</v>
      </c>
      <c r="Q11" s="26" t="n">
        <f aca="false">IF(L11&gt;0,Rates!$F$36,0)+L11*(Rates!$F$37+Rates!$F$38+Rates!$F$39)</f>
        <v>21.74694914</v>
      </c>
    </row>
    <row r="12" customFormat="false" ht="15" hidden="false" customHeight="false" outlineLevel="0" collapsed="false">
      <c r="A12" s="11" t="s">
        <v>161</v>
      </c>
      <c r="B12" s="11" t="s">
        <v>136</v>
      </c>
      <c r="C12" s="11" t="n">
        <v>8</v>
      </c>
      <c r="D12" s="11" t="n">
        <f aca="false">IF(AND(C12&gt;=6,C12&lt;=9),1,0)</f>
        <v>1</v>
      </c>
      <c r="E12" s="22" t="n">
        <v>1042.152</v>
      </c>
      <c r="F12" s="22" t="n">
        <v>0.29</v>
      </c>
      <c r="G12" s="25" t="n">
        <f aca="false">E12-F12</f>
        <v>1041.862</v>
      </c>
      <c r="H12" s="22" t="n">
        <v>143.242</v>
      </c>
      <c r="I12" s="22" t="n">
        <v>173.603</v>
      </c>
      <c r="J12" s="22" t="n">
        <v>481.563</v>
      </c>
      <c r="K12" s="22" t="n">
        <v>243.744</v>
      </c>
      <c r="L12" s="22" t="n">
        <v>12.99</v>
      </c>
      <c r="M12" s="26" t="n">
        <f aca="false">Rates!$F$5+IF(D12=1,E12*Rates!$F$6,MIN(E12,Rates!$F$11)*Rates!$F$7+MAX(E12-Rates!$F$11,0)*Rates!$F$8)+E12*(Rates!$F$9+Rates!$F$10)</f>
        <v>166.64679896</v>
      </c>
      <c r="N12" s="26" t="n">
        <f aca="false">Rates!$F$12+H12*IF(D12=1,Rates!$F$13,Rates!$F$14)+I12*Rates!$F$15+J12*IF(D12=1,Rates!$F$16,Rates!$F$18)+K12*IF(D12=1,Rates!$F$17,Rates!$F$19)+E12*(Rates!$F$20+Rates!$F$21)</f>
        <v>161.73189836</v>
      </c>
      <c r="O12" s="26" t="n">
        <f aca="false">Rates!$F$22+IF(D12=1,E12*Rates!$F$23,E12*Rates!$F$24)+E12*(Rates!$F$25+Rates!$F$26)</f>
        <v>166.64679896</v>
      </c>
      <c r="P12" s="26" t="n">
        <f aca="false">Rates!$F$27+IF(D12=1,G12*Rates!$F$28,MIN(G12,Rates!$F$35)*Rates!$F$29+MAX(G12-Rates!$F$35,0)*Rates!$F$30)+IF(F12&gt;0,Rates!$F$31,0)+F12*Rates!$F$32+E12*(Rates!$F$33+Rates!$F$34)</f>
        <v>171.57026686</v>
      </c>
      <c r="Q12" s="26" t="n">
        <f aca="false">IF(L12&gt;0,Rates!$F$36,0)+L12*(Rates!$F$37+Rates!$F$38+Rates!$F$39)</f>
        <v>21.6496769</v>
      </c>
    </row>
    <row r="13" customFormat="false" ht="15" hidden="false" customHeight="false" outlineLevel="0" collapsed="false">
      <c r="A13" s="11" t="s">
        <v>161</v>
      </c>
      <c r="B13" s="11" t="s">
        <v>136</v>
      </c>
      <c r="C13" s="11" t="n">
        <v>9</v>
      </c>
      <c r="D13" s="11" t="n">
        <f aca="false">IF(AND(C13&gt;=6,C13&lt;=9),1,0)</f>
        <v>1</v>
      </c>
      <c r="E13" s="22" t="n">
        <v>832.576</v>
      </c>
      <c r="F13" s="22" t="n">
        <v>4.715</v>
      </c>
      <c r="G13" s="25" t="n">
        <f aca="false">E13-F13</f>
        <v>827.861</v>
      </c>
      <c r="H13" s="22" t="n">
        <v>93.056</v>
      </c>
      <c r="I13" s="22" t="n">
        <v>137.092</v>
      </c>
      <c r="J13" s="22" t="n">
        <v>315.861</v>
      </c>
      <c r="K13" s="22" t="n">
        <v>286.566</v>
      </c>
      <c r="L13" s="22" t="n">
        <v>19.286</v>
      </c>
      <c r="M13" s="26" t="n">
        <f aca="false">Rates!$F$5+IF(D13=1,E13*Rates!$F$6,MIN(E13,Rates!$F$11)*Rates!$F$7+MAX(E13-Rates!$F$11,0)*Rates!$F$8)+E13*(Rates!$F$9+Rates!$F$10)</f>
        <v>134.74304448</v>
      </c>
      <c r="N13" s="26" t="n">
        <f aca="false">Rates!$F$12+H13*IF(D13=1,Rates!$F$13,Rates!$F$14)+I13*Rates!$F$15+J13*IF(D13=1,Rates!$F$16,Rates!$F$18)+K13*IF(D13=1,Rates!$F$17,Rates!$F$19)+E13*(Rates!$F$20+Rates!$F$21)</f>
        <v>129.19396168</v>
      </c>
      <c r="O13" s="26" t="n">
        <f aca="false">Rates!$F$22+IF(D13=1,E13*Rates!$F$23,E13*Rates!$F$24)+E13*(Rates!$F$25+Rates!$F$26)</f>
        <v>134.74304448</v>
      </c>
      <c r="P13" s="26" t="n">
        <f aca="false">Rates!$F$27+IF(D13=1,G13*Rates!$F$28,MIN(G13,Rates!$F$35)*Rates!$F$29+MAX(G13-Rates!$F$35,0)*Rates!$F$30)+IF(F13&gt;0,Rates!$F$31,0)+F13*Rates!$F$32+E13*(Rates!$F$33+Rates!$F$34)</f>
        <v>139.26166913</v>
      </c>
      <c r="Q13" s="26" t="n">
        <f aca="false">IF(L13&gt;0,Rates!$F$36,0)+L13*(Rates!$F$37+Rates!$F$38+Rates!$F$39)</f>
        <v>27.53838866</v>
      </c>
    </row>
    <row r="14" customFormat="false" ht="15" hidden="false" customHeight="false" outlineLevel="0" collapsed="false">
      <c r="A14" s="11" t="s">
        <v>161</v>
      </c>
      <c r="B14" s="11" t="s">
        <v>136</v>
      </c>
      <c r="C14" s="11" t="n">
        <v>10</v>
      </c>
      <c r="D14" s="11" t="n">
        <f aca="false">IF(AND(C14&gt;=6,C14&lt;=9),1,0)</f>
        <v>0</v>
      </c>
      <c r="E14" s="22" t="n">
        <v>682.511</v>
      </c>
      <c r="F14" s="22" t="n">
        <v>46.16</v>
      </c>
      <c r="G14" s="25" t="n">
        <f aca="false">E14-F14</f>
        <v>636.351</v>
      </c>
      <c r="H14" s="22" t="n">
        <v>86.786</v>
      </c>
      <c r="I14" s="22" t="n">
        <v>115.932</v>
      </c>
      <c r="J14" s="22" t="n">
        <v>325.581</v>
      </c>
      <c r="K14" s="22" t="n">
        <v>154.212</v>
      </c>
      <c r="L14" s="22" t="n">
        <v>79.423</v>
      </c>
      <c r="M14" s="26" t="n">
        <f aca="false">Rates!$F$5+IF(D14=1,E14*Rates!$F$6,MIN(E14,Rates!$F$11)*Rates!$F$7+MAX(E14-Rates!$F$11,0)*Rates!$F$8)+E14*(Rates!$F$9+Rates!$F$10)</f>
        <v>101.25830304</v>
      </c>
      <c r="N14" s="26" t="n">
        <f aca="false">Rates!$F$12+H14*IF(D14=1,Rates!$F$13,Rates!$F$14)+I14*Rates!$F$15+J14*IF(D14=1,Rates!$F$16,Rates!$F$18)+K14*IF(D14=1,Rates!$F$17,Rates!$F$19)+E14*(Rates!$F$20+Rates!$F$21)</f>
        <v>94.92752248</v>
      </c>
      <c r="O14" s="26" t="n">
        <f aca="false">Rates!$F$22+IF(D14=1,E14*Rates!$F$23,E14*Rates!$F$24)+E14*(Rates!$F$25+Rates!$F$26)</f>
        <v>59.65243248</v>
      </c>
      <c r="P14" s="26" t="n">
        <f aca="false">Rates!$F$27+IF(D14=1,G14*Rates!$F$28,MIN(G14,Rates!$F$35)*Rates!$F$29+MAX(G14-Rates!$F$35,0)*Rates!$F$30)+IF(F14&gt;0,Rates!$F$31,0)+F14*Rates!$F$32+E14*(Rates!$F$33+Rates!$F$34)</f>
        <v>102.70475904</v>
      </c>
      <c r="Q14" s="26" t="n">
        <f aca="false">IF(L14&gt;0,Rates!$F$36,0)+L14*(Rates!$F$37+Rates!$F$38+Rates!$F$39)</f>
        <v>83.78512613</v>
      </c>
    </row>
    <row r="15" customFormat="false" ht="15" hidden="false" customHeight="false" outlineLevel="0" collapsed="false">
      <c r="A15" s="11" t="s">
        <v>161</v>
      </c>
      <c r="B15" s="11" t="s">
        <v>136</v>
      </c>
      <c r="C15" s="11" t="n">
        <v>11</v>
      </c>
      <c r="D15" s="11" t="n">
        <f aca="false">IF(AND(C15&gt;=6,C15&lt;=9),1,0)</f>
        <v>0</v>
      </c>
      <c r="E15" s="22" t="n">
        <v>757.074</v>
      </c>
      <c r="F15" s="22" t="n">
        <v>125.734</v>
      </c>
      <c r="G15" s="25" t="n">
        <f aca="false">E15-F15</f>
        <v>631.34</v>
      </c>
      <c r="H15" s="22" t="n">
        <v>93.558</v>
      </c>
      <c r="I15" s="22" t="n">
        <v>131.393</v>
      </c>
      <c r="J15" s="22" t="n">
        <v>338.918</v>
      </c>
      <c r="K15" s="22" t="n">
        <v>193.205</v>
      </c>
      <c r="L15" s="22" t="n">
        <v>192.97</v>
      </c>
      <c r="M15" s="26" t="n">
        <f aca="false">Rates!$F$5+IF(D15=1,E15*Rates!$F$6,MIN(E15,Rates!$F$11)*Rates!$F$7+MAX(E15-Rates!$F$11,0)*Rates!$F$8)+E15*(Rates!$F$9+Rates!$F$10)</f>
        <v>111.44659136</v>
      </c>
      <c r="N15" s="26" t="n">
        <f aca="false">Rates!$F$12+H15*IF(D15=1,Rates!$F$13,Rates!$F$14)+I15*Rates!$F$15+J15*IF(D15=1,Rates!$F$16,Rates!$F$18)+K15*IF(D15=1,Rates!$F$17,Rates!$F$19)+E15*(Rates!$F$20+Rates!$F$21)</f>
        <v>104.16378532</v>
      </c>
      <c r="O15" s="26" t="n">
        <f aca="false">Rates!$F$22+IF(D15=1,E15*Rates!$F$23,E15*Rates!$F$24)+E15*(Rates!$F$25+Rates!$F$26)</f>
        <v>65.29536032</v>
      </c>
      <c r="P15" s="26" t="n">
        <f aca="false">Rates!$F$27+IF(D15=1,G15*Rates!$F$28,MIN(G15,Rates!$F$35)*Rates!$F$29+MAX(G15-Rates!$F$35,0)*Rates!$F$30)+IF(F15&gt;0,Rates!$F$31,0)+F15*Rates!$F$32+E15*(Rates!$F$33+Rates!$F$34)</f>
        <v>106.85338076</v>
      </c>
      <c r="Q15" s="26" t="n">
        <f aca="false">IF(L15&gt;0,Rates!$F$36,0)+L15*(Rates!$F$37+Rates!$F$38+Rates!$F$39)</f>
        <v>189.9867707</v>
      </c>
    </row>
    <row r="16" customFormat="false" ht="15" hidden="false" customHeight="false" outlineLevel="0" collapsed="false">
      <c r="A16" s="11" t="s">
        <v>161</v>
      </c>
      <c r="B16" s="11" t="s">
        <v>136</v>
      </c>
      <c r="C16" s="11" t="n">
        <v>12</v>
      </c>
      <c r="D16" s="11" t="n">
        <f aca="false">IF(AND(C16&gt;=6,C16&lt;=9),1,0)</f>
        <v>0</v>
      </c>
      <c r="E16" s="22" t="n">
        <v>847.44</v>
      </c>
      <c r="F16" s="22" t="n">
        <v>150.052</v>
      </c>
      <c r="G16" s="25" t="n">
        <f aca="false">E16-F16</f>
        <v>697.388</v>
      </c>
      <c r="H16" s="22" t="n">
        <v>98.346</v>
      </c>
      <c r="I16" s="22" t="n">
        <v>141.464</v>
      </c>
      <c r="J16" s="22" t="n">
        <v>347.563</v>
      </c>
      <c r="K16" s="22" t="n">
        <v>260.067</v>
      </c>
      <c r="L16" s="22" t="n">
        <v>229.22</v>
      </c>
      <c r="M16" s="26" t="n">
        <f aca="false">Rates!$F$5+IF(D16=1,E16*Rates!$F$6,MIN(E16,Rates!$F$11)*Rates!$F$7+MAX(E16-Rates!$F$11,0)*Rates!$F$8)+E16*(Rates!$F$9+Rates!$F$10)</f>
        <v>123.7942016</v>
      </c>
      <c r="N16" s="26" t="n">
        <f aca="false">Rates!$F$12+H16*IF(D16=1,Rates!$F$13,Rates!$F$14)+I16*Rates!$F$15+J16*IF(D16=1,Rates!$F$16,Rates!$F$18)+K16*IF(D16=1,Rates!$F$17,Rates!$F$19)+E16*(Rates!$F$20+Rates!$F$21)</f>
        <v>115.4557792</v>
      </c>
      <c r="O16" s="26" t="n">
        <f aca="false">Rates!$F$22+IF(D16=1,E16*Rates!$F$23,E16*Rates!$F$24)+E16*(Rates!$F$25+Rates!$F$26)</f>
        <v>72.1342592</v>
      </c>
      <c r="P16" s="26" t="n">
        <f aca="false">Rates!$F$27+IF(D16=1,G16*Rates!$F$28,MIN(G16,Rates!$F$35)*Rates!$F$29+MAX(G16-Rates!$F$35,0)*Rates!$F$30)+IF(F16&gt;0,Rates!$F$31,0)+F16*Rates!$F$32+E16*(Rates!$F$33+Rates!$F$34)</f>
        <v>117.3552548</v>
      </c>
      <c r="Q16" s="26" t="n">
        <f aca="false">IF(L16&gt;0,Rates!$F$36,0)+L16*(Rates!$F$37+Rates!$F$38+Rates!$F$39)</f>
        <v>223.8917582</v>
      </c>
    </row>
    <row r="17" customFormat="false" ht="15" hidden="false" customHeight="false" outlineLevel="0" collapsed="false">
      <c r="A17" s="11" t="s">
        <v>161</v>
      </c>
      <c r="B17" s="11" t="s">
        <v>139</v>
      </c>
      <c r="C17" s="11" t="n">
        <v>1</v>
      </c>
      <c r="D17" s="11" t="n">
        <f aca="false">IF(AND(C17&gt;=6,C17&lt;=9),1,0)</f>
        <v>0</v>
      </c>
      <c r="E17" s="22" t="n">
        <v>4505.785</v>
      </c>
      <c r="F17" s="22" t="n">
        <v>3844.872</v>
      </c>
      <c r="G17" s="25" t="n">
        <f aca="false">E17-F17</f>
        <v>660.913</v>
      </c>
      <c r="H17" s="22" t="n">
        <v>367.297</v>
      </c>
      <c r="I17" s="22" t="n">
        <v>1126.465</v>
      </c>
      <c r="J17" s="22" t="n">
        <v>1948.223</v>
      </c>
      <c r="K17" s="22" t="n">
        <v>1063.801</v>
      </c>
      <c r="L17" s="22" t="n">
        <v>17.249</v>
      </c>
      <c r="M17" s="26" t="n">
        <f aca="false">Rates!$F$5+IF(D17=1,E17*Rates!$F$6,MIN(E17,Rates!$F$11)*Rates!$F$7+MAX(E17-Rates!$F$11,0)*Rates!$F$8)+E17*(Rates!$F$9+Rates!$F$10)</f>
        <v>614.6255371</v>
      </c>
      <c r="N17" s="26" t="n">
        <f aca="false">Rates!$F$12+H17*IF(D17=1,Rates!$F$13,Rates!$F$14)+I17*Rates!$F$15+J17*IF(D17=1,Rates!$F$16,Rates!$F$18)+K17*IF(D17=1,Rates!$F$17,Rates!$F$19)+E17*(Rates!$F$20+Rates!$F$21)</f>
        <v>556.8987138</v>
      </c>
      <c r="O17" s="26" t="n">
        <f aca="false">Rates!$F$22+IF(D17=1,E17*Rates!$F$23,E17*Rates!$F$24)+E17*(Rates!$F$25+Rates!$F$26)</f>
        <v>348.9978088</v>
      </c>
      <c r="P17" s="26" t="n">
        <f aca="false">Rates!$F$27+IF(D17=1,G17*Rates!$F$28,MIN(G17,Rates!$F$35)*Rates!$F$29+MAX(G17-Rates!$F$35,0)*Rates!$F$30)+IF(F17&gt;0,Rates!$F$31,0)+F17*Rates!$F$32+E17*(Rates!$F$33+Rates!$F$34)</f>
        <v>336.7946776</v>
      </c>
      <c r="Q17" s="26" t="n">
        <f aca="false">IF(L17&gt;0,Rates!$F$36,0)+L17*(Rates!$F$37+Rates!$F$38+Rates!$F$39)</f>
        <v>25.63316219</v>
      </c>
    </row>
    <row r="18" customFormat="false" ht="15" hidden="false" customHeight="false" outlineLevel="0" collapsed="false">
      <c r="A18" s="11" t="s">
        <v>161</v>
      </c>
      <c r="B18" s="11" t="s">
        <v>139</v>
      </c>
      <c r="C18" s="11" t="n">
        <v>2</v>
      </c>
      <c r="D18" s="11" t="n">
        <f aca="false">IF(AND(C18&gt;=6,C18&lt;=9),1,0)</f>
        <v>0</v>
      </c>
      <c r="E18" s="22" t="n">
        <v>3744.421</v>
      </c>
      <c r="F18" s="22" t="n">
        <v>3145.389</v>
      </c>
      <c r="G18" s="25" t="n">
        <f aca="false">E18-F18</f>
        <v>599.032</v>
      </c>
      <c r="H18" s="22" t="n">
        <v>301.837</v>
      </c>
      <c r="I18" s="22" t="n">
        <v>952.861</v>
      </c>
      <c r="J18" s="22" t="n">
        <v>1678.158</v>
      </c>
      <c r="K18" s="22" t="n">
        <v>811.564</v>
      </c>
      <c r="L18" s="22" t="n">
        <v>15.805</v>
      </c>
      <c r="M18" s="26" t="n">
        <f aca="false">Rates!$F$5+IF(D18=1,E18*Rates!$F$6,MIN(E18,Rates!$F$11)*Rates!$F$7+MAX(E18-Rates!$F$11,0)*Rates!$F$8)+E18*(Rates!$F$9+Rates!$F$10)</f>
        <v>512.55707926</v>
      </c>
      <c r="N18" s="26" t="n">
        <f aca="false">Rates!$F$12+H18*IF(D18=1,Rates!$F$13,Rates!$F$14)+I18*Rates!$F$15+J18*IF(D18=1,Rates!$F$16,Rates!$F$18)+K18*IF(D18=1,Rates!$F$17,Rates!$F$19)+E18*(Rates!$F$20+Rates!$F$21)</f>
        <v>463.35880628</v>
      </c>
      <c r="O18" s="26" t="n">
        <f aca="false">Rates!$F$22+IF(D18=1,E18*Rates!$F$23,E18*Rates!$F$24)+E18*(Rates!$F$25+Rates!$F$26)</f>
        <v>291.37778128</v>
      </c>
      <c r="P18" s="26" t="n">
        <f aca="false">Rates!$F$27+IF(D18=1,G18*Rates!$F$28,MIN(G18,Rates!$F$35)*Rates!$F$29+MAX(G18-Rates!$F$35,0)*Rates!$F$30)+IF(F18&gt;0,Rates!$F$31,0)+F18*Rates!$F$32+E18*(Rates!$F$33+Rates!$F$34)</f>
        <v>285.85266034</v>
      </c>
      <c r="Q18" s="26" t="n">
        <f aca="false">IF(L18&gt;0,Rates!$F$36,0)+L18*(Rates!$F$37+Rates!$F$38+Rates!$F$39)</f>
        <v>24.28257455</v>
      </c>
    </row>
    <row r="19" customFormat="false" ht="15" hidden="false" customHeight="false" outlineLevel="0" collapsed="false">
      <c r="A19" s="11" t="s">
        <v>161</v>
      </c>
      <c r="B19" s="11" t="s">
        <v>139</v>
      </c>
      <c r="C19" s="11" t="n">
        <v>3</v>
      </c>
      <c r="D19" s="11" t="n">
        <f aca="false">IF(AND(C19&gt;=6,C19&lt;=9),1,0)</f>
        <v>0</v>
      </c>
      <c r="E19" s="22" t="n">
        <v>2100.967</v>
      </c>
      <c r="F19" s="22" t="n">
        <v>1458.588</v>
      </c>
      <c r="G19" s="25" t="n">
        <f aca="false">E19-F19</f>
        <v>642.379</v>
      </c>
      <c r="H19" s="22" t="n">
        <v>169.658</v>
      </c>
      <c r="I19" s="22" t="n">
        <v>496.102</v>
      </c>
      <c r="J19" s="22" t="n">
        <v>981.633</v>
      </c>
      <c r="K19" s="22" t="n">
        <v>453.574</v>
      </c>
      <c r="L19" s="22" t="n">
        <v>17.273</v>
      </c>
      <c r="M19" s="26" t="n">
        <f aca="false">Rates!$F$5+IF(D19=1,E19*Rates!$F$6,MIN(E19,Rates!$F$11)*Rates!$F$7+MAX(E19-Rates!$F$11,0)*Rates!$F$8)+E19*(Rates!$F$9+Rates!$F$10)</f>
        <v>292.23563602</v>
      </c>
      <c r="N19" s="26" t="n">
        <f aca="false">Rates!$F$12+H19*IF(D19=1,Rates!$F$13,Rates!$F$14)+I19*Rates!$F$15+J19*IF(D19=1,Rates!$F$16,Rates!$F$18)+K19*IF(D19=1,Rates!$F$17,Rates!$F$19)+E19*(Rates!$F$20+Rates!$F$21)</f>
        <v>264.86544256</v>
      </c>
      <c r="O19" s="26" t="n">
        <f aca="false">Rates!$F$22+IF(D19=1,E19*Rates!$F$23,E19*Rates!$F$24)+E19*(Rates!$F$25+Rates!$F$26)</f>
        <v>167.00118256</v>
      </c>
      <c r="P19" s="26" t="n">
        <f aca="false">Rates!$F$27+IF(D19=1,G19*Rates!$F$28,MIN(G19,Rates!$F$35)*Rates!$F$29+MAX(G19-Rates!$F$35,0)*Rates!$F$30)+IF(F19&gt;0,Rates!$F$31,0)+F19*Rates!$F$32+E19*(Rates!$F$33+Rates!$F$34)</f>
        <v>189.31930168</v>
      </c>
      <c r="Q19" s="26" t="n">
        <f aca="false">IF(L19&gt;0,Rates!$F$36,0)+L19*(Rates!$F$37+Rates!$F$38+Rates!$F$39)</f>
        <v>25.65560963</v>
      </c>
    </row>
    <row r="20" customFormat="false" ht="15" hidden="false" customHeight="false" outlineLevel="0" collapsed="false">
      <c r="A20" s="11" t="s">
        <v>161</v>
      </c>
      <c r="B20" s="11" t="s">
        <v>139</v>
      </c>
      <c r="C20" s="11" t="n">
        <v>4</v>
      </c>
      <c r="D20" s="11" t="n">
        <f aca="false">IF(AND(C20&gt;=6,C20&lt;=9),1,0)</f>
        <v>0</v>
      </c>
      <c r="E20" s="22" t="n">
        <v>1765.52</v>
      </c>
      <c r="F20" s="22" t="n">
        <v>1150.288</v>
      </c>
      <c r="G20" s="25" t="n">
        <f aca="false">E20-F20</f>
        <v>615.232</v>
      </c>
      <c r="H20" s="22" t="n">
        <v>132.083</v>
      </c>
      <c r="I20" s="22" t="n">
        <v>426.27</v>
      </c>
      <c r="J20" s="22" t="n">
        <v>759.598</v>
      </c>
      <c r="K20" s="22" t="n">
        <v>447.569</v>
      </c>
      <c r="L20" s="22" t="n">
        <v>15.846</v>
      </c>
      <c r="M20" s="26" t="n">
        <f aca="false">Rates!$F$5+IF(D20=1,E20*Rates!$F$6,MIN(E20,Rates!$F$11)*Rates!$F$7+MAX(E20-Rates!$F$11,0)*Rates!$F$8)+E20*(Rates!$F$9+Rates!$F$10)</f>
        <v>247.2656112</v>
      </c>
      <c r="N20" s="26" t="n">
        <f aca="false">Rates!$F$12+H20*IF(D20=1,Rates!$F$13,Rates!$F$14)+I20*Rates!$F$15+J20*IF(D20=1,Rates!$F$16,Rates!$F$18)+K20*IF(D20=1,Rates!$F$17,Rates!$F$19)+E20*(Rates!$F$20+Rates!$F$21)</f>
        <v>222.8960836</v>
      </c>
      <c r="O20" s="26" t="n">
        <f aca="false">Rates!$F$22+IF(D20=1,E20*Rates!$F$23,E20*Rates!$F$24)+E20*(Rates!$F$25+Rates!$F$26)</f>
        <v>141.6145536</v>
      </c>
      <c r="P20" s="26" t="n">
        <f aca="false">Rates!$F$27+IF(D20=1,G20*Rates!$F$28,MIN(G20,Rates!$F$35)*Rates!$F$29+MAX(G20-Rates!$F$35,0)*Rates!$F$30)+IF(F20&gt;0,Rates!$F$31,0)+F20*Rates!$F$32+E20*(Rates!$F$33+Rates!$F$34)</f>
        <v>166.8837936</v>
      </c>
      <c r="Q20" s="26" t="n">
        <f aca="false">IF(L20&gt;0,Rates!$F$36,0)+L20*(Rates!$F$37+Rates!$F$38+Rates!$F$39)</f>
        <v>24.32092226</v>
      </c>
    </row>
    <row r="21" customFormat="false" ht="15" hidden="false" customHeight="false" outlineLevel="0" collapsed="false">
      <c r="A21" s="11" t="s">
        <v>161</v>
      </c>
      <c r="B21" s="11" t="s">
        <v>139</v>
      </c>
      <c r="C21" s="11" t="n">
        <v>5</v>
      </c>
      <c r="D21" s="11" t="n">
        <f aca="false">IF(AND(C21&gt;=6,C21&lt;=9),1,0)</f>
        <v>0</v>
      </c>
      <c r="E21" s="22" t="n">
        <v>872.139</v>
      </c>
      <c r="F21" s="22" t="n">
        <v>29.749</v>
      </c>
      <c r="G21" s="25" t="n">
        <f aca="false">E21-F21</f>
        <v>842.39</v>
      </c>
      <c r="H21" s="22" t="n">
        <v>114.155</v>
      </c>
      <c r="I21" s="22" t="n">
        <v>137.263</v>
      </c>
      <c r="J21" s="22" t="n">
        <v>384.663</v>
      </c>
      <c r="K21" s="22" t="n">
        <v>236.058</v>
      </c>
      <c r="L21" s="22" t="n">
        <v>14.985</v>
      </c>
      <c r="M21" s="26" t="n">
        <f aca="false">Rates!$F$5+IF(D21=1,E21*Rates!$F$6,MIN(E21,Rates!$F$11)*Rates!$F$7+MAX(E21-Rates!$F$11,0)*Rates!$F$8)+E21*(Rates!$F$9+Rates!$F$10)</f>
        <v>127.16907296</v>
      </c>
      <c r="N21" s="26" t="n">
        <f aca="false">Rates!$F$12+H21*IF(D21=1,Rates!$F$13,Rates!$F$14)+I21*Rates!$F$15+J21*IF(D21=1,Rates!$F$16,Rates!$F$18)+K21*IF(D21=1,Rates!$F$17,Rates!$F$19)+E21*(Rates!$F$20+Rates!$F$21)</f>
        <v>119.65552452</v>
      </c>
      <c r="O21" s="26" t="n">
        <f aca="false">Rates!$F$22+IF(D21=1,E21*Rates!$F$23,E21*Rates!$F$24)+E21*(Rates!$F$25+Rates!$F$26)</f>
        <v>74.00347952</v>
      </c>
      <c r="P21" s="26" t="n">
        <f aca="false">Rates!$F$27+IF(D21=1,G21*Rates!$F$28,MIN(G21,Rates!$F$35)*Rates!$F$29+MAX(G21-Rates!$F$35,0)*Rates!$F$30)+IF(F21&gt;0,Rates!$F$31,0)+F21*Rates!$F$32+E21*(Rates!$F$33+Rates!$F$34)</f>
        <v>129.86112386</v>
      </c>
      <c r="Q21" s="26" t="n">
        <f aca="false">IF(L21&gt;0,Rates!$F$36,0)+L21*(Rates!$F$37+Rates!$F$38+Rates!$F$39)</f>
        <v>23.51562035</v>
      </c>
    </row>
    <row r="22" customFormat="false" ht="15" hidden="false" customHeight="false" outlineLevel="0" collapsed="false">
      <c r="A22" s="11" t="s">
        <v>161</v>
      </c>
      <c r="B22" s="11" t="s">
        <v>139</v>
      </c>
      <c r="C22" s="11" t="n">
        <v>6</v>
      </c>
      <c r="D22" s="11" t="n">
        <f aca="false">IF(AND(C22&gt;=6,C22&lt;=9),1,0)</f>
        <v>1</v>
      </c>
      <c r="E22" s="22" t="n">
        <v>936.417</v>
      </c>
      <c r="F22" s="22" t="n">
        <v>2.731</v>
      </c>
      <c r="G22" s="25" t="n">
        <f aca="false">E22-F22</f>
        <v>933.686</v>
      </c>
      <c r="H22" s="22" t="n">
        <v>127.982</v>
      </c>
      <c r="I22" s="22" t="n">
        <v>156.11</v>
      </c>
      <c r="J22" s="22" t="n">
        <v>410.217</v>
      </c>
      <c r="K22" s="22" t="n">
        <v>242.108</v>
      </c>
      <c r="L22" s="22" t="n">
        <v>13.388</v>
      </c>
      <c r="M22" s="26" t="n">
        <f aca="false">Rates!$F$5+IF(D22=1,E22*Rates!$F$6,MIN(E22,Rates!$F$11)*Rates!$F$7+MAX(E22-Rates!$F$11,0)*Rates!$F$8)+E22*(Rates!$F$9+Rates!$F$10)</f>
        <v>150.55075991</v>
      </c>
      <c r="N22" s="26" t="n">
        <f aca="false">Rates!$F$12+H22*IF(D22=1,Rates!$F$13,Rates!$F$14)+I22*Rates!$F$15+J22*IF(D22=1,Rates!$F$16,Rates!$F$18)+K22*IF(D22=1,Rates!$F$17,Rates!$F$19)+E22*(Rates!$F$20+Rates!$F$21)</f>
        <v>146.06973856</v>
      </c>
      <c r="O22" s="26" t="n">
        <f aca="false">Rates!$F$22+IF(D22=1,E22*Rates!$F$23,E22*Rates!$F$24)+E22*(Rates!$F$25+Rates!$F$26)</f>
        <v>150.55075991</v>
      </c>
      <c r="P22" s="26" t="n">
        <f aca="false">Rates!$F$27+IF(D22=1,G22*Rates!$F$28,MIN(G22,Rates!$F$35)*Rates!$F$29+MAX(G22-Rates!$F$35,0)*Rates!$F$30)+IF(F22&gt;0,Rates!$F$31,0)+F22*Rates!$F$32+E22*(Rates!$F$33+Rates!$F$34)</f>
        <v>155.25090072</v>
      </c>
      <c r="Q22" s="26" t="n">
        <f aca="false">IF(L22&gt;0,Rates!$F$36,0)+L22*(Rates!$F$37+Rates!$F$38+Rates!$F$39)</f>
        <v>22.02193028</v>
      </c>
    </row>
    <row r="23" customFormat="false" ht="15" hidden="false" customHeight="false" outlineLevel="0" collapsed="false">
      <c r="A23" s="11" t="s">
        <v>161</v>
      </c>
      <c r="B23" s="11" t="s">
        <v>139</v>
      </c>
      <c r="C23" s="11" t="n">
        <v>7</v>
      </c>
      <c r="D23" s="11" t="n">
        <f aca="false">IF(AND(C23&gt;=6,C23&lt;=9),1,0)</f>
        <v>1</v>
      </c>
      <c r="E23" s="22" t="n">
        <v>1068.55</v>
      </c>
      <c r="F23" s="22" t="n">
        <v>1.936</v>
      </c>
      <c r="G23" s="25" t="n">
        <f aca="false">E23-F23</f>
        <v>1066.614</v>
      </c>
      <c r="H23" s="22" t="n">
        <v>138.523</v>
      </c>
      <c r="I23" s="22" t="n">
        <v>177.833</v>
      </c>
      <c r="J23" s="22" t="n">
        <v>452.382</v>
      </c>
      <c r="K23" s="22" t="n">
        <v>299.811</v>
      </c>
      <c r="L23" s="22" t="n">
        <v>12.857</v>
      </c>
      <c r="M23" s="26" t="n">
        <f aca="false">Rates!$F$5+IF(D23=1,E23*Rates!$F$6,MIN(E23,Rates!$F$11)*Rates!$F$7+MAX(E23-Rates!$F$11,0)*Rates!$F$8)+E23*(Rates!$F$9+Rates!$F$10)</f>
        <v>170.6653665</v>
      </c>
      <c r="N23" s="26" t="n">
        <f aca="false">Rates!$F$12+H23*IF(D23=1,Rates!$F$13,Rates!$F$14)+I23*Rates!$F$15+J23*IF(D23=1,Rates!$F$16,Rates!$F$18)+K23*IF(D23=1,Rates!$F$17,Rates!$F$19)+E23*(Rates!$F$20+Rates!$F$21)</f>
        <v>164.967259</v>
      </c>
      <c r="O23" s="26" t="n">
        <f aca="false">Rates!$F$22+IF(D23=1,E23*Rates!$F$23,E23*Rates!$F$24)+E23*(Rates!$F$25+Rates!$F$26)</f>
        <v>170.6653665</v>
      </c>
      <c r="P23" s="26" t="n">
        <f aca="false">Rates!$F$27+IF(D23=1,G23*Rates!$F$28,MIN(G23,Rates!$F$35)*Rates!$F$29+MAX(G23-Rates!$F$35,0)*Rates!$F$30)+IF(F23&gt;0,Rates!$F$31,0)+F23*Rates!$F$32+E23*(Rates!$F$33+Rates!$F$34)</f>
        <v>175.43824186</v>
      </c>
      <c r="Q23" s="26" t="n">
        <f aca="false">IF(L23&gt;0,Rates!$F$36,0)+L23*(Rates!$F$37+Rates!$F$38+Rates!$F$39)</f>
        <v>21.52528067</v>
      </c>
    </row>
    <row r="24" customFormat="false" ht="15" hidden="false" customHeight="false" outlineLevel="0" collapsed="false">
      <c r="A24" s="11" t="s">
        <v>161</v>
      </c>
      <c r="B24" s="11" t="s">
        <v>139</v>
      </c>
      <c r="C24" s="11" t="n">
        <v>8</v>
      </c>
      <c r="D24" s="11" t="n">
        <f aca="false">IF(AND(C24&gt;=6,C24&lt;=9),1,0)</f>
        <v>1</v>
      </c>
      <c r="E24" s="22" t="n">
        <v>1013.881</v>
      </c>
      <c r="F24" s="22" t="n">
        <v>2.851</v>
      </c>
      <c r="G24" s="25" t="n">
        <f aca="false">E24-F24</f>
        <v>1011.03</v>
      </c>
      <c r="H24" s="22" t="n">
        <v>140.522</v>
      </c>
      <c r="I24" s="22" t="n">
        <v>169.391</v>
      </c>
      <c r="J24" s="22" t="n">
        <v>467.613</v>
      </c>
      <c r="K24" s="22" t="n">
        <v>236.356</v>
      </c>
      <c r="L24" s="22" t="n">
        <v>12.624</v>
      </c>
      <c r="M24" s="26" t="n">
        <f aca="false">Rates!$F$5+IF(D24=1,E24*Rates!$F$6,MIN(E24,Rates!$F$11)*Rates!$F$7+MAX(E24-Rates!$F$11,0)*Rates!$F$8)+E24*(Rates!$F$9+Rates!$F$10)</f>
        <v>162.34310463</v>
      </c>
      <c r="N24" s="26" t="n">
        <f aca="false">Rates!$F$12+H24*IF(D24=1,Rates!$F$13,Rates!$F$14)+I24*Rates!$F$15+J24*IF(D24=1,Rates!$F$16,Rates!$F$18)+K24*IF(D24=1,Rates!$F$17,Rates!$F$19)+E24*(Rates!$F$20+Rates!$F$21)</f>
        <v>157.62756908</v>
      </c>
      <c r="O24" s="26" t="n">
        <f aca="false">Rates!$F$22+IF(D24=1,E24*Rates!$F$23,E24*Rates!$F$24)+E24*(Rates!$F$25+Rates!$F$26)</f>
        <v>162.34310463</v>
      </c>
      <c r="P24" s="26" t="n">
        <f aca="false">Rates!$F$27+IF(D24=1,G24*Rates!$F$28,MIN(G24,Rates!$F$35)*Rates!$F$29+MAX(G24-Rates!$F$35,0)*Rates!$F$30)+IF(F24&gt;0,Rates!$F$31,0)+F24*Rates!$F$32+E24*(Rates!$F$33+Rates!$F$34)</f>
        <v>167.03226664</v>
      </c>
      <c r="Q24" s="26" t="n">
        <f aca="false">IF(L24&gt;0,Rates!$F$36,0)+L24*(Rates!$F$37+Rates!$F$38+Rates!$F$39)</f>
        <v>21.30735344</v>
      </c>
    </row>
    <row r="25" customFormat="false" ht="15" hidden="false" customHeight="false" outlineLevel="0" collapsed="false">
      <c r="A25" s="11" t="s">
        <v>161</v>
      </c>
      <c r="B25" s="11" t="s">
        <v>139</v>
      </c>
      <c r="C25" s="11" t="n">
        <v>9</v>
      </c>
      <c r="D25" s="11" t="n">
        <f aca="false">IF(AND(C25&gt;=6,C25&lt;=9),1,0)</f>
        <v>1</v>
      </c>
      <c r="E25" s="22" t="n">
        <v>865.034</v>
      </c>
      <c r="F25" s="22" t="n">
        <v>56.494</v>
      </c>
      <c r="G25" s="25" t="n">
        <f aca="false">E25-F25</f>
        <v>808.54</v>
      </c>
      <c r="H25" s="22" t="n">
        <v>91.66</v>
      </c>
      <c r="I25" s="22" t="n">
        <v>147.512</v>
      </c>
      <c r="J25" s="22" t="n">
        <v>322.291</v>
      </c>
      <c r="K25" s="22" t="n">
        <v>303.571</v>
      </c>
      <c r="L25" s="22" t="n">
        <v>12.627</v>
      </c>
      <c r="M25" s="26" t="n">
        <f aca="false">Rates!$F$5+IF(D25=1,E25*Rates!$F$6,MIN(E25,Rates!$F$11)*Rates!$F$7+MAX(E25-Rates!$F$11,0)*Rates!$F$8)+E25*(Rates!$F$9+Rates!$F$10)</f>
        <v>139.68412582</v>
      </c>
      <c r="N25" s="26" t="n">
        <f aca="false">Rates!$F$12+H25*IF(D25=1,Rates!$F$13,Rates!$F$14)+I25*Rates!$F$15+J25*IF(D25=1,Rates!$F$16,Rates!$F$18)+K25*IF(D25=1,Rates!$F$17,Rates!$F$19)+E25*(Rates!$F$20+Rates!$F$21)</f>
        <v>133.23779312</v>
      </c>
      <c r="O25" s="26" t="n">
        <f aca="false">Rates!$F$22+IF(D25=1,E25*Rates!$F$23,E25*Rates!$F$24)+E25*(Rates!$F$25+Rates!$F$26)</f>
        <v>139.68412582</v>
      </c>
      <c r="P25" s="26" t="n">
        <f aca="false">Rates!$F$27+IF(D25=1,G25*Rates!$F$28,MIN(G25,Rates!$F$35)*Rates!$F$29+MAX(G25-Rates!$F$35,0)*Rates!$F$30)+IF(F25&gt;0,Rates!$F$31,0)+F25*Rates!$F$32+E25*(Rates!$F$33+Rates!$F$34)</f>
        <v>139.46548976</v>
      </c>
      <c r="Q25" s="26" t="n">
        <f aca="false">IF(L25&gt;0,Rates!$F$36,0)+L25*(Rates!$F$37+Rates!$F$38+Rates!$F$39)</f>
        <v>21.31015937</v>
      </c>
    </row>
    <row r="26" customFormat="false" ht="15" hidden="false" customHeight="false" outlineLevel="0" collapsed="false">
      <c r="A26" s="11" t="s">
        <v>161</v>
      </c>
      <c r="B26" s="11" t="s">
        <v>139</v>
      </c>
      <c r="C26" s="11" t="n">
        <v>10</v>
      </c>
      <c r="D26" s="11" t="n">
        <f aca="false">IF(AND(C26&gt;=6,C26&lt;=9),1,0)</f>
        <v>0</v>
      </c>
      <c r="E26" s="22" t="n">
        <v>1188.591</v>
      </c>
      <c r="F26" s="22" t="n">
        <v>578.286</v>
      </c>
      <c r="G26" s="25" t="n">
        <f aca="false">E26-F26</f>
        <v>610.305</v>
      </c>
      <c r="H26" s="22" t="n">
        <v>111.005</v>
      </c>
      <c r="I26" s="22" t="n">
        <v>254.155</v>
      </c>
      <c r="J26" s="22" t="n">
        <v>556.686</v>
      </c>
      <c r="K26" s="22" t="n">
        <v>266.745</v>
      </c>
      <c r="L26" s="22" t="n">
        <v>14.005</v>
      </c>
      <c r="M26" s="26" t="n">
        <f aca="false">Rates!$F$5+IF(D26=1,E26*Rates!$F$6,MIN(E26,Rates!$F$11)*Rates!$F$7+MAX(E26-Rates!$F$11,0)*Rates!$F$8)+E26*(Rates!$F$9+Rates!$F$10)</f>
        <v>169.92250946</v>
      </c>
      <c r="N26" s="26" t="n">
        <f aca="false">Rates!$F$12+H26*IF(D26=1,Rates!$F$13,Rates!$F$14)+I26*Rates!$F$15+J26*IF(D26=1,Rates!$F$16,Rates!$F$18)+K26*IF(D26=1,Rates!$F$17,Rates!$F$19)+E26*(Rates!$F$20+Rates!$F$21)</f>
        <v>155.14699188</v>
      </c>
      <c r="O26" s="26" t="n">
        <f aca="false">Rates!$F$22+IF(D26=1,E26*Rates!$F$23,E26*Rates!$F$24)+E26*(Rates!$F$25+Rates!$F$26)</f>
        <v>97.95256688</v>
      </c>
      <c r="P26" s="26" t="n">
        <f aca="false">Rates!$F$27+IF(D26=1,G26*Rates!$F$28,MIN(G26,Rates!$F$35)*Rates!$F$29+MAX(G26-Rates!$F$35,0)*Rates!$F$30)+IF(F26&gt;0,Rates!$F$31,0)+F26*Rates!$F$32+E26*(Rates!$F$33+Rates!$F$34)</f>
        <v>131.46716684</v>
      </c>
      <c r="Q26" s="26" t="n">
        <f aca="false">IF(L26&gt;0,Rates!$F$36,0)+L26*(Rates!$F$37+Rates!$F$38+Rates!$F$39)</f>
        <v>22.59901655</v>
      </c>
    </row>
    <row r="27" customFormat="false" ht="15" hidden="false" customHeight="false" outlineLevel="0" collapsed="false">
      <c r="A27" s="11" t="s">
        <v>161</v>
      </c>
      <c r="B27" s="11" t="s">
        <v>139</v>
      </c>
      <c r="C27" s="11" t="n">
        <v>11</v>
      </c>
      <c r="D27" s="11" t="n">
        <f aca="false">IF(AND(C27&gt;=6,C27&lt;=9),1,0)</f>
        <v>0</v>
      </c>
      <c r="E27" s="22" t="n">
        <v>2459.482</v>
      </c>
      <c r="F27" s="22" t="n">
        <v>1859.635</v>
      </c>
      <c r="G27" s="25" t="n">
        <f aca="false">E27-F27</f>
        <v>599.847</v>
      </c>
      <c r="H27" s="22" t="n">
        <v>223.023</v>
      </c>
      <c r="I27" s="22" t="n">
        <v>568.799</v>
      </c>
      <c r="J27" s="22" t="n">
        <v>1094.977</v>
      </c>
      <c r="K27" s="22" t="n">
        <v>572.684</v>
      </c>
      <c r="L27" s="22" t="n">
        <v>14.78</v>
      </c>
      <c r="M27" s="26" t="n">
        <f aca="false">Rates!$F$5+IF(D27=1,E27*Rates!$F$6,MIN(E27,Rates!$F$11)*Rates!$F$7+MAX(E27-Rates!$F$11,0)*Rates!$F$8)+E27*(Rates!$F$9+Rates!$F$10)</f>
        <v>340.29815692</v>
      </c>
      <c r="N27" s="26" t="n">
        <f aca="false">Rates!$F$12+H27*IF(D27=1,Rates!$F$13,Rates!$F$14)+I27*Rates!$F$15+J27*IF(D27=1,Rates!$F$16,Rates!$F$18)+K27*IF(D27=1,Rates!$F$17,Rates!$F$19)+E27*(Rates!$F$20+Rates!$F$21)</f>
        <v>310.58122276</v>
      </c>
      <c r="O27" s="26" t="n">
        <f aca="false">Rates!$F$22+IF(D27=1,E27*Rates!$F$23,E27*Rates!$F$24)+E27*(Rates!$F$25+Rates!$F$26)</f>
        <v>194.13359776</v>
      </c>
      <c r="P27" s="26" t="n">
        <f aca="false">Rates!$F$27+IF(D27=1,G27*Rates!$F$28,MIN(G27,Rates!$F$35)*Rates!$F$29+MAX(G27-Rates!$F$35,0)*Rates!$F$30)+IF(F27&gt;0,Rates!$F$31,0)+F27*Rates!$F$32+E27*(Rates!$F$33+Rates!$F$34)</f>
        <v>207.86732398</v>
      </c>
      <c r="Q27" s="26" t="n">
        <f aca="false">IF(L27&gt;0,Rates!$F$36,0)+L27*(Rates!$F$37+Rates!$F$38+Rates!$F$39)</f>
        <v>23.3238818</v>
      </c>
    </row>
    <row r="28" customFormat="false" ht="15" hidden="false" customHeight="false" outlineLevel="0" collapsed="false">
      <c r="A28" s="11" t="s">
        <v>161</v>
      </c>
      <c r="B28" s="11" t="s">
        <v>139</v>
      </c>
      <c r="C28" s="11" t="n">
        <v>12</v>
      </c>
      <c r="D28" s="11" t="n">
        <f aca="false">IF(AND(C28&gt;=6,C28&lt;=9),1,0)</f>
        <v>0</v>
      </c>
      <c r="E28" s="22" t="n">
        <v>2917.934</v>
      </c>
      <c r="F28" s="22" t="n">
        <v>2253.1</v>
      </c>
      <c r="G28" s="25" t="n">
        <f aca="false">E28-F28</f>
        <v>664.834</v>
      </c>
      <c r="H28" s="22" t="n">
        <v>252.07</v>
      </c>
      <c r="I28" s="22" t="n">
        <v>672.781</v>
      </c>
      <c r="J28" s="22" t="n">
        <v>1186.346</v>
      </c>
      <c r="K28" s="22" t="n">
        <v>806.737</v>
      </c>
      <c r="L28" s="22" t="n">
        <v>16.551</v>
      </c>
      <c r="M28" s="26" t="n">
        <f aca="false">Rates!$F$5+IF(D28=1,E28*Rates!$F$6,MIN(E28,Rates!$F$11)*Rates!$F$7+MAX(E28-Rates!$F$11,0)*Rates!$F$8)+E28*(Rates!$F$9+Rates!$F$10)</f>
        <v>401.75823204</v>
      </c>
      <c r="N28" s="26" t="n">
        <f aca="false">Rates!$F$12+H28*IF(D28=1,Rates!$F$13,Rates!$F$14)+I28*Rates!$F$15+J28*IF(D28=1,Rates!$F$16,Rates!$F$18)+K28*IF(D28=1,Rates!$F$17,Rates!$F$19)+E28*(Rates!$F$20+Rates!$F$21)</f>
        <v>366.30281012</v>
      </c>
      <c r="O28" s="26" t="n">
        <f aca="false">Rates!$F$22+IF(D28=1,E28*Rates!$F$23,E28*Rates!$F$24)+E28*(Rates!$F$25+Rates!$F$26)</f>
        <v>228.82924512</v>
      </c>
      <c r="P28" s="26" t="n">
        <f aca="false">Rates!$F$27+IF(D28=1,G28*Rates!$F$28,MIN(G28,Rates!$F$35)*Rates!$F$29+MAX(G28-Rates!$F$35,0)*Rates!$F$30)+IF(F28&gt;0,Rates!$F$31,0)+F28*Rates!$F$32+E28*(Rates!$F$33+Rates!$F$34)</f>
        <v>240.64621176</v>
      </c>
      <c r="Q28" s="26" t="n">
        <f aca="false">IF(L28&gt;0,Rates!$F$36,0)+L28*(Rates!$F$37+Rates!$F$38+Rates!$F$39)</f>
        <v>24.98031581</v>
      </c>
    </row>
    <row r="29" customFormat="false" ht="15" hidden="false" customHeight="false" outlineLevel="0" collapsed="false">
      <c r="A29" s="11" t="s">
        <v>161</v>
      </c>
      <c r="B29" s="11" t="s">
        <v>140</v>
      </c>
      <c r="C29" s="11" t="n">
        <v>1</v>
      </c>
      <c r="D29" s="11" t="n">
        <f aca="false">IF(AND(C29&gt;=6,C29&lt;=9),1,0)</f>
        <v>0</v>
      </c>
      <c r="E29" s="22" t="n">
        <v>990.324</v>
      </c>
      <c r="F29" s="22" t="n">
        <v>329.324</v>
      </c>
      <c r="G29" s="25" t="n">
        <f aca="false">E29-F29</f>
        <v>661</v>
      </c>
      <c r="H29" s="22" t="n">
        <v>126.269</v>
      </c>
      <c r="I29" s="22" t="n">
        <v>159.539</v>
      </c>
      <c r="J29" s="22" t="n">
        <v>455.868</v>
      </c>
      <c r="K29" s="22" t="n">
        <v>248.649</v>
      </c>
      <c r="L29" s="22" t="n">
        <v>286.973</v>
      </c>
      <c r="M29" s="26" t="n">
        <f aca="false">Rates!$F$5+IF(D29=1,E29*Rates!$F$6,MIN(E29,Rates!$F$11)*Rates!$F$7+MAX(E29-Rates!$F$11,0)*Rates!$F$8)+E29*(Rates!$F$9+Rates!$F$10)</f>
        <v>143.31787136</v>
      </c>
      <c r="N29" s="26" t="n">
        <f aca="false">Rates!$F$12+H29*IF(D29=1,Rates!$F$13,Rates!$F$14)+I29*Rates!$F$15+J29*IF(D29=1,Rates!$F$16,Rates!$F$18)+K29*IF(D29=1,Rates!$F$17,Rates!$F$19)+E29*(Rates!$F$20+Rates!$F$21)</f>
        <v>134.45630532</v>
      </c>
      <c r="O29" s="26" t="n">
        <f aca="false">Rates!$F$22+IF(D29=1,E29*Rates!$F$23,E29*Rates!$F$24)+E29*(Rates!$F$25+Rates!$F$26)</f>
        <v>82.94772032</v>
      </c>
      <c r="P29" s="26" t="n">
        <f aca="false">Rates!$F$27+IF(D29=1,G29*Rates!$F$28,MIN(G29,Rates!$F$35)*Rates!$F$29+MAX(G29-Rates!$F$35,0)*Rates!$F$30)+IF(F29&gt;0,Rates!$F$31,0)+F29*Rates!$F$32+E29*(Rates!$F$33+Rates!$F$34)</f>
        <v>123.27217976</v>
      </c>
      <c r="Q29" s="26" t="n">
        <f aca="false">IF(L29&gt;0,Rates!$F$36,0)+L29*(Rates!$F$37+Rates!$F$38+Rates!$F$39)</f>
        <v>277.90871663</v>
      </c>
    </row>
    <row r="30" customFormat="false" ht="15" hidden="false" customHeight="false" outlineLevel="0" collapsed="false">
      <c r="A30" s="11" t="s">
        <v>161</v>
      </c>
      <c r="B30" s="11" t="s">
        <v>140</v>
      </c>
      <c r="C30" s="11" t="n">
        <v>2</v>
      </c>
      <c r="D30" s="11" t="n">
        <f aca="false">IF(AND(C30&gt;=6,C30&lt;=9),1,0)</f>
        <v>0</v>
      </c>
      <c r="E30" s="22" t="n">
        <v>822.256</v>
      </c>
      <c r="F30" s="22" t="n">
        <v>223.056</v>
      </c>
      <c r="G30" s="25" t="n">
        <f aca="false">E30-F30</f>
        <v>599.2</v>
      </c>
      <c r="H30" s="22" t="n">
        <v>108.66</v>
      </c>
      <c r="I30" s="22" t="n">
        <v>128.192</v>
      </c>
      <c r="J30" s="22" t="n">
        <v>384.449</v>
      </c>
      <c r="K30" s="22" t="n">
        <v>200.955</v>
      </c>
      <c r="L30" s="22" t="n">
        <v>254.99</v>
      </c>
      <c r="M30" s="26" t="n">
        <f aca="false">Rates!$F$5+IF(D30=1,E30*Rates!$F$6,MIN(E30,Rates!$F$11)*Rates!$F$7+MAX(E30-Rates!$F$11,0)*Rates!$F$8)+E30*(Rates!$F$9+Rates!$F$10)</f>
        <v>120.35305984</v>
      </c>
      <c r="N30" s="26" t="n">
        <f aca="false">Rates!$F$12+H30*IF(D30=1,Rates!$F$13,Rates!$F$14)+I30*Rates!$F$15+J30*IF(D30=1,Rates!$F$16,Rates!$F$18)+K30*IF(D30=1,Rates!$F$17,Rates!$F$19)+E30*(Rates!$F$20+Rates!$F$21)</f>
        <v>113.37401408</v>
      </c>
      <c r="O30" s="26" t="n">
        <f aca="false">Rates!$F$22+IF(D30=1,E30*Rates!$F$23,E30*Rates!$F$24)+E30*(Rates!$F$25+Rates!$F$26)</f>
        <v>70.22833408</v>
      </c>
      <c r="P30" s="26" t="n">
        <f aca="false">Rates!$F$27+IF(D30=1,G30*Rates!$F$28,MIN(G30,Rates!$F$35)*Rates!$F$29+MAX(G30-Rates!$F$35,0)*Rates!$F$30)+IF(F30&gt;0,Rates!$F$31,0)+F30*Rates!$F$32+E30*(Rates!$F$33+Rates!$F$34)</f>
        <v>108.37310944</v>
      </c>
      <c r="Q30" s="26" t="n">
        <f aca="false">IF(L30&gt;0,Rates!$F$36,0)+L30*(Rates!$F$37+Rates!$F$38+Rates!$F$39)</f>
        <v>247.9946969</v>
      </c>
    </row>
    <row r="31" customFormat="false" ht="15" hidden="false" customHeight="false" outlineLevel="0" collapsed="false">
      <c r="A31" s="11" t="s">
        <v>161</v>
      </c>
      <c r="B31" s="11" t="s">
        <v>140</v>
      </c>
      <c r="C31" s="11" t="n">
        <v>3</v>
      </c>
      <c r="D31" s="11" t="n">
        <f aca="false">IF(AND(C31&gt;=6,C31&lt;=9),1,0)</f>
        <v>0</v>
      </c>
      <c r="E31" s="22" t="n">
        <v>1098.806</v>
      </c>
      <c r="F31" s="22" t="n">
        <v>456.501</v>
      </c>
      <c r="G31" s="25" t="n">
        <f aca="false">E31-F31</f>
        <v>642.305</v>
      </c>
      <c r="H31" s="22" t="n">
        <v>129.812</v>
      </c>
      <c r="I31" s="22" t="n">
        <v>181.781</v>
      </c>
      <c r="J31" s="22" t="n">
        <v>494.413</v>
      </c>
      <c r="K31" s="22" t="n">
        <v>292.8</v>
      </c>
      <c r="L31" s="22" t="n">
        <v>128.471</v>
      </c>
      <c r="M31" s="26" t="n">
        <f aca="false">Rates!$F$5+IF(D31=1,E31*Rates!$F$6,MIN(E31,Rates!$F$11)*Rates!$F$7+MAX(E31-Rates!$F$11,0)*Rates!$F$8)+E31*(Rates!$F$9+Rates!$F$10)</f>
        <v>157.88593236</v>
      </c>
      <c r="N31" s="26" t="n">
        <f aca="false">Rates!$F$12+H31*IF(D31=1,Rates!$F$13,Rates!$F$14)+I31*Rates!$F$15+J31*IF(D31=1,Rates!$F$16,Rates!$F$18)+K31*IF(D31=1,Rates!$F$17,Rates!$F$19)+E31*(Rates!$F$20+Rates!$F$21)</f>
        <v>147.52432308</v>
      </c>
      <c r="O31" s="26" t="n">
        <f aca="false">Rates!$F$22+IF(D31=1,E31*Rates!$F$23,E31*Rates!$F$24)+E31*(Rates!$F$25+Rates!$F$26)</f>
        <v>91.15763808</v>
      </c>
      <c r="P31" s="26" t="n">
        <f aca="false">Rates!$F$27+IF(D31=1,G31*Rates!$F$28,MIN(G31,Rates!$F$35)*Rates!$F$29+MAX(G31-Rates!$F$35,0)*Rates!$F$30)+IF(F31&gt;0,Rates!$F$31,0)+F31*Rates!$F$32+E31*(Rates!$F$33+Rates!$F$34)</f>
        <v>128.44242594</v>
      </c>
      <c r="Q31" s="26" t="n">
        <f aca="false">IF(L31&gt;0,Rates!$F$36,0)+L31*(Rates!$F$37+Rates!$F$38+Rates!$F$39)</f>
        <v>129.66021101</v>
      </c>
    </row>
    <row r="32" customFormat="false" ht="15" hidden="false" customHeight="false" outlineLevel="0" collapsed="false">
      <c r="A32" s="11" t="s">
        <v>161</v>
      </c>
      <c r="B32" s="11" t="s">
        <v>140</v>
      </c>
      <c r="C32" s="11" t="n">
        <v>4</v>
      </c>
      <c r="D32" s="11" t="n">
        <f aca="false">IF(AND(C32&gt;=6,C32&lt;=9),1,0)</f>
        <v>0</v>
      </c>
      <c r="E32" s="22" t="n">
        <v>925.018</v>
      </c>
      <c r="F32" s="22" t="n">
        <v>308.004</v>
      </c>
      <c r="G32" s="25" t="n">
        <f aca="false">E32-F32</f>
        <v>617.014</v>
      </c>
      <c r="H32" s="22" t="n">
        <v>107.455</v>
      </c>
      <c r="I32" s="22" t="n">
        <v>169.828</v>
      </c>
      <c r="J32" s="22" t="n">
        <v>438.46</v>
      </c>
      <c r="K32" s="22" t="n">
        <v>209.275</v>
      </c>
      <c r="L32" s="22" t="n">
        <v>103.487</v>
      </c>
      <c r="M32" s="26" t="n">
        <f aca="false">Rates!$F$5+IF(D32=1,E32*Rates!$F$6,MIN(E32,Rates!$F$11)*Rates!$F$7+MAX(E32-Rates!$F$11,0)*Rates!$F$8)+E32*(Rates!$F$9+Rates!$F$10)</f>
        <v>134.39445952</v>
      </c>
      <c r="N32" s="26" t="n">
        <f aca="false">Rates!$F$12+H32*IF(D32=1,Rates!$F$13,Rates!$F$14)+I32*Rates!$F$15+J32*IF(D32=1,Rates!$F$16,Rates!$F$18)+K32*IF(D32=1,Rates!$F$17,Rates!$F$19)+E32*(Rates!$F$20+Rates!$F$21)</f>
        <v>124.75958224</v>
      </c>
      <c r="O32" s="26" t="n">
        <f aca="false">Rates!$F$22+IF(D32=1,E32*Rates!$F$23,E32*Rates!$F$24)+E32*(Rates!$F$25+Rates!$F$26)</f>
        <v>78.00536224</v>
      </c>
      <c r="P32" s="26" t="n">
        <f aca="false">Rates!$F$27+IF(D32=1,G32*Rates!$F$28,MIN(G32,Rates!$F$35)*Rates!$F$29+MAX(G32-Rates!$F$35,0)*Rates!$F$30)+IF(F32&gt;0,Rates!$F$31,0)+F32*Rates!$F$32+E32*(Rates!$F$33+Rates!$F$34)</f>
        <v>115.96695592</v>
      </c>
      <c r="Q32" s="26" t="n">
        <f aca="false">IF(L32&gt;0,Rates!$F$36,0)+L32*(Rates!$F$37+Rates!$F$38+Rates!$F$39)</f>
        <v>106.29242597</v>
      </c>
    </row>
    <row r="33" customFormat="false" ht="15" hidden="false" customHeight="false" outlineLevel="0" collapsed="false">
      <c r="A33" s="11" t="s">
        <v>161</v>
      </c>
      <c r="B33" s="11" t="s">
        <v>140</v>
      </c>
      <c r="C33" s="11" t="n">
        <v>5</v>
      </c>
      <c r="D33" s="11" t="n">
        <f aca="false">IF(AND(C33&gt;=6,C33&lt;=9),1,0)</f>
        <v>0</v>
      </c>
      <c r="E33" s="22" t="n">
        <v>923.335</v>
      </c>
      <c r="F33" s="22" t="n">
        <v>30.704</v>
      </c>
      <c r="G33" s="25" t="n">
        <f aca="false">E33-F33</f>
        <v>892.631</v>
      </c>
      <c r="H33" s="22" t="n">
        <v>123.283</v>
      </c>
      <c r="I33" s="22" t="n">
        <v>144.949</v>
      </c>
      <c r="J33" s="22" t="n">
        <v>406.159</v>
      </c>
      <c r="K33" s="22" t="n">
        <v>248.945</v>
      </c>
      <c r="L33" s="22" t="n">
        <v>14.985</v>
      </c>
      <c r="M33" s="26" t="n">
        <f aca="false">Rates!$F$5+IF(D33=1,E33*Rates!$F$6,MIN(E33,Rates!$F$11)*Rates!$F$7+MAX(E33-Rates!$F$11,0)*Rates!$F$8)+E33*(Rates!$F$9+Rates!$F$10)</f>
        <v>134.1644944</v>
      </c>
      <c r="N33" s="26" t="n">
        <f aca="false">Rates!$F$12+H33*IF(D33=1,Rates!$F$13,Rates!$F$14)+I33*Rates!$F$15+J33*IF(D33=1,Rates!$F$16,Rates!$F$18)+K33*IF(D33=1,Rates!$F$17,Rates!$F$19)+E33*(Rates!$F$20+Rates!$F$21)</f>
        <v>126.3686178</v>
      </c>
      <c r="O33" s="26" t="n">
        <f aca="false">Rates!$F$22+IF(D33=1,E33*Rates!$F$23,E33*Rates!$F$24)+E33*(Rates!$F$25+Rates!$F$26)</f>
        <v>77.8779928</v>
      </c>
      <c r="P33" s="26" t="n">
        <f aca="false">Rates!$F$27+IF(D33=1,G33*Rates!$F$28,MIN(G33,Rates!$F$35)*Rates!$F$29+MAX(G33-Rates!$F$35,0)*Rates!$F$30)+IF(F33&gt;0,Rates!$F$31,0)+F33*Rates!$F$32+E33*(Rates!$F$33+Rates!$F$34)</f>
        <v>136.7840608</v>
      </c>
      <c r="Q33" s="26" t="n">
        <f aca="false">IF(L33&gt;0,Rates!$F$36,0)+L33*(Rates!$F$37+Rates!$F$38+Rates!$F$39)</f>
        <v>23.51562035</v>
      </c>
    </row>
    <row r="34" customFormat="false" ht="15" hidden="false" customHeight="false" outlineLevel="0" collapsed="false">
      <c r="A34" s="11" t="s">
        <v>161</v>
      </c>
      <c r="B34" s="11" t="s">
        <v>140</v>
      </c>
      <c r="C34" s="11" t="n">
        <v>6</v>
      </c>
      <c r="D34" s="11" t="n">
        <f aca="false">IF(AND(C34&gt;=6,C34&lt;=9),1,0)</f>
        <v>1</v>
      </c>
      <c r="E34" s="22" t="n">
        <v>1017.538</v>
      </c>
      <c r="F34" s="22" t="n">
        <v>2.364</v>
      </c>
      <c r="G34" s="25" t="n">
        <f aca="false">E34-F34</f>
        <v>1015.174</v>
      </c>
      <c r="H34" s="22" t="n">
        <v>139.424</v>
      </c>
      <c r="I34" s="22" t="n">
        <v>170.962</v>
      </c>
      <c r="J34" s="22" t="n">
        <v>443.221</v>
      </c>
      <c r="K34" s="22" t="n">
        <v>263.93</v>
      </c>
      <c r="L34" s="22" t="n">
        <v>13.392</v>
      </c>
      <c r="M34" s="26" t="n">
        <f aca="false">Rates!$F$5+IF(D34=1,E34*Rates!$F$6,MIN(E34,Rates!$F$11)*Rates!$F$7+MAX(E34-Rates!$F$11,0)*Rates!$F$8)+E34*(Rates!$F$9+Rates!$F$10)</f>
        <v>162.89980974</v>
      </c>
      <c r="N34" s="26" t="n">
        <f aca="false">Rates!$F$12+H34*IF(D34=1,Rates!$F$13,Rates!$F$14)+I34*Rates!$F$15+J34*IF(D34=1,Rates!$F$16,Rates!$F$18)+K34*IF(D34=1,Rates!$F$17,Rates!$F$19)+E34*(Rates!$F$20+Rates!$F$21)</f>
        <v>157.98581584</v>
      </c>
      <c r="O34" s="26" t="n">
        <f aca="false">Rates!$F$22+IF(D34=1,E34*Rates!$F$23,E34*Rates!$F$24)+E34*(Rates!$F$25+Rates!$F$26)</f>
        <v>162.89980974</v>
      </c>
      <c r="P34" s="26" t="n">
        <f aca="false">Rates!$F$27+IF(D34=1,G34*Rates!$F$28,MIN(G34,Rates!$F$35)*Rates!$F$29+MAX(G34-Rates!$F$35,0)*Rates!$F$30)+IF(F34&gt;0,Rates!$F$31,0)+F34*Rates!$F$32+E34*(Rates!$F$33+Rates!$F$34)</f>
        <v>167.63352738</v>
      </c>
      <c r="Q34" s="26" t="n">
        <f aca="false">IF(L34&gt;0,Rates!$F$36,0)+L34*(Rates!$F$37+Rates!$F$38+Rates!$F$39)</f>
        <v>22.02567152</v>
      </c>
    </row>
    <row r="35" customFormat="false" ht="15" hidden="false" customHeight="false" outlineLevel="0" collapsed="false">
      <c r="A35" s="11" t="s">
        <v>161</v>
      </c>
      <c r="B35" s="11" t="s">
        <v>140</v>
      </c>
      <c r="C35" s="11" t="n">
        <v>7</v>
      </c>
      <c r="D35" s="11" t="n">
        <f aca="false">IF(AND(C35&gt;=6,C35&lt;=9),1,0)</f>
        <v>1</v>
      </c>
      <c r="E35" s="22" t="n">
        <v>1190.418</v>
      </c>
      <c r="F35" s="22" t="n">
        <v>1.437</v>
      </c>
      <c r="G35" s="25" t="n">
        <f aca="false">E35-F35</f>
        <v>1188.981</v>
      </c>
      <c r="H35" s="22" t="n">
        <v>154.535</v>
      </c>
      <c r="I35" s="22" t="n">
        <v>199.356</v>
      </c>
      <c r="J35" s="22" t="n">
        <v>502.867</v>
      </c>
      <c r="K35" s="22" t="n">
        <v>333.66</v>
      </c>
      <c r="L35" s="22" t="n">
        <v>12.867</v>
      </c>
      <c r="M35" s="26" t="n">
        <f aca="false">Rates!$F$5+IF(D35=1,E35*Rates!$F$6,MIN(E35,Rates!$F$11)*Rates!$F$7+MAX(E35-Rates!$F$11,0)*Rates!$F$8)+E35*(Rates!$F$9+Rates!$F$10)</f>
        <v>189.21733214</v>
      </c>
      <c r="N35" s="26" t="n">
        <f aca="false">Rates!$F$12+H35*IF(D35=1,Rates!$F$13,Rates!$F$14)+I35*Rates!$F$15+J35*IF(D35=1,Rates!$F$16,Rates!$F$18)+K35*IF(D35=1,Rates!$F$17,Rates!$F$19)+E35*(Rates!$F$20+Rates!$F$21)</f>
        <v>182.81831424</v>
      </c>
      <c r="O35" s="26" t="n">
        <f aca="false">Rates!$F$22+IF(D35=1,E35*Rates!$F$23,E35*Rates!$F$24)+E35*(Rates!$F$25+Rates!$F$26)</f>
        <v>189.21733214</v>
      </c>
      <c r="P35" s="26" t="n">
        <f aca="false">Rates!$F$27+IF(D35=1,G35*Rates!$F$28,MIN(G35,Rates!$F$35)*Rates!$F$29+MAX(G35-Rates!$F$35,0)*Rates!$F$30)+IF(F35&gt;0,Rates!$F$31,0)+F35*Rates!$F$32+E35*(Rates!$F$33+Rates!$F$34)</f>
        <v>194.03586101</v>
      </c>
      <c r="Q35" s="26" t="n">
        <f aca="false">IF(L35&gt;0,Rates!$F$36,0)+L35*(Rates!$F$37+Rates!$F$38+Rates!$F$39)</f>
        <v>21.53463377</v>
      </c>
    </row>
    <row r="36" customFormat="false" ht="15" hidden="false" customHeight="false" outlineLevel="0" collapsed="false">
      <c r="A36" s="11" t="s">
        <v>161</v>
      </c>
      <c r="B36" s="11" t="s">
        <v>140</v>
      </c>
      <c r="C36" s="11" t="n">
        <v>8</v>
      </c>
      <c r="D36" s="11" t="n">
        <f aca="false">IF(AND(C36&gt;=6,C36&lt;=9),1,0)</f>
        <v>1</v>
      </c>
      <c r="E36" s="22" t="n">
        <v>1119.461</v>
      </c>
      <c r="F36" s="22" t="n">
        <v>2.436</v>
      </c>
      <c r="G36" s="25" t="n">
        <f aca="false">E36-F36</f>
        <v>1117.025</v>
      </c>
      <c r="H36" s="22" t="n">
        <v>155.44</v>
      </c>
      <c r="I36" s="22" t="n">
        <v>188.188</v>
      </c>
      <c r="J36" s="22" t="n">
        <v>513.937</v>
      </c>
      <c r="K36" s="22" t="n">
        <v>261.896</v>
      </c>
      <c r="L36" s="22" t="n">
        <v>12.633</v>
      </c>
      <c r="M36" s="26" t="n">
        <f aca="false">Rates!$F$5+IF(D36=1,E36*Rates!$F$6,MIN(E36,Rates!$F$11)*Rates!$F$7+MAX(E36-Rates!$F$11,0)*Rates!$F$8)+E36*(Rates!$F$9+Rates!$F$10)</f>
        <v>178.41554803</v>
      </c>
      <c r="N36" s="26" t="n">
        <f aca="false">Rates!$F$12+H36*IF(D36=1,Rates!$F$13,Rates!$F$14)+I36*Rates!$F$15+J36*IF(D36=1,Rates!$F$16,Rates!$F$18)+K36*IF(D36=1,Rates!$F$17,Rates!$F$19)+E36*(Rates!$F$20+Rates!$F$21)</f>
        <v>173.16793848</v>
      </c>
      <c r="O36" s="26" t="n">
        <f aca="false">Rates!$F$22+IF(D36=1,E36*Rates!$F$23,E36*Rates!$F$24)+E36*(Rates!$F$25+Rates!$F$26)</f>
        <v>178.41554803</v>
      </c>
      <c r="P36" s="26" t="n">
        <f aca="false">Rates!$F$27+IF(D36=1,G36*Rates!$F$28,MIN(G36,Rates!$F$35)*Rates!$F$29+MAX(G36-Rates!$F$35,0)*Rates!$F$30)+IF(F36&gt;0,Rates!$F$31,0)+F36*Rates!$F$32+E36*(Rates!$F$33+Rates!$F$34)</f>
        <v>183.14267839</v>
      </c>
      <c r="Q36" s="26" t="n">
        <f aca="false">IF(L36&gt;0,Rates!$F$36,0)+L36*(Rates!$F$37+Rates!$F$38+Rates!$F$39)</f>
        <v>21.31577123</v>
      </c>
    </row>
    <row r="37" customFormat="false" ht="15" hidden="false" customHeight="false" outlineLevel="0" collapsed="false">
      <c r="A37" s="11" t="s">
        <v>161</v>
      </c>
      <c r="B37" s="11" t="s">
        <v>140</v>
      </c>
      <c r="C37" s="11" t="n">
        <v>9</v>
      </c>
      <c r="D37" s="11" t="n">
        <f aca="false">IF(AND(C37&gt;=6,C37&lt;=9),1,0)</f>
        <v>1</v>
      </c>
      <c r="E37" s="22" t="n">
        <v>921.591</v>
      </c>
      <c r="F37" s="22" t="n">
        <v>57.184</v>
      </c>
      <c r="G37" s="25" t="n">
        <f aca="false">E37-F37</f>
        <v>864.407</v>
      </c>
      <c r="H37" s="22" t="n">
        <v>98.63</v>
      </c>
      <c r="I37" s="22" t="n">
        <v>156.433</v>
      </c>
      <c r="J37" s="22" t="n">
        <v>341.595</v>
      </c>
      <c r="K37" s="22" t="n">
        <v>324.934</v>
      </c>
      <c r="L37" s="22" t="n">
        <v>12.847</v>
      </c>
      <c r="M37" s="26" t="n">
        <f aca="false">Rates!$F$5+IF(D37=1,E37*Rates!$F$6,MIN(E37,Rates!$F$11)*Rates!$F$7+MAX(E37-Rates!$F$11,0)*Rates!$F$8)+E37*(Rates!$F$9+Rates!$F$10)</f>
        <v>148.29379793</v>
      </c>
      <c r="N37" s="26" t="n">
        <f aca="false">Rates!$F$12+H37*IF(D37=1,Rates!$F$13,Rates!$F$14)+I37*Rates!$F$15+J37*IF(D37=1,Rates!$F$16,Rates!$F$18)+K37*IF(D37=1,Rates!$F$17,Rates!$F$19)+E37*(Rates!$F$20+Rates!$F$21)</f>
        <v>141.54409188</v>
      </c>
      <c r="O37" s="26" t="n">
        <f aca="false">Rates!$F$22+IF(D37=1,E37*Rates!$F$23,E37*Rates!$F$24)+E37*(Rates!$F$25+Rates!$F$26)</f>
        <v>148.29379793</v>
      </c>
      <c r="P37" s="26" t="n">
        <f aca="false">Rates!$F$27+IF(D37=1,G37*Rates!$F$28,MIN(G37,Rates!$F$35)*Rates!$F$29+MAX(G37-Rates!$F$35,0)*Rates!$F$30)+IF(F37&gt;0,Rates!$F$31,0)+F37*Rates!$F$32+E37*(Rates!$F$33+Rates!$F$34)</f>
        <v>148.01203377</v>
      </c>
      <c r="Q37" s="26" t="n">
        <f aca="false">IF(L37&gt;0,Rates!$F$36,0)+L37*(Rates!$F$37+Rates!$F$38+Rates!$F$39)</f>
        <v>21.51592757</v>
      </c>
    </row>
    <row r="38" customFormat="false" ht="15" hidden="false" customHeight="false" outlineLevel="0" collapsed="false">
      <c r="A38" s="11" t="s">
        <v>161</v>
      </c>
      <c r="B38" s="11" t="s">
        <v>140</v>
      </c>
      <c r="C38" s="11" t="n">
        <v>10</v>
      </c>
      <c r="D38" s="11" t="n">
        <f aca="false">IF(AND(C38&gt;=6,C38&lt;=9),1,0)</f>
        <v>0</v>
      </c>
      <c r="E38" s="22" t="n">
        <v>1078.391</v>
      </c>
      <c r="F38" s="22" t="n">
        <v>467.681</v>
      </c>
      <c r="G38" s="25" t="n">
        <f aca="false">E38-F38</f>
        <v>610.71</v>
      </c>
      <c r="H38" s="22" t="n">
        <v>111.477</v>
      </c>
      <c r="I38" s="22" t="n">
        <v>211.476</v>
      </c>
      <c r="J38" s="22" t="n">
        <v>509.064</v>
      </c>
      <c r="K38" s="22" t="n">
        <v>246.375</v>
      </c>
      <c r="L38" s="22" t="n">
        <v>29.186</v>
      </c>
      <c r="M38" s="26" t="n">
        <f aca="false">Rates!$F$5+IF(D38=1,E38*Rates!$F$6,MIN(E38,Rates!$F$11)*Rates!$F$7+MAX(E38-Rates!$F$11,0)*Rates!$F$8)+E38*(Rates!$F$9+Rates!$F$10)</f>
        <v>155.14909746</v>
      </c>
      <c r="N38" s="26" t="n">
        <f aca="false">Rates!$F$12+H38*IF(D38=1,Rates!$F$13,Rates!$F$14)+I38*Rates!$F$15+J38*IF(D38=1,Rates!$F$16,Rates!$F$18)+K38*IF(D38=1,Rates!$F$17,Rates!$F$19)+E38*(Rates!$F$20+Rates!$F$21)</f>
        <v>142.81925088</v>
      </c>
      <c r="O38" s="26" t="n">
        <f aca="false">Rates!$F$22+IF(D38=1,E38*Rates!$F$23,E38*Rates!$F$24)+E38*(Rates!$F$25+Rates!$F$26)</f>
        <v>89.61263088</v>
      </c>
      <c r="P38" s="26" t="n">
        <f aca="false">Rates!$F$27+IF(D38=1,G38*Rates!$F$28,MIN(G38,Rates!$F$35)*Rates!$F$29+MAX(G38-Rates!$F$35,0)*Rates!$F$30)+IF(F38&gt;0,Rates!$F$31,0)+F38*Rates!$F$32+E38*(Rates!$F$33+Rates!$F$34)</f>
        <v>124.80435834</v>
      </c>
      <c r="Q38" s="26" t="n">
        <f aca="false">IF(L38&gt;0,Rates!$F$36,0)+L38*(Rates!$F$37+Rates!$F$38+Rates!$F$39)</f>
        <v>36.79795766</v>
      </c>
    </row>
    <row r="39" customFormat="false" ht="15" hidden="false" customHeight="false" outlineLevel="0" collapsed="false">
      <c r="A39" s="11" t="s">
        <v>161</v>
      </c>
      <c r="B39" s="11" t="s">
        <v>140</v>
      </c>
      <c r="C39" s="11" t="n">
        <v>11</v>
      </c>
      <c r="D39" s="11" t="n">
        <f aca="false">IF(AND(C39&gt;=6,C39&lt;=9),1,0)</f>
        <v>0</v>
      </c>
      <c r="E39" s="22" t="n">
        <v>986.233</v>
      </c>
      <c r="F39" s="22" t="n">
        <v>386.471</v>
      </c>
      <c r="G39" s="25" t="n">
        <f aca="false">E39-F39</f>
        <v>599.762</v>
      </c>
      <c r="H39" s="22" t="n">
        <v>109.845</v>
      </c>
      <c r="I39" s="22" t="n">
        <v>184.849</v>
      </c>
      <c r="J39" s="22" t="n">
        <v>423.52</v>
      </c>
      <c r="K39" s="22" t="n">
        <v>268.02</v>
      </c>
      <c r="L39" s="22" t="n">
        <v>164.312</v>
      </c>
      <c r="M39" s="26" t="n">
        <f aca="false">Rates!$F$5+IF(D39=1,E39*Rates!$F$6,MIN(E39,Rates!$F$11)*Rates!$F$7+MAX(E39-Rates!$F$11,0)*Rates!$F$8)+E39*(Rates!$F$9+Rates!$F$10)</f>
        <v>142.75887712</v>
      </c>
      <c r="N39" s="26" t="n">
        <f aca="false">Rates!$F$12+H39*IF(D39=1,Rates!$F$13,Rates!$F$14)+I39*Rates!$F$15+J39*IF(D39=1,Rates!$F$16,Rates!$F$18)+K39*IF(D39=1,Rates!$F$17,Rates!$F$19)+E39*(Rates!$F$20+Rates!$F$21)</f>
        <v>132.07085844</v>
      </c>
      <c r="O39" s="26" t="n">
        <f aca="false">Rates!$F$22+IF(D39=1,E39*Rates!$F$23,E39*Rates!$F$24)+E39*(Rates!$F$25+Rates!$F$26)</f>
        <v>82.63811344</v>
      </c>
      <c r="P39" s="26" t="n">
        <f aca="false">Rates!$F$27+IF(D39=1,G39*Rates!$F$28,MIN(G39,Rates!$F$35)*Rates!$F$29+MAX(G39-Rates!$F$35,0)*Rates!$F$30)+IF(F39&gt;0,Rates!$F$31,0)+F39*Rates!$F$32+E39*(Rates!$F$33+Rates!$F$34)</f>
        <v>118.37572822</v>
      </c>
      <c r="Q39" s="26" t="n">
        <f aca="false">IF(L39&gt;0,Rates!$F$36,0)+L39*(Rates!$F$37+Rates!$F$38+Rates!$F$39)</f>
        <v>163.18265672</v>
      </c>
    </row>
    <row r="40" customFormat="false" ht="15" hidden="false" customHeight="false" outlineLevel="0" collapsed="false">
      <c r="A40" s="11" t="s">
        <v>161</v>
      </c>
      <c r="B40" s="11" t="s">
        <v>140</v>
      </c>
      <c r="C40" s="11" t="n">
        <v>12</v>
      </c>
      <c r="D40" s="11" t="n">
        <f aca="false">IF(AND(C40&gt;=6,C40&lt;=9),1,0)</f>
        <v>0</v>
      </c>
      <c r="E40" s="22" t="n">
        <v>964.538</v>
      </c>
      <c r="F40" s="22" t="n">
        <v>299.739</v>
      </c>
      <c r="G40" s="25" t="n">
        <f aca="false">E40-F40</f>
        <v>664.799</v>
      </c>
      <c r="H40" s="22" t="n">
        <v>110.535</v>
      </c>
      <c r="I40" s="22" t="n">
        <v>154.157</v>
      </c>
      <c r="J40" s="22" t="n">
        <v>416.499</v>
      </c>
      <c r="K40" s="22" t="n">
        <v>283.346</v>
      </c>
      <c r="L40" s="22" t="n">
        <v>211.67</v>
      </c>
      <c r="M40" s="26" t="n">
        <f aca="false">Rates!$F$5+IF(D40=1,E40*Rates!$F$6,MIN(E40,Rates!$F$11)*Rates!$F$7+MAX(E40-Rates!$F$11,0)*Rates!$F$8)+E40*(Rates!$F$9+Rates!$F$10)</f>
        <v>139.79447232</v>
      </c>
      <c r="N40" s="26" t="n">
        <f aca="false">Rates!$F$12+H40*IF(D40=1,Rates!$F$13,Rates!$F$14)+I40*Rates!$F$15+J40*IF(D40=1,Rates!$F$16,Rates!$F$18)+K40*IF(D40=1,Rates!$F$17,Rates!$F$19)+E40*(Rates!$F$20+Rates!$F$21)</f>
        <v>130.45963084</v>
      </c>
      <c r="O40" s="26" t="n">
        <f aca="false">Rates!$F$22+IF(D40=1,E40*Rates!$F$23,E40*Rates!$F$24)+E40*(Rates!$F$25+Rates!$F$26)</f>
        <v>80.99623584</v>
      </c>
      <c r="P40" s="26" t="n">
        <f aca="false">Rates!$F$27+IF(D40=1,G40*Rates!$F$28,MIN(G40,Rates!$F$35)*Rates!$F$29+MAX(G40-Rates!$F$35,0)*Rates!$F$30)+IF(F40&gt;0,Rates!$F$31,0)+F40*Rates!$F$32+E40*(Rates!$F$33+Rates!$F$34)</f>
        <v>121.99428222</v>
      </c>
      <c r="Q40" s="26" t="n">
        <f aca="false">IF(L40&gt;0,Rates!$F$36,0)+L40*(Rates!$F$37+Rates!$F$38+Rates!$F$39)</f>
        <v>207.4770677</v>
      </c>
    </row>
    <row r="41" customFormat="false" ht="15" hidden="false" customHeight="false" outlineLevel="0" collapsed="false">
      <c r="A41" s="11" t="s">
        <v>161</v>
      </c>
      <c r="B41" s="11" t="s">
        <v>141</v>
      </c>
      <c r="C41" s="11" t="n">
        <v>1</v>
      </c>
      <c r="D41" s="11" t="n">
        <f aca="false">IF(AND(C41&gt;=6,C41&lt;=9),1,0)</f>
        <v>0</v>
      </c>
      <c r="E41" s="22" t="n">
        <v>8232.731</v>
      </c>
      <c r="F41" s="22" t="n">
        <v>7539.174</v>
      </c>
      <c r="G41" s="25" t="n">
        <f aca="false">E41-F41</f>
        <v>693.557</v>
      </c>
      <c r="H41" s="22" t="n">
        <v>681.32</v>
      </c>
      <c r="I41" s="22" t="n">
        <v>2044.389</v>
      </c>
      <c r="J41" s="22" t="n">
        <v>3641.207</v>
      </c>
      <c r="K41" s="22" t="n">
        <v>1865.815</v>
      </c>
      <c r="L41" s="22" t="n">
        <v>17.267</v>
      </c>
      <c r="M41" s="26" t="n">
        <f aca="false">Rates!$F$5+IF(D41=1,E41*Rates!$F$6,MIN(E41,Rates!$F$11)*Rates!$F$7+MAX(E41-Rates!$F$11,0)*Rates!$F$8)+E41*(Rates!$F$9+Rates!$F$10)</f>
        <v>1114.25991786</v>
      </c>
      <c r="N41" s="26" t="n">
        <f aca="false">Rates!$F$12+H41*IF(D41=1,Rates!$F$13,Rates!$F$14)+I41*Rates!$F$15+J41*IF(D41=1,Rates!$F$16,Rates!$F$18)+K41*IF(D41=1,Rates!$F$17,Rates!$F$19)+E41*(Rates!$F$20+Rates!$F$21)</f>
        <v>1012.01521708</v>
      </c>
      <c r="O41" s="26" t="n">
        <f aca="false">Rates!$F$22+IF(D41=1,E41*Rates!$F$23,E41*Rates!$F$24)+E41*(Rates!$F$25+Rates!$F$26)</f>
        <v>631.05308208</v>
      </c>
      <c r="P41" s="26" t="n">
        <f aca="false">Rates!$F$27+IF(D41=1,G41*Rates!$F$28,MIN(G41,Rates!$F$35)*Rates!$F$29+MAX(G41-Rates!$F$35,0)*Rates!$F$30)+IF(F41&gt;0,Rates!$F$31,0)+F41*Rates!$F$32+E41*(Rates!$F$33+Rates!$F$34)</f>
        <v>565.64705724</v>
      </c>
      <c r="Q41" s="26" t="n">
        <f aca="false">IF(L41&gt;0,Rates!$F$36,0)+L41*(Rates!$F$37+Rates!$F$38+Rates!$F$39)</f>
        <v>25.64999777</v>
      </c>
    </row>
    <row r="42" customFormat="false" ht="15" hidden="false" customHeight="false" outlineLevel="0" collapsed="false">
      <c r="A42" s="11" t="s">
        <v>161</v>
      </c>
      <c r="B42" s="11" t="s">
        <v>141</v>
      </c>
      <c r="C42" s="11" t="n">
        <v>2</v>
      </c>
      <c r="D42" s="11" t="n">
        <f aca="false">IF(AND(C42&gt;=6,C42&lt;=9),1,0)</f>
        <v>0</v>
      </c>
      <c r="E42" s="22" t="n">
        <v>7083.335</v>
      </c>
      <c r="F42" s="22" t="n">
        <v>6454.825</v>
      </c>
      <c r="G42" s="25" t="n">
        <f aca="false">E42-F42</f>
        <v>628.51</v>
      </c>
      <c r="H42" s="22" t="n">
        <v>561.955</v>
      </c>
      <c r="I42" s="22" t="n">
        <v>1833.218</v>
      </c>
      <c r="J42" s="22" t="n">
        <v>3156.978</v>
      </c>
      <c r="K42" s="22" t="n">
        <v>1531.185</v>
      </c>
      <c r="L42" s="22" t="n">
        <v>15.824</v>
      </c>
      <c r="M42" s="26" t="n">
        <f aca="false">Rates!$F$5+IF(D42=1,E42*Rates!$F$6,MIN(E42,Rates!$F$11)*Rates!$F$7+MAX(E42-Rates!$F$11,0)*Rates!$F$8)+E42*(Rates!$F$9+Rates!$F$10)</f>
        <v>960.1718901</v>
      </c>
      <c r="N42" s="26" t="n">
        <f aca="false">Rates!$F$12+H42*IF(D42=1,Rates!$F$13,Rates!$F$14)+I42*Rates!$F$15+J42*IF(D42=1,Rates!$F$16,Rates!$F$18)+K42*IF(D42=1,Rates!$F$17,Rates!$F$19)+E42*(Rates!$F$20+Rates!$F$21)</f>
        <v>867.7883228</v>
      </c>
      <c r="O42" s="26" t="n">
        <f aca="false">Rates!$F$22+IF(D42=1,E42*Rates!$F$23,E42*Rates!$F$24)+E42*(Rates!$F$25+Rates!$F$26)</f>
        <v>544.0667928</v>
      </c>
      <c r="P42" s="26" t="n">
        <f aca="false">Rates!$F$27+IF(D42=1,G42*Rates!$F$28,MIN(G42,Rates!$F$35)*Rates!$F$29+MAX(G42-Rates!$F$35,0)*Rates!$F$30)+IF(F42&gt;0,Rates!$F$31,0)+F42*Rates!$F$32+E42*(Rates!$F$33+Rates!$F$34)</f>
        <v>490.8956769</v>
      </c>
      <c r="Q42" s="26" t="n">
        <f aca="false">IF(L42&gt;0,Rates!$F$36,0)+L42*(Rates!$F$37+Rates!$F$38+Rates!$F$39)</f>
        <v>24.30034544</v>
      </c>
    </row>
    <row r="43" customFormat="false" ht="15" hidden="false" customHeight="false" outlineLevel="0" collapsed="false">
      <c r="A43" s="11" t="s">
        <v>161</v>
      </c>
      <c r="B43" s="11" t="s">
        <v>141</v>
      </c>
      <c r="C43" s="11" t="n">
        <v>3</v>
      </c>
      <c r="D43" s="11" t="n">
        <f aca="false">IF(AND(C43&gt;=6,C43&lt;=9),1,0)</f>
        <v>0</v>
      </c>
      <c r="E43" s="22" t="n">
        <v>4432.152</v>
      </c>
      <c r="F43" s="22" t="n">
        <v>3757.51</v>
      </c>
      <c r="G43" s="25" t="n">
        <f aca="false">E43-F43</f>
        <v>674.642</v>
      </c>
      <c r="H43" s="22" t="n">
        <v>317.798</v>
      </c>
      <c r="I43" s="22" t="n">
        <v>1101.35</v>
      </c>
      <c r="J43" s="22" t="n">
        <v>2061.101</v>
      </c>
      <c r="K43" s="22" t="n">
        <v>951.902</v>
      </c>
      <c r="L43" s="22" t="n">
        <v>17.294</v>
      </c>
      <c r="M43" s="26" t="n">
        <f aca="false">Rates!$F$5+IF(D43=1,E43*Rates!$F$6,MIN(E43,Rates!$F$11)*Rates!$F$7+MAX(E43-Rates!$F$11,0)*Rates!$F$8)+E43*(Rates!$F$9+Rates!$F$10)</f>
        <v>604.75429712</v>
      </c>
      <c r="N43" s="26" t="n">
        <f aca="false">Rates!$F$12+H43*IF(D43=1,Rates!$F$13,Rates!$F$14)+I43*Rates!$F$15+J43*IF(D43=1,Rates!$F$16,Rates!$F$18)+K43*IF(D43=1,Rates!$F$17,Rates!$F$19)+E43*(Rates!$F$20+Rates!$F$21)</f>
        <v>545.55338336</v>
      </c>
      <c r="O43" s="26" t="n">
        <f aca="false">Rates!$F$22+IF(D43=1,E43*Rates!$F$23,E43*Rates!$F$24)+E43*(Rates!$F$25+Rates!$F$26)</f>
        <v>343.42526336</v>
      </c>
      <c r="P43" s="26" t="n">
        <f aca="false">Rates!$F$27+IF(D43=1,G43*Rates!$F$28,MIN(G43,Rates!$F$35)*Rates!$F$29+MAX(G43-Rates!$F$35,0)*Rates!$F$30)+IF(F43&gt;0,Rates!$F$31,0)+F43*Rates!$F$32+E43*(Rates!$F$33+Rates!$F$34)</f>
        <v>333.36424028</v>
      </c>
      <c r="Q43" s="26" t="n">
        <f aca="false">IF(L43&gt;0,Rates!$F$36,0)+L43*(Rates!$F$37+Rates!$F$38+Rates!$F$39)</f>
        <v>25.67525114</v>
      </c>
    </row>
    <row r="44" customFormat="false" ht="15" hidden="false" customHeight="false" outlineLevel="0" collapsed="false">
      <c r="A44" s="11" t="s">
        <v>161</v>
      </c>
      <c r="B44" s="11" t="s">
        <v>141</v>
      </c>
      <c r="C44" s="11" t="n">
        <v>4</v>
      </c>
      <c r="D44" s="11" t="n">
        <f aca="false">IF(AND(C44&gt;=6,C44&lt;=9),1,0)</f>
        <v>0</v>
      </c>
      <c r="E44" s="22" t="n">
        <v>3493.48</v>
      </c>
      <c r="F44" s="22" t="n">
        <v>2852.488</v>
      </c>
      <c r="G44" s="25" t="n">
        <f aca="false">E44-F44</f>
        <v>640.992</v>
      </c>
      <c r="H44" s="22" t="n">
        <v>226.599</v>
      </c>
      <c r="I44" s="22" t="n">
        <v>892.878</v>
      </c>
      <c r="J44" s="22" t="n">
        <v>1510.809</v>
      </c>
      <c r="K44" s="22" t="n">
        <v>863.193</v>
      </c>
      <c r="L44" s="22" t="n">
        <v>15.859</v>
      </c>
      <c r="M44" s="26" t="n">
        <f aca="false">Rates!$F$5+IF(D44=1,E44*Rates!$F$6,MIN(E44,Rates!$F$11)*Rates!$F$7+MAX(E44-Rates!$F$11,0)*Rates!$F$8)+E44*(Rates!$F$9+Rates!$F$10)</f>
        <v>478.9159288</v>
      </c>
      <c r="N44" s="26" t="n">
        <f aca="false">Rates!$F$12+H44*IF(D44=1,Rates!$F$13,Rates!$F$14)+I44*Rates!$F$15+J44*IF(D44=1,Rates!$F$16,Rates!$F$18)+K44*IF(D44=1,Rates!$F$17,Rates!$F$19)+E44*(Rates!$F$20+Rates!$F$21)</f>
        <v>429.4056664</v>
      </c>
      <c r="O44" s="26" t="n">
        <f aca="false">Rates!$F$22+IF(D44=1,E44*Rates!$F$23,E44*Rates!$F$24)+E44*(Rates!$F$25+Rates!$F$26)</f>
        <v>272.3865664</v>
      </c>
      <c r="P44" s="26" t="n">
        <f aca="false">Rates!$F$27+IF(D44=1,G44*Rates!$F$28,MIN(G44,Rates!$F$35)*Rates!$F$29+MAX(G44-Rates!$F$35,0)*Rates!$F$30)+IF(F44&gt;0,Rates!$F$31,0)+F44*Rates!$F$32+E44*(Rates!$F$33+Rates!$F$34)</f>
        <v>273.795268</v>
      </c>
      <c r="Q44" s="26" t="n">
        <f aca="false">IF(L44&gt;0,Rates!$F$36,0)+L44*(Rates!$F$37+Rates!$F$38+Rates!$F$39)</f>
        <v>24.33308129</v>
      </c>
    </row>
    <row r="45" customFormat="false" ht="15" hidden="false" customHeight="false" outlineLevel="0" collapsed="false">
      <c r="A45" s="11" t="s">
        <v>161</v>
      </c>
      <c r="B45" s="11" t="s">
        <v>141</v>
      </c>
      <c r="C45" s="11" t="n">
        <v>5</v>
      </c>
      <c r="D45" s="11" t="n">
        <f aca="false">IF(AND(C45&gt;=6,C45&lt;=9),1,0)</f>
        <v>0</v>
      </c>
      <c r="E45" s="22" t="n">
        <v>947.568</v>
      </c>
      <c r="F45" s="22" t="n">
        <v>93.912</v>
      </c>
      <c r="G45" s="25" t="n">
        <f aca="false">E45-F45</f>
        <v>853.656</v>
      </c>
      <c r="H45" s="22" t="n">
        <v>117.704</v>
      </c>
      <c r="I45" s="22" t="n">
        <v>154.816</v>
      </c>
      <c r="J45" s="22" t="n">
        <v>417.202</v>
      </c>
      <c r="K45" s="22" t="n">
        <v>257.846</v>
      </c>
      <c r="L45" s="22" t="n">
        <v>14.969</v>
      </c>
      <c r="M45" s="26" t="n">
        <f aca="false">Rates!$F$5+IF(D45=1,E45*Rates!$F$6,MIN(E45,Rates!$F$11)*Rates!$F$7+MAX(E45-Rates!$F$11,0)*Rates!$F$8)+E45*(Rates!$F$9+Rates!$F$10)</f>
        <v>137.47569152</v>
      </c>
      <c r="N45" s="26" t="n">
        <f aca="false">Rates!$F$12+H45*IF(D45=1,Rates!$F$13,Rates!$F$14)+I45*Rates!$F$15+J45*IF(D45=1,Rates!$F$16,Rates!$F$18)+K45*IF(D45=1,Rates!$F$17,Rates!$F$19)+E45*(Rates!$F$20+Rates!$F$21)</f>
        <v>128.73402624</v>
      </c>
      <c r="O45" s="26" t="n">
        <f aca="false">Rates!$F$22+IF(D45=1,E45*Rates!$F$23,E45*Rates!$F$24)+E45*(Rates!$F$25+Rates!$F$26)</f>
        <v>79.71194624</v>
      </c>
      <c r="P45" s="26" t="n">
        <f aca="false">Rates!$F$27+IF(D45=1,G45*Rates!$F$28,MIN(G45,Rates!$F$35)*Rates!$F$29+MAX(G45-Rates!$F$35,0)*Rates!$F$30)+IF(F45&gt;0,Rates!$F$31,0)+F45*Rates!$F$32+E45*(Rates!$F$33+Rates!$F$34)</f>
        <v>135.29777072</v>
      </c>
      <c r="Q45" s="26" t="n">
        <f aca="false">IF(L45&gt;0,Rates!$F$36,0)+L45*(Rates!$F$37+Rates!$F$38+Rates!$F$39)</f>
        <v>23.50065539</v>
      </c>
    </row>
    <row r="46" customFormat="false" ht="15" hidden="false" customHeight="false" outlineLevel="0" collapsed="false">
      <c r="A46" s="11" t="s">
        <v>161</v>
      </c>
      <c r="B46" s="11" t="s">
        <v>141</v>
      </c>
      <c r="C46" s="11" t="n">
        <v>6</v>
      </c>
      <c r="D46" s="11" t="n">
        <f aca="false">IF(AND(C46&gt;=6,C46&lt;=9),1,0)</f>
        <v>1</v>
      </c>
      <c r="E46" s="22" t="n">
        <v>960.88</v>
      </c>
      <c r="F46" s="22" t="n">
        <v>9.672</v>
      </c>
      <c r="G46" s="25" t="n">
        <f aca="false">E46-F46</f>
        <v>951.208</v>
      </c>
      <c r="H46" s="22" t="n">
        <v>129.032</v>
      </c>
      <c r="I46" s="22" t="n">
        <v>160.014</v>
      </c>
      <c r="J46" s="22" t="n">
        <v>422.065</v>
      </c>
      <c r="K46" s="22" t="n">
        <v>249.769</v>
      </c>
      <c r="L46" s="22" t="n">
        <v>13.361</v>
      </c>
      <c r="M46" s="26" t="n">
        <f aca="false">Rates!$F$5+IF(D46=1,E46*Rates!$F$6,MIN(E46,Rates!$F$11)*Rates!$F$7+MAX(E46-Rates!$F$11,0)*Rates!$F$8)+E46*(Rates!$F$9+Rates!$F$10)</f>
        <v>154.2747624</v>
      </c>
      <c r="N46" s="26" t="n">
        <f aca="false">Rates!$F$12+H46*IF(D46=1,Rates!$F$13,Rates!$F$14)+I46*Rates!$F$15+J46*IF(D46=1,Rates!$F$16,Rates!$F$18)+K46*IF(D46=1,Rates!$F$17,Rates!$F$19)+E46*(Rates!$F$20+Rates!$F$21)</f>
        <v>149.5027884</v>
      </c>
      <c r="O46" s="26" t="n">
        <f aca="false">Rates!$F$22+IF(D46=1,E46*Rates!$F$23,E46*Rates!$F$24)+E46*(Rates!$F$25+Rates!$F$26)</f>
        <v>154.2747624</v>
      </c>
      <c r="P46" s="26" t="n">
        <f aca="false">Rates!$F$27+IF(D46=1,G46*Rates!$F$28,MIN(G46,Rates!$F$35)*Rates!$F$29+MAX(G46-Rates!$F$35,0)*Rates!$F$30)+IF(F46&gt;0,Rates!$F$31,0)+F46*Rates!$F$32+E46*(Rates!$F$33+Rates!$F$34)</f>
        <v>158.33987112</v>
      </c>
      <c r="Q46" s="26" t="n">
        <f aca="false">IF(L46&gt;0,Rates!$F$36,0)+L46*(Rates!$F$37+Rates!$F$38+Rates!$F$39)</f>
        <v>21.99667691</v>
      </c>
    </row>
    <row r="47" customFormat="false" ht="15" hidden="false" customHeight="false" outlineLevel="0" collapsed="false">
      <c r="A47" s="11" t="s">
        <v>161</v>
      </c>
      <c r="B47" s="11" t="s">
        <v>141</v>
      </c>
      <c r="C47" s="11" t="n">
        <v>7</v>
      </c>
      <c r="D47" s="11" t="n">
        <f aca="false">IF(AND(C47&gt;=6,C47&lt;=9),1,0)</f>
        <v>1</v>
      </c>
      <c r="E47" s="22" t="n">
        <v>1109.158</v>
      </c>
      <c r="F47" s="22" t="n">
        <v>6.529</v>
      </c>
      <c r="G47" s="25" t="n">
        <f aca="false">E47-F47</f>
        <v>1102.629</v>
      </c>
      <c r="H47" s="22" t="n">
        <v>141.507</v>
      </c>
      <c r="I47" s="22" t="n">
        <v>184.752</v>
      </c>
      <c r="J47" s="22" t="n">
        <v>472.177</v>
      </c>
      <c r="K47" s="22" t="n">
        <v>310.723</v>
      </c>
      <c r="L47" s="22" t="n">
        <v>12.82</v>
      </c>
      <c r="M47" s="26" t="n">
        <f aca="false">Rates!$F$5+IF(D47=1,E47*Rates!$F$6,MIN(E47,Rates!$F$11)*Rates!$F$7+MAX(E47-Rates!$F$11,0)*Rates!$F$8)+E47*(Rates!$F$9+Rates!$F$10)</f>
        <v>176.84712234</v>
      </c>
      <c r="N47" s="26" t="n">
        <f aca="false">Rates!$F$12+H47*IF(D47=1,Rates!$F$13,Rates!$F$14)+I47*Rates!$F$15+J47*IF(D47=1,Rates!$F$16,Rates!$F$18)+K47*IF(D47=1,Rates!$F$17,Rates!$F$19)+E47*(Rates!$F$20+Rates!$F$21)</f>
        <v>170.74146744</v>
      </c>
      <c r="O47" s="26" t="n">
        <f aca="false">Rates!$F$22+IF(D47=1,E47*Rates!$F$23,E47*Rates!$F$24)+E47*(Rates!$F$25+Rates!$F$26)</f>
        <v>176.84712234</v>
      </c>
      <c r="P47" s="26" t="n">
        <f aca="false">Rates!$F$27+IF(D47=1,G47*Rates!$F$28,MIN(G47,Rates!$F$35)*Rates!$F$29+MAX(G47-Rates!$F$35,0)*Rates!$F$30)+IF(F47&gt;0,Rates!$F$31,0)+F47*Rates!$F$32+E47*(Rates!$F$33+Rates!$F$34)</f>
        <v>181.19978413</v>
      </c>
      <c r="Q47" s="26" t="n">
        <f aca="false">IF(L47&gt;0,Rates!$F$36,0)+L47*(Rates!$F$37+Rates!$F$38+Rates!$F$39)</f>
        <v>21.4906742</v>
      </c>
    </row>
    <row r="48" customFormat="false" ht="15" hidden="false" customHeight="false" outlineLevel="0" collapsed="false">
      <c r="A48" s="11" t="s">
        <v>161</v>
      </c>
      <c r="B48" s="11" t="s">
        <v>141</v>
      </c>
      <c r="C48" s="11" t="n">
        <v>8</v>
      </c>
      <c r="D48" s="11" t="n">
        <f aca="false">IF(AND(C48&gt;=6,C48&lt;=9),1,0)</f>
        <v>1</v>
      </c>
      <c r="E48" s="22" t="n">
        <v>1051.628</v>
      </c>
      <c r="F48" s="22" t="n">
        <v>9.767</v>
      </c>
      <c r="G48" s="25" t="n">
        <f aca="false">E48-F48</f>
        <v>1041.861</v>
      </c>
      <c r="H48" s="22" t="n">
        <v>143.244</v>
      </c>
      <c r="I48" s="22" t="n">
        <v>176.077</v>
      </c>
      <c r="J48" s="22" t="n">
        <v>487.515</v>
      </c>
      <c r="K48" s="22" t="n">
        <v>244.793</v>
      </c>
      <c r="L48" s="22" t="n">
        <v>12.588</v>
      </c>
      <c r="M48" s="26" t="n">
        <f aca="false">Rates!$F$5+IF(D48=1,E48*Rates!$F$6,MIN(E48,Rates!$F$11)*Rates!$F$7+MAX(E48-Rates!$F$11,0)*Rates!$F$8)+E48*(Rates!$F$9+Rates!$F$10)</f>
        <v>168.08933044</v>
      </c>
      <c r="N48" s="26" t="n">
        <f aca="false">Rates!$F$12+H48*IF(D48=1,Rates!$F$13,Rates!$F$14)+I48*Rates!$F$15+J48*IF(D48=1,Rates!$F$16,Rates!$F$18)+K48*IF(D48=1,Rates!$F$17,Rates!$F$19)+E48*(Rates!$F$20+Rates!$F$21)</f>
        <v>162.97658204</v>
      </c>
      <c r="O48" s="26" t="n">
        <f aca="false">Rates!$F$22+IF(D48=1,E48*Rates!$F$23,E48*Rates!$F$24)+E48*(Rates!$F$25+Rates!$F$26)</f>
        <v>168.08933044</v>
      </c>
      <c r="P48" s="26" t="n">
        <f aca="false">Rates!$F$27+IF(D48=1,G48*Rates!$F$28,MIN(G48,Rates!$F$35)*Rates!$F$29+MAX(G48-Rates!$F$35,0)*Rates!$F$30)+IF(F48&gt;0,Rates!$F$31,0)+F48*Rates!$F$32+E48*(Rates!$F$33+Rates!$F$34)</f>
        <v>172.14574761</v>
      </c>
      <c r="Q48" s="26" t="n">
        <f aca="false">IF(L48&gt;0,Rates!$F$36,0)+L48*(Rates!$F$37+Rates!$F$38+Rates!$F$39)</f>
        <v>21.27368228</v>
      </c>
    </row>
    <row r="49" customFormat="false" ht="15" hidden="false" customHeight="false" outlineLevel="0" collapsed="false">
      <c r="A49" s="11" t="s">
        <v>161</v>
      </c>
      <c r="B49" s="11" t="s">
        <v>141</v>
      </c>
      <c r="C49" s="11" t="n">
        <v>9</v>
      </c>
      <c r="D49" s="11" t="n">
        <f aca="false">IF(AND(C49&gt;=6,C49&lt;=9),1,0)</f>
        <v>1</v>
      </c>
      <c r="E49" s="22" t="n">
        <v>996.98</v>
      </c>
      <c r="F49" s="22" t="n">
        <v>169.119</v>
      </c>
      <c r="G49" s="25" t="n">
        <f aca="false">E49-F49</f>
        <v>827.861</v>
      </c>
      <c r="H49" s="22" t="n">
        <v>95.353</v>
      </c>
      <c r="I49" s="22" t="n">
        <v>176.384</v>
      </c>
      <c r="J49" s="22" t="n">
        <v>364.113</v>
      </c>
      <c r="K49" s="22" t="n">
        <v>361.13</v>
      </c>
      <c r="L49" s="22" t="n">
        <v>12.608</v>
      </c>
      <c r="M49" s="26" t="n">
        <f aca="false">Rates!$F$5+IF(D49=1,E49*Rates!$F$6,MIN(E49,Rates!$F$11)*Rates!$F$7+MAX(E49-Rates!$F$11,0)*Rates!$F$8)+E49*(Rates!$F$9+Rates!$F$10)</f>
        <v>159.7702654</v>
      </c>
      <c r="N49" s="26" t="n">
        <f aca="false">Rates!$F$12+H49*IF(D49=1,Rates!$F$13,Rates!$F$14)+I49*Rates!$F$15+J49*IF(D49=1,Rates!$F$16,Rates!$F$18)+K49*IF(D49=1,Rates!$F$17,Rates!$F$19)+E49*(Rates!$F$20+Rates!$F$21)</f>
        <v>151.1671664</v>
      </c>
      <c r="O49" s="26" t="n">
        <f aca="false">Rates!$F$22+IF(D49=1,E49*Rates!$F$23,E49*Rates!$F$24)+E49*(Rates!$F$25+Rates!$F$26)</f>
        <v>159.7702654</v>
      </c>
      <c r="P49" s="26" t="n">
        <f aca="false">Rates!$F$27+IF(D49=1,G49*Rates!$F$28,MIN(G49,Rates!$F$35)*Rates!$F$29+MAX(G49-Rates!$F$35,0)*Rates!$F$30)+IF(F49&gt;0,Rates!$F$31,0)+F49*Rates!$F$32+E49*(Rates!$F$33+Rates!$F$34)</f>
        <v>149.24756809</v>
      </c>
      <c r="Q49" s="26" t="n">
        <f aca="false">IF(L49&gt;0,Rates!$F$36,0)+L49*(Rates!$F$37+Rates!$F$38+Rates!$F$39)</f>
        <v>21.29238848</v>
      </c>
    </row>
    <row r="50" customFormat="false" ht="15" hidden="false" customHeight="false" outlineLevel="0" collapsed="false">
      <c r="A50" s="11" t="s">
        <v>161</v>
      </c>
      <c r="B50" s="11" t="s">
        <v>141</v>
      </c>
      <c r="C50" s="11" t="n">
        <v>10</v>
      </c>
      <c r="D50" s="11" t="n">
        <f aca="false">IF(AND(C50&gt;=6,C50&lt;=9),1,0)</f>
        <v>0</v>
      </c>
      <c r="E50" s="22" t="n">
        <v>2292.925</v>
      </c>
      <c r="F50" s="22" t="n">
        <v>1656.574</v>
      </c>
      <c r="G50" s="25" t="n">
        <f aca="false">E50-F50</f>
        <v>636.351</v>
      </c>
      <c r="H50" s="22" t="n">
        <v>171.338</v>
      </c>
      <c r="I50" s="22" t="n">
        <v>538.522</v>
      </c>
      <c r="J50" s="22" t="n">
        <v>1068.266</v>
      </c>
      <c r="K50" s="22" t="n">
        <v>514.799</v>
      </c>
      <c r="L50" s="22" t="n">
        <v>14.012</v>
      </c>
      <c r="M50" s="26" t="n">
        <f aca="false">Rates!$F$5+IF(D50=1,E50*Rates!$F$6,MIN(E50,Rates!$F$11)*Rates!$F$7+MAX(E50-Rates!$F$11,0)*Rates!$F$8)+E50*(Rates!$F$9+Rates!$F$10)</f>
        <v>317.9695255</v>
      </c>
      <c r="N50" s="26" t="n">
        <f aca="false">Rates!$F$12+H50*IF(D50=1,Rates!$F$13,Rates!$F$14)+I50*Rates!$F$15+J50*IF(D50=1,Rates!$F$16,Rates!$F$18)+K50*IF(D50=1,Rates!$F$17,Rates!$F$19)+E50*(Rates!$F$20+Rates!$F$21)</f>
        <v>287.606824</v>
      </c>
      <c r="O50" s="26" t="n">
        <f aca="false">Rates!$F$22+IF(D50=1,E50*Rates!$F$23,E50*Rates!$F$24)+E50*(Rates!$F$25+Rates!$F$26)</f>
        <v>181.528564</v>
      </c>
      <c r="P50" s="26" t="n">
        <f aca="false">Rates!$F$27+IF(D50=1,G50*Rates!$F$28,MIN(G50,Rates!$F$35)*Rates!$F$29+MAX(G50-Rates!$F$35,0)*Rates!$F$30)+IF(F50&gt;0,Rates!$F$31,0)+F50*Rates!$F$32+E50*(Rates!$F$33+Rates!$F$34)</f>
        <v>200.5213054</v>
      </c>
      <c r="Q50" s="26" t="n">
        <f aca="false">IF(L50&gt;0,Rates!$F$36,0)+L50*(Rates!$F$37+Rates!$F$38+Rates!$F$39)</f>
        <v>22.60556372</v>
      </c>
    </row>
    <row r="51" customFormat="false" ht="15" hidden="false" customHeight="false" outlineLevel="0" collapsed="false">
      <c r="A51" s="11" t="s">
        <v>161</v>
      </c>
      <c r="B51" s="11" t="s">
        <v>141</v>
      </c>
      <c r="C51" s="11" t="n">
        <v>11</v>
      </c>
      <c r="D51" s="11" t="n">
        <f aca="false">IF(AND(C51&gt;=6,C51&lt;=9),1,0)</f>
        <v>0</v>
      </c>
      <c r="E51" s="22" t="n">
        <v>5148.12</v>
      </c>
      <c r="F51" s="22" t="n">
        <v>4516.78</v>
      </c>
      <c r="G51" s="25" t="n">
        <f aca="false">E51-F51</f>
        <v>631.34</v>
      </c>
      <c r="H51" s="22" t="n">
        <v>439.445</v>
      </c>
      <c r="I51" s="22" t="n">
        <v>1222.081</v>
      </c>
      <c r="J51" s="22" t="n">
        <v>2307.292</v>
      </c>
      <c r="K51" s="22" t="n">
        <v>1179.302</v>
      </c>
      <c r="L51" s="22" t="n">
        <v>14.795</v>
      </c>
      <c r="M51" s="26" t="n">
        <f aca="false">Rates!$F$5+IF(D51=1,E51*Rates!$F$6,MIN(E51,Rates!$F$11)*Rates!$F$7+MAX(E51-Rates!$F$11,0)*Rates!$F$8)+E51*(Rates!$F$9+Rates!$F$10)</f>
        <v>700.7369672</v>
      </c>
      <c r="N51" s="26" t="n">
        <f aca="false">Rates!$F$12+H51*IF(D51=1,Rates!$F$13,Rates!$F$14)+I51*Rates!$F$15+J51*IF(D51=1,Rates!$F$16,Rates!$F$18)+K51*IF(D51=1,Rates!$F$17,Rates!$F$19)+E51*(Rates!$F$20+Rates!$F$21)</f>
        <v>638.6095866</v>
      </c>
      <c r="O51" s="26" t="n">
        <f aca="false">Rates!$F$22+IF(D51=1,E51*Rates!$F$23,E51*Rates!$F$24)+E51*(Rates!$F$25+Rates!$F$26)</f>
        <v>397.6097216</v>
      </c>
      <c r="P51" s="26" t="n">
        <f aca="false">Rates!$F$27+IF(D51=1,G51*Rates!$F$28,MIN(G51,Rates!$F$35)*Rates!$F$29+MAX(G51-Rates!$F$35,0)*Rates!$F$30)+IF(F51&gt;0,Rates!$F$31,0)+F51*Rates!$F$32+E51*(Rates!$F$33+Rates!$F$34)</f>
        <v>373.5655148</v>
      </c>
      <c r="Q51" s="26" t="n">
        <f aca="false">IF(L51&gt;0,Rates!$F$36,0)+L51*(Rates!$F$37+Rates!$F$38+Rates!$F$39)</f>
        <v>23.33791145</v>
      </c>
    </row>
    <row r="52" customFormat="false" ht="15" hidden="false" customHeight="false" outlineLevel="0" collapsed="false">
      <c r="A52" s="11" t="s">
        <v>161</v>
      </c>
      <c r="B52" s="11" t="s">
        <v>141</v>
      </c>
      <c r="C52" s="11" t="n">
        <v>12</v>
      </c>
      <c r="D52" s="11" t="n">
        <f aca="false">IF(AND(C52&gt;=6,C52&lt;=9),1,0)</f>
        <v>0</v>
      </c>
      <c r="E52" s="22" t="n">
        <v>6089.289</v>
      </c>
      <c r="F52" s="22" t="n">
        <v>5391.9</v>
      </c>
      <c r="G52" s="25" t="n">
        <f aca="false">E52-F52</f>
        <v>697.389</v>
      </c>
      <c r="H52" s="22" t="n">
        <v>489.855</v>
      </c>
      <c r="I52" s="22" t="n">
        <v>1450.951</v>
      </c>
      <c r="J52" s="22" t="n">
        <v>2480.675</v>
      </c>
      <c r="K52" s="22" t="n">
        <v>1667.809</v>
      </c>
      <c r="L52" s="22" t="n">
        <v>16.574</v>
      </c>
      <c r="M52" s="26" t="n">
        <f aca="false">Rates!$F$5+IF(D52=1,E52*Rates!$F$6,MIN(E52,Rates!$F$11)*Rates!$F$7+MAX(E52-Rates!$F$11,0)*Rates!$F$8)+E52*(Rates!$F$9+Rates!$F$10)</f>
        <v>826.91008334</v>
      </c>
      <c r="N52" s="26" t="n">
        <f aca="false">Rates!$F$12+H52*IF(D52=1,Rates!$F$13,Rates!$F$14)+I52*Rates!$F$15+J52*IF(D52=1,Rates!$F$16,Rates!$F$18)+K52*IF(D52=1,Rates!$F$17,Rates!$F$19)+E52*(Rates!$F$20+Rates!$F$21)</f>
        <v>751.90996652</v>
      </c>
      <c r="O52" s="26" t="n">
        <f aca="false">Rates!$F$22+IF(D52=1,E52*Rates!$F$23,E52*Rates!$F$24)+E52*(Rates!$F$25+Rates!$F$26)</f>
        <v>468.83739152</v>
      </c>
      <c r="P52" s="26" t="n">
        <f aca="false">Rates!$F$27+IF(D52=1,G52*Rates!$F$28,MIN(G52,Rates!$F$35)*Rates!$F$29+MAX(G52-Rates!$F$35,0)*Rates!$F$30)+IF(F52&gt;0,Rates!$F$31,0)+F52*Rates!$F$32+E52*(Rates!$F$33+Rates!$F$34)</f>
        <v>435.74523896</v>
      </c>
      <c r="Q52" s="26" t="n">
        <f aca="false">IF(L52&gt;0,Rates!$F$36,0)+L52*(Rates!$F$37+Rates!$F$38+Rates!$F$39)</f>
        <v>25.00182794</v>
      </c>
    </row>
    <row r="53" customFormat="false" ht="15" hidden="false" customHeight="false" outlineLevel="0" collapsed="false">
      <c r="A53" s="11" t="s">
        <v>161</v>
      </c>
      <c r="B53" s="11" t="s">
        <v>142</v>
      </c>
      <c r="C53" s="11" t="n">
        <v>1</v>
      </c>
      <c r="D53" s="11" t="n">
        <f aca="false">IF(AND(C53&gt;=6,C53&lt;=9),1,0)</f>
        <v>0</v>
      </c>
      <c r="E53" s="22" t="n">
        <v>952.67</v>
      </c>
      <c r="F53" s="22" t="n">
        <v>209.848</v>
      </c>
      <c r="G53" s="25" t="n">
        <f aca="false">E53-F53</f>
        <v>742.822</v>
      </c>
      <c r="H53" s="22" t="n">
        <v>117.228</v>
      </c>
      <c r="I53" s="22" t="n">
        <v>163.337</v>
      </c>
      <c r="J53" s="22" t="n">
        <v>433.213</v>
      </c>
      <c r="K53" s="22" t="n">
        <v>238.891</v>
      </c>
      <c r="L53" s="22" t="n">
        <v>299.883</v>
      </c>
      <c r="M53" s="26" t="n">
        <f aca="false">Rates!$F$5+IF(D53=1,E53*Rates!$F$6,MIN(E53,Rates!$F$11)*Rates!$F$7+MAX(E53-Rates!$F$11,0)*Rates!$F$8)+E53*(Rates!$F$9+Rates!$F$10)</f>
        <v>138.1728288</v>
      </c>
      <c r="N53" s="26" t="n">
        <f aca="false">Rates!$F$12+H53*IF(D53=1,Rates!$F$13,Rates!$F$14)+I53*Rates!$F$15+J53*IF(D53=1,Rates!$F$16,Rates!$F$18)+K53*IF(D53=1,Rates!$F$17,Rates!$F$19)+E53*(Rates!$F$20+Rates!$F$21)</f>
        <v>129.0483406</v>
      </c>
      <c r="O53" s="26" t="n">
        <f aca="false">Rates!$F$22+IF(D53=1,E53*Rates!$F$23,E53*Rates!$F$24)+E53*(Rates!$F$25+Rates!$F$26)</f>
        <v>80.0980656</v>
      </c>
      <c r="P53" s="26" t="n">
        <f aca="false">Rates!$F$27+IF(D53=1,G53*Rates!$F$28,MIN(G53,Rates!$F$35)*Rates!$F$29+MAX(G53-Rates!$F$35,0)*Rates!$F$30)+IF(F53&gt;0,Rates!$F$31,0)+F53*Rates!$F$32+E53*(Rates!$F$33+Rates!$F$34)</f>
        <v>127.1953656</v>
      </c>
      <c r="Q53" s="26" t="n">
        <f aca="false">IF(L53&gt;0,Rates!$F$36,0)+L53*(Rates!$F$37+Rates!$F$38+Rates!$F$39)</f>
        <v>289.98356873</v>
      </c>
    </row>
    <row r="54" customFormat="false" ht="15" hidden="false" customHeight="false" outlineLevel="0" collapsed="false">
      <c r="A54" s="11" t="s">
        <v>161</v>
      </c>
      <c r="B54" s="11" t="s">
        <v>142</v>
      </c>
      <c r="C54" s="11" t="n">
        <v>2</v>
      </c>
      <c r="D54" s="11" t="n">
        <f aca="false">IF(AND(C54&gt;=6,C54&lt;=9),1,0)</f>
        <v>0</v>
      </c>
      <c r="E54" s="22" t="n">
        <v>851.595</v>
      </c>
      <c r="F54" s="22" t="n">
        <v>179.652</v>
      </c>
      <c r="G54" s="25" t="n">
        <f aca="false">E54-F54</f>
        <v>671.943</v>
      </c>
      <c r="H54" s="22" t="n">
        <v>104.78</v>
      </c>
      <c r="I54" s="22" t="n">
        <v>146.031</v>
      </c>
      <c r="J54" s="22" t="n">
        <v>389.516</v>
      </c>
      <c r="K54" s="22" t="n">
        <v>211.268</v>
      </c>
      <c r="L54" s="22" t="n">
        <v>256.79</v>
      </c>
      <c r="M54" s="26" t="n">
        <f aca="false">Rates!$F$5+IF(D54=1,E54*Rates!$F$6,MIN(E54,Rates!$F$11)*Rates!$F$7+MAX(E54-Rates!$F$11,0)*Rates!$F$8)+E54*(Rates!$F$9+Rates!$F$10)</f>
        <v>124.3619408</v>
      </c>
      <c r="N54" s="26" t="n">
        <f aca="false">Rates!$F$12+H54*IF(D54=1,Rates!$F$13,Rates!$F$14)+I54*Rates!$F$15+J54*IF(D54=1,Rates!$F$16,Rates!$F$18)+K54*IF(D54=1,Rates!$F$17,Rates!$F$19)+E54*(Rates!$F$20+Rates!$F$21)</f>
        <v>116.2041746</v>
      </c>
      <c r="O54" s="26" t="n">
        <f aca="false">Rates!$F$22+IF(D54=1,E54*Rates!$F$23,E54*Rates!$F$24)+E54*(Rates!$F$25+Rates!$F$26)</f>
        <v>72.4487096</v>
      </c>
      <c r="P54" s="26" t="n">
        <f aca="false">Rates!$F$27+IF(D54=1,G54*Rates!$F$28,MIN(G54,Rates!$F$35)*Rates!$F$29+MAX(G54-Rates!$F$35,0)*Rates!$F$30)+IF(F54&gt;0,Rates!$F$31,0)+F54*Rates!$F$32+E54*(Rates!$F$33+Rates!$F$34)</f>
        <v>115.676354</v>
      </c>
      <c r="Q54" s="26" t="n">
        <f aca="false">IF(L54&gt;0,Rates!$F$36,0)+L54*(Rates!$F$37+Rates!$F$38+Rates!$F$39)</f>
        <v>249.6782549</v>
      </c>
    </row>
    <row r="55" customFormat="false" ht="15" hidden="false" customHeight="false" outlineLevel="0" collapsed="false">
      <c r="A55" s="11" t="s">
        <v>161</v>
      </c>
      <c r="B55" s="11" t="s">
        <v>142</v>
      </c>
      <c r="C55" s="11" t="n">
        <v>3</v>
      </c>
      <c r="D55" s="11" t="n">
        <f aca="false">IF(AND(C55&gt;=6,C55&lt;=9),1,0)</f>
        <v>0</v>
      </c>
      <c r="E55" s="22" t="n">
        <v>814.554</v>
      </c>
      <c r="F55" s="22" t="n">
        <v>104.702</v>
      </c>
      <c r="G55" s="25" t="n">
        <f aca="false">E55-F55</f>
        <v>709.852</v>
      </c>
      <c r="H55" s="22" t="n">
        <v>96.485</v>
      </c>
      <c r="I55" s="22" t="n">
        <v>138.698</v>
      </c>
      <c r="J55" s="22" t="n">
        <v>376.852</v>
      </c>
      <c r="K55" s="22" t="n">
        <v>202.519</v>
      </c>
      <c r="L55" s="22" t="n">
        <v>150.82</v>
      </c>
      <c r="M55" s="26" t="n">
        <f aca="false">Rates!$F$5+IF(D55=1,E55*Rates!$F$6,MIN(E55,Rates!$F$11)*Rates!$F$7+MAX(E55-Rates!$F$11,0)*Rates!$F$8)+E55*(Rates!$F$9+Rates!$F$10)</f>
        <v>119.30065856</v>
      </c>
      <c r="N55" s="26" t="n">
        <f aca="false">Rates!$F$12+H55*IF(D55=1,Rates!$F$13,Rates!$F$14)+I55*Rates!$F$15+J55*IF(D55=1,Rates!$F$16,Rates!$F$18)+K55*IF(D55=1,Rates!$F$17,Rates!$F$19)+E55*(Rates!$F$20+Rates!$F$21)</f>
        <v>111.30781672</v>
      </c>
      <c r="O55" s="26" t="n">
        <f aca="false">Rates!$F$22+IF(D55=1,E55*Rates!$F$23,E55*Rates!$F$24)+E55*(Rates!$F$25+Rates!$F$26)</f>
        <v>69.64544672</v>
      </c>
      <c r="P55" s="26" t="n">
        <f aca="false">Rates!$F$27+IF(D55=1,G55*Rates!$F$28,MIN(G55,Rates!$F$35)*Rates!$F$29+MAX(G55-Rates!$F$35,0)*Rates!$F$30)+IF(F55&gt;0,Rates!$F$31,0)+F55*Rates!$F$32+E55*(Rates!$F$33+Rates!$F$34)</f>
        <v>116.30377676</v>
      </c>
      <c r="Q55" s="26" t="n">
        <f aca="false">IF(L55&gt;0,Rates!$F$36,0)+L55*(Rates!$F$37+Rates!$F$38+Rates!$F$39)</f>
        <v>150.5634542</v>
      </c>
    </row>
    <row r="56" customFormat="false" ht="15" hidden="false" customHeight="false" outlineLevel="0" collapsed="false">
      <c r="A56" s="11" t="s">
        <v>161</v>
      </c>
      <c r="B56" s="11" t="s">
        <v>142</v>
      </c>
      <c r="C56" s="11" t="n">
        <v>4</v>
      </c>
      <c r="D56" s="11" t="n">
        <f aca="false">IF(AND(C56&gt;=6,C56&lt;=9),1,0)</f>
        <v>0</v>
      </c>
      <c r="E56" s="22" t="n">
        <v>749.187</v>
      </c>
      <c r="F56" s="22" t="n">
        <v>79.51</v>
      </c>
      <c r="G56" s="25" t="n">
        <f aca="false">E56-F56</f>
        <v>669.677</v>
      </c>
      <c r="H56" s="22" t="n">
        <v>84.843</v>
      </c>
      <c r="I56" s="22" t="n">
        <v>129.508</v>
      </c>
      <c r="J56" s="22" t="n">
        <v>338.414</v>
      </c>
      <c r="K56" s="22" t="n">
        <v>196.422</v>
      </c>
      <c r="L56" s="22" t="n">
        <v>114.916</v>
      </c>
      <c r="M56" s="26" t="n">
        <f aca="false">Rates!$F$5+IF(D56=1,E56*Rates!$F$6,MIN(E56,Rates!$F$11)*Rates!$F$7+MAX(E56-Rates!$F$11,0)*Rates!$F$8)+E56*(Rates!$F$9+Rates!$F$10)</f>
        <v>110.36891168</v>
      </c>
      <c r="N56" s="26" t="n">
        <f aca="false">Rates!$F$12+H56*IF(D56=1,Rates!$F$13,Rates!$F$14)+I56*Rates!$F$15+J56*IF(D56=1,Rates!$F$16,Rates!$F$18)+K56*IF(D56=1,Rates!$F$17,Rates!$F$19)+E56*(Rates!$F$20+Rates!$F$21)</f>
        <v>102.71562216</v>
      </c>
      <c r="O56" s="26" t="n">
        <f aca="false">Rates!$F$22+IF(D56=1,E56*Rates!$F$23,E56*Rates!$F$24)+E56*(Rates!$F$25+Rates!$F$26)</f>
        <v>64.69847216</v>
      </c>
      <c r="P56" s="26" t="n">
        <f aca="false">Rates!$F$27+IF(D56=1,G56*Rates!$F$28,MIN(G56,Rates!$F$35)*Rates!$F$29+MAX(G56-Rates!$F$35,0)*Rates!$F$30)+IF(F56&gt;0,Rates!$F$31,0)+F56*Rates!$F$32+E56*(Rates!$F$33+Rates!$F$34)</f>
        <v>109.28410268</v>
      </c>
      <c r="Q56" s="26" t="n">
        <f aca="false">IF(L56&gt;0,Rates!$F$36,0)+L56*(Rates!$F$37+Rates!$F$38+Rates!$F$39)</f>
        <v>116.98208396</v>
      </c>
    </row>
    <row r="57" customFormat="false" ht="15" hidden="false" customHeight="false" outlineLevel="0" collapsed="false">
      <c r="A57" s="11" t="s">
        <v>161</v>
      </c>
      <c r="B57" s="11" t="s">
        <v>142</v>
      </c>
      <c r="C57" s="11" t="n">
        <v>5</v>
      </c>
      <c r="D57" s="11" t="n">
        <f aca="false">IF(AND(C57&gt;=6,C57&lt;=9),1,0)</f>
        <v>0</v>
      </c>
      <c r="E57" s="22" t="n">
        <v>870.959</v>
      </c>
      <c r="F57" s="22" t="n">
        <v>2.636</v>
      </c>
      <c r="G57" s="25" t="n">
        <f aca="false">E57-F57</f>
        <v>868.323</v>
      </c>
      <c r="H57" s="22" t="n">
        <v>117.215</v>
      </c>
      <c r="I57" s="22" t="n">
        <v>134.41</v>
      </c>
      <c r="J57" s="22" t="n">
        <v>387.488</v>
      </c>
      <c r="K57" s="22" t="n">
        <v>231.846</v>
      </c>
      <c r="L57" s="22" t="n">
        <v>6.073</v>
      </c>
      <c r="M57" s="26" t="n">
        <f aca="false">Rates!$F$5+IF(D57=1,E57*Rates!$F$6,MIN(E57,Rates!$F$11)*Rates!$F$7+MAX(E57-Rates!$F$11,0)*Rates!$F$8)+E57*(Rates!$F$9+Rates!$F$10)</f>
        <v>127.00783776</v>
      </c>
      <c r="N57" s="26" t="n">
        <f aca="false">Rates!$F$12+H57*IF(D57=1,Rates!$F$13,Rates!$F$14)+I57*Rates!$F$15+J57*IF(D57=1,Rates!$F$16,Rates!$F$18)+K57*IF(D57=1,Rates!$F$17,Rates!$F$19)+E57*(Rates!$F$20+Rates!$F$21)</f>
        <v>119.79067712</v>
      </c>
      <c r="O57" s="26" t="n">
        <f aca="false">Rates!$F$22+IF(D57=1,E57*Rates!$F$23,E57*Rates!$F$24)+E57*(Rates!$F$25+Rates!$F$26)</f>
        <v>73.91417712</v>
      </c>
      <c r="P57" s="26" t="n">
        <f aca="false">Rates!$F$27+IF(D57=1,G57*Rates!$F$28,MIN(G57,Rates!$F$35)*Rates!$F$29+MAX(G57-Rates!$F$35,0)*Rates!$F$30)+IF(F57&gt;0,Rates!$F$31,0)+F57*Rates!$F$32+E57*(Rates!$F$33+Rates!$F$34)</f>
        <v>131.75776536</v>
      </c>
      <c r="Q57" s="26" t="n">
        <f aca="false">IF(L57&gt;0,Rates!$F$36,0)+L57*(Rates!$F$37+Rates!$F$38+Rates!$F$39)</f>
        <v>15.18013763</v>
      </c>
    </row>
    <row r="58" customFormat="false" ht="15" hidden="false" customHeight="false" outlineLevel="0" collapsed="false">
      <c r="A58" s="11" t="s">
        <v>161</v>
      </c>
      <c r="B58" s="11" t="s">
        <v>142</v>
      </c>
      <c r="C58" s="11" t="n">
        <v>6</v>
      </c>
      <c r="D58" s="11" t="n">
        <f aca="false">IF(AND(C58&gt;=6,C58&lt;=9),1,0)</f>
        <v>1</v>
      </c>
      <c r="E58" s="22" t="n">
        <v>962.176</v>
      </c>
      <c r="F58" s="22" t="n">
        <v>0.286</v>
      </c>
      <c r="G58" s="25" t="n">
        <f aca="false">E58-F58</f>
        <v>961.89</v>
      </c>
      <c r="H58" s="22" t="n">
        <v>129.913</v>
      </c>
      <c r="I58" s="22" t="n">
        <v>160.466</v>
      </c>
      <c r="J58" s="22" t="n">
        <v>422.247</v>
      </c>
      <c r="K58" s="22" t="n">
        <v>249.55</v>
      </c>
      <c r="L58" s="22" t="n">
        <v>2.69</v>
      </c>
      <c r="M58" s="26" t="n">
        <f aca="false">Rates!$F$5+IF(D58=1,E58*Rates!$F$6,MIN(E58,Rates!$F$11)*Rates!$F$7+MAX(E58-Rates!$F$11,0)*Rates!$F$8)+E58*(Rates!$F$9+Rates!$F$10)</f>
        <v>154.47205248</v>
      </c>
      <c r="N58" s="26" t="n">
        <f aca="false">Rates!$F$12+H58*IF(D58=1,Rates!$F$13,Rates!$F$14)+I58*Rates!$F$15+J58*IF(D58=1,Rates!$F$16,Rates!$F$18)+K58*IF(D58=1,Rates!$F$17,Rates!$F$19)+E58*(Rates!$F$20+Rates!$F$21)</f>
        <v>149.73720968</v>
      </c>
      <c r="O58" s="26" t="n">
        <f aca="false">Rates!$F$22+IF(D58=1,E58*Rates!$F$23,E58*Rates!$F$24)+E58*(Rates!$F$25+Rates!$F$26)</f>
        <v>154.47205248</v>
      </c>
      <c r="P58" s="26" t="n">
        <f aca="false">Rates!$F$27+IF(D58=1,G58*Rates!$F$28,MIN(G58,Rates!$F$35)*Rates!$F$29+MAX(G58-Rates!$F$35,0)*Rates!$F$30)+IF(F58&gt;0,Rates!$F$31,0)+F58*Rates!$F$32+E58*(Rates!$F$33+Rates!$F$34)</f>
        <v>159.39588634</v>
      </c>
      <c r="Q58" s="26" t="n">
        <f aca="false">IF(L58&gt;0,Rates!$F$36,0)+L58*(Rates!$F$37+Rates!$F$38+Rates!$F$39)</f>
        <v>12.0159839</v>
      </c>
    </row>
    <row r="59" customFormat="false" ht="15" hidden="false" customHeight="false" outlineLevel="0" collapsed="false">
      <c r="A59" s="11" t="s">
        <v>161</v>
      </c>
      <c r="B59" s="11" t="s">
        <v>142</v>
      </c>
      <c r="C59" s="11" t="n">
        <v>7</v>
      </c>
      <c r="D59" s="11" t="n">
        <f aca="false">IF(AND(C59&gt;=6,C59&lt;=9),1,0)</f>
        <v>1</v>
      </c>
      <c r="E59" s="22" t="n">
        <v>1114.102</v>
      </c>
      <c r="F59" s="22" t="n">
        <v>0.199</v>
      </c>
      <c r="G59" s="25" t="n">
        <f aca="false">E59-F59</f>
        <v>1113.903</v>
      </c>
      <c r="H59" s="22" t="n">
        <v>142.499</v>
      </c>
      <c r="I59" s="22" t="n">
        <v>185.246</v>
      </c>
      <c r="J59" s="22" t="n">
        <v>473.978</v>
      </c>
      <c r="K59" s="22" t="n">
        <v>312.379</v>
      </c>
      <c r="L59" s="22" t="n">
        <v>2.513</v>
      </c>
      <c r="M59" s="26" t="n">
        <f aca="false">Rates!$F$5+IF(D59=1,E59*Rates!$F$6,MIN(E59,Rates!$F$11)*Rates!$F$7+MAX(E59-Rates!$F$11,0)*Rates!$F$8)+E59*(Rates!$F$9+Rates!$F$10)</f>
        <v>177.59974746</v>
      </c>
      <c r="N59" s="26" t="n">
        <f aca="false">Rates!$F$12+H59*IF(D59=1,Rates!$F$13,Rates!$F$14)+I59*Rates!$F$15+J59*IF(D59=1,Rates!$F$16,Rates!$F$18)+K59*IF(D59=1,Rates!$F$17,Rates!$F$19)+E59*(Rates!$F$20+Rates!$F$21)</f>
        <v>171.51376936</v>
      </c>
      <c r="O59" s="26" t="n">
        <f aca="false">Rates!$F$22+IF(D59=1,E59*Rates!$F$23,E59*Rates!$F$24)+E59*(Rates!$F$25+Rates!$F$26)</f>
        <v>177.59974746</v>
      </c>
      <c r="P59" s="26" t="n">
        <f aca="false">Rates!$F$27+IF(D59=1,G59*Rates!$F$28,MIN(G59,Rates!$F$35)*Rates!$F$29+MAX(G59-Rates!$F$35,0)*Rates!$F$30)+IF(F59&gt;0,Rates!$F$31,0)+F59*Rates!$F$32+E59*(Rates!$F$33+Rates!$F$34)</f>
        <v>182.53154095</v>
      </c>
      <c r="Q59" s="26" t="n">
        <f aca="false">IF(L59&gt;0,Rates!$F$36,0)+L59*(Rates!$F$37+Rates!$F$38+Rates!$F$39)</f>
        <v>11.85043403</v>
      </c>
    </row>
    <row r="60" customFormat="false" ht="15" hidden="false" customHeight="false" outlineLevel="0" collapsed="false">
      <c r="A60" s="11" t="s">
        <v>161</v>
      </c>
      <c r="B60" s="11" t="s">
        <v>142</v>
      </c>
      <c r="C60" s="11" t="n">
        <v>8</v>
      </c>
      <c r="D60" s="11" t="n">
        <f aca="false">IF(AND(C60&gt;=6,C60&lt;=9),1,0)</f>
        <v>1</v>
      </c>
      <c r="E60" s="22" t="n">
        <v>1052.808</v>
      </c>
      <c r="F60" s="22" t="n">
        <v>0.29</v>
      </c>
      <c r="G60" s="25" t="n">
        <f aca="false">E60-F60</f>
        <v>1052.518</v>
      </c>
      <c r="H60" s="22" t="n">
        <v>144.163</v>
      </c>
      <c r="I60" s="22" t="n">
        <v>175.792</v>
      </c>
      <c r="J60" s="22" t="n">
        <v>486.777</v>
      </c>
      <c r="K60" s="22" t="n">
        <v>246.077</v>
      </c>
      <c r="L60" s="22" t="n">
        <v>2.681</v>
      </c>
      <c r="M60" s="26" t="n">
        <f aca="false">Rates!$F$5+IF(D60=1,E60*Rates!$F$6,MIN(E60,Rates!$F$11)*Rates!$F$7+MAX(E60-Rates!$F$11,0)*Rates!$F$8)+E60*(Rates!$F$9+Rates!$F$10)</f>
        <v>168.26896184</v>
      </c>
      <c r="N60" s="26" t="n">
        <f aca="false">Rates!$F$12+H60*IF(D60=1,Rates!$F$13,Rates!$F$14)+I60*Rates!$F$15+J60*IF(D60=1,Rates!$F$16,Rates!$F$18)+K60*IF(D60=1,Rates!$F$17,Rates!$F$19)+E60*(Rates!$F$20+Rates!$F$21)</f>
        <v>163.23767944</v>
      </c>
      <c r="O60" s="26" t="n">
        <f aca="false">Rates!$F$22+IF(D60=1,E60*Rates!$F$23,E60*Rates!$F$24)+E60*(Rates!$F$25+Rates!$F$26)</f>
        <v>168.26896184</v>
      </c>
      <c r="P60" s="26" t="n">
        <f aca="false">Rates!$F$27+IF(D60=1,G60*Rates!$F$28,MIN(G60,Rates!$F$35)*Rates!$F$29+MAX(G60-Rates!$F$35,0)*Rates!$F$30)+IF(F60&gt;0,Rates!$F$31,0)+F60*Rates!$F$32+E60*(Rates!$F$33+Rates!$F$34)</f>
        <v>173.19242974</v>
      </c>
      <c r="Q60" s="26" t="n">
        <f aca="false">IF(L60&gt;0,Rates!$F$36,0)+L60*(Rates!$F$37+Rates!$F$38+Rates!$F$39)</f>
        <v>12.00756611</v>
      </c>
    </row>
    <row r="61" customFormat="false" ht="15" hidden="false" customHeight="false" outlineLevel="0" collapsed="false">
      <c r="A61" s="11" t="s">
        <v>161</v>
      </c>
      <c r="B61" s="11" t="s">
        <v>142</v>
      </c>
      <c r="C61" s="11" t="n">
        <v>9</v>
      </c>
      <c r="D61" s="11" t="n">
        <f aca="false">IF(AND(C61&gt;=6,C61&lt;=9),1,0)</f>
        <v>1</v>
      </c>
      <c r="E61" s="22" t="n">
        <v>844.486</v>
      </c>
      <c r="F61" s="22" t="n">
        <v>4.715</v>
      </c>
      <c r="G61" s="25" t="n">
        <f aca="false">E61-F61</f>
        <v>839.771</v>
      </c>
      <c r="H61" s="22" t="n">
        <v>93.939</v>
      </c>
      <c r="I61" s="22" t="n">
        <v>139.551</v>
      </c>
      <c r="J61" s="22" t="n">
        <v>320.86</v>
      </c>
      <c r="K61" s="22" t="n">
        <v>290.136</v>
      </c>
      <c r="L61" s="22" t="n">
        <v>8.96</v>
      </c>
      <c r="M61" s="26" t="n">
        <f aca="false">Rates!$F$5+IF(D61=1,E61*Rates!$F$6,MIN(E61,Rates!$F$11)*Rates!$F$7+MAX(E61-Rates!$F$11,0)*Rates!$F$8)+E61*(Rates!$F$9+Rates!$F$10)</f>
        <v>136.55610378</v>
      </c>
      <c r="N61" s="26" t="n">
        <f aca="false">Rates!$F$12+H61*IF(D61=1,Rates!$F$13,Rates!$F$14)+I61*Rates!$F$15+J61*IF(D61=1,Rates!$F$16,Rates!$F$18)+K61*IF(D61=1,Rates!$F$17,Rates!$F$19)+E61*(Rates!$F$20+Rates!$F$21)</f>
        <v>130.86453548</v>
      </c>
      <c r="O61" s="26" t="n">
        <f aca="false">Rates!$F$22+IF(D61=1,E61*Rates!$F$23,E61*Rates!$F$24)+E61*(Rates!$F$25+Rates!$F$26)</f>
        <v>136.55610378</v>
      </c>
      <c r="P61" s="26" t="n">
        <f aca="false">Rates!$F$27+IF(D61=1,G61*Rates!$F$28,MIN(G61,Rates!$F$35)*Rates!$F$29+MAX(G61-Rates!$F$35,0)*Rates!$F$30)+IF(F61&gt;0,Rates!$F$31,0)+F61*Rates!$F$32+E61*(Rates!$F$33+Rates!$F$34)</f>
        <v>141.07472843</v>
      </c>
      <c r="Q61" s="26" t="n">
        <f aca="false">IF(L61&gt;0,Rates!$F$36,0)+L61*(Rates!$F$37+Rates!$F$38+Rates!$F$39)</f>
        <v>17.8803776</v>
      </c>
    </row>
    <row r="62" customFormat="false" ht="15" hidden="false" customHeight="false" outlineLevel="0" collapsed="false">
      <c r="A62" s="11" t="s">
        <v>161</v>
      </c>
      <c r="B62" s="11" t="s">
        <v>142</v>
      </c>
      <c r="C62" s="11" t="n">
        <v>10</v>
      </c>
      <c r="D62" s="11" t="n">
        <f aca="false">IF(AND(C62&gt;=6,C62&lt;=9),1,0)</f>
        <v>0</v>
      </c>
      <c r="E62" s="22" t="n">
        <v>701.963</v>
      </c>
      <c r="F62" s="22" t="n">
        <v>46.16</v>
      </c>
      <c r="G62" s="25" t="n">
        <f aca="false">E62-F62</f>
        <v>655.803</v>
      </c>
      <c r="H62" s="22" t="n">
        <v>88.593</v>
      </c>
      <c r="I62" s="22" t="n">
        <v>119.035</v>
      </c>
      <c r="J62" s="22" t="n">
        <v>335.716</v>
      </c>
      <c r="K62" s="22" t="n">
        <v>158.62</v>
      </c>
      <c r="L62" s="22" t="n">
        <v>67.781</v>
      </c>
      <c r="M62" s="26" t="n">
        <f aca="false">Rates!$F$5+IF(D62=1,E62*Rates!$F$6,MIN(E62,Rates!$F$11)*Rates!$F$7+MAX(E62-Rates!$F$11,0)*Rates!$F$8)+E62*(Rates!$F$9+Rates!$F$10)</f>
        <v>103.91622432</v>
      </c>
      <c r="N62" s="26" t="n">
        <f aca="false">Rates!$F$12+H62*IF(D62=1,Rates!$F$13,Rates!$F$14)+I62*Rates!$F$15+J62*IF(D62=1,Rates!$F$16,Rates!$F$18)+K62*IF(D62=1,Rates!$F$17,Rates!$F$19)+E62*(Rates!$F$20+Rates!$F$21)</f>
        <v>97.37217484</v>
      </c>
      <c r="O62" s="26" t="n">
        <f aca="false">Rates!$F$22+IF(D62=1,E62*Rates!$F$23,E62*Rates!$F$24)+E62*(Rates!$F$25+Rates!$F$26)</f>
        <v>61.12455984</v>
      </c>
      <c r="P62" s="26" t="n">
        <f aca="false">Rates!$F$27+IF(D62=1,G62*Rates!$F$28,MIN(G62,Rates!$F$35)*Rates!$F$29+MAX(G62-Rates!$F$35,0)*Rates!$F$30)+IF(F62&gt;0,Rates!$F$31,0)+F62*Rates!$F$32+E62*(Rates!$F$33+Rates!$F$34)</f>
        <v>105.36268032</v>
      </c>
      <c r="Q62" s="26" t="n">
        <f aca="false">IF(L62&gt;0,Rates!$F$36,0)+L62*(Rates!$F$37+Rates!$F$38+Rates!$F$39)</f>
        <v>72.89624711</v>
      </c>
    </row>
    <row r="63" customFormat="false" ht="15" hidden="false" customHeight="false" outlineLevel="0" collapsed="false">
      <c r="A63" s="11" t="s">
        <v>161</v>
      </c>
      <c r="B63" s="11" t="s">
        <v>142</v>
      </c>
      <c r="C63" s="11" t="n">
        <v>11</v>
      </c>
      <c r="D63" s="11" t="n">
        <f aca="false">IF(AND(C63&gt;=6,C63&lt;=9),1,0)</f>
        <v>0</v>
      </c>
      <c r="E63" s="22" t="n">
        <v>789.654</v>
      </c>
      <c r="F63" s="22" t="n">
        <v>125.734</v>
      </c>
      <c r="G63" s="25" t="n">
        <f aca="false">E63-F63</f>
        <v>663.92</v>
      </c>
      <c r="H63" s="22" t="n">
        <v>96.898</v>
      </c>
      <c r="I63" s="22" t="n">
        <v>135.753</v>
      </c>
      <c r="J63" s="22" t="n">
        <v>355.574</v>
      </c>
      <c r="K63" s="22" t="n">
        <v>201.428</v>
      </c>
      <c r="L63" s="22" t="n">
        <v>180.598</v>
      </c>
      <c r="M63" s="26" t="n">
        <f aca="false">Rates!$F$5+IF(D63=1,E63*Rates!$F$6,MIN(E63,Rates!$F$11)*Rates!$F$7+MAX(E63-Rates!$F$11,0)*Rates!$F$8)+E63*(Rates!$F$9+Rates!$F$10)</f>
        <v>115.89832256</v>
      </c>
      <c r="N63" s="26" t="n">
        <f aca="false">Rates!$F$12+H63*IF(D63=1,Rates!$F$13,Rates!$F$14)+I63*Rates!$F$15+J63*IF(D63=1,Rates!$F$16,Rates!$F$18)+K63*IF(D63=1,Rates!$F$17,Rates!$F$19)+E63*(Rates!$F$20+Rates!$F$21)</f>
        <v>108.30612972</v>
      </c>
      <c r="O63" s="26" t="n">
        <f aca="false">Rates!$F$22+IF(D63=1,E63*Rates!$F$23,E63*Rates!$F$24)+E63*(Rates!$F$25+Rates!$F$26)</f>
        <v>67.76101472</v>
      </c>
      <c r="P63" s="26" t="n">
        <f aca="false">Rates!$F$27+IF(D63=1,G63*Rates!$F$28,MIN(G63,Rates!$F$35)*Rates!$F$29+MAX(G63-Rates!$F$35,0)*Rates!$F$30)+IF(F63&gt;0,Rates!$F$31,0)+F63*Rates!$F$32+E63*(Rates!$F$33+Rates!$F$34)</f>
        <v>111.30511196</v>
      </c>
      <c r="Q63" s="26" t="n">
        <f aca="false">IF(L63&gt;0,Rates!$F$36,0)+L63*(Rates!$F$37+Rates!$F$38+Rates!$F$39)</f>
        <v>178.41511538</v>
      </c>
    </row>
    <row r="64" customFormat="false" ht="15" hidden="false" customHeight="false" outlineLevel="0" collapsed="false">
      <c r="A64" s="11" t="s">
        <v>161</v>
      </c>
      <c r="B64" s="11" t="s">
        <v>142</v>
      </c>
      <c r="C64" s="11" t="n">
        <v>12</v>
      </c>
      <c r="D64" s="11" t="n">
        <f aca="false">IF(AND(C64&gt;=6,C64&lt;=9),1,0)</f>
        <v>0</v>
      </c>
      <c r="E64" s="22" t="n">
        <v>887.258</v>
      </c>
      <c r="F64" s="22" t="n">
        <v>150.052</v>
      </c>
      <c r="G64" s="25" t="n">
        <f aca="false">E64-F64</f>
        <v>737.206</v>
      </c>
      <c r="H64" s="22" t="n">
        <v>102.178</v>
      </c>
      <c r="I64" s="22" t="n">
        <v>146.677</v>
      </c>
      <c r="J64" s="22" t="n">
        <v>365.866</v>
      </c>
      <c r="K64" s="22" t="n">
        <v>272.537</v>
      </c>
      <c r="L64" s="22" t="n">
        <v>215.307</v>
      </c>
      <c r="M64" s="26" t="n">
        <f aca="false">Rates!$F$5+IF(D64=1,E64*Rates!$F$6,MIN(E64,Rates!$F$11)*Rates!$F$7+MAX(E64-Rates!$F$11,0)*Rates!$F$8)+E64*(Rates!$F$9+Rates!$F$10)</f>
        <v>129.23493312</v>
      </c>
      <c r="N64" s="26" t="n">
        <f aca="false">Rates!$F$12+H64*IF(D64=1,Rates!$F$13,Rates!$F$14)+I64*Rates!$F$15+J64*IF(D64=1,Rates!$F$16,Rates!$F$18)+K64*IF(D64=1,Rates!$F$17,Rates!$F$19)+E64*(Rates!$F$20+Rates!$F$21)</f>
        <v>120.50757044</v>
      </c>
      <c r="O64" s="26" t="n">
        <f aca="false">Rates!$F$22+IF(D64=1,E64*Rates!$F$23,E64*Rates!$F$24)+E64*(Rates!$F$25+Rates!$F$26)</f>
        <v>75.14768544</v>
      </c>
      <c r="P64" s="26" t="n">
        <f aca="false">Rates!$F$27+IF(D64=1,G64*Rates!$F$28,MIN(G64,Rates!$F$35)*Rates!$F$29+MAX(G64-Rates!$F$35,0)*Rates!$F$30)+IF(F64&gt;0,Rates!$F$31,0)+F64*Rates!$F$32+E64*(Rates!$F$33+Rates!$F$34)</f>
        <v>122.79598632</v>
      </c>
      <c r="Q64" s="26" t="n">
        <f aca="false">IF(L64&gt;0,Rates!$F$36,0)+L64*(Rates!$F$37+Rates!$F$38+Rates!$F$39)</f>
        <v>210.87879017</v>
      </c>
    </row>
    <row r="65" customFormat="false" ht="15" hidden="false" customHeight="false" outlineLevel="0" collapsed="false">
      <c r="A65" s="11" t="s">
        <v>161</v>
      </c>
      <c r="B65" s="11" t="s">
        <v>143</v>
      </c>
      <c r="C65" s="11" t="n">
        <v>1</v>
      </c>
      <c r="D65" s="11" t="n">
        <f aca="false">IF(AND(C65&gt;=6,C65&lt;=9),1,0)</f>
        <v>0</v>
      </c>
      <c r="E65" s="22" t="n">
        <v>4555.108</v>
      </c>
      <c r="F65" s="22" t="n">
        <v>3844.872</v>
      </c>
      <c r="G65" s="25" t="n">
        <f aca="false">E65-F65</f>
        <v>710.236</v>
      </c>
      <c r="H65" s="22" t="n">
        <v>372.887</v>
      </c>
      <c r="I65" s="22" t="n">
        <v>1132.749</v>
      </c>
      <c r="J65" s="22" t="n">
        <v>1973.039</v>
      </c>
      <c r="K65" s="22" t="n">
        <v>1076.433</v>
      </c>
      <c r="L65" s="22" t="n">
        <v>2.491</v>
      </c>
      <c r="M65" s="26" t="n">
        <f aca="false">Rates!$F$5+IF(D65=1,E65*Rates!$F$6,MIN(E65,Rates!$F$11)*Rates!$F$7+MAX(E65-Rates!$F$11,0)*Rates!$F$8)+E65*(Rates!$F$9+Rates!$F$10)</f>
        <v>621.23777848</v>
      </c>
      <c r="N65" s="26" t="n">
        <f aca="false">Rates!$F$12+H65*IF(D65=1,Rates!$F$13,Rates!$F$14)+I65*Rates!$F$15+J65*IF(D65=1,Rates!$F$16,Rates!$F$18)+K65*IF(D65=1,Rates!$F$17,Rates!$F$19)+E65*(Rates!$F$20+Rates!$F$21)</f>
        <v>563.21297844</v>
      </c>
      <c r="O65" s="26" t="n">
        <f aca="false">Rates!$F$22+IF(D65=1,E65*Rates!$F$23,E65*Rates!$F$24)+E65*(Rates!$F$25+Rates!$F$26)</f>
        <v>352.73057344</v>
      </c>
      <c r="P65" s="26" t="n">
        <f aca="false">Rates!$F$27+IF(D65=1,G65*Rates!$F$28,MIN(G65,Rates!$F$35)*Rates!$F$29+MAX(G65-Rates!$F$35,0)*Rates!$F$30)+IF(F65&gt;0,Rates!$F$31,0)+F65*Rates!$F$32+E65*(Rates!$F$33+Rates!$F$34)</f>
        <v>343.53417232</v>
      </c>
      <c r="Q65" s="26" t="n">
        <f aca="false">IF(L65&gt;0,Rates!$F$36,0)+L65*(Rates!$F$37+Rates!$F$38+Rates!$F$39)</f>
        <v>11.82985721</v>
      </c>
    </row>
    <row r="66" customFormat="false" ht="15" hidden="false" customHeight="false" outlineLevel="0" collapsed="false">
      <c r="A66" s="11" t="s">
        <v>161</v>
      </c>
      <c r="B66" s="11" t="s">
        <v>143</v>
      </c>
      <c r="C66" s="11" t="n">
        <v>2</v>
      </c>
      <c r="D66" s="11" t="n">
        <f aca="false">IF(AND(C66&gt;=6,C66&lt;=9),1,0)</f>
        <v>0</v>
      </c>
      <c r="E66" s="22" t="n">
        <v>3787.912</v>
      </c>
      <c r="F66" s="22" t="n">
        <v>3145.389</v>
      </c>
      <c r="G66" s="25" t="n">
        <f aca="false">E66-F66</f>
        <v>642.523</v>
      </c>
      <c r="H66" s="22" t="n">
        <v>306.793</v>
      </c>
      <c r="I66" s="22" t="n">
        <v>958.228</v>
      </c>
      <c r="J66" s="22" t="n">
        <v>1700.21</v>
      </c>
      <c r="K66" s="22" t="n">
        <v>822.68</v>
      </c>
      <c r="L66" s="22" t="n">
        <v>2.226</v>
      </c>
      <c r="M66" s="26" t="n">
        <f aca="false">Rates!$F$5+IF(D66=1,E66*Rates!$F$6,MIN(E66,Rates!$F$11)*Rates!$F$7+MAX(E66-Rates!$F$11,0)*Rates!$F$8)+E66*(Rates!$F$9+Rates!$F$10)</f>
        <v>518.38748272</v>
      </c>
      <c r="N66" s="26" t="n">
        <f aca="false">Rates!$F$12+H66*IF(D66=1,Rates!$F$13,Rates!$F$14)+I66*Rates!$F$15+J66*IF(D66=1,Rates!$F$16,Rates!$F$18)+K66*IF(D66=1,Rates!$F$17,Rates!$F$19)+E66*(Rates!$F$20+Rates!$F$21)</f>
        <v>468.93427016</v>
      </c>
      <c r="O66" s="26" t="n">
        <f aca="false">Rates!$F$22+IF(D66=1,E66*Rates!$F$23,E66*Rates!$F$24)+E66*(Rates!$F$25+Rates!$F$26)</f>
        <v>294.66918016</v>
      </c>
      <c r="P66" s="26" t="n">
        <f aca="false">Rates!$F$27+IF(D66=1,G66*Rates!$F$28,MIN(G66,Rates!$F$35)*Rates!$F$29+MAX(G66-Rates!$F$35,0)*Rates!$F$30)+IF(F66&gt;0,Rates!$F$31,0)+F66*Rates!$F$32+E66*(Rates!$F$33+Rates!$F$34)</f>
        <v>291.79527058</v>
      </c>
      <c r="Q66" s="26" t="n">
        <f aca="false">IF(L66&gt;0,Rates!$F$36,0)+L66*(Rates!$F$37+Rates!$F$38+Rates!$F$39)</f>
        <v>11.58200006</v>
      </c>
    </row>
    <row r="67" customFormat="false" ht="15" hidden="false" customHeight="false" outlineLevel="0" collapsed="false">
      <c r="A67" s="11" t="s">
        <v>161</v>
      </c>
      <c r="B67" s="11" t="s">
        <v>143</v>
      </c>
      <c r="C67" s="11" t="n">
        <v>3</v>
      </c>
      <c r="D67" s="11" t="n">
        <f aca="false">IF(AND(C67&gt;=6,C67&lt;=9),1,0)</f>
        <v>0</v>
      </c>
      <c r="E67" s="22" t="n">
        <v>2136.239</v>
      </c>
      <c r="F67" s="22" t="n">
        <v>1458.588</v>
      </c>
      <c r="G67" s="25" t="n">
        <f aca="false">E67-F67</f>
        <v>677.651</v>
      </c>
      <c r="H67" s="22" t="n">
        <v>173.205</v>
      </c>
      <c r="I67" s="22" t="n">
        <v>500.96</v>
      </c>
      <c r="J67" s="22" t="n">
        <v>999.291</v>
      </c>
      <c r="K67" s="22" t="n">
        <v>462.783</v>
      </c>
      <c r="L67" s="22" t="n">
        <v>2.491</v>
      </c>
      <c r="M67" s="26" t="n">
        <f aca="false">Rates!$F$5+IF(D67=1,E67*Rates!$F$6,MIN(E67,Rates!$F$11)*Rates!$F$7+MAX(E67-Rates!$F$11,0)*Rates!$F$8)+E67*(Rates!$F$9+Rates!$F$10)</f>
        <v>296.96420034</v>
      </c>
      <c r="N67" s="26" t="n">
        <f aca="false">Rates!$F$12+H67*IF(D67=1,Rates!$F$13,Rates!$F$14)+I67*Rates!$F$15+J67*IF(D67=1,Rates!$F$16,Rates!$F$18)+K67*IF(D67=1,Rates!$F$17,Rates!$F$19)+E67*(Rates!$F$20+Rates!$F$21)</f>
        <v>269.34121752</v>
      </c>
      <c r="O67" s="26" t="n">
        <f aca="false">Rates!$F$22+IF(D67=1,E67*Rates!$F$23,E67*Rates!$F$24)+E67*(Rates!$F$25+Rates!$F$26)</f>
        <v>169.67056752</v>
      </c>
      <c r="P67" s="26" t="n">
        <f aca="false">Rates!$F$27+IF(D67=1,G67*Rates!$F$28,MIN(G67,Rates!$F$35)*Rates!$F$29+MAX(G67-Rates!$F$35,0)*Rates!$F$30)+IF(F67&gt;0,Rates!$F$31,0)+F67*Rates!$F$32+E67*(Rates!$F$33+Rates!$F$34)</f>
        <v>194.13886776</v>
      </c>
      <c r="Q67" s="26" t="n">
        <f aca="false">IF(L67&gt;0,Rates!$F$36,0)+L67*(Rates!$F$37+Rates!$F$38+Rates!$F$39)</f>
        <v>11.82985721</v>
      </c>
    </row>
    <row r="68" customFormat="false" ht="15" hidden="false" customHeight="false" outlineLevel="0" collapsed="false">
      <c r="A68" s="11" t="s">
        <v>161</v>
      </c>
      <c r="B68" s="11" t="s">
        <v>143</v>
      </c>
      <c r="C68" s="11" t="n">
        <v>4</v>
      </c>
      <c r="D68" s="11" t="n">
        <f aca="false">IF(AND(C68&gt;=6,C68&lt;=9),1,0)</f>
        <v>0</v>
      </c>
      <c r="E68" s="22" t="n">
        <v>1794.251</v>
      </c>
      <c r="F68" s="22" t="n">
        <v>1150.288</v>
      </c>
      <c r="G68" s="25" t="n">
        <f aca="false">E68-F68</f>
        <v>643.963</v>
      </c>
      <c r="H68" s="22" t="n">
        <v>134.894</v>
      </c>
      <c r="I68" s="22" t="n">
        <v>430.505</v>
      </c>
      <c r="J68" s="22" t="n">
        <v>773.49</v>
      </c>
      <c r="K68" s="22" t="n">
        <v>455.362</v>
      </c>
      <c r="L68" s="22" t="n">
        <v>2.29</v>
      </c>
      <c r="M68" s="26" t="n">
        <f aca="false">Rates!$F$5+IF(D68=1,E68*Rates!$F$6,MIN(E68,Rates!$F$11)*Rates!$F$7+MAX(E68-Rates!$F$11,0)*Rates!$F$8)+E68*(Rates!$F$9+Rates!$F$10)</f>
        <v>251.11728906</v>
      </c>
      <c r="N68" s="26" t="n">
        <f aca="false">Rates!$F$12+H68*IF(D68=1,Rates!$F$13,Rates!$F$14)+I68*Rates!$F$15+J68*IF(D68=1,Rates!$F$16,Rates!$F$18)+K68*IF(D68=1,Rates!$F$17,Rates!$F$19)+E68*(Rates!$F$20+Rates!$F$21)</f>
        <v>226.52743068</v>
      </c>
      <c r="O68" s="26" t="n">
        <f aca="false">Rates!$F$22+IF(D68=1,E68*Rates!$F$23,E68*Rates!$F$24)+E68*(Rates!$F$25+Rates!$F$26)</f>
        <v>143.78891568</v>
      </c>
      <c r="P68" s="26" t="n">
        <f aca="false">Rates!$F$27+IF(D68=1,G68*Rates!$F$28,MIN(G68,Rates!$F$35)*Rates!$F$29+MAX(G68-Rates!$F$35,0)*Rates!$F$30)+IF(F68&gt;0,Rates!$F$31,0)+F68*Rates!$F$32+E68*(Rates!$F$33+Rates!$F$34)</f>
        <v>170.80959744</v>
      </c>
      <c r="Q68" s="26" t="n">
        <f aca="false">IF(L68&gt;0,Rates!$F$36,0)+L68*(Rates!$F$37+Rates!$F$38+Rates!$F$39)</f>
        <v>11.6418599</v>
      </c>
    </row>
    <row r="69" customFormat="false" ht="15" hidden="false" customHeight="false" outlineLevel="0" collapsed="false">
      <c r="A69" s="11" t="s">
        <v>161</v>
      </c>
      <c r="B69" s="11" t="s">
        <v>143</v>
      </c>
      <c r="C69" s="11" t="n">
        <v>5</v>
      </c>
      <c r="D69" s="11" t="n">
        <f aca="false">IF(AND(C69&gt;=6,C69&lt;=9),1,0)</f>
        <v>0</v>
      </c>
      <c r="E69" s="22" t="n">
        <v>886.814</v>
      </c>
      <c r="F69" s="22" t="n">
        <v>29.749</v>
      </c>
      <c r="G69" s="25" t="n">
        <f aca="false">E69-F69</f>
        <v>857.065</v>
      </c>
      <c r="H69" s="22" t="n">
        <v>115.617</v>
      </c>
      <c r="I69" s="22" t="n">
        <v>140.035</v>
      </c>
      <c r="J69" s="22" t="n">
        <v>391.751</v>
      </c>
      <c r="K69" s="22" t="n">
        <v>239.412</v>
      </c>
      <c r="L69" s="22" t="n">
        <v>2.345</v>
      </c>
      <c r="M69" s="26" t="n">
        <f aca="false">Rates!$F$5+IF(D69=1,E69*Rates!$F$6,MIN(E69,Rates!$F$11)*Rates!$F$7+MAX(E69-Rates!$F$11,0)*Rates!$F$8)+E69*(Rates!$F$9+Rates!$F$10)</f>
        <v>129.17426496</v>
      </c>
      <c r="N69" s="26" t="n">
        <f aca="false">Rates!$F$12+H69*IF(D69=1,Rates!$F$13,Rates!$F$14)+I69*Rates!$F$15+J69*IF(D69=1,Rates!$F$16,Rates!$F$18)+K69*IF(D69=1,Rates!$F$17,Rates!$F$19)+E69*(Rates!$F$20+Rates!$F$21)</f>
        <v>121.49068852</v>
      </c>
      <c r="O69" s="26" t="n">
        <f aca="false">Rates!$F$22+IF(D69=1,E69*Rates!$F$23,E69*Rates!$F$24)+E69*(Rates!$F$25+Rates!$F$26)</f>
        <v>75.11408352</v>
      </c>
      <c r="P69" s="26" t="n">
        <f aca="false">Rates!$F$27+IF(D69=1,G69*Rates!$F$28,MIN(G69,Rates!$F$35)*Rates!$F$29+MAX(G69-Rates!$F$35,0)*Rates!$F$30)+IF(F69&gt;0,Rates!$F$31,0)+F69*Rates!$F$32+E69*(Rates!$F$33+Rates!$F$34)</f>
        <v>131.86631586</v>
      </c>
      <c r="Q69" s="26" t="n">
        <f aca="false">IF(L69&gt;0,Rates!$F$36,0)+L69*(Rates!$F$37+Rates!$F$38+Rates!$F$39)</f>
        <v>11.69330195</v>
      </c>
    </row>
    <row r="70" customFormat="false" ht="15" hidden="false" customHeight="false" outlineLevel="0" collapsed="false">
      <c r="A70" s="11" t="s">
        <v>161</v>
      </c>
      <c r="B70" s="11" t="s">
        <v>143</v>
      </c>
      <c r="C70" s="11" t="n">
        <v>6</v>
      </c>
      <c r="D70" s="11" t="n">
        <f aca="false">IF(AND(C70&gt;=6,C70&lt;=9),1,0)</f>
        <v>1</v>
      </c>
      <c r="E70" s="22" t="n">
        <v>947.109</v>
      </c>
      <c r="F70" s="22" t="n">
        <v>2.731</v>
      </c>
      <c r="G70" s="25" t="n">
        <f aca="false">E70-F70</f>
        <v>944.378</v>
      </c>
      <c r="H70" s="22" t="n">
        <v>128.864</v>
      </c>
      <c r="I70" s="22" t="n">
        <v>158.629</v>
      </c>
      <c r="J70" s="22" t="n">
        <v>415.181</v>
      </c>
      <c r="K70" s="22" t="n">
        <v>244.435</v>
      </c>
      <c r="L70" s="22" t="n">
        <v>2.292</v>
      </c>
      <c r="M70" s="26" t="n">
        <f aca="false">Rates!$F$5+IF(D70=1,E70*Rates!$F$6,MIN(E70,Rates!$F$11)*Rates!$F$7+MAX(E70-Rates!$F$11,0)*Rates!$F$8)+E70*(Rates!$F$9+Rates!$F$10)</f>
        <v>152.17840307</v>
      </c>
      <c r="N70" s="26" t="n">
        <f aca="false">Rates!$F$12+H70*IF(D70=1,Rates!$F$13,Rates!$F$14)+I70*Rates!$F$15+J70*IF(D70=1,Rates!$F$16,Rates!$F$18)+K70*IF(D70=1,Rates!$F$17,Rates!$F$19)+E70*(Rates!$F$20+Rates!$F$21)</f>
        <v>147.55936412</v>
      </c>
      <c r="O70" s="26" t="n">
        <f aca="false">Rates!$F$22+IF(D70=1,E70*Rates!$F$23,E70*Rates!$F$24)+E70*(Rates!$F$25+Rates!$F$26)</f>
        <v>152.17840307</v>
      </c>
      <c r="P70" s="26" t="n">
        <f aca="false">Rates!$F$27+IF(D70=1,G70*Rates!$F$28,MIN(G70,Rates!$F$35)*Rates!$F$29+MAX(G70-Rates!$F$35,0)*Rates!$F$30)+IF(F70&gt;0,Rates!$F$31,0)+F70*Rates!$F$32+E70*(Rates!$F$33+Rates!$F$34)</f>
        <v>156.87854388</v>
      </c>
      <c r="Q70" s="26" t="n">
        <f aca="false">IF(L70&gt;0,Rates!$F$36,0)+L70*(Rates!$F$37+Rates!$F$38+Rates!$F$39)</f>
        <v>11.64373052</v>
      </c>
    </row>
    <row r="71" customFormat="false" ht="15" hidden="false" customHeight="false" outlineLevel="0" collapsed="false">
      <c r="A71" s="11" t="s">
        <v>161</v>
      </c>
      <c r="B71" s="11" t="s">
        <v>143</v>
      </c>
      <c r="C71" s="11" t="n">
        <v>7</v>
      </c>
      <c r="D71" s="11" t="n">
        <f aca="false">IF(AND(C71&gt;=6,C71&lt;=9),1,0)</f>
        <v>1</v>
      </c>
      <c r="E71" s="22" t="n">
        <v>1079.821</v>
      </c>
      <c r="F71" s="22" t="n">
        <v>1.936</v>
      </c>
      <c r="G71" s="25" t="n">
        <f aca="false">E71-F71</f>
        <v>1077.885</v>
      </c>
      <c r="H71" s="22" t="n">
        <v>139.517</v>
      </c>
      <c r="I71" s="22" t="n">
        <v>179.974</v>
      </c>
      <c r="J71" s="22" t="n">
        <v>457.494</v>
      </c>
      <c r="K71" s="22" t="n">
        <v>302.836</v>
      </c>
      <c r="L71" s="22" t="n">
        <v>2.238</v>
      </c>
      <c r="M71" s="26" t="n">
        <f aca="false">Rates!$F$5+IF(D71=1,E71*Rates!$F$6,MIN(E71,Rates!$F$11)*Rates!$F$7+MAX(E71-Rates!$F$11,0)*Rates!$F$8)+E71*(Rates!$F$9+Rates!$F$10)</f>
        <v>172.38115083</v>
      </c>
      <c r="N71" s="26" t="n">
        <f aca="false">Rates!$F$12+H71*IF(D71=1,Rates!$F$13,Rates!$F$14)+I71*Rates!$F$15+J71*IF(D71=1,Rates!$F$16,Rates!$F$18)+K71*IF(D71=1,Rates!$F$17,Rates!$F$19)+E71*(Rates!$F$20+Rates!$F$21)</f>
        <v>166.57111328</v>
      </c>
      <c r="O71" s="26" t="n">
        <f aca="false">Rates!$F$22+IF(D71=1,E71*Rates!$F$23,E71*Rates!$F$24)+E71*(Rates!$F$25+Rates!$F$26)</f>
        <v>172.38115083</v>
      </c>
      <c r="P71" s="26" t="n">
        <f aca="false">Rates!$F$27+IF(D71=1,G71*Rates!$F$28,MIN(G71,Rates!$F$35)*Rates!$F$29+MAX(G71-Rates!$F$35,0)*Rates!$F$30)+IF(F71&gt;0,Rates!$F$31,0)+F71*Rates!$F$32+E71*(Rates!$F$33+Rates!$F$34)</f>
        <v>177.15402619</v>
      </c>
      <c r="Q71" s="26" t="n">
        <f aca="false">IF(L71&gt;0,Rates!$F$36,0)+L71*(Rates!$F$37+Rates!$F$38+Rates!$F$39)</f>
        <v>11.59322378</v>
      </c>
    </row>
    <row r="72" customFormat="false" ht="15" hidden="false" customHeight="false" outlineLevel="0" collapsed="false">
      <c r="A72" s="11" t="s">
        <v>161</v>
      </c>
      <c r="B72" s="11" t="s">
        <v>143</v>
      </c>
      <c r="C72" s="11" t="n">
        <v>8</v>
      </c>
      <c r="D72" s="11" t="n">
        <f aca="false">IF(AND(C72&gt;=6,C72&lt;=9),1,0)</f>
        <v>1</v>
      </c>
      <c r="E72" s="22" t="n">
        <v>1024.546</v>
      </c>
      <c r="F72" s="22" t="n">
        <v>2.851</v>
      </c>
      <c r="G72" s="25" t="n">
        <f aca="false">E72-F72</f>
        <v>1021.695</v>
      </c>
      <c r="H72" s="22" t="n">
        <v>141.426</v>
      </c>
      <c r="I72" s="22" t="n">
        <v>171.589</v>
      </c>
      <c r="J72" s="22" t="n">
        <v>472.843</v>
      </c>
      <c r="K72" s="22" t="n">
        <v>238.688</v>
      </c>
      <c r="L72" s="22" t="n">
        <v>2.279</v>
      </c>
      <c r="M72" s="26" t="n">
        <f aca="false">Rates!$F$5+IF(D72=1,E72*Rates!$F$6,MIN(E72,Rates!$F$11)*Rates!$F$7+MAX(E72-Rates!$F$11,0)*Rates!$F$8)+E72*(Rates!$F$9+Rates!$F$10)</f>
        <v>163.96663758</v>
      </c>
      <c r="N72" s="26" t="n">
        <f aca="false">Rates!$F$12+H72*IF(D72=1,Rates!$F$13,Rates!$F$14)+I72*Rates!$F$15+J72*IF(D72=1,Rates!$F$16,Rates!$F$18)+K72*IF(D72=1,Rates!$F$17,Rates!$F$19)+E72*(Rates!$F$20+Rates!$F$21)</f>
        <v>159.13254628</v>
      </c>
      <c r="O72" s="26" t="n">
        <f aca="false">Rates!$F$22+IF(D72=1,E72*Rates!$F$23,E72*Rates!$F$24)+E72*(Rates!$F$25+Rates!$F$26)</f>
        <v>163.96663758</v>
      </c>
      <c r="P72" s="26" t="n">
        <f aca="false">Rates!$F$27+IF(D72=1,G72*Rates!$F$28,MIN(G72,Rates!$F$35)*Rates!$F$29+MAX(G72-Rates!$F$35,0)*Rates!$F$30)+IF(F72&gt;0,Rates!$F$31,0)+F72*Rates!$F$32+E72*(Rates!$F$33+Rates!$F$34)</f>
        <v>168.65579959</v>
      </c>
      <c r="Q72" s="26" t="n">
        <f aca="false">IF(L72&gt;0,Rates!$F$36,0)+L72*(Rates!$F$37+Rates!$F$38+Rates!$F$39)</f>
        <v>11.63157149</v>
      </c>
    </row>
    <row r="73" customFormat="false" ht="15" hidden="false" customHeight="false" outlineLevel="0" collapsed="false">
      <c r="A73" s="11" t="s">
        <v>161</v>
      </c>
      <c r="B73" s="11" t="s">
        <v>143</v>
      </c>
      <c r="C73" s="11" t="n">
        <v>9</v>
      </c>
      <c r="D73" s="11" t="n">
        <f aca="false">IF(AND(C73&gt;=6,C73&lt;=9),1,0)</f>
        <v>1</v>
      </c>
      <c r="E73" s="22" t="n">
        <v>876.95</v>
      </c>
      <c r="F73" s="22" t="n">
        <v>56.494</v>
      </c>
      <c r="G73" s="25" t="n">
        <f aca="false">E73-F73</f>
        <v>820.456</v>
      </c>
      <c r="H73" s="22" t="n">
        <v>92.543</v>
      </c>
      <c r="I73" s="22" t="n">
        <v>149.969</v>
      </c>
      <c r="J73" s="22" t="n">
        <v>327.295</v>
      </c>
      <c r="K73" s="22" t="n">
        <v>307.142</v>
      </c>
      <c r="L73" s="22" t="n">
        <v>2.281</v>
      </c>
      <c r="M73" s="26" t="n">
        <f aca="false">Rates!$F$5+IF(D73=1,E73*Rates!$F$6,MIN(E73,Rates!$F$11)*Rates!$F$7+MAX(E73-Rates!$F$11,0)*Rates!$F$8)+E73*(Rates!$F$9+Rates!$F$10)</f>
        <v>141.4980985</v>
      </c>
      <c r="N73" s="26" t="n">
        <f aca="false">Rates!$F$12+H73*IF(D73=1,Rates!$F$13,Rates!$F$14)+I73*Rates!$F$15+J73*IF(D73=1,Rates!$F$16,Rates!$F$18)+K73*IF(D73=1,Rates!$F$17,Rates!$F$19)+E73*(Rates!$F$20+Rates!$F$21)</f>
        <v>134.909091</v>
      </c>
      <c r="O73" s="26" t="n">
        <f aca="false">Rates!$F$22+IF(D73=1,E73*Rates!$F$23,E73*Rates!$F$24)+E73*(Rates!$F$25+Rates!$F$26)</f>
        <v>141.4980985</v>
      </c>
      <c r="P73" s="26" t="n">
        <f aca="false">Rates!$F$27+IF(D73=1,G73*Rates!$F$28,MIN(G73,Rates!$F$35)*Rates!$F$29+MAX(G73-Rates!$F$35,0)*Rates!$F$30)+IF(F73&gt;0,Rates!$F$31,0)+F73*Rates!$F$32+E73*(Rates!$F$33+Rates!$F$34)</f>
        <v>141.27946244</v>
      </c>
      <c r="Q73" s="26" t="n">
        <f aca="false">IF(L73&gt;0,Rates!$F$36,0)+L73*(Rates!$F$37+Rates!$F$38+Rates!$F$39)</f>
        <v>11.63344211</v>
      </c>
    </row>
    <row r="74" customFormat="false" ht="15" hidden="false" customHeight="false" outlineLevel="0" collapsed="false">
      <c r="A74" s="11" t="s">
        <v>161</v>
      </c>
      <c r="B74" s="11" t="s">
        <v>143</v>
      </c>
      <c r="C74" s="11" t="n">
        <v>10</v>
      </c>
      <c r="D74" s="11" t="n">
        <f aca="false">IF(AND(C74&gt;=6,C74&lt;=9),1,0)</f>
        <v>0</v>
      </c>
      <c r="E74" s="22" t="n">
        <v>1208.066</v>
      </c>
      <c r="F74" s="22" t="n">
        <v>578.286</v>
      </c>
      <c r="G74" s="25" t="n">
        <f aca="false">E74-F74</f>
        <v>629.78</v>
      </c>
      <c r="H74" s="22" t="n">
        <v>112.806</v>
      </c>
      <c r="I74" s="22" t="n">
        <v>257.261</v>
      </c>
      <c r="J74" s="22" t="n">
        <v>566.843</v>
      </c>
      <c r="K74" s="22" t="n">
        <v>271.156</v>
      </c>
      <c r="L74" s="22" t="n">
        <v>2.37</v>
      </c>
      <c r="M74" s="26" t="n">
        <f aca="false">Rates!$F$5+IF(D74=1,E74*Rates!$F$6,MIN(E74,Rates!$F$11)*Rates!$F$7+MAX(E74-Rates!$F$11,0)*Rates!$F$8)+E74*(Rates!$F$9+Rates!$F$10)</f>
        <v>172.53332796</v>
      </c>
      <c r="N74" s="26" t="n">
        <f aca="false">Rates!$F$12+H74*IF(D74=1,Rates!$F$13,Rates!$F$14)+I74*Rates!$F$15+J74*IF(D74=1,Rates!$F$16,Rates!$F$18)+K74*IF(D74=1,Rates!$F$17,Rates!$F$19)+E74*(Rates!$F$20+Rates!$F$21)</f>
        <v>157.59395988</v>
      </c>
      <c r="O74" s="26" t="n">
        <f aca="false">Rates!$F$22+IF(D74=1,E74*Rates!$F$23,E74*Rates!$F$24)+E74*(Rates!$F$25+Rates!$F$26)</f>
        <v>99.42643488</v>
      </c>
      <c r="P74" s="26" t="n">
        <f aca="false">Rates!$F$27+IF(D74=1,G74*Rates!$F$28,MIN(G74,Rates!$F$35)*Rates!$F$29+MAX(G74-Rates!$F$35,0)*Rates!$F$30)+IF(F74&gt;0,Rates!$F$31,0)+F74*Rates!$F$32+E74*(Rates!$F$33+Rates!$F$34)</f>
        <v>134.12823084</v>
      </c>
      <c r="Q74" s="26" t="n">
        <f aca="false">IF(L74&gt;0,Rates!$F$36,0)+L74*(Rates!$F$37+Rates!$F$38+Rates!$F$39)</f>
        <v>11.7166847</v>
      </c>
    </row>
    <row r="75" customFormat="false" ht="15" hidden="false" customHeight="false" outlineLevel="0" collapsed="false">
      <c r="A75" s="11" t="s">
        <v>161</v>
      </c>
      <c r="B75" s="11" t="s">
        <v>143</v>
      </c>
      <c r="C75" s="11" t="n">
        <v>11</v>
      </c>
      <c r="D75" s="11" t="n">
        <f aca="false">IF(AND(C75&gt;=6,C75&lt;=9),1,0)</f>
        <v>0</v>
      </c>
      <c r="E75" s="22" t="n">
        <v>2492.115</v>
      </c>
      <c r="F75" s="22" t="n">
        <v>1859.635</v>
      </c>
      <c r="G75" s="25" t="n">
        <f aca="false">E75-F75</f>
        <v>632.48</v>
      </c>
      <c r="H75" s="22" t="n">
        <v>226.368</v>
      </c>
      <c r="I75" s="22" t="n">
        <v>573.173</v>
      </c>
      <c r="J75" s="22" t="n">
        <v>1111.663</v>
      </c>
      <c r="K75" s="22" t="n">
        <v>580.911</v>
      </c>
      <c r="L75" s="22" t="n">
        <v>2.422</v>
      </c>
      <c r="M75" s="26" t="n">
        <f aca="false">Rates!$F$5+IF(D75=1,E75*Rates!$F$6,MIN(E75,Rates!$F$11)*Rates!$F$7+MAX(E75-Rates!$F$11,0)*Rates!$F$8)+E75*(Rates!$F$9+Rates!$F$10)</f>
        <v>344.6729369</v>
      </c>
      <c r="N75" s="26" t="n">
        <f aca="false">Rates!$F$12+H75*IF(D75=1,Rates!$F$13,Rates!$F$14)+I75*Rates!$F$15+J75*IF(D75=1,Rates!$F$16,Rates!$F$18)+K75*IF(D75=1,Rates!$F$17,Rates!$F$19)+E75*(Rates!$F$20+Rates!$F$21)</f>
        <v>314.7300382</v>
      </c>
      <c r="O75" s="26" t="n">
        <f aca="false">Rates!$F$22+IF(D75=1,E75*Rates!$F$23,E75*Rates!$F$24)+E75*(Rates!$F$25+Rates!$F$26)</f>
        <v>196.6032632</v>
      </c>
      <c r="P75" s="26" t="n">
        <f aca="false">Rates!$F$27+IF(D75=1,G75*Rates!$F$28,MIN(G75,Rates!$F$35)*Rates!$F$29+MAX(G75-Rates!$F$35,0)*Rates!$F$30)+IF(F75&gt;0,Rates!$F$31,0)+F75*Rates!$F$32+E75*(Rates!$F$33+Rates!$F$34)</f>
        <v>212.3262971</v>
      </c>
      <c r="Q75" s="26" t="n">
        <f aca="false">IF(L75&gt;0,Rates!$F$36,0)+L75*(Rates!$F$37+Rates!$F$38+Rates!$F$39)</f>
        <v>11.76532082</v>
      </c>
    </row>
    <row r="76" customFormat="false" ht="15" hidden="false" customHeight="false" outlineLevel="0" collapsed="false">
      <c r="A76" s="11" t="s">
        <v>161</v>
      </c>
      <c r="B76" s="11" t="s">
        <v>143</v>
      </c>
      <c r="C76" s="11" t="n">
        <v>12</v>
      </c>
      <c r="D76" s="11" t="n">
        <f aca="false">IF(AND(C76&gt;=6,C76&lt;=9),1,0)</f>
        <v>0</v>
      </c>
      <c r="E76" s="22" t="n">
        <v>2957.818</v>
      </c>
      <c r="F76" s="22" t="n">
        <v>2253.1</v>
      </c>
      <c r="G76" s="25" t="n">
        <f aca="false">E76-F76</f>
        <v>704.718</v>
      </c>
      <c r="H76" s="22" t="n">
        <v>255.9</v>
      </c>
      <c r="I76" s="22" t="n">
        <v>678.018</v>
      </c>
      <c r="J76" s="22" t="n">
        <v>1204.667</v>
      </c>
      <c r="K76" s="22" t="n">
        <v>819.234</v>
      </c>
      <c r="L76" s="22" t="n">
        <v>2.661</v>
      </c>
      <c r="M76" s="26" t="n">
        <f aca="false">Rates!$F$5+IF(D76=1,E76*Rates!$F$6,MIN(E76,Rates!$F$11)*Rates!$F$7+MAX(E76-Rates!$F$11,0)*Rates!$F$8)+E76*(Rates!$F$9+Rates!$F$10)</f>
        <v>407.10508108</v>
      </c>
      <c r="N76" s="26" t="n">
        <f aca="false">Rates!$F$12+H76*IF(D76=1,Rates!$F$13,Rates!$F$14)+I76*Rates!$F$15+J76*IF(D76=1,Rates!$F$16,Rates!$F$18)+K76*IF(D76=1,Rates!$F$17,Rates!$F$19)+E76*(Rates!$F$20+Rates!$F$21)</f>
        <v>371.36204624</v>
      </c>
      <c r="O76" s="26" t="n">
        <f aca="false">Rates!$F$22+IF(D76=1,E76*Rates!$F$23,E76*Rates!$F$24)+E76*(Rates!$F$25+Rates!$F$26)</f>
        <v>231.84766624</v>
      </c>
      <c r="P76" s="26" t="n">
        <f aca="false">Rates!$F$27+IF(D76=1,G76*Rates!$F$28,MIN(G76,Rates!$F$35)*Rates!$F$29+MAX(G76-Rates!$F$35,0)*Rates!$F$30)+IF(F76&gt;0,Rates!$F$31,0)+F76*Rates!$F$32+E76*(Rates!$F$33+Rates!$F$34)</f>
        <v>246.09596152</v>
      </c>
      <c r="Q76" s="26" t="n">
        <f aca="false">IF(L76&gt;0,Rates!$F$36,0)+L76*(Rates!$F$37+Rates!$F$38+Rates!$F$39)</f>
        <v>11.98885991</v>
      </c>
    </row>
    <row r="77" customFormat="false" ht="15" hidden="false" customHeight="false" outlineLevel="0" collapsed="false">
      <c r="A77" s="11" t="s">
        <v>161</v>
      </c>
      <c r="B77" s="11" t="s">
        <v>144</v>
      </c>
      <c r="C77" s="11" t="n">
        <v>1</v>
      </c>
      <c r="D77" s="11" t="n">
        <f aca="false">IF(AND(C77&gt;=6,C77&lt;=9),1,0)</f>
        <v>0</v>
      </c>
      <c r="E77" s="22" t="n">
        <v>1039.75</v>
      </c>
      <c r="F77" s="22" t="n">
        <v>329.324</v>
      </c>
      <c r="G77" s="25" t="n">
        <f aca="false">E77-F77</f>
        <v>710.426</v>
      </c>
      <c r="H77" s="22" t="n">
        <v>131.869</v>
      </c>
      <c r="I77" s="22" t="n">
        <v>165.855</v>
      </c>
      <c r="J77" s="22" t="n">
        <v>480.717</v>
      </c>
      <c r="K77" s="22" t="n">
        <v>261.309</v>
      </c>
      <c r="L77" s="22" t="n">
        <v>272.26</v>
      </c>
      <c r="M77" s="26" t="n">
        <f aca="false">Rates!$F$5+IF(D77=1,E77*Rates!$F$6,MIN(E77,Rates!$F$11)*Rates!$F$7+MAX(E77-Rates!$F$11,0)*Rates!$F$8)+E77*(Rates!$F$9+Rates!$F$10)</f>
        <v>149.968885</v>
      </c>
      <c r="N77" s="26" t="n">
        <f aca="false">Rates!$F$12+H77*IF(D77=1,Rates!$F$13,Rates!$F$14)+I77*Rates!$F$15+J77*IF(D77=1,Rates!$F$16,Rates!$F$18)+K77*IF(D77=1,Rates!$F$17,Rates!$F$19)+E77*(Rates!$F$20+Rates!$F$21)</f>
        <v>140.782995</v>
      </c>
      <c r="O77" s="26" t="n">
        <f aca="false">Rates!$F$22+IF(D77=1,E77*Rates!$F$23,E77*Rates!$F$24)+E77*(Rates!$F$25+Rates!$F$26)</f>
        <v>86.68828</v>
      </c>
      <c r="P77" s="26" t="n">
        <f aca="false">Rates!$F$27+IF(D77=1,G77*Rates!$F$28,MIN(G77,Rates!$F$35)*Rates!$F$29+MAX(G77-Rates!$F$35,0)*Rates!$F$30)+IF(F77&gt;0,Rates!$F$31,0)+F77*Rates!$F$32+E77*(Rates!$F$33+Rates!$F$34)</f>
        <v>130.0257484</v>
      </c>
      <c r="Q77" s="26" t="n">
        <f aca="false">IF(L77&gt;0,Rates!$F$36,0)+L77*(Rates!$F$37+Rates!$F$38+Rates!$F$39)</f>
        <v>264.1475006</v>
      </c>
    </row>
    <row r="78" customFormat="false" ht="15" hidden="false" customHeight="false" outlineLevel="0" collapsed="false">
      <c r="A78" s="11" t="s">
        <v>161</v>
      </c>
      <c r="B78" s="11" t="s">
        <v>144</v>
      </c>
      <c r="C78" s="11" t="n">
        <v>2</v>
      </c>
      <c r="D78" s="11" t="n">
        <f aca="false">IF(AND(C78&gt;=6,C78&lt;=9),1,0)</f>
        <v>0</v>
      </c>
      <c r="E78" s="22" t="n">
        <v>865.84</v>
      </c>
      <c r="F78" s="22" t="n">
        <v>223.056</v>
      </c>
      <c r="G78" s="25" t="n">
        <f aca="false">E78-F78</f>
        <v>642.784</v>
      </c>
      <c r="H78" s="22" t="n">
        <v>113.622</v>
      </c>
      <c r="I78" s="22" t="n">
        <v>133.56</v>
      </c>
      <c r="J78" s="22" t="n">
        <v>406.561</v>
      </c>
      <c r="K78" s="22" t="n">
        <v>212.097</v>
      </c>
      <c r="L78" s="22" t="n">
        <v>241.453</v>
      </c>
      <c r="M78" s="26" t="n">
        <f aca="false">Rates!$F$5+IF(D78=1,E78*Rates!$F$6,MIN(E78,Rates!$F$11)*Rates!$F$7+MAX(E78-Rates!$F$11,0)*Rates!$F$8)+E78*(Rates!$F$9+Rates!$F$10)</f>
        <v>126.3083776</v>
      </c>
      <c r="N78" s="26" t="n">
        <f aca="false">Rates!$F$12+H78*IF(D78=1,Rates!$F$13,Rates!$F$14)+I78*Rates!$F$15+J78*IF(D78=1,Rates!$F$16,Rates!$F$18)+K78*IF(D78=1,Rates!$F$17,Rates!$F$19)+E78*(Rates!$F$20+Rates!$F$21)</f>
        <v>118.9614912</v>
      </c>
      <c r="O78" s="26" t="n">
        <f aca="false">Rates!$F$22+IF(D78=1,E78*Rates!$F$23,E78*Rates!$F$24)+E78*(Rates!$F$25+Rates!$F$26)</f>
        <v>73.5267712</v>
      </c>
      <c r="P78" s="26" t="n">
        <f aca="false">Rates!$F$27+IF(D78=1,G78*Rates!$F$28,MIN(G78,Rates!$F$35)*Rates!$F$29+MAX(G78-Rates!$F$35,0)*Rates!$F$30)+IF(F78&gt;0,Rates!$F$31,0)+F78*Rates!$F$32+E78*(Rates!$F$33+Rates!$F$34)</f>
        <v>114.3284272</v>
      </c>
      <c r="Q78" s="26" t="n">
        <f aca="false">IF(L78&gt;0,Rates!$F$36,0)+L78*(Rates!$F$37+Rates!$F$38+Rates!$F$39)</f>
        <v>235.33340543</v>
      </c>
    </row>
    <row r="79" customFormat="false" ht="15" hidden="false" customHeight="false" outlineLevel="0" collapsed="false">
      <c r="A79" s="11" t="s">
        <v>161</v>
      </c>
      <c r="B79" s="11" t="s">
        <v>144</v>
      </c>
      <c r="C79" s="11" t="n">
        <v>3</v>
      </c>
      <c r="D79" s="11" t="n">
        <f aca="false">IF(AND(C79&gt;=6,C79&lt;=9),1,0)</f>
        <v>0</v>
      </c>
      <c r="E79" s="22" t="n">
        <v>1134.134</v>
      </c>
      <c r="F79" s="22" t="n">
        <v>456.501</v>
      </c>
      <c r="G79" s="25" t="n">
        <f aca="false">E79-F79</f>
        <v>677.633</v>
      </c>
      <c r="H79" s="22" t="n">
        <v>133.368</v>
      </c>
      <c r="I79" s="22" t="n">
        <v>186.65</v>
      </c>
      <c r="J79" s="22" t="n">
        <v>512.092</v>
      </c>
      <c r="K79" s="22" t="n">
        <v>302.024</v>
      </c>
      <c r="L79" s="22" t="n">
        <v>113.71</v>
      </c>
      <c r="M79" s="26" t="n">
        <f aca="false">Rates!$F$5+IF(D79=1,E79*Rates!$F$6,MIN(E79,Rates!$F$11)*Rates!$F$7+MAX(E79-Rates!$F$11,0)*Rates!$F$8)+E79*(Rates!$F$9+Rates!$F$10)</f>
        <v>162.62200404</v>
      </c>
      <c r="N79" s="26" t="n">
        <f aca="false">Rates!$F$12+H79*IF(D79=1,Rates!$F$13,Rates!$F$14)+I79*Rates!$F$15+J79*IF(D79=1,Rates!$F$16,Rates!$F$18)+K79*IF(D79=1,Rates!$F$17,Rates!$F$19)+E79*(Rates!$F$20+Rates!$F$21)</f>
        <v>152.00729112</v>
      </c>
      <c r="O79" s="26" t="n">
        <f aca="false">Rates!$F$22+IF(D79=1,E79*Rates!$F$23,E79*Rates!$F$24)+E79*(Rates!$F$25+Rates!$F$26)</f>
        <v>93.83126112</v>
      </c>
      <c r="P79" s="26" t="n">
        <f aca="false">Rates!$F$27+IF(D79=1,G79*Rates!$F$28,MIN(G79,Rates!$F$35)*Rates!$F$29+MAX(G79-Rates!$F$35,0)*Rates!$F$30)+IF(F79&gt;0,Rates!$F$31,0)+F79*Rates!$F$32+E79*(Rates!$F$33+Rates!$F$34)</f>
        <v>133.26964386</v>
      </c>
      <c r="Q79" s="26" t="n">
        <f aca="false">IF(L79&gt;0,Rates!$F$36,0)+L79*(Rates!$F$37+Rates!$F$38+Rates!$F$39)</f>
        <v>115.8541001</v>
      </c>
    </row>
    <row r="80" customFormat="false" ht="15" hidden="false" customHeight="false" outlineLevel="0" collapsed="false">
      <c r="A80" s="11" t="s">
        <v>161</v>
      </c>
      <c r="B80" s="11" t="s">
        <v>144</v>
      </c>
      <c r="C80" s="11" t="n">
        <v>4</v>
      </c>
      <c r="D80" s="11" t="n">
        <f aca="false">IF(AND(C80&gt;=6,C80&lt;=9),1,0)</f>
        <v>0</v>
      </c>
      <c r="E80" s="22" t="n">
        <v>953.784</v>
      </c>
      <c r="F80" s="22" t="n">
        <v>308.004</v>
      </c>
      <c r="G80" s="25" t="n">
        <f aca="false">E80-F80</f>
        <v>645.78</v>
      </c>
      <c r="H80" s="22" t="n">
        <v>110.276</v>
      </c>
      <c r="I80" s="22" t="n">
        <v>174.065</v>
      </c>
      <c r="J80" s="22" t="n">
        <v>452.365</v>
      </c>
      <c r="K80" s="22" t="n">
        <v>217.078</v>
      </c>
      <c r="L80" s="22" t="n">
        <v>89.949</v>
      </c>
      <c r="M80" s="26" t="n">
        <f aca="false">Rates!$F$5+IF(D80=1,E80*Rates!$F$6,MIN(E80,Rates!$F$11)*Rates!$F$7+MAX(E80-Rates!$F$11,0)*Rates!$F$8)+E80*(Rates!$F$9+Rates!$F$10)</f>
        <v>138.32504576</v>
      </c>
      <c r="N80" s="26" t="n">
        <f aca="false">Rates!$F$12+H80*IF(D80=1,Rates!$F$13,Rates!$F$14)+I80*Rates!$F$15+J80*IF(D80=1,Rates!$F$16,Rates!$F$18)+K80*IF(D80=1,Rates!$F$17,Rates!$F$19)+E80*(Rates!$F$20+Rates!$F$21)</f>
        <v>128.39585812</v>
      </c>
      <c r="O80" s="26" t="n">
        <f aca="false">Rates!$F$22+IF(D80=1,E80*Rates!$F$23,E80*Rates!$F$24)+E80*(Rates!$F$25+Rates!$F$26)</f>
        <v>80.18237312</v>
      </c>
      <c r="P80" s="26" t="n">
        <f aca="false">Rates!$F$27+IF(D80=1,G80*Rates!$F$28,MIN(G80,Rates!$F$35)*Rates!$F$29+MAX(G80-Rates!$F$35,0)*Rates!$F$30)+IF(F80&gt;0,Rates!$F$31,0)+F80*Rates!$F$32+E80*(Rates!$F$33+Rates!$F$34)</f>
        <v>119.89754216</v>
      </c>
      <c r="Q80" s="26" t="n">
        <f aca="false">IF(L80&gt;0,Rates!$F$36,0)+L80*(Rates!$F$37+Rates!$F$38+Rates!$F$39)</f>
        <v>93.63019919</v>
      </c>
    </row>
    <row r="81" customFormat="false" ht="15" hidden="false" customHeight="false" outlineLevel="0" collapsed="false">
      <c r="A81" s="11" t="s">
        <v>161</v>
      </c>
      <c r="B81" s="11" t="s">
        <v>144</v>
      </c>
      <c r="C81" s="11" t="n">
        <v>5</v>
      </c>
      <c r="D81" s="11" t="n">
        <f aca="false">IF(AND(C81&gt;=6,C81&lt;=9),1,0)</f>
        <v>0</v>
      </c>
      <c r="E81" s="22" t="n">
        <v>938.007</v>
      </c>
      <c r="F81" s="22" t="n">
        <v>30.704</v>
      </c>
      <c r="G81" s="25" t="n">
        <f aca="false">E81-F81</f>
        <v>907.303</v>
      </c>
      <c r="H81" s="22" t="n">
        <v>124.748</v>
      </c>
      <c r="I81" s="22" t="n">
        <v>147.713</v>
      </c>
      <c r="J81" s="22" t="n">
        <v>413.258</v>
      </c>
      <c r="K81" s="22" t="n">
        <v>252.288</v>
      </c>
      <c r="L81" s="22" t="n">
        <v>2.345</v>
      </c>
      <c r="M81" s="26" t="n">
        <f aca="false">Rates!$F$5+IF(D81=1,E81*Rates!$F$6,MIN(E81,Rates!$F$11)*Rates!$F$7+MAX(E81-Rates!$F$11,0)*Rates!$F$8)+E81*(Rates!$F$9+Rates!$F$10)</f>
        <v>136.16927648</v>
      </c>
      <c r="N81" s="26" t="n">
        <f aca="false">Rates!$F$12+H81*IF(D81=1,Rates!$F$13,Rates!$F$14)+I81*Rates!$F$15+J81*IF(D81=1,Rates!$F$16,Rates!$F$18)+K81*IF(D81=1,Rates!$F$17,Rates!$F$19)+E81*(Rates!$F$20+Rates!$F$21)</f>
        <v>128.20364476</v>
      </c>
      <c r="O81" s="26" t="n">
        <f aca="false">Rates!$F$22+IF(D81=1,E81*Rates!$F$23,E81*Rates!$F$24)+E81*(Rates!$F$25+Rates!$F$26)</f>
        <v>78.98836976</v>
      </c>
      <c r="P81" s="26" t="n">
        <f aca="false">Rates!$F$27+IF(D81=1,G81*Rates!$F$28,MIN(G81,Rates!$F$35)*Rates!$F$29+MAX(G81-Rates!$F$35,0)*Rates!$F$30)+IF(F81&gt;0,Rates!$F$31,0)+F81*Rates!$F$32+E81*(Rates!$F$33+Rates!$F$34)</f>
        <v>138.78884288</v>
      </c>
      <c r="Q81" s="26" t="n">
        <f aca="false">IF(L81&gt;0,Rates!$F$36,0)+L81*(Rates!$F$37+Rates!$F$38+Rates!$F$39)</f>
        <v>11.69330195</v>
      </c>
    </row>
    <row r="82" customFormat="false" ht="15" hidden="false" customHeight="false" outlineLevel="0" collapsed="false">
      <c r="A82" s="11" t="s">
        <v>161</v>
      </c>
      <c r="B82" s="11" t="s">
        <v>144</v>
      </c>
      <c r="C82" s="11" t="n">
        <v>6</v>
      </c>
      <c r="D82" s="11" t="n">
        <f aca="false">IF(AND(C82&gt;=6,C82&lt;=9),1,0)</f>
        <v>1</v>
      </c>
      <c r="E82" s="22" t="n">
        <v>1028.208</v>
      </c>
      <c r="F82" s="22" t="n">
        <v>2.364</v>
      </c>
      <c r="G82" s="25" t="n">
        <f aca="false">E82-F82</f>
        <v>1025.844</v>
      </c>
      <c r="H82" s="22" t="n">
        <v>140.301</v>
      </c>
      <c r="I82" s="22" t="n">
        <v>173.488</v>
      </c>
      <c r="J82" s="22" t="n">
        <v>448.179</v>
      </c>
      <c r="K82" s="22" t="n">
        <v>266.24</v>
      </c>
      <c r="L82" s="22" t="n">
        <v>2.292</v>
      </c>
      <c r="M82" s="26" t="n">
        <f aca="false">Rates!$F$5+IF(D82=1,E82*Rates!$F$6,MIN(E82,Rates!$F$11)*Rates!$F$7+MAX(E82-Rates!$F$11,0)*Rates!$F$8)+E82*(Rates!$F$9+Rates!$F$10)</f>
        <v>164.52410384</v>
      </c>
      <c r="N82" s="26" t="n">
        <f aca="false">Rates!$F$12+H82*IF(D82=1,Rates!$F$13,Rates!$F$14)+I82*Rates!$F$15+J82*IF(D82=1,Rates!$F$16,Rates!$F$18)+K82*IF(D82=1,Rates!$F$17,Rates!$F$19)+E82*(Rates!$F$20+Rates!$F$21)</f>
        <v>159.47158144</v>
      </c>
      <c r="O82" s="26" t="n">
        <f aca="false">Rates!$F$22+IF(D82=1,E82*Rates!$F$23,E82*Rates!$F$24)+E82*(Rates!$F$25+Rates!$F$26)</f>
        <v>164.52410384</v>
      </c>
      <c r="P82" s="26" t="n">
        <f aca="false">Rates!$F$27+IF(D82=1,G82*Rates!$F$28,MIN(G82,Rates!$F$35)*Rates!$F$29+MAX(G82-Rates!$F$35,0)*Rates!$F$30)+IF(F82&gt;0,Rates!$F$31,0)+F82*Rates!$F$32+E82*(Rates!$F$33+Rates!$F$34)</f>
        <v>169.25782148</v>
      </c>
      <c r="Q82" s="26" t="n">
        <f aca="false">IF(L82&gt;0,Rates!$F$36,0)+L82*(Rates!$F$37+Rates!$F$38+Rates!$F$39)</f>
        <v>11.64373052</v>
      </c>
    </row>
    <row r="83" customFormat="false" ht="15" hidden="false" customHeight="false" outlineLevel="0" collapsed="false">
      <c r="A83" s="11" t="s">
        <v>161</v>
      </c>
      <c r="B83" s="11" t="s">
        <v>144</v>
      </c>
      <c r="C83" s="11" t="n">
        <v>7</v>
      </c>
      <c r="D83" s="11" t="n">
        <f aca="false">IF(AND(C83&gt;=6,C83&lt;=9),1,0)</f>
        <v>1</v>
      </c>
      <c r="E83" s="22" t="n">
        <v>1201.667</v>
      </c>
      <c r="F83" s="22" t="n">
        <v>1.437</v>
      </c>
      <c r="G83" s="25" t="n">
        <f aca="false">E83-F83</f>
        <v>1200.23</v>
      </c>
      <c r="H83" s="22" t="n">
        <v>155.52</v>
      </c>
      <c r="I83" s="22" t="n">
        <v>201.48</v>
      </c>
      <c r="J83" s="22" t="n">
        <v>507.976</v>
      </c>
      <c r="K83" s="22" t="n">
        <v>336.69</v>
      </c>
      <c r="L83" s="22" t="n">
        <v>2.238</v>
      </c>
      <c r="M83" s="26" t="n">
        <f aca="false">Rates!$F$5+IF(D83=1,E83*Rates!$F$6,MIN(E83,Rates!$F$11)*Rates!$F$7+MAX(E83-Rates!$F$11,0)*Rates!$F$8)+E83*(Rates!$F$9+Rates!$F$10)</f>
        <v>190.92976741</v>
      </c>
      <c r="N83" s="26" t="n">
        <f aca="false">Rates!$F$12+H83*IF(D83=1,Rates!$F$13,Rates!$F$14)+I83*Rates!$F$15+J83*IF(D83=1,Rates!$F$16,Rates!$F$18)+K83*IF(D83=1,Rates!$F$17,Rates!$F$19)+E83*(Rates!$F$20+Rates!$F$21)</f>
        <v>184.41891856</v>
      </c>
      <c r="O83" s="26" t="n">
        <f aca="false">Rates!$F$22+IF(D83=1,E83*Rates!$F$23,E83*Rates!$F$24)+E83*(Rates!$F$25+Rates!$F$26)</f>
        <v>190.92976741</v>
      </c>
      <c r="P83" s="26" t="n">
        <f aca="false">Rates!$F$27+IF(D83=1,G83*Rates!$F$28,MIN(G83,Rates!$F$35)*Rates!$F$29+MAX(G83-Rates!$F$35,0)*Rates!$F$30)+IF(F83&gt;0,Rates!$F$31,0)+F83*Rates!$F$32+E83*(Rates!$F$33+Rates!$F$34)</f>
        <v>195.74829628</v>
      </c>
      <c r="Q83" s="26" t="n">
        <f aca="false">IF(L83&gt;0,Rates!$F$36,0)+L83*(Rates!$F$37+Rates!$F$38+Rates!$F$39)</f>
        <v>11.59322378</v>
      </c>
    </row>
    <row r="84" customFormat="false" ht="15" hidden="false" customHeight="false" outlineLevel="0" collapsed="false">
      <c r="A84" s="11" t="s">
        <v>161</v>
      </c>
      <c r="B84" s="11" t="s">
        <v>144</v>
      </c>
      <c r="C84" s="11" t="n">
        <v>8</v>
      </c>
      <c r="D84" s="11" t="n">
        <f aca="false">IF(AND(C84&gt;=6,C84&lt;=9),1,0)</f>
        <v>1</v>
      </c>
      <c r="E84" s="22" t="n">
        <v>1130.093</v>
      </c>
      <c r="F84" s="22" t="n">
        <v>2.436</v>
      </c>
      <c r="G84" s="25" t="n">
        <f aca="false">E84-F84</f>
        <v>1127.657</v>
      </c>
      <c r="H84" s="22" t="n">
        <v>156.339</v>
      </c>
      <c r="I84" s="22" t="n">
        <v>190.364</v>
      </c>
      <c r="J84" s="22" t="n">
        <v>519.166</v>
      </c>
      <c r="K84" s="22" t="n">
        <v>264.224</v>
      </c>
      <c r="L84" s="22" t="n">
        <v>2.279</v>
      </c>
      <c r="M84" s="26" t="n">
        <f aca="false">Rates!$F$5+IF(D84=1,E84*Rates!$F$6,MIN(E84,Rates!$F$11)*Rates!$F$7+MAX(E84-Rates!$F$11,0)*Rates!$F$8)+E84*(Rates!$F$9+Rates!$F$10)</f>
        <v>180.03405739</v>
      </c>
      <c r="N84" s="26" t="n">
        <f aca="false">Rates!$F$12+H84*IF(D84=1,Rates!$F$13,Rates!$F$14)+I84*Rates!$F$15+J84*IF(D84=1,Rates!$F$16,Rates!$F$18)+K84*IF(D84=1,Rates!$F$17,Rates!$F$19)+E84*(Rates!$F$20+Rates!$F$21)</f>
        <v>174.66904824</v>
      </c>
      <c r="O84" s="26" t="n">
        <f aca="false">Rates!$F$22+IF(D84=1,E84*Rates!$F$23,E84*Rates!$F$24)+E84*(Rates!$F$25+Rates!$F$26)</f>
        <v>180.03405739</v>
      </c>
      <c r="P84" s="26" t="n">
        <f aca="false">Rates!$F$27+IF(D84=1,G84*Rates!$F$28,MIN(G84,Rates!$F$35)*Rates!$F$29+MAX(G84-Rates!$F$35,0)*Rates!$F$30)+IF(F84&gt;0,Rates!$F$31,0)+F84*Rates!$F$32+E84*(Rates!$F$33+Rates!$F$34)</f>
        <v>184.76118775</v>
      </c>
      <c r="Q84" s="26" t="n">
        <f aca="false">IF(L84&gt;0,Rates!$F$36,0)+L84*(Rates!$F$37+Rates!$F$38+Rates!$F$39)</f>
        <v>11.63157149</v>
      </c>
    </row>
    <row r="85" customFormat="false" ht="15" hidden="false" customHeight="false" outlineLevel="0" collapsed="false">
      <c r="A85" s="11" t="s">
        <v>161</v>
      </c>
      <c r="B85" s="11" t="s">
        <v>144</v>
      </c>
      <c r="C85" s="11" t="n">
        <v>9</v>
      </c>
      <c r="D85" s="11" t="n">
        <f aca="false">IF(AND(C85&gt;=6,C85&lt;=9),1,0)</f>
        <v>1</v>
      </c>
      <c r="E85" s="22" t="n">
        <v>933.494</v>
      </c>
      <c r="F85" s="22" t="n">
        <v>57.184</v>
      </c>
      <c r="G85" s="25" t="n">
        <f aca="false">E85-F85</f>
        <v>876.31</v>
      </c>
      <c r="H85" s="22" t="n">
        <v>99.52</v>
      </c>
      <c r="I85" s="22" t="n">
        <v>158.887</v>
      </c>
      <c r="J85" s="22" t="n">
        <v>346.586</v>
      </c>
      <c r="K85" s="22" t="n">
        <v>328.501</v>
      </c>
      <c r="L85" s="22" t="n">
        <v>2.497</v>
      </c>
      <c r="M85" s="26" t="n">
        <f aca="false">Rates!$F$5+IF(D85=1,E85*Rates!$F$6,MIN(E85,Rates!$F$11)*Rates!$F$7+MAX(E85-Rates!$F$11,0)*Rates!$F$8)+E85*(Rates!$F$9+Rates!$F$10)</f>
        <v>150.10579162</v>
      </c>
      <c r="N85" s="26" t="n">
        <f aca="false">Rates!$F$12+H85*IF(D85=1,Rates!$F$13,Rates!$F$14)+I85*Rates!$F$15+J85*IF(D85=1,Rates!$F$16,Rates!$F$18)+K85*IF(D85=1,Rates!$F$17,Rates!$F$19)+E85*(Rates!$F$20+Rates!$F$21)</f>
        <v>143.21422092</v>
      </c>
      <c r="O85" s="26" t="n">
        <f aca="false">Rates!$F$22+IF(D85=1,E85*Rates!$F$23,E85*Rates!$F$24)+E85*(Rates!$F$25+Rates!$F$26)</f>
        <v>150.10579162</v>
      </c>
      <c r="P85" s="26" t="n">
        <f aca="false">Rates!$F$27+IF(D85=1,G85*Rates!$F$28,MIN(G85,Rates!$F$35)*Rates!$F$29+MAX(G85-Rates!$F$35,0)*Rates!$F$30)+IF(F85&gt;0,Rates!$F$31,0)+F85*Rates!$F$32+E85*(Rates!$F$33+Rates!$F$34)</f>
        <v>149.82402746</v>
      </c>
      <c r="Q85" s="26" t="n">
        <f aca="false">IF(L85&gt;0,Rates!$F$36,0)+L85*(Rates!$F$37+Rates!$F$38+Rates!$F$39)</f>
        <v>11.83546907</v>
      </c>
    </row>
    <row r="86" customFormat="false" ht="15" hidden="false" customHeight="false" outlineLevel="0" collapsed="false">
      <c r="A86" s="11" t="s">
        <v>161</v>
      </c>
      <c r="B86" s="11" t="s">
        <v>144</v>
      </c>
      <c r="C86" s="11" t="n">
        <v>10</v>
      </c>
      <c r="D86" s="11" t="n">
        <f aca="false">IF(AND(C86&gt;=6,C86&lt;=9),1,0)</f>
        <v>0</v>
      </c>
      <c r="E86" s="22" t="n">
        <v>1097.885</v>
      </c>
      <c r="F86" s="22" t="n">
        <v>467.681</v>
      </c>
      <c r="G86" s="25" t="n">
        <f aca="false">E86-F86</f>
        <v>630.204</v>
      </c>
      <c r="H86" s="22" t="n">
        <v>113.278</v>
      </c>
      <c r="I86" s="22" t="n">
        <v>214.587</v>
      </c>
      <c r="J86" s="22" t="n">
        <v>519.24</v>
      </c>
      <c r="K86" s="22" t="n">
        <v>250.779</v>
      </c>
      <c r="L86" s="22" t="n">
        <v>17.559</v>
      </c>
      <c r="M86" s="26" t="n">
        <f aca="false">Rates!$F$5+IF(D86=1,E86*Rates!$F$6,MIN(E86,Rates!$F$11)*Rates!$F$7+MAX(E86-Rates!$F$11,0)*Rates!$F$8)+E86*(Rates!$F$9+Rates!$F$10)</f>
        <v>157.7624631</v>
      </c>
      <c r="N86" s="26" t="n">
        <f aca="false">Rates!$F$12+H86*IF(D86=1,Rates!$F$13,Rates!$F$14)+I86*Rates!$F$15+J86*IF(D86=1,Rates!$F$16,Rates!$F$18)+K86*IF(D86=1,Rates!$F$17,Rates!$F$19)+E86*(Rates!$F$20+Rates!$F$21)</f>
        <v>145.2682118</v>
      </c>
      <c r="O86" s="26" t="n">
        <f aca="false">Rates!$F$22+IF(D86=1,E86*Rates!$F$23,E86*Rates!$F$24)+E86*(Rates!$F$25+Rates!$F$26)</f>
        <v>91.0879368</v>
      </c>
      <c r="P86" s="26" t="n">
        <f aca="false">Rates!$F$27+IF(D86=1,G86*Rates!$F$28,MIN(G86,Rates!$F$35)*Rates!$F$29+MAX(G86-Rates!$F$35,0)*Rates!$F$30)+IF(F86&gt;0,Rates!$F$31,0)+F86*Rates!$F$32+E86*(Rates!$F$33+Rates!$F$34)</f>
        <v>127.4680185</v>
      </c>
      <c r="Q86" s="26" t="n">
        <f aca="false">IF(L86&gt;0,Rates!$F$36,0)+L86*(Rates!$F$37+Rates!$F$38+Rates!$F$39)</f>
        <v>25.92310829</v>
      </c>
    </row>
    <row r="87" customFormat="false" ht="15" hidden="false" customHeight="false" outlineLevel="0" collapsed="false">
      <c r="A87" s="11" t="s">
        <v>161</v>
      </c>
      <c r="B87" s="11" t="s">
        <v>144</v>
      </c>
      <c r="C87" s="11" t="n">
        <v>11</v>
      </c>
      <c r="D87" s="11" t="n">
        <f aca="false">IF(AND(C87&gt;=6,C87&lt;=9),1,0)</f>
        <v>0</v>
      </c>
      <c r="E87" s="22" t="n">
        <v>1018.906</v>
      </c>
      <c r="F87" s="22" t="n">
        <v>386.471</v>
      </c>
      <c r="G87" s="25" t="n">
        <f aca="false">E87-F87</f>
        <v>632.435</v>
      </c>
      <c r="H87" s="22" t="n">
        <v>113.194</v>
      </c>
      <c r="I87" s="22" t="n">
        <v>189.248</v>
      </c>
      <c r="J87" s="22" t="n">
        <v>440.217</v>
      </c>
      <c r="K87" s="22" t="n">
        <v>276.248</v>
      </c>
      <c r="L87" s="22" t="n">
        <v>151.972</v>
      </c>
      <c r="M87" s="26" t="n">
        <f aca="false">Rates!$F$5+IF(D87=1,E87*Rates!$F$6,MIN(E87,Rates!$F$11)*Rates!$F$7+MAX(E87-Rates!$F$11,0)*Rates!$F$8)+E87*(Rates!$F$9+Rates!$F$10)</f>
        <v>147.17453836</v>
      </c>
      <c r="N87" s="26" t="n">
        <f aca="false">Rates!$F$12+H87*IF(D87=1,Rates!$F$13,Rates!$F$14)+I87*Rates!$F$15+J87*IF(D87=1,Rates!$F$16,Rates!$F$18)+K87*IF(D87=1,Rates!$F$17,Rates!$F$19)+E87*(Rates!$F$20+Rates!$F$21)</f>
        <v>136.22417608</v>
      </c>
      <c r="O87" s="26" t="n">
        <f aca="false">Rates!$F$22+IF(D87=1,E87*Rates!$F$23,E87*Rates!$F$24)+E87*(Rates!$F$25+Rates!$F$26)</f>
        <v>85.11080608</v>
      </c>
      <c r="P87" s="26" t="n">
        <f aca="false">Rates!$F$27+IF(D87=1,G87*Rates!$F$28,MIN(G87,Rates!$F$35)*Rates!$F$29+MAX(G87-Rates!$F$35,0)*Rates!$F$30)+IF(F87&gt;0,Rates!$F$31,0)+F87*Rates!$F$32+E87*(Rates!$F$33+Rates!$F$34)</f>
        <v>122.84016694</v>
      </c>
      <c r="Q87" s="26" t="n">
        <f aca="false">IF(L87&gt;0,Rates!$F$36,0)+L87*(Rates!$F$37+Rates!$F$38+Rates!$F$39)</f>
        <v>151.64093132</v>
      </c>
    </row>
    <row r="88" customFormat="false" ht="15" hidden="false" customHeight="false" outlineLevel="0" collapsed="false">
      <c r="A88" s="11" t="s">
        <v>161</v>
      </c>
      <c r="B88" s="11" t="s">
        <v>144</v>
      </c>
      <c r="C88" s="11" t="n">
        <v>12</v>
      </c>
      <c r="D88" s="11" t="n">
        <f aca="false">IF(AND(C88&gt;=6,C88&lt;=9),1,0)</f>
        <v>0</v>
      </c>
      <c r="E88" s="22" t="n">
        <v>1004.483</v>
      </c>
      <c r="F88" s="22" t="n">
        <v>299.739</v>
      </c>
      <c r="G88" s="25" t="n">
        <f aca="false">E88-F88</f>
        <v>704.744</v>
      </c>
      <c r="H88" s="22" t="n">
        <v>114.356</v>
      </c>
      <c r="I88" s="22" t="n">
        <v>159.401</v>
      </c>
      <c r="J88" s="22" t="n">
        <v>434.869</v>
      </c>
      <c r="K88" s="22" t="n">
        <v>295.857</v>
      </c>
      <c r="L88" s="22" t="n">
        <v>197.805</v>
      </c>
      <c r="M88" s="26" t="n">
        <f aca="false">Rates!$F$5+IF(D88=1,E88*Rates!$F$6,MIN(E88,Rates!$F$11)*Rates!$F$7+MAX(E88-Rates!$F$11,0)*Rates!$F$8)+E88*(Rates!$F$9+Rates!$F$10)</f>
        <v>145.24099098</v>
      </c>
      <c r="N88" s="26" t="n">
        <f aca="false">Rates!$F$12+H88*IF(D88=1,Rates!$F$13,Rates!$F$14)+I88*Rates!$F$15+J88*IF(D88=1,Rates!$F$16,Rates!$F$18)+K88*IF(D88=1,Rates!$F$17,Rates!$F$19)+E88*(Rates!$F$20+Rates!$F$21)</f>
        <v>135.52574844</v>
      </c>
      <c r="O88" s="26" t="n">
        <f aca="false">Rates!$F$22+IF(D88=1,E88*Rates!$F$23,E88*Rates!$F$24)+E88*(Rates!$F$25+Rates!$F$26)</f>
        <v>84.01927344</v>
      </c>
      <c r="P88" s="26" t="n">
        <f aca="false">Rates!$F$27+IF(D88=1,G88*Rates!$F$28,MIN(G88,Rates!$F$35)*Rates!$F$29+MAX(G88-Rates!$F$35,0)*Rates!$F$30)+IF(F88&gt;0,Rates!$F$31,0)+F88*Rates!$F$32+E88*(Rates!$F$33+Rates!$F$34)</f>
        <v>127.45236702</v>
      </c>
      <c r="Q88" s="26" t="n">
        <f aca="false">IF(L88&gt;0,Rates!$F$36,0)+L88*(Rates!$F$37+Rates!$F$38+Rates!$F$39)</f>
        <v>194.50899455</v>
      </c>
    </row>
    <row r="89" customFormat="false" ht="15" hidden="false" customHeight="false" outlineLevel="0" collapsed="false">
      <c r="A89" s="11" t="s">
        <v>161</v>
      </c>
      <c r="B89" s="11" t="s">
        <v>145</v>
      </c>
      <c r="C89" s="11" t="n">
        <v>1</v>
      </c>
      <c r="D89" s="11" t="n">
        <f aca="false">IF(AND(C89&gt;=6,C89&lt;=9),1,0)</f>
        <v>0</v>
      </c>
      <c r="E89" s="22" t="n">
        <v>8281.996</v>
      </c>
      <c r="F89" s="22" t="n">
        <v>7539.174</v>
      </c>
      <c r="G89" s="25" t="n">
        <f aca="false">E89-F89</f>
        <v>742.821999999999</v>
      </c>
      <c r="H89" s="22" t="n">
        <v>686.901</v>
      </c>
      <c r="I89" s="22" t="n">
        <v>2050.695</v>
      </c>
      <c r="J89" s="22" t="n">
        <v>3665.977</v>
      </c>
      <c r="K89" s="22" t="n">
        <v>1878.423</v>
      </c>
      <c r="L89" s="22" t="n">
        <v>2.491</v>
      </c>
      <c r="M89" s="26" t="n">
        <f aca="false">Rates!$F$5+IF(D89=1,E89*Rates!$F$6,MIN(E89,Rates!$F$11)*Rates!$F$7+MAX(E89-Rates!$F$11,0)*Rates!$F$8)+E89*(Rates!$F$9+Rates!$F$10)</f>
        <v>1120.86438376</v>
      </c>
      <c r="N89" s="26" t="n">
        <f aca="false">Rates!$F$12+H89*IF(D89=1,Rates!$F$13,Rates!$F$14)+I89*Rates!$F$15+J89*IF(D89=1,Rates!$F$16,Rates!$F$18)+K89*IF(D89=1,Rates!$F$17,Rates!$F$19)+E89*(Rates!$F$20+Rates!$F$21)</f>
        <v>1018.32099228</v>
      </c>
      <c r="O89" s="26" t="n">
        <f aca="false">Rates!$F$22+IF(D89=1,E89*Rates!$F$23,E89*Rates!$F$24)+E89*(Rates!$F$25+Rates!$F$26)</f>
        <v>634.78145728</v>
      </c>
      <c r="P89" s="26" t="n">
        <f aca="false">Rates!$F$27+IF(D89=1,G89*Rates!$F$28,MIN(G89,Rates!$F$35)*Rates!$F$29+MAX(G89-Rates!$F$35,0)*Rates!$F$30)+IF(F89&gt;0,Rates!$F$31,0)+F89*Rates!$F$32+E89*(Rates!$F$33+Rates!$F$34)</f>
        <v>572.37862684</v>
      </c>
      <c r="Q89" s="26" t="n">
        <f aca="false">IF(L89&gt;0,Rates!$F$36,0)+L89*(Rates!$F$37+Rates!$F$38+Rates!$F$39)</f>
        <v>11.82985721</v>
      </c>
    </row>
    <row r="90" customFormat="false" ht="15" hidden="false" customHeight="false" outlineLevel="0" collapsed="false">
      <c r="A90" s="11" t="s">
        <v>161</v>
      </c>
      <c r="B90" s="11" t="s">
        <v>145</v>
      </c>
      <c r="C90" s="11" t="n">
        <v>2</v>
      </c>
      <c r="D90" s="11" t="n">
        <f aca="false">IF(AND(C90&gt;=6,C90&lt;=9),1,0)</f>
        <v>0</v>
      </c>
      <c r="E90" s="22" t="n">
        <v>7126.768</v>
      </c>
      <c r="F90" s="22" t="n">
        <v>6454.825</v>
      </c>
      <c r="G90" s="25" t="n">
        <f aca="false">E90-F90</f>
        <v>671.943</v>
      </c>
      <c r="H90" s="22" t="n">
        <v>566.899</v>
      </c>
      <c r="I90" s="22" t="n">
        <v>1838.537</v>
      </c>
      <c r="J90" s="22" t="n">
        <v>3179.028</v>
      </c>
      <c r="K90" s="22" t="n">
        <v>1542.303</v>
      </c>
      <c r="L90" s="22" t="n">
        <v>2.226</v>
      </c>
      <c r="M90" s="26" t="n">
        <f aca="false">Rates!$F$5+IF(D90=1,E90*Rates!$F$6,MIN(E90,Rates!$F$11)*Rates!$F$7+MAX(E90-Rates!$F$11,0)*Rates!$F$8)+E90*(Rates!$F$9+Rates!$F$10)</f>
        <v>965.99451808</v>
      </c>
      <c r="N90" s="26" t="n">
        <f aca="false">Rates!$F$12+H90*IF(D90=1,Rates!$F$13,Rates!$F$14)+I90*Rates!$F$15+J90*IF(D90=1,Rates!$F$16,Rates!$F$18)+K90*IF(D90=1,Rates!$F$17,Rates!$F$19)+E90*(Rates!$F$20+Rates!$F$21)</f>
        <v>873.35723724</v>
      </c>
      <c r="O90" s="26" t="n">
        <f aca="false">Rates!$F$22+IF(D90=1,E90*Rates!$F$23,E90*Rates!$F$24)+E90*(Rates!$F$25+Rates!$F$26)</f>
        <v>547.35380224</v>
      </c>
      <c r="P90" s="26" t="n">
        <f aca="false">Rates!$F$27+IF(D90=1,G90*Rates!$F$28,MIN(G90,Rates!$F$35)*Rates!$F$29+MAX(G90-Rates!$F$35,0)*Rates!$F$30)+IF(F90&gt;0,Rates!$F$31,0)+F90*Rates!$F$32+E90*(Rates!$F$33+Rates!$F$34)</f>
        <v>496.83036202</v>
      </c>
      <c r="Q90" s="26" t="n">
        <f aca="false">IF(L90&gt;0,Rates!$F$36,0)+L90*(Rates!$F$37+Rates!$F$38+Rates!$F$39)</f>
        <v>11.58200006</v>
      </c>
    </row>
    <row r="91" customFormat="false" ht="15" hidden="false" customHeight="false" outlineLevel="0" collapsed="false">
      <c r="A91" s="11" t="s">
        <v>161</v>
      </c>
      <c r="B91" s="11" t="s">
        <v>145</v>
      </c>
      <c r="C91" s="11" t="n">
        <v>3</v>
      </c>
      <c r="D91" s="11" t="n">
        <f aca="false">IF(AND(C91&gt;=6,C91&lt;=9),1,0)</f>
        <v>0</v>
      </c>
      <c r="E91" s="22" t="n">
        <v>4467.362</v>
      </c>
      <c r="F91" s="22" t="n">
        <v>3757.51</v>
      </c>
      <c r="G91" s="25" t="n">
        <f aca="false">E91-F91</f>
        <v>709.852</v>
      </c>
      <c r="H91" s="22" t="n">
        <v>321.334</v>
      </c>
      <c r="I91" s="22" t="n">
        <v>1106.185</v>
      </c>
      <c r="J91" s="22" t="n">
        <v>2078.736</v>
      </c>
      <c r="K91" s="22" t="n">
        <v>961.107</v>
      </c>
      <c r="L91" s="22" t="n">
        <v>2.491</v>
      </c>
      <c r="M91" s="26" t="n">
        <f aca="false">Rates!$F$5+IF(D91=1,E91*Rates!$F$6,MIN(E91,Rates!$F$11)*Rates!$F$7+MAX(E91-Rates!$F$11,0)*Rates!$F$8)+E91*(Rates!$F$9+Rates!$F$10)</f>
        <v>609.47454972</v>
      </c>
      <c r="N91" s="26" t="n">
        <f aca="false">Rates!$F$12+H91*IF(D91=1,Rates!$F$13,Rates!$F$14)+I91*Rates!$F$15+J91*IF(D91=1,Rates!$F$16,Rates!$F$18)+K91*IF(D91=1,Rates!$F$17,Rates!$F$19)+E91*(Rates!$F$20+Rates!$F$21)</f>
        <v>550.02162116</v>
      </c>
      <c r="O91" s="26" t="n">
        <f aca="false">Rates!$F$22+IF(D91=1,E91*Rates!$F$23,E91*Rates!$F$24)+E91*(Rates!$F$25+Rates!$F$26)</f>
        <v>346.08995616</v>
      </c>
      <c r="P91" s="26" t="n">
        <f aca="false">Rates!$F$27+IF(D91=1,G91*Rates!$F$28,MIN(G91,Rates!$F$35)*Rates!$F$29+MAX(G91-Rates!$F$35,0)*Rates!$F$30)+IF(F91&gt;0,Rates!$F$31,0)+F91*Rates!$F$32+E91*(Rates!$F$33+Rates!$F$34)</f>
        <v>338.17533468</v>
      </c>
      <c r="Q91" s="26" t="n">
        <f aca="false">IF(L91&gt;0,Rates!$F$36,0)+L91*(Rates!$F$37+Rates!$F$38+Rates!$F$39)</f>
        <v>11.82985721</v>
      </c>
    </row>
    <row r="92" customFormat="false" ht="15" hidden="false" customHeight="false" outlineLevel="0" collapsed="false">
      <c r="A92" s="11" t="s">
        <v>161</v>
      </c>
      <c r="B92" s="11" t="s">
        <v>145</v>
      </c>
      <c r="C92" s="11" t="n">
        <v>4</v>
      </c>
      <c r="D92" s="11" t="n">
        <f aca="false">IF(AND(C92&gt;=6,C92&lt;=9),1,0)</f>
        <v>0</v>
      </c>
      <c r="E92" s="22" t="n">
        <v>3522.165</v>
      </c>
      <c r="F92" s="22" t="n">
        <v>2852.488</v>
      </c>
      <c r="G92" s="25" t="n">
        <f aca="false">E92-F92</f>
        <v>669.677</v>
      </c>
      <c r="H92" s="22" t="n">
        <v>229.388</v>
      </c>
      <c r="I92" s="22" t="n">
        <v>897.102</v>
      </c>
      <c r="J92" s="22" t="n">
        <v>1524.692</v>
      </c>
      <c r="K92" s="22" t="n">
        <v>870.984</v>
      </c>
      <c r="L92" s="22" t="n">
        <v>2.29</v>
      </c>
      <c r="M92" s="26" t="n">
        <f aca="false">Rates!$F$5+IF(D92=1,E92*Rates!$F$6,MIN(E92,Rates!$F$11)*Rates!$F$7+MAX(E92-Rates!$F$11,0)*Rates!$F$8)+E92*(Rates!$F$9+Rates!$F$10)</f>
        <v>482.7614399</v>
      </c>
      <c r="N92" s="26" t="n">
        <f aca="false">Rates!$F$12+H92*IF(D92=1,Rates!$F$13,Rates!$F$14)+I92*Rates!$F$15+J92*IF(D92=1,Rates!$F$16,Rates!$F$18)+K92*IF(D92=1,Rates!$F$17,Rates!$F$19)+E92*(Rates!$F$20+Rates!$F$21)</f>
        <v>433.0305172</v>
      </c>
      <c r="O92" s="26" t="n">
        <f aca="false">Rates!$F$22+IF(D92=1,E92*Rates!$F$23,E92*Rates!$F$24)+E92*(Rates!$F$25+Rates!$F$26)</f>
        <v>274.5574472</v>
      </c>
      <c r="P92" s="26" t="n">
        <f aca="false">Rates!$F$27+IF(D92=1,G92*Rates!$F$28,MIN(G92,Rates!$F$35)*Rates!$F$29+MAX(G92-Rates!$F$35,0)*Rates!$F$30)+IF(F92&gt;0,Rates!$F$31,0)+F92*Rates!$F$32+E92*(Rates!$F$33+Rates!$F$34)</f>
        <v>277.7147864</v>
      </c>
      <c r="Q92" s="26" t="n">
        <f aca="false">IF(L92&gt;0,Rates!$F$36,0)+L92*(Rates!$F$37+Rates!$F$38+Rates!$F$39)</f>
        <v>11.6418599</v>
      </c>
    </row>
    <row r="93" customFormat="false" ht="15" hidden="false" customHeight="false" outlineLevel="0" collapsed="false">
      <c r="A93" s="11" t="s">
        <v>161</v>
      </c>
      <c r="B93" s="11" t="s">
        <v>145</v>
      </c>
      <c r="C93" s="11" t="n">
        <v>5</v>
      </c>
      <c r="D93" s="11" t="n">
        <f aca="false">IF(AND(C93&gt;=6,C93&lt;=9),1,0)</f>
        <v>0</v>
      </c>
      <c r="E93" s="22" t="n">
        <v>962.235</v>
      </c>
      <c r="F93" s="22" t="n">
        <v>93.912</v>
      </c>
      <c r="G93" s="25" t="n">
        <f aca="false">E93-F93</f>
        <v>868.323</v>
      </c>
      <c r="H93" s="22" t="n">
        <v>119.179</v>
      </c>
      <c r="I93" s="22" t="n">
        <v>157.598</v>
      </c>
      <c r="J93" s="22" t="n">
        <v>424.272</v>
      </c>
      <c r="K93" s="22" t="n">
        <v>261.187</v>
      </c>
      <c r="L93" s="22" t="n">
        <v>2.345</v>
      </c>
      <c r="M93" s="26" t="n">
        <f aca="false">Rates!$F$5+IF(D93=1,E93*Rates!$F$6,MIN(E93,Rates!$F$11)*Rates!$F$7+MAX(E93-Rates!$F$11,0)*Rates!$F$8)+E93*(Rates!$F$9+Rates!$F$10)</f>
        <v>139.4797904</v>
      </c>
      <c r="N93" s="26" t="n">
        <f aca="false">Rates!$F$12+H93*IF(D93=1,Rates!$F$13,Rates!$F$14)+I93*Rates!$F$15+J93*IF(D93=1,Rates!$F$16,Rates!$F$18)+K93*IF(D93=1,Rates!$F$17,Rates!$F$19)+E93*(Rates!$F$20+Rates!$F$21)</f>
        <v>130.5686148</v>
      </c>
      <c r="O93" s="26" t="n">
        <f aca="false">Rates!$F$22+IF(D93=1,E93*Rates!$F$23,E93*Rates!$F$24)+E93*(Rates!$F$25+Rates!$F$26)</f>
        <v>80.8219448</v>
      </c>
      <c r="P93" s="26" t="n">
        <f aca="false">Rates!$F$27+IF(D93=1,G93*Rates!$F$28,MIN(G93,Rates!$F$35)*Rates!$F$29+MAX(G93-Rates!$F$35,0)*Rates!$F$30)+IF(F93&gt;0,Rates!$F$31,0)+F93*Rates!$F$32+E93*(Rates!$F$33+Rates!$F$34)</f>
        <v>137.3018696</v>
      </c>
      <c r="Q93" s="26" t="n">
        <f aca="false">IF(L93&gt;0,Rates!$F$36,0)+L93*(Rates!$F$37+Rates!$F$38+Rates!$F$39)</f>
        <v>11.69330195</v>
      </c>
    </row>
    <row r="94" customFormat="false" ht="15" hidden="false" customHeight="false" outlineLevel="0" collapsed="false">
      <c r="A94" s="11" t="s">
        <v>161</v>
      </c>
      <c r="B94" s="11" t="s">
        <v>145</v>
      </c>
      <c r="C94" s="11" t="n">
        <v>6</v>
      </c>
      <c r="D94" s="11" t="n">
        <f aca="false">IF(AND(C94&gt;=6,C94&lt;=9),1,0)</f>
        <v>1</v>
      </c>
      <c r="E94" s="22" t="n">
        <v>971.563</v>
      </c>
      <c r="F94" s="22" t="n">
        <v>9.672</v>
      </c>
      <c r="G94" s="25" t="n">
        <f aca="false">E94-F94</f>
        <v>961.891</v>
      </c>
      <c r="H94" s="22" t="n">
        <v>129.913</v>
      </c>
      <c r="I94" s="22" t="n">
        <v>162.546</v>
      </c>
      <c r="J94" s="22" t="n">
        <v>427.016</v>
      </c>
      <c r="K94" s="22" t="n">
        <v>252.088</v>
      </c>
      <c r="L94" s="22" t="n">
        <v>2.292</v>
      </c>
      <c r="M94" s="26" t="n">
        <f aca="false">Rates!$F$5+IF(D94=1,E94*Rates!$F$6,MIN(E94,Rates!$F$11)*Rates!$F$7+MAX(E94-Rates!$F$11,0)*Rates!$F$8)+E94*(Rates!$F$9+Rates!$F$10)</f>
        <v>155.90103549</v>
      </c>
      <c r="N94" s="26" t="n">
        <f aca="false">Rates!$F$12+H94*IF(D94=1,Rates!$F$13,Rates!$F$14)+I94*Rates!$F$15+J94*IF(D94=1,Rates!$F$16,Rates!$F$18)+K94*IF(D94=1,Rates!$F$17,Rates!$F$19)+E94*(Rates!$F$20+Rates!$F$21)</f>
        <v>150.99030784</v>
      </c>
      <c r="O94" s="26" t="n">
        <f aca="false">Rates!$F$22+IF(D94=1,E94*Rates!$F$23,E94*Rates!$F$24)+E94*(Rates!$F$25+Rates!$F$26)</f>
        <v>155.90103549</v>
      </c>
      <c r="P94" s="26" t="n">
        <f aca="false">Rates!$F$27+IF(D94=1,G94*Rates!$F$28,MIN(G94,Rates!$F$35)*Rates!$F$29+MAX(G94-Rates!$F$35,0)*Rates!$F$30)+IF(F94&gt;0,Rates!$F$31,0)+F94*Rates!$F$32+E94*(Rates!$F$33+Rates!$F$34)</f>
        <v>159.96614421</v>
      </c>
      <c r="Q94" s="26" t="n">
        <f aca="false">IF(L94&gt;0,Rates!$F$36,0)+L94*(Rates!$F$37+Rates!$F$38+Rates!$F$39)</f>
        <v>11.64373052</v>
      </c>
    </row>
    <row r="95" customFormat="false" ht="15" hidden="false" customHeight="false" outlineLevel="0" collapsed="false">
      <c r="A95" s="11" t="s">
        <v>161</v>
      </c>
      <c r="B95" s="11" t="s">
        <v>145</v>
      </c>
      <c r="C95" s="11" t="n">
        <v>7</v>
      </c>
      <c r="D95" s="11" t="n">
        <f aca="false">IF(AND(C95&gt;=6,C95&lt;=9),1,0)</f>
        <v>1</v>
      </c>
      <c r="E95" s="22" t="n">
        <v>1120.431</v>
      </c>
      <c r="F95" s="22" t="n">
        <v>6.529</v>
      </c>
      <c r="G95" s="25" t="n">
        <f aca="false">E95-F95</f>
        <v>1113.902</v>
      </c>
      <c r="H95" s="22" t="n">
        <v>142.499</v>
      </c>
      <c r="I95" s="22" t="n">
        <v>186.891</v>
      </c>
      <c r="J95" s="22" t="n">
        <v>477.291</v>
      </c>
      <c r="K95" s="22" t="n">
        <v>313.75</v>
      </c>
      <c r="L95" s="22" t="n">
        <v>2.238</v>
      </c>
      <c r="M95" s="26" t="n">
        <f aca="false">Rates!$F$5+IF(D95=1,E95*Rates!$F$6,MIN(E95,Rates!$F$11)*Rates!$F$7+MAX(E95-Rates!$F$11,0)*Rates!$F$8)+E95*(Rates!$F$9+Rates!$F$10)</f>
        <v>178.56321113</v>
      </c>
      <c r="N95" s="26" t="n">
        <f aca="false">Rates!$F$12+H95*IF(D95=1,Rates!$F$13,Rates!$F$14)+I95*Rates!$F$15+J95*IF(D95=1,Rates!$F$16,Rates!$F$18)+K95*IF(D95=1,Rates!$F$17,Rates!$F$19)+E95*(Rates!$F$20+Rates!$F$21)</f>
        <v>172.34530308</v>
      </c>
      <c r="O95" s="26" t="n">
        <f aca="false">Rates!$F$22+IF(D95=1,E95*Rates!$F$23,E95*Rates!$F$24)+E95*(Rates!$F$25+Rates!$F$26)</f>
        <v>178.56321113</v>
      </c>
      <c r="P95" s="26" t="n">
        <f aca="false">Rates!$F$27+IF(D95=1,G95*Rates!$F$28,MIN(G95,Rates!$F$35)*Rates!$F$29+MAX(G95-Rates!$F$35,0)*Rates!$F$30)+IF(F95&gt;0,Rates!$F$31,0)+F95*Rates!$F$32+E95*(Rates!$F$33+Rates!$F$34)</f>
        <v>182.91587292</v>
      </c>
      <c r="Q95" s="26" t="n">
        <f aca="false">IF(L95&gt;0,Rates!$F$36,0)+L95*(Rates!$F$37+Rates!$F$38+Rates!$F$39)</f>
        <v>11.59322378</v>
      </c>
    </row>
    <row r="96" customFormat="false" ht="15" hidden="false" customHeight="false" outlineLevel="0" collapsed="false">
      <c r="A96" s="11" t="s">
        <v>161</v>
      </c>
      <c r="B96" s="11" t="s">
        <v>145</v>
      </c>
      <c r="C96" s="11" t="n">
        <v>8</v>
      </c>
      <c r="D96" s="11" t="n">
        <f aca="false">IF(AND(C96&gt;=6,C96&lt;=9),1,0)</f>
        <v>1</v>
      </c>
      <c r="E96" s="22" t="n">
        <v>1062.285</v>
      </c>
      <c r="F96" s="22" t="n">
        <v>9.767</v>
      </c>
      <c r="G96" s="25" t="n">
        <f aca="false">E96-F96</f>
        <v>1052.518</v>
      </c>
      <c r="H96" s="22" t="n">
        <v>144.165</v>
      </c>
      <c r="I96" s="22" t="n">
        <v>178.265</v>
      </c>
      <c r="J96" s="22" t="n">
        <v>492.729</v>
      </c>
      <c r="K96" s="22" t="n">
        <v>247.126</v>
      </c>
      <c r="L96" s="22" t="n">
        <v>2.279</v>
      </c>
      <c r="M96" s="26" t="n">
        <f aca="false">Rates!$F$5+IF(D96=1,E96*Rates!$F$6,MIN(E96,Rates!$F$11)*Rates!$F$7+MAX(E96-Rates!$F$11,0)*Rates!$F$8)+E96*(Rates!$F$9+Rates!$F$10)</f>
        <v>169.71164555</v>
      </c>
      <c r="N96" s="26" t="n">
        <f aca="false">Rates!$F$12+H96*IF(D96=1,Rates!$F$13,Rates!$F$14)+I96*Rates!$F$15+J96*IF(D96=1,Rates!$F$16,Rates!$F$18)+K96*IF(D96=1,Rates!$F$17,Rates!$F$19)+E96*(Rates!$F$20+Rates!$F$21)</f>
        <v>164.4823038</v>
      </c>
      <c r="O96" s="26" t="n">
        <f aca="false">Rates!$F$22+IF(D96=1,E96*Rates!$F$23,E96*Rates!$F$24)+E96*(Rates!$F$25+Rates!$F$26)</f>
        <v>169.71164555</v>
      </c>
      <c r="P96" s="26" t="n">
        <f aca="false">Rates!$F$27+IF(D96=1,G96*Rates!$F$28,MIN(G96,Rates!$F$35)*Rates!$F$29+MAX(G96-Rates!$F$35,0)*Rates!$F$30)+IF(F96&gt;0,Rates!$F$31,0)+F96*Rates!$F$32+E96*(Rates!$F$33+Rates!$F$34)</f>
        <v>173.76806272</v>
      </c>
      <c r="Q96" s="26" t="n">
        <f aca="false">IF(L96&gt;0,Rates!$F$36,0)+L96*(Rates!$F$37+Rates!$F$38+Rates!$F$39)</f>
        <v>11.63157149</v>
      </c>
    </row>
    <row r="97" customFormat="false" ht="15" hidden="false" customHeight="false" outlineLevel="0" collapsed="false">
      <c r="A97" s="11" t="s">
        <v>161</v>
      </c>
      <c r="B97" s="11" t="s">
        <v>145</v>
      </c>
      <c r="C97" s="11" t="n">
        <v>9</v>
      </c>
      <c r="D97" s="11" t="n">
        <f aca="false">IF(AND(C97&gt;=6,C97&lt;=9),1,0)</f>
        <v>1</v>
      </c>
      <c r="E97" s="22" t="n">
        <v>1008.89</v>
      </c>
      <c r="F97" s="22" t="n">
        <v>169.119</v>
      </c>
      <c r="G97" s="25" t="n">
        <f aca="false">E97-F97</f>
        <v>839.771</v>
      </c>
      <c r="H97" s="22" t="n">
        <v>96.236</v>
      </c>
      <c r="I97" s="22" t="n">
        <v>178.842</v>
      </c>
      <c r="J97" s="22" t="n">
        <v>369.113</v>
      </c>
      <c r="K97" s="22" t="n">
        <v>364.7</v>
      </c>
      <c r="L97" s="22" t="n">
        <v>2.281</v>
      </c>
      <c r="M97" s="26" t="n">
        <f aca="false">Rates!$F$5+IF(D97=1,E97*Rates!$F$6,MIN(E97,Rates!$F$11)*Rates!$F$7+MAX(E97-Rates!$F$11,0)*Rates!$F$8)+E97*(Rates!$F$9+Rates!$F$10)</f>
        <v>161.5833247</v>
      </c>
      <c r="N97" s="26" t="n">
        <f aca="false">Rates!$F$12+H97*IF(D97=1,Rates!$F$13,Rates!$F$14)+I97*Rates!$F$15+J97*IF(D97=1,Rates!$F$16,Rates!$F$18)+K97*IF(D97=1,Rates!$F$17,Rates!$F$19)+E97*(Rates!$F$20+Rates!$F$21)</f>
        <v>152.8377952</v>
      </c>
      <c r="O97" s="26" t="n">
        <f aca="false">Rates!$F$22+IF(D97=1,E97*Rates!$F$23,E97*Rates!$F$24)+E97*(Rates!$F$25+Rates!$F$26)</f>
        <v>161.5833247</v>
      </c>
      <c r="P97" s="26" t="n">
        <f aca="false">Rates!$F$27+IF(D97=1,G97*Rates!$F$28,MIN(G97,Rates!$F$35)*Rates!$F$29+MAX(G97-Rates!$F$35,0)*Rates!$F$30)+IF(F97&gt;0,Rates!$F$31,0)+F97*Rates!$F$32+E97*(Rates!$F$33+Rates!$F$34)</f>
        <v>151.06062739</v>
      </c>
      <c r="Q97" s="26" t="n">
        <f aca="false">IF(L97&gt;0,Rates!$F$36,0)+L97*(Rates!$F$37+Rates!$F$38+Rates!$F$39)</f>
        <v>11.63344211</v>
      </c>
    </row>
    <row r="98" customFormat="false" ht="15" hidden="false" customHeight="false" outlineLevel="0" collapsed="false">
      <c r="A98" s="11" t="s">
        <v>161</v>
      </c>
      <c r="B98" s="11" t="s">
        <v>145</v>
      </c>
      <c r="C98" s="11" t="n">
        <v>10</v>
      </c>
      <c r="D98" s="11" t="n">
        <f aca="false">IF(AND(C98&gt;=6,C98&lt;=9),1,0)</f>
        <v>0</v>
      </c>
      <c r="E98" s="22" t="n">
        <v>2312.377</v>
      </c>
      <c r="F98" s="22" t="n">
        <v>1656.574</v>
      </c>
      <c r="G98" s="25" t="n">
        <f aca="false">E98-F98</f>
        <v>655.803</v>
      </c>
      <c r="H98" s="22" t="n">
        <v>173.145</v>
      </c>
      <c r="I98" s="22" t="n">
        <v>541.625</v>
      </c>
      <c r="J98" s="22" t="n">
        <v>1078.401</v>
      </c>
      <c r="K98" s="22" t="n">
        <v>519.206</v>
      </c>
      <c r="L98" s="22" t="n">
        <v>2.37</v>
      </c>
      <c r="M98" s="26" t="n">
        <f aca="false">Rates!$F$5+IF(D98=1,E98*Rates!$F$6,MIN(E98,Rates!$F$11)*Rates!$F$7+MAX(E98-Rates!$F$11,0)*Rates!$F$8)+E98*(Rates!$F$9+Rates!$F$10)</f>
        <v>320.57726062</v>
      </c>
      <c r="N98" s="26" t="n">
        <f aca="false">Rates!$F$12+H98*IF(D98=1,Rates!$F$13,Rates!$F$14)+I98*Rates!$F$15+J98*IF(D98=1,Rates!$F$16,Rates!$F$18)+K98*IF(D98=1,Rates!$F$17,Rates!$F$19)+E98*(Rates!$F$20+Rates!$F$21)</f>
        <v>290.05136636</v>
      </c>
      <c r="O98" s="26" t="n">
        <f aca="false">Rates!$F$22+IF(D98=1,E98*Rates!$F$23,E98*Rates!$F$24)+E98*(Rates!$F$25+Rates!$F$26)</f>
        <v>183.00069136</v>
      </c>
      <c r="P98" s="26" t="n">
        <f aca="false">Rates!$F$27+IF(D98=1,G98*Rates!$F$28,MIN(G98,Rates!$F$35)*Rates!$F$29+MAX(G98-Rates!$F$35,0)*Rates!$F$30)+IF(F98&gt;0,Rates!$F$31,0)+F98*Rates!$F$32+E98*(Rates!$F$33+Rates!$F$34)</f>
        <v>203.17922668</v>
      </c>
      <c r="Q98" s="26" t="n">
        <f aca="false">IF(L98&gt;0,Rates!$F$36,0)+L98*(Rates!$F$37+Rates!$F$38+Rates!$F$39)</f>
        <v>11.7166847</v>
      </c>
    </row>
    <row r="99" customFormat="false" ht="15" hidden="false" customHeight="false" outlineLevel="0" collapsed="false">
      <c r="A99" s="11" t="s">
        <v>161</v>
      </c>
      <c r="B99" s="11" t="s">
        <v>145</v>
      </c>
      <c r="C99" s="11" t="n">
        <v>11</v>
      </c>
      <c r="D99" s="11" t="n">
        <f aca="false">IF(AND(C99&gt;=6,C99&lt;=9),1,0)</f>
        <v>0</v>
      </c>
      <c r="E99" s="22" t="n">
        <v>5180.699</v>
      </c>
      <c r="F99" s="22" t="n">
        <v>4516.78</v>
      </c>
      <c r="G99" s="25" t="n">
        <f aca="false">E99-F99</f>
        <v>663.919</v>
      </c>
      <c r="H99" s="22" t="n">
        <v>442.786</v>
      </c>
      <c r="I99" s="22" t="n">
        <v>1226.441</v>
      </c>
      <c r="J99" s="22" t="n">
        <v>2323.948</v>
      </c>
      <c r="K99" s="22" t="n">
        <v>1187.525</v>
      </c>
      <c r="L99" s="22" t="n">
        <v>2.422</v>
      </c>
      <c r="M99" s="26" t="n">
        <f aca="false">Rates!$F$5+IF(D99=1,E99*Rates!$F$6,MIN(E99,Rates!$F$11)*Rates!$F$7+MAX(E99-Rates!$F$11,0)*Rates!$F$8)+E99*(Rates!$F$9+Rates!$F$10)</f>
        <v>705.10450794</v>
      </c>
      <c r="N99" s="26" t="n">
        <f aca="false">Rates!$F$12+H99*IF(D99=1,Rates!$F$13,Rates!$F$14)+I99*Rates!$F$15+J99*IF(D99=1,Rates!$F$16,Rates!$F$18)+K99*IF(D99=1,Rates!$F$17,Rates!$F$19)+E99*(Rates!$F$20+Rates!$F$21)</f>
        <v>642.75208532</v>
      </c>
      <c r="O99" s="26" t="n">
        <f aca="false">Rates!$F$22+IF(D99=1,E99*Rates!$F$23,E99*Rates!$F$24)+E99*(Rates!$F$25+Rates!$F$26)</f>
        <v>400.07530032</v>
      </c>
      <c r="P99" s="26" t="n">
        <f aca="false">Rates!$F$27+IF(D99=1,G99*Rates!$F$28,MIN(G99,Rates!$F$35)*Rates!$F$29+MAX(G99-Rates!$F$35,0)*Rates!$F$30)+IF(F99&gt;0,Rates!$F$31,0)+F99*Rates!$F$32+E99*(Rates!$F$33+Rates!$F$34)</f>
        <v>378.01710936</v>
      </c>
      <c r="Q99" s="26" t="n">
        <f aca="false">IF(L99&gt;0,Rates!$F$36,0)+L99*(Rates!$F$37+Rates!$F$38+Rates!$F$39)</f>
        <v>11.76532082</v>
      </c>
    </row>
    <row r="100" customFormat="false" ht="15" hidden="false" customHeight="false" outlineLevel="0" collapsed="false">
      <c r="A100" s="11" t="s">
        <v>161</v>
      </c>
      <c r="B100" s="11" t="s">
        <v>145</v>
      </c>
      <c r="C100" s="11" t="n">
        <v>12</v>
      </c>
      <c r="D100" s="11" t="n">
        <f aca="false">IF(AND(C100&gt;=6,C100&lt;=9),1,0)</f>
        <v>0</v>
      </c>
      <c r="E100" s="22" t="n">
        <v>6129.107</v>
      </c>
      <c r="F100" s="22" t="n">
        <v>5391.9</v>
      </c>
      <c r="G100" s="25" t="n">
        <f aca="false">E100-F100</f>
        <v>737.207</v>
      </c>
      <c r="H100" s="22" t="n">
        <v>493.687</v>
      </c>
      <c r="I100" s="22" t="n">
        <v>1456.164</v>
      </c>
      <c r="J100" s="22" t="n">
        <v>2498.977</v>
      </c>
      <c r="K100" s="22" t="n">
        <v>1680.278</v>
      </c>
      <c r="L100" s="22" t="n">
        <v>2.661</v>
      </c>
      <c r="M100" s="26" t="n">
        <f aca="false">Rates!$F$5+IF(D100=1,E100*Rates!$F$6,MIN(E100,Rates!$F$11)*Rates!$F$7+MAX(E100-Rates!$F$11,0)*Rates!$F$8)+E100*(Rates!$F$9+Rates!$F$10)</f>
        <v>832.24808442</v>
      </c>
      <c r="N100" s="26" t="n">
        <f aca="false">Rates!$F$12+H100*IF(D100=1,Rates!$F$13,Rates!$F$14)+I100*Rates!$F$15+J100*IF(D100=1,Rates!$F$16,Rates!$F$18)+K100*IF(D100=1,Rates!$F$17,Rates!$F$19)+E100*(Rates!$F$20+Rates!$F$21)</f>
        <v>756.96153776</v>
      </c>
      <c r="O100" s="26" t="n">
        <f aca="false">Rates!$F$22+IF(D100=1,E100*Rates!$F$23,E100*Rates!$F$24)+E100*(Rates!$F$25+Rates!$F$26)</f>
        <v>471.85081776</v>
      </c>
      <c r="P100" s="26" t="n">
        <f aca="false">Rates!$F$27+IF(D100=1,G100*Rates!$F$28,MIN(G100,Rates!$F$35)*Rates!$F$29+MAX(G100-Rates!$F$35,0)*Rates!$F$30)+IF(F100&gt;0,Rates!$F$31,0)+F100*Rates!$F$32+E100*(Rates!$F$33+Rates!$F$34)</f>
        <v>441.18597048</v>
      </c>
      <c r="Q100" s="26" t="n">
        <f aca="false">IF(L100&gt;0,Rates!$F$36,0)+L100*(Rates!$F$37+Rates!$F$38+Rates!$F$39)</f>
        <v>11.98885991</v>
      </c>
    </row>
    <row r="101" customFormat="false" ht="15" hidden="false" customHeight="false" outlineLevel="0" collapsed="false">
      <c r="A101" s="11" t="s">
        <v>163</v>
      </c>
      <c r="B101" s="11" t="s">
        <v>136</v>
      </c>
      <c r="C101" s="11" t="n">
        <v>1</v>
      </c>
      <c r="D101" s="11" t="n">
        <f aca="false">IF(AND(C101&gt;=6,C101&lt;=9),1,0)</f>
        <v>0</v>
      </c>
      <c r="E101" s="22" t="n">
        <v>785.15</v>
      </c>
      <c r="F101" s="22" t="n">
        <v>196.463</v>
      </c>
      <c r="G101" s="25" t="n">
        <f aca="false">E101-F101</f>
        <v>588.687</v>
      </c>
      <c r="H101" s="22" t="n">
        <v>95.395</v>
      </c>
      <c r="I101" s="22" t="n">
        <v>148.361</v>
      </c>
      <c r="J101" s="22" t="n">
        <v>334.804</v>
      </c>
      <c r="K101" s="22" t="n">
        <v>206.591</v>
      </c>
      <c r="L101" s="22" t="n">
        <v>291.032</v>
      </c>
      <c r="M101" s="26" t="n">
        <f aca="false">Rates!$F$5+IF(D101=1,E101*Rates!$F$6,MIN(E101,Rates!$F$11)*Rates!$F$7+MAX(E101-Rates!$F$11,0)*Rates!$F$8)+E101*(Rates!$F$9+Rates!$F$10)</f>
        <v>115.282896</v>
      </c>
      <c r="N101" s="26" t="n">
        <f aca="false">Rates!$F$12+H101*IF(D101=1,Rates!$F$13,Rates!$F$14)+I101*Rates!$F$15+J101*IF(D101=1,Rates!$F$16,Rates!$F$18)+K101*IF(D101=1,Rates!$F$17,Rates!$F$19)+E101*(Rates!$F$20+Rates!$F$21)</f>
        <v>107.208827</v>
      </c>
      <c r="O101" s="26" t="n">
        <f aca="false">Rates!$F$22+IF(D101=1,E101*Rates!$F$23,E101*Rates!$F$24)+E101*(Rates!$F$25+Rates!$F$26)</f>
        <v>67.420152</v>
      </c>
      <c r="P101" s="26" t="n">
        <f aca="false">Rates!$F$27+IF(D101=1,G101*Rates!$F$28,MIN(G101,Rates!$F$35)*Rates!$F$29+MAX(G101-Rates!$F$35,0)*Rates!$F$30)+IF(F101&gt;0,Rates!$F$31,0)+F101*Rates!$F$32+E101*(Rates!$F$33+Rates!$F$34)</f>
        <v>105.3213543</v>
      </c>
      <c r="Q101" s="26" t="n">
        <f aca="false">IF(L101&gt;0,Rates!$F$36,0)+L101*(Rates!$F$37+Rates!$F$38+Rates!$F$39)</f>
        <v>281.70513992</v>
      </c>
    </row>
    <row r="102" customFormat="false" ht="15" hidden="false" customHeight="false" outlineLevel="0" collapsed="false">
      <c r="A102" s="11" t="s">
        <v>163</v>
      </c>
      <c r="B102" s="11" t="s">
        <v>136</v>
      </c>
      <c r="C102" s="11" t="n">
        <v>2</v>
      </c>
      <c r="D102" s="11" t="n">
        <f aca="false">IF(AND(C102&gt;=6,C102&lt;=9),1,0)</f>
        <v>0</v>
      </c>
      <c r="E102" s="22" t="n">
        <v>684.484</v>
      </c>
      <c r="F102" s="22" t="n">
        <v>173.731</v>
      </c>
      <c r="G102" s="25" t="n">
        <f aca="false">E102-F102</f>
        <v>510.753</v>
      </c>
      <c r="H102" s="22" t="n">
        <v>83.114</v>
      </c>
      <c r="I102" s="22" t="n">
        <v>133.494</v>
      </c>
      <c r="J102" s="22" t="n">
        <v>292.832</v>
      </c>
      <c r="K102" s="22" t="n">
        <v>175.044</v>
      </c>
      <c r="L102" s="22" t="n">
        <v>257.028</v>
      </c>
      <c r="M102" s="26" t="n">
        <f aca="false">Rates!$F$5+IF(D102=1,E102*Rates!$F$6,MIN(E102,Rates!$F$11)*Rates!$F$7+MAX(E102-Rates!$F$11,0)*Rates!$F$8)+E102*(Rates!$F$9+Rates!$F$10)</f>
        <v>101.52789376</v>
      </c>
      <c r="N102" s="26" t="n">
        <f aca="false">Rates!$F$12+H102*IF(D102=1,Rates!$F$13,Rates!$F$14)+I102*Rates!$F$15+J102*IF(D102=1,Rates!$F$16,Rates!$F$18)+K102*IF(D102=1,Rates!$F$17,Rates!$F$19)+E102*(Rates!$F$20+Rates!$F$21)</f>
        <v>94.34049912</v>
      </c>
      <c r="O102" s="26" t="n">
        <f aca="false">Rates!$F$22+IF(D102=1,E102*Rates!$F$23,E102*Rates!$F$24)+E102*(Rates!$F$25+Rates!$F$26)</f>
        <v>59.80174912</v>
      </c>
      <c r="P102" s="26" t="n">
        <f aca="false">Rates!$F$27+IF(D102=1,G102*Rates!$F$28,MIN(G102,Rates!$F$35)*Rates!$F$29+MAX(G102-Rates!$F$35,0)*Rates!$F$30)+IF(F102&gt;0,Rates!$F$31,0)+F102*Rates!$F$32+E102*(Rates!$F$33+Rates!$F$34)</f>
        <v>93.29171086</v>
      </c>
      <c r="Q102" s="26" t="n">
        <f aca="false">IF(L102&gt;0,Rates!$F$36,0)+L102*(Rates!$F$37+Rates!$F$38+Rates!$F$39)</f>
        <v>249.90085868</v>
      </c>
    </row>
    <row r="103" customFormat="false" ht="15" hidden="false" customHeight="false" outlineLevel="0" collapsed="false">
      <c r="A103" s="11" t="s">
        <v>163</v>
      </c>
      <c r="B103" s="11" t="s">
        <v>136</v>
      </c>
      <c r="C103" s="11" t="n">
        <v>3</v>
      </c>
      <c r="D103" s="11" t="n">
        <f aca="false">IF(AND(C103&gt;=6,C103&lt;=9),1,0)</f>
        <v>0</v>
      </c>
      <c r="E103" s="22" t="n">
        <v>694.283</v>
      </c>
      <c r="F103" s="22" t="n">
        <v>100.354</v>
      </c>
      <c r="G103" s="25" t="n">
        <f aca="false">E103-F103</f>
        <v>593.929</v>
      </c>
      <c r="H103" s="22" t="n">
        <v>72.812</v>
      </c>
      <c r="I103" s="22" t="n">
        <v>126.963</v>
      </c>
      <c r="J103" s="22" t="n">
        <v>310.741</v>
      </c>
      <c r="K103" s="22" t="n">
        <v>183.767</v>
      </c>
      <c r="L103" s="22" t="n">
        <v>159.772</v>
      </c>
      <c r="M103" s="26" t="n">
        <f aca="false">Rates!$F$5+IF(D103=1,E103*Rates!$F$6,MIN(E103,Rates!$F$11)*Rates!$F$7+MAX(E103-Rates!$F$11,0)*Rates!$F$8)+E103*(Rates!$F$9+Rates!$F$10)</f>
        <v>102.86682912</v>
      </c>
      <c r="N103" s="26" t="n">
        <f aca="false">Rates!$F$12+H103*IF(D103=1,Rates!$F$13,Rates!$F$14)+I103*Rates!$F$15+J103*IF(D103=1,Rates!$F$16,Rates!$F$18)+K103*IF(D103=1,Rates!$F$17,Rates!$F$19)+E103*(Rates!$F$20+Rates!$F$21)</f>
        <v>95.18250244</v>
      </c>
      <c r="O103" s="26" t="n">
        <f aca="false">Rates!$F$22+IF(D103=1,E103*Rates!$F$23,E103*Rates!$F$24)+E103*(Rates!$F$25+Rates!$F$26)</f>
        <v>60.54333744</v>
      </c>
      <c r="P103" s="26" t="n">
        <f aca="false">Rates!$F$27+IF(D103=1,G103*Rates!$F$28,MIN(G103,Rates!$F$35)*Rates!$F$29+MAX(G103-Rates!$F$35,0)*Rates!$F$30)+IF(F103&gt;0,Rates!$F$31,0)+F103*Rates!$F$32+E103*(Rates!$F$33+Rates!$F$34)</f>
        <v>100.19996052</v>
      </c>
      <c r="Q103" s="26" t="n">
        <f aca="false">IF(L103&gt;0,Rates!$F$36,0)+L103*(Rates!$F$37+Rates!$F$38+Rates!$F$39)</f>
        <v>158.93634932</v>
      </c>
    </row>
    <row r="104" customFormat="false" ht="15" hidden="false" customHeight="false" outlineLevel="0" collapsed="false">
      <c r="A104" s="11" t="s">
        <v>163</v>
      </c>
      <c r="B104" s="11" t="s">
        <v>136</v>
      </c>
      <c r="C104" s="11" t="n">
        <v>4</v>
      </c>
      <c r="D104" s="11" t="n">
        <f aca="false">IF(AND(C104&gt;=6,C104&lt;=9),1,0)</f>
        <v>0</v>
      </c>
      <c r="E104" s="22" t="n">
        <v>611.723</v>
      </c>
      <c r="F104" s="22" t="n">
        <v>70.348</v>
      </c>
      <c r="G104" s="25" t="n">
        <f aca="false">E104-F104</f>
        <v>541.375</v>
      </c>
      <c r="H104" s="22" t="n">
        <v>71.903</v>
      </c>
      <c r="I104" s="22" t="n">
        <v>113.835</v>
      </c>
      <c r="J104" s="22" t="n">
        <v>259.331</v>
      </c>
      <c r="K104" s="22" t="n">
        <v>166.655</v>
      </c>
      <c r="L104" s="22" t="n">
        <v>118.643</v>
      </c>
      <c r="M104" s="26" t="n">
        <f aca="false">Rates!$F$5+IF(D104=1,E104*Rates!$F$6,MIN(E104,Rates!$F$11)*Rates!$F$7+MAX(E104-Rates!$F$11,0)*Rates!$F$8)+E104*(Rates!$F$9+Rates!$F$10)</f>
        <v>91.58583072</v>
      </c>
      <c r="N104" s="26" t="n">
        <f aca="false">Rates!$F$12+H104*IF(D104=1,Rates!$F$13,Rates!$F$14)+I104*Rates!$F$15+J104*IF(D104=1,Rates!$F$16,Rates!$F$18)+K104*IF(D104=1,Rates!$F$17,Rates!$F$19)+E104*(Rates!$F$20+Rates!$F$21)</f>
        <v>85.21141164</v>
      </c>
      <c r="O104" s="26" t="n">
        <f aca="false">Rates!$F$22+IF(D104=1,E104*Rates!$F$23,E104*Rates!$F$24)+E104*(Rates!$F$25+Rates!$F$26)</f>
        <v>54.29519664</v>
      </c>
      <c r="P104" s="26" t="n">
        <f aca="false">Rates!$F$27+IF(D104=1,G104*Rates!$F$28,MIN(G104,Rates!$F$35)*Rates!$F$29+MAX(G104-Rates!$F$35,0)*Rates!$F$30)+IF(F104&gt;0,Rates!$F$31,0)+F104*Rates!$F$32+E104*(Rates!$F$33+Rates!$F$34)</f>
        <v>91.19641752</v>
      </c>
      <c r="Q104" s="26" t="n">
        <f aca="false">IF(L104&gt;0,Rates!$F$36,0)+L104*(Rates!$F$37+Rates!$F$38+Rates!$F$39)</f>
        <v>120.46798433</v>
      </c>
    </row>
    <row r="105" customFormat="false" ht="15" hidden="false" customHeight="false" outlineLevel="0" collapsed="false">
      <c r="A105" s="11" t="s">
        <v>163</v>
      </c>
      <c r="B105" s="11" t="s">
        <v>136</v>
      </c>
      <c r="C105" s="11" t="n">
        <v>5</v>
      </c>
      <c r="D105" s="11" t="n">
        <f aca="false">IF(AND(C105&gt;=6,C105&lt;=9),1,0)</f>
        <v>0</v>
      </c>
      <c r="E105" s="22" t="n">
        <v>821.198</v>
      </c>
      <c r="F105" s="22" t="n">
        <v>0.184</v>
      </c>
      <c r="G105" s="25" t="n">
        <f aca="false">E105-F105</f>
        <v>821.014</v>
      </c>
      <c r="H105" s="22" t="n">
        <v>103.508</v>
      </c>
      <c r="I105" s="22" t="n">
        <v>143.467</v>
      </c>
      <c r="J105" s="22" t="n">
        <v>356.982</v>
      </c>
      <c r="K105" s="22" t="n">
        <v>217.241</v>
      </c>
      <c r="L105" s="22" t="n">
        <v>23.301</v>
      </c>
      <c r="M105" s="26" t="n">
        <f aca="false">Rates!$F$5+IF(D105=1,E105*Rates!$F$6,MIN(E105,Rates!$F$11)*Rates!$F$7+MAX(E105-Rates!$F$11,0)*Rates!$F$8)+E105*(Rates!$F$9+Rates!$F$10)</f>
        <v>120.20849472</v>
      </c>
      <c r="N105" s="26" t="n">
        <f aca="false">Rates!$F$12+H105*IF(D105=1,Rates!$F$13,Rates!$F$14)+I105*Rates!$F$15+J105*IF(D105=1,Rates!$F$16,Rates!$F$18)+K105*IF(D105=1,Rates!$F$17,Rates!$F$19)+E105*(Rates!$F$20+Rates!$F$21)</f>
        <v>112.39729964</v>
      </c>
      <c r="O105" s="26" t="n">
        <f aca="false">Rates!$F$22+IF(D105=1,E105*Rates!$F$23,E105*Rates!$F$24)+E105*(Rates!$F$25+Rates!$F$26)</f>
        <v>70.14826464</v>
      </c>
      <c r="P105" s="26" t="n">
        <f aca="false">Rates!$F$27+IF(D105=1,G105*Rates!$F$28,MIN(G105,Rates!$F$35)*Rates!$F$29+MAX(G105-Rates!$F$35,0)*Rates!$F$30)+IF(F105&gt;0,Rates!$F$31,0)+F105*Rates!$F$32+E105*(Rates!$F$33+Rates!$F$34)</f>
        <v>125.14452912</v>
      </c>
      <c r="Q105" s="26" t="n">
        <f aca="false">IF(L105&gt;0,Rates!$F$36,0)+L105*(Rates!$F$37+Rates!$F$38+Rates!$F$39)</f>
        <v>31.29365831</v>
      </c>
    </row>
    <row r="106" customFormat="false" ht="15" hidden="false" customHeight="false" outlineLevel="0" collapsed="false">
      <c r="A106" s="11" t="s">
        <v>163</v>
      </c>
      <c r="B106" s="11" t="s">
        <v>136</v>
      </c>
      <c r="C106" s="11" t="n">
        <v>6</v>
      </c>
      <c r="D106" s="11" t="n">
        <f aca="false">IF(AND(C106&gt;=6,C106&lt;=9),1,0)</f>
        <v>1</v>
      </c>
      <c r="E106" s="22" t="n">
        <v>1000.943</v>
      </c>
      <c r="F106" s="22" t="n">
        <v>0</v>
      </c>
      <c r="G106" s="25" t="n">
        <f aca="false">E106-F106</f>
        <v>1000.943</v>
      </c>
      <c r="H106" s="22" t="n">
        <v>117.781</v>
      </c>
      <c r="I106" s="22" t="n">
        <v>191.644</v>
      </c>
      <c r="J106" s="22" t="n">
        <v>426.737</v>
      </c>
      <c r="K106" s="22" t="n">
        <v>264.781</v>
      </c>
      <c r="L106" s="22" t="n">
        <v>20.854</v>
      </c>
      <c r="M106" s="26" t="n">
        <f aca="false">Rates!$F$5+IF(D106=1,E106*Rates!$F$6,MIN(E106,Rates!$F$11)*Rates!$F$7+MAX(E106-Rates!$F$11,0)*Rates!$F$8)+E106*(Rates!$F$9+Rates!$F$10)</f>
        <v>160.37355289</v>
      </c>
      <c r="N106" s="26" t="n">
        <f aca="false">Rates!$F$12+H106*IF(D106=1,Rates!$F$13,Rates!$F$14)+I106*Rates!$F$15+J106*IF(D106=1,Rates!$F$16,Rates!$F$18)+K106*IF(D106=1,Rates!$F$17,Rates!$F$19)+E106*(Rates!$F$20+Rates!$F$21)</f>
        <v>152.69943624</v>
      </c>
      <c r="O106" s="26" t="n">
        <f aca="false">Rates!$F$22+IF(D106=1,E106*Rates!$F$23,E106*Rates!$F$24)+E106*(Rates!$F$25+Rates!$F$26)</f>
        <v>160.37355289</v>
      </c>
      <c r="P106" s="26" t="n">
        <f aca="false">Rates!$F$27+IF(D106=1,G106*Rates!$F$28,MIN(G106,Rates!$F$35)*Rates!$F$29+MAX(G106-Rates!$F$35,0)*Rates!$F$30)+IF(F106&gt;0,Rates!$F$31,0)+F106*Rates!$F$32+E106*(Rates!$F$33+Rates!$F$34)</f>
        <v>160.37355289</v>
      </c>
      <c r="Q106" s="26" t="n">
        <f aca="false">IF(L106&gt;0,Rates!$F$36,0)+L106*(Rates!$F$37+Rates!$F$38+Rates!$F$39)</f>
        <v>29.00495474</v>
      </c>
    </row>
    <row r="107" customFormat="false" ht="15" hidden="false" customHeight="false" outlineLevel="0" collapsed="false">
      <c r="A107" s="11" t="s">
        <v>163</v>
      </c>
      <c r="B107" s="11" t="s">
        <v>136</v>
      </c>
      <c r="C107" s="11" t="n">
        <v>7</v>
      </c>
      <c r="D107" s="11" t="n">
        <f aca="false">IF(AND(C107&gt;=6,C107&lt;=9),1,0)</f>
        <v>1</v>
      </c>
      <c r="E107" s="22" t="n">
        <v>1163.555</v>
      </c>
      <c r="F107" s="22" t="n">
        <v>0</v>
      </c>
      <c r="G107" s="25" t="n">
        <f aca="false">E107-F107</f>
        <v>1163.555</v>
      </c>
      <c r="H107" s="22" t="n">
        <v>130.167</v>
      </c>
      <c r="I107" s="22" t="n">
        <v>233.961</v>
      </c>
      <c r="J107" s="22" t="n">
        <v>477.457</v>
      </c>
      <c r="K107" s="22" t="n">
        <v>321.97</v>
      </c>
      <c r="L107" s="22" t="n">
        <v>20.401</v>
      </c>
      <c r="M107" s="26" t="n">
        <f aca="false">Rates!$F$5+IF(D107=1,E107*Rates!$F$6,MIN(E107,Rates!$F$11)*Rates!$F$7+MAX(E107-Rates!$F$11,0)*Rates!$F$8)+E107*(Rates!$F$9+Rates!$F$10)</f>
        <v>185.12797765</v>
      </c>
      <c r="N107" s="26" t="n">
        <f aca="false">Rates!$F$12+H107*IF(D107=1,Rates!$F$13,Rates!$F$14)+I107*Rates!$F$15+J107*IF(D107=1,Rates!$F$16,Rates!$F$18)+K107*IF(D107=1,Rates!$F$17,Rates!$F$19)+E107*(Rates!$F$20+Rates!$F$21)</f>
        <v>175.0521974</v>
      </c>
      <c r="O107" s="26" t="n">
        <f aca="false">Rates!$F$22+IF(D107=1,E107*Rates!$F$23,E107*Rates!$F$24)+E107*(Rates!$F$25+Rates!$F$26)</f>
        <v>185.12797765</v>
      </c>
      <c r="P107" s="26" t="n">
        <f aca="false">Rates!$F$27+IF(D107=1,G107*Rates!$F$28,MIN(G107,Rates!$F$35)*Rates!$F$29+MAX(G107-Rates!$F$35,0)*Rates!$F$30)+IF(F107&gt;0,Rates!$F$31,0)+F107*Rates!$F$32+E107*(Rates!$F$33+Rates!$F$34)</f>
        <v>185.12797765</v>
      </c>
      <c r="Q107" s="26" t="n">
        <f aca="false">IF(L107&gt;0,Rates!$F$36,0)+L107*(Rates!$F$37+Rates!$F$38+Rates!$F$39)</f>
        <v>28.58125931</v>
      </c>
    </row>
    <row r="108" customFormat="false" ht="15" hidden="false" customHeight="false" outlineLevel="0" collapsed="false">
      <c r="A108" s="11" t="s">
        <v>163</v>
      </c>
      <c r="B108" s="11" t="s">
        <v>136</v>
      </c>
      <c r="C108" s="11" t="n">
        <v>8</v>
      </c>
      <c r="D108" s="11" t="n">
        <f aca="false">IF(AND(C108&gt;=6,C108&lt;=9),1,0)</f>
        <v>1</v>
      </c>
      <c r="E108" s="22" t="n">
        <v>1108.225</v>
      </c>
      <c r="F108" s="22" t="n">
        <v>0</v>
      </c>
      <c r="G108" s="25" t="n">
        <f aca="false">E108-F108</f>
        <v>1108.225</v>
      </c>
      <c r="H108" s="22" t="n">
        <v>133.279</v>
      </c>
      <c r="I108" s="22" t="n">
        <v>219.883</v>
      </c>
      <c r="J108" s="22" t="n">
        <v>508.192</v>
      </c>
      <c r="K108" s="22" t="n">
        <v>246.871</v>
      </c>
      <c r="L108" s="22" t="n">
        <v>20.08</v>
      </c>
      <c r="M108" s="26" t="n">
        <f aca="false">Rates!$F$5+IF(D108=1,E108*Rates!$F$6,MIN(E108,Rates!$F$11)*Rates!$F$7+MAX(E108-Rates!$F$11,0)*Rates!$F$8)+E108*(Rates!$F$9+Rates!$F$10)</f>
        <v>176.70509175</v>
      </c>
      <c r="N108" s="26" t="n">
        <f aca="false">Rates!$F$12+H108*IF(D108=1,Rates!$F$13,Rates!$F$14)+I108*Rates!$F$15+J108*IF(D108=1,Rates!$F$16,Rates!$F$18)+K108*IF(D108=1,Rates!$F$17,Rates!$F$19)+E108*(Rates!$F$20+Rates!$F$21)</f>
        <v>168.014973</v>
      </c>
      <c r="O108" s="26" t="n">
        <f aca="false">Rates!$F$22+IF(D108=1,E108*Rates!$F$23,E108*Rates!$F$24)+E108*(Rates!$F$25+Rates!$F$26)</f>
        <v>176.70509175</v>
      </c>
      <c r="P108" s="26" t="n">
        <f aca="false">Rates!$F$27+IF(D108=1,G108*Rates!$F$28,MIN(G108,Rates!$F$35)*Rates!$F$29+MAX(G108-Rates!$F$35,0)*Rates!$F$30)+IF(F108&gt;0,Rates!$F$31,0)+F108*Rates!$F$32+E108*(Rates!$F$33+Rates!$F$34)</f>
        <v>176.70509175</v>
      </c>
      <c r="Q108" s="26" t="n">
        <f aca="false">IF(L108&gt;0,Rates!$F$36,0)+L108*(Rates!$F$37+Rates!$F$38+Rates!$F$39)</f>
        <v>28.2810248</v>
      </c>
    </row>
    <row r="109" customFormat="false" ht="15" hidden="false" customHeight="false" outlineLevel="0" collapsed="false">
      <c r="A109" s="11" t="s">
        <v>163</v>
      </c>
      <c r="B109" s="11" t="s">
        <v>136</v>
      </c>
      <c r="C109" s="11" t="n">
        <v>9</v>
      </c>
      <c r="D109" s="11" t="n">
        <f aca="false">IF(AND(C109&gt;=6,C109&lt;=9),1,0)</f>
        <v>1</v>
      </c>
      <c r="E109" s="22" t="n">
        <v>848.449</v>
      </c>
      <c r="F109" s="22" t="n">
        <v>0.56</v>
      </c>
      <c r="G109" s="25" t="n">
        <f aca="false">E109-F109</f>
        <v>847.889</v>
      </c>
      <c r="H109" s="22" t="n">
        <v>84.682</v>
      </c>
      <c r="I109" s="22" t="n">
        <v>155.806</v>
      </c>
      <c r="J109" s="22" t="n">
        <v>311.959</v>
      </c>
      <c r="K109" s="22" t="n">
        <v>296.002</v>
      </c>
      <c r="L109" s="22" t="n">
        <v>20.453</v>
      </c>
      <c r="M109" s="26" t="n">
        <f aca="false">Rates!$F$5+IF(D109=1,E109*Rates!$F$6,MIN(E109,Rates!$F$11)*Rates!$F$7+MAX(E109-Rates!$F$11,0)*Rates!$F$8)+E109*(Rates!$F$9+Rates!$F$10)</f>
        <v>137.15939127</v>
      </c>
      <c r="N109" s="26" t="n">
        <f aca="false">Rates!$F$12+H109*IF(D109=1,Rates!$F$13,Rates!$F$14)+I109*Rates!$F$15+J109*IF(D109=1,Rates!$F$16,Rates!$F$18)+K109*IF(D109=1,Rates!$F$17,Rates!$F$19)+E109*(Rates!$F$20+Rates!$F$21)</f>
        <v>129.80728032</v>
      </c>
      <c r="O109" s="26" t="n">
        <f aca="false">Rates!$F$22+IF(D109=1,E109*Rates!$F$23,E109*Rates!$F$24)+E109*(Rates!$F$25+Rates!$F$26)</f>
        <v>137.15939127</v>
      </c>
      <c r="P109" s="26" t="n">
        <f aca="false">Rates!$F$27+IF(D109=1,G109*Rates!$F$28,MIN(G109,Rates!$F$35)*Rates!$F$29+MAX(G109-Rates!$F$35,0)*Rates!$F$30)+IF(F109&gt;0,Rates!$F$31,0)+F109*Rates!$F$32+E109*(Rates!$F$33+Rates!$F$34)</f>
        <v>142.05815687</v>
      </c>
      <c r="Q109" s="26" t="n">
        <f aca="false">IF(L109&gt;0,Rates!$F$36,0)+L109*(Rates!$F$37+Rates!$F$38+Rates!$F$39)</f>
        <v>28.62989543</v>
      </c>
    </row>
    <row r="110" customFormat="false" ht="15" hidden="false" customHeight="false" outlineLevel="0" collapsed="false">
      <c r="A110" s="11" t="s">
        <v>163</v>
      </c>
      <c r="B110" s="11" t="s">
        <v>136</v>
      </c>
      <c r="C110" s="11" t="n">
        <v>10</v>
      </c>
      <c r="D110" s="11" t="n">
        <f aca="false">IF(AND(C110&gt;=6,C110&lt;=9),1,0)</f>
        <v>0</v>
      </c>
      <c r="E110" s="22" t="n">
        <v>573.015</v>
      </c>
      <c r="F110" s="22" t="n">
        <v>32.177</v>
      </c>
      <c r="G110" s="25" t="n">
        <f aca="false">E110-F110</f>
        <v>540.838</v>
      </c>
      <c r="H110" s="22" t="n">
        <v>66.565</v>
      </c>
      <c r="I110" s="22" t="n">
        <v>101.935</v>
      </c>
      <c r="J110" s="22" t="n">
        <v>264.295</v>
      </c>
      <c r="K110" s="22" t="n">
        <v>140.219</v>
      </c>
      <c r="L110" s="22" t="n">
        <v>65.212</v>
      </c>
      <c r="M110" s="26" t="n">
        <f aca="false">Rates!$F$5+IF(D110=1,E110*Rates!$F$6,MIN(E110,Rates!$F$11)*Rates!$F$7+MAX(E110-Rates!$F$11,0)*Rates!$F$8)+E110*(Rates!$F$9+Rates!$F$10)</f>
        <v>86.2967696</v>
      </c>
      <c r="N110" s="26" t="n">
        <f aca="false">Rates!$F$12+H110*IF(D110=1,Rates!$F$13,Rates!$F$14)+I110*Rates!$F$15+J110*IF(D110=1,Rates!$F$16,Rates!$F$18)+K110*IF(D110=1,Rates!$F$17,Rates!$F$19)+E110*(Rates!$F$20+Rates!$F$21)</f>
        <v>80.4425902</v>
      </c>
      <c r="O110" s="26" t="n">
        <f aca="false">Rates!$F$22+IF(D110=1,E110*Rates!$F$23,E110*Rates!$F$24)+E110*(Rates!$F$25+Rates!$F$26)</f>
        <v>51.3657752</v>
      </c>
      <c r="P110" s="26" t="n">
        <f aca="false">Rates!$F$27+IF(D110=1,G110*Rates!$F$28,MIN(G110,Rates!$F$35)*Rates!$F$29+MAX(G110-Rates!$F$35,0)*Rates!$F$30)+IF(F110&gt;0,Rates!$F$31,0)+F110*Rates!$F$32+E110*(Rates!$F$33+Rates!$F$34)</f>
        <v>88.8045353</v>
      </c>
      <c r="Q110" s="26" t="n">
        <f aca="false">IF(L110&gt;0,Rates!$F$36,0)+L110*(Rates!$F$37+Rates!$F$38+Rates!$F$39)</f>
        <v>70.49343572</v>
      </c>
    </row>
    <row r="111" customFormat="false" ht="15" hidden="false" customHeight="false" outlineLevel="0" collapsed="false">
      <c r="A111" s="11" t="s">
        <v>163</v>
      </c>
      <c r="B111" s="11" t="s">
        <v>136</v>
      </c>
      <c r="C111" s="11" t="n">
        <v>11</v>
      </c>
      <c r="D111" s="11" t="n">
        <f aca="false">IF(AND(C111&gt;=6,C111&lt;=9),1,0)</f>
        <v>0</v>
      </c>
      <c r="E111" s="22" t="n">
        <v>652.83</v>
      </c>
      <c r="F111" s="22" t="n">
        <v>116.182</v>
      </c>
      <c r="G111" s="25" t="n">
        <f aca="false">E111-F111</f>
        <v>536.648</v>
      </c>
      <c r="H111" s="22" t="n">
        <v>80.828</v>
      </c>
      <c r="I111" s="22" t="n">
        <v>127.207</v>
      </c>
      <c r="J111" s="22" t="n">
        <v>278.535</v>
      </c>
      <c r="K111" s="22" t="n">
        <v>166.26</v>
      </c>
      <c r="L111" s="22" t="n">
        <v>178.343</v>
      </c>
      <c r="M111" s="26" t="n">
        <f aca="false">Rates!$F$5+IF(D111=1,E111*Rates!$F$6,MIN(E111,Rates!$F$11)*Rates!$F$7+MAX(E111-Rates!$F$11,0)*Rates!$F$8)+E111*(Rates!$F$9+Rates!$F$10)</f>
        <v>97.2026912</v>
      </c>
      <c r="N111" s="26" t="n">
        <f aca="false">Rates!$F$12+H111*IF(D111=1,Rates!$F$13,Rates!$F$14)+I111*Rates!$F$15+J111*IF(D111=1,Rates!$F$16,Rates!$F$18)+K111*IF(D111=1,Rates!$F$17,Rates!$F$19)+E111*(Rates!$F$20+Rates!$F$21)</f>
        <v>90.4451094</v>
      </c>
      <c r="O111" s="26" t="n">
        <f aca="false">Rates!$F$22+IF(D111=1,E111*Rates!$F$23,E111*Rates!$F$24)+E111*(Rates!$F$25+Rates!$F$26)</f>
        <v>57.4061744</v>
      </c>
      <c r="P111" s="26" t="n">
        <f aca="false">Rates!$F$27+IF(D111=1,G111*Rates!$F$28,MIN(G111,Rates!$F$35)*Rates!$F$29+MAX(G111-Rates!$F$35,0)*Rates!$F$30)+IF(F111&gt;0,Rates!$F$31,0)+F111*Rates!$F$32+E111*(Rates!$F$33+Rates!$F$34)</f>
        <v>93.3344774</v>
      </c>
      <c r="Q111" s="26" t="n">
        <f aca="false">IF(L111&gt;0,Rates!$F$36,0)+L111*(Rates!$F$37+Rates!$F$38+Rates!$F$39)</f>
        <v>176.30599133</v>
      </c>
    </row>
    <row r="112" customFormat="false" ht="15" hidden="false" customHeight="false" outlineLevel="0" collapsed="false">
      <c r="A112" s="11" t="s">
        <v>163</v>
      </c>
      <c r="B112" s="11" t="s">
        <v>136</v>
      </c>
      <c r="C112" s="11" t="n">
        <v>12</v>
      </c>
      <c r="D112" s="11" t="n">
        <f aca="false">IF(AND(C112&gt;=6,C112&lt;=9),1,0)</f>
        <v>0</v>
      </c>
      <c r="E112" s="22" t="n">
        <v>739.347</v>
      </c>
      <c r="F112" s="22" t="n">
        <v>142.519</v>
      </c>
      <c r="G112" s="25" t="n">
        <f aca="false">E112-F112</f>
        <v>596.828</v>
      </c>
      <c r="H112" s="22" t="n">
        <v>79.777</v>
      </c>
      <c r="I112" s="22" t="n">
        <v>132.184</v>
      </c>
      <c r="J112" s="22" t="n">
        <v>282.469</v>
      </c>
      <c r="K112" s="22" t="n">
        <v>244.918</v>
      </c>
      <c r="L112" s="22" t="n">
        <v>216.192</v>
      </c>
      <c r="M112" s="26" t="n">
        <f aca="false">Rates!$F$5+IF(D112=1,E112*Rates!$F$6,MIN(E112,Rates!$F$11)*Rates!$F$7+MAX(E112-Rates!$F$11,0)*Rates!$F$8)+E112*(Rates!$F$9+Rates!$F$10)</f>
        <v>109.02437408</v>
      </c>
      <c r="N112" s="26" t="n">
        <f aca="false">Rates!$F$12+H112*IF(D112=1,Rates!$F$13,Rates!$F$14)+I112*Rates!$F$15+J112*IF(D112=1,Rates!$F$16,Rates!$F$18)+K112*IF(D112=1,Rates!$F$17,Rates!$F$19)+E112*(Rates!$F$20+Rates!$F$21)</f>
        <v>101.08142096</v>
      </c>
      <c r="O112" s="26" t="n">
        <f aca="false">Rates!$F$22+IF(D112=1,E112*Rates!$F$23,E112*Rates!$F$24)+E112*(Rates!$F$25+Rates!$F$26)</f>
        <v>63.95378096</v>
      </c>
      <c r="P112" s="26" t="n">
        <f aca="false">Rates!$F$27+IF(D112=1,G112*Rates!$F$28,MIN(G112,Rates!$F$35)*Rates!$F$29+MAX(G112-Rates!$F$35,0)*Rates!$F$30)+IF(F112&gt;0,Rates!$F$31,0)+F112*Rates!$F$32+E112*(Rates!$F$33+Rates!$F$34)</f>
        <v>103.15718198</v>
      </c>
      <c r="Q112" s="26" t="n">
        <f aca="false">IF(L112&gt;0,Rates!$F$36,0)+L112*(Rates!$F$37+Rates!$F$38+Rates!$F$39)</f>
        <v>211.70653952</v>
      </c>
    </row>
    <row r="113" customFormat="false" ht="15" hidden="false" customHeight="false" outlineLevel="0" collapsed="false">
      <c r="A113" s="11" t="s">
        <v>163</v>
      </c>
      <c r="B113" s="11" t="s">
        <v>139</v>
      </c>
      <c r="C113" s="11" t="n">
        <v>1</v>
      </c>
      <c r="D113" s="11" t="n">
        <f aca="false">IF(AND(C113&gt;=6,C113&lt;=9),1,0)</f>
        <v>0</v>
      </c>
      <c r="E113" s="22" t="n">
        <v>3380.421</v>
      </c>
      <c r="F113" s="22" t="n">
        <v>2828.933</v>
      </c>
      <c r="G113" s="25" t="n">
        <f aca="false">E113-F113</f>
        <v>551.488</v>
      </c>
      <c r="H113" s="22" t="n">
        <v>286.975</v>
      </c>
      <c r="I113" s="22" t="n">
        <v>872.823</v>
      </c>
      <c r="J113" s="22" t="n">
        <v>1449.924</v>
      </c>
      <c r="K113" s="22" t="n">
        <v>770.699</v>
      </c>
      <c r="L113" s="22" t="n">
        <v>28.69</v>
      </c>
      <c r="M113" s="26" t="n">
        <f aca="false">Rates!$F$5+IF(D113=1,E113*Rates!$F$6,MIN(E113,Rates!$F$11)*Rates!$F$7+MAX(E113-Rates!$F$11,0)*Rates!$F$8)+E113*(Rates!$F$9+Rates!$F$10)</f>
        <v>463.75923926</v>
      </c>
      <c r="N113" s="26" t="n">
        <f aca="false">Rates!$F$12+H113*IF(D113=1,Rates!$F$13,Rates!$F$14)+I113*Rates!$F$15+J113*IF(D113=1,Rates!$F$16,Rates!$F$18)+K113*IF(D113=1,Rates!$F$17,Rates!$F$19)+E113*(Rates!$F$20+Rates!$F$21)</f>
        <v>419.52100628</v>
      </c>
      <c r="O113" s="26" t="n">
        <f aca="false">Rates!$F$22+IF(D113=1,E113*Rates!$F$23,E113*Rates!$F$24)+E113*(Rates!$F$25+Rates!$F$26)</f>
        <v>263.83026128</v>
      </c>
      <c r="P113" s="26" t="n">
        <f aca="false">Rates!$F$27+IF(D113=1,G113*Rates!$F$28,MIN(G113,Rates!$F$35)*Rates!$F$29+MAX(G113-Rates!$F$35,0)*Rates!$F$30)+IF(F113&gt;0,Rates!$F$31,0)+F113*Rates!$F$32+E113*(Rates!$F$33+Rates!$F$34)</f>
        <v>260.13471074</v>
      </c>
      <c r="Q113" s="26" t="n">
        <f aca="false">IF(L113&gt;0,Rates!$F$36,0)+L113*(Rates!$F$37+Rates!$F$38+Rates!$F$39)</f>
        <v>36.3340439</v>
      </c>
    </row>
    <row r="114" customFormat="false" ht="15" hidden="false" customHeight="false" outlineLevel="0" collapsed="false">
      <c r="A114" s="11" t="s">
        <v>163</v>
      </c>
      <c r="B114" s="11" t="s">
        <v>139</v>
      </c>
      <c r="C114" s="11" t="n">
        <v>2</v>
      </c>
      <c r="D114" s="11" t="n">
        <f aca="false">IF(AND(C114&gt;=6,C114&lt;=9),1,0)</f>
        <v>0</v>
      </c>
      <c r="E114" s="22" t="n">
        <v>2955.212</v>
      </c>
      <c r="F114" s="22" t="n">
        <v>2478.059</v>
      </c>
      <c r="G114" s="25" t="n">
        <f aca="false">E114-F114</f>
        <v>477.153</v>
      </c>
      <c r="H114" s="22" t="n">
        <v>247.726</v>
      </c>
      <c r="I114" s="22" t="n">
        <v>781.053</v>
      </c>
      <c r="J114" s="22" t="n">
        <v>1292.145</v>
      </c>
      <c r="K114" s="22" t="n">
        <v>634.289</v>
      </c>
      <c r="L114" s="22" t="n">
        <v>25.042</v>
      </c>
      <c r="M114" s="26" t="n">
        <f aca="false">Rates!$F$5+IF(D114=1,E114*Rates!$F$6,MIN(E114,Rates!$F$11)*Rates!$F$7+MAX(E114-Rates!$F$11,0)*Rates!$F$8)+E114*(Rates!$F$9+Rates!$F$10)</f>
        <v>406.75572072</v>
      </c>
      <c r="N114" s="26" t="n">
        <f aca="false">Rates!$F$12+H114*IF(D114=1,Rates!$F$13,Rates!$F$14)+I114*Rates!$F$15+J114*IF(D114=1,Rates!$F$16,Rates!$F$18)+K114*IF(D114=1,Rates!$F$17,Rates!$F$19)+E114*(Rates!$F$20+Rates!$F$21)</f>
        <v>366.93785916</v>
      </c>
      <c r="O114" s="26" t="n">
        <f aca="false">Rates!$F$22+IF(D114=1,E114*Rates!$F$23,E114*Rates!$F$24)+E114*(Rates!$F$25+Rates!$F$26)</f>
        <v>231.65044416</v>
      </c>
      <c r="P114" s="26" t="n">
        <f aca="false">Rates!$F$27+IF(D114=1,G114*Rates!$F$28,MIN(G114,Rates!$F$35)*Rates!$F$29+MAX(G114-Rates!$F$35,0)*Rates!$F$30)+IF(F114&gt;0,Rates!$F$31,0)+F114*Rates!$F$32+E114*(Rates!$F$33+Rates!$F$34)</f>
        <v>228.66548958</v>
      </c>
      <c r="Q114" s="26" t="n">
        <f aca="false">IF(L114&gt;0,Rates!$F$36,0)+L114*(Rates!$F$37+Rates!$F$38+Rates!$F$39)</f>
        <v>32.92203302</v>
      </c>
    </row>
    <row r="115" customFormat="false" ht="15" hidden="false" customHeight="false" outlineLevel="0" collapsed="false">
      <c r="A115" s="11" t="s">
        <v>163</v>
      </c>
      <c r="B115" s="11" t="s">
        <v>139</v>
      </c>
      <c r="C115" s="11" t="n">
        <v>3</v>
      </c>
      <c r="D115" s="11" t="n">
        <f aca="false">IF(AND(C115&gt;=6,C115&lt;=9),1,0)</f>
        <v>0</v>
      </c>
      <c r="E115" s="22" t="n">
        <v>1716.75</v>
      </c>
      <c r="F115" s="22" t="n">
        <v>1159.958</v>
      </c>
      <c r="G115" s="25" t="n">
        <f aca="false">E115-F115</f>
        <v>556.792</v>
      </c>
      <c r="H115" s="22" t="n">
        <v>138.57</v>
      </c>
      <c r="I115" s="22" t="n">
        <v>418.449</v>
      </c>
      <c r="J115" s="22" t="n">
        <v>784.036</v>
      </c>
      <c r="K115" s="22" t="n">
        <v>375.695</v>
      </c>
      <c r="L115" s="22" t="n">
        <v>25.768</v>
      </c>
      <c r="M115" s="26" t="n">
        <f aca="false">Rates!$F$5+IF(D115=1,E115*Rates!$F$6,MIN(E115,Rates!$F$11)*Rates!$F$7+MAX(E115-Rates!$F$11,0)*Rates!$F$8)+E115*(Rates!$F$9+Rates!$F$10)</f>
        <v>240.727505</v>
      </c>
      <c r="N115" s="26" t="n">
        <f aca="false">Rates!$F$12+H115*IF(D115=1,Rates!$F$13,Rates!$F$14)+I115*Rates!$F$15+J115*IF(D115=1,Rates!$F$16,Rates!$F$18)+K115*IF(D115=1,Rates!$F$17,Rates!$F$19)+E115*(Rates!$F$20+Rates!$F$21)</f>
        <v>217.429625</v>
      </c>
      <c r="O115" s="26" t="n">
        <f aca="false">Rates!$F$22+IF(D115=1,E115*Rates!$F$23,E115*Rates!$F$24)+E115*(Rates!$F$25+Rates!$F$26)</f>
        <v>137.92364</v>
      </c>
      <c r="P115" s="26" t="n">
        <f aca="false">Rates!$F$27+IF(D115=1,G115*Rates!$F$28,MIN(G115,Rates!$F$35)*Rates!$F$29+MAX(G115-Rates!$F$35,0)*Rates!$F$30)+IF(F115&gt;0,Rates!$F$31,0)+F115*Rates!$F$32+E115*(Rates!$F$33+Rates!$F$34)</f>
        <v>159.4859078</v>
      </c>
      <c r="Q115" s="26" t="n">
        <f aca="false">IF(L115&gt;0,Rates!$F$36,0)+L115*(Rates!$F$37+Rates!$F$38+Rates!$F$39)</f>
        <v>33.60106808</v>
      </c>
    </row>
    <row r="116" customFormat="false" ht="15" hidden="false" customHeight="false" outlineLevel="0" collapsed="false">
      <c r="A116" s="11" t="s">
        <v>163</v>
      </c>
      <c r="B116" s="11" t="s">
        <v>139</v>
      </c>
      <c r="C116" s="11" t="n">
        <v>4</v>
      </c>
      <c r="D116" s="11" t="n">
        <f aca="false">IF(AND(C116&gt;=6,C116&lt;=9),1,0)</f>
        <v>0</v>
      </c>
      <c r="E116" s="22" t="n">
        <v>1370.357</v>
      </c>
      <c r="F116" s="22" t="n">
        <v>858.366</v>
      </c>
      <c r="G116" s="25" t="n">
        <f aca="false">E116-F116</f>
        <v>511.991</v>
      </c>
      <c r="H116" s="22" t="n">
        <v>113.31</v>
      </c>
      <c r="I116" s="22" t="n">
        <v>340.231</v>
      </c>
      <c r="J116" s="22" t="n">
        <v>565.603</v>
      </c>
      <c r="K116" s="22" t="n">
        <v>351.214</v>
      </c>
      <c r="L116" s="22" t="n">
        <v>24.706</v>
      </c>
      <c r="M116" s="26" t="n">
        <f aca="false">Rates!$F$5+IF(D116=1,E116*Rates!$F$6,MIN(E116,Rates!$F$11)*Rates!$F$7+MAX(E116-Rates!$F$11,0)*Rates!$F$8)+E116*(Rates!$F$9+Rates!$F$10)</f>
        <v>194.29005942</v>
      </c>
      <c r="N116" s="26" t="n">
        <f aca="false">Rates!$F$12+H116*IF(D116=1,Rates!$F$13,Rates!$F$14)+I116*Rates!$F$15+J116*IF(D116=1,Rates!$F$16,Rates!$F$18)+K116*IF(D116=1,Rates!$F$17,Rates!$F$19)+E116*(Rates!$F$20+Rates!$F$21)</f>
        <v>175.11709276</v>
      </c>
      <c r="O116" s="26" t="n">
        <f aca="false">Rates!$F$22+IF(D116=1,E116*Rates!$F$23,E116*Rates!$F$24)+E116*(Rates!$F$25+Rates!$F$26)</f>
        <v>111.70861776</v>
      </c>
      <c r="P116" s="26" t="n">
        <f aca="false">Rates!$F$27+IF(D116=1,G116*Rates!$F$28,MIN(G116,Rates!$F$35)*Rates!$F$29+MAX(G116-Rates!$F$35,0)*Rates!$F$30)+IF(F116&gt;0,Rates!$F$31,0)+F116*Rates!$F$32+E116*(Rates!$F$33+Rates!$F$34)</f>
        <v>135.04560108</v>
      </c>
      <c r="Q116" s="26" t="n">
        <f aca="false">IF(L116&gt;0,Rates!$F$36,0)+L116*(Rates!$F$37+Rates!$F$38+Rates!$F$39)</f>
        <v>32.60776886</v>
      </c>
    </row>
    <row r="117" customFormat="false" ht="15" hidden="false" customHeight="false" outlineLevel="0" collapsed="false">
      <c r="A117" s="11" t="s">
        <v>163</v>
      </c>
      <c r="B117" s="11" t="s">
        <v>139</v>
      </c>
      <c r="C117" s="11" t="n">
        <v>5</v>
      </c>
      <c r="D117" s="11" t="n">
        <f aca="false">IF(AND(C117&gt;=6,C117&lt;=9),1,0)</f>
        <v>0</v>
      </c>
      <c r="E117" s="22" t="n">
        <v>803.735</v>
      </c>
      <c r="F117" s="22" t="n">
        <v>3.753</v>
      </c>
      <c r="G117" s="25" t="n">
        <f aca="false">E117-F117</f>
        <v>799.982</v>
      </c>
      <c r="H117" s="22" t="n">
        <v>100.778</v>
      </c>
      <c r="I117" s="22" t="n">
        <v>135.973</v>
      </c>
      <c r="J117" s="22" t="n">
        <v>348.181</v>
      </c>
      <c r="K117" s="22" t="n">
        <v>218.803</v>
      </c>
      <c r="L117" s="22" t="n">
        <v>23.055</v>
      </c>
      <c r="M117" s="26" t="n">
        <f aca="false">Rates!$F$5+IF(D117=1,E117*Rates!$F$6,MIN(E117,Rates!$F$11)*Rates!$F$7+MAX(E117-Rates!$F$11,0)*Rates!$F$8)+E117*(Rates!$F$9+Rates!$F$10)</f>
        <v>117.8223504</v>
      </c>
      <c r="N117" s="26" t="n">
        <f aca="false">Rates!$F$12+H117*IF(D117=1,Rates!$F$13,Rates!$F$14)+I117*Rates!$F$15+J117*IF(D117=1,Rates!$F$16,Rates!$F$18)+K117*IF(D117=1,Rates!$F$17,Rates!$F$19)+E117*(Rates!$F$20+Rates!$F$21)</f>
        <v>110.3010398</v>
      </c>
      <c r="O117" s="26" t="n">
        <f aca="false">Rates!$F$22+IF(D117=1,E117*Rates!$F$23,E117*Rates!$F$24)+E117*(Rates!$F$25+Rates!$F$26)</f>
        <v>68.8266648</v>
      </c>
      <c r="P117" s="26" t="n">
        <f aca="false">Rates!$F$27+IF(D117=1,G117*Rates!$F$28,MIN(G117,Rates!$F$35)*Rates!$F$29+MAX(G117-Rates!$F$35,0)*Rates!$F$30)+IF(F117&gt;0,Rates!$F$31,0)+F117*Rates!$F$32+E117*(Rates!$F$33+Rates!$F$34)</f>
        <v>122.4874977</v>
      </c>
      <c r="Q117" s="26" t="n">
        <f aca="false">IF(L117&gt;0,Rates!$F$36,0)+L117*(Rates!$F$37+Rates!$F$38+Rates!$F$39)</f>
        <v>31.06357205</v>
      </c>
    </row>
    <row r="118" customFormat="false" ht="15" hidden="false" customHeight="false" outlineLevel="0" collapsed="false">
      <c r="A118" s="11" t="s">
        <v>163</v>
      </c>
      <c r="B118" s="11" t="s">
        <v>139</v>
      </c>
      <c r="C118" s="11" t="n">
        <v>6</v>
      </c>
      <c r="D118" s="11" t="n">
        <f aca="false">IF(AND(C118&gt;=6,C118&lt;=9),1,0)</f>
        <v>1</v>
      </c>
      <c r="E118" s="22" t="n">
        <v>974.763</v>
      </c>
      <c r="F118" s="22" t="n">
        <v>0</v>
      </c>
      <c r="G118" s="25" t="n">
        <f aca="false">E118-F118</f>
        <v>974.763</v>
      </c>
      <c r="H118" s="22" t="n">
        <v>117.742</v>
      </c>
      <c r="I118" s="22" t="n">
        <v>179.858</v>
      </c>
      <c r="J118" s="22" t="n">
        <v>416.326</v>
      </c>
      <c r="K118" s="22" t="n">
        <v>260.837</v>
      </c>
      <c r="L118" s="22" t="n">
        <v>20.879</v>
      </c>
      <c r="M118" s="26" t="n">
        <f aca="false">Rates!$F$5+IF(D118=1,E118*Rates!$F$6,MIN(E118,Rates!$F$11)*Rates!$F$7+MAX(E118-Rates!$F$11,0)*Rates!$F$8)+E118*(Rates!$F$9+Rates!$F$10)</f>
        <v>156.38817149</v>
      </c>
      <c r="N118" s="26" t="n">
        <f aca="false">Rates!$F$12+H118*IF(D118=1,Rates!$F$13,Rates!$F$14)+I118*Rates!$F$15+J118*IF(D118=1,Rates!$F$16,Rates!$F$18)+K118*IF(D118=1,Rates!$F$17,Rates!$F$19)+E118*(Rates!$F$20+Rates!$F$21)</f>
        <v>149.53064384</v>
      </c>
      <c r="O118" s="26" t="n">
        <f aca="false">Rates!$F$22+IF(D118=1,E118*Rates!$F$23,E118*Rates!$F$24)+E118*(Rates!$F$25+Rates!$F$26)</f>
        <v>156.38817149</v>
      </c>
      <c r="P118" s="26" t="n">
        <f aca="false">Rates!$F$27+IF(D118=1,G118*Rates!$F$28,MIN(G118,Rates!$F$35)*Rates!$F$29+MAX(G118-Rates!$F$35,0)*Rates!$F$30)+IF(F118&gt;0,Rates!$F$31,0)+F118*Rates!$F$32+E118*(Rates!$F$33+Rates!$F$34)</f>
        <v>156.38817149</v>
      </c>
      <c r="Q118" s="26" t="n">
        <f aca="false">IF(L118&gt;0,Rates!$F$36,0)+L118*(Rates!$F$37+Rates!$F$38+Rates!$F$39)</f>
        <v>29.02833749</v>
      </c>
    </row>
    <row r="119" customFormat="false" ht="15" hidden="false" customHeight="false" outlineLevel="0" collapsed="false">
      <c r="A119" s="11" t="s">
        <v>163</v>
      </c>
      <c r="B119" s="11" t="s">
        <v>139</v>
      </c>
      <c r="C119" s="11" t="n">
        <v>7</v>
      </c>
      <c r="D119" s="11" t="n">
        <f aca="false">IF(AND(C119&gt;=6,C119&lt;=9),1,0)</f>
        <v>1</v>
      </c>
      <c r="E119" s="22" t="n">
        <v>1115.039</v>
      </c>
      <c r="F119" s="22" t="n">
        <v>0</v>
      </c>
      <c r="G119" s="25" t="n">
        <f aca="false">E119-F119</f>
        <v>1115.039</v>
      </c>
      <c r="H119" s="22" t="n">
        <v>134.86</v>
      </c>
      <c r="I119" s="22" t="n">
        <v>207.739</v>
      </c>
      <c r="J119" s="22" t="n">
        <v>455.854</v>
      </c>
      <c r="K119" s="22" t="n">
        <v>316.586</v>
      </c>
      <c r="L119" s="22" t="n">
        <v>20.436</v>
      </c>
      <c r="M119" s="26" t="n">
        <f aca="false">Rates!$F$5+IF(D119=1,E119*Rates!$F$6,MIN(E119,Rates!$F$11)*Rates!$F$7+MAX(E119-Rates!$F$11,0)*Rates!$F$8)+E119*(Rates!$F$9+Rates!$F$10)</f>
        <v>177.74238697</v>
      </c>
      <c r="N119" s="26" t="n">
        <f aca="false">Rates!$F$12+H119*IF(D119=1,Rates!$F$13,Rates!$F$14)+I119*Rates!$F$15+J119*IF(D119=1,Rates!$F$16,Rates!$F$18)+K119*IF(D119=1,Rates!$F$17,Rates!$F$19)+E119*(Rates!$F$20+Rates!$F$21)</f>
        <v>169.80203652</v>
      </c>
      <c r="O119" s="26" t="n">
        <f aca="false">Rates!$F$22+IF(D119=1,E119*Rates!$F$23,E119*Rates!$F$24)+E119*(Rates!$F$25+Rates!$F$26)</f>
        <v>177.74238697</v>
      </c>
      <c r="P119" s="26" t="n">
        <f aca="false">Rates!$F$27+IF(D119=1,G119*Rates!$F$28,MIN(G119,Rates!$F$35)*Rates!$F$29+MAX(G119-Rates!$F$35,0)*Rates!$F$30)+IF(F119&gt;0,Rates!$F$31,0)+F119*Rates!$F$32+E119*(Rates!$F$33+Rates!$F$34)</f>
        <v>177.74238697</v>
      </c>
      <c r="Q119" s="26" t="n">
        <f aca="false">IF(L119&gt;0,Rates!$F$36,0)+L119*(Rates!$F$37+Rates!$F$38+Rates!$F$39)</f>
        <v>28.61399516</v>
      </c>
    </row>
    <row r="120" customFormat="false" ht="15" hidden="false" customHeight="false" outlineLevel="0" collapsed="false">
      <c r="A120" s="11" t="s">
        <v>163</v>
      </c>
      <c r="B120" s="11" t="s">
        <v>139</v>
      </c>
      <c r="C120" s="11" t="n">
        <v>8</v>
      </c>
      <c r="D120" s="11" t="n">
        <f aca="false">IF(AND(C120&gt;=6,C120&lt;=9),1,0)</f>
        <v>1</v>
      </c>
      <c r="E120" s="22" t="n">
        <v>1061.61</v>
      </c>
      <c r="F120" s="22" t="n">
        <v>0</v>
      </c>
      <c r="G120" s="25" t="n">
        <f aca="false">E120-F120</f>
        <v>1061.61</v>
      </c>
      <c r="H120" s="22" t="n">
        <v>135.998</v>
      </c>
      <c r="I120" s="22" t="n">
        <v>197.001</v>
      </c>
      <c r="J120" s="22" t="n">
        <v>486.808</v>
      </c>
      <c r="K120" s="22" t="n">
        <v>241.803</v>
      </c>
      <c r="L120" s="22" t="n">
        <v>20.097</v>
      </c>
      <c r="M120" s="26" t="n">
        <f aca="false">Rates!$F$5+IF(D120=1,E120*Rates!$F$6,MIN(E120,Rates!$F$11)*Rates!$F$7+MAX(E120-Rates!$F$11,0)*Rates!$F$8)+E120*(Rates!$F$9+Rates!$F$10)</f>
        <v>169.6088903</v>
      </c>
      <c r="N120" s="26" t="n">
        <f aca="false">Rates!$F$12+H120*IF(D120=1,Rates!$F$13,Rates!$F$14)+I120*Rates!$F$15+J120*IF(D120=1,Rates!$F$16,Rates!$F$18)+K120*IF(D120=1,Rates!$F$17,Rates!$F$19)+E120*(Rates!$F$20+Rates!$F$21)</f>
        <v>162.7001298</v>
      </c>
      <c r="O120" s="26" t="n">
        <f aca="false">Rates!$F$22+IF(D120=1,E120*Rates!$F$23,E120*Rates!$F$24)+E120*(Rates!$F$25+Rates!$F$26)</f>
        <v>169.6088903</v>
      </c>
      <c r="P120" s="26" t="n">
        <f aca="false">Rates!$F$27+IF(D120=1,G120*Rates!$F$28,MIN(G120,Rates!$F$35)*Rates!$F$29+MAX(G120-Rates!$F$35,0)*Rates!$F$30)+IF(F120&gt;0,Rates!$F$31,0)+F120*Rates!$F$32+E120*(Rates!$F$33+Rates!$F$34)</f>
        <v>169.6088903</v>
      </c>
      <c r="Q120" s="26" t="n">
        <f aca="false">IF(L120&gt;0,Rates!$F$36,0)+L120*(Rates!$F$37+Rates!$F$38+Rates!$F$39)</f>
        <v>28.29692507</v>
      </c>
    </row>
    <row r="121" customFormat="false" ht="15" hidden="false" customHeight="false" outlineLevel="0" collapsed="false">
      <c r="A121" s="11" t="s">
        <v>163</v>
      </c>
      <c r="B121" s="11" t="s">
        <v>139</v>
      </c>
      <c r="C121" s="11" t="n">
        <v>9</v>
      </c>
      <c r="D121" s="11" t="n">
        <f aca="false">IF(AND(C121&gt;=6,C121&lt;=9),1,0)</f>
        <v>1</v>
      </c>
      <c r="E121" s="22" t="n">
        <v>825.571</v>
      </c>
      <c r="F121" s="22" t="n">
        <v>9.561</v>
      </c>
      <c r="G121" s="25" t="n">
        <f aca="false">E121-F121</f>
        <v>816.01</v>
      </c>
      <c r="H121" s="22" t="n">
        <v>81.913</v>
      </c>
      <c r="I121" s="22" t="n">
        <v>146.022</v>
      </c>
      <c r="J121" s="22" t="n">
        <v>298.709</v>
      </c>
      <c r="K121" s="22" t="n">
        <v>298.927</v>
      </c>
      <c r="L121" s="22" t="n">
        <v>19.722</v>
      </c>
      <c r="M121" s="26" t="n">
        <f aca="false">Rates!$F$5+IF(D121=1,E121*Rates!$F$6,MIN(E121,Rates!$F$11)*Rates!$F$7+MAX(E121-Rates!$F$11,0)*Rates!$F$8)+E121*(Rates!$F$9+Rates!$F$10)</f>
        <v>133.67667333</v>
      </c>
      <c r="N121" s="26" t="n">
        <f aca="false">Rates!$F$12+H121*IF(D121=1,Rates!$F$13,Rates!$F$14)+I121*Rates!$F$15+J121*IF(D121=1,Rates!$F$16,Rates!$F$18)+K121*IF(D121=1,Rates!$F$17,Rates!$F$19)+E121*(Rates!$F$20+Rates!$F$21)</f>
        <v>126.79101328</v>
      </c>
      <c r="O121" s="26" t="n">
        <f aca="false">Rates!$F$22+IF(D121=1,E121*Rates!$F$23,E121*Rates!$F$24)+E121*(Rates!$F$25+Rates!$F$26)</f>
        <v>133.67667333</v>
      </c>
      <c r="P121" s="26" t="n">
        <f aca="false">Rates!$F$27+IF(D121=1,G121*Rates!$F$28,MIN(G121,Rates!$F$35)*Rates!$F$29+MAX(G121-Rates!$F$35,0)*Rates!$F$30)+IF(F121&gt;0,Rates!$F$31,0)+F121*Rates!$F$32+E121*(Rates!$F$33+Rates!$F$34)</f>
        <v>137.75193744</v>
      </c>
      <c r="Q121" s="26" t="n">
        <f aca="false">IF(L121&gt;0,Rates!$F$36,0)+L121*(Rates!$F$37+Rates!$F$38+Rates!$F$39)</f>
        <v>27.94618382</v>
      </c>
    </row>
    <row r="122" customFormat="false" ht="15" hidden="false" customHeight="false" outlineLevel="0" collapsed="false">
      <c r="A122" s="11" t="s">
        <v>163</v>
      </c>
      <c r="B122" s="11" t="s">
        <v>139</v>
      </c>
      <c r="C122" s="11" t="n">
        <v>10</v>
      </c>
      <c r="D122" s="11" t="n">
        <f aca="false">IF(AND(C122&gt;=6,C122&lt;=9),1,0)</f>
        <v>0</v>
      </c>
      <c r="E122" s="22" t="n">
        <v>864.83</v>
      </c>
      <c r="F122" s="22" t="n">
        <v>352.881</v>
      </c>
      <c r="G122" s="25" t="n">
        <f aca="false">E122-F122</f>
        <v>511.949</v>
      </c>
      <c r="H122" s="22" t="n">
        <v>78.462</v>
      </c>
      <c r="I122" s="22" t="n">
        <v>192.132</v>
      </c>
      <c r="J122" s="22" t="n">
        <v>394.488</v>
      </c>
      <c r="K122" s="22" t="n">
        <v>199.747</v>
      </c>
      <c r="L122" s="22" t="n">
        <v>22.245</v>
      </c>
      <c r="M122" s="26" t="n">
        <f aca="false">Rates!$F$5+IF(D122=1,E122*Rates!$F$6,MIN(E122,Rates!$F$11)*Rates!$F$7+MAX(E122-Rates!$F$11,0)*Rates!$F$8)+E122*(Rates!$F$9+Rates!$F$10)</f>
        <v>126.1703712</v>
      </c>
      <c r="N122" s="26" t="n">
        <f aca="false">Rates!$F$12+H122*IF(D122=1,Rates!$F$13,Rates!$F$14)+I122*Rates!$F$15+J122*IF(D122=1,Rates!$F$16,Rates!$F$18)+K122*IF(D122=1,Rates!$F$17,Rates!$F$19)+E122*(Rates!$F$20+Rates!$F$21)</f>
        <v>114.6748244</v>
      </c>
      <c r="O122" s="26" t="n">
        <f aca="false">Rates!$F$22+IF(D122=1,E122*Rates!$F$23,E122*Rates!$F$24)+E122*(Rates!$F$25+Rates!$F$26)</f>
        <v>73.4503344</v>
      </c>
      <c r="P122" s="26" t="n">
        <f aca="false">Rates!$F$27+IF(D122=1,G122*Rates!$F$28,MIN(G122,Rates!$F$35)*Rates!$F$29+MAX(G122-Rates!$F$35,0)*Rates!$F$30)+IF(F122&gt;0,Rates!$F$31,0)+F122*Rates!$F$32+E122*(Rates!$F$33+Rates!$F$34)</f>
        <v>104.3367033</v>
      </c>
      <c r="Q122" s="26" t="n">
        <f aca="false">IF(L122&gt;0,Rates!$F$36,0)+L122*(Rates!$F$37+Rates!$F$38+Rates!$F$39)</f>
        <v>30.30597095</v>
      </c>
    </row>
    <row r="123" customFormat="false" ht="15" hidden="false" customHeight="false" outlineLevel="0" collapsed="false">
      <c r="A123" s="11" t="s">
        <v>163</v>
      </c>
      <c r="B123" s="11" t="s">
        <v>139</v>
      </c>
      <c r="C123" s="11" t="n">
        <v>11</v>
      </c>
      <c r="D123" s="11" t="n">
        <f aca="false">IF(AND(C123&gt;=6,C123&lt;=9),1,0)</f>
        <v>0</v>
      </c>
      <c r="E123" s="22" t="n">
        <v>1941.976</v>
      </c>
      <c r="F123" s="22" t="n">
        <v>1441.316</v>
      </c>
      <c r="G123" s="25" t="n">
        <f aca="false">E123-F123</f>
        <v>500.66</v>
      </c>
      <c r="H123" s="22" t="n">
        <v>176.96</v>
      </c>
      <c r="I123" s="22" t="n">
        <v>480.523</v>
      </c>
      <c r="J123" s="22" t="n">
        <v>840.173</v>
      </c>
      <c r="K123" s="22" t="n">
        <v>444.321</v>
      </c>
      <c r="L123" s="22" t="n">
        <v>23.202</v>
      </c>
      <c r="M123" s="26" t="n">
        <f aca="false">Rates!$F$5+IF(D123=1,E123*Rates!$F$6,MIN(E123,Rates!$F$11)*Rates!$F$7+MAX(E123-Rates!$F$11,0)*Rates!$F$8)+E123*(Rates!$F$9+Rates!$F$10)</f>
        <v>270.92130256</v>
      </c>
      <c r="N123" s="26" t="n">
        <f aca="false">Rates!$F$12+H123*IF(D123=1,Rates!$F$13,Rates!$F$14)+I123*Rates!$F$15+J123*IF(D123=1,Rates!$F$16,Rates!$F$18)+K123*IF(D123=1,Rates!$F$17,Rates!$F$19)+E123*(Rates!$F$20+Rates!$F$21)</f>
        <v>245.86694868</v>
      </c>
      <c r="O123" s="26" t="n">
        <f aca="false">Rates!$F$22+IF(D123=1,E123*Rates!$F$23,E123*Rates!$F$24)+E123*(Rates!$F$25+Rates!$F$26)</f>
        <v>154.96874368</v>
      </c>
      <c r="P123" s="26" t="n">
        <f aca="false">Rates!$F$27+IF(D123=1,G123*Rates!$F$28,MIN(G123,Rates!$F$35)*Rates!$F$29+MAX(G123-Rates!$F$35,0)*Rates!$F$30)+IF(F123&gt;0,Rates!$F$31,0)+F123*Rates!$F$32+E123*(Rates!$F$33+Rates!$F$34)</f>
        <v>168.90571624</v>
      </c>
      <c r="Q123" s="26" t="n">
        <f aca="false">IF(L123&gt;0,Rates!$F$36,0)+L123*(Rates!$F$37+Rates!$F$38+Rates!$F$39)</f>
        <v>31.20106262</v>
      </c>
    </row>
    <row r="124" customFormat="false" ht="15" hidden="false" customHeight="false" outlineLevel="0" collapsed="false">
      <c r="A124" s="11" t="s">
        <v>163</v>
      </c>
      <c r="B124" s="11" t="s">
        <v>139</v>
      </c>
      <c r="C124" s="11" t="n">
        <v>12</v>
      </c>
      <c r="D124" s="11" t="n">
        <f aca="false">IF(AND(C124&gt;=6,C124&lt;=9),1,0)</f>
        <v>0</v>
      </c>
      <c r="E124" s="22" t="n">
        <v>2337.142</v>
      </c>
      <c r="F124" s="22" t="n">
        <v>1777.514</v>
      </c>
      <c r="G124" s="25" t="n">
        <f aca="false">E124-F124</f>
        <v>559.628</v>
      </c>
      <c r="H124" s="22" t="n">
        <v>199.59</v>
      </c>
      <c r="I124" s="22" t="n">
        <v>567.943</v>
      </c>
      <c r="J124" s="22" t="n">
        <v>915.32</v>
      </c>
      <c r="K124" s="22" t="n">
        <v>654.289</v>
      </c>
      <c r="L124" s="22" t="n">
        <v>25.883</v>
      </c>
      <c r="M124" s="26" t="n">
        <f aca="false">Rates!$F$5+IF(D124=1,E124*Rates!$F$6,MIN(E124,Rates!$F$11)*Rates!$F$7+MAX(E124-Rates!$F$11,0)*Rates!$F$8)+E124*(Rates!$F$9+Rates!$F$10)</f>
        <v>323.89725652</v>
      </c>
      <c r="N124" s="26" t="n">
        <f aca="false">Rates!$F$12+H124*IF(D124=1,Rates!$F$13,Rates!$F$14)+I124*Rates!$F$15+J124*IF(D124=1,Rates!$F$16,Rates!$F$18)+K124*IF(D124=1,Rates!$F$17,Rates!$F$19)+E124*(Rates!$F$20+Rates!$F$21)</f>
        <v>293.82940156</v>
      </c>
      <c r="O124" s="26" t="n">
        <f aca="false">Rates!$F$22+IF(D124=1,E124*Rates!$F$23,E124*Rates!$F$24)+E124*(Rates!$F$25+Rates!$F$26)</f>
        <v>184.87490656</v>
      </c>
      <c r="P124" s="26" t="n">
        <f aca="false">Rates!$F$27+IF(D124=1,G124*Rates!$F$28,MIN(G124,Rates!$F$35)*Rates!$F$29+MAX(G124-Rates!$F$35,0)*Rates!$F$30)+IF(F124&gt;0,Rates!$F$31,0)+F124*Rates!$F$32+E124*(Rates!$F$33+Rates!$F$34)</f>
        <v>197.38377028</v>
      </c>
      <c r="Q124" s="26" t="n">
        <f aca="false">IF(L124&gt;0,Rates!$F$36,0)+L124*(Rates!$F$37+Rates!$F$38+Rates!$F$39)</f>
        <v>33.70862873</v>
      </c>
    </row>
    <row r="125" customFormat="false" ht="15" hidden="false" customHeight="false" outlineLevel="0" collapsed="false">
      <c r="A125" s="11" t="s">
        <v>163</v>
      </c>
      <c r="B125" s="11" t="s">
        <v>140</v>
      </c>
      <c r="C125" s="11" t="n">
        <v>1</v>
      </c>
      <c r="D125" s="11" t="n">
        <f aca="false">IF(AND(C125&gt;=6,C125&lt;=9),1,0)</f>
        <v>0</v>
      </c>
      <c r="E125" s="22" t="n">
        <v>839.068</v>
      </c>
      <c r="F125" s="22" t="n">
        <v>287.616</v>
      </c>
      <c r="G125" s="25" t="n">
        <f aca="false">E125-F125</f>
        <v>551.452</v>
      </c>
      <c r="H125" s="22" t="n">
        <v>106.523</v>
      </c>
      <c r="I125" s="22" t="n">
        <v>139.603</v>
      </c>
      <c r="J125" s="22" t="n">
        <v>367.809</v>
      </c>
      <c r="K125" s="22" t="n">
        <v>225.134</v>
      </c>
      <c r="L125" s="22" t="n">
        <v>235.462</v>
      </c>
      <c r="M125" s="26" t="n">
        <f aca="false">Rates!$F$5+IF(D125=1,E125*Rates!$F$6,MIN(E125,Rates!$F$11)*Rates!$F$7+MAX(E125-Rates!$F$11,0)*Rates!$F$8)+E125*(Rates!$F$9+Rates!$F$10)</f>
        <v>122.65025152</v>
      </c>
      <c r="N125" s="26" t="n">
        <f aca="false">Rates!$F$12+H125*IF(D125=1,Rates!$F$13,Rates!$F$14)+I125*Rates!$F$15+J125*IF(D125=1,Rates!$F$16,Rates!$F$18)+K125*IF(D125=1,Rates!$F$17,Rates!$F$19)+E125*(Rates!$F$20+Rates!$F$21)</f>
        <v>114.95945124</v>
      </c>
      <c r="O125" s="26" t="n">
        <f aca="false">Rates!$F$22+IF(D125=1,E125*Rates!$F$23,E125*Rates!$F$24)+E125*(Rates!$F$25+Rates!$F$26)</f>
        <v>71.50066624</v>
      </c>
      <c r="P125" s="26" t="n">
        <f aca="false">Rates!$F$27+IF(D125=1,G125*Rates!$F$28,MIN(G125,Rates!$F$35)*Rates!$F$29+MAX(G125-Rates!$F$35,0)*Rates!$F$30)+IF(F125&gt;0,Rates!$F$31,0)+F125*Rates!$F$32+E125*(Rates!$F$33+Rates!$F$34)</f>
        <v>105.77019712</v>
      </c>
      <c r="Q125" s="26" t="n">
        <f aca="false">IF(L125&gt;0,Rates!$F$36,0)+L125*(Rates!$F$37+Rates!$F$38+Rates!$F$39)</f>
        <v>229.72996322</v>
      </c>
    </row>
    <row r="126" customFormat="false" ht="15" hidden="false" customHeight="false" outlineLevel="0" collapsed="false">
      <c r="A126" s="11" t="s">
        <v>163</v>
      </c>
      <c r="B126" s="11" t="s">
        <v>140</v>
      </c>
      <c r="C126" s="11" t="n">
        <v>2</v>
      </c>
      <c r="D126" s="11" t="n">
        <f aca="false">IF(AND(C126&gt;=6,C126&lt;=9),1,0)</f>
        <v>0</v>
      </c>
      <c r="E126" s="22" t="n">
        <v>668.204</v>
      </c>
      <c r="F126" s="22" t="n">
        <v>191.042</v>
      </c>
      <c r="G126" s="25" t="n">
        <f aca="false">E126-F126</f>
        <v>477.162</v>
      </c>
      <c r="H126" s="22" t="n">
        <v>88.081</v>
      </c>
      <c r="I126" s="22" t="n">
        <v>111.286</v>
      </c>
      <c r="J126" s="22" t="n">
        <v>293.511</v>
      </c>
      <c r="K126" s="22" t="n">
        <v>175.325</v>
      </c>
      <c r="L126" s="22" t="n">
        <v>215.852</v>
      </c>
      <c r="M126" s="26" t="n">
        <f aca="false">Rates!$F$5+IF(D126=1,E126*Rates!$F$6,MIN(E126,Rates!$F$11)*Rates!$F$7+MAX(E126-Rates!$F$11,0)*Rates!$F$8)+E126*(Rates!$F$9+Rates!$F$10)</f>
        <v>99.30339456</v>
      </c>
      <c r="N126" s="26" t="n">
        <f aca="false">Rates!$F$12+H126*IF(D126=1,Rates!$F$13,Rates!$F$14)+I126*Rates!$F$15+J126*IF(D126=1,Rates!$F$16,Rates!$F$18)+K126*IF(D126=1,Rates!$F$17,Rates!$F$19)+E126*(Rates!$F$20+Rates!$F$21)</f>
        <v>93.36961872</v>
      </c>
      <c r="O126" s="26" t="n">
        <f aca="false">Rates!$F$22+IF(D126=1,E126*Rates!$F$23,E126*Rates!$F$24)+E126*(Rates!$F$25+Rates!$F$26)</f>
        <v>58.56967872</v>
      </c>
      <c r="P126" s="26" t="n">
        <f aca="false">Rates!$F$27+IF(D126=1,G126*Rates!$F$28,MIN(G126,Rates!$F$35)*Rates!$F$29+MAX(G126-Rates!$F$35,0)*Rates!$F$30)+IF(F126&gt;0,Rates!$F$31,0)+F126*Rates!$F$32+E126*(Rates!$F$33+Rates!$F$34)</f>
        <v>89.75330676</v>
      </c>
      <c r="Q126" s="26" t="n">
        <f aca="false">IF(L126&gt;0,Rates!$F$36,0)+L126*(Rates!$F$37+Rates!$F$38+Rates!$F$39)</f>
        <v>211.38853412</v>
      </c>
    </row>
    <row r="127" customFormat="false" ht="15" hidden="false" customHeight="false" outlineLevel="0" collapsed="false">
      <c r="A127" s="11" t="s">
        <v>163</v>
      </c>
      <c r="B127" s="11" t="s">
        <v>140</v>
      </c>
      <c r="C127" s="11" t="n">
        <v>3</v>
      </c>
      <c r="D127" s="11" t="n">
        <f aca="false">IF(AND(C127&gt;=6,C127&lt;=9),1,0)</f>
        <v>0</v>
      </c>
      <c r="E127" s="22" t="n">
        <v>942.725</v>
      </c>
      <c r="F127" s="22" t="n">
        <v>385.933</v>
      </c>
      <c r="G127" s="25" t="n">
        <f aca="false">E127-F127</f>
        <v>556.792</v>
      </c>
      <c r="H127" s="22" t="n">
        <v>102.356</v>
      </c>
      <c r="I127" s="22" t="n">
        <v>165.431</v>
      </c>
      <c r="J127" s="22" t="n">
        <v>418.964</v>
      </c>
      <c r="K127" s="22" t="n">
        <v>255.975</v>
      </c>
      <c r="L127" s="22" t="n">
        <v>107.653</v>
      </c>
      <c r="M127" s="26" t="n">
        <f aca="false">Rates!$F$5+IF(D127=1,E127*Rates!$F$6,MIN(E127,Rates!$F$11)*Rates!$F$7+MAX(E127-Rates!$F$11,0)*Rates!$F$8)+E127*(Rates!$F$9+Rates!$F$10)</f>
        <v>136.813944</v>
      </c>
      <c r="N127" s="26" t="n">
        <f aca="false">Rates!$F$12+H127*IF(D127=1,Rates!$F$13,Rates!$F$14)+I127*Rates!$F$15+J127*IF(D127=1,Rates!$F$16,Rates!$F$18)+K127*IF(D127=1,Rates!$F$17,Rates!$F$19)+E127*(Rates!$F$20+Rates!$F$21)</f>
        <v>126.833063</v>
      </c>
      <c r="O127" s="26" t="n">
        <f aca="false">Rates!$F$22+IF(D127=1,E127*Rates!$F$23,E127*Rates!$F$24)+E127*(Rates!$F$25+Rates!$F$26)</f>
        <v>79.345428</v>
      </c>
      <c r="P127" s="26" t="n">
        <f aca="false">Rates!$F$27+IF(D127=1,G127*Rates!$F$28,MIN(G127,Rates!$F$35)*Rates!$F$29+MAX(G127-Rates!$F$35,0)*Rates!$F$30)+IF(F127&gt;0,Rates!$F$31,0)+F127*Rates!$F$32+E127*(Rates!$F$33+Rates!$F$34)</f>
        <v>112.4716293</v>
      </c>
      <c r="Q127" s="26" t="n">
        <f aca="false">IF(L127&gt;0,Rates!$F$36,0)+L127*(Rates!$F$37+Rates!$F$38+Rates!$F$39)</f>
        <v>110.18892743</v>
      </c>
    </row>
    <row r="128" customFormat="false" ht="15" hidden="false" customHeight="false" outlineLevel="0" collapsed="false">
      <c r="A128" s="11" t="s">
        <v>163</v>
      </c>
      <c r="B128" s="11" t="s">
        <v>140</v>
      </c>
      <c r="C128" s="11" t="n">
        <v>4</v>
      </c>
      <c r="D128" s="11" t="n">
        <f aca="false">IF(AND(C128&gt;=6,C128&lt;=9),1,0)</f>
        <v>0</v>
      </c>
      <c r="E128" s="22" t="n">
        <v>731.59</v>
      </c>
      <c r="F128" s="22" t="n">
        <v>218.538</v>
      </c>
      <c r="G128" s="25" t="n">
        <f aca="false">E128-F128</f>
        <v>513.052</v>
      </c>
      <c r="H128" s="22" t="n">
        <v>91.836</v>
      </c>
      <c r="I128" s="22" t="n">
        <v>136.571</v>
      </c>
      <c r="J128" s="22" t="n">
        <v>329.317</v>
      </c>
      <c r="K128" s="22" t="n">
        <v>173.865</v>
      </c>
      <c r="L128" s="22" t="n">
        <v>88.874</v>
      </c>
      <c r="M128" s="26" t="n">
        <f aca="false">Rates!$F$5+IF(D128=1,E128*Rates!$F$6,MIN(E128,Rates!$F$11)*Rates!$F$7+MAX(E128-Rates!$F$11,0)*Rates!$F$8)+E128*(Rates!$F$9+Rates!$F$10)</f>
        <v>107.9644576</v>
      </c>
      <c r="N128" s="26" t="n">
        <f aca="false">Rates!$F$12+H128*IF(D128=1,Rates!$F$13,Rates!$F$14)+I128*Rates!$F$15+J128*IF(D128=1,Rates!$F$16,Rates!$F$18)+K128*IF(D128=1,Rates!$F$17,Rates!$F$19)+E128*(Rates!$F$20+Rates!$F$21)</f>
        <v>100.6762962</v>
      </c>
      <c r="O128" s="26" t="n">
        <f aca="false">Rates!$F$22+IF(D128=1,E128*Rates!$F$23,E128*Rates!$F$24)+E128*(Rates!$F$25+Rates!$F$26)</f>
        <v>63.3667312</v>
      </c>
      <c r="P128" s="26" t="n">
        <f aca="false">Rates!$F$27+IF(D128=1,G128*Rates!$F$28,MIN(G128,Rates!$F$35)*Rates!$F$29+MAX(G128-Rates!$F$35,0)*Rates!$F$30)+IF(F128&gt;0,Rates!$F$31,0)+F128*Rates!$F$32+E128*(Rates!$F$33+Rates!$F$34)</f>
        <v>96.3274234</v>
      </c>
      <c r="Q128" s="26" t="n">
        <f aca="false">IF(L128&gt;0,Rates!$F$36,0)+L128*(Rates!$F$37+Rates!$F$38+Rates!$F$39)</f>
        <v>92.62474094</v>
      </c>
    </row>
    <row r="129" customFormat="false" ht="15" hidden="false" customHeight="false" outlineLevel="0" collapsed="false">
      <c r="A129" s="11" t="s">
        <v>163</v>
      </c>
      <c r="B129" s="11" t="s">
        <v>140</v>
      </c>
      <c r="C129" s="11" t="n">
        <v>5</v>
      </c>
      <c r="D129" s="11" t="n">
        <f aca="false">IF(AND(C129&gt;=6,C129&lt;=9),1,0)</f>
        <v>0</v>
      </c>
      <c r="E129" s="22" t="n">
        <v>866.588</v>
      </c>
      <c r="F129" s="22" t="n">
        <v>3.744</v>
      </c>
      <c r="G129" s="25" t="n">
        <f aca="false">E129-F129</f>
        <v>862.844</v>
      </c>
      <c r="H129" s="22" t="n">
        <v>110.247</v>
      </c>
      <c r="I129" s="22" t="n">
        <v>149.914</v>
      </c>
      <c r="J129" s="22" t="n">
        <v>375.094</v>
      </c>
      <c r="K129" s="22" t="n">
        <v>231.332</v>
      </c>
      <c r="L129" s="22" t="n">
        <v>23.058</v>
      </c>
      <c r="M129" s="26" t="n">
        <f aca="false">Rates!$F$5+IF(D129=1,E129*Rates!$F$6,MIN(E129,Rates!$F$11)*Rates!$F$7+MAX(E129-Rates!$F$11,0)*Rates!$F$8)+E129*(Rates!$F$9+Rates!$F$10)</f>
        <v>126.41058432</v>
      </c>
      <c r="N129" s="26" t="n">
        <f aca="false">Rates!$F$12+H129*IF(D129=1,Rates!$F$13,Rates!$F$14)+I129*Rates!$F$15+J129*IF(D129=1,Rates!$F$16,Rates!$F$18)+K129*IF(D129=1,Rates!$F$17,Rates!$F$19)+E129*(Rates!$F$20+Rates!$F$21)</f>
        <v>118.28049984</v>
      </c>
      <c r="O129" s="26" t="n">
        <f aca="false">Rates!$F$22+IF(D129=1,E129*Rates!$F$23,E129*Rates!$F$24)+E129*(Rates!$F$25+Rates!$F$26)</f>
        <v>73.58337984</v>
      </c>
      <c r="P129" s="26" t="n">
        <f aca="false">Rates!$F$27+IF(D129=1,G129*Rates!$F$28,MIN(G129,Rates!$F$35)*Rates!$F$29+MAX(G129-Rates!$F$35,0)*Rates!$F$30)+IF(F129&gt;0,Rates!$F$31,0)+F129*Rates!$F$32+E129*(Rates!$F$33+Rates!$F$34)</f>
        <v>131.07641472</v>
      </c>
      <c r="Q129" s="26" t="n">
        <f aca="false">IF(L129&gt;0,Rates!$F$36,0)+L129*(Rates!$F$37+Rates!$F$38+Rates!$F$39)</f>
        <v>31.06637798</v>
      </c>
    </row>
    <row r="130" customFormat="false" ht="15" hidden="false" customHeight="false" outlineLevel="0" collapsed="false">
      <c r="A130" s="11" t="s">
        <v>163</v>
      </c>
      <c r="B130" s="11" t="s">
        <v>140</v>
      </c>
      <c r="C130" s="11" t="n">
        <v>6</v>
      </c>
      <c r="D130" s="11" t="n">
        <f aca="false">IF(AND(C130&gt;=6,C130&lt;=9),1,0)</f>
        <v>1</v>
      </c>
      <c r="E130" s="22" t="n">
        <v>1074.305</v>
      </c>
      <c r="F130" s="22" t="n">
        <v>0</v>
      </c>
      <c r="G130" s="25" t="n">
        <f aca="false">E130-F130</f>
        <v>1074.305</v>
      </c>
      <c r="H130" s="22" t="n">
        <v>126.814</v>
      </c>
      <c r="I130" s="22" t="n">
        <v>205.986</v>
      </c>
      <c r="J130" s="22" t="n">
        <v>456.048</v>
      </c>
      <c r="K130" s="22" t="n">
        <v>285.457</v>
      </c>
      <c r="L130" s="22" t="n">
        <v>20.86</v>
      </c>
      <c r="M130" s="26" t="n">
        <f aca="false">Rates!$F$5+IF(D130=1,E130*Rates!$F$6,MIN(E130,Rates!$F$11)*Rates!$F$7+MAX(E130-Rates!$F$11,0)*Rates!$F$8)+E130*(Rates!$F$9+Rates!$F$10)</f>
        <v>171.54145015</v>
      </c>
      <c r="N130" s="26" t="n">
        <f aca="false">Rates!$F$12+H130*IF(D130=1,Rates!$F$13,Rates!$F$14)+I130*Rates!$F$15+J130*IF(D130=1,Rates!$F$16,Rates!$F$18)+K130*IF(D130=1,Rates!$F$17,Rates!$F$19)+E130*(Rates!$F$20+Rates!$F$21)</f>
        <v>163.3206424</v>
      </c>
      <c r="O130" s="26" t="n">
        <f aca="false">Rates!$F$22+IF(D130=1,E130*Rates!$F$23,E130*Rates!$F$24)+E130*(Rates!$F$25+Rates!$F$26)</f>
        <v>171.54145015</v>
      </c>
      <c r="P130" s="26" t="n">
        <f aca="false">Rates!$F$27+IF(D130=1,G130*Rates!$F$28,MIN(G130,Rates!$F$35)*Rates!$F$29+MAX(G130-Rates!$F$35,0)*Rates!$F$30)+IF(F130&gt;0,Rates!$F$31,0)+F130*Rates!$F$32+E130*(Rates!$F$33+Rates!$F$34)</f>
        <v>171.54145015</v>
      </c>
      <c r="Q130" s="26" t="n">
        <f aca="false">IF(L130&gt;0,Rates!$F$36,0)+L130*(Rates!$F$37+Rates!$F$38+Rates!$F$39)</f>
        <v>29.0105666</v>
      </c>
    </row>
    <row r="131" customFormat="false" ht="15" hidden="false" customHeight="false" outlineLevel="0" collapsed="false">
      <c r="A131" s="11" t="s">
        <v>163</v>
      </c>
      <c r="B131" s="11" t="s">
        <v>140</v>
      </c>
      <c r="C131" s="11" t="n">
        <v>7</v>
      </c>
      <c r="D131" s="11" t="n">
        <f aca="false">IF(AND(C131&gt;=6,C131&lt;=9),1,0)</f>
        <v>1</v>
      </c>
      <c r="E131" s="22" t="n">
        <v>1261.095</v>
      </c>
      <c r="F131" s="22" t="n">
        <v>0</v>
      </c>
      <c r="G131" s="25" t="n">
        <f aca="false">E131-F131</f>
        <v>1261.095</v>
      </c>
      <c r="H131" s="22" t="n">
        <v>145.421</v>
      </c>
      <c r="I131" s="22" t="n">
        <v>249.535</v>
      </c>
      <c r="J131" s="22" t="n">
        <v>516.205</v>
      </c>
      <c r="K131" s="22" t="n">
        <v>349.933</v>
      </c>
      <c r="L131" s="22" t="n">
        <v>20.421</v>
      </c>
      <c r="M131" s="26" t="n">
        <f aca="false">Rates!$F$5+IF(D131=1,E131*Rates!$F$6,MIN(E131,Rates!$F$11)*Rates!$F$7+MAX(E131-Rates!$F$11,0)*Rates!$F$8)+E131*(Rates!$F$9+Rates!$F$10)</f>
        <v>199.97649185</v>
      </c>
      <c r="N131" s="26" t="n">
        <f aca="false">Rates!$F$12+H131*IF(D131=1,Rates!$F$13,Rates!$F$14)+I131*Rates!$F$15+J131*IF(D131=1,Rates!$F$16,Rates!$F$18)+K131*IF(D131=1,Rates!$F$17,Rates!$F$19)+E131*(Rates!$F$20+Rates!$F$21)</f>
        <v>189.6254446</v>
      </c>
      <c r="O131" s="26" t="n">
        <f aca="false">Rates!$F$22+IF(D131=1,E131*Rates!$F$23,E131*Rates!$F$24)+E131*(Rates!$F$25+Rates!$F$26)</f>
        <v>199.97649185</v>
      </c>
      <c r="P131" s="26" t="n">
        <f aca="false">Rates!$F$27+IF(D131=1,G131*Rates!$F$28,MIN(G131,Rates!$F$35)*Rates!$F$29+MAX(G131-Rates!$F$35,0)*Rates!$F$30)+IF(F131&gt;0,Rates!$F$31,0)+F131*Rates!$F$32+E131*(Rates!$F$33+Rates!$F$34)</f>
        <v>199.97649185</v>
      </c>
      <c r="Q131" s="26" t="n">
        <f aca="false">IF(L131&gt;0,Rates!$F$36,0)+L131*(Rates!$F$37+Rates!$F$38+Rates!$F$39)</f>
        <v>28.59996551</v>
      </c>
    </row>
    <row r="132" customFormat="false" ht="15" hidden="false" customHeight="false" outlineLevel="0" collapsed="false">
      <c r="A132" s="11" t="s">
        <v>163</v>
      </c>
      <c r="B132" s="11" t="s">
        <v>140</v>
      </c>
      <c r="C132" s="11" t="n">
        <v>8</v>
      </c>
      <c r="D132" s="11" t="n">
        <f aca="false">IF(AND(C132&gt;=6,C132&lt;=9),1,0)</f>
        <v>1</v>
      </c>
      <c r="E132" s="22" t="n">
        <v>1195.014</v>
      </c>
      <c r="F132" s="22" t="n">
        <v>0</v>
      </c>
      <c r="G132" s="25" t="n">
        <f aca="false">E132-F132</f>
        <v>1195.014</v>
      </c>
      <c r="H132" s="22" t="n">
        <v>146.443</v>
      </c>
      <c r="I132" s="22" t="n">
        <v>232.589</v>
      </c>
      <c r="J132" s="22" t="n">
        <v>547.203</v>
      </c>
      <c r="K132" s="22" t="n">
        <v>268.779</v>
      </c>
      <c r="L132" s="22" t="n">
        <v>20.095</v>
      </c>
      <c r="M132" s="26" t="n">
        <f aca="false">Rates!$F$5+IF(D132=1,E132*Rates!$F$6,MIN(E132,Rates!$F$11)*Rates!$F$7+MAX(E132-Rates!$F$11,0)*Rates!$F$8)+E132*(Rates!$F$9+Rates!$F$10)</f>
        <v>189.91698122</v>
      </c>
      <c r="N132" s="26" t="n">
        <f aca="false">Rates!$F$12+H132*IF(D132=1,Rates!$F$13,Rates!$F$14)+I132*Rates!$F$15+J132*IF(D132=1,Rates!$F$16,Rates!$F$18)+K132*IF(D132=1,Rates!$F$17,Rates!$F$19)+E132*(Rates!$F$20+Rates!$F$21)</f>
        <v>181.01268452</v>
      </c>
      <c r="O132" s="26" t="n">
        <f aca="false">Rates!$F$22+IF(D132=1,E132*Rates!$F$23,E132*Rates!$F$24)+E132*(Rates!$F$25+Rates!$F$26)</f>
        <v>189.91698122</v>
      </c>
      <c r="P132" s="26" t="n">
        <f aca="false">Rates!$F$27+IF(D132=1,G132*Rates!$F$28,MIN(G132,Rates!$F$35)*Rates!$F$29+MAX(G132-Rates!$F$35,0)*Rates!$F$30)+IF(F132&gt;0,Rates!$F$31,0)+F132*Rates!$F$32+E132*(Rates!$F$33+Rates!$F$34)</f>
        <v>189.91698122</v>
      </c>
      <c r="Q132" s="26" t="n">
        <f aca="false">IF(L132&gt;0,Rates!$F$36,0)+L132*(Rates!$F$37+Rates!$F$38+Rates!$F$39)</f>
        <v>28.29505445</v>
      </c>
    </row>
    <row r="133" customFormat="false" ht="15" hidden="false" customHeight="false" outlineLevel="0" collapsed="false">
      <c r="A133" s="11" t="s">
        <v>163</v>
      </c>
      <c r="B133" s="11" t="s">
        <v>140</v>
      </c>
      <c r="C133" s="11" t="n">
        <v>9</v>
      </c>
      <c r="D133" s="11" t="n">
        <f aca="false">IF(AND(C133&gt;=6,C133&lt;=9),1,0)</f>
        <v>1</v>
      </c>
      <c r="E133" s="22" t="n">
        <v>901.091</v>
      </c>
      <c r="F133" s="22" t="n">
        <v>9.475</v>
      </c>
      <c r="G133" s="25" t="n">
        <f aca="false">E133-F133</f>
        <v>891.616</v>
      </c>
      <c r="H133" s="22" t="n">
        <v>90.21</v>
      </c>
      <c r="I133" s="22" t="n">
        <v>165.486</v>
      </c>
      <c r="J133" s="22" t="n">
        <v>327.159</v>
      </c>
      <c r="K133" s="22" t="n">
        <v>318.236</v>
      </c>
      <c r="L133" s="22" t="n">
        <v>19.71</v>
      </c>
      <c r="M133" s="26" t="n">
        <f aca="false">Rates!$F$5+IF(D133=1,E133*Rates!$F$6,MIN(E133,Rates!$F$11)*Rates!$F$7+MAX(E133-Rates!$F$11,0)*Rates!$F$8)+E133*(Rates!$F$9+Rates!$F$10)</f>
        <v>145.17308293</v>
      </c>
      <c r="N133" s="26" t="n">
        <f aca="false">Rates!$F$12+H133*IF(D133=1,Rates!$F$13,Rates!$F$14)+I133*Rates!$F$15+J133*IF(D133=1,Rates!$F$16,Rates!$F$18)+K133*IF(D133=1,Rates!$F$17,Rates!$F$19)+E133*(Rates!$F$20+Rates!$F$21)</f>
        <v>137.38600688</v>
      </c>
      <c r="O133" s="26" t="n">
        <f aca="false">Rates!$F$22+IF(D133=1,E133*Rates!$F$23,E133*Rates!$F$24)+E133*(Rates!$F$25+Rates!$F$26)</f>
        <v>145.17308293</v>
      </c>
      <c r="P133" s="26" t="n">
        <f aca="false">Rates!$F$27+IF(D133=1,G133*Rates!$F$28,MIN(G133,Rates!$F$35)*Rates!$F$29+MAX(G133-Rates!$F$35,0)*Rates!$F$30)+IF(F133&gt;0,Rates!$F$31,0)+F133*Rates!$F$32+E133*(Rates!$F$33+Rates!$F$34)</f>
        <v>149.25621518</v>
      </c>
      <c r="Q133" s="26" t="n">
        <f aca="false">IF(L133&gt;0,Rates!$F$36,0)+L133*(Rates!$F$37+Rates!$F$38+Rates!$F$39)</f>
        <v>27.9349601</v>
      </c>
    </row>
    <row r="134" customFormat="false" ht="15" hidden="false" customHeight="false" outlineLevel="0" collapsed="false">
      <c r="A134" s="11" t="s">
        <v>163</v>
      </c>
      <c r="B134" s="11" t="s">
        <v>140</v>
      </c>
      <c r="C134" s="11" t="n">
        <v>10</v>
      </c>
      <c r="D134" s="11" t="n">
        <f aca="false">IF(AND(C134&gt;=6,C134&lt;=9),1,0)</f>
        <v>0</v>
      </c>
      <c r="E134" s="22" t="n">
        <v>794.829</v>
      </c>
      <c r="F134" s="22" t="n">
        <v>282.833</v>
      </c>
      <c r="G134" s="25" t="n">
        <f aca="false">E134-F134</f>
        <v>511.996</v>
      </c>
      <c r="H134" s="22" t="n">
        <v>76.642</v>
      </c>
      <c r="I134" s="22" t="n">
        <v>161.976</v>
      </c>
      <c r="J134" s="22" t="n">
        <v>370.312</v>
      </c>
      <c r="K134" s="22" t="n">
        <v>185.899</v>
      </c>
      <c r="L134" s="22" t="n">
        <v>30.251</v>
      </c>
      <c r="M134" s="26" t="n">
        <f aca="false">Rates!$F$5+IF(D134=1,E134*Rates!$F$6,MIN(E134,Rates!$F$11)*Rates!$F$7+MAX(E134-Rates!$F$11,0)*Rates!$F$8)+E134*(Rates!$F$9+Rates!$F$10)</f>
        <v>116.60543456</v>
      </c>
      <c r="N134" s="26" t="n">
        <f aca="false">Rates!$F$12+H134*IF(D134=1,Rates!$F$13,Rates!$F$14)+I134*Rates!$F$15+J134*IF(D134=1,Rates!$F$16,Rates!$F$18)+K134*IF(D134=1,Rates!$F$17,Rates!$F$19)+E134*(Rates!$F$20+Rates!$F$21)</f>
        <v>106.82346872</v>
      </c>
      <c r="O134" s="26" t="n">
        <f aca="false">Rates!$F$22+IF(D134=1,E134*Rates!$F$23,E134*Rates!$F$24)+E134*(Rates!$F$25+Rates!$F$26)</f>
        <v>68.15265872</v>
      </c>
      <c r="P134" s="26" t="n">
        <f aca="false">Rates!$F$27+IF(D134=1,G134*Rates!$F$28,MIN(G134,Rates!$F$35)*Rates!$F$29+MAX(G134-Rates!$F$35,0)*Rates!$F$30)+IF(F134&gt;0,Rates!$F$31,0)+F134*Rates!$F$32+E134*(Rates!$F$33+Rates!$F$34)</f>
        <v>100.08840986</v>
      </c>
      <c r="Q134" s="26" t="n">
        <f aca="false">IF(L134&gt;0,Rates!$F$36,0)+L134*(Rates!$F$37+Rates!$F$38+Rates!$F$39)</f>
        <v>37.79406281</v>
      </c>
    </row>
    <row r="135" customFormat="false" ht="15" hidden="false" customHeight="false" outlineLevel="0" collapsed="false">
      <c r="A135" s="11" t="s">
        <v>163</v>
      </c>
      <c r="B135" s="11" t="s">
        <v>140</v>
      </c>
      <c r="C135" s="11" t="n">
        <v>11</v>
      </c>
      <c r="D135" s="11" t="n">
        <f aca="false">IF(AND(C135&gt;=6,C135&lt;=9),1,0)</f>
        <v>0</v>
      </c>
      <c r="E135" s="22" t="n">
        <v>794.881</v>
      </c>
      <c r="F135" s="22" t="n">
        <v>294.214</v>
      </c>
      <c r="G135" s="25" t="n">
        <f aca="false">E135-F135</f>
        <v>500.667</v>
      </c>
      <c r="H135" s="22" t="n">
        <v>90.18</v>
      </c>
      <c r="I135" s="22" t="n">
        <v>165.421</v>
      </c>
      <c r="J135" s="22" t="n">
        <v>332.706</v>
      </c>
      <c r="K135" s="22" t="n">
        <v>206.574</v>
      </c>
      <c r="L135" s="22" t="n">
        <v>135.834</v>
      </c>
      <c r="M135" s="26" t="n">
        <f aca="false">Rates!$F$5+IF(D135=1,E135*Rates!$F$6,MIN(E135,Rates!$F$11)*Rates!$F$7+MAX(E135-Rates!$F$11,0)*Rates!$F$8)+E135*(Rates!$F$9+Rates!$F$10)</f>
        <v>116.61253984</v>
      </c>
      <c r="N135" s="26" t="n">
        <f aca="false">Rates!$F$12+H135*IF(D135=1,Rates!$F$13,Rates!$F$14)+I135*Rates!$F$15+J135*IF(D135=1,Rates!$F$16,Rates!$F$18)+K135*IF(D135=1,Rates!$F$17,Rates!$F$19)+E135*(Rates!$F$20+Rates!$F$21)</f>
        <v>107.52170908</v>
      </c>
      <c r="O135" s="26" t="n">
        <f aca="false">Rates!$F$22+IF(D135=1,E135*Rates!$F$23,E135*Rates!$F$24)+E135*(Rates!$F$25+Rates!$F$26)</f>
        <v>68.15659408</v>
      </c>
      <c r="P135" s="26" t="n">
        <f aca="false">Rates!$F$27+IF(D135=1,G135*Rates!$F$28,MIN(G135,Rates!$F$35)*Rates!$F$29+MAX(G135-Rates!$F$35,0)*Rates!$F$30)+IF(F135&gt;0,Rates!$F$31,0)+F135*Rates!$F$32+E135*(Rates!$F$33+Rates!$F$34)</f>
        <v>99.23169724</v>
      </c>
      <c r="Q135" s="26" t="n">
        <f aca="false">IF(L135&gt;0,Rates!$F$36,0)+L135*(Rates!$F$37+Rates!$F$38+Rates!$F$39)</f>
        <v>136.54689854</v>
      </c>
    </row>
    <row r="136" customFormat="false" ht="15" hidden="false" customHeight="false" outlineLevel="0" collapsed="false">
      <c r="A136" s="11" t="s">
        <v>163</v>
      </c>
      <c r="B136" s="11" t="s">
        <v>140</v>
      </c>
      <c r="C136" s="11" t="n">
        <v>12</v>
      </c>
      <c r="D136" s="11" t="n">
        <f aca="false">IF(AND(C136&gt;=6,C136&lt;=9),1,0)</f>
        <v>0</v>
      </c>
      <c r="E136" s="22" t="n">
        <v>788.237</v>
      </c>
      <c r="F136" s="22" t="n">
        <v>228.619</v>
      </c>
      <c r="G136" s="25" t="n">
        <f aca="false">E136-F136</f>
        <v>559.618</v>
      </c>
      <c r="H136" s="22" t="n">
        <v>84.465</v>
      </c>
      <c r="I136" s="22" t="n">
        <v>129.159</v>
      </c>
      <c r="J136" s="22" t="n">
        <v>318.577</v>
      </c>
      <c r="K136" s="22" t="n">
        <v>256.036</v>
      </c>
      <c r="L136" s="22" t="n">
        <v>177.71</v>
      </c>
      <c r="M136" s="26" t="n">
        <f aca="false">Rates!$F$5+IF(D136=1,E136*Rates!$F$6,MIN(E136,Rates!$F$11)*Rates!$F$7+MAX(E136-Rates!$F$11,0)*Rates!$F$8)+E136*(Rates!$F$9+Rates!$F$10)</f>
        <v>115.70470368</v>
      </c>
      <c r="N136" s="26" t="n">
        <f aca="false">Rates!$F$12+H136*IF(D136=1,Rates!$F$13,Rates!$F$14)+I136*Rates!$F$15+J136*IF(D136=1,Rates!$F$16,Rates!$F$18)+K136*IF(D136=1,Rates!$F$17,Rates!$F$19)+E136*(Rates!$F$20+Rates!$F$21)</f>
        <v>107.61296116</v>
      </c>
      <c r="O136" s="26" t="n">
        <f aca="false">Rates!$F$22+IF(D136=1,E136*Rates!$F$23,E136*Rates!$F$24)+E136*(Rates!$F$25+Rates!$F$26)</f>
        <v>67.65377616</v>
      </c>
      <c r="P136" s="26" t="n">
        <f aca="false">Rates!$F$27+IF(D136=1,G136*Rates!$F$28,MIN(G136,Rates!$F$35)*Rates!$F$29+MAX(G136-Rates!$F$35,0)*Rates!$F$30)+IF(F136&gt;0,Rates!$F$31,0)+F136*Rates!$F$32+E136*(Rates!$F$33+Rates!$F$34)</f>
        <v>103.30252158</v>
      </c>
      <c r="Q136" s="26" t="n">
        <f aca="false">IF(L136&gt;0,Rates!$F$36,0)+L136*(Rates!$F$37+Rates!$F$38+Rates!$F$39)</f>
        <v>175.7139401</v>
      </c>
    </row>
    <row r="137" customFormat="false" ht="15" hidden="false" customHeight="false" outlineLevel="0" collapsed="false">
      <c r="A137" s="11" t="s">
        <v>163</v>
      </c>
      <c r="B137" s="11" t="s">
        <v>141</v>
      </c>
      <c r="C137" s="11" t="n">
        <v>1</v>
      </c>
      <c r="D137" s="11" t="n">
        <f aca="false">IF(AND(C137&gt;=6,C137&lt;=9),1,0)</f>
        <v>0</v>
      </c>
      <c r="E137" s="22" t="n">
        <v>6933.372</v>
      </c>
      <c r="F137" s="22" t="n">
        <v>6344.684</v>
      </c>
      <c r="G137" s="25" t="n">
        <f aca="false">E137-F137</f>
        <v>588.688</v>
      </c>
      <c r="H137" s="22" t="n">
        <v>574.46</v>
      </c>
      <c r="I137" s="22" t="n">
        <v>1797.739</v>
      </c>
      <c r="J137" s="22" t="n">
        <v>3048.761</v>
      </c>
      <c r="K137" s="22" t="n">
        <v>1512.411</v>
      </c>
      <c r="L137" s="22" t="n">
        <v>28.69</v>
      </c>
      <c r="M137" s="26" t="n">
        <f aca="false">Rates!$F$5+IF(D137=1,E137*Rates!$F$6,MIN(E137,Rates!$F$11)*Rates!$F$7+MAX(E137-Rates!$F$11,0)*Rates!$F$8)+E137*(Rates!$F$9+Rates!$F$10)</f>
        <v>940.06785032</v>
      </c>
      <c r="N137" s="26" t="n">
        <f aca="false">Rates!$F$12+H137*IF(D137=1,Rates!$F$13,Rates!$F$14)+I137*Rates!$F$15+J137*IF(D137=1,Rates!$F$16,Rates!$F$18)+K137*IF(D137=1,Rates!$F$17,Rates!$F$19)+E137*(Rates!$F$20+Rates!$F$21)</f>
        <v>850.93281796</v>
      </c>
      <c r="O137" s="26" t="n">
        <f aca="false">Rates!$F$22+IF(D137=1,E137*Rates!$F$23,E137*Rates!$F$24)+E137*(Rates!$F$25+Rates!$F$26)</f>
        <v>532.71759296</v>
      </c>
      <c r="P137" s="26" t="n">
        <f aca="false">Rates!$F$27+IF(D137=1,G137*Rates!$F$28,MIN(G137,Rates!$F$35)*Rates!$F$29+MAX(G137-Rates!$F$35,0)*Rates!$F$30)+IF(F137&gt;0,Rates!$F$31,0)+F137*Rates!$F$32+E137*(Rates!$F$33+Rates!$F$34)</f>
        <v>478.76443448</v>
      </c>
      <c r="Q137" s="26" t="n">
        <f aca="false">IF(L137&gt;0,Rates!$F$36,0)+L137*(Rates!$F$37+Rates!$F$38+Rates!$F$39)</f>
        <v>36.3340439</v>
      </c>
    </row>
    <row r="138" customFormat="false" ht="15" hidden="false" customHeight="false" outlineLevel="0" collapsed="false">
      <c r="A138" s="11" t="s">
        <v>163</v>
      </c>
      <c r="B138" s="11" t="s">
        <v>141</v>
      </c>
      <c r="C138" s="11" t="n">
        <v>2</v>
      </c>
      <c r="D138" s="11" t="n">
        <f aca="false">IF(AND(C138&gt;=6,C138&lt;=9),1,0)</f>
        <v>0</v>
      </c>
      <c r="E138" s="22" t="n">
        <v>6123.574</v>
      </c>
      <c r="F138" s="22" t="n">
        <v>5612.82</v>
      </c>
      <c r="G138" s="25" t="n">
        <f aca="false">E138-F138</f>
        <v>510.754</v>
      </c>
      <c r="H138" s="22" t="n">
        <v>492.554</v>
      </c>
      <c r="I138" s="22" t="n">
        <v>1634.61</v>
      </c>
      <c r="J138" s="22" t="n">
        <v>2701.168</v>
      </c>
      <c r="K138" s="22" t="n">
        <v>1295.243</v>
      </c>
      <c r="L138" s="22" t="n">
        <v>25.042</v>
      </c>
      <c r="M138" s="26" t="n">
        <f aca="false">Rates!$F$5+IF(D138=1,E138*Rates!$F$6,MIN(E138,Rates!$F$11)*Rates!$F$7+MAX(E138-Rates!$F$11,0)*Rates!$F$8)+E138*(Rates!$F$9+Rates!$F$10)</f>
        <v>831.50633044</v>
      </c>
      <c r="N138" s="26" t="n">
        <f aca="false">Rates!$F$12+H138*IF(D138=1,Rates!$F$13,Rates!$F$14)+I138*Rates!$F$15+J138*IF(D138=1,Rates!$F$16,Rates!$F$18)+K138*IF(D138=1,Rates!$F$17,Rates!$F$19)+E138*(Rates!$F$20+Rates!$F$21)</f>
        <v>749.95278032</v>
      </c>
      <c r="O138" s="26" t="n">
        <f aca="false">Rates!$F$22+IF(D138=1,E138*Rates!$F$23,E138*Rates!$F$24)+E138*(Rates!$F$25+Rates!$F$26)</f>
        <v>471.43208032</v>
      </c>
      <c r="P138" s="26" t="n">
        <f aca="false">Rates!$F$27+IF(D138=1,G138*Rates!$F$28,MIN(G138,Rates!$F$35)*Rates!$F$29+MAX(G138-Rates!$F$35,0)*Rates!$F$30)+IF(F138&gt;0,Rates!$F$31,0)+F138*Rates!$F$32+E138*(Rates!$F$33+Rates!$F$34)</f>
        <v>423.66211336</v>
      </c>
      <c r="Q138" s="26" t="n">
        <f aca="false">IF(L138&gt;0,Rates!$F$36,0)+L138*(Rates!$F$37+Rates!$F$38+Rates!$F$39)</f>
        <v>32.92203302</v>
      </c>
    </row>
    <row r="139" customFormat="false" ht="15" hidden="false" customHeight="false" outlineLevel="0" collapsed="false">
      <c r="A139" s="11" t="s">
        <v>163</v>
      </c>
      <c r="B139" s="11" t="s">
        <v>141</v>
      </c>
      <c r="C139" s="11" t="n">
        <v>3</v>
      </c>
      <c r="D139" s="11" t="n">
        <f aca="false">IF(AND(C139&gt;=6,C139&lt;=9),1,0)</f>
        <v>0</v>
      </c>
      <c r="E139" s="22" t="n">
        <v>3836.12</v>
      </c>
      <c r="F139" s="22" t="n">
        <v>3242.191</v>
      </c>
      <c r="G139" s="25" t="n">
        <f aca="false">E139-F139</f>
        <v>593.929</v>
      </c>
      <c r="H139" s="22" t="n">
        <v>284.159</v>
      </c>
      <c r="I139" s="22" t="n">
        <v>986.81</v>
      </c>
      <c r="J139" s="22" t="n">
        <v>1756.071</v>
      </c>
      <c r="K139" s="22" t="n">
        <v>809.079</v>
      </c>
      <c r="L139" s="22" t="n">
        <v>25.768</v>
      </c>
      <c r="M139" s="26" t="n">
        <f aca="false">Rates!$F$5+IF(D139=1,E139*Rates!$F$6,MIN(E139,Rates!$F$11)*Rates!$F$7+MAX(E139-Rates!$F$11,0)*Rates!$F$8)+E139*(Rates!$F$9+Rates!$F$10)</f>
        <v>524.8502472</v>
      </c>
      <c r="N139" s="26" t="n">
        <f aca="false">Rates!$F$12+H139*IF(D139=1,Rates!$F$13,Rates!$F$14)+I139*Rates!$F$15+J139*IF(D139=1,Rates!$F$16,Rates!$F$18)+K139*IF(D139=1,Rates!$F$17,Rates!$F$19)+E139*(Rates!$F$20+Rates!$F$21)</f>
        <v>472.6346416</v>
      </c>
      <c r="O139" s="26" t="n">
        <f aca="false">Rates!$F$22+IF(D139=1,E139*Rates!$F$23,E139*Rates!$F$24)+E139*(Rates!$F$25+Rates!$F$26)</f>
        <v>298.3175616</v>
      </c>
      <c r="P139" s="26" t="n">
        <f aca="false">Rates!$F$27+IF(D139=1,G139*Rates!$F$28,MIN(G139,Rates!$F$35)*Rates!$F$29+MAX(G139-Rates!$F$35,0)*Rates!$F$30)+IF(F139&gt;0,Rates!$F$31,0)+F139*Rates!$F$32+E139*(Rates!$F$33+Rates!$F$34)</f>
        <v>291.0351399</v>
      </c>
      <c r="Q139" s="26" t="n">
        <f aca="false">IF(L139&gt;0,Rates!$F$36,0)+L139*(Rates!$F$37+Rates!$F$38+Rates!$F$39)</f>
        <v>33.60106808</v>
      </c>
    </row>
    <row r="140" customFormat="false" ht="15" hidden="false" customHeight="false" outlineLevel="0" collapsed="false">
      <c r="A140" s="11" t="s">
        <v>163</v>
      </c>
      <c r="B140" s="11" t="s">
        <v>141</v>
      </c>
      <c r="C140" s="11" t="n">
        <v>4</v>
      </c>
      <c r="D140" s="11" t="n">
        <f aca="false">IF(AND(C140&gt;=6,C140&lt;=9),1,0)</f>
        <v>0</v>
      </c>
      <c r="E140" s="22" t="n">
        <v>2814.155</v>
      </c>
      <c r="F140" s="22" t="n">
        <v>2272.781</v>
      </c>
      <c r="G140" s="25" t="n">
        <f aca="false">E140-F140</f>
        <v>541.374</v>
      </c>
      <c r="H140" s="22" t="n">
        <v>203.279</v>
      </c>
      <c r="I140" s="22" t="n">
        <v>740.925</v>
      </c>
      <c r="J140" s="22" t="n">
        <v>1178.938</v>
      </c>
      <c r="K140" s="22" t="n">
        <v>691.013</v>
      </c>
      <c r="L140" s="22" t="n">
        <v>24.706</v>
      </c>
      <c r="M140" s="26" t="n">
        <f aca="false">Rates!$F$5+IF(D140=1,E140*Rates!$F$6,MIN(E140,Rates!$F$11)*Rates!$F$7+MAX(E140-Rates!$F$11,0)*Rates!$F$8)+E140*(Rates!$F$9+Rates!$F$10)</f>
        <v>387.8456193</v>
      </c>
      <c r="N140" s="26" t="n">
        <f aca="false">Rates!$F$12+H140*IF(D140=1,Rates!$F$13,Rates!$F$14)+I140*Rates!$F$15+J140*IF(D140=1,Rates!$F$16,Rates!$F$18)+K140*IF(D140=1,Rates!$F$17,Rates!$F$19)+E140*(Rates!$F$20+Rates!$F$21)</f>
        <v>347.9473654</v>
      </c>
      <c r="O140" s="26" t="n">
        <f aca="false">Rates!$F$22+IF(D140=1,E140*Rates!$F$23,E140*Rates!$F$24)+E140*(Rates!$F$25+Rates!$F$26)</f>
        <v>220.9752504</v>
      </c>
      <c r="P140" s="26" t="n">
        <f aca="false">Rates!$F$27+IF(D140=1,G140*Rates!$F$28,MIN(G140,Rates!$F$35)*Rates!$F$29+MAX(G140-Rates!$F$35,0)*Rates!$F$30)+IF(F140&gt;0,Rates!$F$31,0)+F140*Rates!$F$32+E140*(Rates!$F$33+Rates!$F$34)</f>
        <v>224.9720613</v>
      </c>
      <c r="Q140" s="26" t="n">
        <f aca="false">IF(L140&gt;0,Rates!$F$36,0)+L140*(Rates!$F$37+Rates!$F$38+Rates!$F$39)</f>
        <v>32.60776886</v>
      </c>
    </row>
    <row r="141" customFormat="false" ht="15" hidden="false" customHeight="false" outlineLevel="0" collapsed="false">
      <c r="A141" s="11" t="s">
        <v>163</v>
      </c>
      <c r="B141" s="11" t="s">
        <v>141</v>
      </c>
      <c r="C141" s="11" t="n">
        <v>5</v>
      </c>
      <c r="D141" s="11" t="n">
        <f aca="false">IF(AND(C141&gt;=6,C141&lt;=9),1,0)</f>
        <v>0</v>
      </c>
      <c r="E141" s="22" t="n">
        <v>826.968</v>
      </c>
      <c r="F141" s="22" t="n">
        <v>5.954</v>
      </c>
      <c r="G141" s="25" t="n">
        <f aca="false">E141-F141</f>
        <v>821.014</v>
      </c>
      <c r="H141" s="22" t="n">
        <v>103.569</v>
      </c>
      <c r="I141" s="22" t="n">
        <v>144.852</v>
      </c>
      <c r="J141" s="22" t="n">
        <v>358.649</v>
      </c>
      <c r="K141" s="22" t="n">
        <v>219.898</v>
      </c>
      <c r="L141" s="22" t="n">
        <v>23.055</v>
      </c>
      <c r="M141" s="26" t="n">
        <f aca="false">Rates!$F$5+IF(D141=1,E141*Rates!$F$6,MIN(E141,Rates!$F$11)*Rates!$F$7+MAX(E141-Rates!$F$11,0)*Rates!$F$8)+E141*(Rates!$F$9+Rates!$F$10)</f>
        <v>120.99690752</v>
      </c>
      <c r="N141" s="26" t="n">
        <f aca="false">Rates!$F$12+H141*IF(D141=1,Rates!$F$13,Rates!$F$14)+I141*Rates!$F$15+J141*IF(D141=1,Rates!$F$16,Rates!$F$18)+K141*IF(D141=1,Rates!$F$17,Rates!$F$19)+E141*(Rates!$F$20+Rates!$F$21)</f>
        <v>113.07765824</v>
      </c>
      <c r="O141" s="26" t="n">
        <f aca="false">Rates!$F$22+IF(D141=1,E141*Rates!$F$23,E141*Rates!$F$24)+E141*(Rates!$F$25+Rates!$F$26)</f>
        <v>70.58493824</v>
      </c>
      <c r="P141" s="26" t="n">
        <f aca="false">Rates!$F$27+IF(D141=1,G141*Rates!$F$28,MIN(G141,Rates!$F$35)*Rates!$F$29+MAX(G141-Rates!$F$35,0)*Rates!$F$30)+IF(F141&gt;0,Rates!$F$31,0)+F141*Rates!$F$32+E141*(Rates!$F$33+Rates!$F$34)</f>
        <v>125.49499892</v>
      </c>
      <c r="Q141" s="26" t="n">
        <f aca="false">IF(L141&gt;0,Rates!$F$36,0)+L141*(Rates!$F$37+Rates!$F$38+Rates!$F$39)</f>
        <v>31.06357205</v>
      </c>
    </row>
    <row r="142" customFormat="false" ht="15" hidden="false" customHeight="false" outlineLevel="0" collapsed="false">
      <c r="A142" s="11" t="s">
        <v>163</v>
      </c>
      <c r="B142" s="11" t="s">
        <v>141</v>
      </c>
      <c r="C142" s="11" t="n">
        <v>6</v>
      </c>
      <c r="D142" s="11" t="n">
        <f aca="false">IF(AND(C142&gt;=6,C142&lt;=9),1,0)</f>
        <v>1</v>
      </c>
      <c r="E142" s="22" t="n">
        <v>1000.943</v>
      </c>
      <c r="F142" s="22" t="n">
        <v>0</v>
      </c>
      <c r="G142" s="25" t="n">
        <f aca="false">E142-F142</f>
        <v>1000.943</v>
      </c>
      <c r="H142" s="22" t="n">
        <v>117.781</v>
      </c>
      <c r="I142" s="22" t="n">
        <v>191.644</v>
      </c>
      <c r="J142" s="22" t="n">
        <v>426.737</v>
      </c>
      <c r="K142" s="22" t="n">
        <v>264.781</v>
      </c>
      <c r="L142" s="22" t="n">
        <v>20.854</v>
      </c>
      <c r="M142" s="26" t="n">
        <f aca="false">Rates!$F$5+IF(D142=1,E142*Rates!$F$6,MIN(E142,Rates!$F$11)*Rates!$F$7+MAX(E142-Rates!$F$11,0)*Rates!$F$8)+E142*(Rates!$F$9+Rates!$F$10)</f>
        <v>160.37355289</v>
      </c>
      <c r="N142" s="26" t="n">
        <f aca="false">Rates!$F$12+H142*IF(D142=1,Rates!$F$13,Rates!$F$14)+I142*Rates!$F$15+J142*IF(D142=1,Rates!$F$16,Rates!$F$18)+K142*IF(D142=1,Rates!$F$17,Rates!$F$19)+E142*(Rates!$F$20+Rates!$F$21)</f>
        <v>152.69943624</v>
      </c>
      <c r="O142" s="26" t="n">
        <f aca="false">Rates!$F$22+IF(D142=1,E142*Rates!$F$23,E142*Rates!$F$24)+E142*(Rates!$F$25+Rates!$F$26)</f>
        <v>160.37355289</v>
      </c>
      <c r="P142" s="26" t="n">
        <f aca="false">Rates!$F$27+IF(D142=1,G142*Rates!$F$28,MIN(G142,Rates!$F$35)*Rates!$F$29+MAX(G142-Rates!$F$35,0)*Rates!$F$30)+IF(F142&gt;0,Rates!$F$31,0)+F142*Rates!$F$32+E142*(Rates!$F$33+Rates!$F$34)</f>
        <v>160.37355289</v>
      </c>
      <c r="Q142" s="26" t="n">
        <f aca="false">IF(L142&gt;0,Rates!$F$36,0)+L142*(Rates!$F$37+Rates!$F$38+Rates!$F$39)</f>
        <v>29.00495474</v>
      </c>
    </row>
    <row r="143" customFormat="false" ht="15" hidden="false" customHeight="false" outlineLevel="0" collapsed="false">
      <c r="A143" s="11" t="s">
        <v>163</v>
      </c>
      <c r="B143" s="11" t="s">
        <v>141</v>
      </c>
      <c r="C143" s="11" t="n">
        <v>7</v>
      </c>
      <c r="D143" s="11" t="n">
        <f aca="false">IF(AND(C143&gt;=6,C143&lt;=9),1,0)</f>
        <v>1</v>
      </c>
      <c r="E143" s="22" t="n">
        <v>1163.555</v>
      </c>
      <c r="F143" s="22" t="n">
        <v>0</v>
      </c>
      <c r="G143" s="25" t="n">
        <f aca="false">E143-F143</f>
        <v>1163.555</v>
      </c>
      <c r="H143" s="22" t="n">
        <v>130.167</v>
      </c>
      <c r="I143" s="22" t="n">
        <v>233.961</v>
      </c>
      <c r="J143" s="22" t="n">
        <v>477.457</v>
      </c>
      <c r="K143" s="22" t="n">
        <v>321.97</v>
      </c>
      <c r="L143" s="22" t="n">
        <v>20.401</v>
      </c>
      <c r="M143" s="26" t="n">
        <f aca="false">Rates!$F$5+IF(D143=1,E143*Rates!$F$6,MIN(E143,Rates!$F$11)*Rates!$F$7+MAX(E143-Rates!$F$11,0)*Rates!$F$8)+E143*(Rates!$F$9+Rates!$F$10)</f>
        <v>185.12797765</v>
      </c>
      <c r="N143" s="26" t="n">
        <f aca="false">Rates!$F$12+H143*IF(D143=1,Rates!$F$13,Rates!$F$14)+I143*Rates!$F$15+J143*IF(D143=1,Rates!$F$16,Rates!$F$18)+K143*IF(D143=1,Rates!$F$17,Rates!$F$19)+E143*(Rates!$F$20+Rates!$F$21)</f>
        <v>175.0521974</v>
      </c>
      <c r="O143" s="26" t="n">
        <f aca="false">Rates!$F$22+IF(D143=1,E143*Rates!$F$23,E143*Rates!$F$24)+E143*(Rates!$F$25+Rates!$F$26)</f>
        <v>185.12797765</v>
      </c>
      <c r="P143" s="26" t="n">
        <f aca="false">Rates!$F$27+IF(D143=1,G143*Rates!$F$28,MIN(G143,Rates!$F$35)*Rates!$F$29+MAX(G143-Rates!$F$35,0)*Rates!$F$30)+IF(F143&gt;0,Rates!$F$31,0)+F143*Rates!$F$32+E143*(Rates!$F$33+Rates!$F$34)</f>
        <v>185.12797765</v>
      </c>
      <c r="Q143" s="26" t="n">
        <f aca="false">IF(L143&gt;0,Rates!$F$36,0)+L143*(Rates!$F$37+Rates!$F$38+Rates!$F$39)</f>
        <v>28.58125931</v>
      </c>
    </row>
    <row r="144" customFormat="false" ht="15" hidden="false" customHeight="false" outlineLevel="0" collapsed="false">
      <c r="A144" s="11" t="s">
        <v>163</v>
      </c>
      <c r="B144" s="11" t="s">
        <v>141</v>
      </c>
      <c r="C144" s="11" t="n">
        <v>8</v>
      </c>
      <c r="D144" s="11" t="n">
        <f aca="false">IF(AND(C144&gt;=6,C144&lt;=9),1,0)</f>
        <v>1</v>
      </c>
      <c r="E144" s="22" t="n">
        <v>1108.225</v>
      </c>
      <c r="F144" s="22" t="n">
        <v>0</v>
      </c>
      <c r="G144" s="25" t="n">
        <f aca="false">E144-F144</f>
        <v>1108.225</v>
      </c>
      <c r="H144" s="22" t="n">
        <v>133.279</v>
      </c>
      <c r="I144" s="22" t="n">
        <v>219.883</v>
      </c>
      <c r="J144" s="22" t="n">
        <v>508.192</v>
      </c>
      <c r="K144" s="22" t="n">
        <v>246.871</v>
      </c>
      <c r="L144" s="22" t="n">
        <v>20.08</v>
      </c>
      <c r="M144" s="26" t="n">
        <f aca="false">Rates!$F$5+IF(D144=1,E144*Rates!$F$6,MIN(E144,Rates!$F$11)*Rates!$F$7+MAX(E144-Rates!$F$11,0)*Rates!$F$8)+E144*(Rates!$F$9+Rates!$F$10)</f>
        <v>176.70509175</v>
      </c>
      <c r="N144" s="26" t="n">
        <f aca="false">Rates!$F$12+H144*IF(D144=1,Rates!$F$13,Rates!$F$14)+I144*Rates!$F$15+J144*IF(D144=1,Rates!$F$16,Rates!$F$18)+K144*IF(D144=1,Rates!$F$17,Rates!$F$19)+E144*(Rates!$F$20+Rates!$F$21)</f>
        <v>168.014973</v>
      </c>
      <c r="O144" s="26" t="n">
        <f aca="false">Rates!$F$22+IF(D144=1,E144*Rates!$F$23,E144*Rates!$F$24)+E144*(Rates!$F$25+Rates!$F$26)</f>
        <v>176.70509175</v>
      </c>
      <c r="P144" s="26" t="n">
        <f aca="false">Rates!$F$27+IF(D144=1,G144*Rates!$F$28,MIN(G144,Rates!$F$35)*Rates!$F$29+MAX(G144-Rates!$F$35,0)*Rates!$F$30)+IF(F144&gt;0,Rates!$F$31,0)+F144*Rates!$F$32+E144*(Rates!$F$33+Rates!$F$34)</f>
        <v>176.70509175</v>
      </c>
      <c r="Q144" s="26" t="n">
        <f aca="false">IF(L144&gt;0,Rates!$F$36,0)+L144*(Rates!$F$37+Rates!$F$38+Rates!$F$39)</f>
        <v>28.2810248</v>
      </c>
    </row>
    <row r="145" customFormat="false" ht="15" hidden="false" customHeight="false" outlineLevel="0" collapsed="false">
      <c r="A145" s="11" t="s">
        <v>163</v>
      </c>
      <c r="B145" s="11" t="s">
        <v>141</v>
      </c>
      <c r="C145" s="11" t="n">
        <v>9</v>
      </c>
      <c r="D145" s="11" t="n">
        <f aca="false">IF(AND(C145&gt;=6,C145&lt;=9),1,0)</f>
        <v>1</v>
      </c>
      <c r="E145" s="22" t="n">
        <v>865.976</v>
      </c>
      <c r="F145" s="22" t="n">
        <v>18.086</v>
      </c>
      <c r="G145" s="25" t="n">
        <f aca="false">E145-F145</f>
        <v>847.89</v>
      </c>
      <c r="H145" s="22" t="n">
        <v>84.682</v>
      </c>
      <c r="I145" s="22" t="n">
        <v>160.695</v>
      </c>
      <c r="J145" s="22" t="n">
        <v>312.29</v>
      </c>
      <c r="K145" s="22" t="n">
        <v>308.309</v>
      </c>
      <c r="L145" s="22" t="n">
        <v>19.705</v>
      </c>
      <c r="M145" s="26" t="n">
        <f aca="false">Rates!$F$5+IF(D145=1,E145*Rates!$F$6,MIN(E145,Rates!$F$11)*Rates!$F$7+MAX(E145-Rates!$F$11,0)*Rates!$F$8)+E145*(Rates!$F$9+Rates!$F$10)</f>
        <v>139.82752648</v>
      </c>
      <c r="N145" s="26" t="n">
        <f aca="false">Rates!$F$12+H145*IF(D145=1,Rates!$F$13,Rates!$F$14)+I145*Rates!$F$15+J145*IF(D145=1,Rates!$F$16,Rates!$F$18)+K145*IF(D145=1,Rates!$F$17,Rates!$F$19)+E145*(Rates!$F$20+Rates!$F$21)</f>
        <v>132.09171868</v>
      </c>
      <c r="O145" s="26" t="n">
        <f aca="false">Rates!$F$22+IF(D145=1,E145*Rates!$F$23,E145*Rates!$F$24)+E145*(Rates!$F$25+Rates!$F$26)</f>
        <v>139.82752648</v>
      </c>
      <c r="P145" s="26" t="n">
        <f aca="false">Rates!$F$27+IF(D145=1,G145*Rates!$F$28,MIN(G145,Rates!$F$35)*Rates!$F$29+MAX(G145-Rates!$F$35,0)*Rates!$F$30)+IF(F145&gt;0,Rates!$F$31,0)+F145*Rates!$F$32+E145*(Rates!$F$33+Rates!$F$34)</f>
        <v>143.12283834</v>
      </c>
      <c r="Q145" s="26" t="n">
        <f aca="false">IF(L145&gt;0,Rates!$F$36,0)+L145*(Rates!$F$37+Rates!$F$38+Rates!$F$39)</f>
        <v>27.93028355</v>
      </c>
    </row>
    <row r="146" customFormat="false" ht="15" hidden="false" customHeight="false" outlineLevel="0" collapsed="false">
      <c r="A146" s="11" t="s">
        <v>163</v>
      </c>
      <c r="B146" s="11" t="s">
        <v>141</v>
      </c>
      <c r="C146" s="11" t="n">
        <v>10</v>
      </c>
      <c r="D146" s="11" t="n">
        <f aca="false">IF(AND(C146&gt;=6,C146&lt;=9),1,0)</f>
        <v>0</v>
      </c>
      <c r="E146" s="22" t="n">
        <v>1580.392</v>
      </c>
      <c r="F146" s="22" t="n">
        <v>1039.554</v>
      </c>
      <c r="G146" s="25" t="n">
        <f aca="false">E146-F146</f>
        <v>540.838</v>
      </c>
      <c r="H146" s="22" t="n">
        <v>110.463</v>
      </c>
      <c r="I146" s="22" t="n">
        <v>402.727</v>
      </c>
      <c r="J146" s="22" t="n">
        <v>719.129</v>
      </c>
      <c r="K146" s="22" t="n">
        <v>348.073</v>
      </c>
      <c r="L146" s="22" t="n">
        <v>22.245</v>
      </c>
      <c r="M146" s="26" t="n">
        <f aca="false">Rates!$F$5+IF(D146=1,E146*Rates!$F$6,MIN(E146,Rates!$F$11)*Rates!$F$7+MAX(E146-Rates!$F$11,0)*Rates!$F$8)+E146*(Rates!$F$9+Rates!$F$10)</f>
        <v>222.44735152</v>
      </c>
      <c r="N146" s="26" t="n">
        <f aca="false">Rates!$F$12+H146*IF(D146=1,Rates!$F$13,Rates!$F$14)+I146*Rates!$F$15+J146*IF(D146=1,Rates!$F$16,Rates!$F$18)+K146*IF(D146=1,Rates!$F$17,Rates!$F$19)+E146*(Rates!$F$20+Rates!$F$21)</f>
        <v>199.15600156</v>
      </c>
      <c r="O146" s="26" t="n">
        <f aca="false">Rates!$F$22+IF(D146=1,E146*Rates!$F$23,E146*Rates!$F$24)+E146*(Rates!$F$25+Rates!$F$26)</f>
        <v>127.60406656</v>
      </c>
      <c r="P146" s="26" t="n">
        <f aca="false">Rates!$F$27+IF(D146=1,G146*Rates!$F$28,MIN(G146,Rates!$F$35)*Rates!$F$29+MAX(G146-Rates!$F$35,0)*Rates!$F$30)+IF(F146&gt;0,Rates!$F$31,0)+F146*Rates!$F$32+E146*(Rates!$F$33+Rates!$F$34)</f>
        <v>149.99261428</v>
      </c>
      <c r="Q146" s="26" t="n">
        <f aca="false">IF(L146&gt;0,Rates!$F$36,0)+L146*(Rates!$F$37+Rates!$F$38+Rates!$F$39)</f>
        <v>30.30597095</v>
      </c>
    </row>
    <row r="147" customFormat="false" ht="15" hidden="false" customHeight="false" outlineLevel="0" collapsed="false">
      <c r="A147" s="11" t="s">
        <v>163</v>
      </c>
      <c r="B147" s="11" t="s">
        <v>141</v>
      </c>
      <c r="C147" s="11" t="n">
        <v>11</v>
      </c>
      <c r="D147" s="11" t="n">
        <f aca="false">IF(AND(C147&gt;=6,C147&lt;=9),1,0)</f>
        <v>0</v>
      </c>
      <c r="E147" s="22" t="n">
        <v>4290.227</v>
      </c>
      <c r="F147" s="22" t="n">
        <v>3753.579</v>
      </c>
      <c r="G147" s="25" t="n">
        <f aca="false">E147-F147</f>
        <v>536.648</v>
      </c>
      <c r="H147" s="22" t="n">
        <v>362.112</v>
      </c>
      <c r="I147" s="22" t="n">
        <v>1090.487</v>
      </c>
      <c r="J147" s="22" t="n">
        <v>1889.337</v>
      </c>
      <c r="K147" s="22" t="n">
        <v>948.29</v>
      </c>
      <c r="L147" s="22" t="n">
        <v>23.202</v>
      </c>
      <c r="M147" s="26" t="n">
        <f aca="false">Rates!$F$5+IF(D147=1,E147*Rates!$F$6,MIN(E147,Rates!$F$11)*Rates!$F$7+MAX(E147-Rates!$F$11,0)*Rates!$F$8)+E147*(Rates!$F$9+Rates!$F$10)</f>
        <v>585.72783162</v>
      </c>
      <c r="N147" s="26" t="n">
        <f aca="false">Rates!$F$12+H147*IF(D147=1,Rates!$F$13,Rates!$F$14)+I147*Rates!$F$15+J147*IF(D147=1,Rates!$F$16,Rates!$F$18)+K147*IF(D147=1,Rates!$F$17,Rates!$F$19)+E147*(Rates!$F$20+Rates!$F$21)</f>
        <v>530.75529436</v>
      </c>
      <c r="O147" s="26" t="n">
        <f aca="false">Rates!$F$22+IF(D147=1,E147*Rates!$F$23,E147*Rates!$F$24)+E147*(Rates!$F$25+Rates!$F$26)</f>
        <v>332.68437936</v>
      </c>
      <c r="P147" s="26" t="n">
        <f aca="false">Rates!$F$27+IF(D147=1,G147*Rates!$F$28,MIN(G147,Rates!$F$35)*Rates!$F$29+MAX(G147-Rates!$F$35,0)*Rates!$F$30)+IF(F147&gt;0,Rates!$F$31,0)+F147*Rates!$F$32+E147*(Rates!$F$33+Rates!$F$34)</f>
        <v>314.26997118</v>
      </c>
      <c r="Q147" s="26" t="n">
        <f aca="false">IF(L147&gt;0,Rates!$F$36,0)+L147*(Rates!$F$37+Rates!$F$38+Rates!$F$39)</f>
        <v>31.20106262</v>
      </c>
    </row>
    <row r="148" customFormat="false" ht="15" hidden="false" customHeight="false" outlineLevel="0" collapsed="false">
      <c r="A148" s="11" t="s">
        <v>163</v>
      </c>
      <c r="B148" s="11" t="s">
        <v>141</v>
      </c>
      <c r="C148" s="11" t="n">
        <v>12</v>
      </c>
      <c r="D148" s="11" t="n">
        <f aca="false">IF(AND(C148&gt;=6,C148&lt;=9),1,0)</f>
        <v>0</v>
      </c>
      <c r="E148" s="22" t="n">
        <v>5201.281</v>
      </c>
      <c r="F148" s="22" t="n">
        <v>4604.453</v>
      </c>
      <c r="G148" s="25" t="n">
        <f aca="false">E148-F148</f>
        <v>596.828</v>
      </c>
      <c r="H148" s="22" t="n">
        <v>414.058</v>
      </c>
      <c r="I148" s="22" t="n">
        <v>1320.269</v>
      </c>
      <c r="J148" s="22" t="n">
        <v>2064.325</v>
      </c>
      <c r="K148" s="22" t="n">
        <v>1402.628</v>
      </c>
      <c r="L148" s="22" t="n">
        <v>25.883</v>
      </c>
      <c r="M148" s="26" t="n">
        <f aca="false">Rates!$F$5+IF(D148=1,E148*Rates!$F$6,MIN(E148,Rates!$F$11)*Rates!$F$7+MAX(E148-Rates!$F$11,0)*Rates!$F$8)+E148*(Rates!$F$9+Rates!$F$10)</f>
        <v>707.86373086</v>
      </c>
      <c r="N148" s="26" t="n">
        <f aca="false">Rates!$F$12+H148*IF(D148=1,Rates!$F$13,Rates!$F$14)+I148*Rates!$F$15+J148*IF(D148=1,Rates!$F$16,Rates!$F$18)+K148*IF(D148=1,Rates!$F$17,Rates!$F$19)+E148*(Rates!$F$20+Rates!$F$21)</f>
        <v>640.33095108</v>
      </c>
      <c r="O148" s="26" t="n">
        <f aca="false">Rates!$F$22+IF(D148=1,E148*Rates!$F$23,E148*Rates!$F$24)+E148*(Rates!$F$25+Rates!$F$26)</f>
        <v>401.63294608</v>
      </c>
      <c r="P148" s="26" t="n">
        <f aca="false">Rates!$F$27+IF(D148=1,G148*Rates!$F$28,MIN(G148,Rates!$F$35)*Rates!$F$29+MAX(G148-Rates!$F$35,0)*Rates!$F$30)+IF(F148&gt;0,Rates!$F$31,0)+F148*Rates!$F$32+E148*(Rates!$F$33+Rates!$F$34)</f>
        <v>374.17505314</v>
      </c>
      <c r="Q148" s="26" t="n">
        <f aca="false">IF(L148&gt;0,Rates!$F$36,0)+L148*(Rates!$F$37+Rates!$F$38+Rates!$F$39)</f>
        <v>33.70862873</v>
      </c>
    </row>
    <row r="149" customFormat="false" ht="15" hidden="false" customHeight="false" outlineLevel="0" collapsed="false">
      <c r="A149" s="11" t="s">
        <v>163</v>
      </c>
      <c r="B149" s="11" t="s">
        <v>142</v>
      </c>
      <c r="C149" s="11" t="n">
        <v>1</v>
      </c>
      <c r="D149" s="11" t="n">
        <f aca="false">IF(AND(C149&gt;=6,C149&lt;=9),1,0)</f>
        <v>0</v>
      </c>
      <c r="E149" s="22" t="n">
        <v>902.286</v>
      </c>
      <c r="F149" s="22" t="n">
        <v>196.463</v>
      </c>
      <c r="G149" s="25" t="n">
        <f aca="false">E149-F149</f>
        <v>705.823</v>
      </c>
      <c r="H149" s="22" t="n">
        <v>110.575</v>
      </c>
      <c r="I149" s="22" t="n">
        <v>161.056</v>
      </c>
      <c r="J149" s="22" t="n">
        <v>395.19</v>
      </c>
      <c r="K149" s="22" t="n">
        <v>235.465</v>
      </c>
      <c r="L149" s="22" t="n">
        <v>266.721</v>
      </c>
      <c r="M149" s="26" t="n">
        <f aca="false">Rates!$F$5+IF(D149=1,E149*Rates!$F$6,MIN(E149,Rates!$F$11)*Rates!$F$7+MAX(E149-Rates!$F$11,0)*Rates!$F$8)+E149*(Rates!$F$9+Rates!$F$10)</f>
        <v>131.28835904</v>
      </c>
      <c r="N149" s="26" t="n">
        <f aca="false">Rates!$F$12+H149*IF(D149=1,Rates!$F$13,Rates!$F$14)+I149*Rates!$F$15+J149*IF(D149=1,Rates!$F$16,Rates!$F$18)+K149*IF(D149=1,Rates!$F$17,Rates!$F$19)+E149*(Rates!$F$20+Rates!$F$21)</f>
        <v>122.39684448</v>
      </c>
      <c r="O149" s="26" t="n">
        <f aca="false">Rates!$F$22+IF(D149=1,E149*Rates!$F$23,E149*Rates!$F$24)+E149*(Rates!$F$25+Rates!$F$26)</f>
        <v>76.28500448</v>
      </c>
      <c r="P149" s="26" t="n">
        <f aca="false">Rates!$F$27+IF(D149=1,G149*Rates!$F$28,MIN(G149,Rates!$F$35)*Rates!$F$29+MAX(G149-Rates!$F$35,0)*Rates!$F$30)+IF(F149&gt;0,Rates!$F$31,0)+F149*Rates!$F$32+E149*(Rates!$F$33+Rates!$F$34)</f>
        <v>121.32681734</v>
      </c>
      <c r="Q149" s="26" t="n">
        <f aca="false">IF(L149&gt;0,Rates!$F$36,0)+L149*(Rates!$F$37+Rates!$F$38+Rates!$F$39)</f>
        <v>258.96681851</v>
      </c>
    </row>
    <row r="150" customFormat="false" ht="15" hidden="false" customHeight="false" outlineLevel="0" collapsed="false">
      <c r="A150" s="11" t="s">
        <v>163</v>
      </c>
      <c r="B150" s="11" t="s">
        <v>142</v>
      </c>
      <c r="C150" s="11" t="n">
        <v>2</v>
      </c>
      <c r="D150" s="11" t="n">
        <f aca="false">IF(AND(C150&gt;=6,C150&lt;=9),1,0)</f>
        <v>0</v>
      </c>
      <c r="E150" s="22" t="n">
        <v>792.682</v>
      </c>
      <c r="F150" s="22" t="n">
        <v>173.731</v>
      </c>
      <c r="G150" s="25" t="n">
        <f aca="false">E150-F150</f>
        <v>618.951</v>
      </c>
      <c r="H150" s="22" t="n">
        <v>97.951</v>
      </c>
      <c r="I150" s="22" t="n">
        <v>144.885</v>
      </c>
      <c r="J150" s="22" t="n">
        <v>346.384</v>
      </c>
      <c r="K150" s="22" t="n">
        <v>203.461</v>
      </c>
      <c r="L150" s="22" t="n">
        <v>234.767</v>
      </c>
      <c r="M150" s="26" t="n">
        <f aca="false">Rates!$F$5+IF(D150=1,E150*Rates!$F$6,MIN(E150,Rates!$F$11)*Rates!$F$7+MAX(E150-Rates!$F$11,0)*Rates!$F$8)+E150*(Rates!$F$9+Rates!$F$10)</f>
        <v>116.31206848</v>
      </c>
      <c r="N150" s="26" t="n">
        <f aca="false">Rates!$F$12+H150*IF(D150=1,Rates!$F$13,Rates!$F$14)+I150*Rates!$F$15+J150*IF(D150=1,Rates!$F$16,Rates!$F$18)+K150*IF(D150=1,Rates!$F$17,Rates!$F$19)+E150*(Rates!$F$20+Rates!$F$21)</f>
        <v>108.43024876</v>
      </c>
      <c r="O150" s="26" t="n">
        <f aca="false">Rates!$F$22+IF(D150=1,E150*Rates!$F$23,E150*Rates!$F$24)+E150*(Rates!$F$25+Rates!$F$26)</f>
        <v>67.99017376</v>
      </c>
      <c r="P150" s="26" t="n">
        <f aca="false">Rates!$F$27+IF(D150=1,G150*Rates!$F$28,MIN(G150,Rates!$F$35)*Rates!$F$29+MAX(G150-Rates!$F$35,0)*Rates!$F$30)+IF(F150&gt;0,Rates!$F$31,0)+F150*Rates!$F$32+E150*(Rates!$F$33+Rates!$F$34)</f>
        <v>108.07588558</v>
      </c>
      <c r="Q150" s="26" t="n">
        <f aca="false">IF(L150&gt;0,Rates!$F$36,0)+L150*(Rates!$F$37+Rates!$F$38+Rates!$F$39)</f>
        <v>229.07992277</v>
      </c>
    </row>
    <row r="151" customFormat="false" ht="15" hidden="false" customHeight="false" outlineLevel="0" collapsed="false">
      <c r="A151" s="11" t="s">
        <v>163</v>
      </c>
      <c r="B151" s="11" t="s">
        <v>142</v>
      </c>
      <c r="C151" s="11" t="n">
        <v>3</v>
      </c>
      <c r="D151" s="11" t="n">
        <f aca="false">IF(AND(C151&gt;=6,C151&lt;=9),1,0)</f>
        <v>0</v>
      </c>
      <c r="E151" s="22" t="n">
        <v>804.04</v>
      </c>
      <c r="F151" s="22" t="n">
        <v>100.354</v>
      </c>
      <c r="G151" s="25" t="n">
        <f aca="false">E151-F151</f>
        <v>703.686</v>
      </c>
      <c r="H151" s="22" t="n">
        <v>85.444</v>
      </c>
      <c r="I151" s="22" t="n">
        <v>139.298</v>
      </c>
      <c r="J151" s="22" t="n">
        <v>368.864</v>
      </c>
      <c r="K151" s="22" t="n">
        <v>210.434</v>
      </c>
      <c r="L151" s="22" t="n">
        <v>136.261</v>
      </c>
      <c r="M151" s="26" t="n">
        <f aca="false">Rates!$F$5+IF(D151=1,E151*Rates!$F$6,MIN(E151,Rates!$F$11)*Rates!$F$7+MAX(E151-Rates!$F$11,0)*Rates!$F$8)+E151*(Rates!$F$9+Rates!$F$10)</f>
        <v>117.8640256</v>
      </c>
      <c r="N151" s="26" t="n">
        <f aca="false">Rates!$F$12+H151*IF(D151=1,Rates!$F$13,Rates!$F$14)+I151*Rates!$F$15+J151*IF(D151=1,Rates!$F$16,Rates!$F$18)+K151*IF(D151=1,Rates!$F$17,Rates!$F$19)+E151*(Rates!$F$20+Rates!$F$21)</f>
        <v>109.3029572</v>
      </c>
      <c r="O151" s="26" t="n">
        <f aca="false">Rates!$F$22+IF(D151=1,E151*Rates!$F$23,E151*Rates!$F$24)+E151*(Rates!$F$25+Rates!$F$26)</f>
        <v>68.8497472</v>
      </c>
      <c r="P151" s="26" t="n">
        <f aca="false">Rates!$F$27+IF(D151=1,G151*Rates!$F$28,MIN(G151,Rates!$F$35)*Rates!$F$29+MAX(G151-Rates!$F$35,0)*Rates!$F$30)+IF(F151&gt;0,Rates!$F$31,0)+F151*Rates!$F$32+E151*(Rates!$F$33+Rates!$F$34)</f>
        <v>115.197157</v>
      </c>
      <c r="Q151" s="26" t="n">
        <f aca="false">IF(L151&gt;0,Rates!$F$36,0)+L151*(Rates!$F$37+Rates!$F$38+Rates!$F$39)</f>
        <v>136.94627591</v>
      </c>
    </row>
    <row r="152" customFormat="false" ht="15" hidden="false" customHeight="false" outlineLevel="0" collapsed="false">
      <c r="A152" s="11" t="s">
        <v>163</v>
      </c>
      <c r="B152" s="11" t="s">
        <v>142</v>
      </c>
      <c r="C152" s="11" t="n">
        <v>4</v>
      </c>
      <c r="D152" s="11" t="n">
        <f aca="false">IF(AND(C152&gt;=6,C152&lt;=9),1,0)</f>
        <v>0</v>
      </c>
      <c r="E152" s="22" t="n">
        <v>714.579</v>
      </c>
      <c r="F152" s="22" t="n">
        <v>70.348</v>
      </c>
      <c r="G152" s="25" t="n">
        <f aca="false">E152-F152</f>
        <v>644.231</v>
      </c>
      <c r="H152" s="22" t="n">
        <v>85.978</v>
      </c>
      <c r="I152" s="22" t="n">
        <v>120.61</v>
      </c>
      <c r="J152" s="22" t="n">
        <v>314.356</v>
      </c>
      <c r="K152" s="22" t="n">
        <v>193.635</v>
      </c>
      <c r="L152" s="22" t="n">
        <v>96.484</v>
      </c>
      <c r="M152" s="26" t="n">
        <f aca="false">Rates!$F$5+IF(D152=1,E152*Rates!$F$6,MIN(E152,Rates!$F$11)*Rates!$F$7+MAX(E152-Rates!$F$11,0)*Rates!$F$8)+E152*(Rates!$F$9+Rates!$F$10)</f>
        <v>105.64007456</v>
      </c>
      <c r="N152" s="26" t="n">
        <f aca="false">Rates!$F$12+H152*IF(D152=1,Rates!$F$13,Rates!$F$14)+I152*Rates!$F$15+J152*IF(D152=1,Rates!$F$16,Rates!$F$18)+K152*IF(D152=1,Rates!$F$17,Rates!$F$19)+E152*(Rates!$F$20+Rates!$F$21)</f>
        <v>98.74561872</v>
      </c>
      <c r="O152" s="26" t="n">
        <f aca="false">Rates!$F$22+IF(D152=1,E152*Rates!$F$23,E152*Rates!$F$24)+E152*(Rates!$F$25+Rates!$F$26)</f>
        <v>62.07933872</v>
      </c>
      <c r="P152" s="26" t="n">
        <f aca="false">Rates!$F$27+IF(D152=1,G152*Rates!$F$28,MIN(G152,Rates!$F$35)*Rates!$F$29+MAX(G152-Rates!$F$35,0)*Rates!$F$30)+IF(F152&gt;0,Rates!$F$31,0)+F152*Rates!$F$32+E152*(Rates!$F$33+Rates!$F$34)</f>
        <v>105.25066136</v>
      </c>
      <c r="Q152" s="26" t="n">
        <f aca="false">IF(L152&gt;0,Rates!$F$36,0)+L152*(Rates!$F$37+Rates!$F$38+Rates!$F$39)</f>
        <v>99.74245004</v>
      </c>
    </row>
    <row r="153" customFormat="false" ht="15" hidden="false" customHeight="false" outlineLevel="0" collapsed="false">
      <c r="A153" s="11" t="s">
        <v>163</v>
      </c>
      <c r="B153" s="11" t="s">
        <v>142</v>
      </c>
      <c r="C153" s="11" t="n">
        <v>5</v>
      </c>
      <c r="D153" s="11" t="n">
        <f aca="false">IF(AND(C153&gt;=6,C153&lt;=9),1,0)</f>
        <v>0</v>
      </c>
      <c r="E153" s="22" t="n">
        <v>905.385</v>
      </c>
      <c r="F153" s="22" t="n">
        <v>0.184</v>
      </c>
      <c r="G153" s="25" t="n">
        <f aca="false">E153-F153</f>
        <v>905.201</v>
      </c>
      <c r="H153" s="22" t="n">
        <v>112.738</v>
      </c>
      <c r="I153" s="22" t="n">
        <v>150.711</v>
      </c>
      <c r="J153" s="22" t="n">
        <v>402.369</v>
      </c>
      <c r="K153" s="22" t="n">
        <v>239.567</v>
      </c>
      <c r="L153" s="22" t="n">
        <v>3.084</v>
      </c>
      <c r="M153" s="26" t="n">
        <f aca="false">Rates!$F$5+IF(D153=1,E153*Rates!$F$6,MIN(E153,Rates!$F$11)*Rates!$F$7+MAX(E153-Rates!$F$11,0)*Rates!$F$8)+E153*(Rates!$F$9+Rates!$F$10)</f>
        <v>131.7118064</v>
      </c>
      <c r="N153" s="26" t="n">
        <f aca="false">Rates!$F$12+H153*IF(D153=1,Rates!$F$13,Rates!$F$14)+I153*Rates!$F$15+J153*IF(D153=1,Rates!$F$16,Rates!$F$18)+K153*IF(D153=1,Rates!$F$17,Rates!$F$19)+E153*(Rates!$F$20+Rates!$F$21)</f>
        <v>123.2781818</v>
      </c>
      <c r="O153" s="26" t="n">
        <f aca="false">Rates!$F$22+IF(D153=1,E153*Rates!$F$23,E153*Rates!$F$24)+E153*(Rates!$F$25+Rates!$F$26)</f>
        <v>76.5195368</v>
      </c>
      <c r="P153" s="26" t="n">
        <f aca="false">Rates!$F$27+IF(D153=1,G153*Rates!$F$28,MIN(G153,Rates!$F$35)*Rates!$F$29+MAX(G153-Rates!$F$35,0)*Rates!$F$30)+IF(F153&gt;0,Rates!$F$31,0)+F153*Rates!$F$32+E153*(Rates!$F$33+Rates!$F$34)</f>
        <v>136.6478408</v>
      </c>
      <c r="Q153" s="26" t="n">
        <f aca="false">IF(L153&gt;0,Rates!$F$36,0)+L153*(Rates!$F$37+Rates!$F$38+Rates!$F$39)</f>
        <v>12.38449604</v>
      </c>
    </row>
    <row r="154" customFormat="false" ht="15" hidden="false" customHeight="false" outlineLevel="0" collapsed="false">
      <c r="A154" s="11" t="s">
        <v>163</v>
      </c>
      <c r="B154" s="11" t="s">
        <v>142</v>
      </c>
      <c r="C154" s="11" t="n">
        <v>6</v>
      </c>
      <c r="D154" s="11" t="n">
        <f aca="false">IF(AND(C154&gt;=6,C154&lt;=9),1,0)</f>
        <v>1</v>
      </c>
      <c r="E154" s="22" t="n">
        <v>1073.668</v>
      </c>
      <c r="F154" s="22" t="n">
        <v>0</v>
      </c>
      <c r="G154" s="25" t="n">
        <f aca="false">E154-F154</f>
        <v>1073.668</v>
      </c>
      <c r="H154" s="22" t="n">
        <v>125.873</v>
      </c>
      <c r="I154" s="22" t="n">
        <v>197.875</v>
      </c>
      <c r="J154" s="22" t="n">
        <v>467.011</v>
      </c>
      <c r="K154" s="22" t="n">
        <v>282.91</v>
      </c>
      <c r="L154" s="22" t="n">
        <v>2.998</v>
      </c>
      <c r="M154" s="26" t="n">
        <f aca="false">Rates!$F$5+IF(D154=1,E154*Rates!$F$6,MIN(E154,Rates!$F$11)*Rates!$F$7+MAX(E154-Rates!$F$11,0)*Rates!$F$8)+E154*(Rates!$F$9+Rates!$F$10)</f>
        <v>171.44447964</v>
      </c>
      <c r="N154" s="26" t="n">
        <f aca="false">Rates!$F$12+H154*IF(D154=1,Rates!$F$13,Rates!$F$14)+I154*Rates!$F$15+J154*IF(D154=1,Rates!$F$16,Rates!$F$18)+K154*IF(D154=1,Rates!$F$17,Rates!$F$19)+E154*(Rates!$F$20+Rates!$F$21)</f>
        <v>163.59879924</v>
      </c>
      <c r="O154" s="26" t="n">
        <f aca="false">Rates!$F$22+IF(D154=1,E154*Rates!$F$23,E154*Rates!$F$24)+E154*(Rates!$F$25+Rates!$F$26)</f>
        <v>171.44447964</v>
      </c>
      <c r="P154" s="26" t="n">
        <f aca="false">Rates!$F$27+IF(D154=1,G154*Rates!$F$28,MIN(G154,Rates!$F$35)*Rates!$F$29+MAX(G154-Rates!$F$35,0)*Rates!$F$30)+IF(F154&gt;0,Rates!$F$31,0)+F154*Rates!$F$32+E154*(Rates!$F$33+Rates!$F$34)</f>
        <v>171.44447964</v>
      </c>
      <c r="Q154" s="26" t="n">
        <f aca="false">IF(L154&gt;0,Rates!$F$36,0)+L154*(Rates!$F$37+Rates!$F$38+Rates!$F$39)</f>
        <v>12.30405938</v>
      </c>
    </row>
    <row r="155" customFormat="false" ht="15" hidden="false" customHeight="false" outlineLevel="0" collapsed="false">
      <c r="A155" s="11" t="s">
        <v>163</v>
      </c>
      <c r="B155" s="11" t="s">
        <v>142</v>
      </c>
      <c r="C155" s="11" t="n">
        <v>7</v>
      </c>
      <c r="D155" s="11" t="n">
        <f aca="false">IF(AND(C155&gt;=6,C155&lt;=9),1,0)</f>
        <v>1</v>
      </c>
      <c r="E155" s="22" t="n">
        <v>1232.665</v>
      </c>
      <c r="F155" s="22" t="n">
        <v>0</v>
      </c>
      <c r="G155" s="25" t="n">
        <f aca="false">E155-F155</f>
        <v>1232.665</v>
      </c>
      <c r="H155" s="22" t="n">
        <v>137.444</v>
      </c>
      <c r="I155" s="22" t="n">
        <v>242.782</v>
      </c>
      <c r="J155" s="22" t="n">
        <v>511.655</v>
      </c>
      <c r="K155" s="22" t="n">
        <v>340.784</v>
      </c>
      <c r="L155" s="22" t="n">
        <v>3.646</v>
      </c>
      <c r="M155" s="26" t="n">
        <f aca="false">Rates!$F$5+IF(D155=1,E155*Rates!$F$6,MIN(E155,Rates!$F$11)*Rates!$F$7+MAX(E155-Rates!$F$11,0)*Rates!$F$8)+E155*(Rates!$F$9+Rates!$F$10)</f>
        <v>195.64859295</v>
      </c>
      <c r="N155" s="26" t="n">
        <f aca="false">Rates!$F$12+H155*IF(D155=1,Rates!$F$13,Rates!$F$14)+I155*Rates!$F$15+J155*IF(D155=1,Rates!$F$16,Rates!$F$18)+K155*IF(D155=1,Rates!$F$17,Rates!$F$19)+E155*(Rates!$F$20+Rates!$F$21)</f>
        <v>185.2171472</v>
      </c>
      <c r="O155" s="26" t="n">
        <f aca="false">Rates!$F$22+IF(D155=1,E155*Rates!$F$23,E155*Rates!$F$24)+E155*(Rates!$F$25+Rates!$F$26)</f>
        <v>195.64859295</v>
      </c>
      <c r="P155" s="26" t="n">
        <f aca="false">Rates!$F$27+IF(D155=1,G155*Rates!$F$28,MIN(G155,Rates!$F$35)*Rates!$F$29+MAX(G155-Rates!$F$35,0)*Rates!$F$30)+IF(F155&gt;0,Rates!$F$31,0)+F155*Rates!$F$32+E155*(Rates!$F$33+Rates!$F$34)</f>
        <v>195.64859295</v>
      </c>
      <c r="Q155" s="26" t="n">
        <f aca="false">IF(L155&gt;0,Rates!$F$36,0)+L155*(Rates!$F$37+Rates!$F$38+Rates!$F$39)</f>
        <v>12.91014026</v>
      </c>
    </row>
    <row r="156" customFormat="false" ht="15" hidden="false" customHeight="false" outlineLevel="0" collapsed="false">
      <c r="A156" s="11" t="s">
        <v>163</v>
      </c>
      <c r="B156" s="11" t="s">
        <v>142</v>
      </c>
      <c r="C156" s="11" t="n">
        <v>8</v>
      </c>
      <c r="D156" s="11" t="n">
        <f aca="false">IF(AND(C156&gt;=6,C156&lt;=9),1,0)</f>
        <v>1</v>
      </c>
      <c r="E156" s="22" t="n">
        <v>1176.788</v>
      </c>
      <c r="F156" s="22" t="n">
        <v>0</v>
      </c>
      <c r="G156" s="25" t="n">
        <f aca="false">E156-F156</f>
        <v>1176.788</v>
      </c>
      <c r="H156" s="22" t="n">
        <v>141.278</v>
      </c>
      <c r="I156" s="22" t="n">
        <v>227.931</v>
      </c>
      <c r="J156" s="22" t="n">
        <v>545.378</v>
      </c>
      <c r="K156" s="22" t="n">
        <v>262.2</v>
      </c>
      <c r="L156" s="22" t="n">
        <v>3.416</v>
      </c>
      <c r="M156" s="26" t="n">
        <f aca="false">Rates!$F$5+IF(D156=1,E156*Rates!$F$6,MIN(E156,Rates!$F$11)*Rates!$F$7+MAX(E156-Rates!$F$11,0)*Rates!$F$8)+E156*(Rates!$F$9+Rates!$F$10)</f>
        <v>187.14243724</v>
      </c>
      <c r="N156" s="26" t="n">
        <f aca="false">Rates!$F$12+H156*IF(D156=1,Rates!$F$13,Rates!$F$14)+I156*Rates!$F$15+J156*IF(D156=1,Rates!$F$16,Rates!$F$18)+K156*IF(D156=1,Rates!$F$17,Rates!$F$19)+E156*(Rates!$F$20+Rates!$F$21)</f>
        <v>178.20038084</v>
      </c>
      <c r="O156" s="26" t="n">
        <f aca="false">Rates!$F$22+IF(D156=1,E156*Rates!$F$23,E156*Rates!$F$24)+E156*(Rates!$F$25+Rates!$F$26)</f>
        <v>187.14243724</v>
      </c>
      <c r="P156" s="26" t="n">
        <f aca="false">Rates!$F$27+IF(D156=1,G156*Rates!$F$28,MIN(G156,Rates!$F$35)*Rates!$F$29+MAX(G156-Rates!$F$35,0)*Rates!$F$30)+IF(F156&gt;0,Rates!$F$31,0)+F156*Rates!$F$32+E156*(Rates!$F$33+Rates!$F$34)</f>
        <v>187.14243724</v>
      </c>
      <c r="Q156" s="26" t="n">
        <f aca="false">IF(L156&gt;0,Rates!$F$36,0)+L156*(Rates!$F$37+Rates!$F$38+Rates!$F$39)</f>
        <v>12.69501896</v>
      </c>
    </row>
    <row r="157" customFormat="false" ht="15" hidden="false" customHeight="false" outlineLevel="0" collapsed="false">
      <c r="A157" s="11" t="s">
        <v>163</v>
      </c>
      <c r="B157" s="11" t="s">
        <v>142</v>
      </c>
      <c r="C157" s="11" t="n">
        <v>9</v>
      </c>
      <c r="D157" s="11" t="n">
        <f aca="false">IF(AND(C157&gt;=6,C157&lt;=9),1,0)</f>
        <v>1</v>
      </c>
      <c r="E157" s="22" t="n">
        <v>919.144</v>
      </c>
      <c r="F157" s="22" t="n">
        <v>0.56</v>
      </c>
      <c r="G157" s="25" t="n">
        <f aca="false">E157-F157</f>
        <v>918.584</v>
      </c>
      <c r="H157" s="22" t="n">
        <v>90.803</v>
      </c>
      <c r="I157" s="22" t="n">
        <v>163.62</v>
      </c>
      <c r="J157" s="22" t="n">
        <v>345.762</v>
      </c>
      <c r="K157" s="22" t="n">
        <v>318.959</v>
      </c>
      <c r="L157" s="22" t="n">
        <v>3.46</v>
      </c>
      <c r="M157" s="26" t="n">
        <f aca="false">Rates!$F$5+IF(D157=1,E157*Rates!$F$6,MIN(E157,Rates!$F$11)*Rates!$F$7+MAX(E157-Rates!$F$11,0)*Rates!$F$8)+E157*(Rates!$F$9+Rates!$F$10)</f>
        <v>147.92129112</v>
      </c>
      <c r="N157" s="26" t="n">
        <f aca="false">Rates!$F$12+H157*IF(D157=1,Rates!$F$13,Rates!$F$14)+I157*Rates!$F$15+J157*IF(D157=1,Rates!$F$16,Rates!$F$18)+K157*IF(D157=1,Rates!$F$17,Rates!$F$19)+E157*(Rates!$F$20+Rates!$F$21)</f>
        <v>140.16603792</v>
      </c>
      <c r="O157" s="26" t="n">
        <f aca="false">Rates!$F$22+IF(D157=1,E157*Rates!$F$23,E157*Rates!$F$24)+E157*(Rates!$F$25+Rates!$F$26)</f>
        <v>147.92129112</v>
      </c>
      <c r="P157" s="26" t="n">
        <f aca="false">Rates!$F$27+IF(D157=1,G157*Rates!$F$28,MIN(G157,Rates!$F$35)*Rates!$F$29+MAX(G157-Rates!$F$35,0)*Rates!$F$30)+IF(F157&gt;0,Rates!$F$31,0)+F157*Rates!$F$32+E157*(Rates!$F$33+Rates!$F$34)</f>
        <v>152.82005672</v>
      </c>
      <c r="Q157" s="26" t="n">
        <f aca="false">IF(L157&gt;0,Rates!$F$36,0)+L157*(Rates!$F$37+Rates!$F$38+Rates!$F$39)</f>
        <v>12.7361726</v>
      </c>
    </row>
    <row r="158" customFormat="false" ht="15" hidden="false" customHeight="false" outlineLevel="0" collapsed="false">
      <c r="A158" s="11" t="s">
        <v>163</v>
      </c>
      <c r="B158" s="11" t="s">
        <v>142</v>
      </c>
      <c r="C158" s="11" t="n">
        <v>10</v>
      </c>
      <c r="D158" s="11" t="n">
        <f aca="false">IF(AND(C158&gt;=6,C158&lt;=9),1,0)</f>
        <v>0</v>
      </c>
      <c r="E158" s="22" t="n">
        <v>656.05</v>
      </c>
      <c r="F158" s="22" t="n">
        <v>32.177</v>
      </c>
      <c r="G158" s="25" t="n">
        <f aca="false">E158-F158</f>
        <v>623.873</v>
      </c>
      <c r="H158" s="22" t="n">
        <v>75.865</v>
      </c>
      <c r="I158" s="22" t="n">
        <v>112.221</v>
      </c>
      <c r="J158" s="22" t="n">
        <v>308.592</v>
      </c>
      <c r="K158" s="22" t="n">
        <v>159.372</v>
      </c>
      <c r="L158" s="22" t="n">
        <v>46.538</v>
      </c>
      <c r="M158" s="26" t="n">
        <f aca="false">Rates!$F$5+IF(D158=1,E158*Rates!$F$6,MIN(E158,Rates!$F$11)*Rates!$F$7+MAX(E158-Rates!$F$11,0)*Rates!$F$8)+E158*(Rates!$F$9+Rates!$F$10)</f>
        <v>97.642672</v>
      </c>
      <c r="N158" s="26" t="n">
        <f aca="false">Rates!$F$12+H158*IF(D158=1,Rates!$F$13,Rates!$F$14)+I158*Rates!$F$15+J158*IF(D158=1,Rates!$F$16,Rates!$F$18)+K158*IF(D158=1,Rates!$F$17,Rates!$F$19)+E158*(Rates!$F$20+Rates!$F$21)</f>
        <v>91.076529</v>
      </c>
      <c r="O158" s="26" t="n">
        <f aca="false">Rates!$F$22+IF(D158=1,E158*Rates!$F$23,E158*Rates!$F$24)+E158*(Rates!$F$25+Rates!$F$26)</f>
        <v>57.649864</v>
      </c>
      <c r="P158" s="26" t="n">
        <f aca="false">Rates!$F$27+IF(D158=1,G158*Rates!$F$28,MIN(G158,Rates!$F$35)*Rates!$F$29+MAX(G158-Rates!$F$35,0)*Rates!$F$30)+IF(F158&gt;0,Rates!$F$31,0)+F158*Rates!$F$32+E158*(Rates!$F$33+Rates!$F$34)</f>
        <v>100.1504377</v>
      </c>
      <c r="Q158" s="26" t="n">
        <f aca="false">IF(L158&gt;0,Rates!$F$36,0)+L158*(Rates!$F$37+Rates!$F$38+Rates!$F$39)</f>
        <v>53.02745678</v>
      </c>
    </row>
    <row r="159" customFormat="false" ht="15" hidden="false" customHeight="false" outlineLevel="0" collapsed="false">
      <c r="A159" s="11" t="s">
        <v>163</v>
      </c>
      <c r="B159" s="11" t="s">
        <v>142</v>
      </c>
      <c r="C159" s="11" t="n">
        <v>11</v>
      </c>
      <c r="D159" s="11" t="n">
        <f aca="false">IF(AND(C159&gt;=6,C159&lt;=9),1,0)</f>
        <v>0</v>
      </c>
      <c r="E159" s="22" t="n">
        <v>744.498</v>
      </c>
      <c r="F159" s="22" t="n">
        <v>116.182</v>
      </c>
      <c r="G159" s="25" t="n">
        <f aca="false">E159-F159</f>
        <v>628.316</v>
      </c>
      <c r="H159" s="22" t="n">
        <v>94.301</v>
      </c>
      <c r="I159" s="22" t="n">
        <v>135.246</v>
      </c>
      <c r="J159" s="22" t="n">
        <v>323.475</v>
      </c>
      <c r="K159" s="22" t="n">
        <v>191.477</v>
      </c>
      <c r="L159" s="22" t="n">
        <v>158.924</v>
      </c>
      <c r="M159" s="26" t="n">
        <f aca="false">Rates!$F$5+IF(D159=1,E159*Rates!$F$6,MIN(E159,Rates!$F$11)*Rates!$F$7+MAX(E159-Rates!$F$11,0)*Rates!$F$8)+E159*(Rates!$F$9+Rates!$F$10)</f>
        <v>109.72820672</v>
      </c>
      <c r="N159" s="26" t="n">
        <f aca="false">Rates!$F$12+H159*IF(D159=1,Rates!$F$13,Rates!$F$14)+I159*Rates!$F$15+J159*IF(D159=1,Rates!$F$16,Rates!$F$18)+K159*IF(D159=1,Rates!$F$17,Rates!$F$19)+E159*(Rates!$F$20+Rates!$F$21)</f>
        <v>102.49306864</v>
      </c>
      <c r="O159" s="26" t="n">
        <f aca="false">Rates!$F$22+IF(D159=1,E159*Rates!$F$23,E159*Rates!$F$24)+E159*(Rates!$F$25+Rates!$F$26)</f>
        <v>64.34360864</v>
      </c>
      <c r="P159" s="26" t="n">
        <f aca="false">Rates!$F$27+IF(D159=1,G159*Rates!$F$28,MIN(G159,Rates!$F$35)*Rates!$F$29+MAX(G159-Rates!$F$35,0)*Rates!$F$30)+IF(F159&gt;0,Rates!$F$31,0)+F159*Rates!$F$32+E159*(Rates!$F$33+Rates!$F$34)</f>
        <v>105.85999292</v>
      </c>
      <c r="Q159" s="26" t="n">
        <f aca="false">IF(L159&gt;0,Rates!$F$36,0)+L159*(Rates!$F$37+Rates!$F$38+Rates!$F$39)</f>
        <v>158.14320644</v>
      </c>
    </row>
    <row r="160" customFormat="false" ht="15" hidden="false" customHeight="false" outlineLevel="0" collapsed="false">
      <c r="A160" s="11" t="s">
        <v>163</v>
      </c>
      <c r="B160" s="11" t="s">
        <v>142</v>
      </c>
      <c r="C160" s="11" t="n">
        <v>12</v>
      </c>
      <c r="D160" s="11" t="n">
        <f aca="false">IF(AND(C160&gt;=6,C160&lt;=9),1,0)</f>
        <v>0</v>
      </c>
      <c r="E160" s="22" t="n">
        <v>841.143</v>
      </c>
      <c r="F160" s="22" t="n">
        <v>142.519</v>
      </c>
      <c r="G160" s="25" t="n">
        <f aca="false">E160-F160</f>
        <v>698.624</v>
      </c>
      <c r="H160" s="22" t="n">
        <v>91.444</v>
      </c>
      <c r="I160" s="22" t="n">
        <v>140.989</v>
      </c>
      <c r="J160" s="22" t="n">
        <v>332.454</v>
      </c>
      <c r="K160" s="22" t="n">
        <v>276.256</v>
      </c>
      <c r="L160" s="22" t="n">
        <v>194.535</v>
      </c>
      <c r="M160" s="26" t="n">
        <f aca="false">Rates!$F$5+IF(D160=1,E160*Rates!$F$6,MIN(E160,Rates!$F$11)*Rates!$F$7+MAX(E160-Rates!$F$11,0)*Rates!$F$8)+E160*(Rates!$F$9+Rates!$F$10)</f>
        <v>122.93377952</v>
      </c>
      <c r="N160" s="26" t="n">
        <f aca="false">Rates!$F$12+H160*IF(D160=1,Rates!$F$13,Rates!$F$14)+I160*Rates!$F$15+J160*IF(D160=1,Rates!$F$16,Rates!$F$18)+K160*IF(D160=1,Rates!$F$17,Rates!$F$19)+E160*(Rates!$F$20+Rates!$F$21)</f>
        <v>114.26687724</v>
      </c>
      <c r="O160" s="26" t="n">
        <f aca="false">Rates!$F$22+IF(D160=1,E160*Rates!$F$23,E160*Rates!$F$24)+E160*(Rates!$F$25+Rates!$F$26)</f>
        <v>71.65770224</v>
      </c>
      <c r="P160" s="26" t="n">
        <f aca="false">Rates!$F$27+IF(D160=1,G160*Rates!$F$28,MIN(G160,Rates!$F$35)*Rates!$F$29+MAX(G160-Rates!$F$35,0)*Rates!$F$30)+IF(F160&gt;0,Rates!$F$31,0)+F160*Rates!$F$32+E160*(Rates!$F$33+Rates!$F$34)</f>
        <v>117.06658742</v>
      </c>
      <c r="Q160" s="26" t="n">
        <f aca="false">IF(L160&gt;0,Rates!$F$36,0)+L160*(Rates!$F$37+Rates!$F$38+Rates!$F$39)</f>
        <v>191.45053085</v>
      </c>
    </row>
    <row r="161" customFormat="false" ht="15" hidden="false" customHeight="false" outlineLevel="0" collapsed="false">
      <c r="A161" s="11" t="s">
        <v>163</v>
      </c>
      <c r="B161" s="11" t="s">
        <v>143</v>
      </c>
      <c r="C161" s="11" t="n">
        <v>1</v>
      </c>
      <c r="D161" s="11" t="n">
        <f aca="false">IF(AND(C161&gt;=6,C161&lt;=9),1,0)</f>
        <v>0</v>
      </c>
      <c r="E161" s="22" t="n">
        <v>3497.557</v>
      </c>
      <c r="F161" s="22" t="n">
        <v>2828.933</v>
      </c>
      <c r="G161" s="25" t="n">
        <f aca="false">E161-F161</f>
        <v>668.624</v>
      </c>
      <c r="H161" s="22" t="n">
        <v>302.154</v>
      </c>
      <c r="I161" s="22" t="n">
        <v>885.518</v>
      </c>
      <c r="J161" s="22" t="n">
        <v>1510.311</v>
      </c>
      <c r="K161" s="22" t="n">
        <v>799.573</v>
      </c>
      <c r="L161" s="22" t="n">
        <v>4.379</v>
      </c>
      <c r="M161" s="26" t="n">
        <f aca="false">Rates!$F$5+IF(D161=1,E161*Rates!$F$6,MIN(E161,Rates!$F$11)*Rates!$F$7+MAX(E161-Rates!$F$11,0)*Rates!$F$8)+E161*(Rates!$F$9+Rates!$F$10)</f>
        <v>479.46249142</v>
      </c>
      <c r="N161" s="26" t="n">
        <f aca="false">Rates!$F$12+H161*IF(D161=1,Rates!$F$13,Rates!$F$14)+I161*Rates!$F$15+J161*IF(D161=1,Rates!$F$16,Rates!$F$18)+K161*IF(D161=1,Rates!$F$17,Rates!$F$19)+E161*(Rates!$F$20+Rates!$F$21)</f>
        <v>434.70896376</v>
      </c>
      <c r="O161" s="26" t="n">
        <f aca="false">Rates!$F$22+IF(D161=1,E161*Rates!$F$23,E161*Rates!$F$24)+E161*(Rates!$F$25+Rates!$F$26)</f>
        <v>272.69511376</v>
      </c>
      <c r="P161" s="26" t="n">
        <f aca="false">Rates!$F$27+IF(D161=1,G161*Rates!$F$28,MIN(G161,Rates!$F$35)*Rates!$F$29+MAX(G161-Rates!$F$35,0)*Rates!$F$30)+IF(F161&gt;0,Rates!$F$31,0)+F161*Rates!$F$32+E161*(Rates!$F$33+Rates!$F$34)</f>
        <v>276.14017378</v>
      </c>
      <c r="Q161" s="26" t="n">
        <f aca="false">IF(L161&gt;0,Rates!$F$36,0)+L161*(Rates!$F$37+Rates!$F$38+Rates!$F$39)</f>
        <v>13.59572249</v>
      </c>
    </row>
    <row r="162" customFormat="false" ht="15" hidden="false" customHeight="false" outlineLevel="0" collapsed="false">
      <c r="A162" s="11" t="s">
        <v>163</v>
      </c>
      <c r="B162" s="11" t="s">
        <v>143</v>
      </c>
      <c r="C162" s="11" t="n">
        <v>2</v>
      </c>
      <c r="D162" s="11" t="n">
        <f aca="false">IF(AND(C162&gt;=6,C162&lt;=9),1,0)</f>
        <v>0</v>
      </c>
      <c r="E162" s="22" t="n">
        <v>3063.41</v>
      </c>
      <c r="F162" s="22" t="n">
        <v>2478.059</v>
      </c>
      <c r="G162" s="25" t="n">
        <f aca="false">E162-F162</f>
        <v>585.351</v>
      </c>
      <c r="H162" s="22" t="n">
        <v>262.563</v>
      </c>
      <c r="I162" s="22" t="n">
        <v>792.445</v>
      </c>
      <c r="J162" s="22" t="n">
        <v>1345.697</v>
      </c>
      <c r="K162" s="22" t="n">
        <v>662.705</v>
      </c>
      <c r="L162" s="22" t="n">
        <v>2.78</v>
      </c>
      <c r="M162" s="26" t="n">
        <f aca="false">Rates!$F$5+IF(D162=1,E162*Rates!$F$6,MIN(E162,Rates!$F$11)*Rates!$F$7+MAX(E162-Rates!$F$11,0)*Rates!$F$8)+E162*(Rates!$F$9+Rates!$F$10)</f>
        <v>421.2607446</v>
      </c>
      <c r="N162" s="26" t="n">
        <f aca="false">Rates!$F$12+H162*IF(D162=1,Rates!$F$13,Rates!$F$14)+I162*Rates!$F$15+J162*IF(D162=1,Rates!$F$16,Rates!$F$18)+K162*IF(D162=1,Rates!$F$17,Rates!$F$19)+E162*(Rates!$F$20+Rates!$F$21)</f>
        <v>381.0275738</v>
      </c>
      <c r="O162" s="26" t="n">
        <f aca="false">Rates!$F$22+IF(D162=1,E162*Rates!$F$23,E162*Rates!$F$24)+E162*(Rates!$F$25+Rates!$F$26)</f>
        <v>239.8388688</v>
      </c>
      <c r="P162" s="26" t="n">
        <f aca="false">Rates!$F$27+IF(D162=1,G162*Rates!$F$28,MIN(G162,Rates!$F$35)*Rates!$F$29+MAX(G162-Rates!$F$35,0)*Rates!$F$30)+IF(F162&gt;0,Rates!$F$31,0)+F162*Rates!$F$32+E162*(Rates!$F$33+Rates!$F$34)</f>
        <v>243.4496643</v>
      </c>
      <c r="Q162" s="26" t="n">
        <f aca="false">IF(L162&gt;0,Rates!$F$36,0)+L162*(Rates!$F$37+Rates!$F$38+Rates!$F$39)</f>
        <v>12.1001618</v>
      </c>
    </row>
    <row r="163" customFormat="false" ht="15" hidden="false" customHeight="false" outlineLevel="0" collapsed="false">
      <c r="A163" s="11" t="s">
        <v>163</v>
      </c>
      <c r="B163" s="11" t="s">
        <v>143</v>
      </c>
      <c r="C163" s="11" t="n">
        <v>3</v>
      </c>
      <c r="D163" s="11" t="n">
        <f aca="false">IF(AND(C163&gt;=6,C163&lt;=9),1,0)</f>
        <v>0</v>
      </c>
      <c r="E163" s="22" t="n">
        <v>1826.507</v>
      </c>
      <c r="F163" s="22" t="n">
        <v>1159.958</v>
      </c>
      <c r="G163" s="25" t="n">
        <f aca="false">E163-F163</f>
        <v>666.549</v>
      </c>
      <c r="H163" s="22" t="n">
        <v>151.203</v>
      </c>
      <c r="I163" s="22" t="n">
        <v>430.783</v>
      </c>
      <c r="J163" s="22" t="n">
        <v>842.159</v>
      </c>
      <c r="K163" s="22" t="n">
        <v>402.361</v>
      </c>
      <c r="L163" s="22" t="n">
        <v>2.256</v>
      </c>
      <c r="M163" s="26" t="n">
        <f aca="false">Rates!$F$5+IF(D163=1,E163*Rates!$F$6,MIN(E163,Rates!$F$11)*Rates!$F$7+MAX(E163-Rates!$F$11,0)*Rates!$F$8)+E163*(Rates!$F$9+Rates!$F$10)</f>
        <v>255.44152842</v>
      </c>
      <c r="N163" s="26" t="n">
        <f aca="false">Rates!$F$12+H163*IF(D163=1,Rates!$F$13,Rates!$F$14)+I163*Rates!$F$15+J163*IF(D163=1,Rates!$F$16,Rates!$F$18)+K163*IF(D163=1,Rates!$F$17,Rates!$F$19)+E163*(Rates!$F$20+Rates!$F$21)</f>
        <v>231.55006476</v>
      </c>
      <c r="O163" s="26" t="n">
        <f aca="false">Rates!$F$22+IF(D163=1,E163*Rates!$F$23,E163*Rates!$F$24)+E163*(Rates!$F$25+Rates!$F$26)</f>
        <v>146.23004976</v>
      </c>
      <c r="P163" s="26" t="n">
        <f aca="false">Rates!$F$27+IF(D163=1,G163*Rates!$F$28,MIN(G163,Rates!$F$35)*Rates!$F$29+MAX(G163-Rates!$F$35,0)*Rates!$F$30)+IF(F163&gt;0,Rates!$F$31,0)+F163*Rates!$F$32+E163*(Rates!$F$33+Rates!$F$34)</f>
        <v>174.48310428</v>
      </c>
      <c r="Q163" s="26" t="n">
        <f aca="false">IF(L163&gt;0,Rates!$F$36,0)+L163*(Rates!$F$37+Rates!$F$38+Rates!$F$39)</f>
        <v>11.61005936</v>
      </c>
    </row>
    <row r="164" customFormat="false" ht="15" hidden="false" customHeight="false" outlineLevel="0" collapsed="false">
      <c r="A164" s="11" t="s">
        <v>163</v>
      </c>
      <c r="B164" s="11" t="s">
        <v>143</v>
      </c>
      <c r="C164" s="11" t="n">
        <v>4</v>
      </c>
      <c r="D164" s="11" t="n">
        <f aca="false">IF(AND(C164&gt;=6,C164&lt;=9),1,0)</f>
        <v>0</v>
      </c>
      <c r="E164" s="22" t="n">
        <v>1473.213</v>
      </c>
      <c r="F164" s="22" t="n">
        <v>858.366</v>
      </c>
      <c r="G164" s="25" t="n">
        <f aca="false">E164-F164</f>
        <v>614.847</v>
      </c>
      <c r="H164" s="22" t="n">
        <v>127.386</v>
      </c>
      <c r="I164" s="22" t="n">
        <v>347.006</v>
      </c>
      <c r="J164" s="22" t="n">
        <v>620.628</v>
      </c>
      <c r="K164" s="22" t="n">
        <v>378.194</v>
      </c>
      <c r="L164" s="22" t="n">
        <v>2.546</v>
      </c>
      <c r="M164" s="26" t="n">
        <f aca="false">Rates!$F$5+IF(D164=1,E164*Rates!$F$6,MIN(E164,Rates!$F$11)*Rates!$F$7+MAX(E164-Rates!$F$11,0)*Rates!$F$8)+E164*(Rates!$F$9+Rates!$F$10)</f>
        <v>208.07893478</v>
      </c>
      <c r="N164" s="26" t="n">
        <f aca="false">Rates!$F$12+H164*IF(D164=1,Rates!$F$13,Rates!$F$14)+I164*Rates!$F$15+J164*IF(D164=1,Rates!$F$16,Rates!$F$18)+K164*IF(D164=1,Rates!$F$17,Rates!$F$19)+E164*(Rates!$F$20+Rates!$F$21)</f>
        <v>188.65146984</v>
      </c>
      <c r="O164" s="26" t="n">
        <f aca="false">Rates!$F$22+IF(D164=1,E164*Rates!$F$23,E164*Rates!$F$24)+E164*(Rates!$F$25+Rates!$F$26)</f>
        <v>119.49275984</v>
      </c>
      <c r="P164" s="26" t="n">
        <f aca="false">Rates!$F$27+IF(D164=1,G164*Rates!$F$28,MIN(G164,Rates!$F$35)*Rates!$F$29+MAX(G164-Rates!$F$35,0)*Rates!$F$30)+IF(F164&gt;0,Rates!$F$31,0)+F164*Rates!$F$32+E164*(Rates!$F$33+Rates!$F$34)</f>
        <v>149.09984492</v>
      </c>
      <c r="Q164" s="26" t="n">
        <f aca="false">IF(L164&gt;0,Rates!$F$36,0)+L164*(Rates!$F$37+Rates!$F$38+Rates!$F$39)</f>
        <v>11.88129926</v>
      </c>
    </row>
    <row r="165" customFormat="false" ht="15" hidden="false" customHeight="false" outlineLevel="0" collapsed="false">
      <c r="A165" s="11" t="s">
        <v>163</v>
      </c>
      <c r="B165" s="11" t="s">
        <v>143</v>
      </c>
      <c r="C165" s="11" t="n">
        <v>5</v>
      </c>
      <c r="D165" s="11" t="n">
        <f aca="false">IF(AND(C165&gt;=6,C165&lt;=9),1,0)</f>
        <v>0</v>
      </c>
      <c r="E165" s="22" t="n">
        <v>887.923</v>
      </c>
      <c r="F165" s="22" t="n">
        <v>3.753</v>
      </c>
      <c r="G165" s="25" t="n">
        <f aca="false">E165-F165</f>
        <v>884.17</v>
      </c>
      <c r="H165" s="22" t="n">
        <v>110.008</v>
      </c>
      <c r="I165" s="22" t="n">
        <v>143.217</v>
      </c>
      <c r="J165" s="22" t="n">
        <v>393.568</v>
      </c>
      <c r="K165" s="22" t="n">
        <v>241.129</v>
      </c>
      <c r="L165" s="22" t="n">
        <v>2.838</v>
      </c>
      <c r="M165" s="26" t="n">
        <f aca="false">Rates!$F$5+IF(D165=1,E165*Rates!$F$6,MIN(E165,Rates!$F$11)*Rates!$F$7+MAX(E165-Rates!$F$11,0)*Rates!$F$8)+E165*(Rates!$F$9+Rates!$F$10)</f>
        <v>129.32579872</v>
      </c>
      <c r="N165" s="26" t="n">
        <f aca="false">Rates!$F$12+H165*IF(D165=1,Rates!$F$13,Rates!$F$14)+I165*Rates!$F$15+J165*IF(D165=1,Rates!$F$16,Rates!$F$18)+K165*IF(D165=1,Rates!$F$17,Rates!$F$19)+E165*(Rates!$F$20+Rates!$F$21)</f>
        <v>121.18193764</v>
      </c>
      <c r="O165" s="26" t="n">
        <f aca="false">Rates!$F$22+IF(D165=1,E165*Rates!$F$23,E165*Rates!$F$24)+E165*(Rates!$F$25+Rates!$F$26)</f>
        <v>75.19801264</v>
      </c>
      <c r="P165" s="26" t="n">
        <f aca="false">Rates!$F$27+IF(D165=1,G165*Rates!$F$28,MIN(G165,Rates!$F$35)*Rates!$F$29+MAX(G165-Rates!$F$35,0)*Rates!$F$30)+IF(F165&gt;0,Rates!$F$31,0)+F165*Rates!$F$32+E165*(Rates!$F$33+Rates!$F$34)</f>
        <v>133.99094602</v>
      </c>
      <c r="Q165" s="26" t="n">
        <f aca="false">IF(L165&gt;0,Rates!$F$36,0)+L165*(Rates!$F$37+Rates!$F$38+Rates!$F$39)</f>
        <v>12.15440978</v>
      </c>
    </row>
    <row r="166" customFormat="false" ht="15" hidden="false" customHeight="false" outlineLevel="0" collapsed="false">
      <c r="A166" s="11" t="s">
        <v>163</v>
      </c>
      <c r="B166" s="11" t="s">
        <v>143</v>
      </c>
      <c r="C166" s="11" t="n">
        <v>6</v>
      </c>
      <c r="D166" s="11" t="n">
        <f aca="false">IF(AND(C166&gt;=6,C166&lt;=9),1,0)</f>
        <v>1</v>
      </c>
      <c r="E166" s="22" t="n">
        <v>1047.488</v>
      </c>
      <c r="F166" s="22" t="n">
        <v>0</v>
      </c>
      <c r="G166" s="25" t="n">
        <f aca="false">E166-F166</f>
        <v>1047.488</v>
      </c>
      <c r="H166" s="22" t="n">
        <v>125.834</v>
      </c>
      <c r="I166" s="22" t="n">
        <v>186.088</v>
      </c>
      <c r="J166" s="22" t="n">
        <v>456.6</v>
      </c>
      <c r="K166" s="22" t="n">
        <v>278.966</v>
      </c>
      <c r="L166" s="22" t="n">
        <v>2.998</v>
      </c>
      <c r="M166" s="26" t="n">
        <f aca="false">Rates!$F$5+IF(D166=1,E166*Rates!$F$6,MIN(E166,Rates!$F$11)*Rates!$F$7+MAX(E166-Rates!$F$11,0)*Rates!$F$8)+E166*(Rates!$F$9+Rates!$F$10)</f>
        <v>167.45909824</v>
      </c>
      <c r="N166" s="26" t="n">
        <f aca="false">Rates!$F$12+H166*IF(D166=1,Rates!$F$13,Rates!$F$14)+I166*Rates!$F$15+J166*IF(D166=1,Rates!$F$16,Rates!$F$18)+K166*IF(D166=1,Rates!$F$17,Rates!$F$19)+E166*(Rates!$F$20+Rates!$F$21)</f>
        <v>160.42993184</v>
      </c>
      <c r="O166" s="26" t="n">
        <f aca="false">Rates!$F$22+IF(D166=1,E166*Rates!$F$23,E166*Rates!$F$24)+E166*(Rates!$F$25+Rates!$F$26)</f>
        <v>167.45909824</v>
      </c>
      <c r="P166" s="26" t="n">
        <f aca="false">Rates!$F$27+IF(D166=1,G166*Rates!$F$28,MIN(G166,Rates!$F$35)*Rates!$F$29+MAX(G166-Rates!$F$35,0)*Rates!$F$30)+IF(F166&gt;0,Rates!$F$31,0)+F166*Rates!$F$32+E166*(Rates!$F$33+Rates!$F$34)</f>
        <v>167.45909824</v>
      </c>
      <c r="Q166" s="26" t="n">
        <f aca="false">IF(L166&gt;0,Rates!$F$36,0)+L166*(Rates!$F$37+Rates!$F$38+Rates!$F$39)</f>
        <v>12.30405938</v>
      </c>
    </row>
    <row r="167" customFormat="false" ht="15" hidden="false" customHeight="false" outlineLevel="0" collapsed="false">
      <c r="A167" s="11" t="s">
        <v>163</v>
      </c>
      <c r="B167" s="11" t="s">
        <v>143</v>
      </c>
      <c r="C167" s="11" t="n">
        <v>7</v>
      </c>
      <c r="D167" s="11" t="n">
        <f aca="false">IF(AND(C167&gt;=6,C167&lt;=9),1,0)</f>
        <v>1</v>
      </c>
      <c r="E167" s="22" t="n">
        <v>1184.149</v>
      </c>
      <c r="F167" s="22" t="n">
        <v>0</v>
      </c>
      <c r="G167" s="25" t="n">
        <f aca="false">E167-F167</f>
        <v>1184.149</v>
      </c>
      <c r="H167" s="22" t="n">
        <v>142.137</v>
      </c>
      <c r="I167" s="22" t="n">
        <v>216.56</v>
      </c>
      <c r="J167" s="22" t="n">
        <v>490.052</v>
      </c>
      <c r="K167" s="22" t="n">
        <v>335.4</v>
      </c>
      <c r="L167" s="22" t="n">
        <v>3.646</v>
      </c>
      <c r="M167" s="26" t="n">
        <f aca="false">Rates!$F$5+IF(D167=1,E167*Rates!$F$6,MIN(E167,Rates!$F$11)*Rates!$F$7+MAX(E167-Rates!$F$11,0)*Rates!$F$8)+E167*(Rates!$F$9+Rates!$F$10)</f>
        <v>188.26300227</v>
      </c>
      <c r="N167" s="26" t="n">
        <f aca="false">Rates!$F$12+H167*IF(D167=1,Rates!$F$13,Rates!$F$14)+I167*Rates!$F$15+J167*IF(D167=1,Rates!$F$16,Rates!$F$18)+K167*IF(D167=1,Rates!$F$17,Rates!$F$19)+E167*(Rates!$F$20+Rates!$F$21)</f>
        <v>179.96698632</v>
      </c>
      <c r="O167" s="26" t="n">
        <f aca="false">Rates!$F$22+IF(D167=1,E167*Rates!$F$23,E167*Rates!$F$24)+E167*(Rates!$F$25+Rates!$F$26)</f>
        <v>188.26300227</v>
      </c>
      <c r="P167" s="26" t="n">
        <f aca="false">Rates!$F$27+IF(D167=1,G167*Rates!$F$28,MIN(G167,Rates!$F$35)*Rates!$F$29+MAX(G167-Rates!$F$35,0)*Rates!$F$30)+IF(F167&gt;0,Rates!$F$31,0)+F167*Rates!$F$32+E167*(Rates!$F$33+Rates!$F$34)</f>
        <v>188.26300227</v>
      </c>
      <c r="Q167" s="26" t="n">
        <f aca="false">IF(L167&gt;0,Rates!$F$36,0)+L167*(Rates!$F$37+Rates!$F$38+Rates!$F$39)</f>
        <v>12.91014026</v>
      </c>
    </row>
    <row r="168" customFormat="false" ht="15" hidden="false" customHeight="false" outlineLevel="0" collapsed="false">
      <c r="A168" s="11" t="s">
        <v>163</v>
      </c>
      <c r="B168" s="11" t="s">
        <v>143</v>
      </c>
      <c r="C168" s="11" t="n">
        <v>8</v>
      </c>
      <c r="D168" s="11" t="n">
        <f aca="false">IF(AND(C168&gt;=6,C168&lt;=9),1,0)</f>
        <v>1</v>
      </c>
      <c r="E168" s="22" t="n">
        <v>1130.173</v>
      </c>
      <c r="F168" s="22" t="n">
        <v>0</v>
      </c>
      <c r="G168" s="25" t="n">
        <f aca="false">E168-F168</f>
        <v>1130.173</v>
      </c>
      <c r="H168" s="22" t="n">
        <v>143.997</v>
      </c>
      <c r="I168" s="22" t="n">
        <v>205.049</v>
      </c>
      <c r="J168" s="22" t="n">
        <v>523.995</v>
      </c>
      <c r="K168" s="22" t="n">
        <v>257.132</v>
      </c>
      <c r="L168" s="22" t="n">
        <v>3.416</v>
      </c>
      <c r="M168" s="26" t="n">
        <f aca="false">Rates!$F$5+IF(D168=1,E168*Rates!$F$6,MIN(E168,Rates!$F$11)*Rates!$F$7+MAX(E168-Rates!$F$11,0)*Rates!$F$8)+E168*(Rates!$F$9+Rates!$F$10)</f>
        <v>180.04623579</v>
      </c>
      <c r="N168" s="26" t="n">
        <f aca="false">Rates!$F$12+H168*IF(D168=1,Rates!$F$13,Rates!$F$14)+I168*Rates!$F$15+J168*IF(D168=1,Rates!$F$16,Rates!$F$18)+K168*IF(D168=1,Rates!$F$17,Rates!$F$19)+E168*(Rates!$F$20+Rates!$F$21)</f>
        <v>172.88566764</v>
      </c>
      <c r="O168" s="26" t="n">
        <f aca="false">Rates!$F$22+IF(D168=1,E168*Rates!$F$23,E168*Rates!$F$24)+E168*(Rates!$F$25+Rates!$F$26)</f>
        <v>180.04623579</v>
      </c>
      <c r="P168" s="26" t="n">
        <f aca="false">Rates!$F$27+IF(D168=1,G168*Rates!$F$28,MIN(G168,Rates!$F$35)*Rates!$F$29+MAX(G168-Rates!$F$35,0)*Rates!$F$30)+IF(F168&gt;0,Rates!$F$31,0)+F168*Rates!$F$32+E168*(Rates!$F$33+Rates!$F$34)</f>
        <v>180.04623579</v>
      </c>
      <c r="Q168" s="26" t="n">
        <f aca="false">IF(L168&gt;0,Rates!$F$36,0)+L168*(Rates!$F$37+Rates!$F$38+Rates!$F$39)</f>
        <v>12.69501896</v>
      </c>
    </row>
    <row r="169" customFormat="false" ht="15" hidden="false" customHeight="false" outlineLevel="0" collapsed="false">
      <c r="A169" s="11" t="s">
        <v>163</v>
      </c>
      <c r="B169" s="11" t="s">
        <v>143</v>
      </c>
      <c r="C169" s="11" t="n">
        <v>9</v>
      </c>
      <c r="D169" s="11" t="n">
        <f aca="false">IF(AND(C169&gt;=6,C169&lt;=9),1,0)</f>
        <v>1</v>
      </c>
      <c r="E169" s="22" t="n">
        <v>896.266</v>
      </c>
      <c r="F169" s="22" t="n">
        <v>9.561</v>
      </c>
      <c r="G169" s="25" t="n">
        <f aca="false">E169-F169</f>
        <v>886.705</v>
      </c>
      <c r="H169" s="22" t="n">
        <v>88.034</v>
      </c>
      <c r="I169" s="22" t="n">
        <v>153.836</v>
      </c>
      <c r="J169" s="22" t="n">
        <v>332.512</v>
      </c>
      <c r="K169" s="22" t="n">
        <v>321.884</v>
      </c>
      <c r="L169" s="22" t="n">
        <v>2.713</v>
      </c>
      <c r="M169" s="26" t="n">
        <f aca="false">Rates!$F$5+IF(D169=1,E169*Rates!$F$6,MIN(E169,Rates!$F$11)*Rates!$F$7+MAX(E169-Rates!$F$11,0)*Rates!$F$8)+E169*(Rates!$F$9+Rates!$F$10)</f>
        <v>144.43857318</v>
      </c>
      <c r="N169" s="26" t="n">
        <f aca="false">Rates!$F$12+H169*IF(D169=1,Rates!$F$13,Rates!$F$14)+I169*Rates!$F$15+J169*IF(D169=1,Rates!$F$16,Rates!$F$18)+K169*IF(D169=1,Rates!$F$17,Rates!$F$19)+E169*(Rates!$F$20+Rates!$F$21)</f>
        <v>137.14977088</v>
      </c>
      <c r="O169" s="26" t="n">
        <f aca="false">Rates!$F$22+IF(D169=1,E169*Rates!$F$23,E169*Rates!$F$24)+E169*(Rates!$F$25+Rates!$F$26)</f>
        <v>144.43857318</v>
      </c>
      <c r="P169" s="26" t="n">
        <f aca="false">Rates!$F$27+IF(D169=1,G169*Rates!$F$28,MIN(G169,Rates!$F$35)*Rates!$F$29+MAX(G169-Rates!$F$35,0)*Rates!$F$30)+IF(F169&gt;0,Rates!$F$31,0)+F169*Rates!$F$32+E169*(Rates!$F$33+Rates!$F$34)</f>
        <v>148.51383729</v>
      </c>
      <c r="Q169" s="26" t="n">
        <f aca="false">IF(L169&gt;0,Rates!$F$36,0)+L169*(Rates!$F$37+Rates!$F$38+Rates!$F$39)</f>
        <v>12.03749603</v>
      </c>
    </row>
    <row r="170" customFormat="false" ht="15" hidden="false" customHeight="false" outlineLevel="0" collapsed="false">
      <c r="A170" s="11" t="s">
        <v>163</v>
      </c>
      <c r="B170" s="11" t="s">
        <v>143</v>
      </c>
      <c r="C170" s="11" t="n">
        <v>10</v>
      </c>
      <c r="D170" s="11" t="n">
        <f aca="false">IF(AND(C170&gt;=6,C170&lt;=9),1,0)</f>
        <v>0</v>
      </c>
      <c r="E170" s="22" t="n">
        <v>947.865</v>
      </c>
      <c r="F170" s="22" t="n">
        <v>352.881</v>
      </c>
      <c r="G170" s="25" t="n">
        <f aca="false">E170-F170</f>
        <v>594.984</v>
      </c>
      <c r="H170" s="22" t="n">
        <v>87.762</v>
      </c>
      <c r="I170" s="22" t="n">
        <v>202.418</v>
      </c>
      <c r="J170" s="22" t="n">
        <v>438.786</v>
      </c>
      <c r="K170" s="22" t="n">
        <v>218.9</v>
      </c>
      <c r="L170" s="22" t="n">
        <v>3.571</v>
      </c>
      <c r="M170" s="26" t="n">
        <f aca="false">Rates!$F$5+IF(D170=1,E170*Rates!$F$6,MIN(E170,Rates!$F$11)*Rates!$F$7+MAX(E170-Rates!$F$11,0)*Rates!$F$8)+E170*(Rates!$F$9+Rates!$F$10)</f>
        <v>137.5162736</v>
      </c>
      <c r="N170" s="26" t="n">
        <f aca="false">Rates!$F$12+H170*IF(D170=1,Rates!$F$13,Rates!$F$14)+I170*Rates!$F$15+J170*IF(D170=1,Rates!$F$16,Rates!$F$18)+K170*IF(D170=1,Rates!$F$17,Rates!$F$19)+E170*(Rates!$F$20+Rates!$F$21)</f>
        <v>125.3088732</v>
      </c>
      <c r="O170" s="26" t="n">
        <f aca="false">Rates!$F$22+IF(D170=1,E170*Rates!$F$23,E170*Rates!$F$24)+E170*(Rates!$F$25+Rates!$F$26)</f>
        <v>79.7344232</v>
      </c>
      <c r="P170" s="26" t="n">
        <f aca="false">Rates!$F$27+IF(D170=1,G170*Rates!$F$28,MIN(G170,Rates!$F$35)*Rates!$F$29+MAX(G170-Rates!$F$35,0)*Rates!$F$30)+IF(F170&gt;0,Rates!$F$31,0)+F170*Rates!$F$32+E170*(Rates!$F$33+Rates!$F$34)</f>
        <v>115.6826057</v>
      </c>
      <c r="Q170" s="26" t="n">
        <f aca="false">IF(L170&gt;0,Rates!$F$36,0)+L170*(Rates!$F$37+Rates!$F$38+Rates!$F$39)</f>
        <v>12.83999201</v>
      </c>
    </row>
    <row r="171" customFormat="false" ht="15" hidden="false" customHeight="false" outlineLevel="0" collapsed="false">
      <c r="A171" s="11" t="s">
        <v>163</v>
      </c>
      <c r="B171" s="11" t="s">
        <v>143</v>
      </c>
      <c r="C171" s="11" t="n">
        <v>11</v>
      </c>
      <c r="D171" s="11" t="n">
        <f aca="false">IF(AND(C171&gt;=6,C171&lt;=9),1,0)</f>
        <v>0</v>
      </c>
      <c r="E171" s="22" t="n">
        <v>2033.644</v>
      </c>
      <c r="F171" s="22" t="n">
        <v>1441.316</v>
      </c>
      <c r="G171" s="25" t="n">
        <f aca="false">E171-F171</f>
        <v>592.328</v>
      </c>
      <c r="H171" s="22" t="n">
        <v>190.432</v>
      </c>
      <c r="I171" s="22" t="n">
        <v>488.562</v>
      </c>
      <c r="J171" s="22" t="n">
        <v>885.112</v>
      </c>
      <c r="K171" s="22" t="n">
        <v>469.537</v>
      </c>
      <c r="L171" s="22" t="n">
        <v>3.783</v>
      </c>
      <c r="M171" s="26" t="n">
        <f aca="false">Rates!$F$5+IF(D171=1,E171*Rates!$F$6,MIN(E171,Rates!$F$11)*Rates!$F$7+MAX(E171-Rates!$F$11,0)*Rates!$F$8)+E171*(Rates!$F$9+Rates!$F$10)</f>
        <v>283.21031464</v>
      </c>
      <c r="N171" s="26" t="n">
        <f aca="false">Rates!$F$12+H171*IF(D171=1,Rates!$F$13,Rates!$F$14)+I171*Rates!$F$15+J171*IF(D171=1,Rates!$F$16,Rates!$F$18)+K171*IF(D171=1,Rates!$F$17,Rates!$F$19)+E171*(Rates!$F$20+Rates!$F$21)</f>
        <v>257.91451792</v>
      </c>
      <c r="O171" s="26" t="n">
        <f aca="false">Rates!$F$22+IF(D171=1,E171*Rates!$F$23,E171*Rates!$F$24)+E171*(Rates!$F$25+Rates!$F$26)</f>
        <v>161.90617792</v>
      </c>
      <c r="P171" s="26" t="n">
        <f aca="false">Rates!$F$27+IF(D171=1,G171*Rates!$F$28,MIN(G171,Rates!$F$35)*Rates!$F$29+MAX(G171-Rates!$F$35,0)*Rates!$F$30)+IF(F171&gt;0,Rates!$F$31,0)+F171*Rates!$F$32+E171*(Rates!$F$33+Rates!$F$34)</f>
        <v>181.43123176</v>
      </c>
      <c r="Q171" s="26" t="n">
        <f aca="false">IF(L171&gt;0,Rates!$F$36,0)+L171*(Rates!$F$37+Rates!$F$38+Rates!$F$39)</f>
        <v>13.03827773</v>
      </c>
    </row>
    <row r="172" customFormat="false" ht="15" hidden="false" customHeight="false" outlineLevel="0" collapsed="false">
      <c r="A172" s="11" t="s">
        <v>163</v>
      </c>
      <c r="B172" s="11" t="s">
        <v>143</v>
      </c>
      <c r="C172" s="11" t="n">
        <v>12</v>
      </c>
      <c r="D172" s="11" t="n">
        <f aca="false">IF(AND(C172&gt;=6,C172&lt;=9),1,0)</f>
        <v>0</v>
      </c>
      <c r="E172" s="22" t="n">
        <v>2438.938</v>
      </c>
      <c r="F172" s="22" t="n">
        <v>1777.514</v>
      </c>
      <c r="G172" s="25" t="n">
        <f aca="false">E172-F172</f>
        <v>661.424</v>
      </c>
      <c r="H172" s="22" t="n">
        <v>211.257</v>
      </c>
      <c r="I172" s="22" t="n">
        <v>576.749</v>
      </c>
      <c r="J172" s="22" t="n">
        <v>965.305</v>
      </c>
      <c r="K172" s="22" t="n">
        <v>685.627</v>
      </c>
      <c r="L172" s="22" t="n">
        <v>4.225</v>
      </c>
      <c r="M172" s="26" t="n">
        <f aca="false">Rates!$F$5+IF(D172=1,E172*Rates!$F$6,MIN(E172,Rates!$F$11)*Rates!$F$7+MAX(E172-Rates!$F$11,0)*Rates!$F$8)+E172*(Rates!$F$9+Rates!$F$10)</f>
        <v>337.54402828</v>
      </c>
      <c r="N172" s="26" t="n">
        <f aca="false">Rates!$F$12+H172*IF(D172=1,Rates!$F$13,Rates!$F$14)+I172*Rates!$F$15+J172*IF(D172=1,Rates!$F$16,Rates!$F$18)+K172*IF(D172=1,Rates!$F$17,Rates!$F$19)+E172*(Rates!$F$20+Rates!$F$21)</f>
        <v>307.01493284</v>
      </c>
      <c r="O172" s="26" t="n">
        <f aca="false">Rates!$F$22+IF(D172=1,E172*Rates!$F$23,E172*Rates!$F$24)+E172*(Rates!$F$25+Rates!$F$26)</f>
        <v>192.57882784</v>
      </c>
      <c r="P172" s="26" t="n">
        <f aca="false">Rates!$F$27+IF(D172=1,G172*Rates!$F$28,MIN(G172,Rates!$F$35)*Rates!$F$29+MAX(G172-Rates!$F$35,0)*Rates!$F$30)+IF(F172&gt;0,Rates!$F$31,0)+F172*Rates!$F$32+E172*(Rates!$F$33+Rates!$F$34)</f>
        <v>211.29317572</v>
      </c>
      <c r="Q172" s="26" t="n">
        <f aca="false">IF(L172&gt;0,Rates!$F$36,0)+L172*(Rates!$F$37+Rates!$F$38+Rates!$F$39)</f>
        <v>13.45168475</v>
      </c>
    </row>
    <row r="173" customFormat="false" ht="15" hidden="false" customHeight="false" outlineLevel="0" collapsed="false">
      <c r="A173" s="11" t="s">
        <v>163</v>
      </c>
      <c r="B173" s="11" t="s">
        <v>144</v>
      </c>
      <c r="C173" s="11" t="n">
        <v>1</v>
      </c>
      <c r="D173" s="11" t="n">
        <f aca="false">IF(AND(C173&gt;=6,C173&lt;=9),1,0)</f>
        <v>0</v>
      </c>
      <c r="E173" s="22" t="n">
        <v>956.204</v>
      </c>
      <c r="F173" s="22" t="n">
        <v>287.616</v>
      </c>
      <c r="G173" s="25" t="n">
        <f aca="false">E173-F173</f>
        <v>668.588</v>
      </c>
      <c r="H173" s="22" t="n">
        <v>121.702</v>
      </c>
      <c r="I173" s="22" t="n">
        <v>152.298</v>
      </c>
      <c r="J173" s="22" t="n">
        <v>428.196</v>
      </c>
      <c r="K173" s="22" t="n">
        <v>254.008</v>
      </c>
      <c r="L173" s="22" t="n">
        <v>211.145</v>
      </c>
      <c r="M173" s="26" t="n">
        <f aca="false">Rates!$F$5+IF(D173=1,E173*Rates!$F$6,MIN(E173,Rates!$F$11)*Rates!$F$7+MAX(E173-Rates!$F$11,0)*Rates!$F$8)+E173*(Rates!$F$9+Rates!$F$10)</f>
        <v>138.65571456</v>
      </c>
      <c r="N173" s="26" t="n">
        <f aca="false">Rates!$F$12+H173*IF(D173=1,Rates!$F$13,Rates!$F$14)+I173*Rates!$F$15+J173*IF(D173=1,Rates!$F$16,Rates!$F$18)+K173*IF(D173=1,Rates!$F$17,Rates!$F$19)+E173*(Rates!$F$20+Rates!$F$21)</f>
        <v>130.14740872</v>
      </c>
      <c r="O173" s="26" t="n">
        <f aca="false">Rates!$F$22+IF(D173=1,E173*Rates!$F$23,E173*Rates!$F$24)+E173*(Rates!$F$25+Rates!$F$26)</f>
        <v>80.36551872</v>
      </c>
      <c r="P173" s="26" t="n">
        <f aca="false">Rates!$F$27+IF(D173=1,G173*Rates!$F$28,MIN(G173,Rates!$F$35)*Rates!$F$29+MAX(G173-Rates!$F$35,0)*Rates!$F$30)+IF(F173&gt;0,Rates!$F$31,0)+F173*Rates!$F$32+E173*(Rates!$F$33+Rates!$F$34)</f>
        <v>121.77566016</v>
      </c>
      <c r="Q173" s="26" t="n">
        <f aca="false">IF(L173&gt;0,Rates!$F$36,0)+L173*(Rates!$F$37+Rates!$F$38+Rates!$F$39)</f>
        <v>206.98602995</v>
      </c>
    </row>
    <row r="174" customFormat="false" ht="15" hidden="false" customHeight="false" outlineLevel="0" collapsed="false">
      <c r="A174" s="11" t="s">
        <v>163</v>
      </c>
      <c r="B174" s="11" t="s">
        <v>144</v>
      </c>
      <c r="C174" s="11" t="n">
        <v>2</v>
      </c>
      <c r="D174" s="11" t="n">
        <f aca="false">IF(AND(C174&gt;=6,C174&lt;=9),1,0)</f>
        <v>0</v>
      </c>
      <c r="E174" s="22" t="n">
        <v>776.401</v>
      </c>
      <c r="F174" s="22" t="n">
        <v>191.042</v>
      </c>
      <c r="G174" s="25" t="n">
        <f aca="false">E174-F174</f>
        <v>585.359</v>
      </c>
      <c r="H174" s="22" t="n">
        <v>102.919</v>
      </c>
      <c r="I174" s="22" t="n">
        <v>122.678</v>
      </c>
      <c r="J174" s="22" t="n">
        <v>347.063</v>
      </c>
      <c r="K174" s="22" t="n">
        <v>203.742</v>
      </c>
      <c r="L174" s="22" t="n">
        <v>193.591</v>
      </c>
      <c r="M174" s="26" t="n">
        <f aca="false">Rates!$F$5+IF(D174=1,E174*Rates!$F$6,MIN(E174,Rates!$F$11)*Rates!$F$7+MAX(E174-Rates!$F$11,0)*Rates!$F$8)+E174*(Rates!$F$9+Rates!$F$10)</f>
        <v>114.08743264</v>
      </c>
      <c r="N174" s="26" t="n">
        <f aca="false">Rates!$F$12+H174*IF(D174=1,Rates!$F$13,Rates!$F$14)+I174*Rates!$F$15+J174*IF(D174=1,Rates!$F$16,Rates!$F$18)+K174*IF(D174=1,Rates!$F$17,Rates!$F$19)+E174*(Rates!$F$20+Rates!$F$21)</f>
        <v>107.45959768</v>
      </c>
      <c r="O174" s="26" t="n">
        <f aca="false">Rates!$F$22+IF(D174=1,E174*Rates!$F$23,E174*Rates!$F$24)+E174*(Rates!$F$25+Rates!$F$26)</f>
        <v>66.75802768</v>
      </c>
      <c r="P174" s="26" t="n">
        <f aca="false">Rates!$F$27+IF(D174=1,G174*Rates!$F$28,MIN(G174,Rates!$F$35)*Rates!$F$29+MAX(G174-Rates!$F$35,0)*Rates!$F$30)+IF(F174&gt;0,Rates!$F$31,0)+F174*Rates!$F$32+E174*(Rates!$F$33+Rates!$F$34)</f>
        <v>104.53734484</v>
      </c>
      <c r="Q174" s="26" t="n">
        <f aca="false">IF(L174&gt;0,Rates!$F$36,0)+L174*(Rates!$F$37+Rates!$F$38+Rates!$F$39)</f>
        <v>190.56759821</v>
      </c>
    </row>
    <row r="175" customFormat="false" ht="15" hidden="false" customHeight="false" outlineLevel="0" collapsed="false">
      <c r="A175" s="11" t="s">
        <v>163</v>
      </c>
      <c r="B175" s="11" t="s">
        <v>144</v>
      </c>
      <c r="C175" s="11" t="n">
        <v>3</v>
      </c>
      <c r="D175" s="11" t="n">
        <f aca="false">IF(AND(C175&gt;=6,C175&lt;=9),1,0)</f>
        <v>0</v>
      </c>
      <c r="E175" s="22" t="n">
        <v>1052.482</v>
      </c>
      <c r="F175" s="22" t="n">
        <v>385.933</v>
      </c>
      <c r="G175" s="25" t="n">
        <f aca="false">E175-F175</f>
        <v>666.549</v>
      </c>
      <c r="H175" s="22" t="n">
        <v>114.989</v>
      </c>
      <c r="I175" s="22" t="n">
        <v>177.765</v>
      </c>
      <c r="J175" s="22" t="n">
        <v>477.087</v>
      </c>
      <c r="K175" s="22" t="n">
        <v>282.641</v>
      </c>
      <c r="L175" s="22" t="n">
        <v>84.14</v>
      </c>
      <c r="M175" s="26" t="n">
        <f aca="false">Rates!$F$5+IF(D175=1,E175*Rates!$F$6,MIN(E175,Rates!$F$11)*Rates!$F$7+MAX(E175-Rates!$F$11,0)*Rates!$F$8)+E175*(Rates!$F$9+Rates!$F$10)</f>
        <v>151.67573692</v>
      </c>
      <c r="N175" s="26" t="n">
        <f aca="false">Rates!$F$12+H175*IF(D175=1,Rates!$F$13,Rates!$F$14)+I175*Rates!$F$15+J175*IF(D175=1,Rates!$F$16,Rates!$F$18)+K175*IF(D175=1,Rates!$F$17,Rates!$F$19)+E175*(Rates!$F$20+Rates!$F$21)</f>
        <v>140.95350276</v>
      </c>
      <c r="O175" s="26" t="n">
        <f aca="false">Rates!$F$22+IF(D175=1,E175*Rates!$F$23,E175*Rates!$F$24)+E175*(Rates!$F$25+Rates!$F$26)</f>
        <v>87.65183776</v>
      </c>
      <c r="P175" s="26" t="n">
        <f aca="false">Rates!$F$27+IF(D175=1,G175*Rates!$F$28,MIN(G175,Rates!$F$35)*Rates!$F$29+MAX(G175-Rates!$F$35,0)*Rates!$F$30)+IF(F175&gt;0,Rates!$F$31,0)+F175*Rates!$F$32+E175*(Rates!$F$33+Rates!$F$34)</f>
        <v>127.46882578</v>
      </c>
      <c r="Q175" s="26" t="n">
        <f aca="false">IF(L175&gt;0,Rates!$F$36,0)+L175*(Rates!$F$37+Rates!$F$38+Rates!$F$39)</f>
        <v>88.1969834</v>
      </c>
    </row>
    <row r="176" customFormat="false" ht="15" hidden="false" customHeight="false" outlineLevel="0" collapsed="false">
      <c r="A176" s="11" t="s">
        <v>163</v>
      </c>
      <c r="B176" s="11" t="s">
        <v>144</v>
      </c>
      <c r="C176" s="11" t="n">
        <v>4</v>
      </c>
      <c r="D176" s="11" t="n">
        <f aca="false">IF(AND(C176&gt;=6,C176&lt;=9),1,0)</f>
        <v>0</v>
      </c>
      <c r="E176" s="22" t="n">
        <v>834.446</v>
      </c>
      <c r="F176" s="22" t="n">
        <v>218.538</v>
      </c>
      <c r="G176" s="25" t="n">
        <f aca="false">E176-F176</f>
        <v>615.908</v>
      </c>
      <c r="H176" s="22" t="n">
        <v>105.912</v>
      </c>
      <c r="I176" s="22" t="n">
        <v>143.347</v>
      </c>
      <c r="J176" s="22" t="n">
        <v>384.343</v>
      </c>
      <c r="K176" s="22" t="n">
        <v>200.845</v>
      </c>
      <c r="L176" s="22" t="n">
        <v>66.714</v>
      </c>
      <c r="M176" s="26" t="n">
        <f aca="false">Rates!$F$5+IF(D176=1,E176*Rates!$F$6,MIN(E176,Rates!$F$11)*Rates!$F$7+MAX(E176-Rates!$F$11,0)*Rates!$F$8)+E176*(Rates!$F$9+Rates!$F$10)</f>
        <v>122.01870144</v>
      </c>
      <c r="N176" s="26" t="n">
        <f aca="false">Rates!$F$12+H176*IF(D176=1,Rates!$F$13,Rates!$F$14)+I176*Rates!$F$15+J176*IF(D176=1,Rates!$F$16,Rates!$F$18)+K176*IF(D176=1,Rates!$F$17,Rates!$F$19)+E176*(Rates!$F$20+Rates!$F$21)</f>
        <v>114.21085828</v>
      </c>
      <c r="O176" s="26" t="n">
        <f aca="false">Rates!$F$22+IF(D176=1,E176*Rates!$F$23,E176*Rates!$F$24)+E176*(Rates!$F$25+Rates!$F$26)</f>
        <v>71.15087328</v>
      </c>
      <c r="P176" s="26" t="n">
        <f aca="false">Rates!$F$27+IF(D176=1,G176*Rates!$F$28,MIN(G176,Rates!$F$35)*Rates!$F$29+MAX(G176-Rates!$F$35,0)*Rates!$F$30)+IF(F176&gt;0,Rates!$F$31,0)+F176*Rates!$F$32+E176*(Rates!$F$33+Rates!$F$34)</f>
        <v>110.38166724</v>
      </c>
      <c r="Q176" s="26" t="n">
        <f aca="false">IF(L176&gt;0,Rates!$F$36,0)+L176*(Rates!$F$37+Rates!$F$38+Rates!$F$39)</f>
        <v>71.89827134</v>
      </c>
    </row>
    <row r="177" customFormat="false" ht="15" hidden="false" customHeight="false" outlineLevel="0" collapsed="false">
      <c r="A177" s="11" t="s">
        <v>163</v>
      </c>
      <c r="B177" s="11" t="s">
        <v>144</v>
      </c>
      <c r="C177" s="11" t="n">
        <v>5</v>
      </c>
      <c r="D177" s="11" t="n">
        <f aca="false">IF(AND(C177&gt;=6,C177&lt;=9),1,0)</f>
        <v>0</v>
      </c>
      <c r="E177" s="22" t="n">
        <v>950.775</v>
      </c>
      <c r="F177" s="22" t="n">
        <v>3.744</v>
      </c>
      <c r="G177" s="25" t="n">
        <f aca="false">E177-F177</f>
        <v>947.031</v>
      </c>
      <c r="H177" s="22" t="n">
        <v>119.477</v>
      </c>
      <c r="I177" s="22" t="n">
        <v>157.159</v>
      </c>
      <c r="J177" s="22" t="n">
        <v>420.481</v>
      </c>
      <c r="K177" s="22" t="n">
        <v>253.658</v>
      </c>
      <c r="L177" s="22" t="n">
        <v>2.838</v>
      </c>
      <c r="M177" s="26" t="n">
        <f aca="false">Rates!$F$5+IF(D177=1,E177*Rates!$F$6,MIN(E177,Rates!$F$11)*Rates!$F$7+MAX(E177-Rates!$F$11,0)*Rates!$F$8)+E177*(Rates!$F$9+Rates!$F$10)</f>
        <v>137.913896</v>
      </c>
      <c r="N177" s="26" t="n">
        <f aca="false">Rates!$F$12+H177*IF(D177=1,Rates!$F$13,Rates!$F$14)+I177*Rates!$F$15+J177*IF(D177=1,Rates!$F$16,Rates!$F$18)+K177*IF(D177=1,Rates!$F$17,Rates!$F$19)+E177*(Rates!$F$20+Rates!$F$21)</f>
        <v>129.161457</v>
      </c>
      <c r="O177" s="26" t="n">
        <f aca="false">Rates!$F$22+IF(D177=1,E177*Rates!$F$23,E177*Rates!$F$24)+E177*(Rates!$F$25+Rates!$F$26)</f>
        <v>79.954652</v>
      </c>
      <c r="P177" s="26" t="n">
        <f aca="false">Rates!$F$27+IF(D177=1,G177*Rates!$F$28,MIN(G177,Rates!$F$35)*Rates!$F$29+MAX(G177-Rates!$F$35,0)*Rates!$F$30)+IF(F177&gt;0,Rates!$F$31,0)+F177*Rates!$F$32+E177*(Rates!$F$33+Rates!$F$34)</f>
        <v>142.5797264</v>
      </c>
      <c r="Q177" s="26" t="n">
        <f aca="false">IF(L177&gt;0,Rates!$F$36,0)+L177*(Rates!$F$37+Rates!$F$38+Rates!$F$39)</f>
        <v>12.15440978</v>
      </c>
    </row>
    <row r="178" customFormat="false" ht="15" hidden="false" customHeight="false" outlineLevel="0" collapsed="false">
      <c r="A178" s="11" t="s">
        <v>163</v>
      </c>
      <c r="B178" s="11" t="s">
        <v>144</v>
      </c>
      <c r="C178" s="11" t="n">
        <v>6</v>
      </c>
      <c r="D178" s="11" t="n">
        <f aca="false">IF(AND(C178&gt;=6,C178&lt;=9),1,0)</f>
        <v>1</v>
      </c>
      <c r="E178" s="22" t="n">
        <v>1147.03</v>
      </c>
      <c r="F178" s="22" t="n">
        <v>0</v>
      </c>
      <c r="G178" s="25" t="n">
        <f aca="false">E178-F178</f>
        <v>1147.03</v>
      </c>
      <c r="H178" s="22" t="n">
        <v>134.906</v>
      </c>
      <c r="I178" s="22" t="n">
        <v>212.217</v>
      </c>
      <c r="J178" s="22" t="n">
        <v>496.322</v>
      </c>
      <c r="K178" s="22" t="n">
        <v>303.585</v>
      </c>
      <c r="L178" s="22" t="n">
        <v>2.998</v>
      </c>
      <c r="M178" s="26" t="n">
        <f aca="false">Rates!$F$5+IF(D178=1,E178*Rates!$F$6,MIN(E178,Rates!$F$11)*Rates!$F$7+MAX(E178-Rates!$F$11,0)*Rates!$F$8)+E178*(Rates!$F$9+Rates!$F$10)</f>
        <v>182.6123769</v>
      </c>
      <c r="N178" s="26" t="n">
        <f aca="false">Rates!$F$12+H178*IF(D178=1,Rates!$F$13,Rates!$F$14)+I178*Rates!$F$15+J178*IF(D178=1,Rates!$F$16,Rates!$F$18)+K178*IF(D178=1,Rates!$F$17,Rates!$F$19)+E178*(Rates!$F$20+Rates!$F$21)</f>
        <v>174.2198754</v>
      </c>
      <c r="O178" s="26" t="n">
        <f aca="false">Rates!$F$22+IF(D178=1,E178*Rates!$F$23,E178*Rates!$F$24)+E178*(Rates!$F$25+Rates!$F$26)</f>
        <v>182.6123769</v>
      </c>
      <c r="P178" s="26" t="n">
        <f aca="false">Rates!$F$27+IF(D178=1,G178*Rates!$F$28,MIN(G178,Rates!$F$35)*Rates!$F$29+MAX(G178-Rates!$F$35,0)*Rates!$F$30)+IF(F178&gt;0,Rates!$F$31,0)+F178*Rates!$F$32+E178*(Rates!$F$33+Rates!$F$34)</f>
        <v>182.6123769</v>
      </c>
      <c r="Q178" s="26" t="n">
        <f aca="false">IF(L178&gt;0,Rates!$F$36,0)+L178*(Rates!$F$37+Rates!$F$38+Rates!$F$39)</f>
        <v>12.30405938</v>
      </c>
    </row>
    <row r="179" customFormat="false" ht="15" hidden="false" customHeight="false" outlineLevel="0" collapsed="false">
      <c r="A179" s="11" t="s">
        <v>163</v>
      </c>
      <c r="B179" s="11" t="s">
        <v>144</v>
      </c>
      <c r="C179" s="11" t="n">
        <v>7</v>
      </c>
      <c r="D179" s="11" t="n">
        <f aca="false">IF(AND(C179&gt;=6,C179&lt;=9),1,0)</f>
        <v>1</v>
      </c>
      <c r="E179" s="22" t="n">
        <v>1330.204</v>
      </c>
      <c r="F179" s="22" t="n">
        <v>0</v>
      </c>
      <c r="G179" s="25" t="n">
        <f aca="false">E179-F179</f>
        <v>1330.204</v>
      </c>
      <c r="H179" s="22" t="n">
        <v>152.698</v>
      </c>
      <c r="I179" s="22" t="n">
        <v>258.357</v>
      </c>
      <c r="J179" s="22" t="n">
        <v>550.403</v>
      </c>
      <c r="K179" s="22" t="n">
        <v>368.746</v>
      </c>
      <c r="L179" s="22" t="n">
        <v>3.646</v>
      </c>
      <c r="M179" s="26" t="n">
        <f aca="false">Rates!$F$5+IF(D179=1,E179*Rates!$F$6,MIN(E179,Rates!$F$11)*Rates!$F$7+MAX(E179-Rates!$F$11,0)*Rates!$F$8)+E179*(Rates!$F$9+Rates!$F$10)</f>
        <v>210.49695492</v>
      </c>
      <c r="N179" s="26" t="n">
        <f aca="false">Rates!$F$12+H179*IF(D179=1,Rates!$F$13,Rates!$F$14)+I179*Rates!$F$15+J179*IF(D179=1,Rates!$F$16,Rates!$F$18)+K179*IF(D179=1,Rates!$F$17,Rates!$F$19)+E179*(Rates!$F$20+Rates!$F$21)</f>
        <v>199.79032372</v>
      </c>
      <c r="O179" s="26" t="n">
        <f aca="false">Rates!$F$22+IF(D179=1,E179*Rates!$F$23,E179*Rates!$F$24)+E179*(Rates!$F$25+Rates!$F$26)</f>
        <v>210.49695492</v>
      </c>
      <c r="P179" s="26" t="n">
        <f aca="false">Rates!$F$27+IF(D179=1,G179*Rates!$F$28,MIN(G179,Rates!$F$35)*Rates!$F$29+MAX(G179-Rates!$F$35,0)*Rates!$F$30)+IF(F179&gt;0,Rates!$F$31,0)+F179*Rates!$F$32+E179*(Rates!$F$33+Rates!$F$34)</f>
        <v>210.49695492</v>
      </c>
      <c r="Q179" s="26" t="n">
        <f aca="false">IF(L179&gt;0,Rates!$F$36,0)+L179*(Rates!$F$37+Rates!$F$38+Rates!$F$39)</f>
        <v>12.91014026</v>
      </c>
    </row>
    <row r="180" customFormat="false" ht="15" hidden="false" customHeight="false" outlineLevel="0" collapsed="false">
      <c r="A180" s="11" t="s">
        <v>163</v>
      </c>
      <c r="B180" s="11" t="s">
        <v>144</v>
      </c>
      <c r="C180" s="11" t="n">
        <v>8</v>
      </c>
      <c r="D180" s="11" t="n">
        <f aca="false">IF(AND(C180&gt;=6,C180&lt;=9),1,0)</f>
        <v>1</v>
      </c>
      <c r="E180" s="22" t="n">
        <v>1263.577</v>
      </c>
      <c r="F180" s="22" t="n">
        <v>0</v>
      </c>
      <c r="G180" s="25" t="n">
        <f aca="false">E180-F180</f>
        <v>1263.577</v>
      </c>
      <c r="H180" s="22" t="n">
        <v>154.442</v>
      </c>
      <c r="I180" s="22" t="n">
        <v>240.637</v>
      </c>
      <c r="J180" s="22" t="n">
        <v>584.389</v>
      </c>
      <c r="K180" s="22" t="n">
        <v>284.108</v>
      </c>
      <c r="L180" s="22" t="n">
        <v>3.416</v>
      </c>
      <c r="M180" s="26" t="n">
        <f aca="false">Rates!$F$5+IF(D180=1,E180*Rates!$F$6,MIN(E180,Rates!$F$11)*Rates!$F$7+MAX(E180-Rates!$F$11,0)*Rates!$F$8)+E180*(Rates!$F$9+Rates!$F$10)</f>
        <v>200.35432671</v>
      </c>
      <c r="N180" s="26" t="n">
        <f aca="false">Rates!$F$12+H180*IF(D180=1,Rates!$F$13,Rates!$F$14)+I180*Rates!$F$15+J180*IF(D180=1,Rates!$F$16,Rates!$F$18)+K180*IF(D180=1,Rates!$F$17,Rates!$F$19)+E180*(Rates!$F$20+Rates!$F$21)</f>
        <v>191.19809236</v>
      </c>
      <c r="O180" s="26" t="n">
        <f aca="false">Rates!$F$22+IF(D180=1,E180*Rates!$F$23,E180*Rates!$F$24)+E180*(Rates!$F$25+Rates!$F$26)</f>
        <v>200.35432671</v>
      </c>
      <c r="P180" s="26" t="n">
        <f aca="false">Rates!$F$27+IF(D180=1,G180*Rates!$F$28,MIN(G180,Rates!$F$35)*Rates!$F$29+MAX(G180-Rates!$F$35,0)*Rates!$F$30)+IF(F180&gt;0,Rates!$F$31,0)+F180*Rates!$F$32+E180*(Rates!$F$33+Rates!$F$34)</f>
        <v>200.35432671</v>
      </c>
      <c r="Q180" s="26" t="n">
        <f aca="false">IF(L180&gt;0,Rates!$F$36,0)+L180*(Rates!$F$37+Rates!$F$38+Rates!$F$39)</f>
        <v>12.69501896</v>
      </c>
    </row>
    <row r="181" customFormat="false" ht="15" hidden="false" customHeight="false" outlineLevel="0" collapsed="false">
      <c r="A181" s="11" t="s">
        <v>163</v>
      </c>
      <c r="B181" s="11" t="s">
        <v>144</v>
      </c>
      <c r="C181" s="11" t="n">
        <v>9</v>
      </c>
      <c r="D181" s="11" t="n">
        <f aca="false">IF(AND(C181&gt;=6,C181&lt;=9),1,0)</f>
        <v>1</v>
      </c>
      <c r="E181" s="22" t="n">
        <v>971.786</v>
      </c>
      <c r="F181" s="22" t="n">
        <v>9.475</v>
      </c>
      <c r="G181" s="25" t="n">
        <f aca="false">E181-F181</f>
        <v>962.311</v>
      </c>
      <c r="H181" s="22" t="n">
        <v>96.331</v>
      </c>
      <c r="I181" s="22" t="n">
        <v>173.3</v>
      </c>
      <c r="J181" s="22" t="n">
        <v>360.963</v>
      </c>
      <c r="K181" s="22" t="n">
        <v>341.193</v>
      </c>
      <c r="L181" s="22" t="n">
        <v>2.713</v>
      </c>
      <c r="M181" s="26" t="n">
        <f aca="false">Rates!$F$5+IF(D181=1,E181*Rates!$F$6,MIN(E181,Rates!$F$11)*Rates!$F$7+MAX(E181-Rates!$F$11,0)*Rates!$F$8)+E181*(Rates!$F$9+Rates!$F$10)</f>
        <v>155.93498278</v>
      </c>
      <c r="N181" s="26" t="n">
        <f aca="false">Rates!$F$12+H181*IF(D181=1,Rates!$F$13,Rates!$F$14)+I181*Rates!$F$15+J181*IF(D181=1,Rates!$F$16,Rates!$F$18)+K181*IF(D181=1,Rates!$F$17,Rates!$F$19)+E181*(Rates!$F$20+Rates!$F$21)</f>
        <v>147.74489448</v>
      </c>
      <c r="O181" s="26" t="n">
        <f aca="false">Rates!$F$22+IF(D181=1,E181*Rates!$F$23,E181*Rates!$F$24)+E181*(Rates!$F$25+Rates!$F$26)</f>
        <v>155.93498278</v>
      </c>
      <c r="P181" s="26" t="n">
        <f aca="false">Rates!$F$27+IF(D181=1,G181*Rates!$F$28,MIN(G181,Rates!$F$35)*Rates!$F$29+MAX(G181-Rates!$F$35,0)*Rates!$F$30)+IF(F181&gt;0,Rates!$F$31,0)+F181*Rates!$F$32+E181*(Rates!$F$33+Rates!$F$34)</f>
        <v>160.01811503</v>
      </c>
      <c r="Q181" s="26" t="n">
        <f aca="false">IF(L181&gt;0,Rates!$F$36,0)+L181*(Rates!$F$37+Rates!$F$38+Rates!$F$39)</f>
        <v>12.03749603</v>
      </c>
    </row>
    <row r="182" customFormat="false" ht="15" hidden="false" customHeight="false" outlineLevel="0" collapsed="false">
      <c r="A182" s="11" t="s">
        <v>163</v>
      </c>
      <c r="B182" s="11" t="s">
        <v>144</v>
      </c>
      <c r="C182" s="11" t="n">
        <v>10</v>
      </c>
      <c r="D182" s="11" t="n">
        <f aca="false">IF(AND(C182&gt;=6,C182&lt;=9),1,0)</f>
        <v>0</v>
      </c>
      <c r="E182" s="22" t="n">
        <v>877.864</v>
      </c>
      <c r="F182" s="22" t="n">
        <v>282.833</v>
      </c>
      <c r="G182" s="25" t="n">
        <f aca="false">E182-F182</f>
        <v>595.031</v>
      </c>
      <c r="H182" s="22" t="n">
        <v>85.941</v>
      </c>
      <c r="I182" s="22" t="n">
        <v>172.261</v>
      </c>
      <c r="J182" s="22" t="n">
        <v>414.61</v>
      </c>
      <c r="K182" s="22" t="n">
        <v>205.052</v>
      </c>
      <c r="L182" s="22" t="n">
        <v>11.577</v>
      </c>
      <c r="M182" s="26" t="n">
        <f aca="false">Rates!$F$5+IF(D182=1,E182*Rates!$F$6,MIN(E182,Rates!$F$11)*Rates!$F$7+MAX(E182-Rates!$F$11,0)*Rates!$F$8)+E182*(Rates!$F$9+Rates!$F$10)</f>
        <v>127.95133696</v>
      </c>
      <c r="N182" s="26" t="n">
        <f aca="false">Rates!$F$12+H182*IF(D182=1,Rates!$F$13,Rates!$F$14)+I182*Rates!$F$15+J182*IF(D182=1,Rates!$F$16,Rates!$F$18)+K182*IF(D182=1,Rates!$F$17,Rates!$F$19)+E182*(Rates!$F$20+Rates!$F$21)</f>
        <v>117.45727252</v>
      </c>
      <c r="O182" s="26" t="n">
        <f aca="false">Rates!$F$22+IF(D182=1,E182*Rates!$F$23,E182*Rates!$F$24)+E182*(Rates!$F$25+Rates!$F$26)</f>
        <v>74.43674752</v>
      </c>
      <c r="P182" s="26" t="n">
        <f aca="false">Rates!$F$27+IF(D182=1,G182*Rates!$F$28,MIN(G182,Rates!$F$35)*Rates!$F$29+MAX(G182-Rates!$F$35,0)*Rates!$F$30)+IF(F182&gt;0,Rates!$F$31,0)+F182*Rates!$F$32+E182*(Rates!$F$33+Rates!$F$34)</f>
        <v>111.43431226</v>
      </c>
      <c r="Q182" s="26" t="n">
        <f aca="false">IF(L182&gt;0,Rates!$F$36,0)+L182*(Rates!$F$37+Rates!$F$38+Rates!$F$39)</f>
        <v>20.32808387</v>
      </c>
    </row>
    <row r="183" customFormat="false" ht="15" hidden="false" customHeight="false" outlineLevel="0" collapsed="false">
      <c r="A183" s="11" t="s">
        <v>163</v>
      </c>
      <c r="B183" s="11" t="s">
        <v>144</v>
      </c>
      <c r="C183" s="11" t="n">
        <v>11</v>
      </c>
      <c r="D183" s="11" t="n">
        <f aca="false">IF(AND(C183&gt;=6,C183&lt;=9),1,0)</f>
        <v>0</v>
      </c>
      <c r="E183" s="22" t="n">
        <v>886.549</v>
      </c>
      <c r="F183" s="22" t="n">
        <v>294.214</v>
      </c>
      <c r="G183" s="25" t="n">
        <f aca="false">E183-F183</f>
        <v>592.335</v>
      </c>
      <c r="H183" s="22" t="n">
        <v>103.653</v>
      </c>
      <c r="I183" s="22" t="n">
        <v>173.46</v>
      </c>
      <c r="J183" s="22" t="n">
        <v>377.646</v>
      </c>
      <c r="K183" s="22" t="n">
        <v>231.791</v>
      </c>
      <c r="L183" s="22" t="n">
        <v>116.415</v>
      </c>
      <c r="M183" s="26" t="n">
        <f aca="false">Rates!$F$5+IF(D183=1,E183*Rates!$F$6,MIN(E183,Rates!$F$11)*Rates!$F$7+MAX(E183-Rates!$F$11,0)*Rates!$F$8)+E183*(Rates!$F$9+Rates!$F$10)</f>
        <v>129.13805536</v>
      </c>
      <c r="N183" s="26" t="n">
        <f aca="false">Rates!$F$12+H183*IF(D183=1,Rates!$F$13,Rates!$F$14)+I183*Rates!$F$15+J183*IF(D183=1,Rates!$F$16,Rates!$F$18)+K183*IF(D183=1,Rates!$F$17,Rates!$F$19)+E183*(Rates!$F$20+Rates!$F$21)</f>
        <v>119.56966832</v>
      </c>
      <c r="O183" s="26" t="n">
        <f aca="false">Rates!$F$22+IF(D183=1,E183*Rates!$F$23,E183*Rates!$F$24)+E183*(Rates!$F$25+Rates!$F$26)</f>
        <v>75.09402832</v>
      </c>
      <c r="P183" s="26" t="n">
        <f aca="false">Rates!$F$27+IF(D183=1,G183*Rates!$F$28,MIN(G183,Rates!$F$35)*Rates!$F$29+MAX(G183-Rates!$F$35,0)*Rates!$F$30)+IF(F183&gt;0,Rates!$F$31,0)+F183*Rates!$F$32+E183*(Rates!$F$33+Rates!$F$34)</f>
        <v>111.75721276</v>
      </c>
      <c r="Q183" s="26" t="n">
        <f aca="false">IF(L183&gt;0,Rates!$F$36,0)+L183*(Rates!$F$37+Rates!$F$38+Rates!$F$39)</f>
        <v>118.38411365</v>
      </c>
    </row>
    <row r="184" customFormat="false" ht="15" hidden="false" customHeight="false" outlineLevel="0" collapsed="false">
      <c r="A184" s="11" t="s">
        <v>163</v>
      </c>
      <c r="B184" s="11" t="s">
        <v>144</v>
      </c>
      <c r="C184" s="11" t="n">
        <v>12</v>
      </c>
      <c r="D184" s="11" t="n">
        <f aca="false">IF(AND(C184&gt;=6,C184&lt;=9),1,0)</f>
        <v>0</v>
      </c>
      <c r="E184" s="22" t="n">
        <v>890.033</v>
      </c>
      <c r="F184" s="22" t="n">
        <v>228.619</v>
      </c>
      <c r="G184" s="25" t="n">
        <f aca="false">E184-F184</f>
        <v>661.414</v>
      </c>
      <c r="H184" s="22" t="n">
        <v>96.133</v>
      </c>
      <c r="I184" s="22" t="n">
        <v>137.965</v>
      </c>
      <c r="J184" s="22" t="n">
        <v>368.562</v>
      </c>
      <c r="K184" s="22" t="n">
        <v>287.374</v>
      </c>
      <c r="L184" s="22" t="n">
        <v>156.049</v>
      </c>
      <c r="M184" s="26" t="n">
        <f aca="false">Rates!$F$5+IF(D184=1,E184*Rates!$F$6,MIN(E184,Rates!$F$11)*Rates!$F$7+MAX(E184-Rates!$F$11,0)*Rates!$F$8)+E184*(Rates!$F$9+Rates!$F$10)</f>
        <v>129.61410912</v>
      </c>
      <c r="N184" s="26" t="n">
        <f aca="false">Rates!$F$12+H184*IF(D184=1,Rates!$F$13,Rates!$F$14)+I184*Rates!$F$15+J184*IF(D184=1,Rates!$F$16,Rates!$F$18)+K184*IF(D184=1,Rates!$F$17,Rates!$F$19)+E184*(Rates!$F$20+Rates!$F$21)</f>
        <v>120.79866244</v>
      </c>
      <c r="O184" s="26" t="n">
        <f aca="false">Rates!$F$22+IF(D184=1,E184*Rates!$F$23,E184*Rates!$F$24)+E184*(Rates!$F$25+Rates!$F$26)</f>
        <v>75.35769744</v>
      </c>
      <c r="P184" s="26" t="n">
        <f aca="false">Rates!$F$27+IF(D184=1,G184*Rates!$F$28,MIN(G184,Rates!$F$35)*Rates!$F$29+MAX(G184-Rates!$F$35,0)*Rates!$F$30)+IF(F184&gt;0,Rates!$F$31,0)+F184*Rates!$F$32+E184*(Rates!$F$33+Rates!$F$34)</f>
        <v>117.21192702</v>
      </c>
      <c r="Q184" s="26" t="n">
        <f aca="false">IF(L184&gt;0,Rates!$F$36,0)+L184*(Rates!$F$37+Rates!$F$38+Rates!$F$39)</f>
        <v>155.45419019</v>
      </c>
    </row>
    <row r="185" customFormat="false" ht="15" hidden="false" customHeight="false" outlineLevel="0" collapsed="false">
      <c r="A185" s="11" t="s">
        <v>163</v>
      </c>
      <c r="B185" s="11" t="s">
        <v>145</v>
      </c>
      <c r="C185" s="11" t="n">
        <v>1</v>
      </c>
      <c r="D185" s="11" t="n">
        <f aca="false">IF(AND(C185&gt;=6,C185&lt;=9),1,0)</f>
        <v>0</v>
      </c>
      <c r="E185" s="22" t="n">
        <v>7050.508</v>
      </c>
      <c r="F185" s="22" t="n">
        <v>6344.684</v>
      </c>
      <c r="G185" s="25" t="n">
        <f aca="false">E185-F185</f>
        <v>705.824</v>
      </c>
      <c r="H185" s="22" t="n">
        <v>589.64</v>
      </c>
      <c r="I185" s="22" t="n">
        <v>1810.434</v>
      </c>
      <c r="J185" s="22" t="n">
        <v>3109.148</v>
      </c>
      <c r="K185" s="22" t="n">
        <v>1541.286</v>
      </c>
      <c r="L185" s="22" t="n">
        <v>4.379</v>
      </c>
      <c r="M185" s="26" t="n">
        <f aca="false">Rates!$F$5+IF(D185=1,E185*Rates!$F$6,MIN(E185,Rates!$F$11)*Rates!$F$7+MAX(E185-Rates!$F$11,0)*Rates!$F$8)+E185*(Rates!$F$9+Rates!$F$10)</f>
        <v>955.77110248</v>
      </c>
      <c r="N185" s="26" t="n">
        <f aca="false">Rates!$F$12+H185*IF(D185=1,Rates!$F$13,Rates!$F$14)+I185*Rates!$F$15+J185*IF(D185=1,Rates!$F$16,Rates!$F$18)+K185*IF(D185=1,Rates!$F$17,Rates!$F$19)+E185*(Rates!$F$20+Rates!$F$21)</f>
        <v>866.12105544</v>
      </c>
      <c r="O185" s="26" t="n">
        <f aca="false">Rates!$F$22+IF(D185=1,E185*Rates!$F$23,E185*Rates!$F$24)+E185*(Rates!$F$25+Rates!$F$26)</f>
        <v>541.58244544</v>
      </c>
      <c r="P185" s="26" t="n">
        <f aca="false">Rates!$F$27+IF(D185=1,G185*Rates!$F$28,MIN(G185,Rates!$F$35)*Rates!$F$29+MAX(G185-Rates!$F$35,0)*Rates!$F$30)+IF(F185&gt;0,Rates!$F$31,0)+F185*Rates!$F$32+E185*(Rates!$F$33+Rates!$F$34)</f>
        <v>494.76989752</v>
      </c>
      <c r="Q185" s="26" t="n">
        <f aca="false">IF(L185&gt;0,Rates!$F$36,0)+L185*(Rates!$F$37+Rates!$F$38+Rates!$F$39)</f>
        <v>13.59572249</v>
      </c>
    </row>
    <row r="186" customFormat="false" ht="15" hidden="false" customHeight="false" outlineLevel="0" collapsed="false">
      <c r="A186" s="11" t="s">
        <v>163</v>
      </c>
      <c r="B186" s="11" t="s">
        <v>145</v>
      </c>
      <c r="C186" s="11" t="n">
        <v>2</v>
      </c>
      <c r="D186" s="11" t="n">
        <f aca="false">IF(AND(C186&gt;=6,C186&lt;=9),1,0)</f>
        <v>0</v>
      </c>
      <c r="E186" s="22" t="n">
        <v>6231.772</v>
      </c>
      <c r="F186" s="22" t="n">
        <v>5612.82</v>
      </c>
      <c r="G186" s="25" t="n">
        <f aca="false">E186-F186</f>
        <v>618.952</v>
      </c>
      <c r="H186" s="22" t="n">
        <v>507.391</v>
      </c>
      <c r="I186" s="22" t="n">
        <v>1646.001</v>
      </c>
      <c r="J186" s="22" t="n">
        <v>2754.72</v>
      </c>
      <c r="K186" s="22" t="n">
        <v>1323.659</v>
      </c>
      <c r="L186" s="22" t="n">
        <v>2.78</v>
      </c>
      <c r="M186" s="26" t="n">
        <f aca="false">Rates!$F$5+IF(D186=1,E186*Rates!$F$6,MIN(E186,Rates!$F$11)*Rates!$F$7+MAX(E186-Rates!$F$11,0)*Rates!$F$8)+E186*(Rates!$F$9+Rates!$F$10)</f>
        <v>846.01135432</v>
      </c>
      <c r="N186" s="26" t="n">
        <f aca="false">Rates!$F$12+H186*IF(D186=1,Rates!$F$13,Rates!$F$14)+I186*Rates!$F$15+J186*IF(D186=1,Rates!$F$16,Rates!$F$18)+K186*IF(D186=1,Rates!$F$17,Rates!$F$19)+E186*(Rates!$F$20+Rates!$F$21)</f>
        <v>764.04241996</v>
      </c>
      <c r="O186" s="26" t="n">
        <f aca="false">Rates!$F$22+IF(D186=1,E186*Rates!$F$23,E186*Rates!$F$24)+E186*(Rates!$F$25+Rates!$F$26)</f>
        <v>479.62050496</v>
      </c>
      <c r="P186" s="26" t="n">
        <f aca="false">Rates!$F$27+IF(D186=1,G186*Rates!$F$28,MIN(G186,Rates!$F$35)*Rates!$F$29+MAX(G186-Rates!$F$35,0)*Rates!$F$30)+IF(F186&gt;0,Rates!$F$31,0)+F186*Rates!$F$32+E186*(Rates!$F$33+Rates!$F$34)</f>
        <v>438.44628808</v>
      </c>
      <c r="Q186" s="26" t="n">
        <f aca="false">IF(L186&gt;0,Rates!$F$36,0)+L186*(Rates!$F$37+Rates!$F$38+Rates!$F$39)</f>
        <v>12.1001618</v>
      </c>
    </row>
    <row r="187" customFormat="false" ht="15" hidden="false" customHeight="false" outlineLevel="0" collapsed="false">
      <c r="A187" s="11" t="s">
        <v>163</v>
      </c>
      <c r="B187" s="11" t="s">
        <v>145</v>
      </c>
      <c r="C187" s="11" t="n">
        <v>3</v>
      </c>
      <c r="D187" s="11" t="n">
        <f aca="false">IF(AND(C187&gt;=6,C187&lt;=9),1,0)</f>
        <v>0</v>
      </c>
      <c r="E187" s="22" t="n">
        <v>3945.877</v>
      </c>
      <c r="F187" s="22" t="n">
        <v>3242.191</v>
      </c>
      <c r="G187" s="25" t="n">
        <f aca="false">E187-F187</f>
        <v>703.686</v>
      </c>
      <c r="H187" s="22" t="n">
        <v>296.792</v>
      </c>
      <c r="I187" s="22" t="n">
        <v>999.145</v>
      </c>
      <c r="J187" s="22" t="n">
        <v>1814.195</v>
      </c>
      <c r="K187" s="22" t="n">
        <v>835.745</v>
      </c>
      <c r="L187" s="22" t="n">
        <v>2.256</v>
      </c>
      <c r="M187" s="26" t="n">
        <f aca="false">Rates!$F$5+IF(D187=1,E187*Rates!$F$6,MIN(E187,Rates!$F$11)*Rates!$F$7+MAX(E187-Rates!$F$11,0)*Rates!$F$8)+E187*(Rates!$F$9+Rates!$F$10)</f>
        <v>539.56427062</v>
      </c>
      <c r="N187" s="26" t="n">
        <f aca="false">Rates!$F$12+H187*IF(D187=1,Rates!$F$13,Rates!$F$14)+I187*Rates!$F$15+J187*IF(D187=1,Rates!$F$16,Rates!$F$18)+K187*IF(D187=1,Rates!$F$17,Rates!$F$19)+E187*(Rates!$F$20+Rates!$F$21)</f>
        <v>486.75526636</v>
      </c>
      <c r="O187" s="26" t="n">
        <f aca="false">Rates!$F$22+IF(D187=1,E187*Rates!$F$23,E187*Rates!$F$24)+E187*(Rates!$F$25+Rates!$F$26)</f>
        <v>306.62397136</v>
      </c>
      <c r="P187" s="26" t="n">
        <f aca="false">Rates!$F$27+IF(D187=1,G187*Rates!$F$28,MIN(G187,Rates!$F$35)*Rates!$F$29+MAX(G187-Rates!$F$35,0)*Rates!$F$30)+IF(F187&gt;0,Rates!$F$31,0)+F187*Rates!$F$32+E187*(Rates!$F$33+Rates!$F$34)</f>
        <v>306.03233638</v>
      </c>
      <c r="Q187" s="26" t="n">
        <f aca="false">IF(L187&gt;0,Rates!$F$36,0)+L187*(Rates!$F$37+Rates!$F$38+Rates!$F$39)</f>
        <v>11.61005936</v>
      </c>
    </row>
    <row r="188" customFormat="false" ht="15" hidden="false" customHeight="false" outlineLevel="0" collapsed="false">
      <c r="A188" s="11" t="s">
        <v>163</v>
      </c>
      <c r="B188" s="11" t="s">
        <v>145</v>
      </c>
      <c r="C188" s="11" t="n">
        <v>4</v>
      </c>
      <c r="D188" s="11" t="n">
        <f aca="false">IF(AND(C188&gt;=6,C188&lt;=9),1,0)</f>
        <v>0</v>
      </c>
      <c r="E188" s="22" t="n">
        <v>2917.012</v>
      </c>
      <c r="F188" s="22" t="n">
        <v>2272.781</v>
      </c>
      <c r="G188" s="25" t="n">
        <f aca="false">E188-F188</f>
        <v>644.231</v>
      </c>
      <c r="H188" s="22" t="n">
        <v>217.355</v>
      </c>
      <c r="I188" s="22" t="n">
        <v>747.701</v>
      </c>
      <c r="J188" s="22" t="n">
        <v>1233.963</v>
      </c>
      <c r="K188" s="22" t="n">
        <v>717.993</v>
      </c>
      <c r="L188" s="22" t="n">
        <v>2.546</v>
      </c>
      <c r="M188" s="26" t="n">
        <f aca="false">Rates!$F$5+IF(D188=1,E188*Rates!$F$6,MIN(E188,Rates!$F$11)*Rates!$F$7+MAX(E188-Rates!$F$11,0)*Rates!$F$8)+E188*(Rates!$F$9+Rates!$F$10)</f>
        <v>401.63462872</v>
      </c>
      <c r="N188" s="26" t="n">
        <f aca="false">Rates!$F$12+H188*IF(D188=1,Rates!$F$13,Rates!$F$14)+I188*Rates!$F$15+J188*IF(D188=1,Rates!$F$16,Rates!$F$18)+K188*IF(D188=1,Rates!$F$17,Rates!$F$19)+E188*(Rates!$F$20+Rates!$F$21)</f>
        <v>361.48183316</v>
      </c>
      <c r="O188" s="26" t="n">
        <f aca="false">Rates!$F$22+IF(D188=1,E188*Rates!$F$23,E188*Rates!$F$24)+E188*(Rates!$F$25+Rates!$F$26)</f>
        <v>228.75946816</v>
      </c>
      <c r="P188" s="26" t="n">
        <f aca="false">Rates!$F$27+IF(D188=1,G188*Rates!$F$28,MIN(G188,Rates!$F$35)*Rates!$F$29+MAX(G188-Rates!$F$35,0)*Rates!$F$30)+IF(F188&gt;0,Rates!$F$31,0)+F188*Rates!$F$32+E188*(Rates!$F$33+Rates!$F$34)</f>
        <v>239.02644178</v>
      </c>
      <c r="Q188" s="26" t="n">
        <f aca="false">IF(L188&gt;0,Rates!$F$36,0)+L188*(Rates!$F$37+Rates!$F$38+Rates!$F$39)</f>
        <v>11.88129926</v>
      </c>
    </row>
    <row r="189" customFormat="false" ht="15" hidden="false" customHeight="false" outlineLevel="0" collapsed="false">
      <c r="A189" s="11" t="s">
        <v>163</v>
      </c>
      <c r="B189" s="11" t="s">
        <v>145</v>
      </c>
      <c r="C189" s="11" t="n">
        <v>5</v>
      </c>
      <c r="D189" s="11" t="n">
        <f aca="false">IF(AND(C189&gt;=6,C189&lt;=9),1,0)</f>
        <v>0</v>
      </c>
      <c r="E189" s="22" t="n">
        <v>911.155</v>
      </c>
      <c r="F189" s="22" t="n">
        <v>5.954</v>
      </c>
      <c r="G189" s="25" t="n">
        <f aca="false">E189-F189</f>
        <v>905.201</v>
      </c>
      <c r="H189" s="22" t="n">
        <v>112.798</v>
      </c>
      <c r="I189" s="22" t="n">
        <v>152.096</v>
      </c>
      <c r="J189" s="22" t="n">
        <v>404.036</v>
      </c>
      <c r="K189" s="22" t="n">
        <v>242.224</v>
      </c>
      <c r="L189" s="22" t="n">
        <v>2.838</v>
      </c>
      <c r="M189" s="26" t="n">
        <f aca="false">Rates!$F$5+IF(D189=1,E189*Rates!$F$6,MIN(E189,Rates!$F$11)*Rates!$F$7+MAX(E189-Rates!$F$11,0)*Rates!$F$8)+E189*(Rates!$F$9+Rates!$F$10)</f>
        <v>132.5002192</v>
      </c>
      <c r="N189" s="26" t="n">
        <f aca="false">Rates!$F$12+H189*IF(D189=1,Rates!$F$13,Rates!$F$14)+I189*Rates!$F$15+J189*IF(D189=1,Rates!$F$16,Rates!$F$18)+K189*IF(D189=1,Rates!$F$17,Rates!$F$19)+E189*(Rates!$F$20+Rates!$F$21)</f>
        <v>123.9583704</v>
      </c>
      <c r="O189" s="26" t="n">
        <f aca="false">Rates!$F$22+IF(D189=1,E189*Rates!$F$23,E189*Rates!$F$24)+E189*(Rates!$F$25+Rates!$F$26)</f>
        <v>76.9562104</v>
      </c>
      <c r="P189" s="26" t="n">
        <f aca="false">Rates!$F$27+IF(D189=1,G189*Rates!$F$28,MIN(G189,Rates!$F$35)*Rates!$F$29+MAX(G189-Rates!$F$35,0)*Rates!$F$30)+IF(F189&gt;0,Rates!$F$31,0)+F189*Rates!$F$32+E189*(Rates!$F$33+Rates!$F$34)</f>
        <v>136.9983106</v>
      </c>
      <c r="Q189" s="26" t="n">
        <f aca="false">IF(L189&gt;0,Rates!$F$36,0)+L189*(Rates!$F$37+Rates!$F$38+Rates!$F$39)</f>
        <v>12.15440978</v>
      </c>
    </row>
    <row r="190" customFormat="false" ht="15" hidden="false" customHeight="false" outlineLevel="0" collapsed="false">
      <c r="A190" s="11" t="s">
        <v>163</v>
      </c>
      <c r="B190" s="11" t="s">
        <v>145</v>
      </c>
      <c r="C190" s="11" t="n">
        <v>6</v>
      </c>
      <c r="D190" s="11" t="n">
        <f aca="false">IF(AND(C190&gt;=6,C190&lt;=9),1,0)</f>
        <v>1</v>
      </c>
      <c r="E190" s="22" t="n">
        <v>1073.668</v>
      </c>
      <c r="F190" s="22" t="n">
        <v>0</v>
      </c>
      <c r="G190" s="25" t="n">
        <f aca="false">E190-F190</f>
        <v>1073.668</v>
      </c>
      <c r="H190" s="22" t="n">
        <v>125.873</v>
      </c>
      <c r="I190" s="22" t="n">
        <v>197.875</v>
      </c>
      <c r="J190" s="22" t="n">
        <v>467.011</v>
      </c>
      <c r="K190" s="22" t="n">
        <v>282.91</v>
      </c>
      <c r="L190" s="22" t="n">
        <v>2.998</v>
      </c>
      <c r="M190" s="26" t="n">
        <f aca="false">Rates!$F$5+IF(D190=1,E190*Rates!$F$6,MIN(E190,Rates!$F$11)*Rates!$F$7+MAX(E190-Rates!$F$11,0)*Rates!$F$8)+E190*(Rates!$F$9+Rates!$F$10)</f>
        <v>171.44447964</v>
      </c>
      <c r="N190" s="26" t="n">
        <f aca="false">Rates!$F$12+H190*IF(D190=1,Rates!$F$13,Rates!$F$14)+I190*Rates!$F$15+J190*IF(D190=1,Rates!$F$16,Rates!$F$18)+K190*IF(D190=1,Rates!$F$17,Rates!$F$19)+E190*(Rates!$F$20+Rates!$F$21)</f>
        <v>163.59879924</v>
      </c>
      <c r="O190" s="26" t="n">
        <f aca="false">Rates!$F$22+IF(D190=1,E190*Rates!$F$23,E190*Rates!$F$24)+E190*(Rates!$F$25+Rates!$F$26)</f>
        <v>171.44447964</v>
      </c>
      <c r="P190" s="26" t="n">
        <f aca="false">Rates!$F$27+IF(D190=1,G190*Rates!$F$28,MIN(G190,Rates!$F$35)*Rates!$F$29+MAX(G190-Rates!$F$35,0)*Rates!$F$30)+IF(F190&gt;0,Rates!$F$31,0)+F190*Rates!$F$32+E190*(Rates!$F$33+Rates!$F$34)</f>
        <v>171.44447964</v>
      </c>
      <c r="Q190" s="26" t="n">
        <f aca="false">IF(L190&gt;0,Rates!$F$36,0)+L190*(Rates!$F$37+Rates!$F$38+Rates!$F$39)</f>
        <v>12.30405938</v>
      </c>
    </row>
    <row r="191" customFormat="false" ht="15" hidden="false" customHeight="false" outlineLevel="0" collapsed="false">
      <c r="A191" s="11" t="s">
        <v>163</v>
      </c>
      <c r="B191" s="11" t="s">
        <v>145</v>
      </c>
      <c r="C191" s="11" t="n">
        <v>7</v>
      </c>
      <c r="D191" s="11" t="n">
        <f aca="false">IF(AND(C191&gt;=6,C191&lt;=9),1,0)</f>
        <v>1</v>
      </c>
      <c r="E191" s="22" t="n">
        <v>1232.665</v>
      </c>
      <c r="F191" s="22" t="n">
        <v>0</v>
      </c>
      <c r="G191" s="25" t="n">
        <f aca="false">E191-F191</f>
        <v>1232.665</v>
      </c>
      <c r="H191" s="22" t="n">
        <v>137.444</v>
      </c>
      <c r="I191" s="22" t="n">
        <v>242.782</v>
      </c>
      <c r="J191" s="22" t="n">
        <v>511.655</v>
      </c>
      <c r="K191" s="22" t="n">
        <v>340.784</v>
      </c>
      <c r="L191" s="22" t="n">
        <v>3.646</v>
      </c>
      <c r="M191" s="26" t="n">
        <f aca="false">Rates!$F$5+IF(D191=1,E191*Rates!$F$6,MIN(E191,Rates!$F$11)*Rates!$F$7+MAX(E191-Rates!$F$11,0)*Rates!$F$8)+E191*(Rates!$F$9+Rates!$F$10)</f>
        <v>195.64859295</v>
      </c>
      <c r="N191" s="26" t="n">
        <f aca="false">Rates!$F$12+H191*IF(D191=1,Rates!$F$13,Rates!$F$14)+I191*Rates!$F$15+J191*IF(D191=1,Rates!$F$16,Rates!$F$18)+K191*IF(D191=1,Rates!$F$17,Rates!$F$19)+E191*(Rates!$F$20+Rates!$F$21)</f>
        <v>185.2171472</v>
      </c>
      <c r="O191" s="26" t="n">
        <f aca="false">Rates!$F$22+IF(D191=1,E191*Rates!$F$23,E191*Rates!$F$24)+E191*(Rates!$F$25+Rates!$F$26)</f>
        <v>195.64859295</v>
      </c>
      <c r="P191" s="26" t="n">
        <f aca="false">Rates!$F$27+IF(D191=1,G191*Rates!$F$28,MIN(G191,Rates!$F$35)*Rates!$F$29+MAX(G191-Rates!$F$35,0)*Rates!$F$30)+IF(F191&gt;0,Rates!$F$31,0)+F191*Rates!$F$32+E191*(Rates!$F$33+Rates!$F$34)</f>
        <v>195.64859295</v>
      </c>
      <c r="Q191" s="26" t="n">
        <f aca="false">IF(L191&gt;0,Rates!$F$36,0)+L191*(Rates!$F$37+Rates!$F$38+Rates!$F$39)</f>
        <v>12.91014026</v>
      </c>
    </row>
    <row r="192" customFormat="false" ht="15" hidden="false" customHeight="false" outlineLevel="0" collapsed="false">
      <c r="A192" s="11" t="s">
        <v>163</v>
      </c>
      <c r="B192" s="11" t="s">
        <v>145</v>
      </c>
      <c r="C192" s="11" t="n">
        <v>8</v>
      </c>
      <c r="D192" s="11" t="n">
        <f aca="false">IF(AND(C192&gt;=6,C192&lt;=9),1,0)</f>
        <v>1</v>
      </c>
      <c r="E192" s="22" t="n">
        <v>1176.788</v>
      </c>
      <c r="F192" s="22" t="n">
        <v>0</v>
      </c>
      <c r="G192" s="25" t="n">
        <f aca="false">E192-F192</f>
        <v>1176.788</v>
      </c>
      <c r="H192" s="22" t="n">
        <v>141.278</v>
      </c>
      <c r="I192" s="22" t="n">
        <v>227.931</v>
      </c>
      <c r="J192" s="22" t="n">
        <v>545.378</v>
      </c>
      <c r="K192" s="22" t="n">
        <v>262.2</v>
      </c>
      <c r="L192" s="22" t="n">
        <v>3.416</v>
      </c>
      <c r="M192" s="26" t="n">
        <f aca="false">Rates!$F$5+IF(D192=1,E192*Rates!$F$6,MIN(E192,Rates!$F$11)*Rates!$F$7+MAX(E192-Rates!$F$11,0)*Rates!$F$8)+E192*(Rates!$F$9+Rates!$F$10)</f>
        <v>187.14243724</v>
      </c>
      <c r="N192" s="26" t="n">
        <f aca="false">Rates!$F$12+H192*IF(D192=1,Rates!$F$13,Rates!$F$14)+I192*Rates!$F$15+J192*IF(D192=1,Rates!$F$16,Rates!$F$18)+K192*IF(D192=1,Rates!$F$17,Rates!$F$19)+E192*(Rates!$F$20+Rates!$F$21)</f>
        <v>178.20038084</v>
      </c>
      <c r="O192" s="26" t="n">
        <f aca="false">Rates!$F$22+IF(D192=1,E192*Rates!$F$23,E192*Rates!$F$24)+E192*(Rates!$F$25+Rates!$F$26)</f>
        <v>187.14243724</v>
      </c>
      <c r="P192" s="26" t="n">
        <f aca="false">Rates!$F$27+IF(D192=1,G192*Rates!$F$28,MIN(G192,Rates!$F$35)*Rates!$F$29+MAX(G192-Rates!$F$35,0)*Rates!$F$30)+IF(F192&gt;0,Rates!$F$31,0)+F192*Rates!$F$32+E192*(Rates!$F$33+Rates!$F$34)</f>
        <v>187.14243724</v>
      </c>
      <c r="Q192" s="26" t="n">
        <f aca="false">IF(L192&gt;0,Rates!$F$36,0)+L192*(Rates!$F$37+Rates!$F$38+Rates!$F$39)</f>
        <v>12.69501896</v>
      </c>
    </row>
    <row r="193" customFormat="false" ht="15" hidden="false" customHeight="false" outlineLevel="0" collapsed="false">
      <c r="A193" s="11" t="s">
        <v>163</v>
      </c>
      <c r="B193" s="11" t="s">
        <v>145</v>
      </c>
      <c r="C193" s="11" t="n">
        <v>9</v>
      </c>
      <c r="D193" s="11" t="n">
        <f aca="false">IF(AND(C193&gt;=6,C193&lt;=9),1,0)</f>
        <v>1</v>
      </c>
      <c r="E193" s="22" t="n">
        <v>936.671</v>
      </c>
      <c r="F193" s="22" t="n">
        <v>18.086</v>
      </c>
      <c r="G193" s="25" t="n">
        <f aca="false">E193-F193</f>
        <v>918.585</v>
      </c>
      <c r="H193" s="22" t="n">
        <v>90.803</v>
      </c>
      <c r="I193" s="22" t="n">
        <v>168.509</v>
      </c>
      <c r="J193" s="22" t="n">
        <v>346.093</v>
      </c>
      <c r="K193" s="22" t="n">
        <v>331.266</v>
      </c>
      <c r="L193" s="22" t="n">
        <v>2.713</v>
      </c>
      <c r="M193" s="26" t="n">
        <f aca="false">Rates!$F$5+IF(D193=1,E193*Rates!$F$6,MIN(E193,Rates!$F$11)*Rates!$F$7+MAX(E193-Rates!$F$11,0)*Rates!$F$8)+E193*(Rates!$F$9+Rates!$F$10)</f>
        <v>150.58942633</v>
      </c>
      <c r="N193" s="26" t="n">
        <f aca="false">Rates!$F$12+H193*IF(D193=1,Rates!$F$13,Rates!$F$14)+I193*Rates!$F$15+J193*IF(D193=1,Rates!$F$16,Rates!$F$18)+K193*IF(D193=1,Rates!$F$17,Rates!$F$19)+E193*(Rates!$F$20+Rates!$F$21)</f>
        <v>142.45047628</v>
      </c>
      <c r="O193" s="26" t="n">
        <f aca="false">Rates!$F$22+IF(D193=1,E193*Rates!$F$23,E193*Rates!$F$24)+E193*(Rates!$F$25+Rates!$F$26)</f>
        <v>150.58942633</v>
      </c>
      <c r="P193" s="26" t="n">
        <f aca="false">Rates!$F$27+IF(D193=1,G193*Rates!$F$28,MIN(G193,Rates!$F$35)*Rates!$F$29+MAX(G193-Rates!$F$35,0)*Rates!$F$30)+IF(F193&gt;0,Rates!$F$31,0)+F193*Rates!$F$32+E193*(Rates!$F$33+Rates!$F$34)</f>
        <v>153.88473819</v>
      </c>
      <c r="Q193" s="26" t="n">
        <f aca="false">IF(L193&gt;0,Rates!$F$36,0)+L193*(Rates!$F$37+Rates!$F$38+Rates!$F$39)</f>
        <v>12.03749603</v>
      </c>
    </row>
    <row r="194" customFormat="false" ht="15" hidden="false" customHeight="false" outlineLevel="0" collapsed="false">
      <c r="A194" s="11" t="s">
        <v>163</v>
      </c>
      <c r="B194" s="11" t="s">
        <v>145</v>
      </c>
      <c r="C194" s="11" t="n">
        <v>10</v>
      </c>
      <c r="D194" s="11" t="n">
        <f aca="false">IF(AND(C194&gt;=6,C194&lt;=9),1,0)</f>
        <v>0</v>
      </c>
      <c r="E194" s="22" t="n">
        <v>1663.427</v>
      </c>
      <c r="F194" s="22" t="n">
        <v>1039.554</v>
      </c>
      <c r="G194" s="25" t="n">
        <f aca="false">E194-F194</f>
        <v>623.873</v>
      </c>
      <c r="H194" s="22" t="n">
        <v>119.763</v>
      </c>
      <c r="I194" s="22" t="n">
        <v>413.012</v>
      </c>
      <c r="J194" s="22" t="n">
        <v>763.427</v>
      </c>
      <c r="K194" s="22" t="n">
        <v>367.225</v>
      </c>
      <c r="L194" s="22" t="n">
        <v>3.571</v>
      </c>
      <c r="M194" s="26" t="n">
        <f aca="false">Rates!$F$5+IF(D194=1,E194*Rates!$F$6,MIN(E194,Rates!$F$11)*Rates!$F$7+MAX(E194-Rates!$F$11,0)*Rates!$F$8)+E194*(Rates!$F$9+Rates!$F$10)</f>
        <v>233.57902362</v>
      </c>
      <c r="N194" s="26" t="n">
        <f aca="false">Rates!$F$12+H194*IF(D194=1,Rates!$F$13,Rates!$F$14)+I194*Rates!$F$15+J194*IF(D194=1,Rates!$F$16,Rates!$F$18)+K194*IF(D194=1,Rates!$F$17,Rates!$F$19)+E194*(Rates!$F$20+Rates!$F$21)</f>
        <v>209.78986536</v>
      </c>
      <c r="O194" s="26" t="n">
        <f aca="false">Rates!$F$22+IF(D194=1,E194*Rates!$F$23,E194*Rates!$F$24)+E194*(Rates!$F$25+Rates!$F$26)</f>
        <v>133.88815536</v>
      </c>
      <c r="P194" s="26" t="n">
        <f aca="false">Rates!$F$27+IF(D194=1,G194*Rates!$F$28,MIN(G194,Rates!$F$35)*Rates!$F$29+MAX(G194-Rates!$F$35,0)*Rates!$F$30)+IF(F194&gt;0,Rates!$F$31,0)+F194*Rates!$F$32+E194*(Rates!$F$33+Rates!$F$34)</f>
        <v>161.33851668</v>
      </c>
      <c r="Q194" s="26" t="n">
        <f aca="false">IF(L194&gt;0,Rates!$F$36,0)+L194*(Rates!$F$37+Rates!$F$38+Rates!$F$39)</f>
        <v>12.83999201</v>
      </c>
    </row>
    <row r="195" customFormat="false" ht="15" hidden="false" customHeight="false" outlineLevel="0" collapsed="false">
      <c r="A195" s="11" t="s">
        <v>163</v>
      </c>
      <c r="B195" s="11" t="s">
        <v>145</v>
      </c>
      <c r="C195" s="11" t="n">
        <v>11</v>
      </c>
      <c r="D195" s="11" t="n">
        <f aca="false">IF(AND(C195&gt;=6,C195&lt;=9),1,0)</f>
        <v>0</v>
      </c>
      <c r="E195" s="22" t="n">
        <v>4381.894</v>
      </c>
      <c r="F195" s="22" t="n">
        <v>3753.579</v>
      </c>
      <c r="G195" s="25" t="n">
        <f aca="false">E195-F195</f>
        <v>628.315</v>
      </c>
      <c r="H195" s="22" t="n">
        <v>375.585</v>
      </c>
      <c r="I195" s="22" t="n">
        <v>1098.526</v>
      </c>
      <c r="J195" s="22" t="n">
        <v>1934.277</v>
      </c>
      <c r="K195" s="22" t="n">
        <v>973.507</v>
      </c>
      <c r="L195" s="22" t="n">
        <v>3.783</v>
      </c>
      <c r="M195" s="26" t="n">
        <f aca="false">Rates!$F$5+IF(D195=1,E195*Rates!$F$6,MIN(E195,Rates!$F$11)*Rates!$F$7+MAX(E195-Rates!$F$11,0)*Rates!$F$8)+E195*(Rates!$F$9+Rates!$F$10)</f>
        <v>598.01670964</v>
      </c>
      <c r="N195" s="26" t="n">
        <f aca="false">Rates!$F$12+H195*IF(D195=1,Rates!$F$13,Rates!$F$14)+I195*Rates!$F$15+J195*IF(D195=1,Rates!$F$16,Rates!$F$18)+K195*IF(D195=1,Rates!$F$17,Rates!$F$19)+E195*(Rates!$F$20+Rates!$F$21)</f>
        <v>542.80323792</v>
      </c>
      <c r="O195" s="26" t="n">
        <f aca="false">Rates!$F$22+IF(D195=1,E195*Rates!$F$23,E195*Rates!$F$24)+E195*(Rates!$F$25+Rates!$F$26)</f>
        <v>339.62173792</v>
      </c>
      <c r="P195" s="26" t="n">
        <f aca="false">Rates!$F$27+IF(D195=1,G195*Rates!$F$28,MIN(G195,Rates!$F$35)*Rates!$F$29+MAX(G195-Rates!$F$35,0)*Rates!$F$30)+IF(F195&gt;0,Rates!$F$31,0)+F195*Rates!$F$32+E195*(Rates!$F$33+Rates!$F$34)</f>
        <v>326.79535006</v>
      </c>
      <c r="Q195" s="26" t="n">
        <f aca="false">IF(L195&gt;0,Rates!$F$36,0)+L195*(Rates!$F$37+Rates!$F$38+Rates!$F$39)</f>
        <v>13.03827773</v>
      </c>
    </row>
    <row r="196" customFormat="false" ht="15" hidden="false" customHeight="false" outlineLevel="0" collapsed="false">
      <c r="A196" s="11" t="s">
        <v>163</v>
      </c>
      <c r="B196" s="11" t="s">
        <v>145</v>
      </c>
      <c r="C196" s="11" t="n">
        <v>12</v>
      </c>
      <c r="D196" s="11" t="n">
        <f aca="false">IF(AND(C196&gt;=6,C196&lt;=9),1,0)</f>
        <v>0</v>
      </c>
      <c r="E196" s="22" t="n">
        <v>5303.076</v>
      </c>
      <c r="F196" s="22" t="n">
        <v>4604.453</v>
      </c>
      <c r="G196" s="25" t="n">
        <f aca="false">E196-F196</f>
        <v>698.623</v>
      </c>
      <c r="H196" s="22" t="n">
        <v>425.726</v>
      </c>
      <c r="I196" s="22" t="n">
        <v>1329.075</v>
      </c>
      <c r="J196" s="22" t="n">
        <v>2114.31</v>
      </c>
      <c r="K196" s="22" t="n">
        <v>1433.966</v>
      </c>
      <c r="L196" s="22" t="n">
        <v>4.225</v>
      </c>
      <c r="M196" s="26" t="n">
        <f aca="false">Rates!$F$5+IF(D196=1,E196*Rates!$F$6,MIN(E196,Rates!$F$11)*Rates!$F$7+MAX(E196-Rates!$F$11,0)*Rates!$F$8)+E196*(Rates!$F$9+Rates!$F$10)</f>
        <v>721.51036856</v>
      </c>
      <c r="N196" s="26" t="n">
        <f aca="false">Rates!$F$12+H196*IF(D196=1,Rates!$F$13,Rates!$F$14)+I196*Rates!$F$15+J196*IF(D196=1,Rates!$F$16,Rates!$F$18)+K196*IF(D196=1,Rates!$F$17,Rates!$F$19)+E196*(Rates!$F$20+Rates!$F$21)</f>
        <v>653.51663668</v>
      </c>
      <c r="O196" s="26" t="n">
        <f aca="false">Rates!$F$22+IF(D196=1,E196*Rates!$F$23,E196*Rates!$F$24)+E196*(Rates!$F$25+Rates!$F$26)</f>
        <v>409.33679168</v>
      </c>
      <c r="P196" s="26" t="n">
        <f aca="false">Rates!$F$27+IF(D196=1,G196*Rates!$F$28,MIN(G196,Rates!$F$35)*Rates!$F$29+MAX(G196-Rates!$F$35,0)*Rates!$F$30)+IF(F196&gt;0,Rates!$F$31,0)+F196*Rates!$F$32+E196*(Rates!$F$33+Rates!$F$34)</f>
        <v>388.08432194</v>
      </c>
      <c r="Q196" s="26" t="n">
        <f aca="false">IF(L196&gt;0,Rates!$F$36,0)+L196*(Rates!$F$37+Rates!$F$38+Rates!$F$39)</f>
        <v>13.45168475</v>
      </c>
    </row>
  </sheetData>
  <autoFilter ref="A4:Q19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2026-09-28T21:43:34Z</dcterms:created>
  <dc:creator>openpyxl</dc:creator>
  <dc:description/>
  <dc:language>en-US</dc:language>
  <cp:lastModifiedBy/>
  <dcterms:modified xsi:type="dcterms:W3CDTF">2026-09-28T21:43:36Z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